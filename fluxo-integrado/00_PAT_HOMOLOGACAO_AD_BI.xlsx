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84282106-097C-416E-B865-98673385B477}" xr6:coauthVersionLast="47" xr6:coauthVersionMax="47" xr10:uidLastSave="{00000000-0000-0000-0000-000000000000}"/>
  <bookViews>
    <workbookView xWindow="-108" yWindow="-108" windowWidth="30936" windowHeight="18696" tabRatio="763" firstSheet="5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Wanei" sheetId="63" r:id="rId5"/>
    <sheet name="Ana_Carolina" sheetId="62" r:id="rId6"/>
    <sheet name="Mauricio" sheetId="57" r:id="rId7"/>
    <sheet name="Orlando" sheetId="53" r:id="rId8"/>
    <sheet name="Thaisa" sheetId="59" r:id="rId9"/>
    <sheet name="Carlos" sheetId="60" r:id="rId10"/>
    <sheet name="Alessandra" sheetId="61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2" l="1"/>
  <c r="I35" i="65"/>
  <c r="I34" i="65"/>
  <c r="I33" i="65"/>
  <c r="I32" i="65"/>
  <c r="I31" i="65"/>
  <c r="I30" i="65"/>
  <c r="I29" i="65"/>
  <c r="I28" i="65"/>
  <c r="I27" i="65"/>
  <c r="I26" i="65"/>
  <c r="I25" i="65"/>
  <c r="I24" i="65"/>
  <c r="I23" i="65"/>
  <c r="I22" i="65"/>
  <c r="I21" i="65"/>
  <c r="I20" i="65"/>
  <c r="I19" i="65"/>
  <c r="I18" i="65"/>
  <c r="I17" i="65"/>
  <c r="I11" i="65"/>
  <c r="I10" i="65"/>
  <c r="I9" i="65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200" i="56"/>
  <c r="B199" i="56"/>
  <c r="B198" i="56"/>
  <c r="B197" i="56"/>
  <c r="B196" i="56"/>
  <c r="B195" i="56"/>
  <c r="B194" i="56"/>
  <c r="B193" i="56"/>
  <c r="B192" i="56"/>
  <c r="B191" i="56"/>
  <c r="B190" i="56"/>
  <c r="B189" i="56"/>
  <c r="B188" i="56"/>
  <c r="B187" i="56"/>
  <c r="B186" i="56"/>
  <c r="B185" i="56"/>
  <c r="B184" i="56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B8" i="59" l="1"/>
  <c r="B8" i="53"/>
  <c r="B8" i="61"/>
  <c r="B8" i="65"/>
  <c r="B8" i="64"/>
  <c r="B8" i="62"/>
  <c r="B8" i="63"/>
  <c r="B9" i="61"/>
  <c r="B9" i="62"/>
  <c r="B10" i="5"/>
  <c r="B9" i="59" s="1"/>
  <c r="B9" i="68"/>
  <c r="B9" i="65"/>
  <c r="B9" i="64"/>
  <c r="B9" i="53"/>
  <c r="T51" i="56"/>
  <c r="S51" i="56"/>
  <c r="T52" i="56"/>
  <c r="S52" i="56"/>
  <c r="T53" i="56"/>
  <c r="S53" i="56"/>
  <c r="T54" i="56"/>
  <c r="S54" i="56"/>
  <c r="T55" i="56"/>
  <c r="S55" i="56"/>
  <c r="T56" i="56"/>
  <c r="S56" i="56"/>
  <c r="T57" i="56"/>
  <c r="S57" i="56"/>
  <c r="T58" i="56"/>
  <c r="S58" i="56"/>
  <c r="T59" i="56"/>
  <c r="S59" i="56"/>
  <c r="T60" i="56"/>
  <c r="S60" i="56"/>
  <c r="T61" i="56"/>
  <c r="S61" i="56"/>
  <c r="T62" i="56"/>
  <c r="S62" i="56"/>
  <c r="T63" i="56"/>
  <c r="S63" i="56"/>
  <c r="T64" i="56"/>
  <c r="S64" i="56"/>
  <c r="T65" i="56"/>
  <c r="S65" i="56"/>
  <c r="T66" i="56"/>
  <c r="S66" i="56"/>
  <c r="T67" i="56"/>
  <c r="S67" i="56"/>
  <c r="T68" i="56"/>
  <c r="S68" i="56"/>
  <c r="T69" i="56"/>
  <c r="S69" i="56"/>
  <c r="T70" i="56"/>
  <c r="S70" i="56"/>
  <c r="T71" i="56"/>
  <c r="S71" i="56"/>
  <c r="T72" i="56"/>
  <c r="S72" i="56"/>
  <c r="T73" i="56"/>
  <c r="S73" i="56"/>
  <c r="T74" i="56"/>
  <c r="S74" i="56"/>
  <c r="T75" i="56"/>
  <c r="S75" i="56"/>
  <c r="T76" i="56"/>
  <c r="S76" i="56"/>
  <c r="T77" i="56"/>
  <c r="S77" i="56"/>
  <c r="T78" i="56"/>
  <c r="S78" i="56"/>
  <c r="T79" i="56"/>
  <c r="S79" i="56"/>
  <c r="T80" i="56"/>
  <c r="S80" i="56"/>
  <c r="T81" i="56"/>
  <c r="S81" i="56"/>
  <c r="T82" i="56"/>
  <c r="S82" i="56"/>
  <c r="T83" i="56"/>
  <c r="S83" i="56"/>
  <c r="T84" i="56"/>
  <c r="S84" i="56"/>
  <c r="T85" i="56"/>
  <c r="S85" i="56"/>
  <c r="T86" i="56"/>
  <c r="S86" i="56"/>
  <c r="T87" i="56"/>
  <c r="S87" i="56"/>
  <c r="T88" i="56"/>
  <c r="S88" i="56"/>
  <c r="T89" i="56"/>
  <c r="S89" i="56"/>
  <c r="T90" i="56"/>
  <c r="S90" i="56"/>
  <c r="T91" i="56"/>
  <c r="S91" i="56"/>
  <c r="T92" i="56"/>
  <c r="S92" i="56"/>
  <c r="T93" i="56"/>
  <c r="S93" i="56"/>
  <c r="T94" i="56"/>
  <c r="S94" i="56"/>
  <c r="T95" i="56"/>
  <c r="S95" i="56"/>
  <c r="T96" i="56"/>
  <c r="S96" i="56"/>
  <c r="T97" i="56"/>
  <c r="S97" i="56"/>
  <c r="T98" i="56"/>
  <c r="S98" i="56"/>
  <c r="T99" i="56"/>
  <c r="S99" i="56"/>
  <c r="T100" i="56"/>
  <c r="S100" i="56"/>
  <c r="T101" i="56"/>
  <c r="S101" i="56"/>
  <c r="T102" i="56"/>
  <c r="S102" i="56"/>
  <c r="T103" i="56"/>
  <c r="S103" i="56"/>
  <c r="T104" i="56"/>
  <c r="S104" i="56"/>
  <c r="T105" i="56"/>
  <c r="S105" i="56"/>
  <c r="T106" i="56"/>
  <c r="S106" i="56"/>
  <c r="T107" i="56"/>
  <c r="S107" i="56"/>
  <c r="T108" i="56"/>
  <c r="S108" i="56"/>
  <c r="T109" i="56"/>
  <c r="S109" i="56"/>
  <c r="T110" i="56"/>
  <c r="S110" i="56"/>
  <c r="T111" i="56"/>
  <c r="S111" i="56"/>
  <c r="T112" i="56"/>
  <c r="S112" i="56"/>
  <c r="T113" i="56"/>
  <c r="S113" i="56"/>
  <c r="T114" i="56"/>
  <c r="S114" i="56"/>
  <c r="T115" i="56"/>
  <c r="S115" i="56"/>
  <c r="T116" i="56"/>
  <c r="S116" i="56"/>
  <c r="T117" i="56"/>
  <c r="S117" i="56"/>
  <c r="T118" i="56"/>
  <c r="S118" i="56"/>
  <c r="T119" i="56"/>
  <c r="S119" i="56"/>
  <c r="T120" i="56"/>
  <c r="S120" i="56"/>
  <c r="T121" i="56"/>
  <c r="S121" i="56"/>
  <c r="T122" i="56"/>
  <c r="S122" i="56"/>
  <c r="T123" i="56"/>
  <c r="S123" i="56"/>
  <c r="T124" i="56"/>
  <c r="S124" i="56"/>
  <c r="T125" i="56"/>
  <c r="S125" i="56"/>
  <c r="T126" i="56"/>
  <c r="S126" i="56"/>
  <c r="T127" i="56"/>
  <c r="S127" i="56"/>
  <c r="T128" i="56"/>
  <c r="S128" i="56"/>
  <c r="T129" i="56"/>
  <c r="S129" i="56"/>
  <c r="T130" i="56"/>
  <c r="S130" i="56"/>
  <c r="T131" i="56"/>
  <c r="S131" i="56"/>
  <c r="T132" i="56"/>
  <c r="S132" i="56"/>
  <c r="T133" i="56"/>
  <c r="S133" i="56"/>
  <c r="T134" i="56"/>
  <c r="S134" i="56"/>
  <c r="T135" i="56"/>
  <c r="S135" i="56"/>
  <c r="T136" i="56"/>
  <c r="S136" i="56"/>
  <c r="T137" i="56"/>
  <c r="S137" i="56"/>
  <c r="T138" i="56"/>
  <c r="S138" i="56"/>
  <c r="T139" i="56"/>
  <c r="S139" i="56"/>
  <c r="T140" i="56"/>
  <c r="S140" i="56"/>
  <c r="T141" i="56"/>
  <c r="S141" i="56"/>
  <c r="T142" i="56"/>
  <c r="S142" i="56"/>
  <c r="T143" i="56"/>
  <c r="S143" i="56"/>
  <c r="T144" i="56"/>
  <c r="S144" i="56"/>
  <c r="T145" i="56"/>
  <c r="S145" i="56"/>
  <c r="T146" i="56"/>
  <c r="S146" i="56"/>
  <c r="T147" i="56"/>
  <c r="S147" i="56"/>
  <c r="T148" i="56"/>
  <c r="S148" i="56"/>
  <c r="T149" i="56"/>
  <c r="S149" i="56"/>
  <c r="T150" i="56"/>
  <c r="S150" i="56"/>
  <c r="T151" i="56"/>
  <c r="S151" i="56"/>
  <c r="T152" i="56"/>
  <c r="S152" i="56"/>
  <c r="T153" i="56"/>
  <c r="S153" i="56"/>
  <c r="T154" i="56"/>
  <c r="S154" i="56"/>
  <c r="T155" i="56"/>
  <c r="S155" i="56"/>
  <c r="T156" i="56"/>
  <c r="S156" i="56"/>
  <c r="T157" i="56"/>
  <c r="S157" i="56"/>
  <c r="T158" i="56"/>
  <c r="S158" i="56"/>
  <c r="T159" i="56"/>
  <c r="S159" i="56"/>
  <c r="T160" i="56"/>
  <c r="S160" i="56"/>
  <c r="T161" i="56"/>
  <c r="S161" i="56"/>
  <c r="T162" i="56"/>
  <c r="S162" i="56"/>
  <c r="T163" i="56"/>
  <c r="S163" i="56"/>
  <c r="T164" i="56"/>
  <c r="S164" i="56"/>
  <c r="T165" i="56"/>
  <c r="S165" i="56"/>
  <c r="T166" i="56"/>
  <c r="S166" i="56"/>
  <c r="T167" i="56"/>
  <c r="S167" i="56"/>
  <c r="T168" i="56"/>
  <c r="S168" i="56"/>
  <c r="T169" i="56"/>
  <c r="S169" i="56"/>
  <c r="T170" i="56"/>
  <c r="S170" i="56"/>
  <c r="T171" i="56"/>
  <c r="S171" i="56"/>
  <c r="T172" i="56"/>
  <c r="S172" i="56"/>
  <c r="T173" i="56"/>
  <c r="S173" i="56"/>
  <c r="T174" i="56"/>
  <c r="S174" i="56"/>
  <c r="T175" i="56"/>
  <c r="S175" i="56"/>
  <c r="T176" i="56"/>
  <c r="S176" i="56"/>
  <c r="T177" i="56"/>
  <c r="S177" i="56"/>
  <c r="T178" i="56"/>
  <c r="S178" i="56"/>
  <c r="T179" i="56"/>
  <c r="S179" i="56"/>
  <c r="T180" i="56"/>
  <c r="S180" i="56"/>
  <c r="T181" i="56"/>
  <c r="S181" i="56"/>
  <c r="T182" i="56"/>
  <c r="S182" i="56"/>
  <c r="T183" i="56"/>
  <c r="S183" i="56"/>
  <c r="T184" i="56"/>
  <c r="S184" i="56"/>
  <c r="T185" i="56"/>
  <c r="S185" i="56"/>
  <c r="T186" i="56"/>
  <c r="S186" i="56"/>
  <c r="T187" i="56"/>
  <c r="S187" i="56"/>
  <c r="T188" i="56"/>
  <c r="S188" i="56"/>
  <c r="T189" i="56"/>
  <c r="S189" i="56"/>
  <c r="T190" i="56"/>
  <c r="S190" i="56"/>
  <c r="T191" i="56"/>
  <c r="S191" i="56"/>
  <c r="T192" i="56"/>
  <c r="S192" i="56"/>
  <c r="T193" i="56"/>
  <c r="S193" i="56"/>
  <c r="T194" i="56"/>
  <c r="S194" i="56"/>
  <c r="T195" i="56"/>
  <c r="S195" i="56"/>
  <c r="T196" i="56"/>
  <c r="S196" i="56"/>
  <c r="T197" i="56"/>
  <c r="S197" i="56"/>
  <c r="T198" i="56"/>
  <c r="S198" i="56"/>
  <c r="T199" i="56"/>
  <c r="S199" i="56"/>
  <c r="T200" i="56"/>
  <c r="S20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B8" i="32"/>
  <c r="B9" i="57" l="1"/>
  <c r="B9" i="60"/>
  <c r="B9" i="63"/>
  <c r="B11" i="5"/>
  <c r="B10" i="65"/>
  <c r="B10" i="68"/>
  <c r="B10" i="63"/>
  <c r="B10" i="60"/>
  <c r="B10" i="57"/>
  <c r="B10" i="53"/>
  <c r="B10" i="59"/>
  <c r="B10" i="64"/>
  <c r="B10" i="62"/>
  <c r="B10" i="61"/>
  <c r="B9" i="56"/>
  <c r="B9" i="32"/>
  <c r="B12" i="5" l="1"/>
  <c r="B11" i="62" s="1"/>
  <c r="B11" i="65"/>
  <c r="B11" i="68"/>
  <c r="B11" i="63"/>
  <c r="B11" i="64"/>
  <c r="B11" i="57"/>
  <c r="B11" i="60"/>
  <c r="B11" i="53"/>
  <c r="B11" i="32"/>
  <c r="B10" i="56"/>
  <c r="B10" i="32"/>
  <c r="B11" i="61" l="1"/>
  <c r="B11" i="59"/>
  <c r="B13" i="5"/>
  <c r="B12" i="65" s="1"/>
  <c r="B11" i="56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2" i="56"/>
  <c r="B15" i="5" l="1"/>
  <c r="B14" i="68"/>
  <c r="B14" i="65"/>
  <c r="B14" i="64"/>
  <c r="B14" i="63"/>
  <c r="B14" i="62"/>
  <c r="B14" i="61"/>
  <c r="B14" i="60"/>
  <c r="B14" i="57"/>
  <c r="B14" i="53"/>
  <c r="B14" i="59"/>
  <c r="B14" i="32"/>
  <c r="B13" i="56"/>
  <c r="B16" i="5" l="1"/>
  <c r="B15" i="68"/>
  <c r="B15" i="65"/>
  <c r="B15" i="63"/>
  <c r="B15" i="62"/>
  <c r="B15" i="61"/>
  <c r="B15" i="60"/>
  <c r="B15" i="57"/>
  <c r="B15" i="53"/>
  <c r="B15" i="64"/>
  <c r="B15" i="59"/>
  <c r="B14" i="56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5" i="56"/>
  <c r="B18" i="5" l="1"/>
  <c r="B17" i="68"/>
  <c r="B17" i="65"/>
  <c r="B17" i="64"/>
  <c r="B17" i="61"/>
  <c r="B17" i="60"/>
  <c r="B17" i="57"/>
  <c r="B17" i="53"/>
  <c r="B17" i="59"/>
  <c r="B17" i="62"/>
  <c r="B17" i="63"/>
  <c r="B16" i="56"/>
  <c r="B16" i="32"/>
  <c r="B19" i="5" l="1"/>
  <c r="B18" i="68"/>
  <c r="B18" i="63"/>
  <c r="B18" i="65"/>
  <c r="B18" i="60"/>
  <c r="B18" i="61"/>
  <c r="B18" i="57"/>
  <c r="B18" i="53"/>
  <c r="B18" i="59"/>
  <c r="B18" i="64"/>
  <c r="B18" i="62"/>
  <c r="B18" i="32"/>
  <c r="B17" i="32"/>
  <c r="B17" i="56"/>
  <c r="B20" i="5" l="1"/>
  <c r="B19" i="68"/>
  <c r="B19" i="65"/>
  <c r="B19" i="62"/>
  <c r="B19" i="59"/>
  <c r="B19" i="64"/>
  <c r="B19" i="61"/>
  <c r="B19" i="57"/>
  <c r="B19" i="53"/>
  <c r="B19" i="63"/>
  <c r="B19" i="60"/>
  <c r="B19" i="32"/>
  <c r="B18" i="56"/>
  <c r="B21" i="5" l="1"/>
  <c r="B20" i="68"/>
  <c r="B20" i="65"/>
  <c r="B20" i="64"/>
  <c r="B20" i="62"/>
  <c r="B20" i="63"/>
  <c r="B20" i="59"/>
  <c r="B20" i="60"/>
  <c r="B20" i="61"/>
  <c r="B20" i="57"/>
  <c r="B20" i="53"/>
  <c r="B20" i="32"/>
  <c r="B19" i="56"/>
  <c r="B22" i="5" l="1"/>
  <c r="B21" i="65"/>
  <c r="B21" i="68"/>
  <c r="B21" i="64"/>
  <c r="B21" i="63"/>
  <c r="B21" i="62"/>
  <c r="B21" i="60"/>
  <c r="B21" i="61"/>
  <c r="B21" i="57"/>
  <c r="B21" i="53"/>
  <c r="B21" i="59"/>
  <c r="B21" i="32"/>
  <c r="B20" i="56"/>
  <c r="B23" i="5" l="1"/>
  <c r="B22" i="68"/>
  <c r="B22" i="65"/>
  <c r="B22" i="64"/>
  <c r="B22" i="63"/>
  <c r="B22" i="62"/>
  <c r="B22" i="60"/>
  <c r="B22" i="61"/>
  <c r="B22" i="57"/>
  <c r="B22" i="53"/>
  <c r="B22" i="59"/>
  <c r="B22" i="32"/>
  <c r="B21" i="56"/>
  <c r="B24" i="5" l="1"/>
  <c r="B23" i="68"/>
  <c r="B23" i="65"/>
  <c r="B23" i="63"/>
  <c r="B23" i="62"/>
  <c r="B23" i="61"/>
  <c r="B23" i="64"/>
  <c r="B23" i="60"/>
  <c r="B23" i="57"/>
  <c r="B23" i="53"/>
  <c r="B23" i="59"/>
  <c r="B23" i="32"/>
  <c r="B22" i="56"/>
  <c r="B25" i="5" l="1"/>
  <c r="B24" i="65"/>
  <c r="B24" i="68"/>
  <c r="B24" i="62"/>
  <c r="B24" i="61"/>
  <c r="B24" i="64"/>
  <c r="B24" i="60"/>
  <c r="B24" i="57"/>
  <c r="B24" i="53"/>
  <c r="B24" i="63"/>
  <c r="B24" i="59"/>
  <c r="B24" i="32"/>
  <c r="B23" i="56"/>
  <c r="B26" i="5" l="1"/>
  <c r="B25" i="68"/>
  <c r="B25" i="65"/>
  <c r="B25" i="64"/>
  <c r="B25" i="61"/>
  <c r="B25" i="62"/>
  <c r="B25" i="60"/>
  <c r="B25" i="57"/>
  <c r="B25" i="53"/>
  <c r="B25" i="63"/>
  <c r="B25" i="59"/>
  <c r="B25" i="32"/>
  <c r="B24" i="56"/>
  <c r="B27" i="5" l="1"/>
  <c r="B26" i="65"/>
  <c r="B26" i="63"/>
  <c r="B26" i="68"/>
  <c r="B26" i="60"/>
  <c r="B26" i="57"/>
  <c r="B26" i="53"/>
  <c r="B26" i="59"/>
  <c r="B26" i="61"/>
  <c r="B26" i="64"/>
  <c r="B26" i="62"/>
  <c r="B26" i="32"/>
  <c r="B25" i="56"/>
  <c r="B28" i="5" l="1"/>
  <c r="B27" i="65"/>
  <c r="B27" i="68"/>
  <c r="B27" i="62"/>
  <c r="B27" i="63"/>
  <c r="B27" i="61"/>
  <c r="B27" i="53"/>
  <c r="B27" i="64"/>
  <c r="B27" i="59"/>
  <c r="B27" i="60"/>
  <c r="B27" i="57"/>
  <c r="B27" i="32"/>
  <c r="B26" i="56"/>
  <c r="B29" i="5" l="1"/>
  <c r="B28" i="61"/>
  <c r="B28" i="64"/>
  <c r="B28" i="59"/>
  <c r="B28" i="60"/>
  <c r="B27" i="56"/>
  <c r="B28" i="63" l="1"/>
  <c r="B28" i="65"/>
  <c r="B28" i="53"/>
  <c r="B28" i="57"/>
  <c r="B28" i="68"/>
  <c r="B28" i="62"/>
  <c r="B29" i="68"/>
  <c r="B29" i="61"/>
  <c r="B29" i="57"/>
  <c r="B29" i="53"/>
  <c r="B30" i="5"/>
  <c r="B28" i="32"/>
  <c r="B28" i="56"/>
  <c r="B29" i="64" l="1"/>
  <c r="B29" i="59"/>
  <c r="B29" i="60"/>
  <c r="B29" i="65"/>
  <c r="B29" i="62"/>
  <c r="B29" i="63"/>
  <c r="B30" i="65"/>
  <c r="B30" i="62"/>
  <c r="B30" i="53"/>
  <c r="B31" i="5"/>
  <c r="B29" i="56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N29" i="56"/>
  <c r="B30" i="56"/>
  <c r="B31" i="63" l="1"/>
  <c r="Q29" i="56" s="1"/>
  <c r="B31" i="68"/>
  <c r="T29" i="56" s="1"/>
  <c r="B31" i="64"/>
  <c r="R29" i="56" s="1"/>
  <c r="B31" i="65"/>
  <c r="S29" i="56" s="1"/>
  <c r="B31" i="59"/>
  <c r="M29" i="56" s="1"/>
  <c r="B31" i="53"/>
  <c r="B31" i="57"/>
  <c r="B31" i="61"/>
  <c r="O29" i="56" s="1"/>
  <c r="B31" i="62"/>
  <c r="P29" i="56" s="1"/>
  <c r="O14" i="56"/>
  <c r="O22" i="56"/>
  <c r="P8" i="56"/>
  <c r="P9" i="56"/>
  <c r="P10" i="56"/>
  <c r="P11" i="56"/>
  <c r="P12" i="56"/>
  <c r="P13" i="56"/>
  <c r="P14" i="56"/>
  <c r="P15" i="56"/>
  <c r="P16" i="56"/>
  <c r="P17" i="56"/>
  <c r="P18" i="56"/>
  <c r="P19" i="56"/>
  <c r="P20" i="56"/>
  <c r="P21" i="56"/>
  <c r="P22" i="56"/>
  <c r="P23" i="56"/>
  <c r="P24" i="56"/>
  <c r="P25" i="56"/>
  <c r="P26" i="56"/>
  <c r="P27" i="56"/>
  <c r="P28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Q14" i="56"/>
  <c r="Q15" i="56"/>
  <c r="Q16" i="56"/>
  <c r="Q17" i="56"/>
  <c r="Q18" i="56"/>
  <c r="Q19" i="56"/>
  <c r="Q20" i="56"/>
  <c r="Q21" i="56"/>
  <c r="Q22" i="56"/>
  <c r="Q23" i="56"/>
  <c r="Q24" i="56"/>
  <c r="Q25" i="56"/>
  <c r="Q26" i="56"/>
  <c r="Q27" i="56"/>
  <c r="Q28" i="56"/>
  <c r="M8" i="56"/>
  <c r="M9" i="56"/>
  <c r="M10" i="56"/>
  <c r="M11" i="56"/>
  <c r="M12" i="56"/>
  <c r="M13" i="56"/>
  <c r="M14" i="56"/>
  <c r="M15" i="56"/>
  <c r="M16" i="56"/>
  <c r="M17" i="56"/>
  <c r="M18" i="56"/>
  <c r="M19" i="56"/>
  <c r="M20" i="56"/>
  <c r="M21" i="56"/>
  <c r="M22" i="56"/>
  <c r="M23" i="56"/>
  <c r="M24" i="56"/>
  <c r="M25" i="56"/>
  <c r="M26" i="56"/>
  <c r="M27" i="56"/>
  <c r="M28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R8" i="56"/>
  <c r="R9" i="56"/>
  <c r="R10" i="56"/>
  <c r="R11" i="56"/>
  <c r="R12" i="56"/>
  <c r="R13" i="56"/>
  <c r="R14" i="56"/>
  <c r="R15" i="56"/>
  <c r="R16" i="56"/>
  <c r="R17" i="56"/>
  <c r="R18" i="56"/>
  <c r="R19" i="56"/>
  <c r="R20" i="56"/>
  <c r="R21" i="56"/>
  <c r="R22" i="56"/>
  <c r="R23" i="56"/>
  <c r="R24" i="56"/>
  <c r="R25" i="56"/>
  <c r="R26" i="56"/>
  <c r="R27" i="56"/>
  <c r="R28" i="56"/>
  <c r="S8" i="56"/>
  <c r="S9" i="56"/>
  <c r="S10" i="56"/>
  <c r="S11" i="56"/>
  <c r="S12" i="56"/>
  <c r="S13" i="56"/>
  <c r="S14" i="56"/>
  <c r="S15" i="56"/>
  <c r="S16" i="56"/>
  <c r="S17" i="56"/>
  <c r="S18" i="56"/>
  <c r="S19" i="56"/>
  <c r="S20" i="56"/>
  <c r="S21" i="56"/>
  <c r="S22" i="56"/>
  <c r="S23" i="56"/>
  <c r="S24" i="56"/>
  <c r="S25" i="56"/>
  <c r="S26" i="56"/>
  <c r="S27" i="56"/>
  <c r="S28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T30" i="56"/>
  <c r="S30" i="56"/>
  <c r="R30" i="56"/>
  <c r="Q30" i="56"/>
  <c r="P30" i="56"/>
  <c r="N30" i="56"/>
  <c r="M30" i="56"/>
  <c r="B31" i="56"/>
  <c r="O21" i="56" l="1"/>
  <c r="O13" i="56"/>
  <c r="O28" i="56"/>
  <c r="O20" i="56"/>
  <c r="O12" i="56"/>
  <c r="O30" i="56"/>
  <c r="O27" i="56"/>
  <c r="O19" i="56"/>
  <c r="O11" i="56"/>
  <c r="O26" i="56"/>
  <c r="O18" i="56"/>
  <c r="O10" i="56"/>
  <c r="O25" i="56"/>
  <c r="O17" i="56"/>
  <c r="O9" i="56"/>
  <c r="O24" i="56"/>
  <c r="O16" i="56"/>
  <c r="O8" i="56"/>
  <c r="O23" i="56"/>
  <c r="O15" i="56"/>
  <c r="B32" i="61"/>
  <c r="B32" i="59"/>
  <c r="B32" i="68"/>
  <c r="B32" i="64"/>
  <c r="R31" i="56" s="1"/>
  <c r="B32" i="65"/>
  <c r="B32" i="57"/>
  <c r="B34" i="5"/>
  <c r="B33" i="64"/>
  <c r="B33" i="53"/>
  <c r="B33" i="59"/>
  <c r="T31" i="56"/>
  <c r="S31" i="56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K31" i="56"/>
  <c r="L31" i="56"/>
  <c r="B32" i="56"/>
  <c r="B33" i="57" l="1"/>
  <c r="B33" i="60"/>
  <c r="B33" i="61"/>
  <c r="B33" i="63"/>
  <c r="B33" i="65"/>
  <c r="B33" i="62"/>
  <c r="B33" i="68"/>
  <c r="B34" i="65"/>
  <c r="B34" i="68"/>
  <c r="B34" i="63"/>
  <c r="B34" i="64"/>
  <c r="B34" i="62"/>
  <c r="B34" i="61"/>
  <c r="B33" i="56"/>
  <c r="B33" i="32"/>
  <c r="B34" i="57" l="1"/>
  <c r="B34" i="53"/>
  <c r="B34" i="60"/>
  <c r="B34" i="59"/>
  <c r="B34" i="32"/>
  <c r="B34" i="56"/>
  <c r="B35" i="60" l="1"/>
  <c r="B35" i="65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35" i="56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36" i="56"/>
  <c r="B37" i="63" l="1"/>
  <c r="B38" i="63"/>
  <c r="B38" i="62"/>
  <c r="B38" i="60"/>
  <c r="B38" i="59"/>
  <c r="B38" i="61"/>
  <c r="B38" i="32"/>
  <c r="B37" i="56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38" i="56"/>
  <c r="B40" i="68" l="1"/>
  <c r="B40" i="62"/>
  <c r="B40" i="57"/>
  <c r="B40" i="53"/>
  <c r="B40" i="63"/>
  <c r="B40" i="59"/>
  <c r="B39" i="56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40" i="56"/>
  <c r="B40" i="32"/>
  <c r="B42" i="65" l="1"/>
  <c r="B42" i="57"/>
  <c r="B42" i="53"/>
  <c r="B42" i="64"/>
  <c r="B42" i="32"/>
  <c r="B41" i="56"/>
  <c r="B41" i="32"/>
  <c r="B42" i="63" l="1"/>
  <c r="B42" i="62"/>
  <c r="B42" i="68"/>
  <c r="B42" i="61"/>
  <c r="B42" i="59"/>
  <c r="B42" i="60"/>
  <c r="B43" i="59"/>
  <c r="B43" i="57"/>
  <c r="B42" i="56"/>
  <c r="M41" i="56" l="1"/>
  <c r="B43" i="64"/>
  <c r="R41" i="56" s="1"/>
  <c r="B43" i="63"/>
  <c r="Q41" i="56" s="1"/>
  <c r="B43" i="62"/>
  <c r="P41" i="56" s="1"/>
  <c r="B43" i="60"/>
  <c r="N41" i="56" s="1"/>
  <c r="B43" i="65"/>
  <c r="S41" i="56" s="1"/>
  <c r="B43" i="53"/>
  <c r="B43" i="68"/>
  <c r="T41" i="56" s="1"/>
  <c r="B43" i="61"/>
  <c r="O41" i="56" s="1"/>
  <c r="T35" i="56"/>
  <c r="T36" i="56"/>
  <c r="T37" i="56"/>
  <c r="T38" i="56"/>
  <c r="T39" i="56"/>
  <c r="T40" i="56"/>
  <c r="B44" i="68"/>
  <c r="B44" i="65"/>
  <c r="B44" i="61"/>
  <c r="B44" i="64"/>
  <c r="B44" i="59"/>
  <c r="B44" i="62"/>
  <c r="B44" i="60"/>
  <c r="B44" i="57"/>
  <c r="B44" i="53"/>
  <c r="B44" i="32"/>
  <c r="B44" i="56"/>
  <c r="R35" i="56"/>
  <c r="R36" i="56"/>
  <c r="R37" i="56"/>
  <c r="R38" i="56"/>
  <c r="R39" i="56"/>
  <c r="R40" i="56"/>
  <c r="N35" i="56"/>
  <c r="N36" i="56"/>
  <c r="N37" i="56"/>
  <c r="N38" i="56"/>
  <c r="N39" i="56"/>
  <c r="N40" i="56"/>
  <c r="O35" i="56"/>
  <c r="O36" i="56"/>
  <c r="O37" i="56"/>
  <c r="O38" i="56"/>
  <c r="O39" i="56"/>
  <c r="O40" i="56"/>
  <c r="Q35" i="56"/>
  <c r="Q36" i="56"/>
  <c r="Q37" i="56"/>
  <c r="Q38" i="56"/>
  <c r="Q39" i="56"/>
  <c r="Q40" i="56"/>
  <c r="M35" i="56"/>
  <c r="M36" i="56"/>
  <c r="M37" i="56"/>
  <c r="M38" i="56"/>
  <c r="M39" i="56"/>
  <c r="M40" i="56"/>
  <c r="P35" i="56"/>
  <c r="P36" i="56"/>
  <c r="P37" i="56"/>
  <c r="P38" i="56"/>
  <c r="P39" i="56"/>
  <c r="P40" i="56"/>
  <c r="S35" i="56"/>
  <c r="S36" i="56"/>
  <c r="S37" i="56"/>
  <c r="S38" i="56"/>
  <c r="S39" i="56"/>
  <c r="S40" i="56"/>
  <c r="T42" i="56"/>
  <c r="S42" i="56"/>
  <c r="R42" i="56"/>
  <c r="Q42" i="56"/>
  <c r="P42" i="56"/>
  <c r="O42" i="56"/>
  <c r="N42" i="56"/>
  <c r="M42" i="56"/>
  <c r="B43" i="56"/>
  <c r="B43" i="32"/>
  <c r="B44" i="63" l="1"/>
  <c r="B45" i="64"/>
  <c r="B45" i="62"/>
  <c r="B45" i="60"/>
  <c r="B45" i="57"/>
  <c r="B45" i="56"/>
  <c r="T43" i="56"/>
  <c r="S43" i="56"/>
  <c r="L43" i="56"/>
  <c r="R43" i="56"/>
  <c r="Q43" i="56"/>
  <c r="P43" i="56"/>
  <c r="O43" i="56"/>
  <c r="N43" i="56"/>
  <c r="M43" i="56"/>
  <c r="K42" i="56"/>
  <c r="L35" i="56"/>
  <c r="L36" i="56"/>
  <c r="L37" i="56"/>
  <c r="L38" i="56"/>
  <c r="L39" i="56"/>
  <c r="L40" i="56"/>
  <c r="L41" i="56"/>
  <c r="L42" i="56"/>
  <c r="K43" i="56"/>
  <c r="K41" i="56"/>
  <c r="K40" i="56"/>
  <c r="K39" i="56"/>
  <c r="K38" i="56"/>
  <c r="K37" i="56"/>
  <c r="K36" i="56"/>
  <c r="K35" i="56"/>
  <c r="B45" i="32" l="1"/>
  <c r="B45" i="61"/>
  <c r="B45" i="63"/>
  <c r="B45" i="59"/>
  <c r="B45" i="68"/>
  <c r="B45" i="53"/>
  <c r="B45" i="65"/>
  <c r="B46" i="65"/>
  <c r="B46" i="62"/>
  <c r="B46" i="61"/>
  <c r="B46" i="60"/>
  <c r="B46" i="57"/>
  <c r="B46" i="56"/>
  <c r="B46" i="32"/>
  <c r="B46" i="63" l="1"/>
  <c r="B46" i="64"/>
  <c r="B46" i="59"/>
  <c r="B46" i="53"/>
  <c r="B46" i="68"/>
  <c r="B47" i="68"/>
  <c r="B47" i="60"/>
  <c r="B47" i="57"/>
  <c r="B47" i="59"/>
  <c r="B47" i="32"/>
  <c r="B47" i="61" l="1"/>
  <c r="B47" i="56"/>
  <c r="B47" i="62"/>
  <c r="B47" i="63"/>
  <c r="B47" i="64"/>
  <c r="B47" i="65"/>
  <c r="B47" i="53"/>
  <c r="B48" i="68"/>
  <c r="B48" i="61"/>
  <c r="B48" i="63"/>
  <c r="B48" i="60"/>
  <c r="B48" i="57"/>
  <c r="B48" i="53"/>
  <c r="B48" i="59"/>
  <c r="B48" i="56"/>
  <c r="B48" i="32"/>
  <c r="B48" i="62" l="1"/>
  <c r="B48" i="64"/>
  <c r="B48" i="65"/>
  <c r="D42" i="56"/>
  <c r="D42" i="32"/>
  <c r="H42" i="32"/>
  <c r="H45" i="61"/>
  <c r="I42" i="60"/>
  <c r="D43" i="61"/>
  <c r="G40" i="56"/>
  <c r="H44" i="64"/>
  <c r="I41" i="68"/>
  <c r="F45" i="57"/>
  <c r="F42" i="32"/>
  <c r="H41" i="56"/>
  <c r="G43" i="63"/>
  <c r="C42" i="32"/>
  <c r="D44" i="56"/>
  <c r="F45" i="63"/>
  <c r="I42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42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47" i="56"/>
  <c r="D46" i="59"/>
  <c r="J47" i="61"/>
  <c r="J44" i="60"/>
  <c r="D43" i="63"/>
  <c r="C43" i="64"/>
  <c r="J43" i="56"/>
  <c r="I43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41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48" i="56"/>
  <c r="C48" i="56"/>
  <c r="D48" i="56"/>
  <c r="E48" i="56"/>
  <c r="J48" i="56"/>
  <c r="J48" i="61"/>
  <c r="D48" i="61"/>
  <c r="F48" i="61"/>
  <c r="G48" i="61"/>
  <c r="H48" i="61"/>
  <c r="B49" i="65"/>
  <c r="S48" i="56" s="1"/>
  <c r="B49" i="61"/>
  <c r="B49" i="57"/>
  <c r="B49" i="53"/>
  <c r="B49" i="59"/>
  <c r="M48" i="56" s="1"/>
  <c r="B49" i="63"/>
  <c r="Q48" i="56" s="1"/>
  <c r="G47" i="61"/>
  <c r="B49" i="56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45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42" i="56"/>
  <c r="I43" i="60"/>
  <c r="E44" i="63"/>
  <c r="C41" i="53"/>
  <c r="H46" i="63"/>
  <c r="D47" i="62"/>
  <c r="G41" i="32"/>
  <c r="F43" i="53"/>
  <c r="E41" i="56"/>
  <c r="C45" i="65"/>
  <c r="I41" i="65"/>
  <c r="G42" i="57"/>
  <c r="E45" i="60"/>
  <c r="H44" i="32"/>
  <c r="H46" i="57"/>
  <c r="I47" i="68"/>
  <c r="D44" i="61"/>
  <c r="C41" i="56"/>
  <c r="E45" i="62"/>
  <c r="E42" i="32"/>
  <c r="H41" i="59"/>
  <c r="J44" i="62"/>
  <c r="H44" i="60"/>
  <c r="E42" i="61"/>
  <c r="J45" i="61"/>
  <c r="J42" i="57"/>
  <c r="C41" i="63"/>
  <c r="I43" i="61"/>
  <c r="G43" i="68"/>
  <c r="J41" i="56"/>
  <c r="I45" i="53"/>
  <c r="F41" i="57"/>
  <c r="H41" i="63"/>
  <c r="I41" i="62"/>
  <c r="G42" i="63"/>
  <c r="F46" i="56"/>
  <c r="G47" i="68"/>
  <c r="I47" i="53"/>
  <c r="F43" i="64"/>
  <c r="H43" i="61"/>
  <c r="J44" i="56"/>
  <c r="I45" i="61"/>
  <c r="I44" i="62"/>
  <c r="F41" i="56"/>
  <c r="I45" i="62"/>
  <c r="D46" i="32"/>
  <c r="D40" i="32"/>
  <c r="F43" i="57"/>
  <c r="J45" i="62"/>
  <c r="F43" i="62"/>
  <c r="J42" i="62"/>
  <c r="C43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48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44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44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44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47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47" i="56"/>
  <c r="J46" i="59"/>
  <c r="D47" i="57"/>
  <c r="H43" i="59"/>
  <c r="E43" i="64"/>
  <c r="H45" i="56"/>
  <c r="C43" i="63"/>
  <c r="H42" i="59"/>
  <c r="J44" i="32"/>
  <c r="I43" i="32"/>
  <c r="F45" i="32"/>
  <c r="F44" i="32"/>
  <c r="G43" i="56"/>
  <c r="I45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26" i="56"/>
  <c r="F27" i="57"/>
  <c r="C27" i="53"/>
  <c r="I27" i="62"/>
  <c r="E27" i="62"/>
  <c r="C27" i="32"/>
  <c r="G27" i="59"/>
  <c r="J27" i="32"/>
  <c r="C27" i="61"/>
  <c r="H27" i="53"/>
  <c r="D27" i="62"/>
  <c r="J27" i="57"/>
  <c r="E26" i="56"/>
  <c r="D26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C8" i="56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26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26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I10" i="62"/>
  <c r="D8" i="57"/>
  <c r="D27" i="64"/>
  <c r="D27" i="53"/>
  <c r="G27" i="62"/>
  <c r="F9" i="60"/>
  <c r="J28" i="59"/>
  <c r="G8" i="56"/>
  <c r="F28" i="65"/>
  <c r="H28" i="53"/>
  <c r="F27" i="60"/>
  <c r="F27" i="63"/>
  <c r="H8" i="60"/>
  <c r="H28" i="63"/>
  <c r="J27" i="65"/>
  <c r="I8" i="61"/>
  <c r="G27" i="57"/>
  <c r="H27" i="60"/>
  <c r="G9" i="56"/>
  <c r="C28" i="61"/>
  <c r="C28" i="59"/>
  <c r="J27" i="59"/>
  <c r="G26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G14" i="56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0" i="56"/>
  <c r="C17" i="62"/>
  <c r="E25" i="64"/>
  <c r="H17" i="32"/>
  <c r="E16" i="56"/>
  <c r="I9" i="56"/>
  <c r="J15" i="61"/>
  <c r="F25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G20" i="56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G19" i="56"/>
  <c r="H21" i="68"/>
  <c r="J22" i="60"/>
  <c r="H18" i="53"/>
  <c r="C22" i="53"/>
  <c r="H16" i="56"/>
  <c r="G21" i="63"/>
  <c r="F20" i="61"/>
  <c r="H17" i="61"/>
  <c r="J17" i="56"/>
  <c r="F9" i="53"/>
  <c r="H20" i="53"/>
  <c r="H9" i="62"/>
  <c r="G21" i="60"/>
  <c r="H22" i="68"/>
  <c r="F22" i="68"/>
  <c r="F14" i="59"/>
  <c r="G22" i="65"/>
  <c r="H24" i="56"/>
  <c r="G9" i="32"/>
  <c r="E11" i="64"/>
  <c r="I28" i="60"/>
  <c r="E10" i="60"/>
  <c r="G13" i="53"/>
  <c r="E10" i="65"/>
  <c r="F8" i="60"/>
  <c r="G19" i="59"/>
  <c r="H8" i="64"/>
  <c r="J11" i="65"/>
  <c r="G11" i="63"/>
  <c r="F10" i="56"/>
  <c r="E13" i="56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D11" i="56"/>
  <c r="H20" i="65"/>
  <c r="E18" i="56"/>
  <c r="C19" i="64"/>
  <c r="G25" i="64"/>
  <c r="J19" i="53"/>
  <c r="C24" i="57"/>
  <c r="F20" i="63"/>
  <c r="J27" i="56"/>
  <c r="C28" i="60"/>
  <c r="G15" i="56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D10" i="62"/>
  <c r="H26" i="64"/>
  <c r="G29" i="57"/>
  <c r="D9" i="59"/>
  <c r="F11" i="57"/>
  <c r="F26" i="57"/>
  <c r="I9" i="32"/>
  <c r="J11" i="56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I21" i="56"/>
  <c r="D8" i="59"/>
  <c r="F12" i="59"/>
  <c r="C27" i="57"/>
  <c r="C15" i="68"/>
  <c r="J16" i="61"/>
  <c r="I15" i="61"/>
  <c r="J14" i="32"/>
  <c r="H15" i="32"/>
  <c r="C22" i="57"/>
  <c r="H25" i="59"/>
  <c r="J16" i="57"/>
  <c r="J24" i="32"/>
  <c r="C18" i="56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22" i="56"/>
  <c r="D22" i="63"/>
  <c r="D21" i="64"/>
  <c r="G17" i="65"/>
  <c r="D10" i="56"/>
  <c r="D17" i="56"/>
  <c r="D18" i="64"/>
  <c r="I20" i="32"/>
  <c r="D18" i="63"/>
  <c r="D15" i="64"/>
  <c r="F26" i="60"/>
  <c r="G21" i="57"/>
  <c r="D23" i="68"/>
  <c r="E26" i="62"/>
  <c r="G26" i="64"/>
  <c r="E27" i="56"/>
  <c r="F9" i="57"/>
  <c r="E26" i="53"/>
  <c r="D22" i="62"/>
  <c r="G13" i="68"/>
  <c r="H19" i="68"/>
  <c r="C10" i="61"/>
  <c r="I20" i="59"/>
  <c r="H19" i="63"/>
  <c r="J12" i="56"/>
  <c r="C21" i="62"/>
  <c r="C20" i="60"/>
  <c r="J21" i="57"/>
  <c r="G13" i="63"/>
  <c r="C21" i="63"/>
  <c r="C24" i="56"/>
  <c r="C15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H11" i="56"/>
  <c r="J26" i="68"/>
  <c r="F13" i="53"/>
  <c r="F28" i="32"/>
  <c r="D17" i="59"/>
  <c r="I15" i="68"/>
  <c r="G11" i="68"/>
  <c r="J14" i="57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25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J16" i="56"/>
  <c r="E11" i="56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23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D21" i="56"/>
  <c r="H25" i="60"/>
  <c r="J21" i="63"/>
  <c r="G15" i="60"/>
  <c r="J26" i="61"/>
  <c r="J20" i="53"/>
  <c r="C21" i="56"/>
  <c r="D23" i="60"/>
  <c r="D24" i="63"/>
  <c r="H26" i="53"/>
  <c r="H24" i="61"/>
  <c r="F24" i="57"/>
  <c r="E22" i="63"/>
  <c r="G22" i="63"/>
  <c r="C18" i="59"/>
  <c r="E17" i="60"/>
  <c r="D23" i="56"/>
  <c r="J13" i="64"/>
  <c r="F26" i="59"/>
  <c r="J24" i="59"/>
  <c r="F28" i="57"/>
  <c r="G18" i="59"/>
  <c r="F11" i="56"/>
  <c r="J14" i="56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E10" i="56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I13" i="56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H20" i="56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24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F10" i="62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25" i="56"/>
  <c r="J28" i="65"/>
  <c r="C14" i="61"/>
  <c r="E12" i="59"/>
  <c r="E26" i="60"/>
  <c r="J16" i="68"/>
  <c r="E19" i="63"/>
  <c r="G10" i="57"/>
  <c r="E14" i="64"/>
  <c r="H17" i="59"/>
  <c r="H9" i="56"/>
  <c r="F19" i="53"/>
  <c r="I11" i="68"/>
  <c r="J17" i="64"/>
  <c r="G29" i="61"/>
  <c r="H23" i="56"/>
  <c r="H15" i="68"/>
  <c r="I26" i="56"/>
  <c r="H13" i="59"/>
  <c r="C28" i="32"/>
  <c r="I14" i="68"/>
  <c r="H13" i="60"/>
  <c r="G24" i="32"/>
  <c r="G10" i="59"/>
  <c r="F8" i="65"/>
  <c r="I14" i="60"/>
  <c r="H10" i="56"/>
  <c r="H26" i="56"/>
  <c r="D22" i="32"/>
  <c r="F28" i="56"/>
  <c r="D19" i="62"/>
  <c r="F16" i="63"/>
  <c r="G17" i="62"/>
  <c r="G16" i="68"/>
  <c r="G10" i="53"/>
  <c r="H10" i="62"/>
  <c r="G18" i="63"/>
  <c r="I12" i="63"/>
  <c r="F22" i="57"/>
  <c r="G9" i="53"/>
  <c r="I18" i="64"/>
  <c r="J22" i="64"/>
  <c r="E9" i="56"/>
  <c r="I17" i="63"/>
  <c r="I16" i="63"/>
  <c r="I8" i="65"/>
  <c r="F8" i="57"/>
  <c r="D10" i="64"/>
  <c r="E29" i="57"/>
  <c r="G10" i="62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C13" i="56"/>
  <c r="D17" i="65"/>
  <c r="E15" i="57"/>
  <c r="J21" i="56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G11" i="56"/>
  <c r="F29" i="68"/>
  <c r="D28" i="53"/>
  <c r="G14" i="65"/>
  <c r="J14" i="61"/>
  <c r="E13" i="62"/>
  <c r="G15" i="57"/>
  <c r="F20" i="64"/>
  <c r="J9" i="57"/>
  <c r="E24" i="62"/>
  <c r="C20" i="63"/>
  <c r="G24" i="56"/>
  <c r="G17" i="59"/>
  <c r="C8" i="68"/>
  <c r="I10" i="53"/>
  <c r="C11" i="62"/>
  <c r="H24" i="60"/>
  <c r="H8" i="56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I8" i="56"/>
  <c r="E13" i="63"/>
  <c r="G16" i="53"/>
  <c r="F12" i="62"/>
  <c r="G21" i="61"/>
  <c r="D12" i="56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0" i="56"/>
  <c r="J12" i="53"/>
  <c r="I11" i="57"/>
  <c r="D11" i="60"/>
  <c r="G24" i="68"/>
  <c r="E15" i="62"/>
  <c r="C20" i="56"/>
  <c r="C20" i="32"/>
  <c r="D19" i="53"/>
  <c r="G25" i="56"/>
  <c r="I22" i="63"/>
  <c r="F23" i="61"/>
  <c r="C20" i="59"/>
  <c r="I26" i="32"/>
  <c r="I17" i="56"/>
  <c r="G12" i="57"/>
  <c r="C20" i="53"/>
  <c r="I20" i="57"/>
  <c r="J26" i="53"/>
  <c r="C13" i="62"/>
  <c r="I10" i="56"/>
  <c r="G14" i="57"/>
  <c r="D12" i="61"/>
  <c r="H15" i="61"/>
  <c r="H19" i="56"/>
  <c r="H14" i="56"/>
  <c r="G12" i="60"/>
  <c r="F19" i="62"/>
  <c r="I13" i="59"/>
  <c r="F13" i="59"/>
  <c r="H27" i="62"/>
  <c r="H12" i="59"/>
  <c r="E8" i="56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I11" i="56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F14" i="56"/>
  <c r="I10" i="32"/>
  <c r="J25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C9" i="56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I16" i="56"/>
  <c r="G12" i="68"/>
  <c r="D11" i="61"/>
  <c r="H12" i="61"/>
  <c r="H10" i="57"/>
  <c r="J23" i="56"/>
  <c r="C14" i="63"/>
  <c r="E25" i="68"/>
  <c r="E28" i="57"/>
  <c r="G16" i="65"/>
  <c r="D12" i="59"/>
  <c r="H11" i="60"/>
  <c r="J8" i="57"/>
  <c r="G19" i="57"/>
  <c r="D26" i="68"/>
  <c r="C25" i="32"/>
  <c r="G16" i="56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C10" i="62"/>
  <c r="H12" i="53"/>
  <c r="E10" i="68"/>
  <c r="F16" i="60"/>
  <c r="D13" i="63"/>
  <c r="D18" i="62"/>
  <c r="I14" i="57"/>
  <c r="J10" i="53"/>
  <c r="H16" i="65"/>
  <c r="D10" i="65"/>
  <c r="E16" i="59"/>
  <c r="J26" i="62"/>
  <c r="G20" i="59"/>
  <c r="F12" i="56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F8" i="56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H12" i="56"/>
  <c r="D12" i="53"/>
  <c r="F20" i="59"/>
  <c r="H12" i="60"/>
  <c r="F24" i="59"/>
  <c r="G15" i="62"/>
  <c r="I24" i="32"/>
  <c r="G23" i="64"/>
  <c r="C16" i="56"/>
  <c r="C11" i="56"/>
  <c r="H18" i="64"/>
  <c r="C9" i="61"/>
  <c r="D16" i="68"/>
  <c r="D16" i="60"/>
  <c r="I19" i="53"/>
  <c r="J14" i="63"/>
  <c r="F24" i="63"/>
  <c r="I27" i="56"/>
  <c r="D14" i="56"/>
  <c r="E23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J19" i="56"/>
  <c r="G19" i="68"/>
  <c r="I21" i="63"/>
  <c r="I15" i="56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D9" i="56"/>
  <c r="C26" i="64"/>
  <c r="J26" i="57"/>
  <c r="E15" i="59"/>
  <c r="E21" i="63"/>
  <c r="E20" i="60"/>
  <c r="J13" i="56"/>
  <c r="J13" i="61"/>
  <c r="I23" i="53"/>
  <c r="E14" i="57"/>
  <c r="J8" i="60"/>
  <c r="C18" i="64"/>
  <c r="E24" i="56"/>
  <c r="G12" i="65"/>
  <c r="D21" i="59"/>
  <c r="H11" i="65"/>
  <c r="H26" i="59"/>
  <c r="D26" i="64"/>
  <c r="D19" i="61"/>
  <c r="F24" i="62"/>
  <c r="H12" i="57"/>
  <c r="C15" i="65"/>
  <c r="I13" i="65"/>
  <c r="D25" i="56"/>
  <c r="D14" i="68"/>
  <c r="C19" i="60"/>
  <c r="F24" i="68"/>
  <c r="F19" i="61"/>
  <c r="C18" i="60"/>
  <c r="F17" i="60"/>
  <c r="G16" i="61"/>
  <c r="J8" i="56"/>
  <c r="I29" i="63"/>
  <c r="D23" i="61"/>
  <c r="J15" i="57"/>
  <c r="H23" i="32"/>
  <c r="F12" i="68"/>
  <c r="J18" i="60"/>
  <c r="E23" i="68"/>
  <c r="E24" i="53"/>
  <c r="D13" i="60"/>
  <c r="J20" i="60"/>
  <c r="I20" i="56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E17" i="56"/>
  <c r="C25" i="63"/>
  <c r="H25" i="53"/>
  <c r="I15" i="32"/>
  <c r="J20" i="64"/>
  <c r="F18" i="63"/>
  <c r="G24" i="57"/>
  <c r="H20" i="63"/>
  <c r="I24" i="60"/>
  <c r="G18" i="64"/>
  <c r="E20" i="56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I14" i="56"/>
  <c r="J9" i="56"/>
  <c r="C12" i="68"/>
  <c r="D27" i="57"/>
  <c r="E16" i="32"/>
  <c r="D19" i="65"/>
  <c r="C18" i="68"/>
  <c r="F19" i="60"/>
  <c r="F24" i="53"/>
  <c r="G18" i="53"/>
  <c r="E20" i="64"/>
  <c r="C19" i="32"/>
  <c r="E25" i="65"/>
  <c r="G23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D8" i="56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H13" i="56"/>
  <c r="D24" i="60"/>
  <c r="I18" i="56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18" i="56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E19" i="56"/>
  <c r="D12" i="68"/>
  <c r="F16" i="65"/>
  <c r="G13" i="65"/>
  <c r="G13" i="32"/>
  <c r="F10" i="61"/>
  <c r="F23" i="56"/>
  <c r="H19" i="59"/>
  <c r="F21" i="56"/>
  <c r="E15" i="56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24" i="56"/>
  <c r="C8" i="53"/>
  <c r="F18" i="64"/>
  <c r="I23" i="60"/>
  <c r="H18" i="56"/>
  <c r="E21" i="65"/>
  <c r="H15" i="57"/>
  <c r="H19" i="57"/>
  <c r="I20" i="64"/>
  <c r="F15" i="64"/>
  <c r="D11" i="57"/>
  <c r="J15" i="56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13" i="56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27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D16" i="56"/>
  <c r="H29" i="65"/>
  <c r="J18" i="65"/>
  <c r="D16" i="57"/>
  <c r="D15" i="62"/>
  <c r="F10" i="32"/>
  <c r="E20" i="61"/>
  <c r="H22" i="56"/>
  <c r="G17" i="53"/>
  <c r="I12" i="62"/>
  <c r="E22" i="60"/>
  <c r="C17" i="68"/>
  <c r="H18" i="63"/>
  <c r="C24" i="68"/>
  <c r="C21" i="53"/>
  <c r="G17" i="56"/>
  <c r="H20" i="60"/>
  <c r="D18" i="56"/>
  <c r="J12" i="65"/>
  <c r="G11" i="65"/>
  <c r="D18" i="60"/>
  <c r="G24" i="61"/>
  <c r="C24" i="59"/>
  <c r="G14" i="32"/>
  <c r="F11" i="60"/>
  <c r="D20" i="56"/>
  <c r="C10" i="64"/>
  <c r="H28" i="56"/>
  <c r="J26" i="65"/>
  <c r="G11" i="32"/>
  <c r="H18" i="62"/>
  <c r="H21" i="56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E21" i="56"/>
  <c r="H20" i="61"/>
  <c r="G23" i="62"/>
  <c r="I23" i="62"/>
  <c r="H28" i="32"/>
  <c r="J24" i="65"/>
  <c r="F17" i="59"/>
  <c r="J29" i="61"/>
  <c r="F21" i="57"/>
  <c r="F20" i="56"/>
  <c r="H24" i="57"/>
  <c r="J13" i="59"/>
  <c r="H9" i="60"/>
  <c r="G18" i="56"/>
  <c r="G15" i="32"/>
  <c r="J25" i="57"/>
  <c r="F21" i="53"/>
  <c r="C26" i="68"/>
  <c r="D13" i="56"/>
  <c r="E19" i="57"/>
  <c r="F23" i="32"/>
  <c r="F26" i="53"/>
  <c r="E8" i="62"/>
  <c r="J18" i="68"/>
  <c r="H20" i="32"/>
  <c r="G15" i="53"/>
  <c r="D12" i="65"/>
  <c r="H22" i="57"/>
  <c r="E23" i="57"/>
  <c r="H25" i="68"/>
  <c r="H17" i="56"/>
  <c r="D12" i="57"/>
  <c r="H13" i="63"/>
  <c r="I21" i="62"/>
  <c r="G13" i="60"/>
  <c r="J14" i="59"/>
  <c r="C12" i="63"/>
  <c r="I16" i="68"/>
  <c r="G10" i="56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E28" i="56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24" i="56"/>
  <c r="C17" i="32"/>
  <c r="F13" i="56"/>
  <c r="C14" i="56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G12" i="56"/>
  <c r="D25" i="53"/>
  <c r="F19" i="68"/>
  <c r="H22" i="63"/>
  <c r="F12" i="65"/>
  <c r="C22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E10" i="62"/>
  <c r="C16" i="57"/>
  <c r="J21" i="64"/>
  <c r="F11" i="65"/>
  <c r="E25" i="60"/>
  <c r="F25" i="63"/>
  <c r="F16" i="56"/>
  <c r="E22" i="32"/>
  <c r="C14" i="59"/>
  <c r="J16" i="63"/>
  <c r="G19" i="63"/>
  <c r="D18" i="53"/>
  <c r="G16" i="57"/>
  <c r="D19" i="56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F9" i="56"/>
  <c r="I22" i="57"/>
  <c r="C11" i="64"/>
  <c r="G27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F15" i="56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0" i="56"/>
  <c r="J28" i="60"/>
  <c r="I16" i="65"/>
  <c r="C12" i="56"/>
  <c r="J10" i="62"/>
  <c r="J10" i="64"/>
  <c r="H14" i="62"/>
  <c r="F12" i="64"/>
  <c r="G9" i="65"/>
  <c r="I24" i="57"/>
  <c r="D15" i="56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22" i="56"/>
  <c r="D18" i="61"/>
  <c r="C24" i="65"/>
  <c r="H19" i="62"/>
  <c r="C19" i="57"/>
  <c r="E23" i="53"/>
  <c r="I29" i="60"/>
  <c r="J22" i="68"/>
  <c r="C17" i="56"/>
  <c r="E19" i="65"/>
  <c r="G22" i="32"/>
  <c r="F23" i="68"/>
  <c r="I21" i="57"/>
  <c r="J8" i="32"/>
  <c r="H23" i="63"/>
  <c r="H21" i="32"/>
  <c r="E20" i="32"/>
  <c r="C8" i="64"/>
  <c r="C17" i="61"/>
  <c r="E20" i="62"/>
  <c r="F27" i="56"/>
  <c r="G23" i="59"/>
  <c r="G22" i="59"/>
  <c r="G21" i="56"/>
  <c r="E14" i="63"/>
  <c r="H20" i="64"/>
  <c r="C23" i="57"/>
  <c r="J26" i="63"/>
  <c r="H25" i="63"/>
  <c r="J25" i="65"/>
  <c r="E22" i="68"/>
  <c r="F18" i="60"/>
  <c r="E16" i="61"/>
  <c r="H14" i="68"/>
  <c r="J24" i="62"/>
  <c r="I19" i="56"/>
  <c r="I23" i="64"/>
  <c r="D23" i="62"/>
  <c r="E16" i="63"/>
  <c r="H20" i="57"/>
  <c r="J25" i="60"/>
  <c r="C26" i="59"/>
  <c r="J21" i="68"/>
  <c r="E14" i="56"/>
  <c r="D23" i="65"/>
  <c r="J16" i="32"/>
  <c r="D22" i="56"/>
  <c r="E17" i="63"/>
  <c r="E26" i="59"/>
  <c r="F14" i="32"/>
  <c r="E12" i="62"/>
  <c r="C21" i="61"/>
  <c r="E22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23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E29" i="56"/>
  <c r="J20" i="63"/>
  <c r="H25" i="65"/>
  <c r="I25" i="62"/>
  <c r="F17" i="68"/>
  <c r="C24" i="63"/>
  <c r="H27" i="56"/>
  <c r="G21" i="65"/>
  <c r="I28" i="32"/>
  <c r="E26" i="32"/>
  <c r="G28" i="56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I12" i="56"/>
  <c r="J29" i="62"/>
  <c r="E17" i="57"/>
  <c r="C29" i="68"/>
  <c r="G25" i="62"/>
  <c r="J18" i="57"/>
  <c r="J16" i="59"/>
  <c r="G20" i="62"/>
  <c r="F15" i="59"/>
  <c r="F21" i="32"/>
  <c r="I28" i="56"/>
  <c r="J18" i="56"/>
  <c r="F29" i="61"/>
  <c r="G29" i="53"/>
  <c r="C28" i="56"/>
  <c r="J28" i="56"/>
  <c r="G25" i="68"/>
  <c r="C19" i="56"/>
  <c r="I21" i="32"/>
  <c r="D20" i="63"/>
  <c r="E21" i="57"/>
  <c r="C25" i="68"/>
  <c r="I17" i="59"/>
  <c r="D28" i="56"/>
  <c r="I29" i="56"/>
  <c r="E19" i="68"/>
  <c r="D29" i="61"/>
  <c r="E21" i="68"/>
  <c r="G26" i="53"/>
  <c r="H27" i="59"/>
  <c r="E12" i="56"/>
  <c r="F18" i="57"/>
  <c r="J18" i="53"/>
  <c r="C29" i="57"/>
  <c r="F29" i="57"/>
  <c r="D29" i="62"/>
  <c r="F26" i="64"/>
  <c r="F23" i="57"/>
  <c r="H15" i="56"/>
  <c r="J29" i="59"/>
  <c r="D29" i="56"/>
  <c r="D29" i="59"/>
  <c r="C25" i="59"/>
  <c r="C16" i="64"/>
  <c r="G19" i="62"/>
  <c r="J19" i="32"/>
  <c r="J18" i="59"/>
  <c r="I20" i="63"/>
  <c r="H24" i="64"/>
  <c r="H25" i="56"/>
  <c r="I18" i="60"/>
  <c r="H24" i="63"/>
  <c r="G22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F17" i="56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22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24" i="56"/>
  <c r="I29" i="53"/>
  <c r="F29" i="62"/>
  <c r="D27" i="56"/>
  <c r="H14" i="57"/>
  <c r="D15" i="53"/>
  <c r="J20" i="57"/>
  <c r="G15" i="59"/>
  <c r="E12" i="32"/>
  <c r="I8" i="32"/>
  <c r="F19" i="56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25" i="56"/>
  <c r="F24" i="32"/>
  <c r="G29" i="56"/>
  <c r="C25" i="60"/>
  <c r="G24" i="64"/>
  <c r="H25" i="57"/>
  <c r="G26" i="63"/>
  <c r="E23" i="59"/>
  <c r="H18" i="60"/>
  <c r="E23" i="62"/>
  <c r="D29" i="32"/>
  <c r="C29" i="56"/>
  <c r="I29" i="32"/>
  <c r="E29" i="32"/>
  <c r="H29" i="56"/>
  <c r="C29" i="32"/>
  <c r="J29" i="56"/>
  <c r="G29" i="32"/>
  <c r="F29" i="56"/>
  <c r="E39" i="57"/>
  <c r="D38" i="32"/>
  <c r="I39" i="57"/>
  <c r="D38" i="57"/>
  <c r="F33" i="62"/>
  <c r="E39" i="60"/>
  <c r="F38" i="57"/>
  <c r="C39" i="63"/>
  <c r="E39" i="68"/>
  <c r="E39" i="64"/>
  <c r="E37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37" i="56"/>
  <c r="C38" i="68"/>
  <c r="C38" i="63"/>
  <c r="D39" i="59"/>
  <c r="J38" i="64"/>
  <c r="D30" i="63"/>
  <c r="I39" i="61"/>
  <c r="D30" i="62"/>
  <c r="H37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38" i="56"/>
  <c r="J30" i="57"/>
  <c r="J32" i="65"/>
  <c r="G30" i="56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36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30" i="56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37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31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34" i="56"/>
  <c r="C38" i="61"/>
  <c r="C36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31" i="56"/>
  <c r="G37" i="53"/>
  <c r="H37" i="32"/>
  <c r="D31" i="64"/>
  <c r="D30" i="56"/>
  <c r="F30" i="65"/>
  <c r="C30" i="63"/>
  <c r="I30" i="61"/>
  <c r="D32" i="60"/>
  <c r="J31" i="62"/>
  <c r="I38" i="56"/>
  <c r="F35" i="65"/>
  <c r="C37" i="64"/>
  <c r="G35" i="57"/>
  <c r="E32" i="61"/>
  <c r="C31" i="65"/>
  <c r="J31" i="68"/>
  <c r="E37" i="65"/>
  <c r="H38" i="64"/>
  <c r="E35" i="59"/>
  <c r="F35" i="57"/>
  <c r="H33" i="56"/>
  <c r="D40" i="59"/>
  <c r="D36" i="65"/>
  <c r="J30" i="63"/>
  <c r="J37" i="65"/>
  <c r="E35" i="63"/>
  <c r="C36" i="53"/>
  <c r="F33" i="32"/>
  <c r="H34" i="61"/>
  <c r="E33" i="56"/>
  <c r="I31" i="57"/>
  <c r="F33" i="68"/>
  <c r="E30" i="68"/>
  <c r="F37" i="32"/>
  <c r="D36" i="60"/>
  <c r="C30" i="64"/>
  <c r="F30" i="63"/>
  <c r="C32" i="56"/>
  <c r="C36" i="60"/>
  <c r="C36" i="32"/>
  <c r="D32" i="61"/>
  <c r="H39" i="65"/>
  <c r="J39" i="68"/>
  <c r="F39" i="53"/>
  <c r="E33" i="62"/>
  <c r="G34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32" i="56"/>
  <c r="F36" i="64"/>
  <c r="G30" i="64"/>
  <c r="J34" i="56"/>
  <c r="J33" i="60"/>
  <c r="G34" i="53"/>
  <c r="G31" i="63"/>
  <c r="F30" i="32"/>
  <c r="G38" i="56"/>
  <c r="G35" i="60"/>
  <c r="G32" i="56"/>
  <c r="G31" i="32"/>
  <c r="I31" i="56"/>
  <c r="G34" i="60"/>
  <c r="C35" i="56"/>
  <c r="E33" i="68"/>
  <c r="J30" i="62"/>
  <c r="C35" i="60"/>
  <c r="H33" i="64"/>
  <c r="G37" i="60"/>
  <c r="E33" i="59"/>
  <c r="D38" i="53"/>
  <c r="H35" i="56"/>
  <c r="D33" i="68"/>
  <c r="F36" i="53"/>
  <c r="C37" i="56"/>
  <c r="H37" i="63"/>
  <c r="C34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37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36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34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E30" i="56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35" i="56"/>
  <c r="D35" i="32"/>
  <c r="I38" i="64"/>
  <c r="D35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38" i="56"/>
  <c r="I31" i="62"/>
  <c r="D35" i="68"/>
  <c r="G35" i="59"/>
  <c r="F31" i="59"/>
  <c r="H38" i="59"/>
  <c r="G33" i="61"/>
  <c r="H36" i="53"/>
  <c r="J30" i="56"/>
  <c r="I32" i="68"/>
  <c r="H34" i="60"/>
  <c r="J36" i="60"/>
  <c r="J32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36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39" i="56"/>
  <c r="H31" i="56"/>
  <c r="C33" i="62"/>
  <c r="I32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34" i="56"/>
  <c r="E40" i="57"/>
  <c r="F31" i="56"/>
  <c r="J31" i="59"/>
  <c r="F35" i="32"/>
  <c r="E33" i="65"/>
  <c r="I40" i="57"/>
  <c r="G33" i="62"/>
  <c r="H36" i="56"/>
  <c r="F33" i="53"/>
  <c r="C39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39" i="56"/>
  <c r="J31" i="60"/>
  <c r="E32" i="68"/>
  <c r="I37" i="57"/>
  <c r="C38" i="64"/>
  <c r="J35" i="60"/>
  <c r="G37" i="61"/>
  <c r="C35" i="64"/>
  <c r="J31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H30" i="56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38" i="56"/>
  <c r="F31" i="61"/>
  <c r="D31" i="65"/>
  <c r="J36" i="63"/>
  <c r="I38" i="60"/>
  <c r="C39" i="59"/>
  <c r="E36" i="61"/>
  <c r="H38" i="56"/>
  <c r="H36" i="60"/>
  <c r="H36" i="32"/>
  <c r="H31" i="63"/>
  <c r="C40" i="53"/>
  <c r="D40" i="65"/>
  <c r="D36" i="62"/>
  <c r="C37" i="53"/>
  <c r="C36" i="62"/>
  <c r="E34" i="53"/>
  <c r="G35" i="68"/>
  <c r="I32" i="63"/>
  <c r="D33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33" i="56"/>
  <c r="J34" i="57"/>
  <c r="C31" i="53"/>
  <c r="I40" i="68"/>
  <c r="G38" i="68"/>
  <c r="F31" i="57"/>
  <c r="E40" i="53"/>
  <c r="I37" i="63"/>
  <c r="G36" i="57"/>
  <c r="D34" i="64"/>
  <c r="C37" i="59"/>
  <c r="J32" i="53"/>
  <c r="J35" i="56"/>
  <c r="I31" i="53"/>
  <c r="H32" i="59"/>
  <c r="E36" i="64"/>
  <c r="J40" i="64"/>
  <c r="E32" i="62"/>
  <c r="C33" i="63"/>
  <c r="E32" i="56"/>
  <c r="D33" i="63"/>
  <c r="J36" i="62"/>
  <c r="D36" i="32"/>
  <c r="J33" i="57"/>
  <c r="H37" i="62"/>
  <c r="H40" i="64"/>
  <c r="F36" i="57"/>
  <c r="D37" i="53"/>
  <c r="D37" i="56"/>
  <c r="F32" i="59"/>
  <c r="J30" i="68"/>
  <c r="F32" i="53"/>
  <c r="E35" i="56"/>
  <c r="E36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36" i="56"/>
  <c r="G32" i="32"/>
  <c r="C33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34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F30" i="56"/>
  <c r="J36" i="59"/>
  <c r="I37" i="68"/>
  <c r="F40" i="56"/>
  <c r="E32" i="63"/>
  <c r="H35" i="60"/>
  <c r="J34" i="65"/>
  <c r="I35" i="56"/>
  <c r="E35" i="53"/>
  <c r="E34" i="32"/>
  <c r="D32" i="56"/>
  <c r="H39" i="53"/>
  <c r="E37" i="53"/>
  <c r="I30" i="56"/>
  <c r="F30" i="62"/>
  <c r="D35" i="59"/>
  <c r="C39" i="60"/>
  <c r="H32" i="56"/>
  <c r="G40" i="32"/>
  <c r="C38" i="62"/>
  <c r="H33" i="65"/>
  <c r="J32" i="61"/>
  <c r="J37" i="60"/>
  <c r="C34" i="63"/>
  <c r="C40" i="57"/>
  <c r="D36" i="68"/>
  <c r="G30" i="60"/>
  <c r="I33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38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33" i="56"/>
  <c r="I33" i="59"/>
  <c r="J33" i="61"/>
  <c r="D31" i="56"/>
  <c r="G33" i="59"/>
  <c r="E40" i="63"/>
  <c r="I37" i="61"/>
  <c r="F35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40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46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39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46" i="56"/>
  <c r="F46" i="60"/>
  <c r="J47" i="53"/>
  <c r="D40" i="56"/>
  <c r="H39" i="56"/>
  <c r="I36" i="64"/>
  <c r="J39" i="56"/>
  <c r="E35" i="32"/>
  <c r="H40" i="56"/>
  <c r="I33" i="53"/>
  <c r="F41" i="60"/>
  <c r="C43" i="60"/>
  <c r="I41" i="53"/>
  <c r="G39" i="56"/>
  <c r="J44" i="63"/>
  <c r="E43" i="61"/>
  <c r="J32" i="64"/>
  <c r="D31" i="53"/>
  <c r="J31" i="61"/>
  <c r="J32" i="62"/>
  <c r="F36" i="56"/>
  <c r="I35" i="57"/>
  <c r="D40" i="62"/>
  <c r="J40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46" i="56"/>
  <c r="F46" i="68"/>
  <c r="I47" i="56"/>
  <c r="C47" i="63"/>
  <c r="I46" i="62"/>
  <c r="F47" i="68"/>
  <c r="F46" i="63"/>
  <c r="G47" i="53"/>
  <c r="G46" i="61"/>
  <c r="G46" i="62"/>
  <c r="F46" i="65"/>
  <c r="I46" i="68"/>
  <c r="I42" i="53"/>
  <c r="F44" i="57"/>
  <c r="G46" i="56"/>
  <c r="C47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31" i="56"/>
  <c r="I35" i="32"/>
  <c r="I46" i="64"/>
  <c r="H47" i="53"/>
  <c r="G46" i="60"/>
  <c r="F47" i="57"/>
  <c r="G46" i="32"/>
  <c r="C47" i="68"/>
  <c r="D47" i="65"/>
  <c r="D47" i="53"/>
  <c r="I42" i="65"/>
  <c r="D47" i="32"/>
  <c r="G47" i="56"/>
  <c r="J47" i="63"/>
  <c r="H47" i="68"/>
  <c r="I47" i="64"/>
  <c r="I46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40" i="56"/>
  <c r="J40" i="32"/>
  <c r="D33" i="60"/>
  <c r="I47" i="62"/>
  <c r="J46" i="57"/>
  <c r="E47" i="63"/>
  <c r="D46" i="61"/>
  <c r="H47" i="59"/>
  <c r="E46" i="60"/>
  <c r="C47" i="64"/>
  <c r="D46" i="56"/>
  <c r="I46" i="59"/>
  <c r="C46" i="57"/>
  <c r="H47" i="57"/>
  <c r="H46" i="61"/>
  <c r="G42" i="68"/>
  <c r="E46" i="63"/>
  <c r="D46" i="68"/>
  <c r="C46" i="64"/>
  <c r="C47" i="57"/>
  <c r="F42" i="56"/>
  <c r="H40" i="57"/>
  <c r="D47" i="61"/>
  <c r="J47" i="68"/>
  <c r="F47" i="65"/>
  <c r="G46" i="65"/>
  <c r="B49" i="64"/>
  <c r="R48" i="56" s="1"/>
  <c r="C48" i="61"/>
  <c r="H48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45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45" i="56"/>
  <c r="E44" i="62"/>
  <c r="D45" i="53"/>
  <c r="G44" i="68"/>
  <c r="D41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47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45" i="56"/>
  <c r="D45" i="68"/>
  <c r="H43" i="63"/>
  <c r="J43" i="53"/>
  <c r="F44" i="63"/>
  <c r="D46" i="65"/>
  <c r="G46" i="63"/>
  <c r="I41" i="32"/>
  <c r="H43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42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45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43" i="56"/>
  <c r="F42" i="63"/>
  <c r="J46" i="64"/>
  <c r="G48" i="59"/>
  <c r="G48" i="62"/>
  <c r="B49" i="62"/>
  <c r="B49" i="68"/>
  <c r="I48" i="61"/>
  <c r="I48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44" i="56"/>
  <c r="J42" i="60"/>
  <c r="G45" i="32"/>
  <c r="F45" i="53"/>
  <c r="I44" i="56"/>
  <c r="E43" i="56"/>
  <c r="E41" i="61"/>
  <c r="F46" i="59"/>
  <c r="H47" i="63"/>
  <c r="E41" i="62"/>
  <c r="H44" i="68"/>
  <c r="H45" i="53"/>
  <c r="H45" i="32"/>
  <c r="F45" i="64"/>
  <c r="F41" i="53"/>
  <c r="F45" i="59"/>
  <c r="H42" i="56"/>
  <c r="F45" i="60"/>
  <c r="D45" i="60"/>
  <c r="I41" i="63"/>
  <c r="F43" i="56"/>
  <c r="G43" i="65"/>
  <c r="C43" i="57"/>
  <c r="J45" i="63"/>
  <c r="J42" i="68"/>
  <c r="F41" i="61"/>
  <c r="D44" i="53"/>
  <c r="E45" i="56"/>
  <c r="F46" i="62"/>
  <c r="G47" i="63"/>
  <c r="I42" i="64"/>
  <c r="J43" i="68"/>
  <c r="J44" i="64"/>
  <c r="C45" i="62"/>
  <c r="I42" i="32"/>
  <c r="E44" i="59"/>
  <c r="H41" i="60"/>
  <c r="I41" i="56"/>
  <c r="J43" i="64"/>
  <c r="C42" i="59"/>
  <c r="E45" i="63"/>
  <c r="G45" i="62"/>
  <c r="G44" i="62"/>
  <c r="H43" i="60"/>
  <c r="F43" i="65"/>
  <c r="E47" i="60"/>
  <c r="C46" i="60"/>
  <c r="C46" i="65"/>
  <c r="G42" i="56"/>
  <c r="F43" i="61"/>
  <c r="J43" i="65"/>
  <c r="H41" i="64"/>
  <c r="E45" i="64"/>
  <c r="F44" i="56"/>
  <c r="I44" i="32"/>
  <c r="D42" i="59"/>
  <c r="I41" i="59"/>
  <c r="F47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46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40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44" i="56"/>
  <c r="L45" i="56"/>
  <c r="L46" i="56"/>
  <c r="L47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44" i="56"/>
  <c r="N45" i="56"/>
  <c r="N46" i="56"/>
  <c r="N47" i="56"/>
  <c r="N48" i="56"/>
  <c r="J49" i="56"/>
  <c r="E49" i="56"/>
  <c r="G49" i="56"/>
  <c r="C49" i="56"/>
  <c r="H49" i="56"/>
  <c r="F49" i="56"/>
  <c r="I49" i="56"/>
  <c r="D49" i="56"/>
  <c r="E49" i="61"/>
  <c r="J49" i="61"/>
  <c r="I49" i="61"/>
  <c r="H49" i="61"/>
  <c r="G49" i="61"/>
  <c r="F49" i="61"/>
  <c r="C49" i="61"/>
  <c r="D49" i="61"/>
  <c r="O44" i="56"/>
  <c r="O45" i="56"/>
  <c r="O46" i="56"/>
  <c r="O47" i="56"/>
  <c r="B50" i="65"/>
  <c r="S32" i="56" s="1"/>
  <c r="B50" i="68"/>
  <c r="B50" i="63"/>
  <c r="Q49" i="56" s="1"/>
  <c r="B50" i="61"/>
  <c r="O49" i="56" s="1"/>
  <c r="B50" i="60"/>
  <c r="N49" i="56" s="1"/>
  <c r="B50" i="57"/>
  <c r="L34" i="56" s="1"/>
  <c r="B50" i="53"/>
  <c r="K34" i="56" s="1"/>
  <c r="B50" i="59"/>
  <c r="M33" i="56" s="1"/>
  <c r="B50" i="64"/>
  <c r="B50" i="62"/>
  <c r="P49" i="56" s="1"/>
  <c r="B50" i="56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33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89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34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32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200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38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T33" i="56" s="1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78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L32" i="56" s="1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76" i="56"/>
  <c r="D59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103" i="56"/>
  <c r="J140" i="32"/>
  <c r="G67" i="56"/>
  <c r="E152" i="56"/>
  <c r="J185" i="56"/>
  <c r="J161" i="56"/>
  <c r="I110" i="32"/>
  <c r="C121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102" i="56"/>
  <c r="D91" i="56"/>
  <c r="E187" i="32"/>
  <c r="C107" i="56"/>
  <c r="I72" i="56"/>
  <c r="J80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69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19" i="56"/>
  <c r="C94" i="32"/>
  <c r="E80" i="32"/>
  <c r="F61" i="32"/>
  <c r="G175" i="32"/>
  <c r="G187" i="32"/>
  <c r="I173" i="32"/>
  <c r="I182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91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98" i="56"/>
  <c r="G56" i="32"/>
  <c r="H106" i="56"/>
  <c r="J125" i="32"/>
  <c r="E69" i="56"/>
  <c r="F52" i="56"/>
  <c r="I188" i="32"/>
  <c r="E51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54" i="56"/>
  <c r="C93" i="32"/>
  <c r="F72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53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51" i="56"/>
  <c r="H151" i="61"/>
  <c r="H165" i="59"/>
  <c r="I121" i="57"/>
  <c r="C174" i="57"/>
  <c r="D58" i="59"/>
  <c r="F160" i="57"/>
  <c r="I53" i="57"/>
  <c r="G81" i="57"/>
  <c r="I199" i="32"/>
  <c r="D77" i="56"/>
  <c r="I80" i="32"/>
  <c r="H84" i="56"/>
  <c r="H103" i="32"/>
  <c r="F80" i="32"/>
  <c r="J85" i="56"/>
  <c r="I150" i="32"/>
  <c r="J82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87" i="56"/>
  <c r="H93" i="56"/>
  <c r="H77" i="56"/>
  <c r="G92" i="56"/>
  <c r="H111" i="32"/>
  <c r="C137" i="32"/>
  <c r="F115" i="32"/>
  <c r="H185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51" i="56"/>
  <c r="E162" i="32"/>
  <c r="F127" i="32"/>
  <c r="E151" i="32"/>
  <c r="J84" i="56"/>
  <c r="J88" i="32"/>
  <c r="H92" i="56"/>
  <c r="E64" i="56"/>
  <c r="J150" i="56"/>
  <c r="J137" i="56"/>
  <c r="H143" i="56"/>
  <c r="G153" i="32"/>
  <c r="D146" i="32"/>
  <c r="F133" i="56"/>
  <c r="I62" i="32"/>
  <c r="G55" i="56"/>
  <c r="E190" i="56"/>
  <c r="J127" i="56"/>
  <c r="F161" i="56"/>
  <c r="D198" i="56"/>
  <c r="F142" i="32"/>
  <c r="G105" i="32"/>
  <c r="H105" i="32"/>
  <c r="F86" i="32"/>
  <c r="E191" i="32"/>
  <c r="F62" i="32"/>
  <c r="F101" i="56"/>
  <c r="F116" i="32"/>
  <c r="F176" i="32"/>
  <c r="F149" i="56"/>
  <c r="F175" i="56"/>
  <c r="C58" i="32"/>
  <c r="H147" i="56"/>
  <c r="D182" i="56"/>
  <c r="G114" i="32"/>
  <c r="I186" i="32"/>
  <c r="E185" i="32"/>
  <c r="D156" i="32"/>
  <c r="D125" i="32"/>
  <c r="E68" i="32"/>
  <c r="D63" i="56"/>
  <c r="I88" i="32"/>
  <c r="F61" i="56"/>
  <c r="G145" i="56"/>
  <c r="D66" i="32"/>
  <c r="J68" i="32"/>
  <c r="E185" i="56"/>
  <c r="F178" i="32"/>
  <c r="D52" i="56"/>
  <c r="I112" i="32"/>
  <c r="E114" i="32"/>
  <c r="H195" i="56"/>
  <c r="D149" i="32"/>
  <c r="D86" i="56"/>
  <c r="E135" i="32"/>
  <c r="I174" i="56"/>
  <c r="C149" i="56"/>
  <c r="I195" i="32"/>
  <c r="G103" i="56"/>
  <c r="G54" i="56"/>
  <c r="E121" i="56"/>
  <c r="I102" i="56"/>
  <c r="H116" i="56"/>
  <c r="E156" i="56"/>
  <c r="J137" i="32"/>
  <c r="E96" i="56"/>
  <c r="F91" i="56"/>
  <c r="H90" i="32"/>
  <c r="G116" i="56"/>
  <c r="E186" i="32"/>
  <c r="F58" i="32"/>
  <c r="I99" i="56"/>
  <c r="D74" i="56"/>
  <c r="I79" i="32"/>
  <c r="C61" i="32"/>
  <c r="C182" i="56"/>
  <c r="J132" i="32"/>
  <c r="J118" i="56"/>
  <c r="J79" i="32"/>
  <c r="F172" i="56"/>
  <c r="E70" i="32"/>
  <c r="G69" i="32"/>
  <c r="E114" i="56"/>
  <c r="D172" i="32"/>
  <c r="I132" i="32"/>
  <c r="J176" i="32"/>
  <c r="E146" i="56"/>
  <c r="E145" i="32"/>
  <c r="F66" i="32"/>
  <c r="D144" i="32"/>
  <c r="D100" i="56"/>
  <c r="G112" i="56"/>
  <c r="J187" i="32"/>
  <c r="H180" i="56"/>
  <c r="H191" i="32"/>
  <c r="F124" i="32"/>
  <c r="D148" i="56"/>
  <c r="E179" i="56"/>
  <c r="F181" i="32"/>
  <c r="H166" i="32"/>
  <c r="G196" i="56"/>
  <c r="J56" i="32"/>
  <c r="H189" i="32"/>
  <c r="E127" i="56"/>
  <c r="C156" i="32"/>
  <c r="E145" i="56"/>
  <c r="C88" i="32"/>
  <c r="C182" i="32"/>
  <c r="I125" i="56"/>
  <c r="I149" i="56"/>
  <c r="E104" i="32"/>
  <c r="H86" i="56"/>
  <c r="D175" i="56"/>
  <c r="J66" i="32"/>
  <c r="I152" i="56"/>
  <c r="I92" i="56"/>
  <c r="G180" i="56"/>
  <c r="H111" i="56"/>
  <c r="F58" i="56"/>
  <c r="F161" i="32"/>
  <c r="E59" i="56"/>
  <c r="F186" i="56"/>
  <c r="D190" i="32"/>
  <c r="C136" i="32"/>
  <c r="J80" i="32"/>
  <c r="I137" i="56"/>
  <c r="D145" i="32"/>
  <c r="C184" i="32"/>
  <c r="H98" i="32"/>
  <c r="J99" i="56"/>
  <c r="H188" i="32"/>
  <c r="G164" i="32"/>
  <c r="C164" i="32"/>
  <c r="D187" i="56"/>
  <c r="G66" i="56"/>
  <c r="D151" i="32"/>
  <c r="H154" i="32"/>
  <c r="F165" i="56"/>
  <c r="H91" i="56"/>
  <c r="D188" i="32"/>
  <c r="H192" i="32"/>
  <c r="E100" i="56"/>
  <c r="E194" i="32"/>
  <c r="C83" i="32"/>
  <c r="I198" i="56"/>
  <c r="H88" i="32"/>
  <c r="F196" i="32"/>
  <c r="I88" i="56"/>
  <c r="G165" i="56"/>
  <c r="J87" i="32"/>
  <c r="J90" i="56"/>
  <c r="D193" i="32"/>
  <c r="G183" i="32"/>
  <c r="J54" i="56"/>
  <c r="D143" i="56"/>
  <c r="G64" i="32"/>
  <c r="I133" i="32"/>
  <c r="G57" i="56"/>
  <c r="D155" i="56"/>
  <c r="E158" i="56"/>
  <c r="F121" i="32"/>
  <c r="E68" i="56"/>
  <c r="F140" i="56"/>
  <c r="I105" i="56"/>
  <c r="J126" i="56"/>
  <c r="I139" i="56"/>
  <c r="J179" i="56"/>
  <c r="G133" i="56"/>
  <c r="C200" i="56"/>
  <c r="H76" i="32"/>
  <c r="F75" i="56"/>
  <c r="F124" i="56"/>
  <c r="F129" i="32"/>
  <c r="J196" i="32"/>
  <c r="D179" i="32"/>
  <c r="H125" i="32"/>
  <c r="H170" i="56"/>
  <c r="D89" i="56"/>
  <c r="E80" i="56"/>
  <c r="I197" i="56"/>
  <c r="F118" i="56"/>
  <c r="E121" i="32"/>
  <c r="H119" i="56"/>
  <c r="I147" i="56"/>
  <c r="G115" i="56"/>
  <c r="G139" i="56"/>
  <c r="J154" i="56"/>
  <c r="C86" i="32"/>
  <c r="I65" i="32"/>
  <c r="D190" i="56"/>
  <c r="J113" i="56"/>
  <c r="C81" i="32"/>
  <c r="I136" i="56"/>
  <c r="E184" i="32"/>
  <c r="G118" i="32"/>
  <c r="F103" i="56"/>
  <c r="C139" i="32"/>
  <c r="E175" i="56"/>
  <c r="I81" i="56"/>
  <c r="H148" i="32"/>
  <c r="F156" i="32"/>
  <c r="G171" i="56"/>
  <c r="F53" i="32"/>
  <c r="C71" i="32"/>
  <c r="C164" i="56"/>
  <c r="C191" i="56"/>
  <c r="G163" i="32"/>
  <c r="F62" i="56"/>
  <c r="J109" i="56"/>
  <c r="C125" i="32"/>
  <c r="D132" i="56"/>
  <c r="G161" i="32"/>
  <c r="I77" i="56"/>
  <c r="D143" i="32"/>
  <c r="J161" i="32"/>
  <c r="E170" i="32"/>
  <c r="J168" i="56"/>
  <c r="F83" i="56"/>
  <c r="H122" i="32"/>
  <c r="I105" i="32"/>
  <c r="J143" i="56"/>
  <c r="H107" i="32"/>
  <c r="D128" i="32"/>
  <c r="H110" i="56"/>
  <c r="G125" i="32"/>
  <c r="E92" i="56"/>
  <c r="E62" i="56"/>
  <c r="I158" i="56"/>
  <c r="C139" i="56"/>
  <c r="G200" i="56"/>
  <c r="E195" i="56"/>
  <c r="H197" i="56"/>
  <c r="C132" i="32"/>
  <c r="C86" i="56"/>
  <c r="H99" i="32"/>
  <c r="C152" i="32"/>
  <c r="D198" i="32"/>
  <c r="J190" i="32"/>
  <c r="G157" i="32"/>
  <c r="G159" i="32"/>
  <c r="I138" i="56"/>
  <c r="F52" i="32"/>
  <c r="E124" i="56"/>
  <c r="G60" i="56"/>
  <c r="I170" i="56"/>
  <c r="I139" i="32"/>
  <c r="H69" i="56"/>
  <c r="H157" i="56"/>
  <c r="E171" i="56"/>
  <c r="I117" i="32"/>
  <c r="I168" i="32"/>
  <c r="C56" i="32"/>
  <c r="H199" i="32"/>
  <c r="E103" i="56"/>
  <c r="E138" i="32"/>
  <c r="E102" i="56"/>
  <c r="J114" i="56"/>
  <c r="G69" i="56"/>
  <c r="G140" i="56"/>
  <c r="I200" i="56"/>
  <c r="I124" i="32"/>
  <c r="F111" i="32"/>
  <c r="F200" i="32"/>
  <c r="F179" i="56"/>
  <c r="E158" i="32"/>
  <c r="I190" i="32"/>
  <c r="F113" i="32"/>
  <c r="J134" i="32"/>
  <c r="D75" i="32"/>
  <c r="G183" i="56"/>
  <c r="F188" i="32"/>
  <c r="F181" i="56"/>
  <c r="F102" i="56"/>
  <c r="I83" i="32"/>
  <c r="F148" i="32"/>
  <c r="C110" i="56"/>
  <c r="J147" i="32"/>
  <c r="J97" i="56"/>
  <c r="G174" i="32"/>
  <c r="H194" i="56"/>
  <c r="G95" i="56"/>
  <c r="I193" i="32"/>
  <c r="J119" i="32"/>
  <c r="E93" i="56"/>
  <c r="G88" i="32"/>
  <c r="H109" i="56"/>
  <c r="F51" i="56"/>
  <c r="D79" i="56"/>
  <c r="J141" i="56"/>
  <c r="J74" i="56"/>
  <c r="I102" i="32"/>
  <c r="I104" i="32"/>
  <c r="C133" i="32"/>
  <c r="D185" i="56"/>
  <c r="C193" i="32"/>
  <c r="H95" i="32"/>
  <c r="J103" i="56"/>
  <c r="I150" i="56"/>
  <c r="D103" i="32"/>
  <c r="F176" i="56"/>
  <c r="E111" i="56"/>
  <c r="F74" i="56"/>
  <c r="I119" i="32"/>
  <c r="D81" i="56"/>
  <c r="C55" i="59"/>
  <c r="H99" i="56"/>
  <c r="C76" i="32"/>
  <c r="F65" i="32"/>
  <c r="C140" i="56"/>
  <c r="D140" i="32"/>
  <c r="H163" i="32"/>
  <c r="I146" i="56"/>
  <c r="I190" i="56"/>
  <c r="D197" i="32"/>
  <c r="H129" i="56"/>
  <c r="C85" i="56"/>
  <c r="D55" i="32"/>
  <c r="H121" i="56"/>
  <c r="I115" i="56"/>
  <c r="C148" i="56"/>
  <c r="H196" i="56"/>
  <c r="E149" i="56"/>
  <c r="I135" i="32"/>
  <c r="E94" i="56"/>
  <c r="J200" i="56"/>
  <c r="F87" i="32"/>
  <c r="H138" i="32"/>
  <c r="J132" i="56"/>
  <c r="G139" i="32"/>
  <c r="G186" i="56"/>
  <c r="I114" i="32"/>
  <c r="E109" i="32"/>
  <c r="D71" i="56"/>
  <c r="J194" i="32"/>
  <c r="H62" i="32"/>
  <c r="I69" i="56"/>
  <c r="J103" i="32"/>
  <c r="J147" i="56"/>
  <c r="F99" i="56"/>
  <c r="I73" i="56"/>
  <c r="F86" i="56"/>
  <c r="J193" i="56"/>
  <c r="G156" i="32"/>
  <c r="F148" i="56"/>
  <c r="F183" i="32"/>
  <c r="C113" i="56"/>
  <c r="J196" i="56"/>
  <c r="J191" i="56"/>
  <c r="D189" i="32"/>
  <c r="E90" i="56"/>
  <c r="C90" i="32"/>
  <c r="D68" i="56"/>
  <c r="D81" i="32"/>
  <c r="G193" i="32"/>
  <c r="F180" i="32"/>
  <c r="E164" i="32"/>
  <c r="C166" i="56"/>
  <c r="J72" i="56"/>
  <c r="H54" i="32"/>
  <c r="H169" i="32"/>
  <c r="I100" i="56"/>
  <c r="F145" i="32"/>
  <c r="C144" i="56"/>
  <c r="G56" i="56"/>
  <c r="E180" i="32"/>
  <c r="F77" i="56"/>
  <c r="G144" i="56"/>
  <c r="D163" i="56"/>
  <c r="J163" i="32"/>
  <c r="I172" i="32"/>
  <c r="C159" i="56"/>
  <c r="I111" i="59"/>
  <c r="D61" i="32"/>
  <c r="D188" i="56"/>
  <c r="H103" i="56"/>
  <c r="J67" i="56"/>
  <c r="F81" i="32"/>
  <c r="H100" i="32"/>
  <c r="I171" i="56"/>
  <c r="E64" i="32"/>
  <c r="D67" i="56"/>
  <c r="F141" i="32"/>
  <c r="F95" i="56"/>
  <c r="D167" i="32"/>
  <c r="I127" i="32"/>
  <c r="G94" i="32"/>
  <c r="C114" i="32"/>
  <c r="F178" i="56"/>
  <c r="I108" i="32"/>
  <c r="I115" i="32"/>
  <c r="F69" i="32"/>
  <c r="D54" i="56"/>
  <c r="C57" i="32"/>
  <c r="H193" i="56"/>
  <c r="C75" i="32"/>
  <c r="C53" i="32"/>
  <c r="G194" i="56"/>
  <c r="I128" i="56"/>
  <c r="E91" i="56"/>
  <c r="E58" i="32"/>
  <c r="E95" i="32"/>
  <c r="D58" i="32"/>
  <c r="G175" i="56"/>
  <c r="G80" i="32"/>
  <c r="F117" i="32"/>
  <c r="G74" i="56"/>
  <c r="J59" i="56"/>
  <c r="I106" i="56"/>
  <c r="F190" i="56"/>
  <c r="D174" i="56"/>
  <c r="G181" i="32"/>
  <c r="G192" i="32"/>
  <c r="F145" i="56"/>
  <c r="E166" i="56"/>
  <c r="J175" i="32"/>
  <c r="H80" i="56"/>
  <c r="E160" i="59"/>
  <c r="G182" i="32"/>
  <c r="F150" i="56"/>
  <c r="C54" i="32"/>
  <c r="E147" i="32"/>
  <c r="J52" i="56"/>
  <c r="D111" i="32"/>
  <c r="J60" i="56"/>
  <c r="F151" i="32"/>
  <c r="I90" i="56"/>
  <c r="E91" i="32"/>
  <c r="C197" i="32"/>
  <c r="D155" i="32"/>
  <c r="F152" i="32"/>
  <c r="J96" i="56"/>
  <c r="I155" i="32"/>
  <c r="H69" i="32"/>
  <c r="I75" i="32"/>
  <c r="D66" i="56"/>
  <c r="I91" i="56"/>
  <c r="E180" i="56"/>
  <c r="C118" i="32"/>
  <c r="E76" i="56"/>
  <c r="H141" i="32"/>
  <c r="F153" i="32"/>
  <c r="G153" i="56"/>
  <c r="D169" i="32"/>
  <c r="E108" i="32"/>
  <c r="D157" i="32"/>
  <c r="G195" i="32"/>
  <c r="E94" i="32"/>
  <c r="H158" i="32"/>
  <c r="F184" i="56"/>
  <c r="C190" i="56"/>
  <c r="C115" i="56"/>
  <c r="D126" i="32"/>
  <c r="G66" i="32"/>
  <c r="J59" i="32"/>
  <c r="G64" i="56"/>
  <c r="E54" i="32"/>
  <c r="F108" i="56"/>
  <c r="J144" i="56"/>
  <c r="I103" i="32"/>
  <c r="F95" i="59"/>
  <c r="E63" i="56"/>
  <c r="E192" i="32"/>
  <c r="G170" i="32"/>
  <c r="J188" i="56"/>
  <c r="I94" i="56"/>
  <c r="H139" i="56"/>
  <c r="H162" i="32"/>
  <c r="D132" i="32"/>
  <c r="I52" i="32"/>
  <c r="C179" i="32"/>
  <c r="J199" i="56"/>
  <c r="G195" i="56"/>
  <c r="E142" i="56"/>
  <c r="E122" i="56"/>
  <c r="H52" i="56"/>
  <c r="C74" i="32"/>
  <c r="E130" i="32"/>
  <c r="F138" i="32"/>
  <c r="I95" i="56"/>
  <c r="I90" i="32"/>
  <c r="I155" i="56"/>
  <c r="I142" i="32"/>
  <c r="D180" i="56"/>
  <c r="F155" i="56"/>
  <c r="G90" i="32"/>
  <c r="I134" i="56"/>
  <c r="J195" i="32"/>
  <c r="I85" i="32"/>
  <c r="H65" i="32"/>
  <c r="H185" i="32"/>
  <c r="D196" i="32"/>
  <c r="H155" i="56"/>
  <c r="E188" i="32"/>
  <c r="G76" i="56"/>
  <c r="F172" i="32"/>
  <c r="H76" i="56"/>
  <c r="F55" i="32"/>
  <c r="J114" i="32"/>
  <c r="I62" i="56"/>
  <c r="E157" i="32"/>
  <c r="H182" i="32"/>
  <c r="G86" i="32"/>
  <c r="J145" i="56"/>
  <c r="J81" i="56"/>
  <c r="F110" i="56"/>
  <c r="J192" i="32"/>
  <c r="G132" i="32"/>
  <c r="C106" i="32"/>
  <c r="G176" i="56"/>
  <c r="F53" i="56"/>
  <c r="J135" i="56"/>
  <c r="C55" i="32"/>
  <c r="I85" i="56"/>
  <c r="E165" i="32"/>
  <c r="G189" i="56"/>
  <c r="E197" i="56"/>
  <c r="F107" i="32"/>
  <c r="C133" i="56"/>
  <c r="G193" i="56"/>
  <c r="I78" i="32"/>
  <c r="E133" i="56"/>
  <c r="J88" i="56"/>
  <c r="H58" i="56"/>
  <c r="C130" i="32"/>
  <c r="D171" i="56"/>
  <c r="F165" i="32"/>
  <c r="G162" i="32"/>
  <c r="F134" i="56"/>
  <c r="G147" i="56"/>
  <c r="J116" i="32"/>
  <c r="F134" i="32"/>
  <c r="D129" i="32"/>
  <c r="I76" i="32"/>
  <c r="J121" i="56"/>
  <c r="J68" i="56"/>
  <c r="J169" i="56"/>
  <c r="I114" i="56"/>
  <c r="D102" i="32"/>
  <c r="G95" i="32"/>
  <c r="I187" i="56"/>
  <c r="H122" i="56"/>
  <c r="C163" i="56"/>
  <c r="H184" i="32"/>
  <c r="H190" i="56"/>
  <c r="G140" i="32"/>
  <c r="E150" i="32"/>
  <c r="D157" i="56"/>
  <c r="H94" i="32"/>
  <c r="G100" i="56"/>
  <c r="G151" i="56"/>
  <c r="G165" i="32"/>
  <c r="I64" i="56"/>
  <c r="I164" i="32"/>
  <c r="F141" i="56"/>
  <c r="C148" i="32"/>
  <c r="F194" i="32"/>
  <c r="D58" i="56"/>
  <c r="E198" i="32"/>
  <c r="C111" i="32"/>
  <c r="D148" i="32"/>
  <c r="I57" i="32"/>
  <c r="F191" i="32"/>
  <c r="I118" i="32"/>
  <c r="C65" i="32"/>
  <c r="G155" i="56"/>
  <c r="E130" i="56"/>
  <c r="G130" i="32"/>
  <c r="D134" i="56"/>
  <c r="G110" i="32"/>
  <c r="G76" i="32"/>
  <c r="I134" i="32"/>
  <c r="I154" i="56"/>
  <c r="J142" i="32"/>
  <c r="D173" i="32"/>
  <c r="J106" i="32"/>
  <c r="F160" i="56"/>
  <c r="F109" i="56"/>
  <c r="H74" i="32"/>
  <c r="H184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83" i="56"/>
  <c r="C102" i="32"/>
  <c r="F198" i="56"/>
  <c r="F163" i="32"/>
  <c r="D128" i="56"/>
  <c r="C178" i="32"/>
  <c r="I168" i="56"/>
  <c r="I113" i="32"/>
  <c r="J113" i="32"/>
  <c r="J77" i="32"/>
  <c r="G172" i="32"/>
  <c r="I160" i="32"/>
  <c r="F154" i="56"/>
  <c r="I164" i="56"/>
  <c r="C93" i="56"/>
  <c r="F174" i="32"/>
  <c r="F171" i="32"/>
  <c r="H140" i="56"/>
  <c r="J55" i="32"/>
  <c r="J157" i="56"/>
  <c r="J174" i="32"/>
  <c r="F114" i="32"/>
  <c r="D108" i="56"/>
  <c r="H66" i="32"/>
  <c r="H189" i="56"/>
  <c r="J148" i="32"/>
  <c r="C162" i="32"/>
  <c r="J53" i="32"/>
  <c r="G53" i="32"/>
  <c r="F55" i="56"/>
  <c r="G78" i="56"/>
  <c r="C193" i="56"/>
  <c r="G141" i="32"/>
  <c r="E101" i="56"/>
  <c r="C142" i="32"/>
  <c r="G134" i="32"/>
  <c r="H117" i="32"/>
  <c r="C175" i="56"/>
  <c r="E173" i="32"/>
  <c r="E73" i="32"/>
  <c r="D168" i="32"/>
  <c r="E146" i="32"/>
  <c r="E117" i="56"/>
  <c r="G96" i="56"/>
  <c r="E109" i="56"/>
  <c r="D134" i="32"/>
  <c r="E57" i="56"/>
  <c r="C90" i="56"/>
  <c r="I128" i="32"/>
  <c r="C60" i="56"/>
  <c r="G75" i="56"/>
  <c r="G85" i="32"/>
  <c r="H145" i="56"/>
  <c r="E161" i="32"/>
  <c r="H66" i="56"/>
  <c r="G137" i="32"/>
  <c r="F88" i="56"/>
  <c r="J198" i="56"/>
  <c r="G169" i="32"/>
  <c r="H146" i="56"/>
  <c r="C157" i="32"/>
  <c r="G119" i="32"/>
  <c r="D64" i="32"/>
  <c r="E134" i="56"/>
  <c r="E90" i="32"/>
  <c r="J141" i="32"/>
  <c r="E65" i="32"/>
  <c r="H121" i="32"/>
  <c r="H82" i="56"/>
  <c r="F177" i="56"/>
  <c r="H183" i="56"/>
  <c r="C70" i="32"/>
  <c r="E148" i="32"/>
  <c r="F80" i="56"/>
  <c r="C101" i="56"/>
  <c r="I131" i="32"/>
  <c r="H182" i="56"/>
  <c r="J192" i="56"/>
  <c r="D194" i="32"/>
  <c r="F84" i="32"/>
  <c r="C79" i="32"/>
  <c r="H115" i="32"/>
  <c r="F154" i="32"/>
  <c r="G53" i="56"/>
  <c r="G126" i="56"/>
  <c r="G101" i="56"/>
  <c r="G96" i="32"/>
  <c r="J78" i="32"/>
  <c r="G135" i="32"/>
  <c r="I198" i="32"/>
  <c r="G177" i="56"/>
  <c r="D192" i="56"/>
  <c r="H79" i="32"/>
  <c r="G77" i="56"/>
  <c r="E177" i="32"/>
  <c r="G194" i="32"/>
  <c r="D101" i="56"/>
  <c r="F185" i="56"/>
  <c r="C55" i="56"/>
  <c r="D183" i="56"/>
  <c r="C172" i="56"/>
  <c r="G78" i="32"/>
  <c r="C180" i="56"/>
  <c r="C141" i="32"/>
  <c r="F196" i="56"/>
  <c r="G51" i="32"/>
  <c r="C181" i="32"/>
  <c r="H72" i="56"/>
  <c r="H118" i="56"/>
  <c r="D179" i="56"/>
  <c r="H101" i="56"/>
  <c r="G151" i="32"/>
  <c r="C189" i="32"/>
  <c r="C92" i="32"/>
  <c r="F152" i="56"/>
  <c r="D144" i="56"/>
  <c r="H164" i="32"/>
  <c r="H105" i="56"/>
  <c r="D60" i="56"/>
  <c r="H92" i="32"/>
  <c r="C140" i="32"/>
  <c r="J109" i="32"/>
  <c r="E128" i="32"/>
  <c r="H80" i="32"/>
  <c r="G52" i="56"/>
  <c r="D146" i="56"/>
  <c r="J139" i="32"/>
  <c r="F66" i="56"/>
  <c r="F56" i="32"/>
  <c r="C195" i="56"/>
  <c r="C194" i="32"/>
  <c r="J120" i="32"/>
  <c r="E132" i="56"/>
  <c r="C174" i="32"/>
  <c r="D130" i="56"/>
  <c r="F132" i="56"/>
  <c r="I178" i="32"/>
  <c r="H191" i="56"/>
  <c r="G105" i="56"/>
  <c r="D120" i="32"/>
  <c r="E55" i="56"/>
  <c r="I98" i="32"/>
  <c r="F102" i="32"/>
  <c r="C153" i="56"/>
  <c r="G150" i="32"/>
  <c r="D112" i="56"/>
  <c r="C183" i="56"/>
  <c r="E118" i="32"/>
  <c r="J100" i="56"/>
  <c r="D154" i="32"/>
  <c r="C64" i="56"/>
  <c r="I77" i="32"/>
  <c r="H93" i="32"/>
  <c r="E168" i="56"/>
  <c r="G82" i="56"/>
  <c r="E127" i="32"/>
  <c r="I152" i="32"/>
  <c r="F94" i="56"/>
  <c r="J111" i="56"/>
  <c r="E74" i="32"/>
  <c r="I101" i="56"/>
  <c r="E82" i="32"/>
  <c r="J61" i="56"/>
  <c r="I104" i="56"/>
  <c r="F157" i="56"/>
  <c r="C99" i="32"/>
  <c r="C71" i="56"/>
  <c r="C112" i="56"/>
  <c r="C63" i="56"/>
  <c r="I70" i="56"/>
  <c r="D150" i="32"/>
  <c r="E53" i="56"/>
  <c r="G119" i="56"/>
  <c r="E105" i="56"/>
  <c r="I108" i="56"/>
  <c r="G166" i="56"/>
  <c r="I163" i="32"/>
  <c r="F67" i="56"/>
  <c r="F103" i="32"/>
  <c r="G70" i="56"/>
  <c r="C104" i="56"/>
  <c r="I144" i="32"/>
  <c r="G131" i="32"/>
  <c r="F74" i="32"/>
  <c r="F100" i="32"/>
  <c r="H59" i="56"/>
  <c r="H172" i="56"/>
  <c r="E61" i="56"/>
  <c r="D118" i="56"/>
  <c r="H53" i="56"/>
  <c r="G68" i="32"/>
  <c r="D105" i="56"/>
  <c r="F113" i="56"/>
  <c r="J93" i="32"/>
  <c r="E194" i="56"/>
  <c r="C63" i="59"/>
  <c r="F117" i="56"/>
  <c r="E88" i="32"/>
  <c r="I96" i="32"/>
  <c r="C167" i="32"/>
  <c r="J119" i="59"/>
  <c r="H62" i="56"/>
  <c r="F164" i="56"/>
  <c r="E59" i="32"/>
  <c r="H53" i="32"/>
  <c r="H168" i="32"/>
  <c r="G134" i="56"/>
  <c r="J167" i="56"/>
  <c r="H82" i="32"/>
  <c r="G111" i="56"/>
  <c r="D121" i="56"/>
  <c r="I159" i="32"/>
  <c r="J70" i="32"/>
  <c r="E72" i="56"/>
  <c r="F188" i="56"/>
  <c r="I87" i="56"/>
  <c r="J66" i="56"/>
  <c r="C155" i="56"/>
  <c r="C173" i="56"/>
  <c r="J133" i="56"/>
  <c r="E105" i="32"/>
  <c r="F69" i="56"/>
  <c r="J145" i="32"/>
  <c r="D86" i="32"/>
  <c r="H186" i="32"/>
  <c r="E100" i="32"/>
  <c r="F190" i="32"/>
  <c r="J183" i="32"/>
  <c r="D63" i="32"/>
  <c r="H113" i="56"/>
  <c r="E196" i="56"/>
  <c r="G88" i="56"/>
  <c r="J155" i="56"/>
  <c r="H181" i="32"/>
  <c r="C176" i="56"/>
  <c r="G149" i="32"/>
  <c r="E123" i="32"/>
  <c r="F159" i="32"/>
  <c r="D129" i="56"/>
  <c r="E125" i="32"/>
  <c r="I84" i="32"/>
  <c r="E139" i="32"/>
  <c r="G89" i="32"/>
  <c r="D199" i="32"/>
  <c r="J127" i="32"/>
  <c r="D116" i="56"/>
  <c r="G65" i="32"/>
  <c r="J112" i="56"/>
  <c r="E162" i="56"/>
  <c r="F95" i="32"/>
  <c r="E174" i="32"/>
  <c r="I97" i="32"/>
  <c r="F131" i="56"/>
  <c r="D163" i="32"/>
  <c r="H162" i="56"/>
  <c r="F75" i="32"/>
  <c r="H179" i="56"/>
  <c r="C109" i="56"/>
  <c r="G114" i="56"/>
  <c r="H102" i="32"/>
  <c r="I80" i="56"/>
  <c r="G173" i="32"/>
  <c r="H67" i="32"/>
  <c r="H146" i="32"/>
  <c r="C144" i="32"/>
  <c r="C78" i="32"/>
  <c r="I79" i="56"/>
  <c r="H78" i="56"/>
  <c r="I132" i="56"/>
  <c r="I197" i="32"/>
  <c r="C62" i="56"/>
  <c r="E76" i="32"/>
  <c r="J86" i="56"/>
  <c r="J144" i="32"/>
  <c r="H159" i="32"/>
  <c r="I109" i="56"/>
  <c r="D72" i="32"/>
  <c r="D138" i="56"/>
  <c r="E119" i="56"/>
  <c r="H57" i="56"/>
  <c r="J157" i="32"/>
  <c r="G130" i="56"/>
  <c r="I157" i="56"/>
  <c r="F197" i="56"/>
  <c r="C185" i="56"/>
  <c r="C69" i="56"/>
  <c r="G190" i="32"/>
  <c r="F197" i="32"/>
  <c r="J149" i="56"/>
  <c r="D79" i="32"/>
  <c r="C70" i="56"/>
  <c r="F103" i="59"/>
  <c r="G191" i="32"/>
  <c r="G178" i="56"/>
  <c r="G179" i="56"/>
  <c r="E144" i="32"/>
  <c r="D69" i="32"/>
  <c r="F153" i="56"/>
  <c r="E164" i="56"/>
  <c r="C166" i="32"/>
  <c r="E187" i="56"/>
  <c r="I116" i="32"/>
  <c r="I131" i="56"/>
  <c r="E84" i="32"/>
  <c r="E131" i="56"/>
  <c r="G129" i="32"/>
  <c r="G190" i="56"/>
  <c r="H113" i="32"/>
  <c r="C176" i="32"/>
  <c r="F136" i="32"/>
  <c r="J148" i="56"/>
  <c r="G178" i="32"/>
  <c r="J102" i="32"/>
  <c r="C87" i="56"/>
  <c r="F85" i="32"/>
  <c r="F107" i="56"/>
  <c r="E72" i="32"/>
  <c r="J136" i="32"/>
  <c r="C161" i="32"/>
  <c r="H89" i="56"/>
  <c r="J158" i="32"/>
  <c r="J164" i="56"/>
  <c r="C108" i="32"/>
  <c r="H137" i="56"/>
  <c r="G148" i="32"/>
  <c r="I125" i="32"/>
  <c r="G92" i="32"/>
  <c r="H96" i="56"/>
  <c r="G143" i="32"/>
  <c r="G143" i="56"/>
  <c r="C188" i="56"/>
  <c r="E81" i="56"/>
  <c r="J139" i="56"/>
  <c r="F57" i="56"/>
  <c r="E97" i="56"/>
  <c r="H87" i="32"/>
  <c r="G52" i="32"/>
  <c r="D82" i="56"/>
  <c r="I60" i="32"/>
  <c r="J185" i="32"/>
  <c r="D168" i="56"/>
  <c r="C64" i="32"/>
  <c r="H171" i="56"/>
  <c r="D109" i="32"/>
  <c r="I151" i="32"/>
  <c r="I195" i="56"/>
  <c r="C146" i="32"/>
  <c r="H116" i="32"/>
  <c r="H153" i="56"/>
  <c r="D160" i="32"/>
  <c r="F81" i="56"/>
  <c r="C102" i="56"/>
  <c r="H154" i="56"/>
  <c r="H115" i="56"/>
  <c r="J160" i="56"/>
  <c r="D153" i="56"/>
  <c r="C77" i="32"/>
  <c r="J73" i="56"/>
  <c r="H126" i="32"/>
  <c r="D185" i="32"/>
  <c r="H135" i="32"/>
  <c r="J61" i="32"/>
  <c r="J108" i="32"/>
  <c r="H128" i="32"/>
  <c r="C81" i="56"/>
  <c r="G73" i="32"/>
  <c r="E117" i="32"/>
  <c r="F174" i="56"/>
  <c r="G73" i="56"/>
  <c r="I99" i="32"/>
  <c r="C84" i="56"/>
  <c r="G102" i="32"/>
  <c r="H193" i="32"/>
  <c r="D199" i="56"/>
  <c r="H136" i="32"/>
  <c r="J188" i="32"/>
  <c r="H143" i="32"/>
  <c r="G122" i="32"/>
  <c r="D147" i="56"/>
  <c r="J118" i="32"/>
  <c r="G187" i="56"/>
  <c r="D130" i="32"/>
  <c r="C131" i="32"/>
  <c r="F180" i="56"/>
  <c r="G150" i="56"/>
  <c r="H64" i="56"/>
  <c r="C67" i="56"/>
  <c r="H83" i="32"/>
  <c r="I176" i="56"/>
  <c r="F63" i="56"/>
  <c r="C143" i="56"/>
  <c r="D78" i="56"/>
  <c r="C143" i="32"/>
  <c r="D159" i="32"/>
  <c r="C73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71" i="56"/>
  <c r="I175" i="56"/>
  <c r="E140" i="56"/>
  <c r="I192" i="32"/>
  <c r="C89" i="56"/>
  <c r="C117" i="32"/>
  <c r="I180" i="56"/>
  <c r="H73" i="56"/>
  <c r="C127" i="56"/>
  <c r="C179" i="56"/>
  <c r="J180" i="56"/>
  <c r="J156" i="32"/>
  <c r="J112" i="32"/>
  <c r="C171" i="32"/>
  <c r="G111" i="32"/>
  <c r="C116" i="32"/>
  <c r="J111" i="32"/>
  <c r="F111" i="56"/>
  <c r="E81" i="32"/>
  <c r="F167" i="56"/>
  <c r="D97" i="32"/>
  <c r="H179" i="32"/>
  <c r="E103" i="32"/>
  <c r="C174" i="56"/>
  <c r="E200" i="32"/>
  <c r="G137" i="56"/>
  <c r="F76" i="56"/>
  <c r="F155" i="32"/>
  <c r="J96" i="32"/>
  <c r="E118" i="56"/>
  <c r="I63" i="32"/>
  <c r="G71" i="56"/>
  <c r="J65" i="56"/>
  <c r="J125" i="56"/>
  <c r="I96" i="56"/>
  <c r="C54" i="56"/>
  <c r="E66" i="32"/>
  <c r="D173" i="56"/>
  <c r="E89" i="56"/>
  <c r="I140" i="32"/>
  <c r="G113" i="32"/>
  <c r="J79" i="56"/>
  <c r="H149" i="56"/>
  <c r="F116" i="56"/>
  <c r="C74" i="56"/>
  <c r="H190" i="32"/>
  <c r="E95" i="56"/>
  <c r="G83" i="32"/>
  <c r="E116" i="56"/>
  <c r="C52" i="56"/>
  <c r="C186" i="56"/>
  <c r="J128" i="56"/>
  <c r="I177" i="56"/>
  <c r="I156" i="56"/>
  <c r="F170" i="32"/>
  <c r="D94" i="56"/>
  <c r="G98" i="32"/>
  <c r="C155" i="32"/>
  <c r="D158" i="56"/>
  <c r="F109" i="32"/>
  <c r="I183" i="32"/>
  <c r="H88" i="56"/>
  <c r="J177" i="56"/>
  <c r="H90" i="56"/>
  <c r="J195" i="56"/>
  <c r="E101" i="32"/>
  <c r="D60" i="32"/>
  <c r="I183" i="56"/>
  <c r="J162" i="56"/>
  <c r="H61" i="56"/>
  <c r="H55" i="32"/>
  <c r="H176" i="32"/>
  <c r="D88" i="32"/>
  <c r="F82" i="32"/>
  <c r="H138" i="56"/>
  <c r="D75" i="56"/>
  <c r="G110" i="56"/>
  <c r="D139" i="32"/>
  <c r="F136" i="56"/>
  <c r="J168" i="32"/>
  <c r="I145" i="56"/>
  <c r="D76" i="32"/>
  <c r="J108" i="56"/>
  <c r="C131" i="56"/>
  <c r="H144" i="32"/>
  <c r="C97" i="32"/>
  <c r="H168" i="56"/>
  <c r="I69" i="32"/>
  <c r="E54" i="56"/>
  <c r="C147" i="32"/>
  <c r="D104" i="56"/>
  <c r="F142" i="56"/>
  <c r="I58" i="56"/>
  <c r="H63" i="56"/>
  <c r="D74" i="32"/>
  <c r="H97" i="56"/>
  <c r="D152" i="56"/>
  <c r="C79" i="56"/>
  <c r="C190" i="32"/>
  <c r="I93" i="56"/>
  <c r="F106" i="32"/>
  <c r="E51" i="32"/>
  <c r="G93" i="56"/>
  <c r="D65" i="32"/>
  <c r="G99" i="56"/>
  <c r="C169" i="32"/>
  <c r="G115" i="32"/>
  <c r="D160" i="56"/>
  <c r="F121" i="56"/>
  <c r="D171" i="32"/>
  <c r="F93" i="56"/>
  <c r="J74" i="32"/>
  <c r="H131" i="32"/>
  <c r="C78" i="56"/>
  <c r="D91" i="32"/>
  <c r="I149" i="32"/>
  <c r="D93" i="32"/>
  <c r="H107" i="56"/>
  <c r="G61" i="56"/>
  <c r="J159" i="56"/>
  <c r="C53" i="56"/>
  <c r="G129" i="56"/>
  <c r="H175" i="56"/>
  <c r="E126" i="32"/>
  <c r="E167" i="32"/>
  <c r="G83" i="56"/>
  <c r="H109" i="32"/>
  <c r="H70" i="56"/>
  <c r="C196" i="56"/>
  <c r="J170" i="32"/>
  <c r="H178" i="56"/>
  <c r="D195" i="56"/>
  <c r="C123" i="56"/>
  <c r="J177" i="32"/>
  <c r="E71" i="56"/>
  <c r="C96" i="56"/>
  <c r="J130" i="32"/>
  <c r="J93" i="56"/>
  <c r="I120" i="56"/>
  <c r="E110" i="32"/>
  <c r="J166" i="56"/>
  <c r="I101" i="32"/>
  <c r="F88" i="32"/>
  <c r="E129" i="32"/>
  <c r="D140" i="56"/>
  <c r="J52" i="32"/>
  <c r="J193" i="32"/>
  <c r="J164" i="32"/>
  <c r="H180" i="32"/>
  <c r="I54" i="56"/>
  <c r="H81" i="56"/>
  <c r="F189" i="32"/>
  <c r="C197" i="56"/>
  <c r="D131" i="56"/>
  <c r="I171" i="32"/>
  <c r="J182" i="56"/>
  <c r="C199" i="32"/>
  <c r="J54" i="32"/>
  <c r="D56" i="32"/>
  <c r="E149" i="32"/>
  <c r="J64" i="32"/>
  <c r="J197" i="56"/>
  <c r="I68" i="56"/>
  <c r="F100" i="56"/>
  <c r="I120" i="32"/>
  <c r="F94" i="32"/>
  <c r="C181" i="56"/>
  <c r="I92" i="32"/>
  <c r="C172" i="32"/>
  <c r="I157" i="32"/>
  <c r="I126" i="56"/>
  <c r="E62" i="32"/>
  <c r="C195" i="32"/>
  <c r="E129" i="56"/>
  <c r="G67" i="32"/>
  <c r="C105" i="32"/>
  <c r="I76" i="56"/>
  <c r="I186" i="56"/>
  <c r="J186" i="32"/>
  <c r="F83" i="32"/>
  <c r="G107" i="32"/>
  <c r="J70" i="56"/>
  <c r="E169" i="56"/>
  <c r="E175" i="32"/>
  <c r="J69" i="56"/>
  <c r="G196" i="32"/>
  <c r="I121" i="56"/>
  <c r="J92" i="56"/>
  <c r="F135" i="32"/>
  <c r="H157" i="32"/>
  <c r="D105" i="32"/>
  <c r="F122" i="32"/>
  <c r="D191" i="56"/>
  <c r="C196" i="32"/>
  <c r="D165" i="32"/>
  <c r="D110" i="56"/>
  <c r="J129" i="56"/>
  <c r="I153" i="32"/>
  <c r="H194" i="32"/>
  <c r="C122" i="32"/>
  <c r="I199" i="56"/>
  <c r="I110" i="56"/>
  <c r="H159" i="56"/>
  <c r="F76" i="32"/>
  <c r="D51" i="56"/>
  <c r="F106" i="56"/>
  <c r="F129" i="56"/>
  <c r="H75" i="56"/>
  <c r="F193" i="32"/>
  <c r="I84" i="56"/>
  <c r="F160" i="32"/>
  <c r="F159" i="56"/>
  <c r="G138" i="32"/>
  <c r="J170" i="56"/>
  <c r="F166" i="32"/>
  <c r="I107" i="56"/>
  <c r="H197" i="32"/>
  <c r="F158" i="32"/>
  <c r="H150" i="56"/>
  <c r="J63" i="56"/>
  <c r="H181" i="56"/>
  <c r="J56" i="56"/>
  <c r="E78" i="32"/>
  <c r="I116" i="56"/>
  <c r="D110" i="32"/>
  <c r="E57" i="32"/>
  <c r="D115" i="56"/>
  <c r="G167" i="56"/>
  <c r="H165" i="32"/>
  <c r="J194" i="56"/>
  <c r="H136" i="56"/>
  <c r="E186" i="56"/>
  <c r="I73" i="32"/>
  <c r="D62" i="32"/>
  <c r="G101" i="32"/>
  <c r="D64" i="56"/>
  <c r="C99" i="56"/>
  <c r="D88" i="56"/>
  <c r="H119" i="32"/>
  <c r="H135" i="56"/>
  <c r="I188" i="56"/>
  <c r="E195" i="32"/>
  <c r="G145" i="32"/>
  <c r="E140" i="32"/>
  <c r="J166" i="32"/>
  <c r="C87" i="32"/>
  <c r="J122" i="56"/>
  <c r="F169" i="56"/>
  <c r="G132" i="56"/>
  <c r="D136" i="56"/>
  <c r="J135" i="32"/>
  <c r="I59" i="32"/>
  <c r="C167" i="56"/>
  <c r="D71" i="32"/>
  <c r="H110" i="32"/>
  <c r="D122" i="32"/>
  <c r="G142" i="56"/>
  <c r="C112" i="32"/>
  <c r="H84" i="32"/>
  <c r="J105" i="56"/>
  <c r="H64" i="32"/>
  <c r="I181" i="32"/>
  <c r="H126" i="56"/>
  <c r="H133" i="32"/>
  <c r="D142" i="32"/>
  <c r="C187" i="56"/>
  <c r="E182" i="32"/>
  <c r="F54" i="56"/>
  <c r="C135" i="56"/>
  <c r="H71" i="56"/>
  <c r="I58" i="32"/>
  <c r="I147" i="32"/>
  <c r="J82" i="32"/>
  <c r="E98" i="32"/>
  <c r="D200" i="56"/>
  <c r="G72" i="56"/>
  <c r="J51" i="56"/>
  <c r="D181" i="56"/>
  <c r="C98" i="56"/>
  <c r="F60" i="56"/>
  <c r="G164" i="56"/>
  <c r="G172" i="56"/>
  <c r="F96" i="56"/>
  <c r="G128" i="32"/>
  <c r="F194" i="56"/>
  <c r="E132" i="32"/>
  <c r="I136" i="32"/>
  <c r="J115" i="32"/>
  <c r="D67" i="32"/>
  <c r="H86" i="32"/>
  <c r="G87" i="56"/>
  <c r="C171" i="56"/>
  <c r="E176" i="32"/>
  <c r="C158" i="32"/>
  <c r="D114" i="32"/>
  <c r="G152" i="56"/>
  <c r="I100" i="32"/>
  <c r="H87" i="56"/>
  <c r="H100" i="56"/>
  <c r="D135" i="56"/>
  <c r="J76" i="56"/>
  <c r="D164" i="32"/>
  <c r="G181" i="56"/>
  <c r="G135" i="56"/>
  <c r="J122" i="32"/>
  <c r="I189" i="56"/>
  <c r="I184" i="32"/>
  <c r="C183" i="32"/>
  <c r="E85" i="56"/>
  <c r="H187" i="32"/>
  <c r="C188" i="32"/>
  <c r="G117" i="32"/>
  <c r="H164" i="56"/>
  <c r="J106" i="56"/>
  <c r="H104" i="32"/>
  <c r="G60" i="32"/>
  <c r="E133" i="32"/>
  <c r="G51" i="56"/>
  <c r="F157" i="32"/>
  <c r="H108" i="32"/>
  <c r="D125" i="56"/>
  <c r="G142" i="32"/>
  <c r="C177" i="56"/>
  <c r="E143" i="56"/>
  <c r="F144" i="32"/>
  <c r="G108" i="32"/>
  <c r="D189" i="56"/>
  <c r="H70" i="32"/>
  <c r="H142" i="56"/>
  <c r="I182" i="32"/>
  <c r="F140" i="32"/>
  <c r="J138" i="32"/>
  <c r="D200" i="32"/>
  <c r="E77" i="56"/>
  <c r="I187" i="32"/>
  <c r="E58" i="56"/>
  <c r="J146" i="32"/>
  <c r="I159" i="56"/>
  <c r="J110" i="32"/>
  <c r="H95" i="56"/>
  <c r="E174" i="56"/>
  <c r="I107" i="32"/>
  <c r="J159" i="32"/>
  <c r="D56" i="56"/>
  <c r="E193" i="56"/>
  <c r="I72" i="32"/>
  <c r="F105" i="32"/>
  <c r="C143" i="59"/>
  <c r="F68" i="56"/>
  <c r="E137" i="32"/>
  <c r="J155" i="32"/>
  <c r="D104" i="32"/>
  <c r="F192" i="56"/>
  <c r="H198" i="32"/>
  <c r="H188" i="56"/>
  <c r="I179" i="32"/>
  <c r="I146" i="32"/>
  <c r="C88" i="56"/>
  <c r="D167" i="56"/>
  <c r="C160" i="32"/>
  <c r="I61" i="32"/>
  <c r="C142" i="56"/>
  <c r="E112" i="32"/>
  <c r="G159" i="56"/>
  <c r="G123" i="32"/>
  <c r="I56" i="32"/>
  <c r="D115" i="32"/>
  <c r="C129" i="56"/>
  <c r="F93" i="32"/>
  <c r="E120" i="56"/>
  <c r="H177" i="56"/>
  <c r="C80" i="32"/>
  <c r="E141" i="32"/>
  <c r="I53" i="56"/>
  <c r="G147" i="32"/>
  <c r="H94" i="56"/>
  <c r="D90" i="32"/>
  <c r="I162" i="32"/>
  <c r="E168" i="32"/>
  <c r="E60" i="56"/>
  <c r="G161" i="56"/>
  <c r="G87" i="32"/>
  <c r="F73" i="32"/>
  <c r="C170" i="56"/>
  <c r="F91" i="32"/>
  <c r="G109" i="56"/>
  <c r="I180" i="32"/>
  <c r="D135" i="32"/>
  <c r="F73" i="56"/>
  <c r="J94" i="32"/>
  <c r="J174" i="56"/>
  <c r="I123" i="32"/>
  <c r="I117" i="56"/>
  <c r="C113" i="32"/>
  <c r="I138" i="32"/>
  <c r="I148" i="56"/>
  <c r="E148" i="56"/>
  <c r="C77" i="56"/>
  <c r="E112" i="56"/>
  <c r="H174" i="32"/>
  <c r="J131" i="32"/>
  <c r="I65" i="56"/>
  <c r="C122" i="56"/>
  <c r="J189" i="56"/>
  <c r="F144" i="56"/>
  <c r="J104" i="32"/>
  <c r="H144" i="56"/>
  <c r="D92" i="32"/>
  <c r="J134" i="56"/>
  <c r="D106" i="56"/>
  <c r="F184" i="32"/>
  <c r="C121" i="32"/>
  <c r="E86" i="56"/>
  <c r="H97" i="32"/>
  <c r="H134" i="56"/>
  <c r="I166" i="32"/>
  <c r="I63" i="56"/>
  <c r="C120" i="32"/>
  <c r="I127" i="56"/>
  <c r="E52" i="56"/>
  <c r="G148" i="56"/>
  <c r="C72" i="56"/>
  <c r="C173" i="32"/>
  <c r="C110" i="32"/>
  <c r="I144" i="56"/>
  <c r="E135" i="56"/>
  <c r="J124" i="56"/>
  <c r="I119" i="56"/>
  <c r="C51" i="32"/>
  <c r="I194" i="56"/>
  <c r="D172" i="56"/>
  <c r="I64" i="32"/>
  <c r="E154" i="32"/>
  <c r="I162" i="56"/>
  <c r="D114" i="56"/>
  <c r="C192" i="56"/>
  <c r="H101" i="32"/>
  <c r="I141" i="56"/>
  <c r="C180" i="32"/>
  <c r="C159" i="32"/>
  <c r="G71" i="32"/>
  <c r="D112" i="32"/>
  <c r="D69" i="56"/>
  <c r="D139" i="56"/>
  <c r="D95" i="32"/>
  <c r="E157" i="56"/>
  <c r="E153" i="56"/>
  <c r="G70" i="32"/>
  <c r="J95" i="32"/>
  <c r="J198" i="32"/>
  <c r="I82" i="32"/>
  <c r="G94" i="56"/>
  <c r="J69" i="32"/>
  <c r="F138" i="56"/>
  <c r="E119" i="32"/>
  <c r="D98" i="32"/>
  <c r="E190" i="32"/>
  <c r="G127" i="56"/>
  <c r="E150" i="56"/>
  <c r="D196" i="56"/>
  <c r="J116" i="56"/>
  <c r="G59" i="56"/>
  <c r="H71" i="32"/>
  <c r="H156" i="56"/>
  <c r="I170" i="32"/>
  <c r="J126" i="32"/>
  <c r="C165" i="56"/>
  <c r="H199" i="56"/>
  <c r="J186" i="56"/>
  <c r="F77" i="32"/>
  <c r="J136" i="56"/>
  <c r="H89" i="32"/>
  <c r="I135" i="56"/>
  <c r="G63" i="56"/>
  <c r="H153" i="32"/>
  <c r="H75" i="32"/>
  <c r="D195" i="32"/>
  <c r="G84" i="56"/>
  <c r="C116" i="56"/>
  <c r="H163" i="56"/>
  <c r="F79" i="56"/>
  <c r="H165" i="56"/>
  <c r="I94" i="32"/>
  <c r="C106" i="56"/>
  <c r="H60" i="56"/>
  <c r="E163" i="56"/>
  <c r="E183" i="32"/>
  <c r="H152" i="56"/>
  <c r="H131" i="56"/>
  <c r="I129" i="56"/>
  <c r="F173" i="32"/>
  <c r="J133" i="32"/>
  <c r="G176" i="32"/>
  <c r="D55" i="56"/>
  <c r="J78" i="56"/>
  <c r="J123" i="32"/>
  <c r="E177" i="56"/>
  <c r="I145" i="32"/>
  <c r="D51" i="32"/>
  <c r="H132" i="32"/>
  <c r="G55" i="32"/>
  <c r="H117" i="56"/>
  <c r="C191" i="32"/>
  <c r="E106" i="32"/>
  <c r="E86" i="32"/>
  <c r="D124" i="56"/>
  <c r="I196" i="32"/>
  <c r="I98" i="56"/>
  <c r="G62" i="32"/>
  <c r="D80" i="32"/>
  <c r="D61" i="56"/>
  <c r="D73" i="32"/>
  <c r="I148" i="32"/>
  <c r="D197" i="56"/>
  <c r="G149" i="56"/>
  <c r="G97" i="32"/>
  <c r="E154" i="56"/>
  <c r="F54" i="32"/>
  <c r="D97" i="56"/>
  <c r="C73" i="32"/>
  <c r="J189" i="32"/>
  <c r="H173" i="56"/>
  <c r="D149" i="56"/>
  <c r="D170" i="56"/>
  <c r="C91" i="56"/>
  <c r="E171" i="32"/>
  <c r="F123" i="56"/>
  <c r="H158" i="56"/>
  <c r="G116" i="32"/>
  <c r="E188" i="56"/>
  <c r="I185" i="32"/>
  <c r="F151" i="56"/>
  <c r="J120" i="56"/>
  <c r="G112" i="32"/>
  <c r="F118" i="32"/>
  <c r="E71" i="32"/>
  <c r="I91" i="32"/>
  <c r="D159" i="56"/>
  <c r="J94" i="56"/>
  <c r="C123" i="32"/>
  <c r="E166" i="32"/>
  <c r="H59" i="32"/>
  <c r="F185" i="32"/>
  <c r="G144" i="32"/>
  <c r="H104" i="56"/>
  <c r="J127" i="59"/>
  <c r="D62" i="56"/>
  <c r="E82" i="56"/>
  <c r="E113" i="56"/>
  <c r="E69" i="32"/>
  <c r="J91" i="56"/>
  <c r="H130" i="56"/>
  <c r="F70" i="56"/>
  <c r="I167" i="32"/>
  <c r="G184" i="32"/>
  <c r="I156" i="32"/>
  <c r="G188" i="32"/>
  <c r="I71" i="56"/>
  <c r="G124" i="32"/>
  <c r="F177" i="32"/>
  <c r="D119" i="32"/>
  <c r="D150" i="56"/>
  <c r="F179" i="32"/>
  <c r="E182" i="56"/>
  <c r="C66" i="32"/>
  <c r="J184" i="56"/>
  <c r="E83" i="32"/>
  <c r="D194" i="56"/>
  <c r="F126" i="56"/>
  <c r="C153" i="32"/>
  <c r="E74" i="56"/>
  <c r="H128" i="56"/>
  <c r="J90" i="32"/>
  <c r="F150" i="32"/>
  <c r="H56" i="56"/>
  <c r="I83" i="56"/>
  <c r="D76" i="56"/>
  <c r="H85" i="32"/>
  <c r="H73" i="32"/>
  <c r="H187" i="56"/>
  <c r="F96" i="32"/>
  <c r="E153" i="32"/>
  <c r="D65" i="56"/>
  <c r="C150" i="32"/>
  <c r="J100" i="32"/>
  <c r="D165" i="56"/>
  <c r="H52" i="32"/>
  <c r="I174" i="32"/>
  <c r="H160" i="56"/>
  <c r="G77" i="32"/>
  <c r="C141" i="56"/>
  <c r="H156" i="32"/>
  <c r="D113" i="32"/>
  <c r="I56" i="56"/>
  <c r="C134" i="56"/>
  <c r="F92" i="32"/>
  <c r="F170" i="56"/>
  <c r="G80" i="56"/>
  <c r="H112" i="32"/>
  <c r="D170" i="32"/>
  <c r="D89" i="32"/>
  <c r="G104" i="32"/>
  <c r="D83" i="32"/>
  <c r="F104" i="56"/>
  <c r="D85" i="56"/>
  <c r="I142" i="56"/>
  <c r="H74" i="56"/>
  <c r="G107" i="56"/>
  <c r="J86" i="32"/>
  <c r="E189" i="56"/>
  <c r="J77" i="56"/>
  <c r="G58" i="32"/>
  <c r="E141" i="56"/>
  <c r="J83" i="56"/>
  <c r="H133" i="56"/>
  <c r="E144" i="56"/>
  <c r="D100" i="32"/>
  <c r="G72" i="32"/>
  <c r="G98" i="56"/>
  <c r="E197" i="32"/>
  <c r="E88" i="56"/>
  <c r="D82" i="32"/>
  <c r="H54" i="56"/>
  <c r="J63" i="32"/>
  <c r="H186" i="56"/>
  <c r="C94" i="56"/>
  <c r="F82" i="56"/>
  <c r="C62" i="32"/>
  <c r="E200" i="56"/>
  <c r="I66" i="56"/>
  <c r="J146" i="56"/>
  <c r="I165" i="32"/>
  <c r="G86" i="56"/>
  <c r="H124" i="32"/>
  <c r="J173" i="56"/>
  <c r="F128" i="32"/>
  <c r="I89" i="32"/>
  <c r="G81" i="56"/>
  <c r="C157" i="56"/>
  <c r="H56" i="32"/>
  <c r="I129" i="32"/>
  <c r="D117" i="32"/>
  <c r="C103" i="56"/>
  <c r="J152" i="32"/>
  <c r="D164" i="56"/>
  <c r="H112" i="56"/>
  <c r="E110" i="56"/>
  <c r="E92" i="32"/>
  <c r="H137" i="32"/>
  <c r="D57" i="56"/>
  <c r="J123" i="56"/>
  <c r="C97" i="56"/>
  <c r="I165" i="56"/>
  <c r="D120" i="56"/>
  <c r="E122" i="32"/>
  <c r="J150" i="32"/>
  <c r="J181" i="32"/>
  <c r="C65" i="56"/>
  <c r="E155" i="32"/>
  <c r="J160" i="32"/>
  <c r="I78" i="56"/>
  <c r="E170" i="56"/>
  <c r="G168" i="32"/>
  <c r="C108" i="56"/>
  <c r="D175" i="32"/>
  <c r="F97" i="56"/>
  <c r="E155" i="56"/>
  <c r="E165" i="56"/>
  <c r="I111" i="56"/>
  <c r="F139" i="56"/>
  <c r="F90" i="56"/>
  <c r="E134" i="32"/>
  <c r="J183" i="56"/>
  <c r="F166" i="56"/>
  <c r="J83" i="32"/>
  <c r="F135" i="56"/>
  <c r="F72" i="32"/>
  <c r="J163" i="56"/>
  <c r="F71" i="32"/>
  <c r="G89" i="56"/>
  <c r="I141" i="32"/>
  <c r="D99" i="56"/>
  <c r="C89" i="32"/>
  <c r="C68" i="32"/>
  <c r="C126" i="32"/>
  <c r="J89" i="56"/>
  <c r="I124" i="56"/>
  <c r="E60" i="32"/>
  <c r="D96" i="56"/>
  <c r="J182" i="32"/>
  <c r="C80" i="56"/>
  <c r="F130" i="56"/>
  <c r="G109" i="32"/>
  <c r="F187" i="56"/>
  <c r="J101" i="32"/>
  <c r="G120" i="56"/>
  <c r="J176" i="56"/>
  <c r="D154" i="56"/>
  <c r="I137" i="32"/>
  <c r="G100" i="32"/>
  <c r="E173" i="56"/>
  <c r="I175" i="32"/>
  <c r="D137" i="32"/>
  <c r="J143" i="32"/>
  <c r="I177" i="32"/>
  <c r="D78" i="32"/>
  <c r="F108" i="32"/>
  <c r="F63" i="32"/>
  <c r="D136" i="32"/>
  <c r="C149" i="32"/>
  <c r="C156" i="56"/>
  <c r="J178" i="32"/>
  <c r="H148" i="56"/>
  <c r="E199" i="56"/>
  <c r="H150" i="32"/>
  <c r="F171" i="56"/>
  <c r="I68" i="32"/>
  <c r="G160" i="32"/>
  <c r="E55" i="32"/>
  <c r="J151" i="32"/>
  <c r="D57" i="32"/>
  <c r="G79" i="56"/>
  <c r="F175" i="32"/>
  <c r="C151" i="56"/>
  <c r="H98" i="56"/>
  <c r="C185" i="32"/>
  <c r="I179" i="56"/>
  <c r="J172" i="56"/>
  <c r="G171" i="32"/>
  <c r="H169" i="56"/>
  <c r="J71" i="32"/>
  <c r="H178" i="32"/>
  <c r="C168" i="56"/>
  <c r="J138" i="56"/>
  <c r="F89" i="32"/>
  <c r="E120" i="32"/>
  <c r="E176" i="56"/>
  <c r="E65" i="56"/>
  <c r="G68" i="56"/>
  <c r="J76" i="32"/>
  <c r="C162" i="56"/>
  <c r="J191" i="32"/>
  <c r="J97" i="32"/>
  <c r="I55" i="32"/>
  <c r="J75" i="56"/>
  <c r="E87" i="32"/>
  <c r="C194" i="56"/>
  <c r="I95" i="32"/>
  <c r="H81" i="32"/>
  <c r="D126" i="56"/>
  <c r="E137" i="56"/>
  <c r="E191" i="56"/>
  <c r="F125" i="32"/>
  <c r="J169" i="32"/>
  <c r="J151" i="59"/>
  <c r="G91" i="56"/>
  <c r="D98" i="56"/>
  <c r="G63" i="32"/>
  <c r="C129" i="32"/>
  <c r="H155" i="32"/>
  <c r="G198" i="32"/>
  <c r="C59" i="32"/>
  <c r="J165" i="32"/>
  <c r="D162" i="56"/>
  <c r="I60" i="56"/>
  <c r="H51" i="32"/>
  <c r="H183" i="32"/>
  <c r="C66" i="56"/>
  <c r="C114" i="56"/>
  <c r="J200" i="32"/>
  <c r="J181" i="56"/>
  <c r="F169" i="32"/>
  <c r="D181" i="32"/>
  <c r="H83" i="56"/>
  <c r="D133" i="32"/>
  <c r="G131" i="56"/>
  <c r="J162" i="32"/>
  <c r="I61" i="56"/>
  <c r="G103" i="32"/>
  <c r="D123" i="32"/>
  <c r="I176" i="32"/>
  <c r="J91" i="32"/>
  <c r="D177" i="32"/>
  <c r="C130" i="56"/>
  <c r="F143" i="56"/>
  <c r="F143" i="32"/>
  <c r="J104" i="56"/>
  <c r="J172" i="32"/>
  <c r="H152" i="32"/>
  <c r="D96" i="32"/>
  <c r="I143" i="32"/>
  <c r="F192" i="32"/>
  <c r="J171" i="32"/>
  <c r="J180" i="32"/>
  <c r="E172" i="56"/>
  <c r="F71" i="56"/>
  <c r="G127" i="32"/>
  <c r="H177" i="32"/>
  <c r="G162" i="56"/>
  <c r="D176" i="32"/>
  <c r="C199" i="56"/>
  <c r="E107" i="56"/>
  <c r="J98" i="56"/>
  <c r="F147" i="32"/>
  <c r="I118" i="56"/>
  <c r="J79" i="59"/>
  <c r="D70" i="32"/>
  <c r="F56" i="56"/>
  <c r="D84" i="56"/>
  <c r="C146" i="56"/>
  <c r="F156" i="56"/>
  <c r="G85" i="56"/>
  <c r="D83" i="56"/>
  <c r="D84" i="32"/>
  <c r="E56" i="56"/>
  <c r="G61" i="32"/>
  <c r="G65" i="56"/>
  <c r="E160" i="56"/>
  <c r="E181" i="32"/>
  <c r="C68" i="56"/>
  <c r="I86" i="32"/>
  <c r="I97" i="56"/>
  <c r="C84" i="32"/>
  <c r="G198" i="56"/>
  <c r="C60" i="32"/>
  <c r="D94" i="32"/>
  <c r="E78" i="56"/>
  <c r="C83" i="56"/>
  <c r="I52" i="56"/>
  <c r="H123" i="56"/>
  <c r="I112" i="56"/>
  <c r="J95" i="56"/>
  <c r="D193" i="56"/>
  <c r="D93" i="56"/>
  <c r="H108" i="56"/>
  <c r="D131" i="32"/>
  <c r="H127" i="32"/>
  <c r="E159" i="32"/>
  <c r="E61" i="32"/>
  <c r="F163" i="56"/>
  <c r="D85" i="32"/>
  <c r="F79" i="32"/>
  <c r="C76" i="56"/>
  <c r="J102" i="56"/>
  <c r="J129" i="32"/>
  <c r="G154" i="32"/>
  <c r="H200" i="32"/>
  <c r="H125" i="56"/>
  <c r="C111" i="56"/>
  <c r="G166" i="32"/>
  <c r="G157" i="56"/>
  <c r="E198" i="56"/>
  <c r="D186" i="56"/>
  <c r="G106" i="32"/>
  <c r="F119" i="56"/>
  <c r="H192" i="56"/>
  <c r="E196" i="32"/>
  <c r="G54" i="32"/>
  <c r="I74" i="56"/>
  <c r="C104" i="32"/>
  <c r="H145" i="32"/>
  <c r="F85" i="56"/>
  <c r="I173" i="56"/>
  <c r="C128" i="56"/>
  <c r="H175" i="32"/>
  <c r="G154" i="56"/>
  <c r="I154" i="32"/>
  <c r="I87" i="32"/>
  <c r="J190" i="56"/>
  <c r="E192" i="56"/>
  <c r="J107" i="32"/>
  <c r="C100" i="32"/>
  <c r="G158" i="56"/>
  <c r="D187" i="32"/>
  <c r="F89" i="56"/>
  <c r="E104" i="56"/>
  <c r="D182" i="32"/>
  <c r="F146" i="32"/>
  <c r="F78" i="32"/>
  <c r="D107" i="32"/>
  <c r="E151" i="56"/>
  <c r="D99" i="32"/>
  <c r="E99" i="56"/>
  <c r="I192" i="56"/>
  <c r="D177" i="56"/>
  <c r="I109" i="32"/>
  <c r="C136" i="56"/>
  <c r="E84" i="56"/>
  <c r="D158" i="32"/>
  <c r="F64" i="32"/>
  <c r="H170" i="32"/>
  <c r="J152" i="56"/>
  <c r="F128" i="56"/>
  <c r="G185" i="32"/>
  <c r="G90" i="56"/>
  <c r="G180" i="32"/>
  <c r="C107" i="32"/>
  <c r="C57" i="56"/>
  <c r="F68" i="32"/>
  <c r="I53" i="32"/>
  <c r="C52" i="32"/>
  <c r="C200" i="32"/>
  <c r="D122" i="56"/>
  <c r="I130" i="32"/>
  <c r="H127" i="56"/>
  <c r="F168" i="32"/>
  <c r="C101" i="32"/>
  <c r="C95" i="56"/>
  <c r="C147" i="56"/>
  <c r="D87" i="56"/>
  <c r="E131" i="32"/>
  <c r="E167" i="56"/>
  <c r="F99" i="32"/>
  <c r="C105" i="56"/>
  <c r="I185" i="56"/>
  <c r="C82" i="32"/>
  <c r="E96" i="32"/>
  <c r="H167" i="32"/>
  <c r="E87" i="56"/>
  <c r="J173" i="32"/>
  <c r="G177" i="32"/>
  <c r="J72" i="32"/>
  <c r="E89" i="32"/>
  <c r="F127" i="56"/>
  <c r="D106" i="32"/>
  <c r="F112" i="56"/>
  <c r="J175" i="56"/>
  <c r="J179" i="32"/>
  <c r="E193" i="32"/>
  <c r="D109" i="56"/>
  <c r="I166" i="56"/>
  <c r="D153" i="32"/>
  <c r="E126" i="56"/>
  <c r="J71" i="56"/>
  <c r="D178" i="32"/>
  <c r="I160" i="56"/>
  <c r="I66" i="32"/>
  <c r="H118" i="32"/>
  <c r="D176" i="56"/>
  <c r="F104" i="32"/>
  <c r="J124" i="32"/>
  <c r="E79" i="56"/>
  <c r="J57" i="56"/>
  <c r="C120" i="56"/>
  <c r="G121" i="32"/>
  <c r="E128" i="56"/>
  <c r="F97" i="32"/>
  <c r="J149" i="32"/>
  <c r="J73" i="32"/>
  <c r="H134" i="32"/>
  <c r="D68" i="32"/>
  <c r="G188" i="56"/>
  <c r="G174" i="56"/>
  <c r="J65" i="32"/>
  <c r="F147" i="56"/>
  <c r="E181" i="56"/>
  <c r="C117" i="56"/>
  <c r="F195" i="56"/>
  <c r="D166" i="56"/>
  <c r="E178" i="32"/>
  <c r="G141" i="56"/>
  <c r="G123" i="56"/>
  <c r="E172" i="32"/>
  <c r="I67" i="56"/>
  <c r="C160" i="56"/>
  <c r="D123" i="56"/>
  <c r="H171" i="32"/>
  <c r="E70" i="56"/>
  <c r="I167" i="56"/>
  <c r="D180" i="32"/>
  <c r="C91" i="32"/>
  <c r="E124" i="32"/>
  <c r="I191" i="32"/>
  <c r="I57" i="56"/>
  <c r="F132" i="32"/>
  <c r="C56" i="56"/>
  <c r="H141" i="56"/>
  <c r="D137" i="56"/>
  <c r="D191" i="32"/>
  <c r="G192" i="56"/>
  <c r="C184" i="56"/>
  <c r="E183" i="56"/>
  <c r="H78" i="32"/>
  <c r="H120" i="32"/>
  <c r="J184" i="32"/>
  <c r="E75" i="56"/>
  <c r="C67" i="32"/>
  <c r="C82" i="56"/>
  <c r="J58" i="56"/>
  <c r="G102" i="56"/>
  <c r="G117" i="56"/>
  <c r="E67" i="56"/>
  <c r="D192" i="32"/>
  <c r="I161" i="56"/>
  <c r="G186" i="32"/>
  <c r="E83" i="56"/>
  <c r="J156" i="56"/>
  <c r="C168" i="32"/>
  <c r="J140" i="56"/>
  <c r="J89" i="32"/>
  <c r="G93" i="32"/>
  <c r="F115" i="56"/>
  <c r="F59" i="32"/>
  <c r="E75" i="32"/>
  <c r="D92" i="56"/>
  <c r="C75" i="56"/>
  <c r="D111" i="56"/>
  <c r="H195" i="32"/>
  <c r="E161" i="56"/>
  <c r="H91" i="32"/>
  <c r="H142" i="32"/>
  <c r="D72" i="56"/>
  <c r="G128" i="56"/>
  <c r="C192" i="32"/>
  <c r="D95" i="56"/>
  <c r="C118" i="56"/>
  <c r="D102" i="56"/>
  <c r="D138" i="32"/>
  <c r="I172" i="56"/>
  <c r="J119" i="56"/>
  <c r="E52" i="32"/>
  <c r="C119" i="32"/>
  <c r="C127" i="32"/>
  <c r="D113" i="56"/>
  <c r="H63" i="32"/>
  <c r="J60" i="32"/>
  <c r="J131" i="56"/>
  <c r="I111" i="32"/>
  <c r="G160" i="56"/>
  <c r="F65" i="56"/>
  <c r="F87" i="56"/>
  <c r="G84" i="32"/>
  <c r="I74" i="32"/>
  <c r="D184" i="56"/>
  <c r="H96" i="32"/>
  <c r="H166" i="56"/>
  <c r="G156" i="56"/>
  <c r="I178" i="56"/>
  <c r="G124" i="56"/>
  <c r="G173" i="56"/>
  <c r="H151" i="56"/>
  <c r="H123" i="32"/>
  <c r="C150" i="56"/>
  <c r="J128" i="32"/>
  <c r="G167" i="32"/>
  <c r="J158" i="56"/>
  <c r="G155" i="32"/>
  <c r="C100" i="56"/>
  <c r="D117" i="56"/>
  <c r="E123" i="56"/>
  <c r="F105" i="56"/>
  <c r="E163" i="32"/>
  <c r="J99" i="32"/>
  <c r="I86" i="56"/>
  <c r="F120" i="32"/>
  <c r="G136" i="32"/>
  <c r="E178" i="56"/>
  <c r="I153" i="56"/>
  <c r="I140" i="56"/>
  <c r="G121" i="56"/>
  <c r="H139" i="32"/>
  <c r="F78" i="56"/>
  <c r="C103" i="32"/>
  <c r="D108" i="32"/>
  <c r="I89" i="56"/>
  <c r="H130" i="32"/>
  <c r="J154" i="32"/>
  <c r="C59" i="56"/>
  <c r="G146" i="32"/>
  <c r="H68" i="32"/>
  <c r="D141" i="32"/>
  <c r="D174" i="32"/>
  <c r="F92" i="56"/>
  <c r="E97" i="32"/>
  <c r="F187" i="32"/>
  <c r="F120" i="56"/>
  <c r="D186" i="32"/>
  <c r="C71" i="59"/>
  <c r="D54" i="32"/>
  <c r="E139" i="56"/>
  <c r="C95" i="32"/>
  <c r="H174" i="56"/>
  <c r="F198" i="32"/>
  <c r="F114" i="56"/>
  <c r="C169" i="56"/>
  <c r="H147" i="32"/>
  <c r="I51" i="32"/>
  <c r="C126" i="56"/>
  <c r="I169" i="32"/>
  <c r="C132" i="56"/>
  <c r="F199" i="32"/>
  <c r="G104" i="56"/>
  <c r="E125" i="56"/>
  <c r="E73" i="56"/>
  <c r="C61" i="56"/>
  <c r="G97" i="56"/>
  <c r="G75" i="32"/>
  <c r="D124" i="32"/>
  <c r="D118" i="32"/>
  <c r="I122" i="56"/>
  <c r="J98" i="32"/>
  <c r="H114" i="56"/>
  <c r="H196" i="32"/>
  <c r="H57" i="32"/>
  <c r="J197" i="32"/>
  <c r="E142" i="32"/>
  <c r="G197" i="56"/>
  <c r="J67" i="32"/>
  <c r="G113" i="56"/>
  <c r="C189" i="56"/>
  <c r="E115" i="32"/>
  <c r="C163" i="32"/>
  <c r="I184" i="56"/>
  <c r="E85" i="32"/>
  <c r="F137" i="32"/>
  <c r="G59" i="32"/>
  <c r="F67" i="32"/>
  <c r="I169" i="56"/>
  <c r="G197" i="32"/>
  <c r="C158" i="56"/>
  <c r="J130" i="56"/>
  <c r="I122" i="32"/>
  <c r="D73" i="56"/>
  <c r="E93" i="32"/>
  <c r="G118" i="56"/>
  <c r="C198" i="32"/>
  <c r="F123" i="32"/>
  <c r="J187" i="56"/>
  <c r="E189" i="32"/>
  <c r="C145" i="56"/>
  <c r="E184" i="56"/>
  <c r="I121" i="32"/>
  <c r="H114" i="32"/>
  <c r="I55" i="56"/>
  <c r="F126" i="32"/>
  <c r="I113" i="56"/>
  <c r="J167" i="32"/>
  <c r="D145" i="56"/>
  <c r="G99" i="32"/>
  <c r="D53" i="56"/>
  <c r="C87" i="59"/>
  <c r="G146" i="56"/>
  <c r="H172" i="32"/>
  <c r="I130" i="56"/>
  <c r="F125" i="56"/>
  <c r="J117" i="32"/>
  <c r="J153" i="56"/>
  <c r="D161" i="56"/>
  <c r="E113" i="32"/>
  <c r="H65" i="56"/>
  <c r="I59" i="56"/>
  <c r="G179" i="32"/>
  <c r="H140" i="32"/>
  <c r="F130" i="32"/>
  <c r="E66" i="56"/>
  <c r="D162" i="32"/>
  <c r="F200" i="56"/>
  <c r="J105" i="32"/>
  <c r="D156" i="56"/>
  <c r="C177" i="32"/>
  <c r="G163" i="56"/>
  <c r="I181" i="56"/>
  <c r="G189" i="32"/>
  <c r="E136" i="56"/>
  <c r="H77" i="32"/>
  <c r="H61" i="32"/>
  <c r="H67" i="56"/>
  <c r="C161" i="56"/>
  <c r="I67" i="32"/>
  <c r="J110" i="56"/>
  <c r="I123" i="56"/>
  <c r="H129" i="32"/>
  <c r="F182" i="56"/>
  <c r="D107" i="56"/>
  <c r="D59" i="32"/>
  <c r="E160" i="32"/>
  <c r="I196" i="56"/>
  <c r="I191" i="56"/>
  <c r="F90" i="32"/>
  <c r="C125" i="56"/>
  <c r="J115" i="56"/>
  <c r="J153" i="32"/>
  <c r="H68" i="56"/>
  <c r="E111" i="32"/>
  <c r="E107" i="32"/>
  <c r="I81" i="32"/>
  <c r="F110" i="32"/>
  <c r="H161" i="56"/>
  <c r="C178" i="56"/>
  <c r="C124" i="32"/>
  <c r="D141" i="56"/>
  <c r="E147" i="56"/>
  <c r="C124" i="56"/>
  <c r="I193" i="56"/>
  <c r="F149" i="32"/>
  <c r="J107" i="56"/>
  <c r="D183" i="32"/>
  <c r="D87" i="32"/>
  <c r="I151" i="56"/>
  <c r="H198" i="56"/>
  <c r="D116" i="32"/>
  <c r="G108" i="56"/>
  <c r="E106" i="56"/>
  <c r="F191" i="56"/>
  <c r="D152" i="32"/>
  <c r="E156" i="32"/>
  <c r="G168" i="56"/>
  <c r="H173" i="32"/>
  <c r="G184" i="56"/>
  <c r="H167" i="56"/>
  <c r="D142" i="56"/>
  <c r="F131" i="32"/>
  <c r="E138" i="56"/>
  <c r="G82" i="32"/>
  <c r="G169" i="56"/>
  <c r="F98" i="56"/>
  <c r="F133" i="32"/>
  <c r="G106" i="56"/>
  <c r="C145" i="32"/>
  <c r="G199" i="32"/>
  <c r="D121" i="32"/>
  <c r="I93" i="32"/>
  <c r="J165" i="56"/>
  <c r="D103" i="56"/>
  <c r="F84" i="56"/>
  <c r="D133" i="56"/>
  <c r="I133" i="56"/>
  <c r="I82" i="56"/>
  <c r="G136" i="56"/>
  <c r="H132" i="56"/>
  <c r="I51" i="56"/>
  <c r="I70" i="32"/>
  <c r="D166" i="32"/>
  <c r="F57" i="32"/>
  <c r="G200" i="32"/>
  <c r="E99" i="32"/>
  <c r="J57" i="32"/>
  <c r="C63" i="32"/>
  <c r="I54" i="32"/>
  <c r="C137" i="56"/>
  <c r="C198" i="56"/>
  <c r="H124" i="56"/>
  <c r="F119" i="32"/>
  <c r="F64" i="56"/>
  <c r="J199" i="32"/>
  <c r="J151" i="56"/>
  <c r="J121" i="32"/>
  <c r="C138" i="32"/>
  <c r="G57" i="32"/>
  <c r="F112" i="32"/>
  <c r="G133" i="32"/>
  <c r="G74" i="32"/>
  <c r="C128" i="32"/>
  <c r="H151" i="32"/>
  <c r="F98" i="32"/>
  <c r="C58" i="56"/>
  <c r="F158" i="56"/>
  <c r="G62" i="56"/>
  <c r="F146" i="56"/>
  <c r="I194" i="32"/>
  <c r="D80" i="56"/>
  <c r="J64" i="56"/>
  <c r="H58" i="32"/>
  <c r="G152" i="32"/>
  <c r="H79" i="56"/>
  <c r="E199" i="32"/>
  <c r="C69" i="32"/>
  <c r="D101" i="32"/>
  <c r="D147" i="32"/>
  <c r="I75" i="56"/>
  <c r="G58" i="56"/>
  <c r="D77" i="32"/>
  <c r="F168" i="56"/>
  <c r="G182" i="56"/>
  <c r="G122" i="56"/>
  <c r="C186" i="32"/>
  <c r="J142" i="56"/>
  <c r="D127" i="56"/>
  <c r="F186" i="32"/>
  <c r="F137" i="56"/>
  <c r="D178" i="56"/>
  <c r="G170" i="56"/>
  <c r="C135" i="32"/>
  <c r="I189" i="32"/>
  <c r="C98" i="32"/>
  <c r="G125" i="56"/>
  <c r="E159" i="56"/>
  <c r="E152" i="32"/>
  <c r="F182" i="32"/>
  <c r="F59" i="56"/>
  <c r="I106" i="32"/>
  <c r="J101" i="56"/>
  <c r="J51" i="32"/>
  <c r="J81" i="32"/>
  <c r="D184" i="32"/>
  <c r="C152" i="56"/>
  <c r="C175" i="32"/>
  <c r="H55" i="56"/>
  <c r="H149" i="32"/>
  <c r="J85" i="32"/>
  <c r="C134" i="32"/>
  <c r="C119" i="56"/>
  <c r="E179" i="32"/>
  <c r="D90" i="56"/>
  <c r="D70" i="56"/>
  <c r="E102" i="32"/>
  <c r="C115" i="32"/>
  <c r="E115" i="56"/>
  <c r="G91" i="32"/>
  <c r="E56" i="32"/>
  <c r="C151" i="32"/>
  <c r="C154" i="32"/>
  <c r="F162" i="56"/>
  <c r="E63" i="32"/>
  <c r="E67" i="32"/>
  <c r="I163" i="56"/>
  <c r="J62" i="56"/>
  <c r="D151" i="56"/>
  <c r="G185" i="56"/>
  <c r="G158" i="32"/>
  <c r="C187" i="32"/>
  <c r="J55" i="56"/>
  <c r="F193" i="56"/>
  <c r="C138" i="56"/>
  <c r="E135" i="59"/>
  <c r="C92" i="56"/>
  <c r="G199" i="56"/>
  <c r="G120" i="32"/>
  <c r="F122" i="56"/>
  <c r="E136" i="32"/>
  <c r="F167" i="32"/>
  <c r="I143" i="56"/>
  <c r="F173" i="56"/>
  <c r="H85" i="56"/>
  <c r="F199" i="56"/>
  <c r="J117" i="56"/>
  <c r="H160" i="32"/>
  <c r="E108" i="56"/>
  <c r="H120" i="56"/>
  <c r="E53" i="32"/>
  <c r="C49" i="64"/>
  <c r="F49" i="64"/>
  <c r="J49" i="64"/>
  <c r="H49" i="64"/>
  <c r="G49" i="64"/>
  <c r="E49" i="64"/>
  <c r="D49" i="64"/>
  <c r="I49" i="64"/>
  <c r="R44" i="56"/>
  <c r="R45" i="56"/>
  <c r="R46" i="56"/>
  <c r="R47" i="56"/>
  <c r="C49" i="63"/>
  <c r="G49" i="63"/>
  <c r="J49" i="63"/>
  <c r="H49" i="63"/>
  <c r="I49" i="63"/>
  <c r="F49" i="63"/>
  <c r="D49" i="63"/>
  <c r="E49" i="63"/>
  <c r="Q44" i="56"/>
  <c r="Q45" i="56"/>
  <c r="Q46" i="56"/>
  <c r="Q47" i="56"/>
  <c r="H49" i="65"/>
  <c r="J49" i="65"/>
  <c r="C49" i="65"/>
  <c r="E49" i="65"/>
  <c r="F49" i="65"/>
  <c r="D49" i="65"/>
  <c r="I49" i="65"/>
  <c r="G49" i="65"/>
  <c r="S44" i="56"/>
  <c r="S45" i="56"/>
  <c r="S46" i="56"/>
  <c r="S47" i="56"/>
  <c r="O48" i="56"/>
  <c r="F49" i="62"/>
  <c r="G49" i="62"/>
  <c r="C49" i="62"/>
  <c r="J49" i="62"/>
  <c r="E49" i="62"/>
  <c r="H49" i="62"/>
  <c r="I49" i="62"/>
  <c r="D49" i="62"/>
  <c r="P44" i="56"/>
  <c r="P45" i="56"/>
  <c r="P46" i="56"/>
  <c r="P47" i="56"/>
  <c r="J49" i="68"/>
  <c r="I49" i="68"/>
  <c r="H49" i="68"/>
  <c r="E49" i="68"/>
  <c r="D49" i="68"/>
  <c r="C49" i="68"/>
  <c r="F49" i="68"/>
  <c r="G49" i="68"/>
  <c r="T44" i="56"/>
  <c r="T45" i="56"/>
  <c r="T46" i="56"/>
  <c r="T47" i="56"/>
  <c r="T48" i="56"/>
  <c r="J49" i="59"/>
  <c r="I49" i="59"/>
  <c r="H49" i="59"/>
  <c r="G49" i="59"/>
  <c r="F49" i="59"/>
  <c r="E49" i="59"/>
  <c r="D49" i="59"/>
  <c r="C49" i="59"/>
  <c r="M44" i="56"/>
  <c r="M45" i="56"/>
  <c r="M46" i="56"/>
  <c r="M47" i="56"/>
  <c r="L48" i="56"/>
  <c r="I49" i="53"/>
  <c r="G49" i="53"/>
  <c r="F49" i="53"/>
  <c r="H49" i="53"/>
  <c r="J49" i="53"/>
  <c r="C49" i="53"/>
  <c r="D49" i="53"/>
  <c r="E49" i="53"/>
  <c r="K45" i="56"/>
  <c r="K44" i="56"/>
  <c r="K46" i="56"/>
  <c r="K47" i="56"/>
  <c r="K48" i="56"/>
  <c r="P48" i="56"/>
  <c r="R34" i="56" l="1"/>
  <c r="L33" i="56"/>
  <c r="R33" i="56"/>
  <c r="O33" i="56"/>
  <c r="K33" i="56"/>
  <c r="T32" i="56"/>
  <c r="T34" i="56"/>
  <c r="Q34" i="56"/>
  <c r="S34" i="56"/>
  <c r="P34" i="56"/>
  <c r="P33" i="56"/>
  <c r="P32" i="56"/>
  <c r="M32" i="56"/>
  <c r="S33" i="56"/>
  <c r="N34" i="56"/>
  <c r="Q32" i="56"/>
  <c r="O32" i="56"/>
  <c r="N32" i="56"/>
  <c r="N33" i="56"/>
  <c r="R32" i="56"/>
  <c r="O34" i="56"/>
  <c r="T49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S49" i="56"/>
  <c r="C50" i="53"/>
  <c r="F50" i="53"/>
  <c r="E50" i="53"/>
  <c r="J50" i="53"/>
  <c r="G50" i="53"/>
  <c r="D50" i="53"/>
  <c r="H50" i="53"/>
  <c r="I50" i="53"/>
  <c r="R49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49" i="56"/>
  <c r="J50" i="56"/>
  <c r="R50" i="56"/>
  <c r="O50" i="56"/>
  <c r="I50" i="56"/>
  <c r="E50" i="56"/>
  <c r="G50" i="56"/>
  <c r="N50" i="56"/>
  <c r="H50" i="56"/>
  <c r="M50" i="56"/>
  <c r="D50" i="56"/>
  <c r="T50" i="56"/>
  <c r="S50" i="56"/>
  <c r="Q50" i="56"/>
  <c r="C50" i="56"/>
  <c r="P50" i="56"/>
  <c r="F50" i="56"/>
  <c r="K50" i="56"/>
  <c r="L50" i="56"/>
  <c r="F50" i="63"/>
  <c r="J50" i="63"/>
  <c r="D50" i="63"/>
  <c r="E50" i="63"/>
  <c r="H50" i="63"/>
  <c r="G50" i="63"/>
  <c r="C50" i="63"/>
  <c r="I50" i="63"/>
  <c r="K49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49" i="56"/>
</calcChain>
</file>

<file path=xl/sharedStrings.xml><?xml version="1.0" encoding="utf-8"?>
<sst xmlns="http://schemas.openxmlformats.org/spreadsheetml/2006/main" count="605" uniqueCount="192">
  <si>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</si>
  <si>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</si>
  <si>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</si>
  <si>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</si>
  <si>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</si>
  <si>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</si>
  <si>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</si>
  <si>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</si>
  <si>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</si>
  <si>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</si>
  <si>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</si>
  <si>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</si>
  <si>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</si>
  <si>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</si>
  <si>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</si>
  <si>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</si>
  <si>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</si>
  <si>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</si>
  <si>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</si>
  <si>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</si>
  <si>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</si>
  <si>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</si>
  <si>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</si>
  <si>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</si>
  <si>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</si>
  <si>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</si>
  <si>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</si>
  <si>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</si>
  <si>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</si>
  <si>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</si>
  <si>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</si>
  <si>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</si>
  <si>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</si>
  <si>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</si>
  <si>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</si>
  <si>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</si>
  <si>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</si>
  <si>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</si>
  <si>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</si>
  <si>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</si>
  <si>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</si>
  <si>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</si>
  <si>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</si>
  <si>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</si>
  <si>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</si>
  <si>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</si>
  <si>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</si>
  <si>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</si>
  <si>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</si>
  <si>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</si>
  <si>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</si>
  <si>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</si>
  <si>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</si>
  <si>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</si>
  <si>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</si>
  <si>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</si>
  <si>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</si>
  <si>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</si>
  <si>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</si>
  <si>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</si>
  <si>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</si>
  <si>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</si>
  <si>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</si>
  <si>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</si>
  <si>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</si>
  <si>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</si>
  <si>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</si>
  <si>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</si>
  <si>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</si>
  <si>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</si>
  <si>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</si>
  <si>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</si>
  <si>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</si>
  <si>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</si>
  <si>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</si>
  <si>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</si>
  <si>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</si>
  <si>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</si>
  <si>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</si>
  <si>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</si>
  <si>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</si>
  <si>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</si>
  <si>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</si>
  <si>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</si>
  <si>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</si>
  <si>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</si>
  <si>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</si>
  <si>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</si>
  <si>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</si>
  <si>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</si>
  <si>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</si>
  <si>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</si>
  <si>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</si>
  <si>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</si>
  <si>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</si>
  <si>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</si>
  <si>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</si>
  <si>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</si>
  <si>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</si>
  <si>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</si>
  <si>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</si>
  <si>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</si>
  <si>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</si>
  <si>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</si>
  <si>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</si>
  <si>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</si>
  <si>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</si>
  <si>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</si>
  <si>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</si>
  <si>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</si>
  <si>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</si>
  <si>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</si>
  <si>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</si>
  <si>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</si>
  <si>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</si>
  <si>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</si>
  <si>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</si>
  <si>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</si>
  <si>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</si>
  <si>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</si>
  <si>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</si>
  <si>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</si>
  <si>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</si>
  <si>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</si>
  <si>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</si>
  <si>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</si>
  <si>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</si>
  <si>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</si>
  <si>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</si>
  <si>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</si>
  <si>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</si>
  <si>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</si>
  <si>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10002405253
Tarefa 5522489752338</t>
  </si>
  <si>
    <t>HOMOLOGADOR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</si>
  <si>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</si>
  <si>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</si>
  <si>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</si>
  <si>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</si>
  <si>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</si>
  <si>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</si>
  <si>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</si>
  <si>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</si>
  <si>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</si>
  <si>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</si>
  <si>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</si>
  <si>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</si>
  <si>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</si>
  <si>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</si>
  <si>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</si>
  <si>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</si>
  <si>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</si>
  <si>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</si>
  <si>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</si>
  <si>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</si>
  <si>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 xml:space="preserve">Maurício </t>
  </si>
  <si>
    <t>04764682303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</si>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</sst>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10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1" xfId="0" quotePrefix="1" applyFont="1" applyBorder="1" applyAlignment="1">
      <alignment horizontal="left" vertical="center" wrapText="1"/>
    </xf>
    <xf numFmtId="0" fontId="8" fillId="0" borderId="1" xfId="1" applyBorder="1" applyAlignment="1">
      <alignment horizontal="left" vertical="center" wrapText="1"/>
    </xf>
    <xf numFmtId="0" fontId="8" fillId="0" borderId="1" xfId="1" applyFill="1" applyBorder="1" applyAlignment="1">
      <alignment horizontal="left" vertical="center" wrapText="1"/>
    </xf>
    <xf numFmtId="0" fontId="9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0" fillId="3" borderId="0" xfId="0" applyFont="1" applyFill="1" applyAlignment="1">
      <alignment horizontal="center"/>
    </xf>
    <xf numFmtId="0" fontId="14" fillId="0" borderId="0" xfId="1" applyFont="1"/>
    <xf numFmtId="0" fontId="9" fillId="0" borderId="0" xfId="1" applyFont="1"/>
    <xf numFmtId="0" fontId="10" fillId="0" borderId="0" xfId="1" applyFont="1" applyAlignment="1">
      <alignment wrapText="1"/>
    </xf>
    <xf numFmtId="0" fontId="8" fillId="0" borderId="0" xfId="1"/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0" fontId="14" fillId="6" borderId="0" xfId="0" applyFont="1" applyFill="1"/>
    <xf numFmtId="0" fontId="17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49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0" fillId="0" borderId="0" xfId="0" applyFont="1" applyAlignment="1">
      <alignment horizontal="center"/>
    </xf>
    <xf numFmtId="14" fontId="20" fillId="0" borderId="0" xfId="0" applyNumberFormat="1" applyFont="1" applyAlignment="1">
      <alignment horizontal="center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6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vertical="center"/>
      <protection locked="0"/>
    </xf>
    <xf numFmtId="0" fontId="4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1" fillId="0" borderId="0" xfId="0" applyFont="1" applyAlignment="1">
      <alignment horizontal="center"/>
    </xf>
    <xf numFmtId="0" fontId="22" fillId="0" borderId="0" xfId="0" applyFont="1"/>
    <xf numFmtId="0" fontId="5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4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5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4" borderId="1" xfId="0" applyFill="1" applyBorder="1" applyAlignment="1" applyProtection="1">
      <alignment horizontal="center" vertical="top" wrapText="1"/>
      <protection locked="0"/>
    </xf>
    <xf numFmtId="0" fontId="0" fillId="4" borderId="9" xfId="0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locked="0"/>
    </xf>
    <xf numFmtId="0" fontId="14" fillId="6" borderId="0" xfId="0" applyFont="1" applyFill="1" applyAlignment="1">
      <alignment horizontal="left" wrapText="1"/>
    </xf>
    <xf numFmtId="0" fontId="14" fillId="6" borderId="0" xfId="0" applyFont="1" applyFill="1" applyAlignment="1">
      <alignment horizontal="left"/>
    </xf>
    <xf numFmtId="0" fontId="14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</cellXfs>
  <cellStyles count="2">
    <cellStyle name="Hyperlink" xfId="1" xr:uid="{67B0A031-33AB-409A-9309-AA26B91177CC}"/>
    <cellStyle name="Normal" xfId="0" builtinId="0"/>
  </cellStyles>
  <dxfs count="388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80" dataDxfId="379" headerRowBorderDxfId="377" tableBorderDxfId="378" totalsRowBorderDxfId="376">
  <autoFilter ref="B7:P200" xr:uid="{2A9A6787-7B0C-4CC0-B98E-8516F35BBC20}"/>
  <tableColumns count="15">
    <tableColumn id="1" xr3:uid="{CD6ECAEE-66B3-420F-B518-A6B46751B3A1}" name="#" dataDxfId="375">
      <calculatedColumnFormula>IF(ISERR(casostestes[[#This Row],[ID]]),"-",casostestes[[#This Row],[ID]])</calculatedColumnFormula>
    </tableColumn>
    <tableColumn id="2" xr3:uid="{BB1F65E5-D895-4388-9FEF-11BA8AF13C40}" name="LIBERADO" dataDxfId="374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73">
      <calculatedColumnFormula>IFERROR(IF(VLOOKUP($B8,casostestes[#Data],2)=0,"-",VLOOKUP($B8,casostestes[#Data],2)), "-")</calculatedColumnFormula>
    </tableColumn>
    <tableColumn id="3" xr3:uid="{F0AD07FB-7FC0-478A-8E61-11D7CB6D0F7B}" name="CASO DE TESTE" dataDxfId="372">
      <calculatedColumnFormula>IFERROR(IF(VLOOKUP($B8,casostestes[#Data],3)=0,"-",VLOOKUP($B8,casostestes[#Data],3)), "-")</calculatedColumnFormula>
    </tableColumn>
    <tableColumn id="4" xr3:uid="{E522F20A-CF8F-43F5-BDD8-6D5C17B75A96}" name="CANAL" dataDxfId="371">
      <calculatedColumnFormula>IFERROR(IF(VLOOKUP($B8,casostestes[#Data],4)=0,"-",VLOOKUP($B8,casostestes[#Data],4)),"-")</calculatedColumnFormula>
    </tableColumn>
    <tableColumn id="5" xr3:uid="{CB19B151-6186-4C9B-8391-96DB1E79F332}" name="PAPEL" dataDxfId="370">
      <calculatedColumnFormula>IFERROR(IF(VLOOKUP($B8,casostestes[#Data],5)=0,"-",VLOOKUP($B8,casostestes[#Data],5)),"-")</calculatedColumnFormula>
    </tableColumn>
    <tableColumn id="6" xr3:uid="{14CD8158-101E-4D64-8C31-AA5FEC25F48D}" name="FLUXO" dataDxfId="369">
      <calculatedColumnFormula>IFERROR(IF(VLOOKUP($B8,casostestes[#Data],6)=0,"-",VLOOKUP($B8,casostestes[#Data],6)),"-")</calculatedColumnFormula>
    </tableColumn>
    <tableColumn id="8" xr3:uid="{5AA1DD0C-8F31-4236-A2AB-089CDD8DE3AA}" name="PARÂMETROS" dataDxfId="368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67">
      <calculatedColumnFormula>IFERROR(IF(VLOOKUP($B8,casostestes[#Data],9)=0,"-",VLOOKUP($B8,casostestes[#Data],9)),"-")</calculatedColumnFormula>
    </tableColumn>
    <tableColumn id="10" xr3:uid="{86653CCC-A4F3-4277-A690-E16C8F3E7B75}" name="DATA EXECUÇÃO" dataDxfId="366"/>
    <tableColumn id="16" xr3:uid="{DFB2FB32-E6E4-45EF-B36E-4F7DFD9E754F}" name="MASSA" dataDxfId="365"/>
    <tableColumn id="11" xr3:uid="{7E37877D-16C5-4D3C-AC1C-B0CEE77B8FF2}" name="STATUS CT" dataDxfId="364"/>
    <tableColumn id="12" xr3:uid="{819922A2-32D1-4EF4-952A-CC464AD0B2AF}" name="RESULTADO ENCONTRADO" dataDxfId="363"/>
    <tableColumn id="13" xr3:uid="{F480B946-9132-4D43-8F60-BBCDBE45D259}" name="ANÁLISE DATAPREV" dataDxfId="362"/>
    <tableColumn id="14" xr3:uid="{74B7411B-D1B8-4F2A-BED4-C92ED4E65BD0}" name="MELHORIAS" dataDxfId="3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60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59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58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57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56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55" dataDxfId="354" headerRowBorderDxfId="353">
  <tableColumns count="11">
    <tableColumn id="1" xr3:uid="{D0EB34F0-228A-4DA3-8F50-658F31857596}" name="ID" dataDxfId="352">
      <calculatedColumnFormula>IF(B7="ID",1,B7+1)</calculatedColumnFormula>
    </tableColumn>
    <tableColumn id="2" xr3:uid="{3B7B72C8-9DED-4116-9AD8-068217BA72DD}" name="MACROPROCESSO" dataDxfId="351"/>
    <tableColumn id="11" xr3:uid="{9E29CDB8-0058-4D93-917D-61551EB0CA18}" name="CASO DE TESTE" dataDxfId="350"/>
    <tableColumn id="3" xr3:uid="{472C9E90-65CD-4B11-9A5F-5EB1937E4FFA}" name="CANAL" dataDxfId="349"/>
    <tableColumn id="4" xr3:uid="{59656E50-12E3-46C3-A13A-26951B1820C9}" name="PAPEL" dataDxfId="348"/>
    <tableColumn id="5" xr3:uid="{AEA2FAED-7D2E-4293-BBCA-79ED6EEA32D0}" name="FLUXO" dataDxfId="347"/>
    <tableColumn id="6" xr3:uid="{DC862479-F96A-4489-B754-E460AC31CD87}" name="MASSA" dataDxfId="346" dataCellStyle="Hyperlink"/>
    <tableColumn id="7" xr3:uid="{AEBD9D93-3FD7-4DA9-A8E3-765EAB74169E}" name="PARAMETROS" dataDxfId="345"/>
    <tableColumn id="8" xr3:uid="{E5DC80E1-82D1-44C1-A569-B12CF2AC255A}" name="RESULTADO ESPERADO" dataDxfId="344"/>
    <tableColumn id="9" xr3:uid="{35CD6638-BA69-4411-9508-669D88717D8A}" name="LIBERADO" dataDxfId="343"/>
    <tableColumn id="10" xr3:uid="{FE7FD030-91DD-4BDD-8D25-29CA6181C222}" name="ASSUNTO" dataDxfId="3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314" dataDxfId="313" headerRowBorderDxfId="311" tableBorderDxfId="312" totalsRowBorderDxfId="310">
  <autoFilter ref="B7:R200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9F05101B-C5DF-4FB5-9A89-875AC621594D}" name="#" dataDxfId="280">
      <calculatedColumnFormula>IF(ISERR(casostestes[[#This Row],[ID]]),"-",casostestes[[#This Row],[ID]])</calculatedColumnFormula>
    </tableColumn>
    <tableColumn id="2" xr3:uid="{68397B13-0B1F-4E77-98E8-BDD88BD6322D}" name="LIBERADO" dataDxfId="279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78">
      <calculatedColumnFormula>IFERROR(IF(VLOOKUP($B8,casostestes[#Data],2)=0,"-",VLOOKUP($B8,casostestes[#Data],2)), "-")</calculatedColumnFormula>
    </tableColumn>
    <tableColumn id="3" xr3:uid="{86929D29-056B-4DF7-8D36-F28705172752}" name="CASO DE TESTE" dataDxfId="277">
      <calculatedColumnFormula>IFERROR(IF(VLOOKUP($B8,casostestes[#Data],3)=0,"-",VLOOKUP($B8,casostestes[#Data],3)), "-")</calculatedColumnFormula>
    </tableColumn>
    <tableColumn id="4" xr3:uid="{521F4C47-FD2A-4C12-A264-FA01CFF976D5}" name="CANAL" dataDxfId="276">
      <calculatedColumnFormula>IFERROR(IF(VLOOKUP($B8,casostestes[#Data],4)=0,"-",VLOOKUP($B8,casostestes[#Data],4)),"-")</calculatedColumnFormula>
    </tableColumn>
    <tableColumn id="5" xr3:uid="{E3DE55C6-CB04-4A12-BB8B-51E17BF8C708}" name="PAPEL" dataDxfId="275">
      <calculatedColumnFormula>IFERROR(IF(VLOOKUP($B8,casostestes[#Data],5)=0,"-",VLOOKUP($B8,casostestes[#Data],5)),"-")</calculatedColumnFormula>
    </tableColumn>
    <tableColumn id="6" xr3:uid="{9CA0DA80-9A2D-41E8-82C9-DCEB66C405EA}" name="FLUXO" dataDxfId="274">
      <calculatedColumnFormula>IFERROR(IF(VLOOKUP($B8,casostestes[#Data],6)=0,"-",VLOOKUP($B8,casostestes[#Data],6)),"-")</calculatedColumnFormula>
    </tableColumn>
    <tableColumn id="8" xr3:uid="{5ECA6CDD-AADE-488D-863B-D33E39299363}" name="PARÂMETROS" dataDxfId="273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72">
      <calculatedColumnFormula>IFERROR(IF(VLOOKUP($B8,casostestes[#Data],9)=0,"-",VLOOKUP($B8,casostestes[#Data],9)),"-")</calculatedColumnFormula>
    </tableColumn>
    <tableColumn id="10" xr3:uid="{B2BBA4E5-AC50-4B8B-B7A8-E1DD77FB5C43}" name="DATA EXECUÇÃO" dataDxfId="271"/>
    <tableColumn id="16" xr3:uid="{6D6D084C-14DB-4F3A-8F46-CDAC568FA09F}" name="MASSA" dataDxfId="270"/>
    <tableColumn id="11" xr3:uid="{A7808337-6C25-4919-A4F6-4732D5331C27}" name="STATUS CT" dataDxfId="269"/>
    <tableColumn id="12" xr3:uid="{453CBABC-872B-4A93-8AEB-2D494BCFD478}" name="RESULTADO ENCONTRADO" dataDxfId="268"/>
    <tableColumn id="13" xr3:uid="{23F12758-5CA6-4A3A-AC28-23D35EF72803}" name="ANÁLISE DATAPREV" dataDxfId="267"/>
    <tableColumn id="14" xr3:uid="{ACE4556C-C8F7-4F74-B3D0-2A52B1B5FDF7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58" dataDxfId="257" headerRowBorderDxfId="255" tableBorderDxfId="256" totalsRowBorderDxfId="254">
  <autoFilter ref="B7:P200" xr:uid="{2A9A6787-7B0C-4CC0-B98E-8516F35BBC20}"/>
  <tableColumns count="15">
    <tableColumn id="1" xr3:uid="{68E02B3B-E588-4F42-978A-E6AD3F7B0CF9}" name="#" dataDxfId="253">
      <calculatedColumnFormula>IF(ISERR(casostestes[[#This Row],[ID]]),"-",casostestes[[#This Row],[ID]])</calculatedColumnFormula>
    </tableColumn>
    <tableColumn id="2" xr3:uid="{17ECC87F-880E-40C0-90C6-2B7334A0A771}" name="LIBERADO" dataDxfId="252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51">
      <calculatedColumnFormula>IFERROR(IF(VLOOKUP($B8,casostestes[#Data],2)=0,"-",VLOOKUP($B8,casostestes[#Data],2)), "-")</calculatedColumnFormula>
    </tableColumn>
    <tableColumn id="3" xr3:uid="{26F424B3-9B6F-423C-803D-7338944BFA5F}" name="CASO DE TESTE" dataDxfId="250">
      <calculatedColumnFormula>IFERROR(IF(VLOOKUP($B8,casostestes[#Data],3)=0,"-",VLOOKUP($B8,casostestes[#Data],3)), "-")</calculatedColumnFormula>
    </tableColumn>
    <tableColumn id="4" xr3:uid="{D3634530-29BC-4A32-9DD9-0C657905AAA6}" name="CANAL" dataDxfId="249">
      <calculatedColumnFormula>IFERROR(IF(VLOOKUP($B8,casostestes[#Data],4)=0,"-",VLOOKUP($B8,casostestes[#Data],4)),"-")</calculatedColumnFormula>
    </tableColumn>
    <tableColumn id="5" xr3:uid="{9396216E-061E-46D4-8F4D-966A2BE1DFA2}" name="PAPEL" dataDxfId="248">
      <calculatedColumnFormula>IFERROR(IF(VLOOKUP($B8,casostestes[#Data],5)=0,"-",VLOOKUP($B8,casostestes[#Data],5)),"-")</calculatedColumnFormula>
    </tableColumn>
    <tableColumn id="6" xr3:uid="{DDD2A7FC-246F-4F9E-BED1-B44D46FC11C2}" name="FLUXO" dataDxfId="247">
      <calculatedColumnFormula>IFERROR(IF(VLOOKUP($B8,casostestes[#Data],6)=0,"-",VLOOKUP($B8,casostestes[#Data],6)),"-")</calculatedColumnFormula>
    </tableColumn>
    <tableColumn id="8" xr3:uid="{DE88BBBC-53FC-4DFB-8E4E-E62E5F88CACD}" name="PARÂMETROS" dataDxfId="246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45">
      <calculatedColumnFormula>IFERROR(IF(VLOOKUP($B8,casostestes[#Data],9)=0,"-",VLOOKUP($B8,casostestes[#Data],9)),"-")</calculatedColumnFormula>
    </tableColumn>
    <tableColumn id="10" xr3:uid="{06B84C26-B41A-4216-A936-D2F05EA3A991}" name="DATA EXECUÇÃO" dataDxfId="244"/>
    <tableColumn id="16" xr3:uid="{9EE47E3F-50A0-413F-A962-A7A4588EBDCE}" name="MASSA" dataDxfId="243"/>
    <tableColumn id="11" xr3:uid="{53C05140-3996-4537-95E6-933EF3A7422D}" name="STATUS CT" dataDxfId="242"/>
    <tableColumn id="12" xr3:uid="{55CC4BC3-7184-41F2-9E0C-0FC56411E952}" name="RESULTADO ENCONTRADO" dataDxfId="241"/>
    <tableColumn id="13" xr3:uid="{EB38C6AF-7EA5-4A57-8140-24A1C7DF49DC}" name="ANÁLISE DATAPREV" dataDxfId="240"/>
    <tableColumn id="14" xr3:uid="{510F7C6B-C46D-4AFF-A275-A9AA0A0C50B0}" name="MELHORIAS" dataDxfId="23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29" headerRowBorderDxfId="227" tableBorderDxfId="228" totalsRowBorderDxfId="226">
  <autoFilter ref="B7:P200" xr:uid="{2A9A6787-7B0C-4CC0-B98E-8516F35BBC20}"/>
  <tableColumns count="15">
    <tableColumn id="1" xr3:uid="{933F96DE-101C-44F2-B285-505DF845FCAE}" name="#" dataDxfId="225">
      <calculatedColumnFormula>IF(ISERR(casostestes[[#This Row],[ID]]),"-",casostestes[[#This Row],[ID]])</calculatedColumnFormula>
    </tableColumn>
    <tableColumn id="2" xr3:uid="{9AD5BC7C-1F34-4703-AF35-438DBB09545C}" name="LIBERADO" dataDxfId="224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23">
      <calculatedColumnFormula>IFERROR(IF(VLOOKUP($B8,casostestes[#Data],2)=0,"-",VLOOKUP($B8,casostestes[#Data],2)), "-")</calculatedColumnFormula>
    </tableColumn>
    <tableColumn id="3" xr3:uid="{1F9F3311-7E8A-4DA5-AF60-1416AE0866AD}" name="CASO DE TESTE" dataDxfId="222">
      <calculatedColumnFormula>IFERROR(IF(VLOOKUP($B8,casostestes[#Data],3)=0,"-",VLOOKUP($B8,casostestes[#Data],3)), "-")</calculatedColumnFormula>
    </tableColumn>
    <tableColumn id="4" xr3:uid="{5D182E4E-6D88-47B2-892C-A27A1144A8C9}" name="CANAL" dataDxfId="221">
      <calculatedColumnFormula>IFERROR(IF(VLOOKUP($B8,casostestes[#Data],4)=0,"-",VLOOKUP($B8,casostestes[#Data],4)),"-")</calculatedColumnFormula>
    </tableColumn>
    <tableColumn id="5" xr3:uid="{31D75F94-2661-4823-96B3-43DC2889DE1B}" name="PAPEL" dataDxfId="220">
      <calculatedColumnFormula>IFERROR(IF(VLOOKUP($B8,casostestes[#Data],5)=0,"-",VLOOKUP($B8,casostestes[#Data],5)),"-")</calculatedColumnFormula>
    </tableColumn>
    <tableColumn id="6" xr3:uid="{33FB4546-A164-4584-ABE3-EED2153BD32D}" name="FLUXO" dataDxfId="219">
      <calculatedColumnFormula>IFERROR(IF(VLOOKUP($B8,casostestes[#Data],6)=0,"-",VLOOKUP($B8,casostestes[#Data],6)),"-")</calculatedColumnFormula>
    </tableColumn>
    <tableColumn id="8" xr3:uid="{86CA2667-7392-4936-BE0F-9759BCCB26FA}" name="PARÂMETROS" dataDxfId="218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17">
      <calculatedColumnFormula>IFERROR(IF(VLOOKUP($B8,casostestes[#Data],9)=0,"-",VLOOKUP($B8,casostestes[#Data],9)),"-")</calculatedColumnFormula>
    </tableColumn>
    <tableColumn id="10" xr3:uid="{5D211014-81B5-4253-A4FE-6B7452CB3993}" name="DATA EXECUÇÃO" dataDxfId="216"/>
    <tableColumn id="16" xr3:uid="{292163D2-BBE9-4D16-B39F-1F85548161FE}" name="MASSA" dataDxfId="215"/>
    <tableColumn id="11" xr3:uid="{9C020E8B-C034-40F6-BFF8-33B8536547B7}" name="STATUS CT" dataDxfId="214"/>
    <tableColumn id="12" xr3:uid="{D9EB6993-A629-4F2F-B77E-A1320F8387E4}" name="RESULTADO ENCONTRADO" dataDxfId="213"/>
    <tableColumn id="13" xr3:uid="{DDEB9215-032D-4CE8-91D9-BC656D8B06E2}" name="ANÁLISE DATAPREV" dataDxfId="212"/>
    <tableColumn id="14" xr3:uid="{FC3A2A8A-E2DD-4E03-9EF5-1F522CA9D6BF}" name="MELHORIAS" dataDxfId="21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01" headerRowBorderDxfId="199" tableBorderDxfId="200" totalsRowBorderDxfId="198">
  <autoFilter ref="B7:P199" xr:uid="{2A9A6787-7B0C-4CC0-B98E-8516F35BBC20}"/>
  <tableColumns count="15">
    <tableColumn id="1" xr3:uid="{6874BA9F-6243-4CE8-841F-1096005ABEBA}" name="#" dataDxfId="197">
      <calculatedColumnFormula>IF(ISERR(casostestes[[#This Row],[ID]]),"-",casostestes[[#This Row],[ID]])</calculatedColumnFormula>
    </tableColumn>
    <tableColumn id="2" xr3:uid="{50D763A2-B917-4F2B-A4C5-C664D2D09FD3}" name="LIBERADO" dataDxfId="196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195">
      <calculatedColumnFormula>IFERROR(IF(VLOOKUP($B8,casostestes[#Data],2)=0,"-",VLOOKUP($B8,casostestes[#Data],2)), "-")</calculatedColumnFormula>
    </tableColumn>
    <tableColumn id="3" xr3:uid="{3BF2EA24-FE5F-4AFE-8908-275FE8EDBBB8}" name="CASO DE TESTE" dataDxfId="194">
      <calculatedColumnFormula>IFERROR(IF(VLOOKUP($B8,casostestes[#Data],3)=0,"-",VLOOKUP($B8,casostestes[#Data],3)), "-")</calculatedColumnFormula>
    </tableColumn>
    <tableColumn id="4" xr3:uid="{A117383D-BAE7-426D-A3D3-DE133BAB6457}" name="CANAL" dataDxfId="193">
      <calculatedColumnFormula>IFERROR(IF(VLOOKUP($B8,casostestes[#Data],4)=0,"-",VLOOKUP($B8,casostestes[#Data],4)),"-")</calculatedColumnFormula>
    </tableColumn>
    <tableColumn id="5" xr3:uid="{5099438E-BE34-4E20-BD65-929FAB2F2FF9}" name="PAPEL" dataDxfId="192">
      <calculatedColumnFormula>IFERROR(IF(VLOOKUP($B8,casostestes[#Data],5)=0,"-",VLOOKUP($B8,casostestes[#Data],5)),"-")</calculatedColumnFormula>
    </tableColumn>
    <tableColumn id="6" xr3:uid="{13A45852-2E05-42D8-B3AB-A3DEE9FE2385}" name="FLUXO" dataDxfId="191">
      <calculatedColumnFormula>IFERROR(IF(VLOOKUP($B8,casostestes[#Data],6)=0,"-",VLOOKUP($B8,casostestes[#Data],6)),"-")</calculatedColumnFormula>
    </tableColumn>
    <tableColumn id="8" xr3:uid="{944D2A76-E78D-4D37-9019-EE2105D83FE8}" name="PARÂMETROS" dataDxfId="190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189">
      <calculatedColumnFormula>IFERROR(IF(VLOOKUP($B8,casostestes[#Data],9)=0,"-",VLOOKUP($B8,casostestes[#Data],9)),"-")</calculatedColumnFormula>
    </tableColumn>
    <tableColumn id="10" xr3:uid="{A4F3B7BC-6FAE-498D-954D-81FD5FC02CA2}" name="DATA EXECUÇÃO" dataDxfId="188"/>
    <tableColumn id="16" xr3:uid="{9D9B34A2-1BC9-4F49-A98B-CD5D9A14410C}" name="MASSA" dataDxfId="187"/>
    <tableColumn id="11" xr3:uid="{989C4A1A-FDFA-42D8-A49B-382F973EF677}" name="STATUS CT" dataDxfId="186"/>
    <tableColumn id="12" xr3:uid="{F32AEFB1-307B-4F40-8828-D041D4DBD6F3}" name="RESULTADO ENCONTRADO" dataDxfId="185"/>
    <tableColumn id="13" xr3:uid="{B0C97651-8E92-444B-A56A-FC5F8AB1CB6B}" name="ANÁLISE DATAPREV" dataDxfId="184"/>
    <tableColumn id="14" xr3:uid="{6D67D78C-BE5A-4FAC-A0B1-CE1253809445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6E2DCCE6-A38E-432B-B86C-7F9542B22798}" name="#" dataDxfId="170">
      <calculatedColumnFormula>IF(ISERR(casostestes[[#This Row],[ID]]),"-",casostestes[[#This Row],[ID]])</calculatedColumnFormula>
    </tableColumn>
    <tableColumn id="2" xr3:uid="{224ECCE4-3494-4666-A2FF-D46D44413FDB}" name="LIBERADO" dataDxfId="169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8">
      <calculatedColumnFormula>IFERROR(IF(VLOOKUP($B8,casostestes[#Data],2)=0,"-",VLOOKUP($B8,casostestes[#Data],2)), "-")</calculatedColumnFormula>
    </tableColumn>
    <tableColumn id="3" xr3:uid="{F2EC3461-3CC8-40F8-803E-A70981DA0AD2}" name="CASO DE TESTE" dataDxfId="167">
      <calculatedColumnFormula>IFERROR(IF(VLOOKUP($B8,casostestes[#Data],3)=0,"-",VLOOKUP($B8,casostestes[#Data],3)), "-")</calculatedColumnFormula>
    </tableColumn>
    <tableColumn id="4" xr3:uid="{918424FF-ACF3-44C6-990A-CA5C69181F06}" name="CANAL" dataDxfId="166">
      <calculatedColumnFormula>IFERROR(IF(VLOOKUP($B8,casostestes[#Data],4)=0,"-",VLOOKUP($B8,casostestes[#Data],4)),"-")</calculatedColumnFormula>
    </tableColumn>
    <tableColumn id="5" xr3:uid="{AC9E85CB-5C60-4817-84CD-FD81DBE2F311}" name="PAPEL" dataDxfId="165">
      <calculatedColumnFormula>IFERROR(IF(VLOOKUP($B8,casostestes[#Data],5)=0,"-",VLOOKUP($B8,casostestes[#Data],5)),"-")</calculatedColumnFormula>
    </tableColumn>
    <tableColumn id="6" xr3:uid="{337B8607-3D9D-4FF8-85C8-FE3B6413BBF4}" name="FLUXO" dataDxfId="164">
      <calculatedColumnFormula>IFERROR(IF(VLOOKUP($B8,casostestes[#Data],6)=0,"-",VLOOKUP($B8,casostestes[#Data],6)),"-")</calculatedColumnFormula>
    </tableColumn>
    <tableColumn id="8" xr3:uid="{3FA62794-1548-426C-81EF-118D9D87E3E2}" name="PARÂMETROS" dataDxfId="163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2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1"/>
    <tableColumn id="16" xr3:uid="{ED7B2AB9-4E2D-4AB3-BFB9-94500659A1E8}" name="MASSA" dataDxfId="160"/>
    <tableColumn id="11" xr3:uid="{F5C87111-B484-42B4-AE11-C52DD1F063A6}" name="STATUS CT" dataDxfId="159"/>
    <tableColumn id="12" xr3:uid="{45402182-3550-409D-9048-7393818B465C}" name="RESULTADO ENCONTRADO" dataDxfId="158"/>
    <tableColumn id="13" xr3:uid="{80C28258-8D6A-4E59-A43D-383EDBB61EAD}" name="ANÁLISE DATAPREV" dataDxfId="157"/>
    <tableColumn id="14" xr3:uid="{F47CF5A3-2587-4FE6-A9F7-A51AD21A2D09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26F536CF-C021-46A7-B7A6-C4372448D95F}" name="#" dataDxfId="143">
      <calculatedColumnFormula>IF(ISERR(casostestes[[#This Row],[ID]]),"-",casostestes[[#This Row],[ID]])</calculatedColumnFormula>
    </tableColumn>
    <tableColumn id="2" xr3:uid="{B95375AE-F904-4E7B-8F26-86C578C81EF4}" name="LIBERADO" dataDxfId="142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41">
      <calculatedColumnFormula>IFERROR(IF(VLOOKUP($B8,casostestes[#Data],2)=0,"-",VLOOKUP($B8,casostestes[#Data],2)), "-")</calculatedColumnFormula>
    </tableColumn>
    <tableColumn id="3" xr3:uid="{BCE721A9-4D42-4CE2-B7F6-D29E417DEBBF}" name="CASO DE TESTE" dataDxfId="140">
      <calculatedColumnFormula>IFERROR(IF(VLOOKUP($B8,casostestes[#Data],3)=0,"-",VLOOKUP($B8,casostestes[#Data],3)), "-")</calculatedColumnFormula>
    </tableColumn>
    <tableColumn id="4" xr3:uid="{D1B466F5-8105-4988-8BC4-FBC25E0EC679}" name="CANAL" dataDxfId="139">
      <calculatedColumnFormula>IFERROR(IF(VLOOKUP($B8,casostestes[#Data],4)=0,"-",VLOOKUP($B8,casostestes[#Data],4)),"-")</calculatedColumnFormula>
    </tableColumn>
    <tableColumn id="5" xr3:uid="{2449BC43-B224-402A-B980-4117980AD04E}" name="PAPEL" dataDxfId="138">
      <calculatedColumnFormula>IFERROR(IF(VLOOKUP($B8,casostestes[#Data],5)=0,"-",VLOOKUP($B8,casostestes[#Data],5)),"-")</calculatedColumnFormula>
    </tableColumn>
    <tableColumn id="6" xr3:uid="{1072E9EA-A1F4-4848-8D60-C413B7DEFF78}" name="FLUXO" dataDxfId="137">
      <calculatedColumnFormula>IFERROR(IF(VLOOKUP($B8,casostestes[#Data],6)=0,"-",VLOOKUP($B8,casostestes[#Data],6)),"-")</calculatedColumnFormula>
    </tableColumn>
    <tableColumn id="8" xr3:uid="{533D103D-F048-4445-B1B2-D86A9EC3CA70}" name="PARÂMETROS" dataDxfId="136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35">
      <calculatedColumnFormula>IFERROR(IF(VLOOKUP($B8,casostestes[#Data],9)=0,"-",VLOOKUP($B8,casostestes[#Data],9)),"-")</calculatedColumnFormula>
    </tableColumn>
    <tableColumn id="10" xr3:uid="{A27BC94A-EB91-4C31-BB91-D72A72622A99}" name="DATA EXECUÇÃO" dataDxfId="134"/>
    <tableColumn id="16" xr3:uid="{76DC394D-33D2-4BAD-B068-595434E78A79}" name="MASSA" dataDxfId="133"/>
    <tableColumn id="11" xr3:uid="{6D8EDC38-C1C5-46B1-A5EF-FD9DE77B4E9C}" name="STATUS CT" dataDxfId="132"/>
    <tableColumn id="12" xr3:uid="{A0B9E5E3-073D-4604-A843-D09FFA7127C0}" name="RESULTADO ENCONTRADO" dataDxfId="131"/>
    <tableColumn id="13" xr3:uid="{4B47270E-D7F7-4402-9701-3DBB352D7438}" name="ANÁLISE DATAPREV" dataDxfId="130"/>
    <tableColumn id="14" xr3:uid="{51FCD218-D248-404D-95AC-750785C0F90F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AD248FE-E344-4102-948C-F7C9D4B70F45}" name="#" dataDxfId="116">
      <calculatedColumnFormula>IF(ISERR(casostestes[[#This Row],[ID]]),"-",casostestes[[#This Row],[ID]])</calculatedColumnFormula>
    </tableColumn>
    <tableColumn id="2" xr3:uid="{49566043-D636-4593-8203-B87ACCA200FF}" name="LIBERADO" dataDxfId="115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14">
      <calculatedColumnFormula>IFERROR(IF(VLOOKUP($B8,casostestes[#Data],2)=0,"-",VLOOKUP($B8,casostestes[#Data],2)), "-")</calculatedColumnFormula>
    </tableColumn>
    <tableColumn id="3" xr3:uid="{B13C1441-0A69-40D5-B51B-AE3801BBB162}" name="CASO DE TESTE" dataDxfId="113">
      <calculatedColumnFormula>IFERROR(IF(VLOOKUP($B8,casostestes[#Data],3)=0,"-",VLOOKUP($B8,casostestes[#Data],3)), "-")</calculatedColumnFormula>
    </tableColumn>
    <tableColumn id="4" xr3:uid="{3D1D8A76-D223-48C9-AFB5-0CE46D693FF4}" name="CANAL" dataDxfId="112">
      <calculatedColumnFormula>IFERROR(IF(VLOOKUP($B8,casostestes[#Data],4)=0,"-",VLOOKUP($B8,casostestes[#Data],4)),"-")</calculatedColumnFormula>
    </tableColumn>
    <tableColumn id="5" xr3:uid="{A1DB1515-69AD-447D-ADF2-3E22F3C1F819}" name="PAPEL" dataDxfId="111">
      <calculatedColumnFormula>IFERROR(IF(VLOOKUP($B8,casostestes[#Data],5)=0,"-",VLOOKUP($B8,casostestes[#Data],5)),"-")</calculatedColumnFormula>
    </tableColumn>
    <tableColumn id="6" xr3:uid="{641CE2FD-14B7-4637-8679-2A8D8A6340F0}" name="FLUXO" dataDxfId="110">
      <calculatedColumnFormula>IFERROR(IF(VLOOKUP($B8,casostestes[#Data],6)=0,"-",VLOOKUP($B8,casostestes[#Data],6)),"-")</calculatedColumnFormula>
    </tableColumn>
    <tableColumn id="8" xr3:uid="{D1E7020F-D2A3-4CD4-BD60-9EEBF8439C48}" name="PARÂMETROS" dataDxfId="109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08">
      <calculatedColumnFormula>IFERROR(IF(VLOOKUP($B8,casostestes[#Data],9)=0,"-",VLOOKUP($B8,casostestes[#Data],9)),"-")</calculatedColumnFormula>
    </tableColumn>
    <tableColumn id="10" xr3:uid="{E9B67C74-6EE2-4CC6-B0FC-22CCBE502CC1}" name="DATA EXECUÇÃO" dataDxfId="107"/>
    <tableColumn id="16" xr3:uid="{433970DF-3EA2-48CC-8E6E-1D1BFB454331}" name="MASSA" dataDxfId="106"/>
    <tableColumn id="11" xr3:uid="{83F2CCD1-9627-4614-BBEA-3AFAB4464B45}" name="STATUS CT" dataDxfId="105"/>
    <tableColumn id="12" xr3:uid="{3616DE67-4411-4DAB-810A-A6357710D5B4}" name="RESULTADO ENCONTRADO" dataDxfId="104"/>
    <tableColumn id="13" xr3:uid="{ECFB2F9E-799E-4B21-94AF-98EDED94C8EF}" name="ANÁLISE DATAPREV" dataDxfId="103"/>
    <tableColumn id="14" xr3:uid="{960F5BCF-ABB9-4AD1-8BD6-A57A6AD4EE50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67" dataDxfId="66" headerRowBorderDxfId="64" tableBorderDxfId="65" totalsRowBorderDxfId="63">
  <autoFilter ref="B7:P200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9" totalsRowShown="0" headerRowDxfId="19" dataDxfId="18" headerRowBorderDxfId="16" tableBorderDxfId="17" totalsRowBorderDxfId="15">
  <autoFilter ref="B7:P9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87" priority="6" operator="equal">
      <formula>"Sim"</formula>
    </cfRule>
    <cfRule type="cellIs" dxfId="386" priority="7" operator="equal">
      <formula>"Não"</formula>
    </cfRule>
  </conditionalFormatting>
  <conditionalFormatting sqref="M8:M200">
    <cfRule type="cellIs" dxfId="385" priority="1" operator="equal">
      <formula>"Sem massa"</formula>
    </cfRule>
    <cfRule type="cellIs" dxfId="384" priority="2" operator="equal">
      <formula>"Pendência Externa"</formula>
    </cfRule>
    <cfRule type="cellIs" dxfId="383" priority="3" operator="equal">
      <formula>"Disponível para reteste"</formula>
    </cfRule>
    <cfRule type="cellIs" dxfId="382" priority="4" operator="equal">
      <formula>"Reprovado"</formula>
    </cfRule>
    <cfRule type="cellIs" dxfId="381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topLeftCell="G1" workbookViewId="0">
      <selection activeCell="O8" sqref="O8"/>
    </sheetView>
  </sheetViews>
  <sheetFormatPr defaultColWidth="8.85546875" defaultRowHeight="14.4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5.9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4"/>
    </row>
    <row r="2" spans="2:12" s="1" customFormat="1" ht="23.45">
      <c r="B2" s="103" t="s">
        <v>40</v>
      </c>
      <c r="C2" s="103"/>
      <c r="D2" s="103"/>
      <c r="E2" s="103"/>
      <c r="F2" s="103"/>
      <c r="G2" s="103"/>
      <c r="H2" s="103"/>
      <c r="I2" s="103"/>
      <c r="J2" s="103"/>
      <c r="K2" s="103"/>
      <c r="L2" s="5"/>
    </row>
    <row r="3" spans="2:12" s="1" customFormat="1" ht="23.45">
      <c r="B3" s="103" t="s">
        <v>41</v>
      </c>
      <c r="C3" s="103"/>
      <c r="D3" s="103"/>
      <c r="E3" s="103"/>
      <c r="F3" s="103"/>
      <c r="G3" s="103"/>
      <c r="H3" s="103"/>
      <c r="I3" s="103"/>
      <c r="J3" s="103"/>
      <c r="K3" s="103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96.6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31"/>
      <c r="I8" s="29"/>
      <c r="J8" s="30" t="s">
        <v>48</v>
      </c>
      <c r="K8" s="29" t="s">
        <v>49</v>
      </c>
      <c r="L8" s="29"/>
    </row>
    <row r="9" spans="2:12" ht="237.6">
      <c r="B9" s="25">
        <f>IF(B8="ID",1,B8+1)</f>
        <v>2</v>
      </c>
      <c r="C9" s="26" t="s">
        <v>28</v>
      </c>
      <c r="D9" s="22" t="s">
        <v>50</v>
      </c>
      <c r="E9" s="26" t="s">
        <v>36</v>
      </c>
      <c r="F9" s="29" t="s">
        <v>37</v>
      </c>
      <c r="G9" s="22" t="s">
        <v>51</v>
      </c>
      <c r="H9" s="32"/>
      <c r="I9" s="29"/>
      <c r="J9" s="22" t="s">
        <v>52</v>
      </c>
      <c r="K9" s="29" t="s">
        <v>49</v>
      </c>
      <c r="L9" s="29"/>
    </row>
    <row r="10" spans="2:12" ht="211.15">
      <c r="B10" s="25">
        <f t="shared" ref="B10:B34" si="0">IF(B9="ID",1,B9+1)</f>
        <v>3</v>
      </c>
      <c r="C10" s="26" t="s">
        <v>28</v>
      </c>
      <c r="D10" s="22" t="s">
        <v>53</v>
      </c>
      <c r="E10" s="26" t="s">
        <v>36</v>
      </c>
      <c r="F10" s="29" t="s">
        <v>37</v>
      </c>
      <c r="G10" s="22" t="s">
        <v>54</v>
      </c>
      <c r="H10" s="32"/>
      <c r="I10" s="29"/>
      <c r="J10" s="22" t="s">
        <v>55</v>
      </c>
      <c r="K10" s="29" t="s">
        <v>49</v>
      </c>
      <c r="L10" s="29"/>
    </row>
    <row r="11" spans="2:12" ht="237.6">
      <c r="B11" s="25">
        <f t="shared" si="0"/>
        <v>4</v>
      </c>
      <c r="C11" s="26" t="s">
        <v>28</v>
      </c>
      <c r="D11" s="22" t="s">
        <v>56</v>
      </c>
      <c r="E11" s="26" t="s">
        <v>36</v>
      </c>
      <c r="F11" s="29" t="s">
        <v>37</v>
      </c>
      <c r="G11" s="22" t="s">
        <v>57</v>
      </c>
      <c r="H11" s="32"/>
      <c r="I11" s="29"/>
      <c r="J11" s="22" t="s">
        <v>58</v>
      </c>
      <c r="K11" s="29" t="s">
        <v>49</v>
      </c>
      <c r="L11" s="29"/>
    </row>
    <row r="12" spans="2:12" ht="158.44999999999999">
      <c r="B12" s="25">
        <f t="shared" si="0"/>
        <v>5</v>
      </c>
      <c r="C12" s="26" t="s">
        <v>28</v>
      </c>
      <c r="D12" s="22" t="s">
        <v>59</v>
      </c>
      <c r="E12" s="26" t="s">
        <v>36</v>
      </c>
      <c r="F12" s="29" t="s">
        <v>37</v>
      </c>
      <c r="G12" s="22" t="s">
        <v>60</v>
      </c>
      <c r="H12" s="32"/>
      <c r="I12" s="29"/>
      <c r="J12" s="22" t="s">
        <v>61</v>
      </c>
      <c r="K12" s="29" t="s">
        <v>49</v>
      </c>
      <c r="L12" s="29"/>
    </row>
    <row r="13" spans="2:12" ht="105.6">
      <c r="B13" s="25">
        <f t="shared" si="0"/>
        <v>6</v>
      </c>
      <c r="C13" s="26" t="s">
        <v>28</v>
      </c>
      <c r="D13" s="22" t="s">
        <v>62</v>
      </c>
      <c r="E13" s="26" t="s">
        <v>36</v>
      </c>
      <c r="F13" s="29" t="s">
        <v>37</v>
      </c>
      <c r="G13" s="22" t="s">
        <v>63</v>
      </c>
      <c r="H13" s="32"/>
      <c r="I13" s="29"/>
      <c r="J13" s="22" t="s">
        <v>64</v>
      </c>
      <c r="K13" s="29" t="s">
        <v>49</v>
      </c>
      <c r="L13" s="29"/>
    </row>
    <row r="14" spans="2:12" ht="211.15">
      <c r="B14" s="25">
        <f>IF(B13="ID",1,B13+1)</f>
        <v>7</v>
      </c>
      <c r="C14" s="26" t="s">
        <v>28</v>
      </c>
      <c r="D14" s="26" t="s">
        <v>65</v>
      </c>
      <c r="E14" s="26" t="s">
        <v>36</v>
      </c>
      <c r="F14" s="29" t="s">
        <v>37</v>
      </c>
      <c r="G14" s="22" t="s">
        <v>66</v>
      </c>
      <c r="H14" s="32"/>
      <c r="I14" s="29"/>
      <c r="J14" s="33" t="s">
        <v>67</v>
      </c>
      <c r="K14" s="29" t="s">
        <v>49</v>
      </c>
      <c r="L14" s="29"/>
    </row>
    <row r="15" spans="2:12" ht="211.15">
      <c r="B15" s="25">
        <f t="shared" si="0"/>
        <v>8</v>
      </c>
      <c r="C15" s="26" t="s">
        <v>28</v>
      </c>
      <c r="D15" s="26" t="s">
        <v>68</v>
      </c>
      <c r="E15" s="26" t="s">
        <v>36</v>
      </c>
      <c r="F15" s="29" t="s">
        <v>37</v>
      </c>
      <c r="G15" s="22" t="s">
        <v>69</v>
      </c>
      <c r="H15" s="32"/>
      <c r="I15" s="29"/>
      <c r="J15" s="33" t="s">
        <v>70</v>
      </c>
      <c r="K15" s="29" t="s">
        <v>49</v>
      </c>
      <c r="L15" s="29"/>
    </row>
    <row r="16" spans="2:12" ht="290.45">
      <c r="B16" s="25">
        <f t="shared" si="0"/>
        <v>9</v>
      </c>
      <c r="C16" s="26" t="s">
        <v>28</v>
      </c>
      <c r="D16" s="26" t="s">
        <v>71</v>
      </c>
      <c r="E16" s="26" t="s">
        <v>36</v>
      </c>
      <c r="F16" s="29" t="s">
        <v>37</v>
      </c>
      <c r="G16" s="22" t="s">
        <v>72</v>
      </c>
      <c r="H16" s="32"/>
      <c r="I16" s="29"/>
      <c r="J16" s="22" t="s">
        <v>73</v>
      </c>
      <c r="K16" s="29" t="s">
        <v>49</v>
      </c>
      <c r="L16" s="29"/>
    </row>
    <row r="17" spans="2:12" ht="277.14999999999998">
      <c r="B17" s="25">
        <f t="shared" si="0"/>
        <v>10</v>
      </c>
      <c r="C17" s="26" t="s">
        <v>28</v>
      </c>
      <c r="D17" s="26" t="s">
        <v>74</v>
      </c>
      <c r="E17" s="26" t="s">
        <v>36</v>
      </c>
      <c r="F17" s="29" t="s">
        <v>37</v>
      </c>
      <c r="G17" s="22" t="s">
        <v>75</v>
      </c>
      <c r="H17" s="32"/>
      <c r="I17" s="29"/>
      <c r="J17" s="22" t="s">
        <v>76</v>
      </c>
      <c r="K17" s="29" t="s">
        <v>49</v>
      </c>
      <c r="L17" s="29"/>
    </row>
    <row r="18" spans="2:12" ht="92.45">
      <c r="B18" s="25">
        <f t="shared" si="0"/>
        <v>11</v>
      </c>
      <c r="C18" s="26" t="s">
        <v>23</v>
      </c>
      <c r="D18" s="22" t="s">
        <v>77</v>
      </c>
      <c r="E18" s="26" t="s">
        <v>25</v>
      </c>
      <c r="F18" s="29" t="s">
        <v>26</v>
      </c>
      <c r="G18" s="22" t="s">
        <v>78</v>
      </c>
      <c r="H18" s="32"/>
      <c r="I18" s="29"/>
      <c r="J18" s="22" t="s">
        <v>79</v>
      </c>
      <c r="K18" s="29" t="s">
        <v>49</v>
      </c>
      <c r="L18" s="29"/>
    </row>
    <row r="19" spans="2:12" ht="237.6">
      <c r="B19" s="25">
        <f t="shared" si="0"/>
        <v>12</v>
      </c>
      <c r="C19" s="26" t="s">
        <v>28</v>
      </c>
      <c r="D19" s="26" t="s">
        <v>80</v>
      </c>
      <c r="E19" s="26" t="s">
        <v>25</v>
      </c>
      <c r="F19" s="29" t="s">
        <v>26</v>
      </c>
      <c r="G19" s="22" t="s">
        <v>51</v>
      </c>
      <c r="H19" s="32"/>
      <c r="I19" s="29"/>
      <c r="J19" s="22" t="s">
        <v>81</v>
      </c>
      <c r="K19" s="29" t="s">
        <v>49</v>
      </c>
      <c r="L19" s="29"/>
    </row>
    <row r="20" spans="2:12" ht="237.6">
      <c r="B20" s="25">
        <f t="shared" si="0"/>
        <v>13</v>
      </c>
      <c r="C20" s="26" t="s">
        <v>28</v>
      </c>
      <c r="D20" s="26" t="s">
        <v>82</v>
      </c>
      <c r="E20" s="26" t="s">
        <v>25</v>
      </c>
      <c r="F20" s="29" t="s">
        <v>26</v>
      </c>
      <c r="G20" s="22" t="s">
        <v>54</v>
      </c>
      <c r="H20" s="32"/>
      <c r="I20" s="29"/>
      <c r="J20" s="22" t="s">
        <v>83</v>
      </c>
      <c r="K20" s="29" t="s">
        <v>49</v>
      </c>
      <c r="L20" s="29"/>
    </row>
    <row r="21" spans="2:12" ht="224.45">
      <c r="B21" s="25">
        <f t="shared" si="0"/>
        <v>14</v>
      </c>
      <c r="C21" s="26" t="s">
        <v>28</v>
      </c>
      <c r="D21" s="22" t="s">
        <v>84</v>
      </c>
      <c r="E21" s="26" t="s">
        <v>36</v>
      </c>
      <c r="F21" s="29" t="s">
        <v>26</v>
      </c>
      <c r="G21" s="22" t="s">
        <v>85</v>
      </c>
      <c r="H21" s="32"/>
      <c r="I21" s="29"/>
      <c r="J21" s="22" t="s">
        <v>86</v>
      </c>
      <c r="K21" s="29" t="s">
        <v>49</v>
      </c>
      <c r="L21" s="29"/>
    </row>
    <row r="22" spans="2:12" ht="224.45">
      <c r="B22" s="25">
        <f t="shared" si="0"/>
        <v>15</v>
      </c>
      <c r="C22" s="26" t="s">
        <v>28</v>
      </c>
      <c r="D22" s="22" t="s">
        <v>87</v>
      </c>
      <c r="E22" s="26" t="s">
        <v>36</v>
      </c>
      <c r="F22" s="29" t="s">
        <v>31</v>
      </c>
      <c r="G22" s="22" t="s">
        <v>88</v>
      </c>
      <c r="H22" s="32"/>
      <c r="I22" s="29"/>
      <c r="J22" s="22" t="s">
        <v>86</v>
      </c>
      <c r="K22" s="29" t="s">
        <v>49</v>
      </c>
      <c r="L22" s="29"/>
    </row>
    <row r="23" spans="2:12" ht="171.6">
      <c r="B23" s="25">
        <f t="shared" si="0"/>
        <v>16</v>
      </c>
      <c r="C23" s="26" t="s">
        <v>28</v>
      </c>
      <c r="D23" s="22" t="s">
        <v>89</v>
      </c>
      <c r="E23" s="26" t="s">
        <v>36</v>
      </c>
      <c r="F23" s="29" t="s">
        <v>26</v>
      </c>
      <c r="G23" s="22" t="s">
        <v>90</v>
      </c>
      <c r="H23" s="32"/>
      <c r="I23" s="29"/>
      <c r="J23" s="22" t="s">
        <v>91</v>
      </c>
      <c r="K23" s="29" t="s">
        <v>49</v>
      </c>
      <c r="L23" s="29"/>
    </row>
    <row r="24" spans="2:12" ht="92.45">
      <c r="B24" s="25">
        <f t="shared" si="0"/>
        <v>17</v>
      </c>
      <c r="C24" s="26" t="s">
        <v>28</v>
      </c>
      <c r="D24" s="22" t="s">
        <v>92</v>
      </c>
      <c r="E24" s="26" t="s">
        <v>36</v>
      </c>
      <c r="F24" s="29" t="s">
        <v>26</v>
      </c>
      <c r="G24" s="22" t="s">
        <v>93</v>
      </c>
      <c r="H24" s="32"/>
      <c r="I24" s="29"/>
      <c r="J24" s="22" t="s">
        <v>94</v>
      </c>
      <c r="K24" s="29" t="s">
        <v>49</v>
      </c>
      <c r="L24" s="29"/>
    </row>
    <row r="25" spans="2:12" ht="145.15">
      <c r="B25" s="25">
        <f t="shared" si="0"/>
        <v>18</v>
      </c>
      <c r="C25" s="26" t="s">
        <v>23</v>
      </c>
      <c r="D25" s="22" t="s">
        <v>95</v>
      </c>
      <c r="E25" s="26" t="s">
        <v>33</v>
      </c>
      <c r="F25" s="29" t="s">
        <v>34</v>
      </c>
      <c r="G25" s="22" t="s">
        <v>96</v>
      </c>
      <c r="H25" s="32"/>
      <c r="I25" s="29"/>
      <c r="J25" s="22" t="s">
        <v>97</v>
      </c>
      <c r="K25" s="29" t="s">
        <v>49</v>
      </c>
      <c r="L25" s="29"/>
    </row>
    <row r="26" spans="2:12" ht="250.9">
      <c r="B26" s="25">
        <f t="shared" si="0"/>
        <v>19</v>
      </c>
      <c r="C26" s="26" t="s">
        <v>28</v>
      </c>
      <c r="D26" s="26" t="s">
        <v>98</v>
      </c>
      <c r="E26" s="26" t="s">
        <v>33</v>
      </c>
      <c r="F26" s="29" t="s">
        <v>34</v>
      </c>
      <c r="G26" s="22" t="s">
        <v>99</v>
      </c>
      <c r="H26" s="32"/>
      <c r="I26" s="29"/>
      <c r="J26" s="22" t="s">
        <v>100</v>
      </c>
      <c r="K26" s="29" t="s">
        <v>49</v>
      </c>
      <c r="L26" s="29"/>
    </row>
    <row r="27" spans="2:12" ht="250.9">
      <c r="B27" s="25">
        <f t="shared" si="0"/>
        <v>20</v>
      </c>
      <c r="C27" s="26" t="s">
        <v>28</v>
      </c>
      <c r="D27" s="26" t="s">
        <v>101</v>
      </c>
      <c r="E27" s="26" t="s">
        <v>33</v>
      </c>
      <c r="F27" s="29" t="s">
        <v>34</v>
      </c>
      <c r="G27" s="22" t="s">
        <v>102</v>
      </c>
      <c r="H27" s="32"/>
      <c r="I27" s="29"/>
      <c r="J27" s="22" t="s">
        <v>103</v>
      </c>
      <c r="K27" s="29" t="s">
        <v>49</v>
      </c>
      <c r="L27" s="29"/>
    </row>
    <row r="28" spans="2:12" ht="158.44999999999999">
      <c r="B28" s="25">
        <f t="shared" si="0"/>
        <v>21</v>
      </c>
      <c r="C28" s="26" t="s">
        <v>23</v>
      </c>
      <c r="D28" s="26" t="s">
        <v>104</v>
      </c>
      <c r="E28" s="26" t="s">
        <v>33</v>
      </c>
      <c r="F28" s="29" t="s">
        <v>34</v>
      </c>
      <c r="G28" s="22" t="s">
        <v>105</v>
      </c>
      <c r="H28" s="32"/>
      <c r="I28" s="29"/>
      <c r="J28" s="22" t="s">
        <v>106</v>
      </c>
      <c r="K28" s="29" t="s">
        <v>49</v>
      </c>
      <c r="L28" s="29"/>
    </row>
    <row r="29" spans="2:12" ht="237.6">
      <c r="B29" s="25">
        <f t="shared" si="0"/>
        <v>22</v>
      </c>
      <c r="C29" s="26" t="s">
        <v>28</v>
      </c>
      <c r="D29" s="22" t="s">
        <v>107</v>
      </c>
      <c r="E29" s="26" t="s">
        <v>33</v>
      </c>
      <c r="F29" s="29" t="s">
        <v>34</v>
      </c>
      <c r="G29" s="22" t="s">
        <v>108</v>
      </c>
      <c r="H29" s="32"/>
      <c r="I29" s="29"/>
      <c r="J29" s="22" t="s">
        <v>109</v>
      </c>
      <c r="K29" s="29" t="s">
        <v>49</v>
      </c>
      <c r="L29" s="29"/>
    </row>
    <row r="30" spans="2:12" ht="171.6">
      <c r="B30" s="25">
        <f t="shared" si="0"/>
        <v>23</v>
      </c>
      <c r="C30" s="26" t="s">
        <v>28</v>
      </c>
      <c r="D30" s="22" t="s">
        <v>110</v>
      </c>
      <c r="E30" s="26" t="s">
        <v>33</v>
      </c>
      <c r="F30" s="29" t="s">
        <v>34</v>
      </c>
      <c r="G30" s="22" t="s">
        <v>111</v>
      </c>
      <c r="H30" s="32"/>
      <c r="I30" s="29"/>
      <c r="J30" s="22" t="s">
        <v>112</v>
      </c>
      <c r="K30" s="29" t="s">
        <v>49</v>
      </c>
      <c r="L30" s="29"/>
    </row>
    <row r="31" spans="2:12" ht="105.6">
      <c r="B31" s="25">
        <f t="shared" si="0"/>
        <v>24</v>
      </c>
      <c r="C31" s="26" t="s">
        <v>28</v>
      </c>
      <c r="D31" s="22" t="s">
        <v>113</v>
      </c>
      <c r="E31" s="26" t="s">
        <v>33</v>
      </c>
      <c r="F31" s="29" t="s">
        <v>34</v>
      </c>
      <c r="G31" s="22" t="s">
        <v>114</v>
      </c>
      <c r="H31" s="32"/>
      <c r="I31" s="29"/>
      <c r="J31" s="22" t="s">
        <v>94</v>
      </c>
      <c r="K31" s="29" t="s">
        <v>49</v>
      </c>
      <c r="L31" s="29"/>
    </row>
    <row r="32" spans="2:12" ht="409.6">
      <c r="B32" s="25">
        <f t="shared" si="0"/>
        <v>25</v>
      </c>
      <c r="C32" s="26" t="s">
        <v>28</v>
      </c>
      <c r="D32" s="30" t="s">
        <v>115</v>
      </c>
      <c r="E32" s="26" t="s">
        <v>36</v>
      </c>
      <c r="F32" s="29" t="s">
        <v>37</v>
      </c>
      <c r="G32" s="33" t="s">
        <v>116</v>
      </c>
      <c r="H32" s="32"/>
      <c r="I32" s="29"/>
      <c r="J32" s="33" t="s">
        <v>117</v>
      </c>
      <c r="K32" s="29" t="s">
        <v>49</v>
      </c>
      <c r="L32" s="29"/>
    </row>
    <row r="33" spans="2:12" ht="409.6">
      <c r="B33" s="25">
        <f t="shared" si="0"/>
        <v>26</v>
      </c>
      <c r="C33" s="26" t="s">
        <v>28</v>
      </c>
      <c r="D33" s="30" t="s">
        <v>118</v>
      </c>
      <c r="E33" s="26" t="s">
        <v>36</v>
      </c>
      <c r="F33" s="29" t="s">
        <v>37</v>
      </c>
      <c r="G33" s="33" t="s">
        <v>119</v>
      </c>
      <c r="H33" s="32"/>
      <c r="I33" s="29"/>
      <c r="J33" s="33" t="s">
        <v>120</v>
      </c>
      <c r="K33" s="29" t="s">
        <v>49</v>
      </c>
      <c r="L33" s="29"/>
    </row>
    <row r="34" spans="2:12" ht="409.6">
      <c r="B34" s="25">
        <f t="shared" si="0"/>
        <v>27</v>
      </c>
      <c r="C34" s="26" t="s">
        <v>28</v>
      </c>
      <c r="D34" s="30" t="s">
        <v>121</v>
      </c>
      <c r="E34" s="26" t="s">
        <v>36</v>
      </c>
      <c r="F34" s="29" t="s">
        <v>37</v>
      </c>
      <c r="G34" s="33" t="s">
        <v>119</v>
      </c>
      <c r="H34" s="32"/>
      <c r="I34" s="29"/>
      <c r="J34" s="33" t="s">
        <v>120</v>
      </c>
      <c r="K34" s="29" t="s">
        <v>49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T200"/>
  <sheetViews>
    <sheetView showGridLines="0" tabSelected="1" zoomScaleNormal="100" workbookViewId="0">
      <pane xSplit="5" ySplit="7" topLeftCell="F8" activePane="bottomRight" state="frozen"/>
      <selection pane="bottomRight" activeCell="E28" sqref="E2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0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0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0">
      <c r="B5" s="3"/>
      <c r="E5" s="3"/>
    </row>
    <row r="7" spans="1:20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122</v>
      </c>
      <c r="L7" s="17" t="s">
        <v>123</v>
      </c>
      <c r="M7" s="17" t="s">
        <v>124</v>
      </c>
      <c r="N7" s="17" t="s">
        <v>125</v>
      </c>
      <c r="O7" s="17" t="s">
        <v>126</v>
      </c>
      <c r="P7" s="17" t="s">
        <v>127</v>
      </c>
      <c r="Q7" s="17" t="s">
        <v>128</v>
      </c>
      <c r="R7" s="17" t="s">
        <v>129</v>
      </c>
      <c r="S7" s="17" t="s">
        <v>130</v>
      </c>
      <c r="T7" s="17" t="s">
        <v>131</v>
      </c>
    </row>
    <row r="8" spans="1:20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Não executado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Não executado</v>
      </c>
      <c r="Q8" s="37" t="str">
        <f>IFERROR(IF(VLOOKUP($B8,wanei[#Data],12)=0,"Não executado",VLOOKUP($B8,wanei[#Data],12)),"Não executado")</f>
        <v>Não executado</v>
      </c>
      <c r="R8" s="37" t="str">
        <f>IFERROR(IF(VLOOKUP($B8,janaina[#Data],12)=0,"Não executado",VLOOKUP($B8,janaina[#Data],12)),"Não executado")</f>
        <v>Não executado</v>
      </c>
      <c r="S8" s="37" t="str">
        <f>IFERROR(IF(VLOOKUP($B8,andreia[#Data],12)=0,"Não executado",VLOOKUP($B8,andreia[#Data],12)),"Não executado")</f>
        <v>Não executado</v>
      </c>
      <c r="T8" s="37" t="str">
        <f>IFERROR(IF(VLOOKUP($B8,homologador[#Data],12)=0,"Não executado",VLOOKUP($B8,homologador[#Data],12)),"Não executado")</f>
        <v>Não executado</v>
      </c>
    </row>
    <row r="9" spans="1:20" ht="230.45">
      <c r="A9" s="13"/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4" t="str">
        <f>IFERROR(IF(VLOOKUP($B9,orlando[#Data],12)=0,"Não executado",VLOOKUP($B9,orlando[#Data],12)),"Não executado")</f>
        <v>Não executado</v>
      </c>
      <c r="L9" s="44" t="str">
        <f>IFERROR(IF(VLOOKUP($B9,mauricio[#Data],12)=0,"Não executado",VLOOKUP($B9,mauricio[#Data],12)),"Não executado")</f>
        <v>Não executado</v>
      </c>
      <c r="M9" s="44" t="str">
        <f>IFERROR(IF(VLOOKUP($B9,Thaisa[#Data],12)=0,"Não executado",VLOOKUP($B9,Thaisa[#Data],12)),"Não executado")</f>
        <v>Não executado</v>
      </c>
      <c r="N9" s="44" t="str">
        <f>IFERROR(IF(VLOOKUP($B9,carlos[#Data],12)=0,"Não executado",VLOOKUP($B9,carlos[#Data],12)),"Não executado")</f>
        <v>Não executado</v>
      </c>
      <c r="O9" s="44" t="str">
        <f>IFERROR(IF(VLOOKUP($B9,Alessandra[#Data],12)=0,"Não executado",VLOOKUP($B9,Alessandra[#Data],12)),"Não executado")</f>
        <v>Não executado</v>
      </c>
      <c r="P9" s="44" t="str">
        <f>IFERROR(IF(VLOOKUP($B9,AnaCarolina[#Data],12)=0,"Não executado",VLOOKUP($B9,AnaCarolina[#Data],12)),"Não executado")</f>
        <v>Não executado</v>
      </c>
      <c r="Q9" s="44" t="str">
        <f>IFERROR(IF(VLOOKUP($B9,wanei[#Data],12)=0,"Não executado",VLOOKUP($B9,wanei[#Data],12)),"Não executado")</f>
        <v>Não executado</v>
      </c>
      <c r="R9" s="44" t="str">
        <f>IFERROR(IF(VLOOKUP($B9,janaina[#Data],12)=0,"Não executado",VLOOKUP($B9,janaina[#Data],12)),"Não executado")</f>
        <v>Não executado</v>
      </c>
      <c r="S9" s="94" t="str">
        <f>IFERROR(IF(VLOOKUP($B9,andreia[#Data],12)=0,"Não executado",VLOOKUP($B9,andreia[#Data],12)),"Não executado")</f>
        <v>Não executado</v>
      </c>
      <c r="T9" s="37" t="str">
        <f>IFERROR(IF(VLOOKUP($B9,homologador[#Data],12)=0,"Não executado",VLOOKUP($B9,homologador[#Data],12)),"Não executado")</f>
        <v>Não executado</v>
      </c>
    </row>
    <row r="10" spans="1:20" ht="201.6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Não executado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Não executado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Não executado</v>
      </c>
      <c r="Q10" s="37" t="str">
        <f>IFERROR(IF(VLOOKUP($B10,wanei[#Data],12)=0,"Não executado",VLOOKUP($B10,wanei[#Data],12)),"Não executado")</f>
        <v>Não executado</v>
      </c>
      <c r="R10" s="37" t="str">
        <f>IFERROR(IF(VLOOKUP($B10,janaina[#Data],12)=0,"Não executado",VLOOKUP($B10,janaina[#Data],12)),"Não executado")</f>
        <v>Não executado</v>
      </c>
      <c r="S10" s="94" t="str">
        <f>IFERROR(IF(VLOOKUP($B10,andreia[#Data],12)=0,"Não executado",VLOOKUP($B10,andreia[#Data],12)),"Não executado")</f>
        <v>Não executado</v>
      </c>
      <c r="T10" s="37" t="str">
        <f>IFERROR(IF(VLOOKUP($B10,homologador[#Data],12)=0,"Não executado",VLOOKUP($B10,homologador[#Data],12)),"Não executado")</f>
        <v>Não executado</v>
      </c>
    </row>
    <row r="11" spans="1:20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Não executado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Não executado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Não executado</v>
      </c>
      <c r="Q11" s="37" t="str">
        <f>IFERROR(IF(VLOOKUP($B11,wanei[#Data],12)=0,"Não executado",VLOOKUP($B11,wanei[#Data],12)),"Não executado")</f>
        <v>Não executado</v>
      </c>
      <c r="R11" s="37" t="str">
        <f>IFERROR(IF(VLOOKUP($B11,janaina[#Data],12)=0,"Não executado",VLOOKUP($B11,janaina[#Data],12)),"Não executado")</f>
        <v>Não executado</v>
      </c>
      <c r="S11" s="94" t="str">
        <f>IFERROR(IF(VLOOKUP($B11,andreia[#Data],12)=0,"Não executado",VLOOKUP($B11,andreia[#Data],12)),"Não executado")</f>
        <v>Não executado</v>
      </c>
      <c r="T11" s="37" t="str">
        <f>IFERROR(IF(VLOOKUP($B11,homologador[#Data],12)=0,"Não executado",VLOOKUP($B11,homologador[#Data],12)),"Não executado")</f>
        <v>Não executado</v>
      </c>
    </row>
    <row r="12" spans="1:20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Não executado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Não executado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Não executado</v>
      </c>
      <c r="Q12" s="37" t="str">
        <f>IFERROR(IF(VLOOKUP($B12,wanei[#Data],12)=0,"Não executado",VLOOKUP($B12,wanei[#Data],12)),"Não executado")</f>
        <v>Não executado</v>
      </c>
      <c r="R12" s="37" t="str">
        <f>IFERROR(IF(VLOOKUP($B12,janaina[#Data],12)=0,"Não executado",VLOOKUP($B12,janaina[#Data],12)),"Não executado")</f>
        <v>Não executado</v>
      </c>
      <c r="S12" s="94" t="str">
        <f>IFERROR(IF(VLOOKUP($B12,andreia[#Data],12)=0,"Não executado",VLOOKUP($B12,andreia[#Data],12)),"Não executado")</f>
        <v>Não executado</v>
      </c>
      <c r="T12" s="37" t="str">
        <f>IFERROR(IF(VLOOKUP($B12,homologador[#Data],12)=0,"Não executado",VLOOKUP($B12,homologador[#Data],12)),"Não executado")</f>
        <v>Não executado</v>
      </c>
    </row>
    <row r="13" spans="1:20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Não executado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Não executado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Não executado</v>
      </c>
      <c r="Q13" s="37" t="str">
        <f>IFERROR(IF(VLOOKUP($B13,wanei[#Data],12)=0,"Não executado",VLOOKUP($B13,wanei[#Data],12)),"Não executado")</f>
        <v>Não executado</v>
      </c>
      <c r="R13" s="37" t="str">
        <f>IFERROR(IF(VLOOKUP($B13,janaina[#Data],12)=0,"Não executado",VLOOKUP($B13,janaina[#Data],12)),"Não executado")</f>
        <v>Não executado</v>
      </c>
      <c r="S13" s="94" t="str">
        <f>IFERROR(IF(VLOOKUP($B13,andreia[#Data],12)=0,"Não executado",VLOOKUP($B13,andreia[#Data],12)),"Não executado")</f>
        <v>Não executado</v>
      </c>
      <c r="T13" s="37" t="str">
        <f>IFERROR(IF(VLOOKUP($B13,homologador[#Data],12)=0,"Não executado",VLOOKUP($B13,homologador[#Data],12)),"Não executado")</f>
        <v>Não executado</v>
      </c>
    </row>
    <row r="14" spans="1:20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Não executado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Não executado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Não executado</v>
      </c>
      <c r="Q14" s="37" t="str">
        <f>IFERROR(IF(VLOOKUP($B14,wanei[#Data],12)=0,"Não executado",VLOOKUP($B14,wanei[#Data],12)),"Não executado")</f>
        <v>Não executado</v>
      </c>
      <c r="R14" s="37" t="str">
        <f>IFERROR(IF(VLOOKUP($B14,janaina[#Data],12)=0,"Não executado",VLOOKUP($B14,janaina[#Data],12)),"Não executado")</f>
        <v>Não executado</v>
      </c>
      <c r="S14" s="94" t="str">
        <f>IFERROR(IF(VLOOKUP($B14,andreia[#Data],12)=0,"Não executado",VLOOKUP($B14,andreia[#Data],12)),"Não executado")</f>
        <v>Não executado</v>
      </c>
      <c r="T14" s="37" t="str">
        <f>IFERROR(IF(VLOOKUP($B14,homologador[#Data],12)=0,"Não executado",VLOOKUP($B14,homologador[#Data],12)),"Não executado")</f>
        <v>Não executado</v>
      </c>
    </row>
    <row r="15" spans="1:20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Não executado</v>
      </c>
      <c r="L15" s="37" t="str">
        <f>IFERROR(IF(VLOOKUP($B15,mauricio[#Data],12)=0,"Não executado",VLOOKUP($B15,mauricio[#Data],12)),"Não executado")</f>
        <v>Não executado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Não executado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Não executado</v>
      </c>
      <c r="Q15" s="37" t="str">
        <f>IFERROR(IF(VLOOKUP($B15,wanei[#Data],12)=0,"Não executado",VLOOKUP($B15,wanei[#Data],12)),"Não executado")</f>
        <v>Não executado</v>
      </c>
      <c r="R15" s="37" t="str">
        <f>IFERROR(IF(VLOOKUP($B15,janaina[#Data],12)=0,"Não executado",VLOOKUP($B15,janaina[#Data],12)),"Não executado")</f>
        <v>Não executado</v>
      </c>
      <c r="S15" s="94" t="str">
        <f>IFERROR(IF(VLOOKUP($B15,andreia[#Data],12)=0,"Não executado",VLOOKUP($B15,andreia[#Data],12)),"Não executado")</f>
        <v>Não executado</v>
      </c>
      <c r="T15" s="37" t="str">
        <f>IFERROR(IF(VLOOKUP($B15,homologador[#Data],12)=0,"Não executado",VLOOKUP($B15,homologador[#Data],12)),"Não executado")</f>
        <v>Não executado</v>
      </c>
    </row>
    <row r="16" spans="1:20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Não executado</v>
      </c>
      <c r="L16" s="37" t="str">
        <f>IFERROR(IF(VLOOKUP($B16,mauricio[#Data],12)=0,"Não executado",VLOOKUP($B16,mauricio[#Data],12)),"Não executado")</f>
        <v>Não executado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Não executado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Não executado</v>
      </c>
      <c r="Q16" s="37" t="str">
        <f>IFERROR(IF(VLOOKUP($B16,wanei[#Data],12)=0,"Não executado",VLOOKUP($B16,wanei[#Data],12)),"Não executado")</f>
        <v>Não executado</v>
      </c>
      <c r="R16" s="37" t="str">
        <f>IFERROR(IF(VLOOKUP($B16,janaina[#Data],12)=0,"Não executado",VLOOKUP($B16,janaina[#Data],12)),"Não executado")</f>
        <v>Não executado</v>
      </c>
      <c r="S16" s="94" t="str">
        <f>IFERROR(IF(VLOOKUP($B16,andreia[#Data],12)=0,"Não executado",VLOOKUP($B16,andreia[#Data],12)),"Não executado")</f>
        <v>Não executado</v>
      </c>
      <c r="T16" s="37" t="str">
        <f>IFERROR(IF(VLOOKUP($B16,homologador[#Data],12)=0,"Não executado",VLOOKUP($B16,homologador[#Data],12)),"Não executado")</f>
        <v>Não executado</v>
      </c>
    </row>
    <row r="17" spans="2:20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Não executado</v>
      </c>
      <c r="L17" s="37" t="str">
        <f>IFERROR(IF(VLOOKUP($B17,mauricio[#Data],12)=0,"Não executado",VLOOKUP($B17,mauricio[#Data],12)),"Não executado")</f>
        <v>Não executado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Não executado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Não executado</v>
      </c>
      <c r="Q17" s="37" t="str">
        <f>IFERROR(IF(VLOOKUP($B17,wanei[#Data],12)=0,"Não executado",VLOOKUP($B17,wanei[#Data],12)),"Não executado")</f>
        <v>Não executado</v>
      </c>
      <c r="R17" s="37" t="str">
        <f>IFERROR(IF(VLOOKUP($B17,janaina[#Data],12)=0,"Não executado",VLOOKUP($B17,janaina[#Data],12)),"Não executado")</f>
        <v>Não executado</v>
      </c>
      <c r="S17" s="94" t="str">
        <f>IFERROR(IF(VLOOKUP($B17,andreia[#Data],12)=0,"Não executado",VLOOKUP($B17,andreia[#Data],12)),"Não executado")</f>
        <v>Não executado</v>
      </c>
      <c r="T17" s="37" t="str">
        <f>IFERROR(IF(VLOOKUP($B17,homologador[#Data],12)=0,"Não executado",VLOOKUP($B17,homologador[#Data],12)),"Não executado")</f>
        <v>Não executado</v>
      </c>
    </row>
    <row r="18" spans="2:20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Não executado</v>
      </c>
      <c r="L18" s="37" t="str">
        <f>IFERROR(IF(VLOOKUP($B18,mauricio[#Data],12)=0,"Não executado",VLOOKUP($B18,mauricio[#Data],12)),"Não executado")</f>
        <v>Não executado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Não executado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Não executado</v>
      </c>
      <c r="Q18" s="37" t="str">
        <f>IFERROR(IF(VLOOKUP($B18,wanei[#Data],12)=0,"Não executado",VLOOKUP($B18,wanei[#Data],12)),"Não executado")</f>
        <v>Não executado</v>
      </c>
      <c r="R18" s="37" t="str">
        <f>IFERROR(IF(VLOOKUP($B18,janaina[#Data],12)=0,"Não executado",VLOOKUP($B18,janaina[#Data],12)),"Não executado")</f>
        <v>Não executado</v>
      </c>
      <c r="S18" s="94" t="str">
        <f>IFERROR(IF(VLOOKUP($B18,andreia[#Data],12)=0,"Não executado",VLOOKUP($B18,andreia[#Data],12)),"Não executado")</f>
        <v>Não executado</v>
      </c>
      <c r="T18" s="37" t="str">
        <f>IFERROR(IF(VLOOKUP($B18,homologador[#Data],12)=0,"Não executado",VLOOKUP($B18,homologador[#Data],12)),"Não executado")</f>
        <v>Não executado</v>
      </c>
    </row>
    <row r="19" spans="2:20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Não executado</v>
      </c>
      <c r="L19" s="37" t="str">
        <f>IFERROR(IF(VLOOKUP($B19,mauricio[#Data],12)=0,"Não executado",VLOOKUP($B19,mauricio[#Data],12)),"Não executado")</f>
        <v>Não executado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Não executado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Não executado</v>
      </c>
      <c r="Q19" s="37" t="str">
        <f>IFERROR(IF(VLOOKUP($B19,wanei[#Data],12)=0,"Não executado",VLOOKUP($B19,wanei[#Data],12)),"Não executado")</f>
        <v>Não executado</v>
      </c>
      <c r="R19" s="37" t="str">
        <f>IFERROR(IF(VLOOKUP($B19,janaina[#Data],12)=0,"Não executado",VLOOKUP($B19,janaina[#Data],12)),"Não executado")</f>
        <v>Não executado</v>
      </c>
      <c r="S19" s="94" t="str">
        <f>IFERROR(IF(VLOOKUP($B19,andreia[#Data],12)=0,"Não executado",VLOOKUP($B19,andreia[#Data],12)),"Não executado")</f>
        <v>Não executado</v>
      </c>
      <c r="T19" s="37" t="str">
        <f>IFERROR(IF(VLOOKUP($B19,homologador[#Data],12)=0,"Não executado",VLOOKUP($B19,homologador[#Data],12)),"Não executado")</f>
        <v>Não executado</v>
      </c>
    </row>
    <row r="20" spans="2:20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Não executado</v>
      </c>
      <c r="L20" s="37" t="str">
        <f>IFERROR(IF(VLOOKUP($B20,mauricio[#Data],12)=0,"Não executado",VLOOKUP($B20,mauricio[#Data],12)),"Não executado")</f>
        <v>Não executado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Não executado</v>
      </c>
      <c r="Q20" s="37" t="str">
        <f>IFERROR(IF(VLOOKUP($B20,wanei[#Data],12)=0,"Não executado",VLOOKUP($B20,wanei[#Data],12)),"Não executado")</f>
        <v>Não executado</v>
      </c>
      <c r="R20" s="37" t="str">
        <f>IFERROR(IF(VLOOKUP($B20,janaina[#Data],12)=0,"Não executado",VLOOKUP($B20,janaina[#Data],12)),"Não executado")</f>
        <v>Não executado</v>
      </c>
      <c r="S20" s="94" t="str">
        <f>IFERROR(IF(VLOOKUP($B20,andreia[#Data],12)=0,"Não executado",VLOOKUP($B20,andreia[#Data],12)),"Não executado")</f>
        <v>Não executado</v>
      </c>
      <c r="T20" s="37" t="str">
        <f>IFERROR(IF(VLOOKUP($B20,homologador[#Data],12)=0,"Não executado",VLOOKUP($B20,homologador[#Data],12)),"Não executado")</f>
        <v>Não executado</v>
      </c>
    </row>
    <row r="21" spans="2:20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Não executado</v>
      </c>
      <c r="L21" s="37" t="str">
        <f>IFERROR(IF(VLOOKUP($B21,mauricio[#Data],12)=0,"Não executado",VLOOKUP($B21,mauricio[#Data],12)),"Não executado")</f>
        <v>Não executado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Não executado</v>
      </c>
      <c r="Q21" s="37" t="str">
        <f>IFERROR(IF(VLOOKUP($B21,wanei[#Data],12)=0,"Não executado",VLOOKUP($B21,wanei[#Data],12)),"Não executado")</f>
        <v>Não executado</v>
      </c>
      <c r="R21" s="37" t="str">
        <f>IFERROR(IF(VLOOKUP($B21,janaina[#Data],12)=0,"Não executado",VLOOKUP($B21,janaina[#Data],12)),"Não executado")</f>
        <v>Não executado</v>
      </c>
      <c r="S21" s="94" t="str">
        <f>IFERROR(IF(VLOOKUP($B21,andreia[#Data],12)=0,"Não executado",VLOOKUP($B21,andreia[#Data],12)),"Não executado")</f>
        <v>Não executado</v>
      </c>
      <c r="T21" s="37" t="str">
        <f>IFERROR(IF(VLOOKUP($B21,homologador[#Data],12)=0,"Não executado",VLOOKUP($B21,homologador[#Data],12)),"Não executado")</f>
        <v>Não executado</v>
      </c>
    </row>
    <row r="22" spans="2:20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Não executado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Não executado</v>
      </c>
      <c r="Q22" s="37" t="str">
        <f>IFERROR(IF(VLOOKUP($B22,wanei[#Data],12)=0,"Não executado",VLOOKUP($B22,wanei[#Data],12)),"Não executado")</f>
        <v>Não executado</v>
      </c>
      <c r="R22" s="37" t="str">
        <f>IFERROR(IF(VLOOKUP($B22,janaina[#Data],12)=0,"Não executado",VLOOKUP($B22,janaina[#Data],12)),"Não executado")</f>
        <v>Não executado</v>
      </c>
      <c r="S22" s="94" t="str">
        <f>IFERROR(IF(VLOOKUP($B22,andreia[#Data],12)=0,"Não executado",VLOOKUP($B22,andreia[#Data],12)),"Não executado")</f>
        <v>Não executado</v>
      </c>
      <c r="T22" s="37" t="str">
        <f>IFERROR(IF(VLOOKUP($B22,homologador[#Data],12)=0,"Não executado",VLOOKUP($B22,homologador[#Data],12)),"Não executado")</f>
        <v>Não executado</v>
      </c>
    </row>
    <row r="23" spans="2:20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Não executado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Não executado</v>
      </c>
      <c r="Q23" s="37" t="str">
        <f>IFERROR(IF(VLOOKUP($B23,wanei[#Data],12)=0,"Não executado",VLOOKUP($B23,wanei[#Data],12)),"Não executado")</f>
        <v>Não executado</v>
      </c>
      <c r="R23" s="37" t="str">
        <f>IFERROR(IF(VLOOKUP($B23,janaina[#Data],12)=0,"Não executado",VLOOKUP($B23,janaina[#Data],12)),"Não executado")</f>
        <v>Não executado</v>
      </c>
      <c r="S23" s="94" t="str">
        <f>IFERROR(IF(VLOOKUP($B23,andreia[#Data],12)=0,"Não executado",VLOOKUP($B23,andreia[#Data],12)),"Não executado")</f>
        <v>Não executado</v>
      </c>
      <c r="T23" s="37" t="str">
        <f>IFERROR(IF(VLOOKUP($B23,homologador[#Data],12)=0,"Não executado",VLOOKUP($B23,homologador[#Data],12)),"Não executado")</f>
        <v>Não executado</v>
      </c>
    </row>
    <row r="24" spans="2:20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Não executado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Não executado</v>
      </c>
      <c r="Q24" s="37" t="str">
        <f>IFERROR(IF(VLOOKUP($B24,wanei[#Data],12)=0,"Não executado",VLOOKUP($B24,wanei[#Data],12)),"Não executado")</f>
        <v>Não executado</v>
      </c>
      <c r="R24" s="37" t="str">
        <f>IFERROR(IF(VLOOKUP($B24,janaina[#Data],12)=0,"Não executado",VLOOKUP($B24,janaina[#Data],12)),"Não executado")</f>
        <v>Não executado</v>
      </c>
      <c r="S24" s="94" t="str">
        <f>IFERROR(IF(VLOOKUP($B24,andreia[#Data],12)=0,"Não executado",VLOOKUP($B24,andreia[#Data],12)),"Não executado")</f>
        <v>Não executado</v>
      </c>
      <c r="T24" s="37" t="str">
        <f>IFERROR(IF(VLOOKUP($B24,homologador[#Data],12)=0,"Não executado",VLOOKUP($B24,homologador[#Data],12)),"Não executado")</f>
        <v>Não executado</v>
      </c>
    </row>
    <row r="25" spans="2:20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Não executado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Não executado</v>
      </c>
      <c r="Q25" s="37" t="str">
        <f>IFERROR(IF(VLOOKUP($B25,wanei[#Data],12)=0,"Não executado",VLOOKUP($B25,wanei[#Data],12)),"Não executado")</f>
        <v>Não executado</v>
      </c>
      <c r="R25" s="37" t="str">
        <f>IFERROR(IF(VLOOKUP($B25,janaina[#Data],12)=0,"Não executado",VLOOKUP($B25,janaina[#Data],12)),"Não executado")</f>
        <v>Não executado</v>
      </c>
      <c r="S25" s="94" t="str">
        <f>IFERROR(IF(VLOOKUP($B25,andreia[#Data],12)=0,"Não executado",VLOOKUP($B25,andreia[#Data],12)),"Não executado")</f>
        <v>Não executado</v>
      </c>
      <c r="T25" s="37" t="str">
        <f>IFERROR(IF(VLOOKUP($B25,homologador[#Data],12)=0,"Não executado",VLOOKUP($B25,homologador[#Data],12)),"Não executado")</f>
        <v>Não executado</v>
      </c>
    </row>
    <row r="26" spans="2:20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Não executado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Não executado</v>
      </c>
      <c r="Q26" s="37" t="str">
        <f>IFERROR(IF(VLOOKUP($B26,wanei[#Data],12)=0,"Não executado",VLOOKUP($B26,wanei[#Data],12)),"Não executado")</f>
        <v>Não executado</v>
      </c>
      <c r="R26" s="37" t="str">
        <f>IFERROR(IF(VLOOKUP($B26,janaina[#Data],12)=0,"Não executado",VLOOKUP($B26,janaina[#Data],12)),"Não executado")</f>
        <v>Não executado</v>
      </c>
      <c r="S26" s="94" t="str">
        <f>IFERROR(IF(VLOOKUP($B26,andreia[#Data],12)=0,"Não executado",VLOOKUP($B26,andreia[#Data],12)),"Não executado")</f>
        <v>Não executado</v>
      </c>
      <c r="T26" s="37" t="str">
        <f>IFERROR(IF(VLOOKUP($B26,homologador[#Data],12)=0,"Não executado",VLOOKUP($B26,homologador[#Data],12)),"Não executado")</f>
        <v>Não executado</v>
      </c>
    </row>
    <row r="27" spans="2:20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Não executado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Não executado</v>
      </c>
      <c r="R27" s="37" t="str">
        <f>IFERROR(IF(VLOOKUP($B27,janaina[#Data],12)=0,"Não executado",VLOOKUP($B27,janaina[#Data],12)),"Não executado")</f>
        <v>Não executado</v>
      </c>
      <c r="S27" s="94" t="str">
        <f>IFERROR(IF(VLOOKUP($B27,andreia[#Data],12)=0,"Não executado",VLOOKUP($B27,andreia[#Data],12)),"Não executado")</f>
        <v>Não executado</v>
      </c>
      <c r="T27" s="37" t="str">
        <f>IFERROR(IF(VLOOKUP($B27,homologador[#Data],12)=0,"Não executado",VLOOKUP($B27,homologador[#Data],12)),"Não executado")</f>
        <v>Não executado</v>
      </c>
    </row>
    <row r="28" spans="2:20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Não executado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Não executado</v>
      </c>
      <c r="R28" s="37" t="str">
        <f>IFERROR(IF(VLOOKUP($B28,janaina[#Data],12)=0,"Não executado",VLOOKUP($B28,janaina[#Data],12)),"Não executado")</f>
        <v>Não executado</v>
      </c>
      <c r="S28" s="94" t="str">
        <f>IFERROR(IF(VLOOKUP($B28,andreia[#Data],12)=0,"Não executado",VLOOKUP($B28,andreia[#Data],12)),"Não executado")</f>
        <v>Não executado</v>
      </c>
      <c r="T28" s="37" t="str">
        <f>IFERROR(IF(VLOOKUP($B28,homologador[#Data],12)=0,"Não executado",VLOOKUP($B28,homologador[#Data],12)),"Não executado")</f>
        <v>Não executado</v>
      </c>
    </row>
    <row r="29" spans="2:20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Não executado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Não executado</v>
      </c>
      <c r="R29" s="37" t="str">
        <f>IFERROR(IF(VLOOKUP($B29,janaina[#Data],12)=0,"Não executado",VLOOKUP($B29,janaina[#Data],12)),"Não executado")</f>
        <v>Não executado</v>
      </c>
      <c r="S29" s="94" t="str">
        <f>IFERROR(IF(VLOOKUP($B29,andreia[#Data],12)=0,"Não executado",VLOOKUP($B29,andreia[#Data],12)),"Não executado")</f>
        <v>Não executado</v>
      </c>
      <c r="T29" s="37" t="str">
        <f>IFERROR(IF(VLOOKUP($B29,homologador[#Data],12)=0,"Não executado",VLOOKUP($B29,homologador[#Data],12)),"Não executado")</f>
        <v>Não executado</v>
      </c>
    </row>
    <row r="30" spans="2:20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Não executado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Não executado</v>
      </c>
      <c r="R30" s="37" t="str">
        <f>IFERROR(IF(VLOOKUP($B30,janaina[#Data],12)=0,"Não executado",VLOOKUP($B30,janaina[#Data],12)),"Não executado")</f>
        <v>Não executado</v>
      </c>
      <c r="S30" s="94" t="str">
        <f>IFERROR(IF(VLOOKUP($B30,andreia[#Data],12)=0,"Não executado",VLOOKUP($B30,andreia[#Data],12)),"Não executado")</f>
        <v>Não executado</v>
      </c>
      <c r="T30" s="37" t="str">
        <f>IFERROR(IF(VLOOKUP($B30,homologador[#Data],12)=0,"Não executado",VLOOKUP($B30,homologador[#Data],12)),"Não executado")</f>
        <v>Não executado</v>
      </c>
    </row>
    <row r="31" spans="2:20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Não executado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Não executado</v>
      </c>
      <c r="R31" s="37" t="str">
        <f>IFERROR(IF(VLOOKUP($B31,janaina[#Data],12)=0,"Não executado",VLOOKUP($B31,janaina[#Data],12)),"Não executado")</f>
        <v>Não executado</v>
      </c>
      <c r="S31" s="94" t="str">
        <f>IFERROR(IF(VLOOKUP($B31,andreia[#Data],12)=0,"Não executado",VLOOKUP($B31,andreia[#Data],12)),"Não executado")</f>
        <v>Não executado</v>
      </c>
      <c r="T31" s="37" t="str">
        <f>IFERROR(IF(VLOOKUP($B31,homologador[#Data],12)=0,"Não executado",VLOOKUP($B31,homologador[#Data],12)),"Não executado")</f>
        <v>Não executado</v>
      </c>
    </row>
    <row r="32" spans="2:20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Não executado</v>
      </c>
      <c r="Q32" s="37" t="str">
        <f>IFERROR(IF(VLOOKUP($B32,wanei[#Data],12)=0,"Não executado",VLOOKUP($B32,wanei[#Data],12)),"Não executado")</f>
        <v>Não executado</v>
      </c>
      <c r="R32" s="37" t="str">
        <f>IFERROR(IF(VLOOKUP($B32,janaina[#Data],12)=0,"Não executado",VLOOKUP($B32,janaina[#Data],12)),"Não executado")</f>
        <v>Não executado</v>
      </c>
      <c r="S32" s="94" t="str">
        <f>IFERROR(IF(VLOOKUP($B32,andreia[#Data],12)=0,"Não executado",VLOOKUP($B32,andreia[#Data],12)),"Não executado")</f>
        <v>Não executado</v>
      </c>
      <c r="T32" s="37" t="str">
        <f>IFERROR(IF(VLOOKUP($B32,homologador[#Data],12)=0,"Não executado",VLOOKUP($B32,homologador[#Data],12)),"Não executado")</f>
        <v>Não executado</v>
      </c>
    </row>
    <row r="33" spans="2:20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">
        <v>25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Não executado</v>
      </c>
      <c r="Q33" s="37" t="str">
        <f>IFERROR(IF(VLOOKUP($B33,wanei[#Data],12)=0,"Não executado",VLOOKUP($B33,wanei[#Data],12)),"Não executado")</f>
        <v>Não executado</v>
      </c>
      <c r="R33" s="37" t="str">
        <f>IFERROR(IF(VLOOKUP($B33,janaina[#Data],12)=0,"Não executado",VLOOKUP($B33,janaina[#Data],12)),"Não executado")</f>
        <v>Não executado</v>
      </c>
      <c r="S33" s="94" t="str">
        <f>IFERROR(IF(VLOOKUP($B33,andreia[#Data],12)=0,"Não executado",VLOOKUP($B33,andreia[#Data],12)),"Não executado")</f>
        <v>Não executado</v>
      </c>
      <c r="T33" s="37" t="str">
        <f>IFERROR(IF(VLOOKUP($B33,homologador[#Data],12)=0,"Não executado",VLOOKUP($B33,homologador[#Data],12)),"Não executado")</f>
        <v>Não executado</v>
      </c>
    </row>
    <row r="34" spans="2:20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">
        <v>25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Não executado</v>
      </c>
      <c r="Q34" s="37" t="str">
        <f>IFERROR(IF(VLOOKUP($B34,wanei[#Data],12)=0,"Não executado",VLOOKUP($B34,wanei[#Data],12)),"Não executado")</f>
        <v>Não executado</v>
      </c>
      <c r="R34" s="37" t="str">
        <f>IFERROR(IF(VLOOKUP($B34,janaina[#Data],12)=0,"Não executado",VLOOKUP($B34,janaina[#Data],12)),"Não executado")</f>
        <v>Não executado</v>
      </c>
      <c r="S34" s="94" t="str">
        <f>IFERROR(IF(VLOOKUP($B34,andreia[#Data],12)=0,"Não executado",VLOOKUP($B34,andreia[#Data],12)),"Não executado")</f>
        <v>Não executado</v>
      </c>
      <c r="T34" s="37" t="str">
        <f>IFERROR(IF(VLOOKUP($B34,homologador[#Data],12)=0,"Não executado",VLOOKUP($B34,homologador[#Data],12)),"Não executado")</f>
        <v>Não executado</v>
      </c>
    </row>
    <row r="35" spans="2:20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94" t="str">
        <f>IFERROR(IF(VLOOKUP($B35,andreia[#Data],12)=0,"Não executado",VLOOKUP($B35,andreia[#Data],12)),"Não executado")</f>
        <v>Não executado</v>
      </c>
      <c r="T35" s="37" t="str">
        <f>IFERROR(IF(VLOOKUP($B35,homologador[#Data],12)=0,"Não executado",VLOOKUP($B35,homologador[#Data],12)),"Não executado")</f>
        <v>Não executado</v>
      </c>
    </row>
    <row r="36" spans="2:20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94" t="str">
        <f>IFERROR(IF(VLOOKUP($B36,andreia[#Data],12)=0,"Não executado",VLOOKUP($B36,andreia[#Data],12)),"Não executado")</f>
        <v>Não executado</v>
      </c>
      <c r="T36" s="37" t="str">
        <f>IFERROR(IF(VLOOKUP($B36,homologador[#Data],12)=0,"Não executado",VLOOKUP($B36,homologador[#Data],12)),"Não executado")</f>
        <v>Não executado</v>
      </c>
    </row>
    <row r="37" spans="2:20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">
        <v>25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94" t="str">
        <f>IFERROR(IF(VLOOKUP($B37,andreia[#Data],12)=0,"Não executado",VLOOKUP($B37,andreia[#Data],12)),"Não executado")</f>
        <v>Não executado</v>
      </c>
      <c r="T37" s="37" t="str">
        <f>IFERROR(IF(VLOOKUP($B37,homologador[#Data],12)=0,"Não executado",VLOOKUP($B37,homologador[#Data],12)),"Não executado")</f>
        <v>Não executado</v>
      </c>
    </row>
    <row r="38" spans="2:20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">
        <v>25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94" t="str">
        <f>IFERROR(IF(VLOOKUP($B38,andreia[#Data],12)=0,"Não executado",VLOOKUP($B38,andreia[#Data],12)),"Não executado")</f>
        <v>Não executado</v>
      </c>
      <c r="T38" s="37" t="str">
        <f>IFERROR(IF(VLOOKUP($B38,homologador[#Data],12)=0,"Não executado",VLOOKUP($B38,homologador[#Data],12)),"Não executado")</f>
        <v>Não executado</v>
      </c>
    </row>
    <row r="39" spans="2:20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">
        <v>25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94" t="str">
        <f>IFERROR(IF(VLOOKUP($B39,andreia[#Data],12)=0,"Não executado",VLOOKUP($B39,andreia[#Data],12)),"Não executado")</f>
        <v>Não executado</v>
      </c>
      <c r="T39" s="37" t="str">
        <f>IFERROR(IF(VLOOKUP($B39,homologador[#Data],12)=0,"Não executado",VLOOKUP($B39,homologador[#Data],12)),"Não executado")</f>
        <v>Não executado</v>
      </c>
    </row>
    <row r="40" spans="2:20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94" t="str">
        <f>IFERROR(IF(VLOOKUP($B40,andreia[#Data],12)=0,"Não executado",VLOOKUP($B40,andreia[#Data],12)),"Não executado")</f>
        <v>Não executado</v>
      </c>
      <c r="T40" s="37" t="str">
        <f>IFERROR(IF(VLOOKUP($B40,homologador[#Data],12)=0,"Não executado",VLOOKUP($B40,homologador[#Data],12)),"Não executado")</f>
        <v>Não executado</v>
      </c>
    </row>
    <row r="41" spans="2:20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94" t="str">
        <f>IFERROR(IF(VLOOKUP($B41,andreia[#Data],12)=0,"Não executado",VLOOKUP($B41,andreia[#Data],12)),"Não executado")</f>
        <v>Não executado</v>
      </c>
      <c r="T41" s="37" t="str">
        <f>IFERROR(IF(VLOOKUP($B41,homologador[#Data],12)=0,"Não executado",VLOOKUP($B41,homologador[#Data],12)),"Não executado")</f>
        <v>Não executado</v>
      </c>
    </row>
    <row r="42" spans="2:20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94" t="str">
        <f>IFERROR(IF(VLOOKUP($B42,andreia[#Data],12)=0,"Não executado",VLOOKUP($B42,andreia[#Data],12)),"Não executado")</f>
        <v>Não executado</v>
      </c>
      <c r="T42" s="37" t="str">
        <f>IFERROR(IF(VLOOKUP($B42,homologador[#Data],12)=0,"Não executado",VLOOKUP($B42,homologador[#Data],12)),"Não executado")</f>
        <v>Não executado</v>
      </c>
    </row>
    <row r="43" spans="2:20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94" t="str">
        <f>IFERROR(IF(VLOOKUP($B43,andreia[#Data],12)=0,"Não executado",VLOOKUP($B43,andreia[#Data],12)),"Não executado")</f>
        <v>Não executado</v>
      </c>
      <c r="T43" s="37" t="str">
        <f>IFERROR(IF(VLOOKUP($B43,homologador[#Data],12)=0,"Não executado",VLOOKUP($B43,homologador[#Data],12)),"Não executado")</f>
        <v>Não executado</v>
      </c>
    </row>
    <row r="44" spans="2:20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94" t="str">
        <f>IFERROR(IF(VLOOKUP($B44,andreia[#Data],12)=0,"Não executado",VLOOKUP($B44,andreia[#Data],12)),"Não executado")</f>
        <v>Não executado</v>
      </c>
      <c r="T44" s="37" t="str">
        <f>IFERROR(IF(VLOOKUP($B44,homologador[#Data],12)=0,"Não executado",VLOOKUP($B44,homologador[#Data],12)),"Não executado")</f>
        <v>Não executado</v>
      </c>
    </row>
    <row r="45" spans="2:20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94" t="str">
        <f>IFERROR(IF(VLOOKUP($B45,andreia[#Data],12)=0,"Não executado",VLOOKUP($B45,andreia[#Data],12)),"Não executado")</f>
        <v>Não executado</v>
      </c>
      <c r="T45" s="37" t="str">
        <f>IFERROR(IF(VLOOKUP($B45,homologador[#Data],12)=0,"Não executado",VLOOKUP($B45,homologador[#Data],12)),"Não executado")</f>
        <v>Não executado</v>
      </c>
    </row>
    <row r="46" spans="2:20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94" t="str">
        <f>IFERROR(IF(VLOOKUP($B46,andreia[#Data],12)=0,"Não executado",VLOOKUP($B46,andreia[#Data],12)),"Não executado")</f>
        <v>Não executado</v>
      </c>
      <c r="T46" s="37" t="str">
        <f>IFERROR(IF(VLOOKUP($B46,homologador[#Data],12)=0,"Não executado",VLOOKUP($B46,homologador[#Data],12)),"Não executado")</f>
        <v>Não executado</v>
      </c>
    </row>
    <row r="47" spans="2:20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94" t="str">
        <f>IFERROR(IF(VLOOKUP($B47,andreia[#Data],12)=0,"Não executado",VLOOKUP($B47,andreia[#Data],12)),"Não executado")</f>
        <v>Não executado</v>
      </c>
      <c r="T47" s="37" t="str">
        <f>IFERROR(IF(VLOOKUP($B47,homologador[#Data],12)=0,"Não executado",VLOOKUP($B47,homologador[#Data],12)),"Não executado")</f>
        <v>Não executado</v>
      </c>
    </row>
    <row r="48" spans="2:20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94" t="str">
        <f>IFERROR(IF(VLOOKUP($B48,andreia[#Data],12)=0,"Não executado",VLOOKUP($B48,andreia[#Data],12)),"Não executado")</f>
        <v>Não executado</v>
      </c>
      <c r="T48" s="37" t="str">
        <f>IFERROR(IF(VLOOKUP($B48,homologador[#Data],12)=0,"Não executado",VLOOKUP($B48,homologador[#Data],12)),"Não executado")</f>
        <v>Não executado</v>
      </c>
    </row>
    <row r="49" spans="2:20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94" t="str">
        <f>IFERROR(IF(VLOOKUP($B49,andreia[#Data],12)=0,"Não executado",VLOOKUP($B49,andreia[#Data],12)),"Não executado")</f>
        <v>Não executado</v>
      </c>
      <c r="T49" s="37" t="str">
        <f>IFERROR(IF(VLOOKUP($B49,homologador[#Data],12)=0,"Não executado",VLOOKUP($B49,homologador[#Data],12)),"Não executado")</f>
        <v>Não executado</v>
      </c>
    </row>
    <row r="50" spans="2:20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94" t="str">
        <f>IFERROR(IF(VLOOKUP($B50,andreia[#Data],12)=0,"Não executado",VLOOKUP($B50,andreia[#Data],12)),"Não executado")</f>
        <v>Não executado</v>
      </c>
      <c r="T50" s="37" t="str">
        <f>IFERROR(IF(VLOOKUP($B50,homologador[#Data],12)=0,"Não executado",VLOOKUP($B50,homologador[#Data],12)),"Não executado")</f>
        <v>Não executado</v>
      </c>
    </row>
    <row r="51" spans="2:20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94" t="str">
        <f>IFERROR(IF(VLOOKUP($B51,andreia[#Data],12)=0,"Não executado",VLOOKUP($B51,andreia[#Data],12)),"Não executado")</f>
        <v>Não executado</v>
      </c>
      <c r="T51" s="37" t="str">
        <f>IFERROR(IF(VLOOKUP($B51,homologador[#Data],12)=0,"Não executado",VLOOKUP($B51,homologador[#Data],12)),"Não executado")</f>
        <v>Não executado</v>
      </c>
    </row>
    <row r="52" spans="2:20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94" t="str">
        <f>IFERROR(IF(VLOOKUP($B52,andreia[#Data],12)=0,"Não executado",VLOOKUP($B52,andreia[#Data],12)),"Não executado")</f>
        <v>Não executado</v>
      </c>
      <c r="T52" s="37" t="str">
        <f>IFERROR(IF(VLOOKUP($B52,homologador[#Data],12)=0,"Não executado",VLOOKUP($B52,homologador[#Data],12)),"Não executado")</f>
        <v>Não executado</v>
      </c>
    </row>
    <row r="53" spans="2:20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94" t="str">
        <f>IFERROR(IF(VLOOKUP($B53,andreia[#Data],12)=0,"Não executado",VLOOKUP($B53,andreia[#Data],12)),"Não executado")</f>
        <v>Não executado</v>
      </c>
      <c r="T53" s="37" t="str">
        <f>IFERROR(IF(VLOOKUP($B53,homologador[#Data],12)=0,"Não executado",VLOOKUP($B53,homologador[#Data],12)),"Não executado")</f>
        <v>Não executado</v>
      </c>
    </row>
    <row r="54" spans="2:20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94" t="str">
        <f>IFERROR(IF(VLOOKUP($B54,andreia[#Data],12)=0,"Não executado",VLOOKUP($B54,andreia[#Data],12)),"Não executado")</f>
        <v>Não executado</v>
      </c>
      <c r="T54" s="37" t="str">
        <f>IFERROR(IF(VLOOKUP($B54,homologador[#Data],12)=0,"Não executado",VLOOKUP($B54,homologador[#Data],12)),"Não executado")</f>
        <v>Não executado</v>
      </c>
    </row>
    <row r="55" spans="2:20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94" t="str">
        <f>IFERROR(IF(VLOOKUP($B55,andreia[#Data],12)=0,"Não executado",VLOOKUP($B55,andreia[#Data],12)),"Não executado")</f>
        <v>Não executado</v>
      </c>
      <c r="T55" s="37" t="str">
        <f>IFERROR(IF(VLOOKUP($B55,homologador[#Data],12)=0,"Não executado",VLOOKUP($B55,homologador[#Data],12)),"Não executado")</f>
        <v>Não executado</v>
      </c>
    </row>
    <row r="56" spans="2:20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94" t="str">
        <f>IFERROR(IF(VLOOKUP($B56,andreia[#Data],12)=0,"Não executado",VLOOKUP($B56,andreia[#Data],12)),"Não executado")</f>
        <v>Não executado</v>
      </c>
      <c r="T56" s="37" t="str">
        <f>IFERROR(IF(VLOOKUP($B56,homologador[#Data],12)=0,"Não executado",VLOOKUP($B56,homologador[#Data],12)),"Não executado")</f>
        <v>Não executado</v>
      </c>
    </row>
    <row r="57" spans="2:20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94" t="str">
        <f>IFERROR(IF(VLOOKUP($B57,andreia[#Data],12)=0,"Não executado",VLOOKUP($B57,andreia[#Data],12)),"Não executado")</f>
        <v>Não executado</v>
      </c>
      <c r="T57" s="37" t="str">
        <f>IFERROR(IF(VLOOKUP($B57,homologador[#Data],12)=0,"Não executado",VLOOKUP($B57,homologador[#Data],12)),"Não executado")</f>
        <v>Não executado</v>
      </c>
    </row>
    <row r="58" spans="2:20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94" t="str">
        <f>IFERROR(IF(VLOOKUP($B58,andreia[#Data],12)=0,"Não executado",VLOOKUP($B58,andreia[#Data],12)),"Não executado")</f>
        <v>Não executado</v>
      </c>
      <c r="T58" s="37" t="str">
        <f>IFERROR(IF(VLOOKUP($B58,homologador[#Data],12)=0,"Não executado",VLOOKUP($B58,homologador[#Data],12)),"Não executado")</f>
        <v>Não executado</v>
      </c>
    </row>
    <row r="59" spans="2:20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94" t="str">
        <f>IFERROR(IF(VLOOKUP($B59,andreia[#Data],12)=0,"Não executado",VLOOKUP($B59,andreia[#Data],12)),"Não executado")</f>
        <v>Não executado</v>
      </c>
      <c r="T59" s="37" t="str">
        <f>IFERROR(IF(VLOOKUP($B59,homologador[#Data],12)=0,"Não executado",VLOOKUP($B59,homologador[#Data],12)),"Não executado")</f>
        <v>Não executado</v>
      </c>
    </row>
    <row r="60" spans="2:20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94" t="str">
        <f>IFERROR(IF(VLOOKUP($B60,andreia[#Data],12)=0,"Não executado",VLOOKUP($B60,andreia[#Data],12)),"Não executado")</f>
        <v>Não executado</v>
      </c>
      <c r="T60" s="37" t="str">
        <f>IFERROR(IF(VLOOKUP($B60,homologador[#Data],12)=0,"Não executado",VLOOKUP($B60,homologador[#Data],12)),"Não executado")</f>
        <v>Não executado</v>
      </c>
    </row>
    <row r="61" spans="2:20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94" t="str">
        <f>IFERROR(IF(VLOOKUP($B61,andreia[#Data],12)=0,"Não executado",VLOOKUP($B61,andreia[#Data],12)),"Não executado")</f>
        <v>Não executado</v>
      </c>
      <c r="T61" s="37" t="str">
        <f>IFERROR(IF(VLOOKUP($B61,homologador[#Data],12)=0,"Não executado",VLOOKUP($B61,homologador[#Data],12)),"Não executado")</f>
        <v>Não executado</v>
      </c>
    </row>
    <row r="62" spans="2:20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94" t="str">
        <f>IFERROR(IF(VLOOKUP($B62,andreia[#Data],12)=0,"Não executado",VLOOKUP($B62,andreia[#Data],12)),"Não executado")</f>
        <v>Não executado</v>
      </c>
      <c r="T62" s="37" t="str">
        <f>IFERROR(IF(VLOOKUP($B62,homologador[#Data],12)=0,"Não executado",VLOOKUP($B62,homologador[#Data],12)),"Não executado")</f>
        <v>Não executado</v>
      </c>
    </row>
    <row r="63" spans="2:20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94" t="str">
        <f>IFERROR(IF(VLOOKUP($B63,andreia[#Data],12)=0,"Não executado",VLOOKUP($B63,andreia[#Data],12)),"Não executado")</f>
        <v>Não executado</v>
      </c>
      <c r="T63" s="37" t="str">
        <f>IFERROR(IF(VLOOKUP($B63,homologador[#Data],12)=0,"Não executado",VLOOKUP($B63,homologador[#Data],12)),"Não executado")</f>
        <v>Não executado</v>
      </c>
    </row>
    <row r="64" spans="2:20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94" t="str">
        <f>IFERROR(IF(VLOOKUP($B64,andreia[#Data],12)=0,"Não executado",VLOOKUP($B64,andreia[#Data],12)),"Não executado")</f>
        <v>Não executado</v>
      </c>
      <c r="T64" s="37" t="str">
        <f>IFERROR(IF(VLOOKUP($B64,homologador[#Data],12)=0,"Não executado",VLOOKUP($B64,homologador[#Data],12)),"Não executado")</f>
        <v>Não executado</v>
      </c>
    </row>
    <row r="65" spans="2:20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94" t="str">
        <f>IFERROR(IF(VLOOKUP($B65,andreia[#Data],12)=0,"Não executado",VLOOKUP($B65,andreia[#Data],12)),"Não executado")</f>
        <v>Não executado</v>
      </c>
      <c r="T65" s="37" t="str">
        <f>IFERROR(IF(VLOOKUP($B65,homologador[#Data],12)=0,"Não executado",VLOOKUP($B65,homologador[#Data],12)),"Não executado")</f>
        <v>Não executado</v>
      </c>
    </row>
    <row r="66" spans="2:20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94" t="str">
        <f>IFERROR(IF(VLOOKUP($B66,andreia[#Data],12)=0,"Não executado",VLOOKUP($B66,andreia[#Data],12)),"Não executado")</f>
        <v>Não executado</v>
      </c>
      <c r="T66" s="37" t="str">
        <f>IFERROR(IF(VLOOKUP($B66,homologador[#Data],12)=0,"Não executado",VLOOKUP($B66,homologador[#Data],12)),"Não executado")</f>
        <v>Não executado</v>
      </c>
    </row>
    <row r="67" spans="2:20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94" t="str">
        <f>IFERROR(IF(VLOOKUP($B67,andreia[#Data],12)=0,"Não executado",VLOOKUP($B67,andreia[#Data],12)),"Não executado")</f>
        <v>Não executado</v>
      </c>
      <c r="T67" s="37" t="str">
        <f>IFERROR(IF(VLOOKUP($B67,homologador[#Data],12)=0,"Não executado",VLOOKUP($B67,homologador[#Data],12)),"Não executado")</f>
        <v>Não executado</v>
      </c>
    </row>
    <row r="68" spans="2:20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94" t="str">
        <f>IFERROR(IF(VLOOKUP($B68,andreia[#Data],12)=0,"Não executado",VLOOKUP($B68,andreia[#Data],12)),"Não executado")</f>
        <v>Não executado</v>
      </c>
      <c r="T68" s="37" t="str">
        <f>IFERROR(IF(VLOOKUP($B68,homologador[#Data],12)=0,"Não executado",VLOOKUP($B68,homologador[#Data],12)),"Não executado")</f>
        <v>Não executado</v>
      </c>
    </row>
    <row r="69" spans="2:20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94" t="str">
        <f>IFERROR(IF(VLOOKUP($B69,andreia[#Data],12)=0,"Não executado",VLOOKUP($B69,andreia[#Data],12)),"Não executado")</f>
        <v>Não executado</v>
      </c>
      <c r="T69" s="37" t="str">
        <f>IFERROR(IF(VLOOKUP($B69,homologador[#Data],12)=0,"Não executado",VLOOKUP($B69,homologador[#Data],12)),"Não executado")</f>
        <v>Não executado</v>
      </c>
    </row>
    <row r="70" spans="2:20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94" t="str">
        <f>IFERROR(IF(VLOOKUP($B70,andreia[#Data],12)=0,"Não executado",VLOOKUP($B70,andreia[#Data],12)),"Não executado")</f>
        <v>Não executado</v>
      </c>
      <c r="T70" s="37" t="str">
        <f>IFERROR(IF(VLOOKUP($B70,homologador[#Data],12)=0,"Não executado",VLOOKUP($B70,homologador[#Data],12)),"Não executado")</f>
        <v>Não executado</v>
      </c>
    </row>
    <row r="71" spans="2:20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94" t="str">
        <f>IFERROR(IF(VLOOKUP($B71,andreia[#Data],12)=0,"Não executado",VLOOKUP($B71,andreia[#Data],12)),"Não executado")</f>
        <v>Não executado</v>
      </c>
      <c r="T71" s="37" t="str">
        <f>IFERROR(IF(VLOOKUP($B71,homologador[#Data],12)=0,"Não executado",VLOOKUP($B71,homologador[#Data],12)),"Não executado")</f>
        <v>Não executado</v>
      </c>
    </row>
    <row r="72" spans="2:20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94" t="str">
        <f>IFERROR(IF(VLOOKUP($B72,andreia[#Data],12)=0,"Não executado",VLOOKUP($B72,andreia[#Data],12)),"Não executado")</f>
        <v>Não executado</v>
      </c>
      <c r="T72" s="37" t="str">
        <f>IFERROR(IF(VLOOKUP($B72,homologador[#Data],12)=0,"Não executado",VLOOKUP($B72,homologador[#Data],12)),"Não executado")</f>
        <v>Não executado</v>
      </c>
    </row>
    <row r="73" spans="2:20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94" t="str">
        <f>IFERROR(IF(VLOOKUP($B73,andreia[#Data],12)=0,"Não executado",VLOOKUP($B73,andreia[#Data],12)),"Não executado")</f>
        <v>Não executado</v>
      </c>
      <c r="T73" s="37" t="str">
        <f>IFERROR(IF(VLOOKUP($B73,homologador[#Data],12)=0,"Não executado",VLOOKUP($B73,homologador[#Data],12)),"Não executado")</f>
        <v>Não executado</v>
      </c>
    </row>
    <row r="74" spans="2:20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94" t="str">
        <f>IFERROR(IF(VLOOKUP($B74,andreia[#Data],12)=0,"Não executado",VLOOKUP($B74,andreia[#Data],12)),"Não executado")</f>
        <v>Não executado</v>
      </c>
      <c r="T74" s="37" t="str">
        <f>IFERROR(IF(VLOOKUP($B74,homologador[#Data],12)=0,"Não executado",VLOOKUP($B74,homologador[#Data],12)),"Não executado")</f>
        <v>Não executado</v>
      </c>
    </row>
    <row r="75" spans="2:20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94" t="str">
        <f>IFERROR(IF(VLOOKUP($B75,andreia[#Data],12)=0,"Não executado",VLOOKUP($B75,andreia[#Data],12)),"Não executado")</f>
        <v>Não executado</v>
      </c>
      <c r="T75" s="37" t="str">
        <f>IFERROR(IF(VLOOKUP($B75,homologador[#Data],12)=0,"Não executado",VLOOKUP($B75,homologador[#Data],12)),"Não executado")</f>
        <v>Não executado</v>
      </c>
    </row>
    <row r="76" spans="2:20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94" t="str">
        <f>IFERROR(IF(VLOOKUP($B76,andreia[#Data],12)=0,"Não executado",VLOOKUP($B76,andreia[#Data],12)),"Não executado")</f>
        <v>Não executado</v>
      </c>
      <c r="T76" s="37" t="str">
        <f>IFERROR(IF(VLOOKUP($B76,homologador[#Data],12)=0,"Não executado",VLOOKUP($B76,homologador[#Data],12)),"Não executado")</f>
        <v>Não executado</v>
      </c>
    </row>
    <row r="77" spans="2:20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94" t="str">
        <f>IFERROR(IF(VLOOKUP($B77,andreia[#Data],12)=0,"Não executado",VLOOKUP($B77,andreia[#Data],12)),"Não executado")</f>
        <v>Não executado</v>
      </c>
      <c r="T77" s="37" t="str">
        <f>IFERROR(IF(VLOOKUP($B77,homologador[#Data],12)=0,"Não executado",VLOOKUP($B77,homologador[#Data],12)),"Não executado")</f>
        <v>Não executado</v>
      </c>
    </row>
    <row r="78" spans="2:20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94" t="str">
        <f>IFERROR(IF(VLOOKUP($B78,andreia[#Data],12)=0,"Não executado",VLOOKUP($B78,andreia[#Data],12)),"Não executado")</f>
        <v>Não executado</v>
      </c>
      <c r="T78" s="37" t="str">
        <f>IFERROR(IF(VLOOKUP($B78,homologador[#Data],12)=0,"Não executado",VLOOKUP($B78,homologador[#Data],12)),"Não executado")</f>
        <v>Não executado</v>
      </c>
    </row>
    <row r="79" spans="2:20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94" t="str">
        <f>IFERROR(IF(VLOOKUP($B79,andreia[#Data],12)=0,"Não executado",VLOOKUP($B79,andreia[#Data],12)),"Não executado")</f>
        <v>Não executado</v>
      </c>
      <c r="T79" s="37" t="str">
        <f>IFERROR(IF(VLOOKUP($B79,homologador[#Data],12)=0,"Não executado",VLOOKUP($B79,homologador[#Data],12)),"Não executado")</f>
        <v>Não executado</v>
      </c>
    </row>
    <row r="80" spans="2:20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94" t="str">
        <f>IFERROR(IF(VLOOKUP($B80,andreia[#Data],12)=0,"Não executado",VLOOKUP($B80,andreia[#Data],12)),"Não executado")</f>
        <v>Não executado</v>
      </c>
      <c r="T80" s="37" t="str">
        <f>IFERROR(IF(VLOOKUP($B80,homologador[#Data],12)=0,"Não executado",VLOOKUP($B80,homologador[#Data],12)),"Não executado")</f>
        <v>Não executado</v>
      </c>
    </row>
    <row r="81" spans="2:20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94" t="str">
        <f>IFERROR(IF(VLOOKUP($B81,andreia[#Data],12)=0,"Não executado",VLOOKUP($B81,andreia[#Data],12)),"Não executado")</f>
        <v>Não executado</v>
      </c>
      <c r="T81" s="37" t="str">
        <f>IFERROR(IF(VLOOKUP($B81,homologador[#Data],12)=0,"Não executado",VLOOKUP($B81,homologador[#Data],12)),"Não executado")</f>
        <v>Não executado</v>
      </c>
    </row>
    <row r="82" spans="2:20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94" t="str">
        <f>IFERROR(IF(VLOOKUP($B82,andreia[#Data],12)=0,"Não executado",VLOOKUP($B82,andreia[#Data],12)),"Não executado")</f>
        <v>Não executado</v>
      </c>
      <c r="T82" s="37" t="str">
        <f>IFERROR(IF(VLOOKUP($B82,homologador[#Data],12)=0,"Não executado",VLOOKUP($B82,homologador[#Data],12)),"Não executado")</f>
        <v>Não executado</v>
      </c>
    </row>
    <row r="83" spans="2:20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7" t="str">
        <f>IFERROR(IF(VLOOKUP($B83,orlando[#Data],12)=0,"Não executado",VLOOKUP($B83,orlando[#Data],12)),"Não executado")</f>
        <v>Não executado</v>
      </c>
      <c r="L83" s="37" t="str">
        <f>IFERROR(IF(VLOOKUP($B83,mauricio[#Data],12)=0,"Não executado",VLOOKUP($B83,mauricio[#Data],12)),"Não executado")</f>
        <v>Não executado</v>
      </c>
      <c r="M83" s="37" t="str">
        <f>IFERROR(IF(VLOOKUP($B83,Thaisa[#Data],12)=0,"Não executado",VLOOKUP($B83,Thaisa[#Data],12)),"Não executado")</f>
        <v>Não executado</v>
      </c>
      <c r="N83" s="37" t="str">
        <f>IFERROR(IF(VLOOKUP($B83,carlos[#Data],12)=0,"Não executado",VLOOKUP($B83,carlos[#Data],12)),"Não executado")</f>
        <v>Não executado</v>
      </c>
      <c r="O83" s="37" t="str">
        <f>IFERROR(IF(VLOOKUP($B83,Alessandra[#Data],12)=0,"Não executado",VLOOKUP($B83,Alessandra[#Data],12)),"Não executado")</f>
        <v>Não executado</v>
      </c>
      <c r="P83" s="37" t="str">
        <f>IFERROR(IF(VLOOKUP($B83,AnaCarolina[#Data],12)=0,"Não executado",VLOOKUP($B83,AnaCarolina[#Data],12)),"Não executado")</f>
        <v>Não executado</v>
      </c>
      <c r="Q83" s="37" t="str">
        <f>IFERROR(IF(VLOOKUP($B83,wanei[#Data],12)=0,"Não executado",VLOOKUP($B83,wanei[#Data],12)),"Não executado")</f>
        <v>Não executado</v>
      </c>
      <c r="R83" s="37" t="str">
        <f>IFERROR(IF(VLOOKUP($B83,janaina[#Data],12)=0,"Não executado",VLOOKUP($B83,janaina[#Data],12)),"Não executado")</f>
        <v>Não executado</v>
      </c>
      <c r="S83" s="94" t="str">
        <f>IFERROR(IF(VLOOKUP($B83,andreia[#Data],12)=0,"Não executado",VLOOKUP($B83,andreia[#Data],12)),"Não executado")</f>
        <v>Não executado</v>
      </c>
      <c r="T83" s="37" t="str">
        <f>IFERROR(IF(VLOOKUP($B83,homologador[#Data],12)=0,"Não executado",VLOOKUP($B83,homologador[#Data],12)),"Não executado")</f>
        <v>Não executado</v>
      </c>
    </row>
    <row r="84" spans="2:20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94" t="str">
        <f>IFERROR(IF(VLOOKUP($B84,andreia[#Data],12)=0,"Não executado",VLOOKUP($B84,andreia[#Data],12)),"Não executado")</f>
        <v>Não executado</v>
      </c>
      <c r="T84" s="37" t="str">
        <f>IFERROR(IF(VLOOKUP($B84,homologador[#Data],12)=0,"Não executado",VLOOKUP($B84,homologador[#Data],12)),"Não executado")</f>
        <v>Não executado</v>
      </c>
    </row>
    <row r="85" spans="2:20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94" t="str">
        <f>IFERROR(IF(VLOOKUP($B85,andreia[#Data],12)=0,"Não executado",VLOOKUP($B85,andreia[#Data],12)),"Não executado")</f>
        <v>Não executado</v>
      </c>
      <c r="T85" s="37" t="str">
        <f>IFERROR(IF(VLOOKUP($B85,homologador[#Data],12)=0,"Não executado",VLOOKUP($B85,homologador[#Data],12)),"Não executado")</f>
        <v>Não executado</v>
      </c>
    </row>
    <row r="86" spans="2:20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94" t="str">
        <f>IFERROR(IF(VLOOKUP($B86,andreia[#Data],12)=0,"Não executado",VLOOKUP($B86,andreia[#Data],12)),"Não executado")</f>
        <v>Não executado</v>
      </c>
      <c r="T86" s="37" t="str">
        <f>IFERROR(IF(VLOOKUP($B86,homologador[#Data],12)=0,"Não executado",VLOOKUP($B86,homologador[#Data],12)),"Não executado")</f>
        <v>Não executado</v>
      </c>
    </row>
    <row r="87" spans="2:20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94" t="str">
        <f>IFERROR(IF(VLOOKUP($B87,andreia[#Data],12)=0,"Não executado",VLOOKUP($B87,andreia[#Data],12)),"Não executado")</f>
        <v>Não executado</v>
      </c>
      <c r="T87" s="37" t="str">
        <f>IFERROR(IF(VLOOKUP($B87,homologador[#Data],12)=0,"Não executado",VLOOKUP($B87,homologador[#Data],12)),"Não executado")</f>
        <v>Não executado</v>
      </c>
    </row>
    <row r="88" spans="2:20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94" t="str">
        <f>IFERROR(IF(VLOOKUP($B88,andreia[#Data],12)=0,"Não executado",VLOOKUP($B88,andreia[#Data],12)),"Não executado")</f>
        <v>Não executado</v>
      </c>
      <c r="T88" s="37" t="str">
        <f>IFERROR(IF(VLOOKUP($B88,homologador[#Data],12)=0,"Não executado",VLOOKUP($B88,homologador[#Data],12)),"Não executado")</f>
        <v>Não executado</v>
      </c>
    </row>
    <row r="89" spans="2:20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94" t="str">
        <f>IFERROR(IF(VLOOKUP($B89,andreia[#Data],12)=0,"Não executado",VLOOKUP($B89,andreia[#Data],12)),"Não executado")</f>
        <v>Não executado</v>
      </c>
      <c r="T89" s="37" t="str">
        <f>IFERROR(IF(VLOOKUP($B89,homologador[#Data],12)=0,"Não executado",VLOOKUP($B89,homologador[#Data],12)),"Não executado")</f>
        <v>Não executado</v>
      </c>
    </row>
    <row r="90" spans="2:20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94" t="str">
        <f>IFERROR(IF(VLOOKUP($B90,andreia[#Data],12)=0,"Não executado",VLOOKUP($B90,andreia[#Data],12)),"Não executado")</f>
        <v>Não executado</v>
      </c>
      <c r="T90" s="37" t="str">
        <f>IFERROR(IF(VLOOKUP($B90,homologador[#Data],12)=0,"Não executado",VLOOKUP($B90,homologador[#Data],12)),"Não executado")</f>
        <v>Não executado</v>
      </c>
    </row>
    <row r="91" spans="2:20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94" t="str">
        <f>IFERROR(IF(VLOOKUP($B91,andreia[#Data],12)=0,"Não executado",VLOOKUP($B91,andreia[#Data],12)),"Não executado")</f>
        <v>Não executado</v>
      </c>
      <c r="T91" s="37" t="str">
        <f>IFERROR(IF(VLOOKUP($B91,homologador[#Data],12)=0,"Não executado",VLOOKUP($B91,homologador[#Data],12)),"Não executado")</f>
        <v>Não executado</v>
      </c>
    </row>
    <row r="92" spans="2:20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94" t="str">
        <f>IFERROR(IF(VLOOKUP($B92,andreia[#Data],12)=0,"Não executado",VLOOKUP($B92,andreia[#Data],12)),"Não executado")</f>
        <v>Não executado</v>
      </c>
      <c r="T92" s="37" t="str">
        <f>IFERROR(IF(VLOOKUP($B92,homologador[#Data],12)=0,"Não executado",VLOOKUP($B92,homologador[#Data],12)),"Não executado")</f>
        <v>Não executado</v>
      </c>
    </row>
    <row r="93" spans="2:20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94" t="str">
        <f>IFERROR(IF(VLOOKUP($B93,andreia[#Data],12)=0,"Não executado",VLOOKUP($B93,andreia[#Data],12)),"Não executado")</f>
        <v>Não executado</v>
      </c>
      <c r="T93" s="37" t="str">
        <f>IFERROR(IF(VLOOKUP($B93,homologador[#Data],12)=0,"Não executado",VLOOKUP($B93,homologador[#Data],12)),"Não executado")</f>
        <v>Não executado</v>
      </c>
    </row>
    <row r="94" spans="2:20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94" t="str">
        <f>IFERROR(IF(VLOOKUP($B94,andreia[#Data],12)=0,"Não executado",VLOOKUP($B94,andreia[#Data],12)),"Não executado")</f>
        <v>Não executado</v>
      </c>
      <c r="T94" s="37" t="str">
        <f>IFERROR(IF(VLOOKUP($B94,homologador[#Data],12)=0,"Não executado",VLOOKUP($B94,homologador[#Data],12)),"Não executado")</f>
        <v>Não executado</v>
      </c>
    </row>
    <row r="95" spans="2:20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94" t="str">
        <f>IFERROR(IF(VLOOKUP($B95,andreia[#Data],12)=0,"Não executado",VLOOKUP($B95,andreia[#Data],12)),"Não executado")</f>
        <v>Não executado</v>
      </c>
      <c r="T95" s="37" t="str">
        <f>IFERROR(IF(VLOOKUP($B95,homologador[#Data],12)=0,"Não executado",VLOOKUP($B95,homologador[#Data],12)),"Não executado")</f>
        <v>Não executado</v>
      </c>
    </row>
    <row r="96" spans="2:20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94" t="str">
        <f>IFERROR(IF(VLOOKUP($B96,andreia[#Data],12)=0,"Não executado",VLOOKUP($B96,andreia[#Data],12)),"Não executado")</f>
        <v>Não executado</v>
      </c>
      <c r="T96" s="37" t="str">
        <f>IFERROR(IF(VLOOKUP($B96,homologador[#Data],12)=0,"Não executado",VLOOKUP($B96,homologador[#Data],12)),"Não executado")</f>
        <v>Não executado</v>
      </c>
    </row>
    <row r="97" spans="2:20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94" t="str">
        <f>IFERROR(IF(VLOOKUP($B97,andreia[#Data],12)=0,"Não executado",VLOOKUP($B97,andreia[#Data],12)),"Não executado")</f>
        <v>Não executado</v>
      </c>
      <c r="T97" s="37" t="str">
        <f>IFERROR(IF(VLOOKUP($B97,homologador[#Data],12)=0,"Não executado",VLOOKUP($B97,homologador[#Data],12)),"Não executado")</f>
        <v>Não executado</v>
      </c>
    </row>
    <row r="98" spans="2:20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94" t="str">
        <f>IFERROR(IF(VLOOKUP($B98,andreia[#Data],12)=0,"Não executado",VLOOKUP($B98,andreia[#Data],12)),"Não executado")</f>
        <v>Não executado</v>
      </c>
      <c r="T98" s="37" t="str">
        <f>IFERROR(IF(VLOOKUP($B98,homologador[#Data],12)=0,"Não executado",VLOOKUP($B98,homologador[#Data],12)),"Não executado")</f>
        <v>Não executado</v>
      </c>
    </row>
    <row r="99" spans="2:20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94" t="str">
        <f>IFERROR(IF(VLOOKUP($B99,andreia[#Data],12)=0,"Não executado",VLOOKUP($B99,andreia[#Data],12)),"Não executado")</f>
        <v>Não executado</v>
      </c>
      <c r="T99" s="37" t="str">
        <f>IFERROR(IF(VLOOKUP($B99,homologador[#Data],12)=0,"Não executado",VLOOKUP($B99,homologador[#Data],12)),"Não executado")</f>
        <v>Não executado</v>
      </c>
    </row>
    <row r="100" spans="2:20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4" t="str">
        <f>IFERROR(IF(VLOOKUP($B100,orlando[#Data],12)=0,"Não executado",VLOOKUP($B100,orlando[#Data],12)),"Não executado")</f>
        <v>Não executado</v>
      </c>
      <c r="L100" s="44" t="str">
        <f>IFERROR(IF(VLOOKUP($B100,mauricio[#Data],12)=0,"Não executado",VLOOKUP($B100,mauricio[#Data],12)),"Não executado")</f>
        <v>Não executado</v>
      </c>
      <c r="M100" s="44" t="str">
        <f>IFERROR(IF(VLOOKUP($B100,Thaisa[#Data],12)=0,"Não executado",VLOOKUP($B100,Thaisa[#Data],12)),"Não executado")</f>
        <v>Não executado</v>
      </c>
      <c r="N100" s="44" t="str">
        <f>IFERROR(IF(VLOOKUP($B100,carlos[#Data],12)=0,"Não executado",VLOOKUP($B100,carlos[#Data],12)),"Não executado")</f>
        <v>Não executado</v>
      </c>
      <c r="O100" s="44" t="str">
        <f>IFERROR(IF(VLOOKUP($B100,Alessandra[#Data],12)=0,"Não executado",VLOOKUP($B100,Alessandra[#Data],12)),"Não executado")</f>
        <v>Não executado</v>
      </c>
      <c r="P100" s="44" t="str">
        <f>IFERROR(IF(VLOOKUP($B100,AnaCarolina[#Data],12)=0,"Não executado",VLOOKUP($B100,AnaCarolina[#Data],12)),"Não executado")</f>
        <v>Não executado</v>
      </c>
      <c r="Q100" s="44" t="str">
        <f>IFERROR(IF(VLOOKUP($B100,wanei[#Data],12)=0,"Não executado",VLOOKUP($B100,wanei[#Data],12)),"Não executado")</f>
        <v>Não executado</v>
      </c>
      <c r="R100" s="44" t="str">
        <f>IFERROR(IF(VLOOKUP($B100,janaina[#Data],12)=0,"Não executado",VLOOKUP($B100,janaina[#Data],12)),"Não executado")</f>
        <v>Não executado</v>
      </c>
      <c r="S100" s="94" t="str">
        <f>IFERROR(IF(VLOOKUP($B100,andreia[#Data],12)=0,"Não executado",VLOOKUP($B100,andreia[#Data],12)),"Não executado")</f>
        <v>Não executado</v>
      </c>
      <c r="T100" s="37" t="str">
        <f>IFERROR(IF(VLOOKUP($B100,homologador[#Data],12)=0,"Não executado",VLOOKUP($B100,homologador[#Data],12)),"Não executado")</f>
        <v>Não executado</v>
      </c>
    </row>
    <row r="101" spans="2:20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94" t="str">
        <f>IFERROR(IF(VLOOKUP($B101,andreia[#Data],12)=0,"Não executado",VLOOKUP($B101,andreia[#Data],12)),"Não executado")</f>
        <v>Não executado</v>
      </c>
      <c r="T101" s="37" t="str">
        <f>IFERROR(IF(VLOOKUP($B101,homologador[#Data],12)=0,"Não executado",VLOOKUP($B101,homologador[#Data],12)),"Não executado")</f>
        <v>Não executado</v>
      </c>
    </row>
    <row r="102" spans="2:20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94" t="str">
        <f>IFERROR(IF(VLOOKUP($B102,andreia[#Data],12)=0,"Não executado",VLOOKUP($B102,andreia[#Data],12)),"Não executado")</f>
        <v>Não executado</v>
      </c>
      <c r="T102" s="37" t="str">
        <f>IFERROR(IF(VLOOKUP($B102,homologador[#Data],12)=0,"Não executado",VLOOKUP($B102,homologador[#Data],12)),"Não executado")</f>
        <v>Não executado</v>
      </c>
    </row>
    <row r="103" spans="2:20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94" t="str">
        <f>IFERROR(IF(VLOOKUP($B103,andreia[#Data],12)=0,"Não executado",VLOOKUP($B103,andreia[#Data],12)),"Não executado")</f>
        <v>Não executado</v>
      </c>
      <c r="T103" s="37" t="str">
        <f>IFERROR(IF(VLOOKUP($B103,homologador[#Data],12)=0,"Não executado",VLOOKUP($B103,homologador[#Data],12)),"Não executado")</f>
        <v>Não executado</v>
      </c>
    </row>
    <row r="104" spans="2:20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94" t="str">
        <f>IFERROR(IF(VLOOKUP($B104,andreia[#Data],12)=0,"Não executado",VLOOKUP($B104,andreia[#Data],12)),"Não executado")</f>
        <v>Não executado</v>
      </c>
      <c r="T104" s="37" t="str">
        <f>IFERROR(IF(VLOOKUP($B104,homologador[#Data],12)=0,"Não executado",VLOOKUP($B104,homologador[#Data],12)),"Não executado")</f>
        <v>Não executado</v>
      </c>
    </row>
    <row r="105" spans="2:20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94" t="str">
        <f>IFERROR(IF(VLOOKUP($B105,andreia[#Data],12)=0,"Não executado",VLOOKUP($B105,andreia[#Data],12)),"Não executado")</f>
        <v>Não executado</v>
      </c>
      <c r="T105" s="37" t="str">
        <f>IFERROR(IF(VLOOKUP($B105,homologador[#Data],12)=0,"Não executado",VLOOKUP($B105,homologador[#Data],12)),"Não executado")</f>
        <v>Não executado</v>
      </c>
    </row>
    <row r="106" spans="2:20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94" t="str">
        <f>IFERROR(IF(VLOOKUP($B106,andreia[#Data],12)=0,"Não executado",VLOOKUP($B106,andreia[#Data],12)),"Não executado")</f>
        <v>Não executado</v>
      </c>
      <c r="T106" s="37" t="str">
        <f>IFERROR(IF(VLOOKUP($B106,homologador[#Data],12)=0,"Não executado",VLOOKUP($B106,homologador[#Data],12)),"Não executado")</f>
        <v>Não executado</v>
      </c>
    </row>
    <row r="107" spans="2:20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94" t="str">
        <f>IFERROR(IF(VLOOKUP($B107,andreia[#Data],12)=0,"Não executado",VLOOKUP($B107,andreia[#Data],12)),"Não executado")</f>
        <v>Não executado</v>
      </c>
      <c r="T107" s="37" t="str">
        <f>IFERROR(IF(VLOOKUP($B107,homologador[#Data],12)=0,"Não executado",VLOOKUP($B107,homologador[#Data],12)),"Não executado")</f>
        <v>Não executado</v>
      </c>
    </row>
    <row r="108" spans="2:20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94" t="str">
        <f>IFERROR(IF(VLOOKUP($B108,andreia[#Data],12)=0,"Não executado",VLOOKUP($B108,andreia[#Data],12)),"Não executado")</f>
        <v>Não executado</v>
      </c>
      <c r="T108" s="37" t="str">
        <f>IFERROR(IF(VLOOKUP($B108,homologador[#Data],12)=0,"Não executado",VLOOKUP($B108,homologador[#Data],12)),"Não executado")</f>
        <v>Não executado</v>
      </c>
    </row>
    <row r="109" spans="2:20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94" t="str">
        <f>IFERROR(IF(VLOOKUP($B109,andreia[#Data],12)=0,"Não executado",VLOOKUP($B109,andreia[#Data],12)),"Não executado")</f>
        <v>Não executado</v>
      </c>
      <c r="T109" s="37" t="str">
        <f>IFERROR(IF(VLOOKUP($B109,homologador[#Data],12)=0,"Não executado",VLOOKUP($B109,homologador[#Data],12)),"Não executado")</f>
        <v>Não executado</v>
      </c>
    </row>
    <row r="110" spans="2:20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94" t="str">
        <f>IFERROR(IF(VLOOKUP($B110,andreia[#Data],12)=0,"Não executado",VLOOKUP($B110,andreia[#Data],12)),"Não executado")</f>
        <v>Não executado</v>
      </c>
      <c r="T110" s="37" t="str">
        <f>IFERROR(IF(VLOOKUP($B110,homologador[#Data],12)=0,"Não executado",VLOOKUP($B110,homologador[#Data],12)),"Não executado")</f>
        <v>Não executado</v>
      </c>
    </row>
    <row r="111" spans="2:20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94" t="str">
        <f>IFERROR(IF(VLOOKUP($B111,andreia[#Data],12)=0,"Não executado",VLOOKUP($B111,andreia[#Data],12)),"Não executado")</f>
        <v>Não executado</v>
      </c>
      <c r="T111" s="37" t="str">
        <f>IFERROR(IF(VLOOKUP($B111,homologador[#Data],12)=0,"Não executado",VLOOKUP($B111,homologador[#Data],12)),"Não executado")</f>
        <v>Não executado</v>
      </c>
    </row>
    <row r="112" spans="2:20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94" t="str">
        <f>IFERROR(IF(VLOOKUP($B112,andreia[#Data],12)=0,"Não executado",VLOOKUP($B112,andreia[#Data],12)),"Não executado")</f>
        <v>Não executado</v>
      </c>
      <c r="T112" s="37" t="str">
        <f>IFERROR(IF(VLOOKUP($B112,homologador[#Data],12)=0,"Não executado",VLOOKUP($B112,homologador[#Data],12)),"Não executado")</f>
        <v>Não executado</v>
      </c>
    </row>
    <row r="113" spans="2:20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94" t="str">
        <f>IFERROR(IF(VLOOKUP($B113,andreia[#Data],12)=0,"Não executado",VLOOKUP($B113,andreia[#Data],12)),"Não executado")</f>
        <v>Não executado</v>
      </c>
      <c r="T113" s="37" t="str">
        <f>IFERROR(IF(VLOOKUP($B113,homologador[#Data],12)=0,"Não executado",VLOOKUP($B113,homologador[#Data],12)),"Não executado")</f>
        <v>Não executado</v>
      </c>
    </row>
    <row r="114" spans="2:20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94" t="str">
        <f>IFERROR(IF(VLOOKUP($B114,andreia[#Data],12)=0,"Não executado",VLOOKUP($B114,andreia[#Data],12)),"Não executado")</f>
        <v>Não executado</v>
      </c>
      <c r="T114" s="37" t="str">
        <f>IFERROR(IF(VLOOKUP($B114,homologador[#Data],12)=0,"Não executado",VLOOKUP($B114,homologador[#Data],12)),"Não executado")</f>
        <v>Não executado</v>
      </c>
    </row>
    <row r="115" spans="2:20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94" t="str">
        <f>IFERROR(IF(VLOOKUP($B115,andreia[#Data],12)=0,"Não executado",VLOOKUP($B115,andreia[#Data],12)),"Não executado")</f>
        <v>Não executado</v>
      </c>
      <c r="T115" s="37" t="str">
        <f>IFERROR(IF(VLOOKUP($B115,homologador[#Data],12)=0,"Não executado",VLOOKUP($B115,homologador[#Data],12)),"Não executado")</f>
        <v>Não executado</v>
      </c>
    </row>
    <row r="116" spans="2:20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94" t="str">
        <f>IFERROR(IF(VLOOKUP($B116,andreia[#Data],12)=0,"Não executado",VLOOKUP($B116,andreia[#Data],12)),"Não executado")</f>
        <v>Não executado</v>
      </c>
      <c r="T116" s="37" t="str">
        <f>IFERROR(IF(VLOOKUP($B116,homologador[#Data],12)=0,"Não executado",VLOOKUP($B116,homologador[#Data],12)),"Não executado")</f>
        <v>Não executado</v>
      </c>
    </row>
    <row r="117" spans="2:20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94" t="str">
        <f>IFERROR(IF(VLOOKUP($B117,andreia[#Data],12)=0,"Não executado",VLOOKUP($B117,andreia[#Data],12)),"Não executado")</f>
        <v>Não executado</v>
      </c>
      <c r="T117" s="37" t="str">
        <f>IFERROR(IF(VLOOKUP($B117,homologador[#Data],12)=0,"Não executado",VLOOKUP($B117,homologador[#Data],12)),"Não executado")</f>
        <v>Não executado</v>
      </c>
    </row>
    <row r="118" spans="2:20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94" t="str">
        <f>IFERROR(IF(VLOOKUP($B118,andreia[#Data],12)=0,"Não executado",VLOOKUP($B118,andreia[#Data],12)),"Não executado")</f>
        <v>Não executado</v>
      </c>
      <c r="T118" s="37" t="str">
        <f>IFERROR(IF(VLOOKUP($B118,homologador[#Data],12)=0,"Não executado",VLOOKUP($B118,homologador[#Data],12)),"Não executado")</f>
        <v>Não executado</v>
      </c>
    </row>
    <row r="119" spans="2:20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94" t="str">
        <f>IFERROR(IF(VLOOKUP($B119,andreia[#Data],12)=0,"Não executado",VLOOKUP($B119,andreia[#Data],12)),"Não executado")</f>
        <v>Não executado</v>
      </c>
      <c r="T119" s="37" t="str">
        <f>IFERROR(IF(VLOOKUP($B119,homologador[#Data],12)=0,"Não executado",VLOOKUP($B119,homologador[#Data],12)),"Não executado")</f>
        <v>Não executado</v>
      </c>
    </row>
    <row r="120" spans="2:20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94" t="str">
        <f>IFERROR(IF(VLOOKUP($B120,andreia[#Data],12)=0,"Não executado",VLOOKUP($B120,andreia[#Data],12)),"Não executado")</f>
        <v>Não executado</v>
      </c>
      <c r="T120" s="37" t="str">
        <f>IFERROR(IF(VLOOKUP($B120,homologador[#Data],12)=0,"Não executado",VLOOKUP($B120,homologador[#Data],12)),"Não executado")</f>
        <v>Não executado</v>
      </c>
    </row>
    <row r="121" spans="2:20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94" t="str">
        <f>IFERROR(IF(VLOOKUP($B121,andreia[#Data],12)=0,"Não executado",VLOOKUP($B121,andreia[#Data],12)),"Não executado")</f>
        <v>Não executado</v>
      </c>
      <c r="T121" s="37" t="str">
        <f>IFERROR(IF(VLOOKUP($B121,homologador[#Data],12)=0,"Não executado",VLOOKUP($B121,homologador[#Data],12)),"Não executado")</f>
        <v>Não executado</v>
      </c>
    </row>
    <row r="122" spans="2:20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94" t="str">
        <f>IFERROR(IF(VLOOKUP($B122,andreia[#Data],12)=0,"Não executado",VLOOKUP($B122,andreia[#Data],12)),"Não executado")</f>
        <v>Não executado</v>
      </c>
      <c r="T122" s="37" t="str">
        <f>IFERROR(IF(VLOOKUP($B122,homologador[#Data],12)=0,"Não executado",VLOOKUP($B122,homologador[#Data],12)),"Não executado")</f>
        <v>Não executado</v>
      </c>
    </row>
    <row r="123" spans="2:20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94" t="str">
        <f>IFERROR(IF(VLOOKUP($B123,andreia[#Data],12)=0,"Não executado",VLOOKUP($B123,andreia[#Data],12)),"Não executado")</f>
        <v>Não executado</v>
      </c>
      <c r="T123" s="37" t="str">
        <f>IFERROR(IF(VLOOKUP($B123,homologador[#Data],12)=0,"Não executado",VLOOKUP($B123,homologador[#Data],12)),"Não executado")</f>
        <v>Não executado</v>
      </c>
    </row>
    <row r="124" spans="2:20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94" t="str">
        <f>IFERROR(IF(VLOOKUP($B124,andreia[#Data],12)=0,"Não executado",VLOOKUP($B124,andreia[#Data],12)),"Não executado")</f>
        <v>Não executado</v>
      </c>
      <c r="T124" s="37" t="str">
        <f>IFERROR(IF(VLOOKUP($B124,homologador[#Data],12)=0,"Não executado",VLOOKUP($B124,homologador[#Data],12)),"Não executado")</f>
        <v>Não executado</v>
      </c>
    </row>
    <row r="125" spans="2:20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94" t="str">
        <f>IFERROR(IF(VLOOKUP($B125,andreia[#Data],12)=0,"Não executado",VLOOKUP($B125,andreia[#Data],12)),"Não executado")</f>
        <v>Não executado</v>
      </c>
      <c r="T125" s="37" t="str">
        <f>IFERROR(IF(VLOOKUP($B125,homologador[#Data],12)=0,"Não executado",VLOOKUP($B125,homologador[#Data],12)),"Não executado")</f>
        <v>Não executado</v>
      </c>
    </row>
    <row r="126" spans="2:20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94" t="str">
        <f>IFERROR(IF(VLOOKUP($B126,andreia[#Data],12)=0,"Não executado",VLOOKUP($B126,andreia[#Data],12)),"Não executado")</f>
        <v>Não executado</v>
      </c>
      <c r="T126" s="37" t="str">
        <f>IFERROR(IF(VLOOKUP($B126,homologador[#Data],12)=0,"Não executado",VLOOKUP($B126,homologador[#Data],12)),"Não executado")</f>
        <v>Não executado</v>
      </c>
    </row>
    <row r="127" spans="2:20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94" t="str">
        <f>IFERROR(IF(VLOOKUP($B127,andreia[#Data],12)=0,"Não executado",VLOOKUP($B127,andreia[#Data],12)),"Não executado")</f>
        <v>Não executado</v>
      </c>
      <c r="T127" s="37" t="str">
        <f>IFERROR(IF(VLOOKUP($B127,homologador[#Data],12)=0,"Não executado",VLOOKUP($B127,homologador[#Data],12)),"Não executado")</f>
        <v>Não executado</v>
      </c>
    </row>
    <row r="128" spans="2:20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94" t="str">
        <f>IFERROR(IF(VLOOKUP($B128,andreia[#Data],12)=0,"Não executado",VLOOKUP($B128,andreia[#Data],12)),"Não executado")</f>
        <v>Não executado</v>
      </c>
      <c r="T128" s="37" t="str">
        <f>IFERROR(IF(VLOOKUP($B128,homologador[#Data],12)=0,"Não executado",VLOOKUP($B128,homologador[#Data],12)),"Não executado")</f>
        <v>Não executado</v>
      </c>
    </row>
    <row r="129" spans="2:20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94" t="str">
        <f>IFERROR(IF(VLOOKUP($B129,andreia[#Data],12)=0,"Não executado",VLOOKUP($B129,andreia[#Data],12)),"Não executado")</f>
        <v>Não executado</v>
      </c>
      <c r="T129" s="37" t="str">
        <f>IFERROR(IF(VLOOKUP($B129,homologador[#Data],12)=0,"Não executado",VLOOKUP($B129,homologador[#Data],12)),"Não executado")</f>
        <v>Não executado</v>
      </c>
    </row>
    <row r="130" spans="2:20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94" t="str">
        <f>IFERROR(IF(VLOOKUP($B130,andreia[#Data],12)=0,"Não executado",VLOOKUP($B130,andreia[#Data],12)),"Não executado")</f>
        <v>Não executado</v>
      </c>
      <c r="T130" s="37" t="str">
        <f>IFERROR(IF(VLOOKUP($B130,homologador[#Data],12)=0,"Não executado",VLOOKUP($B130,homologador[#Data],12)),"Não executado")</f>
        <v>Não executado</v>
      </c>
    </row>
    <row r="131" spans="2:20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94" t="str">
        <f>IFERROR(IF(VLOOKUP($B131,andreia[#Data],12)=0,"Não executado",VLOOKUP($B131,andreia[#Data],12)),"Não executado")</f>
        <v>Não executado</v>
      </c>
      <c r="T131" s="37" t="str">
        <f>IFERROR(IF(VLOOKUP($B131,homologador[#Data],12)=0,"Não executado",VLOOKUP($B131,homologador[#Data],12)),"Não executado")</f>
        <v>Não executado</v>
      </c>
    </row>
    <row r="132" spans="2:20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94" t="str">
        <f>IFERROR(IF(VLOOKUP($B132,andreia[#Data],12)=0,"Não executado",VLOOKUP($B132,andreia[#Data],12)),"Não executado")</f>
        <v>Não executado</v>
      </c>
      <c r="T132" s="37" t="str">
        <f>IFERROR(IF(VLOOKUP($B132,homologador[#Data],12)=0,"Não executado",VLOOKUP($B132,homologador[#Data],12)),"Não executado")</f>
        <v>Não executado</v>
      </c>
    </row>
    <row r="133" spans="2:20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94" t="str">
        <f>IFERROR(IF(VLOOKUP($B133,andreia[#Data],12)=0,"Não executado",VLOOKUP($B133,andreia[#Data],12)),"Não executado")</f>
        <v>Não executado</v>
      </c>
      <c r="T133" s="37" t="str">
        <f>IFERROR(IF(VLOOKUP($B133,homologador[#Data],12)=0,"Não executado",VLOOKUP($B133,homologador[#Data],12)),"Não executado")</f>
        <v>Não executado</v>
      </c>
    </row>
    <row r="134" spans="2:20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94" t="str">
        <f>IFERROR(IF(VLOOKUP($B134,andreia[#Data],12)=0,"Não executado",VLOOKUP($B134,andreia[#Data],12)),"Não executado")</f>
        <v>Não executado</v>
      </c>
      <c r="T134" s="37" t="str">
        <f>IFERROR(IF(VLOOKUP($B134,homologador[#Data],12)=0,"Não executado",VLOOKUP($B134,homologador[#Data],12)),"Não executado")</f>
        <v>Não executado</v>
      </c>
    </row>
    <row r="135" spans="2:20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94" t="str">
        <f>IFERROR(IF(VLOOKUP($B135,andreia[#Data],12)=0,"Não executado",VLOOKUP($B135,andreia[#Data],12)),"Não executado")</f>
        <v>Não executado</v>
      </c>
      <c r="T135" s="37" t="str">
        <f>IFERROR(IF(VLOOKUP($B135,homologador[#Data],12)=0,"Não executado",VLOOKUP($B135,homologador[#Data],12)),"Não executado")</f>
        <v>Não executado</v>
      </c>
    </row>
    <row r="136" spans="2:20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94" t="str">
        <f>IFERROR(IF(VLOOKUP($B136,andreia[#Data],12)=0,"Não executado",VLOOKUP($B136,andreia[#Data],12)),"Não executado")</f>
        <v>Não executado</v>
      </c>
      <c r="T136" s="37" t="str">
        <f>IFERROR(IF(VLOOKUP($B136,homologador[#Data],12)=0,"Não executado",VLOOKUP($B136,homologador[#Data],12)),"Não executado")</f>
        <v>Não executado</v>
      </c>
    </row>
    <row r="137" spans="2:20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94" t="str">
        <f>IFERROR(IF(VLOOKUP($B137,andreia[#Data],12)=0,"Não executado",VLOOKUP($B137,andreia[#Data],12)),"Não executado")</f>
        <v>Não executado</v>
      </c>
      <c r="T137" s="37" t="str">
        <f>IFERROR(IF(VLOOKUP($B137,homologador[#Data],12)=0,"Não executado",VLOOKUP($B137,homologador[#Data],12)),"Não executado")</f>
        <v>Não executado</v>
      </c>
    </row>
    <row r="138" spans="2:20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94" t="str">
        <f>IFERROR(IF(VLOOKUP($B138,andreia[#Data],12)=0,"Não executado",VLOOKUP($B138,andreia[#Data],12)),"Não executado")</f>
        <v>Não executado</v>
      </c>
      <c r="T138" s="37" t="str">
        <f>IFERROR(IF(VLOOKUP($B138,homologador[#Data],12)=0,"Não executado",VLOOKUP($B138,homologador[#Data],12)),"Não executado")</f>
        <v>Não executado</v>
      </c>
    </row>
    <row r="139" spans="2:20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94" t="str">
        <f>IFERROR(IF(VLOOKUP($B139,andreia[#Data],12)=0,"Não executado",VLOOKUP($B139,andreia[#Data],12)),"Não executado")</f>
        <v>Não executado</v>
      </c>
      <c r="T139" s="37" t="str">
        <f>IFERROR(IF(VLOOKUP($B139,homologador[#Data],12)=0,"Não executado",VLOOKUP($B139,homologador[#Data],12)),"Não executado")</f>
        <v>Não executado</v>
      </c>
    </row>
    <row r="140" spans="2:20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94" t="str">
        <f>IFERROR(IF(VLOOKUP($B140,andreia[#Data],12)=0,"Não executado",VLOOKUP($B140,andreia[#Data],12)),"Não executado")</f>
        <v>Não executado</v>
      </c>
      <c r="T140" s="37" t="str">
        <f>IFERROR(IF(VLOOKUP($B140,homologador[#Data],12)=0,"Não executado",VLOOKUP($B140,homologador[#Data],12)),"Não executado")</f>
        <v>Não executado</v>
      </c>
    </row>
    <row r="141" spans="2:20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94" t="str">
        <f>IFERROR(IF(VLOOKUP($B141,andreia[#Data],12)=0,"Não executado",VLOOKUP($B141,andreia[#Data],12)),"Não executado")</f>
        <v>Não executado</v>
      </c>
      <c r="T141" s="37" t="str">
        <f>IFERROR(IF(VLOOKUP($B141,homologador[#Data],12)=0,"Não executado",VLOOKUP($B141,homologador[#Data],12)),"Não executado")</f>
        <v>Não executado</v>
      </c>
    </row>
    <row r="142" spans="2:20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94" t="str">
        <f>IFERROR(IF(VLOOKUP($B142,andreia[#Data],12)=0,"Não executado",VLOOKUP($B142,andreia[#Data],12)),"Não executado")</f>
        <v>Não executado</v>
      </c>
      <c r="T142" s="37" t="str">
        <f>IFERROR(IF(VLOOKUP($B142,homologador[#Data],12)=0,"Não executado",VLOOKUP($B142,homologador[#Data],12)),"Não executado")</f>
        <v>Não executado</v>
      </c>
    </row>
    <row r="143" spans="2:20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94" t="str">
        <f>IFERROR(IF(VLOOKUP($B143,andreia[#Data],12)=0,"Não executado",VLOOKUP($B143,andreia[#Data],12)),"Não executado")</f>
        <v>Não executado</v>
      </c>
      <c r="T143" s="37" t="str">
        <f>IFERROR(IF(VLOOKUP($B143,homologador[#Data],12)=0,"Não executado",VLOOKUP($B143,homologador[#Data],12)),"Não executado")</f>
        <v>Não executado</v>
      </c>
    </row>
    <row r="144" spans="2:20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94" t="str">
        <f>IFERROR(IF(VLOOKUP($B144,andreia[#Data],12)=0,"Não executado",VLOOKUP($B144,andreia[#Data],12)),"Não executado")</f>
        <v>Não executado</v>
      </c>
      <c r="T144" s="37" t="str">
        <f>IFERROR(IF(VLOOKUP($B144,homologador[#Data],12)=0,"Não executado",VLOOKUP($B144,homologador[#Data],12)),"Não executado")</f>
        <v>Não executado</v>
      </c>
    </row>
    <row r="145" spans="2:20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94" t="str">
        <f>IFERROR(IF(VLOOKUP($B145,andreia[#Data],12)=0,"Não executado",VLOOKUP($B145,andreia[#Data],12)),"Não executado")</f>
        <v>Não executado</v>
      </c>
      <c r="T145" s="37" t="str">
        <f>IFERROR(IF(VLOOKUP($B145,homologador[#Data],12)=0,"Não executado",VLOOKUP($B145,homologador[#Data],12)),"Não executado")</f>
        <v>Não executado</v>
      </c>
    </row>
    <row r="146" spans="2:20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94" t="str">
        <f>IFERROR(IF(VLOOKUP($B146,andreia[#Data],12)=0,"Não executado",VLOOKUP($B146,andreia[#Data],12)),"Não executado")</f>
        <v>Não executado</v>
      </c>
      <c r="T146" s="37" t="str">
        <f>IFERROR(IF(VLOOKUP($B146,homologador[#Data],12)=0,"Não executado",VLOOKUP($B146,homologador[#Data],12)),"Não executado")</f>
        <v>Não executado</v>
      </c>
    </row>
    <row r="147" spans="2:20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94" t="str">
        <f>IFERROR(IF(VLOOKUP($B147,andreia[#Data],12)=0,"Não executado",VLOOKUP($B147,andreia[#Data],12)),"Não executado")</f>
        <v>Não executado</v>
      </c>
      <c r="T147" s="37" t="str">
        <f>IFERROR(IF(VLOOKUP($B147,homologador[#Data],12)=0,"Não executado",VLOOKUP($B147,homologador[#Data],12)),"Não executado")</f>
        <v>Não executado</v>
      </c>
    </row>
    <row r="148" spans="2:20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94" t="str">
        <f>IFERROR(IF(VLOOKUP($B148,andreia[#Data],12)=0,"Não executado",VLOOKUP($B148,andreia[#Data],12)),"Não executado")</f>
        <v>Não executado</v>
      </c>
      <c r="T148" s="37" t="str">
        <f>IFERROR(IF(VLOOKUP($B148,homologador[#Data],12)=0,"Não executado",VLOOKUP($B148,homologador[#Data],12)),"Não executado")</f>
        <v>Não executado</v>
      </c>
    </row>
    <row r="149" spans="2:20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94" t="str">
        <f>IFERROR(IF(VLOOKUP($B149,andreia[#Data],12)=0,"Não executado",VLOOKUP($B149,andreia[#Data],12)),"Não executado")</f>
        <v>Não executado</v>
      </c>
      <c r="T149" s="37" t="str">
        <f>IFERROR(IF(VLOOKUP($B149,homologador[#Data],12)=0,"Não executado",VLOOKUP($B149,homologador[#Data],12)),"Não executado")</f>
        <v>Não executado</v>
      </c>
    </row>
    <row r="150" spans="2:20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94" t="str">
        <f>IFERROR(IF(VLOOKUP($B150,andreia[#Data],12)=0,"Não executado",VLOOKUP($B150,andreia[#Data],12)),"Não executado")</f>
        <v>Não executado</v>
      </c>
      <c r="T150" s="37" t="str">
        <f>IFERROR(IF(VLOOKUP($B150,homologador[#Data],12)=0,"Não executado",VLOOKUP($B150,homologador[#Data],12)),"Não executado")</f>
        <v>Não executado</v>
      </c>
    </row>
    <row r="151" spans="2:20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94" t="str">
        <f>IFERROR(IF(VLOOKUP($B151,andreia[#Data],12)=0,"Não executado",VLOOKUP($B151,andreia[#Data],12)),"Não executado")</f>
        <v>Não executado</v>
      </c>
      <c r="T151" s="37" t="str">
        <f>IFERROR(IF(VLOOKUP($B151,homologador[#Data],12)=0,"Não executado",VLOOKUP($B151,homologador[#Data],12)),"Não executado")</f>
        <v>Não executado</v>
      </c>
    </row>
    <row r="152" spans="2:20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94" t="str">
        <f>IFERROR(IF(VLOOKUP($B152,andreia[#Data],12)=0,"Não executado",VLOOKUP($B152,andreia[#Data],12)),"Não executado")</f>
        <v>Não executado</v>
      </c>
      <c r="T152" s="37" t="str">
        <f>IFERROR(IF(VLOOKUP($B152,homologador[#Data],12)=0,"Não executado",VLOOKUP($B152,homologador[#Data],12)),"Não executado")</f>
        <v>Não executado</v>
      </c>
    </row>
    <row r="153" spans="2:20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94" t="str">
        <f>IFERROR(IF(VLOOKUP($B153,andreia[#Data],12)=0,"Não executado",VLOOKUP($B153,andreia[#Data],12)),"Não executado")</f>
        <v>Não executado</v>
      </c>
      <c r="T153" s="37" t="str">
        <f>IFERROR(IF(VLOOKUP($B153,homologador[#Data],12)=0,"Não executado",VLOOKUP($B153,homologador[#Data],12)),"Não executado")</f>
        <v>Não executado</v>
      </c>
    </row>
    <row r="154" spans="2:20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94" t="str">
        <f>IFERROR(IF(VLOOKUP($B154,andreia[#Data],12)=0,"Não executado",VLOOKUP($B154,andreia[#Data],12)),"Não executado")</f>
        <v>Não executado</v>
      </c>
      <c r="T154" s="37" t="str">
        <f>IFERROR(IF(VLOOKUP($B154,homologador[#Data],12)=0,"Não executado",VLOOKUP($B154,homologador[#Data],12)),"Não executado")</f>
        <v>Não executado</v>
      </c>
    </row>
    <row r="155" spans="2:20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94" t="str">
        <f>IFERROR(IF(VLOOKUP($B155,andreia[#Data],12)=0,"Não executado",VLOOKUP($B155,andreia[#Data],12)),"Não executado")</f>
        <v>Não executado</v>
      </c>
      <c r="T155" s="37" t="str">
        <f>IFERROR(IF(VLOOKUP($B155,homologador[#Data],12)=0,"Não executado",VLOOKUP($B155,homologador[#Data],12)),"Não executado")</f>
        <v>Não executado</v>
      </c>
    </row>
    <row r="156" spans="2:20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94" t="str">
        <f>IFERROR(IF(VLOOKUP($B156,andreia[#Data],12)=0,"Não executado",VLOOKUP($B156,andreia[#Data],12)),"Não executado")</f>
        <v>Não executado</v>
      </c>
      <c r="T156" s="37" t="str">
        <f>IFERROR(IF(VLOOKUP($B156,homologador[#Data],12)=0,"Não executado",VLOOKUP($B156,homologador[#Data],12)),"Não executado")</f>
        <v>Não executado</v>
      </c>
    </row>
    <row r="157" spans="2:20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94" t="str">
        <f>IFERROR(IF(VLOOKUP($B157,andreia[#Data],12)=0,"Não executado",VLOOKUP($B157,andreia[#Data],12)),"Não executado")</f>
        <v>Não executado</v>
      </c>
      <c r="T157" s="37" t="str">
        <f>IFERROR(IF(VLOOKUP($B157,homologador[#Data],12)=0,"Não executado",VLOOKUP($B157,homologador[#Data],12)),"Não executado")</f>
        <v>Não executado</v>
      </c>
    </row>
    <row r="158" spans="2:20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94" t="str">
        <f>IFERROR(IF(VLOOKUP($B158,andreia[#Data],12)=0,"Não executado",VLOOKUP($B158,andreia[#Data],12)),"Não executado")</f>
        <v>Não executado</v>
      </c>
      <c r="T158" s="37" t="str">
        <f>IFERROR(IF(VLOOKUP($B158,homologador[#Data],12)=0,"Não executado",VLOOKUP($B158,homologador[#Data],12)),"Não executado")</f>
        <v>Não executado</v>
      </c>
    </row>
    <row r="159" spans="2:20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94" t="str">
        <f>IFERROR(IF(VLOOKUP($B159,andreia[#Data],12)=0,"Não executado",VLOOKUP($B159,andreia[#Data],12)),"Não executado")</f>
        <v>Não executado</v>
      </c>
      <c r="T159" s="37" t="str">
        <f>IFERROR(IF(VLOOKUP($B159,homologador[#Data],12)=0,"Não executado",VLOOKUP($B159,homologador[#Data],12)),"Não executado")</f>
        <v>Não executado</v>
      </c>
    </row>
    <row r="160" spans="2:20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94" t="str">
        <f>IFERROR(IF(VLOOKUP($B160,andreia[#Data],12)=0,"Não executado",VLOOKUP($B160,andreia[#Data],12)),"Não executado")</f>
        <v>Não executado</v>
      </c>
      <c r="T160" s="37" t="str">
        <f>IFERROR(IF(VLOOKUP($B160,homologador[#Data],12)=0,"Não executado",VLOOKUP($B160,homologador[#Data],12)),"Não executado")</f>
        <v>Não executado</v>
      </c>
    </row>
    <row r="161" spans="2:20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94" t="str">
        <f>IFERROR(IF(VLOOKUP($B161,andreia[#Data],12)=0,"Não executado",VLOOKUP($B161,andreia[#Data],12)),"Não executado")</f>
        <v>Não executado</v>
      </c>
      <c r="T161" s="37" t="str">
        <f>IFERROR(IF(VLOOKUP($B161,homologador[#Data],12)=0,"Não executado",VLOOKUP($B161,homologador[#Data],12)),"Não executado")</f>
        <v>Não executado</v>
      </c>
    </row>
    <row r="162" spans="2:20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94" t="str">
        <f>IFERROR(IF(VLOOKUP($B162,andreia[#Data],12)=0,"Não executado",VLOOKUP($B162,andreia[#Data],12)),"Não executado")</f>
        <v>Não executado</v>
      </c>
      <c r="T162" s="37" t="str">
        <f>IFERROR(IF(VLOOKUP($B162,homologador[#Data],12)=0,"Não executado",VLOOKUP($B162,homologador[#Data],12)),"Não executado")</f>
        <v>Não executado</v>
      </c>
    </row>
    <row r="163" spans="2:20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94" t="str">
        <f>IFERROR(IF(VLOOKUP($B163,andreia[#Data],12)=0,"Não executado",VLOOKUP($B163,andreia[#Data],12)),"Não executado")</f>
        <v>Não executado</v>
      </c>
      <c r="T163" s="37" t="str">
        <f>IFERROR(IF(VLOOKUP($B163,homologador[#Data],12)=0,"Não executado",VLOOKUP($B163,homologador[#Data],12)),"Não executado")</f>
        <v>Não executado</v>
      </c>
    </row>
    <row r="164" spans="2:20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94" t="str">
        <f>IFERROR(IF(VLOOKUP($B164,andreia[#Data],12)=0,"Não executado",VLOOKUP($B164,andreia[#Data],12)),"Não executado")</f>
        <v>Não executado</v>
      </c>
      <c r="T164" s="37" t="str">
        <f>IFERROR(IF(VLOOKUP($B164,homologador[#Data],12)=0,"Não executado",VLOOKUP($B164,homologador[#Data],12)),"Não executado")</f>
        <v>Não executado</v>
      </c>
    </row>
    <row r="165" spans="2:20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94" t="str">
        <f>IFERROR(IF(VLOOKUP($B165,andreia[#Data],12)=0,"Não executado",VLOOKUP($B165,andreia[#Data],12)),"Não executado")</f>
        <v>Não executado</v>
      </c>
      <c r="T165" s="37" t="str">
        <f>IFERROR(IF(VLOOKUP($B165,homologador[#Data],12)=0,"Não executado",VLOOKUP($B165,homologador[#Data],12)),"Não executado")</f>
        <v>Não executado</v>
      </c>
    </row>
    <row r="166" spans="2:20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94" t="str">
        <f>IFERROR(IF(VLOOKUP($B166,andreia[#Data],12)=0,"Não executado",VLOOKUP($B166,andreia[#Data],12)),"Não executado")</f>
        <v>Não executado</v>
      </c>
      <c r="T166" s="37" t="str">
        <f>IFERROR(IF(VLOOKUP($B166,homologador[#Data],12)=0,"Não executado",VLOOKUP($B166,homologador[#Data],12)),"Não executado")</f>
        <v>Não executado</v>
      </c>
    </row>
    <row r="167" spans="2:20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94" t="str">
        <f>IFERROR(IF(VLOOKUP($B167,andreia[#Data],12)=0,"Não executado",VLOOKUP($B167,andreia[#Data],12)),"Não executado")</f>
        <v>Não executado</v>
      </c>
      <c r="T167" s="37" t="str">
        <f>IFERROR(IF(VLOOKUP($B167,homologador[#Data],12)=0,"Não executado",VLOOKUP($B167,homologador[#Data],12)),"Não executado")</f>
        <v>Não executado</v>
      </c>
    </row>
    <row r="168" spans="2:20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94" t="str">
        <f>IFERROR(IF(VLOOKUP($B168,andreia[#Data],12)=0,"Não executado",VLOOKUP($B168,andreia[#Data],12)),"Não executado")</f>
        <v>Não executado</v>
      </c>
      <c r="T168" s="37" t="str">
        <f>IFERROR(IF(VLOOKUP($B168,homologador[#Data],12)=0,"Não executado",VLOOKUP($B168,homologador[#Data],12)),"Não executado")</f>
        <v>Não executado</v>
      </c>
    </row>
    <row r="169" spans="2:20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94" t="str">
        <f>IFERROR(IF(VLOOKUP($B169,andreia[#Data],12)=0,"Não executado",VLOOKUP($B169,andreia[#Data],12)),"Não executado")</f>
        <v>Não executado</v>
      </c>
      <c r="T169" s="37" t="str">
        <f>IFERROR(IF(VLOOKUP($B169,homologador[#Data],12)=0,"Não executado",VLOOKUP($B169,homologador[#Data],12)),"Não executado")</f>
        <v>Não executado</v>
      </c>
    </row>
    <row r="170" spans="2:20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94" t="str">
        <f>IFERROR(IF(VLOOKUP($B170,andreia[#Data],12)=0,"Não executado",VLOOKUP($B170,andreia[#Data],12)),"Não executado")</f>
        <v>Não executado</v>
      </c>
      <c r="T170" s="37" t="str">
        <f>IFERROR(IF(VLOOKUP($B170,homologador[#Data],12)=0,"Não executado",VLOOKUP($B170,homologador[#Data],12)),"Não executado")</f>
        <v>Não executado</v>
      </c>
    </row>
    <row r="171" spans="2:20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94" t="str">
        <f>IFERROR(IF(VLOOKUP($B171,andreia[#Data],12)=0,"Não executado",VLOOKUP($B171,andreia[#Data],12)),"Não executado")</f>
        <v>Não executado</v>
      </c>
      <c r="T171" s="37" t="str">
        <f>IFERROR(IF(VLOOKUP($B171,homologador[#Data],12)=0,"Não executado",VLOOKUP($B171,homologador[#Data],12)),"Não executado")</f>
        <v>Não executado</v>
      </c>
    </row>
    <row r="172" spans="2:20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94" t="str">
        <f>IFERROR(IF(VLOOKUP($B172,andreia[#Data],12)=0,"Não executado",VLOOKUP($B172,andreia[#Data],12)),"Não executado")</f>
        <v>Não executado</v>
      </c>
      <c r="T172" s="37" t="str">
        <f>IFERROR(IF(VLOOKUP($B172,homologador[#Data],12)=0,"Não executado",VLOOKUP($B172,homologador[#Data],12)),"Não executado")</f>
        <v>Não executado</v>
      </c>
    </row>
    <row r="173" spans="2:20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94" t="str">
        <f>IFERROR(IF(VLOOKUP($B173,andreia[#Data],12)=0,"Não executado",VLOOKUP($B173,andreia[#Data],12)),"Não executado")</f>
        <v>Não executado</v>
      </c>
      <c r="T173" s="37" t="str">
        <f>IFERROR(IF(VLOOKUP($B173,homologador[#Data],12)=0,"Não executado",VLOOKUP($B173,homologador[#Data],12)),"Não executado")</f>
        <v>Não executado</v>
      </c>
    </row>
    <row r="174" spans="2:20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94" t="str">
        <f>IFERROR(IF(VLOOKUP($B174,andreia[#Data],12)=0,"Não executado",VLOOKUP($B174,andreia[#Data],12)),"Não executado")</f>
        <v>Não executado</v>
      </c>
      <c r="T174" s="37" t="str">
        <f>IFERROR(IF(VLOOKUP($B174,homologador[#Data],12)=0,"Não executado",VLOOKUP($B174,homologador[#Data],12)),"Não executado")</f>
        <v>Não executado</v>
      </c>
    </row>
    <row r="175" spans="2:20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94" t="str">
        <f>IFERROR(IF(VLOOKUP($B175,andreia[#Data],12)=0,"Não executado",VLOOKUP($B175,andreia[#Data],12)),"Não executado")</f>
        <v>Não executado</v>
      </c>
      <c r="T175" s="37" t="str">
        <f>IFERROR(IF(VLOOKUP($B175,homologador[#Data],12)=0,"Não executado",VLOOKUP($B175,homologador[#Data],12)),"Não executado")</f>
        <v>Não executado</v>
      </c>
    </row>
    <row r="176" spans="2:20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94" t="str">
        <f>IFERROR(IF(VLOOKUP($B176,andreia[#Data],12)=0,"Não executado",VLOOKUP($B176,andreia[#Data],12)),"Não executado")</f>
        <v>Não executado</v>
      </c>
      <c r="T176" s="37" t="str">
        <f>IFERROR(IF(VLOOKUP($B176,homologador[#Data],12)=0,"Não executado",VLOOKUP($B176,homologador[#Data],12)),"Não executado")</f>
        <v>Não executado</v>
      </c>
    </row>
    <row r="177" spans="2:20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94" t="str">
        <f>IFERROR(IF(VLOOKUP($B177,andreia[#Data],12)=0,"Não executado",VLOOKUP($B177,andreia[#Data],12)),"Não executado")</f>
        <v>Não executado</v>
      </c>
      <c r="T177" s="37" t="str">
        <f>IFERROR(IF(VLOOKUP($B177,homologador[#Data],12)=0,"Não executado",VLOOKUP($B177,homologador[#Data],12)),"Não executado")</f>
        <v>Não executado</v>
      </c>
    </row>
    <row r="178" spans="2:20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94" t="str">
        <f>IFERROR(IF(VLOOKUP($B178,andreia[#Data],12)=0,"Não executado",VLOOKUP($B178,andreia[#Data],12)),"Não executado")</f>
        <v>Não executado</v>
      </c>
      <c r="T178" s="37" t="str">
        <f>IFERROR(IF(VLOOKUP($B178,homologador[#Data],12)=0,"Não executado",VLOOKUP($B178,homologador[#Data],12)),"Não executado")</f>
        <v>Não executado</v>
      </c>
    </row>
    <row r="179" spans="2:20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94" t="str">
        <f>IFERROR(IF(VLOOKUP($B179,andreia[#Data],12)=0,"Não executado",VLOOKUP($B179,andreia[#Data],12)),"Não executado")</f>
        <v>Não executado</v>
      </c>
      <c r="T179" s="37" t="str">
        <f>IFERROR(IF(VLOOKUP($B179,homologador[#Data],12)=0,"Não executado",VLOOKUP($B179,homologador[#Data],12)),"Não executado")</f>
        <v>Não executado</v>
      </c>
    </row>
    <row r="180" spans="2:20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94" t="str">
        <f>IFERROR(IF(VLOOKUP($B180,andreia[#Data],12)=0,"Não executado",VLOOKUP($B180,andreia[#Data],12)),"Não executado")</f>
        <v>Não executado</v>
      </c>
      <c r="T180" s="37" t="str">
        <f>IFERROR(IF(VLOOKUP($B180,homologador[#Data],12)=0,"Não executado",VLOOKUP($B180,homologador[#Data],12)),"Não executado")</f>
        <v>Não executado</v>
      </c>
    </row>
    <row r="181" spans="2:20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94" t="str">
        <f>IFERROR(IF(VLOOKUP($B181,andreia[#Data],12)=0,"Não executado",VLOOKUP($B181,andreia[#Data],12)),"Não executado")</f>
        <v>Não executado</v>
      </c>
      <c r="T181" s="37" t="str">
        <f>IFERROR(IF(VLOOKUP($B181,homologador[#Data],12)=0,"Não executado",VLOOKUP($B181,homologador[#Data],12)),"Não executado")</f>
        <v>Não executado</v>
      </c>
    </row>
    <row r="182" spans="2:20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94" t="str">
        <f>IFERROR(IF(VLOOKUP($B182,andreia[#Data],12)=0,"Não executado",VLOOKUP($B182,andreia[#Data],12)),"Não executado")</f>
        <v>Não executado</v>
      </c>
      <c r="T182" s="37" t="str">
        <f>IFERROR(IF(VLOOKUP($B182,homologador[#Data],12)=0,"Não executado",VLOOKUP($B182,homologador[#Data],12)),"Não executado")</f>
        <v>Não executado</v>
      </c>
    </row>
    <row r="183" spans="2:20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7" t="str">
        <f>IFERROR(IF(VLOOKUP($B183,orlando[#Data],12)=0,"Não executado",VLOOKUP($B183,orlando[#Data],12)),"Não executado")</f>
        <v>Não executado</v>
      </c>
      <c r="L183" s="37" t="str">
        <f>IFERROR(IF(VLOOKUP($B183,mauricio[#Data],12)=0,"Não executado",VLOOKUP($B183,mauricio[#Data],12)),"Não executado")</f>
        <v>Não executado</v>
      </c>
      <c r="M183" s="37" t="str">
        <f>IFERROR(IF(VLOOKUP($B183,Thaisa[#Data],12)=0,"Não executado",VLOOKUP($B183,Thaisa[#Data],12)),"Não executado")</f>
        <v>Não executado</v>
      </c>
      <c r="N183" s="37" t="str">
        <f>IFERROR(IF(VLOOKUP($B183,carlos[#Data],12)=0,"Não executado",VLOOKUP($B183,carlos[#Data],12)),"Não executado")</f>
        <v>Não executado</v>
      </c>
      <c r="O183" s="37" t="str">
        <f>IFERROR(IF(VLOOKUP($B183,Alessandra[#Data],12)=0,"Não executado",VLOOKUP($B183,Alessandra[#Data],12)),"Não executado")</f>
        <v>Não executado</v>
      </c>
      <c r="P183" s="37" t="str">
        <f>IFERROR(IF(VLOOKUP($B183,AnaCarolina[#Data],12)=0,"Não executado",VLOOKUP($B183,AnaCarolina[#Data],12)),"Não executado")</f>
        <v>Não executado</v>
      </c>
      <c r="Q183" s="37" t="str">
        <f>IFERROR(IF(VLOOKUP($B183,wanei[#Data],12)=0,"Não executado",VLOOKUP($B183,wanei[#Data],12)),"Não executado")</f>
        <v>Não executado</v>
      </c>
      <c r="R183" s="37" t="str">
        <f>IFERROR(IF(VLOOKUP($B183,janaina[#Data],12)=0,"Não executado",VLOOKUP($B183,janaina[#Data],12)),"Não executado")</f>
        <v>Não executado</v>
      </c>
      <c r="S183" s="94" t="str">
        <f>IFERROR(IF(VLOOKUP($B183,andreia[#Data],12)=0,"Não executado",VLOOKUP($B183,andreia[#Data],12)),"Não executado")</f>
        <v>Não executado</v>
      </c>
      <c r="T183" s="37" t="str">
        <f>IFERROR(IF(VLOOKUP($B183,homologador[#Data],12)=0,"Não executado",VLOOKUP($B183,homologador[#Data],12)),"Não executado")</f>
        <v>Não executado</v>
      </c>
    </row>
    <row r="184" spans="2:20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7" t="str">
        <f>IFERROR(IF(VLOOKUP($B184,orlando[#Data],12)=0,"Não executado",VLOOKUP($B184,orlando[#Data],12)),"Não executado")</f>
        <v>Não executado</v>
      </c>
      <c r="L184" s="37" t="str">
        <f>IFERROR(IF(VLOOKUP($B184,mauricio[#Data],12)=0,"Não executado",VLOOKUP($B184,mauricio[#Data],12)),"Não executado")</f>
        <v>Não executado</v>
      </c>
      <c r="M184" s="37" t="str">
        <f>IFERROR(IF(VLOOKUP($B184,Thaisa[#Data],12)=0,"Não executado",VLOOKUP($B184,Thaisa[#Data],12)),"Não executado")</f>
        <v>Não executado</v>
      </c>
      <c r="N184" s="37" t="str">
        <f>IFERROR(IF(VLOOKUP($B184,carlos[#Data],12)=0,"Não executado",VLOOKUP($B184,carlos[#Data],12)),"Não executado")</f>
        <v>Não executado</v>
      </c>
      <c r="O184" s="37" t="str">
        <f>IFERROR(IF(VLOOKUP($B184,Alessandra[#Data],12)=0,"Não executado",VLOOKUP($B184,Alessandra[#Data],12)),"Não executado")</f>
        <v>Não executado</v>
      </c>
      <c r="P184" s="37" t="str">
        <f>IFERROR(IF(VLOOKUP($B184,AnaCarolina[#Data],12)=0,"Não executado",VLOOKUP($B184,AnaCarolina[#Data],12)),"Não executado")</f>
        <v>Não executado</v>
      </c>
      <c r="Q184" s="37" t="str">
        <f>IFERROR(IF(VLOOKUP($B184,wanei[#Data],12)=0,"Não executado",VLOOKUP($B184,wanei[#Data],12)),"Não executado")</f>
        <v>Não executado</v>
      </c>
      <c r="R184" s="37" t="str">
        <f>IFERROR(IF(VLOOKUP($B184,janaina[#Data],12)=0,"Não executado",VLOOKUP($B184,janaina[#Data],12)),"Não executado")</f>
        <v>Não executado</v>
      </c>
      <c r="S184" s="94" t="str">
        <f>IFERROR(IF(VLOOKUP($B184,andreia[#Data],12)=0,"Não executado",VLOOKUP($B184,andreia[#Data],12)),"Não executado")</f>
        <v>Não executado</v>
      </c>
      <c r="T184" s="37" t="str">
        <f>IFERROR(IF(VLOOKUP($B184,homologador[#Data],12)=0,"Não executado",VLOOKUP($B184,homologador[#Data],12)),"Não executado")</f>
        <v>Não executado</v>
      </c>
    </row>
    <row r="185" spans="2:20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7" t="str">
        <f>IFERROR(IF(VLOOKUP($B185,orlando[#Data],12)=0,"Não executado",VLOOKUP($B185,orlando[#Data],12)),"Não executado")</f>
        <v>Não executado</v>
      </c>
      <c r="L185" s="37" t="str">
        <f>IFERROR(IF(VLOOKUP($B185,mauricio[#Data],12)=0,"Não executado",VLOOKUP($B185,mauricio[#Data],12)),"Não executado")</f>
        <v>Não executado</v>
      </c>
      <c r="M185" s="37" t="str">
        <f>IFERROR(IF(VLOOKUP($B185,Thaisa[#Data],12)=0,"Não executado",VLOOKUP($B185,Thaisa[#Data],12)),"Não executado")</f>
        <v>Não executado</v>
      </c>
      <c r="N185" s="37" t="str">
        <f>IFERROR(IF(VLOOKUP($B185,carlos[#Data],12)=0,"Não executado",VLOOKUP($B185,carlos[#Data],12)),"Não executado")</f>
        <v>Não executado</v>
      </c>
      <c r="O185" s="37" t="str">
        <f>IFERROR(IF(VLOOKUP($B185,Alessandra[#Data],12)=0,"Não executado",VLOOKUP($B185,Alessandra[#Data],12)),"Não executado")</f>
        <v>Não executado</v>
      </c>
      <c r="P185" s="37" t="str">
        <f>IFERROR(IF(VLOOKUP($B185,AnaCarolina[#Data],12)=0,"Não executado",VLOOKUP($B185,AnaCarolina[#Data],12)),"Não executado")</f>
        <v>Não executado</v>
      </c>
      <c r="Q185" s="37" t="str">
        <f>IFERROR(IF(VLOOKUP($B185,wanei[#Data],12)=0,"Não executado",VLOOKUP($B185,wanei[#Data],12)),"Não executado")</f>
        <v>Não executado</v>
      </c>
      <c r="R185" s="37" t="str">
        <f>IFERROR(IF(VLOOKUP($B185,janaina[#Data],12)=0,"Não executado",VLOOKUP($B185,janaina[#Data],12)),"Não executado")</f>
        <v>Não executado</v>
      </c>
      <c r="S185" s="94" t="str">
        <f>IFERROR(IF(VLOOKUP($B185,andreia[#Data],12)=0,"Não executado",VLOOKUP($B185,andreia[#Data],12)),"Não executado")</f>
        <v>Não executado</v>
      </c>
      <c r="T185" s="37" t="str">
        <f>IFERROR(IF(VLOOKUP($B185,homologador[#Data],12)=0,"Não executado",VLOOKUP($B185,homologador[#Data],12)),"Não executado")</f>
        <v>Não executado</v>
      </c>
    </row>
    <row r="186" spans="2:20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7" t="str">
        <f>IFERROR(IF(VLOOKUP($B186,orlando[#Data],12)=0,"Não executado",VLOOKUP($B186,orlando[#Data],12)),"Não executado")</f>
        <v>Não executado</v>
      </c>
      <c r="L186" s="37" t="str">
        <f>IFERROR(IF(VLOOKUP($B186,mauricio[#Data],12)=0,"Não executado",VLOOKUP($B186,mauricio[#Data],12)),"Não executado")</f>
        <v>Não executado</v>
      </c>
      <c r="M186" s="37" t="str">
        <f>IFERROR(IF(VLOOKUP($B186,Thaisa[#Data],12)=0,"Não executado",VLOOKUP($B186,Thaisa[#Data],12)),"Não executado")</f>
        <v>Não executado</v>
      </c>
      <c r="N186" s="37" t="str">
        <f>IFERROR(IF(VLOOKUP($B186,carlos[#Data],12)=0,"Não executado",VLOOKUP($B186,carlos[#Data],12)),"Não executado")</f>
        <v>Não executado</v>
      </c>
      <c r="O186" s="37" t="str">
        <f>IFERROR(IF(VLOOKUP($B186,Alessandra[#Data],12)=0,"Não executado",VLOOKUP($B186,Alessandra[#Data],12)),"Não executado")</f>
        <v>Não executado</v>
      </c>
      <c r="P186" s="37" t="str">
        <f>IFERROR(IF(VLOOKUP($B186,AnaCarolina[#Data],12)=0,"Não executado",VLOOKUP($B186,AnaCarolina[#Data],12)),"Não executado")</f>
        <v>Não executado</v>
      </c>
      <c r="Q186" s="37" t="str">
        <f>IFERROR(IF(VLOOKUP($B186,wanei[#Data],12)=0,"Não executado",VLOOKUP($B186,wanei[#Data],12)),"Não executado")</f>
        <v>Não executado</v>
      </c>
      <c r="R186" s="37" t="str">
        <f>IFERROR(IF(VLOOKUP($B186,janaina[#Data],12)=0,"Não executado",VLOOKUP($B186,janaina[#Data],12)),"Não executado")</f>
        <v>Não executado</v>
      </c>
      <c r="S186" s="94" t="str">
        <f>IFERROR(IF(VLOOKUP($B186,andreia[#Data],12)=0,"Não executado",VLOOKUP($B186,andreia[#Data],12)),"Não executado")</f>
        <v>Não executado</v>
      </c>
      <c r="T186" s="37" t="str">
        <f>IFERROR(IF(VLOOKUP($B186,homologador[#Data],12)=0,"Não executado",VLOOKUP($B186,homologador[#Data],12)),"Não executado")</f>
        <v>Não executado</v>
      </c>
    </row>
    <row r="187" spans="2:20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7" t="str">
        <f>IFERROR(IF(VLOOKUP($B187,orlando[#Data],12)=0,"Não executado",VLOOKUP($B187,orlando[#Data],12)),"Não executado")</f>
        <v>Não executado</v>
      </c>
      <c r="L187" s="37" t="str">
        <f>IFERROR(IF(VLOOKUP($B187,mauricio[#Data],12)=0,"Não executado",VLOOKUP($B187,mauricio[#Data],12)),"Não executado")</f>
        <v>Não executado</v>
      </c>
      <c r="M187" s="37" t="str">
        <f>IFERROR(IF(VLOOKUP($B187,Thaisa[#Data],12)=0,"Não executado",VLOOKUP($B187,Thaisa[#Data],12)),"Não executado")</f>
        <v>Não executado</v>
      </c>
      <c r="N187" s="37" t="str">
        <f>IFERROR(IF(VLOOKUP($B187,carlos[#Data],12)=0,"Não executado",VLOOKUP($B187,carlos[#Data],12)),"Não executado")</f>
        <v>Não executado</v>
      </c>
      <c r="O187" s="37" t="str">
        <f>IFERROR(IF(VLOOKUP($B187,Alessandra[#Data],12)=0,"Não executado",VLOOKUP($B187,Alessandra[#Data],12)),"Não executado")</f>
        <v>Não executado</v>
      </c>
      <c r="P187" s="37" t="str">
        <f>IFERROR(IF(VLOOKUP($B187,AnaCarolina[#Data],12)=0,"Não executado",VLOOKUP($B187,AnaCarolina[#Data],12)),"Não executado")</f>
        <v>Não executado</v>
      </c>
      <c r="Q187" s="37" t="str">
        <f>IFERROR(IF(VLOOKUP($B187,wanei[#Data],12)=0,"Não executado",VLOOKUP($B187,wanei[#Data],12)),"Não executado")</f>
        <v>Não executado</v>
      </c>
      <c r="R187" s="37" t="str">
        <f>IFERROR(IF(VLOOKUP($B187,janaina[#Data],12)=0,"Não executado",VLOOKUP($B187,janaina[#Data],12)),"Não executado")</f>
        <v>Não executado</v>
      </c>
      <c r="S187" s="94" t="str">
        <f>IFERROR(IF(VLOOKUP($B187,andreia[#Data],12)=0,"Não executado",VLOOKUP($B187,andreia[#Data],12)),"Não executado")</f>
        <v>Não executado</v>
      </c>
      <c r="T187" s="37" t="str">
        <f>IFERROR(IF(VLOOKUP($B187,homologador[#Data],12)=0,"Não executado",VLOOKUP($B187,homologador[#Data],12)),"Não executado")</f>
        <v>Não executado</v>
      </c>
    </row>
    <row r="188" spans="2:20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7" t="str">
        <f>IFERROR(IF(VLOOKUP($B188,orlando[#Data],12)=0,"Não executado",VLOOKUP($B188,orlando[#Data],12)),"Não executado")</f>
        <v>Não executado</v>
      </c>
      <c r="L188" s="37" t="str">
        <f>IFERROR(IF(VLOOKUP($B188,mauricio[#Data],12)=0,"Não executado",VLOOKUP($B188,mauricio[#Data],12)),"Não executado")</f>
        <v>Não executado</v>
      </c>
      <c r="M188" s="37" t="str">
        <f>IFERROR(IF(VLOOKUP($B188,Thaisa[#Data],12)=0,"Não executado",VLOOKUP($B188,Thaisa[#Data],12)),"Não executado")</f>
        <v>Não executado</v>
      </c>
      <c r="N188" s="37" t="str">
        <f>IFERROR(IF(VLOOKUP($B188,carlos[#Data],12)=0,"Não executado",VLOOKUP($B188,carlos[#Data],12)),"Não executado")</f>
        <v>Não executado</v>
      </c>
      <c r="O188" s="37" t="str">
        <f>IFERROR(IF(VLOOKUP($B188,Alessandra[#Data],12)=0,"Não executado",VLOOKUP($B188,Alessandra[#Data],12)),"Não executado")</f>
        <v>Não executado</v>
      </c>
      <c r="P188" s="37" t="str">
        <f>IFERROR(IF(VLOOKUP($B188,AnaCarolina[#Data],12)=0,"Não executado",VLOOKUP($B188,AnaCarolina[#Data],12)),"Não executado")</f>
        <v>Não executado</v>
      </c>
      <c r="Q188" s="37" t="str">
        <f>IFERROR(IF(VLOOKUP($B188,wanei[#Data],12)=0,"Não executado",VLOOKUP($B188,wanei[#Data],12)),"Não executado")</f>
        <v>Não executado</v>
      </c>
      <c r="R188" s="37" t="str">
        <f>IFERROR(IF(VLOOKUP($B188,janaina[#Data],12)=0,"Não executado",VLOOKUP($B188,janaina[#Data],12)),"Não executado")</f>
        <v>Não executado</v>
      </c>
      <c r="S188" s="94" t="str">
        <f>IFERROR(IF(VLOOKUP($B188,andreia[#Data],12)=0,"Não executado",VLOOKUP($B188,andreia[#Data],12)),"Não executado")</f>
        <v>Não executado</v>
      </c>
      <c r="T188" s="37" t="str">
        <f>IFERROR(IF(VLOOKUP($B188,homologador[#Data],12)=0,"Não executado",VLOOKUP($B188,homologador[#Data],12)),"Não executado")</f>
        <v>Não executado</v>
      </c>
    </row>
    <row r="189" spans="2:20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7" t="str">
        <f>IFERROR(IF(VLOOKUP($B189,orlando[#Data],12)=0,"Não executado",VLOOKUP($B189,orlando[#Data],12)),"Não executado")</f>
        <v>Não executado</v>
      </c>
      <c r="L189" s="37" t="str">
        <f>IFERROR(IF(VLOOKUP($B189,mauricio[#Data],12)=0,"Não executado",VLOOKUP($B189,mauricio[#Data],12)),"Não executado")</f>
        <v>Não executado</v>
      </c>
      <c r="M189" s="37" t="str">
        <f>IFERROR(IF(VLOOKUP($B189,Thaisa[#Data],12)=0,"Não executado",VLOOKUP($B189,Thaisa[#Data],12)),"Não executado")</f>
        <v>Não executado</v>
      </c>
      <c r="N189" s="37" t="str">
        <f>IFERROR(IF(VLOOKUP($B189,carlos[#Data],12)=0,"Não executado",VLOOKUP($B189,carlos[#Data],12)),"Não executado")</f>
        <v>Não executado</v>
      </c>
      <c r="O189" s="37" t="str">
        <f>IFERROR(IF(VLOOKUP($B189,Alessandra[#Data],12)=0,"Não executado",VLOOKUP($B189,Alessandra[#Data],12)),"Não executado")</f>
        <v>Não executado</v>
      </c>
      <c r="P189" s="37" t="str">
        <f>IFERROR(IF(VLOOKUP($B189,AnaCarolina[#Data],12)=0,"Não executado",VLOOKUP($B189,AnaCarolina[#Data],12)),"Não executado")</f>
        <v>Não executado</v>
      </c>
      <c r="Q189" s="37" t="str">
        <f>IFERROR(IF(VLOOKUP($B189,wanei[#Data],12)=0,"Não executado",VLOOKUP($B189,wanei[#Data],12)),"Não executado")</f>
        <v>Não executado</v>
      </c>
      <c r="R189" s="37" t="str">
        <f>IFERROR(IF(VLOOKUP($B189,janaina[#Data],12)=0,"Não executado",VLOOKUP($B189,janaina[#Data],12)),"Não executado")</f>
        <v>Não executado</v>
      </c>
      <c r="S189" s="94" t="str">
        <f>IFERROR(IF(VLOOKUP($B189,andreia[#Data],12)=0,"Não executado",VLOOKUP($B189,andreia[#Data],12)),"Não executado")</f>
        <v>Não executado</v>
      </c>
      <c r="T189" s="37" t="str">
        <f>IFERROR(IF(VLOOKUP($B189,homologador[#Data],12)=0,"Não executado",VLOOKUP($B189,homologador[#Data],12)),"Não executado")</f>
        <v>Não executado</v>
      </c>
    </row>
    <row r="190" spans="2:20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7" t="str">
        <f>IFERROR(IF(VLOOKUP($B190,orlando[#Data],12)=0,"Não executado",VLOOKUP($B190,orlando[#Data],12)),"Não executado")</f>
        <v>Não executado</v>
      </c>
      <c r="L190" s="37" t="str">
        <f>IFERROR(IF(VLOOKUP($B190,mauricio[#Data],12)=0,"Não executado",VLOOKUP($B190,mauricio[#Data],12)),"Não executado")</f>
        <v>Não executado</v>
      </c>
      <c r="M190" s="37" t="str">
        <f>IFERROR(IF(VLOOKUP($B190,Thaisa[#Data],12)=0,"Não executado",VLOOKUP($B190,Thaisa[#Data],12)),"Não executado")</f>
        <v>Não executado</v>
      </c>
      <c r="N190" s="37" t="str">
        <f>IFERROR(IF(VLOOKUP($B190,carlos[#Data],12)=0,"Não executado",VLOOKUP($B190,carlos[#Data],12)),"Não executado")</f>
        <v>Não executado</v>
      </c>
      <c r="O190" s="37" t="str">
        <f>IFERROR(IF(VLOOKUP($B190,Alessandra[#Data],12)=0,"Não executado",VLOOKUP($B190,Alessandra[#Data],12)),"Não executado")</f>
        <v>Não executado</v>
      </c>
      <c r="P190" s="37" t="str">
        <f>IFERROR(IF(VLOOKUP($B190,AnaCarolina[#Data],12)=0,"Não executado",VLOOKUP($B190,AnaCarolina[#Data],12)),"Não executado")</f>
        <v>Não executado</v>
      </c>
      <c r="Q190" s="37" t="str">
        <f>IFERROR(IF(VLOOKUP($B190,wanei[#Data],12)=0,"Não executado",VLOOKUP($B190,wanei[#Data],12)),"Não executado")</f>
        <v>Não executado</v>
      </c>
      <c r="R190" s="37" t="str">
        <f>IFERROR(IF(VLOOKUP($B190,janaina[#Data],12)=0,"Não executado",VLOOKUP($B190,janaina[#Data],12)),"Não executado")</f>
        <v>Não executado</v>
      </c>
      <c r="S190" s="94" t="str">
        <f>IFERROR(IF(VLOOKUP($B190,andreia[#Data],12)=0,"Não executado",VLOOKUP($B190,andreia[#Data],12)),"Não executado")</f>
        <v>Não executado</v>
      </c>
      <c r="T190" s="37" t="str">
        <f>IFERROR(IF(VLOOKUP($B190,homologador[#Data],12)=0,"Não executado",VLOOKUP($B190,homologador[#Data],12)),"Não executado")</f>
        <v>Não executado</v>
      </c>
    </row>
    <row r="191" spans="2:20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7" t="str">
        <f>IFERROR(IF(VLOOKUP($B191,orlando[#Data],12)=0,"Não executado",VLOOKUP($B191,orlando[#Data],12)),"Não executado")</f>
        <v>Não executado</v>
      </c>
      <c r="L191" s="37" t="str">
        <f>IFERROR(IF(VLOOKUP($B191,mauricio[#Data],12)=0,"Não executado",VLOOKUP($B191,mauricio[#Data],12)),"Não executado")</f>
        <v>Não executado</v>
      </c>
      <c r="M191" s="37" t="str">
        <f>IFERROR(IF(VLOOKUP($B191,Thaisa[#Data],12)=0,"Não executado",VLOOKUP($B191,Thaisa[#Data],12)),"Não executado")</f>
        <v>Não executado</v>
      </c>
      <c r="N191" s="37" t="str">
        <f>IFERROR(IF(VLOOKUP($B191,carlos[#Data],12)=0,"Não executado",VLOOKUP($B191,carlos[#Data],12)),"Não executado")</f>
        <v>Não executado</v>
      </c>
      <c r="O191" s="37" t="str">
        <f>IFERROR(IF(VLOOKUP($B191,Alessandra[#Data],12)=0,"Não executado",VLOOKUP($B191,Alessandra[#Data],12)),"Não executado")</f>
        <v>Não executado</v>
      </c>
      <c r="P191" s="37" t="str">
        <f>IFERROR(IF(VLOOKUP($B191,AnaCarolina[#Data],12)=0,"Não executado",VLOOKUP($B191,AnaCarolina[#Data],12)),"Não executado")</f>
        <v>Não executado</v>
      </c>
      <c r="Q191" s="37" t="str">
        <f>IFERROR(IF(VLOOKUP($B191,wanei[#Data],12)=0,"Não executado",VLOOKUP($B191,wanei[#Data],12)),"Não executado")</f>
        <v>Não executado</v>
      </c>
      <c r="R191" s="37" t="str">
        <f>IFERROR(IF(VLOOKUP($B191,janaina[#Data],12)=0,"Não executado",VLOOKUP($B191,janaina[#Data],12)),"Não executado")</f>
        <v>Não executado</v>
      </c>
      <c r="S191" s="94" t="str">
        <f>IFERROR(IF(VLOOKUP($B191,andreia[#Data],12)=0,"Não executado",VLOOKUP($B191,andreia[#Data],12)),"Não executado")</f>
        <v>Não executado</v>
      </c>
      <c r="T191" s="37" t="str">
        <f>IFERROR(IF(VLOOKUP($B191,homologador[#Data],12)=0,"Não executado",VLOOKUP($B191,homologador[#Data],12)),"Não executado")</f>
        <v>Não executado</v>
      </c>
    </row>
    <row r="192" spans="2:20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7" t="str">
        <f>IFERROR(IF(VLOOKUP($B192,orlando[#Data],12)=0,"Não executado",VLOOKUP($B192,orlando[#Data],12)),"Não executado")</f>
        <v>Não executado</v>
      </c>
      <c r="L192" s="37" t="str">
        <f>IFERROR(IF(VLOOKUP($B192,mauricio[#Data],12)=0,"Não executado",VLOOKUP($B192,mauricio[#Data],12)),"Não executado")</f>
        <v>Não executado</v>
      </c>
      <c r="M192" s="37" t="str">
        <f>IFERROR(IF(VLOOKUP($B192,Thaisa[#Data],12)=0,"Não executado",VLOOKUP($B192,Thaisa[#Data],12)),"Não executado")</f>
        <v>Não executado</v>
      </c>
      <c r="N192" s="37" t="str">
        <f>IFERROR(IF(VLOOKUP($B192,carlos[#Data],12)=0,"Não executado",VLOOKUP($B192,carlos[#Data],12)),"Não executado")</f>
        <v>Não executado</v>
      </c>
      <c r="O192" s="37" t="str">
        <f>IFERROR(IF(VLOOKUP($B192,Alessandra[#Data],12)=0,"Não executado",VLOOKUP($B192,Alessandra[#Data],12)),"Não executado")</f>
        <v>Não executado</v>
      </c>
      <c r="P192" s="37" t="str">
        <f>IFERROR(IF(VLOOKUP($B192,AnaCarolina[#Data],12)=0,"Não executado",VLOOKUP($B192,AnaCarolina[#Data],12)),"Não executado")</f>
        <v>Não executado</v>
      </c>
      <c r="Q192" s="37" t="str">
        <f>IFERROR(IF(VLOOKUP($B192,wanei[#Data],12)=0,"Não executado",VLOOKUP($B192,wanei[#Data],12)),"Não executado")</f>
        <v>Não executado</v>
      </c>
      <c r="R192" s="37" t="str">
        <f>IFERROR(IF(VLOOKUP($B192,janaina[#Data],12)=0,"Não executado",VLOOKUP($B192,janaina[#Data],12)),"Não executado")</f>
        <v>Não executado</v>
      </c>
      <c r="S192" s="94" t="str">
        <f>IFERROR(IF(VLOOKUP($B192,andreia[#Data],12)=0,"Não executado",VLOOKUP($B192,andreia[#Data],12)),"Não executado")</f>
        <v>Não executado</v>
      </c>
      <c r="T192" s="37" t="str">
        <f>IFERROR(IF(VLOOKUP($B192,homologador[#Data],12)=0,"Não executado",VLOOKUP($B192,homologador[#Data],12)),"Não executado")</f>
        <v>Não executado</v>
      </c>
    </row>
    <row r="193" spans="2:20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7" t="str">
        <f>IFERROR(IF(VLOOKUP($B193,orlando[#Data],12)=0,"Não executado",VLOOKUP($B193,orlando[#Data],12)),"Não executado")</f>
        <v>Não executado</v>
      </c>
      <c r="L193" s="37" t="str">
        <f>IFERROR(IF(VLOOKUP($B193,mauricio[#Data],12)=0,"Não executado",VLOOKUP($B193,mauricio[#Data],12)),"Não executado")</f>
        <v>Não executado</v>
      </c>
      <c r="M193" s="37" t="str">
        <f>IFERROR(IF(VLOOKUP($B193,Thaisa[#Data],12)=0,"Não executado",VLOOKUP($B193,Thaisa[#Data],12)),"Não executado")</f>
        <v>Não executado</v>
      </c>
      <c r="N193" s="37" t="str">
        <f>IFERROR(IF(VLOOKUP($B193,carlos[#Data],12)=0,"Não executado",VLOOKUP($B193,carlos[#Data],12)),"Não executado")</f>
        <v>Não executado</v>
      </c>
      <c r="O193" s="37" t="str">
        <f>IFERROR(IF(VLOOKUP($B193,Alessandra[#Data],12)=0,"Não executado",VLOOKUP($B193,Alessandra[#Data],12)),"Não executado")</f>
        <v>Não executado</v>
      </c>
      <c r="P193" s="37" t="str">
        <f>IFERROR(IF(VLOOKUP($B193,AnaCarolina[#Data],12)=0,"Não executado",VLOOKUP($B193,AnaCarolina[#Data],12)),"Não executado")</f>
        <v>Não executado</v>
      </c>
      <c r="Q193" s="37" t="str">
        <f>IFERROR(IF(VLOOKUP($B193,wanei[#Data],12)=0,"Não executado",VLOOKUP($B193,wanei[#Data],12)),"Não executado")</f>
        <v>Não executado</v>
      </c>
      <c r="R193" s="37" t="str">
        <f>IFERROR(IF(VLOOKUP($B193,janaina[#Data],12)=0,"Não executado",VLOOKUP($B193,janaina[#Data],12)),"Não executado")</f>
        <v>Não executado</v>
      </c>
      <c r="S193" s="94" t="str">
        <f>IFERROR(IF(VLOOKUP($B193,andreia[#Data],12)=0,"Não executado",VLOOKUP($B193,andreia[#Data],12)),"Não executado")</f>
        <v>Não executado</v>
      </c>
      <c r="T193" s="37" t="str">
        <f>IFERROR(IF(VLOOKUP($B193,homologador[#Data],12)=0,"Não executado",VLOOKUP($B193,homologador[#Data],12)),"Não executado")</f>
        <v>Não executado</v>
      </c>
    </row>
    <row r="194" spans="2:20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7" t="str">
        <f>IFERROR(IF(VLOOKUP($B194,orlando[#Data],12)=0,"Não executado",VLOOKUP($B194,orlando[#Data],12)),"Não executado")</f>
        <v>Não executado</v>
      </c>
      <c r="L194" s="37" t="str">
        <f>IFERROR(IF(VLOOKUP($B194,mauricio[#Data],12)=0,"Não executado",VLOOKUP($B194,mauricio[#Data],12)),"Não executado")</f>
        <v>Não executado</v>
      </c>
      <c r="M194" s="37" t="str">
        <f>IFERROR(IF(VLOOKUP($B194,Thaisa[#Data],12)=0,"Não executado",VLOOKUP($B194,Thaisa[#Data],12)),"Não executado")</f>
        <v>Não executado</v>
      </c>
      <c r="N194" s="37" t="str">
        <f>IFERROR(IF(VLOOKUP($B194,carlos[#Data],12)=0,"Não executado",VLOOKUP($B194,carlos[#Data],12)),"Não executado")</f>
        <v>Não executado</v>
      </c>
      <c r="O194" s="37" t="str">
        <f>IFERROR(IF(VLOOKUP($B194,Alessandra[#Data],12)=0,"Não executado",VLOOKUP($B194,Alessandra[#Data],12)),"Não executado")</f>
        <v>Não executado</v>
      </c>
      <c r="P194" s="37" t="str">
        <f>IFERROR(IF(VLOOKUP($B194,AnaCarolina[#Data],12)=0,"Não executado",VLOOKUP($B194,AnaCarolina[#Data],12)),"Não executado")</f>
        <v>Não executado</v>
      </c>
      <c r="Q194" s="37" t="str">
        <f>IFERROR(IF(VLOOKUP($B194,wanei[#Data],12)=0,"Não executado",VLOOKUP($B194,wanei[#Data],12)),"Não executado")</f>
        <v>Não executado</v>
      </c>
      <c r="R194" s="37" t="str">
        <f>IFERROR(IF(VLOOKUP($B194,janaina[#Data],12)=0,"Não executado",VLOOKUP($B194,janaina[#Data],12)),"Não executado")</f>
        <v>Não executado</v>
      </c>
      <c r="S194" s="94" t="str">
        <f>IFERROR(IF(VLOOKUP($B194,andreia[#Data],12)=0,"Não executado",VLOOKUP($B194,andreia[#Data],12)),"Não executado")</f>
        <v>Não executado</v>
      </c>
      <c r="T194" s="37" t="str">
        <f>IFERROR(IF(VLOOKUP($B194,homologador[#Data],12)=0,"Não executado",VLOOKUP($B194,homologador[#Data],12)),"Não executado")</f>
        <v>Não executado</v>
      </c>
    </row>
    <row r="195" spans="2:20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7" t="str">
        <f>IFERROR(IF(VLOOKUP($B195,orlando[#Data],12)=0,"Não executado",VLOOKUP($B195,orlando[#Data],12)),"Não executado")</f>
        <v>Não executado</v>
      </c>
      <c r="L195" s="37" t="str">
        <f>IFERROR(IF(VLOOKUP($B195,mauricio[#Data],12)=0,"Não executado",VLOOKUP($B195,mauricio[#Data],12)),"Não executado")</f>
        <v>Não executado</v>
      </c>
      <c r="M195" s="37" t="str">
        <f>IFERROR(IF(VLOOKUP($B195,Thaisa[#Data],12)=0,"Não executado",VLOOKUP($B195,Thaisa[#Data],12)),"Não executado")</f>
        <v>Não executado</v>
      </c>
      <c r="N195" s="37" t="str">
        <f>IFERROR(IF(VLOOKUP($B195,carlos[#Data],12)=0,"Não executado",VLOOKUP($B195,carlos[#Data],12)),"Não executado")</f>
        <v>Não executado</v>
      </c>
      <c r="O195" s="37" t="str">
        <f>IFERROR(IF(VLOOKUP($B195,Alessandra[#Data],12)=0,"Não executado",VLOOKUP($B195,Alessandra[#Data],12)),"Não executado")</f>
        <v>Não executado</v>
      </c>
      <c r="P195" s="37" t="str">
        <f>IFERROR(IF(VLOOKUP($B195,AnaCarolina[#Data],12)=0,"Não executado",VLOOKUP($B195,AnaCarolina[#Data],12)),"Não executado")</f>
        <v>Não executado</v>
      </c>
      <c r="Q195" s="37" t="str">
        <f>IFERROR(IF(VLOOKUP($B195,wanei[#Data],12)=0,"Não executado",VLOOKUP($B195,wanei[#Data],12)),"Não executado")</f>
        <v>Não executado</v>
      </c>
      <c r="R195" s="37" t="str">
        <f>IFERROR(IF(VLOOKUP($B195,janaina[#Data],12)=0,"Não executado",VLOOKUP($B195,janaina[#Data],12)),"Não executado")</f>
        <v>Não executado</v>
      </c>
      <c r="S195" s="94" t="str">
        <f>IFERROR(IF(VLOOKUP($B195,andreia[#Data],12)=0,"Não executado",VLOOKUP($B195,andreia[#Data],12)),"Não executado")</f>
        <v>Não executado</v>
      </c>
      <c r="T195" s="37" t="str">
        <f>IFERROR(IF(VLOOKUP($B195,homologador[#Data],12)=0,"Não executado",VLOOKUP($B195,homologador[#Data],12)),"Não executado")</f>
        <v>Não executado</v>
      </c>
    </row>
    <row r="196" spans="2:20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7" t="str">
        <f>IFERROR(IF(VLOOKUP($B196,orlando[#Data],12)=0,"Não executado",VLOOKUP($B196,orlando[#Data],12)),"Não executado")</f>
        <v>Não executado</v>
      </c>
      <c r="L196" s="37" t="str">
        <f>IFERROR(IF(VLOOKUP($B196,mauricio[#Data],12)=0,"Não executado",VLOOKUP($B196,mauricio[#Data],12)),"Não executado")</f>
        <v>Não executado</v>
      </c>
      <c r="M196" s="37" t="str">
        <f>IFERROR(IF(VLOOKUP($B196,Thaisa[#Data],12)=0,"Não executado",VLOOKUP($B196,Thaisa[#Data],12)),"Não executado")</f>
        <v>Não executado</v>
      </c>
      <c r="N196" s="37" t="str">
        <f>IFERROR(IF(VLOOKUP($B196,carlos[#Data],12)=0,"Não executado",VLOOKUP($B196,carlos[#Data],12)),"Não executado")</f>
        <v>Não executado</v>
      </c>
      <c r="O196" s="37" t="str">
        <f>IFERROR(IF(VLOOKUP($B196,Alessandra[#Data],12)=0,"Não executado",VLOOKUP($B196,Alessandra[#Data],12)),"Não executado")</f>
        <v>Não executado</v>
      </c>
      <c r="P196" s="37" t="str">
        <f>IFERROR(IF(VLOOKUP($B196,AnaCarolina[#Data],12)=0,"Não executado",VLOOKUP($B196,AnaCarolina[#Data],12)),"Não executado")</f>
        <v>Não executado</v>
      </c>
      <c r="Q196" s="37" t="str">
        <f>IFERROR(IF(VLOOKUP($B196,wanei[#Data],12)=0,"Não executado",VLOOKUP($B196,wanei[#Data],12)),"Não executado")</f>
        <v>Não executado</v>
      </c>
      <c r="R196" s="37" t="str">
        <f>IFERROR(IF(VLOOKUP($B196,janaina[#Data],12)=0,"Não executado",VLOOKUP($B196,janaina[#Data],12)),"Não executado")</f>
        <v>Não executado</v>
      </c>
      <c r="S196" s="94" t="str">
        <f>IFERROR(IF(VLOOKUP($B196,andreia[#Data],12)=0,"Não executado",VLOOKUP($B196,andreia[#Data],12)),"Não executado")</f>
        <v>Não executado</v>
      </c>
      <c r="T196" s="37" t="str">
        <f>IFERROR(IF(VLOOKUP($B196,homologador[#Data],12)=0,"Não executado",VLOOKUP($B196,homologador[#Data],12)),"Não executado")</f>
        <v>Não executado</v>
      </c>
    </row>
    <row r="197" spans="2:20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7" t="str">
        <f>IFERROR(IF(VLOOKUP($B197,orlando[#Data],12)=0,"Não executado",VLOOKUP($B197,orlando[#Data],12)),"Não executado")</f>
        <v>Não executado</v>
      </c>
      <c r="L197" s="37" t="str">
        <f>IFERROR(IF(VLOOKUP($B197,mauricio[#Data],12)=0,"Não executado",VLOOKUP($B197,mauricio[#Data],12)),"Não executado")</f>
        <v>Não executado</v>
      </c>
      <c r="M197" s="37" t="str">
        <f>IFERROR(IF(VLOOKUP($B197,Thaisa[#Data],12)=0,"Não executado",VLOOKUP($B197,Thaisa[#Data],12)),"Não executado")</f>
        <v>Não executado</v>
      </c>
      <c r="N197" s="37" t="str">
        <f>IFERROR(IF(VLOOKUP($B197,carlos[#Data],12)=0,"Não executado",VLOOKUP($B197,carlos[#Data],12)),"Não executado")</f>
        <v>Não executado</v>
      </c>
      <c r="O197" s="37" t="str">
        <f>IFERROR(IF(VLOOKUP($B197,Alessandra[#Data],12)=0,"Não executado",VLOOKUP($B197,Alessandra[#Data],12)),"Não executado")</f>
        <v>Não executado</v>
      </c>
      <c r="P197" s="37" t="str">
        <f>IFERROR(IF(VLOOKUP($B197,AnaCarolina[#Data],12)=0,"Não executado",VLOOKUP($B197,AnaCarolina[#Data],12)),"Não executado")</f>
        <v>Não executado</v>
      </c>
      <c r="Q197" s="37" t="str">
        <f>IFERROR(IF(VLOOKUP($B197,wanei[#Data],12)=0,"Não executado",VLOOKUP($B197,wanei[#Data],12)),"Não executado")</f>
        <v>Não executado</v>
      </c>
      <c r="R197" s="37" t="str">
        <f>IFERROR(IF(VLOOKUP($B197,janaina[#Data],12)=0,"Não executado",VLOOKUP($B197,janaina[#Data],12)),"Não executado")</f>
        <v>Não executado</v>
      </c>
      <c r="S197" s="94" t="str">
        <f>IFERROR(IF(VLOOKUP($B197,andreia[#Data],12)=0,"Não executado",VLOOKUP($B197,andreia[#Data],12)),"Não executado")</f>
        <v>Não executado</v>
      </c>
      <c r="T197" s="37" t="str">
        <f>IFERROR(IF(VLOOKUP($B197,homologador[#Data],12)=0,"Não executado",VLOOKUP($B197,homologador[#Data],12)),"Não executado")</f>
        <v>Não executado</v>
      </c>
    </row>
    <row r="198" spans="2:20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7" t="str">
        <f>IFERROR(IF(VLOOKUP($B198,orlando[#Data],12)=0,"Não executado",VLOOKUP($B198,orlando[#Data],12)),"Não executado")</f>
        <v>Não executado</v>
      </c>
      <c r="L198" s="37" t="str">
        <f>IFERROR(IF(VLOOKUP($B198,mauricio[#Data],12)=0,"Não executado",VLOOKUP($B198,mauricio[#Data],12)),"Não executado")</f>
        <v>Não executado</v>
      </c>
      <c r="M198" s="37" t="str">
        <f>IFERROR(IF(VLOOKUP($B198,Thaisa[#Data],12)=0,"Não executado",VLOOKUP($B198,Thaisa[#Data],12)),"Não executado")</f>
        <v>Não executado</v>
      </c>
      <c r="N198" s="37" t="str">
        <f>IFERROR(IF(VLOOKUP($B198,carlos[#Data],12)=0,"Não executado",VLOOKUP($B198,carlos[#Data],12)),"Não executado")</f>
        <v>Não executado</v>
      </c>
      <c r="O198" s="37" t="str">
        <f>IFERROR(IF(VLOOKUP($B198,Alessandra[#Data],12)=0,"Não executado",VLOOKUP($B198,Alessandra[#Data],12)),"Não executado")</f>
        <v>Não executado</v>
      </c>
      <c r="P198" s="37" t="str">
        <f>IFERROR(IF(VLOOKUP($B198,AnaCarolina[#Data],12)=0,"Não executado",VLOOKUP($B198,AnaCarolina[#Data],12)),"Não executado")</f>
        <v>Não executado</v>
      </c>
      <c r="Q198" s="37" t="str">
        <f>IFERROR(IF(VLOOKUP($B198,wanei[#Data],12)=0,"Não executado",VLOOKUP($B198,wanei[#Data],12)),"Não executado")</f>
        <v>Não executado</v>
      </c>
      <c r="R198" s="37" t="str">
        <f>IFERROR(IF(VLOOKUP($B198,janaina[#Data],12)=0,"Não executado",VLOOKUP($B198,janaina[#Data],12)),"Não executado")</f>
        <v>Não executado</v>
      </c>
      <c r="S198" s="94" t="str">
        <f>IFERROR(IF(VLOOKUP($B198,andreia[#Data],12)=0,"Não executado",VLOOKUP($B198,andreia[#Data],12)),"Não executado")</f>
        <v>Não executado</v>
      </c>
      <c r="T198" s="37" t="str">
        <f>IFERROR(IF(VLOOKUP($B198,homologador[#Data],12)=0,"Não executado",VLOOKUP($B198,homologador[#Data],12)),"Não executado")</f>
        <v>Não executado</v>
      </c>
    </row>
    <row r="199" spans="2:20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7" t="str">
        <f>IFERROR(IF(VLOOKUP($B199,orlando[#Data],12)=0,"Não executado",VLOOKUP($B199,orlando[#Data],12)),"Não executado")</f>
        <v>Não executado</v>
      </c>
      <c r="L199" s="37" t="str">
        <f>IFERROR(IF(VLOOKUP($B199,mauricio[#Data],12)=0,"Não executado",VLOOKUP($B199,mauricio[#Data],12)),"Não executado")</f>
        <v>Não executado</v>
      </c>
      <c r="M199" s="37" t="str">
        <f>IFERROR(IF(VLOOKUP($B199,Thaisa[#Data],12)=0,"Não executado",VLOOKUP($B199,Thaisa[#Data],12)),"Não executado")</f>
        <v>Não executado</v>
      </c>
      <c r="N199" s="37" t="str">
        <f>IFERROR(IF(VLOOKUP($B199,carlos[#Data],12)=0,"Não executado",VLOOKUP($B199,carlos[#Data],12)),"Não executado")</f>
        <v>Não executado</v>
      </c>
      <c r="O199" s="37" t="str">
        <f>IFERROR(IF(VLOOKUP($B199,Alessandra[#Data],12)=0,"Não executado",VLOOKUP($B199,Alessandra[#Data],12)),"Não executado")</f>
        <v>Não executado</v>
      </c>
      <c r="P199" s="37" t="str">
        <f>IFERROR(IF(VLOOKUP($B199,AnaCarolina[#Data],12)=0,"Não executado",VLOOKUP($B199,AnaCarolina[#Data],12)),"Não executado")</f>
        <v>Não executado</v>
      </c>
      <c r="Q199" s="37" t="str">
        <f>IFERROR(IF(VLOOKUP($B199,wanei[#Data],12)=0,"Não executado",VLOOKUP($B199,wanei[#Data],12)),"Não executado")</f>
        <v>Não executado</v>
      </c>
      <c r="R199" s="37" t="str">
        <f>IFERROR(IF(VLOOKUP($B199,janaina[#Data],12)=0,"Não executado",VLOOKUP($B199,janaina[#Data],12)),"Não executado")</f>
        <v>Não executado</v>
      </c>
      <c r="S199" s="94" t="str">
        <f>IFERROR(IF(VLOOKUP($B199,andreia[#Data],12)=0,"Não executado",VLOOKUP($B199,andreia[#Data],12)),"Não executado")</f>
        <v>Não executado</v>
      </c>
      <c r="T199" s="37" t="str">
        <f>IFERROR(IF(VLOOKUP($B199,homologador[#Data],12)=0,"Não executado",VLOOKUP($B199,homologador[#Data],12)),"Não executado")</f>
        <v>Não executado</v>
      </c>
    </row>
    <row r="200" spans="2:20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4" t="str">
        <f>IFERROR(IF(VLOOKUP($B200,orlando[#Data],12)=0,"Não executado",VLOOKUP($B200,orlando[#Data],12)),"Não executado")</f>
        <v>Não executado</v>
      </c>
      <c r="L200" s="44" t="str">
        <f>IFERROR(IF(VLOOKUP($B200,mauricio[#Data],12)=0,"Não executado",VLOOKUP($B200,mauricio[#Data],12)),"Não executado")</f>
        <v>Não executado</v>
      </c>
      <c r="M200" s="44" t="str">
        <f>IFERROR(IF(VLOOKUP($B200,Thaisa[#Data],12)=0,"Não executado",VLOOKUP($B200,Thaisa[#Data],12)),"Não executado")</f>
        <v>Não executado</v>
      </c>
      <c r="N200" s="44" t="str">
        <f>IFERROR(IF(VLOOKUP($B200,carlos[#Data],12)=0,"Não executado",VLOOKUP($B200,carlos[#Data],12)),"Não executado")</f>
        <v>Não executado</v>
      </c>
      <c r="O200" s="44" t="str">
        <f>IFERROR(IF(VLOOKUP($B200,Alessandra[#Data],12)=0,"Não executado",VLOOKUP($B200,Alessandra[#Data],12)),"Não executado")</f>
        <v>Não executado</v>
      </c>
      <c r="P200" s="44" t="str">
        <f>IFERROR(IF(VLOOKUP($B200,AnaCarolina[#Data],12)=0,"Não executado",VLOOKUP($B200,AnaCarolina[#Data],12)),"Não executado")</f>
        <v>Não executado</v>
      </c>
      <c r="Q200" s="44" t="str">
        <f>IFERROR(IF(VLOOKUP($B200,wanei[#Data],12)=0,"Não executado",VLOOKUP($B200,wanei[#Data],12)),"Não executado")</f>
        <v>Não executado</v>
      </c>
      <c r="R200" s="44" t="str">
        <f>IFERROR(IF(VLOOKUP($B200,janaina[#Data],12)=0,"Não executado",VLOOKUP($B200,janaina[#Data],12)),"Não executado")</f>
        <v>Não executado</v>
      </c>
      <c r="S200" s="94" t="str">
        <f>IFERROR(IF(VLOOKUP($B200,andreia[#Data],12)=0,"Não executado",VLOOKUP($B200,andreia[#Data],12)),"Não executado")</f>
        <v>Não executado</v>
      </c>
      <c r="T200" s="37" t="str">
        <f>IFERROR(IF(VLOOKUP($B200,homologador[#Data],12)=0,"Não executado",VLOOKUP($B200,homologador[#Data],12)),"Não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341" priority="77" operator="equal">
      <formula>"Sim"</formula>
    </cfRule>
    <cfRule type="cellIs" dxfId="340" priority="78" operator="equal">
      <formula>"Não"</formula>
    </cfRule>
  </conditionalFormatting>
  <conditionalFormatting sqref="K7:L200">
    <cfRule type="cellIs" dxfId="339" priority="66" operator="equal">
      <formula>"Pendência Externa"</formula>
    </cfRule>
    <cfRule type="cellIs" dxfId="338" priority="67" operator="equal">
      <formula>"Sem massa"</formula>
    </cfRule>
    <cfRule type="cellIs" dxfId="337" priority="68" operator="equal">
      <formula>"Disponível para reteste"</formula>
    </cfRule>
    <cfRule type="cellIs" dxfId="336" priority="69" operator="equal">
      <formula>"Reprovado"</formula>
    </cfRule>
    <cfRule type="cellIs" dxfId="335" priority="71" operator="equal">
      <formula>"Aprovado"</formula>
    </cfRule>
  </conditionalFormatting>
  <conditionalFormatting sqref="M7:P200">
    <cfRule type="cellIs" dxfId="334" priority="36" operator="equal">
      <formula>"Pendência Externa"</formula>
    </cfRule>
    <cfRule type="cellIs" dxfId="333" priority="37" operator="equal">
      <formula>"Sem massa"</formula>
    </cfRule>
    <cfRule type="cellIs" dxfId="332" priority="38" operator="equal">
      <formula>"Disponível para reteste"</formula>
    </cfRule>
    <cfRule type="cellIs" dxfId="331" priority="39" operator="equal">
      <formula>"Reprovado"</formula>
    </cfRule>
    <cfRule type="cellIs" dxfId="330" priority="40" operator="equal">
      <formula>"Aprovado"</formula>
    </cfRule>
  </conditionalFormatting>
  <conditionalFormatting sqref="Q7:Q200">
    <cfRule type="cellIs" dxfId="329" priority="26" operator="equal">
      <formula>"Pendência Externa"</formula>
    </cfRule>
    <cfRule type="cellIs" dxfId="328" priority="27" operator="equal">
      <formula>"Sem massa"</formula>
    </cfRule>
    <cfRule type="cellIs" dxfId="327" priority="28" operator="equal">
      <formula>"Disponível para reteste"</formula>
    </cfRule>
    <cfRule type="cellIs" dxfId="326" priority="29" operator="equal">
      <formula>"Reprovado"</formula>
    </cfRule>
    <cfRule type="cellIs" dxfId="325" priority="30" operator="equal">
      <formula>"Aprovado"</formula>
    </cfRule>
  </conditionalFormatting>
  <conditionalFormatting sqref="R7:R200">
    <cfRule type="cellIs" dxfId="324" priority="16" operator="equal">
      <formula>"Pendência Externa"</formula>
    </cfRule>
    <cfRule type="cellIs" dxfId="323" priority="17" operator="equal">
      <formula>"Sem massa"</formula>
    </cfRule>
    <cfRule type="cellIs" dxfId="322" priority="18" operator="equal">
      <formula>"Disponível para reteste"</formula>
    </cfRule>
    <cfRule type="cellIs" dxfId="321" priority="19" operator="equal">
      <formula>"Reprovado"</formula>
    </cfRule>
    <cfRule type="cellIs" dxfId="320" priority="20" operator="equal">
      <formula>"Aprovado"</formula>
    </cfRule>
  </conditionalFormatting>
  <conditionalFormatting sqref="S7:T200">
    <cfRule type="cellIs" dxfId="319" priority="1" operator="equal">
      <formula>"Pendência Externa"</formula>
    </cfRule>
    <cfRule type="cellIs" dxfId="318" priority="2" operator="equal">
      <formula>"Sem massa"</formula>
    </cfRule>
    <cfRule type="cellIs" dxfId="317" priority="3" operator="equal">
      <formula>"Disponível para reteste"</formula>
    </cfRule>
    <cfRule type="cellIs" dxfId="316" priority="4" operator="equal">
      <formula>"Reprovado"</formula>
    </cfRule>
    <cfRule type="cellIs" dxfId="315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L9" sqref="L9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132</v>
      </c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M8:M200">
    <cfRule type="cellIs" dxfId="263" priority="1" operator="equal">
      <formula>"Sem massa"</formula>
    </cfRule>
    <cfRule type="cellIs" dxfId="262" priority="2" operator="equal">
      <formula>"Pendência Externa"</formula>
    </cfRule>
    <cfRule type="cellIs" dxfId="261" priority="3" operator="equal">
      <formula>"Disponível para reteste"</formula>
    </cfRule>
    <cfRule type="cellIs" dxfId="260" priority="4" operator="equal">
      <formula>"Reprovado"</formula>
    </cfRule>
    <cfRule type="cellIs" dxfId="259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4"/>
      <c r="M9" s="44"/>
      <c r="N9" s="44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7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4"/>
      <c r="M11" s="37"/>
      <c r="N11" s="93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4"/>
      <c r="M16" s="37"/>
      <c r="N16" s="37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38" priority="6" operator="equal">
      <formula>"Sim"</formula>
    </cfRule>
    <cfRule type="cellIs" dxfId="237" priority="7" operator="equal">
      <formula>"Não"</formula>
    </cfRule>
  </conditionalFormatting>
  <conditionalFormatting sqref="C201:D1048576">
    <cfRule type="cellIs" dxfId="236" priority="13" operator="equal">
      <formula>"Sim"</formula>
    </cfRule>
    <cfRule type="cellIs" dxfId="235" priority="14" operator="equal">
      <formula>"Não"</formula>
    </cfRule>
  </conditionalFormatting>
  <conditionalFormatting sqref="M8:M200">
    <cfRule type="cellIs" dxfId="234" priority="1" operator="equal">
      <formula>"Sem massa"</formula>
    </cfRule>
    <cfRule type="cellIs" dxfId="233" priority="2" operator="equal">
      <formula>"Pendência Externa"</formula>
    </cfRule>
    <cfRule type="cellIs" dxfId="232" priority="3" operator="equal">
      <formula>"Disponível para reteste"</formula>
    </cfRule>
    <cfRule type="cellIs" dxfId="231" priority="4" operator="equal">
      <formula>"Reprovado"</formula>
    </cfRule>
    <cfRule type="cellIs" dxfId="230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30.45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91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10" priority="6" operator="equal">
      <formula>"Sim"</formula>
    </cfRule>
    <cfRule type="cellIs" dxfId="209" priority="7" operator="equal">
      <formula>"Não"</formula>
    </cfRule>
  </conditionalFormatting>
  <conditionalFormatting sqref="C200:D1048576">
    <cfRule type="cellIs" dxfId="208" priority="13" operator="equal">
      <formula>"Sim"</formula>
    </cfRule>
    <cfRule type="cellIs" dxfId="207" priority="14" operator="equal">
      <formula>"Não"</formula>
    </cfRule>
  </conditionalFormatting>
  <conditionalFormatting sqref="M8:M199">
    <cfRule type="cellIs" dxfId="206" priority="1" operator="equal">
      <formula>"Sem massa"</formula>
    </cfRule>
    <cfRule type="cellIs" dxfId="205" priority="2" operator="equal">
      <formula>"Pendência Externa"</formula>
    </cfRule>
    <cfRule type="cellIs" dxfId="204" priority="3" operator="equal">
      <formula>"Disponível para reteste"</formula>
    </cfRule>
    <cfRule type="cellIs" dxfId="203" priority="4" operator="equal">
      <formula>"Reprovado"</formula>
    </cfRule>
    <cfRule type="cellIs" dxfId="202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 hidden="1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 hidden="1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 hidden="1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E8" sqref="E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86.4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0.9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0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9"/>
      <c r="L1" s="19"/>
    </row>
    <row r="2" spans="2:16" s="21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20"/>
      <c r="L2" s="20"/>
    </row>
    <row r="3" spans="2:16" s="21" customFormat="1" ht="23.45">
      <c r="B3" s="101" t="s">
        <v>2</v>
      </c>
      <c r="C3" s="101"/>
      <c r="D3" s="101"/>
      <c r="E3" s="101"/>
      <c r="F3" s="101"/>
      <c r="G3" s="101"/>
      <c r="H3" s="101"/>
      <c r="I3" s="101"/>
      <c r="J3" s="101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P9"/>
  <sheetViews>
    <sheetView showGridLines="0" workbookViewId="0">
      <pane xSplit="1" ySplit="7" topLeftCell="I8" activePane="bottomRight" state="frozen"/>
      <selection pane="bottomRight" activeCell="A8" sqref="A8"/>
      <selection pane="bottomLeft" activeCell="A15" sqref="A15"/>
      <selection pane="topRight" activeCell="B1" sqref="B1"/>
    </sheetView>
  </sheetViews>
  <sheetFormatPr defaultColWidth="8.85546875" defaultRowHeight="14.4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67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2:16" ht="25.9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66"/>
      <c r="M1" s="68"/>
    </row>
    <row r="2" spans="2:16" s="70" customFormat="1" ht="23.45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69"/>
      <c r="M2" s="71"/>
    </row>
    <row r="3" spans="2:16" s="70" customFormat="1" ht="23.45">
      <c r="B3" s="105"/>
      <c r="C3" s="105"/>
      <c r="D3" s="105"/>
      <c r="E3" s="105"/>
      <c r="F3" s="105"/>
      <c r="G3" s="105"/>
      <c r="H3" s="105"/>
      <c r="I3" s="105"/>
      <c r="J3" s="105"/>
      <c r="K3" s="69"/>
      <c r="M3" s="71"/>
    </row>
    <row r="4" spans="2:16">
      <c r="B4" s="67"/>
      <c r="M4" s="68"/>
    </row>
    <row r="5" spans="2:16">
      <c r="B5" s="72" t="s">
        <v>42</v>
      </c>
      <c r="C5" s="72"/>
      <c r="M5" s="68"/>
    </row>
    <row r="6" spans="2:16">
      <c r="B6" s="72"/>
      <c r="C6" s="72"/>
      <c r="M6" s="68"/>
    </row>
    <row r="7" spans="2:16" s="75" customFormat="1" ht="19.899999999999999" customHeight="1">
      <c r="B7" s="79" t="s">
        <v>43</v>
      </c>
      <c r="C7" s="80" t="s">
        <v>133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81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2:16" s="76" customFormat="1">
      <c r="B8" s="95">
        <f>IF(B7="ID",1,B7+1)</f>
        <v>1</v>
      </c>
      <c r="C8" s="96"/>
      <c r="D8" s="96"/>
      <c r="E8" s="96"/>
      <c r="F8" s="96"/>
      <c r="G8" s="96"/>
      <c r="H8" s="96"/>
      <c r="I8" s="96"/>
      <c r="J8" s="96"/>
      <c r="K8" s="97"/>
      <c r="L8" s="96"/>
      <c r="M8" s="98"/>
      <c r="N8" s="96"/>
      <c r="O8" s="96"/>
      <c r="P8" s="99"/>
    </row>
    <row r="9" spans="2:16">
      <c r="B9" s="95">
        <f>IF(B8="ID",1,B8+1)</f>
        <v>2</v>
      </c>
      <c r="C9" s="96"/>
      <c r="D9" s="96"/>
      <c r="E9" s="96"/>
      <c r="F9" s="96"/>
      <c r="G9" s="96"/>
      <c r="H9" s="96"/>
      <c r="I9" s="96"/>
      <c r="J9" s="96"/>
      <c r="K9" s="97"/>
      <c r="L9" s="96"/>
      <c r="M9" s="98"/>
      <c r="N9" s="96"/>
      <c r="O9" s="96"/>
      <c r="P9" s="99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9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84" workbookViewId="0">
      <selection activeCell="A96" sqref="A96"/>
    </sheetView>
  </sheetViews>
  <sheetFormatPr defaultColWidth="14.42578125" defaultRowHeight="14.4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08" t="s">
        <v>134</v>
      </c>
      <c r="B1" s="108"/>
      <c r="C1" s="109"/>
      <c r="D1" s="109"/>
      <c r="E1" s="47"/>
    </row>
    <row r="2" spans="1:5" ht="15" customHeight="1">
      <c r="A2" s="109"/>
      <c r="B2" s="109"/>
      <c r="C2" s="109"/>
      <c r="D2" s="109"/>
      <c r="E2" s="47"/>
    </row>
    <row r="3" spans="1:5" ht="15" customHeight="1">
      <c r="A3" s="48" t="s">
        <v>135</v>
      </c>
      <c r="B3" s="49" t="s">
        <v>136</v>
      </c>
      <c r="C3" s="50" t="s">
        <v>137</v>
      </c>
    </row>
    <row r="4" spans="1:5" ht="15" customHeight="1">
      <c r="A4" t="s">
        <v>138</v>
      </c>
      <c r="B4" s="51" t="s">
        <v>139</v>
      </c>
      <c r="C4" s="50"/>
    </row>
    <row r="5" spans="1:5" ht="15" customHeight="1">
      <c r="A5" t="s">
        <v>140</v>
      </c>
      <c r="B5" s="51" t="s">
        <v>141</v>
      </c>
      <c r="C5" s="50"/>
    </row>
    <row r="6" spans="1:5" ht="37.5" customHeight="1">
      <c r="A6" s="52" t="s">
        <v>142</v>
      </c>
      <c r="C6" s="50"/>
    </row>
    <row r="7" spans="1:5" ht="15" customHeight="1">
      <c r="A7" s="53"/>
    </row>
    <row r="8" spans="1:5" ht="15" customHeight="1">
      <c r="A8" s="54" t="s">
        <v>143</v>
      </c>
      <c r="B8" s="54"/>
      <c r="C8" s="54"/>
      <c r="D8" s="54"/>
      <c r="E8" s="54"/>
    </row>
    <row r="9" spans="1:5" ht="154.5" customHeight="1">
      <c r="A9" s="55" t="s">
        <v>144</v>
      </c>
      <c r="B9" s="56" t="s">
        <v>145</v>
      </c>
    </row>
    <row r="10" spans="1:5" ht="15" customHeight="1">
      <c r="A10" s="57"/>
      <c r="B10" s="57"/>
    </row>
    <row r="11" spans="1:5" ht="15" customHeight="1">
      <c r="A11" s="54" t="s">
        <v>146</v>
      </c>
      <c r="B11" s="54"/>
      <c r="C11" s="54"/>
      <c r="D11" s="54"/>
      <c r="E11" s="54"/>
    </row>
    <row r="12" spans="1:5" ht="162.75" customHeight="1">
      <c r="A12" s="55" t="s">
        <v>147</v>
      </c>
      <c r="B12" s="56" t="s">
        <v>145</v>
      </c>
    </row>
    <row r="17" spans="1:8" ht="15" customHeight="1">
      <c r="A17" s="58" t="s">
        <v>148</v>
      </c>
      <c r="G17" s="58" t="s">
        <v>149</v>
      </c>
    </row>
    <row r="18" spans="1:8" ht="15" customHeight="1">
      <c r="A18" s="60">
        <v>13071027516</v>
      </c>
      <c r="G18">
        <v>10000001503</v>
      </c>
      <c r="H18" t="s">
        <v>125</v>
      </c>
    </row>
    <row r="19" spans="1:8" ht="15" customHeight="1">
      <c r="A19" s="60" t="s">
        <v>150</v>
      </c>
      <c r="B19" t="s">
        <v>122</v>
      </c>
      <c r="G19">
        <v>10000001767</v>
      </c>
      <c r="H19" t="s">
        <v>125</v>
      </c>
    </row>
    <row r="20" spans="1:8" ht="15" customHeight="1">
      <c r="A20" s="60" t="s">
        <v>151</v>
      </c>
      <c r="G20">
        <v>10000001848</v>
      </c>
      <c r="H20" t="s">
        <v>125</v>
      </c>
    </row>
    <row r="21" spans="1:8" ht="15" customHeight="1">
      <c r="A21" s="60" t="s">
        <v>152</v>
      </c>
      <c r="B21" t="s">
        <v>122</v>
      </c>
      <c r="G21">
        <v>10000001929</v>
      </c>
      <c r="H21" t="s">
        <v>125</v>
      </c>
    </row>
    <row r="22" spans="1:8" ht="15" customHeight="1">
      <c r="A22" s="60" t="s">
        <v>153</v>
      </c>
      <c r="B22" t="s">
        <v>154</v>
      </c>
      <c r="G22">
        <v>10000002062</v>
      </c>
      <c r="H22" t="s">
        <v>125</v>
      </c>
    </row>
    <row r="23" spans="1:8" ht="15" customHeight="1">
      <c r="A23" s="60" t="s">
        <v>155</v>
      </c>
      <c r="B23" t="s">
        <v>154</v>
      </c>
      <c r="G23">
        <v>10000002739</v>
      </c>
      <c r="H23" t="s">
        <v>125</v>
      </c>
    </row>
    <row r="24" spans="1:8" ht="15" customHeight="1">
      <c r="A24" s="60" t="s">
        <v>156</v>
      </c>
      <c r="B24" t="s">
        <v>154</v>
      </c>
      <c r="G24">
        <v>10000003115</v>
      </c>
      <c r="H24" t="s">
        <v>125</v>
      </c>
    </row>
    <row r="25" spans="1:8" ht="15" customHeight="1">
      <c r="A25" s="60">
        <v>57275035405</v>
      </c>
      <c r="B25" t="s">
        <v>154</v>
      </c>
      <c r="G25">
        <v>10000003204</v>
      </c>
      <c r="H25" t="s">
        <v>125</v>
      </c>
    </row>
    <row r="26" spans="1:8" ht="15" customHeight="1">
      <c r="A26" s="84">
        <v>5261351073</v>
      </c>
      <c r="B26" t="s">
        <v>124</v>
      </c>
      <c r="G26">
        <v>10000003468</v>
      </c>
      <c r="H26" t="s">
        <v>125</v>
      </c>
    </row>
    <row r="27" spans="1:8" ht="15" customHeight="1">
      <c r="A27" s="84">
        <v>30214287548</v>
      </c>
      <c r="B27" t="s">
        <v>124</v>
      </c>
      <c r="G27">
        <v>10000003620</v>
      </c>
      <c r="H27" t="s">
        <v>125</v>
      </c>
    </row>
    <row r="28" spans="1:8" ht="15" customHeight="1">
      <c r="A28" s="84">
        <v>72668373247</v>
      </c>
      <c r="B28" t="s">
        <v>124</v>
      </c>
      <c r="G28">
        <v>10000004430</v>
      </c>
      <c r="H28" t="s">
        <v>125</v>
      </c>
    </row>
    <row r="29" spans="1:8" ht="15" customHeight="1">
      <c r="A29" s="84">
        <v>82270850670</v>
      </c>
      <c r="B29" t="s">
        <v>124</v>
      </c>
      <c r="G29">
        <v>10000007102</v>
      </c>
      <c r="H29" t="s">
        <v>125</v>
      </c>
    </row>
    <row r="30" spans="1:8" ht="15" customHeight="1">
      <c r="A30" s="60">
        <v>23474665260</v>
      </c>
      <c r="G30">
        <v>10000007293</v>
      </c>
      <c r="H30" t="s">
        <v>125</v>
      </c>
    </row>
    <row r="31" spans="1:8" ht="15" customHeight="1">
      <c r="A31" s="60">
        <v>81517342309</v>
      </c>
      <c r="B31" t="s">
        <v>154</v>
      </c>
      <c r="G31">
        <v>10000007374</v>
      </c>
      <c r="H31" t="s">
        <v>125</v>
      </c>
    </row>
    <row r="32" spans="1:8" ht="15" customHeight="1">
      <c r="A32" s="60" t="s">
        <v>157</v>
      </c>
      <c r="G32">
        <v>10000007617</v>
      </c>
      <c r="H32" t="s">
        <v>125</v>
      </c>
    </row>
    <row r="33" spans="1:8" ht="15" customHeight="1">
      <c r="A33" s="60" t="s">
        <v>158</v>
      </c>
      <c r="B33" t="s">
        <v>122</v>
      </c>
      <c r="G33">
        <v>10000008346</v>
      </c>
      <c r="H33" t="s">
        <v>125</v>
      </c>
    </row>
    <row r="34" spans="1:8" ht="15" customHeight="1">
      <c r="A34" s="60" t="s">
        <v>159</v>
      </c>
      <c r="B34" t="s">
        <v>122</v>
      </c>
      <c r="G34">
        <v>10000008427</v>
      </c>
      <c r="H34" t="s">
        <v>125</v>
      </c>
    </row>
    <row r="35" spans="1:8" ht="15" customHeight="1">
      <c r="A35" s="60" t="s">
        <v>160</v>
      </c>
      <c r="B35" t="s">
        <v>161</v>
      </c>
      <c r="G35">
        <v>10000008508</v>
      </c>
      <c r="H35" t="s">
        <v>125</v>
      </c>
    </row>
    <row r="36" spans="1:8" ht="15" customHeight="1">
      <c r="A36" s="60">
        <v>64334488528</v>
      </c>
      <c r="B36" t="s">
        <v>161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137</v>
      </c>
      <c r="G38" s="85">
        <v>10000016950</v>
      </c>
    </row>
    <row r="39" spans="1:8" ht="15" customHeight="1">
      <c r="A39" s="60">
        <v>10000053724</v>
      </c>
      <c r="G39" s="85">
        <v>10000026751</v>
      </c>
    </row>
    <row r="40" spans="1:8" ht="15" customHeight="1">
      <c r="A40" s="60">
        <v>10000053805</v>
      </c>
      <c r="G40" s="85">
        <v>10000026832</v>
      </c>
    </row>
    <row r="41" spans="1:8" ht="15" customHeight="1">
      <c r="A41" s="60">
        <v>10000054020</v>
      </c>
      <c r="B41" t="s">
        <v>162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154</v>
      </c>
      <c r="G43" s="85">
        <v>10000053309</v>
      </c>
    </row>
    <row r="44" spans="1:8" ht="15" customHeight="1">
      <c r="A44" s="60">
        <v>10001356321</v>
      </c>
      <c r="B44" t="s">
        <v>154</v>
      </c>
      <c r="G44" s="85">
        <v>10000053643</v>
      </c>
    </row>
    <row r="45" spans="1:8" ht="15" customHeight="1">
      <c r="A45" s="60">
        <v>10001356402</v>
      </c>
      <c r="B45" t="s">
        <v>154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154</v>
      </c>
      <c r="G48" s="83">
        <v>10000054291</v>
      </c>
    </row>
    <row r="49" spans="1:7" ht="15" customHeight="1">
      <c r="A49" s="60">
        <v>10001356836</v>
      </c>
      <c r="B49" t="s">
        <v>154</v>
      </c>
      <c r="G49" s="83">
        <v>10000058602</v>
      </c>
    </row>
    <row r="50" spans="1:7" ht="15" customHeight="1">
      <c r="A50" s="60">
        <v>10001356917</v>
      </c>
      <c r="B50" t="s">
        <v>154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G52">
        <v>10000058955</v>
      </c>
    </row>
    <row r="53" spans="1:7" ht="15" customHeight="1">
      <c r="A53" s="60">
        <v>10001362216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163</v>
      </c>
      <c r="B56" s="61" t="s">
        <v>164</v>
      </c>
      <c r="C56" s="61" t="s">
        <v>165</v>
      </c>
      <c r="G56">
        <v>10000059331</v>
      </c>
    </row>
    <row r="57" spans="1:7" ht="15" customHeight="1">
      <c r="A57" s="60" t="s">
        <v>166</v>
      </c>
      <c r="B57" s="60" t="s">
        <v>167</v>
      </c>
      <c r="C57" s="65">
        <v>45230</v>
      </c>
      <c r="D57" t="s">
        <v>168</v>
      </c>
      <c r="G57">
        <v>10000059846</v>
      </c>
    </row>
    <row r="58" spans="1:7" ht="15" customHeight="1">
      <c r="A58" s="60" t="s">
        <v>169</v>
      </c>
      <c r="B58" s="60" t="s">
        <v>167</v>
      </c>
      <c r="C58" s="65">
        <v>45230</v>
      </c>
      <c r="D58" t="s">
        <v>168</v>
      </c>
      <c r="G58">
        <v>10000060771</v>
      </c>
    </row>
    <row r="59" spans="1:7" ht="15" customHeight="1">
      <c r="A59" s="60" t="s">
        <v>170</v>
      </c>
      <c r="B59" s="60" t="s">
        <v>167</v>
      </c>
      <c r="C59" s="65">
        <v>45230</v>
      </c>
      <c r="G59">
        <v>10000060852</v>
      </c>
    </row>
    <row r="60" spans="1:7" ht="15" customHeight="1">
      <c r="A60" s="60" t="s">
        <v>171</v>
      </c>
      <c r="B60" s="60" t="s">
        <v>167</v>
      </c>
      <c r="C60" s="65">
        <v>45230</v>
      </c>
      <c r="G60">
        <v>10000083470</v>
      </c>
    </row>
    <row r="61" spans="1:7" ht="15" customHeight="1">
      <c r="A61" s="60" t="s">
        <v>172</v>
      </c>
      <c r="B61" s="60" t="s">
        <v>167</v>
      </c>
      <c r="C61" s="65">
        <v>45230</v>
      </c>
      <c r="G61">
        <v>10000083550</v>
      </c>
    </row>
    <row r="62" spans="1:7" ht="15" customHeight="1">
      <c r="A62" s="60" t="s">
        <v>173</v>
      </c>
      <c r="B62" s="60" t="s">
        <v>167</v>
      </c>
      <c r="C62" s="65">
        <v>45230</v>
      </c>
      <c r="G62">
        <v>10000083712</v>
      </c>
    </row>
    <row r="63" spans="1:7" ht="15" customHeight="1">
      <c r="A63" s="60" t="s">
        <v>174</v>
      </c>
      <c r="B63" s="60" t="s">
        <v>167</v>
      </c>
      <c r="C63" s="65">
        <v>45230</v>
      </c>
      <c r="G63">
        <v>10000084956</v>
      </c>
    </row>
    <row r="64" spans="1:7" ht="15" customHeight="1">
      <c r="A64" s="60" t="s">
        <v>175</v>
      </c>
      <c r="B64" s="60" t="s">
        <v>167</v>
      </c>
      <c r="C64" s="65">
        <v>45230</v>
      </c>
      <c r="G64">
        <v>10000085090</v>
      </c>
    </row>
    <row r="65" spans="1:7" ht="15" customHeight="1">
      <c r="A65" s="60" t="s">
        <v>176</v>
      </c>
      <c r="B65" s="60" t="s">
        <v>167</v>
      </c>
      <c r="C65" s="65">
        <v>45230</v>
      </c>
      <c r="G65" s="83">
        <v>10000248061</v>
      </c>
    </row>
    <row r="66" spans="1:7" ht="15" customHeight="1">
      <c r="A66" s="60" t="s">
        <v>177</v>
      </c>
      <c r="B66" s="60" t="s">
        <v>167</v>
      </c>
      <c r="C66" s="65">
        <v>45230</v>
      </c>
      <c r="G66">
        <v>10000261408</v>
      </c>
    </row>
    <row r="67" spans="1:7" ht="15" customHeight="1">
      <c r="A67" s="60" t="s">
        <v>178</v>
      </c>
      <c r="B67" s="60" t="s">
        <v>167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179</v>
      </c>
      <c r="B69" s="62" t="s">
        <v>164</v>
      </c>
      <c r="G69">
        <v>10000261831</v>
      </c>
    </row>
    <row r="70" spans="1:7" ht="15" customHeight="1">
      <c r="A70" s="60" t="s">
        <v>180</v>
      </c>
      <c r="B70" s="60" t="s">
        <v>167</v>
      </c>
      <c r="G70">
        <v>10000261912</v>
      </c>
    </row>
    <row r="71" spans="1:7" ht="15" customHeight="1">
      <c r="A71" s="60" t="s">
        <v>181</v>
      </c>
      <c r="B71" s="60" t="s">
        <v>167</v>
      </c>
      <c r="G71">
        <v>10000262218</v>
      </c>
    </row>
    <row r="72" spans="1:7" ht="15" customHeight="1">
      <c r="A72" s="60" t="s">
        <v>182</v>
      </c>
      <c r="B72" s="60" t="s">
        <v>167</v>
      </c>
      <c r="G72">
        <v>10000265314</v>
      </c>
    </row>
    <row r="73" spans="1:7" ht="15" customHeight="1">
      <c r="A73" s="60" t="s">
        <v>183</v>
      </c>
      <c r="B73" s="60" t="s">
        <v>167</v>
      </c>
      <c r="G73">
        <v>10000267015</v>
      </c>
    </row>
    <row r="74" spans="1:7" ht="15" customHeight="1">
      <c r="A74" s="60" t="s">
        <v>184</v>
      </c>
      <c r="B74" s="60" t="s">
        <v>167</v>
      </c>
      <c r="G74">
        <v>10000267104</v>
      </c>
    </row>
    <row r="75" spans="1:7" ht="15" customHeight="1">
      <c r="A75" s="60" t="s">
        <v>185</v>
      </c>
      <c r="B75" s="60" t="s">
        <v>167</v>
      </c>
      <c r="G75">
        <v>10000267449</v>
      </c>
    </row>
    <row r="76" spans="1:7" ht="15" customHeight="1">
      <c r="A76" s="60" t="s">
        <v>186</v>
      </c>
      <c r="B76" s="60" t="s">
        <v>167</v>
      </c>
      <c r="G76">
        <v>10000268844</v>
      </c>
    </row>
    <row r="77" spans="1:7" ht="15" customHeight="1">
      <c r="A77" s="60" t="s">
        <v>187</v>
      </c>
      <c r="B77" s="60" t="s">
        <v>167</v>
      </c>
      <c r="G77">
        <v>10000270822</v>
      </c>
    </row>
    <row r="78" spans="1:7" ht="15" customHeight="1">
      <c r="A78" s="106" t="s">
        <v>188</v>
      </c>
      <c r="B78" s="107"/>
      <c r="C78" s="107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06" t="s">
        <v>189</v>
      </c>
      <c r="B83" s="107"/>
      <c r="C83" s="107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06" t="s">
        <v>190</v>
      </c>
      <c r="B92" s="107"/>
      <c r="C92" s="107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06" t="s">
        <v>191</v>
      </c>
      <c r="B99" s="107"/>
      <c r="C99" s="107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08" t="s">
        <v>134</v>
      </c>
      <c r="B106" s="108"/>
      <c r="C106" s="109"/>
      <c r="D106" s="109"/>
      <c r="E106" s="47"/>
      <c r="G106">
        <v>10000722820</v>
      </c>
    </row>
    <row r="107" spans="1:7" ht="15.75" customHeight="1">
      <c r="A107" s="109"/>
      <c r="B107" s="109"/>
      <c r="C107" s="109"/>
      <c r="D107" s="109"/>
      <c r="E107" s="47"/>
      <c r="G107">
        <v>10000722901</v>
      </c>
    </row>
    <row r="108" spans="1:7" ht="29.25" customHeight="1">
      <c r="A108" s="48" t="s">
        <v>135</v>
      </c>
      <c r="B108" s="49" t="s">
        <v>136</v>
      </c>
      <c r="C108" s="50" t="s">
        <v>137</v>
      </c>
      <c r="G108">
        <v>10000723045</v>
      </c>
    </row>
    <row r="109" spans="1:7" ht="29.25" customHeight="1">
      <c r="A109" t="s">
        <v>138</v>
      </c>
      <c r="B109" s="51" t="s">
        <v>139</v>
      </c>
      <c r="C109" s="50"/>
      <c r="G109">
        <v>10000723207</v>
      </c>
    </row>
    <row r="110" spans="1:7" ht="29.25" customHeight="1">
      <c r="A110" t="s">
        <v>140</v>
      </c>
      <c r="B110" s="51" t="s">
        <v>141</v>
      </c>
      <c r="C110" s="50"/>
      <c r="G110">
        <v>10000723398</v>
      </c>
    </row>
    <row r="111" spans="1:7" ht="31.15">
      <c r="A111" s="52" t="s">
        <v>142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143</v>
      </c>
      <c r="B113" s="54"/>
      <c r="C113" s="54"/>
      <c r="D113" s="54"/>
      <c r="E113" s="54"/>
      <c r="G113">
        <v>10000745103</v>
      </c>
    </row>
    <row r="114" spans="1:7" ht="149.44999999999999">
      <c r="A114" s="55" t="s">
        <v>144</v>
      </c>
      <c r="B114" s="56" t="s">
        <v>145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146</v>
      </c>
      <c r="B116" s="54"/>
      <c r="C116" s="54"/>
      <c r="D116" s="54"/>
      <c r="E116" s="54"/>
      <c r="G116">
        <v>10000745529</v>
      </c>
    </row>
    <row r="117" spans="1:7" ht="149.44999999999999">
      <c r="A117" s="55" t="s">
        <v>147</v>
      </c>
      <c r="B117" s="56" t="s">
        <v>145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2026-08-17T16:48:42Z</dcterms:modified>
  <cp:category/>
  <cp:contentStatus/>
</cp:coreProperties>
</file>