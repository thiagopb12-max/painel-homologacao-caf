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tables/table11.xml" ContentType="application/vnd.openxmlformats-officedocument.spreadsheetml.table+xml"/>
  <Override PartName="/xl/drawings/drawing2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https://dataprevrj-my.sharepoint.com/personal/alexandre_melo_dataprev_gov_br/Documents/00_/PRODUTOS/PAT/Demandas/"/>
    </mc:Choice>
  </mc:AlternateContent>
  <xr:revisionPtr revIDLastSave="0" documentId="8_{FDE49E88-0E97-429B-A2A8-D90146B5B666}" xr6:coauthVersionLast="47" xr6:coauthVersionMax="47" xr10:uidLastSave="{00000000-0000-0000-0000-000000000000}"/>
  <bookViews>
    <workbookView xWindow="-28920" yWindow="-120" windowWidth="29040" windowHeight="15720" tabRatio="763" firstSheet="3" activeTab="3" xr2:uid="{00000000-000D-0000-FFFF-FFFF00000000}"/>
  </bookViews>
  <sheets>
    <sheet name="MODELO_AD_BI" sheetId="32" r:id="rId1"/>
    <sheet name="CONFIG" sheetId="7" r:id="rId2"/>
    <sheet name="CTS" sheetId="5" r:id="rId3"/>
    <sheet name="ACOMPANHAMENTO" sheetId="56" r:id="rId4"/>
    <sheet name="Ana_Carolina" sheetId="62" r:id="rId5"/>
    <sheet name="Mauricio" sheetId="57" r:id="rId6"/>
    <sheet name="Orlando" sheetId="53" r:id="rId7"/>
    <sheet name="Carlos" sheetId="60" r:id="rId8"/>
    <sheet name="Thaisa" sheetId="59" r:id="rId9"/>
    <sheet name="Alessandra" sheetId="61" r:id="rId10"/>
    <sheet name="Wanei" sheetId="63" r:id="rId11"/>
    <sheet name="Janaina" sheetId="64" r:id="rId12"/>
    <sheet name="Andreia" sheetId="65" r:id="rId13"/>
    <sheet name="homologador" sheetId="68" r:id="rId14"/>
    <sheet name="EXPLORATÓRIOS" sheetId="42" r:id="rId15"/>
    <sheet name="MASSA" sheetId="51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65" l="1"/>
  <c r="L15" i="56"/>
  <c r="S9" i="56"/>
  <c r="S10" i="56"/>
  <c r="S11" i="56"/>
  <c r="S12" i="56"/>
  <c r="S13" i="56"/>
  <c r="S14" i="56"/>
  <c r="S15" i="56"/>
  <c r="S16" i="56"/>
  <c r="S17" i="56"/>
  <c r="S18" i="56"/>
  <c r="S19" i="56"/>
  <c r="S20" i="56"/>
  <c r="S21" i="56"/>
  <c r="S22" i="56"/>
  <c r="S23" i="56"/>
  <c r="S24" i="56"/>
  <c r="S25" i="56"/>
  <c r="S26" i="56"/>
  <c r="S27" i="56"/>
  <c r="S28" i="56"/>
  <c r="S29" i="56"/>
  <c r="S30" i="56"/>
  <c r="S31" i="56"/>
  <c r="S32" i="56"/>
  <c r="S33" i="56"/>
  <c r="S34" i="56"/>
  <c r="S35" i="56"/>
  <c r="S36" i="56"/>
  <c r="S37" i="56"/>
  <c r="S38" i="56"/>
  <c r="S39" i="56"/>
  <c r="S8" i="56"/>
  <c r="B201" i="65"/>
  <c r="B52" i="42"/>
  <c r="B53" i="42"/>
  <c r="B54" i="42"/>
  <c r="B55" i="42"/>
  <c r="B56" i="42"/>
  <c r="B57" i="42"/>
  <c r="B32" i="42"/>
  <c r="B33" i="42"/>
  <c r="B34" i="42"/>
  <c r="B35" i="42"/>
  <c r="B36" i="42"/>
  <c r="B37" i="42"/>
  <c r="B38" i="42"/>
  <c r="B39" i="42"/>
  <c r="B40" i="42"/>
  <c r="B41" i="42"/>
  <c r="B42" i="42"/>
  <c r="B43" i="42"/>
  <c r="B44" i="42"/>
  <c r="B45" i="42"/>
  <c r="B46" i="42"/>
  <c r="B47" i="42"/>
  <c r="B48" i="42"/>
  <c r="B49" i="42"/>
  <c r="B50" i="42"/>
  <c r="B51" i="42"/>
  <c r="B10" i="62"/>
  <c r="C10" i="62"/>
  <c r="D10" i="62"/>
  <c r="E10" i="62"/>
  <c r="F10" i="62"/>
  <c r="G10" i="62"/>
  <c r="H10" i="62"/>
  <c r="I10" i="62"/>
  <c r="J10" i="62"/>
  <c r="B11" i="42"/>
  <c r="B12" i="42"/>
  <c r="B13" i="42"/>
  <c r="B14" i="42"/>
  <c r="B15" i="42"/>
  <c r="B16" i="42"/>
  <c r="B17" i="42"/>
  <c r="B18" i="42"/>
  <c r="B19" i="42"/>
  <c r="B20" i="42" s="1"/>
  <c r="B21" i="42" s="1"/>
  <c r="B22" i="42" s="1"/>
  <c r="B23" i="42" s="1"/>
  <c r="B24" i="42" s="1"/>
  <c r="B25" i="42" s="1"/>
  <c r="B26" i="42" s="1"/>
  <c r="B27" i="42" s="1"/>
  <c r="B28" i="42" s="1"/>
  <c r="B29" i="42" s="1"/>
  <c r="B30" i="42" s="1"/>
  <c r="B31" i="42" s="1"/>
  <c r="B8" i="5"/>
  <c r="B200" i="68"/>
  <c r="B199" i="68"/>
  <c r="B198" i="68"/>
  <c r="B197" i="68"/>
  <c r="B196" i="68"/>
  <c r="B195" i="68"/>
  <c r="B194" i="68"/>
  <c r="B193" i="68"/>
  <c r="B192" i="68"/>
  <c r="B191" i="68"/>
  <c r="B190" i="68"/>
  <c r="B189" i="68"/>
  <c r="B188" i="68"/>
  <c r="B187" i="68"/>
  <c r="B186" i="68"/>
  <c r="B185" i="68"/>
  <c r="B184" i="68"/>
  <c r="B183" i="68"/>
  <c r="B182" i="68"/>
  <c r="B181" i="68"/>
  <c r="B180" i="68"/>
  <c r="B179" i="68"/>
  <c r="B178" i="68"/>
  <c r="B177" i="68"/>
  <c r="B176" i="68"/>
  <c r="B175" i="68"/>
  <c r="B174" i="68"/>
  <c r="B173" i="68"/>
  <c r="B172" i="68"/>
  <c r="B171" i="68"/>
  <c r="B170" i="68"/>
  <c r="B169" i="68"/>
  <c r="B168" i="68"/>
  <c r="B167" i="68"/>
  <c r="B166" i="68"/>
  <c r="B165" i="68"/>
  <c r="B164" i="68"/>
  <c r="B163" i="68"/>
  <c r="B162" i="68"/>
  <c r="B161" i="68"/>
  <c r="B160" i="68"/>
  <c r="B159" i="68"/>
  <c r="B158" i="68"/>
  <c r="B157" i="68"/>
  <c r="B156" i="68"/>
  <c r="B155" i="68"/>
  <c r="B154" i="68"/>
  <c r="B153" i="68"/>
  <c r="B152" i="68"/>
  <c r="B151" i="68"/>
  <c r="B150" i="68"/>
  <c r="B149" i="68"/>
  <c r="B148" i="68"/>
  <c r="B147" i="68"/>
  <c r="B146" i="68"/>
  <c r="B145" i="68"/>
  <c r="B144" i="68"/>
  <c r="B143" i="68"/>
  <c r="B142" i="68"/>
  <c r="B141" i="68"/>
  <c r="B140" i="68"/>
  <c r="B139" i="68"/>
  <c r="B138" i="68"/>
  <c r="B137" i="68"/>
  <c r="B136" i="68"/>
  <c r="B135" i="68"/>
  <c r="B134" i="68"/>
  <c r="B133" i="68"/>
  <c r="B132" i="68"/>
  <c r="B131" i="68"/>
  <c r="B130" i="68"/>
  <c r="B129" i="68"/>
  <c r="B128" i="68"/>
  <c r="B127" i="68"/>
  <c r="B126" i="68"/>
  <c r="B125" i="68"/>
  <c r="B124" i="68"/>
  <c r="B123" i="68"/>
  <c r="B122" i="68"/>
  <c r="B121" i="68"/>
  <c r="B120" i="68"/>
  <c r="B119" i="68"/>
  <c r="B118" i="68"/>
  <c r="B117" i="68"/>
  <c r="B116" i="68"/>
  <c r="B115" i="68"/>
  <c r="B114" i="68"/>
  <c r="B113" i="68"/>
  <c r="B112" i="68"/>
  <c r="B111" i="68"/>
  <c r="B110" i="68"/>
  <c r="B109" i="68"/>
  <c r="B108" i="68"/>
  <c r="B107" i="68"/>
  <c r="B106" i="68"/>
  <c r="B105" i="68"/>
  <c r="B104" i="68"/>
  <c r="B103" i="68"/>
  <c r="B102" i="68"/>
  <c r="B101" i="68"/>
  <c r="B100" i="68"/>
  <c r="B99" i="68"/>
  <c r="B98" i="68"/>
  <c r="B97" i="68"/>
  <c r="B96" i="68"/>
  <c r="B95" i="68"/>
  <c r="B94" i="68"/>
  <c r="B93" i="68"/>
  <c r="B92" i="68"/>
  <c r="B91" i="68"/>
  <c r="B90" i="68"/>
  <c r="B89" i="68"/>
  <c r="B88" i="68"/>
  <c r="B87" i="68"/>
  <c r="B86" i="68"/>
  <c r="B85" i="68"/>
  <c r="B84" i="68"/>
  <c r="B83" i="68"/>
  <c r="B82" i="68"/>
  <c r="B81" i="68"/>
  <c r="B80" i="68"/>
  <c r="B79" i="68"/>
  <c r="B78" i="68"/>
  <c r="B77" i="68"/>
  <c r="B76" i="68"/>
  <c r="B75" i="68"/>
  <c r="B74" i="68"/>
  <c r="B73" i="68"/>
  <c r="B72" i="68"/>
  <c r="B71" i="68"/>
  <c r="B70" i="68"/>
  <c r="B69" i="68"/>
  <c r="B68" i="68"/>
  <c r="B67" i="68"/>
  <c r="B66" i="68"/>
  <c r="B65" i="68"/>
  <c r="B64" i="68"/>
  <c r="B63" i="68"/>
  <c r="B62" i="68"/>
  <c r="B61" i="68"/>
  <c r="B60" i="68"/>
  <c r="B59" i="68"/>
  <c r="B58" i="68"/>
  <c r="B57" i="68"/>
  <c r="B56" i="68"/>
  <c r="B55" i="68"/>
  <c r="B54" i="68"/>
  <c r="B53" i="68"/>
  <c r="B52" i="68"/>
  <c r="B51" i="68"/>
  <c r="B8" i="68"/>
  <c r="B51" i="65"/>
  <c r="B52" i="65"/>
  <c r="B53" i="65"/>
  <c r="B54" i="65"/>
  <c r="B55" i="65"/>
  <c r="B56" i="65"/>
  <c r="B57" i="65"/>
  <c r="B58" i="65"/>
  <c r="B59" i="65"/>
  <c r="B60" i="65"/>
  <c r="B61" i="65"/>
  <c r="B62" i="65"/>
  <c r="B63" i="65"/>
  <c r="B64" i="65"/>
  <c r="B65" i="65"/>
  <c r="B66" i="65"/>
  <c r="B67" i="65"/>
  <c r="B68" i="65"/>
  <c r="B69" i="65"/>
  <c r="B70" i="65"/>
  <c r="B71" i="65"/>
  <c r="B72" i="65"/>
  <c r="B73" i="65"/>
  <c r="B74" i="65"/>
  <c r="B75" i="65"/>
  <c r="B76" i="65"/>
  <c r="B77" i="65"/>
  <c r="B78" i="65"/>
  <c r="B79" i="65"/>
  <c r="B80" i="65"/>
  <c r="B81" i="65"/>
  <c r="B82" i="65"/>
  <c r="B83" i="65"/>
  <c r="B84" i="65"/>
  <c r="B85" i="65"/>
  <c r="B86" i="65"/>
  <c r="B87" i="65"/>
  <c r="B88" i="65"/>
  <c r="B89" i="65"/>
  <c r="B90" i="65"/>
  <c r="B91" i="65"/>
  <c r="B92" i="65"/>
  <c r="B93" i="65"/>
  <c r="B94" i="65"/>
  <c r="B95" i="65"/>
  <c r="B96" i="65"/>
  <c r="B97" i="65"/>
  <c r="B98" i="65"/>
  <c r="B99" i="65"/>
  <c r="B100" i="65"/>
  <c r="B101" i="65"/>
  <c r="B102" i="65"/>
  <c r="B103" i="65"/>
  <c r="B104" i="65"/>
  <c r="B105" i="65"/>
  <c r="B106" i="65"/>
  <c r="B107" i="65"/>
  <c r="B108" i="65"/>
  <c r="B109" i="65"/>
  <c r="B110" i="65"/>
  <c r="B111" i="65"/>
  <c r="B112" i="65"/>
  <c r="B113" i="65"/>
  <c r="B114" i="65"/>
  <c r="B115" i="65"/>
  <c r="B116" i="65"/>
  <c r="B117" i="65"/>
  <c r="B118" i="65"/>
  <c r="B119" i="65"/>
  <c r="B120" i="65"/>
  <c r="B121" i="65"/>
  <c r="B122" i="65"/>
  <c r="B123" i="65"/>
  <c r="B124" i="65"/>
  <c r="B125" i="65"/>
  <c r="B126" i="65"/>
  <c r="B127" i="65"/>
  <c r="B128" i="65"/>
  <c r="B129" i="65"/>
  <c r="B130" i="65"/>
  <c r="B131" i="65"/>
  <c r="B132" i="65"/>
  <c r="B133" i="65"/>
  <c r="B134" i="65"/>
  <c r="B135" i="65"/>
  <c r="B136" i="65"/>
  <c r="B137" i="65"/>
  <c r="B138" i="65"/>
  <c r="B139" i="65"/>
  <c r="B140" i="65"/>
  <c r="B141" i="65"/>
  <c r="B142" i="65"/>
  <c r="B143" i="65"/>
  <c r="B144" i="65"/>
  <c r="B145" i="65"/>
  <c r="B146" i="65"/>
  <c r="B147" i="65"/>
  <c r="B148" i="65"/>
  <c r="B149" i="65"/>
  <c r="B150" i="65"/>
  <c r="B151" i="65"/>
  <c r="B152" i="65"/>
  <c r="B153" i="65"/>
  <c r="B154" i="65"/>
  <c r="B155" i="65"/>
  <c r="B156" i="65"/>
  <c r="B157" i="65"/>
  <c r="B158" i="65"/>
  <c r="B159" i="65"/>
  <c r="B160" i="65"/>
  <c r="B161" i="65"/>
  <c r="B162" i="65"/>
  <c r="B163" i="65"/>
  <c r="B164" i="65"/>
  <c r="B165" i="65"/>
  <c r="B166" i="65"/>
  <c r="B167" i="65"/>
  <c r="B168" i="65"/>
  <c r="B169" i="65"/>
  <c r="B170" i="65"/>
  <c r="B171" i="65"/>
  <c r="B172" i="65"/>
  <c r="B173" i="65"/>
  <c r="B174" i="65"/>
  <c r="B175" i="65"/>
  <c r="B176" i="65"/>
  <c r="B177" i="65"/>
  <c r="B178" i="65"/>
  <c r="B179" i="65"/>
  <c r="B180" i="65"/>
  <c r="B181" i="65"/>
  <c r="B182" i="65"/>
  <c r="B183" i="65"/>
  <c r="B184" i="65"/>
  <c r="B185" i="65"/>
  <c r="B186" i="65"/>
  <c r="B187" i="65"/>
  <c r="B188" i="65"/>
  <c r="B189" i="65"/>
  <c r="B190" i="65"/>
  <c r="B191" i="65"/>
  <c r="B192" i="65"/>
  <c r="B193" i="65"/>
  <c r="B194" i="65"/>
  <c r="B195" i="65"/>
  <c r="B196" i="65"/>
  <c r="B197" i="65"/>
  <c r="B198" i="65"/>
  <c r="B199" i="65"/>
  <c r="B200" i="65"/>
  <c r="B8" i="42"/>
  <c r="B9" i="42" s="1"/>
  <c r="B200" i="64"/>
  <c r="B199" i="64"/>
  <c r="B198" i="64"/>
  <c r="B197" i="64"/>
  <c r="B196" i="64"/>
  <c r="B195" i="64"/>
  <c r="B194" i="64"/>
  <c r="B193" i="64"/>
  <c r="B192" i="64"/>
  <c r="B191" i="64"/>
  <c r="B190" i="64"/>
  <c r="B189" i="64"/>
  <c r="B188" i="64"/>
  <c r="B187" i="64"/>
  <c r="B186" i="64"/>
  <c r="B185" i="64"/>
  <c r="B184" i="64"/>
  <c r="B183" i="64"/>
  <c r="B182" i="64"/>
  <c r="B181" i="64"/>
  <c r="B180" i="64"/>
  <c r="B179" i="64"/>
  <c r="B178" i="64"/>
  <c r="B177" i="64"/>
  <c r="B176" i="64"/>
  <c r="B175" i="64"/>
  <c r="B174" i="64"/>
  <c r="B173" i="64"/>
  <c r="B172" i="64"/>
  <c r="B171" i="64"/>
  <c r="B170" i="64"/>
  <c r="B169" i="64"/>
  <c r="B168" i="64"/>
  <c r="B167" i="64"/>
  <c r="B166" i="64"/>
  <c r="B165" i="64"/>
  <c r="B164" i="64"/>
  <c r="B163" i="64"/>
  <c r="B162" i="64"/>
  <c r="B161" i="64"/>
  <c r="B160" i="64"/>
  <c r="B159" i="64"/>
  <c r="B158" i="64"/>
  <c r="B157" i="64"/>
  <c r="B156" i="64"/>
  <c r="B155" i="64"/>
  <c r="B154" i="64"/>
  <c r="B153" i="64"/>
  <c r="B152" i="64"/>
  <c r="B151" i="64"/>
  <c r="B150" i="64"/>
  <c r="B149" i="64"/>
  <c r="B148" i="64"/>
  <c r="B147" i="64"/>
  <c r="B146" i="64"/>
  <c r="B145" i="64"/>
  <c r="B144" i="64"/>
  <c r="B143" i="64"/>
  <c r="B142" i="64"/>
  <c r="B141" i="64"/>
  <c r="B140" i="64"/>
  <c r="B139" i="64"/>
  <c r="B138" i="64"/>
  <c r="B137" i="64"/>
  <c r="B136" i="64"/>
  <c r="B135" i="64"/>
  <c r="B134" i="64"/>
  <c r="B133" i="64"/>
  <c r="B132" i="64"/>
  <c r="B131" i="64"/>
  <c r="B130" i="64"/>
  <c r="B129" i="64"/>
  <c r="B128" i="64"/>
  <c r="B127" i="64"/>
  <c r="B126" i="64"/>
  <c r="B125" i="64"/>
  <c r="B124" i="64"/>
  <c r="B123" i="64"/>
  <c r="B122" i="64"/>
  <c r="B121" i="64"/>
  <c r="B120" i="64"/>
  <c r="B119" i="64"/>
  <c r="B118" i="64"/>
  <c r="B117" i="64"/>
  <c r="B116" i="64"/>
  <c r="B115" i="64"/>
  <c r="B114" i="64"/>
  <c r="B113" i="64"/>
  <c r="B112" i="64"/>
  <c r="B111" i="64"/>
  <c r="B110" i="64"/>
  <c r="B109" i="64"/>
  <c r="B108" i="64"/>
  <c r="B107" i="64"/>
  <c r="B106" i="64"/>
  <c r="B105" i="64"/>
  <c r="B104" i="64"/>
  <c r="B103" i="64"/>
  <c r="B102" i="64"/>
  <c r="B101" i="64"/>
  <c r="B100" i="64"/>
  <c r="B99" i="64"/>
  <c r="B98" i="64"/>
  <c r="B97" i="64"/>
  <c r="B96" i="64"/>
  <c r="B95" i="64"/>
  <c r="B94" i="64"/>
  <c r="B93" i="64"/>
  <c r="B92" i="64"/>
  <c r="B91" i="64"/>
  <c r="B90" i="64"/>
  <c r="B89" i="64"/>
  <c r="B88" i="64"/>
  <c r="B87" i="64"/>
  <c r="B86" i="64"/>
  <c r="B85" i="64"/>
  <c r="B84" i="64"/>
  <c r="B83" i="64"/>
  <c r="B82" i="64"/>
  <c r="B81" i="64"/>
  <c r="B80" i="64"/>
  <c r="B79" i="64"/>
  <c r="B78" i="64"/>
  <c r="B77" i="64"/>
  <c r="B76" i="64"/>
  <c r="B75" i="64"/>
  <c r="B74" i="64"/>
  <c r="B73" i="64"/>
  <c r="B72" i="64"/>
  <c r="B71" i="64"/>
  <c r="B70" i="64"/>
  <c r="B69" i="64"/>
  <c r="B68" i="64"/>
  <c r="B67" i="64"/>
  <c r="B66" i="64"/>
  <c r="B65" i="64"/>
  <c r="B64" i="64"/>
  <c r="B63" i="64"/>
  <c r="B62" i="64"/>
  <c r="B61" i="64"/>
  <c r="B60" i="64"/>
  <c r="B59" i="64"/>
  <c r="B58" i="64"/>
  <c r="B57" i="64"/>
  <c r="B56" i="64"/>
  <c r="B55" i="64"/>
  <c r="B54" i="64"/>
  <c r="B53" i="64"/>
  <c r="B52" i="64"/>
  <c r="B51" i="64"/>
  <c r="B200" i="63"/>
  <c r="B199" i="63"/>
  <c r="B198" i="63"/>
  <c r="B197" i="63"/>
  <c r="B196" i="63"/>
  <c r="B195" i="63"/>
  <c r="B194" i="63"/>
  <c r="B193" i="63"/>
  <c r="B192" i="63"/>
  <c r="B191" i="63"/>
  <c r="B190" i="63"/>
  <c r="B189" i="63"/>
  <c r="B188" i="63"/>
  <c r="B187" i="63"/>
  <c r="B186" i="63"/>
  <c r="B185" i="63"/>
  <c r="B184" i="63"/>
  <c r="B183" i="63"/>
  <c r="B182" i="63"/>
  <c r="B181" i="63"/>
  <c r="B180" i="63"/>
  <c r="B179" i="63"/>
  <c r="B178" i="63"/>
  <c r="B177" i="63"/>
  <c r="B176" i="63"/>
  <c r="B175" i="63"/>
  <c r="B174" i="63"/>
  <c r="B173" i="63"/>
  <c r="B172" i="63"/>
  <c r="B171" i="63"/>
  <c r="B170" i="63"/>
  <c r="B169" i="63"/>
  <c r="B168" i="63"/>
  <c r="B167" i="63"/>
  <c r="B166" i="63"/>
  <c r="B165" i="63"/>
  <c r="B164" i="63"/>
  <c r="B163" i="63"/>
  <c r="B162" i="63"/>
  <c r="B161" i="63"/>
  <c r="B160" i="63"/>
  <c r="B159" i="63"/>
  <c r="B158" i="63"/>
  <c r="B157" i="63"/>
  <c r="B156" i="63"/>
  <c r="B155" i="63"/>
  <c r="B154" i="63"/>
  <c r="B153" i="63"/>
  <c r="B152" i="63"/>
  <c r="B151" i="63"/>
  <c r="B150" i="63"/>
  <c r="B149" i="63"/>
  <c r="B148" i="63"/>
  <c r="B147" i="63"/>
  <c r="B146" i="63"/>
  <c r="B145" i="63"/>
  <c r="B144" i="63"/>
  <c r="B143" i="63"/>
  <c r="B142" i="63"/>
  <c r="B141" i="63"/>
  <c r="B140" i="63"/>
  <c r="B139" i="63"/>
  <c r="B138" i="63"/>
  <c r="B137" i="63"/>
  <c r="B136" i="63"/>
  <c r="B135" i="63"/>
  <c r="B134" i="63"/>
  <c r="B133" i="63"/>
  <c r="B132" i="63"/>
  <c r="B131" i="63"/>
  <c r="B130" i="63"/>
  <c r="B129" i="63"/>
  <c r="B128" i="63"/>
  <c r="B127" i="63"/>
  <c r="B126" i="63"/>
  <c r="B125" i="63"/>
  <c r="B124" i="63"/>
  <c r="B123" i="63"/>
  <c r="B122" i="63"/>
  <c r="B121" i="63"/>
  <c r="B120" i="63"/>
  <c r="B119" i="63"/>
  <c r="B118" i="63"/>
  <c r="B117" i="63"/>
  <c r="B116" i="63"/>
  <c r="B115" i="63"/>
  <c r="B114" i="63"/>
  <c r="B113" i="63"/>
  <c r="B112" i="63"/>
  <c r="B111" i="63"/>
  <c r="B110" i="63"/>
  <c r="B109" i="63"/>
  <c r="B108" i="63"/>
  <c r="B107" i="63"/>
  <c r="B106" i="63"/>
  <c r="B105" i="63"/>
  <c r="B104" i="63"/>
  <c r="B103" i="63"/>
  <c r="B102" i="63"/>
  <c r="B101" i="63"/>
  <c r="B100" i="63"/>
  <c r="B99" i="63"/>
  <c r="B98" i="63"/>
  <c r="B97" i="63"/>
  <c r="B96" i="63"/>
  <c r="B95" i="63"/>
  <c r="B94" i="63"/>
  <c r="B93" i="63"/>
  <c r="B92" i="63"/>
  <c r="B91" i="63"/>
  <c r="B90" i="63"/>
  <c r="B89" i="63"/>
  <c r="B88" i="63"/>
  <c r="B87" i="63"/>
  <c r="B86" i="63"/>
  <c r="B85" i="63"/>
  <c r="B84" i="63"/>
  <c r="B83" i="63"/>
  <c r="B82" i="63"/>
  <c r="B81" i="63"/>
  <c r="B80" i="63"/>
  <c r="B79" i="63"/>
  <c r="B78" i="63"/>
  <c r="B77" i="63"/>
  <c r="B76" i="63"/>
  <c r="B75" i="63"/>
  <c r="B74" i="63"/>
  <c r="B73" i="63"/>
  <c r="B72" i="63"/>
  <c r="B71" i="63"/>
  <c r="B70" i="63"/>
  <c r="B69" i="63"/>
  <c r="B68" i="63"/>
  <c r="B67" i="63"/>
  <c r="B66" i="63"/>
  <c r="B65" i="63"/>
  <c r="B64" i="63"/>
  <c r="B63" i="63"/>
  <c r="B62" i="63"/>
  <c r="B61" i="63"/>
  <c r="B60" i="63"/>
  <c r="B59" i="63"/>
  <c r="B58" i="63"/>
  <c r="B57" i="63"/>
  <c r="B56" i="63"/>
  <c r="B55" i="63"/>
  <c r="B54" i="63"/>
  <c r="B53" i="63"/>
  <c r="B52" i="63"/>
  <c r="B51" i="63"/>
  <c r="B200" i="62"/>
  <c r="B199" i="62"/>
  <c r="B198" i="62"/>
  <c r="B197" i="62"/>
  <c r="B196" i="62"/>
  <c r="B195" i="62"/>
  <c r="B194" i="62"/>
  <c r="B193" i="62"/>
  <c r="B192" i="62"/>
  <c r="B191" i="62"/>
  <c r="B190" i="62"/>
  <c r="B189" i="62"/>
  <c r="B188" i="62"/>
  <c r="B187" i="62"/>
  <c r="B186" i="62"/>
  <c r="B185" i="62"/>
  <c r="B184" i="62"/>
  <c r="B183" i="62"/>
  <c r="B182" i="62"/>
  <c r="B181" i="62"/>
  <c r="B180" i="62"/>
  <c r="B179" i="62"/>
  <c r="B178" i="62"/>
  <c r="B177" i="62"/>
  <c r="B176" i="62"/>
  <c r="B175" i="62"/>
  <c r="B174" i="62"/>
  <c r="B173" i="62"/>
  <c r="B172" i="62"/>
  <c r="B171" i="62"/>
  <c r="B170" i="62"/>
  <c r="B169" i="62"/>
  <c r="B168" i="62"/>
  <c r="B167" i="62"/>
  <c r="B166" i="62"/>
  <c r="B165" i="62"/>
  <c r="B164" i="62"/>
  <c r="B163" i="62"/>
  <c r="B162" i="62"/>
  <c r="B161" i="62"/>
  <c r="B160" i="62"/>
  <c r="B159" i="62"/>
  <c r="B158" i="62"/>
  <c r="B157" i="62"/>
  <c r="B156" i="62"/>
  <c r="B155" i="62"/>
  <c r="B154" i="62"/>
  <c r="B153" i="62"/>
  <c r="B152" i="62"/>
  <c r="B151" i="62"/>
  <c r="B150" i="62"/>
  <c r="B149" i="62"/>
  <c r="B148" i="62"/>
  <c r="B147" i="62"/>
  <c r="B146" i="62"/>
  <c r="B145" i="62"/>
  <c r="B144" i="62"/>
  <c r="B143" i="62"/>
  <c r="B142" i="62"/>
  <c r="B141" i="62"/>
  <c r="B140" i="62"/>
  <c r="B139" i="62"/>
  <c r="B138" i="62"/>
  <c r="B137" i="62"/>
  <c r="B136" i="62"/>
  <c r="B135" i="62"/>
  <c r="B134" i="62"/>
  <c r="B133" i="62"/>
  <c r="B132" i="62"/>
  <c r="B131" i="62"/>
  <c r="B130" i="62"/>
  <c r="B129" i="62"/>
  <c r="B128" i="62"/>
  <c r="B127" i="62"/>
  <c r="B126" i="62"/>
  <c r="B125" i="62"/>
  <c r="B124" i="62"/>
  <c r="B123" i="62"/>
  <c r="B122" i="62"/>
  <c r="B121" i="62"/>
  <c r="B120" i="62"/>
  <c r="B119" i="62"/>
  <c r="B118" i="62"/>
  <c r="B117" i="62"/>
  <c r="B116" i="62"/>
  <c r="B115" i="62"/>
  <c r="B114" i="62"/>
  <c r="B113" i="62"/>
  <c r="B112" i="62"/>
  <c r="B111" i="62"/>
  <c r="B110" i="62"/>
  <c r="B109" i="62"/>
  <c r="B108" i="62"/>
  <c r="B107" i="62"/>
  <c r="B106" i="62"/>
  <c r="B105" i="62"/>
  <c r="B104" i="62"/>
  <c r="B103" i="62"/>
  <c r="B102" i="62"/>
  <c r="B101" i="62"/>
  <c r="B100" i="62"/>
  <c r="B99" i="62"/>
  <c r="B98" i="62"/>
  <c r="B97" i="62"/>
  <c r="B96" i="62"/>
  <c r="B95" i="62"/>
  <c r="B94" i="62"/>
  <c r="B93" i="62"/>
  <c r="B92" i="62"/>
  <c r="B91" i="62"/>
  <c r="B90" i="62"/>
  <c r="B89" i="62"/>
  <c r="B88" i="62"/>
  <c r="B87" i="62"/>
  <c r="B86" i="62"/>
  <c r="B85" i="62"/>
  <c r="B84" i="62"/>
  <c r="B83" i="62"/>
  <c r="B82" i="62"/>
  <c r="B81" i="62"/>
  <c r="B80" i="62"/>
  <c r="B79" i="62"/>
  <c r="B78" i="62"/>
  <c r="B77" i="62"/>
  <c r="B76" i="62"/>
  <c r="B75" i="62"/>
  <c r="B74" i="62"/>
  <c r="B73" i="62"/>
  <c r="B72" i="62"/>
  <c r="B71" i="62"/>
  <c r="B70" i="62"/>
  <c r="B69" i="62"/>
  <c r="B68" i="62"/>
  <c r="B67" i="62"/>
  <c r="B66" i="62"/>
  <c r="B65" i="62"/>
  <c r="B64" i="62"/>
  <c r="B63" i="62"/>
  <c r="B62" i="62"/>
  <c r="B61" i="62"/>
  <c r="B60" i="62"/>
  <c r="B59" i="62"/>
  <c r="B58" i="62"/>
  <c r="B57" i="62"/>
  <c r="B56" i="62"/>
  <c r="B55" i="62"/>
  <c r="B54" i="62"/>
  <c r="B53" i="62"/>
  <c r="B52" i="62"/>
  <c r="B51" i="62"/>
  <c r="B200" i="61"/>
  <c r="B199" i="61"/>
  <c r="B198" i="61"/>
  <c r="B197" i="61"/>
  <c r="B196" i="61"/>
  <c r="B195" i="61"/>
  <c r="B194" i="61"/>
  <c r="B193" i="61"/>
  <c r="B192" i="61"/>
  <c r="B191" i="61"/>
  <c r="B190" i="61"/>
  <c r="B189" i="61"/>
  <c r="B188" i="61"/>
  <c r="B187" i="61"/>
  <c r="B186" i="61"/>
  <c r="B185" i="61"/>
  <c r="B184" i="61"/>
  <c r="B183" i="61"/>
  <c r="B182" i="61"/>
  <c r="B181" i="61"/>
  <c r="B180" i="61"/>
  <c r="B179" i="61"/>
  <c r="B178" i="61"/>
  <c r="B177" i="61"/>
  <c r="B176" i="61"/>
  <c r="B175" i="61"/>
  <c r="B174" i="61"/>
  <c r="B173" i="61"/>
  <c r="B172" i="61"/>
  <c r="B171" i="61"/>
  <c r="B170" i="61"/>
  <c r="B169" i="61"/>
  <c r="B168" i="61"/>
  <c r="B167" i="61"/>
  <c r="B166" i="61"/>
  <c r="B165" i="61"/>
  <c r="B164" i="61"/>
  <c r="B163" i="61"/>
  <c r="B162" i="61"/>
  <c r="B161" i="61"/>
  <c r="B160" i="61"/>
  <c r="B159" i="61"/>
  <c r="B158" i="61"/>
  <c r="B157" i="61"/>
  <c r="B156" i="61"/>
  <c r="B155" i="61"/>
  <c r="B154" i="61"/>
  <c r="B153" i="61"/>
  <c r="B152" i="61"/>
  <c r="B151" i="61"/>
  <c r="B150" i="61"/>
  <c r="B149" i="61"/>
  <c r="B148" i="61"/>
  <c r="B147" i="61"/>
  <c r="B146" i="61"/>
  <c r="B145" i="61"/>
  <c r="B144" i="61"/>
  <c r="B143" i="61"/>
  <c r="B142" i="61"/>
  <c r="B141" i="61"/>
  <c r="B140" i="61"/>
  <c r="B139" i="61"/>
  <c r="B138" i="61"/>
  <c r="B137" i="61"/>
  <c r="B136" i="61"/>
  <c r="B135" i="61"/>
  <c r="B134" i="61"/>
  <c r="B133" i="61"/>
  <c r="B132" i="61"/>
  <c r="B131" i="61"/>
  <c r="B130" i="61"/>
  <c r="B129" i="61"/>
  <c r="B128" i="61"/>
  <c r="B127" i="61"/>
  <c r="B126" i="61"/>
  <c r="B125" i="61"/>
  <c r="B124" i="61"/>
  <c r="B123" i="61"/>
  <c r="B122" i="61"/>
  <c r="B121" i="61"/>
  <c r="B120" i="61"/>
  <c r="B119" i="61"/>
  <c r="B118" i="61"/>
  <c r="B117" i="61"/>
  <c r="B116" i="61"/>
  <c r="B115" i="61"/>
  <c r="B114" i="61"/>
  <c r="B113" i="61"/>
  <c r="B112" i="61"/>
  <c r="B111" i="61"/>
  <c r="B110" i="61"/>
  <c r="B109" i="61"/>
  <c r="B108" i="61"/>
  <c r="B107" i="61"/>
  <c r="B106" i="61"/>
  <c r="B105" i="61"/>
  <c r="B104" i="61"/>
  <c r="B103" i="61"/>
  <c r="B102" i="61"/>
  <c r="B101" i="61"/>
  <c r="B100" i="61"/>
  <c r="B99" i="61"/>
  <c r="B98" i="61"/>
  <c r="B97" i="61"/>
  <c r="B96" i="61"/>
  <c r="B95" i="61"/>
  <c r="B94" i="61"/>
  <c r="B93" i="61"/>
  <c r="B92" i="61"/>
  <c r="B91" i="61"/>
  <c r="B90" i="61"/>
  <c r="B89" i="61"/>
  <c r="B88" i="61"/>
  <c r="B87" i="61"/>
  <c r="B86" i="61"/>
  <c r="B85" i="61"/>
  <c r="B84" i="61"/>
  <c r="B83" i="61"/>
  <c r="B82" i="61"/>
  <c r="B81" i="61"/>
  <c r="B80" i="61"/>
  <c r="B79" i="61"/>
  <c r="B78" i="61"/>
  <c r="B77" i="61"/>
  <c r="B76" i="61"/>
  <c r="B75" i="61"/>
  <c r="B74" i="61"/>
  <c r="B73" i="61"/>
  <c r="B72" i="61"/>
  <c r="B71" i="61"/>
  <c r="B70" i="61"/>
  <c r="B69" i="61"/>
  <c r="B68" i="61"/>
  <c r="B67" i="61"/>
  <c r="B66" i="61"/>
  <c r="B65" i="61"/>
  <c r="B64" i="61"/>
  <c r="B63" i="61"/>
  <c r="B62" i="61"/>
  <c r="B61" i="61"/>
  <c r="B60" i="61"/>
  <c r="B59" i="61"/>
  <c r="B58" i="61"/>
  <c r="B57" i="61"/>
  <c r="B56" i="61"/>
  <c r="B55" i="61"/>
  <c r="B54" i="61"/>
  <c r="B53" i="61"/>
  <c r="B52" i="61"/>
  <c r="B51" i="61"/>
  <c r="B200" i="60"/>
  <c r="B199" i="60"/>
  <c r="B198" i="60"/>
  <c r="B197" i="60"/>
  <c r="B196" i="60"/>
  <c r="B195" i="60"/>
  <c r="B194" i="60"/>
  <c r="B193" i="60"/>
  <c r="B192" i="60"/>
  <c r="B191" i="60"/>
  <c r="B190" i="60"/>
  <c r="B189" i="60"/>
  <c r="B188" i="60"/>
  <c r="B187" i="60"/>
  <c r="B186" i="60"/>
  <c r="B185" i="60"/>
  <c r="B184" i="60"/>
  <c r="B183" i="60"/>
  <c r="B182" i="60"/>
  <c r="B181" i="60"/>
  <c r="B180" i="60"/>
  <c r="B179" i="60"/>
  <c r="B178" i="60"/>
  <c r="B177" i="60"/>
  <c r="B176" i="60"/>
  <c r="B175" i="60"/>
  <c r="B174" i="60"/>
  <c r="B173" i="60"/>
  <c r="B172" i="60"/>
  <c r="B171" i="60"/>
  <c r="B170" i="60"/>
  <c r="B169" i="60"/>
  <c r="B168" i="60"/>
  <c r="B167" i="60"/>
  <c r="B166" i="60"/>
  <c r="B165" i="60"/>
  <c r="B164" i="60"/>
  <c r="B163" i="60"/>
  <c r="B162" i="60"/>
  <c r="B161" i="60"/>
  <c r="B160" i="60"/>
  <c r="B159" i="60"/>
  <c r="B158" i="60"/>
  <c r="B157" i="60"/>
  <c r="B156" i="60"/>
  <c r="B155" i="60"/>
  <c r="B154" i="60"/>
  <c r="B153" i="60"/>
  <c r="B152" i="60"/>
  <c r="B151" i="60"/>
  <c r="B150" i="60"/>
  <c r="B149" i="60"/>
  <c r="B148" i="60"/>
  <c r="B147" i="60"/>
  <c r="B146" i="60"/>
  <c r="B145" i="60"/>
  <c r="B144" i="60"/>
  <c r="B143" i="60"/>
  <c r="B142" i="60"/>
  <c r="B141" i="60"/>
  <c r="B140" i="60"/>
  <c r="B139" i="60"/>
  <c r="B138" i="60"/>
  <c r="B137" i="60"/>
  <c r="B136" i="60"/>
  <c r="B135" i="60"/>
  <c r="B134" i="60"/>
  <c r="B133" i="60"/>
  <c r="B132" i="60"/>
  <c r="B131" i="60"/>
  <c r="B130" i="60"/>
  <c r="B129" i="60"/>
  <c r="B128" i="60"/>
  <c r="B127" i="60"/>
  <c r="B126" i="60"/>
  <c r="B125" i="60"/>
  <c r="B124" i="60"/>
  <c r="B123" i="60"/>
  <c r="B122" i="60"/>
  <c r="B121" i="60"/>
  <c r="B120" i="60"/>
  <c r="B119" i="60"/>
  <c r="B118" i="60"/>
  <c r="B117" i="60"/>
  <c r="B116" i="60"/>
  <c r="B115" i="60"/>
  <c r="B114" i="60"/>
  <c r="B113" i="60"/>
  <c r="B112" i="60"/>
  <c r="B111" i="60"/>
  <c r="B110" i="60"/>
  <c r="B109" i="60"/>
  <c r="B108" i="60"/>
  <c r="B107" i="60"/>
  <c r="B106" i="60"/>
  <c r="B105" i="60"/>
  <c r="B104" i="60"/>
  <c r="B103" i="60"/>
  <c r="B102" i="60"/>
  <c r="B101" i="60"/>
  <c r="B100" i="60"/>
  <c r="B99" i="60"/>
  <c r="B98" i="60"/>
  <c r="B97" i="60"/>
  <c r="B96" i="60"/>
  <c r="B95" i="60"/>
  <c r="B94" i="60"/>
  <c r="B93" i="60"/>
  <c r="B92" i="60"/>
  <c r="B91" i="60"/>
  <c r="B90" i="60"/>
  <c r="B89" i="60"/>
  <c r="B88" i="60"/>
  <c r="B87" i="60"/>
  <c r="B86" i="60"/>
  <c r="B85" i="60"/>
  <c r="B84" i="60"/>
  <c r="B83" i="60"/>
  <c r="B82" i="60"/>
  <c r="B81" i="60"/>
  <c r="B80" i="60"/>
  <c r="B79" i="60"/>
  <c r="B78" i="60"/>
  <c r="B77" i="60"/>
  <c r="B76" i="60"/>
  <c r="B75" i="60"/>
  <c r="B74" i="60"/>
  <c r="B73" i="60"/>
  <c r="B72" i="60"/>
  <c r="B71" i="60"/>
  <c r="B70" i="60"/>
  <c r="B69" i="60"/>
  <c r="B68" i="60"/>
  <c r="B67" i="60"/>
  <c r="B66" i="60"/>
  <c r="B65" i="60"/>
  <c r="B64" i="60"/>
  <c r="B63" i="60"/>
  <c r="B62" i="60"/>
  <c r="B61" i="60"/>
  <c r="B60" i="60"/>
  <c r="B59" i="60"/>
  <c r="B58" i="60"/>
  <c r="B57" i="60"/>
  <c r="B56" i="60"/>
  <c r="B55" i="60"/>
  <c r="B54" i="60"/>
  <c r="B53" i="60"/>
  <c r="B52" i="60"/>
  <c r="B51" i="60"/>
  <c r="B8" i="60"/>
  <c r="B200" i="57"/>
  <c r="B199" i="57"/>
  <c r="B198" i="57"/>
  <c r="B197" i="57"/>
  <c r="B196" i="57"/>
  <c r="B195" i="57"/>
  <c r="B194" i="57"/>
  <c r="B193" i="57"/>
  <c r="B192" i="57"/>
  <c r="B191" i="57"/>
  <c r="B190" i="57"/>
  <c r="B189" i="57"/>
  <c r="B188" i="57"/>
  <c r="B187" i="57"/>
  <c r="B186" i="57"/>
  <c r="B185" i="57"/>
  <c r="B184" i="57"/>
  <c r="B183" i="57"/>
  <c r="B182" i="57"/>
  <c r="B181" i="57"/>
  <c r="B180" i="57"/>
  <c r="B179" i="57"/>
  <c r="B178" i="57"/>
  <c r="B177" i="57"/>
  <c r="B176" i="57"/>
  <c r="B175" i="57"/>
  <c r="B174" i="57"/>
  <c r="B173" i="57"/>
  <c r="B172" i="57"/>
  <c r="B171" i="57"/>
  <c r="B170" i="57"/>
  <c r="B169" i="57"/>
  <c r="B168" i="57"/>
  <c r="B167" i="57"/>
  <c r="B166" i="57"/>
  <c r="B165" i="57"/>
  <c r="B164" i="57"/>
  <c r="B163" i="57"/>
  <c r="B162" i="57"/>
  <c r="B161" i="57"/>
  <c r="B160" i="57"/>
  <c r="B159" i="57"/>
  <c r="B158" i="57"/>
  <c r="B157" i="57"/>
  <c r="B156" i="57"/>
  <c r="B155" i="57"/>
  <c r="B154" i="57"/>
  <c r="B153" i="57"/>
  <c r="B152" i="57"/>
  <c r="B151" i="57"/>
  <c r="B150" i="57"/>
  <c r="B149" i="57"/>
  <c r="B148" i="57"/>
  <c r="B147" i="57"/>
  <c r="B146" i="57"/>
  <c r="B145" i="57"/>
  <c r="B144" i="57"/>
  <c r="B143" i="57"/>
  <c r="B142" i="57"/>
  <c r="B141" i="57"/>
  <c r="B140" i="57"/>
  <c r="B139" i="57"/>
  <c r="B138" i="57"/>
  <c r="B137" i="57"/>
  <c r="B136" i="57"/>
  <c r="B135" i="57"/>
  <c r="B134" i="57"/>
  <c r="B133" i="57"/>
  <c r="B132" i="57"/>
  <c r="B131" i="57"/>
  <c r="B130" i="57"/>
  <c r="B129" i="57"/>
  <c r="B128" i="57"/>
  <c r="B127" i="57"/>
  <c r="B126" i="57"/>
  <c r="B125" i="57"/>
  <c r="B124" i="57"/>
  <c r="B123" i="57"/>
  <c r="B122" i="57"/>
  <c r="B121" i="57"/>
  <c r="B120" i="57"/>
  <c r="B119" i="57"/>
  <c r="B118" i="57"/>
  <c r="B117" i="57"/>
  <c r="B116" i="57"/>
  <c r="B115" i="57"/>
  <c r="B114" i="57"/>
  <c r="B113" i="57"/>
  <c r="B112" i="57"/>
  <c r="B111" i="57"/>
  <c r="B110" i="57"/>
  <c r="B109" i="57"/>
  <c r="B108" i="57"/>
  <c r="B107" i="57"/>
  <c r="B106" i="57"/>
  <c r="B105" i="57"/>
  <c r="B104" i="57"/>
  <c r="B103" i="57"/>
  <c r="B102" i="57"/>
  <c r="B101" i="57"/>
  <c r="B100" i="57"/>
  <c r="B99" i="57"/>
  <c r="B98" i="57"/>
  <c r="B97" i="57"/>
  <c r="B96" i="57"/>
  <c r="B95" i="57"/>
  <c r="B94" i="57"/>
  <c r="B93" i="57"/>
  <c r="B92" i="57"/>
  <c r="B91" i="57"/>
  <c r="B90" i="57"/>
  <c r="B89" i="57"/>
  <c r="B88" i="57"/>
  <c r="B87" i="57"/>
  <c r="B86" i="57"/>
  <c r="B85" i="57"/>
  <c r="B84" i="57"/>
  <c r="B83" i="57"/>
  <c r="B82" i="57"/>
  <c r="B81" i="57"/>
  <c r="B80" i="57"/>
  <c r="B79" i="57"/>
  <c r="B78" i="57"/>
  <c r="B77" i="57"/>
  <c r="B76" i="57"/>
  <c r="B75" i="57"/>
  <c r="B74" i="57"/>
  <c r="B73" i="57"/>
  <c r="B72" i="57"/>
  <c r="B71" i="57"/>
  <c r="B70" i="57"/>
  <c r="B69" i="57"/>
  <c r="B68" i="57"/>
  <c r="B67" i="57"/>
  <c r="B66" i="57"/>
  <c r="B65" i="57"/>
  <c r="B64" i="57"/>
  <c r="B63" i="57"/>
  <c r="B62" i="57"/>
  <c r="B61" i="57"/>
  <c r="B60" i="57"/>
  <c r="B59" i="57"/>
  <c r="B58" i="57"/>
  <c r="B57" i="57"/>
  <c r="B56" i="57"/>
  <c r="B55" i="57"/>
  <c r="B54" i="57"/>
  <c r="B53" i="57"/>
  <c r="B52" i="57"/>
  <c r="B51" i="57"/>
  <c r="B199" i="53"/>
  <c r="B198" i="53"/>
  <c r="B197" i="53"/>
  <c r="B196" i="53"/>
  <c r="B195" i="53"/>
  <c r="B194" i="53"/>
  <c r="B193" i="53"/>
  <c r="B192" i="53"/>
  <c r="B191" i="53"/>
  <c r="B190" i="53"/>
  <c r="B189" i="53"/>
  <c r="B188" i="53"/>
  <c r="B187" i="53"/>
  <c r="B186" i="53"/>
  <c r="B185" i="53"/>
  <c r="B184" i="53"/>
  <c r="B183" i="53"/>
  <c r="B182" i="53"/>
  <c r="B181" i="53"/>
  <c r="B180" i="53"/>
  <c r="B179" i="53"/>
  <c r="B178" i="53"/>
  <c r="B177" i="53"/>
  <c r="B176" i="53"/>
  <c r="B175" i="53"/>
  <c r="B174" i="53"/>
  <c r="B173" i="53"/>
  <c r="B172" i="53"/>
  <c r="B171" i="53"/>
  <c r="B170" i="53"/>
  <c r="B169" i="53"/>
  <c r="B168" i="53"/>
  <c r="B167" i="53"/>
  <c r="B166" i="53"/>
  <c r="B165" i="53"/>
  <c r="B164" i="53"/>
  <c r="B163" i="53"/>
  <c r="B162" i="53"/>
  <c r="B161" i="53"/>
  <c r="B160" i="53"/>
  <c r="B159" i="53"/>
  <c r="B158" i="53"/>
  <c r="B157" i="53"/>
  <c r="B156" i="53"/>
  <c r="B155" i="53"/>
  <c r="B154" i="53"/>
  <c r="B153" i="53"/>
  <c r="B152" i="53"/>
  <c r="B151" i="53"/>
  <c r="B150" i="53"/>
  <c r="B149" i="53"/>
  <c r="B148" i="53"/>
  <c r="B147" i="53"/>
  <c r="B146" i="53"/>
  <c r="B145" i="53"/>
  <c r="B144" i="53"/>
  <c r="B143" i="53"/>
  <c r="B142" i="53"/>
  <c r="B141" i="53"/>
  <c r="B140" i="53"/>
  <c r="B139" i="53"/>
  <c r="B138" i="53"/>
  <c r="B137" i="53"/>
  <c r="B136" i="53"/>
  <c r="B135" i="53"/>
  <c r="B134" i="53"/>
  <c r="B133" i="53"/>
  <c r="B132" i="53"/>
  <c r="B131" i="53"/>
  <c r="B130" i="53"/>
  <c r="B129" i="53"/>
  <c r="B128" i="53"/>
  <c r="B127" i="53"/>
  <c r="B126" i="53"/>
  <c r="B125" i="53"/>
  <c r="B124" i="53"/>
  <c r="B123" i="53"/>
  <c r="B122" i="53"/>
  <c r="B121" i="53"/>
  <c r="B120" i="53"/>
  <c r="B119" i="53"/>
  <c r="B118" i="53"/>
  <c r="B117" i="53"/>
  <c r="B116" i="53"/>
  <c r="B115" i="53"/>
  <c r="B114" i="53"/>
  <c r="B113" i="53"/>
  <c r="B112" i="53"/>
  <c r="B111" i="53"/>
  <c r="B110" i="53"/>
  <c r="B109" i="53"/>
  <c r="B108" i="53"/>
  <c r="B107" i="53"/>
  <c r="B106" i="53"/>
  <c r="B105" i="53"/>
  <c r="B104" i="53"/>
  <c r="B103" i="53"/>
  <c r="B102" i="53"/>
  <c r="B101" i="53"/>
  <c r="B100" i="53"/>
  <c r="B99" i="53"/>
  <c r="B98" i="53"/>
  <c r="B97" i="53"/>
  <c r="B96" i="53"/>
  <c r="B95" i="53"/>
  <c r="B94" i="53"/>
  <c r="B93" i="53"/>
  <c r="B92" i="53"/>
  <c r="B91" i="53"/>
  <c r="B90" i="53"/>
  <c r="B89" i="53"/>
  <c r="B88" i="53"/>
  <c r="B87" i="53"/>
  <c r="B86" i="53"/>
  <c r="B85" i="53"/>
  <c r="B84" i="53"/>
  <c r="B83" i="53"/>
  <c r="B82" i="53"/>
  <c r="B81" i="53"/>
  <c r="B80" i="53"/>
  <c r="B79" i="53"/>
  <c r="B78" i="53"/>
  <c r="B77" i="53"/>
  <c r="B76" i="53"/>
  <c r="B75" i="53"/>
  <c r="B74" i="53"/>
  <c r="B73" i="53"/>
  <c r="B72" i="53"/>
  <c r="B71" i="53"/>
  <c r="B70" i="53"/>
  <c r="B69" i="53"/>
  <c r="B68" i="53"/>
  <c r="B67" i="53"/>
  <c r="B66" i="53"/>
  <c r="B65" i="53"/>
  <c r="B64" i="53"/>
  <c r="B63" i="53"/>
  <c r="B62" i="53"/>
  <c r="B61" i="53"/>
  <c r="B60" i="53"/>
  <c r="B59" i="53"/>
  <c r="B58" i="53"/>
  <c r="B57" i="53"/>
  <c r="B56" i="53"/>
  <c r="B55" i="53"/>
  <c r="B54" i="53"/>
  <c r="B53" i="53"/>
  <c r="B52" i="53"/>
  <c r="B51" i="53"/>
  <c r="B200" i="59"/>
  <c r="B199" i="59"/>
  <c r="B198" i="59"/>
  <c r="B197" i="59"/>
  <c r="B196" i="59"/>
  <c r="B195" i="59"/>
  <c r="B194" i="59"/>
  <c r="B193" i="59"/>
  <c r="B192" i="59"/>
  <c r="B191" i="59"/>
  <c r="B190" i="59"/>
  <c r="B189" i="59"/>
  <c r="B188" i="59"/>
  <c r="B187" i="59"/>
  <c r="B186" i="59"/>
  <c r="B185" i="59"/>
  <c r="B184" i="59"/>
  <c r="B183" i="59"/>
  <c r="B182" i="59"/>
  <c r="B181" i="59"/>
  <c r="B180" i="59"/>
  <c r="B179" i="59"/>
  <c r="B178" i="59"/>
  <c r="B177" i="59"/>
  <c r="B176" i="59"/>
  <c r="B175" i="59"/>
  <c r="B174" i="59"/>
  <c r="B173" i="59"/>
  <c r="B172" i="59"/>
  <c r="B171" i="59"/>
  <c r="B170" i="59"/>
  <c r="B169" i="59"/>
  <c r="B168" i="59"/>
  <c r="B167" i="59"/>
  <c r="B166" i="59"/>
  <c r="B165" i="59"/>
  <c r="B164" i="59"/>
  <c r="B163" i="59"/>
  <c r="B162" i="59"/>
  <c r="B161" i="59"/>
  <c r="B160" i="59"/>
  <c r="B159" i="59"/>
  <c r="B158" i="59"/>
  <c r="B157" i="59"/>
  <c r="B156" i="59"/>
  <c r="B155" i="59"/>
  <c r="B154" i="59"/>
  <c r="B153" i="59"/>
  <c r="B152" i="59"/>
  <c r="B151" i="59"/>
  <c r="B150" i="59"/>
  <c r="B149" i="59"/>
  <c r="B148" i="59"/>
  <c r="B147" i="59"/>
  <c r="B146" i="59"/>
  <c r="B145" i="59"/>
  <c r="B144" i="59"/>
  <c r="B143" i="59"/>
  <c r="B142" i="59"/>
  <c r="B141" i="59"/>
  <c r="B140" i="59"/>
  <c r="B139" i="59"/>
  <c r="B138" i="59"/>
  <c r="B137" i="59"/>
  <c r="B136" i="59"/>
  <c r="B135" i="59"/>
  <c r="B134" i="59"/>
  <c r="B133" i="59"/>
  <c r="B132" i="59"/>
  <c r="B131" i="59"/>
  <c r="B130" i="59"/>
  <c r="B129" i="59"/>
  <c r="B128" i="59"/>
  <c r="B127" i="59"/>
  <c r="B126" i="59"/>
  <c r="B125" i="59"/>
  <c r="B124" i="59"/>
  <c r="B123" i="59"/>
  <c r="B122" i="59"/>
  <c r="B121" i="59"/>
  <c r="B120" i="59"/>
  <c r="B119" i="59"/>
  <c r="B118" i="59"/>
  <c r="B117" i="59"/>
  <c r="B116" i="59"/>
  <c r="B115" i="59"/>
  <c r="B114" i="59"/>
  <c r="B113" i="59"/>
  <c r="B112" i="59"/>
  <c r="B111" i="59"/>
  <c r="B110" i="59"/>
  <c r="B109" i="59"/>
  <c r="B108" i="59"/>
  <c r="B107" i="59"/>
  <c r="B106" i="59"/>
  <c r="B105" i="59"/>
  <c r="B104" i="59"/>
  <c r="B103" i="59"/>
  <c r="B102" i="59"/>
  <c r="B101" i="59"/>
  <c r="B100" i="59"/>
  <c r="B99" i="59"/>
  <c r="B98" i="59"/>
  <c r="B97" i="59"/>
  <c r="B96" i="59"/>
  <c r="B95" i="59"/>
  <c r="B94" i="59"/>
  <c r="B93" i="59"/>
  <c r="B92" i="59"/>
  <c r="B91" i="59"/>
  <c r="B90" i="59"/>
  <c r="B89" i="59"/>
  <c r="B88" i="59"/>
  <c r="B87" i="59"/>
  <c r="B86" i="59"/>
  <c r="B85" i="59"/>
  <c r="B84" i="59"/>
  <c r="B83" i="59"/>
  <c r="B82" i="59"/>
  <c r="B81" i="59"/>
  <c r="B80" i="59"/>
  <c r="B79" i="59"/>
  <c r="B78" i="59"/>
  <c r="B77" i="59"/>
  <c r="B76" i="59"/>
  <c r="B75" i="59"/>
  <c r="B74" i="59"/>
  <c r="B73" i="59"/>
  <c r="B72" i="59"/>
  <c r="B71" i="59"/>
  <c r="B70" i="59"/>
  <c r="B69" i="59"/>
  <c r="B68" i="59"/>
  <c r="B67" i="59"/>
  <c r="B66" i="59"/>
  <c r="B65" i="59"/>
  <c r="B64" i="59"/>
  <c r="B63" i="59"/>
  <c r="B62" i="59"/>
  <c r="B61" i="59"/>
  <c r="B60" i="59"/>
  <c r="B59" i="59"/>
  <c r="B58" i="59"/>
  <c r="B57" i="59"/>
  <c r="B56" i="59"/>
  <c r="B55" i="59"/>
  <c r="B54" i="59"/>
  <c r="B53" i="59"/>
  <c r="B52" i="59"/>
  <c r="B51" i="59"/>
  <c r="B9" i="5"/>
  <c r="B8" i="57" s="1"/>
  <c r="B183" i="56"/>
  <c r="B182" i="56"/>
  <c r="B181" i="56"/>
  <c r="B180" i="56"/>
  <c r="B179" i="56"/>
  <c r="B178" i="56"/>
  <c r="B177" i="56"/>
  <c r="B176" i="56"/>
  <c r="B175" i="56"/>
  <c r="B174" i="56"/>
  <c r="B173" i="56"/>
  <c r="B172" i="56"/>
  <c r="B171" i="56"/>
  <c r="B170" i="56"/>
  <c r="B169" i="56"/>
  <c r="B168" i="56"/>
  <c r="B167" i="56"/>
  <c r="B166" i="56"/>
  <c r="B165" i="56"/>
  <c r="B164" i="56"/>
  <c r="B163" i="56"/>
  <c r="B162" i="56"/>
  <c r="B161" i="56"/>
  <c r="B160" i="56"/>
  <c r="B159" i="56"/>
  <c r="B158" i="56"/>
  <c r="B157" i="56"/>
  <c r="B156" i="56"/>
  <c r="B155" i="56"/>
  <c r="B154" i="56"/>
  <c r="B153" i="56"/>
  <c r="B152" i="56"/>
  <c r="B151" i="56"/>
  <c r="B150" i="56"/>
  <c r="B149" i="56"/>
  <c r="B148" i="56"/>
  <c r="B147" i="56"/>
  <c r="B146" i="56"/>
  <c r="B145" i="56"/>
  <c r="B144" i="56"/>
  <c r="B143" i="56"/>
  <c r="B142" i="56"/>
  <c r="B141" i="56"/>
  <c r="B140" i="56"/>
  <c r="B139" i="56"/>
  <c r="B138" i="56"/>
  <c r="B137" i="56"/>
  <c r="B136" i="56"/>
  <c r="B135" i="56"/>
  <c r="B134" i="56"/>
  <c r="B133" i="56"/>
  <c r="B132" i="56"/>
  <c r="B131" i="56"/>
  <c r="B130" i="56"/>
  <c r="B129" i="56"/>
  <c r="B128" i="56"/>
  <c r="B127" i="56"/>
  <c r="B126" i="56"/>
  <c r="B125" i="56"/>
  <c r="B124" i="56"/>
  <c r="B123" i="56"/>
  <c r="B122" i="56"/>
  <c r="B121" i="56"/>
  <c r="B120" i="56"/>
  <c r="B119" i="56"/>
  <c r="B118" i="56"/>
  <c r="B117" i="56"/>
  <c r="B116" i="56"/>
  <c r="B115" i="56"/>
  <c r="B114" i="56"/>
  <c r="B113" i="56"/>
  <c r="B112" i="56"/>
  <c r="B111" i="56"/>
  <c r="B110" i="56"/>
  <c r="B109" i="56"/>
  <c r="B108" i="56"/>
  <c r="B107" i="56"/>
  <c r="B106" i="56"/>
  <c r="B105" i="56"/>
  <c r="B104" i="56"/>
  <c r="B103" i="56"/>
  <c r="B102" i="56"/>
  <c r="B101" i="56"/>
  <c r="B100" i="56"/>
  <c r="B99" i="56"/>
  <c r="B98" i="56"/>
  <c r="B97" i="56"/>
  <c r="B96" i="56"/>
  <c r="B95" i="56"/>
  <c r="B94" i="56"/>
  <c r="B93" i="56"/>
  <c r="B92" i="56"/>
  <c r="B91" i="56"/>
  <c r="B90" i="56"/>
  <c r="B89" i="56"/>
  <c r="B88" i="56"/>
  <c r="B87" i="56"/>
  <c r="B86" i="56"/>
  <c r="B85" i="56"/>
  <c r="B84" i="56"/>
  <c r="B83" i="56"/>
  <c r="B82" i="56"/>
  <c r="B81" i="56"/>
  <c r="B80" i="56"/>
  <c r="B79" i="56"/>
  <c r="B78" i="56"/>
  <c r="B77" i="56"/>
  <c r="B76" i="56"/>
  <c r="B75" i="56"/>
  <c r="B74" i="56"/>
  <c r="B73" i="56"/>
  <c r="B72" i="56"/>
  <c r="B71" i="56"/>
  <c r="B70" i="56"/>
  <c r="B69" i="56"/>
  <c r="B68" i="56"/>
  <c r="B67" i="56"/>
  <c r="B66" i="56"/>
  <c r="B65" i="56"/>
  <c r="B64" i="56"/>
  <c r="B63" i="56"/>
  <c r="B62" i="56"/>
  <c r="B61" i="56"/>
  <c r="B60" i="56"/>
  <c r="B59" i="56"/>
  <c r="B58" i="56"/>
  <c r="B57" i="56"/>
  <c r="B56" i="56"/>
  <c r="B55" i="56"/>
  <c r="B54" i="56"/>
  <c r="B53" i="56"/>
  <c r="B52" i="56"/>
  <c r="B51" i="56"/>
  <c r="B50" i="56"/>
  <c r="B49" i="56"/>
  <c r="B48" i="56"/>
  <c r="B47" i="56"/>
  <c r="B46" i="56"/>
  <c r="B45" i="56"/>
  <c r="B44" i="56"/>
  <c r="B43" i="56"/>
  <c r="B42" i="56"/>
  <c r="B41" i="56"/>
  <c r="B40" i="56"/>
  <c r="B39" i="56"/>
  <c r="B38" i="56"/>
  <c r="B37" i="56"/>
  <c r="B36" i="56"/>
  <c r="B35" i="56"/>
  <c r="B34" i="56"/>
  <c r="B200" i="32"/>
  <c r="B199" i="32"/>
  <c r="B198" i="32"/>
  <c r="B197" i="32"/>
  <c r="B196" i="32"/>
  <c r="B195" i="32"/>
  <c r="B194" i="32"/>
  <c r="B193" i="32"/>
  <c r="B192" i="32"/>
  <c r="B191" i="32"/>
  <c r="B190" i="32"/>
  <c r="B189" i="32"/>
  <c r="B188" i="32"/>
  <c r="B187" i="32"/>
  <c r="B186" i="32"/>
  <c r="B185" i="32"/>
  <c r="B184" i="32"/>
  <c r="B183" i="32"/>
  <c r="B182" i="32"/>
  <c r="B181" i="32"/>
  <c r="B180" i="32"/>
  <c r="B179" i="32"/>
  <c r="B178" i="32"/>
  <c r="B177" i="32"/>
  <c r="B176" i="32"/>
  <c r="B175" i="32"/>
  <c r="B174" i="32"/>
  <c r="B173" i="32"/>
  <c r="B172" i="32"/>
  <c r="B171" i="32"/>
  <c r="B170" i="32"/>
  <c r="B169" i="32"/>
  <c r="B168" i="32"/>
  <c r="B167" i="32"/>
  <c r="B166" i="32"/>
  <c r="B165" i="32"/>
  <c r="B164" i="32"/>
  <c r="B163" i="32"/>
  <c r="B162" i="32"/>
  <c r="B161" i="32"/>
  <c r="B160" i="32"/>
  <c r="B159" i="32"/>
  <c r="B158" i="32"/>
  <c r="B157" i="32"/>
  <c r="B156" i="32"/>
  <c r="B155" i="32"/>
  <c r="B154" i="32"/>
  <c r="B153" i="32"/>
  <c r="B152" i="32"/>
  <c r="B151" i="32"/>
  <c r="B150" i="32"/>
  <c r="B149" i="32"/>
  <c r="B148" i="32"/>
  <c r="B147" i="32"/>
  <c r="B146" i="32"/>
  <c r="B145" i="32"/>
  <c r="B144" i="32"/>
  <c r="B143" i="32"/>
  <c r="B142" i="32"/>
  <c r="B141" i="32"/>
  <c r="B140" i="32"/>
  <c r="B139" i="32"/>
  <c r="B138" i="32"/>
  <c r="B137" i="32"/>
  <c r="B136" i="32"/>
  <c r="B135" i="32"/>
  <c r="B134" i="32"/>
  <c r="B133" i="32"/>
  <c r="B132" i="32"/>
  <c r="B131" i="32"/>
  <c r="B130" i="32"/>
  <c r="B129" i="32"/>
  <c r="B128" i="32"/>
  <c r="B127" i="32"/>
  <c r="B126" i="32"/>
  <c r="B125" i="32"/>
  <c r="B124" i="32"/>
  <c r="B123" i="32"/>
  <c r="B122" i="32"/>
  <c r="B121" i="32"/>
  <c r="B120" i="32"/>
  <c r="B119" i="32"/>
  <c r="B118" i="32"/>
  <c r="B117" i="32"/>
  <c r="B116" i="32"/>
  <c r="B115" i="32"/>
  <c r="B114" i="32"/>
  <c r="B113" i="32"/>
  <c r="B112" i="32"/>
  <c r="B111" i="32"/>
  <c r="B110" i="32"/>
  <c r="B109" i="32"/>
  <c r="B108" i="32"/>
  <c r="B107" i="32"/>
  <c r="B106" i="32"/>
  <c r="B105" i="32"/>
  <c r="B104" i="32"/>
  <c r="B103" i="32"/>
  <c r="B102" i="32"/>
  <c r="B101" i="32"/>
  <c r="B100" i="32"/>
  <c r="B99" i="32"/>
  <c r="B98" i="32"/>
  <c r="B97" i="32"/>
  <c r="B96" i="32"/>
  <c r="B95" i="32"/>
  <c r="B94" i="32"/>
  <c r="B93" i="32"/>
  <c r="B92" i="32"/>
  <c r="B91" i="32"/>
  <c r="B90" i="32"/>
  <c r="B89" i="32"/>
  <c r="B88" i="32"/>
  <c r="B87" i="32"/>
  <c r="B86" i="32"/>
  <c r="B85" i="32"/>
  <c r="B84" i="32"/>
  <c r="B83" i="32"/>
  <c r="B82" i="32"/>
  <c r="B81" i="32"/>
  <c r="B80" i="32"/>
  <c r="B79" i="32"/>
  <c r="B78" i="32"/>
  <c r="B77" i="32"/>
  <c r="B76" i="32"/>
  <c r="B75" i="32"/>
  <c r="B74" i="32"/>
  <c r="B73" i="32"/>
  <c r="B72" i="32"/>
  <c r="B71" i="32"/>
  <c r="B70" i="32"/>
  <c r="B69" i="32"/>
  <c r="B68" i="32"/>
  <c r="B67" i="32"/>
  <c r="B66" i="32"/>
  <c r="B65" i="32"/>
  <c r="B64" i="32"/>
  <c r="B63" i="32"/>
  <c r="B62" i="32"/>
  <c r="B61" i="32"/>
  <c r="B60" i="32"/>
  <c r="B59" i="32"/>
  <c r="B58" i="32"/>
  <c r="B57" i="32"/>
  <c r="B56" i="32"/>
  <c r="B55" i="32"/>
  <c r="B54" i="32"/>
  <c r="B53" i="32"/>
  <c r="B52" i="32"/>
  <c r="B51" i="32"/>
  <c r="J201" i="65" l="1"/>
  <c r="G201" i="65"/>
  <c r="F201" i="65"/>
  <c r="D201" i="65"/>
  <c r="C201" i="65"/>
  <c r="I201" i="65"/>
  <c r="H201" i="65"/>
  <c r="B8" i="59"/>
  <c r="B8" i="53"/>
  <c r="B8" i="61"/>
  <c r="B8" i="65"/>
  <c r="B8" i="64"/>
  <c r="B8" i="62"/>
  <c r="B8" i="63"/>
  <c r="B9" i="61"/>
  <c r="B9" i="62"/>
  <c r="B10" i="5"/>
  <c r="B9" i="59" s="1"/>
  <c r="B9" i="68"/>
  <c r="B9" i="65"/>
  <c r="I9" i="65" s="1"/>
  <c r="B9" i="64"/>
  <c r="B9" i="53"/>
  <c r="T51" i="56"/>
  <c r="S51" i="56"/>
  <c r="T52" i="56"/>
  <c r="S52" i="56"/>
  <c r="T53" i="56"/>
  <c r="S53" i="56"/>
  <c r="T54" i="56"/>
  <c r="S54" i="56"/>
  <c r="T55" i="56"/>
  <c r="S55" i="56"/>
  <c r="T56" i="56"/>
  <c r="S56" i="56"/>
  <c r="T57" i="56"/>
  <c r="S57" i="56"/>
  <c r="T58" i="56"/>
  <c r="S58" i="56"/>
  <c r="T59" i="56"/>
  <c r="S59" i="56"/>
  <c r="T60" i="56"/>
  <c r="S60" i="56"/>
  <c r="T61" i="56"/>
  <c r="S61" i="56"/>
  <c r="T62" i="56"/>
  <c r="S62" i="56"/>
  <c r="T63" i="56"/>
  <c r="S63" i="56"/>
  <c r="T64" i="56"/>
  <c r="S64" i="56"/>
  <c r="T65" i="56"/>
  <c r="S65" i="56"/>
  <c r="T66" i="56"/>
  <c r="S66" i="56"/>
  <c r="T67" i="56"/>
  <c r="S67" i="56"/>
  <c r="T68" i="56"/>
  <c r="S68" i="56"/>
  <c r="T69" i="56"/>
  <c r="S69" i="56"/>
  <c r="T70" i="56"/>
  <c r="S70" i="56"/>
  <c r="T71" i="56"/>
  <c r="S71" i="56"/>
  <c r="T72" i="56"/>
  <c r="S72" i="56"/>
  <c r="T73" i="56"/>
  <c r="S73" i="56"/>
  <c r="T74" i="56"/>
  <c r="S74" i="56"/>
  <c r="T75" i="56"/>
  <c r="S75" i="56"/>
  <c r="T76" i="56"/>
  <c r="S76" i="56"/>
  <c r="T77" i="56"/>
  <c r="S77" i="56"/>
  <c r="T78" i="56"/>
  <c r="S78" i="56"/>
  <c r="T79" i="56"/>
  <c r="S79" i="56"/>
  <c r="T80" i="56"/>
  <c r="S80" i="56"/>
  <c r="T81" i="56"/>
  <c r="S81" i="56"/>
  <c r="T82" i="56"/>
  <c r="S82" i="56"/>
  <c r="T83" i="56"/>
  <c r="S83" i="56"/>
  <c r="T84" i="56"/>
  <c r="S84" i="56"/>
  <c r="T85" i="56"/>
  <c r="S85" i="56"/>
  <c r="T86" i="56"/>
  <c r="S86" i="56"/>
  <c r="T87" i="56"/>
  <c r="S87" i="56"/>
  <c r="T88" i="56"/>
  <c r="S88" i="56"/>
  <c r="T89" i="56"/>
  <c r="S89" i="56"/>
  <c r="T90" i="56"/>
  <c r="S90" i="56"/>
  <c r="T91" i="56"/>
  <c r="S91" i="56"/>
  <c r="T92" i="56"/>
  <c r="S92" i="56"/>
  <c r="T93" i="56"/>
  <c r="S93" i="56"/>
  <c r="T94" i="56"/>
  <c r="S94" i="56"/>
  <c r="T95" i="56"/>
  <c r="S95" i="56"/>
  <c r="T96" i="56"/>
  <c r="S96" i="56"/>
  <c r="T97" i="56"/>
  <c r="S97" i="56"/>
  <c r="T98" i="56"/>
  <c r="S98" i="56"/>
  <c r="T99" i="56"/>
  <c r="S99" i="56"/>
  <c r="T100" i="56"/>
  <c r="S100" i="56"/>
  <c r="T101" i="56"/>
  <c r="S101" i="56"/>
  <c r="T102" i="56"/>
  <c r="S102" i="56"/>
  <c r="T103" i="56"/>
  <c r="S103" i="56"/>
  <c r="T104" i="56"/>
  <c r="S104" i="56"/>
  <c r="T105" i="56"/>
  <c r="S105" i="56"/>
  <c r="T106" i="56"/>
  <c r="S106" i="56"/>
  <c r="T107" i="56"/>
  <c r="S107" i="56"/>
  <c r="T108" i="56"/>
  <c r="S108" i="56"/>
  <c r="T109" i="56"/>
  <c r="S109" i="56"/>
  <c r="T110" i="56"/>
  <c r="S110" i="56"/>
  <c r="T111" i="56"/>
  <c r="S111" i="56"/>
  <c r="T112" i="56"/>
  <c r="S112" i="56"/>
  <c r="T113" i="56"/>
  <c r="S113" i="56"/>
  <c r="T114" i="56"/>
  <c r="S114" i="56"/>
  <c r="T115" i="56"/>
  <c r="S115" i="56"/>
  <c r="T116" i="56"/>
  <c r="S116" i="56"/>
  <c r="T117" i="56"/>
  <c r="S117" i="56"/>
  <c r="T118" i="56"/>
  <c r="S118" i="56"/>
  <c r="T119" i="56"/>
  <c r="S119" i="56"/>
  <c r="T120" i="56"/>
  <c r="S120" i="56"/>
  <c r="T121" i="56"/>
  <c r="S121" i="56"/>
  <c r="T122" i="56"/>
  <c r="S122" i="56"/>
  <c r="T123" i="56"/>
  <c r="S123" i="56"/>
  <c r="T124" i="56"/>
  <c r="S124" i="56"/>
  <c r="T125" i="56"/>
  <c r="S125" i="56"/>
  <c r="T126" i="56"/>
  <c r="S126" i="56"/>
  <c r="T127" i="56"/>
  <c r="S127" i="56"/>
  <c r="T128" i="56"/>
  <c r="S128" i="56"/>
  <c r="T129" i="56"/>
  <c r="S129" i="56"/>
  <c r="T130" i="56"/>
  <c r="S130" i="56"/>
  <c r="T131" i="56"/>
  <c r="S131" i="56"/>
  <c r="T132" i="56"/>
  <c r="S132" i="56"/>
  <c r="T133" i="56"/>
  <c r="S133" i="56"/>
  <c r="T134" i="56"/>
  <c r="S134" i="56"/>
  <c r="T135" i="56"/>
  <c r="S135" i="56"/>
  <c r="T136" i="56"/>
  <c r="S136" i="56"/>
  <c r="T137" i="56"/>
  <c r="S137" i="56"/>
  <c r="T138" i="56"/>
  <c r="S138" i="56"/>
  <c r="T139" i="56"/>
  <c r="S139" i="56"/>
  <c r="T140" i="56"/>
  <c r="S140" i="56"/>
  <c r="T141" i="56"/>
  <c r="S141" i="56"/>
  <c r="T142" i="56"/>
  <c r="S142" i="56"/>
  <c r="T143" i="56"/>
  <c r="S143" i="56"/>
  <c r="T144" i="56"/>
  <c r="S144" i="56"/>
  <c r="T145" i="56"/>
  <c r="S145" i="56"/>
  <c r="T146" i="56"/>
  <c r="S146" i="56"/>
  <c r="T147" i="56"/>
  <c r="S147" i="56"/>
  <c r="T148" i="56"/>
  <c r="S148" i="56"/>
  <c r="T149" i="56"/>
  <c r="S149" i="56"/>
  <c r="T150" i="56"/>
  <c r="S150" i="56"/>
  <c r="T151" i="56"/>
  <c r="S151" i="56"/>
  <c r="T152" i="56"/>
  <c r="S152" i="56"/>
  <c r="T153" i="56"/>
  <c r="S153" i="56"/>
  <c r="T154" i="56"/>
  <c r="S154" i="56"/>
  <c r="T155" i="56"/>
  <c r="S155" i="56"/>
  <c r="T156" i="56"/>
  <c r="S156" i="56"/>
  <c r="T157" i="56"/>
  <c r="S157" i="56"/>
  <c r="T158" i="56"/>
  <c r="S158" i="56"/>
  <c r="T159" i="56"/>
  <c r="S159" i="56"/>
  <c r="T160" i="56"/>
  <c r="S160" i="56"/>
  <c r="T161" i="56"/>
  <c r="S161" i="56"/>
  <c r="T162" i="56"/>
  <c r="S162" i="56"/>
  <c r="T163" i="56"/>
  <c r="S163" i="56"/>
  <c r="T164" i="56"/>
  <c r="S164" i="56"/>
  <c r="T165" i="56"/>
  <c r="S165" i="56"/>
  <c r="T166" i="56"/>
  <c r="S166" i="56"/>
  <c r="T167" i="56"/>
  <c r="S167" i="56"/>
  <c r="T168" i="56"/>
  <c r="S168" i="56"/>
  <c r="T169" i="56"/>
  <c r="S169" i="56"/>
  <c r="T170" i="56"/>
  <c r="S170" i="56"/>
  <c r="T171" i="56"/>
  <c r="S171" i="56"/>
  <c r="T172" i="56"/>
  <c r="S172" i="56"/>
  <c r="T173" i="56"/>
  <c r="S173" i="56"/>
  <c r="T174" i="56"/>
  <c r="S174" i="56"/>
  <c r="T175" i="56"/>
  <c r="S175" i="56"/>
  <c r="T176" i="56"/>
  <c r="S176" i="56"/>
  <c r="T177" i="56"/>
  <c r="S177" i="56"/>
  <c r="T178" i="56"/>
  <c r="S178" i="56"/>
  <c r="T179" i="56"/>
  <c r="S179" i="56"/>
  <c r="T180" i="56"/>
  <c r="S180" i="56"/>
  <c r="T181" i="56"/>
  <c r="S181" i="56"/>
  <c r="T182" i="56"/>
  <c r="S182" i="56"/>
  <c r="T183" i="56"/>
  <c r="S183" i="56"/>
  <c r="T184" i="56"/>
  <c r="S184" i="56"/>
  <c r="T185" i="56"/>
  <c r="S185" i="56"/>
  <c r="T186" i="56"/>
  <c r="S186" i="56"/>
  <c r="T187" i="56"/>
  <c r="S187" i="56"/>
  <c r="T188" i="56"/>
  <c r="S188" i="56"/>
  <c r="T189" i="56"/>
  <c r="S189" i="56"/>
  <c r="T190" i="56"/>
  <c r="S190" i="56"/>
  <c r="T191" i="56"/>
  <c r="S191" i="56"/>
  <c r="T192" i="56"/>
  <c r="S192" i="56"/>
  <c r="T193" i="56"/>
  <c r="S193" i="56"/>
  <c r="T194" i="56"/>
  <c r="S194" i="56"/>
  <c r="T195" i="56"/>
  <c r="S195" i="56"/>
  <c r="T196" i="56"/>
  <c r="S196" i="56"/>
  <c r="T197" i="56"/>
  <c r="S197" i="56"/>
  <c r="T198" i="56"/>
  <c r="S198" i="56"/>
  <c r="T199" i="56"/>
  <c r="S199" i="56"/>
  <c r="T200" i="56"/>
  <c r="S200" i="56"/>
  <c r="R34" i="56"/>
  <c r="Q34" i="56"/>
  <c r="P34" i="56"/>
  <c r="O34" i="56"/>
  <c r="M34" i="56"/>
  <c r="R35" i="56"/>
  <c r="Q35" i="56"/>
  <c r="P35" i="56"/>
  <c r="O35" i="56"/>
  <c r="N35" i="56"/>
  <c r="M35" i="56"/>
  <c r="R36" i="56"/>
  <c r="Q36" i="56"/>
  <c r="P36" i="56"/>
  <c r="O36" i="56"/>
  <c r="N36" i="56"/>
  <c r="M36" i="56"/>
  <c r="R37" i="56"/>
  <c r="Q37" i="56"/>
  <c r="P37" i="56"/>
  <c r="O37" i="56"/>
  <c r="N37" i="56"/>
  <c r="M37" i="56"/>
  <c r="R38" i="56"/>
  <c r="Q38" i="56"/>
  <c r="P38" i="56"/>
  <c r="O38" i="56"/>
  <c r="N38" i="56"/>
  <c r="M38" i="56"/>
  <c r="R39" i="56"/>
  <c r="Q39" i="56"/>
  <c r="P39" i="56"/>
  <c r="O39" i="56"/>
  <c r="N39" i="56"/>
  <c r="M39" i="56"/>
  <c r="R40" i="56"/>
  <c r="Q40" i="56"/>
  <c r="P40" i="56"/>
  <c r="O40" i="56"/>
  <c r="N40" i="56"/>
  <c r="M40" i="56"/>
  <c r="R41" i="56"/>
  <c r="Q41" i="56"/>
  <c r="P41" i="56"/>
  <c r="O41" i="56"/>
  <c r="N41" i="56"/>
  <c r="M41" i="56"/>
  <c r="R42" i="56"/>
  <c r="Q42" i="56"/>
  <c r="P42" i="56"/>
  <c r="O42" i="56"/>
  <c r="N42" i="56"/>
  <c r="M42" i="56"/>
  <c r="R43" i="56"/>
  <c r="Q43" i="56"/>
  <c r="P43" i="56"/>
  <c r="O43" i="56"/>
  <c r="N43" i="56"/>
  <c r="M43" i="56"/>
  <c r="R44" i="56"/>
  <c r="Q44" i="56"/>
  <c r="P44" i="56"/>
  <c r="O44" i="56"/>
  <c r="N44" i="56"/>
  <c r="M44" i="56"/>
  <c r="R45" i="56"/>
  <c r="Q45" i="56"/>
  <c r="P45" i="56"/>
  <c r="O45" i="56"/>
  <c r="N45" i="56"/>
  <c r="M45" i="56"/>
  <c r="R46" i="56"/>
  <c r="Q46" i="56"/>
  <c r="P46" i="56"/>
  <c r="O46" i="56"/>
  <c r="N46" i="56"/>
  <c r="M46" i="56"/>
  <c r="R47" i="56"/>
  <c r="Q47" i="56"/>
  <c r="P47" i="56"/>
  <c r="O47" i="56"/>
  <c r="N47" i="56"/>
  <c r="M47" i="56"/>
  <c r="R48" i="56"/>
  <c r="Q48" i="56"/>
  <c r="P48" i="56"/>
  <c r="O48" i="56"/>
  <c r="N48" i="56"/>
  <c r="M48" i="56"/>
  <c r="R49" i="56"/>
  <c r="Q49" i="56"/>
  <c r="P49" i="56"/>
  <c r="O49" i="56"/>
  <c r="N49" i="56"/>
  <c r="M49" i="56"/>
  <c r="R50" i="56"/>
  <c r="Q50" i="56"/>
  <c r="P50" i="56"/>
  <c r="O50" i="56"/>
  <c r="N50" i="56"/>
  <c r="M50" i="56"/>
  <c r="R51" i="56"/>
  <c r="Q51" i="56"/>
  <c r="P51" i="56"/>
  <c r="O51" i="56"/>
  <c r="N51" i="56"/>
  <c r="M51" i="56"/>
  <c r="R52" i="56"/>
  <c r="Q52" i="56"/>
  <c r="P52" i="56"/>
  <c r="O52" i="56"/>
  <c r="N52" i="56"/>
  <c r="M52" i="56"/>
  <c r="R53" i="56"/>
  <c r="Q53" i="56"/>
  <c r="P53" i="56"/>
  <c r="O53" i="56"/>
  <c r="N53" i="56"/>
  <c r="M53" i="56"/>
  <c r="R54" i="56"/>
  <c r="Q54" i="56"/>
  <c r="P54" i="56"/>
  <c r="O54" i="56"/>
  <c r="N54" i="56"/>
  <c r="M54" i="56"/>
  <c r="R55" i="56"/>
  <c r="Q55" i="56"/>
  <c r="P55" i="56"/>
  <c r="O55" i="56"/>
  <c r="N55" i="56"/>
  <c r="M55" i="56"/>
  <c r="R56" i="56"/>
  <c r="Q56" i="56"/>
  <c r="P56" i="56"/>
  <c r="O56" i="56"/>
  <c r="N56" i="56"/>
  <c r="M56" i="56"/>
  <c r="R57" i="56"/>
  <c r="Q57" i="56"/>
  <c r="P57" i="56"/>
  <c r="O57" i="56"/>
  <c r="N57" i="56"/>
  <c r="M57" i="56"/>
  <c r="L58" i="56"/>
  <c r="R58" i="56"/>
  <c r="Q58" i="56"/>
  <c r="P58" i="56"/>
  <c r="O58" i="56"/>
  <c r="N58" i="56"/>
  <c r="M58" i="56"/>
  <c r="L59" i="56"/>
  <c r="R59" i="56"/>
  <c r="Q59" i="56"/>
  <c r="P59" i="56"/>
  <c r="O59" i="56"/>
  <c r="N59" i="56"/>
  <c r="M59" i="56"/>
  <c r="L60" i="56"/>
  <c r="R60" i="56"/>
  <c r="Q60" i="56"/>
  <c r="P60" i="56"/>
  <c r="O60" i="56"/>
  <c r="N60" i="56"/>
  <c r="M60" i="56"/>
  <c r="L61" i="56"/>
  <c r="R61" i="56"/>
  <c r="Q61" i="56"/>
  <c r="P61" i="56"/>
  <c r="O61" i="56"/>
  <c r="N61" i="56"/>
  <c r="M61" i="56"/>
  <c r="L62" i="56"/>
  <c r="R62" i="56"/>
  <c r="Q62" i="56"/>
  <c r="P62" i="56"/>
  <c r="O62" i="56"/>
  <c r="N62" i="56"/>
  <c r="M62" i="56"/>
  <c r="L63" i="56"/>
  <c r="R63" i="56"/>
  <c r="Q63" i="56"/>
  <c r="P63" i="56"/>
  <c r="O63" i="56"/>
  <c r="N63" i="56"/>
  <c r="M63" i="56"/>
  <c r="L64" i="56"/>
  <c r="R64" i="56"/>
  <c r="Q64" i="56"/>
  <c r="P64" i="56"/>
  <c r="O64" i="56"/>
  <c r="N64" i="56"/>
  <c r="M64" i="56"/>
  <c r="L65" i="56"/>
  <c r="R65" i="56"/>
  <c r="Q65" i="56"/>
  <c r="P65" i="56"/>
  <c r="O65" i="56"/>
  <c r="N65" i="56"/>
  <c r="M65" i="56"/>
  <c r="L66" i="56"/>
  <c r="R66" i="56"/>
  <c r="Q66" i="56"/>
  <c r="P66" i="56"/>
  <c r="O66" i="56"/>
  <c r="N66" i="56"/>
  <c r="M66" i="56"/>
  <c r="L67" i="56"/>
  <c r="R67" i="56"/>
  <c r="Q67" i="56"/>
  <c r="P67" i="56"/>
  <c r="O67" i="56"/>
  <c r="N67" i="56"/>
  <c r="M67" i="56"/>
  <c r="L68" i="56"/>
  <c r="R68" i="56"/>
  <c r="Q68" i="56"/>
  <c r="P68" i="56"/>
  <c r="O68" i="56"/>
  <c r="N68" i="56"/>
  <c r="M68" i="56"/>
  <c r="L69" i="56"/>
  <c r="R69" i="56"/>
  <c r="Q69" i="56"/>
  <c r="P69" i="56"/>
  <c r="O69" i="56"/>
  <c r="N69" i="56"/>
  <c r="M69" i="56"/>
  <c r="L70" i="56"/>
  <c r="R70" i="56"/>
  <c r="Q70" i="56"/>
  <c r="P70" i="56"/>
  <c r="O70" i="56"/>
  <c r="N70" i="56"/>
  <c r="M70" i="56"/>
  <c r="L71" i="56"/>
  <c r="R71" i="56"/>
  <c r="Q71" i="56"/>
  <c r="P71" i="56"/>
  <c r="O71" i="56"/>
  <c r="N71" i="56"/>
  <c r="M71" i="56"/>
  <c r="L72" i="56"/>
  <c r="R72" i="56"/>
  <c r="Q72" i="56"/>
  <c r="P72" i="56"/>
  <c r="O72" i="56"/>
  <c r="N72" i="56"/>
  <c r="M72" i="56"/>
  <c r="L73" i="56"/>
  <c r="R73" i="56"/>
  <c r="Q73" i="56"/>
  <c r="P73" i="56"/>
  <c r="O73" i="56"/>
  <c r="N73" i="56"/>
  <c r="M73" i="56"/>
  <c r="L74" i="56"/>
  <c r="R74" i="56"/>
  <c r="Q74" i="56"/>
  <c r="P74" i="56"/>
  <c r="O74" i="56"/>
  <c r="N74" i="56"/>
  <c r="M74" i="56"/>
  <c r="L75" i="56"/>
  <c r="R75" i="56"/>
  <c r="Q75" i="56"/>
  <c r="P75" i="56"/>
  <c r="O75" i="56"/>
  <c r="N75" i="56"/>
  <c r="M75" i="56"/>
  <c r="L76" i="56"/>
  <c r="R76" i="56"/>
  <c r="Q76" i="56"/>
  <c r="P76" i="56"/>
  <c r="O76" i="56"/>
  <c r="N76" i="56"/>
  <c r="M76" i="56"/>
  <c r="L77" i="56"/>
  <c r="R77" i="56"/>
  <c r="Q77" i="56"/>
  <c r="P77" i="56"/>
  <c r="O77" i="56"/>
  <c r="N77" i="56"/>
  <c r="M77" i="56"/>
  <c r="L78" i="56"/>
  <c r="R78" i="56"/>
  <c r="Q78" i="56"/>
  <c r="P78" i="56"/>
  <c r="O78" i="56"/>
  <c r="N78" i="56"/>
  <c r="M78" i="56"/>
  <c r="L79" i="56"/>
  <c r="R79" i="56"/>
  <c r="Q79" i="56"/>
  <c r="P79" i="56"/>
  <c r="O79" i="56"/>
  <c r="N79" i="56"/>
  <c r="M79" i="56"/>
  <c r="L80" i="56"/>
  <c r="R80" i="56"/>
  <c r="Q80" i="56"/>
  <c r="P80" i="56"/>
  <c r="O80" i="56"/>
  <c r="N80" i="56"/>
  <c r="M80" i="56"/>
  <c r="L81" i="56"/>
  <c r="R81" i="56"/>
  <c r="Q81" i="56"/>
  <c r="P81" i="56"/>
  <c r="O81" i="56"/>
  <c r="N81" i="56"/>
  <c r="M81" i="56"/>
  <c r="L82" i="56"/>
  <c r="R82" i="56"/>
  <c r="Q82" i="56"/>
  <c r="P82" i="56"/>
  <c r="O82" i="56"/>
  <c r="N82" i="56"/>
  <c r="M82" i="56"/>
  <c r="L83" i="56"/>
  <c r="R83" i="56"/>
  <c r="Q83" i="56"/>
  <c r="P83" i="56"/>
  <c r="O83" i="56"/>
  <c r="N83" i="56"/>
  <c r="M83" i="56"/>
  <c r="L84" i="56"/>
  <c r="R84" i="56"/>
  <c r="Q84" i="56"/>
  <c r="P84" i="56"/>
  <c r="O84" i="56"/>
  <c r="N84" i="56"/>
  <c r="M84" i="56"/>
  <c r="L85" i="56"/>
  <c r="R85" i="56"/>
  <c r="Q85" i="56"/>
  <c r="P85" i="56"/>
  <c r="O85" i="56"/>
  <c r="N85" i="56"/>
  <c r="M85" i="56"/>
  <c r="L86" i="56"/>
  <c r="R86" i="56"/>
  <c r="Q86" i="56"/>
  <c r="P86" i="56"/>
  <c r="O86" i="56"/>
  <c r="N86" i="56"/>
  <c r="M86" i="56"/>
  <c r="L87" i="56"/>
  <c r="R87" i="56"/>
  <c r="Q87" i="56"/>
  <c r="P87" i="56"/>
  <c r="O87" i="56"/>
  <c r="N87" i="56"/>
  <c r="M87" i="56"/>
  <c r="L88" i="56"/>
  <c r="R88" i="56"/>
  <c r="Q88" i="56"/>
  <c r="P88" i="56"/>
  <c r="O88" i="56"/>
  <c r="N88" i="56"/>
  <c r="M88" i="56"/>
  <c r="L89" i="56"/>
  <c r="R89" i="56"/>
  <c r="Q89" i="56"/>
  <c r="P89" i="56"/>
  <c r="O89" i="56"/>
  <c r="N89" i="56"/>
  <c r="M89" i="56"/>
  <c r="L90" i="56"/>
  <c r="R90" i="56"/>
  <c r="Q90" i="56"/>
  <c r="P90" i="56"/>
  <c r="O90" i="56"/>
  <c r="N90" i="56"/>
  <c r="M90" i="56"/>
  <c r="L91" i="56"/>
  <c r="R91" i="56"/>
  <c r="Q91" i="56"/>
  <c r="P91" i="56"/>
  <c r="O91" i="56"/>
  <c r="N91" i="56"/>
  <c r="M91" i="56"/>
  <c r="L92" i="56"/>
  <c r="R92" i="56"/>
  <c r="Q92" i="56"/>
  <c r="P92" i="56"/>
  <c r="O92" i="56"/>
  <c r="N92" i="56"/>
  <c r="M92" i="56"/>
  <c r="L93" i="56"/>
  <c r="R93" i="56"/>
  <c r="Q93" i="56"/>
  <c r="P93" i="56"/>
  <c r="O93" i="56"/>
  <c r="N93" i="56"/>
  <c r="M93" i="56"/>
  <c r="L94" i="56"/>
  <c r="R94" i="56"/>
  <c r="Q94" i="56"/>
  <c r="P94" i="56"/>
  <c r="O94" i="56"/>
  <c r="N94" i="56"/>
  <c r="M94" i="56"/>
  <c r="L95" i="56"/>
  <c r="R95" i="56"/>
  <c r="Q95" i="56"/>
  <c r="P95" i="56"/>
  <c r="O95" i="56"/>
  <c r="N95" i="56"/>
  <c r="M95" i="56"/>
  <c r="L96" i="56"/>
  <c r="R96" i="56"/>
  <c r="Q96" i="56"/>
  <c r="P96" i="56"/>
  <c r="O96" i="56"/>
  <c r="N96" i="56"/>
  <c r="M96" i="56"/>
  <c r="L97" i="56"/>
  <c r="R97" i="56"/>
  <c r="Q97" i="56"/>
  <c r="P97" i="56"/>
  <c r="O97" i="56"/>
  <c r="N97" i="56"/>
  <c r="M97" i="56"/>
  <c r="L98" i="56"/>
  <c r="R98" i="56"/>
  <c r="Q98" i="56"/>
  <c r="P98" i="56"/>
  <c r="O98" i="56"/>
  <c r="N98" i="56"/>
  <c r="M98" i="56"/>
  <c r="L99" i="56"/>
  <c r="R99" i="56"/>
  <c r="Q99" i="56"/>
  <c r="P99" i="56"/>
  <c r="O99" i="56"/>
  <c r="N99" i="56"/>
  <c r="M99" i="56"/>
  <c r="L100" i="56"/>
  <c r="R100" i="56"/>
  <c r="Q100" i="56"/>
  <c r="P100" i="56"/>
  <c r="O100" i="56"/>
  <c r="N100" i="56"/>
  <c r="M100" i="56"/>
  <c r="L101" i="56"/>
  <c r="R101" i="56"/>
  <c r="Q101" i="56"/>
  <c r="P101" i="56"/>
  <c r="O101" i="56"/>
  <c r="N101" i="56"/>
  <c r="M101" i="56"/>
  <c r="L102" i="56"/>
  <c r="R102" i="56"/>
  <c r="Q102" i="56"/>
  <c r="P102" i="56"/>
  <c r="O102" i="56"/>
  <c r="N102" i="56"/>
  <c r="M102" i="56"/>
  <c r="L103" i="56"/>
  <c r="R103" i="56"/>
  <c r="Q103" i="56"/>
  <c r="P103" i="56"/>
  <c r="O103" i="56"/>
  <c r="N103" i="56"/>
  <c r="M103" i="56"/>
  <c r="L104" i="56"/>
  <c r="R104" i="56"/>
  <c r="Q104" i="56"/>
  <c r="P104" i="56"/>
  <c r="O104" i="56"/>
  <c r="N104" i="56"/>
  <c r="M104" i="56"/>
  <c r="L105" i="56"/>
  <c r="R105" i="56"/>
  <c r="Q105" i="56"/>
  <c r="P105" i="56"/>
  <c r="O105" i="56"/>
  <c r="N105" i="56"/>
  <c r="M105" i="56"/>
  <c r="L106" i="56"/>
  <c r="R106" i="56"/>
  <c r="Q106" i="56"/>
  <c r="P106" i="56"/>
  <c r="O106" i="56"/>
  <c r="N106" i="56"/>
  <c r="M106" i="56"/>
  <c r="L107" i="56"/>
  <c r="R107" i="56"/>
  <c r="Q107" i="56"/>
  <c r="P107" i="56"/>
  <c r="O107" i="56"/>
  <c r="N107" i="56"/>
  <c r="M107" i="56"/>
  <c r="L108" i="56"/>
  <c r="R108" i="56"/>
  <c r="Q108" i="56"/>
  <c r="P108" i="56"/>
  <c r="O108" i="56"/>
  <c r="N108" i="56"/>
  <c r="M108" i="56"/>
  <c r="L109" i="56"/>
  <c r="R109" i="56"/>
  <c r="Q109" i="56"/>
  <c r="P109" i="56"/>
  <c r="O109" i="56"/>
  <c r="N109" i="56"/>
  <c r="M109" i="56"/>
  <c r="L110" i="56"/>
  <c r="R110" i="56"/>
  <c r="Q110" i="56"/>
  <c r="P110" i="56"/>
  <c r="O110" i="56"/>
  <c r="N110" i="56"/>
  <c r="M110" i="56"/>
  <c r="L111" i="56"/>
  <c r="R111" i="56"/>
  <c r="Q111" i="56"/>
  <c r="P111" i="56"/>
  <c r="O111" i="56"/>
  <c r="N111" i="56"/>
  <c r="M111" i="56"/>
  <c r="L112" i="56"/>
  <c r="R112" i="56"/>
  <c r="Q112" i="56"/>
  <c r="P112" i="56"/>
  <c r="O112" i="56"/>
  <c r="N112" i="56"/>
  <c r="M112" i="56"/>
  <c r="L113" i="56"/>
  <c r="R113" i="56"/>
  <c r="Q113" i="56"/>
  <c r="P113" i="56"/>
  <c r="O113" i="56"/>
  <c r="N113" i="56"/>
  <c r="M113" i="56"/>
  <c r="L114" i="56"/>
  <c r="R114" i="56"/>
  <c r="Q114" i="56"/>
  <c r="P114" i="56"/>
  <c r="O114" i="56"/>
  <c r="N114" i="56"/>
  <c r="M114" i="56"/>
  <c r="L115" i="56"/>
  <c r="R115" i="56"/>
  <c r="Q115" i="56"/>
  <c r="P115" i="56"/>
  <c r="O115" i="56"/>
  <c r="N115" i="56"/>
  <c r="M115" i="56"/>
  <c r="L116" i="56"/>
  <c r="R116" i="56"/>
  <c r="Q116" i="56"/>
  <c r="P116" i="56"/>
  <c r="O116" i="56"/>
  <c r="N116" i="56"/>
  <c r="M116" i="56"/>
  <c r="L117" i="56"/>
  <c r="R117" i="56"/>
  <c r="Q117" i="56"/>
  <c r="P117" i="56"/>
  <c r="O117" i="56"/>
  <c r="N117" i="56"/>
  <c r="M117" i="56"/>
  <c r="L118" i="56"/>
  <c r="R118" i="56"/>
  <c r="Q118" i="56"/>
  <c r="P118" i="56"/>
  <c r="O118" i="56"/>
  <c r="N118" i="56"/>
  <c r="M118" i="56"/>
  <c r="L119" i="56"/>
  <c r="R119" i="56"/>
  <c r="Q119" i="56"/>
  <c r="P119" i="56"/>
  <c r="O119" i="56"/>
  <c r="N119" i="56"/>
  <c r="M119" i="56"/>
  <c r="L120" i="56"/>
  <c r="R120" i="56"/>
  <c r="Q120" i="56"/>
  <c r="P120" i="56"/>
  <c r="O120" i="56"/>
  <c r="N120" i="56"/>
  <c r="M120" i="56"/>
  <c r="L121" i="56"/>
  <c r="R121" i="56"/>
  <c r="Q121" i="56"/>
  <c r="P121" i="56"/>
  <c r="O121" i="56"/>
  <c r="N121" i="56"/>
  <c r="M121" i="56"/>
  <c r="L122" i="56"/>
  <c r="R122" i="56"/>
  <c r="Q122" i="56"/>
  <c r="P122" i="56"/>
  <c r="O122" i="56"/>
  <c r="N122" i="56"/>
  <c r="M122" i="56"/>
  <c r="L123" i="56"/>
  <c r="R123" i="56"/>
  <c r="Q123" i="56"/>
  <c r="P123" i="56"/>
  <c r="O123" i="56"/>
  <c r="N123" i="56"/>
  <c r="M123" i="56"/>
  <c r="L124" i="56"/>
  <c r="R124" i="56"/>
  <c r="Q124" i="56"/>
  <c r="P124" i="56"/>
  <c r="O124" i="56"/>
  <c r="N124" i="56"/>
  <c r="M124" i="56"/>
  <c r="L125" i="56"/>
  <c r="R125" i="56"/>
  <c r="Q125" i="56"/>
  <c r="P125" i="56"/>
  <c r="O125" i="56"/>
  <c r="N125" i="56"/>
  <c r="M125" i="56"/>
  <c r="L126" i="56"/>
  <c r="R126" i="56"/>
  <c r="Q126" i="56"/>
  <c r="P126" i="56"/>
  <c r="O126" i="56"/>
  <c r="N126" i="56"/>
  <c r="M126" i="56"/>
  <c r="L127" i="56"/>
  <c r="R127" i="56"/>
  <c r="Q127" i="56"/>
  <c r="P127" i="56"/>
  <c r="O127" i="56"/>
  <c r="N127" i="56"/>
  <c r="M127" i="56"/>
  <c r="L128" i="56"/>
  <c r="R128" i="56"/>
  <c r="Q128" i="56"/>
  <c r="P128" i="56"/>
  <c r="O128" i="56"/>
  <c r="N128" i="56"/>
  <c r="M128" i="56"/>
  <c r="L129" i="56"/>
  <c r="R129" i="56"/>
  <c r="Q129" i="56"/>
  <c r="P129" i="56"/>
  <c r="O129" i="56"/>
  <c r="N129" i="56"/>
  <c r="M129" i="56"/>
  <c r="L130" i="56"/>
  <c r="R130" i="56"/>
  <c r="Q130" i="56"/>
  <c r="P130" i="56"/>
  <c r="O130" i="56"/>
  <c r="N130" i="56"/>
  <c r="M130" i="56"/>
  <c r="L131" i="56"/>
  <c r="R131" i="56"/>
  <c r="Q131" i="56"/>
  <c r="P131" i="56"/>
  <c r="O131" i="56"/>
  <c r="N131" i="56"/>
  <c r="M131" i="56"/>
  <c r="L132" i="56"/>
  <c r="R132" i="56"/>
  <c r="Q132" i="56"/>
  <c r="P132" i="56"/>
  <c r="O132" i="56"/>
  <c r="N132" i="56"/>
  <c r="M132" i="56"/>
  <c r="R133" i="56"/>
  <c r="Q133" i="56"/>
  <c r="P133" i="56"/>
  <c r="O133" i="56"/>
  <c r="N133" i="56"/>
  <c r="M133" i="56"/>
  <c r="R134" i="56"/>
  <c r="Q134" i="56"/>
  <c r="P134" i="56"/>
  <c r="O134" i="56"/>
  <c r="N134" i="56"/>
  <c r="M134" i="56"/>
  <c r="R135" i="56"/>
  <c r="Q135" i="56"/>
  <c r="P135" i="56"/>
  <c r="O135" i="56"/>
  <c r="N135" i="56"/>
  <c r="M135" i="56"/>
  <c r="R136" i="56"/>
  <c r="Q136" i="56"/>
  <c r="P136" i="56"/>
  <c r="O136" i="56"/>
  <c r="N136" i="56"/>
  <c r="M136" i="56"/>
  <c r="R137" i="56"/>
  <c r="Q137" i="56"/>
  <c r="P137" i="56"/>
  <c r="O137" i="56"/>
  <c r="N137" i="56"/>
  <c r="M137" i="56"/>
  <c r="R138" i="56"/>
  <c r="Q138" i="56"/>
  <c r="P138" i="56"/>
  <c r="O138" i="56"/>
  <c r="N138" i="56"/>
  <c r="M138" i="56"/>
  <c r="R139" i="56"/>
  <c r="Q139" i="56"/>
  <c r="P139" i="56"/>
  <c r="O139" i="56"/>
  <c r="N139" i="56"/>
  <c r="M139" i="56"/>
  <c r="R140" i="56"/>
  <c r="Q140" i="56"/>
  <c r="P140" i="56"/>
  <c r="O140" i="56"/>
  <c r="N140" i="56"/>
  <c r="M140" i="56"/>
  <c r="R141" i="56"/>
  <c r="Q141" i="56"/>
  <c r="P141" i="56"/>
  <c r="O141" i="56"/>
  <c r="N141" i="56"/>
  <c r="M141" i="56"/>
  <c r="R142" i="56"/>
  <c r="Q142" i="56"/>
  <c r="P142" i="56"/>
  <c r="O142" i="56"/>
  <c r="N142" i="56"/>
  <c r="M142" i="56"/>
  <c r="R143" i="56"/>
  <c r="Q143" i="56"/>
  <c r="P143" i="56"/>
  <c r="O143" i="56"/>
  <c r="N143" i="56"/>
  <c r="M143" i="56"/>
  <c r="R144" i="56"/>
  <c r="Q144" i="56"/>
  <c r="P144" i="56"/>
  <c r="O144" i="56"/>
  <c r="N144" i="56"/>
  <c r="M144" i="56"/>
  <c r="R145" i="56"/>
  <c r="Q145" i="56"/>
  <c r="P145" i="56"/>
  <c r="O145" i="56"/>
  <c r="N145" i="56"/>
  <c r="M145" i="56"/>
  <c r="R146" i="56"/>
  <c r="Q146" i="56"/>
  <c r="P146" i="56"/>
  <c r="O146" i="56"/>
  <c r="N146" i="56"/>
  <c r="M146" i="56"/>
  <c r="R147" i="56"/>
  <c r="Q147" i="56"/>
  <c r="P147" i="56"/>
  <c r="O147" i="56"/>
  <c r="N147" i="56"/>
  <c r="M147" i="56"/>
  <c r="R148" i="56"/>
  <c r="Q148" i="56"/>
  <c r="P148" i="56"/>
  <c r="O148" i="56"/>
  <c r="N148" i="56"/>
  <c r="M148" i="56"/>
  <c r="R149" i="56"/>
  <c r="Q149" i="56"/>
  <c r="P149" i="56"/>
  <c r="O149" i="56"/>
  <c r="N149" i="56"/>
  <c r="M149" i="56"/>
  <c r="R150" i="56"/>
  <c r="Q150" i="56"/>
  <c r="P150" i="56"/>
  <c r="O150" i="56"/>
  <c r="N150" i="56"/>
  <c r="M150" i="56"/>
  <c r="R151" i="56"/>
  <c r="Q151" i="56"/>
  <c r="P151" i="56"/>
  <c r="O151" i="56"/>
  <c r="N151" i="56"/>
  <c r="M151" i="56"/>
  <c r="R152" i="56"/>
  <c r="Q152" i="56"/>
  <c r="P152" i="56"/>
  <c r="O152" i="56"/>
  <c r="N152" i="56"/>
  <c r="M152" i="56"/>
  <c r="R153" i="56"/>
  <c r="Q153" i="56"/>
  <c r="P153" i="56"/>
  <c r="O153" i="56"/>
  <c r="N153" i="56"/>
  <c r="M153" i="56"/>
  <c r="R154" i="56"/>
  <c r="Q154" i="56"/>
  <c r="P154" i="56"/>
  <c r="O154" i="56"/>
  <c r="N154" i="56"/>
  <c r="M154" i="56"/>
  <c r="R155" i="56"/>
  <c r="Q155" i="56"/>
  <c r="P155" i="56"/>
  <c r="O155" i="56"/>
  <c r="N155" i="56"/>
  <c r="M155" i="56"/>
  <c r="R156" i="56"/>
  <c r="Q156" i="56"/>
  <c r="P156" i="56"/>
  <c r="O156" i="56"/>
  <c r="N156" i="56"/>
  <c r="M156" i="56"/>
  <c r="R157" i="56"/>
  <c r="Q157" i="56"/>
  <c r="P157" i="56"/>
  <c r="O157" i="56"/>
  <c r="N157" i="56"/>
  <c r="M157" i="56"/>
  <c r="R158" i="56"/>
  <c r="Q158" i="56"/>
  <c r="P158" i="56"/>
  <c r="O158" i="56"/>
  <c r="N158" i="56"/>
  <c r="M158" i="56"/>
  <c r="R159" i="56"/>
  <c r="Q159" i="56"/>
  <c r="P159" i="56"/>
  <c r="O159" i="56"/>
  <c r="N159" i="56"/>
  <c r="M159" i="56"/>
  <c r="R160" i="56"/>
  <c r="Q160" i="56"/>
  <c r="P160" i="56"/>
  <c r="O160" i="56"/>
  <c r="N160" i="56"/>
  <c r="M160" i="56"/>
  <c r="R161" i="56"/>
  <c r="Q161" i="56"/>
  <c r="P161" i="56"/>
  <c r="O161" i="56"/>
  <c r="N161" i="56"/>
  <c r="M161" i="56"/>
  <c r="R162" i="56"/>
  <c r="Q162" i="56"/>
  <c r="P162" i="56"/>
  <c r="O162" i="56"/>
  <c r="N162" i="56"/>
  <c r="M162" i="56"/>
  <c r="R163" i="56"/>
  <c r="Q163" i="56"/>
  <c r="P163" i="56"/>
  <c r="O163" i="56"/>
  <c r="N163" i="56"/>
  <c r="M163" i="56"/>
  <c r="R164" i="56"/>
  <c r="Q164" i="56"/>
  <c r="P164" i="56"/>
  <c r="O164" i="56"/>
  <c r="N164" i="56"/>
  <c r="M164" i="56"/>
  <c r="R165" i="56"/>
  <c r="Q165" i="56"/>
  <c r="P165" i="56"/>
  <c r="O165" i="56"/>
  <c r="N165" i="56"/>
  <c r="M165" i="56"/>
  <c r="R166" i="56"/>
  <c r="Q166" i="56"/>
  <c r="P166" i="56"/>
  <c r="O166" i="56"/>
  <c r="N166" i="56"/>
  <c r="M166" i="56"/>
  <c r="R167" i="56"/>
  <c r="Q167" i="56"/>
  <c r="P167" i="56"/>
  <c r="O167" i="56"/>
  <c r="N167" i="56"/>
  <c r="M167" i="56"/>
  <c r="R168" i="56"/>
  <c r="Q168" i="56"/>
  <c r="P168" i="56"/>
  <c r="O168" i="56"/>
  <c r="N168" i="56"/>
  <c r="M168" i="56"/>
  <c r="R169" i="56"/>
  <c r="Q169" i="56"/>
  <c r="P169" i="56"/>
  <c r="O169" i="56"/>
  <c r="N169" i="56"/>
  <c r="M169" i="56"/>
  <c r="R170" i="56"/>
  <c r="Q170" i="56"/>
  <c r="P170" i="56"/>
  <c r="O170" i="56"/>
  <c r="N170" i="56"/>
  <c r="M170" i="56"/>
  <c r="R171" i="56"/>
  <c r="Q171" i="56"/>
  <c r="P171" i="56"/>
  <c r="O171" i="56"/>
  <c r="N171" i="56"/>
  <c r="M171" i="56"/>
  <c r="R172" i="56"/>
  <c r="Q172" i="56"/>
  <c r="P172" i="56"/>
  <c r="O172" i="56"/>
  <c r="N172" i="56"/>
  <c r="M172" i="56"/>
  <c r="R173" i="56"/>
  <c r="Q173" i="56"/>
  <c r="P173" i="56"/>
  <c r="O173" i="56"/>
  <c r="N173" i="56"/>
  <c r="M173" i="56"/>
  <c r="R174" i="56"/>
  <c r="Q174" i="56"/>
  <c r="P174" i="56"/>
  <c r="O174" i="56"/>
  <c r="N174" i="56"/>
  <c r="M174" i="56"/>
  <c r="R175" i="56"/>
  <c r="Q175" i="56"/>
  <c r="P175" i="56"/>
  <c r="O175" i="56"/>
  <c r="N175" i="56"/>
  <c r="M175" i="56"/>
  <c r="R176" i="56"/>
  <c r="Q176" i="56"/>
  <c r="P176" i="56"/>
  <c r="O176" i="56"/>
  <c r="N176" i="56"/>
  <c r="M176" i="56"/>
  <c r="R177" i="56"/>
  <c r="Q177" i="56"/>
  <c r="P177" i="56"/>
  <c r="O177" i="56"/>
  <c r="N177" i="56"/>
  <c r="M177" i="56"/>
  <c r="R178" i="56"/>
  <c r="Q178" i="56"/>
  <c r="P178" i="56"/>
  <c r="O178" i="56"/>
  <c r="N178" i="56"/>
  <c r="M178" i="56"/>
  <c r="R179" i="56"/>
  <c r="Q179" i="56"/>
  <c r="P179" i="56"/>
  <c r="O179" i="56"/>
  <c r="N179" i="56"/>
  <c r="M179" i="56"/>
  <c r="R180" i="56"/>
  <c r="Q180" i="56"/>
  <c r="P180" i="56"/>
  <c r="O180" i="56"/>
  <c r="N180" i="56"/>
  <c r="M180" i="56"/>
  <c r="R181" i="56"/>
  <c r="Q181" i="56"/>
  <c r="P181" i="56"/>
  <c r="O181" i="56"/>
  <c r="N181" i="56"/>
  <c r="M181" i="56"/>
  <c r="R182" i="56"/>
  <c r="Q182" i="56"/>
  <c r="P182" i="56"/>
  <c r="O182" i="56"/>
  <c r="N182" i="56"/>
  <c r="M182" i="56"/>
  <c r="R183" i="56"/>
  <c r="Q183" i="56"/>
  <c r="P183" i="56"/>
  <c r="O183" i="56"/>
  <c r="N183" i="56"/>
  <c r="M183" i="56"/>
  <c r="K183" i="56"/>
  <c r="K182" i="56"/>
  <c r="K181" i="56"/>
  <c r="K180" i="56"/>
  <c r="K179" i="56"/>
  <c r="K178" i="56"/>
  <c r="K177" i="56"/>
  <c r="K176" i="56"/>
  <c r="K175" i="56"/>
  <c r="K174" i="56"/>
  <c r="K173" i="56"/>
  <c r="K172" i="56"/>
  <c r="K171" i="56"/>
  <c r="K170" i="56"/>
  <c r="K169" i="56"/>
  <c r="K168" i="56"/>
  <c r="K167" i="56"/>
  <c r="K166" i="56"/>
  <c r="K165" i="56"/>
  <c r="K164" i="56"/>
  <c r="K163" i="56"/>
  <c r="K162" i="56"/>
  <c r="K161" i="56"/>
  <c r="K160" i="56"/>
  <c r="K159" i="56"/>
  <c r="K158" i="56"/>
  <c r="K157" i="56"/>
  <c r="K156" i="56"/>
  <c r="K155" i="56"/>
  <c r="K154" i="56"/>
  <c r="K153" i="56"/>
  <c r="K152" i="56"/>
  <c r="K151" i="56"/>
  <c r="K150" i="56"/>
  <c r="K149" i="56"/>
  <c r="K148" i="56"/>
  <c r="K147" i="56"/>
  <c r="K146" i="56"/>
  <c r="K145" i="56"/>
  <c r="K144" i="56"/>
  <c r="K143" i="56"/>
  <c r="K142" i="56"/>
  <c r="K141" i="56"/>
  <c r="K140" i="56"/>
  <c r="K139" i="56"/>
  <c r="K138" i="56"/>
  <c r="K137" i="56"/>
  <c r="K136" i="56"/>
  <c r="K135" i="56"/>
  <c r="K134" i="56"/>
  <c r="K133" i="56"/>
  <c r="K132" i="56"/>
  <c r="K131" i="56"/>
  <c r="K130" i="56"/>
  <c r="K129" i="56"/>
  <c r="K128" i="56"/>
  <c r="K127" i="56"/>
  <c r="K126" i="56"/>
  <c r="K125" i="56"/>
  <c r="K124" i="56"/>
  <c r="K123" i="56"/>
  <c r="K122" i="56"/>
  <c r="K121" i="56"/>
  <c r="K120" i="56"/>
  <c r="K119" i="56"/>
  <c r="K118" i="56"/>
  <c r="K117" i="56"/>
  <c r="K116" i="56"/>
  <c r="K115" i="56"/>
  <c r="K114" i="56"/>
  <c r="K113" i="56"/>
  <c r="K112" i="56"/>
  <c r="K111" i="56"/>
  <c r="K110" i="56"/>
  <c r="K109" i="56"/>
  <c r="K108" i="56"/>
  <c r="K107" i="56"/>
  <c r="K106" i="56"/>
  <c r="K105" i="56"/>
  <c r="K104" i="56"/>
  <c r="K103" i="56"/>
  <c r="L171" i="56"/>
  <c r="L170" i="56"/>
  <c r="L169" i="56"/>
  <c r="L168" i="56"/>
  <c r="L167" i="56"/>
  <c r="L166" i="56"/>
  <c r="L165" i="56"/>
  <c r="L164" i="56"/>
  <c r="L163" i="56"/>
  <c r="L162" i="56"/>
  <c r="L161" i="56"/>
  <c r="L160" i="56"/>
  <c r="L159" i="56"/>
  <c r="L158" i="56"/>
  <c r="L157" i="56"/>
  <c r="L156" i="56"/>
  <c r="L155" i="56"/>
  <c r="L154" i="56"/>
  <c r="L153" i="56"/>
  <c r="L152" i="56"/>
  <c r="L151" i="56"/>
  <c r="L150" i="56"/>
  <c r="L143" i="56"/>
  <c r="L174" i="56"/>
  <c r="L148" i="56"/>
  <c r="L147" i="56"/>
  <c r="L146" i="56"/>
  <c r="L145" i="56"/>
  <c r="L144" i="56"/>
  <c r="L136" i="56"/>
  <c r="L142" i="56"/>
  <c r="L141" i="56"/>
  <c r="L140" i="56"/>
  <c r="L139" i="56"/>
  <c r="L138" i="56"/>
  <c r="L137" i="56"/>
  <c r="L135" i="56"/>
  <c r="L134" i="56"/>
  <c r="L133" i="56"/>
  <c r="L175" i="56"/>
  <c r="L173" i="56"/>
  <c r="L172" i="56"/>
  <c r="L183" i="56"/>
  <c r="L149" i="56"/>
  <c r="L182" i="56"/>
  <c r="L176" i="56"/>
  <c r="L177" i="56"/>
  <c r="L178" i="56"/>
  <c r="L179" i="56"/>
  <c r="L180" i="56"/>
  <c r="L181" i="56"/>
  <c r="L57" i="56"/>
  <c r="K57" i="56"/>
  <c r="L56" i="56"/>
  <c r="K56" i="56"/>
  <c r="L55" i="56"/>
  <c r="K55" i="56"/>
  <c r="L54" i="56"/>
  <c r="K54" i="56"/>
  <c r="L53" i="56"/>
  <c r="K53" i="56"/>
  <c r="L52" i="56"/>
  <c r="K52" i="56"/>
  <c r="L51" i="56"/>
  <c r="K51" i="56"/>
  <c r="L50" i="56"/>
  <c r="K50" i="56"/>
  <c r="L49" i="56"/>
  <c r="K49" i="56"/>
  <c r="K48" i="56"/>
  <c r="L48" i="56"/>
  <c r="L47" i="56"/>
  <c r="K47" i="56"/>
  <c r="K46" i="56"/>
  <c r="L46" i="56"/>
  <c r="K45" i="56"/>
  <c r="L45" i="56"/>
  <c r="K44" i="56"/>
  <c r="L44" i="56"/>
  <c r="L43" i="56"/>
  <c r="K43" i="56"/>
  <c r="K42" i="56"/>
  <c r="L42" i="56"/>
  <c r="L41" i="56"/>
  <c r="K41" i="56"/>
  <c r="K40" i="56"/>
  <c r="L40" i="56"/>
  <c r="L39" i="56"/>
  <c r="K39" i="56"/>
  <c r="K38" i="56"/>
  <c r="L38" i="56"/>
  <c r="L37" i="56"/>
  <c r="K37" i="56"/>
  <c r="L36" i="56"/>
  <c r="K36" i="56"/>
  <c r="L35" i="56"/>
  <c r="K35" i="56"/>
  <c r="L34" i="56"/>
  <c r="K34" i="56"/>
  <c r="K58" i="56"/>
  <c r="K59" i="56"/>
  <c r="K60" i="56"/>
  <c r="K61" i="56"/>
  <c r="K62" i="56"/>
  <c r="K63" i="56"/>
  <c r="K64" i="56"/>
  <c r="K65" i="56"/>
  <c r="K66" i="56"/>
  <c r="K67" i="56"/>
  <c r="K68" i="56"/>
  <c r="K102" i="56"/>
  <c r="K101" i="56"/>
  <c r="K100" i="56"/>
  <c r="K99" i="56"/>
  <c r="K98" i="56"/>
  <c r="K97" i="56"/>
  <c r="K96" i="56"/>
  <c r="K95" i="56"/>
  <c r="K94" i="56"/>
  <c r="K93" i="56"/>
  <c r="K92" i="56"/>
  <c r="K91" i="56"/>
  <c r="K90" i="56"/>
  <c r="K89" i="56"/>
  <c r="K88" i="56"/>
  <c r="K87" i="56"/>
  <c r="K86" i="56"/>
  <c r="K85" i="56"/>
  <c r="K84" i="56"/>
  <c r="K83" i="56"/>
  <c r="K82" i="56"/>
  <c r="K81" i="56"/>
  <c r="K80" i="56"/>
  <c r="K79" i="56"/>
  <c r="K78" i="56"/>
  <c r="K77" i="56"/>
  <c r="K76" i="56"/>
  <c r="K75" i="56"/>
  <c r="K74" i="56"/>
  <c r="K73" i="56"/>
  <c r="K72" i="56"/>
  <c r="K71" i="56"/>
  <c r="K70" i="56"/>
  <c r="K69" i="56"/>
  <c r="B8" i="32"/>
  <c r="B9" i="57" l="1"/>
  <c r="B9" i="60"/>
  <c r="B9" i="63"/>
  <c r="B11" i="5"/>
  <c r="B10" i="65"/>
  <c r="I10" i="65" s="1"/>
  <c r="B10" i="68"/>
  <c r="B10" i="63"/>
  <c r="B10" i="60"/>
  <c r="B10" i="57"/>
  <c r="B10" i="53"/>
  <c r="B10" i="59"/>
  <c r="B10" i="64"/>
  <c r="B10" i="61"/>
  <c r="B9" i="32"/>
  <c r="B12" i="5" l="1"/>
  <c r="B11" i="62" s="1"/>
  <c r="B11" i="65"/>
  <c r="I11" i="65" s="1"/>
  <c r="B11" i="68"/>
  <c r="B11" i="63"/>
  <c r="B11" i="64"/>
  <c r="B11" i="57"/>
  <c r="B11" i="60"/>
  <c r="B11" i="53"/>
  <c r="B11" i="32"/>
  <c r="B10" i="32"/>
  <c r="B11" i="61" l="1"/>
  <c r="B11" i="59"/>
  <c r="B13" i="5"/>
  <c r="B12" i="65" s="1"/>
  <c r="B12" i="62" l="1"/>
  <c r="B12" i="59"/>
  <c r="B12" i="61"/>
  <c r="B12" i="60"/>
  <c r="B12" i="63"/>
  <c r="B12" i="32"/>
  <c r="B12" i="64"/>
  <c r="B12" i="53"/>
  <c r="B12" i="68"/>
  <c r="B12" i="57"/>
  <c r="B14" i="5"/>
  <c r="B13" i="62" s="1"/>
  <c r="B13" i="65"/>
  <c r="B13" i="68"/>
  <c r="B13" i="64"/>
  <c r="B13" i="63"/>
  <c r="B13" i="61"/>
  <c r="B13" i="60"/>
  <c r="B13" i="57"/>
  <c r="B13" i="53"/>
  <c r="B13" i="59"/>
  <c r="B13" i="32"/>
  <c r="B15" i="5" l="1"/>
  <c r="B14" i="68"/>
  <c r="B14" i="65"/>
  <c r="B14" i="64"/>
  <c r="B14" i="63"/>
  <c r="B14" i="62"/>
  <c r="B14" i="61"/>
  <c r="B14" i="60"/>
  <c r="B14" i="57"/>
  <c r="J14" i="57" s="1"/>
  <c r="B14" i="53"/>
  <c r="B14" i="59"/>
  <c r="B14" i="32"/>
  <c r="B16" i="5" l="1"/>
  <c r="B15" i="68"/>
  <c r="B15" i="65"/>
  <c r="B15" i="63"/>
  <c r="B15" i="62"/>
  <c r="B15" i="61"/>
  <c r="B15" i="60"/>
  <c r="B15" i="57"/>
  <c r="B15" i="53"/>
  <c r="B15" i="64"/>
  <c r="B15" i="59"/>
  <c r="B17" i="5" l="1"/>
  <c r="B16" i="68"/>
  <c r="B16" i="65"/>
  <c r="B16" i="62"/>
  <c r="B16" i="63"/>
  <c r="B16" i="61"/>
  <c r="B16" i="60"/>
  <c r="B16" i="53"/>
  <c r="B16" i="57"/>
  <c r="B16" i="64"/>
  <c r="B16" i="59"/>
  <c r="B15" i="32"/>
  <c r="B18" i="5" l="1"/>
  <c r="B17" i="68"/>
  <c r="B17" i="65"/>
  <c r="I17" i="65" s="1"/>
  <c r="B17" i="64"/>
  <c r="B17" i="61"/>
  <c r="B17" i="60"/>
  <c r="B17" i="57"/>
  <c r="B17" i="53"/>
  <c r="B17" i="59"/>
  <c r="B17" i="62"/>
  <c r="B17" i="63"/>
  <c r="B16" i="32"/>
  <c r="B19" i="5" l="1"/>
  <c r="B18" i="68"/>
  <c r="B18" i="63"/>
  <c r="B18" i="65"/>
  <c r="I18" i="65" s="1"/>
  <c r="B18" i="60"/>
  <c r="B18" i="61"/>
  <c r="B18" i="57"/>
  <c r="B18" i="53"/>
  <c r="B18" i="59"/>
  <c r="B18" i="64"/>
  <c r="B18" i="62"/>
  <c r="B18" i="32"/>
  <c r="B17" i="32"/>
  <c r="B20" i="5" l="1"/>
  <c r="B19" i="68"/>
  <c r="B19" i="65"/>
  <c r="I19" i="65" s="1"/>
  <c r="B19" i="62"/>
  <c r="B19" i="59"/>
  <c r="B19" i="64"/>
  <c r="B19" i="61"/>
  <c r="B19" i="57"/>
  <c r="B19" i="53"/>
  <c r="B19" i="63"/>
  <c r="B19" i="60"/>
  <c r="B19" i="32"/>
  <c r="B21" i="5" l="1"/>
  <c r="B20" i="68"/>
  <c r="B20" i="65"/>
  <c r="I20" i="65" s="1"/>
  <c r="B20" i="64"/>
  <c r="B20" i="62"/>
  <c r="B20" i="63"/>
  <c r="B20" i="59"/>
  <c r="B20" i="60"/>
  <c r="B20" i="61"/>
  <c r="B20" i="57"/>
  <c r="B20" i="53"/>
  <c r="B20" i="32"/>
  <c r="B22" i="5" l="1"/>
  <c r="B21" i="65"/>
  <c r="I21" i="65" s="1"/>
  <c r="B21" i="68"/>
  <c r="B21" i="64"/>
  <c r="B21" i="63"/>
  <c r="B21" i="62"/>
  <c r="B21" i="60"/>
  <c r="B21" i="61"/>
  <c r="B21" i="57"/>
  <c r="B21" i="53"/>
  <c r="B21" i="59"/>
  <c r="B21" i="32"/>
  <c r="B23" i="5" l="1"/>
  <c r="B22" i="68"/>
  <c r="B22" i="65"/>
  <c r="I22" i="65" s="1"/>
  <c r="B22" i="64"/>
  <c r="B22" i="63"/>
  <c r="B22" i="62"/>
  <c r="B22" i="60"/>
  <c r="B22" i="61"/>
  <c r="B22" i="57"/>
  <c r="B22" i="53"/>
  <c r="B22" i="59"/>
  <c r="B22" i="32"/>
  <c r="B24" i="5" l="1"/>
  <c r="B23" i="68"/>
  <c r="B23" i="65"/>
  <c r="I23" i="65" s="1"/>
  <c r="B23" i="63"/>
  <c r="B23" i="62"/>
  <c r="B23" i="61"/>
  <c r="B23" i="64"/>
  <c r="B23" i="60"/>
  <c r="B23" i="57"/>
  <c r="B23" i="53"/>
  <c r="B23" i="59"/>
  <c r="B23" i="32"/>
  <c r="B8" i="56"/>
  <c r="B25" i="5" l="1"/>
  <c r="B24" i="65"/>
  <c r="I24" i="65" s="1"/>
  <c r="B24" i="68"/>
  <c r="B24" i="62"/>
  <c r="B24" i="61"/>
  <c r="B24" i="64"/>
  <c r="B24" i="60"/>
  <c r="B24" i="57"/>
  <c r="B24" i="53"/>
  <c r="B24" i="63"/>
  <c r="B24" i="59"/>
  <c r="B24" i="32"/>
  <c r="B9" i="56"/>
  <c r="B26" i="5" l="1"/>
  <c r="B25" i="68"/>
  <c r="B25" i="65"/>
  <c r="I25" i="65" s="1"/>
  <c r="B25" i="64"/>
  <c r="B25" i="61"/>
  <c r="B25" i="62"/>
  <c r="B25" i="60"/>
  <c r="B25" i="57"/>
  <c r="B25" i="53"/>
  <c r="B25" i="63"/>
  <c r="B25" i="59"/>
  <c r="B25" i="32"/>
  <c r="B10" i="56"/>
  <c r="B27" i="5" l="1"/>
  <c r="B26" i="65"/>
  <c r="I26" i="65" s="1"/>
  <c r="B26" i="63"/>
  <c r="B26" i="68"/>
  <c r="B26" i="60"/>
  <c r="B26" i="57"/>
  <c r="B26" i="53"/>
  <c r="B26" i="59"/>
  <c r="B26" i="61"/>
  <c r="B26" i="64"/>
  <c r="B26" i="62"/>
  <c r="B26" i="32"/>
  <c r="B11" i="56"/>
  <c r="B28" i="5" l="1"/>
  <c r="B27" i="65"/>
  <c r="I27" i="65" s="1"/>
  <c r="B27" i="68"/>
  <c r="B27" i="62"/>
  <c r="B27" i="63"/>
  <c r="B27" i="61"/>
  <c r="B27" i="53"/>
  <c r="B27" i="64"/>
  <c r="B27" i="59"/>
  <c r="B27" i="60"/>
  <c r="B27" i="57"/>
  <c r="B27" i="32"/>
  <c r="B12" i="56"/>
  <c r="B29" i="5" l="1"/>
  <c r="B28" i="61"/>
  <c r="B28" i="64"/>
  <c r="B28" i="59"/>
  <c r="B28" i="60"/>
  <c r="B13" i="56"/>
  <c r="B28" i="63" l="1"/>
  <c r="B28" i="65"/>
  <c r="I28" i="65" s="1"/>
  <c r="B28" i="53"/>
  <c r="B28" i="57"/>
  <c r="B28" i="68"/>
  <c r="B28" i="62"/>
  <c r="B29" i="68"/>
  <c r="B29" i="61"/>
  <c r="B29" i="57"/>
  <c r="B29" i="53"/>
  <c r="B30" i="5"/>
  <c r="B28" i="32"/>
  <c r="B29" i="64" l="1"/>
  <c r="B29" i="59"/>
  <c r="B29" i="60"/>
  <c r="B29" i="65"/>
  <c r="I29" i="65" s="1"/>
  <c r="B29" i="62"/>
  <c r="B29" i="63"/>
  <c r="B30" i="65"/>
  <c r="I30" i="65" s="1"/>
  <c r="B30" i="62"/>
  <c r="B30" i="53"/>
  <c r="B31" i="5"/>
  <c r="B29" i="32"/>
  <c r="B30" i="57" l="1"/>
  <c r="B30" i="60"/>
  <c r="B30" i="61"/>
  <c r="B30" i="32"/>
  <c r="B30" i="64"/>
  <c r="B30" i="63"/>
  <c r="B30" i="59"/>
  <c r="B30" i="68"/>
  <c r="B31" i="60"/>
  <c r="B32" i="5"/>
  <c r="B31" i="32"/>
  <c r="B31" i="63" l="1"/>
  <c r="B31" i="68"/>
  <c r="T29" i="56" s="1"/>
  <c r="B31" i="64"/>
  <c r="B31" i="65"/>
  <c r="B31" i="59"/>
  <c r="B31" i="53"/>
  <c r="B31" i="57"/>
  <c r="B31" i="61"/>
  <c r="B31" i="62"/>
  <c r="O8" i="56"/>
  <c r="P8" i="56"/>
  <c r="P9" i="56"/>
  <c r="P10" i="56"/>
  <c r="P11" i="56"/>
  <c r="P12" i="56"/>
  <c r="P13" i="56"/>
  <c r="B32" i="62"/>
  <c r="B32" i="63"/>
  <c r="B32" i="60"/>
  <c r="B32" i="53"/>
  <c r="B32" i="32"/>
  <c r="B33" i="5"/>
  <c r="Q8" i="56"/>
  <c r="Q9" i="56"/>
  <c r="Q10" i="56"/>
  <c r="Q11" i="56"/>
  <c r="Q12" i="56"/>
  <c r="Q13" i="56"/>
  <c r="M8" i="56"/>
  <c r="M9" i="56"/>
  <c r="M10" i="56"/>
  <c r="M11" i="56"/>
  <c r="M12" i="56"/>
  <c r="M13" i="56"/>
  <c r="T8" i="56"/>
  <c r="T9" i="56"/>
  <c r="T10" i="56"/>
  <c r="T11" i="56"/>
  <c r="T12" i="56"/>
  <c r="T13" i="56"/>
  <c r="T14" i="56"/>
  <c r="T15" i="56"/>
  <c r="T16" i="56"/>
  <c r="T17" i="56"/>
  <c r="T18" i="56"/>
  <c r="T19" i="56"/>
  <c r="T20" i="56"/>
  <c r="T21" i="56"/>
  <c r="T22" i="56"/>
  <c r="T23" i="56"/>
  <c r="T24" i="56"/>
  <c r="T25" i="56"/>
  <c r="T26" i="56"/>
  <c r="T27" i="56"/>
  <c r="T28" i="56"/>
  <c r="R8" i="56"/>
  <c r="R9" i="56"/>
  <c r="R10" i="56"/>
  <c r="R11" i="56"/>
  <c r="R12" i="56"/>
  <c r="R13" i="56"/>
  <c r="N8" i="56"/>
  <c r="N9" i="56"/>
  <c r="N10" i="56"/>
  <c r="N11" i="56"/>
  <c r="N12" i="56"/>
  <c r="N13" i="56"/>
  <c r="T30" i="56"/>
  <c r="B14" i="56"/>
  <c r="I31" i="65" l="1"/>
  <c r="O13" i="56"/>
  <c r="O12" i="56"/>
  <c r="O11" i="56"/>
  <c r="O10" i="56"/>
  <c r="O9" i="56"/>
  <c r="B32" i="61"/>
  <c r="B32" i="59"/>
  <c r="B32" i="68"/>
  <c r="B32" i="64"/>
  <c r="R14" i="56" s="1"/>
  <c r="B32" i="65"/>
  <c r="I32" i="65" s="1"/>
  <c r="B32" i="57"/>
  <c r="B34" i="5"/>
  <c r="B33" i="64"/>
  <c r="B33" i="53"/>
  <c r="B33" i="59"/>
  <c r="T31" i="56"/>
  <c r="Q14" i="56"/>
  <c r="P14" i="56"/>
  <c r="O14" i="56"/>
  <c r="N14" i="56"/>
  <c r="M14" i="56"/>
  <c r="L13" i="56"/>
  <c r="L8" i="56"/>
  <c r="L9" i="56"/>
  <c r="L10" i="56"/>
  <c r="L11" i="56"/>
  <c r="L12" i="56"/>
  <c r="K13" i="56"/>
  <c r="K12" i="56"/>
  <c r="K11" i="56"/>
  <c r="K10" i="56"/>
  <c r="K9" i="56"/>
  <c r="K8" i="56"/>
  <c r="K14" i="56"/>
  <c r="L14" i="56"/>
  <c r="U14" i="56" s="1"/>
  <c r="B15" i="56"/>
  <c r="U12" i="56" l="1"/>
  <c r="V12" i="56"/>
  <c r="U11" i="56"/>
  <c r="V11" i="56"/>
  <c r="U10" i="56"/>
  <c r="V10" i="56"/>
  <c r="U9" i="56"/>
  <c r="V9" i="56"/>
  <c r="U8" i="56"/>
  <c r="V8" i="56"/>
  <c r="U13" i="56"/>
  <c r="V13" i="56"/>
  <c r="V14" i="56"/>
  <c r="W14" i="56" s="1"/>
  <c r="B33" i="57"/>
  <c r="B33" i="60"/>
  <c r="B33" i="61"/>
  <c r="B33" i="63"/>
  <c r="B33" i="65"/>
  <c r="I33" i="65" s="1"/>
  <c r="B33" i="62"/>
  <c r="B33" i="68"/>
  <c r="B34" i="65"/>
  <c r="I34" i="65" s="1"/>
  <c r="B34" i="68"/>
  <c r="B34" i="63"/>
  <c r="B34" i="64"/>
  <c r="B34" i="62"/>
  <c r="B34" i="61"/>
  <c r="B16" i="56"/>
  <c r="B33" i="32"/>
  <c r="W10" i="56" l="1"/>
  <c r="W13" i="56"/>
  <c r="W8" i="56"/>
  <c r="W9" i="56"/>
  <c r="W11" i="56"/>
  <c r="W12" i="56"/>
  <c r="B34" i="57"/>
  <c r="B34" i="53"/>
  <c r="B34" i="60"/>
  <c r="B34" i="59"/>
  <c r="B34" i="32"/>
  <c r="B17" i="56"/>
  <c r="B35" i="60" l="1"/>
  <c r="B35" i="65"/>
  <c r="I35" i="65" s="1"/>
  <c r="B35" i="61"/>
  <c r="B35" i="68"/>
  <c r="B35" i="62"/>
  <c r="B35" i="59"/>
  <c r="B35" i="63"/>
  <c r="B35" i="53"/>
  <c r="B35" i="64"/>
  <c r="B35" i="32"/>
  <c r="B35" i="57"/>
  <c r="B36" i="68"/>
  <c r="B36" i="59"/>
  <c r="B36" i="62"/>
  <c r="B36" i="63"/>
  <c r="B36" i="60"/>
  <c r="B36" i="57"/>
  <c r="B18" i="56"/>
  <c r="B36" i="64" l="1"/>
  <c r="B36" i="61"/>
  <c r="B36" i="32"/>
  <c r="B36" i="53"/>
  <c r="B36" i="65"/>
  <c r="B37" i="65"/>
  <c r="B37" i="68"/>
  <c r="B37" i="64"/>
  <c r="B37" i="62"/>
  <c r="B37" i="60"/>
  <c r="B37" i="61"/>
  <c r="B37" i="57"/>
  <c r="B37" i="53"/>
  <c r="B37" i="59"/>
  <c r="B37" i="32"/>
  <c r="B19" i="56"/>
  <c r="B37" i="63" l="1"/>
  <c r="B38" i="63"/>
  <c r="B38" i="62"/>
  <c r="B38" i="60"/>
  <c r="B38" i="59"/>
  <c r="B38" i="61"/>
  <c r="B38" i="32"/>
  <c r="B20" i="56"/>
  <c r="B38" i="68" l="1"/>
  <c r="B38" i="65"/>
  <c r="B38" i="57"/>
  <c r="B38" i="64"/>
  <c r="B38" i="53"/>
  <c r="B39" i="65"/>
  <c r="B39" i="68"/>
  <c r="B39" i="63"/>
  <c r="B39" i="62"/>
  <c r="B39" i="61"/>
  <c r="B39" i="64"/>
  <c r="B39" i="60"/>
  <c r="B39" i="57"/>
  <c r="B39" i="53"/>
  <c r="B39" i="59"/>
  <c r="B21" i="56"/>
  <c r="B40" i="68" l="1"/>
  <c r="B40" i="62"/>
  <c r="B40" i="57"/>
  <c r="B40" i="53"/>
  <c r="B40" i="63"/>
  <c r="B40" i="59"/>
  <c r="B22" i="56"/>
  <c r="B39" i="32"/>
  <c r="B40" i="65" l="1"/>
  <c r="B40" i="60"/>
  <c r="B40" i="64"/>
  <c r="B40" i="61"/>
  <c r="B41" i="68"/>
  <c r="B41" i="65"/>
  <c r="B41" i="64"/>
  <c r="B41" i="61"/>
  <c r="B41" i="62"/>
  <c r="B41" i="60"/>
  <c r="B41" i="57"/>
  <c r="B41" i="53"/>
  <c r="B41" i="63"/>
  <c r="B41" i="59"/>
  <c r="B23" i="56"/>
  <c r="B40" i="32"/>
  <c r="B42" i="65" l="1"/>
  <c r="B42" i="57"/>
  <c r="B42" i="53"/>
  <c r="B42" i="64"/>
  <c r="B42" i="32"/>
  <c r="B24" i="56"/>
  <c r="B41" i="32"/>
  <c r="B42" i="63" l="1"/>
  <c r="B42" i="62"/>
  <c r="B42" i="68"/>
  <c r="B42" i="61"/>
  <c r="B42" i="59"/>
  <c r="B42" i="60"/>
  <c r="B43" i="59"/>
  <c r="B43" i="57"/>
  <c r="B25" i="56"/>
  <c r="M24" i="56" l="1"/>
  <c r="B43" i="64"/>
  <c r="R24" i="56" s="1"/>
  <c r="B43" i="63"/>
  <c r="Q24" i="56" s="1"/>
  <c r="B43" i="62"/>
  <c r="P24" i="56" s="1"/>
  <c r="B43" i="60"/>
  <c r="B43" i="65"/>
  <c r="S41" i="56" s="1"/>
  <c r="B43" i="53"/>
  <c r="B43" i="68"/>
  <c r="T41" i="56" s="1"/>
  <c r="B43" i="61"/>
  <c r="O24" i="56" s="1"/>
  <c r="T35" i="56"/>
  <c r="T36" i="56"/>
  <c r="T37" i="56"/>
  <c r="T38" i="56"/>
  <c r="T39" i="56"/>
  <c r="T40" i="56"/>
  <c r="B44" i="68"/>
  <c r="B44" i="65"/>
  <c r="B44" i="61"/>
  <c r="B44" i="64"/>
  <c r="B44" i="59"/>
  <c r="B44" i="62"/>
  <c r="B44" i="60"/>
  <c r="B44" i="57"/>
  <c r="B44" i="53"/>
  <c r="B44" i="32"/>
  <c r="B27" i="56"/>
  <c r="R18" i="56"/>
  <c r="R19" i="56"/>
  <c r="R20" i="56"/>
  <c r="R21" i="56"/>
  <c r="R22" i="56"/>
  <c r="R23" i="56"/>
  <c r="N18" i="56"/>
  <c r="N19" i="56"/>
  <c r="N20" i="56"/>
  <c r="N21" i="56"/>
  <c r="N22" i="56"/>
  <c r="N23" i="56"/>
  <c r="O18" i="56"/>
  <c r="O19" i="56"/>
  <c r="O20" i="56"/>
  <c r="O21" i="56"/>
  <c r="O22" i="56"/>
  <c r="O23" i="56"/>
  <c r="Q18" i="56"/>
  <c r="Q19" i="56"/>
  <c r="Q20" i="56"/>
  <c r="Q21" i="56"/>
  <c r="Q22" i="56"/>
  <c r="Q23" i="56"/>
  <c r="M18" i="56"/>
  <c r="M19" i="56"/>
  <c r="M20" i="56"/>
  <c r="M21" i="56"/>
  <c r="M22" i="56"/>
  <c r="M23" i="56"/>
  <c r="P18" i="56"/>
  <c r="P19" i="56"/>
  <c r="P20" i="56"/>
  <c r="P21" i="56"/>
  <c r="P22" i="56"/>
  <c r="P23" i="56"/>
  <c r="S40" i="56"/>
  <c r="T42" i="56"/>
  <c r="S42" i="56"/>
  <c r="R25" i="56"/>
  <c r="Q25" i="56"/>
  <c r="P25" i="56"/>
  <c r="O25" i="56"/>
  <c r="N25" i="56"/>
  <c r="M25" i="56"/>
  <c r="B26" i="56"/>
  <c r="B43" i="32"/>
  <c r="N24" i="56" l="1"/>
  <c r="B44" i="63"/>
  <c r="B45" i="64"/>
  <c r="B45" i="62"/>
  <c r="B45" i="60"/>
  <c r="B45" i="57"/>
  <c r="B28" i="56"/>
  <c r="T43" i="56"/>
  <c r="S43" i="56"/>
  <c r="L26" i="56"/>
  <c r="R26" i="56"/>
  <c r="Q26" i="56"/>
  <c r="P26" i="56"/>
  <c r="O26" i="56"/>
  <c r="N26" i="56"/>
  <c r="M26" i="56"/>
  <c r="K25" i="56"/>
  <c r="L21" i="56"/>
  <c r="L22" i="56"/>
  <c r="L23" i="56"/>
  <c r="L24" i="56"/>
  <c r="U24" i="56" s="1"/>
  <c r="W24" i="56" s="1"/>
  <c r="L25" i="56"/>
  <c r="K26" i="56"/>
  <c r="K24" i="56"/>
  <c r="K23" i="56"/>
  <c r="K22" i="56"/>
  <c r="K21" i="56"/>
  <c r="K20" i="56"/>
  <c r="K19" i="56"/>
  <c r="K18" i="56"/>
  <c r="U25" i="56" l="1"/>
  <c r="W25" i="56" s="1"/>
  <c r="V25" i="56"/>
  <c r="U23" i="56"/>
  <c r="W23" i="56" s="1"/>
  <c r="V23" i="56"/>
  <c r="U22" i="56"/>
  <c r="W22" i="56" s="1"/>
  <c r="V22" i="56"/>
  <c r="U21" i="56"/>
  <c r="V21" i="56"/>
  <c r="V24" i="56"/>
  <c r="V26" i="56"/>
  <c r="U26" i="56"/>
  <c r="W26" i="56" s="1"/>
  <c r="B45" i="32"/>
  <c r="B45" i="61"/>
  <c r="B45" i="63"/>
  <c r="B45" i="59"/>
  <c r="B45" i="68"/>
  <c r="B45" i="53"/>
  <c r="B45" i="65"/>
  <c r="B46" i="65"/>
  <c r="B46" i="62"/>
  <c r="B46" i="61"/>
  <c r="B46" i="60"/>
  <c r="B46" i="57"/>
  <c r="B29" i="56"/>
  <c r="B46" i="32"/>
  <c r="W21" i="56" l="1"/>
  <c r="B46" i="63"/>
  <c r="B46" i="64"/>
  <c r="B46" i="59"/>
  <c r="B46" i="53"/>
  <c r="B46" i="68"/>
  <c r="B47" i="68"/>
  <c r="B47" i="60"/>
  <c r="B47" i="57"/>
  <c r="B47" i="59"/>
  <c r="B47" i="32"/>
  <c r="B47" i="61" l="1"/>
  <c r="B30" i="56"/>
  <c r="B47" i="62"/>
  <c r="B47" i="63"/>
  <c r="B47" i="64"/>
  <c r="B47" i="65"/>
  <c r="B47" i="53"/>
  <c r="B48" i="68"/>
  <c r="B48" i="61"/>
  <c r="B48" i="63"/>
  <c r="B48" i="60"/>
  <c r="B48" i="57"/>
  <c r="B48" i="53"/>
  <c r="B48" i="59"/>
  <c r="B31" i="56"/>
  <c r="B48" i="32"/>
  <c r="B48" i="62" l="1"/>
  <c r="B48" i="64"/>
  <c r="B48" i="65"/>
  <c r="D25" i="56"/>
  <c r="D42" i="32"/>
  <c r="H42" i="32"/>
  <c r="H45" i="61"/>
  <c r="I42" i="60"/>
  <c r="D43" i="61"/>
  <c r="G23" i="56"/>
  <c r="H44" i="64"/>
  <c r="I41" i="68"/>
  <c r="F45" i="57"/>
  <c r="F42" i="32"/>
  <c r="H24" i="56"/>
  <c r="G43" i="63"/>
  <c r="C42" i="32"/>
  <c r="D27" i="56"/>
  <c r="F45" i="63"/>
  <c r="I25" i="56"/>
  <c r="C45" i="61"/>
  <c r="J45" i="64"/>
  <c r="G45" i="68"/>
  <c r="C43" i="59"/>
  <c r="J42" i="64"/>
  <c r="E41" i="60"/>
  <c r="J47" i="59"/>
  <c r="I46" i="57"/>
  <c r="F47" i="61"/>
  <c r="I47" i="32"/>
  <c r="G43" i="32"/>
  <c r="E44" i="53"/>
  <c r="C25" i="56"/>
  <c r="J42" i="32"/>
  <c r="E44" i="60"/>
  <c r="E41" i="65"/>
  <c r="F44" i="64"/>
  <c r="C41" i="32"/>
  <c r="C45" i="64"/>
  <c r="H45" i="59"/>
  <c r="I43" i="57"/>
  <c r="I43" i="63"/>
  <c r="F45" i="68"/>
  <c r="E43" i="65"/>
  <c r="H41" i="65"/>
  <c r="J43" i="59"/>
  <c r="G46" i="57"/>
  <c r="I47" i="59"/>
  <c r="E30" i="56"/>
  <c r="D46" i="59"/>
  <c r="J47" i="61"/>
  <c r="J44" i="60"/>
  <c r="D43" i="63"/>
  <c r="C43" i="64"/>
  <c r="J26" i="56"/>
  <c r="I26" i="56"/>
  <c r="H41" i="61"/>
  <c r="C44" i="65"/>
  <c r="J44" i="59"/>
  <c r="J44" i="61"/>
  <c r="H41" i="68"/>
  <c r="F43" i="60"/>
  <c r="G42" i="59"/>
  <c r="I45" i="60"/>
  <c r="E42" i="68"/>
  <c r="H45" i="57"/>
  <c r="F45" i="62"/>
  <c r="G45" i="63"/>
  <c r="C45" i="32"/>
  <c r="D44" i="63"/>
  <c r="I44" i="68"/>
  <c r="J44" i="68"/>
  <c r="G45" i="59"/>
  <c r="C42" i="53"/>
  <c r="I41" i="57"/>
  <c r="D43" i="53"/>
  <c r="E43" i="53"/>
  <c r="G24" i="56"/>
  <c r="E43" i="59"/>
  <c r="J48" i="53"/>
  <c r="F48" i="53"/>
  <c r="C48" i="53"/>
  <c r="G48" i="53"/>
  <c r="D48" i="53"/>
  <c r="E48" i="57"/>
  <c r="I48" i="57"/>
  <c r="G48" i="57"/>
  <c r="J48" i="57"/>
  <c r="F48" i="57"/>
  <c r="J48" i="60"/>
  <c r="H48" i="60"/>
  <c r="F48" i="60"/>
  <c r="D48" i="60"/>
  <c r="I48" i="60"/>
  <c r="F48" i="32"/>
  <c r="H48" i="32"/>
  <c r="J48" i="32"/>
  <c r="I48" i="32"/>
  <c r="C48" i="32"/>
  <c r="I48" i="63"/>
  <c r="F48" i="63"/>
  <c r="J48" i="63"/>
  <c r="D48" i="63"/>
  <c r="G48" i="63"/>
  <c r="G31" i="56"/>
  <c r="C31" i="56"/>
  <c r="D31" i="56"/>
  <c r="E31" i="56"/>
  <c r="J31" i="56"/>
  <c r="J48" i="61"/>
  <c r="D48" i="61"/>
  <c r="F48" i="61"/>
  <c r="G48" i="61"/>
  <c r="H48" i="61"/>
  <c r="B49" i="65"/>
  <c r="B49" i="61"/>
  <c r="B49" i="57"/>
  <c r="B49" i="53"/>
  <c r="B49" i="59"/>
  <c r="B49" i="63"/>
  <c r="G47" i="61"/>
  <c r="B32" i="56"/>
  <c r="J48" i="62"/>
  <c r="I48" i="62"/>
  <c r="H48" i="62"/>
  <c r="F48" i="62"/>
  <c r="E48" i="62"/>
  <c r="D48" i="62"/>
  <c r="C48" i="62"/>
  <c r="J48" i="59"/>
  <c r="I48" i="59"/>
  <c r="H48" i="59"/>
  <c r="F48" i="59"/>
  <c r="E48" i="59"/>
  <c r="C48" i="59"/>
  <c r="D48" i="59"/>
  <c r="I48" i="68"/>
  <c r="F48" i="68"/>
  <c r="J48" i="68"/>
  <c r="H48" i="68"/>
  <c r="E48" i="68"/>
  <c r="G48" i="68"/>
  <c r="D48" i="68"/>
  <c r="C48" i="68"/>
  <c r="F48" i="64"/>
  <c r="H48" i="64"/>
  <c r="I48" i="64"/>
  <c r="D48" i="64"/>
  <c r="C48" i="64"/>
  <c r="E48" i="64"/>
  <c r="G48" i="64"/>
  <c r="J48" i="64"/>
  <c r="I48" i="65"/>
  <c r="C48" i="65"/>
  <c r="D48" i="65"/>
  <c r="F48" i="65"/>
  <c r="G48" i="65"/>
  <c r="H48" i="65"/>
  <c r="J48" i="65"/>
  <c r="E48" i="65"/>
  <c r="J43" i="63" l="1"/>
  <c r="C47" i="61"/>
  <c r="C47" i="59"/>
  <c r="J46" i="68"/>
  <c r="H43" i="32"/>
  <c r="C41" i="62"/>
  <c r="H41" i="62"/>
  <c r="J28" i="56"/>
  <c r="G43" i="60"/>
  <c r="F42" i="61"/>
  <c r="E45" i="59"/>
  <c r="C47" i="60"/>
  <c r="E41" i="68"/>
  <c r="F42" i="59"/>
  <c r="C45" i="57"/>
  <c r="G45" i="61"/>
  <c r="H43" i="68"/>
  <c r="F41" i="62"/>
  <c r="E42" i="53"/>
  <c r="H47" i="32"/>
  <c r="C46" i="32"/>
  <c r="D43" i="62"/>
  <c r="C46" i="68"/>
  <c r="H44" i="61"/>
  <c r="C42" i="60"/>
  <c r="I44" i="64"/>
  <c r="E45" i="57"/>
  <c r="E43" i="32"/>
  <c r="H42" i="64"/>
  <c r="D42" i="61"/>
  <c r="D47" i="60"/>
  <c r="I42" i="59"/>
  <c r="D41" i="61"/>
  <c r="J41" i="32"/>
  <c r="G45" i="53"/>
  <c r="E25" i="56"/>
  <c r="I43" i="60"/>
  <c r="E44" i="63"/>
  <c r="C41" i="53"/>
  <c r="H46" i="63"/>
  <c r="D47" i="62"/>
  <c r="G41" i="32"/>
  <c r="F43" i="53"/>
  <c r="E24" i="56"/>
  <c r="C45" i="65"/>
  <c r="I41" i="65"/>
  <c r="G42" i="57"/>
  <c r="E45" i="60"/>
  <c r="H44" i="32"/>
  <c r="H46" i="57"/>
  <c r="I47" i="68"/>
  <c r="D44" i="61"/>
  <c r="C24" i="56"/>
  <c r="E45" i="62"/>
  <c r="E42" i="32"/>
  <c r="H41" i="59"/>
  <c r="J44" i="62"/>
  <c r="H44" i="60"/>
  <c r="E42" i="61"/>
  <c r="J45" i="61"/>
  <c r="J42" i="57"/>
  <c r="C41" i="63"/>
  <c r="I43" i="61"/>
  <c r="G43" i="68"/>
  <c r="J24" i="56"/>
  <c r="I45" i="53"/>
  <c r="F41" i="57"/>
  <c r="H41" i="63"/>
  <c r="I41" i="62"/>
  <c r="G42" i="63"/>
  <c r="F29" i="56"/>
  <c r="G47" i="68"/>
  <c r="I47" i="53"/>
  <c r="F43" i="64"/>
  <c r="H43" i="61"/>
  <c r="J27" i="56"/>
  <c r="I45" i="61"/>
  <c r="I44" i="62"/>
  <c r="F24" i="56"/>
  <c r="I45" i="62"/>
  <c r="D46" i="32"/>
  <c r="D40" i="32"/>
  <c r="F43" i="57"/>
  <c r="J45" i="62"/>
  <c r="F43" i="62"/>
  <c r="J42" i="62"/>
  <c r="C26" i="56"/>
  <c r="D43" i="68"/>
  <c r="I47" i="61"/>
  <c r="G47" i="59"/>
  <c r="E40" i="64"/>
  <c r="D46" i="64"/>
  <c r="J44" i="65"/>
  <c r="D41" i="65"/>
  <c r="G41" i="59"/>
  <c r="F42" i="65"/>
  <c r="D44" i="65"/>
  <c r="I44" i="61"/>
  <c r="C42" i="64"/>
  <c r="I46" i="60"/>
  <c r="B49" i="32"/>
  <c r="B49" i="60"/>
  <c r="E48" i="61"/>
  <c r="F31" i="56"/>
  <c r="H48" i="63"/>
  <c r="D48" i="32"/>
  <c r="E48" i="60"/>
  <c r="D48" i="57"/>
  <c r="I48" i="53"/>
  <c r="F44" i="60"/>
  <c r="I42" i="61"/>
  <c r="I41" i="64"/>
  <c r="E45" i="32"/>
  <c r="D42" i="64"/>
  <c r="I43" i="62"/>
  <c r="G41" i="63"/>
  <c r="D44" i="68"/>
  <c r="F47" i="60"/>
  <c r="E46" i="59"/>
  <c r="J42" i="53"/>
  <c r="G27" i="56"/>
  <c r="H41" i="53"/>
  <c r="D45" i="32"/>
  <c r="C43" i="32"/>
  <c r="J45" i="57"/>
  <c r="J44" i="53"/>
  <c r="C43" i="61"/>
  <c r="C46" i="63"/>
  <c r="H46" i="68"/>
  <c r="D42" i="68"/>
  <c r="C42" i="62"/>
  <c r="H45" i="64"/>
  <c r="F42" i="68"/>
  <c r="H42" i="60"/>
  <c r="H42" i="61"/>
  <c r="C27" i="56"/>
  <c r="G42" i="65"/>
  <c r="J45" i="60"/>
  <c r="E44" i="61"/>
  <c r="C44" i="62"/>
  <c r="F44" i="68"/>
  <c r="D44" i="32"/>
  <c r="I44" i="57"/>
  <c r="D45" i="65"/>
  <c r="D41" i="32"/>
  <c r="I43" i="59"/>
  <c r="H41" i="57"/>
  <c r="H42" i="57"/>
  <c r="H46" i="64"/>
  <c r="H46" i="62"/>
  <c r="F46" i="32"/>
  <c r="D41" i="53"/>
  <c r="C44" i="59"/>
  <c r="I43" i="64"/>
  <c r="G45" i="57"/>
  <c r="C41" i="68"/>
  <c r="I45" i="59"/>
  <c r="F42" i="64"/>
  <c r="C47" i="32"/>
  <c r="C42" i="63"/>
  <c r="G42" i="53"/>
  <c r="I45" i="63"/>
  <c r="G44" i="59"/>
  <c r="J43" i="57"/>
  <c r="E27" i="56"/>
  <c r="D41" i="63"/>
  <c r="I46" i="32"/>
  <c r="E47" i="68"/>
  <c r="G46" i="68"/>
  <c r="I40" i="59"/>
  <c r="C44" i="61"/>
  <c r="G41" i="53"/>
  <c r="G44" i="53"/>
  <c r="H45" i="68"/>
  <c r="G41" i="57"/>
  <c r="G44" i="32"/>
  <c r="J41" i="57"/>
  <c r="E47" i="32"/>
  <c r="E41" i="57"/>
  <c r="D44" i="64"/>
  <c r="E42" i="60"/>
  <c r="G43" i="59"/>
  <c r="D42" i="62"/>
  <c r="F46" i="57"/>
  <c r="I47" i="63"/>
  <c r="F44" i="61"/>
  <c r="E42" i="59"/>
  <c r="E42" i="63"/>
  <c r="J45" i="32"/>
  <c r="E41" i="32"/>
  <c r="E43" i="68"/>
  <c r="C44" i="53"/>
  <c r="E43" i="60"/>
  <c r="H30" i="56"/>
  <c r="C45" i="59"/>
  <c r="I42" i="57"/>
  <c r="J41" i="63"/>
  <c r="H45" i="60"/>
  <c r="J41" i="59"/>
  <c r="D41" i="64"/>
  <c r="G44" i="64"/>
  <c r="H42" i="65"/>
  <c r="C41" i="64"/>
  <c r="D45" i="63"/>
  <c r="F41" i="64"/>
  <c r="C41" i="60"/>
  <c r="F42" i="62"/>
  <c r="J41" i="61"/>
  <c r="D46" i="57"/>
  <c r="I45" i="68"/>
  <c r="D43" i="59"/>
  <c r="C41" i="57"/>
  <c r="J42" i="63"/>
  <c r="E44" i="64"/>
  <c r="J30" i="56"/>
  <c r="J46" i="59"/>
  <c r="D47" i="57"/>
  <c r="H43" i="59"/>
  <c r="E43" i="64"/>
  <c r="H28" i="56"/>
  <c r="C43" i="63"/>
  <c r="H42" i="59"/>
  <c r="J44" i="32"/>
  <c r="I43" i="32"/>
  <c r="F45" i="32"/>
  <c r="F44" i="32"/>
  <c r="G26" i="56"/>
  <c r="I28" i="56"/>
  <c r="C44" i="57"/>
  <c r="H43" i="62"/>
  <c r="D42" i="60"/>
  <c r="E43" i="57"/>
  <c r="C46" i="53"/>
  <c r="E46" i="61"/>
  <c r="D46" i="53"/>
  <c r="D42" i="53"/>
  <c r="E42" i="62"/>
  <c r="G41" i="61"/>
  <c r="G41" i="60"/>
  <c r="H43" i="53"/>
  <c r="D43" i="64"/>
  <c r="H43" i="65"/>
  <c r="I42" i="68"/>
  <c r="G28" i="53"/>
  <c r="F27" i="65"/>
  <c r="E27" i="68"/>
  <c r="H27" i="68"/>
  <c r="D27" i="59"/>
  <c r="D27" i="63"/>
  <c r="D27" i="32"/>
  <c r="G27" i="32"/>
  <c r="F27" i="53"/>
  <c r="F27" i="32"/>
  <c r="E27" i="57"/>
  <c r="I27" i="57"/>
  <c r="J27" i="53"/>
  <c r="F12" i="56"/>
  <c r="F27" i="57"/>
  <c r="C27" i="53"/>
  <c r="I27" i="62"/>
  <c r="E27" i="62"/>
  <c r="C27" i="32"/>
  <c r="G27" i="59"/>
  <c r="J27" i="32"/>
  <c r="C27" i="61"/>
  <c r="H27" i="53"/>
  <c r="D27" i="62"/>
  <c r="J27" i="57"/>
  <c r="E12" i="56"/>
  <c r="D12" i="56"/>
  <c r="G27" i="60"/>
  <c r="D27" i="68"/>
  <c r="D9" i="64"/>
  <c r="I9" i="64"/>
  <c r="J9" i="68"/>
  <c r="F27" i="61"/>
  <c r="G8" i="61"/>
  <c r="J8" i="64"/>
  <c r="C8" i="62"/>
  <c r="H8" i="57"/>
  <c r="F28" i="53"/>
  <c r="G9" i="64"/>
  <c r="J27" i="68"/>
  <c r="F27" i="64"/>
  <c r="G9" i="63"/>
  <c r="J28" i="57"/>
  <c r="G8" i="65"/>
  <c r="F27" i="59"/>
  <c r="G27" i="65"/>
  <c r="G28" i="63"/>
  <c r="E8" i="65"/>
  <c r="D8" i="63"/>
  <c r="H8" i="62"/>
  <c r="G8" i="32"/>
  <c r="E9" i="63"/>
  <c r="C27" i="59"/>
  <c r="J9" i="62"/>
  <c r="J27" i="63"/>
  <c r="I28" i="63"/>
  <c r="F10" i="65"/>
  <c r="H9" i="57"/>
  <c r="H28" i="65"/>
  <c r="E28" i="68"/>
  <c r="G8" i="59"/>
  <c r="J27" i="61"/>
  <c r="I28" i="57"/>
  <c r="C9" i="63"/>
  <c r="J28" i="63"/>
  <c r="J8" i="59"/>
  <c r="H9" i="64"/>
  <c r="D28" i="59"/>
  <c r="E28" i="65"/>
  <c r="J27" i="64"/>
  <c r="C8" i="61"/>
  <c r="C28" i="65"/>
  <c r="J28" i="68"/>
  <c r="D27" i="60"/>
  <c r="J12" i="56"/>
  <c r="C27" i="62"/>
  <c r="I29" i="62"/>
  <c r="F27" i="68"/>
  <c r="H27" i="63"/>
  <c r="I9" i="61"/>
  <c r="E28" i="61"/>
  <c r="D8" i="61"/>
  <c r="G9" i="68"/>
  <c r="H8" i="65"/>
  <c r="D8" i="62"/>
  <c r="J28" i="62"/>
  <c r="E27" i="59"/>
  <c r="I9" i="59"/>
  <c r="D8" i="60"/>
  <c r="H8" i="68"/>
  <c r="F8" i="62"/>
  <c r="I27" i="61"/>
  <c r="H28" i="62"/>
  <c r="I27" i="64"/>
  <c r="H27" i="61"/>
  <c r="G27" i="61"/>
  <c r="C12" i="56"/>
  <c r="G8" i="68"/>
  <c r="F29" i="63"/>
  <c r="E28" i="53"/>
  <c r="J20" i="68"/>
  <c r="G28" i="57"/>
  <c r="H9" i="53"/>
  <c r="E28" i="63"/>
  <c r="D8" i="68"/>
  <c r="C28" i="64"/>
  <c r="G28" i="64"/>
  <c r="I27" i="63"/>
  <c r="G28" i="65"/>
  <c r="G27" i="64"/>
  <c r="J9" i="65"/>
  <c r="D8" i="57"/>
  <c r="D27" i="64"/>
  <c r="D27" i="53"/>
  <c r="G27" i="62"/>
  <c r="F9" i="60"/>
  <c r="J28" i="59"/>
  <c r="F28" i="65"/>
  <c r="H28" i="53"/>
  <c r="F27" i="60"/>
  <c r="F27" i="63"/>
  <c r="H8" i="60"/>
  <c r="H28" i="63"/>
  <c r="J27" i="65"/>
  <c r="I8" i="61"/>
  <c r="G27" i="57"/>
  <c r="H27" i="60"/>
  <c r="C28" i="61"/>
  <c r="C28" i="59"/>
  <c r="J27" i="59"/>
  <c r="G12" i="56"/>
  <c r="I8" i="68"/>
  <c r="F9" i="59"/>
  <c r="C9" i="68"/>
  <c r="I8" i="57"/>
  <c r="F8" i="63"/>
  <c r="E27" i="60"/>
  <c r="D8" i="64"/>
  <c r="J9" i="60"/>
  <c r="F28" i="68"/>
  <c r="I9" i="68"/>
  <c r="D10" i="57"/>
  <c r="E28" i="64"/>
  <c r="I9" i="62"/>
  <c r="F10" i="60"/>
  <c r="D27" i="65"/>
  <c r="H8" i="53"/>
  <c r="G27" i="53"/>
  <c r="G9" i="59"/>
  <c r="D28" i="62"/>
  <c r="H27" i="65"/>
  <c r="E8" i="64"/>
  <c r="C28" i="62"/>
  <c r="C27" i="68"/>
  <c r="F28" i="60"/>
  <c r="E8" i="57"/>
  <c r="E28" i="59"/>
  <c r="J8" i="53"/>
  <c r="D28" i="60"/>
  <c r="E27" i="32"/>
  <c r="G28" i="62"/>
  <c r="J27" i="60"/>
  <c r="D28" i="68"/>
  <c r="G8" i="62"/>
  <c r="I27" i="59"/>
  <c r="F9" i="65"/>
  <c r="F9" i="61"/>
  <c r="D28" i="63"/>
  <c r="F28" i="61"/>
  <c r="I28" i="59"/>
  <c r="E28" i="60"/>
  <c r="J8" i="63"/>
  <c r="D28" i="57"/>
  <c r="C8" i="32"/>
  <c r="H28" i="61"/>
  <c r="E9" i="60"/>
  <c r="G29" i="65"/>
  <c r="C9" i="53"/>
  <c r="C28" i="53"/>
  <c r="J28" i="53"/>
  <c r="C28" i="68"/>
  <c r="E27" i="61"/>
  <c r="J28" i="64"/>
  <c r="J27" i="62"/>
  <c r="G28" i="60"/>
  <c r="C28" i="57"/>
  <c r="D9" i="63"/>
  <c r="H8" i="61"/>
  <c r="C9" i="64"/>
  <c r="C8" i="60"/>
  <c r="G28" i="59"/>
  <c r="G8" i="64"/>
  <c r="G27" i="68"/>
  <c r="I27" i="32"/>
  <c r="H28" i="64"/>
  <c r="F28" i="62"/>
  <c r="I28" i="62"/>
  <c r="I28" i="64"/>
  <c r="E27" i="53"/>
  <c r="H27" i="57"/>
  <c r="E8" i="61"/>
  <c r="D12" i="64"/>
  <c r="I11" i="59"/>
  <c r="I25" i="32"/>
  <c r="D8" i="53"/>
  <c r="D26" i="65"/>
  <c r="C25" i="62"/>
  <c r="F17" i="62"/>
  <c r="D20" i="59"/>
  <c r="H29" i="53"/>
  <c r="D15" i="65"/>
  <c r="I24" i="62"/>
  <c r="D21" i="61"/>
  <c r="J20" i="62"/>
  <c r="I26" i="68"/>
  <c r="D18" i="32"/>
  <c r="C20" i="61"/>
  <c r="I16" i="64"/>
  <c r="J18" i="63"/>
  <c r="H14" i="53"/>
  <c r="E8" i="32"/>
  <c r="F9" i="68"/>
  <c r="I19" i="61"/>
  <c r="E18" i="68"/>
  <c r="C17" i="62"/>
  <c r="E25" i="64"/>
  <c r="H17" i="32"/>
  <c r="J15" i="61"/>
  <c r="F11" i="56"/>
  <c r="I17" i="62"/>
  <c r="D14" i="32"/>
  <c r="D15" i="59"/>
  <c r="H19" i="60"/>
  <c r="J9" i="59"/>
  <c r="F13" i="68"/>
  <c r="E11" i="61"/>
  <c r="F9" i="63"/>
  <c r="I11" i="62"/>
  <c r="E12" i="63"/>
  <c r="E9" i="32"/>
  <c r="I17" i="32"/>
  <c r="F29" i="64"/>
  <c r="C22" i="62"/>
  <c r="C16" i="53"/>
  <c r="C15" i="63"/>
  <c r="C24" i="61"/>
  <c r="J29" i="64"/>
  <c r="C13" i="32"/>
  <c r="C21" i="64"/>
  <c r="G11" i="61"/>
  <c r="G8" i="63"/>
  <c r="C15" i="60"/>
  <c r="D29" i="64"/>
  <c r="D16" i="63"/>
  <c r="E13" i="64"/>
  <c r="I14" i="65"/>
  <c r="I28" i="61"/>
  <c r="F17" i="32"/>
  <c r="G16" i="62"/>
  <c r="H21" i="68"/>
  <c r="J22" i="60"/>
  <c r="H18" i="53"/>
  <c r="C22" i="53"/>
  <c r="G21" i="63"/>
  <c r="F20" i="61"/>
  <c r="H17" i="61"/>
  <c r="F9" i="53"/>
  <c r="H20" i="53"/>
  <c r="H9" i="62"/>
  <c r="G21" i="60"/>
  <c r="H22" i="68"/>
  <c r="F22" i="68"/>
  <c r="F14" i="59"/>
  <c r="G22" i="65"/>
  <c r="H10" i="56"/>
  <c r="G9" i="32"/>
  <c r="E11" i="64"/>
  <c r="I28" i="60"/>
  <c r="E10" i="60"/>
  <c r="G13" i="53"/>
  <c r="E10" i="65"/>
  <c r="F8" i="60"/>
  <c r="G19" i="59"/>
  <c r="H8" i="64"/>
  <c r="J11" i="65"/>
  <c r="G11" i="63"/>
  <c r="H29" i="62"/>
  <c r="H8" i="32"/>
  <c r="E21" i="62"/>
  <c r="C29" i="61"/>
  <c r="C9" i="62"/>
  <c r="I21" i="60"/>
  <c r="D14" i="64"/>
  <c r="C15" i="64"/>
  <c r="G19" i="60"/>
  <c r="G16" i="60"/>
  <c r="J17" i="65"/>
  <c r="C10" i="65"/>
  <c r="J11" i="68"/>
  <c r="D11" i="64"/>
  <c r="C27" i="60"/>
  <c r="H15" i="64"/>
  <c r="D9" i="61"/>
  <c r="G19" i="61"/>
  <c r="C11" i="53"/>
  <c r="F8" i="64"/>
  <c r="H11" i="64"/>
  <c r="C18" i="32"/>
  <c r="G9" i="61"/>
  <c r="F24" i="65"/>
  <c r="C14" i="64"/>
  <c r="I15" i="64"/>
  <c r="I8" i="64"/>
  <c r="I17" i="60"/>
  <c r="D10" i="32"/>
  <c r="E29" i="60"/>
  <c r="H17" i="65"/>
  <c r="H28" i="57"/>
  <c r="G12" i="63"/>
  <c r="H28" i="68"/>
  <c r="H20" i="65"/>
  <c r="C19" i="64"/>
  <c r="G25" i="64"/>
  <c r="J19" i="53"/>
  <c r="C24" i="57"/>
  <c r="F20" i="63"/>
  <c r="J13" i="56"/>
  <c r="C28" i="60"/>
  <c r="E10" i="61"/>
  <c r="F24" i="60"/>
  <c r="E18" i="63"/>
  <c r="I12" i="32"/>
  <c r="C15" i="61"/>
  <c r="G18" i="65"/>
  <c r="E13" i="65"/>
  <c r="G9" i="60"/>
  <c r="G25" i="60"/>
  <c r="G22" i="62"/>
  <c r="I18" i="32"/>
  <c r="I18" i="57"/>
  <c r="J23" i="63"/>
  <c r="J17" i="53"/>
  <c r="J12" i="57"/>
  <c r="H26" i="64"/>
  <c r="G29" i="57"/>
  <c r="D9" i="59"/>
  <c r="F11" i="57"/>
  <c r="F26" i="57"/>
  <c r="I9" i="32"/>
  <c r="J8" i="61"/>
  <c r="G16" i="63"/>
  <c r="I15" i="59"/>
  <c r="H23" i="62"/>
  <c r="E17" i="65"/>
  <c r="J19" i="63"/>
  <c r="D25" i="64"/>
  <c r="C13" i="61"/>
  <c r="H17" i="60"/>
  <c r="E9" i="61"/>
  <c r="I15" i="57"/>
  <c r="J11" i="60"/>
  <c r="H13" i="64"/>
  <c r="E14" i="59"/>
  <c r="I28" i="53"/>
  <c r="D8" i="59"/>
  <c r="F12" i="59"/>
  <c r="C27" i="57"/>
  <c r="C15" i="68"/>
  <c r="J16" i="61"/>
  <c r="I15" i="61"/>
  <c r="J14" i="32"/>
  <c r="H15" i="32"/>
  <c r="C22" i="57"/>
  <c r="H25" i="59"/>
  <c r="J16" i="57"/>
  <c r="J24" i="32"/>
  <c r="I19" i="59"/>
  <c r="J22" i="62"/>
  <c r="D16" i="65"/>
  <c r="D23" i="57"/>
  <c r="I26" i="63"/>
  <c r="I24" i="64"/>
  <c r="I18" i="63"/>
  <c r="H21" i="59"/>
  <c r="C24" i="53"/>
  <c r="J23" i="68"/>
  <c r="C13" i="59"/>
  <c r="C18" i="57"/>
  <c r="H23" i="57"/>
  <c r="E21" i="32"/>
  <c r="J8" i="56"/>
  <c r="D22" i="63"/>
  <c r="D21" i="64"/>
  <c r="G17" i="65"/>
  <c r="D18" i="64"/>
  <c r="I20" i="32"/>
  <c r="D18" i="63"/>
  <c r="D15" i="64"/>
  <c r="F26" i="60"/>
  <c r="G21" i="57"/>
  <c r="D23" i="68"/>
  <c r="E26" i="62"/>
  <c r="G26" i="64"/>
  <c r="E13" i="56"/>
  <c r="F9" i="57"/>
  <c r="E26" i="53"/>
  <c r="D22" i="62"/>
  <c r="G13" i="68"/>
  <c r="H19" i="68"/>
  <c r="C10" i="61"/>
  <c r="I20" i="59"/>
  <c r="H19" i="63"/>
  <c r="C21" i="62"/>
  <c r="C20" i="60"/>
  <c r="J21" i="57"/>
  <c r="G13" i="63"/>
  <c r="C21" i="63"/>
  <c r="C10" i="56"/>
  <c r="H23" i="60"/>
  <c r="F21" i="62"/>
  <c r="J23" i="32"/>
  <c r="C26" i="53"/>
  <c r="E26" i="57"/>
  <c r="C13" i="57"/>
  <c r="G25" i="59"/>
  <c r="E24" i="57"/>
  <c r="D8" i="32"/>
  <c r="C12" i="53"/>
  <c r="I29" i="57"/>
  <c r="H13" i="32"/>
  <c r="J13" i="65"/>
  <c r="E28" i="32"/>
  <c r="I11" i="60"/>
  <c r="J26" i="68"/>
  <c r="F13" i="53"/>
  <c r="F28" i="32"/>
  <c r="D17" i="59"/>
  <c r="I15" i="68"/>
  <c r="G11" i="68"/>
  <c r="E14" i="65"/>
  <c r="J10" i="57"/>
  <c r="H13" i="62"/>
  <c r="D13" i="57"/>
  <c r="I16" i="53"/>
  <c r="D14" i="60"/>
  <c r="H19" i="32"/>
  <c r="G26" i="61"/>
  <c r="D11" i="62"/>
  <c r="D11" i="59"/>
  <c r="J9" i="61"/>
  <c r="C11" i="60"/>
  <c r="E16" i="57"/>
  <c r="C12" i="61"/>
  <c r="F15" i="53"/>
  <c r="G14" i="63"/>
  <c r="F28" i="64"/>
  <c r="J10" i="68"/>
  <c r="C29" i="60"/>
  <c r="J13" i="32"/>
  <c r="D12" i="63"/>
  <c r="C24" i="32"/>
  <c r="C14" i="62"/>
  <c r="D9" i="32"/>
  <c r="E11" i="65"/>
  <c r="E22" i="65"/>
  <c r="J17" i="62"/>
  <c r="E15" i="53"/>
  <c r="D23" i="32"/>
  <c r="I12" i="53"/>
  <c r="D14" i="61"/>
  <c r="E27" i="63"/>
  <c r="H23" i="65"/>
  <c r="H24" i="65"/>
  <c r="D22" i="68"/>
  <c r="F16" i="53"/>
  <c r="H16" i="32"/>
  <c r="C23" i="68"/>
  <c r="C11" i="56"/>
  <c r="C23" i="65"/>
  <c r="G9" i="62"/>
  <c r="E28" i="62"/>
  <c r="D8" i="65"/>
  <c r="F29" i="53"/>
  <c r="H19" i="65"/>
  <c r="E25" i="53"/>
  <c r="C29" i="62"/>
  <c r="F17" i="65"/>
  <c r="I8" i="62"/>
  <c r="G20" i="32"/>
  <c r="E22" i="64"/>
  <c r="D23" i="53"/>
  <c r="H27" i="32"/>
  <c r="J26" i="64"/>
  <c r="F10" i="53"/>
  <c r="E8" i="63"/>
  <c r="C24" i="60"/>
  <c r="C11" i="59"/>
  <c r="I15" i="63"/>
  <c r="I17" i="64"/>
  <c r="I10" i="61"/>
  <c r="C11" i="68"/>
  <c r="I9" i="63"/>
  <c r="F29" i="65"/>
  <c r="F24" i="61"/>
  <c r="J12" i="32"/>
  <c r="C14" i="57"/>
  <c r="F20" i="57"/>
  <c r="G13" i="64"/>
  <c r="H12" i="65"/>
  <c r="J8" i="68"/>
  <c r="F12" i="53"/>
  <c r="H13" i="57"/>
  <c r="E8" i="53"/>
  <c r="F16" i="62"/>
  <c r="C17" i="53"/>
  <c r="H14" i="64"/>
  <c r="I15" i="53"/>
  <c r="G29" i="60"/>
  <c r="E23" i="61"/>
  <c r="D11" i="65"/>
  <c r="H13" i="68"/>
  <c r="I9" i="57"/>
  <c r="C28" i="63"/>
  <c r="I29" i="68"/>
  <c r="J13" i="63"/>
  <c r="G17" i="68"/>
  <c r="I18" i="59"/>
  <c r="I18" i="53"/>
  <c r="I9" i="56"/>
  <c r="C23" i="64"/>
  <c r="G26" i="57"/>
  <c r="F11" i="62"/>
  <c r="J15" i="68"/>
  <c r="E9" i="64"/>
  <c r="D18" i="59"/>
  <c r="I17" i="61"/>
  <c r="H23" i="53"/>
  <c r="G22" i="68"/>
  <c r="F9" i="62"/>
  <c r="H22" i="32"/>
  <c r="D29" i="57"/>
  <c r="I25" i="59"/>
  <c r="G23" i="53"/>
  <c r="H18" i="65"/>
  <c r="F15" i="62"/>
  <c r="C26" i="63"/>
  <c r="F16" i="68"/>
  <c r="D20" i="61"/>
  <c r="H25" i="60"/>
  <c r="J21" i="63"/>
  <c r="G15" i="60"/>
  <c r="J26" i="61"/>
  <c r="J20" i="53"/>
  <c r="D23" i="60"/>
  <c r="D24" i="63"/>
  <c r="H26" i="53"/>
  <c r="H24" i="61"/>
  <c r="F24" i="57"/>
  <c r="E22" i="63"/>
  <c r="G22" i="63"/>
  <c r="C18" i="59"/>
  <c r="E17" i="60"/>
  <c r="D9" i="56"/>
  <c r="J13" i="64"/>
  <c r="F26" i="59"/>
  <c r="J24" i="59"/>
  <c r="F28" i="57"/>
  <c r="G18" i="59"/>
  <c r="C23" i="53"/>
  <c r="H16" i="60"/>
  <c r="H12" i="63"/>
  <c r="H10" i="65"/>
  <c r="I10" i="64"/>
  <c r="G9" i="57"/>
  <c r="E11" i="60"/>
  <c r="D13" i="32"/>
  <c r="C17" i="57"/>
  <c r="F13" i="60"/>
  <c r="H11" i="32"/>
  <c r="C10" i="32"/>
  <c r="H10" i="60"/>
  <c r="H14" i="59"/>
  <c r="F19" i="63"/>
  <c r="C13" i="68"/>
  <c r="D13" i="62"/>
  <c r="H15" i="65"/>
  <c r="G27" i="63"/>
  <c r="I11" i="64"/>
  <c r="H16" i="59"/>
  <c r="G24" i="62"/>
  <c r="F20" i="68"/>
  <c r="G10" i="68"/>
  <c r="G17" i="63"/>
  <c r="F17" i="57"/>
  <c r="D9" i="65"/>
  <c r="F12" i="60"/>
  <c r="J24" i="63"/>
  <c r="J19" i="60"/>
  <c r="J23" i="65"/>
  <c r="E25" i="59"/>
  <c r="D12" i="60"/>
  <c r="G20" i="53"/>
  <c r="I26" i="60"/>
  <c r="H12" i="62"/>
  <c r="H29" i="61"/>
  <c r="C21" i="65"/>
  <c r="H9" i="63"/>
  <c r="I21" i="64"/>
  <c r="H28" i="60"/>
  <c r="H23" i="64"/>
  <c r="D28" i="64"/>
  <c r="I25" i="53"/>
  <c r="D25" i="62"/>
  <c r="J14" i="60"/>
  <c r="D13" i="61"/>
  <c r="G22" i="53"/>
  <c r="C12" i="32"/>
  <c r="H21" i="60"/>
  <c r="D26" i="61"/>
  <c r="H26" i="65"/>
  <c r="H20" i="68"/>
  <c r="I16" i="57"/>
  <c r="I10" i="63"/>
  <c r="J28" i="61"/>
  <c r="H9" i="59"/>
  <c r="J20" i="65"/>
  <c r="D9" i="57"/>
  <c r="I19" i="57"/>
  <c r="C29" i="63"/>
  <c r="F28" i="59"/>
  <c r="E13" i="68"/>
  <c r="D21" i="68"/>
  <c r="E21" i="53"/>
  <c r="C23" i="61"/>
  <c r="H15" i="60"/>
  <c r="I25" i="68"/>
  <c r="C11" i="63"/>
  <c r="J12" i="60"/>
  <c r="H21" i="63"/>
  <c r="I12" i="60"/>
  <c r="D17" i="61"/>
  <c r="E18" i="62"/>
  <c r="I11" i="61"/>
  <c r="H12" i="64"/>
  <c r="F23" i="64"/>
  <c r="D21" i="53"/>
  <c r="I23" i="63"/>
  <c r="G18" i="61"/>
  <c r="I14" i="53"/>
  <c r="J17" i="57"/>
  <c r="F10" i="63"/>
  <c r="C14" i="60"/>
  <c r="E10" i="63"/>
  <c r="G13" i="59"/>
  <c r="E10" i="59"/>
  <c r="H22" i="60"/>
  <c r="F11" i="59"/>
  <c r="J17" i="59"/>
  <c r="D10" i="61"/>
  <c r="C8" i="63"/>
  <c r="F10" i="68"/>
  <c r="G15" i="65"/>
  <c r="H28" i="59"/>
  <c r="H22" i="64"/>
  <c r="I19" i="68"/>
  <c r="E22" i="62"/>
  <c r="G28" i="61"/>
  <c r="D17" i="60"/>
  <c r="H14" i="61"/>
  <c r="G25" i="65"/>
  <c r="D20" i="62"/>
  <c r="E23" i="63"/>
  <c r="D22" i="57"/>
  <c r="C16" i="68"/>
  <c r="J14" i="62"/>
  <c r="C18" i="61"/>
  <c r="J9" i="64"/>
  <c r="D24" i="68"/>
  <c r="E20" i="63"/>
  <c r="G22" i="61"/>
  <c r="H23" i="59"/>
  <c r="D18" i="57"/>
  <c r="H16" i="68"/>
  <c r="D15" i="57"/>
  <c r="I24" i="59"/>
  <c r="H16" i="63"/>
  <c r="E10" i="64"/>
  <c r="E20" i="59"/>
  <c r="I13" i="60"/>
  <c r="D22" i="65"/>
  <c r="J10" i="56"/>
  <c r="J16" i="62"/>
  <c r="H15" i="63"/>
  <c r="J11" i="57"/>
  <c r="G26" i="68"/>
  <c r="G12" i="32"/>
  <c r="D9" i="62"/>
  <c r="H29" i="63"/>
  <c r="E19" i="59"/>
  <c r="F22" i="64"/>
  <c r="G13" i="61"/>
  <c r="G12" i="62"/>
  <c r="F10" i="64"/>
  <c r="H26" i="68"/>
  <c r="C8" i="59"/>
  <c r="C9" i="57"/>
  <c r="C9" i="60"/>
  <c r="D28" i="65"/>
  <c r="G24" i="53"/>
  <c r="G23" i="61"/>
  <c r="D10" i="53"/>
  <c r="J15" i="32"/>
  <c r="J24" i="53"/>
  <c r="E23" i="65"/>
  <c r="F11" i="32"/>
  <c r="H16" i="57"/>
  <c r="C17" i="65"/>
  <c r="D13" i="68"/>
  <c r="D9" i="53"/>
  <c r="E14" i="32"/>
  <c r="F10" i="59"/>
  <c r="F16" i="64"/>
  <c r="I25" i="57"/>
  <c r="I18" i="62"/>
  <c r="G18" i="60"/>
  <c r="F25" i="59"/>
  <c r="J24" i="61"/>
  <c r="C15" i="62"/>
  <c r="I11" i="56"/>
  <c r="J28" i="65"/>
  <c r="C14" i="61"/>
  <c r="E12" i="59"/>
  <c r="E26" i="60"/>
  <c r="J16" i="68"/>
  <c r="E19" i="63"/>
  <c r="G10" i="57"/>
  <c r="E14" i="64"/>
  <c r="H17" i="59"/>
  <c r="F19" i="53"/>
  <c r="I11" i="68"/>
  <c r="J17" i="64"/>
  <c r="G29" i="61"/>
  <c r="H9" i="56"/>
  <c r="H15" i="68"/>
  <c r="I12" i="56"/>
  <c r="H13" i="59"/>
  <c r="C28" i="32"/>
  <c r="I14" i="68"/>
  <c r="H13" i="60"/>
  <c r="G24" i="32"/>
  <c r="G10" i="59"/>
  <c r="F8" i="65"/>
  <c r="I14" i="60"/>
  <c r="H12" i="56"/>
  <c r="D22" i="32"/>
  <c r="D19" i="62"/>
  <c r="F16" i="63"/>
  <c r="G17" i="62"/>
  <c r="G16" i="68"/>
  <c r="G10" i="53"/>
  <c r="G18" i="63"/>
  <c r="I12" i="63"/>
  <c r="F22" i="57"/>
  <c r="G9" i="53"/>
  <c r="I18" i="64"/>
  <c r="J22" i="64"/>
  <c r="I17" i="63"/>
  <c r="I16" i="63"/>
  <c r="I8" i="65"/>
  <c r="F8" i="57"/>
  <c r="D10" i="64"/>
  <c r="E29" i="57"/>
  <c r="E11" i="62"/>
  <c r="D24" i="59"/>
  <c r="D23" i="63"/>
  <c r="C23" i="59"/>
  <c r="D22" i="53"/>
  <c r="F23" i="62"/>
  <c r="G20" i="68"/>
  <c r="F14" i="68"/>
  <c r="H22" i="61"/>
  <c r="F21" i="63"/>
  <c r="D22" i="59"/>
  <c r="J12" i="68"/>
  <c r="C16" i="62"/>
  <c r="C25" i="64"/>
  <c r="D20" i="65"/>
  <c r="C20" i="64"/>
  <c r="H9" i="68"/>
  <c r="I10" i="57"/>
  <c r="D14" i="63"/>
  <c r="G29" i="59"/>
  <c r="F9" i="64"/>
  <c r="D17" i="65"/>
  <c r="E15" i="57"/>
  <c r="I10" i="60"/>
  <c r="J11" i="62"/>
  <c r="F26" i="68"/>
  <c r="F11" i="63"/>
  <c r="I11" i="63"/>
  <c r="D10" i="63"/>
  <c r="G10" i="64"/>
  <c r="J17" i="60"/>
  <c r="J10" i="63"/>
  <c r="I19" i="64"/>
  <c r="J13" i="57"/>
  <c r="J15" i="65"/>
  <c r="I14" i="59"/>
  <c r="H9" i="65"/>
  <c r="C23" i="62"/>
  <c r="I29" i="59"/>
  <c r="F21" i="60"/>
  <c r="C12" i="59"/>
  <c r="J8" i="62"/>
  <c r="F16" i="61"/>
  <c r="J15" i="60"/>
  <c r="I10" i="68"/>
  <c r="I13" i="68"/>
  <c r="F14" i="62"/>
  <c r="I26" i="57"/>
  <c r="C17" i="64"/>
  <c r="E11" i="68"/>
  <c r="F21" i="59"/>
  <c r="C25" i="53"/>
  <c r="E29" i="65"/>
  <c r="G29" i="62"/>
  <c r="C14" i="53"/>
  <c r="F29" i="68"/>
  <c r="D28" i="53"/>
  <c r="G14" i="65"/>
  <c r="J14" i="61"/>
  <c r="E13" i="62"/>
  <c r="G15" i="57"/>
  <c r="F20" i="64"/>
  <c r="J9" i="57"/>
  <c r="E24" i="62"/>
  <c r="C20" i="63"/>
  <c r="G10" i="56"/>
  <c r="G17" i="59"/>
  <c r="C8" i="68"/>
  <c r="I10" i="53"/>
  <c r="C11" i="62"/>
  <c r="H24" i="60"/>
  <c r="C27" i="64"/>
  <c r="F20" i="32"/>
  <c r="E9" i="68"/>
  <c r="C8" i="65"/>
  <c r="I11" i="53"/>
  <c r="D10" i="60"/>
  <c r="G25" i="32"/>
  <c r="D24" i="32"/>
  <c r="D29" i="63"/>
  <c r="F23" i="65"/>
  <c r="G14" i="59"/>
  <c r="G12" i="59"/>
  <c r="D10" i="68"/>
  <c r="F11" i="53"/>
  <c r="E15" i="65"/>
  <c r="C9" i="32"/>
  <c r="E13" i="63"/>
  <c r="G16" i="53"/>
  <c r="F12" i="62"/>
  <c r="G21" i="61"/>
  <c r="H11" i="59"/>
  <c r="E17" i="61"/>
  <c r="H11" i="63"/>
  <c r="J8" i="65"/>
  <c r="H8" i="59"/>
  <c r="I12" i="61"/>
  <c r="C9" i="65"/>
  <c r="H18" i="61"/>
  <c r="E15" i="64"/>
  <c r="F19" i="59"/>
  <c r="J9" i="63"/>
  <c r="G15" i="64"/>
  <c r="E21" i="61"/>
  <c r="G14" i="53"/>
  <c r="F13" i="57"/>
  <c r="J12" i="53"/>
  <c r="I11" i="57"/>
  <c r="D11" i="60"/>
  <c r="G24" i="68"/>
  <c r="E15" i="62"/>
  <c r="C20" i="32"/>
  <c r="D19" i="53"/>
  <c r="G11" i="56"/>
  <c r="I22" i="63"/>
  <c r="F23" i="61"/>
  <c r="C20" i="59"/>
  <c r="I26" i="32"/>
  <c r="G12" i="57"/>
  <c r="C20" i="53"/>
  <c r="I20" i="57"/>
  <c r="J26" i="53"/>
  <c r="C13" i="62"/>
  <c r="G14" i="57"/>
  <c r="D12" i="61"/>
  <c r="H15" i="61"/>
  <c r="G12" i="60"/>
  <c r="F19" i="62"/>
  <c r="I13" i="59"/>
  <c r="F13" i="59"/>
  <c r="H27" i="62"/>
  <c r="H12" i="59"/>
  <c r="E24" i="65"/>
  <c r="E13" i="61"/>
  <c r="I8" i="59"/>
  <c r="C16" i="59"/>
  <c r="G10" i="65"/>
  <c r="F14" i="61"/>
  <c r="I13" i="32"/>
  <c r="J11" i="61"/>
  <c r="G8" i="57"/>
  <c r="I19" i="32"/>
  <c r="F13" i="65"/>
  <c r="D14" i="59"/>
  <c r="I13" i="53"/>
  <c r="I13" i="64"/>
  <c r="E13" i="32"/>
  <c r="G11" i="62"/>
  <c r="H11" i="57"/>
  <c r="E22" i="53"/>
  <c r="I22" i="59"/>
  <c r="J10" i="65"/>
  <c r="G28" i="68"/>
  <c r="J14" i="65"/>
  <c r="J15" i="63"/>
  <c r="I8" i="63"/>
  <c r="G24" i="60"/>
  <c r="D17" i="57"/>
  <c r="H10" i="63"/>
  <c r="D13" i="65"/>
  <c r="H29" i="68"/>
  <c r="J21" i="32"/>
  <c r="C11" i="57"/>
  <c r="F17" i="64"/>
  <c r="F15" i="60"/>
  <c r="C24" i="64"/>
  <c r="E18" i="65"/>
  <c r="F26" i="63"/>
  <c r="G15" i="68"/>
  <c r="E26" i="61"/>
  <c r="F17" i="53"/>
  <c r="J14" i="64"/>
  <c r="H11" i="68"/>
  <c r="G11" i="60"/>
  <c r="G12" i="53"/>
  <c r="H13" i="53"/>
  <c r="F14" i="53"/>
  <c r="J12" i="64"/>
  <c r="C12" i="65"/>
  <c r="I10" i="32"/>
  <c r="J11" i="56"/>
  <c r="C18" i="53"/>
  <c r="I21" i="61"/>
  <c r="H10" i="32"/>
  <c r="E13" i="57"/>
  <c r="F22" i="61"/>
  <c r="H8" i="63"/>
  <c r="D15" i="63"/>
  <c r="G29" i="68"/>
  <c r="J15" i="62"/>
  <c r="E9" i="65"/>
  <c r="I14" i="61"/>
  <c r="D10" i="59"/>
  <c r="G11" i="57"/>
  <c r="C19" i="63"/>
  <c r="E10" i="53"/>
  <c r="H9" i="32"/>
  <c r="H13" i="61"/>
  <c r="E10" i="32"/>
  <c r="E9" i="59"/>
  <c r="H11" i="53"/>
  <c r="C26" i="65"/>
  <c r="H10" i="64"/>
  <c r="H12" i="32"/>
  <c r="G10" i="63"/>
  <c r="C27" i="65"/>
  <c r="F8" i="68"/>
  <c r="F13" i="64"/>
  <c r="I13" i="62"/>
  <c r="F15" i="32"/>
  <c r="D25" i="65"/>
  <c r="J11" i="64"/>
  <c r="E12" i="60"/>
  <c r="G11" i="59"/>
  <c r="E17" i="62"/>
  <c r="D22" i="60"/>
  <c r="F25" i="61"/>
  <c r="G23" i="63"/>
  <c r="F18" i="32"/>
  <c r="E12" i="65"/>
  <c r="E19" i="61"/>
  <c r="F26" i="61"/>
  <c r="I17" i="57"/>
  <c r="C25" i="61"/>
  <c r="G13" i="62"/>
  <c r="D20" i="53"/>
  <c r="C27" i="63"/>
  <c r="F22" i="63"/>
  <c r="I8" i="53"/>
  <c r="E11" i="53"/>
  <c r="C22" i="64"/>
  <c r="F8" i="32"/>
  <c r="I14" i="62"/>
  <c r="G15" i="63"/>
  <c r="F8" i="53"/>
  <c r="E15" i="32"/>
  <c r="E11" i="59"/>
  <c r="F14" i="63"/>
  <c r="D28" i="61"/>
  <c r="E8" i="68"/>
  <c r="D11" i="68"/>
  <c r="H11" i="61"/>
  <c r="E8" i="60"/>
  <c r="F11" i="64"/>
  <c r="J18" i="61"/>
  <c r="E9" i="53"/>
  <c r="J12" i="62"/>
  <c r="E16" i="64"/>
  <c r="G12" i="68"/>
  <c r="D11" i="61"/>
  <c r="H12" i="61"/>
  <c r="H10" i="57"/>
  <c r="J9" i="56"/>
  <c r="C14" i="63"/>
  <c r="E25" i="68"/>
  <c r="E28" i="57"/>
  <c r="G16" i="65"/>
  <c r="D12" i="59"/>
  <c r="H11" i="60"/>
  <c r="J8" i="57"/>
  <c r="G19" i="57"/>
  <c r="D26" i="68"/>
  <c r="C25" i="32"/>
  <c r="C16" i="61"/>
  <c r="C11" i="65"/>
  <c r="D12" i="32"/>
  <c r="I12" i="64"/>
  <c r="I23" i="57"/>
  <c r="J11" i="63"/>
  <c r="G14" i="60"/>
  <c r="G8" i="60"/>
  <c r="D14" i="57"/>
  <c r="D20" i="64"/>
  <c r="E13" i="59"/>
  <c r="F17" i="63"/>
  <c r="H21" i="62"/>
  <c r="I13" i="63"/>
  <c r="E24" i="68"/>
  <c r="C14" i="65"/>
  <c r="I10" i="59"/>
  <c r="H12" i="53"/>
  <c r="E10" i="68"/>
  <c r="F16" i="60"/>
  <c r="D13" i="63"/>
  <c r="D18" i="62"/>
  <c r="I14" i="57"/>
  <c r="J10" i="53"/>
  <c r="H16" i="65"/>
  <c r="D10" i="65"/>
  <c r="E16" i="59"/>
  <c r="J26" i="62"/>
  <c r="G20" i="59"/>
  <c r="D13" i="53"/>
  <c r="C12" i="64"/>
  <c r="G11" i="53"/>
  <c r="D24" i="57"/>
  <c r="E29" i="63"/>
  <c r="I13" i="57"/>
  <c r="G10" i="61"/>
  <c r="D11" i="53"/>
  <c r="C10" i="53"/>
  <c r="H14" i="32"/>
  <c r="F18" i="53"/>
  <c r="C20" i="57"/>
  <c r="I26" i="53"/>
  <c r="F11" i="61"/>
  <c r="H14" i="65"/>
  <c r="F15" i="57"/>
  <c r="J11" i="32"/>
  <c r="I13" i="61"/>
  <c r="E8" i="59"/>
  <c r="C19" i="53"/>
  <c r="I24" i="63"/>
  <c r="I9" i="53"/>
  <c r="E14" i="53"/>
  <c r="J29" i="65"/>
  <c r="I9" i="60"/>
  <c r="F28" i="63"/>
  <c r="C18" i="62"/>
  <c r="I16" i="62"/>
  <c r="F13" i="61"/>
  <c r="D12" i="53"/>
  <c r="F20" i="59"/>
  <c r="H12" i="60"/>
  <c r="F24" i="59"/>
  <c r="G15" i="62"/>
  <c r="I24" i="32"/>
  <c r="G23" i="64"/>
  <c r="H18" i="64"/>
  <c r="C9" i="61"/>
  <c r="D16" i="68"/>
  <c r="D16" i="60"/>
  <c r="I19" i="53"/>
  <c r="J14" i="63"/>
  <c r="F24" i="63"/>
  <c r="I13" i="56"/>
  <c r="E9" i="56"/>
  <c r="D25" i="32"/>
  <c r="D21" i="62"/>
  <c r="F15" i="63"/>
  <c r="J25" i="32"/>
  <c r="D19" i="57"/>
  <c r="F12" i="32"/>
  <c r="F18" i="62"/>
  <c r="G14" i="62"/>
  <c r="E19" i="62"/>
  <c r="I28" i="68"/>
  <c r="F29" i="59"/>
  <c r="C10" i="59"/>
  <c r="G14" i="61"/>
  <c r="F12" i="63"/>
  <c r="F22" i="32"/>
  <c r="F23" i="63"/>
  <c r="J23" i="57"/>
  <c r="F18" i="61"/>
  <c r="E16" i="68"/>
  <c r="F18" i="59"/>
  <c r="C17" i="63"/>
  <c r="G19" i="68"/>
  <c r="I21" i="63"/>
  <c r="G23" i="32"/>
  <c r="D12" i="62"/>
  <c r="I22" i="61"/>
  <c r="H17" i="68"/>
  <c r="H26" i="61"/>
  <c r="E12" i="57"/>
  <c r="H19" i="64"/>
  <c r="G21" i="32"/>
  <c r="J25" i="61"/>
  <c r="H21" i="65"/>
  <c r="F14" i="60"/>
  <c r="E27" i="64"/>
  <c r="J10" i="32"/>
  <c r="E18" i="59"/>
  <c r="I27" i="68"/>
  <c r="C15" i="53"/>
  <c r="F23" i="60"/>
  <c r="E24" i="59"/>
  <c r="J13" i="60"/>
  <c r="H18" i="57"/>
  <c r="F13" i="63"/>
  <c r="F25" i="65"/>
  <c r="I12" i="57"/>
  <c r="J18" i="64"/>
  <c r="I23" i="32"/>
  <c r="H22" i="65"/>
  <c r="H26" i="57"/>
  <c r="H18" i="59"/>
  <c r="D18" i="68"/>
  <c r="G21" i="62"/>
  <c r="I25" i="60"/>
  <c r="C25" i="65"/>
  <c r="I27" i="60"/>
  <c r="I16" i="59"/>
  <c r="J21" i="61"/>
  <c r="E24" i="61"/>
  <c r="G18" i="57"/>
  <c r="D15" i="61"/>
  <c r="C10" i="63"/>
  <c r="F20" i="62"/>
  <c r="H29" i="59"/>
  <c r="G14" i="68"/>
  <c r="H12" i="68"/>
  <c r="G13" i="57"/>
  <c r="J10" i="60"/>
  <c r="C16" i="60"/>
  <c r="C26" i="64"/>
  <c r="J26" i="57"/>
  <c r="E15" i="59"/>
  <c r="E21" i="63"/>
  <c r="E20" i="60"/>
  <c r="J13" i="61"/>
  <c r="I23" i="53"/>
  <c r="E14" i="57"/>
  <c r="J8" i="60"/>
  <c r="C18" i="64"/>
  <c r="E10" i="56"/>
  <c r="G12" i="65"/>
  <c r="D21" i="59"/>
  <c r="H11" i="65"/>
  <c r="H26" i="59"/>
  <c r="D26" i="64"/>
  <c r="D19" i="61"/>
  <c r="F24" i="62"/>
  <c r="H12" i="57"/>
  <c r="C15" i="65"/>
  <c r="I13" i="65"/>
  <c r="D11" i="56"/>
  <c r="D14" i="68"/>
  <c r="C19" i="60"/>
  <c r="F24" i="68"/>
  <c r="F19" i="61"/>
  <c r="C18" i="60"/>
  <c r="F17" i="60"/>
  <c r="G16" i="61"/>
  <c r="I29" i="63"/>
  <c r="D23" i="61"/>
  <c r="J15" i="57"/>
  <c r="H23" i="32"/>
  <c r="F12" i="68"/>
  <c r="J18" i="60"/>
  <c r="E23" i="68"/>
  <c r="E24" i="53"/>
  <c r="D13" i="60"/>
  <c r="J20" i="60"/>
  <c r="G20" i="61"/>
  <c r="I20" i="61"/>
  <c r="J16" i="53"/>
  <c r="D18" i="65"/>
  <c r="C11" i="61"/>
  <c r="J22" i="63"/>
  <c r="C22" i="60"/>
  <c r="E22" i="57"/>
  <c r="E14" i="68"/>
  <c r="F21" i="64"/>
  <c r="G21" i="68"/>
  <c r="H15" i="59"/>
  <c r="H21" i="53"/>
  <c r="F16" i="32"/>
  <c r="G29" i="63"/>
  <c r="F25" i="60"/>
  <c r="D16" i="32"/>
  <c r="E18" i="64"/>
  <c r="J23" i="64"/>
  <c r="I24" i="61"/>
  <c r="J11" i="59"/>
  <c r="J12" i="59"/>
  <c r="F13" i="62"/>
  <c r="F15" i="68"/>
  <c r="D24" i="53"/>
  <c r="G21" i="59"/>
  <c r="C25" i="63"/>
  <c r="H25" i="53"/>
  <c r="I15" i="32"/>
  <c r="J20" i="64"/>
  <c r="F18" i="63"/>
  <c r="G24" i="57"/>
  <c r="H20" i="63"/>
  <c r="I24" i="60"/>
  <c r="G18" i="64"/>
  <c r="G16" i="59"/>
  <c r="D16" i="64"/>
  <c r="J19" i="62"/>
  <c r="C22" i="32"/>
  <c r="C23" i="63"/>
  <c r="F22" i="60"/>
  <c r="J15" i="53"/>
  <c r="C24" i="62"/>
  <c r="I18" i="61"/>
  <c r="G19" i="64"/>
  <c r="I16" i="32"/>
  <c r="I21" i="53"/>
  <c r="I14" i="32"/>
  <c r="J22" i="65"/>
  <c r="D16" i="61"/>
  <c r="E25" i="62"/>
  <c r="F23" i="59"/>
  <c r="G26" i="32"/>
  <c r="D26" i="57"/>
  <c r="H10" i="68"/>
  <c r="E29" i="62"/>
  <c r="H17" i="63"/>
  <c r="J15" i="59"/>
  <c r="C26" i="57"/>
  <c r="C29" i="53"/>
  <c r="C12" i="68"/>
  <c r="D27" i="57"/>
  <c r="E16" i="32"/>
  <c r="D19" i="65"/>
  <c r="C18" i="68"/>
  <c r="F19" i="60"/>
  <c r="F24" i="53"/>
  <c r="G18" i="53"/>
  <c r="E20" i="64"/>
  <c r="C19" i="32"/>
  <c r="E25" i="65"/>
  <c r="G9" i="56"/>
  <c r="E16" i="60"/>
  <c r="H20" i="59"/>
  <c r="H21" i="64"/>
  <c r="F25" i="68"/>
  <c r="G25" i="61"/>
  <c r="I15" i="62"/>
  <c r="G19" i="53"/>
  <c r="H9" i="61"/>
  <c r="J15" i="64"/>
  <c r="C22" i="65"/>
  <c r="D20" i="32"/>
  <c r="E26" i="64"/>
  <c r="D25" i="61"/>
  <c r="D25" i="59"/>
  <c r="C21" i="59"/>
  <c r="C26" i="60"/>
  <c r="C10" i="68"/>
  <c r="E14" i="60"/>
  <c r="E26" i="68"/>
  <c r="E11" i="57"/>
  <c r="H24" i="62"/>
  <c r="J17" i="61"/>
  <c r="E19" i="64"/>
  <c r="E25" i="61"/>
  <c r="E22" i="59"/>
  <c r="E17" i="68"/>
  <c r="G17" i="64"/>
  <c r="F29" i="60"/>
  <c r="F22" i="59"/>
  <c r="E23" i="64"/>
  <c r="E12" i="61"/>
  <c r="E27" i="65"/>
  <c r="H15" i="53"/>
  <c r="D24" i="60"/>
  <c r="G18" i="62"/>
  <c r="I8" i="60"/>
  <c r="I12" i="59"/>
  <c r="D21" i="57"/>
  <c r="F25" i="62"/>
  <c r="D21" i="32"/>
  <c r="J20" i="32"/>
  <c r="F21" i="68"/>
  <c r="C17" i="60"/>
  <c r="G14" i="64"/>
  <c r="J17" i="32"/>
  <c r="D9" i="60"/>
  <c r="E13" i="53"/>
  <c r="F25" i="57"/>
  <c r="F22" i="53"/>
  <c r="F21" i="65"/>
  <c r="H14" i="63"/>
  <c r="D25" i="60"/>
  <c r="E12" i="64"/>
  <c r="C12" i="60"/>
  <c r="D16" i="62"/>
  <c r="F22" i="62"/>
  <c r="I17" i="53"/>
  <c r="F16" i="57"/>
  <c r="J16" i="65"/>
  <c r="F20" i="60"/>
  <c r="G8" i="53"/>
  <c r="C10" i="57"/>
  <c r="C11" i="32"/>
  <c r="C10" i="60"/>
  <c r="D12" i="68"/>
  <c r="F16" i="65"/>
  <c r="G13" i="65"/>
  <c r="G13" i="32"/>
  <c r="F10" i="61"/>
  <c r="F9" i="56"/>
  <c r="H19" i="59"/>
  <c r="G20" i="65"/>
  <c r="I22" i="32"/>
  <c r="G23" i="57"/>
  <c r="G22" i="60"/>
  <c r="J26" i="59"/>
  <c r="H24" i="32"/>
  <c r="H23" i="61"/>
  <c r="D25" i="57"/>
  <c r="G23" i="65"/>
  <c r="F19" i="32"/>
  <c r="F25" i="64"/>
  <c r="J21" i="65"/>
  <c r="I12" i="65"/>
  <c r="G11" i="64"/>
  <c r="G17" i="32"/>
  <c r="J17" i="68"/>
  <c r="J23" i="60"/>
  <c r="E16" i="65"/>
  <c r="D20" i="68"/>
  <c r="H10" i="61"/>
  <c r="J22" i="61"/>
  <c r="I11" i="32"/>
  <c r="C19" i="65"/>
  <c r="G19" i="65"/>
  <c r="J17" i="63"/>
  <c r="I10" i="56"/>
  <c r="C8" i="53"/>
  <c r="F18" i="64"/>
  <c r="I23" i="60"/>
  <c r="E21" i="65"/>
  <c r="H15" i="57"/>
  <c r="H19" i="57"/>
  <c r="I20" i="64"/>
  <c r="F15" i="64"/>
  <c r="D11" i="57"/>
  <c r="D11" i="32"/>
  <c r="J23" i="53"/>
  <c r="F15" i="65"/>
  <c r="H18" i="32"/>
  <c r="J25" i="59"/>
  <c r="E17" i="59"/>
  <c r="I24" i="68"/>
  <c r="D15" i="32"/>
  <c r="D17" i="32"/>
  <c r="H27" i="64"/>
  <c r="J23" i="61"/>
  <c r="E21" i="59"/>
  <c r="F26" i="65"/>
  <c r="D17" i="63"/>
  <c r="H17" i="57"/>
  <c r="C25" i="57"/>
  <c r="D24" i="62"/>
  <c r="D24" i="61"/>
  <c r="J11" i="53"/>
  <c r="G22" i="57"/>
  <c r="D22" i="64"/>
  <c r="F25" i="53"/>
  <c r="E20" i="53"/>
  <c r="G26" i="62"/>
  <c r="C15" i="32"/>
  <c r="J19" i="68"/>
  <c r="G20" i="63"/>
  <c r="E19" i="32"/>
  <c r="D14" i="65"/>
  <c r="C26" i="32"/>
  <c r="D13" i="59"/>
  <c r="E20" i="65"/>
  <c r="C22" i="68"/>
  <c r="I23" i="68"/>
  <c r="E18" i="57"/>
  <c r="I12" i="68"/>
  <c r="C13" i="60"/>
  <c r="G24" i="59"/>
  <c r="J14" i="53"/>
  <c r="C18" i="63"/>
  <c r="J24" i="64"/>
  <c r="C13" i="56"/>
  <c r="C19" i="62"/>
  <c r="C12" i="62"/>
  <c r="E14" i="61"/>
  <c r="E20" i="57"/>
  <c r="C12" i="57"/>
  <c r="J16" i="64"/>
  <c r="H10" i="53"/>
  <c r="F8" i="61"/>
  <c r="F22" i="65"/>
  <c r="D11" i="63"/>
  <c r="H17" i="53"/>
  <c r="D17" i="62"/>
  <c r="G18" i="32"/>
  <c r="I23" i="59"/>
  <c r="G24" i="63"/>
  <c r="D19" i="32"/>
  <c r="J24" i="68"/>
  <c r="D29" i="68"/>
  <c r="G17" i="60"/>
  <c r="D26" i="60"/>
  <c r="C8" i="57"/>
  <c r="J20" i="59"/>
  <c r="J22" i="59"/>
  <c r="H25" i="32"/>
  <c r="H29" i="65"/>
  <c r="J18" i="65"/>
  <c r="D16" i="57"/>
  <c r="D15" i="62"/>
  <c r="F10" i="32"/>
  <c r="E20" i="61"/>
  <c r="H8" i="56"/>
  <c r="G17" i="53"/>
  <c r="I12" i="62"/>
  <c r="E22" i="60"/>
  <c r="C17" i="68"/>
  <c r="H18" i="63"/>
  <c r="C24" i="68"/>
  <c r="C21" i="53"/>
  <c r="H20" i="60"/>
  <c r="J12" i="65"/>
  <c r="G11" i="65"/>
  <c r="D18" i="60"/>
  <c r="G24" i="61"/>
  <c r="C24" i="59"/>
  <c r="G14" i="32"/>
  <c r="F11" i="60"/>
  <c r="C10" i="64"/>
  <c r="J26" i="65"/>
  <c r="G11" i="32"/>
  <c r="H18" i="62"/>
  <c r="D17" i="53"/>
  <c r="H19" i="53"/>
  <c r="D14" i="62"/>
  <c r="G23" i="68"/>
  <c r="J21" i="62"/>
  <c r="E12" i="68"/>
  <c r="H24" i="68"/>
  <c r="E16" i="53"/>
  <c r="D22" i="61"/>
  <c r="D26" i="62"/>
  <c r="E25" i="63"/>
  <c r="C9" i="59"/>
  <c r="G26" i="60"/>
  <c r="H20" i="61"/>
  <c r="G23" i="62"/>
  <c r="I23" i="62"/>
  <c r="H28" i="32"/>
  <c r="J24" i="65"/>
  <c r="F17" i="59"/>
  <c r="J29" i="61"/>
  <c r="F21" i="57"/>
  <c r="H24" i="57"/>
  <c r="J13" i="59"/>
  <c r="H9" i="60"/>
  <c r="G15" i="32"/>
  <c r="J25" i="57"/>
  <c r="F21" i="53"/>
  <c r="C26" i="68"/>
  <c r="E19" i="57"/>
  <c r="F23" i="32"/>
  <c r="F26" i="53"/>
  <c r="E8" i="62"/>
  <c r="J18" i="68"/>
  <c r="H20" i="32"/>
  <c r="G15" i="53"/>
  <c r="D12" i="65"/>
  <c r="H22" i="57"/>
  <c r="E23" i="57"/>
  <c r="H25" i="68"/>
  <c r="D12" i="57"/>
  <c r="H13" i="63"/>
  <c r="I21" i="62"/>
  <c r="G13" i="60"/>
  <c r="J14" i="59"/>
  <c r="C12" i="63"/>
  <c r="I16" i="68"/>
  <c r="H11" i="62"/>
  <c r="C22" i="59"/>
  <c r="F10" i="57"/>
  <c r="H16" i="61"/>
  <c r="D27" i="61"/>
  <c r="E15" i="61"/>
  <c r="F11" i="68"/>
  <c r="E18" i="61"/>
  <c r="E11" i="32"/>
  <c r="F26" i="32"/>
  <c r="J9" i="53"/>
  <c r="D19" i="59"/>
  <c r="J26" i="32"/>
  <c r="E13" i="60"/>
  <c r="H20" i="62"/>
  <c r="J12" i="61"/>
  <c r="G25" i="63"/>
  <c r="J22" i="32"/>
  <c r="C13" i="53"/>
  <c r="J19" i="57"/>
  <c r="F17" i="61"/>
  <c r="F15" i="61"/>
  <c r="I14" i="63"/>
  <c r="E23" i="32"/>
  <c r="I18" i="68"/>
  <c r="F24" i="64"/>
  <c r="E24" i="60"/>
  <c r="D10" i="56"/>
  <c r="C17" i="32"/>
  <c r="E21" i="64"/>
  <c r="F16" i="59"/>
  <c r="F14" i="57"/>
  <c r="C13" i="64"/>
  <c r="C23" i="60"/>
  <c r="J19" i="64"/>
  <c r="I22" i="60"/>
  <c r="D25" i="68"/>
  <c r="I15" i="60"/>
  <c r="J20" i="61"/>
  <c r="I20" i="60"/>
  <c r="J25" i="53"/>
  <c r="J18" i="32"/>
  <c r="G20" i="60"/>
  <c r="J25" i="64"/>
  <c r="C20" i="65"/>
  <c r="J13" i="62"/>
  <c r="D25" i="63"/>
  <c r="F14" i="64"/>
  <c r="F19" i="64"/>
  <c r="I21" i="59"/>
  <c r="F18" i="68"/>
  <c r="G17" i="57"/>
  <c r="I20" i="53"/>
  <c r="D25" i="53"/>
  <c r="F19" i="68"/>
  <c r="H22" i="63"/>
  <c r="F12" i="65"/>
  <c r="C8" i="56"/>
  <c r="I22" i="64"/>
  <c r="H15" i="62"/>
  <c r="H25" i="61"/>
  <c r="E9" i="57"/>
  <c r="E15" i="68"/>
  <c r="E16" i="62"/>
  <c r="C16" i="32"/>
  <c r="D15" i="60"/>
  <c r="G10" i="32"/>
  <c r="G10" i="60"/>
  <c r="E18" i="53"/>
  <c r="H22" i="62"/>
  <c r="E24" i="32"/>
  <c r="D21" i="60"/>
  <c r="C16" i="65"/>
  <c r="C16" i="57"/>
  <c r="J21" i="64"/>
  <c r="F11" i="65"/>
  <c r="E25" i="60"/>
  <c r="F25" i="63"/>
  <c r="E22" i="32"/>
  <c r="C14" i="59"/>
  <c r="J16" i="63"/>
  <c r="G19" i="63"/>
  <c r="D18" i="53"/>
  <c r="G16" i="57"/>
  <c r="E17" i="53"/>
  <c r="G19" i="32"/>
  <c r="I24" i="53"/>
  <c r="E9" i="62"/>
  <c r="E14" i="62"/>
  <c r="D24" i="64"/>
  <c r="I14" i="64"/>
  <c r="C17" i="59"/>
  <c r="F14" i="65"/>
  <c r="G25" i="53"/>
  <c r="D9" i="68"/>
  <c r="I22" i="53"/>
  <c r="F23" i="53"/>
  <c r="D29" i="53"/>
  <c r="G25" i="57"/>
  <c r="F19" i="65"/>
  <c r="J25" i="63"/>
  <c r="G16" i="32"/>
  <c r="D26" i="53"/>
  <c r="D21" i="63"/>
  <c r="J21" i="59"/>
  <c r="H17" i="64"/>
  <c r="I17" i="68"/>
  <c r="C26" i="61"/>
  <c r="I22" i="57"/>
  <c r="C11" i="64"/>
  <c r="G13" i="56"/>
  <c r="F20" i="65"/>
  <c r="J26" i="60"/>
  <c r="I15" i="65"/>
  <c r="E22" i="61"/>
  <c r="H24" i="59"/>
  <c r="J21" i="60"/>
  <c r="I25" i="64"/>
  <c r="F13" i="32"/>
  <c r="J14" i="68"/>
  <c r="D17" i="68"/>
  <c r="E26" i="63"/>
  <c r="F25" i="32"/>
  <c r="I26" i="64"/>
  <c r="D26" i="63"/>
  <c r="H22" i="53"/>
  <c r="I20" i="68"/>
  <c r="D24" i="65"/>
  <c r="C13" i="63"/>
  <c r="F21" i="61"/>
  <c r="H26" i="60"/>
  <c r="C14" i="32"/>
  <c r="E18" i="32"/>
  <c r="H22" i="59"/>
  <c r="F18" i="65"/>
  <c r="E12" i="53"/>
  <c r="J25" i="62"/>
  <c r="C26" i="62"/>
  <c r="C21" i="57"/>
  <c r="G26" i="65"/>
  <c r="J10" i="59"/>
  <c r="D23" i="64"/>
  <c r="H19" i="61"/>
  <c r="J24" i="57"/>
  <c r="I21" i="68"/>
  <c r="C20" i="68"/>
  <c r="D14" i="53"/>
  <c r="E11" i="63"/>
  <c r="J28" i="60"/>
  <c r="I16" i="65"/>
  <c r="J10" i="64"/>
  <c r="H14" i="62"/>
  <c r="F12" i="64"/>
  <c r="G9" i="65"/>
  <c r="I24" i="57"/>
  <c r="J16" i="60"/>
  <c r="I22" i="62"/>
  <c r="G20" i="57"/>
  <c r="D20" i="60"/>
  <c r="G24" i="65"/>
  <c r="G20" i="64"/>
  <c r="J13" i="53"/>
  <c r="G23" i="60"/>
  <c r="E25" i="32"/>
  <c r="H21" i="57"/>
  <c r="D15" i="68"/>
  <c r="J19" i="59"/>
  <c r="C21" i="68"/>
  <c r="H25" i="62"/>
  <c r="G12" i="64"/>
  <c r="C16" i="63"/>
  <c r="J22" i="53"/>
  <c r="H25" i="64"/>
  <c r="F8" i="56"/>
  <c r="D18" i="61"/>
  <c r="H19" i="62"/>
  <c r="C19" i="57"/>
  <c r="E23" i="53"/>
  <c r="I29" i="60"/>
  <c r="J22" i="68"/>
  <c r="E19" i="65"/>
  <c r="G22" i="32"/>
  <c r="F23" i="68"/>
  <c r="I21" i="57"/>
  <c r="J8" i="32"/>
  <c r="H23" i="63"/>
  <c r="H21" i="32"/>
  <c r="E20" i="32"/>
  <c r="C8" i="64"/>
  <c r="C17" i="61"/>
  <c r="E20" i="62"/>
  <c r="F13" i="56"/>
  <c r="G23" i="59"/>
  <c r="G22" i="59"/>
  <c r="E14" i="63"/>
  <c r="H20" i="64"/>
  <c r="C23" i="57"/>
  <c r="J26" i="63"/>
  <c r="H25" i="63"/>
  <c r="J25" i="65"/>
  <c r="E22" i="68"/>
  <c r="F18" i="60"/>
  <c r="E16" i="61"/>
  <c r="H14" i="68"/>
  <c r="J24" i="62"/>
  <c r="I23" i="64"/>
  <c r="D23" i="62"/>
  <c r="E16" i="63"/>
  <c r="H20" i="57"/>
  <c r="J25" i="60"/>
  <c r="C26" i="59"/>
  <c r="J21" i="68"/>
  <c r="D23" i="65"/>
  <c r="J16" i="32"/>
  <c r="D8" i="56"/>
  <c r="E17" i="63"/>
  <c r="E26" i="59"/>
  <c r="F14" i="32"/>
  <c r="E12" i="62"/>
  <c r="C21" i="61"/>
  <c r="E8" i="56"/>
  <c r="H17" i="62"/>
  <c r="C15" i="57"/>
  <c r="E20" i="68"/>
  <c r="J13" i="68"/>
  <c r="C15" i="59"/>
  <c r="E15" i="63"/>
  <c r="D16" i="59"/>
  <c r="I16" i="61"/>
  <c r="F9" i="32"/>
  <c r="C14" i="68"/>
  <c r="D19" i="68"/>
  <c r="G21" i="64"/>
  <c r="C9" i="56"/>
  <c r="H26" i="63"/>
  <c r="J10" i="61"/>
  <c r="E18" i="60"/>
  <c r="H21" i="61"/>
  <c r="H24" i="53"/>
  <c r="E24" i="63"/>
  <c r="I26" i="59"/>
  <c r="I25" i="63"/>
  <c r="C18" i="65"/>
  <c r="E23" i="60"/>
  <c r="F12" i="57"/>
  <c r="J18" i="62"/>
  <c r="H26" i="32"/>
  <c r="J29" i="32"/>
  <c r="D19" i="64"/>
  <c r="G12" i="61"/>
  <c r="F19" i="57"/>
  <c r="H10" i="59"/>
  <c r="E10" i="57"/>
  <c r="C19" i="59"/>
  <c r="C21" i="60"/>
  <c r="C19" i="61"/>
  <c r="D20" i="57"/>
  <c r="D28" i="32"/>
  <c r="C13" i="65"/>
  <c r="J20" i="63"/>
  <c r="H25" i="65"/>
  <c r="I25" i="62"/>
  <c r="F17" i="68"/>
  <c r="C24" i="63"/>
  <c r="H13" i="56"/>
  <c r="G21" i="65"/>
  <c r="I28" i="32"/>
  <c r="E26" i="32"/>
  <c r="E26" i="65"/>
  <c r="J21" i="53"/>
  <c r="F27" i="62"/>
  <c r="C29" i="65"/>
  <c r="J29" i="53"/>
  <c r="E21" i="60"/>
  <c r="C22" i="61"/>
  <c r="D16" i="53"/>
  <c r="I19" i="60"/>
  <c r="I26" i="61"/>
  <c r="H13" i="65"/>
  <c r="F8" i="59"/>
  <c r="J23" i="59"/>
  <c r="H16" i="53"/>
  <c r="E29" i="61"/>
  <c r="D23" i="59"/>
  <c r="H29" i="57"/>
  <c r="J29" i="62"/>
  <c r="E17" i="57"/>
  <c r="C29" i="68"/>
  <c r="G25" i="62"/>
  <c r="J18" i="57"/>
  <c r="J16" i="59"/>
  <c r="G20" i="62"/>
  <c r="F15" i="59"/>
  <c r="F21" i="32"/>
  <c r="F29" i="61"/>
  <c r="G29" i="53"/>
  <c r="G25" i="68"/>
  <c r="I21" i="32"/>
  <c r="D20" i="63"/>
  <c r="E21" i="57"/>
  <c r="C25" i="68"/>
  <c r="I17" i="59"/>
  <c r="E19" i="68"/>
  <c r="D29" i="61"/>
  <c r="E21" i="68"/>
  <c r="G26" i="53"/>
  <c r="H27" i="59"/>
  <c r="F18" i="57"/>
  <c r="J18" i="53"/>
  <c r="C29" i="57"/>
  <c r="F29" i="57"/>
  <c r="D29" i="62"/>
  <c r="F26" i="64"/>
  <c r="F23" i="57"/>
  <c r="J29" i="59"/>
  <c r="D29" i="59"/>
  <c r="C25" i="59"/>
  <c r="C16" i="64"/>
  <c r="G19" i="62"/>
  <c r="J19" i="32"/>
  <c r="J18" i="59"/>
  <c r="I20" i="63"/>
  <c r="H24" i="64"/>
  <c r="H11" i="56"/>
  <c r="I18" i="60"/>
  <c r="H24" i="63"/>
  <c r="G8" i="56"/>
  <c r="H29" i="32"/>
  <c r="J29" i="60"/>
  <c r="C21" i="32"/>
  <c r="G16" i="64"/>
  <c r="H14" i="60"/>
  <c r="J25" i="68"/>
  <c r="G21" i="53"/>
  <c r="I20" i="62"/>
  <c r="E15" i="60"/>
  <c r="G17" i="61"/>
  <c r="D17" i="64"/>
  <c r="H26" i="62"/>
  <c r="D26" i="59"/>
  <c r="E25" i="57"/>
  <c r="H29" i="60"/>
  <c r="G18" i="68"/>
  <c r="D29" i="65"/>
  <c r="I22" i="68"/>
  <c r="J29" i="57"/>
  <c r="D19" i="63"/>
  <c r="I29" i="61"/>
  <c r="F26" i="62"/>
  <c r="E29" i="68"/>
  <c r="E29" i="59"/>
  <c r="I26" i="62"/>
  <c r="J29" i="68"/>
  <c r="C20" i="62"/>
  <c r="E29" i="53"/>
  <c r="C29" i="59"/>
  <c r="F29" i="32"/>
  <c r="I23" i="61"/>
  <c r="J9" i="32"/>
  <c r="D21" i="65"/>
  <c r="E19" i="53"/>
  <c r="H16" i="62"/>
  <c r="I8" i="56"/>
  <c r="C22" i="63"/>
  <c r="D19" i="60"/>
  <c r="E17" i="32"/>
  <c r="I27" i="53"/>
  <c r="E24" i="64"/>
  <c r="E19" i="60"/>
  <c r="I19" i="62"/>
  <c r="I19" i="63"/>
  <c r="D26" i="32"/>
  <c r="G29" i="64"/>
  <c r="J19" i="65"/>
  <c r="E29" i="64"/>
  <c r="J23" i="62"/>
  <c r="C19" i="68"/>
  <c r="H29" i="64"/>
  <c r="G22" i="64"/>
  <c r="C23" i="32"/>
  <c r="J19" i="61"/>
  <c r="I29" i="64"/>
  <c r="F20" i="53"/>
  <c r="F10" i="56"/>
  <c r="I29" i="53"/>
  <c r="F29" i="62"/>
  <c r="D13" i="56"/>
  <c r="H14" i="57"/>
  <c r="D15" i="53"/>
  <c r="J20" i="57"/>
  <c r="G15" i="59"/>
  <c r="E12" i="32"/>
  <c r="I8" i="32"/>
  <c r="E17" i="64"/>
  <c r="I16" i="60"/>
  <c r="F12" i="61"/>
  <c r="I25" i="61"/>
  <c r="J29" i="63"/>
  <c r="J12" i="63"/>
  <c r="H23" i="68"/>
  <c r="D29" i="60"/>
  <c r="G26" i="59"/>
  <c r="G28" i="32"/>
  <c r="G15" i="61"/>
  <c r="C29" i="64"/>
  <c r="D13" i="64"/>
  <c r="J24" i="60"/>
  <c r="H16" i="64"/>
  <c r="H18" i="68"/>
  <c r="J28" i="32"/>
  <c r="J22" i="57"/>
  <c r="E11" i="56"/>
  <c r="F24" i="32"/>
  <c r="C25" i="60"/>
  <c r="G24" i="64"/>
  <c r="H25" i="57"/>
  <c r="G26" i="63"/>
  <c r="E23" i="59"/>
  <c r="H18" i="60"/>
  <c r="E23" i="62"/>
  <c r="D29" i="32"/>
  <c r="I29" i="32"/>
  <c r="E29" i="32"/>
  <c r="C29" i="32"/>
  <c r="G29" i="32"/>
  <c r="E39" i="57"/>
  <c r="D38" i="32"/>
  <c r="I39" i="57"/>
  <c r="D38" i="57"/>
  <c r="F33" i="62"/>
  <c r="E39" i="60"/>
  <c r="F38" i="57"/>
  <c r="C39" i="63"/>
  <c r="E39" i="68"/>
  <c r="E39" i="64"/>
  <c r="E20" i="56"/>
  <c r="J38" i="60"/>
  <c r="D39" i="62"/>
  <c r="J38" i="65"/>
  <c r="C38" i="57"/>
  <c r="H39" i="63"/>
  <c r="D39" i="57"/>
  <c r="I39" i="53"/>
  <c r="I38" i="32"/>
  <c r="G39" i="63"/>
  <c r="E39" i="59"/>
  <c r="J38" i="32"/>
  <c r="F38" i="62"/>
  <c r="D38" i="63"/>
  <c r="J39" i="61"/>
  <c r="G39" i="60"/>
  <c r="F38" i="68"/>
  <c r="I38" i="53"/>
  <c r="E38" i="32"/>
  <c r="E39" i="65"/>
  <c r="F38" i="65"/>
  <c r="D39" i="60"/>
  <c r="I39" i="64"/>
  <c r="F39" i="61"/>
  <c r="G38" i="32"/>
  <c r="J38" i="68"/>
  <c r="I38" i="57"/>
  <c r="F38" i="32"/>
  <c r="D38" i="61"/>
  <c r="E38" i="68"/>
  <c r="I39" i="62"/>
  <c r="J39" i="57"/>
  <c r="I38" i="65"/>
  <c r="E39" i="53"/>
  <c r="D38" i="64"/>
  <c r="H38" i="63"/>
  <c r="H38" i="61"/>
  <c r="C39" i="53"/>
  <c r="J20" i="56"/>
  <c r="C38" i="68"/>
  <c r="C38" i="63"/>
  <c r="D39" i="59"/>
  <c r="J38" i="64"/>
  <c r="D30" i="63"/>
  <c r="I39" i="61"/>
  <c r="D30" i="62"/>
  <c r="H20" i="56"/>
  <c r="J39" i="53"/>
  <c r="G38" i="62"/>
  <c r="D39" i="68"/>
  <c r="F39" i="63"/>
  <c r="F39" i="65"/>
  <c r="J39" i="62"/>
  <c r="I39" i="65"/>
  <c r="F39" i="68"/>
  <c r="C38" i="53"/>
  <c r="F38" i="63"/>
  <c r="J38" i="57"/>
  <c r="H38" i="65"/>
  <c r="H39" i="57"/>
  <c r="I39" i="68"/>
  <c r="F38" i="61"/>
  <c r="J38" i="62"/>
  <c r="G39" i="59"/>
  <c r="H38" i="68"/>
  <c r="G39" i="65"/>
  <c r="D30" i="61"/>
  <c r="J39" i="64"/>
  <c r="J39" i="63"/>
  <c r="D38" i="60"/>
  <c r="I30" i="57"/>
  <c r="H38" i="32"/>
  <c r="G38" i="65"/>
  <c r="E38" i="64"/>
  <c r="E38" i="63"/>
  <c r="G39" i="62"/>
  <c r="I39" i="63"/>
  <c r="C39" i="68"/>
  <c r="J39" i="59"/>
  <c r="C38" i="59"/>
  <c r="G39" i="61"/>
  <c r="J39" i="65"/>
  <c r="I39" i="60"/>
  <c r="G38" i="64"/>
  <c r="F39" i="60"/>
  <c r="D38" i="62"/>
  <c r="E38" i="53"/>
  <c r="G39" i="68"/>
  <c r="E38" i="65"/>
  <c r="D38" i="59"/>
  <c r="G30" i="32"/>
  <c r="D31" i="68"/>
  <c r="F36" i="62"/>
  <c r="C35" i="63"/>
  <c r="D35" i="64"/>
  <c r="I37" i="64"/>
  <c r="F33" i="59"/>
  <c r="D37" i="60"/>
  <c r="I30" i="64"/>
  <c r="H40" i="65"/>
  <c r="C21" i="56"/>
  <c r="J30" i="57"/>
  <c r="J32" i="65"/>
  <c r="F31" i="68"/>
  <c r="C34" i="53"/>
  <c r="F34" i="61"/>
  <c r="I30" i="68"/>
  <c r="E31" i="61"/>
  <c r="F32" i="32"/>
  <c r="C33" i="64"/>
  <c r="E32" i="60"/>
  <c r="D36" i="57"/>
  <c r="G31" i="57"/>
  <c r="C35" i="61"/>
  <c r="H36" i="59"/>
  <c r="F40" i="61"/>
  <c r="H35" i="61"/>
  <c r="J30" i="65"/>
  <c r="J38" i="59"/>
  <c r="I39" i="59"/>
  <c r="D38" i="65"/>
  <c r="C39" i="65"/>
  <c r="H39" i="59"/>
  <c r="F38" i="60"/>
  <c r="H35" i="59"/>
  <c r="I35" i="61"/>
  <c r="D34" i="63"/>
  <c r="G36" i="68"/>
  <c r="D39" i="63"/>
  <c r="D34" i="61"/>
  <c r="G36" i="62"/>
  <c r="J40" i="68"/>
  <c r="I33" i="32"/>
  <c r="G34" i="64"/>
  <c r="C40" i="63"/>
  <c r="E31" i="64"/>
  <c r="D33" i="65"/>
  <c r="I31" i="63"/>
  <c r="D34" i="65"/>
  <c r="J36" i="68"/>
  <c r="G36" i="65"/>
  <c r="H36" i="57"/>
  <c r="G19" i="56"/>
  <c r="C32" i="63"/>
  <c r="D36" i="61"/>
  <c r="F30" i="60"/>
  <c r="H35" i="63"/>
  <c r="J34" i="68"/>
  <c r="F32" i="62"/>
  <c r="H31" i="60"/>
  <c r="F32" i="63"/>
  <c r="I31" i="68"/>
  <c r="D30" i="64"/>
  <c r="J36" i="53"/>
  <c r="F34" i="59"/>
  <c r="C30" i="62"/>
  <c r="G37" i="65"/>
  <c r="C32" i="32"/>
  <c r="E34" i="60"/>
  <c r="G30" i="59"/>
  <c r="D33" i="59"/>
  <c r="G32" i="64"/>
  <c r="H33" i="59"/>
  <c r="I32" i="64"/>
  <c r="G34" i="32"/>
  <c r="C40" i="68"/>
  <c r="G35" i="53"/>
  <c r="G35" i="64"/>
  <c r="I35" i="63"/>
  <c r="E30" i="57"/>
  <c r="I34" i="60"/>
  <c r="I32" i="59"/>
  <c r="F30" i="68"/>
  <c r="E37" i="63"/>
  <c r="H38" i="53"/>
  <c r="G30" i="53"/>
  <c r="C31" i="64"/>
  <c r="G39" i="53"/>
  <c r="E38" i="59"/>
  <c r="J38" i="61"/>
  <c r="E30" i="62"/>
  <c r="C38" i="65"/>
  <c r="G20" i="56"/>
  <c r="D31" i="59"/>
  <c r="I36" i="32"/>
  <c r="F37" i="59"/>
  <c r="G34" i="65"/>
  <c r="D39" i="53"/>
  <c r="C37" i="57"/>
  <c r="F35" i="60"/>
  <c r="H33" i="62"/>
  <c r="D31" i="57"/>
  <c r="J30" i="61"/>
  <c r="J30" i="59"/>
  <c r="H34" i="62"/>
  <c r="F36" i="65"/>
  <c r="E14" i="56"/>
  <c r="J35" i="32"/>
  <c r="J37" i="59"/>
  <c r="C39" i="62"/>
  <c r="I33" i="61"/>
  <c r="G36" i="32"/>
  <c r="H30" i="68"/>
  <c r="E30" i="65"/>
  <c r="C37" i="62"/>
  <c r="E32" i="59"/>
  <c r="J35" i="62"/>
  <c r="C33" i="65"/>
  <c r="H35" i="57"/>
  <c r="E34" i="57"/>
  <c r="C33" i="59"/>
  <c r="J33" i="68"/>
  <c r="E33" i="60"/>
  <c r="E33" i="64"/>
  <c r="E31" i="62"/>
  <c r="G37" i="64"/>
  <c r="C32" i="65"/>
  <c r="H17" i="56"/>
  <c r="C38" i="61"/>
  <c r="C19" i="56"/>
  <c r="G32" i="68"/>
  <c r="E38" i="62"/>
  <c r="D35" i="57"/>
  <c r="I37" i="60"/>
  <c r="C33" i="68"/>
  <c r="G34" i="59"/>
  <c r="E35" i="65"/>
  <c r="H36" i="63"/>
  <c r="D32" i="32"/>
  <c r="G38" i="57"/>
  <c r="H39" i="68"/>
  <c r="I38" i="68"/>
  <c r="I32" i="62"/>
  <c r="F30" i="64"/>
  <c r="H30" i="64"/>
  <c r="E30" i="63"/>
  <c r="H32" i="61"/>
  <c r="F37" i="68"/>
  <c r="J38" i="63"/>
  <c r="G14" i="56"/>
  <c r="G37" i="53"/>
  <c r="H37" i="32"/>
  <c r="D31" i="64"/>
  <c r="F30" i="65"/>
  <c r="C30" i="63"/>
  <c r="I30" i="61"/>
  <c r="D32" i="60"/>
  <c r="J31" i="62"/>
  <c r="I21" i="56"/>
  <c r="F35" i="65"/>
  <c r="C37" i="64"/>
  <c r="G35" i="57"/>
  <c r="E32" i="61"/>
  <c r="C31" i="65"/>
  <c r="J31" i="68"/>
  <c r="E37" i="65"/>
  <c r="H38" i="64"/>
  <c r="E35" i="59"/>
  <c r="F35" i="57"/>
  <c r="H16" i="56"/>
  <c r="D40" i="59"/>
  <c r="D36" i="65"/>
  <c r="J30" i="63"/>
  <c r="J37" i="65"/>
  <c r="E35" i="63"/>
  <c r="C36" i="53"/>
  <c r="F33" i="32"/>
  <c r="H34" i="61"/>
  <c r="E16" i="56"/>
  <c r="I31" i="57"/>
  <c r="F33" i="68"/>
  <c r="E30" i="68"/>
  <c r="F37" i="32"/>
  <c r="D36" i="60"/>
  <c r="C30" i="64"/>
  <c r="F30" i="63"/>
  <c r="C15" i="56"/>
  <c r="C36" i="60"/>
  <c r="C36" i="32"/>
  <c r="D32" i="61"/>
  <c r="H39" i="65"/>
  <c r="J39" i="68"/>
  <c r="F39" i="53"/>
  <c r="E33" i="62"/>
  <c r="G17" i="56"/>
  <c r="D30" i="60"/>
  <c r="G39" i="57"/>
  <c r="C38" i="32"/>
  <c r="F32" i="68"/>
  <c r="H34" i="32"/>
  <c r="G32" i="65"/>
  <c r="H35" i="32"/>
  <c r="J37" i="53"/>
  <c r="J37" i="57"/>
  <c r="J34" i="53"/>
  <c r="H32" i="60"/>
  <c r="H32" i="53"/>
  <c r="J31" i="64"/>
  <c r="E35" i="60"/>
  <c r="I35" i="60"/>
  <c r="D32" i="62"/>
  <c r="H32" i="57"/>
  <c r="I34" i="62"/>
  <c r="H36" i="68"/>
  <c r="D37" i="32"/>
  <c r="I34" i="63"/>
  <c r="F34" i="32"/>
  <c r="C39" i="61"/>
  <c r="I34" i="61"/>
  <c r="J32" i="60"/>
  <c r="I30" i="63"/>
  <c r="H30" i="53"/>
  <c r="E36" i="53"/>
  <c r="H35" i="65"/>
  <c r="E37" i="64"/>
  <c r="E36" i="65"/>
  <c r="I38" i="63"/>
  <c r="H34" i="57"/>
  <c r="G36" i="63"/>
  <c r="J33" i="63"/>
  <c r="E38" i="61"/>
  <c r="H31" i="59"/>
  <c r="F15" i="56"/>
  <c r="F36" i="64"/>
  <c r="G30" i="64"/>
  <c r="J17" i="56"/>
  <c r="J33" i="60"/>
  <c r="G34" i="53"/>
  <c r="G31" i="63"/>
  <c r="F30" i="32"/>
  <c r="G21" i="56"/>
  <c r="G35" i="60"/>
  <c r="G15" i="56"/>
  <c r="G31" i="32"/>
  <c r="I14" i="56"/>
  <c r="G34" i="60"/>
  <c r="C18" i="56"/>
  <c r="E33" i="68"/>
  <c r="J30" i="62"/>
  <c r="C35" i="60"/>
  <c r="H33" i="64"/>
  <c r="G37" i="60"/>
  <c r="E33" i="59"/>
  <c r="D38" i="53"/>
  <c r="H18" i="56"/>
  <c r="D33" i="68"/>
  <c r="F36" i="53"/>
  <c r="C20" i="56"/>
  <c r="H37" i="63"/>
  <c r="C17" i="56"/>
  <c r="H39" i="62"/>
  <c r="E39" i="63"/>
  <c r="E38" i="60"/>
  <c r="F38" i="64"/>
  <c r="C38" i="60"/>
  <c r="E39" i="61"/>
  <c r="C32" i="57"/>
  <c r="F39" i="62"/>
  <c r="D36" i="63"/>
  <c r="I31" i="59"/>
  <c r="F32" i="60"/>
  <c r="H34" i="53"/>
  <c r="E31" i="65"/>
  <c r="I33" i="68"/>
  <c r="H39" i="60"/>
  <c r="F36" i="60"/>
  <c r="I20" i="56"/>
  <c r="J39" i="60"/>
  <c r="I34" i="57"/>
  <c r="F33" i="63"/>
  <c r="G37" i="62"/>
  <c r="F32" i="61"/>
  <c r="I35" i="62"/>
  <c r="E32" i="53"/>
  <c r="F35" i="61"/>
  <c r="D34" i="62"/>
  <c r="F35" i="68"/>
  <c r="D30" i="53"/>
  <c r="C32" i="61"/>
  <c r="J34" i="63"/>
  <c r="D32" i="64"/>
  <c r="H33" i="61"/>
  <c r="E32" i="32"/>
  <c r="I35" i="68"/>
  <c r="F36" i="59"/>
  <c r="I30" i="60"/>
  <c r="H40" i="63"/>
  <c r="H34" i="68"/>
  <c r="H37" i="57"/>
  <c r="J35" i="64"/>
  <c r="F34" i="57"/>
  <c r="G35" i="63"/>
  <c r="G38" i="63"/>
  <c r="G36" i="64"/>
  <c r="D31" i="60"/>
  <c r="G32" i="63"/>
  <c r="G31" i="62"/>
  <c r="F32" i="64"/>
  <c r="I32" i="61"/>
  <c r="E31" i="32"/>
  <c r="F34" i="60"/>
  <c r="D39" i="65"/>
  <c r="F37" i="61"/>
  <c r="D33" i="64"/>
  <c r="G37" i="63"/>
  <c r="D32" i="65"/>
  <c r="I37" i="53"/>
  <c r="F36" i="63"/>
  <c r="I33" i="60"/>
  <c r="I37" i="65"/>
  <c r="C37" i="60"/>
  <c r="C40" i="62"/>
  <c r="E34" i="62"/>
  <c r="H37" i="61"/>
  <c r="G31" i="68"/>
  <c r="I36" i="63"/>
  <c r="F37" i="62"/>
  <c r="I19" i="56"/>
  <c r="I38" i="61"/>
  <c r="G33" i="32"/>
  <c r="H30" i="65"/>
  <c r="C34" i="68"/>
  <c r="D40" i="61"/>
  <c r="H38" i="57"/>
  <c r="I30" i="59"/>
  <c r="G38" i="61"/>
  <c r="H30" i="59"/>
  <c r="G31" i="61"/>
  <c r="I36" i="60"/>
  <c r="E33" i="32"/>
  <c r="E38" i="57"/>
  <c r="G30" i="57"/>
  <c r="D31" i="61"/>
  <c r="I34" i="32"/>
  <c r="D17" i="56"/>
  <c r="C39" i="57"/>
  <c r="G30" i="68"/>
  <c r="I35" i="64"/>
  <c r="F31" i="64"/>
  <c r="F33" i="64"/>
  <c r="C32" i="64"/>
  <c r="D31" i="63"/>
  <c r="C36" i="61"/>
  <c r="D33" i="62"/>
  <c r="H31" i="61"/>
  <c r="G31" i="60"/>
  <c r="D37" i="61"/>
  <c r="C35" i="57"/>
  <c r="D31" i="32"/>
  <c r="C40" i="61"/>
  <c r="H36" i="62"/>
  <c r="C36" i="59"/>
  <c r="G32" i="59"/>
  <c r="J33" i="32"/>
  <c r="I30" i="62"/>
  <c r="C34" i="62"/>
  <c r="E34" i="68"/>
  <c r="D37" i="64"/>
  <c r="C31" i="32"/>
  <c r="C35" i="62"/>
  <c r="C37" i="63"/>
  <c r="H37" i="64"/>
  <c r="G31" i="65"/>
  <c r="J35" i="61"/>
  <c r="H31" i="68"/>
  <c r="G18" i="56"/>
  <c r="D35" i="32"/>
  <c r="I38" i="64"/>
  <c r="D18" i="56"/>
  <c r="F34" i="68"/>
  <c r="I36" i="57"/>
  <c r="D30" i="57"/>
  <c r="F35" i="59"/>
  <c r="J31" i="53"/>
  <c r="H30" i="62"/>
  <c r="H38" i="60"/>
  <c r="J32" i="59"/>
  <c r="J36" i="65"/>
  <c r="D37" i="62"/>
  <c r="D30" i="65"/>
  <c r="H31" i="65"/>
  <c r="J36" i="61"/>
  <c r="G32" i="53"/>
  <c r="J37" i="62"/>
  <c r="I38" i="59"/>
  <c r="C32" i="59"/>
  <c r="F37" i="63"/>
  <c r="F31" i="60"/>
  <c r="C30" i="32"/>
  <c r="I37" i="32"/>
  <c r="C35" i="32"/>
  <c r="G35" i="61"/>
  <c r="C39" i="64"/>
  <c r="C34" i="64"/>
  <c r="E31" i="68"/>
  <c r="G38" i="60"/>
  <c r="F38" i="53"/>
  <c r="J40" i="53"/>
  <c r="F38" i="59"/>
  <c r="D35" i="63"/>
  <c r="G30" i="65"/>
  <c r="G32" i="57"/>
  <c r="C31" i="62"/>
  <c r="G38" i="53"/>
  <c r="J33" i="65"/>
  <c r="E34" i="63"/>
  <c r="J30" i="64"/>
  <c r="C34" i="32"/>
  <c r="G33" i="65"/>
  <c r="J32" i="57"/>
  <c r="J34" i="32"/>
  <c r="H36" i="64"/>
  <c r="H37" i="59"/>
  <c r="E31" i="53"/>
  <c r="D37" i="63"/>
  <c r="G30" i="62"/>
  <c r="I38" i="62"/>
  <c r="G30" i="63"/>
  <c r="G36" i="59"/>
  <c r="I36" i="53"/>
  <c r="J30" i="60"/>
  <c r="H34" i="64"/>
  <c r="F33" i="60"/>
  <c r="J32" i="68"/>
  <c r="E30" i="64"/>
  <c r="F35" i="63"/>
  <c r="C32" i="60"/>
  <c r="D34" i="57"/>
  <c r="F31" i="53"/>
  <c r="G36" i="61"/>
  <c r="H33" i="53"/>
  <c r="H37" i="53"/>
  <c r="C35" i="68"/>
  <c r="F32" i="65"/>
  <c r="J30" i="32"/>
  <c r="F37" i="65"/>
  <c r="G32" i="60"/>
  <c r="J36" i="64"/>
  <c r="C36" i="57"/>
  <c r="J37" i="68"/>
  <c r="C33" i="60"/>
  <c r="E37" i="57"/>
  <c r="G32" i="61"/>
  <c r="D33" i="61"/>
  <c r="C37" i="68"/>
  <c r="C33" i="53"/>
  <c r="H32" i="63"/>
  <c r="D34" i="59"/>
  <c r="E39" i="62"/>
  <c r="C33" i="61"/>
  <c r="E36" i="57"/>
  <c r="D35" i="65"/>
  <c r="D21" i="56"/>
  <c r="I31" i="62"/>
  <c r="D35" i="68"/>
  <c r="G35" i="59"/>
  <c r="F31" i="59"/>
  <c r="H38" i="59"/>
  <c r="G33" i="61"/>
  <c r="H36" i="53"/>
  <c r="I32" i="68"/>
  <c r="H34" i="60"/>
  <c r="J36" i="60"/>
  <c r="J15" i="56"/>
  <c r="J38" i="53"/>
  <c r="D39" i="61"/>
  <c r="D38" i="68"/>
  <c r="D39" i="64"/>
  <c r="H39" i="64"/>
  <c r="E30" i="53"/>
  <c r="G38" i="59"/>
  <c r="E33" i="53"/>
  <c r="C35" i="53"/>
  <c r="G36" i="60"/>
  <c r="H38" i="62"/>
  <c r="D30" i="59"/>
  <c r="D19" i="56"/>
  <c r="J31" i="63"/>
  <c r="J35" i="59"/>
  <c r="C30" i="68"/>
  <c r="I33" i="63"/>
  <c r="H33" i="63"/>
  <c r="H31" i="64"/>
  <c r="J35" i="53"/>
  <c r="F33" i="61"/>
  <c r="G40" i="62"/>
  <c r="F31" i="62"/>
  <c r="E33" i="63"/>
  <c r="G34" i="61"/>
  <c r="G34" i="57"/>
  <c r="J34" i="61"/>
  <c r="C32" i="62"/>
  <c r="C31" i="57"/>
  <c r="E31" i="63"/>
  <c r="E30" i="59"/>
  <c r="J31" i="65"/>
  <c r="J35" i="63"/>
  <c r="H31" i="32"/>
  <c r="G40" i="57"/>
  <c r="D31" i="62"/>
  <c r="C37" i="65"/>
  <c r="I22" i="56"/>
  <c r="H14" i="56"/>
  <c r="C33" i="62"/>
  <c r="I15" i="56"/>
  <c r="H37" i="68"/>
  <c r="J34" i="60"/>
  <c r="C37" i="32"/>
  <c r="I33" i="57"/>
  <c r="H31" i="57"/>
  <c r="J31" i="57"/>
  <c r="F36" i="68"/>
  <c r="G30" i="61"/>
  <c r="J36" i="32"/>
  <c r="F36" i="32"/>
  <c r="E31" i="57"/>
  <c r="D35" i="61"/>
  <c r="D32" i="59"/>
  <c r="C30" i="59"/>
  <c r="F39" i="64"/>
  <c r="F31" i="65"/>
  <c r="E33" i="61"/>
  <c r="C34" i="61"/>
  <c r="E17" i="56"/>
  <c r="E40" i="57"/>
  <c r="F14" i="56"/>
  <c r="J31" i="59"/>
  <c r="F35" i="32"/>
  <c r="E33" i="65"/>
  <c r="I40" i="57"/>
  <c r="G33" i="62"/>
  <c r="H19" i="56"/>
  <c r="F33" i="53"/>
  <c r="C22" i="56"/>
  <c r="I40" i="60"/>
  <c r="E35" i="64"/>
  <c r="I34" i="64"/>
  <c r="C31" i="68"/>
  <c r="E30" i="32"/>
  <c r="D37" i="59"/>
  <c r="F37" i="60"/>
  <c r="E35" i="57"/>
  <c r="E34" i="59"/>
  <c r="C30" i="60"/>
  <c r="I40" i="53"/>
  <c r="H32" i="64"/>
  <c r="G40" i="53"/>
  <c r="F40" i="65"/>
  <c r="J34" i="62"/>
  <c r="H33" i="68"/>
  <c r="E22" i="56"/>
  <c r="J31" i="60"/>
  <c r="E32" i="68"/>
  <c r="I37" i="57"/>
  <c r="C38" i="64"/>
  <c r="J35" i="60"/>
  <c r="G37" i="61"/>
  <c r="C35" i="64"/>
  <c r="J14" i="56"/>
  <c r="H32" i="68"/>
  <c r="D30" i="32"/>
  <c r="I31" i="61"/>
  <c r="F40" i="62"/>
  <c r="H32" i="65"/>
  <c r="G39" i="64"/>
  <c r="G31" i="53"/>
  <c r="F40" i="32"/>
  <c r="H30" i="61"/>
  <c r="H34" i="65"/>
  <c r="C34" i="65"/>
  <c r="G31" i="59"/>
  <c r="I32" i="57"/>
  <c r="D40" i="68"/>
  <c r="H35" i="53"/>
  <c r="H35" i="68"/>
  <c r="C36" i="64"/>
  <c r="C40" i="59"/>
  <c r="F34" i="53"/>
  <c r="G34" i="68"/>
  <c r="D36" i="64"/>
  <c r="I30" i="32"/>
  <c r="J40" i="59"/>
  <c r="F35" i="64"/>
  <c r="G33" i="57"/>
  <c r="J37" i="64"/>
  <c r="H37" i="65"/>
  <c r="J37" i="63"/>
  <c r="J21" i="56"/>
  <c r="F31" i="61"/>
  <c r="D31" i="65"/>
  <c r="J36" i="63"/>
  <c r="I38" i="60"/>
  <c r="C39" i="59"/>
  <c r="E36" i="61"/>
  <c r="H21" i="56"/>
  <c r="H36" i="60"/>
  <c r="H36" i="32"/>
  <c r="H31" i="63"/>
  <c r="C40" i="53"/>
  <c r="D40" i="65"/>
  <c r="D36" i="62"/>
  <c r="C37" i="53"/>
  <c r="C36" i="62"/>
  <c r="E34" i="53"/>
  <c r="G35" i="68"/>
  <c r="I32" i="63"/>
  <c r="D16" i="56"/>
  <c r="C31" i="63"/>
  <c r="H30" i="32"/>
  <c r="G35" i="62"/>
  <c r="I31" i="32"/>
  <c r="E31" i="60"/>
  <c r="J32" i="63"/>
  <c r="H33" i="57"/>
  <c r="E40" i="59"/>
  <c r="F40" i="60"/>
  <c r="F39" i="59"/>
  <c r="G32" i="62"/>
  <c r="J35" i="65"/>
  <c r="I40" i="64"/>
  <c r="I37" i="59"/>
  <c r="E35" i="62"/>
  <c r="E31" i="59"/>
  <c r="D39" i="32"/>
  <c r="C36" i="63"/>
  <c r="G37" i="32"/>
  <c r="F33" i="57"/>
  <c r="D40" i="63"/>
  <c r="F35" i="62"/>
  <c r="G16" i="56"/>
  <c r="J34" i="57"/>
  <c r="C31" i="53"/>
  <c r="I40" i="68"/>
  <c r="G38" i="68"/>
  <c r="F31" i="57"/>
  <c r="E40" i="53"/>
  <c r="I37" i="63"/>
  <c r="G36" i="57"/>
  <c r="D34" i="64"/>
  <c r="C37" i="59"/>
  <c r="J32" i="53"/>
  <c r="J18" i="56"/>
  <c r="I31" i="53"/>
  <c r="H32" i="59"/>
  <c r="E36" i="64"/>
  <c r="J40" i="64"/>
  <c r="E32" i="62"/>
  <c r="C33" i="63"/>
  <c r="E15" i="56"/>
  <c r="D33" i="63"/>
  <c r="J36" i="62"/>
  <c r="D36" i="32"/>
  <c r="J33" i="57"/>
  <c r="H37" i="62"/>
  <c r="H40" i="64"/>
  <c r="F36" i="57"/>
  <c r="D37" i="53"/>
  <c r="D20" i="56"/>
  <c r="F32" i="59"/>
  <c r="J30" i="68"/>
  <c r="F32" i="53"/>
  <c r="E18" i="56"/>
  <c r="E19" i="56"/>
  <c r="C31" i="61"/>
  <c r="D40" i="60"/>
  <c r="H39" i="61"/>
  <c r="F31" i="32"/>
  <c r="D32" i="68"/>
  <c r="H39" i="32"/>
  <c r="E32" i="57"/>
  <c r="G36" i="53"/>
  <c r="E30" i="61"/>
  <c r="H32" i="32"/>
  <c r="E36" i="68"/>
  <c r="J40" i="65"/>
  <c r="G40" i="61"/>
  <c r="I36" i="68"/>
  <c r="C35" i="59"/>
  <c r="I31" i="60"/>
  <c r="J32" i="32"/>
  <c r="C36" i="68"/>
  <c r="J33" i="64"/>
  <c r="E34" i="64"/>
  <c r="F34" i="62"/>
  <c r="F31" i="63"/>
  <c r="I40" i="61"/>
  <c r="I34" i="59"/>
  <c r="F37" i="57"/>
  <c r="D33" i="32"/>
  <c r="H31" i="62"/>
  <c r="J33" i="62"/>
  <c r="D30" i="68"/>
  <c r="C34" i="60"/>
  <c r="G37" i="68"/>
  <c r="J34" i="64"/>
  <c r="D34" i="60"/>
  <c r="D34" i="53"/>
  <c r="J19" i="56"/>
  <c r="G32" i="32"/>
  <c r="C16" i="56"/>
  <c r="G40" i="64"/>
  <c r="H34" i="59"/>
  <c r="I36" i="61"/>
  <c r="J33" i="59"/>
  <c r="D35" i="60"/>
  <c r="E37" i="59"/>
  <c r="C39" i="32"/>
  <c r="F37" i="64"/>
  <c r="J31" i="32"/>
  <c r="D32" i="63"/>
  <c r="E36" i="63"/>
  <c r="I33" i="64"/>
  <c r="G35" i="65"/>
  <c r="E30" i="60"/>
  <c r="F32" i="57"/>
  <c r="G37" i="59"/>
  <c r="C35" i="65"/>
  <c r="C33" i="32"/>
  <c r="G40" i="68"/>
  <c r="F35" i="53"/>
  <c r="G34" i="62"/>
  <c r="D40" i="57"/>
  <c r="F33" i="65"/>
  <c r="C40" i="64"/>
  <c r="G33" i="68"/>
  <c r="F39" i="57"/>
  <c r="D33" i="53"/>
  <c r="J40" i="61"/>
  <c r="I35" i="59"/>
  <c r="E37" i="61"/>
  <c r="E34" i="65"/>
  <c r="F34" i="64"/>
  <c r="C33" i="57"/>
  <c r="J37" i="32"/>
  <c r="C34" i="57"/>
  <c r="E32" i="65"/>
  <c r="E37" i="32"/>
  <c r="H35" i="62"/>
  <c r="I35" i="53"/>
  <c r="F30" i="59"/>
  <c r="E36" i="59"/>
  <c r="E37" i="60"/>
  <c r="I36" i="59"/>
  <c r="J40" i="60"/>
  <c r="I17" i="56"/>
  <c r="E34" i="61"/>
  <c r="I32" i="60"/>
  <c r="F40" i="64"/>
  <c r="H40" i="68"/>
  <c r="F36" i="61"/>
  <c r="I34" i="53"/>
  <c r="I36" i="65"/>
  <c r="E36" i="62"/>
  <c r="E37" i="62"/>
  <c r="D35" i="62"/>
  <c r="C40" i="65"/>
  <c r="G33" i="63"/>
  <c r="C32" i="68"/>
  <c r="H40" i="62"/>
  <c r="J30" i="53"/>
  <c r="J36" i="59"/>
  <c r="I37" i="68"/>
  <c r="F23" i="56"/>
  <c r="E32" i="63"/>
  <c r="H35" i="60"/>
  <c r="J34" i="65"/>
  <c r="I18" i="56"/>
  <c r="E35" i="53"/>
  <c r="E34" i="32"/>
  <c r="D15" i="56"/>
  <c r="H39" i="53"/>
  <c r="E37" i="53"/>
  <c r="F30" i="62"/>
  <c r="D35" i="59"/>
  <c r="C39" i="60"/>
  <c r="H15" i="56"/>
  <c r="G40" i="32"/>
  <c r="C38" i="62"/>
  <c r="H33" i="65"/>
  <c r="J32" i="61"/>
  <c r="J37" i="60"/>
  <c r="C34" i="63"/>
  <c r="C40" i="57"/>
  <c r="D36" i="68"/>
  <c r="G30" i="60"/>
  <c r="I16" i="56"/>
  <c r="C40" i="60"/>
  <c r="F34" i="63"/>
  <c r="H35" i="64"/>
  <c r="J36" i="57"/>
  <c r="E33" i="57"/>
  <c r="G31" i="64"/>
  <c r="D32" i="53"/>
  <c r="I32" i="53"/>
  <c r="I31" i="64"/>
  <c r="G33" i="53"/>
  <c r="H30" i="60"/>
  <c r="H33" i="60"/>
  <c r="E40" i="65"/>
  <c r="D34" i="32"/>
  <c r="J34" i="59"/>
  <c r="C30" i="61"/>
  <c r="F30" i="61"/>
  <c r="E21" i="56"/>
  <c r="G33" i="60"/>
  <c r="H33" i="32"/>
  <c r="C34" i="59"/>
  <c r="G33" i="64"/>
  <c r="E32" i="64"/>
  <c r="D37" i="68"/>
  <c r="J33" i="53"/>
  <c r="F37" i="53"/>
  <c r="F30" i="57"/>
  <c r="G35" i="32"/>
  <c r="C36" i="65"/>
  <c r="J40" i="63"/>
  <c r="D37" i="65"/>
  <c r="E35" i="68"/>
  <c r="H36" i="61"/>
  <c r="I33" i="62"/>
  <c r="E40" i="61"/>
  <c r="J35" i="57"/>
  <c r="C30" i="57"/>
  <c r="E36" i="60"/>
  <c r="H40" i="61"/>
  <c r="J16" i="56"/>
  <c r="I33" i="59"/>
  <c r="J33" i="61"/>
  <c r="D14" i="56"/>
  <c r="G33" i="59"/>
  <c r="E40" i="63"/>
  <c r="I37" i="61"/>
  <c r="F18" i="56"/>
  <c r="C32" i="53"/>
  <c r="D33" i="57"/>
  <c r="E35" i="61"/>
  <c r="G40" i="63"/>
  <c r="H40" i="60"/>
  <c r="G40" i="60"/>
  <c r="D37" i="57"/>
  <c r="D34" i="68"/>
  <c r="I36" i="62"/>
  <c r="D35" i="53"/>
  <c r="I32" i="32"/>
  <c r="D36" i="59"/>
  <c r="H30" i="63"/>
  <c r="D36" i="53"/>
  <c r="I39" i="32"/>
  <c r="F34" i="65"/>
  <c r="H40" i="59"/>
  <c r="G39" i="32"/>
  <c r="C23" i="56"/>
  <c r="E40" i="62"/>
  <c r="J47" i="64"/>
  <c r="E47" i="65"/>
  <c r="E46" i="62"/>
  <c r="J46" i="63"/>
  <c r="F47" i="53"/>
  <c r="G46" i="64"/>
  <c r="I47" i="57"/>
  <c r="H46" i="60"/>
  <c r="I43" i="53"/>
  <c r="D44" i="57"/>
  <c r="E43" i="62"/>
  <c r="H29" i="56"/>
  <c r="E47" i="61"/>
  <c r="C47" i="62"/>
  <c r="D47" i="59"/>
  <c r="H47" i="65"/>
  <c r="D46" i="63"/>
  <c r="F40" i="59"/>
  <c r="I46" i="65"/>
  <c r="F47" i="64"/>
  <c r="D46" i="62"/>
  <c r="F40" i="53"/>
  <c r="C37" i="61"/>
  <c r="E40" i="60"/>
  <c r="H34" i="63"/>
  <c r="D32" i="57"/>
  <c r="I37" i="62"/>
  <c r="J39" i="32"/>
  <c r="C40" i="32"/>
  <c r="D22" i="56"/>
  <c r="E47" i="64"/>
  <c r="G47" i="65"/>
  <c r="H46" i="32"/>
  <c r="C46" i="59"/>
  <c r="E47" i="53"/>
  <c r="J46" i="65"/>
  <c r="H46" i="59"/>
  <c r="J47" i="57"/>
  <c r="E46" i="57"/>
  <c r="F44" i="62"/>
  <c r="I45" i="57"/>
  <c r="E42" i="64"/>
  <c r="J43" i="32"/>
  <c r="I42" i="62"/>
  <c r="C44" i="63"/>
  <c r="I47" i="60"/>
  <c r="F46" i="61"/>
  <c r="F44" i="53"/>
  <c r="C41" i="59"/>
  <c r="E46" i="68"/>
  <c r="C29" i="56"/>
  <c r="F46" i="60"/>
  <c r="J47" i="53"/>
  <c r="D23" i="56"/>
  <c r="H22" i="56"/>
  <c r="I36" i="64"/>
  <c r="J22" i="56"/>
  <c r="E35" i="32"/>
  <c r="H23" i="56"/>
  <c r="I33" i="53"/>
  <c r="F41" i="60"/>
  <c r="C43" i="60"/>
  <c r="I41" i="53"/>
  <c r="G22" i="56"/>
  <c r="J44" i="63"/>
  <c r="E43" i="61"/>
  <c r="J32" i="64"/>
  <c r="D31" i="53"/>
  <c r="J31" i="61"/>
  <c r="J32" i="62"/>
  <c r="F19" i="56"/>
  <c r="I35" i="57"/>
  <c r="D40" i="62"/>
  <c r="J23" i="56"/>
  <c r="F42" i="60"/>
  <c r="C44" i="60"/>
  <c r="I40" i="63"/>
  <c r="G47" i="32"/>
  <c r="E46" i="65"/>
  <c r="G34" i="63"/>
  <c r="H31" i="53"/>
  <c r="C30" i="65"/>
  <c r="F40" i="68"/>
  <c r="E36" i="32"/>
  <c r="H40" i="32"/>
  <c r="I40" i="65"/>
  <c r="J40" i="62"/>
  <c r="J29" i="56"/>
  <c r="F46" i="68"/>
  <c r="I30" i="56"/>
  <c r="C47" i="63"/>
  <c r="I46" i="62"/>
  <c r="F47" i="68"/>
  <c r="F46" i="63"/>
  <c r="G47" i="53"/>
  <c r="G46" i="61"/>
  <c r="G46" i="62"/>
  <c r="F46" i="65"/>
  <c r="I46" i="68"/>
  <c r="I42" i="53"/>
  <c r="F44" i="57"/>
  <c r="G29" i="56"/>
  <c r="C30" i="56"/>
  <c r="F47" i="63"/>
  <c r="G47" i="57"/>
  <c r="C31" i="59"/>
  <c r="H30" i="57"/>
  <c r="C31" i="60"/>
  <c r="F39" i="32"/>
  <c r="I40" i="62"/>
  <c r="I34" i="68"/>
  <c r="D40" i="64"/>
  <c r="I40" i="32"/>
  <c r="E40" i="32"/>
  <c r="E40" i="68"/>
  <c r="H47" i="61"/>
  <c r="C46" i="62"/>
  <c r="G47" i="62"/>
  <c r="C46" i="61"/>
  <c r="F47" i="59"/>
  <c r="E46" i="32"/>
  <c r="H47" i="64"/>
  <c r="I47" i="65"/>
  <c r="E46" i="53"/>
  <c r="E47" i="57"/>
  <c r="H46" i="65"/>
  <c r="I46" i="63"/>
  <c r="C47" i="53"/>
  <c r="H43" i="57"/>
  <c r="H47" i="60"/>
  <c r="J47" i="62"/>
  <c r="E47" i="59"/>
  <c r="E46" i="64"/>
  <c r="J40" i="57"/>
  <c r="E37" i="68"/>
  <c r="H36" i="65"/>
  <c r="G37" i="57"/>
  <c r="H37" i="60"/>
  <c r="E39" i="32"/>
  <c r="C30" i="53"/>
  <c r="H40" i="53"/>
  <c r="F30" i="53"/>
  <c r="C14" i="56"/>
  <c r="I35" i="32"/>
  <c r="I46" i="64"/>
  <c r="H47" i="53"/>
  <c r="G46" i="60"/>
  <c r="F47" i="57"/>
  <c r="G46" i="32"/>
  <c r="C47" i="68"/>
  <c r="D47" i="65"/>
  <c r="D47" i="53"/>
  <c r="I42" i="65"/>
  <c r="D47" i="32"/>
  <c r="G30" i="56"/>
  <c r="J47" i="63"/>
  <c r="H47" i="68"/>
  <c r="I47" i="64"/>
  <c r="I29" i="56"/>
  <c r="D43" i="32"/>
  <c r="J46" i="62"/>
  <c r="I46" i="53"/>
  <c r="G40" i="65"/>
  <c r="G40" i="59"/>
  <c r="H32" i="62"/>
  <c r="J37" i="61"/>
  <c r="J35" i="68"/>
  <c r="F40" i="63"/>
  <c r="D40" i="53"/>
  <c r="I30" i="53"/>
  <c r="F40" i="57"/>
  <c r="I23" i="56"/>
  <c r="J40" i="32"/>
  <c r="D33" i="60"/>
  <c r="I47" i="62"/>
  <c r="J46" i="57"/>
  <c r="E47" i="63"/>
  <c r="D46" i="61"/>
  <c r="H47" i="59"/>
  <c r="E46" i="60"/>
  <c r="C47" i="64"/>
  <c r="D29" i="56"/>
  <c r="I46" i="59"/>
  <c r="C46" i="57"/>
  <c r="H47" i="57"/>
  <c r="H46" i="61"/>
  <c r="G42" i="68"/>
  <c r="E46" i="63"/>
  <c r="D46" i="68"/>
  <c r="C46" i="64"/>
  <c r="C47" i="57"/>
  <c r="F25" i="56"/>
  <c r="H40" i="57"/>
  <c r="D47" i="61"/>
  <c r="J47" i="68"/>
  <c r="F47" i="65"/>
  <c r="G46" i="65"/>
  <c r="B49" i="64"/>
  <c r="C48" i="61"/>
  <c r="H31" i="56"/>
  <c r="E48" i="63"/>
  <c r="E48" i="32"/>
  <c r="G48" i="60"/>
  <c r="H48" i="57"/>
  <c r="E48" i="53"/>
  <c r="E41" i="53"/>
  <c r="G43" i="64"/>
  <c r="I41" i="60"/>
  <c r="D44" i="62"/>
  <c r="E44" i="57"/>
  <c r="I43" i="68"/>
  <c r="G42" i="62"/>
  <c r="F28" i="56"/>
  <c r="F47" i="32"/>
  <c r="D46" i="60"/>
  <c r="I42" i="63"/>
  <c r="E42" i="65"/>
  <c r="H44" i="63"/>
  <c r="I41" i="61"/>
  <c r="I45" i="65"/>
  <c r="J42" i="65"/>
  <c r="J44" i="57"/>
  <c r="J47" i="60"/>
  <c r="H47" i="62"/>
  <c r="D41" i="59"/>
  <c r="E44" i="32"/>
  <c r="E44" i="65"/>
  <c r="G28" i="56"/>
  <c r="E44" i="62"/>
  <c r="D45" i="53"/>
  <c r="G44" i="68"/>
  <c r="D24" i="56"/>
  <c r="H45" i="62"/>
  <c r="D45" i="64"/>
  <c r="E41" i="63"/>
  <c r="J41" i="60"/>
  <c r="G42" i="32"/>
  <c r="F44" i="65"/>
  <c r="F41" i="59"/>
  <c r="C45" i="53"/>
  <c r="G43" i="61"/>
  <c r="F41" i="63"/>
  <c r="D42" i="63"/>
  <c r="F46" i="53"/>
  <c r="E47" i="62"/>
  <c r="G47" i="64"/>
  <c r="I45" i="64"/>
  <c r="H45" i="63"/>
  <c r="J45" i="65"/>
  <c r="G45" i="65"/>
  <c r="J45" i="59"/>
  <c r="G44" i="57"/>
  <c r="F44" i="59"/>
  <c r="G42" i="64"/>
  <c r="D44" i="60"/>
  <c r="H41" i="32"/>
  <c r="D42" i="65"/>
  <c r="F45" i="61"/>
  <c r="E42" i="57"/>
  <c r="I44" i="63"/>
  <c r="H42" i="62"/>
  <c r="H42" i="63"/>
  <c r="D30" i="56"/>
  <c r="D47" i="64"/>
  <c r="C43" i="68"/>
  <c r="F43" i="63"/>
  <c r="G41" i="68"/>
  <c r="J43" i="62"/>
  <c r="D45" i="57"/>
  <c r="H44" i="57"/>
  <c r="J41" i="65"/>
  <c r="C42" i="65"/>
  <c r="C43" i="53"/>
  <c r="J46" i="61"/>
  <c r="E43" i="63"/>
  <c r="D28" i="56"/>
  <c r="D45" i="68"/>
  <c r="H43" i="63"/>
  <c r="J43" i="53"/>
  <c r="F44" i="63"/>
  <c r="D46" i="65"/>
  <c r="G46" i="63"/>
  <c r="I41" i="32"/>
  <c r="H26" i="56"/>
  <c r="G41" i="64"/>
  <c r="C44" i="64"/>
  <c r="G42" i="60"/>
  <c r="F41" i="32"/>
  <c r="J41" i="68"/>
  <c r="F41" i="65"/>
  <c r="J45" i="68"/>
  <c r="C43" i="62"/>
  <c r="C42" i="68"/>
  <c r="D41" i="57"/>
  <c r="D45" i="59"/>
  <c r="F43" i="59"/>
  <c r="J45" i="53"/>
  <c r="J25" i="56"/>
  <c r="E41" i="64"/>
  <c r="G43" i="57"/>
  <c r="I44" i="59"/>
  <c r="G47" i="60"/>
  <c r="J46" i="32"/>
  <c r="C47" i="65"/>
  <c r="C42" i="57"/>
  <c r="C44" i="32"/>
  <c r="J41" i="53"/>
  <c r="E45" i="53"/>
  <c r="D41" i="68"/>
  <c r="I44" i="65"/>
  <c r="H44" i="53"/>
  <c r="D42" i="57"/>
  <c r="F43" i="68"/>
  <c r="H44" i="62"/>
  <c r="E45" i="65"/>
  <c r="C28" i="56"/>
  <c r="E44" i="68"/>
  <c r="J41" i="62"/>
  <c r="G43" i="53"/>
  <c r="F46" i="64"/>
  <c r="F47" i="62"/>
  <c r="J47" i="65"/>
  <c r="C43" i="65"/>
  <c r="G43" i="62"/>
  <c r="H43" i="64"/>
  <c r="D44" i="59"/>
  <c r="G45" i="60"/>
  <c r="J43" i="60"/>
  <c r="G44" i="60"/>
  <c r="D26" i="56"/>
  <c r="F42" i="63"/>
  <c r="J46" i="64"/>
  <c r="G48" i="59"/>
  <c r="G48" i="62"/>
  <c r="B49" i="62"/>
  <c r="B49" i="68"/>
  <c r="I48" i="61"/>
  <c r="I31" i="56"/>
  <c r="C48" i="63"/>
  <c r="G48" i="32"/>
  <c r="C48" i="60"/>
  <c r="C48" i="57"/>
  <c r="H48" i="53"/>
  <c r="J42" i="59"/>
  <c r="F42" i="53"/>
  <c r="D43" i="60"/>
  <c r="E45" i="68"/>
  <c r="H44" i="59"/>
  <c r="G46" i="53"/>
  <c r="C45" i="63"/>
  <c r="G42" i="61"/>
  <c r="J46" i="60"/>
  <c r="D47" i="68"/>
  <c r="H27" i="56"/>
  <c r="J42" i="60"/>
  <c r="G45" i="32"/>
  <c r="F45" i="53"/>
  <c r="I27" i="56"/>
  <c r="E26" i="56"/>
  <c r="E41" i="61"/>
  <c r="F46" i="59"/>
  <c r="H47" i="63"/>
  <c r="E41" i="62"/>
  <c r="H44" i="68"/>
  <c r="H45" i="53"/>
  <c r="H45" i="32"/>
  <c r="F45" i="64"/>
  <c r="F41" i="53"/>
  <c r="F45" i="59"/>
  <c r="H25" i="56"/>
  <c r="F45" i="60"/>
  <c r="D45" i="60"/>
  <c r="I41" i="63"/>
  <c r="F26" i="56"/>
  <c r="G43" i="65"/>
  <c r="C43" i="57"/>
  <c r="J45" i="63"/>
  <c r="J42" i="68"/>
  <c r="F41" i="61"/>
  <c r="D44" i="53"/>
  <c r="E28" i="56"/>
  <c r="F46" i="62"/>
  <c r="G47" i="63"/>
  <c r="I42" i="64"/>
  <c r="J43" i="68"/>
  <c r="J44" i="64"/>
  <c r="C45" i="62"/>
  <c r="I42" i="32"/>
  <c r="E44" i="59"/>
  <c r="H41" i="60"/>
  <c r="I24" i="56"/>
  <c r="J43" i="64"/>
  <c r="C42" i="59"/>
  <c r="E45" i="63"/>
  <c r="G45" i="62"/>
  <c r="G44" i="62"/>
  <c r="H43" i="60"/>
  <c r="F43" i="65"/>
  <c r="E47" i="60"/>
  <c r="C46" i="60"/>
  <c r="C46" i="65"/>
  <c r="G25" i="56"/>
  <c r="F43" i="61"/>
  <c r="J43" i="65"/>
  <c r="H41" i="64"/>
  <c r="E45" i="64"/>
  <c r="F27" i="56"/>
  <c r="I44" i="32"/>
  <c r="D42" i="59"/>
  <c r="I41" i="59"/>
  <c r="F30" i="56"/>
  <c r="C41" i="61"/>
  <c r="G41" i="62"/>
  <c r="J42" i="61"/>
  <c r="G45" i="64"/>
  <c r="D41" i="62"/>
  <c r="G41" i="65"/>
  <c r="H46" i="53"/>
  <c r="D45" i="61"/>
  <c r="D41" i="60"/>
  <c r="H45" i="65"/>
  <c r="D43" i="57"/>
  <c r="J41" i="64"/>
  <c r="D43" i="65"/>
  <c r="J43" i="61"/>
  <c r="J47" i="32"/>
  <c r="E29" i="56"/>
  <c r="I44" i="53"/>
  <c r="F42" i="57"/>
  <c r="F43" i="32"/>
  <c r="C45" i="60"/>
  <c r="I44" i="60"/>
  <c r="G44" i="65"/>
  <c r="C44" i="68"/>
  <c r="J46" i="53"/>
  <c r="G44" i="63"/>
  <c r="F41" i="68"/>
  <c r="F45" i="65"/>
  <c r="H42" i="68"/>
  <c r="I45" i="32"/>
  <c r="E41" i="59"/>
  <c r="D45" i="62"/>
  <c r="I46" i="61"/>
  <c r="D47" i="63"/>
  <c r="E23" i="56"/>
  <c r="I43" i="65"/>
  <c r="H42" i="53"/>
  <c r="C42" i="61"/>
  <c r="C45" i="68"/>
  <c r="C41" i="65"/>
  <c r="H44" i="65"/>
  <c r="G44" i="61"/>
  <c r="G46" i="59"/>
  <c r="E45" i="61"/>
  <c r="D49" i="57"/>
  <c r="C49" i="57"/>
  <c r="J49" i="57"/>
  <c r="I49" i="57"/>
  <c r="H49" i="57"/>
  <c r="G49" i="57"/>
  <c r="F49" i="57"/>
  <c r="E49" i="57"/>
  <c r="L27" i="56"/>
  <c r="L28" i="56"/>
  <c r="I49" i="32"/>
  <c r="H49" i="32"/>
  <c r="F49" i="32"/>
  <c r="E49" i="32"/>
  <c r="D49" i="32"/>
  <c r="G49" i="32"/>
  <c r="J49" i="32"/>
  <c r="C49" i="32"/>
  <c r="I49" i="60"/>
  <c r="H49" i="60"/>
  <c r="G49" i="60"/>
  <c r="E49" i="60"/>
  <c r="D49" i="60"/>
  <c r="C49" i="60"/>
  <c r="F49" i="60"/>
  <c r="J49" i="60"/>
  <c r="N27" i="56"/>
  <c r="N28" i="56"/>
  <c r="J32" i="56"/>
  <c r="E32" i="56"/>
  <c r="G32" i="56"/>
  <c r="C32" i="56"/>
  <c r="H32" i="56"/>
  <c r="F32" i="56"/>
  <c r="I32" i="56"/>
  <c r="D32" i="56"/>
  <c r="E49" i="61"/>
  <c r="J49" i="61"/>
  <c r="I49" i="61"/>
  <c r="H49" i="61"/>
  <c r="G49" i="61"/>
  <c r="F49" i="61"/>
  <c r="C49" i="61"/>
  <c r="D49" i="61"/>
  <c r="O27" i="56"/>
  <c r="O28" i="56"/>
  <c r="B50" i="65"/>
  <c r="B50" i="68"/>
  <c r="B50" i="63"/>
  <c r="B50" i="61"/>
  <c r="B50" i="60"/>
  <c r="B50" i="57"/>
  <c r="B50" i="53"/>
  <c r="K17" i="56" s="1"/>
  <c r="B50" i="59"/>
  <c r="B50" i="64"/>
  <c r="B50" i="62"/>
  <c r="P32" i="56" s="1"/>
  <c r="B33" i="56"/>
  <c r="B50" i="32"/>
  <c r="C54" i="65"/>
  <c r="C87" i="68"/>
  <c r="G63" i="68"/>
  <c r="D81" i="61"/>
  <c r="D128" i="68"/>
  <c r="J175" i="60"/>
  <c r="J68" i="68"/>
  <c r="C86" i="68"/>
  <c r="E133" i="68"/>
  <c r="H142" i="68"/>
  <c r="F180" i="64"/>
  <c r="J77" i="63"/>
  <c r="E124" i="68"/>
  <c r="C75" i="68"/>
  <c r="D73" i="57"/>
  <c r="G55" i="68"/>
  <c r="C89" i="63"/>
  <c r="D84" i="68"/>
  <c r="C189" i="68"/>
  <c r="G67" i="63"/>
  <c r="C82" i="68"/>
  <c r="F53" i="62"/>
  <c r="D119" i="68"/>
  <c r="D101" i="57"/>
  <c r="G95" i="68"/>
  <c r="I190" i="68"/>
  <c r="C120" i="61"/>
  <c r="C113" i="68"/>
  <c r="J71" i="63"/>
  <c r="J167" i="59"/>
  <c r="C143" i="68"/>
  <c r="E83" i="68"/>
  <c r="C162" i="63"/>
  <c r="C100" i="64"/>
  <c r="C96" i="68"/>
  <c r="H179" i="61"/>
  <c r="C94" i="68"/>
  <c r="H92" i="68"/>
  <c r="G188" i="68"/>
  <c r="I99" i="68"/>
  <c r="D151" i="68"/>
  <c r="C152" i="63"/>
  <c r="D88" i="68"/>
  <c r="C91" i="68"/>
  <c r="C66" i="68"/>
  <c r="C89" i="68"/>
  <c r="C72" i="57"/>
  <c r="F53" i="57"/>
  <c r="J66" i="63"/>
  <c r="C140" i="60"/>
  <c r="D90" i="68"/>
  <c r="G106" i="63"/>
  <c r="J76" i="68"/>
  <c r="J66" i="65"/>
  <c r="C181" i="64"/>
  <c r="J77" i="65"/>
  <c r="C147" i="65"/>
  <c r="D116" i="65"/>
  <c r="E164" i="68"/>
  <c r="F88" i="65"/>
  <c r="F101" i="65"/>
  <c r="J62" i="68"/>
  <c r="J114" i="65"/>
  <c r="E73" i="65"/>
  <c r="F55" i="65"/>
  <c r="G124" i="68"/>
  <c r="F70" i="65"/>
  <c r="E107" i="68"/>
  <c r="G102" i="65"/>
  <c r="F93" i="65"/>
  <c r="I73" i="65"/>
  <c r="E91" i="65"/>
  <c r="I162" i="65"/>
  <c r="E77" i="68"/>
  <c r="F118" i="68"/>
  <c r="E92" i="68"/>
  <c r="H106" i="65"/>
  <c r="J121" i="64"/>
  <c r="H122" i="65"/>
  <c r="G135" i="65"/>
  <c r="G127" i="65"/>
  <c r="H114" i="65"/>
  <c r="G64" i="65"/>
  <c r="E107" i="65"/>
  <c r="I122" i="65"/>
  <c r="H151" i="65"/>
  <c r="H152" i="65"/>
  <c r="D198" i="65"/>
  <c r="D192" i="64"/>
  <c r="J61" i="65"/>
  <c r="J122" i="65"/>
  <c r="E96" i="65"/>
  <c r="F77" i="65"/>
  <c r="F79" i="65"/>
  <c r="H80" i="68"/>
  <c r="F69" i="65"/>
  <c r="C139" i="65"/>
  <c r="D194" i="65"/>
  <c r="D161" i="68"/>
  <c r="F61" i="65"/>
  <c r="J53" i="65"/>
  <c r="E99" i="65"/>
  <c r="I120" i="65"/>
  <c r="F168" i="65"/>
  <c r="I100" i="65"/>
  <c r="H81" i="65"/>
  <c r="J64" i="65"/>
  <c r="E104" i="65"/>
  <c r="J82" i="63"/>
  <c r="J70" i="64"/>
  <c r="J120" i="60"/>
  <c r="D149" i="64"/>
  <c r="F183" i="65"/>
  <c r="C187" i="65"/>
  <c r="G191" i="65"/>
  <c r="C138" i="65"/>
  <c r="F101" i="62"/>
  <c r="C52" i="64"/>
  <c r="C96" i="64"/>
  <c r="J109" i="68"/>
  <c r="F186" i="65"/>
  <c r="I197" i="65"/>
  <c r="J166" i="65"/>
  <c r="D174" i="65"/>
  <c r="J75" i="62"/>
  <c r="J139" i="63"/>
  <c r="F74" i="64"/>
  <c r="C107" i="60"/>
  <c r="G180" i="68"/>
  <c r="F156" i="68"/>
  <c r="I138" i="65"/>
  <c r="G89" i="65"/>
  <c r="H79" i="65"/>
  <c r="G94" i="68"/>
  <c r="H70" i="65"/>
  <c r="E152" i="68"/>
  <c r="J126" i="64"/>
  <c r="F168" i="62"/>
  <c r="H101" i="63"/>
  <c r="J176" i="62"/>
  <c r="H121" i="61"/>
  <c r="D172" i="65"/>
  <c r="F121" i="68"/>
  <c r="J149" i="68"/>
  <c r="C182" i="65"/>
  <c r="D124" i="68"/>
  <c r="F129" i="61"/>
  <c r="F182" i="64"/>
  <c r="I121" i="63"/>
  <c r="E172" i="68"/>
  <c r="J66" i="68"/>
  <c r="H85" i="68"/>
  <c r="H124" i="68"/>
  <c r="H147" i="68"/>
  <c r="F179" i="68"/>
  <c r="F199" i="68"/>
  <c r="J115" i="62"/>
  <c r="J156" i="61"/>
  <c r="J65" i="62"/>
  <c r="I99" i="61"/>
  <c r="D67" i="64"/>
  <c r="F71" i="68"/>
  <c r="G141" i="65"/>
  <c r="I188" i="65"/>
  <c r="E75" i="65"/>
  <c r="F64" i="68"/>
  <c r="G156" i="62"/>
  <c r="D78" i="62"/>
  <c r="J101" i="63"/>
  <c r="E178" i="61"/>
  <c r="D113" i="61"/>
  <c r="F184" i="60"/>
  <c r="E197" i="60"/>
  <c r="C150" i="68"/>
  <c r="H130" i="68"/>
  <c r="F183" i="64"/>
  <c r="C177" i="68"/>
  <c r="F167" i="68"/>
  <c r="D68" i="62"/>
  <c r="I89" i="63"/>
  <c r="E97" i="63"/>
  <c r="I170" i="65"/>
  <c r="E134" i="65"/>
  <c r="I94" i="68"/>
  <c r="D178" i="65"/>
  <c r="I76" i="68"/>
  <c r="E78" i="62"/>
  <c r="C183" i="64"/>
  <c r="C66" i="65"/>
  <c r="C184" i="68"/>
  <c r="I69" i="65"/>
  <c r="I88" i="65"/>
  <c r="I177" i="65"/>
  <c r="E106" i="64"/>
  <c r="C58" i="61"/>
  <c r="F106" i="61"/>
  <c r="J105" i="61"/>
  <c r="G118" i="65"/>
  <c r="H198" i="65"/>
  <c r="G149" i="65"/>
  <c r="C145" i="65"/>
  <c r="F151" i="65"/>
  <c r="C114" i="65"/>
  <c r="C106" i="65"/>
  <c r="F99" i="68"/>
  <c r="E194" i="64"/>
  <c r="F58" i="61"/>
  <c r="J115" i="63"/>
  <c r="C169" i="63"/>
  <c r="G199" i="62"/>
  <c r="J182" i="68"/>
  <c r="H120" i="65"/>
  <c r="D200" i="68"/>
  <c r="E183" i="68"/>
  <c r="C141" i="65"/>
  <c r="D101" i="68"/>
  <c r="D160" i="62"/>
  <c r="E67" i="62"/>
  <c r="G138" i="63"/>
  <c r="I185" i="62"/>
  <c r="E169" i="65"/>
  <c r="G167" i="65"/>
  <c r="F174" i="65"/>
  <c r="I71" i="65"/>
  <c r="F181" i="65"/>
  <c r="G144" i="63"/>
  <c r="D124" i="63"/>
  <c r="D187" i="63"/>
  <c r="J189" i="60"/>
  <c r="D124" i="62"/>
  <c r="I96" i="68"/>
  <c r="I178" i="65"/>
  <c r="C110" i="68"/>
  <c r="C121" i="68"/>
  <c r="D189" i="65"/>
  <c r="F184" i="68"/>
  <c r="I90" i="64"/>
  <c r="J80" i="64"/>
  <c r="C159" i="63"/>
  <c r="H64" i="64"/>
  <c r="D81" i="63"/>
  <c r="I178" i="61"/>
  <c r="G156" i="59"/>
  <c r="J68" i="60"/>
  <c r="E54" i="59"/>
  <c r="G82" i="59"/>
  <c r="E170" i="53"/>
  <c r="D110" i="62"/>
  <c r="I110" i="60"/>
  <c r="E132" i="62"/>
  <c r="F190" i="62"/>
  <c r="H198" i="61"/>
  <c r="E199" i="63"/>
  <c r="E77" i="57"/>
  <c r="F54" i="57"/>
  <c r="J77" i="53"/>
  <c r="H153" i="57"/>
  <c r="J124" i="62"/>
  <c r="H99" i="68"/>
  <c r="E141" i="68"/>
  <c r="C171" i="68"/>
  <c r="J150" i="68"/>
  <c r="C72" i="68"/>
  <c r="E161" i="64"/>
  <c r="H138" i="62"/>
  <c r="C88" i="62"/>
  <c r="H139" i="65"/>
  <c r="F160" i="65"/>
  <c r="F171" i="65"/>
  <c r="J167" i="65"/>
  <c r="G86" i="65"/>
  <c r="C124" i="63"/>
  <c r="E158" i="63"/>
  <c r="G181" i="60"/>
  <c r="D92" i="68"/>
  <c r="I119" i="68"/>
  <c r="E165" i="68"/>
  <c r="H120" i="68"/>
  <c r="I79" i="68"/>
  <c r="E97" i="61"/>
  <c r="H165" i="68"/>
  <c r="F124" i="63"/>
  <c r="G177" i="62"/>
  <c r="I168" i="65"/>
  <c r="J103" i="64"/>
  <c r="J174" i="68"/>
  <c r="J126" i="62"/>
  <c r="E137" i="68"/>
  <c r="G136" i="68"/>
  <c r="J188" i="65"/>
  <c r="E152" i="65"/>
  <c r="J130" i="63"/>
  <c r="G64" i="62"/>
  <c r="E147" i="62"/>
  <c r="H157" i="60"/>
  <c r="E113" i="64"/>
  <c r="C65" i="65"/>
  <c r="G69" i="65"/>
  <c r="I142" i="65"/>
  <c r="C160" i="64"/>
  <c r="G76" i="65"/>
  <c r="J93" i="64"/>
  <c r="G140" i="60"/>
  <c r="D194" i="60"/>
  <c r="C58" i="62"/>
  <c r="E63" i="68"/>
  <c r="G138" i="65"/>
  <c r="I64" i="65"/>
  <c r="D105" i="65"/>
  <c r="D122" i="68"/>
  <c r="D125" i="65"/>
  <c r="C52" i="61"/>
  <c r="D84" i="63"/>
  <c r="C98" i="64"/>
  <c r="F53" i="64"/>
  <c r="F78" i="61"/>
  <c r="I191" i="68"/>
  <c r="J109" i="65"/>
  <c r="I108" i="65"/>
  <c r="D101" i="65"/>
  <c r="I127" i="65"/>
  <c r="G153" i="63"/>
  <c r="C73" i="61"/>
  <c r="I174" i="60"/>
  <c r="I200" i="60"/>
  <c r="C136" i="60"/>
  <c r="H145" i="61"/>
  <c r="J176" i="64"/>
  <c r="E141" i="59"/>
  <c r="C63" i="57"/>
  <c r="H71" i="57"/>
  <c r="I51" i="59"/>
  <c r="D193" i="62"/>
  <c r="G84" i="63"/>
  <c r="C94" i="62"/>
  <c r="H129" i="62"/>
  <c r="I93" i="64"/>
  <c r="D144" i="60"/>
  <c r="I101" i="57"/>
  <c r="H117" i="61"/>
  <c r="F132" i="53"/>
  <c r="I81" i="65"/>
  <c r="H56" i="68"/>
  <c r="D184" i="64"/>
  <c r="D176" i="68"/>
  <c r="J186" i="68"/>
  <c r="J179" i="61"/>
  <c r="D180" i="61"/>
  <c r="E182" i="65"/>
  <c r="C122" i="68"/>
  <c r="J57" i="65"/>
  <c r="I150" i="64"/>
  <c r="F171" i="68"/>
  <c r="D142" i="63"/>
  <c r="E162" i="62"/>
  <c r="I73" i="62"/>
  <c r="D148" i="65"/>
  <c r="I181" i="65"/>
  <c r="F111" i="68"/>
  <c r="C124" i="65"/>
  <c r="J152" i="65"/>
  <c r="E102" i="63"/>
  <c r="G76" i="63"/>
  <c r="D126" i="60"/>
  <c r="J191" i="60"/>
  <c r="F147" i="68"/>
  <c r="C155" i="65"/>
  <c r="C92" i="65"/>
  <c r="J93" i="65"/>
  <c r="E135" i="65"/>
  <c r="E56" i="65"/>
  <c r="C142" i="65"/>
  <c r="H134" i="65"/>
  <c r="I154" i="65"/>
  <c r="E81" i="63"/>
  <c r="F179" i="63"/>
  <c r="H85" i="64"/>
  <c r="F94" i="61"/>
  <c r="F56" i="61"/>
  <c r="J149" i="64"/>
  <c r="F112" i="65"/>
  <c r="G183" i="65"/>
  <c r="I116" i="64"/>
  <c r="C130" i="65"/>
  <c r="J108" i="60"/>
  <c r="G114" i="63"/>
  <c r="D176" i="63"/>
  <c r="J144" i="63"/>
  <c r="J117" i="65"/>
  <c r="I89" i="68"/>
  <c r="J181" i="68"/>
  <c r="H51" i="68"/>
  <c r="I133" i="68"/>
  <c r="H200" i="63"/>
  <c r="C178" i="62"/>
  <c r="I200" i="63"/>
  <c r="G154" i="62"/>
  <c r="H132" i="61"/>
  <c r="J133" i="65"/>
  <c r="H143" i="68"/>
  <c r="E192" i="64"/>
  <c r="C140" i="65"/>
  <c r="G133" i="65"/>
  <c r="E195" i="63"/>
  <c r="G168" i="63"/>
  <c r="D76" i="62"/>
  <c r="C171" i="60"/>
  <c r="G181" i="62"/>
  <c r="I63" i="64"/>
  <c r="H51" i="64"/>
  <c r="C186" i="64"/>
  <c r="H156" i="65"/>
  <c r="H65" i="65"/>
  <c r="H126" i="65"/>
  <c r="H138" i="64"/>
  <c r="I174" i="65"/>
  <c r="F75" i="61"/>
  <c r="F96" i="61"/>
  <c r="F66" i="65"/>
  <c r="C114" i="64"/>
  <c r="J151" i="65"/>
  <c r="E93" i="64"/>
  <c r="E100" i="68"/>
  <c r="E105" i="62"/>
  <c r="H109" i="61"/>
  <c r="G68" i="62"/>
  <c r="J156" i="68"/>
  <c r="F93" i="68"/>
  <c r="H64" i="68"/>
  <c r="H136" i="64"/>
  <c r="I51" i="65"/>
  <c r="I119" i="63"/>
  <c r="H89" i="64"/>
  <c r="C178" i="60"/>
  <c r="E146" i="61"/>
  <c r="C51" i="68"/>
  <c r="I53" i="68"/>
  <c r="E189" i="65"/>
  <c r="G185" i="65"/>
  <c r="J71" i="68"/>
  <c r="H180" i="65"/>
  <c r="F190" i="65"/>
  <c r="I171" i="68"/>
  <c r="I186" i="64"/>
  <c r="C117" i="61"/>
  <c r="I192" i="63"/>
  <c r="E185" i="62"/>
  <c r="H69" i="64"/>
  <c r="G176" i="65"/>
  <c r="H103" i="68"/>
  <c r="C179" i="65"/>
  <c r="J57" i="68"/>
  <c r="G160" i="65"/>
  <c r="E115" i="68"/>
  <c r="C141" i="62"/>
  <c r="H84" i="62"/>
  <c r="F186" i="63"/>
  <c r="H122" i="62"/>
  <c r="I180" i="65"/>
  <c r="G189" i="65"/>
  <c r="I149" i="65"/>
  <c r="I55" i="68"/>
  <c r="J188" i="68"/>
  <c r="C198" i="63"/>
  <c r="C99" i="64"/>
  <c r="I131" i="62"/>
  <c r="J101" i="61"/>
  <c r="D180" i="60"/>
  <c r="I64" i="68"/>
  <c r="J150" i="64"/>
  <c r="I186" i="68"/>
  <c r="H114" i="68"/>
  <c r="E168" i="65"/>
  <c r="F101" i="64"/>
  <c r="C197" i="62"/>
  <c r="C176" i="63"/>
  <c r="D133" i="64"/>
  <c r="G55" i="62"/>
  <c r="I111" i="64"/>
  <c r="I150" i="63"/>
  <c r="C188" i="53"/>
  <c r="E84" i="57"/>
  <c r="I55" i="61"/>
  <c r="E164" i="59"/>
  <c r="E61" i="65"/>
  <c r="H137" i="61"/>
  <c r="C191" i="61"/>
  <c r="H73" i="62"/>
  <c r="F66" i="62"/>
  <c r="J68" i="61"/>
  <c r="E85" i="63"/>
  <c r="E86" i="59"/>
  <c r="C65" i="53"/>
  <c r="G163" i="68"/>
  <c r="F141" i="68"/>
  <c r="C101" i="68"/>
  <c r="E72" i="68"/>
  <c r="F131" i="68"/>
  <c r="C164" i="62"/>
  <c r="J135" i="61"/>
  <c r="J151" i="61"/>
  <c r="F78" i="65"/>
  <c r="F155" i="65"/>
  <c r="D192" i="65"/>
  <c r="J90" i="65"/>
  <c r="H163" i="65"/>
  <c r="E169" i="63"/>
  <c r="I136" i="62"/>
  <c r="J153" i="60"/>
  <c r="I135" i="65"/>
  <c r="J85" i="65"/>
  <c r="D153" i="65"/>
  <c r="D148" i="68"/>
  <c r="G155" i="68"/>
  <c r="F134" i="64"/>
  <c r="G73" i="62"/>
  <c r="D191" i="61"/>
  <c r="I172" i="62"/>
  <c r="I83" i="65"/>
  <c r="C53" i="65"/>
  <c r="E54" i="65"/>
  <c r="I58" i="65"/>
  <c r="D97" i="65"/>
  <c r="G51" i="65"/>
  <c r="E77" i="65"/>
  <c r="D72" i="65"/>
  <c r="F116" i="65"/>
  <c r="F61" i="63"/>
  <c r="G184" i="63"/>
  <c r="D182" i="64"/>
  <c r="F137" i="61"/>
  <c r="I177" i="60"/>
  <c r="I174" i="68"/>
  <c r="I118" i="68"/>
  <c r="C71" i="68"/>
  <c r="G169" i="68"/>
  <c r="G106" i="68"/>
  <c r="I71" i="64"/>
  <c r="E176" i="62"/>
  <c r="D173" i="63"/>
  <c r="F112" i="62"/>
  <c r="C159" i="68"/>
  <c r="I62" i="68"/>
  <c r="H128" i="68"/>
  <c r="H199" i="65"/>
  <c r="D126" i="68"/>
  <c r="D81" i="62"/>
  <c r="H156" i="61"/>
  <c r="E116" i="62"/>
  <c r="F187" i="60"/>
  <c r="F176" i="63"/>
  <c r="I75" i="64"/>
  <c r="E191" i="65"/>
  <c r="I148" i="65"/>
  <c r="H69" i="65"/>
  <c r="H85" i="65"/>
  <c r="J70" i="65"/>
  <c r="I62" i="65"/>
  <c r="I123" i="60"/>
  <c r="H120" i="61"/>
  <c r="E111" i="61"/>
  <c r="D113" i="62"/>
  <c r="D124" i="60"/>
  <c r="G107" i="63"/>
  <c r="F78" i="53"/>
  <c r="J132" i="57"/>
  <c r="C60" i="60"/>
  <c r="I75" i="57"/>
  <c r="C103" i="64"/>
  <c r="D141" i="63"/>
  <c r="H105" i="63"/>
  <c r="H88" i="63"/>
  <c r="H144" i="64"/>
  <c r="G61" i="65"/>
  <c r="G158" i="65"/>
  <c r="G162" i="68"/>
  <c r="J98" i="65"/>
  <c r="G62" i="68"/>
  <c r="D168" i="62"/>
  <c r="G80" i="63"/>
  <c r="E164" i="63"/>
  <c r="I112" i="65"/>
  <c r="D166" i="64"/>
  <c r="J105" i="65"/>
  <c r="F191" i="64"/>
  <c r="C107" i="65"/>
  <c r="C132" i="61"/>
  <c r="J91" i="64"/>
  <c r="E59" i="68"/>
  <c r="I71" i="68"/>
  <c r="D170" i="65"/>
  <c r="F127" i="68"/>
  <c r="F96" i="68"/>
  <c r="F141" i="63"/>
  <c r="I193" i="62"/>
  <c r="I137" i="62"/>
  <c r="I154" i="60"/>
  <c r="J148" i="68"/>
  <c r="C111" i="68"/>
  <c r="C194" i="68"/>
  <c r="G134" i="65"/>
  <c r="D145" i="65"/>
  <c r="I186" i="65"/>
  <c r="E72" i="65"/>
  <c r="C84" i="65"/>
  <c r="G130" i="65"/>
  <c r="J99" i="63"/>
  <c r="E121" i="63"/>
  <c r="I77" i="64"/>
  <c r="D177" i="60"/>
  <c r="I165" i="60"/>
  <c r="J127" i="64"/>
  <c r="F162" i="64"/>
  <c r="D165" i="68"/>
  <c r="F79" i="68"/>
  <c r="C153" i="68"/>
  <c r="H138" i="60"/>
  <c r="G192" i="63"/>
  <c r="F77" i="64"/>
  <c r="J97" i="63"/>
  <c r="E158" i="65"/>
  <c r="D180" i="68"/>
  <c r="D83" i="68"/>
  <c r="G143" i="68"/>
  <c r="J152" i="68"/>
  <c r="H118" i="64"/>
  <c r="H158" i="64"/>
  <c r="I119" i="61"/>
  <c r="H180" i="62"/>
  <c r="D103" i="61"/>
  <c r="C152" i="65"/>
  <c r="G119" i="68"/>
  <c r="D188" i="65"/>
  <c r="C54" i="68"/>
  <c r="J134" i="65"/>
  <c r="D173" i="68"/>
  <c r="E98" i="61"/>
  <c r="G146" i="62"/>
  <c r="H137" i="62"/>
  <c r="D129" i="64"/>
  <c r="H138" i="63"/>
  <c r="I104" i="62"/>
  <c r="D191" i="60"/>
  <c r="F72" i="59"/>
  <c r="F76" i="53"/>
  <c r="D142" i="59"/>
  <c r="F112" i="53"/>
  <c r="E140" i="63"/>
  <c r="D158" i="62"/>
  <c r="E140" i="68"/>
  <c r="F135" i="68"/>
  <c r="C96" i="65"/>
  <c r="F98" i="65"/>
  <c r="D90" i="65"/>
  <c r="C111" i="63"/>
  <c r="E184" i="63"/>
  <c r="F109" i="62"/>
  <c r="H178" i="64"/>
  <c r="D194" i="68"/>
  <c r="C195" i="68"/>
  <c r="J86" i="64"/>
  <c r="I173" i="65"/>
  <c r="G147" i="60"/>
  <c r="C81" i="63"/>
  <c r="G104" i="68"/>
  <c r="C132" i="65"/>
  <c r="C63" i="65"/>
  <c r="I155" i="65"/>
  <c r="J147" i="64"/>
  <c r="C166" i="68"/>
  <c r="G109" i="61"/>
  <c r="J53" i="62"/>
  <c r="F76" i="62"/>
  <c r="C184" i="64"/>
  <c r="I145" i="65"/>
  <c r="F168" i="68"/>
  <c r="G106" i="65"/>
  <c r="D166" i="65"/>
  <c r="J198" i="65"/>
  <c r="F61" i="68"/>
  <c r="G200" i="68"/>
  <c r="C200" i="64"/>
  <c r="H103" i="64"/>
  <c r="G148" i="64"/>
  <c r="F152" i="61"/>
  <c r="C110" i="61"/>
  <c r="I148" i="60"/>
  <c r="I159" i="68"/>
  <c r="E153" i="68"/>
  <c r="J183" i="65"/>
  <c r="J191" i="65"/>
  <c r="E155" i="68"/>
  <c r="F60" i="62"/>
  <c r="F132" i="63"/>
  <c r="E99" i="63"/>
  <c r="D117" i="60"/>
  <c r="E186" i="65"/>
  <c r="D154" i="65"/>
  <c r="H100" i="68"/>
  <c r="D167" i="65"/>
  <c r="F164" i="65"/>
  <c r="H56" i="63"/>
  <c r="D170" i="62"/>
  <c r="I120" i="62"/>
  <c r="D198" i="62"/>
  <c r="J183" i="64"/>
  <c r="J146" i="68"/>
  <c r="E172" i="65"/>
  <c r="J91" i="65"/>
  <c r="E86" i="65"/>
  <c r="I90" i="65"/>
  <c r="F80" i="65"/>
  <c r="F163" i="64"/>
  <c r="E102" i="61"/>
  <c r="J81" i="62"/>
  <c r="C97" i="62"/>
  <c r="F102" i="62"/>
  <c r="D167" i="60"/>
  <c r="E111" i="63"/>
  <c r="F108" i="57"/>
  <c r="I163" i="59"/>
  <c r="J73" i="60"/>
  <c r="F75" i="63"/>
  <c r="E94" i="62"/>
  <c r="F149" i="64"/>
  <c r="J189" i="53"/>
  <c r="C55" i="60"/>
  <c r="G115" i="60"/>
  <c r="H133" i="64"/>
  <c r="D54" i="62"/>
  <c r="F193" i="61"/>
  <c r="E149" i="64"/>
  <c r="F181" i="63"/>
  <c r="J85" i="64"/>
  <c r="G87" i="57"/>
  <c r="G131" i="59"/>
  <c r="E107" i="53"/>
  <c r="J147" i="63"/>
  <c r="I154" i="63"/>
  <c r="E171" i="63"/>
  <c r="D65" i="64"/>
  <c r="E177" i="62"/>
  <c r="E131" i="61"/>
  <c r="C79" i="53"/>
  <c r="E60" i="60"/>
  <c r="E59" i="61"/>
  <c r="C200" i="68"/>
  <c r="C148" i="62"/>
  <c r="J97" i="62"/>
  <c r="C130" i="61"/>
  <c r="J99" i="61"/>
  <c r="I105" i="60"/>
  <c r="H77" i="63"/>
  <c r="E74" i="53"/>
  <c r="E196" i="57"/>
  <c r="G136" i="57"/>
  <c r="D98" i="61"/>
  <c r="E162" i="63"/>
  <c r="E153" i="53"/>
  <c r="F137" i="64"/>
  <c r="D80" i="63"/>
  <c r="C156" i="63"/>
  <c r="H90" i="57"/>
  <c r="E159" i="53"/>
  <c r="G171" i="61"/>
  <c r="E184" i="64"/>
  <c r="C162" i="61"/>
  <c r="C76" i="62"/>
  <c r="E181" i="64"/>
  <c r="J114" i="68"/>
  <c r="E194" i="68"/>
  <c r="J177" i="68"/>
  <c r="G65" i="68"/>
  <c r="H75" i="68"/>
  <c r="I115" i="64"/>
  <c r="H185" i="64"/>
  <c r="F159" i="63"/>
  <c r="G72" i="65"/>
  <c r="G134" i="64"/>
  <c r="C168" i="64"/>
  <c r="D137" i="64"/>
  <c r="J188" i="64"/>
  <c r="I56" i="64"/>
  <c r="H108" i="64"/>
  <c r="F106" i="68"/>
  <c r="H156" i="68"/>
  <c r="I132" i="68"/>
  <c r="I172" i="64"/>
  <c r="D62" i="68"/>
  <c r="J177" i="57"/>
  <c r="H100" i="61"/>
  <c r="H106" i="64"/>
  <c r="E168" i="62"/>
  <c r="J151" i="64"/>
  <c r="I179" i="65"/>
  <c r="H92" i="65"/>
  <c r="J55" i="68"/>
  <c r="H155" i="68"/>
  <c r="H52" i="68"/>
  <c r="D66" i="65"/>
  <c r="D167" i="68"/>
  <c r="E80" i="65"/>
  <c r="E64" i="61"/>
  <c r="D170" i="63"/>
  <c r="D179" i="63"/>
  <c r="J151" i="63"/>
  <c r="D162" i="65"/>
  <c r="I196" i="64"/>
  <c r="F127" i="65"/>
  <c r="F162" i="65"/>
  <c r="D63" i="65"/>
  <c r="C196" i="65"/>
  <c r="J137" i="60"/>
  <c r="G89" i="63"/>
  <c r="J175" i="63"/>
  <c r="J92" i="63"/>
  <c r="J83" i="65"/>
  <c r="E118" i="65"/>
  <c r="G99" i="65"/>
  <c r="C103" i="65"/>
  <c r="G57" i="65"/>
  <c r="H89" i="63"/>
  <c r="G162" i="63"/>
  <c r="I181" i="60"/>
  <c r="D162" i="61"/>
  <c r="E137" i="60"/>
  <c r="H87" i="68"/>
  <c r="H99" i="65"/>
  <c r="H117" i="68"/>
  <c r="E52" i="65"/>
  <c r="G183" i="68"/>
  <c r="G63" i="65"/>
  <c r="D185" i="62"/>
  <c r="H130" i="63"/>
  <c r="H73" i="64"/>
  <c r="C115" i="63"/>
  <c r="I149" i="64"/>
  <c r="E105" i="61"/>
  <c r="H81" i="60"/>
  <c r="C117" i="65"/>
  <c r="H75" i="65"/>
  <c r="G171" i="68"/>
  <c r="F179" i="65"/>
  <c r="H104" i="65"/>
  <c r="E141" i="61"/>
  <c r="D102" i="64"/>
  <c r="I146" i="64"/>
  <c r="I86" i="68"/>
  <c r="F84" i="65"/>
  <c r="F165" i="65"/>
  <c r="D177" i="68"/>
  <c r="E76" i="65"/>
  <c r="H141" i="60"/>
  <c r="C119" i="63"/>
  <c r="H169" i="64"/>
  <c r="E120" i="64"/>
  <c r="G84" i="65"/>
  <c r="F146" i="64"/>
  <c r="C123" i="64"/>
  <c r="H183" i="62"/>
  <c r="F146" i="63"/>
  <c r="C137" i="62"/>
  <c r="G63" i="61"/>
  <c r="H157" i="59"/>
  <c r="D192" i="68"/>
  <c r="E111" i="68"/>
  <c r="E169" i="68"/>
  <c r="G193" i="64"/>
  <c r="F142" i="64"/>
  <c r="E162" i="68"/>
  <c r="E57" i="65"/>
  <c r="C178" i="65"/>
  <c r="J139" i="61"/>
  <c r="C150" i="63"/>
  <c r="H110" i="62"/>
  <c r="H77" i="64"/>
  <c r="D157" i="65"/>
  <c r="H105" i="68"/>
  <c r="E176" i="65"/>
  <c r="E199" i="64"/>
  <c r="C79" i="68"/>
  <c r="H145" i="68"/>
  <c r="C108" i="61"/>
  <c r="F92" i="61"/>
  <c r="G55" i="64"/>
  <c r="F168" i="63"/>
  <c r="G172" i="64"/>
  <c r="E129" i="68"/>
  <c r="G154" i="64"/>
  <c r="C148" i="68"/>
  <c r="H150" i="64"/>
  <c r="F157" i="63"/>
  <c r="H170" i="64"/>
  <c r="I65" i="62"/>
  <c r="D140" i="61"/>
  <c r="G185" i="61"/>
  <c r="H176" i="65"/>
  <c r="J171" i="68"/>
  <c r="C69" i="65"/>
  <c r="I68" i="68"/>
  <c r="G150" i="64"/>
  <c r="I170" i="63"/>
  <c r="C67" i="61"/>
  <c r="I173" i="63"/>
  <c r="G189" i="64"/>
  <c r="J127" i="62"/>
  <c r="J56" i="64"/>
  <c r="J101" i="64"/>
  <c r="C187" i="53"/>
  <c r="H169" i="53"/>
  <c r="I120" i="60"/>
  <c r="C168" i="59"/>
  <c r="J128" i="68"/>
  <c r="H102" i="61"/>
  <c r="E77" i="61"/>
  <c r="H82" i="61"/>
  <c r="I57" i="62"/>
  <c r="J164" i="62"/>
  <c r="F124" i="62"/>
  <c r="E112" i="53"/>
  <c r="J190" i="57"/>
  <c r="G73" i="57"/>
  <c r="J112" i="57"/>
  <c r="G79" i="63"/>
  <c r="E143" i="65"/>
  <c r="H153" i="65"/>
  <c r="E113" i="65"/>
  <c r="D88" i="65"/>
  <c r="F161" i="65"/>
  <c r="C137" i="63"/>
  <c r="D85" i="64"/>
  <c r="D132" i="64"/>
  <c r="C133" i="68"/>
  <c r="H150" i="68"/>
  <c r="J147" i="68"/>
  <c r="G56" i="68"/>
  <c r="G75" i="68"/>
  <c r="J200" i="63"/>
  <c r="Q16" i="56" s="1"/>
  <c r="I100" i="63"/>
  <c r="D83" i="63"/>
  <c r="E161" i="65"/>
  <c r="G91" i="65"/>
  <c r="J170" i="65"/>
  <c r="G134" i="63"/>
  <c r="J177" i="65"/>
  <c r="E170" i="60"/>
  <c r="E80" i="63"/>
  <c r="E175" i="63"/>
  <c r="F107" i="65"/>
  <c r="G170" i="68"/>
  <c r="G93" i="68"/>
  <c r="E182" i="63"/>
  <c r="H193" i="65"/>
  <c r="C177" i="65"/>
  <c r="F196" i="68"/>
  <c r="I161" i="64"/>
  <c r="I180" i="64"/>
  <c r="H104" i="64"/>
  <c r="I85" i="64"/>
  <c r="G97" i="61"/>
  <c r="D129" i="61"/>
  <c r="C192" i="60"/>
  <c r="C181" i="68"/>
  <c r="J54" i="68"/>
  <c r="G54" i="68"/>
  <c r="D172" i="68"/>
  <c r="E79" i="68"/>
  <c r="J64" i="68"/>
  <c r="C68" i="63"/>
  <c r="G89" i="62"/>
  <c r="H152" i="60"/>
  <c r="J182" i="65"/>
  <c r="E198" i="68"/>
  <c r="E110" i="68"/>
  <c r="J72" i="68"/>
  <c r="D158" i="65"/>
  <c r="I194" i="68"/>
  <c r="H197" i="62"/>
  <c r="J165" i="62"/>
  <c r="E63" i="63"/>
  <c r="G184" i="64"/>
  <c r="I137" i="64"/>
  <c r="I126" i="65"/>
  <c r="G122" i="68"/>
  <c r="J191" i="68"/>
  <c r="G142" i="68"/>
  <c r="D99" i="68"/>
  <c r="H123" i="62"/>
  <c r="G125" i="60"/>
  <c r="F78" i="64"/>
  <c r="F85" i="61"/>
  <c r="C78" i="61"/>
  <c r="G153" i="60"/>
  <c r="J90" i="63"/>
  <c r="F115" i="53"/>
  <c r="F159" i="53"/>
  <c r="F99" i="60"/>
  <c r="D187" i="57"/>
  <c r="E101" i="62"/>
  <c r="H123" i="64"/>
  <c r="C55" i="63"/>
  <c r="E54" i="64"/>
  <c r="I121" i="64"/>
  <c r="H147" i="62"/>
  <c r="F97" i="60"/>
  <c r="J145" i="57"/>
  <c r="D120" i="62"/>
  <c r="H167" i="65"/>
  <c r="D128" i="65"/>
  <c r="E59" i="65"/>
  <c r="J175" i="65"/>
  <c r="D118" i="63"/>
  <c r="E195" i="60"/>
  <c r="H73" i="61"/>
  <c r="G91" i="68"/>
  <c r="F54" i="64"/>
  <c r="H168" i="68"/>
  <c r="G104" i="65"/>
  <c r="G110" i="65"/>
  <c r="H192" i="63"/>
  <c r="I144" i="60"/>
  <c r="C170" i="61"/>
  <c r="J119" i="64"/>
  <c r="E188" i="64"/>
  <c r="D198" i="68"/>
  <c r="G139" i="68"/>
  <c r="H59" i="68"/>
  <c r="G190" i="63"/>
  <c r="C169" i="64"/>
  <c r="C138" i="61"/>
  <c r="E93" i="61"/>
  <c r="J137" i="65"/>
  <c r="F84" i="68"/>
  <c r="I80" i="68"/>
  <c r="G197" i="65"/>
  <c r="I176" i="64"/>
  <c r="E156" i="68"/>
  <c r="H179" i="68"/>
  <c r="C186" i="65"/>
  <c r="E75" i="68"/>
  <c r="E193" i="61"/>
  <c r="G144" i="64"/>
  <c r="D74" i="63"/>
  <c r="J174" i="64"/>
  <c r="G182" i="68"/>
  <c r="D61" i="65"/>
  <c r="C168" i="68"/>
  <c r="C146" i="64"/>
  <c r="J145" i="68"/>
  <c r="H181" i="64"/>
  <c r="D80" i="61"/>
  <c r="J89" i="61"/>
  <c r="D191" i="62"/>
  <c r="C84" i="64"/>
  <c r="F92" i="68"/>
  <c r="F89" i="65"/>
  <c r="C108" i="65"/>
  <c r="G146" i="65"/>
  <c r="E108" i="65"/>
  <c r="D62" i="63"/>
  <c r="D63" i="63"/>
  <c r="C172" i="63"/>
  <c r="C111" i="60"/>
  <c r="D52" i="61"/>
  <c r="I151" i="68"/>
  <c r="I136" i="64"/>
  <c r="C65" i="68"/>
  <c r="D182" i="68"/>
  <c r="J194" i="64"/>
  <c r="J79" i="63"/>
  <c r="D108" i="68"/>
  <c r="G107" i="62"/>
  <c r="G124" i="61"/>
  <c r="F101" i="61"/>
  <c r="C115" i="62"/>
  <c r="I52" i="63"/>
  <c r="C194" i="65"/>
  <c r="D136" i="65"/>
  <c r="H112" i="68"/>
  <c r="J54" i="65"/>
  <c r="I153" i="65"/>
  <c r="G197" i="62"/>
  <c r="C187" i="62"/>
  <c r="F133" i="62"/>
  <c r="J136" i="68"/>
  <c r="H161" i="68"/>
  <c r="D89" i="68"/>
  <c r="J199" i="65"/>
  <c r="E53" i="65"/>
  <c r="E129" i="63"/>
  <c r="I195" i="63"/>
  <c r="J197" i="60"/>
  <c r="G139" i="65"/>
  <c r="H77" i="65"/>
  <c r="G132" i="64"/>
  <c r="C59" i="68"/>
  <c r="C67" i="68"/>
  <c r="H148" i="64"/>
  <c r="G152" i="62"/>
  <c r="F117" i="63"/>
  <c r="J88" i="62"/>
  <c r="D94" i="65"/>
  <c r="E195" i="64"/>
  <c r="H184" i="64"/>
  <c r="I136" i="68"/>
  <c r="E74" i="65"/>
  <c r="D103" i="68"/>
  <c r="I166" i="64"/>
  <c r="F153" i="65"/>
  <c r="E101" i="68"/>
  <c r="I192" i="65"/>
  <c r="E177" i="65"/>
  <c r="J158" i="65"/>
  <c r="C116" i="65"/>
  <c r="I139" i="65"/>
  <c r="D52" i="63"/>
  <c r="D199" i="62"/>
  <c r="I161" i="63"/>
  <c r="H77" i="68"/>
  <c r="G188" i="65"/>
  <c r="I158" i="68"/>
  <c r="G111" i="65"/>
  <c r="I166" i="68"/>
  <c r="H85" i="62"/>
  <c r="E136" i="63"/>
  <c r="E81" i="65"/>
  <c r="I138" i="68"/>
  <c r="D68" i="65"/>
  <c r="D98" i="68"/>
  <c r="H116" i="65"/>
  <c r="D146" i="68"/>
  <c r="F193" i="60"/>
  <c r="J109" i="63"/>
  <c r="H102" i="63"/>
  <c r="F54" i="68"/>
  <c r="H161" i="64"/>
  <c r="F186" i="68"/>
  <c r="E181" i="68"/>
  <c r="F96" i="65"/>
  <c r="E87" i="65"/>
  <c r="I122" i="68"/>
  <c r="E177" i="57"/>
  <c r="I100" i="68"/>
  <c r="H53" i="62"/>
  <c r="G109" i="62"/>
  <c r="C151" i="63"/>
  <c r="F161" i="64"/>
  <c r="H52" i="65"/>
  <c r="J155" i="64"/>
  <c r="D109" i="68"/>
  <c r="I160" i="68"/>
  <c r="J163" i="68"/>
  <c r="C157" i="64"/>
  <c r="D71" i="62"/>
  <c r="C176" i="61"/>
  <c r="D196" i="68"/>
  <c r="H178" i="63"/>
  <c r="F113" i="68"/>
  <c r="E94" i="68"/>
  <c r="D105" i="68"/>
  <c r="I60" i="68"/>
  <c r="C180" i="68"/>
  <c r="G159" i="63"/>
  <c r="G111" i="62"/>
  <c r="F87" i="63"/>
  <c r="H193" i="62"/>
  <c r="I138" i="61"/>
  <c r="C174" i="65"/>
  <c r="F95" i="68"/>
  <c r="F193" i="65"/>
  <c r="J79" i="68"/>
  <c r="C158" i="65"/>
  <c r="I139" i="68"/>
  <c r="I74" i="63"/>
  <c r="J136" i="64"/>
  <c r="G89" i="64"/>
  <c r="F144" i="64"/>
  <c r="G132" i="63"/>
  <c r="C168" i="62"/>
  <c r="G197" i="57"/>
  <c r="H177" i="68"/>
  <c r="F150" i="68"/>
  <c r="H62" i="65"/>
  <c r="D152" i="68"/>
  <c r="F178" i="68"/>
  <c r="C171" i="62"/>
  <c r="H91" i="62"/>
  <c r="I195" i="64"/>
  <c r="F91" i="65"/>
  <c r="H159" i="68"/>
  <c r="F174" i="68"/>
  <c r="J51" i="68"/>
  <c r="J81" i="68"/>
  <c r="G173" i="61"/>
  <c r="D118" i="62"/>
  <c r="C176" i="65"/>
  <c r="D175" i="65"/>
  <c r="F188" i="65"/>
  <c r="E196" i="65"/>
  <c r="J120" i="68"/>
  <c r="J177" i="63"/>
  <c r="C187" i="63"/>
  <c r="C127" i="64"/>
  <c r="F128" i="61"/>
  <c r="J123" i="68"/>
  <c r="I184" i="65"/>
  <c r="F126" i="65"/>
  <c r="G137" i="65"/>
  <c r="H107" i="68"/>
  <c r="H175" i="65"/>
  <c r="I143" i="65"/>
  <c r="J108" i="68"/>
  <c r="J130" i="64"/>
  <c r="E102" i="60"/>
  <c r="E139" i="60"/>
  <c r="G170" i="63"/>
  <c r="I66" i="63"/>
  <c r="H63" i="68"/>
  <c r="I133" i="64"/>
  <c r="J197" i="64"/>
  <c r="F128" i="65"/>
  <c r="I104" i="65"/>
  <c r="G52" i="63"/>
  <c r="E128" i="62"/>
  <c r="F185" i="60"/>
  <c r="C135" i="60"/>
  <c r="F183" i="62"/>
  <c r="G71" i="68"/>
  <c r="D151" i="65"/>
  <c r="E180" i="65"/>
  <c r="H90" i="65"/>
  <c r="F69" i="68"/>
  <c r="F51" i="61"/>
  <c r="E92" i="63"/>
  <c r="G165" i="63"/>
  <c r="J168" i="63"/>
  <c r="H146" i="62"/>
  <c r="C133" i="64"/>
  <c r="J111" i="64"/>
  <c r="E113" i="68"/>
  <c r="H166" i="65"/>
  <c r="J78" i="68"/>
  <c r="E80" i="62"/>
  <c r="E86" i="63"/>
  <c r="C61" i="61"/>
  <c r="D150" i="61"/>
  <c r="G146" i="63"/>
  <c r="I76" i="62"/>
  <c r="C139" i="63"/>
  <c r="G134" i="59"/>
  <c r="F72" i="60"/>
  <c r="H130" i="57"/>
  <c r="D110" i="61"/>
  <c r="C107" i="64"/>
  <c r="J158" i="61"/>
  <c r="F61" i="64"/>
  <c r="I113" i="62"/>
  <c r="D186" i="62"/>
  <c r="E91" i="61"/>
  <c r="D112" i="61"/>
  <c r="G152" i="59"/>
  <c r="I174" i="59"/>
  <c r="E184" i="60"/>
  <c r="D52" i="60"/>
  <c r="G60" i="62"/>
  <c r="D55" i="68"/>
  <c r="I63" i="68"/>
  <c r="F195" i="68"/>
  <c r="J129" i="68"/>
  <c r="G140" i="68"/>
  <c r="C63" i="62"/>
  <c r="I153" i="53"/>
  <c r="I136" i="63"/>
  <c r="C162" i="65"/>
  <c r="J181" i="65"/>
  <c r="G129" i="65"/>
  <c r="F121" i="65"/>
  <c r="H146" i="65"/>
  <c r="G140" i="62"/>
  <c r="G98" i="63"/>
  <c r="I187" i="64"/>
  <c r="F164" i="64"/>
  <c r="C84" i="68"/>
  <c r="I140" i="68"/>
  <c r="I147" i="68"/>
  <c r="C166" i="64"/>
  <c r="F135" i="61"/>
  <c r="E120" i="62"/>
  <c r="F166" i="62"/>
  <c r="D125" i="68"/>
  <c r="I51" i="64"/>
  <c r="I95" i="65"/>
  <c r="G155" i="65"/>
  <c r="G163" i="64"/>
  <c r="E134" i="64"/>
  <c r="J163" i="65"/>
  <c r="G174" i="65"/>
  <c r="D182" i="65"/>
  <c r="G125" i="62"/>
  <c r="I78" i="63"/>
  <c r="D159" i="63"/>
  <c r="G182" i="60"/>
  <c r="F199" i="61"/>
  <c r="C58" i="65"/>
  <c r="C77" i="65"/>
  <c r="F92" i="65"/>
  <c r="G54" i="65"/>
  <c r="D103" i="65"/>
  <c r="I102" i="63"/>
  <c r="F98" i="64"/>
  <c r="D156" i="68"/>
  <c r="I86" i="62"/>
  <c r="J199" i="64"/>
  <c r="G176" i="64"/>
  <c r="C87" i="65"/>
  <c r="I91" i="68"/>
  <c r="G112" i="68"/>
  <c r="F90" i="64"/>
  <c r="C195" i="60"/>
  <c r="H108" i="61"/>
  <c r="I107" i="61"/>
  <c r="F64" i="63"/>
  <c r="I135" i="63"/>
  <c r="H133" i="68"/>
  <c r="J51" i="65"/>
  <c r="I96" i="65"/>
  <c r="G132" i="65"/>
  <c r="D191" i="65"/>
  <c r="J181" i="61"/>
  <c r="D112" i="63"/>
  <c r="F153" i="64"/>
  <c r="D172" i="63"/>
  <c r="J167" i="60"/>
  <c r="I77" i="61"/>
  <c r="I113" i="61"/>
  <c r="C121" i="53"/>
  <c r="E161" i="59"/>
  <c r="I111" i="53"/>
  <c r="E70" i="53"/>
  <c r="E137" i="63"/>
  <c r="F119" i="62"/>
  <c r="D95" i="62"/>
  <c r="D144" i="68"/>
  <c r="G105" i="63"/>
  <c r="E174" i="63"/>
  <c r="F175" i="53"/>
  <c r="E196" i="59"/>
  <c r="I179" i="68"/>
  <c r="G175" i="68"/>
  <c r="C143" i="64"/>
  <c r="C144" i="68"/>
  <c r="F152" i="68"/>
  <c r="F137" i="68"/>
  <c r="J82" i="61"/>
  <c r="F116" i="62"/>
  <c r="E145" i="65"/>
  <c r="F167" i="65"/>
  <c r="I97" i="65"/>
  <c r="J162" i="68"/>
  <c r="I189" i="64"/>
  <c r="E102" i="62"/>
  <c r="E95" i="63"/>
  <c r="E55" i="62"/>
  <c r="G53" i="68"/>
  <c r="I56" i="68"/>
  <c r="C189" i="65"/>
  <c r="C180" i="65"/>
  <c r="J200" i="65"/>
  <c r="C92" i="62"/>
  <c r="E66" i="63"/>
  <c r="G155" i="63"/>
  <c r="I182" i="60"/>
  <c r="H193" i="64"/>
  <c r="H76" i="65"/>
  <c r="J111" i="65"/>
  <c r="J178" i="68"/>
  <c r="E183" i="65"/>
  <c r="E105" i="65"/>
  <c r="C122" i="65"/>
  <c r="C117" i="68"/>
  <c r="F192" i="65"/>
  <c r="C57" i="61"/>
  <c r="I181" i="63"/>
  <c r="H87" i="64"/>
  <c r="F193" i="63"/>
  <c r="H174" i="68"/>
  <c r="J132" i="63"/>
  <c r="I175" i="65"/>
  <c r="J74" i="65"/>
  <c r="C99" i="65"/>
  <c r="F116" i="63"/>
  <c r="F134" i="60"/>
  <c r="H162" i="60"/>
  <c r="E60" i="63"/>
  <c r="F73" i="63"/>
  <c r="F177" i="65"/>
  <c r="I82" i="68"/>
  <c r="D107" i="68"/>
  <c r="H102" i="68"/>
  <c r="I114" i="68"/>
  <c r="I84" i="62"/>
  <c r="C120" i="68"/>
  <c r="D56" i="63"/>
  <c r="H146" i="64"/>
  <c r="C139" i="61"/>
  <c r="G120" i="65"/>
  <c r="E64" i="65"/>
  <c r="F64" i="65"/>
  <c r="F148" i="65"/>
  <c r="E195" i="65"/>
  <c r="G55" i="65"/>
  <c r="I67" i="62"/>
  <c r="G161" i="62"/>
  <c r="E196" i="60"/>
  <c r="H113" i="60"/>
  <c r="D70" i="62"/>
  <c r="I135" i="64"/>
  <c r="D122" i="64"/>
  <c r="H199" i="64"/>
  <c r="G67" i="65"/>
  <c r="H104" i="68"/>
  <c r="C139" i="64"/>
  <c r="G177" i="63"/>
  <c r="C121" i="60"/>
  <c r="C131" i="61"/>
  <c r="C81" i="65"/>
  <c r="G101" i="65"/>
  <c r="H172" i="65"/>
  <c r="J68" i="65"/>
  <c r="H137" i="68"/>
  <c r="C199" i="64"/>
  <c r="F73" i="62"/>
  <c r="G148" i="61"/>
  <c r="G98" i="68"/>
  <c r="E143" i="68"/>
  <c r="G108" i="68"/>
  <c r="G125" i="64"/>
  <c r="H129" i="65"/>
  <c r="D62" i="61"/>
  <c r="H179" i="63"/>
  <c r="G147" i="64"/>
  <c r="D168" i="63"/>
  <c r="E112" i="68"/>
  <c r="F97" i="65"/>
  <c r="I85" i="68"/>
  <c r="F169" i="65"/>
  <c r="I195" i="68"/>
  <c r="F170" i="65"/>
  <c r="D180" i="64"/>
  <c r="C119" i="68"/>
  <c r="D175" i="64"/>
  <c r="E172" i="61"/>
  <c r="E156" i="61"/>
  <c r="G137" i="64"/>
  <c r="G80" i="64"/>
  <c r="H182" i="65"/>
  <c r="G180" i="65"/>
  <c r="J144" i="68"/>
  <c r="D62" i="65"/>
  <c r="I157" i="65"/>
  <c r="G121" i="63"/>
  <c r="E88" i="62"/>
  <c r="J141" i="60"/>
  <c r="F111" i="63"/>
  <c r="E168" i="64"/>
  <c r="H70" i="68"/>
  <c r="J97" i="68"/>
  <c r="F187" i="65"/>
  <c r="D93" i="68"/>
  <c r="I74" i="65"/>
  <c r="I127" i="61"/>
  <c r="J189" i="63"/>
  <c r="H192" i="64"/>
  <c r="H66" i="64"/>
  <c r="C170" i="60"/>
  <c r="J117" i="68"/>
  <c r="C57" i="68"/>
  <c r="H89" i="68"/>
  <c r="E160" i="65"/>
  <c r="D74" i="68"/>
  <c r="I92" i="64"/>
  <c r="H98" i="64"/>
  <c r="C180" i="61"/>
  <c r="E93" i="62"/>
  <c r="I134" i="64"/>
  <c r="C118" i="63"/>
  <c r="G193" i="63"/>
  <c r="H165" i="53"/>
  <c r="F139" i="53"/>
  <c r="J127" i="53"/>
  <c r="F196" i="57"/>
  <c r="G188" i="60"/>
  <c r="G137" i="62"/>
  <c r="H66" i="63"/>
  <c r="G101" i="63"/>
  <c r="D106" i="64"/>
  <c r="J59" i="61"/>
  <c r="E157" i="57"/>
  <c r="E145" i="60"/>
  <c r="F106" i="59"/>
  <c r="G114" i="68"/>
  <c r="D188" i="68"/>
  <c r="I87" i="68"/>
  <c r="C109" i="68"/>
  <c r="F197" i="68"/>
  <c r="G162" i="64"/>
  <c r="J131" i="62"/>
  <c r="C173" i="61"/>
  <c r="H195" i="65"/>
  <c r="J78" i="65"/>
  <c r="H116" i="68"/>
  <c r="E138" i="65"/>
  <c r="H179" i="65"/>
  <c r="H52" i="63"/>
  <c r="H162" i="63"/>
  <c r="F191" i="60"/>
  <c r="E124" i="65"/>
  <c r="J154" i="65"/>
  <c r="G144" i="65"/>
  <c r="D189" i="68"/>
  <c r="D143" i="68"/>
  <c r="I68" i="64"/>
  <c r="G156" i="68"/>
  <c r="H60" i="63"/>
  <c r="F81" i="62"/>
  <c r="J67" i="65"/>
  <c r="G198" i="63"/>
  <c r="D85" i="65"/>
  <c r="G64" i="68"/>
  <c r="G156" i="65"/>
  <c r="J162" i="64"/>
  <c r="E103" i="65"/>
  <c r="F74" i="68"/>
  <c r="I57" i="65"/>
  <c r="D173" i="60"/>
  <c r="C89" i="64"/>
  <c r="E107" i="64"/>
  <c r="E133" i="64"/>
  <c r="E153" i="65"/>
  <c r="C104" i="68"/>
  <c r="F176" i="68"/>
  <c r="F160" i="68"/>
  <c r="D121" i="65"/>
  <c r="E98" i="68"/>
  <c r="C159" i="61"/>
  <c r="C140" i="64"/>
  <c r="I81" i="63"/>
  <c r="D181" i="64"/>
  <c r="H198" i="68"/>
  <c r="D100" i="68"/>
  <c r="J173" i="68"/>
  <c r="E135" i="68"/>
  <c r="C80" i="68"/>
  <c r="H177" i="57"/>
  <c r="F123" i="63"/>
  <c r="F195" i="61"/>
  <c r="E60" i="61"/>
  <c r="D187" i="61"/>
  <c r="I70" i="65"/>
  <c r="H175" i="68"/>
  <c r="H115" i="65"/>
  <c r="H192" i="65"/>
  <c r="I54" i="65"/>
  <c r="H150" i="65"/>
  <c r="J164" i="60"/>
  <c r="G109" i="63"/>
  <c r="F119" i="63"/>
  <c r="C123" i="62"/>
  <c r="C132" i="63"/>
  <c r="F150" i="60"/>
  <c r="J100" i="61"/>
  <c r="E95" i="59"/>
  <c r="D98" i="53"/>
  <c r="C133" i="53"/>
  <c r="H110" i="57"/>
  <c r="J179" i="63"/>
  <c r="E129" i="60"/>
  <c r="J113" i="60"/>
  <c r="H153" i="63"/>
  <c r="E64" i="64"/>
  <c r="C151" i="68"/>
  <c r="H168" i="65"/>
  <c r="I78" i="68"/>
  <c r="I146" i="65"/>
  <c r="H139" i="68"/>
  <c r="H72" i="62"/>
  <c r="C130" i="60"/>
  <c r="I125" i="60"/>
  <c r="I140" i="65"/>
  <c r="J52" i="65"/>
  <c r="I150" i="65"/>
  <c r="C98" i="68"/>
  <c r="G162" i="65"/>
  <c r="G163" i="60"/>
  <c r="G174" i="61"/>
  <c r="H86" i="68"/>
  <c r="I172" i="65"/>
  <c r="G168" i="68"/>
  <c r="F100" i="68"/>
  <c r="C185" i="64"/>
  <c r="H182" i="62"/>
  <c r="J94" i="63"/>
  <c r="I176" i="63"/>
  <c r="H186" i="60"/>
  <c r="J133" i="64"/>
  <c r="J125" i="60"/>
  <c r="F112" i="68"/>
  <c r="C165" i="64"/>
  <c r="H197" i="65"/>
  <c r="I99" i="65"/>
  <c r="I86" i="65"/>
  <c r="J182" i="64"/>
  <c r="H87" i="65"/>
  <c r="H173" i="60"/>
  <c r="J63" i="63"/>
  <c r="E88" i="64"/>
  <c r="D93" i="63"/>
  <c r="J159" i="68"/>
  <c r="G97" i="65"/>
  <c r="G190" i="68"/>
  <c r="C155" i="64"/>
  <c r="J126" i="68"/>
  <c r="H190" i="64"/>
  <c r="F168" i="60"/>
  <c r="G54" i="61"/>
  <c r="G86" i="63"/>
  <c r="I113" i="63"/>
  <c r="I187" i="65"/>
  <c r="F197" i="64"/>
  <c r="I189" i="68"/>
  <c r="C127" i="68"/>
  <c r="F191" i="68"/>
  <c r="E124" i="61"/>
  <c r="D169" i="64"/>
  <c r="D129" i="62"/>
  <c r="C82" i="61"/>
  <c r="D154" i="61"/>
  <c r="I191" i="65"/>
  <c r="F99" i="65"/>
  <c r="I112" i="68"/>
  <c r="G157" i="65"/>
  <c r="E175" i="65"/>
  <c r="I110" i="63"/>
  <c r="C124" i="62"/>
  <c r="G110" i="63"/>
  <c r="F166" i="63"/>
  <c r="I153" i="63"/>
  <c r="G179" i="63"/>
  <c r="J80" i="63"/>
  <c r="D139" i="59"/>
  <c r="D138" i="59"/>
  <c r="I104" i="61"/>
  <c r="F127" i="59"/>
  <c r="C100" i="65"/>
  <c r="J149" i="62"/>
  <c r="J168" i="62"/>
  <c r="E51" i="68"/>
  <c r="G62" i="65"/>
  <c r="H169" i="65"/>
  <c r="G192" i="68"/>
  <c r="E98" i="65"/>
  <c r="J54" i="61"/>
  <c r="C69" i="63"/>
  <c r="H171" i="68"/>
  <c r="D114" i="64"/>
  <c r="J113" i="68"/>
  <c r="F60" i="68"/>
  <c r="J102" i="65"/>
  <c r="D181" i="65"/>
  <c r="I171" i="60"/>
  <c r="J57" i="61"/>
  <c r="E55" i="65"/>
  <c r="G149" i="64"/>
  <c r="J130" i="65"/>
  <c r="C152" i="64"/>
  <c r="I66" i="65"/>
  <c r="D104" i="62"/>
  <c r="E133" i="61"/>
  <c r="I124" i="62"/>
  <c r="D133" i="60"/>
  <c r="C104" i="64"/>
  <c r="I51" i="68"/>
  <c r="D196" i="65"/>
  <c r="H200" i="65"/>
  <c r="J52" i="68"/>
  <c r="G51" i="68"/>
  <c r="C159" i="65"/>
  <c r="D128" i="64"/>
  <c r="F62" i="65"/>
  <c r="G168" i="61"/>
  <c r="E94" i="64"/>
  <c r="I156" i="64"/>
  <c r="C111" i="64"/>
  <c r="C180" i="60"/>
  <c r="C190" i="68"/>
  <c r="G182" i="65"/>
  <c r="C93" i="68"/>
  <c r="J59" i="65"/>
  <c r="I128" i="68"/>
  <c r="I190" i="62"/>
  <c r="F174" i="62"/>
  <c r="I83" i="63"/>
  <c r="D187" i="62"/>
  <c r="J164" i="65"/>
  <c r="H188" i="65"/>
  <c r="J60" i="68"/>
  <c r="G79" i="65"/>
  <c r="H158" i="65"/>
  <c r="D72" i="63"/>
  <c r="E128" i="63"/>
  <c r="D138" i="62"/>
  <c r="H188" i="60"/>
  <c r="H168" i="62"/>
  <c r="G82" i="64"/>
  <c r="E194" i="65"/>
  <c r="E115" i="65"/>
  <c r="D137" i="65"/>
  <c r="H174" i="63"/>
  <c r="D77" i="65"/>
  <c r="F192" i="64"/>
  <c r="G169" i="60"/>
  <c r="D51" i="64"/>
  <c r="H124" i="61"/>
  <c r="F197" i="61"/>
  <c r="J182" i="60"/>
  <c r="H125" i="61"/>
  <c r="G184" i="59"/>
  <c r="J53" i="57"/>
  <c r="I178" i="64"/>
  <c r="C177" i="63"/>
  <c r="C193" i="62"/>
  <c r="J142" i="61"/>
  <c r="E57" i="60"/>
  <c r="H185" i="59"/>
  <c r="D129" i="59"/>
  <c r="I116" i="61"/>
  <c r="F98" i="62"/>
  <c r="F86" i="61"/>
  <c r="C144" i="61"/>
  <c r="J161" i="60"/>
  <c r="G97" i="63"/>
  <c r="H127" i="53"/>
  <c r="H150" i="53"/>
  <c r="F151" i="57"/>
  <c r="H64" i="62"/>
  <c r="C152" i="60"/>
  <c r="I100" i="61"/>
  <c r="D85" i="63"/>
  <c r="H149" i="64"/>
  <c r="F88" i="62"/>
  <c r="J71" i="60"/>
  <c r="D65" i="60"/>
  <c r="I197" i="57"/>
  <c r="H97" i="62"/>
  <c r="H117" i="63"/>
  <c r="D97" i="63"/>
  <c r="G157" i="64"/>
  <c r="J61" i="63"/>
  <c r="H158" i="62"/>
  <c r="H113" i="61"/>
  <c r="D84" i="59"/>
  <c r="G87" i="53"/>
  <c r="I129" i="53"/>
  <c r="I83" i="64"/>
  <c r="F156" i="61"/>
  <c r="F88" i="61"/>
  <c r="E183" i="63"/>
  <c r="I139" i="63"/>
  <c r="C138" i="63"/>
  <c r="J70" i="57"/>
  <c r="E85" i="53"/>
  <c r="D70" i="65"/>
  <c r="H170" i="61"/>
  <c r="E73" i="62"/>
  <c r="C147" i="62"/>
  <c r="I107" i="62"/>
  <c r="F107" i="61"/>
  <c r="D185" i="63"/>
  <c r="C116" i="59"/>
  <c r="D87" i="59"/>
  <c r="C118" i="59"/>
  <c r="E143" i="57"/>
  <c r="I117" i="63"/>
  <c r="E124" i="62"/>
  <c r="E130" i="53"/>
  <c r="G101" i="59"/>
  <c r="D106" i="53"/>
  <c r="E161" i="53"/>
  <c r="J184" i="53"/>
  <c r="H131" i="59"/>
  <c r="F125" i="64"/>
  <c r="C92" i="68"/>
  <c r="I164" i="68"/>
  <c r="D64" i="68"/>
  <c r="F159" i="68"/>
  <c r="G82" i="61"/>
  <c r="G105" i="64"/>
  <c r="H79" i="62"/>
  <c r="I133" i="65"/>
  <c r="I127" i="68"/>
  <c r="D75" i="65"/>
  <c r="F119" i="68"/>
  <c r="J96" i="65"/>
  <c r="C102" i="61"/>
  <c r="H149" i="63"/>
  <c r="G72" i="68"/>
  <c r="J196" i="64"/>
  <c r="J90" i="68"/>
  <c r="C130" i="64"/>
  <c r="E84" i="68"/>
  <c r="D113" i="64"/>
  <c r="H162" i="61"/>
  <c r="I139" i="61"/>
  <c r="J131" i="64"/>
  <c r="E66" i="65"/>
  <c r="J63" i="65"/>
  <c r="H107" i="65"/>
  <c r="J131" i="68"/>
  <c r="C193" i="68"/>
  <c r="F140" i="68"/>
  <c r="D171" i="65"/>
  <c r="H66" i="65"/>
  <c r="J156" i="65"/>
  <c r="E100" i="60"/>
  <c r="J124" i="61"/>
  <c r="I95" i="64"/>
  <c r="H140" i="63"/>
  <c r="E53" i="68"/>
  <c r="F60" i="65"/>
  <c r="G172" i="65"/>
  <c r="F190" i="64"/>
  <c r="C111" i="65"/>
  <c r="J78" i="64"/>
  <c r="I129" i="60"/>
  <c r="J199" i="60"/>
  <c r="I88" i="61"/>
  <c r="J64" i="63"/>
  <c r="H190" i="65"/>
  <c r="J69" i="65"/>
  <c r="H147" i="65"/>
  <c r="G86" i="64"/>
  <c r="C161" i="65"/>
  <c r="H66" i="61"/>
  <c r="C53" i="64"/>
  <c r="E91" i="64"/>
  <c r="H124" i="63"/>
  <c r="G175" i="60"/>
  <c r="E119" i="68"/>
  <c r="E58" i="68"/>
  <c r="J115" i="64"/>
  <c r="G83" i="68"/>
  <c r="G84" i="68"/>
  <c r="G181" i="68"/>
  <c r="G192" i="60"/>
  <c r="F111" i="64"/>
  <c r="C199" i="62"/>
  <c r="E161" i="63"/>
  <c r="E74" i="64"/>
  <c r="J61" i="61"/>
  <c r="I86" i="60"/>
  <c r="J92" i="65"/>
  <c r="C193" i="65"/>
  <c r="I153" i="68"/>
  <c r="I92" i="65"/>
  <c r="I125" i="64"/>
  <c r="G192" i="61"/>
  <c r="I183" i="61"/>
  <c r="J85" i="68"/>
  <c r="J78" i="62"/>
  <c r="J108" i="65"/>
  <c r="H164" i="68"/>
  <c r="C128" i="64"/>
  <c r="E83" i="64"/>
  <c r="G132" i="60"/>
  <c r="D196" i="60"/>
  <c r="G173" i="68"/>
  <c r="E119" i="64"/>
  <c r="I72" i="65"/>
  <c r="H125" i="60"/>
  <c r="H55" i="65"/>
  <c r="J158" i="62"/>
  <c r="G71" i="63"/>
  <c r="E74" i="63"/>
  <c r="H108" i="60"/>
  <c r="E63" i="65"/>
  <c r="F151" i="68"/>
  <c r="H107" i="64"/>
  <c r="G144" i="68"/>
  <c r="D51" i="65"/>
  <c r="G78" i="68"/>
  <c r="F158" i="68"/>
  <c r="D82" i="65"/>
  <c r="G198" i="64"/>
  <c r="E153" i="61"/>
  <c r="G178" i="61"/>
  <c r="C159" i="62"/>
  <c r="C79" i="64"/>
  <c r="G153" i="65"/>
  <c r="C168" i="65"/>
  <c r="F199" i="65"/>
  <c r="D58" i="68"/>
  <c r="E176" i="68"/>
  <c r="J109" i="64"/>
  <c r="C133" i="61"/>
  <c r="F154" i="61"/>
  <c r="D143" i="61"/>
  <c r="D123" i="68"/>
  <c r="J112" i="65"/>
  <c r="E196" i="68"/>
  <c r="C164" i="68"/>
  <c r="F80" i="68"/>
  <c r="H51" i="65"/>
  <c r="D156" i="61"/>
  <c r="D148" i="63"/>
  <c r="H191" i="64"/>
  <c r="I164" i="63"/>
  <c r="G103" i="60"/>
  <c r="F120" i="68"/>
  <c r="J70" i="68"/>
  <c r="E190" i="63"/>
  <c r="F176" i="64"/>
  <c r="F53" i="65"/>
  <c r="C188" i="63"/>
  <c r="D97" i="64"/>
  <c r="F138" i="60"/>
  <c r="C116" i="62"/>
  <c r="C175" i="62"/>
  <c r="I93" i="63"/>
  <c r="G114" i="64"/>
  <c r="E69" i="57"/>
  <c r="F90" i="53"/>
  <c r="F110" i="53"/>
  <c r="J51" i="60"/>
  <c r="H114" i="61"/>
  <c r="E81" i="62"/>
  <c r="G71" i="62"/>
  <c r="H53" i="64"/>
  <c r="F72" i="63"/>
  <c r="C186" i="62"/>
  <c r="H110" i="60"/>
  <c r="F136" i="59"/>
  <c r="G140" i="53"/>
  <c r="G55" i="53"/>
  <c r="E200" i="59"/>
  <c r="I72" i="62"/>
  <c r="F143" i="65"/>
  <c r="D58" i="65"/>
  <c r="C98" i="65"/>
  <c r="I199" i="68"/>
  <c r="C128" i="65"/>
  <c r="J176" i="60"/>
  <c r="E94" i="63"/>
  <c r="J106" i="68"/>
  <c r="C170" i="64"/>
  <c r="D87" i="68"/>
  <c r="D152" i="64"/>
  <c r="E62" i="68"/>
  <c r="I148" i="64"/>
  <c r="C164" i="61"/>
  <c r="C192" i="63"/>
  <c r="D86" i="65"/>
  <c r="G199" i="63"/>
  <c r="E139" i="65"/>
  <c r="F92" i="64"/>
  <c r="I119" i="65"/>
  <c r="E192" i="63"/>
  <c r="E58" i="61"/>
  <c r="I102" i="60"/>
  <c r="F142" i="63"/>
  <c r="H181" i="65"/>
  <c r="D180" i="65"/>
  <c r="C105" i="65"/>
  <c r="J166" i="64"/>
  <c r="C146" i="68"/>
  <c r="H72" i="65"/>
  <c r="H73" i="65"/>
  <c r="E176" i="64"/>
  <c r="G56" i="65"/>
  <c r="J142" i="63"/>
  <c r="J95" i="64"/>
  <c r="D170" i="64"/>
  <c r="J192" i="61"/>
  <c r="I54" i="61"/>
  <c r="G174" i="68"/>
  <c r="J99" i="68"/>
  <c r="G187" i="68"/>
  <c r="I104" i="68"/>
  <c r="E67" i="68"/>
  <c r="C111" i="62"/>
  <c r="F175" i="62"/>
  <c r="H100" i="63"/>
  <c r="J136" i="62"/>
  <c r="F162" i="68"/>
  <c r="I120" i="68"/>
  <c r="C88" i="68"/>
  <c r="C197" i="65"/>
  <c r="F130" i="68"/>
  <c r="C145" i="62"/>
  <c r="G98" i="61"/>
  <c r="J89" i="62"/>
  <c r="D145" i="60"/>
  <c r="G115" i="64"/>
  <c r="F83" i="64"/>
  <c r="J190" i="65"/>
  <c r="E95" i="68"/>
  <c r="H178" i="68"/>
  <c r="J100" i="68"/>
  <c r="I192" i="64"/>
  <c r="C119" i="61"/>
  <c r="E139" i="64"/>
  <c r="J105" i="63"/>
  <c r="H130" i="62"/>
  <c r="F94" i="64"/>
  <c r="F145" i="60"/>
  <c r="E109" i="57"/>
  <c r="F123" i="62"/>
  <c r="D142" i="53"/>
  <c r="F63" i="59"/>
  <c r="G52" i="57"/>
  <c r="J82" i="64"/>
  <c r="C117" i="62"/>
  <c r="J56" i="61"/>
  <c r="H121" i="63"/>
  <c r="G175" i="63"/>
  <c r="H153" i="64"/>
  <c r="E197" i="57"/>
  <c r="C186" i="53"/>
  <c r="H119" i="65"/>
  <c r="F105" i="65"/>
  <c r="H196" i="65"/>
  <c r="C150" i="65"/>
  <c r="H140" i="65"/>
  <c r="C117" i="63"/>
  <c r="I108" i="63"/>
  <c r="I126" i="60"/>
  <c r="H173" i="64"/>
  <c r="D185" i="64"/>
  <c r="G198" i="65"/>
  <c r="G190" i="65"/>
  <c r="C198" i="65"/>
  <c r="H97" i="64"/>
  <c r="J99" i="64"/>
  <c r="E83" i="62"/>
  <c r="I79" i="65"/>
  <c r="H147" i="64"/>
  <c r="J124" i="64"/>
  <c r="D173" i="64"/>
  <c r="C159" i="64"/>
  <c r="D158" i="61"/>
  <c r="E105" i="64"/>
  <c r="G88" i="62"/>
  <c r="H116" i="61"/>
  <c r="E192" i="65"/>
  <c r="C199" i="68"/>
  <c r="C190" i="64"/>
  <c r="F53" i="68"/>
  <c r="D149" i="68"/>
  <c r="D163" i="68"/>
  <c r="C128" i="68"/>
  <c r="C163" i="68"/>
  <c r="D120" i="68"/>
  <c r="E126" i="61"/>
  <c r="H70" i="62"/>
  <c r="E165" i="62"/>
  <c r="G98" i="64"/>
  <c r="C115" i="65"/>
  <c r="G88" i="68"/>
  <c r="J192" i="68"/>
  <c r="H81" i="68"/>
  <c r="H154" i="68"/>
  <c r="H109" i="62"/>
  <c r="I144" i="61"/>
  <c r="H127" i="61"/>
  <c r="I174" i="62"/>
  <c r="F138" i="68"/>
  <c r="C131" i="64"/>
  <c r="J101" i="65"/>
  <c r="D169" i="65"/>
  <c r="C75" i="65"/>
  <c r="G179" i="65"/>
  <c r="G52" i="61"/>
  <c r="F139" i="63"/>
  <c r="C83" i="64"/>
  <c r="C143" i="63"/>
  <c r="J135" i="62"/>
  <c r="G178" i="64"/>
  <c r="J190" i="64"/>
  <c r="F156" i="65"/>
  <c r="I191" i="64"/>
  <c r="D159" i="64"/>
  <c r="E170" i="63"/>
  <c r="E89" i="62"/>
  <c r="D191" i="63"/>
  <c r="D131" i="61"/>
  <c r="G139" i="61"/>
  <c r="C84" i="62"/>
  <c r="E172" i="62"/>
  <c r="H54" i="68"/>
  <c r="D139" i="68"/>
  <c r="F66" i="68"/>
  <c r="J168" i="65"/>
  <c r="C167" i="68"/>
  <c r="C95" i="62"/>
  <c r="E113" i="63"/>
  <c r="D80" i="62"/>
  <c r="E195" i="68"/>
  <c r="C172" i="68"/>
  <c r="F139" i="68"/>
  <c r="I111" i="68"/>
  <c r="D149" i="65"/>
  <c r="J72" i="63"/>
  <c r="F173" i="63"/>
  <c r="D77" i="64"/>
  <c r="G94" i="65"/>
  <c r="F112" i="64"/>
  <c r="C83" i="65"/>
  <c r="G171" i="65"/>
  <c r="D178" i="68"/>
  <c r="E182" i="62"/>
  <c r="C148" i="64"/>
  <c r="G196" i="63"/>
  <c r="G80" i="68"/>
  <c r="H102" i="65"/>
  <c r="E182" i="64"/>
  <c r="F72" i="65"/>
  <c r="F68" i="68"/>
  <c r="C174" i="64"/>
  <c r="H177" i="64"/>
  <c r="I115" i="65"/>
  <c r="F111" i="65"/>
  <c r="D117" i="63"/>
  <c r="C192" i="62"/>
  <c r="D128" i="60"/>
  <c r="C200" i="60"/>
  <c r="D101" i="62"/>
  <c r="C100" i="68"/>
  <c r="G76" i="68"/>
  <c r="D67" i="65"/>
  <c r="H191" i="68"/>
  <c r="I90" i="68"/>
  <c r="E100" i="64"/>
  <c r="D192" i="60"/>
  <c r="I181" i="61"/>
  <c r="C113" i="61"/>
  <c r="J199" i="68"/>
  <c r="C135" i="65"/>
  <c r="I178" i="68"/>
  <c r="H145" i="64"/>
  <c r="H125" i="65"/>
  <c r="E57" i="68"/>
  <c r="D82" i="62"/>
  <c r="F148" i="62"/>
  <c r="I73" i="63"/>
  <c r="I121" i="62"/>
  <c r="F117" i="62"/>
  <c r="F122" i="65"/>
  <c r="E93" i="65"/>
  <c r="C102" i="65"/>
  <c r="G139" i="64"/>
  <c r="F106" i="65"/>
  <c r="G142" i="64"/>
  <c r="H193" i="63"/>
  <c r="F83" i="62"/>
  <c r="F172" i="60"/>
  <c r="I156" i="61"/>
  <c r="F127" i="62"/>
  <c r="E135" i="62"/>
  <c r="F197" i="57"/>
  <c r="J144" i="57"/>
  <c r="J170" i="53"/>
  <c r="J51" i="57"/>
  <c r="H95" i="63"/>
  <c r="C163" i="63"/>
  <c r="D155" i="63"/>
  <c r="J152" i="63"/>
  <c r="C161" i="62"/>
  <c r="J114" i="61"/>
  <c r="E92" i="59"/>
  <c r="E155" i="57"/>
  <c r="I135" i="53"/>
  <c r="C160" i="65"/>
  <c r="I176" i="65"/>
  <c r="I107" i="65"/>
  <c r="E111" i="65"/>
  <c r="E79" i="65"/>
  <c r="D73" i="63"/>
  <c r="D158" i="63"/>
  <c r="H184" i="60"/>
  <c r="J184" i="64"/>
  <c r="J168" i="64"/>
  <c r="J91" i="68"/>
  <c r="C191" i="68"/>
  <c r="I169" i="68"/>
  <c r="F102" i="64"/>
  <c r="I131" i="64"/>
  <c r="F82" i="62"/>
  <c r="H198" i="64"/>
  <c r="D95" i="68"/>
  <c r="G185" i="68"/>
  <c r="C174" i="63"/>
  <c r="E178" i="65"/>
  <c r="C63" i="61"/>
  <c r="H129" i="63"/>
  <c r="D90" i="64"/>
  <c r="J135" i="65"/>
  <c r="D158" i="68"/>
  <c r="J74" i="68"/>
  <c r="J157" i="68"/>
  <c r="D140" i="65"/>
  <c r="I162" i="68"/>
  <c r="F85" i="68"/>
  <c r="E189" i="68"/>
  <c r="G200" i="65"/>
  <c r="G110" i="68"/>
  <c r="G59" i="62"/>
  <c r="C143" i="62"/>
  <c r="D138" i="63"/>
  <c r="H140" i="64"/>
  <c r="J180" i="64"/>
  <c r="F178" i="65"/>
  <c r="G109" i="65"/>
  <c r="I80" i="65"/>
  <c r="D196" i="64"/>
  <c r="H187" i="65"/>
  <c r="D166" i="60"/>
  <c r="C54" i="61"/>
  <c r="I94" i="64"/>
  <c r="D75" i="63"/>
  <c r="D165" i="65"/>
  <c r="I60" i="65"/>
  <c r="C79" i="65"/>
  <c r="J80" i="65"/>
  <c r="H124" i="65"/>
  <c r="G178" i="63"/>
  <c r="E97" i="64"/>
  <c r="I154" i="64"/>
  <c r="E147" i="61"/>
  <c r="H180" i="60"/>
  <c r="E117" i="68"/>
  <c r="H56" i="65"/>
  <c r="H149" i="68"/>
  <c r="G140" i="64"/>
  <c r="D71" i="68"/>
  <c r="E159" i="64"/>
  <c r="G169" i="63"/>
  <c r="E175" i="64"/>
  <c r="F155" i="63"/>
  <c r="J73" i="63"/>
  <c r="G115" i="68"/>
  <c r="G160" i="61"/>
  <c r="J145" i="60"/>
  <c r="G68" i="61"/>
  <c r="G123" i="59"/>
  <c r="G144" i="59"/>
  <c r="I99" i="53"/>
  <c r="E120" i="63"/>
  <c r="F144" i="60"/>
  <c r="E144" i="61"/>
  <c r="I121" i="61"/>
  <c r="G78" i="63"/>
  <c r="D191" i="68"/>
  <c r="G175" i="64"/>
  <c r="C102" i="68"/>
  <c r="E105" i="68"/>
  <c r="C149" i="64"/>
  <c r="F169" i="61"/>
  <c r="C91" i="62"/>
  <c r="C170" i="65"/>
  <c r="D200" i="65"/>
  <c r="F70" i="68"/>
  <c r="F129" i="65"/>
  <c r="F180" i="65"/>
  <c r="G99" i="63"/>
  <c r="G123" i="62"/>
  <c r="H140" i="62"/>
  <c r="G195" i="65"/>
  <c r="I141" i="64"/>
  <c r="E142" i="64"/>
  <c r="D195" i="65"/>
  <c r="H160" i="65"/>
  <c r="F195" i="63"/>
  <c r="G107" i="64"/>
  <c r="I171" i="62"/>
  <c r="J175" i="61"/>
  <c r="J110" i="68"/>
  <c r="D93" i="65"/>
  <c r="F115" i="65"/>
  <c r="I177" i="68"/>
  <c r="E143" i="64"/>
  <c r="H194" i="68"/>
  <c r="J170" i="68"/>
  <c r="H146" i="68"/>
  <c r="H121" i="64"/>
  <c r="I145" i="61"/>
  <c r="D153" i="61"/>
  <c r="C109" i="62"/>
  <c r="F171" i="63"/>
  <c r="D115" i="65"/>
  <c r="D170" i="68"/>
  <c r="F109" i="65"/>
  <c r="F136" i="68"/>
  <c r="D83" i="65"/>
  <c r="J132" i="64"/>
  <c r="D89" i="61"/>
  <c r="E113" i="61"/>
  <c r="I94" i="62"/>
  <c r="C167" i="63"/>
  <c r="H200" i="68"/>
  <c r="G136" i="65"/>
  <c r="D187" i="65"/>
  <c r="E70" i="65"/>
  <c r="I193" i="65"/>
  <c r="G161" i="60"/>
  <c r="E188" i="63"/>
  <c r="J84" i="64"/>
  <c r="E79" i="63"/>
  <c r="F185" i="62"/>
  <c r="E187" i="64"/>
  <c r="H179" i="64"/>
  <c r="J128" i="65"/>
  <c r="E182" i="68"/>
  <c r="H134" i="63"/>
  <c r="G97" i="64"/>
  <c r="C106" i="62"/>
  <c r="F126" i="60"/>
  <c r="I108" i="62"/>
  <c r="F126" i="62"/>
  <c r="F55" i="64"/>
  <c r="J110" i="64"/>
  <c r="D106" i="57"/>
  <c r="D190" i="57"/>
  <c r="H67" i="57"/>
  <c r="G154" i="60"/>
  <c r="H132" i="63"/>
  <c r="E171" i="62"/>
  <c r="D132" i="68"/>
  <c r="C151" i="65"/>
  <c r="G69" i="68"/>
  <c r="I107" i="68"/>
  <c r="H194" i="65"/>
  <c r="H138" i="68"/>
  <c r="D67" i="62"/>
  <c r="D182" i="62"/>
  <c r="J118" i="65"/>
  <c r="D70" i="68"/>
  <c r="D111" i="65"/>
  <c r="J197" i="65"/>
  <c r="E96" i="68"/>
  <c r="D99" i="62"/>
  <c r="J107" i="62"/>
  <c r="G87" i="61"/>
  <c r="D73" i="68"/>
  <c r="E65" i="68"/>
  <c r="J124" i="68"/>
  <c r="H170" i="68"/>
  <c r="H98" i="65"/>
  <c r="G137" i="63"/>
  <c r="J162" i="63"/>
  <c r="J122" i="60"/>
  <c r="F173" i="61"/>
  <c r="D65" i="65"/>
  <c r="F56" i="65"/>
  <c r="C147" i="64"/>
  <c r="F131" i="64"/>
  <c r="J81" i="65"/>
  <c r="F196" i="64"/>
  <c r="F118" i="64"/>
  <c r="F136" i="65"/>
  <c r="F115" i="68"/>
  <c r="E58" i="62"/>
  <c r="H149" i="62"/>
  <c r="F104" i="63"/>
  <c r="I186" i="62"/>
  <c r="C140" i="68"/>
  <c r="D129" i="65"/>
  <c r="H126" i="64"/>
  <c r="I93" i="65"/>
  <c r="G105" i="68"/>
  <c r="J141" i="65"/>
  <c r="E122" i="61"/>
  <c r="G163" i="63"/>
  <c r="C185" i="63"/>
  <c r="H129" i="64"/>
  <c r="J55" i="65"/>
  <c r="G161" i="64"/>
  <c r="D160" i="64"/>
  <c r="I164" i="64"/>
  <c r="G195" i="64"/>
  <c r="G99" i="64"/>
  <c r="I180" i="63"/>
  <c r="G166" i="61"/>
  <c r="C128" i="61"/>
  <c r="H150" i="60"/>
  <c r="H189" i="65"/>
  <c r="J159" i="64"/>
  <c r="C62" i="68"/>
  <c r="E128" i="68"/>
  <c r="C199" i="65"/>
  <c r="G189" i="68"/>
  <c r="E164" i="61"/>
  <c r="D164" i="63"/>
  <c r="G130" i="64"/>
  <c r="J107" i="64"/>
  <c r="E155" i="62"/>
  <c r="E197" i="61"/>
  <c r="F59" i="61"/>
  <c r="F67" i="59"/>
  <c r="C64" i="59"/>
  <c r="J184" i="63"/>
  <c r="I198" i="61"/>
  <c r="J199" i="62"/>
  <c r="H66" i="60"/>
  <c r="C107" i="59"/>
  <c r="G145" i="53"/>
  <c r="E112" i="65"/>
  <c r="G146" i="60"/>
  <c r="G73" i="61"/>
  <c r="D175" i="60"/>
  <c r="C167" i="60"/>
  <c r="E192" i="61"/>
  <c r="I167" i="63"/>
  <c r="H163" i="53"/>
  <c r="F169" i="57"/>
  <c r="D119" i="57"/>
  <c r="G181" i="63"/>
  <c r="G142" i="60"/>
  <c r="J68" i="62"/>
  <c r="D53" i="62"/>
  <c r="E127" i="63"/>
  <c r="C196" i="63"/>
  <c r="C144" i="57"/>
  <c r="D157" i="53"/>
  <c r="I69" i="59"/>
  <c r="F144" i="63"/>
  <c r="J170" i="63"/>
  <c r="H139" i="63"/>
  <c r="C141" i="63"/>
  <c r="D172" i="64"/>
  <c r="E176" i="61"/>
  <c r="F67" i="60"/>
  <c r="H119" i="62"/>
  <c r="C93" i="53"/>
  <c r="G132" i="59"/>
  <c r="C95" i="63"/>
  <c r="J168" i="61"/>
  <c r="G111" i="60"/>
  <c r="I111" i="60"/>
  <c r="G113" i="61"/>
  <c r="F177" i="57"/>
  <c r="C197" i="57"/>
  <c r="D81" i="57"/>
  <c r="H113" i="63"/>
  <c r="F124" i="65"/>
  <c r="J139" i="68"/>
  <c r="J169" i="65"/>
  <c r="E181" i="65"/>
  <c r="F108" i="65"/>
  <c r="H177" i="65"/>
  <c r="G200" i="60"/>
  <c r="G119" i="63"/>
  <c r="J189" i="68"/>
  <c r="F86" i="68"/>
  <c r="G186" i="65"/>
  <c r="H78" i="68"/>
  <c r="C136" i="65"/>
  <c r="J102" i="68"/>
  <c r="H155" i="62"/>
  <c r="F195" i="60"/>
  <c r="I160" i="65"/>
  <c r="E126" i="65"/>
  <c r="D179" i="65"/>
  <c r="G107" i="65"/>
  <c r="I144" i="65"/>
  <c r="I133" i="63"/>
  <c r="F106" i="62"/>
  <c r="H132" i="60"/>
  <c r="D198" i="60"/>
  <c r="G178" i="68"/>
  <c r="J153" i="68"/>
  <c r="J96" i="68"/>
  <c r="I111" i="65"/>
  <c r="F144" i="65"/>
  <c r="C113" i="64"/>
  <c r="E180" i="68"/>
  <c r="F152" i="64"/>
  <c r="G58" i="62"/>
  <c r="E100" i="61"/>
  <c r="D92" i="62"/>
  <c r="E148" i="62"/>
  <c r="F97" i="64"/>
  <c r="C127" i="65"/>
  <c r="I103" i="68"/>
  <c r="E82" i="68"/>
  <c r="F129" i="68"/>
  <c r="H163" i="68"/>
  <c r="F193" i="64"/>
  <c r="E86" i="61"/>
  <c r="E101" i="61"/>
  <c r="J198" i="62"/>
  <c r="E184" i="65"/>
  <c r="H188" i="68"/>
  <c r="I65" i="68"/>
  <c r="F88" i="68"/>
  <c r="I185" i="65"/>
  <c r="F81" i="68"/>
  <c r="C95" i="61"/>
  <c r="F184" i="64"/>
  <c r="J128" i="63"/>
  <c r="G165" i="68"/>
  <c r="I186" i="61"/>
  <c r="H135" i="65"/>
  <c r="E198" i="65"/>
  <c r="E69" i="68"/>
  <c r="H109" i="65"/>
  <c r="G90" i="65"/>
  <c r="D102" i="63"/>
  <c r="D140" i="64"/>
  <c r="C140" i="61"/>
  <c r="C91" i="61"/>
  <c r="H72" i="64"/>
  <c r="I105" i="63"/>
  <c r="C76" i="63"/>
  <c r="J113" i="59"/>
  <c r="I105" i="68"/>
  <c r="F126" i="64"/>
  <c r="E145" i="68"/>
  <c r="J130" i="68"/>
  <c r="D87" i="63"/>
  <c r="J80" i="62"/>
  <c r="F147" i="62"/>
  <c r="J112" i="64"/>
  <c r="I172" i="68"/>
  <c r="D169" i="68"/>
  <c r="J158" i="68"/>
  <c r="I77" i="68"/>
  <c r="E169" i="62"/>
  <c r="D197" i="61"/>
  <c r="D188" i="62"/>
  <c r="G123" i="68"/>
  <c r="J73" i="68"/>
  <c r="I131" i="68"/>
  <c r="C147" i="68"/>
  <c r="I106" i="65"/>
  <c r="C155" i="61"/>
  <c r="J98" i="64"/>
  <c r="C118" i="64"/>
  <c r="D81" i="65"/>
  <c r="J101" i="68"/>
  <c r="D133" i="65"/>
  <c r="I93" i="68"/>
  <c r="D98" i="65"/>
  <c r="E170" i="68"/>
  <c r="J142" i="65"/>
  <c r="J155" i="65"/>
  <c r="E86" i="68"/>
  <c r="H68" i="63"/>
  <c r="D69" i="62"/>
  <c r="F163" i="60"/>
  <c r="D157" i="60"/>
  <c r="E157" i="62"/>
  <c r="F97" i="68"/>
  <c r="G157" i="68"/>
  <c r="E126" i="64"/>
  <c r="C192" i="65"/>
  <c r="D186" i="65"/>
  <c r="C97" i="63"/>
  <c r="J125" i="63"/>
  <c r="E97" i="62"/>
  <c r="C150" i="60"/>
  <c r="J87" i="65"/>
  <c r="G138" i="68"/>
  <c r="I189" i="65"/>
  <c r="D131" i="68"/>
  <c r="E170" i="65"/>
  <c r="I141" i="68"/>
  <c r="J77" i="61"/>
  <c r="E142" i="60"/>
  <c r="J137" i="63"/>
  <c r="I200" i="62"/>
  <c r="G114" i="62"/>
  <c r="D147" i="64"/>
  <c r="I87" i="65"/>
  <c r="H101" i="68"/>
  <c r="I109" i="68"/>
  <c r="G109" i="68"/>
  <c r="J193" i="68"/>
  <c r="I131" i="61"/>
  <c r="H81" i="61"/>
  <c r="D177" i="61"/>
  <c r="G101" i="61"/>
  <c r="I60" i="62"/>
  <c r="H134" i="62"/>
  <c r="F163" i="59"/>
  <c r="J183" i="57"/>
  <c r="H81" i="57"/>
  <c r="F185" i="53"/>
  <c r="I187" i="63"/>
  <c r="F75" i="64"/>
  <c r="E76" i="63"/>
  <c r="C198" i="62"/>
  <c r="G52" i="64"/>
  <c r="E143" i="60"/>
  <c r="C59" i="60"/>
  <c r="D125" i="62"/>
  <c r="G155" i="53"/>
  <c r="C57" i="59"/>
  <c r="F141" i="53"/>
  <c r="J87" i="64"/>
  <c r="G170" i="64"/>
  <c r="H186" i="68"/>
  <c r="H67" i="68"/>
  <c r="F172" i="68"/>
  <c r="F65" i="68"/>
  <c r="F118" i="61"/>
  <c r="G102" i="62"/>
  <c r="G59" i="65"/>
  <c r="C138" i="68"/>
  <c r="E159" i="65"/>
  <c r="D177" i="65"/>
  <c r="D95" i="65"/>
  <c r="D150" i="68"/>
  <c r="D136" i="60"/>
  <c r="I54" i="63"/>
  <c r="F98" i="68"/>
  <c r="I173" i="68"/>
  <c r="E99" i="68"/>
  <c r="E121" i="68"/>
  <c r="C56" i="68"/>
  <c r="H187" i="62"/>
  <c r="C192" i="61"/>
  <c r="E174" i="61"/>
  <c r="E150" i="62"/>
  <c r="H151" i="64"/>
  <c r="J163" i="64"/>
  <c r="C61" i="68"/>
  <c r="E60" i="65"/>
  <c r="G93" i="65"/>
  <c r="I151" i="65"/>
  <c r="H134" i="68"/>
  <c r="E88" i="65"/>
  <c r="E147" i="68"/>
  <c r="H108" i="62"/>
  <c r="G93" i="62"/>
  <c r="C158" i="63"/>
  <c r="F179" i="62"/>
  <c r="H113" i="68"/>
  <c r="J146" i="65"/>
  <c r="J150" i="60"/>
  <c r="J116" i="65"/>
  <c r="C90" i="68"/>
  <c r="C164" i="65"/>
  <c r="E108" i="60"/>
  <c r="I169" i="63"/>
  <c r="G186" i="63"/>
  <c r="C54" i="64"/>
  <c r="H172" i="68"/>
  <c r="I61" i="65"/>
  <c r="I102" i="64"/>
  <c r="H116" i="64"/>
  <c r="I129" i="64"/>
  <c r="I101" i="64"/>
  <c r="I86" i="64"/>
  <c r="G111" i="61"/>
  <c r="G146" i="61"/>
  <c r="J185" i="60"/>
  <c r="I135" i="68"/>
  <c r="D191" i="64"/>
  <c r="I68" i="65"/>
  <c r="G177" i="65"/>
  <c r="C93" i="65"/>
  <c r="J192" i="65"/>
  <c r="E104" i="64"/>
  <c r="H99" i="63"/>
  <c r="C56" i="63"/>
  <c r="C179" i="63"/>
  <c r="H192" i="68"/>
  <c r="G102" i="61"/>
  <c r="E178" i="60"/>
  <c r="J60" i="60"/>
  <c r="E169" i="60"/>
  <c r="F61" i="59"/>
  <c r="C70" i="65"/>
  <c r="G180" i="61"/>
  <c r="D163" i="62"/>
  <c r="E150" i="61"/>
  <c r="J72" i="62"/>
  <c r="H103" i="60"/>
  <c r="G198" i="62"/>
  <c r="D195" i="53"/>
  <c r="I98" i="59"/>
  <c r="E164" i="64"/>
  <c r="G57" i="68"/>
  <c r="J151" i="68"/>
  <c r="F200" i="68"/>
  <c r="D51" i="68"/>
  <c r="C193" i="63"/>
  <c r="C197" i="64"/>
  <c r="D136" i="61"/>
  <c r="G125" i="68"/>
  <c r="J125" i="68"/>
  <c r="J118" i="64"/>
  <c r="I147" i="64"/>
  <c r="D71" i="65"/>
  <c r="G151" i="62"/>
  <c r="H137" i="63"/>
  <c r="G73" i="65"/>
  <c r="C152" i="68"/>
  <c r="F166" i="65"/>
  <c r="H97" i="68"/>
  <c r="E102" i="65"/>
  <c r="G145" i="68"/>
  <c r="J149" i="60"/>
  <c r="H126" i="63"/>
  <c r="H120" i="63"/>
  <c r="C176" i="68"/>
  <c r="I200" i="68"/>
  <c r="J125" i="65"/>
  <c r="C180" i="63"/>
  <c r="H112" i="65"/>
  <c r="I75" i="65"/>
  <c r="C82" i="65"/>
  <c r="E146" i="64"/>
  <c r="H96" i="65"/>
  <c r="F167" i="63"/>
  <c r="H193" i="60"/>
  <c r="G133" i="60"/>
  <c r="E152" i="61"/>
  <c r="C129" i="63"/>
  <c r="C60" i="68"/>
  <c r="C94" i="65"/>
  <c r="J189" i="65"/>
  <c r="G125" i="65"/>
  <c r="G154" i="65"/>
  <c r="C99" i="63"/>
  <c r="D184" i="63"/>
  <c r="H194" i="60"/>
  <c r="E106" i="61"/>
  <c r="H63" i="65"/>
  <c r="C135" i="68"/>
  <c r="E120" i="68"/>
  <c r="J181" i="64"/>
  <c r="I163" i="68"/>
  <c r="G177" i="64"/>
  <c r="G144" i="61"/>
  <c r="C112" i="61"/>
  <c r="I109" i="62"/>
  <c r="F91" i="64"/>
  <c r="F58" i="64"/>
  <c r="F154" i="68"/>
  <c r="E144" i="65"/>
  <c r="D163" i="64"/>
  <c r="G194" i="65"/>
  <c r="E58" i="65"/>
  <c r="E118" i="62"/>
  <c r="F178" i="64"/>
  <c r="F68" i="64"/>
  <c r="D70" i="63"/>
  <c r="D184" i="62"/>
  <c r="C124" i="61"/>
  <c r="J117" i="61"/>
  <c r="I78" i="65"/>
  <c r="E71" i="65"/>
  <c r="E154" i="64"/>
  <c r="J158" i="64"/>
  <c r="H174" i="64"/>
  <c r="I98" i="64"/>
  <c r="C92" i="64"/>
  <c r="D184" i="60"/>
  <c r="H58" i="65"/>
  <c r="F149" i="65"/>
  <c r="H137" i="65"/>
  <c r="I101" i="65"/>
  <c r="C52" i="68"/>
  <c r="J161" i="61"/>
  <c r="F199" i="64"/>
  <c r="F189" i="65"/>
  <c r="I182" i="68"/>
  <c r="E78" i="68"/>
  <c r="G151" i="68"/>
  <c r="I158" i="64"/>
  <c r="E150" i="65"/>
  <c r="G79" i="61"/>
  <c r="I110" i="61"/>
  <c r="F93" i="64"/>
  <c r="G108" i="65"/>
  <c r="H131" i="65"/>
  <c r="E173" i="65"/>
  <c r="I124" i="65"/>
  <c r="F138" i="65"/>
  <c r="I65" i="65"/>
  <c r="J179" i="65"/>
  <c r="H118" i="68"/>
  <c r="F52" i="68"/>
  <c r="G195" i="63"/>
  <c r="G197" i="61"/>
  <c r="I81" i="61"/>
  <c r="E68" i="62"/>
  <c r="E117" i="63"/>
  <c r="D197" i="65"/>
  <c r="G169" i="65"/>
  <c r="E61" i="68"/>
  <c r="J144" i="65"/>
  <c r="F198" i="65"/>
  <c r="F138" i="63"/>
  <c r="J78" i="63"/>
  <c r="D55" i="62"/>
  <c r="F120" i="60"/>
  <c r="J145" i="65"/>
  <c r="C95" i="68"/>
  <c r="C181" i="65"/>
  <c r="F133" i="64"/>
  <c r="F198" i="68"/>
  <c r="F147" i="64"/>
  <c r="F178" i="61"/>
  <c r="H173" i="61"/>
  <c r="G141" i="64"/>
  <c r="C76" i="64"/>
  <c r="E155" i="63"/>
  <c r="F91" i="68"/>
  <c r="G101" i="68"/>
  <c r="D171" i="68"/>
  <c r="I150" i="68"/>
  <c r="E137" i="65"/>
  <c r="J121" i="68"/>
  <c r="H98" i="62"/>
  <c r="I115" i="61"/>
  <c r="H164" i="62"/>
  <c r="I125" i="62"/>
  <c r="E124" i="60"/>
  <c r="G69" i="63"/>
  <c r="D92" i="53"/>
  <c r="F74" i="53"/>
  <c r="F123" i="60"/>
  <c r="C193" i="57"/>
  <c r="J71" i="61"/>
  <c r="J87" i="63"/>
  <c r="E200" i="68"/>
  <c r="H62" i="62"/>
  <c r="I126" i="64"/>
  <c r="C189" i="63"/>
  <c r="D99" i="57"/>
  <c r="D83" i="57"/>
  <c r="I162" i="60"/>
  <c r="G113" i="68"/>
  <c r="J196" i="68"/>
  <c r="F105" i="68"/>
  <c r="D110" i="68"/>
  <c r="E52" i="68"/>
  <c r="C71" i="64"/>
  <c r="J109" i="62"/>
  <c r="E71" i="63"/>
  <c r="G102" i="68"/>
  <c r="E199" i="65"/>
  <c r="G184" i="65"/>
  <c r="D176" i="65"/>
  <c r="G187" i="65"/>
  <c r="D157" i="62"/>
  <c r="G131" i="63"/>
  <c r="G67" i="64"/>
  <c r="C190" i="65"/>
  <c r="G87" i="65"/>
  <c r="G112" i="65"/>
  <c r="J137" i="68"/>
  <c r="I175" i="64"/>
  <c r="H122" i="61"/>
  <c r="D64" i="64"/>
  <c r="E167" i="62"/>
  <c r="J153" i="53"/>
  <c r="D164" i="65"/>
  <c r="E101" i="65"/>
  <c r="D119" i="65"/>
  <c r="E157" i="64"/>
  <c r="D127" i="64"/>
  <c r="D110" i="65"/>
  <c r="F95" i="64"/>
  <c r="E173" i="64"/>
  <c r="J79" i="64"/>
  <c r="J52" i="61"/>
  <c r="C85" i="62"/>
  <c r="D126" i="64"/>
  <c r="F96" i="63"/>
  <c r="E54" i="68"/>
  <c r="F165" i="68"/>
  <c r="E197" i="68"/>
  <c r="G166" i="65"/>
  <c r="H152" i="68"/>
  <c r="F139" i="62"/>
  <c r="E181" i="61"/>
  <c r="H174" i="62"/>
  <c r="I83" i="62"/>
  <c r="H177" i="63"/>
  <c r="H96" i="68"/>
  <c r="E127" i="68"/>
  <c r="F187" i="68"/>
  <c r="E60" i="68"/>
  <c r="H160" i="68"/>
  <c r="H192" i="62"/>
  <c r="G183" i="62"/>
  <c r="D169" i="63"/>
  <c r="G143" i="62"/>
  <c r="J119" i="61"/>
  <c r="E120" i="65"/>
  <c r="C110" i="63"/>
  <c r="F83" i="65"/>
  <c r="H82" i="65"/>
  <c r="H89" i="65"/>
  <c r="J84" i="63"/>
  <c r="G188" i="61"/>
  <c r="E101" i="63"/>
  <c r="E168" i="63"/>
  <c r="I116" i="68"/>
  <c r="D115" i="63"/>
  <c r="G183" i="63"/>
  <c r="J160" i="57"/>
  <c r="E117" i="59"/>
  <c r="H54" i="61"/>
  <c r="D150" i="59"/>
  <c r="G59" i="68"/>
  <c r="I160" i="60"/>
  <c r="G109" i="60"/>
  <c r="G136" i="60"/>
  <c r="I194" i="60"/>
  <c r="J80" i="61"/>
  <c r="F154" i="65"/>
  <c r="J67" i="68"/>
  <c r="E90" i="65"/>
  <c r="F184" i="65"/>
  <c r="F172" i="63"/>
  <c r="I176" i="62"/>
  <c r="D160" i="60"/>
  <c r="C182" i="64"/>
  <c r="J134" i="64"/>
  <c r="I85" i="65"/>
  <c r="I152" i="68"/>
  <c r="F198" i="64"/>
  <c r="G91" i="64"/>
  <c r="J187" i="60"/>
  <c r="H77" i="62"/>
  <c r="E169" i="64"/>
  <c r="I54" i="68"/>
  <c r="H191" i="65"/>
  <c r="I197" i="64"/>
  <c r="F122" i="64"/>
  <c r="C166" i="62"/>
  <c r="E70" i="63"/>
  <c r="H200" i="62"/>
  <c r="I129" i="68"/>
  <c r="H67" i="65"/>
  <c r="I144" i="68"/>
  <c r="I199" i="64"/>
  <c r="F94" i="65"/>
  <c r="H83" i="63"/>
  <c r="I134" i="65"/>
  <c r="C62" i="65"/>
  <c r="C78" i="65"/>
  <c r="H175" i="63"/>
  <c r="G198" i="60"/>
  <c r="E104" i="60"/>
  <c r="D125" i="63"/>
  <c r="E139" i="63"/>
  <c r="G176" i="68"/>
  <c r="J118" i="68"/>
  <c r="H160" i="64"/>
  <c r="F155" i="68"/>
  <c r="H71" i="68"/>
  <c r="I116" i="63"/>
  <c r="E152" i="62"/>
  <c r="I71" i="61"/>
  <c r="H71" i="61"/>
  <c r="I59" i="65"/>
  <c r="C73" i="65"/>
  <c r="I125" i="68"/>
  <c r="H78" i="62"/>
  <c r="G67" i="68"/>
  <c r="F134" i="68"/>
  <c r="J162" i="61"/>
  <c r="E162" i="61"/>
  <c r="H166" i="64"/>
  <c r="J83" i="64"/>
  <c r="J163" i="63"/>
  <c r="D57" i="68"/>
  <c r="E126" i="68"/>
  <c r="C170" i="68"/>
  <c r="D142" i="65"/>
  <c r="F195" i="65"/>
  <c r="G160" i="62"/>
  <c r="J138" i="68"/>
  <c r="J111" i="60"/>
  <c r="D95" i="61"/>
  <c r="H80" i="64"/>
  <c r="E133" i="62"/>
  <c r="C98" i="63"/>
  <c r="C159" i="53"/>
  <c r="F166" i="57"/>
  <c r="F129" i="57"/>
  <c r="I171" i="53"/>
  <c r="J176" i="61"/>
  <c r="D111" i="64"/>
  <c r="J194" i="65"/>
  <c r="G186" i="68"/>
  <c r="E95" i="65"/>
  <c r="C196" i="64"/>
  <c r="F194" i="64"/>
  <c r="F84" i="64"/>
  <c r="J196" i="60"/>
  <c r="D114" i="61"/>
  <c r="D94" i="68"/>
  <c r="F104" i="68"/>
  <c r="H185" i="68"/>
  <c r="F100" i="65"/>
  <c r="C133" i="65"/>
  <c r="E186" i="63"/>
  <c r="F189" i="60"/>
  <c r="J73" i="61"/>
  <c r="J139" i="64"/>
  <c r="F110" i="65"/>
  <c r="C190" i="63"/>
  <c r="F57" i="65"/>
  <c r="C106" i="68"/>
  <c r="G190" i="64"/>
  <c r="E72" i="62"/>
  <c r="H69" i="63"/>
  <c r="H194" i="62"/>
  <c r="C160" i="68"/>
  <c r="C134" i="65"/>
  <c r="I134" i="68"/>
  <c r="F95" i="65"/>
  <c r="C103" i="68"/>
  <c r="D60" i="65"/>
  <c r="F90" i="65"/>
  <c r="E118" i="68"/>
  <c r="I129" i="65"/>
  <c r="E53" i="62"/>
  <c r="G99" i="62"/>
  <c r="E152" i="64"/>
  <c r="F161" i="63"/>
  <c r="H162" i="65"/>
  <c r="F63" i="68"/>
  <c r="J112" i="68"/>
  <c r="G87" i="68"/>
  <c r="C110" i="65"/>
  <c r="G103" i="68"/>
  <c r="G115" i="62"/>
  <c r="I158" i="62"/>
  <c r="I128" i="63"/>
  <c r="C171" i="64"/>
  <c r="E73" i="68"/>
  <c r="C154" i="68"/>
  <c r="E154" i="68"/>
  <c r="D112" i="68"/>
  <c r="D162" i="68"/>
  <c r="C115" i="64"/>
  <c r="H156" i="63"/>
  <c r="H150" i="63"/>
  <c r="I173" i="60"/>
  <c r="G52" i="62"/>
  <c r="G53" i="65"/>
  <c r="J186" i="65"/>
  <c r="E146" i="65"/>
  <c r="C120" i="65"/>
  <c r="C64" i="65"/>
  <c r="C126" i="65"/>
  <c r="E87" i="62"/>
  <c r="C164" i="63"/>
  <c r="F159" i="62"/>
  <c r="F193" i="62"/>
  <c r="G182" i="63"/>
  <c r="H56" i="61"/>
  <c r="C189" i="53"/>
  <c r="D61" i="62"/>
  <c r="D119" i="59"/>
  <c r="C65" i="63"/>
  <c r="D77" i="62"/>
  <c r="E69" i="61"/>
  <c r="G165" i="53"/>
  <c r="F163" i="53"/>
  <c r="I136" i="53"/>
  <c r="D104" i="65"/>
  <c r="G171" i="60"/>
  <c r="F199" i="63"/>
  <c r="H142" i="61"/>
  <c r="C96" i="62"/>
  <c r="I184" i="60"/>
  <c r="H181" i="60"/>
  <c r="G161" i="53"/>
  <c r="C56" i="53"/>
  <c r="H61" i="68"/>
  <c r="J165" i="61"/>
  <c r="H169" i="60"/>
  <c r="D130" i="60"/>
  <c r="D197" i="60"/>
  <c r="J159" i="62"/>
  <c r="I150" i="60"/>
  <c r="D88" i="59"/>
  <c r="D188" i="57"/>
  <c r="H166" i="53"/>
  <c r="D150" i="62"/>
  <c r="F199" i="62"/>
  <c r="G77" i="64"/>
  <c r="D82" i="64"/>
  <c r="D68" i="63"/>
  <c r="E126" i="63"/>
  <c r="D105" i="57"/>
  <c r="H127" i="59"/>
  <c r="F105" i="62"/>
  <c r="C112" i="68"/>
  <c r="C190" i="60"/>
  <c r="F167" i="61"/>
  <c r="F158" i="61"/>
  <c r="H119" i="61"/>
  <c r="I186" i="60"/>
  <c r="I80" i="63"/>
  <c r="H154" i="53"/>
  <c r="F74" i="61"/>
  <c r="C143" i="60"/>
  <c r="C157" i="63"/>
  <c r="D198" i="63"/>
  <c r="G135" i="63"/>
  <c r="I137" i="68"/>
  <c r="E154" i="60"/>
  <c r="F136" i="60"/>
  <c r="J112" i="59"/>
  <c r="J112" i="53"/>
  <c r="G179" i="59"/>
  <c r="D80" i="60"/>
  <c r="E112" i="63"/>
  <c r="G71" i="64"/>
  <c r="F56" i="59"/>
  <c r="G69" i="62"/>
  <c r="E116" i="59"/>
  <c r="H156" i="53"/>
  <c r="H87" i="53"/>
  <c r="E166" i="59"/>
  <c r="J197" i="53"/>
  <c r="F198" i="53"/>
  <c r="E189" i="53"/>
  <c r="I59" i="57"/>
  <c r="F178" i="57"/>
  <c r="D107" i="57"/>
  <c r="G69" i="64"/>
  <c r="I191" i="59"/>
  <c r="E156" i="60"/>
  <c r="F155" i="59"/>
  <c r="H64" i="59"/>
  <c r="D112" i="53"/>
  <c r="J136" i="57"/>
  <c r="F155" i="53"/>
  <c r="G195" i="53"/>
  <c r="G129" i="59"/>
  <c r="D103" i="57"/>
  <c r="J155" i="53"/>
  <c r="G85" i="64"/>
  <c r="E74" i="68"/>
  <c r="C149" i="68"/>
  <c r="E184" i="68"/>
  <c r="F136" i="64"/>
  <c r="J94" i="68"/>
  <c r="J172" i="64"/>
  <c r="J153" i="61"/>
  <c r="E121" i="61"/>
  <c r="D152" i="65"/>
  <c r="G179" i="68"/>
  <c r="E167" i="68"/>
  <c r="J53" i="68"/>
  <c r="E187" i="68"/>
  <c r="G93" i="64"/>
  <c r="I105" i="61"/>
  <c r="E148" i="61"/>
  <c r="I142" i="68"/>
  <c r="C126" i="68"/>
  <c r="G135" i="68"/>
  <c r="C63" i="68"/>
  <c r="I113" i="68"/>
  <c r="E163" i="64"/>
  <c r="H183" i="61"/>
  <c r="D112" i="62"/>
  <c r="H166" i="62"/>
  <c r="H159" i="65"/>
  <c r="C131" i="65"/>
  <c r="E123" i="65"/>
  <c r="C121" i="65"/>
  <c r="H125" i="68"/>
  <c r="C88" i="65"/>
  <c r="E100" i="65"/>
  <c r="G70" i="65"/>
  <c r="E78" i="64"/>
  <c r="C124" i="60"/>
  <c r="I155" i="60"/>
  <c r="D101" i="61"/>
  <c r="F74" i="63"/>
  <c r="F82" i="68"/>
  <c r="J143" i="65"/>
  <c r="J82" i="65"/>
  <c r="F63" i="65"/>
  <c r="G119" i="65"/>
  <c r="J55" i="63"/>
  <c r="E163" i="63"/>
  <c r="I190" i="60"/>
  <c r="F123" i="61"/>
  <c r="F114" i="64"/>
  <c r="E163" i="65"/>
  <c r="D122" i="65"/>
  <c r="J150" i="65"/>
  <c r="D130" i="64"/>
  <c r="J129" i="65"/>
  <c r="J102" i="60"/>
  <c r="I141" i="60"/>
  <c r="H182" i="63"/>
  <c r="G115" i="63"/>
  <c r="I143" i="63"/>
  <c r="E130" i="68"/>
  <c r="F76" i="68"/>
  <c r="E179" i="64"/>
  <c r="E177" i="68"/>
  <c r="G79" i="68"/>
  <c r="I118" i="64"/>
  <c r="F62" i="63"/>
  <c r="G120" i="62"/>
  <c r="J129" i="60"/>
  <c r="F164" i="62"/>
  <c r="C85" i="64"/>
  <c r="F121" i="64"/>
  <c r="I192" i="57"/>
  <c r="E132" i="64"/>
  <c r="E64" i="68"/>
  <c r="E122" i="65"/>
  <c r="G199" i="65"/>
  <c r="F104" i="64"/>
  <c r="J65" i="61"/>
  <c r="C100" i="61"/>
  <c r="G117" i="68"/>
  <c r="I69" i="68"/>
  <c r="H102" i="64"/>
  <c r="J73" i="65"/>
  <c r="E83" i="65"/>
  <c r="H187" i="63"/>
  <c r="F82" i="64"/>
  <c r="C187" i="60"/>
  <c r="F75" i="65"/>
  <c r="G105" i="65"/>
  <c r="C95" i="65"/>
  <c r="I184" i="68"/>
  <c r="I181" i="68"/>
  <c r="C188" i="62"/>
  <c r="G133" i="62"/>
  <c r="F160" i="63"/>
  <c r="D113" i="68"/>
  <c r="I130" i="64"/>
  <c r="H127" i="68"/>
  <c r="I162" i="64"/>
  <c r="I176" i="68"/>
  <c r="I124" i="68"/>
  <c r="F125" i="68"/>
  <c r="E121" i="65"/>
  <c r="E82" i="65"/>
  <c r="H113" i="64"/>
  <c r="G91" i="62"/>
  <c r="H75" i="62"/>
  <c r="H189" i="62"/>
  <c r="F144" i="61"/>
  <c r="I161" i="65"/>
  <c r="H173" i="65"/>
  <c r="G196" i="65"/>
  <c r="D67" i="68"/>
  <c r="I134" i="63"/>
  <c r="G111" i="64"/>
  <c r="E155" i="64"/>
  <c r="J195" i="62"/>
  <c r="F165" i="61"/>
  <c r="G127" i="68"/>
  <c r="J84" i="68"/>
  <c r="H180" i="64"/>
  <c r="I83" i="68"/>
  <c r="F132" i="68"/>
  <c r="E170" i="64"/>
  <c r="F163" i="61"/>
  <c r="C196" i="61"/>
  <c r="H176" i="62"/>
  <c r="J75" i="64"/>
  <c r="G197" i="63"/>
  <c r="D141" i="68"/>
  <c r="J167" i="68"/>
  <c r="E109" i="65"/>
  <c r="C52" i="65"/>
  <c r="I76" i="65"/>
  <c r="G140" i="65"/>
  <c r="F79" i="62"/>
  <c r="F108" i="61"/>
  <c r="I138" i="62"/>
  <c r="E131" i="62"/>
  <c r="J138" i="61"/>
  <c r="C166" i="63"/>
  <c r="I137" i="53"/>
  <c r="C129" i="53"/>
  <c r="C172" i="60"/>
  <c r="H143" i="57"/>
  <c r="I109" i="61"/>
  <c r="I197" i="62"/>
  <c r="C74" i="64"/>
  <c r="H63" i="64"/>
  <c r="C88" i="63"/>
  <c r="G129" i="63"/>
  <c r="I75" i="59"/>
  <c r="G74" i="59"/>
  <c r="D135" i="60"/>
  <c r="J191" i="59"/>
  <c r="E152" i="59"/>
  <c r="D192" i="63"/>
  <c r="F200" i="63"/>
  <c r="D163" i="65"/>
  <c r="E179" i="63"/>
  <c r="F54" i="65"/>
  <c r="G76" i="64"/>
  <c r="E55" i="61"/>
  <c r="C100" i="60"/>
  <c r="I75" i="68"/>
  <c r="F158" i="64"/>
  <c r="J127" i="68"/>
  <c r="G196" i="64"/>
  <c r="E89" i="68"/>
  <c r="J186" i="64"/>
  <c r="G89" i="61"/>
  <c r="H51" i="62"/>
  <c r="H94" i="65"/>
  <c r="D114" i="65"/>
  <c r="J119" i="65"/>
  <c r="J94" i="65"/>
  <c r="E78" i="65"/>
  <c r="C64" i="63"/>
  <c r="E85" i="64"/>
  <c r="H133" i="60"/>
  <c r="F164" i="61"/>
  <c r="F123" i="68"/>
  <c r="C97" i="68"/>
  <c r="C59" i="65"/>
  <c r="I106" i="68"/>
  <c r="I97" i="68"/>
  <c r="G191" i="64"/>
  <c r="D80" i="65"/>
  <c r="E103" i="68"/>
  <c r="I117" i="65"/>
  <c r="G186" i="61"/>
  <c r="G200" i="63"/>
  <c r="J106" i="64"/>
  <c r="H54" i="64"/>
  <c r="C163" i="65"/>
  <c r="J183" i="68"/>
  <c r="E85" i="68"/>
  <c r="F67" i="68"/>
  <c r="H165" i="65"/>
  <c r="G120" i="68"/>
  <c r="H141" i="62"/>
  <c r="F150" i="62"/>
  <c r="C72" i="63"/>
  <c r="F168" i="64"/>
  <c r="E173" i="68"/>
  <c r="H166" i="68"/>
  <c r="E104" i="68"/>
  <c r="G111" i="68"/>
  <c r="G153" i="68"/>
  <c r="G199" i="64"/>
  <c r="H67" i="63"/>
  <c r="J141" i="63"/>
  <c r="F183" i="60"/>
  <c r="J104" i="62"/>
  <c r="C109" i="65"/>
  <c r="J100" i="63"/>
  <c r="J142" i="68"/>
  <c r="G169" i="64"/>
  <c r="I130" i="68"/>
  <c r="I112" i="64"/>
  <c r="D145" i="61"/>
  <c r="I116" i="62"/>
  <c r="D104" i="64"/>
  <c r="F161" i="68"/>
  <c r="I72" i="63"/>
  <c r="I175" i="63"/>
  <c r="G175" i="53"/>
  <c r="H125" i="53"/>
  <c r="F196" i="60"/>
  <c r="C79" i="59"/>
  <c r="I183" i="65"/>
  <c r="C59" i="61"/>
  <c r="H165" i="60"/>
  <c r="F109" i="60"/>
  <c r="I101" i="60"/>
  <c r="J111" i="61"/>
  <c r="I79" i="64"/>
  <c r="F98" i="53"/>
  <c r="G78" i="57"/>
  <c r="E80" i="68"/>
  <c r="I195" i="65"/>
  <c r="J180" i="65"/>
  <c r="D141" i="65"/>
  <c r="J123" i="65"/>
  <c r="E69" i="63"/>
  <c r="D91" i="63"/>
  <c r="J68" i="64"/>
  <c r="F132" i="65"/>
  <c r="D59" i="65"/>
  <c r="J134" i="68"/>
  <c r="H153" i="68"/>
  <c r="C119" i="65"/>
  <c r="H118" i="62"/>
  <c r="I190" i="63"/>
  <c r="H72" i="68"/>
  <c r="C89" i="65"/>
  <c r="C162" i="64"/>
  <c r="G60" i="65"/>
  <c r="I92" i="68"/>
  <c r="C68" i="65"/>
  <c r="I189" i="61"/>
  <c r="C198" i="61"/>
  <c r="F173" i="64"/>
  <c r="E67" i="65"/>
  <c r="E159" i="63"/>
  <c r="D91" i="68"/>
  <c r="G116" i="68"/>
  <c r="H195" i="68"/>
  <c r="F153" i="68"/>
  <c r="H79" i="68"/>
  <c r="H129" i="68"/>
  <c r="E116" i="68"/>
  <c r="H189" i="64"/>
  <c r="G150" i="61"/>
  <c r="C165" i="61"/>
  <c r="J189" i="62"/>
  <c r="E110" i="64"/>
  <c r="G170" i="65"/>
  <c r="J61" i="68"/>
  <c r="G160" i="68"/>
  <c r="F114" i="68"/>
  <c r="C142" i="68"/>
  <c r="G57" i="64"/>
  <c r="D179" i="62"/>
  <c r="C184" i="61"/>
  <c r="G98" i="62"/>
  <c r="I52" i="68"/>
  <c r="G83" i="65"/>
  <c r="J162" i="65"/>
  <c r="D124" i="64"/>
  <c r="I98" i="65"/>
  <c r="J166" i="63"/>
  <c r="G189" i="60"/>
  <c r="H135" i="60"/>
  <c r="E166" i="61"/>
  <c r="H119" i="63"/>
  <c r="C113" i="62"/>
  <c r="H71" i="65"/>
  <c r="F165" i="64"/>
  <c r="D159" i="68"/>
  <c r="F116" i="68"/>
  <c r="C115" i="68"/>
  <c r="I191" i="63"/>
  <c r="D156" i="63"/>
  <c r="H195" i="64"/>
  <c r="E180" i="64"/>
  <c r="J68" i="63"/>
  <c r="H144" i="62"/>
  <c r="G91" i="57"/>
  <c r="I183" i="68"/>
  <c r="J116" i="68"/>
  <c r="F109" i="68"/>
  <c r="G61" i="68"/>
  <c r="C162" i="68"/>
  <c r="C176" i="64"/>
  <c r="D129" i="63"/>
  <c r="I140" i="63"/>
  <c r="H151" i="68"/>
  <c r="D140" i="68"/>
  <c r="F181" i="68"/>
  <c r="J172" i="68"/>
  <c r="E136" i="65"/>
  <c r="G112" i="60"/>
  <c r="J146" i="63"/>
  <c r="J142" i="64"/>
  <c r="E127" i="65"/>
  <c r="G78" i="65"/>
  <c r="I136" i="65"/>
  <c r="C53" i="68"/>
  <c r="J187" i="62"/>
  <c r="D58" i="62"/>
  <c r="D75" i="62"/>
  <c r="I59" i="62"/>
  <c r="F117" i="68"/>
  <c r="H189" i="68"/>
  <c r="J157" i="64"/>
  <c r="J63" i="68"/>
  <c r="I115" i="68"/>
  <c r="J180" i="68"/>
  <c r="G192" i="64"/>
  <c r="H111" i="65"/>
  <c r="G98" i="65"/>
  <c r="E196" i="62"/>
  <c r="F83" i="63"/>
  <c r="H67" i="62"/>
  <c r="H63" i="61"/>
  <c r="D84" i="62"/>
  <c r="I157" i="64"/>
  <c r="G130" i="68"/>
  <c r="C125" i="68"/>
  <c r="D144" i="64"/>
  <c r="J135" i="64"/>
  <c r="H191" i="63"/>
  <c r="G92" i="64"/>
  <c r="J88" i="61"/>
  <c r="D192" i="61"/>
  <c r="G58" i="68"/>
  <c r="J54" i="64"/>
  <c r="H132" i="64"/>
  <c r="G152" i="65"/>
  <c r="G163" i="65"/>
  <c r="I103" i="63"/>
  <c r="I63" i="62"/>
  <c r="E120" i="60"/>
  <c r="J193" i="60"/>
  <c r="F150" i="64"/>
  <c r="C180" i="64"/>
  <c r="J153" i="65"/>
  <c r="J165" i="65"/>
  <c r="H100" i="65"/>
  <c r="C55" i="65"/>
  <c r="C76" i="68"/>
  <c r="E119" i="62"/>
  <c r="C83" i="61"/>
  <c r="J88" i="63"/>
  <c r="J162" i="60"/>
  <c r="D187" i="60"/>
  <c r="G157" i="62"/>
  <c r="C183" i="62"/>
  <c r="E103" i="59"/>
  <c r="I121" i="53"/>
  <c r="G53" i="57"/>
  <c r="H140" i="53"/>
  <c r="G70" i="63"/>
  <c r="J63" i="61"/>
  <c r="D86" i="61"/>
  <c r="H57" i="64"/>
  <c r="I145" i="64"/>
  <c r="G73" i="63"/>
  <c r="G70" i="59"/>
  <c r="H159" i="57"/>
  <c r="J196" i="57"/>
  <c r="I199" i="65"/>
  <c r="H130" i="65"/>
  <c r="G150" i="65"/>
  <c r="C87" i="64"/>
  <c r="F137" i="65"/>
  <c r="H59" i="61"/>
  <c r="C149" i="63"/>
  <c r="G88" i="64"/>
  <c r="I53" i="65"/>
  <c r="E159" i="68"/>
  <c r="J189" i="64"/>
  <c r="G184" i="68"/>
  <c r="C129" i="68"/>
  <c r="C77" i="61"/>
  <c r="F107" i="64"/>
  <c r="I168" i="68"/>
  <c r="F174" i="64"/>
  <c r="D106" i="68"/>
  <c r="J143" i="68"/>
  <c r="E125" i="65"/>
  <c r="H186" i="65"/>
  <c r="I106" i="60"/>
  <c r="H137" i="60"/>
  <c r="C161" i="63"/>
  <c r="D80" i="68"/>
  <c r="I196" i="65"/>
  <c r="J168" i="68"/>
  <c r="F172" i="65"/>
  <c r="D190" i="65"/>
  <c r="E171" i="65"/>
  <c r="E150" i="68"/>
  <c r="F125" i="65"/>
  <c r="J147" i="65"/>
  <c r="C66" i="63"/>
  <c r="F139" i="61"/>
  <c r="J98" i="62"/>
  <c r="G186" i="60"/>
  <c r="E144" i="64"/>
  <c r="J104" i="65"/>
  <c r="C125" i="65"/>
  <c r="F157" i="65"/>
  <c r="D110" i="64"/>
  <c r="J88" i="65"/>
  <c r="I166" i="63"/>
  <c r="H192" i="60"/>
  <c r="F69" i="61"/>
  <c r="H175" i="61"/>
  <c r="J69" i="68"/>
  <c r="J113" i="65"/>
  <c r="H141" i="64"/>
  <c r="J140" i="65"/>
  <c r="D82" i="68"/>
  <c r="I152" i="65"/>
  <c r="F174" i="60"/>
  <c r="I118" i="63"/>
  <c r="E99" i="64"/>
  <c r="J187" i="63"/>
  <c r="G165" i="60"/>
  <c r="D186" i="68"/>
  <c r="D129" i="68"/>
  <c r="I157" i="59"/>
  <c r="C64" i="68"/>
  <c r="J80" i="68"/>
  <c r="J177" i="64"/>
  <c r="G113" i="60"/>
  <c r="I108" i="61"/>
  <c r="I163" i="63"/>
  <c r="G157" i="63"/>
  <c r="G73" i="64"/>
  <c r="C194" i="64"/>
  <c r="J80" i="60"/>
  <c r="I140" i="57"/>
  <c r="C92" i="57"/>
  <c r="E149" i="60"/>
  <c r="D179" i="64"/>
  <c r="I191" i="60"/>
  <c r="C78" i="64"/>
  <c r="G167" i="61"/>
  <c r="D159" i="61"/>
  <c r="F200" i="65"/>
  <c r="E185" i="64"/>
  <c r="I188" i="64"/>
  <c r="D138" i="68"/>
  <c r="D130" i="68"/>
  <c r="D194" i="63"/>
  <c r="F124" i="64"/>
  <c r="I119" i="62"/>
  <c r="H53" i="68"/>
  <c r="D97" i="68"/>
  <c r="E66" i="68"/>
  <c r="H178" i="65"/>
  <c r="E163" i="68"/>
  <c r="F176" i="62"/>
  <c r="E200" i="62"/>
  <c r="F162" i="62"/>
  <c r="E85" i="65"/>
  <c r="D69" i="65"/>
  <c r="F164" i="68"/>
  <c r="F135" i="65"/>
  <c r="H83" i="65"/>
  <c r="H180" i="61"/>
  <c r="C57" i="64"/>
  <c r="G149" i="68"/>
  <c r="G85" i="65"/>
  <c r="E171" i="68"/>
  <c r="I63" i="65"/>
  <c r="G178" i="65"/>
  <c r="G194" i="68"/>
  <c r="F157" i="68"/>
  <c r="G60" i="68"/>
  <c r="I67" i="68"/>
  <c r="H109" i="68"/>
  <c r="H186" i="64"/>
  <c r="G74" i="62"/>
  <c r="E191" i="61"/>
  <c r="F92" i="62"/>
  <c r="I87" i="64"/>
  <c r="F113" i="65"/>
  <c r="E151" i="65"/>
  <c r="C185" i="65"/>
  <c r="F145" i="65"/>
  <c r="I171" i="65"/>
  <c r="J58" i="64"/>
  <c r="I144" i="64"/>
  <c r="J136" i="61"/>
  <c r="J125" i="62"/>
  <c r="G90" i="68"/>
  <c r="E68" i="63"/>
  <c r="D146" i="65"/>
  <c r="F58" i="65"/>
  <c r="I116" i="65"/>
  <c r="H194" i="63"/>
  <c r="F199" i="60"/>
  <c r="E82" i="61"/>
  <c r="G111" i="63"/>
  <c r="I120" i="63"/>
  <c r="D194" i="62"/>
  <c r="I67" i="65"/>
  <c r="F51" i="65"/>
  <c r="H158" i="68"/>
  <c r="C188" i="68"/>
  <c r="J129" i="64"/>
  <c r="G187" i="63"/>
  <c r="G112" i="62"/>
  <c r="J109" i="60"/>
  <c r="J196" i="62"/>
  <c r="E112" i="62"/>
  <c r="E120" i="61"/>
  <c r="D112" i="64"/>
  <c r="I172" i="53"/>
  <c r="J118" i="57"/>
  <c r="I141" i="53"/>
  <c r="E74" i="60"/>
  <c r="G195" i="62"/>
  <c r="J104" i="63"/>
  <c r="E178" i="64"/>
  <c r="E171" i="64"/>
  <c r="G68" i="68"/>
  <c r="D185" i="65"/>
  <c r="C77" i="68"/>
  <c r="D161" i="62"/>
  <c r="H115" i="61"/>
  <c r="H106" i="62"/>
  <c r="J149" i="65"/>
  <c r="H113" i="65"/>
  <c r="F146" i="65"/>
  <c r="E148" i="68"/>
  <c r="H183" i="68"/>
  <c r="H200" i="64"/>
  <c r="D139" i="62"/>
  <c r="F109" i="61"/>
  <c r="G121" i="68"/>
  <c r="C105" i="68"/>
  <c r="E81" i="68"/>
  <c r="H73" i="68"/>
  <c r="H61" i="65"/>
  <c r="I97" i="63"/>
  <c r="J180" i="63"/>
  <c r="D84" i="64"/>
  <c r="I80" i="61"/>
  <c r="H145" i="65"/>
  <c r="I171" i="64"/>
  <c r="J136" i="65"/>
  <c r="D86" i="68"/>
  <c r="D123" i="65"/>
  <c r="E117" i="64"/>
  <c r="H97" i="65"/>
  <c r="C200" i="65"/>
  <c r="D71" i="63"/>
  <c r="F153" i="62"/>
  <c r="D54" i="61"/>
  <c r="I65" i="63"/>
  <c r="C102" i="62"/>
  <c r="F140" i="64"/>
  <c r="D156" i="64"/>
  <c r="F68" i="65"/>
  <c r="G128" i="68"/>
  <c r="C156" i="64"/>
  <c r="H181" i="63"/>
  <c r="H128" i="60"/>
  <c r="D172" i="61"/>
  <c r="H172" i="61"/>
  <c r="I129" i="63"/>
  <c r="C123" i="65"/>
  <c r="D150" i="64"/>
  <c r="I77" i="65"/>
  <c r="E122" i="64"/>
  <c r="F76" i="65"/>
  <c r="H182" i="61"/>
  <c r="F96" i="64"/>
  <c r="H196" i="64"/>
  <c r="G171" i="63"/>
  <c r="J181" i="60"/>
  <c r="D53" i="68"/>
  <c r="J141" i="68"/>
  <c r="F177" i="68"/>
  <c r="F77" i="68"/>
  <c r="G164" i="68"/>
  <c r="J82" i="62"/>
  <c r="H157" i="62"/>
  <c r="D189" i="64"/>
  <c r="D120" i="63"/>
  <c r="G59" i="64"/>
  <c r="I153" i="62"/>
  <c r="G66" i="62"/>
  <c r="E177" i="60"/>
  <c r="F66" i="60"/>
  <c r="F84" i="53"/>
  <c r="H153" i="61"/>
  <c r="H115" i="64"/>
  <c r="D63" i="61"/>
  <c r="H132" i="57"/>
  <c r="E83" i="61"/>
  <c r="I112" i="60"/>
  <c r="E150" i="60"/>
  <c r="J153" i="63"/>
  <c r="H163" i="63"/>
  <c r="J104" i="64"/>
  <c r="C98" i="62"/>
  <c r="D100" i="62"/>
  <c r="F60" i="61"/>
  <c r="I107" i="59"/>
  <c r="G77" i="59"/>
  <c r="I98" i="68"/>
  <c r="D123" i="62"/>
  <c r="J70" i="62"/>
  <c r="F90" i="62"/>
  <c r="H83" i="62"/>
  <c r="F70" i="61"/>
  <c r="F71" i="63"/>
  <c r="H62" i="53"/>
  <c r="J80" i="59"/>
  <c r="I99" i="60"/>
  <c r="E79" i="64"/>
  <c r="D121" i="60"/>
  <c r="F188" i="62"/>
  <c r="D113" i="63"/>
  <c r="H131" i="64"/>
  <c r="H120" i="64"/>
  <c r="D74" i="60"/>
  <c r="J179" i="53"/>
  <c r="D76" i="57"/>
  <c r="C191" i="62"/>
  <c r="J180" i="60"/>
  <c r="C90" i="62"/>
  <c r="C101" i="60"/>
  <c r="J126" i="60"/>
  <c r="F151" i="61"/>
  <c r="C169" i="61"/>
  <c r="E156" i="59"/>
  <c r="F199" i="59"/>
  <c r="E76" i="64"/>
  <c r="D143" i="63"/>
  <c r="H170" i="63"/>
  <c r="I147" i="63"/>
  <c r="J155" i="63"/>
  <c r="G118" i="62"/>
  <c r="I125" i="59"/>
  <c r="D135" i="62"/>
  <c r="D118" i="53"/>
  <c r="F154" i="53"/>
  <c r="D193" i="59"/>
  <c r="I193" i="60"/>
  <c r="E154" i="63"/>
  <c r="I91" i="62"/>
  <c r="F187" i="57"/>
  <c r="E73" i="61"/>
  <c r="I84" i="59"/>
  <c r="E89" i="59"/>
  <c r="C172" i="59"/>
  <c r="F176" i="60"/>
  <c r="G187" i="59"/>
  <c r="I164" i="57"/>
  <c r="H175" i="60"/>
  <c r="J80" i="57"/>
  <c r="E168" i="57"/>
  <c r="J143" i="63"/>
  <c r="H164" i="59"/>
  <c r="F87" i="65"/>
  <c r="I91" i="65"/>
  <c r="D139" i="65"/>
  <c r="D74" i="65"/>
  <c r="J132" i="65"/>
  <c r="J190" i="63"/>
  <c r="F190" i="60"/>
  <c r="G129" i="60"/>
  <c r="D75" i="68"/>
  <c r="D161" i="65"/>
  <c r="F170" i="68"/>
  <c r="H53" i="65"/>
  <c r="C188" i="65"/>
  <c r="D86" i="63"/>
  <c r="J112" i="62"/>
  <c r="H68" i="61"/>
  <c r="J56" i="65"/>
  <c r="I131" i="65"/>
  <c r="D159" i="65"/>
  <c r="H155" i="65"/>
  <c r="G173" i="65"/>
  <c r="C59" i="63"/>
  <c r="F107" i="63"/>
  <c r="D116" i="60"/>
  <c r="G61" i="61"/>
  <c r="F73" i="68"/>
  <c r="D63" i="68"/>
  <c r="E154" i="65"/>
  <c r="G143" i="65"/>
  <c r="H170" i="65"/>
  <c r="C187" i="68"/>
  <c r="E179" i="65"/>
  <c r="I121" i="68"/>
  <c r="I54" i="62"/>
  <c r="C91" i="63"/>
  <c r="I115" i="62"/>
  <c r="C173" i="60"/>
  <c r="F82" i="61"/>
  <c r="H133" i="65"/>
  <c r="C58" i="68"/>
  <c r="F145" i="68"/>
  <c r="D160" i="68"/>
  <c r="H140" i="68"/>
  <c r="F115" i="64"/>
  <c r="F96" i="62"/>
  <c r="C105" i="63"/>
  <c r="G72" i="62"/>
  <c r="D54" i="68"/>
  <c r="H144" i="68"/>
  <c r="C183" i="68"/>
  <c r="E147" i="65"/>
  <c r="J164" i="68"/>
  <c r="G147" i="62"/>
  <c r="E117" i="61"/>
  <c r="E110" i="62"/>
  <c r="D165" i="62"/>
  <c r="E90" i="64"/>
  <c r="H155" i="63"/>
  <c r="E200" i="65"/>
  <c r="F176" i="65"/>
  <c r="D127" i="65"/>
  <c r="G147" i="65"/>
  <c r="H157" i="65"/>
  <c r="H141" i="65"/>
  <c r="E122" i="60"/>
  <c r="H110" i="61"/>
  <c r="G130" i="61"/>
  <c r="C189" i="61"/>
  <c r="J154" i="60"/>
  <c r="D195" i="62"/>
  <c r="C118" i="65"/>
  <c r="E131" i="65"/>
  <c r="F82" i="65"/>
  <c r="J195" i="68"/>
  <c r="C129" i="64"/>
  <c r="F167" i="62"/>
  <c r="D56" i="64"/>
  <c r="C120" i="62"/>
  <c r="C134" i="63"/>
  <c r="J89" i="65"/>
  <c r="J65" i="68"/>
  <c r="I73" i="68"/>
  <c r="F144" i="68"/>
  <c r="I152" i="64"/>
  <c r="F137" i="62"/>
  <c r="F135" i="63"/>
  <c r="H76" i="68"/>
  <c r="D168" i="64"/>
  <c r="F169" i="68"/>
  <c r="H127" i="65"/>
  <c r="G158" i="63"/>
  <c r="I58" i="61"/>
  <c r="H197" i="61"/>
  <c r="E52" i="64"/>
  <c r="G148" i="65"/>
  <c r="J99" i="65"/>
  <c r="H184" i="65"/>
  <c r="E94" i="65"/>
  <c r="G114" i="65"/>
  <c r="J161" i="65"/>
  <c r="J160" i="65"/>
  <c r="F89" i="68"/>
  <c r="G134" i="68"/>
  <c r="H180" i="63"/>
  <c r="C154" i="63"/>
  <c r="G63" i="64"/>
  <c r="C188" i="60"/>
  <c r="F181" i="62"/>
  <c r="F138" i="64"/>
  <c r="J171" i="64"/>
  <c r="E166" i="68"/>
  <c r="J115" i="65"/>
  <c r="D65" i="68"/>
  <c r="C99" i="62"/>
  <c r="I51" i="63"/>
  <c r="G150" i="63"/>
  <c r="H176" i="60"/>
  <c r="C165" i="65"/>
  <c r="H128" i="65"/>
  <c r="F72" i="68"/>
  <c r="D131" i="65"/>
  <c r="G116" i="65"/>
  <c r="H51" i="63"/>
  <c r="D159" i="62"/>
  <c r="F159" i="60"/>
  <c r="J158" i="60"/>
  <c r="E197" i="64"/>
  <c r="D176" i="64"/>
  <c r="J103" i="65"/>
  <c r="C97" i="65"/>
  <c r="E191" i="68"/>
  <c r="H93" i="65"/>
  <c r="I102" i="68"/>
  <c r="C149" i="60"/>
  <c r="J69" i="64"/>
  <c r="I98" i="63"/>
  <c r="I74" i="61"/>
  <c r="H152" i="61"/>
  <c r="C131" i="62"/>
  <c r="I180" i="61"/>
  <c r="C178" i="59"/>
  <c r="I159" i="53"/>
  <c r="I117" i="57"/>
  <c r="H57" i="53"/>
  <c r="E65" i="62"/>
  <c r="C113" i="60"/>
  <c r="C104" i="62"/>
  <c r="F61" i="62"/>
  <c r="H122" i="64"/>
  <c r="G109" i="64"/>
  <c r="J185" i="53"/>
  <c r="C74" i="57"/>
  <c r="F150" i="53"/>
  <c r="H158" i="60"/>
  <c r="F120" i="64"/>
  <c r="D135" i="68"/>
  <c r="E56" i="68"/>
  <c r="J92" i="68"/>
  <c r="C183" i="65"/>
  <c r="G100" i="68"/>
  <c r="H170" i="62"/>
  <c r="C174" i="61"/>
  <c r="J133" i="62"/>
  <c r="C172" i="65"/>
  <c r="F104" i="65"/>
  <c r="C175" i="65"/>
  <c r="D92" i="65"/>
  <c r="C156" i="65"/>
  <c r="I91" i="63"/>
  <c r="C125" i="60"/>
  <c r="H196" i="60"/>
  <c r="J187" i="68"/>
  <c r="H121" i="68"/>
  <c r="G118" i="68"/>
  <c r="I58" i="68"/>
  <c r="E178" i="68"/>
  <c r="G133" i="64"/>
  <c r="C154" i="62"/>
  <c r="D84" i="61"/>
  <c r="J146" i="62"/>
  <c r="E89" i="65"/>
  <c r="J120" i="65"/>
  <c r="H131" i="68"/>
  <c r="E91" i="68"/>
  <c r="F141" i="65"/>
  <c r="D155" i="68"/>
  <c r="D59" i="68"/>
  <c r="H74" i="65"/>
  <c r="E87" i="68"/>
  <c r="J179" i="62"/>
  <c r="E75" i="62"/>
  <c r="D82" i="63"/>
  <c r="C177" i="62"/>
  <c r="H173" i="68"/>
  <c r="G122" i="64"/>
  <c r="J97" i="65"/>
  <c r="C94" i="64"/>
  <c r="G108" i="64"/>
  <c r="D166" i="63"/>
  <c r="F139" i="60"/>
  <c r="J147" i="61"/>
  <c r="D53" i="64"/>
  <c r="J154" i="63"/>
  <c r="G128" i="65"/>
  <c r="D73" i="65"/>
  <c r="J86" i="65"/>
  <c r="G68" i="65"/>
  <c r="E133" i="65"/>
  <c r="C127" i="63"/>
  <c r="I97" i="64"/>
  <c r="G123" i="64"/>
  <c r="I194" i="61"/>
  <c r="I56" i="61"/>
  <c r="H162" i="68"/>
  <c r="C61" i="65"/>
  <c r="F81" i="65"/>
  <c r="E62" i="65"/>
  <c r="E119" i="65"/>
  <c r="I115" i="63"/>
  <c r="H91" i="64"/>
  <c r="F194" i="60"/>
  <c r="J177" i="60"/>
  <c r="D96" i="63"/>
  <c r="G119" i="64"/>
  <c r="I177" i="57"/>
  <c r="D70" i="60"/>
  <c r="C139" i="57"/>
  <c r="J172" i="53"/>
  <c r="C193" i="60"/>
  <c r="F72" i="64"/>
  <c r="F105" i="60"/>
  <c r="H114" i="64"/>
  <c r="J63" i="62"/>
  <c r="J133" i="61"/>
  <c r="C118" i="60"/>
  <c r="D181" i="60"/>
  <c r="I96" i="53"/>
  <c r="D56" i="53"/>
  <c r="G66" i="65"/>
  <c r="I153" i="64"/>
  <c r="F169" i="64"/>
  <c r="F133" i="68"/>
  <c r="H165" i="64"/>
  <c r="I141" i="61"/>
  <c r="J193" i="63"/>
  <c r="F145" i="62"/>
  <c r="E76" i="68"/>
  <c r="F148" i="64"/>
  <c r="H80" i="65"/>
  <c r="D157" i="68"/>
  <c r="G195" i="68"/>
  <c r="I106" i="62"/>
  <c r="J173" i="62"/>
  <c r="C169" i="65"/>
  <c r="D143" i="65"/>
  <c r="C146" i="65"/>
  <c r="G103" i="65"/>
  <c r="C153" i="65"/>
  <c r="C86" i="63"/>
  <c r="F63" i="62"/>
  <c r="G66" i="61"/>
  <c r="F81" i="63"/>
  <c r="E193" i="68"/>
  <c r="J138" i="65"/>
  <c r="I94" i="65"/>
  <c r="E117" i="65"/>
  <c r="F147" i="65"/>
  <c r="D155" i="65"/>
  <c r="H138" i="65"/>
  <c r="D126" i="65"/>
  <c r="J106" i="65"/>
  <c r="C120" i="63"/>
  <c r="E75" i="64"/>
  <c r="G124" i="60"/>
  <c r="H187" i="61"/>
  <c r="G178" i="60"/>
  <c r="D185" i="68"/>
  <c r="J127" i="65"/>
  <c r="E167" i="65"/>
  <c r="F173" i="65"/>
  <c r="C173" i="65"/>
  <c r="H146" i="63"/>
  <c r="J56" i="63"/>
  <c r="J165" i="63"/>
  <c r="J112" i="60"/>
  <c r="G65" i="65"/>
  <c r="I193" i="68"/>
  <c r="H95" i="68"/>
  <c r="H126" i="68"/>
  <c r="F107" i="68"/>
  <c r="G141" i="68"/>
  <c r="J167" i="61"/>
  <c r="E182" i="61"/>
  <c r="C132" i="62"/>
  <c r="I106" i="64"/>
  <c r="E68" i="64"/>
  <c r="H69" i="68"/>
  <c r="D187" i="68"/>
  <c r="F67" i="65"/>
  <c r="E106" i="65"/>
  <c r="C191" i="64"/>
  <c r="G167" i="64"/>
  <c r="I174" i="64"/>
  <c r="I111" i="63"/>
  <c r="J76" i="63"/>
  <c r="D147" i="63"/>
  <c r="C149" i="61"/>
  <c r="C79" i="60"/>
  <c r="F133" i="65"/>
  <c r="I122" i="64"/>
  <c r="D118" i="65"/>
  <c r="F172" i="64"/>
  <c r="F86" i="65"/>
  <c r="G196" i="61"/>
  <c r="I183" i="63"/>
  <c r="H168" i="64"/>
  <c r="G151" i="65"/>
  <c r="D76" i="65"/>
  <c r="G80" i="65"/>
  <c r="C144" i="64"/>
  <c r="D121" i="68"/>
  <c r="E199" i="61"/>
  <c r="H184" i="62"/>
  <c r="J93" i="68"/>
  <c r="E188" i="65"/>
  <c r="I167" i="68"/>
  <c r="I165" i="65"/>
  <c r="E68" i="65"/>
  <c r="C90" i="64"/>
  <c r="C123" i="60"/>
  <c r="C137" i="61"/>
  <c r="J84" i="61"/>
  <c r="H154" i="65"/>
  <c r="F185" i="65"/>
  <c r="F62" i="68"/>
  <c r="E132" i="65"/>
  <c r="D184" i="65"/>
  <c r="J107" i="65"/>
  <c r="J121" i="65"/>
  <c r="J103" i="68"/>
  <c r="J82" i="68"/>
  <c r="G113" i="64"/>
  <c r="C156" i="68"/>
  <c r="I187" i="62"/>
  <c r="H84" i="61"/>
  <c r="I162" i="61"/>
  <c r="H65" i="68"/>
  <c r="J155" i="68"/>
  <c r="C141" i="68"/>
  <c r="D193" i="65"/>
  <c r="J59" i="68"/>
  <c r="I194" i="64"/>
  <c r="I94" i="63"/>
  <c r="E62" i="64"/>
  <c r="E112" i="60"/>
  <c r="J185" i="65"/>
  <c r="F158" i="65"/>
  <c r="E70" i="68"/>
  <c r="F148" i="68"/>
  <c r="D174" i="64"/>
  <c r="I108" i="64"/>
  <c r="I63" i="61"/>
  <c r="I90" i="61"/>
  <c r="I79" i="61"/>
  <c r="J103" i="63"/>
  <c r="C74" i="63"/>
  <c r="H74" i="68"/>
  <c r="E68" i="68"/>
  <c r="G86" i="68"/>
  <c r="I126" i="68"/>
  <c r="E140" i="65"/>
  <c r="F128" i="60"/>
  <c r="D146" i="63"/>
  <c r="J150" i="63"/>
  <c r="I124" i="63"/>
  <c r="F62" i="64"/>
  <c r="J155" i="60"/>
  <c r="J116" i="62"/>
  <c r="F108" i="59"/>
  <c r="F124" i="59"/>
  <c r="G156" i="53"/>
  <c r="F123" i="57"/>
  <c r="J96" i="64"/>
  <c r="E53" i="61"/>
  <c r="I51" i="62"/>
  <c r="C182" i="62"/>
  <c r="I145" i="63"/>
  <c r="E200" i="63"/>
  <c r="H173" i="57"/>
  <c r="E170" i="59"/>
  <c r="D198" i="59"/>
  <c r="G179" i="64"/>
  <c r="G172" i="68"/>
  <c r="D118" i="68"/>
  <c r="E165" i="65"/>
  <c r="J160" i="68"/>
  <c r="E112" i="61"/>
  <c r="E63" i="64"/>
  <c r="G131" i="65"/>
  <c r="G152" i="68"/>
  <c r="J62" i="65"/>
  <c r="F175" i="65"/>
  <c r="G115" i="65"/>
  <c r="D147" i="68"/>
  <c r="I62" i="61"/>
  <c r="I71" i="63"/>
  <c r="E141" i="65"/>
  <c r="D69" i="68"/>
  <c r="E92" i="65"/>
  <c r="H144" i="65"/>
  <c r="H94" i="68"/>
  <c r="G160" i="64"/>
  <c r="D144" i="61"/>
  <c r="C168" i="61"/>
  <c r="C142" i="62"/>
  <c r="G71" i="65"/>
  <c r="H68" i="65"/>
  <c r="J173" i="65"/>
  <c r="D155" i="64"/>
  <c r="D53" i="65"/>
  <c r="H57" i="65"/>
  <c r="H118" i="65"/>
  <c r="J56" i="68"/>
  <c r="H167" i="68"/>
  <c r="F185" i="63"/>
  <c r="H52" i="61"/>
  <c r="G120" i="61"/>
  <c r="D123" i="61"/>
  <c r="I57" i="63"/>
  <c r="D117" i="68"/>
  <c r="D81" i="68"/>
  <c r="D68" i="68"/>
  <c r="I149" i="68"/>
  <c r="G77" i="68"/>
  <c r="C120" i="64"/>
  <c r="G179" i="62"/>
  <c r="I122" i="62"/>
  <c r="C138" i="62"/>
  <c r="J174" i="65"/>
  <c r="D153" i="68"/>
  <c r="C81" i="68"/>
  <c r="G92" i="68"/>
  <c r="J184" i="65"/>
  <c r="H111" i="68"/>
  <c r="E76" i="62"/>
  <c r="D85" i="62"/>
  <c r="F127" i="63"/>
  <c r="G188" i="64"/>
  <c r="G143" i="61"/>
  <c r="H148" i="65"/>
  <c r="D168" i="65"/>
  <c r="I200" i="65"/>
  <c r="E162" i="65"/>
  <c r="F130" i="65"/>
  <c r="H75" i="63"/>
  <c r="C130" i="63"/>
  <c r="F115" i="60"/>
  <c r="D179" i="61"/>
  <c r="C183" i="63"/>
  <c r="C55" i="64"/>
  <c r="G56" i="63"/>
  <c r="C145" i="53"/>
  <c r="C161" i="53"/>
  <c r="J161" i="57"/>
  <c r="G133" i="57"/>
  <c r="G61" i="62"/>
  <c r="J85" i="63"/>
  <c r="J173" i="64"/>
  <c r="C72" i="64"/>
  <c r="C102" i="60"/>
  <c r="C182" i="68"/>
  <c r="E157" i="65"/>
  <c r="I102" i="65"/>
  <c r="I114" i="65"/>
  <c r="H103" i="65"/>
  <c r="G166" i="62"/>
  <c r="J108" i="63"/>
  <c r="H60" i="64"/>
  <c r="D124" i="65"/>
  <c r="F52" i="65"/>
  <c r="J198" i="64"/>
  <c r="E138" i="64"/>
  <c r="D142" i="68"/>
  <c r="I178" i="63"/>
  <c r="F180" i="63"/>
  <c r="G119" i="60"/>
  <c r="C68" i="68"/>
  <c r="J131" i="65"/>
  <c r="J115" i="68"/>
  <c r="G52" i="68"/>
  <c r="G196" i="68"/>
  <c r="G162" i="62"/>
  <c r="F130" i="60"/>
  <c r="C106" i="63"/>
  <c r="J185" i="68"/>
  <c r="H68" i="68"/>
  <c r="H93" i="68"/>
  <c r="H108" i="65"/>
  <c r="J79" i="65"/>
  <c r="I118" i="65"/>
  <c r="E185" i="65"/>
  <c r="C104" i="65"/>
  <c r="I166" i="65"/>
  <c r="G200" i="62"/>
  <c r="J105" i="64"/>
  <c r="E135" i="60"/>
  <c r="D170" i="61"/>
  <c r="E140" i="62"/>
  <c r="C178" i="68"/>
  <c r="H66" i="68"/>
  <c r="H126" i="62"/>
  <c r="H148" i="68"/>
  <c r="F166" i="68"/>
  <c r="G88" i="63"/>
  <c r="G82" i="63"/>
  <c r="G149" i="63"/>
  <c r="D123" i="60"/>
  <c r="J139" i="65"/>
  <c r="J88" i="68"/>
  <c r="F122" i="68"/>
  <c r="I108" i="68"/>
  <c r="E97" i="68"/>
  <c r="J140" i="64"/>
  <c r="E115" i="62"/>
  <c r="G75" i="62"/>
  <c r="G110" i="62"/>
  <c r="F174" i="63"/>
  <c r="F149" i="63"/>
  <c r="G74" i="68"/>
  <c r="I154" i="68"/>
  <c r="F110" i="68"/>
  <c r="H110" i="68"/>
  <c r="G161" i="68"/>
  <c r="F90" i="68"/>
  <c r="I166" i="61"/>
  <c r="C161" i="60"/>
  <c r="D146" i="61"/>
  <c r="D126" i="61"/>
  <c r="J157" i="62"/>
  <c r="E189" i="62"/>
  <c r="F200" i="59"/>
  <c r="G124" i="57"/>
  <c r="G187" i="57"/>
  <c r="F57" i="57"/>
  <c r="G118" i="64"/>
  <c r="J193" i="64"/>
  <c r="I117" i="68"/>
  <c r="C69" i="68"/>
  <c r="G103" i="64"/>
  <c r="E158" i="68"/>
  <c r="E65" i="65"/>
  <c r="D99" i="64"/>
  <c r="G173" i="63"/>
  <c r="C120" i="60"/>
  <c r="I95" i="68"/>
  <c r="F142" i="68"/>
  <c r="H60" i="68"/>
  <c r="J124" i="65"/>
  <c r="D181" i="68"/>
  <c r="C155" i="68"/>
  <c r="C165" i="68"/>
  <c r="J87" i="68"/>
  <c r="D175" i="68"/>
  <c r="J185" i="64"/>
  <c r="G169" i="61"/>
  <c r="D200" i="61"/>
  <c r="D113" i="65"/>
  <c r="I78" i="62"/>
  <c r="G177" i="57"/>
  <c r="J190" i="68"/>
  <c r="G165" i="64"/>
  <c r="D103" i="64"/>
  <c r="E162" i="64"/>
  <c r="F155" i="61"/>
  <c r="F187" i="64"/>
  <c r="C179" i="68"/>
  <c r="I157" i="68"/>
  <c r="I180" i="68"/>
  <c r="G96" i="68"/>
  <c r="H110" i="64"/>
  <c r="I139" i="64"/>
  <c r="F171" i="62"/>
  <c r="F89" i="62"/>
  <c r="J72" i="65"/>
  <c r="C86" i="65"/>
  <c r="C197" i="68"/>
  <c r="H135" i="64"/>
  <c r="I170" i="68"/>
  <c r="H161" i="65"/>
  <c r="H175" i="64"/>
  <c r="D108" i="65"/>
  <c r="H103" i="63"/>
  <c r="G83" i="64"/>
  <c r="J179" i="60"/>
  <c r="G156" i="61"/>
  <c r="G149" i="60"/>
  <c r="F57" i="68"/>
  <c r="H164" i="65"/>
  <c r="J126" i="65"/>
  <c r="I158" i="65"/>
  <c r="D144" i="65"/>
  <c r="I127" i="63"/>
  <c r="H128" i="63"/>
  <c r="E84" i="64"/>
  <c r="D176" i="60"/>
  <c r="H91" i="65"/>
  <c r="F140" i="65"/>
  <c r="I147" i="65"/>
  <c r="D55" i="65"/>
  <c r="C71" i="65"/>
  <c r="J77" i="64"/>
  <c r="J128" i="60"/>
  <c r="D156" i="60"/>
  <c r="I111" i="61"/>
  <c r="I55" i="63"/>
  <c r="F192" i="62"/>
  <c r="E108" i="68"/>
  <c r="J156" i="64"/>
  <c r="E174" i="64"/>
  <c r="H182" i="64"/>
  <c r="H197" i="68"/>
  <c r="E134" i="68"/>
  <c r="I128" i="62"/>
  <c r="H87" i="62"/>
  <c r="E167" i="60"/>
  <c r="F160" i="60"/>
  <c r="F91" i="61"/>
  <c r="G78" i="64"/>
  <c r="F113" i="64"/>
  <c r="E125" i="64"/>
  <c r="I167" i="65"/>
  <c r="I159" i="65"/>
  <c r="G181" i="65"/>
  <c r="I186" i="63"/>
  <c r="G100" i="64"/>
  <c r="D148" i="62"/>
  <c r="J140" i="68"/>
  <c r="F143" i="68"/>
  <c r="G117" i="65"/>
  <c r="I113" i="65"/>
  <c r="D99" i="65"/>
  <c r="I198" i="62"/>
  <c r="J92" i="64"/>
  <c r="J161" i="68"/>
  <c r="C74" i="65"/>
  <c r="E138" i="68"/>
  <c r="H94" i="64"/>
  <c r="F188" i="68"/>
  <c r="F76" i="63"/>
  <c r="G97" i="62"/>
  <c r="C156" i="62"/>
  <c r="H198" i="60"/>
  <c r="C134" i="68"/>
  <c r="H115" i="68"/>
  <c r="E148" i="64"/>
  <c r="C124" i="68"/>
  <c r="I187" i="68"/>
  <c r="H90" i="68"/>
  <c r="J145" i="64"/>
  <c r="E114" i="65"/>
  <c r="H132" i="65"/>
  <c r="C70" i="64"/>
  <c r="C192" i="64"/>
  <c r="C194" i="62"/>
  <c r="G123" i="61"/>
  <c r="E179" i="61"/>
  <c r="I70" i="68"/>
  <c r="I101" i="68"/>
  <c r="H142" i="65"/>
  <c r="H84" i="68"/>
  <c r="D120" i="64"/>
  <c r="I191" i="61"/>
  <c r="D101" i="64"/>
  <c r="J187" i="64"/>
  <c r="I156" i="63"/>
  <c r="I188" i="68"/>
  <c r="D114" i="68"/>
  <c r="F139" i="64"/>
  <c r="D195" i="68"/>
  <c r="D184" i="68"/>
  <c r="C121" i="64"/>
  <c r="D171" i="64"/>
  <c r="I112" i="62"/>
  <c r="J60" i="62"/>
  <c r="G158" i="61"/>
  <c r="F152" i="65"/>
  <c r="G166" i="68"/>
  <c r="C51" i="65"/>
  <c r="G77" i="65"/>
  <c r="D179" i="68"/>
  <c r="H117" i="65"/>
  <c r="I189" i="60"/>
  <c r="H56" i="62"/>
  <c r="F131" i="63"/>
  <c r="H199" i="62"/>
  <c r="C197" i="63"/>
  <c r="H144" i="60"/>
  <c r="D69" i="60"/>
  <c r="H130" i="61"/>
  <c r="H158" i="53"/>
  <c r="C77" i="59"/>
  <c r="E175" i="57"/>
  <c r="F145" i="64"/>
  <c r="J169" i="60"/>
  <c r="E173" i="61"/>
  <c r="C168" i="63"/>
  <c r="D148" i="64"/>
  <c r="G147" i="63"/>
  <c r="I94" i="53"/>
  <c r="I85" i="60"/>
  <c r="J195" i="57"/>
  <c r="H84" i="57"/>
  <c r="C105" i="64"/>
  <c r="I137" i="65"/>
  <c r="C80" i="65"/>
  <c r="E84" i="65"/>
  <c r="C56" i="65"/>
  <c r="I121" i="65"/>
  <c r="G180" i="63"/>
  <c r="J157" i="63"/>
  <c r="I131" i="60"/>
  <c r="E123" i="68"/>
  <c r="H106" i="68"/>
  <c r="F154" i="64"/>
  <c r="G66" i="68"/>
  <c r="D111" i="68"/>
  <c r="F119" i="64"/>
  <c r="H105" i="61"/>
  <c r="C136" i="61"/>
  <c r="E190" i="65"/>
  <c r="F139" i="65"/>
  <c r="D117" i="65"/>
  <c r="H121" i="65"/>
  <c r="C137" i="65"/>
  <c r="C122" i="63"/>
  <c r="G84" i="64"/>
  <c r="C165" i="63"/>
  <c r="C167" i="61"/>
  <c r="J175" i="68"/>
  <c r="G154" i="68"/>
  <c r="I82" i="65"/>
  <c r="D156" i="65"/>
  <c r="J119" i="68"/>
  <c r="H54" i="65"/>
  <c r="E55" i="68"/>
  <c r="E142" i="68"/>
  <c r="C93" i="64"/>
  <c r="D193" i="60"/>
  <c r="J94" i="61"/>
  <c r="G90" i="61"/>
  <c r="C79" i="63"/>
  <c r="F163" i="68"/>
  <c r="F191" i="65"/>
  <c r="C83" i="68"/>
  <c r="C195" i="65"/>
  <c r="E131" i="68"/>
  <c r="D146" i="62"/>
  <c r="E121" i="62"/>
  <c r="J180" i="62"/>
  <c r="G121" i="60"/>
  <c r="I84" i="65"/>
  <c r="G126" i="68"/>
  <c r="C167" i="65"/>
  <c r="G191" i="68"/>
  <c r="G165" i="65"/>
  <c r="J132" i="68"/>
  <c r="D126" i="62"/>
  <c r="F182" i="62"/>
  <c r="H123" i="63"/>
  <c r="J122" i="62"/>
  <c r="I93" i="61"/>
  <c r="J84" i="65"/>
  <c r="J179" i="68"/>
  <c r="D198" i="64"/>
  <c r="G89" i="68"/>
  <c r="C116" i="68"/>
  <c r="E147" i="64"/>
  <c r="G72" i="63"/>
  <c r="J143" i="60"/>
  <c r="C72" i="62"/>
  <c r="F185" i="61"/>
  <c r="C144" i="63"/>
  <c r="C128" i="63"/>
  <c r="C53" i="57"/>
  <c r="E103" i="53"/>
  <c r="D160" i="57"/>
  <c r="C187" i="57"/>
  <c r="D199" i="61"/>
  <c r="C73" i="64"/>
  <c r="G75" i="64"/>
  <c r="D195" i="63"/>
  <c r="H163" i="62"/>
  <c r="H133" i="61"/>
  <c r="I147" i="60"/>
  <c r="C108" i="53"/>
  <c r="D125" i="53"/>
  <c r="G137" i="68"/>
  <c r="C90" i="65"/>
  <c r="J195" i="65"/>
  <c r="D100" i="65"/>
  <c r="G175" i="65"/>
  <c r="C154" i="60"/>
  <c r="F137" i="63"/>
  <c r="H135" i="68"/>
  <c r="F103" i="65"/>
  <c r="C123" i="68"/>
  <c r="C99" i="68"/>
  <c r="C157" i="65"/>
  <c r="I70" i="64"/>
  <c r="G128" i="61"/>
  <c r="G119" i="61"/>
  <c r="G193" i="68"/>
  <c r="J176" i="68"/>
  <c r="E106" i="68"/>
  <c r="E122" i="68"/>
  <c r="C74" i="68"/>
  <c r="I100" i="64"/>
  <c r="D96" i="61"/>
  <c r="H90" i="61"/>
  <c r="I168" i="61"/>
  <c r="D107" i="65"/>
  <c r="C78" i="68"/>
  <c r="C114" i="68"/>
  <c r="H58" i="68"/>
  <c r="D133" i="68"/>
  <c r="F124" i="68"/>
  <c r="D72" i="68"/>
  <c r="D77" i="68"/>
  <c r="G82" i="68"/>
  <c r="I168" i="64"/>
  <c r="E161" i="62"/>
  <c r="F55" i="63"/>
  <c r="E137" i="62"/>
  <c r="G115" i="61"/>
  <c r="I156" i="65"/>
  <c r="H88" i="68"/>
  <c r="J166" i="68"/>
  <c r="F126" i="68"/>
  <c r="G197" i="68"/>
  <c r="D188" i="61"/>
  <c r="H125" i="64"/>
  <c r="J193" i="62"/>
  <c r="F146" i="61"/>
  <c r="I148" i="68"/>
  <c r="C129" i="65"/>
  <c r="G95" i="65"/>
  <c r="C91" i="65"/>
  <c r="H143" i="65"/>
  <c r="J106" i="63"/>
  <c r="D71" i="64"/>
  <c r="H126" i="60"/>
  <c r="G193" i="61"/>
  <c r="F179" i="60"/>
  <c r="E186" i="68"/>
  <c r="D79" i="65"/>
  <c r="E174" i="65"/>
  <c r="G171" i="64"/>
  <c r="H187" i="68"/>
  <c r="H176" i="63"/>
  <c r="H179" i="62"/>
  <c r="J69" i="62"/>
  <c r="J97" i="64"/>
  <c r="E152" i="63"/>
  <c r="E114" i="63"/>
  <c r="C125" i="63"/>
  <c r="F142" i="65"/>
  <c r="F103" i="68"/>
  <c r="J187" i="65"/>
  <c r="D164" i="68"/>
  <c r="F119" i="65"/>
  <c r="C175" i="68"/>
  <c r="I165" i="62"/>
  <c r="J141" i="64"/>
  <c r="I127" i="64"/>
  <c r="F105" i="64"/>
  <c r="I143" i="68"/>
  <c r="E132" i="68"/>
  <c r="F65" i="65"/>
  <c r="I148" i="63"/>
  <c r="H143" i="60"/>
  <c r="J166" i="60"/>
  <c r="H59" i="65"/>
  <c r="I56" i="65"/>
  <c r="D89" i="65"/>
  <c r="G158" i="68"/>
  <c r="H123" i="68"/>
  <c r="E184" i="62"/>
  <c r="F102" i="63"/>
  <c r="F97" i="62"/>
  <c r="F177" i="60"/>
  <c r="F179" i="64"/>
  <c r="J123" i="64"/>
  <c r="D60" i="68"/>
  <c r="C198" i="68"/>
  <c r="D143" i="64"/>
  <c r="C151" i="64"/>
  <c r="F193" i="68"/>
  <c r="D52" i="65"/>
  <c r="J178" i="65"/>
  <c r="D164" i="62"/>
  <c r="H116" i="63"/>
  <c r="G62" i="64"/>
  <c r="G108" i="60"/>
  <c r="I155" i="62"/>
  <c r="F102" i="65"/>
  <c r="F182" i="68"/>
  <c r="J65" i="65"/>
  <c r="C188" i="64"/>
  <c r="F73" i="65"/>
  <c r="J104" i="61"/>
  <c r="J182" i="63"/>
  <c r="D177" i="64"/>
  <c r="J108" i="64"/>
  <c r="C158" i="64"/>
  <c r="I170" i="64"/>
  <c r="G52" i="65"/>
  <c r="I141" i="65"/>
  <c r="I190" i="65"/>
  <c r="H145" i="63"/>
  <c r="G60" i="63"/>
  <c r="J177" i="62"/>
  <c r="G65" i="61"/>
  <c r="H101" i="62"/>
  <c r="C172" i="64"/>
  <c r="J193" i="65"/>
  <c r="J71" i="65"/>
  <c r="H123" i="65"/>
  <c r="H188" i="64"/>
  <c r="C130" i="68"/>
  <c r="I158" i="63"/>
  <c r="J131" i="63"/>
  <c r="J161" i="63"/>
  <c r="G120" i="64"/>
  <c r="D162" i="62"/>
  <c r="D91" i="61"/>
  <c r="G112" i="53"/>
  <c r="G122" i="62"/>
  <c r="C131" i="59"/>
  <c r="F166" i="59"/>
  <c r="I64" i="59"/>
  <c r="D91" i="62"/>
  <c r="G159" i="61"/>
  <c r="J113" i="61"/>
  <c r="G179" i="61"/>
  <c r="D142" i="62"/>
  <c r="H68" i="62"/>
  <c r="I75" i="53"/>
  <c r="I96" i="60"/>
  <c r="I167" i="53"/>
  <c r="C73" i="68"/>
  <c r="D132" i="65"/>
  <c r="E193" i="65"/>
  <c r="J76" i="65"/>
  <c r="D150" i="65"/>
  <c r="J103" i="60"/>
  <c r="D143" i="60"/>
  <c r="H193" i="68"/>
  <c r="D57" i="65"/>
  <c r="C108" i="68"/>
  <c r="E118" i="64"/>
  <c r="H91" i="68"/>
  <c r="C57" i="65"/>
  <c r="E115" i="61"/>
  <c r="J115" i="61"/>
  <c r="D96" i="68"/>
  <c r="J198" i="68"/>
  <c r="G81" i="68"/>
  <c r="D87" i="65"/>
  <c r="D109" i="65"/>
  <c r="H90" i="63"/>
  <c r="J124" i="60"/>
  <c r="H160" i="60"/>
  <c r="H139" i="61"/>
  <c r="I155" i="68"/>
  <c r="E93" i="68"/>
  <c r="H176" i="68"/>
  <c r="E174" i="68"/>
  <c r="F78" i="68"/>
  <c r="J98" i="68"/>
  <c r="F56" i="68"/>
  <c r="G177" i="68"/>
  <c r="I81" i="68"/>
  <c r="G127" i="62"/>
  <c r="D133" i="63"/>
  <c r="H154" i="62"/>
  <c r="D64" i="61"/>
  <c r="E169" i="61"/>
  <c r="E110" i="65"/>
  <c r="J100" i="65"/>
  <c r="D84" i="65"/>
  <c r="H88" i="65"/>
  <c r="G123" i="65"/>
  <c r="D182" i="63"/>
  <c r="I82" i="64"/>
  <c r="D115" i="60"/>
  <c r="E92" i="61"/>
  <c r="I151" i="64"/>
  <c r="J52" i="64"/>
  <c r="F118" i="65"/>
  <c r="C182" i="63"/>
  <c r="D167" i="64"/>
  <c r="F59" i="64"/>
  <c r="F53" i="61"/>
  <c r="G80" i="61"/>
  <c r="H117" i="64"/>
  <c r="E82" i="63"/>
  <c r="C70" i="63"/>
  <c r="E175" i="68"/>
  <c r="C174" i="68"/>
  <c r="I74" i="68"/>
  <c r="I84" i="68"/>
  <c r="H180" i="68"/>
  <c r="C116" i="64"/>
  <c r="D101" i="63"/>
  <c r="F113" i="60"/>
  <c r="H172" i="60"/>
  <c r="H171" i="60"/>
  <c r="H55" i="62"/>
  <c r="I120" i="64"/>
  <c r="C134" i="57"/>
  <c r="G178" i="57"/>
  <c r="E122" i="57"/>
  <c r="I68" i="59"/>
  <c r="C151" i="60"/>
  <c r="D83" i="64"/>
  <c r="F128" i="62"/>
  <c r="E64" i="62"/>
  <c r="F182" i="63"/>
  <c r="J172" i="65"/>
  <c r="D200" i="64"/>
  <c r="F109" i="64"/>
  <c r="G138" i="64"/>
  <c r="J144" i="64"/>
  <c r="C145" i="63"/>
  <c r="G194" i="63"/>
  <c r="J154" i="62"/>
  <c r="D154" i="68"/>
  <c r="J105" i="68"/>
  <c r="E109" i="68"/>
  <c r="F59" i="68"/>
  <c r="G159" i="68"/>
  <c r="H181" i="68"/>
  <c r="E64" i="63"/>
  <c r="I75" i="63"/>
  <c r="J157" i="65"/>
  <c r="D102" i="68"/>
  <c r="G121" i="65"/>
  <c r="J148" i="65"/>
  <c r="J181" i="63"/>
  <c r="G183" i="61"/>
  <c r="G84" i="61"/>
  <c r="C81" i="61"/>
  <c r="F131" i="65"/>
  <c r="D173" i="65"/>
  <c r="I164" i="65"/>
  <c r="J95" i="68"/>
  <c r="F102" i="68"/>
  <c r="F190" i="68"/>
  <c r="F180" i="68"/>
  <c r="J133" i="68"/>
  <c r="C161" i="68"/>
  <c r="G112" i="64"/>
  <c r="I97" i="62"/>
  <c r="H101" i="61"/>
  <c r="C163" i="62"/>
  <c r="H93" i="61"/>
  <c r="G159" i="65"/>
  <c r="F159" i="65"/>
  <c r="G88" i="65"/>
  <c r="G96" i="65"/>
  <c r="G145" i="65"/>
  <c r="E69" i="64"/>
  <c r="G126" i="64"/>
  <c r="E130" i="62"/>
  <c r="J56" i="62"/>
  <c r="G199" i="68"/>
  <c r="G75" i="65"/>
  <c r="F194" i="65"/>
  <c r="D138" i="65"/>
  <c r="E142" i="65"/>
  <c r="G140" i="63"/>
  <c r="E87" i="64"/>
  <c r="G130" i="60"/>
  <c r="D188" i="60"/>
  <c r="I157" i="62"/>
  <c r="C175" i="64"/>
  <c r="D147" i="65"/>
  <c r="F188" i="64"/>
  <c r="I103" i="65"/>
  <c r="D146" i="64"/>
  <c r="E51" i="65"/>
  <c r="E197" i="63"/>
  <c r="J75" i="61"/>
  <c r="F116" i="64"/>
  <c r="H177" i="62"/>
  <c r="C179" i="62"/>
  <c r="H155" i="61"/>
  <c r="F176" i="61"/>
  <c r="E67" i="59"/>
  <c r="D110" i="59"/>
  <c r="E69" i="53"/>
  <c r="C133" i="57"/>
  <c r="G92" i="61"/>
  <c r="H86" i="62"/>
  <c r="F166" i="64"/>
  <c r="D102" i="65"/>
  <c r="F51" i="68"/>
  <c r="I59" i="68"/>
  <c r="E125" i="68"/>
  <c r="G167" i="68"/>
  <c r="E57" i="63"/>
  <c r="F94" i="63"/>
  <c r="F150" i="65"/>
  <c r="G164" i="65"/>
  <c r="F120" i="65"/>
  <c r="J77" i="68"/>
  <c r="E114" i="68"/>
  <c r="H158" i="63"/>
  <c r="J200" i="64"/>
  <c r="I198" i="65"/>
  <c r="F128" i="68"/>
  <c r="C158" i="68"/>
  <c r="F58" i="68"/>
  <c r="I182" i="65"/>
  <c r="C149" i="65"/>
  <c r="D55" i="61"/>
  <c r="F54" i="63"/>
  <c r="I174" i="63"/>
  <c r="D199" i="65"/>
  <c r="C139" i="68"/>
  <c r="F59" i="65"/>
  <c r="H83" i="68"/>
  <c r="H184" i="68"/>
  <c r="J75" i="68"/>
  <c r="D56" i="65"/>
  <c r="H174" i="65"/>
  <c r="F134" i="65"/>
  <c r="F90" i="63"/>
  <c r="H143" i="63"/>
  <c r="D127" i="62"/>
  <c r="I185" i="60"/>
  <c r="F151" i="62"/>
  <c r="G136" i="64"/>
  <c r="G74" i="65"/>
  <c r="D158" i="64"/>
  <c r="I181" i="64"/>
  <c r="E190" i="68"/>
  <c r="F192" i="63"/>
  <c r="C173" i="63"/>
  <c r="F175" i="61"/>
  <c r="D83" i="62"/>
  <c r="C55" i="68"/>
  <c r="I52" i="65"/>
  <c r="I156" i="68"/>
  <c r="G92" i="65"/>
  <c r="H122" i="68"/>
  <c r="H86" i="65"/>
  <c r="J110" i="62"/>
  <c r="I86" i="61"/>
  <c r="I184" i="63"/>
  <c r="E157" i="63"/>
  <c r="E116" i="63"/>
  <c r="F55" i="68"/>
  <c r="G131" i="68"/>
  <c r="G132" i="68"/>
  <c r="G147" i="68"/>
  <c r="E179" i="68"/>
  <c r="F143" i="64"/>
  <c r="J171" i="63"/>
  <c r="E99" i="62"/>
  <c r="H142" i="60"/>
  <c r="F70" i="63"/>
  <c r="D87" i="64"/>
  <c r="E62" i="62"/>
  <c r="E125" i="57"/>
  <c r="C99" i="57"/>
  <c r="E170" i="61"/>
  <c r="C182" i="60"/>
  <c r="J182" i="61"/>
  <c r="G124" i="63"/>
  <c r="G159" i="59"/>
  <c r="C78" i="60"/>
  <c r="E128" i="57"/>
  <c r="J63" i="64"/>
  <c r="I167" i="64"/>
  <c r="G104" i="63"/>
  <c r="F95" i="63"/>
  <c r="F159" i="64"/>
  <c r="D155" i="62"/>
  <c r="J176" i="57"/>
  <c r="C64" i="60"/>
  <c r="D137" i="62"/>
  <c r="D94" i="62"/>
  <c r="G80" i="62"/>
  <c r="C85" i="63"/>
  <c r="C90" i="63"/>
  <c r="F100" i="64"/>
  <c r="J60" i="61"/>
  <c r="I158" i="57"/>
  <c r="I149" i="62"/>
  <c r="I90" i="53"/>
  <c r="D117" i="53"/>
  <c r="C122" i="62"/>
  <c r="J118" i="60"/>
  <c r="F161" i="60"/>
  <c r="F162" i="60"/>
  <c r="J93" i="61"/>
  <c r="F57" i="64"/>
  <c r="C175" i="53"/>
  <c r="D148" i="57"/>
  <c r="J131" i="53"/>
  <c r="D178" i="64"/>
  <c r="J169" i="68"/>
  <c r="E96" i="64"/>
  <c r="C101" i="63"/>
  <c r="H182" i="68"/>
  <c r="E88" i="60"/>
  <c r="H88" i="61"/>
  <c r="C85" i="65"/>
  <c r="D183" i="68"/>
  <c r="C148" i="65"/>
  <c r="J122" i="68"/>
  <c r="F94" i="62"/>
  <c r="H171" i="65"/>
  <c r="G126" i="62"/>
  <c r="J143" i="64"/>
  <c r="G157" i="60"/>
  <c r="G164" i="61"/>
  <c r="D199" i="68"/>
  <c r="E128" i="65"/>
  <c r="G193" i="65"/>
  <c r="I66" i="68"/>
  <c r="J114" i="63"/>
  <c r="G124" i="62"/>
  <c r="C143" i="65"/>
  <c r="I155" i="64"/>
  <c r="I124" i="64"/>
  <c r="I93" i="62"/>
  <c r="I101" i="63"/>
  <c r="D186" i="61"/>
  <c r="I161" i="68"/>
  <c r="I198" i="60"/>
  <c r="F200" i="64"/>
  <c r="I183" i="64"/>
  <c r="D181" i="62"/>
  <c r="H181" i="62"/>
  <c r="F175" i="68"/>
  <c r="F189" i="64"/>
  <c r="G113" i="65"/>
  <c r="C127" i="60"/>
  <c r="H107" i="63"/>
  <c r="E149" i="68"/>
  <c r="E81" i="61"/>
  <c r="C134" i="64"/>
  <c r="G129" i="64"/>
  <c r="D143" i="59"/>
  <c r="J144" i="60"/>
  <c r="G132" i="57"/>
  <c r="E72" i="63"/>
  <c r="F178" i="63"/>
  <c r="E190" i="62"/>
  <c r="F192" i="60"/>
  <c r="E113" i="59"/>
  <c r="H161" i="63"/>
  <c r="C150" i="64"/>
  <c r="E152" i="60"/>
  <c r="C193" i="61"/>
  <c r="D161" i="60"/>
  <c r="I110" i="62"/>
  <c r="D52" i="59"/>
  <c r="D137" i="59"/>
  <c r="J139" i="57"/>
  <c r="D161" i="64"/>
  <c r="G137" i="60"/>
  <c r="I186" i="57"/>
  <c r="I181" i="59"/>
  <c r="J159" i="57"/>
  <c r="E66" i="61"/>
  <c r="I172" i="59"/>
  <c r="G151" i="60"/>
  <c r="J59" i="57"/>
  <c r="F133" i="57"/>
  <c r="I187" i="59"/>
  <c r="G186" i="59"/>
  <c r="H123" i="61"/>
  <c r="J143" i="61"/>
  <c r="E72" i="61"/>
  <c r="C75" i="61"/>
  <c r="H52" i="60"/>
  <c r="F51" i="53"/>
  <c r="I54" i="60"/>
  <c r="F144" i="62"/>
  <c r="D77" i="63"/>
  <c r="C122" i="60"/>
  <c r="F65" i="64"/>
  <c r="F171" i="53"/>
  <c r="C199" i="57"/>
  <c r="F154" i="57"/>
  <c r="H162" i="64"/>
  <c r="D157" i="61"/>
  <c r="E109" i="61"/>
  <c r="I69" i="64"/>
  <c r="C94" i="63"/>
  <c r="F59" i="63"/>
  <c r="G100" i="53"/>
  <c r="C164" i="60"/>
  <c r="H51" i="60"/>
  <c r="C53" i="63"/>
  <c r="G54" i="63"/>
  <c r="J91" i="63"/>
  <c r="E73" i="63"/>
  <c r="F153" i="53"/>
  <c r="I185" i="61"/>
  <c r="G95" i="60"/>
  <c r="J149" i="57"/>
  <c r="D164" i="61"/>
  <c r="E149" i="65"/>
  <c r="I82" i="61"/>
  <c r="E165" i="60"/>
  <c r="J170" i="60"/>
  <c r="H146" i="61"/>
  <c r="D117" i="62"/>
  <c r="I184" i="64"/>
  <c r="G189" i="59"/>
  <c r="C127" i="57"/>
  <c r="G145" i="57"/>
  <c r="I100" i="62"/>
  <c r="E98" i="63"/>
  <c r="F165" i="63"/>
  <c r="F162" i="63"/>
  <c r="G118" i="63"/>
  <c r="J53" i="63"/>
  <c r="D184" i="53"/>
  <c r="I63" i="59"/>
  <c r="J164" i="61"/>
  <c r="H171" i="63"/>
  <c r="J92" i="61"/>
  <c r="I161" i="61"/>
  <c r="I96" i="64"/>
  <c r="H73" i="63"/>
  <c r="H72" i="63"/>
  <c r="C143" i="57"/>
  <c r="D173" i="59"/>
  <c r="G155" i="60"/>
  <c r="D131" i="57"/>
  <c r="C169" i="68"/>
  <c r="F104" i="61"/>
  <c r="G100" i="57"/>
  <c r="E78" i="60"/>
  <c r="E165" i="57"/>
  <c r="C130" i="59"/>
  <c r="I193" i="53"/>
  <c r="D175" i="59"/>
  <c r="D121" i="63"/>
  <c r="J121" i="59"/>
  <c r="C111" i="61"/>
  <c r="I180" i="59"/>
  <c r="C104" i="59"/>
  <c r="F151" i="53"/>
  <c r="I78" i="53"/>
  <c r="F179" i="53"/>
  <c r="G110" i="57"/>
  <c r="D94" i="57"/>
  <c r="F126" i="57"/>
  <c r="C97" i="60"/>
  <c r="H185" i="53"/>
  <c r="G110" i="64"/>
  <c r="G115" i="59"/>
  <c r="F157" i="60"/>
  <c r="J76" i="59"/>
  <c r="H149" i="59"/>
  <c r="G61" i="59"/>
  <c r="C60" i="57"/>
  <c r="J178" i="61"/>
  <c r="G52" i="60"/>
  <c r="G159" i="57"/>
  <c r="F185" i="57"/>
  <c r="E173" i="59"/>
  <c r="D68" i="53"/>
  <c r="C56" i="61"/>
  <c r="J107" i="60"/>
  <c r="F140" i="61"/>
  <c r="C66" i="57"/>
  <c r="H72" i="59"/>
  <c r="D125" i="59"/>
  <c r="D183" i="65"/>
  <c r="D116" i="62"/>
  <c r="G126" i="61"/>
  <c r="G155" i="62"/>
  <c r="H148" i="62"/>
  <c r="G156" i="60"/>
  <c r="D136" i="63"/>
  <c r="C150" i="59"/>
  <c r="C144" i="59"/>
  <c r="H182" i="57"/>
  <c r="J175" i="64"/>
  <c r="H85" i="61"/>
  <c r="H90" i="62"/>
  <c r="I192" i="61"/>
  <c r="F86" i="62"/>
  <c r="H87" i="63"/>
  <c r="C173" i="59"/>
  <c r="G149" i="57"/>
  <c r="I195" i="57"/>
  <c r="D186" i="63"/>
  <c r="F78" i="62"/>
  <c r="H128" i="64"/>
  <c r="C196" i="68"/>
  <c r="D65" i="63"/>
  <c r="J53" i="61"/>
  <c r="I186" i="53"/>
  <c r="G128" i="60"/>
  <c r="J56" i="53"/>
  <c r="G84" i="53"/>
  <c r="E125" i="61"/>
  <c r="I194" i="62"/>
  <c r="F91" i="62"/>
  <c r="G150" i="62"/>
  <c r="C84" i="61"/>
  <c r="H186" i="63"/>
  <c r="J61" i="57"/>
  <c r="H88" i="59"/>
  <c r="G124" i="64"/>
  <c r="C146" i="62"/>
  <c r="J138" i="64"/>
  <c r="C160" i="62"/>
  <c r="F75" i="62"/>
  <c r="G141" i="61"/>
  <c r="F166" i="61"/>
  <c r="C53" i="53"/>
  <c r="J97" i="53"/>
  <c r="D81" i="59"/>
  <c r="I126" i="57"/>
  <c r="I103" i="61"/>
  <c r="G131" i="61"/>
  <c r="D101" i="60"/>
  <c r="D120" i="61"/>
  <c r="J53" i="53"/>
  <c r="C132" i="53"/>
  <c r="C191" i="53"/>
  <c r="G103" i="59"/>
  <c r="G87" i="64"/>
  <c r="D191" i="53"/>
  <c r="H149" i="57"/>
  <c r="J169" i="57"/>
  <c r="E75" i="53"/>
  <c r="E55" i="57"/>
  <c r="E166" i="62"/>
  <c r="D78" i="53"/>
  <c r="E147" i="53"/>
  <c r="C85" i="53"/>
  <c r="I157" i="53"/>
  <c r="G156" i="57"/>
  <c r="E79" i="57"/>
  <c r="J155" i="61"/>
  <c r="E56" i="60"/>
  <c r="F61" i="60"/>
  <c r="D191" i="59"/>
  <c r="F195" i="53"/>
  <c r="J171" i="57"/>
  <c r="F152" i="59"/>
  <c r="E181" i="60"/>
  <c r="I87" i="62"/>
  <c r="E67" i="61"/>
  <c r="D73" i="60"/>
  <c r="G188" i="59"/>
  <c r="E110" i="59"/>
  <c r="E200" i="64"/>
  <c r="J127" i="60"/>
  <c r="F99" i="64"/>
  <c r="I102" i="61"/>
  <c r="H95" i="61"/>
  <c r="F156" i="60"/>
  <c r="J70" i="63"/>
  <c r="E128" i="59"/>
  <c r="G171" i="59"/>
  <c r="F173" i="57"/>
  <c r="H76" i="63"/>
  <c r="I84" i="61"/>
  <c r="E109" i="60"/>
  <c r="C109" i="60"/>
  <c r="C79" i="62"/>
  <c r="E150" i="64"/>
  <c r="F139" i="57"/>
  <c r="C90" i="57"/>
  <c r="C73" i="57"/>
  <c r="E153" i="64"/>
  <c r="I89" i="64"/>
  <c r="F70" i="64"/>
  <c r="C155" i="63"/>
  <c r="F103" i="63"/>
  <c r="C128" i="62"/>
  <c r="I127" i="57"/>
  <c r="E52" i="61"/>
  <c r="E124" i="59"/>
  <c r="E88" i="68"/>
  <c r="I195" i="60"/>
  <c r="D76" i="61"/>
  <c r="I177" i="61"/>
  <c r="E89" i="61"/>
  <c r="C98" i="60"/>
  <c r="H131" i="63"/>
  <c r="G86" i="59"/>
  <c r="F106" i="60"/>
  <c r="E173" i="62"/>
  <c r="J144" i="61"/>
  <c r="I123" i="64"/>
  <c r="D107" i="61"/>
  <c r="F156" i="62"/>
  <c r="C181" i="60"/>
  <c r="E117" i="62"/>
  <c r="J56" i="59"/>
  <c r="E82" i="53"/>
  <c r="F181" i="57"/>
  <c r="I185" i="57"/>
  <c r="H63" i="63"/>
  <c r="D51" i="61"/>
  <c r="E187" i="53"/>
  <c r="F111" i="60"/>
  <c r="J190" i="59"/>
  <c r="E118" i="53"/>
  <c r="G171" i="53"/>
  <c r="H129" i="60"/>
  <c r="J194" i="62"/>
  <c r="G56" i="60"/>
  <c r="J130" i="53"/>
  <c r="H60" i="57"/>
  <c r="H170" i="57"/>
  <c r="H51" i="57"/>
  <c r="C134" i="62"/>
  <c r="G120" i="53"/>
  <c r="I151" i="62"/>
  <c r="C88" i="59"/>
  <c r="E167" i="59"/>
  <c r="F52" i="62"/>
  <c r="H74" i="57"/>
  <c r="I65" i="64"/>
  <c r="H89" i="62"/>
  <c r="E130" i="64"/>
  <c r="C61" i="53"/>
  <c r="D94" i="60"/>
  <c r="E161" i="60"/>
  <c r="J59" i="63"/>
  <c r="H93" i="62"/>
  <c r="D121" i="62"/>
  <c r="D51" i="62"/>
  <c r="F150" i="63"/>
  <c r="G121" i="64"/>
  <c r="C177" i="53"/>
  <c r="G189" i="57"/>
  <c r="C106" i="57"/>
  <c r="G194" i="60"/>
  <c r="C112" i="63"/>
  <c r="H168" i="63"/>
  <c r="H137" i="64"/>
  <c r="G133" i="63"/>
  <c r="D92" i="63"/>
  <c r="G57" i="57"/>
  <c r="D192" i="59"/>
  <c r="E71" i="62"/>
  <c r="H155" i="64"/>
  <c r="J98" i="61"/>
  <c r="I111" i="62"/>
  <c r="F196" i="61"/>
  <c r="H165" i="62"/>
  <c r="C157" i="60"/>
  <c r="D119" i="63"/>
  <c r="E126" i="53"/>
  <c r="I53" i="59"/>
  <c r="G86" i="60"/>
  <c r="I137" i="61"/>
  <c r="E133" i="63"/>
  <c r="F141" i="62"/>
  <c r="F57" i="63"/>
  <c r="D55" i="64"/>
  <c r="E101" i="64"/>
  <c r="J59" i="60"/>
  <c r="H92" i="57"/>
  <c r="J109" i="61"/>
  <c r="J107" i="63"/>
  <c r="D185" i="61"/>
  <c r="C141" i="60"/>
  <c r="H142" i="63"/>
  <c r="H172" i="63"/>
  <c r="H143" i="64"/>
  <c r="J191" i="57"/>
  <c r="G88" i="57"/>
  <c r="E115" i="57"/>
  <c r="H152" i="53"/>
  <c r="H95" i="65"/>
  <c r="C188" i="61"/>
  <c r="C99" i="59"/>
  <c r="G172" i="57"/>
  <c r="F181" i="53"/>
  <c r="G66" i="57"/>
  <c r="D97" i="60"/>
  <c r="I185" i="53"/>
  <c r="J127" i="61"/>
  <c r="J86" i="53"/>
  <c r="G101" i="60"/>
  <c r="F111" i="53"/>
  <c r="I185" i="59"/>
  <c r="I85" i="53"/>
  <c r="F160" i="53"/>
  <c r="G65" i="60"/>
  <c r="H103" i="57"/>
  <c r="E159" i="57"/>
  <c r="H53" i="60"/>
  <c r="J132" i="53"/>
  <c r="E89" i="60"/>
  <c r="G53" i="64"/>
  <c r="D69" i="53"/>
  <c r="I118" i="60"/>
  <c r="H134" i="59"/>
  <c r="I81" i="59"/>
  <c r="E150" i="59"/>
  <c r="F69" i="59"/>
  <c r="I82" i="57"/>
  <c r="C173" i="57"/>
  <c r="I126" i="53"/>
  <c r="I55" i="60"/>
  <c r="I123" i="68"/>
  <c r="D165" i="64"/>
  <c r="F197" i="63"/>
  <c r="I136" i="60"/>
  <c r="G174" i="53"/>
  <c r="J125" i="59"/>
  <c r="C69" i="59"/>
  <c r="D197" i="64"/>
  <c r="J90" i="62"/>
  <c r="E173" i="60"/>
  <c r="D174" i="60"/>
  <c r="D144" i="62"/>
  <c r="E161" i="68"/>
  <c r="E52" i="60"/>
  <c r="G137" i="57"/>
  <c r="G186" i="57"/>
  <c r="C198" i="64"/>
  <c r="H131" i="62"/>
  <c r="H190" i="62"/>
  <c r="C150" i="62"/>
  <c r="I119" i="64"/>
  <c r="D105" i="64"/>
  <c r="I183" i="53"/>
  <c r="C58" i="57"/>
  <c r="E174" i="59"/>
  <c r="D105" i="60"/>
  <c r="E163" i="62"/>
  <c r="F123" i="64"/>
  <c r="E141" i="63"/>
  <c r="F158" i="60"/>
  <c r="C105" i="61"/>
  <c r="J133" i="60"/>
  <c r="H110" i="53"/>
  <c r="F158" i="59"/>
  <c r="F121" i="53"/>
  <c r="I170" i="62"/>
  <c r="I146" i="60"/>
  <c r="J117" i="60"/>
  <c r="G61" i="63"/>
  <c r="I61" i="61"/>
  <c r="D177" i="62"/>
  <c r="J76" i="60"/>
  <c r="G58" i="60"/>
  <c r="I146" i="68"/>
  <c r="G62" i="62"/>
  <c r="F111" i="62"/>
  <c r="E171" i="61"/>
  <c r="C87" i="61"/>
  <c r="I189" i="62"/>
  <c r="D190" i="62"/>
  <c r="E150" i="53"/>
  <c r="C182" i="57"/>
  <c r="D90" i="57"/>
  <c r="E57" i="57"/>
  <c r="G104" i="64"/>
  <c r="F117" i="60"/>
  <c r="I78" i="59"/>
  <c r="D99" i="59"/>
  <c r="I161" i="59"/>
  <c r="F69" i="60"/>
  <c r="C139" i="59"/>
  <c r="C82" i="60"/>
  <c r="J200" i="60"/>
  <c r="G181" i="61"/>
  <c r="F70" i="59"/>
  <c r="C177" i="60"/>
  <c r="F130" i="61"/>
  <c r="I69" i="53"/>
  <c r="I148" i="59"/>
  <c r="I68" i="60"/>
  <c r="I135" i="59"/>
  <c r="J67" i="59"/>
  <c r="J120" i="59"/>
  <c r="G112" i="57"/>
  <c r="J60" i="59"/>
  <c r="G200" i="64"/>
  <c r="I151" i="61"/>
  <c r="D58" i="57"/>
  <c r="J71" i="62"/>
  <c r="F156" i="59"/>
  <c r="J101" i="53"/>
  <c r="J172" i="59"/>
  <c r="I52" i="60"/>
  <c r="E126" i="59"/>
  <c r="H152" i="59"/>
  <c r="C186" i="57"/>
  <c r="C122" i="61"/>
  <c r="I146" i="61"/>
  <c r="F63" i="63"/>
  <c r="I143" i="60"/>
  <c r="I147" i="57"/>
  <c r="G63" i="57"/>
  <c r="G184" i="61"/>
  <c r="E125" i="60"/>
  <c r="C172" i="62"/>
  <c r="J124" i="63"/>
  <c r="I66" i="64"/>
  <c r="J148" i="64"/>
  <c r="C81" i="60"/>
  <c r="C180" i="53"/>
  <c r="E92" i="57"/>
  <c r="H119" i="64"/>
  <c r="J143" i="62"/>
  <c r="H194" i="64"/>
  <c r="C161" i="64"/>
  <c r="F130" i="63"/>
  <c r="E140" i="60"/>
  <c r="I100" i="57"/>
  <c r="D73" i="61"/>
  <c r="F144" i="59"/>
  <c r="D174" i="68"/>
  <c r="F160" i="61"/>
  <c r="G56" i="62"/>
  <c r="F130" i="62"/>
  <c r="C165" i="62"/>
  <c r="D93" i="61"/>
  <c r="E194" i="63"/>
  <c r="I103" i="53"/>
  <c r="C64" i="53"/>
  <c r="I95" i="53"/>
  <c r="G91" i="63"/>
  <c r="C77" i="62"/>
  <c r="F67" i="63"/>
  <c r="G58" i="63"/>
  <c r="I179" i="64"/>
  <c r="H199" i="61"/>
  <c r="H161" i="57"/>
  <c r="H150" i="57"/>
  <c r="H60" i="61"/>
  <c r="F130" i="64"/>
  <c r="C62" i="61"/>
  <c r="C184" i="60"/>
  <c r="J112" i="63"/>
  <c r="E141" i="64"/>
  <c r="C112" i="62"/>
  <c r="G63" i="60"/>
  <c r="G138" i="57"/>
  <c r="C173" i="53"/>
  <c r="I101" i="61"/>
  <c r="J148" i="53"/>
  <c r="I77" i="62"/>
  <c r="E134" i="61"/>
  <c r="E126" i="57"/>
  <c r="D112" i="57"/>
  <c r="J97" i="60"/>
  <c r="D183" i="59"/>
  <c r="H156" i="57"/>
  <c r="I163" i="64"/>
  <c r="C105" i="53"/>
  <c r="G153" i="62"/>
  <c r="F91" i="59"/>
  <c r="H138" i="53"/>
  <c r="H70" i="53"/>
  <c r="I95" i="57"/>
  <c r="I53" i="64"/>
  <c r="E138" i="53"/>
  <c r="F183" i="57"/>
  <c r="D86" i="53"/>
  <c r="H193" i="53"/>
  <c r="G154" i="59"/>
  <c r="H129" i="61"/>
  <c r="C57" i="53"/>
  <c r="H161" i="61"/>
  <c r="J132" i="59"/>
  <c r="J194" i="59"/>
  <c r="H68" i="57"/>
  <c r="I61" i="53"/>
  <c r="G70" i="64"/>
  <c r="F186" i="60"/>
  <c r="H173" i="63"/>
  <c r="E98" i="60"/>
  <c r="E195" i="53"/>
  <c r="G160" i="53"/>
  <c r="J103" i="53"/>
  <c r="F93" i="61"/>
  <c r="D149" i="63"/>
  <c r="F194" i="62"/>
  <c r="E122" i="62"/>
  <c r="C161" i="61"/>
  <c r="H190" i="61"/>
  <c r="E66" i="59"/>
  <c r="I86" i="53"/>
  <c r="C167" i="64"/>
  <c r="F157" i="62"/>
  <c r="J193" i="61"/>
  <c r="F83" i="61"/>
  <c r="D141" i="61"/>
  <c r="C100" i="62"/>
  <c r="H86" i="63"/>
  <c r="C109" i="59"/>
  <c r="E189" i="57"/>
  <c r="F138" i="57"/>
  <c r="J55" i="62"/>
  <c r="C82" i="64"/>
  <c r="F157" i="64"/>
  <c r="F161" i="62"/>
  <c r="F147" i="63"/>
  <c r="H84" i="64"/>
  <c r="I177" i="53"/>
  <c r="D75" i="57"/>
  <c r="I152" i="61"/>
  <c r="E167" i="64"/>
  <c r="G96" i="61"/>
  <c r="J138" i="62"/>
  <c r="F65" i="62"/>
  <c r="H172" i="62"/>
  <c r="D171" i="61"/>
  <c r="C106" i="64"/>
  <c r="I52" i="59"/>
  <c r="I151" i="59"/>
  <c r="I130" i="62"/>
  <c r="D57" i="62"/>
  <c r="F156" i="63"/>
  <c r="D108" i="63"/>
  <c r="E159" i="60"/>
  <c r="C114" i="61"/>
  <c r="E170" i="62"/>
  <c r="E123" i="59"/>
  <c r="D134" i="53"/>
  <c r="H136" i="59"/>
  <c r="J165" i="57"/>
  <c r="H82" i="63"/>
  <c r="J81" i="63"/>
  <c r="I102" i="59"/>
  <c r="I96" i="62"/>
  <c r="E130" i="59"/>
  <c r="C62" i="59"/>
  <c r="G113" i="59"/>
  <c r="D159" i="59"/>
  <c r="E57" i="53"/>
  <c r="I126" i="59"/>
  <c r="I172" i="57"/>
  <c r="C124" i="53"/>
  <c r="I105" i="57"/>
  <c r="J93" i="59"/>
  <c r="I195" i="61"/>
  <c r="D60" i="59"/>
  <c r="D60" i="57"/>
  <c r="I70" i="61"/>
  <c r="C85" i="59"/>
  <c r="J136" i="59"/>
  <c r="F84" i="59"/>
  <c r="G180" i="59"/>
  <c r="J83" i="53"/>
  <c r="G51" i="57"/>
  <c r="I81" i="60"/>
  <c r="E102" i="59"/>
  <c r="G157" i="57"/>
  <c r="G69" i="57"/>
  <c r="I200" i="57"/>
  <c r="H126" i="61"/>
  <c r="J186" i="57"/>
  <c r="C135" i="57"/>
  <c r="I62" i="59"/>
  <c r="E194" i="53"/>
  <c r="C76" i="60"/>
  <c r="F172" i="56"/>
  <c r="D146" i="57"/>
  <c r="C76" i="59"/>
  <c r="J95" i="65"/>
  <c r="F69" i="64"/>
  <c r="J61" i="64"/>
  <c r="C162" i="62"/>
  <c r="F73" i="60"/>
  <c r="E66" i="62"/>
  <c r="I109" i="65"/>
  <c r="G73" i="68"/>
  <c r="E156" i="65"/>
  <c r="H57" i="68"/>
  <c r="F51" i="63"/>
  <c r="J151" i="60"/>
  <c r="C60" i="65"/>
  <c r="H190" i="68"/>
  <c r="H195" i="60"/>
  <c r="E197" i="62"/>
  <c r="G81" i="65"/>
  <c r="F192" i="68"/>
  <c r="J191" i="63"/>
  <c r="C192" i="68"/>
  <c r="C114" i="62"/>
  <c r="J60" i="64"/>
  <c r="F79" i="63"/>
  <c r="C113" i="65"/>
  <c r="D56" i="61"/>
  <c r="D78" i="65"/>
  <c r="J171" i="65"/>
  <c r="C69" i="64"/>
  <c r="D130" i="65"/>
  <c r="E190" i="64"/>
  <c r="I145" i="68"/>
  <c r="E146" i="68"/>
  <c r="G110" i="61"/>
  <c r="J165" i="68"/>
  <c r="J135" i="68"/>
  <c r="C65" i="61"/>
  <c r="I57" i="68"/>
  <c r="F165" i="62"/>
  <c r="D112" i="65"/>
  <c r="D96" i="65"/>
  <c r="F160" i="62"/>
  <c r="J88" i="57"/>
  <c r="I62" i="64"/>
  <c r="D199" i="57"/>
  <c r="E63" i="62"/>
  <c r="D183" i="60"/>
  <c r="G130" i="62"/>
  <c r="J161" i="62"/>
  <c r="C63" i="63"/>
  <c r="F173" i="62"/>
  <c r="F65" i="60"/>
  <c r="D160" i="63"/>
  <c r="I75" i="61"/>
  <c r="D51" i="60"/>
  <c r="J89" i="64"/>
  <c r="G184" i="62"/>
  <c r="J140" i="62"/>
  <c r="I166" i="53"/>
  <c r="H186" i="61"/>
  <c r="I66" i="57"/>
  <c r="E83" i="63"/>
  <c r="J65" i="53"/>
  <c r="H115" i="53"/>
  <c r="C129" i="60"/>
  <c r="I154" i="57"/>
  <c r="E78" i="53"/>
  <c r="I130" i="61"/>
  <c r="C94" i="60"/>
  <c r="C80" i="60"/>
  <c r="F94" i="59"/>
  <c r="D83" i="59"/>
  <c r="I93" i="59"/>
  <c r="G99" i="60"/>
  <c r="G142" i="57"/>
  <c r="F157" i="57"/>
  <c r="G105" i="61"/>
  <c r="F65" i="57"/>
  <c r="C177" i="57"/>
  <c r="C62" i="60"/>
  <c r="E82" i="59"/>
  <c r="E71" i="64"/>
  <c r="D97" i="62"/>
  <c r="D107" i="62"/>
  <c r="I92" i="57"/>
  <c r="G123" i="57"/>
  <c r="E180" i="57"/>
  <c r="I162" i="63"/>
  <c r="H91" i="61"/>
  <c r="H121" i="60"/>
  <c r="F180" i="62"/>
  <c r="F81" i="64"/>
  <c r="I146" i="63"/>
  <c r="F81" i="57"/>
  <c r="F80" i="57"/>
  <c r="G89" i="57"/>
  <c r="C196" i="60"/>
  <c r="D74" i="62"/>
  <c r="H100" i="64"/>
  <c r="D136" i="64"/>
  <c r="F98" i="63"/>
  <c r="G123" i="63"/>
  <c r="D72" i="57"/>
  <c r="J84" i="59"/>
  <c r="E128" i="60"/>
  <c r="D57" i="63"/>
  <c r="D130" i="61"/>
  <c r="I61" i="64"/>
  <c r="D65" i="62"/>
  <c r="I139" i="62"/>
  <c r="D179" i="60"/>
  <c r="J72" i="61"/>
  <c r="F195" i="59"/>
  <c r="C98" i="59"/>
  <c r="C124" i="57"/>
  <c r="E59" i="63"/>
  <c r="I187" i="60"/>
  <c r="J197" i="62"/>
  <c r="F200" i="62"/>
  <c r="D54" i="64"/>
  <c r="H164" i="64"/>
  <c r="J154" i="57"/>
  <c r="I91" i="57"/>
  <c r="D197" i="57"/>
  <c r="E148" i="63"/>
  <c r="G104" i="61"/>
  <c r="D169" i="60"/>
  <c r="F169" i="60"/>
  <c r="E186" i="61"/>
  <c r="D142" i="64"/>
  <c r="E132" i="57"/>
  <c r="D183" i="57"/>
  <c r="F156" i="57"/>
  <c r="E197" i="59"/>
  <c r="F114" i="65"/>
  <c r="D174" i="61"/>
  <c r="H91" i="57"/>
  <c r="H116" i="53"/>
  <c r="E93" i="57"/>
  <c r="F127" i="57"/>
  <c r="F184" i="57"/>
  <c r="I184" i="53"/>
  <c r="H52" i="64"/>
  <c r="E184" i="61"/>
  <c r="I122" i="57"/>
  <c r="D69" i="61"/>
  <c r="C148" i="59"/>
  <c r="J153" i="59"/>
  <c r="D80" i="59"/>
  <c r="H141" i="61"/>
  <c r="E112" i="59"/>
  <c r="D78" i="60"/>
  <c r="H95" i="60"/>
  <c r="E164" i="53"/>
  <c r="H88" i="60"/>
  <c r="I69" i="63"/>
  <c r="I76" i="53"/>
  <c r="H144" i="53"/>
  <c r="E171" i="60"/>
  <c r="J59" i="59"/>
  <c r="H187" i="59"/>
  <c r="D106" i="59"/>
  <c r="D132" i="53"/>
  <c r="H102" i="57"/>
  <c r="G65" i="59"/>
  <c r="D190" i="53"/>
  <c r="E52" i="57"/>
  <c r="F128" i="57"/>
  <c r="H105" i="64"/>
  <c r="H70" i="61"/>
  <c r="E92" i="62"/>
  <c r="H98" i="57"/>
  <c r="G100" i="59"/>
  <c r="F104" i="60"/>
  <c r="D94" i="64"/>
  <c r="F88" i="64"/>
  <c r="I114" i="62"/>
  <c r="H183" i="64"/>
  <c r="C162" i="60"/>
  <c r="G148" i="62"/>
  <c r="F54" i="61"/>
  <c r="C147" i="59"/>
  <c r="J171" i="59"/>
  <c r="G70" i="68"/>
  <c r="G101" i="62"/>
  <c r="G121" i="62"/>
  <c r="F195" i="62"/>
  <c r="E84" i="62"/>
  <c r="E157" i="61"/>
  <c r="D119" i="64"/>
  <c r="F191" i="59"/>
  <c r="C128" i="53"/>
  <c r="C160" i="53"/>
  <c r="E158" i="61"/>
  <c r="J113" i="64"/>
  <c r="I90" i="63"/>
  <c r="C80" i="63"/>
  <c r="D145" i="68"/>
  <c r="F172" i="62"/>
  <c r="G81" i="60"/>
  <c r="H138" i="57"/>
  <c r="E187" i="61"/>
  <c r="F146" i="68"/>
  <c r="I163" i="61"/>
  <c r="G100" i="60"/>
  <c r="G105" i="60"/>
  <c r="G77" i="61"/>
  <c r="J52" i="62"/>
  <c r="D115" i="68"/>
  <c r="D101" i="53"/>
  <c r="I80" i="57"/>
  <c r="E190" i="61"/>
  <c r="C107" i="63"/>
  <c r="G193" i="62"/>
  <c r="F129" i="64"/>
  <c r="I177" i="63"/>
  <c r="I162" i="62"/>
  <c r="F79" i="61"/>
  <c r="C60" i="53"/>
  <c r="D100" i="59"/>
  <c r="C169" i="59"/>
  <c r="C93" i="57"/>
  <c r="I160" i="64"/>
  <c r="D98" i="62"/>
  <c r="C72" i="59"/>
  <c r="E199" i="60"/>
  <c r="E166" i="53"/>
  <c r="J143" i="59"/>
  <c r="E58" i="53"/>
  <c r="F121" i="59"/>
  <c r="J89" i="57"/>
  <c r="H165" i="57"/>
  <c r="G83" i="60"/>
  <c r="D66" i="59"/>
  <c r="I106" i="57"/>
  <c r="G110" i="59"/>
  <c r="F56" i="63"/>
  <c r="F186" i="59"/>
  <c r="D173" i="61"/>
  <c r="J92" i="53"/>
  <c r="I168" i="59"/>
  <c r="C100" i="59"/>
  <c r="G142" i="53"/>
  <c r="C61" i="59"/>
  <c r="E197" i="53"/>
  <c r="D181" i="53"/>
  <c r="I58" i="57"/>
  <c r="G176" i="57"/>
  <c r="J99" i="57"/>
  <c r="J171" i="53"/>
  <c r="E188" i="62"/>
  <c r="I114" i="61"/>
  <c r="C178" i="61"/>
  <c r="C79" i="57"/>
  <c r="F65" i="53"/>
  <c r="I106" i="61"/>
  <c r="J75" i="63"/>
  <c r="G141" i="63"/>
  <c r="D145" i="64"/>
  <c r="G152" i="63"/>
  <c r="G162" i="60"/>
  <c r="G95" i="61"/>
  <c r="J140" i="60"/>
  <c r="J134" i="59"/>
  <c r="J145" i="53"/>
  <c r="F85" i="65"/>
  <c r="G100" i="61"/>
  <c r="J150" i="61"/>
  <c r="F141" i="61"/>
  <c r="E77" i="62"/>
  <c r="J192" i="60"/>
  <c r="E96" i="63"/>
  <c r="H169" i="59"/>
  <c r="H141" i="53"/>
  <c r="F60" i="60"/>
  <c r="J110" i="61"/>
  <c r="C184" i="63"/>
  <c r="E60" i="62"/>
  <c r="J122" i="63"/>
  <c r="F135" i="64"/>
  <c r="D157" i="64"/>
  <c r="H146" i="57"/>
  <c r="J180" i="53"/>
  <c r="G189" i="61"/>
  <c r="J75" i="65"/>
  <c r="I68" i="61"/>
  <c r="J128" i="62"/>
  <c r="C105" i="60"/>
  <c r="H78" i="61"/>
  <c r="H138" i="61"/>
  <c r="J167" i="63"/>
  <c r="E87" i="53"/>
  <c r="E60" i="57"/>
  <c r="F146" i="62"/>
  <c r="E131" i="64"/>
  <c r="J152" i="64"/>
  <c r="F194" i="63"/>
  <c r="G139" i="62"/>
  <c r="F180" i="61"/>
  <c r="G64" i="61"/>
  <c r="J176" i="59"/>
  <c r="E85" i="59"/>
  <c r="D108" i="53"/>
  <c r="F137" i="59"/>
  <c r="D173" i="62"/>
  <c r="I180" i="62"/>
  <c r="J174" i="59"/>
  <c r="F130" i="57"/>
  <c r="F151" i="59"/>
  <c r="E121" i="59"/>
  <c r="G173" i="59"/>
  <c r="E95" i="53"/>
  <c r="E150" i="57"/>
  <c r="H196" i="53"/>
  <c r="I71" i="60"/>
  <c r="I135" i="57"/>
  <c r="H57" i="57"/>
  <c r="G169" i="57"/>
  <c r="H189" i="63"/>
  <c r="C157" i="59"/>
  <c r="H183" i="60"/>
  <c r="F125" i="53"/>
  <c r="C174" i="59"/>
  <c r="D88" i="57"/>
  <c r="G85" i="68"/>
  <c r="E198" i="62"/>
  <c r="C60" i="64"/>
  <c r="C67" i="62"/>
  <c r="D153" i="60"/>
  <c r="E199" i="59"/>
  <c r="H103" i="53"/>
  <c r="D55" i="63"/>
  <c r="E149" i="61"/>
  <c r="J134" i="61"/>
  <c r="H118" i="61"/>
  <c r="D174" i="62"/>
  <c r="C175" i="63"/>
  <c r="D85" i="53"/>
  <c r="E62" i="60"/>
  <c r="I130" i="57"/>
  <c r="E77" i="64"/>
  <c r="I127" i="60"/>
  <c r="F107" i="62"/>
  <c r="H59" i="63"/>
  <c r="H65" i="64"/>
  <c r="E186" i="64"/>
  <c r="D161" i="57"/>
  <c r="J92" i="57"/>
  <c r="G178" i="53"/>
  <c r="I173" i="62"/>
  <c r="C51" i="63"/>
  <c r="F138" i="62"/>
  <c r="D70" i="64"/>
  <c r="I163" i="60"/>
  <c r="F189" i="61"/>
  <c r="G131" i="62"/>
  <c r="G124" i="53"/>
  <c r="D147" i="53"/>
  <c r="F100" i="57"/>
  <c r="E149" i="63"/>
  <c r="D117" i="61"/>
  <c r="I200" i="61"/>
  <c r="E70" i="64"/>
  <c r="H52" i="62"/>
  <c r="D95" i="63"/>
  <c r="H59" i="59"/>
  <c r="F86" i="60"/>
  <c r="E137" i="64"/>
  <c r="C131" i="60"/>
  <c r="H157" i="61"/>
  <c r="I112" i="61"/>
  <c r="J171" i="61"/>
  <c r="F166" i="60"/>
  <c r="D66" i="63"/>
  <c r="H137" i="53"/>
  <c r="H190" i="57"/>
  <c r="E64" i="60"/>
  <c r="H77" i="57"/>
  <c r="J188" i="63"/>
  <c r="E79" i="62"/>
  <c r="J95" i="60"/>
  <c r="G128" i="59"/>
  <c r="H184" i="59"/>
  <c r="G118" i="53"/>
  <c r="E95" i="57"/>
  <c r="H175" i="57"/>
  <c r="D87" i="62"/>
  <c r="F103" i="62"/>
  <c r="G168" i="53"/>
  <c r="G78" i="61"/>
  <c r="G71" i="61"/>
  <c r="J91" i="53"/>
  <c r="E162" i="59"/>
  <c r="E81" i="57"/>
  <c r="D72" i="53"/>
  <c r="I105" i="53"/>
  <c r="H95" i="57"/>
  <c r="E131" i="57"/>
  <c r="E156" i="53"/>
  <c r="E147" i="63"/>
  <c r="F188" i="61"/>
  <c r="F70" i="57"/>
  <c r="H145" i="60"/>
  <c r="I188" i="59"/>
  <c r="G116" i="53"/>
  <c r="H195" i="59"/>
  <c r="E182" i="59"/>
  <c r="E63" i="53"/>
  <c r="D109" i="57"/>
  <c r="G58" i="59"/>
  <c r="E145" i="62"/>
  <c r="H175" i="62"/>
  <c r="I53" i="63"/>
  <c r="E75" i="60"/>
  <c r="H153" i="59"/>
  <c r="H78" i="53"/>
  <c r="G174" i="59"/>
  <c r="J86" i="61"/>
  <c r="E96" i="62"/>
  <c r="C60" i="62"/>
  <c r="J142" i="62"/>
  <c r="G126" i="60"/>
  <c r="E57" i="64"/>
  <c r="I105" i="59"/>
  <c r="F89" i="59"/>
  <c r="D142" i="57"/>
  <c r="J161" i="64"/>
  <c r="C129" i="62"/>
  <c r="G187" i="61"/>
  <c r="C52" i="63"/>
  <c r="J192" i="64"/>
  <c r="G168" i="62"/>
  <c r="E114" i="60"/>
  <c r="F159" i="57"/>
  <c r="I196" i="57"/>
  <c r="H68" i="64"/>
  <c r="I168" i="63"/>
  <c r="C152" i="62"/>
  <c r="G145" i="64"/>
  <c r="I107" i="63"/>
  <c r="C142" i="60"/>
  <c r="C108" i="57"/>
  <c r="D142" i="60"/>
  <c r="J155" i="59"/>
  <c r="F51" i="59"/>
  <c r="C170" i="63"/>
  <c r="G59" i="61"/>
  <c r="F85" i="62"/>
  <c r="E70" i="62"/>
  <c r="G113" i="63"/>
  <c r="H195" i="63"/>
  <c r="G140" i="57"/>
  <c r="D180" i="59"/>
  <c r="F186" i="64"/>
  <c r="I157" i="61"/>
  <c r="G91" i="61"/>
  <c r="F121" i="62"/>
  <c r="J188" i="62"/>
  <c r="I132" i="61"/>
  <c r="I152" i="63"/>
  <c r="J152" i="59"/>
  <c r="C142" i="59"/>
  <c r="J142" i="53"/>
  <c r="E69" i="60"/>
  <c r="J145" i="61"/>
  <c r="C67" i="63"/>
  <c r="G83" i="57"/>
  <c r="H135" i="59"/>
  <c r="J136" i="53"/>
  <c r="D68" i="57"/>
  <c r="H88" i="57"/>
  <c r="D156" i="53"/>
  <c r="J108" i="62"/>
  <c r="J137" i="57"/>
  <c r="G56" i="57"/>
  <c r="D170" i="57"/>
  <c r="I169" i="60"/>
  <c r="I56" i="62"/>
  <c r="C154" i="59"/>
  <c r="E82" i="60"/>
  <c r="F172" i="59"/>
  <c r="F185" i="59"/>
  <c r="F112" i="57"/>
  <c r="G67" i="60"/>
  <c r="I174" i="53"/>
  <c r="E77" i="63"/>
  <c r="F161" i="57"/>
  <c r="E135" i="57"/>
  <c r="C147" i="53"/>
  <c r="G157" i="61"/>
  <c r="D99" i="61"/>
  <c r="I179" i="59"/>
  <c r="I179" i="53"/>
  <c r="E69" i="59"/>
  <c r="F55" i="61"/>
  <c r="F172" i="57"/>
  <c r="E54" i="63"/>
  <c r="G59" i="63"/>
  <c r="E176" i="63"/>
  <c r="C152" i="57"/>
  <c r="F121" i="57"/>
  <c r="I57" i="57"/>
  <c r="J144" i="62"/>
  <c r="I117" i="60"/>
  <c r="C197" i="61"/>
  <c r="E180" i="63"/>
  <c r="D167" i="63"/>
  <c r="H157" i="63"/>
  <c r="D161" i="59"/>
  <c r="E80" i="60"/>
  <c r="E66" i="60"/>
  <c r="H131" i="61"/>
  <c r="H199" i="63"/>
  <c r="J185" i="63"/>
  <c r="C147" i="63"/>
  <c r="C179" i="64"/>
  <c r="G90" i="62"/>
  <c r="E94" i="60"/>
  <c r="E51" i="60"/>
  <c r="F170" i="61"/>
  <c r="F108" i="64"/>
  <c r="D183" i="61"/>
  <c r="E118" i="63"/>
  <c r="D151" i="61"/>
  <c r="D163" i="61"/>
  <c r="E123" i="62"/>
  <c r="H76" i="62"/>
  <c r="D105" i="59"/>
  <c r="C125" i="53"/>
  <c r="F55" i="57"/>
  <c r="G190" i="60"/>
  <c r="E191" i="62"/>
  <c r="E102" i="64"/>
  <c r="G161" i="63"/>
  <c r="G75" i="63"/>
  <c r="D99" i="63"/>
  <c r="I64" i="57"/>
  <c r="F71" i="53"/>
  <c r="H147" i="57"/>
  <c r="I81" i="64"/>
  <c r="H147" i="60"/>
  <c r="F191" i="61"/>
  <c r="H152" i="62"/>
  <c r="D200" i="62"/>
  <c r="G145" i="63"/>
  <c r="D61" i="57"/>
  <c r="I115" i="59"/>
  <c r="D154" i="60"/>
  <c r="H129" i="57"/>
  <c r="H185" i="65"/>
  <c r="H107" i="62"/>
  <c r="G89" i="59"/>
  <c r="E191" i="59"/>
  <c r="E85" i="60"/>
  <c r="I73" i="59"/>
  <c r="I192" i="53"/>
  <c r="C158" i="59"/>
  <c r="J149" i="61"/>
  <c r="H133" i="59"/>
  <c r="C136" i="57"/>
  <c r="H120" i="60"/>
  <c r="C136" i="53"/>
  <c r="G72" i="59"/>
  <c r="D130" i="53"/>
  <c r="I61" i="59"/>
  <c r="J85" i="60"/>
  <c r="E180" i="53"/>
  <c r="D57" i="57"/>
  <c r="D96" i="60"/>
  <c r="H176" i="53"/>
  <c r="E90" i="61"/>
  <c r="E111" i="59"/>
  <c r="E123" i="57"/>
  <c r="J152" i="53"/>
  <c r="E53" i="59"/>
  <c r="E98" i="59"/>
  <c r="G139" i="57"/>
  <c r="E178" i="63"/>
  <c r="D75" i="61"/>
  <c r="F172" i="61"/>
  <c r="I167" i="57"/>
  <c r="J188" i="59"/>
  <c r="C151" i="53"/>
  <c r="J93" i="62"/>
  <c r="I163" i="62"/>
  <c r="D154" i="62"/>
  <c r="I132" i="64"/>
  <c r="I126" i="63"/>
  <c r="F122" i="62"/>
  <c r="J136" i="60"/>
  <c r="J200" i="59"/>
  <c r="M17" i="56" s="1"/>
  <c r="I89" i="59"/>
  <c r="F117" i="65"/>
  <c r="G81" i="62"/>
  <c r="H81" i="62"/>
  <c r="I98" i="62"/>
  <c r="D61" i="61"/>
  <c r="I182" i="61"/>
  <c r="D73" i="64"/>
  <c r="J96" i="59"/>
  <c r="D187" i="53"/>
  <c r="I67" i="53"/>
  <c r="J166" i="61"/>
  <c r="I74" i="62"/>
  <c r="D64" i="63"/>
  <c r="J62" i="63"/>
  <c r="I192" i="68"/>
  <c r="D178" i="62"/>
  <c r="E167" i="57"/>
  <c r="E137" i="57"/>
  <c r="C94" i="57"/>
  <c r="I105" i="64"/>
  <c r="C118" i="61"/>
  <c r="H53" i="63"/>
  <c r="F87" i="61"/>
  <c r="C99" i="61"/>
  <c r="I58" i="62"/>
  <c r="G159" i="62"/>
  <c r="F170" i="59"/>
  <c r="F73" i="59"/>
  <c r="J102" i="63"/>
  <c r="E81" i="64"/>
  <c r="J169" i="62"/>
  <c r="J169" i="64"/>
  <c r="I85" i="63"/>
  <c r="F54" i="62"/>
  <c r="D92" i="57"/>
  <c r="H82" i="62"/>
  <c r="E132" i="53"/>
  <c r="J179" i="59"/>
  <c r="E179" i="53"/>
  <c r="H198" i="62"/>
  <c r="H112" i="63"/>
  <c r="H146" i="59"/>
  <c r="E91" i="53"/>
  <c r="I136" i="61"/>
  <c r="H174" i="59"/>
  <c r="I88" i="53"/>
  <c r="H167" i="59"/>
  <c r="G96" i="59"/>
  <c r="F65" i="59"/>
  <c r="G84" i="59"/>
  <c r="F105" i="57"/>
  <c r="G92" i="60"/>
  <c r="H190" i="53"/>
  <c r="C54" i="62"/>
  <c r="D120" i="60"/>
  <c r="E193" i="57"/>
  <c r="J172" i="60"/>
  <c r="C170" i="62"/>
  <c r="I171" i="59"/>
  <c r="J197" i="59"/>
  <c r="C138" i="53"/>
  <c r="C172" i="57"/>
  <c r="D54" i="60"/>
  <c r="C101" i="53"/>
  <c r="E79" i="60"/>
  <c r="F62" i="53"/>
  <c r="G125" i="59"/>
  <c r="C161" i="59"/>
  <c r="G153" i="57"/>
  <c r="E121" i="53"/>
  <c r="E193" i="59"/>
  <c r="H199" i="53"/>
  <c r="J82" i="60"/>
  <c r="J83" i="57"/>
  <c r="E108" i="59"/>
  <c r="J160" i="62"/>
  <c r="J154" i="59"/>
  <c r="C156" i="59"/>
  <c r="I139" i="59"/>
  <c r="D79" i="60"/>
  <c r="G191" i="57"/>
  <c r="I77" i="53"/>
  <c r="D108" i="59"/>
  <c r="I98" i="57"/>
  <c r="C55" i="57"/>
  <c r="H86" i="60"/>
  <c r="G142" i="59"/>
  <c r="D107" i="63"/>
  <c r="F119" i="60"/>
  <c r="D159" i="53"/>
  <c r="H117" i="57"/>
  <c r="G77" i="62"/>
  <c r="I145" i="60"/>
  <c r="J75" i="59"/>
  <c r="G182" i="53"/>
  <c r="J199" i="53"/>
  <c r="K15" i="56" s="1"/>
  <c r="C83" i="60"/>
  <c r="G57" i="61"/>
  <c r="D189" i="57"/>
  <c r="H186" i="57"/>
  <c r="E144" i="68"/>
  <c r="G74" i="53"/>
  <c r="G74" i="60"/>
  <c r="F115" i="63"/>
  <c r="I160" i="59"/>
  <c r="F179" i="57"/>
  <c r="G185" i="53"/>
  <c r="E193" i="60"/>
  <c r="I66" i="62"/>
  <c r="C176" i="59"/>
  <c r="C114" i="60"/>
  <c r="D110" i="53"/>
  <c r="J66" i="53"/>
  <c r="G126" i="53"/>
  <c r="I197" i="59"/>
  <c r="I143" i="64"/>
  <c r="F98" i="57"/>
  <c r="C99" i="60"/>
  <c r="H106" i="59"/>
  <c r="I168" i="60"/>
  <c r="H184" i="61"/>
  <c r="F177" i="64"/>
  <c r="H60" i="65"/>
  <c r="H111" i="60"/>
  <c r="F182" i="60"/>
  <c r="C54" i="60"/>
  <c r="C60" i="61"/>
  <c r="H114" i="63"/>
  <c r="E156" i="64"/>
  <c r="E58" i="63"/>
  <c r="E157" i="68"/>
  <c r="I53" i="62"/>
  <c r="D111" i="63"/>
  <c r="D181" i="63"/>
  <c r="D166" i="68"/>
  <c r="E96" i="61"/>
  <c r="E103" i="64"/>
  <c r="C166" i="61"/>
  <c r="H100" i="62"/>
  <c r="H61" i="61"/>
  <c r="I197" i="68"/>
  <c r="C148" i="61"/>
  <c r="F185" i="64"/>
  <c r="D105" i="63"/>
  <c r="F87" i="68"/>
  <c r="E72" i="60"/>
  <c r="H110" i="65"/>
  <c r="F71" i="65"/>
  <c r="D151" i="63"/>
  <c r="F83" i="68"/>
  <c r="G131" i="60"/>
  <c r="J179" i="64"/>
  <c r="E109" i="62"/>
  <c r="D200" i="63"/>
  <c r="D106" i="65"/>
  <c r="J110" i="65"/>
  <c r="J128" i="61"/>
  <c r="F194" i="68"/>
  <c r="I117" i="61"/>
  <c r="J86" i="68"/>
  <c r="E71" i="68"/>
  <c r="F173" i="60"/>
  <c r="H178" i="59"/>
  <c r="E119" i="63"/>
  <c r="H61" i="53"/>
  <c r="E56" i="63"/>
  <c r="J98" i="57"/>
  <c r="G181" i="64"/>
  <c r="D98" i="57"/>
  <c r="E129" i="62"/>
  <c r="J131" i="61"/>
  <c r="D66" i="53"/>
  <c r="D114" i="63"/>
  <c r="I71" i="62"/>
  <c r="F128" i="53"/>
  <c r="J146" i="61"/>
  <c r="I59" i="64"/>
  <c r="H154" i="60"/>
  <c r="D140" i="57"/>
  <c r="G53" i="60"/>
  <c r="I153" i="59"/>
  <c r="G134" i="60"/>
  <c r="D88" i="53"/>
  <c r="C120" i="57"/>
  <c r="I118" i="53"/>
  <c r="G80" i="57"/>
  <c r="H134" i="57"/>
  <c r="C179" i="59"/>
  <c r="C52" i="59"/>
  <c r="D163" i="53"/>
  <c r="F79" i="53"/>
  <c r="J169" i="53"/>
  <c r="F171" i="57"/>
  <c r="C98" i="57"/>
  <c r="J54" i="59"/>
  <c r="E145" i="53"/>
  <c r="C75" i="62"/>
  <c r="J134" i="57"/>
  <c r="J104" i="59"/>
  <c r="I92" i="53"/>
  <c r="D171" i="53"/>
  <c r="D145" i="63"/>
  <c r="C119" i="64"/>
  <c r="H68" i="60"/>
  <c r="D70" i="57"/>
  <c r="J170" i="59"/>
  <c r="I114" i="59"/>
  <c r="F67" i="62"/>
  <c r="I120" i="61"/>
  <c r="G147" i="61"/>
  <c r="I62" i="62"/>
  <c r="H155" i="60"/>
  <c r="D171" i="63"/>
  <c r="E140" i="53"/>
  <c r="G104" i="60"/>
  <c r="J58" i="60"/>
  <c r="D89" i="64"/>
  <c r="J92" i="62"/>
  <c r="G114" i="60"/>
  <c r="D123" i="63"/>
  <c r="C65" i="64"/>
  <c r="G155" i="64"/>
  <c r="D63" i="60"/>
  <c r="C91" i="57"/>
  <c r="H83" i="57"/>
  <c r="E138" i="60"/>
  <c r="D153" i="64"/>
  <c r="F160" i="64"/>
  <c r="J53" i="64"/>
  <c r="C116" i="63"/>
  <c r="H139" i="62"/>
  <c r="E78" i="61"/>
  <c r="I60" i="59"/>
  <c r="C73" i="53"/>
  <c r="F132" i="59"/>
  <c r="C151" i="62"/>
  <c r="F112" i="60"/>
  <c r="F149" i="61"/>
  <c r="E181" i="63"/>
  <c r="E108" i="62"/>
  <c r="D60" i="63"/>
  <c r="F83" i="53"/>
  <c r="G72" i="60"/>
  <c r="C131" i="68"/>
  <c r="F125" i="60"/>
  <c r="H103" i="61"/>
  <c r="D94" i="61"/>
  <c r="E200" i="61"/>
  <c r="E121" i="60"/>
  <c r="G130" i="63"/>
  <c r="D102" i="59"/>
  <c r="I113" i="60"/>
  <c r="G54" i="60"/>
  <c r="J76" i="57"/>
  <c r="G118" i="61"/>
  <c r="J117" i="64"/>
  <c r="I57" i="61"/>
  <c r="F131" i="53"/>
  <c r="H69" i="53"/>
  <c r="I57" i="59"/>
  <c r="F174" i="53"/>
  <c r="J166" i="57"/>
  <c r="C124" i="64"/>
  <c r="C164" i="53"/>
  <c r="D148" i="53"/>
  <c r="D165" i="57"/>
  <c r="F62" i="61"/>
  <c r="F175" i="60"/>
  <c r="G62" i="53"/>
  <c r="J81" i="59"/>
  <c r="H180" i="59"/>
  <c r="I134" i="59"/>
  <c r="G180" i="53"/>
  <c r="J168" i="57"/>
  <c r="G106" i="53"/>
  <c r="G166" i="63"/>
  <c r="D87" i="57"/>
  <c r="H69" i="57"/>
  <c r="E187" i="57"/>
  <c r="D161" i="61"/>
  <c r="D128" i="61"/>
  <c r="D112" i="59"/>
  <c r="E60" i="59"/>
  <c r="F64" i="53"/>
  <c r="G52" i="53"/>
  <c r="I149" i="57"/>
  <c r="G150" i="59"/>
  <c r="E144" i="59"/>
  <c r="E160" i="62"/>
  <c r="C114" i="63"/>
  <c r="I53" i="61"/>
  <c r="I88" i="59"/>
  <c r="G197" i="60"/>
  <c r="G131" i="57"/>
  <c r="F55" i="62"/>
  <c r="J145" i="62"/>
  <c r="H165" i="63"/>
  <c r="E187" i="63"/>
  <c r="C186" i="63"/>
  <c r="H146" i="60"/>
  <c r="I70" i="60"/>
  <c r="G192" i="62"/>
  <c r="I170" i="59"/>
  <c r="F186" i="62"/>
  <c r="J148" i="61"/>
  <c r="F78" i="63"/>
  <c r="J101" i="62"/>
  <c r="I85" i="61"/>
  <c r="E187" i="62"/>
  <c r="H151" i="62"/>
  <c r="E96" i="53"/>
  <c r="D61" i="53"/>
  <c r="H119" i="57"/>
  <c r="E146" i="62"/>
  <c r="I96" i="61"/>
  <c r="F80" i="62"/>
  <c r="E127" i="64"/>
  <c r="J140" i="63"/>
  <c r="G122" i="63"/>
  <c r="F79" i="57"/>
  <c r="H118" i="53"/>
  <c r="J130" i="59"/>
  <c r="H135" i="63"/>
  <c r="C73" i="62"/>
  <c r="C148" i="63"/>
  <c r="C171" i="61"/>
  <c r="J74" i="62"/>
  <c r="F114" i="60"/>
  <c r="I66" i="61"/>
  <c r="I107" i="53"/>
  <c r="I162" i="59"/>
  <c r="D153" i="62"/>
  <c r="E167" i="63"/>
  <c r="D193" i="63"/>
  <c r="C126" i="63"/>
  <c r="F52" i="64"/>
  <c r="G190" i="61"/>
  <c r="I74" i="60"/>
  <c r="J153" i="62"/>
  <c r="C106" i="59"/>
  <c r="F108" i="53"/>
  <c r="H101" i="59"/>
  <c r="J118" i="61"/>
  <c r="G66" i="64"/>
  <c r="J62" i="62"/>
  <c r="I161" i="57"/>
  <c r="H96" i="62"/>
  <c r="I159" i="59"/>
  <c r="H61" i="59"/>
  <c r="C96" i="53"/>
  <c r="D193" i="53"/>
  <c r="H193" i="59"/>
  <c r="F180" i="53"/>
  <c r="E58" i="57"/>
  <c r="J119" i="57"/>
  <c r="F97" i="57"/>
  <c r="C142" i="63"/>
  <c r="F100" i="61"/>
  <c r="E186" i="57"/>
  <c r="C74" i="61"/>
  <c r="E61" i="53"/>
  <c r="H74" i="53"/>
  <c r="J144" i="59"/>
  <c r="J87" i="62"/>
  <c r="H176" i="59"/>
  <c r="C166" i="57"/>
  <c r="H183" i="57"/>
  <c r="G99" i="53"/>
  <c r="J175" i="57"/>
  <c r="I65" i="57"/>
  <c r="I60" i="64"/>
  <c r="D188" i="64"/>
  <c r="J79" i="62"/>
  <c r="G53" i="53"/>
  <c r="I193" i="61"/>
  <c r="I198" i="57"/>
  <c r="G167" i="60"/>
  <c r="C171" i="63"/>
  <c r="H63" i="62"/>
  <c r="J128" i="64"/>
  <c r="D131" i="63"/>
  <c r="E141" i="60"/>
  <c r="J108" i="57"/>
  <c r="C116" i="61"/>
  <c r="C200" i="59"/>
  <c r="C71" i="63"/>
  <c r="G103" i="61"/>
  <c r="D67" i="63"/>
  <c r="F100" i="60"/>
  <c r="F124" i="60"/>
  <c r="I134" i="61"/>
  <c r="E136" i="62"/>
  <c r="C143" i="53"/>
  <c r="C70" i="59"/>
  <c r="J109" i="57"/>
  <c r="D154" i="63"/>
  <c r="H181" i="61"/>
  <c r="F126" i="61"/>
  <c r="F71" i="64"/>
  <c r="F118" i="62"/>
  <c r="G51" i="64"/>
  <c r="H123" i="59"/>
  <c r="D168" i="57"/>
  <c r="F58" i="60"/>
  <c r="G62" i="63"/>
  <c r="I107" i="60"/>
  <c r="C82" i="63"/>
  <c r="E95" i="61"/>
  <c r="D168" i="61"/>
  <c r="H122" i="60"/>
  <c r="I147" i="61"/>
  <c r="J85" i="53"/>
  <c r="C133" i="59"/>
  <c r="E109" i="63"/>
  <c r="G57" i="63"/>
  <c r="I70" i="62"/>
  <c r="F104" i="62"/>
  <c r="J186" i="63"/>
  <c r="G53" i="61"/>
  <c r="E149" i="57"/>
  <c r="H97" i="61"/>
  <c r="I92" i="59"/>
  <c r="C119" i="59"/>
  <c r="C93" i="59"/>
  <c r="G145" i="62"/>
  <c r="J95" i="62"/>
  <c r="G134" i="62"/>
  <c r="J90" i="57"/>
  <c r="C183" i="61"/>
  <c r="D70" i="61"/>
  <c r="F179" i="59"/>
  <c r="C97" i="59"/>
  <c r="C51" i="60"/>
  <c r="G127" i="59"/>
  <c r="G54" i="59"/>
  <c r="G189" i="53"/>
  <c r="F170" i="57"/>
  <c r="E72" i="57"/>
  <c r="J73" i="64"/>
  <c r="C130" i="62"/>
  <c r="I175" i="57"/>
  <c r="F134" i="61"/>
  <c r="H199" i="59"/>
  <c r="G105" i="59"/>
  <c r="C168" i="60"/>
  <c r="G106" i="60"/>
  <c r="H62" i="64"/>
  <c r="D200" i="59"/>
  <c r="I109" i="57"/>
  <c r="G117" i="59"/>
  <c r="J163" i="53"/>
  <c r="F84" i="62"/>
  <c r="G103" i="62"/>
  <c r="G187" i="62"/>
  <c r="D166" i="62"/>
  <c r="D79" i="61"/>
  <c r="I54" i="64"/>
  <c r="J126" i="59"/>
  <c r="D196" i="53"/>
  <c r="F107" i="59"/>
  <c r="G93" i="63"/>
  <c r="J183" i="60"/>
  <c r="G132" i="61"/>
  <c r="G94" i="64"/>
  <c r="H85" i="63"/>
  <c r="G83" i="63"/>
  <c r="H96" i="59"/>
  <c r="J167" i="57"/>
  <c r="H145" i="57"/>
  <c r="J129" i="62"/>
  <c r="J162" i="62"/>
  <c r="D135" i="63"/>
  <c r="F170" i="62"/>
  <c r="H99" i="64"/>
  <c r="H148" i="60"/>
  <c r="G111" i="57"/>
  <c r="G88" i="61"/>
  <c r="I154" i="53"/>
  <c r="H66" i="59"/>
  <c r="G153" i="53"/>
  <c r="F115" i="61"/>
  <c r="D93" i="62"/>
  <c r="H58" i="62"/>
  <c r="G160" i="63"/>
  <c r="I113" i="64"/>
  <c r="D179" i="57"/>
  <c r="G180" i="57"/>
  <c r="H149" i="65"/>
  <c r="E155" i="60"/>
  <c r="C70" i="62"/>
  <c r="E166" i="60"/>
  <c r="G164" i="60"/>
  <c r="J120" i="62"/>
  <c r="D76" i="64"/>
  <c r="D151" i="53"/>
  <c r="G118" i="57"/>
  <c r="J129" i="53"/>
  <c r="F132" i="60"/>
  <c r="F140" i="60"/>
  <c r="H70" i="64"/>
  <c r="F193" i="53"/>
  <c r="E94" i="59"/>
  <c r="G159" i="53"/>
  <c r="E101" i="57"/>
  <c r="E54" i="60"/>
  <c r="F166" i="53"/>
  <c r="D98" i="63"/>
  <c r="D132" i="59"/>
  <c r="I179" i="57"/>
  <c r="H187" i="57"/>
  <c r="G172" i="60"/>
  <c r="I197" i="60"/>
  <c r="H143" i="53"/>
  <c r="C195" i="57"/>
  <c r="C106" i="53"/>
  <c r="G67" i="59"/>
  <c r="H163" i="57"/>
  <c r="D187" i="59"/>
  <c r="E160" i="57"/>
  <c r="E143" i="62"/>
  <c r="J188" i="57"/>
  <c r="C185" i="59"/>
  <c r="J126" i="53"/>
  <c r="E123" i="61"/>
  <c r="F113" i="61"/>
  <c r="G193" i="59"/>
  <c r="C51" i="61"/>
  <c r="C196" i="59"/>
  <c r="E80" i="53"/>
  <c r="H102" i="62"/>
  <c r="I116" i="60"/>
  <c r="F99" i="62"/>
  <c r="C191" i="60"/>
  <c r="J106" i="59"/>
  <c r="E81" i="53"/>
  <c r="E62" i="53"/>
  <c r="I169" i="65"/>
  <c r="C89" i="61"/>
  <c r="I132" i="63"/>
  <c r="I164" i="60"/>
  <c r="C189" i="60"/>
  <c r="F198" i="61"/>
  <c r="G54" i="62"/>
  <c r="H79" i="53"/>
  <c r="G157" i="59"/>
  <c r="F197" i="53"/>
  <c r="E154" i="61"/>
  <c r="D108" i="62"/>
  <c r="C74" i="62"/>
  <c r="I133" i="62"/>
  <c r="D89" i="62"/>
  <c r="J195" i="63"/>
  <c r="J68" i="57"/>
  <c r="G73" i="53"/>
  <c r="H100" i="59"/>
  <c r="D128" i="63"/>
  <c r="I142" i="62"/>
  <c r="E132" i="63"/>
  <c r="I123" i="63"/>
  <c r="D135" i="64"/>
  <c r="F121" i="61"/>
  <c r="G82" i="60"/>
  <c r="I62" i="60"/>
  <c r="D60" i="61"/>
  <c r="J153" i="64"/>
  <c r="C125" i="61"/>
  <c r="D106" i="60"/>
  <c r="D132" i="60"/>
  <c r="C199" i="60"/>
  <c r="F200" i="61"/>
  <c r="E160" i="64"/>
  <c r="J64" i="53"/>
  <c r="F150" i="57"/>
  <c r="G94" i="61"/>
  <c r="D181" i="61"/>
  <c r="H109" i="63"/>
  <c r="F72" i="61"/>
  <c r="E138" i="61"/>
  <c r="E114" i="62"/>
  <c r="F187" i="62"/>
  <c r="I134" i="53"/>
  <c r="I183" i="59"/>
  <c r="I137" i="57"/>
  <c r="D189" i="53"/>
  <c r="D93" i="64"/>
  <c r="J173" i="61"/>
  <c r="E57" i="59"/>
  <c r="E193" i="62"/>
  <c r="F142" i="53"/>
  <c r="J74" i="53"/>
  <c r="E158" i="59"/>
  <c r="C183" i="53"/>
  <c r="C132" i="64"/>
  <c r="D55" i="57"/>
  <c r="F95" i="60"/>
  <c r="G150" i="53"/>
  <c r="D115" i="57"/>
  <c r="G67" i="53"/>
  <c r="E90" i="62"/>
  <c r="C134" i="59"/>
  <c r="I75" i="62"/>
  <c r="G170" i="53"/>
  <c r="I130" i="59"/>
  <c r="F168" i="57"/>
  <c r="C148" i="57"/>
  <c r="G116" i="64"/>
  <c r="F63" i="60"/>
  <c r="I145" i="59"/>
  <c r="E59" i="57"/>
  <c r="H169" i="57"/>
  <c r="F187" i="53"/>
  <c r="C172" i="61"/>
  <c r="H145" i="59"/>
  <c r="G149" i="61"/>
  <c r="C163" i="59"/>
  <c r="C144" i="65"/>
  <c r="D81" i="64"/>
  <c r="I189" i="63"/>
  <c r="G152" i="61"/>
  <c r="C191" i="59"/>
  <c r="D104" i="59"/>
  <c r="G164" i="53"/>
  <c r="H124" i="62"/>
  <c r="H117" i="60"/>
  <c r="E168" i="60"/>
  <c r="J174" i="60"/>
  <c r="G75" i="61"/>
  <c r="J145" i="63"/>
  <c r="H135" i="57"/>
  <c r="D178" i="57"/>
  <c r="H112" i="57"/>
  <c r="H115" i="63"/>
  <c r="J160" i="61"/>
  <c r="E129" i="61"/>
  <c r="D193" i="64"/>
  <c r="D89" i="63"/>
  <c r="E173" i="63"/>
  <c r="E174" i="53"/>
  <c r="C67" i="59"/>
  <c r="C195" i="59"/>
  <c r="J116" i="61"/>
  <c r="H124" i="64"/>
  <c r="D58" i="64"/>
  <c r="J148" i="63"/>
  <c r="J113" i="62"/>
  <c r="H144" i="61"/>
  <c r="I59" i="61"/>
  <c r="C87" i="53"/>
  <c r="G136" i="59"/>
  <c r="C51" i="59"/>
  <c r="F113" i="63"/>
  <c r="G188" i="62"/>
  <c r="G117" i="60"/>
  <c r="C104" i="63"/>
  <c r="E151" i="63"/>
  <c r="F127" i="64"/>
  <c r="J64" i="60"/>
  <c r="F90" i="57"/>
  <c r="D134" i="65"/>
  <c r="G53" i="62"/>
  <c r="E172" i="60"/>
  <c r="J198" i="60"/>
  <c r="C134" i="60"/>
  <c r="G136" i="61"/>
  <c r="E198" i="64"/>
  <c r="E128" i="53"/>
  <c r="H64" i="57"/>
  <c r="J72" i="57"/>
  <c r="E180" i="59"/>
  <c r="J116" i="64"/>
  <c r="F187" i="61"/>
  <c r="G95" i="53"/>
  <c r="D116" i="53"/>
  <c r="E135" i="53"/>
  <c r="G152" i="57"/>
  <c r="J174" i="57"/>
  <c r="I104" i="57"/>
  <c r="D142" i="61"/>
  <c r="C66" i="61"/>
  <c r="I129" i="57"/>
  <c r="H106" i="60"/>
  <c r="J114" i="60"/>
  <c r="D105" i="53"/>
  <c r="F133" i="59"/>
  <c r="G117" i="57"/>
  <c r="H112" i="59"/>
  <c r="H161" i="53"/>
  <c r="J139" i="60"/>
  <c r="J114" i="53"/>
  <c r="E183" i="57"/>
  <c r="D122" i="62"/>
  <c r="G154" i="61"/>
  <c r="E189" i="59"/>
  <c r="C153" i="61"/>
  <c r="F192" i="61"/>
  <c r="E104" i="59"/>
  <c r="C65" i="60"/>
  <c r="C56" i="62"/>
  <c r="H198" i="63"/>
  <c r="J70" i="61"/>
  <c r="H149" i="53"/>
  <c r="J156" i="62"/>
  <c r="G151" i="61"/>
  <c r="D143" i="62"/>
  <c r="D163" i="63"/>
  <c r="D130" i="63"/>
  <c r="I99" i="63"/>
  <c r="D116" i="64"/>
  <c r="J58" i="61"/>
  <c r="G146" i="57"/>
  <c r="C92" i="61"/>
  <c r="D103" i="59"/>
  <c r="D128" i="62"/>
  <c r="H113" i="62"/>
  <c r="J136" i="63"/>
  <c r="H128" i="61"/>
  <c r="I196" i="61"/>
  <c r="D90" i="62"/>
  <c r="E86" i="62"/>
  <c r="H94" i="59"/>
  <c r="J106" i="53"/>
  <c r="D71" i="57"/>
  <c r="E172" i="63"/>
  <c r="I123" i="62"/>
  <c r="J152" i="61"/>
  <c r="D95" i="64"/>
  <c r="F88" i="63"/>
  <c r="H188" i="63"/>
  <c r="F176" i="57"/>
  <c r="G149" i="53"/>
  <c r="J138" i="53"/>
  <c r="H139" i="60"/>
  <c r="D69" i="64"/>
  <c r="C112" i="64"/>
  <c r="H80" i="63"/>
  <c r="I195" i="62"/>
  <c r="E74" i="61"/>
  <c r="I157" i="60"/>
  <c r="J151" i="53"/>
  <c r="I200" i="59"/>
  <c r="D61" i="63"/>
  <c r="F158" i="62"/>
  <c r="F121" i="63"/>
  <c r="F99" i="63"/>
  <c r="J114" i="64"/>
  <c r="E135" i="61"/>
  <c r="F81" i="60"/>
  <c r="F103" i="57"/>
  <c r="G92" i="62"/>
  <c r="I178" i="59"/>
  <c r="G138" i="59"/>
  <c r="J98" i="63"/>
  <c r="C110" i="64"/>
  <c r="D84" i="57"/>
  <c r="D125" i="57"/>
  <c r="J181" i="57"/>
  <c r="F198" i="60"/>
  <c r="E126" i="62"/>
  <c r="G165" i="59"/>
  <c r="C178" i="53"/>
  <c r="C122" i="59"/>
  <c r="D58" i="53"/>
  <c r="E165" i="53"/>
  <c r="F165" i="53"/>
  <c r="C141" i="57"/>
  <c r="C53" i="61"/>
  <c r="I157" i="57"/>
  <c r="E115" i="53"/>
  <c r="E134" i="57"/>
  <c r="E84" i="60"/>
  <c r="H87" i="61"/>
  <c r="I52" i="53"/>
  <c r="F118" i="57"/>
  <c r="G179" i="53"/>
  <c r="H65" i="53"/>
  <c r="C174" i="53"/>
  <c r="J195" i="59"/>
  <c r="D51" i="59"/>
  <c r="H76" i="53"/>
  <c r="G155" i="59"/>
  <c r="F186" i="61"/>
  <c r="C152" i="53"/>
  <c r="D167" i="57"/>
  <c r="F87" i="60"/>
  <c r="I122" i="59"/>
  <c r="D81" i="60"/>
  <c r="F151" i="64"/>
  <c r="D155" i="57"/>
  <c r="C68" i="59"/>
  <c r="J127" i="57"/>
  <c r="H114" i="57"/>
  <c r="C139" i="62"/>
  <c r="C149" i="53"/>
  <c r="J55" i="53"/>
  <c r="D181" i="57"/>
  <c r="E190" i="57"/>
  <c r="J183" i="53"/>
  <c r="I113" i="59"/>
  <c r="E78" i="57"/>
  <c r="E146" i="63"/>
  <c r="J153" i="57"/>
  <c r="E154" i="57"/>
  <c r="H121" i="57"/>
  <c r="D64" i="53"/>
  <c r="I165" i="57"/>
  <c r="G173" i="53"/>
  <c r="D176" i="53"/>
  <c r="J178" i="59"/>
  <c r="F95" i="53"/>
  <c r="J103" i="57"/>
  <c r="H97" i="60"/>
  <c r="F168" i="53"/>
  <c r="H169" i="61"/>
  <c r="H107" i="61"/>
  <c r="G69" i="53"/>
  <c r="D83" i="61"/>
  <c r="I77" i="57"/>
  <c r="I109" i="59"/>
  <c r="G191" i="53"/>
  <c r="G183" i="53"/>
  <c r="C190" i="62"/>
  <c r="E104" i="61"/>
  <c r="I69" i="57"/>
  <c r="H200" i="60"/>
  <c r="G153" i="59"/>
  <c r="E129" i="59"/>
  <c r="H56" i="59"/>
  <c r="H128" i="62"/>
  <c r="F137" i="57"/>
  <c r="G68" i="53"/>
  <c r="F106" i="57"/>
  <c r="H162" i="57"/>
  <c r="J91" i="57"/>
  <c r="F183" i="68"/>
  <c r="G94" i="62"/>
  <c r="H99" i="60"/>
  <c r="H193" i="61"/>
  <c r="J165" i="59"/>
  <c r="C192" i="59"/>
  <c r="F85" i="59"/>
  <c r="C80" i="57"/>
  <c r="F71" i="61"/>
  <c r="G84" i="57"/>
  <c r="F131" i="59"/>
  <c r="D177" i="59"/>
  <c r="E176" i="59"/>
  <c r="G93" i="61"/>
  <c r="E198" i="61"/>
  <c r="C82" i="59"/>
  <c r="H80" i="53"/>
  <c r="E83" i="60"/>
  <c r="E187" i="59"/>
  <c r="E179" i="59"/>
  <c r="J169" i="63"/>
  <c r="E147" i="60"/>
  <c r="F194" i="53"/>
  <c r="I105" i="65"/>
  <c r="G106" i="64"/>
  <c r="J172" i="62"/>
  <c r="C182" i="61"/>
  <c r="F190" i="61"/>
  <c r="J83" i="59"/>
  <c r="H123" i="60"/>
  <c r="E160" i="61"/>
  <c r="D157" i="63"/>
  <c r="H55" i="68"/>
  <c r="F102" i="61"/>
  <c r="D92" i="64"/>
  <c r="D183" i="64"/>
  <c r="E160" i="68"/>
  <c r="G114" i="61"/>
  <c r="E158" i="64"/>
  <c r="C61" i="64"/>
  <c r="C136" i="68"/>
  <c r="J91" i="61"/>
  <c r="C157" i="68"/>
  <c r="D56" i="68"/>
  <c r="F76" i="64"/>
  <c r="I74" i="64"/>
  <c r="D91" i="65"/>
  <c r="I52" i="62"/>
  <c r="C118" i="68"/>
  <c r="C184" i="65"/>
  <c r="C119" i="60"/>
  <c r="G100" i="65"/>
  <c r="G85" i="63"/>
  <c r="C70" i="68"/>
  <c r="D197" i="68"/>
  <c r="J107" i="61"/>
  <c r="J107" i="68"/>
  <c r="E65" i="63"/>
  <c r="E164" i="65"/>
  <c r="E148" i="65"/>
  <c r="D90" i="63"/>
  <c r="H84" i="65"/>
  <c r="E165" i="63"/>
  <c r="C177" i="64"/>
  <c r="H108" i="53"/>
  <c r="J85" i="61"/>
  <c r="C138" i="60"/>
  <c r="C181" i="63"/>
  <c r="H80" i="59"/>
  <c r="C62" i="64"/>
  <c r="F60" i="53"/>
  <c r="I119" i="60"/>
  <c r="I125" i="63"/>
  <c r="I98" i="61"/>
  <c r="H171" i="62"/>
  <c r="G113" i="62"/>
  <c r="J183" i="59"/>
  <c r="C194" i="61"/>
  <c r="G142" i="61"/>
  <c r="E84" i="63"/>
  <c r="E90" i="53"/>
  <c r="J140" i="59"/>
  <c r="F123" i="59"/>
  <c r="E151" i="60"/>
  <c r="D200" i="57"/>
  <c r="G109" i="59"/>
  <c r="E163" i="57"/>
  <c r="F150" i="59"/>
  <c r="E142" i="53"/>
  <c r="C57" i="57"/>
  <c r="G94" i="57"/>
  <c r="J177" i="59"/>
  <c r="F77" i="53"/>
  <c r="F134" i="57"/>
  <c r="H136" i="53"/>
  <c r="J90" i="60"/>
  <c r="H191" i="53"/>
  <c r="J104" i="57"/>
  <c r="I101" i="62"/>
  <c r="F88" i="59"/>
  <c r="E60" i="53"/>
  <c r="G146" i="53"/>
  <c r="J138" i="63"/>
  <c r="E107" i="60"/>
  <c r="D62" i="62"/>
  <c r="H100" i="57"/>
  <c r="D85" i="59"/>
  <c r="C146" i="59"/>
  <c r="J89" i="68"/>
  <c r="E139" i="62"/>
  <c r="G104" i="62"/>
  <c r="F69" i="62"/>
  <c r="C153" i="60"/>
  <c r="E108" i="61"/>
  <c r="I165" i="63"/>
  <c r="I139" i="53"/>
  <c r="D100" i="57"/>
  <c r="E131" i="53"/>
  <c r="E156" i="63"/>
  <c r="H195" i="62"/>
  <c r="C154" i="61"/>
  <c r="J130" i="61"/>
  <c r="F68" i="63"/>
  <c r="G185" i="63"/>
  <c r="D160" i="59"/>
  <c r="H62" i="59"/>
  <c r="E144" i="57"/>
  <c r="G172" i="63"/>
  <c r="D57" i="64"/>
  <c r="I199" i="62"/>
  <c r="J89" i="63"/>
  <c r="I107" i="64"/>
  <c r="J51" i="61"/>
  <c r="J148" i="57"/>
  <c r="I175" i="61"/>
  <c r="G79" i="53"/>
  <c r="H106" i="53"/>
  <c r="D52" i="62"/>
  <c r="H178" i="60"/>
  <c r="H69" i="61"/>
  <c r="J76" i="61"/>
  <c r="I174" i="61"/>
  <c r="E111" i="64"/>
  <c r="I87" i="57"/>
  <c r="F63" i="57"/>
  <c r="I177" i="64"/>
  <c r="C116" i="60"/>
  <c r="G171" i="62"/>
  <c r="H161" i="60"/>
  <c r="I192" i="60"/>
  <c r="D87" i="61"/>
  <c r="F105" i="61"/>
  <c r="C68" i="53"/>
  <c r="H111" i="53"/>
  <c r="D188" i="53"/>
  <c r="C175" i="59"/>
  <c r="C186" i="60"/>
  <c r="J52" i="63"/>
  <c r="E118" i="57"/>
  <c r="C68" i="61"/>
  <c r="H75" i="53"/>
  <c r="E84" i="53"/>
  <c r="J74" i="60"/>
  <c r="I70" i="57"/>
  <c r="H166" i="61"/>
  <c r="G195" i="57"/>
  <c r="D196" i="57"/>
  <c r="H58" i="60"/>
  <c r="E54" i="53"/>
  <c r="D89" i="60"/>
  <c r="G68" i="64"/>
  <c r="F141" i="57"/>
  <c r="C84" i="53"/>
  <c r="F100" i="53"/>
  <c r="E64" i="59"/>
  <c r="H98" i="53"/>
  <c r="J199" i="57"/>
  <c r="F68" i="61"/>
  <c r="D190" i="59"/>
  <c r="I124" i="60"/>
  <c r="E177" i="53"/>
  <c r="D62" i="57"/>
  <c r="G159" i="60"/>
  <c r="H106" i="32"/>
  <c r="D90" i="59"/>
  <c r="D144" i="59"/>
  <c r="I124" i="53"/>
  <c r="H110" i="59"/>
  <c r="D86" i="57"/>
  <c r="D95" i="53"/>
  <c r="E78" i="63"/>
  <c r="C83" i="63"/>
  <c r="E124" i="63"/>
  <c r="F167" i="59"/>
  <c r="C84" i="57"/>
  <c r="C119" i="53"/>
  <c r="E105" i="63"/>
  <c r="D74" i="64"/>
  <c r="D66" i="64"/>
  <c r="J66" i="64"/>
  <c r="J96" i="62"/>
  <c r="E195" i="61"/>
  <c r="F143" i="53"/>
  <c r="G73" i="60"/>
  <c r="G74" i="61"/>
  <c r="H92" i="61"/>
  <c r="D190" i="64"/>
  <c r="D59" i="64"/>
  <c r="C96" i="63"/>
  <c r="I177" i="62"/>
  <c r="D73" i="62"/>
  <c r="D200" i="60"/>
  <c r="J175" i="59"/>
  <c r="E72" i="59"/>
  <c r="I102" i="53"/>
  <c r="C121" i="63"/>
  <c r="D175" i="61"/>
  <c r="G138" i="60"/>
  <c r="J172" i="63"/>
  <c r="D175" i="63"/>
  <c r="F171" i="64"/>
  <c r="C190" i="57"/>
  <c r="D89" i="57"/>
  <c r="C157" i="57"/>
  <c r="H134" i="60"/>
  <c r="H197" i="64"/>
  <c r="I175" i="68"/>
  <c r="D118" i="64"/>
  <c r="E51" i="63"/>
  <c r="F74" i="62"/>
  <c r="H156" i="60"/>
  <c r="G145" i="59"/>
  <c r="C137" i="53"/>
  <c r="H135" i="62"/>
  <c r="D140" i="63"/>
  <c r="D79" i="64"/>
  <c r="H75" i="64"/>
  <c r="E53" i="63"/>
  <c r="H94" i="63"/>
  <c r="J116" i="53"/>
  <c r="I115" i="53"/>
  <c r="C200" i="61"/>
  <c r="G115" i="53"/>
  <c r="J75" i="53"/>
  <c r="F173" i="68"/>
  <c r="G142" i="62"/>
  <c r="G76" i="57"/>
  <c r="F193" i="57"/>
  <c r="F72" i="53"/>
  <c r="E137" i="61"/>
  <c r="G150" i="60"/>
  <c r="J102" i="53"/>
  <c r="F131" i="60"/>
  <c r="E80" i="59"/>
  <c r="I133" i="53"/>
  <c r="E109" i="53"/>
  <c r="C86" i="57"/>
  <c r="I84" i="60"/>
  <c r="E59" i="64"/>
  <c r="C99" i="53"/>
  <c r="H84" i="53"/>
  <c r="C67" i="57"/>
  <c r="G160" i="60"/>
  <c r="H105" i="62"/>
  <c r="H126" i="53"/>
  <c r="H67" i="59"/>
  <c r="C92" i="53"/>
  <c r="I198" i="59"/>
  <c r="E86" i="57"/>
  <c r="J81" i="60"/>
  <c r="E186" i="59"/>
  <c r="J81" i="53"/>
  <c r="I197" i="63"/>
  <c r="I159" i="63"/>
  <c r="F141" i="64"/>
  <c r="E145" i="59"/>
  <c r="G58" i="57"/>
  <c r="H100" i="60"/>
  <c r="H96" i="64"/>
  <c r="E75" i="63"/>
  <c r="D189" i="63"/>
  <c r="E138" i="63"/>
  <c r="H163" i="64"/>
  <c r="D119" i="61"/>
  <c r="H178" i="57"/>
  <c r="D61" i="60"/>
  <c r="F103" i="61"/>
  <c r="F182" i="61"/>
  <c r="D139" i="64"/>
  <c r="C57" i="63"/>
  <c r="E82" i="62"/>
  <c r="D100" i="64"/>
  <c r="G72" i="61"/>
  <c r="G144" i="62"/>
  <c r="F149" i="53"/>
  <c r="D165" i="53"/>
  <c r="C80" i="53"/>
  <c r="I182" i="64"/>
  <c r="C101" i="61"/>
  <c r="J51" i="62"/>
  <c r="J123" i="62"/>
  <c r="D72" i="64"/>
  <c r="H58" i="64"/>
  <c r="G72" i="57"/>
  <c r="J79" i="57"/>
  <c r="C100" i="53"/>
  <c r="E130" i="60"/>
  <c r="D134" i="64"/>
  <c r="I72" i="64"/>
  <c r="F190" i="63"/>
  <c r="E193" i="64"/>
  <c r="I160" i="61"/>
  <c r="F146" i="60"/>
  <c r="G124" i="59"/>
  <c r="I138" i="59"/>
  <c r="C146" i="60"/>
  <c r="D136" i="68"/>
  <c r="E135" i="63"/>
  <c r="G60" i="64"/>
  <c r="G136" i="62"/>
  <c r="I196" i="62"/>
  <c r="E137" i="53"/>
  <c r="F59" i="60"/>
  <c r="F152" i="62"/>
  <c r="J124" i="59"/>
  <c r="H52" i="53"/>
  <c r="J58" i="63"/>
  <c r="J198" i="63"/>
  <c r="C109" i="53"/>
  <c r="I91" i="60"/>
  <c r="D100" i="60"/>
  <c r="H114" i="60"/>
  <c r="D68" i="61"/>
  <c r="E79" i="53"/>
  <c r="C137" i="57"/>
  <c r="I186" i="59"/>
  <c r="E119" i="53"/>
  <c r="D76" i="60"/>
  <c r="F99" i="53"/>
  <c r="C72" i="60"/>
  <c r="I60" i="63"/>
  <c r="D99" i="60"/>
  <c r="H105" i="53"/>
  <c r="D194" i="53"/>
  <c r="D106" i="61"/>
  <c r="I170" i="61"/>
  <c r="J184" i="62"/>
  <c r="D109" i="62"/>
  <c r="I143" i="61"/>
  <c r="J81" i="57"/>
  <c r="D122" i="59"/>
  <c r="D76" i="53"/>
  <c r="J176" i="65"/>
  <c r="G106" i="62"/>
  <c r="F170" i="63"/>
  <c r="D137" i="61"/>
  <c r="D149" i="61"/>
  <c r="C180" i="62"/>
  <c r="C189" i="62"/>
  <c r="H119" i="59"/>
  <c r="F149" i="59"/>
  <c r="H56" i="57"/>
  <c r="F140" i="62"/>
  <c r="I183" i="60"/>
  <c r="D103" i="60"/>
  <c r="I109" i="60"/>
  <c r="F157" i="61"/>
  <c r="I58" i="64"/>
  <c r="C88" i="57"/>
  <c r="C70" i="57"/>
  <c r="D199" i="53"/>
  <c r="E158" i="62"/>
  <c r="D94" i="63"/>
  <c r="I86" i="63"/>
  <c r="H130" i="64"/>
  <c r="G185" i="62"/>
  <c r="H92" i="62"/>
  <c r="C167" i="59"/>
  <c r="J147" i="57"/>
  <c r="D134" i="62"/>
  <c r="J196" i="65"/>
  <c r="I127" i="62"/>
  <c r="E54" i="62"/>
  <c r="C93" i="61"/>
  <c r="E151" i="61"/>
  <c r="I182" i="62"/>
  <c r="C110" i="62"/>
  <c r="F86" i="53"/>
  <c r="I94" i="60"/>
  <c r="D152" i="63"/>
  <c r="J173" i="60"/>
  <c r="J123" i="63"/>
  <c r="G176" i="61"/>
  <c r="E103" i="61"/>
  <c r="G183" i="60"/>
  <c r="G194" i="61"/>
  <c r="I149" i="53"/>
  <c r="G197" i="59"/>
  <c r="I95" i="60"/>
  <c r="G54" i="57"/>
  <c r="J159" i="63"/>
  <c r="G145" i="61"/>
  <c r="H168" i="59"/>
  <c r="J172" i="61"/>
  <c r="F157" i="53"/>
  <c r="F88" i="53"/>
  <c r="D167" i="59"/>
  <c r="G66" i="60"/>
  <c r="I79" i="63"/>
  <c r="C83" i="57"/>
  <c r="G143" i="53"/>
  <c r="F169" i="53"/>
  <c r="D77" i="60"/>
  <c r="E198" i="59"/>
  <c r="J141" i="62"/>
  <c r="J182" i="57"/>
  <c r="E62" i="61"/>
  <c r="I66" i="59"/>
  <c r="C145" i="59"/>
  <c r="J190" i="53"/>
  <c r="G90" i="53"/>
  <c r="C140" i="63"/>
  <c r="D146" i="59"/>
  <c r="F122" i="57"/>
  <c r="D171" i="57"/>
  <c r="J98" i="59"/>
  <c r="I54" i="57"/>
  <c r="D153" i="63"/>
  <c r="E181" i="57"/>
  <c r="J146" i="59"/>
  <c r="H109" i="59"/>
  <c r="F136" i="57"/>
  <c r="F150" i="61"/>
  <c r="D59" i="63"/>
  <c r="D160" i="61"/>
  <c r="I128" i="57"/>
  <c r="J52" i="59"/>
  <c r="G198" i="61"/>
  <c r="G126" i="63"/>
  <c r="C59" i="64"/>
  <c r="F122" i="63"/>
  <c r="I147" i="62"/>
  <c r="H147" i="63"/>
  <c r="J157" i="60"/>
  <c r="E127" i="62"/>
  <c r="H85" i="53"/>
  <c r="I100" i="53"/>
  <c r="C166" i="65"/>
  <c r="D193" i="61"/>
  <c r="D82" i="61"/>
  <c r="J96" i="61"/>
  <c r="F114" i="62"/>
  <c r="J181" i="62"/>
  <c r="C164" i="64"/>
  <c r="C125" i="59"/>
  <c r="I191" i="57"/>
  <c r="G64" i="57"/>
  <c r="I199" i="60"/>
  <c r="F113" i="62"/>
  <c r="F188" i="63"/>
  <c r="G81" i="64"/>
  <c r="I141" i="63"/>
  <c r="D58" i="63"/>
  <c r="E151" i="57"/>
  <c r="G135" i="53"/>
  <c r="G60" i="60"/>
  <c r="D199" i="64"/>
  <c r="D176" i="61"/>
  <c r="C145" i="61"/>
  <c r="D132" i="61"/>
  <c r="F100" i="62"/>
  <c r="D72" i="61"/>
  <c r="C54" i="63"/>
  <c r="D75" i="59"/>
  <c r="D117" i="59"/>
  <c r="F174" i="61"/>
  <c r="D116" i="63"/>
  <c r="E150" i="63"/>
  <c r="I62" i="63"/>
  <c r="H112" i="64"/>
  <c r="D135" i="61"/>
  <c r="E68" i="60"/>
  <c r="I167" i="61"/>
  <c r="H181" i="59"/>
  <c r="H64" i="53"/>
  <c r="E174" i="57"/>
  <c r="C160" i="61"/>
  <c r="E56" i="62"/>
  <c r="G51" i="59"/>
  <c r="C76" i="57"/>
  <c r="E85" i="61"/>
  <c r="C72" i="53"/>
  <c r="J160" i="59"/>
  <c r="I66" i="53"/>
  <c r="E77" i="59"/>
  <c r="J98" i="60"/>
  <c r="I93" i="57"/>
  <c r="D123" i="57"/>
  <c r="H176" i="57"/>
  <c r="E98" i="57"/>
  <c r="J188" i="61"/>
  <c r="I150" i="53"/>
  <c r="C188" i="57"/>
  <c r="J164" i="53"/>
  <c r="F105" i="53"/>
  <c r="D149" i="53"/>
  <c r="J108" i="59"/>
  <c r="D79" i="57"/>
  <c r="F189" i="53"/>
  <c r="J72" i="60"/>
  <c r="F192" i="57"/>
  <c r="H68" i="53"/>
  <c r="I168" i="57"/>
  <c r="G94" i="63"/>
  <c r="D133" i="53"/>
  <c r="G179" i="60"/>
  <c r="I147" i="59"/>
  <c r="C109" i="63"/>
  <c r="F114" i="61"/>
  <c r="J95" i="63"/>
  <c r="F75" i="57"/>
  <c r="D104" i="60"/>
  <c r="G56" i="53"/>
  <c r="G151" i="59"/>
  <c r="D119" i="60"/>
  <c r="H200" i="61"/>
  <c r="J121" i="61"/>
  <c r="J81" i="61"/>
  <c r="D112" i="60"/>
  <c r="I87" i="63"/>
  <c r="H90" i="59"/>
  <c r="F189" i="57"/>
  <c r="D134" i="57"/>
  <c r="G174" i="63"/>
  <c r="H94" i="61"/>
  <c r="D58" i="61"/>
  <c r="E106" i="63"/>
  <c r="F87" i="64"/>
  <c r="G151" i="64"/>
  <c r="F51" i="60"/>
  <c r="J177" i="53"/>
  <c r="F74" i="57"/>
  <c r="D141" i="64"/>
  <c r="J197" i="63"/>
  <c r="G146" i="64"/>
  <c r="D61" i="64"/>
  <c r="D196" i="63"/>
  <c r="G178" i="62"/>
  <c r="G102" i="53"/>
  <c r="E71" i="61"/>
  <c r="J142" i="59"/>
  <c r="F169" i="59"/>
  <c r="F53" i="63"/>
  <c r="E138" i="62"/>
  <c r="I171" i="61"/>
  <c r="F148" i="61"/>
  <c r="J91" i="62"/>
  <c r="D132" i="63"/>
  <c r="H146" i="53"/>
  <c r="I63" i="60"/>
  <c r="E95" i="64"/>
  <c r="G112" i="61"/>
  <c r="G81" i="61"/>
  <c r="I92" i="62"/>
  <c r="F64" i="62"/>
  <c r="I159" i="60"/>
  <c r="F105" i="63"/>
  <c r="F139" i="59"/>
  <c r="F182" i="59"/>
  <c r="E93" i="60"/>
  <c r="C170" i="53"/>
  <c r="J79" i="61"/>
  <c r="G138" i="62"/>
  <c r="J151" i="57"/>
  <c r="F58" i="59"/>
  <c r="C137" i="59"/>
  <c r="I112" i="59"/>
  <c r="J78" i="57"/>
  <c r="J54" i="60"/>
  <c r="J74" i="61"/>
  <c r="H75" i="57"/>
  <c r="D183" i="53"/>
  <c r="H61" i="57"/>
  <c r="I97" i="60"/>
  <c r="D167" i="61"/>
  <c r="F140" i="59"/>
  <c r="I59" i="59"/>
  <c r="J70" i="53"/>
  <c r="H171" i="59"/>
  <c r="F93" i="57"/>
  <c r="D55" i="60"/>
  <c r="D175" i="57"/>
  <c r="G191" i="62"/>
  <c r="F142" i="59"/>
  <c r="E68" i="57"/>
  <c r="F91" i="60"/>
  <c r="H167" i="60"/>
  <c r="I115" i="60"/>
  <c r="D121" i="59"/>
  <c r="I165" i="68"/>
  <c r="F84" i="63"/>
  <c r="J183" i="61"/>
  <c r="D75" i="53"/>
  <c r="H178" i="53"/>
  <c r="E103" i="60"/>
  <c r="J178" i="63"/>
  <c r="C133" i="62"/>
  <c r="H154" i="63"/>
  <c r="F151" i="63"/>
  <c r="G176" i="62"/>
  <c r="G64" i="63"/>
  <c r="D126" i="53"/>
  <c r="H136" i="60"/>
  <c r="C155" i="60"/>
  <c r="D92" i="61"/>
  <c r="H78" i="63"/>
  <c r="D60" i="64"/>
  <c r="E142" i="63"/>
  <c r="E165" i="64"/>
  <c r="H185" i="61"/>
  <c r="H75" i="60"/>
  <c r="G116" i="60"/>
  <c r="J104" i="53"/>
  <c r="J154" i="53"/>
  <c r="D52" i="64"/>
  <c r="F90" i="61"/>
  <c r="C175" i="60"/>
  <c r="C176" i="60"/>
  <c r="C177" i="61"/>
  <c r="F170" i="64"/>
  <c r="E58" i="60"/>
  <c r="C169" i="53"/>
  <c r="D186" i="57"/>
  <c r="F85" i="64"/>
  <c r="H93" i="63"/>
  <c r="G90" i="64"/>
  <c r="F60" i="64"/>
  <c r="G92" i="63"/>
  <c r="H114" i="62"/>
  <c r="E190" i="59"/>
  <c r="F61" i="61"/>
  <c r="H54" i="53"/>
  <c r="E187" i="60"/>
  <c r="C127" i="62"/>
  <c r="H101" i="64"/>
  <c r="G74" i="64"/>
  <c r="H125" i="63"/>
  <c r="I142" i="63"/>
  <c r="J147" i="53"/>
  <c r="C159" i="59"/>
  <c r="I65" i="60"/>
  <c r="G155" i="61"/>
  <c r="I144" i="59"/>
  <c r="H88" i="64"/>
  <c r="I65" i="61"/>
  <c r="G70" i="60"/>
  <c r="F135" i="57"/>
  <c r="J116" i="59"/>
  <c r="E133" i="57"/>
  <c r="I64" i="61"/>
  <c r="G107" i="68"/>
  <c r="G114" i="53"/>
  <c r="E65" i="61"/>
  <c r="H69" i="59"/>
  <c r="J115" i="53"/>
  <c r="H200" i="59"/>
  <c r="D69" i="57"/>
  <c r="E164" i="62"/>
  <c r="H199" i="57"/>
  <c r="G97" i="60"/>
  <c r="D136" i="57"/>
  <c r="E149" i="53"/>
  <c r="H82" i="60"/>
  <c r="F179" i="61"/>
  <c r="I88" i="64"/>
  <c r="I125" i="53"/>
  <c r="E116" i="53"/>
  <c r="F71" i="57"/>
  <c r="G154" i="53"/>
  <c r="C74" i="59"/>
  <c r="E136" i="60"/>
  <c r="E154" i="59"/>
  <c r="G170" i="59"/>
  <c r="I169" i="59"/>
  <c r="I58" i="59"/>
  <c r="H85" i="57"/>
  <c r="J114" i="57"/>
  <c r="J57" i="59"/>
  <c r="H70" i="63"/>
  <c r="H172" i="59"/>
  <c r="J104" i="60"/>
  <c r="J194" i="53"/>
  <c r="G198" i="59"/>
  <c r="H183" i="56"/>
  <c r="J55" i="60"/>
  <c r="F94" i="57"/>
  <c r="E99" i="59"/>
  <c r="I76" i="57"/>
  <c r="H192" i="59"/>
  <c r="E76" i="53"/>
  <c r="C155" i="59"/>
  <c r="C52" i="53"/>
  <c r="G91" i="60"/>
  <c r="J62" i="53"/>
  <c r="D175" i="53"/>
  <c r="E189" i="60"/>
  <c r="H119" i="68"/>
  <c r="E185" i="68"/>
  <c r="G58" i="65"/>
  <c r="G95" i="63"/>
  <c r="C145" i="60"/>
  <c r="H107" i="59"/>
  <c r="I158" i="60"/>
  <c r="I154" i="61"/>
  <c r="G180" i="60"/>
  <c r="C85" i="68"/>
  <c r="C112" i="65"/>
  <c r="H91" i="63"/>
  <c r="F129" i="60"/>
  <c r="E145" i="64"/>
  <c r="G81" i="59"/>
  <c r="E122" i="63"/>
  <c r="G161" i="65"/>
  <c r="I130" i="65"/>
  <c r="E119" i="61"/>
  <c r="D193" i="68"/>
  <c r="F163" i="65"/>
  <c r="H157" i="68"/>
  <c r="C179" i="60"/>
  <c r="H176" i="64"/>
  <c r="D90" i="53"/>
  <c r="I55" i="65"/>
  <c r="E139" i="68"/>
  <c r="D104" i="68"/>
  <c r="H62" i="68"/>
  <c r="C142" i="61"/>
  <c r="F149" i="68"/>
  <c r="E197" i="65"/>
  <c r="I151" i="63"/>
  <c r="I89" i="65"/>
  <c r="G77" i="63"/>
  <c r="J167" i="64"/>
  <c r="E183" i="64"/>
  <c r="D195" i="61"/>
  <c r="G148" i="68"/>
  <c r="H105" i="65"/>
  <c r="D165" i="60"/>
  <c r="H141" i="57"/>
  <c r="C136" i="63"/>
  <c r="G183" i="64"/>
  <c r="J88" i="64"/>
  <c r="G190" i="57"/>
  <c r="E151" i="62"/>
  <c r="E67" i="57"/>
  <c r="J146" i="64"/>
  <c r="I149" i="61"/>
  <c r="J200" i="61"/>
  <c r="G101" i="64"/>
  <c r="F194" i="61"/>
  <c r="J181" i="53"/>
  <c r="I104" i="63"/>
  <c r="D169" i="61"/>
  <c r="F117" i="64"/>
  <c r="E100" i="57"/>
  <c r="C171" i="53"/>
  <c r="E122" i="59"/>
  <c r="H166" i="63"/>
  <c r="I59" i="53"/>
  <c r="J69" i="57"/>
  <c r="D197" i="59"/>
  <c r="J134" i="63"/>
  <c r="C121" i="59"/>
  <c r="G55" i="60"/>
  <c r="C115" i="53"/>
  <c r="D152" i="53"/>
  <c r="G121" i="56"/>
  <c r="J115" i="59"/>
  <c r="F111" i="57"/>
  <c r="H60" i="53"/>
  <c r="I79" i="60"/>
  <c r="G59" i="60"/>
  <c r="G57" i="53"/>
  <c r="G59" i="59"/>
  <c r="C67" i="53"/>
  <c r="J166" i="53"/>
  <c r="E156" i="62"/>
  <c r="E79" i="61"/>
  <c r="C101" i="62"/>
  <c r="H157" i="57"/>
  <c r="C128" i="59"/>
  <c r="I196" i="59"/>
  <c r="J197" i="68"/>
  <c r="G95" i="62"/>
  <c r="F85" i="63"/>
  <c r="H192" i="61"/>
  <c r="J122" i="61"/>
  <c r="G190" i="62"/>
  <c r="F153" i="61"/>
  <c r="I146" i="53"/>
  <c r="H186" i="59"/>
  <c r="H78" i="65"/>
  <c r="E70" i="61"/>
  <c r="F81" i="61"/>
  <c r="G139" i="60"/>
  <c r="H197" i="60"/>
  <c r="F98" i="61"/>
  <c r="D144" i="63"/>
  <c r="D65" i="59"/>
  <c r="G141" i="57"/>
  <c r="J146" i="53"/>
  <c r="J168" i="60"/>
  <c r="G149" i="62"/>
  <c r="I199" i="63"/>
  <c r="J64" i="64"/>
  <c r="E192" i="62"/>
  <c r="G53" i="63"/>
  <c r="I149" i="59"/>
  <c r="H154" i="57"/>
  <c r="G60" i="61"/>
  <c r="C101" i="65"/>
  <c r="J155" i="62"/>
  <c r="H150" i="61"/>
  <c r="J58" i="62"/>
  <c r="J180" i="61"/>
  <c r="I166" i="60"/>
  <c r="G165" i="62"/>
  <c r="F138" i="53"/>
  <c r="F131" i="57"/>
  <c r="F125" i="61"/>
  <c r="E131" i="63"/>
  <c r="H84" i="63"/>
  <c r="E106" i="62"/>
  <c r="C137" i="64"/>
  <c r="F154" i="60"/>
  <c r="G84" i="62"/>
  <c r="J82" i="53"/>
  <c r="D113" i="59"/>
  <c r="D157" i="59"/>
  <c r="D110" i="57"/>
  <c r="G95" i="64"/>
  <c r="F181" i="64"/>
  <c r="H161" i="59"/>
  <c r="I188" i="60"/>
  <c r="J103" i="59"/>
  <c r="G132" i="53"/>
  <c r="E73" i="53"/>
  <c r="H144" i="59"/>
  <c r="H90" i="53"/>
  <c r="E146" i="59"/>
  <c r="E51" i="53"/>
  <c r="F184" i="53"/>
  <c r="H76" i="60"/>
  <c r="E66" i="57"/>
  <c r="D154" i="64"/>
  <c r="E91" i="59"/>
  <c r="D147" i="61"/>
  <c r="H114" i="53"/>
  <c r="G190" i="59"/>
  <c r="C97" i="53"/>
  <c r="D145" i="53"/>
  <c r="I69" i="61"/>
  <c r="D192" i="57"/>
  <c r="H197" i="53"/>
  <c r="E170" i="57"/>
  <c r="E106" i="53"/>
  <c r="C110" i="57"/>
  <c r="E179" i="62"/>
  <c r="J90" i="53"/>
  <c r="I135" i="61"/>
  <c r="H131" i="53"/>
  <c r="G63" i="53"/>
  <c r="J147" i="59"/>
  <c r="F122" i="60"/>
  <c r="F138" i="61"/>
  <c r="J106" i="60"/>
  <c r="E124" i="64"/>
  <c r="E104" i="62"/>
  <c r="D82" i="57"/>
  <c r="F133" i="53"/>
  <c r="G133" i="61"/>
  <c r="I138" i="63"/>
  <c r="G143" i="64"/>
  <c r="F143" i="62"/>
  <c r="I52" i="64"/>
  <c r="E98" i="64"/>
  <c r="J186" i="53"/>
  <c r="F164" i="57"/>
  <c r="I60" i="61"/>
  <c r="I190" i="64"/>
  <c r="E89" i="63"/>
  <c r="J154" i="68"/>
  <c r="F148" i="63"/>
  <c r="D104" i="63"/>
  <c r="G96" i="62"/>
  <c r="D170" i="53"/>
  <c r="F67" i="61"/>
  <c r="D78" i="59"/>
  <c r="D61" i="68"/>
  <c r="D129" i="60"/>
  <c r="J140" i="61"/>
  <c r="C103" i="61"/>
  <c r="I153" i="61"/>
  <c r="H163" i="60"/>
  <c r="G81" i="63"/>
  <c r="I150" i="59"/>
  <c r="E185" i="60"/>
  <c r="E158" i="57"/>
  <c r="D190" i="63"/>
  <c r="D122" i="63"/>
  <c r="G135" i="62"/>
  <c r="H169" i="62"/>
  <c r="F106" i="64"/>
  <c r="D139" i="60"/>
  <c r="C61" i="60"/>
  <c r="G78" i="62"/>
  <c r="I143" i="53"/>
  <c r="F120" i="63"/>
  <c r="G122" i="60"/>
  <c r="I132" i="62"/>
  <c r="C103" i="63"/>
  <c r="E140" i="64"/>
  <c r="I109" i="64"/>
  <c r="H107" i="57"/>
  <c r="I169" i="53"/>
  <c r="G75" i="57"/>
  <c r="J123" i="61"/>
  <c r="D81" i="53"/>
  <c r="J110" i="63"/>
  <c r="J83" i="63"/>
  <c r="G64" i="60"/>
  <c r="D198" i="53"/>
  <c r="I134" i="57"/>
  <c r="H83" i="60"/>
  <c r="C116" i="57"/>
  <c r="G180" i="62"/>
  <c r="H101" i="57"/>
  <c r="C53" i="62"/>
  <c r="E139" i="53"/>
  <c r="J102" i="59"/>
  <c r="E61" i="60"/>
  <c r="E172" i="57"/>
  <c r="C93" i="62"/>
  <c r="I74" i="57"/>
  <c r="J75" i="57"/>
  <c r="H137" i="57"/>
  <c r="I141" i="59"/>
  <c r="F76" i="60"/>
  <c r="F77" i="63"/>
  <c r="I193" i="57"/>
  <c r="D96" i="59"/>
  <c r="D167" i="53"/>
  <c r="D128" i="59"/>
  <c r="D178" i="59"/>
  <c r="E171" i="59"/>
  <c r="I131" i="57"/>
  <c r="E115" i="60"/>
  <c r="D124" i="61"/>
  <c r="C102" i="64"/>
  <c r="I187" i="61"/>
  <c r="D56" i="57"/>
  <c r="J69" i="60"/>
  <c r="D104" i="61"/>
  <c r="H132" i="62"/>
  <c r="C191" i="63"/>
  <c r="I169" i="64"/>
  <c r="J57" i="63"/>
  <c r="J174" i="63"/>
  <c r="D185" i="57"/>
  <c r="D148" i="59"/>
  <c r="E192" i="60"/>
  <c r="I58" i="63"/>
  <c r="D152" i="62"/>
  <c r="E73" i="64"/>
  <c r="I103" i="64"/>
  <c r="G186" i="62"/>
  <c r="D190" i="61"/>
  <c r="E71" i="59"/>
  <c r="H104" i="61"/>
  <c r="H55" i="59"/>
  <c r="E129" i="65"/>
  <c r="I191" i="62"/>
  <c r="G129" i="61"/>
  <c r="C157" i="61"/>
  <c r="I102" i="62"/>
  <c r="H103" i="62"/>
  <c r="G174" i="62"/>
  <c r="F174" i="59"/>
  <c r="D124" i="57"/>
  <c r="D91" i="57"/>
  <c r="D96" i="64"/>
  <c r="H159" i="62"/>
  <c r="E166" i="64"/>
  <c r="H152" i="64"/>
  <c r="I106" i="63"/>
  <c r="G141" i="60"/>
  <c r="I99" i="57"/>
  <c r="D170" i="60"/>
  <c r="D120" i="53"/>
  <c r="D63" i="64"/>
  <c r="F149" i="62"/>
  <c r="H143" i="62"/>
  <c r="G117" i="64"/>
  <c r="I70" i="63"/>
  <c r="D98" i="64"/>
  <c r="G96" i="57"/>
  <c r="G97" i="57"/>
  <c r="F96" i="53"/>
  <c r="E116" i="61"/>
  <c r="G59" i="53"/>
  <c r="C157" i="62"/>
  <c r="E116" i="64"/>
  <c r="J130" i="57"/>
  <c r="I91" i="59"/>
  <c r="G90" i="57"/>
  <c r="D164" i="57"/>
  <c r="G110" i="53"/>
  <c r="E57" i="61"/>
  <c r="C93" i="60"/>
  <c r="H174" i="61"/>
  <c r="G117" i="53"/>
  <c r="H81" i="59"/>
  <c r="G103" i="57"/>
  <c r="D155" i="53"/>
  <c r="C77" i="63"/>
  <c r="I123" i="53"/>
  <c r="E63" i="57"/>
  <c r="D83" i="60"/>
  <c r="J162" i="59"/>
  <c r="G105" i="57"/>
  <c r="D141" i="62"/>
  <c r="D110" i="63"/>
  <c r="E119" i="60"/>
  <c r="F81" i="53"/>
  <c r="I195" i="59"/>
  <c r="G143" i="60"/>
  <c r="C100" i="63"/>
  <c r="C154" i="64"/>
  <c r="F145" i="63"/>
  <c r="D197" i="62"/>
  <c r="J170" i="62"/>
  <c r="E130" i="61"/>
  <c r="G132" i="62"/>
  <c r="E69" i="65"/>
  <c r="F182" i="65"/>
  <c r="D115" i="64"/>
  <c r="G58" i="64"/>
  <c r="E196" i="63"/>
  <c r="I125" i="65"/>
  <c r="J111" i="68"/>
  <c r="D79" i="68"/>
  <c r="D186" i="60"/>
  <c r="J104" i="68"/>
  <c r="J58" i="65"/>
  <c r="C76" i="65"/>
  <c r="E140" i="61"/>
  <c r="D54" i="63"/>
  <c r="C124" i="59"/>
  <c r="D120" i="65"/>
  <c r="J200" i="68"/>
  <c r="T33" i="56" s="1"/>
  <c r="D85" i="68"/>
  <c r="F197" i="65"/>
  <c r="F185" i="68"/>
  <c r="C171" i="65"/>
  <c r="F123" i="65"/>
  <c r="G57" i="62"/>
  <c r="F164" i="63"/>
  <c r="H140" i="59"/>
  <c r="D127" i="68"/>
  <c r="G168" i="65"/>
  <c r="D160" i="65"/>
  <c r="J83" i="68"/>
  <c r="I88" i="68"/>
  <c r="G82" i="65"/>
  <c r="J58" i="68"/>
  <c r="E177" i="61"/>
  <c r="E151" i="68"/>
  <c r="G162" i="61"/>
  <c r="F75" i="68"/>
  <c r="I72" i="68"/>
  <c r="J57" i="62"/>
  <c r="E116" i="65"/>
  <c r="E52" i="63"/>
  <c r="J54" i="63"/>
  <c r="G106" i="59"/>
  <c r="F64" i="59"/>
  <c r="H55" i="63"/>
  <c r="F52" i="61"/>
  <c r="J138" i="60"/>
  <c r="D77" i="61"/>
  <c r="D83" i="53"/>
  <c r="E95" i="62"/>
  <c r="F147" i="53"/>
  <c r="G90" i="63"/>
  <c r="C113" i="63"/>
  <c r="C59" i="53"/>
  <c r="D103" i="63"/>
  <c r="F93" i="62"/>
  <c r="E58" i="64"/>
  <c r="H191" i="62"/>
  <c r="H74" i="60"/>
  <c r="H53" i="57"/>
  <c r="I123" i="65"/>
  <c r="G151" i="63"/>
  <c r="F153" i="59"/>
  <c r="E126" i="60"/>
  <c r="I138" i="60"/>
  <c r="C58" i="63"/>
  <c r="C168" i="57"/>
  <c r="I70" i="59"/>
  <c r="C126" i="59"/>
  <c r="C87" i="62"/>
  <c r="J67" i="61"/>
  <c r="D128" i="57"/>
  <c r="G90" i="60"/>
  <c r="C184" i="53"/>
  <c r="G77" i="57"/>
  <c r="G158" i="53"/>
  <c r="J67" i="53"/>
  <c r="D100" i="61"/>
  <c r="G108" i="62"/>
  <c r="D145" i="59"/>
  <c r="I150" i="62"/>
  <c r="I117" i="64"/>
  <c r="I179" i="61"/>
  <c r="I199" i="57"/>
  <c r="H178" i="62"/>
  <c r="F188" i="60"/>
  <c r="I91" i="61"/>
  <c r="G108" i="63"/>
  <c r="H61" i="64"/>
  <c r="E93" i="63"/>
  <c r="E121" i="64"/>
  <c r="C115" i="61"/>
  <c r="I155" i="57"/>
  <c r="I199" i="61"/>
  <c r="G192" i="59"/>
  <c r="G79" i="64"/>
  <c r="F121" i="60"/>
  <c r="E61" i="64"/>
  <c r="H176" i="61"/>
  <c r="J169" i="61"/>
  <c r="C64" i="61"/>
  <c r="F125" i="63"/>
  <c r="I192" i="59"/>
  <c r="I83" i="53"/>
  <c r="C87" i="60"/>
  <c r="H78" i="64"/>
  <c r="J59" i="62"/>
  <c r="C126" i="62"/>
  <c r="J85" i="62"/>
  <c r="I194" i="63"/>
  <c r="H185" i="63"/>
  <c r="D96" i="57"/>
  <c r="H113" i="57"/>
  <c r="J109" i="59"/>
  <c r="I198" i="64"/>
  <c r="J64" i="62"/>
  <c r="J165" i="64"/>
  <c r="H153" i="62"/>
  <c r="D127" i="60"/>
  <c r="C62" i="62"/>
  <c r="C85" i="61"/>
  <c r="F141" i="59"/>
  <c r="H177" i="59"/>
  <c r="G150" i="68"/>
  <c r="D134" i="63"/>
  <c r="J156" i="63"/>
  <c r="F189" i="63"/>
  <c r="G198" i="68"/>
  <c r="C143" i="61"/>
  <c r="F146" i="59"/>
  <c r="J195" i="60"/>
  <c r="H95" i="53"/>
  <c r="I131" i="53"/>
  <c r="C123" i="59"/>
  <c r="H195" i="61"/>
  <c r="J191" i="62"/>
  <c r="I140" i="62"/>
  <c r="I93" i="60"/>
  <c r="E87" i="61"/>
  <c r="I71" i="59"/>
  <c r="D76" i="59"/>
  <c r="C118" i="53"/>
  <c r="E73" i="60"/>
  <c r="J73" i="53"/>
  <c r="G55" i="57"/>
  <c r="F101" i="60"/>
  <c r="C132" i="59"/>
  <c r="D67" i="60"/>
  <c r="E136" i="64"/>
  <c r="H95" i="59"/>
  <c r="G114" i="59"/>
  <c r="I145" i="62"/>
  <c r="J139" i="53"/>
  <c r="F100" i="59"/>
  <c r="J143" i="53"/>
  <c r="E108" i="53"/>
  <c r="F113" i="53"/>
  <c r="G77" i="60"/>
  <c r="E147" i="59"/>
  <c r="C105" i="57"/>
  <c r="H81" i="53"/>
  <c r="J69" i="61"/>
  <c r="C114" i="59"/>
  <c r="F59" i="57"/>
  <c r="D194" i="61"/>
  <c r="J61" i="53"/>
  <c r="H162" i="59"/>
  <c r="C151" i="57"/>
  <c r="J132" i="62"/>
  <c r="E131" i="60"/>
  <c r="I96" i="63"/>
  <c r="H53" i="59"/>
  <c r="I55" i="57"/>
  <c r="E112" i="57"/>
  <c r="G125" i="63"/>
  <c r="H65" i="61"/>
  <c r="H164" i="61"/>
  <c r="G167" i="63"/>
  <c r="E136" i="68"/>
  <c r="E153" i="62"/>
  <c r="D140" i="60"/>
  <c r="F78" i="60"/>
  <c r="D132" i="57"/>
  <c r="J62" i="64"/>
  <c r="I165" i="64"/>
  <c r="H69" i="62"/>
  <c r="E115" i="63"/>
  <c r="I140" i="64"/>
  <c r="H102" i="60"/>
  <c r="H59" i="60"/>
  <c r="I187" i="53"/>
  <c r="E111" i="60"/>
  <c r="I142" i="64"/>
  <c r="J152" i="60"/>
  <c r="J192" i="62"/>
  <c r="F170" i="60"/>
  <c r="I161" i="60"/>
  <c r="H80" i="62"/>
  <c r="H79" i="64"/>
  <c r="I175" i="59"/>
  <c r="D137" i="57"/>
  <c r="E110" i="57"/>
  <c r="F165" i="60"/>
  <c r="G197" i="64"/>
  <c r="F93" i="63"/>
  <c r="F152" i="63"/>
  <c r="G128" i="62"/>
  <c r="H108" i="63"/>
  <c r="G85" i="59"/>
  <c r="H72" i="60"/>
  <c r="F197" i="60"/>
  <c r="G86" i="62"/>
  <c r="J115" i="60"/>
  <c r="G85" i="61"/>
  <c r="E89" i="64"/>
  <c r="F189" i="62"/>
  <c r="E110" i="63"/>
  <c r="D171" i="59"/>
  <c r="I159" i="57"/>
  <c r="E63" i="60"/>
  <c r="J173" i="53"/>
  <c r="I132" i="65"/>
  <c r="G69" i="61"/>
  <c r="C199" i="59"/>
  <c r="I197" i="53"/>
  <c r="D157" i="57"/>
  <c r="H200" i="57"/>
  <c r="I123" i="57"/>
  <c r="F90" i="60"/>
  <c r="E191" i="63"/>
  <c r="D93" i="59"/>
  <c r="C115" i="60"/>
  <c r="I80" i="53"/>
  <c r="J87" i="59"/>
  <c r="F137" i="53"/>
  <c r="H56" i="53"/>
  <c r="H160" i="57"/>
  <c r="H134" i="53"/>
  <c r="C138" i="59"/>
  <c r="J96" i="57"/>
  <c r="C164" i="57"/>
  <c r="J141" i="53"/>
  <c r="H82" i="64"/>
  <c r="D67" i="53"/>
  <c r="E165" i="61"/>
  <c r="E63" i="59"/>
  <c r="H102" i="53"/>
  <c r="J161" i="53"/>
  <c r="E99" i="53"/>
  <c r="H148" i="57"/>
  <c r="D165" i="63"/>
  <c r="J186" i="61"/>
  <c r="H111" i="64"/>
  <c r="H94" i="57"/>
  <c r="C80" i="59"/>
  <c r="I136" i="59"/>
  <c r="J81" i="64"/>
  <c r="E190" i="60"/>
  <c r="I179" i="60"/>
  <c r="I82" i="63"/>
  <c r="H152" i="63"/>
  <c r="C137" i="68"/>
  <c r="E76" i="60"/>
  <c r="C179" i="53"/>
  <c r="I170" i="53"/>
  <c r="I167" i="62"/>
  <c r="D86" i="64"/>
  <c r="H196" i="68"/>
  <c r="D79" i="62"/>
  <c r="J196" i="63"/>
  <c r="F110" i="64"/>
  <c r="G99" i="57"/>
  <c r="G196" i="57"/>
  <c r="G125" i="61"/>
  <c r="E102" i="68"/>
  <c r="H116" i="62"/>
  <c r="G138" i="61"/>
  <c r="J178" i="62"/>
  <c r="G148" i="60"/>
  <c r="D118" i="61"/>
  <c r="C153" i="63"/>
  <c r="C188" i="59"/>
  <c r="I119" i="53"/>
  <c r="H154" i="59"/>
  <c r="H178" i="61"/>
  <c r="J199" i="63"/>
  <c r="C131" i="63"/>
  <c r="I130" i="63"/>
  <c r="E151" i="64"/>
  <c r="C107" i="62"/>
  <c r="I160" i="57"/>
  <c r="J52" i="60"/>
  <c r="D59" i="62"/>
  <c r="H86" i="64"/>
  <c r="G82" i="62"/>
  <c r="H140" i="60"/>
  <c r="G87" i="63"/>
  <c r="J157" i="59"/>
  <c r="D192" i="62"/>
  <c r="I51" i="60"/>
  <c r="J66" i="60"/>
  <c r="C172" i="53"/>
  <c r="J164" i="57"/>
  <c r="E90" i="68"/>
  <c r="J111" i="62"/>
  <c r="D173" i="57"/>
  <c r="D71" i="59"/>
  <c r="J191" i="53"/>
  <c r="C192" i="57"/>
  <c r="C166" i="59"/>
  <c r="F155" i="57"/>
  <c r="H119" i="60"/>
  <c r="D136" i="59"/>
  <c r="H112" i="60"/>
  <c r="G177" i="59"/>
  <c r="C55" i="53"/>
  <c r="F122" i="53"/>
  <c r="J185" i="59"/>
  <c r="G83" i="53"/>
  <c r="H79" i="60"/>
  <c r="E70" i="60"/>
  <c r="I117" i="53"/>
  <c r="H184" i="53"/>
  <c r="E188" i="57"/>
  <c r="D197" i="63"/>
  <c r="J126" i="63"/>
  <c r="I172" i="61"/>
  <c r="G62" i="59"/>
  <c r="H131" i="60"/>
  <c r="D59" i="57"/>
  <c r="I137" i="60"/>
  <c r="I182" i="63"/>
  <c r="H167" i="64"/>
  <c r="E60" i="64"/>
  <c r="H54" i="63"/>
  <c r="I161" i="62"/>
  <c r="E83" i="57"/>
  <c r="I69" i="62"/>
  <c r="G129" i="53"/>
  <c r="D78" i="63"/>
  <c r="F169" i="62"/>
  <c r="H141" i="68"/>
  <c r="E144" i="62"/>
  <c r="E127" i="60"/>
  <c r="J195" i="61"/>
  <c r="F95" i="62"/>
  <c r="E129" i="53"/>
  <c r="G166" i="53"/>
  <c r="C130" i="53"/>
  <c r="C153" i="62"/>
  <c r="I67" i="61"/>
  <c r="D182" i="60"/>
  <c r="F126" i="63"/>
  <c r="G168" i="64"/>
  <c r="I169" i="62"/>
  <c r="H158" i="57"/>
  <c r="I144" i="57"/>
  <c r="H133" i="57"/>
  <c r="D63" i="62"/>
  <c r="G99" i="61"/>
  <c r="G55" i="63"/>
  <c r="I142" i="61"/>
  <c r="C82" i="62"/>
  <c r="I178" i="62"/>
  <c r="C110" i="60"/>
  <c r="D70" i="53"/>
  <c r="F119" i="59"/>
  <c r="I91" i="64"/>
  <c r="D167" i="62"/>
  <c r="C186" i="68"/>
  <c r="E172" i="64"/>
  <c r="D162" i="63"/>
  <c r="D176" i="62"/>
  <c r="H177" i="53"/>
  <c r="C69" i="61"/>
  <c r="F71" i="59"/>
  <c r="H97" i="59"/>
  <c r="J52" i="53"/>
  <c r="H185" i="60"/>
  <c r="D165" i="61"/>
  <c r="F127" i="61"/>
  <c r="D134" i="59"/>
  <c r="D134" i="60"/>
  <c r="J190" i="62"/>
  <c r="E157" i="59"/>
  <c r="C84" i="59"/>
  <c r="H51" i="59"/>
  <c r="I122" i="53"/>
  <c r="J118" i="53"/>
  <c r="E185" i="59"/>
  <c r="H198" i="53"/>
  <c r="H124" i="59"/>
  <c r="C93" i="63"/>
  <c r="E57" i="62"/>
  <c r="G129" i="57"/>
  <c r="H54" i="62"/>
  <c r="D92" i="59"/>
  <c r="J189" i="59"/>
  <c r="G108" i="59"/>
  <c r="F153" i="57"/>
  <c r="E62" i="59"/>
  <c r="G200" i="57"/>
  <c r="J192" i="53"/>
  <c r="G126" i="57"/>
  <c r="D97" i="57"/>
  <c r="G187" i="64"/>
  <c r="G172" i="62"/>
  <c r="C91" i="60"/>
  <c r="H145" i="62"/>
  <c r="F101" i="53"/>
  <c r="D190" i="60"/>
  <c r="H172" i="64"/>
  <c r="F60" i="63"/>
  <c r="J70" i="59"/>
  <c r="G79" i="60"/>
  <c r="C97" i="57"/>
  <c r="I159" i="62"/>
  <c r="J173" i="63"/>
  <c r="I185" i="64"/>
  <c r="C144" i="62"/>
  <c r="H109" i="64"/>
  <c r="F67" i="64"/>
  <c r="J187" i="53"/>
  <c r="I83" i="57"/>
  <c r="C66" i="62"/>
  <c r="F141" i="60"/>
  <c r="C125" i="64"/>
  <c r="D123" i="64"/>
  <c r="E128" i="64"/>
  <c r="H61" i="63"/>
  <c r="C57" i="62"/>
  <c r="J178" i="60"/>
  <c r="I112" i="53"/>
  <c r="E153" i="59"/>
  <c r="F68" i="59"/>
  <c r="J118" i="63"/>
  <c r="F131" i="62"/>
  <c r="I89" i="61"/>
  <c r="I88" i="62"/>
  <c r="H156" i="62"/>
  <c r="E90" i="63"/>
  <c r="C95" i="59"/>
  <c r="D131" i="60"/>
  <c r="D64" i="60"/>
  <c r="C179" i="61"/>
  <c r="F108" i="68"/>
  <c r="D69" i="63"/>
  <c r="D105" i="62"/>
  <c r="F187" i="63"/>
  <c r="F63" i="61"/>
  <c r="C198" i="53"/>
  <c r="F147" i="61"/>
  <c r="H102" i="59"/>
  <c r="H171" i="61"/>
  <c r="I68" i="63"/>
  <c r="E149" i="62"/>
  <c r="H104" i="63"/>
  <c r="E143" i="63"/>
  <c r="E189" i="63"/>
  <c r="G147" i="57"/>
  <c r="I178" i="53"/>
  <c r="I175" i="60"/>
  <c r="E88" i="59"/>
  <c r="H157" i="53"/>
  <c r="E55" i="63"/>
  <c r="I81" i="62"/>
  <c r="G199" i="57"/>
  <c r="C96" i="57"/>
  <c r="C138" i="57"/>
  <c r="E179" i="57"/>
  <c r="J129" i="61"/>
  <c r="E76" i="59"/>
  <c r="E188" i="59"/>
  <c r="G158" i="59"/>
  <c r="J107" i="59"/>
  <c r="H187" i="53"/>
  <c r="I141" i="57"/>
  <c r="H78" i="57"/>
  <c r="E180" i="62"/>
  <c r="D55" i="53"/>
  <c r="H167" i="57"/>
  <c r="C122" i="57"/>
  <c r="J99" i="60"/>
  <c r="G152" i="60"/>
  <c r="C101" i="59"/>
  <c r="I86" i="57"/>
  <c r="H54" i="59"/>
  <c r="J131" i="59"/>
  <c r="I82" i="60"/>
  <c r="H122" i="59"/>
  <c r="I73" i="60"/>
  <c r="F128" i="64"/>
  <c r="F124" i="57"/>
  <c r="E134" i="60"/>
  <c r="F77" i="60"/>
  <c r="G184" i="60"/>
  <c r="H136" i="68"/>
  <c r="H194" i="61"/>
  <c r="F136" i="53"/>
  <c r="G128" i="53"/>
  <c r="D86" i="62"/>
  <c r="G156" i="63"/>
  <c r="G128" i="63"/>
  <c r="F108" i="63"/>
  <c r="E134" i="63"/>
  <c r="F100" i="63"/>
  <c r="D151" i="60"/>
  <c r="J191" i="61"/>
  <c r="G71" i="53"/>
  <c r="J111" i="59"/>
  <c r="H132" i="68"/>
  <c r="F148" i="60"/>
  <c r="J114" i="62"/>
  <c r="F110" i="60"/>
  <c r="I103" i="60"/>
  <c r="E128" i="61"/>
  <c r="I80" i="64"/>
  <c r="C111" i="59"/>
  <c r="I68" i="57"/>
  <c r="E54" i="57"/>
  <c r="F161" i="61"/>
  <c r="G137" i="61"/>
  <c r="E125" i="63"/>
  <c r="F63" i="64"/>
  <c r="D119" i="62"/>
  <c r="J96" i="63"/>
  <c r="D181" i="59"/>
  <c r="D169" i="57"/>
  <c r="C52" i="60"/>
  <c r="I131" i="63"/>
  <c r="E179" i="60"/>
  <c r="E80" i="64"/>
  <c r="J185" i="61"/>
  <c r="C187" i="61"/>
  <c r="F65" i="61"/>
  <c r="I148" i="62"/>
  <c r="F52" i="59"/>
  <c r="E96" i="59"/>
  <c r="I99" i="62"/>
  <c r="J160" i="64"/>
  <c r="E123" i="63"/>
  <c r="H186" i="62"/>
  <c r="C95" i="64"/>
  <c r="D150" i="60"/>
  <c r="J110" i="57"/>
  <c r="G174" i="60"/>
  <c r="I166" i="59"/>
  <c r="H194" i="59"/>
  <c r="H62" i="57"/>
  <c r="E185" i="61"/>
  <c r="E160" i="60"/>
  <c r="H175" i="59"/>
  <c r="G70" i="53"/>
  <c r="F115" i="62"/>
  <c r="J122" i="53"/>
  <c r="J110" i="53"/>
  <c r="G181" i="59"/>
  <c r="I51" i="53"/>
  <c r="J142" i="57"/>
  <c r="E114" i="53"/>
  <c r="J111" i="57"/>
  <c r="D75" i="60"/>
  <c r="D192" i="53"/>
  <c r="G135" i="60"/>
  <c r="F126" i="53"/>
  <c r="I78" i="57"/>
  <c r="D96" i="53"/>
  <c r="E106" i="59"/>
  <c r="H135" i="53"/>
  <c r="G94" i="59"/>
  <c r="I58" i="60"/>
  <c r="H73" i="59"/>
  <c r="F102" i="57"/>
  <c r="D98" i="60"/>
  <c r="I89" i="53"/>
  <c r="F147" i="59"/>
  <c r="H76" i="57"/>
  <c r="G169" i="62"/>
  <c r="F73" i="61"/>
  <c r="H106" i="63"/>
  <c r="E147" i="57"/>
  <c r="D172" i="59"/>
  <c r="J76" i="53"/>
  <c r="E108" i="63"/>
  <c r="F80" i="61"/>
  <c r="D109" i="61"/>
  <c r="J117" i="63"/>
  <c r="I173" i="64"/>
  <c r="F80" i="63"/>
  <c r="D109" i="60"/>
  <c r="D72" i="60"/>
  <c r="C131" i="57"/>
  <c r="C51" i="62"/>
  <c r="G96" i="64"/>
  <c r="F125" i="62"/>
  <c r="G68" i="63"/>
  <c r="C66" i="64"/>
  <c r="D116" i="68"/>
  <c r="I66" i="60"/>
  <c r="H93" i="57"/>
  <c r="E143" i="61"/>
  <c r="F109" i="63"/>
  <c r="I114" i="60"/>
  <c r="E87" i="63"/>
  <c r="E139" i="61"/>
  <c r="D78" i="68"/>
  <c r="D54" i="65"/>
  <c r="F77" i="62"/>
  <c r="F178" i="62"/>
  <c r="E97" i="65"/>
  <c r="J184" i="68"/>
  <c r="I110" i="68"/>
  <c r="H98" i="68"/>
  <c r="C132" i="68"/>
  <c r="J159" i="65"/>
  <c r="H64" i="65"/>
  <c r="C195" i="63"/>
  <c r="I108" i="60"/>
  <c r="F56" i="53"/>
  <c r="G97" i="68"/>
  <c r="E155" i="65"/>
  <c r="G153" i="64"/>
  <c r="H136" i="65"/>
  <c r="C106" i="61"/>
  <c r="F74" i="65"/>
  <c r="H101" i="65"/>
  <c r="H169" i="68"/>
  <c r="G142" i="63"/>
  <c r="E77" i="53"/>
  <c r="I143" i="62"/>
  <c r="F189" i="68"/>
  <c r="D190" i="68"/>
  <c r="I171" i="63"/>
  <c r="C154" i="65"/>
  <c r="C107" i="68"/>
  <c r="I61" i="68"/>
  <c r="H177" i="60"/>
  <c r="J60" i="65"/>
  <c r="F183" i="63"/>
  <c r="H82" i="68"/>
  <c r="I188" i="63"/>
  <c r="F128" i="63"/>
  <c r="F94" i="68"/>
  <c r="C129" i="61"/>
  <c r="E175" i="61"/>
  <c r="E92" i="60"/>
  <c r="I65" i="53"/>
  <c r="H158" i="61"/>
  <c r="D137" i="68"/>
  <c r="C72" i="61"/>
  <c r="C122" i="64"/>
  <c r="J132" i="60"/>
  <c r="G70" i="62"/>
  <c r="F77" i="59"/>
  <c r="H95" i="62"/>
  <c r="G64" i="64"/>
  <c r="E87" i="60"/>
  <c r="J188" i="60"/>
  <c r="I109" i="63"/>
  <c r="F135" i="62"/>
  <c r="J166" i="62"/>
  <c r="D122" i="57"/>
  <c r="H72" i="53"/>
  <c r="F101" i="68"/>
  <c r="C80" i="62"/>
  <c r="H133" i="53"/>
  <c r="H106" i="57"/>
  <c r="D172" i="60"/>
  <c r="E194" i="62"/>
  <c r="H57" i="60"/>
  <c r="H188" i="59"/>
  <c r="C150" i="53"/>
  <c r="D159" i="60"/>
  <c r="I188" i="61"/>
  <c r="J62" i="59"/>
  <c r="J148" i="59"/>
  <c r="I85" i="59"/>
  <c r="D123" i="59"/>
  <c r="F164" i="53"/>
  <c r="I158" i="53"/>
  <c r="F132" i="57"/>
  <c r="H107" i="60"/>
  <c r="J146" i="57"/>
  <c r="H174" i="60"/>
  <c r="H144" i="63"/>
  <c r="I198" i="63"/>
  <c r="J156" i="53"/>
  <c r="F64" i="60"/>
  <c r="C114" i="57"/>
  <c r="D156" i="62"/>
  <c r="I185" i="68"/>
  <c r="C81" i="64"/>
  <c r="J122" i="64"/>
  <c r="F118" i="63"/>
  <c r="H111" i="62"/>
  <c r="D193" i="57"/>
  <c r="G51" i="61"/>
  <c r="E81" i="59"/>
  <c r="D110" i="60"/>
  <c r="C75" i="63"/>
  <c r="C189" i="64"/>
  <c r="J55" i="64"/>
  <c r="C70" i="61"/>
  <c r="I169" i="61"/>
  <c r="C137" i="60"/>
  <c r="H198" i="59"/>
  <c r="D94" i="59"/>
  <c r="E70" i="59"/>
  <c r="C97" i="64"/>
  <c r="C140" i="62"/>
  <c r="I123" i="61"/>
  <c r="F101" i="63"/>
  <c r="C126" i="64"/>
  <c r="J103" i="62"/>
  <c r="H198" i="57"/>
  <c r="H73" i="60"/>
  <c r="C132" i="57"/>
  <c r="F132" i="62"/>
  <c r="F52" i="63"/>
  <c r="F177" i="62"/>
  <c r="F195" i="64"/>
  <c r="G102" i="63"/>
  <c r="I80" i="62"/>
  <c r="J159" i="61"/>
  <c r="H148" i="59"/>
  <c r="E151" i="53"/>
  <c r="F133" i="61"/>
  <c r="F73" i="64"/>
  <c r="C135" i="64"/>
  <c r="F167" i="64"/>
  <c r="J129" i="63"/>
  <c r="H56" i="64"/>
  <c r="H168" i="53"/>
  <c r="G94" i="53"/>
  <c r="G191" i="61"/>
  <c r="J137" i="53"/>
  <c r="H97" i="53"/>
  <c r="J116" i="63"/>
  <c r="H139" i="64"/>
  <c r="E130" i="57"/>
  <c r="F117" i="59"/>
  <c r="E51" i="57"/>
  <c r="I55" i="62"/>
  <c r="J147" i="62"/>
  <c r="I116" i="53"/>
  <c r="C183" i="60"/>
  <c r="I165" i="59"/>
  <c r="I54" i="59"/>
  <c r="G96" i="53"/>
  <c r="H96" i="57"/>
  <c r="D67" i="59"/>
  <c r="H133" i="63"/>
  <c r="C68" i="57"/>
  <c r="F114" i="57"/>
  <c r="I182" i="57"/>
  <c r="H88" i="62"/>
  <c r="I124" i="61"/>
  <c r="E141" i="53"/>
  <c r="H60" i="59"/>
  <c r="I129" i="59"/>
  <c r="J60" i="53"/>
  <c r="F96" i="57"/>
  <c r="G166" i="57"/>
  <c r="G190" i="53"/>
  <c r="I128" i="60"/>
  <c r="I57" i="60"/>
  <c r="I98" i="60"/>
  <c r="E183" i="60"/>
  <c r="G170" i="61"/>
  <c r="D129" i="53"/>
  <c r="F86" i="59"/>
  <c r="E103" i="63"/>
  <c r="G156" i="64"/>
  <c r="G119" i="62"/>
  <c r="C81" i="57"/>
  <c r="F72" i="57"/>
  <c r="I151" i="57"/>
  <c r="I85" i="62"/>
  <c r="I140" i="60"/>
  <c r="H133" i="62"/>
  <c r="C118" i="62"/>
  <c r="D79" i="63"/>
  <c r="E109" i="64"/>
  <c r="C69" i="57"/>
  <c r="C105" i="59"/>
  <c r="G133" i="59"/>
  <c r="F145" i="61"/>
  <c r="J76" i="62"/>
  <c r="G176" i="63"/>
  <c r="F64" i="64"/>
  <c r="I183" i="62"/>
  <c r="H55" i="64"/>
  <c r="E93" i="53"/>
  <c r="H90" i="60"/>
  <c r="E65" i="60"/>
  <c r="F92" i="63"/>
  <c r="I172" i="60"/>
  <c r="F198" i="63"/>
  <c r="E159" i="61"/>
  <c r="C86" i="61"/>
  <c r="H187" i="60"/>
  <c r="C61" i="62"/>
  <c r="H173" i="59"/>
  <c r="D69" i="59"/>
  <c r="J94" i="60"/>
  <c r="F154" i="63"/>
  <c r="E142" i="62"/>
  <c r="E61" i="62"/>
  <c r="C167" i="62"/>
  <c r="G136" i="63"/>
  <c r="I99" i="64"/>
  <c r="H182" i="53"/>
  <c r="E192" i="53"/>
  <c r="D161" i="53"/>
  <c r="C135" i="62"/>
  <c r="D113" i="60"/>
  <c r="E157" i="60"/>
  <c r="D163" i="60"/>
  <c r="E110" i="61"/>
  <c r="E198" i="63"/>
  <c r="J174" i="53"/>
  <c r="H144" i="57"/>
  <c r="I154" i="59"/>
  <c r="H66" i="53"/>
  <c r="D137" i="63"/>
  <c r="J121" i="60"/>
  <c r="J152" i="57"/>
  <c r="J162" i="53"/>
  <c r="J118" i="59"/>
  <c r="E103" i="57"/>
  <c r="I90" i="60"/>
  <c r="G184" i="57"/>
  <c r="G186" i="64"/>
  <c r="I122" i="61"/>
  <c r="I181" i="57"/>
  <c r="G106" i="61"/>
  <c r="F135" i="59"/>
  <c r="E140" i="59"/>
  <c r="I67" i="59"/>
  <c r="C190" i="53"/>
  <c r="D137" i="53"/>
  <c r="C118" i="57"/>
  <c r="J87" i="60"/>
  <c r="H68" i="59"/>
  <c r="C155" i="57"/>
  <c r="J57" i="64"/>
  <c r="J184" i="59"/>
  <c r="E194" i="60"/>
  <c r="C65" i="62"/>
  <c r="I87" i="59"/>
  <c r="I164" i="59"/>
  <c r="H167" i="53"/>
  <c r="E65" i="59"/>
  <c r="F169" i="63"/>
  <c r="I67" i="63"/>
  <c r="D196" i="61"/>
  <c r="G75" i="53"/>
  <c r="I52" i="57"/>
  <c r="C109" i="57"/>
  <c r="H184" i="63"/>
  <c r="J118" i="62"/>
  <c r="C79" i="61"/>
  <c r="E194" i="61"/>
  <c r="C133" i="63"/>
  <c r="I114" i="63"/>
  <c r="E72" i="53"/>
  <c r="G126" i="59"/>
  <c r="H65" i="60"/>
  <c r="F131" i="61"/>
  <c r="C134" i="61"/>
  <c r="F129" i="63"/>
  <c r="D127" i="63"/>
  <c r="C178" i="64"/>
  <c r="G170" i="62"/>
  <c r="G80" i="60"/>
  <c r="D58" i="60"/>
  <c r="C182" i="53"/>
  <c r="J170" i="61"/>
  <c r="G163" i="61"/>
  <c r="G120" i="63"/>
  <c r="G65" i="62"/>
  <c r="J132" i="61"/>
  <c r="J171" i="62"/>
  <c r="D108" i="60"/>
  <c r="I158" i="59"/>
  <c r="I55" i="59"/>
  <c r="I174" i="57"/>
  <c r="I89" i="62"/>
  <c r="D105" i="61"/>
  <c r="D138" i="61"/>
  <c r="E72" i="64"/>
  <c r="G74" i="63"/>
  <c r="H57" i="63"/>
  <c r="E163" i="53"/>
  <c r="G54" i="53"/>
  <c r="G129" i="68"/>
  <c r="H66" i="62"/>
  <c r="F129" i="62"/>
  <c r="G173" i="62"/>
  <c r="E85" i="62"/>
  <c r="C166" i="60"/>
  <c r="J127" i="63"/>
  <c r="J116" i="57"/>
  <c r="G139" i="53"/>
  <c r="I72" i="60"/>
  <c r="E136" i="57"/>
  <c r="G188" i="63"/>
  <c r="J130" i="62"/>
  <c r="E155" i="53"/>
  <c r="J58" i="53"/>
  <c r="J54" i="53"/>
  <c r="J105" i="53"/>
  <c r="I112" i="57"/>
  <c r="D189" i="59"/>
  <c r="C56" i="64"/>
  <c r="C169" i="62"/>
  <c r="H66" i="57"/>
  <c r="D183" i="62"/>
  <c r="C180" i="59"/>
  <c r="F125" i="59"/>
  <c r="I160" i="53"/>
  <c r="J94" i="59"/>
  <c r="J113" i="53"/>
  <c r="J84" i="57"/>
  <c r="E113" i="57"/>
  <c r="E191" i="57"/>
  <c r="I162" i="53"/>
  <c r="G117" i="61"/>
  <c r="I117" i="62"/>
  <c r="E86" i="64"/>
  <c r="D82" i="53"/>
  <c r="J63" i="53"/>
  <c r="D195" i="57"/>
  <c r="J154" i="64"/>
  <c r="G127" i="64"/>
  <c r="E134" i="62"/>
  <c r="I61" i="63"/>
  <c r="H59" i="64"/>
  <c r="I167" i="60"/>
  <c r="C145" i="57"/>
  <c r="C101" i="57"/>
  <c r="E110" i="60"/>
  <c r="I146" i="62"/>
  <c r="G63" i="63"/>
  <c r="E195" i="62"/>
  <c r="I196" i="68"/>
  <c r="C135" i="63"/>
  <c r="D59" i="61"/>
  <c r="J87" i="61"/>
  <c r="D135" i="53"/>
  <c r="G175" i="59"/>
  <c r="G65" i="53"/>
  <c r="J90" i="64"/>
  <c r="C144" i="60"/>
  <c r="H150" i="62"/>
  <c r="I135" i="62"/>
  <c r="E62" i="63"/>
  <c r="E108" i="64"/>
  <c r="J62" i="57"/>
  <c r="G92" i="53"/>
  <c r="G121" i="53"/>
  <c r="C146" i="61"/>
  <c r="C62" i="63"/>
  <c r="G96" i="63"/>
  <c r="H127" i="63"/>
  <c r="H197" i="63"/>
  <c r="G199" i="61"/>
  <c r="E81" i="60"/>
  <c r="C149" i="62"/>
  <c r="I117" i="59"/>
  <c r="C198" i="60"/>
  <c r="C109" i="64"/>
  <c r="G66" i="63"/>
  <c r="J65" i="63"/>
  <c r="C195" i="64"/>
  <c r="E177" i="64"/>
  <c r="H80" i="60"/>
  <c r="F140" i="57"/>
  <c r="G76" i="61"/>
  <c r="F111" i="59"/>
  <c r="D63" i="59"/>
  <c r="D162" i="64"/>
  <c r="H125" i="62"/>
  <c r="C58" i="60"/>
  <c r="J122" i="57"/>
  <c r="J83" i="60"/>
  <c r="I72" i="61"/>
  <c r="J185" i="62"/>
  <c r="F90" i="59"/>
  <c r="C74" i="53"/>
  <c r="D107" i="59"/>
  <c r="C120" i="59"/>
  <c r="D159" i="57"/>
  <c r="C149" i="57"/>
  <c r="F88" i="57"/>
  <c r="J149" i="63"/>
  <c r="E75" i="57"/>
  <c r="E200" i="57"/>
  <c r="J95" i="59"/>
  <c r="F95" i="61"/>
  <c r="J186" i="62"/>
  <c r="F115" i="59"/>
  <c r="J141" i="57"/>
  <c r="H120" i="53"/>
  <c r="I146" i="59"/>
  <c r="F147" i="60"/>
  <c r="F78" i="57"/>
  <c r="D158" i="57"/>
  <c r="I64" i="63"/>
  <c r="G122" i="59"/>
  <c r="E107" i="59"/>
  <c r="E97" i="59"/>
  <c r="J77" i="57"/>
  <c r="E196" i="61"/>
  <c r="H60" i="62"/>
  <c r="F66" i="64"/>
  <c r="E61" i="61"/>
  <c r="D145" i="57"/>
  <c r="E73" i="57"/>
  <c r="E76" i="61"/>
  <c r="J198" i="61"/>
  <c r="H79" i="63"/>
  <c r="C78" i="63"/>
  <c r="G158" i="64"/>
  <c r="C89" i="62"/>
  <c r="G93" i="60"/>
  <c r="F71" i="60"/>
  <c r="F95" i="57"/>
  <c r="D177" i="63"/>
  <c r="G112" i="63"/>
  <c r="H65" i="63"/>
  <c r="J183" i="63"/>
  <c r="E193" i="63"/>
  <c r="F137" i="60"/>
  <c r="I60" i="60"/>
  <c r="H134" i="61"/>
  <c r="G167" i="59"/>
  <c r="E130" i="65"/>
  <c r="G58" i="61"/>
  <c r="I100" i="60"/>
  <c r="G199" i="60"/>
  <c r="C133" i="60"/>
  <c r="C181" i="61"/>
  <c r="C141" i="64"/>
  <c r="F129" i="59"/>
  <c r="C61" i="57"/>
  <c r="H82" i="53"/>
  <c r="H117" i="62"/>
  <c r="E145" i="63"/>
  <c r="F136" i="63"/>
  <c r="E53" i="64"/>
  <c r="H120" i="62"/>
  <c r="H149" i="61"/>
  <c r="F102" i="59"/>
  <c r="J67" i="60"/>
  <c r="J117" i="62"/>
  <c r="D139" i="63"/>
  <c r="G195" i="61"/>
  <c r="H136" i="61"/>
  <c r="J158" i="63"/>
  <c r="I134" i="62"/>
  <c r="E160" i="63"/>
  <c r="E111" i="53"/>
  <c r="C73" i="60"/>
  <c r="C56" i="60"/>
  <c r="D189" i="61"/>
  <c r="J55" i="59"/>
  <c r="E130" i="63"/>
  <c r="E100" i="63"/>
  <c r="J87" i="53"/>
  <c r="J96" i="60"/>
  <c r="D125" i="60"/>
  <c r="G192" i="57"/>
  <c r="G75" i="60"/>
  <c r="C108" i="60"/>
  <c r="E93" i="59"/>
  <c r="J67" i="62"/>
  <c r="H105" i="59"/>
  <c r="F152" i="53"/>
  <c r="G102" i="59"/>
  <c r="C53" i="60"/>
  <c r="G117" i="63"/>
  <c r="E82" i="57"/>
  <c r="D79" i="53"/>
  <c r="I81" i="57"/>
  <c r="C165" i="57"/>
  <c r="I133" i="59"/>
  <c r="F97" i="61"/>
  <c r="I183" i="57"/>
  <c r="G56" i="61"/>
  <c r="H130" i="59"/>
  <c r="D65" i="53"/>
  <c r="C102" i="57"/>
  <c r="D170" i="59"/>
  <c r="J191" i="64"/>
  <c r="F69" i="53"/>
  <c r="E56" i="57"/>
  <c r="D61" i="59"/>
  <c r="H136" i="62"/>
  <c r="H159" i="64"/>
  <c r="J175" i="62"/>
  <c r="C142" i="53"/>
  <c r="C142" i="57"/>
  <c r="E138" i="57"/>
  <c r="C52" i="62"/>
  <c r="H154" i="64"/>
  <c r="C178" i="63"/>
  <c r="C194" i="63"/>
  <c r="G194" i="64"/>
  <c r="F162" i="61"/>
  <c r="C162" i="57"/>
  <c r="I61" i="62"/>
  <c r="F116" i="59"/>
  <c r="G65" i="64"/>
  <c r="G173" i="60"/>
  <c r="E112" i="64"/>
  <c r="F77" i="61"/>
  <c r="I150" i="61"/>
  <c r="J119" i="60"/>
  <c r="J66" i="62"/>
  <c r="E109" i="59"/>
  <c r="I120" i="53"/>
  <c r="C181" i="57"/>
  <c r="E103" i="62"/>
  <c r="D152" i="61"/>
  <c r="F134" i="62"/>
  <c r="E141" i="62"/>
  <c r="C117" i="64"/>
  <c r="E114" i="64"/>
  <c r="J168" i="53"/>
  <c r="D152" i="57"/>
  <c r="J117" i="53"/>
  <c r="H74" i="61"/>
  <c r="E98" i="62"/>
  <c r="C68" i="64"/>
  <c r="J67" i="63"/>
  <c r="C71" i="61"/>
  <c r="D178" i="61"/>
  <c r="C136" i="62"/>
  <c r="E59" i="59"/>
  <c r="I70" i="53"/>
  <c r="J194" i="68"/>
  <c r="J113" i="63"/>
  <c r="H71" i="63"/>
  <c r="D125" i="64"/>
  <c r="C55" i="62"/>
  <c r="F84" i="61"/>
  <c r="C155" i="53"/>
  <c r="D154" i="57"/>
  <c r="H135" i="61"/>
  <c r="G200" i="59"/>
  <c r="E120" i="53"/>
  <c r="J93" i="63"/>
  <c r="I105" i="62"/>
  <c r="C196" i="57"/>
  <c r="I92" i="60"/>
  <c r="F92" i="60"/>
  <c r="H196" i="62"/>
  <c r="C158" i="60"/>
  <c r="F187" i="59"/>
  <c r="F94" i="53"/>
  <c r="G163" i="59"/>
  <c r="I81" i="53"/>
  <c r="C156" i="57"/>
  <c r="H75" i="59"/>
  <c r="J162" i="57"/>
  <c r="F178" i="60"/>
  <c r="C159" i="60"/>
  <c r="C122" i="53"/>
  <c r="H67" i="61"/>
  <c r="H188" i="61"/>
  <c r="J82" i="59"/>
  <c r="D60" i="53"/>
  <c r="F56" i="60"/>
  <c r="I199" i="59"/>
  <c r="E131" i="59"/>
  <c r="D56" i="59"/>
  <c r="G198" i="53"/>
  <c r="G102" i="57"/>
  <c r="E125" i="53"/>
  <c r="E153" i="63"/>
  <c r="D187" i="64"/>
  <c r="C77" i="64"/>
  <c r="G93" i="57"/>
  <c r="I111" i="57"/>
  <c r="G196" i="53"/>
  <c r="E145" i="61"/>
  <c r="D171" i="60"/>
  <c r="J139" i="62"/>
  <c r="C125" i="62"/>
  <c r="G134" i="61"/>
  <c r="D108" i="64"/>
  <c r="I169" i="57"/>
  <c r="G137" i="53"/>
  <c r="C165" i="59"/>
  <c r="D75" i="64"/>
  <c r="E167" i="61"/>
  <c r="J190" i="61"/>
  <c r="I157" i="63"/>
  <c r="G182" i="62"/>
  <c r="H110" i="63"/>
  <c r="D188" i="59"/>
  <c r="I89" i="60"/>
  <c r="D138" i="57"/>
  <c r="C108" i="62"/>
  <c r="I55" i="64"/>
  <c r="G100" i="63"/>
  <c r="F163" i="62"/>
  <c r="J164" i="63"/>
  <c r="H159" i="60"/>
  <c r="H161" i="62"/>
  <c r="F98" i="59"/>
  <c r="H129" i="59"/>
  <c r="C144" i="53"/>
  <c r="D168" i="68"/>
  <c r="D88" i="61"/>
  <c r="I141" i="62"/>
  <c r="J164" i="64"/>
  <c r="I193" i="63"/>
  <c r="C200" i="63"/>
  <c r="E80" i="57"/>
  <c r="J64" i="57"/>
  <c r="H108" i="68"/>
  <c r="E198" i="60"/>
  <c r="C155" i="62"/>
  <c r="F200" i="60"/>
  <c r="G120" i="60"/>
  <c r="J197" i="61"/>
  <c r="H127" i="64"/>
  <c r="H113" i="53"/>
  <c r="D54" i="57"/>
  <c r="D97" i="59"/>
  <c r="C193" i="59"/>
  <c r="H156" i="64"/>
  <c r="I158" i="61"/>
  <c r="G93" i="53"/>
  <c r="H52" i="59"/>
  <c r="H121" i="53"/>
  <c r="H180" i="53"/>
  <c r="D166" i="57"/>
  <c r="E87" i="57"/>
  <c r="F142" i="61"/>
  <c r="F92" i="53"/>
  <c r="H84" i="59"/>
  <c r="F186" i="53"/>
  <c r="I63" i="57"/>
  <c r="H164" i="60"/>
  <c r="G135" i="59"/>
  <c r="C65" i="57"/>
  <c r="D111" i="53"/>
  <c r="G148" i="59"/>
  <c r="I87" i="53"/>
  <c r="J87" i="57"/>
  <c r="D179" i="59"/>
  <c r="D189" i="60"/>
  <c r="C134" i="53"/>
  <c r="D138" i="53"/>
  <c r="D186" i="64"/>
  <c r="G102" i="60"/>
  <c r="G114" i="57"/>
  <c r="H58" i="61"/>
  <c r="H94" i="60"/>
  <c r="E61" i="63"/>
  <c r="J147" i="60"/>
  <c r="H195" i="57"/>
  <c r="F159" i="61"/>
  <c r="F127" i="53"/>
  <c r="D140" i="53"/>
  <c r="E67" i="53"/>
  <c r="D131" i="62"/>
  <c r="J124" i="57"/>
  <c r="J80" i="53"/>
  <c r="I71" i="53"/>
  <c r="H170" i="53"/>
  <c r="G173" i="57"/>
  <c r="D117" i="57"/>
  <c r="C104" i="60"/>
  <c r="D149" i="59"/>
  <c r="G70" i="61"/>
  <c r="C55" i="61"/>
  <c r="H77" i="60"/>
  <c r="J120" i="63"/>
  <c r="D88" i="60"/>
  <c r="H130" i="53"/>
  <c r="F68" i="53"/>
  <c r="J89" i="53"/>
  <c r="E148" i="57"/>
  <c r="H164" i="53"/>
  <c r="H157" i="64"/>
  <c r="H143" i="61"/>
  <c r="E166" i="57"/>
  <c r="E148" i="60"/>
  <c r="H182" i="59"/>
  <c r="I193" i="59"/>
  <c r="F89" i="63"/>
  <c r="H183" i="53"/>
  <c r="D106" i="63"/>
  <c r="C150" i="61"/>
  <c r="C181" i="62"/>
  <c r="C91" i="64"/>
  <c r="H74" i="63"/>
  <c r="H153" i="60"/>
  <c r="I194" i="65"/>
  <c r="C163" i="64"/>
  <c r="E189" i="64"/>
  <c r="D76" i="68"/>
  <c r="I175" i="62"/>
  <c r="C142" i="64"/>
  <c r="G126" i="65"/>
  <c r="I112" i="63"/>
  <c r="F196" i="62"/>
  <c r="J55" i="61"/>
  <c r="D64" i="65"/>
  <c r="G133" i="68"/>
  <c r="D135" i="65"/>
  <c r="I128" i="65"/>
  <c r="E191" i="64"/>
  <c r="F196" i="65"/>
  <c r="I163" i="65"/>
  <c r="E166" i="65"/>
  <c r="J111" i="63"/>
  <c r="G159" i="64"/>
  <c r="E52" i="62"/>
  <c r="C123" i="63"/>
  <c r="I110" i="65"/>
  <c r="F184" i="61"/>
  <c r="D52" i="68"/>
  <c r="G142" i="65"/>
  <c r="C101" i="64"/>
  <c r="E144" i="63"/>
  <c r="G192" i="65"/>
  <c r="F154" i="62"/>
  <c r="H183" i="65"/>
  <c r="J148" i="62"/>
  <c r="F132" i="61"/>
  <c r="C67" i="65"/>
  <c r="J183" i="62"/>
  <c r="C86" i="64"/>
  <c r="G174" i="64"/>
  <c r="F55" i="59"/>
  <c r="G152" i="64"/>
  <c r="J188" i="53"/>
  <c r="H71" i="64"/>
  <c r="G83" i="62"/>
  <c r="F196" i="53"/>
  <c r="H93" i="64"/>
  <c r="F85" i="60"/>
  <c r="C80" i="61"/>
  <c r="D56" i="62"/>
  <c r="F162" i="59"/>
  <c r="E123" i="64"/>
  <c r="J154" i="61"/>
  <c r="F143" i="63"/>
  <c r="F148" i="57"/>
  <c r="I142" i="57"/>
  <c r="D148" i="60"/>
  <c r="H124" i="60"/>
  <c r="J69" i="53"/>
  <c r="I73" i="57"/>
  <c r="E182" i="57"/>
  <c r="I170" i="57"/>
  <c r="H183" i="63"/>
  <c r="D116" i="59"/>
  <c r="G194" i="59"/>
  <c r="I129" i="62"/>
  <c r="D174" i="53"/>
  <c r="G83" i="61"/>
  <c r="J65" i="59"/>
  <c r="G122" i="53"/>
  <c r="J58" i="59"/>
  <c r="I181" i="62"/>
  <c r="D180" i="63"/>
  <c r="F189" i="59"/>
  <c r="G128" i="57"/>
  <c r="G60" i="57"/>
  <c r="J120" i="57"/>
  <c r="D155" i="61"/>
  <c r="I92" i="61"/>
  <c r="H153" i="53"/>
  <c r="J137" i="61"/>
  <c r="J194" i="57"/>
  <c r="D191" i="57"/>
  <c r="I51" i="61"/>
  <c r="E185" i="63"/>
  <c r="G189" i="62"/>
  <c r="F133" i="63"/>
  <c r="E67" i="64"/>
  <c r="J178" i="64"/>
  <c r="E152" i="57"/>
  <c r="C181" i="53"/>
  <c r="F89" i="61"/>
  <c r="J71" i="64"/>
  <c r="C80" i="64"/>
  <c r="I144" i="62"/>
  <c r="E168" i="68"/>
  <c r="F66" i="63"/>
  <c r="E54" i="61"/>
  <c r="H194" i="53"/>
  <c r="D147" i="60"/>
  <c r="C91" i="59"/>
  <c r="C103" i="53"/>
  <c r="C190" i="61"/>
  <c r="E186" i="62"/>
  <c r="I156" i="62"/>
  <c r="C68" i="62"/>
  <c r="I148" i="61"/>
  <c r="D107" i="64"/>
  <c r="C140" i="57"/>
  <c r="I152" i="59"/>
  <c r="I152" i="53"/>
  <c r="H122" i="63"/>
  <c r="F79" i="64"/>
  <c r="F114" i="63"/>
  <c r="I76" i="63"/>
  <c r="J125" i="64"/>
  <c r="J112" i="61"/>
  <c r="C154" i="57"/>
  <c r="D136" i="62"/>
  <c r="F158" i="53"/>
  <c r="D106" i="62"/>
  <c r="C94" i="61"/>
  <c r="F51" i="64"/>
  <c r="J200" i="62"/>
  <c r="D194" i="64"/>
  <c r="C195" i="62"/>
  <c r="G174" i="57"/>
  <c r="I139" i="57"/>
  <c r="J93" i="57"/>
  <c r="I87" i="61"/>
  <c r="G121" i="59"/>
  <c r="C145" i="68"/>
  <c r="J102" i="64"/>
  <c r="F104" i="57"/>
  <c r="D63" i="57"/>
  <c r="C90" i="60"/>
  <c r="H139" i="53"/>
  <c r="D120" i="57"/>
  <c r="C200" i="62"/>
  <c r="E90" i="59"/>
  <c r="G118" i="59"/>
  <c r="J173" i="59"/>
  <c r="I93" i="53"/>
  <c r="H69" i="60"/>
  <c r="J167" i="53"/>
  <c r="J137" i="62"/>
  <c r="I136" i="57"/>
  <c r="F142" i="57"/>
  <c r="G103" i="53"/>
  <c r="G109" i="57"/>
  <c r="J84" i="60"/>
  <c r="J161" i="56"/>
  <c r="G185" i="57"/>
  <c r="I106" i="53"/>
  <c r="J71" i="59"/>
  <c r="C149" i="59"/>
  <c r="I171" i="57"/>
  <c r="F198" i="57"/>
  <c r="G161" i="61"/>
  <c r="G125" i="57"/>
  <c r="J138" i="59"/>
  <c r="D129" i="57"/>
  <c r="C85" i="60"/>
  <c r="H108" i="57"/>
  <c r="F142" i="62"/>
  <c r="C84" i="63"/>
  <c r="F153" i="63"/>
  <c r="I195" i="53"/>
  <c r="F182" i="57"/>
  <c r="C141" i="59"/>
  <c r="J85" i="59"/>
  <c r="H148" i="61"/>
  <c r="J95" i="61"/>
  <c r="D195" i="60"/>
  <c r="D115" i="61"/>
  <c r="J77" i="62"/>
  <c r="D134" i="68"/>
  <c r="D139" i="53"/>
  <c r="I184" i="57"/>
  <c r="D80" i="57"/>
  <c r="H160" i="62"/>
  <c r="C135" i="61"/>
  <c r="E51" i="62"/>
  <c r="D133" i="62"/>
  <c r="C58" i="64"/>
  <c r="E51" i="64"/>
  <c r="C89" i="57"/>
  <c r="J73" i="57"/>
  <c r="D185" i="53"/>
  <c r="F119" i="61"/>
  <c r="E66" i="64"/>
  <c r="F163" i="63"/>
  <c r="G102" i="64"/>
  <c r="D115" i="62"/>
  <c r="G86" i="61"/>
  <c r="E56" i="61"/>
  <c r="I132" i="59"/>
  <c r="J74" i="59"/>
  <c r="E118" i="59"/>
  <c r="E177" i="63"/>
  <c r="D147" i="62"/>
  <c r="D53" i="61"/>
  <c r="D174" i="63"/>
  <c r="G164" i="64"/>
  <c r="F184" i="62"/>
  <c r="J133" i="57"/>
  <c r="I153" i="57"/>
  <c r="G122" i="65"/>
  <c r="I90" i="62"/>
  <c r="H86" i="61"/>
  <c r="G140" i="61"/>
  <c r="F116" i="61"/>
  <c r="D149" i="62"/>
  <c r="G100" i="62"/>
  <c r="I95" i="59"/>
  <c r="C103" i="60"/>
  <c r="C129" i="57"/>
  <c r="C64" i="57"/>
  <c r="H147" i="61"/>
  <c r="C61" i="63"/>
  <c r="I59" i="60"/>
  <c r="H58" i="59"/>
  <c r="F55" i="53"/>
  <c r="E156" i="57"/>
  <c r="D164" i="53"/>
  <c r="F158" i="57"/>
  <c r="I137" i="63"/>
  <c r="E194" i="57"/>
  <c r="G53" i="59"/>
  <c r="F107" i="57"/>
  <c r="D72" i="62"/>
  <c r="D60" i="62"/>
  <c r="H65" i="59"/>
  <c r="J84" i="62"/>
  <c r="D77" i="53"/>
  <c r="E137" i="59"/>
  <c r="E184" i="59"/>
  <c r="I182" i="53"/>
  <c r="G119" i="53"/>
  <c r="F82" i="63"/>
  <c r="G67" i="57"/>
  <c r="G192" i="53"/>
  <c r="D180" i="57"/>
  <c r="C147" i="61"/>
  <c r="H151" i="60"/>
  <c r="D136" i="53"/>
  <c r="G164" i="62"/>
  <c r="I173" i="61"/>
  <c r="G54" i="64"/>
  <c r="E178" i="53"/>
  <c r="D141" i="57"/>
  <c r="E127" i="59"/>
  <c r="H71" i="59"/>
  <c r="H75" i="61"/>
  <c r="C169" i="60"/>
  <c r="H51" i="61"/>
  <c r="J130" i="60"/>
  <c r="H163" i="61"/>
  <c r="G56" i="64"/>
  <c r="F117" i="53"/>
  <c r="E61" i="57"/>
  <c r="H63" i="57"/>
  <c r="F89" i="64"/>
  <c r="E142" i="61"/>
  <c r="C105" i="62"/>
  <c r="D151" i="64"/>
  <c r="F177" i="63"/>
  <c r="J100" i="64"/>
  <c r="I71" i="57"/>
  <c r="H98" i="59"/>
  <c r="H86" i="59"/>
  <c r="D127" i="61"/>
  <c r="G127" i="63"/>
  <c r="G148" i="63"/>
  <c r="I77" i="63"/>
  <c r="I110" i="64"/>
  <c r="D121" i="61"/>
  <c r="F162" i="57"/>
  <c r="E116" i="60"/>
  <c r="C53" i="59"/>
  <c r="H116" i="59"/>
  <c r="I56" i="63"/>
  <c r="H111" i="61"/>
  <c r="H53" i="61"/>
  <c r="F86" i="63"/>
  <c r="I84" i="64"/>
  <c r="I198" i="68"/>
  <c r="H125" i="57"/>
  <c r="I175" i="53"/>
  <c r="D66" i="68"/>
  <c r="H99" i="61"/>
  <c r="D168" i="60"/>
  <c r="F171" i="60"/>
  <c r="E164" i="60"/>
  <c r="J134" i="62"/>
  <c r="F156" i="64"/>
  <c r="E169" i="53"/>
  <c r="C167" i="53"/>
  <c r="I145" i="57"/>
  <c r="H59" i="53"/>
  <c r="C83" i="62"/>
  <c r="D140" i="62"/>
  <c r="I76" i="59"/>
  <c r="F104" i="53"/>
  <c r="C56" i="59"/>
  <c r="H71" i="60"/>
  <c r="H62" i="60"/>
  <c r="J176" i="53"/>
  <c r="G185" i="64"/>
  <c r="G194" i="57"/>
  <c r="H128" i="57"/>
  <c r="C160" i="59"/>
  <c r="G175" i="61"/>
  <c r="J152" i="62"/>
  <c r="E51" i="59"/>
  <c r="F52" i="60"/>
  <c r="E56" i="53"/>
  <c r="I82" i="59"/>
  <c r="C197" i="59"/>
  <c r="E145" i="57"/>
  <c r="D176" i="59"/>
  <c r="C185" i="61"/>
  <c r="C174" i="60"/>
  <c r="E107" i="63"/>
  <c r="E180" i="61"/>
  <c r="I64" i="60"/>
  <c r="C57" i="60"/>
  <c r="G163" i="62"/>
  <c r="C103" i="62"/>
  <c r="D88" i="64"/>
  <c r="D150" i="63"/>
  <c r="I95" i="63"/>
  <c r="H111" i="63"/>
  <c r="D158" i="53"/>
  <c r="F167" i="60"/>
  <c r="E146" i="57"/>
  <c r="I59" i="63"/>
  <c r="H90" i="64"/>
  <c r="I88" i="63"/>
  <c r="I92" i="63"/>
  <c r="G128" i="64"/>
  <c r="C98" i="61"/>
  <c r="F80" i="60"/>
  <c r="C176" i="62"/>
  <c r="F181" i="59"/>
  <c r="G99" i="68"/>
  <c r="H189" i="61"/>
  <c r="I104" i="60"/>
  <c r="C197" i="60"/>
  <c r="I132" i="60"/>
  <c r="J94" i="62"/>
  <c r="C185" i="68"/>
  <c r="D152" i="59"/>
  <c r="H73" i="57"/>
  <c r="H80" i="57"/>
  <c r="D117" i="64"/>
  <c r="H169" i="63"/>
  <c r="F158" i="63"/>
  <c r="D68" i="64"/>
  <c r="J192" i="63"/>
  <c r="G63" i="62"/>
  <c r="F58" i="57"/>
  <c r="I139" i="60"/>
  <c r="G112" i="59"/>
  <c r="H142" i="64"/>
  <c r="C123" i="61"/>
  <c r="J121" i="62"/>
  <c r="C160" i="63"/>
  <c r="G116" i="63"/>
  <c r="H98" i="63"/>
  <c r="C98" i="53"/>
  <c r="H141" i="59"/>
  <c r="G127" i="60"/>
  <c r="F181" i="60"/>
  <c r="J68" i="59"/>
  <c r="D131" i="64"/>
  <c r="I126" i="62"/>
  <c r="E120" i="57"/>
  <c r="H126" i="57"/>
  <c r="J99" i="59"/>
  <c r="D51" i="57"/>
  <c r="D131" i="53"/>
  <c r="H55" i="61"/>
  <c r="D179" i="53"/>
  <c r="C81" i="62"/>
  <c r="E102" i="53"/>
  <c r="J66" i="59"/>
  <c r="F77" i="57"/>
  <c r="J61" i="60"/>
  <c r="D121" i="64"/>
  <c r="F143" i="57"/>
  <c r="C66" i="53"/>
  <c r="G130" i="57"/>
  <c r="E90" i="60"/>
  <c r="J100" i="57"/>
  <c r="I164" i="61"/>
  <c r="C112" i="60"/>
  <c r="J200" i="57"/>
  <c r="G160" i="57"/>
  <c r="C64" i="64"/>
  <c r="C96" i="61"/>
  <c r="D73" i="53"/>
  <c r="I103" i="57"/>
  <c r="D119" i="53"/>
  <c r="C152" i="59"/>
  <c r="I104" i="64"/>
  <c r="C54" i="57"/>
  <c r="F82" i="53"/>
  <c r="D66" i="62"/>
  <c r="G189" i="63"/>
  <c r="J165" i="60"/>
  <c r="H112" i="62"/>
  <c r="F133" i="60"/>
  <c r="H112" i="61"/>
  <c r="C104" i="53"/>
  <c r="G103" i="63"/>
  <c r="D91" i="64"/>
  <c r="E135" i="64"/>
  <c r="D109" i="63"/>
  <c r="I123" i="59"/>
  <c r="F73" i="53"/>
  <c r="I162" i="57"/>
  <c r="C166" i="53"/>
  <c r="H145" i="53"/>
  <c r="J185" i="57"/>
  <c r="H189" i="59"/>
  <c r="J159" i="59"/>
  <c r="I77" i="60"/>
  <c r="I154" i="62"/>
  <c r="H64" i="63"/>
  <c r="E91" i="63"/>
  <c r="G116" i="62"/>
  <c r="G191" i="63"/>
  <c r="D71" i="53"/>
  <c r="D166" i="61"/>
  <c r="G175" i="62"/>
  <c r="H167" i="63"/>
  <c r="E166" i="63"/>
  <c r="I68" i="53"/>
  <c r="G166" i="64"/>
  <c r="E114" i="57"/>
  <c r="E175" i="62"/>
  <c r="F99" i="57"/>
  <c r="I72" i="57"/>
  <c r="J175" i="53"/>
  <c r="G122" i="57"/>
  <c r="I74" i="53"/>
  <c r="C199" i="53"/>
  <c r="C102" i="63"/>
  <c r="F81" i="59"/>
  <c r="H160" i="61"/>
  <c r="E61" i="59"/>
  <c r="H165" i="61"/>
  <c r="J59" i="64"/>
  <c r="H162" i="62"/>
  <c r="H190" i="63"/>
  <c r="C71" i="62"/>
  <c r="F199" i="57"/>
  <c r="D184" i="61"/>
  <c r="J54" i="62"/>
  <c r="H186" i="53"/>
  <c r="G117" i="62"/>
  <c r="J83" i="61"/>
  <c r="F152" i="57"/>
  <c r="C176" i="57"/>
  <c r="C109" i="61"/>
  <c r="I102" i="57"/>
  <c r="H111" i="59"/>
  <c r="J197" i="57"/>
  <c r="H70" i="59"/>
  <c r="C63" i="64"/>
  <c r="F145" i="53"/>
  <c r="F124" i="53"/>
  <c r="F56" i="57"/>
  <c r="E83" i="59"/>
  <c r="H89" i="60"/>
  <c r="J78" i="53"/>
  <c r="E115" i="59"/>
  <c r="H148" i="63"/>
  <c r="E163" i="61"/>
  <c r="G66" i="59"/>
  <c r="I173" i="53"/>
  <c r="E119" i="59"/>
  <c r="H54" i="57"/>
  <c r="D78" i="64"/>
  <c r="C185" i="60"/>
  <c r="H92" i="59"/>
  <c r="E107" i="57"/>
  <c r="D178" i="63"/>
  <c r="F180" i="60"/>
  <c r="F82" i="60"/>
  <c r="I156" i="60"/>
  <c r="D146" i="60"/>
  <c r="F117" i="61"/>
  <c r="H72" i="57"/>
  <c r="I120" i="59"/>
  <c r="J133" i="53"/>
  <c r="G78" i="60"/>
  <c r="C194" i="53"/>
  <c r="D133" i="59"/>
  <c r="J149" i="59"/>
  <c r="H82" i="57"/>
  <c r="F165" i="57"/>
  <c r="F190" i="57"/>
  <c r="J94" i="53"/>
  <c r="H163" i="59"/>
  <c r="I142" i="53"/>
  <c r="C185" i="53"/>
  <c r="C148" i="60"/>
  <c r="C153" i="53"/>
  <c r="I161" i="53"/>
  <c r="H91" i="53"/>
  <c r="D133" i="61"/>
  <c r="J58" i="32"/>
  <c r="C71" i="60"/>
  <c r="I67" i="60"/>
  <c r="D154" i="59"/>
  <c r="F80" i="53"/>
  <c r="G162" i="53"/>
  <c r="H74" i="59"/>
  <c r="E70" i="57"/>
  <c r="C140" i="53"/>
  <c r="J135" i="59"/>
  <c r="J108" i="61"/>
  <c r="H99" i="57"/>
  <c r="H159" i="61"/>
  <c r="E193" i="53"/>
  <c r="I132" i="53"/>
  <c r="H192" i="53"/>
  <c r="J75" i="60"/>
  <c r="E186" i="53"/>
  <c r="J143" i="57"/>
  <c r="F75" i="53"/>
  <c r="J187" i="59"/>
  <c r="I56" i="59"/>
  <c r="D130" i="59"/>
  <c r="C103" i="57"/>
  <c r="C119" i="57"/>
  <c r="H187" i="64"/>
  <c r="E199" i="53"/>
  <c r="D149" i="57"/>
  <c r="G120" i="57"/>
  <c r="E87" i="59"/>
  <c r="I166" i="57"/>
  <c r="F98" i="60"/>
  <c r="C135" i="53"/>
  <c r="D65" i="57"/>
  <c r="H118" i="60"/>
  <c r="G172" i="53"/>
  <c r="I148" i="57"/>
  <c r="D121" i="57"/>
  <c r="G172" i="59"/>
  <c r="E153" i="60"/>
  <c r="I173" i="59"/>
  <c r="F129" i="53"/>
  <c r="G162" i="59"/>
  <c r="J84" i="53"/>
  <c r="F86" i="57"/>
  <c r="H93" i="60"/>
  <c r="D102" i="57"/>
  <c r="G163" i="57"/>
  <c r="E117" i="60"/>
  <c r="I108" i="57"/>
  <c r="H77" i="53"/>
  <c r="D57" i="60"/>
  <c r="J123" i="53"/>
  <c r="H160" i="59"/>
  <c r="F76" i="57"/>
  <c r="E97" i="57"/>
  <c r="C190" i="59"/>
  <c r="E178" i="59"/>
  <c r="C111" i="57"/>
  <c r="F70" i="60"/>
  <c r="H116" i="60"/>
  <c r="F73" i="57"/>
  <c r="I94" i="57"/>
  <c r="G79" i="57"/>
  <c r="C169" i="57"/>
  <c r="C58" i="53"/>
  <c r="D113" i="53"/>
  <c r="C184" i="59"/>
  <c r="F164" i="59"/>
  <c r="J62" i="61"/>
  <c r="C127" i="61"/>
  <c r="H126" i="59"/>
  <c r="D53" i="57"/>
  <c r="G193" i="57"/>
  <c r="H115" i="62"/>
  <c r="G51" i="53"/>
  <c r="G198" i="57"/>
  <c r="H94" i="62"/>
  <c r="I147" i="53"/>
  <c r="J59" i="53"/>
  <c r="J134" i="53"/>
  <c r="F116" i="60"/>
  <c r="E176" i="53"/>
  <c r="G125" i="53"/>
  <c r="C115" i="57"/>
  <c r="C86" i="60"/>
  <c r="D152" i="60"/>
  <c r="G193" i="60"/>
  <c r="G98" i="53"/>
  <c r="E195" i="57"/>
  <c r="C75" i="53"/>
  <c r="F57" i="59"/>
  <c r="D109" i="59"/>
  <c r="F183" i="59"/>
  <c r="G78" i="53"/>
  <c r="G65" i="57"/>
  <c r="J109" i="53"/>
  <c r="I176" i="59"/>
  <c r="F109" i="59"/>
  <c r="E176" i="60"/>
  <c r="C85" i="57"/>
  <c r="C200" i="57"/>
  <c r="E94" i="57"/>
  <c r="E141" i="57"/>
  <c r="E171" i="53"/>
  <c r="C119" i="62"/>
  <c r="I107" i="57"/>
  <c r="I74" i="59"/>
  <c r="J58" i="57"/>
  <c r="I173" i="57"/>
  <c r="E118" i="60"/>
  <c r="F128" i="59"/>
  <c r="H142" i="59"/>
  <c r="F198" i="59"/>
  <c r="G171" i="57"/>
  <c r="C71" i="53"/>
  <c r="F176" i="53"/>
  <c r="H185" i="57"/>
  <c r="D74" i="61"/>
  <c r="F176" i="59"/>
  <c r="C183" i="57"/>
  <c r="J66" i="61"/>
  <c r="J88" i="53"/>
  <c r="I94" i="61"/>
  <c r="I119" i="59"/>
  <c r="G91" i="59"/>
  <c r="I196" i="60"/>
  <c r="G66" i="53"/>
  <c r="D64" i="59"/>
  <c r="H99" i="53"/>
  <c r="H170" i="59"/>
  <c r="H124" i="53"/>
  <c r="J133" i="59"/>
  <c r="G84" i="60"/>
  <c r="J135" i="53"/>
  <c r="I97" i="57"/>
  <c r="H109" i="60"/>
  <c r="D100" i="63"/>
  <c r="I62" i="57"/>
  <c r="G92" i="59"/>
  <c r="E97" i="53"/>
  <c r="D53" i="59"/>
  <c r="I101" i="53"/>
  <c r="C78" i="57"/>
  <c r="E133" i="60"/>
  <c r="J73" i="59"/>
  <c r="H159" i="56"/>
  <c r="D42" i="56"/>
  <c r="C165" i="32"/>
  <c r="F136" i="61"/>
  <c r="C64" i="62"/>
  <c r="H199" i="60"/>
  <c r="G88" i="59"/>
  <c r="I76" i="60"/>
  <c r="H79" i="57"/>
  <c r="E127" i="57"/>
  <c r="G73" i="59"/>
  <c r="F53" i="53"/>
  <c r="G183" i="59"/>
  <c r="F65" i="63"/>
  <c r="E59" i="60"/>
  <c r="H159" i="63"/>
  <c r="C135" i="59"/>
  <c r="D111" i="61"/>
  <c r="I97" i="61"/>
  <c r="H189" i="57"/>
  <c r="F58" i="63"/>
  <c r="J178" i="53"/>
  <c r="F72" i="62"/>
  <c r="E189" i="61"/>
  <c r="I78" i="64"/>
  <c r="D145" i="62"/>
  <c r="J88" i="59"/>
  <c r="G123" i="60"/>
  <c r="D57" i="59"/>
  <c r="J96" i="53"/>
  <c r="I165" i="61"/>
  <c r="C174" i="62"/>
  <c r="E136" i="53"/>
  <c r="C91" i="53"/>
  <c r="I159" i="61"/>
  <c r="C175" i="57"/>
  <c r="J182" i="62"/>
  <c r="E114" i="61"/>
  <c r="E187" i="65"/>
  <c r="E80" i="61"/>
  <c r="E86" i="53"/>
  <c r="J150" i="62"/>
  <c r="F147" i="57"/>
  <c r="D137" i="60"/>
  <c r="D116" i="61"/>
  <c r="F120" i="61"/>
  <c r="C165" i="60"/>
  <c r="G60" i="53"/>
  <c r="G196" i="62"/>
  <c r="C51" i="53"/>
  <c r="F110" i="59"/>
  <c r="E162" i="57"/>
  <c r="G169" i="59"/>
  <c r="H127" i="62"/>
  <c r="I118" i="57"/>
  <c r="H99" i="62"/>
  <c r="H152" i="57"/>
  <c r="H142" i="62"/>
  <c r="C128" i="57"/>
  <c r="I160" i="63"/>
  <c r="E74" i="57"/>
  <c r="E123" i="60"/>
  <c r="F183" i="61"/>
  <c r="H123" i="53"/>
  <c r="E196" i="53"/>
  <c r="G158" i="62"/>
  <c r="J174" i="62"/>
  <c r="G87" i="60"/>
  <c r="C59" i="62"/>
  <c r="G122" i="61"/>
  <c r="G82" i="53"/>
  <c r="H127" i="60"/>
  <c r="D51" i="63"/>
  <c r="C77" i="60"/>
  <c r="I194" i="53"/>
  <c r="J192" i="57"/>
  <c r="G108" i="61"/>
  <c r="J180" i="59"/>
  <c r="I155" i="59"/>
  <c r="H115" i="57"/>
  <c r="G85" i="53"/>
  <c r="H166" i="57"/>
  <c r="G177" i="53"/>
  <c r="J72" i="53"/>
  <c r="E107" i="62"/>
  <c r="F70" i="62"/>
  <c r="E185" i="57"/>
  <c r="D57" i="61"/>
  <c r="E66" i="53"/>
  <c r="J189" i="57"/>
  <c r="I119" i="57"/>
  <c r="H74" i="64"/>
  <c r="C179" i="57"/>
  <c r="H138" i="59"/>
  <c r="G78" i="59"/>
  <c r="D184" i="59"/>
  <c r="G144" i="57"/>
  <c r="D156" i="59"/>
  <c r="D116" i="57"/>
  <c r="D115" i="53"/>
  <c r="E184" i="57"/>
  <c r="J82" i="57"/>
  <c r="G147" i="53"/>
  <c r="C76" i="61"/>
  <c r="F61" i="57"/>
  <c r="G82" i="57"/>
  <c r="J184" i="60"/>
  <c r="J172" i="57"/>
  <c r="C184" i="57"/>
  <c r="G144" i="53"/>
  <c r="I146" i="57"/>
  <c r="J187" i="61"/>
  <c r="D139" i="61"/>
  <c r="C113" i="57"/>
  <c r="H171" i="53"/>
  <c r="J156" i="59"/>
  <c r="H113" i="59"/>
  <c r="G52" i="59"/>
  <c r="E118" i="61"/>
  <c r="I83" i="60"/>
  <c r="F80" i="59"/>
  <c r="D199" i="59"/>
  <c r="G79" i="59"/>
  <c r="E90" i="57"/>
  <c r="F112" i="61"/>
  <c r="J156" i="60"/>
  <c r="I156" i="53"/>
  <c r="D91" i="59"/>
  <c r="H78" i="59"/>
  <c r="J198" i="59"/>
  <c r="E97" i="60"/>
  <c r="D87" i="60"/>
  <c r="E199" i="62"/>
  <c r="D56" i="60"/>
  <c r="I113" i="57"/>
  <c r="E199" i="57"/>
  <c r="J91" i="59"/>
  <c r="F74" i="60"/>
  <c r="J139" i="59"/>
  <c r="F84" i="57"/>
  <c r="F161" i="59"/>
  <c r="G182" i="59"/>
  <c r="I110" i="57"/>
  <c r="G148" i="57"/>
  <c r="E169" i="59"/>
  <c r="F167" i="57"/>
  <c r="H85" i="60"/>
  <c r="J78" i="60"/>
  <c r="E195" i="59"/>
  <c r="F115" i="57"/>
  <c r="D87" i="53"/>
  <c r="D114" i="62"/>
  <c r="G196" i="59"/>
  <c r="G146" i="59"/>
  <c r="H53" i="53"/>
  <c r="J186" i="60"/>
  <c r="F69" i="57"/>
  <c r="E151" i="59"/>
  <c r="I90" i="59"/>
  <c r="J187" i="57"/>
  <c r="F113" i="59"/>
  <c r="H117" i="59"/>
  <c r="G168" i="59"/>
  <c r="D95" i="59"/>
  <c r="C62" i="57"/>
  <c r="F59" i="59"/>
  <c r="H107" i="53"/>
  <c r="D195" i="59"/>
  <c r="F191" i="53"/>
  <c r="H184" i="57"/>
  <c r="F164" i="60"/>
  <c r="J119" i="53"/>
  <c r="F142" i="60"/>
  <c r="G166" i="59"/>
  <c r="J90" i="59"/>
  <c r="C157" i="53"/>
  <c r="G109" i="53"/>
  <c r="H77" i="59"/>
  <c r="J98" i="53"/>
  <c r="E183" i="59"/>
  <c r="H189" i="53"/>
  <c r="D177" i="57"/>
  <c r="E94" i="53"/>
  <c r="C141" i="53"/>
  <c r="G98" i="59"/>
  <c r="H87" i="60"/>
  <c r="I88" i="57"/>
  <c r="G121" i="57"/>
  <c r="C141" i="61"/>
  <c r="J198" i="57"/>
  <c r="D108" i="57"/>
  <c r="E88" i="57"/>
  <c r="E96" i="60"/>
  <c r="J88" i="60"/>
  <c r="I190" i="61"/>
  <c r="J123" i="60"/>
  <c r="C66" i="60"/>
  <c r="G107" i="60"/>
  <c r="F198" i="62"/>
  <c r="F118" i="53"/>
  <c r="J137" i="59"/>
  <c r="G76" i="62"/>
  <c r="E198" i="57"/>
  <c r="C123" i="57"/>
  <c r="E192" i="57"/>
  <c r="D160" i="53"/>
  <c r="G154" i="57"/>
  <c r="D76" i="63"/>
  <c r="G196" i="60"/>
  <c r="E185" i="53"/>
  <c r="J157" i="61"/>
  <c r="G120" i="59"/>
  <c r="F114" i="59"/>
  <c r="E64" i="53"/>
  <c r="C177" i="59"/>
  <c r="D153" i="53"/>
  <c r="D122" i="60"/>
  <c r="C103" i="59"/>
  <c r="I122" i="60"/>
  <c r="I165" i="53"/>
  <c r="F91" i="53"/>
  <c r="D172" i="53"/>
  <c r="E111" i="57"/>
  <c r="D169" i="59"/>
  <c r="I180" i="53"/>
  <c r="D102" i="61"/>
  <c r="F191" i="57"/>
  <c r="F66" i="57"/>
  <c r="H120" i="57"/>
  <c r="C108" i="59"/>
  <c r="C67" i="60"/>
  <c r="F118" i="59"/>
  <c r="G149" i="59"/>
  <c r="C127" i="59"/>
  <c r="I137" i="59"/>
  <c r="I181" i="53"/>
  <c r="D92" i="60"/>
  <c r="G95" i="57"/>
  <c r="C108" i="63"/>
  <c r="D164" i="60"/>
  <c r="G72" i="53"/>
  <c r="F57" i="60"/>
  <c r="G191" i="59"/>
  <c r="C129" i="59"/>
  <c r="E149" i="59"/>
  <c r="I138" i="53"/>
  <c r="C150" i="57"/>
  <c r="J51" i="59"/>
  <c r="D63" i="53"/>
  <c r="J189" i="61"/>
  <c r="G176" i="59"/>
  <c r="G164" i="59"/>
  <c r="I114" i="53"/>
  <c r="D73" i="59"/>
  <c r="D95" i="57"/>
  <c r="E173" i="57"/>
  <c r="F183" i="53"/>
  <c r="D151" i="62"/>
  <c r="E68" i="59"/>
  <c r="G135" i="61"/>
  <c r="F103" i="53"/>
  <c r="H179" i="59"/>
  <c r="J110" i="59"/>
  <c r="J53" i="59"/>
  <c r="G172" i="61"/>
  <c r="G193" i="53"/>
  <c r="I86" i="56"/>
  <c r="J140" i="32"/>
  <c r="G50" i="56"/>
  <c r="E135" i="56"/>
  <c r="J168" i="56"/>
  <c r="J144" i="56"/>
  <c r="I110" i="32"/>
  <c r="C104" i="56"/>
  <c r="I53" i="53"/>
  <c r="F86" i="64"/>
  <c r="J178" i="57"/>
  <c r="J194" i="60"/>
  <c r="I167" i="59"/>
  <c r="G181" i="53"/>
  <c r="F89" i="53"/>
  <c r="E52" i="53"/>
  <c r="C170" i="59"/>
  <c r="F171" i="61"/>
  <c r="C110" i="53"/>
  <c r="G77" i="53"/>
  <c r="D121" i="53"/>
  <c r="F192" i="59"/>
  <c r="F188" i="53"/>
  <c r="C117" i="53"/>
  <c r="E122" i="53"/>
  <c r="G115" i="57"/>
  <c r="I83" i="59"/>
  <c r="J76" i="64"/>
  <c r="C148" i="53"/>
  <c r="C95" i="53"/>
  <c r="G111" i="53"/>
  <c r="C75" i="59"/>
  <c r="E88" i="53"/>
  <c r="E89" i="57"/>
  <c r="E65" i="57"/>
  <c r="G95" i="59"/>
  <c r="C127" i="53"/>
  <c r="G140" i="59"/>
  <c r="F67" i="57"/>
  <c r="G62" i="61"/>
  <c r="J107" i="57"/>
  <c r="I67" i="64"/>
  <c r="H128" i="59"/>
  <c r="H179" i="60"/>
  <c r="E132" i="60"/>
  <c r="D67" i="61"/>
  <c r="F162" i="32"/>
  <c r="D162" i="59"/>
  <c r="H183" i="59"/>
  <c r="G199" i="59"/>
  <c r="C126" i="53"/>
  <c r="G152" i="53"/>
  <c r="E53" i="60"/>
  <c r="H185" i="62"/>
  <c r="E69" i="62"/>
  <c r="D130" i="57"/>
  <c r="H177" i="61"/>
  <c r="I80" i="59"/>
  <c r="F97" i="59"/>
  <c r="I103" i="59"/>
  <c r="F149" i="57"/>
  <c r="H71" i="62"/>
  <c r="H85" i="56"/>
  <c r="D74" i="56"/>
  <c r="E187" i="32"/>
  <c r="C90" i="56"/>
  <c r="I55" i="56"/>
  <c r="J63" i="56"/>
  <c r="D53" i="32"/>
  <c r="E77" i="32"/>
  <c r="G67" i="62"/>
  <c r="C163" i="61"/>
  <c r="F159" i="59"/>
  <c r="C95" i="60"/>
  <c r="J170" i="57"/>
  <c r="G68" i="57"/>
  <c r="C83" i="53"/>
  <c r="E191" i="53"/>
  <c r="I110" i="53"/>
  <c r="G80" i="53"/>
  <c r="G64" i="53"/>
  <c r="H83" i="53"/>
  <c r="C189" i="57"/>
  <c r="I65" i="59"/>
  <c r="I128" i="53"/>
  <c r="F75" i="59"/>
  <c r="H174" i="53"/>
  <c r="J146" i="60"/>
  <c r="D118" i="59"/>
  <c r="G182" i="64"/>
  <c r="D59" i="53"/>
  <c r="I85" i="57"/>
  <c r="E113" i="60"/>
  <c r="G90" i="59"/>
  <c r="E105" i="57"/>
  <c r="F68" i="57"/>
  <c r="F99" i="61"/>
  <c r="J102" i="57"/>
  <c r="G113" i="57"/>
  <c r="E161" i="57"/>
  <c r="C107" i="53"/>
  <c r="D152" i="56"/>
  <c r="J194" i="61"/>
  <c r="I122" i="63"/>
  <c r="G146" i="68"/>
  <c r="I55" i="53"/>
  <c r="J159" i="60"/>
  <c r="H82" i="59"/>
  <c r="D101" i="59"/>
  <c r="E105" i="53"/>
  <c r="I79" i="53"/>
  <c r="D64" i="57"/>
  <c r="H81" i="63"/>
  <c r="J86" i="60"/>
  <c r="D111" i="62"/>
  <c r="G181" i="57"/>
  <c r="F68" i="62"/>
  <c r="H118" i="63"/>
  <c r="F69" i="63"/>
  <c r="C104" i="61"/>
  <c r="H147" i="53"/>
  <c r="I159" i="64"/>
  <c r="F89" i="57"/>
  <c r="G121" i="61"/>
  <c r="C199" i="63"/>
  <c r="D65" i="61"/>
  <c r="J63" i="57"/>
  <c r="J113" i="57"/>
  <c r="E55" i="53"/>
  <c r="C162" i="59"/>
  <c r="C154" i="53"/>
  <c r="J131" i="57"/>
  <c r="F53" i="59"/>
  <c r="F87" i="53"/>
  <c r="I163" i="53"/>
  <c r="I63" i="63"/>
  <c r="J51" i="63"/>
  <c r="E99" i="61"/>
  <c r="D180" i="62"/>
  <c r="J163" i="59"/>
  <c r="D148" i="61"/>
  <c r="I121" i="60"/>
  <c r="E82" i="64"/>
  <c r="E125" i="62"/>
  <c r="H59" i="62"/>
  <c r="C87" i="63"/>
  <c r="G195" i="60"/>
  <c r="D196" i="62"/>
  <c r="D147" i="57"/>
  <c r="J199" i="59"/>
  <c r="D91" i="53"/>
  <c r="D84" i="60"/>
  <c r="F144" i="57"/>
  <c r="H54" i="60"/>
  <c r="G154" i="63"/>
  <c r="J150" i="59"/>
  <c r="I140" i="61"/>
  <c r="D126" i="57"/>
  <c r="E182" i="60"/>
  <c r="G183" i="57"/>
  <c r="I160" i="62"/>
  <c r="J190" i="60"/>
  <c r="C89" i="53"/>
  <c r="D155" i="59"/>
  <c r="C60" i="63"/>
  <c r="E75" i="61"/>
  <c r="E55" i="60"/>
  <c r="J73" i="62"/>
  <c r="G61" i="64"/>
  <c r="G116" i="59"/>
  <c r="D78" i="57"/>
  <c r="G155" i="57"/>
  <c r="D124" i="59"/>
  <c r="G89" i="60"/>
  <c r="D158" i="59"/>
  <c r="I118" i="59"/>
  <c r="I72" i="53"/>
  <c r="E198" i="53"/>
  <c r="J182" i="53"/>
  <c r="I143" i="57"/>
  <c r="F124" i="61"/>
  <c r="I121" i="59"/>
  <c r="E94" i="61"/>
  <c r="D168" i="53"/>
  <c r="I73" i="53"/>
  <c r="D98" i="59"/>
  <c r="C163" i="53"/>
  <c r="E146" i="53"/>
  <c r="D54" i="59"/>
  <c r="F87" i="59"/>
  <c r="H51" i="53"/>
  <c r="H195" i="53"/>
  <c r="G116" i="57"/>
  <c r="F67" i="53"/>
  <c r="H105" i="60"/>
  <c r="H55" i="57"/>
  <c r="I130" i="53"/>
  <c r="F84" i="60"/>
  <c r="F120" i="62"/>
  <c r="H109" i="57"/>
  <c r="G139" i="59"/>
  <c r="D127" i="59"/>
  <c r="C161" i="57"/>
  <c r="E133" i="59"/>
  <c r="J163" i="57"/>
  <c r="J65" i="60"/>
  <c r="H76" i="59"/>
  <c r="G97" i="53"/>
  <c r="D62" i="59"/>
  <c r="G59" i="57"/>
  <c r="H123" i="57"/>
  <c r="G134" i="57"/>
  <c r="C198" i="59"/>
  <c r="F120" i="59"/>
  <c r="D197" i="53"/>
  <c r="E161" i="61"/>
  <c r="C170" i="57"/>
  <c r="D186" i="53"/>
  <c r="F82" i="57"/>
  <c r="F52" i="53"/>
  <c r="H191" i="57"/>
  <c r="G88" i="60"/>
  <c r="D52" i="53"/>
  <c r="D72" i="59"/>
  <c r="J101" i="59"/>
  <c r="E183" i="53"/>
  <c r="F109" i="53"/>
  <c r="E102" i="57"/>
  <c r="H191" i="61"/>
  <c r="E63" i="61"/>
  <c r="C153" i="57"/>
  <c r="F197" i="62"/>
  <c r="E188" i="53"/>
  <c r="E56" i="59"/>
  <c r="E181" i="53"/>
  <c r="H58" i="57"/>
  <c r="D114" i="59"/>
  <c r="I64" i="62"/>
  <c r="D115" i="59"/>
  <c r="E51" i="61"/>
  <c r="F180" i="59"/>
  <c r="F148" i="59"/>
  <c r="E143" i="53"/>
  <c r="H148" i="53"/>
  <c r="J53" i="60"/>
  <c r="D140" i="59"/>
  <c r="G187" i="53"/>
  <c r="E169" i="57"/>
  <c r="F96" i="60"/>
  <c r="J106" i="57"/>
  <c r="D164" i="59"/>
  <c r="D198" i="57"/>
  <c r="G101" i="57"/>
  <c r="I84" i="57"/>
  <c r="G119" i="57"/>
  <c r="F155" i="64"/>
  <c r="H180" i="57"/>
  <c r="D178" i="60"/>
  <c r="J101" i="57"/>
  <c r="H86" i="53"/>
  <c r="F57" i="61"/>
  <c r="J116" i="60"/>
  <c r="J100" i="59"/>
  <c r="E85" i="57"/>
  <c r="J97" i="59"/>
  <c r="H118" i="59"/>
  <c r="J198" i="53"/>
  <c r="G61" i="60"/>
  <c r="F87" i="57"/>
  <c r="D107" i="60"/>
  <c r="G63" i="59"/>
  <c r="E76" i="57"/>
  <c r="C86" i="62"/>
  <c r="F96" i="59"/>
  <c r="G123" i="53"/>
  <c r="E58" i="59"/>
  <c r="F66" i="59"/>
  <c r="H109" i="53"/>
  <c r="H143" i="59"/>
  <c r="G69" i="60"/>
  <c r="C112" i="59"/>
  <c r="C96" i="60"/>
  <c r="E155" i="61"/>
  <c r="D186" i="59"/>
  <c r="J160" i="53"/>
  <c r="I120" i="57"/>
  <c r="J54" i="57"/>
  <c r="G108" i="57"/>
  <c r="J159" i="53"/>
  <c r="I56" i="60"/>
  <c r="G104" i="57"/>
  <c r="C58" i="59"/>
  <c r="E154" i="53"/>
  <c r="H74" i="62"/>
  <c r="F103" i="60"/>
  <c r="F192" i="53"/>
  <c r="J173" i="57"/>
  <c r="H84" i="60"/>
  <c r="C158" i="61"/>
  <c r="D151" i="59"/>
  <c r="D120" i="59"/>
  <c r="F92" i="57"/>
  <c r="F58" i="53"/>
  <c r="I51" i="57"/>
  <c r="G134" i="53"/>
  <c r="D177" i="53"/>
  <c r="E180" i="60"/>
  <c r="F64" i="61"/>
  <c r="G167" i="57"/>
  <c r="H70" i="60"/>
  <c r="E117" i="53"/>
  <c r="J163" i="61"/>
  <c r="E188" i="68"/>
  <c r="F51" i="62"/>
  <c r="I134" i="60"/>
  <c r="D51" i="53"/>
  <c r="H120" i="59"/>
  <c r="C68" i="60"/>
  <c r="C163" i="60"/>
  <c r="G98" i="57"/>
  <c r="I142" i="60"/>
  <c r="F136" i="62"/>
  <c r="G111" i="59"/>
  <c r="J194" i="63"/>
  <c r="D103" i="62"/>
  <c r="D62" i="64"/>
  <c r="J126" i="61"/>
  <c r="I76" i="64"/>
  <c r="I64" i="64"/>
  <c r="D194" i="57"/>
  <c r="H83" i="64"/>
  <c r="C73" i="59"/>
  <c r="J72" i="64"/>
  <c r="G133" i="53"/>
  <c r="I190" i="59"/>
  <c r="F194" i="57"/>
  <c r="G69" i="59"/>
  <c r="C54" i="53"/>
  <c r="H121" i="62"/>
  <c r="F156" i="53"/>
  <c r="D185" i="59"/>
  <c r="H97" i="63"/>
  <c r="I172" i="63"/>
  <c r="F59" i="53"/>
  <c r="F132" i="64"/>
  <c r="E132" i="61"/>
  <c r="I133" i="60"/>
  <c r="F76" i="61"/>
  <c r="E71" i="60"/>
  <c r="G194" i="62"/>
  <c r="C100" i="57"/>
  <c r="H166" i="60"/>
  <c r="E56" i="64"/>
  <c r="D126" i="63"/>
  <c r="D64" i="62"/>
  <c r="G92" i="57"/>
  <c r="G130" i="59"/>
  <c r="C136" i="59"/>
  <c r="J184" i="57"/>
  <c r="I79" i="62"/>
  <c r="I101" i="59"/>
  <c r="G182" i="57"/>
  <c r="J69" i="59"/>
  <c r="C173" i="68"/>
  <c r="E127" i="61"/>
  <c r="C51" i="64"/>
  <c r="C86" i="53"/>
  <c r="J67" i="64"/>
  <c r="C139" i="60"/>
  <c r="D85" i="61"/>
  <c r="C121" i="62"/>
  <c r="J92" i="59"/>
  <c r="J133" i="63"/>
  <c r="E84" i="61"/>
  <c r="H164" i="63"/>
  <c r="C152" i="61"/>
  <c r="J160" i="63"/>
  <c r="D172" i="62"/>
  <c r="I168" i="53"/>
  <c r="I152" i="57"/>
  <c r="H83" i="61"/>
  <c r="C130" i="57"/>
  <c r="C198" i="57"/>
  <c r="I180" i="57"/>
  <c r="D59" i="59"/>
  <c r="I182" i="59"/>
  <c r="I75" i="60"/>
  <c r="I82" i="62"/>
  <c r="G161" i="57"/>
  <c r="D62" i="53"/>
  <c r="H81" i="64"/>
  <c r="F177" i="53"/>
  <c r="C116" i="53"/>
  <c r="I176" i="60"/>
  <c r="F61" i="53"/>
  <c r="D175" i="62"/>
  <c r="E143" i="32"/>
  <c r="C140" i="59"/>
  <c r="H106" i="61"/>
  <c r="C88" i="61"/>
  <c r="F144" i="53"/>
  <c r="H192" i="57"/>
  <c r="C78" i="59"/>
  <c r="E59" i="53"/>
  <c r="D79" i="59"/>
  <c r="I103" i="62"/>
  <c r="D60" i="60"/>
  <c r="F145" i="59"/>
  <c r="H87" i="57"/>
  <c r="E116" i="57"/>
  <c r="D88" i="62"/>
  <c r="H61" i="60"/>
  <c r="J107" i="53"/>
  <c r="E133" i="53"/>
  <c r="F120" i="57"/>
  <c r="I190" i="53"/>
  <c r="J63" i="60"/>
  <c r="F93" i="53"/>
  <c r="F60" i="57"/>
  <c r="G106" i="57"/>
  <c r="J86" i="57"/>
  <c r="H179" i="53"/>
  <c r="C138" i="64"/>
  <c r="J196" i="59"/>
  <c r="G188" i="57"/>
  <c r="C194" i="59"/>
  <c r="C75" i="60"/>
  <c r="C74" i="60"/>
  <c r="D104" i="57"/>
  <c r="E120" i="59"/>
  <c r="G99" i="59"/>
  <c r="E96" i="57"/>
  <c r="D68" i="60"/>
  <c r="E173" i="53"/>
  <c r="F165" i="59"/>
  <c r="H98" i="61"/>
  <c r="F162" i="53"/>
  <c r="D85" i="60"/>
  <c r="H181" i="53"/>
  <c r="F105" i="59"/>
  <c r="I106" i="59"/>
  <c r="G61" i="53"/>
  <c r="F107" i="53"/>
  <c r="J156" i="57"/>
  <c r="E110" i="53"/>
  <c r="E106" i="57"/>
  <c r="F108" i="62"/>
  <c r="C89" i="59"/>
  <c r="I190" i="57"/>
  <c r="G185" i="59"/>
  <c r="H93" i="53"/>
  <c r="C146" i="53"/>
  <c r="H71" i="53"/>
  <c r="I118" i="61"/>
  <c r="H67" i="53"/>
  <c r="F157" i="59"/>
  <c r="H121" i="59"/>
  <c r="C87" i="57"/>
  <c r="F79" i="60"/>
  <c r="D158" i="60"/>
  <c r="I127" i="59"/>
  <c r="G58" i="53"/>
  <c r="C194" i="60"/>
  <c r="C156" i="53"/>
  <c r="E75" i="59"/>
  <c r="E188" i="60"/>
  <c r="G139" i="63"/>
  <c r="F194" i="59"/>
  <c r="I180" i="60"/>
  <c r="I138" i="57"/>
  <c r="F120" i="53"/>
  <c r="E174" i="60"/>
  <c r="F190" i="59"/>
  <c r="H64" i="61"/>
  <c r="C115" i="59"/>
  <c r="H63" i="59"/>
  <c r="I60" i="57"/>
  <c r="J140" i="57"/>
  <c r="E99" i="60"/>
  <c r="H191" i="60"/>
  <c r="F145" i="57"/>
  <c r="E175" i="60"/>
  <c r="F143" i="61"/>
  <c r="G68" i="59"/>
  <c r="F59" i="62"/>
  <c r="F93" i="60"/>
  <c r="H173" i="62"/>
  <c r="D141" i="59"/>
  <c r="J68" i="53"/>
  <c r="E138" i="59"/>
  <c r="C158" i="57"/>
  <c r="E124" i="57"/>
  <c r="D52" i="57"/>
  <c r="E104" i="53"/>
  <c r="E182" i="53"/>
  <c r="H62" i="61"/>
  <c r="J135" i="57"/>
  <c r="G83" i="59"/>
  <c r="H188" i="53"/>
  <c r="C69" i="60"/>
  <c r="G135" i="57"/>
  <c r="H142" i="57"/>
  <c r="E181" i="62"/>
  <c r="C164" i="59"/>
  <c r="F125" i="57"/>
  <c r="C162" i="53"/>
  <c r="E91" i="57"/>
  <c r="F83" i="60"/>
  <c r="G131" i="53"/>
  <c r="F146" i="53"/>
  <c r="F76" i="59"/>
  <c r="E159" i="59"/>
  <c r="H151" i="57"/>
  <c r="D162" i="60"/>
  <c r="J105" i="57"/>
  <c r="C187" i="64"/>
  <c r="I194" i="57"/>
  <c r="E155" i="59"/>
  <c r="G184" i="53"/>
  <c r="G76" i="60"/>
  <c r="D178" i="53"/>
  <c r="H73" i="53"/>
  <c r="E91" i="60"/>
  <c r="J89" i="59"/>
  <c r="H160" i="53"/>
  <c r="D131" i="59"/>
  <c r="F171" i="59"/>
  <c r="G76" i="53"/>
  <c r="D62" i="60"/>
  <c r="I194" i="59"/>
  <c r="J123" i="59"/>
  <c r="F66" i="53"/>
  <c r="H57" i="59"/>
  <c r="H162" i="53"/>
  <c r="J128" i="53"/>
  <c r="C94" i="59"/>
  <c r="C63" i="60"/>
  <c r="I86" i="59"/>
  <c r="J193" i="53"/>
  <c r="E196" i="64"/>
  <c r="F104" i="59"/>
  <c r="F62" i="62"/>
  <c r="H117" i="53"/>
  <c r="F193" i="59"/>
  <c r="E101" i="53"/>
  <c r="D82" i="59"/>
  <c r="C153" i="59"/>
  <c r="C147" i="57"/>
  <c r="J92" i="60"/>
  <c r="J57" i="57"/>
  <c r="J57" i="53"/>
  <c r="C187" i="59"/>
  <c r="C95" i="57"/>
  <c r="E136" i="61"/>
  <c r="E148" i="53"/>
  <c r="D67" i="57"/>
  <c r="H168" i="60"/>
  <c r="C197" i="53"/>
  <c r="G129" i="62"/>
  <c r="H92" i="53"/>
  <c r="F191" i="62"/>
  <c r="E53" i="53"/>
  <c r="J128" i="59"/>
  <c r="I189" i="59"/>
  <c r="C52" i="57"/>
  <c r="J94" i="64"/>
  <c r="D166" i="59"/>
  <c r="I89" i="57"/>
  <c r="G70" i="57"/>
  <c r="D90" i="61"/>
  <c r="J78" i="61"/>
  <c r="I152" i="62"/>
  <c r="C176" i="53"/>
  <c r="I191" i="53"/>
  <c r="D102" i="56"/>
  <c r="C94" i="32"/>
  <c r="E80" i="32"/>
  <c r="F61" i="32"/>
  <c r="G175" i="32"/>
  <c r="G187" i="32"/>
  <c r="I173" i="32"/>
  <c r="I165" i="56"/>
  <c r="D71" i="61"/>
  <c r="D80" i="53"/>
  <c r="I200" i="64"/>
  <c r="I99" i="59"/>
  <c r="F178" i="53"/>
  <c r="I73" i="64"/>
  <c r="I149" i="60"/>
  <c r="E190" i="53"/>
  <c r="J120" i="53"/>
  <c r="F79" i="59"/>
  <c r="F54" i="53"/>
  <c r="I110" i="59"/>
  <c r="F75" i="60"/>
  <c r="J120" i="64"/>
  <c r="G182" i="61"/>
  <c r="I97" i="59"/>
  <c r="J141" i="59"/>
  <c r="I199" i="53"/>
  <c r="H93" i="59"/>
  <c r="H63" i="53"/>
  <c r="D128" i="53"/>
  <c r="C88" i="53"/>
  <c r="E127" i="53"/>
  <c r="G85" i="57"/>
  <c r="C180" i="57"/>
  <c r="I145" i="53"/>
  <c r="H151" i="59"/>
  <c r="E172" i="59"/>
  <c r="F135" i="60"/>
  <c r="G86" i="57"/>
  <c r="G88" i="53"/>
  <c r="I128" i="59"/>
  <c r="F170" i="53"/>
  <c r="J92" i="32"/>
  <c r="G174" i="56"/>
  <c r="H168" i="61"/>
  <c r="H170" i="60"/>
  <c r="J86" i="62"/>
  <c r="I155" i="61"/>
  <c r="D183" i="63"/>
  <c r="D94" i="53"/>
  <c r="H159" i="59"/>
  <c r="J105" i="60"/>
  <c r="I79" i="59"/>
  <c r="J62" i="60"/>
  <c r="J74" i="57"/>
  <c r="C75" i="64"/>
  <c r="D91" i="60"/>
  <c r="E192" i="68"/>
  <c r="D163" i="59"/>
  <c r="E65" i="64"/>
  <c r="I62" i="53"/>
  <c r="G118" i="60"/>
  <c r="I152" i="60"/>
  <c r="F175" i="57"/>
  <c r="G135" i="64"/>
  <c r="D66" i="57"/>
  <c r="C173" i="62"/>
  <c r="C71" i="57"/>
  <c r="G180" i="64"/>
  <c r="J63" i="59"/>
  <c r="J134" i="60"/>
  <c r="H100" i="53"/>
  <c r="I58" i="53"/>
  <c r="I156" i="57"/>
  <c r="C110" i="59"/>
  <c r="D93" i="60"/>
  <c r="H76" i="61"/>
  <c r="F83" i="57"/>
  <c r="D80" i="64"/>
  <c r="H124" i="57"/>
  <c r="H67" i="64"/>
  <c r="C151" i="61"/>
  <c r="F54" i="59"/>
  <c r="I128" i="61"/>
  <c r="F68" i="60"/>
  <c r="G87" i="62"/>
  <c r="G194" i="53"/>
  <c r="C92" i="63"/>
  <c r="I179" i="63"/>
  <c r="H159" i="53"/>
  <c r="E157" i="53"/>
  <c r="C106" i="60"/>
  <c r="E84" i="59"/>
  <c r="I133" i="61"/>
  <c r="H92" i="60"/>
  <c r="I84" i="53"/>
  <c r="F94" i="60"/>
  <c r="C184" i="62"/>
  <c r="E183" i="61"/>
  <c r="J99" i="62"/>
  <c r="D150" i="57"/>
  <c r="H188" i="62"/>
  <c r="F167" i="53"/>
  <c r="F155" i="62"/>
  <c r="C128" i="60"/>
  <c r="J120" i="61"/>
  <c r="D185" i="60"/>
  <c r="H96" i="63"/>
  <c r="E111" i="62"/>
  <c r="D139" i="57"/>
  <c r="G170" i="60"/>
  <c r="G145" i="60"/>
  <c r="G150" i="57"/>
  <c r="C193" i="64"/>
  <c r="C117" i="60"/>
  <c r="I94" i="59"/>
  <c r="C108" i="64"/>
  <c r="I198" i="53"/>
  <c r="G158" i="60"/>
  <c r="J117" i="57"/>
  <c r="H87" i="59"/>
  <c r="D189" i="62"/>
  <c r="D97" i="61"/>
  <c r="I178" i="57"/>
  <c r="H92" i="63"/>
  <c r="I177" i="59"/>
  <c r="D132" i="62"/>
  <c r="H56" i="60"/>
  <c r="E144" i="60"/>
  <c r="E153" i="57"/>
  <c r="D138" i="64"/>
  <c r="E83" i="53"/>
  <c r="D165" i="59"/>
  <c r="I108" i="59"/>
  <c r="J168" i="59"/>
  <c r="J95" i="57"/>
  <c r="D57" i="53"/>
  <c r="J125" i="57"/>
  <c r="D77" i="59"/>
  <c r="H179" i="57"/>
  <c r="E142" i="59"/>
  <c r="H118" i="57"/>
  <c r="G81" i="53"/>
  <c r="H65" i="57"/>
  <c r="H83" i="59"/>
  <c r="C62" i="53"/>
  <c r="C113" i="53"/>
  <c r="I189" i="57"/>
  <c r="H164" i="57"/>
  <c r="E164" i="57"/>
  <c r="F153" i="60"/>
  <c r="E152" i="53"/>
  <c r="H114" i="59"/>
  <c r="C192" i="53"/>
  <c r="J70" i="60"/>
  <c r="F161" i="53"/>
  <c r="C145" i="64"/>
  <c r="E101" i="59"/>
  <c r="E129" i="57"/>
  <c r="G199" i="53"/>
  <c r="D109" i="53"/>
  <c r="D196" i="59"/>
  <c r="F51" i="57"/>
  <c r="E92" i="53"/>
  <c r="G187" i="60"/>
  <c r="G93" i="59"/>
  <c r="C117" i="59"/>
  <c r="D71" i="60"/>
  <c r="C132" i="60"/>
  <c r="I188" i="62"/>
  <c r="I179" i="62"/>
  <c r="F102" i="60"/>
  <c r="I150" i="57"/>
  <c r="E136" i="59"/>
  <c r="J79" i="60"/>
  <c r="J182" i="59"/>
  <c r="D114" i="53"/>
  <c r="E78" i="59"/>
  <c r="D93" i="57"/>
  <c r="C158" i="53"/>
  <c r="H167" i="62"/>
  <c r="G177" i="61"/>
  <c r="J111" i="53"/>
  <c r="G165" i="61"/>
  <c r="I178" i="60"/>
  <c r="D144" i="53"/>
  <c r="H196" i="63"/>
  <c r="D118" i="57"/>
  <c r="H57" i="62"/>
  <c r="E163" i="59"/>
  <c r="H115" i="59"/>
  <c r="H155" i="57"/>
  <c r="I176" i="57"/>
  <c r="J128" i="57"/>
  <c r="D113" i="57"/>
  <c r="C63" i="53"/>
  <c r="C160" i="60"/>
  <c r="J158" i="59"/>
  <c r="D172" i="57"/>
  <c r="C83" i="59"/>
  <c r="H189" i="60"/>
  <c r="G200" i="61"/>
  <c r="C82" i="57"/>
  <c r="D95" i="60"/>
  <c r="C196" i="53"/>
  <c r="J119" i="62"/>
  <c r="J140" i="53"/>
  <c r="I125" i="57"/>
  <c r="F196" i="59"/>
  <c r="J181" i="59"/>
  <c r="C82" i="53"/>
  <c r="F148" i="53"/>
  <c r="C69" i="62"/>
  <c r="I188" i="57"/>
  <c r="C104" i="57"/>
  <c r="G143" i="57"/>
  <c r="H171" i="57"/>
  <c r="J199" i="61"/>
  <c r="C156" i="61"/>
  <c r="F123" i="53"/>
  <c r="H115" i="60"/>
  <c r="F188" i="59"/>
  <c r="H79" i="59"/>
  <c r="I153" i="60"/>
  <c r="I196" i="53"/>
  <c r="G71" i="59"/>
  <c r="G68" i="60"/>
  <c r="C183" i="59"/>
  <c r="C86" i="59"/>
  <c r="F174" i="57"/>
  <c r="H158" i="59"/>
  <c r="F66" i="61"/>
  <c r="D124" i="53"/>
  <c r="F114" i="53"/>
  <c r="G147" i="59"/>
  <c r="C70" i="53"/>
  <c r="C186" i="59"/>
  <c r="I87" i="60"/>
  <c r="H104" i="53"/>
  <c r="C121" i="57"/>
  <c r="C89" i="60"/>
  <c r="G74" i="57"/>
  <c r="J192" i="59"/>
  <c r="C159" i="57"/>
  <c r="F197" i="59"/>
  <c r="J161" i="59"/>
  <c r="F97" i="53"/>
  <c r="H86" i="57"/>
  <c r="E140" i="57"/>
  <c r="D127" i="57"/>
  <c r="D135" i="59"/>
  <c r="E104" i="57"/>
  <c r="D53" i="60"/>
  <c r="C78" i="53"/>
  <c r="E67" i="60"/>
  <c r="C125" i="57"/>
  <c r="D82" i="60"/>
  <c r="C131" i="53"/>
  <c r="G79" i="62"/>
  <c r="G186" i="53"/>
  <c r="I77" i="59"/>
  <c r="J69" i="63"/>
  <c r="D86" i="60"/>
  <c r="D155" i="60"/>
  <c r="D182" i="61"/>
  <c r="D199" i="60"/>
  <c r="G64" i="59"/>
  <c r="J142" i="60"/>
  <c r="E132" i="59"/>
  <c r="G76" i="59"/>
  <c r="D162" i="53"/>
  <c r="H172" i="53"/>
  <c r="D102" i="53"/>
  <c r="D109" i="64"/>
  <c r="G60" i="59"/>
  <c r="H103" i="59"/>
  <c r="F181" i="61"/>
  <c r="C113" i="59"/>
  <c r="F112" i="59"/>
  <c r="D126" i="59"/>
  <c r="F64" i="57"/>
  <c r="G164" i="63"/>
  <c r="H52" i="57"/>
  <c r="J123" i="57"/>
  <c r="F60" i="59"/>
  <c r="H99" i="59"/>
  <c r="F57" i="53"/>
  <c r="J121" i="63"/>
  <c r="C199" i="61"/>
  <c r="C84" i="60"/>
  <c r="H155" i="59"/>
  <c r="E191" i="60"/>
  <c r="C173" i="64"/>
  <c r="I64" i="53"/>
  <c r="D168" i="59"/>
  <c r="J163" i="62"/>
  <c r="D100" i="53"/>
  <c r="I164" i="53"/>
  <c r="C90" i="53"/>
  <c r="D141" i="60"/>
  <c r="J100" i="60"/>
  <c r="J193" i="57"/>
  <c r="C114" i="53"/>
  <c r="E99" i="57"/>
  <c r="I163" i="57"/>
  <c r="E101" i="60"/>
  <c r="G104" i="59"/>
  <c r="F190" i="53"/>
  <c r="E81" i="56"/>
  <c r="G56" i="32"/>
  <c r="H89" i="56"/>
  <c r="J125" i="32"/>
  <c r="E52" i="56"/>
  <c r="F35" i="56"/>
  <c r="I188" i="32"/>
  <c r="E34" i="56"/>
  <c r="F113" i="57"/>
  <c r="G143" i="59"/>
  <c r="D74" i="59"/>
  <c r="D173" i="53"/>
  <c r="I91" i="53"/>
  <c r="I109" i="53"/>
  <c r="E105" i="60"/>
  <c r="I80" i="60"/>
  <c r="E79" i="59"/>
  <c r="E74" i="62"/>
  <c r="I52" i="61"/>
  <c r="I151" i="53"/>
  <c r="G137" i="59"/>
  <c r="D146" i="53"/>
  <c r="C92" i="60"/>
  <c r="J72" i="59"/>
  <c r="H72" i="61"/>
  <c r="C137" i="56"/>
  <c r="C93" i="32"/>
  <c r="F55" i="56"/>
  <c r="D111" i="59"/>
  <c r="G143" i="63"/>
  <c r="J51" i="64"/>
  <c r="C185" i="62"/>
  <c r="H160" i="63"/>
  <c r="G85" i="60"/>
  <c r="C81" i="53"/>
  <c r="C112" i="53"/>
  <c r="C167" i="57"/>
  <c r="I98" i="53"/>
  <c r="I104" i="59"/>
  <c r="H96" i="61"/>
  <c r="H80" i="61"/>
  <c r="E178" i="62"/>
  <c r="G107" i="53"/>
  <c r="D130" i="62"/>
  <c r="F130" i="59"/>
  <c r="J102" i="62"/>
  <c r="I193" i="64"/>
  <c r="J61" i="62"/>
  <c r="I83" i="61"/>
  <c r="G107" i="59"/>
  <c r="C67" i="64"/>
  <c r="E200" i="60"/>
  <c r="J102" i="61"/>
  <c r="J171" i="60"/>
  <c r="F146" i="57"/>
  <c r="D182" i="53"/>
  <c r="G101" i="53"/>
  <c r="I82" i="53"/>
  <c r="F182" i="53"/>
  <c r="I76" i="61"/>
  <c r="C186" i="61"/>
  <c r="D169" i="53"/>
  <c r="E158" i="60"/>
  <c r="E65" i="53"/>
  <c r="F56" i="62"/>
  <c r="I149" i="63"/>
  <c r="E115" i="64"/>
  <c r="F56" i="64"/>
  <c r="F58" i="62"/>
  <c r="I135" i="60"/>
  <c r="J193" i="59"/>
  <c r="J170" i="64"/>
  <c r="I78" i="61"/>
  <c r="F82" i="59"/>
  <c r="J131" i="60"/>
  <c r="H172" i="57"/>
  <c r="J57" i="60"/>
  <c r="C69" i="53"/>
  <c r="D154" i="53"/>
  <c r="J166" i="59"/>
  <c r="D118" i="60"/>
  <c r="F173" i="59"/>
  <c r="D114" i="60"/>
  <c r="I196" i="63"/>
  <c r="I118" i="62"/>
  <c r="D53" i="63"/>
  <c r="C182" i="59"/>
  <c r="G72" i="64"/>
  <c r="J100" i="62"/>
  <c r="C77" i="53"/>
  <c r="E55" i="64"/>
  <c r="H151" i="63"/>
  <c r="H60" i="60"/>
  <c r="F175" i="64"/>
  <c r="E107" i="61"/>
  <c r="H171" i="64"/>
  <c r="G160" i="59"/>
  <c r="F134" i="63"/>
  <c r="F119" i="57"/>
  <c r="J51" i="53"/>
  <c r="J101" i="60"/>
  <c r="I68" i="62"/>
  <c r="I69" i="60"/>
  <c r="C139" i="53"/>
  <c r="D163" i="57"/>
  <c r="J135" i="63"/>
  <c r="F191" i="63"/>
  <c r="J141" i="61"/>
  <c r="I128" i="64"/>
  <c r="H191" i="59"/>
  <c r="H136" i="57"/>
  <c r="I78" i="60"/>
  <c r="H64" i="60"/>
  <c r="H91" i="59"/>
  <c r="G65" i="63"/>
  <c r="J65" i="57"/>
  <c r="C195" i="53"/>
  <c r="G153" i="61"/>
  <c r="H104" i="62"/>
  <c r="F140" i="53"/>
  <c r="I166" i="62"/>
  <c r="F92" i="59"/>
  <c r="F143" i="59"/>
  <c r="E177" i="59"/>
  <c r="J74" i="64"/>
  <c r="E89" i="53"/>
  <c r="E124" i="53"/>
  <c r="C111" i="53"/>
  <c r="F173" i="53"/>
  <c r="C65" i="59"/>
  <c r="H190" i="60"/>
  <c r="I156" i="59"/>
  <c r="E160" i="53"/>
  <c r="C92" i="59"/>
  <c r="J52" i="57"/>
  <c r="I164" i="62"/>
  <c r="I73" i="61"/>
  <c r="J77" i="59"/>
  <c r="I142" i="59"/>
  <c r="H132" i="53"/>
  <c r="I84" i="63"/>
  <c r="I187" i="57"/>
  <c r="J64" i="59"/>
  <c r="G94" i="60"/>
  <c r="H105" i="57"/>
  <c r="C168" i="53"/>
  <c r="J121" i="57"/>
  <c r="C66" i="59"/>
  <c r="C146" i="57"/>
  <c r="J89" i="60"/>
  <c r="F143" i="60"/>
  <c r="I57" i="64"/>
  <c r="H116" i="57"/>
  <c r="D122" i="61"/>
  <c r="D162" i="57"/>
  <c r="E55" i="59"/>
  <c r="F184" i="59"/>
  <c r="D84" i="53"/>
  <c r="C75" i="57"/>
  <c r="I126" i="61"/>
  <c r="F99" i="59"/>
  <c r="H196" i="59"/>
  <c r="H96" i="53"/>
  <c r="C54" i="59"/>
  <c r="H101" i="60"/>
  <c r="G144" i="60"/>
  <c r="J158" i="57"/>
  <c r="E178" i="57"/>
  <c r="D78" i="61"/>
  <c r="J151" i="62"/>
  <c r="F112" i="63"/>
  <c r="G148" i="53"/>
  <c r="H130" i="60"/>
  <c r="J144" i="53"/>
  <c r="E68" i="53"/>
  <c r="D153" i="59"/>
  <c r="I54" i="53"/>
  <c r="F93" i="59"/>
  <c r="I197" i="61"/>
  <c r="H151" i="53"/>
  <c r="H55" i="53"/>
  <c r="C59" i="57"/>
  <c r="J165" i="53"/>
  <c r="C107" i="61"/>
  <c r="F62" i="57"/>
  <c r="D111" i="60"/>
  <c r="F108" i="60"/>
  <c r="H96" i="60"/>
  <c r="C60" i="59"/>
  <c r="J103" i="61"/>
  <c r="D97" i="53"/>
  <c r="H149" i="60"/>
  <c r="G57" i="59"/>
  <c r="J177" i="61"/>
  <c r="H125" i="59"/>
  <c r="E73" i="59"/>
  <c r="F85" i="53"/>
  <c r="G175" i="57"/>
  <c r="E123" i="53"/>
  <c r="H101" i="53"/>
  <c r="D90" i="60"/>
  <c r="E71" i="57"/>
  <c r="H154" i="61"/>
  <c r="G162" i="57"/>
  <c r="C175" i="61"/>
  <c r="J94" i="57"/>
  <c r="H127" i="57"/>
  <c r="I96" i="57"/>
  <c r="D88" i="63"/>
  <c r="H57" i="61"/>
  <c r="J60" i="57"/>
  <c r="J36" i="56"/>
  <c r="D123" i="53"/>
  <c r="F154" i="59"/>
  <c r="E92" i="64"/>
  <c r="F110" i="62"/>
  <c r="F140" i="63"/>
  <c r="C73" i="63"/>
  <c r="E117" i="57"/>
  <c r="H196" i="57"/>
  <c r="J90" i="61"/>
  <c r="H139" i="57"/>
  <c r="E168" i="61"/>
  <c r="F110" i="63"/>
  <c r="J176" i="63"/>
  <c r="E104" i="63"/>
  <c r="H150" i="59"/>
  <c r="J65" i="64"/>
  <c r="H67" i="60"/>
  <c r="D188" i="63"/>
  <c r="J60" i="63"/>
  <c r="D171" i="62"/>
  <c r="F175" i="63"/>
  <c r="J135" i="60"/>
  <c r="E59" i="62"/>
  <c r="G71" i="57"/>
  <c r="F127" i="60"/>
  <c r="F199" i="53"/>
  <c r="D86" i="59"/>
  <c r="E71" i="53"/>
  <c r="I189" i="53"/>
  <c r="C158" i="62"/>
  <c r="D68" i="59"/>
  <c r="G168" i="57"/>
  <c r="H92" i="64"/>
  <c r="C102" i="53"/>
  <c r="I138" i="64"/>
  <c r="G104" i="53"/>
  <c r="H76" i="64"/>
  <c r="J148" i="60"/>
  <c r="C136" i="64"/>
  <c r="G167" i="62"/>
  <c r="H131" i="57"/>
  <c r="D164" i="64"/>
  <c r="D96" i="62"/>
  <c r="F103" i="64"/>
  <c r="H175" i="53"/>
  <c r="G141" i="53"/>
  <c r="E148" i="59"/>
  <c r="E52" i="59"/>
  <c r="G151" i="53"/>
  <c r="G57" i="60"/>
  <c r="C90" i="61"/>
  <c r="G105" i="53"/>
  <c r="D195" i="64"/>
  <c r="E142" i="57"/>
  <c r="J163" i="60"/>
  <c r="G131" i="64"/>
  <c r="E174" i="62"/>
  <c r="D161" i="63"/>
  <c r="D166" i="53"/>
  <c r="H77" i="61"/>
  <c r="C126" i="61"/>
  <c r="E134" i="59"/>
  <c r="C88" i="64"/>
  <c r="H65" i="62"/>
  <c r="I116" i="59"/>
  <c r="F97" i="63"/>
  <c r="C121" i="61"/>
  <c r="E67" i="63"/>
  <c r="I132" i="57"/>
  <c r="G105" i="62"/>
  <c r="C59" i="59"/>
  <c r="G98" i="60"/>
  <c r="C97" i="61"/>
  <c r="F180" i="57"/>
  <c r="J93" i="53"/>
  <c r="G85" i="62"/>
  <c r="G127" i="53"/>
  <c r="I57" i="53"/>
  <c r="F149" i="60"/>
  <c r="I88" i="60"/>
  <c r="G62" i="57"/>
  <c r="H174" i="57"/>
  <c r="I96" i="59"/>
  <c r="H94" i="53"/>
  <c r="C77" i="57"/>
  <c r="E175" i="59"/>
  <c r="H142" i="53"/>
  <c r="E144" i="53"/>
  <c r="H129" i="53"/>
  <c r="I127" i="53"/>
  <c r="D176" i="57"/>
  <c r="C151" i="59"/>
  <c r="C78" i="62"/>
  <c r="H197" i="59"/>
  <c r="H85" i="59"/>
  <c r="D151" i="57"/>
  <c r="J74" i="63"/>
  <c r="D174" i="59"/>
  <c r="J137" i="64"/>
  <c r="F54" i="60"/>
  <c r="J169" i="59"/>
  <c r="I129" i="61"/>
  <c r="H134" i="64"/>
  <c r="C112" i="57"/>
  <c r="F130" i="53"/>
  <c r="J174" i="61"/>
  <c r="J110" i="60"/>
  <c r="G55" i="61"/>
  <c r="D180" i="53"/>
  <c r="G55" i="59"/>
  <c r="G108" i="53"/>
  <c r="D153" i="57"/>
  <c r="F87" i="62"/>
  <c r="C123" i="53"/>
  <c r="I56" i="57"/>
  <c r="D77" i="57"/>
  <c r="C189" i="59"/>
  <c r="F101" i="59"/>
  <c r="G71" i="60"/>
  <c r="J157" i="53"/>
  <c r="G97" i="59"/>
  <c r="J167" i="62"/>
  <c r="E181" i="59"/>
  <c r="D55" i="59"/>
  <c r="H89" i="53"/>
  <c r="H197" i="57"/>
  <c r="E113" i="53"/>
  <c r="D143" i="53"/>
  <c r="G167" i="53"/>
  <c r="G91" i="53"/>
  <c r="H70" i="57"/>
  <c r="F188" i="57"/>
  <c r="F122" i="61"/>
  <c r="F119" i="53"/>
  <c r="I131" i="59"/>
  <c r="I148" i="53"/>
  <c r="H62" i="63"/>
  <c r="J71" i="57"/>
  <c r="F107" i="60"/>
  <c r="C76" i="53"/>
  <c r="E53" i="57"/>
  <c r="E143" i="59"/>
  <c r="F106" i="63"/>
  <c r="E159" i="62"/>
  <c r="J180" i="57"/>
  <c r="D198" i="61"/>
  <c r="H122" i="53"/>
  <c r="D127" i="53"/>
  <c r="I113" i="53"/>
  <c r="G107" i="57"/>
  <c r="G75" i="59"/>
  <c r="F152" i="60"/>
  <c r="G127" i="57"/>
  <c r="E167" i="53"/>
  <c r="F85" i="57"/>
  <c r="I60" i="53"/>
  <c r="F178" i="59"/>
  <c r="D114" i="57"/>
  <c r="C88" i="60"/>
  <c r="E162" i="53"/>
  <c r="H173" i="53"/>
  <c r="I184" i="61"/>
  <c r="G130" i="53"/>
  <c r="J67" i="57"/>
  <c r="H98" i="60"/>
  <c r="E163" i="60"/>
  <c r="H61" i="62"/>
  <c r="E165" i="59"/>
  <c r="J114" i="59"/>
  <c r="E64" i="57"/>
  <c r="E192" i="59"/>
  <c r="J55" i="57"/>
  <c r="H168" i="57"/>
  <c r="D156" i="57"/>
  <c r="G51" i="63"/>
  <c r="C165" i="53"/>
  <c r="G62" i="60"/>
  <c r="G136" i="53"/>
  <c r="F111" i="61"/>
  <c r="I184" i="59"/>
  <c r="J79" i="53"/>
  <c r="E62" i="57"/>
  <c r="G163" i="53"/>
  <c r="F200" i="57"/>
  <c r="F101" i="57"/>
  <c r="E171" i="57"/>
  <c r="J184" i="61"/>
  <c r="I170" i="60"/>
  <c r="F78" i="59"/>
  <c r="F177" i="61"/>
  <c r="D125" i="61"/>
  <c r="G87" i="59"/>
  <c r="G151" i="57"/>
  <c r="H147" i="59"/>
  <c r="C96" i="59"/>
  <c r="F172" i="53"/>
  <c r="D144" i="57"/>
  <c r="G89" i="53"/>
  <c r="E188" i="61"/>
  <c r="E98" i="53"/>
  <c r="C51" i="57"/>
  <c r="D149" i="60"/>
  <c r="F138" i="59"/>
  <c r="F134" i="59"/>
  <c r="G138" i="53"/>
  <c r="D53" i="53"/>
  <c r="J158" i="53"/>
  <c r="H139" i="59"/>
  <c r="G158" i="57"/>
  <c r="I130" i="60"/>
  <c r="J97" i="57"/>
  <c r="D102" i="62"/>
  <c r="F88" i="60"/>
  <c r="J77" i="60"/>
  <c r="J97" i="61"/>
  <c r="F177" i="59"/>
  <c r="F83" i="59"/>
  <c r="H79" i="61"/>
  <c r="J105" i="62"/>
  <c r="F186" i="57"/>
  <c r="G176" i="53"/>
  <c r="D147" i="59"/>
  <c r="I95" i="62"/>
  <c r="G178" i="59"/>
  <c r="I115" i="57"/>
  <c r="F110" i="61"/>
  <c r="E74" i="59"/>
  <c r="D70" i="59"/>
  <c r="I104" i="53"/>
  <c r="G116" i="61"/>
  <c r="G113" i="53"/>
  <c r="I61" i="60"/>
  <c r="D93" i="53"/>
  <c r="I133" i="57"/>
  <c r="E68" i="61"/>
  <c r="C195" i="61"/>
  <c r="J66" i="57"/>
  <c r="D150" i="53"/>
  <c r="H78" i="60"/>
  <c r="D174" i="57"/>
  <c r="E108" i="57"/>
  <c r="F168" i="59"/>
  <c r="H104" i="60"/>
  <c r="C194" i="57"/>
  <c r="C81" i="59"/>
  <c r="D107" i="53"/>
  <c r="J56" i="60"/>
  <c r="D133" i="57"/>
  <c r="D169" i="62"/>
  <c r="J61" i="59"/>
  <c r="D143" i="57"/>
  <c r="E158" i="53"/>
  <c r="I61" i="57"/>
  <c r="F155" i="60"/>
  <c r="C34" i="56"/>
  <c r="H151" i="61"/>
  <c r="H165" i="59"/>
  <c r="I121" i="57"/>
  <c r="C174" i="57"/>
  <c r="D58" i="59"/>
  <c r="F160" i="57"/>
  <c r="I53" i="57"/>
  <c r="G81" i="57"/>
  <c r="I199" i="32"/>
  <c r="D60" i="56"/>
  <c r="I80" i="32"/>
  <c r="H67" i="56"/>
  <c r="H103" i="32"/>
  <c r="F80" i="32"/>
  <c r="J68" i="56"/>
  <c r="I150" i="32"/>
  <c r="J65" i="56"/>
  <c r="D141" i="53"/>
  <c r="H188" i="57"/>
  <c r="G56" i="59"/>
  <c r="F110" i="57"/>
  <c r="D54" i="53"/>
  <c r="C181" i="59"/>
  <c r="J121" i="53"/>
  <c r="J129" i="57"/>
  <c r="F163" i="57"/>
  <c r="H166" i="59"/>
  <c r="J126" i="57"/>
  <c r="E100" i="62"/>
  <c r="C178" i="57"/>
  <c r="I143" i="59"/>
  <c r="F151" i="60"/>
  <c r="D135" i="57"/>
  <c r="J196" i="53"/>
  <c r="H63" i="60"/>
  <c r="F70" i="53"/>
  <c r="G165" i="57"/>
  <c r="G80" i="59"/>
  <c r="I116" i="57"/>
  <c r="E121" i="57"/>
  <c r="G197" i="53"/>
  <c r="F118" i="60"/>
  <c r="H155" i="53"/>
  <c r="D89" i="53"/>
  <c r="E172" i="53"/>
  <c r="I108" i="53"/>
  <c r="D103" i="53"/>
  <c r="H60" i="32"/>
  <c r="J70" i="56"/>
  <c r="H76" i="56"/>
  <c r="H60" i="56"/>
  <c r="G75" i="56"/>
  <c r="H111" i="32"/>
  <c r="C137" i="32"/>
  <c r="F115" i="32"/>
  <c r="H168" i="56"/>
  <c r="E199" i="68"/>
  <c r="I124" i="57"/>
  <c r="I176" i="53"/>
  <c r="H196" i="61"/>
  <c r="J195" i="64"/>
  <c r="G107" i="61"/>
  <c r="D122" i="53"/>
  <c r="I97" i="53"/>
  <c r="J157" i="57"/>
  <c r="F80" i="64"/>
  <c r="D184" i="57"/>
  <c r="G157" i="53"/>
  <c r="F71" i="62"/>
  <c r="D108" i="61"/>
  <c r="E88" i="63"/>
  <c r="F57" i="62"/>
  <c r="J150" i="53"/>
  <c r="H182" i="60"/>
  <c r="J150" i="57"/>
  <c r="J86" i="63"/>
  <c r="I125" i="61"/>
  <c r="I185" i="63"/>
  <c r="F91" i="63"/>
  <c r="H112" i="53"/>
  <c r="C196" i="62"/>
  <c r="E106" i="60"/>
  <c r="J124" i="53"/>
  <c r="E95" i="60"/>
  <c r="G127" i="61"/>
  <c r="J56" i="57"/>
  <c r="H59" i="57"/>
  <c r="G170" i="57"/>
  <c r="G177" i="60"/>
  <c r="C72" i="65"/>
  <c r="G191" i="60"/>
  <c r="E100" i="53"/>
  <c r="H167" i="61"/>
  <c r="I63" i="53"/>
  <c r="H199" i="68"/>
  <c r="J160" i="60"/>
  <c r="C191" i="65"/>
  <c r="G185" i="60"/>
  <c r="E119" i="57"/>
  <c r="I155" i="63"/>
  <c r="H137" i="59"/>
  <c r="G173" i="64"/>
  <c r="H119" i="53"/>
  <c r="F184" i="63"/>
  <c r="D74" i="57"/>
  <c r="E88" i="61"/>
  <c r="H140" i="57"/>
  <c r="J155" i="57"/>
  <c r="J196" i="61"/>
  <c r="E184" i="53"/>
  <c r="E183" i="62"/>
  <c r="H97" i="57"/>
  <c r="C153" i="64"/>
  <c r="I192" i="62"/>
  <c r="G124" i="65"/>
  <c r="G166" i="60"/>
  <c r="C146" i="63"/>
  <c r="G119" i="59"/>
  <c r="E113" i="62"/>
  <c r="I144" i="63"/>
  <c r="I53" i="60"/>
  <c r="G141" i="62"/>
  <c r="D199" i="63"/>
  <c r="J83" i="62"/>
  <c r="C70" i="60"/>
  <c r="J106" i="62"/>
  <c r="H108" i="59"/>
  <c r="E175" i="53"/>
  <c r="E100" i="59"/>
  <c r="E176" i="57"/>
  <c r="J99" i="53"/>
  <c r="D194" i="59"/>
  <c r="E134" i="53"/>
  <c r="F55" i="60"/>
  <c r="H88" i="53"/>
  <c r="J129" i="59"/>
  <c r="C120" i="53"/>
  <c r="D104" i="53"/>
  <c r="D74" i="53"/>
  <c r="I151" i="60"/>
  <c r="J122" i="59"/>
  <c r="J64" i="61"/>
  <c r="D89" i="59"/>
  <c r="J100" i="53"/>
  <c r="J164" i="59"/>
  <c r="C90" i="59"/>
  <c r="F106" i="53"/>
  <c r="I100" i="59"/>
  <c r="J119" i="63"/>
  <c r="E162" i="60"/>
  <c r="E139" i="57"/>
  <c r="F74" i="59"/>
  <c r="C163" i="57"/>
  <c r="E105" i="59"/>
  <c r="I176" i="61"/>
  <c r="D111" i="57"/>
  <c r="J145" i="59"/>
  <c r="F117" i="57"/>
  <c r="F196" i="63"/>
  <c r="F102" i="53"/>
  <c r="H128" i="53"/>
  <c r="H91" i="60"/>
  <c r="H89" i="57"/>
  <c r="H136" i="63"/>
  <c r="J125" i="53"/>
  <c r="F62" i="59"/>
  <c r="J108" i="53"/>
  <c r="E168" i="53"/>
  <c r="F91" i="57"/>
  <c r="H89" i="59"/>
  <c r="J186" i="59"/>
  <c r="J117" i="59"/>
  <c r="F175" i="59"/>
  <c r="J86" i="59"/>
  <c r="H190" i="59"/>
  <c r="F116" i="57"/>
  <c r="G110" i="60"/>
  <c r="E146" i="60"/>
  <c r="E139" i="59"/>
  <c r="E86" i="60"/>
  <c r="I90" i="57"/>
  <c r="G179" i="57"/>
  <c r="G195" i="59"/>
  <c r="H132" i="59"/>
  <c r="D134" i="61"/>
  <c r="G176" i="60"/>
  <c r="G169" i="53"/>
  <c r="C185" i="57"/>
  <c r="C171" i="59"/>
  <c r="C126" i="60"/>
  <c r="F168" i="61"/>
  <c r="I155" i="53"/>
  <c r="F52" i="57"/>
  <c r="H181" i="57"/>
  <c r="G188" i="53"/>
  <c r="I67" i="57"/>
  <c r="H193" i="57"/>
  <c r="J195" i="53"/>
  <c r="E129" i="64"/>
  <c r="F195" i="57"/>
  <c r="D182" i="59"/>
  <c r="J115" i="57"/>
  <c r="I184" i="62"/>
  <c r="E154" i="62"/>
  <c r="E168" i="59"/>
  <c r="G161" i="59"/>
  <c r="I95" i="61"/>
  <c r="F63" i="53"/>
  <c r="J95" i="53"/>
  <c r="J71" i="53"/>
  <c r="H140" i="61"/>
  <c r="E114" i="59"/>
  <c r="I72" i="59"/>
  <c r="C160" i="57"/>
  <c r="E77" i="60"/>
  <c r="I188" i="53"/>
  <c r="F53" i="60"/>
  <c r="I114" i="64"/>
  <c r="D182" i="57"/>
  <c r="E186" i="60"/>
  <c r="I140" i="53"/>
  <c r="C117" i="57"/>
  <c r="I56" i="53"/>
  <c r="F135" i="53"/>
  <c r="I79" i="57"/>
  <c r="G86" i="53"/>
  <c r="J149" i="53"/>
  <c r="F62" i="60"/>
  <c r="F116" i="53"/>
  <c r="F89" i="60"/>
  <c r="H141" i="63"/>
  <c r="I144" i="53"/>
  <c r="H111" i="57"/>
  <c r="G61" i="57"/>
  <c r="G96" i="60"/>
  <c r="C126" i="57"/>
  <c r="I168" i="62"/>
  <c r="F160" i="59"/>
  <c r="J179" i="57"/>
  <c r="J93" i="60"/>
  <c r="C147" i="60"/>
  <c r="E194" i="59"/>
  <c r="H95" i="64"/>
  <c r="J105" i="59"/>
  <c r="H122" i="57"/>
  <c r="C107" i="57"/>
  <c r="C156" i="60"/>
  <c r="G168" i="60"/>
  <c r="J78" i="59"/>
  <c r="D138" i="60"/>
  <c r="C102" i="59"/>
  <c r="H104" i="59"/>
  <c r="H55" i="60"/>
  <c r="E91" i="62"/>
  <c r="J138" i="57"/>
  <c r="J91" i="60"/>
  <c r="G67" i="61"/>
  <c r="G51" i="62"/>
  <c r="H89" i="61"/>
  <c r="F126" i="59"/>
  <c r="D85" i="57"/>
  <c r="D99" i="53"/>
  <c r="C191" i="57"/>
  <c r="H58" i="53"/>
  <c r="I124" i="59"/>
  <c r="I140" i="59"/>
  <c r="I114" i="57"/>
  <c r="G51" i="60"/>
  <c r="D102" i="60"/>
  <c r="D66" i="61"/>
  <c r="G141" i="59"/>
  <c r="C56" i="57"/>
  <c r="H104" i="57"/>
  <c r="H194" i="57"/>
  <c r="J106" i="61"/>
  <c r="C94" i="53"/>
  <c r="H58" i="63"/>
  <c r="D59" i="60"/>
  <c r="D66" i="60"/>
  <c r="G164" i="57"/>
  <c r="J85" i="57"/>
  <c r="E125" i="59"/>
  <c r="J125" i="61"/>
  <c r="C171" i="57"/>
  <c r="F109" i="57"/>
  <c r="H156" i="59"/>
  <c r="F122" i="59"/>
  <c r="C193" i="53"/>
  <c r="F134" i="53"/>
  <c r="H34" i="56"/>
  <c r="E162" i="32"/>
  <c r="F127" i="32"/>
  <c r="E151" i="32"/>
  <c r="J67" i="56"/>
  <c r="J88" i="32"/>
  <c r="H75" i="56"/>
  <c r="E47" i="56"/>
  <c r="J133" i="56"/>
  <c r="J120" i="56"/>
  <c r="H126" i="56"/>
  <c r="G153" i="32"/>
  <c r="D146" i="32"/>
  <c r="F116" i="56"/>
  <c r="I62" i="32"/>
  <c r="G38" i="56"/>
  <c r="E173" i="56"/>
  <c r="J110" i="56"/>
  <c r="F144" i="56"/>
  <c r="D181" i="56"/>
  <c r="F142" i="32"/>
  <c r="G105" i="32"/>
  <c r="H105" i="32"/>
  <c r="F86" i="32"/>
  <c r="E191" i="32"/>
  <c r="F62" i="32"/>
  <c r="F84" i="56"/>
  <c r="F116" i="32"/>
  <c r="F176" i="32"/>
  <c r="F132" i="56"/>
  <c r="F158" i="56"/>
  <c r="C58" i="32"/>
  <c r="H130" i="56"/>
  <c r="D165" i="56"/>
  <c r="G114" i="32"/>
  <c r="I186" i="32"/>
  <c r="E185" i="32"/>
  <c r="D156" i="32"/>
  <c r="D125" i="32"/>
  <c r="E68" i="32"/>
  <c r="D46" i="56"/>
  <c r="I88" i="32"/>
  <c r="F44" i="56"/>
  <c r="G128" i="56"/>
  <c r="D66" i="32"/>
  <c r="J68" i="32"/>
  <c r="E168" i="56"/>
  <c r="F178" i="32"/>
  <c r="D35" i="56"/>
  <c r="I112" i="32"/>
  <c r="E114" i="32"/>
  <c r="H178" i="56"/>
  <c r="D149" i="32"/>
  <c r="D69" i="56"/>
  <c r="E135" i="32"/>
  <c r="I157" i="56"/>
  <c r="C132" i="56"/>
  <c r="I195" i="32"/>
  <c r="G86" i="56"/>
  <c r="G37" i="56"/>
  <c r="E104" i="56"/>
  <c r="I85" i="56"/>
  <c r="H99" i="56"/>
  <c r="E139" i="56"/>
  <c r="J137" i="32"/>
  <c r="E79" i="56"/>
  <c r="F74" i="56"/>
  <c r="H90" i="32"/>
  <c r="G99" i="56"/>
  <c r="E186" i="32"/>
  <c r="F58" i="32"/>
  <c r="I82" i="56"/>
  <c r="D57" i="56"/>
  <c r="I79" i="32"/>
  <c r="C61" i="32"/>
  <c r="C165" i="56"/>
  <c r="J132" i="32"/>
  <c r="J101" i="56"/>
  <c r="J79" i="32"/>
  <c r="F155" i="56"/>
  <c r="E70" i="32"/>
  <c r="G69" i="32"/>
  <c r="E97" i="56"/>
  <c r="D172" i="32"/>
  <c r="I132" i="32"/>
  <c r="J176" i="32"/>
  <c r="E129" i="56"/>
  <c r="E145" i="32"/>
  <c r="F66" i="32"/>
  <c r="D144" i="32"/>
  <c r="D83" i="56"/>
  <c r="G95" i="56"/>
  <c r="J187" i="32"/>
  <c r="H163" i="56"/>
  <c r="H191" i="32"/>
  <c r="F124" i="32"/>
  <c r="D131" i="56"/>
  <c r="E162" i="56"/>
  <c r="F181" i="32"/>
  <c r="H166" i="32"/>
  <c r="G179" i="56"/>
  <c r="J56" i="32"/>
  <c r="H189" i="32"/>
  <c r="E110" i="56"/>
  <c r="C156" i="32"/>
  <c r="E128" i="56"/>
  <c r="C88" i="32"/>
  <c r="C182" i="32"/>
  <c r="I108" i="56"/>
  <c r="I132" i="56"/>
  <c r="E104" i="32"/>
  <c r="H69" i="56"/>
  <c r="D158" i="56"/>
  <c r="J66" i="32"/>
  <c r="I135" i="56"/>
  <c r="I75" i="56"/>
  <c r="G163" i="56"/>
  <c r="H94" i="56"/>
  <c r="F41" i="56"/>
  <c r="F161" i="32"/>
  <c r="E42" i="56"/>
  <c r="F169" i="56"/>
  <c r="D190" i="32"/>
  <c r="C136" i="32"/>
  <c r="J80" i="32"/>
  <c r="I120" i="56"/>
  <c r="D145" i="32"/>
  <c r="C184" i="32"/>
  <c r="H98" i="32"/>
  <c r="J82" i="56"/>
  <c r="H188" i="32"/>
  <c r="G164" i="32"/>
  <c r="C164" i="32"/>
  <c r="D170" i="56"/>
  <c r="G49" i="56"/>
  <c r="D151" i="32"/>
  <c r="H154" i="32"/>
  <c r="F148" i="56"/>
  <c r="H74" i="56"/>
  <c r="D188" i="32"/>
  <c r="H192" i="32"/>
  <c r="E83" i="56"/>
  <c r="E194" i="32"/>
  <c r="C83" i="32"/>
  <c r="I181" i="56"/>
  <c r="H88" i="32"/>
  <c r="F196" i="32"/>
  <c r="I71" i="56"/>
  <c r="G148" i="56"/>
  <c r="J87" i="32"/>
  <c r="J73" i="56"/>
  <c r="D193" i="32"/>
  <c r="G183" i="32"/>
  <c r="J37" i="56"/>
  <c r="D126" i="56"/>
  <c r="G64" i="32"/>
  <c r="I133" i="32"/>
  <c r="G40" i="56"/>
  <c r="D138" i="56"/>
  <c r="E141" i="56"/>
  <c r="F121" i="32"/>
  <c r="E51" i="56"/>
  <c r="F123" i="56"/>
  <c r="I88" i="56"/>
  <c r="J109" i="56"/>
  <c r="I122" i="56"/>
  <c r="J162" i="56"/>
  <c r="G116" i="56"/>
  <c r="C183" i="56"/>
  <c r="H76" i="32"/>
  <c r="F58" i="56"/>
  <c r="F107" i="56"/>
  <c r="F129" i="32"/>
  <c r="J196" i="32"/>
  <c r="D179" i="32"/>
  <c r="H125" i="32"/>
  <c r="H153" i="56"/>
  <c r="D72" i="56"/>
  <c r="E63" i="56"/>
  <c r="I180" i="56"/>
  <c r="F101" i="56"/>
  <c r="E121" i="32"/>
  <c r="H102" i="56"/>
  <c r="I130" i="56"/>
  <c r="G98" i="56"/>
  <c r="G122" i="56"/>
  <c r="J137" i="56"/>
  <c r="C86" i="32"/>
  <c r="I65" i="32"/>
  <c r="D173" i="56"/>
  <c r="J96" i="56"/>
  <c r="C81" i="32"/>
  <c r="I119" i="56"/>
  <c r="E184" i="32"/>
  <c r="G118" i="32"/>
  <c r="F86" i="56"/>
  <c r="C139" i="32"/>
  <c r="E158" i="56"/>
  <c r="I64" i="56"/>
  <c r="H148" i="32"/>
  <c r="F156" i="32"/>
  <c r="G154" i="56"/>
  <c r="F53" i="32"/>
  <c r="C71" i="32"/>
  <c r="C147" i="56"/>
  <c r="C174" i="56"/>
  <c r="G163" i="32"/>
  <c r="F45" i="56"/>
  <c r="J92" i="56"/>
  <c r="C125" i="32"/>
  <c r="D115" i="56"/>
  <c r="G161" i="32"/>
  <c r="I60" i="56"/>
  <c r="D143" i="32"/>
  <c r="J161" i="32"/>
  <c r="E170" i="32"/>
  <c r="J151" i="56"/>
  <c r="F66" i="56"/>
  <c r="H122" i="32"/>
  <c r="I105" i="32"/>
  <c r="J126" i="56"/>
  <c r="H107" i="32"/>
  <c r="D128" i="32"/>
  <c r="H93" i="56"/>
  <c r="G125" i="32"/>
  <c r="E75" i="56"/>
  <c r="E45" i="56"/>
  <c r="I141" i="56"/>
  <c r="C122" i="56"/>
  <c r="G183" i="56"/>
  <c r="E178" i="56"/>
  <c r="H180" i="56"/>
  <c r="C132" i="32"/>
  <c r="C69" i="56"/>
  <c r="H99" i="32"/>
  <c r="C152" i="32"/>
  <c r="D198" i="32"/>
  <c r="J190" i="32"/>
  <c r="G157" i="32"/>
  <c r="G159" i="32"/>
  <c r="I121" i="56"/>
  <c r="F52" i="32"/>
  <c r="E107" i="56"/>
  <c r="G43" i="56"/>
  <c r="I153" i="56"/>
  <c r="I139" i="32"/>
  <c r="H52" i="56"/>
  <c r="H140" i="56"/>
  <c r="E154" i="56"/>
  <c r="I117" i="32"/>
  <c r="I168" i="32"/>
  <c r="C56" i="32"/>
  <c r="H199" i="32"/>
  <c r="E86" i="56"/>
  <c r="E138" i="32"/>
  <c r="E85" i="56"/>
  <c r="J97" i="56"/>
  <c r="G52" i="56"/>
  <c r="G123" i="56"/>
  <c r="I183" i="56"/>
  <c r="I124" i="32"/>
  <c r="F111" i="32"/>
  <c r="F200" i="32"/>
  <c r="F162" i="56"/>
  <c r="E158" i="32"/>
  <c r="I190" i="32"/>
  <c r="F113" i="32"/>
  <c r="J134" i="32"/>
  <c r="D75" i="32"/>
  <c r="G166" i="56"/>
  <c r="F188" i="32"/>
  <c r="F164" i="56"/>
  <c r="F85" i="56"/>
  <c r="I83" i="32"/>
  <c r="F148" i="32"/>
  <c r="C93" i="56"/>
  <c r="J147" i="32"/>
  <c r="J80" i="56"/>
  <c r="G174" i="32"/>
  <c r="H177" i="56"/>
  <c r="G78" i="56"/>
  <c r="I193" i="32"/>
  <c r="J119" i="32"/>
  <c r="E76" i="56"/>
  <c r="G88" i="32"/>
  <c r="H92" i="56"/>
  <c r="F34" i="56"/>
  <c r="D62" i="56"/>
  <c r="J124" i="56"/>
  <c r="J57" i="56"/>
  <c r="I102" i="32"/>
  <c r="I104" i="32"/>
  <c r="C133" i="32"/>
  <c r="D168" i="56"/>
  <c r="C193" i="32"/>
  <c r="H95" i="32"/>
  <c r="J86" i="56"/>
  <c r="I133" i="56"/>
  <c r="D103" i="32"/>
  <c r="F159" i="56"/>
  <c r="E94" i="56"/>
  <c r="F57" i="56"/>
  <c r="I119" i="32"/>
  <c r="D64" i="56"/>
  <c r="C55" i="59"/>
  <c r="H82" i="56"/>
  <c r="C76" i="32"/>
  <c r="F65" i="32"/>
  <c r="C123" i="56"/>
  <c r="D140" i="32"/>
  <c r="H163" i="32"/>
  <c r="I129" i="56"/>
  <c r="I173" i="56"/>
  <c r="D197" i="32"/>
  <c r="H112" i="56"/>
  <c r="C68" i="56"/>
  <c r="D55" i="32"/>
  <c r="H104" i="56"/>
  <c r="I98" i="56"/>
  <c r="C131" i="56"/>
  <c r="H179" i="56"/>
  <c r="E132" i="56"/>
  <c r="I135" i="32"/>
  <c r="E77" i="56"/>
  <c r="J183" i="56"/>
  <c r="F87" i="32"/>
  <c r="H138" i="32"/>
  <c r="J115" i="56"/>
  <c r="G139" i="32"/>
  <c r="G169" i="56"/>
  <c r="I114" i="32"/>
  <c r="E109" i="32"/>
  <c r="D54" i="56"/>
  <c r="J194" i="32"/>
  <c r="H62" i="32"/>
  <c r="I52" i="56"/>
  <c r="J103" i="32"/>
  <c r="J130" i="56"/>
  <c r="F82" i="56"/>
  <c r="I56" i="56"/>
  <c r="F69" i="56"/>
  <c r="J176" i="56"/>
  <c r="G156" i="32"/>
  <c r="F131" i="56"/>
  <c r="F183" i="32"/>
  <c r="C96" i="56"/>
  <c r="J179" i="56"/>
  <c r="J174" i="56"/>
  <c r="D189" i="32"/>
  <c r="E73" i="56"/>
  <c r="C90" i="32"/>
  <c r="D51" i="56"/>
  <c r="D81" i="32"/>
  <c r="G193" i="32"/>
  <c r="F180" i="32"/>
  <c r="E164" i="32"/>
  <c r="C149" i="56"/>
  <c r="J55" i="56"/>
  <c r="H54" i="32"/>
  <c r="H169" i="32"/>
  <c r="I83" i="56"/>
  <c r="F145" i="32"/>
  <c r="C127" i="56"/>
  <c r="G39" i="56"/>
  <c r="E180" i="32"/>
  <c r="F60" i="56"/>
  <c r="G127" i="56"/>
  <c r="D146" i="56"/>
  <c r="J163" i="32"/>
  <c r="I172" i="32"/>
  <c r="C142" i="56"/>
  <c r="I111" i="59"/>
  <c r="D61" i="32"/>
  <c r="D171" i="56"/>
  <c r="H86" i="56"/>
  <c r="J50" i="56"/>
  <c r="F81" i="32"/>
  <c r="H100" i="32"/>
  <c r="I154" i="56"/>
  <c r="E64" i="32"/>
  <c r="D50" i="56"/>
  <c r="F141" i="32"/>
  <c r="F78" i="56"/>
  <c r="D167" i="32"/>
  <c r="I127" i="32"/>
  <c r="G94" i="32"/>
  <c r="C114" i="32"/>
  <c r="F161" i="56"/>
  <c r="I108" i="32"/>
  <c r="I115" i="32"/>
  <c r="F69" i="32"/>
  <c r="D37" i="56"/>
  <c r="C57" i="32"/>
  <c r="H176" i="56"/>
  <c r="C75" i="32"/>
  <c r="C53" i="32"/>
  <c r="G177" i="56"/>
  <c r="I111" i="56"/>
  <c r="E74" i="56"/>
  <c r="E58" i="32"/>
  <c r="E95" i="32"/>
  <c r="D58" i="32"/>
  <c r="G158" i="56"/>
  <c r="G80" i="32"/>
  <c r="F117" i="32"/>
  <c r="G57" i="56"/>
  <c r="J42" i="56"/>
  <c r="I89" i="56"/>
  <c r="F173" i="56"/>
  <c r="D157" i="56"/>
  <c r="G181" i="32"/>
  <c r="G192" i="32"/>
  <c r="F128" i="56"/>
  <c r="E149" i="56"/>
  <c r="J175" i="32"/>
  <c r="H63" i="56"/>
  <c r="E160" i="59"/>
  <c r="G182" i="32"/>
  <c r="F133" i="56"/>
  <c r="C54" i="32"/>
  <c r="E147" i="32"/>
  <c r="J35" i="56"/>
  <c r="D111" i="32"/>
  <c r="J43" i="56"/>
  <c r="F151" i="32"/>
  <c r="I73" i="56"/>
  <c r="E91" i="32"/>
  <c r="C197" i="32"/>
  <c r="D155" i="32"/>
  <c r="F152" i="32"/>
  <c r="J79" i="56"/>
  <c r="I155" i="32"/>
  <c r="H69" i="32"/>
  <c r="I75" i="32"/>
  <c r="D49" i="56"/>
  <c r="I74" i="56"/>
  <c r="E163" i="56"/>
  <c r="C118" i="32"/>
  <c r="E59" i="56"/>
  <c r="H141" i="32"/>
  <c r="F153" i="32"/>
  <c r="G136" i="56"/>
  <c r="D169" i="32"/>
  <c r="E108" i="32"/>
  <c r="D157" i="32"/>
  <c r="G195" i="32"/>
  <c r="E94" i="32"/>
  <c r="H158" i="32"/>
  <c r="F167" i="56"/>
  <c r="C173" i="56"/>
  <c r="C98" i="56"/>
  <c r="D126" i="32"/>
  <c r="G66" i="32"/>
  <c r="J59" i="32"/>
  <c r="G47" i="56"/>
  <c r="E54" i="32"/>
  <c r="F91" i="56"/>
  <c r="J127" i="56"/>
  <c r="I103" i="32"/>
  <c r="F95" i="59"/>
  <c r="E46" i="56"/>
  <c r="E192" i="32"/>
  <c r="G170" i="32"/>
  <c r="J171" i="56"/>
  <c r="I77" i="56"/>
  <c r="H122" i="56"/>
  <c r="H162" i="32"/>
  <c r="D132" i="32"/>
  <c r="I52" i="32"/>
  <c r="C179" i="32"/>
  <c r="J182" i="56"/>
  <c r="G178" i="56"/>
  <c r="E125" i="56"/>
  <c r="E105" i="56"/>
  <c r="H35" i="56"/>
  <c r="C74" i="32"/>
  <c r="E130" i="32"/>
  <c r="F138" i="32"/>
  <c r="I78" i="56"/>
  <c r="I90" i="32"/>
  <c r="I138" i="56"/>
  <c r="I142" i="32"/>
  <c r="D163" i="56"/>
  <c r="F138" i="56"/>
  <c r="G90" i="32"/>
  <c r="I117" i="56"/>
  <c r="J195" i="32"/>
  <c r="I85" i="32"/>
  <c r="H65" i="32"/>
  <c r="H185" i="32"/>
  <c r="D196" i="32"/>
  <c r="H138" i="56"/>
  <c r="E188" i="32"/>
  <c r="G59" i="56"/>
  <c r="F172" i="32"/>
  <c r="H59" i="56"/>
  <c r="F55" i="32"/>
  <c r="J114" i="32"/>
  <c r="I45" i="56"/>
  <c r="E157" i="32"/>
  <c r="H182" i="32"/>
  <c r="G86" i="32"/>
  <c r="J128" i="56"/>
  <c r="J64" i="56"/>
  <c r="F93" i="56"/>
  <c r="J192" i="32"/>
  <c r="G132" i="32"/>
  <c r="C106" i="32"/>
  <c r="G159" i="56"/>
  <c r="F36" i="56"/>
  <c r="J118" i="56"/>
  <c r="C55" i="32"/>
  <c r="I68" i="56"/>
  <c r="E165" i="32"/>
  <c r="G172" i="56"/>
  <c r="E180" i="56"/>
  <c r="F107" i="32"/>
  <c r="C116" i="56"/>
  <c r="G176" i="56"/>
  <c r="I78" i="32"/>
  <c r="E116" i="56"/>
  <c r="J71" i="56"/>
  <c r="H41" i="56"/>
  <c r="C130" i="32"/>
  <c r="D154" i="56"/>
  <c r="F165" i="32"/>
  <c r="G162" i="32"/>
  <c r="F117" i="56"/>
  <c r="G130" i="56"/>
  <c r="J116" i="32"/>
  <c r="F134" i="32"/>
  <c r="D129" i="32"/>
  <c r="I76" i="32"/>
  <c r="J104" i="56"/>
  <c r="J51" i="56"/>
  <c r="J152" i="56"/>
  <c r="I97" i="56"/>
  <c r="D102" i="32"/>
  <c r="G95" i="32"/>
  <c r="I170" i="56"/>
  <c r="H105" i="56"/>
  <c r="C146" i="56"/>
  <c r="H184" i="32"/>
  <c r="H173" i="56"/>
  <c r="G140" i="32"/>
  <c r="E150" i="32"/>
  <c r="D140" i="56"/>
  <c r="H94" i="32"/>
  <c r="G83" i="56"/>
  <c r="G134" i="56"/>
  <c r="G165" i="32"/>
  <c r="I47" i="56"/>
  <c r="I164" i="32"/>
  <c r="F124" i="56"/>
  <c r="C148" i="32"/>
  <c r="F194" i="32"/>
  <c r="D41" i="56"/>
  <c r="E198" i="32"/>
  <c r="C111" i="32"/>
  <c r="D148" i="32"/>
  <c r="I57" i="32"/>
  <c r="F191" i="32"/>
  <c r="I118" i="32"/>
  <c r="C65" i="32"/>
  <c r="G138" i="56"/>
  <c r="E113" i="56"/>
  <c r="G130" i="32"/>
  <c r="D117" i="56"/>
  <c r="G110" i="32"/>
  <c r="G76" i="32"/>
  <c r="I134" i="32"/>
  <c r="I137" i="56"/>
  <c r="J142" i="32"/>
  <c r="D173" i="32"/>
  <c r="J106" i="32"/>
  <c r="F143" i="56"/>
  <c r="F92" i="56"/>
  <c r="H74" i="32"/>
  <c r="H167" i="56"/>
  <c r="G79" i="32"/>
  <c r="I71" i="32"/>
  <c r="D161" i="32"/>
  <c r="C96" i="32"/>
  <c r="C109" i="32"/>
  <c r="C170" i="32"/>
  <c r="J62" i="32"/>
  <c r="E116" i="32"/>
  <c r="F101" i="32"/>
  <c r="F51" i="32"/>
  <c r="H161" i="32"/>
  <c r="G126" i="32"/>
  <c r="I158" i="32"/>
  <c r="I161" i="32"/>
  <c r="F195" i="32"/>
  <c r="G81" i="32"/>
  <c r="F166" i="56"/>
  <c r="C102" i="32"/>
  <c r="F181" i="56"/>
  <c r="F163" i="32"/>
  <c r="D111" i="56"/>
  <c r="C178" i="32"/>
  <c r="I151" i="56"/>
  <c r="I113" i="32"/>
  <c r="J113" i="32"/>
  <c r="J77" i="32"/>
  <c r="G172" i="32"/>
  <c r="I160" i="32"/>
  <c r="F137" i="56"/>
  <c r="I147" i="56"/>
  <c r="C76" i="56"/>
  <c r="F174" i="32"/>
  <c r="F171" i="32"/>
  <c r="H123" i="56"/>
  <c r="J55" i="32"/>
  <c r="J140" i="56"/>
  <c r="J174" i="32"/>
  <c r="F114" i="32"/>
  <c r="D91" i="56"/>
  <c r="H66" i="32"/>
  <c r="H172" i="56"/>
  <c r="J148" i="32"/>
  <c r="C162" i="32"/>
  <c r="J53" i="32"/>
  <c r="G53" i="32"/>
  <c r="F38" i="56"/>
  <c r="G61" i="56"/>
  <c r="C176" i="56"/>
  <c r="G141" i="32"/>
  <c r="E84" i="56"/>
  <c r="C142" i="32"/>
  <c r="G134" i="32"/>
  <c r="H117" i="32"/>
  <c r="C158" i="56"/>
  <c r="E173" i="32"/>
  <c r="E73" i="32"/>
  <c r="D168" i="32"/>
  <c r="E146" i="32"/>
  <c r="E100" i="56"/>
  <c r="G79" i="56"/>
  <c r="E92" i="56"/>
  <c r="D134" i="32"/>
  <c r="E40" i="56"/>
  <c r="C73" i="56"/>
  <c r="I128" i="32"/>
  <c r="C43" i="56"/>
  <c r="G58" i="56"/>
  <c r="G85" i="32"/>
  <c r="H128" i="56"/>
  <c r="E161" i="32"/>
  <c r="H49" i="56"/>
  <c r="G137" i="32"/>
  <c r="F71" i="56"/>
  <c r="J181" i="56"/>
  <c r="G169" i="32"/>
  <c r="H129" i="56"/>
  <c r="C157" i="32"/>
  <c r="G119" i="32"/>
  <c r="D64" i="32"/>
  <c r="E117" i="56"/>
  <c r="E90" i="32"/>
  <c r="J141" i="32"/>
  <c r="E65" i="32"/>
  <c r="H121" i="32"/>
  <c r="H65" i="56"/>
  <c r="F160" i="56"/>
  <c r="H166" i="56"/>
  <c r="C70" i="32"/>
  <c r="E148" i="32"/>
  <c r="F63" i="56"/>
  <c r="C84" i="56"/>
  <c r="I131" i="32"/>
  <c r="H165" i="56"/>
  <c r="J175" i="56"/>
  <c r="D194" i="32"/>
  <c r="F84" i="32"/>
  <c r="C79" i="32"/>
  <c r="H115" i="32"/>
  <c r="F154" i="32"/>
  <c r="G36" i="56"/>
  <c r="G109" i="56"/>
  <c r="G84" i="56"/>
  <c r="G96" i="32"/>
  <c r="J78" i="32"/>
  <c r="G135" i="32"/>
  <c r="I198" i="32"/>
  <c r="G160" i="56"/>
  <c r="D175" i="56"/>
  <c r="H79" i="32"/>
  <c r="G60" i="56"/>
  <c r="E177" i="32"/>
  <c r="G194" i="32"/>
  <c r="D84" i="56"/>
  <c r="F168" i="56"/>
  <c r="C38" i="56"/>
  <c r="D166" i="56"/>
  <c r="C155" i="56"/>
  <c r="G78" i="32"/>
  <c r="C163" i="56"/>
  <c r="C141" i="32"/>
  <c r="F179" i="56"/>
  <c r="G51" i="32"/>
  <c r="C181" i="32"/>
  <c r="H55" i="56"/>
  <c r="H101" i="56"/>
  <c r="D162" i="56"/>
  <c r="H84" i="56"/>
  <c r="G151" i="32"/>
  <c r="C189" i="32"/>
  <c r="C92" i="32"/>
  <c r="F135" i="56"/>
  <c r="D127" i="56"/>
  <c r="H164" i="32"/>
  <c r="H88" i="56"/>
  <c r="D43" i="56"/>
  <c r="H92" i="32"/>
  <c r="C140" i="32"/>
  <c r="J109" i="32"/>
  <c r="E128" i="32"/>
  <c r="H80" i="32"/>
  <c r="G35" i="56"/>
  <c r="D129" i="56"/>
  <c r="J139" i="32"/>
  <c r="F49" i="56"/>
  <c r="F56" i="32"/>
  <c r="C178" i="56"/>
  <c r="C194" i="32"/>
  <c r="J120" i="32"/>
  <c r="E115" i="56"/>
  <c r="C174" i="32"/>
  <c r="D113" i="56"/>
  <c r="F115" i="56"/>
  <c r="I178" i="32"/>
  <c r="H174" i="56"/>
  <c r="G88" i="56"/>
  <c r="D120" i="32"/>
  <c r="E38" i="56"/>
  <c r="I98" i="32"/>
  <c r="F102" i="32"/>
  <c r="C136" i="56"/>
  <c r="G150" i="32"/>
  <c r="D95" i="56"/>
  <c r="C166" i="56"/>
  <c r="E118" i="32"/>
  <c r="J83" i="56"/>
  <c r="D154" i="32"/>
  <c r="C47" i="56"/>
  <c r="I77" i="32"/>
  <c r="H93" i="32"/>
  <c r="E151" i="56"/>
  <c r="G65" i="56"/>
  <c r="E127" i="32"/>
  <c r="I152" i="32"/>
  <c r="F77" i="56"/>
  <c r="J94" i="56"/>
  <c r="E74" i="32"/>
  <c r="I84" i="56"/>
  <c r="E82" i="32"/>
  <c r="J44" i="56"/>
  <c r="I87" i="56"/>
  <c r="F140" i="56"/>
  <c r="C99" i="32"/>
  <c r="C54" i="56"/>
  <c r="C95" i="56"/>
  <c r="C46" i="56"/>
  <c r="I53" i="56"/>
  <c r="D150" i="32"/>
  <c r="E36" i="56"/>
  <c r="G102" i="56"/>
  <c r="E88" i="56"/>
  <c r="I91" i="56"/>
  <c r="G149" i="56"/>
  <c r="I163" i="32"/>
  <c r="F50" i="56"/>
  <c r="F103" i="32"/>
  <c r="G53" i="56"/>
  <c r="C87" i="56"/>
  <c r="I144" i="32"/>
  <c r="G131" i="32"/>
  <c r="F74" i="32"/>
  <c r="F100" i="32"/>
  <c r="H42" i="56"/>
  <c r="H155" i="56"/>
  <c r="E44" i="56"/>
  <c r="D101" i="56"/>
  <c r="H36" i="56"/>
  <c r="G68" i="32"/>
  <c r="D88" i="56"/>
  <c r="F96" i="56"/>
  <c r="J93" i="32"/>
  <c r="E177" i="56"/>
  <c r="C63" i="59"/>
  <c r="F100" i="56"/>
  <c r="E88" i="32"/>
  <c r="I96" i="32"/>
  <c r="C167" i="32"/>
  <c r="J119" i="59"/>
  <c r="H45" i="56"/>
  <c r="F147" i="56"/>
  <c r="E59" i="32"/>
  <c r="H53" i="32"/>
  <c r="H168" i="32"/>
  <c r="G117" i="56"/>
  <c r="J150" i="56"/>
  <c r="H82" i="32"/>
  <c r="G94" i="56"/>
  <c r="D104" i="56"/>
  <c r="I159" i="32"/>
  <c r="J70" i="32"/>
  <c r="E55" i="56"/>
  <c r="F171" i="56"/>
  <c r="I70" i="56"/>
  <c r="J49" i="56"/>
  <c r="C138" i="56"/>
  <c r="C156" i="56"/>
  <c r="J116" i="56"/>
  <c r="E105" i="32"/>
  <c r="F52" i="56"/>
  <c r="J145" i="32"/>
  <c r="D86" i="32"/>
  <c r="H186" i="32"/>
  <c r="E100" i="32"/>
  <c r="F190" i="32"/>
  <c r="J183" i="32"/>
  <c r="D63" i="32"/>
  <c r="H96" i="56"/>
  <c r="E179" i="56"/>
  <c r="G71" i="56"/>
  <c r="J138" i="56"/>
  <c r="H181" i="32"/>
  <c r="C159" i="56"/>
  <c r="G149" i="32"/>
  <c r="E123" i="32"/>
  <c r="F159" i="32"/>
  <c r="D112" i="56"/>
  <c r="E125" i="32"/>
  <c r="I84" i="32"/>
  <c r="E139" i="32"/>
  <c r="G89" i="32"/>
  <c r="D199" i="32"/>
  <c r="J127" i="32"/>
  <c r="D99" i="56"/>
  <c r="G65" i="32"/>
  <c r="J95" i="56"/>
  <c r="E145" i="56"/>
  <c r="F95" i="32"/>
  <c r="E174" i="32"/>
  <c r="I97" i="32"/>
  <c r="F114" i="56"/>
  <c r="D163" i="32"/>
  <c r="H145" i="56"/>
  <c r="F75" i="32"/>
  <c r="H162" i="56"/>
  <c r="C92" i="56"/>
  <c r="G97" i="56"/>
  <c r="H102" i="32"/>
  <c r="I63" i="56"/>
  <c r="G173" i="32"/>
  <c r="H67" i="32"/>
  <c r="H146" i="32"/>
  <c r="C144" i="32"/>
  <c r="C78" i="32"/>
  <c r="I62" i="56"/>
  <c r="H61" i="56"/>
  <c r="I115" i="56"/>
  <c r="I197" i="32"/>
  <c r="C45" i="56"/>
  <c r="E76" i="32"/>
  <c r="J69" i="56"/>
  <c r="J144" i="32"/>
  <c r="H159" i="32"/>
  <c r="I92" i="56"/>
  <c r="D72" i="32"/>
  <c r="D121" i="56"/>
  <c r="E102" i="56"/>
  <c r="H40" i="56"/>
  <c r="J157" i="32"/>
  <c r="G113" i="56"/>
  <c r="I140" i="56"/>
  <c r="F180" i="56"/>
  <c r="C168" i="56"/>
  <c r="C52" i="56"/>
  <c r="G190" i="32"/>
  <c r="F197" i="32"/>
  <c r="J132" i="56"/>
  <c r="D79" i="32"/>
  <c r="C53" i="56"/>
  <c r="F103" i="59"/>
  <c r="G191" i="32"/>
  <c r="G161" i="56"/>
  <c r="G162" i="56"/>
  <c r="E144" i="32"/>
  <c r="D69" i="32"/>
  <c r="F136" i="56"/>
  <c r="E147" i="56"/>
  <c r="C166" i="32"/>
  <c r="E170" i="56"/>
  <c r="I116" i="32"/>
  <c r="I114" i="56"/>
  <c r="E84" i="32"/>
  <c r="E114" i="56"/>
  <c r="G129" i="32"/>
  <c r="G173" i="56"/>
  <c r="H113" i="32"/>
  <c r="C176" i="32"/>
  <c r="F136" i="32"/>
  <c r="J131" i="56"/>
  <c r="G178" i="32"/>
  <c r="J102" i="32"/>
  <c r="C70" i="56"/>
  <c r="F85" i="32"/>
  <c r="F90" i="56"/>
  <c r="E72" i="32"/>
  <c r="J136" i="32"/>
  <c r="C161" i="32"/>
  <c r="H72" i="56"/>
  <c r="J158" i="32"/>
  <c r="J147" i="56"/>
  <c r="C108" i="32"/>
  <c r="H120" i="56"/>
  <c r="G148" i="32"/>
  <c r="I125" i="32"/>
  <c r="G92" i="32"/>
  <c r="H79" i="56"/>
  <c r="G143" i="32"/>
  <c r="G126" i="56"/>
  <c r="C171" i="56"/>
  <c r="E64" i="56"/>
  <c r="J122" i="56"/>
  <c r="F40" i="56"/>
  <c r="E80" i="56"/>
  <c r="H87" i="32"/>
  <c r="G52" i="32"/>
  <c r="D65" i="56"/>
  <c r="I60" i="32"/>
  <c r="J185" i="32"/>
  <c r="D151" i="56"/>
  <c r="C64" i="32"/>
  <c r="H154" i="56"/>
  <c r="D109" i="32"/>
  <c r="I151" i="32"/>
  <c r="I178" i="56"/>
  <c r="C146" i="32"/>
  <c r="H116" i="32"/>
  <c r="H136" i="56"/>
  <c r="D160" i="32"/>
  <c r="F64" i="56"/>
  <c r="C85" i="56"/>
  <c r="H137" i="56"/>
  <c r="H98" i="56"/>
  <c r="J143" i="56"/>
  <c r="D136" i="56"/>
  <c r="C77" i="32"/>
  <c r="J56" i="56"/>
  <c r="H126" i="32"/>
  <c r="D185" i="32"/>
  <c r="H135" i="32"/>
  <c r="J61" i="32"/>
  <c r="J108" i="32"/>
  <c r="H128" i="32"/>
  <c r="C64" i="56"/>
  <c r="G73" i="32"/>
  <c r="E117" i="32"/>
  <c r="F157" i="56"/>
  <c r="G56" i="56"/>
  <c r="I99" i="32"/>
  <c r="C67" i="56"/>
  <c r="G102" i="32"/>
  <c r="H193" i="32"/>
  <c r="D182" i="56"/>
  <c r="H136" i="32"/>
  <c r="J188" i="32"/>
  <c r="H143" i="32"/>
  <c r="G122" i="32"/>
  <c r="D130" i="56"/>
  <c r="J118" i="32"/>
  <c r="G170" i="56"/>
  <c r="D130" i="32"/>
  <c r="C131" i="32"/>
  <c r="F163" i="56"/>
  <c r="G133" i="56"/>
  <c r="H47" i="56"/>
  <c r="C50" i="56"/>
  <c r="H83" i="32"/>
  <c r="I159" i="56"/>
  <c r="F46" i="56"/>
  <c r="C126" i="56"/>
  <c r="D61" i="56"/>
  <c r="C143" i="32"/>
  <c r="D159" i="32"/>
  <c r="C56" i="56"/>
  <c r="I126" i="32"/>
  <c r="C72" i="32"/>
  <c r="D127" i="32"/>
  <c r="I200" i="32"/>
  <c r="F60" i="32"/>
  <c r="J84" i="32"/>
  <c r="D52" i="32"/>
  <c r="E79" i="32"/>
  <c r="J75" i="32"/>
  <c r="E169" i="32"/>
  <c r="F70" i="32"/>
  <c r="F139" i="32"/>
  <c r="F164" i="32"/>
  <c r="H72" i="32"/>
  <c r="C85" i="32"/>
  <c r="J154" i="56"/>
  <c r="I158" i="56"/>
  <c r="E123" i="56"/>
  <c r="I192" i="32"/>
  <c r="C72" i="56"/>
  <c r="C117" i="32"/>
  <c r="I163" i="56"/>
  <c r="H56" i="56"/>
  <c r="C110" i="56"/>
  <c r="C162" i="56"/>
  <c r="J163" i="56"/>
  <c r="J156" i="32"/>
  <c r="J112" i="32"/>
  <c r="C171" i="32"/>
  <c r="G111" i="32"/>
  <c r="C116" i="32"/>
  <c r="J111" i="32"/>
  <c r="F94" i="56"/>
  <c r="E81" i="32"/>
  <c r="F150" i="56"/>
  <c r="D97" i="32"/>
  <c r="H179" i="32"/>
  <c r="E103" i="32"/>
  <c r="C157" i="56"/>
  <c r="E200" i="32"/>
  <c r="G120" i="56"/>
  <c r="F59" i="56"/>
  <c r="F155" i="32"/>
  <c r="J96" i="32"/>
  <c r="E101" i="56"/>
  <c r="I63" i="32"/>
  <c r="G54" i="56"/>
  <c r="J48" i="56"/>
  <c r="J108" i="56"/>
  <c r="I79" i="56"/>
  <c r="C37" i="56"/>
  <c r="E66" i="32"/>
  <c r="D156" i="56"/>
  <c r="E72" i="56"/>
  <c r="I140" i="32"/>
  <c r="G113" i="32"/>
  <c r="J62" i="56"/>
  <c r="H132" i="56"/>
  <c r="F99" i="56"/>
  <c r="C57" i="56"/>
  <c r="H190" i="32"/>
  <c r="E78" i="56"/>
  <c r="G83" i="32"/>
  <c r="E99" i="56"/>
  <c r="C35" i="56"/>
  <c r="C169" i="56"/>
  <c r="J111" i="56"/>
  <c r="I160" i="56"/>
  <c r="I139" i="56"/>
  <c r="F170" i="32"/>
  <c r="D77" i="56"/>
  <c r="G98" i="32"/>
  <c r="C155" i="32"/>
  <c r="D141" i="56"/>
  <c r="F109" i="32"/>
  <c r="I183" i="32"/>
  <c r="H71" i="56"/>
  <c r="J160" i="56"/>
  <c r="H73" i="56"/>
  <c r="J178" i="56"/>
  <c r="E101" i="32"/>
  <c r="D60" i="32"/>
  <c r="I166" i="56"/>
  <c r="J145" i="56"/>
  <c r="H44" i="56"/>
  <c r="H55" i="32"/>
  <c r="H176" i="32"/>
  <c r="D88" i="32"/>
  <c r="F82" i="32"/>
  <c r="H121" i="56"/>
  <c r="D58" i="56"/>
  <c r="G93" i="56"/>
  <c r="D139" i="32"/>
  <c r="F119" i="56"/>
  <c r="J168" i="32"/>
  <c r="I128" i="56"/>
  <c r="D76" i="32"/>
  <c r="J91" i="56"/>
  <c r="C114" i="56"/>
  <c r="H144" i="32"/>
  <c r="C97" i="32"/>
  <c r="H151" i="56"/>
  <c r="I69" i="32"/>
  <c r="E37" i="56"/>
  <c r="C147" i="32"/>
  <c r="D87" i="56"/>
  <c r="F125" i="56"/>
  <c r="I41" i="56"/>
  <c r="H46" i="56"/>
  <c r="D74" i="32"/>
  <c r="H80" i="56"/>
  <c r="D135" i="56"/>
  <c r="C62" i="56"/>
  <c r="C190" i="32"/>
  <c r="I76" i="56"/>
  <c r="F106" i="32"/>
  <c r="E51" i="32"/>
  <c r="G76" i="56"/>
  <c r="D65" i="32"/>
  <c r="G82" i="56"/>
  <c r="C169" i="32"/>
  <c r="G115" i="32"/>
  <c r="D143" i="56"/>
  <c r="F104" i="56"/>
  <c r="D171" i="32"/>
  <c r="F76" i="56"/>
  <c r="J74" i="32"/>
  <c r="H131" i="32"/>
  <c r="C61" i="56"/>
  <c r="D91" i="32"/>
  <c r="I149" i="32"/>
  <c r="D93" i="32"/>
  <c r="H90" i="56"/>
  <c r="G44" i="56"/>
  <c r="J142" i="56"/>
  <c r="C36" i="56"/>
  <c r="G112" i="56"/>
  <c r="H158" i="56"/>
  <c r="E126" i="32"/>
  <c r="E167" i="32"/>
  <c r="G66" i="56"/>
  <c r="H109" i="32"/>
  <c r="H53" i="56"/>
  <c r="C179" i="56"/>
  <c r="J170" i="32"/>
  <c r="H161" i="56"/>
  <c r="D178" i="56"/>
  <c r="C106" i="56"/>
  <c r="J177" i="32"/>
  <c r="E54" i="56"/>
  <c r="C79" i="56"/>
  <c r="J130" i="32"/>
  <c r="J76" i="56"/>
  <c r="I103" i="56"/>
  <c r="E110" i="32"/>
  <c r="J149" i="56"/>
  <c r="I101" i="32"/>
  <c r="F88" i="32"/>
  <c r="E129" i="32"/>
  <c r="D123" i="56"/>
  <c r="J52" i="32"/>
  <c r="J193" i="32"/>
  <c r="J164" i="32"/>
  <c r="H180" i="32"/>
  <c r="I37" i="56"/>
  <c r="H64" i="56"/>
  <c r="F189" i="32"/>
  <c r="C180" i="56"/>
  <c r="D114" i="56"/>
  <c r="I171" i="32"/>
  <c r="J165" i="56"/>
  <c r="C199" i="32"/>
  <c r="J54" i="32"/>
  <c r="D56" i="32"/>
  <c r="E149" i="32"/>
  <c r="J64" i="32"/>
  <c r="J180" i="56"/>
  <c r="I51" i="56"/>
  <c r="F83" i="56"/>
  <c r="I120" i="32"/>
  <c r="F94" i="32"/>
  <c r="C164" i="56"/>
  <c r="I92" i="32"/>
  <c r="C172" i="32"/>
  <c r="I157" i="32"/>
  <c r="I109" i="56"/>
  <c r="E62" i="32"/>
  <c r="C195" i="32"/>
  <c r="E112" i="56"/>
  <c r="G67" i="32"/>
  <c r="C105" i="32"/>
  <c r="I59" i="56"/>
  <c r="I169" i="56"/>
  <c r="J186" i="32"/>
  <c r="F83" i="32"/>
  <c r="G107" i="32"/>
  <c r="J53" i="56"/>
  <c r="E152" i="56"/>
  <c r="E175" i="32"/>
  <c r="J52" i="56"/>
  <c r="G196" i="32"/>
  <c r="I104" i="56"/>
  <c r="J75" i="56"/>
  <c r="F135" i="32"/>
  <c r="H157" i="32"/>
  <c r="D105" i="32"/>
  <c r="F122" i="32"/>
  <c r="D174" i="56"/>
  <c r="C196" i="32"/>
  <c r="D165" i="32"/>
  <c r="D93" i="56"/>
  <c r="J112" i="56"/>
  <c r="I153" i="32"/>
  <c r="H194" i="32"/>
  <c r="C122" i="32"/>
  <c r="I182" i="56"/>
  <c r="I93" i="56"/>
  <c r="H142" i="56"/>
  <c r="F76" i="32"/>
  <c r="D34" i="56"/>
  <c r="F89" i="56"/>
  <c r="F112" i="56"/>
  <c r="H58" i="56"/>
  <c r="F193" i="32"/>
  <c r="I67" i="56"/>
  <c r="F160" i="32"/>
  <c r="F142" i="56"/>
  <c r="G138" i="32"/>
  <c r="J153" i="56"/>
  <c r="F166" i="32"/>
  <c r="I90" i="56"/>
  <c r="H197" i="32"/>
  <c r="F158" i="32"/>
  <c r="H133" i="56"/>
  <c r="J46" i="56"/>
  <c r="H164" i="56"/>
  <c r="J39" i="56"/>
  <c r="E78" i="32"/>
  <c r="I99" i="56"/>
  <c r="D110" i="32"/>
  <c r="E57" i="32"/>
  <c r="D98" i="56"/>
  <c r="G150" i="56"/>
  <c r="H165" i="32"/>
  <c r="J177" i="56"/>
  <c r="H119" i="56"/>
  <c r="E169" i="56"/>
  <c r="I73" i="32"/>
  <c r="D62" i="32"/>
  <c r="G101" i="32"/>
  <c r="D47" i="56"/>
  <c r="C82" i="56"/>
  <c r="D71" i="56"/>
  <c r="H119" i="32"/>
  <c r="H118" i="56"/>
  <c r="I171" i="56"/>
  <c r="E195" i="32"/>
  <c r="G145" i="32"/>
  <c r="E140" i="32"/>
  <c r="J166" i="32"/>
  <c r="C87" i="32"/>
  <c r="J105" i="56"/>
  <c r="F152" i="56"/>
  <c r="G115" i="56"/>
  <c r="D119" i="56"/>
  <c r="J135" i="32"/>
  <c r="I59" i="32"/>
  <c r="C150" i="56"/>
  <c r="D71" i="32"/>
  <c r="H110" i="32"/>
  <c r="D122" i="32"/>
  <c r="G125" i="56"/>
  <c r="C112" i="32"/>
  <c r="H84" i="32"/>
  <c r="J88" i="56"/>
  <c r="H64" i="32"/>
  <c r="I181" i="32"/>
  <c r="H109" i="56"/>
  <c r="H133" i="32"/>
  <c r="D142" i="32"/>
  <c r="C170" i="56"/>
  <c r="E182" i="32"/>
  <c r="F37" i="56"/>
  <c r="C118" i="56"/>
  <c r="H54" i="56"/>
  <c r="I58" i="32"/>
  <c r="I147" i="32"/>
  <c r="J82" i="32"/>
  <c r="E98" i="32"/>
  <c r="D183" i="56"/>
  <c r="G55" i="56"/>
  <c r="J34" i="56"/>
  <c r="D164" i="56"/>
  <c r="C81" i="56"/>
  <c r="F43" i="56"/>
  <c r="G147" i="56"/>
  <c r="G155" i="56"/>
  <c r="F79" i="56"/>
  <c r="G128" i="32"/>
  <c r="F177" i="56"/>
  <c r="E132" i="32"/>
  <c r="I136" i="32"/>
  <c r="J115" i="32"/>
  <c r="D67" i="32"/>
  <c r="H86" i="32"/>
  <c r="G70" i="56"/>
  <c r="C154" i="56"/>
  <c r="E176" i="32"/>
  <c r="C158" i="32"/>
  <c r="D114" i="32"/>
  <c r="G135" i="56"/>
  <c r="I100" i="32"/>
  <c r="H70" i="56"/>
  <c r="H83" i="56"/>
  <c r="D118" i="56"/>
  <c r="J59" i="56"/>
  <c r="D164" i="32"/>
  <c r="G164" i="56"/>
  <c r="G118" i="56"/>
  <c r="J122" i="32"/>
  <c r="I172" i="56"/>
  <c r="I184" i="32"/>
  <c r="C183" i="32"/>
  <c r="E68" i="56"/>
  <c r="H187" i="32"/>
  <c r="C188" i="32"/>
  <c r="G117" i="32"/>
  <c r="H147" i="56"/>
  <c r="J89" i="56"/>
  <c r="H104" i="32"/>
  <c r="G60" i="32"/>
  <c r="E133" i="32"/>
  <c r="G34" i="56"/>
  <c r="F157" i="32"/>
  <c r="H108" i="32"/>
  <c r="D108" i="56"/>
  <c r="G142" i="32"/>
  <c r="C160" i="56"/>
  <c r="E126" i="56"/>
  <c r="F144" i="32"/>
  <c r="G108" i="32"/>
  <c r="D172" i="56"/>
  <c r="H70" i="32"/>
  <c r="H125" i="56"/>
  <c r="I182" i="32"/>
  <c r="F140" i="32"/>
  <c r="J138" i="32"/>
  <c r="D200" i="32"/>
  <c r="E60" i="56"/>
  <c r="I187" i="32"/>
  <c r="E41" i="56"/>
  <c r="J146" i="32"/>
  <c r="I142" i="56"/>
  <c r="J110" i="32"/>
  <c r="H78" i="56"/>
  <c r="E157" i="56"/>
  <c r="I107" i="32"/>
  <c r="J159" i="32"/>
  <c r="D39" i="56"/>
  <c r="E176" i="56"/>
  <c r="I72" i="32"/>
  <c r="F105" i="32"/>
  <c r="C143" i="59"/>
  <c r="F51" i="56"/>
  <c r="E137" i="32"/>
  <c r="J155" i="32"/>
  <c r="D104" i="32"/>
  <c r="F175" i="56"/>
  <c r="H198" i="32"/>
  <c r="H171" i="56"/>
  <c r="I179" i="32"/>
  <c r="I146" i="32"/>
  <c r="C71" i="56"/>
  <c r="D150" i="56"/>
  <c r="C160" i="32"/>
  <c r="I61" i="32"/>
  <c r="C125" i="56"/>
  <c r="E112" i="32"/>
  <c r="G142" i="56"/>
  <c r="G123" i="32"/>
  <c r="I56" i="32"/>
  <c r="D115" i="32"/>
  <c r="C112" i="56"/>
  <c r="F93" i="32"/>
  <c r="E103" i="56"/>
  <c r="H160" i="56"/>
  <c r="C80" i="32"/>
  <c r="E141" i="32"/>
  <c r="I36" i="56"/>
  <c r="G147" i="32"/>
  <c r="H77" i="56"/>
  <c r="D90" i="32"/>
  <c r="I162" i="32"/>
  <c r="E168" i="32"/>
  <c r="E43" i="56"/>
  <c r="G144" i="56"/>
  <c r="G87" i="32"/>
  <c r="F73" i="32"/>
  <c r="C153" i="56"/>
  <c r="F91" i="32"/>
  <c r="G92" i="56"/>
  <c r="I180" i="32"/>
  <c r="D135" i="32"/>
  <c r="F56" i="56"/>
  <c r="J94" i="32"/>
  <c r="J157" i="56"/>
  <c r="I123" i="32"/>
  <c r="I100" i="56"/>
  <c r="C113" i="32"/>
  <c r="I138" i="32"/>
  <c r="I131" i="56"/>
  <c r="E131" i="56"/>
  <c r="C60" i="56"/>
  <c r="E95" i="56"/>
  <c r="H174" i="32"/>
  <c r="J131" i="32"/>
  <c r="I48" i="56"/>
  <c r="C105" i="56"/>
  <c r="J172" i="56"/>
  <c r="F127" i="56"/>
  <c r="J104" i="32"/>
  <c r="H127" i="56"/>
  <c r="D92" i="32"/>
  <c r="J117" i="56"/>
  <c r="D89" i="56"/>
  <c r="F184" i="32"/>
  <c r="C121" i="32"/>
  <c r="E69" i="56"/>
  <c r="H97" i="32"/>
  <c r="H117" i="56"/>
  <c r="I166" i="32"/>
  <c r="I46" i="56"/>
  <c r="C120" i="32"/>
  <c r="I110" i="56"/>
  <c r="E35" i="56"/>
  <c r="G131" i="56"/>
  <c r="C55" i="56"/>
  <c r="C173" i="32"/>
  <c r="C110" i="32"/>
  <c r="I127" i="56"/>
  <c r="E118" i="56"/>
  <c r="J107" i="56"/>
  <c r="I102" i="56"/>
  <c r="C51" i="32"/>
  <c r="I177" i="56"/>
  <c r="D155" i="56"/>
  <c r="I64" i="32"/>
  <c r="E154" i="32"/>
  <c r="I145" i="56"/>
  <c r="D97" i="56"/>
  <c r="C175" i="56"/>
  <c r="H101" i="32"/>
  <c r="I124" i="56"/>
  <c r="C180" i="32"/>
  <c r="C159" i="32"/>
  <c r="G71" i="32"/>
  <c r="D112" i="32"/>
  <c r="D52" i="56"/>
  <c r="D122" i="56"/>
  <c r="D95" i="32"/>
  <c r="E140" i="56"/>
  <c r="E136" i="56"/>
  <c r="G70" i="32"/>
  <c r="J95" i="32"/>
  <c r="J198" i="32"/>
  <c r="I82" i="32"/>
  <c r="G77" i="56"/>
  <c r="J69" i="32"/>
  <c r="F121" i="56"/>
  <c r="E119" i="32"/>
  <c r="D98" i="32"/>
  <c r="E190" i="32"/>
  <c r="G110" i="56"/>
  <c r="E133" i="56"/>
  <c r="D179" i="56"/>
  <c r="J99" i="56"/>
  <c r="G42" i="56"/>
  <c r="H71" i="32"/>
  <c r="H139" i="56"/>
  <c r="I170" i="32"/>
  <c r="J126" i="32"/>
  <c r="C148" i="56"/>
  <c r="H182" i="56"/>
  <c r="J169" i="56"/>
  <c r="F77" i="32"/>
  <c r="J119" i="56"/>
  <c r="H89" i="32"/>
  <c r="I118" i="56"/>
  <c r="G46" i="56"/>
  <c r="H153" i="32"/>
  <c r="H75" i="32"/>
  <c r="D195" i="32"/>
  <c r="G67" i="56"/>
  <c r="C99" i="56"/>
  <c r="H146" i="56"/>
  <c r="F62" i="56"/>
  <c r="H148" i="56"/>
  <c r="I94" i="32"/>
  <c r="C89" i="56"/>
  <c r="H43" i="56"/>
  <c r="E146" i="56"/>
  <c r="E183" i="32"/>
  <c r="H135" i="56"/>
  <c r="H114" i="56"/>
  <c r="I112" i="56"/>
  <c r="F173" i="32"/>
  <c r="J133" i="32"/>
  <c r="G176" i="32"/>
  <c r="D38" i="56"/>
  <c r="J61" i="56"/>
  <c r="J123" i="32"/>
  <c r="E160" i="56"/>
  <c r="I145" i="32"/>
  <c r="D51" i="32"/>
  <c r="H132" i="32"/>
  <c r="G55" i="32"/>
  <c r="H100" i="56"/>
  <c r="C191" i="32"/>
  <c r="E106" i="32"/>
  <c r="E86" i="32"/>
  <c r="D107" i="56"/>
  <c r="I196" i="32"/>
  <c r="I81" i="56"/>
  <c r="G62" i="32"/>
  <c r="D80" i="32"/>
  <c r="D44" i="56"/>
  <c r="D73" i="32"/>
  <c r="I148" i="32"/>
  <c r="D180" i="56"/>
  <c r="G132" i="56"/>
  <c r="G97" i="32"/>
  <c r="E137" i="56"/>
  <c r="F54" i="32"/>
  <c r="D80" i="56"/>
  <c r="C73" i="32"/>
  <c r="J189" i="32"/>
  <c r="H156" i="56"/>
  <c r="D132" i="56"/>
  <c r="D153" i="56"/>
  <c r="C74" i="56"/>
  <c r="E171" i="32"/>
  <c r="F106" i="56"/>
  <c r="H141" i="56"/>
  <c r="G116" i="32"/>
  <c r="E171" i="56"/>
  <c r="I185" i="32"/>
  <c r="F134" i="56"/>
  <c r="J103" i="56"/>
  <c r="G112" i="32"/>
  <c r="F118" i="32"/>
  <c r="E71" i="32"/>
  <c r="I91" i="32"/>
  <c r="D142" i="56"/>
  <c r="J77" i="56"/>
  <c r="C123" i="32"/>
  <c r="E166" i="32"/>
  <c r="H59" i="32"/>
  <c r="F185" i="32"/>
  <c r="G144" i="32"/>
  <c r="H87" i="56"/>
  <c r="J127" i="59"/>
  <c r="D45" i="56"/>
  <c r="E65" i="56"/>
  <c r="E96" i="56"/>
  <c r="E69" i="32"/>
  <c r="J74" i="56"/>
  <c r="H113" i="56"/>
  <c r="F53" i="56"/>
  <c r="I167" i="32"/>
  <c r="G184" i="32"/>
  <c r="I156" i="32"/>
  <c r="G188" i="32"/>
  <c r="I54" i="56"/>
  <c r="G124" i="32"/>
  <c r="F177" i="32"/>
  <c r="D119" i="32"/>
  <c r="D133" i="56"/>
  <c r="F179" i="32"/>
  <c r="E165" i="56"/>
  <c r="C66" i="32"/>
  <c r="J167" i="56"/>
  <c r="E83" i="32"/>
  <c r="D177" i="56"/>
  <c r="F109" i="56"/>
  <c r="C153" i="32"/>
  <c r="E57" i="56"/>
  <c r="H111" i="56"/>
  <c r="J90" i="32"/>
  <c r="F150" i="32"/>
  <c r="H39" i="56"/>
  <c r="I66" i="56"/>
  <c r="D59" i="56"/>
  <c r="H85" i="32"/>
  <c r="H73" i="32"/>
  <c r="H170" i="56"/>
  <c r="F96" i="32"/>
  <c r="E153" i="32"/>
  <c r="D48" i="56"/>
  <c r="C150" i="32"/>
  <c r="J100" i="32"/>
  <c r="D148" i="56"/>
  <c r="H52" i="32"/>
  <c r="I174" i="32"/>
  <c r="H143" i="56"/>
  <c r="G77" i="32"/>
  <c r="C124" i="56"/>
  <c r="H156" i="32"/>
  <c r="D113" i="32"/>
  <c r="I39" i="56"/>
  <c r="C117" i="56"/>
  <c r="F92" i="32"/>
  <c r="F153" i="56"/>
  <c r="G63" i="56"/>
  <c r="H112" i="32"/>
  <c r="D170" i="32"/>
  <c r="D89" i="32"/>
  <c r="G104" i="32"/>
  <c r="D83" i="32"/>
  <c r="F87" i="56"/>
  <c r="D68" i="56"/>
  <c r="I125" i="56"/>
  <c r="H57" i="56"/>
  <c r="G90" i="56"/>
  <c r="J86" i="32"/>
  <c r="E172" i="56"/>
  <c r="J60" i="56"/>
  <c r="G58" i="32"/>
  <c r="E124" i="56"/>
  <c r="J66" i="56"/>
  <c r="H116" i="56"/>
  <c r="E127" i="56"/>
  <c r="D100" i="32"/>
  <c r="G72" i="32"/>
  <c r="G81" i="56"/>
  <c r="E197" i="32"/>
  <c r="E71" i="56"/>
  <c r="D82" i="32"/>
  <c r="H37" i="56"/>
  <c r="J63" i="32"/>
  <c r="H169" i="56"/>
  <c r="C77" i="56"/>
  <c r="F65" i="56"/>
  <c r="C62" i="32"/>
  <c r="E183" i="56"/>
  <c r="I49" i="56"/>
  <c r="J129" i="56"/>
  <c r="I165" i="32"/>
  <c r="G69" i="56"/>
  <c r="H124" i="32"/>
  <c r="J156" i="56"/>
  <c r="F128" i="32"/>
  <c r="I89" i="32"/>
  <c r="G64" i="56"/>
  <c r="C140" i="56"/>
  <c r="H56" i="32"/>
  <c r="I129" i="32"/>
  <c r="D117" i="32"/>
  <c r="C86" i="56"/>
  <c r="J152" i="32"/>
  <c r="D147" i="56"/>
  <c r="H95" i="56"/>
  <c r="E93" i="56"/>
  <c r="E92" i="32"/>
  <c r="H137" i="32"/>
  <c r="D40" i="56"/>
  <c r="J106" i="56"/>
  <c r="C80" i="56"/>
  <c r="I148" i="56"/>
  <c r="D103" i="56"/>
  <c r="E122" i="32"/>
  <c r="J150" i="32"/>
  <c r="J181" i="32"/>
  <c r="C48" i="56"/>
  <c r="E155" i="32"/>
  <c r="J160" i="32"/>
  <c r="I61" i="56"/>
  <c r="E153" i="56"/>
  <c r="G168" i="32"/>
  <c r="C91" i="56"/>
  <c r="D175" i="32"/>
  <c r="F80" i="56"/>
  <c r="E138" i="56"/>
  <c r="E148" i="56"/>
  <c r="I94" i="56"/>
  <c r="F122" i="56"/>
  <c r="F73" i="56"/>
  <c r="E134" i="32"/>
  <c r="J166" i="56"/>
  <c r="F149" i="56"/>
  <c r="J83" i="32"/>
  <c r="F118" i="56"/>
  <c r="F72" i="32"/>
  <c r="J146" i="56"/>
  <c r="F71" i="32"/>
  <c r="G72" i="56"/>
  <c r="I141" i="32"/>
  <c r="D82" i="56"/>
  <c r="C89" i="32"/>
  <c r="C68" i="32"/>
  <c r="C126" i="32"/>
  <c r="J72" i="56"/>
  <c r="I107" i="56"/>
  <c r="E60" i="32"/>
  <c r="D79" i="56"/>
  <c r="J182" i="32"/>
  <c r="C63" i="56"/>
  <c r="F113" i="56"/>
  <c r="G109" i="32"/>
  <c r="F170" i="56"/>
  <c r="J101" i="32"/>
  <c r="G103" i="56"/>
  <c r="J159" i="56"/>
  <c r="D137" i="56"/>
  <c r="I137" i="32"/>
  <c r="G100" i="32"/>
  <c r="E156" i="56"/>
  <c r="I175" i="32"/>
  <c r="D137" i="32"/>
  <c r="J143" i="32"/>
  <c r="I177" i="32"/>
  <c r="D78" i="32"/>
  <c r="F108" i="32"/>
  <c r="F63" i="32"/>
  <c r="D136" i="32"/>
  <c r="C149" i="32"/>
  <c r="C139" i="56"/>
  <c r="J178" i="32"/>
  <c r="H131" i="56"/>
  <c r="E182" i="56"/>
  <c r="H150" i="32"/>
  <c r="F154" i="56"/>
  <c r="I68" i="32"/>
  <c r="G160" i="32"/>
  <c r="E55" i="32"/>
  <c r="J151" i="32"/>
  <c r="D57" i="32"/>
  <c r="G62" i="56"/>
  <c r="F175" i="32"/>
  <c r="C134" i="56"/>
  <c r="H81" i="56"/>
  <c r="C185" i="32"/>
  <c r="I162" i="56"/>
  <c r="J155" i="56"/>
  <c r="G171" i="32"/>
  <c r="H152" i="56"/>
  <c r="J71" i="32"/>
  <c r="H178" i="32"/>
  <c r="C151" i="56"/>
  <c r="J121" i="56"/>
  <c r="F89" i="32"/>
  <c r="E120" i="32"/>
  <c r="E159" i="56"/>
  <c r="E48" i="56"/>
  <c r="G51" i="56"/>
  <c r="J76" i="32"/>
  <c r="C145" i="56"/>
  <c r="J191" i="32"/>
  <c r="J97" i="32"/>
  <c r="I55" i="32"/>
  <c r="J58" i="56"/>
  <c r="E87" i="32"/>
  <c r="C177" i="56"/>
  <c r="I95" i="32"/>
  <c r="H81" i="32"/>
  <c r="D109" i="56"/>
  <c r="E120" i="56"/>
  <c r="E174" i="56"/>
  <c r="F125" i="32"/>
  <c r="J169" i="32"/>
  <c r="J151" i="59"/>
  <c r="G74" i="56"/>
  <c r="D81" i="56"/>
  <c r="G63" i="32"/>
  <c r="C129" i="32"/>
  <c r="H155" i="32"/>
  <c r="G198" i="32"/>
  <c r="C59" i="32"/>
  <c r="J165" i="32"/>
  <c r="D145" i="56"/>
  <c r="I43" i="56"/>
  <c r="H51" i="32"/>
  <c r="H183" i="32"/>
  <c r="C49" i="56"/>
  <c r="C97" i="56"/>
  <c r="J200" i="32"/>
  <c r="J164" i="56"/>
  <c r="F169" i="32"/>
  <c r="D181" i="32"/>
  <c r="H66" i="56"/>
  <c r="D133" i="32"/>
  <c r="G114" i="56"/>
  <c r="J162" i="32"/>
  <c r="I44" i="56"/>
  <c r="G103" i="32"/>
  <c r="D123" i="32"/>
  <c r="I176" i="32"/>
  <c r="J91" i="32"/>
  <c r="D177" i="32"/>
  <c r="C113" i="56"/>
  <c r="F126" i="56"/>
  <c r="F143" i="32"/>
  <c r="J87" i="56"/>
  <c r="J172" i="32"/>
  <c r="H152" i="32"/>
  <c r="D96" i="32"/>
  <c r="I143" i="32"/>
  <c r="F192" i="32"/>
  <c r="J171" i="32"/>
  <c r="J180" i="32"/>
  <c r="E155" i="56"/>
  <c r="F54" i="56"/>
  <c r="G127" i="32"/>
  <c r="H177" i="32"/>
  <c r="G145" i="56"/>
  <c r="D176" i="32"/>
  <c r="C182" i="56"/>
  <c r="E90" i="56"/>
  <c r="J81" i="56"/>
  <c r="F147" i="32"/>
  <c r="I101" i="56"/>
  <c r="J79" i="59"/>
  <c r="D70" i="32"/>
  <c r="F39" i="56"/>
  <c r="D67" i="56"/>
  <c r="C129" i="56"/>
  <c r="F139" i="56"/>
  <c r="G68" i="56"/>
  <c r="D66" i="56"/>
  <c r="D84" i="32"/>
  <c r="E39" i="56"/>
  <c r="G61" i="32"/>
  <c r="G48" i="56"/>
  <c r="E143" i="56"/>
  <c r="E181" i="32"/>
  <c r="C51" i="56"/>
  <c r="I86" i="32"/>
  <c r="I80" i="56"/>
  <c r="C84" i="32"/>
  <c r="G181" i="56"/>
  <c r="C60" i="32"/>
  <c r="D94" i="32"/>
  <c r="E61" i="56"/>
  <c r="C66" i="56"/>
  <c r="I35" i="56"/>
  <c r="H106" i="56"/>
  <c r="I95" i="56"/>
  <c r="J78" i="56"/>
  <c r="D176" i="56"/>
  <c r="D76" i="56"/>
  <c r="H91" i="56"/>
  <c r="D131" i="32"/>
  <c r="H127" i="32"/>
  <c r="E159" i="32"/>
  <c r="E61" i="32"/>
  <c r="F146" i="56"/>
  <c r="D85" i="32"/>
  <c r="F79" i="32"/>
  <c r="C59" i="56"/>
  <c r="J85" i="56"/>
  <c r="J129" i="32"/>
  <c r="G154" i="32"/>
  <c r="H200" i="32"/>
  <c r="H108" i="56"/>
  <c r="C94" i="56"/>
  <c r="G166" i="32"/>
  <c r="G140" i="56"/>
  <c r="E181" i="56"/>
  <c r="D169" i="56"/>
  <c r="G106" i="32"/>
  <c r="F102" i="56"/>
  <c r="H175" i="56"/>
  <c r="E196" i="32"/>
  <c r="G54" i="32"/>
  <c r="I57" i="56"/>
  <c r="C104" i="32"/>
  <c r="H145" i="32"/>
  <c r="F68" i="56"/>
  <c r="I156" i="56"/>
  <c r="C111" i="56"/>
  <c r="H175" i="32"/>
  <c r="G137" i="56"/>
  <c r="I154" i="32"/>
  <c r="I87" i="32"/>
  <c r="J173" i="56"/>
  <c r="E175" i="56"/>
  <c r="J107" i="32"/>
  <c r="C100" i="32"/>
  <c r="G141" i="56"/>
  <c r="D187" i="32"/>
  <c r="F72" i="56"/>
  <c r="E87" i="56"/>
  <c r="D182" i="32"/>
  <c r="F146" i="32"/>
  <c r="F78" i="32"/>
  <c r="D107" i="32"/>
  <c r="E134" i="56"/>
  <c r="D99" i="32"/>
  <c r="E82" i="56"/>
  <c r="I175" i="56"/>
  <c r="D160" i="56"/>
  <c r="I109" i="32"/>
  <c r="C119" i="56"/>
  <c r="E67" i="56"/>
  <c r="D158" i="32"/>
  <c r="F64" i="32"/>
  <c r="H170" i="32"/>
  <c r="J135" i="56"/>
  <c r="F111" i="56"/>
  <c r="G185" i="32"/>
  <c r="G73" i="56"/>
  <c r="G180" i="32"/>
  <c r="C107" i="32"/>
  <c r="C40" i="56"/>
  <c r="F68" i="32"/>
  <c r="I53" i="32"/>
  <c r="C52" i="32"/>
  <c r="C200" i="32"/>
  <c r="D105" i="56"/>
  <c r="I130" i="32"/>
  <c r="H110" i="56"/>
  <c r="F168" i="32"/>
  <c r="C101" i="32"/>
  <c r="C78" i="56"/>
  <c r="C130" i="56"/>
  <c r="D70" i="56"/>
  <c r="E131" i="32"/>
  <c r="E150" i="56"/>
  <c r="F99" i="32"/>
  <c r="C88" i="56"/>
  <c r="I168" i="56"/>
  <c r="C82" i="32"/>
  <c r="E96" i="32"/>
  <c r="H167" i="32"/>
  <c r="E70" i="56"/>
  <c r="J173" i="32"/>
  <c r="G177" i="32"/>
  <c r="J72" i="32"/>
  <c r="E89" i="32"/>
  <c r="F110" i="56"/>
  <c r="D106" i="32"/>
  <c r="F95" i="56"/>
  <c r="J158" i="56"/>
  <c r="J179" i="32"/>
  <c r="E193" i="32"/>
  <c r="D92" i="56"/>
  <c r="I149" i="56"/>
  <c r="D153" i="32"/>
  <c r="E109" i="56"/>
  <c r="J54" i="56"/>
  <c r="D178" i="32"/>
  <c r="I143" i="56"/>
  <c r="I66" i="32"/>
  <c r="H118" i="32"/>
  <c r="D159" i="56"/>
  <c r="F104" i="32"/>
  <c r="J124" i="32"/>
  <c r="E62" i="56"/>
  <c r="J40" i="56"/>
  <c r="C103" i="56"/>
  <c r="G121" i="32"/>
  <c r="E111" i="56"/>
  <c r="F97" i="32"/>
  <c r="J149" i="32"/>
  <c r="J73" i="32"/>
  <c r="H134" i="32"/>
  <c r="D68" i="32"/>
  <c r="G171" i="56"/>
  <c r="G157" i="56"/>
  <c r="J65" i="32"/>
  <c r="F130" i="56"/>
  <c r="E164" i="56"/>
  <c r="C100" i="56"/>
  <c r="F178" i="56"/>
  <c r="D149" i="56"/>
  <c r="E178" i="32"/>
  <c r="G124" i="56"/>
  <c r="G106" i="56"/>
  <c r="E172" i="32"/>
  <c r="I50" i="56"/>
  <c r="C143" i="56"/>
  <c r="D106" i="56"/>
  <c r="H171" i="32"/>
  <c r="E53" i="56"/>
  <c r="I150" i="56"/>
  <c r="D180" i="32"/>
  <c r="C91" i="32"/>
  <c r="E124" i="32"/>
  <c r="I191" i="32"/>
  <c r="I40" i="56"/>
  <c r="F132" i="32"/>
  <c r="C39" i="56"/>
  <c r="H124" i="56"/>
  <c r="D120" i="56"/>
  <c r="D191" i="32"/>
  <c r="G175" i="56"/>
  <c r="C167" i="56"/>
  <c r="E166" i="56"/>
  <c r="H78" i="32"/>
  <c r="H120" i="32"/>
  <c r="J184" i="32"/>
  <c r="E58" i="56"/>
  <c r="C67" i="32"/>
  <c r="C65" i="56"/>
  <c r="J41" i="56"/>
  <c r="G85" i="56"/>
  <c r="G100" i="56"/>
  <c r="E50" i="56"/>
  <c r="D192" i="32"/>
  <c r="I144" i="56"/>
  <c r="G186" i="32"/>
  <c r="E66" i="56"/>
  <c r="J139" i="56"/>
  <c r="C168" i="32"/>
  <c r="J123" i="56"/>
  <c r="J89" i="32"/>
  <c r="G93" i="32"/>
  <c r="F98" i="56"/>
  <c r="F59" i="32"/>
  <c r="E75" i="32"/>
  <c r="D75" i="56"/>
  <c r="C58" i="56"/>
  <c r="D94" i="56"/>
  <c r="H195" i="32"/>
  <c r="E144" i="56"/>
  <c r="H91" i="32"/>
  <c r="H142" i="32"/>
  <c r="D55" i="56"/>
  <c r="G111" i="56"/>
  <c r="C192" i="32"/>
  <c r="D78" i="56"/>
  <c r="C101" i="56"/>
  <c r="D85" i="56"/>
  <c r="D138" i="32"/>
  <c r="I155" i="56"/>
  <c r="J102" i="56"/>
  <c r="E52" i="32"/>
  <c r="C119" i="32"/>
  <c r="C127" i="32"/>
  <c r="D96" i="56"/>
  <c r="H63" i="32"/>
  <c r="J60" i="32"/>
  <c r="J114" i="56"/>
  <c r="I111" i="32"/>
  <c r="G143" i="56"/>
  <c r="F48" i="56"/>
  <c r="F70" i="56"/>
  <c r="G84" i="32"/>
  <c r="I74" i="32"/>
  <c r="D167" i="56"/>
  <c r="H96" i="32"/>
  <c r="H149" i="56"/>
  <c r="G139" i="56"/>
  <c r="I161" i="56"/>
  <c r="G107" i="56"/>
  <c r="G156" i="56"/>
  <c r="H134" i="56"/>
  <c r="H123" i="32"/>
  <c r="C133" i="56"/>
  <c r="J128" i="32"/>
  <c r="G167" i="32"/>
  <c r="J141" i="56"/>
  <c r="G155" i="32"/>
  <c r="C83" i="56"/>
  <c r="D100" i="56"/>
  <c r="E106" i="56"/>
  <c r="F88" i="56"/>
  <c r="E163" i="32"/>
  <c r="J99" i="32"/>
  <c r="I69" i="56"/>
  <c r="F120" i="32"/>
  <c r="G136" i="32"/>
  <c r="E161" i="56"/>
  <c r="I136" i="56"/>
  <c r="I123" i="56"/>
  <c r="G104" i="56"/>
  <c r="H139" i="32"/>
  <c r="F61" i="56"/>
  <c r="C103" i="32"/>
  <c r="D108" i="32"/>
  <c r="I72" i="56"/>
  <c r="H130" i="32"/>
  <c r="J154" i="32"/>
  <c r="C42" i="56"/>
  <c r="G146" i="32"/>
  <c r="H68" i="32"/>
  <c r="D141" i="32"/>
  <c r="D174" i="32"/>
  <c r="F75" i="56"/>
  <c r="E97" i="32"/>
  <c r="F187" i="32"/>
  <c r="F103" i="56"/>
  <c r="D186" i="32"/>
  <c r="C71" i="59"/>
  <c r="D54" i="32"/>
  <c r="E122" i="56"/>
  <c r="C95" i="32"/>
  <c r="H157" i="56"/>
  <c r="F198" i="32"/>
  <c r="F97" i="56"/>
  <c r="C152" i="56"/>
  <c r="H147" i="32"/>
  <c r="I51" i="32"/>
  <c r="C109" i="56"/>
  <c r="I169" i="32"/>
  <c r="C115" i="56"/>
  <c r="F199" i="32"/>
  <c r="G87" i="56"/>
  <c r="E108" i="56"/>
  <c r="E56" i="56"/>
  <c r="C44" i="56"/>
  <c r="G80" i="56"/>
  <c r="G75" i="32"/>
  <c r="D124" i="32"/>
  <c r="D118" i="32"/>
  <c r="I105" i="56"/>
  <c r="J98" i="32"/>
  <c r="H97" i="56"/>
  <c r="H196" i="32"/>
  <c r="H57" i="32"/>
  <c r="J197" i="32"/>
  <c r="E142" i="32"/>
  <c r="G180" i="56"/>
  <c r="J67" i="32"/>
  <c r="G96" i="56"/>
  <c r="C172" i="56"/>
  <c r="E115" i="32"/>
  <c r="C163" i="32"/>
  <c r="I167" i="56"/>
  <c r="E85" i="32"/>
  <c r="F137" i="32"/>
  <c r="G59" i="32"/>
  <c r="F67" i="32"/>
  <c r="I152" i="56"/>
  <c r="G197" i="32"/>
  <c r="C141" i="56"/>
  <c r="J113" i="56"/>
  <c r="I122" i="32"/>
  <c r="D56" i="56"/>
  <c r="E93" i="32"/>
  <c r="G101" i="56"/>
  <c r="C198" i="32"/>
  <c r="F123" i="32"/>
  <c r="J170" i="56"/>
  <c r="E189" i="32"/>
  <c r="C128" i="56"/>
  <c r="E167" i="56"/>
  <c r="I121" i="32"/>
  <c r="H114" i="32"/>
  <c r="I38" i="56"/>
  <c r="F126" i="32"/>
  <c r="I96" i="56"/>
  <c r="J167" i="32"/>
  <c r="D128" i="56"/>
  <c r="G99" i="32"/>
  <c r="D36" i="56"/>
  <c r="C87" i="59"/>
  <c r="G129" i="56"/>
  <c r="H172" i="32"/>
  <c r="I113" i="56"/>
  <c r="F108" i="56"/>
  <c r="J117" i="32"/>
  <c r="J136" i="56"/>
  <c r="D144" i="56"/>
  <c r="E113" i="32"/>
  <c r="H48" i="56"/>
  <c r="I42" i="56"/>
  <c r="G179" i="32"/>
  <c r="H140" i="32"/>
  <c r="F130" i="32"/>
  <c r="E49" i="56"/>
  <c r="D162" i="32"/>
  <c r="F183" i="56"/>
  <c r="J105" i="32"/>
  <c r="D139" i="56"/>
  <c r="C177" i="32"/>
  <c r="G146" i="56"/>
  <c r="I164" i="56"/>
  <c r="G189" i="32"/>
  <c r="E119" i="56"/>
  <c r="H77" i="32"/>
  <c r="H61" i="32"/>
  <c r="H50" i="56"/>
  <c r="C144" i="56"/>
  <c r="I67" i="32"/>
  <c r="J93" i="56"/>
  <c r="I106" i="56"/>
  <c r="H129" i="32"/>
  <c r="F165" i="56"/>
  <c r="D90" i="56"/>
  <c r="D59" i="32"/>
  <c r="E160" i="32"/>
  <c r="I179" i="56"/>
  <c r="I174" i="56"/>
  <c r="F90" i="32"/>
  <c r="C108" i="56"/>
  <c r="J98" i="56"/>
  <c r="J153" i="32"/>
  <c r="H51" i="56"/>
  <c r="E111" i="32"/>
  <c r="E107" i="32"/>
  <c r="I81" i="32"/>
  <c r="F110" i="32"/>
  <c r="H144" i="56"/>
  <c r="C161" i="56"/>
  <c r="C124" i="32"/>
  <c r="D124" i="56"/>
  <c r="E130" i="56"/>
  <c r="C107" i="56"/>
  <c r="I176" i="56"/>
  <c r="F149" i="32"/>
  <c r="J90" i="56"/>
  <c r="D183" i="32"/>
  <c r="D87" i="32"/>
  <c r="I134" i="56"/>
  <c r="H181" i="56"/>
  <c r="D116" i="32"/>
  <c r="G91" i="56"/>
  <c r="E89" i="56"/>
  <c r="F174" i="56"/>
  <c r="D152" i="32"/>
  <c r="E156" i="32"/>
  <c r="G151" i="56"/>
  <c r="H173" i="32"/>
  <c r="G167" i="56"/>
  <c r="H150" i="56"/>
  <c r="D125" i="56"/>
  <c r="F131" i="32"/>
  <c r="E121" i="56"/>
  <c r="G82" i="32"/>
  <c r="G152" i="56"/>
  <c r="F81" i="56"/>
  <c r="F133" i="32"/>
  <c r="G89" i="56"/>
  <c r="C145" i="32"/>
  <c r="G199" i="32"/>
  <c r="D121" i="32"/>
  <c r="I93" i="32"/>
  <c r="J148" i="56"/>
  <c r="D86" i="56"/>
  <c r="F67" i="56"/>
  <c r="D116" i="56"/>
  <c r="I116" i="56"/>
  <c r="I65" i="56"/>
  <c r="G119" i="56"/>
  <c r="H115" i="56"/>
  <c r="I34" i="56"/>
  <c r="I70" i="32"/>
  <c r="D166" i="32"/>
  <c r="F57" i="32"/>
  <c r="G200" i="32"/>
  <c r="E99" i="32"/>
  <c r="J57" i="32"/>
  <c r="C63" i="32"/>
  <c r="I54" i="32"/>
  <c r="C120" i="56"/>
  <c r="C181" i="56"/>
  <c r="H107" i="56"/>
  <c r="F119" i="32"/>
  <c r="F47" i="56"/>
  <c r="J199" i="32"/>
  <c r="J134" i="56"/>
  <c r="J121" i="32"/>
  <c r="C138" i="32"/>
  <c r="G57" i="32"/>
  <c r="F112" i="32"/>
  <c r="G133" i="32"/>
  <c r="G74" i="32"/>
  <c r="C128" i="32"/>
  <c r="H151" i="32"/>
  <c r="F98" i="32"/>
  <c r="C41" i="56"/>
  <c r="F141" i="56"/>
  <c r="G45" i="56"/>
  <c r="F129" i="56"/>
  <c r="I194" i="32"/>
  <c r="D63" i="56"/>
  <c r="J47" i="56"/>
  <c r="H58" i="32"/>
  <c r="G152" i="32"/>
  <c r="H62" i="56"/>
  <c r="E199" i="32"/>
  <c r="C69" i="32"/>
  <c r="D101" i="32"/>
  <c r="D147" i="32"/>
  <c r="I58" i="56"/>
  <c r="G41" i="56"/>
  <c r="D77" i="32"/>
  <c r="F151" i="56"/>
  <c r="G165" i="56"/>
  <c r="G105" i="56"/>
  <c r="C186" i="32"/>
  <c r="J125" i="56"/>
  <c r="D110" i="56"/>
  <c r="F186" i="32"/>
  <c r="F120" i="56"/>
  <c r="D161" i="56"/>
  <c r="G153" i="56"/>
  <c r="C135" i="32"/>
  <c r="I189" i="32"/>
  <c r="C98" i="32"/>
  <c r="G108" i="56"/>
  <c r="E142" i="56"/>
  <c r="E152" i="32"/>
  <c r="F182" i="32"/>
  <c r="F42" i="56"/>
  <c r="I106" i="32"/>
  <c r="J84" i="56"/>
  <c r="J51" i="32"/>
  <c r="J81" i="32"/>
  <c r="D184" i="32"/>
  <c r="C135" i="56"/>
  <c r="C175" i="32"/>
  <c r="H38" i="56"/>
  <c r="H149" i="32"/>
  <c r="J85" i="32"/>
  <c r="C134" i="32"/>
  <c r="C102" i="56"/>
  <c r="E179" i="32"/>
  <c r="D73" i="56"/>
  <c r="D53" i="56"/>
  <c r="E102" i="32"/>
  <c r="C115" i="32"/>
  <c r="E98" i="56"/>
  <c r="G91" i="32"/>
  <c r="E56" i="32"/>
  <c r="C151" i="32"/>
  <c r="C154" i="32"/>
  <c r="F145" i="56"/>
  <c r="E63" i="32"/>
  <c r="E67" i="32"/>
  <c r="I146" i="56"/>
  <c r="J45" i="56"/>
  <c r="D134" i="56"/>
  <c r="G168" i="56"/>
  <c r="G158" i="32"/>
  <c r="C187" i="32"/>
  <c r="J38" i="56"/>
  <c r="F176" i="56"/>
  <c r="C121" i="56"/>
  <c r="E135" i="59"/>
  <c r="C75" i="56"/>
  <c r="G182" i="56"/>
  <c r="G120" i="32"/>
  <c r="F105" i="56"/>
  <c r="E136" i="32"/>
  <c r="F167" i="32"/>
  <c r="I126" i="56"/>
  <c r="F156" i="56"/>
  <c r="H68" i="56"/>
  <c r="F182" i="56"/>
  <c r="J100" i="56"/>
  <c r="H160" i="32"/>
  <c r="E91" i="56"/>
  <c r="H103" i="56"/>
  <c r="E53" i="32"/>
  <c r="C49" i="64"/>
  <c r="F49" i="64"/>
  <c r="J49" i="64"/>
  <c r="H49" i="64"/>
  <c r="G49" i="64"/>
  <c r="E49" i="64"/>
  <c r="D49" i="64"/>
  <c r="I49" i="64"/>
  <c r="R27" i="56"/>
  <c r="R28" i="56"/>
  <c r="R29" i="56"/>
  <c r="R30" i="56"/>
  <c r="C49" i="63"/>
  <c r="G49" i="63"/>
  <c r="J49" i="63"/>
  <c r="H49" i="63"/>
  <c r="I49" i="63"/>
  <c r="F49" i="63"/>
  <c r="D49" i="63"/>
  <c r="E49" i="63"/>
  <c r="Q27" i="56"/>
  <c r="Q28" i="56"/>
  <c r="Q29" i="56"/>
  <c r="Q30" i="56"/>
  <c r="H49" i="65"/>
  <c r="J49" i="65"/>
  <c r="C49" i="65"/>
  <c r="E49" i="65"/>
  <c r="F49" i="65"/>
  <c r="D49" i="65"/>
  <c r="I49" i="65"/>
  <c r="G49" i="65"/>
  <c r="S44" i="56"/>
  <c r="S45" i="56"/>
  <c r="S46" i="56"/>
  <c r="S47" i="56"/>
  <c r="O31" i="56"/>
  <c r="F49" i="62"/>
  <c r="G49" i="62"/>
  <c r="C49" i="62"/>
  <c r="J49" i="62"/>
  <c r="E49" i="62"/>
  <c r="H49" i="62"/>
  <c r="I49" i="62"/>
  <c r="D49" i="62"/>
  <c r="P27" i="56"/>
  <c r="P28" i="56"/>
  <c r="P29" i="56"/>
  <c r="P30" i="56"/>
  <c r="J49" i="68"/>
  <c r="I49" i="68"/>
  <c r="H49" i="68"/>
  <c r="E49" i="68"/>
  <c r="D49" i="68"/>
  <c r="C49" i="68"/>
  <c r="F49" i="68"/>
  <c r="G49" i="68"/>
  <c r="T44" i="56"/>
  <c r="T45" i="56"/>
  <c r="T46" i="56"/>
  <c r="T47" i="56"/>
  <c r="T48" i="56"/>
  <c r="J49" i="59"/>
  <c r="I49" i="59"/>
  <c r="H49" i="59"/>
  <c r="G49" i="59"/>
  <c r="F49" i="59"/>
  <c r="E49" i="59"/>
  <c r="D49" i="59"/>
  <c r="C49" i="59"/>
  <c r="M27" i="56"/>
  <c r="M28" i="56"/>
  <c r="M29" i="56"/>
  <c r="M30" i="56"/>
  <c r="L31" i="56"/>
  <c r="I49" i="53"/>
  <c r="G49" i="53"/>
  <c r="F49" i="53"/>
  <c r="H49" i="53"/>
  <c r="J49" i="53"/>
  <c r="C49" i="53"/>
  <c r="D49" i="53"/>
  <c r="E49" i="53"/>
  <c r="K28" i="56"/>
  <c r="K27" i="56"/>
  <c r="K29" i="56"/>
  <c r="K30" i="56"/>
  <c r="K31" i="56"/>
  <c r="P31" i="56"/>
  <c r="V28" i="56" l="1"/>
  <c r="V27" i="56"/>
  <c r="U28" i="56"/>
  <c r="W28" i="56" s="1"/>
  <c r="U27" i="56"/>
  <c r="W27" i="56" s="1"/>
  <c r="N34" i="56"/>
  <c r="M16" i="56"/>
  <c r="M31" i="56"/>
  <c r="L29" i="56"/>
  <c r="L30" i="56"/>
  <c r="N32" i="56"/>
  <c r="N29" i="56"/>
  <c r="V29" i="56" s="1"/>
  <c r="N30" i="56"/>
  <c r="V30" i="56" s="1"/>
  <c r="N31" i="56"/>
  <c r="O32" i="56"/>
  <c r="O29" i="56"/>
  <c r="O30" i="56"/>
  <c r="Q32" i="56"/>
  <c r="Q31" i="56"/>
  <c r="S48" i="56"/>
  <c r="R31" i="56"/>
  <c r="L17" i="56"/>
  <c r="L18" i="56"/>
  <c r="L19" i="56"/>
  <c r="L20" i="56"/>
  <c r="R17" i="56"/>
  <c r="L16" i="56"/>
  <c r="R16" i="56"/>
  <c r="O16" i="56"/>
  <c r="K16" i="56"/>
  <c r="T32" i="56"/>
  <c r="T34" i="56"/>
  <c r="Q17" i="56"/>
  <c r="P17" i="56"/>
  <c r="P16" i="56"/>
  <c r="P15" i="56"/>
  <c r="M15" i="56"/>
  <c r="N17" i="56"/>
  <c r="Q15" i="56"/>
  <c r="O15" i="56"/>
  <c r="N15" i="56"/>
  <c r="N16" i="56"/>
  <c r="V16" i="56" s="1"/>
  <c r="R15" i="56"/>
  <c r="O17" i="56"/>
  <c r="T49" i="56"/>
  <c r="F50" i="64"/>
  <c r="C50" i="64"/>
  <c r="E50" i="64"/>
  <c r="J50" i="64"/>
  <c r="H50" i="64"/>
  <c r="G50" i="64"/>
  <c r="I50" i="64"/>
  <c r="D50" i="64"/>
  <c r="G50" i="65"/>
  <c r="I50" i="65"/>
  <c r="J50" i="65"/>
  <c r="D50" i="65"/>
  <c r="E50" i="65"/>
  <c r="F50" i="65"/>
  <c r="C50" i="65"/>
  <c r="H50" i="65"/>
  <c r="I50" i="59"/>
  <c r="H50" i="59"/>
  <c r="G50" i="59"/>
  <c r="F50" i="59"/>
  <c r="E50" i="59"/>
  <c r="D50" i="59"/>
  <c r="C50" i="59"/>
  <c r="J50" i="59"/>
  <c r="S49" i="56"/>
  <c r="C50" i="53"/>
  <c r="F50" i="53"/>
  <c r="E50" i="53"/>
  <c r="J50" i="53"/>
  <c r="G50" i="53"/>
  <c r="D50" i="53"/>
  <c r="H50" i="53"/>
  <c r="I50" i="53"/>
  <c r="R32" i="56"/>
  <c r="E50" i="57"/>
  <c r="C50" i="57"/>
  <c r="D50" i="57"/>
  <c r="J50" i="57"/>
  <c r="I50" i="57"/>
  <c r="H50" i="57"/>
  <c r="G50" i="57"/>
  <c r="F50" i="57"/>
  <c r="D50" i="60"/>
  <c r="E50" i="60"/>
  <c r="F50" i="60"/>
  <c r="G50" i="60"/>
  <c r="H50" i="60"/>
  <c r="J50" i="60"/>
  <c r="I50" i="60"/>
  <c r="C50" i="60"/>
  <c r="C50" i="32"/>
  <c r="D50" i="32"/>
  <c r="F50" i="32"/>
  <c r="J50" i="32"/>
  <c r="I50" i="32"/>
  <c r="H50" i="32"/>
  <c r="E50" i="32"/>
  <c r="G50" i="32"/>
  <c r="D50" i="61"/>
  <c r="C50" i="61"/>
  <c r="J50" i="61"/>
  <c r="I50" i="61"/>
  <c r="H50" i="61"/>
  <c r="G50" i="61"/>
  <c r="E50" i="61"/>
  <c r="F50" i="61"/>
  <c r="L32" i="56"/>
  <c r="U32" i="56" s="1"/>
  <c r="W32" i="56" s="1"/>
  <c r="J33" i="56"/>
  <c r="R33" i="56"/>
  <c r="O33" i="56"/>
  <c r="I33" i="56"/>
  <c r="E33" i="56"/>
  <c r="G33" i="56"/>
  <c r="N33" i="56"/>
  <c r="H33" i="56"/>
  <c r="M33" i="56"/>
  <c r="D33" i="56"/>
  <c r="T50" i="56"/>
  <c r="S50" i="56"/>
  <c r="Q33" i="56"/>
  <c r="C33" i="56"/>
  <c r="P33" i="56"/>
  <c r="F33" i="56"/>
  <c r="K33" i="56"/>
  <c r="L33" i="56"/>
  <c r="U33" i="56" s="1"/>
  <c r="W33" i="56" s="1"/>
  <c r="F50" i="63"/>
  <c r="J50" i="63"/>
  <c r="D50" i="63"/>
  <c r="E50" i="63"/>
  <c r="H50" i="63"/>
  <c r="G50" i="63"/>
  <c r="C50" i="63"/>
  <c r="I50" i="63"/>
  <c r="K32" i="56"/>
  <c r="G50" i="62"/>
  <c r="I50" i="62"/>
  <c r="D50" i="62"/>
  <c r="F50" i="62"/>
  <c r="J50" i="62"/>
  <c r="C50" i="62"/>
  <c r="E50" i="62"/>
  <c r="H50" i="62"/>
  <c r="G50" i="68"/>
  <c r="I50" i="68"/>
  <c r="H50" i="68"/>
  <c r="F50" i="68"/>
  <c r="C50" i="68"/>
  <c r="E50" i="68"/>
  <c r="J50" i="68"/>
  <c r="D50" i="68"/>
  <c r="M32" i="56"/>
  <c r="U15" i="56" l="1"/>
  <c r="V31" i="56"/>
  <c r="U20" i="56"/>
  <c r="V20" i="56"/>
  <c r="U19" i="56"/>
  <c r="V19" i="56"/>
  <c r="U18" i="56"/>
  <c r="V18" i="56"/>
  <c r="V32" i="56"/>
  <c r="V33" i="56"/>
  <c r="V15" i="56"/>
  <c r="W15" i="56" s="1"/>
  <c r="V17" i="56"/>
  <c r="U34" i="56"/>
  <c r="W34" i="56" s="1"/>
  <c r="V34" i="56"/>
  <c r="U31" i="56"/>
  <c r="W31" i="56" s="1"/>
  <c r="U16" i="56"/>
  <c r="W16" i="56" s="1"/>
  <c r="U17" i="56"/>
  <c r="W17" i="56" s="1"/>
  <c r="U30" i="56"/>
  <c r="W30" i="56" s="1"/>
  <c r="U29" i="56"/>
  <c r="W29" i="56" s="1"/>
  <c r="W18" i="56" l="1"/>
  <c r="W19" i="56"/>
  <c r="W20" i="56"/>
</calcChain>
</file>

<file path=xl/sharedStrings.xml><?xml version="1.0" encoding="utf-8"?>
<sst xmlns="http://schemas.openxmlformats.org/spreadsheetml/2006/main" count="934" uniqueCount="369">
  <si>
    <t>Portal de Atendimento do INSS - PAT</t>
  </si>
  <si>
    <t>Autodeclaração para o Requerimento de Benefício por Incapacidade</t>
  </si>
  <si>
    <t>Homologador:</t>
  </si>
  <si>
    <t>#</t>
  </si>
  <si>
    <t>LIBERADO</t>
  </si>
  <si>
    <t>MACROPROCESSO</t>
  </si>
  <si>
    <t>CASO DE TESTE</t>
  </si>
  <si>
    <t>CANAL</t>
  </si>
  <si>
    <t>PAPEL</t>
  </si>
  <si>
    <t>FLUXO</t>
  </si>
  <si>
    <t>PARÂMETROS</t>
  </si>
  <si>
    <t>RESULTADO ESPERADO</t>
  </si>
  <si>
    <t>DATA EXECUÇÃO</t>
  </si>
  <si>
    <t>MASSA</t>
  </si>
  <si>
    <t>STATUS CT</t>
  </si>
  <si>
    <t>RESULTADO ENCONTRADO</t>
  </si>
  <si>
    <t>ANÁLISE DATAPREV</t>
  </si>
  <si>
    <t>MELHORIAS</t>
  </si>
  <si>
    <t>STATUS</t>
  </si>
  <si>
    <t>HOMOLOGADORES</t>
  </si>
  <si>
    <t>Central 135</t>
  </si>
  <si>
    <t>ATENDENTE_CENTRAL_135</t>
  </si>
  <si>
    <t>Aprovado</t>
  </si>
  <si>
    <t>Requerimento Inicial de BI</t>
  </si>
  <si>
    <t>Aciria</t>
  </si>
  <si>
    <t>EC</t>
  </si>
  <si>
    <t>ENTIDADE_CONVENIADA</t>
  </si>
  <si>
    <t>Disponível para reteste</t>
  </si>
  <si>
    <t>Integração</t>
  </si>
  <si>
    <t>Alexandre</t>
  </si>
  <si>
    <t>EC - ECT</t>
  </si>
  <si>
    <t>ENTIDADE_CONVENIADA_CORREIOS</t>
  </si>
  <si>
    <t>Não Executado</t>
  </si>
  <si>
    <t>Meu INSS</t>
  </si>
  <si>
    <t>INTERESSADO</t>
  </si>
  <si>
    <t>Pendência Externa</t>
  </si>
  <si>
    <t>PAT</t>
  </si>
  <si>
    <t>SERVIDOR</t>
  </si>
  <si>
    <t>Reprovado</t>
  </si>
  <si>
    <t>Sem massa</t>
  </si>
  <si>
    <t>Em Teste</t>
  </si>
  <si>
    <t>Autodeclaração do Benefício por Incapacidade</t>
  </si>
  <si>
    <t>Casos de testes | Cenários</t>
  </si>
  <si>
    <t xml:space="preserve">Objetivo: </t>
  </si>
  <si>
    <t>ID</t>
  </si>
  <si>
    <t>PARAMETROS</t>
  </si>
  <si>
    <t>ASSUNTO</t>
  </si>
  <si>
    <t>6
Criação de tarefa de BI inicial com fluxo ATESTMED para categoria DIFERENTE de Segurado Especial COM exigência de preenchimento da AD.
Premissas:
Catálogo: Exige autodeclaração = ATIVADO
Parâmetro:  144 - Fluxo ATESTMED = LIGADO</t>
  </si>
  <si>
    <t>1. Logar no Portal do Atendimento INSS com o perfil do caso de teste
2. Criar tarefa de BI informando:
- Tipo de Incapacidade? "Temporário"
- A pessoa está presa?  "Não"
- Categoria do trabalhador "Desempregado" ...
- A pessoa ficou sem trabalhar? "Sim"</t>
  </si>
  <si>
    <t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t>
  </si>
  <si>
    <t>Sim</t>
  </si>
  <si>
    <t>12
Criar tarefa de BI inicial fluxo ATESTMEDQ para categoria "Segurado especial" onde o parâmetro "Exige Autodeclaração" no Catálogo está ATIVADO e foi respondida a autodeclaração COM período pendente
**Parâmetro PAT ligado: 144 - Fluxo ATESTMEDQ</t>
  </si>
  <si>
    <t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t>
  </si>
  <si>
    <r>
      <t xml:space="preserve">
Tarefa de BI criada com situação Pendente.
Tarefa SEM Divergência de autodeclaração (116)
Status SIBE igual a  FLUXO NÃO INICIADO
Aguardar até a geração automática do PDF da autodeclaração:
</t>
    </r>
    <r>
      <rPr>
        <sz val="10"/>
        <color rgb="FFFF0000"/>
        <rFont val="Arial"/>
        <family val="2"/>
      </rPr>
      <t xml:space="preserve">DTP:
Campo Exige_autodeclaração = 1
Campo DT_RETORNO_SES_CNIS deverá estar preenchido (Descritivo preenchido pelo CNIS)
Tabela SES_CNIS_ANALISES (Indica a existência ou não de períodos pendentes)
</t>
    </r>
    <r>
      <rPr>
        <sz val="10"/>
        <color rgb="FF000000"/>
        <rFont val="Arial"/>
        <family val="2"/>
      </rPr>
      <t xml:space="preserve">Status SIBE igual a AGUARDANDO ATESTADO 
Na opção  "Lista de Ocorrências", o json de integração com o SIBE deverá conter o </t>
    </r>
    <r>
      <rPr>
        <sz val="10"/>
        <color rgb="FFFF0000"/>
        <rFont val="Arial"/>
        <family val="2"/>
      </rPr>
      <t>campo "periodosPendentesSegEsp" com valor true.</t>
    </r>
    <r>
      <rPr>
        <sz val="10"/>
        <color rgb="FF000000"/>
        <rFont val="Arial"/>
        <family val="2"/>
      </rPr>
      <t xml:space="preserve">
</t>
    </r>
  </si>
  <si>
    <t>13
Criar tarefa de BI inicial fluxo ATESTMEDQ para categoria "Segurado especial" onde o parâmetro "Exige Autodeclaração" no Catálogo está ATIVADO e foi respondida a autodeclaração SEM período pendente
**Parâmetro PAT ligado: 144 - Fluxo ATESTMEDQ</t>
  </si>
  <si>
    <t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t>
  </si>
  <si>
    <r>
      <t xml:space="preserve">Tarefa de BI criada com situação Pendente.
Tarefa SEM Divergência de autodeclaração (116)
Status SIBE igual a  FLUXO NÃO INICIADO
Aguardar até a geração automática do PDF da autodeclaração:
</t>
    </r>
    <r>
      <rPr>
        <sz val="10"/>
        <color rgb="FFFF0000"/>
        <rFont val="Arial"/>
        <family val="2"/>
      </rPr>
      <t xml:space="preserve">DTP:
Campo Exige_autodeclaração = 1
Campo DT_RETORNO_SES_CNIS deverá estar preenchido (Descritivo preenchido pelo CNIS)
Tabela SES_CNIS_ANALISES (Indica a existência ou não de períodos pendentes)
</t>
    </r>
    <r>
      <rPr>
        <sz val="10"/>
        <color rgb="FF000000"/>
        <rFont val="Arial"/>
        <family val="2"/>
      </rPr>
      <t xml:space="preserve">Status SIBE igual a AGUARDANDO ATESTADO 
Na opção  "Lista de Ocorrências", o json de integração com o SIBE deverá conter o </t>
    </r>
    <r>
      <rPr>
        <sz val="10"/>
        <color rgb="FFFF0000"/>
        <rFont val="Arial"/>
        <family val="2"/>
      </rPr>
      <t>campo "periodosPendentesSegEsp" com valor false.</t>
    </r>
  </si>
  <si>
    <t>16
Cumprir a exigência de autodeclaração</t>
  </si>
  <si>
    <t>1. Logar no Portal do Atendimento INSS com o perfil Servidor
2.Consultar uma tarefa em exigência de autodeclaração e acionar Cumprir Exigência  
3. Responder o formulário de autodeclaração até o final</t>
  </si>
  <si>
    <r>
      <t xml:space="preserve">
Tarefa de BI com situação alterada para  Pendente
Divergência de autodeclaração (116)  EXCLUÍDA da tarefa
Aguardar até a geração automática do PDF da autodeclaração:
</t>
    </r>
    <r>
      <rPr>
        <sz val="10"/>
        <color rgb="FFFF0000"/>
        <rFont val="Arial"/>
        <family val="2"/>
      </rPr>
      <t xml:space="preserve">DTP:
Campo DT_RETORNO_SES_CNIS deverá estar preenchido (Descritivo preenchido pelo CNIS)
Tabela SES_CNIS_ANALISES (Indica a existência ou não de períodos pendentes)
</t>
    </r>
    <r>
      <rPr>
        <sz val="10"/>
        <color rgb="FF000000"/>
        <rFont val="Arial"/>
        <family val="2"/>
      </rPr>
      <t xml:space="preserve">Status SIBE igual a AGUARDANDO ATESTADO ou AGUARDANDO PERÍCIA (conforme a tarefa seja do fluxo ATESTMEDQ ou PRESENCIAL)
Na opção  "Lista de Ocorrências", o json de integração com o SIBE deverá conter o </t>
    </r>
    <r>
      <rPr>
        <sz val="10"/>
        <color rgb="FFFF0000"/>
        <rFont val="Arial"/>
        <family val="2"/>
      </rPr>
      <t xml:space="preserve">campo "periodosPendentesSegEsp" com valor true ou false, conforme tenha ou não períodos pendentes.
</t>
    </r>
  </si>
  <si>
    <t>17
Responder o formulário de autodeclaração acessando diretamente a aba segurado especial ao detalhar a tarefa, onde a tarefa encontra-se em exigência de autodeclaração</t>
  </si>
  <si>
    <t>1. Logar no Portal do Atendimento INSS com o perfil Servidor
2.Consultar uma tarefa em exigência de autodeclaração 
3. Acionar a aba Segurado especial
3. Responder o formulário de autodeclaração até o final</t>
  </si>
  <si>
    <r>
      <t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</t>
    </r>
    <r>
      <rPr>
        <sz val="10"/>
        <color rgb="FFFF0000"/>
        <rFont val="Arial"/>
        <family val="2"/>
      </rPr>
      <t>campo "periodosPendentesSegEsp" com valor true ou false, conforme tenha ou não períodos pendentes.</t>
    </r>
    <r>
      <rPr>
        <sz val="10"/>
        <color rgb="FF000000"/>
        <rFont val="Arial"/>
        <family val="2"/>
      </rPr>
      <t xml:space="preserve">
</t>
    </r>
  </si>
  <si>
    <t>18
Responder o formulário de autodeclaração acessando diretamente a aba segurado especial ao detalhar a tarefa, onde a tarefa encontra-se em exigência de documento médico</t>
  </si>
  <si>
    <t>1. Logar no Portal do Atendimento INSS com o perfil Servidor
2.Consultar uma tarefa em exigência de documento médico
3. Acionar a aba Segurado especial
3. Responder o formulário de autodeclaração até o final</t>
  </si>
  <si>
    <t xml:space="preserve">
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t>
  </si>
  <si>
    <t>19
Criar tarefa de BI inicial fluxo ATESTMEDQ para categoria "Segurado especial" onde o parâmetro "Exige Autodeclaração" no Catálogo está ATIVADO,  NÃO foi respondida a autodeclaração, NÃO foi incluído o anexo detalhado de AD e cidadão está preso
**Parâmetro PAT ligado: 144 - Fluxo ATESTMEDQ</t>
  </si>
  <si>
    <t xml:space="preserve">1. Logar no Portal do Atendimento INSS com o perfil do caso de teste
2.Criar tarefa de BI informando:
Tipo de Incapacidade? "Temporária "
A pessoa está presa?  Sim
Categoria do trabalhador "Segurado Especial"
A pessoa ficou sem trabalhar? Sim
3. NÃO Informar anexo detalhado de autodeclaração
4. NÃO responder o formulário de autodeclaração
</t>
  </si>
  <si>
    <t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t>
  </si>
  <si>
    <t>20
Criar tarefa de BI inicial fluxo ATESTMEDQ para categoria "Segurado especial" onde o parâmetro "Exige Autodeclaração" no Catálogo está ATIVADO,  NÃO foi respondida a autodeclaração, NÃO foi incluído o anexo detalhado de AD e cidadão ficou sem trabalhar
**Parâmetro PAT ligado: 144 - Fluxo ATESTMEDQ</t>
  </si>
  <si>
    <t xml:space="preserve">1. Logar no Portal do Atendimento INSS com o perfil do caso de teste
2.Criar tarefa de BI informando:
Tipo de Incapacidade? "Temporária "
A pessoa está presa?  Não
Categoria do trabalhador "Segurado Especial"
A pessoa ficou sem trabalhar? Não
3. Informar anexo detalhado de autodeclaração
4. NÃO responder o formulário de autodeclaração
</t>
  </si>
  <si>
    <r>
      <t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</t>
    </r>
    <r>
      <rPr>
        <sz val="10"/>
        <color rgb="FFFF0000"/>
        <rFont val="Arial"/>
        <family val="2"/>
      </rPr>
      <t>Na opção  "Lista de Ocorrências", o json de integração com o SIBE deverá conter o campo "periodosPendentesSegEsp" com valor NULL
DTP:
Campo Exige_autodeclaração = 0</t>
    </r>
    <r>
      <rPr>
        <sz val="10"/>
        <color rgb="FF000000"/>
        <rFont val="Arial"/>
        <family val="2"/>
      </rPr>
      <t xml:space="preserve">
</t>
    </r>
  </si>
  <si>
    <t>21
Criar tarefa de BI inicial fluxo ATESTMEDQ para categoria "Segurado especial" onde o parâmetro "Exige Autodeclaração" no Catálogo está ATIVADO,  NÃO foi respondida a autodeclaração e foi incluído o anexo detalhado de AD
**Parâmetro PAT ligado: 144 - Fluxo ATESTMEDQ</t>
  </si>
  <si>
    <t>1. Logar no Portal do Atendimento INSS com o perfil do caso de teste
2.Criar tarefa de BI informando:
Tipo de Incapacidade? "Temporária "
A pessoa está presa?  Não
Categoria do trabalhador "Segurado Especial"
A pessoa ficou sem trabalhar? Sim
3. Informar anexo detalhado de autodeclaração
4. NÃO responder o formulário de autodeclaração
Resultado 1
5.Alterar via banco de dados a data da exigência para (data atual - 36 dias)
Resultado 2</t>
  </si>
  <si>
    <r>
      <t xml:space="preserve">
Resultado 1:'
Tarefa de BI criada com situação Pendente.
Divergência de autodeclaração (116) incluída na tarefa
Após execução workflow:
Tarefa de BI com situação alterada para Exigência .
Status SIBE igual a  FLUXO NÃO INICIADO
</t>
    </r>
    <r>
      <rPr>
        <sz val="10"/>
        <color rgb="FFFF0000"/>
        <rFont val="Arial"/>
        <family val="2"/>
      </rPr>
      <t xml:space="preserve">DTP:  Campo Exige_autodeclaração = 2
</t>
    </r>
    <r>
      <rPr>
        <sz val="10"/>
        <color rgb="FF000000"/>
        <rFont val="Arial"/>
        <family val="2"/>
      </rPr>
      <t xml:space="preserve">
Resultado 2 - Após alguns minutos:
Tarefa de BI com situação alterada para Pendente
</t>
    </r>
    <r>
      <rPr>
        <sz val="10"/>
        <color rgb="FFFF0000"/>
        <rFont val="Arial"/>
        <family val="2"/>
      </rPr>
      <t xml:space="preserve">Despacho incluído informando a operação ( fragmento de sigla  XXXXXXXXXX )
</t>
    </r>
    <r>
      <rPr>
        <sz val="10"/>
        <color rgb="FF000000"/>
        <rFont val="Arial"/>
        <family val="2"/>
      </rPr>
      <t xml:space="preserve">Divergência de autodeclaração (116) EXCLUÍDA da tarefa
Alguns minutos depois:
Status SIBE igual a AGUARDANDO ATESTADO 
Na opção  "Lista de Ocorrências", o json de integração com o SIBE deverá conter o campo "periodosPendentesSegEsp" com valor true.
</t>
    </r>
  </si>
  <si>
    <t>22
Criar tarefa de BI inicial fluxo PRESENCIAL para categoria "Segurado especial" onde o parâmetro "Exige Autodeclaração" no Catálogo está ATIVADO, NÃO foi respondida a autodeclaração e NÃO foi incluído o anexo detalhado de AD
**Parâmetro PAT ligado: 144 - Fluxo ATESTMEDQ
**Parâmetro PAT ligado: 109 -Tipo de Incapacidade Permanente leva à Fluxo Presencial do Novo BI</t>
  </si>
  <si>
    <t>1. Logar no Portal do Atendimento INSS com o perfil do caso de teste
2.Criar tarefa de BI informando:
Tipo de Incapacidade? "Permanente"
A pessoa está presa?  Não
Houve acidente de trabalho?  Não
Categoria do trabalhador "Segurado Especial"
A pessoa ficou sem trabalhar? Sim
3. NÃO informar anexo detalhado de autodeclaração
5. Realizar agendamento
6. NÃO responder o formulário de autodeclaração
Resultado 1 
7.Alterar via banco de dados a data da exigência para (data atual - 36 dias)
Resulado 2</t>
  </si>
  <si>
    <r>
      <t xml:space="preserve">
Resultado 1:'
Tarefa de BI criada com situação Pendente.
Divergência de autodeclaração (116) incluída na tarefa
Após execução workflow:
Tarefa de BI com situação alterada para Exigência .
Status SIBE igual a  FLUXO NÃO INICIADO
</t>
    </r>
    <r>
      <rPr>
        <sz val="10"/>
        <color rgb="FFFF0000"/>
        <rFont val="Arial"/>
        <family val="2"/>
      </rPr>
      <t xml:space="preserve">DTP:  Campo Exige_autodeclaração = 1
</t>
    </r>
    <r>
      <rPr>
        <sz val="10"/>
        <color rgb="FF000000"/>
        <rFont val="Arial"/>
        <family val="2"/>
      </rPr>
      <t xml:space="preserve">
Resultado 2 - Após alguns minutos:
Tarefa de BI com situação alterada para Pendente
</t>
    </r>
    <r>
      <rPr>
        <sz val="10"/>
        <color rgb="FFFF0000"/>
        <rFont val="Arial"/>
        <family val="2"/>
      </rPr>
      <t xml:space="preserve">Despacho incluído informando a operação ( fragmento de sigla  XXXXXXXXXX )
</t>
    </r>
    <r>
      <rPr>
        <sz val="10"/>
        <color rgb="FF000000"/>
        <rFont val="Arial"/>
        <family val="2"/>
      </rPr>
      <t xml:space="preserve">Divergência de autodeclaração (116) EXCLUÍDA da tarefa
Alguns minutos depois:
Status SIBE igual a AGUARDANDO PERÍCIA
Na opção  "Lista de Ocorrências", o json de integração com o SIBE deverá conter o campo "periodosPendentesSegEsp" com valor null.
</t>
    </r>
  </si>
  <si>
    <t>24
Criar tarefa de BI inicial fluxo ATESTMEDQ para categoria diferente de "Segurado especial" onde o parâmetro "Exige Autodeclaração" no Catálogo está ATIVADO
**Parâmetro PAT ligado: 144 - Fluxo ATESTMEDQ</t>
  </si>
  <si>
    <t xml:space="preserve">1. Logar no Portal do Atendimento INSS com o perfil do caso de teste
2.Criar tarefa de BI informando:
Tipo de Incapacidade? "Temporária "
A pessoa está presa?  Não
Categoria do trabalhador diferente de "Segurado Especial"
</t>
  </si>
  <si>
    <r>
      <t xml:space="preserve">Tarefa de BI criada com situação Pendente.
Tarefa SEM Divergência de autodeclaração (116)
Status SIBE igual a FLUXO NÃO INICIADO 
</t>
    </r>
    <r>
      <rPr>
        <sz val="10"/>
        <color rgb="FFFF0000"/>
        <rFont val="Arial"/>
        <family val="2"/>
      </rPr>
      <t>DPT: Tarefa.Exige_autodeclaração = 0</t>
    </r>
  </si>
  <si>
    <t>26
Criar tarefa de BI inicial fluxo ATESTMEDQ para categoria "Segurado especial" onde o parâmetro "Exige Autodeclaração" no Catálogo está ATIVADO e a autodeclaração tem período pendente
**Parâmetro PAT ligado: 144 - Fluxo ATESTMEDQ</t>
  </si>
  <si>
    <t>1. Logar no Portal do Atendimento INSS com o perfil do caso de teste
2.Criar tarefa de BI informando:
Tipo de Incapacidade? "Temporária "
A pessoa está presa?  Não
Categoria do trabalhador "Segurado Especial"
A pessoa ficou sem trabalhar? Sim
3. Cumprir exigência de documentos obrigatórios
4. Responder formulário da autodeclaração</t>
  </si>
  <si>
    <r>
      <t xml:space="preserve">
Tarefa de BI criada com situação Pendente.
Tarefa SEM Divergência de autodeclaração (116)
Status SIBE igual a  FLUXO NÃO INICIADO
Aguardar até a geração automática do PDF da autodeclaração:
</t>
    </r>
    <r>
      <rPr>
        <sz val="10"/>
        <color rgb="FFFF0000"/>
        <rFont val="Arial"/>
        <family val="2"/>
      </rPr>
      <t xml:space="preserve">
DTP:
Campo Exige_autodeclaração = 1
Campo DT_RETORNO_SES_CNIS deverá estar preenchido (Descritivo preenchido pelo CNIS)
Tabela SES_CNIS_ANALISES (Indica a existência ou não de períodos pendentes)
</t>
    </r>
    <r>
      <rPr>
        <sz val="10"/>
        <color rgb="FF000000"/>
        <rFont val="Arial"/>
        <family val="2"/>
      </rPr>
      <t xml:space="preserve">
Status SIBE igual a AGUARDANDO ATESTADO 
Na opção  "Lista de Ocorrências", o json de integração com o SIBE deverá conter o </t>
    </r>
    <r>
      <rPr>
        <sz val="10"/>
        <color rgb="FFFF0000"/>
        <rFont val="Arial"/>
        <family val="2"/>
      </rPr>
      <t>campo "periodosPendentesSegEsp" com valor true.</t>
    </r>
    <r>
      <rPr>
        <sz val="10"/>
        <color rgb="FF000000"/>
        <rFont val="Arial"/>
        <family val="2"/>
      </rPr>
      <t xml:space="preserve">
</t>
    </r>
  </si>
  <si>
    <t>27
Criar tarefa de BI inicial fluxo ATESTMEDQ para categoria "Segurado especial" onde o parâmetro "Exige Autodeclaração" no Catálogo está ATIVADO e foi respondida a autodeclaração sem período pendente
**Parâmetro PAT ligado: 144 - Fluxo ATESTMEDQ</t>
  </si>
  <si>
    <r>
      <t xml:space="preserve">
Tarefa de BI criada com situação Pendente.
Tarefa SEM Divergência de autodeclaração (116).
Status SIBE igual a  FLUXO NÃO INICIADO
Aguardar até a geração automática do PDF da autodeclaração:
</t>
    </r>
    <r>
      <rPr>
        <sz val="10"/>
        <color rgb="FFFF0000"/>
        <rFont val="Arial"/>
        <family val="2"/>
      </rPr>
      <t xml:space="preserve">DTP:
Campo Exige_autodeclaração = 1
Campo DT_RETORNO_SES_CNIS deverá estar preenchido (Descritivo preenchido pelo CNIS)
Tabela SES_CNIS_ANALISES (Indica a existência ou não de períodos pendentes)
</t>
    </r>
    <r>
      <rPr>
        <sz val="10"/>
        <color rgb="FF000000"/>
        <rFont val="Arial"/>
        <family val="2"/>
      </rPr>
      <t xml:space="preserve">Status SIBE igual a AGUARDANDO ATESTADO 
Na opção  "Lista de Ocorrências", o json de integração com o SIBE deverá conter o </t>
    </r>
    <r>
      <rPr>
        <sz val="10"/>
        <color rgb="FFFF0000"/>
        <rFont val="Arial"/>
        <family val="2"/>
      </rPr>
      <t>campo "periodosPendentesSegEsp" com valor false.</t>
    </r>
    <r>
      <rPr>
        <sz val="10"/>
        <color rgb="FF000000"/>
        <rFont val="Arial"/>
        <family val="2"/>
      </rPr>
      <t xml:space="preserve">
</t>
    </r>
  </si>
  <si>
    <t>29
Cumprir a exigência de autodeclaração</t>
  </si>
  <si>
    <t>1. Logar no Portal do Atendimento INSS com o perfil do caso de teste
2.Consultar uma tarefa em exigência de autodeclaração, detalhar e em seguida e acionar  a aba Cumprir Exigência  
3. Responder o formulário de autodeclaração até o final</t>
  </si>
  <si>
    <r>
      <t xml:space="preserve">
Tarefa de BI com situação Pendente
Divergência de autodeclaração (116)  EXCLUÍDA da tarefa
Aguardar até a geração automática do PDF da autodeclaração:
</t>
    </r>
    <r>
      <rPr>
        <sz val="10"/>
        <color rgb="FFFF0000"/>
        <rFont val="Arial"/>
        <family val="2"/>
      </rPr>
      <t xml:space="preserve">Campo DT_RETORNO_SES_CNIS deverá estar preenchido (Descritivo preenchido pelo CNIS)
Campo xxxxxxx deverá estar preenchido (Indica a existência ou não de períodos pendentes)
</t>
    </r>
    <r>
      <rPr>
        <sz val="10"/>
        <color rgb="FF000000"/>
        <rFont val="Arial"/>
        <family val="2"/>
      </rPr>
      <t xml:space="preserve">Status SIBE igual a AGUARDANDO ATESTADO ou AGUARDANDO PERÍCIA (conforme a tarefa seja do fluxo ATESTMEDQ ou PRESENCIAL)
Na opção  "Lista de Ocorrências", o json de integração com o SIBE deverá conter o </t>
    </r>
    <r>
      <rPr>
        <sz val="10"/>
        <color rgb="FFFF0000"/>
        <rFont val="Arial"/>
        <family val="2"/>
      </rPr>
      <t>campo "periodosPendentesSegEsp" com valor true ou false, conforme tenha ou não períodos pendentes.</t>
    </r>
    <r>
      <rPr>
        <sz val="10"/>
        <color rgb="FF000000"/>
        <rFont val="Arial"/>
        <family val="2"/>
      </rPr>
      <t xml:space="preserve">
</t>
    </r>
  </si>
  <si>
    <t>30
Cumprir a exigência de autodeclaração</t>
  </si>
  <si>
    <t>1. Logar no Portal do Atendimento INSS com o perfil EC - CORREIOS
2. Acionar a aba Exigências e consultar uma tarefa em exigência de autodeclaração
3. Detalhar a tarefa e em seguida acionar  a opção Cumprir Exigência  
3. Responder o formulário de autodeclaração até o final</t>
  </si>
  <si>
    <t>31
Responder o formulário de autodeclaração acessando diretamente a aba segurado especial ao detalhar a tarefa, onde a tarefa encontra-se em exigência de documento médico
Será posível acessar diretamente a autodeclaração logado como EC?</t>
  </si>
  <si>
    <t>1. Logar no Portal do Atendimento INSS com o perfil do caso se teste
2.Consultar uma tarefa em exigência de dautodeclaração
3. Acionar a aba Segurado especial
3. Responder o formulário de autodeclaração até o final</t>
  </si>
  <si>
    <r>
      <t xml:space="preserve">
Tarefa de BI com situação alterada para Pendente 
Divergência de autodeclaração (116)  EXCLUÍDA da tarefa
Aguardar até a geração automática do PDF da autodeclaração:
</t>
    </r>
    <r>
      <rPr>
        <sz val="10"/>
        <color rgb="FFFF0000"/>
        <rFont val="Arial"/>
        <family val="2"/>
      </rPr>
      <t xml:space="preserve">
</t>
    </r>
    <r>
      <rPr>
        <sz val="10"/>
        <color rgb="FF000000"/>
        <rFont val="Arial"/>
        <family val="2"/>
      </rPr>
      <t xml:space="preserve">Status SIBE igual a AGUARDANDO ATESTADO ou AGUARDANDO PERÍCIA (conforme a tarefa seja do fluxo ATESTMEDQ ou PRESENCIAL)
Na opção  "Lista de Ocorrências", o json de integração com o SIBE deverá conter o </t>
    </r>
    <r>
      <rPr>
        <sz val="10"/>
        <color rgb="FFFF0000"/>
        <rFont val="Arial"/>
        <family val="2"/>
      </rPr>
      <t>campo "periodosPendentesSegEsp" com valor true ou false, conforme tenha ou não períodos pendentes.</t>
    </r>
    <r>
      <rPr>
        <sz val="10"/>
        <color rgb="FF000000"/>
        <rFont val="Arial"/>
        <family val="2"/>
      </rPr>
      <t xml:space="preserve">
</t>
    </r>
  </si>
  <si>
    <t xml:space="preserve">32
Responder o formulário de autodeclaração acessando diretamente a aba segurado especial ao detalhar a tarefa, onde a tarefa encontra-se em exigência de documento médico
</t>
  </si>
  <si>
    <t>1. Logar no Portal do Atendimento INSS com o perfil do caso se teste
2.Consultar uma tarefa em exigência de documento médico
3. Acionar a aba Segurado especial
3. Responder o formulário de autodeclaração até o final</t>
  </si>
  <si>
    <t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t>
  </si>
  <si>
    <t>34
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t>
  </si>
  <si>
    <t>1. Logar no  Meu INSS
2.Criar tarefa de BI informando:
Tipo de Incapacidade? "Permanente"
A pessoa está presa?  Não
Categoria do trabalhador diferente de "Segurado Especial"
3. Criar o agendamento da perícia</t>
  </si>
  <si>
    <r>
      <t xml:space="preserve">Tarefa de BI criada com situação Pendente.
Tarefa SEM Divergência de autodeclaração (116)
Status SIBE igual a  AGUARDANDO PERÍCIA
</t>
    </r>
    <r>
      <rPr>
        <sz val="10"/>
        <color rgb="FFFF0000"/>
        <rFont val="Arial"/>
        <family val="2"/>
      </rPr>
      <t>Tarefa.Exige_autodeclaração = 0</t>
    </r>
  </si>
  <si>
    <t>35
Criar tarefa de BI inicial fluxo ATESTMEDQ para categoria "Segurado especial" onde o parâmetro "Exige Autodeclaração" no Catálogo está ATIVADO e foi respondida a autodeclaração com período pendente
**Parâmetro PAT ligado: 144 - Fluxo ATESTMEDQ</t>
  </si>
  <si>
    <t>1. Logar no  Meu INSS
2.Criar tarefa de BI informando:
Tipo de Incapacidade? "Temporária "
A pessoa está presa?  Não
Categoria do trabalhador "Segurado Especial"
A pessoa ficou sem trabalhar? Sim
3. Responder formulário da autodeclaração</t>
  </si>
  <si>
    <r>
      <t xml:space="preserve">
Tarefa de BI criada com situação Pendente.
Status SIBE igual a  FLUXO NÃO INICIADO
Divergência de autodeclaração (116) incluída na tarefa
Aguardar até a geração automática do PDF da autodeclaração:
</t>
    </r>
    <r>
      <rPr>
        <sz val="10"/>
        <color rgb="FFFF0000"/>
        <rFont val="Arial"/>
        <family val="2"/>
      </rPr>
      <t xml:space="preserve">DTP:
Campo Exige_autodeclaração = 1
Campo DT_RETORNO_SES_CNIS deverá estar preenchido (Descritivo preenchido pelo CNIS)
Tabela SES_CNIS_ANALISES (Indica a existência ou não de períodos pendentes)
</t>
    </r>
    <r>
      <rPr>
        <sz val="10"/>
        <color rgb="FF000000"/>
        <rFont val="Arial"/>
        <family val="2"/>
      </rPr>
      <t xml:space="preserve">Status SIBE igual a AGUARDANDO ATESTADO 
Na opção  "Lista de Ocorrências", o json de integração com o SIBE deverá conter o </t>
    </r>
    <r>
      <rPr>
        <sz val="10"/>
        <color rgb="FFFF0000"/>
        <rFont val="Arial"/>
        <family val="2"/>
      </rPr>
      <t>campo "periodosPendentesSegEsp" com valor true.</t>
    </r>
    <r>
      <rPr>
        <sz val="10"/>
        <color rgb="FF000000"/>
        <rFont val="Arial"/>
        <family val="2"/>
      </rPr>
      <t xml:space="preserve">
</t>
    </r>
  </si>
  <si>
    <t>36
Criar tarefa de BI inicial fluxo ATESTMEDQ para categoria "Segurado especial" onde o parâmetro "Exige Autodeclaração" no Catálogo está ATIVADO e foi respondida a autodeclaração sem período pendente
**Parâmetro PAT ligado: 144 - Fluxo ATESTMEDQ</t>
  </si>
  <si>
    <t>1. Logar no  Meu INSS
2.Criar tarefa de BI informando:
Tipo de Incapacidade? "Temporária "
A pessoa está presa?  Não
Categoria do trabalhador "Segurado Especial"
A pessoa ficou sem trabalhar? Sim
3. Responder a autodeclaração</t>
  </si>
  <si>
    <r>
      <t xml:space="preserve">
Tarefa de BI criada com situação Pendente.
Status SIBE igual a  FLUXO NÃO INICIADO
Divergência de autodeclaração (116) incluída na tarefa
Aguardar até a geração automática do PDF da autodeclaração:
</t>
    </r>
    <r>
      <rPr>
        <sz val="10"/>
        <color rgb="FFFF0000"/>
        <rFont val="Arial"/>
        <family val="2"/>
      </rPr>
      <t xml:space="preserve">DTP:
Campo Exige_autodeclaração = 1
Campo DT_RETORNO_SES_CNIS deverá estar preenchido (Descritivo preenchido pelo CNIS)
Tabela SES_CNIS_ANALISES (Indica a existência ou não de períodos pendentes)
</t>
    </r>
    <r>
      <rPr>
        <sz val="10"/>
        <color rgb="FF000000"/>
        <rFont val="Arial"/>
        <family val="2"/>
      </rPr>
      <t xml:space="preserve">Status SIBE igual a AGUARDANDO ATESTADO 
Na opção  "Lista de Ocorrências", o json de integração com o SIBE deverá conter o </t>
    </r>
    <r>
      <rPr>
        <sz val="10"/>
        <color rgb="FFFF0000"/>
        <rFont val="Arial"/>
        <family val="2"/>
      </rPr>
      <t>campo "periodosPendentesSegEsp" com valor false.</t>
    </r>
    <r>
      <rPr>
        <sz val="10"/>
        <color rgb="FF000000"/>
        <rFont val="Arial"/>
        <family val="2"/>
      </rPr>
      <t xml:space="preserve">
</t>
    </r>
  </si>
  <si>
    <t>37
Criar tarefa de BI inicial fluxo ATESTMEDQ para categoria "Segurado especial" onde o parâmetro "Exige Autodeclaração" no Catálogo está ATIVADO e  NÃO foi respondida a autodeclaração
**Parâmetro PAT ligado: 144 - Fluxo ATESTMEDQ</t>
  </si>
  <si>
    <t>1. Logar no  Meu INSS
2.Criar tarefa de BI informando:
Tipo de Incapacidade? "Temporária "
A pessoa está presa?  Não
Categoria do trabalhador "Segurado Especial"
A pessoa ficou sem trabalhar? Não
3. NÃO Responder a autodeclaração</t>
  </si>
  <si>
    <r>
      <t xml:space="preserve">
"Tarefa de BI criada com situação Pendente.
Status SIBE igual a  FLUXO NÃO INICIADO
Divergência de autodeclaração (116) incluída na tarefa
Após execução workflow:
Tarefa de BI com situação alterada para Exigência .
</t>
    </r>
    <r>
      <rPr>
        <sz val="10"/>
        <color rgb="FFFF0000"/>
        <rFont val="Arial"/>
        <family val="2"/>
      </rPr>
      <t>DTP:
Campo Exige_autodeclaração = 1"</t>
    </r>
    <r>
      <rPr>
        <sz val="10"/>
        <color rgb="FF000000"/>
        <rFont val="Arial"/>
        <family val="2"/>
      </rPr>
      <t xml:space="preserve">
</t>
    </r>
  </si>
  <si>
    <t>38
Cumprir a exigência de autodeclaração</t>
  </si>
  <si>
    <t>1. Logar no  Meu INSS
2.Consultar uma tarefa em exigência de autodeclaração e acionar Cumprir Exigência  
3. Responder o formulário de autodeclaração</t>
  </si>
  <si>
    <r>
      <t xml:space="preserve">
Tarefa de BI com situação alterada para  Pendente
Divergência de autodeclaração (116)  EXCLUÍDA da tarefa
Aguardar até a geração automática do PDF da autodeclaração:
</t>
    </r>
    <r>
      <rPr>
        <sz val="10"/>
        <color rgb="FFFF0000"/>
        <rFont val="Arial"/>
        <family val="2"/>
      </rPr>
      <t xml:space="preserve">DTP:
Campo DT_RETORNO_SES_CNIS deverá estar preenchido (Descritivo preenchido pelo CNIS)
Tabela SES_CNIS_ANALISES (Indica a existência ou não de períodos pendentes)
</t>
    </r>
    <r>
      <rPr>
        <sz val="10"/>
        <color rgb="FF000000"/>
        <rFont val="Arial"/>
        <family val="2"/>
      </rPr>
      <t xml:space="preserve">Status SIBE igual a AGUARDANDO ATESTADO ou AGUARDANDO PERÍCIA (conforme a tarefa seja do fluxo ATESTMEDQ ou PRESENCIAL)
Na opção  "Lista de Ocorrências", o json de integração com o SIBE deverá conter o </t>
    </r>
    <r>
      <rPr>
        <sz val="10"/>
        <color rgb="FFFF0000"/>
        <rFont val="Arial"/>
        <family val="2"/>
      </rPr>
      <t>campo "periodosPendentesSegEsp" com valor true ou false, conforme tenha ou não períodos pendentes.</t>
    </r>
    <r>
      <rPr>
        <sz val="10"/>
        <color rgb="FF000000"/>
        <rFont val="Arial"/>
        <family val="2"/>
      </rPr>
      <t xml:space="preserve">
</t>
    </r>
  </si>
  <si>
    <t>39
Responder o formulário de autodeclaração acionando a opção de autodeclaração no card do pedido onde a tarefa encontra-se em exigência de autodeclaração
Será posível acessar diretamente a autodeclaração logado no Meu INSS?</t>
  </si>
  <si>
    <t>1. Logar no  Meu INSS
2.Consultar uma tarefa em exigência de autodeclaração
3. Acionar no card do pedido a opção de Autodeclaração   
3. Responder o formulário de autodeclaração</t>
  </si>
  <si>
    <r>
      <t xml:space="preserve">
Tarefa de BI com situação alterada para  Pendente
Divergência de autodeclaração (116)  EXCLUÍDA da tarefa
Aguardar até a geração automática do PDF da autodeclaração:
</t>
    </r>
    <r>
      <rPr>
        <sz val="10"/>
        <color rgb="FFFF0000"/>
        <rFont val="Arial"/>
        <family val="2"/>
      </rPr>
      <t xml:space="preserve">
</t>
    </r>
    <r>
      <rPr>
        <sz val="10"/>
        <color rgb="FF000000"/>
        <rFont val="Arial"/>
        <family val="2"/>
      </rPr>
      <t xml:space="preserve">Status SIBE igual a AGUARDANDO ATESTADO ou AGUARDANDO PERÍCIA (conforme a tarefa seja do fluxo ATESTMEDQ ou PRESENCIAL)
Na opção  "Lista de Ocorrências", o json de integração com o SIBE deverá conter o </t>
    </r>
    <r>
      <rPr>
        <sz val="10"/>
        <color rgb="FFFF0000"/>
        <rFont val="Arial"/>
        <family val="2"/>
      </rPr>
      <t>campo "periodosPendentesSegEsp" com valor true ou false, conforme tenha ou não períodos pendentes.</t>
    </r>
    <r>
      <rPr>
        <sz val="10"/>
        <color rgb="FF000000"/>
        <rFont val="Arial"/>
        <family val="2"/>
      </rPr>
      <t xml:space="preserve">
</t>
    </r>
  </si>
  <si>
    <t>40
Responder o formulário de autodeclaração acionando a opção de autodeclaração no card do pedido onde a tarefa encontra-se em exigência de documento médico
Será posível acessar diretamente a autodeclaração logado no Meu INSS?</t>
  </si>
  <si>
    <t>1. Logar no  Meu INSS
2.Consultar uma tarefa em exigência de documento médico 
3. Acionar no card do pedido a opção de Autodeclaração   
3. Responder o formulário de autodeclaração</t>
  </si>
  <si>
    <t xml:space="preserve">
41
'Criar tarefa de BI inicial fluxo ATESTMEDQ para categoria "Segurado especial" onde o parâmetro "Exige Autodeclaração" no Catálogo está ATIVADO,  foi respondida a autodeclaração, NÃO foi incluído o anexo detalhado de AD e ocorreu enquadramento na regra da análise de risco
**Parâmetro PAT ligado: 144 - Fluxo ATESTMEDQ
**Parâmetro PAT ligado: 119 - Habilitar fluxo de Análise de Risco no Novo BI
</t>
  </si>
  <si>
    <t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Responder o formulário de autodeclaração
Resultado 1
5. Executar o serviço do STD simulando enquadramento na regra da análise de risco
- Inclusão da divergência 202 (ORIENTAÇÕES NA ABA MASSA)   
Resultado 2
</t>
  </si>
  <si>
    <t xml:space="preserve">Resultado 1:
Tarefa de BI criada com situação Pendente.
Tarefa SEM a Divergência de autodeclaração (116)  
Status SIBE igual a  FLUXO NÃO INICIADO
Seção campos adicionais:
"Fluxo Inicial e final do BI" deve ter o valor  "ATESTMEDQ"
DTP:  Campo Exige_autodeclaração = 1
Aguardar alguns minutos após a geração automática do PDF da autodeclaração:
Status SIBE continua igual a  FLUXO NÃO INICIADO
Resultado 2 - Após a execução do serviço do STD:  
- Cerca de 5 minutos depois, será exibida a divergência da Análise de Risco (202) no requerimento
- Alguns minutos depois:
Status SIBE igual a AGUARDANDO PERÍCIA
- Ocorrências de integração (com SIBE)
 "tipoInformacaoMedica":0
 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 Seção "Agendamentos (Perícia)":
- A etapa_pericia apresentará o valor AGUARDANDO AGENDAMENTO 
Aba Despachos:
-Inclusão do despacho de exigência de agendamento
</t>
  </si>
  <si>
    <t xml:space="preserve">42'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t>
  </si>
  <si>
    <t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t>
  </si>
  <si>
    <t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t>
  </si>
  <si>
    <t xml:space="preserve">43'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t>
  </si>
  <si>
    <t>Orlando</t>
  </si>
  <si>
    <t>Mauricio</t>
  </si>
  <si>
    <t>Thaisa</t>
  </si>
  <si>
    <t>Carlos</t>
  </si>
  <si>
    <t>Alessandra</t>
  </si>
  <si>
    <t>Ana_Carolina</t>
  </si>
  <si>
    <t>Wanei</t>
  </si>
  <si>
    <t>Janaina</t>
  </si>
  <si>
    <t>Andreia</t>
  </si>
  <si>
    <t>homologador</t>
  </si>
  <si>
    <t>CPF 73565506792
Tarefa 6687301539619</t>
  </si>
  <si>
    <t>10002405253
Tarefa 5522489752338</t>
  </si>
  <si>
    <t>CPF 681.368.110-91
Tarefa 2327354901942</t>
  </si>
  <si>
    <t>Tarefa 2639250964337</t>
  </si>
  <si>
    <t>Tarefa  3428588013725</t>
  </si>
  <si>
    <t>Tarefa 1213526239211</t>
  </si>
  <si>
    <t>Tarefa 1608194763905</t>
  </si>
  <si>
    <t>Tarefa 9328821176576</t>
  </si>
  <si>
    <t>Tarefa 4230520614061</t>
  </si>
  <si>
    <t xml:space="preserve">Tarefa  5312559939043
</t>
  </si>
  <si>
    <t>Tarefa 9984402639115</t>
  </si>
  <si>
    <t>Se a tarefa entra por EC, sempre vai ficar em exigência de atestado</t>
  </si>
  <si>
    <t xml:space="preserve"> </t>
  </si>
  <si>
    <t>Tarefa 6165475663929</t>
  </si>
  <si>
    <t>Tarefa 1149947563713</t>
  </si>
  <si>
    <t>Tarefa 7330287451210</t>
  </si>
  <si>
    <t>Nos requerimentos de EC, a tarefa entra em exigência de atestado e não é possível cumprir exigência da AD sem que se cumpra a exigência de documento médico</t>
  </si>
  <si>
    <t>Tarefa 6757478450970</t>
  </si>
  <si>
    <t>Tarefa 7183936313413</t>
  </si>
  <si>
    <t>Tarefa 3823256538419</t>
  </si>
  <si>
    <t>aguarda WF/STD</t>
  </si>
  <si>
    <t>CPF 058.636.035-26</t>
  </si>
  <si>
    <t>Protocolo 1245315576960</t>
  </si>
  <si>
    <t>CPF 00009427660</t>
  </si>
  <si>
    <t>Protocolo 7311093664409 - o json de integração apresentou a seguinte informação: possuiPeriodoSEPendente":true}. No PC 18/08 há pendência no json dos períodos pendentes de SE</t>
  </si>
  <si>
    <t xml:space="preserve">IIdentificamos que a tarefa 7311093664409 possui 3 períodos pendentes no CNIS e foi respondido o AD eletrônico.
	Períodos: 15/06/23 a 02/08/24, 15/06/23 a 02/08/24 e 03/08/24 a 31/12/24
Desta forma o envio do valor TRUE no campo "possuiPeriodoSEPendente" ao SIBE está de acordo  com a regra.
</t>
  </si>
  <si>
    <t>CPF 000.067.872-40</t>
  </si>
  <si>
    <t>Protocolo 8507694789439 - Conforme esperado</t>
  </si>
  <si>
    <t>CPF 03001797150</t>
  </si>
  <si>
    <t>Protocolo 2753812764385 - Conforme o esperado</t>
  </si>
  <si>
    <t>CPF 01104046377</t>
  </si>
  <si>
    <t xml:space="preserve">Protocolo 4803329614301 - Conforme o esperado - ao concluir o preenchimento da AD o PAT apresenta a mensagem "Existem pendências na tarefa que podem ser resolvidas através da operação: "Cumprir Exigência". </t>
  </si>
  <si>
    <t>CPF 02448337292 Reteste realizado com o CPF 014.693.307-92</t>
  </si>
  <si>
    <t>Protocolo 6655512201870 - Após a criação da tarefa não houve a primeira exigência, sendo o requerimento indeferido direto.  No json não há a informação prevista no cenário. "Na opção  "Lista de Ocorrências", o json de integração com o SIBE deverá conter o campo "periodosPendentesSegEsp" com valor NULL
Reteste Protocolo 4052380138515 - Tarefa não entrou em exigência</t>
  </si>
  <si>
    <t>Em análise</t>
  </si>
  <si>
    <t>CPF 3162488869 Reteste realizado com o CPF 013.139.082-15</t>
  </si>
  <si>
    <t>Protocolo 4376871751858 - Após a criação da tarefa não houve a primeira exigência, sendo o requerimento indeferido direto.  No json não há a informação prevista no cenário. "Na opção  "Lista de Ocorrências", o json de integração com o SIBE deverá conter o campo "periodosPendentesSegEsp" com valor NULL
Reteste Protocolo 1232720026012</t>
  </si>
  <si>
    <t>CPF 02045280624</t>
  </si>
  <si>
    <t>Protocolo 5999930739331 - Conforme esperado</t>
  </si>
  <si>
    <t>CPF 01902803280</t>
  </si>
  <si>
    <t>Protocolo 2524689164289 - Aguardando rotina de controle de prazos</t>
  </si>
  <si>
    <t>CPF 01552683257</t>
  </si>
  <si>
    <t>Protocolo 9360610514325 - No requerimento por EC não há possibilidade de anexar documentos e nem de responder a AD. Em que pese o resultado esperado indique que não será gravada a divergência 116, houve a gravação. Entendo que corretamente.  Atenção! O pedido ainda não está concluído
É necessário apresentar os documentos no prazo de 5 dias. Caso não apresente, o pedido será cancelado.</t>
  </si>
  <si>
    <t>CPF 01520317905</t>
  </si>
  <si>
    <t xml:space="preserve">Protocolo 3721290289319 - No requerimento por EC não há possibilidade de anexar documentos e nem de responder a AD.  Atenção! O pedido ainda não está concluído
É necessário apresentar os documentos no prazo de 5 dias. Caso não apresente, o pedido será cancelado. A tarefa entrou em exigência para apresentação do atestado e documentos de identificação. Cumprida a exigência do atestado e documento, o requerimento alterou para pendente e, posteriormente, entrou em exigência para autodeclaração. </t>
  </si>
  <si>
    <t>CPF 009.981.752-77</t>
  </si>
  <si>
    <t xml:space="preserve">Protocolo 9526155438923 - No requerimento por EC não há possibilidade de anexar documentos e nem de responder a AD de imediato. Ao concluir o requerimento aparece a mensagem: Atenção! O pedido ainda não está concluído
É necessário apresentar os documentos no prazo de 5 dias. Caso não apresente, o pedido será cancelado. Sem sair da tela do requerimento, foi possível acessar a aba de Segurado Especial e preencher a AD. A tarefa entrou em exigência para apresentação do atestado e documentos de identificação. A divergência 116 não foi gravada. Cumprida a exigência do atestado e documento, o requerimento alterou para pendente. </t>
  </si>
  <si>
    <t>CPF 00733487246 (135) CPF 02792829826 (EC)</t>
  </si>
  <si>
    <t>Protocolo 5509894201390, foi criado pela Central 135. Para EC não aparece a aba de segurado especial, é possível apenas cumprir a exigência do atestado médico. Protocolo 8870573976384 (criado pela EC) , foi possível acessar a aba de Segurado Especial e preencher a AD. A tarefa permanece em exigência</t>
  </si>
  <si>
    <t>CPF 027.052.789-31 e CPF 013.167.352-14</t>
  </si>
  <si>
    <r>
      <rPr>
        <sz val="11"/>
        <color rgb="FF000000"/>
        <rFont val="Calibri"/>
        <scheme val="minor"/>
      </rPr>
      <t>Protocolo 3231253751378 e 5624456001438 - Requerimento criado e perícia agendada. O status Sibe foi alterado para Aguardando Perícia. Entretanto, a divergência 168 foi gravada no requerimento 	Pendência de agendamento de perícia.</t>
    </r>
    <r>
      <rPr>
        <b/>
        <sz val="11"/>
        <color rgb="FFFF0000"/>
        <rFont val="Calibri"/>
        <scheme val="minor"/>
      </rPr>
      <t xml:space="preserve"> O erro está na gravação da divergência 168.</t>
    </r>
  </si>
  <si>
    <t>Cpf 11383125848
PAT 1410860501558</t>
  </si>
  <si>
    <t>Marcado afast NÃO
Pulado Etapa AD
Não gerou Exig AD
Sibe Fluxo não iniciado
Acompanhar time
Tarefa concluída SIBE NB ok Indef</t>
  </si>
  <si>
    <t>Cpf 16274176802
PAT 1951880164049</t>
  </si>
  <si>
    <t>Não preechido AD
Incluído Anexo qualif
Exig = OK
Resultado1 = OK
Alterar Banco = ok
Resultado2 = aguardando Fluxo Não inic</t>
  </si>
  <si>
    <t>Cpf 13152535856
PAT 5853579601534</t>
  </si>
  <si>
    <t>Todas as ações do Resultado1 = OK
Alterar Banco= ok
Result2 = aguardando fluxo não inic</t>
  </si>
  <si>
    <t>Cpf 16196536800
PAT 2919357688983</t>
  </si>
  <si>
    <r>
      <rPr>
        <sz val="11"/>
        <color rgb="FF000000"/>
        <rFont val="Calibri"/>
        <scheme val="minor"/>
      </rPr>
      <t xml:space="preserve">TAREFA EM EXIGENCIA como esperado
Div só a 174
Fluxo não iniciado 
</t>
    </r>
    <r>
      <rPr>
        <b/>
        <sz val="11"/>
        <color rgb="FF000000"/>
        <rFont val="Calibri"/>
        <scheme val="minor"/>
      </rPr>
      <t>Indicação do cenário incorreta, pois espera-se a Exigencia do Atestado.</t>
    </r>
  </si>
  <si>
    <t>Cpf 07151887809
PAT 6394599264025</t>
  </si>
  <si>
    <t>Prot entrou já em exigencia de atestados = ok
Exig Atest Cump = OK 
Exig AD e cumprimento = OK 
Status SIBE Fluxo Não iniciado
Aguardando processamento da AD para mostrar se TEM PERÍODO PENDENTE = OK NB 7407788570 SIBE mostra a opção.</t>
  </si>
  <si>
    <t>Cpf 33629307000
Período Rural 01/01/23 a 10/07/26</t>
  </si>
  <si>
    <t>Prot 6050913863881 ok
Exig Atest OK e Cumprida
Exig AD criada enquanto preenchia, mas atendida de pronto OK
Tarefa de acordo com o teste</t>
  </si>
  <si>
    <t>Massa CT 12</t>
  </si>
  <si>
    <t>Cumprimento ocorreu sem problemas</t>
  </si>
  <si>
    <t>00848157362</t>
  </si>
  <si>
    <t>O nome do campo na integração Sibe é "possuiPeriodoSEPendente"</t>
  </si>
  <si>
    <t>04024368818
00093573006</t>
  </si>
  <si>
    <t xml:space="preserve">
"Não foi encontrado extrato previdenciário para o CPF" ao passar para a tela Relações Previdenciárias
(Print na coluna Q)
[Reteste] Não houve a inclusão do pdf da autodeclaração nem o retorno do descritivo
[Reteste] Aguardando descritivo e integração
[Reteste 20/08] Não recebeu o descritivo e não integrou</t>
  </si>
  <si>
    <t>[18/08] Para o reteste: Protocolo: 9589734114421, a tarefa ainda com exigência de AD. A AD não foi enviada.</t>
  </si>
  <si>
    <r>
      <rPr>
        <sz val="11"/>
        <color rgb="FFA6A6A6"/>
        <rFont val="Calibri"/>
        <scheme val="minor"/>
      </rPr>
      <t xml:space="preserve">&lt;!DOCTYPE HTML PUBLIC "-//IETF//DTD HTML 2.0//EN"&gt; &lt;html&gt;&lt;head&gt; &lt;title&gt;502 Proxy Error&lt;/title&gt; &lt;/head&gt;&lt;body&gt; &lt;h1&gt;Proxy Error&lt;/h1&gt; &lt;p&gt;The proxy server received an invalid response from an upstream server.&lt;br /&gt; The proxy server could not handle the request&lt;p&gt;Reason: &lt;strong&gt;Error reading from remote server&lt;/strong&gt;&lt;/p&gt;&lt;/p&gt; &lt;/body&gt;&lt;/html&gt;
</t>
    </r>
    <r>
      <rPr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 xml:space="preserve">Ocorrência de integração:
</t>
    </r>
    <r>
      <rPr>
        <sz val="11"/>
        <color rgb="FF000000"/>
        <rFont val="Calibri"/>
        <scheme val="minor"/>
      </rPr>
      <t xml:space="preserve">
500 : "{"erros":[{"codigo":"SERVICO_PARCEIRO_FALHOU_RESPONDER_SOLICITACAO_DISPSE","mensagem":"Servico parceiro EXTRATO_CNIS falhou ao responder solicitacao do FPSE","parametros":{"tipoErro":"SERVICO_PARCEIRO_FALHOU_RESPONDER_SOLICITACAO_DISPSE","statusCode":422,"content":"
[Reteste 20/08] Não recebeu o descritivo e não integrou</t>
    </r>
  </si>
  <si>
    <t>Integrou com o Sibe mesmo em exigência de documentação médica
[20/08] Aprovado conforme entendimento das equipes</t>
  </si>
  <si>
    <t xml:space="preserve">Em análise
[20/08]
Em conversa com o inss o entendimento foi de que o fluxo de indeferimento está correto, uma vez que as rerspotas dadas no "procolo" dispensam o preenchimento da AD e já são suficientes para a decisão de indeferimento,
CT Alterado para reteste. </t>
  </si>
  <si>
    <t>Não passou pelo status de Exigência conforme previsto no Resultado Esperado.
Não constou o campo periodosPendentesSegEsp nas ocorrências de integração.
Obs.: Status da tarefa e Status Sibe corretos
[20/08] Aprovado conforme entendimento das equipes</t>
  </si>
  <si>
    <r>
      <rPr>
        <sz val="11"/>
        <color rgb="FF000000"/>
        <rFont val="Calibri"/>
        <scheme val="minor"/>
      </rPr>
      <t xml:space="preserve">NB indeferido no Sibe
No PAT, Status Sibe Em Processamento não atualiza
</t>
    </r>
    <r>
      <rPr>
        <b/>
        <sz val="11"/>
        <color rgb="FF000000"/>
        <rFont val="Calibri"/>
        <scheme val="minor"/>
      </rPr>
      <t>[Reteste 20/08] Cenário processado, com a observação de que não constou o campo periodosPendentesSegEsp na ocorrências de integração (aguardando confirmação)</t>
    </r>
  </si>
  <si>
    <t>[20/08] Verificamos que a comunicação com o SIBE havia sido desativada. Com o reprocessamento no SIBE a comunicação deve ser restabelecida para a conclusão da tarefa</t>
  </si>
  <si>
    <t>Aguardando processamento Resultado 2</t>
  </si>
  <si>
    <t>Diferente do Resultado Esperado, o requerimento entra em exigência da documentação médica (comportamento correto).
Cumprida a exigência, o cenário está ok</t>
  </si>
  <si>
    <t>Aguardando descritivo
Aguardando integração Sibe</t>
  </si>
  <si>
    <t>CPF: 437.667.278-50
Prot.: 3753079627068
Cat. Desempregado</t>
  </si>
  <si>
    <t>CPF: 027.349.246-25
Prot. 2785602102134
Cat. Seg. Esp</t>
  </si>
  <si>
    <t>Retorno descritivo ok
integração SIBE ok</t>
  </si>
  <si>
    <t>CPF: 092.206.618-37
Prot.: 3867641427116
Cat. Seg. Esp</t>
  </si>
  <si>
    <t>Descritivo ok
integração SIBE ok</t>
  </si>
  <si>
    <t>CPF: 474.508.252-52
Prot.: 2581669603934</t>
  </si>
  <si>
    <t>CPF: 348.668.683-68
Prot.: 5147015014445
Seg. Esp.</t>
  </si>
  <si>
    <t>Aguardar exigência de AD - OK
Aguardar retorno FPSE
Aguardar integração SIBE</t>
  </si>
  <si>
    <t>CPF: 727.408.681-20
Prot.: 5325155489991
Cat. Seg. Esp.</t>
  </si>
  <si>
    <t>CPF: 003.586.930-55
Prot; 2868374564433
Cat. Seg. Esp.</t>
  </si>
  <si>
    <t>Aguardar integração SIBE - OK</t>
  </si>
  <si>
    <t>CPF: 708.954.907-06
Prot.: 6229054339427
Cat. Seg. Esp.</t>
  </si>
  <si>
    <t>*Aguardar reprocessamento SIBE - OK</t>
  </si>
  <si>
    <t>CPF: 943.320.969-91
Prot.: 1557211639355
Cat. Seg. Esp.</t>
  </si>
  <si>
    <t>Alterar no banco data da exigência</t>
  </si>
  <si>
    <t>CPF: 998.943.003-91
Prot.: 8819590851834
Cat. Seg. Esp.</t>
  </si>
  <si>
    <t>CPF: 006.123.717-51
Prot.: 5885368939283
Cat. Desempregado</t>
  </si>
  <si>
    <t>CPF: 007.371.853-09
Prot.: 3180270626828
Cat. Seg. Esp.</t>
  </si>
  <si>
    <t>CPF: 021.854.049-38
Prot.: 3065708826780
Cat. Seg. Esp.</t>
  </si>
  <si>
    <t>CPF: 087.079.375-63
Prot.: 7279304326660
Cat. Seg. Esp.</t>
  </si>
  <si>
    <t>CPF: 005.412.539-13
Prot.: 5968141401582
Cat. Seg. Esp.</t>
  </si>
  <si>
    <t>CPF: 637.077.773-08
Prot.: 3282236875928
Cat. Seg. Esp.</t>
  </si>
  <si>
    <t>CPF: 005.836.955-40
Prot.: 3574939151522
Descritivo com período invalidado</t>
  </si>
  <si>
    <t>CPF: 010.179.785-06
Prot.: 9608927901222
Cat. Seg. Esp.</t>
  </si>
  <si>
    <t>CPF: 008.873.613-07
Prot.: 4542416676456
Cat. Seg. Esp.</t>
  </si>
  <si>
    <t>CPF: 009.791.707-96
Prot.: 8329554313893
Cat. Seg. Esp.</t>
  </si>
  <si>
    <t>CPF: 000.003.753-22
Prot.: 2773006551186
CPF: 000.011.095-70
Prot.: 8838784638635</t>
  </si>
  <si>
    <t>Divergência 202 incluída no requerimento
Status SIBE Aguardando Atestado
Fluxo Inicial ATESTMEDQ
Fluxo final ATESTMEDQ
Ocorrências de integração:
I/O error on GET request for "https://hapirj.dataprev.gov.br/formacao-periodos-se/v1.0.0/calculo": Read timed out; nested exception is java.net.SocketTimeoutException: Read timed out</t>
  </si>
  <si>
    <t>CPF: 000.012.203-30
Prot.: 6019124526132</t>
  </si>
  <si>
    <t>CPF: 601.297.503-10
Prot.: 6445582388575</t>
  </si>
  <si>
    <t>AD preenchida</t>
  </si>
  <si>
    <t>CPF 00866715029
Tarefa 9933419514565</t>
  </si>
  <si>
    <t xml:space="preserve">Requerimento protocolado e com exigência automática para apresentação de documentos. </t>
  </si>
  <si>
    <t>CPF 01650285485
Tarefa 4294099289559</t>
  </si>
  <si>
    <t>PAT enviou flag ,"vinculosAlteradosSegurado":true indevidamente. 
Sibe processou corretamente:
Confirmar relações previdenciárias do segurado ou a ausência delas
Observações: Vínculos do Segurado alterados e Possui período Segurado Especial pendente</t>
  </si>
  <si>
    <t>Equipe removu a verificação se é segurado especial na regra que alimenta esse campo.
Mudança implementada aguardando implantação em HML duante o dia de hoje.</t>
  </si>
  <si>
    <t xml:space="preserve">CPF 042.343.816-67
Tarefa 6114492539379
</t>
  </si>
  <si>
    <t xml:space="preserve">PAT enviou flag ,"possuiPeriodoSEPendente":true, nos casos em que não há períodos pendentes (todos os períodos invalidados). </t>
  </si>
  <si>
    <t>Identificamos que a tarefa 6114492539379 possui 1 período pendente informado pelo CNIS refernete a 01/01/2025 a 31/12/2025.janaina[@[RESULTADO ENCONTRADO]]
Desta forma o envio do valor TRUE no campo "possuiPeriodoSEPendente" ao SIBE está de acordo com a regra.</t>
  </si>
  <si>
    <t>CPF 20001148060
Protocolo 7820323989151</t>
  </si>
  <si>
    <t xml:space="preserve">Após o protooclo, gerada divergência "116	Autodeclaração não enviada"
Ao clicar em cumprir a exigência, é direcionado ao preenchimento da autodeclaração. </t>
  </si>
  <si>
    <t>CPF 20001156918
Protocolo 5427121739091</t>
  </si>
  <si>
    <t>CPF 961.506.480-79
Protocolo 5000663876648</t>
  </si>
  <si>
    <t xml:space="preserve">
Existem pendências na tarefa que podem ser resolvidas através da operação: "Cumprir Exigência".</t>
  </si>
  <si>
    <t>CPF 185.680.482-85
Tarefa 2181003764145</t>
  </si>
  <si>
    <t>Requerimento indefeirdo pelo motivo "Requerente recluso"</t>
  </si>
  <si>
    <t>CPF 490.470.439-87
Tarefa 8902363314133</t>
  </si>
  <si>
    <t>Requerimento indefeirdo pelo motivo "Não afastamento das atividades"</t>
  </si>
  <si>
    <t>CPF 585.892.907-94
Protocolo 2492899826540
CPF 805.210.558-73
Protocolo 1003596425916</t>
  </si>
  <si>
    <t xml:space="preserve">CPF 3804062751618
Protocolo 3804062751618
</t>
  </si>
  <si>
    <t>CPF 84802847734
Protocolo 7164742526612</t>
  </si>
  <si>
    <t xml:space="preserve">
CPF 421.835.149-06
Protocolo 8673239714037</t>
  </si>
  <si>
    <t>CPF 615.768.822-09
Protocolo 8558677913989</t>
  </si>
  <si>
    <t xml:space="preserve">CPF 00004775163
Tarefa </t>
  </si>
  <si>
    <t>CPF: 10001066161
PAT: 8851380189583
Cumprimento de exigências:
NB 7407786136
Status Sibe: Aguardando Atestado</t>
  </si>
  <si>
    <r>
      <rPr>
        <sz val="11"/>
        <color rgb="FF000000"/>
        <rFont val="Calibri"/>
        <scheme val="minor"/>
      </rPr>
      <t xml:space="preserve">CPF: 03596776490
PAT: 3638517827020
NB 7407786446
</t>
    </r>
    <r>
      <rPr>
        <sz val="11"/>
        <color rgb="FFFF0000"/>
        <rFont val="Calibri"/>
        <scheme val="minor"/>
      </rPr>
      <t xml:space="preserve">- Não gerou: DESCRITIVO DA VALIDAÇÃO DE PERÍODOS DE SEGURADO ESPECIAL
</t>
    </r>
    <r>
      <rPr>
        <sz val="11"/>
        <color rgb="FF000000"/>
        <rFont val="Calibri"/>
        <scheme val="minor"/>
      </rPr>
      <t xml:space="preserve">
Reteste 20/8 - aguardar
CPF: 00052062511
PAT: 3199464413629
Período cadatradao CAF: 9/4/2026 a 20/8/2026</t>
    </r>
  </si>
  <si>
    <t>[19/08] Andreia - Verificando a tarefa notamos que vc cumpriu a exigência de AD e o PDF foi gravado na sequencia. O descritivo é gerado com cerca de 10min após. Já foi anexado. Essa tarefa passou pela integração do SIBE/PMF e o Status SIBE: Aguardando Atestado. Poderia avaliar se está de acordo com o esperado?</t>
  </si>
  <si>
    <r>
      <rPr>
        <sz val="11"/>
        <color rgb="FF000000"/>
        <rFont val="Calibri"/>
        <scheme val="minor"/>
      </rPr>
      <t xml:space="preserve">CPF: 00040322335
PAT: 3212059964577
Autodeclaração pdf
NB 7407786217
Status Sibe:Aguardando Atestado
</t>
    </r>
    <r>
      <rPr>
        <sz val="11"/>
        <color rgb="FFFF0000"/>
        <rFont val="Calibri"/>
        <scheme val="minor"/>
      </rPr>
      <t>- Não gerou: DESCRITIVO DA VALIDAÇÃO DE PERÍODOS DE SEGURADO ESPECIAL
-Status "periodosPendentesSegEsp" com valor true 
Reteste 20/8 - aguardar
CPF: 02184685550
PAT: 6133686326180
Período cadatradao CAF: 10/7/2025 a 20/8/2026 
Reteste 2 20/8 - aguardar
CPF: 00006626238
PAT: 4937085201150
Período cadatradao CAF: 22/12/2025 a 20/8/2026</t>
    </r>
  </si>
  <si>
    <t xml:space="preserve"> 
Reteste 20/8 - aguardar
CPF: 02184685550
PAT: 6133686326180
Período cadatradao CAF: 10/7/2025 a 20/8/2026</t>
  </si>
  <si>
    <t>CPF: 14810271153
PAT: 1359877377008
Resultado período rural pendente</t>
  </si>
  <si>
    <t>CPF: 61902037367
Pt: 135
PAT: 5688034676936
Declarado: 1/1/2020 a 31/12/2022
Aconpanhar Status Sibe(aguardando análise)
CNIS: 04/02/2025 a 10/07/2026
CPF: 73620963649
Pt: Pat
PAT: 6770074001918
Declarado: 17/6/2023 a 30/4/2024
Status Sibe
CNIS: 17/06/2024 a 10/07/2026</t>
  </si>
  <si>
    <t>CPF: 45617186132
PAT: 9475172314373</t>
  </si>
  <si>
    <t>CPF: 63650141809
PAT: 7196531864361</t>
  </si>
  <si>
    <t>PAT: 7591200389055
CPF: 10755314468 -  NB 7407788848 - aguarda parâmetro</t>
  </si>
  <si>
    <r>
      <t xml:space="preserve">[19/08] Analisando a tarefa verificamos que o status atual corresponde ao resultado 1 após a execução do Workflow. </t>
    </r>
    <r>
      <rPr>
        <b/>
        <sz val="11"/>
        <color theme="1"/>
        <rFont val="Calibri"/>
        <family val="2"/>
        <scheme val="minor"/>
      </rPr>
      <t>Vou alterar para reteste mas deve aguardar a alteração na base para que o decurso de prazo ocorra.</t>
    </r>
  </si>
  <si>
    <t>PAT: 8132220051546
CPF: 01742245404 - Aguardando parâmetro</t>
  </si>
  <si>
    <t>[19/08] Analisando a tarefa verificamos que o status atual corresponde ao resultado 1 após a execução do Workflow. Vou alterar para reteste mas deve aguardar a alteração na base para que o decurso de prazo ocorra.</t>
  </si>
  <si>
    <t>CPF: 58125262652
PAT: 5458911076840
PT entidade conveniada - Tarefa em exigência</t>
  </si>
  <si>
    <t xml:space="preserve">
CPF:013.043.903-73
PAT: 7737551526852</t>
  </si>
  <si>
    <t>CPF: 12401303685
PAT: 9901630176816</t>
  </si>
  <si>
    <t>CPF: 44771380597
PAT: 9787068376768</t>
  </si>
  <si>
    <t>Não tenho acesso ao EC Correios</t>
  </si>
  <si>
    <t>[19/08] Favor usar o papel da entidade conveniada normalmente. Atualmente não há comportamento diferenciado para Ecs.</t>
  </si>
  <si>
    <t>CPF: 05488002944
PAT: 7903096451450
17/07/2016 a 17/07/2026 - Não reconhecido
Verificar o porquê do acesso estar no EC e apsrecer como MeuInss</t>
  </si>
  <si>
    <t>[19/08] Visualizando diretamente no pat o canal aparece corretamente como EC. 
Favor retestar para evidenciar com um PRINT da tela</t>
  </si>
  <si>
    <t>CPF: 00568440935
PAT: 3345815551426
25/8/2025 a 19/8/2026 - Não reconhecido
Verificar o porquê do acesso estar no EC e apsrecer como MeuInss</t>
  </si>
  <si>
    <t>CPF: 14810271153
PAT: 1359877377008</t>
  </si>
  <si>
    <t>Acompanhar descritivo CPF: 10062959417
PAT: 8361343651642
Resultado pendente
16/06/2024 a 30/06/2026
 Período Validado
01/01/2023	11/03/2024 declarado 1/3/2023 a 11/3/2024</t>
  </si>
  <si>
    <t>HOMOLOGADOR</t>
  </si>
  <si>
    <t>Preenchimento da autodeclaração</t>
  </si>
  <si>
    <t>Todos</t>
  </si>
  <si>
    <t>008.481.573-62</t>
  </si>
  <si>
    <t>A aba Despachos e Anexos não está exibindo os itens em ordem cronológica (não tenho certeza se deveriam ser).
O descritivo, por exemplo, aparece lá embaixo, apesar de ter sido gerado somente após o cumprimento da exigência.</t>
  </si>
  <si>
    <t>Sugestão fora dos CTs: Ao passar as telas de preenchimento da AD, subir a página para o início automaticamente.
Atualmente elas estão sendo disponibilizadas do meio para o final, obrigando o usuário a subir a tela</t>
  </si>
  <si>
    <t>Consultas de Formação de Período de Segurado Especial</t>
  </si>
  <si>
    <t>SIBE</t>
  </si>
  <si>
    <t>A pesquisa por CPF do segurado dá erro quando o CPF está com a máscara. Deve ser possível pesquisar por CPF com máscara ou não.</t>
  </si>
  <si>
    <t>Envio da autodeclaração</t>
  </si>
  <si>
    <t>Servidor</t>
  </si>
  <si>
    <t>Ao confirmar o envio de uma autodeclaração, caso seja retornada mensagem de erro, fechar automaticamente a janela modal de confirmação.</t>
  </si>
  <si>
    <t>Sugestão fora dos CTs: Na tela de preenchimetno da atividade, não exibir o botão Cancelar quando não houver nenhuma atividade lançada</t>
  </si>
  <si>
    <t>Andréia</t>
  </si>
  <si>
    <t>Texto da exigência da autodeclaração</t>
  </si>
  <si>
    <t>PAT/MeuInss/EC</t>
  </si>
  <si>
    <t>Sugestão: acrescentar no texto da exigência para apresentação da autodeclaração o rol de documentos para comprovação SE</t>
  </si>
  <si>
    <t>Anexos da autodeclaração e descritivo</t>
  </si>
  <si>
    <t>CT 12</t>
  </si>
  <si>
    <t>PAT EC</t>
  </si>
  <si>
    <t>Externo - ENTIDADE_CORREIOS_PROTOCOLO</t>
  </si>
  <si>
    <t>Anexo de autodeclaração e decritivo sem CPF (undefined) na aba Despachos e Anexos</t>
  </si>
  <si>
    <t>Serviço que simula a inclusão de divergencias pelo STD na tarefa</t>
  </si>
  <si>
    <t>Endereço do serviço STD</t>
  </si>
  <si>
    <t>Serviço:  divergencias/lote/protocolo</t>
  </si>
  <si>
    <t>HOMOLOGAÇÃO</t>
  </si>
  <si>
    <t>https://hsagapr01/GetRestApi/dist/#/DivergenciaResource/receberLoteDivergenciaProtocolo</t>
  </si>
  <si>
    <t>DESENVOLVIMENTO</t>
  </si>
  <si>
    <t>https://v131d027:7503/GetRestApi/dist/#/DivergenciaResource/receberLoteDivergenciaProtocolo</t>
  </si>
  <si>
    <t xml:space="preserve">Usuário: SAGUser 
Senha: SAGUserPWD </t>
  </si>
  <si>
    <t>Executar o serviço do STD simulando a execução do motor de análise de risco com inclusão da divergência 202</t>
  </si>
  <si>
    <t>{
  "listaTarefaDivergencia": [
    {
      "protocolo": "string",
      "divergencias": [
        202
      ],
      "sistemaTarefaIntegracao": "SERVICO_STD",
      "situacaoTarefaIntegracao": "NOVO"
    }
  ]
}</t>
  </si>
  <si>
    <t>No campo protocolo, substituir string pelo protocolo da tarefa</t>
  </si>
  <si>
    <t>Executar o serviço do STD simulando a execução do motor de análise de risco sem a inclusão da divergência 202</t>
  </si>
  <si>
    <t>{
  "listaTarefaDivergencia": [
    {
      "protocolo": "string",
      "divergencias": [
      ],
      "sistemaTarefaIntegracao": "SERVICO_STD",
      "situacaoTarefaIntegracao": "NOVO"
    }
  ]
}</t>
  </si>
  <si>
    <t>CPF do Interessado</t>
  </si>
  <si>
    <t>CPF - Amb. Desenvolvimento</t>
  </si>
  <si>
    <t>X</t>
  </si>
  <si>
    <t>01565614178</t>
  </si>
  <si>
    <t>Carol</t>
  </si>
  <si>
    <t>00524207364</t>
  </si>
  <si>
    <t>27112510635</t>
  </si>
  <si>
    <t xml:space="preserve">Maurício </t>
  </si>
  <si>
    <t>04764682303</t>
  </si>
  <si>
    <t>50745214320</t>
  </si>
  <si>
    <t>60560100400</t>
  </si>
  <si>
    <t>06176146364</t>
  </si>
  <si>
    <t>83665762804</t>
  </si>
  <si>
    <t>Orlando tem pro anterior</t>
  </si>
  <si>
    <t>Wanei (cancelei o req anterior)</t>
  </si>
  <si>
    <t>Requerente Empregado com CNPJ COM DUT</t>
  </si>
  <si>
    <t>CNPJ</t>
  </si>
  <si>
    <t>DUT</t>
  </si>
  <si>
    <t>10000002658</t>
  </si>
  <si>
    <t>11.410.703/0001-04</t>
  </si>
  <si>
    <t>10000002739</t>
  </si>
  <si>
    <t>10000002810</t>
  </si>
  <si>
    <t>10000002909</t>
  </si>
  <si>
    <t>10000003034</t>
  </si>
  <si>
    <t>10000003115</t>
  </si>
  <si>
    <t>10000003204</t>
  </si>
  <si>
    <t>10000003387</t>
  </si>
  <si>
    <t>10000003468</t>
  </si>
  <si>
    <t>10000003549</t>
  </si>
  <si>
    <t>10000003620</t>
  </si>
  <si>
    <t>Requerente Empregado com CNPJ SEM DUT</t>
  </si>
  <si>
    <t>10000007374</t>
  </si>
  <si>
    <t>10000007455</t>
  </si>
  <si>
    <t>10000007536</t>
  </si>
  <si>
    <t>10000007617</t>
  </si>
  <si>
    <t>10000007706</t>
  </si>
  <si>
    <t>10000007889</t>
  </si>
  <si>
    <t>10000007960</t>
  </si>
  <si>
    <t>10000008001</t>
  </si>
  <si>
    <t>CPF que aceita apenas BI: PRESENCIAL</t>
  </si>
  <si>
    <t>CPF que aceita apenas BI: ATESTMED</t>
  </si>
  <si>
    <t>CPF que aceita BI: PRESENCIAL e ATESTMED</t>
  </si>
  <si>
    <t>CPF que NÃO aceita BI: nem PRESENCIAL nem ATESMED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</si>
</sst>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3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Arial"/>
      <family val="2"/>
    </font>
    <font>
      <b/>
      <sz val="12"/>
      <color rgb="FF000000"/>
      <name val="Arial"/>
      <family val="2"/>
    </font>
    <font>
      <sz val="12"/>
      <color theme="1"/>
      <name val="Calibri"/>
      <family val="2"/>
    </font>
    <font>
      <sz val="8"/>
      <color theme="1"/>
      <name val="Calibri"/>
      <family val="2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2"/>
      <color rgb="FF546E7A"/>
      <name val="Helvetica Neue"/>
      <charset val="1"/>
    </font>
    <font>
      <sz val="11"/>
      <color rgb="FF000000"/>
      <name val="Aptos Narrow"/>
      <family val="2"/>
    </font>
    <font>
      <strike/>
      <sz val="11"/>
      <color rgb="FF000000"/>
      <name val="Aptos Narrow"/>
      <family val="2"/>
    </font>
    <font>
      <strike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A6A6A6"/>
      <name val="Calibri"/>
      <scheme val="minor"/>
    </font>
    <font>
      <sz val="11"/>
      <color rgb="FFFF0000"/>
      <name val="Calibri"/>
      <scheme val="minor"/>
    </font>
    <font>
      <sz val="11"/>
      <color rgb="FF000000"/>
      <name val="Calibri"/>
      <charset val="1"/>
    </font>
    <font>
      <b/>
      <sz val="11"/>
      <color rgb="FFFF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theme="4" tint="0.3999755851924192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18">
    <xf numFmtId="0" fontId="0" fillId="0" borderId="0" xfId="0"/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1" xfId="0" quotePrefix="1" applyFont="1" applyBorder="1" applyAlignment="1">
      <alignment horizontal="left" vertical="center" wrapText="1"/>
    </xf>
    <xf numFmtId="0" fontId="9" fillId="0" borderId="1" xfId="1" applyBorder="1" applyAlignment="1">
      <alignment horizontal="left" vertical="center" wrapText="1"/>
    </xf>
    <xf numFmtId="0" fontId="9" fillId="0" borderId="1" xfId="1" applyFill="1" applyBorder="1" applyAlignment="1">
      <alignment horizontal="left" vertical="center" wrapText="1"/>
    </xf>
    <xf numFmtId="0" fontId="10" fillId="0" borderId="1" xfId="0" quotePrefix="1" applyFont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14" fontId="0" fillId="4" borderId="1" xfId="0" applyNumberFormat="1" applyFill="1" applyBorder="1" applyAlignment="1" applyProtection="1">
      <alignment horizontal="center" vertical="center" wrapText="1"/>
      <protection locked="0"/>
    </xf>
    <xf numFmtId="0" fontId="0" fillId="4" borderId="1" xfId="0" applyFill="1" applyBorder="1" applyAlignment="1" applyProtection="1">
      <alignment horizontal="center" vertical="center" wrapText="1"/>
      <protection locked="0"/>
    </xf>
    <xf numFmtId="0" fontId="0" fillId="4" borderId="1" xfId="0" applyFill="1" applyBorder="1" applyAlignment="1" applyProtection="1">
      <alignment horizontal="left" vertical="center" wrapText="1"/>
      <protection locked="0"/>
    </xf>
    <xf numFmtId="0" fontId="0" fillId="4" borderId="5" xfId="0" applyFill="1" applyBorder="1" applyAlignment="1" applyProtection="1">
      <alignment horizontal="left" vertical="center" wrapText="1"/>
      <protection locked="0"/>
    </xf>
    <xf numFmtId="0" fontId="0" fillId="5" borderId="8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left" vertical="center" wrapText="1"/>
    </xf>
    <xf numFmtId="14" fontId="0" fillId="4" borderId="6" xfId="0" applyNumberFormat="1" applyFill="1" applyBorder="1" applyAlignment="1" applyProtection="1">
      <alignment horizontal="center" vertical="center" wrapText="1"/>
      <protection locked="0"/>
    </xf>
    <xf numFmtId="0" fontId="0" fillId="4" borderId="6" xfId="0" applyFill="1" applyBorder="1" applyAlignment="1" applyProtection="1">
      <alignment horizontal="center" vertical="center" wrapText="1"/>
      <protection locked="0"/>
    </xf>
    <xf numFmtId="0" fontId="0" fillId="4" borderId="6" xfId="0" applyFill="1" applyBorder="1" applyAlignment="1" applyProtection="1">
      <alignment horizontal="left" vertical="center" wrapText="1"/>
      <protection locked="0"/>
    </xf>
    <xf numFmtId="0" fontId="0" fillId="4" borderId="7" xfId="0" applyFill="1" applyBorder="1" applyAlignment="1" applyProtection="1">
      <alignment horizontal="left" vertical="center" wrapText="1"/>
      <protection locked="0"/>
    </xf>
    <xf numFmtId="0" fontId="11" fillId="3" borderId="0" xfId="0" applyFont="1" applyFill="1" applyAlignment="1">
      <alignment horizontal="center"/>
    </xf>
    <xf numFmtId="0" fontId="15" fillId="0" borderId="0" xfId="1" applyFont="1"/>
    <xf numFmtId="0" fontId="10" fillId="0" borderId="0" xfId="1" applyFont="1"/>
    <xf numFmtId="0" fontId="11" fillId="0" borderId="0" xfId="1" applyFont="1" applyAlignment="1">
      <alignment wrapText="1"/>
    </xf>
    <xf numFmtId="0" fontId="9" fillId="0" borderId="0" xfId="1"/>
    <xf numFmtId="0" fontId="16" fillId="0" borderId="0" xfId="0" applyFont="1" applyAlignment="1">
      <alignment horizontal="left" wrapText="1"/>
    </xf>
    <xf numFmtId="0" fontId="17" fillId="0" borderId="0" xfId="0" applyFont="1" applyAlignment="1">
      <alignment horizontal="left"/>
    </xf>
    <xf numFmtId="0" fontId="15" fillId="6" borderId="0" xfId="0" applyFont="1" applyFill="1"/>
    <xf numFmtId="0" fontId="18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19" fillId="0" borderId="0" xfId="0" applyFont="1" applyAlignment="1">
      <alignment horizontal="center"/>
    </xf>
    <xf numFmtId="0" fontId="15" fillId="6" borderId="0" xfId="0" applyFont="1" applyFill="1" applyAlignment="1">
      <alignment horizontal="center"/>
    </xf>
    <xf numFmtId="49" fontId="20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15" fillId="6" borderId="0" xfId="0" applyFont="1" applyFill="1" applyAlignment="1">
      <alignment horizontal="left"/>
    </xf>
    <xf numFmtId="0" fontId="15" fillId="6" borderId="0" xfId="0" applyFont="1" applyFill="1" applyAlignment="1">
      <alignment horizontal="left" indent="1"/>
    </xf>
    <xf numFmtId="0" fontId="0" fillId="0" borderId="0" xfId="0" applyAlignment="1">
      <alignment horizontal="left"/>
    </xf>
    <xf numFmtId="0" fontId="11" fillId="0" borderId="0" xfId="0" applyFont="1" applyAlignment="1">
      <alignment horizontal="center"/>
    </xf>
    <xf numFmtId="14" fontId="21" fillId="0" borderId="0" xfId="0" applyNumberFormat="1" applyFont="1" applyAlignment="1">
      <alignment horizontal="center"/>
    </xf>
    <xf numFmtId="164" fontId="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6" fillId="0" borderId="0" xfId="0" applyFont="1" applyProtection="1">
      <protection locked="0"/>
    </xf>
    <xf numFmtId="164" fontId="4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7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vertical="center"/>
      <protection locked="0"/>
    </xf>
    <xf numFmtId="0" fontId="5" fillId="2" borderId="4" xfId="0" applyFont="1" applyFill="1" applyBorder="1" applyAlignment="1" applyProtection="1">
      <alignment vertical="center"/>
      <protection locked="0"/>
    </xf>
    <xf numFmtId="0" fontId="0" fillId="7" borderId="0" xfId="0" applyFill="1"/>
    <xf numFmtId="0" fontId="22" fillId="0" borderId="0" xfId="0" applyFont="1" applyAlignment="1">
      <alignment horizontal="center"/>
    </xf>
    <xf numFmtId="0" fontId="23" fillId="0" borderId="0" xfId="0" applyFont="1"/>
    <xf numFmtId="0" fontId="6" fillId="4" borderId="6" xfId="0" applyFont="1" applyFill="1" applyBorder="1" applyAlignment="1" applyProtection="1">
      <alignment horizontal="left" vertical="center" wrapText="1"/>
      <protection locked="0"/>
    </xf>
    <xf numFmtId="0" fontId="0" fillId="5" borderId="1" xfId="0" applyFill="1" applyBorder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5" fillId="2" borderId="3" xfId="0" applyFont="1" applyFill="1" applyBorder="1" applyAlignment="1">
      <alignment horizontal="right" vertical="center"/>
    </xf>
    <xf numFmtId="0" fontId="0" fillId="5" borderId="6" xfId="0" applyFill="1" applyBorder="1" applyAlignment="1">
      <alignment horizontal="right" vertical="center" wrapText="1"/>
    </xf>
    <xf numFmtId="0" fontId="6" fillId="4" borderId="1" xfId="0" applyFont="1" applyFill="1" applyBorder="1" applyAlignment="1" applyProtection="1">
      <alignment horizontal="left" vertical="center" wrapText="1"/>
      <protection locked="0"/>
    </xf>
    <xf numFmtId="0" fontId="0" fillId="4" borderId="6" xfId="0" quotePrefix="1" applyFill="1" applyBorder="1" applyAlignment="1" applyProtection="1">
      <alignment horizontal="left" vertical="center" wrapText="1"/>
      <protection locked="0"/>
    </xf>
    <xf numFmtId="0" fontId="0" fillId="4" borderId="9" xfId="0" applyFill="1" applyBorder="1" applyAlignment="1">
      <alignment horizontal="center" vertical="center" wrapText="1"/>
    </xf>
    <xf numFmtId="0" fontId="0" fillId="0" borderId="6" xfId="0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left" vertical="center" wrapText="1"/>
      <protection locked="0"/>
    </xf>
    <xf numFmtId="164" fontId="0" fillId="0" borderId="6" xfId="0" applyNumberForma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left" vertical="center" wrapText="1"/>
      <protection locked="0"/>
    </xf>
    <xf numFmtId="0" fontId="0" fillId="0" borderId="7" xfId="0" applyBorder="1" applyAlignment="1" applyProtection="1">
      <alignment horizontal="left" vertical="center" wrapText="1"/>
      <protection locked="0"/>
    </xf>
    <xf numFmtId="14" fontId="0" fillId="4" borderId="6" xfId="0" applyNumberFormat="1" applyFill="1" applyBorder="1" applyAlignment="1" applyProtection="1">
      <alignment horizontal="left" vertical="center" wrapText="1"/>
      <protection locked="0"/>
    </xf>
    <xf numFmtId="1" fontId="0" fillId="0" borderId="6" xfId="0" applyNumberFormat="1" applyBorder="1" applyAlignment="1" applyProtection="1">
      <alignment horizontal="left" vertical="center" wrapText="1"/>
      <protection locked="0"/>
    </xf>
    <xf numFmtId="1" fontId="0" fillId="0" borderId="0" xfId="0" applyNumberFormat="1" applyProtection="1">
      <protection locked="0"/>
    </xf>
    <xf numFmtId="1" fontId="4" fillId="0" borderId="0" xfId="0" applyNumberFormat="1" applyFont="1" applyProtection="1">
      <protection locked="0"/>
    </xf>
    <xf numFmtId="1" fontId="5" fillId="2" borderId="3" xfId="0" applyNumberFormat="1" applyFont="1" applyFill="1" applyBorder="1" applyAlignment="1" applyProtection="1">
      <alignment vertical="center"/>
      <protection locked="0"/>
    </xf>
    <xf numFmtId="0" fontId="28" fillId="0" borderId="0" xfId="0" applyFont="1" applyAlignment="1">
      <alignment horizontal="center" vertical="center"/>
    </xf>
    <xf numFmtId="0" fontId="24" fillId="4" borderId="1" xfId="0" applyFont="1" applyFill="1" applyBorder="1" applyAlignment="1" applyProtection="1">
      <alignment horizontal="left" vertical="center" wrapText="1"/>
      <protection locked="0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locked="0"/>
    </xf>
    <xf numFmtId="0" fontId="15" fillId="6" borderId="0" xfId="0" applyFont="1" applyFill="1" applyAlignment="1">
      <alignment horizontal="left" wrapText="1"/>
    </xf>
    <xf numFmtId="0" fontId="15" fillId="6" borderId="0" xfId="0" applyFont="1" applyFill="1" applyAlignment="1">
      <alignment horizontal="left"/>
    </xf>
    <xf numFmtId="0" fontId="15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1" fillId="4" borderId="6" xfId="0" applyFont="1" applyFill="1" applyBorder="1" applyAlignment="1" applyProtection="1">
      <alignment horizontal="left" vertical="center" wrapText="1"/>
      <protection locked="0"/>
    </xf>
  </cellXfs>
  <cellStyles count="2">
    <cellStyle name="Hyperlink" xfId="1" xr:uid="{67B0A031-33AB-409A-9309-AA26B91177CC}"/>
    <cellStyle name="Normal" xfId="0" builtinId="0"/>
  </cellStyles>
  <dxfs count="375"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numFmt numFmtId="164" formatCode="dd/mm/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border outline="0">
        <top style="dotted">
          <color auto="1"/>
        </top>
      </border>
    </dxf>
    <dxf>
      <border outline="0">
        <bottom style="dotted">
          <color auto="1"/>
        </bottom>
      </border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  <protection locked="0" hidden="0"/>
    </dxf>
    <dxf>
      <fill>
        <patternFill>
          <bgColor theme="9" tint="0.79998168889431442"/>
        </patternFill>
      </fill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border outline="0">
        <top style="dotted">
          <color auto="1"/>
        </top>
      </border>
    </dxf>
    <dxf>
      <border outline="0">
        <bottom style="dotted">
          <color auto="1"/>
        </bottom>
      </border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</border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righ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border outline="0">
        <top style="dotted">
          <color auto="1"/>
        </top>
      </border>
    </dxf>
    <dxf>
      <border outline="0">
        <bottom style="dotted">
          <color auto="1"/>
        </bottom>
      </border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</border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border outline="0">
        <top style="dotted">
          <color auto="1"/>
        </top>
      </border>
    </dxf>
    <dxf>
      <border outline="0">
        <bottom style="dotted">
          <color auto="1"/>
        </bottom>
      </border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</border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border outline="0">
        <top style="dotted">
          <color auto="1"/>
        </top>
      </border>
    </dxf>
    <dxf>
      <border outline="0">
        <bottom style="dotted">
          <color auto="1"/>
        </bottom>
      </border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</border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border outline="0">
        <top style="dotted">
          <color auto="1"/>
        </top>
      </border>
    </dxf>
    <dxf>
      <border outline="0">
        <bottom style="dotted">
          <color auto="1"/>
        </bottom>
      </border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</border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border outline="0">
        <top style="dotted">
          <color auto="1"/>
        </top>
      </border>
    </dxf>
    <dxf>
      <border outline="0">
        <bottom style="dotted">
          <color auto="1"/>
        </bottom>
      </border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</border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border outline="0">
        <top style="dotted">
          <color auto="1"/>
        </top>
      </border>
    </dxf>
    <dxf>
      <border outline="0">
        <bottom style="dotted">
          <color auto="1"/>
        </bottom>
      </border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</border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/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  <vertical/>
        <horizontal/>
      </border>
      <protection locked="0" hidden="0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border outline="0">
        <top style="dotted">
          <color auto="1"/>
        </top>
      </border>
    </dxf>
    <dxf>
      <border outline="0">
        <bottom style="dotted">
          <color auto="1"/>
        </bottom>
      </border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</border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/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  <vertical/>
        <horizontal/>
      </border>
      <protection locked="0" hidden="0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border outline="0">
        <top style="dotted">
          <color auto="1"/>
        </top>
      </border>
    </dxf>
    <dxf>
      <border outline="0">
        <bottom style="dotted">
          <color auto="1"/>
        </bottom>
      </border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</border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border outline="0">
        <top style="dotted">
          <color auto="1"/>
        </top>
      </border>
    </dxf>
    <dxf>
      <border outline="0">
        <bottom style="dotted">
          <color auto="1"/>
        </bottom>
      </border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</border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border outline="0">
        <top style="dotted">
          <color auto="1"/>
        </top>
      </border>
    </dxf>
    <dxf>
      <border outline="0">
        <bottom style="dotted">
          <color auto="1"/>
        </bottom>
      </border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1"/>
      </font>
      <fill>
        <patternFill>
          <bgColor rgb="FFFFD966"/>
        </patternFill>
      </fill>
    </dxf>
    <dxf>
      <font>
        <b/>
        <i val="0"/>
        <color theme="1"/>
      </font>
      <fill>
        <patternFill>
          <bgColor rgb="FFFE7676"/>
        </patternFill>
      </fill>
    </dxf>
    <dxf>
      <font>
        <b/>
        <i val="0"/>
        <color theme="1"/>
      </font>
      <fill>
        <patternFill>
          <bgColor rgb="FFFE7676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1"/>
      </font>
      <fill>
        <patternFill>
          <bgColor rgb="FFFFD966"/>
        </patternFill>
      </fill>
    </dxf>
    <dxf>
      <font>
        <b/>
        <i val="0"/>
        <color theme="1"/>
      </font>
      <fill>
        <patternFill>
          <bgColor rgb="FFFE7676"/>
        </patternFill>
      </fill>
    </dxf>
    <dxf>
      <font>
        <b/>
        <i val="0"/>
        <color theme="1"/>
      </font>
      <fill>
        <patternFill>
          <bgColor rgb="FFFE7676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strike val="0"/>
        <outline val="0"/>
        <shadow val="0"/>
        <vertAlign val="baseline"/>
        <sz val="10"/>
      </font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strike val="0"/>
        <outline val="0"/>
        <shadow val="0"/>
        <vertAlign val="baseline"/>
        <sz val="10"/>
      </font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strike val="0"/>
        <outline val="0"/>
        <shadow val="0"/>
        <vertAlign val="baseline"/>
        <sz val="10"/>
      </font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strike val="0"/>
        <outline val="0"/>
        <shadow val="0"/>
        <vertAlign val="baseline"/>
        <sz val="10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strike val="0"/>
        <outline val="0"/>
        <shadow val="0"/>
        <vertAlign val="baseline"/>
        <sz val="10"/>
      </font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strike val="0"/>
        <outline val="0"/>
        <shadow val="0"/>
        <vertAlign val="baseline"/>
        <sz val="10"/>
      </font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strike val="0"/>
        <outline val="0"/>
        <shadow val="0"/>
        <vertAlign val="baseline"/>
        <sz val="10"/>
      </font>
      <alignment horizontal="left" vertical="center" textRotation="0" wrapText="1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strike val="0"/>
        <outline val="0"/>
        <shadow val="0"/>
        <vertAlign val="baseline"/>
        <sz val="10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bottom style="dotted">
          <color auto="1"/>
        </bottom>
      </border>
    </dxf>
    <dxf>
      <font>
        <strike val="0"/>
        <outline val="0"/>
        <shadow val="0"/>
        <vertAlign val="baseline"/>
        <sz val="10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 style="dotted">
          <color auto="1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0" hidden="0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  <protection locked="0" hidden="0"/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border outline="0">
        <top style="dotted">
          <color auto="1"/>
        </top>
      </border>
    </dxf>
    <dxf>
      <border outline="0">
        <bottom style="dotted">
          <color auto="1"/>
        </bottom>
      </border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</border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auto="1"/>
      </font>
      <fill>
        <patternFill>
          <bgColor rgb="FFFE7676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E7676"/>
      <color rgb="FFFFD966"/>
      <color rgb="FFFE8686"/>
      <color rgb="FFFD41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23</xdr:row>
      <xdr:rowOff>0</xdr:rowOff>
    </xdr:from>
    <xdr:to>
      <xdr:col>23</xdr:col>
      <xdr:colOff>304800</xdr:colOff>
      <xdr:row>23</xdr:row>
      <xdr:rowOff>542925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E3DA3E7-B33F-3135-9F1C-CDA9F2296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08675" y="43414950"/>
          <a:ext cx="4572000" cy="54292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23</xdr:col>
      <xdr:colOff>304800</xdr:colOff>
      <xdr:row>24</xdr:row>
      <xdr:rowOff>1295400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B941A1E-15DE-CDAE-7050-9FC545120369}"/>
            </a:ext>
            <a:ext uri="{147F2762-F138-4A5C-976F-8EAC2B608ADB}">
              <a16:predDERef xmlns:a16="http://schemas.microsoft.com/office/drawing/2014/main" pred="{8E3DA3E7-B33F-3135-9F1C-CDA9F2296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308675" y="44510325"/>
          <a:ext cx="4572000" cy="1295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32</xdr:row>
      <xdr:rowOff>0</xdr:rowOff>
    </xdr:from>
    <xdr:to>
      <xdr:col>27</xdr:col>
      <xdr:colOff>85725</xdr:colOff>
      <xdr:row>32</xdr:row>
      <xdr:rowOff>2914650</xdr:rowOff>
    </xdr:to>
    <xdr:pic>
      <xdr:nvPicPr>
        <xdr:cNvPr id="9" name="Imagem 2">
          <a:extLst>
            <a:ext uri="{FF2B5EF4-FFF2-40B4-BE49-F238E27FC236}">
              <a16:creationId xmlns:a16="http://schemas.microsoft.com/office/drawing/2014/main" id="{5311CD0F-4D60-4F08-80F0-943D6A61EF79}"/>
            </a:ext>
            <a:ext uri="{147F2762-F138-4A5C-976F-8EAC2B608ADB}">
              <a16:predDERef xmlns:a16="http://schemas.microsoft.com/office/drawing/2014/main" pred="{55AA764D-91FE-12E1-95DB-30F02DF38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70225" y="52825650"/>
          <a:ext cx="6791325" cy="291465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31</xdr:col>
      <xdr:colOff>314325</xdr:colOff>
      <xdr:row>9</xdr:row>
      <xdr:rowOff>1343025</xdr:rowOff>
    </xdr:to>
    <xdr:pic>
      <xdr:nvPicPr>
        <xdr:cNvPr id="5" name="Imagem 1">
          <a:extLst>
            <a:ext uri="{FF2B5EF4-FFF2-40B4-BE49-F238E27FC236}">
              <a16:creationId xmlns:a16="http://schemas.microsoft.com/office/drawing/2014/main" id="{09C4E132-9069-4CBF-A036-4D55DCB73261}"/>
            </a:ext>
            <a:ext uri="{147F2762-F138-4A5C-976F-8EAC2B608ADB}">
              <a16:predDERef xmlns:a16="http://schemas.microsoft.com/office/drawing/2014/main" pred="{5311CD0F-4D60-4F08-80F0-943D6A61E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98575" y="4638675"/>
          <a:ext cx="9458325" cy="13430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154D282-B2AC-480A-83F1-6B151C9B3A3B}" name="homologador0" displayName="homologador0" ref="B7:P200" totalsRowShown="0" headerRowDxfId="367" dataDxfId="366" headerRowBorderDxfId="364" tableBorderDxfId="365" totalsRowBorderDxfId="363">
  <autoFilter ref="B7:P200" xr:uid="{2A9A6787-7B0C-4CC0-B98E-8516F35BBC20}"/>
  <tableColumns count="15">
    <tableColumn id="1" xr3:uid="{CD6ECAEE-66B3-420F-B518-A6B46751B3A1}" name="#" dataDxfId="362">
      <calculatedColumnFormula>IF(ISERR(casostestes[[#This Row],[ID]]),"-",casostestes[[#This Row],[ID]])</calculatedColumnFormula>
    </tableColumn>
    <tableColumn id="2" xr3:uid="{BB1F65E5-D895-4388-9FEF-11BA8AF13C40}" name="LIBERADO" dataDxfId="361">
      <calculatedColumnFormula>IFERROR(IF(VLOOKUP($B8,casostestes[#Data],10)=0,"Não",VLOOKUP($B8,casostestes[#Data],10)), "-")</calculatedColumnFormula>
    </tableColumn>
    <tableColumn id="15" xr3:uid="{A1E537FB-412D-45DA-9439-503E1F29A5AC}" name="MACROPROCESSO" dataDxfId="360">
      <calculatedColumnFormula>IFERROR(IF(VLOOKUP($B8,casostestes[#Data],2)=0,"-",VLOOKUP($B8,casostestes[#Data],2)), "-")</calculatedColumnFormula>
    </tableColumn>
    <tableColumn id="3" xr3:uid="{F0AD07FB-7FC0-478A-8E61-11D7CB6D0F7B}" name="CASO DE TESTE" dataDxfId="359">
      <calculatedColumnFormula>IFERROR(IF(VLOOKUP($B8,casostestes[#Data],3)=0,"-",VLOOKUP($B8,casostestes[#Data],3)), "-")</calculatedColumnFormula>
    </tableColumn>
    <tableColumn id="4" xr3:uid="{E522F20A-CF8F-43F5-BDD8-6D5C17B75A96}" name="CANAL" dataDxfId="358">
      <calculatedColumnFormula>IFERROR(IF(VLOOKUP($B8,casostestes[#Data],4)=0,"-",VLOOKUP($B8,casostestes[#Data],4)),"-")</calculatedColumnFormula>
    </tableColumn>
    <tableColumn id="5" xr3:uid="{CB19B151-6186-4C9B-8391-96DB1E79F332}" name="PAPEL" dataDxfId="357">
      <calculatedColumnFormula>IFERROR(IF(VLOOKUP($B8,casostestes[#Data],5)=0,"-",VLOOKUP($B8,casostestes[#Data],5)),"-")</calculatedColumnFormula>
    </tableColumn>
    <tableColumn id="6" xr3:uid="{14CD8158-101E-4D64-8C31-AA5FEC25F48D}" name="FLUXO" dataDxfId="356">
      <calculatedColumnFormula>IFERROR(IF(VLOOKUP($B8,casostestes[#Data],6)=0,"-",VLOOKUP($B8,casostestes[#Data],6)),"-")</calculatedColumnFormula>
    </tableColumn>
    <tableColumn id="8" xr3:uid="{5AA1DD0C-8F31-4236-A2AB-089CDD8DE3AA}" name="PARÂMETROS" dataDxfId="355">
      <calculatedColumnFormula>IFERROR(IF(VLOOKUP($B8,casostestes[#Data],8)=0,"-",VLOOKUP($B8,casostestes[#Data],8)),"-")</calculatedColumnFormula>
    </tableColumn>
    <tableColumn id="9" xr3:uid="{9D4089F3-4B43-4ACD-B6AD-7E9909EB8E5D}" name="RESULTADO ESPERADO" dataDxfId="354">
      <calculatedColumnFormula>IFERROR(IF(VLOOKUP($B8,casostestes[#Data],9)=0,"-",VLOOKUP($B8,casostestes[#Data],9)),"-")</calculatedColumnFormula>
    </tableColumn>
    <tableColumn id="10" xr3:uid="{86653CCC-A4F3-4277-A690-E16C8F3E7B75}" name="DATA EXECUÇÃO" dataDxfId="353"/>
    <tableColumn id="16" xr3:uid="{DFB2FB32-E6E4-45EF-B36E-4F7DFD9E754F}" name="MASSA" dataDxfId="352"/>
    <tableColumn id="11" xr3:uid="{7E37877D-16C5-4D3C-AC1C-B0CEE77B8FF2}" name="STATUS CT" dataDxfId="351"/>
    <tableColumn id="12" xr3:uid="{819922A2-32D1-4EF4-952A-CC464AD0B2AF}" name="RESULTADO ENCONTRADO" dataDxfId="350"/>
    <tableColumn id="13" xr3:uid="{F480B946-9132-4D43-8F60-BBCDBE45D259}" name="ANÁLISE DATAPREV" dataDxfId="349"/>
    <tableColumn id="14" xr3:uid="{74B7411B-D1B8-4F2A-BED4-C92ED4E65BD0}" name="MELHORIAS" dataDxfId="34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7B9803-20C2-4012-A62D-71A850C42163}" name="canal" displayName="canal" ref="B2:B7" totalsRowShown="0" headerRowDxfId="347">
  <autoFilter ref="B2:B7" xr:uid="{667B9803-20C2-4012-A62D-71A850C42163}"/>
  <sortState xmlns:xlrd2="http://schemas.microsoft.com/office/spreadsheetml/2017/richdata2" ref="B3:B7">
    <sortCondition ref="B3:B7"/>
  </sortState>
  <tableColumns count="1">
    <tableColumn id="1" xr3:uid="{3568C795-D633-4A28-BDAE-801D2BBDF435}" name="CAN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E411D3-0268-4CFD-8201-8AE491BD441B}" name="papel" displayName="papel" ref="D2:D7" totalsRowShown="0" headerRowDxfId="346">
  <autoFilter ref="D2:D7" xr:uid="{CCE411D3-0268-4CFD-8201-8AE491BD441B}"/>
  <sortState xmlns:xlrd2="http://schemas.microsoft.com/office/spreadsheetml/2017/richdata2" ref="D3:D7">
    <sortCondition ref="D3:D7"/>
  </sortState>
  <tableColumns count="1">
    <tableColumn id="1" xr3:uid="{538505A6-835C-461D-B552-ECA308062349}" name="PAP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0CE75F-0225-4346-8CBD-C83890D9D061}" name="status" displayName="status" ref="F2:F9" totalsRowShown="0" headerRowDxfId="345">
  <autoFilter ref="F2:F9" xr:uid="{060CE75F-0225-4346-8CBD-C83890D9D061}"/>
  <tableColumns count="1">
    <tableColumn id="1" xr3:uid="{459CBFA2-FFAD-4449-9186-B908147732BB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02B4F6-334A-437C-A117-378D0D3F7E07}" name="macroprocesso" displayName="macroprocesso" ref="H2:H4" totalsRowShown="0" headerRowDxfId="344">
  <autoFilter ref="H2:H4" xr:uid="{1C02B4F6-334A-437C-A117-378D0D3F7E07}"/>
  <tableColumns count="1">
    <tableColumn id="1" xr3:uid="{1A3D6E73-0380-4999-9715-E6943610BA26}" name="MACROPROCESS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E694CFF-CE18-4AF1-BF40-CC3B3CB304D0}" name="homologadores" displayName="homologadores" ref="J2:J4" totalsRowShown="0" headerRowDxfId="343">
  <autoFilter ref="J2:J4" xr:uid="{1E694CFF-CE18-4AF1-BF40-CC3B3CB304D0}"/>
  <sortState xmlns:xlrd2="http://schemas.microsoft.com/office/spreadsheetml/2017/richdata2" ref="J3:J4">
    <sortCondition ref="J3:J4"/>
  </sortState>
  <tableColumns count="1">
    <tableColumn id="1" xr3:uid="{7B8EB557-0545-4751-AC24-4FAC7C6E2BF6}" name="HOMOLOGADOR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20BA78-50EB-4027-987F-5D36DFB2AC61}" name="casostestes" displayName="casostestes" ref="B7:L34" totalsRowShown="0" headerRowDxfId="342" dataDxfId="341" headerRowBorderDxfId="340">
  <tableColumns count="11">
    <tableColumn id="1" xr3:uid="{D0EB34F0-228A-4DA3-8F50-658F31857596}" name="ID" dataDxfId="339">
      <calculatedColumnFormula>IF(B7="ID",1,B7+1)</calculatedColumnFormula>
    </tableColumn>
    <tableColumn id="2" xr3:uid="{3B7B72C8-9DED-4116-9AD8-068217BA72DD}" name="MACROPROCESSO" dataDxfId="338"/>
    <tableColumn id="11" xr3:uid="{9E29CDB8-0058-4D93-917D-61551EB0CA18}" name="CASO DE TESTE" dataDxfId="337"/>
    <tableColumn id="3" xr3:uid="{472C9E90-65CD-4B11-9A5F-5EB1937E4FFA}" name="CANAL" dataDxfId="336"/>
    <tableColumn id="4" xr3:uid="{59656E50-12E3-46C3-A13A-26951B1820C9}" name="PAPEL" dataDxfId="335"/>
    <tableColumn id="5" xr3:uid="{AEA2FAED-7D2E-4293-BBCA-79ED6EEA32D0}" name="FLUXO" dataDxfId="334"/>
    <tableColumn id="6" xr3:uid="{DC862479-F96A-4489-B754-E460AC31CD87}" name="MASSA" dataDxfId="333" dataCellStyle="Hyperlink"/>
    <tableColumn id="7" xr3:uid="{AEBD9D93-3FD7-4DA9-A8E3-765EAB74169E}" name="PARAMETROS" dataDxfId="332"/>
    <tableColumn id="8" xr3:uid="{E5DC80E1-82D1-44C1-A569-B12CF2AC255A}" name="RESULTADO ESPERADO" dataDxfId="331"/>
    <tableColumn id="9" xr3:uid="{35CD6638-BA69-4411-9508-669D88717D8A}" name="LIBERADO" dataDxfId="330"/>
    <tableColumn id="10" xr3:uid="{FE7FD030-91DD-4BDD-8D25-29CA6181C222}" name="ASSUNTO" dataDxfId="32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3054896-3973-41B0-A9B7-C83E1139C30E}" name="acompanhamento" displayName="acompanhamento" ref="B7:R183" totalsRowShown="0" headerRowDxfId="314" dataDxfId="313" headerRowBorderDxfId="311" tableBorderDxfId="312" totalsRowBorderDxfId="310">
  <autoFilter ref="B7:R183" xr:uid="{2A9A6787-7B0C-4CC0-B98E-8516F35BBC20}"/>
  <tableColumns count="17">
    <tableColumn id="1" xr3:uid="{41A2E911-901C-4618-AC32-03DC8F3FD114}" name="#" dataDxfId="309">
      <calculatedColumnFormula>IF(ISERR(casostestes[[#This Row],[ID]]),"-",casostestes[[#This Row],[ID]])</calculatedColumnFormula>
    </tableColumn>
    <tableColumn id="2" xr3:uid="{EC289FC3-E912-4EAA-AF37-AE31E44ECA51}" name="LIBERADO" dataDxfId="308">
      <calculatedColumnFormula>IFERROR(IF(VLOOKUP($B8,casostestes[#Data],10)=0,"Não",VLOOKUP($B8,casostestes[#Data],10)), "-")</calculatedColumnFormula>
    </tableColumn>
    <tableColumn id="15" xr3:uid="{EA9203C0-2341-429D-AABC-37A1AC8F3B7C}" name="MACROPROCESSO" dataDxfId="307">
      <calculatedColumnFormula>IFERROR(IF(VLOOKUP($B8,casostestes[#Data],2)=0,"-",VLOOKUP($B8,casostestes[#Data],2)), "-")</calculatedColumnFormula>
    </tableColumn>
    <tableColumn id="3" xr3:uid="{480D7095-064A-45B2-917B-796363470AC8}" name="CASO DE TESTE" dataDxfId="306">
      <calculatedColumnFormula>IFERROR(IF(VLOOKUP($B8,casostestes[#Data],3)=0,"-",VLOOKUP($B8,casostestes[#Data],3)), "-")</calculatedColumnFormula>
    </tableColumn>
    <tableColumn id="4" xr3:uid="{EDD6B249-6FC5-4799-85E6-E82AF1EC1DF8}" name="CANAL" dataDxfId="305">
      <calculatedColumnFormula>IFERROR(IF(VLOOKUP($B8,casostestes[#Data],4)=0,"-",VLOOKUP($B8,casostestes[#Data],4)),"-")</calculatedColumnFormula>
    </tableColumn>
    <tableColumn id="5" xr3:uid="{78FEB2C6-3C92-47D2-9F3F-C3F72B6C58EE}" name="PAPEL" dataDxfId="304">
      <calculatedColumnFormula>IFERROR(IF(VLOOKUP($B8,casostestes[#Data],5)=0,"-",VLOOKUP($B8,casostestes[#Data],5)),"-")</calculatedColumnFormula>
    </tableColumn>
    <tableColumn id="6" xr3:uid="{B1EA3B9A-7850-4D73-947B-5046E272051B}" name="FLUXO" dataDxfId="303">
      <calculatedColumnFormula>IFERROR(IF(VLOOKUP($B8,casostestes[#Data],6)=0,"-",VLOOKUP($B8,casostestes[#Data],6)),"-")</calculatedColumnFormula>
    </tableColumn>
    <tableColumn id="8" xr3:uid="{7FE963F4-3C65-4A81-AD27-DAD5197227E7}" name="PARÂMETROS" dataDxfId="302">
      <calculatedColumnFormula>IFERROR(IF(VLOOKUP($B8,casostestes[#Data],8)=0,"-",VLOOKUP($B8,casostestes[#Data],8)),"-")</calculatedColumnFormula>
    </tableColumn>
    <tableColumn id="9" xr3:uid="{587E5940-5792-4B28-AAAA-11176D5FCFB3}" name="RESULTADO ESPERADO" dataDxfId="301">
      <calculatedColumnFormula>IFERROR(IF(VLOOKUP($B8,casostestes[#Data],9)=0,"-",VLOOKUP($B8,casostestes[#Data],9)),"-")</calculatedColumnFormula>
    </tableColumn>
    <tableColumn id="10" xr3:uid="{3F661F5F-EC17-4307-BE7F-86912B85CEC1}" name="Orlando" dataDxfId="300">
      <calculatedColumnFormula>IFERROR(IF(VLOOKUP($B8,orlando[#Data],12)=0,"Não executado",VLOOKUP($B8,orlando[#Data],12)),"Não executado")</calculatedColumnFormula>
    </tableColumn>
    <tableColumn id="13" xr3:uid="{3AEE7F29-CF7F-4DD0-B1CB-84C2F8F586D9}" name="Mauricio" dataDxfId="299">
      <calculatedColumnFormula>IFERROR(IF(VLOOKUP($B8,mauricio[#Data],12)=0,"Não executado",VLOOKUP($B8,mauricio[#Data],12)),"Não executado")</calculatedColumnFormula>
    </tableColumn>
    <tableColumn id="7" xr3:uid="{65786416-864F-4B1A-A22D-78F12E1290DB}" name="Thaisa" dataDxfId="298">
      <calculatedColumnFormula>IFERROR(IF(VLOOKUP($B8,Thaisa[#Data],12)=0,"Não executado",VLOOKUP($B8,Thaisa[#Data],12)),"Não executado")</calculatedColumnFormula>
    </tableColumn>
    <tableColumn id="11" xr3:uid="{A172C10C-900C-49B5-ADE1-C3845C27CBC2}" name="Carlos" dataDxfId="297">
      <calculatedColumnFormula>IFERROR(IF(VLOOKUP($B8,carlos[#Data],12)=0,"Não executado",VLOOKUP($B8,carlos[#Data],12)),"Não executado")</calculatedColumnFormula>
    </tableColumn>
    <tableColumn id="12" xr3:uid="{3108AFD8-8F9B-4B20-A4F8-17365D1FAC3F}" name="Alessandra" dataDxfId="296">
      <calculatedColumnFormula>IFERROR(IF(VLOOKUP($B8,Alessandra[#Data],12)=0,"Não executado",VLOOKUP($B8,Alessandra[#Data],12)),"Não executado")</calculatedColumnFormula>
    </tableColumn>
    <tableColumn id="14" xr3:uid="{4B8FA030-07B4-4FA3-B9BC-333DD65C7492}" name="Ana_Carolina" dataDxfId="295">
      <calculatedColumnFormula>IFERROR(IF(VLOOKUP($B8,AnaCarolina[#Data],12)=0,"Não executado",VLOOKUP($B8,AnaCarolina[#Data],12)),"Não executado")</calculatedColumnFormula>
    </tableColumn>
    <tableColumn id="16" xr3:uid="{ECB5CDCF-0A91-40DF-9F89-55C0962779E7}" name="Wanei" dataDxfId="294">
      <calculatedColumnFormula>IFERROR(IF(VLOOKUP($B8,wanei[#Data],12)=0,"Não executado",VLOOKUP($B8,wanei[#Data],12)),"Não executado")</calculatedColumnFormula>
    </tableColumn>
    <tableColumn id="17" xr3:uid="{22E731CB-2DBF-4842-81C8-82680166C293}" name="Janaina" dataDxfId="293">
      <calculatedColumnFormula>IFERROR(IF(VLOOKUP($B8,janaina[#Data],12)=0,"Não executado",VLOOKUP($B8,janaina[#Data],12)),"Não executado")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8217847-81AC-44DF-8505-5320D65C4028}" name="AnaCarolina" displayName="AnaCarolina" ref="B7:P200" totalsRowShown="0" headerRowDxfId="285" dataDxfId="284" headerRowBorderDxfId="282" tableBorderDxfId="283" totalsRowBorderDxfId="281">
  <autoFilter ref="B7:P200" xr:uid="{2A9A6787-7B0C-4CC0-B98E-8516F35BBC20}"/>
  <tableColumns count="15">
    <tableColumn id="1" xr3:uid="{68E02B3B-E588-4F42-978A-E6AD3F7B0CF9}" name="#" dataDxfId="280">
      <calculatedColumnFormula>IF(ISERR(casostestes[[#This Row],[ID]]),"-",casostestes[[#This Row],[ID]])</calculatedColumnFormula>
    </tableColumn>
    <tableColumn id="2" xr3:uid="{17ECC87F-880E-40C0-90C6-2B7334A0A771}" name="LIBERADO" dataDxfId="279">
      <calculatedColumnFormula>IFERROR(IF(VLOOKUP($B8,casostestes[#Data],10)=0,"Não",VLOOKUP($B8,casostestes[#Data],10)), "-")</calculatedColumnFormula>
    </tableColumn>
    <tableColumn id="15" xr3:uid="{E4FED93B-F82F-4698-A375-7150DA93D724}" name="MACROPROCESSO" dataDxfId="278">
      <calculatedColumnFormula>IFERROR(IF(VLOOKUP($B8,casostestes[#Data],2)=0,"-",VLOOKUP($B8,casostestes[#Data],2)), "-")</calculatedColumnFormula>
    </tableColumn>
    <tableColumn id="3" xr3:uid="{26F424B3-9B6F-423C-803D-7338944BFA5F}" name="CASO DE TESTE" dataDxfId="277">
      <calculatedColumnFormula>IFERROR(IF(VLOOKUP($B8,casostestes[#Data],3)=0,"-",VLOOKUP($B8,casostestes[#Data],3)), "-")</calculatedColumnFormula>
    </tableColumn>
    <tableColumn id="4" xr3:uid="{D3634530-29BC-4A32-9DD9-0C657905AAA6}" name="CANAL" dataDxfId="276">
      <calculatedColumnFormula>IFERROR(IF(VLOOKUP($B8,casostestes[#Data],4)=0,"-",VLOOKUP($B8,casostestes[#Data],4)),"-")</calculatedColumnFormula>
    </tableColumn>
    <tableColumn id="5" xr3:uid="{9396216E-061E-46D4-8F4D-966A2BE1DFA2}" name="PAPEL" dataDxfId="275">
      <calculatedColumnFormula>IFERROR(IF(VLOOKUP($B8,casostestes[#Data],5)=0,"-",VLOOKUP($B8,casostestes[#Data],5)),"-")</calculatedColumnFormula>
    </tableColumn>
    <tableColumn id="6" xr3:uid="{DDD2A7FC-246F-4F9E-BED1-B44D46FC11C2}" name="FLUXO" dataDxfId="274">
      <calculatedColumnFormula>IFERROR(IF(VLOOKUP($B8,casostestes[#Data],6)=0,"-",VLOOKUP($B8,casostestes[#Data],6)),"-")</calculatedColumnFormula>
    </tableColumn>
    <tableColumn id="8" xr3:uid="{DE88BBBC-53FC-4DFB-8E4E-E62E5F88CACD}" name="PARÂMETROS" dataDxfId="273">
      <calculatedColumnFormula>IFERROR(IF(VLOOKUP($B8,casostestes[#Data],8)=0,"-",VLOOKUP($B8,casostestes[#Data],8)),"-")</calculatedColumnFormula>
    </tableColumn>
    <tableColumn id="9" xr3:uid="{DAAFE8BF-EE38-4B73-805D-5E31912A901C}" name="RESULTADO ESPERADO" dataDxfId="272">
      <calculatedColumnFormula>IFERROR(IF(VLOOKUP($B8,casostestes[#Data],9)=0,"-",VLOOKUP($B8,casostestes[#Data],9)),"-")</calculatedColumnFormula>
    </tableColumn>
    <tableColumn id="10" xr3:uid="{06B84C26-B41A-4216-A936-D2F05EA3A991}" name="DATA EXECUÇÃO" dataDxfId="271"/>
    <tableColumn id="16" xr3:uid="{9EE47E3F-50A0-413F-A962-A7A4588EBDCE}" name="MASSA" dataDxfId="270"/>
    <tableColumn id="11" xr3:uid="{53C05140-3996-4537-95E6-933EF3A7422D}" name="STATUS CT" dataDxfId="269"/>
    <tableColumn id="12" xr3:uid="{55CC4BC3-7184-41F2-9E0C-0FC56411E952}" name="RESULTADO ENCONTRADO" dataDxfId="268"/>
    <tableColumn id="13" xr3:uid="{EB38C6AF-7EA5-4A57-8140-24A1C7DF49DC}" name="ANÁLISE DATAPREV" dataDxfId="267"/>
    <tableColumn id="14" xr3:uid="{510F7C6B-C46D-4AFF-A275-A9AA0A0C50B0}" name="MELHORIAS" dataDxfId="26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8F8A2C0-0889-4872-AF1E-49C89921C4FD}" name="mauricio" displayName="mauricio" ref="B7:P200" totalsRowShown="0" headerRowDxfId="256" headerRowBorderDxfId="254" tableBorderDxfId="255" totalsRowBorderDxfId="253">
  <autoFilter ref="B7:P200" xr:uid="{2A9A6787-7B0C-4CC0-B98E-8516F35BBC20}"/>
  <tableColumns count="15">
    <tableColumn id="1" xr3:uid="{933F96DE-101C-44F2-B285-505DF845FCAE}" name="#" dataDxfId="252">
      <calculatedColumnFormula>IF(ISERR(casostestes[[#This Row],[ID]]),"-",casostestes[[#This Row],[ID]])</calculatedColumnFormula>
    </tableColumn>
    <tableColumn id="2" xr3:uid="{9AD5BC7C-1F34-4703-AF35-438DBB09545C}" name="LIBERADO" dataDxfId="251">
      <calculatedColumnFormula>IFERROR(IF(VLOOKUP($B8,casostestes[#Data],10)=0,"Não",VLOOKUP($B8,casostestes[#Data],10)), "-")</calculatedColumnFormula>
    </tableColumn>
    <tableColumn id="15" xr3:uid="{37867AD4-582B-48F0-BC51-BC3B8CD6EBA4}" name="MACROPROCESSO" dataDxfId="250">
      <calculatedColumnFormula>IFERROR(IF(VLOOKUP($B8,casostestes[#Data],2)=0,"-",VLOOKUP($B8,casostestes[#Data],2)), "-")</calculatedColumnFormula>
    </tableColumn>
    <tableColumn id="3" xr3:uid="{1F9F3311-7E8A-4DA5-AF60-1416AE0866AD}" name="CASO DE TESTE" dataDxfId="249">
      <calculatedColumnFormula>IFERROR(IF(VLOOKUP($B8,casostestes[#Data],3)=0,"-",VLOOKUP($B8,casostestes[#Data],3)), "-")</calculatedColumnFormula>
    </tableColumn>
    <tableColumn id="4" xr3:uid="{5D182E4E-6D88-47B2-892C-A27A1144A8C9}" name="CANAL" dataDxfId="248">
      <calculatedColumnFormula>IFERROR(IF(VLOOKUP($B8,casostestes[#Data],4)=0,"-",VLOOKUP($B8,casostestes[#Data],4)),"-")</calculatedColumnFormula>
    </tableColumn>
    <tableColumn id="5" xr3:uid="{31D75F94-2661-4823-96B3-43DC2889DE1B}" name="PAPEL" dataDxfId="247">
      <calculatedColumnFormula>IFERROR(IF(VLOOKUP($B8,casostestes[#Data],5)=0,"-",VLOOKUP($B8,casostestes[#Data],5)),"-")</calculatedColumnFormula>
    </tableColumn>
    <tableColumn id="6" xr3:uid="{33FB4546-A164-4584-ABE3-EED2153BD32D}" name="FLUXO" dataDxfId="246">
      <calculatedColumnFormula>IFERROR(IF(VLOOKUP($B8,casostestes[#Data],6)=0,"-",VLOOKUP($B8,casostestes[#Data],6)),"-")</calculatedColumnFormula>
    </tableColumn>
    <tableColumn id="8" xr3:uid="{86CA2667-7392-4936-BE0F-9759BCCB26FA}" name="PARÂMETROS" dataDxfId="245">
      <calculatedColumnFormula>IFERROR(IF(VLOOKUP($B8,casostestes[#Data],8)=0,"-",VLOOKUP($B8,casostestes[#Data],8)),"-")</calculatedColumnFormula>
    </tableColumn>
    <tableColumn id="9" xr3:uid="{D0A73521-E7A8-455B-8114-C7FA2FBEB91C}" name="RESULTADO ESPERADO" dataDxfId="244">
      <calculatedColumnFormula>IFERROR(IF(VLOOKUP($B8,casostestes[#Data],9)=0,"-",VLOOKUP($B8,casostestes[#Data],9)),"-")</calculatedColumnFormula>
    </tableColumn>
    <tableColumn id="10" xr3:uid="{5D211014-81B5-4253-A4FE-6B7452CB3993}" name="DATA EXECUÇÃO" dataDxfId="243"/>
    <tableColumn id="16" xr3:uid="{292163D2-BBE9-4D16-B39F-1F85548161FE}" name="MASSA" dataDxfId="242"/>
    <tableColumn id="11" xr3:uid="{9C020E8B-C034-40F6-BFF8-33B8536547B7}" name="STATUS CT" dataDxfId="241"/>
    <tableColumn id="12" xr3:uid="{D9EB6993-A629-4F2F-B77E-A1320F8387E4}" name="RESULTADO ENCONTRADO" dataDxfId="240"/>
    <tableColumn id="13" xr3:uid="{DDEB9215-032D-4CE8-91D9-BC656D8B06E2}" name="ANÁLISE DATAPREV" dataDxfId="239"/>
    <tableColumn id="14" xr3:uid="{FC3A2A8A-E2DD-4E03-9EF5-1F522CA9D6BF}" name="MELHORIAS" dataDxfId="23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3FD088E-D823-4CFA-85A2-06E2AF244D3E}" name="orlando" displayName="orlando" ref="B7:P199" totalsRowShown="0" headerRowDxfId="228" headerRowBorderDxfId="226" tableBorderDxfId="227" totalsRowBorderDxfId="225">
  <autoFilter ref="B7:P199" xr:uid="{2A9A6787-7B0C-4CC0-B98E-8516F35BBC20}"/>
  <tableColumns count="15">
    <tableColumn id="1" xr3:uid="{6874BA9F-6243-4CE8-841F-1096005ABEBA}" name="#" dataDxfId="224">
      <calculatedColumnFormula>IF(ISERR(casostestes[[#This Row],[ID]]),"-",casostestes[[#This Row],[ID]])</calculatedColumnFormula>
    </tableColumn>
    <tableColumn id="2" xr3:uid="{50D763A2-B917-4F2B-A4C5-C664D2D09FD3}" name="LIBERADO" dataDxfId="223">
      <calculatedColumnFormula>IFERROR(IF(VLOOKUP($B8,casostestes[#Data],10)=0,"Não",VLOOKUP($B8,casostestes[#Data],10)), "-")</calculatedColumnFormula>
    </tableColumn>
    <tableColumn id="15" xr3:uid="{9C63026D-F7FE-474F-B867-4AF8370617BB}" name="MACROPROCESSO" dataDxfId="222">
      <calculatedColumnFormula>IFERROR(IF(VLOOKUP($B8,casostestes[#Data],2)=0,"-",VLOOKUP($B8,casostestes[#Data],2)), "-")</calculatedColumnFormula>
    </tableColumn>
    <tableColumn id="3" xr3:uid="{3BF2EA24-FE5F-4AFE-8908-275FE8EDBBB8}" name="CASO DE TESTE" dataDxfId="221">
      <calculatedColumnFormula>IFERROR(IF(VLOOKUP($B8,casostestes[#Data],3)=0,"-",VLOOKUP($B8,casostestes[#Data],3)), "-")</calculatedColumnFormula>
    </tableColumn>
    <tableColumn id="4" xr3:uid="{A117383D-BAE7-426D-A3D3-DE133BAB6457}" name="CANAL" dataDxfId="220">
      <calculatedColumnFormula>IFERROR(IF(VLOOKUP($B8,casostestes[#Data],4)=0,"-",VLOOKUP($B8,casostestes[#Data],4)),"-")</calculatedColumnFormula>
    </tableColumn>
    <tableColumn id="5" xr3:uid="{5099438E-BE34-4E20-BD65-929FAB2F2FF9}" name="PAPEL" dataDxfId="219">
      <calculatedColumnFormula>IFERROR(IF(VLOOKUP($B8,casostestes[#Data],5)=0,"-",VLOOKUP($B8,casostestes[#Data],5)),"-")</calculatedColumnFormula>
    </tableColumn>
    <tableColumn id="6" xr3:uid="{13A45852-2E05-42D8-B3AB-A3DEE9FE2385}" name="FLUXO" dataDxfId="218">
      <calculatedColumnFormula>IFERROR(IF(VLOOKUP($B8,casostestes[#Data],6)=0,"-",VLOOKUP($B8,casostestes[#Data],6)),"-")</calculatedColumnFormula>
    </tableColumn>
    <tableColumn id="8" xr3:uid="{944D2A76-E78D-4D37-9019-EE2105D83FE8}" name="PARÂMETROS" dataDxfId="217">
      <calculatedColumnFormula>IFERROR(IF(VLOOKUP($B8,casostestes[#Data],8)=0,"-",VLOOKUP($B8,casostestes[#Data],8)),"-")</calculatedColumnFormula>
    </tableColumn>
    <tableColumn id="9" xr3:uid="{4EBA938D-9A53-4331-8778-DC564F763133}" name="RESULTADO ESPERADO" dataDxfId="216">
      <calculatedColumnFormula>IFERROR(IF(VLOOKUP($B8,casostestes[#Data],9)=0,"-",VLOOKUP($B8,casostestes[#Data],9)),"-")</calculatedColumnFormula>
    </tableColumn>
    <tableColumn id="10" xr3:uid="{A4F3B7BC-6FAE-498D-954D-81FD5FC02CA2}" name="DATA EXECUÇÃO" dataDxfId="215"/>
    <tableColumn id="16" xr3:uid="{9D9B34A2-1BC9-4F49-A98B-CD5D9A14410C}" name="MASSA" dataDxfId="214"/>
    <tableColumn id="11" xr3:uid="{989C4A1A-FDFA-42D8-A49B-382F973EF677}" name="STATUS CT" dataDxfId="213"/>
    <tableColumn id="12" xr3:uid="{F32AEFB1-307B-4F40-8828-D041D4DBD6F3}" name="RESULTADO ENCONTRADO" dataDxfId="212"/>
    <tableColumn id="13" xr3:uid="{B0C97651-8E92-444B-A56A-FC5F8AB1CB6B}" name="ANÁLISE DATAPREV" dataDxfId="211"/>
    <tableColumn id="14" xr3:uid="{6D67D78C-BE5A-4FAC-A0B1-CE1253809445}" name="MELHORIAS" dataDxfId="21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8BD4A17-779D-42CF-9B51-A7732A2B2989}" name="carlos" displayName="carlos" ref="B7:P200" totalsRowShown="0" headerRowDxfId="202" dataDxfId="201" headerRowBorderDxfId="199" tableBorderDxfId="200" totalsRowBorderDxfId="198">
  <autoFilter ref="B7:P200" xr:uid="{2A9A6787-7B0C-4CC0-B98E-8516F35BBC20}"/>
  <tableColumns count="15">
    <tableColumn id="1" xr3:uid="{26F536CF-C021-46A7-B7A6-C4372448D95F}" name="#" dataDxfId="197">
      <calculatedColumnFormula>IF(ISERR(casostestes[[#This Row],[ID]]),"-",casostestes[[#This Row],[ID]])</calculatedColumnFormula>
    </tableColumn>
    <tableColumn id="2" xr3:uid="{B95375AE-F904-4E7B-8F26-86C578C81EF4}" name="LIBERADO" dataDxfId="196">
      <calculatedColumnFormula>IFERROR(IF(VLOOKUP($B8,casostestes[#Data],10)=0,"Não",VLOOKUP($B8,casostestes[#Data],10)), "-")</calculatedColumnFormula>
    </tableColumn>
    <tableColumn id="15" xr3:uid="{4DFB8E0C-E972-4CD8-833C-79A97B9F3CEC}" name="MACROPROCESSO" dataDxfId="195">
      <calculatedColumnFormula>IFERROR(IF(VLOOKUP($B8,casostestes[#Data],2)=0,"-",VLOOKUP($B8,casostestes[#Data],2)), "-")</calculatedColumnFormula>
    </tableColumn>
    <tableColumn id="3" xr3:uid="{BCE721A9-4D42-4CE2-B7F6-D29E417DEBBF}" name="CASO DE TESTE" dataDxfId="194">
      <calculatedColumnFormula>IFERROR(IF(VLOOKUP($B8,casostestes[#Data],3)=0,"-",VLOOKUP($B8,casostestes[#Data],3)), "-")</calculatedColumnFormula>
    </tableColumn>
    <tableColumn id="4" xr3:uid="{D1B466F5-8105-4988-8BC4-FBC25E0EC679}" name="CANAL" dataDxfId="193">
      <calculatedColumnFormula>IFERROR(IF(VLOOKUP($B8,casostestes[#Data],4)=0,"-",VLOOKUP($B8,casostestes[#Data],4)),"-")</calculatedColumnFormula>
    </tableColumn>
    <tableColumn id="5" xr3:uid="{2449BC43-B224-402A-B980-4117980AD04E}" name="PAPEL" dataDxfId="192">
      <calculatedColumnFormula>IFERROR(IF(VLOOKUP($B8,casostestes[#Data],5)=0,"-",VLOOKUP($B8,casostestes[#Data],5)),"-")</calculatedColumnFormula>
    </tableColumn>
    <tableColumn id="6" xr3:uid="{1072E9EA-A1F4-4848-8D60-C413B7DEFF78}" name="FLUXO" dataDxfId="191">
      <calculatedColumnFormula>IFERROR(IF(VLOOKUP($B8,casostestes[#Data],6)=0,"-",VLOOKUP($B8,casostestes[#Data],6)),"-")</calculatedColumnFormula>
    </tableColumn>
    <tableColumn id="8" xr3:uid="{533D103D-F048-4445-B1B2-D86A9EC3CA70}" name="PARÂMETROS" dataDxfId="190">
      <calculatedColumnFormula>IFERROR(IF(VLOOKUP($B8,casostestes[#Data],8)=0,"-",VLOOKUP($B8,casostestes[#Data],8)),"-")</calculatedColumnFormula>
    </tableColumn>
    <tableColumn id="9" xr3:uid="{8B23F675-4233-474C-80AA-F0F17EA534CF}" name="RESULTADO ESPERADO" dataDxfId="189">
      <calculatedColumnFormula>IFERROR(IF(VLOOKUP($B8,casostestes[#Data],9)=0,"-",VLOOKUP($B8,casostestes[#Data],9)),"-")</calculatedColumnFormula>
    </tableColumn>
    <tableColumn id="10" xr3:uid="{A27BC94A-EB91-4C31-BB91-D72A72622A99}" name="DATA EXECUÇÃO" dataDxfId="188"/>
    <tableColumn id="16" xr3:uid="{76DC394D-33D2-4BAD-B068-595434E78A79}" name="MASSA" dataDxfId="187"/>
    <tableColumn id="11" xr3:uid="{6D8EDC38-C1C5-46B1-A5EF-FD9DE77B4E9C}" name="STATUS CT" dataDxfId="186"/>
    <tableColumn id="12" xr3:uid="{A0B9E5E3-073D-4604-A843-D09FFA7127C0}" name="RESULTADO ENCONTRADO" dataDxfId="185"/>
    <tableColumn id="13" xr3:uid="{4B47270E-D7F7-4402-9701-3DBB352D7438}" name="ANÁLISE DATAPREV" dataDxfId="184"/>
    <tableColumn id="14" xr3:uid="{51FCD218-D248-404D-95AC-750785C0F90F}" name="MELHORIAS" dataDxfId="18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1FF0C65-859A-4BEA-96A9-A0FA8ED43BB2}" name="Thaisa" displayName="Thaisa" ref="B7:P200" totalsRowShown="0" headerRowDxfId="175" dataDxfId="174" headerRowBorderDxfId="172" tableBorderDxfId="173" totalsRowBorderDxfId="171">
  <autoFilter ref="B7:P200" xr:uid="{2A9A6787-7B0C-4CC0-B98E-8516F35BBC20}"/>
  <tableColumns count="15">
    <tableColumn id="1" xr3:uid="{6E2DCCE6-A38E-432B-B86C-7F9542B22798}" name="#" dataDxfId="170">
      <calculatedColumnFormula>IF(ISERR(casostestes[[#This Row],[ID]]),"-",casostestes[[#This Row],[ID]])</calculatedColumnFormula>
    </tableColumn>
    <tableColumn id="2" xr3:uid="{224ECCE4-3494-4666-A2FF-D46D44413FDB}" name="LIBERADO" dataDxfId="169">
      <calculatedColumnFormula>IFERROR(IF(VLOOKUP($B8,casostestes[#Data],10)=0,"Não",VLOOKUP($B8,casostestes[#Data],10)), "-")</calculatedColumnFormula>
    </tableColumn>
    <tableColumn id="15" xr3:uid="{45B348C4-36C1-46BE-B9A7-DE7F75F6A637}" name="MACROPROCESSO" dataDxfId="168">
      <calculatedColumnFormula>IFERROR(IF(VLOOKUP($B8,casostestes[#Data],2)=0,"-",VLOOKUP($B8,casostestes[#Data],2)), "-")</calculatedColumnFormula>
    </tableColumn>
    <tableColumn id="3" xr3:uid="{F2EC3461-3CC8-40F8-803E-A70981DA0AD2}" name="CASO DE TESTE" dataDxfId="167">
      <calculatedColumnFormula>IFERROR(IF(VLOOKUP($B8,casostestes[#Data],3)=0,"-",VLOOKUP($B8,casostestes[#Data],3)), "-")</calculatedColumnFormula>
    </tableColumn>
    <tableColumn id="4" xr3:uid="{918424FF-ACF3-44C6-990A-CA5C69181F06}" name="CANAL" dataDxfId="166">
      <calculatedColumnFormula>IFERROR(IF(VLOOKUP($B8,casostestes[#Data],4)=0,"-",VLOOKUP($B8,casostestes[#Data],4)),"-")</calculatedColumnFormula>
    </tableColumn>
    <tableColumn id="5" xr3:uid="{AC9E85CB-5C60-4817-84CD-FD81DBE2F311}" name="PAPEL" dataDxfId="165">
      <calculatedColumnFormula>IFERROR(IF(VLOOKUP($B8,casostestes[#Data],5)=0,"-",VLOOKUP($B8,casostestes[#Data],5)),"-")</calculatedColumnFormula>
    </tableColumn>
    <tableColumn id="6" xr3:uid="{337B8607-3D9D-4FF8-85C8-FE3B6413BBF4}" name="FLUXO" dataDxfId="164">
      <calculatedColumnFormula>IFERROR(IF(VLOOKUP($B8,casostestes[#Data],6)=0,"-",VLOOKUP($B8,casostestes[#Data],6)),"-")</calculatedColumnFormula>
    </tableColumn>
    <tableColumn id="8" xr3:uid="{3FA62794-1548-426C-81EF-118D9D87E3E2}" name="PARÂMETROS" dataDxfId="163">
      <calculatedColumnFormula>IFERROR(IF(VLOOKUP($B8,casostestes[#Data],8)=0,"-",VLOOKUP($B8,casostestes[#Data],8)),"-")</calculatedColumnFormula>
    </tableColumn>
    <tableColumn id="9" xr3:uid="{788D7F89-9D54-42A0-8C1F-99FFAA55EABD}" name="RESULTADO ESPERADO" dataDxfId="162">
      <calculatedColumnFormula>IFERROR(IF(VLOOKUP($B8,casostestes[#Data],9)=0,"-",VLOOKUP($B8,casostestes[#Data],9)),"-")</calculatedColumnFormula>
    </tableColumn>
    <tableColumn id="10" xr3:uid="{456686C0-2364-4BF7-A23A-B4835D2E8C35}" name="DATA EXECUÇÃO" dataDxfId="161"/>
    <tableColumn id="16" xr3:uid="{ED7B2AB9-4E2D-4AB3-BFB9-94500659A1E8}" name="MASSA" dataDxfId="160"/>
    <tableColumn id="11" xr3:uid="{F5C87111-B484-42B4-AE11-C52DD1F063A6}" name="STATUS CT" dataDxfId="159"/>
    <tableColumn id="12" xr3:uid="{45402182-3550-409D-9048-7393818B465C}" name="RESULTADO ENCONTRADO" dataDxfId="158"/>
    <tableColumn id="13" xr3:uid="{80C28258-8D6A-4E59-A43D-383EDBB61EAD}" name="ANÁLISE DATAPREV" dataDxfId="157"/>
    <tableColumn id="14" xr3:uid="{F47CF5A3-2587-4FE6-A9F7-A51AD21A2D09}" name="MELHORIAS" dataDxfId="15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B73422E-51E9-4016-9EFD-D1EDEE921C3C}" name="Alessandra" displayName="Alessandra" ref="B7:P200" totalsRowShown="0" headerRowDxfId="148" dataDxfId="147" headerRowBorderDxfId="145" tableBorderDxfId="146" totalsRowBorderDxfId="144">
  <autoFilter ref="B7:P200" xr:uid="{2A9A6787-7B0C-4CC0-B98E-8516F35BBC20}"/>
  <tableColumns count="15">
    <tableColumn id="1" xr3:uid="{9AD248FE-E344-4102-948C-F7C9D4B70F45}" name="#" dataDxfId="143">
      <calculatedColumnFormula>IF(ISERR(casostestes[[#This Row],[ID]]),"-",casostestes[[#This Row],[ID]])</calculatedColumnFormula>
    </tableColumn>
    <tableColumn id="2" xr3:uid="{49566043-D636-4593-8203-B87ACCA200FF}" name="LIBERADO" dataDxfId="142">
      <calculatedColumnFormula>IFERROR(IF(VLOOKUP($B8,casostestes[#Data],10)=0,"Não",VLOOKUP($B8,casostestes[#Data],10)), "-")</calculatedColumnFormula>
    </tableColumn>
    <tableColumn id="15" xr3:uid="{3955A08B-232B-4665-A2CA-90EA2080C289}" name="MACROPROCESSO" dataDxfId="141">
      <calculatedColumnFormula>IFERROR(IF(VLOOKUP($B8,casostestes[#Data],2)=0,"-",VLOOKUP($B8,casostestes[#Data],2)), "-")</calculatedColumnFormula>
    </tableColumn>
    <tableColumn id="3" xr3:uid="{B13C1441-0A69-40D5-B51B-AE3801BBB162}" name="CASO DE TESTE" dataDxfId="140">
      <calculatedColumnFormula>IFERROR(IF(VLOOKUP($B8,casostestes[#Data],3)=0,"-",VLOOKUP($B8,casostestes[#Data],3)), "-")</calculatedColumnFormula>
    </tableColumn>
    <tableColumn id="4" xr3:uid="{3D1D8A76-D223-48C9-AFB5-0CE46D693FF4}" name="CANAL" dataDxfId="139">
      <calculatedColumnFormula>IFERROR(IF(VLOOKUP($B8,casostestes[#Data],4)=0,"-",VLOOKUP($B8,casostestes[#Data],4)),"-")</calculatedColumnFormula>
    </tableColumn>
    <tableColumn id="5" xr3:uid="{A1DB1515-69AD-447D-ADF2-3E22F3C1F819}" name="PAPEL" dataDxfId="138">
      <calculatedColumnFormula>IFERROR(IF(VLOOKUP($B8,casostestes[#Data],5)=0,"-",VLOOKUP($B8,casostestes[#Data],5)),"-")</calculatedColumnFormula>
    </tableColumn>
    <tableColumn id="6" xr3:uid="{641CE2FD-14B7-4637-8679-2A8D8A6340F0}" name="FLUXO" dataDxfId="137">
      <calculatedColumnFormula>IFERROR(IF(VLOOKUP($B8,casostestes[#Data],6)=0,"-",VLOOKUP($B8,casostestes[#Data],6)),"-")</calculatedColumnFormula>
    </tableColumn>
    <tableColumn id="8" xr3:uid="{D1E7020F-D2A3-4CD4-BD60-9EEBF8439C48}" name="PARÂMETROS" dataDxfId="136">
      <calculatedColumnFormula>IFERROR(IF(VLOOKUP($B8,casostestes[#Data],8)=0,"-",VLOOKUP($B8,casostestes[#Data],8)),"-")</calculatedColumnFormula>
    </tableColumn>
    <tableColumn id="9" xr3:uid="{B0A41F88-EC5A-400F-B09D-C31314E8D204}" name="RESULTADO ESPERADO" dataDxfId="135">
      <calculatedColumnFormula>IFERROR(IF(VLOOKUP($B8,casostestes[#Data],9)=0,"-",VLOOKUP($B8,casostestes[#Data],9)),"-")</calculatedColumnFormula>
    </tableColumn>
    <tableColumn id="10" xr3:uid="{E9B67C74-6EE2-4CC6-B0FC-22CCBE502CC1}" name="DATA EXECUÇÃO" dataDxfId="134"/>
    <tableColumn id="16" xr3:uid="{433970DF-3EA2-48CC-8E6E-1D1BFB454331}" name="MASSA" dataDxfId="133"/>
    <tableColumn id="11" xr3:uid="{83F2CCD1-9627-4614-BBEA-3AFAB4464B45}" name="STATUS CT" dataDxfId="132"/>
    <tableColumn id="12" xr3:uid="{3616DE67-4411-4DAB-810A-A6357710D5B4}" name="RESULTADO ENCONTRADO" dataDxfId="131"/>
    <tableColumn id="13" xr3:uid="{ECFB2F9E-799E-4B21-94AF-98EDED94C8EF}" name="ANÁLISE DATAPREV" dataDxfId="130"/>
    <tableColumn id="14" xr3:uid="{960F5BCF-ABB9-4AD1-8BD6-A57A6AD4EE50}" name="MELHORIAS" dataDxfId="129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7E128D2-BF24-4BF6-83A1-D0A578AE2864}" name="wanei" displayName="wanei" ref="B7:P200" totalsRowShown="0" headerRowDxfId="121" dataDxfId="120" headerRowBorderDxfId="118" tableBorderDxfId="119" totalsRowBorderDxfId="117">
  <autoFilter ref="B7:P200" xr:uid="{2A9A6787-7B0C-4CC0-B98E-8516F35BBC20}"/>
  <tableColumns count="15">
    <tableColumn id="1" xr3:uid="{9F05101B-C5DF-4FB5-9A89-875AC621594D}" name="#" dataDxfId="116">
      <calculatedColumnFormula>IF(ISERR(casostestes[[#This Row],[ID]]),"-",casostestes[[#This Row],[ID]])</calculatedColumnFormula>
    </tableColumn>
    <tableColumn id="2" xr3:uid="{68397B13-0B1F-4E77-98E8-BDD88BD6322D}" name="LIBERADO" dataDxfId="115">
      <calculatedColumnFormula>IFERROR(IF(VLOOKUP($B8,casostestes[#Data],10)=0,"Não",VLOOKUP($B8,casostestes[#Data],10)), "-")</calculatedColumnFormula>
    </tableColumn>
    <tableColumn id="15" xr3:uid="{6D4FFAD7-02CC-4AD7-8607-6B6715439621}" name="MACROPROCESSO" dataDxfId="114">
      <calculatedColumnFormula>IFERROR(IF(VLOOKUP($B8,casostestes[#Data],2)=0,"-",VLOOKUP($B8,casostestes[#Data],2)), "-")</calculatedColumnFormula>
    </tableColumn>
    <tableColumn id="3" xr3:uid="{86929D29-056B-4DF7-8D36-F28705172752}" name="CASO DE TESTE" dataDxfId="113">
      <calculatedColumnFormula>IFERROR(IF(VLOOKUP($B8,casostestes[#Data],3)=0,"-",VLOOKUP($B8,casostestes[#Data],3)), "-")</calculatedColumnFormula>
    </tableColumn>
    <tableColumn id="4" xr3:uid="{521F4C47-FD2A-4C12-A264-FA01CFF976D5}" name="CANAL" dataDxfId="112">
      <calculatedColumnFormula>IFERROR(IF(VLOOKUP($B8,casostestes[#Data],4)=0,"-",VLOOKUP($B8,casostestes[#Data],4)),"-")</calculatedColumnFormula>
    </tableColumn>
    <tableColumn id="5" xr3:uid="{E3DE55C6-CB04-4A12-BB8B-51E17BF8C708}" name="PAPEL" dataDxfId="111">
      <calculatedColumnFormula>IFERROR(IF(VLOOKUP($B8,casostestes[#Data],5)=0,"-",VLOOKUP($B8,casostestes[#Data],5)),"-")</calculatedColumnFormula>
    </tableColumn>
    <tableColumn id="6" xr3:uid="{9CA0DA80-9A2D-41E8-82C9-DCEB66C405EA}" name="FLUXO" dataDxfId="110">
      <calculatedColumnFormula>IFERROR(IF(VLOOKUP($B8,casostestes[#Data],6)=0,"-",VLOOKUP($B8,casostestes[#Data],6)),"-")</calculatedColumnFormula>
    </tableColumn>
    <tableColumn id="8" xr3:uid="{5ECA6CDD-AADE-488D-863B-D33E39299363}" name="PARÂMETROS" dataDxfId="109">
      <calculatedColumnFormula>IFERROR(IF(VLOOKUP($B8,casostestes[#Data],8)=0,"-",VLOOKUP($B8,casostestes[#Data],8)),"-")</calculatedColumnFormula>
    </tableColumn>
    <tableColumn id="9" xr3:uid="{267FAD22-8C68-4759-BA2D-8B78A113C38C}" name="RESULTADO ESPERADO" dataDxfId="108">
      <calculatedColumnFormula>IFERROR(IF(VLOOKUP($B8,casostestes[#Data],9)=0,"-",VLOOKUP($B8,casostestes[#Data],9)),"-")</calculatedColumnFormula>
    </tableColumn>
    <tableColumn id="10" xr3:uid="{B2BBA4E5-AC50-4B8B-B7A8-E1DD77FB5C43}" name="DATA EXECUÇÃO" dataDxfId="107"/>
    <tableColumn id="16" xr3:uid="{6D6D084C-14DB-4F3A-8F46-CDAC568FA09F}" name="MASSA" dataDxfId="106"/>
    <tableColumn id="11" xr3:uid="{A7808337-6C25-4919-A4F6-4732D5331C27}" name="STATUS CT" dataDxfId="105"/>
    <tableColumn id="12" xr3:uid="{453CBABC-872B-4A93-8AEB-2D494BCFD478}" name="RESULTADO ENCONTRADO" dataDxfId="104"/>
    <tableColumn id="13" xr3:uid="{23F12758-5CA6-4A3A-AC28-23D35EF72803}" name="ANÁLISE DATAPREV" dataDxfId="103"/>
    <tableColumn id="14" xr3:uid="{ACE4556C-C8F7-4F74-B3D0-2A52B1B5FDF7}" name="MELHORIAS" dataDxfId="10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BE8172-A3B4-4CDB-9B70-87F147BA7BE0}" name="janaina" displayName="janaina" ref="B7:P200" totalsRowShown="0" headerRowDxfId="94" dataDxfId="93" headerRowBorderDxfId="91" tableBorderDxfId="92" totalsRowBorderDxfId="90">
  <autoFilter ref="B7:P200" xr:uid="{2A9A6787-7B0C-4CC0-B98E-8516F35BBC20}"/>
  <tableColumns count="15">
    <tableColumn id="1" xr3:uid="{16BD2EDF-42EE-4DCD-9974-C5A6FAE5AE9E}" name="#" dataDxfId="89">
      <calculatedColumnFormula>IF(ISERR(casostestes[[#This Row],[ID]]),"-",casostestes[[#This Row],[ID]])</calculatedColumnFormula>
    </tableColumn>
    <tableColumn id="2" xr3:uid="{9F510396-6B51-42F7-824B-F6CEC180F4E5}" name="LIBERADO" dataDxfId="88">
      <calculatedColumnFormula>IFERROR(IF(VLOOKUP($B8,casostestes[#Data],10)=0,"Não",VLOOKUP($B8,casostestes[#Data],10)), "-")</calculatedColumnFormula>
    </tableColumn>
    <tableColumn id="15" xr3:uid="{C77D7BB9-82E9-4C8D-A406-4DF2CA7C019B}" name="MACROPROCESSO" dataDxfId="87">
      <calculatedColumnFormula>IFERROR(IF(VLOOKUP($B8,casostestes[#Data],2)=0,"-",VLOOKUP($B8,casostestes[#Data],2)), "-")</calculatedColumnFormula>
    </tableColumn>
    <tableColumn id="3" xr3:uid="{92183F45-30A5-43BC-AACF-13E440166CCF}" name="CASO DE TESTE" dataDxfId="86">
      <calculatedColumnFormula>IFERROR(IF(VLOOKUP($B8,casostestes[#Data],3)=0,"-",VLOOKUP($B8,casostestes[#Data],3)), "-")</calculatedColumnFormula>
    </tableColumn>
    <tableColumn id="4" xr3:uid="{6B0D143F-59F9-4CD4-8B90-CC16F7164A57}" name="CANAL" dataDxfId="85">
      <calculatedColumnFormula>IFERROR(IF(VLOOKUP($B8,casostestes[#Data],4)=0,"-",VLOOKUP($B8,casostestes[#Data],4)),"-")</calculatedColumnFormula>
    </tableColumn>
    <tableColumn id="5" xr3:uid="{907539E5-0A3C-4014-B6B0-D4AA2C06157E}" name="PAPEL" dataDxfId="84">
      <calculatedColumnFormula>IFERROR(IF(VLOOKUP($B8,casostestes[#Data],5)=0,"-",VLOOKUP($B8,casostestes[#Data],5)),"-")</calculatedColumnFormula>
    </tableColumn>
    <tableColumn id="6" xr3:uid="{EBBDDF10-0F96-4C40-94FC-0CFE04FF202E}" name="FLUXO" dataDxfId="83">
      <calculatedColumnFormula>IFERROR(IF(VLOOKUP($B8,casostestes[#Data],6)=0,"-",VLOOKUP($B8,casostestes[#Data],6)),"-")</calculatedColumnFormula>
    </tableColumn>
    <tableColumn id="8" xr3:uid="{226E8A6B-1D79-49BF-A20D-ED296F47279B}" name="PARÂMETROS" dataDxfId="82">
      <calculatedColumnFormula>IFERROR(IF(VLOOKUP($B8,casostestes[#Data],8)=0,"-",VLOOKUP($B8,casostestes[#Data],8)),"-")</calculatedColumnFormula>
    </tableColumn>
    <tableColumn id="9" xr3:uid="{85260384-5D86-4F3D-8BE0-9AC8BEBC946E}" name="RESULTADO ESPERADO" dataDxfId="81">
      <calculatedColumnFormula>IFERROR(IF(VLOOKUP($B8,casostestes[#Data],9)=0,"-",VLOOKUP($B8,casostestes[#Data],9)),"-")</calculatedColumnFormula>
    </tableColumn>
    <tableColumn id="10" xr3:uid="{CB7768FD-8C7F-4161-8989-11E0B55E4D28}" name="DATA EXECUÇÃO" dataDxfId="80"/>
    <tableColumn id="16" xr3:uid="{24E1E427-9631-47BA-9FC6-A661DAD25CAB}" name="MASSA" dataDxfId="79"/>
    <tableColumn id="11" xr3:uid="{BD2A2281-3B92-45DA-8E0F-116C3111983F}" name="STATUS CT" dataDxfId="78"/>
    <tableColumn id="12" xr3:uid="{36564020-393F-4758-8357-4812CC51287A}" name="RESULTADO ENCONTRADO" dataDxfId="77"/>
    <tableColumn id="13" xr3:uid="{EE6BD49A-BFFA-4A5E-8D4E-D0B7B12C25B7}" name="ANÁLISE DATAPREV" dataDxfId="76"/>
    <tableColumn id="14" xr3:uid="{C80D5B48-A07A-4A36-B513-BD594701F9A8}" name="MELHORIAS" dataDxfId="75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8BFAE43-1990-4A45-8632-5FDFC75BBD18}" name="andreia" displayName="andreia" ref="B7:P201" totalsRowShown="0" headerRowDxfId="67" dataDxfId="66" headerRowBorderDxfId="64" tableBorderDxfId="65" totalsRowBorderDxfId="63">
  <autoFilter ref="B7:P201" xr:uid="{2A9A6787-7B0C-4CC0-B98E-8516F35BBC20}"/>
  <tableColumns count="15">
    <tableColumn id="1" xr3:uid="{FED5C63F-55B6-41AA-BD46-E670CA384424}" name="#" dataDxfId="62">
      <calculatedColumnFormula>IF(ISERR(casostestes[[#This Row],[ID]]),"-",casostestes[[#This Row],[ID]])</calculatedColumnFormula>
    </tableColumn>
    <tableColumn id="2" xr3:uid="{42FC9971-A5FB-44F7-AEDA-CE2068E65EA2}" name="LIBERADO" dataDxfId="61">
      <calculatedColumnFormula>IFERROR(IF(VLOOKUP($B8,casostestes[#Data],10)=0,"Não",VLOOKUP($B8,casostestes[#Data],10)), "-")</calculatedColumnFormula>
    </tableColumn>
    <tableColumn id="15" xr3:uid="{CA8B9088-F610-4051-AA8A-A5D0F9DA7115}" name="MACROPROCESSO" dataDxfId="60">
      <calculatedColumnFormula>IFERROR(IF(VLOOKUP($B8,casostestes[#Data],2)=0,"-",VLOOKUP($B8,casostestes[#Data],2)), "-")</calculatedColumnFormula>
    </tableColumn>
    <tableColumn id="3" xr3:uid="{BE6FC87A-0E32-48A2-878B-7641FCEE3E43}" name="CASO DE TESTE" dataDxfId="59">
      <calculatedColumnFormula>IFERROR(IF(VLOOKUP($B8,casostestes[#Data],3)=0,"-",VLOOKUP($B8,casostestes[#Data],3)), "-")</calculatedColumnFormula>
    </tableColumn>
    <tableColumn id="4" xr3:uid="{3D7FACDB-621F-48E0-B6F3-3E05DF4A51FE}" name="CANAL" dataDxfId="58">
      <calculatedColumnFormula>IFERROR(IF(VLOOKUP($B8,casostestes[#Data],4)=0,"-",VLOOKUP($B8,casostestes[#Data],4)),"-")</calculatedColumnFormula>
    </tableColumn>
    <tableColumn id="5" xr3:uid="{440C9AED-72B8-437B-A388-72F1A4A8C4A5}" name="PAPEL" dataDxfId="57">
      <calculatedColumnFormula>IFERROR(IF(VLOOKUP($B8,casostestes[#Data],5)=0,"-",VLOOKUP($B8,casostestes[#Data],5)),"-")</calculatedColumnFormula>
    </tableColumn>
    <tableColumn id="6" xr3:uid="{92807610-2488-42C5-821C-DF3C5F8531DF}" name="FLUXO" dataDxfId="56">
      <calculatedColumnFormula>IFERROR(IF(VLOOKUP($B8,casostestes[#Data],6)=0,"-",VLOOKUP($B8,casostestes[#Data],6)),"-")</calculatedColumnFormula>
    </tableColumn>
    <tableColumn id="8" xr3:uid="{2CFA4152-E89F-4B7D-BE4A-3771FD28247F}" name="PARÂMETROS" dataDxfId="55">
      <calculatedColumnFormula>IFERROR(IF(VLOOKUP($B8,casostestes[#Data],8)=0,"-",VLOOKUP($B8,casostestes[#Data],8)),"-")</calculatedColumnFormula>
    </tableColumn>
    <tableColumn id="9" xr3:uid="{5BBB2E66-EBF9-40B9-A724-6E714A3DBF29}" name="RESULTADO ESPERADO" dataDxfId="54">
      <calculatedColumnFormula>IFERROR(IF(VLOOKUP($B8,casostestes[#Data],9)=0,"-",VLOOKUP($B8,casostestes[#Data],9)),"-")</calculatedColumnFormula>
    </tableColumn>
    <tableColumn id="10" xr3:uid="{0D0F49D3-9AED-446D-912A-68B052B7449D}" name="DATA EXECUÇÃO" dataDxfId="53"/>
    <tableColumn id="16" xr3:uid="{895A54A4-C428-4AE2-A77B-3F354A38327A}" name="MASSA" dataDxfId="52"/>
    <tableColumn id="11" xr3:uid="{EAC17131-FEF0-4A53-B670-E3C91CCBDB04}" name="STATUS CT" dataDxfId="51"/>
    <tableColumn id="12" xr3:uid="{EBF261B4-62AE-4B85-8835-1E55A86441FF}" name="RESULTADO ENCONTRADO" dataDxfId="50"/>
    <tableColumn id="13" xr3:uid="{E97604AC-0956-4EEF-BADF-730878AEBA52}" name="ANÁLISE DATAPREV" dataDxfId="49"/>
    <tableColumn id="14" xr3:uid="{ADF2DA9D-6F52-4EC4-9E5C-4D5ABD32C7C7}" name="MELHORIAS" dataDxfId="48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7364231-2348-4485-9511-EABEA8206895}" name="homologador" displayName="homologador" ref="B7:P200" totalsRowShown="0" headerRowDxfId="40" dataDxfId="39" headerRowBorderDxfId="37" tableBorderDxfId="38" totalsRowBorderDxfId="36">
  <autoFilter ref="B7:P200" xr:uid="{2A9A6787-7B0C-4CC0-B98E-8516F35BBC20}"/>
  <tableColumns count="15">
    <tableColumn id="1" xr3:uid="{ACC55A06-2F2B-433C-94E7-8849B109E457}" name="#" dataDxfId="35">
      <calculatedColumnFormula>IF(ISERR(casostestes[[#This Row],[ID]]),"-",casostestes[[#This Row],[ID]])</calculatedColumnFormula>
    </tableColumn>
    <tableColumn id="2" xr3:uid="{0CD22D81-3AB6-403E-88A2-2EEA15D26771}" name="LIBERADO" dataDxfId="34">
      <calculatedColumnFormula>IFERROR(IF(VLOOKUP($B8,casostestes[#Data],10)=0,"Não",VLOOKUP($B8,casostestes[#Data],10)), "-")</calculatedColumnFormula>
    </tableColumn>
    <tableColumn id="15" xr3:uid="{B83EE05E-814D-4C74-80E2-EA7C5CB0ED3C}" name="MACROPROCESSO" dataDxfId="33">
      <calculatedColumnFormula>IFERROR(IF(VLOOKUP($B8,casostestes[#Data],2)=0,"-",VLOOKUP($B8,casostestes[#Data],2)), "-")</calculatedColumnFormula>
    </tableColumn>
    <tableColumn id="3" xr3:uid="{8D466CB1-46B8-42D3-9BF0-F0BA1FFDF421}" name="CASO DE TESTE" dataDxfId="32">
      <calculatedColumnFormula>IFERROR(IF(VLOOKUP($B8,casostestes[#Data],3)=0,"-",VLOOKUP($B8,casostestes[#Data],3)), "-")</calculatedColumnFormula>
    </tableColumn>
    <tableColumn id="4" xr3:uid="{1BB8277D-E517-4918-B78C-5C1C11710194}" name="CANAL" dataDxfId="31">
      <calculatedColumnFormula>IFERROR(IF(VLOOKUP($B8,casostestes[#Data],4)=0,"-",VLOOKUP($B8,casostestes[#Data],4)),"-")</calculatedColumnFormula>
    </tableColumn>
    <tableColumn id="5" xr3:uid="{B61038AD-3B4F-4131-BC91-CA2C58C7548A}" name="PAPEL" dataDxfId="30">
      <calculatedColumnFormula>IFERROR(IF(VLOOKUP($B8,casostestes[#Data],5)=0,"-",VLOOKUP($B8,casostestes[#Data],5)),"-")</calculatedColumnFormula>
    </tableColumn>
    <tableColumn id="6" xr3:uid="{0CEE3B13-4C98-4683-B832-C59CA76919E0}" name="FLUXO" dataDxfId="29">
      <calculatedColumnFormula>IFERROR(IF(VLOOKUP($B8,casostestes[#Data],6)=0,"-",VLOOKUP($B8,casostestes[#Data],6)),"-")</calculatedColumnFormula>
    </tableColumn>
    <tableColumn id="8" xr3:uid="{2A2C5760-7724-4390-A602-B655CDFABF42}" name="PARÂMETROS" dataDxfId="28">
      <calculatedColumnFormula>IFERROR(IF(VLOOKUP($B8,casostestes[#Data],8)=0,"-",VLOOKUP($B8,casostestes[#Data],8)),"-")</calculatedColumnFormula>
    </tableColumn>
    <tableColumn id="9" xr3:uid="{AC632039-6768-4786-B3F0-023B9C08F88D}" name="RESULTADO ESPERADO" dataDxfId="27">
      <calculatedColumnFormula>IFERROR(IF(VLOOKUP($B8,casostestes[#Data],9)=0,"-",VLOOKUP($B8,casostestes[#Data],9)),"-")</calculatedColumnFormula>
    </tableColumn>
    <tableColumn id="10" xr3:uid="{E0A7E12E-AE9B-4AF6-93B5-5A79F94188DF}" name="DATA EXECUÇÃO" dataDxfId="26"/>
    <tableColumn id="16" xr3:uid="{B5690960-8CB7-4878-9860-775F1D78EB8C}" name="MASSA" dataDxfId="25"/>
    <tableColumn id="11" xr3:uid="{F4688BB4-BDA8-45B6-88B8-1A8B6FD6AC82}" name="STATUS CT" dataDxfId="24"/>
    <tableColumn id="12" xr3:uid="{6866CFC0-EFBB-4B80-AE12-2E33A1F8832D}" name="RESULTADO ENCONTRADO" dataDxfId="23"/>
    <tableColumn id="13" xr3:uid="{E862056B-A832-49BE-8EC9-65DBAEA24880}" name="ANÁLISE DATAPREV" dataDxfId="22"/>
    <tableColumn id="14" xr3:uid="{50B94D6A-75CF-4EE1-AE28-8E48DE2DE66B}" name="MELHORIAS" dataDxfId="21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BDC2211-FAD1-4649-9288-FEE7CDBCFD35}" name="exploratorio" displayName="exploratorio" ref="B7:P57" totalsRowShown="0" headerRowDxfId="19" dataDxfId="18" headerRowBorderDxfId="16" tableBorderDxfId="17" totalsRowBorderDxfId="15">
  <autoFilter ref="B7:P57" xr:uid="{DBDC2211-FAD1-4649-9288-FEE7CDBCFD35}"/>
  <tableColumns count="15">
    <tableColumn id="1" xr3:uid="{FC06633D-A6E6-48AC-94FD-DDBEE17C581E}" name="ID" dataDxfId="14">
      <calculatedColumnFormula>IF(B7="ID",1,B7+1)</calculatedColumnFormula>
    </tableColumn>
    <tableColumn id="2" xr3:uid="{B6129F89-B8EF-4056-A71A-92B177DCDB51}" name="HOMOLOGADOR" dataDxfId="13"/>
    <tableColumn id="3" xr3:uid="{78FB55F3-CECE-4692-B025-4CEB8EF9F5BA}" name="MACROPROCESSO" dataDxfId="12"/>
    <tableColumn id="4" xr3:uid="{0F7541DE-8C43-408A-B8A8-E00D1E19E631}" name="CASO DE TESTE" dataDxfId="11"/>
    <tableColumn id="5" xr3:uid="{15555F26-BCB4-4D9B-B6B0-1E36EDB0CEFF}" name="CANAL" dataDxfId="10"/>
    <tableColumn id="6" xr3:uid="{B60DD58C-3846-4E42-9ABD-15F850C05008}" name="PAPEL" dataDxfId="9"/>
    <tableColumn id="7" xr3:uid="{D0FB9E81-E89A-45DD-9066-709CB33ADDC0}" name="FLUXO" dataDxfId="8"/>
    <tableColumn id="8" xr3:uid="{7D48D57E-5871-4D7A-A81B-35F64ABAC615}" name="PARÂMETROS" dataDxfId="7"/>
    <tableColumn id="9" xr3:uid="{3925F462-25F7-447C-BADE-5F98D47602AD}" name="RESULTADO ESPERADO" dataDxfId="6"/>
    <tableColumn id="10" xr3:uid="{414FFDB7-2210-4A6A-B1D0-9B6C39AC5E0D}" name="DATA EXECUÇÃO" dataDxfId="5"/>
    <tableColumn id="11" xr3:uid="{05D2DEA6-12EF-4D59-B11C-EEDAF504F26D}" name="MASSA" dataDxfId="4"/>
    <tableColumn id="12" xr3:uid="{09B77979-2E82-4BD5-A25B-0300714ACE38}" name="STATUS CT" dataDxfId="3"/>
    <tableColumn id="13" xr3:uid="{92767E6C-B253-4018-B75F-4BEB47D4A00A}" name="RESULTADO ENCONTRADO" dataDxfId="2"/>
    <tableColumn id="14" xr3:uid="{9442184F-E59B-40A9-BBD2-28A8933BBA5F}" name="ANÁLISE DATAPREV" dataDxfId="1"/>
    <tableColumn id="15" xr3:uid="{5B87B320-E744-4A29-BAE4-15727C123152}" name="MELHORIA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v131d027:7503/GetRestApi/dist/" TargetMode="External"/><Relationship Id="rId3" Type="http://schemas.openxmlformats.org/officeDocument/2006/relationships/hyperlink" Target="https://hsagapr01/GetRestApi/dist/" TargetMode="External"/><Relationship Id="rId7" Type="http://schemas.openxmlformats.org/officeDocument/2006/relationships/hyperlink" Target="https://hsagapr01/GetRestApi/dist/" TargetMode="External"/><Relationship Id="rId2" Type="http://schemas.openxmlformats.org/officeDocument/2006/relationships/hyperlink" Target="https://hsagapr01/GetRestApi/dist/" TargetMode="External"/><Relationship Id="rId1" Type="http://schemas.openxmlformats.org/officeDocument/2006/relationships/hyperlink" Target="https://hsagapr01/GetRestApi/dist/" TargetMode="External"/><Relationship Id="rId6" Type="http://schemas.openxmlformats.org/officeDocument/2006/relationships/hyperlink" Target="https://hsagapr01/GetRestApi/dist/" TargetMode="External"/><Relationship Id="rId5" Type="http://schemas.openxmlformats.org/officeDocument/2006/relationships/hyperlink" Target="https://hsagapr01/GetRestApi/dist/" TargetMode="External"/><Relationship Id="rId4" Type="http://schemas.openxmlformats.org/officeDocument/2006/relationships/hyperlink" Target="https://v131d027:7503/GetRestApi/d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9A610-F17B-4E8B-81DE-DB58BB8A294C}">
  <sheetPr>
    <tabColor theme="9" tint="0.79998168889431442"/>
  </sheetPr>
  <dimension ref="B1:P200"/>
  <sheetViews>
    <sheetView showGridLines="0" zoomScaleNormal="100" workbookViewId="0">
      <pane xSplit="5" ySplit="7" topLeftCell="F9" activePane="bottomRight" state="frozen"/>
      <selection pane="bottomRight" activeCell="F8" sqref="F8"/>
      <selection pane="bottomLeft"/>
      <selection pane="topRight"/>
    </sheetView>
  </sheetViews>
  <sheetFormatPr defaultColWidth="9.140625" defaultRowHeight="15"/>
  <cols>
    <col min="1" max="1" width="2.7109375" style="14" customWidth="1"/>
    <col min="2" max="2" width="7.7109375" style="14" customWidth="1"/>
    <col min="3" max="3" width="15.42578125" style="14" customWidth="1"/>
    <col min="4" max="4" width="26" style="14" customWidth="1"/>
    <col min="5" max="5" width="57.42578125" style="14" customWidth="1"/>
    <col min="6" max="6" width="17.7109375" style="14" customWidth="1"/>
    <col min="7" max="7" width="24.42578125" style="14" customWidth="1"/>
    <col min="8" max="8" width="57.42578125" style="14" customWidth="1"/>
    <col min="9" max="9" width="16.7109375" style="14" customWidth="1"/>
    <col min="10" max="10" width="104.7109375" style="14" customWidth="1"/>
    <col min="11" max="11" width="18" style="14" customWidth="1"/>
    <col min="12" max="12" width="20.5703125" style="14" customWidth="1"/>
    <col min="13" max="13" width="21.85546875" style="14" customWidth="1"/>
    <col min="14" max="14" width="31.5703125" style="14" customWidth="1"/>
    <col min="15" max="15" width="24.85546875" style="14" customWidth="1"/>
    <col min="16" max="16" width="22.42578125" style="14" customWidth="1"/>
    <col min="17" max="16384" width="9.140625" style="14"/>
  </cols>
  <sheetData>
    <row r="1" spans="2:16" ht="26.25">
      <c r="B1" s="106" t="s">
        <v>0</v>
      </c>
      <c r="C1" s="106"/>
      <c r="D1" s="106"/>
      <c r="E1" s="106"/>
      <c r="F1" s="106"/>
      <c r="G1" s="106"/>
      <c r="H1" s="106"/>
      <c r="I1" s="106"/>
      <c r="J1" s="106"/>
      <c r="K1" s="19"/>
      <c r="L1" s="19"/>
    </row>
    <row r="2" spans="2:16" s="21" customFormat="1" ht="23.25">
      <c r="B2" s="107" t="s">
        <v>1</v>
      </c>
      <c r="C2" s="107"/>
      <c r="D2" s="107"/>
      <c r="E2" s="107"/>
      <c r="F2" s="107"/>
      <c r="G2" s="107"/>
      <c r="H2" s="107"/>
      <c r="I2" s="107"/>
      <c r="J2" s="107"/>
      <c r="K2" s="20"/>
      <c r="L2" s="20"/>
    </row>
    <row r="3" spans="2:16" s="21" customFormat="1" ht="23.25">
      <c r="B3" s="107" t="s">
        <v>2</v>
      </c>
      <c r="C3" s="107"/>
      <c r="D3" s="107"/>
      <c r="E3" s="107"/>
      <c r="F3" s="107"/>
      <c r="G3" s="107"/>
      <c r="H3" s="107"/>
      <c r="I3" s="107"/>
      <c r="J3" s="107"/>
      <c r="K3" s="20"/>
      <c r="L3" s="20"/>
    </row>
    <row r="5" spans="2:16">
      <c r="B5" s="3"/>
      <c r="E5" s="3"/>
    </row>
    <row r="7" spans="2:16" s="3" customFormat="1">
      <c r="B7" s="15" t="s">
        <v>3</v>
      </c>
      <c r="C7" s="16" t="s">
        <v>4</v>
      </c>
      <c r="D7" s="16" t="s">
        <v>5</v>
      </c>
      <c r="E7" s="17" t="s">
        <v>6</v>
      </c>
      <c r="F7" s="17" t="s">
        <v>7</v>
      </c>
      <c r="G7" s="17" t="s">
        <v>8</v>
      </c>
      <c r="H7" s="17" t="s">
        <v>9</v>
      </c>
      <c r="I7" s="17" t="s">
        <v>10</v>
      </c>
      <c r="J7" s="17" t="s">
        <v>11</v>
      </c>
      <c r="K7" s="17" t="s">
        <v>12</v>
      </c>
      <c r="L7" s="17" t="s">
        <v>13</v>
      </c>
      <c r="M7" s="17" t="s">
        <v>14</v>
      </c>
      <c r="N7" s="17" t="s">
        <v>15</v>
      </c>
      <c r="O7" s="17" t="s">
        <v>16</v>
      </c>
      <c r="P7" s="18" t="s">
        <v>17</v>
      </c>
    </row>
    <row r="8" spans="2:16" s="13" customFormat="1" ht="105">
      <c r="B8" s="34">
        <f>IF(ISERR(casostestes[[#This Row],[ID]]),"-",casostestes[[#This Row],[ID]])</f>
        <v>1</v>
      </c>
      <c r="C8" s="34" t="str">
        <f>IFERROR(IF(VLOOKUP($B8,casostestes[#Data],10)=0,"Não",VLOOKUP($B8,casostestes[#Data],10)), "-")</f>
        <v>Sim</v>
      </c>
      <c r="D8" s="35" t="str">
        <f>IFERROR(IF(VLOOKUP($B8,casostestes[#Data],2)=0,"-",VLOOKUP($B8,casostestes[#Data],2)), "-")</f>
        <v>Requerimento Inicial de BI</v>
      </c>
      <c r="E8" s="35" t="str">
        <f>IFERROR(IF(VLOOKUP($B8,casostestes[#Data],3)=0,"-",VLOOKUP($B8,casostestes[#Data],3)), "-")</f>
        <v>6
Criação de tarefa de BI inicial com fluxo ATESTMED para categoria DIFERENTE de Segurado Especial COM exigência de preenchimento da AD.
Premissas:
Catálogo: Exige autodeclaração = ATIVADO
Parâmetro:  144 - Fluxo ATESTMED = LIGADO</v>
      </c>
      <c r="F8" s="35" t="str">
        <f>IFERROR(IF(VLOOKUP($B8,casostestes[#Data],4)=0,"-",VLOOKUP($B8,casostestes[#Data],4)),"-")</f>
        <v>Central 135</v>
      </c>
      <c r="G8" s="35" t="str">
        <f>IFERROR(IF(VLOOKUP($B8,casostestes[#Data],5)=0,"-",VLOOKUP($B8,casostestes[#Data],5)),"-")</f>
        <v>ATENDENTE_CENTRAL_135</v>
      </c>
      <c r="H8" s="35" t="str">
        <f>IFERROR(IF(VLOOKUP($B8,casostestes[#Data],6)=0,"-",VLOOKUP($B8,casostestes[#Data],6)),"-")</f>
        <v>1. Logar no Portal do Atendimento INSS com o perfil do caso de teste
2. Criar tarefa de BI informando:
- Tipo de Incapacidade? "Temporário"
- A pessoa está presa?  "Não"
- Categoria do trabalhador "Desempregado" ...
- A pessoa ficou sem trabalhar? "Sim"</v>
      </c>
      <c r="I8" s="35" t="str">
        <f>IFERROR(IF(VLOOKUP($B8,casostestes[#Data],8)=0,"-",VLOOKUP($B8,casostestes[#Data],8)),"-")</f>
        <v>-</v>
      </c>
      <c r="J8" s="35" t="str">
        <f>IFERROR(IF(VLOOKUP($B8,casostestes[#Data],9)=0,"-",VLOOKUP($B8,casostestes[#Data],9)),"-")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8" s="36"/>
      <c r="L8" s="38"/>
      <c r="M8" s="37"/>
      <c r="N8" s="38"/>
      <c r="O8" s="38"/>
      <c r="P8" s="39"/>
    </row>
    <row r="9" spans="2:16" ht="240">
      <c r="B9" s="40">
        <f>IF(ISERR(casostestes[[#This Row],[ID]]),"-",casostestes[[#This Row],[ID]])</f>
        <v>2</v>
      </c>
      <c r="C9" s="41" t="str">
        <f>IFERROR(IF(VLOOKUP($B9,casostestes[#Data],10)=0,"Não",VLOOKUP($B9,casostestes[#Data],10)), "-")</f>
        <v>Sim</v>
      </c>
      <c r="D9" s="42" t="str">
        <f>IFERROR(IF(VLOOKUP($B9,casostestes[#Data],2)=0,"-",VLOOKUP($B9,casostestes[#Data],2)), "-")</f>
        <v>Integração</v>
      </c>
      <c r="E9" s="42" t="str">
        <f>IFERROR(IF(VLOOKUP($B9,casostestes[#Data],3)=0,"-",VLOOKUP($B9,casostestes[#Data],3)), "-")</f>
        <v>12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9" s="42" t="str">
        <f>IFERROR(IF(VLOOKUP($B9,casostestes[#Data],4)=0,"-",VLOOKUP($B9,casostestes[#Data],4)),"-")</f>
        <v>PAT</v>
      </c>
      <c r="G9" s="42" t="str">
        <f>IFERROR(IF(VLOOKUP($B9,casostestes[#Data],5)=0,"-",VLOOKUP($B9,casostestes[#Data],5)),"-")</f>
        <v>SERVIDOR</v>
      </c>
      <c r="H9" s="42" t="str">
        <f>IFERROR(IF(VLOOKUP($B9,casostestes[#Data],6)=0,"-",VLOOKUP($B9,casostestes[#Data],6)),"-")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9" s="42" t="str">
        <f>IFERROR(IF(VLOOKUP($B9,casostestes[#Data],8)=0,"-",VLOOKUP($B9,casostestes[#Data],8)),"-")</f>
        <v>-</v>
      </c>
      <c r="J9" s="42" t="str">
        <f>IFERROR(IF(VLOOKUP($B9,casostestes[#Data],9)=0,"-",VLOOKUP($B9,casostestes[#Data],9)),"-")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9" s="43"/>
      <c r="L9" s="45"/>
      <c r="M9" s="44"/>
      <c r="N9" s="45"/>
      <c r="O9" s="45"/>
      <c r="P9" s="46"/>
    </row>
    <row r="10" spans="2:16" ht="210">
      <c r="B10" s="40">
        <f>IF(ISERR(casostestes[[#This Row],[ID]]),"-",casostestes[[#This Row],[ID]])</f>
        <v>3</v>
      </c>
      <c r="C10" s="34" t="str">
        <f>IFERROR(IF(VLOOKUP($B10,casostestes[#Data],10)=0,"Não",VLOOKUP($B10,casostestes[#Data],10)), "-")</f>
        <v>Sim</v>
      </c>
      <c r="D10" s="35" t="str">
        <f>IFERROR(IF(VLOOKUP($B10,casostestes[#Data],2)=0,"-",VLOOKUP($B10,casostestes[#Data],2)), "-")</f>
        <v>Integração</v>
      </c>
      <c r="E10" s="35" t="str">
        <f>IFERROR(IF(VLOOKUP($B10,casostestes[#Data],3)=0,"-",VLOOKUP($B10,casostestes[#Data],3)), "-")</f>
        <v>13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10" s="35" t="str">
        <f>IFERROR(IF(VLOOKUP($B10,casostestes[#Data],4)=0,"-",VLOOKUP($B10,casostestes[#Data],4)),"-")</f>
        <v>PAT</v>
      </c>
      <c r="G10" s="35" t="str">
        <f>IFERROR(IF(VLOOKUP($B10,casostestes[#Data],5)=0,"-",VLOOKUP($B10,casostestes[#Data],5)),"-")</f>
        <v>SERVIDOR</v>
      </c>
      <c r="H10" s="35" t="str">
        <f>IFERROR(IF(VLOOKUP($B10,casostestes[#Data],6)=0,"-",VLOOKUP($B10,casostestes[#Data],6)),"-")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10" s="35" t="str">
        <f>IFERROR(IF(VLOOKUP($B10,casostestes[#Data],8)=0,"-",VLOOKUP($B10,casostestes[#Data],8)),"-")</f>
        <v>-</v>
      </c>
      <c r="J10" s="35" t="str">
        <f>IFERROR(IF(VLOOKUP($B10,casostestes[#Data],9)=0,"-",VLOOKUP($B10,casostestes[#Data],9)),"-")</f>
        <v>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</v>
      </c>
      <c r="K10" s="36"/>
      <c r="L10" s="45"/>
      <c r="M10" s="37"/>
      <c r="N10" s="38"/>
      <c r="O10" s="38"/>
      <c r="P10" s="39"/>
    </row>
    <row r="11" spans="2:16" ht="225">
      <c r="B11" s="40">
        <f>IF(ISERR(casostestes[[#This Row],[ID]]),"-",casostestes[[#This Row],[ID]])</f>
        <v>4</v>
      </c>
      <c r="C11" s="34" t="str">
        <f>IFERROR(IF(VLOOKUP($B11,casostestes[#Data],10)=0,"Não",VLOOKUP($B11,casostestes[#Data],10)), "-")</f>
        <v>Sim</v>
      </c>
      <c r="D11" s="35" t="str">
        <f>IFERROR(IF(VLOOKUP($B11,casostestes[#Data],2)=0,"-",VLOOKUP($B11,casostestes[#Data],2)), "-")</f>
        <v>Integração</v>
      </c>
      <c r="E11" s="35" t="str">
        <f>IFERROR(IF(VLOOKUP($B11,casostestes[#Data],3)=0,"-",VLOOKUP($B11,casostestes[#Data],3)), "-")</f>
        <v>16
Cumprir a exigência de autodeclaração</v>
      </c>
      <c r="F11" s="35" t="str">
        <f>IFERROR(IF(VLOOKUP($B11,casostestes[#Data],4)=0,"-",VLOOKUP($B11,casostestes[#Data],4)),"-")</f>
        <v>PAT</v>
      </c>
      <c r="G11" s="35" t="str">
        <f>IFERROR(IF(VLOOKUP($B11,casostestes[#Data],5)=0,"-",VLOOKUP($B11,casostestes[#Data],5)),"-")</f>
        <v>SERVIDOR</v>
      </c>
      <c r="H11" s="35" t="str">
        <f>IFERROR(IF(VLOOKUP($B11,casostestes[#Data],6)=0,"-",VLOOKUP($B11,casostestes[#Data],6)),"-")</f>
        <v>1. Logar no Portal do Atendimento INSS com o perfil Servidor
2.Consultar uma tarefa em exigência de autodeclaração e acionar Cumprir Exigência  
3. Responder o formulário de autodeclaração até o final</v>
      </c>
      <c r="I11" s="35" t="str">
        <f>IFERROR(IF(VLOOKUP($B11,casostestes[#Data],8)=0,"-",VLOOKUP($B11,casostestes[#Data],8)),"-")</f>
        <v>-</v>
      </c>
      <c r="J11" s="35" t="str">
        <f>IFERROR(IF(VLOOKUP($B11,casostestes[#Data],9)=0,"-",VLOOKUP($B11,casostestes[#Data],9)),"-")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11" s="36"/>
      <c r="L11" s="45"/>
      <c r="M11" s="37"/>
      <c r="N11" s="38"/>
      <c r="O11" s="38"/>
      <c r="P11" s="39"/>
    </row>
    <row r="12" spans="2:16" ht="165">
      <c r="B12" s="40">
        <f>IF(ISERR(casostestes[[#This Row],[ID]]),"-",casostestes[[#This Row],[ID]])</f>
        <v>5</v>
      </c>
      <c r="C12" s="34" t="str">
        <f>IFERROR(IF(VLOOKUP($B12,casostestes[#Data],10)=0,"Não",VLOOKUP($B12,casostestes[#Data],10)), "-")</f>
        <v>Sim</v>
      </c>
      <c r="D12" s="35" t="str">
        <f>IFERROR(IF(VLOOKUP($B12,casostestes[#Data],2)=0,"-",VLOOKUP($B12,casostestes[#Data],2)), "-")</f>
        <v>Integração</v>
      </c>
      <c r="E12" s="35" t="str">
        <f>IFERROR(IF(VLOOKUP($B12,casostestes[#Data],3)=0,"-",VLOOKUP($B12,casostestes[#Data],3)), "-")</f>
        <v>17
Responder o formulário de autodeclaração acessando diretamente a aba segurado especial ao detalhar a tarefa, onde a tarefa encontra-se em exigência de autodeclaração</v>
      </c>
      <c r="F12" s="35" t="str">
        <f>IFERROR(IF(VLOOKUP($B12,casostestes[#Data],4)=0,"-",VLOOKUP($B12,casostestes[#Data],4)),"-")</f>
        <v>PAT</v>
      </c>
      <c r="G12" s="35" t="str">
        <f>IFERROR(IF(VLOOKUP($B12,casostestes[#Data],5)=0,"-",VLOOKUP($B12,casostestes[#Data],5)),"-")</f>
        <v>SERVIDOR</v>
      </c>
      <c r="H12" s="35" t="str">
        <f>IFERROR(IF(VLOOKUP($B12,casostestes[#Data],6)=0,"-",VLOOKUP($B12,casostestes[#Data],6)),"-")</f>
        <v>1. Logar no Portal do Atendimento INSS com o perfil Servidor
2.Consultar uma tarefa em exigência de autodeclaração 
3. Acionar a aba Segurado especial
3. Responder o formulário de autodeclaração até o final</v>
      </c>
      <c r="I12" s="35" t="str">
        <f>IFERROR(IF(VLOOKUP($B12,casostestes[#Data],8)=0,"-",VLOOKUP($B12,casostestes[#Data],8)),"-")</f>
        <v>-</v>
      </c>
      <c r="J12" s="35" t="str">
        <f>IFERROR(IF(VLOOKUP($B12,casostestes[#Data],9)=0,"-",VLOOKUP($B12,casostestes[#Data],9)),"-")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12" s="36"/>
      <c r="L12" s="45"/>
      <c r="M12" s="37"/>
      <c r="N12" s="38"/>
      <c r="O12" s="38"/>
      <c r="P12" s="39"/>
    </row>
    <row r="13" spans="2:16" ht="105">
      <c r="B13" s="40">
        <f>IF(ISERR(casostestes[[#This Row],[ID]]),"-",casostestes[[#This Row],[ID]])</f>
        <v>6</v>
      </c>
      <c r="C13" s="34" t="str">
        <f>IFERROR(IF(VLOOKUP($B13,casostestes[#Data],10)=0,"Não",VLOOKUP($B13,casostestes[#Data],10)), "-")</f>
        <v>Sim</v>
      </c>
      <c r="D13" s="35" t="str">
        <f>IFERROR(IF(VLOOKUP($B13,casostestes[#Data],2)=0,"-",VLOOKUP($B13,casostestes[#Data],2)), "-")</f>
        <v>Integração</v>
      </c>
      <c r="E13" s="35" t="str">
        <f>IFERROR(IF(VLOOKUP($B13,casostestes[#Data],3)=0,"-",VLOOKUP($B13,casostestes[#Data],3)), "-")</f>
        <v>18
Responder o formulário de autodeclaração acessando diretamente a aba segurado especial ao detalhar a tarefa, onde a tarefa encontra-se em exigência de documento médico</v>
      </c>
      <c r="F13" s="35" t="str">
        <f>IFERROR(IF(VLOOKUP($B13,casostestes[#Data],4)=0,"-",VLOOKUP($B13,casostestes[#Data],4)),"-")</f>
        <v>PAT</v>
      </c>
      <c r="G13" s="35" t="str">
        <f>IFERROR(IF(VLOOKUP($B13,casostestes[#Data],5)=0,"-",VLOOKUP($B13,casostestes[#Data],5)),"-")</f>
        <v>SERVIDOR</v>
      </c>
      <c r="H13" s="35" t="str">
        <f>IFERROR(IF(VLOOKUP($B13,casostestes[#Data],6)=0,"-",VLOOKUP($B13,casostestes[#Data],6)),"-")</f>
        <v>1. Logar no Portal do Atendimento INSS com o perfil Servidor
2.Consultar uma tarefa em exigência de documento médico
3. Acionar a aba Segurado especial
3. Responder o formulário de autodeclaração até o final</v>
      </c>
      <c r="I13" s="35" t="str">
        <f>IFERROR(IF(VLOOKUP($B13,casostestes[#Data],8)=0,"-",VLOOKUP($B13,casostestes[#Data],8)),"-")</f>
        <v>-</v>
      </c>
      <c r="J13" s="35" t="str">
        <f>IFERROR(IF(VLOOKUP($B13,casostestes[#Data],9)=0,"-",VLOOKUP($B13,casostestes[#Data],9)),"-")</f>
        <v xml:space="preserve">
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13" s="36"/>
      <c r="L13" s="45"/>
      <c r="M13" s="37"/>
      <c r="N13" s="38"/>
      <c r="O13" s="38"/>
      <c r="P13" s="39"/>
    </row>
    <row r="14" spans="2:16" ht="240">
      <c r="B14" s="40">
        <f>IF(ISERR(casostestes[[#This Row],[ID]]),"-",casostestes[[#This Row],[ID]])</f>
        <v>7</v>
      </c>
      <c r="C14" s="34" t="str">
        <f>IFERROR(IF(VLOOKUP($B14,casostestes[#Data],10)=0,"Não",VLOOKUP($B14,casostestes[#Data],10)), "-")</f>
        <v>Sim</v>
      </c>
      <c r="D14" s="35" t="str">
        <f>IFERROR(IF(VLOOKUP($B14,casostestes[#Data],2)=0,"-",VLOOKUP($B14,casostestes[#Data],2)), "-")</f>
        <v>Integração</v>
      </c>
      <c r="E14" s="35" t="str">
        <f>IFERROR(IF(VLOOKUP($B14,casostestes[#Data],3)=0,"-",VLOOKUP($B14,casostestes[#Data],3)), "-")</f>
        <v>19
Criar tarefa de BI inicial fluxo ATESTMEDQ para categoria "Segurado especial" onde o parâmetro "Exige Autodeclaração" no Catálogo está ATIVADO,  NÃO foi respondida a autodeclaração, NÃO foi incluído o anexo detalhado de AD e cidadão está preso
**Parâmetro PAT ligado: 144 - Fluxo ATESTMEDQ</v>
      </c>
      <c r="F14" s="35" t="str">
        <f>IFERROR(IF(VLOOKUP($B14,casostestes[#Data],4)=0,"-",VLOOKUP($B14,casostestes[#Data],4)),"-")</f>
        <v>PAT</v>
      </c>
      <c r="G14" s="35" t="str">
        <f>IFERROR(IF(VLOOKUP($B14,casostestes[#Data],5)=0,"-",VLOOKUP($B14,casostestes[#Data],5)),"-")</f>
        <v>SERVIDOR</v>
      </c>
      <c r="H14" s="35" t="str">
        <f>IFERROR(IF(VLOOKUP($B14,casostestes[#Data],6)=0,"-",VLOOKUP($B14,casostestes[#Data],6)),"-")</f>
        <v xml:space="preserve">1. Logar no Portal do Atendimento INSS com o perfil do caso de teste
2.Criar tarefa de BI informando:
Tipo de Incapacidade? "Temporária "
A pessoa está presa?  Sim
Categoria do trabalhador "Segurado Especial"
A pessoa ficou sem trabalhar? Sim
3. NÃO Informar anexo detalhado de autodeclaração
4. NÃO responder o formulário de autodeclaração
</v>
      </c>
      <c r="I14" s="35" t="str">
        <f>IFERROR(IF(VLOOKUP($B14,casostestes[#Data],8)=0,"-",VLOOKUP($B14,casostestes[#Data],8)),"-")</f>
        <v>-</v>
      </c>
      <c r="J14" s="35" t="str">
        <f>IFERROR(IF(VLOOKUP($B14,casostestes[#Data],9)=0,"-",VLOOKUP($B14,casostestes[#Data],9)),"-")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14" s="36"/>
      <c r="L14" s="45"/>
      <c r="M14" s="37"/>
      <c r="N14" s="38"/>
      <c r="O14" s="38"/>
      <c r="P14" s="39"/>
    </row>
    <row r="15" spans="2:16" ht="240">
      <c r="B15" s="40">
        <f>IF(ISERR(casostestes[[#This Row],[ID]]),"-",casostestes[[#This Row],[ID]])</f>
        <v>8</v>
      </c>
      <c r="C15" s="34" t="str">
        <f>IFERROR(IF(VLOOKUP($B15,casostestes[#Data],10)=0,"Não",VLOOKUP($B15,casostestes[#Data],10)), "-")</f>
        <v>Sim</v>
      </c>
      <c r="D15" s="35" t="str">
        <f>IFERROR(IF(VLOOKUP($B15,casostestes[#Data],2)=0,"-",VLOOKUP($B15,casostestes[#Data],2)), "-")</f>
        <v>Integração</v>
      </c>
      <c r="E15" s="35" t="str">
        <f>IFERROR(IF(VLOOKUP($B15,casostestes[#Data],3)=0,"-",VLOOKUP($B15,casostestes[#Data],3)), "-")</f>
        <v>20
Criar tarefa de BI inicial fluxo ATESTMEDQ para categoria "Segurado especial" onde o parâmetro "Exige Autodeclaração" no Catálogo está ATIVADO,  NÃO foi respondida a autodeclaração, NÃO foi incluído o anexo detalhado de AD e cidadão ficou sem trabalhar
**Parâmetro PAT ligado: 144 - Fluxo ATESTMEDQ</v>
      </c>
      <c r="F15" s="35" t="str">
        <f>IFERROR(IF(VLOOKUP($B15,casostestes[#Data],4)=0,"-",VLOOKUP($B15,casostestes[#Data],4)),"-")</f>
        <v>PAT</v>
      </c>
      <c r="G15" s="35" t="str">
        <f>IFERROR(IF(VLOOKUP($B15,casostestes[#Data],5)=0,"-",VLOOKUP($B15,casostestes[#Data],5)),"-")</f>
        <v>SERVIDOR</v>
      </c>
      <c r="H15" s="35" t="str">
        <f>IFERROR(IF(VLOOKUP($B15,casostestes[#Data],6)=0,"-",VLOOKUP($B15,casostestes[#Data],6)),"-")</f>
        <v xml:space="preserve">1. Logar no Portal do Atendimento INSS com o perfil do caso de teste
2.Criar tarefa de BI informando:
Tipo de Incapacidade? "Temporária "
A pessoa está presa?  Não
Categoria do trabalhador "Segurado Especial"
A pessoa ficou sem trabalhar? Não
3. Informar anexo detalhado de autodeclaração
4. NÃO responder o formulário de autodeclaração
</v>
      </c>
      <c r="I15" s="35" t="str">
        <f>IFERROR(IF(VLOOKUP($B15,casostestes[#Data],8)=0,"-",VLOOKUP($B15,casostestes[#Data],8)),"-")</f>
        <v>-</v>
      </c>
      <c r="J15" s="35" t="str">
        <f>IFERROR(IF(VLOOKUP($B15,casostestes[#Data],9)=0,"-",VLOOKUP($B15,casostestes[#Data],9)),"-")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15" s="36"/>
      <c r="L15" s="45"/>
      <c r="M15" s="37"/>
      <c r="N15" s="38"/>
      <c r="O15" s="38"/>
      <c r="P15" s="39"/>
    </row>
    <row r="16" spans="2:16" ht="315">
      <c r="B16" s="40">
        <f>IF(ISERR(casostestes[[#This Row],[ID]]),"-",casostestes[[#This Row],[ID]])</f>
        <v>9</v>
      </c>
      <c r="C16" s="34" t="str">
        <f>IFERROR(IF(VLOOKUP($B16,casostestes[#Data],10)=0,"Não",VLOOKUP($B16,casostestes[#Data],10)), "-")</f>
        <v>Sim</v>
      </c>
      <c r="D16" s="35" t="str">
        <f>IFERROR(IF(VLOOKUP($B16,casostestes[#Data],2)=0,"-",VLOOKUP($B16,casostestes[#Data],2)), "-")</f>
        <v>Integração</v>
      </c>
      <c r="E16" s="35" t="str">
        <f>IFERROR(IF(VLOOKUP($B16,casostestes[#Data],3)=0,"-",VLOOKUP($B16,casostestes[#Data],3)), "-")</f>
        <v>21
Criar tarefa de BI inicial fluxo ATESTMEDQ para categoria "Segurado especial" onde o parâmetro "Exige Autodeclaração" no Catálogo está ATIVADO,  NÃO foi respondida a autodeclaração e foi incluído o anexo detalhado de AD
**Parâmetro PAT ligado: 144 - Fluxo ATESTMEDQ</v>
      </c>
      <c r="F16" s="35" t="str">
        <f>IFERROR(IF(VLOOKUP($B16,casostestes[#Data],4)=0,"-",VLOOKUP($B16,casostestes[#Data],4)),"-")</f>
        <v>PAT</v>
      </c>
      <c r="G16" s="35" t="str">
        <f>IFERROR(IF(VLOOKUP($B16,casostestes[#Data],5)=0,"-",VLOOKUP($B16,casostestes[#Data],5)),"-")</f>
        <v>SERVIDOR</v>
      </c>
      <c r="H16" s="35" t="str">
        <f>IFERROR(IF(VLOOKUP($B16,casostestes[#Data],6)=0,"-",VLOOKUP($B16,casostestes[#Data],6)),"-")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Informar anexo detalhado de autodeclaração
4. NÃO responder o formulário de autodeclaração
Resultado 1
5.Alterar via banco de dados a data da exigência para (data atual - 36 dias)
Resultado 2</v>
      </c>
      <c r="I16" s="35" t="str">
        <f>IFERROR(IF(VLOOKUP($B16,casostestes[#Data],8)=0,"-",VLOOKUP($B16,casostestes[#Data],8)),"-")</f>
        <v>-</v>
      </c>
      <c r="J16" s="35" t="str">
        <f>IFERROR(IF(VLOOKUP($B16,casostestes[#Data],9)=0,"-",VLOOKUP($B16,casostestes[#Data],9)),"-")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2
Resultado 2 - Após alguns minutos:
Tarefa de BI com situação alterada para Pendente
Despacho incluído informando a operação ( fragmento de sigla  XXXXXXXXXX )
Divergência de autodeclaração (116) EXCLUÍDA da tarefa
Alguns minutos depois:
Status SIBE igual a AGUARDANDO ATESTADO 
Na opção  "Lista de Ocorrências", o json de integração com o SIBE deverá conter o campo "periodosPendentesSegEsp" com valor true.
</v>
      </c>
      <c r="K16" s="36"/>
      <c r="L16" s="45"/>
      <c r="M16" s="37"/>
      <c r="N16" s="38"/>
      <c r="O16" s="38"/>
      <c r="P16" s="39"/>
    </row>
    <row r="17" spans="2:16" ht="300">
      <c r="B17" s="40">
        <f>IF(ISERR(casostestes[[#This Row],[ID]]),"-",casostestes[[#This Row],[ID]])</f>
        <v>10</v>
      </c>
      <c r="C17" s="34" t="str">
        <f>IFERROR(IF(VLOOKUP($B17,casostestes[#Data],10)=0,"Não",VLOOKUP($B17,casostestes[#Data],10)), "-")</f>
        <v>Sim</v>
      </c>
      <c r="D17" s="35" t="str">
        <f>IFERROR(IF(VLOOKUP($B17,casostestes[#Data],2)=0,"-",VLOOKUP($B17,casostestes[#Data],2)), "-")</f>
        <v>Integração</v>
      </c>
      <c r="E17" s="35" t="str">
        <f>IFERROR(IF(VLOOKUP($B17,casostestes[#Data],3)=0,"-",VLOOKUP($B17,casostestes[#Data],3)), "-")</f>
        <v>22
Criar tarefa de BI inicial fluxo PRESENCIAL para categoria "Segurado especial" onde o parâmetro "Exige Autodeclaração" no Catálogo está ATIVADO, NÃO foi respondida a autodeclaração e NÃO foi incluído o anexo detalhado de AD
**Parâmetro PAT ligado: 144 - Fluxo ATESTMEDQ
**Parâmetro PAT ligado: 109 -Tipo de Incapacidade Permanente leva à Fluxo Presencial do Novo BI</v>
      </c>
      <c r="F17" s="35" t="str">
        <f>IFERROR(IF(VLOOKUP($B17,casostestes[#Data],4)=0,"-",VLOOKUP($B17,casostestes[#Data],4)),"-")</f>
        <v>PAT</v>
      </c>
      <c r="G17" s="35" t="str">
        <f>IFERROR(IF(VLOOKUP($B17,casostestes[#Data],5)=0,"-",VLOOKUP($B17,casostestes[#Data],5)),"-")</f>
        <v>SERVIDOR</v>
      </c>
      <c r="H17" s="35" t="str">
        <f>IFERROR(IF(VLOOKUP($B17,casostestes[#Data],6)=0,"-",VLOOKUP($B17,casostestes[#Data],6)),"-")</f>
        <v>1. Logar no Portal do Atendimento INSS com o perfil do caso de teste
2.Criar tarefa de BI informando:
Tipo de Incapacidade? "Permanente"
A pessoa está presa?  Não
Houve acidente de trabalho?  Não
Categoria do trabalhador "Segurado Especial"
A pessoa ficou sem trabalhar? Sim
3. NÃO informar anexo detalhado de autodeclaração
5. Realizar agendamento
6. NÃO responder o formulário de autodeclaração
Resultado 1 
7.Alterar via banco de dados a data da exigência para (data atual - 36 dias)
Resulado 2</v>
      </c>
      <c r="I17" s="35" t="str">
        <f>IFERROR(IF(VLOOKUP($B17,casostestes[#Data],8)=0,"-",VLOOKUP($B17,casostestes[#Data],8)),"-")</f>
        <v>-</v>
      </c>
      <c r="J17" s="35" t="str">
        <f>IFERROR(IF(VLOOKUP($B17,casostestes[#Data],9)=0,"-",VLOOKUP($B17,casostestes[#Data],9)),"-")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1
Resultado 2 - Após alguns minutos:
Tarefa de BI com situação alterada para Pendente
Despacho incluído informando a operação ( fragmento de sigla  XXXXXXXXXX )
Divergência de autodeclaração (116) EXCLUÍDA da tarefa
Alguns minutos depois:
Status SIBE igual a AGUARDANDO PERÍCIA
Na opção  "Lista de Ocorrências", o json de integração com o SIBE deverá conter o campo "periodosPendentesSegEsp" com valor null.
</v>
      </c>
      <c r="K17" s="36"/>
      <c r="L17" s="45"/>
      <c r="M17" s="37"/>
      <c r="N17" s="38"/>
      <c r="O17" s="38"/>
      <c r="P17" s="39"/>
    </row>
    <row r="18" spans="2:16" ht="105">
      <c r="B18" s="40">
        <f>IF(ISERR(casostestes[[#This Row],[ID]]),"-",casostestes[[#This Row],[ID]])</f>
        <v>11</v>
      </c>
      <c r="C18" s="34" t="str">
        <f>IFERROR(IF(VLOOKUP($B18,casostestes[#Data],10)=0,"Não",VLOOKUP($B18,casostestes[#Data],10)), "-")</f>
        <v>Sim</v>
      </c>
      <c r="D18" s="35" t="str">
        <f>IFERROR(IF(VLOOKUP($B18,casostestes[#Data],2)=0,"-",VLOOKUP($B18,casostestes[#Data],2)), "-")</f>
        <v>Requerimento Inicial de BI</v>
      </c>
      <c r="E18" s="35" t="str">
        <f>IFERROR(IF(VLOOKUP($B18,casostestes[#Data],3)=0,"-",VLOOKUP($B18,casostestes[#Data],3)), "-")</f>
        <v>24
Criar tarefa de BI inicial fluxo ATESTMEDQ para categoria diferente de "Segurado especial" onde o parâmetro "Exige Autodeclaração" no Catálogo está ATIVADO
**Parâmetro PAT ligado: 144 - Fluxo ATESTMEDQ</v>
      </c>
      <c r="F18" s="35" t="str">
        <f>IFERROR(IF(VLOOKUP($B18,casostestes[#Data],4)=0,"-",VLOOKUP($B18,casostestes[#Data],4)),"-")</f>
        <v>EC</v>
      </c>
      <c r="G18" s="35" t="str">
        <f>IFERROR(IF(VLOOKUP($B18,casostestes[#Data],5)=0,"-",VLOOKUP($B18,casostestes[#Data],5)),"-")</f>
        <v>ENTIDADE_CONVENIADA</v>
      </c>
      <c r="H18" s="35" t="str">
        <f>IFERROR(IF(VLOOKUP($B18,casostestes[#Data],6)=0,"-",VLOOKUP($B18,casostestes[#Data],6)),"-")</f>
        <v xml:space="preserve">1. Logar no Portal do Atendimento INSS com o perfil do caso de teste
2.Criar tarefa de BI informando:
Tipo de Incapacidade? "Temporária "
A pessoa está presa?  Não
Categoria do trabalhador diferente de "Segurado Especial"
</v>
      </c>
      <c r="I18" s="35" t="str">
        <f>IFERROR(IF(VLOOKUP($B18,casostestes[#Data],8)=0,"-",VLOOKUP($B18,casostestes[#Data],8)),"-")</f>
        <v>-</v>
      </c>
      <c r="J18" s="35" t="str">
        <f>IFERROR(IF(VLOOKUP($B18,casostestes[#Data],9)=0,"-",VLOOKUP($B18,casostestes[#Data],9)),"-")</f>
        <v>Tarefa de BI criada com situação Pendente.
Tarefa SEM Divergência de autodeclaração (116)
Status SIBE igual a FLUXO NÃO INICIADO 
DPT: Tarefa.Exige_autodeclaração = 0</v>
      </c>
      <c r="K18" s="36"/>
      <c r="L18" s="45"/>
      <c r="M18" s="37"/>
      <c r="N18" s="38"/>
      <c r="O18" s="38"/>
      <c r="P18" s="39"/>
    </row>
    <row r="19" spans="2:16" ht="240">
      <c r="B19" s="40">
        <f>IF(ISERR(casostestes[[#This Row],[ID]]),"-",casostestes[[#This Row],[ID]])</f>
        <v>12</v>
      </c>
      <c r="C19" s="34" t="str">
        <f>IFERROR(IF(VLOOKUP($B19,casostestes[#Data],10)=0,"Não",VLOOKUP($B19,casostestes[#Data],10)), "-")</f>
        <v>Sim</v>
      </c>
      <c r="D19" s="35" t="str">
        <f>IFERROR(IF(VLOOKUP($B19,casostestes[#Data],2)=0,"-",VLOOKUP($B19,casostestes[#Data],2)), "-")</f>
        <v>Integração</v>
      </c>
      <c r="E19" s="35" t="str">
        <f>IFERROR(IF(VLOOKUP($B19,casostestes[#Data],3)=0,"-",VLOOKUP($B19,casostestes[#Data],3)), "-")</f>
        <v>26
Criar tarefa de BI inicial fluxo ATESTMEDQ para categoria "Segurado especial" onde o parâmetro "Exige Autodeclaração" no Catálogo está ATIVADO e a autodeclaração tem período pendente
**Parâmetro PAT ligado: 144 - Fluxo ATESTMEDQ</v>
      </c>
      <c r="F19" s="35" t="str">
        <f>IFERROR(IF(VLOOKUP($B19,casostestes[#Data],4)=0,"-",VLOOKUP($B19,casostestes[#Data],4)),"-")</f>
        <v>EC</v>
      </c>
      <c r="G19" s="35" t="str">
        <f>IFERROR(IF(VLOOKUP($B19,casostestes[#Data],5)=0,"-",VLOOKUP($B19,casostestes[#Data],5)),"-")</f>
        <v>ENTIDADE_CONVENIADA</v>
      </c>
      <c r="H19" s="35" t="str">
        <f>IFERROR(IF(VLOOKUP($B19,casostestes[#Data],6)=0,"-",VLOOKUP($B19,casostestes[#Data],6)),"-")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Cumprir exigência de documentos obrigatórios
4. Responder formulário da autodeclaração</v>
      </c>
      <c r="I19" s="35" t="str">
        <f>IFERROR(IF(VLOOKUP($B19,casostestes[#Data],8)=0,"-",VLOOKUP($B19,casostestes[#Data],8)),"-")</f>
        <v>-</v>
      </c>
      <c r="J19" s="35" t="str">
        <f>IFERROR(IF(VLOOKUP($B19,casostestes[#Data],9)=0,"-",VLOOKUP($B19,casostestes[#Data],9)),"-")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19" s="36"/>
      <c r="L19" s="45"/>
      <c r="M19" s="37"/>
      <c r="N19" s="38"/>
      <c r="O19" s="38"/>
      <c r="P19" s="39"/>
    </row>
    <row r="20" spans="2:16" ht="240">
      <c r="B20" s="40">
        <f>IF(ISERR(casostestes[[#This Row],[ID]]),"-",casostestes[[#This Row],[ID]])</f>
        <v>13</v>
      </c>
      <c r="C20" s="34" t="str">
        <f>IFERROR(IF(VLOOKUP($B20,casostestes[#Data],10)=0,"Não",VLOOKUP($B20,casostestes[#Data],10)), "-")</f>
        <v>Sim</v>
      </c>
      <c r="D20" s="35" t="str">
        <f>IFERROR(IF(VLOOKUP($B20,casostestes[#Data],2)=0,"-",VLOOKUP($B20,casostestes[#Data],2)), "-")</f>
        <v>Integração</v>
      </c>
      <c r="E20" s="35" t="str">
        <f>IFERROR(IF(VLOOKUP($B20,casostestes[#Data],3)=0,"-",VLOOKUP($B20,casostestes[#Data],3)), "-")</f>
        <v>27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0" s="35" t="str">
        <f>IFERROR(IF(VLOOKUP($B20,casostestes[#Data],4)=0,"-",VLOOKUP($B20,casostestes[#Data],4)),"-")</f>
        <v>EC</v>
      </c>
      <c r="G20" s="35" t="str">
        <f>IFERROR(IF(VLOOKUP($B20,casostestes[#Data],5)=0,"-",VLOOKUP($B20,casostestes[#Data],5)),"-")</f>
        <v>ENTIDADE_CONVENIADA</v>
      </c>
      <c r="H20" s="35" t="str">
        <f>IFERROR(IF(VLOOKUP($B20,casostestes[#Data],6)=0,"-",VLOOKUP($B20,casostestes[#Data],6)),"-")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Cumprir exigência de documentos obrigatórios
4. Responder formulário da autodeclaração</v>
      </c>
      <c r="I20" s="35" t="str">
        <f>IFERROR(IF(VLOOKUP($B20,casostestes[#Data],8)=0,"-",VLOOKUP($B20,casostestes[#Data],8)),"-")</f>
        <v>-</v>
      </c>
      <c r="J20" s="35" t="str">
        <f>IFERROR(IF(VLOOKUP($B20,casostestes[#Data],9)=0,"-",VLOOKUP($B20,casostestes[#Data],9)),"-")</f>
        <v xml:space="preserve">
Tarefa de BI criada com situação Pendente.
Tarefa SEM Divergência de autodeclaração (116).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20" s="36"/>
      <c r="L20" s="45"/>
      <c r="M20" s="37"/>
      <c r="N20" s="38"/>
      <c r="O20" s="38"/>
      <c r="P20" s="39"/>
    </row>
    <row r="21" spans="2:16" ht="210">
      <c r="B21" s="40">
        <f>IF(ISERR(casostestes[[#This Row],[ID]]),"-",casostestes[[#This Row],[ID]])</f>
        <v>14</v>
      </c>
      <c r="C21" s="34" t="str">
        <f>IFERROR(IF(VLOOKUP($B21,casostestes[#Data],10)=0,"Não",VLOOKUP($B21,casostestes[#Data],10)), "-")</f>
        <v>Sim</v>
      </c>
      <c r="D21" s="35" t="str">
        <f>IFERROR(IF(VLOOKUP($B21,casostestes[#Data],2)=0,"-",VLOOKUP($B21,casostestes[#Data],2)), "-")</f>
        <v>Integração</v>
      </c>
      <c r="E21" s="35" t="str">
        <f>IFERROR(IF(VLOOKUP($B21,casostestes[#Data],3)=0,"-",VLOOKUP($B21,casostestes[#Data],3)), "-")</f>
        <v>29
Cumprir a exigência de autodeclaração</v>
      </c>
      <c r="F21" s="35" t="str">
        <f>IFERROR(IF(VLOOKUP($B21,casostestes[#Data],4)=0,"-",VLOOKUP($B21,casostestes[#Data],4)),"-")</f>
        <v>PAT</v>
      </c>
      <c r="G21" s="35" t="str">
        <f>IFERROR(IF(VLOOKUP($B21,casostestes[#Data],5)=0,"-",VLOOKUP($B21,casostestes[#Data],5)),"-")</f>
        <v>ENTIDADE_CONVENIADA</v>
      </c>
      <c r="H21" s="35" t="str">
        <f>IFERROR(IF(VLOOKUP($B21,casostestes[#Data],6)=0,"-",VLOOKUP($B21,casostestes[#Data],6)),"-")</f>
        <v>1. Logar no Portal do Atendimento INSS com o perfil do caso de teste
2.Consultar uma tarefa em exigência de autodeclaração, detalhar e em seguida e acionar  a aba Cumprir Exigência  
3. Responder o formulário de autodeclaração até o final</v>
      </c>
      <c r="I21" s="35" t="str">
        <f>IFERROR(IF(VLOOKUP($B21,casostestes[#Data],8)=0,"-",VLOOKUP($B21,casostestes[#Data],8)),"-")</f>
        <v>-</v>
      </c>
      <c r="J21" s="35" t="str">
        <f>IFERROR(IF(VLOOKUP($B21,casostestes[#Data],9)=0,"-",VLOOKUP($B21,casostestes[#Data],9)),"-")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1" s="36"/>
      <c r="L21" s="45"/>
      <c r="M21" s="37"/>
      <c r="N21" s="38"/>
      <c r="O21" s="38"/>
      <c r="P21" s="39"/>
    </row>
    <row r="22" spans="2:16" ht="210">
      <c r="B22" s="40">
        <f>IF(ISERR(casostestes[[#This Row],[ID]]),"-",casostestes[[#This Row],[ID]])</f>
        <v>15</v>
      </c>
      <c r="C22" s="34" t="str">
        <f>IFERROR(IF(VLOOKUP($B22,casostestes[#Data],10)=0,"Não",VLOOKUP($B22,casostestes[#Data],10)), "-")</f>
        <v>Sim</v>
      </c>
      <c r="D22" s="35" t="str">
        <f>IFERROR(IF(VLOOKUP($B22,casostestes[#Data],2)=0,"-",VLOOKUP($B22,casostestes[#Data],2)), "-")</f>
        <v>Integração</v>
      </c>
      <c r="E22" s="35" t="str">
        <f>IFERROR(IF(VLOOKUP($B22,casostestes[#Data],3)=0,"-",VLOOKUP($B22,casostestes[#Data],3)), "-")</f>
        <v>30
Cumprir a exigência de autodeclaração</v>
      </c>
      <c r="F22" s="35" t="str">
        <f>IFERROR(IF(VLOOKUP($B22,casostestes[#Data],4)=0,"-",VLOOKUP($B22,casostestes[#Data],4)),"-")</f>
        <v>PAT</v>
      </c>
      <c r="G22" s="35" t="str">
        <f>IFERROR(IF(VLOOKUP($B22,casostestes[#Data],5)=0,"-",VLOOKUP($B22,casostestes[#Data],5)),"-")</f>
        <v>ENTIDADE_CONVENIADA_CORREIOS</v>
      </c>
      <c r="H22" s="35" t="str">
        <f>IFERROR(IF(VLOOKUP($B22,casostestes[#Data],6)=0,"-",VLOOKUP($B22,casostestes[#Data],6)),"-")</f>
        <v>1. Logar no Portal do Atendimento INSS com o perfil EC - CORREIOS
2. Acionar a aba Exigências e consultar uma tarefa em exigência de autodeclaração
3. Detalhar a tarefa e em seguida acionar  a opção Cumprir Exigência  
3. Responder o formulário de autodeclaração até o final</v>
      </c>
      <c r="I22" s="35" t="str">
        <f>IFERROR(IF(VLOOKUP($B22,casostestes[#Data],8)=0,"-",VLOOKUP($B22,casostestes[#Data],8)),"-")</f>
        <v>-</v>
      </c>
      <c r="J22" s="35" t="str">
        <f>IFERROR(IF(VLOOKUP($B22,casostestes[#Data],9)=0,"-",VLOOKUP($B22,casostestes[#Data],9)),"-")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2" s="36"/>
      <c r="L22" s="45"/>
      <c r="M22" s="37"/>
      <c r="N22" s="38"/>
      <c r="O22" s="38"/>
      <c r="P22" s="39"/>
    </row>
    <row r="23" spans="2:16" ht="180">
      <c r="B23" s="40">
        <f>IF(ISERR(casostestes[[#This Row],[ID]]),"-",casostestes[[#This Row],[ID]])</f>
        <v>16</v>
      </c>
      <c r="C23" s="34" t="str">
        <f>IFERROR(IF(VLOOKUP($B23,casostestes[#Data],10)=0,"Não",VLOOKUP($B23,casostestes[#Data],10)), "-")</f>
        <v>Sim</v>
      </c>
      <c r="D23" s="35" t="str">
        <f>IFERROR(IF(VLOOKUP($B23,casostestes[#Data],2)=0,"-",VLOOKUP($B23,casostestes[#Data],2)), "-")</f>
        <v>Integração</v>
      </c>
      <c r="E23" s="35" t="str">
        <f>IFERROR(IF(VLOOKUP($B23,casostestes[#Data],3)=0,"-",VLOOKUP($B23,casostestes[#Data],3)), "-")</f>
        <v>31
Responder o formulário de autodeclaração acessando diretamente a aba segurado especial ao detalhar a tarefa, onde a tarefa encontra-se em exigência de documento médico
Será posível acessar diretamente a autodeclaração logado como EC?</v>
      </c>
      <c r="F23" s="35" t="str">
        <f>IFERROR(IF(VLOOKUP($B23,casostestes[#Data],4)=0,"-",VLOOKUP($B23,casostestes[#Data],4)),"-")</f>
        <v>PAT</v>
      </c>
      <c r="G23" s="35" t="str">
        <f>IFERROR(IF(VLOOKUP($B23,casostestes[#Data],5)=0,"-",VLOOKUP($B23,casostestes[#Data],5)),"-")</f>
        <v>ENTIDADE_CONVENIADA</v>
      </c>
      <c r="H23" s="35" t="str">
        <f>IFERROR(IF(VLOOKUP($B23,casostestes[#Data],6)=0,"-",VLOOKUP($B23,casostestes[#Data],6)),"-")</f>
        <v>1. Logar no Portal do Atendimento INSS com o perfil do caso se teste
2.Consultar uma tarefa em exigência de dautodeclaração
3. Acionar a aba Segurado especial
3. Responder o formulário de autodeclaração até o final</v>
      </c>
      <c r="I23" s="35" t="str">
        <f>IFERROR(IF(VLOOKUP($B23,casostestes[#Data],8)=0,"-",VLOOKUP($B23,casostestes[#Data],8)),"-")</f>
        <v>-</v>
      </c>
      <c r="J23" s="35" t="str">
        <f>IFERROR(IF(VLOOKUP($B23,casostestes[#Data],9)=0,"-",VLOOKUP($B23,casostestes[#Data],9)),"-")</f>
        <v xml:space="preserve">
Tarefa de BI com situação alterada para Pendente 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3" s="36"/>
      <c r="L23" s="45"/>
      <c r="M23" s="37"/>
      <c r="N23" s="38"/>
      <c r="O23" s="38"/>
      <c r="P23" s="39"/>
    </row>
    <row r="24" spans="2:16" ht="105">
      <c r="B24" s="40">
        <f>IF(ISERR(casostestes[[#This Row],[ID]]),"-",casostestes[[#This Row],[ID]])</f>
        <v>17</v>
      </c>
      <c r="C24" s="34" t="str">
        <f>IFERROR(IF(VLOOKUP($B24,casostestes[#Data],10)=0,"Não",VLOOKUP($B24,casostestes[#Data],10)), "-")</f>
        <v>Sim</v>
      </c>
      <c r="D24" s="35" t="str">
        <f>IFERROR(IF(VLOOKUP($B24,casostestes[#Data],2)=0,"-",VLOOKUP($B24,casostestes[#Data],2)), "-")</f>
        <v>Integração</v>
      </c>
      <c r="E24" s="35" t="str">
        <f>IFERROR(IF(VLOOKUP($B24,casostestes[#Data],3)=0,"-",VLOOKUP($B24,casostestes[#Data],3)), "-")</f>
        <v xml:space="preserve">32
Responder o formulário de autodeclaração acessando diretamente a aba segurado especial ao detalhar a tarefa, onde a tarefa encontra-se em exigência de documento médico
</v>
      </c>
      <c r="F24" s="35" t="str">
        <f>IFERROR(IF(VLOOKUP($B24,casostestes[#Data],4)=0,"-",VLOOKUP($B24,casostestes[#Data],4)),"-")</f>
        <v>PAT</v>
      </c>
      <c r="G24" s="35" t="str">
        <f>IFERROR(IF(VLOOKUP($B24,casostestes[#Data],5)=0,"-",VLOOKUP($B24,casostestes[#Data],5)),"-")</f>
        <v>ENTIDADE_CONVENIADA</v>
      </c>
      <c r="H24" s="35" t="str">
        <f>IFERROR(IF(VLOOKUP($B24,casostestes[#Data],6)=0,"-",VLOOKUP($B24,casostestes[#Data],6)),"-")</f>
        <v>1. Logar no Portal do Atendimento INSS com o perfil do caso se teste
2.Consultar uma tarefa em exigência de documento médico
3. Acionar a aba Segurado especial
3. Responder o formulário de autodeclaração até o final</v>
      </c>
      <c r="I24" s="35" t="str">
        <f>IFERROR(IF(VLOOKUP($B24,casostestes[#Data],8)=0,"-",VLOOKUP($B24,casostestes[#Data],8)),"-")</f>
        <v>-</v>
      </c>
      <c r="J24" s="35" t="str">
        <f>IFERROR(IF(VLOOKUP($B24,casostestes[#Data],9)=0,"-",VLOOKUP($B24,casostestes[#Data],9)),"-")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24" s="36"/>
      <c r="L24" s="45"/>
      <c r="M24" s="37"/>
      <c r="N24" s="38"/>
      <c r="O24" s="38"/>
      <c r="P24" s="39"/>
    </row>
    <row r="25" spans="2:16" ht="135">
      <c r="B25" s="40">
        <f>IF(ISERR(casostestes[[#This Row],[ID]]),"-",casostestes[[#This Row],[ID]])</f>
        <v>18</v>
      </c>
      <c r="C25" s="34" t="str">
        <f>IFERROR(IF(VLOOKUP($B25,casostestes[#Data],10)=0,"Não",VLOOKUP($B25,casostestes[#Data],10)), "-")</f>
        <v>Sim</v>
      </c>
      <c r="D25" s="35" t="str">
        <f>IFERROR(IF(VLOOKUP($B25,casostestes[#Data],2)=0,"-",VLOOKUP($B25,casostestes[#Data],2)), "-")</f>
        <v>Requerimento Inicial de BI</v>
      </c>
      <c r="E25" s="35" t="str">
        <f>IFERROR(IF(VLOOKUP($B25,casostestes[#Data],3)=0,"-",VLOOKUP($B25,casostestes[#Data],3)), "-")</f>
        <v>34
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25" s="35" t="str">
        <f>IFERROR(IF(VLOOKUP($B25,casostestes[#Data],4)=0,"-",VLOOKUP($B25,casostestes[#Data],4)),"-")</f>
        <v>Meu INSS</v>
      </c>
      <c r="G25" s="35" t="str">
        <f>IFERROR(IF(VLOOKUP($B25,casostestes[#Data],5)=0,"-",VLOOKUP($B25,casostestes[#Data],5)),"-")</f>
        <v>INTERESSADO</v>
      </c>
      <c r="H25" s="35" t="str">
        <f>IFERROR(IF(VLOOKUP($B25,casostestes[#Data],6)=0,"-",VLOOKUP($B25,casostestes[#Data],6)),"-")</f>
        <v>1. Logar no  Meu INSS
2.Criar tarefa de BI informando:
Tipo de Incapacidade? "Permanente"
A pessoa está presa?  Não
Categoria do trabalhador diferente de "Segurado Especial"
3. Criar o agendamento da perícia</v>
      </c>
      <c r="I25" s="35" t="str">
        <f>IFERROR(IF(VLOOKUP($B25,casostestes[#Data],8)=0,"-",VLOOKUP($B25,casostestes[#Data],8)),"-")</f>
        <v>-</v>
      </c>
      <c r="J25" s="35" t="str">
        <f>IFERROR(IF(VLOOKUP($B25,casostestes[#Data],9)=0,"-",VLOOKUP($B25,casostestes[#Data],9)),"-")</f>
        <v>Tarefa de BI criada com situação Pendente.
Tarefa SEM Divergência de autodeclaração (116)
Status SIBE igual a  AGUARDANDO PERÍCIA
Tarefa.Exige_autodeclaração = 0</v>
      </c>
      <c r="K25" s="36"/>
      <c r="L25" s="45"/>
      <c r="M25" s="37"/>
      <c r="N25" s="38"/>
      <c r="O25" s="38"/>
      <c r="P25" s="39"/>
    </row>
    <row r="26" spans="2:16" ht="255">
      <c r="B26" s="40">
        <f>IF(ISERR(casostestes[[#This Row],[ID]]),"-",casostestes[[#This Row],[ID]])</f>
        <v>19</v>
      </c>
      <c r="C26" s="34" t="str">
        <f>IFERROR(IF(VLOOKUP($B26,casostestes[#Data],10)=0,"Não",VLOOKUP($B26,casostestes[#Data],10)), "-")</f>
        <v>Sim</v>
      </c>
      <c r="D26" s="35" t="str">
        <f>IFERROR(IF(VLOOKUP($B26,casostestes[#Data],2)=0,"-",VLOOKUP($B26,casostestes[#Data],2)), "-")</f>
        <v>Integração</v>
      </c>
      <c r="E26" s="35" t="str">
        <f>IFERROR(IF(VLOOKUP($B26,casostestes[#Data],3)=0,"-",VLOOKUP($B26,casostestes[#Data],3)), "-")</f>
        <v>35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26" s="35" t="str">
        <f>IFERROR(IF(VLOOKUP($B26,casostestes[#Data],4)=0,"-",VLOOKUP($B26,casostestes[#Data],4)),"-")</f>
        <v>Meu INSS</v>
      </c>
      <c r="G26" s="35" t="str">
        <f>IFERROR(IF(VLOOKUP($B26,casostestes[#Data],5)=0,"-",VLOOKUP($B26,casostestes[#Data],5)),"-")</f>
        <v>INTERESSADO</v>
      </c>
      <c r="H26" s="35" t="str">
        <f>IFERROR(IF(VLOOKUP($B26,casostestes[#Data],6)=0,"-",VLOOKUP($B26,casostestes[#Data],6)),"-")</f>
        <v>1. Logar no  Meu INSS
2.Criar tarefa de BI informando:
Tipo de Incapacidade? "Temporária "
A pessoa está presa?  Não
Categoria do trabalhador "Segurado Especial"
A pessoa ficou sem trabalhar? Sim
3. Responder formulário da autodeclaração</v>
      </c>
      <c r="I26" s="35" t="str">
        <f>IFERROR(IF(VLOOKUP($B26,casostestes[#Data],8)=0,"-",VLOOKUP($B26,casostestes[#Data],8)),"-")</f>
        <v>-</v>
      </c>
      <c r="J26" s="35" t="str">
        <f>IFERROR(IF(VLOOKUP($B26,casostestes[#Data],9)=0,"-",VLOOKUP($B26,casostestes[#Data],9)),"-")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26" s="36"/>
      <c r="L26" s="45"/>
      <c r="M26" s="37"/>
      <c r="N26" s="38"/>
      <c r="O26" s="38"/>
      <c r="P26" s="39"/>
    </row>
    <row r="27" spans="2:16" ht="255">
      <c r="B27" s="40">
        <f>IF(ISERR(casostestes[[#This Row],[ID]]),"-",casostestes[[#This Row],[ID]])</f>
        <v>20</v>
      </c>
      <c r="C27" s="34" t="str">
        <f>IFERROR(IF(VLOOKUP($B27,casostestes[#Data],10)=0,"Não",VLOOKUP($B27,casostestes[#Data],10)), "-")</f>
        <v>Sim</v>
      </c>
      <c r="D27" s="35" t="str">
        <f>IFERROR(IF(VLOOKUP($B27,casostestes[#Data],2)=0,"-",VLOOKUP($B27,casostestes[#Data],2)), "-")</f>
        <v>Integração</v>
      </c>
      <c r="E27" s="35" t="str">
        <f>IFERROR(IF(VLOOKUP($B27,casostestes[#Data],3)=0,"-",VLOOKUP($B27,casostestes[#Data],3)), "-")</f>
        <v>36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7" s="35" t="str">
        <f>IFERROR(IF(VLOOKUP($B27,casostestes[#Data],4)=0,"-",VLOOKUP($B27,casostestes[#Data],4)),"-")</f>
        <v>Meu INSS</v>
      </c>
      <c r="G27" s="35" t="str">
        <f>IFERROR(IF(VLOOKUP($B27,casostestes[#Data],5)=0,"-",VLOOKUP($B27,casostestes[#Data],5)),"-")</f>
        <v>INTERESSADO</v>
      </c>
      <c r="H27" s="35" t="str">
        <f>IFERROR(IF(VLOOKUP($B27,casostestes[#Data],6)=0,"-",VLOOKUP($B27,casostestes[#Data],6)),"-")</f>
        <v>1. Logar no  Meu INSS
2.Criar tarefa de BI informando:
Tipo de Incapacidade? "Temporária "
A pessoa está presa?  Não
Categoria do trabalhador "Segurado Especial"
A pessoa ficou sem trabalhar? Sim
3. Responder a autodeclaração</v>
      </c>
      <c r="I27" s="35" t="str">
        <f>IFERROR(IF(VLOOKUP($B27,casostestes[#Data],8)=0,"-",VLOOKUP($B27,casostestes[#Data],8)),"-")</f>
        <v>-</v>
      </c>
      <c r="J27" s="35" t="str">
        <f>IFERROR(IF(VLOOKUP($B27,casostestes[#Data],9)=0,"-",VLOOKUP($B27,casostestes[#Data],9)),"-")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27" s="36"/>
      <c r="L27" s="45"/>
      <c r="M27" s="37"/>
      <c r="N27" s="38"/>
      <c r="O27" s="38"/>
      <c r="P27" s="39"/>
    </row>
    <row r="28" spans="2:16" ht="180">
      <c r="B28" s="40">
        <f>IF(ISERR(casostestes[[#This Row],[ID]]),"-",casostestes[[#This Row],[ID]])</f>
        <v>21</v>
      </c>
      <c r="C28" s="34" t="str">
        <f>IFERROR(IF(VLOOKUP($B28,casostestes[#Data],10)=0,"Não",VLOOKUP($B28,casostestes[#Data],10)), "-")</f>
        <v>Sim</v>
      </c>
      <c r="D28" s="35" t="str">
        <f>IFERROR(IF(VLOOKUP($B28,casostestes[#Data],2)=0,"-",VLOOKUP($B28,casostestes[#Data],2)), "-")</f>
        <v>Requerimento Inicial de BI</v>
      </c>
      <c r="E28" s="35" t="str">
        <f>IFERROR(IF(VLOOKUP($B28,casostestes[#Data],3)=0,"-",VLOOKUP($B28,casostestes[#Data],3)), "-")</f>
        <v>37
Criar tarefa de BI inicial fluxo ATESTMEDQ para categoria "Segurado especial" onde o parâmetro "Exige Autodeclaração" no Catálogo está ATIVADO e  NÃO foi respondida a autodeclaração
**Parâmetro PAT ligado: 144 - Fluxo ATESTMEDQ</v>
      </c>
      <c r="F28" s="35" t="str">
        <f>IFERROR(IF(VLOOKUP($B28,casostestes[#Data],4)=0,"-",VLOOKUP($B28,casostestes[#Data],4)),"-")</f>
        <v>Meu INSS</v>
      </c>
      <c r="G28" s="35" t="str">
        <f>IFERROR(IF(VLOOKUP($B28,casostestes[#Data],5)=0,"-",VLOOKUP($B28,casostestes[#Data],5)),"-")</f>
        <v>INTERESSADO</v>
      </c>
      <c r="H28" s="35" t="str">
        <f>IFERROR(IF(VLOOKUP($B28,casostestes[#Data],6)=0,"-",VLOOKUP($B28,casostestes[#Data],6)),"-")</f>
        <v>1. Logar no  Meu INSS
2.Criar tarefa de BI informando:
Tipo de Incapacidade? "Temporária "
A pessoa está presa?  Não
Categoria do trabalhador "Segurado Especial"
A pessoa ficou sem trabalhar? Não
3. NÃO Responder a autodeclaração</v>
      </c>
      <c r="I28" s="35" t="str">
        <f>IFERROR(IF(VLOOKUP($B28,casostestes[#Data],8)=0,"-",VLOOKUP($B28,casostestes[#Data],8)),"-")</f>
        <v>-</v>
      </c>
      <c r="J28" s="35" t="str">
        <f>IFERROR(IF(VLOOKUP($B28,casostestes[#Data],9)=0,"-",VLOOKUP($B28,casostestes[#Data],9)),"-")</f>
        <v xml:space="preserve">
"Tarefa de BI criada com situação Pendente.
Status SIBE igual a  FLUXO NÃO INICIADO
Divergência de autodeclaração (116) incluída na tarefa
Após execução workflow:
Tarefa de BI com situação alterada para Exigência .
DTP:
Campo Exige_autodeclaração = 1"
</v>
      </c>
      <c r="K28" s="36"/>
      <c r="L28" s="45"/>
      <c r="M28" s="37"/>
      <c r="N28" s="38"/>
      <c r="O28" s="38"/>
      <c r="P28" s="39"/>
    </row>
    <row r="29" spans="2:16" ht="225">
      <c r="B29" s="40">
        <f>IF(ISERR(casostestes[[#This Row],[ID]]),"-",casostestes[[#This Row],[ID]])</f>
        <v>22</v>
      </c>
      <c r="C29" s="34" t="str">
        <f>IFERROR(IF(VLOOKUP($B29,casostestes[#Data],10)=0,"Não",VLOOKUP($B29,casostestes[#Data],10)), "-")</f>
        <v>Sim</v>
      </c>
      <c r="D29" s="35" t="str">
        <f>IFERROR(IF(VLOOKUP($B29,casostestes[#Data],2)=0,"-",VLOOKUP($B29,casostestes[#Data],2)), "-")</f>
        <v>Integração</v>
      </c>
      <c r="E29" s="35" t="str">
        <f>IFERROR(IF(VLOOKUP($B29,casostestes[#Data],3)=0,"-",VLOOKUP($B29,casostestes[#Data],3)), "-")</f>
        <v>38
Cumprir a exigência de autodeclaração</v>
      </c>
      <c r="F29" s="35" t="str">
        <f>IFERROR(IF(VLOOKUP($B29,casostestes[#Data],4)=0,"-",VLOOKUP($B29,casostestes[#Data],4)),"-")</f>
        <v>Meu INSS</v>
      </c>
      <c r="G29" s="35" t="str">
        <f>IFERROR(IF(VLOOKUP($B29,casostestes[#Data],5)=0,"-",VLOOKUP($B29,casostestes[#Data],5)),"-")</f>
        <v>INTERESSADO</v>
      </c>
      <c r="H29" s="35" t="str">
        <f>IFERROR(IF(VLOOKUP($B29,casostestes[#Data],6)=0,"-",VLOOKUP($B29,casostestes[#Data],6)),"-")</f>
        <v>1. Logar no  Meu INSS
2.Consultar uma tarefa em exigência de autodeclaração e acionar Cumprir Exigência  
3. Responder o formulário de autodeclaração</v>
      </c>
      <c r="I29" s="35" t="str">
        <f>IFERROR(IF(VLOOKUP($B29,casostestes[#Data],8)=0,"-",VLOOKUP($B29,casostestes[#Data],8)),"-")</f>
        <v>-</v>
      </c>
      <c r="J29" s="35" t="str">
        <f>IFERROR(IF(VLOOKUP($B29,casostestes[#Data],9)=0,"-",VLOOKUP($B29,casostestes[#Data],9)),"-")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9" s="36"/>
      <c r="L29" s="45"/>
      <c r="M29" s="37"/>
      <c r="N29" s="38"/>
      <c r="O29" s="38"/>
      <c r="P29" s="39"/>
    </row>
    <row r="30" spans="2:16" ht="180">
      <c r="B30" s="40">
        <f>IF(ISERR(casostestes[[#This Row],[ID]]),"-",casostestes[[#This Row],[ID]])</f>
        <v>23</v>
      </c>
      <c r="C30" s="34" t="str">
        <f>IFERROR(IF(VLOOKUP($B30,casostestes[#Data],10)=0,"Não",VLOOKUP($B30,casostestes[#Data],10)), "-")</f>
        <v>Sim</v>
      </c>
      <c r="D30" s="35" t="str">
        <f>IFERROR(IF(VLOOKUP($B30,casostestes[#Data],2)=0,"-",VLOOKUP($B30,casostestes[#Data],2)), "-")</f>
        <v>Integração</v>
      </c>
      <c r="E30" s="35" t="str">
        <f>IFERROR(IF(VLOOKUP($B30,casostestes[#Data],3)=0,"-",VLOOKUP($B30,casostestes[#Data],3)), "-")</f>
        <v>39
Responder o formulário de autodeclaração acionando a opção de autodeclaração no card do pedido onde a tarefa encontra-se em exigência de autodeclaração
Será posível acessar diretamente a autodeclaração logado no Meu INSS?</v>
      </c>
      <c r="F30" s="35" t="str">
        <f>IFERROR(IF(VLOOKUP($B30,casostestes[#Data],4)=0,"-",VLOOKUP($B30,casostestes[#Data],4)),"-")</f>
        <v>Meu INSS</v>
      </c>
      <c r="G30" s="35" t="str">
        <f>IFERROR(IF(VLOOKUP($B30,casostestes[#Data],5)=0,"-",VLOOKUP($B30,casostestes[#Data],5)),"-")</f>
        <v>INTERESSADO</v>
      </c>
      <c r="H30" s="35" t="str">
        <f>IFERROR(IF(VLOOKUP($B30,casostestes[#Data],6)=0,"-",VLOOKUP($B30,casostestes[#Data],6)),"-")</f>
        <v>1. Logar no  Meu INSS
2.Consultar uma tarefa em exigência de autodeclaração
3. Acionar no card do pedido a opção de Autodeclaração   
3. Responder o formulário de autodeclaração</v>
      </c>
      <c r="I30" s="35" t="str">
        <f>IFERROR(IF(VLOOKUP($B30,casostestes[#Data],8)=0,"-",VLOOKUP($B30,casostestes[#Data],8)),"-")</f>
        <v>-</v>
      </c>
      <c r="J30" s="35" t="str">
        <f>IFERROR(IF(VLOOKUP($B30,casostestes[#Data],9)=0,"-",VLOOKUP($B30,casostestes[#Data],9)),"-")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0" s="36"/>
      <c r="L30" s="45"/>
      <c r="M30" s="37"/>
      <c r="N30" s="38"/>
      <c r="O30" s="38"/>
      <c r="P30" s="39"/>
    </row>
    <row r="31" spans="2:16" ht="105">
      <c r="B31" s="40">
        <f>IF(ISERR(casostestes[[#This Row],[ID]]),"-",casostestes[[#This Row],[ID]])</f>
        <v>24</v>
      </c>
      <c r="C31" s="34" t="str">
        <f>IFERROR(IF(VLOOKUP($B31,casostestes[#Data],10)=0,"Não",VLOOKUP($B31,casostestes[#Data],10)), "-")</f>
        <v>Sim</v>
      </c>
      <c r="D31" s="35" t="str">
        <f>IFERROR(IF(VLOOKUP($B31,casostestes[#Data],2)=0,"-",VLOOKUP($B31,casostestes[#Data],2)), "-")</f>
        <v>Integração</v>
      </c>
      <c r="E31" s="35" t="str">
        <f>IFERROR(IF(VLOOKUP($B31,casostestes[#Data],3)=0,"-",VLOOKUP($B31,casostestes[#Data],3)), "-")</f>
        <v>40
Responder o formulário de autodeclaração acionando a opção de autodeclaração no card do pedido onde a tarefa encontra-se em exigência de documento médico
Será posível acessar diretamente a autodeclaração logado no Meu INSS?</v>
      </c>
      <c r="F31" s="35" t="str">
        <f>IFERROR(IF(VLOOKUP($B31,casostestes[#Data],4)=0,"-",VLOOKUP($B31,casostestes[#Data],4)),"-")</f>
        <v>Meu INSS</v>
      </c>
      <c r="G31" s="35" t="str">
        <f>IFERROR(IF(VLOOKUP($B31,casostestes[#Data],5)=0,"-",VLOOKUP($B31,casostestes[#Data],5)),"-")</f>
        <v>INTERESSADO</v>
      </c>
      <c r="H31" s="35" t="str">
        <f>IFERROR(IF(VLOOKUP($B31,casostestes[#Data],6)=0,"-",VLOOKUP($B31,casostestes[#Data],6)),"-")</f>
        <v>1. Logar no  Meu INSS
2.Consultar uma tarefa em exigência de documento médico 
3. Acionar no card do pedido a opção de Autodeclaração   
3. Responder o formulário de autodeclaração</v>
      </c>
      <c r="I31" s="35" t="str">
        <f>IFERROR(IF(VLOOKUP($B31,casostestes[#Data],8)=0,"-",VLOOKUP($B31,casostestes[#Data],8)),"-")</f>
        <v>-</v>
      </c>
      <c r="J31" s="35" t="str">
        <f>IFERROR(IF(VLOOKUP($B31,casostestes[#Data],9)=0,"-",VLOOKUP($B31,casostestes[#Data],9)),"-")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31" s="36"/>
      <c r="L31" s="45"/>
      <c r="M31" s="37"/>
      <c r="N31" s="38"/>
      <c r="O31" s="38"/>
      <c r="P31" s="39"/>
    </row>
    <row r="32" spans="2:16" ht="409.5">
      <c r="B32" s="40">
        <f>IF(ISERR(casostestes[[#This Row],[ID]]),"-",casostestes[[#This Row],[ID]])</f>
        <v>25</v>
      </c>
      <c r="C32" s="34" t="str">
        <f>IFERROR(IF(VLOOKUP($B32,casostestes[#Data],10)=0,"Não",VLOOKUP($B32,casostestes[#Data],10)), "-")</f>
        <v>Sim</v>
      </c>
      <c r="D32" s="35" t="str">
        <f>IFERROR(IF(VLOOKUP($B32,casostestes[#Data],2)=0,"-",VLOOKUP($B32,casostestes[#Data],2)), "-")</f>
        <v>Integração</v>
      </c>
      <c r="E32" s="35" t="str">
        <f>IFERROR(IF(VLOOKUP($B32,casostestes[#Data],3)=0,"-",VLOOKUP($B32,casostestes[#Data],3)), "-")</f>
        <v xml:space="preserve">
41
'Criar tarefa de BI inicial fluxo ATESTMEDQ para categoria "Segurado especial" onde o parâmetro "Exige Autodeclaração" no Catálogo está ATIVADO, 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2" s="35" t="str">
        <f>IFERROR(IF(VLOOKUP($B32,casostestes[#Data],4)=0,"-",VLOOKUP($B32,casostestes[#Data],4)),"-")</f>
        <v>PAT</v>
      </c>
      <c r="G32" s="35" t="str">
        <f>IFERROR(IF(VLOOKUP($B32,casostestes[#Data],5)=0,"-",VLOOKUP($B32,casostestes[#Data],5)),"-")</f>
        <v>SERVIDOR</v>
      </c>
      <c r="H32" s="35" t="str">
        <f>IFERROR(IF(VLOOKUP($B32,casostestes[#Data],6)=0,"-",VLOOKUP($B32,casostestes[#Data],6)),"-")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Responder o formulário de autodeclaração
Resultado 1
5. Executar o serviço do STD simulando enquadramento na regra da análise de risco
- Inclusão da divergência 202 (ORIENTAÇÕES NA ABA MASSA)   
Resultado 2
</v>
      </c>
      <c r="I32" s="35" t="str">
        <f>IFERROR(IF(VLOOKUP($B32,casostestes[#Data],8)=0,"-",VLOOKUP($B32,casostestes[#Data],8)),"-")</f>
        <v>-</v>
      </c>
      <c r="J32" s="35" t="str">
        <f>IFERROR(IF(VLOOKUP($B32,casostestes[#Data],9)=0,"-",VLOOKUP($B32,casostestes[#Data],9)),"-")</f>
        <v xml:space="preserve">Resultado 1:
Tarefa de BI criada com situação Pendente.
Tarefa SEM a Divergência de autodeclaração (116)  
Status SIBE igual a  FLUXO NÃO INICIADO
Seção campos adicionais:
"Fluxo Inicial e final do BI" deve ter o valor  "ATESTMEDQ"
DTP:  Campo Exige_autodeclaração = 1
Aguardar alguns minutos após a geração automática do PDF da autodeclaração:
Status SIBE continua igual a  FLUXO NÃO INICIADO
Resultado 2 - Após a execução do serviço do STD:  
- Cerca de 5 minutos depois, será exibida a divergência da Análise de Risco (202) no requerimento
- Alguns minutos depois:
Status SIBE igual a AGUARDANDO PERÍCIA
- Ocorrências de integração (com SIBE)
 "tipoInformacaoMedica":0
 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 Seção "Agendamentos (Perícia)":
- A etapa_pericia apresentará o valor AGUARDANDO AGENDAMENTO 
Aba Despachos:
-Inclusão do despacho de exigência de agendamento
</v>
      </c>
      <c r="K32" s="36"/>
      <c r="L32" s="45"/>
      <c r="M32" s="37"/>
      <c r="N32" s="38"/>
      <c r="O32" s="38"/>
      <c r="P32" s="39"/>
    </row>
    <row r="33" spans="2:16" ht="409.5">
      <c r="B33" s="40">
        <f>IF(ISERR(casostestes[[#This Row],[ID]]),"-",casostestes[[#This Row],[ID]])</f>
        <v>26</v>
      </c>
      <c r="C33" s="34" t="str">
        <f>IFERROR(IF(VLOOKUP($B33,casostestes[#Data],10)=0,"Não",VLOOKUP($B33,casostestes[#Data],10)), "-")</f>
        <v>Sim</v>
      </c>
      <c r="D33" s="35" t="str">
        <f>IFERROR(IF(VLOOKUP($B33,casostestes[#Data],2)=0,"-",VLOOKUP($B33,casostestes[#Data],2)), "-")</f>
        <v>Integração</v>
      </c>
      <c r="E33" s="35" t="str">
        <f>IFERROR(IF(VLOOKUP($B33,casostestes[#Data],3)=0,"-",VLOOKUP($B33,casostestes[#Data],3)), "-")</f>
        <v xml:space="preserve">42'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3" s="35" t="str">
        <f>IFERROR(IF(VLOOKUP($B33,casostestes[#Data],4)=0,"-",VLOOKUP($B33,casostestes[#Data],4)),"-")</f>
        <v>PAT</v>
      </c>
      <c r="G33" s="35" t="str">
        <f>IFERROR(IF(VLOOKUP($B33,casostestes[#Data],5)=0,"-",VLOOKUP($B33,casostestes[#Data],5)),"-")</f>
        <v>SERVIDOR</v>
      </c>
      <c r="H33" s="35" t="str">
        <f>IFERROR(IF(VLOOKUP($B33,casostestes[#Data],6)=0,"-",VLOOKUP($B33,casostestes[#Data],6)),"-")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33" s="35" t="str">
        <f>IFERROR(IF(VLOOKUP($B33,casostestes[#Data],8)=0,"-",VLOOKUP($B33,casostestes[#Data],8)),"-")</f>
        <v>-</v>
      </c>
      <c r="J33" s="35" t="str">
        <f>IFERROR(IF(VLOOKUP($B33,casostestes[#Data],9)=0,"-",VLOOKUP($B33,casostestes[#Data],9)),"-")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33" s="36"/>
      <c r="L33" s="45"/>
      <c r="M33" s="37"/>
      <c r="N33" s="38"/>
      <c r="O33" s="38"/>
      <c r="P33" s="39"/>
    </row>
    <row r="34" spans="2:16" ht="409.5">
      <c r="B34" s="40">
        <f>IF(ISERR(casostestes[[#This Row],[ID]]),"-",casostestes[[#This Row],[ID]])</f>
        <v>27</v>
      </c>
      <c r="C34" s="34" t="str">
        <f>IFERROR(IF(VLOOKUP($B34,casostestes[#Data],10)=0,"Não",VLOOKUP($B34,casostestes[#Data],10)), "-")</f>
        <v>Sim</v>
      </c>
      <c r="D34" s="35" t="str">
        <f>IFERROR(IF(VLOOKUP($B34,casostestes[#Data],2)=0,"-",VLOOKUP($B34,casostestes[#Data],2)), "-")</f>
        <v>Integração</v>
      </c>
      <c r="E34" s="35" t="str">
        <f>IFERROR(IF(VLOOKUP($B34,casostestes[#Data],3)=0,"-",VLOOKUP($B34,casostestes[#Data],3)), "-")</f>
        <v xml:space="preserve">43'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4" s="35" t="str">
        <f>IFERROR(IF(VLOOKUP($B34,casostestes[#Data],4)=0,"-",VLOOKUP($B34,casostestes[#Data],4)),"-")</f>
        <v>PAT</v>
      </c>
      <c r="G34" s="35" t="str">
        <f>IFERROR(IF(VLOOKUP($B34,casostestes[#Data],5)=0,"-",VLOOKUP($B34,casostestes[#Data],5)),"-")</f>
        <v>SERVIDOR</v>
      </c>
      <c r="H34" s="35" t="str">
        <f>IFERROR(IF(VLOOKUP($B34,casostestes[#Data],6)=0,"-",VLOOKUP($B34,casostestes[#Data],6)),"-")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34" s="35" t="str">
        <f>IFERROR(IF(VLOOKUP($B34,casostestes[#Data],8)=0,"-",VLOOKUP($B34,casostestes[#Data],8)),"-")</f>
        <v>-</v>
      </c>
      <c r="J34" s="35" t="str">
        <f>IFERROR(IF(VLOOKUP($B34,casostestes[#Data],9)=0,"-",VLOOKUP($B34,casostestes[#Data],9)),"-")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34" s="36"/>
      <c r="L34" s="45"/>
      <c r="M34" s="37"/>
      <c r="N34" s="38"/>
      <c r="O34" s="38"/>
      <c r="P34" s="39"/>
    </row>
    <row r="35" spans="2:16">
      <c r="B35" s="40" t="str">
        <f>IF(ISERR(casostestes[[#This Row],[ID]]),"-",casostestes[[#This Row],[ID]])</f>
        <v>-</v>
      </c>
      <c r="C35" s="34" t="str">
        <f>IFERROR(IF(VLOOKUP($B35,casostestes[#Data],10)=0,"Não",VLOOKUP($B35,casostestes[#Data],10)), "-")</f>
        <v>-</v>
      </c>
      <c r="D35" s="35" t="str">
        <f>IFERROR(IF(VLOOKUP($B35,casostestes[#Data],2)=0,"-",VLOOKUP($B35,casostestes[#Data],2)), "-")</f>
        <v>-</v>
      </c>
      <c r="E35" s="35" t="str">
        <f>IFERROR(IF(VLOOKUP($B35,casostestes[#Data],3)=0,"-",VLOOKUP($B35,casostestes[#Data],3)), "-")</f>
        <v>-</v>
      </c>
      <c r="F35" s="35" t="str">
        <f>IFERROR(IF(VLOOKUP($B35,casostestes[#Data],4)=0,"-",VLOOKUP($B35,casostestes[#Data],4)),"-")</f>
        <v>-</v>
      </c>
      <c r="G35" s="35" t="str">
        <f>IFERROR(IF(VLOOKUP($B35,casostestes[#Data],5)=0,"-",VLOOKUP($B35,casostestes[#Data],5)),"-")</f>
        <v>-</v>
      </c>
      <c r="H35" s="35" t="str">
        <f>IFERROR(IF(VLOOKUP($B35,casostestes[#Data],6)=0,"-",VLOOKUP($B35,casostestes[#Data],6)),"-")</f>
        <v>-</v>
      </c>
      <c r="I35" s="35" t="str">
        <f>IFERROR(IF(VLOOKUP($B35,casostestes[#Data],8)=0,"-",VLOOKUP($B35,casostestes[#Data],8)),"-")</f>
        <v>-</v>
      </c>
      <c r="J35" s="35" t="str">
        <f>IFERROR(IF(VLOOKUP($B35,casostestes[#Data],9)=0,"-",VLOOKUP($B35,casostestes[#Data],9)),"-")</f>
        <v>-</v>
      </c>
      <c r="K35" s="36"/>
      <c r="L35" s="45"/>
      <c r="M35" s="37"/>
      <c r="N35" s="38"/>
      <c r="O35" s="38"/>
      <c r="P35" s="39"/>
    </row>
    <row r="36" spans="2:16">
      <c r="B36" s="40" t="str">
        <f>IF(ISERR(casostestes[[#This Row],[ID]]),"-",casostestes[[#This Row],[ID]])</f>
        <v>-</v>
      </c>
      <c r="C36" s="34" t="str">
        <f>IFERROR(IF(VLOOKUP($B36,casostestes[#Data],10)=0,"Não",VLOOKUP($B36,casostestes[#Data],10)), "-")</f>
        <v>-</v>
      </c>
      <c r="D36" s="35" t="str">
        <f>IFERROR(IF(VLOOKUP($B36,casostestes[#Data],2)=0,"-",VLOOKUP($B36,casostestes[#Data],2)), "-")</f>
        <v>-</v>
      </c>
      <c r="E36" s="35" t="str">
        <f>IFERROR(IF(VLOOKUP($B36,casostestes[#Data],3)=0,"-",VLOOKUP($B36,casostestes[#Data],3)), "-")</f>
        <v>-</v>
      </c>
      <c r="F36" s="35" t="str">
        <f>IFERROR(IF(VLOOKUP($B36,casostestes[#Data],4)=0,"-",VLOOKUP($B36,casostestes[#Data],4)),"-")</f>
        <v>-</v>
      </c>
      <c r="G36" s="35" t="str">
        <f>IFERROR(IF(VLOOKUP($B36,casostestes[#Data],5)=0,"-",VLOOKUP($B36,casostestes[#Data],5)),"-")</f>
        <v>-</v>
      </c>
      <c r="H36" s="35" t="str">
        <f>IFERROR(IF(VLOOKUP($B36,casostestes[#Data],6)=0,"-",VLOOKUP($B36,casostestes[#Data],6)),"-")</f>
        <v>-</v>
      </c>
      <c r="I36" s="35" t="str">
        <f>IFERROR(IF(VLOOKUP($B36,casostestes[#Data],8)=0,"-",VLOOKUP($B36,casostestes[#Data],8)),"-")</f>
        <v>-</v>
      </c>
      <c r="J36" s="35" t="str">
        <f>IFERROR(IF(VLOOKUP($B36,casostestes[#Data],9)=0,"-",VLOOKUP($B36,casostestes[#Data],9)),"-")</f>
        <v>-</v>
      </c>
      <c r="K36" s="36"/>
      <c r="L36" s="45"/>
      <c r="M36" s="37"/>
      <c r="N36" s="38"/>
      <c r="O36" s="38"/>
      <c r="P36" s="39"/>
    </row>
    <row r="37" spans="2:16">
      <c r="B37" s="40" t="str">
        <f>IF(ISERR(casostestes[[#This Row],[ID]]),"-",casostestes[[#This Row],[ID]])</f>
        <v>-</v>
      </c>
      <c r="C37" s="34" t="str">
        <f>IFERROR(IF(VLOOKUP($B37,casostestes[#Data],10)=0,"Não",VLOOKUP($B37,casostestes[#Data],10)), "-")</f>
        <v>-</v>
      </c>
      <c r="D37" s="35" t="str">
        <f>IFERROR(IF(VLOOKUP($B37,casostestes[#Data],2)=0,"-",VLOOKUP($B37,casostestes[#Data],2)), "-")</f>
        <v>-</v>
      </c>
      <c r="E37" s="35" t="str">
        <f>IFERROR(IF(VLOOKUP($B37,casostestes[#Data],3)=0,"-",VLOOKUP($B37,casostestes[#Data],3)), "-")</f>
        <v>-</v>
      </c>
      <c r="F37" s="35" t="str">
        <f>IFERROR(IF(VLOOKUP($B37,casostestes[#Data],4)=0,"-",VLOOKUP($B37,casostestes[#Data],4)),"-")</f>
        <v>-</v>
      </c>
      <c r="G37" s="35" t="str">
        <f>IFERROR(IF(VLOOKUP($B37,casostestes[#Data],5)=0,"-",VLOOKUP($B37,casostestes[#Data],5)),"-")</f>
        <v>-</v>
      </c>
      <c r="H37" s="35" t="str">
        <f>IFERROR(IF(VLOOKUP($B37,casostestes[#Data],6)=0,"-",VLOOKUP($B37,casostestes[#Data],6)),"-")</f>
        <v>-</v>
      </c>
      <c r="I37" s="35" t="str">
        <f>IFERROR(IF(VLOOKUP($B37,casostestes[#Data],8)=0,"-",VLOOKUP($B37,casostestes[#Data],8)),"-")</f>
        <v>-</v>
      </c>
      <c r="J37" s="35" t="str">
        <f>IFERROR(IF(VLOOKUP($B37,casostestes[#Data],9)=0,"-",VLOOKUP($B37,casostestes[#Data],9)),"-")</f>
        <v>-</v>
      </c>
      <c r="K37" s="36"/>
      <c r="L37" s="45"/>
      <c r="M37" s="37"/>
      <c r="N37" s="38"/>
      <c r="O37" s="38"/>
      <c r="P37" s="39"/>
    </row>
    <row r="38" spans="2:16">
      <c r="B38" s="40" t="str">
        <f>IF(ISERR(casostestes[[#This Row],[ID]]),"-",casostestes[[#This Row],[ID]])</f>
        <v>-</v>
      </c>
      <c r="C38" s="34" t="str">
        <f>IFERROR(IF(VLOOKUP($B38,casostestes[#Data],10)=0,"Não",VLOOKUP($B38,casostestes[#Data],10)), "-")</f>
        <v>-</v>
      </c>
      <c r="D38" s="35" t="str">
        <f>IFERROR(IF(VLOOKUP($B38,casostestes[#Data],2)=0,"-",VLOOKUP($B38,casostestes[#Data],2)), "-")</f>
        <v>-</v>
      </c>
      <c r="E38" s="35" t="str">
        <f>IFERROR(IF(VLOOKUP($B38,casostestes[#Data],3)=0,"-",VLOOKUP($B38,casostestes[#Data],3)), "-")</f>
        <v>-</v>
      </c>
      <c r="F38" s="35" t="str">
        <f>IFERROR(IF(VLOOKUP($B38,casostestes[#Data],4)=0,"-",VLOOKUP($B38,casostestes[#Data],4)),"-")</f>
        <v>-</v>
      </c>
      <c r="G38" s="35" t="str">
        <f>IFERROR(IF(VLOOKUP($B38,casostestes[#Data],5)=0,"-",VLOOKUP($B38,casostestes[#Data],5)),"-")</f>
        <v>-</v>
      </c>
      <c r="H38" s="35" t="str">
        <f>IFERROR(IF(VLOOKUP($B38,casostestes[#Data],6)=0,"-",VLOOKUP($B38,casostestes[#Data],6)),"-")</f>
        <v>-</v>
      </c>
      <c r="I38" s="35" t="str">
        <f>IFERROR(IF(VLOOKUP($B38,casostestes[#Data],8)=0,"-",VLOOKUP($B38,casostestes[#Data],8)),"-")</f>
        <v>-</v>
      </c>
      <c r="J38" s="35" t="str">
        <f>IFERROR(IF(VLOOKUP($B38,casostestes[#Data],9)=0,"-",VLOOKUP($B38,casostestes[#Data],9)),"-")</f>
        <v>-</v>
      </c>
      <c r="K38" s="36"/>
      <c r="L38" s="45"/>
      <c r="M38" s="37"/>
      <c r="N38" s="38"/>
      <c r="O38" s="38"/>
      <c r="P38" s="39"/>
    </row>
    <row r="39" spans="2:16">
      <c r="B39" s="40" t="str">
        <f>IF(ISERR(casostestes[[#This Row],[ID]]),"-",casostestes[[#This Row],[ID]])</f>
        <v>-</v>
      </c>
      <c r="C39" s="34" t="str">
        <f>IFERROR(IF(VLOOKUP($B39,casostestes[#Data],10)=0,"Não",VLOOKUP($B39,casostestes[#Data],10)), "-")</f>
        <v>-</v>
      </c>
      <c r="D39" s="35" t="str">
        <f>IFERROR(IF(VLOOKUP($B39,casostestes[#Data],2)=0,"-",VLOOKUP($B39,casostestes[#Data],2)), "-")</f>
        <v>-</v>
      </c>
      <c r="E39" s="35" t="str">
        <f>IFERROR(IF(VLOOKUP($B39,casostestes[#Data],3)=0,"-",VLOOKUP($B39,casostestes[#Data],3)), "-")</f>
        <v>-</v>
      </c>
      <c r="F39" s="35" t="str">
        <f>IFERROR(IF(VLOOKUP($B39,casostestes[#Data],4)=0,"-",VLOOKUP($B39,casostestes[#Data],4)),"-")</f>
        <v>-</v>
      </c>
      <c r="G39" s="35" t="str">
        <f>IFERROR(IF(VLOOKUP($B39,casostestes[#Data],5)=0,"-",VLOOKUP($B39,casostestes[#Data],5)),"-")</f>
        <v>-</v>
      </c>
      <c r="H39" s="35" t="str">
        <f>IFERROR(IF(VLOOKUP($B39,casostestes[#Data],6)=0,"-",VLOOKUP($B39,casostestes[#Data],6)),"-")</f>
        <v>-</v>
      </c>
      <c r="I39" s="35" t="str">
        <f>IFERROR(IF(VLOOKUP($B39,casostestes[#Data],8)=0,"-",VLOOKUP($B39,casostestes[#Data],8)),"-")</f>
        <v>-</v>
      </c>
      <c r="J39" s="35" t="str">
        <f>IFERROR(IF(VLOOKUP($B39,casostestes[#Data],9)=0,"-",VLOOKUP($B39,casostestes[#Data],9)),"-")</f>
        <v>-</v>
      </c>
      <c r="K39" s="36"/>
      <c r="L39" s="45"/>
      <c r="M39" s="37"/>
      <c r="N39" s="38"/>
      <c r="O39" s="38"/>
      <c r="P39" s="39"/>
    </row>
    <row r="40" spans="2:16">
      <c r="B40" s="40" t="str">
        <f>IF(ISERR(casostestes[[#This Row],[ID]]),"-",casostestes[[#This Row],[ID]])</f>
        <v>-</v>
      </c>
      <c r="C40" s="34" t="str">
        <f>IFERROR(IF(VLOOKUP($B40,casostestes[#Data],10)=0,"Não",VLOOKUP($B40,casostestes[#Data],10)), "-")</f>
        <v>-</v>
      </c>
      <c r="D40" s="35" t="str">
        <f>IFERROR(IF(VLOOKUP($B40,casostestes[#Data],2)=0,"-",VLOOKUP($B40,casostestes[#Data],2)), "-")</f>
        <v>-</v>
      </c>
      <c r="E40" s="35" t="str">
        <f>IFERROR(IF(VLOOKUP($B40,casostestes[#Data],3)=0,"-",VLOOKUP($B40,casostestes[#Data],3)), "-")</f>
        <v>-</v>
      </c>
      <c r="F40" s="35" t="str">
        <f>IFERROR(IF(VLOOKUP($B40,casostestes[#Data],4)=0,"-",VLOOKUP($B40,casostestes[#Data],4)),"-")</f>
        <v>-</v>
      </c>
      <c r="G40" s="35" t="str">
        <f>IFERROR(IF(VLOOKUP($B40,casostestes[#Data],5)=0,"-",VLOOKUP($B40,casostestes[#Data],5)),"-")</f>
        <v>-</v>
      </c>
      <c r="H40" s="35" t="str">
        <f>IFERROR(IF(VLOOKUP($B40,casostestes[#Data],6)=0,"-",VLOOKUP($B40,casostestes[#Data],6)),"-")</f>
        <v>-</v>
      </c>
      <c r="I40" s="35" t="str">
        <f>IFERROR(IF(VLOOKUP($B40,casostestes[#Data],8)=0,"-",VLOOKUP($B40,casostestes[#Data],8)),"-")</f>
        <v>-</v>
      </c>
      <c r="J40" s="35" t="str">
        <f>IFERROR(IF(VLOOKUP($B40,casostestes[#Data],9)=0,"-",VLOOKUP($B40,casostestes[#Data],9)),"-")</f>
        <v>-</v>
      </c>
      <c r="K40" s="36"/>
      <c r="L40" s="45"/>
      <c r="M40" s="37"/>
      <c r="N40" s="38"/>
      <c r="O40" s="38"/>
      <c r="P40" s="39"/>
    </row>
    <row r="41" spans="2:16">
      <c r="B41" s="40" t="str">
        <f>IF(ISERR(casostestes[[#This Row],[ID]]),"-",casostestes[[#This Row],[ID]])</f>
        <v>-</v>
      </c>
      <c r="C41" s="34" t="str">
        <f>IFERROR(IF(VLOOKUP($B41,casostestes[#Data],10)=0,"Não",VLOOKUP($B41,casostestes[#Data],10)), "-")</f>
        <v>-</v>
      </c>
      <c r="D41" s="35" t="str">
        <f>IFERROR(IF(VLOOKUP($B41,casostestes[#Data],2)=0,"-",VLOOKUP($B41,casostestes[#Data],2)), "-")</f>
        <v>-</v>
      </c>
      <c r="E41" s="35" t="str">
        <f>IFERROR(IF(VLOOKUP($B41,casostestes[#Data],3)=0,"-",VLOOKUP($B41,casostestes[#Data],3)), "-")</f>
        <v>-</v>
      </c>
      <c r="F41" s="35" t="str">
        <f>IFERROR(IF(VLOOKUP($B41,casostestes[#Data],4)=0,"-",VLOOKUP($B41,casostestes[#Data],4)),"-")</f>
        <v>-</v>
      </c>
      <c r="G41" s="35" t="str">
        <f>IFERROR(IF(VLOOKUP($B41,casostestes[#Data],5)=0,"-",VLOOKUP($B41,casostestes[#Data],5)),"-")</f>
        <v>-</v>
      </c>
      <c r="H41" s="35" t="str">
        <f>IFERROR(IF(VLOOKUP($B41,casostestes[#Data],6)=0,"-",VLOOKUP($B41,casostestes[#Data],6)),"-")</f>
        <v>-</v>
      </c>
      <c r="I41" s="35" t="str">
        <f>IFERROR(IF(VLOOKUP($B41,casostestes[#Data],8)=0,"-",VLOOKUP($B41,casostestes[#Data],8)),"-")</f>
        <v>-</v>
      </c>
      <c r="J41" s="35" t="str">
        <f>IFERROR(IF(VLOOKUP($B41,casostestes[#Data],9)=0,"-",VLOOKUP($B41,casostestes[#Data],9)),"-")</f>
        <v>-</v>
      </c>
      <c r="K41" s="36"/>
      <c r="L41" s="45"/>
      <c r="M41" s="37"/>
      <c r="N41" s="38"/>
      <c r="O41" s="38"/>
      <c r="P41" s="39"/>
    </row>
    <row r="42" spans="2:16">
      <c r="B42" s="40" t="str">
        <f>IF(ISERR(casostestes[[#This Row],[ID]]),"-",casostestes[[#This Row],[ID]])</f>
        <v>-</v>
      </c>
      <c r="C42" s="34" t="str">
        <f>IFERROR(IF(VLOOKUP($B42,casostestes[#Data],10)=0,"Não",VLOOKUP($B42,casostestes[#Data],10)), "-")</f>
        <v>-</v>
      </c>
      <c r="D42" s="35" t="str">
        <f>IFERROR(IF(VLOOKUP($B42,casostestes[#Data],2)=0,"-",VLOOKUP($B42,casostestes[#Data],2)), "-")</f>
        <v>-</v>
      </c>
      <c r="E42" s="35" t="str">
        <f>IFERROR(IF(VLOOKUP($B42,casostestes[#Data],3)=0,"-",VLOOKUP($B42,casostestes[#Data],3)), "-")</f>
        <v>-</v>
      </c>
      <c r="F42" s="35" t="str">
        <f>IFERROR(IF(VLOOKUP($B42,casostestes[#Data],4)=0,"-",VLOOKUP($B42,casostestes[#Data],4)),"-")</f>
        <v>-</v>
      </c>
      <c r="G42" s="35" t="str">
        <f>IFERROR(IF(VLOOKUP($B42,casostestes[#Data],5)=0,"-",VLOOKUP($B42,casostestes[#Data],5)),"-")</f>
        <v>-</v>
      </c>
      <c r="H42" s="35" t="str">
        <f>IFERROR(IF(VLOOKUP($B42,casostestes[#Data],6)=0,"-",VLOOKUP($B42,casostestes[#Data],6)),"-")</f>
        <v>-</v>
      </c>
      <c r="I42" s="35" t="str">
        <f>IFERROR(IF(VLOOKUP($B42,casostestes[#Data],8)=0,"-",VLOOKUP($B42,casostestes[#Data],8)),"-")</f>
        <v>-</v>
      </c>
      <c r="J42" s="35" t="str">
        <f>IFERROR(IF(VLOOKUP($B42,casostestes[#Data],9)=0,"-",VLOOKUP($B42,casostestes[#Data],9)),"-")</f>
        <v>-</v>
      </c>
      <c r="K42" s="36"/>
      <c r="L42" s="45"/>
      <c r="M42" s="37"/>
      <c r="N42" s="38"/>
      <c r="O42" s="38"/>
      <c r="P42" s="39"/>
    </row>
    <row r="43" spans="2:16">
      <c r="B43" s="40" t="str">
        <f>IF(ISERR(casostestes[[#This Row],[ID]]),"-",casostestes[[#This Row],[ID]])</f>
        <v>-</v>
      </c>
      <c r="C43" s="34" t="str">
        <f>IFERROR(IF(VLOOKUP($B43,casostestes[#Data],10)=0,"Não",VLOOKUP($B43,casostestes[#Data],10)), "-")</f>
        <v>-</v>
      </c>
      <c r="D43" s="35" t="str">
        <f>IFERROR(IF(VLOOKUP($B43,casostestes[#Data],2)=0,"-",VLOOKUP($B43,casostestes[#Data],2)), "-")</f>
        <v>-</v>
      </c>
      <c r="E43" s="35" t="str">
        <f>IFERROR(IF(VLOOKUP($B43,casostestes[#Data],3)=0,"-",VLOOKUP($B43,casostestes[#Data],3)), "-")</f>
        <v>-</v>
      </c>
      <c r="F43" s="35" t="str">
        <f>IFERROR(IF(VLOOKUP($B43,casostestes[#Data],4)=0,"-",VLOOKUP($B43,casostestes[#Data],4)),"-")</f>
        <v>-</v>
      </c>
      <c r="G43" s="35" t="str">
        <f>IFERROR(IF(VLOOKUP($B43,casostestes[#Data],5)=0,"-",VLOOKUP($B43,casostestes[#Data],5)),"-")</f>
        <v>-</v>
      </c>
      <c r="H43" s="35" t="str">
        <f>IFERROR(IF(VLOOKUP($B43,casostestes[#Data],6)=0,"-",VLOOKUP($B43,casostestes[#Data],6)),"-")</f>
        <v>-</v>
      </c>
      <c r="I43" s="35" t="str">
        <f>IFERROR(IF(VLOOKUP($B43,casostestes[#Data],8)=0,"-",VLOOKUP($B43,casostestes[#Data],8)),"-")</f>
        <v>-</v>
      </c>
      <c r="J43" s="35" t="str">
        <f>IFERROR(IF(VLOOKUP($B43,casostestes[#Data],9)=0,"-",VLOOKUP($B43,casostestes[#Data],9)),"-")</f>
        <v>-</v>
      </c>
      <c r="K43" s="36"/>
      <c r="L43" s="45"/>
      <c r="M43" s="37"/>
      <c r="N43" s="38"/>
      <c r="O43" s="38"/>
      <c r="P43" s="39"/>
    </row>
    <row r="44" spans="2:16">
      <c r="B44" s="40" t="str">
        <f>IF(ISERR(casostestes[[#This Row],[ID]]),"-",casostestes[[#This Row],[ID]])</f>
        <v>-</v>
      </c>
      <c r="C44" s="34" t="str">
        <f>IFERROR(IF(VLOOKUP($B44,casostestes[#Data],10)=0,"Não",VLOOKUP($B44,casostestes[#Data],10)), "-")</f>
        <v>-</v>
      </c>
      <c r="D44" s="35" t="str">
        <f>IFERROR(IF(VLOOKUP($B44,casostestes[#Data],2)=0,"-",VLOOKUP($B44,casostestes[#Data],2)), "-")</f>
        <v>-</v>
      </c>
      <c r="E44" s="35" t="str">
        <f>IFERROR(IF(VLOOKUP($B44,casostestes[#Data],3)=0,"-",VLOOKUP($B44,casostestes[#Data],3)), "-")</f>
        <v>-</v>
      </c>
      <c r="F44" s="35" t="str">
        <f>IFERROR(IF(VLOOKUP($B44,casostestes[#Data],4)=0,"-",VLOOKUP($B44,casostestes[#Data],4)),"-")</f>
        <v>-</v>
      </c>
      <c r="G44" s="35" t="str">
        <f>IFERROR(IF(VLOOKUP($B44,casostestes[#Data],5)=0,"-",VLOOKUP($B44,casostestes[#Data],5)),"-")</f>
        <v>-</v>
      </c>
      <c r="H44" s="35" t="str">
        <f>IFERROR(IF(VLOOKUP($B44,casostestes[#Data],6)=0,"-",VLOOKUP($B44,casostestes[#Data],6)),"-")</f>
        <v>-</v>
      </c>
      <c r="I44" s="35" t="str">
        <f>IFERROR(IF(VLOOKUP($B44,casostestes[#Data],8)=0,"-",VLOOKUP($B44,casostestes[#Data],8)),"-")</f>
        <v>-</v>
      </c>
      <c r="J44" s="35" t="str">
        <f>IFERROR(IF(VLOOKUP($B44,casostestes[#Data],9)=0,"-",VLOOKUP($B44,casostestes[#Data],9)),"-")</f>
        <v>-</v>
      </c>
      <c r="K44" s="36"/>
      <c r="L44" s="45"/>
      <c r="M44" s="37"/>
      <c r="N44" s="38"/>
      <c r="O44" s="38"/>
      <c r="P44" s="39"/>
    </row>
    <row r="45" spans="2:16">
      <c r="B45" s="40" t="str">
        <f>IF(ISERR(casostestes[[#This Row],[ID]]),"-",casostestes[[#This Row],[ID]])</f>
        <v>-</v>
      </c>
      <c r="C45" s="34" t="str">
        <f>IFERROR(IF(VLOOKUP($B45,casostestes[#Data],10)=0,"Não",VLOOKUP($B45,casostestes[#Data],10)), "-")</f>
        <v>-</v>
      </c>
      <c r="D45" s="35" t="str">
        <f>IFERROR(IF(VLOOKUP($B45,casostestes[#Data],2)=0,"-",VLOOKUP($B45,casostestes[#Data],2)), "-")</f>
        <v>-</v>
      </c>
      <c r="E45" s="35" t="str">
        <f>IFERROR(IF(VLOOKUP($B45,casostestes[#Data],3)=0,"-",VLOOKUP($B45,casostestes[#Data],3)), "-")</f>
        <v>-</v>
      </c>
      <c r="F45" s="35" t="str">
        <f>IFERROR(IF(VLOOKUP($B45,casostestes[#Data],4)=0,"-",VLOOKUP($B45,casostestes[#Data],4)),"-")</f>
        <v>-</v>
      </c>
      <c r="G45" s="35" t="str">
        <f>IFERROR(IF(VLOOKUP($B45,casostestes[#Data],5)=0,"-",VLOOKUP($B45,casostestes[#Data],5)),"-")</f>
        <v>-</v>
      </c>
      <c r="H45" s="35" t="str">
        <f>IFERROR(IF(VLOOKUP($B45,casostestes[#Data],6)=0,"-",VLOOKUP($B45,casostestes[#Data],6)),"-")</f>
        <v>-</v>
      </c>
      <c r="I45" s="35" t="str">
        <f>IFERROR(IF(VLOOKUP($B45,casostestes[#Data],8)=0,"-",VLOOKUP($B45,casostestes[#Data],8)),"-")</f>
        <v>-</v>
      </c>
      <c r="J45" s="35" t="str">
        <f>IFERROR(IF(VLOOKUP($B45,casostestes[#Data],9)=0,"-",VLOOKUP($B45,casostestes[#Data],9)),"-")</f>
        <v>-</v>
      </c>
      <c r="K45" s="36"/>
      <c r="L45" s="45"/>
      <c r="M45" s="37"/>
      <c r="N45" s="38"/>
      <c r="O45" s="38"/>
      <c r="P45" s="39"/>
    </row>
    <row r="46" spans="2:16">
      <c r="B46" s="40" t="str">
        <f>IF(ISERR(casostestes[[#This Row],[ID]]),"-",casostestes[[#This Row],[ID]])</f>
        <v>-</v>
      </c>
      <c r="C46" s="34" t="str">
        <f>IFERROR(IF(VLOOKUP($B46,casostestes[#Data],10)=0,"Não",VLOOKUP($B46,casostestes[#Data],10)), "-")</f>
        <v>-</v>
      </c>
      <c r="D46" s="35" t="str">
        <f>IFERROR(IF(VLOOKUP($B46,casostestes[#Data],2)=0,"-",VLOOKUP($B46,casostestes[#Data],2)), "-")</f>
        <v>-</v>
      </c>
      <c r="E46" s="35" t="str">
        <f>IFERROR(IF(VLOOKUP($B46,casostestes[#Data],3)=0,"-",VLOOKUP($B46,casostestes[#Data],3)), "-")</f>
        <v>-</v>
      </c>
      <c r="F46" s="35" t="str">
        <f>IFERROR(IF(VLOOKUP($B46,casostestes[#Data],4)=0,"-",VLOOKUP($B46,casostestes[#Data],4)),"-")</f>
        <v>-</v>
      </c>
      <c r="G46" s="35" t="str">
        <f>IFERROR(IF(VLOOKUP($B46,casostestes[#Data],5)=0,"-",VLOOKUP($B46,casostestes[#Data],5)),"-")</f>
        <v>-</v>
      </c>
      <c r="H46" s="35" t="str">
        <f>IFERROR(IF(VLOOKUP($B46,casostestes[#Data],6)=0,"-",VLOOKUP($B46,casostestes[#Data],6)),"-")</f>
        <v>-</v>
      </c>
      <c r="I46" s="35" t="str">
        <f>IFERROR(IF(VLOOKUP($B46,casostestes[#Data],8)=0,"-",VLOOKUP($B46,casostestes[#Data],8)),"-")</f>
        <v>-</v>
      </c>
      <c r="J46" s="35" t="str">
        <f>IFERROR(IF(VLOOKUP($B46,casostestes[#Data],9)=0,"-",VLOOKUP($B46,casostestes[#Data],9)),"-")</f>
        <v>-</v>
      </c>
      <c r="K46" s="36"/>
      <c r="L46" s="45"/>
      <c r="M46" s="37"/>
      <c r="N46" s="38"/>
      <c r="O46" s="38"/>
      <c r="P46" s="39"/>
    </row>
    <row r="47" spans="2:16">
      <c r="B47" s="40" t="str">
        <f>IF(ISERR(casostestes[[#This Row],[ID]]),"-",casostestes[[#This Row],[ID]])</f>
        <v>-</v>
      </c>
      <c r="C47" s="34" t="str">
        <f>IFERROR(IF(VLOOKUP($B47,casostestes[#Data],10)=0,"Não",VLOOKUP($B47,casostestes[#Data],10)), "-")</f>
        <v>-</v>
      </c>
      <c r="D47" s="35" t="str">
        <f>IFERROR(IF(VLOOKUP($B47,casostestes[#Data],2)=0,"-",VLOOKUP($B47,casostestes[#Data],2)), "-")</f>
        <v>-</v>
      </c>
      <c r="E47" s="35" t="str">
        <f>IFERROR(IF(VLOOKUP($B47,casostestes[#Data],3)=0,"-",VLOOKUP($B47,casostestes[#Data],3)), "-")</f>
        <v>-</v>
      </c>
      <c r="F47" s="35" t="str">
        <f>IFERROR(IF(VLOOKUP($B47,casostestes[#Data],4)=0,"-",VLOOKUP($B47,casostestes[#Data],4)),"-")</f>
        <v>-</v>
      </c>
      <c r="G47" s="35" t="str">
        <f>IFERROR(IF(VLOOKUP($B47,casostestes[#Data],5)=0,"-",VLOOKUP($B47,casostestes[#Data],5)),"-")</f>
        <v>-</v>
      </c>
      <c r="H47" s="35" t="str">
        <f>IFERROR(IF(VLOOKUP($B47,casostestes[#Data],6)=0,"-",VLOOKUP($B47,casostestes[#Data],6)),"-")</f>
        <v>-</v>
      </c>
      <c r="I47" s="35" t="str">
        <f>IFERROR(IF(VLOOKUP($B47,casostestes[#Data],8)=0,"-",VLOOKUP($B47,casostestes[#Data],8)),"-")</f>
        <v>-</v>
      </c>
      <c r="J47" s="35" t="str">
        <f>IFERROR(IF(VLOOKUP($B47,casostestes[#Data],9)=0,"-",VLOOKUP($B47,casostestes[#Data],9)),"-")</f>
        <v>-</v>
      </c>
      <c r="K47" s="36"/>
      <c r="L47" s="45"/>
      <c r="M47" s="37"/>
      <c r="N47" s="38"/>
      <c r="O47" s="38"/>
      <c r="P47" s="39"/>
    </row>
    <row r="48" spans="2:16">
      <c r="B48" s="40" t="str">
        <f>IF(ISERR(casostestes[[#This Row],[ID]]),"-",casostestes[[#This Row],[ID]])</f>
        <v>-</v>
      </c>
      <c r="C48" s="34" t="str">
        <f>IFERROR(IF(VLOOKUP($B48,casostestes[#Data],10)=0,"Não",VLOOKUP($B48,casostestes[#Data],10)), "-")</f>
        <v>-</v>
      </c>
      <c r="D48" s="35" t="str">
        <f>IFERROR(IF(VLOOKUP($B48,casostestes[#Data],2)=0,"-",VLOOKUP($B48,casostestes[#Data],2)), "-")</f>
        <v>-</v>
      </c>
      <c r="E48" s="35" t="str">
        <f>IFERROR(IF(VLOOKUP($B48,casostestes[#Data],3)=0,"-",VLOOKUP($B48,casostestes[#Data],3)), "-")</f>
        <v>-</v>
      </c>
      <c r="F48" s="35" t="str">
        <f>IFERROR(IF(VLOOKUP($B48,casostestes[#Data],4)=0,"-",VLOOKUP($B48,casostestes[#Data],4)),"-")</f>
        <v>-</v>
      </c>
      <c r="G48" s="35" t="str">
        <f>IFERROR(IF(VLOOKUP($B48,casostestes[#Data],5)=0,"-",VLOOKUP($B48,casostestes[#Data],5)),"-")</f>
        <v>-</v>
      </c>
      <c r="H48" s="35" t="str">
        <f>IFERROR(IF(VLOOKUP($B48,casostestes[#Data],6)=0,"-",VLOOKUP($B48,casostestes[#Data],6)),"-")</f>
        <v>-</v>
      </c>
      <c r="I48" s="35" t="str">
        <f>IFERROR(IF(VLOOKUP($B48,casostestes[#Data],8)=0,"-",VLOOKUP($B48,casostestes[#Data],8)),"-")</f>
        <v>-</v>
      </c>
      <c r="J48" s="35" t="str">
        <f>IFERROR(IF(VLOOKUP($B48,casostestes[#Data],9)=0,"-",VLOOKUP($B48,casostestes[#Data],9)),"-")</f>
        <v>-</v>
      </c>
      <c r="K48" s="36"/>
      <c r="L48" s="45"/>
      <c r="M48" s="37"/>
      <c r="N48" s="38"/>
      <c r="O48" s="38"/>
      <c r="P48" s="39"/>
    </row>
    <row r="49" spans="2:16">
      <c r="B49" s="40" t="str">
        <f>IF(ISERR(casostestes[[#This Row],[ID]]),"-",casostestes[[#This Row],[ID]])</f>
        <v>-</v>
      </c>
      <c r="C49" s="34" t="str">
        <f>IFERROR(IF(VLOOKUP($B49,casostestes[#Data],10)=0,"Não",VLOOKUP($B49,casostestes[#Data],10)), "-")</f>
        <v>-</v>
      </c>
      <c r="D49" s="35" t="str">
        <f>IFERROR(IF(VLOOKUP($B49,casostestes[#Data],2)=0,"-",VLOOKUP($B49,casostestes[#Data],2)), "-")</f>
        <v>-</v>
      </c>
      <c r="E49" s="35" t="str">
        <f>IFERROR(IF(VLOOKUP($B49,casostestes[#Data],3)=0,"-",VLOOKUP($B49,casostestes[#Data],3)), "-")</f>
        <v>-</v>
      </c>
      <c r="F49" s="35" t="str">
        <f>IFERROR(IF(VLOOKUP($B49,casostestes[#Data],4)=0,"-",VLOOKUP($B49,casostestes[#Data],4)),"-")</f>
        <v>-</v>
      </c>
      <c r="G49" s="35" t="str">
        <f>IFERROR(IF(VLOOKUP($B49,casostestes[#Data],5)=0,"-",VLOOKUP($B49,casostestes[#Data],5)),"-")</f>
        <v>-</v>
      </c>
      <c r="H49" s="35" t="str">
        <f>IFERROR(IF(VLOOKUP($B49,casostestes[#Data],6)=0,"-",VLOOKUP($B49,casostestes[#Data],6)),"-")</f>
        <v>-</v>
      </c>
      <c r="I49" s="35" t="str">
        <f>IFERROR(IF(VLOOKUP($B49,casostestes[#Data],8)=0,"-",VLOOKUP($B49,casostestes[#Data],8)),"-")</f>
        <v>-</v>
      </c>
      <c r="J49" s="35" t="str">
        <f>IFERROR(IF(VLOOKUP($B49,casostestes[#Data],9)=0,"-",VLOOKUP($B49,casostestes[#Data],9)),"-")</f>
        <v>-</v>
      </c>
      <c r="K49" s="36"/>
      <c r="L49" s="45"/>
      <c r="M49" s="37"/>
      <c r="N49" s="38"/>
      <c r="O49" s="38"/>
      <c r="P49" s="39"/>
    </row>
    <row r="50" spans="2:16">
      <c r="B50" s="40" t="str">
        <f>IF(ISERR(casostestes[[#This Row],[ID]]),"-",casostestes[[#This Row],[ID]])</f>
        <v>-</v>
      </c>
      <c r="C50" s="34" t="str">
        <f>IFERROR(IF(VLOOKUP($B50,casostestes[#Data],10)=0,"Não",VLOOKUP($B50,casostestes[#Data],10)), "-")</f>
        <v>-</v>
      </c>
      <c r="D50" s="35" t="str">
        <f>IFERROR(IF(VLOOKUP($B50,casostestes[#Data],2)=0,"-",VLOOKUP($B50,casostestes[#Data],2)), "-")</f>
        <v>-</v>
      </c>
      <c r="E50" s="35" t="str">
        <f>IFERROR(IF(VLOOKUP($B50,casostestes[#Data],3)=0,"-",VLOOKUP($B50,casostestes[#Data],3)), "-")</f>
        <v>-</v>
      </c>
      <c r="F50" s="35" t="str">
        <f>IFERROR(IF(VLOOKUP($B50,casostestes[#Data],4)=0,"-",VLOOKUP($B50,casostestes[#Data],4)),"-")</f>
        <v>-</v>
      </c>
      <c r="G50" s="35" t="str">
        <f>IFERROR(IF(VLOOKUP($B50,casostestes[#Data],5)=0,"-",VLOOKUP($B50,casostestes[#Data],5)),"-")</f>
        <v>-</v>
      </c>
      <c r="H50" s="35" t="str">
        <f>IFERROR(IF(VLOOKUP($B50,casostestes[#Data],6)=0,"-",VLOOKUP($B50,casostestes[#Data],6)),"-")</f>
        <v>-</v>
      </c>
      <c r="I50" s="35" t="str">
        <f>IFERROR(IF(VLOOKUP($B50,casostestes[#Data],8)=0,"-",VLOOKUP($B50,casostestes[#Data],8)),"-")</f>
        <v>-</v>
      </c>
      <c r="J50" s="35" t="str">
        <f>IFERROR(IF(VLOOKUP($B50,casostestes[#Data],9)=0,"-",VLOOKUP($B50,casostestes[#Data],9)),"-")</f>
        <v>-</v>
      </c>
      <c r="K50" s="36"/>
      <c r="L50" s="45"/>
      <c r="M50" s="37"/>
      <c r="N50" s="38"/>
      <c r="O50" s="38"/>
      <c r="P50" s="39"/>
    </row>
    <row r="51" spans="2:16">
      <c r="B51" s="40" t="str">
        <f>IF(ISERR(casostestes[[#This Row],[ID]]),"-",casostestes[[#This Row],[ID]])</f>
        <v>-</v>
      </c>
      <c r="C51" s="34" t="str">
        <f>IFERROR(IF(VLOOKUP($B51,casostestes[#Data],10)=0,"Não",VLOOKUP($B51,casostestes[#Data],10)), "-")</f>
        <v>-</v>
      </c>
      <c r="D51" s="35" t="str">
        <f>IFERROR(IF(VLOOKUP($B51,casostestes[#Data],2)=0,"-",VLOOKUP($B51,casostestes[#Data],2)), "-")</f>
        <v>-</v>
      </c>
      <c r="E51" s="35" t="str">
        <f>IFERROR(IF(VLOOKUP($B51,casostestes[#Data],3)=0,"-",VLOOKUP($B51,casostestes[#Data],3)), "-")</f>
        <v>-</v>
      </c>
      <c r="F51" s="35" t="str">
        <f>IFERROR(IF(VLOOKUP($B51,casostestes[#Data],4)=0,"-",VLOOKUP($B51,casostestes[#Data],4)),"-")</f>
        <v>-</v>
      </c>
      <c r="G51" s="35" t="str">
        <f>IFERROR(IF(VLOOKUP($B51,casostestes[#Data],5)=0,"-",VLOOKUP($B51,casostestes[#Data],5)),"-")</f>
        <v>-</v>
      </c>
      <c r="H51" s="35" t="str">
        <f>IFERROR(IF(VLOOKUP($B51,casostestes[#Data],6)=0,"-",VLOOKUP($B51,casostestes[#Data],6)),"-")</f>
        <v>-</v>
      </c>
      <c r="I51" s="35" t="str">
        <f>IFERROR(IF(VLOOKUP($B51,casostestes[#Data],8)=0,"-",VLOOKUP($B51,casostestes[#Data],8)),"-")</f>
        <v>-</v>
      </c>
      <c r="J51" s="35" t="str">
        <f>IFERROR(IF(VLOOKUP($B51,casostestes[#Data],9)=0,"-",VLOOKUP($B51,casostestes[#Data],9)),"-")</f>
        <v>-</v>
      </c>
      <c r="K51" s="36"/>
      <c r="L51" s="45"/>
      <c r="M51" s="37"/>
      <c r="N51" s="38"/>
      <c r="O51" s="38"/>
      <c r="P51" s="39"/>
    </row>
    <row r="52" spans="2:16">
      <c r="B52" s="40" t="str">
        <f>IF(ISERR(casostestes[[#This Row],[ID]]),"-",casostestes[[#This Row],[ID]])</f>
        <v>-</v>
      </c>
      <c r="C52" s="34" t="str">
        <f>IFERROR(IF(VLOOKUP($B52,casostestes[#Data],10)=0,"Não",VLOOKUP($B52,casostestes[#Data],10)), "-")</f>
        <v>-</v>
      </c>
      <c r="D52" s="35" t="str">
        <f>IFERROR(IF(VLOOKUP($B52,casostestes[#Data],2)=0,"-",VLOOKUP($B52,casostestes[#Data],2)), "-")</f>
        <v>-</v>
      </c>
      <c r="E52" s="35" t="str">
        <f>IFERROR(IF(VLOOKUP($B52,casostestes[#Data],3)=0,"-",VLOOKUP($B52,casostestes[#Data],3)), "-")</f>
        <v>-</v>
      </c>
      <c r="F52" s="35" t="str">
        <f>IFERROR(IF(VLOOKUP($B52,casostestes[#Data],4)=0,"-",VLOOKUP($B52,casostestes[#Data],4)),"-")</f>
        <v>-</v>
      </c>
      <c r="G52" s="35" t="str">
        <f>IFERROR(IF(VLOOKUP($B52,casostestes[#Data],5)=0,"-",VLOOKUP($B52,casostestes[#Data],5)),"-")</f>
        <v>-</v>
      </c>
      <c r="H52" s="35" t="str">
        <f>IFERROR(IF(VLOOKUP($B52,casostestes[#Data],6)=0,"-",VLOOKUP($B52,casostestes[#Data],6)),"-")</f>
        <v>-</v>
      </c>
      <c r="I52" s="35" t="str">
        <f>IFERROR(IF(VLOOKUP($B52,casostestes[#Data],8)=0,"-",VLOOKUP($B52,casostestes[#Data],8)),"-")</f>
        <v>-</v>
      </c>
      <c r="J52" s="35" t="str">
        <f>IFERROR(IF(VLOOKUP($B52,casostestes[#Data],9)=0,"-",VLOOKUP($B52,casostestes[#Data],9)),"-")</f>
        <v>-</v>
      </c>
      <c r="K52" s="36"/>
      <c r="L52" s="45"/>
      <c r="M52" s="37"/>
      <c r="N52" s="38"/>
      <c r="O52" s="38"/>
      <c r="P52" s="39"/>
    </row>
    <row r="53" spans="2:16">
      <c r="B53" s="40" t="str">
        <f>IF(ISERR(casostestes[[#This Row],[ID]]),"-",casostestes[[#This Row],[ID]])</f>
        <v>-</v>
      </c>
      <c r="C53" s="34" t="str">
        <f>IFERROR(IF(VLOOKUP($B53,casostestes[#Data],10)=0,"Não",VLOOKUP($B53,casostestes[#Data],10)), "-")</f>
        <v>-</v>
      </c>
      <c r="D53" s="35" t="str">
        <f>IFERROR(IF(VLOOKUP($B53,casostestes[#Data],2)=0,"-",VLOOKUP($B53,casostestes[#Data],2)), "-")</f>
        <v>-</v>
      </c>
      <c r="E53" s="35" t="str">
        <f>IFERROR(IF(VLOOKUP($B53,casostestes[#Data],3)=0,"-",VLOOKUP($B53,casostestes[#Data],3)), "-")</f>
        <v>-</v>
      </c>
      <c r="F53" s="35" t="str">
        <f>IFERROR(IF(VLOOKUP($B53,casostestes[#Data],4)=0,"-",VLOOKUP($B53,casostestes[#Data],4)),"-")</f>
        <v>-</v>
      </c>
      <c r="G53" s="35" t="str">
        <f>IFERROR(IF(VLOOKUP($B53,casostestes[#Data],5)=0,"-",VLOOKUP($B53,casostestes[#Data],5)),"-")</f>
        <v>-</v>
      </c>
      <c r="H53" s="35" t="str">
        <f>IFERROR(IF(VLOOKUP($B53,casostestes[#Data],6)=0,"-",VLOOKUP($B53,casostestes[#Data],6)),"-")</f>
        <v>-</v>
      </c>
      <c r="I53" s="35" t="str">
        <f>IFERROR(IF(VLOOKUP($B53,casostestes[#Data],8)=0,"-",VLOOKUP($B53,casostestes[#Data],8)),"-")</f>
        <v>-</v>
      </c>
      <c r="J53" s="35" t="str">
        <f>IFERROR(IF(VLOOKUP($B53,casostestes[#Data],9)=0,"-",VLOOKUP($B53,casostestes[#Data],9)),"-")</f>
        <v>-</v>
      </c>
      <c r="K53" s="36"/>
      <c r="L53" s="45"/>
      <c r="M53" s="37"/>
      <c r="N53" s="38"/>
      <c r="O53" s="38"/>
      <c r="P53" s="39"/>
    </row>
    <row r="54" spans="2:16">
      <c r="B54" s="40" t="str">
        <f>IF(ISERR(casostestes[[#This Row],[ID]]),"-",casostestes[[#This Row],[ID]])</f>
        <v>-</v>
      </c>
      <c r="C54" s="34" t="str">
        <f>IFERROR(IF(VLOOKUP($B54,casostestes[#Data],10)=0,"Não",VLOOKUP($B54,casostestes[#Data],10)), "-")</f>
        <v>-</v>
      </c>
      <c r="D54" s="35" t="str">
        <f>IFERROR(IF(VLOOKUP($B54,casostestes[#Data],2)=0,"-",VLOOKUP($B54,casostestes[#Data],2)), "-")</f>
        <v>-</v>
      </c>
      <c r="E54" s="35" t="str">
        <f>IFERROR(IF(VLOOKUP($B54,casostestes[#Data],3)=0,"-",VLOOKUP($B54,casostestes[#Data],3)), "-")</f>
        <v>-</v>
      </c>
      <c r="F54" s="35" t="str">
        <f>IFERROR(IF(VLOOKUP($B54,casostestes[#Data],4)=0,"-",VLOOKUP($B54,casostestes[#Data],4)),"-")</f>
        <v>-</v>
      </c>
      <c r="G54" s="35" t="str">
        <f>IFERROR(IF(VLOOKUP($B54,casostestes[#Data],5)=0,"-",VLOOKUP($B54,casostestes[#Data],5)),"-")</f>
        <v>-</v>
      </c>
      <c r="H54" s="35" t="str">
        <f>IFERROR(IF(VLOOKUP($B54,casostestes[#Data],6)=0,"-",VLOOKUP($B54,casostestes[#Data],6)),"-")</f>
        <v>-</v>
      </c>
      <c r="I54" s="35" t="str">
        <f>IFERROR(IF(VLOOKUP($B54,casostestes[#Data],8)=0,"-",VLOOKUP($B54,casostestes[#Data],8)),"-")</f>
        <v>-</v>
      </c>
      <c r="J54" s="35" t="str">
        <f>IFERROR(IF(VLOOKUP($B54,casostestes[#Data],9)=0,"-",VLOOKUP($B54,casostestes[#Data],9)),"-")</f>
        <v>-</v>
      </c>
      <c r="K54" s="36"/>
      <c r="L54" s="45"/>
      <c r="M54" s="37"/>
      <c r="N54" s="38"/>
      <c r="O54" s="38"/>
      <c r="P54" s="39"/>
    </row>
    <row r="55" spans="2:16">
      <c r="B55" s="40" t="str">
        <f>IF(ISERR(casostestes[[#This Row],[ID]]),"-",casostestes[[#This Row],[ID]])</f>
        <v>-</v>
      </c>
      <c r="C55" s="34" t="str">
        <f>IFERROR(IF(VLOOKUP($B55,casostestes[#Data],10)=0,"Não",VLOOKUP($B55,casostestes[#Data],10)), "-")</f>
        <v>-</v>
      </c>
      <c r="D55" s="35" t="str">
        <f>IFERROR(IF(VLOOKUP($B55,casostestes[#Data],2)=0,"-",VLOOKUP($B55,casostestes[#Data],2)), "-")</f>
        <v>-</v>
      </c>
      <c r="E55" s="35" t="str">
        <f>IFERROR(IF(VLOOKUP($B55,casostestes[#Data],3)=0,"-",VLOOKUP($B55,casostestes[#Data],3)), "-")</f>
        <v>-</v>
      </c>
      <c r="F55" s="35" t="str">
        <f>IFERROR(IF(VLOOKUP($B55,casostestes[#Data],4)=0,"-",VLOOKUP($B55,casostestes[#Data],4)),"-")</f>
        <v>-</v>
      </c>
      <c r="G55" s="35" t="str">
        <f>IFERROR(IF(VLOOKUP($B55,casostestes[#Data],5)=0,"-",VLOOKUP($B55,casostestes[#Data],5)),"-")</f>
        <v>-</v>
      </c>
      <c r="H55" s="35" t="str">
        <f>IFERROR(IF(VLOOKUP($B55,casostestes[#Data],6)=0,"-",VLOOKUP($B55,casostestes[#Data],6)),"-")</f>
        <v>-</v>
      </c>
      <c r="I55" s="35" t="str">
        <f>IFERROR(IF(VLOOKUP($B55,casostestes[#Data],8)=0,"-",VLOOKUP($B55,casostestes[#Data],8)),"-")</f>
        <v>-</v>
      </c>
      <c r="J55" s="35" t="str">
        <f>IFERROR(IF(VLOOKUP($B55,casostestes[#Data],9)=0,"-",VLOOKUP($B55,casostestes[#Data],9)),"-")</f>
        <v>-</v>
      </c>
      <c r="K55" s="36"/>
      <c r="L55" s="45"/>
      <c r="M55" s="37"/>
      <c r="N55" s="38"/>
      <c r="O55" s="38"/>
      <c r="P55" s="39"/>
    </row>
    <row r="56" spans="2:16">
      <c r="B56" s="40" t="str">
        <f>IF(ISERR(casostestes[[#This Row],[ID]]),"-",casostestes[[#This Row],[ID]])</f>
        <v>-</v>
      </c>
      <c r="C56" s="34" t="str">
        <f>IFERROR(IF(VLOOKUP($B56,casostestes[#Data],10)=0,"Não",VLOOKUP($B56,casostestes[#Data],10)), "-")</f>
        <v>-</v>
      </c>
      <c r="D56" s="35" t="str">
        <f>IFERROR(IF(VLOOKUP($B56,casostestes[#Data],2)=0,"-",VLOOKUP($B56,casostestes[#Data],2)), "-")</f>
        <v>-</v>
      </c>
      <c r="E56" s="35" t="str">
        <f>IFERROR(IF(VLOOKUP($B56,casostestes[#Data],3)=0,"-",VLOOKUP($B56,casostestes[#Data],3)), "-")</f>
        <v>-</v>
      </c>
      <c r="F56" s="35" t="str">
        <f>IFERROR(IF(VLOOKUP($B56,casostestes[#Data],4)=0,"-",VLOOKUP($B56,casostestes[#Data],4)),"-")</f>
        <v>-</v>
      </c>
      <c r="G56" s="35" t="str">
        <f>IFERROR(IF(VLOOKUP($B56,casostestes[#Data],5)=0,"-",VLOOKUP($B56,casostestes[#Data],5)),"-")</f>
        <v>-</v>
      </c>
      <c r="H56" s="35" t="str">
        <f>IFERROR(IF(VLOOKUP($B56,casostestes[#Data],6)=0,"-",VLOOKUP($B56,casostestes[#Data],6)),"-")</f>
        <v>-</v>
      </c>
      <c r="I56" s="35" t="str">
        <f>IFERROR(IF(VLOOKUP($B56,casostestes[#Data],8)=0,"-",VLOOKUP($B56,casostestes[#Data],8)),"-")</f>
        <v>-</v>
      </c>
      <c r="J56" s="35" t="str">
        <f>IFERROR(IF(VLOOKUP($B56,casostestes[#Data],9)=0,"-",VLOOKUP($B56,casostestes[#Data],9)),"-")</f>
        <v>-</v>
      </c>
      <c r="K56" s="36"/>
      <c r="L56" s="45"/>
      <c r="M56" s="37"/>
      <c r="N56" s="38"/>
      <c r="O56" s="38"/>
      <c r="P56" s="39"/>
    </row>
    <row r="57" spans="2:16">
      <c r="B57" s="40" t="str">
        <f>IF(ISERR(casostestes[[#This Row],[ID]]),"-",casostestes[[#This Row],[ID]])</f>
        <v>-</v>
      </c>
      <c r="C57" s="34" t="str">
        <f>IFERROR(IF(VLOOKUP($B57,casostestes[#Data],10)=0,"Não",VLOOKUP($B57,casostestes[#Data],10)), "-")</f>
        <v>-</v>
      </c>
      <c r="D57" s="35" t="str">
        <f>IFERROR(IF(VLOOKUP($B57,casostestes[#Data],2)=0,"-",VLOOKUP($B57,casostestes[#Data],2)), "-")</f>
        <v>-</v>
      </c>
      <c r="E57" s="35" t="str">
        <f>IFERROR(IF(VLOOKUP($B57,casostestes[#Data],3)=0,"-",VLOOKUP($B57,casostestes[#Data],3)), "-")</f>
        <v>-</v>
      </c>
      <c r="F57" s="35" t="str">
        <f>IFERROR(IF(VLOOKUP($B57,casostestes[#Data],4)=0,"-",VLOOKUP($B57,casostestes[#Data],4)),"-")</f>
        <v>-</v>
      </c>
      <c r="G57" s="35" t="str">
        <f>IFERROR(IF(VLOOKUP($B57,casostestes[#Data],5)=0,"-",VLOOKUP($B57,casostestes[#Data],5)),"-")</f>
        <v>-</v>
      </c>
      <c r="H57" s="35" t="str">
        <f>IFERROR(IF(VLOOKUP($B57,casostestes[#Data],6)=0,"-",VLOOKUP($B57,casostestes[#Data],6)),"-")</f>
        <v>-</v>
      </c>
      <c r="I57" s="35" t="str">
        <f>IFERROR(IF(VLOOKUP($B57,casostestes[#Data],8)=0,"-",VLOOKUP($B57,casostestes[#Data],8)),"-")</f>
        <v>-</v>
      </c>
      <c r="J57" s="35" t="str">
        <f>IFERROR(IF(VLOOKUP($B57,casostestes[#Data],9)=0,"-",VLOOKUP($B57,casostestes[#Data],9)),"-")</f>
        <v>-</v>
      </c>
      <c r="K57" s="36"/>
      <c r="L57" s="45"/>
      <c r="M57" s="37"/>
      <c r="N57" s="38"/>
      <c r="O57" s="38"/>
      <c r="P57" s="39"/>
    </row>
    <row r="58" spans="2:16">
      <c r="B58" s="40" t="str">
        <f>IF(ISERR(casostestes[[#This Row],[ID]]),"-",casostestes[[#This Row],[ID]])</f>
        <v>-</v>
      </c>
      <c r="C58" s="34" t="str">
        <f>IFERROR(IF(VLOOKUP($B58,casostestes[#Data],10)=0,"Não",VLOOKUP($B58,casostestes[#Data],10)), "-")</f>
        <v>-</v>
      </c>
      <c r="D58" s="35" t="str">
        <f>IFERROR(IF(VLOOKUP($B58,casostestes[#Data],2)=0,"-",VLOOKUP($B58,casostestes[#Data],2)), "-")</f>
        <v>-</v>
      </c>
      <c r="E58" s="35" t="str">
        <f>IFERROR(IF(VLOOKUP($B58,casostestes[#Data],3)=0,"-",VLOOKUP($B58,casostestes[#Data],3)), "-")</f>
        <v>-</v>
      </c>
      <c r="F58" s="35" t="str">
        <f>IFERROR(IF(VLOOKUP($B58,casostestes[#Data],4)=0,"-",VLOOKUP($B58,casostestes[#Data],4)),"-")</f>
        <v>-</v>
      </c>
      <c r="G58" s="35" t="str">
        <f>IFERROR(IF(VLOOKUP($B58,casostestes[#Data],5)=0,"-",VLOOKUP($B58,casostestes[#Data],5)),"-")</f>
        <v>-</v>
      </c>
      <c r="H58" s="35" t="str">
        <f>IFERROR(IF(VLOOKUP($B58,casostestes[#Data],6)=0,"-",VLOOKUP($B58,casostestes[#Data],6)),"-")</f>
        <v>-</v>
      </c>
      <c r="I58" s="35" t="str">
        <f>IFERROR(IF(VLOOKUP($B58,casostestes[#Data],8)=0,"-",VLOOKUP($B58,casostestes[#Data],8)),"-")</f>
        <v>-</v>
      </c>
      <c r="J58" s="35" t="str">
        <f>IFERROR(IF(VLOOKUP($B58,casostestes[#Data],9)=0,"-",VLOOKUP($B58,casostestes[#Data],9)),"-")</f>
        <v>-</v>
      </c>
      <c r="K58" s="36"/>
      <c r="L58" s="45"/>
      <c r="M58" s="37"/>
      <c r="N58" s="38"/>
      <c r="O58" s="38"/>
      <c r="P58" s="39"/>
    </row>
    <row r="59" spans="2:16">
      <c r="B59" s="40" t="str">
        <f>IF(ISERR(casostestes[[#This Row],[ID]]),"-",casostestes[[#This Row],[ID]])</f>
        <v>-</v>
      </c>
      <c r="C59" s="34" t="str">
        <f>IFERROR(IF(VLOOKUP($B59,casostestes[#Data],10)=0,"Não",VLOOKUP($B59,casostestes[#Data],10)), "-")</f>
        <v>-</v>
      </c>
      <c r="D59" s="35" t="str">
        <f>IFERROR(IF(VLOOKUP($B59,casostestes[#Data],2)=0,"-",VLOOKUP($B59,casostestes[#Data],2)), "-")</f>
        <v>-</v>
      </c>
      <c r="E59" s="35" t="str">
        <f>IFERROR(IF(VLOOKUP($B59,casostestes[#Data],3)=0,"-",VLOOKUP($B59,casostestes[#Data],3)), "-")</f>
        <v>-</v>
      </c>
      <c r="F59" s="35" t="str">
        <f>IFERROR(IF(VLOOKUP($B59,casostestes[#Data],4)=0,"-",VLOOKUP($B59,casostestes[#Data],4)),"-")</f>
        <v>-</v>
      </c>
      <c r="G59" s="35" t="str">
        <f>IFERROR(IF(VLOOKUP($B59,casostestes[#Data],5)=0,"-",VLOOKUP($B59,casostestes[#Data],5)),"-")</f>
        <v>-</v>
      </c>
      <c r="H59" s="35" t="str">
        <f>IFERROR(IF(VLOOKUP($B59,casostestes[#Data],6)=0,"-",VLOOKUP($B59,casostestes[#Data],6)),"-")</f>
        <v>-</v>
      </c>
      <c r="I59" s="35" t="str">
        <f>IFERROR(IF(VLOOKUP($B59,casostestes[#Data],8)=0,"-",VLOOKUP($B59,casostestes[#Data],8)),"-")</f>
        <v>-</v>
      </c>
      <c r="J59" s="35" t="str">
        <f>IFERROR(IF(VLOOKUP($B59,casostestes[#Data],9)=0,"-",VLOOKUP($B59,casostestes[#Data],9)),"-")</f>
        <v>-</v>
      </c>
      <c r="K59" s="36"/>
      <c r="L59" s="45"/>
      <c r="M59" s="37"/>
      <c r="N59" s="38"/>
      <c r="O59" s="38"/>
      <c r="P59" s="39"/>
    </row>
    <row r="60" spans="2:16">
      <c r="B60" s="40" t="str">
        <f>IF(ISERR(casostestes[[#This Row],[ID]]),"-",casostestes[[#This Row],[ID]])</f>
        <v>-</v>
      </c>
      <c r="C60" s="34" t="str">
        <f>IFERROR(IF(VLOOKUP($B60,casostestes[#Data],10)=0,"Não",VLOOKUP($B60,casostestes[#Data],10)), "-")</f>
        <v>-</v>
      </c>
      <c r="D60" s="35" t="str">
        <f>IFERROR(IF(VLOOKUP($B60,casostestes[#Data],2)=0,"-",VLOOKUP($B60,casostestes[#Data],2)), "-")</f>
        <v>-</v>
      </c>
      <c r="E60" s="35" t="str">
        <f>IFERROR(IF(VLOOKUP($B60,casostestes[#Data],3)=0,"-",VLOOKUP($B60,casostestes[#Data],3)), "-")</f>
        <v>-</v>
      </c>
      <c r="F60" s="35" t="str">
        <f>IFERROR(IF(VLOOKUP($B60,casostestes[#Data],4)=0,"-",VLOOKUP($B60,casostestes[#Data],4)),"-")</f>
        <v>-</v>
      </c>
      <c r="G60" s="35" t="str">
        <f>IFERROR(IF(VLOOKUP($B60,casostestes[#Data],5)=0,"-",VLOOKUP($B60,casostestes[#Data],5)),"-")</f>
        <v>-</v>
      </c>
      <c r="H60" s="35" t="str">
        <f>IFERROR(IF(VLOOKUP($B60,casostestes[#Data],6)=0,"-",VLOOKUP($B60,casostestes[#Data],6)),"-")</f>
        <v>-</v>
      </c>
      <c r="I60" s="35" t="str">
        <f>IFERROR(IF(VLOOKUP($B60,casostestes[#Data],8)=0,"-",VLOOKUP($B60,casostestes[#Data],8)),"-")</f>
        <v>-</v>
      </c>
      <c r="J60" s="35" t="str">
        <f>IFERROR(IF(VLOOKUP($B60,casostestes[#Data],9)=0,"-",VLOOKUP($B60,casostestes[#Data],9)),"-")</f>
        <v>-</v>
      </c>
      <c r="K60" s="36"/>
      <c r="L60" s="45"/>
      <c r="M60" s="37"/>
      <c r="N60" s="38"/>
      <c r="O60" s="38"/>
      <c r="P60" s="39"/>
    </row>
    <row r="61" spans="2:16">
      <c r="B61" s="40" t="str">
        <f>IF(ISERR(casostestes[[#This Row],[ID]]),"-",casostestes[[#This Row],[ID]])</f>
        <v>-</v>
      </c>
      <c r="C61" s="34" t="str">
        <f>IFERROR(IF(VLOOKUP($B61,casostestes[#Data],10)=0,"Não",VLOOKUP($B61,casostestes[#Data],10)), "-")</f>
        <v>-</v>
      </c>
      <c r="D61" s="35" t="str">
        <f>IFERROR(IF(VLOOKUP($B61,casostestes[#Data],2)=0,"-",VLOOKUP($B61,casostestes[#Data],2)), "-")</f>
        <v>-</v>
      </c>
      <c r="E61" s="35" t="str">
        <f>IFERROR(IF(VLOOKUP($B61,casostestes[#Data],3)=0,"-",VLOOKUP($B61,casostestes[#Data],3)), "-")</f>
        <v>-</v>
      </c>
      <c r="F61" s="35" t="str">
        <f>IFERROR(IF(VLOOKUP($B61,casostestes[#Data],4)=0,"-",VLOOKUP($B61,casostestes[#Data],4)),"-")</f>
        <v>-</v>
      </c>
      <c r="G61" s="35" t="str">
        <f>IFERROR(IF(VLOOKUP($B61,casostestes[#Data],5)=0,"-",VLOOKUP($B61,casostestes[#Data],5)),"-")</f>
        <v>-</v>
      </c>
      <c r="H61" s="35" t="str">
        <f>IFERROR(IF(VLOOKUP($B61,casostestes[#Data],6)=0,"-",VLOOKUP($B61,casostestes[#Data],6)),"-")</f>
        <v>-</v>
      </c>
      <c r="I61" s="35" t="str">
        <f>IFERROR(IF(VLOOKUP($B61,casostestes[#Data],8)=0,"-",VLOOKUP($B61,casostestes[#Data],8)),"-")</f>
        <v>-</v>
      </c>
      <c r="J61" s="35" t="str">
        <f>IFERROR(IF(VLOOKUP($B61,casostestes[#Data],9)=0,"-",VLOOKUP($B61,casostestes[#Data],9)),"-")</f>
        <v>-</v>
      </c>
      <c r="K61" s="36"/>
      <c r="L61" s="45"/>
      <c r="M61" s="37"/>
      <c r="N61" s="38"/>
      <c r="O61" s="38"/>
      <c r="P61" s="39"/>
    </row>
    <row r="62" spans="2:16">
      <c r="B62" s="40" t="str">
        <f>IF(ISERR(casostestes[[#This Row],[ID]]),"-",casostestes[[#This Row],[ID]])</f>
        <v>-</v>
      </c>
      <c r="C62" s="34" t="str">
        <f>IFERROR(IF(VLOOKUP($B62,casostestes[#Data],10)=0,"Não",VLOOKUP($B62,casostestes[#Data],10)), "-")</f>
        <v>-</v>
      </c>
      <c r="D62" s="35" t="str">
        <f>IFERROR(IF(VLOOKUP($B62,casostestes[#Data],2)=0,"-",VLOOKUP($B62,casostestes[#Data],2)), "-")</f>
        <v>-</v>
      </c>
      <c r="E62" s="35" t="str">
        <f>IFERROR(IF(VLOOKUP($B62,casostestes[#Data],3)=0,"-",VLOOKUP($B62,casostestes[#Data],3)), "-")</f>
        <v>-</v>
      </c>
      <c r="F62" s="35" t="str">
        <f>IFERROR(IF(VLOOKUP($B62,casostestes[#Data],4)=0,"-",VLOOKUP($B62,casostestes[#Data],4)),"-")</f>
        <v>-</v>
      </c>
      <c r="G62" s="35" t="str">
        <f>IFERROR(IF(VLOOKUP($B62,casostestes[#Data],5)=0,"-",VLOOKUP($B62,casostestes[#Data],5)),"-")</f>
        <v>-</v>
      </c>
      <c r="H62" s="35" t="str">
        <f>IFERROR(IF(VLOOKUP($B62,casostestes[#Data],6)=0,"-",VLOOKUP($B62,casostestes[#Data],6)),"-")</f>
        <v>-</v>
      </c>
      <c r="I62" s="35" t="str">
        <f>IFERROR(IF(VLOOKUP($B62,casostestes[#Data],8)=0,"-",VLOOKUP($B62,casostestes[#Data],8)),"-")</f>
        <v>-</v>
      </c>
      <c r="J62" s="35" t="str">
        <f>IFERROR(IF(VLOOKUP($B62,casostestes[#Data],9)=0,"-",VLOOKUP($B62,casostestes[#Data],9)),"-")</f>
        <v>-</v>
      </c>
      <c r="K62" s="36"/>
      <c r="L62" s="45"/>
      <c r="M62" s="37"/>
      <c r="N62" s="38"/>
      <c r="O62" s="38"/>
      <c r="P62" s="39"/>
    </row>
    <row r="63" spans="2:16">
      <c r="B63" s="40" t="str">
        <f>IF(ISERR(casostestes[[#This Row],[ID]]),"-",casostestes[[#This Row],[ID]])</f>
        <v>-</v>
      </c>
      <c r="C63" s="34" t="str">
        <f>IFERROR(IF(VLOOKUP($B63,casostestes[#Data],10)=0,"Não",VLOOKUP($B63,casostestes[#Data],10)), "-")</f>
        <v>-</v>
      </c>
      <c r="D63" s="35" t="str">
        <f>IFERROR(IF(VLOOKUP($B63,casostestes[#Data],2)=0,"-",VLOOKUP($B63,casostestes[#Data],2)), "-")</f>
        <v>-</v>
      </c>
      <c r="E63" s="35" t="str">
        <f>IFERROR(IF(VLOOKUP($B63,casostestes[#Data],3)=0,"-",VLOOKUP($B63,casostestes[#Data],3)), "-")</f>
        <v>-</v>
      </c>
      <c r="F63" s="35" t="str">
        <f>IFERROR(IF(VLOOKUP($B63,casostestes[#Data],4)=0,"-",VLOOKUP($B63,casostestes[#Data],4)),"-")</f>
        <v>-</v>
      </c>
      <c r="G63" s="35" t="str">
        <f>IFERROR(IF(VLOOKUP($B63,casostestes[#Data],5)=0,"-",VLOOKUP($B63,casostestes[#Data],5)),"-")</f>
        <v>-</v>
      </c>
      <c r="H63" s="35" t="str">
        <f>IFERROR(IF(VLOOKUP($B63,casostestes[#Data],6)=0,"-",VLOOKUP($B63,casostestes[#Data],6)),"-")</f>
        <v>-</v>
      </c>
      <c r="I63" s="35" t="str">
        <f>IFERROR(IF(VLOOKUP($B63,casostestes[#Data],8)=0,"-",VLOOKUP($B63,casostestes[#Data],8)),"-")</f>
        <v>-</v>
      </c>
      <c r="J63" s="35" t="str">
        <f>IFERROR(IF(VLOOKUP($B63,casostestes[#Data],9)=0,"-",VLOOKUP($B63,casostestes[#Data],9)),"-")</f>
        <v>-</v>
      </c>
      <c r="K63" s="36"/>
      <c r="L63" s="45"/>
      <c r="M63" s="37"/>
      <c r="N63" s="38"/>
      <c r="O63" s="38"/>
      <c r="P63" s="39"/>
    </row>
    <row r="64" spans="2:16">
      <c r="B64" s="40" t="str">
        <f>IF(ISERR(casostestes[[#This Row],[ID]]),"-",casostestes[[#This Row],[ID]])</f>
        <v>-</v>
      </c>
      <c r="C64" s="34" t="str">
        <f>IFERROR(IF(VLOOKUP($B64,casostestes[#Data],10)=0,"Não",VLOOKUP($B64,casostestes[#Data],10)), "-")</f>
        <v>-</v>
      </c>
      <c r="D64" s="35" t="str">
        <f>IFERROR(IF(VLOOKUP($B64,casostestes[#Data],2)=0,"-",VLOOKUP($B64,casostestes[#Data],2)), "-")</f>
        <v>-</v>
      </c>
      <c r="E64" s="35" t="str">
        <f>IFERROR(IF(VLOOKUP($B64,casostestes[#Data],3)=0,"-",VLOOKUP($B64,casostestes[#Data],3)), "-")</f>
        <v>-</v>
      </c>
      <c r="F64" s="35" t="str">
        <f>IFERROR(IF(VLOOKUP($B64,casostestes[#Data],4)=0,"-",VLOOKUP($B64,casostestes[#Data],4)),"-")</f>
        <v>-</v>
      </c>
      <c r="G64" s="35" t="str">
        <f>IFERROR(IF(VLOOKUP($B64,casostestes[#Data],5)=0,"-",VLOOKUP($B64,casostestes[#Data],5)),"-")</f>
        <v>-</v>
      </c>
      <c r="H64" s="35" t="str">
        <f>IFERROR(IF(VLOOKUP($B64,casostestes[#Data],6)=0,"-",VLOOKUP($B64,casostestes[#Data],6)),"-")</f>
        <v>-</v>
      </c>
      <c r="I64" s="35" t="str">
        <f>IFERROR(IF(VLOOKUP($B64,casostestes[#Data],8)=0,"-",VLOOKUP($B64,casostestes[#Data],8)),"-")</f>
        <v>-</v>
      </c>
      <c r="J64" s="35" t="str">
        <f>IFERROR(IF(VLOOKUP($B64,casostestes[#Data],9)=0,"-",VLOOKUP($B64,casostestes[#Data],9)),"-")</f>
        <v>-</v>
      </c>
      <c r="K64" s="36"/>
      <c r="L64" s="45"/>
      <c r="M64" s="37"/>
      <c r="N64" s="38"/>
      <c r="O64" s="38"/>
      <c r="P64" s="39"/>
    </row>
    <row r="65" spans="2:16">
      <c r="B65" s="40" t="str">
        <f>IF(ISERR(casostestes[[#This Row],[ID]]),"-",casostestes[[#This Row],[ID]])</f>
        <v>-</v>
      </c>
      <c r="C65" s="34" t="str">
        <f>IFERROR(IF(VLOOKUP($B65,casostestes[#Data],10)=0,"Não",VLOOKUP($B65,casostestes[#Data],10)), "-")</f>
        <v>-</v>
      </c>
      <c r="D65" s="35" t="str">
        <f>IFERROR(IF(VLOOKUP($B65,casostestes[#Data],2)=0,"-",VLOOKUP($B65,casostestes[#Data],2)), "-")</f>
        <v>-</v>
      </c>
      <c r="E65" s="35" t="str">
        <f>IFERROR(IF(VLOOKUP($B65,casostestes[#Data],3)=0,"-",VLOOKUP($B65,casostestes[#Data],3)), "-")</f>
        <v>-</v>
      </c>
      <c r="F65" s="35" t="str">
        <f>IFERROR(IF(VLOOKUP($B65,casostestes[#Data],4)=0,"-",VLOOKUP($B65,casostestes[#Data],4)),"-")</f>
        <v>-</v>
      </c>
      <c r="G65" s="35" t="str">
        <f>IFERROR(IF(VLOOKUP($B65,casostestes[#Data],5)=0,"-",VLOOKUP($B65,casostestes[#Data],5)),"-")</f>
        <v>-</v>
      </c>
      <c r="H65" s="35" t="str">
        <f>IFERROR(IF(VLOOKUP($B65,casostestes[#Data],6)=0,"-",VLOOKUP($B65,casostestes[#Data],6)),"-")</f>
        <v>-</v>
      </c>
      <c r="I65" s="35" t="str">
        <f>IFERROR(IF(VLOOKUP($B65,casostestes[#Data],8)=0,"-",VLOOKUP($B65,casostestes[#Data],8)),"-")</f>
        <v>-</v>
      </c>
      <c r="J65" s="35" t="str">
        <f>IFERROR(IF(VLOOKUP($B65,casostestes[#Data],9)=0,"-",VLOOKUP($B65,casostestes[#Data],9)),"-")</f>
        <v>-</v>
      </c>
      <c r="K65" s="36"/>
      <c r="L65" s="45"/>
      <c r="M65" s="37"/>
      <c r="N65" s="38"/>
      <c r="O65" s="38"/>
      <c r="P65" s="39"/>
    </row>
    <row r="66" spans="2:16">
      <c r="B66" s="40" t="str">
        <f>IF(ISERR(casostestes[[#This Row],[ID]]),"-",casostestes[[#This Row],[ID]])</f>
        <v>-</v>
      </c>
      <c r="C66" s="34" t="str">
        <f>IFERROR(IF(VLOOKUP($B66,casostestes[#Data],10)=0,"Não",VLOOKUP($B66,casostestes[#Data],10)), "-")</f>
        <v>-</v>
      </c>
      <c r="D66" s="35" t="str">
        <f>IFERROR(IF(VLOOKUP($B66,casostestes[#Data],2)=0,"-",VLOOKUP($B66,casostestes[#Data],2)), "-")</f>
        <v>-</v>
      </c>
      <c r="E66" s="35" t="str">
        <f>IFERROR(IF(VLOOKUP($B66,casostestes[#Data],3)=0,"-",VLOOKUP($B66,casostestes[#Data],3)), "-")</f>
        <v>-</v>
      </c>
      <c r="F66" s="35" t="str">
        <f>IFERROR(IF(VLOOKUP($B66,casostestes[#Data],4)=0,"-",VLOOKUP($B66,casostestes[#Data],4)),"-")</f>
        <v>-</v>
      </c>
      <c r="G66" s="35" t="str">
        <f>IFERROR(IF(VLOOKUP($B66,casostestes[#Data],5)=0,"-",VLOOKUP($B66,casostestes[#Data],5)),"-")</f>
        <v>-</v>
      </c>
      <c r="H66" s="35" t="str">
        <f>IFERROR(IF(VLOOKUP($B66,casostestes[#Data],6)=0,"-",VLOOKUP($B66,casostestes[#Data],6)),"-")</f>
        <v>-</v>
      </c>
      <c r="I66" s="35" t="str">
        <f>IFERROR(IF(VLOOKUP($B66,casostestes[#Data],8)=0,"-",VLOOKUP($B66,casostestes[#Data],8)),"-")</f>
        <v>-</v>
      </c>
      <c r="J66" s="35" t="str">
        <f>IFERROR(IF(VLOOKUP($B66,casostestes[#Data],9)=0,"-",VLOOKUP($B66,casostestes[#Data],9)),"-")</f>
        <v>-</v>
      </c>
      <c r="K66" s="36"/>
      <c r="L66" s="45"/>
      <c r="M66" s="37"/>
      <c r="N66" s="38"/>
      <c r="O66" s="38"/>
      <c r="P66" s="39"/>
    </row>
    <row r="67" spans="2:16">
      <c r="B67" s="40" t="str">
        <f>IF(ISERR(casostestes[[#This Row],[ID]]),"-",casostestes[[#This Row],[ID]])</f>
        <v>-</v>
      </c>
      <c r="C67" s="34" t="str">
        <f>IFERROR(IF(VLOOKUP($B67,casostestes[#Data],10)=0,"Não",VLOOKUP($B67,casostestes[#Data],10)), "-")</f>
        <v>-</v>
      </c>
      <c r="D67" s="35" t="str">
        <f>IFERROR(IF(VLOOKUP($B67,casostestes[#Data],2)=0,"-",VLOOKUP($B67,casostestes[#Data],2)), "-")</f>
        <v>-</v>
      </c>
      <c r="E67" s="35" t="str">
        <f>IFERROR(IF(VLOOKUP($B67,casostestes[#Data],3)=0,"-",VLOOKUP($B67,casostestes[#Data],3)), "-")</f>
        <v>-</v>
      </c>
      <c r="F67" s="35" t="str">
        <f>IFERROR(IF(VLOOKUP($B67,casostestes[#Data],4)=0,"-",VLOOKUP($B67,casostestes[#Data],4)),"-")</f>
        <v>-</v>
      </c>
      <c r="G67" s="35" t="str">
        <f>IFERROR(IF(VLOOKUP($B67,casostestes[#Data],5)=0,"-",VLOOKUP($B67,casostestes[#Data],5)),"-")</f>
        <v>-</v>
      </c>
      <c r="H67" s="35" t="str">
        <f>IFERROR(IF(VLOOKUP($B67,casostestes[#Data],6)=0,"-",VLOOKUP($B67,casostestes[#Data],6)),"-")</f>
        <v>-</v>
      </c>
      <c r="I67" s="35" t="str">
        <f>IFERROR(IF(VLOOKUP($B67,casostestes[#Data],8)=0,"-",VLOOKUP($B67,casostestes[#Data],8)),"-")</f>
        <v>-</v>
      </c>
      <c r="J67" s="35" t="str">
        <f>IFERROR(IF(VLOOKUP($B67,casostestes[#Data],9)=0,"-",VLOOKUP($B67,casostestes[#Data],9)),"-")</f>
        <v>-</v>
      </c>
      <c r="K67" s="36"/>
      <c r="L67" s="45"/>
      <c r="M67" s="37"/>
      <c r="N67" s="38"/>
      <c r="O67" s="38"/>
      <c r="P67" s="39"/>
    </row>
    <row r="68" spans="2:16">
      <c r="B68" s="40" t="str">
        <f>IF(ISERR(casostestes[[#This Row],[ID]]),"-",casostestes[[#This Row],[ID]])</f>
        <v>-</v>
      </c>
      <c r="C68" s="34" t="str">
        <f>IFERROR(IF(VLOOKUP($B68,casostestes[#Data],10)=0,"Não",VLOOKUP($B68,casostestes[#Data],10)), "-")</f>
        <v>-</v>
      </c>
      <c r="D68" s="35" t="str">
        <f>IFERROR(IF(VLOOKUP($B68,casostestes[#Data],2)=0,"-",VLOOKUP($B68,casostestes[#Data],2)), "-")</f>
        <v>-</v>
      </c>
      <c r="E68" s="35" t="str">
        <f>IFERROR(IF(VLOOKUP($B68,casostestes[#Data],3)=0,"-",VLOOKUP($B68,casostestes[#Data],3)), "-")</f>
        <v>-</v>
      </c>
      <c r="F68" s="35" t="str">
        <f>IFERROR(IF(VLOOKUP($B68,casostestes[#Data],4)=0,"-",VLOOKUP($B68,casostestes[#Data],4)),"-")</f>
        <v>-</v>
      </c>
      <c r="G68" s="35" t="str">
        <f>IFERROR(IF(VLOOKUP($B68,casostestes[#Data],5)=0,"-",VLOOKUP($B68,casostestes[#Data],5)),"-")</f>
        <v>-</v>
      </c>
      <c r="H68" s="35" t="str">
        <f>IFERROR(IF(VLOOKUP($B68,casostestes[#Data],6)=0,"-",VLOOKUP($B68,casostestes[#Data],6)),"-")</f>
        <v>-</v>
      </c>
      <c r="I68" s="35" t="str">
        <f>IFERROR(IF(VLOOKUP($B68,casostestes[#Data],8)=0,"-",VLOOKUP($B68,casostestes[#Data],8)),"-")</f>
        <v>-</v>
      </c>
      <c r="J68" s="35" t="str">
        <f>IFERROR(IF(VLOOKUP($B68,casostestes[#Data],9)=0,"-",VLOOKUP($B68,casostestes[#Data],9)),"-")</f>
        <v>-</v>
      </c>
      <c r="K68" s="36"/>
      <c r="L68" s="45"/>
      <c r="M68" s="37"/>
      <c r="N68" s="38"/>
      <c r="O68" s="38"/>
      <c r="P68" s="39"/>
    </row>
    <row r="69" spans="2:16">
      <c r="B69" s="40" t="str">
        <f>IF(ISERR(casostestes[[#This Row],[ID]]),"-",casostestes[[#This Row],[ID]])</f>
        <v>-</v>
      </c>
      <c r="C69" s="34" t="str">
        <f>IFERROR(IF(VLOOKUP($B69,casostestes[#Data],10)=0,"Não",VLOOKUP($B69,casostestes[#Data],10)), "-")</f>
        <v>-</v>
      </c>
      <c r="D69" s="35" t="str">
        <f>IFERROR(IF(VLOOKUP($B69,casostestes[#Data],2)=0,"-",VLOOKUP($B69,casostestes[#Data],2)), "-")</f>
        <v>-</v>
      </c>
      <c r="E69" s="35" t="str">
        <f>IFERROR(IF(VLOOKUP($B69,casostestes[#Data],3)=0,"-",VLOOKUP($B69,casostestes[#Data],3)), "-")</f>
        <v>-</v>
      </c>
      <c r="F69" s="35" t="str">
        <f>IFERROR(IF(VLOOKUP($B69,casostestes[#Data],4)=0,"-",VLOOKUP($B69,casostestes[#Data],4)),"-")</f>
        <v>-</v>
      </c>
      <c r="G69" s="35" t="str">
        <f>IFERROR(IF(VLOOKUP($B69,casostestes[#Data],5)=0,"-",VLOOKUP($B69,casostestes[#Data],5)),"-")</f>
        <v>-</v>
      </c>
      <c r="H69" s="35" t="str">
        <f>IFERROR(IF(VLOOKUP($B69,casostestes[#Data],6)=0,"-",VLOOKUP($B69,casostestes[#Data],6)),"-")</f>
        <v>-</v>
      </c>
      <c r="I69" s="35" t="str">
        <f>IFERROR(IF(VLOOKUP($B69,casostestes[#Data],8)=0,"-",VLOOKUP($B69,casostestes[#Data],8)),"-")</f>
        <v>-</v>
      </c>
      <c r="J69" s="35" t="str">
        <f>IFERROR(IF(VLOOKUP($B69,casostestes[#Data],9)=0,"-",VLOOKUP($B69,casostestes[#Data],9)),"-")</f>
        <v>-</v>
      </c>
      <c r="K69" s="36"/>
      <c r="L69" s="45"/>
      <c r="M69" s="37"/>
      <c r="N69" s="38"/>
      <c r="O69" s="38"/>
      <c r="P69" s="39"/>
    </row>
    <row r="70" spans="2:16">
      <c r="B70" s="40" t="str">
        <f>IF(ISERR(casostestes[[#This Row],[ID]]),"-",casostestes[[#This Row],[ID]])</f>
        <v>-</v>
      </c>
      <c r="C70" s="34" t="str">
        <f>IFERROR(IF(VLOOKUP($B70,casostestes[#Data],10)=0,"Não",VLOOKUP($B70,casostestes[#Data],10)), "-")</f>
        <v>-</v>
      </c>
      <c r="D70" s="35" t="str">
        <f>IFERROR(IF(VLOOKUP($B70,casostestes[#Data],2)=0,"-",VLOOKUP($B70,casostestes[#Data],2)), "-")</f>
        <v>-</v>
      </c>
      <c r="E70" s="35" t="str">
        <f>IFERROR(IF(VLOOKUP($B70,casostestes[#Data],3)=0,"-",VLOOKUP($B70,casostestes[#Data],3)), "-")</f>
        <v>-</v>
      </c>
      <c r="F70" s="35" t="str">
        <f>IFERROR(IF(VLOOKUP($B70,casostestes[#Data],4)=0,"-",VLOOKUP($B70,casostestes[#Data],4)),"-")</f>
        <v>-</v>
      </c>
      <c r="G70" s="35" t="str">
        <f>IFERROR(IF(VLOOKUP($B70,casostestes[#Data],5)=0,"-",VLOOKUP($B70,casostestes[#Data],5)),"-")</f>
        <v>-</v>
      </c>
      <c r="H70" s="35" t="str">
        <f>IFERROR(IF(VLOOKUP($B70,casostestes[#Data],6)=0,"-",VLOOKUP($B70,casostestes[#Data],6)),"-")</f>
        <v>-</v>
      </c>
      <c r="I70" s="35" t="str">
        <f>IFERROR(IF(VLOOKUP($B70,casostestes[#Data],8)=0,"-",VLOOKUP($B70,casostestes[#Data],8)),"-")</f>
        <v>-</v>
      </c>
      <c r="J70" s="35" t="str">
        <f>IFERROR(IF(VLOOKUP($B70,casostestes[#Data],9)=0,"-",VLOOKUP($B70,casostestes[#Data],9)),"-")</f>
        <v>-</v>
      </c>
      <c r="K70" s="36"/>
      <c r="L70" s="45"/>
      <c r="M70" s="37"/>
      <c r="N70" s="38"/>
      <c r="O70" s="38"/>
      <c r="P70" s="39"/>
    </row>
    <row r="71" spans="2:16">
      <c r="B71" s="40" t="str">
        <f>IF(ISERR(casostestes[[#This Row],[ID]]),"-",casostestes[[#This Row],[ID]])</f>
        <v>-</v>
      </c>
      <c r="C71" s="34" t="str">
        <f>IFERROR(IF(VLOOKUP($B71,casostestes[#Data],10)=0,"Não",VLOOKUP($B71,casostestes[#Data],10)), "-")</f>
        <v>-</v>
      </c>
      <c r="D71" s="35" t="str">
        <f>IFERROR(IF(VLOOKUP($B71,casostestes[#Data],2)=0,"-",VLOOKUP($B71,casostestes[#Data],2)), "-")</f>
        <v>-</v>
      </c>
      <c r="E71" s="35" t="str">
        <f>IFERROR(IF(VLOOKUP($B71,casostestes[#Data],3)=0,"-",VLOOKUP($B71,casostestes[#Data],3)), "-")</f>
        <v>-</v>
      </c>
      <c r="F71" s="35" t="str">
        <f>IFERROR(IF(VLOOKUP($B71,casostestes[#Data],4)=0,"-",VLOOKUP($B71,casostestes[#Data],4)),"-")</f>
        <v>-</v>
      </c>
      <c r="G71" s="35" t="str">
        <f>IFERROR(IF(VLOOKUP($B71,casostestes[#Data],5)=0,"-",VLOOKUP($B71,casostestes[#Data],5)),"-")</f>
        <v>-</v>
      </c>
      <c r="H71" s="35" t="str">
        <f>IFERROR(IF(VLOOKUP($B71,casostestes[#Data],6)=0,"-",VLOOKUP($B71,casostestes[#Data],6)),"-")</f>
        <v>-</v>
      </c>
      <c r="I71" s="35" t="str">
        <f>IFERROR(IF(VLOOKUP($B71,casostestes[#Data],8)=0,"-",VLOOKUP($B71,casostestes[#Data],8)),"-")</f>
        <v>-</v>
      </c>
      <c r="J71" s="35" t="str">
        <f>IFERROR(IF(VLOOKUP($B71,casostestes[#Data],9)=0,"-",VLOOKUP($B71,casostestes[#Data],9)),"-")</f>
        <v>-</v>
      </c>
      <c r="K71" s="36"/>
      <c r="L71" s="45"/>
      <c r="M71" s="37"/>
      <c r="N71" s="38"/>
      <c r="O71" s="38"/>
      <c r="P71" s="39"/>
    </row>
    <row r="72" spans="2:16">
      <c r="B72" s="40" t="str">
        <f>IF(ISERR(casostestes[[#This Row],[ID]]),"-",casostestes[[#This Row],[ID]])</f>
        <v>-</v>
      </c>
      <c r="C72" s="34" t="str">
        <f>IFERROR(IF(VLOOKUP($B72,casostestes[#Data],10)=0,"Não",VLOOKUP($B72,casostestes[#Data],10)), "-")</f>
        <v>-</v>
      </c>
      <c r="D72" s="35" t="str">
        <f>IFERROR(IF(VLOOKUP($B72,casostestes[#Data],2)=0,"-",VLOOKUP($B72,casostestes[#Data],2)), "-")</f>
        <v>-</v>
      </c>
      <c r="E72" s="35" t="str">
        <f>IFERROR(IF(VLOOKUP($B72,casostestes[#Data],3)=0,"-",VLOOKUP($B72,casostestes[#Data],3)), "-")</f>
        <v>-</v>
      </c>
      <c r="F72" s="35" t="str">
        <f>IFERROR(IF(VLOOKUP($B72,casostestes[#Data],4)=0,"-",VLOOKUP($B72,casostestes[#Data],4)),"-")</f>
        <v>-</v>
      </c>
      <c r="G72" s="35" t="str">
        <f>IFERROR(IF(VLOOKUP($B72,casostestes[#Data],5)=0,"-",VLOOKUP($B72,casostestes[#Data],5)),"-")</f>
        <v>-</v>
      </c>
      <c r="H72" s="35" t="str">
        <f>IFERROR(IF(VLOOKUP($B72,casostestes[#Data],6)=0,"-",VLOOKUP($B72,casostestes[#Data],6)),"-")</f>
        <v>-</v>
      </c>
      <c r="I72" s="35" t="str">
        <f>IFERROR(IF(VLOOKUP($B72,casostestes[#Data],8)=0,"-",VLOOKUP($B72,casostestes[#Data],8)),"-")</f>
        <v>-</v>
      </c>
      <c r="J72" s="35" t="str">
        <f>IFERROR(IF(VLOOKUP($B72,casostestes[#Data],9)=0,"-",VLOOKUP($B72,casostestes[#Data],9)),"-")</f>
        <v>-</v>
      </c>
      <c r="K72" s="36"/>
      <c r="L72" s="45"/>
      <c r="M72" s="37"/>
      <c r="N72" s="38"/>
      <c r="O72" s="38"/>
      <c r="P72" s="39"/>
    </row>
    <row r="73" spans="2:16">
      <c r="B73" s="40" t="str">
        <f>IF(ISERR(casostestes[[#This Row],[ID]]),"-",casostestes[[#This Row],[ID]])</f>
        <v>-</v>
      </c>
      <c r="C73" s="34" t="str">
        <f>IFERROR(IF(VLOOKUP($B73,casostestes[#Data],10)=0,"Não",VLOOKUP($B73,casostestes[#Data],10)), "-")</f>
        <v>-</v>
      </c>
      <c r="D73" s="35" t="str">
        <f>IFERROR(IF(VLOOKUP($B73,casostestes[#Data],2)=0,"-",VLOOKUP($B73,casostestes[#Data],2)), "-")</f>
        <v>-</v>
      </c>
      <c r="E73" s="35" t="str">
        <f>IFERROR(IF(VLOOKUP($B73,casostestes[#Data],3)=0,"-",VLOOKUP($B73,casostestes[#Data],3)), "-")</f>
        <v>-</v>
      </c>
      <c r="F73" s="35" t="str">
        <f>IFERROR(IF(VLOOKUP($B73,casostestes[#Data],4)=0,"-",VLOOKUP($B73,casostestes[#Data],4)),"-")</f>
        <v>-</v>
      </c>
      <c r="G73" s="35" t="str">
        <f>IFERROR(IF(VLOOKUP($B73,casostestes[#Data],5)=0,"-",VLOOKUP($B73,casostestes[#Data],5)),"-")</f>
        <v>-</v>
      </c>
      <c r="H73" s="35" t="str">
        <f>IFERROR(IF(VLOOKUP($B73,casostestes[#Data],6)=0,"-",VLOOKUP($B73,casostestes[#Data],6)),"-")</f>
        <v>-</v>
      </c>
      <c r="I73" s="35" t="str">
        <f>IFERROR(IF(VLOOKUP($B73,casostestes[#Data],8)=0,"-",VLOOKUP($B73,casostestes[#Data],8)),"-")</f>
        <v>-</v>
      </c>
      <c r="J73" s="35" t="str">
        <f>IFERROR(IF(VLOOKUP($B73,casostestes[#Data],9)=0,"-",VLOOKUP($B73,casostestes[#Data],9)),"-")</f>
        <v>-</v>
      </c>
      <c r="K73" s="36"/>
      <c r="L73" s="45"/>
      <c r="M73" s="37"/>
      <c r="N73" s="38"/>
      <c r="O73" s="38"/>
      <c r="P73" s="39"/>
    </row>
    <row r="74" spans="2:16">
      <c r="B74" s="40" t="str">
        <f>IF(ISERR(casostestes[[#This Row],[ID]]),"-",casostestes[[#This Row],[ID]])</f>
        <v>-</v>
      </c>
      <c r="C74" s="34" t="str">
        <f>IFERROR(IF(VLOOKUP($B74,casostestes[#Data],10)=0,"Não",VLOOKUP($B74,casostestes[#Data],10)), "-")</f>
        <v>-</v>
      </c>
      <c r="D74" s="35" t="str">
        <f>IFERROR(IF(VLOOKUP($B74,casostestes[#Data],2)=0,"-",VLOOKUP($B74,casostestes[#Data],2)), "-")</f>
        <v>-</v>
      </c>
      <c r="E74" s="35" t="str">
        <f>IFERROR(IF(VLOOKUP($B74,casostestes[#Data],3)=0,"-",VLOOKUP($B74,casostestes[#Data],3)), "-")</f>
        <v>-</v>
      </c>
      <c r="F74" s="35" t="str">
        <f>IFERROR(IF(VLOOKUP($B74,casostestes[#Data],4)=0,"-",VLOOKUP($B74,casostestes[#Data],4)),"-")</f>
        <v>-</v>
      </c>
      <c r="G74" s="35" t="str">
        <f>IFERROR(IF(VLOOKUP($B74,casostestes[#Data],5)=0,"-",VLOOKUP($B74,casostestes[#Data],5)),"-")</f>
        <v>-</v>
      </c>
      <c r="H74" s="35" t="str">
        <f>IFERROR(IF(VLOOKUP($B74,casostestes[#Data],6)=0,"-",VLOOKUP($B74,casostestes[#Data],6)),"-")</f>
        <v>-</v>
      </c>
      <c r="I74" s="35" t="str">
        <f>IFERROR(IF(VLOOKUP($B74,casostestes[#Data],8)=0,"-",VLOOKUP($B74,casostestes[#Data],8)),"-")</f>
        <v>-</v>
      </c>
      <c r="J74" s="35" t="str">
        <f>IFERROR(IF(VLOOKUP($B74,casostestes[#Data],9)=0,"-",VLOOKUP($B74,casostestes[#Data],9)),"-")</f>
        <v>-</v>
      </c>
      <c r="K74" s="36"/>
      <c r="L74" s="45"/>
      <c r="M74" s="37"/>
      <c r="N74" s="38"/>
      <c r="O74" s="38"/>
      <c r="P74" s="39"/>
    </row>
    <row r="75" spans="2:16">
      <c r="B75" s="40" t="str">
        <f>IF(ISERR(casostestes[[#This Row],[ID]]),"-",casostestes[[#This Row],[ID]])</f>
        <v>-</v>
      </c>
      <c r="C75" s="34" t="str">
        <f>IFERROR(IF(VLOOKUP($B75,casostestes[#Data],10)=0,"Não",VLOOKUP($B75,casostestes[#Data],10)), "-")</f>
        <v>-</v>
      </c>
      <c r="D75" s="35" t="str">
        <f>IFERROR(IF(VLOOKUP($B75,casostestes[#Data],2)=0,"-",VLOOKUP($B75,casostestes[#Data],2)), "-")</f>
        <v>-</v>
      </c>
      <c r="E75" s="35" t="str">
        <f>IFERROR(IF(VLOOKUP($B75,casostestes[#Data],3)=0,"-",VLOOKUP($B75,casostestes[#Data],3)), "-")</f>
        <v>-</v>
      </c>
      <c r="F75" s="35" t="str">
        <f>IFERROR(IF(VLOOKUP($B75,casostestes[#Data],4)=0,"-",VLOOKUP($B75,casostestes[#Data],4)),"-")</f>
        <v>-</v>
      </c>
      <c r="G75" s="35" t="str">
        <f>IFERROR(IF(VLOOKUP($B75,casostestes[#Data],5)=0,"-",VLOOKUP($B75,casostestes[#Data],5)),"-")</f>
        <v>-</v>
      </c>
      <c r="H75" s="35" t="str">
        <f>IFERROR(IF(VLOOKUP($B75,casostestes[#Data],6)=0,"-",VLOOKUP($B75,casostestes[#Data],6)),"-")</f>
        <v>-</v>
      </c>
      <c r="I75" s="35" t="str">
        <f>IFERROR(IF(VLOOKUP($B75,casostestes[#Data],8)=0,"-",VLOOKUP($B75,casostestes[#Data],8)),"-")</f>
        <v>-</v>
      </c>
      <c r="J75" s="35" t="str">
        <f>IFERROR(IF(VLOOKUP($B75,casostestes[#Data],9)=0,"-",VLOOKUP($B75,casostestes[#Data],9)),"-")</f>
        <v>-</v>
      </c>
      <c r="K75" s="36"/>
      <c r="L75" s="45"/>
      <c r="M75" s="37"/>
      <c r="N75" s="38"/>
      <c r="O75" s="38"/>
      <c r="P75" s="39"/>
    </row>
    <row r="76" spans="2:16">
      <c r="B76" s="40" t="str">
        <f>IF(ISERR(casostestes[[#This Row],[ID]]),"-",casostestes[[#This Row],[ID]])</f>
        <v>-</v>
      </c>
      <c r="C76" s="34" t="str">
        <f>IFERROR(IF(VLOOKUP($B76,casostestes[#Data],10)=0,"Não",VLOOKUP($B76,casostestes[#Data],10)), "-")</f>
        <v>-</v>
      </c>
      <c r="D76" s="35" t="str">
        <f>IFERROR(IF(VLOOKUP($B76,casostestes[#Data],2)=0,"-",VLOOKUP($B76,casostestes[#Data],2)), "-")</f>
        <v>-</v>
      </c>
      <c r="E76" s="35" t="str">
        <f>IFERROR(IF(VLOOKUP($B76,casostestes[#Data],3)=0,"-",VLOOKUP($B76,casostestes[#Data],3)), "-")</f>
        <v>-</v>
      </c>
      <c r="F76" s="35" t="str">
        <f>IFERROR(IF(VLOOKUP($B76,casostestes[#Data],4)=0,"-",VLOOKUP($B76,casostestes[#Data],4)),"-")</f>
        <v>-</v>
      </c>
      <c r="G76" s="35" t="str">
        <f>IFERROR(IF(VLOOKUP($B76,casostestes[#Data],5)=0,"-",VLOOKUP($B76,casostestes[#Data],5)),"-")</f>
        <v>-</v>
      </c>
      <c r="H76" s="35" t="str">
        <f>IFERROR(IF(VLOOKUP($B76,casostestes[#Data],6)=0,"-",VLOOKUP($B76,casostestes[#Data],6)),"-")</f>
        <v>-</v>
      </c>
      <c r="I76" s="35" t="str">
        <f>IFERROR(IF(VLOOKUP($B76,casostestes[#Data],8)=0,"-",VLOOKUP($B76,casostestes[#Data],8)),"-")</f>
        <v>-</v>
      </c>
      <c r="J76" s="35" t="str">
        <f>IFERROR(IF(VLOOKUP($B76,casostestes[#Data],9)=0,"-",VLOOKUP($B76,casostestes[#Data],9)),"-")</f>
        <v>-</v>
      </c>
      <c r="K76" s="36"/>
      <c r="L76" s="45"/>
      <c r="M76" s="37"/>
      <c r="N76" s="38"/>
      <c r="O76" s="38"/>
      <c r="P76" s="39"/>
    </row>
    <row r="77" spans="2:16">
      <c r="B77" s="40" t="str">
        <f>IF(ISERR(casostestes[[#This Row],[ID]]),"-",casostestes[[#This Row],[ID]])</f>
        <v>-</v>
      </c>
      <c r="C77" s="34" t="str">
        <f>IFERROR(IF(VLOOKUP($B77,casostestes[#Data],10)=0,"Não",VLOOKUP($B77,casostestes[#Data],10)), "-")</f>
        <v>-</v>
      </c>
      <c r="D77" s="35" t="str">
        <f>IFERROR(IF(VLOOKUP($B77,casostestes[#Data],2)=0,"-",VLOOKUP($B77,casostestes[#Data],2)), "-")</f>
        <v>-</v>
      </c>
      <c r="E77" s="35" t="str">
        <f>IFERROR(IF(VLOOKUP($B77,casostestes[#Data],3)=0,"-",VLOOKUP($B77,casostestes[#Data],3)), "-")</f>
        <v>-</v>
      </c>
      <c r="F77" s="35" t="str">
        <f>IFERROR(IF(VLOOKUP($B77,casostestes[#Data],4)=0,"-",VLOOKUP($B77,casostestes[#Data],4)),"-")</f>
        <v>-</v>
      </c>
      <c r="G77" s="35" t="str">
        <f>IFERROR(IF(VLOOKUP($B77,casostestes[#Data],5)=0,"-",VLOOKUP($B77,casostestes[#Data],5)),"-")</f>
        <v>-</v>
      </c>
      <c r="H77" s="35" t="str">
        <f>IFERROR(IF(VLOOKUP($B77,casostestes[#Data],6)=0,"-",VLOOKUP($B77,casostestes[#Data],6)),"-")</f>
        <v>-</v>
      </c>
      <c r="I77" s="35" t="str">
        <f>IFERROR(IF(VLOOKUP($B77,casostestes[#Data],8)=0,"-",VLOOKUP($B77,casostestes[#Data],8)),"-")</f>
        <v>-</v>
      </c>
      <c r="J77" s="35" t="str">
        <f>IFERROR(IF(VLOOKUP($B77,casostestes[#Data],9)=0,"-",VLOOKUP($B77,casostestes[#Data],9)),"-")</f>
        <v>-</v>
      </c>
      <c r="K77" s="36"/>
      <c r="L77" s="45"/>
      <c r="M77" s="37"/>
      <c r="N77" s="38"/>
      <c r="O77" s="38"/>
      <c r="P77" s="39"/>
    </row>
    <row r="78" spans="2:16">
      <c r="B78" s="40" t="str">
        <f>IF(ISERR(casostestes[[#This Row],[ID]]),"-",casostestes[[#This Row],[ID]])</f>
        <v>-</v>
      </c>
      <c r="C78" s="34" t="str">
        <f>IFERROR(IF(VLOOKUP($B78,casostestes[#Data],10)=0,"Não",VLOOKUP($B78,casostestes[#Data],10)), "-")</f>
        <v>-</v>
      </c>
      <c r="D78" s="35" t="str">
        <f>IFERROR(IF(VLOOKUP($B78,casostestes[#Data],2)=0,"-",VLOOKUP($B78,casostestes[#Data],2)), "-")</f>
        <v>-</v>
      </c>
      <c r="E78" s="35" t="str">
        <f>IFERROR(IF(VLOOKUP($B78,casostestes[#Data],3)=0,"-",VLOOKUP($B78,casostestes[#Data],3)), "-")</f>
        <v>-</v>
      </c>
      <c r="F78" s="35" t="str">
        <f>IFERROR(IF(VLOOKUP($B78,casostestes[#Data],4)=0,"-",VLOOKUP($B78,casostestes[#Data],4)),"-")</f>
        <v>-</v>
      </c>
      <c r="G78" s="35" t="str">
        <f>IFERROR(IF(VLOOKUP($B78,casostestes[#Data],5)=0,"-",VLOOKUP($B78,casostestes[#Data],5)),"-")</f>
        <v>-</v>
      </c>
      <c r="H78" s="35" t="str">
        <f>IFERROR(IF(VLOOKUP($B78,casostestes[#Data],6)=0,"-",VLOOKUP($B78,casostestes[#Data],6)),"-")</f>
        <v>-</v>
      </c>
      <c r="I78" s="35" t="str">
        <f>IFERROR(IF(VLOOKUP($B78,casostestes[#Data],8)=0,"-",VLOOKUP($B78,casostestes[#Data],8)),"-")</f>
        <v>-</v>
      </c>
      <c r="J78" s="35" t="str">
        <f>IFERROR(IF(VLOOKUP($B78,casostestes[#Data],9)=0,"-",VLOOKUP($B78,casostestes[#Data],9)),"-")</f>
        <v>-</v>
      </c>
      <c r="K78" s="36"/>
      <c r="L78" s="45"/>
      <c r="M78" s="37"/>
      <c r="N78" s="38"/>
      <c r="O78" s="38"/>
      <c r="P78" s="39"/>
    </row>
    <row r="79" spans="2:16">
      <c r="B79" s="40" t="str">
        <f>IF(ISERR(casostestes[[#This Row],[ID]]),"-",casostestes[[#This Row],[ID]])</f>
        <v>-</v>
      </c>
      <c r="C79" s="34" t="str">
        <f>IFERROR(IF(VLOOKUP($B79,casostestes[#Data],10)=0,"Não",VLOOKUP($B79,casostestes[#Data],10)), "-")</f>
        <v>-</v>
      </c>
      <c r="D79" s="35" t="str">
        <f>IFERROR(IF(VLOOKUP($B79,casostestes[#Data],2)=0,"-",VLOOKUP($B79,casostestes[#Data],2)), "-")</f>
        <v>-</v>
      </c>
      <c r="E79" s="35" t="str">
        <f>IFERROR(IF(VLOOKUP($B79,casostestes[#Data],3)=0,"-",VLOOKUP($B79,casostestes[#Data],3)), "-")</f>
        <v>-</v>
      </c>
      <c r="F79" s="35" t="str">
        <f>IFERROR(IF(VLOOKUP($B79,casostestes[#Data],4)=0,"-",VLOOKUP($B79,casostestes[#Data],4)),"-")</f>
        <v>-</v>
      </c>
      <c r="G79" s="35" t="str">
        <f>IFERROR(IF(VLOOKUP($B79,casostestes[#Data],5)=0,"-",VLOOKUP($B79,casostestes[#Data],5)),"-")</f>
        <v>-</v>
      </c>
      <c r="H79" s="35" t="str">
        <f>IFERROR(IF(VLOOKUP($B79,casostestes[#Data],6)=0,"-",VLOOKUP($B79,casostestes[#Data],6)),"-")</f>
        <v>-</v>
      </c>
      <c r="I79" s="35" t="str">
        <f>IFERROR(IF(VLOOKUP($B79,casostestes[#Data],8)=0,"-",VLOOKUP($B79,casostestes[#Data],8)),"-")</f>
        <v>-</v>
      </c>
      <c r="J79" s="35" t="str">
        <f>IFERROR(IF(VLOOKUP($B79,casostestes[#Data],9)=0,"-",VLOOKUP($B79,casostestes[#Data],9)),"-")</f>
        <v>-</v>
      </c>
      <c r="K79" s="36"/>
      <c r="L79" s="45"/>
      <c r="M79" s="37"/>
      <c r="N79" s="38"/>
      <c r="O79" s="38"/>
      <c r="P79" s="39"/>
    </row>
    <row r="80" spans="2:16">
      <c r="B80" s="40" t="str">
        <f>IF(ISERR(casostestes[[#This Row],[ID]]),"-",casostestes[[#This Row],[ID]])</f>
        <v>-</v>
      </c>
      <c r="C80" s="34" t="str">
        <f>IFERROR(IF(VLOOKUP($B80,casostestes[#Data],10)=0,"Não",VLOOKUP($B80,casostestes[#Data],10)), "-")</f>
        <v>-</v>
      </c>
      <c r="D80" s="35" t="str">
        <f>IFERROR(IF(VLOOKUP($B80,casostestes[#Data],2)=0,"-",VLOOKUP($B80,casostestes[#Data],2)), "-")</f>
        <v>-</v>
      </c>
      <c r="E80" s="35" t="str">
        <f>IFERROR(IF(VLOOKUP($B80,casostestes[#Data],3)=0,"-",VLOOKUP($B80,casostestes[#Data],3)), "-")</f>
        <v>-</v>
      </c>
      <c r="F80" s="35" t="str">
        <f>IFERROR(IF(VLOOKUP($B80,casostestes[#Data],4)=0,"-",VLOOKUP($B80,casostestes[#Data],4)),"-")</f>
        <v>-</v>
      </c>
      <c r="G80" s="35" t="str">
        <f>IFERROR(IF(VLOOKUP($B80,casostestes[#Data],5)=0,"-",VLOOKUP($B80,casostestes[#Data],5)),"-")</f>
        <v>-</v>
      </c>
      <c r="H80" s="35" t="str">
        <f>IFERROR(IF(VLOOKUP($B80,casostestes[#Data],6)=0,"-",VLOOKUP($B80,casostestes[#Data],6)),"-")</f>
        <v>-</v>
      </c>
      <c r="I80" s="35" t="str">
        <f>IFERROR(IF(VLOOKUP($B80,casostestes[#Data],8)=0,"-",VLOOKUP($B80,casostestes[#Data],8)),"-")</f>
        <v>-</v>
      </c>
      <c r="J80" s="35" t="str">
        <f>IFERROR(IF(VLOOKUP($B80,casostestes[#Data],9)=0,"-",VLOOKUP($B80,casostestes[#Data],9)),"-")</f>
        <v>-</v>
      </c>
      <c r="K80" s="36"/>
      <c r="L80" s="45"/>
      <c r="M80" s="37"/>
      <c r="N80" s="38"/>
      <c r="O80" s="38"/>
      <c r="P80" s="39"/>
    </row>
    <row r="81" spans="2:16">
      <c r="B81" s="40" t="str">
        <f>IF(ISERR(casostestes[[#This Row],[ID]]),"-",casostestes[[#This Row],[ID]])</f>
        <v>-</v>
      </c>
      <c r="C81" s="34" t="str">
        <f>IFERROR(IF(VLOOKUP($B81,casostestes[#Data],10)=0,"Não",VLOOKUP($B81,casostestes[#Data],10)), "-")</f>
        <v>-</v>
      </c>
      <c r="D81" s="35" t="str">
        <f>IFERROR(IF(VLOOKUP($B81,casostestes[#Data],2)=0,"-",VLOOKUP($B81,casostestes[#Data],2)), "-")</f>
        <v>-</v>
      </c>
      <c r="E81" s="35" t="str">
        <f>IFERROR(IF(VLOOKUP($B81,casostestes[#Data],3)=0,"-",VLOOKUP($B81,casostestes[#Data],3)), "-")</f>
        <v>-</v>
      </c>
      <c r="F81" s="35" t="str">
        <f>IFERROR(IF(VLOOKUP($B81,casostestes[#Data],4)=0,"-",VLOOKUP($B81,casostestes[#Data],4)),"-")</f>
        <v>-</v>
      </c>
      <c r="G81" s="35" t="str">
        <f>IFERROR(IF(VLOOKUP($B81,casostestes[#Data],5)=0,"-",VLOOKUP($B81,casostestes[#Data],5)),"-")</f>
        <v>-</v>
      </c>
      <c r="H81" s="35" t="str">
        <f>IFERROR(IF(VLOOKUP($B81,casostestes[#Data],6)=0,"-",VLOOKUP($B81,casostestes[#Data],6)),"-")</f>
        <v>-</v>
      </c>
      <c r="I81" s="35" t="str">
        <f>IFERROR(IF(VLOOKUP($B81,casostestes[#Data],8)=0,"-",VLOOKUP($B81,casostestes[#Data],8)),"-")</f>
        <v>-</v>
      </c>
      <c r="J81" s="35" t="str">
        <f>IFERROR(IF(VLOOKUP($B81,casostestes[#Data],9)=0,"-",VLOOKUP($B81,casostestes[#Data],9)),"-")</f>
        <v>-</v>
      </c>
      <c r="K81" s="36"/>
      <c r="L81" s="45"/>
      <c r="M81" s="37"/>
      <c r="N81" s="38"/>
      <c r="O81" s="38"/>
      <c r="P81" s="39"/>
    </row>
    <row r="82" spans="2:16">
      <c r="B82" s="40" t="str">
        <f>IF(ISERR(casostestes[[#This Row],[ID]]),"-",casostestes[[#This Row],[ID]])</f>
        <v>-</v>
      </c>
      <c r="C82" s="34" t="str">
        <f>IFERROR(IF(VLOOKUP($B82,casostestes[#Data],10)=0,"Não",VLOOKUP($B82,casostestes[#Data],10)), "-")</f>
        <v>-</v>
      </c>
      <c r="D82" s="35" t="str">
        <f>IFERROR(IF(VLOOKUP($B82,casostestes[#Data],2)=0,"-",VLOOKUP($B82,casostestes[#Data],2)), "-")</f>
        <v>-</v>
      </c>
      <c r="E82" s="35" t="str">
        <f>IFERROR(IF(VLOOKUP($B82,casostestes[#Data],3)=0,"-",VLOOKUP($B82,casostestes[#Data],3)), "-")</f>
        <v>-</v>
      </c>
      <c r="F82" s="35" t="str">
        <f>IFERROR(IF(VLOOKUP($B82,casostestes[#Data],4)=0,"-",VLOOKUP($B82,casostestes[#Data],4)),"-")</f>
        <v>-</v>
      </c>
      <c r="G82" s="35" t="str">
        <f>IFERROR(IF(VLOOKUP($B82,casostestes[#Data],5)=0,"-",VLOOKUP($B82,casostestes[#Data],5)),"-")</f>
        <v>-</v>
      </c>
      <c r="H82" s="35" t="str">
        <f>IFERROR(IF(VLOOKUP($B82,casostestes[#Data],6)=0,"-",VLOOKUP($B82,casostestes[#Data],6)),"-")</f>
        <v>-</v>
      </c>
      <c r="I82" s="35" t="str">
        <f>IFERROR(IF(VLOOKUP($B82,casostestes[#Data],8)=0,"-",VLOOKUP($B82,casostestes[#Data],8)),"-")</f>
        <v>-</v>
      </c>
      <c r="J82" s="35" t="str">
        <f>IFERROR(IF(VLOOKUP($B82,casostestes[#Data],9)=0,"-",VLOOKUP($B82,casostestes[#Data],9)),"-")</f>
        <v>-</v>
      </c>
      <c r="K82" s="36"/>
      <c r="L82" s="45"/>
      <c r="M82" s="37"/>
      <c r="N82" s="38"/>
      <c r="O82" s="38"/>
      <c r="P82" s="39"/>
    </row>
    <row r="83" spans="2:16">
      <c r="B83" s="40" t="str">
        <f>IF(ISERR(casostestes[[#This Row],[ID]]),"-",casostestes[[#This Row],[ID]])</f>
        <v>-</v>
      </c>
      <c r="C83" s="34" t="str">
        <f>IFERROR(IF(VLOOKUP($B83,casostestes[#Data],10)=0,"Não",VLOOKUP($B83,casostestes[#Data],10)), "-")</f>
        <v>-</v>
      </c>
      <c r="D83" s="35" t="str">
        <f>IFERROR(IF(VLOOKUP($B83,casostestes[#Data],2)=0,"-",VLOOKUP($B83,casostestes[#Data],2)), "-")</f>
        <v>-</v>
      </c>
      <c r="E83" s="35" t="str">
        <f>IFERROR(IF(VLOOKUP($B83,casostestes[#Data],3)=0,"-",VLOOKUP($B83,casostestes[#Data],3)), "-")</f>
        <v>-</v>
      </c>
      <c r="F83" s="35" t="str">
        <f>IFERROR(IF(VLOOKUP($B83,casostestes[#Data],4)=0,"-",VLOOKUP($B83,casostestes[#Data],4)),"-")</f>
        <v>-</v>
      </c>
      <c r="G83" s="35" t="str">
        <f>IFERROR(IF(VLOOKUP($B83,casostestes[#Data],5)=0,"-",VLOOKUP($B83,casostestes[#Data],5)),"-")</f>
        <v>-</v>
      </c>
      <c r="H83" s="35" t="str">
        <f>IFERROR(IF(VLOOKUP($B83,casostestes[#Data],6)=0,"-",VLOOKUP($B83,casostestes[#Data],6)),"-")</f>
        <v>-</v>
      </c>
      <c r="I83" s="35" t="str">
        <f>IFERROR(IF(VLOOKUP($B83,casostestes[#Data],8)=0,"-",VLOOKUP($B83,casostestes[#Data],8)),"-")</f>
        <v>-</v>
      </c>
      <c r="J83" s="35" t="str">
        <f>IFERROR(IF(VLOOKUP($B83,casostestes[#Data],9)=0,"-",VLOOKUP($B83,casostestes[#Data],9)),"-")</f>
        <v>-</v>
      </c>
      <c r="K83" s="36"/>
      <c r="L83" s="45"/>
      <c r="M83" s="37"/>
      <c r="N83" s="38"/>
      <c r="O83" s="38"/>
      <c r="P83" s="39"/>
    </row>
    <row r="84" spans="2:16">
      <c r="B84" s="40" t="str">
        <f>IF(ISERR(casostestes[[#This Row],[ID]]),"-",casostestes[[#This Row],[ID]])</f>
        <v>-</v>
      </c>
      <c r="C84" s="34" t="str">
        <f>IFERROR(IF(VLOOKUP($B84,casostestes[#Data],10)=0,"Não",VLOOKUP($B84,casostestes[#Data],10)), "-")</f>
        <v>-</v>
      </c>
      <c r="D84" s="35" t="str">
        <f>IFERROR(IF(VLOOKUP($B84,casostestes[#Data],2)=0,"-",VLOOKUP($B84,casostestes[#Data],2)), "-")</f>
        <v>-</v>
      </c>
      <c r="E84" s="35" t="str">
        <f>IFERROR(IF(VLOOKUP($B84,casostestes[#Data],3)=0,"-",VLOOKUP($B84,casostestes[#Data],3)), "-")</f>
        <v>-</v>
      </c>
      <c r="F84" s="35" t="str">
        <f>IFERROR(IF(VLOOKUP($B84,casostestes[#Data],4)=0,"-",VLOOKUP($B84,casostestes[#Data],4)),"-")</f>
        <v>-</v>
      </c>
      <c r="G84" s="35" t="str">
        <f>IFERROR(IF(VLOOKUP($B84,casostestes[#Data],5)=0,"-",VLOOKUP($B84,casostestes[#Data],5)),"-")</f>
        <v>-</v>
      </c>
      <c r="H84" s="35" t="str">
        <f>IFERROR(IF(VLOOKUP($B84,casostestes[#Data],6)=0,"-",VLOOKUP($B84,casostestes[#Data],6)),"-")</f>
        <v>-</v>
      </c>
      <c r="I84" s="35" t="str">
        <f>IFERROR(IF(VLOOKUP($B84,casostestes[#Data],8)=0,"-",VLOOKUP($B84,casostestes[#Data],8)),"-")</f>
        <v>-</v>
      </c>
      <c r="J84" s="35" t="str">
        <f>IFERROR(IF(VLOOKUP($B84,casostestes[#Data],9)=0,"-",VLOOKUP($B84,casostestes[#Data],9)),"-")</f>
        <v>-</v>
      </c>
      <c r="K84" s="36"/>
      <c r="L84" s="45"/>
      <c r="M84" s="37"/>
      <c r="N84" s="38"/>
      <c r="O84" s="38"/>
      <c r="P84" s="39"/>
    </row>
    <row r="85" spans="2:16">
      <c r="B85" s="40" t="str">
        <f>IF(ISERR(casostestes[[#This Row],[ID]]),"-",casostestes[[#This Row],[ID]])</f>
        <v>-</v>
      </c>
      <c r="C85" s="34" t="str">
        <f>IFERROR(IF(VLOOKUP($B85,casostestes[#Data],10)=0,"Não",VLOOKUP($B85,casostestes[#Data],10)), "-")</f>
        <v>-</v>
      </c>
      <c r="D85" s="35" t="str">
        <f>IFERROR(IF(VLOOKUP($B85,casostestes[#Data],2)=0,"-",VLOOKUP($B85,casostestes[#Data],2)), "-")</f>
        <v>-</v>
      </c>
      <c r="E85" s="35" t="str">
        <f>IFERROR(IF(VLOOKUP($B85,casostestes[#Data],3)=0,"-",VLOOKUP($B85,casostestes[#Data],3)), "-")</f>
        <v>-</v>
      </c>
      <c r="F85" s="35" t="str">
        <f>IFERROR(IF(VLOOKUP($B85,casostestes[#Data],4)=0,"-",VLOOKUP($B85,casostestes[#Data],4)),"-")</f>
        <v>-</v>
      </c>
      <c r="G85" s="35" t="str">
        <f>IFERROR(IF(VLOOKUP($B85,casostestes[#Data],5)=0,"-",VLOOKUP($B85,casostestes[#Data],5)),"-")</f>
        <v>-</v>
      </c>
      <c r="H85" s="35" t="str">
        <f>IFERROR(IF(VLOOKUP($B85,casostestes[#Data],6)=0,"-",VLOOKUP($B85,casostestes[#Data],6)),"-")</f>
        <v>-</v>
      </c>
      <c r="I85" s="35" t="str">
        <f>IFERROR(IF(VLOOKUP($B85,casostestes[#Data],8)=0,"-",VLOOKUP($B85,casostestes[#Data],8)),"-")</f>
        <v>-</v>
      </c>
      <c r="J85" s="35" t="str">
        <f>IFERROR(IF(VLOOKUP($B85,casostestes[#Data],9)=0,"-",VLOOKUP($B85,casostestes[#Data],9)),"-")</f>
        <v>-</v>
      </c>
      <c r="K85" s="36"/>
      <c r="L85" s="45"/>
      <c r="M85" s="37"/>
      <c r="N85" s="38"/>
      <c r="O85" s="38"/>
      <c r="P85" s="39"/>
    </row>
    <row r="86" spans="2:16">
      <c r="B86" s="40" t="str">
        <f>IF(ISERR(casostestes[[#This Row],[ID]]),"-",casostestes[[#This Row],[ID]])</f>
        <v>-</v>
      </c>
      <c r="C86" s="34" t="str">
        <f>IFERROR(IF(VLOOKUP($B86,casostestes[#Data],10)=0,"Não",VLOOKUP($B86,casostestes[#Data],10)), "-")</f>
        <v>-</v>
      </c>
      <c r="D86" s="35" t="str">
        <f>IFERROR(IF(VLOOKUP($B86,casostestes[#Data],2)=0,"-",VLOOKUP($B86,casostestes[#Data],2)), "-")</f>
        <v>-</v>
      </c>
      <c r="E86" s="35" t="str">
        <f>IFERROR(IF(VLOOKUP($B86,casostestes[#Data],3)=0,"-",VLOOKUP($B86,casostestes[#Data],3)), "-")</f>
        <v>-</v>
      </c>
      <c r="F86" s="35" t="str">
        <f>IFERROR(IF(VLOOKUP($B86,casostestes[#Data],4)=0,"-",VLOOKUP($B86,casostestes[#Data],4)),"-")</f>
        <v>-</v>
      </c>
      <c r="G86" s="35" t="str">
        <f>IFERROR(IF(VLOOKUP($B86,casostestes[#Data],5)=0,"-",VLOOKUP($B86,casostestes[#Data],5)),"-")</f>
        <v>-</v>
      </c>
      <c r="H86" s="35" t="str">
        <f>IFERROR(IF(VLOOKUP($B86,casostestes[#Data],6)=0,"-",VLOOKUP($B86,casostestes[#Data],6)),"-")</f>
        <v>-</v>
      </c>
      <c r="I86" s="35" t="str">
        <f>IFERROR(IF(VLOOKUP($B86,casostestes[#Data],8)=0,"-",VLOOKUP($B86,casostestes[#Data],8)),"-")</f>
        <v>-</v>
      </c>
      <c r="J86" s="35" t="str">
        <f>IFERROR(IF(VLOOKUP($B86,casostestes[#Data],9)=0,"-",VLOOKUP($B86,casostestes[#Data],9)),"-")</f>
        <v>-</v>
      </c>
      <c r="K86" s="36"/>
      <c r="L86" s="45"/>
      <c r="M86" s="37"/>
      <c r="N86" s="38"/>
      <c r="O86" s="38"/>
      <c r="P86" s="39"/>
    </row>
    <row r="87" spans="2:16">
      <c r="B87" s="40" t="str">
        <f>IF(ISERR(casostestes[[#This Row],[ID]]),"-",casostestes[[#This Row],[ID]])</f>
        <v>-</v>
      </c>
      <c r="C87" s="34" t="str">
        <f>IFERROR(IF(VLOOKUP($B87,casostestes[#Data],10)=0,"Não",VLOOKUP($B87,casostestes[#Data],10)), "-")</f>
        <v>-</v>
      </c>
      <c r="D87" s="35" t="str">
        <f>IFERROR(IF(VLOOKUP($B87,casostestes[#Data],2)=0,"-",VLOOKUP($B87,casostestes[#Data],2)), "-")</f>
        <v>-</v>
      </c>
      <c r="E87" s="35" t="str">
        <f>IFERROR(IF(VLOOKUP($B87,casostestes[#Data],3)=0,"-",VLOOKUP($B87,casostestes[#Data],3)), "-")</f>
        <v>-</v>
      </c>
      <c r="F87" s="35" t="str">
        <f>IFERROR(IF(VLOOKUP($B87,casostestes[#Data],4)=0,"-",VLOOKUP($B87,casostestes[#Data],4)),"-")</f>
        <v>-</v>
      </c>
      <c r="G87" s="35" t="str">
        <f>IFERROR(IF(VLOOKUP($B87,casostestes[#Data],5)=0,"-",VLOOKUP($B87,casostestes[#Data],5)),"-")</f>
        <v>-</v>
      </c>
      <c r="H87" s="35" t="str">
        <f>IFERROR(IF(VLOOKUP($B87,casostestes[#Data],6)=0,"-",VLOOKUP($B87,casostestes[#Data],6)),"-")</f>
        <v>-</v>
      </c>
      <c r="I87" s="35" t="str">
        <f>IFERROR(IF(VLOOKUP($B87,casostestes[#Data],8)=0,"-",VLOOKUP($B87,casostestes[#Data],8)),"-")</f>
        <v>-</v>
      </c>
      <c r="J87" s="35" t="str">
        <f>IFERROR(IF(VLOOKUP($B87,casostestes[#Data],9)=0,"-",VLOOKUP($B87,casostestes[#Data],9)),"-")</f>
        <v>-</v>
      </c>
      <c r="K87" s="36"/>
      <c r="L87" s="45"/>
      <c r="M87" s="37"/>
      <c r="N87" s="38"/>
      <c r="O87" s="38"/>
      <c r="P87" s="39"/>
    </row>
    <row r="88" spans="2:16">
      <c r="B88" s="40" t="str">
        <f>IF(ISERR(casostestes[[#This Row],[ID]]),"-",casostestes[[#This Row],[ID]])</f>
        <v>-</v>
      </c>
      <c r="C88" s="34" t="str">
        <f>IFERROR(IF(VLOOKUP($B88,casostestes[#Data],10)=0,"Não",VLOOKUP($B88,casostestes[#Data],10)), "-")</f>
        <v>-</v>
      </c>
      <c r="D88" s="35" t="str">
        <f>IFERROR(IF(VLOOKUP($B88,casostestes[#Data],2)=0,"-",VLOOKUP($B88,casostestes[#Data],2)), "-")</f>
        <v>-</v>
      </c>
      <c r="E88" s="35" t="str">
        <f>IFERROR(IF(VLOOKUP($B88,casostestes[#Data],3)=0,"-",VLOOKUP($B88,casostestes[#Data],3)), "-")</f>
        <v>-</v>
      </c>
      <c r="F88" s="35" t="str">
        <f>IFERROR(IF(VLOOKUP($B88,casostestes[#Data],4)=0,"-",VLOOKUP($B88,casostestes[#Data],4)),"-")</f>
        <v>-</v>
      </c>
      <c r="G88" s="35" t="str">
        <f>IFERROR(IF(VLOOKUP($B88,casostestes[#Data],5)=0,"-",VLOOKUP($B88,casostestes[#Data],5)),"-")</f>
        <v>-</v>
      </c>
      <c r="H88" s="35" t="str">
        <f>IFERROR(IF(VLOOKUP($B88,casostestes[#Data],6)=0,"-",VLOOKUP($B88,casostestes[#Data],6)),"-")</f>
        <v>-</v>
      </c>
      <c r="I88" s="35" t="str">
        <f>IFERROR(IF(VLOOKUP($B88,casostestes[#Data],8)=0,"-",VLOOKUP($B88,casostestes[#Data],8)),"-")</f>
        <v>-</v>
      </c>
      <c r="J88" s="35" t="str">
        <f>IFERROR(IF(VLOOKUP($B88,casostestes[#Data],9)=0,"-",VLOOKUP($B88,casostestes[#Data],9)),"-")</f>
        <v>-</v>
      </c>
      <c r="K88" s="36"/>
      <c r="L88" s="45"/>
      <c r="M88" s="37"/>
      <c r="N88" s="38"/>
      <c r="O88" s="38"/>
      <c r="P88" s="39"/>
    </row>
    <row r="89" spans="2:16">
      <c r="B89" s="40" t="str">
        <f>IF(ISERR(casostestes[[#This Row],[ID]]),"-",casostestes[[#This Row],[ID]])</f>
        <v>-</v>
      </c>
      <c r="C89" s="34" t="str">
        <f>IFERROR(IF(VLOOKUP($B89,casostestes[#Data],10)=0,"Não",VLOOKUP($B89,casostestes[#Data],10)), "-")</f>
        <v>-</v>
      </c>
      <c r="D89" s="35" t="str">
        <f>IFERROR(IF(VLOOKUP($B89,casostestes[#Data],2)=0,"-",VLOOKUP($B89,casostestes[#Data],2)), "-")</f>
        <v>-</v>
      </c>
      <c r="E89" s="35" t="str">
        <f>IFERROR(IF(VLOOKUP($B89,casostestes[#Data],3)=0,"-",VLOOKUP($B89,casostestes[#Data],3)), "-")</f>
        <v>-</v>
      </c>
      <c r="F89" s="35" t="str">
        <f>IFERROR(IF(VLOOKUP($B89,casostestes[#Data],4)=0,"-",VLOOKUP($B89,casostestes[#Data],4)),"-")</f>
        <v>-</v>
      </c>
      <c r="G89" s="35" t="str">
        <f>IFERROR(IF(VLOOKUP($B89,casostestes[#Data],5)=0,"-",VLOOKUP($B89,casostestes[#Data],5)),"-")</f>
        <v>-</v>
      </c>
      <c r="H89" s="35" t="str">
        <f>IFERROR(IF(VLOOKUP($B89,casostestes[#Data],6)=0,"-",VLOOKUP($B89,casostestes[#Data],6)),"-")</f>
        <v>-</v>
      </c>
      <c r="I89" s="35" t="str">
        <f>IFERROR(IF(VLOOKUP($B89,casostestes[#Data],8)=0,"-",VLOOKUP($B89,casostestes[#Data],8)),"-")</f>
        <v>-</v>
      </c>
      <c r="J89" s="35" t="str">
        <f>IFERROR(IF(VLOOKUP($B89,casostestes[#Data],9)=0,"-",VLOOKUP($B89,casostestes[#Data],9)),"-")</f>
        <v>-</v>
      </c>
      <c r="K89" s="36"/>
      <c r="L89" s="45"/>
      <c r="M89" s="37"/>
      <c r="N89" s="38"/>
      <c r="O89" s="38"/>
      <c r="P89" s="39"/>
    </row>
    <row r="90" spans="2:16">
      <c r="B90" s="40" t="str">
        <f>IF(ISERR(casostestes[[#This Row],[ID]]),"-",casostestes[[#This Row],[ID]])</f>
        <v>-</v>
      </c>
      <c r="C90" s="34" t="str">
        <f>IFERROR(IF(VLOOKUP($B90,casostestes[#Data],10)=0,"Não",VLOOKUP($B90,casostestes[#Data],10)), "-")</f>
        <v>-</v>
      </c>
      <c r="D90" s="35" t="str">
        <f>IFERROR(IF(VLOOKUP($B90,casostestes[#Data],2)=0,"-",VLOOKUP($B90,casostestes[#Data],2)), "-")</f>
        <v>-</v>
      </c>
      <c r="E90" s="35" t="str">
        <f>IFERROR(IF(VLOOKUP($B90,casostestes[#Data],3)=0,"-",VLOOKUP($B90,casostestes[#Data],3)), "-")</f>
        <v>-</v>
      </c>
      <c r="F90" s="35" t="str">
        <f>IFERROR(IF(VLOOKUP($B90,casostestes[#Data],4)=0,"-",VLOOKUP($B90,casostestes[#Data],4)),"-")</f>
        <v>-</v>
      </c>
      <c r="G90" s="35" t="str">
        <f>IFERROR(IF(VLOOKUP($B90,casostestes[#Data],5)=0,"-",VLOOKUP($B90,casostestes[#Data],5)),"-")</f>
        <v>-</v>
      </c>
      <c r="H90" s="35" t="str">
        <f>IFERROR(IF(VLOOKUP($B90,casostestes[#Data],6)=0,"-",VLOOKUP($B90,casostestes[#Data],6)),"-")</f>
        <v>-</v>
      </c>
      <c r="I90" s="35" t="str">
        <f>IFERROR(IF(VLOOKUP($B90,casostestes[#Data],8)=0,"-",VLOOKUP($B90,casostestes[#Data],8)),"-")</f>
        <v>-</v>
      </c>
      <c r="J90" s="35" t="str">
        <f>IFERROR(IF(VLOOKUP($B90,casostestes[#Data],9)=0,"-",VLOOKUP($B90,casostestes[#Data],9)),"-")</f>
        <v>-</v>
      </c>
      <c r="K90" s="36"/>
      <c r="L90" s="45"/>
      <c r="M90" s="37"/>
      <c r="N90" s="38"/>
      <c r="O90" s="38"/>
      <c r="P90" s="39"/>
    </row>
    <row r="91" spans="2:16">
      <c r="B91" s="40" t="str">
        <f>IF(ISERR(casostestes[[#This Row],[ID]]),"-",casostestes[[#This Row],[ID]])</f>
        <v>-</v>
      </c>
      <c r="C91" s="34" t="str">
        <f>IFERROR(IF(VLOOKUP($B91,casostestes[#Data],10)=0,"Não",VLOOKUP($B91,casostestes[#Data],10)), "-")</f>
        <v>-</v>
      </c>
      <c r="D91" s="35" t="str">
        <f>IFERROR(IF(VLOOKUP($B91,casostestes[#Data],2)=0,"-",VLOOKUP($B91,casostestes[#Data],2)), "-")</f>
        <v>-</v>
      </c>
      <c r="E91" s="35" t="str">
        <f>IFERROR(IF(VLOOKUP($B91,casostestes[#Data],3)=0,"-",VLOOKUP($B91,casostestes[#Data],3)), "-")</f>
        <v>-</v>
      </c>
      <c r="F91" s="35" t="str">
        <f>IFERROR(IF(VLOOKUP($B91,casostestes[#Data],4)=0,"-",VLOOKUP($B91,casostestes[#Data],4)),"-")</f>
        <v>-</v>
      </c>
      <c r="G91" s="35" t="str">
        <f>IFERROR(IF(VLOOKUP($B91,casostestes[#Data],5)=0,"-",VLOOKUP($B91,casostestes[#Data],5)),"-")</f>
        <v>-</v>
      </c>
      <c r="H91" s="35" t="str">
        <f>IFERROR(IF(VLOOKUP($B91,casostestes[#Data],6)=0,"-",VLOOKUP($B91,casostestes[#Data],6)),"-")</f>
        <v>-</v>
      </c>
      <c r="I91" s="35" t="str">
        <f>IFERROR(IF(VLOOKUP($B91,casostestes[#Data],8)=0,"-",VLOOKUP($B91,casostestes[#Data],8)),"-")</f>
        <v>-</v>
      </c>
      <c r="J91" s="35" t="str">
        <f>IFERROR(IF(VLOOKUP($B91,casostestes[#Data],9)=0,"-",VLOOKUP($B91,casostestes[#Data],9)),"-")</f>
        <v>-</v>
      </c>
      <c r="K91" s="36"/>
      <c r="L91" s="45"/>
      <c r="M91" s="37"/>
      <c r="N91" s="38"/>
      <c r="O91" s="38"/>
      <c r="P91" s="39"/>
    </row>
    <row r="92" spans="2:16">
      <c r="B92" s="40" t="str">
        <f>IF(ISERR(casostestes[[#This Row],[ID]]),"-",casostestes[[#This Row],[ID]])</f>
        <v>-</v>
      </c>
      <c r="C92" s="34" t="str">
        <f>IFERROR(IF(VLOOKUP($B92,casostestes[#Data],10)=0,"Não",VLOOKUP($B92,casostestes[#Data],10)), "-")</f>
        <v>-</v>
      </c>
      <c r="D92" s="35" t="str">
        <f>IFERROR(IF(VLOOKUP($B92,casostestes[#Data],2)=0,"-",VLOOKUP($B92,casostestes[#Data],2)), "-")</f>
        <v>-</v>
      </c>
      <c r="E92" s="35" t="str">
        <f>IFERROR(IF(VLOOKUP($B92,casostestes[#Data],3)=0,"-",VLOOKUP($B92,casostestes[#Data],3)), "-")</f>
        <v>-</v>
      </c>
      <c r="F92" s="35" t="str">
        <f>IFERROR(IF(VLOOKUP($B92,casostestes[#Data],4)=0,"-",VLOOKUP($B92,casostestes[#Data],4)),"-")</f>
        <v>-</v>
      </c>
      <c r="G92" s="35" t="str">
        <f>IFERROR(IF(VLOOKUP($B92,casostestes[#Data],5)=0,"-",VLOOKUP($B92,casostestes[#Data],5)),"-")</f>
        <v>-</v>
      </c>
      <c r="H92" s="35" t="str">
        <f>IFERROR(IF(VLOOKUP($B92,casostestes[#Data],6)=0,"-",VLOOKUP($B92,casostestes[#Data],6)),"-")</f>
        <v>-</v>
      </c>
      <c r="I92" s="35" t="str">
        <f>IFERROR(IF(VLOOKUP($B92,casostestes[#Data],8)=0,"-",VLOOKUP($B92,casostestes[#Data],8)),"-")</f>
        <v>-</v>
      </c>
      <c r="J92" s="35" t="str">
        <f>IFERROR(IF(VLOOKUP($B92,casostestes[#Data],9)=0,"-",VLOOKUP($B92,casostestes[#Data],9)),"-")</f>
        <v>-</v>
      </c>
      <c r="K92" s="36"/>
      <c r="L92" s="45"/>
      <c r="M92" s="37"/>
      <c r="N92" s="38"/>
      <c r="O92" s="38"/>
      <c r="P92" s="39"/>
    </row>
    <row r="93" spans="2:16">
      <c r="B93" s="40" t="str">
        <f>IF(ISERR(casostestes[[#This Row],[ID]]),"-",casostestes[[#This Row],[ID]])</f>
        <v>-</v>
      </c>
      <c r="C93" s="34" t="str">
        <f>IFERROR(IF(VLOOKUP($B93,casostestes[#Data],10)=0,"Não",VLOOKUP($B93,casostestes[#Data],10)), "-")</f>
        <v>-</v>
      </c>
      <c r="D93" s="35" t="str">
        <f>IFERROR(IF(VLOOKUP($B93,casostestes[#Data],2)=0,"-",VLOOKUP($B93,casostestes[#Data],2)), "-")</f>
        <v>-</v>
      </c>
      <c r="E93" s="35" t="str">
        <f>IFERROR(IF(VLOOKUP($B93,casostestes[#Data],3)=0,"-",VLOOKUP($B93,casostestes[#Data],3)), "-")</f>
        <v>-</v>
      </c>
      <c r="F93" s="35" t="str">
        <f>IFERROR(IF(VLOOKUP($B93,casostestes[#Data],4)=0,"-",VLOOKUP($B93,casostestes[#Data],4)),"-")</f>
        <v>-</v>
      </c>
      <c r="G93" s="35" t="str">
        <f>IFERROR(IF(VLOOKUP($B93,casostestes[#Data],5)=0,"-",VLOOKUP($B93,casostestes[#Data],5)),"-")</f>
        <v>-</v>
      </c>
      <c r="H93" s="35" t="str">
        <f>IFERROR(IF(VLOOKUP($B93,casostestes[#Data],6)=0,"-",VLOOKUP($B93,casostestes[#Data],6)),"-")</f>
        <v>-</v>
      </c>
      <c r="I93" s="35" t="str">
        <f>IFERROR(IF(VLOOKUP($B93,casostestes[#Data],8)=0,"-",VLOOKUP($B93,casostestes[#Data],8)),"-")</f>
        <v>-</v>
      </c>
      <c r="J93" s="35" t="str">
        <f>IFERROR(IF(VLOOKUP($B93,casostestes[#Data],9)=0,"-",VLOOKUP($B93,casostestes[#Data],9)),"-")</f>
        <v>-</v>
      </c>
      <c r="K93" s="36"/>
      <c r="L93" s="45"/>
      <c r="M93" s="37"/>
      <c r="N93" s="38"/>
      <c r="O93" s="38"/>
      <c r="P93" s="39"/>
    </row>
    <row r="94" spans="2:16">
      <c r="B94" s="40" t="str">
        <f>IF(ISERR(casostestes[[#This Row],[ID]]),"-",casostestes[[#This Row],[ID]])</f>
        <v>-</v>
      </c>
      <c r="C94" s="34" t="str">
        <f>IFERROR(IF(VLOOKUP($B94,casostestes[#Data],10)=0,"Não",VLOOKUP($B94,casostestes[#Data],10)), "-")</f>
        <v>-</v>
      </c>
      <c r="D94" s="35" t="str">
        <f>IFERROR(IF(VLOOKUP($B94,casostestes[#Data],2)=0,"-",VLOOKUP($B94,casostestes[#Data],2)), "-")</f>
        <v>-</v>
      </c>
      <c r="E94" s="35" t="str">
        <f>IFERROR(IF(VLOOKUP($B94,casostestes[#Data],3)=0,"-",VLOOKUP($B94,casostestes[#Data],3)), "-")</f>
        <v>-</v>
      </c>
      <c r="F94" s="35" t="str">
        <f>IFERROR(IF(VLOOKUP($B94,casostestes[#Data],4)=0,"-",VLOOKUP($B94,casostestes[#Data],4)),"-")</f>
        <v>-</v>
      </c>
      <c r="G94" s="35" t="str">
        <f>IFERROR(IF(VLOOKUP($B94,casostestes[#Data],5)=0,"-",VLOOKUP($B94,casostestes[#Data],5)),"-")</f>
        <v>-</v>
      </c>
      <c r="H94" s="35" t="str">
        <f>IFERROR(IF(VLOOKUP($B94,casostestes[#Data],6)=0,"-",VLOOKUP($B94,casostestes[#Data],6)),"-")</f>
        <v>-</v>
      </c>
      <c r="I94" s="35" t="str">
        <f>IFERROR(IF(VLOOKUP($B94,casostestes[#Data],8)=0,"-",VLOOKUP($B94,casostestes[#Data],8)),"-")</f>
        <v>-</v>
      </c>
      <c r="J94" s="35" t="str">
        <f>IFERROR(IF(VLOOKUP($B94,casostestes[#Data],9)=0,"-",VLOOKUP($B94,casostestes[#Data],9)),"-")</f>
        <v>-</v>
      </c>
      <c r="K94" s="36"/>
      <c r="L94" s="45"/>
      <c r="M94" s="37"/>
      <c r="N94" s="38"/>
      <c r="O94" s="38"/>
      <c r="P94" s="39"/>
    </row>
    <row r="95" spans="2:16">
      <c r="B95" s="40" t="str">
        <f>IF(ISERR(casostestes[[#This Row],[ID]]),"-",casostestes[[#This Row],[ID]])</f>
        <v>-</v>
      </c>
      <c r="C95" s="34" t="str">
        <f>IFERROR(IF(VLOOKUP($B95,casostestes[#Data],10)=0,"Não",VLOOKUP($B95,casostestes[#Data],10)), "-")</f>
        <v>-</v>
      </c>
      <c r="D95" s="35" t="str">
        <f>IFERROR(IF(VLOOKUP($B95,casostestes[#Data],2)=0,"-",VLOOKUP($B95,casostestes[#Data],2)), "-")</f>
        <v>-</v>
      </c>
      <c r="E95" s="35" t="str">
        <f>IFERROR(IF(VLOOKUP($B95,casostestes[#Data],3)=0,"-",VLOOKUP($B95,casostestes[#Data],3)), "-")</f>
        <v>-</v>
      </c>
      <c r="F95" s="35" t="str">
        <f>IFERROR(IF(VLOOKUP($B95,casostestes[#Data],4)=0,"-",VLOOKUP($B95,casostestes[#Data],4)),"-")</f>
        <v>-</v>
      </c>
      <c r="G95" s="35" t="str">
        <f>IFERROR(IF(VLOOKUP($B95,casostestes[#Data],5)=0,"-",VLOOKUP($B95,casostestes[#Data],5)),"-")</f>
        <v>-</v>
      </c>
      <c r="H95" s="35" t="str">
        <f>IFERROR(IF(VLOOKUP($B95,casostestes[#Data],6)=0,"-",VLOOKUP($B95,casostestes[#Data],6)),"-")</f>
        <v>-</v>
      </c>
      <c r="I95" s="35" t="str">
        <f>IFERROR(IF(VLOOKUP($B95,casostestes[#Data],8)=0,"-",VLOOKUP($B95,casostestes[#Data],8)),"-")</f>
        <v>-</v>
      </c>
      <c r="J95" s="35" t="str">
        <f>IFERROR(IF(VLOOKUP($B95,casostestes[#Data],9)=0,"-",VLOOKUP($B95,casostestes[#Data],9)),"-")</f>
        <v>-</v>
      </c>
      <c r="K95" s="36"/>
      <c r="L95" s="45"/>
      <c r="M95" s="37"/>
      <c r="N95" s="38"/>
      <c r="O95" s="38"/>
      <c r="P95" s="39"/>
    </row>
    <row r="96" spans="2:16">
      <c r="B96" s="40" t="str">
        <f>IF(ISERR(casostestes[[#This Row],[ID]]),"-",casostestes[[#This Row],[ID]])</f>
        <v>-</v>
      </c>
      <c r="C96" s="34" t="str">
        <f>IFERROR(IF(VLOOKUP($B96,casostestes[#Data],10)=0,"Não",VLOOKUP($B96,casostestes[#Data],10)), "-")</f>
        <v>-</v>
      </c>
      <c r="D96" s="35" t="str">
        <f>IFERROR(IF(VLOOKUP($B96,casostestes[#Data],2)=0,"-",VLOOKUP($B96,casostestes[#Data],2)), "-")</f>
        <v>-</v>
      </c>
      <c r="E96" s="35" t="str">
        <f>IFERROR(IF(VLOOKUP($B96,casostestes[#Data],3)=0,"-",VLOOKUP($B96,casostestes[#Data],3)), "-")</f>
        <v>-</v>
      </c>
      <c r="F96" s="35" t="str">
        <f>IFERROR(IF(VLOOKUP($B96,casostestes[#Data],4)=0,"-",VLOOKUP($B96,casostestes[#Data],4)),"-")</f>
        <v>-</v>
      </c>
      <c r="G96" s="35" t="str">
        <f>IFERROR(IF(VLOOKUP($B96,casostestes[#Data],5)=0,"-",VLOOKUP($B96,casostestes[#Data],5)),"-")</f>
        <v>-</v>
      </c>
      <c r="H96" s="35" t="str">
        <f>IFERROR(IF(VLOOKUP($B96,casostestes[#Data],6)=0,"-",VLOOKUP($B96,casostestes[#Data],6)),"-")</f>
        <v>-</v>
      </c>
      <c r="I96" s="35" t="str">
        <f>IFERROR(IF(VLOOKUP($B96,casostestes[#Data],8)=0,"-",VLOOKUP($B96,casostestes[#Data],8)),"-")</f>
        <v>-</v>
      </c>
      <c r="J96" s="35" t="str">
        <f>IFERROR(IF(VLOOKUP($B96,casostestes[#Data],9)=0,"-",VLOOKUP($B96,casostestes[#Data],9)),"-")</f>
        <v>-</v>
      </c>
      <c r="K96" s="36"/>
      <c r="L96" s="45"/>
      <c r="M96" s="37"/>
      <c r="N96" s="38"/>
      <c r="O96" s="38"/>
      <c r="P96" s="39"/>
    </row>
    <row r="97" spans="2:16">
      <c r="B97" s="40" t="str">
        <f>IF(ISERR(casostestes[[#This Row],[ID]]),"-",casostestes[[#This Row],[ID]])</f>
        <v>-</v>
      </c>
      <c r="C97" s="34" t="str">
        <f>IFERROR(IF(VLOOKUP($B97,casostestes[#Data],10)=0,"Não",VLOOKUP($B97,casostestes[#Data],10)), "-")</f>
        <v>-</v>
      </c>
      <c r="D97" s="35" t="str">
        <f>IFERROR(IF(VLOOKUP($B97,casostestes[#Data],2)=0,"-",VLOOKUP($B97,casostestes[#Data],2)), "-")</f>
        <v>-</v>
      </c>
      <c r="E97" s="35" t="str">
        <f>IFERROR(IF(VLOOKUP($B97,casostestes[#Data],3)=0,"-",VLOOKUP($B97,casostestes[#Data],3)), "-")</f>
        <v>-</v>
      </c>
      <c r="F97" s="35" t="str">
        <f>IFERROR(IF(VLOOKUP($B97,casostestes[#Data],4)=0,"-",VLOOKUP($B97,casostestes[#Data],4)),"-")</f>
        <v>-</v>
      </c>
      <c r="G97" s="35" t="str">
        <f>IFERROR(IF(VLOOKUP($B97,casostestes[#Data],5)=0,"-",VLOOKUP($B97,casostestes[#Data],5)),"-")</f>
        <v>-</v>
      </c>
      <c r="H97" s="35" t="str">
        <f>IFERROR(IF(VLOOKUP($B97,casostestes[#Data],6)=0,"-",VLOOKUP($B97,casostestes[#Data],6)),"-")</f>
        <v>-</v>
      </c>
      <c r="I97" s="35" t="str">
        <f>IFERROR(IF(VLOOKUP($B97,casostestes[#Data],8)=0,"-",VLOOKUP($B97,casostestes[#Data],8)),"-")</f>
        <v>-</v>
      </c>
      <c r="J97" s="35" t="str">
        <f>IFERROR(IF(VLOOKUP($B97,casostestes[#Data],9)=0,"-",VLOOKUP($B97,casostestes[#Data],9)),"-")</f>
        <v>-</v>
      </c>
      <c r="K97" s="36"/>
      <c r="L97" s="45"/>
      <c r="M97" s="37"/>
      <c r="N97" s="38"/>
      <c r="O97" s="38"/>
      <c r="P97" s="39"/>
    </row>
    <row r="98" spans="2:16">
      <c r="B98" s="40" t="str">
        <f>IF(ISERR(casostestes[[#This Row],[ID]]),"-",casostestes[[#This Row],[ID]])</f>
        <v>-</v>
      </c>
      <c r="C98" s="34" t="str">
        <f>IFERROR(IF(VLOOKUP($B98,casostestes[#Data],10)=0,"Não",VLOOKUP($B98,casostestes[#Data],10)), "-")</f>
        <v>-</v>
      </c>
      <c r="D98" s="35" t="str">
        <f>IFERROR(IF(VLOOKUP($B98,casostestes[#Data],2)=0,"-",VLOOKUP($B98,casostestes[#Data],2)), "-")</f>
        <v>-</v>
      </c>
      <c r="E98" s="35" t="str">
        <f>IFERROR(IF(VLOOKUP($B98,casostestes[#Data],3)=0,"-",VLOOKUP($B98,casostestes[#Data],3)), "-")</f>
        <v>-</v>
      </c>
      <c r="F98" s="35" t="str">
        <f>IFERROR(IF(VLOOKUP($B98,casostestes[#Data],4)=0,"-",VLOOKUP($B98,casostestes[#Data],4)),"-")</f>
        <v>-</v>
      </c>
      <c r="G98" s="35" t="str">
        <f>IFERROR(IF(VLOOKUP($B98,casostestes[#Data],5)=0,"-",VLOOKUP($B98,casostestes[#Data],5)),"-")</f>
        <v>-</v>
      </c>
      <c r="H98" s="35" t="str">
        <f>IFERROR(IF(VLOOKUP($B98,casostestes[#Data],6)=0,"-",VLOOKUP($B98,casostestes[#Data],6)),"-")</f>
        <v>-</v>
      </c>
      <c r="I98" s="35" t="str">
        <f>IFERROR(IF(VLOOKUP($B98,casostestes[#Data],8)=0,"-",VLOOKUP($B98,casostestes[#Data],8)),"-")</f>
        <v>-</v>
      </c>
      <c r="J98" s="35" t="str">
        <f>IFERROR(IF(VLOOKUP($B98,casostestes[#Data],9)=0,"-",VLOOKUP($B98,casostestes[#Data],9)),"-")</f>
        <v>-</v>
      </c>
      <c r="K98" s="36"/>
      <c r="L98" s="45"/>
      <c r="M98" s="37"/>
      <c r="N98" s="38"/>
      <c r="O98" s="38"/>
      <c r="P98" s="39"/>
    </row>
    <row r="99" spans="2:16">
      <c r="B99" s="40" t="str">
        <f>IF(ISERR(casostestes[[#This Row],[ID]]),"-",casostestes[[#This Row],[ID]])</f>
        <v>-</v>
      </c>
      <c r="C99" s="34" t="str">
        <f>IFERROR(IF(VLOOKUP($B99,casostestes[#Data],10)=0,"Não",VLOOKUP($B99,casostestes[#Data],10)), "-")</f>
        <v>-</v>
      </c>
      <c r="D99" s="35" t="str">
        <f>IFERROR(IF(VLOOKUP($B99,casostestes[#Data],2)=0,"-",VLOOKUP($B99,casostestes[#Data],2)), "-")</f>
        <v>-</v>
      </c>
      <c r="E99" s="35" t="str">
        <f>IFERROR(IF(VLOOKUP($B99,casostestes[#Data],3)=0,"-",VLOOKUP($B99,casostestes[#Data],3)), "-")</f>
        <v>-</v>
      </c>
      <c r="F99" s="35" t="str">
        <f>IFERROR(IF(VLOOKUP($B99,casostestes[#Data],4)=0,"-",VLOOKUP($B99,casostestes[#Data],4)),"-")</f>
        <v>-</v>
      </c>
      <c r="G99" s="35" t="str">
        <f>IFERROR(IF(VLOOKUP($B99,casostestes[#Data],5)=0,"-",VLOOKUP($B99,casostestes[#Data],5)),"-")</f>
        <v>-</v>
      </c>
      <c r="H99" s="35" t="str">
        <f>IFERROR(IF(VLOOKUP($B99,casostestes[#Data],6)=0,"-",VLOOKUP($B99,casostestes[#Data],6)),"-")</f>
        <v>-</v>
      </c>
      <c r="I99" s="35" t="str">
        <f>IFERROR(IF(VLOOKUP($B99,casostestes[#Data],8)=0,"-",VLOOKUP($B99,casostestes[#Data],8)),"-")</f>
        <v>-</v>
      </c>
      <c r="J99" s="35" t="str">
        <f>IFERROR(IF(VLOOKUP($B99,casostestes[#Data],9)=0,"-",VLOOKUP($B99,casostestes[#Data],9)),"-")</f>
        <v>-</v>
      </c>
      <c r="K99" s="36"/>
      <c r="L99" s="45"/>
      <c r="M99" s="37"/>
      <c r="N99" s="38"/>
      <c r="O99" s="38"/>
      <c r="P99" s="39"/>
    </row>
    <row r="100" spans="2:16">
      <c r="B100" s="40" t="str">
        <f>IF(ISERR(casostestes[[#This Row],[ID]]),"-",casostestes[[#This Row],[ID]])</f>
        <v>-</v>
      </c>
      <c r="C100" s="41" t="str">
        <f>IFERROR(IF(VLOOKUP($B100,casostestes[#Data],10)=0,"Não",VLOOKUP($B100,casostestes[#Data],10)), "-")</f>
        <v>-</v>
      </c>
      <c r="D100" s="42" t="str">
        <f>IFERROR(IF(VLOOKUP($B100,casostestes[#Data],2)=0,"-",VLOOKUP($B100,casostestes[#Data],2)), "-")</f>
        <v>-</v>
      </c>
      <c r="E100" s="42" t="str">
        <f>IFERROR(IF(VLOOKUP($B100,casostestes[#Data],3)=0,"-",VLOOKUP($B100,casostestes[#Data],3)), "-")</f>
        <v>-</v>
      </c>
      <c r="F100" s="42" t="str">
        <f>IFERROR(IF(VLOOKUP($B100,casostestes[#Data],4)=0,"-",VLOOKUP($B100,casostestes[#Data],4)),"-")</f>
        <v>-</v>
      </c>
      <c r="G100" s="42" t="str">
        <f>IFERROR(IF(VLOOKUP($B100,casostestes[#Data],5)=0,"-",VLOOKUP($B100,casostestes[#Data],5)),"-")</f>
        <v>-</v>
      </c>
      <c r="H100" s="42" t="str">
        <f>IFERROR(IF(VLOOKUP($B100,casostestes[#Data],6)=0,"-",VLOOKUP($B100,casostestes[#Data],6)),"-")</f>
        <v>-</v>
      </c>
      <c r="I100" s="42" t="str">
        <f>IFERROR(IF(VLOOKUP($B100,casostestes[#Data],8)=0,"-",VLOOKUP($B100,casostestes[#Data],8)),"-")</f>
        <v>-</v>
      </c>
      <c r="J100" s="42" t="str">
        <f>IFERROR(IF(VLOOKUP($B100,casostestes[#Data],9)=0,"-",VLOOKUP($B100,casostestes[#Data],9)),"-")</f>
        <v>-</v>
      </c>
      <c r="K100" s="43"/>
      <c r="L100" s="45"/>
      <c r="M100" s="44"/>
      <c r="N100" s="45"/>
      <c r="O100" s="45"/>
      <c r="P100" s="46"/>
    </row>
    <row r="101" spans="2:16">
      <c r="B101" s="40" t="str">
        <f>IF(ISERR(casostestes[[#This Row],[ID]]),"-",casostestes[[#This Row],[ID]])</f>
        <v>-</v>
      </c>
      <c r="C101" s="34" t="str">
        <f>IFERROR(IF(VLOOKUP($B101,casostestes[#Data],10)=0,"Não",VLOOKUP($B101,casostestes[#Data],10)), "-")</f>
        <v>-</v>
      </c>
      <c r="D101" s="35" t="str">
        <f>IFERROR(IF(VLOOKUP($B101,casostestes[#Data],2)=0,"-",VLOOKUP($B101,casostestes[#Data],2)), "-")</f>
        <v>-</v>
      </c>
      <c r="E101" s="35" t="str">
        <f>IFERROR(IF(VLOOKUP($B101,casostestes[#Data],3)=0,"-",VLOOKUP($B101,casostestes[#Data],3)), "-")</f>
        <v>-</v>
      </c>
      <c r="F101" s="35" t="str">
        <f>IFERROR(IF(VLOOKUP($B101,casostestes[#Data],4)=0,"-",VLOOKUP($B101,casostestes[#Data],4)),"-")</f>
        <v>-</v>
      </c>
      <c r="G101" s="35" t="str">
        <f>IFERROR(IF(VLOOKUP($B101,casostestes[#Data],5)=0,"-",VLOOKUP($B101,casostestes[#Data],5)),"-")</f>
        <v>-</v>
      </c>
      <c r="H101" s="35" t="str">
        <f>IFERROR(IF(VLOOKUP($B101,casostestes[#Data],6)=0,"-",VLOOKUP($B101,casostestes[#Data],6)),"-")</f>
        <v>-</v>
      </c>
      <c r="I101" s="35" t="str">
        <f>IFERROR(IF(VLOOKUP($B101,casostestes[#Data],8)=0,"-",VLOOKUP($B101,casostestes[#Data],8)),"-")</f>
        <v>-</v>
      </c>
      <c r="J101" s="35" t="str">
        <f>IFERROR(IF(VLOOKUP($B101,casostestes[#Data],9)=0,"-",VLOOKUP($B101,casostestes[#Data],9)),"-")</f>
        <v>-</v>
      </c>
      <c r="K101" s="36"/>
      <c r="L101" s="45"/>
      <c r="M101" s="37"/>
      <c r="N101" s="38"/>
      <c r="O101" s="38"/>
      <c r="P101" s="39"/>
    </row>
    <row r="102" spans="2:16">
      <c r="B102" s="40" t="str">
        <f>IF(ISERR(casostestes[[#This Row],[ID]]),"-",casostestes[[#This Row],[ID]])</f>
        <v>-</v>
      </c>
      <c r="C102" s="34" t="str">
        <f>IFERROR(IF(VLOOKUP($B102,casostestes[#Data],10)=0,"Não",VLOOKUP($B102,casostestes[#Data],10)), "-")</f>
        <v>-</v>
      </c>
      <c r="D102" s="35" t="str">
        <f>IFERROR(IF(VLOOKUP($B102,casostestes[#Data],2)=0,"-",VLOOKUP($B102,casostestes[#Data],2)), "-")</f>
        <v>-</v>
      </c>
      <c r="E102" s="35" t="str">
        <f>IFERROR(IF(VLOOKUP($B102,casostestes[#Data],3)=0,"-",VLOOKUP($B102,casostestes[#Data],3)), "-")</f>
        <v>-</v>
      </c>
      <c r="F102" s="35" t="str">
        <f>IFERROR(IF(VLOOKUP($B102,casostestes[#Data],4)=0,"-",VLOOKUP($B102,casostestes[#Data],4)),"-")</f>
        <v>-</v>
      </c>
      <c r="G102" s="35" t="str">
        <f>IFERROR(IF(VLOOKUP($B102,casostestes[#Data],5)=0,"-",VLOOKUP($B102,casostestes[#Data],5)),"-")</f>
        <v>-</v>
      </c>
      <c r="H102" s="35" t="str">
        <f>IFERROR(IF(VLOOKUP($B102,casostestes[#Data],6)=0,"-",VLOOKUP($B102,casostestes[#Data],6)),"-")</f>
        <v>-</v>
      </c>
      <c r="I102" s="35" t="str">
        <f>IFERROR(IF(VLOOKUP($B102,casostestes[#Data],8)=0,"-",VLOOKUP($B102,casostestes[#Data],8)),"-")</f>
        <v>-</v>
      </c>
      <c r="J102" s="35" t="str">
        <f>IFERROR(IF(VLOOKUP($B102,casostestes[#Data],9)=0,"-",VLOOKUP($B102,casostestes[#Data],9)),"-")</f>
        <v>-</v>
      </c>
      <c r="K102" s="36"/>
      <c r="L102" s="45"/>
      <c r="M102" s="37"/>
      <c r="N102" s="38"/>
      <c r="O102" s="38"/>
      <c r="P102" s="39"/>
    </row>
    <row r="103" spans="2:16">
      <c r="B103" s="40" t="str">
        <f>IF(ISERR(casostestes[[#This Row],[ID]]),"-",casostestes[[#This Row],[ID]])</f>
        <v>-</v>
      </c>
      <c r="C103" s="34" t="str">
        <f>IFERROR(IF(VLOOKUP($B103,casostestes[#Data],10)=0,"Não",VLOOKUP($B103,casostestes[#Data],10)), "-")</f>
        <v>-</v>
      </c>
      <c r="D103" s="35" t="str">
        <f>IFERROR(IF(VLOOKUP($B103,casostestes[#Data],2)=0,"-",VLOOKUP($B103,casostestes[#Data],2)), "-")</f>
        <v>-</v>
      </c>
      <c r="E103" s="35" t="str">
        <f>IFERROR(IF(VLOOKUP($B103,casostestes[#Data],3)=0,"-",VLOOKUP($B103,casostestes[#Data],3)), "-")</f>
        <v>-</v>
      </c>
      <c r="F103" s="35" t="str">
        <f>IFERROR(IF(VLOOKUP($B103,casostestes[#Data],4)=0,"-",VLOOKUP($B103,casostestes[#Data],4)),"-")</f>
        <v>-</v>
      </c>
      <c r="G103" s="35" t="str">
        <f>IFERROR(IF(VLOOKUP($B103,casostestes[#Data],5)=0,"-",VLOOKUP($B103,casostestes[#Data],5)),"-")</f>
        <v>-</v>
      </c>
      <c r="H103" s="35" t="str">
        <f>IFERROR(IF(VLOOKUP($B103,casostestes[#Data],6)=0,"-",VLOOKUP($B103,casostestes[#Data],6)),"-")</f>
        <v>-</v>
      </c>
      <c r="I103" s="35" t="str">
        <f>IFERROR(IF(VLOOKUP($B103,casostestes[#Data],8)=0,"-",VLOOKUP($B103,casostestes[#Data],8)),"-")</f>
        <v>-</v>
      </c>
      <c r="J103" s="35" t="str">
        <f>IFERROR(IF(VLOOKUP($B103,casostestes[#Data],9)=0,"-",VLOOKUP($B103,casostestes[#Data],9)),"-")</f>
        <v>-</v>
      </c>
      <c r="K103" s="36"/>
      <c r="L103" s="45"/>
      <c r="M103" s="37"/>
      <c r="N103" s="38"/>
      <c r="O103" s="38"/>
      <c r="P103" s="39"/>
    </row>
    <row r="104" spans="2:16">
      <c r="B104" s="40" t="str">
        <f>IF(ISERR(casostestes[[#This Row],[ID]]),"-",casostestes[[#This Row],[ID]])</f>
        <v>-</v>
      </c>
      <c r="C104" s="34" t="str">
        <f>IFERROR(IF(VLOOKUP($B104,casostestes[#Data],10)=0,"Não",VLOOKUP($B104,casostestes[#Data],10)), "-")</f>
        <v>-</v>
      </c>
      <c r="D104" s="35" t="str">
        <f>IFERROR(IF(VLOOKUP($B104,casostestes[#Data],2)=0,"-",VLOOKUP($B104,casostestes[#Data],2)), "-")</f>
        <v>-</v>
      </c>
      <c r="E104" s="35" t="str">
        <f>IFERROR(IF(VLOOKUP($B104,casostestes[#Data],3)=0,"-",VLOOKUP($B104,casostestes[#Data],3)), "-")</f>
        <v>-</v>
      </c>
      <c r="F104" s="35" t="str">
        <f>IFERROR(IF(VLOOKUP($B104,casostestes[#Data],4)=0,"-",VLOOKUP($B104,casostestes[#Data],4)),"-")</f>
        <v>-</v>
      </c>
      <c r="G104" s="35" t="str">
        <f>IFERROR(IF(VLOOKUP($B104,casostestes[#Data],5)=0,"-",VLOOKUP($B104,casostestes[#Data],5)),"-")</f>
        <v>-</v>
      </c>
      <c r="H104" s="35" t="str">
        <f>IFERROR(IF(VLOOKUP($B104,casostestes[#Data],6)=0,"-",VLOOKUP($B104,casostestes[#Data],6)),"-")</f>
        <v>-</v>
      </c>
      <c r="I104" s="35" t="str">
        <f>IFERROR(IF(VLOOKUP($B104,casostestes[#Data],8)=0,"-",VLOOKUP($B104,casostestes[#Data],8)),"-")</f>
        <v>-</v>
      </c>
      <c r="J104" s="35" t="str">
        <f>IFERROR(IF(VLOOKUP($B104,casostestes[#Data],9)=0,"-",VLOOKUP($B104,casostestes[#Data],9)),"-")</f>
        <v>-</v>
      </c>
      <c r="K104" s="36"/>
      <c r="L104" s="45"/>
      <c r="M104" s="37"/>
      <c r="N104" s="38"/>
      <c r="O104" s="38"/>
      <c r="P104" s="39"/>
    </row>
    <row r="105" spans="2:16">
      <c r="B105" s="40" t="str">
        <f>IF(ISERR(casostestes[[#This Row],[ID]]),"-",casostestes[[#This Row],[ID]])</f>
        <v>-</v>
      </c>
      <c r="C105" s="34" t="str">
        <f>IFERROR(IF(VLOOKUP($B105,casostestes[#Data],10)=0,"Não",VLOOKUP($B105,casostestes[#Data],10)), "-")</f>
        <v>-</v>
      </c>
      <c r="D105" s="35" t="str">
        <f>IFERROR(IF(VLOOKUP($B105,casostestes[#Data],2)=0,"-",VLOOKUP($B105,casostestes[#Data],2)), "-")</f>
        <v>-</v>
      </c>
      <c r="E105" s="35" t="str">
        <f>IFERROR(IF(VLOOKUP($B105,casostestes[#Data],3)=0,"-",VLOOKUP($B105,casostestes[#Data],3)), "-")</f>
        <v>-</v>
      </c>
      <c r="F105" s="35" t="str">
        <f>IFERROR(IF(VLOOKUP($B105,casostestes[#Data],4)=0,"-",VLOOKUP($B105,casostestes[#Data],4)),"-")</f>
        <v>-</v>
      </c>
      <c r="G105" s="35" t="str">
        <f>IFERROR(IF(VLOOKUP($B105,casostestes[#Data],5)=0,"-",VLOOKUP($B105,casostestes[#Data],5)),"-")</f>
        <v>-</v>
      </c>
      <c r="H105" s="35" t="str">
        <f>IFERROR(IF(VLOOKUP($B105,casostestes[#Data],6)=0,"-",VLOOKUP($B105,casostestes[#Data],6)),"-")</f>
        <v>-</v>
      </c>
      <c r="I105" s="35" t="str">
        <f>IFERROR(IF(VLOOKUP($B105,casostestes[#Data],8)=0,"-",VLOOKUP($B105,casostestes[#Data],8)),"-")</f>
        <v>-</v>
      </c>
      <c r="J105" s="35" t="str">
        <f>IFERROR(IF(VLOOKUP($B105,casostestes[#Data],9)=0,"-",VLOOKUP($B105,casostestes[#Data],9)),"-")</f>
        <v>-</v>
      </c>
      <c r="K105" s="36"/>
      <c r="L105" s="45"/>
      <c r="M105" s="37"/>
      <c r="N105" s="38"/>
      <c r="O105" s="38"/>
      <c r="P105" s="39"/>
    </row>
    <row r="106" spans="2:16">
      <c r="B106" s="40" t="str">
        <f>IF(ISERR(casostestes[[#This Row],[ID]]),"-",casostestes[[#This Row],[ID]])</f>
        <v>-</v>
      </c>
      <c r="C106" s="34" t="str">
        <f>IFERROR(IF(VLOOKUP($B106,casostestes[#Data],10)=0,"Não",VLOOKUP($B106,casostestes[#Data],10)), "-")</f>
        <v>-</v>
      </c>
      <c r="D106" s="35" t="str">
        <f>IFERROR(IF(VLOOKUP($B106,casostestes[#Data],2)=0,"-",VLOOKUP($B106,casostestes[#Data],2)), "-")</f>
        <v>-</v>
      </c>
      <c r="E106" s="35" t="str">
        <f>IFERROR(IF(VLOOKUP($B106,casostestes[#Data],3)=0,"-",VLOOKUP($B106,casostestes[#Data],3)), "-")</f>
        <v>-</v>
      </c>
      <c r="F106" s="35" t="str">
        <f>IFERROR(IF(VLOOKUP($B106,casostestes[#Data],4)=0,"-",VLOOKUP($B106,casostestes[#Data],4)),"-")</f>
        <v>-</v>
      </c>
      <c r="G106" s="35" t="str">
        <f>IFERROR(IF(VLOOKUP($B106,casostestes[#Data],5)=0,"-",VLOOKUP($B106,casostestes[#Data],5)),"-")</f>
        <v>-</v>
      </c>
      <c r="H106" s="35" t="str">
        <f>IFERROR(IF(VLOOKUP($B106,casostestes[#Data],6)=0,"-",VLOOKUP($B106,casostestes[#Data],6)),"-")</f>
        <v>-</v>
      </c>
      <c r="I106" s="35" t="str">
        <f>IFERROR(IF(VLOOKUP($B106,casostestes[#Data],8)=0,"-",VLOOKUP($B106,casostestes[#Data],8)),"-")</f>
        <v>-</v>
      </c>
      <c r="J106" s="35" t="str">
        <f>IFERROR(IF(VLOOKUP($B106,casostestes[#Data],9)=0,"-",VLOOKUP($B106,casostestes[#Data],9)),"-")</f>
        <v>-</v>
      </c>
      <c r="K106" s="36"/>
      <c r="L106" s="45"/>
      <c r="M106" s="37"/>
      <c r="N106" s="38"/>
      <c r="O106" s="38"/>
      <c r="P106" s="39"/>
    </row>
    <row r="107" spans="2:16">
      <c r="B107" s="40" t="str">
        <f>IF(ISERR(casostestes[[#This Row],[ID]]),"-",casostestes[[#This Row],[ID]])</f>
        <v>-</v>
      </c>
      <c r="C107" s="34" t="str">
        <f>IFERROR(IF(VLOOKUP($B107,casostestes[#Data],10)=0,"Não",VLOOKUP($B107,casostestes[#Data],10)), "-")</f>
        <v>-</v>
      </c>
      <c r="D107" s="35" t="str">
        <f>IFERROR(IF(VLOOKUP($B107,casostestes[#Data],2)=0,"-",VLOOKUP($B107,casostestes[#Data],2)), "-")</f>
        <v>-</v>
      </c>
      <c r="E107" s="35" t="str">
        <f>IFERROR(IF(VLOOKUP($B107,casostestes[#Data],3)=0,"-",VLOOKUP($B107,casostestes[#Data],3)), "-")</f>
        <v>-</v>
      </c>
      <c r="F107" s="35" t="str">
        <f>IFERROR(IF(VLOOKUP($B107,casostestes[#Data],4)=0,"-",VLOOKUP($B107,casostestes[#Data],4)),"-")</f>
        <v>-</v>
      </c>
      <c r="G107" s="35" t="str">
        <f>IFERROR(IF(VLOOKUP($B107,casostestes[#Data],5)=0,"-",VLOOKUP($B107,casostestes[#Data],5)),"-")</f>
        <v>-</v>
      </c>
      <c r="H107" s="35" t="str">
        <f>IFERROR(IF(VLOOKUP($B107,casostestes[#Data],6)=0,"-",VLOOKUP($B107,casostestes[#Data],6)),"-")</f>
        <v>-</v>
      </c>
      <c r="I107" s="35" t="str">
        <f>IFERROR(IF(VLOOKUP($B107,casostestes[#Data],8)=0,"-",VLOOKUP($B107,casostestes[#Data],8)),"-")</f>
        <v>-</v>
      </c>
      <c r="J107" s="35" t="str">
        <f>IFERROR(IF(VLOOKUP($B107,casostestes[#Data],9)=0,"-",VLOOKUP($B107,casostestes[#Data],9)),"-")</f>
        <v>-</v>
      </c>
      <c r="K107" s="36"/>
      <c r="L107" s="45"/>
      <c r="M107" s="37"/>
      <c r="N107" s="38"/>
      <c r="O107" s="38"/>
      <c r="P107" s="39"/>
    </row>
    <row r="108" spans="2:16">
      <c r="B108" s="40" t="str">
        <f>IF(ISERR(casostestes[[#This Row],[ID]]),"-",casostestes[[#This Row],[ID]])</f>
        <v>-</v>
      </c>
      <c r="C108" s="34" t="str">
        <f>IFERROR(IF(VLOOKUP($B108,casostestes[#Data],10)=0,"Não",VLOOKUP($B108,casostestes[#Data],10)), "-")</f>
        <v>-</v>
      </c>
      <c r="D108" s="35" t="str">
        <f>IFERROR(IF(VLOOKUP($B108,casostestes[#Data],2)=0,"-",VLOOKUP($B108,casostestes[#Data],2)), "-")</f>
        <v>-</v>
      </c>
      <c r="E108" s="35" t="str">
        <f>IFERROR(IF(VLOOKUP($B108,casostestes[#Data],3)=0,"-",VLOOKUP($B108,casostestes[#Data],3)), "-")</f>
        <v>-</v>
      </c>
      <c r="F108" s="35" t="str">
        <f>IFERROR(IF(VLOOKUP($B108,casostestes[#Data],4)=0,"-",VLOOKUP($B108,casostestes[#Data],4)),"-")</f>
        <v>-</v>
      </c>
      <c r="G108" s="35" t="str">
        <f>IFERROR(IF(VLOOKUP($B108,casostestes[#Data],5)=0,"-",VLOOKUP($B108,casostestes[#Data],5)),"-")</f>
        <v>-</v>
      </c>
      <c r="H108" s="35" t="str">
        <f>IFERROR(IF(VLOOKUP($B108,casostestes[#Data],6)=0,"-",VLOOKUP($B108,casostestes[#Data],6)),"-")</f>
        <v>-</v>
      </c>
      <c r="I108" s="35" t="str">
        <f>IFERROR(IF(VLOOKUP($B108,casostestes[#Data],8)=0,"-",VLOOKUP($B108,casostestes[#Data],8)),"-")</f>
        <v>-</v>
      </c>
      <c r="J108" s="35" t="str">
        <f>IFERROR(IF(VLOOKUP($B108,casostestes[#Data],9)=0,"-",VLOOKUP($B108,casostestes[#Data],9)),"-")</f>
        <v>-</v>
      </c>
      <c r="K108" s="36"/>
      <c r="L108" s="45"/>
      <c r="M108" s="37"/>
      <c r="N108" s="38"/>
      <c r="O108" s="38"/>
      <c r="P108" s="39"/>
    </row>
    <row r="109" spans="2:16">
      <c r="B109" s="40" t="str">
        <f>IF(ISERR(casostestes[[#This Row],[ID]]),"-",casostestes[[#This Row],[ID]])</f>
        <v>-</v>
      </c>
      <c r="C109" s="34" t="str">
        <f>IFERROR(IF(VLOOKUP($B109,casostestes[#Data],10)=0,"Não",VLOOKUP($B109,casostestes[#Data],10)), "-")</f>
        <v>-</v>
      </c>
      <c r="D109" s="35" t="str">
        <f>IFERROR(IF(VLOOKUP($B109,casostestes[#Data],2)=0,"-",VLOOKUP($B109,casostestes[#Data],2)), "-")</f>
        <v>-</v>
      </c>
      <c r="E109" s="35" t="str">
        <f>IFERROR(IF(VLOOKUP($B109,casostestes[#Data],3)=0,"-",VLOOKUP($B109,casostestes[#Data],3)), "-")</f>
        <v>-</v>
      </c>
      <c r="F109" s="35" t="str">
        <f>IFERROR(IF(VLOOKUP($B109,casostestes[#Data],4)=0,"-",VLOOKUP($B109,casostestes[#Data],4)),"-")</f>
        <v>-</v>
      </c>
      <c r="G109" s="35" t="str">
        <f>IFERROR(IF(VLOOKUP($B109,casostestes[#Data],5)=0,"-",VLOOKUP($B109,casostestes[#Data],5)),"-")</f>
        <v>-</v>
      </c>
      <c r="H109" s="35" t="str">
        <f>IFERROR(IF(VLOOKUP($B109,casostestes[#Data],6)=0,"-",VLOOKUP($B109,casostestes[#Data],6)),"-")</f>
        <v>-</v>
      </c>
      <c r="I109" s="35" t="str">
        <f>IFERROR(IF(VLOOKUP($B109,casostestes[#Data],8)=0,"-",VLOOKUP($B109,casostestes[#Data],8)),"-")</f>
        <v>-</v>
      </c>
      <c r="J109" s="35" t="str">
        <f>IFERROR(IF(VLOOKUP($B109,casostestes[#Data],9)=0,"-",VLOOKUP($B109,casostestes[#Data],9)),"-")</f>
        <v>-</v>
      </c>
      <c r="K109" s="36"/>
      <c r="L109" s="45"/>
      <c r="M109" s="37"/>
      <c r="N109" s="38"/>
      <c r="O109" s="38"/>
      <c r="P109" s="39"/>
    </row>
    <row r="110" spans="2:16">
      <c r="B110" s="40" t="str">
        <f>IF(ISERR(casostestes[[#This Row],[ID]]),"-",casostestes[[#This Row],[ID]])</f>
        <v>-</v>
      </c>
      <c r="C110" s="34" t="str">
        <f>IFERROR(IF(VLOOKUP($B110,casostestes[#Data],10)=0,"Não",VLOOKUP($B110,casostestes[#Data],10)), "-")</f>
        <v>-</v>
      </c>
      <c r="D110" s="35" t="str">
        <f>IFERROR(IF(VLOOKUP($B110,casostestes[#Data],2)=0,"-",VLOOKUP($B110,casostestes[#Data],2)), "-")</f>
        <v>-</v>
      </c>
      <c r="E110" s="35" t="str">
        <f>IFERROR(IF(VLOOKUP($B110,casostestes[#Data],3)=0,"-",VLOOKUP($B110,casostestes[#Data],3)), "-")</f>
        <v>-</v>
      </c>
      <c r="F110" s="35" t="str">
        <f>IFERROR(IF(VLOOKUP($B110,casostestes[#Data],4)=0,"-",VLOOKUP($B110,casostestes[#Data],4)),"-")</f>
        <v>-</v>
      </c>
      <c r="G110" s="35" t="str">
        <f>IFERROR(IF(VLOOKUP($B110,casostestes[#Data],5)=0,"-",VLOOKUP($B110,casostestes[#Data],5)),"-")</f>
        <v>-</v>
      </c>
      <c r="H110" s="35" t="str">
        <f>IFERROR(IF(VLOOKUP($B110,casostestes[#Data],6)=0,"-",VLOOKUP($B110,casostestes[#Data],6)),"-")</f>
        <v>-</v>
      </c>
      <c r="I110" s="35" t="str">
        <f>IFERROR(IF(VLOOKUP($B110,casostestes[#Data],8)=0,"-",VLOOKUP($B110,casostestes[#Data],8)),"-")</f>
        <v>-</v>
      </c>
      <c r="J110" s="35" t="str">
        <f>IFERROR(IF(VLOOKUP($B110,casostestes[#Data],9)=0,"-",VLOOKUP($B110,casostestes[#Data],9)),"-")</f>
        <v>-</v>
      </c>
      <c r="K110" s="36"/>
      <c r="L110" s="45"/>
      <c r="M110" s="37"/>
      <c r="N110" s="38"/>
      <c r="O110" s="38"/>
      <c r="P110" s="39"/>
    </row>
    <row r="111" spans="2:16">
      <c r="B111" s="40" t="str">
        <f>IF(ISERR(casostestes[[#This Row],[ID]]),"-",casostestes[[#This Row],[ID]])</f>
        <v>-</v>
      </c>
      <c r="C111" s="34" t="str">
        <f>IFERROR(IF(VLOOKUP($B111,casostestes[#Data],10)=0,"Não",VLOOKUP($B111,casostestes[#Data],10)), "-")</f>
        <v>-</v>
      </c>
      <c r="D111" s="35" t="str">
        <f>IFERROR(IF(VLOOKUP($B111,casostestes[#Data],2)=0,"-",VLOOKUP($B111,casostestes[#Data],2)), "-")</f>
        <v>-</v>
      </c>
      <c r="E111" s="35" t="str">
        <f>IFERROR(IF(VLOOKUP($B111,casostestes[#Data],3)=0,"-",VLOOKUP($B111,casostestes[#Data],3)), "-")</f>
        <v>-</v>
      </c>
      <c r="F111" s="35" t="str">
        <f>IFERROR(IF(VLOOKUP($B111,casostestes[#Data],4)=0,"-",VLOOKUP($B111,casostestes[#Data],4)),"-")</f>
        <v>-</v>
      </c>
      <c r="G111" s="35" t="str">
        <f>IFERROR(IF(VLOOKUP($B111,casostestes[#Data],5)=0,"-",VLOOKUP($B111,casostestes[#Data],5)),"-")</f>
        <v>-</v>
      </c>
      <c r="H111" s="35" t="str">
        <f>IFERROR(IF(VLOOKUP($B111,casostestes[#Data],6)=0,"-",VLOOKUP($B111,casostestes[#Data],6)),"-")</f>
        <v>-</v>
      </c>
      <c r="I111" s="35" t="str">
        <f>IFERROR(IF(VLOOKUP($B111,casostestes[#Data],8)=0,"-",VLOOKUP($B111,casostestes[#Data],8)),"-")</f>
        <v>-</v>
      </c>
      <c r="J111" s="35" t="str">
        <f>IFERROR(IF(VLOOKUP($B111,casostestes[#Data],9)=0,"-",VLOOKUP($B111,casostestes[#Data],9)),"-")</f>
        <v>-</v>
      </c>
      <c r="K111" s="36"/>
      <c r="L111" s="45"/>
      <c r="M111" s="37"/>
      <c r="N111" s="38"/>
      <c r="O111" s="38"/>
      <c r="P111" s="39"/>
    </row>
    <row r="112" spans="2:16">
      <c r="B112" s="40" t="str">
        <f>IF(ISERR(casostestes[[#This Row],[ID]]),"-",casostestes[[#This Row],[ID]])</f>
        <v>-</v>
      </c>
      <c r="C112" s="34" t="str">
        <f>IFERROR(IF(VLOOKUP($B112,casostestes[#Data],10)=0,"Não",VLOOKUP($B112,casostestes[#Data],10)), "-")</f>
        <v>-</v>
      </c>
      <c r="D112" s="35" t="str">
        <f>IFERROR(IF(VLOOKUP($B112,casostestes[#Data],2)=0,"-",VLOOKUP($B112,casostestes[#Data],2)), "-")</f>
        <v>-</v>
      </c>
      <c r="E112" s="35" t="str">
        <f>IFERROR(IF(VLOOKUP($B112,casostestes[#Data],3)=0,"-",VLOOKUP($B112,casostestes[#Data],3)), "-")</f>
        <v>-</v>
      </c>
      <c r="F112" s="35" t="str">
        <f>IFERROR(IF(VLOOKUP($B112,casostestes[#Data],4)=0,"-",VLOOKUP($B112,casostestes[#Data],4)),"-")</f>
        <v>-</v>
      </c>
      <c r="G112" s="35" t="str">
        <f>IFERROR(IF(VLOOKUP($B112,casostestes[#Data],5)=0,"-",VLOOKUP($B112,casostestes[#Data],5)),"-")</f>
        <v>-</v>
      </c>
      <c r="H112" s="35" t="str">
        <f>IFERROR(IF(VLOOKUP($B112,casostestes[#Data],6)=0,"-",VLOOKUP($B112,casostestes[#Data],6)),"-")</f>
        <v>-</v>
      </c>
      <c r="I112" s="35" t="str">
        <f>IFERROR(IF(VLOOKUP($B112,casostestes[#Data],8)=0,"-",VLOOKUP($B112,casostestes[#Data],8)),"-")</f>
        <v>-</v>
      </c>
      <c r="J112" s="35" t="str">
        <f>IFERROR(IF(VLOOKUP($B112,casostestes[#Data],9)=0,"-",VLOOKUP($B112,casostestes[#Data],9)),"-")</f>
        <v>-</v>
      </c>
      <c r="K112" s="36"/>
      <c r="L112" s="45"/>
      <c r="M112" s="37"/>
      <c r="N112" s="38"/>
      <c r="O112" s="38"/>
      <c r="P112" s="39"/>
    </row>
    <row r="113" spans="2:16">
      <c r="B113" s="40" t="str">
        <f>IF(ISERR(casostestes[[#This Row],[ID]]),"-",casostestes[[#This Row],[ID]])</f>
        <v>-</v>
      </c>
      <c r="C113" s="34" t="str">
        <f>IFERROR(IF(VLOOKUP($B113,casostestes[#Data],10)=0,"Não",VLOOKUP($B113,casostestes[#Data],10)), "-")</f>
        <v>-</v>
      </c>
      <c r="D113" s="35" t="str">
        <f>IFERROR(IF(VLOOKUP($B113,casostestes[#Data],2)=0,"-",VLOOKUP($B113,casostestes[#Data],2)), "-")</f>
        <v>-</v>
      </c>
      <c r="E113" s="35" t="str">
        <f>IFERROR(IF(VLOOKUP($B113,casostestes[#Data],3)=0,"-",VLOOKUP($B113,casostestes[#Data],3)), "-")</f>
        <v>-</v>
      </c>
      <c r="F113" s="35" t="str">
        <f>IFERROR(IF(VLOOKUP($B113,casostestes[#Data],4)=0,"-",VLOOKUP($B113,casostestes[#Data],4)),"-")</f>
        <v>-</v>
      </c>
      <c r="G113" s="35" t="str">
        <f>IFERROR(IF(VLOOKUP($B113,casostestes[#Data],5)=0,"-",VLOOKUP($B113,casostestes[#Data],5)),"-")</f>
        <v>-</v>
      </c>
      <c r="H113" s="35" t="str">
        <f>IFERROR(IF(VLOOKUP($B113,casostestes[#Data],6)=0,"-",VLOOKUP($B113,casostestes[#Data],6)),"-")</f>
        <v>-</v>
      </c>
      <c r="I113" s="35" t="str">
        <f>IFERROR(IF(VLOOKUP($B113,casostestes[#Data],8)=0,"-",VLOOKUP($B113,casostestes[#Data],8)),"-")</f>
        <v>-</v>
      </c>
      <c r="J113" s="35" t="str">
        <f>IFERROR(IF(VLOOKUP($B113,casostestes[#Data],9)=0,"-",VLOOKUP($B113,casostestes[#Data],9)),"-")</f>
        <v>-</v>
      </c>
      <c r="K113" s="36"/>
      <c r="L113" s="45"/>
      <c r="M113" s="37"/>
      <c r="N113" s="38"/>
      <c r="O113" s="38"/>
      <c r="P113" s="39"/>
    </row>
    <row r="114" spans="2:16">
      <c r="B114" s="40" t="str">
        <f>IF(ISERR(casostestes[[#This Row],[ID]]),"-",casostestes[[#This Row],[ID]])</f>
        <v>-</v>
      </c>
      <c r="C114" s="34" t="str">
        <f>IFERROR(IF(VLOOKUP($B114,casostestes[#Data],10)=0,"Não",VLOOKUP($B114,casostestes[#Data],10)), "-")</f>
        <v>-</v>
      </c>
      <c r="D114" s="35" t="str">
        <f>IFERROR(IF(VLOOKUP($B114,casostestes[#Data],2)=0,"-",VLOOKUP($B114,casostestes[#Data],2)), "-")</f>
        <v>-</v>
      </c>
      <c r="E114" s="35" t="str">
        <f>IFERROR(IF(VLOOKUP($B114,casostestes[#Data],3)=0,"-",VLOOKUP($B114,casostestes[#Data],3)), "-")</f>
        <v>-</v>
      </c>
      <c r="F114" s="35" t="str">
        <f>IFERROR(IF(VLOOKUP($B114,casostestes[#Data],4)=0,"-",VLOOKUP($B114,casostestes[#Data],4)),"-")</f>
        <v>-</v>
      </c>
      <c r="G114" s="35" t="str">
        <f>IFERROR(IF(VLOOKUP($B114,casostestes[#Data],5)=0,"-",VLOOKUP($B114,casostestes[#Data],5)),"-")</f>
        <v>-</v>
      </c>
      <c r="H114" s="35" t="str">
        <f>IFERROR(IF(VLOOKUP($B114,casostestes[#Data],6)=0,"-",VLOOKUP($B114,casostestes[#Data],6)),"-")</f>
        <v>-</v>
      </c>
      <c r="I114" s="35" t="str">
        <f>IFERROR(IF(VLOOKUP($B114,casostestes[#Data],8)=0,"-",VLOOKUP($B114,casostestes[#Data],8)),"-")</f>
        <v>-</v>
      </c>
      <c r="J114" s="35" t="str">
        <f>IFERROR(IF(VLOOKUP($B114,casostestes[#Data],9)=0,"-",VLOOKUP($B114,casostestes[#Data],9)),"-")</f>
        <v>-</v>
      </c>
      <c r="K114" s="36"/>
      <c r="L114" s="45"/>
      <c r="M114" s="37"/>
      <c r="N114" s="38"/>
      <c r="O114" s="38"/>
      <c r="P114" s="39"/>
    </row>
    <row r="115" spans="2:16">
      <c r="B115" s="40" t="str">
        <f>IF(ISERR(casostestes[[#This Row],[ID]]),"-",casostestes[[#This Row],[ID]])</f>
        <v>-</v>
      </c>
      <c r="C115" s="34" t="str">
        <f>IFERROR(IF(VLOOKUP($B115,casostestes[#Data],10)=0,"Não",VLOOKUP($B115,casostestes[#Data],10)), "-")</f>
        <v>-</v>
      </c>
      <c r="D115" s="35" t="str">
        <f>IFERROR(IF(VLOOKUP($B115,casostestes[#Data],2)=0,"-",VLOOKUP($B115,casostestes[#Data],2)), "-")</f>
        <v>-</v>
      </c>
      <c r="E115" s="35" t="str">
        <f>IFERROR(IF(VLOOKUP($B115,casostestes[#Data],3)=0,"-",VLOOKUP($B115,casostestes[#Data],3)), "-")</f>
        <v>-</v>
      </c>
      <c r="F115" s="35" t="str">
        <f>IFERROR(IF(VLOOKUP($B115,casostestes[#Data],4)=0,"-",VLOOKUP($B115,casostestes[#Data],4)),"-")</f>
        <v>-</v>
      </c>
      <c r="G115" s="35" t="str">
        <f>IFERROR(IF(VLOOKUP($B115,casostestes[#Data],5)=0,"-",VLOOKUP($B115,casostestes[#Data],5)),"-")</f>
        <v>-</v>
      </c>
      <c r="H115" s="35" t="str">
        <f>IFERROR(IF(VLOOKUP($B115,casostestes[#Data],6)=0,"-",VLOOKUP($B115,casostestes[#Data],6)),"-")</f>
        <v>-</v>
      </c>
      <c r="I115" s="35" t="str">
        <f>IFERROR(IF(VLOOKUP($B115,casostestes[#Data],8)=0,"-",VLOOKUP($B115,casostestes[#Data],8)),"-")</f>
        <v>-</v>
      </c>
      <c r="J115" s="35" t="str">
        <f>IFERROR(IF(VLOOKUP($B115,casostestes[#Data],9)=0,"-",VLOOKUP($B115,casostestes[#Data],9)),"-")</f>
        <v>-</v>
      </c>
      <c r="K115" s="36"/>
      <c r="L115" s="45"/>
      <c r="M115" s="37"/>
      <c r="N115" s="38"/>
      <c r="O115" s="38"/>
      <c r="P115" s="39"/>
    </row>
    <row r="116" spans="2:16">
      <c r="B116" s="40" t="str">
        <f>IF(ISERR(casostestes[[#This Row],[ID]]),"-",casostestes[[#This Row],[ID]])</f>
        <v>-</v>
      </c>
      <c r="C116" s="34" t="str">
        <f>IFERROR(IF(VLOOKUP($B116,casostestes[#Data],10)=0,"Não",VLOOKUP($B116,casostestes[#Data],10)), "-")</f>
        <v>-</v>
      </c>
      <c r="D116" s="35" t="str">
        <f>IFERROR(IF(VLOOKUP($B116,casostestes[#Data],2)=0,"-",VLOOKUP($B116,casostestes[#Data],2)), "-")</f>
        <v>-</v>
      </c>
      <c r="E116" s="35" t="str">
        <f>IFERROR(IF(VLOOKUP($B116,casostestes[#Data],3)=0,"-",VLOOKUP($B116,casostestes[#Data],3)), "-")</f>
        <v>-</v>
      </c>
      <c r="F116" s="35" t="str">
        <f>IFERROR(IF(VLOOKUP($B116,casostestes[#Data],4)=0,"-",VLOOKUP($B116,casostestes[#Data],4)),"-")</f>
        <v>-</v>
      </c>
      <c r="G116" s="35" t="str">
        <f>IFERROR(IF(VLOOKUP($B116,casostestes[#Data],5)=0,"-",VLOOKUP($B116,casostestes[#Data],5)),"-")</f>
        <v>-</v>
      </c>
      <c r="H116" s="35" t="str">
        <f>IFERROR(IF(VLOOKUP($B116,casostestes[#Data],6)=0,"-",VLOOKUP($B116,casostestes[#Data],6)),"-")</f>
        <v>-</v>
      </c>
      <c r="I116" s="35" t="str">
        <f>IFERROR(IF(VLOOKUP($B116,casostestes[#Data],8)=0,"-",VLOOKUP($B116,casostestes[#Data],8)),"-")</f>
        <v>-</v>
      </c>
      <c r="J116" s="35" t="str">
        <f>IFERROR(IF(VLOOKUP($B116,casostestes[#Data],9)=0,"-",VLOOKUP($B116,casostestes[#Data],9)),"-")</f>
        <v>-</v>
      </c>
      <c r="K116" s="36"/>
      <c r="L116" s="45"/>
      <c r="M116" s="37"/>
      <c r="N116" s="38"/>
      <c r="O116" s="38"/>
      <c r="P116" s="39"/>
    </row>
    <row r="117" spans="2:16">
      <c r="B117" s="40" t="str">
        <f>IF(ISERR(casostestes[[#This Row],[ID]]),"-",casostestes[[#This Row],[ID]])</f>
        <v>-</v>
      </c>
      <c r="C117" s="34" t="str">
        <f>IFERROR(IF(VLOOKUP($B117,casostestes[#Data],10)=0,"Não",VLOOKUP($B117,casostestes[#Data],10)), "-")</f>
        <v>-</v>
      </c>
      <c r="D117" s="35" t="str">
        <f>IFERROR(IF(VLOOKUP($B117,casostestes[#Data],2)=0,"-",VLOOKUP($B117,casostestes[#Data],2)), "-")</f>
        <v>-</v>
      </c>
      <c r="E117" s="35" t="str">
        <f>IFERROR(IF(VLOOKUP($B117,casostestes[#Data],3)=0,"-",VLOOKUP($B117,casostestes[#Data],3)), "-")</f>
        <v>-</v>
      </c>
      <c r="F117" s="35" t="str">
        <f>IFERROR(IF(VLOOKUP($B117,casostestes[#Data],4)=0,"-",VLOOKUP($B117,casostestes[#Data],4)),"-")</f>
        <v>-</v>
      </c>
      <c r="G117" s="35" t="str">
        <f>IFERROR(IF(VLOOKUP($B117,casostestes[#Data],5)=0,"-",VLOOKUP($B117,casostestes[#Data],5)),"-")</f>
        <v>-</v>
      </c>
      <c r="H117" s="35" t="str">
        <f>IFERROR(IF(VLOOKUP($B117,casostestes[#Data],6)=0,"-",VLOOKUP($B117,casostestes[#Data],6)),"-")</f>
        <v>-</v>
      </c>
      <c r="I117" s="35" t="str">
        <f>IFERROR(IF(VLOOKUP($B117,casostestes[#Data],8)=0,"-",VLOOKUP($B117,casostestes[#Data],8)),"-")</f>
        <v>-</v>
      </c>
      <c r="J117" s="35" t="str">
        <f>IFERROR(IF(VLOOKUP($B117,casostestes[#Data],9)=0,"-",VLOOKUP($B117,casostestes[#Data],9)),"-")</f>
        <v>-</v>
      </c>
      <c r="K117" s="36"/>
      <c r="L117" s="45"/>
      <c r="M117" s="37"/>
      <c r="N117" s="38"/>
      <c r="O117" s="38"/>
      <c r="P117" s="39"/>
    </row>
    <row r="118" spans="2:16">
      <c r="B118" s="40" t="str">
        <f>IF(ISERR(casostestes[[#This Row],[ID]]),"-",casostestes[[#This Row],[ID]])</f>
        <v>-</v>
      </c>
      <c r="C118" s="34" t="str">
        <f>IFERROR(IF(VLOOKUP($B118,casostestes[#Data],10)=0,"Não",VLOOKUP($B118,casostestes[#Data],10)), "-")</f>
        <v>-</v>
      </c>
      <c r="D118" s="35" t="str">
        <f>IFERROR(IF(VLOOKUP($B118,casostestes[#Data],2)=0,"-",VLOOKUP($B118,casostestes[#Data],2)), "-")</f>
        <v>-</v>
      </c>
      <c r="E118" s="35" t="str">
        <f>IFERROR(IF(VLOOKUP($B118,casostestes[#Data],3)=0,"-",VLOOKUP($B118,casostestes[#Data],3)), "-")</f>
        <v>-</v>
      </c>
      <c r="F118" s="35" t="str">
        <f>IFERROR(IF(VLOOKUP($B118,casostestes[#Data],4)=0,"-",VLOOKUP($B118,casostestes[#Data],4)),"-")</f>
        <v>-</v>
      </c>
      <c r="G118" s="35" t="str">
        <f>IFERROR(IF(VLOOKUP($B118,casostestes[#Data],5)=0,"-",VLOOKUP($B118,casostestes[#Data],5)),"-")</f>
        <v>-</v>
      </c>
      <c r="H118" s="35" t="str">
        <f>IFERROR(IF(VLOOKUP($B118,casostestes[#Data],6)=0,"-",VLOOKUP($B118,casostestes[#Data],6)),"-")</f>
        <v>-</v>
      </c>
      <c r="I118" s="35" t="str">
        <f>IFERROR(IF(VLOOKUP($B118,casostestes[#Data],8)=0,"-",VLOOKUP($B118,casostestes[#Data],8)),"-")</f>
        <v>-</v>
      </c>
      <c r="J118" s="35" t="str">
        <f>IFERROR(IF(VLOOKUP($B118,casostestes[#Data],9)=0,"-",VLOOKUP($B118,casostestes[#Data],9)),"-")</f>
        <v>-</v>
      </c>
      <c r="K118" s="36"/>
      <c r="L118" s="45"/>
      <c r="M118" s="37"/>
      <c r="N118" s="38"/>
      <c r="O118" s="38"/>
      <c r="P118" s="39"/>
    </row>
    <row r="119" spans="2:16">
      <c r="B119" s="40" t="str">
        <f>IF(ISERR(casostestes[[#This Row],[ID]]),"-",casostestes[[#This Row],[ID]])</f>
        <v>-</v>
      </c>
      <c r="C119" s="34" t="str">
        <f>IFERROR(IF(VLOOKUP($B119,casostestes[#Data],10)=0,"Não",VLOOKUP($B119,casostestes[#Data],10)), "-")</f>
        <v>-</v>
      </c>
      <c r="D119" s="35" t="str">
        <f>IFERROR(IF(VLOOKUP($B119,casostestes[#Data],2)=0,"-",VLOOKUP($B119,casostestes[#Data],2)), "-")</f>
        <v>-</v>
      </c>
      <c r="E119" s="35" t="str">
        <f>IFERROR(IF(VLOOKUP($B119,casostestes[#Data],3)=0,"-",VLOOKUP($B119,casostestes[#Data],3)), "-")</f>
        <v>-</v>
      </c>
      <c r="F119" s="35" t="str">
        <f>IFERROR(IF(VLOOKUP($B119,casostestes[#Data],4)=0,"-",VLOOKUP($B119,casostestes[#Data],4)),"-")</f>
        <v>-</v>
      </c>
      <c r="G119" s="35" t="str">
        <f>IFERROR(IF(VLOOKUP($B119,casostestes[#Data],5)=0,"-",VLOOKUP($B119,casostestes[#Data],5)),"-")</f>
        <v>-</v>
      </c>
      <c r="H119" s="35" t="str">
        <f>IFERROR(IF(VLOOKUP($B119,casostestes[#Data],6)=0,"-",VLOOKUP($B119,casostestes[#Data],6)),"-")</f>
        <v>-</v>
      </c>
      <c r="I119" s="35" t="str">
        <f>IFERROR(IF(VLOOKUP($B119,casostestes[#Data],8)=0,"-",VLOOKUP($B119,casostestes[#Data],8)),"-")</f>
        <v>-</v>
      </c>
      <c r="J119" s="35" t="str">
        <f>IFERROR(IF(VLOOKUP($B119,casostestes[#Data],9)=0,"-",VLOOKUP($B119,casostestes[#Data],9)),"-")</f>
        <v>-</v>
      </c>
      <c r="K119" s="36"/>
      <c r="L119" s="45"/>
      <c r="M119" s="37"/>
      <c r="N119" s="38"/>
      <c r="O119" s="38"/>
      <c r="P119" s="39"/>
    </row>
    <row r="120" spans="2:16">
      <c r="B120" s="40" t="str">
        <f>IF(ISERR(casostestes[[#This Row],[ID]]),"-",casostestes[[#This Row],[ID]])</f>
        <v>-</v>
      </c>
      <c r="C120" s="34" t="str">
        <f>IFERROR(IF(VLOOKUP($B120,casostestes[#Data],10)=0,"Não",VLOOKUP($B120,casostestes[#Data],10)), "-")</f>
        <v>-</v>
      </c>
      <c r="D120" s="35" t="str">
        <f>IFERROR(IF(VLOOKUP($B120,casostestes[#Data],2)=0,"-",VLOOKUP($B120,casostestes[#Data],2)), "-")</f>
        <v>-</v>
      </c>
      <c r="E120" s="35" t="str">
        <f>IFERROR(IF(VLOOKUP($B120,casostestes[#Data],3)=0,"-",VLOOKUP($B120,casostestes[#Data],3)), "-")</f>
        <v>-</v>
      </c>
      <c r="F120" s="35" t="str">
        <f>IFERROR(IF(VLOOKUP($B120,casostestes[#Data],4)=0,"-",VLOOKUP($B120,casostestes[#Data],4)),"-")</f>
        <v>-</v>
      </c>
      <c r="G120" s="35" t="str">
        <f>IFERROR(IF(VLOOKUP($B120,casostestes[#Data],5)=0,"-",VLOOKUP($B120,casostestes[#Data],5)),"-")</f>
        <v>-</v>
      </c>
      <c r="H120" s="35" t="str">
        <f>IFERROR(IF(VLOOKUP($B120,casostestes[#Data],6)=0,"-",VLOOKUP($B120,casostestes[#Data],6)),"-")</f>
        <v>-</v>
      </c>
      <c r="I120" s="35" t="str">
        <f>IFERROR(IF(VLOOKUP($B120,casostestes[#Data],8)=0,"-",VLOOKUP($B120,casostestes[#Data],8)),"-")</f>
        <v>-</v>
      </c>
      <c r="J120" s="35" t="str">
        <f>IFERROR(IF(VLOOKUP($B120,casostestes[#Data],9)=0,"-",VLOOKUP($B120,casostestes[#Data],9)),"-")</f>
        <v>-</v>
      </c>
      <c r="K120" s="36"/>
      <c r="L120" s="45"/>
      <c r="M120" s="37"/>
      <c r="N120" s="38"/>
      <c r="O120" s="38"/>
      <c r="P120" s="39"/>
    </row>
    <row r="121" spans="2:16">
      <c r="B121" s="40" t="str">
        <f>IF(ISERR(casostestes[[#This Row],[ID]]),"-",casostestes[[#This Row],[ID]])</f>
        <v>-</v>
      </c>
      <c r="C121" s="34" t="str">
        <f>IFERROR(IF(VLOOKUP($B121,casostestes[#Data],10)=0,"Não",VLOOKUP($B121,casostestes[#Data],10)), "-")</f>
        <v>-</v>
      </c>
      <c r="D121" s="35" t="str">
        <f>IFERROR(IF(VLOOKUP($B121,casostestes[#Data],2)=0,"-",VLOOKUP($B121,casostestes[#Data],2)), "-")</f>
        <v>-</v>
      </c>
      <c r="E121" s="35" t="str">
        <f>IFERROR(IF(VLOOKUP($B121,casostestes[#Data],3)=0,"-",VLOOKUP($B121,casostestes[#Data],3)), "-")</f>
        <v>-</v>
      </c>
      <c r="F121" s="35" t="str">
        <f>IFERROR(IF(VLOOKUP($B121,casostestes[#Data],4)=0,"-",VLOOKUP($B121,casostestes[#Data],4)),"-")</f>
        <v>-</v>
      </c>
      <c r="G121" s="35" t="str">
        <f>IFERROR(IF(VLOOKUP($B121,casostestes[#Data],5)=0,"-",VLOOKUP($B121,casostestes[#Data],5)),"-")</f>
        <v>-</v>
      </c>
      <c r="H121" s="35" t="str">
        <f>IFERROR(IF(VLOOKUP($B121,casostestes[#Data],6)=0,"-",VLOOKUP($B121,casostestes[#Data],6)),"-")</f>
        <v>-</v>
      </c>
      <c r="I121" s="35" t="str">
        <f>IFERROR(IF(VLOOKUP($B121,casostestes[#Data],8)=0,"-",VLOOKUP($B121,casostestes[#Data],8)),"-")</f>
        <v>-</v>
      </c>
      <c r="J121" s="35" t="str">
        <f>IFERROR(IF(VLOOKUP($B121,casostestes[#Data],9)=0,"-",VLOOKUP($B121,casostestes[#Data],9)),"-")</f>
        <v>-</v>
      </c>
      <c r="K121" s="36"/>
      <c r="L121" s="45"/>
      <c r="M121" s="37"/>
      <c r="N121" s="38"/>
      <c r="O121" s="38"/>
      <c r="P121" s="39"/>
    </row>
    <row r="122" spans="2:16">
      <c r="B122" s="40" t="str">
        <f>IF(ISERR(casostestes[[#This Row],[ID]]),"-",casostestes[[#This Row],[ID]])</f>
        <v>-</v>
      </c>
      <c r="C122" s="34" t="str">
        <f>IFERROR(IF(VLOOKUP($B122,casostestes[#Data],10)=0,"Não",VLOOKUP($B122,casostestes[#Data],10)), "-")</f>
        <v>-</v>
      </c>
      <c r="D122" s="35" t="str">
        <f>IFERROR(IF(VLOOKUP($B122,casostestes[#Data],2)=0,"-",VLOOKUP($B122,casostestes[#Data],2)), "-")</f>
        <v>-</v>
      </c>
      <c r="E122" s="35" t="str">
        <f>IFERROR(IF(VLOOKUP($B122,casostestes[#Data],3)=0,"-",VLOOKUP($B122,casostestes[#Data],3)), "-")</f>
        <v>-</v>
      </c>
      <c r="F122" s="35" t="str">
        <f>IFERROR(IF(VLOOKUP($B122,casostestes[#Data],4)=0,"-",VLOOKUP($B122,casostestes[#Data],4)),"-")</f>
        <v>-</v>
      </c>
      <c r="G122" s="35" t="str">
        <f>IFERROR(IF(VLOOKUP($B122,casostestes[#Data],5)=0,"-",VLOOKUP($B122,casostestes[#Data],5)),"-")</f>
        <v>-</v>
      </c>
      <c r="H122" s="35" t="str">
        <f>IFERROR(IF(VLOOKUP($B122,casostestes[#Data],6)=0,"-",VLOOKUP($B122,casostestes[#Data],6)),"-")</f>
        <v>-</v>
      </c>
      <c r="I122" s="35" t="str">
        <f>IFERROR(IF(VLOOKUP($B122,casostestes[#Data],8)=0,"-",VLOOKUP($B122,casostestes[#Data],8)),"-")</f>
        <v>-</v>
      </c>
      <c r="J122" s="35" t="str">
        <f>IFERROR(IF(VLOOKUP($B122,casostestes[#Data],9)=0,"-",VLOOKUP($B122,casostestes[#Data],9)),"-")</f>
        <v>-</v>
      </c>
      <c r="K122" s="36"/>
      <c r="L122" s="45"/>
      <c r="M122" s="37"/>
      <c r="N122" s="38"/>
      <c r="O122" s="38"/>
      <c r="P122" s="39"/>
    </row>
    <row r="123" spans="2:16">
      <c r="B123" s="40" t="str">
        <f>IF(ISERR(casostestes[[#This Row],[ID]]),"-",casostestes[[#This Row],[ID]])</f>
        <v>-</v>
      </c>
      <c r="C123" s="34" t="str">
        <f>IFERROR(IF(VLOOKUP($B123,casostestes[#Data],10)=0,"Não",VLOOKUP($B123,casostestes[#Data],10)), "-")</f>
        <v>-</v>
      </c>
      <c r="D123" s="35" t="str">
        <f>IFERROR(IF(VLOOKUP($B123,casostestes[#Data],2)=0,"-",VLOOKUP($B123,casostestes[#Data],2)), "-")</f>
        <v>-</v>
      </c>
      <c r="E123" s="35" t="str">
        <f>IFERROR(IF(VLOOKUP($B123,casostestes[#Data],3)=0,"-",VLOOKUP($B123,casostestes[#Data],3)), "-")</f>
        <v>-</v>
      </c>
      <c r="F123" s="35" t="str">
        <f>IFERROR(IF(VLOOKUP($B123,casostestes[#Data],4)=0,"-",VLOOKUP($B123,casostestes[#Data],4)),"-")</f>
        <v>-</v>
      </c>
      <c r="G123" s="35" t="str">
        <f>IFERROR(IF(VLOOKUP($B123,casostestes[#Data],5)=0,"-",VLOOKUP($B123,casostestes[#Data],5)),"-")</f>
        <v>-</v>
      </c>
      <c r="H123" s="35" t="str">
        <f>IFERROR(IF(VLOOKUP($B123,casostestes[#Data],6)=0,"-",VLOOKUP($B123,casostestes[#Data],6)),"-")</f>
        <v>-</v>
      </c>
      <c r="I123" s="35" t="str">
        <f>IFERROR(IF(VLOOKUP($B123,casostestes[#Data],8)=0,"-",VLOOKUP($B123,casostestes[#Data],8)),"-")</f>
        <v>-</v>
      </c>
      <c r="J123" s="35" t="str">
        <f>IFERROR(IF(VLOOKUP($B123,casostestes[#Data],9)=0,"-",VLOOKUP($B123,casostestes[#Data],9)),"-")</f>
        <v>-</v>
      </c>
      <c r="K123" s="36"/>
      <c r="L123" s="45"/>
      <c r="M123" s="37"/>
      <c r="N123" s="38"/>
      <c r="O123" s="38"/>
      <c r="P123" s="39"/>
    </row>
    <row r="124" spans="2:16">
      <c r="B124" s="40" t="str">
        <f>IF(ISERR(casostestes[[#This Row],[ID]]),"-",casostestes[[#This Row],[ID]])</f>
        <v>-</v>
      </c>
      <c r="C124" s="34" t="str">
        <f>IFERROR(IF(VLOOKUP($B124,casostestes[#Data],10)=0,"Não",VLOOKUP($B124,casostestes[#Data],10)), "-")</f>
        <v>-</v>
      </c>
      <c r="D124" s="35" t="str">
        <f>IFERROR(IF(VLOOKUP($B124,casostestes[#Data],2)=0,"-",VLOOKUP($B124,casostestes[#Data],2)), "-")</f>
        <v>-</v>
      </c>
      <c r="E124" s="35" t="str">
        <f>IFERROR(IF(VLOOKUP($B124,casostestes[#Data],3)=0,"-",VLOOKUP($B124,casostestes[#Data],3)), "-")</f>
        <v>-</v>
      </c>
      <c r="F124" s="35" t="str">
        <f>IFERROR(IF(VLOOKUP($B124,casostestes[#Data],4)=0,"-",VLOOKUP($B124,casostestes[#Data],4)),"-")</f>
        <v>-</v>
      </c>
      <c r="G124" s="35" t="str">
        <f>IFERROR(IF(VLOOKUP($B124,casostestes[#Data],5)=0,"-",VLOOKUP($B124,casostestes[#Data],5)),"-")</f>
        <v>-</v>
      </c>
      <c r="H124" s="35" t="str">
        <f>IFERROR(IF(VLOOKUP($B124,casostestes[#Data],6)=0,"-",VLOOKUP($B124,casostestes[#Data],6)),"-")</f>
        <v>-</v>
      </c>
      <c r="I124" s="35" t="str">
        <f>IFERROR(IF(VLOOKUP($B124,casostestes[#Data],8)=0,"-",VLOOKUP($B124,casostestes[#Data],8)),"-")</f>
        <v>-</v>
      </c>
      <c r="J124" s="35" t="str">
        <f>IFERROR(IF(VLOOKUP($B124,casostestes[#Data],9)=0,"-",VLOOKUP($B124,casostestes[#Data],9)),"-")</f>
        <v>-</v>
      </c>
      <c r="K124" s="36"/>
      <c r="L124" s="45"/>
      <c r="M124" s="37"/>
      <c r="N124" s="38"/>
      <c r="O124" s="38"/>
      <c r="P124" s="39"/>
    </row>
    <row r="125" spans="2:16">
      <c r="B125" s="40" t="str">
        <f>IF(ISERR(casostestes[[#This Row],[ID]]),"-",casostestes[[#This Row],[ID]])</f>
        <v>-</v>
      </c>
      <c r="C125" s="34" t="str">
        <f>IFERROR(IF(VLOOKUP($B125,casostestes[#Data],10)=0,"Não",VLOOKUP($B125,casostestes[#Data],10)), "-")</f>
        <v>-</v>
      </c>
      <c r="D125" s="35" t="str">
        <f>IFERROR(IF(VLOOKUP($B125,casostestes[#Data],2)=0,"-",VLOOKUP($B125,casostestes[#Data],2)), "-")</f>
        <v>-</v>
      </c>
      <c r="E125" s="35" t="str">
        <f>IFERROR(IF(VLOOKUP($B125,casostestes[#Data],3)=0,"-",VLOOKUP($B125,casostestes[#Data],3)), "-")</f>
        <v>-</v>
      </c>
      <c r="F125" s="35" t="str">
        <f>IFERROR(IF(VLOOKUP($B125,casostestes[#Data],4)=0,"-",VLOOKUP($B125,casostestes[#Data],4)),"-")</f>
        <v>-</v>
      </c>
      <c r="G125" s="35" t="str">
        <f>IFERROR(IF(VLOOKUP($B125,casostestes[#Data],5)=0,"-",VLOOKUP($B125,casostestes[#Data],5)),"-")</f>
        <v>-</v>
      </c>
      <c r="H125" s="35" t="str">
        <f>IFERROR(IF(VLOOKUP($B125,casostestes[#Data],6)=0,"-",VLOOKUP($B125,casostestes[#Data],6)),"-")</f>
        <v>-</v>
      </c>
      <c r="I125" s="35" t="str">
        <f>IFERROR(IF(VLOOKUP($B125,casostestes[#Data],8)=0,"-",VLOOKUP($B125,casostestes[#Data],8)),"-")</f>
        <v>-</v>
      </c>
      <c r="J125" s="35" t="str">
        <f>IFERROR(IF(VLOOKUP($B125,casostestes[#Data],9)=0,"-",VLOOKUP($B125,casostestes[#Data],9)),"-")</f>
        <v>-</v>
      </c>
      <c r="K125" s="36"/>
      <c r="L125" s="45"/>
      <c r="M125" s="37"/>
      <c r="N125" s="38"/>
      <c r="O125" s="38"/>
      <c r="P125" s="39"/>
    </row>
    <row r="126" spans="2:16">
      <c r="B126" s="40" t="str">
        <f>IF(ISERR(casostestes[[#This Row],[ID]]),"-",casostestes[[#This Row],[ID]])</f>
        <v>-</v>
      </c>
      <c r="C126" s="34" t="str">
        <f>IFERROR(IF(VLOOKUP($B126,casostestes[#Data],10)=0,"Não",VLOOKUP($B126,casostestes[#Data],10)), "-")</f>
        <v>-</v>
      </c>
      <c r="D126" s="35" t="str">
        <f>IFERROR(IF(VLOOKUP($B126,casostestes[#Data],2)=0,"-",VLOOKUP($B126,casostestes[#Data],2)), "-")</f>
        <v>-</v>
      </c>
      <c r="E126" s="35" t="str">
        <f>IFERROR(IF(VLOOKUP($B126,casostestes[#Data],3)=0,"-",VLOOKUP($B126,casostestes[#Data],3)), "-")</f>
        <v>-</v>
      </c>
      <c r="F126" s="35" t="str">
        <f>IFERROR(IF(VLOOKUP($B126,casostestes[#Data],4)=0,"-",VLOOKUP($B126,casostestes[#Data],4)),"-")</f>
        <v>-</v>
      </c>
      <c r="G126" s="35" t="str">
        <f>IFERROR(IF(VLOOKUP($B126,casostestes[#Data],5)=0,"-",VLOOKUP($B126,casostestes[#Data],5)),"-")</f>
        <v>-</v>
      </c>
      <c r="H126" s="35" t="str">
        <f>IFERROR(IF(VLOOKUP($B126,casostestes[#Data],6)=0,"-",VLOOKUP($B126,casostestes[#Data],6)),"-")</f>
        <v>-</v>
      </c>
      <c r="I126" s="35" t="str">
        <f>IFERROR(IF(VLOOKUP($B126,casostestes[#Data],8)=0,"-",VLOOKUP($B126,casostestes[#Data],8)),"-")</f>
        <v>-</v>
      </c>
      <c r="J126" s="35" t="str">
        <f>IFERROR(IF(VLOOKUP($B126,casostestes[#Data],9)=0,"-",VLOOKUP($B126,casostestes[#Data],9)),"-")</f>
        <v>-</v>
      </c>
      <c r="K126" s="36"/>
      <c r="L126" s="45"/>
      <c r="M126" s="37"/>
      <c r="N126" s="38"/>
      <c r="O126" s="38"/>
      <c r="P126" s="39"/>
    </row>
    <row r="127" spans="2:16">
      <c r="B127" s="40" t="str">
        <f>IF(ISERR(casostestes[[#This Row],[ID]]),"-",casostestes[[#This Row],[ID]])</f>
        <v>-</v>
      </c>
      <c r="C127" s="34" t="str">
        <f>IFERROR(IF(VLOOKUP($B127,casostestes[#Data],10)=0,"Não",VLOOKUP($B127,casostestes[#Data],10)), "-")</f>
        <v>-</v>
      </c>
      <c r="D127" s="35" t="str">
        <f>IFERROR(IF(VLOOKUP($B127,casostestes[#Data],2)=0,"-",VLOOKUP($B127,casostestes[#Data],2)), "-")</f>
        <v>-</v>
      </c>
      <c r="E127" s="35" t="str">
        <f>IFERROR(IF(VLOOKUP($B127,casostestes[#Data],3)=0,"-",VLOOKUP($B127,casostestes[#Data],3)), "-")</f>
        <v>-</v>
      </c>
      <c r="F127" s="35" t="str">
        <f>IFERROR(IF(VLOOKUP($B127,casostestes[#Data],4)=0,"-",VLOOKUP($B127,casostestes[#Data],4)),"-")</f>
        <v>-</v>
      </c>
      <c r="G127" s="35" t="str">
        <f>IFERROR(IF(VLOOKUP($B127,casostestes[#Data],5)=0,"-",VLOOKUP($B127,casostestes[#Data],5)),"-")</f>
        <v>-</v>
      </c>
      <c r="H127" s="35" t="str">
        <f>IFERROR(IF(VLOOKUP($B127,casostestes[#Data],6)=0,"-",VLOOKUP($B127,casostestes[#Data],6)),"-")</f>
        <v>-</v>
      </c>
      <c r="I127" s="35" t="str">
        <f>IFERROR(IF(VLOOKUP($B127,casostestes[#Data],8)=0,"-",VLOOKUP($B127,casostestes[#Data],8)),"-")</f>
        <v>-</v>
      </c>
      <c r="J127" s="35" t="str">
        <f>IFERROR(IF(VLOOKUP($B127,casostestes[#Data],9)=0,"-",VLOOKUP($B127,casostestes[#Data],9)),"-")</f>
        <v>-</v>
      </c>
      <c r="K127" s="36"/>
      <c r="L127" s="45"/>
      <c r="M127" s="37"/>
      <c r="N127" s="38"/>
      <c r="O127" s="38"/>
      <c r="P127" s="39"/>
    </row>
    <row r="128" spans="2:16">
      <c r="B128" s="40" t="str">
        <f>IF(ISERR(casostestes[[#This Row],[ID]]),"-",casostestes[[#This Row],[ID]])</f>
        <v>-</v>
      </c>
      <c r="C128" s="34" t="str">
        <f>IFERROR(IF(VLOOKUP($B128,casostestes[#Data],10)=0,"Não",VLOOKUP($B128,casostestes[#Data],10)), "-")</f>
        <v>-</v>
      </c>
      <c r="D128" s="35" t="str">
        <f>IFERROR(IF(VLOOKUP($B128,casostestes[#Data],2)=0,"-",VLOOKUP($B128,casostestes[#Data],2)), "-")</f>
        <v>-</v>
      </c>
      <c r="E128" s="35" t="str">
        <f>IFERROR(IF(VLOOKUP($B128,casostestes[#Data],3)=0,"-",VLOOKUP($B128,casostestes[#Data],3)), "-")</f>
        <v>-</v>
      </c>
      <c r="F128" s="35" t="str">
        <f>IFERROR(IF(VLOOKUP($B128,casostestes[#Data],4)=0,"-",VLOOKUP($B128,casostestes[#Data],4)),"-")</f>
        <v>-</v>
      </c>
      <c r="G128" s="35" t="str">
        <f>IFERROR(IF(VLOOKUP($B128,casostestes[#Data],5)=0,"-",VLOOKUP($B128,casostestes[#Data],5)),"-")</f>
        <v>-</v>
      </c>
      <c r="H128" s="35" t="str">
        <f>IFERROR(IF(VLOOKUP($B128,casostestes[#Data],6)=0,"-",VLOOKUP($B128,casostestes[#Data],6)),"-")</f>
        <v>-</v>
      </c>
      <c r="I128" s="35" t="str">
        <f>IFERROR(IF(VLOOKUP($B128,casostestes[#Data],8)=0,"-",VLOOKUP($B128,casostestes[#Data],8)),"-")</f>
        <v>-</v>
      </c>
      <c r="J128" s="35" t="str">
        <f>IFERROR(IF(VLOOKUP($B128,casostestes[#Data],9)=0,"-",VLOOKUP($B128,casostestes[#Data],9)),"-")</f>
        <v>-</v>
      </c>
      <c r="K128" s="36"/>
      <c r="L128" s="45"/>
      <c r="M128" s="37"/>
      <c r="N128" s="38"/>
      <c r="O128" s="38"/>
      <c r="P128" s="39"/>
    </row>
    <row r="129" spans="2:16">
      <c r="B129" s="40" t="str">
        <f>IF(ISERR(casostestes[[#This Row],[ID]]),"-",casostestes[[#This Row],[ID]])</f>
        <v>-</v>
      </c>
      <c r="C129" s="34" t="str">
        <f>IFERROR(IF(VLOOKUP($B129,casostestes[#Data],10)=0,"Não",VLOOKUP($B129,casostestes[#Data],10)), "-")</f>
        <v>-</v>
      </c>
      <c r="D129" s="35" t="str">
        <f>IFERROR(IF(VLOOKUP($B129,casostestes[#Data],2)=0,"-",VLOOKUP($B129,casostestes[#Data],2)), "-")</f>
        <v>-</v>
      </c>
      <c r="E129" s="35" t="str">
        <f>IFERROR(IF(VLOOKUP($B129,casostestes[#Data],3)=0,"-",VLOOKUP($B129,casostestes[#Data],3)), "-")</f>
        <v>-</v>
      </c>
      <c r="F129" s="35" t="str">
        <f>IFERROR(IF(VLOOKUP($B129,casostestes[#Data],4)=0,"-",VLOOKUP($B129,casostestes[#Data],4)),"-")</f>
        <v>-</v>
      </c>
      <c r="G129" s="35" t="str">
        <f>IFERROR(IF(VLOOKUP($B129,casostestes[#Data],5)=0,"-",VLOOKUP($B129,casostestes[#Data],5)),"-")</f>
        <v>-</v>
      </c>
      <c r="H129" s="35" t="str">
        <f>IFERROR(IF(VLOOKUP($B129,casostestes[#Data],6)=0,"-",VLOOKUP($B129,casostestes[#Data],6)),"-")</f>
        <v>-</v>
      </c>
      <c r="I129" s="35" t="str">
        <f>IFERROR(IF(VLOOKUP($B129,casostestes[#Data],8)=0,"-",VLOOKUP($B129,casostestes[#Data],8)),"-")</f>
        <v>-</v>
      </c>
      <c r="J129" s="35" t="str">
        <f>IFERROR(IF(VLOOKUP($B129,casostestes[#Data],9)=0,"-",VLOOKUP($B129,casostestes[#Data],9)),"-")</f>
        <v>-</v>
      </c>
      <c r="K129" s="36"/>
      <c r="L129" s="45"/>
      <c r="M129" s="37"/>
      <c r="N129" s="38"/>
      <c r="O129" s="38"/>
      <c r="P129" s="39"/>
    </row>
    <row r="130" spans="2:16">
      <c r="B130" s="40" t="str">
        <f>IF(ISERR(casostestes[[#This Row],[ID]]),"-",casostestes[[#This Row],[ID]])</f>
        <v>-</v>
      </c>
      <c r="C130" s="34" t="str">
        <f>IFERROR(IF(VLOOKUP($B130,casostestes[#Data],10)=0,"Não",VLOOKUP($B130,casostestes[#Data],10)), "-")</f>
        <v>-</v>
      </c>
      <c r="D130" s="35" t="str">
        <f>IFERROR(IF(VLOOKUP($B130,casostestes[#Data],2)=0,"-",VLOOKUP($B130,casostestes[#Data],2)), "-")</f>
        <v>-</v>
      </c>
      <c r="E130" s="35" t="str">
        <f>IFERROR(IF(VLOOKUP($B130,casostestes[#Data],3)=0,"-",VLOOKUP($B130,casostestes[#Data],3)), "-")</f>
        <v>-</v>
      </c>
      <c r="F130" s="35" t="str">
        <f>IFERROR(IF(VLOOKUP($B130,casostestes[#Data],4)=0,"-",VLOOKUP($B130,casostestes[#Data],4)),"-")</f>
        <v>-</v>
      </c>
      <c r="G130" s="35" t="str">
        <f>IFERROR(IF(VLOOKUP($B130,casostestes[#Data],5)=0,"-",VLOOKUP($B130,casostestes[#Data],5)),"-")</f>
        <v>-</v>
      </c>
      <c r="H130" s="35" t="str">
        <f>IFERROR(IF(VLOOKUP($B130,casostestes[#Data],6)=0,"-",VLOOKUP($B130,casostestes[#Data],6)),"-")</f>
        <v>-</v>
      </c>
      <c r="I130" s="35" t="str">
        <f>IFERROR(IF(VLOOKUP($B130,casostestes[#Data],8)=0,"-",VLOOKUP($B130,casostestes[#Data],8)),"-")</f>
        <v>-</v>
      </c>
      <c r="J130" s="35" t="str">
        <f>IFERROR(IF(VLOOKUP($B130,casostestes[#Data],9)=0,"-",VLOOKUP($B130,casostestes[#Data],9)),"-")</f>
        <v>-</v>
      </c>
      <c r="K130" s="36"/>
      <c r="L130" s="45"/>
      <c r="M130" s="37"/>
      <c r="N130" s="38"/>
      <c r="O130" s="38"/>
      <c r="P130" s="39"/>
    </row>
    <row r="131" spans="2:16">
      <c r="B131" s="40" t="str">
        <f>IF(ISERR(casostestes[[#This Row],[ID]]),"-",casostestes[[#This Row],[ID]])</f>
        <v>-</v>
      </c>
      <c r="C131" s="34" t="str">
        <f>IFERROR(IF(VLOOKUP($B131,casostestes[#Data],10)=0,"Não",VLOOKUP($B131,casostestes[#Data],10)), "-")</f>
        <v>-</v>
      </c>
      <c r="D131" s="35" t="str">
        <f>IFERROR(IF(VLOOKUP($B131,casostestes[#Data],2)=0,"-",VLOOKUP($B131,casostestes[#Data],2)), "-")</f>
        <v>-</v>
      </c>
      <c r="E131" s="35" t="str">
        <f>IFERROR(IF(VLOOKUP($B131,casostestes[#Data],3)=0,"-",VLOOKUP($B131,casostestes[#Data],3)), "-")</f>
        <v>-</v>
      </c>
      <c r="F131" s="35" t="str">
        <f>IFERROR(IF(VLOOKUP($B131,casostestes[#Data],4)=0,"-",VLOOKUP($B131,casostestes[#Data],4)),"-")</f>
        <v>-</v>
      </c>
      <c r="G131" s="35" t="str">
        <f>IFERROR(IF(VLOOKUP($B131,casostestes[#Data],5)=0,"-",VLOOKUP($B131,casostestes[#Data],5)),"-")</f>
        <v>-</v>
      </c>
      <c r="H131" s="35" t="str">
        <f>IFERROR(IF(VLOOKUP($B131,casostestes[#Data],6)=0,"-",VLOOKUP($B131,casostestes[#Data],6)),"-")</f>
        <v>-</v>
      </c>
      <c r="I131" s="35" t="str">
        <f>IFERROR(IF(VLOOKUP($B131,casostestes[#Data],8)=0,"-",VLOOKUP($B131,casostestes[#Data],8)),"-")</f>
        <v>-</v>
      </c>
      <c r="J131" s="35" t="str">
        <f>IFERROR(IF(VLOOKUP($B131,casostestes[#Data],9)=0,"-",VLOOKUP($B131,casostestes[#Data],9)),"-")</f>
        <v>-</v>
      </c>
      <c r="K131" s="36"/>
      <c r="L131" s="45"/>
      <c r="M131" s="37"/>
      <c r="N131" s="38"/>
      <c r="O131" s="38"/>
      <c r="P131" s="39"/>
    </row>
    <row r="132" spans="2:16">
      <c r="B132" s="40" t="str">
        <f>IF(ISERR(casostestes[[#This Row],[ID]]),"-",casostestes[[#This Row],[ID]])</f>
        <v>-</v>
      </c>
      <c r="C132" s="34" t="str">
        <f>IFERROR(IF(VLOOKUP($B132,casostestes[#Data],10)=0,"Não",VLOOKUP($B132,casostestes[#Data],10)), "-")</f>
        <v>-</v>
      </c>
      <c r="D132" s="35" t="str">
        <f>IFERROR(IF(VLOOKUP($B132,casostestes[#Data],2)=0,"-",VLOOKUP($B132,casostestes[#Data],2)), "-")</f>
        <v>-</v>
      </c>
      <c r="E132" s="35" t="str">
        <f>IFERROR(IF(VLOOKUP($B132,casostestes[#Data],3)=0,"-",VLOOKUP($B132,casostestes[#Data],3)), "-")</f>
        <v>-</v>
      </c>
      <c r="F132" s="35" t="str">
        <f>IFERROR(IF(VLOOKUP($B132,casostestes[#Data],4)=0,"-",VLOOKUP($B132,casostestes[#Data],4)),"-")</f>
        <v>-</v>
      </c>
      <c r="G132" s="35" t="str">
        <f>IFERROR(IF(VLOOKUP($B132,casostestes[#Data],5)=0,"-",VLOOKUP($B132,casostestes[#Data],5)),"-")</f>
        <v>-</v>
      </c>
      <c r="H132" s="35" t="str">
        <f>IFERROR(IF(VLOOKUP($B132,casostestes[#Data],6)=0,"-",VLOOKUP($B132,casostestes[#Data],6)),"-")</f>
        <v>-</v>
      </c>
      <c r="I132" s="35" t="str">
        <f>IFERROR(IF(VLOOKUP($B132,casostestes[#Data],8)=0,"-",VLOOKUP($B132,casostestes[#Data],8)),"-")</f>
        <v>-</v>
      </c>
      <c r="J132" s="35" t="str">
        <f>IFERROR(IF(VLOOKUP($B132,casostestes[#Data],9)=0,"-",VLOOKUP($B132,casostestes[#Data],9)),"-")</f>
        <v>-</v>
      </c>
      <c r="K132" s="36"/>
      <c r="L132" s="45"/>
      <c r="M132" s="37"/>
      <c r="N132" s="38"/>
      <c r="O132" s="38"/>
      <c r="P132" s="39"/>
    </row>
    <row r="133" spans="2:16">
      <c r="B133" s="40" t="str">
        <f>IF(ISERR(casostestes[[#This Row],[ID]]),"-",casostestes[[#This Row],[ID]])</f>
        <v>-</v>
      </c>
      <c r="C133" s="34" t="str">
        <f>IFERROR(IF(VLOOKUP($B133,casostestes[#Data],10)=0,"Não",VLOOKUP($B133,casostestes[#Data],10)), "-")</f>
        <v>-</v>
      </c>
      <c r="D133" s="35" t="str">
        <f>IFERROR(IF(VLOOKUP($B133,casostestes[#Data],2)=0,"-",VLOOKUP($B133,casostestes[#Data],2)), "-")</f>
        <v>-</v>
      </c>
      <c r="E133" s="35" t="str">
        <f>IFERROR(IF(VLOOKUP($B133,casostestes[#Data],3)=0,"-",VLOOKUP($B133,casostestes[#Data],3)), "-")</f>
        <v>-</v>
      </c>
      <c r="F133" s="35" t="str">
        <f>IFERROR(IF(VLOOKUP($B133,casostestes[#Data],4)=0,"-",VLOOKUP($B133,casostestes[#Data],4)),"-")</f>
        <v>-</v>
      </c>
      <c r="G133" s="35" t="str">
        <f>IFERROR(IF(VLOOKUP($B133,casostestes[#Data],5)=0,"-",VLOOKUP($B133,casostestes[#Data],5)),"-")</f>
        <v>-</v>
      </c>
      <c r="H133" s="35" t="str">
        <f>IFERROR(IF(VLOOKUP($B133,casostestes[#Data],6)=0,"-",VLOOKUP($B133,casostestes[#Data],6)),"-")</f>
        <v>-</v>
      </c>
      <c r="I133" s="35" t="str">
        <f>IFERROR(IF(VLOOKUP($B133,casostestes[#Data],8)=0,"-",VLOOKUP($B133,casostestes[#Data],8)),"-")</f>
        <v>-</v>
      </c>
      <c r="J133" s="35" t="str">
        <f>IFERROR(IF(VLOOKUP($B133,casostestes[#Data],9)=0,"-",VLOOKUP($B133,casostestes[#Data],9)),"-")</f>
        <v>-</v>
      </c>
      <c r="K133" s="36"/>
      <c r="L133" s="45"/>
      <c r="M133" s="37"/>
      <c r="N133" s="38"/>
      <c r="O133" s="38"/>
      <c r="P133" s="39"/>
    </row>
    <row r="134" spans="2:16">
      <c r="B134" s="40" t="str">
        <f>IF(ISERR(casostestes[[#This Row],[ID]]),"-",casostestes[[#This Row],[ID]])</f>
        <v>-</v>
      </c>
      <c r="C134" s="34" t="str">
        <f>IFERROR(IF(VLOOKUP($B134,casostestes[#Data],10)=0,"Não",VLOOKUP($B134,casostestes[#Data],10)), "-")</f>
        <v>-</v>
      </c>
      <c r="D134" s="35" t="str">
        <f>IFERROR(IF(VLOOKUP($B134,casostestes[#Data],2)=0,"-",VLOOKUP($B134,casostestes[#Data],2)), "-")</f>
        <v>-</v>
      </c>
      <c r="E134" s="35" t="str">
        <f>IFERROR(IF(VLOOKUP($B134,casostestes[#Data],3)=0,"-",VLOOKUP($B134,casostestes[#Data],3)), "-")</f>
        <v>-</v>
      </c>
      <c r="F134" s="35" t="str">
        <f>IFERROR(IF(VLOOKUP($B134,casostestes[#Data],4)=0,"-",VLOOKUP($B134,casostestes[#Data],4)),"-")</f>
        <v>-</v>
      </c>
      <c r="G134" s="35" t="str">
        <f>IFERROR(IF(VLOOKUP($B134,casostestes[#Data],5)=0,"-",VLOOKUP($B134,casostestes[#Data],5)),"-")</f>
        <v>-</v>
      </c>
      <c r="H134" s="35" t="str">
        <f>IFERROR(IF(VLOOKUP($B134,casostestes[#Data],6)=0,"-",VLOOKUP($B134,casostestes[#Data],6)),"-")</f>
        <v>-</v>
      </c>
      <c r="I134" s="35" t="str">
        <f>IFERROR(IF(VLOOKUP($B134,casostestes[#Data],8)=0,"-",VLOOKUP($B134,casostestes[#Data],8)),"-")</f>
        <v>-</v>
      </c>
      <c r="J134" s="35" t="str">
        <f>IFERROR(IF(VLOOKUP($B134,casostestes[#Data],9)=0,"-",VLOOKUP($B134,casostestes[#Data],9)),"-")</f>
        <v>-</v>
      </c>
      <c r="K134" s="36"/>
      <c r="L134" s="45"/>
      <c r="M134" s="37"/>
      <c r="N134" s="38"/>
      <c r="O134" s="38"/>
      <c r="P134" s="39"/>
    </row>
    <row r="135" spans="2:16">
      <c r="B135" s="40" t="str">
        <f>IF(ISERR(casostestes[[#This Row],[ID]]),"-",casostestes[[#This Row],[ID]])</f>
        <v>-</v>
      </c>
      <c r="C135" s="34" t="str">
        <f>IFERROR(IF(VLOOKUP($B135,casostestes[#Data],10)=0,"Não",VLOOKUP($B135,casostestes[#Data],10)), "-")</f>
        <v>-</v>
      </c>
      <c r="D135" s="35" t="str">
        <f>IFERROR(IF(VLOOKUP($B135,casostestes[#Data],2)=0,"-",VLOOKUP($B135,casostestes[#Data],2)), "-")</f>
        <v>-</v>
      </c>
      <c r="E135" s="35" t="str">
        <f>IFERROR(IF(VLOOKUP($B135,casostestes[#Data],3)=0,"-",VLOOKUP($B135,casostestes[#Data],3)), "-")</f>
        <v>-</v>
      </c>
      <c r="F135" s="35" t="str">
        <f>IFERROR(IF(VLOOKUP($B135,casostestes[#Data],4)=0,"-",VLOOKUP($B135,casostestes[#Data],4)),"-")</f>
        <v>-</v>
      </c>
      <c r="G135" s="35" t="str">
        <f>IFERROR(IF(VLOOKUP($B135,casostestes[#Data],5)=0,"-",VLOOKUP($B135,casostestes[#Data],5)),"-")</f>
        <v>-</v>
      </c>
      <c r="H135" s="35" t="str">
        <f>IFERROR(IF(VLOOKUP($B135,casostestes[#Data],6)=0,"-",VLOOKUP($B135,casostestes[#Data],6)),"-")</f>
        <v>-</v>
      </c>
      <c r="I135" s="35" t="str">
        <f>IFERROR(IF(VLOOKUP($B135,casostestes[#Data],8)=0,"-",VLOOKUP($B135,casostestes[#Data],8)),"-")</f>
        <v>-</v>
      </c>
      <c r="J135" s="35" t="str">
        <f>IFERROR(IF(VLOOKUP($B135,casostestes[#Data],9)=0,"-",VLOOKUP($B135,casostestes[#Data],9)),"-")</f>
        <v>-</v>
      </c>
      <c r="K135" s="36"/>
      <c r="L135" s="45"/>
      <c r="M135" s="37"/>
      <c r="N135" s="38"/>
      <c r="O135" s="38"/>
      <c r="P135" s="39"/>
    </row>
    <row r="136" spans="2:16">
      <c r="B136" s="40" t="str">
        <f>IF(ISERR(casostestes[[#This Row],[ID]]),"-",casostestes[[#This Row],[ID]])</f>
        <v>-</v>
      </c>
      <c r="C136" s="34" t="str">
        <f>IFERROR(IF(VLOOKUP($B136,casostestes[#Data],10)=0,"Não",VLOOKUP($B136,casostestes[#Data],10)), "-")</f>
        <v>-</v>
      </c>
      <c r="D136" s="35" t="str">
        <f>IFERROR(IF(VLOOKUP($B136,casostestes[#Data],2)=0,"-",VLOOKUP($B136,casostestes[#Data],2)), "-")</f>
        <v>-</v>
      </c>
      <c r="E136" s="35" t="str">
        <f>IFERROR(IF(VLOOKUP($B136,casostestes[#Data],3)=0,"-",VLOOKUP($B136,casostestes[#Data],3)), "-")</f>
        <v>-</v>
      </c>
      <c r="F136" s="35" t="str">
        <f>IFERROR(IF(VLOOKUP($B136,casostestes[#Data],4)=0,"-",VLOOKUP($B136,casostestes[#Data],4)),"-")</f>
        <v>-</v>
      </c>
      <c r="G136" s="35" t="str">
        <f>IFERROR(IF(VLOOKUP($B136,casostestes[#Data],5)=0,"-",VLOOKUP($B136,casostestes[#Data],5)),"-")</f>
        <v>-</v>
      </c>
      <c r="H136" s="35" t="str">
        <f>IFERROR(IF(VLOOKUP($B136,casostestes[#Data],6)=0,"-",VLOOKUP($B136,casostestes[#Data],6)),"-")</f>
        <v>-</v>
      </c>
      <c r="I136" s="35" t="str">
        <f>IFERROR(IF(VLOOKUP($B136,casostestes[#Data],8)=0,"-",VLOOKUP($B136,casostestes[#Data],8)),"-")</f>
        <v>-</v>
      </c>
      <c r="J136" s="35" t="str">
        <f>IFERROR(IF(VLOOKUP($B136,casostestes[#Data],9)=0,"-",VLOOKUP($B136,casostestes[#Data],9)),"-")</f>
        <v>-</v>
      </c>
      <c r="K136" s="36"/>
      <c r="L136" s="45"/>
      <c r="M136" s="37"/>
      <c r="N136" s="38"/>
      <c r="O136" s="38"/>
      <c r="P136" s="39"/>
    </row>
    <row r="137" spans="2:16">
      <c r="B137" s="40" t="str">
        <f>IF(ISERR(casostestes[[#This Row],[ID]]),"-",casostestes[[#This Row],[ID]])</f>
        <v>-</v>
      </c>
      <c r="C137" s="34" t="str">
        <f>IFERROR(IF(VLOOKUP($B137,casostestes[#Data],10)=0,"Não",VLOOKUP($B137,casostestes[#Data],10)), "-")</f>
        <v>-</v>
      </c>
      <c r="D137" s="35" t="str">
        <f>IFERROR(IF(VLOOKUP($B137,casostestes[#Data],2)=0,"-",VLOOKUP($B137,casostestes[#Data],2)), "-")</f>
        <v>-</v>
      </c>
      <c r="E137" s="35" t="str">
        <f>IFERROR(IF(VLOOKUP($B137,casostestes[#Data],3)=0,"-",VLOOKUP($B137,casostestes[#Data],3)), "-")</f>
        <v>-</v>
      </c>
      <c r="F137" s="35" t="str">
        <f>IFERROR(IF(VLOOKUP($B137,casostestes[#Data],4)=0,"-",VLOOKUP($B137,casostestes[#Data],4)),"-")</f>
        <v>-</v>
      </c>
      <c r="G137" s="35" t="str">
        <f>IFERROR(IF(VLOOKUP($B137,casostestes[#Data],5)=0,"-",VLOOKUP($B137,casostestes[#Data],5)),"-")</f>
        <v>-</v>
      </c>
      <c r="H137" s="35" t="str">
        <f>IFERROR(IF(VLOOKUP($B137,casostestes[#Data],6)=0,"-",VLOOKUP($B137,casostestes[#Data],6)),"-")</f>
        <v>-</v>
      </c>
      <c r="I137" s="35" t="str">
        <f>IFERROR(IF(VLOOKUP($B137,casostestes[#Data],8)=0,"-",VLOOKUP($B137,casostestes[#Data],8)),"-")</f>
        <v>-</v>
      </c>
      <c r="J137" s="35" t="str">
        <f>IFERROR(IF(VLOOKUP($B137,casostestes[#Data],9)=0,"-",VLOOKUP($B137,casostestes[#Data],9)),"-")</f>
        <v>-</v>
      </c>
      <c r="K137" s="36"/>
      <c r="L137" s="45"/>
      <c r="M137" s="37"/>
      <c r="N137" s="38"/>
      <c r="O137" s="38"/>
      <c r="P137" s="39"/>
    </row>
    <row r="138" spans="2:16">
      <c r="B138" s="40" t="str">
        <f>IF(ISERR(casostestes[[#This Row],[ID]]),"-",casostestes[[#This Row],[ID]])</f>
        <v>-</v>
      </c>
      <c r="C138" s="34" t="str">
        <f>IFERROR(IF(VLOOKUP($B138,casostestes[#Data],10)=0,"Não",VLOOKUP($B138,casostestes[#Data],10)), "-")</f>
        <v>-</v>
      </c>
      <c r="D138" s="35" t="str">
        <f>IFERROR(IF(VLOOKUP($B138,casostestes[#Data],2)=0,"-",VLOOKUP($B138,casostestes[#Data],2)), "-")</f>
        <v>-</v>
      </c>
      <c r="E138" s="35" t="str">
        <f>IFERROR(IF(VLOOKUP($B138,casostestes[#Data],3)=0,"-",VLOOKUP($B138,casostestes[#Data],3)), "-")</f>
        <v>-</v>
      </c>
      <c r="F138" s="35" t="str">
        <f>IFERROR(IF(VLOOKUP($B138,casostestes[#Data],4)=0,"-",VLOOKUP($B138,casostestes[#Data],4)),"-")</f>
        <v>-</v>
      </c>
      <c r="G138" s="35" t="str">
        <f>IFERROR(IF(VLOOKUP($B138,casostestes[#Data],5)=0,"-",VLOOKUP($B138,casostestes[#Data],5)),"-")</f>
        <v>-</v>
      </c>
      <c r="H138" s="35" t="str">
        <f>IFERROR(IF(VLOOKUP($B138,casostestes[#Data],6)=0,"-",VLOOKUP($B138,casostestes[#Data],6)),"-")</f>
        <v>-</v>
      </c>
      <c r="I138" s="35" t="str">
        <f>IFERROR(IF(VLOOKUP($B138,casostestes[#Data],8)=0,"-",VLOOKUP($B138,casostestes[#Data],8)),"-")</f>
        <v>-</v>
      </c>
      <c r="J138" s="35" t="str">
        <f>IFERROR(IF(VLOOKUP($B138,casostestes[#Data],9)=0,"-",VLOOKUP($B138,casostestes[#Data],9)),"-")</f>
        <v>-</v>
      </c>
      <c r="K138" s="36"/>
      <c r="L138" s="45"/>
      <c r="M138" s="37"/>
      <c r="N138" s="38"/>
      <c r="O138" s="38"/>
      <c r="P138" s="39"/>
    </row>
    <row r="139" spans="2:16">
      <c r="B139" s="40" t="str">
        <f>IF(ISERR(casostestes[[#This Row],[ID]]),"-",casostestes[[#This Row],[ID]])</f>
        <v>-</v>
      </c>
      <c r="C139" s="34" t="str">
        <f>IFERROR(IF(VLOOKUP($B139,casostestes[#Data],10)=0,"Não",VLOOKUP($B139,casostestes[#Data],10)), "-")</f>
        <v>-</v>
      </c>
      <c r="D139" s="35" t="str">
        <f>IFERROR(IF(VLOOKUP($B139,casostestes[#Data],2)=0,"-",VLOOKUP($B139,casostestes[#Data],2)), "-")</f>
        <v>-</v>
      </c>
      <c r="E139" s="35" t="str">
        <f>IFERROR(IF(VLOOKUP($B139,casostestes[#Data],3)=0,"-",VLOOKUP($B139,casostestes[#Data],3)), "-")</f>
        <v>-</v>
      </c>
      <c r="F139" s="35" t="str">
        <f>IFERROR(IF(VLOOKUP($B139,casostestes[#Data],4)=0,"-",VLOOKUP($B139,casostestes[#Data],4)),"-")</f>
        <v>-</v>
      </c>
      <c r="G139" s="35" t="str">
        <f>IFERROR(IF(VLOOKUP($B139,casostestes[#Data],5)=0,"-",VLOOKUP($B139,casostestes[#Data],5)),"-")</f>
        <v>-</v>
      </c>
      <c r="H139" s="35" t="str">
        <f>IFERROR(IF(VLOOKUP($B139,casostestes[#Data],6)=0,"-",VLOOKUP($B139,casostestes[#Data],6)),"-")</f>
        <v>-</v>
      </c>
      <c r="I139" s="35" t="str">
        <f>IFERROR(IF(VLOOKUP($B139,casostestes[#Data],8)=0,"-",VLOOKUP($B139,casostestes[#Data],8)),"-")</f>
        <v>-</v>
      </c>
      <c r="J139" s="35" t="str">
        <f>IFERROR(IF(VLOOKUP($B139,casostestes[#Data],9)=0,"-",VLOOKUP($B139,casostestes[#Data],9)),"-")</f>
        <v>-</v>
      </c>
      <c r="K139" s="36"/>
      <c r="L139" s="45"/>
      <c r="M139" s="37"/>
      <c r="N139" s="38"/>
      <c r="O139" s="38"/>
      <c r="P139" s="39"/>
    </row>
    <row r="140" spans="2:16">
      <c r="B140" s="40" t="str">
        <f>IF(ISERR(casostestes[[#This Row],[ID]]),"-",casostestes[[#This Row],[ID]])</f>
        <v>-</v>
      </c>
      <c r="C140" s="34" t="str">
        <f>IFERROR(IF(VLOOKUP($B140,casostestes[#Data],10)=0,"Não",VLOOKUP($B140,casostestes[#Data],10)), "-")</f>
        <v>-</v>
      </c>
      <c r="D140" s="35" t="str">
        <f>IFERROR(IF(VLOOKUP($B140,casostestes[#Data],2)=0,"-",VLOOKUP($B140,casostestes[#Data],2)), "-")</f>
        <v>-</v>
      </c>
      <c r="E140" s="35" t="str">
        <f>IFERROR(IF(VLOOKUP($B140,casostestes[#Data],3)=0,"-",VLOOKUP($B140,casostestes[#Data],3)), "-")</f>
        <v>-</v>
      </c>
      <c r="F140" s="35" t="str">
        <f>IFERROR(IF(VLOOKUP($B140,casostestes[#Data],4)=0,"-",VLOOKUP($B140,casostestes[#Data],4)),"-")</f>
        <v>-</v>
      </c>
      <c r="G140" s="35" t="str">
        <f>IFERROR(IF(VLOOKUP($B140,casostestes[#Data],5)=0,"-",VLOOKUP($B140,casostestes[#Data],5)),"-")</f>
        <v>-</v>
      </c>
      <c r="H140" s="35" t="str">
        <f>IFERROR(IF(VLOOKUP($B140,casostestes[#Data],6)=0,"-",VLOOKUP($B140,casostestes[#Data],6)),"-")</f>
        <v>-</v>
      </c>
      <c r="I140" s="35" t="str">
        <f>IFERROR(IF(VLOOKUP($B140,casostestes[#Data],8)=0,"-",VLOOKUP($B140,casostestes[#Data],8)),"-")</f>
        <v>-</v>
      </c>
      <c r="J140" s="35" t="str">
        <f>IFERROR(IF(VLOOKUP($B140,casostestes[#Data],9)=0,"-",VLOOKUP($B140,casostestes[#Data],9)),"-")</f>
        <v>-</v>
      </c>
      <c r="K140" s="36"/>
      <c r="L140" s="45"/>
      <c r="M140" s="37"/>
      <c r="N140" s="38"/>
      <c r="O140" s="38"/>
      <c r="P140" s="39"/>
    </row>
    <row r="141" spans="2:16">
      <c r="B141" s="40" t="str">
        <f>IF(ISERR(casostestes[[#This Row],[ID]]),"-",casostestes[[#This Row],[ID]])</f>
        <v>-</v>
      </c>
      <c r="C141" s="34" t="str">
        <f>IFERROR(IF(VLOOKUP($B141,casostestes[#Data],10)=0,"Não",VLOOKUP($B141,casostestes[#Data],10)), "-")</f>
        <v>-</v>
      </c>
      <c r="D141" s="35" t="str">
        <f>IFERROR(IF(VLOOKUP($B141,casostestes[#Data],2)=0,"-",VLOOKUP($B141,casostestes[#Data],2)), "-")</f>
        <v>-</v>
      </c>
      <c r="E141" s="35" t="str">
        <f>IFERROR(IF(VLOOKUP($B141,casostestes[#Data],3)=0,"-",VLOOKUP($B141,casostestes[#Data],3)), "-")</f>
        <v>-</v>
      </c>
      <c r="F141" s="35" t="str">
        <f>IFERROR(IF(VLOOKUP($B141,casostestes[#Data],4)=0,"-",VLOOKUP($B141,casostestes[#Data],4)),"-")</f>
        <v>-</v>
      </c>
      <c r="G141" s="35" t="str">
        <f>IFERROR(IF(VLOOKUP($B141,casostestes[#Data],5)=0,"-",VLOOKUP($B141,casostestes[#Data],5)),"-")</f>
        <v>-</v>
      </c>
      <c r="H141" s="35" t="str">
        <f>IFERROR(IF(VLOOKUP($B141,casostestes[#Data],6)=0,"-",VLOOKUP($B141,casostestes[#Data],6)),"-")</f>
        <v>-</v>
      </c>
      <c r="I141" s="35" t="str">
        <f>IFERROR(IF(VLOOKUP($B141,casostestes[#Data],8)=0,"-",VLOOKUP($B141,casostestes[#Data],8)),"-")</f>
        <v>-</v>
      </c>
      <c r="J141" s="35" t="str">
        <f>IFERROR(IF(VLOOKUP($B141,casostestes[#Data],9)=0,"-",VLOOKUP($B141,casostestes[#Data],9)),"-")</f>
        <v>-</v>
      </c>
      <c r="K141" s="36"/>
      <c r="L141" s="45"/>
      <c r="M141" s="37"/>
      <c r="N141" s="38"/>
      <c r="O141" s="38"/>
      <c r="P141" s="39"/>
    </row>
    <row r="142" spans="2:16">
      <c r="B142" s="40" t="str">
        <f>IF(ISERR(casostestes[[#This Row],[ID]]),"-",casostestes[[#This Row],[ID]])</f>
        <v>-</v>
      </c>
      <c r="C142" s="34" t="str">
        <f>IFERROR(IF(VLOOKUP($B142,casostestes[#Data],10)=0,"Não",VLOOKUP($B142,casostestes[#Data],10)), "-")</f>
        <v>-</v>
      </c>
      <c r="D142" s="35" t="str">
        <f>IFERROR(IF(VLOOKUP($B142,casostestes[#Data],2)=0,"-",VLOOKUP($B142,casostestes[#Data],2)), "-")</f>
        <v>-</v>
      </c>
      <c r="E142" s="35" t="str">
        <f>IFERROR(IF(VLOOKUP($B142,casostestes[#Data],3)=0,"-",VLOOKUP($B142,casostestes[#Data],3)), "-")</f>
        <v>-</v>
      </c>
      <c r="F142" s="35" t="str">
        <f>IFERROR(IF(VLOOKUP($B142,casostestes[#Data],4)=0,"-",VLOOKUP($B142,casostestes[#Data],4)),"-")</f>
        <v>-</v>
      </c>
      <c r="G142" s="35" t="str">
        <f>IFERROR(IF(VLOOKUP($B142,casostestes[#Data],5)=0,"-",VLOOKUP($B142,casostestes[#Data],5)),"-")</f>
        <v>-</v>
      </c>
      <c r="H142" s="35" t="str">
        <f>IFERROR(IF(VLOOKUP($B142,casostestes[#Data],6)=0,"-",VLOOKUP($B142,casostestes[#Data],6)),"-")</f>
        <v>-</v>
      </c>
      <c r="I142" s="35" t="str">
        <f>IFERROR(IF(VLOOKUP($B142,casostestes[#Data],8)=0,"-",VLOOKUP($B142,casostestes[#Data],8)),"-")</f>
        <v>-</v>
      </c>
      <c r="J142" s="35" t="str">
        <f>IFERROR(IF(VLOOKUP($B142,casostestes[#Data],9)=0,"-",VLOOKUP($B142,casostestes[#Data],9)),"-")</f>
        <v>-</v>
      </c>
      <c r="K142" s="36"/>
      <c r="L142" s="45"/>
      <c r="M142" s="37"/>
      <c r="N142" s="38"/>
      <c r="O142" s="38"/>
      <c r="P142" s="39"/>
    </row>
    <row r="143" spans="2:16">
      <c r="B143" s="40" t="str">
        <f>IF(ISERR(casostestes[[#This Row],[ID]]),"-",casostestes[[#This Row],[ID]])</f>
        <v>-</v>
      </c>
      <c r="C143" s="34" t="str">
        <f>IFERROR(IF(VLOOKUP($B143,casostestes[#Data],10)=0,"Não",VLOOKUP($B143,casostestes[#Data],10)), "-")</f>
        <v>-</v>
      </c>
      <c r="D143" s="35" t="str">
        <f>IFERROR(IF(VLOOKUP($B143,casostestes[#Data],2)=0,"-",VLOOKUP($B143,casostestes[#Data],2)), "-")</f>
        <v>-</v>
      </c>
      <c r="E143" s="35" t="str">
        <f>IFERROR(IF(VLOOKUP($B143,casostestes[#Data],3)=0,"-",VLOOKUP($B143,casostestes[#Data],3)), "-")</f>
        <v>-</v>
      </c>
      <c r="F143" s="35" t="str">
        <f>IFERROR(IF(VLOOKUP($B143,casostestes[#Data],4)=0,"-",VLOOKUP($B143,casostestes[#Data],4)),"-")</f>
        <v>-</v>
      </c>
      <c r="G143" s="35" t="str">
        <f>IFERROR(IF(VLOOKUP($B143,casostestes[#Data],5)=0,"-",VLOOKUP($B143,casostestes[#Data],5)),"-")</f>
        <v>-</v>
      </c>
      <c r="H143" s="35" t="str">
        <f>IFERROR(IF(VLOOKUP($B143,casostestes[#Data],6)=0,"-",VLOOKUP($B143,casostestes[#Data],6)),"-")</f>
        <v>-</v>
      </c>
      <c r="I143" s="35" t="str">
        <f>IFERROR(IF(VLOOKUP($B143,casostestes[#Data],8)=0,"-",VLOOKUP($B143,casostestes[#Data],8)),"-")</f>
        <v>-</v>
      </c>
      <c r="J143" s="35" t="str">
        <f>IFERROR(IF(VLOOKUP($B143,casostestes[#Data],9)=0,"-",VLOOKUP($B143,casostestes[#Data],9)),"-")</f>
        <v>-</v>
      </c>
      <c r="K143" s="36"/>
      <c r="L143" s="45"/>
      <c r="M143" s="37"/>
      <c r="N143" s="38"/>
      <c r="O143" s="38"/>
      <c r="P143" s="39"/>
    </row>
    <row r="144" spans="2:16">
      <c r="B144" s="40" t="str">
        <f>IF(ISERR(casostestes[[#This Row],[ID]]),"-",casostestes[[#This Row],[ID]])</f>
        <v>-</v>
      </c>
      <c r="C144" s="34" t="str">
        <f>IFERROR(IF(VLOOKUP($B144,casostestes[#Data],10)=0,"Não",VLOOKUP($B144,casostestes[#Data],10)), "-")</f>
        <v>-</v>
      </c>
      <c r="D144" s="35" t="str">
        <f>IFERROR(IF(VLOOKUP($B144,casostestes[#Data],2)=0,"-",VLOOKUP($B144,casostestes[#Data],2)), "-")</f>
        <v>-</v>
      </c>
      <c r="E144" s="35" t="str">
        <f>IFERROR(IF(VLOOKUP($B144,casostestes[#Data],3)=0,"-",VLOOKUP($B144,casostestes[#Data],3)), "-")</f>
        <v>-</v>
      </c>
      <c r="F144" s="35" t="str">
        <f>IFERROR(IF(VLOOKUP($B144,casostestes[#Data],4)=0,"-",VLOOKUP($B144,casostestes[#Data],4)),"-")</f>
        <v>-</v>
      </c>
      <c r="G144" s="35" t="str">
        <f>IFERROR(IF(VLOOKUP($B144,casostestes[#Data],5)=0,"-",VLOOKUP($B144,casostestes[#Data],5)),"-")</f>
        <v>-</v>
      </c>
      <c r="H144" s="35" t="str">
        <f>IFERROR(IF(VLOOKUP($B144,casostestes[#Data],6)=0,"-",VLOOKUP($B144,casostestes[#Data],6)),"-")</f>
        <v>-</v>
      </c>
      <c r="I144" s="35" t="str">
        <f>IFERROR(IF(VLOOKUP($B144,casostestes[#Data],8)=0,"-",VLOOKUP($B144,casostestes[#Data],8)),"-")</f>
        <v>-</v>
      </c>
      <c r="J144" s="35" t="str">
        <f>IFERROR(IF(VLOOKUP($B144,casostestes[#Data],9)=0,"-",VLOOKUP($B144,casostestes[#Data],9)),"-")</f>
        <v>-</v>
      </c>
      <c r="K144" s="36"/>
      <c r="L144" s="45"/>
      <c r="M144" s="37"/>
      <c r="N144" s="38"/>
      <c r="O144" s="38"/>
      <c r="P144" s="39"/>
    </row>
    <row r="145" spans="2:16">
      <c r="B145" s="40" t="str">
        <f>IF(ISERR(casostestes[[#This Row],[ID]]),"-",casostestes[[#This Row],[ID]])</f>
        <v>-</v>
      </c>
      <c r="C145" s="34" t="str">
        <f>IFERROR(IF(VLOOKUP($B145,casostestes[#Data],10)=0,"Não",VLOOKUP($B145,casostestes[#Data],10)), "-")</f>
        <v>-</v>
      </c>
      <c r="D145" s="35" t="str">
        <f>IFERROR(IF(VLOOKUP($B145,casostestes[#Data],2)=0,"-",VLOOKUP($B145,casostestes[#Data],2)), "-")</f>
        <v>-</v>
      </c>
      <c r="E145" s="35" t="str">
        <f>IFERROR(IF(VLOOKUP($B145,casostestes[#Data],3)=0,"-",VLOOKUP($B145,casostestes[#Data],3)), "-")</f>
        <v>-</v>
      </c>
      <c r="F145" s="35" t="str">
        <f>IFERROR(IF(VLOOKUP($B145,casostestes[#Data],4)=0,"-",VLOOKUP($B145,casostestes[#Data],4)),"-")</f>
        <v>-</v>
      </c>
      <c r="G145" s="35" t="str">
        <f>IFERROR(IF(VLOOKUP($B145,casostestes[#Data],5)=0,"-",VLOOKUP($B145,casostestes[#Data],5)),"-")</f>
        <v>-</v>
      </c>
      <c r="H145" s="35" t="str">
        <f>IFERROR(IF(VLOOKUP($B145,casostestes[#Data],6)=0,"-",VLOOKUP($B145,casostestes[#Data],6)),"-")</f>
        <v>-</v>
      </c>
      <c r="I145" s="35" t="str">
        <f>IFERROR(IF(VLOOKUP($B145,casostestes[#Data],8)=0,"-",VLOOKUP($B145,casostestes[#Data],8)),"-")</f>
        <v>-</v>
      </c>
      <c r="J145" s="35" t="str">
        <f>IFERROR(IF(VLOOKUP($B145,casostestes[#Data],9)=0,"-",VLOOKUP($B145,casostestes[#Data],9)),"-")</f>
        <v>-</v>
      </c>
      <c r="K145" s="36"/>
      <c r="L145" s="45"/>
      <c r="M145" s="37"/>
      <c r="N145" s="38"/>
      <c r="O145" s="38"/>
      <c r="P145" s="39"/>
    </row>
    <row r="146" spans="2:16">
      <c r="B146" s="40" t="str">
        <f>IF(ISERR(casostestes[[#This Row],[ID]]),"-",casostestes[[#This Row],[ID]])</f>
        <v>-</v>
      </c>
      <c r="C146" s="34" t="str">
        <f>IFERROR(IF(VLOOKUP($B146,casostestes[#Data],10)=0,"Não",VLOOKUP($B146,casostestes[#Data],10)), "-")</f>
        <v>-</v>
      </c>
      <c r="D146" s="35" t="str">
        <f>IFERROR(IF(VLOOKUP($B146,casostestes[#Data],2)=0,"-",VLOOKUP($B146,casostestes[#Data],2)), "-")</f>
        <v>-</v>
      </c>
      <c r="E146" s="35" t="str">
        <f>IFERROR(IF(VLOOKUP($B146,casostestes[#Data],3)=0,"-",VLOOKUP($B146,casostestes[#Data],3)), "-")</f>
        <v>-</v>
      </c>
      <c r="F146" s="35" t="str">
        <f>IFERROR(IF(VLOOKUP($B146,casostestes[#Data],4)=0,"-",VLOOKUP($B146,casostestes[#Data],4)),"-")</f>
        <v>-</v>
      </c>
      <c r="G146" s="35" t="str">
        <f>IFERROR(IF(VLOOKUP($B146,casostestes[#Data],5)=0,"-",VLOOKUP($B146,casostestes[#Data],5)),"-")</f>
        <v>-</v>
      </c>
      <c r="H146" s="35" t="str">
        <f>IFERROR(IF(VLOOKUP($B146,casostestes[#Data],6)=0,"-",VLOOKUP($B146,casostestes[#Data],6)),"-")</f>
        <v>-</v>
      </c>
      <c r="I146" s="35" t="str">
        <f>IFERROR(IF(VLOOKUP($B146,casostestes[#Data],8)=0,"-",VLOOKUP($B146,casostestes[#Data],8)),"-")</f>
        <v>-</v>
      </c>
      <c r="J146" s="35" t="str">
        <f>IFERROR(IF(VLOOKUP($B146,casostestes[#Data],9)=0,"-",VLOOKUP($B146,casostestes[#Data],9)),"-")</f>
        <v>-</v>
      </c>
      <c r="K146" s="36"/>
      <c r="L146" s="45"/>
      <c r="M146" s="37"/>
      <c r="N146" s="38"/>
      <c r="O146" s="38"/>
      <c r="P146" s="39"/>
    </row>
    <row r="147" spans="2:16">
      <c r="B147" s="40" t="str">
        <f>IF(ISERR(casostestes[[#This Row],[ID]]),"-",casostestes[[#This Row],[ID]])</f>
        <v>-</v>
      </c>
      <c r="C147" s="34" t="str">
        <f>IFERROR(IF(VLOOKUP($B147,casostestes[#Data],10)=0,"Não",VLOOKUP($B147,casostestes[#Data],10)), "-")</f>
        <v>-</v>
      </c>
      <c r="D147" s="35" t="str">
        <f>IFERROR(IF(VLOOKUP($B147,casostestes[#Data],2)=0,"-",VLOOKUP($B147,casostestes[#Data],2)), "-")</f>
        <v>-</v>
      </c>
      <c r="E147" s="35" t="str">
        <f>IFERROR(IF(VLOOKUP($B147,casostestes[#Data],3)=0,"-",VLOOKUP($B147,casostestes[#Data],3)), "-")</f>
        <v>-</v>
      </c>
      <c r="F147" s="35" t="str">
        <f>IFERROR(IF(VLOOKUP($B147,casostestes[#Data],4)=0,"-",VLOOKUP($B147,casostestes[#Data],4)),"-")</f>
        <v>-</v>
      </c>
      <c r="G147" s="35" t="str">
        <f>IFERROR(IF(VLOOKUP($B147,casostestes[#Data],5)=0,"-",VLOOKUP($B147,casostestes[#Data],5)),"-")</f>
        <v>-</v>
      </c>
      <c r="H147" s="35" t="str">
        <f>IFERROR(IF(VLOOKUP($B147,casostestes[#Data],6)=0,"-",VLOOKUP($B147,casostestes[#Data],6)),"-")</f>
        <v>-</v>
      </c>
      <c r="I147" s="35" t="str">
        <f>IFERROR(IF(VLOOKUP($B147,casostestes[#Data],8)=0,"-",VLOOKUP($B147,casostestes[#Data],8)),"-")</f>
        <v>-</v>
      </c>
      <c r="J147" s="35" t="str">
        <f>IFERROR(IF(VLOOKUP($B147,casostestes[#Data],9)=0,"-",VLOOKUP($B147,casostestes[#Data],9)),"-")</f>
        <v>-</v>
      </c>
      <c r="K147" s="36"/>
      <c r="L147" s="45"/>
      <c r="M147" s="37"/>
      <c r="N147" s="38"/>
      <c r="O147" s="38"/>
      <c r="P147" s="39"/>
    </row>
    <row r="148" spans="2:16">
      <c r="B148" s="40" t="str">
        <f>IF(ISERR(casostestes[[#This Row],[ID]]),"-",casostestes[[#This Row],[ID]])</f>
        <v>-</v>
      </c>
      <c r="C148" s="34" t="str">
        <f>IFERROR(IF(VLOOKUP($B148,casostestes[#Data],10)=0,"Não",VLOOKUP($B148,casostestes[#Data],10)), "-")</f>
        <v>-</v>
      </c>
      <c r="D148" s="35" t="str">
        <f>IFERROR(IF(VLOOKUP($B148,casostestes[#Data],2)=0,"-",VLOOKUP($B148,casostestes[#Data],2)), "-")</f>
        <v>-</v>
      </c>
      <c r="E148" s="35" t="str">
        <f>IFERROR(IF(VLOOKUP($B148,casostestes[#Data],3)=0,"-",VLOOKUP($B148,casostestes[#Data],3)), "-")</f>
        <v>-</v>
      </c>
      <c r="F148" s="35" t="str">
        <f>IFERROR(IF(VLOOKUP($B148,casostestes[#Data],4)=0,"-",VLOOKUP($B148,casostestes[#Data],4)),"-")</f>
        <v>-</v>
      </c>
      <c r="G148" s="35" t="str">
        <f>IFERROR(IF(VLOOKUP($B148,casostestes[#Data],5)=0,"-",VLOOKUP($B148,casostestes[#Data],5)),"-")</f>
        <v>-</v>
      </c>
      <c r="H148" s="35" t="str">
        <f>IFERROR(IF(VLOOKUP($B148,casostestes[#Data],6)=0,"-",VLOOKUP($B148,casostestes[#Data],6)),"-")</f>
        <v>-</v>
      </c>
      <c r="I148" s="35" t="str">
        <f>IFERROR(IF(VLOOKUP($B148,casostestes[#Data],8)=0,"-",VLOOKUP($B148,casostestes[#Data],8)),"-")</f>
        <v>-</v>
      </c>
      <c r="J148" s="35" t="str">
        <f>IFERROR(IF(VLOOKUP($B148,casostestes[#Data],9)=0,"-",VLOOKUP($B148,casostestes[#Data],9)),"-")</f>
        <v>-</v>
      </c>
      <c r="K148" s="36"/>
      <c r="L148" s="45"/>
      <c r="M148" s="37"/>
      <c r="N148" s="38"/>
      <c r="O148" s="38"/>
      <c r="P148" s="39"/>
    </row>
    <row r="149" spans="2:16">
      <c r="B149" s="40" t="str">
        <f>IF(ISERR(casostestes[[#This Row],[ID]]),"-",casostestes[[#This Row],[ID]])</f>
        <v>-</v>
      </c>
      <c r="C149" s="34" t="str">
        <f>IFERROR(IF(VLOOKUP($B149,casostestes[#Data],10)=0,"Não",VLOOKUP($B149,casostestes[#Data],10)), "-")</f>
        <v>-</v>
      </c>
      <c r="D149" s="35" t="str">
        <f>IFERROR(IF(VLOOKUP($B149,casostestes[#Data],2)=0,"-",VLOOKUP($B149,casostestes[#Data],2)), "-")</f>
        <v>-</v>
      </c>
      <c r="E149" s="35" t="str">
        <f>IFERROR(IF(VLOOKUP($B149,casostestes[#Data],3)=0,"-",VLOOKUP($B149,casostestes[#Data],3)), "-")</f>
        <v>-</v>
      </c>
      <c r="F149" s="35" t="str">
        <f>IFERROR(IF(VLOOKUP($B149,casostestes[#Data],4)=0,"-",VLOOKUP($B149,casostestes[#Data],4)),"-")</f>
        <v>-</v>
      </c>
      <c r="G149" s="35" t="str">
        <f>IFERROR(IF(VLOOKUP($B149,casostestes[#Data],5)=0,"-",VLOOKUP($B149,casostestes[#Data],5)),"-")</f>
        <v>-</v>
      </c>
      <c r="H149" s="35" t="str">
        <f>IFERROR(IF(VLOOKUP($B149,casostestes[#Data],6)=0,"-",VLOOKUP($B149,casostestes[#Data],6)),"-")</f>
        <v>-</v>
      </c>
      <c r="I149" s="35" t="str">
        <f>IFERROR(IF(VLOOKUP($B149,casostestes[#Data],8)=0,"-",VLOOKUP($B149,casostestes[#Data],8)),"-")</f>
        <v>-</v>
      </c>
      <c r="J149" s="35" t="str">
        <f>IFERROR(IF(VLOOKUP($B149,casostestes[#Data],9)=0,"-",VLOOKUP($B149,casostestes[#Data],9)),"-")</f>
        <v>-</v>
      </c>
      <c r="K149" s="36"/>
      <c r="L149" s="45"/>
      <c r="M149" s="37"/>
      <c r="N149" s="38"/>
      <c r="O149" s="38"/>
      <c r="P149" s="39"/>
    </row>
    <row r="150" spans="2:16">
      <c r="B150" s="40" t="str">
        <f>IF(ISERR(casostestes[[#This Row],[ID]]),"-",casostestes[[#This Row],[ID]])</f>
        <v>-</v>
      </c>
      <c r="C150" s="34" t="str">
        <f>IFERROR(IF(VLOOKUP($B150,casostestes[#Data],10)=0,"Não",VLOOKUP($B150,casostestes[#Data],10)), "-")</f>
        <v>-</v>
      </c>
      <c r="D150" s="35" t="str">
        <f>IFERROR(IF(VLOOKUP($B150,casostestes[#Data],2)=0,"-",VLOOKUP($B150,casostestes[#Data],2)), "-")</f>
        <v>-</v>
      </c>
      <c r="E150" s="35" t="str">
        <f>IFERROR(IF(VLOOKUP($B150,casostestes[#Data],3)=0,"-",VLOOKUP($B150,casostestes[#Data],3)), "-")</f>
        <v>-</v>
      </c>
      <c r="F150" s="35" t="str">
        <f>IFERROR(IF(VLOOKUP($B150,casostestes[#Data],4)=0,"-",VLOOKUP($B150,casostestes[#Data],4)),"-")</f>
        <v>-</v>
      </c>
      <c r="G150" s="35" t="str">
        <f>IFERROR(IF(VLOOKUP($B150,casostestes[#Data],5)=0,"-",VLOOKUP($B150,casostestes[#Data],5)),"-")</f>
        <v>-</v>
      </c>
      <c r="H150" s="35" t="str">
        <f>IFERROR(IF(VLOOKUP($B150,casostestes[#Data],6)=0,"-",VLOOKUP($B150,casostestes[#Data],6)),"-")</f>
        <v>-</v>
      </c>
      <c r="I150" s="35" t="str">
        <f>IFERROR(IF(VLOOKUP($B150,casostestes[#Data],8)=0,"-",VLOOKUP($B150,casostestes[#Data],8)),"-")</f>
        <v>-</v>
      </c>
      <c r="J150" s="35" t="str">
        <f>IFERROR(IF(VLOOKUP($B150,casostestes[#Data],9)=0,"-",VLOOKUP($B150,casostestes[#Data],9)),"-")</f>
        <v>-</v>
      </c>
      <c r="K150" s="36"/>
      <c r="L150" s="45"/>
      <c r="M150" s="37"/>
      <c r="N150" s="38"/>
      <c r="O150" s="38"/>
      <c r="P150" s="39"/>
    </row>
    <row r="151" spans="2:16">
      <c r="B151" s="40" t="str">
        <f>IF(ISERR(casostestes[[#This Row],[ID]]),"-",casostestes[[#This Row],[ID]])</f>
        <v>-</v>
      </c>
      <c r="C151" s="34" t="str">
        <f>IFERROR(IF(VLOOKUP($B151,casostestes[#Data],10)=0,"Não",VLOOKUP($B151,casostestes[#Data],10)), "-")</f>
        <v>-</v>
      </c>
      <c r="D151" s="35" t="str">
        <f>IFERROR(IF(VLOOKUP($B151,casostestes[#Data],2)=0,"-",VLOOKUP($B151,casostestes[#Data],2)), "-")</f>
        <v>-</v>
      </c>
      <c r="E151" s="35" t="str">
        <f>IFERROR(IF(VLOOKUP($B151,casostestes[#Data],3)=0,"-",VLOOKUP($B151,casostestes[#Data],3)), "-")</f>
        <v>-</v>
      </c>
      <c r="F151" s="35" t="str">
        <f>IFERROR(IF(VLOOKUP($B151,casostestes[#Data],4)=0,"-",VLOOKUP($B151,casostestes[#Data],4)),"-")</f>
        <v>-</v>
      </c>
      <c r="G151" s="35" t="str">
        <f>IFERROR(IF(VLOOKUP($B151,casostestes[#Data],5)=0,"-",VLOOKUP($B151,casostestes[#Data],5)),"-")</f>
        <v>-</v>
      </c>
      <c r="H151" s="35" t="str">
        <f>IFERROR(IF(VLOOKUP($B151,casostestes[#Data],6)=0,"-",VLOOKUP($B151,casostestes[#Data],6)),"-")</f>
        <v>-</v>
      </c>
      <c r="I151" s="35" t="str">
        <f>IFERROR(IF(VLOOKUP($B151,casostestes[#Data],8)=0,"-",VLOOKUP($B151,casostestes[#Data],8)),"-")</f>
        <v>-</v>
      </c>
      <c r="J151" s="35" t="str">
        <f>IFERROR(IF(VLOOKUP($B151,casostestes[#Data],9)=0,"-",VLOOKUP($B151,casostestes[#Data],9)),"-")</f>
        <v>-</v>
      </c>
      <c r="K151" s="36"/>
      <c r="L151" s="45"/>
      <c r="M151" s="37"/>
      <c r="N151" s="38"/>
      <c r="O151" s="38"/>
      <c r="P151" s="39"/>
    </row>
    <row r="152" spans="2:16">
      <c r="B152" s="40" t="str">
        <f>IF(ISERR(casostestes[[#This Row],[ID]]),"-",casostestes[[#This Row],[ID]])</f>
        <v>-</v>
      </c>
      <c r="C152" s="34" t="str">
        <f>IFERROR(IF(VLOOKUP($B152,casostestes[#Data],10)=0,"Não",VLOOKUP($B152,casostestes[#Data],10)), "-")</f>
        <v>-</v>
      </c>
      <c r="D152" s="35" t="str">
        <f>IFERROR(IF(VLOOKUP($B152,casostestes[#Data],2)=0,"-",VLOOKUP($B152,casostestes[#Data],2)), "-")</f>
        <v>-</v>
      </c>
      <c r="E152" s="35" t="str">
        <f>IFERROR(IF(VLOOKUP($B152,casostestes[#Data],3)=0,"-",VLOOKUP($B152,casostestes[#Data],3)), "-")</f>
        <v>-</v>
      </c>
      <c r="F152" s="35" t="str">
        <f>IFERROR(IF(VLOOKUP($B152,casostestes[#Data],4)=0,"-",VLOOKUP($B152,casostestes[#Data],4)),"-")</f>
        <v>-</v>
      </c>
      <c r="G152" s="35" t="str">
        <f>IFERROR(IF(VLOOKUP($B152,casostestes[#Data],5)=0,"-",VLOOKUP($B152,casostestes[#Data],5)),"-")</f>
        <v>-</v>
      </c>
      <c r="H152" s="35" t="str">
        <f>IFERROR(IF(VLOOKUP($B152,casostestes[#Data],6)=0,"-",VLOOKUP($B152,casostestes[#Data],6)),"-")</f>
        <v>-</v>
      </c>
      <c r="I152" s="35" t="str">
        <f>IFERROR(IF(VLOOKUP($B152,casostestes[#Data],8)=0,"-",VLOOKUP($B152,casostestes[#Data],8)),"-")</f>
        <v>-</v>
      </c>
      <c r="J152" s="35" t="str">
        <f>IFERROR(IF(VLOOKUP($B152,casostestes[#Data],9)=0,"-",VLOOKUP($B152,casostestes[#Data],9)),"-")</f>
        <v>-</v>
      </c>
      <c r="K152" s="36"/>
      <c r="L152" s="45"/>
      <c r="M152" s="37"/>
      <c r="N152" s="38"/>
      <c r="O152" s="38"/>
      <c r="P152" s="39"/>
    </row>
    <row r="153" spans="2:16">
      <c r="B153" s="40" t="str">
        <f>IF(ISERR(casostestes[[#This Row],[ID]]),"-",casostestes[[#This Row],[ID]])</f>
        <v>-</v>
      </c>
      <c r="C153" s="34" t="str">
        <f>IFERROR(IF(VLOOKUP($B153,casostestes[#Data],10)=0,"Não",VLOOKUP($B153,casostestes[#Data],10)), "-")</f>
        <v>-</v>
      </c>
      <c r="D153" s="35" t="str">
        <f>IFERROR(IF(VLOOKUP($B153,casostestes[#Data],2)=0,"-",VLOOKUP($B153,casostestes[#Data],2)), "-")</f>
        <v>-</v>
      </c>
      <c r="E153" s="35" t="str">
        <f>IFERROR(IF(VLOOKUP($B153,casostestes[#Data],3)=0,"-",VLOOKUP($B153,casostestes[#Data],3)), "-")</f>
        <v>-</v>
      </c>
      <c r="F153" s="35" t="str">
        <f>IFERROR(IF(VLOOKUP($B153,casostestes[#Data],4)=0,"-",VLOOKUP($B153,casostestes[#Data],4)),"-")</f>
        <v>-</v>
      </c>
      <c r="G153" s="35" t="str">
        <f>IFERROR(IF(VLOOKUP($B153,casostestes[#Data],5)=0,"-",VLOOKUP($B153,casostestes[#Data],5)),"-")</f>
        <v>-</v>
      </c>
      <c r="H153" s="35" t="str">
        <f>IFERROR(IF(VLOOKUP($B153,casostestes[#Data],6)=0,"-",VLOOKUP($B153,casostestes[#Data],6)),"-")</f>
        <v>-</v>
      </c>
      <c r="I153" s="35" t="str">
        <f>IFERROR(IF(VLOOKUP($B153,casostestes[#Data],8)=0,"-",VLOOKUP($B153,casostestes[#Data],8)),"-")</f>
        <v>-</v>
      </c>
      <c r="J153" s="35" t="str">
        <f>IFERROR(IF(VLOOKUP($B153,casostestes[#Data],9)=0,"-",VLOOKUP($B153,casostestes[#Data],9)),"-")</f>
        <v>-</v>
      </c>
      <c r="K153" s="36"/>
      <c r="L153" s="45"/>
      <c r="M153" s="37"/>
      <c r="N153" s="38"/>
      <c r="O153" s="38"/>
      <c r="P153" s="39"/>
    </row>
    <row r="154" spans="2:16">
      <c r="B154" s="40" t="str">
        <f>IF(ISERR(casostestes[[#This Row],[ID]]),"-",casostestes[[#This Row],[ID]])</f>
        <v>-</v>
      </c>
      <c r="C154" s="34" t="str">
        <f>IFERROR(IF(VLOOKUP($B154,casostestes[#Data],10)=0,"Não",VLOOKUP($B154,casostestes[#Data],10)), "-")</f>
        <v>-</v>
      </c>
      <c r="D154" s="35" t="str">
        <f>IFERROR(IF(VLOOKUP($B154,casostestes[#Data],2)=0,"-",VLOOKUP($B154,casostestes[#Data],2)), "-")</f>
        <v>-</v>
      </c>
      <c r="E154" s="35" t="str">
        <f>IFERROR(IF(VLOOKUP($B154,casostestes[#Data],3)=0,"-",VLOOKUP($B154,casostestes[#Data],3)), "-")</f>
        <v>-</v>
      </c>
      <c r="F154" s="35" t="str">
        <f>IFERROR(IF(VLOOKUP($B154,casostestes[#Data],4)=0,"-",VLOOKUP($B154,casostestes[#Data],4)),"-")</f>
        <v>-</v>
      </c>
      <c r="G154" s="35" t="str">
        <f>IFERROR(IF(VLOOKUP($B154,casostestes[#Data],5)=0,"-",VLOOKUP($B154,casostestes[#Data],5)),"-")</f>
        <v>-</v>
      </c>
      <c r="H154" s="35" t="str">
        <f>IFERROR(IF(VLOOKUP($B154,casostestes[#Data],6)=0,"-",VLOOKUP($B154,casostestes[#Data],6)),"-")</f>
        <v>-</v>
      </c>
      <c r="I154" s="35" t="str">
        <f>IFERROR(IF(VLOOKUP($B154,casostestes[#Data],8)=0,"-",VLOOKUP($B154,casostestes[#Data],8)),"-")</f>
        <v>-</v>
      </c>
      <c r="J154" s="35" t="str">
        <f>IFERROR(IF(VLOOKUP($B154,casostestes[#Data],9)=0,"-",VLOOKUP($B154,casostestes[#Data],9)),"-")</f>
        <v>-</v>
      </c>
      <c r="K154" s="36"/>
      <c r="L154" s="45"/>
      <c r="M154" s="37"/>
      <c r="N154" s="38"/>
      <c r="O154" s="38"/>
      <c r="P154" s="39"/>
    </row>
    <row r="155" spans="2:16">
      <c r="B155" s="40" t="str">
        <f>IF(ISERR(casostestes[[#This Row],[ID]]),"-",casostestes[[#This Row],[ID]])</f>
        <v>-</v>
      </c>
      <c r="C155" s="34" t="str">
        <f>IFERROR(IF(VLOOKUP($B155,casostestes[#Data],10)=0,"Não",VLOOKUP($B155,casostestes[#Data],10)), "-")</f>
        <v>-</v>
      </c>
      <c r="D155" s="35" t="str">
        <f>IFERROR(IF(VLOOKUP($B155,casostestes[#Data],2)=0,"-",VLOOKUP($B155,casostestes[#Data],2)), "-")</f>
        <v>-</v>
      </c>
      <c r="E155" s="35" t="str">
        <f>IFERROR(IF(VLOOKUP($B155,casostestes[#Data],3)=0,"-",VLOOKUP($B155,casostestes[#Data],3)), "-")</f>
        <v>-</v>
      </c>
      <c r="F155" s="35" t="str">
        <f>IFERROR(IF(VLOOKUP($B155,casostestes[#Data],4)=0,"-",VLOOKUP($B155,casostestes[#Data],4)),"-")</f>
        <v>-</v>
      </c>
      <c r="G155" s="35" t="str">
        <f>IFERROR(IF(VLOOKUP($B155,casostestes[#Data],5)=0,"-",VLOOKUP($B155,casostestes[#Data],5)),"-")</f>
        <v>-</v>
      </c>
      <c r="H155" s="35" t="str">
        <f>IFERROR(IF(VLOOKUP($B155,casostestes[#Data],6)=0,"-",VLOOKUP($B155,casostestes[#Data],6)),"-")</f>
        <v>-</v>
      </c>
      <c r="I155" s="35" t="str">
        <f>IFERROR(IF(VLOOKUP($B155,casostestes[#Data],8)=0,"-",VLOOKUP($B155,casostestes[#Data],8)),"-")</f>
        <v>-</v>
      </c>
      <c r="J155" s="35" t="str">
        <f>IFERROR(IF(VLOOKUP($B155,casostestes[#Data],9)=0,"-",VLOOKUP($B155,casostestes[#Data],9)),"-")</f>
        <v>-</v>
      </c>
      <c r="K155" s="36"/>
      <c r="L155" s="45"/>
      <c r="M155" s="37"/>
      <c r="N155" s="38"/>
      <c r="O155" s="38"/>
      <c r="P155" s="39"/>
    </row>
    <row r="156" spans="2:16">
      <c r="B156" s="40" t="str">
        <f>IF(ISERR(casostestes[[#This Row],[ID]]),"-",casostestes[[#This Row],[ID]])</f>
        <v>-</v>
      </c>
      <c r="C156" s="34" t="str">
        <f>IFERROR(IF(VLOOKUP($B156,casostestes[#Data],10)=0,"Não",VLOOKUP($B156,casostestes[#Data],10)), "-")</f>
        <v>-</v>
      </c>
      <c r="D156" s="35" t="str">
        <f>IFERROR(IF(VLOOKUP($B156,casostestes[#Data],2)=0,"-",VLOOKUP($B156,casostestes[#Data],2)), "-")</f>
        <v>-</v>
      </c>
      <c r="E156" s="35" t="str">
        <f>IFERROR(IF(VLOOKUP($B156,casostestes[#Data],3)=0,"-",VLOOKUP($B156,casostestes[#Data],3)), "-")</f>
        <v>-</v>
      </c>
      <c r="F156" s="35" t="str">
        <f>IFERROR(IF(VLOOKUP($B156,casostestes[#Data],4)=0,"-",VLOOKUP($B156,casostestes[#Data],4)),"-")</f>
        <v>-</v>
      </c>
      <c r="G156" s="35" t="str">
        <f>IFERROR(IF(VLOOKUP($B156,casostestes[#Data],5)=0,"-",VLOOKUP($B156,casostestes[#Data],5)),"-")</f>
        <v>-</v>
      </c>
      <c r="H156" s="35" t="str">
        <f>IFERROR(IF(VLOOKUP($B156,casostestes[#Data],6)=0,"-",VLOOKUP($B156,casostestes[#Data],6)),"-")</f>
        <v>-</v>
      </c>
      <c r="I156" s="35" t="str">
        <f>IFERROR(IF(VLOOKUP($B156,casostestes[#Data],8)=0,"-",VLOOKUP($B156,casostestes[#Data],8)),"-")</f>
        <v>-</v>
      </c>
      <c r="J156" s="35" t="str">
        <f>IFERROR(IF(VLOOKUP($B156,casostestes[#Data],9)=0,"-",VLOOKUP($B156,casostestes[#Data],9)),"-")</f>
        <v>-</v>
      </c>
      <c r="K156" s="36"/>
      <c r="L156" s="45"/>
      <c r="M156" s="37"/>
      <c r="N156" s="38"/>
      <c r="O156" s="38"/>
      <c r="P156" s="39"/>
    </row>
    <row r="157" spans="2:16">
      <c r="B157" s="40" t="str">
        <f>IF(ISERR(casostestes[[#This Row],[ID]]),"-",casostestes[[#This Row],[ID]])</f>
        <v>-</v>
      </c>
      <c r="C157" s="34" t="str">
        <f>IFERROR(IF(VLOOKUP($B157,casostestes[#Data],10)=0,"Não",VLOOKUP($B157,casostestes[#Data],10)), "-")</f>
        <v>-</v>
      </c>
      <c r="D157" s="35" t="str">
        <f>IFERROR(IF(VLOOKUP($B157,casostestes[#Data],2)=0,"-",VLOOKUP($B157,casostestes[#Data],2)), "-")</f>
        <v>-</v>
      </c>
      <c r="E157" s="35" t="str">
        <f>IFERROR(IF(VLOOKUP($B157,casostestes[#Data],3)=0,"-",VLOOKUP($B157,casostestes[#Data],3)), "-")</f>
        <v>-</v>
      </c>
      <c r="F157" s="35" t="str">
        <f>IFERROR(IF(VLOOKUP($B157,casostestes[#Data],4)=0,"-",VLOOKUP($B157,casostestes[#Data],4)),"-")</f>
        <v>-</v>
      </c>
      <c r="G157" s="35" t="str">
        <f>IFERROR(IF(VLOOKUP($B157,casostestes[#Data],5)=0,"-",VLOOKUP($B157,casostestes[#Data],5)),"-")</f>
        <v>-</v>
      </c>
      <c r="H157" s="35" t="str">
        <f>IFERROR(IF(VLOOKUP($B157,casostestes[#Data],6)=0,"-",VLOOKUP($B157,casostestes[#Data],6)),"-")</f>
        <v>-</v>
      </c>
      <c r="I157" s="35" t="str">
        <f>IFERROR(IF(VLOOKUP($B157,casostestes[#Data],8)=0,"-",VLOOKUP($B157,casostestes[#Data],8)),"-")</f>
        <v>-</v>
      </c>
      <c r="J157" s="35" t="str">
        <f>IFERROR(IF(VLOOKUP($B157,casostestes[#Data],9)=0,"-",VLOOKUP($B157,casostestes[#Data],9)),"-")</f>
        <v>-</v>
      </c>
      <c r="K157" s="36"/>
      <c r="L157" s="45"/>
      <c r="M157" s="37"/>
      <c r="N157" s="38"/>
      <c r="O157" s="38"/>
      <c r="P157" s="39"/>
    </row>
    <row r="158" spans="2:16">
      <c r="B158" s="40" t="str">
        <f>IF(ISERR(casostestes[[#This Row],[ID]]),"-",casostestes[[#This Row],[ID]])</f>
        <v>-</v>
      </c>
      <c r="C158" s="34" t="str">
        <f>IFERROR(IF(VLOOKUP($B158,casostestes[#Data],10)=0,"Não",VLOOKUP($B158,casostestes[#Data],10)), "-")</f>
        <v>-</v>
      </c>
      <c r="D158" s="35" t="str">
        <f>IFERROR(IF(VLOOKUP($B158,casostestes[#Data],2)=0,"-",VLOOKUP($B158,casostestes[#Data],2)), "-")</f>
        <v>-</v>
      </c>
      <c r="E158" s="35" t="str">
        <f>IFERROR(IF(VLOOKUP($B158,casostestes[#Data],3)=0,"-",VLOOKUP($B158,casostestes[#Data],3)), "-")</f>
        <v>-</v>
      </c>
      <c r="F158" s="35" t="str">
        <f>IFERROR(IF(VLOOKUP($B158,casostestes[#Data],4)=0,"-",VLOOKUP($B158,casostestes[#Data],4)),"-")</f>
        <v>-</v>
      </c>
      <c r="G158" s="35" t="str">
        <f>IFERROR(IF(VLOOKUP($B158,casostestes[#Data],5)=0,"-",VLOOKUP($B158,casostestes[#Data],5)),"-")</f>
        <v>-</v>
      </c>
      <c r="H158" s="35" t="str">
        <f>IFERROR(IF(VLOOKUP($B158,casostestes[#Data],6)=0,"-",VLOOKUP($B158,casostestes[#Data],6)),"-")</f>
        <v>-</v>
      </c>
      <c r="I158" s="35" t="str">
        <f>IFERROR(IF(VLOOKUP($B158,casostestes[#Data],8)=0,"-",VLOOKUP($B158,casostestes[#Data],8)),"-")</f>
        <v>-</v>
      </c>
      <c r="J158" s="35" t="str">
        <f>IFERROR(IF(VLOOKUP($B158,casostestes[#Data],9)=0,"-",VLOOKUP($B158,casostestes[#Data],9)),"-")</f>
        <v>-</v>
      </c>
      <c r="K158" s="36"/>
      <c r="L158" s="45"/>
      <c r="M158" s="37"/>
      <c r="N158" s="38"/>
      <c r="O158" s="38"/>
      <c r="P158" s="39"/>
    </row>
    <row r="159" spans="2:16">
      <c r="B159" s="40" t="str">
        <f>IF(ISERR(casostestes[[#This Row],[ID]]),"-",casostestes[[#This Row],[ID]])</f>
        <v>-</v>
      </c>
      <c r="C159" s="34" t="str">
        <f>IFERROR(IF(VLOOKUP($B159,casostestes[#Data],10)=0,"Não",VLOOKUP($B159,casostestes[#Data],10)), "-")</f>
        <v>-</v>
      </c>
      <c r="D159" s="35" t="str">
        <f>IFERROR(IF(VLOOKUP($B159,casostestes[#Data],2)=0,"-",VLOOKUP($B159,casostestes[#Data],2)), "-")</f>
        <v>-</v>
      </c>
      <c r="E159" s="35" t="str">
        <f>IFERROR(IF(VLOOKUP($B159,casostestes[#Data],3)=0,"-",VLOOKUP($B159,casostestes[#Data],3)), "-")</f>
        <v>-</v>
      </c>
      <c r="F159" s="35" t="str">
        <f>IFERROR(IF(VLOOKUP($B159,casostestes[#Data],4)=0,"-",VLOOKUP($B159,casostestes[#Data],4)),"-")</f>
        <v>-</v>
      </c>
      <c r="G159" s="35" t="str">
        <f>IFERROR(IF(VLOOKUP($B159,casostestes[#Data],5)=0,"-",VLOOKUP($B159,casostestes[#Data],5)),"-")</f>
        <v>-</v>
      </c>
      <c r="H159" s="35" t="str">
        <f>IFERROR(IF(VLOOKUP($B159,casostestes[#Data],6)=0,"-",VLOOKUP($B159,casostestes[#Data],6)),"-")</f>
        <v>-</v>
      </c>
      <c r="I159" s="35" t="str">
        <f>IFERROR(IF(VLOOKUP($B159,casostestes[#Data],8)=0,"-",VLOOKUP($B159,casostestes[#Data],8)),"-")</f>
        <v>-</v>
      </c>
      <c r="J159" s="35" t="str">
        <f>IFERROR(IF(VLOOKUP($B159,casostestes[#Data],9)=0,"-",VLOOKUP($B159,casostestes[#Data],9)),"-")</f>
        <v>-</v>
      </c>
      <c r="K159" s="36"/>
      <c r="L159" s="45"/>
      <c r="M159" s="37"/>
      <c r="N159" s="38"/>
      <c r="O159" s="38"/>
      <c r="P159" s="39"/>
    </row>
    <row r="160" spans="2:16">
      <c r="B160" s="40" t="str">
        <f>IF(ISERR(casostestes[[#This Row],[ID]]),"-",casostestes[[#This Row],[ID]])</f>
        <v>-</v>
      </c>
      <c r="C160" s="34" t="str">
        <f>IFERROR(IF(VLOOKUP($B160,casostestes[#Data],10)=0,"Não",VLOOKUP($B160,casostestes[#Data],10)), "-")</f>
        <v>-</v>
      </c>
      <c r="D160" s="35" t="str">
        <f>IFERROR(IF(VLOOKUP($B160,casostestes[#Data],2)=0,"-",VLOOKUP($B160,casostestes[#Data],2)), "-")</f>
        <v>-</v>
      </c>
      <c r="E160" s="35" t="str">
        <f>IFERROR(IF(VLOOKUP($B160,casostestes[#Data],3)=0,"-",VLOOKUP($B160,casostestes[#Data],3)), "-")</f>
        <v>-</v>
      </c>
      <c r="F160" s="35" t="str">
        <f>IFERROR(IF(VLOOKUP($B160,casostestes[#Data],4)=0,"-",VLOOKUP($B160,casostestes[#Data],4)),"-")</f>
        <v>-</v>
      </c>
      <c r="G160" s="35" t="str">
        <f>IFERROR(IF(VLOOKUP($B160,casostestes[#Data],5)=0,"-",VLOOKUP($B160,casostestes[#Data],5)),"-")</f>
        <v>-</v>
      </c>
      <c r="H160" s="35" t="str">
        <f>IFERROR(IF(VLOOKUP($B160,casostestes[#Data],6)=0,"-",VLOOKUP($B160,casostestes[#Data],6)),"-")</f>
        <v>-</v>
      </c>
      <c r="I160" s="35" t="str">
        <f>IFERROR(IF(VLOOKUP($B160,casostestes[#Data],8)=0,"-",VLOOKUP($B160,casostestes[#Data],8)),"-")</f>
        <v>-</v>
      </c>
      <c r="J160" s="35" t="str">
        <f>IFERROR(IF(VLOOKUP($B160,casostestes[#Data],9)=0,"-",VLOOKUP($B160,casostestes[#Data],9)),"-")</f>
        <v>-</v>
      </c>
      <c r="K160" s="36"/>
      <c r="L160" s="45"/>
      <c r="M160" s="37"/>
      <c r="N160" s="38"/>
      <c r="O160" s="38"/>
      <c r="P160" s="39"/>
    </row>
    <row r="161" spans="2:16">
      <c r="B161" s="40" t="str">
        <f>IF(ISERR(casostestes[[#This Row],[ID]]),"-",casostestes[[#This Row],[ID]])</f>
        <v>-</v>
      </c>
      <c r="C161" s="34" t="str">
        <f>IFERROR(IF(VLOOKUP($B161,casostestes[#Data],10)=0,"Não",VLOOKUP($B161,casostestes[#Data],10)), "-")</f>
        <v>-</v>
      </c>
      <c r="D161" s="35" t="str">
        <f>IFERROR(IF(VLOOKUP($B161,casostestes[#Data],2)=0,"-",VLOOKUP($B161,casostestes[#Data],2)), "-")</f>
        <v>-</v>
      </c>
      <c r="E161" s="35" t="str">
        <f>IFERROR(IF(VLOOKUP($B161,casostestes[#Data],3)=0,"-",VLOOKUP($B161,casostestes[#Data],3)), "-")</f>
        <v>-</v>
      </c>
      <c r="F161" s="35" t="str">
        <f>IFERROR(IF(VLOOKUP($B161,casostestes[#Data],4)=0,"-",VLOOKUP($B161,casostestes[#Data],4)),"-")</f>
        <v>-</v>
      </c>
      <c r="G161" s="35" t="str">
        <f>IFERROR(IF(VLOOKUP($B161,casostestes[#Data],5)=0,"-",VLOOKUP($B161,casostestes[#Data],5)),"-")</f>
        <v>-</v>
      </c>
      <c r="H161" s="35" t="str">
        <f>IFERROR(IF(VLOOKUP($B161,casostestes[#Data],6)=0,"-",VLOOKUP($B161,casostestes[#Data],6)),"-")</f>
        <v>-</v>
      </c>
      <c r="I161" s="35" t="str">
        <f>IFERROR(IF(VLOOKUP($B161,casostestes[#Data],8)=0,"-",VLOOKUP($B161,casostestes[#Data],8)),"-")</f>
        <v>-</v>
      </c>
      <c r="J161" s="35" t="str">
        <f>IFERROR(IF(VLOOKUP($B161,casostestes[#Data],9)=0,"-",VLOOKUP($B161,casostestes[#Data],9)),"-")</f>
        <v>-</v>
      </c>
      <c r="K161" s="36"/>
      <c r="L161" s="45"/>
      <c r="M161" s="37"/>
      <c r="N161" s="38"/>
      <c r="O161" s="38"/>
      <c r="P161" s="39"/>
    </row>
    <row r="162" spans="2:16">
      <c r="B162" s="40" t="str">
        <f>IF(ISERR(casostestes[[#This Row],[ID]]),"-",casostestes[[#This Row],[ID]])</f>
        <v>-</v>
      </c>
      <c r="C162" s="34" t="str">
        <f>IFERROR(IF(VLOOKUP($B162,casostestes[#Data],10)=0,"Não",VLOOKUP($B162,casostestes[#Data],10)), "-")</f>
        <v>-</v>
      </c>
      <c r="D162" s="35" t="str">
        <f>IFERROR(IF(VLOOKUP($B162,casostestes[#Data],2)=0,"-",VLOOKUP($B162,casostestes[#Data],2)), "-")</f>
        <v>-</v>
      </c>
      <c r="E162" s="35" t="str">
        <f>IFERROR(IF(VLOOKUP($B162,casostestes[#Data],3)=0,"-",VLOOKUP($B162,casostestes[#Data],3)), "-")</f>
        <v>-</v>
      </c>
      <c r="F162" s="35" t="str">
        <f>IFERROR(IF(VLOOKUP($B162,casostestes[#Data],4)=0,"-",VLOOKUP($B162,casostestes[#Data],4)),"-")</f>
        <v>-</v>
      </c>
      <c r="G162" s="35" t="str">
        <f>IFERROR(IF(VLOOKUP($B162,casostestes[#Data],5)=0,"-",VLOOKUP($B162,casostestes[#Data],5)),"-")</f>
        <v>-</v>
      </c>
      <c r="H162" s="35" t="str">
        <f>IFERROR(IF(VLOOKUP($B162,casostestes[#Data],6)=0,"-",VLOOKUP($B162,casostestes[#Data],6)),"-")</f>
        <v>-</v>
      </c>
      <c r="I162" s="35" t="str">
        <f>IFERROR(IF(VLOOKUP($B162,casostestes[#Data],8)=0,"-",VLOOKUP($B162,casostestes[#Data],8)),"-")</f>
        <v>-</v>
      </c>
      <c r="J162" s="35" t="str">
        <f>IFERROR(IF(VLOOKUP($B162,casostestes[#Data],9)=0,"-",VLOOKUP($B162,casostestes[#Data],9)),"-")</f>
        <v>-</v>
      </c>
      <c r="K162" s="36"/>
      <c r="L162" s="45"/>
      <c r="M162" s="37"/>
      <c r="N162" s="38"/>
      <c r="O162" s="38"/>
      <c r="P162" s="39"/>
    </row>
    <row r="163" spans="2:16">
      <c r="B163" s="40" t="str">
        <f>IF(ISERR(casostestes[[#This Row],[ID]]),"-",casostestes[[#This Row],[ID]])</f>
        <v>-</v>
      </c>
      <c r="C163" s="34" t="str">
        <f>IFERROR(IF(VLOOKUP($B163,casostestes[#Data],10)=0,"Não",VLOOKUP($B163,casostestes[#Data],10)), "-")</f>
        <v>-</v>
      </c>
      <c r="D163" s="35" t="str">
        <f>IFERROR(IF(VLOOKUP($B163,casostestes[#Data],2)=0,"-",VLOOKUP($B163,casostestes[#Data],2)), "-")</f>
        <v>-</v>
      </c>
      <c r="E163" s="35" t="str">
        <f>IFERROR(IF(VLOOKUP($B163,casostestes[#Data],3)=0,"-",VLOOKUP($B163,casostestes[#Data],3)), "-")</f>
        <v>-</v>
      </c>
      <c r="F163" s="35" t="str">
        <f>IFERROR(IF(VLOOKUP($B163,casostestes[#Data],4)=0,"-",VLOOKUP($B163,casostestes[#Data],4)),"-")</f>
        <v>-</v>
      </c>
      <c r="G163" s="35" t="str">
        <f>IFERROR(IF(VLOOKUP($B163,casostestes[#Data],5)=0,"-",VLOOKUP($B163,casostestes[#Data],5)),"-")</f>
        <v>-</v>
      </c>
      <c r="H163" s="35" t="str">
        <f>IFERROR(IF(VLOOKUP($B163,casostestes[#Data],6)=0,"-",VLOOKUP($B163,casostestes[#Data],6)),"-")</f>
        <v>-</v>
      </c>
      <c r="I163" s="35" t="str">
        <f>IFERROR(IF(VLOOKUP($B163,casostestes[#Data],8)=0,"-",VLOOKUP($B163,casostestes[#Data],8)),"-")</f>
        <v>-</v>
      </c>
      <c r="J163" s="35" t="str">
        <f>IFERROR(IF(VLOOKUP($B163,casostestes[#Data],9)=0,"-",VLOOKUP($B163,casostestes[#Data],9)),"-")</f>
        <v>-</v>
      </c>
      <c r="K163" s="36"/>
      <c r="L163" s="45"/>
      <c r="M163" s="37"/>
      <c r="N163" s="38"/>
      <c r="O163" s="38"/>
      <c r="P163" s="39"/>
    </row>
    <row r="164" spans="2:16">
      <c r="B164" s="40" t="str">
        <f>IF(ISERR(casostestes[[#This Row],[ID]]),"-",casostestes[[#This Row],[ID]])</f>
        <v>-</v>
      </c>
      <c r="C164" s="34" t="str">
        <f>IFERROR(IF(VLOOKUP($B164,casostestes[#Data],10)=0,"Não",VLOOKUP($B164,casostestes[#Data],10)), "-")</f>
        <v>-</v>
      </c>
      <c r="D164" s="35" t="str">
        <f>IFERROR(IF(VLOOKUP($B164,casostestes[#Data],2)=0,"-",VLOOKUP($B164,casostestes[#Data],2)), "-")</f>
        <v>-</v>
      </c>
      <c r="E164" s="35" t="str">
        <f>IFERROR(IF(VLOOKUP($B164,casostestes[#Data],3)=0,"-",VLOOKUP($B164,casostestes[#Data],3)), "-")</f>
        <v>-</v>
      </c>
      <c r="F164" s="35" t="str">
        <f>IFERROR(IF(VLOOKUP($B164,casostestes[#Data],4)=0,"-",VLOOKUP($B164,casostestes[#Data],4)),"-")</f>
        <v>-</v>
      </c>
      <c r="G164" s="35" t="str">
        <f>IFERROR(IF(VLOOKUP($B164,casostestes[#Data],5)=0,"-",VLOOKUP($B164,casostestes[#Data],5)),"-")</f>
        <v>-</v>
      </c>
      <c r="H164" s="35" t="str">
        <f>IFERROR(IF(VLOOKUP($B164,casostestes[#Data],6)=0,"-",VLOOKUP($B164,casostestes[#Data],6)),"-")</f>
        <v>-</v>
      </c>
      <c r="I164" s="35" t="str">
        <f>IFERROR(IF(VLOOKUP($B164,casostestes[#Data],8)=0,"-",VLOOKUP($B164,casostestes[#Data],8)),"-")</f>
        <v>-</v>
      </c>
      <c r="J164" s="35" t="str">
        <f>IFERROR(IF(VLOOKUP($B164,casostestes[#Data],9)=0,"-",VLOOKUP($B164,casostestes[#Data],9)),"-")</f>
        <v>-</v>
      </c>
      <c r="K164" s="36"/>
      <c r="L164" s="45"/>
      <c r="M164" s="37"/>
      <c r="N164" s="38"/>
      <c r="O164" s="38"/>
      <c r="P164" s="39"/>
    </row>
    <row r="165" spans="2:16">
      <c r="B165" s="40" t="str">
        <f>IF(ISERR(casostestes[[#This Row],[ID]]),"-",casostestes[[#This Row],[ID]])</f>
        <v>-</v>
      </c>
      <c r="C165" s="34" t="str">
        <f>IFERROR(IF(VLOOKUP($B165,casostestes[#Data],10)=0,"Não",VLOOKUP($B165,casostestes[#Data],10)), "-")</f>
        <v>-</v>
      </c>
      <c r="D165" s="35" t="str">
        <f>IFERROR(IF(VLOOKUP($B165,casostestes[#Data],2)=0,"-",VLOOKUP($B165,casostestes[#Data],2)), "-")</f>
        <v>-</v>
      </c>
      <c r="E165" s="35" t="str">
        <f>IFERROR(IF(VLOOKUP($B165,casostestes[#Data],3)=0,"-",VLOOKUP($B165,casostestes[#Data],3)), "-")</f>
        <v>-</v>
      </c>
      <c r="F165" s="35" t="str">
        <f>IFERROR(IF(VLOOKUP($B165,casostestes[#Data],4)=0,"-",VLOOKUP($B165,casostestes[#Data],4)),"-")</f>
        <v>-</v>
      </c>
      <c r="G165" s="35" t="str">
        <f>IFERROR(IF(VLOOKUP($B165,casostestes[#Data],5)=0,"-",VLOOKUP($B165,casostestes[#Data],5)),"-")</f>
        <v>-</v>
      </c>
      <c r="H165" s="35" t="str">
        <f>IFERROR(IF(VLOOKUP($B165,casostestes[#Data],6)=0,"-",VLOOKUP($B165,casostestes[#Data],6)),"-")</f>
        <v>-</v>
      </c>
      <c r="I165" s="35" t="str">
        <f>IFERROR(IF(VLOOKUP($B165,casostestes[#Data],8)=0,"-",VLOOKUP($B165,casostestes[#Data],8)),"-")</f>
        <v>-</v>
      </c>
      <c r="J165" s="35" t="str">
        <f>IFERROR(IF(VLOOKUP($B165,casostestes[#Data],9)=0,"-",VLOOKUP($B165,casostestes[#Data],9)),"-")</f>
        <v>-</v>
      </c>
      <c r="K165" s="36"/>
      <c r="L165" s="45"/>
      <c r="M165" s="37"/>
      <c r="N165" s="38"/>
      <c r="O165" s="38"/>
      <c r="P165" s="39"/>
    </row>
    <row r="166" spans="2:16">
      <c r="B166" s="40" t="str">
        <f>IF(ISERR(casostestes[[#This Row],[ID]]),"-",casostestes[[#This Row],[ID]])</f>
        <v>-</v>
      </c>
      <c r="C166" s="34" t="str">
        <f>IFERROR(IF(VLOOKUP($B166,casostestes[#Data],10)=0,"Não",VLOOKUP($B166,casostestes[#Data],10)), "-")</f>
        <v>-</v>
      </c>
      <c r="D166" s="35" t="str">
        <f>IFERROR(IF(VLOOKUP($B166,casostestes[#Data],2)=0,"-",VLOOKUP($B166,casostestes[#Data],2)), "-")</f>
        <v>-</v>
      </c>
      <c r="E166" s="35" t="str">
        <f>IFERROR(IF(VLOOKUP($B166,casostestes[#Data],3)=0,"-",VLOOKUP($B166,casostestes[#Data],3)), "-")</f>
        <v>-</v>
      </c>
      <c r="F166" s="35" t="str">
        <f>IFERROR(IF(VLOOKUP($B166,casostestes[#Data],4)=0,"-",VLOOKUP($B166,casostestes[#Data],4)),"-")</f>
        <v>-</v>
      </c>
      <c r="G166" s="35" t="str">
        <f>IFERROR(IF(VLOOKUP($B166,casostestes[#Data],5)=0,"-",VLOOKUP($B166,casostestes[#Data],5)),"-")</f>
        <v>-</v>
      </c>
      <c r="H166" s="35" t="str">
        <f>IFERROR(IF(VLOOKUP($B166,casostestes[#Data],6)=0,"-",VLOOKUP($B166,casostestes[#Data],6)),"-")</f>
        <v>-</v>
      </c>
      <c r="I166" s="35" t="str">
        <f>IFERROR(IF(VLOOKUP($B166,casostestes[#Data],8)=0,"-",VLOOKUP($B166,casostestes[#Data],8)),"-")</f>
        <v>-</v>
      </c>
      <c r="J166" s="35" t="str">
        <f>IFERROR(IF(VLOOKUP($B166,casostestes[#Data],9)=0,"-",VLOOKUP($B166,casostestes[#Data],9)),"-")</f>
        <v>-</v>
      </c>
      <c r="K166" s="36"/>
      <c r="L166" s="45"/>
      <c r="M166" s="37"/>
      <c r="N166" s="38"/>
      <c r="O166" s="38"/>
      <c r="P166" s="39"/>
    </row>
    <row r="167" spans="2:16">
      <c r="B167" s="40" t="str">
        <f>IF(ISERR(casostestes[[#This Row],[ID]]),"-",casostestes[[#This Row],[ID]])</f>
        <v>-</v>
      </c>
      <c r="C167" s="34" t="str">
        <f>IFERROR(IF(VLOOKUP($B167,casostestes[#Data],10)=0,"Não",VLOOKUP($B167,casostestes[#Data],10)), "-")</f>
        <v>-</v>
      </c>
      <c r="D167" s="35" t="str">
        <f>IFERROR(IF(VLOOKUP($B167,casostestes[#Data],2)=0,"-",VLOOKUP($B167,casostestes[#Data],2)), "-")</f>
        <v>-</v>
      </c>
      <c r="E167" s="35" t="str">
        <f>IFERROR(IF(VLOOKUP($B167,casostestes[#Data],3)=0,"-",VLOOKUP($B167,casostestes[#Data],3)), "-")</f>
        <v>-</v>
      </c>
      <c r="F167" s="35" t="str">
        <f>IFERROR(IF(VLOOKUP($B167,casostestes[#Data],4)=0,"-",VLOOKUP($B167,casostestes[#Data],4)),"-")</f>
        <v>-</v>
      </c>
      <c r="G167" s="35" t="str">
        <f>IFERROR(IF(VLOOKUP($B167,casostestes[#Data],5)=0,"-",VLOOKUP($B167,casostestes[#Data],5)),"-")</f>
        <v>-</v>
      </c>
      <c r="H167" s="35" t="str">
        <f>IFERROR(IF(VLOOKUP($B167,casostestes[#Data],6)=0,"-",VLOOKUP($B167,casostestes[#Data],6)),"-")</f>
        <v>-</v>
      </c>
      <c r="I167" s="35" t="str">
        <f>IFERROR(IF(VLOOKUP($B167,casostestes[#Data],8)=0,"-",VLOOKUP($B167,casostestes[#Data],8)),"-")</f>
        <v>-</v>
      </c>
      <c r="J167" s="35" t="str">
        <f>IFERROR(IF(VLOOKUP($B167,casostestes[#Data],9)=0,"-",VLOOKUP($B167,casostestes[#Data],9)),"-")</f>
        <v>-</v>
      </c>
      <c r="K167" s="36"/>
      <c r="L167" s="45"/>
      <c r="M167" s="37"/>
      <c r="N167" s="38"/>
      <c r="O167" s="38"/>
      <c r="P167" s="39"/>
    </row>
    <row r="168" spans="2:16">
      <c r="B168" s="40" t="str">
        <f>IF(ISERR(casostestes[[#This Row],[ID]]),"-",casostestes[[#This Row],[ID]])</f>
        <v>-</v>
      </c>
      <c r="C168" s="34" t="str">
        <f>IFERROR(IF(VLOOKUP($B168,casostestes[#Data],10)=0,"Não",VLOOKUP($B168,casostestes[#Data],10)), "-")</f>
        <v>-</v>
      </c>
      <c r="D168" s="35" t="str">
        <f>IFERROR(IF(VLOOKUP($B168,casostestes[#Data],2)=0,"-",VLOOKUP($B168,casostestes[#Data],2)), "-")</f>
        <v>-</v>
      </c>
      <c r="E168" s="35" t="str">
        <f>IFERROR(IF(VLOOKUP($B168,casostestes[#Data],3)=0,"-",VLOOKUP($B168,casostestes[#Data],3)), "-")</f>
        <v>-</v>
      </c>
      <c r="F168" s="35" t="str">
        <f>IFERROR(IF(VLOOKUP($B168,casostestes[#Data],4)=0,"-",VLOOKUP($B168,casostestes[#Data],4)),"-")</f>
        <v>-</v>
      </c>
      <c r="G168" s="35" t="str">
        <f>IFERROR(IF(VLOOKUP($B168,casostestes[#Data],5)=0,"-",VLOOKUP($B168,casostestes[#Data],5)),"-")</f>
        <v>-</v>
      </c>
      <c r="H168" s="35" t="str">
        <f>IFERROR(IF(VLOOKUP($B168,casostestes[#Data],6)=0,"-",VLOOKUP($B168,casostestes[#Data],6)),"-")</f>
        <v>-</v>
      </c>
      <c r="I168" s="35" t="str">
        <f>IFERROR(IF(VLOOKUP($B168,casostestes[#Data],8)=0,"-",VLOOKUP($B168,casostestes[#Data],8)),"-")</f>
        <v>-</v>
      </c>
      <c r="J168" s="35" t="str">
        <f>IFERROR(IF(VLOOKUP($B168,casostestes[#Data],9)=0,"-",VLOOKUP($B168,casostestes[#Data],9)),"-")</f>
        <v>-</v>
      </c>
      <c r="K168" s="36"/>
      <c r="L168" s="45"/>
      <c r="M168" s="37"/>
      <c r="N168" s="38"/>
      <c r="O168" s="38"/>
      <c r="P168" s="39"/>
    </row>
    <row r="169" spans="2:16">
      <c r="B169" s="40" t="str">
        <f>IF(ISERR(casostestes[[#This Row],[ID]]),"-",casostestes[[#This Row],[ID]])</f>
        <v>-</v>
      </c>
      <c r="C169" s="34" t="str">
        <f>IFERROR(IF(VLOOKUP($B169,casostestes[#Data],10)=0,"Não",VLOOKUP($B169,casostestes[#Data],10)), "-")</f>
        <v>-</v>
      </c>
      <c r="D169" s="35" t="str">
        <f>IFERROR(IF(VLOOKUP($B169,casostestes[#Data],2)=0,"-",VLOOKUP($B169,casostestes[#Data],2)), "-")</f>
        <v>-</v>
      </c>
      <c r="E169" s="35" t="str">
        <f>IFERROR(IF(VLOOKUP($B169,casostestes[#Data],3)=0,"-",VLOOKUP($B169,casostestes[#Data],3)), "-")</f>
        <v>-</v>
      </c>
      <c r="F169" s="35" t="str">
        <f>IFERROR(IF(VLOOKUP($B169,casostestes[#Data],4)=0,"-",VLOOKUP($B169,casostestes[#Data],4)),"-")</f>
        <v>-</v>
      </c>
      <c r="G169" s="35" t="str">
        <f>IFERROR(IF(VLOOKUP($B169,casostestes[#Data],5)=0,"-",VLOOKUP($B169,casostestes[#Data],5)),"-")</f>
        <v>-</v>
      </c>
      <c r="H169" s="35" t="str">
        <f>IFERROR(IF(VLOOKUP($B169,casostestes[#Data],6)=0,"-",VLOOKUP($B169,casostestes[#Data],6)),"-")</f>
        <v>-</v>
      </c>
      <c r="I169" s="35" t="str">
        <f>IFERROR(IF(VLOOKUP($B169,casostestes[#Data],8)=0,"-",VLOOKUP($B169,casostestes[#Data],8)),"-")</f>
        <v>-</v>
      </c>
      <c r="J169" s="35" t="str">
        <f>IFERROR(IF(VLOOKUP($B169,casostestes[#Data],9)=0,"-",VLOOKUP($B169,casostestes[#Data],9)),"-")</f>
        <v>-</v>
      </c>
      <c r="K169" s="36"/>
      <c r="L169" s="45"/>
      <c r="M169" s="37"/>
      <c r="N169" s="38"/>
      <c r="O169" s="38"/>
      <c r="P169" s="39"/>
    </row>
    <row r="170" spans="2:16">
      <c r="B170" s="40" t="str">
        <f>IF(ISERR(casostestes[[#This Row],[ID]]),"-",casostestes[[#This Row],[ID]])</f>
        <v>-</v>
      </c>
      <c r="C170" s="34" t="str">
        <f>IFERROR(IF(VLOOKUP($B170,casostestes[#Data],10)=0,"Não",VLOOKUP($B170,casostestes[#Data],10)), "-")</f>
        <v>-</v>
      </c>
      <c r="D170" s="35" t="str">
        <f>IFERROR(IF(VLOOKUP($B170,casostestes[#Data],2)=0,"-",VLOOKUP($B170,casostestes[#Data],2)), "-")</f>
        <v>-</v>
      </c>
      <c r="E170" s="35" t="str">
        <f>IFERROR(IF(VLOOKUP($B170,casostestes[#Data],3)=0,"-",VLOOKUP($B170,casostestes[#Data],3)), "-")</f>
        <v>-</v>
      </c>
      <c r="F170" s="35" t="str">
        <f>IFERROR(IF(VLOOKUP($B170,casostestes[#Data],4)=0,"-",VLOOKUP($B170,casostestes[#Data],4)),"-")</f>
        <v>-</v>
      </c>
      <c r="G170" s="35" t="str">
        <f>IFERROR(IF(VLOOKUP($B170,casostestes[#Data],5)=0,"-",VLOOKUP($B170,casostestes[#Data],5)),"-")</f>
        <v>-</v>
      </c>
      <c r="H170" s="35" t="str">
        <f>IFERROR(IF(VLOOKUP($B170,casostestes[#Data],6)=0,"-",VLOOKUP($B170,casostestes[#Data],6)),"-")</f>
        <v>-</v>
      </c>
      <c r="I170" s="35" t="str">
        <f>IFERROR(IF(VLOOKUP($B170,casostestes[#Data],8)=0,"-",VLOOKUP($B170,casostestes[#Data],8)),"-")</f>
        <v>-</v>
      </c>
      <c r="J170" s="35" t="str">
        <f>IFERROR(IF(VLOOKUP($B170,casostestes[#Data],9)=0,"-",VLOOKUP($B170,casostestes[#Data],9)),"-")</f>
        <v>-</v>
      </c>
      <c r="K170" s="36"/>
      <c r="L170" s="45"/>
      <c r="M170" s="37"/>
      <c r="N170" s="38"/>
      <c r="O170" s="38"/>
      <c r="P170" s="39"/>
    </row>
    <row r="171" spans="2:16">
      <c r="B171" s="40" t="str">
        <f>IF(ISERR(casostestes[[#This Row],[ID]]),"-",casostestes[[#This Row],[ID]])</f>
        <v>-</v>
      </c>
      <c r="C171" s="34" t="str">
        <f>IFERROR(IF(VLOOKUP($B171,casostestes[#Data],10)=0,"Não",VLOOKUP($B171,casostestes[#Data],10)), "-")</f>
        <v>-</v>
      </c>
      <c r="D171" s="35" t="str">
        <f>IFERROR(IF(VLOOKUP($B171,casostestes[#Data],2)=0,"-",VLOOKUP($B171,casostestes[#Data],2)), "-")</f>
        <v>-</v>
      </c>
      <c r="E171" s="35" t="str">
        <f>IFERROR(IF(VLOOKUP($B171,casostestes[#Data],3)=0,"-",VLOOKUP($B171,casostestes[#Data],3)), "-")</f>
        <v>-</v>
      </c>
      <c r="F171" s="35" t="str">
        <f>IFERROR(IF(VLOOKUP($B171,casostestes[#Data],4)=0,"-",VLOOKUP($B171,casostestes[#Data],4)),"-")</f>
        <v>-</v>
      </c>
      <c r="G171" s="35" t="str">
        <f>IFERROR(IF(VLOOKUP($B171,casostestes[#Data],5)=0,"-",VLOOKUP($B171,casostestes[#Data],5)),"-")</f>
        <v>-</v>
      </c>
      <c r="H171" s="35" t="str">
        <f>IFERROR(IF(VLOOKUP($B171,casostestes[#Data],6)=0,"-",VLOOKUP($B171,casostestes[#Data],6)),"-")</f>
        <v>-</v>
      </c>
      <c r="I171" s="35" t="str">
        <f>IFERROR(IF(VLOOKUP($B171,casostestes[#Data],8)=0,"-",VLOOKUP($B171,casostestes[#Data],8)),"-")</f>
        <v>-</v>
      </c>
      <c r="J171" s="35" t="str">
        <f>IFERROR(IF(VLOOKUP($B171,casostestes[#Data],9)=0,"-",VLOOKUP($B171,casostestes[#Data],9)),"-")</f>
        <v>-</v>
      </c>
      <c r="K171" s="36"/>
      <c r="L171" s="45"/>
      <c r="M171" s="37"/>
      <c r="N171" s="38"/>
      <c r="O171" s="38"/>
      <c r="P171" s="39"/>
    </row>
    <row r="172" spans="2:16">
      <c r="B172" s="40" t="str">
        <f>IF(ISERR(casostestes[[#This Row],[ID]]),"-",casostestes[[#This Row],[ID]])</f>
        <v>-</v>
      </c>
      <c r="C172" s="34" t="str">
        <f>IFERROR(IF(VLOOKUP($B172,casostestes[#Data],10)=0,"Não",VLOOKUP($B172,casostestes[#Data],10)), "-")</f>
        <v>-</v>
      </c>
      <c r="D172" s="35" t="str">
        <f>IFERROR(IF(VLOOKUP($B172,casostestes[#Data],2)=0,"-",VLOOKUP($B172,casostestes[#Data],2)), "-")</f>
        <v>-</v>
      </c>
      <c r="E172" s="35" t="str">
        <f>IFERROR(IF(VLOOKUP($B172,casostestes[#Data],3)=0,"-",VLOOKUP($B172,casostestes[#Data],3)), "-")</f>
        <v>-</v>
      </c>
      <c r="F172" s="35" t="str">
        <f>IFERROR(IF(VLOOKUP($B172,casostestes[#Data],4)=0,"-",VLOOKUP($B172,casostestes[#Data],4)),"-")</f>
        <v>-</v>
      </c>
      <c r="G172" s="35" t="str">
        <f>IFERROR(IF(VLOOKUP($B172,casostestes[#Data],5)=0,"-",VLOOKUP($B172,casostestes[#Data],5)),"-")</f>
        <v>-</v>
      </c>
      <c r="H172" s="35" t="str">
        <f>IFERROR(IF(VLOOKUP($B172,casostestes[#Data],6)=0,"-",VLOOKUP($B172,casostestes[#Data],6)),"-")</f>
        <v>-</v>
      </c>
      <c r="I172" s="35" t="str">
        <f>IFERROR(IF(VLOOKUP($B172,casostestes[#Data],8)=0,"-",VLOOKUP($B172,casostestes[#Data],8)),"-")</f>
        <v>-</v>
      </c>
      <c r="J172" s="35" t="str">
        <f>IFERROR(IF(VLOOKUP($B172,casostestes[#Data],9)=0,"-",VLOOKUP($B172,casostestes[#Data],9)),"-")</f>
        <v>-</v>
      </c>
      <c r="K172" s="36"/>
      <c r="L172" s="45"/>
      <c r="M172" s="37"/>
      <c r="N172" s="38"/>
      <c r="O172" s="38"/>
      <c r="P172" s="39"/>
    </row>
    <row r="173" spans="2:16">
      <c r="B173" s="40" t="str">
        <f>IF(ISERR(casostestes[[#This Row],[ID]]),"-",casostestes[[#This Row],[ID]])</f>
        <v>-</v>
      </c>
      <c r="C173" s="34" t="str">
        <f>IFERROR(IF(VLOOKUP($B173,casostestes[#Data],10)=0,"Não",VLOOKUP($B173,casostestes[#Data],10)), "-")</f>
        <v>-</v>
      </c>
      <c r="D173" s="35" t="str">
        <f>IFERROR(IF(VLOOKUP($B173,casostestes[#Data],2)=0,"-",VLOOKUP($B173,casostestes[#Data],2)), "-")</f>
        <v>-</v>
      </c>
      <c r="E173" s="35" t="str">
        <f>IFERROR(IF(VLOOKUP($B173,casostestes[#Data],3)=0,"-",VLOOKUP($B173,casostestes[#Data],3)), "-")</f>
        <v>-</v>
      </c>
      <c r="F173" s="35" t="str">
        <f>IFERROR(IF(VLOOKUP($B173,casostestes[#Data],4)=0,"-",VLOOKUP($B173,casostestes[#Data],4)),"-")</f>
        <v>-</v>
      </c>
      <c r="G173" s="35" t="str">
        <f>IFERROR(IF(VLOOKUP($B173,casostestes[#Data],5)=0,"-",VLOOKUP($B173,casostestes[#Data],5)),"-")</f>
        <v>-</v>
      </c>
      <c r="H173" s="35" t="str">
        <f>IFERROR(IF(VLOOKUP($B173,casostestes[#Data],6)=0,"-",VLOOKUP($B173,casostestes[#Data],6)),"-")</f>
        <v>-</v>
      </c>
      <c r="I173" s="35" t="str">
        <f>IFERROR(IF(VLOOKUP($B173,casostestes[#Data],8)=0,"-",VLOOKUP($B173,casostestes[#Data],8)),"-")</f>
        <v>-</v>
      </c>
      <c r="J173" s="35" t="str">
        <f>IFERROR(IF(VLOOKUP($B173,casostestes[#Data],9)=0,"-",VLOOKUP($B173,casostestes[#Data],9)),"-")</f>
        <v>-</v>
      </c>
      <c r="K173" s="36"/>
      <c r="L173" s="45"/>
      <c r="M173" s="37"/>
      <c r="N173" s="38"/>
      <c r="O173" s="38"/>
      <c r="P173" s="39"/>
    </row>
    <row r="174" spans="2:16">
      <c r="B174" s="40" t="str">
        <f>IF(ISERR(casostestes[[#This Row],[ID]]),"-",casostestes[[#This Row],[ID]])</f>
        <v>-</v>
      </c>
      <c r="C174" s="34" t="str">
        <f>IFERROR(IF(VLOOKUP($B174,casostestes[#Data],10)=0,"Não",VLOOKUP($B174,casostestes[#Data],10)), "-")</f>
        <v>-</v>
      </c>
      <c r="D174" s="35" t="str">
        <f>IFERROR(IF(VLOOKUP($B174,casostestes[#Data],2)=0,"-",VLOOKUP($B174,casostestes[#Data],2)), "-")</f>
        <v>-</v>
      </c>
      <c r="E174" s="35" t="str">
        <f>IFERROR(IF(VLOOKUP($B174,casostestes[#Data],3)=0,"-",VLOOKUP($B174,casostestes[#Data],3)), "-")</f>
        <v>-</v>
      </c>
      <c r="F174" s="35" t="str">
        <f>IFERROR(IF(VLOOKUP($B174,casostestes[#Data],4)=0,"-",VLOOKUP($B174,casostestes[#Data],4)),"-")</f>
        <v>-</v>
      </c>
      <c r="G174" s="35" t="str">
        <f>IFERROR(IF(VLOOKUP($B174,casostestes[#Data],5)=0,"-",VLOOKUP($B174,casostestes[#Data],5)),"-")</f>
        <v>-</v>
      </c>
      <c r="H174" s="35" t="str">
        <f>IFERROR(IF(VLOOKUP($B174,casostestes[#Data],6)=0,"-",VLOOKUP($B174,casostestes[#Data],6)),"-")</f>
        <v>-</v>
      </c>
      <c r="I174" s="35" t="str">
        <f>IFERROR(IF(VLOOKUP($B174,casostestes[#Data],8)=0,"-",VLOOKUP($B174,casostestes[#Data],8)),"-")</f>
        <v>-</v>
      </c>
      <c r="J174" s="35" t="str">
        <f>IFERROR(IF(VLOOKUP($B174,casostestes[#Data],9)=0,"-",VLOOKUP($B174,casostestes[#Data],9)),"-")</f>
        <v>-</v>
      </c>
      <c r="K174" s="36"/>
      <c r="L174" s="45"/>
      <c r="M174" s="37"/>
      <c r="N174" s="38"/>
      <c r="O174" s="38"/>
      <c r="P174" s="39"/>
    </row>
    <row r="175" spans="2:16">
      <c r="B175" s="40" t="str">
        <f>IF(ISERR(casostestes[[#This Row],[ID]]),"-",casostestes[[#This Row],[ID]])</f>
        <v>-</v>
      </c>
      <c r="C175" s="34" t="str">
        <f>IFERROR(IF(VLOOKUP($B175,casostestes[#Data],10)=0,"Não",VLOOKUP($B175,casostestes[#Data],10)), "-")</f>
        <v>-</v>
      </c>
      <c r="D175" s="35" t="str">
        <f>IFERROR(IF(VLOOKUP($B175,casostestes[#Data],2)=0,"-",VLOOKUP($B175,casostestes[#Data],2)), "-")</f>
        <v>-</v>
      </c>
      <c r="E175" s="35" t="str">
        <f>IFERROR(IF(VLOOKUP($B175,casostestes[#Data],3)=0,"-",VLOOKUP($B175,casostestes[#Data],3)), "-")</f>
        <v>-</v>
      </c>
      <c r="F175" s="35" t="str">
        <f>IFERROR(IF(VLOOKUP($B175,casostestes[#Data],4)=0,"-",VLOOKUP($B175,casostestes[#Data],4)),"-")</f>
        <v>-</v>
      </c>
      <c r="G175" s="35" t="str">
        <f>IFERROR(IF(VLOOKUP($B175,casostestes[#Data],5)=0,"-",VLOOKUP($B175,casostestes[#Data],5)),"-")</f>
        <v>-</v>
      </c>
      <c r="H175" s="35" t="str">
        <f>IFERROR(IF(VLOOKUP($B175,casostestes[#Data],6)=0,"-",VLOOKUP($B175,casostestes[#Data],6)),"-")</f>
        <v>-</v>
      </c>
      <c r="I175" s="35" t="str">
        <f>IFERROR(IF(VLOOKUP($B175,casostestes[#Data],8)=0,"-",VLOOKUP($B175,casostestes[#Data],8)),"-")</f>
        <v>-</v>
      </c>
      <c r="J175" s="35" t="str">
        <f>IFERROR(IF(VLOOKUP($B175,casostestes[#Data],9)=0,"-",VLOOKUP($B175,casostestes[#Data],9)),"-")</f>
        <v>-</v>
      </c>
      <c r="K175" s="36"/>
      <c r="L175" s="45"/>
      <c r="M175" s="37"/>
      <c r="N175" s="38"/>
      <c r="O175" s="38"/>
      <c r="P175" s="39"/>
    </row>
    <row r="176" spans="2:16">
      <c r="B176" s="40" t="str">
        <f>IF(ISERR(casostestes[[#This Row],[ID]]),"-",casostestes[[#This Row],[ID]])</f>
        <v>-</v>
      </c>
      <c r="C176" s="34" t="str">
        <f>IFERROR(IF(VLOOKUP($B176,casostestes[#Data],10)=0,"Não",VLOOKUP($B176,casostestes[#Data],10)), "-")</f>
        <v>-</v>
      </c>
      <c r="D176" s="35" t="str">
        <f>IFERROR(IF(VLOOKUP($B176,casostestes[#Data],2)=0,"-",VLOOKUP($B176,casostestes[#Data],2)), "-")</f>
        <v>-</v>
      </c>
      <c r="E176" s="35" t="str">
        <f>IFERROR(IF(VLOOKUP($B176,casostestes[#Data],3)=0,"-",VLOOKUP($B176,casostestes[#Data],3)), "-")</f>
        <v>-</v>
      </c>
      <c r="F176" s="35" t="str">
        <f>IFERROR(IF(VLOOKUP($B176,casostestes[#Data],4)=0,"-",VLOOKUP($B176,casostestes[#Data],4)),"-")</f>
        <v>-</v>
      </c>
      <c r="G176" s="35" t="str">
        <f>IFERROR(IF(VLOOKUP($B176,casostestes[#Data],5)=0,"-",VLOOKUP($B176,casostestes[#Data],5)),"-")</f>
        <v>-</v>
      </c>
      <c r="H176" s="35" t="str">
        <f>IFERROR(IF(VLOOKUP($B176,casostestes[#Data],6)=0,"-",VLOOKUP($B176,casostestes[#Data],6)),"-")</f>
        <v>-</v>
      </c>
      <c r="I176" s="35" t="str">
        <f>IFERROR(IF(VLOOKUP($B176,casostestes[#Data],8)=0,"-",VLOOKUP($B176,casostestes[#Data],8)),"-")</f>
        <v>-</v>
      </c>
      <c r="J176" s="35" t="str">
        <f>IFERROR(IF(VLOOKUP($B176,casostestes[#Data],9)=0,"-",VLOOKUP($B176,casostestes[#Data],9)),"-")</f>
        <v>-</v>
      </c>
      <c r="K176" s="36"/>
      <c r="L176" s="45"/>
      <c r="M176" s="37"/>
      <c r="N176" s="38"/>
      <c r="O176" s="38"/>
      <c r="P176" s="39"/>
    </row>
    <row r="177" spans="2:16">
      <c r="B177" s="40" t="str">
        <f>IF(ISERR(casostestes[[#This Row],[ID]]),"-",casostestes[[#This Row],[ID]])</f>
        <v>-</v>
      </c>
      <c r="C177" s="34" t="str">
        <f>IFERROR(IF(VLOOKUP($B177,casostestes[#Data],10)=0,"Não",VLOOKUP($B177,casostestes[#Data],10)), "-")</f>
        <v>-</v>
      </c>
      <c r="D177" s="35" t="str">
        <f>IFERROR(IF(VLOOKUP($B177,casostestes[#Data],2)=0,"-",VLOOKUP($B177,casostestes[#Data],2)), "-")</f>
        <v>-</v>
      </c>
      <c r="E177" s="35" t="str">
        <f>IFERROR(IF(VLOOKUP($B177,casostestes[#Data],3)=0,"-",VLOOKUP($B177,casostestes[#Data],3)), "-")</f>
        <v>-</v>
      </c>
      <c r="F177" s="35" t="str">
        <f>IFERROR(IF(VLOOKUP($B177,casostestes[#Data],4)=0,"-",VLOOKUP($B177,casostestes[#Data],4)),"-")</f>
        <v>-</v>
      </c>
      <c r="G177" s="35" t="str">
        <f>IFERROR(IF(VLOOKUP($B177,casostestes[#Data],5)=0,"-",VLOOKUP($B177,casostestes[#Data],5)),"-")</f>
        <v>-</v>
      </c>
      <c r="H177" s="35" t="str">
        <f>IFERROR(IF(VLOOKUP($B177,casostestes[#Data],6)=0,"-",VLOOKUP($B177,casostestes[#Data],6)),"-")</f>
        <v>-</v>
      </c>
      <c r="I177" s="35" t="str">
        <f>IFERROR(IF(VLOOKUP($B177,casostestes[#Data],8)=0,"-",VLOOKUP($B177,casostestes[#Data],8)),"-")</f>
        <v>-</v>
      </c>
      <c r="J177" s="35" t="str">
        <f>IFERROR(IF(VLOOKUP($B177,casostestes[#Data],9)=0,"-",VLOOKUP($B177,casostestes[#Data],9)),"-")</f>
        <v>-</v>
      </c>
      <c r="K177" s="36"/>
      <c r="L177" s="45"/>
      <c r="M177" s="37"/>
      <c r="N177" s="38"/>
      <c r="O177" s="38"/>
      <c r="P177" s="39"/>
    </row>
    <row r="178" spans="2:16">
      <c r="B178" s="40" t="str">
        <f>IF(ISERR(casostestes[[#This Row],[ID]]),"-",casostestes[[#This Row],[ID]])</f>
        <v>-</v>
      </c>
      <c r="C178" s="34" t="str">
        <f>IFERROR(IF(VLOOKUP($B178,casostestes[#Data],10)=0,"Não",VLOOKUP($B178,casostestes[#Data],10)), "-")</f>
        <v>-</v>
      </c>
      <c r="D178" s="35" t="str">
        <f>IFERROR(IF(VLOOKUP($B178,casostestes[#Data],2)=0,"-",VLOOKUP($B178,casostestes[#Data],2)), "-")</f>
        <v>-</v>
      </c>
      <c r="E178" s="35" t="str">
        <f>IFERROR(IF(VLOOKUP($B178,casostestes[#Data],3)=0,"-",VLOOKUP($B178,casostestes[#Data],3)), "-")</f>
        <v>-</v>
      </c>
      <c r="F178" s="35" t="str">
        <f>IFERROR(IF(VLOOKUP($B178,casostestes[#Data],4)=0,"-",VLOOKUP($B178,casostestes[#Data],4)),"-")</f>
        <v>-</v>
      </c>
      <c r="G178" s="35" t="str">
        <f>IFERROR(IF(VLOOKUP($B178,casostestes[#Data],5)=0,"-",VLOOKUP($B178,casostestes[#Data],5)),"-")</f>
        <v>-</v>
      </c>
      <c r="H178" s="35" t="str">
        <f>IFERROR(IF(VLOOKUP($B178,casostestes[#Data],6)=0,"-",VLOOKUP($B178,casostestes[#Data],6)),"-")</f>
        <v>-</v>
      </c>
      <c r="I178" s="35" t="str">
        <f>IFERROR(IF(VLOOKUP($B178,casostestes[#Data],8)=0,"-",VLOOKUP($B178,casostestes[#Data],8)),"-")</f>
        <v>-</v>
      </c>
      <c r="J178" s="35" t="str">
        <f>IFERROR(IF(VLOOKUP($B178,casostestes[#Data],9)=0,"-",VLOOKUP($B178,casostestes[#Data],9)),"-")</f>
        <v>-</v>
      </c>
      <c r="K178" s="36"/>
      <c r="L178" s="45"/>
      <c r="M178" s="37"/>
      <c r="N178" s="38"/>
      <c r="O178" s="38"/>
      <c r="P178" s="39"/>
    </row>
    <row r="179" spans="2:16">
      <c r="B179" s="40" t="str">
        <f>IF(ISERR(casostestes[[#This Row],[ID]]),"-",casostestes[[#This Row],[ID]])</f>
        <v>-</v>
      </c>
      <c r="C179" s="34" t="str">
        <f>IFERROR(IF(VLOOKUP($B179,casostestes[#Data],10)=0,"Não",VLOOKUP($B179,casostestes[#Data],10)), "-")</f>
        <v>-</v>
      </c>
      <c r="D179" s="35" t="str">
        <f>IFERROR(IF(VLOOKUP($B179,casostestes[#Data],2)=0,"-",VLOOKUP($B179,casostestes[#Data],2)), "-")</f>
        <v>-</v>
      </c>
      <c r="E179" s="35" t="str">
        <f>IFERROR(IF(VLOOKUP($B179,casostestes[#Data],3)=0,"-",VLOOKUP($B179,casostestes[#Data],3)), "-")</f>
        <v>-</v>
      </c>
      <c r="F179" s="35" t="str">
        <f>IFERROR(IF(VLOOKUP($B179,casostestes[#Data],4)=0,"-",VLOOKUP($B179,casostestes[#Data],4)),"-")</f>
        <v>-</v>
      </c>
      <c r="G179" s="35" t="str">
        <f>IFERROR(IF(VLOOKUP($B179,casostestes[#Data],5)=0,"-",VLOOKUP($B179,casostestes[#Data],5)),"-")</f>
        <v>-</v>
      </c>
      <c r="H179" s="35" t="str">
        <f>IFERROR(IF(VLOOKUP($B179,casostestes[#Data],6)=0,"-",VLOOKUP($B179,casostestes[#Data],6)),"-")</f>
        <v>-</v>
      </c>
      <c r="I179" s="35" t="str">
        <f>IFERROR(IF(VLOOKUP($B179,casostestes[#Data],8)=0,"-",VLOOKUP($B179,casostestes[#Data],8)),"-")</f>
        <v>-</v>
      </c>
      <c r="J179" s="35" t="str">
        <f>IFERROR(IF(VLOOKUP($B179,casostestes[#Data],9)=0,"-",VLOOKUP($B179,casostestes[#Data],9)),"-")</f>
        <v>-</v>
      </c>
      <c r="K179" s="36"/>
      <c r="L179" s="45"/>
      <c r="M179" s="37"/>
      <c r="N179" s="38"/>
      <c r="O179" s="38"/>
      <c r="P179" s="39"/>
    </row>
    <row r="180" spans="2:16">
      <c r="B180" s="40" t="str">
        <f>IF(ISERR(casostestes[[#This Row],[ID]]),"-",casostestes[[#This Row],[ID]])</f>
        <v>-</v>
      </c>
      <c r="C180" s="34" t="str">
        <f>IFERROR(IF(VLOOKUP($B180,casostestes[#Data],10)=0,"Não",VLOOKUP($B180,casostestes[#Data],10)), "-")</f>
        <v>-</v>
      </c>
      <c r="D180" s="35" t="str">
        <f>IFERROR(IF(VLOOKUP($B180,casostestes[#Data],2)=0,"-",VLOOKUP($B180,casostestes[#Data],2)), "-")</f>
        <v>-</v>
      </c>
      <c r="E180" s="35" t="str">
        <f>IFERROR(IF(VLOOKUP($B180,casostestes[#Data],3)=0,"-",VLOOKUP($B180,casostestes[#Data],3)), "-")</f>
        <v>-</v>
      </c>
      <c r="F180" s="35" t="str">
        <f>IFERROR(IF(VLOOKUP($B180,casostestes[#Data],4)=0,"-",VLOOKUP($B180,casostestes[#Data],4)),"-")</f>
        <v>-</v>
      </c>
      <c r="G180" s="35" t="str">
        <f>IFERROR(IF(VLOOKUP($B180,casostestes[#Data],5)=0,"-",VLOOKUP($B180,casostestes[#Data],5)),"-")</f>
        <v>-</v>
      </c>
      <c r="H180" s="35" t="str">
        <f>IFERROR(IF(VLOOKUP($B180,casostestes[#Data],6)=0,"-",VLOOKUP($B180,casostestes[#Data],6)),"-")</f>
        <v>-</v>
      </c>
      <c r="I180" s="35" t="str">
        <f>IFERROR(IF(VLOOKUP($B180,casostestes[#Data],8)=0,"-",VLOOKUP($B180,casostestes[#Data],8)),"-")</f>
        <v>-</v>
      </c>
      <c r="J180" s="35" t="str">
        <f>IFERROR(IF(VLOOKUP($B180,casostestes[#Data],9)=0,"-",VLOOKUP($B180,casostestes[#Data],9)),"-")</f>
        <v>-</v>
      </c>
      <c r="K180" s="36"/>
      <c r="L180" s="45"/>
      <c r="M180" s="37"/>
      <c r="N180" s="38"/>
      <c r="O180" s="38"/>
      <c r="P180" s="39"/>
    </row>
    <row r="181" spans="2:16">
      <c r="B181" s="40" t="str">
        <f>IF(ISERR(casostestes[[#This Row],[ID]]),"-",casostestes[[#This Row],[ID]])</f>
        <v>-</v>
      </c>
      <c r="C181" s="34" t="str">
        <f>IFERROR(IF(VLOOKUP($B181,casostestes[#Data],10)=0,"Não",VLOOKUP($B181,casostestes[#Data],10)), "-")</f>
        <v>-</v>
      </c>
      <c r="D181" s="35" t="str">
        <f>IFERROR(IF(VLOOKUP($B181,casostestes[#Data],2)=0,"-",VLOOKUP($B181,casostestes[#Data],2)), "-")</f>
        <v>-</v>
      </c>
      <c r="E181" s="35" t="str">
        <f>IFERROR(IF(VLOOKUP($B181,casostestes[#Data],3)=0,"-",VLOOKUP($B181,casostestes[#Data],3)), "-")</f>
        <v>-</v>
      </c>
      <c r="F181" s="35" t="str">
        <f>IFERROR(IF(VLOOKUP($B181,casostestes[#Data],4)=0,"-",VLOOKUP($B181,casostestes[#Data],4)),"-")</f>
        <v>-</v>
      </c>
      <c r="G181" s="35" t="str">
        <f>IFERROR(IF(VLOOKUP($B181,casostestes[#Data],5)=0,"-",VLOOKUP($B181,casostestes[#Data],5)),"-")</f>
        <v>-</v>
      </c>
      <c r="H181" s="35" t="str">
        <f>IFERROR(IF(VLOOKUP($B181,casostestes[#Data],6)=0,"-",VLOOKUP($B181,casostestes[#Data],6)),"-")</f>
        <v>-</v>
      </c>
      <c r="I181" s="35" t="str">
        <f>IFERROR(IF(VLOOKUP($B181,casostestes[#Data],8)=0,"-",VLOOKUP($B181,casostestes[#Data],8)),"-")</f>
        <v>-</v>
      </c>
      <c r="J181" s="35" t="str">
        <f>IFERROR(IF(VLOOKUP($B181,casostestes[#Data],9)=0,"-",VLOOKUP($B181,casostestes[#Data],9)),"-")</f>
        <v>-</v>
      </c>
      <c r="K181" s="36"/>
      <c r="L181" s="45"/>
      <c r="M181" s="37"/>
      <c r="N181" s="38"/>
      <c r="O181" s="38"/>
      <c r="P181" s="39"/>
    </row>
    <row r="182" spans="2:16">
      <c r="B182" s="40" t="str">
        <f>IF(ISERR(casostestes[[#This Row],[ID]]),"-",casostestes[[#This Row],[ID]])</f>
        <v>-</v>
      </c>
      <c r="C182" s="34" t="str">
        <f>IFERROR(IF(VLOOKUP($B182,casostestes[#Data],10)=0,"Não",VLOOKUP($B182,casostestes[#Data],10)), "-")</f>
        <v>-</v>
      </c>
      <c r="D182" s="35" t="str">
        <f>IFERROR(IF(VLOOKUP($B182,casostestes[#Data],2)=0,"-",VLOOKUP($B182,casostestes[#Data],2)), "-")</f>
        <v>-</v>
      </c>
      <c r="E182" s="35" t="str">
        <f>IFERROR(IF(VLOOKUP($B182,casostestes[#Data],3)=0,"-",VLOOKUP($B182,casostestes[#Data],3)), "-")</f>
        <v>-</v>
      </c>
      <c r="F182" s="35" t="str">
        <f>IFERROR(IF(VLOOKUP($B182,casostestes[#Data],4)=0,"-",VLOOKUP($B182,casostestes[#Data],4)),"-")</f>
        <v>-</v>
      </c>
      <c r="G182" s="35" t="str">
        <f>IFERROR(IF(VLOOKUP($B182,casostestes[#Data],5)=0,"-",VLOOKUP($B182,casostestes[#Data],5)),"-")</f>
        <v>-</v>
      </c>
      <c r="H182" s="35" t="str">
        <f>IFERROR(IF(VLOOKUP($B182,casostestes[#Data],6)=0,"-",VLOOKUP($B182,casostestes[#Data],6)),"-")</f>
        <v>-</v>
      </c>
      <c r="I182" s="35" t="str">
        <f>IFERROR(IF(VLOOKUP($B182,casostestes[#Data],8)=0,"-",VLOOKUP($B182,casostestes[#Data],8)),"-")</f>
        <v>-</v>
      </c>
      <c r="J182" s="35" t="str">
        <f>IFERROR(IF(VLOOKUP($B182,casostestes[#Data],9)=0,"-",VLOOKUP($B182,casostestes[#Data],9)),"-")</f>
        <v>-</v>
      </c>
      <c r="K182" s="36"/>
      <c r="L182" s="45"/>
      <c r="M182" s="37"/>
      <c r="N182" s="38"/>
      <c r="O182" s="38"/>
      <c r="P182" s="39"/>
    </row>
    <row r="183" spans="2:16">
      <c r="B183" s="40" t="str">
        <f>IF(ISERR(casostestes[[#This Row],[ID]]),"-",casostestes[[#This Row],[ID]])</f>
        <v>-</v>
      </c>
      <c r="C183" s="34" t="str">
        <f>IFERROR(IF(VLOOKUP($B183,casostestes[#Data],10)=0,"Não",VLOOKUP($B183,casostestes[#Data],10)), "-")</f>
        <v>-</v>
      </c>
      <c r="D183" s="35" t="str">
        <f>IFERROR(IF(VLOOKUP($B183,casostestes[#Data],2)=0,"-",VLOOKUP($B183,casostestes[#Data],2)), "-")</f>
        <v>-</v>
      </c>
      <c r="E183" s="35" t="str">
        <f>IFERROR(IF(VLOOKUP($B183,casostestes[#Data],3)=0,"-",VLOOKUP($B183,casostestes[#Data],3)), "-")</f>
        <v>-</v>
      </c>
      <c r="F183" s="35" t="str">
        <f>IFERROR(IF(VLOOKUP($B183,casostestes[#Data],4)=0,"-",VLOOKUP($B183,casostestes[#Data],4)),"-")</f>
        <v>-</v>
      </c>
      <c r="G183" s="35" t="str">
        <f>IFERROR(IF(VLOOKUP($B183,casostestes[#Data],5)=0,"-",VLOOKUP($B183,casostestes[#Data],5)),"-")</f>
        <v>-</v>
      </c>
      <c r="H183" s="35" t="str">
        <f>IFERROR(IF(VLOOKUP($B183,casostestes[#Data],6)=0,"-",VLOOKUP($B183,casostestes[#Data],6)),"-")</f>
        <v>-</v>
      </c>
      <c r="I183" s="35" t="str">
        <f>IFERROR(IF(VLOOKUP($B183,casostestes[#Data],8)=0,"-",VLOOKUP($B183,casostestes[#Data],8)),"-")</f>
        <v>-</v>
      </c>
      <c r="J183" s="35" t="str">
        <f>IFERROR(IF(VLOOKUP($B183,casostestes[#Data],9)=0,"-",VLOOKUP($B183,casostestes[#Data],9)),"-")</f>
        <v>-</v>
      </c>
      <c r="K183" s="36"/>
      <c r="L183" s="45"/>
      <c r="M183" s="37"/>
      <c r="N183" s="38"/>
      <c r="O183" s="38"/>
      <c r="P183" s="39"/>
    </row>
    <row r="184" spans="2:16">
      <c r="B184" s="40" t="str">
        <f>IF(ISERR(casostestes[[#This Row],[ID]]),"-",casostestes[[#This Row],[ID]])</f>
        <v>-</v>
      </c>
      <c r="C184" s="34" t="str">
        <f>IFERROR(IF(VLOOKUP($B184,casostestes[#Data],10)=0,"Não",VLOOKUP($B184,casostestes[#Data],10)), "-")</f>
        <v>-</v>
      </c>
      <c r="D184" s="35" t="str">
        <f>IFERROR(IF(VLOOKUP($B184,casostestes[#Data],2)=0,"-",VLOOKUP($B184,casostestes[#Data],2)), "-")</f>
        <v>-</v>
      </c>
      <c r="E184" s="35" t="str">
        <f>IFERROR(IF(VLOOKUP($B184,casostestes[#Data],3)=0,"-",VLOOKUP($B184,casostestes[#Data],3)), "-")</f>
        <v>-</v>
      </c>
      <c r="F184" s="35" t="str">
        <f>IFERROR(IF(VLOOKUP($B184,casostestes[#Data],4)=0,"-",VLOOKUP($B184,casostestes[#Data],4)),"-")</f>
        <v>-</v>
      </c>
      <c r="G184" s="35" t="str">
        <f>IFERROR(IF(VLOOKUP($B184,casostestes[#Data],5)=0,"-",VLOOKUP($B184,casostestes[#Data],5)),"-")</f>
        <v>-</v>
      </c>
      <c r="H184" s="35" t="str">
        <f>IFERROR(IF(VLOOKUP($B184,casostestes[#Data],6)=0,"-",VLOOKUP($B184,casostestes[#Data],6)),"-")</f>
        <v>-</v>
      </c>
      <c r="I184" s="35" t="str">
        <f>IFERROR(IF(VLOOKUP($B184,casostestes[#Data],8)=0,"-",VLOOKUP($B184,casostestes[#Data],8)),"-")</f>
        <v>-</v>
      </c>
      <c r="J184" s="35" t="str">
        <f>IFERROR(IF(VLOOKUP($B184,casostestes[#Data],9)=0,"-",VLOOKUP($B184,casostestes[#Data],9)),"-")</f>
        <v>-</v>
      </c>
      <c r="K184" s="36"/>
      <c r="L184" s="45"/>
      <c r="M184" s="37"/>
      <c r="N184" s="38"/>
      <c r="O184" s="38"/>
      <c r="P184" s="39"/>
    </row>
    <row r="185" spans="2:16">
      <c r="B185" s="40" t="str">
        <f>IF(ISERR(casostestes[[#This Row],[ID]]),"-",casostestes[[#This Row],[ID]])</f>
        <v>-</v>
      </c>
      <c r="C185" s="34" t="str">
        <f>IFERROR(IF(VLOOKUP($B185,casostestes[#Data],10)=0,"Não",VLOOKUP($B185,casostestes[#Data],10)), "-")</f>
        <v>-</v>
      </c>
      <c r="D185" s="35" t="str">
        <f>IFERROR(IF(VLOOKUP($B185,casostestes[#Data],2)=0,"-",VLOOKUP($B185,casostestes[#Data],2)), "-")</f>
        <v>-</v>
      </c>
      <c r="E185" s="35" t="str">
        <f>IFERROR(IF(VLOOKUP($B185,casostestes[#Data],3)=0,"-",VLOOKUP($B185,casostestes[#Data],3)), "-")</f>
        <v>-</v>
      </c>
      <c r="F185" s="35" t="str">
        <f>IFERROR(IF(VLOOKUP($B185,casostestes[#Data],4)=0,"-",VLOOKUP($B185,casostestes[#Data],4)),"-")</f>
        <v>-</v>
      </c>
      <c r="G185" s="35" t="str">
        <f>IFERROR(IF(VLOOKUP($B185,casostestes[#Data],5)=0,"-",VLOOKUP($B185,casostestes[#Data],5)),"-")</f>
        <v>-</v>
      </c>
      <c r="H185" s="35" t="str">
        <f>IFERROR(IF(VLOOKUP($B185,casostestes[#Data],6)=0,"-",VLOOKUP($B185,casostestes[#Data],6)),"-")</f>
        <v>-</v>
      </c>
      <c r="I185" s="35" t="str">
        <f>IFERROR(IF(VLOOKUP($B185,casostestes[#Data],8)=0,"-",VLOOKUP($B185,casostestes[#Data],8)),"-")</f>
        <v>-</v>
      </c>
      <c r="J185" s="35" t="str">
        <f>IFERROR(IF(VLOOKUP($B185,casostestes[#Data],9)=0,"-",VLOOKUP($B185,casostestes[#Data],9)),"-")</f>
        <v>-</v>
      </c>
      <c r="K185" s="36"/>
      <c r="L185" s="45"/>
      <c r="M185" s="37"/>
      <c r="N185" s="38"/>
      <c r="O185" s="38"/>
      <c r="P185" s="39"/>
    </row>
    <row r="186" spans="2:16">
      <c r="B186" s="40" t="str">
        <f>IF(ISERR(casostestes[[#This Row],[ID]]),"-",casostestes[[#This Row],[ID]])</f>
        <v>-</v>
      </c>
      <c r="C186" s="34" t="str">
        <f>IFERROR(IF(VLOOKUP($B186,casostestes[#Data],10)=0,"Não",VLOOKUP($B186,casostestes[#Data],10)), "-")</f>
        <v>-</v>
      </c>
      <c r="D186" s="35" t="str">
        <f>IFERROR(IF(VLOOKUP($B186,casostestes[#Data],2)=0,"-",VLOOKUP($B186,casostestes[#Data],2)), "-")</f>
        <v>-</v>
      </c>
      <c r="E186" s="35" t="str">
        <f>IFERROR(IF(VLOOKUP($B186,casostestes[#Data],3)=0,"-",VLOOKUP($B186,casostestes[#Data],3)), "-")</f>
        <v>-</v>
      </c>
      <c r="F186" s="35" t="str">
        <f>IFERROR(IF(VLOOKUP($B186,casostestes[#Data],4)=0,"-",VLOOKUP($B186,casostestes[#Data],4)),"-")</f>
        <v>-</v>
      </c>
      <c r="G186" s="35" t="str">
        <f>IFERROR(IF(VLOOKUP($B186,casostestes[#Data],5)=0,"-",VLOOKUP($B186,casostestes[#Data],5)),"-")</f>
        <v>-</v>
      </c>
      <c r="H186" s="35" t="str">
        <f>IFERROR(IF(VLOOKUP($B186,casostestes[#Data],6)=0,"-",VLOOKUP($B186,casostestes[#Data],6)),"-")</f>
        <v>-</v>
      </c>
      <c r="I186" s="35" t="str">
        <f>IFERROR(IF(VLOOKUP($B186,casostestes[#Data],8)=0,"-",VLOOKUP($B186,casostestes[#Data],8)),"-")</f>
        <v>-</v>
      </c>
      <c r="J186" s="35" t="str">
        <f>IFERROR(IF(VLOOKUP($B186,casostestes[#Data],9)=0,"-",VLOOKUP($B186,casostestes[#Data],9)),"-")</f>
        <v>-</v>
      </c>
      <c r="K186" s="36"/>
      <c r="L186" s="45"/>
      <c r="M186" s="37"/>
      <c r="N186" s="38"/>
      <c r="O186" s="38"/>
      <c r="P186" s="39"/>
    </row>
    <row r="187" spans="2:16">
      <c r="B187" s="40" t="str">
        <f>IF(ISERR(casostestes[[#This Row],[ID]]),"-",casostestes[[#This Row],[ID]])</f>
        <v>-</v>
      </c>
      <c r="C187" s="34" t="str">
        <f>IFERROR(IF(VLOOKUP($B187,casostestes[#Data],10)=0,"Não",VLOOKUP($B187,casostestes[#Data],10)), "-")</f>
        <v>-</v>
      </c>
      <c r="D187" s="35" t="str">
        <f>IFERROR(IF(VLOOKUP($B187,casostestes[#Data],2)=0,"-",VLOOKUP($B187,casostestes[#Data],2)), "-")</f>
        <v>-</v>
      </c>
      <c r="E187" s="35" t="str">
        <f>IFERROR(IF(VLOOKUP($B187,casostestes[#Data],3)=0,"-",VLOOKUP($B187,casostestes[#Data],3)), "-")</f>
        <v>-</v>
      </c>
      <c r="F187" s="35" t="str">
        <f>IFERROR(IF(VLOOKUP($B187,casostestes[#Data],4)=0,"-",VLOOKUP($B187,casostestes[#Data],4)),"-")</f>
        <v>-</v>
      </c>
      <c r="G187" s="35" t="str">
        <f>IFERROR(IF(VLOOKUP($B187,casostestes[#Data],5)=0,"-",VLOOKUP($B187,casostestes[#Data],5)),"-")</f>
        <v>-</v>
      </c>
      <c r="H187" s="35" t="str">
        <f>IFERROR(IF(VLOOKUP($B187,casostestes[#Data],6)=0,"-",VLOOKUP($B187,casostestes[#Data],6)),"-")</f>
        <v>-</v>
      </c>
      <c r="I187" s="35" t="str">
        <f>IFERROR(IF(VLOOKUP($B187,casostestes[#Data],8)=0,"-",VLOOKUP($B187,casostestes[#Data],8)),"-")</f>
        <v>-</v>
      </c>
      <c r="J187" s="35" t="str">
        <f>IFERROR(IF(VLOOKUP($B187,casostestes[#Data],9)=0,"-",VLOOKUP($B187,casostestes[#Data],9)),"-")</f>
        <v>-</v>
      </c>
      <c r="K187" s="36"/>
      <c r="L187" s="45"/>
      <c r="M187" s="37"/>
      <c r="N187" s="38"/>
      <c r="O187" s="38"/>
      <c r="P187" s="39"/>
    </row>
    <row r="188" spans="2:16">
      <c r="B188" s="40" t="str">
        <f>IF(ISERR(casostestes[[#This Row],[ID]]),"-",casostestes[[#This Row],[ID]])</f>
        <v>-</v>
      </c>
      <c r="C188" s="34" t="str">
        <f>IFERROR(IF(VLOOKUP($B188,casostestes[#Data],10)=0,"Não",VLOOKUP($B188,casostestes[#Data],10)), "-")</f>
        <v>-</v>
      </c>
      <c r="D188" s="35" t="str">
        <f>IFERROR(IF(VLOOKUP($B188,casostestes[#Data],2)=0,"-",VLOOKUP($B188,casostestes[#Data],2)), "-")</f>
        <v>-</v>
      </c>
      <c r="E188" s="35" t="str">
        <f>IFERROR(IF(VLOOKUP($B188,casostestes[#Data],3)=0,"-",VLOOKUP($B188,casostestes[#Data],3)), "-")</f>
        <v>-</v>
      </c>
      <c r="F188" s="35" t="str">
        <f>IFERROR(IF(VLOOKUP($B188,casostestes[#Data],4)=0,"-",VLOOKUP($B188,casostestes[#Data],4)),"-")</f>
        <v>-</v>
      </c>
      <c r="G188" s="35" t="str">
        <f>IFERROR(IF(VLOOKUP($B188,casostestes[#Data],5)=0,"-",VLOOKUP($B188,casostestes[#Data],5)),"-")</f>
        <v>-</v>
      </c>
      <c r="H188" s="35" t="str">
        <f>IFERROR(IF(VLOOKUP($B188,casostestes[#Data],6)=0,"-",VLOOKUP($B188,casostestes[#Data],6)),"-")</f>
        <v>-</v>
      </c>
      <c r="I188" s="35" t="str">
        <f>IFERROR(IF(VLOOKUP($B188,casostestes[#Data],8)=0,"-",VLOOKUP($B188,casostestes[#Data],8)),"-")</f>
        <v>-</v>
      </c>
      <c r="J188" s="35" t="str">
        <f>IFERROR(IF(VLOOKUP($B188,casostestes[#Data],9)=0,"-",VLOOKUP($B188,casostestes[#Data],9)),"-")</f>
        <v>-</v>
      </c>
      <c r="K188" s="36"/>
      <c r="L188" s="45"/>
      <c r="M188" s="37"/>
      <c r="N188" s="38"/>
      <c r="O188" s="38"/>
      <c r="P188" s="39"/>
    </row>
    <row r="189" spans="2:16">
      <c r="B189" s="40" t="str">
        <f>IF(ISERR(casostestes[[#This Row],[ID]]),"-",casostestes[[#This Row],[ID]])</f>
        <v>-</v>
      </c>
      <c r="C189" s="34" t="str">
        <f>IFERROR(IF(VLOOKUP($B189,casostestes[#Data],10)=0,"Não",VLOOKUP($B189,casostestes[#Data],10)), "-")</f>
        <v>-</v>
      </c>
      <c r="D189" s="35" t="str">
        <f>IFERROR(IF(VLOOKUP($B189,casostestes[#Data],2)=0,"-",VLOOKUP($B189,casostestes[#Data],2)), "-")</f>
        <v>-</v>
      </c>
      <c r="E189" s="35" t="str">
        <f>IFERROR(IF(VLOOKUP($B189,casostestes[#Data],3)=0,"-",VLOOKUP($B189,casostestes[#Data],3)), "-")</f>
        <v>-</v>
      </c>
      <c r="F189" s="35" t="str">
        <f>IFERROR(IF(VLOOKUP($B189,casostestes[#Data],4)=0,"-",VLOOKUP($B189,casostestes[#Data],4)),"-")</f>
        <v>-</v>
      </c>
      <c r="G189" s="35" t="str">
        <f>IFERROR(IF(VLOOKUP($B189,casostestes[#Data],5)=0,"-",VLOOKUP($B189,casostestes[#Data],5)),"-")</f>
        <v>-</v>
      </c>
      <c r="H189" s="35" t="str">
        <f>IFERROR(IF(VLOOKUP($B189,casostestes[#Data],6)=0,"-",VLOOKUP($B189,casostestes[#Data],6)),"-")</f>
        <v>-</v>
      </c>
      <c r="I189" s="35" t="str">
        <f>IFERROR(IF(VLOOKUP($B189,casostestes[#Data],8)=0,"-",VLOOKUP($B189,casostestes[#Data],8)),"-")</f>
        <v>-</v>
      </c>
      <c r="J189" s="35" t="str">
        <f>IFERROR(IF(VLOOKUP($B189,casostestes[#Data],9)=0,"-",VLOOKUP($B189,casostestes[#Data],9)),"-")</f>
        <v>-</v>
      </c>
      <c r="K189" s="36"/>
      <c r="L189" s="45"/>
      <c r="M189" s="37"/>
      <c r="N189" s="38"/>
      <c r="O189" s="38"/>
      <c r="P189" s="39"/>
    </row>
    <row r="190" spans="2:16">
      <c r="B190" s="40" t="str">
        <f>IF(ISERR(casostestes[[#This Row],[ID]]),"-",casostestes[[#This Row],[ID]])</f>
        <v>-</v>
      </c>
      <c r="C190" s="34" t="str">
        <f>IFERROR(IF(VLOOKUP($B190,casostestes[#Data],10)=0,"Não",VLOOKUP($B190,casostestes[#Data],10)), "-")</f>
        <v>-</v>
      </c>
      <c r="D190" s="35" t="str">
        <f>IFERROR(IF(VLOOKUP($B190,casostestes[#Data],2)=0,"-",VLOOKUP($B190,casostestes[#Data],2)), "-")</f>
        <v>-</v>
      </c>
      <c r="E190" s="35" t="str">
        <f>IFERROR(IF(VLOOKUP($B190,casostestes[#Data],3)=0,"-",VLOOKUP($B190,casostestes[#Data],3)), "-")</f>
        <v>-</v>
      </c>
      <c r="F190" s="35" t="str">
        <f>IFERROR(IF(VLOOKUP($B190,casostestes[#Data],4)=0,"-",VLOOKUP($B190,casostestes[#Data],4)),"-")</f>
        <v>-</v>
      </c>
      <c r="G190" s="35" t="str">
        <f>IFERROR(IF(VLOOKUP($B190,casostestes[#Data],5)=0,"-",VLOOKUP($B190,casostestes[#Data],5)),"-")</f>
        <v>-</v>
      </c>
      <c r="H190" s="35" t="str">
        <f>IFERROR(IF(VLOOKUP($B190,casostestes[#Data],6)=0,"-",VLOOKUP($B190,casostestes[#Data],6)),"-")</f>
        <v>-</v>
      </c>
      <c r="I190" s="35" t="str">
        <f>IFERROR(IF(VLOOKUP($B190,casostestes[#Data],8)=0,"-",VLOOKUP($B190,casostestes[#Data],8)),"-")</f>
        <v>-</v>
      </c>
      <c r="J190" s="35" t="str">
        <f>IFERROR(IF(VLOOKUP($B190,casostestes[#Data],9)=0,"-",VLOOKUP($B190,casostestes[#Data],9)),"-")</f>
        <v>-</v>
      </c>
      <c r="K190" s="36"/>
      <c r="L190" s="45"/>
      <c r="M190" s="37"/>
      <c r="N190" s="38"/>
      <c r="O190" s="38"/>
      <c r="P190" s="39"/>
    </row>
    <row r="191" spans="2:16">
      <c r="B191" s="40" t="str">
        <f>IF(ISERR(casostestes[[#This Row],[ID]]),"-",casostestes[[#This Row],[ID]])</f>
        <v>-</v>
      </c>
      <c r="C191" s="34" t="str">
        <f>IFERROR(IF(VLOOKUP($B191,casostestes[#Data],10)=0,"Não",VLOOKUP($B191,casostestes[#Data],10)), "-")</f>
        <v>-</v>
      </c>
      <c r="D191" s="35" t="str">
        <f>IFERROR(IF(VLOOKUP($B191,casostestes[#Data],2)=0,"-",VLOOKUP($B191,casostestes[#Data],2)), "-")</f>
        <v>-</v>
      </c>
      <c r="E191" s="35" t="str">
        <f>IFERROR(IF(VLOOKUP($B191,casostestes[#Data],3)=0,"-",VLOOKUP($B191,casostestes[#Data],3)), "-")</f>
        <v>-</v>
      </c>
      <c r="F191" s="35" t="str">
        <f>IFERROR(IF(VLOOKUP($B191,casostestes[#Data],4)=0,"-",VLOOKUP($B191,casostestes[#Data],4)),"-")</f>
        <v>-</v>
      </c>
      <c r="G191" s="35" t="str">
        <f>IFERROR(IF(VLOOKUP($B191,casostestes[#Data],5)=0,"-",VLOOKUP($B191,casostestes[#Data],5)),"-")</f>
        <v>-</v>
      </c>
      <c r="H191" s="35" t="str">
        <f>IFERROR(IF(VLOOKUP($B191,casostestes[#Data],6)=0,"-",VLOOKUP($B191,casostestes[#Data],6)),"-")</f>
        <v>-</v>
      </c>
      <c r="I191" s="35" t="str">
        <f>IFERROR(IF(VLOOKUP($B191,casostestes[#Data],8)=0,"-",VLOOKUP($B191,casostestes[#Data],8)),"-")</f>
        <v>-</v>
      </c>
      <c r="J191" s="35" t="str">
        <f>IFERROR(IF(VLOOKUP($B191,casostestes[#Data],9)=0,"-",VLOOKUP($B191,casostestes[#Data],9)),"-")</f>
        <v>-</v>
      </c>
      <c r="K191" s="36"/>
      <c r="L191" s="45"/>
      <c r="M191" s="37"/>
      <c r="N191" s="38"/>
      <c r="O191" s="38"/>
      <c r="P191" s="39"/>
    </row>
    <row r="192" spans="2:16">
      <c r="B192" s="40" t="str">
        <f>IF(ISERR(casostestes[[#This Row],[ID]]),"-",casostestes[[#This Row],[ID]])</f>
        <v>-</v>
      </c>
      <c r="C192" s="34" t="str">
        <f>IFERROR(IF(VLOOKUP($B192,casostestes[#Data],10)=0,"Não",VLOOKUP($B192,casostestes[#Data],10)), "-")</f>
        <v>-</v>
      </c>
      <c r="D192" s="35" t="str">
        <f>IFERROR(IF(VLOOKUP($B192,casostestes[#Data],2)=0,"-",VLOOKUP($B192,casostestes[#Data],2)), "-")</f>
        <v>-</v>
      </c>
      <c r="E192" s="35" t="str">
        <f>IFERROR(IF(VLOOKUP($B192,casostestes[#Data],3)=0,"-",VLOOKUP($B192,casostestes[#Data],3)), "-")</f>
        <v>-</v>
      </c>
      <c r="F192" s="35" t="str">
        <f>IFERROR(IF(VLOOKUP($B192,casostestes[#Data],4)=0,"-",VLOOKUP($B192,casostestes[#Data],4)),"-")</f>
        <v>-</v>
      </c>
      <c r="G192" s="35" t="str">
        <f>IFERROR(IF(VLOOKUP($B192,casostestes[#Data],5)=0,"-",VLOOKUP($B192,casostestes[#Data],5)),"-")</f>
        <v>-</v>
      </c>
      <c r="H192" s="35" t="str">
        <f>IFERROR(IF(VLOOKUP($B192,casostestes[#Data],6)=0,"-",VLOOKUP($B192,casostestes[#Data],6)),"-")</f>
        <v>-</v>
      </c>
      <c r="I192" s="35" t="str">
        <f>IFERROR(IF(VLOOKUP($B192,casostestes[#Data],8)=0,"-",VLOOKUP($B192,casostestes[#Data],8)),"-")</f>
        <v>-</v>
      </c>
      <c r="J192" s="35" t="str">
        <f>IFERROR(IF(VLOOKUP($B192,casostestes[#Data],9)=0,"-",VLOOKUP($B192,casostestes[#Data],9)),"-")</f>
        <v>-</v>
      </c>
      <c r="K192" s="36"/>
      <c r="L192" s="45"/>
      <c r="M192" s="37"/>
      <c r="N192" s="38"/>
      <c r="O192" s="38"/>
      <c r="P192" s="39"/>
    </row>
    <row r="193" spans="2:16">
      <c r="B193" s="40" t="str">
        <f>IF(ISERR(casostestes[[#This Row],[ID]]),"-",casostestes[[#This Row],[ID]])</f>
        <v>-</v>
      </c>
      <c r="C193" s="34" t="str">
        <f>IFERROR(IF(VLOOKUP($B193,casostestes[#Data],10)=0,"Não",VLOOKUP($B193,casostestes[#Data],10)), "-")</f>
        <v>-</v>
      </c>
      <c r="D193" s="35" t="str">
        <f>IFERROR(IF(VLOOKUP($B193,casostestes[#Data],2)=0,"-",VLOOKUP($B193,casostestes[#Data],2)), "-")</f>
        <v>-</v>
      </c>
      <c r="E193" s="35" t="str">
        <f>IFERROR(IF(VLOOKUP($B193,casostestes[#Data],3)=0,"-",VLOOKUP($B193,casostestes[#Data],3)), "-")</f>
        <v>-</v>
      </c>
      <c r="F193" s="35" t="str">
        <f>IFERROR(IF(VLOOKUP($B193,casostestes[#Data],4)=0,"-",VLOOKUP($B193,casostestes[#Data],4)),"-")</f>
        <v>-</v>
      </c>
      <c r="G193" s="35" t="str">
        <f>IFERROR(IF(VLOOKUP($B193,casostestes[#Data],5)=0,"-",VLOOKUP($B193,casostestes[#Data],5)),"-")</f>
        <v>-</v>
      </c>
      <c r="H193" s="35" t="str">
        <f>IFERROR(IF(VLOOKUP($B193,casostestes[#Data],6)=0,"-",VLOOKUP($B193,casostestes[#Data],6)),"-")</f>
        <v>-</v>
      </c>
      <c r="I193" s="35" t="str">
        <f>IFERROR(IF(VLOOKUP($B193,casostestes[#Data],8)=0,"-",VLOOKUP($B193,casostestes[#Data],8)),"-")</f>
        <v>-</v>
      </c>
      <c r="J193" s="35" t="str">
        <f>IFERROR(IF(VLOOKUP($B193,casostestes[#Data],9)=0,"-",VLOOKUP($B193,casostestes[#Data],9)),"-")</f>
        <v>-</v>
      </c>
      <c r="K193" s="36"/>
      <c r="L193" s="45"/>
      <c r="M193" s="37"/>
      <c r="N193" s="38"/>
      <c r="O193" s="38"/>
      <c r="P193" s="39"/>
    </row>
    <row r="194" spans="2:16">
      <c r="B194" s="40" t="str">
        <f>IF(ISERR(casostestes[[#This Row],[ID]]),"-",casostestes[[#This Row],[ID]])</f>
        <v>-</v>
      </c>
      <c r="C194" s="34" t="str">
        <f>IFERROR(IF(VLOOKUP($B194,casostestes[#Data],10)=0,"Não",VLOOKUP($B194,casostestes[#Data],10)), "-")</f>
        <v>-</v>
      </c>
      <c r="D194" s="35" t="str">
        <f>IFERROR(IF(VLOOKUP($B194,casostestes[#Data],2)=0,"-",VLOOKUP($B194,casostestes[#Data],2)), "-")</f>
        <v>-</v>
      </c>
      <c r="E194" s="35" t="str">
        <f>IFERROR(IF(VLOOKUP($B194,casostestes[#Data],3)=0,"-",VLOOKUP($B194,casostestes[#Data],3)), "-")</f>
        <v>-</v>
      </c>
      <c r="F194" s="35" t="str">
        <f>IFERROR(IF(VLOOKUP($B194,casostestes[#Data],4)=0,"-",VLOOKUP($B194,casostestes[#Data],4)),"-")</f>
        <v>-</v>
      </c>
      <c r="G194" s="35" t="str">
        <f>IFERROR(IF(VLOOKUP($B194,casostestes[#Data],5)=0,"-",VLOOKUP($B194,casostestes[#Data],5)),"-")</f>
        <v>-</v>
      </c>
      <c r="H194" s="35" t="str">
        <f>IFERROR(IF(VLOOKUP($B194,casostestes[#Data],6)=0,"-",VLOOKUP($B194,casostestes[#Data],6)),"-")</f>
        <v>-</v>
      </c>
      <c r="I194" s="35" t="str">
        <f>IFERROR(IF(VLOOKUP($B194,casostestes[#Data],8)=0,"-",VLOOKUP($B194,casostestes[#Data],8)),"-")</f>
        <v>-</v>
      </c>
      <c r="J194" s="35" t="str">
        <f>IFERROR(IF(VLOOKUP($B194,casostestes[#Data],9)=0,"-",VLOOKUP($B194,casostestes[#Data],9)),"-")</f>
        <v>-</v>
      </c>
      <c r="K194" s="36"/>
      <c r="L194" s="45"/>
      <c r="M194" s="37"/>
      <c r="N194" s="38"/>
      <c r="O194" s="38"/>
      <c r="P194" s="39"/>
    </row>
    <row r="195" spans="2:16">
      <c r="B195" s="40" t="str">
        <f>IF(ISERR(casostestes[[#This Row],[ID]]),"-",casostestes[[#This Row],[ID]])</f>
        <v>-</v>
      </c>
      <c r="C195" s="34" t="str">
        <f>IFERROR(IF(VLOOKUP($B195,casostestes[#Data],10)=0,"Não",VLOOKUP($B195,casostestes[#Data],10)), "-")</f>
        <v>-</v>
      </c>
      <c r="D195" s="35" t="str">
        <f>IFERROR(IF(VLOOKUP($B195,casostestes[#Data],2)=0,"-",VLOOKUP($B195,casostestes[#Data],2)), "-")</f>
        <v>-</v>
      </c>
      <c r="E195" s="35" t="str">
        <f>IFERROR(IF(VLOOKUP($B195,casostestes[#Data],3)=0,"-",VLOOKUP($B195,casostestes[#Data],3)), "-")</f>
        <v>-</v>
      </c>
      <c r="F195" s="35" t="str">
        <f>IFERROR(IF(VLOOKUP($B195,casostestes[#Data],4)=0,"-",VLOOKUP($B195,casostestes[#Data],4)),"-")</f>
        <v>-</v>
      </c>
      <c r="G195" s="35" t="str">
        <f>IFERROR(IF(VLOOKUP($B195,casostestes[#Data],5)=0,"-",VLOOKUP($B195,casostestes[#Data],5)),"-")</f>
        <v>-</v>
      </c>
      <c r="H195" s="35" t="str">
        <f>IFERROR(IF(VLOOKUP($B195,casostestes[#Data],6)=0,"-",VLOOKUP($B195,casostestes[#Data],6)),"-")</f>
        <v>-</v>
      </c>
      <c r="I195" s="35" t="str">
        <f>IFERROR(IF(VLOOKUP($B195,casostestes[#Data],8)=0,"-",VLOOKUP($B195,casostestes[#Data],8)),"-")</f>
        <v>-</v>
      </c>
      <c r="J195" s="35" t="str">
        <f>IFERROR(IF(VLOOKUP($B195,casostestes[#Data],9)=0,"-",VLOOKUP($B195,casostestes[#Data],9)),"-")</f>
        <v>-</v>
      </c>
      <c r="K195" s="36"/>
      <c r="L195" s="45"/>
      <c r="M195" s="37"/>
      <c r="N195" s="38"/>
      <c r="O195" s="38"/>
      <c r="P195" s="39"/>
    </row>
    <row r="196" spans="2:16">
      <c r="B196" s="40" t="str">
        <f>IF(ISERR(casostestes[[#This Row],[ID]]),"-",casostestes[[#This Row],[ID]])</f>
        <v>-</v>
      </c>
      <c r="C196" s="34" t="str">
        <f>IFERROR(IF(VLOOKUP($B196,casostestes[#Data],10)=0,"Não",VLOOKUP($B196,casostestes[#Data],10)), "-")</f>
        <v>-</v>
      </c>
      <c r="D196" s="35" t="str">
        <f>IFERROR(IF(VLOOKUP($B196,casostestes[#Data],2)=0,"-",VLOOKUP($B196,casostestes[#Data],2)), "-")</f>
        <v>-</v>
      </c>
      <c r="E196" s="35" t="str">
        <f>IFERROR(IF(VLOOKUP($B196,casostestes[#Data],3)=0,"-",VLOOKUP($B196,casostestes[#Data],3)), "-")</f>
        <v>-</v>
      </c>
      <c r="F196" s="35" t="str">
        <f>IFERROR(IF(VLOOKUP($B196,casostestes[#Data],4)=0,"-",VLOOKUP($B196,casostestes[#Data],4)),"-")</f>
        <v>-</v>
      </c>
      <c r="G196" s="35" t="str">
        <f>IFERROR(IF(VLOOKUP($B196,casostestes[#Data],5)=0,"-",VLOOKUP($B196,casostestes[#Data],5)),"-")</f>
        <v>-</v>
      </c>
      <c r="H196" s="35" t="str">
        <f>IFERROR(IF(VLOOKUP($B196,casostestes[#Data],6)=0,"-",VLOOKUP($B196,casostestes[#Data],6)),"-")</f>
        <v>-</v>
      </c>
      <c r="I196" s="35" t="str">
        <f>IFERROR(IF(VLOOKUP($B196,casostestes[#Data],8)=0,"-",VLOOKUP($B196,casostestes[#Data],8)),"-")</f>
        <v>-</v>
      </c>
      <c r="J196" s="35" t="str">
        <f>IFERROR(IF(VLOOKUP($B196,casostestes[#Data],9)=0,"-",VLOOKUP($B196,casostestes[#Data],9)),"-")</f>
        <v>-</v>
      </c>
      <c r="K196" s="36"/>
      <c r="L196" s="45"/>
      <c r="M196" s="37"/>
      <c r="N196" s="38"/>
      <c r="O196" s="38"/>
      <c r="P196" s="39"/>
    </row>
    <row r="197" spans="2:16">
      <c r="B197" s="40" t="str">
        <f>IF(ISERR(casostestes[[#This Row],[ID]]),"-",casostestes[[#This Row],[ID]])</f>
        <v>-</v>
      </c>
      <c r="C197" s="34" t="str">
        <f>IFERROR(IF(VLOOKUP($B197,casostestes[#Data],10)=0,"Não",VLOOKUP($B197,casostestes[#Data],10)), "-")</f>
        <v>-</v>
      </c>
      <c r="D197" s="35" t="str">
        <f>IFERROR(IF(VLOOKUP($B197,casostestes[#Data],2)=0,"-",VLOOKUP($B197,casostestes[#Data],2)), "-")</f>
        <v>-</v>
      </c>
      <c r="E197" s="35" t="str">
        <f>IFERROR(IF(VLOOKUP($B197,casostestes[#Data],3)=0,"-",VLOOKUP($B197,casostestes[#Data],3)), "-")</f>
        <v>-</v>
      </c>
      <c r="F197" s="35" t="str">
        <f>IFERROR(IF(VLOOKUP($B197,casostestes[#Data],4)=0,"-",VLOOKUP($B197,casostestes[#Data],4)),"-")</f>
        <v>-</v>
      </c>
      <c r="G197" s="35" t="str">
        <f>IFERROR(IF(VLOOKUP($B197,casostestes[#Data],5)=0,"-",VLOOKUP($B197,casostestes[#Data],5)),"-")</f>
        <v>-</v>
      </c>
      <c r="H197" s="35" t="str">
        <f>IFERROR(IF(VLOOKUP($B197,casostestes[#Data],6)=0,"-",VLOOKUP($B197,casostestes[#Data],6)),"-")</f>
        <v>-</v>
      </c>
      <c r="I197" s="35" t="str">
        <f>IFERROR(IF(VLOOKUP($B197,casostestes[#Data],8)=0,"-",VLOOKUP($B197,casostestes[#Data],8)),"-")</f>
        <v>-</v>
      </c>
      <c r="J197" s="35" t="str">
        <f>IFERROR(IF(VLOOKUP($B197,casostestes[#Data],9)=0,"-",VLOOKUP($B197,casostestes[#Data],9)),"-")</f>
        <v>-</v>
      </c>
      <c r="K197" s="36"/>
      <c r="L197" s="45"/>
      <c r="M197" s="37"/>
      <c r="N197" s="38"/>
      <c r="O197" s="38"/>
      <c r="P197" s="39"/>
    </row>
    <row r="198" spans="2:16">
      <c r="B198" s="40" t="str">
        <f>IF(ISERR(casostestes[[#This Row],[ID]]),"-",casostestes[[#This Row],[ID]])</f>
        <v>-</v>
      </c>
      <c r="C198" s="34" t="str">
        <f>IFERROR(IF(VLOOKUP($B198,casostestes[#Data],10)=0,"Não",VLOOKUP($B198,casostestes[#Data],10)), "-")</f>
        <v>-</v>
      </c>
      <c r="D198" s="35" t="str">
        <f>IFERROR(IF(VLOOKUP($B198,casostestes[#Data],2)=0,"-",VLOOKUP($B198,casostestes[#Data],2)), "-")</f>
        <v>-</v>
      </c>
      <c r="E198" s="35" t="str">
        <f>IFERROR(IF(VLOOKUP($B198,casostestes[#Data],3)=0,"-",VLOOKUP($B198,casostestes[#Data],3)), "-")</f>
        <v>-</v>
      </c>
      <c r="F198" s="35" t="str">
        <f>IFERROR(IF(VLOOKUP($B198,casostestes[#Data],4)=0,"-",VLOOKUP($B198,casostestes[#Data],4)),"-")</f>
        <v>-</v>
      </c>
      <c r="G198" s="35" t="str">
        <f>IFERROR(IF(VLOOKUP($B198,casostestes[#Data],5)=0,"-",VLOOKUP($B198,casostestes[#Data],5)),"-")</f>
        <v>-</v>
      </c>
      <c r="H198" s="35" t="str">
        <f>IFERROR(IF(VLOOKUP($B198,casostestes[#Data],6)=0,"-",VLOOKUP($B198,casostestes[#Data],6)),"-")</f>
        <v>-</v>
      </c>
      <c r="I198" s="35" t="str">
        <f>IFERROR(IF(VLOOKUP($B198,casostestes[#Data],8)=0,"-",VLOOKUP($B198,casostestes[#Data],8)),"-")</f>
        <v>-</v>
      </c>
      <c r="J198" s="35" t="str">
        <f>IFERROR(IF(VLOOKUP($B198,casostestes[#Data],9)=0,"-",VLOOKUP($B198,casostestes[#Data],9)),"-")</f>
        <v>-</v>
      </c>
      <c r="K198" s="36"/>
      <c r="L198" s="45"/>
      <c r="M198" s="37"/>
      <c r="N198" s="38"/>
      <c r="O198" s="38"/>
      <c r="P198" s="39"/>
    </row>
    <row r="199" spans="2:16">
      <c r="B199" s="40" t="str">
        <f>IF(ISERR(casostestes[[#This Row],[ID]]),"-",casostestes[[#This Row],[ID]])</f>
        <v>-</v>
      </c>
      <c r="C199" s="34" t="str">
        <f>IFERROR(IF(VLOOKUP($B199,casostestes[#Data],10)=0,"Não",VLOOKUP($B199,casostestes[#Data],10)), "-")</f>
        <v>-</v>
      </c>
      <c r="D199" s="35" t="str">
        <f>IFERROR(IF(VLOOKUP($B199,casostestes[#Data],2)=0,"-",VLOOKUP($B199,casostestes[#Data],2)), "-")</f>
        <v>-</v>
      </c>
      <c r="E199" s="35" t="str">
        <f>IFERROR(IF(VLOOKUP($B199,casostestes[#Data],3)=0,"-",VLOOKUP($B199,casostestes[#Data],3)), "-")</f>
        <v>-</v>
      </c>
      <c r="F199" s="35" t="str">
        <f>IFERROR(IF(VLOOKUP($B199,casostestes[#Data],4)=0,"-",VLOOKUP($B199,casostestes[#Data],4)),"-")</f>
        <v>-</v>
      </c>
      <c r="G199" s="35" t="str">
        <f>IFERROR(IF(VLOOKUP($B199,casostestes[#Data],5)=0,"-",VLOOKUP($B199,casostestes[#Data],5)),"-")</f>
        <v>-</v>
      </c>
      <c r="H199" s="35" t="str">
        <f>IFERROR(IF(VLOOKUP($B199,casostestes[#Data],6)=0,"-",VLOOKUP($B199,casostestes[#Data],6)),"-")</f>
        <v>-</v>
      </c>
      <c r="I199" s="35" t="str">
        <f>IFERROR(IF(VLOOKUP($B199,casostestes[#Data],8)=0,"-",VLOOKUP($B199,casostestes[#Data],8)),"-")</f>
        <v>-</v>
      </c>
      <c r="J199" s="35" t="str">
        <f>IFERROR(IF(VLOOKUP($B199,casostestes[#Data],9)=0,"-",VLOOKUP($B199,casostestes[#Data],9)),"-")</f>
        <v>-</v>
      </c>
      <c r="K199" s="36"/>
      <c r="L199" s="45"/>
      <c r="M199" s="37"/>
      <c r="N199" s="38"/>
      <c r="O199" s="38"/>
      <c r="P199" s="39"/>
    </row>
    <row r="200" spans="2:16">
      <c r="B200" s="40" t="str">
        <f>IF(ISERR(casostestes[[#This Row],[ID]]),"-",casostestes[[#This Row],[ID]])</f>
        <v>-</v>
      </c>
      <c r="C200" s="41" t="str">
        <f>IFERROR(IF(VLOOKUP($B200,casostestes[#Data],10)=0,"Não",VLOOKUP($B200,casostestes[#Data],10)), "-")</f>
        <v>-</v>
      </c>
      <c r="D200" s="42" t="str">
        <f>IFERROR(IF(VLOOKUP($B200,casostestes[#Data],2)=0,"-",VLOOKUP($B200,casostestes[#Data],2)), "-")</f>
        <v>-</v>
      </c>
      <c r="E200" s="42" t="str">
        <f>IFERROR(IF(VLOOKUP($B200,casostestes[#Data],3)=0,"-",VLOOKUP($B200,casostestes[#Data],3)), "-")</f>
        <v>-</v>
      </c>
      <c r="F200" s="42" t="str">
        <f>IFERROR(IF(VLOOKUP($B200,casostestes[#Data],4)=0,"-",VLOOKUP($B200,casostestes[#Data],4)),"-")</f>
        <v>-</v>
      </c>
      <c r="G200" s="42" t="str">
        <f>IFERROR(IF(VLOOKUP($B200,casostestes[#Data],5)=0,"-",VLOOKUP($B200,casostestes[#Data],5)),"-")</f>
        <v>-</v>
      </c>
      <c r="H200" s="42" t="str">
        <f>IFERROR(IF(VLOOKUP($B200,casostestes[#Data],6)=0,"-",VLOOKUP($B200,casostestes[#Data],6)),"-")</f>
        <v>-</v>
      </c>
      <c r="I200" s="42" t="str">
        <f>IFERROR(IF(VLOOKUP($B200,casostestes[#Data],8)=0,"-",VLOOKUP($B200,casostestes[#Data],8)),"-")</f>
        <v>-</v>
      </c>
      <c r="J200" s="42" t="str">
        <f>IFERROR(IF(VLOOKUP($B200,casostestes[#Data],9)=0,"-",VLOOKUP($B200,casostestes[#Data],9)),"-")</f>
        <v>-</v>
      </c>
      <c r="K200" s="43"/>
      <c r="L200" s="45"/>
      <c r="M200" s="44"/>
      <c r="N200" s="45"/>
      <c r="O200" s="45"/>
      <c r="P200" s="46"/>
    </row>
  </sheetData>
  <mergeCells count="3">
    <mergeCell ref="B1:J1"/>
    <mergeCell ref="B2:J2"/>
    <mergeCell ref="B3:J3"/>
  </mergeCells>
  <conditionalFormatting sqref="C8:C200 C201:D1048576">
    <cfRule type="cellIs" dxfId="374" priority="6" operator="equal">
      <formula>"Sim"</formula>
    </cfRule>
    <cfRule type="cellIs" dxfId="373" priority="7" operator="equal">
      <formula>"Não"</formula>
    </cfRule>
  </conditionalFormatting>
  <conditionalFormatting sqref="M8:M200">
    <cfRule type="cellIs" dxfId="372" priority="1" operator="equal">
      <formula>"Sem massa"</formula>
    </cfRule>
    <cfRule type="cellIs" dxfId="371" priority="2" operator="equal">
      <formula>"Pendência Externa"</formula>
    </cfRule>
    <cfRule type="cellIs" dxfId="370" priority="3" operator="equal">
      <formula>"Disponível para reteste"</formula>
    </cfRule>
    <cfRule type="cellIs" dxfId="369" priority="4" operator="equal">
      <formula>"Reprovado"</formula>
    </cfRule>
    <cfRule type="cellIs" dxfId="368" priority="5" operator="equal">
      <formula>"Aprovado"</formula>
    </cfRule>
  </conditionalFormatting>
  <dataValidations disablePrompts="1" count="1">
    <dataValidation type="list" allowBlank="1" showInputMessage="1" showErrorMessage="1" sqref="M8:M200" xr:uid="{4813D784-3640-4740-9EDC-F7FBD5D9EC19}">
      <formula1>INDIRECT("status[status]")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0EF3E-AE2B-4E9B-91B7-D39110904DF9}">
  <sheetPr>
    <tabColor theme="4" tint="0.79998168889431442"/>
  </sheetPr>
  <dimension ref="B2:J9"/>
  <sheetViews>
    <sheetView workbookViewId="0">
      <selection activeCell="H23" sqref="H23"/>
    </sheetView>
  </sheetViews>
  <sheetFormatPr defaultRowHeight="15"/>
  <cols>
    <col min="1" max="1" width="3.7109375" customWidth="1"/>
    <col min="2" max="2" width="18.42578125" customWidth="1"/>
    <col min="4" max="4" width="31.7109375" bestFit="1" customWidth="1"/>
    <col min="6" max="6" width="21.85546875" bestFit="1" customWidth="1"/>
    <col min="8" max="8" width="27.28515625" bestFit="1" customWidth="1"/>
    <col min="10" max="10" width="18.85546875" customWidth="1"/>
  </cols>
  <sheetData>
    <row r="2" spans="2:10" s="6" customFormat="1">
      <c r="B2" s="6" t="s">
        <v>7</v>
      </c>
      <c r="D2" s="6" t="s">
        <v>8</v>
      </c>
      <c r="F2" s="6" t="s">
        <v>18</v>
      </c>
      <c r="H2" s="6" t="s">
        <v>5</v>
      </c>
      <c r="J2" s="6" t="s">
        <v>19</v>
      </c>
    </row>
    <row r="3" spans="2:10">
      <c r="B3" t="s">
        <v>20</v>
      </c>
      <c r="D3" t="s">
        <v>21</v>
      </c>
      <c r="F3" t="s">
        <v>22</v>
      </c>
      <c r="H3" t="s">
        <v>23</v>
      </c>
      <c r="J3" t="s">
        <v>24</v>
      </c>
    </row>
    <row r="4" spans="2:10">
      <c r="B4" t="s">
        <v>25</v>
      </c>
      <c r="D4" t="s">
        <v>26</v>
      </c>
      <c r="F4" t="s">
        <v>27</v>
      </c>
      <c r="H4" t="s">
        <v>28</v>
      </c>
      <c r="J4" t="s">
        <v>29</v>
      </c>
    </row>
    <row r="5" spans="2:10">
      <c r="B5" t="s">
        <v>30</v>
      </c>
      <c r="D5" t="s">
        <v>31</v>
      </c>
      <c r="F5" t="s">
        <v>32</v>
      </c>
    </row>
    <row r="6" spans="2:10">
      <c r="B6" t="s">
        <v>33</v>
      </c>
      <c r="D6" t="s">
        <v>34</v>
      </c>
      <c r="F6" t="s">
        <v>35</v>
      </c>
    </row>
    <row r="7" spans="2:10">
      <c r="B7" t="s">
        <v>36</v>
      </c>
      <c r="D7" t="s">
        <v>37</v>
      </c>
      <c r="F7" t="s">
        <v>38</v>
      </c>
    </row>
    <row r="8" spans="2:10">
      <c r="F8" t="s">
        <v>39</v>
      </c>
    </row>
    <row r="9" spans="2:10">
      <c r="F9" t="s">
        <v>40</v>
      </c>
    </row>
  </sheetData>
  <sortState xmlns:xlrd2="http://schemas.microsoft.com/office/spreadsheetml/2017/richdata2" ref="F3:F8">
    <sortCondition ref="F3:F8"/>
  </sortState>
  <pageMargins left="0.511811024" right="0.511811024" top="0.78740157499999996" bottom="0.78740157499999996" header="0.31496062000000002" footer="0.31496062000000002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75454-C061-407F-A4F9-8615EE63DC51}">
  <sheetPr>
    <tabColor rgb="FFC00000"/>
  </sheetPr>
  <dimension ref="B1:L34"/>
  <sheetViews>
    <sheetView showGridLines="0" topLeftCell="G12" workbookViewId="0">
      <selection activeCell="J14" sqref="J14"/>
    </sheetView>
  </sheetViews>
  <sheetFormatPr defaultColWidth="8.85546875" defaultRowHeight="15"/>
  <cols>
    <col min="1" max="1" width="4.42578125" style="8" customWidth="1"/>
    <col min="2" max="2" width="7" style="12" customWidth="1"/>
    <col min="3" max="3" width="28.140625" style="13" customWidth="1"/>
    <col min="4" max="4" width="43" style="13" customWidth="1"/>
    <col min="5" max="5" width="8.7109375" style="11" bestFit="1" customWidth="1"/>
    <col min="6" max="6" width="31.7109375" style="11" bestFit="1" customWidth="1"/>
    <col min="7" max="7" width="54.85546875" style="11" customWidth="1"/>
    <col min="8" max="8" width="23.28515625" style="11" customWidth="1"/>
    <col min="9" max="9" width="15.42578125" style="11" customWidth="1"/>
    <col min="10" max="10" width="63.42578125" style="13" customWidth="1"/>
    <col min="11" max="11" width="11.28515625" style="11" customWidth="1"/>
    <col min="12" max="12" width="24.140625" style="11" customWidth="1"/>
    <col min="13" max="16384" width="8.85546875" style="8"/>
  </cols>
  <sheetData>
    <row r="1" spans="2:12" customFormat="1" ht="26.25">
      <c r="B1" s="108" t="s">
        <v>0</v>
      </c>
      <c r="C1" s="108"/>
      <c r="D1" s="108"/>
      <c r="E1" s="108"/>
      <c r="F1" s="108"/>
      <c r="G1" s="108"/>
      <c r="H1" s="108"/>
      <c r="I1" s="108"/>
      <c r="J1" s="108"/>
      <c r="K1" s="108"/>
      <c r="L1" s="4"/>
    </row>
    <row r="2" spans="2:12" s="1" customFormat="1" ht="23.25">
      <c r="B2" s="109" t="s">
        <v>41</v>
      </c>
      <c r="C2" s="109"/>
      <c r="D2" s="109"/>
      <c r="E2" s="109"/>
      <c r="F2" s="109"/>
      <c r="G2" s="109"/>
      <c r="H2" s="109"/>
      <c r="I2" s="109"/>
      <c r="J2" s="109"/>
      <c r="K2" s="109"/>
      <c r="L2" s="5"/>
    </row>
    <row r="3" spans="2:12" s="1" customFormat="1" ht="23.25">
      <c r="B3" s="109" t="s">
        <v>42</v>
      </c>
      <c r="C3" s="109"/>
      <c r="D3" s="109"/>
      <c r="E3" s="109"/>
      <c r="F3" s="109"/>
      <c r="G3" s="109"/>
      <c r="H3" s="109"/>
      <c r="I3" s="109"/>
      <c r="J3" s="109"/>
      <c r="K3" s="109"/>
      <c r="L3" s="5"/>
    </row>
    <row r="4" spans="2:12" customFormat="1">
      <c r="C4" s="9"/>
      <c r="D4" s="9"/>
    </row>
    <row r="5" spans="2:12" customFormat="1">
      <c r="B5" s="2" t="s">
        <v>43</v>
      </c>
      <c r="C5" s="10"/>
      <c r="D5" s="10"/>
    </row>
    <row r="6" spans="2:12" customFormat="1">
      <c r="C6" s="9"/>
      <c r="D6" s="9"/>
    </row>
    <row r="7" spans="2:12" s="7" customFormat="1" ht="18" customHeight="1">
      <c r="B7" s="23" t="s">
        <v>44</v>
      </c>
      <c r="C7" s="24" t="s">
        <v>5</v>
      </c>
      <c r="D7" s="24" t="s">
        <v>6</v>
      </c>
      <c r="E7" s="23" t="s">
        <v>7</v>
      </c>
      <c r="F7" s="23" t="s">
        <v>8</v>
      </c>
      <c r="G7" s="23" t="s">
        <v>9</v>
      </c>
      <c r="H7" s="23" t="s">
        <v>13</v>
      </c>
      <c r="I7" s="23" t="s">
        <v>45</v>
      </c>
      <c r="J7" s="23" t="s">
        <v>11</v>
      </c>
      <c r="K7" s="23" t="s">
        <v>4</v>
      </c>
      <c r="L7" s="23" t="s">
        <v>46</v>
      </c>
    </row>
    <row r="8" spans="2:12" ht="89.25">
      <c r="B8" s="25">
        <f>IF(B7="ID",1,B7+1)</f>
        <v>1</v>
      </c>
      <c r="C8" s="26" t="s">
        <v>23</v>
      </c>
      <c r="D8" s="26" t="s">
        <v>47</v>
      </c>
      <c r="E8" s="27" t="s">
        <v>20</v>
      </c>
      <c r="F8" s="28" t="s">
        <v>21</v>
      </c>
      <c r="G8" s="26" t="s">
        <v>48</v>
      </c>
      <c r="H8" s="31"/>
      <c r="I8" s="29"/>
      <c r="J8" s="30" t="s">
        <v>49</v>
      </c>
      <c r="K8" s="29" t="s">
        <v>50</v>
      </c>
      <c r="L8" s="29"/>
    </row>
    <row r="9" spans="2:12" ht="229.5">
      <c r="B9" s="25">
        <f>IF(B8="ID",1,B8+1)</f>
        <v>2</v>
      </c>
      <c r="C9" s="26" t="s">
        <v>28</v>
      </c>
      <c r="D9" s="22" t="s">
        <v>51</v>
      </c>
      <c r="E9" s="26" t="s">
        <v>36</v>
      </c>
      <c r="F9" s="29" t="s">
        <v>37</v>
      </c>
      <c r="G9" s="22" t="s">
        <v>52</v>
      </c>
      <c r="H9" s="32"/>
      <c r="I9" s="29"/>
      <c r="J9" s="22" t="s">
        <v>53</v>
      </c>
      <c r="K9" s="29" t="s">
        <v>50</v>
      </c>
      <c r="L9" s="29"/>
    </row>
    <row r="10" spans="2:12" ht="204">
      <c r="B10" s="25">
        <f t="shared" ref="B10:B34" si="0">IF(B9="ID",1,B9+1)</f>
        <v>3</v>
      </c>
      <c r="C10" s="26" t="s">
        <v>28</v>
      </c>
      <c r="D10" s="22" t="s">
        <v>54</v>
      </c>
      <c r="E10" s="26" t="s">
        <v>36</v>
      </c>
      <c r="F10" s="29" t="s">
        <v>37</v>
      </c>
      <c r="G10" s="22" t="s">
        <v>55</v>
      </c>
      <c r="H10" s="32"/>
      <c r="I10" s="29"/>
      <c r="J10" s="22" t="s">
        <v>56</v>
      </c>
      <c r="K10" s="29" t="s">
        <v>50</v>
      </c>
      <c r="L10" s="29"/>
    </row>
    <row r="11" spans="2:12" ht="242.25">
      <c r="B11" s="25">
        <f t="shared" si="0"/>
        <v>4</v>
      </c>
      <c r="C11" s="26" t="s">
        <v>28</v>
      </c>
      <c r="D11" s="22" t="s">
        <v>57</v>
      </c>
      <c r="E11" s="26" t="s">
        <v>36</v>
      </c>
      <c r="F11" s="29" t="s">
        <v>37</v>
      </c>
      <c r="G11" s="22" t="s">
        <v>58</v>
      </c>
      <c r="H11" s="32"/>
      <c r="I11" s="29"/>
      <c r="J11" s="22" t="s">
        <v>59</v>
      </c>
      <c r="K11" s="29" t="s">
        <v>50</v>
      </c>
      <c r="L11" s="29"/>
    </row>
    <row r="12" spans="2:12" ht="165.75">
      <c r="B12" s="25">
        <f t="shared" si="0"/>
        <v>5</v>
      </c>
      <c r="C12" s="26" t="s">
        <v>28</v>
      </c>
      <c r="D12" s="22" t="s">
        <v>60</v>
      </c>
      <c r="E12" s="26" t="s">
        <v>36</v>
      </c>
      <c r="F12" s="29" t="s">
        <v>37</v>
      </c>
      <c r="G12" s="22" t="s">
        <v>61</v>
      </c>
      <c r="H12" s="32"/>
      <c r="I12" s="29"/>
      <c r="J12" s="22" t="s">
        <v>62</v>
      </c>
      <c r="K12" s="29" t="s">
        <v>50</v>
      </c>
      <c r="L12" s="29"/>
    </row>
    <row r="13" spans="2:12" ht="102">
      <c r="B13" s="25">
        <f t="shared" si="0"/>
        <v>6</v>
      </c>
      <c r="C13" s="26" t="s">
        <v>28</v>
      </c>
      <c r="D13" s="22" t="s">
        <v>63</v>
      </c>
      <c r="E13" s="26" t="s">
        <v>36</v>
      </c>
      <c r="F13" s="29" t="s">
        <v>37</v>
      </c>
      <c r="G13" s="22" t="s">
        <v>64</v>
      </c>
      <c r="H13" s="32"/>
      <c r="I13" s="29"/>
      <c r="J13" s="22" t="s">
        <v>65</v>
      </c>
      <c r="K13" s="29" t="s">
        <v>50</v>
      </c>
      <c r="L13" s="29"/>
    </row>
    <row r="14" spans="2:12" ht="204">
      <c r="B14" s="25">
        <f>IF(B13="ID",1,B13+1)</f>
        <v>7</v>
      </c>
      <c r="C14" s="26" t="s">
        <v>28</v>
      </c>
      <c r="D14" s="26" t="s">
        <v>66</v>
      </c>
      <c r="E14" s="26" t="s">
        <v>36</v>
      </c>
      <c r="F14" s="29" t="s">
        <v>37</v>
      </c>
      <c r="G14" s="22" t="s">
        <v>67</v>
      </c>
      <c r="H14" s="32"/>
      <c r="I14" s="29"/>
      <c r="J14" s="33" t="s">
        <v>68</v>
      </c>
      <c r="K14" s="29" t="s">
        <v>50</v>
      </c>
      <c r="L14" s="29"/>
    </row>
    <row r="15" spans="2:12" ht="204">
      <c r="B15" s="25">
        <f t="shared" si="0"/>
        <v>8</v>
      </c>
      <c r="C15" s="26" t="s">
        <v>28</v>
      </c>
      <c r="D15" s="26" t="s">
        <v>69</v>
      </c>
      <c r="E15" s="26" t="s">
        <v>36</v>
      </c>
      <c r="F15" s="29" t="s">
        <v>37</v>
      </c>
      <c r="G15" s="22" t="s">
        <v>70</v>
      </c>
      <c r="H15" s="32"/>
      <c r="I15" s="29"/>
      <c r="J15" s="33" t="s">
        <v>71</v>
      </c>
      <c r="K15" s="29" t="s">
        <v>50</v>
      </c>
      <c r="L15" s="29"/>
    </row>
    <row r="16" spans="2:12" ht="280.5">
      <c r="B16" s="25">
        <f t="shared" si="0"/>
        <v>9</v>
      </c>
      <c r="C16" s="26" t="s">
        <v>28</v>
      </c>
      <c r="D16" s="26" t="s">
        <v>72</v>
      </c>
      <c r="E16" s="26" t="s">
        <v>36</v>
      </c>
      <c r="F16" s="29" t="s">
        <v>37</v>
      </c>
      <c r="G16" s="22" t="s">
        <v>73</v>
      </c>
      <c r="H16" s="32"/>
      <c r="I16" s="29"/>
      <c r="J16" s="22" t="s">
        <v>74</v>
      </c>
      <c r="K16" s="29" t="s">
        <v>50</v>
      </c>
      <c r="L16" s="29"/>
    </row>
    <row r="17" spans="2:12" ht="267.75">
      <c r="B17" s="25">
        <f t="shared" si="0"/>
        <v>10</v>
      </c>
      <c r="C17" s="26" t="s">
        <v>28</v>
      </c>
      <c r="D17" s="26" t="s">
        <v>75</v>
      </c>
      <c r="E17" s="26" t="s">
        <v>36</v>
      </c>
      <c r="F17" s="29" t="s">
        <v>37</v>
      </c>
      <c r="G17" s="22" t="s">
        <v>76</v>
      </c>
      <c r="H17" s="32"/>
      <c r="I17" s="29"/>
      <c r="J17" s="22" t="s">
        <v>77</v>
      </c>
      <c r="K17" s="29" t="s">
        <v>50</v>
      </c>
      <c r="L17" s="29"/>
    </row>
    <row r="18" spans="2:12" ht="102">
      <c r="B18" s="25">
        <f t="shared" si="0"/>
        <v>11</v>
      </c>
      <c r="C18" s="26" t="s">
        <v>23</v>
      </c>
      <c r="D18" s="22" t="s">
        <v>78</v>
      </c>
      <c r="E18" s="26" t="s">
        <v>25</v>
      </c>
      <c r="F18" s="29" t="s">
        <v>26</v>
      </c>
      <c r="G18" s="22" t="s">
        <v>79</v>
      </c>
      <c r="H18" s="32"/>
      <c r="I18" s="29"/>
      <c r="J18" s="22" t="s">
        <v>80</v>
      </c>
      <c r="K18" s="29" t="s">
        <v>50</v>
      </c>
      <c r="L18" s="29"/>
    </row>
    <row r="19" spans="2:12" ht="229.5">
      <c r="B19" s="25">
        <f t="shared" si="0"/>
        <v>12</v>
      </c>
      <c r="C19" s="26" t="s">
        <v>28</v>
      </c>
      <c r="D19" s="26" t="s">
        <v>81</v>
      </c>
      <c r="E19" s="26" t="s">
        <v>25</v>
      </c>
      <c r="F19" s="29" t="s">
        <v>26</v>
      </c>
      <c r="G19" s="22" t="s">
        <v>82</v>
      </c>
      <c r="H19" s="32"/>
      <c r="I19" s="29"/>
      <c r="J19" s="22" t="s">
        <v>83</v>
      </c>
      <c r="K19" s="29" t="s">
        <v>50</v>
      </c>
      <c r="L19" s="29"/>
    </row>
    <row r="20" spans="2:12" ht="229.5">
      <c r="B20" s="25">
        <f t="shared" si="0"/>
        <v>13</v>
      </c>
      <c r="C20" s="26" t="s">
        <v>28</v>
      </c>
      <c r="D20" s="26" t="s">
        <v>84</v>
      </c>
      <c r="E20" s="26" t="s">
        <v>25</v>
      </c>
      <c r="F20" s="29" t="s">
        <v>26</v>
      </c>
      <c r="G20" s="22" t="s">
        <v>82</v>
      </c>
      <c r="H20" s="32"/>
      <c r="I20" s="29"/>
      <c r="J20" s="22" t="s">
        <v>85</v>
      </c>
      <c r="K20" s="29" t="s">
        <v>50</v>
      </c>
      <c r="L20" s="29"/>
    </row>
    <row r="21" spans="2:12" ht="229.5">
      <c r="B21" s="25">
        <f t="shared" si="0"/>
        <v>14</v>
      </c>
      <c r="C21" s="26" t="s">
        <v>28</v>
      </c>
      <c r="D21" s="22" t="s">
        <v>86</v>
      </c>
      <c r="E21" s="26" t="s">
        <v>36</v>
      </c>
      <c r="F21" s="29" t="s">
        <v>26</v>
      </c>
      <c r="G21" s="22" t="s">
        <v>87</v>
      </c>
      <c r="H21" s="32"/>
      <c r="I21" s="29"/>
      <c r="J21" s="22" t="s">
        <v>88</v>
      </c>
      <c r="K21" s="29" t="s">
        <v>50</v>
      </c>
      <c r="L21" s="29"/>
    </row>
    <row r="22" spans="2:12" ht="229.5">
      <c r="B22" s="25">
        <f t="shared" si="0"/>
        <v>15</v>
      </c>
      <c r="C22" s="26" t="s">
        <v>28</v>
      </c>
      <c r="D22" s="22" t="s">
        <v>89</v>
      </c>
      <c r="E22" s="26" t="s">
        <v>36</v>
      </c>
      <c r="F22" s="29" t="s">
        <v>31</v>
      </c>
      <c r="G22" s="22" t="s">
        <v>90</v>
      </c>
      <c r="H22" s="32"/>
      <c r="I22" s="29"/>
      <c r="J22" s="22" t="s">
        <v>88</v>
      </c>
      <c r="K22" s="29" t="s">
        <v>50</v>
      </c>
      <c r="L22" s="29"/>
    </row>
    <row r="23" spans="2:12" ht="178.5">
      <c r="B23" s="25">
        <f t="shared" si="0"/>
        <v>16</v>
      </c>
      <c r="C23" s="26" t="s">
        <v>28</v>
      </c>
      <c r="D23" s="22" t="s">
        <v>91</v>
      </c>
      <c r="E23" s="26" t="s">
        <v>36</v>
      </c>
      <c r="F23" s="29" t="s">
        <v>26</v>
      </c>
      <c r="G23" s="22" t="s">
        <v>92</v>
      </c>
      <c r="H23" s="32"/>
      <c r="I23" s="29"/>
      <c r="J23" s="22" t="s">
        <v>93</v>
      </c>
      <c r="K23" s="29" t="s">
        <v>50</v>
      </c>
      <c r="L23" s="29"/>
    </row>
    <row r="24" spans="2:12" ht="89.25">
      <c r="B24" s="25">
        <f t="shared" si="0"/>
        <v>17</v>
      </c>
      <c r="C24" s="26" t="s">
        <v>28</v>
      </c>
      <c r="D24" s="22" t="s">
        <v>94</v>
      </c>
      <c r="E24" s="26" t="s">
        <v>36</v>
      </c>
      <c r="F24" s="29" t="s">
        <v>26</v>
      </c>
      <c r="G24" s="22" t="s">
        <v>95</v>
      </c>
      <c r="H24" s="32"/>
      <c r="I24" s="29"/>
      <c r="J24" s="22" t="s">
        <v>96</v>
      </c>
      <c r="K24" s="29" t="s">
        <v>50</v>
      </c>
      <c r="L24" s="29"/>
    </row>
    <row r="25" spans="2:12" ht="153">
      <c r="B25" s="25">
        <f t="shared" si="0"/>
        <v>18</v>
      </c>
      <c r="C25" s="26" t="s">
        <v>23</v>
      </c>
      <c r="D25" s="22" t="s">
        <v>97</v>
      </c>
      <c r="E25" s="26" t="s">
        <v>33</v>
      </c>
      <c r="F25" s="29" t="s">
        <v>34</v>
      </c>
      <c r="G25" s="22" t="s">
        <v>98</v>
      </c>
      <c r="H25" s="32"/>
      <c r="I25" s="29"/>
      <c r="J25" s="22" t="s">
        <v>99</v>
      </c>
      <c r="K25" s="29" t="s">
        <v>50</v>
      </c>
      <c r="L25" s="29"/>
    </row>
    <row r="26" spans="2:12" ht="242.25">
      <c r="B26" s="25">
        <f t="shared" si="0"/>
        <v>19</v>
      </c>
      <c r="C26" s="26" t="s">
        <v>28</v>
      </c>
      <c r="D26" s="26" t="s">
        <v>100</v>
      </c>
      <c r="E26" s="26" t="s">
        <v>33</v>
      </c>
      <c r="F26" s="29" t="s">
        <v>34</v>
      </c>
      <c r="G26" s="22" t="s">
        <v>101</v>
      </c>
      <c r="H26" s="32"/>
      <c r="I26" s="29"/>
      <c r="J26" s="22" t="s">
        <v>102</v>
      </c>
      <c r="K26" s="29" t="s">
        <v>50</v>
      </c>
      <c r="L26" s="29"/>
    </row>
    <row r="27" spans="2:12" ht="242.25">
      <c r="B27" s="25">
        <f t="shared" si="0"/>
        <v>20</v>
      </c>
      <c r="C27" s="26" t="s">
        <v>28</v>
      </c>
      <c r="D27" s="26" t="s">
        <v>103</v>
      </c>
      <c r="E27" s="26" t="s">
        <v>33</v>
      </c>
      <c r="F27" s="29" t="s">
        <v>34</v>
      </c>
      <c r="G27" s="22" t="s">
        <v>104</v>
      </c>
      <c r="H27" s="32"/>
      <c r="I27" s="29"/>
      <c r="J27" s="22" t="s">
        <v>105</v>
      </c>
      <c r="K27" s="29" t="s">
        <v>50</v>
      </c>
      <c r="L27" s="29"/>
    </row>
    <row r="28" spans="2:12" ht="153">
      <c r="B28" s="25">
        <f t="shared" si="0"/>
        <v>21</v>
      </c>
      <c r="C28" s="26" t="s">
        <v>23</v>
      </c>
      <c r="D28" s="26" t="s">
        <v>106</v>
      </c>
      <c r="E28" s="26" t="s">
        <v>33</v>
      </c>
      <c r="F28" s="29" t="s">
        <v>34</v>
      </c>
      <c r="G28" s="22" t="s">
        <v>107</v>
      </c>
      <c r="H28" s="32"/>
      <c r="I28" s="29"/>
      <c r="J28" s="22" t="s">
        <v>108</v>
      </c>
      <c r="K28" s="29" t="s">
        <v>50</v>
      </c>
      <c r="L28" s="29"/>
    </row>
    <row r="29" spans="2:12" ht="242.25">
      <c r="B29" s="25">
        <f t="shared" si="0"/>
        <v>22</v>
      </c>
      <c r="C29" s="26" t="s">
        <v>28</v>
      </c>
      <c r="D29" s="22" t="s">
        <v>109</v>
      </c>
      <c r="E29" s="26" t="s">
        <v>33</v>
      </c>
      <c r="F29" s="29" t="s">
        <v>34</v>
      </c>
      <c r="G29" s="22" t="s">
        <v>110</v>
      </c>
      <c r="H29" s="32"/>
      <c r="I29" s="29"/>
      <c r="J29" s="22" t="s">
        <v>111</v>
      </c>
      <c r="K29" s="29" t="s">
        <v>50</v>
      </c>
      <c r="L29" s="29"/>
    </row>
    <row r="30" spans="2:12" ht="178.5">
      <c r="B30" s="25">
        <f t="shared" si="0"/>
        <v>23</v>
      </c>
      <c r="C30" s="26" t="s">
        <v>28</v>
      </c>
      <c r="D30" s="22" t="s">
        <v>112</v>
      </c>
      <c r="E30" s="26" t="s">
        <v>33</v>
      </c>
      <c r="F30" s="29" t="s">
        <v>34</v>
      </c>
      <c r="G30" s="22" t="s">
        <v>113</v>
      </c>
      <c r="H30" s="32"/>
      <c r="I30" s="29"/>
      <c r="J30" s="22" t="s">
        <v>114</v>
      </c>
      <c r="K30" s="29" t="s">
        <v>50</v>
      </c>
      <c r="L30" s="29"/>
    </row>
    <row r="31" spans="2:12" ht="102">
      <c r="B31" s="25">
        <f t="shared" si="0"/>
        <v>24</v>
      </c>
      <c r="C31" s="26" t="s">
        <v>28</v>
      </c>
      <c r="D31" s="22" t="s">
        <v>115</v>
      </c>
      <c r="E31" s="26" t="s">
        <v>33</v>
      </c>
      <c r="F31" s="29" t="s">
        <v>34</v>
      </c>
      <c r="G31" s="22" t="s">
        <v>116</v>
      </c>
      <c r="H31" s="32"/>
      <c r="I31" s="29"/>
      <c r="J31" s="22" t="s">
        <v>96</v>
      </c>
      <c r="K31" s="29" t="s">
        <v>50</v>
      </c>
      <c r="L31" s="29"/>
    </row>
    <row r="32" spans="2:12" ht="409.5">
      <c r="B32" s="25">
        <f t="shared" si="0"/>
        <v>25</v>
      </c>
      <c r="C32" s="26" t="s">
        <v>28</v>
      </c>
      <c r="D32" s="30" t="s">
        <v>117</v>
      </c>
      <c r="E32" s="26" t="s">
        <v>36</v>
      </c>
      <c r="F32" s="29" t="s">
        <v>37</v>
      </c>
      <c r="G32" s="33" t="s">
        <v>118</v>
      </c>
      <c r="H32" s="32"/>
      <c r="I32" s="29"/>
      <c r="J32" s="33" t="s">
        <v>119</v>
      </c>
      <c r="K32" s="29" t="s">
        <v>50</v>
      </c>
      <c r="L32" s="29"/>
    </row>
    <row r="33" spans="2:12" ht="409.5">
      <c r="B33" s="25">
        <f t="shared" si="0"/>
        <v>26</v>
      </c>
      <c r="C33" s="26" t="s">
        <v>28</v>
      </c>
      <c r="D33" s="30" t="s">
        <v>120</v>
      </c>
      <c r="E33" s="26" t="s">
        <v>36</v>
      </c>
      <c r="F33" s="29" t="s">
        <v>37</v>
      </c>
      <c r="G33" s="33" t="s">
        <v>121</v>
      </c>
      <c r="H33" s="32"/>
      <c r="I33" s="29"/>
      <c r="J33" s="33" t="s">
        <v>122</v>
      </c>
      <c r="K33" s="29" t="s">
        <v>50</v>
      </c>
      <c r="L33" s="29"/>
    </row>
    <row r="34" spans="2:12" ht="409.5">
      <c r="B34" s="25">
        <f t="shared" si="0"/>
        <v>27</v>
      </c>
      <c r="C34" s="26" t="s">
        <v>28</v>
      </c>
      <c r="D34" s="30" t="s">
        <v>123</v>
      </c>
      <c r="E34" s="26" t="s">
        <v>36</v>
      </c>
      <c r="F34" s="29" t="s">
        <v>37</v>
      </c>
      <c r="G34" s="33" t="s">
        <v>121</v>
      </c>
      <c r="H34" s="32"/>
      <c r="I34" s="29"/>
      <c r="J34" s="33" t="s">
        <v>122</v>
      </c>
      <c r="K34" s="29" t="s">
        <v>50</v>
      </c>
      <c r="L34" s="29"/>
    </row>
  </sheetData>
  <mergeCells count="3">
    <mergeCell ref="B1:K1"/>
    <mergeCell ref="B2:K2"/>
    <mergeCell ref="B3:K3"/>
  </mergeCells>
  <dataValidations count="4">
    <dataValidation type="list" allowBlank="1" showInputMessage="1" showErrorMessage="1" sqref="K8:K34" xr:uid="{E2058D86-E787-4314-9E3A-45E1395EE4BC}">
      <formula1>"Sim"</formula1>
    </dataValidation>
    <dataValidation type="list" allowBlank="1" showInputMessage="1" showErrorMessage="1" sqref="E8:E34" xr:uid="{FF66F3B2-B759-413D-97A7-FD7C6A0351B2}">
      <formula1>INDIRECT("canal[canal]")</formula1>
    </dataValidation>
    <dataValidation type="list" allowBlank="1" showInputMessage="1" showErrorMessage="1" sqref="F8:F34" xr:uid="{B128D004-22A8-44FD-AF9D-0EA35BFA7B83}">
      <formula1>INDIRECT("papel[papel]")</formula1>
    </dataValidation>
    <dataValidation type="list" allowBlank="1" showInputMessage="1" showErrorMessage="1" sqref="C8:C34" xr:uid="{034D6638-7CE9-4D86-8DB7-D61EAE1EA1B6}">
      <formula1>INDIRECT("macroprocesso[macroprocesso]")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3A538-343D-4260-8D54-E324DE831A4D}">
  <sheetPr>
    <tabColor theme="9" tint="0.79998168889431442"/>
  </sheetPr>
  <dimension ref="A1:W200"/>
  <sheetViews>
    <sheetView showGridLines="0" tabSelected="1" zoomScaleNormal="100" workbookViewId="0">
      <pane xSplit="5" ySplit="7" topLeftCell="J11" activePane="bottomRight" state="frozen"/>
      <selection pane="bottomRight" activeCell="A25" sqref="A25:XFD25"/>
      <selection pane="bottomLeft"/>
      <selection pane="topRight"/>
    </sheetView>
  </sheetViews>
  <sheetFormatPr defaultColWidth="9.140625" defaultRowHeight="15"/>
  <cols>
    <col min="1" max="1" width="2.7109375" style="14" customWidth="1"/>
    <col min="2" max="2" width="7.7109375" style="14" customWidth="1"/>
    <col min="3" max="3" width="15.42578125" style="14" customWidth="1"/>
    <col min="4" max="4" width="26" style="14" customWidth="1"/>
    <col min="5" max="5" width="57.42578125" style="14" customWidth="1"/>
    <col min="6" max="6" width="17.7109375" style="14" customWidth="1"/>
    <col min="7" max="7" width="24.42578125" style="14" customWidth="1"/>
    <col min="8" max="8" width="57.42578125" style="14" customWidth="1"/>
    <col min="9" max="9" width="16.7109375" style="14" customWidth="1"/>
    <col min="10" max="10" width="104.7109375" style="14" customWidth="1"/>
    <col min="11" max="19" width="18" style="14" customWidth="1"/>
    <col min="20" max="20" width="17.7109375" style="14" customWidth="1"/>
    <col min="21" max="16384" width="9.140625" style="14"/>
  </cols>
  <sheetData>
    <row r="1" spans="1:23" ht="26.25">
      <c r="B1" s="106" t="s">
        <v>0</v>
      </c>
      <c r="C1" s="106"/>
      <c r="D1" s="106"/>
      <c r="E1" s="106"/>
      <c r="F1" s="106"/>
      <c r="G1" s="106"/>
      <c r="H1" s="106"/>
      <c r="I1" s="106"/>
      <c r="J1" s="106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3" s="21" customFormat="1" ht="23.25">
      <c r="B2" s="107" t="s">
        <v>1</v>
      </c>
      <c r="C2" s="107"/>
      <c r="D2" s="107"/>
      <c r="E2" s="107"/>
      <c r="F2" s="107"/>
      <c r="G2" s="107"/>
      <c r="H2" s="107"/>
      <c r="I2" s="107"/>
      <c r="J2" s="107"/>
      <c r="K2" s="20"/>
      <c r="L2" s="20"/>
      <c r="M2" s="20"/>
      <c r="N2" s="20"/>
      <c r="O2" s="20"/>
      <c r="P2" s="20"/>
      <c r="Q2" s="20"/>
      <c r="R2" s="20"/>
      <c r="S2" s="20"/>
      <c r="T2" s="20"/>
    </row>
    <row r="3" spans="1:23" s="21" customFormat="1" ht="23.25">
      <c r="B3" s="107" t="s">
        <v>2</v>
      </c>
      <c r="C3" s="107"/>
      <c r="D3" s="107"/>
      <c r="E3" s="107"/>
      <c r="F3" s="107"/>
      <c r="G3" s="107"/>
      <c r="H3" s="107"/>
      <c r="I3" s="107"/>
      <c r="J3" s="107"/>
      <c r="K3" s="20"/>
      <c r="L3" s="20"/>
      <c r="M3" s="20"/>
      <c r="N3" s="20"/>
      <c r="O3" s="20"/>
      <c r="P3" s="20"/>
      <c r="Q3" s="20"/>
      <c r="R3" s="20"/>
      <c r="S3" s="20"/>
      <c r="T3" s="20"/>
    </row>
    <row r="5" spans="1:23">
      <c r="B5" s="3"/>
      <c r="E5" s="3"/>
    </row>
    <row r="7" spans="1:23" s="3" customFormat="1">
      <c r="B7" s="15" t="s">
        <v>3</v>
      </c>
      <c r="C7" s="16" t="s">
        <v>4</v>
      </c>
      <c r="D7" s="16" t="s">
        <v>5</v>
      </c>
      <c r="E7" s="17" t="s">
        <v>6</v>
      </c>
      <c r="F7" s="17" t="s">
        <v>7</v>
      </c>
      <c r="G7" s="17" t="s">
        <v>8</v>
      </c>
      <c r="H7" s="17" t="s">
        <v>9</v>
      </c>
      <c r="I7" s="17" t="s">
        <v>10</v>
      </c>
      <c r="J7" s="17" t="s">
        <v>11</v>
      </c>
      <c r="K7" s="17" t="s">
        <v>124</v>
      </c>
      <c r="L7" s="17" t="s">
        <v>125</v>
      </c>
      <c r="M7" s="17" t="s">
        <v>126</v>
      </c>
      <c r="N7" s="17" t="s">
        <v>127</v>
      </c>
      <c r="O7" s="17" t="s">
        <v>128</v>
      </c>
      <c r="P7" s="17" t="s">
        <v>129</v>
      </c>
      <c r="Q7" s="17" t="s">
        <v>130</v>
      </c>
      <c r="R7" s="17" t="s">
        <v>131</v>
      </c>
      <c r="S7" s="17" t="s">
        <v>132</v>
      </c>
      <c r="T7" s="17" t="s">
        <v>133</v>
      </c>
    </row>
    <row r="8" spans="1:23" s="13" customFormat="1" ht="106.5">
      <c r="B8" s="40">
        <f>IF(ISERR(casostestes[[#This Row],[ID]]),"-",casostestes[[#This Row],[ID]])</f>
        <v>1</v>
      </c>
      <c r="C8" s="34" t="str">
        <f>IFERROR(IF(VLOOKUP($B8,casostestes[#Data],10)=0,"Não",VLOOKUP($B8,casostestes[#Data],10)), "-")</f>
        <v>Sim</v>
      </c>
      <c r="D8" s="35" t="str">
        <f>IFERROR(IF(VLOOKUP($B8,casostestes[#Data],2)=0,"-",VLOOKUP($B8,casostestes[#Data],2)), "-")</f>
        <v>Requerimento Inicial de BI</v>
      </c>
      <c r="E8" s="35" t="str">
        <f>IFERROR(IF(VLOOKUP($B8,casostestes[#Data],3)=0,"-",VLOOKUP($B8,casostestes[#Data],3)), "-")</f>
        <v>6
Criação de tarefa de BI inicial com fluxo ATESTMED para categoria DIFERENTE de Segurado Especial COM exigência de preenchimento da AD.
Premissas:
Catálogo: Exige autodeclaração = ATIVADO
Parâmetro:  144 - Fluxo ATESTMED = LIGADO</v>
      </c>
      <c r="F8" s="35" t="str">
        <f>IFERROR(IF(VLOOKUP($B8,casostestes[#Data],4)=0,"-",VLOOKUP($B8,casostestes[#Data],4)),"-")</f>
        <v>Central 135</v>
      </c>
      <c r="G8" s="35" t="str">
        <f>IFERROR(IF(VLOOKUP($B8,casostestes[#Data],5)=0,"-",VLOOKUP($B8,casostestes[#Data],5)),"-")</f>
        <v>ATENDENTE_CENTRAL_135</v>
      </c>
      <c r="H8" s="35" t="str">
        <f>IFERROR(IF(VLOOKUP($B8,casostestes[#Data],6)=0,"-",VLOOKUP($B8,casostestes[#Data],6)),"-")</f>
        <v>1. Logar no Portal do Atendimento INSS com o perfil do caso de teste
2. Criar tarefa de BI informando:
- Tipo de Incapacidade? "Temporário"
- A pessoa está presa?  "Não"
- Categoria do trabalhador "Desempregado" ...
- A pessoa ficou sem trabalhar? "Sim"</v>
      </c>
      <c r="I8" s="35" t="str">
        <f>IFERROR(IF(VLOOKUP($B8,casostestes[#Data],8)=0,"-",VLOOKUP($B8,casostestes[#Data],8)),"-")</f>
        <v>-</v>
      </c>
      <c r="J8" s="35" t="str">
        <f>IFERROR(IF(VLOOKUP($B8,casostestes[#Data],9)=0,"-",VLOOKUP($B8,casostestes[#Data],9)),"-")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8" s="37" t="str">
        <f>IFERROR(IF(VLOOKUP($B8,orlando[#Data],12)=0,"Não executado",VLOOKUP($B8,orlando[#Data],12)),"Não executado")</f>
        <v>Não executado</v>
      </c>
      <c r="L8" s="37" t="str">
        <f>IFERROR(IF(VLOOKUP($B8,mauricio[#Data],12)=0,"Não executado",VLOOKUP($B8,mauricio[#Data],12)),"Não executado")</f>
        <v>Não executado</v>
      </c>
      <c r="M8" s="37" t="str">
        <f>IFERROR(IF(VLOOKUP($B8,Thaisa[#Data],12)=0,"Não executado",VLOOKUP($B8,Thaisa[#Data],12)),"Não executado")</f>
        <v>Não executado</v>
      </c>
      <c r="N8" s="37" t="str">
        <f>IFERROR(IF(VLOOKUP($B8,carlos[#Data],12)=0,"Não executado",VLOOKUP($B8,carlos[#Data],12)),"Não executado")</f>
        <v>Aprovado</v>
      </c>
      <c r="O8" s="37" t="str">
        <f>IFERROR(IF(VLOOKUP($B8,Alessandra[#Data],12)=0,"Não executado",VLOOKUP($B8,Alessandra[#Data],12)),"Não executado")</f>
        <v>Não executado</v>
      </c>
      <c r="P8" s="37" t="str">
        <f>IFERROR(IF(VLOOKUP($B8,AnaCarolina[#Data],12)=0,"Não executado",VLOOKUP($B8,AnaCarolina[#Data],12)),"Não executado")</f>
        <v>Aprovado</v>
      </c>
      <c r="Q8" s="37" t="str">
        <f>IFERROR(IF(VLOOKUP($B8,wanei[#Data],12)=0,"Não executado",VLOOKUP($B8,wanei[#Data],12)),"Não executado")</f>
        <v>Aprovado</v>
      </c>
      <c r="R8" s="37" t="str">
        <f>IFERROR(IF(VLOOKUP($B8,janaina[#Data],12)=0,"Não executado",VLOOKUP($B8,janaina[#Data],12)),"Não executado")</f>
        <v>Aprovado</v>
      </c>
      <c r="S8" s="37" t="str">
        <f>IFERROR(IF(VLOOKUP($B8,andreia[#Data],12)=0,"Não executado",VLOOKUP($B8,andreia[#Data],12)),"Não executado")</f>
        <v>Aprovado</v>
      </c>
      <c r="T8" s="37" t="str">
        <f>IFERROR(IF(VLOOKUP(#REF!,homologador[#Data],12)=0,"Não executado",VLOOKUP(#REF!,homologador[#Data],12)),"Não executado")</f>
        <v>Não executado</v>
      </c>
      <c r="U8" s="14">
        <f>COUNTIF(ACOMPANHAMENTO!K8:T8,"Aprovado")+COUNTIF(K8:T8,"Reprovado")+COUNTIF(K8:T8,"Em Teste")</f>
        <v>5</v>
      </c>
      <c r="V8" s="14">
        <f>COUNTIF(K8:T8,"Em Teste")</f>
        <v>0</v>
      </c>
      <c r="W8" s="13" t="str">
        <f>IF(U8&gt;3,IF(V8&gt;1,"SIM","NÃO"),"NÃO")</f>
        <v>NÃO</v>
      </c>
    </row>
    <row r="9" spans="1:23" ht="244.5">
      <c r="A9" s="13"/>
      <c r="B9" s="40">
        <f>IF(ISERR(casostestes[[#This Row],[ID]]),"-",casostestes[[#This Row],[ID]])</f>
        <v>2</v>
      </c>
      <c r="C9" s="34" t="str">
        <f>IFERROR(IF(VLOOKUP($B9,casostestes[#Data],10)=0,"Não",VLOOKUP($B9,casostestes[#Data],10)), "-")</f>
        <v>Sim</v>
      </c>
      <c r="D9" s="35" t="str">
        <f>IFERROR(IF(VLOOKUP($B9,casostestes[#Data],2)=0,"-",VLOOKUP($B9,casostestes[#Data],2)), "-")</f>
        <v>Integração</v>
      </c>
      <c r="E9" s="35" t="str">
        <f>IFERROR(IF(VLOOKUP($B9,casostestes[#Data],3)=0,"-",VLOOKUP($B9,casostestes[#Data],3)), "-")</f>
        <v>12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9" s="35" t="str">
        <f>IFERROR(IF(VLOOKUP($B9,casostestes[#Data],4)=0,"-",VLOOKUP($B9,casostestes[#Data],4)),"-")</f>
        <v>PAT</v>
      </c>
      <c r="G9" s="35" t="str">
        <f>IFERROR(IF(VLOOKUP($B9,casostestes[#Data],5)=0,"-",VLOOKUP($B9,casostestes[#Data],5)),"-")</f>
        <v>SERVIDOR</v>
      </c>
      <c r="H9" s="35" t="str">
        <f>IFERROR(IF(VLOOKUP($B9,casostestes[#Data],6)=0,"-",VLOOKUP($B9,casostestes[#Data],6)),"-")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9" s="35" t="str">
        <f>IFERROR(IF(VLOOKUP($B9,casostestes[#Data],8)=0,"-",VLOOKUP($B9,casostestes[#Data],8)),"-")</f>
        <v>-</v>
      </c>
      <c r="J9" s="35" t="str">
        <f>IFERROR(IF(VLOOKUP($B9,casostestes[#Data],9)=0,"-",VLOOKUP($B9,casostestes[#Data],9)),"-")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9" s="37" t="str">
        <f>IFERROR(IF(VLOOKUP($B9,orlando[#Data],12)=0,"Não executado",VLOOKUP($B9,orlando[#Data],12)),"Não executado")</f>
        <v>Não executado</v>
      </c>
      <c r="L9" s="37" t="str">
        <f>IFERROR(IF(VLOOKUP($B9,mauricio[#Data],12)=0,"Não executado",VLOOKUP($B9,mauricio[#Data],12)),"Não executado")</f>
        <v>Aprovado</v>
      </c>
      <c r="M9" s="37" t="str">
        <f>IFERROR(IF(VLOOKUP($B9,Thaisa[#Data],12)=0,"Não executado",VLOOKUP($B9,Thaisa[#Data],12)),"Não executado")</f>
        <v>Não executado</v>
      </c>
      <c r="N9" s="37" t="str">
        <f>IFERROR(IF(VLOOKUP($B9,carlos[#Data],12)=0,"Não executado",VLOOKUP($B9,carlos[#Data],12)),"Não executado")</f>
        <v>Aprovado</v>
      </c>
      <c r="O9" s="37" t="str">
        <f>IFERROR(IF(VLOOKUP($B9,Alessandra[#Data],12)=0,"Não executado",VLOOKUP($B9,Alessandra[#Data],12)),"Não executado")</f>
        <v>Não executado</v>
      </c>
      <c r="P9" s="37" t="str">
        <f>IFERROR(IF(VLOOKUP($B9,AnaCarolina[#Data],12)=0,"Não executado",VLOOKUP($B9,AnaCarolina[#Data],12)),"Não executado")</f>
        <v>Aprovado</v>
      </c>
      <c r="Q9" s="37" t="str">
        <f>IFERROR(IF(VLOOKUP($B9,wanei[#Data],12)=0,"Não executado",VLOOKUP($B9,wanei[#Data],12)),"Não executado")</f>
        <v>Aprovado</v>
      </c>
      <c r="R9" s="37" t="str">
        <f>IFERROR(IF(VLOOKUP($B9,janaina[#Data],12)=0,"Não executado",VLOOKUP($B9,janaina[#Data],12)),"Não executado")</f>
        <v>Disponível para reteste</v>
      </c>
      <c r="S9" s="37" t="str">
        <f>IFERROR(IF(VLOOKUP($B9,andreia[#Data],12)=0,"Não executado",VLOOKUP($B9,andreia[#Data],12)),"Não executado")</f>
        <v>Aprovado</v>
      </c>
      <c r="T9" s="37" t="str">
        <f>IFERROR(IF(VLOOKUP(#REF!,homologador[#Data],12)=0,"Não executado",VLOOKUP(#REF!,homologador[#Data],12)),"Não executado")</f>
        <v>Não executado</v>
      </c>
      <c r="U9" s="14">
        <f>COUNTIF(ACOMPANHAMENTO!K9:T9,"Aprovado")+COUNTIF(K9:T9,"Reprovado")+COUNTIF(K9:T9,"Em Teste")</f>
        <v>5</v>
      </c>
      <c r="V9" s="14">
        <f>COUNTIF(K9:T9,"Em Teste")</f>
        <v>0</v>
      </c>
      <c r="W9" s="13" t="str">
        <f>IF(U9&gt;3,IF(V9&gt;1,"SIM","NÃO"),"NÃO")</f>
        <v>NÃO</v>
      </c>
    </row>
    <row r="10" spans="1:23" ht="213">
      <c r="A10" s="13"/>
      <c r="B10" s="40">
        <f>IF(ISERR(casostestes[[#This Row],[ID]]),"-",casostestes[[#This Row],[ID]])</f>
        <v>3</v>
      </c>
      <c r="C10" s="34" t="str">
        <f>IFERROR(IF(VLOOKUP($B10,casostestes[#Data],10)=0,"Não",VLOOKUP($B10,casostestes[#Data],10)), "-")</f>
        <v>Sim</v>
      </c>
      <c r="D10" s="35" t="str">
        <f>IFERROR(IF(VLOOKUP($B10,casostestes[#Data],2)=0,"-",VLOOKUP($B10,casostestes[#Data],2)), "-")</f>
        <v>Integração</v>
      </c>
      <c r="E10" s="35" t="str">
        <f>IFERROR(IF(VLOOKUP($B10,casostestes[#Data],3)=0,"-",VLOOKUP($B10,casostestes[#Data],3)), "-")</f>
        <v>13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10" s="35" t="str">
        <f>IFERROR(IF(VLOOKUP($B10,casostestes[#Data],4)=0,"-",VLOOKUP($B10,casostestes[#Data],4)),"-")</f>
        <v>PAT</v>
      </c>
      <c r="G10" s="35" t="str">
        <f>IFERROR(IF(VLOOKUP($B10,casostestes[#Data],5)=0,"-",VLOOKUP($B10,casostestes[#Data],5)),"-")</f>
        <v>SERVIDOR</v>
      </c>
      <c r="H10" s="35" t="str">
        <f>IFERROR(IF(VLOOKUP($B10,casostestes[#Data],6)=0,"-",VLOOKUP($B10,casostestes[#Data],6)),"-")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10" s="35" t="str">
        <f>IFERROR(IF(VLOOKUP($B10,casostestes[#Data],8)=0,"-",VLOOKUP($B10,casostestes[#Data],8)),"-")</f>
        <v>-</v>
      </c>
      <c r="J10" s="35" t="str">
        <f>IFERROR(IF(VLOOKUP($B10,casostestes[#Data],9)=0,"-",VLOOKUP($B10,casostestes[#Data],9)),"-")</f>
        <v>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</v>
      </c>
      <c r="K10" s="37" t="str">
        <f>IFERROR(IF(VLOOKUP($B10,orlando[#Data],12)=0,"Não executado",VLOOKUP($B10,orlando[#Data],12)),"Não executado")</f>
        <v>Não executado</v>
      </c>
      <c r="L10" s="37" t="str">
        <f>IFERROR(IF(VLOOKUP($B10,mauricio[#Data],12)=0,"Não executado",VLOOKUP($B10,mauricio[#Data],12)),"Não executado")</f>
        <v>Aprovado</v>
      </c>
      <c r="M10" s="37" t="str">
        <f>IFERROR(IF(VLOOKUP($B10,Thaisa[#Data],12)=0,"Não executado",VLOOKUP($B10,Thaisa[#Data],12)),"Não executado")</f>
        <v>Não executado</v>
      </c>
      <c r="N10" s="37" t="str">
        <f>IFERROR(IF(VLOOKUP($B10,carlos[#Data],12)=0,"Não executado",VLOOKUP($B10,carlos[#Data],12)),"Não executado")</f>
        <v>Disponível para reteste</v>
      </c>
      <c r="O10" s="37" t="str">
        <f>IFERROR(IF(VLOOKUP($B10,Alessandra[#Data],12)=0,"Não executado",VLOOKUP($B10,Alessandra[#Data],12)),"Não executado")</f>
        <v>Não executado</v>
      </c>
      <c r="P10" s="37" t="str">
        <f>IFERROR(IF(VLOOKUP($B10,AnaCarolina[#Data],12)=0,"Não executado",VLOOKUP($B10,AnaCarolina[#Data],12)),"Não executado")</f>
        <v>Aprovado</v>
      </c>
      <c r="Q10" s="37" t="str">
        <f>IFERROR(IF(VLOOKUP($B10,wanei[#Data],12)=0,"Não executado",VLOOKUP($B10,wanei[#Data],12)),"Não executado")</f>
        <v>Aprovado</v>
      </c>
      <c r="R10" s="37" t="str">
        <f>IFERROR(IF(VLOOKUP($B10,janaina[#Data],12)=0,"Não executado",VLOOKUP($B10,janaina[#Data],12)),"Não executado")</f>
        <v>Disponível para reteste</v>
      </c>
      <c r="S10" s="37" t="str">
        <f>IFERROR(IF(VLOOKUP($B10,andreia[#Data],12)=0,"Não executado",VLOOKUP($B10,andreia[#Data],12)),"Não executado")</f>
        <v>Aprovado</v>
      </c>
      <c r="T10" s="37" t="str">
        <f>IFERROR(IF(VLOOKUP(#REF!,homologador[#Data],12)=0,"Não executado",VLOOKUP(#REF!,homologador[#Data],12)),"Não executado")</f>
        <v>Não executado</v>
      </c>
      <c r="U10" s="14">
        <f>COUNTIF(ACOMPANHAMENTO!K10:T10,"Aprovado")+COUNTIF(K10:T10,"Reprovado")+COUNTIF(K10:T10,"Em Teste")</f>
        <v>4</v>
      </c>
      <c r="V10" s="14">
        <f>COUNTIF(K10:T10,"Em Teste")</f>
        <v>0</v>
      </c>
      <c r="W10" s="13" t="str">
        <f>IF(U10&gt;3,IF(V10&gt;1,"SIM","NÃO"),"NÃO")</f>
        <v>NÃO</v>
      </c>
    </row>
    <row r="11" spans="1:23" ht="229.5">
      <c r="B11" s="40">
        <f>IF(ISERR(casostestes[[#This Row],[ID]]),"-",casostestes[[#This Row],[ID]])</f>
        <v>4</v>
      </c>
      <c r="C11" s="34" t="str">
        <f>IFERROR(IF(VLOOKUP($B11,casostestes[#Data],10)=0,"Não",VLOOKUP($B11,casostestes[#Data],10)), "-")</f>
        <v>Sim</v>
      </c>
      <c r="D11" s="35" t="str">
        <f>IFERROR(IF(VLOOKUP($B11,casostestes[#Data],2)=0,"-",VLOOKUP($B11,casostestes[#Data],2)), "-")</f>
        <v>Integração</v>
      </c>
      <c r="E11" s="35" t="str">
        <f>IFERROR(IF(VLOOKUP($B11,casostestes[#Data],3)=0,"-",VLOOKUP($B11,casostestes[#Data],3)), "-")</f>
        <v>16
Cumprir a exigência de autodeclaração</v>
      </c>
      <c r="F11" s="35" t="str">
        <f>IFERROR(IF(VLOOKUP($B11,casostestes[#Data],4)=0,"-",VLOOKUP($B11,casostestes[#Data],4)),"-")</f>
        <v>PAT</v>
      </c>
      <c r="G11" s="35" t="str">
        <f>IFERROR(IF(VLOOKUP($B11,casostestes[#Data],5)=0,"-",VLOOKUP($B11,casostestes[#Data],5)),"-")</f>
        <v>SERVIDOR</v>
      </c>
      <c r="H11" s="35" t="str">
        <f>IFERROR(IF(VLOOKUP($B11,casostestes[#Data],6)=0,"-",VLOOKUP($B11,casostestes[#Data],6)),"-")</f>
        <v>1. Logar no Portal do Atendimento INSS com o perfil Servidor
2.Consultar uma tarefa em exigência de autodeclaração e acionar Cumprir Exigência  
3. Responder o formulário de autodeclaração até o final</v>
      </c>
      <c r="I11" s="35" t="str">
        <f>IFERROR(IF(VLOOKUP($B11,casostestes[#Data],8)=0,"-",VLOOKUP($B11,casostestes[#Data],8)),"-")</f>
        <v>-</v>
      </c>
      <c r="J11" s="35" t="str">
        <f>IFERROR(IF(VLOOKUP($B11,casostestes[#Data],9)=0,"-",VLOOKUP($B11,casostestes[#Data],9)),"-")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11" s="37" t="str">
        <f>IFERROR(IF(VLOOKUP($B11,orlando[#Data],12)=0,"Não executado",VLOOKUP($B11,orlando[#Data],12)),"Não executado")</f>
        <v>Não executado</v>
      </c>
      <c r="L11" s="37" t="str">
        <f>IFERROR(IF(VLOOKUP($B11,mauricio[#Data],12)=0,"Não executado",VLOOKUP($B11,mauricio[#Data],12)),"Não executado")</f>
        <v>Aprovado</v>
      </c>
      <c r="M11" s="37" t="str">
        <f>IFERROR(IF(VLOOKUP($B11,Thaisa[#Data],12)=0,"Não executado",VLOOKUP($B11,Thaisa[#Data],12)),"Não executado")</f>
        <v>Não executado</v>
      </c>
      <c r="N11" s="37" t="str">
        <f>IFERROR(IF(VLOOKUP($B11,carlos[#Data],12)=0,"Não executado",VLOOKUP($B11,carlos[#Data],12)),"Não executado")</f>
        <v>Disponível para reteste</v>
      </c>
      <c r="O11" s="37" t="str">
        <f>IFERROR(IF(VLOOKUP($B11,Alessandra[#Data],12)=0,"Não executado",VLOOKUP($B11,Alessandra[#Data],12)),"Não executado")</f>
        <v>Não executado</v>
      </c>
      <c r="P11" s="37" t="str">
        <f>IFERROR(IF(VLOOKUP($B11,AnaCarolina[#Data],12)=0,"Não executado",VLOOKUP($B11,AnaCarolina[#Data],12)),"Não executado")</f>
        <v>Aprovado</v>
      </c>
      <c r="Q11" s="37" t="str">
        <f>IFERROR(IF(VLOOKUP($B11,wanei[#Data],12)=0,"Não executado",VLOOKUP($B11,wanei[#Data],12)),"Não executado")</f>
        <v>Aprovado</v>
      </c>
      <c r="R11" s="37" t="str">
        <f>IFERROR(IF(VLOOKUP($B11,janaina[#Data],12)=0,"Não executado",VLOOKUP($B11,janaina[#Data],12)),"Não executado")</f>
        <v>Aprovado</v>
      </c>
      <c r="S11" s="37" t="str">
        <f>IFERROR(IF(VLOOKUP($B11,andreia[#Data],12)=0,"Não executado",VLOOKUP($B11,andreia[#Data],12)),"Não executado")</f>
        <v>Aprovado</v>
      </c>
      <c r="T11" s="37" t="str">
        <f>IFERROR(IF(VLOOKUP(#REF!,homologador[#Data],12)=0,"Não executado",VLOOKUP(#REF!,homologador[#Data],12)),"Não executado")</f>
        <v>Não executado</v>
      </c>
      <c r="U11" s="14">
        <f>COUNTIF(ACOMPANHAMENTO!K11:T11,"Aprovado")+COUNTIF(K11:T11,"Reprovado")+COUNTIF(K11:T11,"Em Teste")</f>
        <v>5</v>
      </c>
      <c r="V11" s="14">
        <f>COUNTIF(K11:T11,"Em Teste")</f>
        <v>0</v>
      </c>
      <c r="W11" s="13" t="str">
        <f>IF(U11&gt;3,IF(V11&gt;1,"SIM","NÃO"),"NÃO")</f>
        <v>NÃO</v>
      </c>
    </row>
    <row r="12" spans="1:23" ht="167.25">
      <c r="B12" s="40">
        <f>IF(ISERR(casostestes[[#This Row],[ID]]),"-",casostestes[[#This Row],[ID]])</f>
        <v>5</v>
      </c>
      <c r="C12" s="34" t="str">
        <f>IFERROR(IF(VLOOKUP($B12,casostestes[#Data],10)=0,"Não",VLOOKUP($B12,casostestes[#Data],10)), "-")</f>
        <v>Sim</v>
      </c>
      <c r="D12" s="35" t="str">
        <f>IFERROR(IF(VLOOKUP($B12,casostestes[#Data],2)=0,"-",VLOOKUP($B12,casostestes[#Data],2)), "-")</f>
        <v>Integração</v>
      </c>
      <c r="E12" s="35" t="str">
        <f>IFERROR(IF(VLOOKUP($B12,casostestes[#Data],3)=0,"-",VLOOKUP($B12,casostestes[#Data],3)), "-")</f>
        <v>17
Responder o formulário de autodeclaração acessando diretamente a aba segurado especial ao detalhar a tarefa, onde a tarefa encontra-se em exigência de autodeclaração</v>
      </c>
      <c r="F12" s="35" t="str">
        <f>IFERROR(IF(VLOOKUP($B12,casostestes[#Data],4)=0,"-",VLOOKUP($B12,casostestes[#Data],4)),"-")</f>
        <v>PAT</v>
      </c>
      <c r="G12" s="35" t="str">
        <f>IFERROR(IF(VLOOKUP($B12,casostestes[#Data],5)=0,"-",VLOOKUP($B12,casostestes[#Data],5)),"-")</f>
        <v>SERVIDOR</v>
      </c>
      <c r="H12" s="35" t="str">
        <f>IFERROR(IF(VLOOKUP($B12,casostestes[#Data],6)=0,"-",VLOOKUP($B12,casostestes[#Data],6)),"-")</f>
        <v>1. Logar no Portal do Atendimento INSS com o perfil Servidor
2.Consultar uma tarefa em exigência de autodeclaração 
3. Acionar a aba Segurado especial
3. Responder o formulário de autodeclaração até o final</v>
      </c>
      <c r="I12" s="35" t="str">
        <f>IFERROR(IF(VLOOKUP($B12,casostestes[#Data],8)=0,"-",VLOOKUP($B12,casostestes[#Data],8)),"-")</f>
        <v>-</v>
      </c>
      <c r="J12" s="35" t="str">
        <f>IFERROR(IF(VLOOKUP($B12,casostestes[#Data],9)=0,"-",VLOOKUP($B12,casostestes[#Data],9)),"-")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12" s="37" t="str">
        <f>IFERROR(IF(VLOOKUP($B12,orlando[#Data],12)=0,"Não executado",VLOOKUP($B12,orlando[#Data],12)),"Não executado")</f>
        <v>Não executado</v>
      </c>
      <c r="L12" s="37" t="str">
        <f>IFERROR(IF(VLOOKUP($B12,mauricio[#Data],12)=0,"Não executado",VLOOKUP($B12,mauricio[#Data],12)),"Não executado")</f>
        <v>Aprovado</v>
      </c>
      <c r="M12" s="37" t="str">
        <f>IFERROR(IF(VLOOKUP($B12,Thaisa[#Data],12)=0,"Não executado",VLOOKUP($B12,Thaisa[#Data],12)),"Não executado")</f>
        <v>Não executado</v>
      </c>
      <c r="N12" s="37" t="str">
        <f>IFERROR(IF(VLOOKUP($B12,carlos[#Data],12)=0,"Não executado",VLOOKUP($B12,carlos[#Data],12)),"Não executado")</f>
        <v>Aprovado</v>
      </c>
      <c r="O12" s="37" t="str">
        <f>IFERROR(IF(VLOOKUP($B12,Alessandra[#Data],12)=0,"Não executado",VLOOKUP($B12,Alessandra[#Data],12)),"Não executado")</f>
        <v>Não executado</v>
      </c>
      <c r="P12" s="37" t="str">
        <f>IFERROR(IF(VLOOKUP($B12,AnaCarolina[#Data],12)=0,"Não executado",VLOOKUP($B12,AnaCarolina[#Data],12)),"Não executado")</f>
        <v>Em Teste</v>
      </c>
      <c r="Q12" s="37" t="str">
        <f>IFERROR(IF(VLOOKUP($B12,wanei[#Data],12)=0,"Não executado",VLOOKUP($B12,wanei[#Data],12)),"Não executado")</f>
        <v>Aprovado</v>
      </c>
      <c r="R12" s="37" t="str">
        <f>IFERROR(IF(VLOOKUP($B12,janaina[#Data],12)=0,"Não executado",VLOOKUP($B12,janaina[#Data],12)),"Não executado")</f>
        <v>Aprovado</v>
      </c>
      <c r="S12" s="37" t="str">
        <f>IFERROR(IF(VLOOKUP($B12,andreia[#Data],12)=0,"Não executado",VLOOKUP($B12,andreia[#Data],12)),"Não executado")</f>
        <v>Aprovado</v>
      </c>
      <c r="T12" s="37" t="str">
        <f>IFERROR(IF(VLOOKUP(#REF!,homologador[#Data],12)=0,"Não executado",VLOOKUP(#REF!,homologador[#Data],12)),"Não executado")</f>
        <v>Não executado</v>
      </c>
      <c r="U12" s="14">
        <f>COUNTIF(ACOMPANHAMENTO!K12:T12,"Aprovado")+COUNTIF(K12:T12,"Reprovado")+COUNTIF(K12:T12,"Em Teste")</f>
        <v>6</v>
      </c>
      <c r="V12" s="14">
        <f>COUNTIF(K12:T12,"Em Teste")</f>
        <v>1</v>
      </c>
      <c r="W12" s="13" t="str">
        <f>IF(U12&gt;3,IF(V12&gt;1,"SIM","NÃO"),"NÃO")</f>
        <v>NÃO</v>
      </c>
    </row>
    <row r="13" spans="1:23" ht="106.5">
      <c r="B13" s="40">
        <f>IF(ISERR(casostestes[[#This Row],[ID]]),"-",casostestes[[#This Row],[ID]])</f>
        <v>6</v>
      </c>
      <c r="C13" s="34" t="str">
        <f>IFERROR(IF(VLOOKUP($B13,casostestes[#Data],10)=0,"Não",VLOOKUP($B13,casostestes[#Data],10)), "-")</f>
        <v>Sim</v>
      </c>
      <c r="D13" s="35" t="str">
        <f>IFERROR(IF(VLOOKUP($B13,casostestes[#Data],2)=0,"-",VLOOKUP($B13,casostestes[#Data],2)), "-")</f>
        <v>Integração</v>
      </c>
      <c r="E13" s="35" t="str">
        <f>IFERROR(IF(VLOOKUP($B13,casostestes[#Data],3)=0,"-",VLOOKUP($B13,casostestes[#Data],3)), "-")</f>
        <v>18
Responder o formulário de autodeclaração acessando diretamente a aba segurado especial ao detalhar a tarefa, onde a tarefa encontra-se em exigência de documento médico</v>
      </c>
      <c r="F13" s="35" t="str">
        <f>IFERROR(IF(VLOOKUP($B13,casostestes[#Data],4)=0,"-",VLOOKUP($B13,casostestes[#Data],4)),"-")</f>
        <v>PAT</v>
      </c>
      <c r="G13" s="35" t="str">
        <f>IFERROR(IF(VLOOKUP($B13,casostestes[#Data],5)=0,"-",VLOOKUP($B13,casostestes[#Data],5)),"-")</f>
        <v>SERVIDOR</v>
      </c>
      <c r="H13" s="35" t="str">
        <f>IFERROR(IF(VLOOKUP($B13,casostestes[#Data],6)=0,"-",VLOOKUP($B13,casostestes[#Data],6)),"-")</f>
        <v>1. Logar no Portal do Atendimento INSS com o perfil Servidor
2.Consultar uma tarefa em exigência de documento médico
3. Acionar a aba Segurado especial
3. Responder o formulário de autodeclaração até o final</v>
      </c>
      <c r="I13" s="35" t="str">
        <f>IFERROR(IF(VLOOKUP($B13,casostestes[#Data],8)=0,"-",VLOOKUP($B13,casostestes[#Data],8)),"-")</f>
        <v>-</v>
      </c>
      <c r="J13" s="35" t="str">
        <f>IFERROR(IF(VLOOKUP($B13,casostestes[#Data],9)=0,"-",VLOOKUP($B13,casostestes[#Data],9)),"-")</f>
        <v xml:space="preserve">
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13" s="37" t="str">
        <f>IFERROR(IF(VLOOKUP($B13,orlando[#Data],12)=0,"Não executado",VLOOKUP($B13,orlando[#Data],12)),"Não executado")</f>
        <v>Não executado</v>
      </c>
      <c r="L13" s="37" t="str">
        <f>IFERROR(IF(VLOOKUP($B13,mauricio[#Data],12)=0,"Não executado",VLOOKUP($B13,mauricio[#Data],12)),"Não executado")</f>
        <v>Aprovado</v>
      </c>
      <c r="M13" s="37" t="str">
        <f>IFERROR(IF(VLOOKUP($B13,Thaisa[#Data],12)=0,"Não executado",VLOOKUP($B13,Thaisa[#Data],12)),"Não executado")</f>
        <v>Não executado</v>
      </c>
      <c r="N13" s="37" t="str">
        <f>IFERROR(IF(VLOOKUP($B13,carlos[#Data],12)=0,"Não executado",VLOOKUP($B13,carlos[#Data],12)),"Não executado")</f>
        <v>Aprovado</v>
      </c>
      <c r="O13" s="37" t="str">
        <f>IFERROR(IF(VLOOKUP($B13,Alessandra[#Data],12)=0,"Não executado",VLOOKUP($B13,Alessandra[#Data],12)),"Não executado")</f>
        <v>Não executado</v>
      </c>
      <c r="P13" s="37" t="str">
        <f>IFERROR(IF(VLOOKUP($B13,AnaCarolina[#Data],12)=0,"Não executado",VLOOKUP($B13,AnaCarolina[#Data],12)),"Não executado")</f>
        <v>Aprovado</v>
      </c>
      <c r="Q13" s="37" t="str">
        <f>IFERROR(IF(VLOOKUP($B13,wanei[#Data],12)=0,"Não executado",VLOOKUP($B13,wanei[#Data],12)),"Não executado")</f>
        <v>Aprovado</v>
      </c>
      <c r="R13" s="37" t="str">
        <f>IFERROR(IF(VLOOKUP($B13,janaina[#Data],12)=0,"Não executado",VLOOKUP($B13,janaina[#Data],12)),"Não executado")</f>
        <v>Aprovado</v>
      </c>
      <c r="S13" s="37" t="str">
        <f>IFERROR(IF(VLOOKUP($B13,andreia[#Data],12)=0,"Não executado",VLOOKUP($B13,andreia[#Data],12)),"Não executado")</f>
        <v>Não executado</v>
      </c>
      <c r="T13" s="37" t="str">
        <f>IFERROR(IF(VLOOKUP(#REF!,homologador[#Data],12)=0,"Não executado",VLOOKUP(#REF!,homologador[#Data],12)),"Não executado")</f>
        <v>Não executado</v>
      </c>
      <c r="U13" s="14">
        <f>COUNTIF(ACOMPANHAMENTO!K13:T13,"Aprovado")+COUNTIF(K13:T13,"Reprovado")+COUNTIF(K13:T13,"Em Teste")</f>
        <v>5</v>
      </c>
      <c r="V13" s="14">
        <f>COUNTIF(K13:T13,"Em Teste")</f>
        <v>0</v>
      </c>
      <c r="W13" s="13" t="str">
        <f>IF(U13&gt;3,IF(V13&gt;1,"SIM","NÃO"),"NÃO")</f>
        <v>NÃO</v>
      </c>
    </row>
    <row r="14" spans="1:23" ht="244.5">
      <c r="B14" s="40">
        <f>IF(ISERR(casostestes[[#This Row],[ID]]),"-",casostestes[[#This Row],[ID]])</f>
        <v>7</v>
      </c>
      <c r="C14" s="34" t="str">
        <f>IFERROR(IF(VLOOKUP($B14,casostestes[#Data],10)=0,"Não",VLOOKUP($B14,casostestes[#Data],10)), "-")</f>
        <v>Sim</v>
      </c>
      <c r="D14" s="35" t="str">
        <f>IFERROR(IF(VLOOKUP($B14,casostestes[#Data],2)=0,"-",VLOOKUP($B14,casostestes[#Data],2)), "-")</f>
        <v>Integração</v>
      </c>
      <c r="E14" s="35" t="str">
        <f>IFERROR(IF(VLOOKUP($B14,casostestes[#Data],3)=0,"-",VLOOKUP($B14,casostestes[#Data],3)), "-")</f>
        <v>19
Criar tarefa de BI inicial fluxo ATESTMEDQ para categoria "Segurado especial" onde o parâmetro "Exige Autodeclaração" no Catálogo está ATIVADO,  NÃO foi respondida a autodeclaração, NÃO foi incluído o anexo detalhado de AD e cidadão está preso
**Parâmetro PAT ligado: 144 - Fluxo ATESTMEDQ</v>
      </c>
      <c r="F14" s="35" t="str">
        <f>IFERROR(IF(VLOOKUP($B14,casostestes[#Data],4)=0,"-",VLOOKUP($B14,casostestes[#Data],4)),"-")</f>
        <v>PAT</v>
      </c>
      <c r="G14" s="35" t="str">
        <f>IFERROR(IF(VLOOKUP($B14,casostestes[#Data],5)=0,"-",VLOOKUP($B14,casostestes[#Data],5)),"-")</f>
        <v>SERVIDOR</v>
      </c>
      <c r="H14" s="35" t="str">
        <f>IFERROR(IF(VLOOKUP($B14,casostestes[#Data],6)=0,"-",VLOOKUP($B14,casostestes[#Data],6)),"-")</f>
        <v xml:space="preserve">1. Logar no Portal do Atendimento INSS com o perfil do caso de teste
2.Criar tarefa de BI informando:
Tipo de Incapacidade? "Temporária "
A pessoa está presa?  Sim
Categoria do trabalhador "Segurado Especial"
A pessoa ficou sem trabalhar? Sim
3. NÃO Informar anexo detalhado de autodeclaração
4. NÃO responder o formulário de autodeclaração
</v>
      </c>
      <c r="I14" s="35" t="str">
        <f>IFERROR(IF(VLOOKUP($B14,casostestes[#Data],8)=0,"-",VLOOKUP($B14,casostestes[#Data],8)),"-")</f>
        <v>-</v>
      </c>
      <c r="J14" s="35" t="str">
        <f>IFERROR(IF(VLOOKUP($B14,casostestes[#Data],9)=0,"-",VLOOKUP($B14,casostestes[#Data],9)),"-")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14" s="37" t="str">
        <f>IFERROR(IF(VLOOKUP($B14,orlando[#Data],12)=0,"Não executado",VLOOKUP($B14,orlando[#Data],12)),"Não executado")</f>
        <v>Não executado</v>
      </c>
      <c r="L14" s="37" t="str">
        <f>IFERROR(IF(VLOOKUP($B14,mauricio[#Data],12)=0,"Não executado",VLOOKUP($B14,mauricio[#Data],12)),"Não executado")</f>
        <v>Aprovado</v>
      </c>
      <c r="M14" s="37" t="str">
        <f>IFERROR(IF(VLOOKUP($B14,Thaisa[#Data],12)=0,"Não executado",VLOOKUP($B14,Thaisa[#Data],12)),"Não executado")</f>
        <v>Não executado</v>
      </c>
      <c r="N14" s="37" t="str">
        <f>IFERROR(IF(VLOOKUP($B14,carlos[#Data],12)=0,"Não executado",VLOOKUP($B14,carlos[#Data],12)),"Não executado")</f>
        <v>Aprovado</v>
      </c>
      <c r="O14" s="37" t="str">
        <f>IFERROR(IF(VLOOKUP($B14,Alessandra[#Data],12)=0,"Não executado",VLOOKUP($B14,Alessandra[#Data],12)),"Não executado")</f>
        <v>Não executado</v>
      </c>
      <c r="P14" s="37" t="str">
        <f>IFERROR(IF(VLOOKUP($B14,AnaCarolina[#Data],12)=0,"Não executado",VLOOKUP($B14,AnaCarolina[#Data],12)),"Não executado")</f>
        <v>Aprovado</v>
      </c>
      <c r="Q14" s="37" t="str">
        <f>IFERROR(IF(VLOOKUP($B14,wanei[#Data],12)=0,"Não executado",VLOOKUP($B14,wanei[#Data],12)),"Não executado")</f>
        <v>Aprovado</v>
      </c>
      <c r="R14" s="37" t="str">
        <f>IFERROR(IF(VLOOKUP($B14,janaina[#Data],12)=0,"Não executado",VLOOKUP($B14,janaina[#Data],12)),"Não executado")</f>
        <v>Aprovado</v>
      </c>
      <c r="S14" s="37" t="str">
        <f>IFERROR(IF(VLOOKUP($B14,andreia[#Data],12)=0,"Não executado",VLOOKUP($B14,andreia[#Data],12)),"Não executado")</f>
        <v>Aprovado</v>
      </c>
      <c r="T14" s="37" t="str">
        <f>IFERROR(IF(VLOOKUP(#REF!,homologador[#Data],12)=0,"Não executado",VLOOKUP(#REF!,homologador[#Data],12)),"Não executado")</f>
        <v>Não executado</v>
      </c>
      <c r="U14" s="14">
        <f>COUNTIF(ACOMPANHAMENTO!K14:T14,"Aprovado")+COUNTIF(K14:T14,"Reprovado")+COUNTIF(K14:T14,"Em Teste")</f>
        <v>6</v>
      </c>
      <c r="V14" s="14">
        <f>COUNTIF(K14:T14,"Em Teste")</f>
        <v>0</v>
      </c>
      <c r="W14" s="13" t="str">
        <f>IF(U14&gt;3,IF(V14&gt;1,"SIM","NÃO"),"NÃO")</f>
        <v>NÃO</v>
      </c>
    </row>
    <row r="15" spans="1:23" ht="244.5">
      <c r="B15" s="40">
        <f>IF(ISERR(casostestes[[#This Row],[ID]]),"-",casostestes[[#This Row],[ID]])</f>
        <v>8</v>
      </c>
      <c r="C15" s="34" t="str">
        <f>IFERROR(IF(VLOOKUP($B15,casostestes[#Data],10)=0,"Não",VLOOKUP($B15,casostestes[#Data],10)), "-")</f>
        <v>Sim</v>
      </c>
      <c r="D15" s="35" t="str">
        <f>IFERROR(IF(VLOOKUP($B15,casostestes[#Data],2)=0,"-",VLOOKUP($B15,casostestes[#Data],2)), "-")</f>
        <v>Integração</v>
      </c>
      <c r="E15" s="35" t="str">
        <f>IFERROR(IF(VLOOKUP($B15,casostestes[#Data],3)=0,"-",VLOOKUP($B15,casostestes[#Data],3)), "-")</f>
        <v>20
Criar tarefa de BI inicial fluxo ATESTMEDQ para categoria "Segurado especial" onde o parâmetro "Exige Autodeclaração" no Catálogo está ATIVADO,  NÃO foi respondida a autodeclaração, NÃO foi incluído o anexo detalhado de AD e cidadão ficou sem trabalhar
**Parâmetro PAT ligado: 144 - Fluxo ATESTMEDQ</v>
      </c>
      <c r="F15" s="35" t="str">
        <f>IFERROR(IF(VLOOKUP($B15,casostestes[#Data],4)=0,"-",VLOOKUP($B15,casostestes[#Data],4)),"-")</f>
        <v>PAT</v>
      </c>
      <c r="G15" s="35" t="str">
        <f>IFERROR(IF(VLOOKUP($B15,casostestes[#Data],5)=0,"-",VLOOKUP($B15,casostestes[#Data],5)),"-")</f>
        <v>SERVIDOR</v>
      </c>
      <c r="H15" s="35" t="str">
        <f>IFERROR(IF(VLOOKUP($B15,casostestes[#Data],6)=0,"-",VLOOKUP($B15,casostestes[#Data],6)),"-")</f>
        <v xml:space="preserve">1. Logar no Portal do Atendimento INSS com o perfil do caso de teste
2.Criar tarefa de BI informando:
Tipo de Incapacidade? "Temporária "
A pessoa está presa?  Não
Categoria do trabalhador "Segurado Especial"
A pessoa ficou sem trabalhar? Não
3. Informar anexo detalhado de autodeclaração
4. NÃO responder o formulário de autodeclaração
</v>
      </c>
      <c r="I15" s="35" t="str">
        <f>IFERROR(IF(VLOOKUP($B15,casostestes[#Data],8)=0,"-",VLOOKUP($B15,casostestes[#Data],8)),"-")</f>
        <v>-</v>
      </c>
      <c r="J15" s="35" t="str">
        <f>IFERROR(IF(VLOOKUP($B15,casostestes[#Data],9)=0,"-",VLOOKUP($B15,casostestes[#Data],9)),"-")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15" s="37" t="str">
        <f>IFERROR(IF(VLOOKUP($B15,orlando[#Data],12)=0,"Não executado",VLOOKUP($B15,orlando[#Data],12)),"Não executado")</f>
        <v>Aprovado</v>
      </c>
      <c r="L15" s="37" t="str">
        <f>IFERROR(IF(VLOOKUP($B15,mauricio[#Data],12)=0,"Não executado",VLOOKUP($B15,mauricio[#Data],12)),"Não executado")</f>
        <v>Aprovado</v>
      </c>
      <c r="M15" s="37" t="str">
        <f>IFERROR(IF(VLOOKUP($B15,Thaisa[#Data],12)=0,"Não executado",VLOOKUP($B15,Thaisa[#Data],12)),"Não executado")</f>
        <v>Não executado</v>
      </c>
      <c r="N15" s="37" t="str">
        <f>IFERROR(IF(VLOOKUP($B15,carlos[#Data],12)=0,"Não executado",VLOOKUP($B15,carlos[#Data],12)),"Não executado")</f>
        <v>Pendência Externa</v>
      </c>
      <c r="O15" s="37" t="str">
        <f>IFERROR(IF(VLOOKUP($B15,Alessandra[#Data],12)=0,"Não executado",VLOOKUP($B15,Alessandra[#Data],12)),"Não executado")</f>
        <v>Não executado</v>
      </c>
      <c r="P15" s="37" t="str">
        <f>IFERROR(IF(VLOOKUP($B15,AnaCarolina[#Data],12)=0,"Não executado",VLOOKUP($B15,AnaCarolina[#Data],12)),"Não executado")</f>
        <v>Aprovado</v>
      </c>
      <c r="Q15" s="37" t="str">
        <f>IFERROR(IF(VLOOKUP($B15,wanei[#Data],12)=0,"Não executado",VLOOKUP($B15,wanei[#Data],12)),"Não executado")</f>
        <v>Aprovado</v>
      </c>
      <c r="R15" s="37" t="str">
        <f>IFERROR(IF(VLOOKUP($B15,janaina[#Data],12)=0,"Não executado",VLOOKUP($B15,janaina[#Data],12)),"Não executado")</f>
        <v>Aprovado</v>
      </c>
      <c r="S15" s="37" t="str">
        <f>IFERROR(IF(VLOOKUP($B15,andreia[#Data],12)=0,"Não executado",VLOOKUP($B15,andreia[#Data],12)),"Não executado")</f>
        <v>Aprovado</v>
      </c>
      <c r="T15" s="37" t="str">
        <f>IFERROR(IF(VLOOKUP(#REF!,homologador[#Data],12)=0,"Não executado",VLOOKUP(#REF!,homologador[#Data],12)),"Não executado")</f>
        <v>Não executado</v>
      </c>
      <c r="U15" s="14">
        <f>COUNTIF(ACOMPANHAMENTO!K15:T15,"Aprovado")+COUNTIF(K15:T15,"Reprovado")+COUNTIF(K15:T15,"Em Teste")</f>
        <v>6</v>
      </c>
      <c r="V15" s="14">
        <f>COUNTIF(K15:T15,"Em Teste")</f>
        <v>0</v>
      </c>
      <c r="W15" s="13" t="str">
        <f>IF(U15&gt;3,IF(V15&gt;1,"SIM","NÃO"),"NÃO")</f>
        <v>NÃO</v>
      </c>
    </row>
    <row r="16" spans="1:23" ht="321">
      <c r="B16" s="40">
        <f>IF(ISERR(casostestes[[#This Row],[ID]]),"-",casostestes[[#This Row],[ID]])</f>
        <v>9</v>
      </c>
      <c r="C16" s="34" t="str">
        <f>IFERROR(IF(VLOOKUP($B16,casostestes[#Data],10)=0,"Não",VLOOKUP($B16,casostestes[#Data],10)), "-")</f>
        <v>Sim</v>
      </c>
      <c r="D16" s="35" t="str">
        <f>IFERROR(IF(VLOOKUP($B16,casostestes[#Data],2)=0,"-",VLOOKUP($B16,casostestes[#Data],2)), "-")</f>
        <v>Integração</v>
      </c>
      <c r="E16" s="35" t="str">
        <f>IFERROR(IF(VLOOKUP($B16,casostestes[#Data],3)=0,"-",VLOOKUP($B16,casostestes[#Data],3)), "-")</f>
        <v>21
Criar tarefa de BI inicial fluxo ATESTMEDQ para categoria "Segurado especial" onde o parâmetro "Exige Autodeclaração" no Catálogo está ATIVADO,  NÃO foi respondida a autodeclaração e foi incluído o anexo detalhado de AD
**Parâmetro PAT ligado: 144 - Fluxo ATESTMEDQ</v>
      </c>
      <c r="F16" s="35" t="s">
        <v>25</v>
      </c>
      <c r="G16" s="35" t="str">
        <f>IFERROR(IF(VLOOKUP($B16,casostestes[#Data],5)=0,"-",VLOOKUP($B16,casostestes[#Data],5)),"-")</f>
        <v>SERVIDOR</v>
      </c>
      <c r="H16" s="35" t="str">
        <f>IFERROR(IF(VLOOKUP($B16,casostestes[#Data],6)=0,"-",VLOOKUP($B16,casostestes[#Data],6)),"-")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Informar anexo detalhado de autodeclaração
4. NÃO responder o formulário de autodeclaração
Resultado 1
5.Alterar via banco de dados a data da exigência para (data atual - 36 dias)
Resultado 2</v>
      </c>
      <c r="I16" s="35" t="str">
        <f>IFERROR(IF(VLOOKUP($B16,casostestes[#Data],8)=0,"-",VLOOKUP($B16,casostestes[#Data],8)),"-")</f>
        <v>-</v>
      </c>
      <c r="J16" s="35" t="str">
        <f>IFERROR(IF(VLOOKUP($B16,casostestes[#Data],9)=0,"-",VLOOKUP($B16,casostestes[#Data],9)),"-")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2
Resultado 2 - Após alguns minutos:
Tarefa de BI com situação alterada para Pendente
Despacho incluído informando a operação ( fragmento de sigla  XXXXXXXXXX )
Divergência de autodeclaração (116) EXCLUÍDA da tarefa
Alguns minutos depois:
Status SIBE igual a AGUARDANDO ATESTADO 
Na opção  "Lista de Ocorrências", o json de integração com o SIBE deverá conter o campo "periodosPendentesSegEsp" com valor true.
</v>
      </c>
      <c r="K16" s="37" t="str">
        <f>IFERROR(IF(VLOOKUP($B16,orlando[#Data],12)=0,"Não executado",VLOOKUP($B16,orlando[#Data],12)),"Não executado")</f>
        <v>Pendência Externa</v>
      </c>
      <c r="L16" s="37" t="str">
        <f>IFERROR(IF(VLOOKUP($B16,mauricio[#Data],12)=0,"Não executado",VLOOKUP($B16,mauricio[#Data],12)),"Não executado")</f>
        <v>Aprovado</v>
      </c>
      <c r="M16" s="37" t="str">
        <f>IFERROR(IF(VLOOKUP($B16,Thaisa[#Data],12)=0,"Não executado",VLOOKUP($B16,Thaisa[#Data],12)),"Não executado")</f>
        <v>Não executado</v>
      </c>
      <c r="N16" s="37" t="str">
        <f>IFERROR(IF(VLOOKUP($B16,carlos[#Data],12)=0,"Não executado",VLOOKUP($B16,carlos[#Data],12)),"Não executado")</f>
        <v>Pendência Externa</v>
      </c>
      <c r="O16" s="37" t="str">
        <f>IFERROR(IF(VLOOKUP($B16,Alessandra[#Data],12)=0,"Não executado",VLOOKUP($B16,Alessandra[#Data],12)),"Não executado")</f>
        <v>Não executado</v>
      </c>
      <c r="P16" s="37" t="str">
        <f>IFERROR(IF(VLOOKUP($B16,AnaCarolina[#Data],12)=0,"Não executado",VLOOKUP($B16,AnaCarolina[#Data],12)),"Não executado")</f>
        <v>Aprovado</v>
      </c>
      <c r="Q16" s="37" t="str">
        <f>IFERROR(IF(VLOOKUP($B16,wanei[#Data],12)=0,"Não executado",VLOOKUP($B16,wanei[#Data],12)),"Não executado")</f>
        <v>Aprovado</v>
      </c>
      <c r="R16" s="37" t="str">
        <f>IFERROR(IF(VLOOKUP($B16,janaina[#Data],12)=0,"Não executado",VLOOKUP($B16,janaina[#Data],12)),"Não executado")</f>
        <v>Aprovado</v>
      </c>
      <c r="S16" s="37" t="str">
        <f>IFERROR(IF(VLOOKUP($B16,andreia[#Data],12)=0,"Não executado",VLOOKUP($B16,andreia[#Data],12)),"Não executado")</f>
        <v>Aprovado</v>
      </c>
      <c r="T16" s="37" t="str">
        <f>IFERROR(IF(VLOOKUP(#REF!,homologador[#Data],12)=0,"Não executado",VLOOKUP(#REF!,homologador[#Data],12)),"Não executado")</f>
        <v>Não executado</v>
      </c>
      <c r="U16" s="14">
        <f>COUNTIF(ACOMPANHAMENTO!K16:T16,"Aprovado")+COUNTIF(K16:T16,"Reprovado")+COUNTIF(K16:T16,"Em Teste")</f>
        <v>5</v>
      </c>
      <c r="V16" s="14">
        <f>COUNTIF(K16:T16,"Em Teste")</f>
        <v>0</v>
      </c>
      <c r="W16" s="13" t="str">
        <f>IF(U16&gt;3,IF(V16&gt;1,"SIM","NÃO"),"NÃO")</f>
        <v>NÃO</v>
      </c>
    </row>
    <row r="17" spans="2:23" ht="305.25">
      <c r="B17" s="40">
        <f>IF(ISERR(casostestes[[#This Row],[ID]]),"-",casostestes[[#This Row],[ID]])</f>
        <v>10</v>
      </c>
      <c r="C17" s="34" t="str">
        <f>IFERROR(IF(VLOOKUP($B17,casostestes[#Data],10)=0,"Não",VLOOKUP($B17,casostestes[#Data],10)), "-")</f>
        <v>Sim</v>
      </c>
      <c r="D17" s="35" t="str">
        <f>IFERROR(IF(VLOOKUP($B17,casostestes[#Data],2)=0,"-",VLOOKUP($B17,casostestes[#Data],2)), "-")</f>
        <v>Integração</v>
      </c>
      <c r="E17" s="35" t="str">
        <f>IFERROR(IF(VLOOKUP($B17,casostestes[#Data],3)=0,"-",VLOOKUP($B17,casostestes[#Data],3)), "-")</f>
        <v>22
Criar tarefa de BI inicial fluxo PRESENCIAL para categoria "Segurado especial" onde o parâmetro "Exige Autodeclaração" no Catálogo está ATIVADO, NÃO foi respondida a autodeclaração e NÃO foi incluído o anexo detalhado de AD
**Parâmetro PAT ligado: 144 - Fluxo ATESTMEDQ
**Parâmetro PAT ligado: 109 -Tipo de Incapacidade Permanente leva à Fluxo Presencial do Novo BI</v>
      </c>
      <c r="F17" s="35" t="s">
        <v>25</v>
      </c>
      <c r="G17" s="35" t="str">
        <f>IFERROR(IF(VLOOKUP($B17,casostestes[#Data],5)=0,"-",VLOOKUP($B17,casostestes[#Data],5)),"-")</f>
        <v>SERVIDOR</v>
      </c>
      <c r="H17" s="35" t="str">
        <f>IFERROR(IF(VLOOKUP($B17,casostestes[#Data],6)=0,"-",VLOOKUP($B17,casostestes[#Data],6)),"-")</f>
        <v>1. Logar no Portal do Atendimento INSS com o perfil do caso de teste
2.Criar tarefa de BI informando:
Tipo de Incapacidade? "Permanente"
A pessoa está presa?  Não
Houve acidente de trabalho?  Não
Categoria do trabalhador "Segurado Especial"
A pessoa ficou sem trabalhar? Sim
3. NÃO informar anexo detalhado de autodeclaração
5. Realizar agendamento
6. NÃO responder o formulário de autodeclaração
Resultado 1 
7.Alterar via banco de dados a data da exigência para (data atual - 36 dias)
Resulado 2</v>
      </c>
      <c r="I17" s="35" t="str">
        <f>IFERROR(IF(VLOOKUP($B17,casostestes[#Data],8)=0,"-",VLOOKUP($B17,casostestes[#Data],8)),"-")</f>
        <v>-</v>
      </c>
      <c r="J17" s="35" t="str">
        <f>IFERROR(IF(VLOOKUP($B17,casostestes[#Data],9)=0,"-",VLOOKUP($B17,casostestes[#Data],9)),"-")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1
Resultado 2 - Após alguns minutos:
Tarefa de BI com situação alterada para Pendente
Despacho incluído informando a operação ( fragmento de sigla  XXXXXXXXXX )
Divergência de autodeclaração (116) EXCLUÍDA da tarefa
Alguns minutos depois:
Status SIBE igual a AGUARDANDO PERÍCIA
Na opção  "Lista de Ocorrências", o json de integração com o SIBE deverá conter o campo "periodosPendentesSegEsp" com valor null.
</v>
      </c>
      <c r="K17" s="37" t="str">
        <f>IFERROR(IF(VLOOKUP($B17,orlando[#Data],12)=0,"Não executado",VLOOKUP($B17,orlando[#Data],12)),"Não executado")</f>
        <v>Pendência Externa</v>
      </c>
      <c r="L17" s="37" t="str">
        <f>IFERROR(IF(VLOOKUP($B17,mauricio[#Data],12)=0,"Não executado",VLOOKUP($B17,mauricio[#Data],12)),"Não executado")</f>
        <v>Em Teste</v>
      </c>
      <c r="M17" s="37" t="str">
        <f>IFERROR(IF(VLOOKUP($B17,Thaisa[#Data],12)=0,"Não executado",VLOOKUP($B17,Thaisa[#Data],12)),"Não executado")</f>
        <v>Não executado</v>
      </c>
      <c r="N17" s="37" t="str">
        <f>IFERROR(IF(VLOOKUP($B17,carlos[#Data],12)=0,"Não executado",VLOOKUP($B17,carlos[#Data],12)),"Não executado")</f>
        <v>Pendência Externa</v>
      </c>
      <c r="O17" s="37" t="str">
        <f>IFERROR(IF(VLOOKUP($B17,Alessandra[#Data],12)=0,"Não executado",VLOOKUP($B17,Alessandra[#Data],12)),"Não executado")</f>
        <v>Não executado</v>
      </c>
      <c r="P17" s="37" t="str">
        <f>IFERROR(IF(VLOOKUP($B17,AnaCarolina[#Data],12)=0,"Não executado",VLOOKUP($B17,AnaCarolina[#Data],12)),"Não executado")</f>
        <v>Em Teste</v>
      </c>
      <c r="Q17" s="37" t="str">
        <f>IFERROR(IF(VLOOKUP($B17,wanei[#Data],12)=0,"Não executado",VLOOKUP($B17,wanei[#Data],12)),"Não executado")</f>
        <v>Pendência Externa</v>
      </c>
      <c r="R17" s="37" t="str">
        <f>IFERROR(IF(VLOOKUP($B17,janaina[#Data],12)=0,"Não executado",VLOOKUP($B17,janaina[#Data],12)),"Não executado")</f>
        <v>Aprovado</v>
      </c>
      <c r="S17" s="37" t="str">
        <f>IFERROR(IF(VLOOKUP($B17,andreia[#Data],12)=0,"Não executado",VLOOKUP($B17,andreia[#Data],12)),"Não executado")</f>
        <v>Disponível para reteste</v>
      </c>
      <c r="T17" s="37" t="str">
        <f>IFERROR(IF(VLOOKUP(#REF!,homologador[#Data],12)=0,"Não executado",VLOOKUP(#REF!,homologador[#Data],12)),"Não executado")</f>
        <v>Não executado</v>
      </c>
      <c r="U17" s="14">
        <f>COUNTIF(ACOMPANHAMENTO!K17:T17,"Aprovado")+COUNTIF(K17:T17,"Reprovado")+COUNTIF(K17:T17,"Em Teste")</f>
        <v>3</v>
      </c>
      <c r="V17" s="14">
        <f>COUNTIF(K17:T17,"Em Teste")</f>
        <v>2</v>
      </c>
      <c r="W17" s="13" t="str">
        <f>IF(U17&gt;3,IF(V17&gt;1,"SIM","NÃO"),"NÃO")</f>
        <v>NÃO</v>
      </c>
    </row>
    <row r="18" spans="2:23" ht="106.5">
      <c r="B18" s="40">
        <f>IF(ISERR(casostestes[[#This Row],[ID]]),"-",casostestes[[#This Row],[ID]])</f>
        <v>11</v>
      </c>
      <c r="C18" s="34" t="str">
        <f>IFERROR(IF(VLOOKUP($B18,casostestes[#Data],10)=0,"Não",VLOOKUP($B18,casostestes[#Data],10)), "-")</f>
        <v>Sim</v>
      </c>
      <c r="D18" s="35" t="str">
        <f>IFERROR(IF(VLOOKUP($B18,casostestes[#Data],2)=0,"-",VLOOKUP($B18,casostestes[#Data],2)), "-")</f>
        <v>Requerimento Inicial de BI</v>
      </c>
      <c r="E18" s="35" t="str">
        <f>IFERROR(IF(VLOOKUP($B18,casostestes[#Data],3)=0,"-",VLOOKUP($B18,casostestes[#Data],3)), "-")</f>
        <v>24
Criar tarefa de BI inicial fluxo ATESTMEDQ para categoria diferente de "Segurado especial" onde o parâmetro "Exige Autodeclaração" no Catálogo está ATIVADO
**Parâmetro PAT ligado: 144 - Fluxo ATESTMEDQ</v>
      </c>
      <c r="F18" s="35" t="str">
        <f>IFERROR(IF(VLOOKUP($B18,casostestes[#Data],4)=0,"-",VLOOKUP($B18,casostestes[#Data],4)),"-")</f>
        <v>EC</v>
      </c>
      <c r="G18" s="35" t="str">
        <f>IFERROR(IF(VLOOKUP($B18,casostestes[#Data],5)=0,"-",VLOOKUP($B18,casostestes[#Data],5)),"-")</f>
        <v>ENTIDADE_CONVENIADA</v>
      </c>
      <c r="H18" s="35" t="str">
        <f>IFERROR(IF(VLOOKUP($B18,casostestes[#Data],6)=0,"-",VLOOKUP($B18,casostestes[#Data],6)),"-")</f>
        <v xml:space="preserve">1. Logar no Portal do Atendimento INSS com o perfil do caso de teste
2.Criar tarefa de BI informando:
Tipo de Incapacidade? "Temporária "
A pessoa está presa?  Não
Categoria do trabalhador diferente de "Segurado Especial"
</v>
      </c>
      <c r="I18" s="35" t="str">
        <f>IFERROR(IF(VLOOKUP($B18,casostestes[#Data],8)=0,"-",VLOOKUP($B18,casostestes[#Data],8)),"-")</f>
        <v>-</v>
      </c>
      <c r="J18" s="35" t="str">
        <f>IFERROR(IF(VLOOKUP($B18,casostestes[#Data],9)=0,"-",VLOOKUP($B18,casostestes[#Data],9)),"-")</f>
        <v>Tarefa de BI criada com situação Pendente.
Tarefa SEM Divergência de autodeclaração (116)
Status SIBE igual a FLUXO NÃO INICIADO 
DPT: Tarefa.Exige_autodeclaração = 0</v>
      </c>
      <c r="K18" s="37" t="str">
        <f>IFERROR(IF(VLOOKUP($B18,orlando[#Data],12)=0,"Não executado",VLOOKUP($B18,orlando[#Data],12)),"Não executado")</f>
        <v>Aprovado</v>
      </c>
      <c r="L18" s="37" t="str">
        <f>IFERROR(IF(VLOOKUP($B18,mauricio[#Data],12)=0,"Não executado",VLOOKUP($B18,mauricio[#Data],12)),"Não executado")</f>
        <v>Aprovado</v>
      </c>
      <c r="M18" s="37" t="str">
        <f>IFERROR(IF(VLOOKUP($B18,Thaisa[#Data],12)=0,"Não executado",VLOOKUP($B18,Thaisa[#Data],12)),"Não executado")</f>
        <v>Não executado</v>
      </c>
      <c r="N18" s="37" t="str">
        <f>IFERROR(IF(VLOOKUP($B18,carlos[#Data],12)=0,"Não executado",VLOOKUP($B18,carlos[#Data],12)),"Não executado")</f>
        <v>Aprovado</v>
      </c>
      <c r="O18" s="37" t="str">
        <f>IFERROR(IF(VLOOKUP($B18,Alessandra[#Data],12)=0,"Não executado",VLOOKUP($B18,Alessandra[#Data],12)),"Não executado")</f>
        <v>Não executado</v>
      </c>
      <c r="P18" s="37" t="str">
        <f>IFERROR(IF(VLOOKUP($B18,AnaCarolina[#Data],12)=0,"Não executado",VLOOKUP($B18,AnaCarolina[#Data],12)),"Não executado")</f>
        <v>Aprovado</v>
      </c>
      <c r="Q18" s="37" t="str">
        <f>IFERROR(IF(VLOOKUP($B18,wanei[#Data],12)=0,"Não executado",VLOOKUP($B18,wanei[#Data],12)),"Não executado")</f>
        <v>Aprovado</v>
      </c>
      <c r="R18" s="37" t="str">
        <f>IFERROR(IF(VLOOKUP($B18,janaina[#Data],12)=0,"Não executado",VLOOKUP($B18,janaina[#Data],12)),"Não executado")</f>
        <v>Em Teste</v>
      </c>
      <c r="S18" s="37" t="str">
        <f>IFERROR(IF(VLOOKUP($B18,andreia[#Data],12)=0,"Não executado",VLOOKUP($B18,andreia[#Data],12)),"Não executado")</f>
        <v>Aprovado</v>
      </c>
      <c r="T18" s="37" t="str">
        <f>IFERROR(IF(VLOOKUP(#REF!,homologador[#Data],12)=0,"Não executado",VLOOKUP(#REF!,homologador[#Data],12)),"Não executado")</f>
        <v>Não executado</v>
      </c>
      <c r="U18" s="14">
        <f>COUNTIF(ACOMPANHAMENTO!K18:T18,"Aprovado")+COUNTIF(K18:T18,"Reprovado")+COUNTIF(K18:T18,"Em Teste")</f>
        <v>7</v>
      </c>
      <c r="V18" s="14">
        <f>COUNTIF(K18:T18,"Em Teste")</f>
        <v>1</v>
      </c>
      <c r="W18" s="13" t="str">
        <f>IF(U18&gt;3,IF(V18&gt;1,"SIM","NÃO"),"NÃO")</f>
        <v>NÃO</v>
      </c>
    </row>
    <row r="19" spans="2:23" ht="244.5">
      <c r="B19" s="40">
        <f>IF(ISERR(casostestes[[#This Row],[ID]]),"-",casostestes[[#This Row],[ID]])</f>
        <v>12</v>
      </c>
      <c r="C19" s="34" t="str">
        <f>IFERROR(IF(VLOOKUP($B19,casostestes[#Data],10)=0,"Não",VLOOKUP($B19,casostestes[#Data],10)), "-")</f>
        <v>Sim</v>
      </c>
      <c r="D19" s="35" t="str">
        <f>IFERROR(IF(VLOOKUP($B19,casostestes[#Data],2)=0,"-",VLOOKUP($B19,casostestes[#Data],2)), "-")</f>
        <v>Integração</v>
      </c>
      <c r="E19" s="35" t="str">
        <f>IFERROR(IF(VLOOKUP($B19,casostestes[#Data],3)=0,"-",VLOOKUP($B19,casostestes[#Data],3)), "-")</f>
        <v>26
Criar tarefa de BI inicial fluxo ATESTMEDQ para categoria "Segurado especial" onde o parâmetro "Exige Autodeclaração" no Catálogo está ATIVADO e a autodeclaração tem período pendente
**Parâmetro PAT ligado: 144 - Fluxo ATESTMEDQ</v>
      </c>
      <c r="F19" s="35" t="str">
        <f>IFERROR(IF(VLOOKUP($B19,casostestes[#Data],4)=0,"-",VLOOKUP($B19,casostestes[#Data],4)),"-")</f>
        <v>EC</v>
      </c>
      <c r="G19" s="35" t="str">
        <f>IFERROR(IF(VLOOKUP($B19,casostestes[#Data],5)=0,"-",VLOOKUP($B19,casostestes[#Data],5)),"-")</f>
        <v>ENTIDADE_CONVENIADA</v>
      </c>
      <c r="H19" s="35" t="str">
        <f>IFERROR(IF(VLOOKUP($B19,casostestes[#Data],6)=0,"-",VLOOKUP($B19,casostestes[#Data],6)),"-")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Cumprir exigência de documentos obrigatórios
4. Responder formulário da autodeclaração</v>
      </c>
      <c r="I19" s="35" t="str">
        <f>IFERROR(IF(VLOOKUP($B19,casostestes[#Data],8)=0,"-",VLOOKUP($B19,casostestes[#Data],8)),"-")</f>
        <v>-</v>
      </c>
      <c r="J19" s="35" t="str">
        <f>IFERROR(IF(VLOOKUP($B19,casostestes[#Data],9)=0,"-",VLOOKUP($B19,casostestes[#Data],9)),"-")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19" s="37" t="str">
        <f>IFERROR(IF(VLOOKUP($B19,orlando[#Data],12)=0,"Não executado",VLOOKUP($B19,orlando[#Data],12)),"Não executado")</f>
        <v>Aprovado</v>
      </c>
      <c r="L19" s="37" t="str">
        <f>IFERROR(IF(VLOOKUP($B19,mauricio[#Data],12)=0,"Não executado",VLOOKUP($B19,mauricio[#Data],12)),"Não executado")</f>
        <v>Aprovado</v>
      </c>
      <c r="M19" s="37" t="str">
        <f>IFERROR(IF(VLOOKUP($B19,Thaisa[#Data],12)=0,"Não executado",VLOOKUP($B19,Thaisa[#Data],12)),"Não executado")</f>
        <v>Não executado</v>
      </c>
      <c r="N19" s="37" t="str">
        <f>IFERROR(IF(VLOOKUP($B19,carlos[#Data],12)=0,"Não executado",VLOOKUP($B19,carlos[#Data],12)),"Não executado")</f>
        <v>Em Teste</v>
      </c>
      <c r="O19" s="37" t="str">
        <f>IFERROR(IF(VLOOKUP($B19,Alessandra[#Data],12)=0,"Não executado",VLOOKUP($B19,Alessandra[#Data],12)),"Não executado")</f>
        <v>Não executado</v>
      </c>
      <c r="P19" s="37" t="str">
        <f>IFERROR(IF(VLOOKUP($B19,AnaCarolina[#Data],12)=0,"Não executado",VLOOKUP($B19,AnaCarolina[#Data],12)),"Não executado")</f>
        <v>Aprovado</v>
      </c>
      <c r="Q19" s="37" t="str">
        <f>IFERROR(IF(VLOOKUP($B19,wanei[#Data],12)=0,"Não executado",VLOOKUP($B19,wanei[#Data],12)),"Não executado")</f>
        <v>Aprovado</v>
      </c>
      <c r="R19" s="37" t="str">
        <f>IFERROR(IF(VLOOKUP($B19,janaina[#Data],12)=0,"Não executado",VLOOKUP($B19,janaina[#Data],12)),"Não executado")</f>
        <v>Em Teste</v>
      </c>
      <c r="S19" s="37" t="str">
        <f>IFERROR(IF(VLOOKUP($B19,andreia[#Data],12)=0,"Não executado",VLOOKUP($B19,andreia[#Data],12)),"Não executado")</f>
        <v>Aprovado</v>
      </c>
      <c r="T19" s="37" t="str">
        <f>IFERROR(IF(VLOOKUP(#REF!,homologador[#Data],12)=0,"Não executado",VLOOKUP(#REF!,homologador[#Data],12)),"Não executado")</f>
        <v>Não executado</v>
      </c>
      <c r="U19" s="14">
        <f>COUNTIF(ACOMPANHAMENTO!K19:T19,"Aprovado")+COUNTIF(K19:T19,"Reprovado")+COUNTIF(K19:T19,"Em Teste")</f>
        <v>7</v>
      </c>
      <c r="V19" s="14">
        <f>COUNTIF(K19:T19,"Em Teste")</f>
        <v>2</v>
      </c>
      <c r="W19" s="13" t="str">
        <f>IF(U19&gt;3,IF(V19&gt;1,"SIM","NÃO"),"NÃO")</f>
        <v>SIM</v>
      </c>
    </row>
    <row r="20" spans="2:23" ht="244.5">
      <c r="B20" s="40">
        <f>IF(ISERR(casostestes[[#This Row],[ID]]),"-",casostestes[[#This Row],[ID]])</f>
        <v>13</v>
      </c>
      <c r="C20" s="34" t="str">
        <f>IFERROR(IF(VLOOKUP($B20,casostestes[#Data],10)=0,"Não",VLOOKUP($B20,casostestes[#Data],10)), "-")</f>
        <v>Sim</v>
      </c>
      <c r="D20" s="35" t="str">
        <f>IFERROR(IF(VLOOKUP($B20,casostestes[#Data],2)=0,"-",VLOOKUP($B20,casostestes[#Data],2)), "-")</f>
        <v>Integração</v>
      </c>
      <c r="E20" s="35" t="str">
        <f>IFERROR(IF(VLOOKUP($B20,casostestes[#Data],3)=0,"-",VLOOKUP($B20,casostestes[#Data],3)), "-")</f>
        <v>27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0" s="35" t="s">
        <v>25</v>
      </c>
      <c r="G20" s="35" t="str">
        <f>IFERROR(IF(VLOOKUP($B20,casostestes[#Data],5)=0,"-",VLOOKUP($B20,casostestes[#Data],5)),"-")</f>
        <v>ENTIDADE_CONVENIADA</v>
      </c>
      <c r="H20" s="35" t="str">
        <f>IFERROR(IF(VLOOKUP($B20,casostestes[#Data],6)=0,"-",VLOOKUP($B20,casostestes[#Data],6)),"-")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Cumprir exigência de documentos obrigatórios
4. Responder formulário da autodeclaração</v>
      </c>
      <c r="I20" s="35" t="str">
        <f>IFERROR(IF(VLOOKUP($B20,casostestes[#Data],8)=0,"-",VLOOKUP($B20,casostestes[#Data],8)),"-")</f>
        <v>-</v>
      </c>
      <c r="J20" s="35" t="str">
        <f>IFERROR(IF(VLOOKUP($B20,casostestes[#Data],9)=0,"-",VLOOKUP($B20,casostestes[#Data],9)),"-")</f>
        <v xml:space="preserve">
Tarefa de BI criada com situação Pendente.
Tarefa SEM Divergência de autodeclaração (116).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20" s="37" t="str">
        <f>IFERROR(IF(VLOOKUP($B20,orlando[#Data],12)=0,"Não executado",VLOOKUP($B20,orlando[#Data],12)),"Não executado")</f>
        <v>Aprovado</v>
      </c>
      <c r="L20" s="37" t="str">
        <f>IFERROR(IF(VLOOKUP($B20,mauricio[#Data],12)=0,"Não executado",VLOOKUP($B20,mauricio[#Data],12)),"Não executado")</f>
        <v>Aprovado</v>
      </c>
      <c r="M20" s="37" t="str">
        <f>IFERROR(IF(VLOOKUP($B20,Thaisa[#Data],12)=0,"Não executado",VLOOKUP($B20,Thaisa[#Data],12)),"Não executado")</f>
        <v>Não executado</v>
      </c>
      <c r="N20" s="37" t="str">
        <f>IFERROR(IF(VLOOKUP($B20,carlos[#Data],12)=0,"Não executado",VLOOKUP($B20,carlos[#Data],12)),"Não executado")</f>
        <v>Não executado</v>
      </c>
      <c r="O20" s="37" t="str">
        <f>IFERROR(IF(VLOOKUP($B20,Alessandra[#Data],12)=0,"Não executado",VLOOKUP($B20,Alessandra[#Data],12)),"Não executado")</f>
        <v>Não executado</v>
      </c>
      <c r="P20" s="37" t="str">
        <f>IFERROR(IF(VLOOKUP($B20,AnaCarolina[#Data],12)=0,"Não executado",VLOOKUP($B20,AnaCarolina[#Data],12)),"Não executado")</f>
        <v>Aprovado</v>
      </c>
      <c r="Q20" s="37" t="str">
        <f>IFERROR(IF(VLOOKUP($B20,wanei[#Data],12)=0,"Não executado",VLOOKUP($B20,wanei[#Data],12)),"Não executado")</f>
        <v>Aprovado</v>
      </c>
      <c r="R20" s="37" t="str">
        <f>IFERROR(IF(VLOOKUP($B20,janaina[#Data],12)=0,"Não executado",VLOOKUP($B20,janaina[#Data],12)),"Não executado")</f>
        <v>Em Teste</v>
      </c>
      <c r="S20" s="37" t="str">
        <f>IFERROR(IF(VLOOKUP($B20,andreia[#Data],12)=0,"Não executado",VLOOKUP($B20,andreia[#Data],12)),"Não executado")</f>
        <v>Aprovado</v>
      </c>
      <c r="T20" s="37" t="str">
        <f>IFERROR(IF(VLOOKUP(#REF!,homologador[#Data],12)=0,"Não executado",VLOOKUP(#REF!,homologador[#Data],12)),"Não executado")</f>
        <v>Não executado</v>
      </c>
      <c r="U20" s="14">
        <f>COUNTIF(ACOMPANHAMENTO!K20:T20,"Aprovado")+COUNTIF(K20:T20,"Reprovado")+COUNTIF(K20:T20,"Em Teste")</f>
        <v>6</v>
      </c>
      <c r="V20" s="14">
        <f>COUNTIF(K20:T20,"Em Teste")</f>
        <v>1</v>
      </c>
      <c r="W20" s="13" t="str">
        <f>IF(U20&gt;3,IF(V20&gt;1,"SIM","NÃO"),"NÃO")</f>
        <v>NÃO</v>
      </c>
    </row>
    <row r="21" spans="2:23" ht="213">
      <c r="B21" s="40">
        <f>IF(ISERR(casostestes[[#This Row],[ID]]),"-",casostestes[[#This Row],[ID]])</f>
        <v>14</v>
      </c>
      <c r="C21" s="34" t="str">
        <f>IFERROR(IF(VLOOKUP($B21,casostestes[#Data],10)=0,"Não",VLOOKUP($B21,casostestes[#Data],10)), "-")</f>
        <v>Sim</v>
      </c>
      <c r="D21" s="35" t="str">
        <f>IFERROR(IF(VLOOKUP($B21,casostestes[#Data],2)=0,"-",VLOOKUP($B21,casostestes[#Data],2)), "-")</f>
        <v>Integração</v>
      </c>
      <c r="E21" s="35" t="str">
        <f>IFERROR(IF(VLOOKUP($B21,casostestes[#Data],3)=0,"-",VLOOKUP($B21,casostestes[#Data],3)), "-")</f>
        <v>29
Cumprir a exigência de autodeclaração</v>
      </c>
      <c r="F21" s="35" t="s">
        <v>25</v>
      </c>
      <c r="G21" s="35" t="str">
        <f>IFERROR(IF(VLOOKUP($B21,casostestes[#Data],5)=0,"-",VLOOKUP($B21,casostestes[#Data],5)),"-")</f>
        <v>ENTIDADE_CONVENIADA</v>
      </c>
      <c r="H21" s="35" t="str">
        <f>IFERROR(IF(VLOOKUP($B21,casostestes[#Data],6)=0,"-",VLOOKUP($B21,casostestes[#Data],6)),"-")</f>
        <v>1. Logar no Portal do Atendimento INSS com o perfil do caso de teste
2.Consultar uma tarefa em exigência de autodeclaração, detalhar e em seguida e acionar  a aba Cumprir Exigência  
3. Responder o formulário de autodeclaração até o final</v>
      </c>
      <c r="I21" s="35" t="str">
        <f>IFERROR(IF(VLOOKUP($B21,casostestes[#Data],8)=0,"-",VLOOKUP($B21,casostestes[#Data],8)),"-")</f>
        <v>-</v>
      </c>
      <c r="J21" s="35" t="str">
        <f>IFERROR(IF(VLOOKUP($B21,casostestes[#Data],9)=0,"-",VLOOKUP($B21,casostestes[#Data],9)),"-")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1" s="37" t="str">
        <f>IFERROR(IF(VLOOKUP($B21,orlando[#Data],12)=0,"Não executado",VLOOKUP($B21,orlando[#Data],12)),"Não executado")</f>
        <v>Aprovado</v>
      </c>
      <c r="L21" s="37" t="str">
        <f>IFERROR(IF(VLOOKUP($B21,mauricio[#Data],12)=0,"Não executado",VLOOKUP($B21,mauricio[#Data],12)),"Não executado")</f>
        <v>Aprovado</v>
      </c>
      <c r="M21" s="37" t="str">
        <f>IFERROR(IF(VLOOKUP($B21,Thaisa[#Data],12)=0,"Não executado",VLOOKUP($B21,Thaisa[#Data],12)),"Não executado")</f>
        <v>Não executado</v>
      </c>
      <c r="N21" s="37" t="str">
        <f>IFERROR(IF(VLOOKUP($B21,carlos[#Data],12)=0,"Não executado",VLOOKUP($B21,carlos[#Data],12)),"Não executado")</f>
        <v>Não executado</v>
      </c>
      <c r="O21" s="37" t="str">
        <f>IFERROR(IF(VLOOKUP($B21,Alessandra[#Data],12)=0,"Não executado",VLOOKUP($B21,Alessandra[#Data],12)),"Não executado")</f>
        <v>Não executado</v>
      </c>
      <c r="P21" s="37" t="str">
        <f>IFERROR(IF(VLOOKUP($B21,AnaCarolina[#Data],12)=0,"Não executado",VLOOKUP($B21,AnaCarolina[#Data],12)),"Não executado")</f>
        <v>Aprovado</v>
      </c>
      <c r="Q21" s="37" t="str">
        <f>IFERROR(IF(VLOOKUP($B21,wanei[#Data],12)=0,"Não executado",VLOOKUP($B21,wanei[#Data],12)),"Não executado")</f>
        <v>Aprovado</v>
      </c>
      <c r="R21" s="37" t="str">
        <f>IFERROR(IF(VLOOKUP($B21,janaina[#Data],12)=0,"Não executado",VLOOKUP($B21,janaina[#Data],12)),"Não executado")</f>
        <v>Não executado</v>
      </c>
      <c r="S21" s="37" t="str">
        <f>IFERROR(IF(VLOOKUP($B21,andreia[#Data],12)=0,"Não executado",VLOOKUP($B21,andreia[#Data],12)),"Não executado")</f>
        <v>Aprovado</v>
      </c>
      <c r="T21" s="37" t="str">
        <f>IFERROR(IF(VLOOKUP(#REF!,homologador[#Data],12)=0,"Não executado",VLOOKUP(#REF!,homologador[#Data],12)),"Não executado")</f>
        <v>Não executado</v>
      </c>
      <c r="U21" s="14">
        <f>COUNTIF(ACOMPANHAMENTO!K21:T21,"Aprovado")+COUNTIF(K21:T21,"Reprovado")+COUNTIF(K21:T21,"Em Teste")</f>
        <v>5</v>
      </c>
      <c r="V21" s="14">
        <f>COUNTIF(K21:T21,"Em Teste")</f>
        <v>0</v>
      </c>
      <c r="W21" s="13" t="str">
        <f>IF(U21&gt;3,IF(V21&gt;1,"SIM","NÃO"),"NÃO")</f>
        <v>NÃO</v>
      </c>
    </row>
    <row r="22" spans="2:23" ht="213">
      <c r="B22" s="40">
        <f>IF(ISERR(casostestes[[#This Row],[ID]]),"-",casostestes[[#This Row],[ID]])</f>
        <v>15</v>
      </c>
      <c r="C22" s="34" t="str">
        <f>IFERROR(IF(VLOOKUP($B22,casostestes[#Data],10)=0,"Não",VLOOKUP($B22,casostestes[#Data],10)), "-")</f>
        <v>Sim</v>
      </c>
      <c r="D22" s="35" t="str">
        <f>IFERROR(IF(VLOOKUP($B22,casostestes[#Data],2)=0,"-",VLOOKUP($B22,casostestes[#Data],2)), "-")</f>
        <v>Integração</v>
      </c>
      <c r="E22" s="35" t="str">
        <f>IFERROR(IF(VLOOKUP($B22,casostestes[#Data],3)=0,"-",VLOOKUP($B22,casostestes[#Data],3)), "-")</f>
        <v>30
Cumprir a exigência de autodeclaração</v>
      </c>
      <c r="F22" s="35" t="s">
        <v>25</v>
      </c>
      <c r="G22" s="35" t="str">
        <f>IFERROR(IF(VLOOKUP($B22,casostestes[#Data],5)=0,"-",VLOOKUP($B22,casostestes[#Data],5)),"-")</f>
        <v>ENTIDADE_CONVENIADA_CORREIOS</v>
      </c>
      <c r="H22" s="35" t="str">
        <f>IFERROR(IF(VLOOKUP($B22,casostestes[#Data],6)=0,"-",VLOOKUP($B22,casostestes[#Data],6)),"-")</f>
        <v>1. Logar no Portal do Atendimento INSS com o perfil EC - CORREIOS
2. Acionar a aba Exigências e consultar uma tarefa em exigência de autodeclaração
3. Detalhar a tarefa e em seguida acionar  a opção Cumprir Exigência  
3. Responder o formulário de autodeclaração até o final</v>
      </c>
      <c r="I22" s="35" t="str">
        <f>IFERROR(IF(VLOOKUP($B22,casostestes[#Data],8)=0,"-",VLOOKUP($B22,casostestes[#Data],8)),"-")</f>
        <v>-</v>
      </c>
      <c r="J22" s="35" t="str">
        <f>IFERROR(IF(VLOOKUP($B22,casostestes[#Data],9)=0,"-",VLOOKUP($B22,casostestes[#Data],9)),"-")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2" s="37" t="str">
        <f>IFERROR(IF(VLOOKUP($B22,orlando[#Data],12)=0,"Não executado",VLOOKUP($B22,orlando[#Data],12)),"Não executado")</f>
        <v>Não executado</v>
      </c>
      <c r="L22" s="37" t="str">
        <f>IFERROR(IF(VLOOKUP($B22,mauricio[#Data],12)=0,"Não executado",VLOOKUP($B22,mauricio[#Data],12)),"Não executado")</f>
        <v>Aprovado</v>
      </c>
      <c r="M22" s="37" t="str">
        <f>IFERROR(IF(VLOOKUP($B22,Thaisa[#Data],12)=0,"Não executado",VLOOKUP($B22,Thaisa[#Data],12)),"Não executado")</f>
        <v>Não executado</v>
      </c>
      <c r="N22" s="37" t="str">
        <f>IFERROR(IF(VLOOKUP($B22,carlos[#Data],12)=0,"Não executado",VLOOKUP($B22,carlos[#Data],12)),"Não executado")</f>
        <v>Não executado</v>
      </c>
      <c r="O22" s="37" t="str">
        <f>IFERROR(IF(VLOOKUP($B22,Alessandra[#Data],12)=0,"Não executado",VLOOKUP($B22,Alessandra[#Data],12)),"Não executado")</f>
        <v>Não executado</v>
      </c>
      <c r="P22" s="37" t="str">
        <f>IFERROR(IF(VLOOKUP($B22,AnaCarolina[#Data],12)=0,"Não executado",VLOOKUP($B22,AnaCarolina[#Data],12)),"Não executado")</f>
        <v>Aprovado</v>
      </c>
      <c r="Q22" s="37" t="str">
        <f>IFERROR(IF(VLOOKUP($B22,wanei[#Data],12)=0,"Não executado",VLOOKUP($B22,wanei[#Data],12)),"Não executado")</f>
        <v>Aprovado</v>
      </c>
      <c r="R22" s="37" t="str">
        <f>IFERROR(IF(VLOOKUP($B22,janaina[#Data],12)=0,"Não executado",VLOOKUP($B22,janaina[#Data],12)),"Não executado")</f>
        <v>Não executado</v>
      </c>
      <c r="S22" s="37" t="str">
        <f>IFERROR(IF(VLOOKUP($B22,andreia[#Data],12)=0,"Não executado",VLOOKUP($B22,andreia[#Data],12)),"Não executado")</f>
        <v>Não Executado</v>
      </c>
      <c r="T22" s="37" t="str">
        <f>IFERROR(IF(VLOOKUP($B8,homologador[#Data],12)=0,"Não executado",VLOOKUP($B8,homologador[#Data],12)),"Não executado")</f>
        <v>Não executado</v>
      </c>
      <c r="U22" s="14">
        <f>COUNTIF(ACOMPANHAMENTO!K22:T22,"Aprovado")+COUNTIF(K22:T22,"Reprovado")+COUNTIF(K22:T22,"Em Teste")</f>
        <v>3</v>
      </c>
      <c r="V22" s="14">
        <f>COUNTIF(K22:T22,"Em Teste")</f>
        <v>0</v>
      </c>
      <c r="W22" s="13" t="str">
        <f>IF(U22&gt;3,IF(V22&gt;1,"SIM","NÃO"),"NÃO")</f>
        <v>NÃO</v>
      </c>
    </row>
    <row r="23" spans="2:23" ht="183">
      <c r="B23" s="40">
        <f>IF(ISERR(casostestes[[#This Row],[ID]]),"-",casostestes[[#This Row],[ID]])</f>
        <v>16</v>
      </c>
      <c r="C23" s="34" t="str">
        <f>IFERROR(IF(VLOOKUP($B23,casostestes[#Data],10)=0,"Não",VLOOKUP($B23,casostestes[#Data],10)), "-")</f>
        <v>Sim</v>
      </c>
      <c r="D23" s="35" t="str">
        <f>IFERROR(IF(VLOOKUP($B23,casostestes[#Data],2)=0,"-",VLOOKUP($B23,casostestes[#Data],2)), "-")</f>
        <v>Integração</v>
      </c>
      <c r="E23" s="35" t="str">
        <f>IFERROR(IF(VLOOKUP($B23,casostestes[#Data],3)=0,"-",VLOOKUP($B23,casostestes[#Data],3)), "-")</f>
        <v>31
Responder o formulário de autodeclaração acessando diretamente a aba segurado especial ao detalhar a tarefa, onde a tarefa encontra-se em exigência de documento médico
Será posível acessar diretamente a autodeclaração logado como EC?</v>
      </c>
      <c r="F23" s="35" t="str">
        <f>IFERROR(IF(VLOOKUP($B23,casostestes[#Data],4)=0,"-",VLOOKUP($B23,casostestes[#Data],4)),"-")</f>
        <v>PAT</v>
      </c>
      <c r="G23" s="35" t="str">
        <f>IFERROR(IF(VLOOKUP($B23,casostestes[#Data],5)=0,"-",VLOOKUP($B23,casostestes[#Data],5)),"-")</f>
        <v>ENTIDADE_CONVENIADA</v>
      </c>
      <c r="H23" s="35" t="str">
        <f>IFERROR(IF(VLOOKUP($B23,casostestes[#Data],6)=0,"-",VLOOKUP($B23,casostestes[#Data],6)),"-")</f>
        <v>1. Logar no Portal do Atendimento INSS com o perfil do caso se teste
2.Consultar uma tarefa em exigência de dautodeclaração
3. Acionar a aba Segurado especial
3. Responder o formulário de autodeclaração até o final</v>
      </c>
      <c r="I23" s="35" t="str">
        <f>IFERROR(IF(VLOOKUP($B23,casostestes[#Data],8)=0,"-",VLOOKUP($B23,casostestes[#Data],8)),"-")</f>
        <v>-</v>
      </c>
      <c r="J23" s="35" t="str">
        <f>IFERROR(IF(VLOOKUP($B23,casostestes[#Data],9)=0,"-",VLOOKUP($B23,casostestes[#Data],9)),"-")</f>
        <v xml:space="preserve">
Tarefa de BI com situação alterada para Pendente 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3" s="37" t="str">
        <f>IFERROR(IF(VLOOKUP($B23,orlando[#Data],12)=0,"Não executado",VLOOKUP($B23,orlando[#Data],12)),"Não executado")</f>
        <v>Não executado</v>
      </c>
      <c r="L23" s="37" t="str">
        <f>IFERROR(IF(VLOOKUP($B23,mauricio[#Data],12)=0,"Não executado",VLOOKUP($B23,mauricio[#Data],12)),"Não executado")</f>
        <v>Aprovado</v>
      </c>
      <c r="M23" s="37" t="str">
        <f>IFERROR(IF(VLOOKUP($B23,Thaisa[#Data],12)=0,"Não executado",VLOOKUP($B23,Thaisa[#Data],12)),"Não executado")</f>
        <v>Não executado</v>
      </c>
      <c r="N23" s="37" t="str">
        <f>IFERROR(IF(VLOOKUP($B23,carlos[#Data],12)=0,"Não executado",VLOOKUP($B23,carlos[#Data],12)),"Não executado")</f>
        <v>Não executado</v>
      </c>
      <c r="O23" s="37" t="str">
        <f>IFERROR(IF(VLOOKUP($B23,Alessandra[#Data],12)=0,"Não executado",VLOOKUP($B23,Alessandra[#Data],12)),"Não executado")</f>
        <v>Não executado</v>
      </c>
      <c r="P23" s="37" t="str">
        <f>IFERROR(IF(VLOOKUP($B23,AnaCarolina[#Data],12)=0,"Não executado",VLOOKUP($B23,AnaCarolina[#Data],12)),"Não executado")</f>
        <v>Em Teste</v>
      </c>
      <c r="Q23" s="37" t="str">
        <f>IFERROR(IF(VLOOKUP($B23,wanei[#Data],12)=0,"Não executado",VLOOKUP($B23,wanei[#Data],12)),"Não executado")</f>
        <v>Aprovado</v>
      </c>
      <c r="R23" s="37" t="str">
        <f>IFERROR(IF(VLOOKUP($B23,janaina[#Data],12)=0,"Não executado",VLOOKUP($B23,janaina[#Data],12)),"Não executado")</f>
        <v>Não executado</v>
      </c>
      <c r="S23" s="37" t="str">
        <f>IFERROR(IF(VLOOKUP($B23,andreia[#Data],12)=0,"Não executado",VLOOKUP($B23,andreia[#Data],12)),"Não executado")</f>
        <v>Não executado</v>
      </c>
      <c r="T23" s="37" t="str">
        <f>IFERROR(IF(VLOOKUP($B9,homologador[#Data],12)=0,"Não executado",VLOOKUP($B9,homologador[#Data],12)),"Não executado")</f>
        <v>Não executado</v>
      </c>
      <c r="U23" s="14">
        <f>COUNTIF(ACOMPANHAMENTO!K23:T23,"Aprovado")+COUNTIF(K23:T23,"Reprovado")+COUNTIF(K23:T23,"Em Teste")</f>
        <v>3</v>
      </c>
      <c r="V23" s="14">
        <f>COUNTIF(K23:T23,"Em Teste")</f>
        <v>1</v>
      </c>
      <c r="W23" s="13" t="str">
        <f>IF(U23&gt;3,IF(V23&gt;1,"SIM","NÃO"),"NÃO")</f>
        <v>NÃO</v>
      </c>
    </row>
    <row r="24" spans="2:23" ht="91.5">
      <c r="B24" s="40">
        <f>IF(ISERR(casostestes[[#This Row],[ID]]),"-",casostestes[[#This Row],[ID]])</f>
        <v>17</v>
      </c>
      <c r="C24" s="34" t="str">
        <f>IFERROR(IF(VLOOKUP($B24,casostestes[#Data],10)=0,"Não",VLOOKUP($B24,casostestes[#Data],10)), "-")</f>
        <v>Sim</v>
      </c>
      <c r="D24" s="35" t="str">
        <f>IFERROR(IF(VLOOKUP($B24,casostestes[#Data],2)=0,"-",VLOOKUP($B24,casostestes[#Data],2)), "-")</f>
        <v>Integração</v>
      </c>
      <c r="E24" s="35" t="str">
        <f>IFERROR(IF(VLOOKUP($B24,casostestes[#Data],3)=0,"-",VLOOKUP($B24,casostestes[#Data],3)), "-")</f>
        <v xml:space="preserve">32
Responder o formulário de autodeclaração acessando diretamente a aba segurado especial ao detalhar a tarefa, onde a tarefa encontra-se em exigência de documento médico
</v>
      </c>
      <c r="F24" s="35" t="str">
        <f>IFERROR(IF(VLOOKUP($B24,casostestes[#Data],4)=0,"-",VLOOKUP($B24,casostestes[#Data],4)),"-")</f>
        <v>PAT</v>
      </c>
      <c r="G24" s="35" t="str">
        <f>IFERROR(IF(VLOOKUP($B24,casostestes[#Data],5)=0,"-",VLOOKUP($B24,casostestes[#Data],5)),"-")</f>
        <v>ENTIDADE_CONVENIADA</v>
      </c>
      <c r="H24" s="35" t="str">
        <f>IFERROR(IF(VLOOKUP($B24,casostestes[#Data],6)=0,"-",VLOOKUP($B24,casostestes[#Data],6)),"-")</f>
        <v>1. Logar no Portal do Atendimento INSS com o perfil do caso se teste
2.Consultar uma tarefa em exigência de documento médico
3. Acionar a aba Segurado especial
3. Responder o formulário de autodeclaração até o final</v>
      </c>
      <c r="I24" s="35" t="str">
        <f>IFERROR(IF(VLOOKUP($B24,casostestes[#Data],8)=0,"-",VLOOKUP($B24,casostestes[#Data],8)),"-")</f>
        <v>-</v>
      </c>
      <c r="J24" s="35" t="str">
        <f>IFERROR(IF(VLOOKUP($B24,casostestes[#Data],9)=0,"-",VLOOKUP($B24,casostestes[#Data],9)),"-")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24" s="37" t="str">
        <f>IFERROR(IF(VLOOKUP($B24,orlando[#Data],12)=0,"Não executado",VLOOKUP($B24,orlando[#Data],12)),"Não executado")</f>
        <v>Não executado</v>
      </c>
      <c r="L24" s="37" t="str">
        <f>IFERROR(IF(VLOOKUP($B24,mauricio[#Data],12)=0,"Não executado",VLOOKUP($B24,mauricio[#Data],12)),"Não executado")</f>
        <v>Aprovado</v>
      </c>
      <c r="M24" s="37" t="str">
        <f>IFERROR(IF(VLOOKUP($B24,Thaisa[#Data],12)=0,"Não executado",VLOOKUP($B24,Thaisa[#Data],12)),"Não executado")</f>
        <v>Não executado</v>
      </c>
      <c r="N24" s="37" t="str">
        <f>IFERROR(IF(VLOOKUP($B24,carlos[#Data],12)=0,"Não executado",VLOOKUP($B24,carlos[#Data],12)),"Não executado")</f>
        <v>Não executado</v>
      </c>
      <c r="O24" s="37" t="str">
        <f>IFERROR(IF(VLOOKUP($B24,Alessandra[#Data],12)=0,"Não executado",VLOOKUP($B24,Alessandra[#Data],12)),"Não executado")</f>
        <v>Não executado</v>
      </c>
      <c r="P24" s="37" t="str">
        <f>IFERROR(IF(VLOOKUP($B24,AnaCarolina[#Data],12)=0,"Não executado",VLOOKUP($B24,AnaCarolina[#Data],12)),"Não executado")</f>
        <v>Aprovado</v>
      </c>
      <c r="Q24" s="37" t="str">
        <f>IFERROR(IF(VLOOKUP($B24,wanei[#Data],12)=0,"Não executado",VLOOKUP($B24,wanei[#Data],12)),"Não executado")</f>
        <v>Aprovado</v>
      </c>
      <c r="R24" s="37" t="str">
        <f>IFERROR(IF(VLOOKUP($B24,janaina[#Data],12)=0,"Não executado",VLOOKUP($B24,janaina[#Data],12)),"Não executado")</f>
        <v>Não executado</v>
      </c>
      <c r="S24" s="37" t="str">
        <f>IFERROR(IF(VLOOKUP($B24,andreia[#Data],12)=0,"Não executado",VLOOKUP($B24,andreia[#Data],12)),"Não executado")</f>
        <v>Disponível para reteste</v>
      </c>
      <c r="T24" s="37" t="str">
        <f>IFERROR(IF(VLOOKUP($B10,homologador[#Data],12)=0,"Não executado",VLOOKUP($B10,homologador[#Data],12)),"Não executado")</f>
        <v>Não executado</v>
      </c>
      <c r="U24" s="14">
        <f>COUNTIF(ACOMPANHAMENTO!K24:T24,"Aprovado")+COUNTIF(K24:T24,"Reprovado")+COUNTIF(K24:T24,"Em Teste")</f>
        <v>3</v>
      </c>
      <c r="V24" s="14">
        <f>COUNTIF(K24:T24,"Em Teste")</f>
        <v>0</v>
      </c>
      <c r="W24" s="13" t="str">
        <f>IF(U24&gt;3,IF(V24&gt;1,"SIM","NÃO"),"NÃO")</f>
        <v>NÃO</v>
      </c>
    </row>
    <row r="25" spans="2:23" ht="137.25">
      <c r="B25" s="40">
        <f>IF(ISERR(casostestes[[#This Row],[ID]]),"-",casostestes[[#This Row],[ID]])</f>
        <v>18</v>
      </c>
      <c r="C25" s="34" t="str">
        <f>IFERROR(IF(VLOOKUP($B25,casostestes[#Data],10)=0,"Não",VLOOKUP($B25,casostestes[#Data],10)), "-")</f>
        <v>Sim</v>
      </c>
      <c r="D25" s="35" t="str">
        <f>IFERROR(IF(VLOOKUP($B25,casostestes[#Data],2)=0,"-",VLOOKUP($B25,casostestes[#Data],2)), "-")</f>
        <v>Requerimento Inicial de BI</v>
      </c>
      <c r="E25" s="35" t="str">
        <f>IFERROR(IF(VLOOKUP($B25,casostestes[#Data],3)=0,"-",VLOOKUP($B25,casostestes[#Data],3)), "-")</f>
        <v>34
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25" s="35" t="str">
        <f>IFERROR(IF(VLOOKUP($B25,casostestes[#Data],4)=0,"-",VLOOKUP($B25,casostestes[#Data],4)),"-")</f>
        <v>Meu INSS</v>
      </c>
      <c r="G25" s="35" t="str">
        <f>IFERROR(IF(VLOOKUP($B25,casostestes[#Data],5)=0,"-",VLOOKUP($B25,casostestes[#Data],5)),"-")</f>
        <v>INTERESSADO</v>
      </c>
      <c r="H25" s="35" t="str">
        <f>IFERROR(IF(VLOOKUP($B25,casostestes[#Data],6)=0,"-",VLOOKUP($B25,casostestes[#Data],6)),"-")</f>
        <v>1. Logar no  Meu INSS
2.Criar tarefa de BI informando:
Tipo de Incapacidade? "Permanente"
A pessoa está presa?  Não
Categoria do trabalhador diferente de "Segurado Especial"
3. Criar o agendamento da perícia</v>
      </c>
      <c r="I25" s="35" t="str">
        <f>IFERROR(IF(VLOOKUP($B25,casostestes[#Data],8)=0,"-",VLOOKUP($B25,casostestes[#Data],8)),"-")</f>
        <v>-</v>
      </c>
      <c r="J25" s="35" t="str">
        <f>IFERROR(IF(VLOOKUP($B25,casostestes[#Data],9)=0,"-",VLOOKUP($B25,casostestes[#Data],9)),"-")</f>
        <v>Tarefa de BI criada com situação Pendente.
Tarefa SEM Divergência de autodeclaração (116)
Status SIBE igual a  AGUARDANDO PERÍCIA
Tarefa.Exige_autodeclaração = 0</v>
      </c>
      <c r="K25" s="37" t="str">
        <f>IFERROR(IF(VLOOKUP($B25,orlando[#Data],12)=0,"Não executado",VLOOKUP($B25,orlando[#Data],12)),"Não executado")</f>
        <v>Não executado</v>
      </c>
      <c r="L25" s="37" t="str">
        <f>IFERROR(IF(VLOOKUP($B25,mauricio[#Data],12)=0,"Não executado",VLOOKUP($B25,mauricio[#Data],12)),"Não executado")</f>
        <v>Reprovado</v>
      </c>
      <c r="M25" s="37" t="str">
        <f>IFERROR(IF(VLOOKUP($B25,Thaisa[#Data],12)=0,"Não executado",VLOOKUP($B25,Thaisa[#Data],12)),"Não executado")</f>
        <v>Não executado</v>
      </c>
      <c r="N25" s="37" t="str">
        <f>IFERROR(IF(VLOOKUP($B25,carlos[#Data],12)=0,"Não executado",VLOOKUP($B25,carlos[#Data],12)),"Não executado")</f>
        <v>Não executado</v>
      </c>
      <c r="O25" s="37" t="str">
        <f>IFERROR(IF(VLOOKUP($B25,Alessandra[#Data],12)=0,"Não executado",VLOOKUP($B25,Alessandra[#Data],12)),"Não executado")</f>
        <v>Não executado</v>
      </c>
      <c r="P25" s="37" t="str">
        <f>IFERROR(IF(VLOOKUP($B25,AnaCarolina[#Data],12)=0,"Não executado",VLOOKUP($B25,AnaCarolina[#Data],12)),"Não executado")</f>
        <v>Não executado</v>
      </c>
      <c r="Q25" s="37" t="str">
        <f>IFERROR(IF(VLOOKUP($B25,wanei[#Data],12)=0,"Não executado",VLOOKUP($B25,wanei[#Data],12)),"Não executado")</f>
        <v>Aprovado</v>
      </c>
      <c r="R25" s="37" t="str">
        <f>IFERROR(IF(VLOOKUP($B25,janaina[#Data],12)=0,"Não executado",VLOOKUP($B25,janaina[#Data],12)),"Não executado")</f>
        <v>Não executado</v>
      </c>
      <c r="S25" s="37" t="str">
        <f>IFERROR(IF(VLOOKUP($B25,andreia[#Data],12)=0,"Não executado",VLOOKUP($B25,andreia[#Data],12)),"Não executado")</f>
        <v>Disponível para reteste</v>
      </c>
      <c r="T25" s="37" t="str">
        <f>IFERROR(IF(VLOOKUP($B11,homologador[#Data],12)=0,"Não executado",VLOOKUP($B11,homologador[#Data],12)),"Não executado")</f>
        <v>Não executado</v>
      </c>
      <c r="U25" s="14">
        <f>COUNTIF(ACOMPANHAMENTO!K25:T25,"Aprovado")+COUNTIF(K25:T25,"Reprovado")+COUNTIF(K25:T25,"Em Teste")</f>
        <v>2</v>
      </c>
      <c r="V25" s="14">
        <f>COUNTIF(K25:T25,"Em Teste")</f>
        <v>0</v>
      </c>
      <c r="W25" s="13" t="str">
        <f>IF(U25&gt;3,IF(V25&gt;1,"SIM","NÃO"),"NÃO")</f>
        <v>NÃO</v>
      </c>
    </row>
    <row r="26" spans="2:23" ht="259.5">
      <c r="B26" s="40">
        <f>IF(ISERR(casostestes[[#This Row],[ID]]),"-",casostestes[[#This Row],[ID]])</f>
        <v>19</v>
      </c>
      <c r="C26" s="34" t="str">
        <f>IFERROR(IF(VLOOKUP($B26,casostestes[#Data],10)=0,"Não",VLOOKUP($B26,casostestes[#Data],10)), "-")</f>
        <v>Sim</v>
      </c>
      <c r="D26" s="35" t="str">
        <f>IFERROR(IF(VLOOKUP($B26,casostestes[#Data],2)=0,"-",VLOOKUP($B26,casostestes[#Data],2)), "-")</f>
        <v>Integração</v>
      </c>
      <c r="E26" s="35" t="str">
        <f>IFERROR(IF(VLOOKUP($B26,casostestes[#Data],3)=0,"-",VLOOKUP($B26,casostestes[#Data],3)), "-")</f>
        <v>35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26" s="35" t="str">
        <f>IFERROR(IF(VLOOKUP($B26,casostestes[#Data],4)=0,"-",VLOOKUP($B26,casostestes[#Data],4)),"-")</f>
        <v>Meu INSS</v>
      </c>
      <c r="G26" s="35" t="str">
        <f>IFERROR(IF(VLOOKUP($B26,casostestes[#Data],5)=0,"-",VLOOKUP($B26,casostestes[#Data],5)),"-")</f>
        <v>INTERESSADO</v>
      </c>
      <c r="H26" s="35" t="str">
        <f>IFERROR(IF(VLOOKUP($B26,casostestes[#Data],6)=0,"-",VLOOKUP($B26,casostestes[#Data],6)),"-")</f>
        <v>1. Logar no  Meu INSS
2.Criar tarefa de BI informando:
Tipo de Incapacidade? "Temporária "
A pessoa está presa?  Não
Categoria do trabalhador "Segurado Especial"
A pessoa ficou sem trabalhar? Sim
3. Responder formulário da autodeclaração</v>
      </c>
      <c r="I26" s="35" t="str">
        <f>IFERROR(IF(VLOOKUP($B26,casostestes[#Data],8)=0,"-",VLOOKUP($B26,casostestes[#Data],8)),"-")</f>
        <v>-</v>
      </c>
      <c r="J26" s="35" t="str">
        <f>IFERROR(IF(VLOOKUP($B26,casostestes[#Data],9)=0,"-",VLOOKUP($B26,casostestes[#Data],9)),"-")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26" s="37" t="str">
        <f>IFERROR(IF(VLOOKUP($B26,orlando[#Data],12)=0,"Não executado",VLOOKUP($B26,orlando[#Data],12)),"Não executado")</f>
        <v>Não executado</v>
      </c>
      <c r="L26" s="37" t="str">
        <f>IFERROR(IF(VLOOKUP($B26,mauricio[#Data],12)=0,"Não executado",VLOOKUP($B26,mauricio[#Data],12)),"Não executado")</f>
        <v>Não executado</v>
      </c>
      <c r="M26" s="37" t="str">
        <f>IFERROR(IF(VLOOKUP($B26,Thaisa[#Data],12)=0,"Não executado",VLOOKUP($B26,Thaisa[#Data],12)),"Não executado")</f>
        <v>Não executado</v>
      </c>
      <c r="N26" s="37" t="str">
        <f>IFERROR(IF(VLOOKUP($B26,carlos[#Data],12)=0,"Não executado",VLOOKUP($B26,carlos[#Data],12)),"Não executado")</f>
        <v>Não executado</v>
      </c>
      <c r="O26" s="37" t="str">
        <f>IFERROR(IF(VLOOKUP($B26,Alessandra[#Data],12)=0,"Não executado",VLOOKUP($B26,Alessandra[#Data],12)),"Não executado")</f>
        <v>Não executado</v>
      </c>
      <c r="P26" s="37" t="str">
        <f>IFERROR(IF(VLOOKUP($B26,AnaCarolina[#Data],12)=0,"Não executado",VLOOKUP($B26,AnaCarolina[#Data],12)),"Não executado")</f>
        <v>Não executado</v>
      </c>
      <c r="Q26" s="37" t="str">
        <f>IFERROR(IF(VLOOKUP($B26,wanei[#Data],12)=0,"Não executado",VLOOKUP($B26,wanei[#Data],12)),"Não executado")</f>
        <v>Aprovado</v>
      </c>
      <c r="R26" s="37" t="str">
        <f>IFERROR(IF(VLOOKUP($B26,janaina[#Data],12)=0,"Não executado",VLOOKUP($B26,janaina[#Data],12)),"Não executado")</f>
        <v>Não executado</v>
      </c>
      <c r="S26" s="37" t="str">
        <f>IFERROR(IF(VLOOKUP($B26,andreia[#Data],12)=0,"Não executado",VLOOKUP($B26,andreia[#Data],12)),"Não executado")</f>
        <v>Não executado</v>
      </c>
      <c r="T26" s="37" t="str">
        <f>IFERROR(IF(VLOOKUP($B12,homologador[#Data],12)=0,"Não executado",VLOOKUP($B12,homologador[#Data],12)),"Não executado")</f>
        <v>Não executado</v>
      </c>
      <c r="U26" s="14">
        <f>COUNTIF(ACOMPANHAMENTO!K26:T26,"Aprovado")+COUNTIF(K26:T26,"Reprovado")+COUNTIF(K26:T26,"Em Teste")</f>
        <v>1</v>
      </c>
      <c r="V26" s="14">
        <f>COUNTIF(K26:T26,"Em Teste")</f>
        <v>0</v>
      </c>
      <c r="W26" s="13" t="str">
        <f>IF(U26&gt;3,IF(V26&gt;1,"SIM","NÃO"),"NÃO")</f>
        <v>NÃO</v>
      </c>
    </row>
    <row r="27" spans="2:23" ht="259.5">
      <c r="B27" s="40">
        <f>IF(ISERR(casostestes[[#This Row],[ID]]),"-",casostestes[[#This Row],[ID]])</f>
        <v>20</v>
      </c>
      <c r="C27" s="34" t="str">
        <f>IFERROR(IF(VLOOKUP($B27,casostestes[#Data],10)=0,"Não",VLOOKUP($B27,casostestes[#Data],10)), "-")</f>
        <v>Sim</v>
      </c>
      <c r="D27" s="35" t="str">
        <f>IFERROR(IF(VLOOKUP($B27,casostestes[#Data],2)=0,"-",VLOOKUP($B27,casostestes[#Data],2)), "-")</f>
        <v>Integração</v>
      </c>
      <c r="E27" s="35" t="str">
        <f>IFERROR(IF(VLOOKUP($B27,casostestes[#Data],3)=0,"-",VLOOKUP($B27,casostestes[#Data],3)), "-")</f>
        <v>36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7" s="35" t="str">
        <f>IFERROR(IF(VLOOKUP($B27,casostestes[#Data],4)=0,"-",VLOOKUP($B27,casostestes[#Data],4)),"-")</f>
        <v>Meu INSS</v>
      </c>
      <c r="G27" s="35" t="str">
        <f>IFERROR(IF(VLOOKUP($B27,casostestes[#Data],5)=0,"-",VLOOKUP($B27,casostestes[#Data],5)),"-")</f>
        <v>INTERESSADO</v>
      </c>
      <c r="H27" s="35" t="str">
        <f>IFERROR(IF(VLOOKUP($B27,casostestes[#Data],6)=0,"-",VLOOKUP($B27,casostestes[#Data],6)),"-")</f>
        <v>1. Logar no  Meu INSS
2.Criar tarefa de BI informando:
Tipo de Incapacidade? "Temporária "
A pessoa está presa?  Não
Categoria do trabalhador "Segurado Especial"
A pessoa ficou sem trabalhar? Sim
3. Responder a autodeclaração</v>
      </c>
      <c r="I27" s="35" t="str">
        <f>IFERROR(IF(VLOOKUP($B27,casostestes[#Data],8)=0,"-",VLOOKUP($B27,casostestes[#Data],8)),"-")</f>
        <v>-</v>
      </c>
      <c r="J27" s="35" t="str">
        <f>IFERROR(IF(VLOOKUP($B27,casostestes[#Data],9)=0,"-",VLOOKUP($B27,casostestes[#Data],9)),"-")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27" s="37" t="str">
        <f>IFERROR(IF(VLOOKUP($B27,orlando[#Data],12)=0,"Não executado",VLOOKUP($B27,orlando[#Data],12)),"Não executado")</f>
        <v>Não executado</v>
      </c>
      <c r="L27" s="37" t="str">
        <f>IFERROR(IF(VLOOKUP($B27,mauricio[#Data],12)=0,"Não executado",VLOOKUP($B27,mauricio[#Data],12)),"Não executado")</f>
        <v>Não executado</v>
      </c>
      <c r="M27" s="37" t="str">
        <f>IFERROR(IF(VLOOKUP($B27,Thaisa[#Data],12)=0,"Não executado",VLOOKUP($B27,Thaisa[#Data],12)),"Não executado")</f>
        <v>Não executado</v>
      </c>
      <c r="N27" s="37" t="str">
        <f>IFERROR(IF(VLOOKUP($B27,carlos[#Data],12)=0,"Não executado",VLOOKUP($B27,carlos[#Data],12)),"Não executado")</f>
        <v>Não executado</v>
      </c>
      <c r="O27" s="37" t="str">
        <f>IFERROR(IF(VLOOKUP($B27,Alessandra[#Data],12)=0,"Não executado",VLOOKUP($B27,Alessandra[#Data],12)),"Não executado")</f>
        <v>Não executado</v>
      </c>
      <c r="P27" s="37" t="str">
        <f>IFERROR(IF(VLOOKUP($B27,AnaCarolina[#Data],12)=0,"Não executado",VLOOKUP($B27,AnaCarolina[#Data],12)),"Não executado")</f>
        <v>Não executado</v>
      </c>
      <c r="Q27" s="37" t="str">
        <f>IFERROR(IF(VLOOKUP($B27,wanei[#Data],12)=0,"Não executado",VLOOKUP($B27,wanei[#Data],12)),"Não executado")</f>
        <v>Aprovado</v>
      </c>
      <c r="R27" s="37" t="str">
        <f>IFERROR(IF(VLOOKUP($B27,janaina[#Data],12)=0,"Não executado",VLOOKUP($B27,janaina[#Data],12)),"Não executado")</f>
        <v>Não executado</v>
      </c>
      <c r="S27" s="37" t="str">
        <f>IFERROR(IF(VLOOKUP($B27,andreia[#Data],12)=0,"Não executado",VLOOKUP($B27,andreia[#Data],12)),"Não executado")</f>
        <v>Não executado</v>
      </c>
      <c r="T27" s="37" t="str">
        <f>IFERROR(IF(VLOOKUP($B13,homologador[#Data],12)=0,"Não executado",VLOOKUP($B13,homologador[#Data],12)),"Não executado")</f>
        <v>Não executado</v>
      </c>
      <c r="U27" s="14">
        <f>COUNTIF(ACOMPANHAMENTO!K27:T27,"Aprovado")+COUNTIF(K27:T27,"Reprovado")+COUNTIF(K27:T27,"Em Teste")</f>
        <v>1</v>
      </c>
      <c r="V27" s="14">
        <f>COUNTIF(K27:T27,"Em Teste")</f>
        <v>0</v>
      </c>
      <c r="W27" s="13" t="str">
        <f>IF(U27&gt;3,IF(V27&gt;1,"SIM","NÃO"),"NÃO")</f>
        <v>NÃO</v>
      </c>
    </row>
    <row r="28" spans="2:23" ht="183">
      <c r="B28" s="40">
        <f>IF(ISERR(casostestes[[#This Row],[ID]]),"-",casostestes[[#This Row],[ID]])</f>
        <v>21</v>
      </c>
      <c r="C28" s="34" t="str">
        <f>IFERROR(IF(VLOOKUP($B28,casostestes[#Data],10)=0,"Não",VLOOKUP($B28,casostestes[#Data],10)), "-")</f>
        <v>Sim</v>
      </c>
      <c r="D28" s="35" t="str">
        <f>IFERROR(IF(VLOOKUP($B28,casostestes[#Data],2)=0,"-",VLOOKUP($B28,casostestes[#Data],2)), "-")</f>
        <v>Requerimento Inicial de BI</v>
      </c>
      <c r="E28" s="35" t="str">
        <f>IFERROR(IF(VLOOKUP($B28,casostestes[#Data],3)=0,"-",VLOOKUP($B28,casostestes[#Data],3)), "-")</f>
        <v>37
Criar tarefa de BI inicial fluxo ATESTMEDQ para categoria "Segurado especial" onde o parâmetro "Exige Autodeclaração" no Catálogo está ATIVADO e  NÃO foi respondida a autodeclaração
**Parâmetro PAT ligado: 144 - Fluxo ATESTMEDQ</v>
      </c>
      <c r="F28" s="35" t="str">
        <f>IFERROR(IF(VLOOKUP($B28,casostestes[#Data],4)=0,"-",VLOOKUP($B28,casostestes[#Data],4)),"-")</f>
        <v>Meu INSS</v>
      </c>
      <c r="G28" s="35" t="str">
        <f>IFERROR(IF(VLOOKUP($B28,casostestes[#Data],5)=0,"-",VLOOKUP($B28,casostestes[#Data],5)),"-")</f>
        <v>INTERESSADO</v>
      </c>
      <c r="H28" s="35" t="str">
        <f>IFERROR(IF(VLOOKUP($B28,casostestes[#Data],6)=0,"-",VLOOKUP($B28,casostestes[#Data],6)),"-")</f>
        <v>1. Logar no  Meu INSS
2.Criar tarefa de BI informando:
Tipo de Incapacidade? "Temporária "
A pessoa está presa?  Não
Categoria do trabalhador "Segurado Especial"
A pessoa ficou sem trabalhar? Não
3. NÃO Responder a autodeclaração</v>
      </c>
      <c r="I28" s="35" t="str">
        <f>IFERROR(IF(VLOOKUP($B28,casostestes[#Data],8)=0,"-",VLOOKUP($B28,casostestes[#Data],8)),"-")</f>
        <v>-</v>
      </c>
      <c r="J28" s="35" t="str">
        <f>IFERROR(IF(VLOOKUP($B28,casostestes[#Data],9)=0,"-",VLOOKUP($B28,casostestes[#Data],9)),"-")</f>
        <v xml:space="preserve">
"Tarefa de BI criada com situação Pendente.
Status SIBE igual a  FLUXO NÃO INICIADO
Divergência de autodeclaração (116) incluída na tarefa
Após execução workflow:
Tarefa de BI com situação alterada para Exigência .
DTP:
Campo Exige_autodeclaração = 1"
</v>
      </c>
      <c r="K28" s="37" t="str">
        <f>IFERROR(IF(VLOOKUP($B28,orlando[#Data],12)=0,"Não executado",VLOOKUP($B28,orlando[#Data],12)),"Não executado")</f>
        <v>Não executado</v>
      </c>
      <c r="L28" s="37" t="str">
        <f>IFERROR(IF(VLOOKUP($B28,mauricio[#Data],12)=0,"Não executado",VLOOKUP($B28,mauricio[#Data],12)),"Não executado")</f>
        <v>Não executado</v>
      </c>
      <c r="M28" s="37" t="str">
        <f>IFERROR(IF(VLOOKUP($B28,Thaisa[#Data],12)=0,"Não executado",VLOOKUP($B28,Thaisa[#Data],12)),"Não executado")</f>
        <v>Não executado</v>
      </c>
      <c r="N28" s="37" t="str">
        <f>IFERROR(IF(VLOOKUP($B28,carlos[#Data],12)=0,"Não executado",VLOOKUP($B28,carlos[#Data],12)),"Não executado")</f>
        <v>Não executado</v>
      </c>
      <c r="O28" s="37" t="str">
        <f>IFERROR(IF(VLOOKUP($B28,Alessandra[#Data],12)=0,"Não executado",VLOOKUP($B28,Alessandra[#Data],12)),"Não executado")</f>
        <v>Não executado</v>
      </c>
      <c r="P28" s="37" t="str">
        <f>IFERROR(IF(VLOOKUP($B28,AnaCarolina[#Data],12)=0,"Não executado",VLOOKUP($B28,AnaCarolina[#Data],12)),"Não executado")</f>
        <v>Não executado</v>
      </c>
      <c r="Q28" s="37" t="str">
        <f>IFERROR(IF(VLOOKUP($B28,wanei[#Data],12)=0,"Não executado",VLOOKUP($B28,wanei[#Data],12)),"Não executado")</f>
        <v>Aprovado</v>
      </c>
      <c r="R28" s="37" t="str">
        <f>IFERROR(IF(VLOOKUP($B28,janaina[#Data],12)=0,"Não executado",VLOOKUP($B28,janaina[#Data],12)),"Não executado")</f>
        <v>Não executado</v>
      </c>
      <c r="S28" s="37" t="str">
        <f>IFERROR(IF(VLOOKUP($B28,andreia[#Data],12)=0,"Não executado",VLOOKUP($B28,andreia[#Data],12)),"Não executado")</f>
        <v>Não executado</v>
      </c>
      <c r="T28" s="37" t="str">
        <f>IFERROR(IF(VLOOKUP(#REF!,homologador[#Data],12)=0,"Não executado",VLOOKUP(#REF!,homologador[#Data],12)),"Não executado")</f>
        <v>Não executado</v>
      </c>
      <c r="U28" s="14">
        <f>COUNTIF(ACOMPANHAMENTO!K28:T28,"Aprovado")+COUNTIF(K28:T28,"Reprovado")+COUNTIF(K28:T28,"Em Teste")</f>
        <v>1</v>
      </c>
      <c r="V28" s="14">
        <f>COUNTIF(K28:T28,"Em Teste")</f>
        <v>0</v>
      </c>
      <c r="W28" s="13" t="str">
        <f>IF(U28&gt;3,IF(V28&gt;1,"SIM","NÃO"),"NÃO")</f>
        <v>NÃO</v>
      </c>
    </row>
    <row r="29" spans="2:23" ht="229.5">
      <c r="B29" s="40">
        <f>IF(ISERR(casostestes[[#This Row],[ID]]),"-",casostestes[[#This Row],[ID]])</f>
        <v>22</v>
      </c>
      <c r="C29" s="34" t="str">
        <f>IFERROR(IF(VLOOKUP($B29,casostestes[#Data],10)=0,"Não",VLOOKUP($B29,casostestes[#Data],10)), "-")</f>
        <v>Sim</v>
      </c>
      <c r="D29" s="35" t="str">
        <f>IFERROR(IF(VLOOKUP($B29,casostestes[#Data],2)=0,"-",VLOOKUP($B29,casostestes[#Data],2)), "-")</f>
        <v>Integração</v>
      </c>
      <c r="E29" s="35" t="str">
        <f>IFERROR(IF(VLOOKUP($B29,casostestes[#Data],3)=0,"-",VLOOKUP($B29,casostestes[#Data],3)), "-")</f>
        <v>38
Cumprir a exigência de autodeclaração</v>
      </c>
      <c r="F29" s="35" t="str">
        <f>IFERROR(IF(VLOOKUP($B29,casostestes[#Data],4)=0,"-",VLOOKUP($B29,casostestes[#Data],4)),"-")</f>
        <v>Meu INSS</v>
      </c>
      <c r="G29" s="35" t="str">
        <f>IFERROR(IF(VLOOKUP($B29,casostestes[#Data],5)=0,"-",VLOOKUP($B29,casostestes[#Data],5)),"-")</f>
        <v>INTERESSADO</v>
      </c>
      <c r="H29" s="35" t="str">
        <f>IFERROR(IF(VLOOKUP($B29,casostestes[#Data],6)=0,"-",VLOOKUP($B29,casostestes[#Data],6)),"-")</f>
        <v>1. Logar no  Meu INSS
2.Consultar uma tarefa em exigência de autodeclaração e acionar Cumprir Exigência  
3. Responder o formulário de autodeclaração</v>
      </c>
      <c r="I29" s="35" t="str">
        <f>IFERROR(IF(VLOOKUP($B29,casostestes[#Data],8)=0,"-",VLOOKUP($B29,casostestes[#Data],8)),"-")</f>
        <v>-</v>
      </c>
      <c r="J29" s="35" t="str">
        <f>IFERROR(IF(VLOOKUP($B29,casostestes[#Data],9)=0,"-",VLOOKUP($B29,casostestes[#Data],9)),"-")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9" s="37" t="str">
        <f>IFERROR(IF(VLOOKUP($B29,orlando[#Data],12)=0,"Não executado",VLOOKUP($B29,orlando[#Data],12)),"Não executado")</f>
        <v>Não executado</v>
      </c>
      <c r="L29" s="37" t="str">
        <f>IFERROR(IF(VLOOKUP($B29,mauricio[#Data],12)=0,"Não executado",VLOOKUP($B29,mauricio[#Data],12)),"Não executado")</f>
        <v>Não executado</v>
      </c>
      <c r="M29" s="37" t="str">
        <f>IFERROR(IF(VLOOKUP($B29,Thaisa[#Data],12)=0,"Não executado",VLOOKUP($B29,Thaisa[#Data],12)),"Não executado")</f>
        <v>Não executado</v>
      </c>
      <c r="N29" s="37" t="str">
        <f>IFERROR(IF(VLOOKUP($B29,carlos[#Data],12)=0,"Não executado",VLOOKUP($B29,carlos[#Data],12)),"Não executado")</f>
        <v>Não executado</v>
      </c>
      <c r="O29" s="37" t="str">
        <f>IFERROR(IF(VLOOKUP($B29,Alessandra[#Data],12)=0,"Não executado",VLOOKUP($B29,Alessandra[#Data],12)),"Não executado")</f>
        <v>Não executado</v>
      </c>
      <c r="P29" s="37" t="str">
        <f>IFERROR(IF(VLOOKUP($B29,AnaCarolina[#Data],12)=0,"Não executado",VLOOKUP($B29,AnaCarolina[#Data],12)),"Não executado")</f>
        <v>Não executado</v>
      </c>
      <c r="Q29" s="37" t="str">
        <f>IFERROR(IF(VLOOKUP($B29,wanei[#Data],12)=0,"Não executado",VLOOKUP($B29,wanei[#Data],12)),"Não executado")</f>
        <v>Aprovado</v>
      </c>
      <c r="R29" s="37" t="str">
        <f>IFERROR(IF(VLOOKUP($B29,janaina[#Data],12)=0,"Não executado",VLOOKUP($B29,janaina[#Data],12)),"Não executado")</f>
        <v>Não executado</v>
      </c>
      <c r="S29" s="37" t="str">
        <f>IFERROR(IF(VLOOKUP($B29,andreia[#Data],12)=0,"Não executado",VLOOKUP($B29,andreia[#Data],12)),"Não executado")</f>
        <v>Não executado</v>
      </c>
      <c r="T29" s="37" t="str">
        <f>IFERROR(IF(VLOOKUP(#REF!,homologador[#Data],12)=0,"Não executado",VLOOKUP(#REF!,homologador[#Data],12)),"Não executado")</f>
        <v>Não executado</v>
      </c>
      <c r="U29" s="14">
        <f>COUNTIF(ACOMPANHAMENTO!K29:T29,"Aprovado")+COUNTIF(K29:T29,"Reprovado")+COUNTIF(K29:T29,"Em Teste")</f>
        <v>1</v>
      </c>
      <c r="V29" s="14">
        <f>COUNTIF(K29:T29,"Em Teste")</f>
        <v>0</v>
      </c>
      <c r="W29" s="13" t="str">
        <f>IF(U29&gt;3,IF(V29&gt;1,"SIM","NÃO"),"NÃO")</f>
        <v>NÃO</v>
      </c>
    </row>
    <row r="30" spans="2:23" ht="183">
      <c r="B30" s="40">
        <f>IF(ISERR(casostestes[[#This Row],[ID]]),"-",casostestes[[#This Row],[ID]])</f>
        <v>23</v>
      </c>
      <c r="C30" s="34" t="str">
        <f>IFERROR(IF(VLOOKUP($B30,casostestes[#Data],10)=0,"Não",VLOOKUP($B30,casostestes[#Data],10)), "-")</f>
        <v>Sim</v>
      </c>
      <c r="D30" s="35" t="str">
        <f>IFERROR(IF(VLOOKUP($B30,casostestes[#Data],2)=0,"-",VLOOKUP($B30,casostestes[#Data],2)), "-")</f>
        <v>Integração</v>
      </c>
      <c r="E30" s="35" t="str">
        <f>IFERROR(IF(VLOOKUP($B30,casostestes[#Data],3)=0,"-",VLOOKUP($B30,casostestes[#Data],3)), "-")</f>
        <v>39
Responder o formulário de autodeclaração acionando a opção de autodeclaração no card do pedido onde a tarefa encontra-se em exigência de autodeclaração
Será posível acessar diretamente a autodeclaração logado no Meu INSS?</v>
      </c>
      <c r="F30" s="35" t="str">
        <f>IFERROR(IF(VLOOKUP($B30,casostestes[#Data],4)=0,"-",VLOOKUP($B30,casostestes[#Data],4)),"-")</f>
        <v>Meu INSS</v>
      </c>
      <c r="G30" s="35" t="str">
        <f>IFERROR(IF(VLOOKUP($B30,casostestes[#Data],5)=0,"-",VLOOKUP($B30,casostestes[#Data],5)),"-")</f>
        <v>INTERESSADO</v>
      </c>
      <c r="H30" s="35" t="str">
        <f>IFERROR(IF(VLOOKUP($B30,casostestes[#Data],6)=0,"-",VLOOKUP($B30,casostestes[#Data],6)),"-")</f>
        <v>1. Logar no  Meu INSS
2.Consultar uma tarefa em exigência de autodeclaração
3. Acionar no card do pedido a opção de Autodeclaração   
3. Responder o formulário de autodeclaração</v>
      </c>
      <c r="I30" s="35" t="str">
        <f>IFERROR(IF(VLOOKUP($B30,casostestes[#Data],8)=0,"-",VLOOKUP($B30,casostestes[#Data],8)),"-")</f>
        <v>-</v>
      </c>
      <c r="J30" s="35" t="str">
        <f>IFERROR(IF(VLOOKUP($B30,casostestes[#Data],9)=0,"-",VLOOKUP($B30,casostestes[#Data],9)),"-")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0" s="37" t="str">
        <f>IFERROR(IF(VLOOKUP($B30,orlando[#Data],12)=0,"Não executado",VLOOKUP($B30,orlando[#Data],12)),"Não executado")</f>
        <v>Não executado</v>
      </c>
      <c r="L30" s="37" t="str">
        <f>IFERROR(IF(VLOOKUP($B30,mauricio[#Data],12)=0,"Não executado",VLOOKUP($B30,mauricio[#Data],12)),"Não executado")</f>
        <v>Não executado</v>
      </c>
      <c r="M30" s="37" t="str">
        <f>IFERROR(IF(VLOOKUP($B30,Thaisa[#Data],12)=0,"Não executado",VLOOKUP($B30,Thaisa[#Data],12)),"Não executado")</f>
        <v>Não executado</v>
      </c>
      <c r="N30" s="37" t="str">
        <f>IFERROR(IF(VLOOKUP($B30,carlos[#Data],12)=0,"Não executado",VLOOKUP($B30,carlos[#Data],12)),"Não executado")</f>
        <v>Não executado</v>
      </c>
      <c r="O30" s="37" t="str">
        <f>IFERROR(IF(VLOOKUP($B30,Alessandra[#Data],12)=0,"Não executado",VLOOKUP($B30,Alessandra[#Data],12)),"Não executado")</f>
        <v>Não executado</v>
      </c>
      <c r="P30" s="37" t="str">
        <f>IFERROR(IF(VLOOKUP($B30,AnaCarolina[#Data],12)=0,"Não executado",VLOOKUP($B30,AnaCarolina[#Data],12)),"Não executado")</f>
        <v>Não executado</v>
      </c>
      <c r="Q30" s="37" t="str">
        <f>IFERROR(IF(VLOOKUP($B30,wanei[#Data],12)=0,"Não executado",VLOOKUP($B30,wanei[#Data],12)),"Não executado")</f>
        <v>Aprovado</v>
      </c>
      <c r="R30" s="37" t="str">
        <f>IFERROR(IF(VLOOKUP($B30,janaina[#Data],12)=0,"Não executado",VLOOKUP($B30,janaina[#Data],12)),"Não executado")</f>
        <v>Não executado</v>
      </c>
      <c r="S30" s="37" t="str">
        <f>IFERROR(IF(VLOOKUP($B30,andreia[#Data],12)=0,"Não executado",VLOOKUP($B30,andreia[#Data],12)),"Não executado")</f>
        <v>Não executado</v>
      </c>
      <c r="T30" s="37" t="str">
        <f>IFERROR(IF(VLOOKUP(#REF!,homologador[#Data],12)=0,"Não executado",VLOOKUP(#REF!,homologador[#Data],12)),"Não executado")</f>
        <v>Não executado</v>
      </c>
      <c r="U30" s="14">
        <f>COUNTIF(ACOMPANHAMENTO!K30:T30,"Aprovado")+COUNTIF(K30:T30,"Reprovado")+COUNTIF(K30:T30,"Em Teste")</f>
        <v>1</v>
      </c>
      <c r="V30" s="14">
        <f>COUNTIF(K30:T30,"Em Teste")</f>
        <v>0</v>
      </c>
      <c r="W30" s="13" t="str">
        <f>IF(U30&gt;3,IF(V30&gt;1,"SIM","NÃO"),"NÃO")</f>
        <v>NÃO</v>
      </c>
    </row>
    <row r="31" spans="2:23" ht="106.5">
      <c r="B31" s="40">
        <f>IF(ISERR(casostestes[[#This Row],[ID]]),"-",casostestes[[#This Row],[ID]])</f>
        <v>24</v>
      </c>
      <c r="C31" s="34" t="str">
        <f>IFERROR(IF(VLOOKUP($B31,casostestes[#Data],10)=0,"Não",VLOOKUP($B31,casostestes[#Data],10)), "-")</f>
        <v>Sim</v>
      </c>
      <c r="D31" s="35" t="str">
        <f>IFERROR(IF(VLOOKUP($B31,casostestes[#Data],2)=0,"-",VLOOKUP($B31,casostestes[#Data],2)), "-")</f>
        <v>Integração</v>
      </c>
      <c r="E31" s="35" t="str">
        <f>IFERROR(IF(VLOOKUP($B31,casostestes[#Data],3)=0,"-",VLOOKUP($B31,casostestes[#Data],3)), "-")</f>
        <v>40
Responder o formulário de autodeclaração acionando a opção de autodeclaração no card do pedido onde a tarefa encontra-se em exigência de documento médico
Será posível acessar diretamente a autodeclaração logado no Meu INSS?</v>
      </c>
      <c r="F31" s="35" t="str">
        <f>IFERROR(IF(VLOOKUP($B31,casostestes[#Data],4)=0,"-",VLOOKUP($B31,casostestes[#Data],4)),"-")</f>
        <v>Meu INSS</v>
      </c>
      <c r="G31" s="35" t="str">
        <f>IFERROR(IF(VLOOKUP($B31,casostestes[#Data],5)=0,"-",VLOOKUP($B31,casostestes[#Data],5)),"-")</f>
        <v>INTERESSADO</v>
      </c>
      <c r="H31" s="35" t="str">
        <f>IFERROR(IF(VLOOKUP($B31,casostestes[#Data],6)=0,"-",VLOOKUP($B31,casostestes[#Data],6)),"-")</f>
        <v>1. Logar no  Meu INSS
2.Consultar uma tarefa em exigência de documento médico 
3. Acionar no card do pedido a opção de Autodeclaração   
3. Responder o formulário de autodeclaração</v>
      </c>
      <c r="I31" s="35" t="str">
        <f>IFERROR(IF(VLOOKUP($B31,casostestes[#Data],8)=0,"-",VLOOKUP($B31,casostestes[#Data],8)),"-")</f>
        <v>-</v>
      </c>
      <c r="J31" s="35" t="str">
        <f>IFERROR(IF(VLOOKUP($B31,casostestes[#Data],9)=0,"-",VLOOKUP($B31,casostestes[#Data],9)),"-")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31" s="37" t="str">
        <f>IFERROR(IF(VLOOKUP($B31,orlando[#Data],12)=0,"Não executado",VLOOKUP($B31,orlando[#Data],12)),"Não executado")</f>
        <v>Não executado</v>
      </c>
      <c r="L31" s="37" t="str">
        <f>IFERROR(IF(VLOOKUP($B31,mauricio[#Data],12)=0,"Não executado",VLOOKUP($B31,mauricio[#Data],12)),"Não executado")</f>
        <v>Não executado</v>
      </c>
      <c r="M31" s="37" t="str">
        <f>IFERROR(IF(VLOOKUP($B31,Thaisa[#Data],12)=0,"Não executado",VLOOKUP($B31,Thaisa[#Data],12)),"Não executado")</f>
        <v>Não executado</v>
      </c>
      <c r="N31" s="37" t="str">
        <f>IFERROR(IF(VLOOKUP($B31,carlos[#Data],12)=0,"Não executado",VLOOKUP($B31,carlos[#Data],12)),"Não executado")</f>
        <v>Não executado</v>
      </c>
      <c r="O31" s="37" t="str">
        <f>IFERROR(IF(VLOOKUP($B31,Alessandra[#Data],12)=0,"Não executado",VLOOKUP($B31,Alessandra[#Data],12)),"Não executado")</f>
        <v>Não executado</v>
      </c>
      <c r="P31" s="37" t="str">
        <f>IFERROR(IF(VLOOKUP($B31,AnaCarolina[#Data],12)=0,"Não executado",VLOOKUP($B31,AnaCarolina[#Data],12)),"Não executado")</f>
        <v>Não executado</v>
      </c>
      <c r="Q31" s="37" t="str">
        <f>IFERROR(IF(VLOOKUP($B31,wanei[#Data],12)=0,"Não executado",VLOOKUP($B31,wanei[#Data],12)),"Não executado")</f>
        <v>Aprovado</v>
      </c>
      <c r="R31" s="37" t="str">
        <f>IFERROR(IF(VLOOKUP($B31,janaina[#Data],12)=0,"Não executado",VLOOKUP($B31,janaina[#Data],12)),"Não executado")</f>
        <v>Não executado</v>
      </c>
      <c r="S31" s="37" t="str">
        <f>IFERROR(IF(VLOOKUP($B31,andreia[#Data],12)=0,"Não executado",VLOOKUP($B31,andreia[#Data],12)),"Não executado")</f>
        <v>Não executado</v>
      </c>
      <c r="T31" s="37" t="str">
        <f>IFERROR(IF(VLOOKUP($B14,homologador[#Data],12)=0,"Não executado",VLOOKUP($B14,homologador[#Data],12)),"Não executado")</f>
        <v>Não executado</v>
      </c>
      <c r="U31" s="14">
        <f>COUNTIF(ACOMPANHAMENTO!K31:T31,"Aprovado")+COUNTIF(K31:T31,"Reprovado")+COUNTIF(K31:T31,"Em Teste")</f>
        <v>1</v>
      </c>
      <c r="V31" s="14">
        <f>COUNTIF(K31:T31,"Em Teste")</f>
        <v>0</v>
      </c>
      <c r="W31" s="13" t="str">
        <f>IF(U31&gt;3,IF(V31&gt;1,"SIM","NÃO"),"NÃO")</f>
        <v>NÃO</v>
      </c>
    </row>
    <row r="32" spans="2:23" ht="409.6">
      <c r="B32" s="40">
        <f>IF(ISERR(casostestes[[#This Row],[ID]]),"-",casostestes[[#This Row],[ID]])</f>
        <v>25</v>
      </c>
      <c r="C32" s="34" t="str">
        <f>IFERROR(IF(VLOOKUP($B32,casostestes[#Data],10)=0,"Não",VLOOKUP($B32,casostestes[#Data],10)), "-")</f>
        <v>Sim</v>
      </c>
      <c r="D32" s="35" t="str">
        <f>IFERROR(IF(VLOOKUP($B32,casostestes[#Data],2)=0,"-",VLOOKUP($B32,casostestes[#Data],2)), "-")</f>
        <v>Integração</v>
      </c>
      <c r="E32" s="35" t="str">
        <f>IFERROR(IF(VLOOKUP($B32,casostestes[#Data],3)=0,"-",VLOOKUP($B32,casostestes[#Data],3)), "-")</f>
        <v xml:space="preserve">
41
'Criar tarefa de BI inicial fluxo ATESTMEDQ para categoria "Segurado especial" onde o parâmetro "Exige Autodeclaração" no Catálogo está ATIVADO, 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2" s="35" t="str">
        <f>IFERROR(IF(VLOOKUP($B32,casostestes[#Data],4)=0,"-",VLOOKUP($B32,casostestes[#Data],4)),"-")</f>
        <v>PAT</v>
      </c>
      <c r="G32" s="35" t="str">
        <f>IFERROR(IF(VLOOKUP($B32,casostestes[#Data],5)=0,"-",VLOOKUP($B32,casostestes[#Data],5)),"-")</f>
        <v>SERVIDOR</v>
      </c>
      <c r="H32" s="35" t="str">
        <f>IFERROR(IF(VLOOKUP($B32,casostestes[#Data],6)=0,"-",VLOOKUP($B32,casostestes[#Data],6)),"-")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Responder o formulário de autodeclaração
Resultado 1
5. Executar o serviço do STD simulando enquadramento na regra da análise de risco
- Inclusão da divergência 202 (ORIENTAÇÕES NA ABA MASSA)   
Resultado 2
</v>
      </c>
      <c r="I32" s="35" t="str">
        <f>IFERROR(IF(VLOOKUP($B32,casostestes[#Data],8)=0,"-",VLOOKUP($B32,casostestes[#Data],8)),"-")</f>
        <v>-</v>
      </c>
      <c r="J32" s="35" t="str">
        <f>IFERROR(IF(VLOOKUP($B32,casostestes[#Data],9)=0,"-",VLOOKUP($B32,casostestes[#Data],9)),"-")</f>
        <v xml:space="preserve">Resultado 1:
Tarefa de BI criada com situação Pendente.
Tarefa SEM a Divergência de autodeclaração (116)  
Status SIBE igual a  FLUXO NÃO INICIADO
Seção campos adicionais:
"Fluxo Inicial e final do BI" deve ter o valor  "ATESTMEDQ"
DTP:  Campo Exige_autodeclaração = 1
Aguardar alguns minutos após a geração automática do PDF da autodeclaração:
Status SIBE continua igual a  FLUXO NÃO INICIADO
Resultado 2 - Após a execução do serviço do STD:  
- Cerca de 5 minutos depois, será exibida a divergência da Análise de Risco (202) no requerimento
- Alguns minutos depois:
Status SIBE igual a AGUARDANDO PERÍCIA
- Ocorrências de integração (com SIBE)
 "tipoInformacaoMedica":0
 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 Seção "Agendamentos (Perícia)":
- A etapa_pericia apresentará o valor AGUARDANDO AGENDAMENTO 
Aba Despachos:
-Inclusão do despacho de exigência de agendamento
</v>
      </c>
      <c r="K32" s="37" t="str">
        <f>IFERROR(IF(VLOOKUP($B32,orlando[#Data],12)=0,"Não executado",VLOOKUP($B32,orlando[#Data],12)),"Não executado")</f>
        <v>Não executado</v>
      </c>
      <c r="L32" s="37" t="str">
        <f>IFERROR(IF(VLOOKUP($B32,mauricio[#Data],12)=0,"Não executado",VLOOKUP($B32,mauricio[#Data],12)),"Não executado")</f>
        <v>Não executado</v>
      </c>
      <c r="M32" s="37" t="str">
        <f>IFERROR(IF(VLOOKUP($B32,Thaisa[#Data],12)=0,"Não executado",VLOOKUP($B32,Thaisa[#Data],12)),"Não executado")</f>
        <v>Não executado</v>
      </c>
      <c r="N32" s="37" t="str">
        <f>IFERROR(IF(VLOOKUP($B32,carlos[#Data],12)=0,"Não executado",VLOOKUP($B32,carlos[#Data],12)),"Não executado")</f>
        <v>Não executado</v>
      </c>
      <c r="O32" s="37" t="str">
        <f>IFERROR(IF(VLOOKUP($B32,Alessandra[#Data],12)=0,"Não executado",VLOOKUP($B32,Alessandra[#Data],12)),"Não executado")</f>
        <v>Não executado</v>
      </c>
      <c r="P32" s="37" t="str">
        <f>IFERROR(IF(VLOOKUP($B32,AnaCarolina[#Data],12)=0,"Não executado",VLOOKUP($B32,AnaCarolina[#Data],12)),"Não executado")</f>
        <v>Não executado</v>
      </c>
      <c r="Q32" s="37" t="str">
        <f>IFERROR(IF(VLOOKUP($B32,wanei[#Data],12)=0,"Não executado",VLOOKUP($B32,wanei[#Data],12)),"Não executado")</f>
        <v>Aprovado</v>
      </c>
      <c r="R32" s="37" t="str">
        <f>IFERROR(IF(VLOOKUP($B32,janaina[#Data],12)=0,"Não executado",VLOOKUP($B32,janaina[#Data],12)),"Não executado")</f>
        <v>Não executado</v>
      </c>
      <c r="S32" s="37" t="str">
        <f>IFERROR(IF(VLOOKUP($B32,andreia[#Data],12)=0,"Não executado",VLOOKUP($B32,andreia[#Data],12)),"Não executado")</f>
        <v>Não executado</v>
      </c>
      <c r="T32" s="37" t="str">
        <f>IFERROR(IF(VLOOKUP($B15,homologador[#Data],12)=0,"Não executado",VLOOKUP($B15,homologador[#Data],12)),"Não executado")</f>
        <v>Não executado</v>
      </c>
      <c r="U32" s="14">
        <f>COUNTIF(ACOMPANHAMENTO!K32:T32,"Aprovado")+COUNTIF(K32:T32,"Reprovado")+COUNTIF(K32:T32,"Em Teste")</f>
        <v>1</v>
      </c>
      <c r="V32" s="14">
        <f>COUNTIF(K32:T32,"Em Teste")</f>
        <v>0</v>
      </c>
      <c r="W32" s="13" t="str">
        <f>IF(U32&gt;3,IF(V32&gt;1,"SIM","NÃO"),"NÃO")</f>
        <v>NÃO</v>
      </c>
    </row>
    <row r="33" spans="2:23" ht="409.6">
      <c r="B33" s="40">
        <f>IF(ISERR(casostestes[[#This Row],[ID]]),"-",casostestes[[#This Row],[ID]])</f>
        <v>26</v>
      </c>
      <c r="C33" s="34" t="str">
        <f>IFERROR(IF(VLOOKUP($B33,casostestes[#Data],10)=0,"Não",VLOOKUP($B33,casostestes[#Data],10)), "-")</f>
        <v>Sim</v>
      </c>
      <c r="D33" s="35" t="str">
        <f>IFERROR(IF(VLOOKUP($B33,casostestes[#Data],2)=0,"-",VLOOKUP($B33,casostestes[#Data],2)), "-")</f>
        <v>Integração</v>
      </c>
      <c r="E33" s="35" t="str">
        <f>IFERROR(IF(VLOOKUP($B33,casostestes[#Data],3)=0,"-",VLOOKUP($B33,casostestes[#Data],3)), "-")</f>
        <v xml:space="preserve">42'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3" s="35" t="str">
        <f>IFERROR(IF(VLOOKUP($B33,casostestes[#Data],4)=0,"-",VLOOKUP($B33,casostestes[#Data],4)),"-")</f>
        <v>PAT</v>
      </c>
      <c r="G33" s="35" t="str">
        <f>IFERROR(IF(VLOOKUP($B33,casostestes[#Data],5)=0,"-",VLOOKUP($B33,casostestes[#Data],5)),"-")</f>
        <v>SERVIDOR</v>
      </c>
      <c r="H33" s="35" t="str">
        <f>IFERROR(IF(VLOOKUP($B33,casostestes[#Data],6)=0,"-",VLOOKUP($B33,casostestes[#Data],6)),"-")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33" s="35" t="str">
        <f>IFERROR(IF(VLOOKUP($B33,casostestes[#Data],8)=0,"-",VLOOKUP($B33,casostestes[#Data],8)),"-")</f>
        <v>-</v>
      </c>
      <c r="J33" s="35" t="str">
        <f>IFERROR(IF(VLOOKUP($B33,casostestes[#Data],9)=0,"-",VLOOKUP($B33,casostestes[#Data],9)),"-")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33" s="37" t="str">
        <f>IFERROR(IF(VLOOKUP($B33,orlando[#Data],12)=0,"Não executado",VLOOKUP($B33,orlando[#Data],12)),"Não executado")</f>
        <v>Não executado</v>
      </c>
      <c r="L33" s="37" t="str">
        <f>IFERROR(IF(VLOOKUP($B33,mauricio[#Data],12)=0,"Não executado",VLOOKUP($B33,mauricio[#Data],12)),"Não executado")</f>
        <v>Não executado</v>
      </c>
      <c r="M33" s="37" t="str">
        <f>IFERROR(IF(VLOOKUP($B33,Thaisa[#Data],12)=0,"Não executado",VLOOKUP($B33,Thaisa[#Data],12)),"Não executado")</f>
        <v>Não executado</v>
      </c>
      <c r="N33" s="37" t="str">
        <f>IFERROR(IF(VLOOKUP($B33,carlos[#Data],12)=0,"Não executado",VLOOKUP($B33,carlos[#Data],12)),"Não executado")</f>
        <v>Não executado</v>
      </c>
      <c r="O33" s="37" t="str">
        <f>IFERROR(IF(VLOOKUP($B33,Alessandra[#Data],12)=0,"Não executado",VLOOKUP($B33,Alessandra[#Data],12)),"Não executado")</f>
        <v>Não executado</v>
      </c>
      <c r="P33" s="37" t="str">
        <f>IFERROR(IF(VLOOKUP($B33,AnaCarolina[#Data],12)=0,"Não executado",VLOOKUP($B33,AnaCarolina[#Data],12)),"Não executado")</f>
        <v>Em Teste</v>
      </c>
      <c r="Q33" s="37" t="str">
        <f>IFERROR(IF(VLOOKUP($B33,wanei[#Data],12)=0,"Não executado",VLOOKUP($B33,wanei[#Data],12)),"Não executado")</f>
        <v>Aprovado</v>
      </c>
      <c r="R33" s="37" t="str">
        <f>IFERROR(IF(VLOOKUP($B33,janaina[#Data],12)=0,"Não executado",VLOOKUP($B33,janaina[#Data],12)),"Não executado")</f>
        <v>Não executado</v>
      </c>
      <c r="S33" s="37" t="str">
        <f>IFERROR(IF(VLOOKUP($B33,andreia[#Data],12)=0,"Não executado",VLOOKUP($B33,andreia[#Data],12)),"Não executado")</f>
        <v>Não executado</v>
      </c>
      <c r="T33" s="37" t="str">
        <f>IFERROR(IF(VLOOKUP($B16,homologador[#Data],12)=0,"Não executado",VLOOKUP($B16,homologador[#Data],12)),"Não executado")</f>
        <v>Não executado</v>
      </c>
      <c r="U33" s="14">
        <f>COUNTIF(ACOMPANHAMENTO!K33:T33,"Aprovado")+COUNTIF(K33:T33,"Reprovado")+COUNTIF(K33:T33,"Em Teste")</f>
        <v>2</v>
      </c>
      <c r="V33" s="14">
        <f>COUNTIF(K33:T33,"Em Teste")</f>
        <v>1</v>
      </c>
      <c r="W33" s="13" t="str">
        <f>IF(U33&gt;3,IF(V33&gt;1,"SIM","NÃO"),"NÃO")</f>
        <v>NÃO</v>
      </c>
    </row>
    <row r="34" spans="2:23" ht="409.6">
      <c r="B34" s="40">
        <f>IF(ISERR(casostestes[[#This Row],[ID]]),"-",casostestes[[#This Row],[ID]])</f>
        <v>27</v>
      </c>
      <c r="C34" s="34" t="str">
        <f>IFERROR(IF(VLOOKUP($B34,casostestes[#Data],10)=0,"Não",VLOOKUP($B34,casostestes[#Data],10)), "-")</f>
        <v>Sim</v>
      </c>
      <c r="D34" s="35" t="str">
        <f>IFERROR(IF(VLOOKUP($B34,casostestes[#Data],2)=0,"-",VLOOKUP($B34,casostestes[#Data],2)), "-")</f>
        <v>Integração</v>
      </c>
      <c r="E34" s="35" t="str">
        <f>IFERROR(IF(VLOOKUP($B34,casostestes[#Data],3)=0,"-",VLOOKUP($B34,casostestes[#Data],3)), "-")</f>
        <v xml:space="preserve">43'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4" s="35" t="str">
        <f>IFERROR(IF(VLOOKUP($B34,casostestes[#Data],4)=0,"-",VLOOKUP($B34,casostestes[#Data],4)),"-")</f>
        <v>PAT</v>
      </c>
      <c r="G34" s="35" t="str">
        <f>IFERROR(IF(VLOOKUP($B34,casostestes[#Data],5)=0,"-",VLOOKUP($B34,casostestes[#Data],5)),"-")</f>
        <v>SERVIDOR</v>
      </c>
      <c r="H34" s="35" t="str">
        <f>IFERROR(IF(VLOOKUP($B34,casostestes[#Data],6)=0,"-",VLOOKUP($B34,casostestes[#Data],6)),"-")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34" s="35" t="str">
        <f>IFERROR(IF(VLOOKUP($B34,casostestes[#Data],8)=0,"-",VLOOKUP($B34,casostestes[#Data],8)),"-")</f>
        <v>-</v>
      </c>
      <c r="J34" s="35" t="str">
        <f>IFERROR(IF(VLOOKUP($B34,casostestes[#Data],9)=0,"-",VLOOKUP($B34,casostestes[#Data],9)),"-")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34" s="37" t="str">
        <f>IFERROR(IF(VLOOKUP($B34,orlando[#Data],12)=0,"Não executado",VLOOKUP($B34,orlando[#Data],12)),"Não executado")</f>
        <v>Não executado</v>
      </c>
      <c r="L34" s="37" t="str">
        <f>IFERROR(IF(VLOOKUP($B34,mauricio[#Data],12)=0,"Não executado",VLOOKUP($B34,mauricio[#Data],12)),"Não executado")</f>
        <v>Não executado</v>
      </c>
      <c r="M34" s="37" t="str">
        <f>IFERROR(IF(VLOOKUP($B34,Thaisa[#Data],12)=0,"Não executado",VLOOKUP($B34,Thaisa[#Data],12)),"Não executado")</f>
        <v>Não executado</v>
      </c>
      <c r="N34" s="37" t="str">
        <f>IFERROR(IF(VLOOKUP($B34,carlos[#Data],12)=0,"Não executado",VLOOKUP($B34,carlos[#Data],12)),"Não executado")</f>
        <v>Não executado</v>
      </c>
      <c r="O34" s="37" t="str">
        <f>IFERROR(IF(VLOOKUP($B34,Alessandra[#Data],12)=0,"Não executado",VLOOKUP($B34,Alessandra[#Data],12)),"Não executado")</f>
        <v>Não executado</v>
      </c>
      <c r="P34" s="37" t="str">
        <f>IFERROR(IF(VLOOKUP($B34,AnaCarolina[#Data],12)=0,"Não executado",VLOOKUP($B34,AnaCarolina[#Data],12)),"Não executado")</f>
        <v>Em Teste</v>
      </c>
      <c r="Q34" s="37" t="str">
        <f>IFERROR(IF(VLOOKUP($B34,wanei[#Data],12)=0,"Não executado",VLOOKUP($B34,wanei[#Data],12)),"Não executado")</f>
        <v>Aprovado</v>
      </c>
      <c r="R34" s="37" t="str">
        <f>IFERROR(IF(VLOOKUP($B34,janaina[#Data],12)=0,"Não executado",VLOOKUP($B34,janaina[#Data],12)),"Não executado")</f>
        <v>Não executado</v>
      </c>
      <c r="S34" s="37" t="str">
        <f>IFERROR(IF(VLOOKUP($B34,andreia[#Data],12)=0,"Não executado",VLOOKUP($B34,andreia[#Data],12)),"Não executado")</f>
        <v>Não executado</v>
      </c>
      <c r="T34" s="37" t="str">
        <f>IFERROR(IF(VLOOKUP($B17,homologador[#Data],12)=0,"Não executado",VLOOKUP($B17,homologador[#Data],12)),"Não executado")</f>
        <v>Não executado</v>
      </c>
      <c r="U34" s="14">
        <f>COUNTIF(ACOMPANHAMENTO!K34:T34,"Aprovado")+COUNTIF(K34:T34,"Reprovado")+COUNTIF(K34:T34,"Em Teste")</f>
        <v>2</v>
      </c>
      <c r="V34" s="14">
        <f>COUNTIF(K34:T34,"Em Teste")</f>
        <v>1</v>
      </c>
      <c r="W34" s="13" t="str">
        <f>IF(U34&gt;3,IF(V34&gt;1,"SIM","NÃO"),"NÃO")</f>
        <v>NÃO</v>
      </c>
    </row>
    <row r="35" spans="2:23">
      <c r="B35" s="40" t="str">
        <f>IF(ISERR(casostestes[[#This Row],[ID]]),"-",casostestes[[#This Row],[ID]])</f>
        <v>-</v>
      </c>
      <c r="C35" s="34" t="str">
        <f>IFERROR(IF(VLOOKUP($B35,casostestes[#Data],10)=0,"Não",VLOOKUP($B35,casostestes[#Data],10)), "-")</f>
        <v>-</v>
      </c>
      <c r="D35" s="35" t="str">
        <f>IFERROR(IF(VLOOKUP($B35,casostestes[#Data],2)=0,"-",VLOOKUP($B35,casostestes[#Data],2)), "-")</f>
        <v>-</v>
      </c>
      <c r="E35" s="35" t="str">
        <f>IFERROR(IF(VLOOKUP($B35,casostestes[#Data],3)=0,"-",VLOOKUP($B35,casostestes[#Data],3)), "-")</f>
        <v>-</v>
      </c>
      <c r="F35" s="35" t="str">
        <f>IFERROR(IF(VLOOKUP($B35,casostestes[#Data],4)=0,"-",VLOOKUP($B35,casostestes[#Data],4)),"-")</f>
        <v>-</v>
      </c>
      <c r="G35" s="35" t="str">
        <f>IFERROR(IF(VLOOKUP($B35,casostestes[#Data],5)=0,"-",VLOOKUP($B35,casostestes[#Data],5)),"-")</f>
        <v>-</v>
      </c>
      <c r="H35" s="35" t="str">
        <f>IFERROR(IF(VLOOKUP($B35,casostestes[#Data],6)=0,"-",VLOOKUP($B35,casostestes[#Data],6)),"-")</f>
        <v>-</v>
      </c>
      <c r="I35" s="35" t="str">
        <f>IFERROR(IF(VLOOKUP($B35,casostestes[#Data],8)=0,"-",VLOOKUP($B35,casostestes[#Data],8)),"-")</f>
        <v>-</v>
      </c>
      <c r="J35" s="35" t="str">
        <f>IFERROR(IF(VLOOKUP($B35,casostestes[#Data],9)=0,"-",VLOOKUP($B35,casostestes[#Data],9)),"-")</f>
        <v>-</v>
      </c>
      <c r="K35" s="37" t="str">
        <f>IFERROR(IF(VLOOKUP($B35,orlando[#Data],12)=0,"Não executado",VLOOKUP($B35,orlando[#Data],12)),"Não executado")</f>
        <v>Não executado</v>
      </c>
      <c r="L35" s="37" t="str">
        <f>IFERROR(IF(VLOOKUP($B35,mauricio[#Data],12)=0,"Não executado",VLOOKUP($B35,mauricio[#Data],12)),"Não executado")</f>
        <v>Não executado</v>
      </c>
      <c r="M35" s="37" t="str">
        <f>IFERROR(IF(VLOOKUP($B35,Thaisa[#Data],12)=0,"Não executado",VLOOKUP($B35,Thaisa[#Data],12)),"Não executado")</f>
        <v>Não executado</v>
      </c>
      <c r="N35" s="37" t="str">
        <f>IFERROR(IF(VLOOKUP($B35,carlos[#Data],12)=0,"Não executado",VLOOKUP($B35,carlos[#Data],12)),"Não executado")</f>
        <v>Não executado</v>
      </c>
      <c r="O35" s="37" t="str">
        <f>IFERROR(IF(VLOOKUP($B35,Alessandra[#Data],12)=0,"Não executado",VLOOKUP($B35,Alessandra[#Data],12)),"Não executado")</f>
        <v>Não executado</v>
      </c>
      <c r="P35" s="37" t="str">
        <f>IFERROR(IF(VLOOKUP($B35,AnaCarolina[#Data],12)=0,"Não executado",VLOOKUP($B35,AnaCarolina[#Data],12)),"Não executado")</f>
        <v>Não executado</v>
      </c>
      <c r="Q35" s="37" t="str">
        <f>IFERROR(IF(VLOOKUP($B35,wanei[#Data],12)=0,"Não executado",VLOOKUP($B35,wanei[#Data],12)),"Não executado")</f>
        <v>Não executado</v>
      </c>
      <c r="R35" s="37" t="str">
        <f>IFERROR(IF(VLOOKUP($B35,janaina[#Data],12)=0,"Não executado",VLOOKUP($B35,janaina[#Data],12)),"Não executado")</f>
        <v>Não executado</v>
      </c>
      <c r="S35" s="37" t="str">
        <f>IFERROR(IF(VLOOKUP($B35,andreia[#Data],12)=0,"Não executado",VLOOKUP($B35,andreia[#Data],12)),"Não executado")</f>
        <v>Não executado</v>
      </c>
      <c r="T35" s="37" t="str">
        <f>IFERROR(IF(VLOOKUP($B18,homologador[#Data],12)=0,"Não executado",VLOOKUP($B18,homologador[#Data],12)),"Não executado")</f>
        <v>Não executado</v>
      </c>
      <c r="W35" s="13"/>
    </row>
    <row r="36" spans="2:23">
      <c r="B36" s="40" t="str">
        <f>IF(ISERR(casostestes[[#This Row],[ID]]),"-",casostestes[[#This Row],[ID]])</f>
        <v>-</v>
      </c>
      <c r="C36" s="34" t="str">
        <f>IFERROR(IF(VLOOKUP($B36,casostestes[#Data],10)=0,"Não",VLOOKUP($B36,casostestes[#Data],10)), "-")</f>
        <v>-</v>
      </c>
      <c r="D36" s="35" t="str">
        <f>IFERROR(IF(VLOOKUP($B36,casostestes[#Data],2)=0,"-",VLOOKUP($B36,casostestes[#Data],2)), "-")</f>
        <v>-</v>
      </c>
      <c r="E36" s="35" t="str">
        <f>IFERROR(IF(VLOOKUP($B36,casostestes[#Data],3)=0,"-",VLOOKUP($B36,casostestes[#Data],3)), "-")</f>
        <v>-</v>
      </c>
      <c r="F36" s="35" t="str">
        <f>IFERROR(IF(VLOOKUP($B36,casostestes[#Data],4)=0,"-",VLOOKUP($B36,casostestes[#Data],4)),"-")</f>
        <v>-</v>
      </c>
      <c r="G36" s="35" t="str">
        <f>IFERROR(IF(VLOOKUP($B36,casostestes[#Data],5)=0,"-",VLOOKUP($B36,casostestes[#Data],5)),"-")</f>
        <v>-</v>
      </c>
      <c r="H36" s="35" t="str">
        <f>IFERROR(IF(VLOOKUP($B36,casostestes[#Data],6)=0,"-",VLOOKUP($B36,casostestes[#Data],6)),"-")</f>
        <v>-</v>
      </c>
      <c r="I36" s="35" t="str">
        <f>IFERROR(IF(VLOOKUP($B36,casostestes[#Data],8)=0,"-",VLOOKUP($B36,casostestes[#Data],8)),"-")</f>
        <v>-</v>
      </c>
      <c r="J36" s="35" t="str">
        <f>IFERROR(IF(VLOOKUP($B36,casostestes[#Data],9)=0,"-",VLOOKUP($B36,casostestes[#Data],9)),"-")</f>
        <v>-</v>
      </c>
      <c r="K36" s="37" t="str">
        <f>IFERROR(IF(VLOOKUP($B36,orlando[#Data],12)=0,"Não executado",VLOOKUP($B36,orlando[#Data],12)),"Não executado")</f>
        <v>Não executado</v>
      </c>
      <c r="L36" s="37" t="str">
        <f>IFERROR(IF(VLOOKUP($B36,mauricio[#Data],12)=0,"Não executado",VLOOKUP($B36,mauricio[#Data],12)),"Não executado")</f>
        <v>Não executado</v>
      </c>
      <c r="M36" s="37" t="str">
        <f>IFERROR(IF(VLOOKUP($B36,Thaisa[#Data],12)=0,"Não executado",VLOOKUP($B36,Thaisa[#Data],12)),"Não executado")</f>
        <v>Não executado</v>
      </c>
      <c r="N36" s="37" t="str">
        <f>IFERROR(IF(VLOOKUP($B36,carlos[#Data],12)=0,"Não executado",VLOOKUP($B36,carlos[#Data],12)),"Não executado")</f>
        <v>Não executado</v>
      </c>
      <c r="O36" s="37" t="str">
        <f>IFERROR(IF(VLOOKUP($B36,Alessandra[#Data],12)=0,"Não executado",VLOOKUP($B36,Alessandra[#Data],12)),"Não executado")</f>
        <v>Não executado</v>
      </c>
      <c r="P36" s="37" t="str">
        <f>IFERROR(IF(VLOOKUP($B36,AnaCarolina[#Data],12)=0,"Não executado",VLOOKUP($B36,AnaCarolina[#Data],12)),"Não executado")</f>
        <v>Não executado</v>
      </c>
      <c r="Q36" s="37" t="str">
        <f>IFERROR(IF(VLOOKUP($B36,wanei[#Data],12)=0,"Não executado",VLOOKUP($B36,wanei[#Data],12)),"Não executado")</f>
        <v>Não executado</v>
      </c>
      <c r="R36" s="37" t="str">
        <f>IFERROR(IF(VLOOKUP($B36,janaina[#Data],12)=0,"Não executado",VLOOKUP($B36,janaina[#Data],12)),"Não executado")</f>
        <v>Não executado</v>
      </c>
      <c r="S36" s="37" t="str">
        <f>IFERROR(IF(VLOOKUP($B36,andreia[#Data],12)=0,"Não executado",VLOOKUP($B36,andreia[#Data],12)),"Não executado")</f>
        <v>Não executado</v>
      </c>
      <c r="T36" s="37" t="str">
        <f>IFERROR(IF(VLOOKUP($B19,homologador[#Data],12)=0,"Não executado",VLOOKUP($B19,homologador[#Data],12)),"Não executado")</f>
        <v>Não executado</v>
      </c>
      <c r="W36" s="13"/>
    </row>
    <row r="37" spans="2:23">
      <c r="B37" s="40" t="str">
        <f>IF(ISERR(casostestes[[#This Row],[ID]]),"-",casostestes[[#This Row],[ID]])</f>
        <v>-</v>
      </c>
      <c r="C37" s="34" t="str">
        <f>IFERROR(IF(VLOOKUP($B37,casostestes[#Data],10)=0,"Não",VLOOKUP($B37,casostestes[#Data],10)), "-")</f>
        <v>-</v>
      </c>
      <c r="D37" s="35" t="str">
        <f>IFERROR(IF(VLOOKUP($B37,casostestes[#Data],2)=0,"-",VLOOKUP($B37,casostestes[#Data],2)), "-")</f>
        <v>-</v>
      </c>
      <c r="E37" s="35" t="str">
        <f>IFERROR(IF(VLOOKUP($B37,casostestes[#Data],3)=0,"-",VLOOKUP($B37,casostestes[#Data],3)), "-")</f>
        <v>-</v>
      </c>
      <c r="F37" s="35" t="str">
        <f>IFERROR(IF(VLOOKUP($B37,casostestes[#Data],4)=0,"-",VLOOKUP($B37,casostestes[#Data],4)),"-")</f>
        <v>-</v>
      </c>
      <c r="G37" s="35" t="str">
        <f>IFERROR(IF(VLOOKUP($B37,casostestes[#Data],5)=0,"-",VLOOKUP($B37,casostestes[#Data],5)),"-")</f>
        <v>-</v>
      </c>
      <c r="H37" s="35" t="str">
        <f>IFERROR(IF(VLOOKUP($B37,casostestes[#Data],6)=0,"-",VLOOKUP($B37,casostestes[#Data],6)),"-")</f>
        <v>-</v>
      </c>
      <c r="I37" s="35" t="str">
        <f>IFERROR(IF(VLOOKUP($B37,casostestes[#Data],8)=0,"-",VLOOKUP($B37,casostestes[#Data],8)),"-")</f>
        <v>-</v>
      </c>
      <c r="J37" s="35" t="str">
        <f>IFERROR(IF(VLOOKUP($B37,casostestes[#Data],9)=0,"-",VLOOKUP($B37,casostestes[#Data],9)),"-")</f>
        <v>-</v>
      </c>
      <c r="K37" s="37" t="str">
        <f>IFERROR(IF(VLOOKUP($B37,orlando[#Data],12)=0,"Não executado",VLOOKUP($B37,orlando[#Data],12)),"Não executado")</f>
        <v>Não executado</v>
      </c>
      <c r="L37" s="37" t="str">
        <f>IFERROR(IF(VLOOKUP($B37,mauricio[#Data],12)=0,"Não executado",VLOOKUP($B37,mauricio[#Data],12)),"Não executado")</f>
        <v>Não executado</v>
      </c>
      <c r="M37" s="37" t="str">
        <f>IFERROR(IF(VLOOKUP($B37,Thaisa[#Data],12)=0,"Não executado",VLOOKUP($B37,Thaisa[#Data],12)),"Não executado")</f>
        <v>Não executado</v>
      </c>
      <c r="N37" s="37" t="str">
        <f>IFERROR(IF(VLOOKUP($B37,carlos[#Data],12)=0,"Não executado",VLOOKUP($B37,carlos[#Data],12)),"Não executado")</f>
        <v>Não executado</v>
      </c>
      <c r="O37" s="37" t="str">
        <f>IFERROR(IF(VLOOKUP($B37,Alessandra[#Data],12)=0,"Não executado",VLOOKUP($B37,Alessandra[#Data],12)),"Não executado")</f>
        <v>Não executado</v>
      </c>
      <c r="P37" s="37" t="str">
        <f>IFERROR(IF(VLOOKUP($B37,AnaCarolina[#Data],12)=0,"Não executado",VLOOKUP($B37,AnaCarolina[#Data],12)),"Não executado")</f>
        <v>Não executado</v>
      </c>
      <c r="Q37" s="37" t="str">
        <f>IFERROR(IF(VLOOKUP($B37,wanei[#Data],12)=0,"Não executado",VLOOKUP($B37,wanei[#Data],12)),"Não executado")</f>
        <v>Não executado</v>
      </c>
      <c r="R37" s="37" t="str">
        <f>IFERROR(IF(VLOOKUP($B37,janaina[#Data],12)=0,"Não executado",VLOOKUP($B37,janaina[#Data],12)),"Não executado")</f>
        <v>Não executado</v>
      </c>
      <c r="S37" s="37" t="str">
        <f>IFERROR(IF(VLOOKUP($B37,andreia[#Data],12)=0,"Não executado",VLOOKUP($B37,andreia[#Data],12)),"Não executado")</f>
        <v>Não executado</v>
      </c>
      <c r="T37" s="37" t="str">
        <f>IFERROR(IF(VLOOKUP($B20,homologador[#Data],12)=0,"Não executado",VLOOKUP($B20,homologador[#Data],12)),"Não executado")</f>
        <v>Não executado</v>
      </c>
      <c r="W37" s="13"/>
    </row>
    <row r="38" spans="2:23">
      <c r="B38" s="40" t="str">
        <f>IF(ISERR(casostestes[[#This Row],[ID]]),"-",casostestes[[#This Row],[ID]])</f>
        <v>-</v>
      </c>
      <c r="C38" s="34" t="str">
        <f>IFERROR(IF(VLOOKUP($B38,casostestes[#Data],10)=0,"Não",VLOOKUP($B38,casostestes[#Data],10)), "-")</f>
        <v>-</v>
      </c>
      <c r="D38" s="35" t="str">
        <f>IFERROR(IF(VLOOKUP($B38,casostestes[#Data],2)=0,"-",VLOOKUP($B38,casostestes[#Data],2)), "-")</f>
        <v>-</v>
      </c>
      <c r="E38" s="35" t="str">
        <f>IFERROR(IF(VLOOKUP($B38,casostestes[#Data],3)=0,"-",VLOOKUP($B38,casostestes[#Data],3)), "-")</f>
        <v>-</v>
      </c>
      <c r="F38" s="35" t="str">
        <f>IFERROR(IF(VLOOKUP($B38,casostestes[#Data],4)=0,"-",VLOOKUP($B38,casostestes[#Data],4)),"-")</f>
        <v>-</v>
      </c>
      <c r="G38" s="35" t="str">
        <f>IFERROR(IF(VLOOKUP($B38,casostestes[#Data],5)=0,"-",VLOOKUP($B38,casostestes[#Data],5)),"-")</f>
        <v>-</v>
      </c>
      <c r="H38" s="35" t="str">
        <f>IFERROR(IF(VLOOKUP($B38,casostestes[#Data],6)=0,"-",VLOOKUP($B38,casostestes[#Data],6)),"-")</f>
        <v>-</v>
      </c>
      <c r="I38" s="35" t="str">
        <f>IFERROR(IF(VLOOKUP($B38,casostestes[#Data],8)=0,"-",VLOOKUP($B38,casostestes[#Data],8)),"-")</f>
        <v>-</v>
      </c>
      <c r="J38" s="35" t="str">
        <f>IFERROR(IF(VLOOKUP($B38,casostestes[#Data],9)=0,"-",VLOOKUP($B38,casostestes[#Data],9)),"-")</f>
        <v>-</v>
      </c>
      <c r="K38" s="37" t="str">
        <f>IFERROR(IF(VLOOKUP($B38,orlando[#Data],12)=0,"Não executado",VLOOKUP($B38,orlando[#Data],12)),"Não executado")</f>
        <v>Não executado</v>
      </c>
      <c r="L38" s="37" t="str">
        <f>IFERROR(IF(VLOOKUP($B38,mauricio[#Data],12)=0,"Não executado",VLOOKUP($B38,mauricio[#Data],12)),"Não executado")</f>
        <v>Não executado</v>
      </c>
      <c r="M38" s="37" t="str">
        <f>IFERROR(IF(VLOOKUP($B38,Thaisa[#Data],12)=0,"Não executado",VLOOKUP($B38,Thaisa[#Data],12)),"Não executado")</f>
        <v>Não executado</v>
      </c>
      <c r="N38" s="37" t="str">
        <f>IFERROR(IF(VLOOKUP($B38,carlos[#Data],12)=0,"Não executado",VLOOKUP($B38,carlos[#Data],12)),"Não executado")</f>
        <v>Não executado</v>
      </c>
      <c r="O38" s="37" t="str">
        <f>IFERROR(IF(VLOOKUP($B38,Alessandra[#Data],12)=0,"Não executado",VLOOKUP($B38,Alessandra[#Data],12)),"Não executado")</f>
        <v>Não executado</v>
      </c>
      <c r="P38" s="37" t="str">
        <f>IFERROR(IF(VLOOKUP($B38,AnaCarolina[#Data],12)=0,"Não executado",VLOOKUP($B38,AnaCarolina[#Data],12)),"Não executado")</f>
        <v>Não executado</v>
      </c>
      <c r="Q38" s="37" t="str">
        <f>IFERROR(IF(VLOOKUP($B38,wanei[#Data],12)=0,"Não executado",VLOOKUP($B38,wanei[#Data],12)),"Não executado")</f>
        <v>Não executado</v>
      </c>
      <c r="R38" s="37" t="str">
        <f>IFERROR(IF(VLOOKUP($B38,janaina[#Data],12)=0,"Não executado",VLOOKUP($B38,janaina[#Data],12)),"Não executado")</f>
        <v>Não executado</v>
      </c>
      <c r="S38" s="37" t="str">
        <f>IFERROR(IF(VLOOKUP($B38,andreia[#Data],12)=0,"Não executado",VLOOKUP($B38,andreia[#Data],12)),"Não executado")</f>
        <v>Não executado</v>
      </c>
      <c r="T38" s="37" t="str">
        <f>IFERROR(IF(VLOOKUP($B21,homologador[#Data],12)=0,"Não executado",VLOOKUP($B21,homologador[#Data],12)),"Não executado")</f>
        <v>Não executado</v>
      </c>
      <c r="W38" s="13"/>
    </row>
    <row r="39" spans="2:23">
      <c r="B39" s="40" t="str">
        <f>IF(ISERR(casostestes[[#This Row],[ID]]),"-",casostestes[[#This Row],[ID]])</f>
        <v>-</v>
      </c>
      <c r="C39" s="34" t="str">
        <f>IFERROR(IF(VLOOKUP($B39,casostestes[#Data],10)=0,"Não",VLOOKUP($B39,casostestes[#Data],10)), "-")</f>
        <v>-</v>
      </c>
      <c r="D39" s="35" t="str">
        <f>IFERROR(IF(VLOOKUP($B39,casostestes[#Data],2)=0,"-",VLOOKUP($B39,casostestes[#Data],2)), "-")</f>
        <v>-</v>
      </c>
      <c r="E39" s="35" t="str">
        <f>IFERROR(IF(VLOOKUP($B39,casostestes[#Data],3)=0,"-",VLOOKUP($B39,casostestes[#Data],3)), "-")</f>
        <v>-</v>
      </c>
      <c r="F39" s="35" t="str">
        <f>IFERROR(IF(VLOOKUP($B39,casostestes[#Data],4)=0,"-",VLOOKUP($B39,casostestes[#Data],4)),"-")</f>
        <v>-</v>
      </c>
      <c r="G39" s="35" t="str">
        <f>IFERROR(IF(VLOOKUP($B39,casostestes[#Data],5)=0,"-",VLOOKUP($B39,casostestes[#Data],5)),"-")</f>
        <v>-</v>
      </c>
      <c r="H39" s="35" t="str">
        <f>IFERROR(IF(VLOOKUP($B39,casostestes[#Data],6)=0,"-",VLOOKUP($B39,casostestes[#Data],6)),"-")</f>
        <v>-</v>
      </c>
      <c r="I39" s="35" t="str">
        <f>IFERROR(IF(VLOOKUP($B39,casostestes[#Data],8)=0,"-",VLOOKUP($B39,casostestes[#Data],8)),"-")</f>
        <v>-</v>
      </c>
      <c r="J39" s="35" t="str">
        <f>IFERROR(IF(VLOOKUP($B39,casostestes[#Data],9)=0,"-",VLOOKUP($B39,casostestes[#Data],9)),"-")</f>
        <v>-</v>
      </c>
      <c r="K39" s="37" t="str">
        <f>IFERROR(IF(VLOOKUP($B39,orlando[#Data],12)=0,"Não executado",VLOOKUP($B39,orlando[#Data],12)),"Não executado")</f>
        <v>Não executado</v>
      </c>
      <c r="L39" s="37" t="str">
        <f>IFERROR(IF(VLOOKUP($B39,mauricio[#Data],12)=0,"Não executado",VLOOKUP($B39,mauricio[#Data],12)),"Não executado")</f>
        <v>Não executado</v>
      </c>
      <c r="M39" s="37" t="str">
        <f>IFERROR(IF(VLOOKUP($B39,Thaisa[#Data],12)=0,"Não executado",VLOOKUP($B39,Thaisa[#Data],12)),"Não executado")</f>
        <v>Não executado</v>
      </c>
      <c r="N39" s="37" t="str">
        <f>IFERROR(IF(VLOOKUP($B39,carlos[#Data],12)=0,"Não executado",VLOOKUP($B39,carlos[#Data],12)),"Não executado")</f>
        <v>Não executado</v>
      </c>
      <c r="O39" s="37" t="str">
        <f>IFERROR(IF(VLOOKUP($B39,Alessandra[#Data],12)=0,"Não executado",VLOOKUP($B39,Alessandra[#Data],12)),"Não executado")</f>
        <v>Não executado</v>
      </c>
      <c r="P39" s="37" t="str">
        <f>IFERROR(IF(VLOOKUP($B39,AnaCarolina[#Data],12)=0,"Não executado",VLOOKUP($B39,AnaCarolina[#Data],12)),"Não executado")</f>
        <v>Não executado</v>
      </c>
      <c r="Q39" s="37" t="str">
        <f>IFERROR(IF(VLOOKUP($B39,wanei[#Data],12)=0,"Não executado",VLOOKUP($B39,wanei[#Data],12)),"Não executado")</f>
        <v>Não executado</v>
      </c>
      <c r="R39" s="37" t="str">
        <f>IFERROR(IF(VLOOKUP($B39,janaina[#Data],12)=0,"Não executado",VLOOKUP($B39,janaina[#Data],12)),"Não executado")</f>
        <v>Não executado</v>
      </c>
      <c r="S39" s="37" t="str">
        <f>IFERROR(IF(VLOOKUP($B39,andreia[#Data],12)=0,"Não executado",VLOOKUP($B39,andreia[#Data],12)),"Não executado")</f>
        <v>Não executado</v>
      </c>
      <c r="T39" s="37" t="str">
        <f>IFERROR(IF(VLOOKUP($B22,homologador[#Data],12)=0,"Não executado",VLOOKUP($B22,homologador[#Data],12)),"Não executado")</f>
        <v>Não executado</v>
      </c>
      <c r="W39" s="13"/>
    </row>
    <row r="40" spans="2:23">
      <c r="B40" s="40" t="str">
        <f>IF(ISERR(casostestes[[#This Row],[ID]]),"-",casostestes[[#This Row],[ID]])</f>
        <v>-</v>
      </c>
      <c r="C40" s="34" t="str">
        <f>IFERROR(IF(VLOOKUP($B40,casostestes[#Data],10)=0,"Não",VLOOKUP($B40,casostestes[#Data],10)), "-")</f>
        <v>-</v>
      </c>
      <c r="D40" s="35" t="str">
        <f>IFERROR(IF(VLOOKUP($B40,casostestes[#Data],2)=0,"-",VLOOKUP($B40,casostestes[#Data],2)), "-")</f>
        <v>-</v>
      </c>
      <c r="E40" s="35" t="str">
        <f>IFERROR(IF(VLOOKUP($B40,casostestes[#Data],3)=0,"-",VLOOKUP($B40,casostestes[#Data],3)), "-")</f>
        <v>-</v>
      </c>
      <c r="F40" s="35" t="str">
        <f>IFERROR(IF(VLOOKUP($B40,casostestes[#Data],4)=0,"-",VLOOKUP($B40,casostestes[#Data],4)),"-")</f>
        <v>-</v>
      </c>
      <c r="G40" s="35" t="str">
        <f>IFERROR(IF(VLOOKUP($B40,casostestes[#Data],5)=0,"-",VLOOKUP($B40,casostestes[#Data],5)),"-")</f>
        <v>-</v>
      </c>
      <c r="H40" s="35" t="str">
        <f>IFERROR(IF(VLOOKUP($B40,casostestes[#Data],6)=0,"-",VLOOKUP($B40,casostestes[#Data],6)),"-")</f>
        <v>-</v>
      </c>
      <c r="I40" s="35" t="str">
        <f>IFERROR(IF(VLOOKUP($B40,casostestes[#Data],8)=0,"-",VLOOKUP($B40,casostestes[#Data],8)),"-")</f>
        <v>-</v>
      </c>
      <c r="J40" s="35" t="str">
        <f>IFERROR(IF(VLOOKUP($B40,casostestes[#Data],9)=0,"-",VLOOKUP($B40,casostestes[#Data],9)),"-")</f>
        <v>-</v>
      </c>
      <c r="K40" s="37" t="str">
        <f>IFERROR(IF(VLOOKUP($B40,orlando[#Data],12)=0,"Não executado",VLOOKUP($B40,orlando[#Data],12)),"Não executado")</f>
        <v>Não executado</v>
      </c>
      <c r="L40" s="37" t="str">
        <f>IFERROR(IF(VLOOKUP($B40,mauricio[#Data],12)=0,"Não executado",VLOOKUP($B40,mauricio[#Data],12)),"Não executado")</f>
        <v>Não executado</v>
      </c>
      <c r="M40" s="37" t="str">
        <f>IFERROR(IF(VLOOKUP($B40,Thaisa[#Data],12)=0,"Não executado",VLOOKUP($B40,Thaisa[#Data],12)),"Não executado")</f>
        <v>Não executado</v>
      </c>
      <c r="N40" s="37" t="str">
        <f>IFERROR(IF(VLOOKUP($B40,carlos[#Data],12)=0,"Não executado",VLOOKUP($B40,carlos[#Data],12)),"Não executado")</f>
        <v>Não executado</v>
      </c>
      <c r="O40" s="37" t="str">
        <f>IFERROR(IF(VLOOKUP($B40,Alessandra[#Data],12)=0,"Não executado",VLOOKUP($B40,Alessandra[#Data],12)),"Não executado")</f>
        <v>Não executado</v>
      </c>
      <c r="P40" s="37" t="str">
        <f>IFERROR(IF(VLOOKUP($B40,AnaCarolina[#Data],12)=0,"Não executado",VLOOKUP($B40,AnaCarolina[#Data],12)),"Não executado")</f>
        <v>Não executado</v>
      </c>
      <c r="Q40" s="37" t="str">
        <f>IFERROR(IF(VLOOKUP($B40,wanei[#Data],12)=0,"Não executado",VLOOKUP($B40,wanei[#Data],12)),"Não executado")</f>
        <v>Não executado</v>
      </c>
      <c r="R40" s="37" t="str">
        <f>IFERROR(IF(VLOOKUP($B40,janaina[#Data],12)=0,"Não executado",VLOOKUP($B40,janaina[#Data],12)),"Não executado")</f>
        <v>Não executado</v>
      </c>
      <c r="S40" s="93" t="str">
        <f>IFERROR(IF(VLOOKUP($B23,andreia[#Data],12)=0,"Não executado",VLOOKUP($B23,andreia[#Data],12)),"Não executado")</f>
        <v>Não executado</v>
      </c>
      <c r="T40" s="37" t="str">
        <f>IFERROR(IF(VLOOKUP($B23,homologador[#Data],12)=0,"Não executado",VLOOKUP($B23,homologador[#Data],12)),"Não executado")</f>
        <v>Não executado</v>
      </c>
      <c r="W40" s="13"/>
    </row>
    <row r="41" spans="2:23" ht="30.75">
      <c r="B41" s="40" t="str">
        <f>IF(ISERR(casostestes[[#This Row],[ID]]),"-",casostestes[[#This Row],[ID]])</f>
        <v>-</v>
      </c>
      <c r="C41" s="34" t="str">
        <f>IFERROR(IF(VLOOKUP($B41,casostestes[#Data],10)=0,"Não",VLOOKUP($B41,casostestes[#Data],10)), "-")</f>
        <v>-</v>
      </c>
      <c r="D41" s="35" t="str">
        <f>IFERROR(IF(VLOOKUP($B41,casostestes[#Data],2)=0,"-",VLOOKUP($B41,casostestes[#Data],2)), "-")</f>
        <v>-</v>
      </c>
      <c r="E41" s="35" t="str">
        <f>IFERROR(IF(VLOOKUP($B41,casostestes[#Data],3)=0,"-",VLOOKUP($B41,casostestes[#Data],3)), "-")</f>
        <v>-</v>
      </c>
      <c r="F41" s="35" t="str">
        <f>IFERROR(IF(VLOOKUP($B41,casostestes[#Data],4)=0,"-",VLOOKUP($B41,casostestes[#Data],4)),"-")</f>
        <v>-</v>
      </c>
      <c r="G41" s="35" t="str">
        <f>IFERROR(IF(VLOOKUP($B41,casostestes[#Data],5)=0,"-",VLOOKUP($B41,casostestes[#Data],5)),"-")</f>
        <v>-</v>
      </c>
      <c r="H41" s="35" t="str">
        <f>IFERROR(IF(VLOOKUP($B41,casostestes[#Data],6)=0,"-",VLOOKUP($B41,casostestes[#Data],6)),"-")</f>
        <v>-</v>
      </c>
      <c r="I41" s="35" t="str">
        <f>IFERROR(IF(VLOOKUP($B41,casostestes[#Data],8)=0,"-",VLOOKUP($B41,casostestes[#Data],8)),"-")</f>
        <v>-</v>
      </c>
      <c r="J41" s="35" t="str">
        <f>IFERROR(IF(VLOOKUP($B41,casostestes[#Data],9)=0,"-",VLOOKUP($B41,casostestes[#Data],9)),"-")</f>
        <v>-</v>
      </c>
      <c r="K41" s="37" t="str">
        <f>IFERROR(IF(VLOOKUP($B41,orlando[#Data],12)=0,"Não executado",VLOOKUP($B41,orlando[#Data],12)),"Não executado")</f>
        <v>Não executado</v>
      </c>
      <c r="L41" s="37" t="str">
        <f>IFERROR(IF(VLOOKUP($B41,mauricio[#Data],12)=0,"Não executado",VLOOKUP($B41,mauricio[#Data],12)),"Não executado")</f>
        <v>Não executado</v>
      </c>
      <c r="M41" s="37" t="str">
        <f>IFERROR(IF(VLOOKUP($B41,Thaisa[#Data],12)=0,"Não executado",VLOOKUP($B41,Thaisa[#Data],12)),"Não executado")</f>
        <v>Não executado</v>
      </c>
      <c r="N41" s="37" t="str">
        <f>IFERROR(IF(VLOOKUP($B41,carlos[#Data],12)=0,"Não executado",VLOOKUP($B41,carlos[#Data],12)),"Não executado")</f>
        <v>Não executado</v>
      </c>
      <c r="O41" s="37" t="str">
        <f>IFERROR(IF(VLOOKUP($B41,Alessandra[#Data],12)=0,"Não executado",VLOOKUP($B41,Alessandra[#Data],12)),"Não executado")</f>
        <v>Não executado</v>
      </c>
      <c r="P41" s="37" t="str">
        <f>IFERROR(IF(VLOOKUP($B41,AnaCarolina[#Data],12)=0,"Não executado",VLOOKUP($B41,AnaCarolina[#Data],12)),"Não executado")</f>
        <v>Não executado</v>
      </c>
      <c r="Q41" s="37" t="str">
        <f>IFERROR(IF(VLOOKUP($B41,wanei[#Data],12)=0,"Não executado",VLOOKUP($B41,wanei[#Data],12)),"Não executado")</f>
        <v>Não executado</v>
      </c>
      <c r="R41" s="37" t="str">
        <f>IFERROR(IF(VLOOKUP($B41,janaina[#Data],12)=0,"Não executado",VLOOKUP($B41,janaina[#Data],12)),"Não executado")</f>
        <v>Não executado</v>
      </c>
      <c r="S41" s="93" t="str">
        <f>IFERROR(IF(VLOOKUP($B24,andreia[#Data],12)=0,"Não executado",VLOOKUP($B24,andreia[#Data],12)),"Não executado")</f>
        <v>Disponível para reteste</v>
      </c>
      <c r="T41" s="37" t="str">
        <f>IFERROR(IF(VLOOKUP($B24,homologador[#Data],12)=0,"Não executado",VLOOKUP($B24,homologador[#Data],12)),"Não executado")</f>
        <v>Não executado</v>
      </c>
      <c r="W41" s="13"/>
    </row>
    <row r="42" spans="2:23" ht="30.75">
      <c r="B42" s="40" t="str">
        <f>IF(ISERR(casostestes[[#This Row],[ID]]),"-",casostestes[[#This Row],[ID]])</f>
        <v>-</v>
      </c>
      <c r="C42" s="34" t="str">
        <f>IFERROR(IF(VLOOKUP($B42,casostestes[#Data],10)=0,"Não",VLOOKUP($B42,casostestes[#Data],10)), "-")</f>
        <v>-</v>
      </c>
      <c r="D42" s="35" t="str">
        <f>IFERROR(IF(VLOOKUP($B42,casostestes[#Data],2)=0,"-",VLOOKUP($B42,casostestes[#Data],2)), "-")</f>
        <v>-</v>
      </c>
      <c r="E42" s="35" t="str">
        <f>IFERROR(IF(VLOOKUP($B42,casostestes[#Data],3)=0,"-",VLOOKUP($B42,casostestes[#Data],3)), "-")</f>
        <v>-</v>
      </c>
      <c r="F42" s="35" t="str">
        <f>IFERROR(IF(VLOOKUP($B42,casostestes[#Data],4)=0,"-",VLOOKUP($B42,casostestes[#Data],4)),"-")</f>
        <v>-</v>
      </c>
      <c r="G42" s="35" t="str">
        <f>IFERROR(IF(VLOOKUP($B42,casostestes[#Data],5)=0,"-",VLOOKUP($B42,casostestes[#Data],5)),"-")</f>
        <v>-</v>
      </c>
      <c r="H42" s="35" t="str">
        <f>IFERROR(IF(VLOOKUP($B42,casostestes[#Data],6)=0,"-",VLOOKUP($B42,casostestes[#Data],6)),"-")</f>
        <v>-</v>
      </c>
      <c r="I42" s="35" t="str">
        <f>IFERROR(IF(VLOOKUP($B42,casostestes[#Data],8)=0,"-",VLOOKUP($B42,casostestes[#Data],8)),"-")</f>
        <v>-</v>
      </c>
      <c r="J42" s="35" t="str">
        <f>IFERROR(IF(VLOOKUP($B42,casostestes[#Data],9)=0,"-",VLOOKUP($B42,casostestes[#Data],9)),"-")</f>
        <v>-</v>
      </c>
      <c r="K42" s="37" t="str">
        <f>IFERROR(IF(VLOOKUP($B42,orlando[#Data],12)=0,"Não executado",VLOOKUP($B42,orlando[#Data],12)),"Não executado")</f>
        <v>Não executado</v>
      </c>
      <c r="L42" s="37" t="str">
        <f>IFERROR(IF(VLOOKUP($B42,mauricio[#Data],12)=0,"Não executado",VLOOKUP($B42,mauricio[#Data],12)),"Não executado")</f>
        <v>Não executado</v>
      </c>
      <c r="M42" s="37" t="str">
        <f>IFERROR(IF(VLOOKUP($B42,Thaisa[#Data],12)=0,"Não executado",VLOOKUP($B42,Thaisa[#Data],12)),"Não executado")</f>
        <v>Não executado</v>
      </c>
      <c r="N42" s="37" t="str">
        <f>IFERROR(IF(VLOOKUP($B42,carlos[#Data],12)=0,"Não executado",VLOOKUP($B42,carlos[#Data],12)),"Não executado")</f>
        <v>Não executado</v>
      </c>
      <c r="O42" s="37" t="str">
        <f>IFERROR(IF(VLOOKUP($B42,Alessandra[#Data],12)=0,"Não executado",VLOOKUP($B42,Alessandra[#Data],12)),"Não executado")</f>
        <v>Não executado</v>
      </c>
      <c r="P42" s="37" t="str">
        <f>IFERROR(IF(VLOOKUP($B42,AnaCarolina[#Data],12)=0,"Não executado",VLOOKUP($B42,AnaCarolina[#Data],12)),"Não executado")</f>
        <v>Não executado</v>
      </c>
      <c r="Q42" s="37" t="str">
        <f>IFERROR(IF(VLOOKUP($B42,wanei[#Data],12)=0,"Não executado",VLOOKUP($B42,wanei[#Data],12)),"Não executado")</f>
        <v>Não executado</v>
      </c>
      <c r="R42" s="37" t="str">
        <f>IFERROR(IF(VLOOKUP($B42,janaina[#Data],12)=0,"Não executado",VLOOKUP($B42,janaina[#Data],12)),"Não executado")</f>
        <v>Não executado</v>
      </c>
      <c r="S42" s="93" t="str">
        <f>IFERROR(IF(VLOOKUP($B25,andreia[#Data],12)=0,"Não executado",VLOOKUP($B25,andreia[#Data],12)),"Não executado")</f>
        <v>Disponível para reteste</v>
      </c>
      <c r="T42" s="37" t="str">
        <f>IFERROR(IF(VLOOKUP($B25,homologador[#Data],12)=0,"Não executado",VLOOKUP($B25,homologador[#Data],12)),"Não executado")</f>
        <v>Não executado</v>
      </c>
      <c r="W42" s="13"/>
    </row>
    <row r="43" spans="2:23">
      <c r="B43" s="40" t="str">
        <f>IF(ISERR(casostestes[[#This Row],[ID]]),"-",casostestes[[#This Row],[ID]])</f>
        <v>-</v>
      </c>
      <c r="C43" s="34" t="str">
        <f>IFERROR(IF(VLOOKUP($B43,casostestes[#Data],10)=0,"Não",VLOOKUP($B43,casostestes[#Data],10)), "-")</f>
        <v>-</v>
      </c>
      <c r="D43" s="35" t="str">
        <f>IFERROR(IF(VLOOKUP($B43,casostestes[#Data],2)=0,"-",VLOOKUP($B43,casostestes[#Data],2)), "-")</f>
        <v>-</v>
      </c>
      <c r="E43" s="35" t="str">
        <f>IFERROR(IF(VLOOKUP($B43,casostestes[#Data],3)=0,"-",VLOOKUP($B43,casostestes[#Data],3)), "-")</f>
        <v>-</v>
      </c>
      <c r="F43" s="35" t="str">
        <f>IFERROR(IF(VLOOKUP($B43,casostestes[#Data],4)=0,"-",VLOOKUP($B43,casostestes[#Data],4)),"-")</f>
        <v>-</v>
      </c>
      <c r="G43" s="35" t="str">
        <f>IFERROR(IF(VLOOKUP($B43,casostestes[#Data],5)=0,"-",VLOOKUP($B43,casostestes[#Data],5)),"-")</f>
        <v>-</v>
      </c>
      <c r="H43" s="35" t="str">
        <f>IFERROR(IF(VLOOKUP($B43,casostestes[#Data],6)=0,"-",VLOOKUP($B43,casostestes[#Data],6)),"-")</f>
        <v>-</v>
      </c>
      <c r="I43" s="35" t="str">
        <f>IFERROR(IF(VLOOKUP($B43,casostestes[#Data],8)=0,"-",VLOOKUP($B43,casostestes[#Data],8)),"-")</f>
        <v>-</v>
      </c>
      <c r="J43" s="35" t="str">
        <f>IFERROR(IF(VLOOKUP($B43,casostestes[#Data],9)=0,"-",VLOOKUP($B43,casostestes[#Data],9)),"-")</f>
        <v>-</v>
      </c>
      <c r="K43" s="37" t="str">
        <f>IFERROR(IF(VLOOKUP($B43,orlando[#Data],12)=0,"Não executado",VLOOKUP($B43,orlando[#Data],12)),"Não executado")</f>
        <v>Não executado</v>
      </c>
      <c r="L43" s="37" t="str">
        <f>IFERROR(IF(VLOOKUP($B43,mauricio[#Data],12)=0,"Não executado",VLOOKUP($B43,mauricio[#Data],12)),"Não executado")</f>
        <v>Não executado</v>
      </c>
      <c r="M43" s="37" t="str">
        <f>IFERROR(IF(VLOOKUP($B43,Thaisa[#Data],12)=0,"Não executado",VLOOKUP($B43,Thaisa[#Data],12)),"Não executado")</f>
        <v>Não executado</v>
      </c>
      <c r="N43" s="37" t="str">
        <f>IFERROR(IF(VLOOKUP($B43,carlos[#Data],12)=0,"Não executado",VLOOKUP($B43,carlos[#Data],12)),"Não executado")</f>
        <v>Não executado</v>
      </c>
      <c r="O43" s="37" t="str">
        <f>IFERROR(IF(VLOOKUP($B43,Alessandra[#Data],12)=0,"Não executado",VLOOKUP($B43,Alessandra[#Data],12)),"Não executado")</f>
        <v>Não executado</v>
      </c>
      <c r="P43" s="37" t="str">
        <f>IFERROR(IF(VLOOKUP($B43,AnaCarolina[#Data],12)=0,"Não executado",VLOOKUP($B43,AnaCarolina[#Data],12)),"Não executado")</f>
        <v>Não executado</v>
      </c>
      <c r="Q43" s="37" t="str">
        <f>IFERROR(IF(VLOOKUP($B43,wanei[#Data],12)=0,"Não executado",VLOOKUP($B43,wanei[#Data],12)),"Não executado")</f>
        <v>Não executado</v>
      </c>
      <c r="R43" s="37" t="str">
        <f>IFERROR(IF(VLOOKUP($B43,janaina[#Data],12)=0,"Não executado",VLOOKUP($B43,janaina[#Data],12)),"Não executado")</f>
        <v>Não executado</v>
      </c>
      <c r="S43" s="93" t="str">
        <f>IFERROR(IF(VLOOKUP($B26,andreia[#Data],12)=0,"Não executado",VLOOKUP($B26,andreia[#Data],12)),"Não executado")</f>
        <v>Não executado</v>
      </c>
      <c r="T43" s="37" t="str">
        <f>IFERROR(IF(VLOOKUP($B26,homologador[#Data],12)=0,"Não executado",VLOOKUP($B26,homologador[#Data],12)),"Não executado")</f>
        <v>Não executado</v>
      </c>
      <c r="W43" s="13"/>
    </row>
    <row r="44" spans="2:23">
      <c r="B44" s="40" t="str">
        <f>IF(ISERR(casostestes[[#This Row],[ID]]),"-",casostestes[[#This Row],[ID]])</f>
        <v>-</v>
      </c>
      <c r="C44" s="34" t="str">
        <f>IFERROR(IF(VLOOKUP($B44,casostestes[#Data],10)=0,"Não",VLOOKUP($B44,casostestes[#Data],10)), "-")</f>
        <v>-</v>
      </c>
      <c r="D44" s="35" t="str">
        <f>IFERROR(IF(VLOOKUP($B44,casostestes[#Data],2)=0,"-",VLOOKUP($B44,casostestes[#Data],2)), "-")</f>
        <v>-</v>
      </c>
      <c r="E44" s="35" t="str">
        <f>IFERROR(IF(VLOOKUP($B44,casostestes[#Data],3)=0,"-",VLOOKUP($B44,casostestes[#Data],3)), "-")</f>
        <v>-</v>
      </c>
      <c r="F44" s="35" t="str">
        <f>IFERROR(IF(VLOOKUP($B44,casostestes[#Data],4)=0,"-",VLOOKUP($B44,casostestes[#Data],4)),"-")</f>
        <v>-</v>
      </c>
      <c r="G44" s="35" t="str">
        <f>IFERROR(IF(VLOOKUP($B44,casostestes[#Data],5)=0,"-",VLOOKUP($B44,casostestes[#Data],5)),"-")</f>
        <v>-</v>
      </c>
      <c r="H44" s="35" t="str">
        <f>IFERROR(IF(VLOOKUP($B44,casostestes[#Data],6)=0,"-",VLOOKUP($B44,casostestes[#Data],6)),"-")</f>
        <v>-</v>
      </c>
      <c r="I44" s="35" t="str">
        <f>IFERROR(IF(VLOOKUP($B44,casostestes[#Data],8)=0,"-",VLOOKUP($B44,casostestes[#Data],8)),"-")</f>
        <v>-</v>
      </c>
      <c r="J44" s="35" t="str">
        <f>IFERROR(IF(VLOOKUP($B44,casostestes[#Data],9)=0,"-",VLOOKUP($B44,casostestes[#Data],9)),"-")</f>
        <v>-</v>
      </c>
      <c r="K44" s="37" t="str">
        <f>IFERROR(IF(VLOOKUP($B44,orlando[#Data],12)=0,"Não executado",VLOOKUP($B44,orlando[#Data],12)),"Não executado")</f>
        <v>Não executado</v>
      </c>
      <c r="L44" s="37" t="str">
        <f>IFERROR(IF(VLOOKUP($B44,mauricio[#Data],12)=0,"Não executado",VLOOKUP($B44,mauricio[#Data],12)),"Não executado")</f>
        <v>Não executado</v>
      </c>
      <c r="M44" s="37" t="str">
        <f>IFERROR(IF(VLOOKUP($B44,Thaisa[#Data],12)=0,"Não executado",VLOOKUP($B44,Thaisa[#Data],12)),"Não executado")</f>
        <v>Não executado</v>
      </c>
      <c r="N44" s="37" t="str">
        <f>IFERROR(IF(VLOOKUP($B44,carlos[#Data],12)=0,"Não executado",VLOOKUP($B44,carlos[#Data],12)),"Não executado")</f>
        <v>Não executado</v>
      </c>
      <c r="O44" s="37" t="str">
        <f>IFERROR(IF(VLOOKUP($B44,Alessandra[#Data],12)=0,"Não executado",VLOOKUP($B44,Alessandra[#Data],12)),"Não executado")</f>
        <v>Não executado</v>
      </c>
      <c r="P44" s="37" t="str">
        <f>IFERROR(IF(VLOOKUP($B44,AnaCarolina[#Data],12)=0,"Não executado",VLOOKUP($B44,AnaCarolina[#Data],12)),"Não executado")</f>
        <v>Não executado</v>
      </c>
      <c r="Q44" s="37" t="str">
        <f>IFERROR(IF(VLOOKUP($B44,wanei[#Data],12)=0,"Não executado",VLOOKUP($B44,wanei[#Data],12)),"Não executado")</f>
        <v>Não executado</v>
      </c>
      <c r="R44" s="37" t="str">
        <f>IFERROR(IF(VLOOKUP($B44,janaina[#Data],12)=0,"Não executado",VLOOKUP($B44,janaina[#Data],12)),"Não executado")</f>
        <v>Não executado</v>
      </c>
      <c r="S44" s="93" t="str">
        <f>IFERROR(IF(VLOOKUP($B27,andreia[#Data],12)=0,"Não executado",VLOOKUP($B27,andreia[#Data],12)),"Não executado")</f>
        <v>Não executado</v>
      </c>
      <c r="T44" s="37" t="str">
        <f>IFERROR(IF(VLOOKUP($B27,homologador[#Data],12)=0,"Não executado",VLOOKUP($B27,homologador[#Data],12)),"Não executado")</f>
        <v>Não executado</v>
      </c>
      <c r="W44" s="13"/>
    </row>
    <row r="45" spans="2:23">
      <c r="B45" s="40" t="str">
        <f>IF(ISERR(casostestes[[#This Row],[ID]]),"-",casostestes[[#This Row],[ID]])</f>
        <v>-</v>
      </c>
      <c r="C45" s="34" t="str">
        <f>IFERROR(IF(VLOOKUP($B45,casostestes[#Data],10)=0,"Não",VLOOKUP($B45,casostestes[#Data],10)), "-")</f>
        <v>-</v>
      </c>
      <c r="D45" s="35" t="str">
        <f>IFERROR(IF(VLOOKUP($B45,casostestes[#Data],2)=0,"-",VLOOKUP($B45,casostestes[#Data],2)), "-")</f>
        <v>-</v>
      </c>
      <c r="E45" s="35" t="str">
        <f>IFERROR(IF(VLOOKUP($B45,casostestes[#Data],3)=0,"-",VLOOKUP($B45,casostestes[#Data],3)), "-")</f>
        <v>-</v>
      </c>
      <c r="F45" s="35" t="str">
        <f>IFERROR(IF(VLOOKUP($B45,casostestes[#Data],4)=0,"-",VLOOKUP($B45,casostestes[#Data],4)),"-")</f>
        <v>-</v>
      </c>
      <c r="G45" s="35" t="str">
        <f>IFERROR(IF(VLOOKUP($B45,casostestes[#Data],5)=0,"-",VLOOKUP($B45,casostestes[#Data],5)),"-")</f>
        <v>-</v>
      </c>
      <c r="H45" s="35" t="str">
        <f>IFERROR(IF(VLOOKUP($B45,casostestes[#Data],6)=0,"-",VLOOKUP($B45,casostestes[#Data],6)),"-")</f>
        <v>-</v>
      </c>
      <c r="I45" s="35" t="str">
        <f>IFERROR(IF(VLOOKUP($B45,casostestes[#Data],8)=0,"-",VLOOKUP($B45,casostestes[#Data],8)),"-")</f>
        <v>-</v>
      </c>
      <c r="J45" s="35" t="str">
        <f>IFERROR(IF(VLOOKUP($B45,casostestes[#Data],9)=0,"-",VLOOKUP($B45,casostestes[#Data],9)),"-")</f>
        <v>-</v>
      </c>
      <c r="K45" s="37" t="str">
        <f>IFERROR(IF(VLOOKUP($B45,orlando[#Data],12)=0,"Não executado",VLOOKUP($B45,orlando[#Data],12)),"Não executado")</f>
        <v>Não executado</v>
      </c>
      <c r="L45" s="37" t="str">
        <f>IFERROR(IF(VLOOKUP($B45,mauricio[#Data],12)=0,"Não executado",VLOOKUP($B45,mauricio[#Data],12)),"Não executado")</f>
        <v>Não executado</v>
      </c>
      <c r="M45" s="37" t="str">
        <f>IFERROR(IF(VLOOKUP($B45,Thaisa[#Data],12)=0,"Não executado",VLOOKUP($B45,Thaisa[#Data],12)),"Não executado")</f>
        <v>Não executado</v>
      </c>
      <c r="N45" s="37" t="str">
        <f>IFERROR(IF(VLOOKUP($B45,carlos[#Data],12)=0,"Não executado",VLOOKUP($B45,carlos[#Data],12)),"Não executado")</f>
        <v>Não executado</v>
      </c>
      <c r="O45" s="37" t="str">
        <f>IFERROR(IF(VLOOKUP($B45,Alessandra[#Data],12)=0,"Não executado",VLOOKUP($B45,Alessandra[#Data],12)),"Não executado")</f>
        <v>Não executado</v>
      </c>
      <c r="P45" s="37" t="str">
        <f>IFERROR(IF(VLOOKUP($B45,AnaCarolina[#Data],12)=0,"Não executado",VLOOKUP($B45,AnaCarolina[#Data],12)),"Não executado")</f>
        <v>Não executado</v>
      </c>
      <c r="Q45" s="37" t="str">
        <f>IFERROR(IF(VLOOKUP($B45,wanei[#Data],12)=0,"Não executado",VLOOKUP($B45,wanei[#Data],12)),"Não executado")</f>
        <v>Não executado</v>
      </c>
      <c r="R45" s="37" t="str">
        <f>IFERROR(IF(VLOOKUP($B45,janaina[#Data],12)=0,"Não executado",VLOOKUP($B45,janaina[#Data],12)),"Não executado")</f>
        <v>Não executado</v>
      </c>
      <c r="S45" s="93" t="str">
        <f>IFERROR(IF(VLOOKUP($B28,andreia[#Data],12)=0,"Não executado",VLOOKUP($B28,andreia[#Data],12)),"Não executado")</f>
        <v>Não executado</v>
      </c>
      <c r="T45" s="37" t="str">
        <f>IFERROR(IF(VLOOKUP($B28,homologador[#Data],12)=0,"Não executado",VLOOKUP($B28,homologador[#Data],12)),"Não executado")</f>
        <v>Não executado</v>
      </c>
      <c r="W45" s="13"/>
    </row>
    <row r="46" spans="2:23">
      <c r="B46" s="40" t="str">
        <f>IF(ISERR(casostestes[[#This Row],[ID]]),"-",casostestes[[#This Row],[ID]])</f>
        <v>-</v>
      </c>
      <c r="C46" s="34" t="str">
        <f>IFERROR(IF(VLOOKUP($B46,casostestes[#Data],10)=0,"Não",VLOOKUP($B46,casostestes[#Data],10)), "-")</f>
        <v>-</v>
      </c>
      <c r="D46" s="35" t="str">
        <f>IFERROR(IF(VLOOKUP($B46,casostestes[#Data],2)=0,"-",VLOOKUP($B46,casostestes[#Data],2)), "-")</f>
        <v>-</v>
      </c>
      <c r="E46" s="35" t="str">
        <f>IFERROR(IF(VLOOKUP($B46,casostestes[#Data],3)=0,"-",VLOOKUP($B46,casostestes[#Data],3)), "-")</f>
        <v>-</v>
      </c>
      <c r="F46" s="35" t="str">
        <f>IFERROR(IF(VLOOKUP($B46,casostestes[#Data],4)=0,"-",VLOOKUP($B46,casostestes[#Data],4)),"-")</f>
        <v>-</v>
      </c>
      <c r="G46" s="35" t="str">
        <f>IFERROR(IF(VLOOKUP($B46,casostestes[#Data],5)=0,"-",VLOOKUP($B46,casostestes[#Data],5)),"-")</f>
        <v>-</v>
      </c>
      <c r="H46" s="35" t="str">
        <f>IFERROR(IF(VLOOKUP($B46,casostestes[#Data],6)=0,"-",VLOOKUP($B46,casostestes[#Data],6)),"-")</f>
        <v>-</v>
      </c>
      <c r="I46" s="35" t="str">
        <f>IFERROR(IF(VLOOKUP($B46,casostestes[#Data],8)=0,"-",VLOOKUP($B46,casostestes[#Data],8)),"-")</f>
        <v>-</v>
      </c>
      <c r="J46" s="35" t="str">
        <f>IFERROR(IF(VLOOKUP($B46,casostestes[#Data],9)=0,"-",VLOOKUP($B46,casostestes[#Data],9)),"-")</f>
        <v>-</v>
      </c>
      <c r="K46" s="37" t="str">
        <f>IFERROR(IF(VLOOKUP($B46,orlando[#Data],12)=0,"Não executado",VLOOKUP($B46,orlando[#Data],12)),"Não executado")</f>
        <v>Não executado</v>
      </c>
      <c r="L46" s="37" t="str">
        <f>IFERROR(IF(VLOOKUP($B46,mauricio[#Data],12)=0,"Não executado",VLOOKUP($B46,mauricio[#Data],12)),"Não executado")</f>
        <v>Não executado</v>
      </c>
      <c r="M46" s="37" t="str">
        <f>IFERROR(IF(VLOOKUP($B46,Thaisa[#Data],12)=0,"Não executado",VLOOKUP($B46,Thaisa[#Data],12)),"Não executado")</f>
        <v>Não executado</v>
      </c>
      <c r="N46" s="37" t="str">
        <f>IFERROR(IF(VLOOKUP($B46,carlos[#Data],12)=0,"Não executado",VLOOKUP($B46,carlos[#Data],12)),"Não executado")</f>
        <v>Não executado</v>
      </c>
      <c r="O46" s="37" t="str">
        <f>IFERROR(IF(VLOOKUP($B46,Alessandra[#Data],12)=0,"Não executado",VLOOKUP($B46,Alessandra[#Data],12)),"Não executado")</f>
        <v>Não executado</v>
      </c>
      <c r="P46" s="37" t="str">
        <f>IFERROR(IF(VLOOKUP($B46,AnaCarolina[#Data],12)=0,"Não executado",VLOOKUP($B46,AnaCarolina[#Data],12)),"Não executado")</f>
        <v>Não executado</v>
      </c>
      <c r="Q46" s="37" t="str">
        <f>IFERROR(IF(VLOOKUP($B46,wanei[#Data],12)=0,"Não executado",VLOOKUP($B46,wanei[#Data],12)),"Não executado")</f>
        <v>Não executado</v>
      </c>
      <c r="R46" s="37" t="str">
        <f>IFERROR(IF(VLOOKUP($B46,janaina[#Data],12)=0,"Não executado",VLOOKUP($B46,janaina[#Data],12)),"Não executado")</f>
        <v>Não executado</v>
      </c>
      <c r="S46" s="93" t="str">
        <f>IFERROR(IF(VLOOKUP($B29,andreia[#Data],12)=0,"Não executado",VLOOKUP($B29,andreia[#Data],12)),"Não executado")</f>
        <v>Não executado</v>
      </c>
      <c r="T46" s="37" t="str">
        <f>IFERROR(IF(VLOOKUP($B29,homologador[#Data],12)=0,"Não executado",VLOOKUP($B29,homologador[#Data],12)),"Não executado")</f>
        <v>Não executado</v>
      </c>
      <c r="W46" s="13"/>
    </row>
    <row r="47" spans="2:23">
      <c r="B47" s="40" t="str">
        <f>IF(ISERR(casostestes[[#This Row],[ID]]),"-",casostestes[[#This Row],[ID]])</f>
        <v>-</v>
      </c>
      <c r="C47" s="34" t="str">
        <f>IFERROR(IF(VLOOKUP($B47,casostestes[#Data],10)=0,"Não",VLOOKUP($B47,casostestes[#Data],10)), "-")</f>
        <v>-</v>
      </c>
      <c r="D47" s="35" t="str">
        <f>IFERROR(IF(VLOOKUP($B47,casostestes[#Data],2)=0,"-",VLOOKUP($B47,casostestes[#Data],2)), "-")</f>
        <v>-</v>
      </c>
      <c r="E47" s="35" t="str">
        <f>IFERROR(IF(VLOOKUP($B47,casostestes[#Data],3)=0,"-",VLOOKUP($B47,casostestes[#Data],3)), "-")</f>
        <v>-</v>
      </c>
      <c r="F47" s="35" t="str">
        <f>IFERROR(IF(VLOOKUP($B47,casostestes[#Data],4)=0,"-",VLOOKUP($B47,casostestes[#Data],4)),"-")</f>
        <v>-</v>
      </c>
      <c r="G47" s="35" t="str">
        <f>IFERROR(IF(VLOOKUP($B47,casostestes[#Data],5)=0,"-",VLOOKUP($B47,casostestes[#Data],5)),"-")</f>
        <v>-</v>
      </c>
      <c r="H47" s="35" t="str">
        <f>IFERROR(IF(VLOOKUP($B47,casostestes[#Data],6)=0,"-",VLOOKUP($B47,casostestes[#Data],6)),"-")</f>
        <v>-</v>
      </c>
      <c r="I47" s="35" t="str">
        <f>IFERROR(IF(VLOOKUP($B47,casostestes[#Data],8)=0,"-",VLOOKUP($B47,casostestes[#Data],8)),"-")</f>
        <v>-</v>
      </c>
      <c r="J47" s="35" t="str">
        <f>IFERROR(IF(VLOOKUP($B47,casostestes[#Data],9)=0,"-",VLOOKUP($B47,casostestes[#Data],9)),"-")</f>
        <v>-</v>
      </c>
      <c r="K47" s="37" t="str">
        <f>IFERROR(IF(VLOOKUP($B47,orlando[#Data],12)=0,"Não executado",VLOOKUP($B47,orlando[#Data],12)),"Não executado")</f>
        <v>Não executado</v>
      </c>
      <c r="L47" s="37" t="str">
        <f>IFERROR(IF(VLOOKUP($B47,mauricio[#Data],12)=0,"Não executado",VLOOKUP($B47,mauricio[#Data],12)),"Não executado")</f>
        <v>Não executado</v>
      </c>
      <c r="M47" s="37" t="str">
        <f>IFERROR(IF(VLOOKUP($B47,Thaisa[#Data],12)=0,"Não executado",VLOOKUP($B47,Thaisa[#Data],12)),"Não executado")</f>
        <v>Não executado</v>
      </c>
      <c r="N47" s="37" t="str">
        <f>IFERROR(IF(VLOOKUP($B47,carlos[#Data],12)=0,"Não executado",VLOOKUP($B47,carlos[#Data],12)),"Não executado")</f>
        <v>Não executado</v>
      </c>
      <c r="O47" s="37" t="str">
        <f>IFERROR(IF(VLOOKUP($B47,Alessandra[#Data],12)=0,"Não executado",VLOOKUP($B47,Alessandra[#Data],12)),"Não executado")</f>
        <v>Não executado</v>
      </c>
      <c r="P47" s="37" t="str">
        <f>IFERROR(IF(VLOOKUP($B47,AnaCarolina[#Data],12)=0,"Não executado",VLOOKUP($B47,AnaCarolina[#Data],12)),"Não executado")</f>
        <v>Não executado</v>
      </c>
      <c r="Q47" s="37" t="str">
        <f>IFERROR(IF(VLOOKUP($B47,wanei[#Data],12)=0,"Não executado",VLOOKUP($B47,wanei[#Data],12)),"Não executado")</f>
        <v>Não executado</v>
      </c>
      <c r="R47" s="37" t="str">
        <f>IFERROR(IF(VLOOKUP($B47,janaina[#Data],12)=0,"Não executado",VLOOKUP($B47,janaina[#Data],12)),"Não executado")</f>
        <v>Não executado</v>
      </c>
      <c r="S47" s="93" t="str">
        <f>IFERROR(IF(VLOOKUP($B30,andreia[#Data],12)=0,"Não executado",VLOOKUP($B30,andreia[#Data],12)),"Não executado")</f>
        <v>Não executado</v>
      </c>
      <c r="T47" s="37" t="str">
        <f>IFERROR(IF(VLOOKUP($B30,homologador[#Data],12)=0,"Não executado",VLOOKUP($B30,homologador[#Data],12)),"Não executado")</f>
        <v>Não executado</v>
      </c>
      <c r="W47" s="13"/>
    </row>
    <row r="48" spans="2:23">
      <c r="B48" s="40" t="str">
        <f>IF(ISERR(casostestes[[#This Row],[ID]]),"-",casostestes[[#This Row],[ID]])</f>
        <v>-</v>
      </c>
      <c r="C48" s="34" t="str">
        <f>IFERROR(IF(VLOOKUP($B48,casostestes[#Data],10)=0,"Não",VLOOKUP($B48,casostestes[#Data],10)), "-")</f>
        <v>-</v>
      </c>
      <c r="D48" s="35" t="str">
        <f>IFERROR(IF(VLOOKUP($B48,casostestes[#Data],2)=0,"-",VLOOKUP($B48,casostestes[#Data],2)), "-")</f>
        <v>-</v>
      </c>
      <c r="E48" s="35" t="str">
        <f>IFERROR(IF(VLOOKUP($B48,casostestes[#Data],3)=0,"-",VLOOKUP($B48,casostestes[#Data],3)), "-")</f>
        <v>-</v>
      </c>
      <c r="F48" s="35" t="str">
        <f>IFERROR(IF(VLOOKUP($B48,casostestes[#Data],4)=0,"-",VLOOKUP($B48,casostestes[#Data],4)),"-")</f>
        <v>-</v>
      </c>
      <c r="G48" s="35" t="str">
        <f>IFERROR(IF(VLOOKUP($B48,casostestes[#Data],5)=0,"-",VLOOKUP($B48,casostestes[#Data],5)),"-")</f>
        <v>-</v>
      </c>
      <c r="H48" s="35" t="str">
        <f>IFERROR(IF(VLOOKUP($B48,casostestes[#Data],6)=0,"-",VLOOKUP($B48,casostestes[#Data],6)),"-")</f>
        <v>-</v>
      </c>
      <c r="I48" s="35" t="str">
        <f>IFERROR(IF(VLOOKUP($B48,casostestes[#Data],8)=0,"-",VLOOKUP($B48,casostestes[#Data],8)),"-")</f>
        <v>-</v>
      </c>
      <c r="J48" s="35" t="str">
        <f>IFERROR(IF(VLOOKUP($B48,casostestes[#Data],9)=0,"-",VLOOKUP($B48,casostestes[#Data],9)),"-")</f>
        <v>-</v>
      </c>
      <c r="K48" s="37" t="str">
        <f>IFERROR(IF(VLOOKUP($B48,orlando[#Data],12)=0,"Não executado",VLOOKUP($B48,orlando[#Data],12)),"Não executado")</f>
        <v>Não executado</v>
      </c>
      <c r="L48" s="37" t="str">
        <f>IFERROR(IF(VLOOKUP($B48,mauricio[#Data],12)=0,"Não executado",VLOOKUP($B48,mauricio[#Data],12)),"Não executado")</f>
        <v>Não executado</v>
      </c>
      <c r="M48" s="37" t="str">
        <f>IFERROR(IF(VLOOKUP($B48,Thaisa[#Data],12)=0,"Não executado",VLOOKUP($B48,Thaisa[#Data],12)),"Não executado")</f>
        <v>Não executado</v>
      </c>
      <c r="N48" s="37" t="str">
        <f>IFERROR(IF(VLOOKUP($B48,carlos[#Data],12)=0,"Não executado",VLOOKUP($B48,carlos[#Data],12)),"Não executado")</f>
        <v>Não executado</v>
      </c>
      <c r="O48" s="37" t="str">
        <f>IFERROR(IF(VLOOKUP($B48,Alessandra[#Data],12)=0,"Não executado",VLOOKUP($B48,Alessandra[#Data],12)),"Não executado")</f>
        <v>Não executado</v>
      </c>
      <c r="P48" s="37" t="str">
        <f>IFERROR(IF(VLOOKUP($B48,AnaCarolina[#Data],12)=0,"Não executado",VLOOKUP($B48,AnaCarolina[#Data],12)),"Não executado")</f>
        <v>Não executado</v>
      </c>
      <c r="Q48" s="37" t="str">
        <f>IFERROR(IF(VLOOKUP($B48,wanei[#Data],12)=0,"Não executado",VLOOKUP($B48,wanei[#Data],12)),"Não executado")</f>
        <v>Não executado</v>
      </c>
      <c r="R48" s="37" t="str">
        <f>IFERROR(IF(VLOOKUP($B48,janaina[#Data],12)=0,"Não executado",VLOOKUP($B48,janaina[#Data],12)),"Não executado")</f>
        <v>Não executado</v>
      </c>
      <c r="S48" s="93" t="str">
        <f>IFERROR(IF(VLOOKUP($B31,andreia[#Data],12)=0,"Não executado",VLOOKUP($B31,andreia[#Data],12)),"Não executado")</f>
        <v>Não executado</v>
      </c>
      <c r="T48" s="37" t="str">
        <f>IFERROR(IF(VLOOKUP($B31,homologador[#Data],12)=0,"Não executado",VLOOKUP($B31,homologador[#Data],12)),"Não executado")</f>
        <v>Não executado</v>
      </c>
      <c r="W48" s="13"/>
    </row>
    <row r="49" spans="2:23">
      <c r="B49" s="40" t="str">
        <f>IF(ISERR(casostestes[[#This Row],[ID]]),"-",casostestes[[#This Row],[ID]])</f>
        <v>-</v>
      </c>
      <c r="C49" s="34" t="str">
        <f>IFERROR(IF(VLOOKUP($B49,casostestes[#Data],10)=0,"Não",VLOOKUP($B49,casostestes[#Data],10)), "-")</f>
        <v>-</v>
      </c>
      <c r="D49" s="35" t="str">
        <f>IFERROR(IF(VLOOKUP($B49,casostestes[#Data],2)=0,"-",VLOOKUP($B49,casostestes[#Data],2)), "-")</f>
        <v>-</v>
      </c>
      <c r="E49" s="35" t="str">
        <f>IFERROR(IF(VLOOKUP($B49,casostestes[#Data],3)=0,"-",VLOOKUP($B49,casostestes[#Data],3)), "-")</f>
        <v>-</v>
      </c>
      <c r="F49" s="35" t="str">
        <f>IFERROR(IF(VLOOKUP($B49,casostestes[#Data],4)=0,"-",VLOOKUP($B49,casostestes[#Data],4)),"-")</f>
        <v>-</v>
      </c>
      <c r="G49" s="35" t="str">
        <f>IFERROR(IF(VLOOKUP($B49,casostestes[#Data],5)=0,"-",VLOOKUP($B49,casostestes[#Data],5)),"-")</f>
        <v>-</v>
      </c>
      <c r="H49" s="35" t="str">
        <f>IFERROR(IF(VLOOKUP($B49,casostestes[#Data],6)=0,"-",VLOOKUP($B49,casostestes[#Data],6)),"-")</f>
        <v>-</v>
      </c>
      <c r="I49" s="35" t="str">
        <f>IFERROR(IF(VLOOKUP($B49,casostestes[#Data],8)=0,"-",VLOOKUP($B49,casostestes[#Data],8)),"-")</f>
        <v>-</v>
      </c>
      <c r="J49" s="35" t="str">
        <f>IFERROR(IF(VLOOKUP($B49,casostestes[#Data],9)=0,"-",VLOOKUP($B49,casostestes[#Data],9)),"-")</f>
        <v>-</v>
      </c>
      <c r="K49" s="37" t="str">
        <f>IFERROR(IF(VLOOKUP($B49,orlando[#Data],12)=0,"Não executado",VLOOKUP($B49,orlando[#Data],12)),"Não executado")</f>
        <v>Não executado</v>
      </c>
      <c r="L49" s="37" t="str">
        <f>IFERROR(IF(VLOOKUP($B49,mauricio[#Data],12)=0,"Não executado",VLOOKUP($B49,mauricio[#Data],12)),"Não executado")</f>
        <v>Não executado</v>
      </c>
      <c r="M49" s="37" t="str">
        <f>IFERROR(IF(VLOOKUP($B49,Thaisa[#Data],12)=0,"Não executado",VLOOKUP($B49,Thaisa[#Data],12)),"Não executado")</f>
        <v>Não executado</v>
      </c>
      <c r="N49" s="37" t="str">
        <f>IFERROR(IF(VLOOKUP($B49,carlos[#Data],12)=0,"Não executado",VLOOKUP($B49,carlos[#Data],12)),"Não executado")</f>
        <v>Não executado</v>
      </c>
      <c r="O49" s="37" t="str">
        <f>IFERROR(IF(VLOOKUP($B49,Alessandra[#Data],12)=0,"Não executado",VLOOKUP($B49,Alessandra[#Data],12)),"Não executado")</f>
        <v>Não executado</v>
      </c>
      <c r="P49" s="37" t="str">
        <f>IFERROR(IF(VLOOKUP($B49,AnaCarolina[#Data],12)=0,"Não executado",VLOOKUP($B49,AnaCarolina[#Data],12)),"Não executado")</f>
        <v>Não executado</v>
      </c>
      <c r="Q49" s="37" t="str">
        <f>IFERROR(IF(VLOOKUP($B49,wanei[#Data],12)=0,"Não executado",VLOOKUP($B49,wanei[#Data],12)),"Não executado")</f>
        <v>Não executado</v>
      </c>
      <c r="R49" s="37" t="str">
        <f>IFERROR(IF(VLOOKUP($B49,janaina[#Data],12)=0,"Não executado",VLOOKUP($B49,janaina[#Data],12)),"Não executado")</f>
        <v>Não executado</v>
      </c>
      <c r="S49" s="93" t="str">
        <f>IFERROR(IF(VLOOKUP($B32,andreia[#Data],12)=0,"Não executado",VLOOKUP($B32,andreia[#Data],12)),"Não executado")</f>
        <v>Não executado</v>
      </c>
      <c r="T49" s="37" t="str">
        <f>IFERROR(IF(VLOOKUP($B32,homologador[#Data],12)=0,"Não executado",VLOOKUP($B32,homologador[#Data],12)),"Não executado")</f>
        <v>Não executado</v>
      </c>
      <c r="W49" s="13"/>
    </row>
    <row r="50" spans="2:23">
      <c r="B50" s="40" t="str">
        <f>IF(ISERR(casostestes[[#This Row],[ID]]),"-",casostestes[[#This Row],[ID]])</f>
        <v>-</v>
      </c>
      <c r="C50" s="34" t="str">
        <f>IFERROR(IF(VLOOKUP($B50,casostestes[#Data],10)=0,"Não",VLOOKUP($B50,casostestes[#Data],10)), "-")</f>
        <v>-</v>
      </c>
      <c r="D50" s="35" t="str">
        <f>IFERROR(IF(VLOOKUP($B50,casostestes[#Data],2)=0,"-",VLOOKUP($B50,casostestes[#Data],2)), "-")</f>
        <v>-</v>
      </c>
      <c r="E50" s="35" t="str">
        <f>IFERROR(IF(VLOOKUP($B50,casostestes[#Data],3)=0,"-",VLOOKUP($B50,casostestes[#Data],3)), "-")</f>
        <v>-</v>
      </c>
      <c r="F50" s="35" t="str">
        <f>IFERROR(IF(VLOOKUP($B50,casostestes[#Data],4)=0,"-",VLOOKUP($B50,casostestes[#Data],4)),"-")</f>
        <v>-</v>
      </c>
      <c r="G50" s="35" t="str">
        <f>IFERROR(IF(VLOOKUP($B50,casostestes[#Data],5)=0,"-",VLOOKUP($B50,casostestes[#Data],5)),"-")</f>
        <v>-</v>
      </c>
      <c r="H50" s="35" t="str">
        <f>IFERROR(IF(VLOOKUP($B50,casostestes[#Data],6)=0,"-",VLOOKUP($B50,casostestes[#Data],6)),"-")</f>
        <v>-</v>
      </c>
      <c r="I50" s="35" t="str">
        <f>IFERROR(IF(VLOOKUP($B50,casostestes[#Data],8)=0,"-",VLOOKUP($B50,casostestes[#Data],8)),"-")</f>
        <v>-</v>
      </c>
      <c r="J50" s="35" t="str">
        <f>IFERROR(IF(VLOOKUP($B50,casostestes[#Data],9)=0,"-",VLOOKUP($B50,casostestes[#Data],9)),"-")</f>
        <v>-</v>
      </c>
      <c r="K50" s="37" t="str">
        <f>IFERROR(IF(VLOOKUP($B50,orlando[#Data],12)=0,"Não executado",VLOOKUP($B50,orlando[#Data],12)),"Não executado")</f>
        <v>Não executado</v>
      </c>
      <c r="L50" s="37" t="str">
        <f>IFERROR(IF(VLOOKUP($B50,mauricio[#Data],12)=0,"Não executado",VLOOKUP($B50,mauricio[#Data],12)),"Não executado")</f>
        <v>Não executado</v>
      </c>
      <c r="M50" s="37" t="str">
        <f>IFERROR(IF(VLOOKUP($B50,Thaisa[#Data],12)=0,"Não executado",VLOOKUP($B50,Thaisa[#Data],12)),"Não executado")</f>
        <v>Não executado</v>
      </c>
      <c r="N50" s="37" t="str">
        <f>IFERROR(IF(VLOOKUP($B50,carlos[#Data],12)=0,"Não executado",VLOOKUP($B50,carlos[#Data],12)),"Não executado")</f>
        <v>Não executado</v>
      </c>
      <c r="O50" s="37" t="str">
        <f>IFERROR(IF(VLOOKUP($B50,Alessandra[#Data],12)=0,"Não executado",VLOOKUP($B50,Alessandra[#Data],12)),"Não executado")</f>
        <v>Não executado</v>
      </c>
      <c r="P50" s="37" t="str">
        <f>IFERROR(IF(VLOOKUP($B50,AnaCarolina[#Data],12)=0,"Não executado",VLOOKUP($B50,AnaCarolina[#Data],12)),"Não executado")</f>
        <v>Não executado</v>
      </c>
      <c r="Q50" s="37" t="str">
        <f>IFERROR(IF(VLOOKUP($B50,wanei[#Data],12)=0,"Não executado",VLOOKUP($B50,wanei[#Data],12)),"Não executado")</f>
        <v>Não executado</v>
      </c>
      <c r="R50" s="37" t="str">
        <f>IFERROR(IF(VLOOKUP($B50,janaina[#Data],12)=0,"Não executado",VLOOKUP($B50,janaina[#Data],12)),"Não executado")</f>
        <v>Não executado</v>
      </c>
      <c r="S50" s="93" t="str">
        <f>IFERROR(IF(VLOOKUP($B33,andreia[#Data],12)=0,"Não executado",VLOOKUP($B33,andreia[#Data],12)),"Não executado")</f>
        <v>Não executado</v>
      </c>
      <c r="T50" s="37" t="str">
        <f>IFERROR(IF(VLOOKUP($B33,homologador[#Data],12)=0,"Não executado",VLOOKUP($B33,homologador[#Data],12)),"Não executado")</f>
        <v>Não executado</v>
      </c>
      <c r="W50" s="13"/>
    </row>
    <row r="51" spans="2:23">
      <c r="B51" s="40" t="str">
        <f>IF(ISERR(casostestes[[#This Row],[ID]]),"-",casostestes[[#This Row],[ID]])</f>
        <v>-</v>
      </c>
      <c r="C51" s="34" t="str">
        <f>IFERROR(IF(VLOOKUP($B51,casostestes[#Data],10)=0,"Não",VLOOKUP($B51,casostestes[#Data],10)), "-")</f>
        <v>-</v>
      </c>
      <c r="D51" s="35" t="str">
        <f>IFERROR(IF(VLOOKUP($B51,casostestes[#Data],2)=0,"-",VLOOKUP($B51,casostestes[#Data],2)), "-")</f>
        <v>-</v>
      </c>
      <c r="E51" s="35" t="str">
        <f>IFERROR(IF(VLOOKUP($B51,casostestes[#Data],3)=0,"-",VLOOKUP($B51,casostestes[#Data],3)), "-")</f>
        <v>-</v>
      </c>
      <c r="F51" s="35" t="str">
        <f>IFERROR(IF(VLOOKUP($B51,casostestes[#Data],4)=0,"-",VLOOKUP($B51,casostestes[#Data],4)),"-")</f>
        <v>-</v>
      </c>
      <c r="G51" s="35" t="str">
        <f>IFERROR(IF(VLOOKUP($B51,casostestes[#Data],5)=0,"-",VLOOKUP($B51,casostestes[#Data],5)),"-")</f>
        <v>-</v>
      </c>
      <c r="H51" s="35" t="str">
        <f>IFERROR(IF(VLOOKUP($B51,casostestes[#Data],6)=0,"-",VLOOKUP($B51,casostestes[#Data],6)),"-")</f>
        <v>-</v>
      </c>
      <c r="I51" s="35" t="str">
        <f>IFERROR(IF(VLOOKUP($B51,casostestes[#Data],8)=0,"-",VLOOKUP($B51,casostestes[#Data],8)),"-")</f>
        <v>-</v>
      </c>
      <c r="J51" s="35" t="str">
        <f>IFERROR(IF(VLOOKUP($B51,casostestes[#Data],9)=0,"-",VLOOKUP($B51,casostestes[#Data],9)),"-")</f>
        <v>-</v>
      </c>
      <c r="K51" s="37" t="str">
        <f>IFERROR(IF(VLOOKUP($B51,orlando[#Data],12)=0,"Não executado",VLOOKUP($B51,orlando[#Data],12)),"Não executado")</f>
        <v>Não executado</v>
      </c>
      <c r="L51" s="37" t="str">
        <f>IFERROR(IF(VLOOKUP($B51,mauricio[#Data],12)=0,"Não executado",VLOOKUP($B51,mauricio[#Data],12)),"Não executado")</f>
        <v>Não executado</v>
      </c>
      <c r="M51" s="37" t="str">
        <f>IFERROR(IF(VLOOKUP($B51,Thaisa[#Data],12)=0,"Não executado",VLOOKUP($B51,Thaisa[#Data],12)),"Não executado")</f>
        <v>Não executado</v>
      </c>
      <c r="N51" s="37" t="str">
        <f>IFERROR(IF(VLOOKUP($B51,carlos[#Data],12)=0,"Não executado",VLOOKUP($B51,carlos[#Data],12)),"Não executado")</f>
        <v>Não executado</v>
      </c>
      <c r="O51" s="37" t="str">
        <f>IFERROR(IF(VLOOKUP($B51,Alessandra[#Data],12)=0,"Não executado",VLOOKUP($B51,Alessandra[#Data],12)),"Não executado")</f>
        <v>Não executado</v>
      </c>
      <c r="P51" s="37" t="str">
        <f>IFERROR(IF(VLOOKUP($B51,AnaCarolina[#Data],12)=0,"Não executado",VLOOKUP($B51,AnaCarolina[#Data],12)),"Não executado")</f>
        <v>Não executado</v>
      </c>
      <c r="Q51" s="37" t="str">
        <f>IFERROR(IF(VLOOKUP($B51,wanei[#Data],12)=0,"Não executado",VLOOKUP($B51,wanei[#Data],12)),"Não executado")</f>
        <v>Não executado</v>
      </c>
      <c r="R51" s="37" t="str">
        <f>IFERROR(IF(VLOOKUP($B51,janaina[#Data],12)=0,"Não executado",VLOOKUP($B51,janaina[#Data],12)),"Não executado")</f>
        <v>Não executado</v>
      </c>
      <c r="S51" s="93" t="str">
        <f>IFERROR(IF(VLOOKUP($B34,andreia[#Data],12)=0,"Não executado",VLOOKUP($B34,andreia[#Data],12)),"Não executado")</f>
        <v>Não executado</v>
      </c>
      <c r="T51" s="37" t="str">
        <f>IFERROR(IF(VLOOKUP($B34,homologador[#Data],12)=0,"Não executado",VLOOKUP($B34,homologador[#Data],12)),"Não executado")</f>
        <v>Não executado</v>
      </c>
      <c r="W51" s="13"/>
    </row>
    <row r="52" spans="2:23">
      <c r="B52" s="40" t="str">
        <f>IF(ISERR(casostestes[[#This Row],[ID]]),"-",casostestes[[#This Row],[ID]])</f>
        <v>-</v>
      </c>
      <c r="C52" s="34" t="str">
        <f>IFERROR(IF(VLOOKUP($B52,casostestes[#Data],10)=0,"Não",VLOOKUP($B52,casostestes[#Data],10)), "-")</f>
        <v>-</v>
      </c>
      <c r="D52" s="35" t="str">
        <f>IFERROR(IF(VLOOKUP($B52,casostestes[#Data],2)=0,"-",VLOOKUP($B52,casostestes[#Data],2)), "-")</f>
        <v>-</v>
      </c>
      <c r="E52" s="35" t="str">
        <f>IFERROR(IF(VLOOKUP($B52,casostestes[#Data],3)=0,"-",VLOOKUP($B52,casostestes[#Data],3)), "-")</f>
        <v>-</v>
      </c>
      <c r="F52" s="35" t="str">
        <f>IFERROR(IF(VLOOKUP($B52,casostestes[#Data],4)=0,"-",VLOOKUP($B52,casostestes[#Data],4)),"-")</f>
        <v>-</v>
      </c>
      <c r="G52" s="35" t="str">
        <f>IFERROR(IF(VLOOKUP($B52,casostestes[#Data],5)=0,"-",VLOOKUP($B52,casostestes[#Data],5)),"-")</f>
        <v>-</v>
      </c>
      <c r="H52" s="35" t="str">
        <f>IFERROR(IF(VLOOKUP($B52,casostestes[#Data],6)=0,"-",VLOOKUP($B52,casostestes[#Data],6)),"-")</f>
        <v>-</v>
      </c>
      <c r="I52" s="35" t="str">
        <f>IFERROR(IF(VLOOKUP($B52,casostestes[#Data],8)=0,"-",VLOOKUP($B52,casostestes[#Data],8)),"-")</f>
        <v>-</v>
      </c>
      <c r="J52" s="35" t="str">
        <f>IFERROR(IF(VLOOKUP($B52,casostestes[#Data],9)=0,"-",VLOOKUP($B52,casostestes[#Data],9)),"-")</f>
        <v>-</v>
      </c>
      <c r="K52" s="37" t="str">
        <f>IFERROR(IF(VLOOKUP($B52,orlando[#Data],12)=0,"Não executado",VLOOKUP($B52,orlando[#Data],12)),"Não executado")</f>
        <v>Não executado</v>
      </c>
      <c r="L52" s="37" t="str">
        <f>IFERROR(IF(VLOOKUP($B52,mauricio[#Data],12)=0,"Não executado",VLOOKUP($B52,mauricio[#Data],12)),"Não executado")</f>
        <v>Não executado</v>
      </c>
      <c r="M52" s="37" t="str">
        <f>IFERROR(IF(VLOOKUP($B52,Thaisa[#Data],12)=0,"Não executado",VLOOKUP($B52,Thaisa[#Data],12)),"Não executado")</f>
        <v>Não executado</v>
      </c>
      <c r="N52" s="37" t="str">
        <f>IFERROR(IF(VLOOKUP($B52,carlos[#Data],12)=0,"Não executado",VLOOKUP($B52,carlos[#Data],12)),"Não executado")</f>
        <v>Não executado</v>
      </c>
      <c r="O52" s="37" t="str">
        <f>IFERROR(IF(VLOOKUP($B52,Alessandra[#Data],12)=0,"Não executado",VLOOKUP($B52,Alessandra[#Data],12)),"Não executado")</f>
        <v>Não executado</v>
      </c>
      <c r="P52" s="37" t="str">
        <f>IFERROR(IF(VLOOKUP($B52,AnaCarolina[#Data],12)=0,"Não executado",VLOOKUP($B52,AnaCarolina[#Data],12)),"Não executado")</f>
        <v>Não executado</v>
      </c>
      <c r="Q52" s="37" t="str">
        <f>IFERROR(IF(VLOOKUP($B52,wanei[#Data],12)=0,"Não executado",VLOOKUP($B52,wanei[#Data],12)),"Não executado")</f>
        <v>Não executado</v>
      </c>
      <c r="R52" s="37" t="str">
        <f>IFERROR(IF(VLOOKUP($B52,janaina[#Data],12)=0,"Não executado",VLOOKUP($B52,janaina[#Data],12)),"Não executado")</f>
        <v>Não executado</v>
      </c>
      <c r="S52" s="93" t="str">
        <f>IFERROR(IF(VLOOKUP($B35,andreia[#Data],12)=0,"Não executado",VLOOKUP($B35,andreia[#Data],12)),"Não executado")</f>
        <v>Não executado</v>
      </c>
      <c r="T52" s="37" t="str">
        <f>IFERROR(IF(VLOOKUP($B35,homologador[#Data],12)=0,"Não executado",VLOOKUP($B35,homologador[#Data],12)),"Não executado")</f>
        <v>Não executado</v>
      </c>
      <c r="W52" s="13"/>
    </row>
    <row r="53" spans="2:23">
      <c r="B53" s="40" t="str">
        <f>IF(ISERR(casostestes[[#This Row],[ID]]),"-",casostestes[[#This Row],[ID]])</f>
        <v>-</v>
      </c>
      <c r="C53" s="34" t="str">
        <f>IFERROR(IF(VLOOKUP($B53,casostestes[#Data],10)=0,"Não",VLOOKUP($B53,casostestes[#Data],10)), "-")</f>
        <v>-</v>
      </c>
      <c r="D53" s="35" t="str">
        <f>IFERROR(IF(VLOOKUP($B53,casostestes[#Data],2)=0,"-",VLOOKUP($B53,casostestes[#Data],2)), "-")</f>
        <v>-</v>
      </c>
      <c r="E53" s="35" t="str">
        <f>IFERROR(IF(VLOOKUP($B53,casostestes[#Data],3)=0,"-",VLOOKUP($B53,casostestes[#Data],3)), "-")</f>
        <v>-</v>
      </c>
      <c r="F53" s="35" t="str">
        <f>IFERROR(IF(VLOOKUP($B53,casostestes[#Data],4)=0,"-",VLOOKUP($B53,casostestes[#Data],4)),"-")</f>
        <v>-</v>
      </c>
      <c r="G53" s="35" t="str">
        <f>IFERROR(IF(VLOOKUP($B53,casostestes[#Data],5)=0,"-",VLOOKUP($B53,casostestes[#Data],5)),"-")</f>
        <v>-</v>
      </c>
      <c r="H53" s="35" t="str">
        <f>IFERROR(IF(VLOOKUP($B53,casostestes[#Data],6)=0,"-",VLOOKUP($B53,casostestes[#Data],6)),"-")</f>
        <v>-</v>
      </c>
      <c r="I53" s="35" t="str">
        <f>IFERROR(IF(VLOOKUP($B53,casostestes[#Data],8)=0,"-",VLOOKUP($B53,casostestes[#Data],8)),"-")</f>
        <v>-</v>
      </c>
      <c r="J53" s="35" t="str">
        <f>IFERROR(IF(VLOOKUP($B53,casostestes[#Data],9)=0,"-",VLOOKUP($B53,casostestes[#Data],9)),"-")</f>
        <v>-</v>
      </c>
      <c r="K53" s="37" t="str">
        <f>IFERROR(IF(VLOOKUP($B53,orlando[#Data],12)=0,"Não executado",VLOOKUP($B53,orlando[#Data],12)),"Não executado")</f>
        <v>Não executado</v>
      </c>
      <c r="L53" s="37" t="str">
        <f>IFERROR(IF(VLOOKUP($B53,mauricio[#Data],12)=0,"Não executado",VLOOKUP($B53,mauricio[#Data],12)),"Não executado")</f>
        <v>Não executado</v>
      </c>
      <c r="M53" s="37" t="str">
        <f>IFERROR(IF(VLOOKUP($B53,Thaisa[#Data],12)=0,"Não executado",VLOOKUP($B53,Thaisa[#Data],12)),"Não executado")</f>
        <v>Não executado</v>
      </c>
      <c r="N53" s="37" t="str">
        <f>IFERROR(IF(VLOOKUP($B53,carlos[#Data],12)=0,"Não executado",VLOOKUP($B53,carlos[#Data],12)),"Não executado")</f>
        <v>Não executado</v>
      </c>
      <c r="O53" s="37" t="str">
        <f>IFERROR(IF(VLOOKUP($B53,Alessandra[#Data],12)=0,"Não executado",VLOOKUP($B53,Alessandra[#Data],12)),"Não executado")</f>
        <v>Não executado</v>
      </c>
      <c r="P53" s="37" t="str">
        <f>IFERROR(IF(VLOOKUP($B53,AnaCarolina[#Data],12)=0,"Não executado",VLOOKUP($B53,AnaCarolina[#Data],12)),"Não executado")</f>
        <v>Não executado</v>
      </c>
      <c r="Q53" s="37" t="str">
        <f>IFERROR(IF(VLOOKUP($B53,wanei[#Data],12)=0,"Não executado",VLOOKUP($B53,wanei[#Data],12)),"Não executado")</f>
        <v>Não executado</v>
      </c>
      <c r="R53" s="37" t="str">
        <f>IFERROR(IF(VLOOKUP($B53,janaina[#Data],12)=0,"Não executado",VLOOKUP($B53,janaina[#Data],12)),"Não executado")</f>
        <v>Não executado</v>
      </c>
      <c r="S53" s="93" t="str">
        <f>IFERROR(IF(VLOOKUP($B36,andreia[#Data],12)=0,"Não executado",VLOOKUP($B36,andreia[#Data],12)),"Não executado")</f>
        <v>Não executado</v>
      </c>
      <c r="T53" s="37" t="str">
        <f>IFERROR(IF(VLOOKUP($B36,homologador[#Data],12)=0,"Não executado",VLOOKUP($B36,homologador[#Data],12)),"Não executado")</f>
        <v>Não executado</v>
      </c>
      <c r="W53" s="13"/>
    </row>
    <row r="54" spans="2:23">
      <c r="B54" s="40" t="str">
        <f>IF(ISERR(casostestes[[#This Row],[ID]]),"-",casostestes[[#This Row],[ID]])</f>
        <v>-</v>
      </c>
      <c r="C54" s="34" t="str">
        <f>IFERROR(IF(VLOOKUP($B54,casostestes[#Data],10)=0,"Não",VLOOKUP($B54,casostestes[#Data],10)), "-")</f>
        <v>-</v>
      </c>
      <c r="D54" s="35" t="str">
        <f>IFERROR(IF(VLOOKUP($B54,casostestes[#Data],2)=0,"-",VLOOKUP($B54,casostestes[#Data],2)), "-")</f>
        <v>-</v>
      </c>
      <c r="E54" s="35" t="str">
        <f>IFERROR(IF(VLOOKUP($B54,casostestes[#Data],3)=0,"-",VLOOKUP($B54,casostestes[#Data],3)), "-")</f>
        <v>-</v>
      </c>
      <c r="F54" s="35" t="str">
        <f>IFERROR(IF(VLOOKUP($B54,casostestes[#Data],4)=0,"-",VLOOKUP($B54,casostestes[#Data],4)),"-")</f>
        <v>-</v>
      </c>
      <c r="G54" s="35" t="str">
        <f>IFERROR(IF(VLOOKUP($B54,casostestes[#Data],5)=0,"-",VLOOKUP($B54,casostestes[#Data],5)),"-")</f>
        <v>-</v>
      </c>
      <c r="H54" s="35" t="str">
        <f>IFERROR(IF(VLOOKUP($B54,casostestes[#Data],6)=0,"-",VLOOKUP($B54,casostestes[#Data],6)),"-")</f>
        <v>-</v>
      </c>
      <c r="I54" s="35" t="str">
        <f>IFERROR(IF(VLOOKUP($B54,casostestes[#Data],8)=0,"-",VLOOKUP($B54,casostestes[#Data],8)),"-")</f>
        <v>-</v>
      </c>
      <c r="J54" s="35" t="str">
        <f>IFERROR(IF(VLOOKUP($B54,casostestes[#Data],9)=0,"-",VLOOKUP($B54,casostestes[#Data],9)),"-")</f>
        <v>-</v>
      </c>
      <c r="K54" s="37" t="str">
        <f>IFERROR(IF(VLOOKUP($B54,orlando[#Data],12)=0,"Não executado",VLOOKUP($B54,orlando[#Data],12)),"Não executado")</f>
        <v>Não executado</v>
      </c>
      <c r="L54" s="37" t="str">
        <f>IFERROR(IF(VLOOKUP($B54,mauricio[#Data],12)=0,"Não executado",VLOOKUP($B54,mauricio[#Data],12)),"Não executado")</f>
        <v>Não executado</v>
      </c>
      <c r="M54" s="37" t="str">
        <f>IFERROR(IF(VLOOKUP($B54,Thaisa[#Data],12)=0,"Não executado",VLOOKUP($B54,Thaisa[#Data],12)),"Não executado")</f>
        <v>Não executado</v>
      </c>
      <c r="N54" s="37" t="str">
        <f>IFERROR(IF(VLOOKUP($B54,carlos[#Data],12)=0,"Não executado",VLOOKUP($B54,carlos[#Data],12)),"Não executado")</f>
        <v>Não executado</v>
      </c>
      <c r="O54" s="37" t="str">
        <f>IFERROR(IF(VLOOKUP($B54,Alessandra[#Data],12)=0,"Não executado",VLOOKUP($B54,Alessandra[#Data],12)),"Não executado")</f>
        <v>Não executado</v>
      </c>
      <c r="P54" s="37" t="str">
        <f>IFERROR(IF(VLOOKUP($B54,AnaCarolina[#Data],12)=0,"Não executado",VLOOKUP($B54,AnaCarolina[#Data],12)),"Não executado")</f>
        <v>Não executado</v>
      </c>
      <c r="Q54" s="37" t="str">
        <f>IFERROR(IF(VLOOKUP($B54,wanei[#Data],12)=0,"Não executado",VLOOKUP($B54,wanei[#Data],12)),"Não executado")</f>
        <v>Não executado</v>
      </c>
      <c r="R54" s="37" t="str">
        <f>IFERROR(IF(VLOOKUP($B54,janaina[#Data],12)=0,"Não executado",VLOOKUP($B54,janaina[#Data],12)),"Não executado")</f>
        <v>Não executado</v>
      </c>
      <c r="S54" s="93" t="str">
        <f>IFERROR(IF(VLOOKUP($B37,andreia[#Data],12)=0,"Não executado",VLOOKUP($B37,andreia[#Data],12)),"Não executado")</f>
        <v>Não executado</v>
      </c>
      <c r="T54" s="37" t="str">
        <f>IFERROR(IF(VLOOKUP($B37,homologador[#Data],12)=0,"Não executado",VLOOKUP($B37,homologador[#Data],12)),"Não executado")</f>
        <v>Não executado</v>
      </c>
      <c r="W54" s="13"/>
    </row>
    <row r="55" spans="2:23">
      <c r="B55" s="40" t="str">
        <f>IF(ISERR(casostestes[[#This Row],[ID]]),"-",casostestes[[#This Row],[ID]])</f>
        <v>-</v>
      </c>
      <c r="C55" s="34" t="str">
        <f>IFERROR(IF(VLOOKUP($B55,casostestes[#Data],10)=0,"Não",VLOOKUP($B55,casostestes[#Data],10)), "-")</f>
        <v>-</v>
      </c>
      <c r="D55" s="35" t="str">
        <f>IFERROR(IF(VLOOKUP($B55,casostestes[#Data],2)=0,"-",VLOOKUP($B55,casostestes[#Data],2)), "-")</f>
        <v>-</v>
      </c>
      <c r="E55" s="35" t="str">
        <f>IFERROR(IF(VLOOKUP($B55,casostestes[#Data],3)=0,"-",VLOOKUP($B55,casostestes[#Data],3)), "-")</f>
        <v>-</v>
      </c>
      <c r="F55" s="35" t="str">
        <f>IFERROR(IF(VLOOKUP($B55,casostestes[#Data],4)=0,"-",VLOOKUP($B55,casostestes[#Data],4)),"-")</f>
        <v>-</v>
      </c>
      <c r="G55" s="35" t="str">
        <f>IFERROR(IF(VLOOKUP($B55,casostestes[#Data],5)=0,"-",VLOOKUP($B55,casostestes[#Data],5)),"-")</f>
        <v>-</v>
      </c>
      <c r="H55" s="35" t="str">
        <f>IFERROR(IF(VLOOKUP($B55,casostestes[#Data],6)=0,"-",VLOOKUP($B55,casostestes[#Data],6)),"-")</f>
        <v>-</v>
      </c>
      <c r="I55" s="35" t="str">
        <f>IFERROR(IF(VLOOKUP($B55,casostestes[#Data],8)=0,"-",VLOOKUP($B55,casostestes[#Data],8)),"-")</f>
        <v>-</v>
      </c>
      <c r="J55" s="35" t="str">
        <f>IFERROR(IF(VLOOKUP($B55,casostestes[#Data],9)=0,"-",VLOOKUP($B55,casostestes[#Data],9)),"-")</f>
        <v>-</v>
      </c>
      <c r="K55" s="37" t="str">
        <f>IFERROR(IF(VLOOKUP($B55,orlando[#Data],12)=0,"Não executado",VLOOKUP($B55,orlando[#Data],12)),"Não executado")</f>
        <v>Não executado</v>
      </c>
      <c r="L55" s="37" t="str">
        <f>IFERROR(IF(VLOOKUP($B55,mauricio[#Data],12)=0,"Não executado",VLOOKUP($B55,mauricio[#Data],12)),"Não executado")</f>
        <v>Não executado</v>
      </c>
      <c r="M55" s="37" t="str">
        <f>IFERROR(IF(VLOOKUP($B55,Thaisa[#Data],12)=0,"Não executado",VLOOKUP($B55,Thaisa[#Data],12)),"Não executado")</f>
        <v>Não executado</v>
      </c>
      <c r="N55" s="37" t="str">
        <f>IFERROR(IF(VLOOKUP($B55,carlos[#Data],12)=0,"Não executado",VLOOKUP($B55,carlos[#Data],12)),"Não executado")</f>
        <v>Não executado</v>
      </c>
      <c r="O55" s="37" t="str">
        <f>IFERROR(IF(VLOOKUP($B55,Alessandra[#Data],12)=0,"Não executado",VLOOKUP($B55,Alessandra[#Data],12)),"Não executado")</f>
        <v>Não executado</v>
      </c>
      <c r="P55" s="37" t="str">
        <f>IFERROR(IF(VLOOKUP($B55,AnaCarolina[#Data],12)=0,"Não executado",VLOOKUP($B55,AnaCarolina[#Data],12)),"Não executado")</f>
        <v>Não executado</v>
      </c>
      <c r="Q55" s="37" t="str">
        <f>IFERROR(IF(VLOOKUP($B55,wanei[#Data],12)=0,"Não executado",VLOOKUP($B55,wanei[#Data],12)),"Não executado")</f>
        <v>Não executado</v>
      </c>
      <c r="R55" s="37" t="str">
        <f>IFERROR(IF(VLOOKUP($B55,janaina[#Data],12)=0,"Não executado",VLOOKUP($B55,janaina[#Data],12)),"Não executado")</f>
        <v>Não executado</v>
      </c>
      <c r="S55" s="93" t="str">
        <f>IFERROR(IF(VLOOKUP($B38,andreia[#Data],12)=0,"Não executado",VLOOKUP($B38,andreia[#Data],12)),"Não executado")</f>
        <v>Não executado</v>
      </c>
      <c r="T55" s="37" t="str">
        <f>IFERROR(IF(VLOOKUP($B38,homologador[#Data],12)=0,"Não executado",VLOOKUP($B38,homologador[#Data],12)),"Não executado")</f>
        <v>Não executado</v>
      </c>
      <c r="W55" s="13"/>
    </row>
    <row r="56" spans="2:23">
      <c r="B56" s="40" t="str">
        <f>IF(ISERR(casostestes[[#This Row],[ID]]),"-",casostestes[[#This Row],[ID]])</f>
        <v>-</v>
      </c>
      <c r="C56" s="34" t="str">
        <f>IFERROR(IF(VLOOKUP($B56,casostestes[#Data],10)=0,"Não",VLOOKUP($B56,casostestes[#Data],10)), "-")</f>
        <v>-</v>
      </c>
      <c r="D56" s="35" t="str">
        <f>IFERROR(IF(VLOOKUP($B56,casostestes[#Data],2)=0,"-",VLOOKUP($B56,casostestes[#Data],2)), "-")</f>
        <v>-</v>
      </c>
      <c r="E56" s="35" t="str">
        <f>IFERROR(IF(VLOOKUP($B56,casostestes[#Data],3)=0,"-",VLOOKUP($B56,casostestes[#Data],3)), "-")</f>
        <v>-</v>
      </c>
      <c r="F56" s="35" t="str">
        <f>IFERROR(IF(VLOOKUP($B56,casostestes[#Data],4)=0,"-",VLOOKUP($B56,casostestes[#Data],4)),"-")</f>
        <v>-</v>
      </c>
      <c r="G56" s="35" t="str">
        <f>IFERROR(IF(VLOOKUP($B56,casostestes[#Data],5)=0,"-",VLOOKUP($B56,casostestes[#Data],5)),"-")</f>
        <v>-</v>
      </c>
      <c r="H56" s="35" t="str">
        <f>IFERROR(IF(VLOOKUP($B56,casostestes[#Data],6)=0,"-",VLOOKUP($B56,casostestes[#Data],6)),"-")</f>
        <v>-</v>
      </c>
      <c r="I56" s="35" t="str">
        <f>IFERROR(IF(VLOOKUP($B56,casostestes[#Data],8)=0,"-",VLOOKUP($B56,casostestes[#Data],8)),"-")</f>
        <v>-</v>
      </c>
      <c r="J56" s="35" t="str">
        <f>IFERROR(IF(VLOOKUP($B56,casostestes[#Data],9)=0,"-",VLOOKUP($B56,casostestes[#Data],9)),"-")</f>
        <v>-</v>
      </c>
      <c r="K56" s="37" t="str">
        <f>IFERROR(IF(VLOOKUP($B56,orlando[#Data],12)=0,"Não executado",VLOOKUP($B56,orlando[#Data],12)),"Não executado")</f>
        <v>Não executado</v>
      </c>
      <c r="L56" s="37" t="str">
        <f>IFERROR(IF(VLOOKUP($B56,mauricio[#Data],12)=0,"Não executado",VLOOKUP($B56,mauricio[#Data],12)),"Não executado")</f>
        <v>Não executado</v>
      </c>
      <c r="M56" s="37" t="str">
        <f>IFERROR(IF(VLOOKUP($B56,Thaisa[#Data],12)=0,"Não executado",VLOOKUP($B56,Thaisa[#Data],12)),"Não executado")</f>
        <v>Não executado</v>
      </c>
      <c r="N56" s="37" t="str">
        <f>IFERROR(IF(VLOOKUP($B56,carlos[#Data],12)=0,"Não executado",VLOOKUP($B56,carlos[#Data],12)),"Não executado")</f>
        <v>Não executado</v>
      </c>
      <c r="O56" s="37" t="str">
        <f>IFERROR(IF(VLOOKUP($B56,Alessandra[#Data],12)=0,"Não executado",VLOOKUP($B56,Alessandra[#Data],12)),"Não executado")</f>
        <v>Não executado</v>
      </c>
      <c r="P56" s="37" t="str">
        <f>IFERROR(IF(VLOOKUP($B56,AnaCarolina[#Data],12)=0,"Não executado",VLOOKUP($B56,AnaCarolina[#Data],12)),"Não executado")</f>
        <v>Não executado</v>
      </c>
      <c r="Q56" s="37" t="str">
        <f>IFERROR(IF(VLOOKUP($B56,wanei[#Data],12)=0,"Não executado",VLOOKUP($B56,wanei[#Data],12)),"Não executado")</f>
        <v>Não executado</v>
      </c>
      <c r="R56" s="37" t="str">
        <f>IFERROR(IF(VLOOKUP($B56,janaina[#Data],12)=0,"Não executado",VLOOKUP($B56,janaina[#Data],12)),"Não executado")</f>
        <v>Não executado</v>
      </c>
      <c r="S56" s="93" t="str">
        <f>IFERROR(IF(VLOOKUP($B39,andreia[#Data],12)=0,"Não executado",VLOOKUP($B39,andreia[#Data],12)),"Não executado")</f>
        <v>Não executado</v>
      </c>
      <c r="T56" s="37" t="str">
        <f>IFERROR(IF(VLOOKUP($B39,homologador[#Data],12)=0,"Não executado",VLOOKUP($B39,homologador[#Data],12)),"Não executado")</f>
        <v>Não executado</v>
      </c>
      <c r="W56" s="13"/>
    </row>
    <row r="57" spans="2:23">
      <c r="B57" s="40" t="str">
        <f>IF(ISERR(casostestes[[#This Row],[ID]]),"-",casostestes[[#This Row],[ID]])</f>
        <v>-</v>
      </c>
      <c r="C57" s="34" t="str">
        <f>IFERROR(IF(VLOOKUP($B57,casostestes[#Data],10)=0,"Não",VLOOKUP($B57,casostestes[#Data],10)), "-")</f>
        <v>-</v>
      </c>
      <c r="D57" s="35" t="str">
        <f>IFERROR(IF(VLOOKUP($B57,casostestes[#Data],2)=0,"-",VLOOKUP($B57,casostestes[#Data],2)), "-")</f>
        <v>-</v>
      </c>
      <c r="E57" s="35" t="str">
        <f>IFERROR(IF(VLOOKUP($B57,casostestes[#Data],3)=0,"-",VLOOKUP($B57,casostestes[#Data],3)), "-")</f>
        <v>-</v>
      </c>
      <c r="F57" s="35" t="str">
        <f>IFERROR(IF(VLOOKUP($B57,casostestes[#Data],4)=0,"-",VLOOKUP($B57,casostestes[#Data],4)),"-")</f>
        <v>-</v>
      </c>
      <c r="G57" s="35" t="str">
        <f>IFERROR(IF(VLOOKUP($B57,casostestes[#Data],5)=0,"-",VLOOKUP($B57,casostestes[#Data],5)),"-")</f>
        <v>-</v>
      </c>
      <c r="H57" s="35" t="str">
        <f>IFERROR(IF(VLOOKUP($B57,casostestes[#Data],6)=0,"-",VLOOKUP($B57,casostestes[#Data],6)),"-")</f>
        <v>-</v>
      </c>
      <c r="I57" s="35" t="str">
        <f>IFERROR(IF(VLOOKUP($B57,casostestes[#Data],8)=0,"-",VLOOKUP($B57,casostestes[#Data],8)),"-")</f>
        <v>-</v>
      </c>
      <c r="J57" s="35" t="str">
        <f>IFERROR(IF(VLOOKUP($B57,casostestes[#Data],9)=0,"-",VLOOKUP($B57,casostestes[#Data],9)),"-")</f>
        <v>-</v>
      </c>
      <c r="K57" s="37" t="str">
        <f>IFERROR(IF(VLOOKUP($B57,orlando[#Data],12)=0,"Não executado",VLOOKUP($B57,orlando[#Data],12)),"Não executado")</f>
        <v>Não executado</v>
      </c>
      <c r="L57" s="37" t="str">
        <f>IFERROR(IF(VLOOKUP($B57,mauricio[#Data],12)=0,"Não executado",VLOOKUP($B57,mauricio[#Data],12)),"Não executado")</f>
        <v>Não executado</v>
      </c>
      <c r="M57" s="37" t="str">
        <f>IFERROR(IF(VLOOKUP($B57,Thaisa[#Data],12)=0,"Não executado",VLOOKUP($B57,Thaisa[#Data],12)),"Não executado")</f>
        <v>Não executado</v>
      </c>
      <c r="N57" s="37" t="str">
        <f>IFERROR(IF(VLOOKUP($B57,carlos[#Data],12)=0,"Não executado",VLOOKUP($B57,carlos[#Data],12)),"Não executado")</f>
        <v>Não executado</v>
      </c>
      <c r="O57" s="37" t="str">
        <f>IFERROR(IF(VLOOKUP($B57,Alessandra[#Data],12)=0,"Não executado",VLOOKUP($B57,Alessandra[#Data],12)),"Não executado")</f>
        <v>Não executado</v>
      </c>
      <c r="P57" s="37" t="str">
        <f>IFERROR(IF(VLOOKUP($B57,AnaCarolina[#Data],12)=0,"Não executado",VLOOKUP($B57,AnaCarolina[#Data],12)),"Não executado")</f>
        <v>Não executado</v>
      </c>
      <c r="Q57" s="37" t="str">
        <f>IFERROR(IF(VLOOKUP($B57,wanei[#Data],12)=0,"Não executado",VLOOKUP($B57,wanei[#Data],12)),"Não executado")</f>
        <v>Não executado</v>
      </c>
      <c r="R57" s="37" t="str">
        <f>IFERROR(IF(VLOOKUP($B57,janaina[#Data],12)=0,"Não executado",VLOOKUP($B57,janaina[#Data],12)),"Não executado")</f>
        <v>Não executado</v>
      </c>
      <c r="S57" s="93" t="str">
        <f>IFERROR(IF(VLOOKUP($B40,andreia[#Data],12)=0,"Não executado",VLOOKUP($B40,andreia[#Data],12)),"Não executado")</f>
        <v>Não executado</v>
      </c>
      <c r="T57" s="37" t="str">
        <f>IFERROR(IF(VLOOKUP($B40,homologador[#Data],12)=0,"Não executado",VLOOKUP($B40,homologador[#Data],12)),"Não executado")</f>
        <v>Não executado</v>
      </c>
      <c r="W57" s="13"/>
    </row>
    <row r="58" spans="2:23">
      <c r="B58" s="40" t="str">
        <f>IF(ISERR(casostestes[[#This Row],[ID]]),"-",casostestes[[#This Row],[ID]])</f>
        <v>-</v>
      </c>
      <c r="C58" s="34" t="str">
        <f>IFERROR(IF(VLOOKUP($B58,casostestes[#Data],10)=0,"Não",VLOOKUP($B58,casostestes[#Data],10)), "-")</f>
        <v>-</v>
      </c>
      <c r="D58" s="35" t="str">
        <f>IFERROR(IF(VLOOKUP($B58,casostestes[#Data],2)=0,"-",VLOOKUP($B58,casostestes[#Data],2)), "-")</f>
        <v>-</v>
      </c>
      <c r="E58" s="35" t="str">
        <f>IFERROR(IF(VLOOKUP($B58,casostestes[#Data],3)=0,"-",VLOOKUP($B58,casostestes[#Data],3)), "-")</f>
        <v>-</v>
      </c>
      <c r="F58" s="35" t="str">
        <f>IFERROR(IF(VLOOKUP($B58,casostestes[#Data],4)=0,"-",VLOOKUP($B58,casostestes[#Data],4)),"-")</f>
        <v>-</v>
      </c>
      <c r="G58" s="35" t="str">
        <f>IFERROR(IF(VLOOKUP($B58,casostestes[#Data],5)=0,"-",VLOOKUP($B58,casostestes[#Data],5)),"-")</f>
        <v>-</v>
      </c>
      <c r="H58" s="35" t="str">
        <f>IFERROR(IF(VLOOKUP($B58,casostestes[#Data],6)=0,"-",VLOOKUP($B58,casostestes[#Data],6)),"-")</f>
        <v>-</v>
      </c>
      <c r="I58" s="35" t="str">
        <f>IFERROR(IF(VLOOKUP($B58,casostestes[#Data],8)=0,"-",VLOOKUP($B58,casostestes[#Data],8)),"-")</f>
        <v>-</v>
      </c>
      <c r="J58" s="35" t="str">
        <f>IFERROR(IF(VLOOKUP($B58,casostestes[#Data],9)=0,"-",VLOOKUP($B58,casostestes[#Data],9)),"-")</f>
        <v>-</v>
      </c>
      <c r="K58" s="37" t="str">
        <f>IFERROR(IF(VLOOKUP($B58,orlando[#Data],12)=0,"Não executado",VLOOKUP($B58,orlando[#Data],12)),"Não executado")</f>
        <v>Não executado</v>
      </c>
      <c r="L58" s="37" t="str">
        <f>IFERROR(IF(VLOOKUP($B58,mauricio[#Data],12)=0,"Não executado",VLOOKUP($B58,mauricio[#Data],12)),"Não executado")</f>
        <v>Não executado</v>
      </c>
      <c r="M58" s="37" t="str">
        <f>IFERROR(IF(VLOOKUP($B58,Thaisa[#Data],12)=0,"Não executado",VLOOKUP($B58,Thaisa[#Data],12)),"Não executado")</f>
        <v>Não executado</v>
      </c>
      <c r="N58" s="37" t="str">
        <f>IFERROR(IF(VLOOKUP($B58,carlos[#Data],12)=0,"Não executado",VLOOKUP($B58,carlos[#Data],12)),"Não executado")</f>
        <v>Não executado</v>
      </c>
      <c r="O58" s="37" t="str">
        <f>IFERROR(IF(VLOOKUP($B58,Alessandra[#Data],12)=0,"Não executado",VLOOKUP($B58,Alessandra[#Data],12)),"Não executado")</f>
        <v>Não executado</v>
      </c>
      <c r="P58" s="37" t="str">
        <f>IFERROR(IF(VLOOKUP($B58,AnaCarolina[#Data],12)=0,"Não executado",VLOOKUP($B58,AnaCarolina[#Data],12)),"Não executado")</f>
        <v>Não executado</v>
      </c>
      <c r="Q58" s="37" t="str">
        <f>IFERROR(IF(VLOOKUP($B58,wanei[#Data],12)=0,"Não executado",VLOOKUP($B58,wanei[#Data],12)),"Não executado")</f>
        <v>Não executado</v>
      </c>
      <c r="R58" s="37" t="str">
        <f>IFERROR(IF(VLOOKUP($B58,janaina[#Data],12)=0,"Não executado",VLOOKUP($B58,janaina[#Data],12)),"Não executado")</f>
        <v>Não executado</v>
      </c>
      <c r="S58" s="93" t="str">
        <f>IFERROR(IF(VLOOKUP($B41,andreia[#Data],12)=0,"Não executado",VLOOKUP($B41,andreia[#Data],12)),"Não executado")</f>
        <v>Não executado</v>
      </c>
      <c r="T58" s="37" t="str">
        <f>IFERROR(IF(VLOOKUP($B41,homologador[#Data],12)=0,"Não executado",VLOOKUP($B41,homologador[#Data],12)),"Não executado")</f>
        <v>Não executado</v>
      </c>
      <c r="W58" s="13"/>
    </row>
    <row r="59" spans="2:23">
      <c r="B59" s="40" t="str">
        <f>IF(ISERR(casostestes[[#This Row],[ID]]),"-",casostestes[[#This Row],[ID]])</f>
        <v>-</v>
      </c>
      <c r="C59" s="34" t="str">
        <f>IFERROR(IF(VLOOKUP($B59,casostestes[#Data],10)=0,"Não",VLOOKUP($B59,casostestes[#Data],10)), "-")</f>
        <v>-</v>
      </c>
      <c r="D59" s="35" t="str">
        <f>IFERROR(IF(VLOOKUP($B59,casostestes[#Data],2)=0,"-",VLOOKUP($B59,casostestes[#Data],2)), "-")</f>
        <v>-</v>
      </c>
      <c r="E59" s="35" t="str">
        <f>IFERROR(IF(VLOOKUP($B59,casostestes[#Data],3)=0,"-",VLOOKUP($B59,casostestes[#Data],3)), "-")</f>
        <v>-</v>
      </c>
      <c r="F59" s="35" t="str">
        <f>IFERROR(IF(VLOOKUP($B59,casostestes[#Data],4)=0,"-",VLOOKUP($B59,casostestes[#Data],4)),"-")</f>
        <v>-</v>
      </c>
      <c r="G59" s="35" t="str">
        <f>IFERROR(IF(VLOOKUP($B59,casostestes[#Data],5)=0,"-",VLOOKUP($B59,casostestes[#Data],5)),"-")</f>
        <v>-</v>
      </c>
      <c r="H59" s="35" t="str">
        <f>IFERROR(IF(VLOOKUP($B59,casostestes[#Data],6)=0,"-",VLOOKUP($B59,casostestes[#Data],6)),"-")</f>
        <v>-</v>
      </c>
      <c r="I59" s="35" t="str">
        <f>IFERROR(IF(VLOOKUP($B59,casostestes[#Data],8)=0,"-",VLOOKUP($B59,casostestes[#Data],8)),"-")</f>
        <v>-</v>
      </c>
      <c r="J59" s="35" t="str">
        <f>IFERROR(IF(VLOOKUP($B59,casostestes[#Data],9)=0,"-",VLOOKUP($B59,casostestes[#Data],9)),"-")</f>
        <v>-</v>
      </c>
      <c r="K59" s="37" t="str">
        <f>IFERROR(IF(VLOOKUP($B59,orlando[#Data],12)=0,"Não executado",VLOOKUP($B59,orlando[#Data],12)),"Não executado")</f>
        <v>Não executado</v>
      </c>
      <c r="L59" s="37" t="str">
        <f>IFERROR(IF(VLOOKUP($B59,mauricio[#Data],12)=0,"Não executado",VLOOKUP($B59,mauricio[#Data],12)),"Não executado")</f>
        <v>Não executado</v>
      </c>
      <c r="M59" s="37" t="str">
        <f>IFERROR(IF(VLOOKUP($B59,Thaisa[#Data],12)=0,"Não executado",VLOOKUP($B59,Thaisa[#Data],12)),"Não executado")</f>
        <v>Não executado</v>
      </c>
      <c r="N59" s="37" t="str">
        <f>IFERROR(IF(VLOOKUP($B59,carlos[#Data],12)=0,"Não executado",VLOOKUP($B59,carlos[#Data],12)),"Não executado")</f>
        <v>Não executado</v>
      </c>
      <c r="O59" s="37" t="str">
        <f>IFERROR(IF(VLOOKUP($B59,Alessandra[#Data],12)=0,"Não executado",VLOOKUP($B59,Alessandra[#Data],12)),"Não executado")</f>
        <v>Não executado</v>
      </c>
      <c r="P59" s="37" t="str">
        <f>IFERROR(IF(VLOOKUP($B59,AnaCarolina[#Data],12)=0,"Não executado",VLOOKUP($B59,AnaCarolina[#Data],12)),"Não executado")</f>
        <v>Não executado</v>
      </c>
      <c r="Q59" s="37" t="str">
        <f>IFERROR(IF(VLOOKUP($B59,wanei[#Data],12)=0,"Não executado",VLOOKUP($B59,wanei[#Data],12)),"Não executado")</f>
        <v>Não executado</v>
      </c>
      <c r="R59" s="37" t="str">
        <f>IFERROR(IF(VLOOKUP($B59,janaina[#Data],12)=0,"Não executado",VLOOKUP($B59,janaina[#Data],12)),"Não executado")</f>
        <v>Não executado</v>
      </c>
      <c r="S59" s="93" t="str">
        <f>IFERROR(IF(VLOOKUP($B42,andreia[#Data],12)=0,"Não executado",VLOOKUP($B42,andreia[#Data],12)),"Não executado")</f>
        <v>Não executado</v>
      </c>
      <c r="T59" s="37" t="str">
        <f>IFERROR(IF(VLOOKUP($B42,homologador[#Data],12)=0,"Não executado",VLOOKUP($B42,homologador[#Data],12)),"Não executado")</f>
        <v>Não executado</v>
      </c>
      <c r="W59" s="13"/>
    </row>
    <row r="60" spans="2:23">
      <c r="B60" s="40" t="str">
        <f>IF(ISERR(casostestes[[#This Row],[ID]]),"-",casostestes[[#This Row],[ID]])</f>
        <v>-</v>
      </c>
      <c r="C60" s="34" t="str">
        <f>IFERROR(IF(VLOOKUP($B60,casostestes[#Data],10)=0,"Não",VLOOKUP($B60,casostestes[#Data],10)), "-")</f>
        <v>-</v>
      </c>
      <c r="D60" s="35" t="str">
        <f>IFERROR(IF(VLOOKUP($B60,casostestes[#Data],2)=0,"-",VLOOKUP($B60,casostestes[#Data],2)), "-")</f>
        <v>-</v>
      </c>
      <c r="E60" s="35" t="str">
        <f>IFERROR(IF(VLOOKUP($B60,casostestes[#Data],3)=0,"-",VLOOKUP($B60,casostestes[#Data],3)), "-")</f>
        <v>-</v>
      </c>
      <c r="F60" s="35" t="str">
        <f>IFERROR(IF(VLOOKUP($B60,casostestes[#Data],4)=0,"-",VLOOKUP($B60,casostestes[#Data],4)),"-")</f>
        <v>-</v>
      </c>
      <c r="G60" s="35" t="str">
        <f>IFERROR(IF(VLOOKUP($B60,casostestes[#Data],5)=0,"-",VLOOKUP($B60,casostestes[#Data],5)),"-")</f>
        <v>-</v>
      </c>
      <c r="H60" s="35" t="str">
        <f>IFERROR(IF(VLOOKUP($B60,casostestes[#Data],6)=0,"-",VLOOKUP($B60,casostestes[#Data],6)),"-")</f>
        <v>-</v>
      </c>
      <c r="I60" s="35" t="str">
        <f>IFERROR(IF(VLOOKUP($B60,casostestes[#Data],8)=0,"-",VLOOKUP($B60,casostestes[#Data],8)),"-")</f>
        <v>-</v>
      </c>
      <c r="J60" s="35" t="str">
        <f>IFERROR(IF(VLOOKUP($B60,casostestes[#Data],9)=0,"-",VLOOKUP($B60,casostestes[#Data],9)),"-")</f>
        <v>-</v>
      </c>
      <c r="K60" s="37" t="str">
        <f>IFERROR(IF(VLOOKUP($B60,orlando[#Data],12)=0,"Não executado",VLOOKUP($B60,orlando[#Data],12)),"Não executado")</f>
        <v>Não executado</v>
      </c>
      <c r="L60" s="37" t="str">
        <f>IFERROR(IF(VLOOKUP($B60,mauricio[#Data],12)=0,"Não executado",VLOOKUP($B60,mauricio[#Data],12)),"Não executado")</f>
        <v>Não executado</v>
      </c>
      <c r="M60" s="37" t="str">
        <f>IFERROR(IF(VLOOKUP($B60,Thaisa[#Data],12)=0,"Não executado",VLOOKUP($B60,Thaisa[#Data],12)),"Não executado")</f>
        <v>Não executado</v>
      </c>
      <c r="N60" s="37" t="str">
        <f>IFERROR(IF(VLOOKUP($B60,carlos[#Data],12)=0,"Não executado",VLOOKUP($B60,carlos[#Data],12)),"Não executado")</f>
        <v>Não executado</v>
      </c>
      <c r="O60" s="37" t="str">
        <f>IFERROR(IF(VLOOKUP($B60,Alessandra[#Data],12)=0,"Não executado",VLOOKUP($B60,Alessandra[#Data],12)),"Não executado")</f>
        <v>Não executado</v>
      </c>
      <c r="P60" s="37" t="str">
        <f>IFERROR(IF(VLOOKUP($B60,AnaCarolina[#Data],12)=0,"Não executado",VLOOKUP($B60,AnaCarolina[#Data],12)),"Não executado")</f>
        <v>Não executado</v>
      </c>
      <c r="Q60" s="37" t="str">
        <f>IFERROR(IF(VLOOKUP($B60,wanei[#Data],12)=0,"Não executado",VLOOKUP($B60,wanei[#Data],12)),"Não executado")</f>
        <v>Não executado</v>
      </c>
      <c r="R60" s="37" t="str">
        <f>IFERROR(IF(VLOOKUP($B60,janaina[#Data],12)=0,"Não executado",VLOOKUP($B60,janaina[#Data],12)),"Não executado")</f>
        <v>Não executado</v>
      </c>
      <c r="S60" s="93" t="str">
        <f>IFERROR(IF(VLOOKUP($B43,andreia[#Data],12)=0,"Não executado",VLOOKUP($B43,andreia[#Data],12)),"Não executado")</f>
        <v>Não executado</v>
      </c>
      <c r="T60" s="37" t="str">
        <f>IFERROR(IF(VLOOKUP($B43,homologador[#Data],12)=0,"Não executado",VLOOKUP($B43,homologador[#Data],12)),"Não executado")</f>
        <v>Não executado</v>
      </c>
      <c r="W60" s="13"/>
    </row>
    <row r="61" spans="2:23">
      <c r="B61" s="40" t="str">
        <f>IF(ISERR(casostestes[[#This Row],[ID]]),"-",casostestes[[#This Row],[ID]])</f>
        <v>-</v>
      </c>
      <c r="C61" s="34" t="str">
        <f>IFERROR(IF(VLOOKUP($B61,casostestes[#Data],10)=0,"Não",VLOOKUP($B61,casostestes[#Data],10)), "-")</f>
        <v>-</v>
      </c>
      <c r="D61" s="35" t="str">
        <f>IFERROR(IF(VLOOKUP($B61,casostestes[#Data],2)=0,"-",VLOOKUP($B61,casostestes[#Data],2)), "-")</f>
        <v>-</v>
      </c>
      <c r="E61" s="35" t="str">
        <f>IFERROR(IF(VLOOKUP($B61,casostestes[#Data],3)=0,"-",VLOOKUP($B61,casostestes[#Data],3)), "-")</f>
        <v>-</v>
      </c>
      <c r="F61" s="35" t="str">
        <f>IFERROR(IF(VLOOKUP($B61,casostestes[#Data],4)=0,"-",VLOOKUP($B61,casostestes[#Data],4)),"-")</f>
        <v>-</v>
      </c>
      <c r="G61" s="35" t="str">
        <f>IFERROR(IF(VLOOKUP($B61,casostestes[#Data],5)=0,"-",VLOOKUP($B61,casostestes[#Data],5)),"-")</f>
        <v>-</v>
      </c>
      <c r="H61" s="35" t="str">
        <f>IFERROR(IF(VLOOKUP($B61,casostestes[#Data],6)=0,"-",VLOOKUP($B61,casostestes[#Data],6)),"-")</f>
        <v>-</v>
      </c>
      <c r="I61" s="35" t="str">
        <f>IFERROR(IF(VLOOKUP($B61,casostestes[#Data],8)=0,"-",VLOOKUP($B61,casostestes[#Data],8)),"-")</f>
        <v>-</v>
      </c>
      <c r="J61" s="35" t="str">
        <f>IFERROR(IF(VLOOKUP($B61,casostestes[#Data],9)=0,"-",VLOOKUP($B61,casostestes[#Data],9)),"-")</f>
        <v>-</v>
      </c>
      <c r="K61" s="37" t="str">
        <f>IFERROR(IF(VLOOKUP($B61,orlando[#Data],12)=0,"Não executado",VLOOKUP($B61,orlando[#Data],12)),"Não executado")</f>
        <v>Não executado</v>
      </c>
      <c r="L61" s="37" t="str">
        <f>IFERROR(IF(VLOOKUP($B61,mauricio[#Data],12)=0,"Não executado",VLOOKUP($B61,mauricio[#Data],12)),"Não executado")</f>
        <v>Não executado</v>
      </c>
      <c r="M61" s="37" t="str">
        <f>IFERROR(IF(VLOOKUP($B61,Thaisa[#Data],12)=0,"Não executado",VLOOKUP($B61,Thaisa[#Data],12)),"Não executado")</f>
        <v>Não executado</v>
      </c>
      <c r="N61" s="37" t="str">
        <f>IFERROR(IF(VLOOKUP($B61,carlos[#Data],12)=0,"Não executado",VLOOKUP($B61,carlos[#Data],12)),"Não executado")</f>
        <v>Não executado</v>
      </c>
      <c r="O61" s="37" t="str">
        <f>IFERROR(IF(VLOOKUP($B61,Alessandra[#Data],12)=0,"Não executado",VLOOKUP($B61,Alessandra[#Data],12)),"Não executado")</f>
        <v>Não executado</v>
      </c>
      <c r="P61" s="37" t="str">
        <f>IFERROR(IF(VLOOKUP($B61,AnaCarolina[#Data],12)=0,"Não executado",VLOOKUP($B61,AnaCarolina[#Data],12)),"Não executado")</f>
        <v>Não executado</v>
      </c>
      <c r="Q61" s="37" t="str">
        <f>IFERROR(IF(VLOOKUP($B61,wanei[#Data],12)=0,"Não executado",VLOOKUP($B61,wanei[#Data],12)),"Não executado")</f>
        <v>Não executado</v>
      </c>
      <c r="R61" s="37" t="str">
        <f>IFERROR(IF(VLOOKUP($B61,janaina[#Data],12)=0,"Não executado",VLOOKUP($B61,janaina[#Data],12)),"Não executado")</f>
        <v>Não executado</v>
      </c>
      <c r="S61" s="93" t="str">
        <f>IFERROR(IF(VLOOKUP($B44,andreia[#Data],12)=0,"Não executado",VLOOKUP($B44,andreia[#Data],12)),"Não executado")</f>
        <v>Não executado</v>
      </c>
      <c r="T61" s="37" t="str">
        <f>IFERROR(IF(VLOOKUP($B44,homologador[#Data],12)=0,"Não executado",VLOOKUP($B44,homologador[#Data],12)),"Não executado")</f>
        <v>Não executado</v>
      </c>
      <c r="W61" s="13"/>
    </row>
    <row r="62" spans="2:23">
      <c r="B62" s="40" t="str">
        <f>IF(ISERR(casostestes[[#This Row],[ID]]),"-",casostestes[[#This Row],[ID]])</f>
        <v>-</v>
      </c>
      <c r="C62" s="34" t="str">
        <f>IFERROR(IF(VLOOKUP($B62,casostestes[#Data],10)=0,"Não",VLOOKUP($B62,casostestes[#Data],10)), "-")</f>
        <v>-</v>
      </c>
      <c r="D62" s="35" t="str">
        <f>IFERROR(IF(VLOOKUP($B62,casostestes[#Data],2)=0,"-",VLOOKUP($B62,casostestes[#Data],2)), "-")</f>
        <v>-</v>
      </c>
      <c r="E62" s="35" t="str">
        <f>IFERROR(IF(VLOOKUP($B62,casostestes[#Data],3)=0,"-",VLOOKUP($B62,casostestes[#Data],3)), "-")</f>
        <v>-</v>
      </c>
      <c r="F62" s="35" t="str">
        <f>IFERROR(IF(VLOOKUP($B62,casostestes[#Data],4)=0,"-",VLOOKUP($B62,casostestes[#Data],4)),"-")</f>
        <v>-</v>
      </c>
      <c r="G62" s="35" t="str">
        <f>IFERROR(IF(VLOOKUP($B62,casostestes[#Data],5)=0,"-",VLOOKUP($B62,casostestes[#Data],5)),"-")</f>
        <v>-</v>
      </c>
      <c r="H62" s="35" t="str">
        <f>IFERROR(IF(VLOOKUP($B62,casostestes[#Data],6)=0,"-",VLOOKUP($B62,casostestes[#Data],6)),"-")</f>
        <v>-</v>
      </c>
      <c r="I62" s="35" t="str">
        <f>IFERROR(IF(VLOOKUP($B62,casostestes[#Data],8)=0,"-",VLOOKUP($B62,casostestes[#Data],8)),"-")</f>
        <v>-</v>
      </c>
      <c r="J62" s="35" t="str">
        <f>IFERROR(IF(VLOOKUP($B62,casostestes[#Data],9)=0,"-",VLOOKUP($B62,casostestes[#Data],9)),"-")</f>
        <v>-</v>
      </c>
      <c r="K62" s="37" t="str">
        <f>IFERROR(IF(VLOOKUP($B62,orlando[#Data],12)=0,"Não executado",VLOOKUP($B62,orlando[#Data],12)),"Não executado")</f>
        <v>Não executado</v>
      </c>
      <c r="L62" s="37" t="str">
        <f>IFERROR(IF(VLOOKUP($B62,mauricio[#Data],12)=0,"Não executado",VLOOKUP($B62,mauricio[#Data],12)),"Não executado")</f>
        <v>Não executado</v>
      </c>
      <c r="M62" s="37" t="str">
        <f>IFERROR(IF(VLOOKUP($B62,Thaisa[#Data],12)=0,"Não executado",VLOOKUP($B62,Thaisa[#Data],12)),"Não executado")</f>
        <v>Não executado</v>
      </c>
      <c r="N62" s="37" t="str">
        <f>IFERROR(IF(VLOOKUP($B62,carlos[#Data],12)=0,"Não executado",VLOOKUP($B62,carlos[#Data],12)),"Não executado")</f>
        <v>Não executado</v>
      </c>
      <c r="O62" s="37" t="str">
        <f>IFERROR(IF(VLOOKUP($B62,Alessandra[#Data],12)=0,"Não executado",VLOOKUP($B62,Alessandra[#Data],12)),"Não executado")</f>
        <v>Não executado</v>
      </c>
      <c r="P62" s="37" t="str">
        <f>IFERROR(IF(VLOOKUP($B62,AnaCarolina[#Data],12)=0,"Não executado",VLOOKUP($B62,AnaCarolina[#Data],12)),"Não executado")</f>
        <v>Não executado</v>
      </c>
      <c r="Q62" s="37" t="str">
        <f>IFERROR(IF(VLOOKUP($B62,wanei[#Data],12)=0,"Não executado",VLOOKUP($B62,wanei[#Data],12)),"Não executado")</f>
        <v>Não executado</v>
      </c>
      <c r="R62" s="37" t="str">
        <f>IFERROR(IF(VLOOKUP($B62,janaina[#Data],12)=0,"Não executado",VLOOKUP($B62,janaina[#Data],12)),"Não executado")</f>
        <v>Não executado</v>
      </c>
      <c r="S62" s="93" t="str">
        <f>IFERROR(IF(VLOOKUP($B45,andreia[#Data],12)=0,"Não executado",VLOOKUP($B45,andreia[#Data],12)),"Não executado")</f>
        <v>Não executado</v>
      </c>
      <c r="T62" s="37" t="str">
        <f>IFERROR(IF(VLOOKUP($B45,homologador[#Data],12)=0,"Não executado",VLOOKUP($B45,homologador[#Data],12)),"Não executado")</f>
        <v>Não executado</v>
      </c>
      <c r="W62" s="13"/>
    </row>
    <row r="63" spans="2:23">
      <c r="B63" s="40" t="str">
        <f>IF(ISERR(casostestes[[#This Row],[ID]]),"-",casostestes[[#This Row],[ID]])</f>
        <v>-</v>
      </c>
      <c r="C63" s="34" t="str">
        <f>IFERROR(IF(VLOOKUP($B63,casostestes[#Data],10)=0,"Não",VLOOKUP($B63,casostestes[#Data],10)), "-")</f>
        <v>-</v>
      </c>
      <c r="D63" s="35" t="str">
        <f>IFERROR(IF(VLOOKUP($B63,casostestes[#Data],2)=0,"-",VLOOKUP($B63,casostestes[#Data],2)), "-")</f>
        <v>-</v>
      </c>
      <c r="E63" s="35" t="str">
        <f>IFERROR(IF(VLOOKUP($B63,casostestes[#Data],3)=0,"-",VLOOKUP($B63,casostestes[#Data],3)), "-")</f>
        <v>-</v>
      </c>
      <c r="F63" s="35" t="str">
        <f>IFERROR(IF(VLOOKUP($B63,casostestes[#Data],4)=0,"-",VLOOKUP($B63,casostestes[#Data],4)),"-")</f>
        <v>-</v>
      </c>
      <c r="G63" s="35" t="str">
        <f>IFERROR(IF(VLOOKUP($B63,casostestes[#Data],5)=0,"-",VLOOKUP($B63,casostestes[#Data],5)),"-")</f>
        <v>-</v>
      </c>
      <c r="H63" s="35" t="str">
        <f>IFERROR(IF(VLOOKUP($B63,casostestes[#Data],6)=0,"-",VLOOKUP($B63,casostestes[#Data],6)),"-")</f>
        <v>-</v>
      </c>
      <c r="I63" s="35" t="str">
        <f>IFERROR(IF(VLOOKUP($B63,casostestes[#Data],8)=0,"-",VLOOKUP($B63,casostestes[#Data],8)),"-")</f>
        <v>-</v>
      </c>
      <c r="J63" s="35" t="str">
        <f>IFERROR(IF(VLOOKUP($B63,casostestes[#Data],9)=0,"-",VLOOKUP($B63,casostestes[#Data],9)),"-")</f>
        <v>-</v>
      </c>
      <c r="K63" s="37" t="str">
        <f>IFERROR(IF(VLOOKUP($B63,orlando[#Data],12)=0,"Não executado",VLOOKUP($B63,orlando[#Data],12)),"Não executado")</f>
        <v>Não executado</v>
      </c>
      <c r="L63" s="37" t="str">
        <f>IFERROR(IF(VLOOKUP($B63,mauricio[#Data],12)=0,"Não executado",VLOOKUP($B63,mauricio[#Data],12)),"Não executado")</f>
        <v>Não executado</v>
      </c>
      <c r="M63" s="37" t="str">
        <f>IFERROR(IF(VLOOKUP($B63,Thaisa[#Data],12)=0,"Não executado",VLOOKUP($B63,Thaisa[#Data],12)),"Não executado")</f>
        <v>Não executado</v>
      </c>
      <c r="N63" s="37" t="str">
        <f>IFERROR(IF(VLOOKUP($B63,carlos[#Data],12)=0,"Não executado",VLOOKUP($B63,carlos[#Data],12)),"Não executado")</f>
        <v>Não executado</v>
      </c>
      <c r="O63" s="37" t="str">
        <f>IFERROR(IF(VLOOKUP($B63,Alessandra[#Data],12)=0,"Não executado",VLOOKUP($B63,Alessandra[#Data],12)),"Não executado")</f>
        <v>Não executado</v>
      </c>
      <c r="P63" s="37" t="str">
        <f>IFERROR(IF(VLOOKUP($B63,AnaCarolina[#Data],12)=0,"Não executado",VLOOKUP($B63,AnaCarolina[#Data],12)),"Não executado")</f>
        <v>Não executado</v>
      </c>
      <c r="Q63" s="37" t="str">
        <f>IFERROR(IF(VLOOKUP($B63,wanei[#Data],12)=0,"Não executado",VLOOKUP($B63,wanei[#Data],12)),"Não executado")</f>
        <v>Não executado</v>
      </c>
      <c r="R63" s="37" t="str">
        <f>IFERROR(IF(VLOOKUP($B63,janaina[#Data],12)=0,"Não executado",VLOOKUP($B63,janaina[#Data],12)),"Não executado")</f>
        <v>Não executado</v>
      </c>
      <c r="S63" s="93" t="str">
        <f>IFERROR(IF(VLOOKUP($B46,andreia[#Data],12)=0,"Não executado",VLOOKUP($B46,andreia[#Data],12)),"Não executado")</f>
        <v>Não executado</v>
      </c>
      <c r="T63" s="37" t="str">
        <f>IFERROR(IF(VLOOKUP($B46,homologador[#Data],12)=0,"Não executado",VLOOKUP($B46,homologador[#Data],12)),"Não executado")</f>
        <v>Não executado</v>
      </c>
      <c r="W63" s="13"/>
    </row>
    <row r="64" spans="2:23">
      <c r="B64" s="40" t="str">
        <f>IF(ISERR(casostestes[[#This Row],[ID]]),"-",casostestes[[#This Row],[ID]])</f>
        <v>-</v>
      </c>
      <c r="C64" s="34" t="str">
        <f>IFERROR(IF(VLOOKUP($B64,casostestes[#Data],10)=0,"Não",VLOOKUP($B64,casostestes[#Data],10)), "-")</f>
        <v>-</v>
      </c>
      <c r="D64" s="35" t="str">
        <f>IFERROR(IF(VLOOKUP($B64,casostestes[#Data],2)=0,"-",VLOOKUP($B64,casostestes[#Data],2)), "-")</f>
        <v>-</v>
      </c>
      <c r="E64" s="35" t="str">
        <f>IFERROR(IF(VLOOKUP($B64,casostestes[#Data],3)=0,"-",VLOOKUP($B64,casostestes[#Data],3)), "-")</f>
        <v>-</v>
      </c>
      <c r="F64" s="35" t="str">
        <f>IFERROR(IF(VLOOKUP($B64,casostestes[#Data],4)=0,"-",VLOOKUP($B64,casostestes[#Data],4)),"-")</f>
        <v>-</v>
      </c>
      <c r="G64" s="35" t="str">
        <f>IFERROR(IF(VLOOKUP($B64,casostestes[#Data],5)=0,"-",VLOOKUP($B64,casostestes[#Data],5)),"-")</f>
        <v>-</v>
      </c>
      <c r="H64" s="35" t="str">
        <f>IFERROR(IF(VLOOKUP($B64,casostestes[#Data],6)=0,"-",VLOOKUP($B64,casostestes[#Data],6)),"-")</f>
        <v>-</v>
      </c>
      <c r="I64" s="35" t="str">
        <f>IFERROR(IF(VLOOKUP($B64,casostestes[#Data],8)=0,"-",VLOOKUP($B64,casostestes[#Data],8)),"-")</f>
        <v>-</v>
      </c>
      <c r="J64" s="35" t="str">
        <f>IFERROR(IF(VLOOKUP($B64,casostestes[#Data],9)=0,"-",VLOOKUP($B64,casostestes[#Data],9)),"-")</f>
        <v>-</v>
      </c>
      <c r="K64" s="37" t="str">
        <f>IFERROR(IF(VLOOKUP($B64,orlando[#Data],12)=0,"Não executado",VLOOKUP($B64,orlando[#Data],12)),"Não executado")</f>
        <v>Não executado</v>
      </c>
      <c r="L64" s="37" t="str">
        <f>IFERROR(IF(VLOOKUP($B64,mauricio[#Data],12)=0,"Não executado",VLOOKUP($B64,mauricio[#Data],12)),"Não executado")</f>
        <v>Não executado</v>
      </c>
      <c r="M64" s="37" t="str">
        <f>IFERROR(IF(VLOOKUP($B64,Thaisa[#Data],12)=0,"Não executado",VLOOKUP($B64,Thaisa[#Data],12)),"Não executado")</f>
        <v>Não executado</v>
      </c>
      <c r="N64" s="37" t="str">
        <f>IFERROR(IF(VLOOKUP($B64,carlos[#Data],12)=0,"Não executado",VLOOKUP($B64,carlos[#Data],12)),"Não executado")</f>
        <v>Não executado</v>
      </c>
      <c r="O64" s="37" t="str">
        <f>IFERROR(IF(VLOOKUP($B64,Alessandra[#Data],12)=0,"Não executado",VLOOKUP($B64,Alessandra[#Data],12)),"Não executado")</f>
        <v>Não executado</v>
      </c>
      <c r="P64" s="37" t="str">
        <f>IFERROR(IF(VLOOKUP($B64,AnaCarolina[#Data],12)=0,"Não executado",VLOOKUP($B64,AnaCarolina[#Data],12)),"Não executado")</f>
        <v>Não executado</v>
      </c>
      <c r="Q64" s="37" t="str">
        <f>IFERROR(IF(VLOOKUP($B64,wanei[#Data],12)=0,"Não executado",VLOOKUP($B64,wanei[#Data],12)),"Não executado")</f>
        <v>Não executado</v>
      </c>
      <c r="R64" s="37" t="str">
        <f>IFERROR(IF(VLOOKUP($B64,janaina[#Data],12)=0,"Não executado",VLOOKUP($B64,janaina[#Data],12)),"Não executado")</f>
        <v>Não executado</v>
      </c>
      <c r="S64" s="93" t="str">
        <f>IFERROR(IF(VLOOKUP($B47,andreia[#Data],12)=0,"Não executado",VLOOKUP($B47,andreia[#Data],12)),"Não executado")</f>
        <v>Não executado</v>
      </c>
      <c r="T64" s="37" t="str">
        <f>IFERROR(IF(VLOOKUP($B47,homologador[#Data],12)=0,"Não executado",VLOOKUP($B47,homologador[#Data],12)),"Não executado")</f>
        <v>Não executado</v>
      </c>
      <c r="W64" s="13"/>
    </row>
    <row r="65" spans="2:23">
      <c r="B65" s="40" t="str">
        <f>IF(ISERR(casostestes[[#This Row],[ID]]),"-",casostestes[[#This Row],[ID]])</f>
        <v>-</v>
      </c>
      <c r="C65" s="34" t="str">
        <f>IFERROR(IF(VLOOKUP($B65,casostestes[#Data],10)=0,"Não",VLOOKUP($B65,casostestes[#Data],10)), "-")</f>
        <v>-</v>
      </c>
      <c r="D65" s="35" t="str">
        <f>IFERROR(IF(VLOOKUP($B65,casostestes[#Data],2)=0,"-",VLOOKUP($B65,casostestes[#Data],2)), "-")</f>
        <v>-</v>
      </c>
      <c r="E65" s="35" t="str">
        <f>IFERROR(IF(VLOOKUP($B65,casostestes[#Data],3)=0,"-",VLOOKUP($B65,casostestes[#Data],3)), "-")</f>
        <v>-</v>
      </c>
      <c r="F65" s="35" t="str">
        <f>IFERROR(IF(VLOOKUP($B65,casostestes[#Data],4)=0,"-",VLOOKUP($B65,casostestes[#Data],4)),"-")</f>
        <v>-</v>
      </c>
      <c r="G65" s="35" t="str">
        <f>IFERROR(IF(VLOOKUP($B65,casostestes[#Data],5)=0,"-",VLOOKUP($B65,casostestes[#Data],5)),"-")</f>
        <v>-</v>
      </c>
      <c r="H65" s="35" t="str">
        <f>IFERROR(IF(VLOOKUP($B65,casostestes[#Data],6)=0,"-",VLOOKUP($B65,casostestes[#Data],6)),"-")</f>
        <v>-</v>
      </c>
      <c r="I65" s="35" t="str">
        <f>IFERROR(IF(VLOOKUP($B65,casostestes[#Data],8)=0,"-",VLOOKUP($B65,casostestes[#Data],8)),"-")</f>
        <v>-</v>
      </c>
      <c r="J65" s="35" t="str">
        <f>IFERROR(IF(VLOOKUP($B65,casostestes[#Data],9)=0,"-",VLOOKUP($B65,casostestes[#Data],9)),"-")</f>
        <v>-</v>
      </c>
      <c r="K65" s="37" t="str">
        <f>IFERROR(IF(VLOOKUP($B65,orlando[#Data],12)=0,"Não executado",VLOOKUP($B65,orlando[#Data],12)),"Não executado")</f>
        <v>Não executado</v>
      </c>
      <c r="L65" s="37" t="str">
        <f>IFERROR(IF(VLOOKUP($B65,mauricio[#Data],12)=0,"Não executado",VLOOKUP($B65,mauricio[#Data],12)),"Não executado")</f>
        <v>Não executado</v>
      </c>
      <c r="M65" s="37" t="str">
        <f>IFERROR(IF(VLOOKUP($B65,Thaisa[#Data],12)=0,"Não executado",VLOOKUP($B65,Thaisa[#Data],12)),"Não executado")</f>
        <v>Não executado</v>
      </c>
      <c r="N65" s="37" t="str">
        <f>IFERROR(IF(VLOOKUP($B65,carlos[#Data],12)=0,"Não executado",VLOOKUP($B65,carlos[#Data],12)),"Não executado")</f>
        <v>Não executado</v>
      </c>
      <c r="O65" s="37" t="str">
        <f>IFERROR(IF(VLOOKUP($B65,Alessandra[#Data],12)=0,"Não executado",VLOOKUP($B65,Alessandra[#Data],12)),"Não executado")</f>
        <v>Não executado</v>
      </c>
      <c r="P65" s="37" t="str">
        <f>IFERROR(IF(VLOOKUP($B65,AnaCarolina[#Data],12)=0,"Não executado",VLOOKUP($B65,AnaCarolina[#Data],12)),"Não executado")</f>
        <v>Não executado</v>
      </c>
      <c r="Q65" s="37" t="str">
        <f>IFERROR(IF(VLOOKUP($B65,wanei[#Data],12)=0,"Não executado",VLOOKUP($B65,wanei[#Data],12)),"Não executado")</f>
        <v>Não executado</v>
      </c>
      <c r="R65" s="37" t="str">
        <f>IFERROR(IF(VLOOKUP($B65,janaina[#Data],12)=0,"Não executado",VLOOKUP($B65,janaina[#Data],12)),"Não executado")</f>
        <v>Não executado</v>
      </c>
      <c r="S65" s="93" t="str">
        <f>IFERROR(IF(VLOOKUP($B48,andreia[#Data],12)=0,"Não executado",VLOOKUP($B48,andreia[#Data],12)),"Não executado")</f>
        <v>Não executado</v>
      </c>
      <c r="T65" s="37" t="str">
        <f>IFERROR(IF(VLOOKUP($B48,homologador[#Data],12)=0,"Não executado",VLOOKUP($B48,homologador[#Data],12)),"Não executado")</f>
        <v>Não executado</v>
      </c>
      <c r="W65" s="13"/>
    </row>
    <row r="66" spans="2:23">
      <c r="B66" s="40" t="str">
        <f>IF(ISERR(casostestes[[#This Row],[ID]]),"-",casostestes[[#This Row],[ID]])</f>
        <v>-</v>
      </c>
      <c r="C66" s="34" t="str">
        <f>IFERROR(IF(VLOOKUP($B66,casostestes[#Data],10)=0,"Não",VLOOKUP($B66,casostestes[#Data],10)), "-")</f>
        <v>-</v>
      </c>
      <c r="D66" s="35" t="str">
        <f>IFERROR(IF(VLOOKUP($B66,casostestes[#Data],2)=0,"-",VLOOKUP($B66,casostestes[#Data],2)), "-")</f>
        <v>-</v>
      </c>
      <c r="E66" s="35" t="str">
        <f>IFERROR(IF(VLOOKUP($B66,casostestes[#Data],3)=0,"-",VLOOKUP($B66,casostestes[#Data],3)), "-")</f>
        <v>-</v>
      </c>
      <c r="F66" s="35" t="str">
        <f>IFERROR(IF(VLOOKUP($B66,casostestes[#Data],4)=0,"-",VLOOKUP($B66,casostestes[#Data],4)),"-")</f>
        <v>-</v>
      </c>
      <c r="G66" s="35" t="str">
        <f>IFERROR(IF(VLOOKUP($B66,casostestes[#Data],5)=0,"-",VLOOKUP($B66,casostestes[#Data],5)),"-")</f>
        <v>-</v>
      </c>
      <c r="H66" s="35" t="str">
        <f>IFERROR(IF(VLOOKUP($B66,casostestes[#Data],6)=0,"-",VLOOKUP($B66,casostestes[#Data],6)),"-")</f>
        <v>-</v>
      </c>
      <c r="I66" s="35" t="str">
        <f>IFERROR(IF(VLOOKUP($B66,casostestes[#Data],8)=0,"-",VLOOKUP($B66,casostestes[#Data],8)),"-")</f>
        <v>-</v>
      </c>
      <c r="J66" s="35" t="str">
        <f>IFERROR(IF(VLOOKUP($B66,casostestes[#Data],9)=0,"-",VLOOKUP($B66,casostestes[#Data],9)),"-")</f>
        <v>-</v>
      </c>
      <c r="K66" s="37" t="str">
        <f>IFERROR(IF(VLOOKUP($B66,orlando[#Data],12)=0,"Não executado",VLOOKUP($B66,orlando[#Data],12)),"Não executado")</f>
        <v>Não executado</v>
      </c>
      <c r="L66" s="37" t="str">
        <f>IFERROR(IF(VLOOKUP($B66,mauricio[#Data],12)=0,"Não executado",VLOOKUP($B66,mauricio[#Data],12)),"Não executado")</f>
        <v>Não executado</v>
      </c>
      <c r="M66" s="37" t="str">
        <f>IFERROR(IF(VLOOKUP($B66,Thaisa[#Data],12)=0,"Não executado",VLOOKUP($B66,Thaisa[#Data],12)),"Não executado")</f>
        <v>Não executado</v>
      </c>
      <c r="N66" s="37" t="str">
        <f>IFERROR(IF(VLOOKUP($B66,carlos[#Data],12)=0,"Não executado",VLOOKUP($B66,carlos[#Data],12)),"Não executado")</f>
        <v>Não executado</v>
      </c>
      <c r="O66" s="37" t="str">
        <f>IFERROR(IF(VLOOKUP($B66,Alessandra[#Data],12)=0,"Não executado",VLOOKUP($B66,Alessandra[#Data],12)),"Não executado")</f>
        <v>Não executado</v>
      </c>
      <c r="P66" s="37" t="str">
        <f>IFERROR(IF(VLOOKUP($B66,AnaCarolina[#Data],12)=0,"Não executado",VLOOKUP($B66,AnaCarolina[#Data],12)),"Não executado")</f>
        <v>Não executado</v>
      </c>
      <c r="Q66" s="37" t="str">
        <f>IFERROR(IF(VLOOKUP($B66,wanei[#Data],12)=0,"Não executado",VLOOKUP($B66,wanei[#Data],12)),"Não executado")</f>
        <v>Não executado</v>
      </c>
      <c r="R66" s="37" t="str">
        <f>IFERROR(IF(VLOOKUP($B66,janaina[#Data],12)=0,"Não executado",VLOOKUP($B66,janaina[#Data],12)),"Não executado")</f>
        <v>Não executado</v>
      </c>
      <c r="S66" s="93" t="str">
        <f>IFERROR(IF(VLOOKUP($B49,andreia[#Data],12)=0,"Não executado",VLOOKUP($B49,andreia[#Data],12)),"Não executado")</f>
        <v>Não executado</v>
      </c>
      <c r="T66" s="37" t="str">
        <f>IFERROR(IF(VLOOKUP($B49,homologador[#Data],12)=0,"Não executado",VLOOKUP($B49,homologador[#Data],12)),"Não executado")</f>
        <v>Não executado</v>
      </c>
      <c r="W66" s="13"/>
    </row>
    <row r="67" spans="2:23">
      <c r="B67" s="40" t="str">
        <f>IF(ISERR(casostestes[[#This Row],[ID]]),"-",casostestes[[#This Row],[ID]])</f>
        <v>-</v>
      </c>
      <c r="C67" s="34" t="str">
        <f>IFERROR(IF(VLOOKUP($B67,casostestes[#Data],10)=0,"Não",VLOOKUP($B67,casostestes[#Data],10)), "-")</f>
        <v>-</v>
      </c>
      <c r="D67" s="35" t="str">
        <f>IFERROR(IF(VLOOKUP($B67,casostestes[#Data],2)=0,"-",VLOOKUP($B67,casostestes[#Data],2)), "-")</f>
        <v>-</v>
      </c>
      <c r="E67" s="35" t="str">
        <f>IFERROR(IF(VLOOKUP($B67,casostestes[#Data],3)=0,"-",VLOOKUP($B67,casostestes[#Data],3)), "-")</f>
        <v>-</v>
      </c>
      <c r="F67" s="35" t="str">
        <f>IFERROR(IF(VLOOKUP($B67,casostestes[#Data],4)=0,"-",VLOOKUP($B67,casostestes[#Data],4)),"-")</f>
        <v>-</v>
      </c>
      <c r="G67" s="35" t="str">
        <f>IFERROR(IF(VLOOKUP($B67,casostestes[#Data],5)=0,"-",VLOOKUP($B67,casostestes[#Data],5)),"-")</f>
        <v>-</v>
      </c>
      <c r="H67" s="35" t="str">
        <f>IFERROR(IF(VLOOKUP($B67,casostestes[#Data],6)=0,"-",VLOOKUP($B67,casostestes[#Data],6)),"-")</f>
        <v>-</v>
      </c>
      <c r="I67" s="35" t="str">
        <f>IFERROR(IF(VLOOKUP($B67,casostestes[#Data],8)=0,"-",VLOOKUP($B67,casostestes[#Data],8)),"-")</f>
        <v>-</v>
      </c>
      <c r="J67" s="35" t="str">
        <f>IFERROR(IF(VLOOKUP($B67,casostestes[#Data],9)=0,"-",VLOOKUP($B67,casostestes[#Data],9)),"-")</f>
        <v>-</v>
      </c>
      <c r="K67" s="37" t="str">
        <f>IFERROR(IF(VLOOKUP($B67,orlando[#Data],12)=0,"Não executado",VLOOKUP($B67,orlando[#Data],12)),"Não executado")</f>
        <v>Não executado</v>
      </c>
      <c r="L67" s="37" t="str">
        <f>IFERROR(IF(VLOOKUP($B67,mauricio[#Data],12)=0,"Não executado",VLOOKUP($B67,mauricio[#Data],12)),"Não executado")</f>
        <v>Não executado</v>
      </c>
      <c r="M67" s="37" t="str">
        <f>IFERROR(IF(VLOOKUP($B67,Thaisa[#Data],12)=0,"Não executado",VLOOKUP($B67,Thaisa[#Data],12)),"Não executado")</f>
        <v>Não executado</v>
      </c>
      <c r="N67" s="37" t="str">
        <f>IFERROR(IF(VLOOKUP($B67,carlos[#Data],12)=0,"Não executado",VLOOKUP($B67,carlos[#Data],12)),"Não executado")</f>
        <v>Não executado</v>
      </c>
      <c r="O67" s="37" t="str">
        <f>IFERROR(IF(VLOOKUP($B67,Alessandra[#Data],12)=0,"Não executado",VLOOKUP($B67,Alessandra[#Data],12)),"Não executado")</f>
        <v>Não executado</v>
      </c>
      <c r="P67" s="37" t="str">
        <f>IFERROR(IF(VLOOKUP($B67,AnaCarolina[#Data],12)=0,"Não executado",VLOOKUP($B67,AnaCarolina[#Data],12)),"Não executado")</f>
        <v>Não executado</v>
      </c>
      <c r="Q67" s="37" t="str">
        <f>IFERROR(IF(VLOOKUP($B67,wanei[#Data],12)=0,"Não executado",VLOOKUP($B67,wanei[#Data],12)),"Não executado")</f>
        <v>Não executado</v>
      </c>
      <c r="R67" s="37" t="str">
        <f>IFERROR(IF(VLOOKUP($B67,janaina[#Data],12)=0,"Não executado",VLOOKUP($B67,janaina[#Data],12)),"Não executado")</f>
        <v>Não executado</v>
      </c>
      <c r="S67" s="93" t="str">
        <f>IFERROR(IF(VLOOKUP($B50,andreia[#Data],12)=0,"Não executado",VLOOKUP($B50,andreia[#Data],12)),"Não executado")</f>
        <v>Não executado</v>
      </c>
      <c r="T67" s="37" t="str">
        <f>IFERROR(IF(VLOOKUP($B50,homologador[#Data],12)=0,"Não executado",VLOOKUP($B50,homologador[#Data],12)),"Não executado")</f>
        <v>Não executado</v>
      </c>
      <c r="W67" s="13"/>
    </row>
    <row r="68" spans="2:23">
      <c r="B68" s="40" t="str">
        <f>IF(ISERR(casostestes[[#This Row],[ID]]),"-",casostestes[[#This Row],[ID]])</f>
        <v>-</v>
      </c>
      <c r="C68" s="34" t="str">
        <f>IFERROR(IF(VLOOKUP($B68,casostestes[#Data],10)=0,"Não",VLOOKUP($B68,casostestes[#Data],10)), "-")</f>
        <v>-</v>
      </c>
      <c r="D68" s="35" t="str">
        <f>IFERROR(IF(VLOOKUP($B68,casostestes[#Data],2)=0,"-",VLOOKUP($B68,casostestes[#Data],2)), "-")</f>
        <v>-</v>
      </c>
      <c r="E68" s="35" t="str">
        <f>IFERROR(IF(VLOOKUP($B68,casostestes[#Data],3)=0,"-",VLOOKUP($B68,casostestes[#Data],3)), "-")</f>
        <v>-</v>
      </c>
      <c r="F68" s="35" t="str">
        <f>IFERROR(IF(VLOOKUP($B68,casostestes[#Data],4)=0,"-",VLOOKUP($B68,casostestes[#Data],4)),"-")</f>
        <v>-</v>
      </c>
      <c r="G68" s="35" t="str">
        <f>IFERROR(IF(VLOOKUP($B68,casostestes[#Data],5)=0,"-",VLOOKUP($B68,casostestes[#Data],5)),"-")</f>
        <v>-</v>
      </c>
      <c r="H68" s="35" t="str">
        <f>IFERROR(IF(VLOOKUP($B68,casostestes[#Data],6)=0,"-",VLOOKUP($B68,casostestes[#Data],6)),"-")</f>
        <v>-</v>
      </c>
      <c r="I68" s="35" t="str">
        <f>IFERROR(IF(VLOOKUP($B68,casostestes[#Data],8)=0,"-",VLOOKUP($B68,casostestes[#Data],8)),"-")</f>
        <v>-</v>
      </c>
      <c r="J68" s="35" t="str">
        <f>IFERROR(IF(VLOOKUP($B68,casostestes[#Data],9)=0,"-",VLOOKUP($B68,casostestes[#Data],9)),"-")</f>
        <v>-</v>
      </c>
      <c r="K68" s="37" t="str">
        <f>IFERROR(IF(VLOOKUP($B68,orlando[#Data],12)=0,"Não executado",VLOOKUP($B68,orlando[#Data],12)),"Não executado")</f>
        <v>Não executado</v>
      </c>
      <c r="L68" s="37" t="str">
        <f>IFERROR(IF(VLOOKUP($B68,mauricio[#Data],12)=0,"Não executado",VLOOKUP($B68,mauricio[#Data],12)),"Não executado")</f>
        <v>Não executado</v>
      </c>
      <c r="M68" s="37" t="str">
        <f>IFERROR(IF(VLOOKUP($B68,Thaisa[#Data],12)=0,"Não executado",VLOOKUP($B68,Thaisa[#Data],12)),"Não executado")</f>
        <v>Não executado</v>
      </c>
      <c r="N68" s="37" t="str">
        <f>IFERROR(IF(VLOOKUP($B68,carlos[#Data],12)=0,"Não executado",VLOOKUP($B68,carlos[#Data],12)),"Não executado")</f>
        <v>Não executado</v>
      </c>
      <c r="O68" s="37" t="str">
        <f>IFERROR(IF(VLOOKUP($B68,Alessandra[#Data],12)=0,"Não executado",VLOOKUP($B68,Alessandra[#Data],12)),"Não executado")</f>
        <v>Não executado</v>
      </c>
      <c r="P68" s="37" t="str">
        <f>IFERROR(IF(VLOOKUP($B68,AnaCarolina[#Data],12)=0,"Não executado",VLOOKUP($B68,AnaCarolina[#Data],12)),"Não executado")</f>
        <v>Não executado</v>
      </c>
      <c r="Q68" s="37" t="str">
        <f>IFERROR(IF(VLOOKUP($B68,wanei[#Data],12)=0,"Não executado",VLOOKUP($B68,wanei[#Data],12)),"Não executado")</f>
        <v>Não executado</v>
      </c>
      <c r="R68" s="37" t="str">
        <f>IFERROR(IF(VLOOKUP($B68,janaina[#Data],12)=0,"Não executado",VLOOKUP($B68,janaina[#Data],12)),"Não executado")</f>
        <v>Não executado</v>
      </c>
      <c r="S68" s="93" t="str">
        <f>IFERROR(IF(VLOOKUP($B51,andreia[#Data],12)=0,"Não executado",VLOOKUP($B51,andreia[#Data],12)),"Não executado")</f>
        <v>Não executado</v>
      </c>
      <c r="T68" s="37" t="str">
        <f>IFERROR(IF(VLOOKUP($B51,homologador[#Data],12)=0,"Não executado",VLOOKUP($B51,homologador[#Data],12)),"Não executado")</f>
        <v>Não executado</v>
      </c>
      <c r="W68" s="13"/>
    </row>
    <row r="69" spans="2:23">
      <c r="B69" s="40" t="str">
        <f>IF(ISERR(casostestes[[#This Row],[ID]]),"-",casostestes[[#This Row],[ID]])</f>
        <v>-</v>
      </c>
      <c r="C69" s="34" t="str">
        <f>IFERROR(IF(VLOOKUP($B69,casostestes[#Data],10)=0,"Não",VLOOKUP($B69,casostestes[#Data],10)), "-")</f>
        <v>-</v>
      </c>
      <c r="D69" s="35" t="str">
        <f>IFERROR(IF(VLOOKUP($B69,casostestes[#Data],2)=0,"-",VLOOKUP($B69,casostestes[#Data],2)), "-")</f>
        <v>-</v>
      </c>
      <c r="E69" s="35" t="str">
        <f>IFERROR(IF(VLOOKUP($B69,casostestes[#Data],3)=0,"-",VLOOKUP($B69,casostestes[#Data],3)), "-")</f>
        <v>-</v>
      </c>
      <c r="F69" s="35" t="str">
        <f>IFERROR(IF(VLOOKUP($B69,casostestes[#Data],4)=0,"-",VLOOKUP($B69,casostestes[#Data],4)),"-")</f>
        <v>-</v>
      </c>
      <c r="G69" s="35" t="str">
        <f>IFERROR(IF(VLOOKUP($B69,casostestes[#Data],5)=0,"-",VLOOKUP($B69,casostestes[#Data],5)),"-")</f>
        <v>-</v>
      </c>
      <c r="H69" s="35" t="str">
        <f>IFERROR(IF(VLOOKUP($B69,casostestes[#Data],6)=0,"-",VLOOKUP($B69,casostestes[#Data],6)),"-")</f>
        <v>-</v>
      </c>
      <c r="I69" s="35" t="str">
        <f>IFERROR(IF(VLOOKUP($B69,casostestes[#Data],8)=0,"-",VLOOKUP($B69,casostestes[#Data],8)),"-")</f>
        <v>-</v>
      </c>
      <c r="J69" s="35" t="str">
        <f>IFERROR(IF(VLOOKUP($B69,casostestes[#Data],9)=0,"-",VLOOKUP($B69,casostestes[#Data],9)),"-")</f>
        <v>-</v>
      </c>
      <c r="K69" s="37" t="str">
        <f>IFERROR(IF(VLOOKUP($B69,orlando[#Data],12)=0,"Não executado",VLOOKUP($B69,orlando[#Data],12)),"Não executado")</f>
        <v>Não executado</v>
      </c>
      <c r="L69" s="37" t="str">
        <f>IFERROR(IF(VLOOKUP($B69,mauricio[#Data],12)=0,"Não executado",VLOOKUP($B69,mauricio[#Data],12)),"Não executado")</f>
        <v>Não executado</v>
      </c>
      <c r="M69" s="37" t="str">
        <f>IFERROR(IF(VLOOKUP($B69,Thaisa[#Data],12)=0,"Não executado",VLOOKUP($B69,Thaisa[#Data],12)),"Não executado")</f>
        <v>Não executado</v>
      </c>
      <c r="N69" s="37" t="str">
        <f>IFERROR(IF(VLOOKUP($B69,carlos[#Data],12)=0,"Não executado",VLOOKUP($B69,carlos[#Data],12)),"Não executado")</f>
        <v>Não executado</v>
      </c>
      <c r="O69" s="37" t="str">
        <f>IFERROR(IF(VLOOKUP($B69,Alessandra[#Data],12)=0,"Não executado",VLOOKUP($B69,Alessandra[#Data],12)),"Não executado")</f>
        <v>Não executado</v>
      </c>
      <c r="P69" s="37" t="str">
        <f>IFERROR(IF(VLOOKUP($B69,AnaCarolina[#Data],12)=0,"Não executado",VLOOKUP($B69,AnaCarolina[#Data],12)),"Não executado")</f>
        <v>Não executado</v>
      </c>
      <c r="Q69" s="37" t="str">
        <f>IFERROR(IF(VLOOKUP($B69,wanei[#Data],12)=0,"Não executado",VLOOKUP($B69,wanei[#Data],12)),"Não executado")</f>
        <v>Não executado</v>
      </c>
      <c r="R69" s="37" t="str">
        <f>IFERROR(IF(VLOOKUP($B69,janaina[#Data],12)=0,"Não executado",VLOOKUP($B69,janaina[#Data],12)),"Não executado")</f>
        <v>Não executado</v>
      </c>
      <c r="S69" s="93" t="str">
        <f>IFERROR(IF(VLOOKUP($B52,andreia[#Data],12)=0,"Não executado",VLOOKUP($B52,andreia[#Data],12)),"Não executado")</f>
        <v>Não executado</v>
      </c>
      <c r="T69" s="37" t="str">
        <f>IFERROR(IF(VLOOKUP($B52,homologador[#Data],12)=0,"Não executado",VLOOKUP($B52,homologador[#Data],12)),"Não executado")</f>
        <v>Não executado</v>
      </c>
      <c r="W69" s="13"/>
    </row>
    <row r="70" spans="2:23">
      <c r="B70" s="40" t="str">
        <f>IF(ISERR(casostestes[[#This Row],[ID]]),"-",casostestes[[#This Row],[ID]])</f>
        <v>-</v>
      </c>
      <c r="C70" s="34" t="str">
        <f>IFERROR(IF(VLOOKUP($B70,casostestes[#Data],10)=0,"Não",VLOOKUP($B70,casostestes[#Data],10)), "-")</f>
        <v>-</v>
      </c>
      <c r="D70" s="35" t="str">
        <f>IFERROR(IF(VLOOKUP($B70,casostestes[#Data],2)=0,"-",VLOOKUP($B70,casostestes[#Data],2)), "-")</f>
        <v>-</v>
      </c>
      <c r="E70" s="35" t="str">
        <f>IFERROR(IF(VLOOKUP($B70,casostestes[#Data],3)=0,"-",VLOOKUP($B70,casostestes[#Data],3)), "-")</f>
        <v>-</v>
      </c>
      <c r="F70" s="35" t="str">
        <f>IFERROR(IF(VLOOKUP($B70,casostestes[#Data],4)=0,"-",VLOOKUP($B70,casostestes[#Data],4)),"-")</f>
        <v>-</v>
      </c>
      <c r="G70" s="35" t="str">
        <f>IFERROR(IF(VLOOKUP($B70,casostestes[#Data],5)=0,"-",VLOOKUP($B70,casostestes[#Data],5)),"-")</f>
        <v>-</v>
      </c>
      <c r="H70" s="35" t="str">
        <f>IFERROR(IF(VLOOKUP($B70,casostestes[#Data],6)=0,"-",VLOOKUP($B70,casostestes[#Data],6)),"-")</f>
        <v>-</v>
      </c>
      <c r="I70" s="35" t="str">
        <f>IFERROR(IF(VLOOKUP($B70,casostestes[#Data],8)=0,"-",VLOOKUP($B70,casostestes[#Data],8)),"-")</f>
        <v>-</v>
      </c>
      <c r="J70" s="35" t="str">
        <f>IFERROR(IF(VLOOKUP($B70,casostestes[#Data],9)=0,"-",VLOOKUP($B70,casostestes[#Data],9)),"-")</f>
        <v>-</v>
      </c>
      <c r="K70" s="37" t="str">
        <f>IFERROR(IF(VLOOKUP($B70,orlando[#Data],12)=0,"Não executado",VLOOKUP($B70,orlando[#Data],12)),"Não executado")</f>
        <v>Não executado</v>
      </c>
      <c r="L70" s="37" t="str">
        <f>IFERROR(IF(VLOOKUP($B70,mauricio[#Data],12)=0,"Não executado",VLOOKUP($B70,mauricio[#Data],12)),"Não executado")</f>
        <v>Não executado</v>
      </c>
      <c r="M70" s="37" t="str">
        <f>IFERROR(IF(VLOOKUP($B70,Thaisa[#Data],12)=0,"Não executado",VLOOKUP($B70,Thaisa[#Data],12)),"Não executado")</f>
        <v>Não executado</v>
      </c>
      <c r="N70" s="37" t="str">
        <f>IFERROR(IF(VLOOKUP($B70,carlos[#Data],12)=0,"Não executado",VLOOKUP($B70,carlos[#Data],12)),"Não executado")</f>
        <v>Não executado</v>
      </c>
      <c r="O70" s="37" t="str">
        <f>IFERROR(IF(VLOOKUP($B70,Alessandra[#Data],12)=0,"Não executado",VLOOKUP($B70,Alessandra[#Data],12)),"Não executado")</f>
        <v>Não executado</v>
      </c>
      <c r="P70" s="37" t="str">
        <f>IFERROR(IF(VLOOKUP($B70,AnaCarolina[#Data],12)=0,"Não executado",VLOOKUP($B70,AnaCarolina[#Data],12)),"Não executado")</f>
        <v>Não executado</v>
      </c>
      <c r="Q70" s="37" t="str">
        <f>IFERROR(IF(VLOOKUP($B70,wanei[#Data],12)=0,"Não executado",VLOOKUP($B70,wanei[#Data],12)),"Não executado")</f>
        <v>Não executado</v>
      </c>
      <c r="R70" s="37" t="str">
        <f>IFERROR(IF(VLOOKUP($B70,janaina[#Data],12)=0,"Não executado",VLOOKUP($B70,janaina[#Data],12)),"Não executado")</f>
        <v>Não executado</v>
      </c>
      <c r="S70" s="93" t="str">
        <f>IFERROR(IF(VLOOKUP($B53,andreia[#Data],12)=0,"Não executado",VLOOKUP($B53,andreia[#Data],12)),"Não executado")</f>
        <v>Não executado</v>
      </c>
      <c r="T70" s="37" t="str">
        <f>IFERROR(IF(VLOOKUP($B53,homologador[#Data],12)=0,"Não executado",VLOOKUP($B53,homologador[#Data],12)),"Não executado")</f>
        <v>Não executado</v>
      </c>
      <c r="W70" s="13"/>
    </row>
    <row r="71" spans="2:23">
      <c r="B71" s="40" t="str">
        <f>IF(ISERR(casostestes[[#This Row],[ID]]),"-",casostestes[[#This Row],[ID]])</f>
        <v>-</v>
      </c>
      <c r="C71" s="34" t="str">
        <f>IFERROR(IF(VLOOKUP($B71,casostestes[#Data],10)=0,"Não",VLOOKUP($B71,casostestes[#Data],10)), "-")</f>
        <v>-</v>
      </c>
      <c r="D71" s="35" t="str">
        <f>IFERROR(IF(VLOOKUP($B71,casostestes[#Data],2)=0,"-",VLOOKUP($B71,casostestes[#Data],2)), "-")</f>
        <v>-</v>
      </c>
      <c r="E71" s="35" t="str">
        <f>IFERROR(IF(VLOOKUP($B71,casostestes[#Data],3)=0,"-",VLOOKUP($B71,casostestes[#Data],3)), "-")</f>
        <v>-</v>
      </c>
      <c r="F71" s="35" t="str">
        <f>IFERROR(IF(VLOOKUP($B71,casostestes[#Data],4)=0,"-",VLOOKUP($B71,casostestes[#Data],4)),"-")</f>
        <v>-</v>
      </c>
      <c r="G71" s="35" t="str">
        <f>IFERROR(IF(VLOOKUP($B71,casostestes[#Data],5)=0,"-",VLOOKUP($B71,casostestes[#Data],5)),"-")</f>
        <v>-</v>
      </c>
      <c r="H71" s="35" t="str">
        <f>IFERROR(IF(VLOOKUP($B71,casostestes[#Data],6)=0,"-",VLOOKUP($B71,casostestes[#Data],6)),"-")</f>
        <v>-</v>
      </c>
      <c r="I71" s="35" t="str">
        <f>IFERROR(IF(VLOOKUP($B71,casostestes[#Data],8)=0,"-",VLOOKUP($B71,casostestes[#Data],8)),"-")</f>
        <v>-</v>
      </c>
      <c r="J71" s="35" t="str">
        <f>IFERROR(IF(VLOOKUP($B71,casostestes[#Data],9)=0,"-",VLOOKUP($B71,casostestes[#Data],9)),"-")</f>
        <v>-</v>
      </c>
      <c r="K71" s="37" t="str">
        <f>IFERROR(IF(VLOOKUP($B71,orlando[#Data],12)=0,"Não executado",VLOOKUP($B71,orlando[#Data],12)),"Não executado")</f>
        <v>Não executado</v>
      </c>
      <c r="L71" s="37" t="str">
        <f>IFERROR(IF(VLOOKUP($B71,mauricio[#Data],12)=0,"Não executado",VLOOKUP($B71,mauricio[#Data],12)),"Não executado")</f>
        <v>Não executado</v>
      </c>
      <c r="M71" s="37" t="str">
        <f>IFERROR(IF(VLOOKUP($B71,Thaisa[#Data],12)=0,"Não executado",VLOOKUP($B71,Thaisa[#Data],12)),"Não executado")</f>
        <v>Não executado</v>
      </c>
      <c r="N71" s="37" t="str">
        <f>IFERROR(IF(VLOOKUP($B71,carlos[#Data],12)=0,"Não executado",VLOOKUP($B71,carlos[#Data],12)),"Não executado")</f>
        <v>Não executado</v>
      </c>
      <c r="O71" s="37" t="str">
        <f>IFERROR(IF(VLOOKUP($B71,Alessandra[#Data],12)=0,"Não executado",VLOOKUP($B71,Alessandra[#Data],12)),"Não executado")</f>
        <v>Não executado</v>
      </c>
      <c r="P71" s="37" t="str">
        <f>IFERROR(IF(VLOOKUP($B71,AnaCarolina[#Data],12)=0,"Não executado",VLOOKUP($B71,AnaCarolina[#Data],12)),"Não executado")</f>
        <v>Não executado</v>
      </c>
      <c r="Q71" s="37" t="str">
        <f>IFERROR(IF(VLOOKUP($B71,wanei[#Data],12)=0,"Não executado",VLOOKUP($B71,wanei[#Data],12)),"Não executado")</f>
        <v>Não executado</v>
      </c>
      <c r="R71" s="37" t="str">
        <f>IFERROR(IF(VLOOKUP($B71,janaina[#Data],12)=0,"Não executado",VLOOKUP($B71,janaina[#Data],12)),"Não executado")</f>
        <v>Não executado</v>
      </c>
      <c r="S71" s="93" t="str">
        <f>IFERROR(IF(VLOOKUP($B54,andreia[#Data],12)=0,"Não executado",VLOOKUP($B54,andreia[#Data],12)),"Não executado")</f>
        <v>Não executado</v>
      </c>
      <c r="T71" s="37" t="str">
        <f>IFERROR(IF(VLOOKUP($B54,homologador[#Data],12)=0,"Não executado",VLOOKUP($B54,homologador[#Data],12)),"Não executado")</f>
        <v>Não executado</v>
      </c>
      <c r="W71" s="13"/>
    </row>
    <row r="72" spans="2:23">
      <c r="B72" s="40" t="str">
        <f>IF(ISERR(casostestes[[#This Row],[ID]]),"-",casostestes[[#This Row],[ID]])</f>
        <v>-</v>
      </c>
      <c r="C72" s="34" t="str">
        <f>IFERROR(IF(VLOOKUP($B72,casostestes[#Data],10)=0,"Não",VLOOKUP($B72,casostestes[#Data],10)), "-")</f>
        <v>-</v>
      </c>
      <c r="D72" s="35" t="str">
        <f>IFERROR(IF(VLOOKUP($B72,casostestes[#Data],2)=0,"-",VLOOKUP($B72,casostestes[#Data],2)), "-")</f>
        <v>-</v>
      </c>
      <c r="E72" s="35" t="str">
        <f>IFERROR(IF(VLOOKUP($B72,casostestes[#Data],3)=0,"-",VLOOKUP($B72,casostestes[#Data],3)), "-")</f>
        <v>-</v>
      </c>
      <c r="F72" s="35" t="str">
        <f>IFERROR(IF(VLOOKUP($B72,casostestes[#Data],4)=0,"-",VLOOKUP($B72,casostestes[#Data],4)),"-")</f>
        <v>-</v>
      </c>
      <c r="G72" s="35" t="str">
        <f>IFERROR(IF(VLOOKUP($B72,casostestes[#Data],5)=0,"-",VLOOKUP($B72,casostestes[#Data],5)),"-")</f>
        <v>-</v>
      </c>
      <c r="H72" s="35" t="str">
        <f>IFERROR(IF(VLOOKUP($B72,casostestes[#Data],6)=0,"-",VLOOKUP($B72,casostestes[#Data],6)),"-")</f>
        <v>-</v>
      </c>
      <c r="I72" s="35" t="str">
        <f>IFERROR(IF(VLOOKUP($B72,casostestes[#Data],8)=0,"-",VLOOKUP($B72,casostestes[#Data],8)),"-")</f>
        <v>-</v>
      </c>
      <c r="J72" s="35" t="str">
        <f>IFERROR(IF(VLOOKUP($B72,casostestes[#Data],9)=0,"-",VLOOKUP($B72,casostestes[#Data],9)),"-")</f>
        <v>-</v>
      </c>
      <c r="K72" s="37" t="str">
        <f>IFERROR(IF(VLOOKUP($B72,orlando[#Data],12)=0,"Não executado",VLOOKUP($B72,orlando[#Data],12)),"Não executado")</f>
        <v>Não executado</v>
      </c>
      <c r="L72" s="37" t="str">
        <f>IFERROR(IF(VLOOKUP($B72,mauricio[#Data],12)=0,"Não executado",VLOOKUP($B72,mauricio[#Data],12)),"Não executado")</f>
        <v>Não executado</v>
      </c>
      <c r="M72" s="37" t="str">
        <f>IFERROR(IF(VLOOKUP($B72,Thaisa[#Data],12)=0,"Não executado",VLOOKUP($B72,Thaisa[#Data],12)),"Não executado")</f>
        <v>Não executado</v>
      </c>
      <c r="N72" s="37" t="str">
        <f>IFERROR(IF(VLOOKUP($B72,carlos[#Data],12)=0,"Não executado",VLOOKUP($B72,carlos[#Data],12)),"Não executado")</f>
        <v>Não executado</v>
      </c>
      <c r="O72" s="37" t="str">
        <f>IFERROR(IF(VLOOKUP($B72,Alessandra[#Data],12)=0,"Não executado",VLOOKUP($B72,Alessandra[#Data],12)),"Não executado")</f>
        <v>Não executado</v>
      </c>
      <c r="P72" s="37" t="str">
        <f>IFERROR(IF(VLOOKUP($B72,AnaCarolina[#Data],12)=0,"Não executado",VLOOKUP($B72,AnaCarolina[#Data],12)),"Não executado")</f>
        <v>Não executado</v>
      </c>
      <c r="Q72" s="37" t="str">
        <f>IFERROR(IF(VLOOKUP($B72,wanei[#Data],12)=0,"Não executado",VLOOKUP($B72,wanei[#Data],12)),"Não executado")</f>
        <v>Não executado</v>
      </c>
      <c r="R72" s="37" t="str">
        <f>IFERROR(IF(VLOOKUP($B72,janaina[#Data],12)=0,"Não executado",VLOOKUP($B72,janaina[#Data],12)),"Não executado")</f>
        <v>Não executado</v>
      </c>
      <c r="S72" s="93" t="str">
        <f>IFERROR(IF(VLOOKUP($B55,andreia[#Data],12)=0,"Não executado",VLOOKUP($B55,andreia[#Data],12)),"Não executado")</f>
        <v>Não executado</v>
      </c>
      <c r="T72" s="37" t="str">
        <f>IFERROR(IF(VLOOKUP($B55,homologador[#Data],12)=0,"Não executado",VLOOKUP($B55,homologador[#Data],12)),"Não executado")</f>
        <v>Não executado</v>
      </c>
      <c r="W72" s="13"/>
    </row>
    <row r="73" spans="2:23">
      <c r="B73" s="40" t="str">
        <f>IF(ISERR(casostestes[[#This Row],[ID]]),"-",casostestes[[#This Row],[ID]])</f>
        <v>-</v>
      </c>
      <c r="C73" s="34" t="str">
        <f>IFERROR(IF(VLOOKUP($B73,casostestes[#Data],10)=0,"Não",VLOOKUP($B73,casostestes[#Data],10)), "-")</f>
        <v>-</v>
      </c>
      <c r="D73" s="35" t="str">
        <f>IFERROR(IF(VLOOKUP($B73,casostestes[#Data],2)=0,"-",VLOOKUP($B73,casostestes[#Data],2)), "-")</f>
        <v>-</v>
      </c>
      <c r="E73" s="35" t="str">
        <f>IFERROR(IF(VLOOKUP($B73,casostestes[#Data],3)=0,"-",VLOOKUP($B73,casostestes[#Data],3)), "-")</f>
        <v>-</v>
      </c>
      <c r="F73" s="35" t="str">
        <f>IFERROR(IF(VLOOKUP($B73,casostestes[#Data],4)=0,"-",VLOOKUP($B73,casostestes[#Data],4)),"-")</f>
        <v>-</v>
      </c>
      <c r="G73" s="35" t="str">
        <f>IFERROR(IF(VLOOKUP($B73,casostestes[#Data],5)=0,"-",VLOOKUP($B73,casostestes[#Data],5)),"-")</f>
        <v>-</v>
      </c>
      <c r="H73" s="35" t="str">
        <f>IFERROR(IF(VLOOKUP($B73,casostestes[#Data],6)=0,"-",VLOOKUP($B73,casostestes[#Data],6)),"-")</f>
        <v>-</v>
      </c>
      <c r="I73" s="35" t="str">
        <f>IFERROR(IF(VLOOKUP($B73,casostestes[#Data],8)=0,"-",VLOOKUP($B73,casostestes[#Data],8)),"-")</f>
        <v>-</v>
      </c>
      <c r="J73" s="35" t="str">
        <f>IFERROR(IF(VLOOKUP($B73,casostestes[#Data],9)=0,"-",VLOOKUP($B73,casostestes[#Data],9)),"-")</f>
        <v>-</v>
      </c>
      <c r="K73" s="37" t="str">
        <f>IFERROR(IF(VLOOKUP($B73,orlando[#Data],12)=0,"Não executado",VLOOKUP($B73,orlando[#Data],12)),"Não executado")</f>
        <v>Não executado</v>
      </c>
      <c r="L73" s="37" t="str">
        <f>IFERROR(IF(VLOOKUP($B73,mauricio[#Data],12)=0,"Não executado",VLOOKUP($B73,mauricio[#Data],12)),"Não executado")</f>
        <v>Não executado</v>
      </c>
      <c r="M73" s="37" t="str">
        <f>IFERROR(IF(VLOOKUP($B73,Thaisa[#Data],12)=0,"Não executado",VLOOKUP($B73,Thaisa[#Data],12)),"Não executado")</f>
        <v>Não executado</v>
      </c>
      <c r="N73" s="37" t="str">
        <f>IFERROR(IF(VLOOKUP($B73,carlos[#Data],12)=0,"Não executado",VLOOKUP($B73,carlos[#Data],12)),"Não executado")</f>
        <v>Não executado</v>
      </c>
      <c r="O73" s="37" t="str">
        <f>IFERROR(IF(VLOOKUP($B73,Alessandra[#Data],12)=0,"Não executado",VLOOKUP($B73,Alessandra[#Data],12)),"Não executado")</f>
        <v>Não executado</v>
      </c>
      <c r="P73" s="37" t="str">
        <f>IFERROR(IF(VLOOKUP($B73,AnaCarolina[#Data],12)=0,"Não executado",VLOOKUP($B73,AnaCarolina[#Data],12)),"Não executado")</f>
        <v>Não executado</v>
      </c>
      <c r="Q73" s="37" t="str">
        <f>IFERROR(IF(VLOOKUP($B73,wanei[#Data],12)=0,"Não executado",VLOOKUP($B73,wanei[#Data],12)),"Não executado")</f>
        <v>Não executado</v>
      </c>
      <c r="R73" s="37" t="str">
        <f>IFERROR(IF(VLOOKUP($B73,janaina[#Data],12)=0,"Não executado",VLOOKUP($B73,janaina[#Data],12)),"Não executado")</f>
        <v>Não executado</v>
      </c>
      <c r="S73" s="93" t="str">
        <f>IFERROR(IF(VLOOKUP($B56,andreia[#Data],12)=0,"Não executado",VLOOKUP($B56,andreia[#Data],12)),"Não executado")</f>
        <v>Não executado</v>
      </c>
      <c r="T73" s="37" t="str">
        <f>IFERROR(IF(VLOOKUP($B56,homologador[#Data],12)=0,"Não executado",VLOOKUP($B56,homologador[#Data],12)),"Não executado")</f>
        <v>Não executado</v>
      </c>
      <c r="W73" s="13"/>
    </row>
    <row r="74" spans="2:23">
      <c r="B74" s="40" t="str">
        <f>IF(ISERR(casostestes[[#This Row],[ID]]),"-",casostestes[[#This Row],[ID]])</f>
        <v>-</v>
      </c>
      <c r="C74" s="34" t="str">
        <f>IFERROR(IF(VLOOKUP($B74,casostestes[#Data],10)=0,"Não",VLOOKUP($B74,casostestes[#Data],10)), "-")</f>
        <v>-</v>
      </c>
      <c r="D74" s="35" t="str">
        <f>IFERROR(IF(VLOOKUP($B74,casostestes[#Data],2)=0,"-",VLOOKUP($B74,casostestes[#Data],2)), "-")</f>
        <v>-</v>
      </c>
      <c r="E74" s="35" t="str">
        <f>IFERROR(IF(VLOOKUP($B74,casostestes[#Data],3)=0,"-",VLOOKUP($B74,casostestes[#Data],3)), "-")</f>
        <v>-</v>
      </c>
      <c r="F74" s="35" t="str">
        <f>IFERROR(IF(VLOOKUP($B74,casostestes[#Data],4)=0,"-",VLOOKUP($B74,casostestes[#Data],4)),"-")</f>
        <v>-</v>
      </c>
      <c r="G74" s="35" t="str">
        <f>IFERROR(IF(VLOOKUP($B74,casostestes[#Data],5)=0,"-",VLOOKUP($B74,casostestes[#Data],5)),"-")</f>
        <v>-</v>
      </c>
      <c r="H74" s="35" t="str">
        <f>IFERROR(IF(VLOOKUP($B74,casostestes[#Data],6)=0,"-",VLOOKUP($B74,casostestes[#Data],6)),"-")</f>
        <v>-</v>
      </c>
      <c r="I74" s="35" t="str">
        <f>IFERROR(IF(VLOOKUP($B74,casostestes[#Data],8)=0,"-",VLOOKUP($B74,casostestes[#Data],8)),"-")</f>
        <v>-</v>
      </c>
      <c r="J74" s="35" t="str">
        <f>IFERROR(IF(VLOOKUP($B74,casostestes[#Data],9)=0,"-",VLOOKUP($B74,casostestes[#Data],9)),"-")</f>
        <v>-</v>
      </c>
      <c r="K74" s="37" t="str">
        <f>IFERROR(IF(VLOOKUP($B74,orlando[#Data],12)=0,"Não executado",VLOOKUP($B74,orlando[#Data],12)),"Não executado")</f>
        <v>Não executado</v>
      </c>
      <c r="L74" s="37" t="str">
        <f>IFERROR(IF(VLOOKUP($B74,mauricio[#Data],12)=0,"Não executado",VLOOKUP($B74,mauricio[#Data],12)),"Não executado")</f>
        <v>Não executado</v>
      </c>
      <c r="M74" s="37" t="str">
        <f>IFERROR(IF(VLOOKUP($B74,Thaisa[#Data],12)=0,"Não executado",VLOOKUP($B74,Thaisa[#Data],12)),"Não executado")</f>
        <v>Não executado</v>
      </c>
      <c r="N74" s="37" t="str">
        <f>IFERROR(IF(VLOOKUP($B74,carlos[#Data],12)=0,"Não executado",VLOOKUP($B74,carlos[#Data],12)),"Não executado")</f>
        <v>Não executado</v>
      </c>
      <c r="O74" s="37" t="str">
        <f>IFERROR(IF(VLOOKUP($B74,Alessandra[#Data],12)=0,"Não executado",VLOOKUP($B74,Alessandra[#Data],12)),"Não executado")</f>
        <v>Não executado</v>
      </c>
      <c r="P74" s="37" t="str">
        <f>IFERROR(IF(VLOOKUP($B74,AnaCarolina[#Data],12)=0,"Não executado",VLOOKUP($B74,AnaCarolina[#Data],12)),"Não executado")</f>
        <v>Não executado</v>
      </c>
      <c r="Q74" s="37" t="str">
        <f>IFERROR(IF(VLOOKUP($B74,wanei[#Data],12)=0,"Não executado",VLOOKUP($B74,wanei[#Data],12)),"Não executado")</f>
        <v>Não executado</v>
      </c>
      <c r="R74" s="37" t="str">
        <f>IFERROR(IF(VLOOKUP($B74,janaina[#Data],12)=0,"Não executado",VLOOKUP($B74,janaina[#Data],12)),"Não executado")</f>
        <v>Não executado</v>
      </c>
      <c r="S74" s="93" t="str">
        <f>IFERROR(IF(VLOOKUP($B57,andreia[#Data],12)=0,"Não executado",VLOOKUP($B57,andreia[#Data],12)),"Não executado")</f>
        <v>Não executado</v>
      </c>
      <c r="T74" s="37" t="str">
        <f>IFERROR(IF(VLOOKUP($B57,homologador[#Data],12)=0,"Não executado",VLOOKUP($B57,homologador[#Data],12)),"Não executado")</f>
        <v>Não executado</v>
      </c>
      <c r="W74" s="13"/>
    </row>
    <row r="75" spans="2:23">
      <c r="B75" s="40" t="str">
        <f>IF(ISERR(casostestes[[#This Row],[ID]]),"-",casostestes[[#This Row],[ID]])</f>
        <v>-</v>
      </c>
      <c r="C75" s="34" t="str">
        <f>IFERROR(IF(VLOOKUP($B75,casostestes[#Data],10)=0,"Não",VLOOKUP($B75,casostestes[#Data],10)), "-")</f>
        <v>-</v>
      </c>
      <c r="D75" s="35" t="str">
        <f>IFERROR(IF(VLOOKUP($B75,casostestes[#Data],2)=0,"-",VLOOKUP($B75,casostestes[#Data],2)), "-")</f>
        <v>-</v>
      </c>
      <c r="E75" s="35" t="str">
        <f>IFERROR(IF(VLOOKUP($B75,casostestes[#Data],3)=0,"-",VLOOKUP($B75,casostestes[#Data],3)), "-")</f>
        <v>-</v>
      </c>
      <c r="F75" s="35" t="str">
        <f>IFERROR(IF(VLOOKUP($B75,casostestes[#Data],4)=0,"-",VLOOKUP($B75,casostestes[#Data],4)),"-")</f>
        <v>-</v>
      </c>
      <c r="G75" s="35" t="str">
        <f>IFERROR(IF(VLOOKUP($B75,casostestes[#Data],5)=0,"-",VLOOKUP($B75,casostestes[#Data],5)),"-")</f>
        <v>-</v>
      </c>
      <c r="H75" s="35" t="str">
        <f>IFERROR(IF(VLOOKUP($B75,casostestes[#Data],6)=0,"-",VLOOKUP($B75,casostestes[#Data],6)),"-")</f>
        <v>-</v>
      </c>
      <c r="I75" s="35" t="str">
        <f>IFERROR(IF(VLOOKUP($B75,casostestes[#Data],8)=0,"-",VLOOKUP($B75,casostestes[#Data],8)),"-")</f>
        <v>-</v>
      </c>
      <c r="J75" s="35" t="str">
        <f>IFERROR(IF(VLOOKUP($B75,casostestes[#Data],9)=0,"-",VLOOKUP($B75,casostestes[#Data],9)),"-")</f>
        <v>-</v>
      </c>
      <c r="K75" s="37" t="str">
        <f>IFERROR(IF(VLOOKUP($B75,orlando[#Data],12)=0,"Não executado",VLOOKUP($B75,orlando[#Data],12)),"Não executado")</f>
        <v>Não executado</v>
      </c>
      <c r="L75" s="37" t="str">
        <f>IFERROR(IF(VLOOKUP($B75,mauricio[#Data],12)=0,"Não executado",VLOOKUP($B75,mauricio[#Data],12)),"Não executado")</f>
        <v>Não executado</v>
      </c>
      <c r="M75" s="37" t="str">
        <f>IFERROR(IF(VLOOKUP($B75,Thaisa[#Data],12)=0,"Não executado",VLOOKUP($B75,Thaisa[#Data],12)),"Não executado")</f>
        <v>Não executado</v>
      </c>
      <c r="N75" s="37" t="str">
        <f>IFERROR(IF(VLOOKUP($B75,carlos[#Data],12)=0,"Não executado",VLOOKUP($B75,carlos[#Data],12)),"Não executado")</f>
        <v>Não executado</v>
      </c>
      <c r="O75" s="37" t="str">
        <f>IFERROR(IF(VLOOKUP($B75,Alessandra[#Data],12)=0,"Não executado",VLOOKUP($B75,Alessandra[#Data],12)),"Não executado")</f>
        <v>Não executado</v>
      </c>
      <c r="P75" s="37" t="str">
        <f>IFERROR(IF(VLOOKUP($B75,AnaCarolina[#Data],12)=0,"Não executado",VLOOKUP($B75,AnaCarolina[#Data],12)),"Não executado")</f>
        <v>Não executado</v>
      </c>
      <c r="Q75" s="37" t="str">
        <f>IFERROR(IF(VLOOKUP($B75,wanei[#Data],12)=0,"Não executado",VLOOKUP($B75,wanei[#Data],12)),"Não executado")</f>
        <v>Não executado</v>
      </c>
      <c r="R75" s="37" t="str">
        <f>IFERROR(IF(VLOOKUP($B75,janaina[#Data],12)=0,"Não executado",VLOOKUP($B75,janaina[#Data],12)),"Não executado")</f>
        <v>Não executado</v>
      </c>
      <c r="S75" s="93" t="str">
        <f>IFERROR(IF(VLOOKUP($B58,andreia[#Data],12)=0,"Não executado",VLOOKUP($B58,andreia[#Data],12)),"Não executado")</f>
        <v>Não executado</v>
      </c>
      <c r="T75" s="37" t="str">
        <f>IFERROR(IF(VLOOKUP($B58,homologador[#Data],12)=0,"Não executado",VLOOKUP($B58,homologador[#Data],12)),"Não executado")</f>
        <v>Não executado</v>
      </c>
      <c r="W75" s="13"/>
    </row>
    <row r="76" spans="2:23">
      <c r="B76" s="40" t="str">
        <f>IF(ISERR(casostestes[[#This Row],[ID]]),"-",casostestes[[#This Row],[ID]])</f>
        <v>-</v>
      </c>
      <c r="C76" s="34" t="str">
        <f>IFERROR(IF(VLOOKUP($B76,casostestes[#Data],10)=0,"Não",VLOOKUP($B76,casostestes[#Data],10)), "-")</f>
        <v>-</v>
      </c>
      <c r="D76" s="35" t="str">
        <f>IFERROR(IF(VLOOKUP($B76,casostestes[#Data],2)=0,"-",VLOOKUP($B76,casostestes[#Data],2)), "-")</f>
        <v>-</v>
      </c>
      <c r="E76" s="35" t="str">
        <f>IFERROR(IF(VLOOKUP($B76,casostestes[#Data],3)=0,"-",VLOOKUP($B76,casostestes[#Data],3)), "-")</f>
        <v>-</v>
      </c>
      <c r="F76" s="35" t="str">
        <f>IFERROR(IF(VLOOKUP($B76,casostestes[#Data],4)=0,"-",VLOOKUP($B76,casostestes[#Data],4)),"-")</f>
        <v>-</v>
      </c>
      <c r="G76" s="35" t="str">
        <f>IFERROR(IF(VLOOKUP($B76,casostestes[#Data],5)=0,"-",VLOOKUP($B76,casostestes[#Data],5)),"-")</f>
        <v>-</v>
      </c>
      <c r="H76" s="35" t="str">
        <f>IFERROR(IF(VLOOKUP($B76,casostestes[#Data],6)=0,"-",VLOOKUP($B76,casostestes[#Data],6)),"-")</f>
        <v>-</v>
      </c>
      <c r="I76" s="35" t="str">
        <f>IFERROR(IF(VLOOKUP($B76,casostestes[#Data],8)=0,"-",VLOOKUP($B76,casostestes[#Data],8)),"-")</f>
        <v>-</v>
      </c>
      <c r="J76" s="35" t="str">
        <f>IFERROR(IF(VLOOKUP($B76,casostestes[#Data],9)=0,"-",VLOOKUP($B76,casostestes[#Data],9)),"-")</f>
        <v>-</v>
      </c>
      <c r="K76" s="37" t="str">
        <f>IFERROR(IF(VLOOKUP($B76,orlando[#Data],12)=0,"Não executado",VLOOKUP($B76,orlando[#Data],12)),"Não executado")</f>
        <v>Não executado</v>
      </c>
      <c r="L76" s="37" t="str">
        <f>IFERROR(IF(VLOOKUP($B76,mauricio[#Data],12)=0,"Não executado",VLOOKUP($B76,mauricio[#Data],12)),"Não executado")</f>
        <v>Não executado</v>
      </c>
      <c r="M76" s="37" t="str">
        <f>IFERROR(IF(VLOOKUP($B76,Thaisa[#Data],12)=0,"Não executado",VLOOKUP($B76,Thaisa[#Data],12)),"Não executado")</f>
        <v>Não executado</v>
      </c>
      <c r="N76" s="37" t="str">
        <f>IFERROR(IF(VLOOKUP($B76,carlos[#Data],12)=0,"Não executado",VLOOKUP($B76,carlos[#Data],12)),"Não executado")</f>
        <v>Não executado</v>
      </c>
      <c r="O76" s="37" t="str">
        <f>IFERROR(IF(VLOOKUP($B76,Alessandra[#Data],12)=0,"Não executado",VLOOKUP($B76,Alessandra[#Data],12)),"Não executado")</f>
        <v>Não executado</v>
      </c>
      <c r="P76" s="37" t="str">
        <f>IFERROR(IF(VLOOKUP($B76,AnaCarolina[#Data],12)=0,"Não executado",VLOOKUP($B76,AnaCarolina[#Data],12)),"Não executado")</f>
        <v>Não executado</v>
      </c>
      <c r="Q76" s="37" t="str">
        <f>IFERROR(IF(VLOOKUP($B76,wanei[#Data],12)=0,"Não executado",VLOOKUP($B76,wanei[#Data],12)),"Não executado")</f>
        <v>Não executado</v>
      </c>
      <c r="R76" s="37" t="str">
        <f>IFERROR(IF(VLOOKUP($B76,janaina[#Data],12)=0,"Não executado",VLOOKUP($B76,janaina[#Data],12)),"Não executado")</f>
        <v>Não executado</v>
      </c>
      <c r="S76" s="93" t="str">
        <f>IFERROR(IF(VLOOKUP($B59,andreia[#Data],12)=0,"Não executado",VLOOKUP($B59,andreia[#Data],12)),"Não executado")</f>
        <v>Não executado</v>
      </c>
      <c r="T76" s="37" t="str">
        <f>IFERROR(IF(VLOOKUP($B59,homologador[#Data],12)=0,"Não executado",VLOOKUP($B59,homologador[#Data],12)),"Não executado")</f>
        <v>Não executado</v>
      </c>
      <c r="W76" s="13"/>
    </row>
    <row r="77" spans="2:23">
      <c r="B77" s="40" t="str">
        <f>IF(ISERR(casostestes[[#This Row],[ID]]),"-",casostestes[[#This Row],[ID]])</f>
        <v>-</v>
      </c>
      <c r="C77" s="34" t="str">
        <f>IFERROR(IF(VLOOKUP($B77,casostestes[#Data],10)=0,"Não",VLOOKUP($B77,casostestes[#Data],10)), "-")</f>
        <v>-</v>
      </c>
      <c r="D77" s="35" t="str">
        <f>IFERROR(IF(VLOOKUP($B77,casostestes[#Data],2)=0,"-",VLOOKUP($B77,casostestes[#Data],2)), "-")</f>
        <v>-</v>
      </c>
      <c r="E77" s="35" t="str">
        <f>IFERROR(IF(VLOOKUP($B77,casostestes[#Data],3)=0,"-",VLOOKUP($B77,casostestes[#Data],3)), "-")</f>
        <v>-</v>
      </c>
      <c r="F77" s="35" t="str">
        <f>IFERROR(IF(VLOOKUP($B77,casostestes[#Data],4)=0,"-",VLOOKUP($B77,casostestes[#Data],4)),"-")</f>
        <v>-</v>
      </c>
      <c r="G77" s="35" t="str">
        <f>IFERROR(IF(VLOOKUP($B77,casostestes[#Data],5)=0,"-",VLOOKUP($B77,casostestes[#Data],5)),"-")</f>
        <v>-</v>
      </c>
      <c r="H77" s="35" t="str">
        <f>IFERROR(IF(VLOOKUP($B77,casostestes[#Data],6)=0,"-",VLOOKUP($B77,casostestes[#Data],6)),"-")</f>
        <v>-</v>
      </c>
      <c r="I77" s="35" t="str">
        <f>IFERROR(IF(VLOOKUP($B77,casostestes[#Data],8)=0,"-",VLOOKUP($B77,casostestes[#Data],8)),"-")</f>
        <v>-</v>
      </c>
      <c r="J77" s="35" t="str">
        <f>IFERROR(IF(VLOOKUP($B77,casostestes[#Data],9)=0,"-",VLOOKUP($B77,casostestes[#Data],9)),"-")</f>
        <v>-</v>
      </c>
      <c r="K77" s="37" t="str">
        <f>IFERROR(IF(VLOOKUP($B77,orlando[#Data],12)=0,"Não executado",VLOOKUP($B77,orlando[#Data],12)),"Não executado")</f>
        <v>Não executado</v>
      </c>
      <c r="L77" s="37" t="str">
        <f>IFERROR(IF(VLOOKUP($B77,mauricio[#Data],12)=0,"Não executado",VLOOKUP($B77,mauricio[#Data],12)),"Não executado")</f>
        <v>Não executado</v>
      </c>
      <c r="M77" s="37" t="str">
        <f>IFERROR(IF(VLOOKUP($B77,Thaisa[#Data],12)=0,"Não executado",VLOOKUP($B77,Thaisa[#Data],12)),"Não executado")</f>
        <v>Não executado</v>
      </c>
      <c r="N77" s="37" t="str">
        <f>IFERROR(IF(VLOOKUP($B77,carlos[#Data],12)=0,"Não executado",VLOOKUP($B77,carlos[#Data],12)),"Não executado")</f>
        <v>Não executado</v>
      </c>
      <c r="O77" s="37" t="str">
        <f>IFERROR(IF(VLOOKUP($B77,Alessandra[#Data],12)=0,"Não executado",VLOOKUP($B77,Alessandra[#Data],12)),"Não executado")</f>
        <v>Não executado</v>
      </c>
      <c r="P77" s="37" t="str">
        <f>IFERROR(IF(VLOOKUP($B77,AnaCarolina[#Data],12)=0,"Não executado",VLOOKUP($B77,AnaCarolina[#Data],12)),"Não executado")</f>
        <v>Não executado</v>
      </c>
      <c r="Q77" s="37" t="str">
        <f>IFERROR(IF(VLOOKUP($B77,wanei[#Data],12)=0,"Não executado",VLOOKUP($B77,wanei[#Data],12)),"Não executado")</f>
        <v>Não executado</v>
      </c>
      <c r="R77" s="37" t="str">
        <f>IFERROR(IF(VLOOKUP($B77,janaina[#Data],12)=0,"Não executado",VLOOKUP($B77,janaina[#Data],12)),"Não executado")</f>
        <v>Não executado</v>
      </c>
      <c r="S77" s="93" t="str">
        <f>IFERROR(IF(VLOOKUP($B60,andreia[#Data],12)=0,"Não executado",VLOOKUP($B60,andreia[#Data],12)),"Não executado")</f>
        <v>Não executado</v>
      </c>
      <c r="T77" s="37" t="str">
        <f>IFERROR(IF(VLOOKUP($B60,homologador[#Data],12)=0,"Não executado",VLOOKUP($B60,homologador[#Data],12)),"Não executado")</f>
        <v>Não executado</v>
      </c>
      <c r="W77" s="13"/>
    </row>
    <row r="78" spans="2:23">
      <c r="B78" s="40" t="str">
        <f>IF(ISERR(casostestes[[#This Row],[ID]]),"-",casostestes[[#This Row],[ID]])</f>
        <v>-</v>
      </c>
      <c r="C78" s="34" t="str">
        <f>IFERROR(IF(VLOOKUP($B78,casostestes[#Data],10)=0,"Não",VLOOKUP($B78,casostestes[#Data],10)), "-")</f>
        <v>-</v>
      </c>
      <c r="D78" s="35" t="str">
        <f>IFERROR(IF(VLOOKUP($B78,casostestes[#Data],2)=0,"-",VLOOKUP($B78,casostestes[#Data],2)), "-")</f>
        <v>-</v>
      </c>
      <c r="E78" s="35" t="str">
        <f>IFERROR(IF(VLOOKUP($B78,casostestes[#Data],3)=0,"-",VLOOKUP($B78,casostestes[#Data],3)), "-")</f>
        <v>-</v>
      </c>
      <c r="F78" s="35" t="str">
        <f>IFERROR(IF(VLOOKUP($B78,casostestes[#Data],4)=0,"-",VLOOKUP($B78,casostestes[#Data],4)),"-")</f>
        <v>-</v>
      </c>
      <c r="G78" s="35" t="str">
        <f>IFERROR(IF(VLOOKUP($B78,casostestes[#Data],5)=0,"-",VLOOKUP($B78,casostestes[#Data],5)),"-")</f>
        <v>-</v>
      </c>
      <c r="H78" s="35" t="str">
        <f>IFERROR(IF(VLOOKUP($B78,casostestes[#Data],6)=0,"-",VLOOKUP($B78,casostestes[#Data],6)),"-")</f>
        <v>-</v>
      </c>
      <c r="I78" s="35" t="str">
        <f>IFERROR(IF(VLOOKUP($B78,casostestes[#Data],8)=0,"-",VLOOKUP($B78,casostestes[#Data],8)),"-")</f>
        <v>-</v>
      </c>
      <c r="J78" s="35" t="str">
        <f>IFERROR(IF(VLOOKUP($B78,casostestes[#Data],9)=0,"-",VLOOKUP($B78,casostestes[#Data],9)),"-")</f>
        <v>-</v>
      </c>
      <c r="K78" s="37" t="str">
        <f>IFERROR(IF(VLOOKUP($B78,orlando[#Data],12)=0,"Não executado",VLOOKUP($B78,orlando[#Data],12)),"Não executado")</f>
        <v>Não executado</v>
      </c>
      <c r="L78" s="37" t="str">
        <f>IFERROR(IF(VLOOKUP($B78,mauricio[#Data],12)=0,"Não executado",VLOOKUP($B78,mauricio[#Data],12)),"Não executado")</f>
        <v>Não executado</v>
      </c>
      <c r="M78" s="37" t="str">
        <f>IFERROR(IF(VLOOKUP($B78,Thaisa[#Data],12)=0,"Não executado",VLOOKUP($B78,Thaisa[#Data],12)),"Não executado")</f>
        <v>Não executado</v>
      </c>
      <c r="N78" s="37" t="str">
        <f>IFERROR(IF(VLOOKUP($B78,carlos[#Data],12)=0,"Não executado",VLOOKUP($B78,carlos[#Data],12)),"Não executado")</f>
        <v>Não executado</v>
      </c>
      <c r="O78" s="37" t="str">
        <f>IFERROR(IF(VLOOKUP($B78,Alessandra[#Data],12)=0,"Não executado",VLOOKUP($B78,Alessandra[#Data],12)),"Não executado")</f>
        <v>Não executado</v>
      </c>
      <c r="P78" s="37" t="str">
        <f>IFERROR(IF(VLOOKUP($B78,AnaCarolina[#Data],12)=0,"Não executado",VLOOKUP($B78,AnaCarolina[#Data],12)),"Não executado")</f>
        <v>Não executado</v>
      </c>
      <c r="Q78" s="37" t="str">
        <f>IFERROR(IF(VLOOKUP($B78,wanei[#Data],12)=0,"Não executado",VLOOKUP($B78,wanei[#Data],12)),"Não executado")</f>
        <v>Não executado</v>
      </c>
      <c r="R78" s="37" t="str">
        <f>IFERROR(IF(VLOOKUP($B78,janaina[#Data],12)=0,"Não executado",VLOOKUP($B78,janaina[#Data],12)),"Não executado")</f>
        <v>Não executado</v>
      </c>
      <c r="S78" s="93" t="str">
        <f>IFERROR(IF(VLOOKUP($B61,andreia[#Data],12)=0,"Não executado",VLOOKUP($B61,andreia[#Data],12)),"Não executado")</f>
        <v>Não executado</v>
      </c>
      <c r="T78" s="37" t="str">
        <f>IFERROR(IF(VLOOKUP($B61,homologador[#Data],12)=0,"Não executado",VLOOKUP($B61,homologador[#Data],12)),"Não executado")</f>
        <v>Não executado</v>
      </c>
      <c r="W78" s="13"/>
    </row>
    <row r="79" spans="2:23">
      <c r="B79" s="40" t="str">
        <f>IF(ISERR(casostestes[[#This Row],[ID]]),"-",casostestes[[#This Row],[ID]])</f>
        <v>-</v>
      </c>
      <c r="C79" s="34" t="str">
        <f>IFERROR(IF(VLOOKUP($B79,casostestes[#Data],10)=0,"Não",VLOOKUP($B79,casostestes[#Data],10)), "-")</f>
        <v>-</v>
      </c>
      <c r="D79" s="35" t="str">
        <f>IFERROR(IF(VLOOKUP($B79,casostestes[#Data],2)=0,"-",VLOOKUP($B79,casostestes[#Data],2)), "-")</f>
        <v>-</v>
      </c>
      <c r="E79" s="35" t="str">
        <f>IFERROR(IF(VLOOKUP($B79,casostestes[#Data],3)=0,"-",VLOOKUP($B79,casostestes[#Data],3)), "-")</f>
        <v>-</v>
      </c>
      <c r="F79" s="35" t="str">
        <f>IFERROR(IF(VLOOKUP($B79,casostestes[#Data],4)=0,"-",VLOOKUP($B79,casostestes[#Data],4)),"-")</f>
        <v>-</v>
      </c>
      <c r="G79" s="35" t="str">
        <f>IFERROR(IF(VLOOKUP($B79,casostestes[#Data],5)=0,"-",VLOOKUP($B79,casostestes[#Data],5)),"-")</f>
        <v>-</v>
      </c>
      <c r="H79" s="35" t="str">
        <f>IFERROR(IF(VLOOKUP($B79,casostestes[#Data],6)=0,"-",VLOOKUP($B79,casostestes[#Data],6)),"-")</f>
        <v>-</v>
      </c>
      <c r="I79" s="35" t="str">
        <f>IFERROR(IF(VLOOKUP($B79,casostestes[#Data],8)=0,"-",VLOOKUP($B79,casostestes[#Data],8)),"-")</f>
        <v>-</v>
      </c>
      <c r="J79" s="35" t="str">
        <f>IFERROR(IF(VLOOKUP($B79,casostestes[#Data],9)=0,"-",VLOOKUP($B79,casostestes[#Data],9)),"-")</f>
        <v>-</v>
      </c>
      <c r="K79" s="37" t="str">
        <f>IFERROR(IF(VLOOKUP($B79,orlando[#Data],12)=0,"Não executado",VLOOKUP($B79,orlando[#Data],12)),"Não executado")</f>
        <v>Não executado</v>
      </c>
      <c r="L79" s="37" t="str">
        <f>IFERROR(IF(VLOOKUP($B79,mauricio[#Data],12)=0,"Não executado",VLOOKUP($B79,mauricio[#Data],12)),"Não executado")</f>
        <v>Não executado</v>
      </c>
      <c r="M79" s="37" t="str">
        <f>IFERROR(IF(VLOOKUP($B79,Thaisa[#Data],12)=0,"Não executado",VLOOKUP($B79,Thaisa[#Data],12)),"Não executado")</f>
        <v>Não executado</v>
      </c>
      <c r="N79" s="37" t="str">
        <f>IFERROR(IF(VLOOKUP($B79,carlos[#Data],12)=0,"Não executado",VLOOKUP($B79,carlos[#Data],12)),"Não executado")</f>
        <v>Não executado</v>
      </c>
      <c r="O79" s="37" t="str">
        <f>IFERROR(IF(VLOOKUP($B79,Alessandra[#Data],12)=0,"Não executado",VLOOKUP($B79,Alessandra[#Data],12)),"Não executado")</f>
        <v>Não executado</v>
      </c>
      <c r="P79" s="37" t="str">
        <f>IFERROR(IF(VLOOKUP($B79,AnaCarolina[#Data],12)=0,"Não executado",VLOOKUP($B79,AnaCarolina[#Data],12)),"Não executado")</f>
        <v>Não executado</v>
      </c>
      <c r="Q79" s="37" t="str">
        <f>IFERROR(IF(VLOOKUP($B79,wanei[#Data],12)=0,"Não executado",VLOOKUP($B79,wanei[#Data],12)),"Não executado")</f>
        <v>Não executado</v>
      </c>
      <c r="R79" s="37" t="str">
        <f>IFERROR(IF(VLOOKUP($B79,janaina[#Data],12)=0,"Não executado",VLOOKUP($B79,janaina[#Data],12)),"Não executado")</f>
        <v>Não executado</v>
      </c>
      <c r="S79" s="93" t="str">
        <f>IFERROR(IF(VLOOKUP($B62,andreia[#Data],12)=0,"Não executado",VLOOKUP($B62,andreia[#Data],12)),"Não executado")</f>
        <v>Não executado</v>
      </c>
      <c r="T79" s="37" t="str">
        <f>IFERROR(IF(VLOOKUP($B62,homologador[#Data],12)=0,"Não executado",VLOOKUP($B62,homologador[#Data],12)),"Não executado")</f>
        <v>Não executado</v>
      </c>
      <c r="W79" s="13"/>
    </row>
    <row r="80" spans="2:23">
      <c r="B80" s="40" t="str">
        <f>IF(ISERR(casostestes[[#This Row],[ID]]),"-",casostestes[[#This Row],[ID]])</f>
        <v>-</v>
      </c>
      <c r="C80" s="34" t="str">
        <f>IFERROR(IF(VLOOKUP($B80,casostestes[#Data],10)=0,"Não",VLOOKUP($B80,casostestes[#Data],10)), "-")</f>
        <v>-</v>
      </c>
      <c r="D80" s="35" t="str">
        <f>IFERROR(IF(VLOOKUP($B80,casostestes[#Data],2)=0,"-",VLOOKUP($B80,casostestes[#Data],2)), "-")</f>
        <v>-</v>
      </c>
      <c r="E80" s="35" t="str">
        <f>IFERROR(IF(VLOOKUP($B80,casostestes[#Data],3)=0,"-",VLOOKUP($B80,casostestes[#Data],3)), "-")</f>
        <v>-</v>
      </c>
      <c r="F80" s="35" t="str">
        <f>IFERROR(IF(VLOOKUP($B80,casostestes[#Data],4)=0,"-",VLOOKUP($B80,casostestes[#Data],4)),"-")</f>
        <v>-</v>
      </c>
      <c r="G80" s="35" t="str">
        <f>IFERROR(IF(VLOOKUP($B80,casostestes[#Data],5)=0,"-",VLOOKUP($B80,casostestes[#Data],5)),"-")</f>
        <v>-</v>
      </c>
      <c r="H80" s="35" t="str">
        <f>IFERROR(IF(VLOOKUP($B80,casostestes[#Data],6)=0,"-",VLOOKUP($B80,casostestes[#Data],6)),"-")</f>
        <v>-</v>
      </c>
      <c r="I80" s="35" t="str">
        <f>IFERROR(IF(VLOOKUP($B80,casostestes[#Data],8)=0,"-",VLOOKUP($B80,casostestes[#Data],8)),"-")</f>
        <v>-</v>
      </c>
      <c r="J80" s="35" t="str">
        <f>IFERROR(IF(VLOOKUP($B80,casostestes[#Data],9)=0,"-",VLOOKUP($B80,casostestes[#Data],9)),"-")</f>
        <v>-</v>
      </c>
      <c r="K80" s="37" t="str">
        <f>IFERROR(IF(VLOOKUP($B80,orlando[#Data],12)=0,"Não executado",VLOOKUP($B80,orlando[#Data],12)),"Não executado")</f>
        <v>Não executado</v>
      </c>
      <c r="L80" s="37" t="str">
        <f>IFERROR(IF(VLOOKUP($B80,mauricio[#Data],12)=0,"Não executado",VLOOKUP($B80,mauricio[#Data],12)),"Não executado")</f>
        <v>Não executado</v>
      </c>
      <c r="M80" s="37" t="str">
        <f>IFERROR(IF(VLOOKUP($B80,Thaisa[#Data],12)=0,"Não executado",VLOOKUP($B80,Thaisa[#Data],12)),"Não executado")</f>
        <v>Não executado</v>
      </c>
      <c r="N80" s="37" t="str">
        <f>IFERROR(IF(VLOOKUP($B80,carlos[#Data],12)=0,"Não executado",VLOOKUP($B80,carlos[#Data],12)),"Não executado")</f>
        <v>Não executado</v>
      </c>
      <c r="O80" s="37" t="str">
        <f>IFERROR(IF(VLOOKUP($B80,Alessandra[#Data],12)=0,"Não executado",VLOOKUP($B80,Alessandra[#Data],12)),"Não executado")</f>
        <v>Não executado</v>
      </c>
      <c r="P80" s="37" t="str">
        <f>IFERROR(IF(VLOOKUP($B80,AnaCarolina[#Data],12)=0,"Não executado",VLOOKUP($B80,AnaCarolina[#Data],12)),"Não executado")</f>
        <v>Não executado</v>
      </c>
      <c r="Q80" s="37" t="str">
        <f>IFERROR(IF(VLOOKUP($B80,wanei[#Data],12)=0,"Não executado",VLOOKUP($B80,wanei[#Data],12)),"Não executado")</f>
        <v>Não executado</v>
      </c>
      <c r="R80" s="37" t="str">
        <f>IFERROR(IF(VLOOKUP($B80,janaina[#Data],12)=0,"Não executado",VLOOKUP($B80,janaina[#Data],12)),"Não executado")</f>
        <v>Não executado</v>
      </c>
      <c r="S80" s="93" t="str">
        <f>IFERROR(IF(VLOOKUP($B63,andreia[#Data],12)=0,"Não executado",VLOOKUP($B63,andreia[#Data],12)),"Não executado")</f>
        <v>Não executado</v>
      </c>
      <c r="T80" s="37" t="str">
        <f>IFERROR(IF(VLOOKUP($B63,homologador[#Data],12)=0,"Não executado",VLOOKUP($B63,homologador[#Data],12)),"Não executado")</f>
        <v>Não executado</v>
      </c>
      <c r="W80" s="13"/>
    </row>
    <row r="81" spans="2:23">
      <c r="B81" s="40" t="str">
        <f>IF(ISERR(casostestes[[#This Row],[ID]]),"-",casostestes[[#This Row],[ID]])</f>
        <v>-</v>
      </c>
      <c r="C81" s="34" t="str">
        <f>IFERROR(IF(VLOOKUP($B81,casostestes[#Data],10)=0,"Não",VLOOKUP($B81,casostestes[#Data],10)), "-")</f>
        <v>-</v>
      </c>
      <c r="D81" s="35" t="str">
        <f>IFERROR(IF(VLOOKUP($B81,casostestes[#Data],2)=0,"-",VLOOKUP($B81,casostestes[#Data],2)), "-")</f>
        <v>-</v>
      </c>
      <c r="E81" s="35" t="str">
        <f>IFERROR(IF(VLOOKUP($B81,casostestes[#Data],3)=0,"-",VLOOKUP($B81,casostestes[#Data],3)), "-")</f>
        <v>-</v>
      </c>
      <c r="F81" s="35" t="str">
        <f>IFERROR(IF(VLOOKUP($B81,casostestes[#Data],4)=0,"-",VLOOKUP($B81,casostestes[#Data],4)),"-")</f>
        <v>-</v>
      </c>
      <c r="G81" s="35" t="str">
        <f>IFERROR(IF(VLOOKUP($B81,casostestes[#Data],5)=0,"-",VLOOKUP($B81,casostestes[#Data],5)),"-")</f>
        <v>-</v>
      </c>
      <c r="H81" s="35" t="str">
        <f>IFERROR(IF(VLOOKUP($B81,casostestes[#Data],6)=0,"-",VLOOKUP($B81,casostestes[#Data],6)),"-")</f>
        <v>-</v>
      </c>
      <c r="I81" s="35" t="str">
        <f>IFERROR(IF(VLOOKUP($B81,casostestes[#Data],8)=0,"-",VLOOKUP($B81,casostestes[#Data],8)),"-")</f>
        <v>-</v>
      </c>
      <c r="J81" s="35" t="str">
        <f>IFERROR(IF(VLOOKUP($B81,casostestes[#Data],9)=0,"-",VLOOKUP($B81,casostestes[#Data],9)),"-")</f>
        <v>-</v>
      </c>
      <c r="K81" s="37" t="str">
        <f>IFERROR(IF(VLOOKUP($B81,orlando[#Data],12)=0,"Não executado",VLOOKUP($B81,orlando[#Data],12)),"Não executado")</f>
        <v>Não executado</v>
      </c>
      <c r="L81" s="37" t="str">
        <f>IFERROR(IF(VLOOKUP($B81,mauricio[#Data],12)=0,"Não executado",VLOOKUP($B81,mauricio[#Data],12)),"Não executado")</f>
        <v>Não executado</v>
      </c>
      <c r="M81" s="37" t="str">
        <f>IFERROR(IF(VLOOKUP($B81,Thaisa[#Data],12)=0,"Não executado",VLOOKUP($B81,Thaisa[#Data],12)),"Não executado")</f>
        <v>Não executado</v>
      </c>
      <c r="N81" s="37" t="str">
        <f>IFERROR(IF(VLOOKUP($B81,carlos[#Data],12)=0,"Não executado",VLOOKUP($B81,carlos[#Data],12)),"Não executado")</f>
        <v>Não executado</v>
      </c>
      <c r="O81" s="37" t="str">
        <f>IFERROR(IF(VLOOKUP($B81,Alessandra[#Data],12)=0,"Não executado",VLOOKUP($B81,Alessandra[#Data],12)),"Não executado")</f>
        <v>Não executado</v>
      </c>
      <c r="P81" s="37" t="str">
        <f>IFERROR(IF(VLOOKUP($B81,AnaCarolina[#Data],12)=0,"Não executado",VLOOKUP($B81,AnaCarolina[#Data],12)),"Não executado")</f>
        <v>Não executado</v>
      </c>
      <c r="Q81" s="37" t="str">
        <f>IFERROR(IF(VLOOKUP($B81,wanei[#Data],12)=0,"Não executado",VLOOKUP($B81,wanei[#Data],12)),"Não executado")</f>
        <v>Não executado</v>
      </c>
      <c r="R81" s="37" t="str">
        <f>IFERROR(IF(VLOOKUP($B81,janaina[#Data],12)=0,"Não executado",VLOOKUP($B81,janaina[#Data],12)),"Não executado")</f>
        <v>Não executado</v>
      </c>
      <c r="S81" s="93" t="str">
        <f>IFERROR(IF(VLOOKUP($B64,andreia[#Data],12)=0,"Não executado",VLOOKUP($B64,andreia[#Data],12)),"Não executado")</f>
        <v>Não executado</v>
      </c>
      <c r="T81" s="37" t="str">
        <f>IFERROR(IF(VLOOKUP($B64,homologador[#Data],12)=0,"Não executado",VLOOKUP($B64,homologador[#Data],12)),"Não executado")</f>
        <v>Não executado</v>
      </c>
      <c r="W81" s="13"/>
    </row>
    <row r="82" spans="2:23">
      <c r="B82" s="40" t="str">
        <f>IF(ISERR(casostestes[[#This Row],[ID]]),"-",casostestes[[#This Row],[ID]])</f>
        <v>-</v>
      </c>
      <c r="C82" s="34" t="str">
        <f>IFERROR(IF(VLOOKUP($B82,casostestes[#Data],10)=0,"Não",VLOOKUP($B82,casostestes[#Data],10)), "-")</f>
        <v>-</v>
      </c>
      <c r="D82" s="35" t="str">
        <f>IFERROR(IF(VLOOKUP($B82,casostestes[#Data],2)=0,"-",VLOOKUP($B82,casostestes[#Data],2)), "-")</f>
        <v>-</v>
      </c>
      <c r="E82" s="35" t="str">
        <f>IFERROR(IF(VLOOKUP($B82,casostestes[#Data],3)=0,"-",VLOOKUP($B82,casostestes[#Data],3)), "-")</f>
        <v>-</v>
      </c>
      <c r="F82" s="35" t="str">
        <f>IFERROR(IF(VLOOKUP($B82,casostestes[#Data],4)=0,"-",VLOOKUP($B82,casostestes[#Data],4)),"-")</f>
        <v>-</v>
      </c>
      <c r="G82" s="35" t="str">
        <f>IFERROR(IF(VLOOKUP($B82,casostestes[#Data],5)=0,"-",VLOOKUP($B82,casostestes[#Data],5)),"-")</f>
        <v>-</v>
      </c>
      <c r="H82" s="35" t="str">
        <f>IFERROR(IF(VLOOKUP($B82,casostestes[#Data],6)=0,"-",VLOOKUP($B82,casostestes[#Data],6)),"-")</f>
        <v>-</v>
      </c>
      <c r="I82" s="35" t="str">
        <f>IFERROR(IF(VLOOKUP($B82,casostestes[#Data],8)=0,"-",VLOOKUP($B82,casostestes[#Data],8)),"-")</f>
        <v>-</v>
      </c>
      <c r="J82" s="35" t="str">
        <f>IFERROR(IF(VLOOKUP($B82,casostestes[#Data],9)=0,"-",VLOOKUP($B82,casostestes[#Data],9)),"-")</f>
        <v>-</v>
      </c>
      <c r="K82" s="37" t="str">
        <f>IFERROR(IF(VLOOKUP($B82,orlando[#Data],12)=0,"Não executado",VLOOKUP($B82,orlando[#Data],12)),"Não executado")</f>
        <v>Não executado</v>
      </c>
      <c r="L82" s="37" t="str">
        <f>IFERROR(IF(VLOOKUP($B82,mauricio[#Data],12)=0,"Não executado",VLOOKUP($B82,mauricio[#Data],12)),"Não executado")</f>
        <v>Não executado</v>
      </c>
      <c r="M82" s="37" t="str">
        <f>IFERROR(IF(VLOOKUP($B82,Thaisa[#Data],12)=0,"Não executado",VLOOKUP($B82,Thaisa[#Data],12)),"Não executado")</f>
        <v>Não executado</v>
      </c>
      <c r="N82" s="37" t="str">
        <f>IFERROR(IF(VLOOKUP($B82,carlos[#Data],12)=0,"Não executado",VLOOKUP($B82,carlos[#Data],12)),"Não executado")</f>
        <v>Não executado</v>
      </c>
      <c r="O82" s="37" t="str">
        <f>IFERROR(IF(VLOOKUP($B82,Alessandra[#Data],12)=0,"Não executado",VLOOKUP($B82,Alessandra[#Data],12)),"Não executado")</f>
        <v>Não executado</v>
      </c>
      <c r="P82" s="37" t="str">
        <f>IFERROR(IF(VLOOKUP($B82,AnaCarolina[#Data],12)=0,"Não executado",VLOOKUP($B82,AnaCarolina[#Data],12)),"Não executado")</f>
        <v>Não executado</v>
      </c>
      <c r="Q82" s="37" t="str">
        <f>IFERROR(IF(VLOOKUP($B82,wanei[#Data],12)=0,"Não executado",VLOOKUP($B82,wanei[#Data],12)),"Não executado")</f>
        <v>Não executado</v>
      </c>
      <c r="R82" s="37" t="str">
        <f>IFERROR(IF(VLOOKUP($B82,janaina[#Data],12)=0,"Não executado",VLOOKUP($B82,janaina[#Data],12)),"Não executado")</f>
        <v>Não executado</v>
      </c>
      <c r="S82" s="93" t="str">
        <f>IFERROR(IF(VLOOKUP($B65,andreia[#Data],12)=0,"Não executado",VLOOKUP($B65,andreia[#Data],12)),"Não executado")</f>
        <v>Não executado</v>
      </c>
      <c r="T82" s="37" t="str">
        <f>IFERROR(IF(VLOOKUP($B65,homologador[#Data],12)=0,"Não executado",VLOOKUP($B65,homologador[#Data],12)),"Não executado")</f>
        <v>Não executado</v>
      </c>
      <c r="W82" s="13"/>
    </row>
    <row r="83" spans="2:23">
      <c r="B83" s="40" t="str">
        <f>IF(ISERR(casostestes[[#This Row],[ID]]),"-",casostestes[[#This Row],[ID]])</f>
        <v>-</v>
      </c>
      <c r="C83" s="41" t="str">
        <f>IFERROR(IF(VLOOKUP($B83,casostestes[#Data],10)=0,"Não",VLOOKUP($B83,casostestes[#Data],10)), "-")</f>
        <v>-</v>
      </c>
      <c r="D83" s="42" t="str">
        <f>IFERROR(IF(VLOOKUP($B83,casostestes[#Data],2)=0,"-",VLOOKUP($B83,casostestes[#Data],2)), "-")</f>
        <v>-</v>
      </c>
      <c r="E83" s="42" t="str">
        <f>IFERROR(IF(VLOOKUP($B83,casostestes[#Data],3)=0,"-",VLOOKUP($B83,casostestes[#Data],3)), "-")</f>
        <v>-</v>
      </c>
      <c r="F83" s="42" t="str">
        <f>IFERROR(IF(VLOOKUP($B83,casostestes[#Data],4)=0,"-",VLOOKUP($B83,casostestes[#Data],4)),"-")</f>
        <v>-</v>
      </c>
      <c r="G83" s="42" t="str">
        <f>IFERROR(IF(VLOOKUP($B83,casostestes[#Data],5)=0,"-",VLOOKUP($B83,casostestes[#Data],5)),"-")</f>
        <v>-</v>
      </c>
      <c r="H83" s="42" t="str">
        <f>IFERROR(IF(VLOOKUP($B83,casostestes[#Data],6)=0,"-",VLOOKUP($B83,casostestes[#Data],6)),"-")</f>
        <v>-</v>
      </c>
      <c r="I83" s="42" t="str">
        <f>IFERROR(IF(VLOOKUP($B83,casostestes[#Data],8)=0,"-",VLOOKUP($B83,casostestes[#Data],8)),"-")</f>
        <v>-</v>
      </c>
      <c r="J83" s="42" t="str">
        <f>IFERROR(IF(VLOOKUP($B83,casostestes[#Data],9)=0,"-",VLOOKUP($B83,casostestes[#Data],9)),"-")</f>
        <v>-</v>
      </c>
      <c r="K83" s="44" t="str">
        <f>IFERROR(IF(VLOOKUP($B83,orlando[#Data],12)=0,"Não executado",VLOOKUP($B83,orlando[#Data],12)),"Não executado")</f>
        <v>Não executado</v>
      </c>
      <c r="L83" s="44" t="str">
        <f>IFERROR(IF(VLOOKUP($B83,mauricio[#Data],12)=0,"Não executado",VLOOKUP($B83,mauricio[#Data],12)),"Não executado")</f>
        <v>Não executado</v>
      </c>
      <c r="M83" s="44" t="str">
        <f>IFERROR(IF(VLOOKUP($B83,Thaisa[#Data],12)=0,"Não executado",VLOOKUP($B83,Thaisa[#Data],12)),"Não executado")</f>
        <v>Não executado</v>
      </c>
      <c r="N83" s="44" t="str">
        <f>IFERROR(IF(VLOOKUP($B83,carlos[#Data],12)=0,"Não executado",VLOOKUP($B83,carlos[#Data],12)),"Não executado")</f>
        <v>Não executado</v>
      </c>
      <c r="O83" s="44" t="str">
        <f>IFERROR(IF(VLOOKUP($B83,Alessandra[#Data],12)=0,"Não executado",VLOOKUP($B83,Alessandra[#Data],12)),"Não executado")</f>
        <v>Não executado</v>
      </c>
      <c r="P83" s="44" t="str">
        <f>IFERROR(IF(VLOOKUP($B83,AnaCarolina[#Data],12)=0,"Não executado",VLOOKUP($B83,AnaCarolina[#Data],12)),"Não executado")</f>
        <v>Não executado</v>
      </c>
      <c r="Q83" s="44" t="str">
        <f>IFERROR(IF(VLOOKUP($B83,wanei[#Data],12)=0,"Não executado",VLOOKUP($B83,wanei[#Data],12)),"Não executado")</f>
        <v>Não executado</v>
      </c>
      <c r="R83" s="44" t="str">
        <f>IFERROR(IF(VLOOKUP($B83,janaina[#Data],12)=0,"Não executado",VLOOKUP($B83,janaina[#Data],12)),"Não executado")</f>
        <v>Não executado</v>
      </c>
      <c r="S83" s="93" t="str">
        <f>IFERROR(IF(VLOOKUP($B66,andreia[#Data],12)=0,"Não executado",VLOOKUP($B66,andreia[#Data],12)),"Não executado")</f>
        <v>Não executado</v>
      </c>
      <c r="T83" s="37" t="str">
        <f>IFERROR(IF(VLOOKUP($B66,homologador[#Data],12)=0,"Não executado",VLOOKUP($B66,homologador[#Data],12)),"Não executado")</f>
        <v>Não executado</v>
      </c>
      <c r="W83" s="13"/>
    </row>
    <row r="84" spans="2:23">
      <c r="B84" s="40" t="str">
        <f>IF(ISERR(casostestes[[#This Row],[ID]]),"-",casostestes[[#This Row],[ID]])</f>
        <v>-</v>
      </c>
      <c r="C84" s="34" t="str">
        <f>IFERROR(IF(VLOOKUP($B84,casostestes[#Data],10)=0,"Não",VLOOKUP($B84,casostestes[#Data],10)), "-")</f>
        <v>-</v>
      </c>
      <c r="D84" s="35" t="str">
        <f>IFERROR(IF(VLOOKUP($B84,casostestes[#Data],2)=0,"-",VLOOKUP($B84,casostestes[#Data],2)), "-")</f>
        <v>-</v>
      </c>
      <c r="E84" s="35" t="str">
        <f>IFERROR(IF(VLOOKUP($B84,casostestes[#Data],3)=0,"-",VLOOKUP($B84,casostestes[#Data],3)), "-")</f>
        <v>-</v>
      </c>
      <c r="F84" s="35" t="str">
        <f>IFERROR(IF(VLOOKUP($B84,casostestes[#Data],4)=0,"-",VLOOKUP($B84,casostestes[#Data],4)),"-")</f>
        <v>-</v>
      </c>
      <c r="G84" s="35" t="str">
        <f>IFERROR(IF(VLOOKUP($B84,casostestes[#Data],5)=0,"-",VLOOKUP($B84,casostestes[#Data],5)),"-")</f>
        <v>-</v>
      </c>
      <c r="H84" s="35" t="str">
        <f>IFERROR(IF(VLOOKUP($B84,casostestes[#Data],6)=0,"-",VLOOKUP($B84,casostestes[#Data],6)),"-")</f>
        <v>-</v>
      </c>
      <c r="I84" s="35" t="str">
        <f>IFERROR(IF(VLOOKUP($B84,casostestes[#Data],8)=0,"-",VLOOKUP($B84,casostestes[#Data],8)),"-")</f>
        <v>-</v>
      </c>
      <c r="J84" s="35" t="str">
        <f>IFERROR(IF(VLOOKUP($B84,casostestes[#Data],9)=0,"-",VLOOKUP($B84,casostestes[#Data],9)),"-")</f>
        <v>-</v>
      </c>
      <c r="K84" s="37" t="str">
        <f>IFERROR(IF(VLOOKUP($B84,orlando[#Data],12)=0,"Não executado",VLOOKUP($B84,orlando[#Data],12)),"Não executado")</f>
        <v>Não executado</v>
      </c>
      <c r="L84" s="37" t="str">
        <f>IFERROR(IF(VLOOKUP($B84,mauricio[#Data],12)=0,"Não executado",VLOOKUP($B84,mauricio[#Data],12)),"Não executado")</f>
        <v>Não executado</v>
      </c>
      <c r="M84" s="37" t="str">
        <f>IFERROR(IF(VLOOKUP($B84,Thaisa[#Data],12)=0,"Não executado",VLOOKUP($B84,Thaisa[#Data],12)),"Não executado")</f>
        <v>Não executado</v>
      </c>
      <c r="N84" s="37" t="str">
        <f>IFERROR(IF(VLOOKUP($B84,carlos[#Data],12)=0,"Não executado",VLOOKUP($B84,carlos[#Data],12)),"Não executado")</f>
        <v>Não executado</v>
      </c>
      <c r="O84" s="37" t="str">
        <f>IFERROR(IF(VLOOKUP($B84,Alessandra[#Data],12)=0,"Não executado",VLOOKUP($B84,Alessandra[#Data],12)),"Não executado")</f>
        <v>Não executado</v>
      </c>
      <c r="P84" s="37" t="str">
        <f>IFERROR(IF(VLOOKUP($B84,AnaCarolina[#Data],12)=0,"Não executado",VLOOKUP($B84,AnaCarolina[#Data],12)),"Não executado")</f>
        <v>Não executado</v>
      </c>
      <c r="Q84" s="37" t="str">
        <f>IFERROR(IF(VLOOKUP($B84,wanei[#Data],12)=0,"Não executado",VLOOKUP($B84,wanei[#Data],12)),"Não executado")</f>
        <v>Não executado</v>
      </c>
      <c r="R84" s="37" t="str">
        <f>IFERROR(IF(VLOOKUP($B84,janaina[#Data],12)=0,"Não executado",VLOOKUP($B84,janaina[#Data],12)),"Não executado")</f>
        <v>Não executado</v>
      </c>
      <c r="S84" s="93" t="str">
        <f>IFERROR(IF(VLOOKUP($B67,andreia[#Data],12)=0,"Não executado",VLOOKUP($B67,andreia[#Data],12)),"Não executado")</f>
        <v>Não executado</v>
      </c>
      <c r="T84" s="37" t="str">
        <f>IFERROR(IF(VLOOKUP($B67,homologador[#Data],12)=0,"Não executado",VLOOKUP($B67,homologador[#Data],12)),"Não executado")</f>
        <v>Não executado</v>
      </c>
      <c r="W84" s="13"/>
    </row>
    <row r="85" spans="2:23">
      <c r="B85" s="40" t="str">
        <f>IF(ISERR(casostestes[[#This Row],[ID]]),"-",casostestes[[#This Row],[ID]])</f>
        <v>-</v>
      </c>
      <c r="C85" s="34" t="str">
        <f>IFERROR(IF(VLOOKUP($B85,casostestes[#Data],10)=0,"Não",VLOOKUP($B85,casostestes[#Data],10)), "-")</f>
        <v>-</v>
      </c>
      <c r="D85" s="35" t="str">
        <f>IFERROR(IF(VLOOKUP($B85,casostestes[#Data],2)=0,"-",VLOOKUP($B85,casostestes[#Data],2)), "-")</f>
        <v>-</v>
      </c>
      <c r="E85" s="35" t="str">
        <f>IFERROR(IF(VLOOKUP($B85,casostestes[#Data],3)=0,"-",VLOOKUP($B85,casostestes[#Data],3)), "-")</f>
        <v>-</v>
      </c>
      <c r="F85" s="35" t="str">
        <f>IFERROR(IF(VLOOKUP($B85,casostestes[#Data],4)=0,"-",VLOOKUP($B85,casostestes[#Data],4)),"-")</f>
        <v>-</v>
      </c>
      <c r="G85" s="35" t="str">
        <f>IFERROR(IF(VLOOKUP($B85,casostestes[#Data],5)=0,"-",VLOOKUP($B85,casostestes[#Data],5)),"-")</f>
        <v>-</v>
      </c>
      <c r="H85" s="35" t="str">
        <f>IFERROR(IF(VLOOKUP($B85,casostestes[#Data],6)=0,"-",VLOOKUP($B85,casostestes[#Data],6)),"-")</f>
        <v>-</v>
      </c>
      <c r="I85" s="35" t="str">
        <f>IFERROR(IF(VLOOKUP($B85,casostestes[#Data],8)=0,"-",VLOOKUP($B85,casostestes[#Data],8)),"-")</f>
        <v>-</v>
      </c>
      <c r="J85" s="35" t="str">
        <f>IFERROR(IF(VLOOKUP($B85,casostestes[#Data],9)=0,"-",VLOOKUP($B85,casostestes[#Data],9)),"-")</f>
        <v>-</v>
      </c>
      <c r="K85" s="37" t="str">
        <f>IFERROR(IF(VLOOKUP($B85,orlando[#Data],12)=0,"Não executado",VLOOKUP($B85,orlando[#Data],12)),"Não executado")</f>
        <v>Não executado</v>
      </c>
      <c r="L85" s="37" t="str">
        <f>IFERROR(IF(VLOOKUP($B85,mauricio[#Data],12)=0,"Não executado",VLOOKUP($B85,mauricio[#Data],12)),"Não executado")</f>
        <v>Não executado</v>
      </c>
      <c r="M85" s="37" t="str">
        <f>IFERROR(IF(VLOOKUP($B85,Thaisa[#Data],12)=0,"Não executado",VLOOKUP($B85,Thaisa[#Data],12)),"Não executado")</f>
        <v>Não executado</v>
      </c>
      <c r="N85" s="37" t="str">
        <f>IFERROR(IF(VLOOKUP($B85,carlos[#Data],12)=0,"Não executado",VLOOKUP($B85,carlos[#Data],12)),"Não executado")</f>
        <v>Não executado</v>
      </c>
      <c r="O85" s="37" t="str">
        <f>IFERROR(IF(VLOOKUP($B85,Alessandra[#Data],12)=0,"Não executado",VLOOKUP($B85,Alessandra[#Data],12)),"Não executado")</f>
        <v>Não executado</v>
      </c>
      <c r="P85" s="37" t="str">
        <f>IFERROR(IF(VLOOKUP($B85,AnaCarolina[#Data],12)=0,"Não executado",VLOOKUP($B85,AnaCarolina[#Data],12)),"Não executado")</f>
        <v>Não executado</v>
      </c>
      <c r="Q85" s="37" t="str">
        <f>IFERROR(IF(VLOOKUP($B85,wanei[#Data],12)=0,"Não executado",VLOOKUP($B85,wanei[#Data],12)),"Não executado")</f>
        <v>Não executado</v>
      </c>
      <c r="R85" s="37" t="str">
        <f>IFERROR(IF(VLOOKUP($B85,janaina[#Data],12)=0,"Não executado",VLOOKUP($B85,janaina[#Data],12)),"Não executado")</f>
        <v>Não executado</v>
      </c>
      <c r="S85" s="93" t="str">
        <f>IFERROR(IF(VLOOKUP($B68,andreia[#Data],12)=0,"Não executado",VLOOKUP($B68,andreia[#Data],12)),"Não executado")</f>
        <v>Não executado</v>
      </c>
      <c r="T85" s="37" t="str">
        <f>IFERROR(IF(VLOOKUP($B68,homologador[#Data],12)=0,"Não executado",VLOOKUP($B68,homologador[#Data],12)),"Não executado")</f>
        <v>Não executado</v>
      </c>
      <c r="W85" s="13"/>
    </row>
    <row r="86" spans="2:23">
      <c r="B86" s="40" t="str">
        <f>IF(ISERR(casostestes[[#This Row],[ID]]),"-",casostestes[[#This Row],[ID]])</f>
        <v>-</v>
      </c>
      <c r="C86" s="34" t="str">
        <f>IFERROR(IF(VLOOKUP($B86,casostestes[#Data],10)=0,"Não",VLOOKUP($B86,casostestes[#Data],10)), "-")</f>
        <v>-</v>
      </c>
      <c r="D86" s="35" t="str">
        <f>IFERROR(IF(VLOOKUP($B86,casostestes[#Data],2)=0,"-",VLOOKUP($B86,casostestes[#Data],2)), "-")</f>
        <v>-</v>
      </c>
      <c r="E86" s="35" t="str">
        <f>IFERROR(IF(VLOOKUP($B86,casostestes[#Data],3)=0,"-",VLOOKUP($B86,casostestes[#Data],3)), "-")</f>
        <v>-</v>
      </c>
      <c r="F86" s="35" t="str">
        <f>IFERROR(IF(VLOOKUP($B86,casostestes[#Data],4)=0,"-",VLOOKUP($B86,casostestes[#Data],4)),"-")</f>
        <v>-</v>
      </c>
      <c r="G86" s="35" t="str">
        <f>IFERROR(IF(VLOOKUP($B86,casostestes[#Data],5)=0,"-",VLOOKUP($B86,casostestes[#Data],5)),"-")</f>
        <v>-</v>
      </c>
      <c r="H86" s="35" t="str">
        <f>IFERROR(IF(VLOOKUP($B86,casostestes[#Data],6)=0,"-",VLOOKUP($B86,casostestes[#Data],6)),"-")</f>
        <v>-</v>
      </c>
      <c r="I86" s="35" t="str">
        <f>IFERROR(IF(VLOOKUP($B86,casostestes[#Data],8)=0,"-",VLOOKUP($B86,casostestes[#Data],8)),"-")</f>
        <v>-</v>
      </c>
      <c r="J86" s="35" t="str">
        <f>IFERROR(IF(VLOOKUP($B86,casostestes[#Data],9)=0,"-",VLOOKUP($B86,casostestes[#Data],9)),"-")</f>
        <v>-</v>
      </c>
      <c r="K86" s="37" t="str">
        <f>IFERROR(IF(VLOOKUP($B86,orlando[#Data],12)=0,"Não executado",VLOOKUP($B86,orlando[#Data],12)),"Não executado")</f>
        <v>Não executado</v>
      </c>
      <c r="L86" s="37" t="str">
        <f>IFERROR(IF(VLOOKUP($B86,mauricio[#Data],12)=0,"Não executado",VLOOKUP($B86,mauricio[#Data],12)),"Não executado")</f>
        <v>Não executado</v>
      </c>
      <c r="M86" s="37" t="str">
        <f>IFERROR(IF(VLOOKUP($B86,Thaisa[#Data],12)=0,"Não executado",VLOOKUP($B86,Thaisa[#Data],12)),"Não executado")</f>
        <v>Não executado</v>
      </c>
      <c r="N86" s="37" t="str">
        <f>IFERROR(IF(VLOOKUP($B86,carlos[#Data],12)=0,"Não executado",VLOOKUP($B86,carlos[#Data],12)),"Não executado")</f>
        <v>Não executado</v>
      </c>
      <c r="O86" s="37" t="str">
        <f>IFERROR(IF(VLOOKUP($B86,Alessandra[#Data],12)=0,"Não executado",VLOOKUP($B86,Alessandra[#Data],12)),"Não executado")</f>
        <v>Não executado</v>
      </c>
      <c r="P86" s="37" t="str">
        <f>IFERROR(IF(VLOOKUP($B86,AnaCarolina[#Data],12)=0,"Não executado",VLOOKUP($B86,AnaCarolina[#Data],12)),"Não executado")</f>
        <v>Não executado</v>
      </c>
      <c r="Q86" s="37" t="str">
        <f>IFERROR(IF(VLOOKUP($B86,wanei[#Data],12)=0,"Não executado",VLOOKUP($B86,wanei[#Data],12)),"Não executado")</f>
        <v>Não executado</v>
      </c>
      <c r="R86" s="37" t="str">
        <f>IFERROR(IF(VLOOKUP($B86,janaina[#Data],12)=0,"Não executado",VLOOKUP($B86,janaina[#Data],12)),"Não executado")</f>
        <v>Não executado</v>
      </c>
      <c r="S86" s="93" t="str">
        <f>IFERROR(IF(VLOOKUP($B69,andreia[#Data],12)=0,"Não executado",VLOOKUP($B69,andreia[#Data],12)),"Não executado")</f>
        <v>Não executado</v>
      </c>
      <c r="T86" s="37" t="str">
        <f>IFERROR(IF(VLOOKUP($B69,homologador[#Data],12)=0,"Não executado",VLOOKUP($B69,homologador[#Data],12)),"Não executado")</f>
        <v>Não executado</v>
      </c>
      <c r="W86" s="13"/>
    </row>
    <row r="87" spans="2:23">
      <c r="B87" s="40" t="str">
        <f>IF(ISERR(casostestes[[#This Row],[ID]]),"-",casostestes[[#This Row],[ID]])</f>
        <v>-</v>
      </c>
      <c r="C87" s="34" t="str">
        <f>IFERROR(IF(VLOOKUP($B87,casostestes[#Data],10)=0,"Não",VLOOKUP($B87,casostestes[#Data],10)), "-")</f>
        <v>-</v>
      </c>
      <c r="D87" s="35" t="str">
        <f>IFERROR(IF(VLOOKUP($B87,casostestes[#Data],2)=0,"-",VLOOKUP($B87,casostestes[#Data],2)), "-")</f>
        <v>-</v>
      </c>
      <c r="E87" s="35" t="str">
        <f>IFERROR(IF(VLOOKUP($B87,casostestes[#Data],3)=0,"-",VLOOKUP($B87,casostestes[#Data],3)), "-")</f>
        <v>-</v>
      </c>
      <c r="F87" s="35" t="str">
        <f>IFERROR(IF(VLOOKUP($B87,casostestes[#Data],4)=0,"-",VLOOKUP($B87,casostestes[#Data],4)),"-")</f>
        <v>-</v>
      </c>
      <c r="G87" s="35" t="str">
        <f>IFERROR(IF(VLOOKUP($B87,casostestes[#Data],5)=0,"-",VLOOKUP($B87,casostestes[#Data],5)),"-")</f>
        <v>-</v>
      </c>
      <c r="H87" s="35" t="str">
        <f>IFERROR(IF(VLOOKUP($B87,casostestes[#Data],6)=0,"-",VLOOKUP($B87,casostestes[#Data],6)),"-")</f>
        <v>-</v>
      </c>
      <c r="I87" s="35" t="str">
        <f>IFERROR(IF(VLOOKUP($B87,casostestes[#Data],8)=0,"-",VLOOKUP($B87,casostestes[#Data],8)),"-")</f>
        <v>-</v>
      </c>
      <c r="J87" s="35" t="str">
        <f>IFERROR(IF(VLOOKUP($B87,casostestes[#Data],9)=0,"-",VLOOKUP($B87,casostestes[#Data],9)),"-")</f>
        <v>-</v>
      </c>
      <c r="K87" s="37" t="str">
        <f>IFERROR(IF(VLOOKUP($B87,orlando[#Data],12)=0,"Não executado",VLOOKUP($B87,orlando[#Data],12)),"Não executado")</f>
        <v>Não executado</v>
      </c>
      <c r="L87" s="37" t="str">
        <f>IFERROR(IF(VLOOKUP($B87,mauricio[#Data],12)=0,"Não executado",VLOOKUP($B87,mauricio[#Data],12)),"Não executado")</f>
        <v>Não executado</v>
      </c>
      <c r="M87" s="37" t="str">
        <f>IFERROR(IF(VLOOKUP($B87,Thaisa[#Data],12)=0,"Não executado",VLOOKUP($B87,Thaisa[#Data],12)),"Não executado")</f>
        <v>Não executado</v>
      </c>
      <c r="N87" s="37" t="str">
        <f>IFERROR(IF(VLOOKUP($B87,carlos[#Data],12)=0,"Não executado",VLOOKUP($B87,carlos[#Data],12)),"Não executado")</f>
        <v>Não executado</v>
      </c>
      <c r="O87" s="37" t="str">
        <f>IFERROR(IF(VLOOKUP($B87,Alessandra[#Data],12)=0,"Não executado",VLOOKUP($B87,Alessandra[#Data],12)),"Não executado")</f>
        <v>Não executado</v>
      </c>
      <c r="P87" s="37" t="str">
        <f>IFERROR(IF(VLOOKUP($B87,AnaCarolina[#Data],12)=0,"Não executado",VLOOKUP($B87,AnaCarolina[#Data],12)),"Não executado")</f>
        <v>Não executado</v>
      </c>
      <c r="Q87" s="37" t="str">
        <f>IFERROR(IF(VLOOKUP($B87,wanei[#Data],12)=0,"Não executado",VLOOKUP($B87,wanei[#Data],12)),"Não executado")</f>
        <v>Não executado</v>
      </c>
      <c r="R87" s="37" t="str">
        <f>IFERROR(IF(VLOOKUP($B87,janaina[#Data],12)=0,"Não executado",VLOOKUP($B87,janaina[#Data],12)),"Não executado")</f>
        <v>Não executado</v>
      </c>
      <c r="S87" s="93" t="str">
        <f>IFERROR(IF(VLOOKUP($B70,andreia[#Data],12)=0,"Não executado",VLOOKUP($B70,andreia[#Data],12)),"Não executado")</f>
        <v>Não executado</v>
      </c>
      <c r="T87" s="37" t="str">
        <f>IFERROR(IF(VLOOKUP($B70,homologador[#Data],12)=0,"Não executado",VLOOKUP($B70,homologador[#Data],12)),"Não executado")</f>
        <v>Não executado</v>
      </c>
      <c r="W87" s="13"/>
    </row>
    <row r="88" spans="2:23">
      <c r="B88" s="40" t="str">
        <f>IF(ISERR(casostestes[[#This Row],[ID]]),"-",casostestes[[#This Row],[ID]])</f>
        <v>-</v>
      </c>
      <c r="C88" s="34" t="str">
        <f>IFERROR(IF(VLOOKUP($B88,casostestes[#Data],10)=0,"Não",VLOOKUP($B88,casostestes[#Data],10)), "-")</f>
        <v>-</v>
      </c>
      <c r="D88" s="35" t="str">
        <f>IFERROR(IF(VLOOKUP($B88,casostestes[#Data],2)=0,"-",VLOOKUP($B88,casostestes[#Data],2)), "-")</f>
        <v>-</v>
      </c>
      <c r="E88" s="35" t="str">
        <f>IFERROR(IF(VLOOKUP($B88,casostestes[#Data],3)=0,"-",VLOOKUP($B88,casostestes[#Data],3)), "-")</f>
        <v>-</v>
      </c>
      <c r="F88" s="35" t="str">
        <f>IFERROR(IF(VLOOKUP($B88,casostestes[#Data],4)=0,"-",VLOOKUP($B88,casostestes[#Data],4)),"-")</f>
        <v>-</v>
      </c>
      <c r="G88" s="35" t="str">
        <f>IFERROR(IF(VLOOKUP($B88,casostestes[#Data],5)=0,"-",VLOOKUP($B88,casostestes[#Data],5)),"-")</f>
        <v>-</v>
      </c>
      <c r="H88" s="35" t="str">
        <f>IFERROR(IF(VLOOKUP($B88,casostestes[#Data],6)=0,"-",VLOOKUP($B88,casostestes[#Data],6)),"-")</f>
        <v>-</v>
      </c>
      <c r="I88" s="35" t="str">
        <f>IFERROR(IF(VLOOKUP($B88,casostestes[#Data],8)=0,"-",VLOOKUP($B88,casostestes[#Data],8)),"-")</f>
        <v>-</v>
      </c>
      <c r="J88" s="35" t="str">
        <f>IFERROR(IF(VLOOKUP($B88,casostestes[#Data],9)=0,"-",VLOOKUP($B88,casostestes[#Data],9)),"-")</f>
        <v>-</v>
      </c>
      <c r="K88" s="37" t="str">
        <f>IFERROR(IF(VLOOKUP($B88,orlando[#Data],12)=0,"Não executado",VLOOKUP($B88,orlando[#Data],12)),"Não executado")</f>
        <v>Não executado</v>
      </c>
      <c r="L88" s="37" t="str">
        <f>IFERROR(IF(VLOOKUP($B88,mauricio[#Data],12)=0,"Não executado",VLOOKUP($B88,mauricio[#Data],12)),"Não executado")</f>
        <v>Não executado</v>
      </c>
      <c r="M88" s="37" t="str">
        <f>IFERROR(IF(VLOOKUP($B88,Thaisa[#Data],12)=0,"Não executado",VLOOKUP($B88,Thaisa[#Data],12)),"Não executado")</f>
        <v>Não executado</v>
      </c>
      <c r="N88" s="37" t="str">
        <f>IFERROR(IF(VLOOKUP($B88,carlos[#Data],12)=0,"Não executado",VLOOKUP($B88,carlos[#Data],12)),"Não executado")</f>
        <v>Não executado</v>
      </c>
      <c r="O88" s="37" t="str">
        <f>IFERROR(IF(VLOOKUP($B88,Alessandra[#Data],12)=0,"Não executado",VLOOKUP($B88,Alessandra[#Data],12)),"Não executado")</f>
        <v>Não executado</v>
      </c>
      <c r="P88" s="37" t="str">
        <f>IFERROR(IF(VLOOKUP($B88,AnaCarolina[#Data],12)=0,"Não executado",VLOOKUP($B88,AnaCarolina[#Data],12)),"Não executado")</f>
        <v>Não executado</v>
      </c>
      <c r="Q88" s="37" t="str">
        <f>IFERROR(IF(VLOOKUP($B88,wanei[#Data],12)=0,"Não executado",VLOOKUP($B88,wanei[#Data],12)),"Não executado")</f>
        <v>Não executado</v>
      </c>
      <c r="R88" s="37" t="str">
        <f>IFERROR(IF(VLOOKUP($B88,janaina[#Data],12)=0,"Não executado",VLOOKUP($B88,janaina[#Data],12)),"Não executado")</f>
        <v>Não executado</v>
      </c>
      <c r="S88" s="93" t="str">
        <f>IFERROR(IF(VLOOKUP($B71,andreia[#Data],12)=0,"Não executado",VLOOKUP($B71,andreia[#Data],12)),"Não executado")</f>
        <v>Não executado</v>
      </c>
      <c r="T88" s="37" t="str">
        <f>IFERROR(IF(VLOOKUP($B71,homologador[#Data],12)=0,"Não executado",VLOOKUP($B71,homologador[#Data],12)),"Não executado")</f>
        <v>Não executado</v>
      </c>
      <c r="W88" s="13"/>
    </row>
    <row r="89" spans="2:23">
      <c r="B89" s="40" t="str">
        <f>IF(ISERR(casostestes[[#This Row],[ID]]),"-",casostestes[[#This Row],[ID]])</f>
        <v>-</v>
      </c>
      <c r="C89" s="34" t="str">
        <f>IFERROR(IF(VLOOKUP($B89,casostestes[#Data],10)=0,"Não",VLOOKUP($B89,casostestes[#Data],10)), "-")</f>
        <v>-</v>
      </c>
      <c r="D89" s="35" t="str">
        <f>IFERROR(IF(VLOOKUP($B89,casostestes[#Data],2)=0,"-",VLOOKUP($B89,casostestes[#Data],2)), "-")</f>
        <v>-</v>
      </c>
      <c r="E89" s="35" t="str">
        <f>IFERROR(IF(VLOOKUP($B89,casostestes[#Data],3)=0,"-",VLOOKUP($B89,casostestes[#Data],3)), "-")</f>
        <v>-</v>
      </c>
      <c r="F89" s="35" t="str">
        <f>IFERROR(IF(VLOOKUP($B89,casostestes[#Data],4)=0,"-",VLOOKUP($B89,casostestes[#Data],4)),"-")</f>
        <v>-</v>
      </c>
      <c r="G89" s="35" t="str">
        <f>IFERROR(IF(VLOOKUP($B89,casostestes[#Data],5)=0,"-",VLOOKUP($B89,casostestes[#Data],5)),"-")</f>
        <v>-</v>
      </c>
      <c r="H89" s="35" t="str">
        <f>IFERROR(IF(VLOOKUP($B89,casostestes[#Data],6)=0,"-",VLOOKUP($B89,casostestes[#Data],6)),"-")</f>
        <v>-</v>
      </c>
      <c r="I89" s="35" t="str">
        <f>IFERROR(IF(VLOOKUP($B89,casostestes[#Data],8)=0,"-",VLOOKUP($B89,casostestes[#Data],8)),"-")</f>
        <v>-</v>
      </c>
      <c r="J89" s="35" t="str">
        <f>IFERROR(IF(VLOOKUP($B89,casostestes[#Data],9)=0,"-",VLOOKUP($B89,casostestes[#Data],9)),"-")</f>
        <v>-</v>
      </c>
      <c r="K89" s="37" t="str">
        <f>IFERROR(IF(VLOOKUP($B89,orlando[#Data],12)=0,"Não executado",VLOOKUP($B89,orlando[#Data],12)),"Não executado")</f>
        <v>Não executado</v>
      </c>
      <c r="L89" s="37" t="str">
        <f>IFERROR(IF(VLOOKUP($B89,mauricio[#Data],12)=0,"Não executado",VLOOKUP($B89,mauricio[#Data],12)),"Não executado")</f>
        <v>Não executado</v>
      </c>
      <c r="M89" s="37" t="str">
        <f>IFERROR(IF(VLOOKUP($B89,Thaisa[#Data],12)=0,"Não executado",VLOOKUP($B89,Thaisa[#Data],12)),"Não executado")</f>
        <v>Não executado</v>
      </c>
      <c r="N89" s="37" t="str">
        <f>IFERROR(IF(VLOOKUP($B89,carlos[#Data],12)=0,"Não executado",VLOOKUP($B89,carlos[#Data],12)),"Não executado")</f>
        <v>Não executado</v>
      </c>
      <c r="O89" s="37" t="str">
        <f>IFERROR(IF(VLOOKUP($B89,Alessandra[#Data],12)=0,"Não executado",VLOOKUP($B89,Alessandra[#Data],12)),"Não executado")</f>
        <v>Não executado</v>
      </c>
      <c r="P89" s="37" t="str">
        <f>IFERROR(IF(VLOOKUP($B89,AnaCarolina[#Data],12)=0,"Não executado",VLOOKUP($B89,AnaCarolina[#Data],12)),"Não executado")</f>
        <v>Não executado</v>
      </c>
      <c r="Q89" s="37" t="str">
        <f>IFERROR(IF(VLOOKUP($B89,wanei[#Data],12)=0,"Não executado",VLOOKUP($B89,wanei[#Data],12)),"Não executado")</f>
        <v>Não executado</v>
      </c>
      <c r="R89" s="37" t="str">
        <f>IFERROR(IF(VLOOKUP($B89,janaina[#Data],12)=0,"Não executado",VLOOKUP($B89,janaina[#Data],12)),"Não executado")</f>
        <v>Não executado</v>
      </c>
      <c r="S89" s="93" t="str">
        <f>IFERROR(IF(VLOOKUP($B72,andreia[#Data],12)=0,"Não executado",VLOOKUP($B72,andreia[#Data],12)),"Não executado")</f>
        <v>Não executado</v>
      </c>
      <c r="T89" s="37" t="str">
        <f>IFERROR(IF(VLOOKUP($B72,homologador[#Data],12)=0,"Não executado",VLOOKUP($B72,homologador[#Data],12)),"Não executado")</f>
        <v>Não executado</v>
      </c>
      <c r="W89" s="13"/>
    </row>
    <row r="90" spans="2:23">
      <c r="B90" s="40" t="str">
        <f>IF(ISERR(casostestes[[#This Row],[ID]]),"-",casostestes[[#This Row],[ID]])</f>
        <v>-</v>
      </c>
      <c r="C90" s="34" t="str">
        <f>IFERROR(IF(VLOOKUP($B90,casostestes[#Data],10)=0,"Não",VLOOKUP($B90,casostestes[#Data],10)), "-")</f>
        <v>-</v>
      </c>
      <c r="D90" s="35" t="str">
        <f>IFERROR(IF(VLOOKUP($B90,casostestes[#Data],2)=0,"-",VLOOKUP($B90,casostestes[#Data],2)), "-")</f>
        <v>-</v>
      </c>
      <c r="E90" s="35" t="str">
        <f>IFERROR(IF(VLOOKUP($B90,casostestes[#Data],3)=0,"-",VLOOKUP($B90,casostestes[#Data],3)), "-")</f>
        <v>-</v>
      </c>
      <c r="F90" s="35" t="str">
        <f>IFERROR(IF(VLOOKUP($B90,casostestes[#Data],4)=0,"-",VLOOKUP($B90,casostestes[#Data],4)),"-")</f>
        <v>-</v>
      </c>
      <c r="G90" s="35" t="str">
        <f>IFERROR(IF(VLOOKUP($B90,casostestes[#Data],5)=0,"-",VLOOKUP($B90,casostestes[#Data],5)),"-")</f>
        <v>-</v>
      </c>
      <c r="H90" s="35" t="str">
        <f>IFERROR(IF(VLOOKUP($B90,casostestes[#Data],6)=0,"-",VLOOKUP($B90,casostestes[#Data],6)),"-")</f>
        <v>-</v>
      </c>
      <c r="I90" s="35" t="str">
        <f>IFERROR(IF(VLOOKUP($B90,casostestes[#Data],8)=0,"-",VLOOKUP($B90,casostestes[#Data],8)),"-")</f>
        <v>-</v>
      </c>
      <c r="J90" s="35" t="str">
        <f>IFERROR(IF(VLOOKUP($B90,casostestes[#Data],9)=0,"-",VLOOKUP($B90,casostestes[#Data],9)),"-")</f>
        <v>-</v>
      </c>
      <c r="K90" s="37" t="str">
        <f>IFERROR(IF(VLOOKUP($B90,orlando[#Data],12)=0,"Não executado",VLOOKUP($B90,orlando[#Data],12)),"Não executado")</f>
        <v>Não executado</v>
      </c>
      <c r="L90" s="37" t="str">
        <f>IFERROR(IF(VLOOKUP($B90,mauricio[#Data],12)=0,"Não executado",VLOOKUP($B90,mauricio[#Data],12)),"Não executado")</f>
        <v>Não executado</v>
      </c>
      <c r="M90" s="37" t="str">
        <f>IFERROR(IF(VLOOKUP($B90,Thaisa[#Data],12)=0,"Não executado",VLOOKUP($B90,Thaisa[#Data],12)),"Não executado")</f>
        <v>Não executado</v>
      </c>
      <c r="N90" s="37" t="str">
        <f>IFERROR(IF(VLOOKUP($B90,carlos[#Data],12)=0,"Não executado",VLOOKUP($B90,carlos[#Data],12)),"Não executado")</f>
        <v>Não executado</v>
      </c>
      <c r="O90" s="37" t="str">
        <f>IFERROR(IF(VLOOKUP($B90,Alessandra[#Data],12)=0,"Não executado",VLOOKUP($B90,Alessandra[#Data],12)),"Não executado")</f>
        <v>Não executado</v>
      </c>
      <c r="P90" s="37" t="str">
        <f>IFERROR(IF(VLOOKUP($B90,AnaCarolina[#Data],12)=0,"Não executado",VLOOKUP($B90,AnaCarolina[#Data],12)),"Não executado")</f>
        <v>Não executado</v>
      </c>
      <c r="Q90" s="37" t="str">
        <f>IFERROR(IF(VLOOKUP($B90,wanei[#Data],12)=0,"Não executado",VLOOKUP($B90,wanei[#Data],12)),"Não executado")</f>
        <v>Não executado</v>
      </c>
      <c r="R90" s="37" t="str">
        <f>IFERROR(IF(VLOOKUP($B90,janaina[#Data],12)=0,"Não executado",VLOOKUP($B90,janaina[#Data],12)),"Não executado")</f>
        <v>Não executado</v>
      </c>
      <c r="S90" s="93" t="str">
        <f>IFERROR(IF(VLOOKUP($B73,andreia[#Data],12)=0,"Não executado",VLOOKUP($B73,andreia[#Data],12)),"Não executado")</f>
        <v>Não executado</v>
      </c>
      <c r="T90" s="37" t="str">
        <f>IFERROR(IF(VLOOKUP($B73,homologador[#Data],12)=0,"Não executado",VLOOKUP($B73,homologador[#Data],12)),"Não executado")</f>
        <v>Não executado</v>
      </c>
      <c r="W90" s="13"/>
    </row>
    <row r="91" spans="2:23">
      <c r="B91" s="40" t="str">
        <f>IF(ISERR(casostestes[[#This Row],[ID]]),"-",casostestes[[#This Row],[ID]])</f>
        <v>-</v>
      </c>
      <c r="C91" s="34" t="str">
        <f>IFERROR(IF(VLOOKUP($B91,casostestes[#Data],10)=0,"Não",VLOOKUP($B91,casostestes[#Data],10)), "-")</f>
        <v>-</v>
      </c>
      <c r="D91" s="35" t="str">
        <f>IFERROR(IF(VLOOKUP($B91,casostestes[#Data],2)=0,"-",VLOOKUP($B91,casostestes[#Data],2)), "-")</f>
        <v>-</v>
      </c>
      <c r="E91" s="35" t="str">
        <f>IFERROR(IF(VLOOKUP($B91,casostestes[#Data],3)=0,"-",VLOOKUP($B91,casostestes[#Data],3)), "-")</f>
        <v>-</v>
      </c>
      <c r="F91" s="35" t="str">
        <f>IFERROR(IF(VLOOKUP($B91,casostestes[#Data],4)=0,"-",VLOOKUP($B91,casostestes[#Data],4)),"-")</f>
        <v>-</v>
      </c>
      <c r="G91" s="35" t="str">
        <f>IFERROR(IF(VLOOKUP($B91,casostestes[#Data],5)=0,"-",VLOOKUP($B91,casostestes[#Data],5)),"-")</f>
        <v>-</v>
      </c>
      <c r="H91" s="35" t="str">
        <f>IFERROR(IF(VLOOKUP($B91,casostestes[#Data],6)=0,"-",VLOOKUP($B91,casostestes[#Data],6)),"-")</f>
        <v>-</v>
      </c>
      <c r="I91" s="35" t="str">
        <f>IFERROR(IF(VLOOKUP($B91,casostestes[#Data],8)=0,"-",VLOOKUP($B91,casostestes[#Data],8)),"-")</f>
        <v>-</v>
      </c>
      <c r="J91" s="35" t="str">
        <f>IFERROR(IF(VLOOKUP($B91,casostestes[#Data],9)=0,"-",VLOOKUP($B91,casostestes[#Data],9)),"-")</f>
        <v>-</v>
      </c>
      <c r="K91" s="37" t="str">
        <f>IFERROR(IF(VLOOKUP($B91,orlando[#Data],12)=0,"Não executado",VLOOKUP($B91,orlando[#Data],12)),"Não executado")</f>
        <v>Não executado</v>
      </c>
      <c r="L91" s="37" t="str">
        <f>IFERROR(IF(VLOOKUP($B91,mauricio[#Data],12)=0,"Não executado",VLOOKUP($B91,mauricio[#Data],12)),"Não executado")</f>
        <v>Não executado</v>
      </c>
      <c r="M91" s="37" t="str">
        <f>IFERROR(IF(VLOOKUP($B91,Thaisa[#Data],12)=0,"Não executado",VLOOKUP($B91,Thaisa[#Data],12)),"Não executado")</f>
        <v>Não executado</v>
      </c>
      <c r="N91" s="37" t="str">
        <f>IFERROR(IF(VLOOKUP($B91,carlos[#Data],12)=0,"Não executado",VLOOKUP($B91,carlos[#Data],12)),"Não executado")</f>
        <v>Não executado</v>
      </c>
      <c r="O91" s="37" t="str">
        <f>IFERROR(IF(VLOOKUP($B91,Alessandra[#Data],12)=0,"Não executado",VLOOKUP($B91,Alessandra[#Data],12)),"Não executado")</f>
        <v>Não executado</v>
      </c>
      <c r="P91" s="37" t="str">
        <f>IFERROR(IF(VLOOKUP($B91,AnaCarolina[#Data],12)=0,"Não executado",VLOOKUP($B91,AnaCarolina[#Data],12)),"Não executado")</f>
        <v>Não executado</v>
      </c>
      <c r="Q91" s="37" t="str">
        <f>IFERROR(IF(VLOOKUP($B91,wanei[#Data],12)=0,"Não executado",VLOOKUP($B91,wanei[#Data],12)),"Não executado")</f>
        <v>Não executado</v>
      </c>
      <c r="R91" s="37" t="str">
        <f>IFERROR(IF(VLOOKUP($B91,janaina[#Data],12)=0,"Não executado",VLOOKUP($B91,janaina[#Data],12)),"Não executado")</f>
        <v>Não executado</v>
      </c>
      <c r="S91" s="93" t="str">
        <f>IFERROR(IF(VLOOKUP($B74,andreia[#Data],12)=0,"Não executado",VLOOKUP($B74,andreia[#Data],12)),"Não executado")</f>
        <v>Não executado</v>
      </c>
      <c r="T91" s="37" t="str">
        <f>IFERROR(IF(VLOOKUP($B74,homologador[#Data],12)=0,"Não executado",VLOOKUP($B74,homologador[#Data],12)),"Não executado")</f>
        <v>Não executado</v>
      </c>
      <c r="W91" s="13"/>
    </row>
    <row r="92" spans="2:23">
      <c r="B92" s="40" t="str">
        <f>IF(ISERR(casostestes[[#This Row],[ID]]),"-",casostestes[[#This Row],[ID]])</f>
        <v>-</v>
      </c>
      <c r="C92" s="34" t="str">
        <f>IFERROR(IF(VLOOKUP($B92,casostestes[#Data],10)=0,"Não",VLOOKUP($B92,casostestes[#Data],10)), "-")</f>
        <v>-</v>
      </c>
      <c r="D92" s="35" t="str">
        <f>IFERROR(IF(VLOOKUP($B92,casostestes[#Data],2)=0,"-",VLOOKUP($B92,casostestes[#Data],2)), "-")</f>
        <v>-</v>
      </c>
      <c r="E92" s="35" t="str">
        <f>IFERROR(IF(VLOOKUP($B92,casostestes[#Data],3)=0,"-",VLOOKUP($B92,casostestes[#Data],3)), "-")</f>
        <v>-</v>
      </c>
      <c r="F92" s="35" t="str">
        <f>IFERROR(IF(VLOOKUP($B92,casostestes[#Data],4)=0,"-",VLOOKUP($B92,casostestes[#Data],4)),"-")</f>
        <v>-</v>
      </c>
      <c r="G92" s="35" t="str">
        <f>IFERROR(IF(VLOOKUP($B92,casostestes[#Data],5)=0,"-",VLOOKUP($B92,casostestes[#Data],5)),"-")</f>
        <v>-</v>
      </c>
      <c r="H92" s="35" t="str">
        <f>IFERROR(IF(VLOOKUP($B92,casostestes[#Data],6)=0,"-",VLOOKUP($B92,casostestes[#Data],6)),"-")</f>
        <v>-</v>
      </c>
      <c r="I92" s="35" t="str">
        <f>IFERROR(IF(VLOOKUP($B92,casostestes[#Data],8)=0,"-",VLOOKUP($B92,casostestes[#Data],8)),"-")</f>
        <v>-</v>
      </c>
      <c r="J92" s="35" t="str">
        <f>IFERROR(IF(VLOOKUP($B92,casostestes[#Data],9)=0,"-",VLOOKUP($B92,casostestes[#Data],9)),"-")</f>
        <v>-</v>
      </c>
      <c r="K92" s="37" t="str">
        <f>IFERROR(IF(VLOOKUP($B92,orlando[#Data],12)=0,"Não executado",VLOOKUP($B92,orlando[#Data],12)),"Não executado")</f>
        <v>Não executado</v>
      </c>
      <c r="L92" s="37" t="str">
        <f>IFERROR(IF(VLOOKUP($B92,mauricio[#Data],12)=0,"Não executado",VLOOKUP($B92,mauricio[#Data],12)),"Não executado")</f>
        <v>Não executado</v>
      </c>
      <c r="M92" s="37" t="str">
        <f>IFERROR(IF(VLOOKUP($B92,Thaisa[#Data],12)=0,"Não executado",VLOOKUP($B92,Thaisa[#Data],12)),"Não executado")</f>
        <v>Não executado</v>
      </c>
      <c r="N92" s="37" t="str">
        <f>IFERROR(IF(VLOOKUP($B92,carlos[#Data],12)=0,"Não executado",VLOOKUP($B92,carlos[#Data],12)),"Não executado")</f>
        <v>Não executado</v>
      </c>
      <c r="O92" s="37" t="str">
        <f>IFERROR(IF(VLOOKUP($B92,Alessandra[#Data],12)=0,"Não executado",VLOOKUP($B92,Alessandra[#Data],12)),"Não executado")</f>
        <v>Não executado</v>
      </c>
      <c r="P92" s="37" t="str">
        <f>IFERROR(IF(VLOOKUP($B92,AnaCarolina[#Data],12)=0,"Não executado",VLOOKUP($B92,AnaCarolina[#Data],12)),"Não executado")</f>
        <v>Não executado</v>
      </c>
      <c r="Q92" s="37" t="str">
        <f>IFERROR(IF(VLOOKUP($B92,wanei[#Data],12)=0,"Não executado",VLOOKUP($B92,wanei[#Data],12)),"Não executado")</f>
        <v>Não executado</v>
      </c>
      <c r="R92" s="37" t="str">
        <f>IFERROR(IF(VLOOKUP($B92,janaina[#Data],12)=0,"Não executado",VLOOKUP($B92,janaina[#Data],12)),"Não executado")</f>
        <v>Não executado</v>
      </c>
      <c r="S92" s="93" t="str">
        <f>IFERROR(IF(VLOOKUP($B75,andreia[#Data],12)=0,"Não executado",VLOOKUP($B75,andreia[#Data],12)),"Não executado")</f>
        <v>Não executado</v>
      </c>
      <c r="T92" s="37" t="str">
        <f>IFERROR(IF(VLOOKUP($B75,homologador[#Data],12)=0,"Não executado",VLOOKUP($B75,homologador[#Data],12)),"Não executado")</f>
        <v>Não executado</v>
      </c>
      <c r="W92" s="13"/>
    </row>
    <row r="93" spans="2:23">
      <c r="B93" s="40" t="str">
        <f>IF(ISERR(casostestes[[#This Row],[ID]]),"-",casostestes[[#This Row],[ID]])</f>
        <v>-</v>
      </c>
      <c r="C93" s="34" t="str">
        <f>IFERROR(IF(VLOOKUP($B93,casostestes[#Data],10)=0,"Não",VLOOKUP($B93,casostestes[#Data],10)), "-")</f>
        <v>-</v>
      </c>
      <c r="D93" s="35" t="str">
        <f>IFERROR(IF(VLOOKUP($B93,casostestes[#Data],2)=0,"-",VLOOKUP($B93,casostestes[#Data],2)), "-")</f>
        <v>-</v>
      </c>
      <c r="E93" s="35" t="str">
        <f>IFERROR(IF(VLOOKUP($B93,casostestes[#Data],3)=0,"-",VLOOKUP($B93,casostestes[#Data],3)), "-")</f>
        <v>-</v>
      </c>
      <c r="F93" s="35" t="str">
        <f>IFERROR(IF(VLOOKUP($B93,casostestes[#Data],4)=0,"-",VLOOKUP($B93,casostestes[#Data],4)),"-")</f>
        <v>-</v>
      </c>
      <c r="G93" s="35" t="str">
        <f>IFERROR(IF(VLOOKUP($B93,casostestes[#Data],5)=0,"-",VLOOKUP($B93,casostestes[#Data],5)),"-")</f>
        <v>-</v>
      </c>
      <c r="H93" s="35" t="str">
        <f>IFERROR(IF(VLOOKUP($B93,casostestes[#Data],6)=0,"-",VLOOKUP($B93,casostestes[#Data],6)),"-")</f>
        <v>-</v>
      </c>
      <c r="I93" s="35" t="str">
        <f>IFERROR(IF(VLOOKUP($B93,casostestes[#Data],8)=0,"-",VLOOKUP($B93,casostestes[#Data],8)),"-")</f>
        <v>-</v>
      </c>
      <c r="J93" s="35" t="str">
        <f>IFERROR(IF(VLOOKUP($B93,casostestes[#Data],9)=0,"-",VLOOKUP($B93,casostestes[#Data],9)),"-")</f>
        <v>-</v>
      </c>
      <c r="K93" s="37" t="str">
        <f>IFERROR(IF(VLOOKUP($B93,orlando[#Data],12)=0,"Não executado",VLOOKUP($B93,orlando[#Data],12)),"Não executado")</f>
        <v>Não executado</v>
      </c>
      <c r="L93" s="37" t="str">
        <f>IFERROR(IF(VLOOKUP($B93,mauricio[#Data],12)=0,"Não executado",VLOOKUP($B93,mauricio[#Data],12)),"Não executado")</f>
        <v>Não executado</v>
      </c>
      <c r="M93" s="37" t="str">
        <f>IFERROR(IF(VLOOKUP($B93,Thaisa[#Data],12)=0,"Não executado",VLOOKUP($B93,Thaisa[#Data],12)),"Não executado")</f>
        <v>Não executado</v>
      </c>
      <c r="N93" s="37" t="str">
        <f>IFERROR(IF(VLOOKUP($B93,carlos[#Data],12)=0,"Não executado",VLOOKUP($B93,carlos[#Data],12)),"Não executado")</f>
        <v>Não executado</v>
      </c>
      <c r="O93" s="37" t="str">
        <f>IFERROR(IF(VLOOKUP($B93,Alessandra[#Data],12)=0,"Não executado",VLOOKUP($B93,Alessandra[#Data],12)),"Não executado")</f>
        <v>Não executado</v>
      </c>
      <c r="P93" s="37" t="str">
        <f>IFERROR(IF(VLOOKUP($B93,AnaCarolina[#Data],12)=0,"Não executado",VLOOKUP($B93,AnaCarolina[#Data],12)),"Não executado")</f>
        <v>Não executado</v>
      </c>
      <c r="Q93" s="37" t="str">
        <f>IFERROR(IF(VLOOKUP($B93,wanei[#Data],12)=0,"Não executado",VLOOKUP($B93,wanei[#Data],12)),"Não executado")</f>
        <v>Não executado</v>
      </c>
      <c r="R93" s="37" t="str">
        <f>IFERROR(IF(VLOOKUP($B93,janaina[#Data],12)=0,"Não executado",VLOOKUP($B93,janaina[#Data],12)),"Não executado")</f>
        <v>Não executado</v>
      </c>
      <c r="S93" s="93" t="str">
        <f>IFERROR(IF(VLOOKUP($B76,andreia[#Data],12)=0,"Não executado",VLOOKUP($B76,andreia[#Data],12)),"Não executado")</f>
        <v>Não executado</v>
      </c>
      <c r="T93" s="37" t="str">
        <f>IFERROR(IF(VLOOKUP($B76,homologador[#Data],12)=0,"Não executado",VLOOKUP($B76,homologador[#Data],12)),"Não executado")</f>
        <v>Não executado</v>
      </c>
      <c r="W93" s="13"/>
    </row>
    <row r="94" spans="2:23">
      <c r="B94" s="40" t="str">
        <f>IF(ISERR(casostestes[[#This Row],[ID]]),"-",casostestes[[#This Row],[ID]])</f>
        <v>-</v>
      </c>
      <c r="C94" s="34" t="str">
        <f>IFERROR(IF(VLOOKUP($B94,casostestes[#Data],10)=0,"Não",VLOOKUP($B94,casostestes[#Data],10)), "-")</f>
        <v>-</v>
      </c>
      <c r="D94" s="35" t="str">
        <f>IFERROR(IF(VLOOKUP($B94,casostestes[#Data],2)=0,"-",VLOOKUP($B94,casostestes[#Data],2)), "-")</f>
        <v>-</v>
      </c>
      <c r="E94" s="35" t="str">
        <f>IFERROR(IF(VLOOKUP($B94,casostestes[#Data],3)=0,"-",VLOOKUP($B94,casostestes[#Data],3)), "-")</f>
        <v>-</v>
      </c>
      <c r="F94" s="35" t="str">
        <f>IFERROR(IF(VLOOKUP($B94,casostestes[#Data],4)=0,"-",VLOOKUP($B94,casostestes[#Data],4)),"-")</f>
        <v>-</v>
      </c>
      <c r="G94" s="35" t="str">
        <f>IFERROR(IF(VLOOKUP($B94,casostestes[#Data],5)=0,"-",VLOOKUP($B94,casostestes[#Data],5)),"-")</f>
        <v>-</v>
      </c>
      <c r="H94" s="35" t="str">
        <f>IFERROR(IF(VLOOKUP($B94,casostestes[#Data],6)=0,"-",VLOOKUP($B94,casostestes[#Data],6)),"-")</f>
        <v>-</v>
      </c>
      <c r="I94" s="35" t="str">
        <f>IFERROR(IF(VLOOKUP($B94,casostestes[#Data],8)=0,"-",VLOOKUP($B94,casostestes[#Data],8)),"-")</f>
        <v>-</v>
      </c>
      <c r="J94" s="35" t="str">
        <f>IFERROR(IF(VLOOKUP($B94,casostestes[#Data],9)=0,"-",VLOOKUP($B94,casostestes[#Data],9)),"-")</f>
        <v>-</v>
      </c>
      <c r="K94" s="37" t="str">
        <f>IFERROR(IF(VLOOKUP($B94,orlando[#Data],12)=0,"Não executado",VLOOKUP($B94,orlando[#Data],12)),"Não executado")</f>
        <v>Não executado</v>
      </c>
      <c r="L94" s="37" t="str">
        <f>IFERROR(IF(VLOOKUP($B94,mauricio[#Data],12)=0,"Não executado",VLOOKUP($B94,mauricio[#Data],12)),"Não executado")</f>
        <v>Não executado</v>
      </c>
      <c r="M94" s="37" t="str">
        <f>IFERROR(IF(VLOOKUP($B94,Thaisa[#Data],12)=0,"Não executado",VLOOKUP($B94,Thaisa[#Data],12)),"Não executado")</f>
        <v>Não executado</v>
      </c>
      <c r="N94" s="37" t="str">
        <f>IFERROR(IF(VLOOKUP($B94,carlos[#Data],12)=0,"Não executado",VLOOKUP($B94,carlos[#Data],12)),"Não executado")</f>
        <v>Não executado</v>
      </c>
      <c r="O94" s="37" t="str">
        <f>IFERROR(IF(VLOOKUP($B94,Alessandra[#Data],12)=0,"Não executado",VLOOKUP($B94,Alessandra[#Data],12)),"Não executado")</f>
        <v>Não executado</v>
      </c>
      <c r="P94" s="37" t="str">
        <f>IFERROR(IF(VLOOKUP($B94,AnaCarolina[#Data],12)=0,"Não executado",VLOOKUP($B94,AnaCarolina[#Data],12)),"Não executado")</f>
        <v>Não executado</v>
      </c>
      <c r="Q94" s="37" t="str">
        <f>IFERROR(IF(VLOOKUP($B94,wanei[#Data],12)=0,"Não executado",VLOOKUP($B94,wanei[#Data],12)),"Não executado")</f>
        <v>Não executado</v>
      </c>
      <c r="R94" s="37" t="str">
        <f>IFERROR(IF(VLOOKUP($B94,janaina[#Data],12)=0,"Não executado",VLOOKUP($B94,janaina[#Data],12)),"Não executado")</f>
        <v>Não executado</v>
      </c>
      <c r="S94" s="93" t="str">
        <f>IFERROR(IF(VLOOKUP($B77,andreia[#Data],12)=0,"Não executado",VLOOKUP($B77,andreia[#Data],12)),"Não executado")</f>
        <v>Não executado</v>
      </c>
      <c r="T94" s="37" t="str">
        <f>IFERROR(IF(VLOOKUP($B77,homologador[#Data],12)=0,"Não executado",VLOOKUP($B77,homologador[#Data],12)),"Não executado")</f>
        <v>Não executado</v>
      </c>
      <c r="W94" s="13"/>
    </row>
    <row r="95" spans="2:23">
      <c r="B95" s="40" t="str">
        <f>IF(ISERR(casostestes[[#This Row],[ID]]),"-",casostestes[[#This Row],[ID]])</f>
        <v>-</v>
      </c>
      <c r="C95" s="34" t="str">
        <f>IFERROR(IF(VLOOKUP($B95,casostestes[#Data],10)=0,"Não",VLOOKUP($B95,casostestes[#Data],10)), "-")</f>
        <v>-</v>
      </c>
      <c r="D95" s="35" t="str">
        <f>IFERROR(IF(VLOOKUP($B95,casostestes[#Data],2)=0,"-",VLOOKUP($B95,casostestes[#Data],2)), "-")</f>
        <v>-</v>
      </c>
      <c r="E95" s="35" t="str">
        <f>IFERROR(IF(VLOOKUP($B95,casostestes[#Data],3)=0,"-",VLOOKUP($B95,casostestes[#Data],3)), "-")</f>
        <v>-</v>
      </c>
      <c r="F95" s="35" t="str">
        <f>IFERROR(IF(VLOOKUP($B95,casostestes[#Data],4)=0,"-",VLOOKUP($B95,casostestes[#Data],4)),"-")</f>
        <v>-</v>
      </c>
      <c r="G95" s="35" t="str">
        <f>IFERROR(IF(VLOOKUP($B95,casostestes[#Data],5)=0,"-",VLOOKUP($B95,casostestes[#Data],5)),"-")</f>
        <v>-</v>
      </c>
      <c r="H95" s="35" t="str">
        <f>IFERROR(IF(VLOOKUP($B95,casostestes[#Data],6)=0,"-",VLOOKUP($B95,casostestes[#Data],6)),"-")</f>
        <v>-</v>
      </c>
      <c r="I95" s="35" t="str">
        <f>IFERROR(IF(VLOOKUP($B95,casostestes[#Data],8)=0,"-",VLOOKUP($B95,casostestes[#Data],8)),"-")</f>
        <v>-</v>
      </c>
      <c r="J95" s="35" t="str">
        <f>IFERROR(IF(VLOOKUP($B95,casostestes[#Data],9)=0,"-",VLOOKUP($B95,casostestes[#Data],9)),"-")</f>
        <v>-</v>
      </c>
      <c r="K95" s="37" t="str">
        <f>IFERROR(IF(VLOOKUP($B95,orlando[#Data],12)=0,"Não executado",VLOOKUP($B95,orlando[#Data],12)),"Não executado")</f>
        <v>Não executado</v>
      </c>
      <c r="L95" s="37" t="str">
        <f>IFERROR(IF(VLOOKUP($B95,mauricio[#Data],12)=0,"Não executado",VLOOKUP($B95,mauricio[#Data],12)),"Não executado")</f>
        <v>Não executado</v>
      </c>
      <c r="M95" s="37" t="str">
        <f>IFERROR(IF(VLOOKUP($B95,Thaisa[#Data],12)=0,"Não executado",VLOOKUP($B95,Thaisa[#Data],12)),"Não executado")</f>
        <v>Não executado</v>
      </c>
      <c r="N95" s="37" t="str">
        <f>IFERROR(IF(VLOOKUP($B95,carlos[#Data],12)=0,"Não executado",VLOOKUP($B95,carlos[#Data],12)),"Não executado")</f>
        <v>Não executado</v>
      </c>
      <c r="O95" s="37" t="str">
        <f>IFERROR(IF(VLOOKUP($B95,Alessandra[#Data],12)=0,"Não executado",VLOOKUP($B95,Alessandra[#Data],12)),"Não executado")</f>
        <v>Não executado</v>
      </c>
      <c r="P95" s="37" t="str">
        <f>IFERROR(IF(VLOOKUP($B95,AnaCarolina[#Data],12)=0,"Não executado",VLOOKUP($B95,AnaCarolina[#Data],12)),"Não executado")</f>
        <v>Não executado</v>
      </c>
      <c r="Q95" s="37" t="str">
        <f>IFERROR(IF(VLOOKUP($B95,wanei[#Data],12)=0,"Não executado",VLOOKUP($B95,wanei[#Data],12)),"Não executado")</f>
        <v>Não executado</v>
      </c>
      <c r="R95" s="37" t="str">
        <f>IFERROR(IF(VLOOKUP($B95,janaina[#Data],12)=0,"Não executado",VLOOKUP($B95,janaina[#Data],12)),"Não executado")</f>
        <v>Não executado</v>
      </c>
      <c r="S95" s="93" t="str">
        <f>IFERROR(IF(VLOOKUP($B78,andreia[#Data],12)=0,"Não executado",VLOOKUP($B78,andreia[#Data],12)),"Não executado")</f>
        <v>Não executado</v>
      </c>
      <c r="T95" s="37" t="str">
        <f>IFERROR(IF(VLOOKUP($B78,homologador[#Data],12)=0,"Não executado",VLOOKUP($B78,homologador[#Data],12)),"Não executado")</f>
        <v>Não executado</v>
      </c>
      <c r="W95" s="13"/>
    </row>
    <row r="96" spans="2:23">
      <c r="B96" s="40" t="str">
        <f>IF(ISERR(casostestes[[#This Row],[ID]]),"-",casostestes[[#This Row],[ID]])</f>
        <v>-</v>
      </c>
      <c r="C96" s="34" t="str">
        <f>IFERROR(IF(VLOOKUP($B96,casostestes[#Data],10)=0,"Não",VLOOKUP($B96,casostestes[#Data],10)), "-")</f>
        <v>-</v>
      </c>
      <c r="D96" s="35" t="str">
        <f>IFERROR(IF(VLOOKUP($B96,casostestes[#Data],2)=0,"-",VLOOKUP($B96,casostestes[#Data],2)), "-")</f>
        <v>-</v>
      </c>
      <c r="E96" s="35" t="str">
        <f>IFERROR(IF(VLOOKUP($B96,casostestes[#Data],3)=0,"-",VLOOKUP($B96,casostestes[#Data],3)), "-")</f>
        <v>-</v>
      </c>
      <c r="F96" s="35" t="str">
        <f>IFERROR(IF(VLOOKUP($B96,casostestes[#Data],4)=0,"-",VLOOKUP($B96,casostestes[#Data],4)),"-")</f>
        <v>-</v>
      </c>
      <c r="G96" s="35" t="str">
        <f>IFERROR(IF(VLOOKUP($B96,casostestes[#Data],5)=0,"-",VLOOKUP($B96,casostestes[#Data],5)),"-")</f>
        <v>-</v>
      </c>
      <c r="H96" s="35" t="str">
        <f>IFERROR(IF(VLOOKUP($B96,casostestes[#Data],6)=0,"-",VLOOKUP($B96,casostestes[#Data],6)),"-")</f>
        <v>-</v>
      </c>
      <c r="I96" s="35" t="str">
        <f>IFERROR(IF(VLOOKUP($B96,casostestes[#Data],8)=0,"-",VLOOKUP($B96,casostestes[#Data],8)),"-")</f>
        <v>-</v>
      </c>
      <c r="J96" s="35" t="str">
        <f>IFERROR(IF(VLOOKUP($B96,casostestes[#Data],9)=0,"-",VLOOKUP($B96,casostestes[#Data],9)),"-")</f>
        <v>-</v>
      </c>
      <c r="K96" s="37" t="str">
        <f>IFERROR(IF(VLOOKUP($B96,orlando[#Data],12)=0,"Não executado",VLOOKUP($B96,orlando[#Data],12)),"Não executado")</f>
        <v>Não executado</v>
      </c>
      <c r="L96" s="37" t="str">
        <f>IFERROR(IF(VLOOKUP($B96,mauricio[#Data],12)=0,"Não executado",VLOOKUP($B96,mauricio[#Data],12)),"Não executado")</f>
        <v>Não executado</v>
      </c>
      <c r="M96" s="37" t="str">
        <f>IFERROR(IF(VLOOKUP($B96,Thaisa[#Data],12)=0,"Não executado",VLOOKUP($B96,Thaisa[#Data],12)),"Não executado")</f>
        <v>Não executado</v>
      </c>
      <c r="N96" s="37" t="str">
        <f>IFERROR(IF(VLOOKUP($B96,carlos[#Data],12)=0,"Não executado",VLOOKUP($B96,carlos[#Data],12)),"Não executado")</f>
        <v>Não executado</v>
      </c>
      <c r="O96" s="37" t="str">
        <f>IFERROR(IF(VLOOKUP($B96,Alessandra[#Data],12)=0,"Não executado",VLOOKUP($B96,Alessandra[#Data],12)),"Não executado")</f>
        <v>Não executado</v>
      </c>
      <c r="P96" s="37" t="str">
        <f>IFERROR(IF(VLOOKUP($B96,AnaCarolina[#Data],12)=0,"Não executado",VLOOKUP($B96,AnaCarolina[#Data],12)),"Não executado")</f>
        <v>Não executado</v>
      </c>
      <c r="Q96" s="37" t="str">
        <f>IFERROR(IF(VLOOKUP($B96,wanei[#Data],12)=0,"Não executado",VLOOKUP($B96,wanei[#Data],12)),"Não executado")</f>
        <v>Não executado</v>
      </c>
      <c r="R96" s="37" t="str">
        <f>IFERROR(IF(VLOOKUP($B96,janaina[#Data],12)=0,"Não executado",VLOOKUP($B96,janaina[#Data],12)),"Não executado")</f>
        <v>Não executado</v>
      </c>
      <c r="S96" s="93" t="str">
        <f>IFERROR(IF(VLOOKUP($B79,andreia[#Data],12)=0,"Não executado",VLOOKUP($B79,andreia[#Data],12)),"Não executado")</f>
        <v>Não executado</v>
      </c>
      <c r="T96" s="37" t="str">
        <f>IFERROR(IF(VLOOKUP($B79,homologador[#Data],12)=0,"Não executado",VLOOKUP($B79,homologador[#Data],12)),"Não executado")</f>
        <v>Não executado</v>
      </c>
      <c r="W96" s="13"/>
    </row>
    <row r="97" spans="2:23">
      <c r="B97" s="40" t="str">
        <f>IF(ISERR(casostestes[[#This Row],[ID]]),"-",casostestes[[#This Row],[ID]])</f>
        <v>-</v>
      </c>
      <c r="C97" s="34" t="str">
        <f>IFERROR(IF(VLOOKUP($B97,casostestes[#Data],10)=0,"Não",VLOOKUP($B97,casostestes[#Data],10)), "-")</f>
        <v>-</v>
      </c>
      <c r="D97" s="35" t="str">
        <f>IFERROR(IF(VLOOKUP($B97,casostestes[#Data],2)=0,"-",VLOOKUP($B97,casostestes[#Data],2)), "-")</f>
        <v>-</v>
      </c>
      <c r="E97" s="35" t="str">
        <f>IFERROR(IF(VLOOKUP($B97,casostestes[#Data],3)=0,"-",VLOOKUP($B97,casostestes[#Data],3)), "-")</f>
        <v>-</v>
      </c>
      <c r="F97" s="35" t="str">
        <f>IFERROR(IF(VLOOKUP($B97,casostestes[#Data],4)=0,"-",VLOOKUP($B97,casostestes[#Data],4)),"-")</f>
        <v>-</v>
      </c>
      <c r="G97" s="35" t="str">
        <f>IFERROR(IF(VLOOKUP($B97,casostestes[#Data],5)=0,"-",VLOOKUP($B97,casostestes[#Data],5)),"-")</f>
        <v>-</v>
      </c>
      <c r="H97" s="35" t="str">
        <f>IFERROR(IF(VLOOKUP($B97,casostestes[#Data],6)=0,"-",VLOOKUP($B97,casostestes[#Data],6)),"-")</f>
        <v>-</v>
      </c>
      <c r="I97" s="35" t="str">
        <f>IFERROR(IF(VLOOKUP($B97,casostestes[#Data],8)=0,"-",VLOOKUP($B97,casostestes[#Data],8)),"-")</f>
        <v>-</v>
      </c>
      <c r="J97" s="35" t="str">
        <f>IFERROR(IF(VLOOKUP($B97,casostestes[#Data],9)=0,"-",VLOOKUP($B97,casostestes[#Data],9)),"-")</f>
        <v>-</v>
      </c>
      <c r="K97" s="37" t="str">
        <f>IFERROR(IF(VLOOKUP($B97,orlando[#Data],12)=0,"Não executado",VLOOKUP($B97,orlando[#Data],12)),"Não executado")</f>
        <v>Não executado</v>
      </c>
      <c r="L97" s="37" t="str">
        <f>IFERROR(IF(VLOOKUP($B97,mauricio[#Data],12)=0,"Não executado",VLOOKUP($B97,mauricio[#Data],12)),"Não executado")</f>
        <v>Não executado</v>
      </c>
      <c r="M97" s="37" t="str">
        <f>IFERROR(IF(VLOOKUP($B97,Thaisa[#Data],12)=0,"Não executado",VLOOKUP($B97,Thaisa[#Data],12)),"Não executado")</f>
        <v>Não executado</v>
      </c>
      <c r="N97" s="37" t="str">
        <f>IFERROR(IF(VLOOKUP($B97,carlos[#Data],12)=0,"Não executado",VLOOKUP($B97,carlos[#Data],12)),"Não executado")</f>
        <v>Não executado</v>
      </c>
      <c r="O97" s="37" t="str">
        <f>IFERROR(IF(VLOOKUP($B97,Alessandra[#Data],12)=0,"Não executado",VLOOKUP($B97,Alessandra[#Data],12)),"Não executado")</f>
        <v>Não executado</v>
      </c>
      <c r="P97" s="37" t="str">
        <f>IFERROR(IF(VLOOKUP($B97,AnaCarolina[#Data],12)=0,"Não executado",VLOOKUP($B97,AnaCarolina[#Data],12)),"Não executado")</f>
        <v>Não executado</v>
      </c>
      <c r="Q97" s="37" t="str">
        <f>IFERROR(IF(VLOOKUP($B97,wanei[#Data],12)=0,"Não executado",VLOOKUP($B97,wanei[#Data],12)),"Não executado")</f>
        <v>Não executado</v>
      </c>
      <c r="R97" s="37" t="str">
        <f>IFERROR(IF(VLOOKUP($B97,janaina[#Data],12)=0,"Não executado",VLOOKUP($B97,janaina[#Data],12)),"Não executado")</f>
        <v>Não executado</v>
      </c>
      <c r="S97" s="93" t="str">
        <f>IFERROR(IF(VLOOKUP($B80,andreia[#Data],12)=0,"Não executado",VLOOKUP($B80,andreia[#Data],12)),"Não executado")</f>
        <v>Não executado</v>
      </c>
      <c r="T97" s="37" t="str">
        <f>IFERROR(IF(VLOOKUP($B80,homologador[#Data],12)=0,"Não executado",VLOOKUP($B80,homologador[#Data],12)),"Não executado")</f>
        <v>Não executado</v>
      </c>
      <c r="W97" s="13"/>
    </row>
    <row r="98" spans="2:23">
      <c r="B98" s="40" t="str">
        <f>IF(ISERR(casostestes[[#This Row],[ID]]),"-",casostestes[[#This Row],[ID]])</f>
        <v>-</v>
      </c>
      <c r="C98" s="34" t="str">
        <f>IFERROR(IF(VLOOKUP($B98,casostestes[#Data],10)=0,"Não",VLOOKUP($B98,casostestes[#Data],10)), "-")</f>
        <v>-</v>
      </c>
      <c r="D98" s="35" t="str">
        <f>IFERROR(IF(VLOOKUP($B98,casostestes[#Data],2)=0,"-",VLOOKUP($B98,casostestes[#Data],2)), "-")</f>
        <v>-</v>
      </c>
      <c r="E98" s="35" t="str">
        <f>IFERROR(IF(VLOOKUP($B98,casostestes[#Data],3)=0,"-",VLOOKUP($B98,casostestes[#Data],3)), "-")</f>
        <v>-</v>
      </c>
      <c r="F98" s="35" t="str">
        <f>IFERROR(IF(VLOOKUP($B98,casostestes[#Data],4)=0,"-",VLOOKUP($B98,casostestes[#Data],4)),"-")</f>
        <v>-</v>
      </c>
      <c r="G98" s="35" t="str">
        <f>IFERROR(IF(VLOOKUP($B98,casostestes[#Data],5)=0,"-",VLOOKUP($B98,casostestes[#Data],5)),"-")</f>
        <v>-</v>
      </c>
      <c r="H98" s="35" t="str">
        <f>IFERROR(IF(VLOOKUP($B98,casostestes[#Data],6)=0,"-",VLOOKUP($B98,casostestes[#Data],6)),"-")</f>
        <v>-</v>
      </c>
      <c r="I98" s="35" t="str">
        <f>IFERROR(IF(VLOOKUP($B98,casostestes[#Data],8)=0,"-",VLOOKUP($B98,casostestes[#Data],8)),"-")</f>
        <v>-</v>
      </c>
      <c r="J98" s="35" t="str">
        <f>IFERROR(IF(VLOOKUP($B98,casostestes[#Data],9)=0,"-",VLOOKUP($B98,casostestes[#Data],9)),"-")</f>
        <v>-</v>
      </c>
      <c r="K98" s="37" t="str">
        <f>IFERROR(IF(VLOOKUP($B98,orlando[#Data],12)=0,"Não executado",VLOOKUP($B98,orlando[#Data],12)),"Não executado")</f>
        <v>Não executado</v>
      </c>
      <c r="L98" s="37" t="str">
        <f>IFERROR(IF(VLOOKUP($B98,mauricio[#Data],12)=0,"Não executado",VLOOKUP($B98,mauricio[#Data],12)),"Não executado")</f>
        <v>Não executado</v>
      </c>
      <c r="M98" s="37" t="str">
        <f>IFERROR(IF(VLOOKUP($B98,Thaisa[#Data],12)=0,"Não executado",VLOOKUP($B98,Thaisa[#Data],12)),"Não executado")</f>
        <v>Não executado</v>
      </c>
      <c r="N98" s="37" t="str">
        <f>IFERROR(IF(VLOOKUP($B98,carlos[#Data],12)=0,"Não executado",VLOOKUP($B98,carlos[#Data],12)),"Não executado")</f>
        <v>Não executado</v>
      </c>
      <c r="O98" s="37" t="str">
        <f>IFERROR(IF(VLOOKUP($B98,Alessandra[#Data],12)=0,"Não executado",VLOOKUP($B98,Alessandra[#Data],12)),"Não executado")</f>
        <v>Não executado</v>
      </c>
      <c r="P98" s="37" t="str">
        <f>IFERROR(IF(VLOOKUP($B98,AnaCarolina[#Data],12)=0,"Não executado",VLOOKUP($B98,AnaCarolina[#Data],12)),"Não executado")</f>
        <v>Não executado</v>
      </c>
      <c r="Q98" s="37" t="str">
        <f>IFERROR(IF(VLOOKUP($B98,wanei[#Data],12)=0,"Não executado",VLOOKUP($B98,wanei[#Data],12)),"Não executado")</f>
        <v>Não executado</v>
      </c>
      <c r="R98" s="37" t="str">
        <f>IFERROR(IF(VLOOKUP($B98,janaina[#Data],12)=0,"Não executado",VLOOKUP($B98,janaina[#Data],12)),"Não executado")</f>
        <v>Não executado</v>
      </c>
      <c r="S98" s="93" t="str">
        <f>IFERROR(IF(VLOOKUP($B81,andreia[#Data],12)=0,"Não executado",VLOOKUP($B81,andreia[#Data],12)),"Não executado")</f>
        <v>Não executado</v>
      </c>
      <c r="T98" s="37" t="str">
        <f>IFERROR(IF(VLOOKUP($B81,homologador[#Data],12)=0,"Não executado",VLOOKUP($B81,homologador[#Data],12)),"Não executado")</f>
        <v>Não executado</v>
      </c>
      <c r="W98" s="13"/>
    </row>
    <row r="99" spans="2:23">
      <c r="B99" s="40" t="str">
        <f>IF(ISERR(casostestes[[#This Row],[ID]]),"-",casostestes[[#This Row],[ID]])</f>
        <v>-</v>
      </c>
      <c r="C99" s="34" t="str">
        <f>IFERROR(IF(VLOOKUP($B99,casostestes[#Data],10)=0,"Não",VLOOKUP($B99,casostestes[#Data],10)), "-")</f>
        <v>-</v>
      </c>
      <c r="D99" s="35" t="str">
        <f>IFERROR(IF(VLOOKUP($B99,casostestes[#Data],2)=0,"-",VLOOKUP($B99,casostestes[#Data],2)), "-")</f>
        <v>-</v>
      </c>
      <c r="E99" s="35" t="str">
        <f>IFERROR(IF(VLOOKUP($B99,casostestes[#Data],3)=0,"-",VLOOKUP($B99,casostestes[#Data],3)), "-")</f>
        <v>-</v>
      </c>
      <c r="F99" s="35" t="str">
        <f>IFERROR(IF(VLOOKUP($B99,casostestes[#Data],4)=0,"-",VLOOKUP($B99,casostestes[#Data],4)),"-")</f>
        <v>-</v>
      </c>
      <c r="G99" s="35" t="str">
        <f>IFERROR(IF(VLOOKUP($B99,casostestes[#Data],5)=0,"-",VLOOKUP($B99,casostestes[#Data],5)),"-")</f>
        <v>-</v>
      </c>
      <c r="H99" s="35" t="str">
        <f>IFERROR(IF(VLOOKUP($B99,casostestes[#Data],6)=0,"-",VLOOKUP($B99,casostestes[#Data],6)),"-")</f>
        <v>-</v>
      </c>
      <c r="I99" s="35" t="str">
        <f>IFERROR(IF(VLOOKUP($B99,casostestes[#Data],8)=0,"-",VLOOKUP($B99,casostestes[#Data],8)),"-")</f>
        <v>-</v>
      </c>
      <c r="J99" s="35" t="str">
        <f>IFERROR(IF(VLOOKUP($B99,casostestes[#Data],9)=0,"-",VLOOKUP($B99,casostestes[#Data],9)),"-")</f>
        <v>-</v>
      </c>
      <c r="K99" s="37" t="str">
        <f>IFERROR(IF(VLOOKUP($B99,orlando[#Data],12)=0,"Não executado",VLOOKUP($B99,orlando[#Data],12)),"Não executado")</f>
        <v>Não executado</v>
      </c>
      <c r="L99" s="37" t="str">
        <f>IFERROR(IF(VLOOKUP($B99,mauricio[#Data],12)=0,"Não executado",VLOOKUP($B99,mauricio[#Data],12)),"Não executado")</f>
        <v>Não executado</v>
      </c>
      <c r="M99" s="37" t="str">
        <f>IFERROR(IF(VLOOKUP($B99,Thaisa[#Data],12)=0,"Não executado",VLOOKUP($B99,Thaisa[#Data],12)),"Não executado")</f>
        <v>Não executado</v>
      </c>
      <c r="N99" s="37" t="str">
        <f>IFERROR(IF(VLOOKUP($B99,carlos[#Data],12)=0,"Não executado",VLOOKUP($B99,carlos[#Data],12)),"Não executado")</f>
        <v>Não executado</v>
      </c>
      <c r="O99" s="37" t="str">
        <f>IFERROR(IF(VLOOKUP($B99,Alessandra[#Data],12)=0,"Não executado",VLOOKUP($B99,Alessandra[#Data],12)),"Não executado")</f>
        <v>Não executado</v>
      </c>
      <c r="P99" s="37" t="str">
        <f>IFERROR(IF(VLOOKUP($B99,AnaCarolina[#Data],12)=0,"Não executado",VLOOKUP($B99,AnaCarolina[#Data],12)),"Não executado")</f>
        <v>Não executado</v>
      </c>
      <c r="Q99" s="37" t="str">
        <f>IFERROR(IF(VLOOKUP($B99,wanei[#Data],12)=0,"Não executado",VLOOKUP($B99,wanei[#Data],12)),"Não executado")</f>
        <v>Não executado</v>
      </c>
      <c r="R99" s="37" t="str">
        <f>IFERROR(IF(VLOOKUP($B99,janaina[#Data],12)=0,"Não executado",VLOOKUP($B99,janaina[#Data],12)),"Não executado")</f>
        <v>Não executado</v>
      </c>
      <c r="S99" s="93" t="str">
        <f>IFERROR(IF(VLOOKUP($B82,andreia[#Data],12)=0,"Não executado",VLOOKUP($B82,andreia[#Data],12)),"Não executado")</f>
        <v>Não executado</v>
      </c>
      <c r="T99" s="37" t="str">
        <f>IFERROR(IF(VLOOKUP($B82,homologador[#Data],12)=0,"Não executado",VLOOKUP($B82,homologador[#Data],12)),"Não executado")</f>
        <v>Não executado</v>
      </c>
      <c r="W99" s="13"/>
    </row>
    <row r="100" spans="2:23">
      <c r="B100" s="40" t="str">
        <f>IF(ISERR(casostestes[[#This Row],[ID]]),"-",casostestes[[#This Row],[ID]])</f>
        <v>-</v>
      </c>
      <c r="C100" s="34" t="str">
        <f>IFERROR(IF(VLOOKUP($B100,casostestes[#Data],10)=0,"Não",VLOOKUP($B100,casostestes[#Data],10)), "-")</f>
        <v>-</v>
      </c>
      <c r="D100" s="35" t="str">
        <f>IFERROR(IF(VLOOKUP($B100,casostestes[#Data],2)=0,"-",VLOOKUP($B100,casostestes[#Data],2)), "-")</f>
        <v>-</v>
      </c>
      <c r="E100" s="35" t="str">
        <f>IFERROR(IF(VLOOKUP($B100,casostestes[#Data],3)=0,"-",VLOOKUP($B100,casostestes[#Data],3)), "-")</f>
        <v>-</v>
      </c>
      <c r="F100" s="35" t="str">
        <f>IFERROR(IF(VLOOKUP($B100,casostestes[#Data],4)=0,"-",VLOOKUP($B100,casostestes[#Data],4)),"-")</f>
        <v>-</v>
      </c>
      <c r="G100" s="35" t="str">
        <f>IFERROR(IF(VLOOKUP($B100,casostestes[#Data],5)=0,"-",VLOOKUP($B100,casostestes[#Data],5)),"-")</f>
        <v>-</v>
      </c>
      <c r="H100" s="35" t="str">
        <f>IFERROR(IF(VLOOKUP($B100,casostestes[#Data],6)=0,"-",VLOOKUP($B100,casostestes[#Data],6)),"-")</f>
        <v>-</v>
      </c>
      <c r="I100" s="35" t="str">
        <f>IFERROR(IF(VLOOKUP($B100,casostestes[#Data],8)=0,"-",VLOOKUP($B100,casostestes[#Data],8)),"-")</f>
        <v>-</v>
      </c>
      <c r="J100" s="35" t="str">
        <f>IFERROR(IF(VLOOKUP($B100,casostestes[#Data],9)=0,"-",VLOOKUP($B100,casostestes[#Data],9)),"-")</f>
        <v>-</v>
      </c>
      <c r="K100" s="37" t="str">
        <f>IFERROR(IF(VLOOKUP($B100,orlando[#Data],12)=0,"Não executado",VLOOKUP($B100,orlando[#Data],12)),"Não executado")</f>
        <v>Não executado</v>
      </c>
      <c r="L100" s="37" t="str">
        <f>IFERROR(IF(VLOOKUP($B100,mauricio[#Data],12)=0,"Não executado",VLOOKUP($B100,mauricio[#Data],12)),"Não executado")</f>
        <v>Não executado</v>
      </c>
      <c r="M100" s="37" t="str">
        <f>IFERROR(IF(VLOOKUP($B100,Thaisa[#Data],12)=0,"Não executado",VLOOKUP($B100,Thaisa[#Data],12)),"Não executado")</f>
        <v>Não executado</v>
      </c>
      <c r="N100" s="37" t="str">
        <f>IFERROR(IF(VLOOKUP($B100,carlos[#Data],12)=0,"Não executado",VLOOKUP($B100,carlos[#Data],12)),"Não executado")</f>
        <v>Não executado</v>
      </c>
      <c r="O100" s="37" t="str">
        <f>IFERROR(IF(VLOOKUP($B100,Alessandra[#Data],12)=0,"Não executado",VLOOKUP($B100,Alessandra[#Data],12)),"Não executado")</f>
        <v>Não executado</v>
      </c>
      <c r="P100" s="37" t="str">
        <f>IFERROR(IF(VLOOKUP($B100,AnaCarolina[#Data],12)=0,"Não executado",VLOOKUP($B100,AnaCarolina[#Data],12)),"Não executado")</f>
        <v>Não executado</v>
      </c>
      <c r="Q100" s="37" t="str">
        <f>IFERROR(IF(VLOOKUP($B100,wanei[#Data],12)=0,"Não executado",VLOOKUP($B100,wanei[#Data],12)),"Não executado")</f>
        <v>Não executado</v>
      </c>
      <c r="R100" s="37" t="str">
        <f>IFERROR(IF(VLOOKUP($B100,janaina[#Data],12)=0,"Não executado",VLOOKUP($B100,janaina[#Data],12)),"Não executado")</f>
        <v>Não executado</v>
      </c>
      <c r="S100" s="93" t="str">
        <f>IFERROR(IF(VLOOKUP($B83,andreia[#Data],12)=0,"Não executado",VLOOKUP($B83,andreia[#Data],12)),"Não executado")</f>
        <v>Não executado</v>
      </c>
      <c r="T100" s="37" t="str">
        <f>IFERROR(IF(VLOOKUP($B83,homologador[#Data],12)=0,"Não executado",VLOOKUP($B83,homologador[#Data],12)),"Não executado")</f>
        <v>Não executado</v>
      </c>
      <c r="W100" s="13"/>
    </row>
    <row r="101" spans="2:23">
      <c r="B101" s="40" t="str">
        <f>IF(ISERR(casostestes[[#This Row],[ID]]),"-",casostestes[[#This Row],[ID]])</f>
        <v>-</v>
      </c>
      <c r="C101" s="34" t="str">
        <f>IFERROR(IF(VLOOKUP($B101,casostestes[#Data],10)=0,"Não",VLOOKUP($B101,casostestes[#Data],10)), "-")</f>
        <v>-</v>
      </c>
      <c r="D101" s="35" t="str">
        <f>IFERROR(IF(VLOOKUP($B101,casostestes[#Data],2)=0,"-",VLOOKUP($B101,casostestes[#Data],2)), "-")</f>
        <v>-</v>
      </c>
      <c r="E101" s="35" t="str">
        <f>IFERROR(IF(VLOOKUP($B101,casostestes[#Data],3)=0,"-",VLOOKUP($B101,casostestes[#Data],3)), "-")</f>
        <v>-</v>
      </c>
      <c r="F101" s="35" t="str">
        <f>IFERROR(IF(VLOOKUP($B101,casostestes[#Data],4)=0,"-",VLOOKUP($B101,casostestes[#Data],4)),"-")</f>
        <v>-</v>
      </c>
      <c r="G101" s="35" t="str">
        <f>IFERROR(IF(VLOOKUP($B101,casostestes[#Data],5)=0,"-",VLOOKUP($B101,casostestes[#Data],5)),"-")</f>
        <v>-</v>
      </c>
      <c r="H101" s="35" t="str">
        <f>IFERROR(IF(VLOOKUP($B101,casostestes[#Data],6)=0,"-",VLOOKUP($B101,casostestes[#Data],6)),"-")</f>
        <v>-</v>
      </c>
      <c r="I101" s="35" t="str">
        <f>IFERROR(IF(VLOOKUP($B101,casostestes[#Data],8)=0,"-",VLOOKUP($B101,casostestes[#Data],8)),"-")</f>
        <v>-</v>
      </c>
      <c r="J101" s="35" t="str">
        <f>IFERROR(IF(VLOOKUP($B101,casostestes[#Data],9)=0,"-",VLOOKUP($B101,casostestes[#Data],9)),"-")</f>
        <v>-</v>
      </c>
      <c r="K101" s="37" t="str">
        <f>IFERROR(IF(VLOOKUP($B101,orlando[#Data],12)=0,"Não executado",VLOOKUP($B101,orlando[#Data],12)),"Não executado")</f>
        <v>Não executado</v>
      </c>
      <c r="L101" s="37" t="str">
        <f>IFERROR(IF(VLOOKUP($B101,mauricio[#Data],12)=0,"Não executado",VLOOKUP($B101,mauricio[#Data],12)),"Não executado")</f>
        <v>Não executado</v>
      </c>
      <c r="M101" s="37" t="str">
        <f>IFERROR(IF(VLOOKUP($B101,Thaisa[#Data],12)=0,"Não executado",VLOOKUP($B101,Thaisa[#Data],12)),"Não executado")</f>
        <v>Não executado</v>
      </c>
      <c r="N101" s="37" t="str">
        <f>IFERROR(IF(VLOOKUP($B101,carlos[#Data],12)=0,"Não executado",VLOOKUP($B101,carlos[#Data],12)),"Não executado")</f>
        <v>Não executado</v>
      </c>
      <c r="O101" s="37" t="str">
        <f>IFERROR(IF(VLOOKUP($B101,Alessandra[#Data],12)=0,"Não executado",VLOOKUP($B101,Alessandra[#Data],12)),"Não executado")</f>
        <v>Não executado</v>
      </c>
      <c r="P101" s="37" t="str">
        <f>IFERROR(IF(VLOOKUP($B101,AnaCarolina[#Data],12)=0,"Não executado",VLOOKUP($B101,AnaCarolina[#Data],12)),"Não executado")</f>
        <v>Não executado</v>
      </c>
      <c r="Q101" s="37" t="str">
        <f>IFERROR(IF(VLOOKUP($B101,wanei[#Data],12)=0,"Não executado",VLOOKUP($B101,wanei[#Data],12)),"Não executado")</f>
        <v>Não executado</v>
      </c>
      <c r="R101" s="37" t="str">
        <f>IFERROR(IF(VLOOKUP($B101,janaina[#Data],12)=0,"Não executado",VLOOKUP($B101,janaina[#Data],12)),"Não executado")</f>
        <v>Não executado</v>
      </c>
      <c r="S101" s="93" t="str">
        <f>IFERROR(IF(VLOOKUP($B84,andreia[#Data],12)=0,"Não executado",VLOOKUP($B84,andreia[#Data],12)),"Não executado")</f>
        <v>Não executado</v>
      </c>
      <c r="T101" s="37" t="str">
        <f>IFERROR(IF(VLOOKUP($B84,homologador[#Data],12)=0,"Não executado",VLOOKUP($B84,homologador[#Data],12)),"Não executado")</f>
        <v>Não executado</v>
      </c>
      <c r="W101" s="13"/>
    </row>
    <row r="102" spans="2:23">
      <c r="B102" s="40" t="str">
        <f>IF(ISERR(casostestes[[#This Row],[ID]]),"-",casostestes[[#This Row],[ID]])</f>
        <v>-</v>
      </c>
      <c r="C102" s="34" t="str">
        <f>IFERROR(IF(VLOOKUP($B102,casostestes[#Data],10)=0,"Não",VLOOKUP($B102,casostestes[#Data],10)), "-")</f>
        <v>-</v>
      </c>
      <c r="D102" s="35" t="str">
        <f>IFERROR(IF(VLOOKUP($B102,casostestes[#Data],2)=0,"-",VLOOKUP($B102,casostestes[#Data],2)), "-")</f>
        <v>-</v>
      </c>
      <c r="E102" s="35" t="str">
        <f>IFERROR(IF(VLOOKUP($B102,casostestes[#Data],3)=0,"-",VLOOKUP($B102,casostestes[#Data],3)), "-")</f>
        <v>-</v>
      </c>
      <c r="F102" s="35" t="str">
        <f>IFERROR(IF(VLOOKUP($B102,casostestes[#Data],4)=0,"-",VLOOKUP($B102,casostestes[#Data],4)),"-")</f>
        <v>-</v>
      </c>
      <c r="G102" s="35" t="str">
        <f>IFERROR(IF(VLOOKUP($B102,casostestes[#Data],5)=0,"-",VLOOKUP($B102,casostestes[#Data],5)),"-")</f>
        <v>-</v>
      </c>
      <c r="H102" s="35" t="str">
        <f>IFERROR(IF(VLOOKUP($B102,casostestes[#Data],6)=0,"-",VLOOKUP($B102,casostestes[#Data],6)),"-")</f>
        <v>-</v>
      </c>
      <c r="I102" s="35" t="str">
        <f>IFERROR(IF(VLOOKUP($B102,casostestes[#Data],8)=0,"-",VLOOKUP($B102,casostestes[#Data],8)),"-")</f>
        <v>-</v>
      </c>
      <c r="J102" s="35" t="str">
        <f>IFERROR(IF(VLOOKUP($B102,casostestes[#Data],9)=0,"-",VLOOKUP($B102,casostestes[#Data],9)),"-")</f>
        <v>-</v>
      </c>
      <c r="K102" s="37" t="str">
        <f>IFERROR(IF(VLOOKUP($B102,orlando[#Data],12)=0,"Não executado",VLOOKUP($B102,orlando[#Data],12)),"Não executado")</f>
        <v>Não executado</v>
      </c>
      <c r="L102" s="37" t="str">
        <f>IFERROR(IF(VLOOKUP($B102,mauricio[#Data],12)=0,"Não executado",VLOOKUP($B102,mauricio[#Data],12)),"Não executado")</f>
        <v>Não executado</v>
      </c>
      <c r="M102" s="37" t="str">
        <f>IFERROR(IF(VLOOKUP($B102,Thaisa[#Data],12)=0,"Não executado",VLOOKUP($B102,Thaisa[#Data],12)),"Não executado")</f>
        <v>Não executado</v>
      </c>
      <c r="N102" s="37" t="str">
        <f>IFERROR(IF(VLOOKUP($B102,carlos[#Data],12)=0,"Não executado",VLOOKUP($B102,carlos[#Data],12)),"Não executado")</f>
        <v>Não executado</v>
      </c>
      <c r="O102" s="37" t="str">
        <f>IFERROR(IF(VLOOKUP($B102,Alessandra[#Data],12)=0,"Não executado",VLOOKUP($B102,Alessandra[#Data],12)),"Não executado")</f>
        <v>Não executado</v>
      </c>
      <c r="P102" s="37" t="str">
        <f>IFERROR(IF(VLOOKUP($B102,AnaCarolina[#Data],12)=0,"Não executado",VLOOKUP($B102,AnaCarolina[#Data],12)),"Não executado")</f>
        <v>Não executado</v>
      </c>
      <c r="Q102" s="37" t="str">
        <f>IFERROR(IF(VLOOKUP($B102,wanei[#Data],12)=0,"Não executado",VLOOKUP($B102,wanei[#Data],12)),"Não executado")</f>
        <v>Não executado</v>
      </c>
      <c r="R102" s="37" t="str">
        <f>IFERROR(IF(VLOOKUP($B102,janaina[#Data],12)=0,"Não executado",VLOOKUP($B102,janaina[#Data],12)),"Não executado")</f>
        <v>Não executado</v>
      </c>
      <c r="S102" s="93" t="str">
        <f>IFERROR(IF(VLOOKUP($B85,andreia[#Data],12)=0,"Não executado",VLOOKUP($B85,andreia[#Data],12)),"Não executado")</f>
        <v>Não executado</v>
      </c>
      <c r="T102" s="37" t="str">
        <f>IFERROR(IF(VLOOKUP($B85,homologador[#Data],12)=0,"Não executado",VLOOKUP($B85,homologador[#Data],12)),"Não executado")</f>
        <v>Não executado</v>
      </c>
      <c r="W102" s="13"/>
    </row>
    <row r="103" spans="2:23">
      <c r="B103" s="40" t="str">
        <f>IF(ISERR(casostestes[[#This Row],[ID]]),"-",casostestes[[#This Row],[ID]])</f>
        <v>-</v>
      </c>
      <c r="C103" s="34" t="str">
        <f>IFERROR(IF(VLOOKUP($B103,casostestes[#Data],10)=0,"Não",VLOOKUP($B103,casostestes[#Data],10)), "-")</f>
        <v>-</v>
      </c>
      <c r="D103" s="35" t="str">
        <f>IFERROR(IF(VLOOKUP($B103,casostestes[#Data],2)=0,"-",VLOOKUP($B103,casostestes[#Data],2)), "-")</f>
        <v>-</v>
      </c>
      <c r="E103" s="35" t="str">
        <f>IFERROR(IF(VLOOKUP($B103,casostestes[#Data],3)=0,"-",VLOOKUP($B103,casostestes[#Data],3)), "-")</f>
        <v>-</v>
      </c>
      <c r="F103" s="35" t="str">
        <f>IFERROR(IF(VLOOKUP($B103,casostestes[#Data],4)=0,"-",VLOOKUP($B103,casostestes[#Data],4)),"-")</f>
        <v>-</v>
      </c>
      <c r="G103" s="35" t="str">
        <f>IFERROR(IF(VLOOKUP($B103,casostestes[#Data],5)=0,"-",VLOOKUP($B103,casostestes[#Data],5)),"-")</f>
        <v>-</v>
      </c>
      <c r="H103" s="35" t="str">
        <f>IFERROR(IF(VLOOKUP($B103,casostestes[#Data],6)=0,"-",VLOOKUP($B103,casostestes[#Data],6)),"-")</f>
        <v>-</v>
      </c>
      <c r="I103" s="35" t="str">
        <f>IFERROR(IF(VLOOKUP($B103,casostestes[#Data],8)=0,"-",VLOOKUP($B103,casostestes[#Data],8)),"-")</f>
        <v>-</v>
      </c>
      <c r="J103" s="35" t="str">
        <f>IFERROR(IF(VLOOKUP($B103,casostestes[#Data],9)=0,"-",VLOOKUP($B103,casostestes[#Data],9)),"-")</f>
        <v>-</v>
      </c>
      <c r="K103" s="37" t="str">
        <f>IFERROR(IF(VLOOKUP($B103,orlando[#Data],12)=0,"Não executado",VLOOKUP($B103,orlando[#Data],12)),"Não executado")</f>
        <v>Não executado</v>
      </c>
      <c r="L103" s="37" t="str">
        <f>IFERROR(IF(VLOOKUP($B103,mauricio[#Data],12)=0,"Não executado",VLOOKUP($B103,mauricio[#Data],12)),"Não executado")</f>
        <v>Não executado</v>
      </c>
      <c r="M103" s="37" t="str">
        <f>IFERROR(IF(VLOOKUP($B103,Thaisa[#Data],12)=0,"Não executado",VLOOKUP($B103,Thaisa[#Data],12)),"Não executado")</f>
        <v>Não executado</v>
      </c>
      <c r="N103" s="37" t="str">
        <f>IFERROR(IF(VLOOKUP($B103,carlos[#Data],12)=0,"Não executado",VLOOKUP($B103,carlos[#Data],12)),"Não executado")</f>
        <v>Não executado</v>
      </c>
      <c r="O103" s="37" t="str">
        <f>IFERROR(IF(VLOOKUP($B103,Alessandra[#Data],12)=0,"Não executado",VLOOKUP($B103,Alessandra[#Data],12)),"Não executado")</f>
        <v>Não executado</v>
      </c>
      <c r="P103" s="37" t="str">
        <f>IFERROR(IF(VLOOKUP($B103,AnaCarolina[#Data],12)=0,"Não executado",VLOOKUP($B103,AnaCarolina[#Data],12)),"Não executado")</f>
        <v>Não executado</v>
      </c>
      <c r="Q103" s="37" t="str">
        <f>IFERROR(IF(VLOOKUP($B103,wanei[#Data],12)=0,"Não executado",VLOOKUP($B103,wanei[#Data],12)),"Não executado")</f>
        <v>Não executado</v>
      </c>
      <c r="R103" s="37" t="str">
        <f>IFERROR(IF(VLOOKUP($B103,janaina[#Data],12)=0,"Não executado",VLOOKUP($B103,janaina[#Data],12)),"Não executado")</f>
        <v>Não executado</v>
      </c>
      <c r="S103" s="93" t="str">
        <f>IFERROR(IF(VLOOKUP($B86,andreia[#Data],12)=0,"Não executado",VLOOKUP($B86,andreia[#Data],12)),"Não executado")</f>
        <v>Não executado</v>
      </c>
      <c r="T103" s="37" t="str">
        <f>IFERROR(IF(VLOOKUP($B86,homologador[#Data],12)=0,"Não executado",VLOOKUP($B86,homologador[#Data],12)),"Não executado")</f>
        <v>Não executado</v>
      </c>
      <c r="W103" s="13"/>
    </row>
    <row r="104" spans="2:23">
      <c r="B104" s="40" t="str">
        <f>IF(ISERR(casostestes[[#This Row],[ID]]),"-",casostestes[[#This Row],[ID]])</f>
        <v>-</v>
      </c>
      <c r="C104" s="34" t="str">
        <f>IFERROR(IF(VLOOKUP($B104,casostestes[#Data],10)=0,"Não",VLOOKUP($B104,casostestes[#Data],10)), "-")</f>
        <v>-</v>
      </c>
      <c r="D104" s="35" t="str">
        <f>IFERROR(IF(VLOOKUP($B104,casostestes[#Data],2)=0,"-",VLOOKUP($B104,casostestes[#Data],2)), "-")</f>
        <v>-</v>
      </c>
      <c r="E104" s="35" t="str">
        <f>IFERROR(IF(VLOOKUP($B104,casostestes[#Data],3)=0,"-",VLOOKUP($B104,casostestes[#Data],3)), "-")</f>
        <v>-</v>
      </c>
      <c r="F104" s="35" t="str">
        <f>IFERROR(IF(VLOOKUP($B104,casostestes[#Data],4)=0,"-",VLOOKUP($B104,casostestes[#Data],4)),"-")</f>
        <v>-</v>
      </c>
      <c r="G104" s="35" t="str">
        <f>IFERROR(IF(VLOOKUP($B104,casostestes[#Data],5)=0,"-",VLOOKUP($B104,casostestes[#Data],5)),"-")</f>
        <v>-</v>
      </c>
      <c r="H104" s="35" t="str">
        <f>IFERROR(IF(VLOOKUP($B104,casostestes[#Data],6)=0,"-",VLOOKUP($B104,casostestes[#Data],6)),"-")</f>
        <v>-</v>
      </c>
      <c r="I104" s="35" t="str">
        <f>IFERROR(IF(VLOOKUP($B104,casostestes[#Data],8)=0,"-",VLOOKUP($B104,casostestes[#Data],8)),"-")</f>
        <v>-</v>
      </c>
      <c r="J104" s="35" t="str">
        <f>IFERROR(IF(VLOOKUP($B104,casostestes[#Data],9)=0,"-",VLOOKUP($B104,casostestes[#Data],9)),"-")</f>
        <v>-</v>
      </c>
      <c r="K104" s="37" t="str">
        <f>IFERROR(IF(VLOOKUP($B104,orlando[#Data],12)=0,"Não executado",VLOOKUP($B104,orlando[#Data],12)),"Não executado")</f>
        <v>Não executado</v>
      </c>
      <c r="L104" s="37" t="str">
        <f>IFERROR(IF(VLOOKUP($B104,mauricio[#Data],12)=0,"Não executado",VLOOKUP($B104,mauricio[#Data],12)),"Não executado")</f>
        <v>Não executado</v>
      </c>
      <c r="M104" s="37" t="str">
        <f>IFERROR(IF(VLOOKUP($B104,Thaisa[#Data],12)=0,"Não executado",VLOOKUP($B104,Thaisa[#Data],12)),"Não executado")</f>
        <v>Não executado</v>
      </c>
      <c r="N104" s="37" t="str">
        <f>IFERROR(IF(VLOOKUP($B104,carlos[#Data],12)=0,"Não executado",VLOOKUP($B104,carlos[#Data],12)),"Não executado")</f>
        <v>Não executado</v>
      </c>
      <c r="O104" s="37" t="str">
        <f>IFERROR(IF(VLOOKUP($B104,Alessandra[#Data],12)=0,"Não executado",VLOOKUP($B104,Alessandra[#Data],12)),"Não executado")</f>
        <v>Não executado</v>
      </c>
      <c r="P104" s="37" t="str">
        <f>IFERROR(IF(VLOOKUP($B104,AnaCarolina[#Data],12)=0,"Não executado",VLOOKUP($B104,AnaCarolina[#Data],12)),"Não executado")</f>
        <v>Não executado</v>
      </c>
      <c r="Q104" s="37" t="str">
        <f>IFERROR(IF(VLOOKUP($B104,wanei[#Data],12)=0,"Não executado",VLOOKUP($B104,wanei[#Data],12)),"Não executado")</f>
        <v>Não executado</v>
      </c>
      <c r="R104" s="37" t="str">
        <f>IFERROR(IF(VLOOKUP($B104,janaina[#Data],12)=0,"Não executado",VLOOKUP($B104,janaina[#Data],12)),"Não executado")</f>
        <v>Não executado</v>
      </c>
      <c r="S104" s="93" t="str">
        <f>IFERROR(IF(VLOOKUP($B87,andreia[#Data],12)=0,"Não executado",VLOOKUP($B87,andreia[#Data],12)),"Não executado")</f>
        <v>Não executado</v>
      </c>
      <c r="T104" s="37" t="str">
        <f>IFERROR(IF(VLOOKUP($B87,homologador[#Data],12)=0,"Não executado",VLOOKUP($B87,homologador[#Data],12)),"Não executado")</f>
        <v>Não executado</v>
      </c>
      <c r="W104" s="13"/>
    </row>
    <row r="105" spans="2:23">
      <c r="B105" s="40" t="str">
        <f>IF(ISERR(casostestes[[#This Row],[ID]]),"-",casostestes[[#This Row],[ID]])</f>
        <v>-</v>
      </c>
      <c r="C105" s="34" t="str">
        <f>IFERROR(IF(VLOOKUP($B105,casostestes[#Data],10)=0,"Não",VLOOKUP($B105,casostestes[#Data],10)), "-")</f>
        <v>-</v>
      </c>
      <c r="D105" s="35" t="str">
        <f>IFERROR(IF(VLOOKUP($B105,casostestes[#Data],2)=0,"-",VLOOKUP($B105,casostestes[#Data],2)), "-")</f>
        <v>-</v>
      </c>
      <c r="E105" s="35" t="str">
        <f>IFERROR(IF(VLOOKUP($B105,casostestes[#Data],3)=0,"-",VLOOKUP($B105,casostestes[#Data],3)), "-")</f>
        <v>-</v>
      </c>
      <c r="F105" s="35" t="str">
        <f>IFERROR(IF(VLOOKUP($B105,casostestes[#Data],4)=0,"-",VLOOKUP($B105,casostestes[#Data],4)),"-")</f>
        <v>-</v>
      </c>
      <c r="G105" s="35" t="str">
        <f>IFERROR(IF(VLOOKUP($B105,casostestes[#Data],5)=0,"-",VLOOKUP($B105,casostestes[#Data],5)),"-")</f>
        <v>-</v>
      </c>
      <c r="H105" s="35" t="str">
        <f>IFERROR(IF(VLOOKUP($B105,casostestes[#Data],6)=0,"-",VLOOKUP($B105,casostestes[#Data],6)),"-")</f>
        <v>-</v>
      </c>
      <c r="I105" s="35" t="str">
        <f>IFERROR(IF(VLOOKUP($B105,casostestes[#Data],8)=0,"-",VLOOKUP($B105,casostestes[#Data],8)),"-")</f>
        <v>-</v>
      </c>
      <c r="J105" s="35" t="str">
        <f>IFERROR(IF(VLOOKUP($B105,casostestes[#Data],9)=0,"-",VLOOKUP($B105,casostestes[#Data],9)),"-")</f>
        <v>-</v>
      </c>
      <c r="K105" s="37" t="str">
        <f>IFERROR(IF(VLOOKUP($B105,orlando[#Data],12)=0,"Não executado",VLOOKUP($B105,orlando[#Data],12)),"Não executado")</f>
        <v>Não executado</v>
      </c>
      <c r="L105" s="37" t="str">
        <f>IFERROR(IF(VLOOKUP($B105,mauricio[#Data],12)=0,"Não executado",VLOOKUP($B105,mauricio[#Data],12)),"Não executado")</f>
        <v>Não executado</v>
      </c>
      <c r="M105" s="37" t="str">
        <f>IFERROR(IF(VLOOKUP($B105,Thaisa[#Data],12)=0,"Não executado",VLOOKUP($B105,Thaisa[#Data],12)),"Não executado")</f>
        <v>Não executado</v>
      </c>
      <c r="N105" s="37" t="str">
        <f>IFERROR(IF(VLOOKUP($B105,carlos[#Data],12)=0,"Não executado",VLOOKUP($B105,carlos[#Data],12)),"Não executado")</f>
        <v>Não executado</v>
      </c>
      <c r="O105" s="37" t="str">
        <f>IFERROR(IF(VLOOKUP($B105,Alessandra[#Data],12)=0,"Não executado",VLOOKUP($B105,Alessandra[#Data],12)),"Não executado")</f>
        <v>Não executado</v>
      </c>
      <c r="P105" s="37" t="str">
        <f>IFERROR(IF(VLOOKUP($B105,AnaCarolina[#Data],12)=0,"Não executado",VLOOKUP($B105,AnaCarolina[#Data],12)),"Não executado")</f>
        <v>Não executado</v>
      </c>
      <c r="Q105" s="37" t="str">
        <f>IFERROR(IF(VLOOKUP($B105,wanei[#Data],12)=0,"Não executado",VLOOKUP($B105,wanei[#Data],12)),"Não executado")</f>
        <v>Não executado</v>
      </c>
      <c r="R105" s="37" t="str">
        <f>IFERROR(IF(VLOOKUP($B105,janaina[#Data],12)=0,"Não executado",VLOOKUP($B105,janaina[#Data],12)),"Não executado")</f>
        <v>Não executado</v>
      </c>
      <c r="S105" s="93" t="str">
        <f>IFERROR(IF(VLOOKUP($B88,andreia[#Data],12)=0,"Não executado",VLOOKUP($B88,andreia[#Data],12)),"Não executado")</f>
        <v>Não executado</v>
      </c>
      <c r="T105" s="37" t="str">
        <f>IFERROR(IF(VLOOKUP($B88,homologador[#Data],12)=0,"Não executado",VLOOKUP($B88,homologador[#Data],12)),"Não executado")</f>
        <v>Não executado</v>
      </c>
      <c r="W105" s="13"/>
    </row>
    <row r="106" spans="2:23">
      <c r="B106" s="40" t="str">
        <f>IF(ISERR(casostestes[[#This Row],[ID]]),"-",casostestes[[#This Row],[ID]])</f>
        <v>-</v>
      </c>
      <c r="C106" s="34" t="str">
        <f>IFERROR(IF(VLOOKUP($B106,casostestes[#Data],10)=0,"Não",VLOOKUP($B106,casostestes[#Data],10)), "-")</f>
        <v>-</v>
      </c>
      <c r="D106" s="35" t="str">
        <f>IFERROR(IF(VLOOKUP($B106,casostestes[#Data],2)=0,"-",VLOOKUP($B106,casostestes[#Data],2)), "-")</f>
        <v>-</v>
      </c>
      <c r="E106" s="35" t="str">
        <f>IFERROR(IF(VLOOKUP($B106,casostestes[#Data],3)=0,"-",VLOOKUP($B106,casostestes[#Data],3)), "-")</f>
        <v>-</v>
      </c>
      <c r="F106" s="35" t="str">
        <f>IFERROR(IF(VLOOKUP($B106,casostestes[#Data],4)=0,"-",VLOOKUP($B106,casostestes[#Data],4)),"-")</f>
        <v>-</v>
      </c>
      <c r="G106" s="35" t="str">
        <f>IFERROR(IF(VLOOKUP($B106,casostestes[#Data],5)=0,"-",VLOOKUP($B106,casostestes[#Data],5)),"-")</f>
        <v>-</v>
      </c>
      <c r="H106" s="35" t="str">
        <f>IFERROR(IF(VLOOKUP($B106,casostestes[#Data],6)=0,"-",VLOOKUP($B106,casostestes[#Data],6)),"-")</f>
        <v>-</v>
      </c>
      <c r="I106" s="35" t="str">
        <f>IFERROR(IF(VLOOKUP($B106,casostestes[#Data],8)=0,"-",VLOOKUP($B106,casostestes[#Data],8)),"-")</f>
        <v>-</v>
      </c>
      <c r="J106" s="35" t="str">
        <f>IFERROR(IF(VLOOKUP($B106,casostestes[#Data],9)=0,"-",VLOOKUP($B106,casostestes[#Data],9)),"-")</f>
        <v>-</v>
      </c>
      <c r="K106" s="37" t="str">
        <f>IFERROR(IF(VLOOKUP($B106,orlando[#Data],12)=0,"Não executado",VLOOKUP($B106,orlando[#Data],12)),"Não executado")</f>
        <v>Não executado</v>
      </c>
      <c r="L106" s="37" t="str">
        <f>IFERROR(IF(VLOOKUP($B106,mauricio[#Data],12)=0,"Não executado",VLOOKUP($B106,mauricio[#Data],12)),"Não executado")</f>
        <v>Não executado</v>
      </c>
      <c r="M106" s="37" t="str">
        <f>IFERROR(IF(VLOOKUP($B106,Thaisa[#Data],12)=0,"Não executado",VLOOKUP($B106,Thaisa[#Data],12)),"Não executado")</f>
        <v>Não executado</v>
      </c>
      <c r="N106" s="37" t="str">
        <f>IFERROR(IF(VLOOKUP($B106,carlos[#Data],12)=0,"Não executado",VLOOKUP($B106,carlos[#Data],12)),"Não executado")</f>
        <v>Não executado</v>
      </c>
      <c r="O106" s="37" t="str">
        <f>IFERROR(IF(VLOOKUP($B106,Alessandra[#Data],12)=0,"Não executado",VLOOKUP($B106,Alessandra[#Data],12)),"Não executado")</f>
        <v>Não executado</v>
      </c>
      <c r="P106" s="37" t="str">
        <f>IFERROR(IF(VLOOKUP($B106,AnaCarolina[#Data],12)=0,"Não executado",VLOOKUP($B106,AnaCarolina[#Data],12)),"Não executado")</f>
        <v>Não executado</v>
      </c>
      <c r="Q106" s="37" t="str">
        <f>IFERROR(IF(VLOOKUP($B106,wanei[#Data],12)=0,"Não executado",VLOOKUP($B106,wanei[#Data],12)),"Não executado")</f>
        <v>Não executado</v>
      </c>
      <c r="R106" s="37" t="str">
        <f>IFERROR(IF(VLOOKUP($B106,janaina[#Data],12)=0,"Não executado",VLOOKUP($B106,janaina[#Data],12)),"Não executado")</f>
        <v>Não executado</v>
      </c>
      <c r="S106" s="93" t="str">
        <f>IFERROR(IF(VLOOKUP($B89,andreia[#Data],12)=0,"Não executado",VLOOKUP($B89,andreia[#Data],12)),"Não executado")</f>
        <v>Não executado</v>
      </c>
      <c r="T106" s="37" t="str">
        <f>IFERROR(IF(VLOOKUP($B89,homologador[#Data],12)=0,"Não executado",VLOOKUP($B89,homologador[#Data],12)),"Não executado")</f>
        <v>Não executado</v>
      </c>
      <c r="W106" s="13"/>
    </row>
    <row r="107" spans="2:23">
      <c r="B107" s="40" t="str">
        <f>IF(ISERR(casostestes[[#This Row],[ID]]),"-",casostestes[[#This Row],[ID]])</f>
        <v>-</v>
      </c>
      <c r="C107" s="34" t="str">
        <f>IFERROR(IF(VLOOKUP($B107,casostestes[#Data],10)=0,"Não",VLOOKUP($B107,casostestes[#Data],10)), "-")</f>
        <v>-</v>
      </c>
      <c r="D107" s="35" t="str">
        <f>IFERROR(IF(VLOOKUP($B107,casostestes[#Data],2)=0,"-",VLOOKUP($B107,casostestes[#Data],2)), "-")</f>
        <v>-</v>
      </c>
      <c r="E107" s="35" t="str">
        <f>IFERROR(IF(VLOOKUP($B107,casostestes[#Data],3)=0,"-",VLOOKUP($B107,casostestes[#Data],3)), "-")</f>
        <v>-</v>
      </c>
      <c r="F107" s="35" t="str">
        <f>IFERROR(IF(VLOOKUP($B107,casostestes[#Data],4)=0,"-",VLOOKUP($B107,casostestes[#Data],4)),"-")</f>
        <v>-</v>
      </c>
      <c r="G107" s="35" t="str">
        <f>IFERROR(IF(VLOOKUP($B107,casostestes[#Data],5)=0,"-",VLOOKUP($B107,casostestes[#Data],5)),"-")</f>
        <v>-</v>
      </c>
      <c r="H107" s="35" t="str">
        <f>IFERROR(IF(VLOOKUP($B107,casostestes[#Data],6)=0,"-",VLOOKUP($B107,casostestes[#Data],6)),"-")</f>
        <v>-</v>
      </c>
      <c r="I107" s="35" t="str">
        <f>IFERROR(IF(VLOOKUP($B107,casostestes[#Data],8)=0,"-",VLOOKUP($B107,casostestes[#Data],8)),"-")</f>
        <v>-</v>
      </c>
      <c r="J107" s="35" t="str">
        <f>IFERROR(IF(VLOOKUP($B107,casostestes[#Data],9)=0,"-",VLOOKUP($B107,casostestes[#Data],9)),"-")</f>
        <v>-</v>
      </c>
      <c r="K107" s="37" t="str">
        <f>IFERROR(IF(VLOOKUP($B107,orlando[#Data],12)=0,"Não executado",VLOOKUP($B107,orlando[#Data],12)),"Não executado")</f>
        <v>Não executado</v>
      </c>
      <c r="L107" s="37" t="str">
        <f>IFERROR(IF(VLOOKUP($B107,mauricio[#Data],12)=0,"Não executado",VLOOKUP($B107,mauricio[#Data],12)),"Não executado")</f>
        <v>Não executado</v>
      </c>
      <c r="M107" s="37" t="str">
        <f>IFERROR(IF(VLOOKUP($B107,Thaisa[#Data],12)=0,"Não executado",VLOOKUP($B107,Thaisa[#Data],12)),"Não executado")</f>
        <v>Não executado</v>
      </c>
      <c r="N107" s="37" t="str">
        <f>IFERROR(IF(VLOOKUP($B107,carlos[#Data],12)=0,"Não executado",VLOOKUP($B107,carlos[#Data],12)),"Não executado")</f>
        <v>Não executado</v>
      </c>
      <c r="O107" s="37" t="str">
        <f>IFERROR(IF(VLOOKUP($B107,Alessandra[#Data],12)=0,"Não executado",VLOOKUP($B107,Alessandra[#Data],12)),"Não executado")</f>
        <v>Não executado</v>
      </c>
      <c r="P107" s="37" t="str">
        <f>IFERROR(IF(VLOOKUP($B107,AnaCarolina[#Data],12)=0,"Não executado",VLOOKUP($B107,AnaCarolina[#Data],12)),"Não executado")</f>
        <v>Não executado</v>
      </c>
      <c r="Q107" s="37" t="str">
        <f>IFERROR(IF(VLOOKUP($B107,wanei[#Data],12)=0,"Não executado",VLOOKUP($B107,wanei[#Data],12)),"Não executado")</f>
        <v>Não executado</v>
      </c>
      <c r="R107" s="37" t="str">
        <f>IFERROR(IF(VLOOKUP($B107,janaina[#Data],12)=0,"Não executado",VLOOKUP($B107,janaina[#Data],12)),"Não executado")</f>
        <v>Não executado</v>
      </c>
      <c r="S107" s="93" t="str">
        <f>IFERROR(IF(VLOOKUP($B90,andreia[#Data],12)=0,"Não executado",VLOOKUP($B90,andreia[#Data],12)),"Não executado")</f>
        <v>Não executado</v>
      </c>
      <c r="T107" s="37" t="str">
        <f>IFERROR(IF(VLOOKUP($B90,homologador[#Data],12)=0,"Não executado",VLOOKUP($B90,homologador[#Data],12)),"Não executado")</f>
        <v>Não executado</v>
      </c>
      <c r="W107" s="13"/>
    </row>
    <row r="108" spans="2:23">
      <c r="B108" s="40" t="str">
        <f>IF(ISERR(casostestes[[#This Row],[ID]]),"-",casostestes[[#This Row],[ID]])</f>
        <v>-</v>
      </c>
      <c r="C108" s="34" t="str">
        <f>IFERROR(IF(VLOOKUP($B108,casostestes[#Data],10)=0,"Não",VLOOKUP($B108,casostestes[#Data],10)), "-")</f>
        <v>-</v>
      </c>
      <c r="D108" s="35" t="str">
        <f>IFERROR(IF(VLOOKUP($B108,casostestes[#Data],2)=0,"-",VLOOKUP($B108,casostestes[#Data],2)), "-")</f>
        <v>-</v>
      </c>
      <c r="E108" s="35" t="str">
        <f>IFERROR(IF(VLOOKUP($B108,casostestes[#Data],3)=0,"-",VLOOKUP($B108,casostestes[#Data],3)), "-")</f>
        <v>-</v>
      </c>
      <c r="F108" s="35" t="str">
        <f>IFERROR(IF(VLOOKUP($B108,casostestes[#Data],4)=0,"-",VLOOKUP($B108,casostestes[#Data],4)),"-")</f>
        <v>-</v>
      </c>
      <c r="G108" s="35" t="str">
        <f>IFERROR(IF(VLOOKUP($B108,casostestes[#Data],5)=0,"-",VLOOKUP($B108,casostestes[#Data],5)),"-")</f>
        <v>-</v>
      </c>
      <c r="H108" s="35" t="str">
        <f>IFERROR(IF(VLOOKUP($B108,casostestes[#Data],6)=0,"-",VLOOKUP($B108,casostestes[#Data],6)),"-")</f>
        <v>-</v>
      </c>
      <c r="I108" s="35" t="str">
        <f>IFERROR(IF(VLOOKUP($B108,casostestes[#Data],8)=0,"-",VLOOKUP($B108,casostestes[#Data],8)),"-")</f>
        <v>-</v>
      </c>
      <c r="J108" s="35" t="str">
        <f>IFERROR(IF(VLOOKUP($B108,casostestes[#Data],9)=0,"-",VLOOKUP($B108,casostestes[#Data],9)),"-")</f>
        <v>-</v>
      </c>
      <c r="K108" s="37" t="str">
        <f>IFERROR(IF(VLOOKUP($B108,orlando[#Data],12)=0,"Não executado",VLOOKUP($B108,orlando[#Data],12)),"Não executado")</f>
        <v>Não executado</v>
      </c>
      <c r="L108" s="37" t="str">
        <f>IFERROR(IF(VLOOKUP($B108,mauricio[#Data],12)=0,"Não executado",VLOOKUP($B108,mauricio[#Data],12)),"Não executado")</f>
        <v>Não executado</v>
      </c>
      <c r="M108" s="37" t="str">
        <f>IFERROR(IF(VLOOKUP($B108,Thaisa[#Data],12)=0,"Não executado",VLOOKUP($B108,Thaisa[#Data],12)),"Não executado")</f>
        <v>Não executado</v>
      </c>
      <c r="N108" s="37" t="str">
        <f>IFERROR(IF(VLOOKUP($B108,carlos[#Data],12)=0,"Não executado",VLOOKUP($B108,carlos[#Data],12)),"Não executado")</f>
        <v>Não executado</v>
      </c>
      <c r="O108" s="37" t="str">
        <f>IFERROR(IF(VLOOKUP($B108,Alessandra[#Data],12)=0,"Não executado",VLOOKUP($B108,Alessandra[#Data],12)),"Não executado")</f>
        <v>Não executado</v>
      </c>
      <c r="P108" s="37" t="str">
        <f>IFERROR(IF(VLOOKUP($B108,AnaCarolina[#Data],12)=0,"Não executado",VLOOKUP($B108,AnaCarolina[#Data],12)),"Não executado")</f>
        <v>Não executado</v>
      </c>
      <c r="Q108" s="37" t="str">
        <f>IFERROR(IF(VLOOKUP($B108,wanei[#Data],12)=0,"Não executado",VLOOKUP($B108,wanei[#Data],12)),"Não executado")</f>
        <v>Não executado</v>
      </c>
      <c r="R108" s="37" t="str">
        <f>IFERROR(IF(VLOOKUP($B108,janaina[#Data],12)=0,"Não executado",VLOOKUP($B108,janaina[#Data],12)),"Não executado")</f>
        <v>Não executado</v>
      </c>
      <c r="S108" s="93" t="str">
        <f>IFERROR(IF(VLOOKUP($B91,andreia[#Data],12)=0,"Não executado",VLOOKUP($B91,andreia[#Data],12)),"Não executado")</f>
        <v>Não executado</v>
      </c>
      <c r="T108" s="37" t="str">
        <f>IFERROR(IF(VLOOKUP($B91,homologador[#Data],12)=0,"Não executado",VLOOKUP($B91,homologador[#Data],12)),"Não executado")</f>
        <v>Não executado</v>
      </c>
      <c r="W108" s="13"/>
    </row>
    <row r="109" spans="2:23">
      <c r="B109" s="40" t="str">
        <f>IF(ISERR(casostestes[[#This Row],[ID]]),"-",casostestes[[#This Row],[ID]])</f>
        <v>-</v>
      </c>
      <c r="C109" s="34" t="str">
        <f>IFERROR(IF(VLOOKUP($B109,casostestes[#Data],10)=0,"Não",VLOOKUP($B109,casostestes[#Data],10)), "-")</f>
        <v>-</v>
      </c>
      <c r="D109" s="35" t="str">
        <f>IFERROR(IF(VLOOKUP($B109,casostestes[#Data],2)=0,"-",VLOOKUP($B109,casostestes[#Data],2)), "-")</f>
        <v>-</v>
      </c>
      <c r="E109" s="35" t="str">
        <f>IFERROR(IF(VLOOKUP($B109,casostestes[#Data],3)=0,"-",VLOOKUP($B109,casostestes[#Data],3)), "-")</f>
        <v>-</v>
      </c>
      <c r="F109" s="35" t="str">
        <f>IFERROR(IF(VLOOKUP($B109,casostestes[#Data],4)=0,"-",VLOOKUP($B109,casostestes[#Data],4)),"-")</f>
        <v>-</v>
      </c>
      <c r="G109" s="35" t="str">
        <f>IFERROR(IF(VLOOKUP($B109,casostestes[#Data],5)=0,"-",VLOOKUP($B109,casostestes[#Data],5)),"-")</f>
        <v>-</v>
      </c>
      <c r="H109" s="35" t="str">
        <f>IFERROR(IF(VLOOKUP($B109,casostestes[#Data],6)=0,"-",VLOOKUP($B109,casostestes[#Data],6)),"-")</f>
        <v>-</v>
      </c>
      <c r="I109" s="35" t="str">
        <f>IFERROR(IF(VLOOKUP($B109,casostestes[#Data],8)=0,"-",VLOOKUP($B109,casostestes[#Data],8)),"-")</f>
        <v>-</v>
      </c>
      <c r="J109" s="35" t="str">
        <f>IFERROR(IF(VLOOKUP($B109,casostestes[#Data],9)=0,"-",VLOOKUP($B109,casostestes[#Data],9)),"-")</f>
        <v>-</v>
      </c>
      <c r="K109" s="37" t="str">
        <f>IFERROR(IF(VLOOKUP($B109,orlando[#Data],12)=0,"Não executado",VLOOKUP($B109,orlando[#Data],12)),"Não executado")</f>
        <v>Não executado</v>
      </c>
      <c r="L109" s="37" t="str">
        <f>IFERROR(IF(VLOOKUP($B109,mauricio[#Data],12)=0,"Não executado",VLOOKUP($B109,mauricio[#Data],12)),"Não executado")</f>
        <v>Não executado</v>
      </c>
      <c r="M109" s="37" t="str">
        <f>IFERROR(IF(VLOOKUP($B109,Thaisa[#Data],12)=0,"Não executado",VLOOKUP($B109,Thaisa[#Data],12)),"Não executado")</f>
        <v>Não executado</v>
      </c>
      <c r="N109" s="37" t="str">
        <f>IFERROR(IF(VLOOKUP($B109,carlos[#Data],12)=0,"Não executado",VLOOKUP($B109,carlos[#Data],12)),"Não executado")</f>
        <v>Não executado</v>
      </c>
      <c r="O109" s="37" t="str">
        <f>IFERROR(IF(VLOOKUP($B109,Alessandra[#Data],12)=0,"Não executado",VLOOKUP($B109,Alessandra[#Data],12)),"Não executado")</f>
        <v>Não executado</v>
      </c>
      <c r="P109" s="37" t="str">
        <f>IFERROR(IF(VLOOKUP($B109,AnaCarolina[#Data],12)=0,"Não executado",VLOOKUP($B109,AnaCarolina[#Data],12)),"Não executado")</f>
        <v>Não executado</v>
      </c>
      <c r="Q109" s="37" t="str">
        <f>IFERROR(IF(VLOOKUP($B109,wanei[#Data],12)=0,"Não executado",VLOOKUP($B109,wanei[#Data],12)),"Não executado")</f>
        <v>Não executado</v>
      </c>
      <c r="R109" s="37" t="str">
        <f>IFERROR(IF(VLOOKUP($B109,janaina[#Data],12)=0,"Não executado",VLOOKUP($B109,janaina[#Data],12)),"Não executado")</f>
        <v>Não executado</v>
      </c>
      <c r="S109" s="93" t="str">
        <f>IFERROR(IF(VLOOKUP($B92,andreia[#Data],12)=0,"Não executado",VLOOKUP($B92,andreia[#Data],12)),"Não executado")</f>
        <v>Não executado</v>
      </c>
      <c r="T109" s="37" t="str">
        <f>IFERROR(IF(VLOOKUP($B92,homologador[#Data],12)=0,"Não executado",VLOOKUP($B92,homologador[#Data],12)),"Não executado")</f>
        <v>Não executado</v>
      </c>
      <c r="W109" s="13"/>
    </row>
    <row r="110" spans="2:23">
      <c r="B110" s="40" t="str">
        <f>IF(ISERR(casostestes[[#This Row],[ID]]),"-",casostestes[[#This Row],[ID]])</f>
        <v>-</v>
      </c>
      <c r="C110" s="34" t="str">
        <f>IFERROR(IF(VLOOKUP($B110,casostestes[#Data],10)=0,"Não",VLOOKUP($B110,casostestes[#Data],10)), "-")</f>
        <v>-</v>
      </c>
      <c r="D110" s="35" t="str">
        <f>IFERROR(IF(VLOOKUP($B110,casostestes[#Data],2)=0,"-",VLOOKUP($B110,casostestes[#Data],2)), "-")</f>
        <v>-</v>
      </c>
      <c r="E110" s="35" t="str">
        <f>IFERROR(IF(VLOOKUP($B110,casostestes[#Data],3)=0,"-",VLOOKUP($B110,casostestes[#Data],3)), "-")</f>
        <v>-</v>
      </c>
      <c r="F110" s="35" t="str">
        <f>IFERROR(IF(VLOOKUP($B110,casostestes[#Data],4)=0,"-",VLOOKUP($B110,casostestes[#Data],4)),"-")</f>
        <v>-</v>
      </c>
      <c r="G110" s="35" t="str">
        <f>IFERROR(IF(VLOOKUP($B110,casostestes[#Data],5)=0,"-",VLOOKUP($B110,casostestes[#Data],5)),"-")</f>
        <v>-</v>
      </c>
      <c r="H110" s="35" t="str">
        <f>IFERROR(IF(VLOOKUP($B110,casostestes[#Data],6)=0,"-",VLOOKUP($B110,casostestes[#Data],6)),"-")</f>
        <v>-</v>
      </c>
      <c r="I110" s="35" t="str">
        <f>IFERROR(IF(VLOOKUP($B110,casostestes[#Data],8)=0,"-",VLOOKUP($B110,casostestes[#Data],8)),"-")</f>
        <v>-</v>
      </c>
      <c r="J110" s="35" t="str">
        <f>IFERROR(IF(VLOOKUP($B110,casostestes[#Data],9)=0,"-",VLOOKUP($B110,casostestes[#Data],9)),"-")</f>
        <v>-</v>
      </c>
      <c r="K110" s="37" t="str">
        <f>IFERROR(IF(VLOOKUP($B110,orlando[#Data],12)=0,"Não executado",VLOOKUP($B110,orlando[#Data],12)),"Não executado")</f>
        <v>Não executado</v>
      </c>
      <c r="L110" s="37" t="str">
        <f>IFERROR(IF(VLOOKUP($B110,mauricio[#Data],12)=0,"Não executado",VLOOKUP($B110,mauricio[#Data],12)),"Não executado")</f>
        <v>Não executado</v>
      </c>
      <c r="M110" s="37" t="str">
        <f>IFERROR(IF(VLOOKUP($B110,Thaisa[#Data],12)=0,"Não executado",VLOOKUP($B110,Thaisa[#Data],12)),"Não executado")</f>
        <v>Não executado</v>
      </c>
      <c r="N110" s="37" t="str">
        <f>IFERROR(IF(VLOOKUP($B110,carlos[#Data],12)=0,"Não executado",VLOOKUP($B110,carlos[#Data],12)),"Não executado")</f>
        <v>Não executado</v>
      </c>
      <c r="O110" s="37" t="str">
        <f>IFERROR(IF(VLOOKUP($B110,Alessandra[#Data],12)=0,"Não executado",VLOOKUP($B110,Alessandra[#Data],12)),"Não executado")</f>
        <v>Não executado</v>
      </c>
      <c r="P110" s="37" t="str">
        <f>IFERROR(IF(VLOOKUP($B110,AnaCarolina[#Data],12)=0,"Não executado",VLOOKUP($B110,AnaCarolina[#Data],12)),"Não executado")</f>
        <v>Não executado</v>
      </c>
      <c r="Q110" s="37" t="str">
        <f>IFERROR(IF(VLOOKUP($B110,wanei[#Data],12)=0,"Não executado",VLOOKUP($B110,wanei[#Data],12)),"Não executado")</f>
        <v>Não executado</v>
      </c>
      <c r="R110" s="37" t="str">
        <f>IFERROR(IF(VLOOKUP($B110,janaina[#Data],12)=0,"Não executado",VLOOKUP($B110,janaina[#Data],12)),"Não executado")</f>
        <v>Não executado</v>
      </c>
      <c r="S110" s="93" t="str">
        <f>IFERROR(IF(VLOOKUP($B93,andreia[#Data],12)=0,"Não executado",VLOOKUP($B93,andreia[#Data],12)),"Não executado")</f>
        <v>Não executado</v>
      </c>
      <c r="T110" s="37" t="str">
        <f>IFERROR(IF(VLOOKUP($B93,homologador[#Data],12)=0,"Não executado",VLOOKUP($B93,homologador[#Data],12)),"Não executado")</f>
        <v>Não executado</v>
      </c>
      <c r="W110" s="13"/>
    </row>
    <row r="111" spans="2:23">
      <c r="B111" s="40" t="str">
        <f>IF(ISERR(casostestes[[#This Row],[ID]]),"-",casostestes[[#This Row],[ID]])</f>
        <v>-</v>
      </c>
      <c r="C111" s="34" t="str">
        <f>IFERROR(IF(VLOOKUP($B111,casostestes[#Data],10)=0,"Não",VLOOKUP($B111,casostestes[#Data],10)), "-")</f>
        <v>-</v>
      </c>
      <c r="D111" s="35" t="str">
        <f>IFERROR(IF(VLOOKUP($B111,casostestes[#Data],2)=0,"-",VLOOKUP($B111,casostestes[#Data],2)), "-")</f>
        <v>-</v>
      </c>
      <c r="E111" s="35" t="str">
        <f>IFERROR(IF(VLOOKUP($B111,casostestes[#Data],3)=0,"-",VLOOKUP($B111,casostestes[#Data],3)), "-")</f>
        <v>-</v>
      </c>
      <c r="F111" s="35" t="str">
        <f>IFERROR(IF(VLOOKUP($B111,casostestes[#Data],4)=0,"-",VLOOKUP($B111,casostestes[#Data],4)),"-")</f>
        <v>-</v>
      </c>
      <c r="G111" s="35" t="str">
        <f>IFERROR(IF(VLOOKUP($B111,casostestes[#Data],5)=0,"-",VLOOKUP($B111,casostestes[#Data],5)),"-")</f>
        <v>-</v>
      </c>
      <c r="H111" s="35" t="str">
        <f>IFERROR(IF(VLOOKUP($B111,casostestes[#Data],6)=0,"-",VLOOKUP($B111,casostestes[#Data],6)),"-")</f>
        <v>-</v>
      </c>
      <c r="I111" s="35" t="str">
        <f>IFERROR(IF(VLOOKUP($B111,casostestes[#Data],8)=0,"-",VLOOKUP($B111,casostestes[#Data],8)),"-")</f>
        <v>-</v>
      </c>
      <c r="J111" s="35" t="str">
        <f>IFERROR(IF(VLOOKUP($B111,casostestes[#Data],9)=0,"-",VLOOKUP($B111,casostestes[#Data],9)),"-")</f>
        <v>-</v>
      </c>
      <c r="K111" s="37" t="str">
        <f>IFERROR(IF(VLOOKUP($B111,orlando[#Data],12)=0,"Não executado",VLOOKUP($B111,orlando[#Data],12)),"Não executado")</f>
        <v>Não executado</v>
      </c>
      <c r="L111" s="37" t="str">
        <f>IFERROR(IF(VLOOKUP($B111,mauricio[#Data],12)=0,"Não executado",VLOOKUP($B111,mauricio[#Data],12)),"Não executado")</f>
        <v>Não executado</v>
      </c>
      <c r="M111" s="37" t="str">
        <f>IFERROR(IF(VLOOKUP($B111,Thaisa[#Data],12)=0,"Não executado",VLOOKUP($B111,Thaisa[#Data],12)),"Não executado")</f>
        <v>Não executado</v>
      </c>
      <c r="N111" s="37" t="str">
        <f>IFERROR(IF(VLOOKUP($B111,carlos[#Data],12)=0,"Não executado",VLOOKUP($B111,carlos[#Data],12)),"Não executado")</f>
        <v>Não executado</v>
      </c>
      <c r="O111" s="37" t="str">
        <f>IFERROR(IF(VLOOKUP($B111,Alessandra[#Data],12)=0,"Não executado",VLOOKUP($B111,Alessandra[#Data],12)),"Não executado")</f>
        <v>Não executado</v>
      </c>
      <c r="P111" s="37" t="str">
        <f>IFERROR(IF(VLOOKUP($B111,AnaCarolina[#Data],12)=0,"Não executado",VLOOKUP($B111,AnaCarolina[#Data],12)),"Não executado")</f>
        <v>Não executado</v>
      </c>
      <c r="Q111" s="37" t="str">
        <f>IFERROR(IF(VLOOKUP($B111,wanei[#Data],12)=0,"Não executado",VLOOKUP($B111,wanei[#Data],12)),"Não executado")</f>
        <v>Não executado</v>
      </c>
      <c r="R111" s="37" t="str">
        <f>IFERROR(IF(VLOOKUP($B111,janaina[#Data],12)=0,"Não executado",VLOOKUP($B111,janaina[#Data],12)),"Não executado")</f>
        <v>Não executado</v>
      </c>
      <c r="S111" s="93" t="str">
        <f>IFERROR(IF(VLOOKUP($B94,andreia[#Data],12)=0,"Não executado",VLOOKUP($B94,andreia[#Data],12)),"Não executado")</f>
        <v>Não executado</v>
      </c>
      <c r="T111" s="37" t="str">
        <f>IFERROR(IF(VLOOKUP($B94,homologador[#Data],12)=0,"Não executado",VLOOKUP($B94,homologador[#Data],12)),"Não executado")</f>
        <v>Não executado</v>
      </c>
      <c r="W111" s="13"/>
    </row>
    <row r="112" spans="2:23">
      <c r="B112" s="40" t="str">
        <f>IF(ISERR(casostestes[[#This Row],[ID]]),"-",casostestes[[#This Row],[ID]])</f>
        <v>-</v>
      </c>
      <c r="C112" s="34" t="str">
        <f>IFERROR(IF(VLOOKUP($B112,casostestes[#Data],10)=0,"Não",VLOOKUP($B112,casostestes[#Data],10)), "-")</f>
        <v>-</v>
      </c>
      <c r="D112" s="35" t="str">
        <f>IFERROR(IF(VLOOKUP($B112,casostestes[#Data],2)=0,"-",VLOOKUP($B112,casostestes[#Data],2)), "-")</f>
        <v>-</v>
      </c>
      <c r="E112" s="35" t="str">
        <f>IFERROR(IF(VLOOKUP($B112,casostestes[#Data],3)=0,"-",VLOOKUP($B112,casostestes[#Data],3)), "-")</f>
        <v>-</v>
      </c>
      <c r="F112" s="35" t="str">
        <f>IFERROR(IF(VLOOKUP($B112,casostestes[#Data],4)=0,"-",VLOOKUP($B112,casostestes[#Data],4)),"-")</f>
        <v>-</v>
      </c>
      <c r="G112" s="35" t="str">
        <f>IFERROR(IF(VLOOKUP($B112,casostestes[#Data],5)=0,"-",VLOOKUP($B112,casostestes[#Data],5)),"-")</f>
        <v>-</v>
      </c>
      <c r="H112" s="35" t="str">
        <f>IFERROR(IF(VLOOKUP($B112,casostestes[#Data],6)=0,"-",VLOOKUP($B112,casostestes[#Data],6)),"-")</f>
        <v>-</v>
      </c>
      <c r="I112" s="35" t="str">
        <f>IFERROR(IF(VLOOKUP($B112,casostestes[#Data],8)=0,"-",VLOOKUP($B112,casostestes[#Data],8)),"-")</f>
        <v>-</v>
      </c>
      <c r="J112" s="35" t="str">
        <f>IFERROR(IF(VLOOKUP($B112,casostestes[#Data],9)=0,"-",VLOOKUP($B112,casostestes[#Data],9)),"-")</f>
        <v>-</v>
      </c>
      <c r="K112" s="37" t="str">
        <f>IFERROR(IF(VLOOKUP($B112,orlando[#Data],12)=0,"Não executado",VLOOKUP($B112,orlando[#Data],12)),"Não executado")</f>
        <v>Não executado</v>
      </c>
      <c r="L112" s="37" t="str">
        <f>IFERROR(IF(VLOOKUP($B112,mauricio[#Data],12)=0,"Não executado",VLOOKUP($B112,mauricio[#Data],12)),"Não executado")</f>
        <v>Não executado</v>
      </c>
      <c r="M112" s="37" t="str">
        <f>IFERROR(IF(VLOOKUP($B112,Thaisa[#Data],12)=0,"Não executado",VLOOKUP($B112,Thaisa[#Data],12)),"Não executado")</f>
        <v>Não executado</v>
      </c>
      <c r="N112" s="37" t="str">
        <f>IFERROR(IF(VLOOKUP($B112,carlos[#Data],12)=0,"Não executado",VLOOKUP($B112,carlos[#Data],12)),"Não executado")</f>
        <v>Não executado</v>
      </c>
      <c r="O112" s="37" t="str">
        <f>IFERROR(IF(VLOOKUP($B112,Alessandra[#Data],12)=0,"Não executado",VLOOKUP($B112,Alessandra[#Data],12)),"Não executado")</f>
        <v>Não executado</v>
      </c>
      <c r="P112" s="37" t="str">
        <f>IFERROR(IF(VLOOKUP($B112,AnaCarolina[#Data],12)=0,"Não executado",VLOOKUP($B112,AnaCarolina[#Data],12)),"Não executado")</f>
        <v>Não executado</v>
      </c>
      <c r="Q112" s="37" t="str">
        <f>IFERROR(IF(VLOOKUP($B112,wanei[#Data],12)=0,"Não executado",VLOOKUP($B112,wanei[#Data],12)),"Não executado")</f>
        <v>Não executado</v>
      </c>
      <c r="R112" s="37" t="str">
        <f>IFERROR(IF(VLOOKUP($B112,janaina[#Data],12)=0,"Não executado",VLOOKUP($B112,janaina[#Data],12)),"Não executado")</f>
        <v>Não executado</v>
      </c>
      <c r="S112" s="93" t="str">
        <f>IFERROR(IF(VLOOKUP($B95,andreia[#Data],12)=0,"Não executado",VLOOKUP($B95,andreia[#Data],12)),"Não executado")</f>
        <v>Não executado</v>
      </c>
      <c r="T112" s="37" t="str">
        <f>IFERROR(IF(VLOOKUP($B95,homologador[#Data],12)=0,"Não executado",VLOOKUP($B95,homologador[#Data],12)),"Não executado")</f>
        <v>Não executado</v>
      </c>
      <c r="W112" s="13"/>
    </row>
    <row r="113" spans="2:23">
      <c r="B113" s="40" t="str">
        <f>IF(ISERR(casostestes[[#This Row],[ID]]),"-",casostestes[[#This Row],[ID]])</f>
        <v>-</v>
      </c>
      <c r="C113" s="34" t="str">
        <f>IFERROR(IF(VLOOKUP($B113,casostestes[#Data],10)=0,"Não",VLOOKUP($B113,casostestes[#Data],10)), "-")</f>
        <v>-</v>
      </c>
      <c r="D113" s="35" t="str">
        <f>IFERROR(IF(VLOOKUP($B113,casostestes[#Data],2)=0,"-",VLOOKUP($B113,casostestes[#Data],2)), "-")</f>
        <v>-</v>
      </c>
      <c r="E113" s="35" t="str">
        <f>IFERROR(IF(VLOOKUP($B113,casostestes[#Data],3)=0,"-",VLOOKUP($B113,casostestes[#Data],3)), "-")</f>
        <v>-</v>
      </c>
      <c r="F113" s="35" t="str">
        <f>IFERROR(IF(VLOOKUP($B113,casostestes[#Data],4)=0,"-",VLOOKUP($B113,casostestes[#Data],4)),"-")</f>
        <v>-</v>
      </c>
      <c r="G113" s="35" t="str">
        <f>IFERROR(IF(VLOOKUP($B113,casostestes[#Data],5)=0,"-",VLOOKUP($B113,casostestes[#Data],5)),"-")</f>
        <v>-</v>
      </c>
      <c r="H113" s="35" t="str">
        <f>IFERROR(IF(VLOOKUP($B113,casostestes[#Data],6)=0,"-",VLOOKUP($B113,casostestes[#Data],6)),"-")</f>
        <v>-</v>
      </c>
      <c r="I113" s="35" t="str">
        <f>IFERROR(IF(VLOOKUP($B113,casostestes[#Data],8)=0,"-",VLOOKUP($B113,casostestes[#Data],8)),"-")</f>
        <v>-</v>
      </c>
      <c r="J113" s="35" t="str">
        <f>IFERROR(IF(VLOOKUP($B113,casostestes[#Data],9)=0,"-",VLOOKUP($B113,casostestes[#Data],9)),"-")</f>
        <v>-</v>
      </c>
      <c r="K113" s="37" t="str">
        <f>IFERROR(IF(VLOOKUP($B113,orlando[#Data],12)=0,"Não executado",VLOOKUP($B113,orlando[#Data],12)),"Não executado")</f>
        <v>Não executado</v>
      </c>
      <c r="L113" s="37" t="str">
        <f>IFERROR(IF(VLOOKUP($B113,mauricio[#Data],12)=0,"Não executado",VLOOKUP($B113,mauricio[#Data],12)),"Não executado")</f>
        <v>Não executado</v>
      </c>
      <c r="M113" s="37" t="str">
        <f>IFERROR(IF(VLOOKUP($B113,Thaisa[#Data],12)=0,"Não executado",VLOOKUP($B113,Thaisa[#Data],12)),"Não executado")</f>
        <v>Não executado</v>
      </c>
      <c r="N113" s="37" t="str">
        <f>IFERROR(IF(VLOOKUP($B113,carlos[#Data],12)=0,"Não executado",VLOOKUP($B113,carlos[#Data],12)),"Não executado")</f>
        <v>Não executado</v>
      </c>
      <c r="O113" s="37" t="str">
        <f>IFERROR(IF(VLOOKUP($B113,Alessandra[#Data],12)=0,"Não executado",VLOOKUP($B113,Alessandra[#Data],12)),"Não executado")</f>
        <v>Não executado</v>
      </c>
      <c r="P113" s="37" t="str">
        <f>IFERROR(IF(VLOOKUP($B113,AnaCarolina[#Data],12)=0,"Não executado",VLOOKUP($B113,AnaCarolina[#Data],12)),"Não executado")</f>
        <v>Não executado</v>
      </c>
      <c r="Q113" s="37" t="str">
        <f>IFERROR(IF(VLOOKUP($B113,wanei[#Data],12)=0,"Não executado",VLOOKUP($B113,wanei[#Data],12)),"Não executado")</f>
        <v>Não executado</v>
      </c>
      <c r="R113" s="37" t="str">
        <f>IFERROR(IF(VLOOKUP($B113,janaina[#Data],12)=0,"Não executado",VLOOKUP($B113,janaina[#Data],12)),"Não executado")</f>
        <v>Não executado</v>
      </c>
      <c r="S113" s="93" t="str">
        <f>IFERROR(IF(VLOOKUP($B96,andreia[#Data],12)=0,"Não executado",VLOOKUP($B96,andreia[#Data],12)),"Não executado")</f>
        <v>Não executado</v>
      </c>
      <c r="T113" s="37" t="str">
        <f>IFERROR(IF(VLOOKUP($B96,homologador[#Data],12)=0,"Não executado",VLOOKUP($B96,homologador[#Data],12)),"Não executado")</f>
        <v>Não executado</v>
      </c>
      <c r="W113" s="13"/>
    </row>
    <row r="114" spans="2:23">
      <c r="B114" s="40" t="str">
        <f>IF(ISERR(casostestes[[#This Row],[ID]]),"-",casostestes[[#This Row],[ID]])</f>
        <v>-</v>
      </c>
      <c r="C114" s="34" t="str">
        <f>IFERROR(IF(VLOOKUP($B114,casostestes[#Data],10)=0,"Não",VLOOKUP($B114,casostestes[#Data],10)), "-")</f>
        <v>-</v>
      </c>
      <c r="D114" s="35" t="str">
        <f>IFERROR(IF(VLOOKUP($B114,casostestes[#Data],2)=0,"-",VLOOKUP($B114,casostestes[#Data],2)), "-")</f>
        <v>-</v>
      </c>
      <c r="E114" s="35" t="str">
        <f>IFERROR(IF(VLOOKUP($B114,casostestes[#Data],3)=0,"-",VLOOKUP($B114,casostestes[#Data],3)), "-")</f>
        <v>-</v>
      </c>
      <c r="F114" s="35" t="str">
        <f>IFERROR(IF(VLOOKUP($B114,casostestes[#Data],4)=0,"-",VLOOKUP($B114,casostestes[#Data],4)),"-")</f>
        <v>-</v>
      </c>
      <c r="G114" s="35" t="str">
        <f>IFERROR(IF(VLOOKUP($B114,casostestes[#Data],5)=0,"-",VLOOKUP($B114,casostestes[#Data],5)),"-")</f>
        <v>-</v>
      </c>
      <c r="H114" s="35" t="str">
        <f>IFERROR(IF(VLOOKUP($B114,casostestes[#Data],6)=0,"-",VLOOKUP($B114,casostestes[#Data],6)),"-")</f>
        <v>-</v>
      </c>
      <c r="I114" s="35" t="str">
        <f>IFERROR(IF(VLOOKUP($B114,casostestes[#Data],8)=0,"-",VLOOKUP($B114,casostestes[#Data],8)),"-")</f>
        <v>-</v>
      </c>
      <c r="J114" s="35" t="str">
        <f>IFERROR(IF(VLOOKUP($B114,casostestes[#Data],9)=0,"-",VLOOKUP($B114,casostestes[#Data],9)),"-")</f>
        <v>-</v>
      </c>
      <c r="K114" s="37" t="str">
        <f>IFERROR(IF(VLOOKUP($B114,orlando[#Data],12)=0,"Não executado",VLOOKUP($B114,orlando[#Data],12)),"Não executado")</f>
        <v>Não executado</v>
      </c>
      <c r="L114" s="37" t="str">
        <f>IFERROR(IF(VLOOKUP($B114,mauricio[#Data],12)=0,"Não executado",VLOOKUP($B114,mauricio[#Data],12)),"Não executado")</f>
        <v>Não executado</v>
      </c>
      <c r="M114" s="37" t="str">
        <f>IFERROR(IF(VLOOKUP($B114,Thaisa[#Data],12)=0,"Não executado",VLOOKUP($B114,Thaisa[#Data],12)),"Não executado")</f>
        <v>Não executado</v>
      </c>
      <c r="N114" s="37" t="str">
        <f>IFERROR(IF(VLOOKUP($B114,carlos[#Data],12)=0,"Não executado",VLOOKUP($B114,carlos[#Data],12)),"Não executado")</f>
        <v>Não executado</v>
      </c>
      <c r="O114" s="37" t="str">
        <f>IFERROR(IF(VLOOKUP($B114,Alessandra[#Data],12)=0,"Não executado",VLOOKUP($B114,Alessandra[#Data],12)),"Não executado")</f>
        <v>Não executado</v>
      </c>
      <c r="P114" s="37" t="str">
        <f>IFERROR(IF(VLOOKUP($B114,AnaCarolina[#Data],12)=0,"Não executado",VLOOKUP($B114,AnaCarolina[#Data],12)),"Não executado")</f>
        <v>Não executado</v>
      </c>
      <c r="Q114" s="37" t="str">
        <f>IFERROR(IF(VLOOKUP($B114,wanei[#Data],12)=0,"Não executado",VLOOKUP($B114,wanei[#Data],12)),"Não executado")</f>
        <v>Não executado</v>
      </c>
      <c r="R114" s="37" t="str">
        <f>IFERROR(IF(VLOOKUP($B114,janaina[#Data],12)=0,"Não executado",VLOOKUP($B114,janaina[#Data],12)),"Não executado")</f>
        <v>Não executado</v>
      </c>
      <c r="S114" s="93" t="str">
        <f>IFERROR(IF(VLOOKUP($B97,andreia[#Data],12)=0,"Não executado",VLOOKUP($B97,andreia[#Data],12)),"Não executado")</f>
        <v>Não executado</v>
      </c>
      <c r="T114" s="37" t="str">
        <f>IFERROR(IF(VLOOKUP($B97,homologador[#Data],12)=0,"Não executado",VLOOKUP($B97,homologador[#Data],12)),"Não executado")</f>
        <v>Não executado</v>
      </c>
      <c r="W114" s="13"/>
    </row>
    <row r="115" spans="2:23">
      <c r="B115" s="40" t="str">
        <f>IF(ISERR(casostestes[[#This Row],[ID]]),"-",casostestes[[#This Row],[ID]])</f>
        <v>-</v>
      </c>
      <c r="C115" s="34" t="str">
        <f>IFERROR(IF(VLOOKUP($B115,casostestes[#Data],10)=0,"Não",VLOOKUP($B115,casostestes[#Data],10)), "-")</f>
        <v>-</v>
      </c>
      <c r="D115" s="35" t="str">
        <f>IFERROR(IF(VLOOKUP($B115,casostestes[#Data],2)=0,"-",VLOOKUP($B115,casostestes[#Data],2)), "-")</f>
        <v>-</v>
      </c>
      <c r="E115" s="35" t="str">
        <f>IFERROR(IF(VLOOKUP($B115,casostestes[#Data],3)=0,"-",VLOOKUP($B115,casostestes[#Data],3)), "-")</f>
        <v>-</v>
      </c>
      <c r="F115" s="35" t="str">
        <f>IFERROR(IF(VLOOKUP($B115,casostestes[#Data],4)=0,"-",VLOOKUP($B115,casostestes[#Data],4)),"-")</f>
        <v>-</v>
      </c>
      <c r="G115" s="35" t="str">
        <f>IFERROR(IF(VLOOKUP($B115,casostestes[#Data],5)=0,"-",VLOOKUP($B115,casostestes[#Data],5)),"-")</f>
        <v>-</v>
      </c>
      <c r="H115" s="35" t="str">
        <f>IFERROR(IF(VLOOKUP($B115,casostestes[#Data],6)=0,"-",VLOOKUP($B115,casostestes[#Data],6)),"-")</f>
        <v>-</v>
      </c>
      <c r="I115" s="35" t="str">
        <f>IFERROR(IF(VLOOKUP($B115,casostestes[#Data],8)=0,"-",VLOOKUP($B115,casostestes[#Data],8)),"-")</f>
        <v>-</v>
      </c>
      <c r="J115" s="35" t="str">
        <f>IFERROR(IF(VLOOKUP($B115,casostestes[#Data],9)=0,"-",VLOOKUP($B115,casostestes[#Data],9)),"-")</f>
        <v>-</v>
      </c>
      <c r="K115" s="37" t="str">
        <f>IFERROR(IF(VLOOKUP($B115,orlando[#Data],12)=0,"Não executado",VLOOKUP($B115,orlando[#Data],12)),"Não executado")</f>
        <v>Não executado</v>
      </c>
      <c r="L115" s="37" t="str">
        <f>IFERROR(IF(VLOOKUP($B115,mauricio[#Data],12)=0,"Não executado",VLOOKUP($B115,mauricio[#Data],12)),"Não executado")</f>
        <v>Não executado</v>
      </c>
      <c r="M115" s="37" t="str">
        <f>IFERROR(IF(VLOOKUP($B115,Thaisa[#Data],12)=0,"Não executado",VLOOKUP($B115,Thaisa[#Data],12)),"Não executado")</f>
        <v>Não executado</v>
      </c>
      <c r="N115" s="37" t="str">
        <f>IFERROR(IF(VLOOKUP($B115,carlos[#Data],12)=0,"Não executado",VLOOKUP($B115,carlos[#Data],12)),"Não executado")</f>
        <v>Não executado</v>
      </c>
      <c r="O115" s="37" t="str">
        <f>IFERROR(IF(VLOOKUP($B115,Alessandra[#Data],12)=0,"Não executado",VLOOKUP($B115,Alessandra[#Data],12)),"Não executado")</f>
        <v>Não executado</v>
      </c>
      <c r="P115" s="37" t="str">
        <f>IFERROR(IF(VLOOKUP($B115,AnaCarolina[#Data],12)=0,"Não executado",VLOOKUP($B115,AnaCarolina[#Data],12)),"Não executado")</f>
        <v>Não executado</v>
      </c>
      <c r="Q115" s="37" t="str">
        <f>IFERROR(IF(VLOOKUP($B115,wanei[#Data],12)=0,"Não executado",VLOOKUP($B115,wanei[#Data],12)),"Não executado")</f>
        <v>Não executado</v>
      </c>
      <c r="R115" s="37" t="str">
        <f>IFERROR(IF(VLOOKUP($B115,janaina[#Data],12)=0,"Não executado",VLOOKUP($B115,janaina[#Data],12)),"Não executado")</f>
        <v>Não executado</v>
      </c>
      <c r="S115" s="93" t="str">
        <f>IFERROR(IF(VLOOKUP($B98,andreia[#Data],12)=0,"Não executado",VLOOKUP($B98,andreia[#Data],12)),"Não executado")</f>
        <v>Não executado</v>
      </c>
      <c r="T115" s="37" t="str">
        <f>IFERROR(IF(VLOOKUP($B98,homologador[#Data],12)=0,"Não executado",VLOOKUP($B98,homologador[#Data],12)),"Não executado")</f>
        <v>Não executado</v>
      </c>
      <c r="W115" s="13"/>
    </row>
    <row r="116" spans="2:23">
      <c r="B116" s="40" t="str">
        <f>IF(ISERR(casostestes[[#This Row],[ID]]),"-",casostestes[[#This Row],[ID]])</f>
        <v>-</v>
      </c>
      <c r="C116" s="34" t="str">
        <f>IFERROR(IF(VLOOKUP($B116,casostestes[#Data],10)=0,"Não",VLOOKUP($B116,casostestes[#Data],10)), "-")</f>
        <v>-</v>
      </c>
      <c r="D116" s="35" t="str">
        <f>IFERROR(IF(VLOOKUP($B116,casostestes[#Data],2)=0,"-",VLOOKUP($B116,casostestes[#Data],2)), "-")</f>
        <v>-</v>
      </c>
      <c r="E116" s="35" t="str">
        <f>IFERROR(IF(VLOOKUP($B116,casostestes[#Data],3)=0,"-",VLOOKUP($B116,casostestes[#Data],3)), "-")</f>
        <v>-</v>
      </c>
      <c r="F116" s="35" t="str">
        <f>IFERROR(IF(VLOOKUP($B116,casostestes[#Data],4)=0,"-",VLOOKUP($B116,casostestes[#Data],4)),"-")</f>
        <v>-</v>
      </c>
      <c r="G116" s="35" t="str">
        <f>IFERROR(IF(VLOOKUP($B116,casostestes[#Data],5)=0,"-",VLOOKUP($B116,casostestes[#Data],5)),"-")</f>
        <v>-</v>
      </c>
      <c r="H116" s="35" t="str">
        <f>IFERROR(IF(VLOOKUP($B116,casostestes[#Data],6)=0,"-",VLOOKUP($B116,casostestes[#Data],6)),"-")</f>
        <v>-</v>
      </c>
      <c r="I116" s="35" t="str">
        <f>IFERROR(IF(VLOOKUP($B116,casostestes[#Data],8)=0,"-",VLOOKUP($B116,casostestes[#Data],8)),"-")</f>
        <v>-</v>
      </c>
      <c r="J116" s="35" t="str">
        <f>IFERROR(IF(VLOOKUP($B116,casostestes[#Data],9)=0,"-",VLOOKUP($B116,casostestes[#Data],9)),"-")</f>
        <v>-</v>
      </c>
      <c r="K116" s="37" t="str">
        <f>IFERROR(IF(VLOOKUP($B116,orlando[#Data],12)=0,"Não executado",VLOOKUP($B116,orlando[#Data],12)),"Não executado")</f>
        <v>Não executado</v>
      </c>
      <c r="L116" s="37" t="str">
        <f>IFERROR(IF(VLOOKUP($B116,mauricio[#Data],12)=0,"Não executado",VLOOKUP($B116,mauricio[#Data],12)),"Não executado")</f>
        <v>Não executado</v>
      </c>
      <c r="M116" s="37" t="str">
        <f>IFERROR(IF(VLOOKUP($B116,Thaisa[#Data],12)=0,"Não executado",VLOOKUP($B116,Thaisa[#Data],12)),"Não executado")</f>
        <v>Não executado</v>
      </c>
      <c r="N116" s="37" t="str">
        <f>IFERROR(IF(VLOOKUP($B116,carlos[#Data],12)=0,"Não executado",VLOOKUP($B116,carlos[#Data],12)),"Não executado")</f>
        <v>Não executado</v>
      </c>
      <c r="O116" s="37" t="str">
        <f>IFERROR(IF(VLOOKUP($B116,Alessandra[#Data],12)=0,"Não executado",VLOOKUP($B116,Alessandra[#Data],12)),"Não executado")</f>
        <v>Não executado</v>
      </c>
      <c r="P116" s="37" t="str">
        <f>IFERROR(IF(VLOOKUP($B116,AnaCarolina[#Data],12)=0,"Não executado",VLOOKUP($B116,AnaCarolina[#Data],12)),"Não executado")</f>
        <v>Não executado</v>
      </c>
      <c r="Q116" s="37" t="str">
        <f>IFERROR(IF(VLOOKUP($B116,wanei[#Data],12)=0,"Não executado",VLOOKUP($B116,wanei[#Data],12)),"Não executado")</f>
        <v>Não executado</v>
      </c>
      <c r="R116" s="37" t="str">
        <f>IFERROR(IF(VLOOKUP($B116,janaina[#Data],12)=0,"Não executado",VLOOKUP($B116,janaina[#Data],12)),"Não executado")</f>
        <v>Não executado</v>
      </c>
      <c r="S116" s="93" t="str">
        <f>IFERROR(IF(VLOOKUP($B99,andreia[#Data],12)=0,"Não executado",VLOOKUP($B99,andreia[#Data],12)),"Não executado")</f>
        <v>Não executado</v>
      </c>
      <c r="T116" s="37" t="str">
        <f>IFERROR(IF(VLOOKUP($B99,homologador[#Data],12)=0,"Não executado",VLOOKUP($B99,homologador[#Data],12)),"Não executado")</f>
        <v>Não executado</v>
      </c>
      <c r="W116" s="13"/>
    </row>
    <row r="117" spans="2:23">
      <c r="B117" s="40" t="str">
        <f>IF(ISERR(casostestes[[#This Row],[ID]]),"-",casostestes[[#This Row],[ID]])</f>
        <v>-</v>
      </c>
      <c r="C117" s="34" t="str">
        <f>IFERROR(IF(VLOOKUP($B117,casostestes[#Data],10)=0,"Não",VLOOKUP($B117,casostestes[#Data],10)), "-")</f>
        <v>-</v>
      </c>
      <c r="D117" s="35" t="str">
        <f>IFERROR(IF(VLOOKUP($B117,casostestes[#Data],2)=0,"-",VLOOKUP($B117,casostestes[#Data],2)), "-")</f>
        <v>-</v>
      </c>
      <c r="E117" s="35" t="str">
        <f>IFERROR(IF(VLOOKUP($B117,casostestes[#Data],3)=0,"-",VLOOKUP($B117,casostestes[#Data],3)), "-")</f>
        <v>-</v>
      </c>
      <c r="F117" s="35" t="str">
        <f>IFERROR(IF(VLOOKUP($B117,casostestes[#Data],4)=0,"-",VLOOKUP($B117,casostestes[#Data],4)),"-")</f>
        <v>-</v>
      </c>
      <c r="G117" s="35" t="str">
        <f>IFERROR(IF(VLOOKUP($B117,casostestes[#Data],5)=0,"-",VLOOKUP($B117,casostestes[#Data],5)),"-")</f>
        <v>-</v>
      </c>
      <c r="H117" s="35" t="str">
        <f>IFERROR(IF(VLOOKUP($B117,casostestes[#Data],6)=0,"-",VLOOKUP($B117,casostestes[#Data],6)),"-")</f>
        <v>-</v>
      </c>
      <c r="I117" s="35" t="str">
        <f>IFERROR(IF(VLOOKUP($B117,casostestes[#Data],8)=0,"-",VLOOKUP($B117,casostestes[#Data],8)),"-")</f>
        <v>-</v>
      </c>
      <c r="J117" s="35" t="str">
        <f>IFERROR(IF(VLOOKUP($B117,casostestes[#Data],9)=0,"-",VLOOKUP($B117,casostestes[#Data],9)),"-")</f>
        <v>-</v>
      </c>
      <c r="K117" s="37" t="str">
        <f>IFERROR(IF(VLOOKUP($B117,orlando[#Data],12)=0,"Não executado",VLOOKUP($B117,orlando[#Data],12)),"Não executado")</f>
        <v>Não executado</v>
      </c>
      <c r="L117" s="37" t="str">
        <f>IFERROR(IF(VLOOKUP($B117,mauricio[#Data],12)=0,"Não executado",VLOOKUP($B117,mauricio[#Data],12)),"Não executado")</f>
        <v>Não executado</v>
      </c>
      <c r="M117" s="37" t="str">
        <f>IFERROR(IF(VLOOKUP($B117,Thaisa[#Data],12)=0,"Não executado",VLOOKUP($B117,Thaisa[#Data],12)),"Não executado")</f>
        <v>Não executado</v>
      </c>
      <c r="N117" s="37" t="str">
        <f>IFERROR(IF(VLOOKUP($B117,carlos[#Data],12)=0,"Não executado",VLOOKUP($B117,carlos[#Data],12)),"Não executado")</f>
        <v>Não executado</v>
      </c>
      <c r="O117" s="37" t="str">
        <f>IFERROR(IF(VLOOKUP($B117,Alessandra[#Data],12)=0,"Não executado",VLOOKUP($B117,Alessandra[#Data],12)),"Não executado")</f>
        <v>Não executado</v>
      </c>
      <c r="P117" s="37" t="str">
        <f>IFERROR(IF(VLOOKUP($B117,AnaCarolina[#Data],12)=0,"Não executado",VLOOKUP($B117,AnaCarolina[#Data],12)),"Não executado")</f>
        <v>Não executado</v>
      </c>
      <c r="Q117" s="37" t="str">
        <f>IFERROR(IF(VLOOKUP($B117,wanei[#Data],12)=0,"Não executado",VLOOKUP($B117,wanei[#Data],12)),"Não executado")</f>
        <v>Não executado</v>
      </c>
      <c r="R117" s="37" t="str">
        <f>IFERROR(IF(VLOOKUP($B117,janaina[#Data],12)=0,"Não executado",VLOOKUP($B117,janaina[#Data],12)),"Não executado")</f>
        <v>Não executado</v>
      </c>
      <c r="S117" s="93" t="str">
        <f>IFERROR(IF(VLOOKUP($B100,andreia[#Data],12)=0,"Não executado",VLOOKUP($B100,andreia[#Data],12)),"Não executado")</f>
        <v>Não executado</v>
      </c>
      <c r="T117" s="37" t="str">
        <f>IFERROR(IF(VLOOKUP($B100,homologador[#Data],12)=0,"Não executado",VLOOKUP($B100,homologador[#Data],12)),"Não executado")</f>
        <v>Não executado</v>
      </c>
      <c r="W117" s="13"/>
    </row>
    <row r="118" spans="2:23">
      <c r="B118" s="40" t="str">
        <f>IF(ISERR(casostestes[[#This Row],[ID]]),"-",casostestes[[#This Row],[ID]])</f>
        <v>-</v>
      </c>
      <c r="C118" s="34" t="str">
        <f>IFERROR(IF(VLOOKUP($B118,casostestes[#Data],10)=0,"Não",VLOOKUP($B118,casostestes[#Data],10)), "-")</f>
        <v>-</v>
      </c>
      <c r="D118" s="35" t="str">
        <f>IFERROR(IF(VLOOKUP($B118,casostestes[#Data],2)=0,"-",VLOOKUP($B118,casostestes[#Data],2)), "-")</f>
        <v>-</v>
      </c>
      <c r="E118" s="35" t="str">
        <f>IFERROR(IF(VLOOKUP($B118,casostestes[#Data],3)=0,"-",VLOOKUP($B118,casostestes[#Data],3)), "-")</f>
        <v>-</v>
      </c>
      <c r="F118" s="35" t="str">
        <f>IFERROR(IF(VLOOKUP($B118,casostestes[#Data],4)=0,"-",VLOOKUP($B118,casostestes[#Data],4)),"-")</f>
        <v>-</v>
      </c>
      <c r="G118" s="35" t="str">
        <f>IFERROR(IF(VLOOKUP($B118,casostestes[#Data],5)=0,"-",VLOOKUP($B118,casostestes[#Data],5)),"-")</f>
        <v>-</v>
      </c>
      <c r="H118" s="35" t="str">
        <f>IFERROR(IF(VLOOKUP($B118,casostestes[#Data],6)=0,"-",VLOOKUP($B118,casostestes[#Data],6)),"-")</f>
        <v>-</v>
      </c>
      <c r="I118" s="35" t="str">
        <f>IFERROR(IF(VLOOKUP($B118,casostestes[#Data],8)=0,"-",VLOOKUP($B118,casostestes[#Data],8)),"-")</f>
        <v>-</v>
      </c>
      <c r="J118" s="35" t="str">
        <f>IFERROR(IF(VLOOKUP($B118,casostestes[#Data],9)=0,"-",VLOOKUP($B118,casostestes[#Data],9)),"-")</f>
        <v>-</v>
      </c>
      <c r="K118" s="37" t="str">
        <f>IFERROR(IF(VLOOKUP($B118,orlando[#Data],12)=0,"Não executado",VLOOKUP($B118,orlando[#Data],12)),"Não executado")</f>
        <v>Não executado</v>
      </c>
      <c r="L118" s="37" t="str">
        <f>IFERROR(IF(VLOOKUP($B118,mauricio[#Data],12)=0,"Não executado",VLOOKUP($B118,mauricio[#Data],12)),"Não executado")</f>
        <v>Não executado</v>
      </c>
      <c r="M118" s="37" t="str">
        <f>IFERROR(IF(VLOOKUP($B118,Thaisa[#Data],12)=0,"Não executado",VLOOKUP($B118,Thaisa[#Data],12)),"Não executado")</f>
        <v>Não executado</v>
      </c>
      <c r="N118" s="37" t="str">
        <f>IFERROR(IF(VLOOKUP($B118,carlos[#Data],12)=0,"Não executado",VLOOKUP($B118,carlos[#Data],12)),"Não executado")</f>
        <v>Não executado</v>
      </c>
      <c r="O118" s="37" t="str">
        <f>IFERROR(IF(VLOOKUP($B118,Alessandra[#Data],12)=0,"Não executado",VLOOKUP($B118,Alessandra[#Data],12)),"Não executado")</f>
        <v>Não executado</v>
      </c>
      <c r="P118" s="37" t="str">
        <f>IFERROR(IF(VLOOKUP($B118,AnaCarolina[#Data],12)=0,"Não executado",VLOOKUP($B118,AnaCarolina[#Data],12)),"Não executado")</f>
        <v>Não executado</v>
      </c>
      <c r="Q118" s="37" t="str">
        <f>IFERROR(IF(VLOOKUP($B118,wanei[#Data],12)=0,"Não executado",VLOOKUP($B118,wanei[#Data],12)),"Não executado")</f>
        <v>Não executado</v>
      </c>
      <c r="R118" s="37" t="str">
        <f>IFERROR(IF(VLOOKUP($B118,janaina[#Data],12)=0,"Não executado",VLOOKUP($B118,janaina[#Data],12)),"Não executado")</f>
        <v>Não executado</v>
      </c>
      <c r="S118" s="93" t="str">
        <f>IFERROR(IF(VLOOKUP($B101,andreia[#Data],12)=0,"Não executado",VLOOKUP($B101,andreia[#Data],12)),"Não executado")</f>
        <v>Não executado</v>
      </c>
      <c r="T118" s="37" t="str">
        <f>IFERROR(IF(VLOOKUP($B101,homologador[#Data],12)=0,"Não executado",VLOOKUP($B101,homologador[#Data],12)),"Não executado")</f>
        <v>Não executado</v>
      </c>
      <c r="W118" s="13"/>
    </row>
    <row r="119" spans="2:23">
      <c r="B119" s="40" t="str">
        <f>IF(ISERR(casostestes[[#This Row],[ID]]),"-",casostestes[[#This Row],[ID]])</f>
        <v>-</v>
      </c>
      <c r="C119" s="34" t="str">
        <f>IFERROR(IF(VLOOKUP($B119,casostestes[#Data],10)=0,"Não",VLOOKUP($B119,casostestes[#Data],10)), "-")</f>
        <v>-</v>
      </c>
      <c r="D119" s="35" t="str">
        <f>IFERROR(IF(VLOOKUP($B119,casostestes[#Data],2)=0,"-",VLOOKUP($B119,casostestes[#Data],2)), "-")</f>
        <v>-</v>
      </c>
      <c r="E119" s="35" t="str">
        <f>IFERROR(IF(VLOOKUP($B119,casostestes[#Data],3)=0,"-",VLOOKUP($B119,casostestes[#Data],3)), "-")</f>
        <v>-</v>
      </c>
      <c r="F119" s="35" t="str">
        <f>IFERROR(IF(VLOOKUP($B119,casostestes[#Data],4)=0,"-",VLOOKUP($B119,casostestes[#Data],4)),"-")</f>
        <v>-</v>
      </c>
      <c r="G119" s="35" t="str">
        <f>IFERROR(IF(VLOOKUP($B119,casostestes[#Data],5)=0,"-",VLOOKUP($B119,casostestes[#Data],5)),"-")</f>
        <v>-</v>
      </c>
      <c r="H119" s="35" t="str">
        <f>IFERROR(IF(VLOOKUP($B119,casostestes[#Data],6)=0,"-",VLOOKUP($B119,casostestes[#Data],6)),"-")</f>
        <v>-</v>
      </c>
      <c r="I119" s="35" t="str">
        <f>IFERROR(IF(VLOOKUP($B119,casostestes[#Data],8)=0,"-",VLOOKUP($B119,casostestes[#Data],8)),"-")</f>
        <v>-</v>
      </c>
      <c r="J119" s="35" t="str">
        <f>IFERROR(IF(VLOOKUP($B119,casostestes[#Data],9)=0,"-",VLOOKUP($B119,casostestes[#Data],9)),"-")</f>
        <v>-</v>
      </c>
      <c r="K119" s="37" t="str">
        <f>IFERROR(IF(VLOOKUP($B119,orlando[#Data],12)=0,"Não executado",VLOOKUP($B119,orlando[#Data],12)),"Não executado")</f>
        <v>Não executado</v>
      </c>
      <c r="L119" s="37" t="str">
        <f>IFERROR(IF(VLOOKUP($B119,mauricio[#Data],12)=0,"Não executado",VLOOKUP($B119,mauricio[#Data],12)),"Não executado")</f>
        <v>Não executado</v>
      </c>
      <c r="M119" s="37" t="str">
        <f>IFERROR(IF(VLOOKUP($B119,Thaisa[#Data],12)=0,"Não executado",VLOOKUP($B119,Thaisa[#Data],12)),"Não executado")</f>
        <v>Não executado</v>
      </c>
      <c r="N119" s="37" t="str">
        <f>IFERROR(IF(VLOOKUP($B119,carlos[#Data],12)=0,"Não executado",VLOOKUP($B119,carlos[#Data],12)),"Não executado")</f>
        <v>Não executado</v>
      </c>
      <c r="O119" s="37" t="str">
        <f>IFERROR(IF(VLOOKUP($B119,Alessandra[#Data],12)=0,"Não executado",VLOOKUP($B119,Alessandra[#Data],12)),"Não executado")</f>
        <v>Não executado</v>
      </c>
      <c r="P119" s="37" t="str">
        <f>IFERROR(IF(VLOOKUP($B119,AnaCarolina[#Data],12)=0,"Não executado",VLOOKUP($B119,AnaCarolina[#Data],12)),"Não executado")</f>
        <v>Não executado</v>
      </c>
      <c r="Q119" s="37" t="str">
        <f>IFERROR(IF(VLOOKUP($B119,wanei[#Data],12)=0,"Não executado",VLOOKUP($B119,wanei[#Data],12)),"Não executado")</f>
        <v>Não executado</v>
      </c>
      <c r="R119" s="37" t="str">
        <f>IFERROR(IF(VLOOKUP($B119,janaina[#Data],12)=0,"Não executado",VLOOKUP($B119,janaina[#Data],12)),"Não executado")</f>
        <v>Não executado</v>
      </c>
      <c r="S119" s="93" t="str">
        <f>IFERROR(IF(VLOOKUP($B102,andreia[#Data],12)=0,"Não executado",VLOOKUP($B102,andreia[#Data],12)),"Não executado")</f>
        <v>Não executado</v>
      </c>
      <c r="T119" s="37" t="str">
        <f>IFERROR(IF(VLOOKUP($B102,homologador[#Data],12)=0,"Não executado",VLOOKUP($B102,homologador[#Data],12)),"Não executado")</f>
        <v>Não executado</v>
      </c>
      <c r="W119" s="13"/>
    </row>
    <row r="120" spans="2:23">
      <c r="B120" s="40" t="str">
        <f>IF(ISERR(casostestes[[#This Row],[ID]]),"-",casostestes[[#This Row],[ID]])</f>
        <v>-</v>
      </c>
      <c r="C120" s="34" t="str">
        <f>IFERROR(IF(VLOOKUP($B120,casostestes[#Data],10)=0,"Não",VLOOKUP($B120,casostestes[#Data],10)), "-")</f>
        <v>-</v>
      </c>
      <c r="D120" s="35" t="str">
        <f>IFERROR(IF(VLOOKUP($B120,casostestes[#Data],2)=0,"-",VLOOKUP($B120,casostestes[#Data],2)), "-")</f>
        <v>-</v>
      </c>
      <c r="E120" s="35" t="str">
        <f>IFERROR(IF(VLOOKUP($B120,casostestes[#Data],3)=0,"-",VLOOKUP($B120,casostestes[#Data],3)), "-")</f>
        <v>-</v>
      </c>
      <c r="F120" s="35" t="str">
        <f>IFERROR(IF(VLOOKUP($B120,casostestes[#Data],4)=0,"-",VLOOKUP($B120,casostestes[#Data],4)),"-")</f>
        <v>-</v>
      </c>
      <c r="G120" s="35" t="str">
        <f>IFERROR(IF(VLOOKUP($B120,casostestes[#Data],5)=0,"-",VLOOKUP($B120,casostestes[#Data],5)),"-")</f>
        <v>-</v>
      </c>
      <c r="H120" s="35" t="str">
        <f>IFERROR(IF(VLOOKUP($B120,casostestes[#Data],6)=0,"-",VLOOKUP($B120,casostestes[#Data],6)),"-")</f>
        <v>-</v>
      </c>
      <c r="I120" s="35" t="str">
        <f>IFERROR(IF(VLOOKUP($B120,casostestes[#Data],8)=0,"-",VLOOKUP($B120,casostestes[#Data],8)),"-")</f>
        <v>-</v>
      </c>
      <c r="J120" s="35" t="str">
        <f>IFERROR(IF(VLOOKUP($B120,casostestes[#Data],9)=0,"-",VLOOKUP($B120,casostestes[#Data],9)),"-")</f>
        <v>-</v>
      </c>
      <c r="K120" s="37" t="str">
        <f>IFERROR(IF(VLOOKUP($B120,orlando[#Data],12)=0,"Não executado",VLOOKUP($B120,orlando[#Data],12)),"Não executado")</f>
        <v>Não executado</v>
      </c>
      <c r="L120" s="37" t="str">
        <f>IFERROR(IF(VLOOKUP($B120,mauricio[#Data],12)=0,"Não executado",VLOOKUP($B120,mauricio[#Data],12)),"Não executado")</f>
        <v>Não executado</v>
      </c>
      <c r="M120" s="37" t="str">
        <f>IFERROR(IF(VLOOKUP($B120,Thaisa[#Data],12)=0,"Não executado",VLOOKUP($B120,Thaisa[#Data],12)),"Não executado")</f>
        <v>Não executado</v>
      </c>
      <c r="N120" s="37" t="str">
        <f>IFERROR(IF(VLOOKUP($B120,carlos[#Data],12)=0,"Não executado",VLOOKUP($B120,carlos[#Data],12)),"Não executado")</f>
        <v>Não executado</v>
      </c>
      <c r="O120" s="37" t="str">
        <f>IFERROR(IF(VLOOKUP($B120,Alessandra[#Data],12)=0,"Não executado",VLOOKUP($B120,Alessandra[#Data],12)),"Não executado")</f>
        <v>Não executado</v>
      </c>
      <c r="P120" s="37" t="str">
        <f>IFERROR(IF(VLOOKUP($B120,AnaCarolina[#Data],12)=0,"Não executado",VLOOKUP($B120,AnaCarolina[#Data],12)),"Não executado")</f>
        <v>Não executado</v>
      </c>
      <c r="Q120" s="37" t="str">
        <f>IFERROR(IF(VLOOKUP($B120,wanei[#Data],12)=0,"Não executado",VLOOKUP($B120,wanei[#Data],12)),"Não executado")</f>
        <v>Não executado</v>
      </c>
      <c r="R120" s="37" t="str">
        <f>IFERROR(IF(VLOOKUP($B120,janaina[#Data],12)=0,"Não executado",VLOOKUP($B120,janaina[#Data],12)),"Não executado")</f>
        <v>Não executado</v>
      </c>
      <c r="S120" s="93" t="str">
        <f>IFERROR(IF(VLOOKUP($B103,andreia[#Data],12)=0,"Não executado",VLOOKUP($B103,andreia[#Data],12)),"Não executado")</f>
        <v>Não executado</v>
      </c>
      <c r="T120" s="37" t="str">
        <f>IFERROR(IF(VLOOKUP($B103,homologador[#Data],12)=0,"Não executado",VLOOKUP($B103,homologador[#Data],12)),"Não executado")</f>
        <v>Não executado</v>
      </c>
      <c r="W120" s="13"/>
    </row>
    <row r="121" spans="2:23">
      <c r="B121" s="40" t="str">
        <f>IF(ISERR(casostestes[[#This Row],[ID]]),"-",casostestes[[#This Row],[ID]])</f>
        <v>-</v>
      </c>
      <c r="C121" s="34" t="str">
        <f>IFERROR(IF(VLOOKUP($B121,casostestes[#Data],10)=0,"Não",VLOOKUP($B121,casostestes[#Data],10)), "-")</f>
        <v>-</v>
      </c>
      <c r="D121" s="35" t="str">
        <f>IFERROR(IF(VLOOKUP($B121,casostestes[#Data],2)=0,"-",VLOOKUP($B121,casostestes[#Data],2)), "-")</f>
        <v>-</v>
      </c>
      <c r="E121" s="35" t="str">
        <f>IFERROR(IF(VLOOKUP($B121,casostestes[#Data],3)=0,"-",VLOOKUP($B121,casostestes[#Data],3)), "-")</f>
        <v>-</v>
      </c>
      <c r="F121" s="35" t="str">
        <f>IFERROR(IF(VLOOKUP($B121,casostestes[#Data],4)=0,"-",VLOOKUP($B121,casostestes[#Data],4)),"-")</f>
        <v>-</v>
      </c>
      <c r="G121" s="35" t="str">
        <f>IFERROR(IF(VLOOKUP($B121,casostestes[#Data],5)=0,"-",VLOOKUP($B121,casostestes[#Data],5)),"-")</f>
        <v>-</v>
      </c>
      <c r="H121" s="35" t="str">
        <f>IFERROR(IF(VLOOKUP($B121,casostestes[#Data],6)=0,"-",VLOOKUP($B121,casostestes[#Data],6)),"-")</f>
        <v>-</v>
      </c>
      <c r="I121" s="35" t="str">
        <f>IFERROR(IF(VLOOKUP($B121,casostestes[#Data],8)=0,"-",VLOOKUP($B121,casostestes[#Data],8)),"-")</f>
        <v>-</v>
      </c>
      <c r="J121" s="35" t="str">
        <f>IFERROR(IF(VLOOKUP($B121,casostestes[#Data],9)=0,"-",VLOOKUP($B121,casostestes[#Data],9)),"-")</f>
        <v>-</v>
      </c>
      <c r="K121" s="37" t="str">
        <f>IFERROR(IF(VLOOKUP($B121,orlando[#Data],12)=0,"Não executado",VLOOKUP($B121,orlando[#Data],12)),"Não executado")</f>
        <v>Não executado</v>
      </c>
      <c r="L121" s="37" t="str">
        <f>IFERROR(IF(VLOOKUP($B121,mauricio[#Data],12)=0,"Não executado",VLOOKUP($B121,mauricio[#Data],12)),"Não executado")</f>
        <v>Não executado</v>
      </c>
      <c r="M121" s="37" t="str">
        <f>IFERROR(IF(VLOOKUP($B121,Thaisa[#Data],12)=0,"Não executado",VLOOKUP($B121,Thaisa[#Data],12)),"Não executado")</f>
        <v>Não executado</v>
      </c>
      <c r="N121" s="37" t="str">
        <f>IFERROR(IF(VLOOKUP($B121,carlos[#Data],12)=0,"Não executado",VLOOKUP($B121,carlos[#Data],12)),"Não executado")</f>
        <v>Não executado</v>
      </c>
      <c r="O121" s="37" t="str">
        <f>IFERROR(IF(VLOOKUP($B121,Alessandra[#Data],12)=0,"Não executado",VLOOKUP($B121,Alessandra[#Data],12)),"Não executado")</f>
        <v>Não executado</v>
      </c>
      <c r="P121" s="37" t="str">
        <f>IFERROR(IF(VLOOKUP($B121,AnaCarolina[#Data],12)=0,"Não executado",VLOOKUP($B121,AnaCarolina[#Data],12)),"Não executado")</f>
        <v>Não executado</v>
      </c>
      <c r="Q121" s="37" t="str">
        <f>IFERROR(IF(VLOOKUP($B121,wanei[#Data],12)=0,"Não executado",VLOOKUP($B121,wanei[#Data],12)),"Não executado")</f>
        <v>Não executado</v>
      </c>
      <c r="R121" s="37" t="str">
        <f>IFERROR(IF(VLOOKUP($B121,janaina[#Data],12)=0,"Não executado",VLOOKUP($B121,janaina[#Data],12)),"Não executado")</f>
        <v>Não executado</v>
      </c>
      <c r="S121" s="93" t="str">
        <f>IFERROR(IF(VLOOKUP($B104,andreia[#Data],12)=0,"Não executado",VLOOKUP($B104,andreia[#Data],12)),"Não executado")</f>
        <v>Não executado</v>
      </c>
      <c r="T121" s="37" t="str">
        <f>IFERROR(IF(VLOOKUP($B104,homologador[#Data],12)=0,"Não executado",VLOOKUP($B104,homologador[#Data],12)),"Não executado")</f>
        <v>Não executado</v>
      </c>
      <c r="W121" s="13"/>
    </row>
    <row r="122" spans="2:23">
      <c r="B122" s="40" t="str">
        <f>IF(ISERR(casostestes[[#This Row],[ID]]),"-",casostestes[[#This Row],[ID]])</f>
        <v>-</v>
      </c>
      <c r="C122" s="34" t="str">
        <f>IFERROR(IF(VLOOKUP($B122,casostestes[#Data],10)=0,"Não",VLOOKUP($B122,casostestes[#Data],10)), "-")</f>
        <v>-</v>
      </c>
      <c r="D122" s="35" t="str">
        <f>IFERROR(IF(VLOOKUP($B122,casostestes[#Data],2)=0,"-",VLOOKUP($B122,casostestes[#Data],2)), "-")</f>
        <v>-</v>
      </c>
      <c r="E122" s="35" t="str">
        <f>IFERROR(IF(VLOOKUP($B122,casostestes[#Data],3)=0,"-",VLOOKUP($B122,casostestes[#Data],3)), "-")</f>
        <v>-</v>
      </c>
      <c r="F122" s="35" t="str">
        <f>IFERROR(IF(VLOOKUP($B122,casostestes[#Data],4)=0,"-",VLOOKUP($B122,casostestes[#Data],4)),"-")</f>
        <v>-</v>
      </c>
      <c r="G122" s="35" t="str">
        <f>IFERROR(IF(VLOOKUP($B122,casostestes[#Data],5)=0,"-",VLOOKUP($B122,casostestes[#Data],5)),"-")</f>
        <v>-</v>
      </c>
      <c r="H122" s="35" t="str">
        <f>IFERROR(IF(VLOOKUP($B122,casostestes[#Data],6)=0,"-",VLOOKUP($B122,casostestes[#Data],6)),"-")</f>
        <v>-</v>
      </c>
      <c r="I122" s="35" t="str">
        <f>IFERROR(IF(VLOOKUP($B122,casostestes[#Data],8)=0,"-",VLOOKUP($B122,casostestes[#Data],8)),"-")</f>
        <v>-</v>
      </c>
      <c r="J122" s="35" t="str">
        <f>IFERROR(IF(VLOOKUP($B122,casostestes[#Data],9)=0,"-",VLOOKUP($B122,casostestes[#Data],9)),"-")</f>
        <v>-</v>
      </c>
      <c r="K122" s="37" t="str">
        <f>IFERROR(IF(VLOOKUP($B122,orlando[#Data],12)=0,"Não executado",VLOOKUP($B122,orlando[#Data],12)),"Não executado")</f>
        <v>Não executado</v>
      </c>
      <c r="L122" s="37" t="str">
        <f>IFERROR(IF(VLOOKUP($B122,mauricio[#Data],12)=0,"Não executado",VLOOKUP($B122,mauricio[#Data],12)),"Não executado")</f>
        <v>Não executado</v>
      </c>
      <c r="M122" s="37" t="str">
        <f>IFERROR(IF(VLOOKUP($B122,Thaisa[#Data],12)=0,"Não executado",VLOOKUP($B122,Thaisa[#Data],12)),"Não executado")</f>
        <v>Não executado</v>
      </c>
      <c r="N122" s="37" t="str">
        <f>IFERROR(IF(VLOOKUP($B122,carlos[#Data],12)=0,"Não executado",VLOOKUP($B122,carlos[#Data],12)),"Não executado")</f>
        <v>Não executado</v>
      </c>
      <c r="O122" s="37" t="str">
        <f>IFERROR(IF(VLOOKUP($B122,Alessandra[#Data],12)=0,"Não executado",VLOOKUP($B122,Alessandra[#Data],12)),"Não executado")</f>
        <v>Não executado</v>
      </c>
      <c r="P122" s="37" t="str">
        <f>IFERROR(IF(VLOOKUP($B122,AnaCarolina[#Data],12)=0,"Não executado",VLOOKUP($B122,AnaCarolina[#Data],12)),"Não executado")</f>
        <v>Não executado</v>
      </c>
      <c r="Q122" s="37" t="str">
        <f>IFERROR(IF(VLOOKUP($B122,wanei[#Data],12)=0,"Não executado",VLOOKUP($B122,wanei[#Data],12)),"Não executado")</f>
        <v>Não executado</v>
      </c>
      <c r="R122" s="37" t="str">
        <f>IFERROR(IF(VLOOKUP($B122,janaina[#Data],12)=0,"Não executado",VLOOKUP($B122,janaina[#Data],12)),"Não executado")</f>
        <v>Não executado</v>
      </c>
      <c r="S122" s="93" t="str">
        <f>IFERROR(IF(VLOOKUP($B105,andreia[#Data],12)=0,"Não executado",VLOOKUP($B105,andreia[#Data],12)),"Não executado")</f>
        <v>Não executado</v>
      </c>
      <c r="T122" s="37" t="str">
        <f>IFERROR(IF(VLOOKUP($B105,homologador[#Data],12)=0,"Não executado",VLOOKUP($B105,homologador[#Data],12)),"Não executado")</f>
        <v>Não executado</v>
      </c>
      <c r="W122" s="13"/>
    </row>
    <row r="123" spans="2:23">
      <c r="B123" s="40" t="str">
        <f>IF(ISERR(casostestes[[#This Row],[ID]]),"-",casostestes[[#This Row],[ID]])</f>
        <v>-</v>
      </c>
      <c r="C123" s="34" t="str">
        <f>IFERROR(IF(VLOOKUP($B123,casostestes[#Data],10)=0,"Não",VLOOKUP($B123,casostestes[#Data],10)), "-")</f>
        <v>-</v>
      </c>
      <c r="D123" s="35" t="str">
        <f>IFERROR(IF(VLOOKUP($B123,casostestes[#Data],2)=0,"-",VLOOKUP($B123,casostestes[#Data],2)), "-")</f>
        <v>-</v>
      </c>
      <c r="E123" s="35" t="str">
        <f>IFERROR(IF(VLOOKUP($B123,casostestes[#Data],3)=0,"-",VLOOKUP($B123,casostestes[#Data],3)), "-")</f>
        <v>-</v>
      </c>
      <c r="F123" s="35" t="str">
        <f>IFERROR(IF(VLOOKUP($B123,casostestes[#Data],4)=0,"-",VLOOKUP($B123,casostestes[#Data],4)),"-")</f>
        <v>-</v>
      </c>
      <c r="G123" s="35" t="str">
        <f>IFERROR(IF(VLOOKUP($B123,casostestes[#Data],5)=0,"-",VLOOKUP($B123,casostestes[#Data],5)),"-")</f>
        <v>-</v>
      </c>
      <c r="H123" s="35" t="str">
        <f>IFERROR(IF(VLOOKUP($B123,casostestes[#Data],6)=0,"-",VLOOKUP($B123,casostestes[#Data],6)),"-")</f>
        <v>-</v>
      </c>
      <c r="I123" s="35" t="str">
        <f>IFERROR(IF(VLOOKUP($B123,casostestes[#Data],8)=0,"-",VLOOKUP($B123,casostestes[#Data],8)),"-")</f>
        <v>-</v>
      </c>
      <c r="J123" s="35" t="str">
        <f>IFERROR(IF(VLOOKUP($B123,casostestes[#Data],9)=0,"-",VLOOKUP($B123,casostestes[#Data],9)),"-")</f>
        <v>-</v>
      </c>
      <c r="K123" s="37" t="str">
        <f>IFERROR(IF(VLOOKUP($B123,orlando[#Data],12)=0,"Não executado",VLOOKUP($B123,orlando[#Data],12)),"Não executado")</f>
        <v>Não executado</v>
      </c>
      <c r="L123" s="37" t="str">
        <f>IFERROR(IF(VLOOKUP($B123,mauricio[#Data],12)=0,"Não executado",VLOOKUP($B123,mauricio[#Data],12)),"Não executado")</f>
        <v>Não executado</v>
      </c>
      <c r="M123" s="37" t="str">
        <f>IFERROR(IF(VLOOKUP($B123,Thaisa[#Data],12)=0,"Não executado",VLOOKUP($B123,Thaisa[#Data],12)),"Não executado")</f>
        <v>Não executado</v>
      </c>
      <c r="N123" s="37" t="str">
        <f>IFERROR(IF(VLOOKUP($B123,carlos[#Data],12)=0,"Não executado",VLOOKUP($B123,carlos[#Data],12)),"Não executado")</f>
        <v>Não executado</v>
      </c>
      <c r="O123" s="37" t="str">
        <f>IFERROR(IF(VLOOKUP($B123,Alessandra[#Data],12)=0,"Não executado",VLOOKUP($B123,Alessandra[#Data],12)),"Não executado")</f>
        <v>Não executado</v>
      </c>
      <c r="P123" s="37" t="str">
        <f>IFERROR(IF(VLOOKUP($B123,AnaCarolina[#Data],12)=0,"Não executado",VLOOKUP($B123,AnaCarolina[#Data],12)),"Não executado")</f>
        <v>Não executado</v>
      </c>
      <c r="Q123" s="37" t="str">
        <f>IFERROR(IF(VLOOKUP($B123,wanei[#Data],12)=0,"Não executado",VLOOKUP($B123,wanei[#Data],12)),"Não executado")</f>
        <v>Não executado</v>
      </c>
      <c r="R123" s="37" t="str">
        <f>IFERROR(IF(VLOOKUP($B123,janaina[#Data],12)=0,"Não executado",VLOOKUP($B123,janaina[#Data],12)),"Não executado")</f>
        <v>Não executado</v>
      </c>
      <c r="S123" s="93" t="str">
        <f>IFERROR(IF(VLOOKUP($B106,andreia[#Data],12)=0,"Não executado",VLOOKUP($B106,andreia[#Data],12)),"Não executado")</f>
        <v>Não executado</v>
      </c>
      <c r="T123" s="37" t="str">
        <f>IFERROR(IF(VLOOKUP($B106,homologador[#Data],12)=0,"Não executado",VLOOKUP($B106,homologador[#Data],12)),"Não executado")</f>
        <v>Não executado</v>
      </c>
      <c r="W123" s="13"/>
    </row>
    <row r="124" spans="2:23">
      <c r="B124" s="40" t="str">
        <f>IF(ISERR(casostestes[[#This Row],[ID]]),"-",casostestes[[#This Row],[ID]])</f>
        <v>-</v>
      </c>
      <c r="C124" s="34" t="str">
        <f>IFERROR(IF(VLOOKUP($B124,casostestes[#Data],10)=0,"Não",VLOOKUP($B124,casostestes[#Data],10)), "-")</f>
        <v>-</v>
      </c>
      <c r="D124" s="35" t="str">
        <f>IFERROR(IF(VLOOKUP($B124,casostestes[#Data],2)=0,"-",VLOOKUP($B124,casostestes[#Data],2)), "-")</f>
        <v>-</v>
      </c>
      <c r="E124" s="35" t="str">
        <f>IFERROR(IF(VLOOKUP($B124,casostestes[#Data],3)=0,"-",VLOOKUP($B124,casostestes[#Data],3)), "-")</f>
        <v>-</v>
      </c>
      <c r="F124" s="35" t="str">
        <f>IFERROR(IF(VLOOKUP($B124,casostestes[#Data],4)=0,"-",VLOOKUP($B124,casostestes[#Data],4)),"-")</f>
        <v>-</v>
      </c>
      <c r="G124" s="35" t="str">
        <f>IFERROR(IF(VLOOKUP($B124,casostestes[#Data],5)=0,"-",VLOOKUP($B124,casostestes[#Data],5)),"-")</f>
        <v>-</v>
      </c>
      <c r="H124" s="35" t="str">
        <f>IFERROR(IF(VLOOKUP($B124,casostestes[#Data],6)=0,"-",VLOOKUP($B124,casostestes[#Data],6)),"-")</f>
        <v>-</v>
      </c>
      <c r="I124" s="35" t="str">
        <f>IFERROR(IF(VLOOKUP($B124,casostestes[#Data],8)=0,"-",VLOOKUP($B124,casostestes[#Data],8)),"-")</f>
        <v>-</v>
      </c>
      <c r="J124" s="35" t="str">
        <f>IFERROR(IF(VLOOKUP($B124,casostestes[#Data],9)=0,"-",VLOOKUP($B124,casostestes[#Data],9)),"-")</f>
        <v>-</v>
      </c>
      <c r="K124" s="37" t="str">
        <f>IFERROR(IF(VLOOKUP($B124,orlando[#Data],12)=0,"Não executado",VLOOKUP($B124,orlando[#Data],12)),"Não executado")</f>
        <v>Não executado</v>
      </c>
      <c r="L124" s="37" t="str">
        <f>IFERROR(IF(VLOOKUP($B124,mauricio[#Data],12)=0,"Não executado",VLOOKUP($B124,mauricio[#Data],12)),"Não executado")</f>
        <v>Não executado</v>
      </c>
      <c r="M124" s="37" t="str">
        <f>IFERROR(IF(VLOOKUP($B124,Thaisa[#Data],12)=0,"Não executado",VLOOKUP($B124,Thaisa[#Data],12)),"Não executado")</f>
        <v>Não executado</v>
      </c>
      <c r="N124" s="37" t="str">
        <f>IFERROR(IF(VLOOKUP($B124,carlos[#Data],12)=0,"Não executado",VLOOKUP($B124,carlos[#Data],12)),"Não executado")</f>
        <v>Não executado</v>
      </c>
      <c r="O124" s="37" t="str">
        <f>IFERROR(IF(VLOOKUP($B124,Alessandra[#Data],12)=0,"Não executado",VLOOKUP($B124,Alessandra[#Data],12)),"Não executado")</f>
        <v>Não executado</v>
      </c>
      <c r="P124" s="37" t="str">
        <f>IFERROR(IF(VLOOKUP($B124,AnaCarolina[#Data],12)=0,"Não executado",VLOOKUP($B124,AnaCarolina[#Data],12)),"Não executado")</f>
        <v>Não executado</v>
      </c>
      <c r="Q124" s="37" t="str">
        <f>IFERROR(IF(VLOOKUP($B124,wanei[#Data],12)=0,"Não executado",VLOOKUP($B124,wanei[#Data],12)),"Não executado")</f>
        <v>Não executado</v>
      </c>
      <c r="R124" s="37" t="str">
        <f>IFERROR(IF(VLOOKUP($B124,janaina[#Data],12)=0,"Não executado",VLOOKUP($B124,janaina[#Data],12)),"Não executado")</f>
        <v>Não executado</v>
      </c>
      <c r="S124" s="93" t="str">
        <f>IFERROR(IF(VLOOKUP($B107,andreia[#Data],12)=0,"Não executado",VLOOKUP($B107,andreia[#Data],12)),"Não executado")</f>
        <v>Não executado</v>
      </c>
      <c r="T124" s="37" t="str">
        <f>IFERROR(IF(VLOOKUP($B107,homologador[#Data],12)=0,"Não executado",VLOOKUP($B107,homologador[#Data],12)),"Não executado")</f>
        <v>Não executado</v>
      </c>
      <c r="W124" s="13"/>
    </row>
    <row r="125" spans="2:23">
      <c r="B125" s="40" t="str">
        <f>IF(ISERR(casostestes[[#This Row],[ID]]),"-",casostestes[[#This Row],[ID]])</f>
        <v>-</v>
      </c>
      <c r="C125" s="34" t="str">
        <f>IFERROR(IF(VLOOKUP($B125,casostestes[#Data],10)=0,"Não",VLOOKUP($B125,casostestes[#Data],10)), "-")</f>
        <v>-</v>
      </c>
      <c r="D125" s="35" t="str">
        <f>IFERROR(IF(VLOOKUP($B125,casostestes[#Data],2)=0,"-",VLOOKUP($B125,casostestes[#Data],2)), "-")</f>
        <v>-</v>
      </c>
      <c r="E125" s="35" t="str">
        <f>IFERROR(IF(VLOOKUP($B125,casostestes[#Data],3)=0,"-",VLOOKUP($B125,casostestes[#Data],3)), "-")</f>
        <v>-</v>
      </c>
      <c r="F125" s="35" t="str">
        <f>IFERROR(IF(VLOOKUP($B125,casostestes[#Data],4)=0,"-",VLOOKUP($B125,casostestes[#Data],4)),"-")</f>
        <v>-</v>
      </c>
      <c r="G125" s="35" t="str">
        <f>IFERROR(IF(VLOOKUP($B125,casostestes[#Data],5)=0,"-",VLOOKUP($B125,casostestes[#Data],5)),"-")</f>
        <v>-</v>
      </c>
      <c r="H125" s="35" t="str">
        <f>IFERROR(IF(VLOOKUP($B125,casostestes[#Data],6)=0,"-",VLOOKUP($B125,casostestes[#Data],6)),"-")</f>
        <v>-</v>
      </c>
      <c r="I125" s="35" t="str">
        <f>IFERROR(IF(VLOOKUP($B125,casostestes[#Data],8)=0,"-",VLOOKUP($B125,casostestes[#Data],8)),"-")</f>
        <v>-</v>
      </c>
      <c r="J125" s="35" t="str">
        <f>IFERROR(IF(VLOOKUP($B125,casostestes[#Data],9)=0,"-",VLOOKUP($B125,casostestes[#Data],9)),"-")</f>
        <v>-</v>
      </c>
      <c r="K125" s="37" t="str">
        <f>IFERROR(IF(VLOOKUP($B125,orlando[#Data],12)=0,"Não executado",VLOOKUP($B125,orlando[#Data],12)),"Não executado")</f>
        <v>Não executado</v>
      </c>
      <c r="L125" s="37" t="str">
        <f>IFERROR(IF(VLOOKUP($B125,mauricio[#Data],12)=0,"Não executado",VLOOKUP($B125,mauricio[#Data],12)),"Não executado")</f>
        <v>Não executado</v>
      </c>
      <c r="M125" s="37" t="str">
        <f>IFERROR(IF(VLOOKUP($B125,Thaisa[#Data],12)=0,"Não executado",VLOOKUP($B125,Thaisa[#Data],12)),"Não executado")</f>
        <v>Não executado</v>
      </c>
      <c r="N125" s="37" t="str">
        <f>IFERROR(IF(VLOOKUP($B125,carlos[#Data],12)=0,"Não executado",VLOOKUP($B125,carlos[#Data],12)),"Não executado")</f>
        <v>Não executado</v>
      </c>
      <c r="O125" s="37" t="str">
        <f>IFERROR(IF(VLOOKUP($B125,Alessandra[#Data],12)=0,"Não executado",VLOOKUP($B125,Alessandra[#Data],12)),"Não executado")</f>
        <v>Não executado</v>
      </c>
      <c r="P125" s="37" t="str">
        <f>IFERROR(IF(VLOOKUP($B125,AnaCarolina[#Data],12)=0,"Não executado",VLOOKUP($B125,AnaCarolina[#Data],12)),"Não executado")</f>
        <v>Não executado</v>
      </c>
      <c r="Q125" s="37" t="str">
        <f>IFERROR(IF(VLOOKUP($B125,wanei[#Data],12)=0,"Não executado",VLOOKUP($B125,wanei[#Data],12)),"Não executado")</f>
        <v>Não executado</v>
      </c>
      <c r="R125" s="37" t="str">
        <f>IFERROR(IF(VLOOKUP($B125,janaina[#Data],12)=0,"Não executado",VLOOKUP($B125,janaina[#Data],12)),"Não executado")</f>
        <v>Não executado</v>
      </c>
      <c r="S125" s="93" t="str">
        <f>IFERROR(IF(VLOOKUP($B108,andreia[#Data],12)=0,"Não executado",VLOOKUP($B108,andreia[#Data],12)),"Não executado")</f>
        <v>Não executado</v>
      </c>
      <c r="T125" s="37" t="str">
        <f>IFERROR(IF(VLOOKUP($B108,homologador[#Data],12)=0,"Não executado",VLOOKUP($B108,homologador[#Data],12)),"Não executado")</f>
        <v>Não executado</v>
      </c>
      <c r="W125" s="13"/>
    </row>
    <row r="126" spans="2:23">
      <c r="B126" s="40" t="str">
        <f>IF(ISERR(casostestes[[#This Row],[ID]]),"-",casostestes[[#This Row],[ID]])</f>
        <v>-</v>
      </c>
      <c r="C126" s="34" t="str">
        <f>IFERROR(IF(VLOOKUP($B126,casostestes[#Data],10)=0,"Não",VLOOKUP($B126,casostestes[#Data],10)), "-")</f>
        <v>-</v>
      </c>
      <c r="D126" s="35" t="str">
        <f>IFERROR(IF(VLOOKUP($B126,casostestes[#Data],2)=0,"-",VLOOKUP($B126,casostestes[#Data],2)), "-")</f>
        <v>-</v>
      </c>
      <c r="E126" s="35" t="str">
        <f>IFERROR(IF(VLOOKUP($B126,casostestes[#Data],3)=0,"-",VLOOKUP($B126,casostestes[#Data],3)), "-")</f>
        <v>-</v>
      </c>
      <c r="F126" s="35" t="str">
        <f>IFERROR(IF(VLOOKUP($B126,casostestes[#Data],4)=0,"-",VLOOKUP($B126,casostestes[#Data],4)),"-")</f>
        <v>-</v>
      </c>
      <c r="G126" s="35" t="str">
        <f>IFERROR(IF(VLOOKUP($B126,casostestes[#Data],5)=0,"-",VLOOKUP($B126,casostestes[#Data],5)),"-")</f>
        <v>-</v>
      </c>
      <c r="H126" s="35" t="str">
        <f>IFERROR(IF(VLOOKUP($B126,casostestes[#Data],6)=0,"-",VLOOKUP($B126,casostestes[#Data],6)),"-")</f>
        <v>-</v>
      </c>
      <c r="I126" s="35" t="str">
        <f>IFERROR(IF(VLOOKUP($B126,casostestes[#Data],8)=0,"-",VLOOKUP($B126,casostestes[#Data],8)),"-")</f>
        <v>-</v>
      </c>
      <c r="J126" s="35" t="str">
        <f>IFERROR(IF(VLOOKUP($B126,casostestes[#Data],9)=0,"-",VLOOKUP($B126,casostestes[#Data],9)),"-")</f>
        <v>-</v>
      </c>
      <c r="K126" s="37" t="str">
        <f>IFERROR(IF(VLOOKUP($B126,orlando[#Data],12)=0,"Não executado",VLOOKUP($B126,orlando[#Data],12)),"Não executado")</f>
        <v>Não executado</v>
      </c>
      <c r="L126" s="37" t="str">
        <f>IFERROR(IF(VLOOKUP($B126,mauricio[#Data],12)=0,"Não executado",VLOOKUP($B126,mauricio[#Data],12)),"Não executado")</f>
        <v>Não executado</v>
      </c>
      <c r="M126" s="37" t="str">
        <f>IFERROR(IF(VLOOKUP($B126,Thaisa[#Data],12)=0,"Não executado",VLOOKUP($B126,Thaisa[#Data],12)),"Não executado")</f>
        <v>Não executado</v>
      </c>
      <c r="N126" s="37" t="str">
        <f>IFERROR(IF(VLOOKUP($B126,carlos[#Data],12)=0,"Não executado",VLOOKUP($B126,carlos[#Data],12)),"Não executado")</f>
        <v>Não executado</v>
      </c>
      <c r="O126" s="37" t="str">
        <f>IFERROR(IF(VLOOKUP($B126,Alessandra[#Data],12)=0,"Não executado",VLOOKUP($B126,Alessandra[#Data],12)),"Não executado")</f>
        <v>Não executado</v>
      </c>
      <c r="P126" s="37" t="str">
        <f>IFERROR(IF(VLOOKUP($B126,AnaCarolina[#Data],12)=0,"Não executado",VLOOKUP($B126,AnaCarolina[#Data],12)),"Não executado")</f>
        <v>Não executado</v>
      </c>
      <c r="Q126" s="37" t="str">
        <f>IFERROR(IF(VLOOKUP($B126,wanei[#Data],12)=0,"Não executado",VLOOKUP($B126,wanei[#Data],12)),"Não executado")</f>
        <v>Não executado</v>
      </c>
      <c r="R126" s="37" t="str">
        <f>IFERROR(IF(VLOOKUP($B126,janaina[#Data],12)=0,"Não executado",VLOOKUP($B126,janaina[#Data],12)),"Não executado")</f>
        <v>Não executado</v>
      </c>
      <c r="S126" s="93" t="str">
        <f>IFERROR(IF(VLOOKUP($B109,andreia[#Data],12)=0,"Não executado",VLOOKUP($B109,andreia[#Data],12)),"Não executado")</f>
        <v>Não executado</v>
      </c>
      <c r="T126" s="37" t="str">
        <f>IFERROR(IF(VLOOKUP($B109,homologador[#Data],12)=0,"Não executado",VLOOKUP($B109,homologador[#Data],12)),"Não executado")</f>
        <v>Não executado</v>
      </c>
      <c r="W126" s="13"/>
    </row>
    <row r="127" spans="2:23">
      <c r="B127" s="40" t="str">
        <f>IF(ISERR(casostestes[[#This Row],[ID]]),"-",casostestes[[#This Row],[ID]])</f>
        <v>-</v>
      </c>
      <c r="C127" s="34" t="str">
        <f>IFERROR(IF(VLOOKUP($B127,casostestes[#Data],10)=0,"Não",VLOOKUP($B127,casostestes[#Data],10)), "-")</f>
        <v>-</v>
      </c>
      <c r="D127" s="35" t="str">
        <f>IFERROR(IF(VLOOKUP($B127,casostestes[#Data],2)=0,"-",VLOOKUP($B127,casostestes[#Data],2)), "-")</f>
        <v>-</v>
      </c>
      <c r="E127" s="35" t="str">
        <f>IFERROR(IF(VLOOKUP($B127,casostestes[#Data],3)=0,"-",VLOOKUP($B127,casostestes[#Data],3)), "-")</f>
        <v>-</v>
      </c>
      <c r="F127" s="35" t="str">
        <f>IFERROR(IF(VLOOKUP($B127,casostestes[#Data],4)=0,"-",VLOOKUP($B127,casostestes[#Data],4)),"-")</f>
        <v>-</v>
      </c>
      <c r="G127" s="35" t="str">
        <f>IFERROR(IF(VLOOKUP($B127,casostestes[#Data],5)=0,"-",VLOOKUP($B127,casostestes[#Data],5)),"-")</f>
        <v>-</v>
      </c>
      <c r="H127" s="35" t="str">
        <f>IFERROR(IF(VLOOKUP($B127,casostestes[#Data],6)=0,"-",VLOOKUP($B127,casostestes[#Data],6)),"-")</f>
        <v>-</v>
      </c>
      <c r="I127" s="35" t="str">
        <f>IFERROR(IF(VLOOKUP($B127,casostestes[#Data],8)=0,"-",VLOOKUP($B127,casostestes[#Data],8)),"-")</f>
        <v>-</v>
      </c>
      <c r="J127" s="35" t="str">
        <f>IFERROR(IF(VLOOKUP($B127,casostestes[#Data],9)=0,"-",VLOOKUP($B127,casostestes[#Data],9)),"-")</f>
        <v>-</v>
      </c>
      <c r="K127" s="37" t="str">
        <f>IFERROR(IF(VLOOKUP($B127,orlando[#Data],12)=0,"Não executado",VLOOKUP($B127,orlando[#Data],12)),"Não executado")</f>
        <v>Não executado</v>
      </c>
      <c r="L127" s="37" t="str">
        <f>IFERROR(IF(VLOOKUP($B127,mauricio[#Data],12)=0,"Não executado",VLOOKUP($B127,mauricio[#Data],12)),"Não executado")</f>
        <v>Não executado</v>
      </c>
      <c r="M127" s="37" t="str">
        <f>IFERROR(IF(VLOOKUP($B127,Thaisa[#Data],12)=0,"Não executado",VLOOKUP($B127,Thaisa[#Data],12)),"Não executado")</f>
        <v>Não executado</v>
      </c>
      <c r="N127" s="37" t="str">
        <f>IFERROR(IF(VLOOKUP($B127,carlos[#Data],12)=0,"Não executado",VLOOKUP($B127,carlos[#Data],12)),"Não executado")</f>
        <v>Não executado</v>
      </c>
      <c r="O127" s="37" t="str">
        <f>IFERROR(IF(VLOOKUP($B127,Alessandra[#Data],12)=0,"Não executado",VLOOKUP($B127,Alessandra[#Data],12)),"Não executado")</f>
        <v>Não executado</v>
      </c>
      <c r="P127" s="37" t="str">
        <f>IFERROR(IF(VLOOKUP($B127,AnaCarolina[#Data],12)=0,"Não executado",VLOOKUP($B127,AnaCarolina[#Data],12)),"Não executado")</f>
        <v>Não executado</v>
      </c>
      <c r="Q127" s="37" t="str">
        <f>IFERROR(IF(VLOOKUP($B127,wanei[#Data],12)=0,"Não executado",VLOOKUP($B127,wanei[#Data],12)),"Não executado")</f>
        <v>Não executado</v>
      </c>
      <c r="R127" s="37" t="str">
        <f>IFERROR(IF(VLOOKUP($B127,janaina[#Data],12)=0,"Não executado",VLOOKUP($B127,janaina[#Data],12)),"Não executado")</f>
        <v>Não executado</v>
      </c>
      <c r="S127" s="93" t="str">
        <f>IFERROR(IF(VLOOKUP($B110,andreia[#Data],12)=0,"Não executado",VLOOKUP($B110,andreia[#Data],12)),"Não executado")</f>
        <v>Não executado</v>
      </c>
      <c r="T127" s="37" t="str">
        <f>IFERROR(IF(VLOOKUP($B110,homologador[#Data],12)=0,"Não executado",VLOOKUP($B110,homologador[#Data],12)),"Não executado")</f>
        <v>Não executado</v>
      </c>
      <c r="W127" s="13"/>
    </row>
    <row r="128" spans="2:23">
      <c r="B128" s="40" t="str">
        <f>IF(ISERR(casostestes[[#This Row],[ID]]),"-",casostestes[[#This Row],[ID]])</f>
        <v>-</v>
      </c>
      <c r="C128" s="34" t="str">
        <f>IFERROR(IF(VLOOKUP($B128,casostestes[#Data],10)=0,"Não",VLOOKUP($B128,casostestes[#Data],10)), "-")</f>
        <v>-</v>
      </c>
      <c r="D128" s="35" t="str">
        <f>IFERROR(IF(VLOOKUP($B128,casostestes[#Data],2)=0,"-",VLOOKUP($B128,casostestes[#Data],2)), "-")</f>
        <v>-</v>
      </c>
      <c r="E128" s="35" t="str">
        <f>IFERROR(IF(VLOOKUP($B128,casostestes[#Data],3)=0,"-",VLOOKUP($B128,casostestes[#Data],3)), "-")</f>
        <v>-</v>
      </c>
      <c r="F128" s="35" t="str">
        <f>IFERROR(IF(VLOOKUP($B128,casostestes[#Data],4)=0,"-",VLOOKUP($B128,casostestes[#Data],4)),"-")</f>
        <v>-</v>
      </c>
      <c r="G128" s="35" t="str">
        <f>IFERROR(IF(VLOOKUP($B128,casostestes[#Data],5)=0,"-",VLOOKUP($B128,casostestes[#Data],5)),"-")</f>
        <v>-</v>
      </c>
      <c r="H128" s="35" t="str">
        <f>IFERROR(IF(VLOOKUP($B128,casostestes[#Data],6)=0,"-",VLOOKUP($B128,casostestes[#Data],6)),"-")</f>
        <v>-</v>
      </c>
      <c r="I128" s="35" t="str">
        <f>IFERROR(IF(VLOOKUP($B128,casostestes[#Data],8)=0,"-",VLOOKUP($B128,casostestes[#Data],8)),"-")</f>
        <v>-</v>
      </c>
      <c r="J128" s="35" t="str">
        <f>IFERROR(IF(VLOOKUP($B128,casostestes[#Data],9)=0,"-",VLOOKUP($B128,casostestes[#Data],9)),"-")</f>
        <v>-</v>
      </c>
      <c r="K128" s="37" t="str">
        <f>IFERROR(IF(VLOOKUP($B128,orlando[#Data],12)=0,"Não executado",VLOOKUP($B128,orlando[#Data],12)),"Não executado")</f>
        <v>Não executado</v>
      </c>
      <c r="L128" s="37" t="str">
        <f>IFERROR(IF(VLOOKUP($B128,mauricio[#Data],12)=0,"Não executado",VLOOKUP($B128,mauricio[#Data],12)),"Não executado")</f>
        <v>Não executado</v>
      </c>
      <c r="M128" s="37" t="str">
        <f>IFERROR(IF(VLOOKUP($B128,Thaisa[#Data],12)=0,"Não executado",VLOOKUP($B128,Thaisa[#Data],12)),"Não executado")</f>
        <v>Não executado</v>
      </c>
      <c r="N128" s="37" t="str">
        <f>IFERROR(IF(VLOOKUP($B128,carlos[#Data],12)=0,"Não executado",VLOOKUP($B128,carlos[#Data],12)),"Não executado")</f>
        <v>Não executado</v>
      </c>
      <c r="O128" s="37" t="str">
        <f>IFERROR(IF(VLOOKUP($B128,Alessandra[#Data],12)=0,"Não executado",VLOOKUP($B128,Alessandra[#Data],12)),"Não executado")</f>
        <v>Não executado</v>
      </c>
      <c r="P128" s="37" t="str">
        <f>IFERROR(IF(VLOOKUP($B128,AnaCarolina[#Data],12)=0,"Não executado",VLOOKUP($B128,AnaCarolina[#Data],12)),"Não executado")</f>
        <v>Não executado</v>
      </c>
      <c r="Q128" s="37" t="str">
        <f>IFERROR(IF(VLOOKUP($B128,wanei[#Data],12)=0,"Não executado",VLOOKUP($B128,wanei[#Data],12)),"Não executado")</f>
        <v>Não executado</v>
      </c>
      <c r="R128" s="37" t="str">
        <f>IFERROR(IF(VLOOKUP($B128,janaina[#Data],12)=0,"Não executado",VLOOKUP($B128,janaina[#Data],12)),"Não executado")</f>
        <v>Não executado</v>
      </c>
      <c r="S128" s="93" t="str">
        <f>IFERROR(IF(VLOOKUP($B111,andreia[#Data],12)=0,"Não executado",VLOOKUP($B111,andreia[#Data],12)),"Não executado")</f>
        <v>Não executado</v>
      </c>
      <c r="T128" s="37" t="str">
        <f>IFERROR(IF(VLOOKUP($B111,homologador[#Data],12)=0,"Não executado",VLOOKUP($B111,homologador[#Data],12)),"Não executado")</f>
        <v>Não executado</v>
      </c>
      <c r="W128" s="13"/>
    </row>
    <row r="129" spans="2:23">
      <c r="B129" s="40" t="str">
        <f>IF(ISERR(casostestes[[#This Row],[ID]]),"-",casostestes[[#This Row],[ID]])</f>
        <v>-</v>
      </c>
      <c r="C129" s="34" t="str">
        <f>IFERROR(IF(VLOOKUP($B129,casostestes[#Data],10)=0,"Não",VLOOKUP($B129,casostestes[#Data],10)), "-")</f>
        <v>-</v>
      </c>
      <c r="D129" s="35" t="str">
        <f>IFERROR(IF(VLOOKUP($B129,casostestes[#Data],2)=0,"-",VLOOKUP($B129,casostestes[#Data],2)), "-")</f>
        <v>-</v>
      </c>
      <c r="E129" s="35" t="str">
        <f>IFERROR(IF(VLOOKUP($B129,casostestes[#Data],3)=0,"-",VLOOKUP($B129,casostestes[#Data],3)), "-")</f>
        <v>-</v>
      </c>
      <c r="F129" s="35" t="str">
        <f>IFERROR(IF(VLOOKUP($B129,casostestes[#Data],4)=0,"-",VLOOKUP($B129,casostestes[#Data],4)),"-")</f>
        <v>-</v>
      </c>
      <c r="G129" s="35" t="str">
        <f>IFERROR(IF(VLOOKUP($B129,casostestes[#Data],5)=0,"-",VLOOKUP($B129,casostestes[#Data],5)),"-")</f>
        <v>-</v>
      </c>
      <c r="H129" s="35" t="str">
        <f>IFERROR(IF(VLOOKUP($B129,casostestes[#Data],6)=0,"-",VLOOKUP($B129,casostestes[#Data],6)),"-")</f>
        <v>-</v>
      </c>
      <c r="I129" s="35" t="str">
        <f>IFERROR(IF(VLOOKUP($B129,casostestes[#Data],8)=0,"-",VLOOKUP($B129,casostestes[#Data],8)),"-")</f>
        <v>-</v>
      </c>
      <c r="J129" s="35" t="str">
        <f>IFERROR(IF(VLOOKUP($B129,casostestes[#Data],9)=0,"-",VLOOKUP($B129,casostestes[#Data],9)),"-")</f>
        <v>-</v>
      </c>
      <c r="K129" s="37" t="str">
        <f>IFERROR(IF(VLOOKUP($B129,orlando[#Data],12)=0,"Não executado",VLOOKUP($B129,orlando[#Data],12)),"Não executado")</f>
        <v>Não executado</v>
      </c>
      <c r="L129" s="37" t="str">
        <f>IFERROR(IF(VLOOKUP($B129,mauricio[#Data],12)=0,"Não executado",VLOOKUP($B129,mauricio[#Data],12)),"Não executado")</f>
        <v>Não executado</v>
      </c>
      <c r="M129" s="37" t="str">
        <f>IFERROR(IF(VLOOKUP($B129,Thaisa[#Data],12)=0,"Não executado",VLOOKUP($B129,Thaisa[#Data],12)),"Não executado")</f>
        <v>Não executado</v>
      </c>
      <c r="N129" s="37" t="str">
        <f>IFERROR(IF(VLOOKUP($B129,carlos[#Data],12)=0,"Não executado",VLOOKUP($B129,carlos[#Data],12)),"Não executado")</f>
        <v>Não executado</v>
      </c>
      <c r="O129" s="37" t="str">
        <f>IFERROR(IF(VLOOKUP($B129,Alessandra[#Data],12)=0,"Não executado",VLOOKUP($B129,Alessandra[#Data],12)),"Não executado")</f>
        <v>Não executado</v>
      </c>
      <c r="P129" s="37" t="str">
        <f>IFERROR(IF(VLOOKUP($B129,AnaCarolina[#Data],12)=0,"Não executado",VLOOKUP($B129,AnaCarolina[#Data],12)),"Não executado")</f>
        <v>Não executado</v>
      </c>
      <c r="Q129" s="37" t="str">
        <f>IFERROR(IF(VLOOKUP($B129,wanei[#Data],12)=0,"Não executado",VLOOKUP($B129,wanei[#Data],12)),"Não executado")</f>
        <v>Não executado</v>
      </c>
      <c r="R129" s="37" t="str">
        <f>IFERROR(IF(VLOOKUP($B129,janaina[#Data],12)=0,"Não executado",VLOOKUP($B129,janaina[#Data],12)),"Não executado")</f>
        <v>Não executado</v>
      </c>
      <c r="S129" s="93" t="str">
        <f>IFERROR(IF(VLOOKUP($B112,andreia[#Data],12)=0,"Não executado",VLOOKUP($B112,andreia[#Data],12)),"Não executado")</f>
        <v>Não executado</v>
      </c>
      <c r="T129" s="37" t="str">
        <f>IFERROR(IF(VLOOKUP($B112,homologador[#Data],12)=0,"Não executado",VLOOKUP($B112,homologador[#Data],12)),"Não executado")</f>
        <v>Não executado</v>
      </c>
      <c r="W129" s="13"/>
    </row>
    <row r="130" spans="2:23">
      <c r="B130" s="40" t="str">
        <f>IF(ISERR(casostestes[[#This Row],[ID]]),"-",casostestes[[#This Row],[ID]])</f>
        <v>-</v>
      </c>
      <c r="C130" s="34" t="str">
        <f>IFERROR(IF(VLOOKUP($B130,casostestes[#Data],10)=0,"Não",VLOOKUP($B130,casostestes[#Data],10)), "-")</f>
        <v>-</v>
      </c>
      <c r="D130" s="35" t="str">
        <f>IFERROR(IF(VLOOKUP($B130,casostestes[#Data],2)=0,"-",VLOOKUP($B130,casostestes[#Data],2)), "-")</f>
        <v>-</v>
      </c>
      <c r="E130" s="35" t="str">
        <f>IFERROR(IF(VLOOKUP($B130,casostestes[#Data],3)=0,"-",VLOOKUP($B130,casostestes[#Data],3)), "-")</f>
        <v>-</v>
      </c>
      <c r="F130" s="35" t="str">
        <f>IFERROR(IF(VLOOKUP($B130,casostestes[#Data],4)=0,"-",VLOOKUP($B130,casostestes[#Data],4)),"-")</f>
        <v>-</v>
      </c>
      <c r="G130" s="35" t="str">
        <f>IFERROR(IF(VLOOKUP($B130,casostestes[#Data],5)=0,"-",VLOOKUP($B130,casostestes[#Data],5)),"-")</f>
        <v>-</v>
      </c>
      <c r="H130" s="35" t="str">
        <f>IFERROR(IF(VLOOKUP($B130,casostestes[#Data],6)=0,"-",VLOOKUP($B130,casostestes[#Data],6)),"-")</f>
        <v>-</v>
      </c>
      <c r="I130" s="35" t="str">
        <f>IFERROR(IF(VLOOKUP($B130,casostestes[#Data],8)=0,"-",VLOOKUP($B130,casostestes[#Data],8)),"-")</f>
        <v>-</v>
      </c>
      <c r="J130" s="35" t="str">
        <f>IFERROR(IF(VLOOKUP($B130,casostestes[#Data],9)=0,"-",VLOOKUP($B130,casostestes[#Data],9)),"-")</f>
        <v>-</v>
      </c>
      <c r="K130" s="37" t="str">
        <f>IFERROR(IF(VLOOKUP($B130,orlando[#Data],12)=0,"Não executado",VLOOKUP($B130,orlando[#Data],12)),"Não executado")</f>
        <v>Não executado</v>
      </c>
      <c r="L130" s="37" t="str">
        <f>IFERROR(IF(VLOOKUP($B130,mauricio[#Data],12)=0,"Não executado",VLOOKUP($B130,mauricio[#Data],12)),"Não executado")</f>
        <v>Não executado</v>
      </c>
      <c r="M130" s="37" t="str">
        <f>IFERROR(IF(VLOOKUP($B130,Thaisa[#Data],12)=0,"Não executado",VLOOKUP($B130,Thaisa[#Data],12)),"Não executado")</f>
        <v>Não executado</v>
      </c>
      <c r="N130" s="37" t="str">
        <f>IFERROR(IF(VLOOKUP($B130,carlos[#Data],12)=0,"Não executado",VLOOKUP($B130,carlos[#Data],12)),"Não executado")</f>
        <v>Não executado</v>
      </c>
      <c r="O130" s="37" t="str">
        <f>IFERROR(IF(VLOOKUP($B130,Alessandra[#Data],12)=0,"Não executado",VLOOKUP($B130,Alessandra[#Data],12)),"Não executado")</f>
        <v>Não executado</v>
      </c>
      <c r="P130" s="37" t="str">
        <f>IFERROR(IF(VLOOKUP($B130,AnaCarolina[#Data],12)=0,"Não executado",VLOOKUP($B130,AnaCarolina[#Data],12)),"Não executado")</f>
        <v>Não executado</v>
      </c>
      <c r="Q130" s="37" t="str">
        <f>IFERROR(IF(VLOOKUP($B130,wanei[#Data],12)=0,"Não executado",VLOOKUP($B130,wanei[#Data],12)),"Não executado")</f>
        <v>Não executado</v>
      </c>
      <c r="R130" s="37" t="str">
        <f>IFERROR(IF(VLOOKUP($B130,janaina[#Data],12)=0,"Não executado",VLOOKUP($B130,janaina[#Data],12)),"Não executado")</f>
        <v>Não executado</v>
      </c>
      <c r="S130" s="93" t="str">
        <f>IFERROR(IF(VLOOKUP($B113,andreia[#Data],12)=0,"Não executado",VLOOKUP($B113,andreia[#Data],12)),"Não executado")</f>
        <v>Não executado</v>
      </c>
      <c r="T130" s="37" t="str">
        <f>IFERROR(IF(VLOOKUP($B113,homologador[#Data],12)=0,"Não executado",VLOOKUP($B113,homologador[#Data],12)),"Não executado")</f>
        <v>Não executado</v>
      </c>
      <c r="W130" s="13"/>
    </row>
    <row r="131" spans="2:23">
      <c r="B131" s="40" t="str">
        <f>IF(ISERR(casostestes[[#This Row],[ID]]),"-",casostestes[[#This Row],[ID]])</f>
        <v>-</v>
      </c>
      <c r="C131" s="34" t="str">
        <f>IFERROR(IF(VLOOKUP($B131,casostestes[#Data],10)=0,"Não",VLOOKUP($B131,casostestes[#Data],10)), "-")</f>
        <v>-</v>
      </c>
      <c r="D131" s="35" t="str">
        <f>IFERROR(IF(VLOOKUP($B131,casostestes[#Data],2)=0,"-",VLOOKUP($B131,casostestes[#Data],2)), "-")</f>
        <v>-</v>
      </c>
      <c r="E131" s="35" t="str">
        <f>IFERROR(IF(VLOOKUP($B131,casostestes[#Data],3)=0,"-",VLOOKUP($B131,casostestes[#Data],3)), "-")</f>
        <v>-</v>
      </c>
      <c r="F131" s="35" t="str">
        <f>IFERROR(IF(VLOOKUP($B131,casostestes[#Data],4)=0,"-",VLOOKUP($B131,casostestes[#Data],4)),"-")</f>
        <v>-</v>
      </c>
      <c r="G131" s="35" t="str">
        <f>IFERROR(IF(VLOOKUP($B131,casostestes[#Data],5)=0,"-",VLOOKUP($B131,casostestes[#Data],5)),"-")</f>
        <v>-</v>
      </c>
      <c r="H131" s="35" t="str">
        <f>IFERROR(IF(VLOOKUP($B131,casostestes[#Data],6)=0,"-",VLOOKUP($B131,casostestes[#Data],6)),"-")</f>
        <v>-</v>
      </c>
      <c r="I131" s="35" t="str">
        <f>IFERROR(IF(VLOOKUP($B131,casostestes[#Data],8)=0,"-",VLOOKUP($B131,casostestes[#Data],8)),"-")</f>
        <v>-</v>
      </c>
      <c r="J131" s="35" t="str">
        <f>IFERROR(IF(VLOOKUP($B131,casostestes[#Data],9)=0,"-",VLOOKUP($B131,casostestes[#Data],9)),"-")</f>
        <v>-</v>
      </c>
      <c r="K131" s="37" t="str">
        <f>IFERROR(IF(VLOOKUP($B131,orlando[#Data],12)=0,"Não executado",VLOOKUP($B131,orlando[#Data],12)),"Não executado")</f>
        <v>Não executado</v>
      </c>
      <c r="L131" s="37" t="str">
        <f>IFERROR(IF(VLOOKUP($B131,mauricio[#Data],12)=0,"Não executado",VLOOKUP($B131,mauricio[#Data],12)),"Não executado")</f>
        <v>Não executado</v>
      </c>
      <c r="M131" s="37" t="str">
        <f>IFERROR(IF(VLOOKUP($B131,Thaisa[#Data],12)=0,"Não executado",VLOOKUP($B131,Thaisa[#Data],12)),"Não executado")</f>
        <v>Não executado</v>
      </c>
      <c r="N131" s="37" t="str">
        <f>IFERROR(IF(VLOOKUP($B131,carlos[#Data],12)=0,"Não executado",VLOOKUP($B131,carlos[#Data],12)),"Não executado")</f>
        <v>Não executado</v>
      </c>
      <c r="O131" s="37" t="str">
        <f>IFERROR(IF(VLOOKUP($B131,Alessandra[#Data],12)=0,"Não executado",VLOOKUP($B131,Alessandra[#Data],12)),"Não executado")</f>
        <v>Não executado</v>
      </c>
      <c r="P131" s="37" t="str">
        <f>IFERROR(IF(VLOOKUP($B131,AnaCarolina[#Data],12)=0,"Não executado",VLOOKUP($B131,AnaCarolina[#Data],12)),"Não executado")</f>
        <v>Não executado</v>
      </c>
      <c r="Q131" s="37" t="str">
        <f>IFERROR(IF(VLOOKUP($B131,wanei[#Data],12)=0,"Não executado",VLOOKUP($B131,wanei[#Data],12)),"Não executado")</f>
        <v>Não executado</v>
      </c>
      <c r="R131" s="37" t="str">
        <f>IFERROR(IF(VLOOKUP($B131,janaina[#Data],12)=0,"Não executado",VLOOKUP($B131,janaina[#Data],12)),"Não executado")</f>
        <v>Não executado</v>
      </c>
      <c r="S131" s="93" t="str">
        <f>IFERROR(IF(VLOOKUP($B114,andreia[#Data],12)=0,"Não executado",VLOOKUP($B114,andreia[#Data],12)),"Não executado")</f>
        <v>Não executado</v>
      </c>
      <c r="T131" s="37" t="str">
        <f>IFERROR(IF(VLOOKUP($B114,homologador[#Data],12)=0,"Não executado",VLOOKUP($B114,homologador[#Data],12)),"Não executado")</f>
        <v>Não executado</v>
      </c>
      <c r="W131" s="13"/>
    </row>
    <row r="132" spans="2:23">
      <c r="B132" s="40" t="str">
        <f>IF(ISERR(casostestes[[#This Row],[ID]]),"-",casostestes[[#This Row],[ID]])</f>
        <v>-</v>
      </c>
      <c r="C132" s="34" t="str">
        <f>IFERROR(IF(VLOOKUP($B132,casostestes[#Data],10)=0,"Não",VLOOKUP($B132,casostestes[#Data],10)), "-")</f>
        <v>-</v>
      </c>
      <c r="D132" s="35" t="str">
        <f>IFERROR(IF(VLOOKUP($B132,casostestes[#Data],2)=0,"-",VLOOKUP($B132,casostestes[#Data],2)), "-")</f>
        <v>-</v>
      </c>
      <c r="E132" s="35" t="str">
        <f>IFERROR(IF(VLOOKUP($B132,casostestes[#Data],3)=0,"-",VLOOKUP($B132,casostestes[#Data],3)), "-")</f>
        <v>-</v>
      </c>
      <c r="F132" s="35" t="str">
        <f>IFERROR(IF(VLOOKUP($B132,casostestes[#Data],4)=0,"-",VLOOKUP($B132,casostestes[#Data],4)),"-")</f>
        <v>-</v>
      </c>
      <c r="G132" s="35" t="str">
        <f>IFERROR(IF(VLOOKUP($B132,casostestes[#Data],5)=0,"-",VLOOKUP($B132,casostestes[#Data],5)),"-")</f>
        <v>-</v>
      </c>
      <c r="H132" s="35" t="str">
        <f>IFERROR(IF(VLOOKUP($B132,casostestes[#Data],6)=0,"-",VLOOKUP($B132,casostestes[#Data],6)),"-")</f>
        <v>-</v>
      </c>
      <c r="I132" s="35" t="str">
        <f>IFERROR(IF(VLOOKUP($B132,casostestes[#Data],8)=0,"-",VLOOKUP($B132,casostestes[#Data],8)),"-")</f>
        <v>-</v>
      </c>
      <c r="J132" s="35" t="str">
        <f>IFERROR(IF(VLOOKUP($B132,casostestes[#Data],9)=0,"-",VLOOKUP($B132,casostestes[#Data],9)),"-")</f>
        <v>-</v>
      </c>
      <c r="K132" s="37" t="str">
        <f>IFERROR(IF(VLOOKUP($B132,orlando[#Data],12)=0,"Não executado",VLOOKUP($B132,orlando[#Data],12)),"Não executado")</f>
        <v>Não executado</v>
      </c>
      <c r="L132" s="37" t="str">
        <f>IFERROR(IF(VLOOKUP($B132,mauricio[#Data],12)=0,"Não executado",VLOOKUP($B132,mauricio[#Data],12)),"Não executado")</f>
        <v>Não executado</v>
      </c>
      <c r="M132" s="37" t="str">
        <f>IFERROR(IF(VLOOKUP($B132,Thaisa[#Data],12)=0,"Não executado",VLOOKUP($B132,Thaisa[#Data],12)),"Não executado")</f>
        <v>Não executado</v>
      </c>
      <c r="N132" s="37" t="str">
        <f>IFERROR(IF(VLOOKUP($B132,carlos[#Data],12)=0,"Não executado",VLOOKUP($B132,carlos[#Data],12)),"Não executado")</f>
        <v>Não executado</v>
      </c>
      <c r="O132" s="37" t="str">
        <f>IFERROR(IF(VLOOKUP($B132,Alessandra[#Data],12)=0,"Não executado",VLOOKUP($B132,Alessandra[#Data],12)),"Não executado")</f>
        <v>Não executado</v>
      </c>
      <c r="P132" s="37" t="str">
        <f>IFERROR(IF(VLOOKUP($B132,AnaCarolina[#Data],12)=0,"Não executado",VLOOKUP($B132,AnaCarolina[#Data],12)),"Não executado")</f>
        <v>Não executado</v>
      </c>
      <c r="Q132" s="37" t="str">
        <f>IFERROR(IF(VLOOKUP($B132,wanei[#Data],12)=0,"Não executado",VLOOKUP($B132,wanei[#Data],12)),"Não executado")</f>
        <v>Não executado</v>
      </c>
      <c r="R132" s="37" t="str">
        <f>IFERROR(IF(VLOOKUP($B132,janaina[#Data],12)=0,"Não executado",VLOOKUP($B132,janaina[#Data],12)),"Não executado")</f>
        <v>Não executado</v>
      </c>
      <c r="S132" s="93" t="str">
        <f>IFERROR(IF(VLOOKUP($B115,andreia[#Data],12)=0,"Não executado",VLOOKUP($B115,andreia[#Data],12)),"Não executado")</f>
        <v>Não executado</v>
      </c>
      <c r="T132" s="37" t="str">
        <f>IFERROR(IF(VLOOKUP($B115,homologador[#Data],12)=0,"Não executado",VLOOKUP($B115,homologador[#Data],12)),"Não executado")</f>
        <v>Não executado</v>
      </c>
      <c r="W132" s="13"/>
    </row>
    <row r="133" spans="2:23">
      <c r="B133" s="40" t="str">
        <f>IF(ISERR(casostestes[[#This Row],[ID]]),"-",casostestes[[#This Row],[ID]])</f>
        <v>-</v>
      </c>
      <c r="C133" s="34" t="str">
        <f>IFERROR(IF(VLOOKUP($B133,casostestes[#Data],10)=0,"Não",VLOOKUP($B133,casostestes[#Data],10)), "-")</f>
        <v>-</v>
      </c>
      <c r="D133" s="35" t="str">
        <f>IFERROR(IF(VLOOKUP($B133,casostestes[#Data],2)=0,"-",VLOOKUP($B133,casostestes[#Data],2)), "-")</f>
        <v>-</v>
      </c>
      <c r="E133" s="35" t="str">
        <f>IFERROR(IF(VLOOKUP($B133,casostestes[#Data],3)=0,"-",VLOOKUP($B133,casostestes[#Data],3)), "-")</f>
        <v>-</v>
      </c>
      <c r="F133" s="35" t="str">
        <f>IFERROR(IF(VLOOKUP($B133,casostestes[#Data],4)=0,"-",VLOOKUP($B133,casostestes[#Data],4)),"-")</f>
        <v>-</v>
      </c>
      <c r="G133" s="35" t="str">
        <f>IFERROR(IF(VLOOKUP($B133,casostestes[#Data],5)=0,"-",VLOOKUP($B133,casostestes[#Data],5)),"-")</f>
        <v>-</v>
      </c>
      <c r="H133" s="35" t="str">
        <f>IFERROR(IF(VLOOKUP($B133,casostestes[#Data],6)=0,"-",VLOOKUP($B133,casostestes[#Data],6)),"-")</f>
        <v>-</v>
      </c>
      <c r="I133" s="35" t="str">
        <f>IFERROR(IF(VLOOKUP($B133,casostestes[#Data],8)=0,"-",VLOOKUP($B133,casostestes[#Data],8)),"-")</f>
        <v>-</v>
      </c>
      <c r="J133" s="35" t="str">
        <f>IFERROR(IF(VLOOKUP($B133,casostestes[#Data],9)=0,"-",VLOOKUP($B133,casostestes[#Data],9)),"-")</f>
        <v>-</v>
      </c>
      <c r="K133" s="37" t="str">
        <f>IFERROR(IF(VLOOKUP($B133,orlando[#Data],12)=0,"Não executado",VLOOKUP($B133,orlando[#Data],12)),"Não executado")</f>
        <v>Não executado</v>
      </c>
      <c r="L133" s="37" t="str">
        <f>IFERROR(IF(VLOOKUP($B133,mauricio[#Data],12)=0,"Não executado",VLOOKUP($B133,mauricio[#Data],12)),"Não executado")</f>
        <v>Não executado</v>
      </c>
      <c r="M133" s="37" t="str">
        <f>IFERROR(IF(VLOOKUP($B133,Thaisa[#Data],12)=0,"Não executado",VLOOKUP($B133,Thaisa[#Data],12)),"Não executado")</f>
        <v>Não executado</v>
      </c>
      <c r="N133" s="37" t="str">
        <f>IFERROR(IF(VLOOKUP($B133,carlos[#Data],12)=0,"Não executado",VLOOKUP($B133,carlos[#Data],12)),"Não executado")</f>
        <v>Não executado</v>
      </c>
      <c r="O133" s="37" t="str">
        <f>IFERROR(IF(VLOOKUP($B133,Alessandra[#Data],12)=0,"Não executado",VLOOKUP($B133,Alessandra[#Data],12)),"Não executado")</f>
        <v>Não executado</v>
      </c>
      <c r="P133" s="37" t="str">
        <f>IFERROR(IF(VLOOKUP($B133,AnaCarolina[#Data],12)=0,"Não executado",VLOOKUP($B133,AnaCarolina[#Data],12)),"Não executado")</f>
        <v>Não executado</v>
      </c>
      <c r="Q133" s="37" t="str">
        <f>IFERROR(IF(VLOOKUP($B133,wanei[#Data],12)=0,"Não executado",VLOOKUP($B133,wanei[#Data],12)),"Não executado")</f>
        <v>Não executado</v>
      </c>
      <c r="R133" s="37" t="str">
        <f>IFERROR(IF(VLOOKUP($B133,janaina[#Data],12)=0,"Não executado",VLOOKUP($B133,janaina[#Data],12)),"Não executado")</f>
        <v>Não executado</v>
      </c>
      <c r="S133" s="93" t="str">
        <f>IFERROR(IF(VLOOKUP($B116,andreia[#Data],12)=0,"Não executado",VLOOKUP($B116,andreia[#Data],12)),"Não executado")</f>
        <v>Não executado</v>
      </c>
      <c r="T133" s="37" t="str">
        <f>IFERROR(IF(VLOOKUP($B116,homologador[#Data],12)=0,"Não executado",VLOOKUP($B116,homologador[#Data],12)),"Não executado")</f>
        <v>Não executado</v>
      </c>
      <c r="W133" s="13"/>
    </row>
    <row r="134" spans="2:23">
      <c r="B134" s="40" t="str">
        <f>IF(ISERR(casostestes[[#This Row],[ID]]),"-",casostestes[[#This Row],[ID]])</f>
        <v>-</v>
      </c>
      <c r="C134" s="34" t="str">
        <f>IFERROR(IF(VLOOKUP($B134,casostestes[#Data],10)=0,"Não",VLOOKUP($B134,casostestes[#Data],10)), "-")</f>
        <v>-</v>
      </c>
      <c r="D134" s="35" t="str">
        <f>IFERROR(IF(VLOOKUP($B134,casostestes[#Data],2)=0,"-",VLOOKUP($B134,casostestes[#Data],2)), "-")</f>
        <v>-</v>
      </c>
      <c r="E134" s="35" t="str">
        <f>IFERROR(IF(VLOOKUP($B134,casostestes[#Data],3)=0,"-",VLOOKUP($B134,casostestes[#Data],3)), "-")</f>
        <v>-</v>
      </c>
      <c r="F134" s="35" t="str">
        <f>IFERROR(IF(VLOOKUP($B134,casostestes[#Data],4)=0,"-",VLOOKUP($B134,casostestes[#Data],4)),"-")</f>
        <v>-</v>
      </c>
      <c r="G134" s="35" t="str">
        <f>IFERROR(IF(VLOOKUP($B134,casostestes[#Data],5)=0,"-",VLOOKUP($B134,casostestes[#Data],5)),"-")</f>
        <v>-</v>
      </c>
      <c r="H134" s="35" t="str">
        <f>IFERROR(IF(VLOOKUP($B134,casostestes[#Data],6)=0,"-",VLOOKUP($B134,casostestes[#Data],6)),"-")</f>
        <v>-</v>
      </c>
      <c r="I134" s="35" t="str">
        <f>IFERROR(IF(VLOOKUP($B134,casostestes[#Data],8)=0,"-",VLOOKUP($B134,casostestes[#Data],8)),"-")</f>
        <v>-</v>
      </c>
      <c r="J134" s="35" t="str">
        <f>IFERROR(IF(VLOOKUP($B134,casostestes[#Data],9)=0,"-",VLOOKUP($B134,casostestes[#Data],9)),"-")</f>
        <v>-</v>
      </c>
      <c r="K134" s="37" t="str">
        <f>IFERROR(IF(VLOOKUP($B134,orlando[#Data],12)=0,"Não executado",VLOOKUP($B134,orlando[#Data],12)),"Não executado")</f>
        <v>Não executado</v>
      </c>
      <c r="L134" s="37" t="str">
        <f>IFERROR(IF(VLOOKUP($B134,mauricio[#Data],12)=0,"Não executado",VLOOKUP($B134,mauricio[#Data],12)),"Não executado")</f>
        <v>Não executado</v>
      </c>
      <c r="M134" s="37" t="str">
        <f>IFERROR(IF(VLOOKUP($B134,Thaisa[#Data],12)=0,"Não executado",VLOOKUP($B134,Thaisa[#Data],12)),"Não executado")</f>
        <v>Não executado</v>
      </c>
      <c r="N134" s="37" t="str">
        <f>IFERROR(IF(VLOOKUP($B134,carlos[#Data],12)=0,"Não executado",VLOOKUP($B134,carlos[#Data],12)),"Não executado")</f>
        <v>Não executado</v>
      </c>
      <c r="O134" s="37" t="str">
        <f>IFERROR(IF(VLOOKUP($B134,Alessandra[#Data],12)=0,"Não executado",VLOOKUP($B134,Alessandra[#Data],12)),"Não executado")</f>
        <v>Não executado</v>
      </c>
      <c r="P134" s="37" t="str">
        <f>IFERROR(IF(VLOOKUP($B134,AnaCarolina[#Data],12)=0,"Não executado",VLOOKUP($B134,AnaCarolina[#Data],12)),"Não executado")</f>
        <v>Não executado</v>
      </c>
      <c r="Q134" s="37" t="str">
        <f>IFERROR(IF(VLOOKUP($B134,wanei[#Data],12)=0,"Não executado",VLOOKUP($B134,wanei[#Data],12)),"Não executado")</f>
        <v>Não executado</v>
      </c>
      <c r="R134" s="37" t="str">
        <f>IFERROR(IF(VLOOKUP($B134,janaina[#Data],12)=0,"Não executado",VLOOKUP($B134,janaina[#Data],12)),"Não executado")</f>
        <v>Não executado</v>
      </c>
      <c r="S134" s="93" t="str">
        <f>IFERROR(IF(VLOOKUP($B117,andreia[#Data],12)=0,"Não executado",VLOOKUP($B117,andreia[#Data],12)),"Não executado")</f>
        <v>Não executado</v>
      </c>
      <c r="T134" s="37" t="str">
        <f>IFERROR(IF(VLOOKUP($B117,homologador[#Data],12)=0,"Não executado",VLOOKUP($B117,homologador[#Data],12)),"Não executado")</f>
        <v>Não executado</v>
      </c>
      <c r="W134" s="13"/>
    </row>
    <row r="135" spans="2:23">
      <c r="B135" s="40" t="str">
        <f>IF(ISERR(casostestes[[#This Row],[ID]]),"-",casostestes[[#This Row],[ID]])</f>
        <v>-</v>
      </c>
      <c r="C135" s="34" t="str">
        <f>IFERROR(IF(VLOOKUP($B135,casostestes[#Data],10)=0,"Não",VLOOKUP($B135,casostestes[#Data],10)), "-")</f>
        <v>-</v>
      </c>
      <c r="D135" s="35" t="str">
        <f>IFERROR(IF(VLOOKUP($B135,casostestes[#Data],2)=0,"-",VLOOKUP($B135,casostestes[#Data],2)), "-")</f>
        <v>-</v>
      </c>
      <c r="E135" s="35" t="str">
        <f>IFERROR(IF(VLOOKUP($B135,casostestes[#Data],3)=0,"-",VLOOKUP($B135,casostestes[#Data],3)), "-")</f>
        <v>-</v>
      </c>
      <c r="F135" s="35" t="str">
        <f>IFERROR(IF(VLOOKUP($B135,casostestes[#Data],4)=0,"-",VLOOKUP($B135,casostestes[#Data],4)),"-")</f>
        <v>-</v>
      </c>
      <c r="G135" s="35" t="str">
        <f>IFERROR(IF(VLOOKUP($B135,casostestes[#Data],5)=0,"-",VLOOKUP($B135,casostestes[#Data],5)),"-")</f>
        <v>-</v>
      </c>
      <c r="H135" s="35" t="str">
        <f>IFERROR(IF(VLOOKUP($B135,casostestes[#Data],6)=0,"-",VLOOKUP($B135,casostestes[#Data],6)),"-")</f>
        <v>-</v>
      </c>
      <c r="I135" s="35" t="str">
        <f>IFERROR(IF(VLOOKUP($B135,casostestes[#Data],8)=0,"-",VLOOKUP($B135,casostestes[#Data],8)),"-")</f>
        <v>-</v>
      </c>
      <c r="J135" s="35" t="str">
        <f>IFERROR(IF(VLOOKUP($B135,casostestes[#Data],9)=0,"-",VLOOKUP($B135,casostestes[#Data],9)),"-")</f>
        <v>-</v>
      </c>
      <c r="K135" s="37" t="str">
        <f>IFERROR(IF(VLOOKUP($B135,orlando[#Data],12)=0,"Não executado",VLOOKUP($B135,orlando[#Data],12)),"Não executado")</f>
        <v>Não executado</v>
      </c>
      <c r="L135" s="37" t="str">
        <f>IFERROR(IF(VLOOKUP($B135,mauricio[#Data],12)=0,"Não executado",VLOOKUP($B135,mauricio[#Data],12)),"Não executado")</f>
        <v>Não executado</v>
      </c>
      <c r="M135" s="37" t="str">
        <f>IFERROR(IF(VLOOKUP($B135,Thaisa[#Data],12)=0,"Não executado",VLOOKUP($B135,Thaisa[#Data],12)),"Não executado")</f>
        <v>Não executado</v>
      </c>
      <c r="N135" s="37" t="str">
        <f>IFERROR(IF(VLOOKUP($B135,carlos[#Data],12)=0,"Não executado",VLOOKUP($B135,carlos[#Data],12)),"Não executado")</f>
        <v>Não executado</v>
      </c>
      <c r="O135" s="37" t="str">
        <f>IFERROR(IF(VLOOKUP($B135,Alessandra[#Data],12)=0,"Não executado",VLOOKUP($B135,Alessandra[#Data],12)),"Não executado")</f>
        <v>Não executado</v>
      </c>
      <c r="P135" s="37" t="str">
        <f>IFERROR(IF(VLOOKUP($B135,AnaCarolina[#Data],12)=0,"Não executado",VLOOKUP($B135,AnaCarolina[#Data],12)),"Não executado")</f>
        <v>Não executado</v>
      </c>
      <c r="Q135" s="37" t="str">
        <f>IFERROR(IF(VLOOKUP($B135,wanei[#Data],12)=0,"Não executado",VLOOKUP($B135,wanei[#Data],12)),"Não executado")</f>
        <v>Não executado</v>
      </c>
      <c r="R135" s="37" t="str">
        <f>IFERROR(IF(VLOOKUP($B135,janaina[#Data],12)=0,"Não executado",VLOOKUP($B135,janaina[#Data],12)),"Não executado")</f>
        <v>Não executado</v>
      </c>
      <c r="S135" s="93" t="str">
        <f>IFERROR(IF(VLOOKUP($B118,andreia[#Data],12)=0,"Não executado",VLOOKUP($B118,andreia[#Data],12)),"Não executado")</f>
        <v>Não executado</v>
      </c>
      <c r="T135" s="37" t="str">
        <f>IFERROR(IF(VLOOKUP($B118,homologador[#Data],12)=0,"Não executado",VLOOKUP($B118,homologador[#Data],12)),"Não executado")</f>
        <v>Não executado</v>
      </c>
      <c r="W135" s="13"/>
    </row>
    <row r="136" spans="2:23">
      <c r="B136" s="40" t="str">
        <f>IF(ISERR(casostestes[[#This Row],[ID]]),"-",casostestes[[#This Row],[ID]])</f>
        <v>-</v>
      </c>
      <c r="C136" s="34" t="str">
        <f>IFERROR(IF(VLOOKUP($B136,casostestes[#Data],10)=0,"Não",VLOOKUP($B136,casostestes[#Data],10)), "-")</f>
        <v>-</v>
      </c>
      <c r="D136" s="35" t="str">
        <f>IFERROR(IF(VLOOKUP($B136,casostestes[#Data],2)=0,"-",VLOOKUP($B136,casostestes[#Data],2)), "-")</f>
        <v>-</v>
      </c>
      <c r="E136" s="35" t="str">
        <f>IFERROR(IF(VLOOKUP($B136,casostestes[#Data],3)=0,"-",VLOOKUP($B136,casostestes[#Data],3)), "-")</f>
        <v>-</v>
      </c>
      <c r="F136" s="35" t="str">
        <f>IFERROR(IF(VLOOKUP($B136,casostestes[#Data],4)=0,"-",VLOOKUP($B136,casostestes[#Data],4)),"-")</f>
        <v>-</v>
      </c>
      <c r="G136" s="35" t="str">
        <f>IFERROR(IF(VLOOKUP($B136,casostestes[#Data],5)=0,"-",VLOOKUP($B136,casostestes[#Data],5)),"-")</f>
        <v>-</v>
      </c>
      <c r="H136" s="35" t="str">
        <f>IFERROR(IF(VLOOKUP($B136,casostestes[#Data],6)=0,"-",VLOOKUP($B136,casostestes[#Data],6)),"-")</f>
        <v>-</v>
      </c>
      <c r="I136" s="35" t="str">
        <f>IFERROR(IF(VLOOKUP($B136,casostestes[#Data],8)=0,"-",VLOOKUP($B136,casostestes[#Data],8)),"-")</f>
        <v>-</v>
      </c>
      <c r="J136" s="35" t="str">
        <f>IFERROR(IF(VLOOKUP($B136,casostestes[#Data],9)=0,"-",VLOOKUP($B136,casostestes[#Data],9)),"-")</f>
        <v>-</v>
      </c>
      <c r="K136" s="37" t="str">
        <f>IFERROR(IF(VLOOKUP($B136,orlando[#Data],12)=0,"Não executado",VLOOKUP($B136,orlando[#Data],12)),"Não executado")</f>
        <v>Não executado</v>
      </c>
      <c r="L136" s="37" t="str">
        <f>IFERROR(IF(VLOOKUP($B136,mauricio[#Data],12)=0,"Não executado",VLOOKUP($B136,mauricio[#Data],12)),"Não executado")</f>
        <v>Não executado</v>
      </c>
      <c r="M136" s="37" t="str">
        <f>IFERROR(IF(VLOOKUP($B136,Thaisa[#Data],12)=0,"Não executado",VLOOKUP($B136,Thaisa[#Data],12)),"Não executado")</f>
        <v>Não executado</v>
      </c>
      <c r="N136" s="37" t="str">
        <f>IFERROR(IF(VLOOKUP($B136,carlos[#Data],12)=0,"Não executado",VLOOKUP($B136,carlos[#Data],12)),"Não executado")</f>
        <v>Não executado</v>
      </c>
      <c r="O136" s="37" t="str">
        <f>IFERROR(IF(VLOOKUP($B136,Alessandra[#Data],12)=0,"Não executado",VLOOKUP($B136,Alessandra[#Data],12)),"Não executado")</f>
        <v>Não executado</v>
      </c>
      <c r="P136" s="37" t="str">
        <f>IFERROR(IF(VLOOKUP($B136,AnaCarolina[#Data],12)=0,"Não executado",VLOOKUP($B136,AnaCarolina[#Data],12)),"Não executado")</f>
        <v>Não executado</v>
      </c>
      <c r="Q136" s="37" t="str">
        <f>IFERROR(IF(VLOOKUP($B136,wanei[#Data],12)=0,"Não executado",VLOOKUP($B136,wanei[#Data],12)),"Não executado")</f>
        <v>Não executado</v>
      </c>
      <c r="R136" s="37" t="str">
        <f>IFERROR(IF(VLOOKUP($B136,janaina[#Data],12)=0,"Não executado",VLOOKUP($B136,janaina[#Data],12)),"Não executado")</f>
        <v>Não executado</v>
      </c>
      <c r="S136" s="93" t="str">
        <f>IFERROR(IF(VLOOKUP($B119,andreia[#Data],12)=0,"Não executado",VLOOKUP($B119,andreia[#Data],12)),"Não executado")</f>
        <v>Não executado</v>
      </c>
      <c r="T136" s="37" t="str">
        <f>IFERROR(IF(VLOOKUP($B119,homologador[#Data],12)=0,"Não executado",VLOOKUP($B119,homologador[#Data],12)),"Não executado")</f>
        <v>Não executado</v>
      </c>
      <c r="W136" s="13"/>
    </row>
    <row r="137" spans="2:23">
      <c r="B137" s="40" t="str">
        <f>IF(ISERR(casostestes[[#This Row],[ID]]),"-",casostestes[[#This Row],[ID]])</f>
        <v>-</v>
      </c>
      <c r="C137" s="34" t="str">
        <f>IFERROR(IF(VLOOKUP($B137,casostestes[#Data],10)=0,"Não",VLOOKUP($B137,casostestes[#Data],10)), "-")</f>
        <v>-</v>
      </c>
      <c r="D137" s="35" t="str">
        <f>IFERROR(IF(VLOOKUP($B137,casostestes[#Data],2)=0,"-",VLOOKUP($B137,casostestes[#Data],2)), "-")</f>
        <v>-</v>
      </c>
      <c r="E137" s="35" t="str">
        <f>IFERROR(IF(VLOOKUP($B137,casostestes[#Data],3)=0,"-",VLOOKUP($B137,casostestes[#Data],3)), "-")</f>
        <v>-</v>
      </c>
      <c r="F137" s="35" t="str">
        <f>IFERROR(IF(VLOOKUP($B137,casostestes[#Data],4)=0,"-",VLOOKUP($B137,casostestes[#Data],4)),"-")</f>
        <v>-</v>
      </c>
      <c r="G137" s="35" t="str">
        <f>IFERROR(IF(VLOOKUP($B137,casostestes[#Data],5)=0,"-",VLOOKUP($B137,casostestes[#Data],5)),"-")</f>
        <v>-</v>
      </c>
      <c r="H137" s="35" t="str">
        <f>IFERROR(IF(VLOOKUP($B137,casostestes[#Data],6)=0,"-",VLOOKUP($B137,casostestes[#Data],6)),"-")</f>
        <v>-</v>
      </c>
      <c r="I137" s="35" t="str">
        <f>IFERROR(IF(VLOOKUP($B137,casostestes[#Data],8)=0,"-",VLOOKUP($B137,casostestes[#Data],8)),"-")</f>
        <v>-</v>
      </c>
      <c r="J137" s="35" t="str">
        <f>IFERROR(IF(VLOOKUP($B137,casostestes[#Data],9)=0,"-",VLOOKUP($B137,casostestes[#Data],9)),"-")</f>
        <v>-</v>
      </c>
      <c r="K137" s="37" t="str">
        <f>IFERROR(IF(VLOOKUP($B137,orlando[#Data],12)=0,"Não executado",VLOOKUP($B137,orlando[#Data],12)),"Não executado")</f>
        <v>Não executado</v>
      </c>
      <c r="L137" s="37" t="str">
        <f>IFERROR(IF(VLOOKUP($B137,mauricio[#Data],12)=0,"Não executado",VLOOKUP($B137,mauricio[#Data],12)),"Não executado")</f>
        <v>Não executado</v>
      </c>
      <c r="M137" s="37" t="str">
        <f>IFERROR(IF(VLOOKUP($B137,Thaisa[#Data],12)=0,"Não executado",VLOOKUP($B137,Thaisa[#Data],12)),"Não executado")</f>
        <v>Não executado</v>
      </c>
      <c r="N137" s="37" t="str">
        <f>IFERROR(IF(VLOOKUP($B137,carlos[#Data],12)=0,"Não executado",VLOOKUP($B137,carlos[#Data],12)),"Não executado")</f>
        <v>Não executado</v>
      </c>
      <c r="O137" s="37" t="str">
        <f>IFERROR(IF(VLOOKUP($B137,Alessandra[#Data],12)=0,"Não executado",VLOOKUP($B137,Alessandra[#Data],12)),"Não executado")</f>
        <v>Não executado</v>
      </c>
      <c r="P137" s="37" t="str">
        <f>IFERROR(IF(VLOOKUP($B137,AnaCarolina[#Data],12)=0,"Não executado",VLOOKUP($B137,AnaCarolina[#Data],12)),"Não executado")</f>
        <v>Não executado</v>
      </c>
      <c r="Q137" s="37" t="str">
        <f>IFERROR(IF(VLOOKUP($B137,wanei[#Data],12)=0,"Não executado",VLOOKUP($B137,wanei[#Data],12)),"Não executado")</f>
        <v>Não executado</v>
      </c>
      <c r="R137" s="37" t="str">
        <f>IFERROR(IF(VLOOKUP($B137,janaina[#Data],12)=0,"Não executado",VLOOKUP($B137,janaina[#Data],12)),"Não executado")</f>
        <v>Não executado</v>
      </c>
      <c r="S137" s="93" t="str">
        <f>IFERROR(IF(VLOOKUP($B120,andreia[#Data],12)=0,"Não executado",VLOOKUP($B120,andreia[#Data],12)),"Não executado")</f>
        <v>Não executado</v>
      </c>
      <c r="T137" s="37" t="str">
        <f>IFERROR(IF(VLOOKUP($B120,homologador[#Data],12)=0,"Não executado",VLOOKUP($B120,homologador[#Data],12)),"Não executado")</f>
        <v>Não executado</v>
      </c>
      <c r="W137" s="13"/>
    </row>
    <row r="138" spans="2:23">
      <c r="B138" s="40" t="str">
        <f>IF(ISERR(casostestes[[#This Row],[ID]]),"-",casostestes[[#This Row],[ID]])</f>
        <v>-</v>
      </c>
      <c r="C138" s="34" t="str">
        <f>IFERROR(IF(VLOOKUP($B138,casostestes[#Data],10)=0,"Não",VLOOKUP($B138,casostestes[#Data],10)), "-")</f>
        <v>-</v>
      </c>
      <c r="D138" s="35" t="str">
        <f>IFERROR(IF(VLOOKUP($B138,casostestes[#Data],2)=0,"-",VLOOKUP($B138,casostestes[#Data],2)), "-")</f>
        <v>-</v>
      </c>
      <c r="E138" s="35" t="str">
        <f>IFERROR(IF(VLOOKUP($B138,casostestes[#Data],3)=0,"-",VLOOKUP($B138,casostestes[#Data],3)), "-")</f>
        <v>-</v>
      </c>
      <c r="F138" s="35" t="str">
        <f>IFERROR(IF(VLOOKUP($B138,casostestes[#Data],4)=0,"-",VLOOKUP($B138,casostestes[#Data],4)),"-")</f>
        <v>-</v>
      </c>
      <c r="G138" s="35" t="str">
        <f>IFERROR(IF(VLOOKUP($B138,casostestes[#Data],5)=0,"-",VLOOKUP($B138,casostestes[#Data],5)),"-")</f>
        <v>-</v>
      </c>
      <c r="H138" s="35" t="str">
        <f>IFERROR(IF(VLOOKUP($B138,casostestes[#Data],6)=0,"-",VLOOKUP($B138,casostestes[#Data],6)),"-")</f>
        <v>-</v>
      </c>
      <c r="I138" s="35" t="str">
        <f>IFERROR(IF(VLOOKUP($B138,casostestes[#Data],8)=0,"-",VLOOKUP($B138,casostestes[#Data],8)),"-")</f>
        <v>-</v>
      </c>
      <c r="J138" s="35" t="str">
        <f>IFERROR(IF(VLOOKUP($B138,casostestes[#Data],9)=0,"-",VLOOKUP($B138,casostestes[#Data],9)),"-")</f>
        <v>-</v>
      </c>
      <c r="K138" s="37" t="str">
        <f>IFERROR(IF(VLOOKUP($B138,orlando[#Data],12)=0,"Não executado",VLOOKUP($B138,orlando[#Data],12)),"Não executado")</f>
        <v>Não executado</v>
      </c>
      <c r="L138" s="37" t="str">
        <f>IFERROR(IF(VLOOKUP($B138,mauricio[#Data],12)=0,"Não executado",VLOOKUP($B138,mauricio[#Data],12)),"Não executado")</f>
        <v>Não executado</v>
      </c>
      <c r="M138" s="37" t="str">
        <f>IFERROR(IF(VLOOKUP($B138,Thaisa[#Data],12)=0,"Não executado",VLOOKUP($B138,Thaisa[#Data],12)),"Não executado")</f>
        <v>Não executado</v>
      </c>
      <c r="N138" s="37" t="str">
        <f>IFERROR(IF(VLOOKUP($B138,carlos[#Data],12)=0,"Não executado",VLOOKUP($B138,carlos[#Data],12)),"Não executado")</f>
        <v>Não executado</v>
      </c>
      <c r="O138" s="37" t="str">
        <f>IFERROR(IF(VLOOKUP($B138,Alessandra[#Data],12)=0,"Não executado",VLOOKUP($B138,Alessandra[#Data],12)),"Não executado")</f>
        <v>Não executado</v>
      </c>
      <c r="P138" s="37" t="str">
        <f>IFERROR(IF(VLOOKUP($B138,AnaCarolina[#Data],12)=0,"Não executado",VLOOKUP($B138,AnaCarolina[#Data],12)),"Não executado")</f>
        <v>Não executado</v>
      </c>
      <c r="Q138" s="37" t="str">
        <f>IFERROR(IF(VLOOKUP($B138,wanei[#Data],12)=0,"Não executado",VLOOKUP($B138,wanei[#Data],12)),"Não executado")</f>
        <v>Não executado</v>
      </c>
      <c r="R138" s="37" t="str">
        <f>IFERROR(IF(VLOOKUP($B138,janaina[#Data],12)=0,"Não executado",VLOOKUP($B138,janaina[#Data],12)),"Não executado")</f>
        <v>Não executado</v>
      </c>
      <c r="S138" s="93" t="str">
        <f>IFERROR(IF(VLOOKUP($B121,andreia[#Data],12)=0,"Não executado",VLOOKUP($B121,andreia[#Data],12)),"Não executado")</f>
        <v>Não executado</v>
      </c>
      <c r="T138" s="37" t="str">
        <f>IFERROR(IF(VLOOKUP($B121,homologador[#Data],12)=0,"Não executado",VLOOKUP($B121,homologador[#Data],12)),"Não executado")</f>
        <v>Não executado</v>
      </c>
      <c r="W138" s="13"/>
    </row>
    <row r="139" spans="2:23">
      <c r="B139" s="40" t="str">
        <f>IF(ISERR(casostestes[[#This Row],[ID]]),"-",casostestes[[#This Row],[ID]])</f>
        <v>-</v>
      </c>
      <c r="C139" s="34" t="str">
        <f>IFERROR(IF(VLOOKUP($B139,casostestes[#Data],10)=0,"Não",VLOOKUP($B139,casostestes[#Data],10)), "-")</f>
        <v>-</v>
      </c>
      <c r="D139" s="35" t="str">
        <f>IFERROR(IF(VLOOKUP($B139,casostestes[#Data],2)=0,"-",VLOOKUP($B139,casostestes[#Data],2)), "-")</f>
        <v>-</v>
      </c>
      <c r="E139" s="35" t="str">
        <f>IFERROR(IF(VLOOKUP($B139,casostestes[#Data],3)=0,"-",VLOOKUP($B139,casostestes[#Data],3)), "-")</f>
        <v>-</v>
      </c>
      <c r="F139" s="35" t="str">
        <f>IFERROR(IF(VLOOKUP($B139,casostestes[#Data],4)=0,"-",VLOOKUP($B139,casostestes[#Data],4)),"-")</f>
        <v>-</v>
      </c>
      <c r="G139" s="35" t="str">
        <f>IFERROR(IF(VLOOKUP($B139,casostestes[#Data],5)=0,"-",VLOOKUP($B139,casostestes[#Data],5)),"-")</f>
        <v>-</v>
      </c>
      <c r="H139" s="35" t="str">
        <f>IFERROR(IF(VLOOKUP($B139,casostestes[#Data],6)=0,"-",VLOOKUP($B139,casostestes[#Data],6)),"-")</f>
        <v>-</v>
      </c>
      <c r="I139" s="35" t="str">
        <f>IFERROR(IF(VLOOKUP($B139,casostestes[#Data],8)=0,"-",VLOOKUP($B139,casostestes[#Data],8)),"-")</f>
        <v>-</v>
      </c>
      <c r="J139" s="35" t="str">
        <f>IFERROR(IF(VLOOKUP($B139,casostestes[#Data],9)=0,"-",VLOOKUP($B139,casostestes[#Data],9)),"-")</f>
        <v>-</v>
      </c>
      <c r="K139" s="37" t="str">
        <f>IFERROR(IF(VLOOKUP($B139,orlando[#Data],12)=0,"Não executado",VLOOKUP($B139,orlando[#Data],12)),"Não executado")</f>
        <v>Não executado</v>
      </c>
      <c r="L139" s="37" t="str">
        <f>IFERROR(IF(VLOOKUP($B139,mauricio[#Data],12)=0,"Não executado",VLOOKUP($B139,mauricio[#Data],12)),"Não executado")</f>
        <v>Não executado</v>
      </c>
      <c r="M139" s="37" t="str">
        <f>IFERROR(IF(VLOOKUP($B139,Thaisa[#Data],12)=0,"Não executado",VLOOKUP($B139,Thaisa[#Data],12)),"Não executado")</f>
        <v>Não executado</v>
      </c>
      <c r="N139" s="37" t="str">
        <f>IFERROR(IF(VLOOKUP($B139,carlos[#Data],12)=0,"Não executado",VLOOKUP($B139,carlos[#Data],12)),"Não executado")</f>
        <v>Não executado</v>
      </c>
      <c r="O139" s="37" t="str">
        <f>IFERROR(IF(VLOOKUP($B139,Alessandra[#Data],12)=0,"Não executado",VLOOKUP($B139,Alessandra[#Data],12)),"Não executado")</f>
        <v>Não executado</v>
      </c>
      <c r="P139" s="37" t="str">
        <f>IFERROR(IF(VLOOKUP($B139,AnaCarolina[#Data],12)=0,"Não executado",VLOOKUP($B139,AnaCarolina[#Data],12)),"Não executado")</f>
        <v>Não executado</v>
      </c>
      <c r="Q139" s="37" t="str">
        <f>IFERROR(IF(VLOOKUP($B139,wanei[#Data],12)=0,"Não executado",VLOOKUP($B139,wanei[#Data],12)),"Não executado")</f>
        <v>Não executado</v>
      </c>
      <c r="R139" s="37" t="str">
        <f>IFERROR(IF(VLOOKUP($B139,janaina[#Data],12)=0,"Não executado",VLOOKUP($B139,janaina[#Data],12)),"Não executado")</f>
        <v>Não executado</v>
      </c>
      <c r="S139" s="93" t="str">
        <f>IFERROR(IF(VLOOKUP($B122,andreia[#Data],12)=0,"Não executado",VLOOKUP($B122,andreia[#Data],12)),"Não executado")</f>
        <v>Não executado</v>
      </c>
      <c r="T139" s="37" t="str">
        <f>IFERROR(IF(VLOOKUP($B122,homologador[#Data],12)=0,"Não executado",VLOOKUP($B122,homologador[#Data],12)),"Não executado")</f>
        <v>Não executado</v>
      </c>
      <c r="W139" s="13"/>
    </row>
    <row r="140" spans="2:23">
      <c r="B140" s="40" t="str">
        <f>IF(ISERR(casostestes[[#This Row],[ID]]),"-",casostestes[[#This Row],[ID]])</f>
        <v>-</v>
      </c>
      <c r="C140" s="34" t="str">
        <f>IFERROR(IF(VLOOKUP($B140,casostestes[#Data],10)=0,"Não",VLOOKUP($B140,casostestes[#Data],10)), "-")</f>
        <v>-</v>
      </c>
      <c r="D140" s="35" t="str">
        <f>IFERROR(IF(VLOOKUP($B140,casostestes[#Data],2)=0,"-",VLOOKUP($B140,casostestes[#Data],2)), "-")</f>
        <v>-</v>
      </c>
      <c r="E140" s="35" t="str">
        <f>IFERROR(IF(VLOOKUP($B140,casostestes[#Data],3)=0,"-",VLOOKUP($B140,casostestes[#Data],3)), "-")</f>
        <v>-</v>
      </c>
      <c r="F140" s="35" t="str">
        <f>IFERROR(IF(VLOOKUP($B140,casostestes[#Data],4)=0,"-",VLOOKUP($B140,casostestes[#Data],4)),"-")</f>
        <v>-</v>
      </c>
      <c r="G140" s="35" t="str">
        <f>IFERROR(IF(VLOOKUP($B140,casostestes[#Data],5)=0,"-",VLOOKUP($B140,casostestes[#Data],5)),"-")</f>
        <v>-</v>
      </c>
      <c r="H140" s="35" t="str">
        <f>IFERROR(IF(VLOOKUP($B140,casostestes[#Data],6)=0,"-",VLOOKUP($B140,casostestes[#Data],6)),"-")</f>
        <v>-</v>
      </c>
      <c r="I140" s="35" t="str">
        <f>IFERROR(IF(VLOOKUP($B140,casostestes[#Data],8)=0,"-",VLOOKUP($B140,casostestes[#Data],8)),"-")</f>
        <v>-</v>
      </c>
      <c r="J140" s="35" t="str">
        <f>IFERROR(IF(VLOOKUP($B140,casostestes[#Data],9)=0,"-",VLOOKUP($B140,casostestes[#Data],9)),"-")</f>
        <v>-</v>
      </c>
      <c r="K140" s="37" t="str">
        <f>IFERROR(IF(VLOOKUP($B140,orlando[#Data],12)=0,"Não executado",VLOOKUP($B140,orlando[#Data],12)),"Não executado")</f>
        <v>Não executado</v>
      </c>
      <c r="L140" s="37" t="str">
        <f>IFERROR(IF(VLOOKUP($B140,mauricio[#Data],12)=0,"Não executado",VLOOKUP($B140,mauricio[#Data],12)),"Não executado")</f>
        <v>Não executado</v>
      </c>
      <c r="M140" s="37" t="str">
        <f>IFERROR(IF(VLOOKUP($B140,Thaisa[#Data],12)=0,"Não executado",VLOOKUP($B140,Thaisa[#Data],12)),"Não executado")</f>
        <v>Não executado</v>
      </c>
      <c r="N140" s="37" t="str">
        <f>IFERROR(IF(VLOOKUP($B140,carlos[#Data],12)=0,"Não executado",VLOOKUP($B140,carlos[#Data],12)),"Não executado")</f>
        <v>Não executado</v>
      </c>
      <c r="O140" s="37" t="str">
        <f>IFERROR(IF(VLOOKUP($B140,Alessandra[#Data],12)=0,"Não executado",VLOOKUP($B140,Alessandra[#Data],12)),"Não executado")</f>
        <v>Não executado</v>
      </c>
      <c r="P140" s="37" t="str">
        <f>IFERROR(IF(VLOOKUP($B140,AnaCarolina[#Data],12)=0,"Não executado",VLOOKUP($B140,AnaCarolina[#Data],12)),"Não executado")</f>
        <v>Não executado</v>
      </c>
      <c r="Q140" s="37" t="str">
        <f>IFERROR(IF(VLOOKUP($B140,wanei[#Data],12)=0,"Não executado",VLOOKUP($B140,wanei[#Data],12)),"Não executado")</f>
        <v>Não executado</v>
      </c>
      <c r="R140" s="37" t="str">
        <f>IFERROR(IF(VLOOKUP($B140,janaina[#Data],12)=0,"Não executado",VLOOKUP($B140,janaina[#Data],12)),"Não executado")</f>
        <v>Não executado</v>
      </c>
      <c r="S140" s="93" t="str">
        <f>IFERROR(IF(VLOOKUP($B123,andreia[#Data],12)=0,"Não executado",VLOOKUP($B123,andreia[#Data],12)),"Não executado")</f>
        <v>Não executado</v>
      </c>
      <c r="T140" s="37" t="str">
        <f>IFERROR(IF(VLOOKUP($B123,homologador[#Data],12)=0,"Não executado",VLOOKUP($B123,homologador[#Data],12)),"Não executado")</f>
        <v>Não executado</v>
      </c>
      <c r="W140" s="13"/>
    </row>
    <row r="141" spans="2:23">
      <c r="B141" s="40" t="str">
        <f>IF(ISERR(casostestes[[#This Row],[ID]]),"-",casostestes[[#This Row],[ID]])</f>
        <v>-</v>
      </c>
      <c r="C141" s="34" t="str">
        <f>IFERROR(IF(VLOOKUP($B141,casostestes[#Data],10)=0,"Não",VLOOKUP($B141,casostestes[#Data],10)), "-")</f>
        <v>-</v>
      </c>
      <c r="D141" s="35" t="str">
        <f>IFERROR(IF(VLOOKUP($B141,casostestes[#Data],2)=0,"-",VLOOKUP($B141,casostestes[#Data],2)), "-")</f>
        <v>-</v>
      </c>
      <c r="E141" s="35" t="str">
        <f>IFERROR(IF(VLOOKUP($B141,casostestes[#Data],3)=0,"-",VLOOKUP($B141,casostestes[#Data],3)), "-")</f>
        <v>-</v>
      </c>
      <c r="F141" s="35" t="str">
        <f>IFERROR(IF(VLOOKUP($B141,casostestes[#Data],4)=0,"-",VLOOKUP($B141,casostestes[#Data],4)),"-")</f>
        <v>-</v>
      </c>
      <c r="G141" s="35" t="str">
        <f>IFERROR(IF(VLOOKUP($B141,casostestes[#Data],5)=0,"-",VLOOKUP($B141,casostestes[#Data],5)),"-")</f>
        <v>-</v>
      </c>
      <c r="H141" s="35" t="str">
        <f>IFERROR(IF(VLOOKUP($B141,casostestes[#Data],6)=0,"-",VLOOKUP($B141,casostestes[#Data],6)),"-")</f>
        <v>-</v>
      </c>
      <c r="I141" s="35" t="str">
        <f>IFERROR(IF(VLOOKUP($B141,casostestes[#Data],8)=0,"-",VLOOKUP($B141,casostestes[#Data],8)),"-")</f>
        <v>-</v>
      </c>
      <c r="J141" s="35" t="str">
        <f>IFERROR(IF(VLOOKUP($B141,casostestes[#Data],9)=0,"-",VLOOKUP($B141,casostestes[#Data],9)),"-")</f>
        <v>-</v>
      </c>
      <c r="K141" s="37" t="str">
        <f>IFERROR(IF(VLOOKUP($B141,orlando[#Data],12)=0,"Não executado",VLOOKUP($B141,orlando[#Data],12)),"Não executado")</f>
        <v>Não executado</v>
      </c>
      <c r="L141" s="37" t="str">
        <f>IFERROR(IF(VLOOKUP($B141,mauricio[#Data],12)=0,"Não executado",VLOOKUP($B141,mauricio[#Data],12)),"Não executado")</f>
        <v>Não executado</v>
      </c>
      <c r="M141" s="37" t="str">
        <f>IFERROR(IF(VLOOKUP($B141,Thaisa[#Data],12)=0,"Não executado",VLOOKUP($B141,Thaisa[#Data],12)),"Não executado")</f>
        <v>Não executado</v>
      </c>
      <c r="N141" s="37" t="str">
        <f>IFERROR(IF(VLOOKUP($B141,carlos[#Data],12)=0,"Não executado",VLOOKUP($B141,carlos[#Data],12)),"Não executado")</f>
        <v>Não executado</v>
      </c>
      <c r="O141" s="37" t="str">
        <f>IFERROR(IF(VLOOKUP($B141,Alessandra[#Data],12)=0,"Não executado",VLOOKUP($B141,Alessandra[#Data],12)),"Não executado")</f>
        <v>Não executado</v>
      </c>
      <c r="P141" s="37" t="str">
        <f>IFERROR(IF(VLOOKUP($B141,AnaCarolina[#Data],12)=0,"Não executado",VLOOKUP($B141,AnaCarolina[#Data],12)),"Não executado")</f>
        <v>Não executado</v>
      </c>
      <c r="Q141" s="37" t="str">
        <f>IFERROR(IF(VLOOKUP($B141,wanei[#Data],12)=0,"Não executado",VLOOKUP($B141,wanei[#Data],12)),"Não executado")</f>
        <v>Não executado</v>
      </c>
      <c r="R141" s="37" t="str">
        <f>IFERROR(IF(VLOOKUP($B141,janaina[#Data],12)=0,"Não executado",VLOOKUP($B141,janaina[#Data],12)),"Não executado")</f>
        <v>Não executado</v>
      </c>
      <c r="S141" s="93" t="str">
        <f>IFERROR(IF(VLOOKUP($B124,andreia[#Data],12)=0,"Não executado",VLOOKUP($B124,andreia[#Data],12)),"Não executado")</f>
        <v>Não executado</v>
      </c>
      <c r="T141" s="37" t="str">
        <f>IFERROR(IF(VLOOKUP($B124,homologador[#Data],12)=0,"Não executado",VLOOKUP($B124,homologador[#Data],12)),"Não executado")</f>
        <v>Não executado</v>
      </c>
      <c r="W141" s="13"/>
    </row>
    <row r="142" spans="2:23">
      <c r="B142" s="40" t="str">
        <f>IF(ISERR(casostestes[[#This Row],[ID]]),"-",casostestes[[#This Row],[ID]])</f>
        <v>-</v>
      </c>
      <c r="C142" s="34" t="str">
        <f>IFERROR(IF(VLOOKUP($B142,casostestes[#Data],10)=0,"Não",VLOOKUP($B142,casostestes[#Data],10)), "-")</f>
        <v>-</v>
      </c>
      <c r="D142" s="35" t="str">
        <f>IFERROR(IF(VLOOKUP($B142,casostestes[#Data],2)=0,"-",VLOOKUP($B142,casostestes[#Data],2)), "-")</f>
        <v>-</v>
      </c>
      <c r="E142" s="35" t="str">
        <f>IFERROR(IF(VLOOKUP($B142,casostestes[#Data],3)=0,"-",VLOOKUP($B142,casostestes[#Data],3)), "-")</f>
        <v>-</v>
      </c>
      <c r="F142" s="35" t="str">
        <f>IFERROR(IF(VLOOKUP($B142,casostestes[#Data],4)=0,"-",VLOOKUP($B142,casostestes[#Data],4)),"-")</f>
        <v>-</v>
      </c>
      <c r="G142" s="35" t="str">
        <f>IFERROR(IF(VLOOKUP($B142,casostestes[#Data],5)=0,"-",VLOOKUP($B142,casostestes[#Data],5)),"-")</f>
        <v>-</v>
      </c>
      <c r="H142" s="35" t="str">
        <f>IFERROR(IF(VLOOKUP($B142,casostestes[#Data],6)=0,"-",VLOOKUP($B142,casostestes[#Data],6)),"-")</f>
        <v>-</v>
      </c>
      <c r="I142" s="35" t="str">
        <f>IFERROR(IF(VLOOKUP($B142,casostestes[#Data],8)=0,"-",VLOOKUP($B142,casostestes[#Data],8)),"-")</f>
        <v>-</v>
      </c>
      <c r="J142" s="35" t="str">
        <f>IFERROR(IF(VLOOKUP($B142,casostestes[#Data],9)=0,"-",VLOOKUP($B142,casostestes[#Data],9)),"-")</f>
        <v>-</v>
      </c>
      <c r="K142" s="37" t="str">
        <f>IFERROR(IF(VLOOKUP($B142,orlando[#Data],12)=0,"Não executado",VLOOKUP($B142,orlando[#Data],12)),"Não executado")</f>
        <v>Não executado</v>
      </c>
      <c r="L142" s="37" t="str">
        <f>IFERROR(IF(VLOOKUP($B142,mauricio[#Data],12)=0,"Não executado",VLOOKUP($B142,mauricio[#Data],12)),"Não executado")</f>
        <v>Não executado</v>
      </c>
      <c r="M142" s="37" t="str">
        <f>IFERROR(IF(VLOOKUP($B142,Thaisa[#Data],12)=0,"Não executado",VLOOKUP($B142,Thaisa[#Data],12)),"Não executado")</f>
        <v>Não executado</v>
      </c>
      <c r="N142" s="37" t="str">
        <f>IFERROR(IF(VLOOKUP($B142,carlos[#Data],12)=0,"Não executado",VLOOKUP($B142,carlos[#Data],12)),"Não executado")</f>
        <v>Não executado</v>
      </c>
      <c r="O142" s="37" t="str">
        <f>IFERROR(IF(VLOOKUP($B142,Alessandra[#Data],12)=0,"Não executado",VLOOKUP($B142,Alessandra[#Data],12)),"Não executado")</f>
        <v>Não executado</v>
      </c>
      <c r="P142" s="37" t="str">
        <f>IFERROR(IF(VLOOKUP($B142,AnaCarolina[#Data],12)=0,"Não executado",VLOOKUP($B142,AnaCarolina[#Data],12)),"Não executado")</f>
        <v>Não executado</v>
      </c>
      <c r="Q142" s="37" t="str">
        <f>IFERROR(IF(VLOOKUP($B142,wanei[#Data],12)=0,"Não executado",VLOOKUP($B142,wanei[#Data],12)),"Não executado")</f>
        <v>Não executado</v>
      </c>
      <c r="R142" s="37" t="str">
        <f>IFERROR(IF(VLOOKUP($B142,janaina[#Data],12)=0,"Não executado",VLOOKUP($B142,janaina[#Data],12)),"Não executado")</f>
        <v>Não executado</v>
      </c>
      <c r="S142" s="93" t="str">
        <f>IFERROR(IF(VLOOKUP($B125,andreia[#Data],12)=0,"Não executado",VLOOKUP($B125,andreia[#Data],12)),"Não executado")</f>
        <v>Não executado</v>
      </c>
      <c r="T142" s="37" t="str">
        <f>IFERROR(IF(VLOOKUP($B125,homologador[#Data],12)=0,"Não executado",VLOOKUP($B125,homologador[#Data],12)),"Não executado")</f>
        <v>Não executado</v>
      </c>
      <c r="W142" s="13"/>
    </row>
    <row r="143" spans="2:23">
      <c r="B143" s="40" t="str">
        <f>IF(ISERR(casostestes[[#This Row],[ID]]),"-",casostestes[[#This Row],[ID]])</f>
        <v>-</v>
      </c>
      <c r="C143" s="34" t="str">
        <f>IFERROR(IF(VLOOKUP($B143,casostestes[#Data],10)=0,"Não",VLOOKUP($B143,casostestes[#Data],10)), "-")</f>
        <v>-</v>
      </c>
      <c r="D143" s="35" t="str">
        <f>IFERROR(IF(VLOOKUP($B143,casostestes[#Data],2)=0,"-",VLOOKUP($B143,casostestes[#Data],2)), "-")</f>
        <v>-</v>
      </c>
      <c r="E143" s="35" t="str">
        <f>IFERROR(IF(VLOOKUP($B143,casostestes[#Data],3)=0,"-",VLOOKUP($B143,casostestes[#Data],3)), "-")</f>
        <v>-</v>
      </c>
      <c r="F143" s="35" t="str">
        <f>IFERROR(IF(VLOOKUP($B143,casostestes[#Data],4)=0,"-",VLOOKUP($B143,casostestes[#Data],4)),"-")</f>
        <v>-</v>
      </c>
      <c r="G143" s="35" t="str">
        <f>IFERROR(IF(VLOOKUP($B143,casostestes[#Data],5)=0,"-",VLOOKUP($B143,casostestes[#Data],5)),"-")</f>
        <v>-</v>
      </c>
      <c r="H143" s="35" t="str">
        <f>IFERROR(IF(VLOOKUP($B143,casostestes[#Data],6)=0,"-",VLOOKUP($B143,casostestes[#Data],6)),"-")</f>
        <v>-</v>
      </c>
      <c r="I143" s="35" t="str">
        <f>IFERROR(IF(VLOOKUP($B143,casostestes[#Data],8)=0,"-",VLOOKUP($B143,casostestes[#Data],8)),"-")</f>
        <v>-</v>
      </c>
      <c r="J143" s="35" t="str">
        <f>IFERROR(IF(VLOOKUP($B143,casostestes[#Data],9)=0,"-",VLOOKUP($B143,casostestes[#Data],9)),"-")</f>
        <v>-</v>
      </c>
      <c r="K143" s="37" t="str">
        <f>IFERROR(IF(VLOOKUP($B143,orlando[#Data],12)=0,"Não executado",VLOOKUP($B143,orlando[#Data],12)),"Não executado")</f>
        <v>Não executado</v>
      </c>
      <c r="L143" s="37" t="str">
        <f>IFERROR(IF(VLOOKUP($B143,mauricio[#Data],12)=0,"Não executado",VLOOKUP($B143,mauricio[#Data],12)),"Não executado")</f>
        <v>Não executado</v>
      </c>
      <c r="M143" s="37" t="str">
        <f>IFERROR(IF(VLOOKUP($B143,Thaisa[#Data],12)=0,"Não executado",VLOOKUP($B143,Thaisa[#Data],12)),"Não executado")</f>
        <v>Não executado</v>
      </c>
      <c r="N143" s="37" t="str">
        <f>IFERROR(IF(VLOOKUP($B143,carlos[#Data],12)=0,"Não executado",VLOOKUP($B143,carlos[#Data],12)),"Não executado")</f>
        <v>Não executado</v>
      </c>
      <c r="O143" s="37" t="str">
        <f>IFERROR(IF(VLOOKUP($B143,Alessandra[#Data],12)=0,"Não executado",VLOOKUP($B143,Alessandra[#Data],12)),"Não executado")</f>
        <v>Não executado</v>
      </c>
      <c r="P143" s="37" t="str">
        <f>IFERROR(IF(VLOOKUP($B143,AnaCarolina[#Data],12)=0,"Não executado",VLOOKUP($B143,AnaCarolina[#Data],12)),"Não executado")</f>
        <v>Não executado</v>
      </c>
      <c r="Q143" s="37" t="str">
        <f>IFERROR(IF(VLOOKUP($B143,wanei[#Data],12)=0,"Não executado",VLOOKUP($B143,wanei[#Data],12)),"Não executado")</f>
        <v>Não executado</v>
      </c>
      <c r="R143" s="37" t="str">
        <f>IFERROR(IF(VLOOKUP($B143,janaina[#Data],12)=0,"Não executado",VLOOKUP($B143,janaina[#Data],12)),"Não executado")</f>
        <v>Não executado</v>
      </c>
      <c r="S143" s="93" t="str">
        <f>IFERROR(IF(VLOOKUP($B126,andreia[#Data],12)=0,"Não executado",VLOOKUP($B126,andreia[#Data],12)),"Não executado")</f>
        <v>Não executado</v>
      </c>
      <c r="T143" s="37" t="str">
        <f>IFERROR(IF(VLOOKUP($B126,homologador[#Data],12)=0,"Não executado",VLOOKUP($B126,homologador[#Data],12)),"Não executado")</f>
        <v>Não executado</v>
      </c>
      <c r="W143" s="13"/>
    </row>
    <row r="144" spans="2:23">
      <c r="B144" s="40" t="str">
        <f>IF(ISERR(casostestes[[#This Row],[ID]]),"-",casostestes[[#This Row],[ID]])</f>
        <v>-</v>
      </c>
      <c r="C144" s="34" t="str">
        <f>IFERROR(IF(VLOOKUP($B144,casostestes[#Data],10)=0,"Não",VLOOKUP($B144,casostestes[#Data],10)), "-")</f>
        <v>-</v>
      </c>
      <c r="D144" s="35" t="str">
        <f>IFERROR(IF(VLOOKUP($B144,casostestes[#Data],2)=0,"-",VLOOKUP($B144,casostestes[#Data],2)), "-")</f>
        <v>-</v>
      </c>
      <c r="E144" s="35" t="str">
        <f>IFERROR(IF(VLOOKUP($B144,casostestes[#Data],3)=0,"-",VLOOKUP($B144,casostestes[#Data],3)), "-")</f>
        <v>-</v>
      </c>
      <c r="F144" s="35" t="str">
        <f>IFERROR(IF(VLOOKUP($B144,casostestes[#Data],4)=0,"-",VLOOKUP($B144,casostestes[#Data],4)),"-")</f>
        <v>-</v>
      </c>
      <c r="G144" s="35" t="str">
        <f>IFERROR(IF(VLOOKUP($B144,casostestes[#Data],5)=0,"-",VLOOKUP($B144,casostestes[#Data],5)),"-")</f>
        <v>-</v>
      </c>
      <c r="H144" s="35" t="str">
        <f>IFERROR(IF(VLOOKUP($B144,casostestes[#Data],6)=0,"-",VLOOKUP($B144,casostestes[#Data],6)),"-")</f>
        <v>-</v>
      </c>
      <c r="I144" s="35" t="str">
        <f>IFERROR(IF(VLOOKUP($B144,casostestes[#Data],8)=0,"-",VLOOKUP($B144,casostestes[#Data],8)),"-")</f>
        <v>-</v>
      </c>
      <c r="J144" s="35" t="str">
        <f>IFERROR(IF(VLOOKUP($B144,casostestes[#Data],9)=0,"-",VLOOKUP($B144,casostestes[#Data],9)),"-")</f>
        <v>-</v>
      </c>
      <c r="K144" s="37" t="str">
        <f>IFERROR(IF(VLOOKUP($B144,orlando[#Data],12)=0,"Não executado",VLOOKUP($B144,orlando[#Data],12)),"Não executado")</f>
        <v>Não executado</v>
      </c>
      <c r="L144" s="37" t="str">
        <f>IFERROR(IF(VLOOKUP($B144,mauricio[#Data],12)=0,"Não executado",VLOOKUP($B144,mauricio[#Data],12)),"Não executado")</f>
        <v>Não executado</v>
      </c>
      <c r="M144" s="37" t="str">
        <f>IFERROR(IF(VLOOKUP($B144,Thaisa[#Data],12)=0,"Não executado",VLOOKUP($B144,Thaisa[#Data],12)),"Não executado")</f>
        <v>Não executado</v>
      </c>
      <c r="N144" s="37" t="str">
        <f>IFERROR(IF(VLOOKUP($B144,carlos[#Data],12)=0,"Não executado",VLOOKUP($B144,carlos[#Data],12)),"Não executado")</f>
        <v>Não executado</v>
      </c>
      <c r="O144" s="37" t="str">
        <f>IFERROR(IF(VLOOKUP($B144,Alessandra[#Data],12)=0,"Não executado",VLOOKUP($B144,Alessandra[#Data],12)),"Não executado")</f>
        <v>Não executado</v>
      </c>
      <c r="P144" s="37" t="str">
        <f>IFERROR(IF(VLOOKUP($B144,AnaCarolina[#Data],12)=0,"Não executado",VLOOKUP($B144,AnaCarolina[#Data],12)),"Não executado")</f>
        <v>Não executado</v>
      </c>
      <c r="Q144" s="37" t="str">
        <f>IFERROR(IF(VLOOKUP($B144,wanei[#Data],12)=0,"Não executado",VLOOKUP($B144,wanei[#Data],12)),"Não executado")</f>
        <v>Não executado</v>
      </c>
      <c r="R144" s="37" t="str">
        <f>IFERROR(IF(VLOOKUP($B144,janaina[#Data],12)=0,"Não executado",VLOOKUP($B144,janaina[#Data],12)),"Não executado")</f>
        <v>Não executado</v>
      </c>
      <c r="S144" s="93" t="str">
        <f>IFERROR(IF(VLOOKUP($B127,andreia[#Data],12)=0,"Não executado",VLOOKUP($B127,andreia[#Data],12)),"Não executado")</f>
        <v>Não executado</v>
      </c>
      <c r="T144" s="37" t="str">
        <f>IFERROR(IF(VLOOKUP($B127,homologador[#Data],12)=0,"Não executado",VLOOKUP($B127,homologador[#Data],12)),"Não executado")</f>
        <v>Não executado</v>
      </c>
      <c r="W144" s="13"/>
    </row>
    <row r="145" spans="2:23">
      <c r="B145" s="40" t="str">
        <f>IF(ISERR(casostestes[[#This Row],[ID]]),"-",casostestes[[#This Row],[ID]])</f>
        <v>-</v>
      </c>
      <c r="C145" s="34" t="str">
        <f>IFERROR(IF(VLOOKUP($B145,casostestes[#Data],10)=0,"Não",VLOOKUP($B145,casostestes[#Data],10)), "-")</f>
        <v>-</v>
      </c>
      <c r="D145" s="35" t="str">
        <f>IFERROR(IF(VLOOKUP($B145,casostestes[#Data],2)=0,"-",VLOOKUP($B145,casostestes[#Data],2)), "-")</f>
        <v>-</v>
      </c>
      <c r="E145" s="35" t="str">
        <f>IFERROR(IF(VLOOKUP($B145,casostestes[#Data],3)=0,"-",VLOOKUP($B145,casostestes[#Data],3)), "-")</f>
        <v>-</v>
      </c>
      <c r="F145" s="35" t="str">
        <f>IFERROR(IF(VLOOKUP($B145,casostestes[#Data],4)=0,"-",VLOOKUP($B145,casostestes[#Data],4)),"-")</f>
        <v>-</v>
      </c>
      <c r="G145" s="35" t="str">
        <f>IFERROR(IF(VLOOKUP($B145,casostestes[#Data],5)=0,"-",VLOOKUP($B145,casostestes[#Data],5)),"-")</f>
        <v>-</v>
      </c>
      <c r="H145" s="35" t="str">
        <f>IFERROR(IF(VLOOKUP($B145,casostestes[#Data],6)=0,"-",VLOOKUP($B145,casostestes[#Data],6)),"-")</f>
        <v>-</v>
      </c>
      <c r="I145" s="35" t="str">
        <f>IFERROR(IF(VLOOKUP($B145,casostestes[#Data],8)=0,"-",VLOOKUP($B145,casostestes[#Data],8)),"-")</f>
        <v>-</v>
      </c>
      <c r="J145" s="35" t="str">
        <f>IFERROR(IF(VLOOKUP($B145,casostestes[#Data],9)=0,"-",VLOOKUP($B145,casostestes[#Data],9)),"-")</f>
        <v>-</v>
      </c>
      <c r="K145" s="37" t="str">
        <f>IFERROR(IF(VLOOKUP($B145,orlando[#Data],12)=0,"Não executado",VLOOKUP($B145,orlando[#Data],12)),"Não executado")</f>
        <v>Não executado</v>
      </c>
      <c r="L145" s="37" t="str">
        <f>IFERROR(IF(VLOOKUP($B145,mauricio[#Data],12)=0,"Não executado",VLOOKUP($B145,mauricio[#Data],12)),"Não executado")</f>
        <v>Não executado</v>
      </c>
      <c r="M145" s="37" t="str">
        <f>IFERROR(IF(VLOOKUP($B145,Thaisa[#Data],12)=0,"Não executado",VLOOKUP($B145,Thaisa[#Data],12)),"Não executado")</f>
        <v>Não executado</v>
      </c>
      <c r="N145" s="37" t="str">
        <f>IFERROR(IF(VLOOKUP($B145,carlos[#Data],12)=0,"Não executado",VLOOKUP($B145,carlos[#Data],12)),"Não executado")</f>
        <v>Não executado</v>
      </c>
      <c r="O145" s="37" t="str">
        <f>IFERROR(IF(VLOOKUP($B145,Alessandra[#Data],12)=0,"Não executado",VLOOKUP($B145,Alessandra[#Data],12)),"Não executado")</f>
        <v>Não executado</v>
      </c>
      <c r="P145" s="37" t="str">
        <f>IFERROR(IF(VLOOKUP($B145,AnaCarolina[#Data],12)=0,"Não executado",VLOOKUP($B145,AnaCarolina[#Data],12)),"Não executado")</f>
        <v>Não executado</v>
      </c>
      <c r="Q145" s="37" t="str">
        <f>IFERROR(IF(VLOOKUP($B145,wanei[#Data],12)=0,"Não executado",VLOOKUP($B145,wanei[#Data],12)),"Não executado")</f>
        <v>Não executado</v>
      </c>
      <c r="R145" s="37" t="str">
        <f>IFERROR(IF(VLOOKUP($B145,janaina[#Data],12)=0,"Não executado",VLOOKUP($B145,janaina[#Data],12)),"Não executado")</f>
        <v>Não executado</v>
      </c>
      <c r="S145" s="93" t="str">
        <f>IFERROR(IF(VLOOKUP($B128,andreia[#Data],12)=0,"Não executado",VLOOKUP($B128,andreia[#Data],12)),"Não executado")</f>
        <v>Não executado</v>
      </c>
      <c r="T145" s="37" t="str">
        <f>IFERROR(IF(VLOOKUP($B128,homologador[#Data],12)=0,"Não executado",VLOOKUP($B128,homologador[#Data],12)),"Não executado")</f>
        <v>Não executado</v>
      </c>
      <c r="W145" s="13"/>
    </row>
    <row r="146" spans="2:23">
      <c r="B146" s="40" t="str">
        <f>IF(ISERR(casostestes[[#This Row],[ID]]),"-",casostestes[[#This Row],[ID]])</f>
        <v>-</v>
      </c>
      <c r="C146" s="34" t="str">
        <f>IFERROR(IF(VLOOKUP($B146,casostestes[#Data],10)=0,"Não",VLOOKUP($B146,casostestes[#Data],10)), "-")</f>
        <v>-</v>
      </c>
      <c r="D146" s="35" t="str">
        <f>IFERROR(IF(VLOOKUP($B146,casostestes[#Data],2)=0,"-",VLOOKUP($B146,casostestes[#Data],2)), "-")</f>
        <v>-</v>
      </c>
      <c r="E146" s="35" t="str">
        <f>IFERROR(IF(VLOOKUP($B146,casostestes[#Data],3)=0,"-",VLOOKUP($B146,casostestes[#Data],3)), "-")</f>
        <v>-</v>
      </c>
      <c r="F146" s="35" t="str">
        <f>IFERROR(IF(VLOOKUP($B146,casostestes[#Data],4)=0,"-",VLOOKUP($B146,casostestes[#Data],4)),"-")</f>
        <v>-</v>
      </c>
      <c r="G146" s="35" t="str">
        <f>IFERROR(IF(VLOOKUP($B146,casostestes[#Data],5)=0,"-",VLOOKUP($B146,casostestes[#Data],5)),"-")</f>
        <v>-</v>
      </c>
      <c r="H146" s="35" t="str">
        <f>IFERROR(IF(VLOOKUP($B146,casostestes[#Data],6)=0,"-",VLOOKUP($B146,casostestes[#Data],6)),"-")</f>
        <v>-</v>
      </c>
      <c r="I146" s="35" t="str">
        <f>IFERROR(IF(VLOOKUP($B146,casostestes[#Data],8)=0,"-",VLOOKUP($B146,casostestes[#Data],8)),"-")</f>
        <v>-</v>
      </c>
      <c r="J146" s="35" t="str">
        <f>IFERROR(IF(VLOOKUP($B146,casostestes[#Data],9)=0,"-",VLOOKUP($B146,casostestes[#Data],9)),"-")</f>
        <v>-</v>
      </c>
      <c r="K146" s="37" t="str">
        <f>IFERROR(IF(VLOOKUP($B146,orlando[#Data],12)=0,"Não executado",VLOOKUP($B146,orlando[#Data],12)),"Não executado")</f>
        <v>Não executado</v>
      </c>
      <c r="L146" s="37" t="str">
        <f>IFERROR(IF(VLOOKUP($B146,mauricio[#Data],12)=0,"Não executado",VLOOKUP($B146,mauricio[#Data],12)),"Não executado")</f>
        <v>Não executado</v>
      </c>
      <c r="M146" s="37" t="str">
        <f>IFERROR(IF(VLOOKUP($B146,Thaisa[#Data],12)=0,"Não executado",VLOOKUP($B146,Thaisa[#Data],12)),"Não executado")</f>
        <v>Não executado</v>
      </c>
      <c r="N146" s="37" t="str">
        <f>IFERROR(IF(VLOOKUP($B146,carlos[#Data],12)=0,"Não executado",VLOOKUP($B146,carlos[#Data],12)),"Não executado")</f>
        <v>Não executado</v>
      </c>
      <c r="O146" s="37" t="str">
        <f>IFERROR(IF(VLOOKUP($B146,Alessandra[#Data],12)=0,"Não executado",VLOOKUP($B146,Alessandra[#Data],12)),"Não executado")</f>
        <v>Não executado</v>
      </c>
      <c r="P146" s="37" t="str">
        <f>IFERROR(IF(VLOOKUP($B146,AnaCarolina[#Data],12)=0,"Não executado",VLOOKUP($B146,AnaCarolina[#Data],12)),"Não executado")</f>
        <v>Não executado</v>
      </c>
      <c r="Q146" s="37" t="str">
        <f>IFERROR(IF(VLOOKUP($B146,wanei[#Data],12)=0,"Não executado",VLOOKUP($B146,wanei[#Data],12)),"Não executado")</f>
        <v>Não executado</v>
      </c>
      <c r="R146" s="37" t="str">
        <f>IFERROR(IF(VLOOKUP($B146,janaina[#Data],12)=0,"Não executado",VLOOKUP($B146,janaina[#Data],12)),"Não executado")</f>
        <v>Não executado</v>
      </c>
      <c r="S146" s="93" t="str">
        <f>IFERROR(IF(VLOOKUP($B129,andreia[#Data],12)=0,"Não executado",VLOOKUP($B129,andreia[#Data],12)),"Não executado")</f>
        <v>Não executado</v>
      </c>
      <c r="T146" s="37" t="str">
        <f>IFERROR(IF(VLOOKUP($B129,homologador[#Data],12)=0,"Não executado",VLOOKUP($B129,homologador[#Data],12)),"Não executado")</f>
        <v>Não executado</v>
      </c>
      <c r="W146" s="13"/>
    </row>
    <row r="147" spans="2:23">
      <c r="B147" s="40" t="str">
        <f>IF(ISERR(casostestes[[#This Row],[ID]]),"-",casostestes[[#This Row],[ID]])</f>
        <v>-</v>
      </c>
      <c r="C147" s="34" t="str">
        <f>IFERROR(IF(VLOOKUP($B147,casostestes[#Data],10)=0,"Não",VLOOKUP($B147,casostestes[#Data],10)), "-")</f>
        <v>-</v>
      </c>
      <c r="D147" s="35" t="str">
        <f>IFERROR(IF(VLOOKUP($B147,casostestes[#Data],2)=0,"-",VLOOKUP($B147,casostestes[#Data],2)), "-")</f>
        <v>-</v>
      </c>
      <c r="E147" s="35" t="str">
        <f>IFERROR(IF(VLOOKUP($B147,casostestes[#Data],3)=0,"-",VLOOKUP($B147,casostestes[#Data],3)), "-")</f>
        <v>-</v>
      </c>
      <c r="F147" s="35" t="str">
        <f>IFERROR(IF(VLOOKUP($B147,casostestes[#Data],4)=0,"-",VLOOKUP($B147,casostestes[#Data],4)),"-")</f>
        <v>-</v>
      </c>
      <c r="G147" s="35" t="str">
        <f>IFERROR(IF(VLOOKUP($B147,casostestes[#Data],5)=0,"-",VLOOKUP($B147,casostestes[#Data],5)),"-")</f>
        <v>-</v>
      </c>
      <c r="H147" s="35" t="str">
        <f>IFERROR(IF(VLOOKUP($B147,casostestes[#Data],6)=0,"-",VLOOKUP($B147,casostestes[#Data],6)),"-")</f>
        <v>-</v>
      </c>
      <c r="I147" s="35" t="str">
        <f>IFERROR(IF(VLOOKUP($B147,casostestes[#Data],8)=0,"-",VLOOKUP($B147,casostestes[#Data],8)),"-")</f>
        <v>-</v>
      </c>
      <c r="J147" s="35" t="str">
        <f>IFERROR(IF(VLOOKUP($B147,casostestes[#Data],9)=0,"-",VLOOKUP($B147,casostestes[#Data],9)),"-")</f>
        <v>-</v>
      </c>
      <c r="K147" s="37" t="str">
        <f>IFERROR(IF(VLOOKUP($B147,orlando[#Data],12)=0,"Não executado",VLOOKUP($B147,orlando[#Data],12)),"Não executado")</f>
        <v>Não executado</v>
      </c>
      <c r="L147" s="37" t="str">
        <f>IFERROR(IF(VLOOKUP($B147,mauricio[#Data],12)=0,"Não executado",VLOOKUP($B147,mauricio[#Data],12)),"Não executado")</f>
        <v>Não executado</v>
      </c>
      <c r="M147" s="37" t="str">
        <f>IFERROR(IF(VLOOKUP($B147,Thaisa[#Data],12)=0,"Não executado",VLOOKUP($B147,Thaisa[#Data],12)),"Não executado")</f>
        <v>Não executado</v>
      </c>
      <c r="N147" s="37" t="str">
        <f>IFERROR(IF(VLOOKUP($B147,carlos[#Data],12)=0,"Não executado",VLOOKUP($B147,carlos[#Data],12)),"Não executado")</f>
        <v>Não executado</v>
      </c>
      <c r="O147" s="37" t="str">
        <f>IFERROR(IF(VLOOKUP($B147,Alessandra[#Data],12)=0,"Não executado",VLOOKUP($B147,Alessandra[#Data],12)),"Não executado")</f>
        <v>Não executado</v>
      </c>
      <c r="P147" s="37" t="str">
        <f>IFERROR(IF(VLOOKUP($B147,AnaCarolina[#Data],12)=0,"Não executado",VLOOKUP($B147,AnaCarolina[#Data],12)),"Não executado")</f>
        <v>Não executado</v>
      </c>
      <c r="Q147" s="37" t="str">
        <f>IFERROR(IF(VLOOKUP($B147,wanei[#Data],12)=0,"Não executado",VLOOKUP($B147,wanei[#Data],12)),"Não executado")</f>
        <v>Não executado</v>
      </c>
      <c r="R147" s="37" t="str">
        <f>IFERROR(IF(VLOOKUP($B147,janaina[#Data],12)=0,"Não executado",VLOOKUP($B147,janaina[#Data],12)),"Não executado")</f>
        <v>Não executado</v>
      </c>
      <c r="S147" s="93" t="str">
        <f>IFERROR(IF(VLOOKUP($B130,andreia[#Data],12)=0,"Não executado",VLOOKUP($B130,andreia[#Data],12)),"Não executado")</f>
        <v>Não executado</v>
      </c>
      <c r="T147" s="37" t="str">
        <f>IFERROR(IF(VLOOKUP($B130,homologador[#Data],12)=0,"Não executado",VLOOKUP($B130,homologador[#Data],12)),"Não executado")</f>
        <v>Não executado</v>
      </c>
      <c r="W147" s="13"/>
    </row>
    <row r="148" spans="2:23">
      <c r="B148" s="40" t="str">
        <f>IF(ISERR(casostestes[[#This Row],[ID]]),"-",casostestes[[#This Row],[ID]])</f>
        <v>-</v>
      </c>
      <c r="C148" s="34" t="str">
        <f>IFERROR(IF(VLOOKUP($B148,casostestes[#Data],10)=0,"Não",VLOOKUP($B148,casostestes[#Data],10)), "-")</f>
        <v>-</v>
      </c>
      <c r="D148" s="35" t="str">
        <f>IFERROR(IF(VLOOKUP($B148,casostestes[#Data],2)=0,"-",VLOOKUP($B148,casostestes[#Data],2)), "-")</f>
        <v>-</v>
      </c>
      <c r="E148" s="35" t="str">
        <f>IFERROR(IF(VLOOKUP($B148,casostestes[#Data],3)=0,"-",VLOOKUP($B148,casostestes[#Data],3)), "-")</f>
        <v>-</v>
      </c>
      <c r="F148" s="35" t="str">
        <f>IFERROR(IF(VLOOKUP($B148,casostestes[#Data],4)=0,"-",VLOOKUP($B148,casostestes[#Data],4)),"-")</f>
        <v>-</v>
      </c>
      <c r="G148" s="35" t="str">
        <f>IFERROR(IF(VLOOKUP($B148,casostestes[#Data],5)=0,"-",VLOOKUP($B148,casostestes[#Data],5)),"-")</f>
        <v>-</v>
      </c>
      <c r="H148" s="35" t="str">
        <f>IFERROR(IF(VLOOKUP($B148,casostestes[#Data],6)=0,"-",VLOOKUP($B148,casostestes[#Data],6)),"-")</f>
        <v>-</v>
      </c>
      <c r="I148" s="35" t="str">
        <f>IFERROR(IF(VLOOKUP($B148,casostestes[#Data],8)=0,"-",VLOOKUP($B148,casostestes[#Data],8)),"-")</f>
        <v>-</v>
      </c>
      <c r="J148" s="35" t="str">
        <f>IFERROR(IF(VLOOKUP($B148,casostestes[#Data],9)=0,"-",VLOOKUP($B148,casostestes[#Data],9)),"-")</f>
        <v>-</v>
      </c>
      <c r="K148" s="37" t="str">
        <f>IFERROR(IF(VLOOKUP($B148,orlando[#Data],12)=0,"Não executado",VLOOKUP($B148,orlando[#Data],12)),"Não executado")</f>
        <v>Não executado</v>
      </c>
      <c r="L148" s="37" t="str">
        <f>IFERROR(IF(VLOOKUP($B148,mauricio[#Data],12)=0,"Não executado",VLOOKUP($B148,mauricio[#Data],12)),"Não executado")</f>
        <v>Não executado</v>
      </c>
      <c r="M148" s="37" t="str">
        <f>IFERROR(IF(VLOOKUP($B148,Thaisa[#Data],12)=0,"Não executado",VLOOKUP($B148,Thaisa[#Data],12)),"Não executado")</f>
        <v>Não executado</v>
      </c>
      <c r="N148" s="37" t="str">
        <f>IFERROR(IF(VLOOKUP($B148,carlos[#Data],12)=0,"Não executado",VLOOKUP($B148,carlos[#Data],12)),"Não executado")</f>
        <v>Não executado</v>
      </c>
      <c r="O148" s="37" t="str">
        <f>IFERROR(IF(VLOOKUP($B148,Alessandra[#Data],12)=0,"Não executado",VLOOKUP($B148,Alessandra[#Data],12)),"Não executado")</f>
        <v>Não executado</v>
      </c>
      <c r="P148" s="37" t="str">
        <f>IFERROR(IF(VLOOKUP($B148,AnaCarolina[#Data],12)=0,"Não executado",VLOOKUP($B148,AnaCarolina[#Data],12)),"Não executado")</f>
        <v>Não executado</v>
      </c>
      <c r="Q148" s="37" t="str">
        <f>IFERROR(IF(VLOOKUP($B148,wanei[#Data],12)=0,"Não executado",VLOOKUP($B148,wanei[#Data],12)),"Não executado")</f>
        <v>Não executado</v>
      </c>
      <c r="R148" s="37" t="str">
        <f>IFERROR(IF(VLOOKUP($B148,janaina[#Data],12)=0,"Não executado",VLOOKUP($B148,janaina[#Data],12)),"Não executado")</f>
        <v>Não executado</v>
      </c>
      <c r="S148" s="93" t="str">
        <f>IFERROR(IF(VLOOKUP($B131,andreia[#Data],12)=0,"Não executado",VLOOKUP($B131,andreia[#Data],12)),"Não executado")</f>
        <v>Não executado</v>
      </c>
      <c r="T148" s="37" t="str">
        <f>IFERROR(IF(VLOOKUP($B131,homologador[#Data],12)=0,"Não executado",VLOOKUP($B131,homologador[#Data],12)),"Não executado")</f>
        <v>Não executado</v>
      </c>
      <c r="W148" s="13"/>
    </row>
    <row r="149" spans="2:23">
      <c r="B149" s="40" t="str">
        <f>IF(ISERR(casostestes[[#This Row],[ID]]),"-",casostestes[[#This Row],[ID]])</f>
        <v>-</v>
      </c>
      <c r="C149" s="34" t="str">
        <f>IFERROR(IF(VLOOKUP($B149,casostestes[#Data],10)=0,"Não",VLOOKUP($B149,casostestes[#Data],10)), "-")</f>
        <v>-</v>
      </c>
      <c r="D149" s="35" t="str">
        <f>IFERROR(IF(VLOOKUP($B149,casostestes[#Data],2)=0,"-",VLOOKUP($B149,casostestes[#Data],2)), "-")</f>
        <v>-</v>
      </c>
      <c r="E149" s="35" t="str">
        <f>IFERROR(IF(VLOOKUP($B149,casostestes[#Data],3)=0,"-",VLOOKUP($B149,casostestes[#Data],3)), "-")</f>
        <v>-</v>
      </c>
      <c r="F149" s="35" t="str">
        <f>IFERROR(IF(VLOOKUP($B149,casostestes[#Data],4)=0,"-",VLOOKUP($B149,casostestes[#Data],4)),"-")</f>
        <v>-</v>
      </c>
      <c r="G149" s="35" t="str">
        <f>IFERROR(IF(VLOOKUP($B149,casostestes[#Data],5)=0,"-",VLOOKUP($B149,casostestes[#Data],5)),"-")</f>
        <v>-</v>
      </c>
      <c r="H149" s="35" t="str">
        <f>IFERROR(IF(VLOOKUP($B149,casostestes[#Data],6)=0,"-",VLOOKUP($B149,casostestes[#Data],6)),"-")</f>
        <v>-</v>
      </c>
      <c r="I149" s="35" t="str">
        <f>IFERROR(IF(VLOOKUP($B149,casostestes[#Data],8)=0,"-",VLOOKUP($B149,casostestes[#Data],8)),"-")</f>
        <v>-</v>
      </c>
      <c r="J149" s="35" t="str">
        <f>IFERROR(IF(VLOOKUP($B149,casostestes[#Data],9)=0,"-",VLOOKUP($B149,casostestes[#Data],9)),"-")</f>
        <v>-</v>
      </c>
      <c r="K149" s="37" t="str">
        <f>IFERROR(IF(VLOOKUP($B149,orlando[#Data],12)=0,"Não executado",VLOOKUP($B149,orlando[#Data],12)),"Não executado")</f>
        <v>Não executado</v>
      </c>
      <c r="L149" s="37" t="str">
        <f>IFERROR(IF(VLOOKUP($B149,mauricio[#Data],12)=0,"Não executado",VLOOKUP($B149,mauricio[#Data],12)),"Não executado")</f>
        <v>Não executado</v>
      </c>
      <c r="M149" s="37" t="str">
        <f>IFERROR(IF(VLOOKUP($B149,Thaisa[#Data],12)=0,"Não executado",VLOOKUP($B149,Thaisa[#Data],12)),"Não executado")</f>
        <v>Não executado</v>
      </c>
      <c r="N149" s="37" t="str">
        <f>IFERROR(IF(VLOOKUP($B149,carlos[#Data],12)=0,"Não executado",VLOOKUP($B149,carlos[#Data],12)),"Não executado")</f>
        <v>Não executado</v>
      </c>
      <c r="O149" s="37" t="str">
        <f>IFERROR(IF(VLOOKUP($B149,Alessandra[#Data],12)=0,"Não executado",VLOOKUP($B149,Alessandra[#Data],12)),"Não executado")</f>
        <v>Não executado</v>
      </c>
      <c r="P149" s="37" t="str">
        <f>IFERROR(IF(VLOOKUP($B149,AnaCarolina[#Data],12)=0,"Não executado",VLOOKUP($B149,AnaCarolina[#Data],12)),"Não executado")</f>
        <v>Não executado</v>
      </c>
      <c r="Q149" s="37" t="str">
        <f>IFERROR(IF(VLOOKUP($B149,wanei[#Data],12)=0,"Não executado",VLOOKUP($B149,wanei[#Data],12)),"Não executado")</f>
        <v>Não executado</v>
      </c>
      <c r="R149" s="37" t="str">
        <f>IFERROR(IF(VLOOKUP($B149,janaina[#Data],12)=0,"Não executado",VLOOKUP($B149,janaina[#Data],12)),"Não executado")</f>
        <v>Não executado</v>
      </c>
      <c r="S149" s="93" t="str">
        <f>IFERROR(IF(VLOOKUP($B132,andreia[#Data],12)=0,"Não executado",VLOOKUP($B132,andreia[#Data],12)),"Não executado")</f>
        <v>Não executado</v>
      </c>
      <c r="T149" s="37" t="str">
        <f>IFERROR(IF(VLOOKUP($B132,homologador[#Data],12)=0,"Não executado",VLOOKUP($B132,homologador[#Data],12)),"Não executado")</f>
        <v>Não executado</v>
      </c>
      <c r="W149" s="13"/>
    </row>
    <row r="150" spans="2:23">
      <c r="B150" s="40" t="str">
        <f>IF(ISERR(casostestes[[#This Row],[ID]]),"-",casostestes[[#This Row],[ID]])</f>
        <v>-</v>
      </c>
      <c r="C150" s="34" t="str">
        <f>IFERROR(IF(VLOOKUP($B150,casostestes[#Data],10)=0,"Não",VLOOKUP($B150,casostestes[#Data],10)), "-")</f>
        <v>-</v>
      </c>
      <c r="D150" s="35" t="str">
        <f>IFERROR(IF(VLOOKUP($B150,casostestes[#Data],2)=0,"-",VLOOKUP($B150,casostestes[#Data],2)), "-")</f>
        <v>-</v>
      </c>
      <c r="E150" s="35" t="str">
        <f>IFERROR(IF(VLOOKUP($B150,casostestes[#Data],3)=0,"-",VLOOKUP($B150,casostestes[#Data],3)), "-")</f>
        <v>-</v>
      </c>
      <c r="F150" s="35" t="str">
        <f>IFERROR(IF(VLOOKUP($B150,casostestes[#Data],4)=0,"-",VLOOKUP($B150,casostestes[#Data],4)),"-")</f>
        <v>-</v>
      </c>
      <c r="G150" s="35" t="str">
        <f>IFERROR(IF(VLOOKUP($B150,casostestes[#Data],5)=0,"-",VLOOKUP($B150,casostestes[#Data],5)),"-")</f>
        <v>-</v>
      </c>
      <c r="H150" s="35" t="str">
        <f>IFERROR(IF(VLOOKUP($B150,casostestes[#Data],6)=0,"-",VLOOKUP($B150,casostestes[#Data],6)),"-")</f>
        <v>-</v>
      </c>
      <c r="I150" s="35" t="str">
        <f>IFERROR(IF(VLOOKUP($B150,casostestes[#Data],8)=0,"-",VLOOKUP($B150,casostestes[#Data],8)),"-")</f>
        <v>-</v>
      </c>
      <c r="J150" s="35" t="str">
        <f>IFERROR(IF(VLOOKUP($B150,casostestes[#Data],9)=0,"-",VLOOKUP($B150,casostestes[#Data],9)),"-")</f>
        <v>-</v>
      </c>
      <c r="K150" s="37" t="str">
        <f>IFERROR(IF(VLOOKUP($B150,orlando[#Data],12)=0,"Não executado",VLOOKUP($B150,orlando[#Data],12)),"Não executado")</f>
        <v>Não executado</v>
      </c>
      <c r="L150" s="37" t="str">
        <f>IFERROR(IF(VLOOKUP($B150,mauricio[#Data],12)=0,"Não executado",VLOOKUP($B150,mauricio[#Data],12)),"Não executado")</f>
        <v>Não executado</v>
      </c>
      <c r="M150" s="37" t="str">
        <f>IFERROR(IF(VLOOKUP($B150,Thaisa[#Data],12)=0,"Não executado",VLOOKUP($B150,Thaisa[#Data],12)),"Não executado")</f>
        <v>Não executado</v>
      </c>
      <c r="N150" s="37" t="str">
        <f>IFERROR(IF(VLOOKUP($B150,carlos[#Data],12)=0,"Não executado",VLOOKUP($B150,carlos[#Data],12)),"Não executado")</f>
        <v>Não executado</v>
      </c>
      <c r="O150" s="37" t="str">
        <f>IFERROR(IF(VLOOKUP($B150,Alessandra[#Data],12)=0,"Não executado",VLOOKUP($B150,Alessandra[#Data],12)),"Não executado")</f>
        <v>Não executado</v>
      </c>
      <c r="P150" s="37" t="str">
        <f>IFERROR(IF(VLOOKUP($B150,AnaCarolina[#Data],12)=0,"Não executado",VLOOKUP($B150,AnaCarolina[#Data],12)),"Não executado")</f>
        <v>Não executado</v>
      </c>
      <c r="Q150" s="37" t="str">
        <f>IFERROR(IF(VLOOKUP($B150,wanei[#Data],12)=0,"Não executado",VLOOKUP($B150,wanei[#Data],12)),"Não executado")</f>
        <v>Não executado</v>
      </c>
      <c r="R150" s="37" t="str">
        <f>IFERROR(IF(VLOOKUP($B150,janaina[#Data],12)=0,"Não executado",VLOOKUP($B150,janaina[#Data],12)),"Não executado")</f>
        <v>Não executado</v>
      </c>
      <c r="S150" s="93" t="str">
        <f>IFERROR(IF(VLOOKUP($B133,andreia[#Data],12)=0,"Não executado",VLOOKUP($B133,andreia[#Data],12)),"Não executado")</f>
        <v>Não executado</v>
      </c>
      <c r="T150" s="37" t="str">
        <f>IFERROR(IF(VLOOKUP($B133,homologador[#Data],12)=0,"Não executado",VLOOKUP($B133,homologador[#Data],12)),"Não executado")</f>
        <v>Não executado</v>
      </c>
      <c r="W150" s="13"/>
    </row>
    <row r="151" spans="2:23">
      <c r="B151" s="40" t="str">
        <f>IF(ISERR(casostestes[[#This Row],[ID]]),"-",casostestes[[#This Row],[ID]])</f>
        <v>-</v>
      </c>
      <c r="C151" s="34" t="str">
        <f>IFERROR(IF(VLOOKUP($B151,casostestes[#Data],10)=0,"Não",VLOOKUP($B151,casostestes[#Data],10)), "-")</f>
        <v>-</v>
      </c>
      <c r="D151" s="35" t="str">
        <f>IFERROR(IF(VLOOKUP($B151,casostestes[#Data],2)=0,"-",VLOOKUP($B151,casostestes[#Data],2)), "-")</f>
        <v>-</v>
      </c>
      <c r="E151" s="35" t="str">
        <f>IFERROR(IF(VLOOKUP($B151,casostestes[#Data],3)=0,"-",VLOOKUP($B151,casostestes[#Data],3)), "-")</f>
        <v>-</v>
      </c>
      <c r="F151" s="35" t="str">
        <f>IFERROR(IF(VLOOKUP($B151,casostestes[#Data],4)=0,"-",VLOOKUP($B151,casostestes[#Data],4)),"-")</f>
        <v>-</v>
      </c>
      <c r="G151" s="35" t="str">
        <f>IFERROR(IF(VLOOKUP($B151,casostestes[#Data],5)=0,"-",VLOOKUP($B151,casostestes[#Data],5)),"-")</f>
        <v>-</v>
      </c>
      <c r="H151" s="35" t="str">
        <f>IFERROR(IF(VLOOKUP($B151,casostestes[#Data],6)=0,"-",VLOOKUP($B151,casostestes[#Data],6)),"-")</f>
        <v>-</v>
      </c>
      <c r="I151" s="35" t="str">
        <f>IFERROR(IF(VLOOKUP($B151,casostestes[#Data],8)=0,"-",VLOOKUP($B151,casostestes[#Data],8)),"-")</f>
        <v>-</v>
      </c>
      <c r="J151" s="35" t="str">
        <f>IFERROR(IF(VLOOKUP($B151,casostestes[#Data],9)=0,"-",VLOOKUP($B151,casostestes[#Data],9)),"-")</f>
        <v>-</v>
      </c>
      <c r="K151" s="37" t="str">
        <f>IFERROR(IF(VLOOKUP($B151,orlando[#Data],12)=0,"Não executado",VLOOKUP($B151,orlando[#Data],12)),"Não executado")</f>
        <v>Não executado</v>
      </c>
      <c r="L151" s="37" t="str">
        <f>IFERROR(IF(VLOOKUP($B151,mauricio[#Data],12)=0,"Não executado",VLOOKUP($B151,mauricio[#Data],12)),"Não executado")</f>
        <v>Não executado</v>
      </c>
      <c r="M151" s="37" t="str">
        <f>IFERROR(IF(VLOOKUP($B151,Thaisa[#Data],12)=0,"Não executado",VLOOKUP($B151,Thaisa[#Data],12)),"Não executado")</f>
        <v>Não executado</v>
      </c>
      <c r="N151" s="37" t="str">
        <f>IFERROR(IF(VLOOKUP($B151,carlos[#Data],12)=0,"Não executado",VLOOKUP($B151,carlos[#Data],12)),"Não executado")</f>
        <v>Não executado</v>
      </c>
      <c r="O151" s="37" t="str">
        <f>IFERROR(IF(VLOOKUP($B151,Alessandra[#Data],12)=0,"Não executado",VLOOKUP($B151,Alessandra[#Data],12)),"Não executado")</f>
        <v>Não executado</v>
      </c>
      <c r="P151" s="37" t="str">
        <f>IFERROR(IF(VLOOKUP($B151,AnaCarolina[#Data],12)=0,"Não executado",VLOOKUP($B151,AnaCarolina[#Data],12)),"Não executado")</f>
        <v>Não executado</v>
      </c>
      <c r="Q151" s="37" t="str">
        <f>IFERROR(IF(VLOOKUP($B151,wanei[#Data],12)=0,"Não executado",VLOOKUP($B151,wanei[#Data],12)),"Não executado")</f>
        <v>Não executado</v>
      </c>
      <c r="R151" s="37" t="str">
        <f>IFERROR(IF(VLOOKUP($B151,janaina[#Data],12)=0,"Não executado",VLOOKUP($B151,janaina[#Data],12)),"Não executado")</f>
        <v>Não executado</v>
      </c>
      <c r="S151" s="93" t="str">
        <f>IFERROR(IF(VLOOKUP($B134,andreia[#Data],12)=0,"Não executado",VLOOKUP($B134,andreia[#Data],12)),"Não executado")</f>
        <v>Não executado</v>
      </c>
      <c r="T151" s="37" t="str">
        <f>IFERROR(IF(VLOOKUP($B134,homologador[#Data],12)=0,"Não executado",VLOOKUP($B134,homologador[#Data],12)),"Não executado")</f>
        <v>Não executado</v>
      </c>
      <c r="W151" s="13"/>
    </row>
    <row r="152" spans="2:23">
      <c r="B152" s="40" t="str">
        <f>IF(ISERR(casostestes[[#This Row],[ID]]),"-",casostestes[[#This Row],[ID]])</f>
        <v>-</v>
      </c>
      <c r="C152" s="34" t="str">
        <f>IFERROR(IF(VLOOKUP($B152,casostestes[#Data],10)=0,"Não",VLOOKUP($B152,casostestes[#Data],10)), "-")</f>
        <v>-</v>
      </c>
      <c r="D152" s="35" t="str">
        <f>IFERROR(IF(VLOOKUP($B152,casostestes[#Data],2)=0,"-",VLOOKUP($B152,casostestes[#Data],2)), "-")</f>
        <v>-</v>
      </c>
      <c r="E152" s="35" t="str">
        <f>IFERROR(IF(VLOOKUP($B152,casostestes[#Data],3)=0,"-",VLOOKUP($B152,casostestes[#Data],3)), "-")</f>
        <v>-</v>
      </c>
      <c r="F152" s="35" t="str">
        <f>IFERROR(IF(VLOOKUP($B152,casostestes[#Data],4)=0,"-",VLOOKUP($B152,casostestes[#Data],4)),"-")</f>
        <v>-</v>
      </c>
      <c r="G152" s="35" t="str">
        <f>IFERROR(IF(VLOOKUP($B152,casostestes[#Data],5)=0,"-",VLOOKUP($B152,casostestes[#Data],5)),"-")</f>
        <v>-</v>
      </c>
      <c r="H152" s="35" t="str">
        <f>IFERROR(IF(VLOOKUP($B152,casostestes[#Data],6)=0,"-",VLOOKUP($B152,casostestes[#Data],6)),"-")</f>
        <v>-</v>
      </c>
      <c r="I152" s="35" t="str">
        <f>IFERROR(IF(VLOOKUP($B152,casostestes[#Data],8)=0,"-",VLOOKUP($B152,casostestes[#Data],8)),"-")</f>
        <v>-</v>
      </c>
      <c r="J152" s="35" t="str">
        <f>IFERROR(IF(VLOOKUP($B152,casostestes[#Data],9)=0,"-",VLOOKUP($B152,casostestes[#Data],9)),"-")</f>
        <v>-</v>
      </c>
      <c r="K152" s="37" t="str">
        <f>IFERROR(IF(VLOOKUP($B152,orlando[#Data],12)=0,"Não executado",VLOOKUP($B152,orlando[#Data],12)),"Não executado")</f>
        <v>Não executado</v>
      </c>
      <c r="L152" s="37" t="str">
        <f>IFERROR(IF(VLOOKUP($B152,mauricio[#Data],12)=0,"Não executado",VLOOKUP($B152,mauricio[#Data],12)),"Não executado")</f>
        <v>Não executado</v>
      </c>
      <c r="M152" s="37" t="str">
        <f>IFERROR(IF(VLOOKUP($B152,Thaisa[#Data],12)=0,"Não executado",VLOOKUP($B152,Thaisa[#Data],12)),"Não executado")</f>
        <v>Não executado</v>
      </c>
      <c r="N152" s="37" t="str">
        <f>IFERROR(IF(VLOOKUP($B152,carlos[#Data],12)=0,"Não executado",VLOOKUP($B152,carlos[#Data],12)),"Não executado")</f>
        <v>Não executado</v>
      </c>
      <c r="O152" s="37" t="str">
        <f>IFERROR(IF(VLOOKUP($B152,Alessandra[#Data],12)=0,"Não executado",VLOOKUP($B152,Alessandra[#Data],12)),"Não executado")</f>
        <v>Não executado</v>
      </c>
      <c r="P152" s="37" t="str">
        <f>IFERROR(IF(VLOOKUP($B152,AnaCarolina[#Data],12)=0,"Não executado",VLOOKUP($B152,AnaCarolina[#Data],12)),"Não executado")</f>
        <v>Não executado</v>
      </c>
      <c r="Q152" s="37" t="str">
        <f>IFERROR(IF(VLOOKUP($B152,wanei[#Data],12)=0,"Não executado",VLOOKUP($B152,wanei[#Data],12)),"Não executado")</f>
        <v>Não executado</v>
      </c>
      <c r="R152" s="37" t="str">
        <f>IFERROR(IF(VLOOKUP($B152,janaina[#Data],12)=0,"Não executado",VLOOKUP($B152,janaina[#Data],12)),"Não executado")</f>
        <v>Não executado</v>
      </c>
      <c r="S152" s="93" t="str">
        <f>IFERROR(IF(VLOOKUP($B135,andreia[#Data],12)=0,"Não executado",VLOOKUP($B135,andreia[#Data],12)),"Não executado")</f>
        <v>Não executado</v>
      </c>
      <c r="T152" s="37" t="str">
        <f>IFERROR(IF(VLOOKUP($B135,homologador[#Data],12)=0,"Não executado",VLOOKUP($B135,homologador[#Data],12)),"Não executado")</f>
        <v>Não executado</v>
      </c>
      <c r="W152" s="13"/>
    </row>
    <row r="153" spans="2:23">
      <c r="B153" s="40" t="str">
        <f>IF(ISERR(casostestes[[#This Row],[ID]]),"-",casostestes[[#This Row],[ID]])</f>
        <v>-</v>
      </c>
      <c r="C153" s="34" t="str">
        <f>IFERROR(IF(VLOOKUP($B153,casostestes[#Data],10)=0,"Não",VLOOKUP($B153,casostestes[#Data],10)), "-")</f>
        <v>-</v>
      </c>
      <c r="D153" s="35" t="str">
        <f>IFERROR(IF(VLOOKUP($B153,casostestes[#Data],2)=0,"-",VLOOKUP($B153,casostestes[#Data],2)), "-")</f>
        <v>-</v>
      </c>
      <c r="E153" s="35" t="str">
        <f>IFERROR(IF(VLOOKUP($B153,casostestes[#Data],3)=0,"-",VLOOKUP($B153,casostestes[#Data],3)), "-")</f>
        <v>-</v>
      </c>
      <c r="F153" s="35" t="str">
        <f>IFERROR(IF(VLOOKUP($B153,casostestes[#Data],4)=0,"-",VLOOKUP($B153,casostestes[#Data],4)),"-")</f>
        <v>-</v>
      </c>
      <c r="G153" s="35" t="str">
        <f>IFERROR(IF(VLOOKUP($B153,casostestes[#Data],5)=0,"-",VLOOKUP($B153,casostestes[#Data],5)),"-")</f>
        <v>-</v>
      </c>
      <c r="H153" s="35" t="str">
        <f>IFERROR(IF(VLOOKUP($B153,casostestes[#Data],6)=0,"-",VLOOKUP($B153,casostestes[#Data],6)),"-")</f>
        <v>-</v>
      </c>
      <c r="I153" s="35" t="str">
        <f>IFERROR(IF(VLOOKUP($B153,casostestes[#Data],8)=0,"-",VLOOKUP($B153,casostestes[#Data],8)),"-")</f>
        <v>-</v>
      </c>
      <c r="J153" s="35" t="str">
        <f>IFERROR(IF(VLOOKUP($B153,casostestes[#Data],9)=0,"-",VLOOKUP($B153,casostestes[#Data],9)),"-")</f>
        <v>-</v>
      </c>
      <c r="K153" s="37" t="str">
        <f>IFERROR(IF(VLOOKUP($B153,orlando[#Data],12)=0,"Não executado",VLOOKUP($B153,orlando[#Data],12)),"Não executado")</f>
        <v>Não executado</v>
      </c>
      <c r="L153" s="37" t="str">
        <f>IFERROR(IF(VLOOKUP($B153,mauricio[#Data],12)=0,"Não executado",VLOOKUP($B153,mauricio[#Data],12)),"Não executado")</f>
        <v>Não executado</v>
      </c>
      <c r="M153" s="37" t="str">
        <f>IFERROR(IF(VLOOKUP($B153,Thaisa[#Data],12)=0,"Não executado",VLOOKUP($B153,Thaisa[#Data],12)),"Não executado")</f>
        <v>Não executado</v>
      </c>
      <c r="N153" s="37" t="str">
        <f>IFERROR(IF(VLOOKUP($B153,carlos[#Data],12)=0,"Não executado",VLOOKUP($B153,carlos[#Data],12)),"Não executado")</f>
        <v>Não executado</v>
      </c>
      <c r="O153" s="37" t="str">
        <f>IFERROR(IF(VLOOKUP($B153,Alessandra[#Data],12)=0,"Não executado",VLOOKUP($B153,Alessandra[#Data],12)),"Não executado")</f>
        <v>Não executado</v>
      </c>
      <c r="P153" s="37" t="str">
        <f>IFERROR(IF(VLOOKUP($B153,AnaCarolina[#Data],12)=0,"Não executado",VLOOKUP($B153,AnaCarolina[#Data],12)),"Não executado")</f>
        <v>Não executado</v>
      </c>
      <c r="Q153" s="37" t="str">
        <f>IFERROR(IF(VLOOKUP($B153,wanei[#Data],12)=0,"Não executado",VLOOKUP($B153,wanei[#Data],12)),"Não executado")</f>
        <v>Não executado</v>
      </c>
      <c r="R153" s="37" t="str">
        <f>IFERROR(IF(VLOOKUP($B153,janaina[#Data],12)=0,"Não executado",VLOOKUP($B153,janaina[#Data],12)),"Não executado")</f>
        <v>Não executado</v>
      </c>
      <c r="S153" s="93" t="str">
        <f>IFERROR(IF(VLOOKUP($B136,andreia[#Data],12)=0,"Não executado",VLOOKUP($B136,andreia[#Data],12)),"Não executado")</f>
        <v>Não executado</v>
      </c>
      <c r="T153" s="37" t="str">
        <f>IFERROR(IF(VLOOKUP($B136,homologador[#Data],12)=0,"Não executado",VLOOKUP($B136,homologador[#Data],12)),"Não executado")</f>
        <v>Não executado</v>
      </c>
      <c r="W153" s="13"/>
    </row>
    <row r="154" spans="2:23">
      <c r="B154" s="40" t="str">
        <f>IF(ISERR(casostestes[[#This Row],[ID]]),"-",casostestes[[#This Row],[ID]])</f>
        <v>-</v>
      </c>
      <c r="C154" s="34" t="str">
        <f>IFERROR(IF(VLOOKUP($B154,casostestes[#Data],10)=0,"Não",VLOOKUP($B154,casostestes[#Data],10)), "-")</f>
        <v>-</v>
      </c>
      <c r="D154" s="35" t="str">
        <f>IFERROR(IF(VLOOKUP($B154,casostestes[#Data],2)=0,"-",VLOOKUP($B154,casostestes[#Data],2)), "-")</f>
        <v>-</v>
      </c>
      <c r="E154" s="35" t="str">
        <f>IFERROR(IF(VLOOKUP($B154,casostestes[#Data],3)=0,"-",VLOOKUP($B154,casostestes[#Data],3)), "-")</f>
        <v>-</v>
      </c>
      <c r="F154" s="35" t="str">
        <f>IFERROR(IF(VLOOKUP($B154,casostestes[#Data],4)=0,"-",VLOOKUP($B154,casostestes[#Data],4)),"-")</f>
        <v>-</v>
      </c>
      <c r="G154" s="35" t="str">
        <f>IFERROR(IF(VLOOKUP($B154,casostestes[#Data],5)=0,"-",VLOOKUP($B154,casostestes[#Data],5)),"-")</f>
        <v>-</v>
      </c>
      <c r="H154" s="35" t="str">
        <f>IFERROR(IF(VLOOKUP($B154,casostestes[#Data],6)=0,"-",VLOOKUP($B154,casostestes[#Data],6)),"-")</f>
        <v>-</v>
      </c>
      <c r="I154" s="35" t="str">
        <f>IFERROR(IF(VLOOKUP($B154,casostestes[#Data],8)=0,"-",VLOOKUP($B154,casostestes[#Data],8)),"-")</f>
        <v>-</v>
      </c>
      <c r="J154" s="35" t="str">
        <f>IFERROR(IF(VLOOKUP($B154,casostestes[#Data],9)=0,"-",VLOOKUP($B154,casostestes[#Data],9)),"-")</f>
        <v>-</v>
      </c>
      <c r="K154" s="37" t="str">
        <f>IFERROR(IF(VLOOKUP($B154,orlando[#Data],12)=0,"Não executado",VLOOKUP($B154,orlando[#Data],12)),"Não executado")</f>
        <v>Não executado</v>
      </c>
      <c r="L154" s="37" t="str">
        <f>IFERROR(IF(VLOOKUP($B154,mauricio[#Data],12)=0,"Não executado",VLOOKUP($B154,mauricio[#Data],12)),"Não executado")</f>
        <v>Não executado</v>
      </c>
      <c r="M154" s="37" t="str">
        <f>IFERROR(IF(VLOOKUP($B154,Thaisa[#Data],12)=0,"Não executado",VLOOKUP($B154,Thaisa[#Data],12)),"Não executado")</f>
        <v>Não executado</v>
      </c>
      <c r="N154" s="37" t="str">
        <f>IFERROR(IF(VLOOKUP($B154,carlos[#Data],12)=0,"Não executado",VLOOKUP($B154,carlos[#Data],12)),"Não executado")</f>
        <v>Não executado</v>
      </c>
      <c r="O154" s="37" t="str">
        <f>IFERROR(IF(VLOOKUP($B154,Alessandra[#Data],12)=0,"Não executado",VLOOKUP($B154,Alessandra[#Data],12)),"Não executado")</f>
        <v>Não executado</v>
      </c>
      <c r="P154" s="37" t="str">
        <f>IFERROR(IF(VLOOKUP($B154,AnaCarolina[#Data],12)=0,"Não executado",VLOOKUP($B154,AnaCarolina[#Data],12)),"Não executado")</f>
        <v>Não executado</v>
      </c>
      <c r="Q154" s="37" t="str">
        <f>IFERROR(IF(VLOOKUP($B154,wanei[#Data],12)=0,"Não executado",VLOOKUP($B154,wanei[#Data],12)),"Não executado")</f>
        <v>Não executado</v>
      </c>
      <c r="R154" s="37" t="str">
        <f>IFERROR(IF(VLOOKUP($B154,janaina[#Data],12)=0,"Não executado",VLOOKUP($B154,janaina[#Data],12)),"Não executado")</f>
        <v>Não executado</v>
      </c>
      <c r="S154" s="93" t="str">
        <f>IFERROR(IF(VLOOKUP($B137,andreia[#Data],12)=0,"Não executado",VLOOKUP($B137,andreia[#Data],12)),"Não executado")</f>
        <v>Não executado</v>
      </c>
      <c r="T154" s="37" t="str">
        <f>IFERROR(IF(VLOOKUP($B137,homologador[#Data],12)=0,"Não executado",VLOOKUP($B137,homologador[#Data],12)),"Não executado")</f>
        <v>Não executado</v>
      </c>
      <c r="W154" s="13"/>
    </row>
    <row r="155" spans="2:23">
      <c r="B155" s="40" t="str">
        <f>IF(ISERR(casostestes[[#This Row],[ID]]),"-",casostestes[[#This Row],[ID]])</f>
        <v>-</v>
      </c>
      <c r="C155" s="34" t="str">
        <f>IFERROR(IF(VLOOKUP($B155,casostestes[#Data],10)=0,"Não",VLOOKUP($B155,casostestes[#Data],10)), "-")</f>
        <v>-</v>
      </c>
      <c r="D155" s="35" t="str">
        <f>IFERROR(IF(VLOOKUP($B155,casostestes[#Data],2)=0,"-",VLOOKUP($B155,casostestes[#Data],2)), "-")</f>
        <v>-</v>
      </c>
      <c r="E155" s="35" t="str">
        <f>IFERROR(IF(VLOOKUP($B155,casostestes[#Data],3)=0,"-",VLOOKUP($B155,casostestes[#Data],3)), "-")</f>
        <v>-</v>
      </c>
      <c r="F155" s="35" t="str">
        <f>IFERROR(IF(VLOOKUP($B155,casostestes[#Data],4)=0,"-",VLOOKUP($B155,casostestes[#Data],4)),"-")</f>
        <v>-</v>
      </c>
      <c r="G155" s="35" t="str">
        <f>IFERROR(IF(VLOOKUP($B155,casostestes[#Data],5)=0,"-",VLOOKUP($B155,casostestes[#Data],5)),"-")</f>
        <v>-</v>
      </c>
      <c r="H155" s="35" t="str">
        <f>IFERROR(IF(VLOOKUP($B155,casostestes[#Data],6)=0,"-",VLOOKUP($B155,casostestes[#Data],6)),"-")</f>
        <v>-</v>
      </c>
      <c r="I155" s="35" t="str">
        <f>IFERROR(IF(VLOOKUP($B155,casostestes[#Data],8)=0,"-",VLOOKUP($B155,casostestes[#Data],8)),"-")</f>
        <v>-</v>
      </c>
      <c r="J155" s="35" t="str">
        <f>IFERROR(IF(VLOOKUP($B155,casostestes[#Data],9)=0,"-",VLOOKUP($B155,casostestes[#Data],9)),"-")</f>
        <v>-</v>
      </c>
      <c r="K155" s="37" t="str">
        <f>IFERROR(IF(VLOOKUP($B155,orlando[#Data],12)=0,"Não executado",VLOOKUP($B155,orlando[#Data],12)),"Não executado")</f>
        <v>Não executado</v>
      </c>
      <c r="L155" s="37" t="str">
        <f>IFERROR(IF(VLOOKUP($B155,mauricio[#Data],12)=0,"Não executado",VLOOKUP($B155,mauricio[#Data],12)),"Não executado")</f>
        <v>Não executado</v>
      </c>
      <c r="M155" s="37" t="str">
        <f>IFERROR(IF(VLOOKUP($B155,Thaisa[#Data],12)=0,"Não executado",VLOOKUP($B155,Thaisa[#Data],12)),"Não executado")</f>
        <v>Não executado</v>
      </c>
      <c r="N155" s="37" t="str">
        <f>IFERROR(IF(VLOOKUP($B155,carlos[#Data],12)=0,"Não executado",VLOOKUP($B155,carlos[#Data],12)),"Não executado")</f>
        <v>Não executado</v>
      </c>
      <c r="O155" s="37" t="str">
        <f>IFERROR(IF(VLOOKUP($B155,Alessandra[#Data],12)=0,"Não executado",VLOOKUP($B155,Alessandra[#Data],12)),"Não executado")</f>
        <v>Não executado</v>
      </c>
      <c r="P155" s="37" t="str">
        <f>IFERROR(IF(VLOOKUP($B155,AnaCarolina[#Data],12)=0,"Não executado",VLOOKUP($B155,AnaCarolina[#Data],12)),"Não executado")</f>
        <v>Não executado</v>
      </c>
      <c r="Q155" s="37" t="str">
        <f>IFERROR(IF(VLOOKUP($B155,wanei[#Data],12)=0,"Não executado",VLOOKUP($B155,wanei[#Data],12)),"Não executado")</f>
        <v>Não executado</v>
      </c>
      <c r="R155" s="37" t="str">
        <f>IFERROR(IF(VLOOKUP($B155,janaina[#Data],12)=0,"Não executado",VLOOKUP($B155,janaina[#Data],12)),"Não executado")</f>
        <v>Não executado</v>
      </c>
      <c r="S155" s="93" t="str">
        <f>IFERROR(IF(VLOOKUP($B138,andreia[#Data],12)=0,"Não executado",VLOOKUP($B138,andreia[#Data],12)),"Não executado")</f>
        <v>Não executado</v>
      </c>
      <c r="T155" s="37" t="str">
        <f>IFERROR(IF(VLOOKUP($B138,homologador[#Data],12)=0,"Não executado",VLOOKUP($B138,homologador[#Data],12)),"Não executado")</f>
        <v>Não executado</v>
      </c>
      <c r="W155" s="13"/>
    </row>
    <row r="156" spans="2:23">
      <c r="B156" s="40" t="str">
        <f>IF(ISERR(casostestes[[#This Row],[ID]]),"-",casostestes[[#This Row],[ID]])</f>
        <v>-</v>
      </c>
      <c r="C156" s="34" t="str">
        <f>IFERROR(IF(VLOOKUP($B156,casostestes[#Data],10)=0,"Não",VLOOKUP($B156,casostestes[#Data],10)), "-")</f>
        <v>-</v>
      </c>
      <c r="D156" s="35" t="str">
        <f>IFERROR(IF(VLOOKUP($B156,casostestes[#Data],2)=0,"-",VLOOKUP($B156,casostestes[#Data],2)), "-")</f>
        <v>-</v>
      </c>
      <c r="E156" s="35" t="str">
        <f>IFERROR(IF(VLOOKUP($B156,casostestes[#Data],3)=0,"-",VLOOKUP($B156,casostestes[#Data],3)), "-")</f>
        <v>-</v>
      </c>
      <c r="F156" s="35" t="str">
        <f>IFERROR(IF(VLOOKUP($B156,casostestes[#Data],4)=0,"-",VLOOKUP($B156,casostestes[#Data],4)),"-")</f>
        <v>-</v>
      </c>
      <c r="G156" s="35" t="str">
        <f>IFERROR(IF(VLOOKUP($B156,casostestes[#Data],5)=0,"-",VLOOKUP($B156,casostestes[#Data],5)),"-")</f>
        <v>-</v>
      </c>
      <c r="H156" s="35" t="str">
        <f>IFERROR(IF(VLOOKUP($B156,casostestes[#Data],6)=0,"-",VLOOKUP($B156,casostestes[#Data],6)),"-")</f>
        <v>-</v>
      </c>
      <c r="I156" s="35" t="str">
        <f>IFERROR(IF(VLOOKUP($B156,casostestes[#Data],8)=0,"-",VLOOKUP($B156,casostestes[#Data],8)),"-")</f>
        <v>-</v>
      </c>
      <c r="J156" s="35" t="str">
        <f>IFERROR(IF(VLOOKUP($B156,casostestes[#Data],9)=0,"-",VLOOKUP($B156,casostestes[#Data],9)),"-")</f>
        <v>-</v>
      </c>
      <c r="K156" s="37" t="str">
        <f>IFERROR(IF(VLOOKUP($B156,orlando[#Data],12)=0,"Não executado",VLOOKUP($B156,orlando[#Data],12)),"Não executado")</f>
        <v>Não executado</v>
      </c>
      <c r="L156" s="37" t="str">
        <f>IFERROR(IF(VLOOKUP($B156,mauricio[#Data],12)=0,"Não executado",VLOOKUP($B156,mauricio[#Data],12)),"Não executado")</f>
        <v>Não executado</v>
      </c>
      <c r="M156" s="37" t="str">
        <f>IFERROR(IF(VLOOKUP($B156,Thaisa[#Data],12)=0,"Não executado",VLOOKUP($B156,Thaisa[#Data],12)),"Não executado")</f>
        <v>Não executado</v>
      </c>
      <c r="N156" s="37" t="str">
        <f>IFERROR(IF(VLOOKUP($B156,carlos[#Data],12)=0,"Não executado",VLOOKUP($B156,carlos[#Data],12)),"Não executado")</f>
        <v>Não executado</v>
      </c>
      <c r="O156" s="37" t="str">
        <f>IFERROR(IF(VLOOKUP($B156,Alessandra[#Data],12)=0,"Não executado",VLOOKUP($B156,Alessandra[#Data],12)),"Não executado")</f>
        <v>Não executado</v>
      </c>
      <c r="P156" s="37" t="str">
        <f>IFERROR(IF(VLOOKUP($B156,AnaCarolina[#Data],12)=0,"Não executado",VLOOKUP($B156,AnaCarolina[#Data],12)),"Não executado")</f>
        <v>Não executado</v>
      </c>
      <c r="Q156" s="37" t="str">
        <f>IFERROR(IF(VLOOKUP($B156,wanei[#Data],12)=0,"Não executado",VLOOKUP($B156,wanei[#Data],12)),"Não executado")</f>
        <v>Não executado</v>
      </c>
      <c r="R156" s="37" t="str">
        <f>IFERROR(IF(VLOOKUP($B156,janaina[#Data],12)=0,"Não executado",VLOOKUP($B156,janaina[#Data],12)),"Não executado")</f>
        <v>Não executado</v>
      </c>
      <c r="S156" s="93" t="str">
        <f>IFERROR(IF(VLOOKUP($B139,andreia[#Data],12)=0,"Não executado",VLOOKUP($B139,andreia[#Data],12)),"Não executado")</f>
        <v>Não executado</v>
      </c>
      <c r="T156" s="37" t="str">
        <f>IFERROR(IF(VLOOKUP($B139,homologador[#Data],12)=0,"Não executado",VLOOKUP($B139,homologador[#Data],12)),"Não executado")</f>
        <v>Não executado</v>
      </c>
      <c r="W156" s="13"/>
    </row>
    <row r="157" spans="2:23">
      <c r="B157" s="40" t="str">
        <f>IF(ISERR(casostestes[[#This Row],[ID]]),"-",casostestes[[#This Row],[ID]])</f>
        <v>-</v>
      </c>
      <c r="C157" s="34" t="str">
        <f>IFERROR(IF(VLOOKUP($B157,casostestes[#Data],10)=0,"Não",VLOOKUP($B157,casostestes[#Data],10)), "-")</f>
        <v>-</v>
      </c>
      <c r="D157" s="35" t="str">
        <f>IFERROR(IF(VLOOKUP($B157,casostestes[#Data],2)=0,"-",VLOOKUP($B157,casostestes[#Data],2)), "-")</f>
        <v>-</v>
      </c>
      <c r="E157" s="35" t="str">
        <f>IFERROR(IF(VLOOKUP($B157,casostestes[#Data],3)=0,"-",VLOOKUP($B157,casostestes[#Data],3)), "-")</f>
        <v>-</v>
      </c>
      <c r="F157" s="35" t="str">
        <f>IFERROR(IF(VLOOKUP($B157,casostestes[#Data],4)=0,"-",VLOOKUP($B157,casostestes[#Data],4)),"-")</f>
        <v>-</v>
      </c>
      <c r="G157" s="35" t="str">
        <f>IFERROR(IF(VLOOKUP($B157,casostestes[#Data],5)=0,"-",VLOOKUP($B157,casostestes[#Data],5)),"-")</f>
        <v>-</v>
      </c>
      <c r="H157" s="35" t="str">
        <f>IFERROR(IF(VLOOKUP($B157,casostestes[#Data],6)=0,"-",VLOOKUP($B157,casostestes[#Data],6)),"-")</f>
        <v>-</v>
      </c>
      <c r="I157" s="35" t="str">
        <f>IFERROR(IF(VLOOKUP($B157,casostestes[#Data],8)=0,"-",VLOOKUP($B157,casostestes[#Data],8)),"-")</f>
        <v>-</v>
      </c>
      <c r="J157" s="35" t="str">
        <f>IFERROR(IF(VLOOKUP($B157,casostestes[#Data],9)=0,"-",VLOOKUP($B157,casostestes[#Data],9)),"-")</f>
        <v>-</v>
      </c>
      <c r="K157" s="37" t="str">
        <f>IFERROR(IF(VLOOKUP($B157,orlando[#Data],12)=0,"Não executado",VLOOKUP($B157,orlando[#Data],12)),"Não executado")</f>
        <v>Não executado</v>
      </c>
      <c r="L157" s="37" t="str">
        <f>IFERROR(IF(VLOOKUP($B157,mauricio[#Data],12)=0,"Não executado",VLOOKUP($B157,mauricio[#Data],12)),"Não executado")</f>
        <v>Não executado</v>
      </c>
      <c r="M157" s="37" t="str">
        <f>IFERROR(IF(VLOOKUP($B157,Thaisa[#Data],12)=0,"Não executado",VLOOKUP($B157,Thaisa[#Data],12)),"Não executado")</f>
        <v>Não executado</v>
      </c>
      <c r="N157" s="37" t="str">
        <f>IFERROR(IF(VLOOKUP($B157,carlos[#Data],12)=0,"Não executado",VLOOKUP($B157,carlos[#Data],12)),"Não executado")</f>
        <v>Não executado</v>
      </c>
      <c r="O157" s="37" t="str">
        <f>IFERROR(IF(VLOOKUP($B157,Alessandra[#Data],12)=0,"Não executado",VLOOKUP($B157,Alessandra[#Data],12)),"Não executado")</f>
        <v>Não executado</v>
      </c>
      <c r="P157" s="37" t="str">
        <f>IFERROR(IF(VLOOKUP($B157,AnaCarolina[#Data],12)=0,"Não executado",VLOOKUP($B157,AnaCarolina[#Data],12)),"Não executado")</f>
        <v>Não executado</v>
      </c>
      <c r="Q157" s="37" t="str">
        <f>IFERROR(IF(VLOOKUP($B157,wanei[#Data],12)=0,"Não executado",VLOOKUP($B157,wanei[#Data],12)),"Não executado")</f>
        <v>Não executado</v>
      </c>
      <c r="R157" s="37" t="str">
        <f>IFERROR(IF(VLOOKUP($B157,janaina[#Data],12)=0,"Não executado",VLOOKUP($B157,janaina[#Data],12)),"Não executado")</f>
        <v>Não executado</v>
      </c>
      <c r="S157" s="93" t="str">
        <f>IFERROR(IF(VLOOKUP($B140,andreia[#Data],12)=0,"Não executado",VLOOKUP($B140,andreia[#Data],12)),"Não executado")</f>
        <v>Não executado</v>
      </c>
      <c r="T157" s="37" t="str">
        <f>IFERROR(IF(VLOOKUP($B140,homologador[#Data],12)=0,"Não executado",VLOOKUP($B140,homologador[#Data],12)),"Não executado")</f>
        <v>Não executado</v>
      </c>
      <c r="W157" s="13"/>
    </row>
    <row r="158" spans="2:23">
      <c r="B158" s="40" t="str">
        <f>IF(ISERR(casostestes[[#This Row],[ID]]),"-",casostestes[[#This Row],[ID]])</f>
        <v>-</v>
      </c>
      <c r="C158" s="34" t="str">
        <f>IFERROR(IF(VLOOKUP($B158,casostestes[#Data],10)=0,"Não",VLOOKUP($B158,casostestes[#Data],10)), "-")</f>
        <v>-</v>
      </c>
      <c r="D158" s="35" t="str">
        <f>IFERROR(IF(VLOOKUP($B158,casostestes[#Data],2)=0,"-",VLOOKUP($B158,casostestes[#Data],2)), "-")</f>
        <v>-</v>
      </c>
      <c r="E158" s="35" t="str">
        <f>IFERROR(IF(VLOOKUP($B158,casostestes[#Data],3)=0,"-",VLOOKUP($B158,casostestes[#Data],3)), "-")</f>
        <v>-</v>
      </c>
      <c r="F158" s="35" t="str">
        <f>IFERROR(IF(VLOOKUP($B158,casostestes[#Data],4)=0,"-",VLOOKUP($B158,casostestes[#Data],4)),"-")</f>
        <v>-</v>
      </c>
      <c r="G158" s="35" t="str">
        <f>IFERROR(IF(VLOOKUP($B158,casostestes[#Data],5)=0,"-",VLOOKUP($B158,casostestes[#Data],5)),"-")</f>
        <v>-</v>
      </c>
      <c r="H158" s="35" t="str">
        <f>IFERROR(IF(VLOOKUP($B158,casostestes[#Data],6)=0,"-",VLOOKUP($B158,casostestes[#Data],6)),"-")</f>
        <v>-</v>
      </c>
      <c r="I158" s="35" t="str">
        <f>IFERROR(IF(VLOOKUP($B158,casostestes[#Data],8)=0,"-",VLOOKUP($B158,casostestes[#Data],8)),"-")</f>
        <v>-</v>
      </c>
      <c r="J158" s="35" t="str">
        <f>IFERROR(IF(VLOOKUP($B158,casostestes[#Data],9)=0,"-",VLOOKUP($B158,casostestes[#Data],9)),"-")</f>
        <v>-</v>
      </c>
      <c r="K158" s="37" t="str">
        <f>IFERROR(IF(VLOOKUP($B158,orlando[#Data],12)=0,"Não executado",VLOOKUP($B158,orlando[#Data],12)),"Não executado")</f>
        <v>Não executado</v>
      </c>
      <c r="L158" s="37" t="str">
        <f>IFERROR(IF(VLOOKUP($B158,mauricio[#Data],12)=0,"Não executado",VLOOKUP($B158,mauricio[#Data],12)),"Não executado")</f>
        <v>Não executado</v>
      </c>
      <c r="M158" s="37" t="str">
        <f>IFERROR(IF(VLOOKUP($B158,Thaisa[#Data],12)=0,"Não executado",VLOOKUP($B158,Thaisa[#Data],12)),"Não executado")</f>
        <v>Não executado</v>
      </c>
      <c r="N158" s="37" t="str">
        <f>IFERROR(IF(VLOOKUP($B158,carlos[#Data],12)=0,"Não executado",VLOOKUP($B158,carlos[#Data],12)),"Não executado")</f>
        <v>Não executado</v>
      </c>
      <c r="O158" s="37" t="str">
        <f>IFERROR(IF(VLOOKUP($B158,Alessandra[#Data],12)=0,"Não executado",VLOOKUP($B158,Alessandra[#Data],12)),"Não executado")</f>
        <v>Não executado</v>
      </c>
      <c r="P158" s="37" t="str">
        <f>IFERROR(IF(VLOOKUP($B158,AnaCarolina[#Data],12)=0,"Não executado",VLOOKUP($B158,AnaCarolina[#Data],12)),"Não executado")</f>
        <v>Não executado</v>
      </c>
      <c r="Q158" s="37" t="str">
        <f>IFERROR(IF(VLOOKUP($B158,wanei[#Data],12)=0,"Não executado",VLOOKUP($B158,wanei[#Data],12)),"Não executado")</f>
        <v>Não executado</v>
      </c>
      <c r="R158" s="37" t="str">
        <f>IFERROR(IF(VLOOKUP($B158,janaina[#Data],12)=0,"Não executado",VLOOKUP($B158,janaina[#Data],12)),"Não executado")</f>
        <v>Não executado</v>
      </c>
      <c r="S158" s="93" t="str">
        <f>IFERROR(IF(VLOOKUP($B141,andreia[#Data],12)=0,"Não executado",VLOOKUP($B141,andreia[#Data],12)),"Não executado")</f>
        <v>Não executado</v>
      </c>
      <c r="T158" s="37" t="str">
        <f>IFERROR(IF(VLOOKUP($B141,homologador[#Data],12)=0,"Não executado",VLOOKUP($B141,homologador[#Data],12)),"Não executado")</f>
        <v>Não executado</v>
      </c>
      <c r="W158" s="13"/>
    </row>
    <row r="159" spans="2:23">
      <c r="B159" s="40" t="str">
        <f>IF(ISERR(casostestes[[#This Row],[ID]]),"-",casostestes[[#This Row],[ID]])</f>
        <v>-</v>
      </c>
      <c r="C159" s="34" t="str">
        <f>IFERROR(IF(VLOOKUP($B159,casostestes[#Data],10)=0,"Não",VLOOKUP($B159,casostestes[#Data],10)), "-")</f>
        <v>-</v>
      </c>
      <c r="D159" s="35" t="str">
        <f>IFERROR(IF(VLOOKUP($B159,casostestes[#Data],2)=0,"-",VLOOKUP($B159,casostestes[#Data],2)), "-")</f>
        <v>-</v>
      </c>
      <c r="E159" s="35" t="str">
        <f>IFERROR(IF(VLOOKUP($B159,casostestes[#Data],3)=0,"-",VLOOKUP($B159,casostestes[#Data],3)), "-")</f>
        <v>-</v>
      </c>
      <c r="F159" s="35" t="str">
        <f>IFERROR(IF(VLOOKUP($B159,casostestes[#Data],4)=0,"-",VLOOKUP($B159,casostestes[#Data],4)),"-")</f>
        <v>-</v>
      </c>
      <c r="G159" s="35" t="str">
        <f>IFERROR(IF(VLOOKUP($B159,casostestes[#Data],5)=0,"-",VLOOKUP($B159,casostestes[#Data],5)),"-")</f>
        <v>-</v>
      </c>
      <c r="H159" s="35" t="str">
        <f>IFERROR(IF(VLOOKUP($B159,casostestes[#Data],6)=0,"-",VLOOKUP($B159,casostestes[#Data],6)),"-")</f>
        <v>-</v>
      </c>
      <c r="I159" s="35" t="str">
        <f>IFERROR(IF(VLOOKUP($B159,casostestes[#Data],8)=0,"-",VLOOKUP($B159,casostestes[#Data],8)),"-")</f>
        <v>-</v>
      </c>
      <c r="J159" s="35" t="str">
        <f>IFERROR(IF(VLOOKUP($B159,casostestes[#Data],9)=0,"-",VLOOKUP($B159,casostestes[#Data],9)),"-")</f>
        <v>-</v>
      </c>
      <c r="K159" s="37" t="str">
        <f>IFERROR(IF(VLOOKUP($B159,orlando[#Data],12)=0,"Não executado",VLOOKUP($B159,orlando[#Data],12)),"Não executado")</f>
        <v>Não executado</v>
      </c>
      <c r="L159" s="37" t="str">
        <f>IFERROR(IF(VLOOKUP($B159,mauricio[#Data],12)=0,"Não executado",VLOOKUP($B159,mauricio[#Data],12)),"Não executado")</f>
        <v>Não executado</v>
      </c>
      <c r="M159" s="37" t="str">
        <f>IFERROR(IF(VLOOKUP($B159,Thaisa[#Data],12)=0,"Não executado",VLOOKUP($B159,Thaisa[#Data],12)),"Não executado")</f>
        <v>Não executado</v>
      </c>
      <c r="N159" s="37" t="str">
        <f>IFERROR(IF(VLOOKUP($B159,carlos[#Data],12)=0,"Não executado",VLOOKUP($B159,carlos[#Data],12)),"Não executado")</f>
        <v>Não executado</v>
      </c>
      <c r="O159" s="37" t="str">
        <f>IFERROR(IF(VLOOKUP($B159,Alessandra[#Data],12)=0,"Não executado",VLOOKUP($B159,Alessandra[#Data],12)),"Não executado")</f>
        <v>Não executado</v>
      </c>
      <c r="P159" s="37" t="str">
        <f>IFERROR(IF(VLOOKUP($B159,AnaCarolina[#Data],12)=0,"Não executado",VLOOKUP($B159,AnaCarolina[#Data],12)),"Não executado")</f>
        <v>Não executado</v>
      </c>
      <c r="Q159" s="37" t="str">
        <f>IFERROR(IF(VLOOKUP($B159,wanei[#Data],12)=0,"Não executado",VLOOKUP($B159,wanei[#Data],12)),"Não executado")</f>
        <v>Não executado</v>
      </c>
      <c r="R159" s="37" t="str">
        <f>IFERROR(IF(VLOOKUP($B159,janaina[#Data],12)=0,"Não executado",VLOOKUP($B159,janaina[#Data],12)),"Não executado")</f>
        <v>Não executado</v>
      </c>
      <c r="S159" s="93" t="str">
        <f>IFERROR(IF(VLOOKUP($B142,andreia[#Data],12)=0,"Não executado",VLOOKUP($B142,andreia[#Data],12)),"Não executado")</f>
        <v>Não executado</v>
      </c>
      <c r="T159" s="37" t="str">
        <f>IFERROR(IF(VLOOKUP($B142,homologador[#Data],12)=0,"Não executado",VLOOKUP($B142,homologador[#Data],12)),"Não executado")</f>
        <v>Não executado</v>
      </c>
      <c r="W159" s="13"/>
    </row>
    <row r="160" spans="2:23">
      <c r="B160" s="40" t="str">
        <f>IF(ISERR(casostestes[[#This Row],[ID]]),"-",casostestes[[#This Row],[ID]])</f>
        <v>-</v>
      </c>
      <c r="C160" s="34" t="str">
        <f>IFERROR(IF(VLOOKUP($B160,casostestes[#Data],10)=0,"Não",VLOOKUP($B160,casostestes[#Data],10)), "-")</f>
        <v>-</v>
      </c>
      <c r="D160" s="35" t="str">
        <f>IFERROR(IF(VLOOKUP($B160,casostestes[#Data],2)=0,"-",VLOOKUP($B160,casostestes[#Data],2)), "-")</f>
        <v>-</v>
      </c>
      <c r="E160" s="35" t="str">
        <f>IFERROR(IF(VLOOKUP($B160,casostestes[#Data],3)=0,"-",VLOOKUP($B160,casostestes[#Data],3)), "-")</f>
        <v>-</v>
      </c>
      <c r="F160" s="35" t="str">
        <f>IFERROR(IF(VLOOKUP($B160,casostestes[#Data],4)=0,"-",VLOOKUP($B160,casostestes[#Data],4)),"-")</f>
        <v>-</v>
      </c>
      <c r="G160" s="35" t="str">
        <f>IFERROR(IF(VLOOKUP($B160,casostestes[#Data],5)=0,"-",VLOOKUP($B160,casostestes[#Data],5)),"-")</f>
        <v>-</v>
      </c>
      <c r="H160" s="35" t="str">
        <f>IFERROR(IF(VLOOKUP($B160,casostestes[#Data],6)=0,"-",VLOOKUP($B160,casostestes[#Data],6)),"-")</f>
        <v>-</v>
      </c>
      <c r="I160" s="35" t="str">
        <f>IFERROR(IF(VLOOKUP($B160,casostestes[#Data],8)=0,"-",VLOOKUP($B160,casostestes[#Data],8)),"-")</f>
        <v>-</v>
      </c>
      <c r="J160" s="35" t="str">
        <f>IFERROR(IF(VLOOKUP($B160,casostestes[#Data],9)=0,"-",VLOOKUP($B160,casostestes[#Data],9)),"-")</f>
        <v>-</v>
      </c>
      <c r="K160" s="37" t="str">
        <f>IFERROR(IF(VLOOKUP($B160,orlando[#Data],12)=0,"Não executado",VLOOKUP($B160,orlando[#Data],12)),"Não executado")</f>
        <v>Não executado</v>
      </c>
      <c r="L160" s="37" t="str">
        <f>IFERROR(IF(VLOOKUP($B160,mauricio[#Data],12)=0,"Não executado",VLOOKUP($B160,mauricio[#Data],12)),"Não executado")</f>
        <v>Não executado</v>
      </c>
      <c r="M160" s="37" t="str">
        <f>IFERROR(IF(VLOOKUP($B160,Thaisa[#Data],12)=0,"Não executado",VLOOKUP($B160,Thaisa[#Data],12)),"Não executado")</f>
        <v>Não executado</v>
      </c>
      <c r="N160" s="37" t="str">
        <f>IFERROR(IF(VLOOKUP($B160,carlos[#Data],12)=0,"Não executado",VLOOKUP($B160,carlos[#Data],12)),"Não executado")</f>
        <v>Não executado</v>
      </c>
      <c r="O160" s="37" t="str">
        <f>IFERROR(IF(VLOOKUP($B160,Alessandra[#Data],12)=0,"Não executado",VLOOKUP($B160,Alessandra[#Data],12)),"Não executado")</f>
        <v>Não executado</v>
      </c>
      <c r="P160" s="37" t="str">
        <f>IFERROR(IF(VLOOKUP($B160,AnaCarolina[#Data],12)=0,"Não executado",VLOOKUP($B160,AnaCarolina[#Data],12)),"Não executado")</f>
        <v>Não executado</v>
      </c>
      <c r="Q160" s="37" t="str">
        <f>IFERROR(IF(VLOOKUP($B160,wanei[#Data],12)=0,"Não executado",VLOOKUP($B160,wanei[#Data],12)),"Não executado")</f>
        <v>Não executado</v>
      </c>
      <c r="R160" s="37" t="str">
        <f>IFERROR(IF(VLOOKUP($B160,janaina[#Data],12)=0,"Não executado",VLOOKUP($B160,janaina[#Data],12)),"Não executado")</f>
        <v>Não executado</v>
      </c>
      <c r="S160" s="93" t="str">
        <f>IFERROR(IF(VLOOKUP($B143,andreia[#Data],12)=0,"Não executado",VLOOKUP($B143,andreia[#Data],12)),"Não executado")</f>
        <v>Não executado</v>
      </c>
      <c r="T160" s="37" t="str">
        <f>IFERROR(IF(VLOOKUP($B143,homologador[#Data],12)=0,"Não executado",VLOOKUP($B143,homologador[#Data],12)),"Não executado")</f>
        <v>Não executado</v>
      </c>
      <c r="W160" s="13"/>
    </row>
    <row r="161" spans="2:23">
      <c r="B161" s="40" t="str">
        <f>IF(ISERR(casostestes[[#This Row],[ID]]),"-",casostestes[[#This Row],[ID]])</f>
        <v>-</v>
      </c>
      <c r="C161" s="34" t="str">
        <f>IFERROR(IF(VLOOKUP($B161,casostestes[#Data],10)=0,"Não",VLOOKUP($B161,casostestes[#Data],10)), "-")</f>
        <v>-</v>
      </c>
      <c r="D161" s="35" t="str">
        <f>IFERROR(IF(VLOOKUP($B161,casostestes[#Data],2)=0,"-",VLOOKUP($B161,casostestes[#Data],2)), "-")</f>
        <v>-</v>
      </c>
      <c r="E161" s="35" t="str">
        <f>IFERROR(IF(VLOOKUP($B161,casostestes[#Data],3)=0,"-",VLOOKUP($B161,casostestes[#Data],3)), "-")</f>
        <v>-</v>
      </c>
      <c r="F161" s="35" t="str">
        <f>IFERROR(IF(VLOOKUP($B161,casostestes[#Data],4)=0,"-",VLOOKUP($B161,casostestes[#Data],4)),"-")</f>
        <v>-</v>
      </c>
      <c r="G161" s="35" t="str">
        <f>IFERROR(IF(VLOOKUP($B161,casostestes[#Data],5)=0,"-",VLOOKUP($B161,casostestes[#Data],5)),"-")</f>
        <v>-</v>
      </c>
      <c r="H161" s="35" t="str">
        <f>IFERROR(IF(VLOOKUP($B161,casostestes[#Data],6)=0,"-",VLOOKUP($B161,casostestes[#Data],6)),"-")</f>
        <v>-</v>
      </c>
      <c r="I161" s="35" t="str">
        <f>IFERROR(IF(VLOOKUP($B161,casostestes[#Data],8)=0,"-",VLOOKUP($B161,casostestes[#Data],8)),"-")</f>
        <v>-</v>
      </c>
      <c r="J161" s="35" t="str">
        <f>IFERROR(IF(VLOOKUP($B161,casostestes[#Data],9)=0,"-",VLOOKUP($B161,casostestes[#Data],9)),"-")</f>
        <v>-</v>
      </c>
      <c r="K161" s="37" t="str">
        <f>IFERROR(IF(VLOOKUP($B161,orlando[#Data],12)=0,"Não executado",VLOOKUP($B161,orlando[#Data],12)),"Não executado")</f>
        <v>Não executado</v>
      </c>
      <c r="L161" s="37" t="str">
        <f>IFERROR(IF(VLOOKUP($B161,mauricio[#Data],12)=0,"Não executado",VLOOKUP($B161,mauricio[#Data],12)),"Não executado")</f>
        <v>Não executado</v>
      </c>
      <c r="M161" s="37" t="str">
        <f>IFERROR(IF(VLOOKUP($B161,Thaisa[#Data],12)=0,"Não executado",VLOOKUP($B161,Thaisa[#Data],12)),"Não executado")</f>
        <v>Não executado</v>
      </c>
      <c r="N161" s="37" t="str">
        <f>IFERROR(IF(VLOOKUP($B161,carlos[#Data],12)=0,"Não executado",VLOOKUP($B161,carlos[#Data],12)),"Não executado")</f>
        <v>Não executado</v>
      </c>
      <c r="O161" s="37" t="str">
        <f>IFERROR(IF(VLOOKUP($B161,Alessandra[#Data],12)=0,"Não executado",VLOOKUP($B161,Alessandra[#Data],12)),"Não executado")</f>
        <v>Não executado</v>
      </c>
      <c r="P161" s="37" t="str">
        <f>IFERROR(IF(VLOOKUP($B161,AnaCarolina[#Data],12)=0,"Não executado",VLOOKUP($B161,AnaCarolina[#Data],12)),"Não executado")</f>
        <v>Não executado</v>
      </c>
      <c r="Q161" s="37" t="str">
        <f>IFERROR(IF(VLOOKUP($B161,wanei[#Data],12)=0,"Não executado",VLOOKUP($B161,wanei[#Data],12)),"Não executado")</f>
        <v>Não executado</v>
      </c>
      <c r="R161" s="37" t="str">
        <f>IFERROR(IF(VLOOKUP($B161,janaina[#Data],12)=0,"Não executado",VLOOKUP($B161,janaina[#Data],12)),"Não executado")</f>
        <v>Não executado</v>
      </c>
      <c r="S161" s="93" t="str">
        <f>IFERROR(IF(VLOOKUP($B144,andreia[#Data],12)=0,"Não executado",VLOOKUP($B144,andreia[#Data],12)),"Não executado")</f>
        <v>Não executado</v>
      </c>
      <c r="T161" s="37" t="str">
        <f>IFERROR(IF(VLOOKUP($B144,homologador[#Data],12)=0,"Não executado",VLOOKUP($B144,homologador[#Data],12)),"Não executado")</f>
        <v>Não executado</v>
      </c>
      <c r="W161" s="13"/>
    </row>
    <row r="162" spans="2:23">
      <c r="B162" s="40" t="str">
        <f>IF(ISERR(casostestes[[#This Row],[ID]]),"-",casostestes[[#This Row],[ID]])</f>
        <v>-</v>
      </c>
      <c r="C162" s="34" t="str">
        <f>IFERROR(IF(VLOOKUP($B162,casostestes[#Data],10)=0,"Não",VLOOKUP($B162,casostestes[#Data],10)), "-")</f>
        <v>-</v>
      </c>
      <c r="D162" s="35" t="str">
        <f>IFERROR(IF(VLOOKUP($B162,casostestes[#Data],2)=0,"-",VLOOKUP($B162,casostestes[#Data],2)), "-")</f>
        <v>-</v>
      </c>
      <c r="E162" s="35" t="str">
        <f>IFERROR(IF(VLOOKUP($B162,casostestes[#Data],3)=0,"-",VLOOKUP($B162,casostestes[#Data],3)), "-")</f>
        <v>-</v>
      </c>
      <c r="F162" s="35" t="str">
        <f>IFERROR(IF(VLOOKUP($B162,casostestes[#Data],4)=0,"-",VLOOKUP($B162,casostestes[#Data],4)),"-")</f>
        <v>-</v>
      </c>
      <c r="G162" s="35" t="str">
        <f>IFERROR(IF(VLOOKUP($B162,casostestes[#Data],5)=0,"-",VLOOKUP($B162,casostestes[#Data],5)),"-")</f>
        <v>-</v>
      </c>
      <c r="H162" s="35" t="str">
        <f>IFERROR(IF(VLOOKUP($B162,casostestes[#Data],6)=0,"-",VLOOKUP($B162,casostestes[#Data],6)),"-")</f>
        <v>-</v>
      </c>
      <c r="I162" s="35" t="str">
        <f>IFERROR(IF(VLOOKUP($B162,casostestes[#Data],8)=0,"-",VLOOKUP($B162,casostestes[#Data],8)),"-")</f>
        <v>-</v>
      </c>
      <c r="J162" s="35" t="str">
        <f>IFERROR(IF(VLOOKUP($B162,casostestes[#Data],9)=0,"-",VLOOKUP($B162,casostestes[#Data],9)),"-")</f>
        <v>-</v>
      </c>
      <c r="K162" s="37" t="str">
        <f>IFERROR(IF(VLOOKUP($B162,orlando[#Data],12)=0,"Não executado",VLOOKUP($B162,orlando[#Data],12)),"Não executado")</f>
        <v>Não executado</v>
      </c>
      <c r="L162" s="37" t="str">
        <f>IFERROR(IF(VLOOKUP($B162,mauricio[#Data],12)=0,"Não executado",VLOOKUP($B162,mauricio[#Data],12)),"Não executado")</f>
        <v>Não executado</v>
      </c>
      <c r="M162" s="37" t="str">
        <f>IFERROR(IF(VLOOKUP($B162,Thaisa[#Data],12)=0,"Não executado",VLOOKUP($B162,Thaisa[#Data],12)),"Não executado")</f>
        <v>Não executado</v>
      </c>
      <c r="N162" s="37" t="str">
        <f>IFERROR(IF(VLOOKUP($B162,carlos[#Data],12)=0,"Não executado",VLOOKUP($B162,carlos[#Data],12)),"Não executado")</f>
        <v>Não executado</v>
      </c>
      <c r="O162" s="37" t="str">
        <f>IFERROR(IF(VLOOKUP($B162,Alessandra[#Data],12)=0,"Não executado",VLOOKUP($B162,Alessandra[#Data],12)),"Não executado")</f>
        <v>Não executado</v>
      </c>
      <c r="P162" s="37" t="str">
        <f>IFERROR(IF(VLOOKUP($B162,AnaCarolina[#Data],12)=0,"Não executado",VLOOKUP($B162,AnaCarolina[#Data],12)),"Não executado")</f>
        <v>Não executado</v>
      </c>
      <c r="Q162" s="37" t="str">
        <f>IFERROR(IF(VLOOKUP($B162,wanei[#Data],12)=0,"Não executado",VLOOKUP($B162,wanei[#Data],12)),"Não executado")</f>
        <v>Não executado</v>
      </c>
      <c r="R162" s="37" t="str">
        <f>IFERROR(IF(VLOOKUP($B162,janaina[#Data],12)=0,"Não executado",VLOOKUP($B162,janaina[#Data],12)),"Não executado")</f>
        <v>Não executado</v>
      </c>
      <c r="S162" s="93" t="str">
        <f>IFERROR(IF(VLOOKUP($B145,andreia[#Data],12)=0,"Não executado",VLOOKUP($B145,andreia[#Data],12)),"Não executado")</f>
        <v>Não executado</v>
      </c>
      <c r="T162" s="37" t="str">
        <f>IFERROR(IF(VLOOKUP($B145,homologador[#Data],12)=0,"Não executado",VLOOKUP($B145,homologador[#Data],12)),"Não executado")</f>
        <v>Não executado</v>
      </c>
      <c r="W162" s="13"/>
    </row>
    <row r="163" spans="2:23">
      <c r="B163" s="40" t="str">
        <f>IF(ISERR(casostestes[[#This Row],[ID]]),"-",casostestes[[#This Row],[ID]])</f>
        <v>-</v>
      </c>
      <c r="C163" s="34" t="str">
        <f>IFERROR(IF(VLOOKUP($B163,casostestes[#Data],10)=0,"Não",VLOOKUP($B163,casostestes[#Data],10)), "-")</f>
        <v>-</v>
      </c>
      <c r="D163" s="35" t="str">
        <f>IFERROR(IF(VLOOKUP($B163,casostestes[#Data],2)=0,"-",VLOOKUP($B163,casostestes[#Data],2)), "-")</f>
        <v>-</v>
      </c>
      <c r="E163" s="35" t="str">
        <f>IFERROR(IF(VLOOKUP($B163,casostestes[#Data],3)=0,"-",VLOOKUP($B163,casostestes[#Data],3)), "-")</f>
        <v>-</v>
      </c>
      <c r="F163" s="35" t="str">
        <f>IFERROR(IF(VLOOKUP($B163,casostestes[#Data],4)=0,"-",VLOOKUP($B163,casostestes[#Data],4)),"-")</f>
        <v>-</v>
      </c>
      <c r="G163" s="35" t="str">
        <f>IFERROR(IF(VLOOKUP($B163,casostestes[#Data],5)=0,"-",VLOOKUP($B163,casostestes[#Data],5)),"-")</f>
        <v>-</v>
      </c>
      <c r="H163" s="35" t="str">
        <f>IFERROR(IF(VLOOKUP($B163,casostestes[#Data],6)=0,"-",VLOOKUP($B163,casostestes[#Data],6)),"-")</f>
        <v>-</v>
      </c>
      <c r="I163" s="35" t="str">
        <f>IFERROR(IF(VLOOKUP($B163,casostestes[#Data],8)=0,"-",VLOOKUP($B163,casostestes[#Data],8)),"-")</f>
        <v>-</v>
      </c>
      <c r="J163" s="35" t="str">
        <f>IFERROR(IF(VLOOKUP($B163,casostestes[#Data],9)=0,"-",VLOOKUP($B163,casostestes[#Data],9)),"-")</f>
        <v>-</v>
      </c>
      <c r="K163" s="37" t="str">
        <f>IFERROR(IF(VLOOKUP($B163,orlando[#Data],12)=0,"Não executado",VLOOKUP($B163,orlando[#Data],12)),"Não executado")</f>
        <v>Não executado</v>
      </c>
      <c r="L163" s="37" t="str">
        <f>IFERROR(IF(VLOOKUP($B163,mauricio[#Data],12)=0,"Não executado",VLOOKUP($B163,mauricio[#Data],12)),"Não executado")</f>
        <v>Não executado</v>
      </c>
      <c r="M163" s="37" t="str">
        <f>IFERROR(IF(VLOOKUP($B163,Thaisa[#Data],12)=0,"Não executado",VLOOKUP($B163,Thaisa[#Data],12)),"Não executado")</f>
        <v>Não executado</v>
      </c>
      <c r="N163" s="37" t="str">
        <f>IFERROR(IF(VLOOKUP($B163,carlos[#Data],12)=0,"Não executado",VLOOKUP($B163,carlos[#Data],12)),"Não executado")</f>
        <v>Não executado</v>
      </c>
      <c r="O163" s="37" t="str">
        <f>IFERROR(IF(VLOOKUP($B163,Alessandra[#Data],12)=0,"Não executado",VLOOKUP($B163,Alessandra[#Data],12)),"Não executado")</f>
        <v>Não executado</v>
      </c>
      <c r="P163" s="37" t="str">
        <f>IFERROR(IF(VLOOKUP($B163,AnaCarolina[#Data],12)=0,"Não executado",VLOOKUP($B163,AnaCarolina[#Data],12)),"Não executado")</f>
        <v>Não executado</v>
      </c>
      <c r="Q163" s="37" t="str">
        <f>IFERROR(IF(VLOOKUP($B163,wanei[#Data],12)=0,"Não executado",VLOOKUP($B163,wanei[#Data],12)),"Não executado")</f>
        <v>Não executado</v>
      </c>
      <c r="R163" s="37" t="str">
        <f>IFERROR(IF(VLOOKUP($B163,janaina[#Data],12)=0,"Não executado",VLOOKUP($B163,janaina[#Data],12)),"Não executado")</f>
        <v>Não executado</v>
      </c>
      <c r="S163" s="93" t="str">
        <f>IFERROR(IF(VLOOKUP($B146,andreia[#Data],12)=0,"Não executado",VLOOKUP($B146,andreia[#Data],12)),"Não executado")</f>
        <v>Não executado</v>
      </c>
      <c r="T163" s="37" t="str">
        <f>IFERROR(IF(VLOOKUP($B146,homologador[#Data],12)=0,"Não executado",VLOOKUP($B146,homologador[#Data],12)),"Não executado")</f>
        <v>Não executado</v>
      </c>
      <c r="W163" s="13"/>
    </row>
    <row r="164" spans="2:23">
      <c r="B164" s="40" t="str">
        <f>IF(ISERR(casostestes[[#This Row],[ID]]),"-",casostestes[[#This Row],[ID]])</f>
        <v>-</v>
      </c>
      <c r="C164" s="34" t="str">
        <f>IFERROR(IF(VLOOKUP($B164,casostestes[#Data],10)=0,"Não",VLOOKUP($B164,casostestes[#Data],10)), "-")</f>
        <v>-</v>
      </c>
      <c r="D164" s="35" t="str">
        <f>IFERROR(IF(VLOOKUP($B164,casostestes[#Data],2)=0,"-",VLOOKUP($B164,casostestes[#Data],2)), "-")</f>
        <v>-</v>
      </c>
      <c r="E164" s="35" t="str">
        <f>IFERROR(IF(VLOOKUP($B164,casostestes[#Data],3)=0,"-",VLOOKUP($B164,casostestes[#Data],3)), "-")</f>
        <v>-</v>
      </c>
      <c r="F164" s="35" t="str">
        <f>IFERROR(IF(VLOOKUP($B164,casostestes[#Data],4)=0,"-",VLOOKUP($B164,casostestes[#Data],4)),"-")</f>
        <v>-</v>
      </c>
      <c r="G164" s="35" t="str">
        <f>IFERROR(IF(VLOOKUP($B164,casostestes[#Data],5)=0,"-",VLOOKUP($B164,casostestes[#Data],5)),"-")</f>
        <v>-</v>
      </c>
      <c r="H164" s="35" t="str">
        <f>IFERROR(IF(VLOOKUP($B164,casostestes[#Data],6)=0,"-",VLOOKUP($B164,casostestes[#Data],6)),"-")</f>
        <v>-</v>
      </c>
      <c r="I164" s="35" t="str">
        <f>IFERROR(IF(VLOOKUP($B164,casostestes[#Data],8)=0,"-",VLOOKUP($B164,casostestes[#Data],8)),"-")</f>
        <v>-</v>
      </c>
      <c r="J164" s="35" t="str">
        <f>IFERROR(IF(VLOOKUP($B164,casostestes[#Data],9)=0,"-",VLOOKUP($B164,casostestes[#Data],9)),"-")</f>
        <v>-</v>
      </c>
      <c r="K164" s="37" t="str">
        <f>IFERROR(IF(VLOOKUP($B164,orlando[#Data],12)=0,"Não executado",VLOOKUP($B164,orlando[#Data],12)),"Não executado")</f>
        <v>Não executado</v>
      </c>
      <c r="L164" s="37" t="str">
        <f>IFERROR(IF(VLOOKUP($B164,mauricio[#Data],12)=0,"Não executado",VLOOKUP($B164,mauricio[#Data],12)),"Não executado")</f>
        <v>Não executado</v>
      </c>
      <c r="M164" s="37" t="str">
        <f>IFERROR(IF(VLOOKUP($B164,Thaisa[#Data],12)=0,"Não executado",VLOOKUP($B164,Thaisa[#Data],12)),"Não executado")</f>
        <v>Não executado</v>
      </c>
      <c r="N164" s="37" t="str">
        <f>IFERROR(IF(VLOOKUP($B164,carlos[#Data],12)=0,"Não executado",VLOOKUP($B164,carlos[#Data],12)),"Não executado")</f>
        <v>Não executado</v>
      </c>
      <c r="O164" s="37" t="str">
        <f>IFERROR(IF(VLOOKUP($B164,Alessandra[#Data],12)=0,"Não executado",VLOOKUP($B164,Alessandra[#Data],12)),"Não executado")</f>
        <v>Não executado</v>
      </c>
      <c r="P164" s="37" t="str">
        <f>IFERROR(IF(VLOOKUP($B164,AnaCarolina[#Data],12)=0,"Não executado",VLOOKUP($B164,AnaCarolina[#Data],12)),"Não executado")</f>
        <v>Não executado</v>
      </c>
      <c r="Q164" s="37" t="str">
        <f>IFERROR(IF(VLOOKUP($B164,wanei[#Data],12)=0,"Não executado",VLOOKUP($B164,wanei[#Data],12)),"Não executado")</f>
        <v>Não executado</v>
      </c>
      <c r="R164" s="37" t="str">
        <f>IFERROR(IF(VLOOKUP($B164,janaina[#Data],12)=0,"Não executado",VLOOKUP($B164,janaina[#Data],12)),"Não executado")</f>
        <v>Não executado</v>
      </c>
      <c r="S164" s="93" t="str">
        <f>IFERROR(IF(VLOOKUP($B147,andreia[#Data],12)=0,"Não executado",VLOOKUP($B147,andreia[#Data],12)),"Não executado")</f>
        <v>Não executado</v>
      </c>
      <c r="T164" s="37" t="str">
        <f>IFERROR(IF(VLOOKUP($B147,homologador[#Data],12)=0,"Não executado",VLOOKUP($B147,homologador[#Data],12)),"Não executado")</f>
        <v>Não executado</v>
      </c>
      <c r="W164" s="13"/>
    </row>
    <row r="165" spans="2:23">
      <c r="B165" s="40" t="str">
        <f>IF(ISERR(casostestes[[#This Row],[ID]]),"-",casostestes[[#This Row],[ID]])</f>
        <v>-</v>
      </c>
      <c r="C165" s="34" t="str">
        <f>IFERROR(IF(VLOOKUP($B165,casostestes[#Data],10)=0,"Não",VLOOKUP($B165,casostestes[#Data],10)), "-")</f>
        <v>-</v>
      </c>
      <c r="D165" s="35" t="str">
        <f>IFERROR(IF(VLOOKUP($B165,casostestes[#Data],2)=0,"-",VLOOKUP($B165,casostestes[#Data],2)), "-")</f>
        <v>-</v>
      </c>
      <c r="E165" s="35" t="str">
        <f>IFERROR(IF(VLOOKUP($B165,casostestes[#Data],3)=0,"-",VLOOKUP($B165,casostestes[#Data],3)), "-")</f>
        <v>-</v>
      </c>
      <c r="F165" s="35" t="str">
        <f>IFERROR(IF(VLOOKUP($B165,casostestes[#Data],4)=0,"-",VLOOKUP($B165,casostestes[#Data],4)),"-")</f>
        <v>-</v>
      </c>
      <c r="G165" s="35" t="str">
        <f>IFERROR(IF(VLOOKUP($B165,casostestes[#Data],5)=0,"-",VLOOKUP($B165,casostestes[#Data],5)),"-")</f>
        <v>-</v>
      </c>
      <c r="H165" s="35" t="str">
        <f>IFERROR(IF(VLOOKUP($B165,casostestes[#Data],6)=0,"-",VLOOKUP($B165,casostestes[#Data],6)),"-")</f>
        <v>-</v>
      </c>
      <c r="I165" s="35" t="str">
        <f>IFERROR(IF(VLOOKUP($B165,casostestes[#Data],8)=0,"-",VLOOKUP($B165,casostestes[#Data],8)),"-")</f>
        <v>-</v>
      </c>
      <c r="J165" s="35" t="str">
        <f>IFERROR(IF(VLOOKUP($B165,casostestes[#Data],9)=0,"-",VLOOKUP($B165,casostestes[#Data],9)),"-")</f>
        <v>-</v>
      </c>
      <c r="K165" s="37" t="str">
        <f>IFERROR(IF(VLOOKUP($B165,orlando[#Data],12)=0,"Não executado",VLOOKUP($B165,orlando[#Data],12)),"Não executado")</f>
        <v>Não executado</v>
      </c>
      <c r="L165" s="37" t="str">
        <f>IFERROR(IF(VLOOKUP($B165,mauricio[#Data],12)=0,"Não executado",VLOOKUP($B165,mauricio[#Data],12)),"Não executado")</f>
        <v>Não executado</v>
      </c>
      <c r="M165" s="37" t="str">
        <f>IFERROR(IF(VLOOKUP($B165,Thaisa[#Data],12)=0,"Não executado",VLOOKUP($B165,Thaisa[#Data],12)),"Não executado")</f>
        <v>Não executado</v>
      </c>
      <c r="N165" s="37" t="str">
        <f>IFERROR(IF(VLOOKUP($B165,carlos[#Data],12)=0,"Não executado",VLOOKUP($B165,carlos[#Data],12)),"Não executado")</f>
        <v>Não executado</v>
      </c>
      <c r="O165" s="37" t="str">
        <f>IFERROR(IF(VLOOKUP($B165,Alessandra[#Data],12)=0,"Não executado",VLOOKUP($B165,Alessandra[#Data],12)),"Não executado")</f>
        <v>Não executado</v>
      </c>
      <c r="P165" s="37" t="str">
        <f>IFERROR(IF(VLOOKUP($B165,AnaCarolina[#Data],12)=0,"Não executado",VLOOKUP($B165,AnaCarolina[#Data],12)),"Não executado")</f>
        <v>Não executado</v>
      </c>
      <c r="Q165" s="37" t="str">
        <f>IFERROR(IF(VLOOKUP($B165,wanei[#Data],12)=0,"Não executado",VLOOKUP($B165,wanei[#Data],12)),"Não executado")</f>
        <v>Não executado</v>
      </c>
      <c r="R165" s="37" t="str">
        <f>IFERROR(IF(VLOOKUP($B165,janaina[#Data],12)=0,"Não executado",VLOOKUP($B165,janaina[#Data],12)),"Não executado")</f>
        <v>Não executado</v>
      </c>
      <c r="S165" s="93" t="str">
        <f>IFERROR(IF(VLOOKUP($B148,andreia[#Data],12)=0,"Não executado",VLOOKUP($B148,andreia[#Data],12)),"Não executado")</f>
        <v>Não executado</v>
      </c>
      <c r="T165" s="37" t="str">
        <f>IFERROR(IF(VLOOKUP($B148,homologador[#Data],12)=0,"Não executado",VLOOKUP($B148,homologador[#Data],12)),"Não executado")</f>
        <v>Não executado</v>
      </c>
      <c r="W165" s="13"/>
    </row>
    <row r="166" spans="2:23">
      <c r="B166" s="40" t="str">
        <f>IF(ISERR(casostestes[[#This Row],[ID]]),"-",casostestes[[#This Row],[ID]])</f>
        <v>-</v>
      </c>
      <c r="C166" s="34" t="str">
        <f>IFERROR(IF(VLOOKUP($B166,casostestes[#Data],10)=0,"Não",VLOOKUP($B166,casostestes[#Data],10)), "-")</f>
        <v>-</v>
      </c>
      <c r="D166" s="35" t="str">
        <f>IFERROR(IF(VLOOKUP($B166,casostestes[#Data],2)=0,"-",VLOOKUP($B166,casostestes[#Data],2)), "-")</f>
        <v>-</v>
      </c>
      <c r="E166" s="35" t="str">
        <f>IFERROR(IF(VLOOKUP($B166,casostestes[#Data],3)=0,"-",VLOOKUP($B166,casostestes[#Data],3)), "-")</f>
        <v>-</v>
      </c>
      <c r="F166" s="35" t="str">
        <f>IFERROR(IF(VLOOKUP($B166,casostestes[#Data],4)=0,"-",VLOOKUP($B166,casostestes[#Data],4)),"-")</f>
        <v>-</v>
      </c>
      <c r="G166" s="35" t="str">
        <f>IFERROR(IF(VLOOKUP($B166,casostestes[#Data],5)=0,"-",VLOOKUP($B166,casostestes[#Data],5)),"-")</f>
        <v>-</v>
      </c>
      <c r="H166" s="35" t="str">
        <f>IFERROR(IF(VLOOKUP($B166,casostestes[#Data],6)=0,"-",VLOOKUP($B166,casostestes[#Data],6)),"-")</f>
        <v>-</v>
      </c>
      <c r="I166" s="35" t="str">
        <f>IFERROR(IF(VLOOKUP($B166,casostestes[#Data],8)=0,"-",VLOOKUP($B166,casostestes[#Data],8)),"-")</f>
        <v>-</v>
      </c>
      <c r="J166" s="35" t="str">
        <f>IFERROR(IF(VLOOKUP($B166,casostestes[#Data],9)=0,"-",VLOOKUP($B166,casostestes[#Data],9)),"-")</f>
        <v>-</v>
      </c>
      <c r="K166" s="37" t="str">
        <f>IFERROR(IF(VLOOKUP($B166,orlando[#Data],12)=0,"Não executado",VLOOKUP($B166,orlando[#Data],12)),"Não executado")</f>
        <v>Não executado</v>
      </c>
      <c r="L166" s="37" t="str">
        <f>IFERROR(IF(VLOOKUP($B166,mauricio[#Data],12)=0,"Não executado",VLOOKUP($B166,mauricio[#Data],12)),"Não executado")</f>
        <v>Não executado</v>
      </c>
      <c r="M166" s="37" t="str">
        <f>IFERROR(IF(VLOOKUP($B166,Thaisa[#Data],12)=0,"Não executado",VLOOKUP($B166,Thaisa[#Data],12)),"Não executado")</f>
        <v>Não executado</v>
      </c>
      <c r="N166" s="37" t="str">
        <f>IFERROR(IF(VLOOKUP($B166,carlos[#Data],12)=0,"Não executado",VLOOKUP($B166,carlos[#Data],12)),"Não executado")</f>
        <v>Não executado</v>
      </c>
      <c r="O166" s="37" t="str">
        <f>IFERROR(IF(VLOOKUP($B166,Alessandra[#Data],12)=0,"Não executado",VLOOKUP($B166,Alessandra[#Data],12)),"Não executado")</f>
        <v>Não executado</v>
      </c>
      <c r="P166" s="37" t="str">
        <f>IFERROR(IF(VLOOKUP($B166,AnaCarolina[#Data],12)=0,"Não executado",VLOOKUP($B166,AnaCarolina[#Data],12)),"Não executado")</f>
        <v>Não executado</v>
      </c>
      <c r="Q166" s="37" t="str">
        <f>IFERROR(IF(VLOOKUP($B166,wanei[#Data],12)=0,"Não executado",VLOOKUP($B166,wanei[#Data],12)),"Não executado")</f>
        <v>Não executado</v>
      </c>
      <c r="R166" s="37" t="str">
        <f>IFERROR(IF(VLOOKUP($B166,janaina[#Data],12)=0,"Não executado",VLOOKUP($B166,janaina[#Data],12)),"Não executado")</f>
        <v>Não executado</v>
      </c>
      <c r="S166" s="93" t="str">
        <f>IFERROR(IF(VLOOKUP($B149,andreia[#Data],12)=0,"Não executado",VLOOKUP($B149,andreia[#Data],12)),"Não executado")</f>
        <v>Não executado</v>
      </c>
      <c r="T166" s="37" t="str">
        <f>IFERROR(IF(VLOOKUP($B149,homologador[#Data],12)=0,"Não executado",VLOOKUP($B149,homologador[#Data],12)),"Não executado")</f>
        <v>Não executado</v>
      </c>
      <c r="W166" s="13"/>
    </row>
    <row r="167" spans="2:23">
      <c r="B167" s="40" t="str">
        <f>IF(ISERR(casostestes[[#This Row],[ID]]),"-",casostestes[[#This Row],[ID]])</f>
        <v>-</v>
      </c>
      <c r="C167" s="34" t="str">
        <f>IFERROR(IF(VLOOKUP($B167,casostestes[#Data],10)=0,"Não",VLOOKUP($B167,casostestes[#Data],10)), "-")</f>
        <v>-</v>
      </c>
      <c r="D167" s="35" t="str">
        <f>IFERROR(IF(VLOOKUP($B167,casostestes[#Data],2)=0,"-",VLOOKUP($B167,casostestes[#Data],2)), "-")</f>
        <v>-</v>
      </c>
      <c r="E167" s="35" t="str">
        <f>IFERROR(IF(VLOOKUP($B167,casostestes[#Data],3)=0,"-",VLOOKUP($B167,casostestes[#Data],3)), "-")</f>
        <v>-</v>
      </c>
      <c r="F167" s="35" t="str">
        <f>IFERROR(IF(VLOOKUP($B167,casostestes[#Data],4)=0,"-",VLOOKUP($B167,casostestes[#Data],4)),"-")</f>
        <v>-</v>
      </c>
      <c r="G167" s="35" t="str">
        <f>IFERROR(IF(VLOOKUP($B167,casostestes[#Data],5)=0,"-",VLOOKUP($B167,casostestes[#Data],5)),"-")</f>
        <v>-</v>
      </c>
      <c r="H167" s="35" t="str">
        <f>IFERROR(IF(VLOOKUP($B167,casostestes[#Data],6)=0,"-",VLOOKUP($B167,casostestes[#Data],6)),"-")</f>
        <v>-</v>
      </c>
      <c r="I167" s="35" t="str">
        <f>IFERROR(IF(VLOOKUP($B167,casostestes[#Data],8)=0,"-",VLOOKUP($B167,casostestes[#Data],8)),"-")</f>
        <v>-</v>
      </c>
      <c r="J167" s="35" t="str">
        <f>IFERROR(IF(VLOOKUP($B167,casostestes[#Data],9)=0,"-",VLOOKUP($B167,casostestes[#Data],9)),"-")</f>
        <v>-</v>
      </c>
      <c r="K167" s="37" t="str">
        <f>IFERROR(IF(VLOOKUP($B167,orlando[#Data],12)=0,"Não executado",VLOOKUP($B167,orlando[#Data],12)),"Não executado")</f>
        <v>Não executado</v>
      </c>
      <c r="L167" s="37" t="str">
        <f>IFERROR(IF(VLOOKUP($B167,mauricio[#Data],12)=0,"Não executado",VLOOKUP($B167,mauricio[#Data],12)),"Não executado")</f>
        <v>Não executado</v>
      </c>
      <c r="M167" s="37" t="str">
        <f>IFERROR(IF(VLOOKUP($B167,Thaisa[#Data],12)=0,"Não executado",VLOOKUP($B167,Thaisa[#Data],12)),"Não executado")</f>
        <v>Não executado</v>
      </c>
      <c r="N167" s="37" t="str">
        <f>IFERROR(IF(VLOOKUP($B167,carlos[#Data],12)=0,"Não executado",VLOOKUP($B167,carlos[#Data],12)),"Não executado")</f>
        <v>Não executado</v>
      </c>
      <c r="O167" s="37" t="str">
        <f>IFERROR(IF(VLOOKUP($B167,Alessandra[#Data],12)=0,"Não executado",VLOOKUP($B167,Alessandra[#Data],12)),"Não executado")</f>
        <v>Não executado</v>
      </c>
      <c r="P167" s="37" t="str">
        <f>IFERROR(IF(VLOOKUP($B167,AnaCarolina[#Data],12)=0,"Não executado",VLOOKUP($B167,AnaCarolina[#Data],12)),"Não executado")</f>
        <v>Não executado</v>
      </c>
      <c r="Q167" s="37" t="str">
        <f>IFERROR(IF(VLOOKUP($B167,wanei[#Data],12)=0,"Não executado",VLOOKUP($B167,wanei[#Data],12)),"Não executado")</f>
        <v>Não executado</v>
      </c>
      <c r="R167" s="37" t="str">
        <f>IFERROR(IF(VLOOKUP($B167,janaina[#Data],12)=0,"Não executado",VLOOKUP($B167,janaina[#Data],12)),"Não executado")</f>
        <v>Não executado</v>
      </c>
      <c r="S167" s="93" t="str">
        <f>IFERROR(IF(VLOOKUP($B150,andreia[#Data],12)=0,"Não executado",VLOOKUP($B150,andreia[#Data],12)),"Não executado")</f>
        <v>Não executado</v>
      </c>
      <c r="T167" s="37" t="str">
        <f>IFERROR(IF(VLOOKUP($B150,homologador[#Data],12)=0,"Não executado",VLOOKUP($B150,homologador[#Data],12)),"Não executado")</f>
        <v>Não executado</v>
      </c>
      <c r="W167" s="13"/>
    </row>
    <row r="168" spans="2:23">
      <c r="B168" s="40" t="str">
        <f>IF(ISERR(casostestes[[#This Row],[ID]]),"-",casostestes[[#This Row],[ID]])</f>
        <v>-</v>
      </c>
      <c r="C168" s="34" t="str">
        <f>IFERROR(IF(VLOOKUP($B168,casostestes[#Data],10)=0,"Não",VLOOKUP($B168,casostestes[#Data],10)), "-")</f>
        <v>-</v>
      </c>
      <c r="D168" s="35" t="str">
        <f>IFERROR(IF(VLOOKUP($B168,casostestes[#Data],2)=0,"-",VLOOKUP($B168,casostestes[#Data],2)), "-")</f>
        <v>-</v>
      </c>
      <c r="E168" s="35" t="str">
        <f>IFERROR(IF(VLOOKUP($B168,casostestes[#Data],3)=0,"-",VLOOKUP($B168,casostestes[#Data],3)), "-")</f>
        <v>-</v>
      </c>
      <c r="F168" s="35" t="str">
        <f>IFERROR(IF(VLOOKUP($B168,casostestes[#Data],4)=0,"-",VLOOKUP($B168,casostestes[#Data],4)),"-")</f>
        <v>-</v>
      </c>
      <c r="G168" s="35" t="str">
        <f>IFERROR(IF(VLOOKUP($B168,casostestes[#Data],5)=0,"-",VLOOKUP($B168,casostestes[#Data],5)),"-")</f>
        <v>-</v>
      </c>
      <c r="H168" s="35" t="str">
        <f>IFERROR(IF(VLOOKUP($B168,casostestes[#Data],6)=0,"-",VLOOKUP($B168,casostestes[#Data],6)),"-")</f>
        <v>-</v>
      </c>
      <c r="I168" s="35" t="str">
        <f>IFERROR(IF(VLOOKUP($B168,casostestes[#Data],8)=0,"-",VLOOKUP($B168,casostestes[#Data],8)),"-")</f>
        <v>-</v>
      </c>
      <c r="J168" s="35" t="str">
        <f>IFERROR(IF(VLOOKUP($B168,casostestes[#Data],9)=0,"-",VLOOKUP($B168,casostestes[#Data],9)),"-")</f>
        <v>-</v>
      </c>
      <c r="K168" s="37" t="str">
        <f>IFERROR(IF(VLOOKUP($B168,orlando[#Data],12)=0,"Não executado",VLOOKUP($B168,orlando[#Data],12)),"Não executado")</f>
        <v>Não executado</v>
      </c>
      <c r="L168" s="37" t="str">
        <f>IFERROR(IF(VLOOKUP($B168,mauricio[#Data],12)=0,"Não executado",VLOOKUP($B168,mauricio[#Data],12)),"Não executado")</f>
        <v>Não executado</v>
      </c>
      <c r="M168" s="37" t="str">
        <f>IFERROR(IF(VLOOKUP($B168,Thaisa[#Data],12)=0,"Não executado",VLOOKUP($B168,Thaisa[#Data],12)),"Não executado")</f>
        <v>Não executado</v>
      </c>
      <c r="N168" s="37" t="str">
        <f>IFERROR(IF(VLOOKUP($B168,carlos[#Data],12)=0,"Não executado",VLOOKUP($B168,carlos[#Data],12)),"Não executado")</f>
        <v>Não executado</v>
      </c>
      <c r="O168" s="37" t="str">
        <f>IFERROR(IF(VLOOKUP($B168,Alessandra[#Data],12)=0,"Não executado",VLOOKUP($B168,Alessandra[#Data],12)),"Não executado")</f>
        <v>Não executado</v>
      </c>
      <c r="P168" s="37" t="str">
        <f>IFERROR(IF(VLOOKUP($B168,AnaCarolina[#Data],12)=0,"Não executado",VLOOKUP($B168,AnaCarolina[#Data],12)),"Não executado")</f>
        <v>Não executado</v>
      </c>
      <c r="Q168" s="37" t="str">
        <f>IFERROR(IF(VLOOKUP($B168,wanei[#Data],12)=0,"Não executado",VLOOKUP($B168,wanei[#Data],12)),"Não executado")</f>
        <v>Não executado</v>
      </c>
      <c r="R168" s="37" t="str">
        <f>IFERROR(IF(VLOOKUP($B168,janaina[#Data],12)=0,"Não executado",VLOOKUP($B168,janaina[#Data],12)),"Não executado")</f>
        <v>Não executado</v>
      </c>
      <c r="S168" s="93" t="str">
        <f>IFERROR(IF(VLOOKUP($B151,andreia[#Data],12)=0,"Não executado",VLOOKUP($B151,andreia[#Data],12)),"Não executado")</f>
        <v>Não executado</v>
      </c>
      <c r="T168" s="37" t="str">
        <f>IFERROR(IF(VLOOKUP($B151,homologador[#Data],12)=0,"Não executado",VLOOKUP($B151,homologador[#Data],12)),"Não executado")</f>
        <v>Não executado</v>
      </c>
      <c r="W168" s="13"/>
    </row>
    <row r="169" spans="2:23">
      <c r="B169" s="40" t="str">
        <f>IF(ISERR(casostestes[[#This Row],[ID]]),"-",casostestes[[#This Row],[ID]])</f>
        <v>-</v>
      </c>
      <c r="C169" s="34" t="str">
        <f>IFERROR(IF(VLOOKUP($B169,casostestes[#Data],10)=0,"Não",VLOOKUP($B169,casostestes[#Data],10)), "-")</f>
        <v>-</v>
      </c>
      <c r="D169" s="35" t="str">
        <f>IFERROR(IF(VLOOKUP($B169,casostestes[#Data],2)=0,"-",VLOOKUP($B169,casostestes[#Data],2)), "-")</f>
        <v>-</v>
      </c>
      <c r="E169" s="35" t="str">
        <f>IFERROR(IF(VLOOKUP($B169,casostestes[#Data],3)=0,"-",VLOOKUP($B169,casostestes[#Data],3)), "-")</f>
        <v>-</v>
      </c>
      <c r="F169" s="35" t="str">
        <f>IFERROR(IF(VLOOKUP($B169,casostestes[#Data],4)=0,"-",VLOOKUP($B169,casostestes[#Data],4)),"-")</f>
        <v>-</v>
      </c>
      <c r="G169" s="35" t="str">
        <f>IFERROR(IF(VLOOKUP($B169,casostestes[#Data],5)=0,"-",VLOOKUP($B169,casostestes[#Data],5)),"-")</f>
        <v>-</v>
      </c>
      <c r="H169" s="35" t="str">
        <f>IFERROR(IF(VLOOKUP($B169,casostestes[#Data],6)=0,"-",VLOOKUP($B169,casostestes[#Data],6)),"-")</f>
        <v>-</v>
      </c>
      <c r="I169" s="35" t="str">
        <f>IFERROR(IF(VLOOKUP($B169,casostestes[#Data],8)=0,"-",VLOOKUP($B169,casostestes[#Data],8)),"-")</f>
        <v>-</v>
      </c>
      <c r="J169" s="35" t="str">
        <f>IFERROR(IF(VLOOKUP($B169,casostestes[#Data],9)=0,"-",VLOOKUP($B169,casostestes[#Data],9)),"-")</f>
        <v>-</v>
      </c>
      <c r="K169" s="37" t="str">
        <f>IFERROR(IF(VLOOKUP($B169,orlando[#Data],12)=0,"Não executado",VLOOKUP($B169,orlando[#Data],12)),"Não executado")</f>
        <v>Não executado</v>
      </c>
      <c r="L169" s="37" t="str">
        <f>IFERROR(IF(VLOOKUP($B169,mauricio[#Data],12)=0,"Não executado",VLOOKUP($B169,mauricio[#Data],12)),"Não executado")</f>
        <v>Não executado</v>
      </c>
      <c r="M169" s="37" t="str">
        <f>IFERROR(IF(VLOOKUP($B169,Thaisa[#Data],12)=0,"Não executado",VLOOKUP($B169,Thaisa[#Data],12)),"Não executado")</f>
        <v>Não executado</v>
      </c>
      <c r="N169" s="37" t="str">
        <f>IFERROR(IF(VLOOKUP($B169,carlos[#Data],12)=0,"Não executado",VLOOKUP($B169,carlos[#Data],12)),"Não executado")</f>
        <v>Não executado</v>
      </c>
      <c r="O169" s="37" t="str">
        <f>IFERROR(IF(VLOOKUP($B169,Alessandra[#Data],12)=0,"Não executado",VLOOKUP($B169,Alessandra[#Data],12)),"Não executado")</f>
        <v>Não executado</v>
      </c>
      <c r="P169" s="37" t="str">
        <f>IFERROR(IF(VLOOKUP($B169,AnaCarolina[#Data],12)=0,"Não executado",VLOOKUP($B169,AnaCarolina[#Data],12)),"Não executado")</f>
        <v>Não executado</v>
      </c>
      <c r="Q169" s="37" t="str">
        <f>IFERROR(IF(VLOOKUP($B169,wanei[#Data],12)=0,"Não executado",VLOOKUP($B169,wanei[#Data],12)),"Não executado")</f>
        <v>Não executado</v>
      </c>
      <c r="R169" s="37" t="str">
        <f>IFERROR(IF(VLOOKUP($B169,janaina[#Data],12)=0,"Não executado",VLOOKUP($B169,janaina[#Data],12)),"Não executado")</f>
        <v>Não executado</v>
      </c>
      <c r="S169" s="93" t="str">
        <f>IFERROR(IF(VLOOKUP($B152,andreia[#Data],12)=0,"Não executado",VLOOKUP($B152,andreia[#Data],12)),"Não executado")</f>
        <v>Não executado</v>
      </c>
      <c r="T169" s="37" t="str">
        <f>IFERROR(IF(VLOOKUP($B152,homologador[#Data],12)=0,"Não executado",VLOOKUP($B152,homologador[#Data],12)),"Não executado")</f>
        <v>Não executado</v>
      </c>
      <c r="W169" s="13"/>
    </row>
    <row r="170" spans="2:23">
      <c r="B170" s="40" t="str">
        <f>IF(ISERR(casostestes[[#This Row],[ID]]),"-",casostestes[[#This Row],[ID]])</f>
        <v>-</v>
      </c>
      <c r="C170" s="34" t="str">
        <f>IFERROR(IF(VLOOKUP($B170,casostestes[#Data],10)=0,"Não",VLOOKUP($B170,casostestes[#Data],10)), "-")</f>
        <v>-</v>
      </c>
      <c r="D170" s="35" t="str">
        <f>IFERROR(IF(VLOOKUP($B170,casostestes[#Data],2)=0,"-",VLOOKUP($B170,casostestes[#Data],2)), "-")</f>
        <v>-</v>
      </c>
      <c r="E170" s="35" t="str">
        <f>IFERROR(IF(VLOOKUP($B170,casostestes[#Data],3)=0,"-",VLOOKUP($B170,casostestes[#Data],3)), "-")</f>
        <v>-</v>
      </c>
      <c r="F170" s="35" t="str">
        <f>IFERROR(IF(VLOOKUP($B170,casostestes[#Data],4)=0,"-",VLOOKUP($B170,casostestes[#Data],4)),"-")</f>
        <v>-</v>
      </c>
      <c r="G170" s="35" t="str">
        <f>IFERROR(IF(VLOOKUP($B170,casostestes[#Data],5)=0,"-",VLOOKUP($B170,casostestes[#Data],5)),"-")</f>
        <v>-</v>
      </c>
      <c r="H170" s="35" t="str">
        <f>IFERROR(IF(VLOOKUP($B170,casostestes[#Data],6)=0,"-",VLOOKUP($B170,casostestes[#Data],6)),"-")</f>
        <v>-</v>
      </c>
      <c r="I170" s="35" t="str">
        <f>IFERROR(IF(VLOOKUP($B170,casostestes[#Data],8)=0,"-",VLOOKUP($B170,casostestes[#Data],8)),"-")</f>
        <v>-</v>
      </c>
      <c r="J170" s="35" t="str">
        <f>IFERROR(IF(VLOOKUP($B170,casostestes[#Data],9)=0,"-",VLOOKUP($B170,casostestes[#Data],9)),"-")</f>
        <v>-</v>
      </c>
      <c r="K170" s="37" t="str">
        <f>IFERROR(IF(VLOOKUP($B170,orlando[#Data],12)=0,"Não executado",VLOOKUP($B170,orlando[#Data],12)),"Não executado")</f>
        <v>Não executado</v>
      </c>
      <c r="L170" s="37" t="str">
        <f>IFERROR(IF(VLOOKUP($B170,mauricio[#Data],12)=0,"Não executado",VLOOKUP($B170,mauricio[#Data],12)),"Não executado")</f>
        <v>Não executado</v>
      </c>
      <c r="M170" s="37" t="str">
        <f>IFERROR(IF(VLOOKUP($B170,Thaisa[#Data],12)=0,"Não executado",VLOOKUP($B170,Thaisa[#Data],12)),"Não executado")</f>
        <v>Não executado</v>
      </c>
      <c r="N170" s="37" t="str">
        <f>IFERROR(IF(VLOOKUP($B170,carlos[#Data],12)=0,"Não executado",VLOOKUP($B170,carlos[#Data],12)),"Não executado")</f>
        <v>Não executado</v>
      </c>
      <c r="O170" s="37" t="str">
        <f>IFERROR(IF(VLOOKUP($B170,Alessandra[#Data],12)=0,"Não executado",VLOOKUP($B170,Alessandra[#Data],12)),"Não executado")</f>
        <v>Não executado</v>
      </c>
      <c r="P170" s="37" t="str">
        <f>IFERROR(IF(VLOOKUP($B170,AnaCarolina[#Data],12)=0,"Não executado",VLOOKUP($B170,AnaCarolina[#Data],12)),"Não executado")</f>
        <v>Não executado</v>
      </c>
      <c r="Q170" s="37" t="str">
        <f>IFERROR(IF(VLOOKUP($B170,wanei[#Data],12)=0,"Não executado",VLOOKUP($B170,wanei[#Data],12)),"Não executado")</f>
        <v>Não executado</v>
      </c>
      <c r="R170" s="37" t="str">
        <f>IFERROR(IF(VLOOKUP($B170,janaina[#Data],12)=0,"Não executado",VLOOKUP($B170,janaina[#Data],12)),"Não executado")</f>
        <v>Não executado</v>
      </c>
      <c r="S170" s="93" t="str">
        <f>IFERROR(IF(VLOOKUP($B153,andreia[#Data],12)=0,"Não executado",VLOOKUP($B153,andreia[#Data],12)),"Não executado")</f>
        <v>Não executado</v>
      </c>
      <c r="T170" s="37" t="str">
        <f>IFERROR(IF(VLOOKUP($B153,homologador[#Data],12)=0,"Não executado",VLOOKUP($B153,homologador[#Data],12)),"Não executado")</f>
        <v>Não executado</v>
      </c>
      <c r="W170" s="13"/>
    </row>
    <row r="171" spans="2:23">
      <c r="B171" s="40" t="str">
        <f>IF(ISERR(casostestes[[#This Row],[ID]]),"-",casostestes[[#This Row],[ID]])</f>
        <v>-</v>
      </c>
      <c r="C171" s="34" t="str">
        <f>IFERROR(IF(VLOOKUP($B171,casostestes[#Data],10)=0,"Não",VLOOKUP($B171,casostestes[#Data],10)), "-")</f>
        <v>-</v>
      </c>
      <c r="D171" s="35" t="str">
        <f>IFERROR(IF(VLOOKUP($B171,casostestes[#Data],2)=0,"-",VLOOKUP($B171,casostestes[#Data],2)), "-")</f>
        <v>-</v>
      </c>
      <c r="E171" s="35" t="str">
        <f>IFERROR(IF(VLOOKUP($B171,casostestes[#Data],3)=0,"-",VLOOKUP($B171,casostestes[#Data],3)), "-")</f>
        <v>-</v>
      </c>
      <c r="F171" s="35" t="str">
        <f>IFERROR(IF(VLOOKUP($B171,casostestes[#Data],4)=0,"-",VLOOKUP($B171,casostestes[#Data],4)),"-")</f>
        <v>-</v>
      </c>
      <c r="G171" s="35" t="str">
        <f>IFERROR(IF(VLOOKUP($B171,casostestes[#Data],5)=0,"-",VLOOKUP($B171,casostestes[#Data],5)),"-")</f>
        <v>-</v>
      </c>
      <c r="H171" s="35" t="str">
        <f>IFERROR(IF(VLOOKUP($B171,casostestes[#Data],6)=0,"-",VLOOKUP($B171,casostestes[#Data],6)),"-")</f>
        <v>-</v>
      </c>
      <c r="I171" s="35" t="str">
        <f>IFERROR(IF(VLOOKUP($B171,casostestes[#Data],8)=0,"-",VLOOKUP($B171,casostestes[#Data],8)),"-")</f>
        <v>-</v>
      </c>
      <c r="J171" s="35" t="str">
        <f>IFERROR(IF(VLOOKUP($B171,casostestes[#Data],9)=0,"-",VLOOKUP($B171,casostestes[#Data],9)),"-")</f>
        <v>-</v>
      </c>
      <c r="K171" s="37" t="str">
        <f>IFERROR(IF(VLOOKUP($B171,orlando[#Data],12)=0,"Não executado",VLOOKUP($B171,orlando[#Data],12)),"Não executado")</f>
        <v>Não executado</v>
      </c>
      <c r="L171" s="37" t="str">
        <f>IFERROR(IF(VLOOKUP($B171,mauricio[#Data],12)=0,"Não executado",VLOOKUP($B171,mauricio[#Data],12)),"Não executado")</f>
        <v>Não executado</v>
      </c>
      <c r="M171" s="37" t="str">
        <f>IFERROR(IF(VLOOKUP($B171,Thaisa[#Data],12)=0,"Não executado",VLOOKUP($B171,Thaisa[#Data],12)),"Não executado")</f>
        <v>Não executado</v>
      </c>
      <c r="N171" s="37" t="str">
        <f>IFERROR(IF(VLOOKUP($B171,carlos[#Data],12)=0,"Não executado",VLOOKUP($B171,carlos[#Data],12)),"Não executado")</f>
        <v>Não executado</v>
      </c>
      <c r="O171" s="37" t="str">
        <f>IFERROR(IF(VLOOKUP($B171,Alessandra[#Data],12)=0,"Não executado",VLOOKUP($B171,Alessandra[#Data],12)),"Não executado")</f>
        <v>Não executado</v>
      </c>
      <c r="P171" s="37" t="str">
        <f>IFERROR(IF(VLOOKUP($B171,AnaCarolina[#Data],12)=0,"Não executado",VLOOKUP($B171,AnaCarolina[#Data],12)),"Não executado")</f>
        <v>Não executado</v>
      </c>
      <c r="Q171" s="37" t="str">
        <f>IFERROR(IF(VLOOKUP($B171,wanei[#Data],12)=0,"Não executado",VLOOKUP($B171,wanei[#Data],12)),"Não executado")</f>
        <v>Não executado</v>
      </c>
      <c r="R171" s="37" t="str">
        <f>IFERROR(IF(VLOOKUP($B171,janaina[#Data],12)=0,"Não executado",VLOOKUP($B171,janaina[#Data],12)),"Não executado")</f>
        <v>Não executado</v>
      </c>
      <c r="S171" s="93" t="str">
        <f>IFERROR(IF(VLOOKUP($B154,andreia[#Data],12)=0,"Não executado",VLOOKUP($B154,andreia[#Data],12)),"Não executado")</f>
        <v>Não executado</v>
      </c>
      <c r="T171" s="37" t="str">
        <f>IFERROR(IF(VLOOKUP($B154,homologador[#Data],12)=0,"Não executado",VLOOKUP($B154,homologador[#Data],12)),"Não executado")</f>
        <v>Não executado</v>
      </c>
      <c r="W171" s="13"/>
    </row>
    <row r="172" spans="2:23">
      <c r="B172" s="40" t="str">
        <f>IF(ISERR(casostestes[[#This Row],[ID]]),"-",casostestes[[#This Row],[ID]])</f>
        <v>-</v>
      </c>
      <c r="C172" s="34" t="str">
        <f>IFERROR(IF(VLOOKUP($B172,casostestes[#Data],10)=0,"Não",VLOOKUP($B172,casostestes[#Data],10)), "-")</f>
        <v>-</v>
      </c>
      <c r="D172" s="35" t="str">
        <f>IFERROR(IF(VLOOKUP($B172,casostestes[#Data],2)=0,"-",VLOOKUP($B172,casostestes[#Data],2)), "-")</f>
        <v>-</v>
      </c>
      <c r="E172" s="35" t="str">
        <f>IFERROR(IF(VLOOKUP($B172,casostestes[#Data],3)=0,"-",VLOOKUP($B172,casostestes[#Data],3)), "-")</f>
        <v>-</v>
      </c>
      <c r="F172" s="35" t="str">
        <f>IFERROR(IF(VLOOKUP($B172,casostestes[#Data],4)=0,"-",VLOOKUP($B172,casostestes[#Data],4)),"-")</f>
        <v>-</v>
      </c>
      <c r="G172" s="35" t="str">
        <f>IFERROR(IF(VLOOKUP($B172,casostestes[#Data],5)=0,"-",VLOOKUP($B172,casostestes[#Data],5)),"-")</f>
        <v>-</v>
      </c>
      <c r="H172" s="35" t="str">
        <f>IFERROR(IF(VLOOKUP($B172,casostestes[#Data],6)=0,"-",VLOOKUP($B172,casostestes[#Data],6)),"-")</f>
        <v>-</v>
      </c>
      <c r="I172" s="35" t="str">
        <f>IFERROR(IF(VLOOKUP($B172,casostestes[#Data],8)=0,"-",VLOOKUP($B172,casostestes[#Data],8)),"-")</f>
        <v>-</v>
      </c>
      <c r="J172" s="35" t="str">
        <f>IFERROR(IF(VLOOKUP($B172,casostestes[#Data],9)=0,"-",VLOOKUP($B172,casostestes[#Data],9)),"-")</f>
        <v>-</v>
      </c>
      <c r="K172" s="37" t="str">
        <f>IFERROR(IF(VLOOKUP($B172,orlando[#Data],12)=0,"Não executado",VLOOKUP($B172,orlando[#Data],12)),"Não executado")</f>
        <v>Não executado</v>
      </c>
      <c r="L172" s="37" t="str">
        <f>IFERROR(IF(VLOOKUP($B172,mauricio[#Data],12)=0,"Não executado",VLOOKUP($B172,mauricio[#Data],12)),"Não executado")</f>
        <v>Não executado</v>
      </c>
      <c r="M172" s="37" t="str">
        <f>IFERROR(IF(VLOOKUP($B172,Thaisa[#Data],12)=0,"Não executado",VLOOKUP($B172,Thaisa[#Data],12)),"Não executado")</f>
        <v>Não executado</v>
      </c>
      <c r="N172" s="37" t="str">
        <f>IFERROR(IF(VLOOKUP($B172,carlos[#Data],12)=0,"Não executado",VLOOKUP($B172,carlos[#Data],12)),"Não executado")</f>
        <v>Não executado</v>
      </c>
      <c r="O172" s="37" t="str">
        <f>IFERROR(IF(VLOOKUP($B172,Alessandra[#Data],12)=0,"Não executado",VLOOKUP($B172,Alessandra[#Data],12)),"Não executado")</f>
        <v>Não executado</v>
      </c>
      <c r="P172" s="37" t="str">
        <f>IFERROR(IF(VLOOKUP($B172,AnaCarolina[#Data],12)=0,"Não executado",VLOOKUP($B172,AnaCarolina[#Data],12)),"Não executado")</f>
        <v>Não executado</v>
      </c>
      <c r="Q172" s="37" t="str">
        <f>IFERROR(IF(VLOOKUP($B172,wanei[#Data],12)=0,"Não executado",VLOOKUP($B172,wanei[#Data],12)),"Não executado")</f>
        <v>Não executado</v>
      </c>
      <c r="R172" s="37" t="str">
        <f>IFERROR(IF(VLOOKUP($B172,janaina[#Data],12)=0,"Não executado",VLOOKUP($B172,janaina[#Data],12)),"Não executado")</f>
        <v>Não executado</v>
      </c>
      <c r="S172" s="93" t="str">
        <f>IFERROR(IF(VLOOKUP($B155,andreia[#Data],12)=0,"Não executado",VLOOKUP($B155,andreia[#Data],12)),"Não executado")</f>
        <v>Não executado</v>
      </c>
      <c r="T172" s="37" t="str">
        <f>IFERROR(IF(VLOOKUP($B155,homologador[#Data],12)=0,"Não executado",VLOOKUP($B155,homologador[#Data],12)),"Não executado")</f>
        <v>Não executado</v>
      </c>
      <c r="W172" s="13"/>
    </row>
    <row r="173" spans="2:23">
      <c r="B173" s="40" t="str">
        <f>IF(ISERR(casostestes[[#This Row],[ID]]),"-",casostestes[[#This Row],[ID]])</f>
        <v>-</v>
      </c>
      <c r="C173" s="34" t="str">
        <f>IFERROR(IF(VLOOKUP($B173,casostestes[#Data],10)=0,"Não",VLOOKUP($B173,casostestes[#Data],10)), "-")</f>
        <v>-</v>
      </c>
      <c r="D173" s="35" t="str">
        <f>IFERROR(IF(VLOOKUP($B173,casostestes[#Data],2)=0,"-",VLOOKUP($B173,casostestes[#Data],2)), "-")</f>
        <v>-</v>
      </c>
      <c r="E173" s="35" t="str">
        <f>IFERROR(IF(VLOOKUP($B173,casostestes[#Data],3)=0,"-",VLOOKUP($B173,casostestes[#Data],3)), "-")</f>
        <v>-</v>
      </c>
      <c r="F173" s="35" t="str">
        <f>IFERROR(IF(VLOOKUP($B173,casostestes[#Data],4)=0,"-",VLOOKUP($B173,casostestes[#Data],4)),"-")</f>
        <v>-</v>
      </c>
      <c r="G173" s="35" t="str">
        <f>IFERROR(IF(VLOOKUP($B173,casostestes[#Data],5)=0,"-",VLOOKUP($B173,casostestes[#Data],5)),"-")</f>
        <v>-</v>
      </c>
      <c r="H173" s="35" t="str">
        <f>IFERROR(IF(VLOOKUP($B173,casostestes[#Data],6)=0,"-",VLOOKUP($B173,casostestes[#Data],6)),"-")</f>
        <v>-</v>
      </c>
      <c r="I173" s="35" t="str">
        <f>IFERROR(IF(VLOOKUP($B173,casostestes[#Data],8)=0,"-",VLOOKUP($B173,casostestes[#Data],8)),"-")</f>
        <v>-</v>
      </c>
      <c r="J173" s="35" t="str">
        <f>IFERROR(IF(VLOOKUP($B173,casostestes[#Data],9)=0,"-",VLOOKUP($B173,casostestes[#Data],9)),"-")</f>
        <v>-</v>
      </c>
      <c r="K173" s="37" t="str">
        <f>IFERROR(IF(VLOOKUP($B173,orlando[#Data],12)=0,"Não executado",VLOOKUP($B173,orlando[#Data],12)),"Não executado")</f>
        <v>Não executado</v>
      </c>
      <c r="L173" s="37" t="str">
        <f>IFERROR(IF(VLOOKUP($B173,mauricio[#Data],12)=0,"Não executado",VLOOKUP($B173,mauricio[#Data],12)),"Não executado")</f>
        <v>Não executado</v>
      </c>
      <c r="M173" s="37" t="str">
        <f>IFERROR(IF(VLOOKUP($B173,Thaisa[#Data],12)=0,"Não executado",VLOOKUP($B173,Thaisa[#Data],12)),"Não executado")</f>
        <v>Não executado</v>
      </c>
      <c r="N173" s="37" t="str">
        <f>IFERROR(IF(VLOOKUP($B173,carlos[#Data],12)=0,"Não executado",VLOOKUP($B173,carlos[#Data],12)),"Não executado")</f>
        <v>Não executado</v>
      </c>
      <c r="O173" s="37" t="str">
        <f>IFERROR(IF(VLOOKUP($B173,Alessandra[#Data],12)=0,"Não executado",VLOOKUP($B173,Alessandra[#Data],12)),"Não executado")</f>
        <v>Não executado</v>
      </c>
      <c r="P173" s="37" t="str">
        <f>IFERROR(IF(VLOOKUP($B173,AnaCarolina[#Data],12)=0,"Não executado",VLOOKUP($B173,AnaCarolina[#Data],12)),"Não executado")</f>
        <v>Não executado</v>
      </c>
      <c r="Q173" s="37" t="str">
        <f>IFERROR(IF(VLOOKUP($B173,wanei[#Data],12)=0,"Não executado",VLOOKUP($B173,wanei[#Data],12)),"Não executado")</f>
        <v>Não executado</v>
      </c>
      <c r="R173" s="37" t="str">
        <f>IFERROR(IF(VLOOKUP($B173,janaina[#Data],12)=0,"Não executado",VLOOKUP($B173,janaina[#Data],12)),"Não executado")</f>
        <v>Não executado</v>
      </c>
      <c r="S173" s="93" t="str">
        <f>IFERROR(IF(VLOOKUP($B156,andreia[#Data],12)=0,"Não executado",VLOOKUP($B156,andreia[#Data],12)),"Não executado")</f>
        <v>Não executado</v>
      </c>
      <c r="T173" s="37" t="str">
        <f>IFERROR(IF(VLOOKUP($B156,homologador[#Data],12)=0,"Não executado",VLOOKUP($B156,homologador[#Data],12)),"Não executado")</f>
        <v>Não executado</v>
      </c>
      <c r="W173" s="13"/>
    </row>
    <row r="174" spans="2:23">
      <c r="B174" s="40" t="str">
        <f>IF(ISERR(casostestes[[#This Row],[ID]]),"-",casostestes[[#This Row],[ID]])</f>
        <v>-</v>
      </c>
      <c r="C174" s="34" t="str">
        <f>IFERROR(IF(VLOOKUP($B174,casostestes[#Data],10)=0,"Não",VLOOKUP($B174,casostestes[#Data],10)), "-")</f>
        <v>-</v>
      </c>
      <c r="D174" s="35" t="str">
        <f>IFERROR(IF(VLOOKUP($B174,casostestes[#Data],2)=0,"-",VLOOKUP($B174,casostestes[#Data],2)), "-")</f>
        <v>-</v>
      </c>
      <c r="E174" s="35" t="str">
        <f>IFERROR(IF(VLOOKUP($B174,casostestes[#Data],3)=0,"-",VLOOKUP($B174,casostestes[#Data],3)), "-")</f>
        <v>-</v>
      </c>
      <c r="F174" s="35" t="str">
        <f>IFERROR(IF(VLOOKUP($B174,casostestes[#Data],4)=0,"-",VLOOKUP($B174,casostestes[#Data],4)),"-")</f>
        <v>-</v>
      </c>
      <c r="G174" s="35" t="str">
        <f>IFERROR(IF(VLOOKUP($B174,casostestes[#Data],5)=0,"-",VLOOKUP($B174,casostestes[#Data],5)),"-")</f>
        <v>-</v>
      </c>
      <c r="H174" s="35" t="str">
        <f>IFERROR(IF(VLOOKUP($B174,casostestes[#Data],6)=0,"-",VLOOKUP($B174,casostestes[#Data],6)),"-")</f>
        <v>-</v>
      </c>
      <c r="I174" s="35" t="str">
        <f>IFERROR(IF(VLOOKUP($B174,casostestes[#Data],8)=0,"-",VLOOKUP($B174,casostestes[#Data],8)),"-")</f>
        <v>-</v>
      </c>
      <c r="J174" s="35" t="str">
        <f>IFERROR(IF(VLOOKUP($B174,casostestes[#Data],9)=0,"-",VLOOKUP($B174,casostestes[#Data],9)),"-")</f>
        <v>-</v>
      </c>
      <c r="K174" s="37" t="str">
        <f>IFERROR(IF(VLOOKUP($B174,orlando[#Data],12)=0,"Não executado",VLOOKUP($B174,orlando[#Data],12)),"Não executado")</f>
        <v>Não executado</v>
      </c>
      <c r="L174" s="37" t="str">
        <f>IFERROR(IF(VLOOKUP($B174,mauricio[#Data],12)=0,"Não executado",VLOOKUP($B174,mauricio[#Data],12)),"Não executado")</f>
        <v>Não executado</v>
      </c>
      <c r="M174" s="37" t="str">
        <f>IFERROR(IF(VLOOKUP($B174,Thaisa[#Data],12)=0,"Não executado",VLOOKUP($B174,Thaisa[#Data],12)),"Não executado")</f>
        <v>Não executado</v>
      </c>
      <c r="N174" s="37" t="str">
        <f>IFERROR(IF(VLOOKUP($B174,carlos[#Data],12)=0,"Não executado",VLOOKUP($B174,carlos[#Data],12)),"Não executado")</f>
        <v>Não executado</v>
      </c>
      <c r="O174" s="37" t="str">
        <f>IFERROR(IF(VLOOKUP($B174,Alessandra[#Data],12)=0,"Não executado",VLOOKUP($B174,Alessandra[#Data],12)),"Não executado")</f>
        <v>Não executado</v>
      </c>
      <c r="P174" s="37" t="str">
        <f>IFERROR(IF(VLOOKUP($B174,AnaCarolina[#Data],12)=0,"Não executado",VLOOKUP($B174,AnaCarolina[#Data],12)),"Não executado")</f>
        <v>Não executado</v>
      </c>
      <c r="Q174" s="37" t="str">
        <f>IFERROR(IF(VLOOKUP($B174,wanei[#Data],12)=0,"Não executado",VLOOKUP($B174,wanei[#Data],12)),"Não executado")</f>
        <v>Não executado</v>
      </c>
      <c r="R174" s="37" t="str">
        <f>IFERROR(IF(VLOOKUP($B174,janaina[#Data],12)=0,"Não executado",VLOOKUP($B174,janaina[#Data],12)),"Não executado")</f>
        <v>Não executado</v>
      </c>
      <c r="S174" s="93" t="str">
        <f>IFERROR(IF(VLOOKUP($B157,andreia[#Data],12)=0,"Não executado",VLOOKUP($B157,andreia[#Data],12)),"Não executado")</f>
        <v>Não executado</v>
      </c>
      <c r="T174" s="37" t="str">
        <f>IFERROR(IF(VLOOKUP($B157,homologador[#Data],12)=0,"Não executado",VLOOKUP($B157,homologador[#Data],12)),"Não executado")</f>
        <v>Não executado</v>
      </c>
      <c r="W174" s="13"/>
    </row>
    <row r="175" spans="2:23">
      <c r="B175" s="40" t="str">
        <f>IF(ISERR(casostestes[[#This Row],[ID]]),"-",casostestes[[#This Row],[ID]])</f>
        <v>-</v>
      </c>
      <c r="C175" s="34" t="str">
        <f>IFERROR(IF(VLOOKUP($B175,casostestes[#Data],10)=0,"Não",VLOOKUP($B175,casostestes[#Data],10)), "-")</f>
        <v>-</v>
      </c>
      <c r="D175" s="35" t="str">
        <f>IFERROR(IF(VLOOKUP($B175,casostestes[#Data],2)=0,"-",VLOOKUP($B175,casostestes[#Data],2)), "-")</f>
        <v>-</v>
      </c>
      <c r="E175" s="35" t="str">
        <f>IFERROR(IF(VLOOKUP($B175,casostestes[#Data],3)=0,"-",VLOOKUP($B175,casostestes[#Data],3)), "-")</f>
        <v>-</v>
      </c>
      <c r="F175" s="35" t="str">
        <f>IFERROR(IF(VLOOKUP($B175,casostestes[#Data],4)=0,"-",VLOOKUP($B175,casostestes[#Data],4)),"-")</f>
        <v>-</v>
      </c>
      <c r="G175" s="35" t="str">
        <f>IFERROR(IF(VLOOKUP($B175,casostestes[#Data],5)=0,"-",VLOOKUP($B175,casostestes[#Data],5)),"-")</f>
        <v>-</v>
      </c>
      <c r="H175" s="35" t="str">
        <f>IFERROR(IF(VLOOKUP($B175,casostestes[#Data],6)=0,"-",VLOOKUP($B175,casostestes[#Data],6)),"-")</f>
        <v>-</v>
      </c>
      <c r="I175" s="35" t="str">
        <f>IFERROR(IF(VLOOKUP($B175,casostestes[#Data],8)=0,"-",VLOOKUP($B175,casostestes[#Data],8)),"-")</f>
        <v>-</v>
      </c>
      <c r="J175" s="35" t="str">
        <f>IFERROR(IF(VLOOKUP($B175,casostestes[#Data],9)=0,"-",VLOOKUP($B175,casostestes[#Data],9)),"-")</f>
        <v>-</v>
      </c>
      <c r="K175" s="37" t="str">
        <f>IFERROR(IF(VLOOKUP($B175,orlando[#Data],12)=0,"Não executado",VLOOKUP($B175,orlando[#Data],12)),"Não executado")</f>
        <v>Não executado</v>
      </c>
      <c r="L175" s="37" t="str">
        <f>IFERROR(IF(VLOOKUP($B175,mauricio[#Data],12)=0,"Não executado",VLOOKUP($B175,mauricio[#Data],12)),"Não executado")</f>
        <v>Não executado</v>
      </c>
      <c r="M175" s="37" t="str">
        <f>IFERROR(IF(VLOOKUP($B175,Thaisa[#Data],12)=0,"Não executado",VLOOKUP($B175,Thaisa[#Data],12)),"Não executado")</f>
        <v>Não executado</v>
      </c>
      <c r="N175" s="37" t="str">
        <f>IFERROR(IF(VLOOKUP($B175,carlos[#Data],12)=0,"Não executado",VLOOKUP($B175,carlos[#Data],12)),"Não executado")</f>
        <v>Não executado</v>
      </c>
      <c r="O175" s="37" t="str">
        <f>IFERROR(IF(VLOOKUP($B175,Alessandra[#Data],12)=0,"Não executado",VLOOKUP($B175,Alessandra[#Data],12)),"Não executado")</f>
        <v>Não executado</v>
      </c>
      <c r="P175" s="37" t="str">
        <f>IFERROR(IF(VLOOKUP($B175,AnaCarolina[#Data],12)=0,"Não executado",VLOOKUP($B175,AnaCarolina[#Data],12)),"Não executado")</f>
        <v>Não executado</v>
      </c>
      <c r="Q175" s="37" t="str">
        <f>IFERROR(IF(VLOOKUP($B175,wanei[#Data],12)=0,"Não executado",VLOOKUP($B175,wanei[#Data],12)),"Não executado")</f>
        <v>Não executado</v>
      </c>
      <c r="R175" s="37" t="str">
        <f>IFERROR(IF(VLOOKUP($B175,janaina[#Data],12)=0,"Não executado",VLOOKUP($B175,janaina[#Data],12)),"Não executado")</f>
        <v>Não executado</v>
      </c>
      <c r="S175" s="93" t="str">
        <f>IFERROR(IF(VLOOKUP($B158,andreia[#Data],12)=0,"Não executado",VLOOKUP($B158,andreia[#Data],12)),"Não executado")</f>
        <v>Não executado</v>
      </c>
      <c r="T175" s="37" t="str">
        <f>IFERROR(IF(VLOOKUP($B158,homologador[#Data],12)=0,"Não executado",VLOOKUP($B158,homologador[#Data],12)),"Não executado")</f>
        <v>Não executado</v>
      </c>
      <c r="W175" s="13"/>
    </row>
    <row r="176" spans="2:23">
      <c r="B176" s="40" t="str">
        <f>IF(ISERR(casostestes[[#This Row],[ID]]),"-",casostestes[[#This Row],[ID]])</f>
        <v>-</v>
      </c>
      <c r="C176" s="34" t="str">
        <f>IFERROR(IF(VLOOKUP($B176,casostestes[#Data],10)=0,"Não",VLOOKUP($B176,casostestes[#Data],10)), "-")</f>
        <v>-</v>
      </c>
      <c r="D176" s="35" t="str">
        <f>IFERROR(IF(VLOOKUP($B176,casostestes[#Data],2)=0,"-",VLOOKUP($B176,casostestes[#Data],2)), "-")</f>
        <v>-</v>
      </c>
      <c r="E176" s="35" t="str">
        <f>IFERROR(IF(VLOOKUP($B176,casostestes[#Data],3)=0,"-",VLOOKUP($B176,casostestes[#Data],3)), "-")</f>
        <v>-</v>
      </c>
      <c r="F176" s="35" t="str">
        <f>IFERROR(IF(VLOOKUP($B176,casostestes[#Data],4)=0,"-",VLOOKUP($B176,casostestes[#Data],4)),"-")</f>
        <v>-</v>
      </c>
      <c r="G176" s="35" t="str">
        <f>IFERROR(IF(VLOOKUP($B176,casostestes[#Data],5)=0,"-",VLOOKUP($B176,casostestes[#Data],5)),"-")</f>
        <v>-</v>
      </c>
      <c r="H176" s="35" t="str">
        <f>IFERROR(IF(VLOOKUP($B176,casostestes[#Data],6)=0,"-",VLOOKUP($B176,casostestes[#Data],6)),"-")</f>
        <v>-</v>
      </c>
      <c r="I176" s="35" t="str">
        <f>IFERROR(IF(VLOOKUP($B176,casostestes[#Data],8)=0,"-",VLOOKUP($B176,casostestes[#Data],8)),"-")</f>
        <v>-</v>
      </c>
      <c r="J176" s="35" t="str">
        <f>IFERROR(IF(VLOOKUP($B176,casostestes[#Data],9)=0,"-",VLOOKUP($B176,casostestes[#Data],9)),"-")</f>
        <v>-</v>
      </c>
      <c r="K176" s="37" t="str">
        <f>IFERROR(IF(VLOOKUP($B176,orlando[#Data],12)=0,"Não executado",VLOOKUP($B176,orlando[#Data],12)),"Não executado")</f>
        <v>Não executado</v>
      </c>
      <c r="L176" s="37" t="str">
        <f>IFERROR(IF(VLOOKUP($B176,mauricio[#Data],12)=0,"Não executado",VLOOKUP($B176,mauricio[#Data],12)),"Não executado")</f>
        <v>Não executado</v>
      </c>
      <c r="M176" s="37" t="str">
        <f>IFERROR(IF(VLOOKUP($B176,Thaisa[#Data],12)=0,"Não executado",VLOOKUP($B176,Thaisa[#Data],12)),"Não executado")</f>
        <v>Não executado</v>
      </c>
      <c r="N176" s="37" t="str">
        <f>IFERROR(IF(VLOOKUP($B176,carlos[#Data],12)=0,"Não executado",VLOOKUP($B176,carlos[#Data],12)),"Não executado")</f>
        <v>Não executado</v>
      </c>
      <c r="O176" s="37" t="str">
        <f>IFERROR(IF(VLOOKUP($B176,Alessandra[#Data],12)=0,"Não executado",VLOOKUP($B176,Alessandra[#Data],12)),"Não executado")</f>
        <v>Não executado</v>
      </c>
      <c r="P176" s="37" t="str">
        <f>IFERROR(IF(VLOOKUP($B176,AnaCarolina[#Data],12)=0,"Não executado",VLOOKUP($B176,AnaCarolina[#Data],12)),"Não executado")</f>
        <v>Não executado</v>
      </c>
      <c r="Q176" s="37" t="str">
        <f>IFERROR(IF(VLOOKUP($B176,wanei[#Data],12)=0,"Não executado",VLOOKUP($B176,wanei[#Data],12)),"Não executado")</f>
        <v>Não executado</v>
      </c>
      <c r="R176" s="37" t="str">
        <f>IFERROR(IF(VLOOKUP($B176,janaina[#Data],12)=0,"Não executado",VLOOKUP($B176,janaina[#Data],12)),"Não executado")</f>
        <v>Não executado</v>
      </c>
      <c r="S176" s="93" t="str">
        <f>IFERROR(IF(VLOOKUP($B159,andreia[#Data],12)=0,"Não executado",VLOOKUP($B159,andreia[#Data],12)),"Não executado")</f>
        <v>Não executado</v>
      </c>
      <c r="T176" s="37" t="str">
        <f>IFERROR(IF(VLOOKUP($B159,homologador[#Data],12)=0,"Não executado",VLOOKUP($B159,homologador[#Data],12)),"Não executado")</f>
        <v>Não executado</v>
      </c>
      <c r="W176" s="13"/>
    </row>
    <row r="177" spans="2:23">
      <c r="B177" s="40" t="str">
        <f>IF(ISERR(casostestes[[#This Row],[ID]]),"-",casostestes[[#This Row],[ID]])</f>
        <v>-</v>
      </c>
      <c r="C177" s="34" t="str">
        <f>IFERROR(IF(VLOOKUP($B177,casostestes[#Data],10)=0,"Não",VLOOKUP($B177,casostestes[#Data],10)), "-")</f>
        <v>-</v>
      </c>
      <c r="D177" s="35" t="str">
        <f>IFERROR(IF(VLOOKUP($B177,casostestes[#Data],2)=0,"-",VLOOKUP($B177,casostestes[#Data],2)), "-")</f>
        <v>-</v>
      </c>
      <c r="E177" s="35" t="str">
        <f>IFERROR(IF(VLOOKUP($B177,casostestes[#Data],3)=0,"-",VLOOKUP($B177,casostestes[#Data],3)), "-")</f>
        <v>-</v>
      </c>
      <c r="F177" s="35" t="str">
        <f>IFERROR(IF(VLOOKUP($B177,casostestes[#Data],4)=0,"-",VLOOKUP($B177,casostestes[#Data],4)),"-")</f>
        <v>-</v>
      </c>
      <c r="G177" s="35" t="str">
        <f>IFERROR(IF(VLOOKUP($B177,casostestes[#Data],5)=0,"-",VLOOKUP($B177,casostestes[#Data],5)),"-")</f>
        <v>-</v>
      </c>
      <c r="H177" s="35" t="str">
        <f>IFERROR(IF(VLOOKUP($B177,casostestes[#Data],6)=0,"-",VLOOKUP($B177,casostestes[#Data],6)),"-")</f>
        <v>-</v>
      </c>
      <c r="I177" s="35" t="str">
        <f>IFERROR(IF(VLOOKUP($B177,casostestes[#Data],8)=0,"-",VLOOKUP($B177,casostestes[#Data],8)),"-")</f>
        <v>-</v>
      </c>
      <c r="J177" s="35" t="str">
        <f>IFERROR(IF(VLOOKUP($B177,casostestes[#Data],9)=0,"-",VLOOKUP($B177,casostestes[#Data],9)),"-")</f>
        <v>-</v>
      </c>
      <c r="K177" s="37" t="str">
        <f>IFERROR(IF(VLOOKUP($B177,orlando[#Data],12)=0,"Não executado",VLOOKUP($B177,orlando[#Data],12)),"Não executado")</f>
        <v>Não executado</v>
      </c>
      <c r="L177" s="37" t="str">
        <f>IFERROR(IF(VLOOKUP($B177,mauricio[#Data],12)=0,"Não executado",VLOOKUP($B177,mauricio[#Data],12)),"Não executado")</f>
        <v>Não executado</v>
      </c>
      <c r="M177" s="37" t="str">
        <f>IFERROR(IF(VLOOKUP($B177,Thaisa[#Data],12)=0,"Não executado",VLOOKUP($B177,Thaisa[#Data],12)),"Não executado")</f>
        <v>Não executado</v>
      </c>
      <c r="N177" s="37" t="str">
        <f>IFERROR(IF(VLOOKUP($B177,carlos[#Data],12)=0,"Não executado",VLOOKUP($B177,carlos[#Data],12)),"Não executado")</f>
        <v>Não executado</v>
      </c>
      <c r="O177" s="37" t="str">
        <f>IFERROR(IF(VLOOKUP($B177,Alessandra[#Data],12)=0,"Não executado",VLOOKUP($B177,Alessandra[#Data],12)),"Não executado")</f>
        <v>Não executado</v>
      </c>
      <c r="P177" s="37" t="str">
        <f>IFERROR(IF(VLOOKUP($B177,AnaCarolina[#Data],12)=0,"Não executado",VLOOKUP($B177,AnaCarolina[#Data],12)),"Não executado")</f>
        <v>Não executado</v>
      </c>
      <c r="Q177" s="37" t="str">
        <f>IFERROR(IF(VLOOKUP($B177,wanei[#Data],12)=0,"Não executado",VLOOKUP($B177,wanei[#Data],12)),"Não executado")</f>
        <v>Não executado</v>
      </c>
      <c r="R177" s="37" t="str">
        <f>IFERROR(IF(VLOOKUP($B177,janaina[#Data],12)=0,"Não executado",VLOOKUP($B177,janaina[#Data],12)),"Não executado")</f>
        <v>Não executado</v>
      </c>
      <c r="S177" s="93" t="str">
        <f>IFERROR(IF(VLOOKUP($B160,andreia[#Data],12)=0,"Não executado",VLOOKUP($B160,andreia[#Data],12)),"Não executado")</f>
        <v>Não executado</v>
      </c>
      <c r="T177" s="37" t="str">
        <f>IFERROR(IF(VLOOKUP($B160,homologador[#Data],12)=0,"Não executado",VLOOKUP($B160,homologador[#Data],12)),"Não executado")</f>
        <v>Não executado</v>
      </c>
      <c r="W177" s="13"/>
    </row>
    <row r="178" spans="2:23">
      <c r="B178" s="40" t="str">
        <f>IF(ISERR(casostestes[[#This Row],[ID]]),"-",casostestes[[#This Row],[ID]])</f>
        <v>-</v>
      </c>
      <c r="C178" s="34" t="str">
        <f>IFERROR(IF(VLOOKUP($B178,casostestes[#Data],10)=0,"Não",VLOOKUP($B178,casostestes[#Data],10)), "-")</f>
        <v>-</v>
      </c>
      <c r="D178" s="35" t="str">
        <f>IFERROR(IF(VLOOKUP($B178,casostestes[#Data],2)=0,"-",VLOOKUP($B178,casostestes[#Data],2)), "-")</f>
        <v>-</v>
      </c>
      <c r="E178" s="35" t="str">
        <f>IFERROR(IF(VLOOKUP($B178,casostestes[#Data],3)=0,"-",VLOOKUP($B178,casostestes[#Data],3)), "-")</f>
        <v>-</v>
      </c>
      <c r="F178" s="35" t="str">
        <f>IFERROR(IF(VLOOKUP($B178,casostestes[#Data],4)=0,"-",VLOOKUP($B178,casostestes[#Data],4)),"-")</f>
        <v>-</v>
      </c>
      <c r="G178" s="35" t="str">
        <f>IFERROR(IF(VLOOKUP($B178,casostestes[#Data],5)=0,"-",VLOOKUP($B178,casostestes[#Data],5)),"-")</f>
        <v>-</v>
      </c>
      <c r="H178" s="35" t="str">
        <f>IFERROR(IF(VLOOKUP($B178,casostestes[#Data],6)=0,"-",VLOOKUP($B178,casostestes[#Data],6)),"-")</f>
        <v>-</v>
      </c>
      <c r="I178" s="35" t="str">
        <f>IFERROR(IF(VLOOKUP($B178,casostestes[#Data],8)=0,"-",VLOOKUP($B178,casostestes[#Data],8)),"-")</f>
        <v>-</v>
      </c>
      <c r="J178" s="35" t="str">
        <f>IFERROR(IF(VLOOKUP($B178,casostestes[#Data],9)=0,"-",VLOOKUP($B178,casostestes[#Data],9)),"-")</f>
        <v>-</v>
      </c>
      <c r="K178" s="37" t="str">
        <f>IFERROR(IF(VLOOKUP($B178,orlando[#Data],12)=0,"Não executado",VLOOKUP($B178,orlando[#Data],12)),"Não executado")</f>
        <v>Não executado</v>
      </c>
      <c r="L178" s="37" t="str">
        <f>IFERROR(IF(VLOOKUP($B178,mauricio[#Data],12)=0,"Não executado",VLOOKUP($B178,mauricio[#Data],12)),"Não executado")</f>
        <v>Não executado</v>
      </c>
      <c r="M178" s="37" t="str">
        <f>IFERROR(IF(VLOOKUP($B178,Thaisa[#Data],12)=0,"Não executado",VLOOKUP($B178,Thaisa[#Data],12)),"Não executado")</f>
        <v>Não executado</v>
      </c>
      <c r="N178" s="37" t="str">
        <f>IFERROR(IF(VLOOKUP($B178,carlos[#Data],12)=0,"Não executado",VLOOKUP($B178,carlos[#Data],12)),"Não executado")</f>
        <v>Não executado</v>
      </c>
      <c r="O178" s="37" t="str">
        <f>IFERROR(IF(VLOOKUP($B178,Alessandra[#Data],12)=0,"Não executado",VLOOKUP($B178,Alessandra[#Data],12)),"Não executado")</f>
        <v>Não executado</v>
      </c>
      <c r="P178" s="37" t="str">
        <f>IFERROR(IF(VLOOKUP($B178,AnaCarolina[#Data],12)=0,"Não executado",VLOOKUP($B178,AnaCarolina[#Data],12)),"Não executado")</f>
        <v>Não executado</v>
      </c>
      <c r="Q178" s="37" t="str">
        <f>IFERROR(IF(VLOOKUP($B178,wanei[#Data],12)=0,"Não executado",VLOOKUP($B178,wanei[#Data],12)),"Não executado")</f>
        <v>Não executado</v>
      </c>
      <c r="R178" s="37" t="str">
        <f>IFERROR(IF(VLOOKUP($B178,janaina[#Data],12)=0,"Não executado",VLOOKUP($B178,janaina[#Data],12)),"Não executado")</f>
        <v>Não executado</v>
      </c>
      <c r="S178" s="93" t="str">
        <f>IFERROR(IF(VLOOKUP($B161,andreia[#Data],12)=0,"Não executado",VLOOKUP($B161,andreia[#Data],12)),"Não executado")</f>
        <v>Não executado</v>
      </c>
      <c r="T178" s="37" t="str">
        <f>IFERROR(IF(VLOOKUP($B161,homologador[#Data],12)=0,"Não executado",VLOOKUP($B161,homologador[#Data],12)),"Não executado")</f>
        <v>Não executado</v>
      </c>
      <c r="W178" s="13"/>
    </row>
    <row r="179" spans="2:23">
      <c r="B179" s="40" t="str">
        <f>IF(ISERR(casostestes[[#This Row],[ID]]),"-",casostestes[[#This Row],[ID]])</f>
        <v>-</v>
      </c>
      <c r="C179" s="34" t="str">
        <f>IFERROR(IF(VLOOKUP($B179,casostestes[#Data],10)=0,"Não",VLOOKUP($B179,casostestes[#Data],10)), "-")</f>
        <v>-</v>
      </c>
      <c r="D179" s="35" t="str">
        <f>IFERROR(IF(VLOOKUP($B179,casostestes[#Data],2)=0,"-",VLOOKUP($B179,casostestes[#Data],2)), "-")</f>
        <v>-</v>
      </c>
      <c r="E179" s="35" t="str">
        <f>IFERROR(IF(VLOOKUP($B179,casostestes[#Data],3)=0,"-",VLOOKUP($B179,casostestes[#Data],3)), "-")</f>
        <v>-</v>
      </c>
      <c r="F179" s="35" t="str">
        <f>IFERROR(IF(VLOOKUP($B179,casostestes[#Data],4)=0,"-",VLOOKUP($B179,casostestes[#Data],4)),"-")</f>
        <v>-</v>
      </c>
      <c r="G179" s="35" t="str">
        <f>IFERROR(IF(VLOOKUP($B179,casostestes[#Data],5)=0,"-",VLOOKUP($B179,casostestes[#Data],5)),"-")</f>
        <v>-</v>
      </c>
      <c r="H179" s="35" t="str">
        <f>IFERROR(IF(VLOOKUP($B179,casostestes[#Data],6)=0,"-",VLOOKUP($B179,casostestes[#Data],6)),"-")</f>
        <v>-</v>
      </c>
      <c r="I179" s="35" t="str">
        <f>IFERROR(IF(VLOOKUP($B179,casostestes[#Data],8)=0,"-",VLOOKUP($B179,casostestes[#Data],8)),"-")</f>
        <v>-</v>
      </c>
      <c r="J179" s="35" t="str">
        <f>IFERROR(IF(VLOOKUP($B179,casostestes[#Data],9)=0,"-",VLOOKUP($B179,casostestes[#Data],9)),"-")</f>
        <v>-</v>
      </c>
      <c r="K179" s="37" t="str">
        <f>IFERROR(IF(VLOOKUP($B179,orlando[#Data],12)=0,"Não executado",VLOOKUP($B179,orlando[#Data],12)),"Não executado")</f>
        <v>Não executado</v>
      </c>
      <c r="L179" s="37" t="str">
        <f>IFERROR(IF(VLOOKUP($B179,mauricio[#Data],12)=0,"Não executado",VLOOKUP($B179,mauricio[#Data],12)),"Não executado")</f>
        <v>Não executado</v>
      </c>
      <c r="M179" s="37" t="str">
        <f>IFERROR(IF(VLOOKUP($B179,Thaisa[#Data],12)=0,"Não executado",VLOOKUP($B179,Thaisa[#Data],12)),"Não executado")</f>
        <v>Não executado</v>
      </c>
      <c r="N179" s="37" t="str">
        <f>IFERROR(IF(VLOOKUP($B179,carlos[#Data],12)=0,"Não executado",VLOOKUP($B179,carlos[#Data],12)),"Não executado")</f>
        <v>Não executado</v>
      </c>
      <c r="O179" s="37" t="str">
        <f>IFERROR(IF(VLOOKUP($B179,Alessandra[#Data],12)=0,"Não executado",VLOOKUP($B179,Alessandra[#Data],12)),"Não executado")</f>
        <v>Não executado</v>
      </c>
      <c r="P179" s="37" t="str">
        <f>IFERROR(IF(VLOOKUP($B179,AnaCarolina[#Data],12)=0,"Não executado",VLOOKUP($B179,AnaCarolina[#Data],12)),"Não executado")</f>
        <v>Não executado</v>
      </c>
      <c r="Q179" s="37" t="str">
        <f>IFERROR(IF(VLOOKUP($B179,wanei[#Data],12)=0,"Não executado",VLOOKUP($B179,wanei[#Data],12)),"Não executado")</f>
        <v>Não executado</v>
      </c>
      <c r="R179" s="37" t="str">
        <f>IFERROR(IF(VLOOKUP($B179,janaina[#Data],12)=0,"Não executado",VLOOKUP($B179,janaina[#Data],12)),"Não executado")</f>
        <v>Não executado</v>
      </c>
      <c r="S179" s="93" t="str">
        <f>IFERROR(IF(VLOOKUP($B162,andreia[#Data],12)=0,"Não executado",VLOOKUP($B162,andreia[#Data],12)),"Não executado")</f>
        <v>Não executado</v>
      </c>
      <c r="T179" s="37" t="str">
        <f>IFERROR(IF(VLOOKUP($B162,homologador[#Data],12)=0,"Não executado",VLOOKUP($B162,homologador[#Data],12)),"Não executado")</f>
        <v>Não executado</v>
      </c>
      <c r="W179" s="13"/>
    </row>
    <row r="180" spans="2:23">
      <c r="B180" s="40" t="str">
        <f>IF(ISERR(casostestes[[#This Row],[ID]]),"-",casostestes[[#This Row],[ID]])</f>
        <v>-</v>
      </c>
      <c r="C180" s="34" t="str">
        <f>IFERROR(IF(VLOOKUP($B180,casostestes[#Data],10)=0,"Não",VLOOKUP($B180,casostestes[#Data],10)), "-")</f>
        <v>-</v>
      </c>
      <c r="D180" s="35" t="str">
        <f>IFERROR(IF(VLOOKUP($B180,casostestes[#Data],2)=0,"-",VLOOKUP($B180,casostestes[#Data],2)), "-")</f>
        <v>-</v>
      </c>
      <c r="E180" s="35" t="str">
        <f>IFERROR(IF(VLOOKUP($B180,casostestes[#Data],3)=0,"-",VLOOKUP($B180,casostestes[#Data],3)), "-")</f>
        <v>-</v>
      </c>
      <c r="F180" s="35" t="str">
        <f>IFERROR(IF(VLOOKUP($B180,casostestes[#Data],4)=0,"-",VLOOKUP($B180,casostestes[#Data],4)),"-")</f>
        <v>-</v>
      </c>
      <c r="G180" s="35" t="str">
        <f>IFERROR(IF(VLOOKUP($B180,casostestes[#Data],5)=0,"-",VLOOKUP($B180,casostestes[#Data],5)),"-")</f>
        <v>-</v>
      </c>
      <c r="H180" s="35" t="str">
        <f>IFERROR(IF(VLOOKUP($B180,casostestes[#Data],6)=0,"-",VLOOKUP($B180,casostestes[#Data],6)),"-")</f>
        <v>-</v>
      </c>
      <c r="I180" s="35" t="str">
        <f>IFERROR(IF(VLOOKUP($B180,casostestes[#Data],8)=0,"-",VLOOKUP($B180,casostestes[#Data],8)),"-")</f>
        <v>-</v>
      </c>
      <c r="J180" s="35" t="str">
        <f>IFERROR(IF(VLOOKUP($B180,casostestes[#Data],9)=0,"-",VLOOKUP($B180,casostestes[#Data],9)),"-")</f>
        <v>-</v>
      </c>
      <c r="K180" s="37" t="str">
        <f>IFERROR(IF(VLOOKUP($B180,orlando[#Data],12)=0,"Não executado",VLOOKUP($B180,orlando[#Data],12)),"Não executado")</f>
        <v>Não executado</v>
      </c>
      <c r="L180" s="37" t="str">
        <f>IFERROR(IF(VLOOKUP($B180,mauricio[#Data],12)=0,"Não executado",VLOOKUP($B180,mauricio[#Data],12)),"Não executado")</f>
        <v>Não executado</v>
      </c>
      <c r="M180" s="37" t="str">
        <f>IFERROR(IF(VLOOKUP($B180,Thaisa[#Data],12)=0,"Não executado",VLOOKUP($B180,Thaisa[#Data],12)),"Não executado")</f>
        <v>Não executado</v>
      </c>
      <c r="N180" s="37" t="str">
        <f>IFERROR(IF(VLOOKUP($B180,carlos[#Data],12)=0,"Não executado",VLOOKUP($B180,carlos[#Data],12)),"Não executado")</f>
        <v>Não executado</v>
      </c>
      <c r="O180" s="37" t="str">
        <f>IFERROR(IF(VLOOKUP($B180,Alessandra[#Data],12)=0,"Não executado",VLOOKUP($B180,Alessandra[#Data],12)),"Não executado")</f>
        <v>Não executado</v>
      </c>
      <c r="P180" s="37" t="str">
        <f>IFERROR(IF(VLOOKUP($B180,AnaCarolina[#Data],12)=0,"Não executado",VLOOKUP($B180,AnaCarolina[#Data],12)),"Não executado")</f>
        <v>Não executado</v>
      </c>
      <c r="Q180" s="37" t="str">
        <f>IFERROR(IF(VLOOKUP($B180,wanei[#Data],12)=0,"Não executado",VLOOKUP($B180,wanei[#Data],12)),"Não executado")</f>
        <v>Não executado</v>
      </c>
      <c r="R180" s="37" t="str">
        <f>IFERROR(IF(VLOOKUP($B180,janaina[#Data],12)=0,"Não executado",VLOOKUP($B180,janaina[#Data],12)),"Não executado")</f>
        <v>Não executado</v>
      </c>
      <c r="S180" s="93" t="str">
        <f>IFERROR(IF(VLOOKUP($B163,andreia[#Data],12)=0,"Não executado",VLOOKUP($B163,andreia[#Data],12)),"Não executado")</f>
        <v>Não executado</v>
      </c>
      <c r="T180" s="37" t="str">
        <f>IFERROR(IF(VLOOKUP($B163,homologador[#Data],12)=0,"Não executado",VLOOKUP($B163,homologador[#Data],12)),"Não executado")</f>
        <v>Não executado</v>
      </c>
      <c r="W180" s="13"/>
    </row>
    <row r="181" spans="2:23">
      <c r="B181" s="40" t="str">
        <f>IF(ISERR(casostestes[[#This Row],[ID]]),"-",casostestes[[#This Row],[ID]])</f>
        <v>-</v>
      </c>
      <c r="C181" s="34" t="str">
        <f>IFERROR(IF(VLOOKUP($B181,casostestes[#Data],10)=0,"Não",VLOOKUP($B181,casostestes[#Data],10)), "-")</f>
        <v>-</v>
      </c>
      <c r="D181" s="35" t="str">
        <f>IFERROR(IF(VLOOKUP($B181,casostestes[#Data],2)=0,"-",VLOOKUP($B181,casostestes[#Data],2)), "-")</f>
        <v>-</v>
      </c>
      <c r="E181" s="35" t="str">
        <f>IFERROR(IF(VLOOKUP($B181,casostestes[#Data],3)=0,"-",VLOOKUP($B181,casostestes[#Data],3)), "-")</f>
        <v>-</v>
      </c>
      <c r="F181" s="35" t="str">
        <f>IFERROR(IF(VLOOKUP($B181,casostestes[#Data],4)=0,"-",VLOOKUP($B181,casostestes[#Data],4)),"-")</f>
        <v>-</v>
      </c>
      <c r="G181" s="35" t="str">
        <f>IFERROR(IF(VLOOKUP($B181,casostestes[#Data],5)=0,"-",VLOOKUP($B181,casostestes[#Data],5)),"-")</f>
        <v>-</v>
      </c>
      <c r="H181" s="35" t="str">
        <f>IFERROR(IF(VLOOKUP($B181,casostestes[#Data],6)=0,"-",VLOOKUP($B181,casostestes[#Data],6)),"-")</f>
        <v>-</v>
      </c>
      <c r="I181" s="35" t="str">
        <f>IFERROR(IF(VLOOKUP($B181,casostestes[#Data],8)=0,"-",VLOOKUP($B181,casostestes[#Data],8)),"-")</f>
        <v>-</v>
      </c>
      <c r="J181" s="35" t="str">
        <f>IFERROR(IF(VLOOKUP($B181,casostestes[#Data],9)=0,"-",VLOOKUP($B181,casostestes[#Data],9)),"-")</f>
        <v>-</v>
      </c>
      <c r="K181" s="37" t="str">
        <f>IFERROR(IF(VLOOKUP($B181,orlando[#Data],12)=0,"Não executado",VLOOKUP($B181,orlando[#Data],12)),"Não executado")</f>
        <v>Não executado</v>
      </c>
      <c r="L181" s="37" t="str">
        <f>IFERROR(IF(VLOOKUP($B181,mauricio[#Data],12)=0,"Não executado",VLOOKUP($B181,mauricio[#Data],12)),"Não executado")</f>
        <v>Não executado</v>
      </c>
      <c r="M181" s="37" t="str">
        <f>IFERROR(IF(VLOOKUP($B181,Thaisa[#Data],12)=0,"Não executado",VLOOKUP($B181,Thaisa[#Data],12)),"Não executado")</f>
        <v>Não executado</v>
      </c>
      <c r="N181" s="37" t="str">
        <f>IFERROR(IF(VLOOKUP($B181,carlos[#Data],12)=0,"Não executado",VLOOKUP($B181,carlos[#Data],12)),"Não executado")</f>
        <v>Não executado</v>
      </c>
      <c r="O181" s="37" t="str">
        <f>IFERROR(IF(VLOOKUP($B181,Alessandra[#Data],12)=0,"Não executado",VLOOKUP($B181,Alessandra[#Data],12)),"Não executado")</f>
        <v>Não executado</v>
      </c>
      <c r="P181" s="37" t="str">
        <f>IFERROR(IF(VLOOKUP($B181,AnaCarolina[#Data],12)=0,"Não executado",VLOOKUP($B181,AnaCarolina[#Data],12)),"Não executado")</f>
        <v>Não executado</v>
      </c>
      <c r="Q181" s="37" t="str">
        <f>IFERROR(IF(VLOOKUP($B181,wanei[#Data],12)=0,"Não executado",VLOOKUP($B181,wanei[#Data],12)),"Não executado")</f>
        <v>Não executado</v>
      </c>
      <c r="R181" s="37" t="str">
        <f>IFERROR(IF(VLOOKUP($B181,janaina[#Data],12)=0,"Não executado",VLOOKUP($B181,janaina[#Data],12)),"Não executado")</f>
        <v>Não executado</v>
      </c>
      <c r="S181" s="93" t="str">
        <f>IFERROR(IF(VLOOKUP($B164,andreia[#Data],12)=0,"Não executado",VLOOKUP($B164,andreia[#Data],12)),"Não executado")</f>
        <v>Não executado</v>
      </c>
      <c r="T181" s="37" t="str">
        <f>IFERROR(IF(VLOOKUP($B164,homologador[#Data],12)=0,"Não executado",VLOOKUP($B164,homologador[#Data],12)),"Não executado")</f>
        <v>Não executado</v>
      </c>
      <c r="W181" s="13"/>
    </row>
    <row r="182" spans="2:23">
      <c r="B182" s="40" t="str">
        <f>IF(ISERR(casostestes[[#This Row],[ID]]),"-",casostestes[[#This Row],[ID]])</f>
        <v>-</v>
      </c>
      <c r="C182" s="34" t="str">
        <f>IFERROR(IF(VLOOKUP($B182,casostestes[#Data],10)=0,"Não",VLOOKUP($B182,casostestes[#Data],10)), "-")</f>
        <v>-</v>
      </c>
      <c r="D182" s="35" t="str">
        <f>IFERROR(IF(VLOOKUP($B182,casostestes[#Data],2)=0,"-",VLOOKUP($B182,casostestes[#Data],2)), "-")</f>
        <v>-</v>
      </c>
      <c r="E182" s="35" t="str">
        <f>IFERROR(IF(VLOOKUP($B182,casostestes[#Data],3)=0,"-",VLOOKUP($B182,casostestes[#Data],3)), "-")</f>
        <v>-</v>
      </c>
      <c r="F182" s="35" t="str">
        <f>IFERROR(IF(VLOOKUP($B182,casostestes[#Data],4)=0,"-",VLOOKUP($B182,casostestes[#Data],4)),"-")</f>
        <v>-</v>
      </c>
      <c r="G182" s="35" t="str">
        <f>IFERROR(IF(VLOOKUP($B182,casostestes[#Data],5)=0,"-",VLOOKUP($B182,casostestes[#Data],5)),"-")</f>
        <v>-</v>
      </c>
      <c r="H182" s="35" t="str">
        <f>IFERROR(IF(VLOOKUP($B182,casostestes[#Data],6)=0,"-",VLOOKUP($B182,casostestes[#Data],6)),"-")</f>
        <v>-</v>
      </c>
      <c r="I182" s="35" t="str">
        <f>IFERROR(IF(VLOOKUP($B182,casostestes[#Data],8)=0,"-",VLOOKUP($B182,casostestes[#Data],8)),"-")</f>
        <v>-</v>
      </c>
      <c r="J182" s="35" t="str">
        <f>IFERROR(IF(VLOOKUP($B182,casostestes[#Data],9)=0,"-",VLOOKUP($B182,casostestes[#Data],9)),"-")</f>
        <v>-</v>
      </c>
      <c r="K182" s="37" t="str">
        <f>IFERROR(IF(VLOOKUP($B182,orlando[#Data],12)=0,"Não executado",VLOOKUP($B182,orlando[#Data],12)),"Não executado")</f>
        <v>Não executado</v>
      </c>
      <c r="L182" s="37" t="str">
        <f>IFERROR(IF(VLOOKUP($B182,mauricio[#Data],12)=0,"Não executado",VLOOKUP($B182,mauricio[#Data],12)),"Não executado")</f>
        <v>Não executado</v>
      </c>
      <c r="M182" s="37" t="str">
        <f>IFERROR(IF(VLOOKUP($B182,Thaisa[#Data],12)=0,"Não executado",VLOOKUP($B182,Thaisa[#Data],12)),"Não executado")</f>
        <v>Não executado</v>
      </c>
      <c r="N182" s="37" t="str">
        <f>IFERROR(IF(VLOOKUP($B182,carlos[#Data],12)=0,"Não executado",VLOOKUP($B182,carlos[#Data],12)),"Não executado")</f>
        <v>Não executado</v>
      </c>
      <c r="O182" s="37" t="str">
        <f>IFERROR(IF(VLOOKUP($B182,Alessandra[#Data],12)=0,"Não executado",VLOOKUP($B182,Alessandra[#Data],12)),"Não executado")</f>
        <v>Não executado</v>
      </c>
      <c r="P182" s="37" t="str">
        <f>IFERROR(IF(VLOOKUP($B182,AnaCarolina[#Data],12)=0,"Não executado",VLOOKUP($B182,AnaCarolina[#Data],12)),"Não executado")</f>
        <v>Não executado</v>
      </c>
      <c r="Q182" s="37" t="str">
        <f>IFERROR(IF(VLOOKUP($B182,wanei[#Data],12)=0,"Não executado",VLOOKUP($B182,wanei[#Data],12)),"Não executado")</f>
        <v>Não executado</v>
      </c>
      <c r="R182" s="37" t="str">
        <f>IFERROR(IF(VLOOKUP($B182,janaina[#Data],12)=0,"Não executado",VLOOKUP($B182,janaina[#Data],12)),"Não executado")</f>
        <v>Não executado</v>
      </c>
      <c r="S182" s="93" t="str">
        <f>IFERROR(IF(VLOOKUP($B165,andreia[#Data],12)=0,"Não executado",VLOOKUP($B165,andreia[#Data],12)),"Não executado")</f>
        <v>Não executado</v>
      </c>
      <c r="T182" s="37" t="str">
        <f>IFERROR(IF(VLOOKUP($B165,homologador[#Data],12)=0,"Não executado",VLOOKUP($B165,homologador[#Data],12)),"Não executado")</f>
        <v>Não executado</v>
      </c>
      <c r="W182" s="13"/>
    </row>
    <row r="183" spans="2:23">
      <c r="B183" s="40" t="str">
        <f>IF(ISERR(casostestes[[#This Row],[ID]]),"-",casostestes[[#This Row],[ID]])</f>
        <v>-</v>
      </c>
      <c r="C183" s="41" t="str">
        <f>IFERROR(IF(VLOOKUP($B183,casostestes[#Data],10)=0,"Não",VLOOKUP($B183,casostestes[#Data],10)), "-")</f>
        <v>-</v>
      </c>
      <c r="D183" s="42" t="str">
        <f>IFERROR(IF(VLOOKUP($B183,casostestes[#Data],2)=0,"-",VLOOKUP($B183,casostestes[#Data],2)), "-")</f>
        <v>-</v>
      </c>
      <c r="E183" s="42" t="str">
        <f>IFERROR(IF(VLOOKUP($B183,casostestes[#Data],3)=0,"-",VLOOKUP($B183,casostestes[#Data],3)), "-")</f>
        <v>-</v>
      </c>
      <c r="F183" s="42" t="str">
        <f>IFERROR(IF(VLOOKUP($B183,casostestes[#Data],4)=0,"-",VLOOKUP($B183,casostestes[#Data],4)),"-")</f>
        <v>-</v>
      </c>
      <c r="G183" s="42" t="str">
        <f>IFERROR(IF(VLOOKUP($B183,casostestes[#Data],5)=0,"-",VLOOKUP($B183,casostestes[#Data],5)),"-")</f>
        <v>-</v>
      </c>
      <c r="H183" s="42" t="str">
        <f>IFERROR(IF(VLOOKUP($B183,casostestes[#Data],6)=0,"-",VLOOKUP($B183,casostestes[#Data],6)),"-")</f>
        <v>-</v>
      </c>
      <c r="I183" s="42" t="str">
        <f>IFERROR(IF(VLOOKUP($B183,casostestes[#Data],8)=0,"-",VLOOKUP($B183,casostestes[#Data],8)),"-")</f>
        <v>-</v>
      </c>
      <c r="J183" s="42" t="str">
        <f>IFERROR(IF(VLOOKUP($B183,casostestes[#Data],9)=0,"-",VLOOKUP($B183,casostestes[#Data],9)),"-")</f>
        <v>-</v>
      </c>
      <c r="K183" s="44" t="str">
        <f>IFERROR(IF(VLOOKUP($B183,orlando[#Data],12)=0,"Não executado",VLOOKUP($B183,orlando[#Data],12)),"Não executado")</f>
        <v>Não executado</v>
      </c>
      <c r="L183" s="44" t="str">
        <f>IFERROR(IF(VLOOKUP($B183,mauricio[#Data],12)=0,"Não executado",VLOOKUP($B183,mauricio[#Data],12)),"Não executado")</f>
        <v>Não executado</v>
      </c>
      <c r="M183" s="44" t="str">
        <f>IFERROR(IF(VLOOKUP($B183,Thaisa[#Data],12)=0,"Não executado",VLOOKUP($B183,Thaisa[#Data],12)),"Não executado")</f>
        <v>Não executado</v>
      </c>
      <c r="N183" s="44" t="str">
        <f>IFERROR(IF(VLOOKUP($B183,carlos[#Data],12)=0,"Não executado",VLOOKUP($B183,carlos[#Data],12)),"Não executado")</f>
        <v>Não executado</v>
      </c>
      <c r="O183" s="44" t="str">
        <f>IFERROR(IF(VLOOKUP($B183,Alessandra[#Data],12)=0,"Não executado",VLOOKUP($B183,Alessandra[#Data],12)),"Não executado")</f>
        <v>Não executado</v>
      </c>
      <c r="P183" s="44" t="str">
        <f>IFERROR(IF(VLOOKUP($B183,AnaCarolina[#Data],12)=0,"Não executado",VLOOKUP($B183,AnaCarolina[#Data],12)),"Não executado")</f>
        <v>Não executado</v>
      </c>
      <c r="Q183" s="44" t="str">
        <f>IFERROR(IF(VLOOKUP($B183,wanei[#Data],12)=0,"Não executado",VLOOKUP($B183,wanei[#Data],12)),"Não executado")</f>
        <v>Não executado</v>
      </c>
      <c r="R183" s="44" t="str">
        <f>IFERROR(IF(VLOOKUP($B183,janaina[#Data],12)=0,"Não executado",VLOOKUP($B183,janaina[#Data],12)),"Não executado")</f>
        <v>Não executado</v>
      </c>
      <c r="S183" s="93" t="str">
        <f>IFERROR(IF(VLOOKUP($B166,andreia[#Data],12)=0,"Não executado",VLOOKUP($B166,andreia[#Data],12)),"Não executado")</f>
        <v>Não executado</v>
      </c>
      <c r="T183" s="37" t="str">
        <f>IFERROR(IF(VLOOKUP($B166,homologador[#Data],12)=0,"Não executado",VLOOKUP($B166,homologador[#Data],12)),"Não executado")</f>
        <v>Não executado</v>
      </c>
      <c r="W183" s="13"/>
    </row>
    <row r="184" spans="2:23">
      <c r="S184" s="93" t="str">
        <f>IFERROR(IF(VLOOKUP($B167,andreia[#Data],12)=0,"Não executado",VLOOKUP($B167,andreia[#Data],12)),"Não executado")</f>
        <v>Não executado</v>
      </c>
      <c r="T184" s="37" t="str">
        <f>IFERROR(IF(VLOOKUP($B167,homologador[#Data],12)=0,"Não executado",VLOOKUP($B167,homologador[#Data],12)),"Não executado")</f>
        <v>Não executado</v>
      </c>
      <c r="W184" s="13"/>
    </row>
    <row r="185" spans="2:23">
      <c r="S185" s="93" t="str">
        <f>IFERROR(IF(VLOOKUP($B168,andreia[#Data],12)=0,"Não executado",VLOOKUP($B168,andreia[#Data],12)),"Não executado")</f>
        <v>Não executado</v>
      </c>
      <c r="T185" s="37" t="str">
        <f>IFERROR(IF(VLOOKUP($B168,homologador[#Data],12)=0,"Não executado",VLOOKUP($B168,homologador[#Data],12)),"Não executado")</f>
        <v>Não executado</v>
      </c>
      <c r="W185" s="13"/>
    </row>
    <row r="186" spans="2:23">
      <c r="S186" s="93" t="str">
        <f>IFERROR(IF(VLOOKUP($B169,andreia[#Data],12)=0,"Não executado",VLOOKUP($B169,andreia[#Data],12)),"Não executado")</f>
        <v>Não executado</v>
      </c>
      <c r="T186" s="37" t="str">
        <f>IFERROR(IF(VLOOKUP($B169,homologador[#Data],12)=0,"Não executado",VLOOKUP($B169,homologador[#Data],12)),"Não executado")</f>
        <v>Não executado</v>
      </c>
      <c r="W186" s="13"/>
    </row>
    <row r="187" spans="2:23">
      <c r="S187" s="93" t="str">
        <f>IFERROR(IF(VLOOKUP($B170,andreia[#Data],12)=0,"Não executado",VLOOKUP($B170,andreia[#Data],12)),"Não executado")</f>
        <v>Não executado</v>
      </c>
      <c r="T187" s="37" t="str">
        <f>IFERROR(IF(VLOOKUP($B170,homologador[#Data],12)=0,"Não executado",VLOOKUP($B170,homologador[#Data],12)),"Não executado")</f>
        <v>Não executado</v>
      </c>
      <c r="W187" s="13"/>
    </row>
    <row r="188" spans="2:23">
      <c r="S188" s="93" t="str">
        <f>IFERROR(IF(VLOOKUP($B171,andreia[#Data],12)=0,"Não executado",VLOOKUP($B171,andreia[#Data],12)),"Não executado")</f>
        <v>Não executado</v>
      </c>
      <c r="T188" s="37" t="str">
        <f>IFERROR(IF(VLOOKUP($B171,homologador[#Data],12)=0,"Não executado",VLOOKUP($B171,homologador[#Data],12)),"Não executado")</f>
        <v>Não executado</v>
      </c>
      <c r="W188" s="13"/>
    </row>
    <row r="189" spans="2:23">
      <c r="S189" s="93" t="str">
        <f>IFERROR(IF(VLOOKUP($B172,andreia[#Data],12)=0,"Não executado",VLOOKUP($B172,andreia[#Data],12)),"Não executado")</f>
        <v>Não executado</v>
      </c>
      <c r="T189" s="37" t="str">
        <f>IFERROR(IF(VLOOKUP($B172,homologador[#Data],12)=0,"Não executado",VLOOKUP($B172,homologador[#Data],12)),"Não executado")</f>
        <v>Não executado</v>
      </c>
      <c r="W189" s="13"/>
    </row>
    <row r="190" spans="2:23">
      <c r="S190" s="93" t="str">
        <f>IFERROR(IF(VLOOKUP($B173,andreia[#Data],12)=0,"Não executado",VLOOKUP($B173,andreia[#Data],12)),"Não executado")</f>
        <v>Não executado</v>
      </c>
      <c r="T190" s="37" t="str">
        <f>IFERROR(IF(VLOOKUP($B173,homologador[#Data],12)=0,"Não executado",VLOOKUP($B173,homologador[#Data],12)),"Não executado")</f>
        <v>Não executado</v>
      </c>
      <c r="W190" s="13"/>
    </row>
    <row r="191" spans="2:23">
      <c r="S191" s="93" t="str">
        <f>IFERROR(IF(VLOOKUP($B174,andreia[#Data],12)=0,"Não executado",VLOOKUP($B174,andreia[#Data],12)),"Não executado")</f>
        <v>Não executado</v>
      </c>
      <c r="T191" s="37" t="str">
        <f>IFERROR(IF(VLOOKUP($B174,homologador[#Data],12)=0,"Não executado",VLOOKUP($B174,homologador[#Data],12)),"Não executado")</f>
        <v>Não executado</v>
      </c>
      <c r="W191" s="13"/>
    </row>
    <row r="192" spans="2:23">
      <c r="S192" s="93" t="str">
        <f>IFERROR(IF(VLOOKUP($B175,andreia[#Data],12)=0,"Não executado",VLOOKUP($B175,andreia[#Data],12)),"Não executado")</f>
        <v>Não executado</v>
      </c>
      <c r="T192" s="37" t="str">
        <f>IFERROR(IF(VLOOKUP($B175,homologador[#Data],12)=0,"Não executado",VLOOKUP($B175,homologador[#Data],12)),"Não executado")</f>
        <v>Não executado</v>
      </c>
      <c r="W192" s="13"/>
    </row>
    <row r="193" spans="19:23">
      <c r="S193" s="93" t="str">
        <f>IFERROR(IF(VLOOKUP($B176,andreia[#Data],12)=0,"Não executado",VLOOKUP($B176,andreia[#Data],12)),"Não executado")</f>
        <v>Não executado</v>
      </c>
      <c r="T193" s="37" t="str">
        <f>IFERROR(IF(VLOOKUP($B176,homologador[#Data],12)=0,"Não executado",VLOOKUP($B176,homologador[#Data],12)),"Não executado")</f>
        <v>Não executado</v>
      </c>
      <c r="W193" s="13"/>
    </row>
    <row r="194" spans="19:23">
      <c r="S194" s="93" t="str">
        <f>IFERROR(IF(VLOOKUP($B177,andreia[#Data],12)=0,"Não executado",VLOOKUP($B177,andreia[#Data],12)),"Não executado")</f>
        <v>Não executado</v>
      </c>
      <c r="T194" s="37" t="str">
        <f>IFERROR(IF(VLOOKUP($B177,homologador[#Data],12)=0,"Não executado",VLOOKUP($B177,homologador[#Data],12)),"Não executado")</f>
        <v>Não executado</v>
      </c>
      <c r="W194" s="13"/>
    </row>
    <row r="195" spans="19:23">
      <c r="S195" s="93" t="str">
        <f>IFERROR(IF(VLOOKUP($B178,andreia[#Data],12)=0,"Não executado",VLOOKUP($B178,andreia[#Data],12)),"Não executado")</f>
        <v>Não executado</v>
      </c>
      <c r="T195" s="37" t="str">
        <f>IFERROR(IF(VLOOKUP($B178,homologador[#Data],12)=0,"Não executado",VLOOKUP($B178,homologador[#Data],12)),"Não executado")</f>
        <v>Não executado</v>
      </c>
      <c r="W195" s="13"/>
    </row>
    <row r="196" spans="19:23">
      <c r="S196" s="93" t="str">
        <f>IFERROR(IF(VLOOKUP($B179,andreia[#Data],12)=0,"Não executado",VLOOKUP($B179,andreia[#Data],12)),"Não executado")</f>
        <v>Não executado</v>
      </c>
      <c r="T196" s="37" t="str">
        <f>IFERROR(IF(VLOOKUP($B179,homologador[#Data],12)=0,"Não executado",VLOOKUP($B179,homologador[#Data],12)),"Não executado")</f>
        <v>Não executado</v>
      </c>
      <c r="W196" s="13"/>
    </row>
    <row r="197" spans="19:23">
      <c r="S197" s="93" t="str">
        <f>IFERROR(IF(VLOOKUP($B180,andreia[#Data],12)=0,"Não executado",VLOOKUP($B180,andreia[#Data],12)),"Não executado")</f>
        <v>Não executado</v>
      </c>
      <c r="T197" s="37" t="str">
        <f>IFERROR(IF(VLOOKUP($B180,homologador[#Data],12)=0,"Não executado",VLOOKUP($B180,homologador[#Data],12)),"Não executado")</f>
        <v>Não executado</v>
      </c>
      <c r="W197" s="13"/>
    </row>
    <row r="198" spans="19:23">
      <c r="S198" s="93" t="str">
        <f>IFERROR(IF(VLOOKUP($B181,andreia[#Data],12)=0,"Não executado",VLOOKUP($B181,andreia[#Data],12)),"Não executado")</f>
        <v>Não executado</v>
      </c>
      <c r="T198" s="37" t="str">
        <f>IFERROR(IF(VLOOKUP($B181,homologador[#Data],12)=0,"Não executado",VLOOKUP($B181,homologador[#Data],12)),"Não executado")</f>
        <v>Não executado</v>
      </c>
      <c r="W198" s="13"/>
    </row>
    <row r="199" spans="19:23">
      <c r="S199" s="93" t="str">
        <f>IFERROR(IF(VLOOKUP($B182,andreia[#Data],12)=0,"Não executado",VLOOKUP($B182,andreia[#Data],12)),"Não executado")</f>
        <v>Não executado</v>
      </c>
      <c r="T199" s="37" t="str">
        <f>IFERROR(IF(VLOOKUP($B182,homologador[#Data],12)=0,"Não executado",VLOOKUP($B182,homologador[#Data],12)),"Não executado")</f>
        <v>Não executado</v>
      </c>
      <c r="W199" s="13"/>
    </row>
    <row r="200" spans="19:23">
      <c r="S200" s="93" t="str">
        <f>IFERROR(IF(VLOOKUP($B183,andreia[#Data],12)=0,"Não executado",VLOOKUP($B183,andreia[#Data],12)),"Não executado")</f>
        <v>Não executado</v>
      </c>
      <c r="T200" s="37" t="str">
        <f>IFERROR(IF(VLOOKUP($B183,homologador[#Data],12)=0,"Não executado",VLOOKUP($B183,homologador[#Data],12)),"Não executado")</f>
        <v>Não executado</v>
      </c>
      <c r="W200" s="13"/>
    </row>
  </sheetData>
  <mergeCells count="3">
    <mergeCell ref="B1:J1"/>
    <mergeCell ref="B2:J2"/>
    <mergeCell ref="B3:J3"/>
  </mergeCells>
  <conditionalFormatting sqref="C184:D1048576 C8:C183">
    <cfRule type="cellIs" dxfId="328" priority="80" operator="equal">
      <formula>"Sim"</formula>
    </cfRule>
    <cfRule type="cellIs" dxfId="327" priority="81" operator="equal">
      <formula>"Não"</formula>
    </cfRule>
  </conditionalFormatting>
  <conditionalFormatting sqref="K7:R183">
    <cfRule type="cellIs" dxfId="326" priority="69" operator="equal">
      <formula>"Pendência Externa"</formula>
    </cfRule>
    <cfRule type="cellIs" dxfId="325" priority="70" operator="equal">
      <formula>"Sem massa"</formula>
    </cfRule>
    <cfRule type="cellIs" dxfId="324" priority="71" operator="equal">
      <formula>"Disponível para reteste"</formula>
    </cfRule>
    <cfRule type="cellIs" dxfId="323" priority="72" operator="equal">
      <formula>"Reprovado"</formula>
    </cfRule>
    <cfRule type="cellIs" dxfId="322" priority="74" operator="equal">
      <formula>"Aprovado"</formula>
    </cfRule>
  </conditionalFormatting>
  <conditionalFormatting sqref="S7:T200">
    <cfRule type="cellIs" dxfId="321" priority="4" operator="equal">
      <formula>"Pendência Externa"</formula>
    </cfRule>
    <cfRule type="cellIs" dxfId="320" priority="5" operator="equal">
      <formula>"Sem massa"</formula>
    </cfRule>
    <cfRule type="cellIs" dxfId="319" priority="6" operator="equal">
      <formula>"Disponível para reteste"</formula>
    </cfRule>
    <cfRule type="cellIs" dxfId="318" priority="7" operator="equal">
      <formula>"Reprovado"</formula>
    </cfRule>
    <cfRule type="cellIs" dxfId="317" priority="8" operator="equal">
      <formula>"Aprovado"</formula>
    </cfRule>
  </conditionalFormatting>
  <conditionalFormatting sqref="U8:U34">
    <cfRule type="cellIs" dxfId="316" priority="2" operator="greaterThan">
      <formula>3</formula>
    </cfRule>
  </conditionalFormatting>
  <conditionalFormatting sqref="W8:W34">
    <cfRule type="cellIs" dxfId="315" priority="1" operator="equal">
      <formula>"SIM"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5A696-3CB2-4E7D-A81D-DC26470E5803}">
  <sheetPr>
    <tabColor theme="9" tint="0.79998168889431442"/>
  </sheetPr>
  <dimension ref="A1:P200"/>
  <sheetViews>
    <sheetView showGridLines="0" zoomScaleNormal="100" workbookViewId="0">
      <pane xSplit="5" ySplit="7" topLeftCell="J14" activePane="bottomRight" state="frozen"/>
      <selection pane="bottomRight" activeCell="N14" sqref="N14"/>
      <selection pane="bottomLeft" activeCell="E11" sqref="E11"/>
      <selection pane="topRight" activeCell="E11" sqref="E11"/>
    </sheetView>
  </sheetViews>
  <sheetFormatPr defaultColWidth="9.140625" defaultRowHeight="15"/>
  <cols>
    <col min="1" max="1" width="2.7109375" style="14" customWidth="1"/>
    <col min="2" max="2" width="7.7109375" style="14" customWidth="1"/>
    <col min="3" max="3" width="15.42578125" style="14" customWidth="1"/>
    <col min="4" max="4" width="26" style="14" customWidth="1"/>
    <col min="5" max="5" width="57.42578125" style="14" customWidth="1"/>
    <col min="6" max="6" width="17.7109375" style="14" customWidth="1"/>
    <col min="7" max="7" width="24.42578125" style="14" customWidth="1"/>
    <col min="8" max="8" width="57.42578125" style="14" customWidth="1"/>
    <col min="9" max="9" width="16.7109375" style="14" customWidth="1"/>
    <col min="10" max="10" width="104.7109375" style="14" customWidth="1"/>
    <col min="11" max="11" width="18" style="14" customWidth="1"/>
    <col min="12" max="12" width="20.5703125" style="14" customWidth="1"/>
    <col min="13" max="13" width="21.85546875" style="14" customWidth="1"/>
    <col min="14" max="14" width="31.5703125" style="14" customWidth="1"/>
    <col min="15" max="15" width="24.85546875" style="14" customWidth="1"/>
    <col min="16" max="16" width="22.42578125" style="14" customWidth="1"/>
    <col min="17" max="16384" width="9.140625" style="14"/>
  </cols>
  <sheetData>
    <row r="1" spans="2:16" ht="26.25">
      <c r="B1" s="106" t="s">
        <v>0</v>
      </c>
      <c r="C1" s="106"/>
      <c r="D1" s="106"/>
      <c r="E1" s="106"/>
      <c r="F1" s="106"/>
      <c r="G1" s="106"/>
      <c r="H1" s="106"/>
      <c r="I1" s="106"/>
      <c r="J1" s="106"/>
      <c r="K1" s="19"/>
      <c r="L1" s="19"/>
    </row>
    <row r="2" spans="2:16" s="21" customFormat="1" ht="23.25">
      <c r="B2" s="107" t="s">
        <v>1</v>
      </c>
      <c r="C2" s="107"/>
      <c r="D2" s="107"/>
      <c r="E2" s="107"/>
      <c r="F2" s="107"/>
      <c r="G2" s="107"/>
      <c r="H2" s="107"/>
      <c r="I2" s="107"/>
      <c r="J2" s="107"/>
      <c r="K2" s="20"/>
      <c r="L2" s="20"/>
    </row>
    <row r="3" spans="2:16" s="21" customFormat="1" ht="23.25">
      <c r="B3" s="107" t="s">
        <v>2</v>
      </c>
      <c r="C3" s="107"/>
      <c r="D3" s="107"/>
      <c r="E3" s="107"/>
      <c r="F3" s="107"/>
      <c r="G3" s="107"/>
      <c r="H3" s="107"/>
      <c r="I3" s="107"/>
      <c r="J3" s="107"/>
      <c r="K3" s="20"/>
      <c r="L3" s="20"/>
    </row>
    <row r="5" spans="2:16">
      <c r="B5" s="3"/>
      <c r="E5" s="3"/>
    </row>
    <row r="7" spans="2:16" s="3" customFormat="1">
      <c r="B7" s="15" t="s">
        <v>3</v>
      </c>
      <c r="C7" s="16" t="s">
        <v>4</v>
      </c>
      <c r="D7" s="16" t="s">
        <v>5</v>
      </c>
      <c r="E7" s="17" t="s">
        <v>6</v>
      </c>
      <c r="F7" s="17" t="s">
        <v>7</v>
      </c>
      <c r="G7" s="17" t="s">
        <v>8</v>
      </c>
      <c r="H7" s="17" t="s">
        <v>9</v>
      </c>
      <c r="I7" s="17" t="s">
        <v>10</v>
      </c>
      <c r="J7" s="17" t="s">
        <v>11</v>
      </c>
      <c r="K7" s="17" t="s">
        <v>12</v>
      </c>
      <c r="L7" s="17" t="s">
        <v>13</v>
      </c>
      <c r="M7" s="17" t="s">
        <v>14</v>
      </c>
      <c r="N7" s="17" t="s">
        <v>15</v>
      </c>
      <c r="O7" s="17" t="s">
        <v>16</v>
      </c>
      <c r="P7" s="18" t="s">
        <v>17</v>
      </c>
    </row>
    <row r="8" spans="2:16" s="13" customFormat="1" ht="105">
      <c r="B8" s="34">
        <f>IF(ISERR(casostestes[[#This Row],[ID]]),"-",casostestes[[#This Row],[ID]])</f>
        <v>1</v>
      </c>
      <c r="C8" s="34" t="str">
        <f>IFERROR(IF(VLOOKUP($B8,casostestes[#Data],10)=0,"Não",VLOOKUP($B8,casostestes[#Data],10)), "-")</f>
        <v>Sim</v>
      </c>
      <c r="D8" s="35" t="str">
        <f>IFERROR(IF(VLOOKUP($B8,casostestes[#Data],2)=0,"-",VLOOKUP($B8,casostestes[#Data],2)), "-")</f>
        <v>Requerimento Inicial de BI</v>
      </c>
      <c r="E8" s="35" t="str">
        <f>IFERROR(IF(VLOOKUP($B8,casostestes[#Data],3)=0,"-",VLOOKUP($B8,casostestes[#Data],3)), "-")</f>
        <v>6
Criação de tarefa de BI inicial com fluxo ATESTMED para categoria DIFERENTE de Segurado Especial COM exigência de preenchimento da AD.
Premissas:
Catálogo: Exige autodeclaração = ATIVADO
Parâmetro:  144 - Fluxo ATESTMED = LIGADO</v>
      </c>
      <c r="F8" s="35" t="str">
        <f>IFERROR(IF(VLOOKUP($B8,casostestes[#Data],4)=0,"-",VLOOKUP($B8,casostestes[#Data],4)),"-")</f>
        <v>Central 135</v>
      </c>
      <c r="G8" s="35" t="str">
        <f>IFERROR(IF(VLOOKUP($B8,casostestes[#Data],5)=0,"-",VLOOKUP($B8,casostestes[#Data],5)),"-")</f>
        <v>ATENDENTE_CENTRAL_135</v>
      </c>
      <c r="H8" s="35" t="str">
        <f>IFERROR(IF(VLOOKUP($B8,casostestes[#Data],6)=0,"-",VLOOKUP($B8,casostestes[#Data],6)),"-")</f>
        <v>1. Logar no Portal do Atendimento INSS com o perfil do caso de teste
2. Criar tarefa de BI informando:
- Tipo de Incapacidade? "Temporário"
- A pessoa está presa?  "Não"
- Categoria do trabalhador "Desempregado" ...
- A pessoa ficou sem trabalhar? "Sim"</v>
      </c>
      <c r="I8" s="35" t="str">
        <f>IFERROR(IF(VLOOKUP($B8,casostestes[#Data],8)=0,"-",VLOOKUP($B8,casostestes[#Data],8)),"-")</f>
        <v>-</v>
      </c>
      <c r="J8" s="35" t="str">
        <f>IFERROR(IF(VLOOKUP($B8,casostestes[#Data],9)=0,"-",VLOOKUP($B8,casostestes[#Data],9)),"-")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8" s="36">
        <v>46251</v>
      </c>
      <c r="L8" s="38" t="s">
        <v>134</v>
      </c>
      <c r="M8" s="37" t="s">
        <v>22</v>
      </c>
      <c r="N8" s="38"/>
      <c r="O8" s="38"/>
      <c r="P8" s="39"/>
    </row>
    <row r="9" spans="2:16" ht="240">
      <c r="B9" s="40">
        <f>IF(ISERR(casostestes[[#This Row],[ID]]),"-",casostestes[[#This Row],[ID]])</f>
        <v>2</v>
      </c>
      <c r="C9" s="41" t="str">
        <f>IFERROR(IF(VLOOKUP($B9,casostestes[#Data],10)=0,"Não",VLOOKUP($B9,casostestes[#Data],10)), "-")</f>
        <v>Sim</v>
      </c>
      <c r="D9" s="42" t="str">
        <f>IFERROR(IF(VLOOKUP($B9,casostestes[#Data],2)=0,"-",VLOOKUP($B9,casostestes[#Data],2)), "-")</f>
        <v>Integração</v>
      </c>
      <c r="E9" s="42" t="str">
        <f>IFERROR(IF(VLOOKUP($B9,casostestes[#Data],3)=0,"-",VLOOKUP($B9,casostestes[#Data],3)), "-")</f>
        <v>12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9" s="42" t="str">
        <f>IFERROR(IF(VLOOKUP($B9,casostestes[#Data],4)=0,"-",VLOOKUP($B9,casostestes[#Data],4)),"-")</f>
        <v>PAT</v>
      </c>
      <c r="G9" s="42" t="str">
        <f>IFERROR(IF(VLOOKUP($B9,casostestes[#Data],5)=0,"-",VLOOKUP($B9,casostestes[#Data],5)),"-")</f>
        <v>SERVIDOR</v>
      </c>
      <c r="H9" s="42" t="str">
        <f>IFERROR(IF(VLOOKUP($B9,casostestes[#Data],6)=0,"-",VLOOKUP($B9,casostestes[#Data],6)),"-")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9" s="42" t="str">
        <f>IFERROR(IF(VLOOKUP($B9,casostestes[#Data],8)=0,"-",VLOOKUP($B9,casostestes[#Data],8)),"-")</f>
        <v>-</v>
      </c>
      <c r="J9" s="42" t="str">
        <f>IFERROR(IF(VLOOKUP($B9,casostestes[#Data],9)=0,"-",VLOOKUP($B9,casostestes[#Data],9)),"-")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9" s="43">
        <v>46251</v>
      </c>
      <c r="L9" s="45" t="s">
        <v>135</v>
      </c>
      <c r="M9" s="44" t="s">
        <v>22</v>
      </c>
      <c r="N9" s="45"/>
      <c r="O9" s="45"/>
      <c r="P9" s="46"/>
    </row>
    <row r="10" spans="2:16" ht="210">
      <c r="B10" s="40">
        <f>IF(ISERR(casostestes[[#This Row],[ID]]),"-",casostestes[[#This Row],[ID]])</f>
        <v>3</v>
      </c>
      <c r="C10" s="34" t="str">
        <f>IFERROR(IF(VLOOKUP($B10,casostestes[#Data],10)=0,"Não",VLOOKUP($B10,casostestes[#Data],10)), "-")</f>
        <v>Sim</v>
      </c>
      <c r="D10" s="35" t="str">
        <f>IFERROR(IF(VLOOKUP($B10,casostestes[#Data],2)=0,"-",VLOOKUP($B10,casostestes[#Data],2)), "-")</f>
        <v>Integração</v>
      </c>
      <c r="E10" s="35" t="str">
        <f>IFERROR(IF(VLOOKUP($B10,casostestes[#Data],3)=0,"-",VLOOKUP($B10,casostestes[#Data],3)), "-")</f>
        <v>13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10" s="35" t="str">
        <f>IFERROR(IF(VLOOKUP($B10,casostestes[#Data],4)=0,"-",VLOOKUP($B10,casostestes[#Data],4)),"-")</f>
        <v>PAT</v>
      </c>
      <c r="G10" s="35" t="str">
        <f>IFERROR(IF(VLOOKUP($B10,casostestes[#Data],5)=0,"-",VLOOKUP($B10,casostestes[#Data],5)),"-")</f>
        <v>SERVIDOR</v>
      </c>
      <c r="H10" s="35" t="str">
        <f>IFERROR(IF(VLOOKUP($B10,casostestes[#Data],6)=0,"-",VLOOKUP($B10,casostestes[#Data],6)),"-")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10" s="35" t="str">
        <f>IFERROR(IF(VLOOKUP($B10,casostestes[#Data],8)=0,"-",VLOOKUP($B10,casostestes[#Data],8)),"-")</f>
        <v>-</v>
      </c>
      <c r="J10" s="35" t="str">
        <f>IFERROR(IF(VLOOKUP($B10,casostestes[#Data],9)=0,"-",VLOOKUP($B10,casostestes[#Data],9)),"-")</f>
        <v>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</v>
      </c>
      <c r="K10" s="36">
        <v>46252</v>
      </c>
      <c r="L10" s="45" t="s">
        <v>136</v>
      </c>
      <c r="M10" s="37" t="s">
        <v>22</v>
      </c>
      <c r="N10" s="38"/>
      <c r="O10" s="38"/>
      <c r="P10" s="39"/>
    </row>
    <row r="11" spans="2:16" ht="225">
      <c r="B11" s="40">
        <f>IF(ISERR(casostestes[[#This Row],[ID]]),"-",casostestes[[#This Row],[ID]])</f>
        <v>4</v>
      </c>
      <c r="C11" s="34" t="str">
        <f>IFERROR(IF(VLOOKUP($B11,casostestes[#Data],10)=0,"Não",VLOOKUP($B11,casostestes[#Data],10)), "-")</f>
        <v>Sim</v>
      </c>
      <c r="D11" s="35" t="str">
        <f>IFERROR(IF(VLOOKUP($B11,casostestes[#Data],2)=0,"-",VLOOKUP($B11,casostestes[#Data],2)), "-")</f>
        <v>Integração</v>
      </c>
      <c r="E11" s="35" t="str">
        <f>IFERROR(IF(VLOOKUP($B11,casostestes[#Data],3)=0,"-",VLOOKUP($B11,casostestes[#Data],3)), "-")</f>
        <v>16
Cumprir a exigência de autodeclaração</v>
      </c>
      <c r="F11" s="35" t="str">
        <f>IFERROR(IF(VLOOKUP($B11,casostestes[#Data],4)=0,"-",VLOOKUP($B11,casostestes[#Data],4)),"-")</f>
        <v>PAT</v>
      </c>
      <c r="G11" s="35" t="str">
        <f>IFERROR(IF(VLOOKUP($B11,casostestes[#Data],5)=0,"-",VLOOKUP($B11,casostestes[#Data],5)),"-")</f>
        <v>SERVIDOR</v>
      </c>
      <c r="H11" s="35" t="str">
        <f>IFERROR(IF(VLOOKUP($B11,casostestes[#Data],6)=0,"-",VLOOKUP($B11,casostestes[#Data],6)),"-")</f>
        <v>1. Logar no Portal do Atendimento INSS com o perfil Servidor
2.Consultar uma tarefa em exigência de autodeclaração e acionar Cumprir Exigência  
3. Responder o formulário de autodeclaração até o final</v>
      </c>
      <c r="I11" s="35" t="str">
        <f>IFERROR(IF(VLOOKUP($B11,casostestes[#Data],8)=0,"-",VLOOKUP($B11,casostestes[#Data],8)),"-")</f>
        <v>-</v>
      </c>
      <c r="J11" s="35" t="str">
        <f>IFERROR(IF(VLOOKUP($B11,casostestes[#Data],9)=0,"-",VLOOKUP($B11,casostestes[#Data],9)),"-")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11" s="36">
        <v>46252</v>
      </c>
      <c r="L11" s="45" t="s">
        <v>137</v>
      </c>
      <c r="M11" s="37" t="s">
        <v>22</v>
      </c>
      <c r="N11" s="38"/>
      <c r="O11" s="38"/>
      <c r="P11" s="39"/>
    </row>
    <row r="12" spans="2:16" ht="167.25">
      <c r="B12" s="40">
        <f>IF(ISERR(casostestes[[#This Row],[ID]]),"-",casostestes[[#This Row],[ID]])</f>
        <v>5</v>
      </c>
      <c r="C12" s="34" t="str">
        <f>IFERROR(IF(VLOOKUP($B12,casostestes[#Data],10)=0,"Não",VLOOKUP($B12,casostestes[#Data],10)), "-")</f>
        <v>Sim</v>
      </c>
      <c r="D12" s="35" t="str">
        <f>IFERROR(IF(VLOOKUP($B12,casostestes[#Data],2)=0,"-",VLOOKUP($B12,casostestes[#Data],2)), "-")</f>
        <v>Integração</v>
      </c>
      <c r="E12" s="35" t="str">
        <f>IFERROR(IF(VLOOKUP($B12,casostestes[#Data],3)=0,"-",VLOOKUP($B12,casostestes[#Data],3)), "-")</f>
        <v>17
Responder o formulário de autodeclaração acessando diretamente a aba segurado especial ao detalhar a tarefa, onde a tarefa encontra-se em exigência de autodeclaração</v>
      </c>
      <c r="F12" s="35" t="str">
        <f>IFERROR(IF(VLOOKUP($B12,casostestes[#Data],4)=0,"-",VLOOKUP($B12,casostestes[#Data],4)),"-")</f>
        <v>PAT</v>
      </c>
      <c r="G12" s="35" t="str">
        <f>IFERROR(IF(VLOOKUP($B12,casostestes[#Data],5)=0,"-",VLOOKUP($B12,casostestes[#Data],5)),"-")</f>
        <v>SERVIDOR</v>
      </c>
      <c r="H12" s="35" t="str">
        <f>IFERROR(IF(VLOOKUP($B12,casostestes[#Data],6)=0,"-",VLOOKUP($B12,casostestes[#Data],6)),"-")</f>
        <v>1. Logar no Portal do Atendimento INSS com o perfil Servidor
2.Consultar uma tarefa em exigência de autodeclaração 
3. Acionar a aba Segurado especial
3. Responder o formulário de autodeclaração até o final</v>
      </c>
      <c r="I12" s="35" t="str">
        <f>IFERROR(IF(VLOOKUP($B12,casostestes[#Data],8)=0,"-",VLOOKUP($B12,casostestes[#Data],8)),"-")</f>
        <v>-</v>
      </c>
      <c r="J12" s="35" t="str">
        <f>IFERROR(IF(VLOOKUP($B12,casostestes[#Data],9)=0,"-",VLOOKUP($B12,casostestes[#Data],9)),"-")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12" s="36">
        <v>46252</v>
      </c>
      <c r="L12" s="99" t="s">
        <v>138</v>
      </c>
      <c r="M12" s="37" t="s">
        <v>40</v>
      </c>
      <c r="N12" s="38"/>
      <c r="O12" s="38"/>
      <c r="P12" s="39"/>
    </row>
    <row r="13" spans="2:16" ht="106.5">
      <c r="B13" s="40">
        <f>IF(ISERR(casostestes[[#This Row],[ID]]),"-",casostestes[[#This Row],[ID]])</f>
        <v>6</v>
      </c>
      <c r="C13" s="34" t="str">
        <f>IFERROR(IF(VLOOKUP($B13,casostestes[#Data],10)=0,"Não",VLOOKUP($B13,casostestes[#Data],10)), "-")</f>
        <v>Sim</v>
      </c>
      <c r="D13" s="35" t="str">
        <f>IFERROR(IF(VLOOKUP($B13,casostestes[#Data],2)=0,"-",VLOOKUP($B13,casostestes[#Data],2)), "-")</f>
        <v>Integração</v>
      </c>
      <c r="E13" s="35" t="str">
        <f>IFERROR(IF(VLOOKUP($B13,casostestes[#Data],3)=0,"-",VLOOKUP($B13,casostestes[#Data],3)), "-")</f>
        <v>18
Responder o formulário de autodeclaração acessando diretamente a aba segurado especial ao detalhar a tarefa, onde a tarefa encontra-se em exigência de documento médico</v>
      </c>
      <c r="F13" s="35" t="str">
        <f>IFERROR(IF(VLOOKUP($B13,casostestes[#Data],4)=0,"-",VLOOKUP($B13,casostestes[#Data],4)),"-")</f>
        <v>PAT</v>
      </c>
      <c r="G13" s="35" t="str">
        <f>IFERROR(IF(VLOOKUP($B13,casostestes[#Data],5)=0,"-",VLOOKUP($B13,casostestes[#Data],5)),"-")</f>
        <v>SERVIDOR</v>
      </c>
      <c r="H13" s="35" t="str">
        <f>IFERROR(IF(VLOOKUP($B13,casostestes[#Data],6)=0,"-",VLOOKUP($B13,casostestes[#Data],6)),"-")</f>
        <v>1. Logar no Portal do Atendimento INSS com o perfil Servidor
2.Consultar uma tarefa em exigência de documento médico
3. Acionar a aba Segurado especial
3. Responder o formulário de autodeclaração até o final</v>
      </c>
      <c r="I13" s="35" t="str">
        <f>IFERROR(IF(VLOOKUP($B13,casostestes[#Data],8)=0,"-",VLOOKUP($B13,casostestes[#Data],8)),"-")</f>
        <v>-</v>
      </c>
      <c r="J13" s="35" t="str">
        <f>IFERROR(IF(VLOOKUP($B13,casostestes[#Data],9)=0,"-",VLOOKUP($B13,casostestes[#Data],9)),"-")</f>
        <v xml:space="preserve">
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13" s="36">
        <v>46252</v>
      </c>
      <c r="L13" s="45" t="s">
        <v>139</v>
      </c>
      <c r="M13" s="37" t="s">
        <v>22</v>
      </c>
      <c r="N13" s="38"/>
      <c r="O13" s="38"/>
      <c r="P13" s="39"/>
    </row>
    <row r="14" spans="2:16" ht="244.5">
      <c r="B14" s="40">
        <f>IF(ISERR(casostestes[[#This Row],[ID]]),"-",casostestes[[#This Row],[ID]])</f>
        <v>7</v>
      </c>
      <c r="C14" s="34" t="str">
        <f>IFERROR(IF(VLOOKUP($B14,casostestes[#Data],10)=0,"Não",VLOOKUP($B14,casostestes[#Data],10)), "-")</f>
        <v>Sim</v>
      </c>
      <c r="D14" s="35" t="str">
        <f>IFERROR(IF(VLOOKUP($B14,casostestes[#Data],2)=0,"-",VLOOKUP($B14,casostestes[#Data],2)), "-")</f>
        <v>Integração</v>
      </c>
      <c r="E14" s="35" t="str">
        <f>IFERROR(IF(VLOOKUP($B14,casostestes[#Data],3)=0,"-",VLOOKUP($B14,casostestes[#Data],3)), "-")</f>
        <v>19
Criar tarefa de BI inicial fluxo ATESTMEDQ para categoria "Segurado especial" onde o parâmetro "Exige Autodeclaração" no Catálogo está ATIVADO,  NÃO foi respondida a autodeclaração, NÃO foi incluído o anexo detalhado de AD e cidadão está preso
**Parâmetro PAT ligado: 144 - Fluxo ATESTMEDQ</v>
      </c>
      <c r="F14" s="35" t="str">
        <f>IFERROR(IF(VLOOKUP($B14,casostestes[#Data],4)=0,"-",VLOOKUP($B14,casostestes[#Data],4)),"-")</f>
        <v>PAT</v>
      </c>
      <c r="G14" s="35" t="str">
        <f>IFERROR(IF(VLOOKUP($B14,casostestes[#Data],5)=0,"-",VLOOKUP($B14,casostestes[#Data],5)),"-")</f>
        <v>SERVIDOR</v>
      </c>
      <c r="H14" s="35" t="str">
        <f>IFERROR(IF(VLOOKUP($B14,casostestes[#Data],6)=0,"-",VLOOKUP($B14,casostestes[#Data],6)),"-")</f>
        <v xml:space="preserve">1. Logar no Portal do Atendimento INSS com o perfil do caso de teste
2.Criar tarefa de BI informando:
Tipo de Incapacidade? "Temporária "
A pessoa está presa?  Sim
Categoria do trabalhador "Segurado Especial"
A pessoa ficou sem trabalhar? Sim
3. NÃO Informar anexo detalhado de autodeclaração
4. NÃO responder o formulário de autodeclaração
</v>
      </c>
      <c r="I14" s="35" t="str">
        <f>IFERROR(IF(VLOOKUP($B14,casostestes[#Data],8)=0,"-",VLOOKUP($B14,casostestes[#Data],8)),"-")</f>
        <v>-</v>
      </c>
      <c r="J14" s="35" t="str">
        <f>IFERROR(IF(VLOOKUP($B14,casostestes[#Data],9)=0,"-",VLOOKUP($B14,casostestes[#Data],9)),"-")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14" s="36">
        <v>46252</v>
      </c>
      <c r="L14" s="45" t="s">
        <v>140</v>
      </c>
      <c r="M14" s="37" t="s">
        <v>22</v>
      </c>
      <c r="N14" s="38"/>
      <c r="O14" s="38"/>
      <c r="P14" s="39"/>
    </row>
    <row r="15" spans="2:16" ht="244.5">
      <c r="B15" s="40">
        <f>IF(ISERR(casostestes[[#This Row],[ID]]),"-",casostestes[[#This Row],[ID]])</f>
        <v>8</v>
      </c>
      <c r="C15" s="34" t="str">
        <f>IFERROR(IF(VLOOKUP($B15,casostestes[#Data],10)=0,"Não",VLOOKUP($B15,casostestes[#Data],10)), "-")</f>
        <v>Sim</v>
      </c>
      <c r="D15" s="35" t="str">
        <f>IFERROR(IF(VLOOKUP($B15,casostestes[#Data],2)=0,"-",VLOOKUP($B15,casostestes[#Data],2)), "-")</f>
        <v>Integração</v>
      </c>
      <c r="E15" s="35" t="str">
        <f>IFERROR(IF(VLOOKUP($B15,casostestes[#Data],3)=0,"-",VLOOKUP($B15,casostestes[#Data],3)), "-")</f>
        <v>20
Criar tarefa de BI inicial fluxo ATESTMEDQ para categoria "Segurado especial" onde o parâmetro "Exige Autodeclaração" no Catálogo está ATIVADO,  NÃO foi respondida a autodeclaração, NÃO foi incluído o anexo detalhado de AD e cidadão ficou sem trabalhar
**Parâmetro PAT ligado: 144 - Fluxo ATESTMEDQ</v>
      </c>
      <c r="F15" s="35" t="str">
        <f>IFERROR(IF(VLOOKUP($B15,casostestes[#Data],4)=0,"-",VLOOKUP($B15,casostestes[#Data],4)),"-")</f>
        <v>PAT</v>
      </c>
      <c r="G15" s="35" t="str">
        <f>IFERROR(IF(VLOOKUP($B15,casostestes[#Data],5)=0,"-",VLOOKUP($B15,casostestes[#Data],5)),"-")</f>
        <v>SERVIDOR</v>
      </c>
      <c r="H15" s="35" t="str">
        <f>IFERROR(IF(VLOOKUP($B15,casostestes[#Data],6)=0,"-",VLOOKUP($B15,casostestes[#Data],6)),"-")</f>
        <v xml:space="preserve">1. Logar no Portal do Atendimento INSS com o perfil do caso de teste
2.Criar tarefa de BI informando:
Tipo de Incapacidade? "Temporária "
A pessoa está presa?  Não
Categoria do trabalhador "Segurado Especial"
A pessoa ficou sem trabalhar? Não
3. Informar anexo detalhado de autodeclaração
4. NÃO responder o formulário de autodeclaração
</v>
      </c>
      <c r="I15" s="35" t="str">
        <f>IFERROR(IF(VLOOKUP($B15,casostestes[#Data],8)=0,"-",VLOOKUP($B15,casostestes[#Data],8)),"-")</f>
        <v>-</v>
      </c>
      <c r="J15" s="35" t="str">
        <f>IFERROR(IF(VLOOKUP($B15,casostestes[#Data],9)=0,"-",VLOOKUP($B15,casostestes[#Data],9)),"-")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15" s="36">
        <v>46253</v>
      </c>
      <c r="L15" s="45" t="s">
        <v>141</v>
      </c>
      <c r="M15" s="37" t="s">
        <v>22</v>
      </c>
      <c r="N15" s="38"/>
      <c r="O15" s="38"/>
      <c r="P15" s="39"/>
    </row>
    <row r="16" spans="2:16" ht="321">
      <c r="B16" s="40">
        <f>IF(ISERR(casostestes[[#This Row],[ID]]),"-",casostestes[[#This Row],[ID]])</f>
        <v>9</v>
      </c>
      <c r="C16" s="34" t="str">
        <f>IFERROR(IF(VLOOKUP($B16,casostestes[#Data],10)=0,"Não",VLOOKUP($B16,casostestes[#Data],10)), "-")</f>
        <v>Sim</v>
      </c>
      <c r="D16" s="35" t="str">
        <f>IFERROR(IF(VLOOKUP($B16,casostestes[#Data],2)=0,"-",VLOOKUP($B16,casostestes[#Data],2)), "-")</f>
        <v>Integração</v>
      </c>
      <c r="E16" s="35" t="str">
        <f>IFERROR(IF(VLOOKUP($B16,casostestes[#Data],3)=0,"-",VLOOKUP($B16,casostestes[#Data],3)), "-")</f>
        <v>21
Criar tarefa de BI inicial fluxo ATESTMEDQ para categoria "Segurado especial" onde o parâmetro "Exige Autodeclaração" no Catálogo está ATIVADO,  NÃO foi respondida a autodeclaração e foi incluído o anexo detalhado de AD
**Parâmetro PAT ligado: 144 - Fluxo ATESTMEDQ</v>
      </c>
      <c r="F16" s="35" t="str">
        <f>IFERROR(IF(VLOOKUP($B16,casostestes[#Data],4)=0,"-",VLOOKUP($B16,casostestes[#Data],4)),"-")</f>
        <v>PAT</v>
      </c>
      <c r="G16" s="35" t="str">
        <f>IFERROR(IF(VLOOKUP($B16,casostestes[#Data],5)=0,"-",VLOOKUP($B16,casostestes[#Data],5)),"-")</f>
        <v>SERVIDOR</v>
      </c>
      <c r="H16" s="35" t="str">
        <f>IFERROR(IF(VLOOKUP($B16,casostestes[#Data],6)=0,"-",VLOOKUP($B16,casostestes[#Data],6)),"-")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Informar anexo detalhado de autodeclaração
4. NÃO responder o formulário de autodeclaração
Resultado 1
5.Alterar via banco de dados a data da exigência para (data atual - 36 dias)
Resultado 2</v>
      </c>
      <c r="I16" s="35" t="str">
        <f>IFERROR(IF(VLOOKUP($B16,casostestes[#Data],8)=0,"-",VLOOKUP($B16,casostestes[#Data],8)),"-")</f>
        <v>-</v>
      </c>
      <c r="J16" s="35" t="str">
        <f>IFERROR(IF(VLOOKUP($B16,casostestes[#Data],9)=0,"-",VLOOKUP($B16,casostestes[#Data],9)),"-")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2
Resultado 2 - Após alguns minutos:
Tarefa de BI com situação alterada para Pendente
Despacho incluído informando a operação ( fragmento de sigla  XXXXXXXXXX )
Divergência de autodeclaração (116) EXCLUÍDA da tarefa
Alguns minutos depois:
Status SIBE igual a AGUARDANDO ATESTADO 
Na opção  "Lista de Ocorrências", o json de integração com o SIBE deverá conter o campo "periodosPendentesSegEsp" com valor true.
</v>
      </c>
      <c r="K16" s="36">
        <v>46253</v>
      </c>
      <c r="L16" s="45" t="s">
        <v>142</v>
      </c>
      <c r="M16" s="37" t="s">
        <v>22</v>
      </c>
      <c r="N16" s="38"/>
      <c r="O16" s="38"/>
      <c r="P16" s="39"/>
    </row>
    <row r="17" spans="1:16" ht="305.25">
      <c r="B17" s="40">
        <f>IF(ISERR(casostestes[[#This Row],[ID]]),"-",casostestes[[#This Row],[ID]])</f>
        <v>10</v>
      </c>
      <c r="C17" s="34" t="str">
        <f>IFERROR(IF(VLOOKUP($B17,casostestes[#Data],10)=0,"Não",VLOOKUP($B17,casostestes[#Data],10)), "-")</f>
        <v>Sim</v>
      </c>
      <c r="D17" s="35" t="str">
        <f>IFERROR(IF(VLOOKUP($B17,casostestes[#Data],2)=0,"-",VLOOKUP($B17,casostestes[#Data],2)), "-")</f>
        <v>Integração</v>
      </c>
      <c r="E17" s="35" t="str">
        <f>IFERROR(IF(VLOOKUP($B17,casostestes[#Data],3)=0,"-",VLOOKUP($B17,casostestes[#Data],3)), "-")</f>
        <v>22
Criar tarefa de BI inicial fluxo PRESENCIAL para categoria "Segurado especial" onde o parâmetro "Exige Autodeclaração" no Catálogo está ATIVADO, NÃO foi respondida a autodeclaração e NÃO foi incluído o anexo detalhado de AD
**Parâmetro PAT ligado: 144 - Fluxo ATESTMEDQ
**Parâmetro PAT ligado: 109 -Tipo de Incapacidade Permanente leva à Fluxo Presencial do Novo BI</v>
      </c>
      <c r="F17" s="35" t="str">
        <f>IFERROR(IF(VLOOKUP($B17,casostestes[#Data],4)=0,"-",VLOOKUP($B17,casostestes[#Data],4)),"-")</f>
        <v>PAT</v>
      </c>
      <c r="G17" s="35" t="str">
        <f>IFERROR(IF(VLOOKUP($B17,casostestes[#Data],5)=0,"-",VLOOKUP($B17,casostestes[#Data],5)),"-")</f>
        <v>SERVIDOR</v>
      </c>
      <c r="H17" s="35" t="str">
        <f>IFERROR(IF(VLOOKUP($B17,casostestes[#Data],6)=0,"-",VLOOKUP($B17,casostestes[#Data],6)),"-")</f>
        <v>1. Logar no Portal do Atendimento INSS com o perfil do caso de teste
2.Criar tarefa de BI informando:
Tipo de Incapacidade? "Permanente"
A pessoa está presa?  Não
Houve acidente de trabalho?  Não
Categoria do trabalhador "Segurado Especial"
A pessoa ficou sem trabalhar? Sim
3. NÃO informar anexo detalhado de autodeclaração
5. Realizar agendamento
6. NÃO responder o formulário de autodeclaração
Resultado 1 
7.Alterar via banco de dados a data da exigência para (data atual - 36 dias)
Resulado 2</v>
      </c>
      <c r="I17" s="35" t="str">
        <f>IFERROR(IF(VLOOKUP($B17,casostestes[#Data],8)=0,"-",VLOOKUP($B17,casostestes[#Data],8)),"-")</f>
        <v>-</v>
      </c>
      <c r="J17" s="35" t="str">
        <f>IFERROR(IF(VLOOKUP($B17,casostestes[#Data],9)=0,"-",VLOOKUP($B17,casostestes[#Data],9)),"-")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1
Resultado 2 - Após alguns minutos:
Tarefa de BI com situação alterada para Pendente
Despacho incluído informando a operação ( fragmento de sigla  XXXXXXXXXX )
Divergência de autodeclaração (116) EXCLUÍDA da tarefa
Alguns minutos depois:
Status SIBE igual a AGUARDANDO PERÍCIA
Na opção  "Lista de Ocorrências", o json de integração com o SIBE deverá conter o campo "periodosPendentesSegEsp" com valor null.
</v>
      </c>
      <c r="K17" s="36">
        <v>46253</v>
      </c>
      <c r="L17" s="45" t="s">
        <v>143</v>
      </c>
      <c r="M17" s="37" t="s">
        <v>40</v>
      </c>
      <c r="N17" s="38"/>
      <c r="O17" s="38"/>
      <c r="P17" s="39"/>
    </row>
    <row r="18" spans="1:16" ht="106.5">
      <c r="B18" s="40">
        <f>IF(ISERR(casostestes[[#This Row],[ID]]),"-",casostestes[[#This Row],[ID]])</f>
        <v>11</v>
      </c>
      <c r="C18" s="34" t="str">
        <f>IFERROR(IF(VLOOKUP($B18,casostestes[#Data],10)=0,"Não",VLOOKUP($B18,casostestes[#Data],10)), "-")</f>
        <v>Sim</v>
      </c>
      <c r="D18" s="35" t="str">
        <f>IFERROR(IF(VLOOKUP($B18,casostestes[#Data],2)=0,"-",VLOOKUP($B18,casostestes[#Data],2)), "-")</f>
        <v>Requerimento Inicial de BI</v>
      </c>
      <c r="E18" s="35" t="str">
        <f>IFERROR(IF(VLOOKUP($B18,casostestes[#Data],3)=0,"-",VLOOKUP($B18,casostestes[#Data],3)), "-")</f>
        <v>24
Criar tarefa de BI inicial fluxo ATESTMEDQ para categoria diferente de "Segurado especial" onde o parâmetro "Exige Autodeclaração" no Catálogo está ATIVADO
**Parâmetro PAT ligado: 144 - Fluxo ATESTMEDQ</v>
      </c>
      <c r="F18" s="35" t="str">
        <f>IFERROR(IF(VLOOKUP($B18,casostestes[#Data],4)=0,"-",VLOOKUP($B18,casostestes[#Data],4)),"-")</f>
        <v>EC</v>
      </c>
      <c r="G18" s="35" t="str">
        <f>IFERROR(IF(VLOOKUP($B18,casostestes[#Data],5)=0,"-",VLOOKUP($B18,casostestes[#Data],5)),"-")</f>
        <v>ENTIDADE_CONVENIADA</v>
      </c>
      <c r="H18" s="35" t="str">
        <f>IFERROR(IF(VLOOKUP($B18,casostestes[#Data],6)=0,"-",VLOOKUP($B18,casostestes[#Data],6)),"-")</f>
        <v xml:space="preserve">1. Logar no Portal do Atendimento INSS com o perfil do caso de teste
2.Criar tarefa de BI informando:
Tipo de Incapacidade? "Temporária "
A pessoa está presa?  Não
Categoria do trabalhador diferente de "Segurado Especial"
</v>
      </c>
      <c r="I18" s="35" t="str">
        <f>IFERROR(IF(VLOOKUP($B18,casostestes[#Data],8)=0,"-",VLOOKUP($B18,casostestes[#Data],8)),"-")</f>
        <v>-</v>
      </c>
      <c r="J18" s="35" t="str">
        <f>IFERROR(IF(VLOOKUP($B18,casostestes[#Data],9)=0,"-",VLOOKUP($B18,casostestes[#Data],9)),"-")</f>
        <v>Tarefa de BI criada com situação Pendente.
Tarefa SEM Divergência de autodeclaração (116)
Status SIBE igual a FLUXO NÃO INICIADO 
DPT: Tarefa.Exige_autodeclaração = 0</v>
      </c>
      <c r="K18" s="36">
        <v>46253</v>
      </c>
      <c r="L18" s="45" t="s">
        <v>144</v>
      </c>
      <c r="M18" s="37" t="s">
        <v>22</v>
      </c>
      <c r="N18" s="38" t="s">
        <v>145</v>
      </c>
      <c r="O18" s="38"/>
      <c r="P18" s="39"/>
    </row>
    <row r="19" spans="1:16" ht="244.5">
      <c r="A19" s="14" t="s">
        <v>146</v>
      </c>
      <c r="B19" s="40">
        <f>IF(ISERR(casostestes[[#This Row],[ID]]),"-",casostestes[[#This Row],[ID]])</f>
        <v>12</v>
      </c>
      <c r="C19" s="34" t="str">
        <f>IFERROR(IF(VLOOKUP($B19,casostestes[#Data],10)=0,"Não",VLOOKUP($B19,casostestes[#Data],10)), "-")</f>
        <v>Sim</v>
      </c>
      <c r="D19" s="35" t="str">
        <f>IFERROR(IF(VLOOKUP($B19,casostestes[#Data],2)=0,"-",VLOOKUP($B19,casostestes[#Data],2)), "-")</f>
        <v>Integração</v>
      </c>
      <c r="E19" s="35" t="str">
        <f>IFERROR(IF(VLOOKUP($B19,casostestes[#Data],3)=0,"-",VLOOKUP($B19,casostestes[#Data],3)), "-")</f>
        <v>26
Criar tarefa de BI inicial fluxo ATESTMEDQ para categoria "Segurado especial" onde o parâmetro "Exige Autodeclaração" no Catálogo está ATIVADO e a autodeclaração tem período pendente
**Parâmetro PAT ligado: 144 - Fluxo ATESTMEDQ</v>
      </c>
      <c r="F19" s="35" t="str">
        <f>IFERROR(IF(VLOOKUP($B19,casostestes[#Data],4)=0,"-",VLOOKUP($B19,casostestes[#Data],4)),"-")</f>
        <v>EC</v>
      </c>
      <c r="G19" s="35" t="str">
        <f>IFERROR(IF(VLOOKUP($B19,casostestes[#Data],5)=0,"-",VLOOKUP($B19,casostestes[#Data],5)),"-")</f>
        <v>ENTIDADE_CONVENIADA</v>
      </c>
      <c r="H19" s="35" t="str">
        <f>IFERROR(IF(VLOOKUP($B19,casostestes[#Data],6)=0,"-",VLOOKUP($B19,casostestes[#Data],6)),"-")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Cumprir exigência de documentos obrigatórios
4. Responder formulário da autodeclaração</v>
      </c>
      <c r="I19" s="35" t="str">
        <f>IFERROR(IF(VLOOKUP($B19,casostestes[#Data],8)=0,"-",VLOOKUP($B19,casostestes[#Data],8)),"-")</f>
        <v>-</v>
      </c>
      <c r="J19" s="35" t="str">
        <f>IFERROR(IF(VLOOKUP($B19,casostestes[#Data],9)=0,"-",VLOOKUP($B19,casostestes[#Data],9)),"-")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19" s="36">
        <v>46253</v>
      </c>
      <c r="L19" s="45" t="s">
        <v>147</v>
      </c>
      <c r="M19" s="37" t="s">
        <v>22</v>
      </c>
      <c r="N19" s="38"/>
      <c r="O19" s="38"/>
      <c r="P19" s="39"/>
    </row>
    <row r="20" spans="1:16" ht="244.5">
      <c r="A20" s="14" t="s">
        <v>146</v>
      </c>
      <c r="B20" s="40">
        <f>IF(ISERR(casostestes[[#This Row],[ID]]),"-",casostestes[[#This Row],[ID]])</f>
        <v>13</v>
      </c>
      <c r="C20" s="34" t="str">
        <f>IFERROR(IF(VLOOKUP($B20,casostestes[#Data],10)=0,"Não",VLOOKUP($B20,casostestes[#Data],10)), "-")</f>
        <v>Sim</v>
      </c>
      <c r="D20" s="35" t="str">
        <f>IFERROR(IF(VLOOKUP($B20,casostestes[#Data],2)=0,"-",VLOOKUP($B20,casostestes[#Data],2)), "-")</f>
        <v>Integração</v>
      </c>
      <c r="E20" s="35" t="str">
        <f>IFERROR(IF(VLOOKUP($B20,casostestes[#Data],3)=0,"-",VLOOKUP($B20,casostestes[#Data],3)), "-")</f>
        <v>27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0" s="35" t="str">
        <f>IFERROR(IF(VLOOKUP($B20,casostestes[#Data],4)=0,"-",VLOOKUP($B20,casostestes[#Data],4)),"-")</f>
        <v>EC</v>
      </c>
      <c r="G20" s="35" t="str">
        <f>IFERROR(IF(VLOOKUP($B20,casostestes[#Data],5)=0,"-",VLOOKUP($B20,casostestes[#Data],5)),"-")</f>
        <v>ENTIDADE_CONVENIADA</v>
      </c>
      <c r="H20" s="35" t="str">
        <f>IFERROR(IF(VLOOKUP($B20,casostestes[#Data],6)=0,"-",VLOOKUP($B20,casostestes[#Data],6)),"-")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Cumprir exigência de documentos obrigatórios
4. Responder formulário da autodeclaração</v>
      </c>
      <c r="I20" s="35" t="str">
        <f>IFERROR(IF(VLOOKUP($B20,casostestes[#Data],8)=0,"-",VLOOKUP($B20,casostestes[#Data],8)),"-")</f>
        <v>-</v>
      </c>
      <c r="J20" s="35" t="str">
        <f>IFERROR(IF(VLOOKUP($B20,casostestes[#Data],9)=0,"-",VLOOKUP($B20,casostestes[#Data],9)),"-")</f>
        <v xml:space="preserve">
Tarefa de BI criada com situação Pendente.
Tarefa SEM Divergência de autodeclaração (116).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20" s="36">
        <v>46254</v>
      </c>
      <c r="L20" s="45" t="s">
        <v>148</v>
      </c>
      <c r="M20" s="37" t="s">
        <v>22</v>
      </c>
      <c r="N20" s="38"/>
      <c r="O20" s="38"/>
      <c r="P20" s="39"/>
    </row>
    <row r="21" spans="1:16" ht="213">
      <c r="B21" s="40">
        <f>IF(ISERR(casostestes[[#This Row],[ID]]),"-",casostestes[[#This Row],[ID]])</f>
        <v>14</v>
      </c>
      <c r="C21" s="34" t="str">
        <f>IFERROR(IF(VLOOKUP($B21,casostestes[#Data],10)=0,"Não",VLOOKUP($B21,casostestes[#Data],10)), "-")</f>
        <v>Sim</v>
      </c>
      <c r="D21" s="35" t="str">
        <f>IFERROR(IF(VLOOKUP($B21,casostestes[#Data],2)=0,"-",VLOOKUP($B21,casostestes[#Data],2)), "-")</f>
        <v>Integração</v>
      </c>
      <c r="E21" s="35" t="str">
        <f>IFERROR(IF(VLOOKUP($B21,casostestes[#Data],3)=0,"-",VLOOKUP($B21,casostestes[#Data],3)), "-")</f>
        <v>29
Cumprir a exigência de autodeclaração</v>
      </c>
      <c r="F21" s="35" t="str">
        <f>IFERROR(IF(VLOOKUP($B21,casostestes[#Data],4)=0,"-",VLOOKUP($B21,casostestes[#Data],4)),"-")</f>
        <v>PAT</v>
      </c>
      <c r="G21" s="35" t="str">
        <f>IFERROR(IF(VLOOKUP($B21,casostestes[#Data],5)=0,"-",VLOOKUP($B21,casostestes[#Data],5)),"-")</f>
        <v>ENTIDADE_CONVENIADA</v>
      </c>
      <c r="H21" s="35" t="str">
        <f>IFERROR(IF(VLOOKUP($B21,casostestes[#Data],6)=0,"-",VLOOKUP($B21,casostestes[#Data],6)),"-")</f>
        <v>1. Logar no Portal do Atendimento INSS com o perfil do caso de teste
2.Consultar uma tarefa em exigência de autodeclaração, detalhar e em seguida e acionar  a aba Cumprir Exigência  
3. Responder o formulário de autodeclaração até o final</v>
      </c>
      <c r="I21" s="35" t="str">
        <f>IFERROR(IF(VLOOKUP($B21,casostestes[#Data],8)=0,"-",VLOOKUP($B21,casostestes[#Data],8)),"-")</f>
        <v>-</v>
      </c>
      <c r="J21" s="35" t="str">
        <f>IFERROR(IF(VLOOKUP($B21,casostestes[#Data],9)=0,"-",VLOOKUP($B21,casostestes[#Data],9)),"-")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1" s="36">
        <v>46254</v>
      </c>
      <c r="L21" s="45" t="s">
        <v>149</v>
      </c>
      <c r="M21" s="37" t="s">
        <v>22</v>
      </c>
      <c r="N21" s="38" t="s">
        <v>150</v>
      </c>
      <c r="O21" s="38"/>
      <c r="P21" s="39"/>
    </row>
    <row r="22" spans="1:16" ht="213">
      <c r="B22" s="40">
        <f>IF(ISERR(casostestes[[#This Row],[ID]]),"-",casostestes[[#This Row],[ID]])</f>
        <v>15</v>
      </c>
      <c r="C22" s="34" t="str">
        <f>IFERROR(IF(VLOOKUP($B22,casostestes[#Data],10)=0,"Não",VLOOKUP($B22,casostestes[#Data],10)), "-")</f>
        <v>Sim</v>
      </c>
      <c r="D22" s="35" t="str">
        <f>IFERROR(IF(VLOOKUP($B22,casostestes[#Data],2)=0,"-",VLOOKUP($B22,casostestes[#Data],2)), "-")</f>
        <v>Integração</v>
      </c>
      <c r="E22" s="35" t="str">
        <f>IFERROR(IF(VLOOKUP($B22,casostestes[#Data],3)=0,"-",VLOOKUP($B22,casostestes[#Data],3)), "-")</f>
        <v>30
Cumprir a exigência de autodeclaração</v>
      </c>
      <c r="F22" s="35" t="str">
        <f>IFERROR(IF(VLOOKUP($B22,casostestes[#Data],4)=0,"-",VLOOKUP($B22,casostestes[#Data],4)),"-")</f>
        <v>PAT</v>
      </c>
      <c r="G22" s="35" t="str">
        <f>IFERROR(IF(VLOOKUP($B22,casostestes[#Data],5)=0,"-",VLOOKUP($B22,casostestes[#Data],5)),"-")</f>
        <v>ENTIDADE_CONVENIADA_CORREIOS</v>
      </c>
      <c r="H22" s="35" t="str">
        <f>IFERROR(IF(VLOOKUP($B22,casostestes[#Data],6)=0,"-",VLOOKUP($B22,casostestes[#Data],6)),"-")</f>
        <v>1. Logar no Portal do Atendimento INSS com o perfil EC - CORREIOS
2. Acionar a aba Exigências e consultar uma tarefa em exigência de autodeclaração
3. Detalhar a tarefa e em seguida acionar  a opção Cumprir Exigência  
3. Responder o formulário de autodeclaração até o final</v>
      </c>
      <c r="I22" s="35" t="str">
        <f>IFERROR(IF(VLOOKUP($B22,casostestes[#Data],8)=0,"-",VLOOKUP($B22,casostestes[#Data],8)),"-")</f>
        <v>-</v>
      </c>
      <c r="J22" s="35" t="str">
        <f>IFERROR(IF(VLOOKUP($B22,casostestes[#Data],9)=0,"-",VLOOKUP($B22,casostestes[#Data],9)),"-")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2" s="36">
        <v>46254</v>
      </c>
      <c r="L22" s="45"/>
      <c r="M22" s="37" t="s">
        <v>22</v>
      </c>
      <c r="N22" s="38"/>
      <c r="O22" s="38"/>
      <c r="P22" s="39"/>
    </row>
    <row r="23" spans="1:16" ht="183">
      <c r="B23" s="40">
        <f>IF(ISERR(casostestes[[#This Row],[ID]]),"-",casostestes[[#This Row],[ID]])</f>
        <v>16</v>
      </c>
      <c r="C23" s="34" t="str">
        <f>IFERROR(IF(VLOOKUP($B23,casostestes[#Data],10)=0,"Não",VLOOKUP($B23,casostestes[#Data],10)), "-")</f>
        <v>Sim</v>
      </c>
      <c r="D23" s="35" t="str">
        <f>IFERROR(IF(VLOOKUP($B23,casostestes[#Data],2)=0,"-",VLOOKUP($B23,casostestes[#Data],2)), "-")</f>
        <v>Integração</v>
      </c>
      <c r="E23" s="35" t="str">
        <f>IFERROR(IF(VLOOKUP($B23,casostestes[#Data],3)=0,"-",VLOOKUP($B23,casostestes[#Data],3)), "-")</f>
        <v>31
Responder o formulário de autodeclaração acessando diretamente a aba segurado especial ao detalhar a tarefa, onde a tarefa encontra-se em exigência de documento médico
Será posível acessar diretamente a autodeclaração logado como EC?</v>
      </c>
      <c r="F23" s="35" t="str">
        <f>IFERROR(IF(VLOOKUP($B23,casostestes[#Data],4)=0,"-",VLOOKUP($B23,casostestes[#Data],4)),"-")</f>
        <v>PAT</v>
      </c>
      <c r="G23" s="35" t="str">
        <f>IFERROR(IF(VLOOKUP($B23,casostestes[#Data],5)=0,"-",VLOOKUP($B23,casostestes[#Data],5)),"-")</f>
        <v>ENTIDADE_CONVENIADA</v>
      </c>
      <c r="H23" s="35" t="str">
        <f>IFERROR(IF(VLOOKUP($B23,casostestes[#Data],6)=0,"-",VLOOKUP($B23,casostestes[#Data],6)),"-")</f>
        <v>1. Logar no Portal do Atendimento INSS com o perfil do caso se teste
2.Consultar uma tarefa em exigência de dautodeclaração
3. Acionar a aba Segurado especial
3. Responder o formulário de autodeclaração até o final</v>
      </c>
      <c r="I23" s="35" t="str">
        <f>IFERROR(IF(VLOOKUP($B23,casostestes[#Data],8)=0,"-",VLOOKUP($B23,casostestes[#Data],8)),"-")</f>
        <v>-</v>
      </c>
      <c r="J23" s="35" t="str">
        <f>IFERROR(IF(VLOOKUP($B23,casostestes[#Data],9)=0,"-",VLOOKUP($B23,casostestes[#Data],9)),"-")</f>
        <v xml:space="preserve">
Tarefa de BI com situação alterada para Pendente 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3" s="36">
        <v>46254</v>
      </c>
      <c r="L23" s="45" t="s">
        <v>151</v>
      </c>
      <c r="M23" s="37" t="s">
        <v>40</v>
      </c>
      <c r="N23" s="38"/>
      <c r="O23" s="38"/>
      <c r="P23" s="39"/>
    </row>
    <row r="24" spans="1:16" ht="91.5">
      <c r="B24" s="40">
        <f>IF(ISERR(casostestes[[#This Row],[ID]]),"-",casostestes[[#This Row],[ID]])</f>
        <v>17</v>
      </c>
      <c r="C24" s="34" t="str">
        <f>IFERROR(IF(VLOOKUP($B24,casostestes[#Data],10)=0,"Não",VLOOKUP($B24,casostestes[#Data],10)), "-")</f>
        <v>Sim</v>
      </c>
      <c r="D24" s="35" t="str">
        <f>IFERROR(IF(VLOOKUP($B24,casostestes[#Data],2)=0,"-",VLOOKUP($B24,casostestes[#Data],2)), "-")</f>
        <v>Integração</v>
      </c>
      <c r="E24" s="35" t="str">
        <f>IFERROR(IF(VLOOKUP($B24,casostestes[#Data],3)=0,"-",VLOOKUP($B24,casostestes[#Data],3)), "-")</f>
        <v xml:space="preserve">32
Responder o formulário de autodeclaração acessando diretamente a aba segurado especial ao detalhar a tarefa, onde a tarefa encontra-se em exigência de documento médico
</v>
      </c>
      <c r="F24" s="35" t="str">
        <f>IFERROR(IF(VLOOKUP($B24,casostestes[#Data],4)=0,"-",VLOOKUP($B24,casostestes[#Data],4)),"-")</f>
        <v>PAT</v>
      </c>
      <c r="G24" s="35" t="str">
        <f>IFERROR(IF(VLOOKUP($B24,casostestes[#Data],5)=0,"-",VLOOKUP($B24,casostestes[#Data],5)),"-")</f>
        <v>ENTIDADE_CONVENIADA</v>
      </c>
      <c r="H24" s="35" t="str">
        <f>IFERROR(IF(VLOOKUP($B24,casostestes[#Data],6)=0,"-",VLOOKUP($B24,casostestes[#Data],6)),"-")</f>
        <v>1. Logar no Portal do Atendimento INSS com o perfil do caso se teste
2.Consultar uma tarefa em exigência de documento médico
3. Acionar a aba Segurado especial
3. Responder o formulário de autodeclaração até o final</v>
      </c>
      <c r="I24" s="35" t="str">
        <f>IFERROR(IF(VLOOKUP($B24,casostestes[#Data],8)=0,"-",VLOOKUP($B24,casostestes[#Data],8)),"-")</f>
        <v>-</v>
      </c>
      <c r="J24" s="35" t="str">
        <f>IFERROR(IF(VLOOKUP($B24,casostestes[#Data],9)=0,"-",VLOOKUP($B24,casostestes[#Data],9)),"-")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24" s="36">
        <v>46254</v>
      </c>
      <c r="L24" s="45" t="s">
        <v>151</v>
      </c>
      <c r="M24" s="37" t="s">
        <v>22</v>
      </c>
      <c r="N24" s="38"/>
      <c r="O24" s="38"/>
      <c r="P24" s="39"/>
    </row>
    <row r="25" spans="1:16" ht="135">
      <c r="B25" s="40">
        <f>IF(ISERR(casostestes[[#This Row],[ID]]),"-",casostestes[[#This Row],[ID]])</f>
        <v>18</v>
      </c>
      <c r="C25" s="34" t="str">
        <f>IFERROR(IF(VLOOKUP($B25,casostestes[#Data],10)=0,"Não",VLOOKUP($B25,casostestes[#Data],10)), "-")</f>
        <v>Sim</v>
      </c>
      <c r="D25" s="35" t="str">
        <f>IFERROR(IF(VLOOKUP($B25,casostestes[#Data],2)=0,"-",VLOOKUP($B25,casostestes[#Data],2)), "-")</f>
        <v>Requerimento Inicial de BI</v>
      </c>
      <c r="E25" s="35" t="str">
        <f>IFERROR(IF(VLOOKUP($B25,casostestes[#Data],3)=0,"-",VLOOKUP($B25,casostestes[#Data],3)), "-")</f>
        <v>34
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25" s="35" t="str">
        <f>IFERROR(IF(VLOOKUP($B25,casostestes[#Data],4)=0,"-",VLOOKUP($B25,casostestes[#Data],4)),"-")</f>
        <v>Meu INSS</v>
      </c>
      <c r="G25" s="35" t="str">
        <f>IFERROR(IF(VLOOKUP($B25,casostestes[#Data],5)=0,"-",VLOOKUP($B25,casostestes[#Data],5)),"-")</f>
        <v>INTERESSADO</v>
      </c>
      <c r="H25" s="35" t="str">
        <f>IFERROR(IF(VLOOKUP($B25,casostestes[#Data],6)=0,"-",VLOOKUP($B25,casostestes[#Data],6)),"-")</f>
        <v>1. Logar no  Meu INSS
2.Criar tarefa de BI informando:
Tipo de Incapacidade? "Permanente"
A pessoa está presa?  Não
Categoria do trabalhador diferente de "Segurado Especial"
3. Criar o agendamento da perícia</v>
      </c>
      <c r="I25" s="35" t="str">
        <f>IFERROR(IF(VLOOKUP($B25,casostestes[#Data],8)=0,"-",VLOOKUP($B25,casostestes[#Data],8)),"-")</f>
        <v>-</v>
      </c>
      <c r="J25" s="35" t="str">
        <f>IFERROR(IF(VLOOKUP($B25,casostestes[#Data],9)=0,"-",VLOOKUP($B25,casostestes[#Data],9)),"-")</f>
        <v>Tarefa de BI criada com situação Pendente.
Tarefa SEM Divergência de autodeclaração (116)
Status SIBE igual a  AGUARDANDO PERÍCIA
Tarefa.Exige_autodeclaração = 0</v>
      </c>
      <c r="K25" s="36"/>
      <c r="L25" s="45"/>
      <c r="M25" s="37"/>
      <c r="N25" s="38"/>
      <c r="O25" s="38"/>
      <c r="P25" s="39"/>
    </row>
    <row r="26" spans="1:16" ht="255">
      <c r="B26" s="40">
        <f>IF(ISERR(casostestes[[#This Row],[ID]]),"-",casostestes[[#This Row],[ID]])</f>
        <v>19</v>
      </c>
      <c r="C26" s="34" t="str">
        <f>IFERROR(IF(VLOOKUP($B26,casostestes[#Data],10)=0,"Não",VLOOKUP($B26,casostestes[#Data],10)), "-")</f>
        <v>Sim</v>
      </c>
      <c r="D26" s="35" t="str">
        <f>IFERROR(IF(VLOOKUP($B26,casostestes[#Data],2)=0,"-",VLOOKUP($B26,casostestes[#Data],2)), "-")</f>
        <v>Integração</v>
      </c>
      <c r="E26" s="35" t="str">
        <f>IFERROR(IF(VLOOKUP($B26,casostestes[#Data],3)=0,"-",VLOOKUP($B26,casostestes[#Data],3)), "-")</f>
        <v>35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26" s="35" t="str">
        <f>IFERROR(IF(VLOOKUP($B26,casostestes[#Data],4)=0,"-",VLOOKUP($B26,casostestes[#Data],4)),"-")</f>
        <v>Meu INSS</v>
      </c>
      <c r="G26" s="35" t="str">
        <f>IFERROR(IF(VLOOKUP($B26,casostestes[#Data],5)=0,"-",VLOOKUP($B26,casostestes[#Data],5)),"-")</f>
        <v>INTERESSADO</v>
      </c>
      <c r="H26" s="35" t="str">
        <f>IFERROR(IF(VLOOKUP($B26,casostestes[#Data],6)=0,"-",VLOOKUP($B26,casostestes[#Data],6)),"-")</f>
        <v>1. Logar no  Meu INSS
2.Criar tarefa de BI informando:
Tipo de Incapacidade? "Temporária "
A pessoa está presa?  Não
Categoria do trabalhador "Segurado Especial"
A pessoa ficou sem trabalhar? Sim
3. Responder formulário da autodeclaração</v>
      </c>
      <c r="I26" s="35" t="str">
        <f>IFERROR(IF(VLOOKUP($B26,casostestes[#Data],8)=0,"-",VLOOKUP($B26,casostestes[#Data],8)),"-")</f>
        <v>-</v>
      </c>
      <c r="J26" s="35" t="str">
        <f>IFERROR(IF(VLOOKUP($B26,casostestes[#Data],9)=0,"-",VLOOKUP($B26,casostestes[#Data],9)),"-")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26" s="36"/>
      <c r="L26" s="45"/>
      <c r="M26" s="37"/>
      <c r="N26" s="38"/>
      <c r="O26" s="38"/>
      <c r="P26" s="39"/>
    </row>
    <row r="27" spans="1:16" ht="255">
      <c r="B27" s="40">
        <f>IF(ISERR(casostestes[[#This Row],[ID]]),"-",casostestes[[#This Row],[ID]])</f>
        <v>20</v>
      </c>
      <c r="C27" s="34" t="str">
        <f>IFERROR(IF(VLOOKUP($B27,casostestes[#Data],10)=0,"Não",VLOOKUP($B27,casostestes[#Data],10)), "-")</f>
        <v>Sim</v>
      </c>
      <c r="D27" s="35" t="str">
        <f>IFERROR(IF(VLOOKUP($B27,casostestes[#Data],2)=0,"-",VLOOKUP($B27,casostestes[#Data],2)), "-")</f>
        <v>Integração</v>
      </c>
      <c r="E27" s="35" t="str">
        <f>IFERROR(IF(VLOOKUP($B27,casostestes[#Data],3)=0,"-",VLOOKUP($B27,casostestes[#Data],3)), "-")</f>
        <v>36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7" s="35" t="str">
        <f>IFERROR(IF(VLOOKUP($B27,casostestes[#Data],4)=0,"-",VLOOKUP($B27,casostestes[#Data],4)),"-")</f>
        <v>Meu INSS</v>
      </c>
      <c r="G27" s="35" t="str">
        <f>IFERROR(IF(VLOOKUP($B27,casostestes[#Data],5)=0,"-",VLOOKUP($B27,casostestes[#Data],5)),"-")</f>
        <v>INTERESSADO</v>
      </c>
      <c r="H27" s="35" t="str">
        <f>IFERROR(IF(VLOOKUP($B27,casostestes[#Data],6)=0,"-",VLOOKUP($B27,casostestes[#Data],6)),"-")</f>
        <v>1. Logar no  Meu INSS
2.Criar tarefa de BI informando:
Tipo de Incapacidade? "Temporária "
A pessoa está presa?  Não
Categoria do trabalhador "Segurado Especial"
A pessoa ficou sem trabalhar? Sim
3. Responder a autodeclaração</v>
      </c>
      <c r="I27" s="35" t="str">
        <f>IFERROR(IF(VLOOKUP($B27,casostestes[#Data],8)=0,"-",VLOOKUP($B27,casostestes[#Data],8)),"-")</f>
        <v>-</v>
      </c>
      <c r="J27" s="35" t="str">
        <f>IFERROR(IF(VLOOKUP($B27,casostestes[#Data],9)=0,"-",VLOOKUP($B27,casostestes[#Data],9)),"-")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27" s="36"/>
      <c r="L27" s="45"/>
      <c r="M27" s="37"/>
      <c r="N27" s="38"/>
      <c r="O27" s="38"/>
      <c r="P27" s="39"/>
    </row>
    <row r="28" spans="1:16" ht="180">
      <c r="B28" s="40">
        <f>IF(ISERR(casostestes[[#This Row],[ID]]),"-",casostestes[[#This Row],[ID]])</f>
        <v>21</v>
      </c>
      <c r="C28" s="34" t="str">
        <f>IFERROR(IF(VLOOKUP($B28,casostestes[#Data],10)=0,"Não",VLOOKUP($B28,casostestes[#Data],10)), "-")</f>
        <v>Sim</v>
      </c>
      <c r="D28" s="35" t="str">
        <f>IFERROR(IF(VLOOKUP($B28,casostestes[#Data],2)=0,"-",VLOOKUP($B28,casostestes[#Data],2)), "-")</f>
        <v>Requerimento Inicial de BI</v>
      </c>
      <c r="E28" s="35" t="str">
        <f>IFERROR(IF(VLOOKUP($B28,casostestes[#Data],3)=0,"-",VLOOKUP($B28,casostestes[#Data],3)), "-")</f>
        <v>37
Criar tarefa de BI inicial fluxo ATESTMEDQ para categoria "Segurado especial" onde o parâmetro "Exige Autodeclaração" no Catálogo está ATIVADO e  NÃO foi respondida a autodeclaração
**Parâmetro PAT ligado: 144 - Fluxo ATESTMEDQ</v>
      </c>
      <c r="F28" s="35" t="str">
        <f>IFERROR(IF(VLOOKUP($B28,casostestes[#Data],4)=0,"-",VLOOKUP($B28,casostestes[#Data],4)),"-")</f>
        <v>Meu INSS</v>
      </c>
      <c r="G28" s="35" t="str">
        <f>IFERROR(IF(VLOOKUP($B28,casostestes[#Data],5)=0,"-",VLOOKUP($B28,casostestes[#Data],5)),"-")</f>
        <v>INTERESSADO</v>
      </c>
      <c r="H28" s="35" t="str">
        <f>IFERROR(IF(VLOOKUP($B28,casostestes[#Data],6)=0,"-",VLOOKUP($B28,casostestes[#Data],6)),"-")</f>
        <v>1. Logar no  Meu INSS
2.Criar tarefa de BI informando:
Tipo de Incapacidade? "Temporária "
A pessoa está presa?  Não
Categoria do trabalhador "Segurado Especial"
A pessoa ficou sem trabalhar? Não
3. NÃO Responder a autodeclaração</v>
      </c>
      <c r="I28" s="35" t="str">
        <f>IFERROR(IF(VLOOKUP($B28,casostestes[#Data],8)=0,"-",VLOOKUP($B28,casostestes[#Data],8)),"-")</f>
        <v>-</v>
      </c>
      <c r="J28" s="35" t="str">
        <f>IFERROR(IF(VLOOKUP($B28,casostestes[#Data],9)=0,"-",VLOOKUP($B28,casostestes[#Data],9)),"-")</f>
        <v xml:space="preserve">
"Tarefa de BI criada com situação Pendente.
Status SIBE igual a  FLUXO NÃO INICIADO
Divergência de autodeclaração (116) incluída na tarefa
Após execução workflow:
Tarefa de BI com situação alterada para Exigência .
DTP:
Campo Exige_autodeclaração = 1"
</v>
      </c>
      <c r="K28" s="36"/>
      <c r="L28" s="45"/>
      <c r="M28" s="37"/>
      <c r="N28" s="38"/>
      <c r="O28" s="38"/>
      <c r="P28" s="39"/>
    </row>
    <row r="29" spans="1:16" ht="225">
      <c r="B29" s="40">
        <f>IF(ISERR(casostestes[[#This Row],[ID]]),"-",casostestes[[#This Row],[ID]])</f>
        <v>22</v>
      </c>
      <c r="C29" s="34" t="str">
        <f>IFERROR(IF(VLOOKUP($B29,casostestes[#Data],10)=0,"Não",VLOOKUP($B29,casostestes[#Data],10)), "-")</f>
        <v>Sim</v>
      </c>
      <c r="D29" s="35" t="str">
        <f>IFERROR(IF(VLOOKUP($B29,casostestes[#Data],2)=0,"-",VLOOKUP($B29,casostestes[#Data],2)), "-")</f>
        <v>Integração</v>
      </c>
      <c r="E29" s="35" t="str">
        <f>IFERROR(IF(VLOOKUP($B29,casostestes[#Data],3)=0,"-",VLOOKUP($B29,casostestes[#Data],3)), "-")</f>
        <v>38
Cumprir a exigência de autodeclaração</v>
      </c>
      <c r="F29" s="35" t="str">
        <f>IFERROR(IF(VLOOKUP($B29,casostestes[#Data],4)=0,"-",VLOOKUP($B29,casostestes[#Data],4)),"-")</f>
        <v>Meu INSS</v>
      </c>
      <c r="G29" s="35" t="str">
        <f>IFERROR(IF(VLOOKUP($B29,casostestes[#Data],5)=0,"-",VLOOKUP($B29,casostestes[#Data],5)),"-")</f>
        <v>INTERESSADO</v>
      </c>
      <c r="H29" s="35" t="str">
        <f>IFERROR(IF(VLOOKUP($B29,casostestes[#Data],6)=0,"-",VLOOKUP($B29,casostestes[#Data],6)),"-")</f>
        <v>1. Logar no  Meu INSS
2.Consultar uma tarefa em exigência de autodeclaração e acionar Cumprir Exigência  
3. Responder o formulário de autodeclaração</v>
      </c>
      <c r="I29" s="35" t="str">
        <f>IFERROR(IF(VLOOKUP($B29,casostestes[#Data],8)=0,"-",VLOOKUP($B29,casostestes[#Data],8)),"-")</f>
        <v>-</v>
      </c>
      <c r="J29" s="35" t="str">
        <f>IFERROR(IF(VLOOKUP($B29,casostestes[#Data],9)=0,"-",VLOOKUP($B29,casostestes[#Data],9)),"-")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9" s="36"/>
      <c r="L29" s="45"/>
      <c r="M29" s="37"/>
      <c r="N29" s="38"/>
      <c r="O29" s="38"/>
      <c r="P29" s="39"/>
    </row>
    <row r="30" spans="1:16" ht="180">
      <c r="B30" s="40">
        <f>IF(ISERR(casostestes[[#This Row],[ID]]),"-",casostestes[[#This Row],[ID]])</f>
        <v>23</v>
      </c>
      <c r="C30" s="34" t="str">
        <f>IFERROR(IF(VLOOKUP($B30,casostestes[#Data],10)=0,"Não",VLOOKUP($B30,casostestes[#Data],10)), "-")</f>
        <v>Sim</v>
      </c>
      <c r="D30" s="35" t="str">
        <f>IFERROR(IF(VLOOKUP($B30,casostestes[#Data],2)=0,"-",VLOOKUP($B30,casostestes[#Data],2)), "-")</f>
        <v>Integração</v>
      </c>
      <c r="E30" s="35" t="str">
        <f>IFERROR(IF(VLOOKUP($B30,casostestes[#Data],3)=0,"-",VLOOKUP($B30,casostestes[#Data],3)), "-")</f>
        <v>39
Responder o formulário de autodeclaração acionando a opção de autodeclaração no card do pedido onde a tarefa encontra-se em exigência de autodeclaração
Será posível acessar diretamente a autodeclaração logado no Meu INSS?</v>
      </c>
      <c r="F30" s="35" t="str">
        <f>IFERROR(IF(VLOOKUP($B30,casostestes[#Data],4)=0,"-",VLOOKUP($B30,casostestes[#Data],4)),"-")</f>
        <v>Meu INSS</v>
      </c>
      <c r="G30" s="35" t="str">
        <f>IFERROR(IF(VLOOKUP($B30,casostestes[#Data],5)=0,"-",VLOOKUP($B30,casostestes[#Data],5)),"-")</f>
        <v>INTERESSADO</v>
      </c>
      <c r="H30" s="35" t="str">
        <f>IFERROR(IF(VLOOKUP($B30,casostestes[#Data],6)=0,"-",VLOOKUP($B30,casostestes[#Data],6)),"-")</f>
        <v>1. Logar no  Meu INSS
2.Consultar uma tarefa em exigência de autodeclaração
3. Acionar no card do pedido a opção de Autodeclaração   
3. Responder o formulário de autodeclaração</v>
      </c>
      <c r="I30" s="35" t="str">
        <f>IFERROR(IF(VLOOKUP($B30,casostestes[#Data],8)=0,"-",VLOOKUP($B30,casostestes[#Data],8)),"-")</f>
        <v>-</v>
      </c>
      <c r="J30" s="35" t="str">
        <f>IFERROR(IF(VLOOKUP($B30,casostestes[#Data],9)=0,"-",VLOOKUP($B30,casostestes[#Data],9)),"-")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0" s="36"/>
      <c r="L30" s="45"/>
      <c r="M30" s="37"/>
      <c r="N30" s="38"/>
      <c r="O30" s="38"/>
      <c r="P30" s="39"/>
    </row>
    <row r="31" spans="1:16" ht="105">
      <c r="B31" s="40">
        <f>IF(ISERR(casostestes[[#This Row],[ID]]),"-",casostestes[[#This Row],[ID]])</f>
        <v>24</v>
      </c>
      <c r="C31" s="34" t="str">
        <f>IFERROR(IF(VLOOKUP($B31,casostestes[#Data],10)=0,"Não",VLOOKUP($B31,casostestes[#Data],10)), "-")</f>
        <v>Sim</v>
      </c>
      <c r="D31" s="35" t="str">
        <f>IFERROR(IF(VLOOKUP($B31,casostestes[#Data],2)=0,"-",VLOOKUP($B31,casostestes[#Data],2)), "-")</f>
        <v>Integração</v>
      </c>
      <c r="E31" s="35" t="str">
        <f>IFERROR(IF(VLOOKUP($B31,casostestes[#Data],3)=0,"-",VLOOKUP($B31,casostestes[#Data],3)), "-")</f>
        <v>40
Responder o formulário de autodeclaração acionando a opção de autodeclaração no card do pedido onde a tarefa encontra-se em exigência de documento médico
Será posível acessar diretamente a autodeclaração logado no Meu INSS?</v>
      </c>
      <c r="F31" s="35" t="str">
        <f>IFERROR(IF(VLOOKUP($B31,casostestes[#Data],4)=0,"-",VLOOKUP($B31,casostestes[#Data],4)),"-")</f>
        <v>Meu INSS</v>
      </c>
      <c r="G31" s="35" t="str">
        <f>IFERROR(IF(VLOOKUP($B31,casostestes[#Data],5)=0,"-",VLOOKUP($B31,casostestes[#Data],5)),"-")</f>
        <v>INTERESSADO</v>
      </c>
      <c r="H31" s="35" t="str">
        <f>IFERROR(IF(VLOOKUP($B31,casostestes[#Data],6)=0,"-",VLOOKUP($B31,casostestes[#Data],6)),"-")</f>
        <v>1. Logar no  Meu INSS
2.Consultar uma tarefa em exigência de documento médico 
3. Acionar no card do pedido a opção de Autodeclaração   
3. Responder o formulário de autodeclaração</v>
      </c>
      <c r="I31" s="35" t="str">
        <f>IFERROR(IF(VLOOKUP($B31,casostestes[#Data],8)=0,"-",VLOOKUP($B31,casostestes[#Data],8)),"-")</f>
        <v>-</v>
      </c>
      <c r="J31" s="35" t="str">
        <f>IFERROR(IF(VLOOKUP($B31,casostestes[#Data],9)=0,"-",VLOOKUP($B31,casostestes[#Data],9)),"-")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31" s="36"/>
      <c r="L31" s="45"/>
      <c r="M31" s="37"/>
      <c r="N31" s="38"/>
      <c r="O31" s="38"/>
      <c r="P31" s="39"/>
    </row>
    <row r="32" spans="1:16" ht="409.5">
      <c r="B32" s="40">
        <f>IF(ISERR(casostestes[[#This Row],[ID]]),"-",casostestes[[#This Row],[ID]])</f>
        <v>25</v>
      </c>
      <c r="C32" s="34" t="str">
        <f>IFERROR(IF(VLOOKUP($B32,casostestes[#Data],10)=0,"Não",VLOOKUP($B32,casostestes[#Data],10)), "-")</f>
        <v>Sim</v>
      </c>
      <c r="D32" s="35" t="str">
        <f>IFERROR(IF(VLOOKUP($B32,casostestes[#Data],2)=0,"-",VLOOKUP($B32,casostestes[#Data],2)), "-")</f>
        <v>Integração</v>
      </c>
      <c r="E32" s="35" t="str">
        <f>IFERROR(IF(VLOOKUP($B32,casostestes[#Data],3)=0,"-",VLOOKUP($B32,casostestes[#Data],3)), "-")</f>
        <v xml:space="preserve">
41
'Criar tarefa de BI inicial fluxo ATESTMEDQ para categoria "Segurado especial" onde o parâmetro "Exige Autodeclaração" no Catálogo está ATIVADO, 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2" s="35" t="str">
        <f>IFERROR(IF(VLOOKUP($B32,casostestes[#Data],4)=0,"-",VLOOKUP($B32,casostestes[#Data],4)),"-")</f>
        <v>PAT</v>
      </c>
      <c r="G32" s="35" t="str">
        <f>IFERROR(IF(VLOOKUP($B32,casostestes[#Data],5)=0,"-",VLOOKUP($B32,casostestes[#Data],5)),"-")</f>
        <v>SERVIDOR</v>
      </c>
      <c r="H32" s="35" t="str">
        <f>IFERROR(IF(VLOOKUP($B32,casostestes[#Data],6)=0,"-",VLOOKUP($B32,casostestes[#Data],6)),"-")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Responder o formulário de autodeclaração
Resultado 1
5. Executar o serviço do STD simulando enquadramento na regra da análise de risco
- Inclusão da divergência 202 (ORIENTAÇÕES NA ABA MASSA)   
Resultado 2
</v>
      </c>
      <c r="I32" s="35" t="str">
        <f>IFERROR(IF(VLOOKUP($B32,casostestes[#Data],8)=0,"-",VLOOKUP($B32,casostestes[#Data],8)),"-")</f>
        <v>-</v>
      </c>
      <c r="J32" s="35" t="str">
        <f>IFERROR(IF(VLOOKUP($B32,casostestes[#Data],9)=0,"-",VLOOKUP($B32,casostestes[#Data],9)),"-")</f>
        <v xml:space="preserve">Resultado 1:
Tarefa de BI criada com situação Pendente.
Tarefa SEM a Divergência de autodeclaração (116)  
Status SIBE igual a  FLUXO NÃO INICIADO
Seção campos adicionais:
"Fluxo Inicial e final do BI" deve ter o valor  "ATESTMEDQ"
DTP:  Campo Exige_autodeclaração = 1
Aguardar alguns minutos após a geração automática do PDF da autodeclaração:
Status SIBE continua igual a  FLUXO NÃO INICIADO
Resultado 2 - Após a execução do serviço do STD:  
- Cerca de 5 minutos depois, será exibida a divergência da Análise de Risco (202) no requerimento
- Alguns minutos depois:
Status SIBE igual a AGUARDANDO PERÍCIA
- Ocorrências de integração (com SIBE)
 "tipoInformacaoMedica":0
 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 Seção "Agendamentos (Perícia)":
- A etapa_pericia apresentará o valor AGUARDANDO AGENDAMENTO 
Aba Despachos:
-Inclusão do despacho de exigência de agendamento
</v>
      </c>
      <c r="K32" s="36"/>
      <c r="L32" s="45"/>
      <c r="M32" s="37"/>
      <c r="N32" s="38"/>
      <c r="O32" s="38"/>
      <c r="P32" s="39"/>
    </row>
    <row r="33" spans="2:16" ht="409.6">
      <c r="B33" s="40">
        <f>IF(ISERR(casostestes[[#This Row],[ID]]),"-",casostestes[[#This Row],[ID]])</f>
        <v>26</v>
      </c>
      <c r="C33" s="34" t="str">
        <f>IFERROR(IF(VLOOKUP($B33,casostestes[#Data],10)=0,"Não",VLOOKUP($B33,casostestes[#Data],10)), "-")</f>
        <v>Sim</v>
      </c>
      <c r="D33" s="35" t="str">
        <f>IFERROR(IF(VLOOKUP($B33,casostestes[#Data],2)=0,"-",VLOOKUP($B33,casostestes[#Data],2)), "-")</f>
        <v>Integração</v>
      </c>
      <c r="E33" s="35" t="str">
        <f>IFERROR(IF(VLOOKUP($B33,casostestes[#Data],3)=0,"-",VLOOKUP($B33,casostestes[#Data],3)), "-")</f>
        <v xml:space="preserve">42'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3" s="35" t="str">
        <f>IFERROR(IF(VLOOKUP($B33,casostestes[#Data],4)=0,"-",VLOOKUP($B33,casostestes[#Data],4)),"-")</f>
        <v>PAT</v>
      </c>
      <c r="G33" s="35" t="str">
        <f>IFERROR(IF(VLOOKUP($B33,casostestes[#Data],5)=0,"-",VLOOKUP($B33,casostestes[#Data],5)),"-")</f>
        <v>SERVIDOR</v>
      </c>
      <c r="H33" s="35" t="str">
        <f>IFERROR(IF(VLOOKUP($B33,casostestes[#Data],6)=0,"-",VLOOKUP($B33,casostestes[#Data],6)),"-")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33" s="35" t="str">
        <f>IFERROR(IF(VLOOKUP($B33,casostestes[#Data],8)=0,"-",VLOOKUP($B33,casostestes[#Data],8)),"-")</f>
        <v>-</v>
      </c>
      <c r="J33" s="35" t="str">
        <f>IFERROR(IF(VLOOKUP($B33,casostestes[#Data],9)=0,"-",VLOOKUP($B33,casostestes[#Data],9)),"-")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33" s="36">
        <v>46254</v>
      </c>
      <c r="L33" s="45" t="s">
        <v>152</v>
      </c>
      <c r="M33" s="37" t="s">
        <v>40</v>
      </c>
      <c r="N33" s="38"/>
      <c r="O33" s="38"/>
      <c r="P33" s="39"/>
    </row>
    <row r="34" spans="2:16" ht="409.6">
      <c r="B34" s="40">
        <f>IF(ISERR(casostestes[[#This Row],[ID]]),"-",casostestes[[#This Row],[ID]])</f>
        <v>27</v>
      </c>
      <c r="C34" s="34" t="str">
        <f>IFERROR(IF(VLOOKUP($B34,casostestes[#Data],10)=0,"Não",VLOOKUP($B34,casostestes[#Data],10)), "-")</f>
        <v>Sim</v>
      </c>
      <c r="D34" s="35" t="str">
        <f>IFERROR(IF(VLOOKUP($B34,casostestes[#Data],2)=0,"-",VLOOKUP($B34,casostestes[#Data],2)), "-")</f>
        <v>Integração</v>
      </c>
      <c r="E34" s="35" t="str">
        <f>IFERROR(IF(VLOOKUP($B34,casostestes[#Data],3)=0,"-",VLOOKUP($B34,casostestes[#Data],3)), "-")</f>
        <v xml:space="preserve">43'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4" s="35" t="str">
        <f>IFERROR(IF(VLOOKUP($B34,casostestes[#Data],4)=0,"-",VLOOKUP($B34,casostestes[#Data],4)),"-")</f>
        <v>PAT</v>
      </c>
      <c r="G34" s="35" t="str">
        <f>IFERROR(IF(VLOOKUP($B34,casostestes[#Data],5)=0,"-",VLOOKUP($B34,casostestes[#Data],5)),"-")</f>
        <v>SERVIDOR</v>
      </c>
      <c r="H34" s="35" t="str">
        <f>IFERROR(IF(VLOOKUP($B34,casostestes[#Data],6)=0,"-",VLOOKUP($B34,casostestes[#Data],6)),"-")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34" s="35" t="str">
        <f>IFERROR(IF(VLOOKUP($B34,casostestes[#Data],8)=0,"-",VLOOKUP($B34,casostestes[#Data],8)),"-")</f>
        <v>-</v>
      </c>
      <c r="J34" s="35" t="str">
        <f>IFERROR(IF(VLOOKUP($B34,casostestes[#Data],9)=0,"-",VLOOKUP($B34,casostestes[#Data],9)),"-")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34" s="36">
        <v>46254</v>
      </c>
      <c r="L34" s="45" t="s">
        <v>153</v>
      </c>
      <c r="M34" s="37" t="s">
        <v>40</v>
      </c>
      <c r="N34" s="38" t="s">
        <v>154</v>
      </c>
      <c r="O34" s="38"/>
      <c r="P34" s="39"/>
    </row>
    <row r="35" spans="2:16">
      <c r="B35" s="40" t="str">
        <f>IF(ISERR(casostestes[[#This Row],[ID]]),"-",casostestes[[#This Row],[ID]])</f>
        <v>-</v>
      </c>
      <c r="C35" s="34" t="str">
        <f>IFERROR(IF(VLOOKUP($B35,casostestes[#Data],10)=0,"Não",VLOOKUP($B35,casostestes[#Data],10)), "-")</f>
        <v>-</v>
      </c>
      <c r="D35" s="35" t="str">
        <f>IFERROR(IF(VLOOKUP($B35,casostestes[#Data],2)=0,"-",VLOOKUP($B35,casostestes[#Data],2)), "-")</f>
        <v>-</v>
      </c>
      <c r="E35" s="35" t="str">
        <f>IFERROR(IF(VLOOKUP($B35,casostestes[#Data],3)=0,"-",VLOOKUP($B35,casostestes[#Data],3)), "-")</f>
        <v>-</v>
      </c>
      <c r="F35" s="35" t="str">
        <f>IFERROR(IF(VLOOKUP($B35,casostestes[#Data],4)=0,"-",VLOOKUP($B35,casostestes[#Data],4)),"-")</f>
        <v>-</v>
      </c>
      <c r="G35" s="35" t="str">
        <f>IFERROR(IF(VLOOKUP($B35,casostestes[#Data],5)=0,"-",VLOOKUP($B35,casostestes[#Data],5)),"-")</f>
        <v>-</v>
      </c>
      <c r="H35" s="35" t="str">
        <f>IFERROR(IF(VLOOKUP($B35,casostestes[#Data],6)=0,"-",VLOOKUP($B35,casostestes[#Data],6)),"-")</f>
        <v>-</v>
      </c>
      <c r="I35" s="35" t="str">
        <f>IFERROR(IF(VLOOKUP($B35,casostestes[#Data],8)=0,"-",VLOOKUP($B35,casostestes[#Data],8)),"-")</f>
        <v>-</v>
      </c>
      <c r="J35" s="35" t="str">
        <f>IFERROR(IF(VLOOKUP($B35,casostestes[#Data],9)=0,"-",VLOOKUP($B35,casostestes[#Data],9)),"-")</f>
        <v>-</v>
      </c>
      <c r="K35" s="36"/>
      <c r="L35" s="45"/>
      <c r="M35" s="37"/>
      <c r="N35" s="38"/>
      <c r="O35" s="38"/>
      <c r="P35" s="39"/>
    </row>
    <row r="36" spans="2:16">
      <c r="B36" s="40" t="str">
        <f>IF(ISERR(casostestes[[#This Row],[ID]]),"-",casostestes[[#This Row],[ID]])</f>
        <v>-</v>
      </c>
      <c r="C36" s="34" t="str">
        <f>IFERROR(IF(VLOOKUP($B36,casostestes[#Data],10)=0,"Não",VLOOKUP($B36,casostestes[#Data],10)), "-")</f>
        <v>-</v>
      </c>
      <c r="D36" s="35" t="str">
        <f>IFERROR(IF(VLOOKUP($B36,casostestes[#Data],2)=0,"-",VLOOKUP($B36,casostestes[#Data],2)), "-")</f>
        <v>-</v>
      </c>
      <c r="E36" s="35" t="str">
        <f>IFERROR(IF(VLOOKUP($B36,casostestes[#Data],3)=0,"-",VLOOKUP($B36,casostestes[#Data],3)), "-")</f>
        <v>-</v>
      </c>
      <c r="F36" s="35" t="str">
        <f>IFERROR(IF(VLOOKUP($B36,casostestes[#Data],4)=0,"-",VLOOKUP($B36,casostestes[#Data],4)),"-")</f>
        <v>-</v>
      </c>
      <c r="G36" s="35" t="str">
        <f>IFERROR(IF(VLOOKUP($B36,casostestes[#Data],5)=0,"-",VLOOKUP($B36,casostestes[#Data],5)),"-")</f>
        <v>-</v>
      </c>
      <c r="H36" s="35" t="str">
        <f>IFERROR(IF(VLOOKUP($B36,casostestes[#Data],6)=0,"-",VLOOKUP($B36,casostestes[#Data],6)),"-")</f>
        <v>-</v>
      </c>
      <c r="I36" s="35" t="str">
        <f>IFERROR(IF(VLOOKUP($B36,casostestes[#Data],8)=0,"-",VLOOKUP($B36,casostestes[#Data],8)),"-")</f>
        <v>-</v>
      </c>
      <c r="J36" s="35" t="str">
        <f>IFERROR(IF(VLOOKUP($B36,casostestes[#Data],9)=0,"-",VLOOKUP($B36,casostestes[#Data],9)),"-")</f>
        <v>-</v>
      </c>
      <c r="K36" s="36"/>
      <c r="L36" s="45"/>
      <c r="M36" s="37"/>
      <c r="N36" s="38"/>
      <c r="O36" s="38"/>
      <c r="P36" s="39"/>
    </row>
    <row r="37" spans="2:16">
      <c r="B37" s="40" t="str">
        <f>IF(ISERR(casostestes[[#This Row],[ID]]),"-",casostestes[[#This Row],[ID]])</f>
        <v>-</v>
      </c>
      <c r="C37" s="34" t="str">
        <f>IFERROR(IF(VLOOKUP($B37,casostestes[#Data],10)=0,"Não",VLOOKUP($B37,casostestes[#Data],10)), "-")</f>
        <v>-</v>
      </c>
      <c r="D37" s="35" t="str">
        <f>IFERROR(IF(VLOOKUP($B37,casostestes[#Data],2)=0,"-",VLOOKUP($B37,casostestes[#Data],2)), "-")</f>
        <v>-</v>
      </c>
      <c r="E37" s="35" t="str">
        <f>IFERROR(IF(VLOOKUP($B37,casostestes[#Data],3)=0,"-",VLOOKUP($B37,casostestes[#Data],3)), "-")</f>
        <v>-</v>
      </c>
      <c r="F37" s="35" t="str">
        <f>IFERROR(IF(VLOOKUP($B37,casostestes[#Data],4)=0,"-",VLOOKUP($B37,casostestes[#Data],4)),"-")</f>
        <v>-</v>
      </c>
      <c r="G37" s="35" t="str">
        <f>IFERROR(IF(VLOOKUP($B37,casostestes[#Data],5)=0,"-",VLOOKUP($B37,casostestes[#Data],5)),"-")</f>
        <v>-</v>
      </c>
      <c r="H37" s="35" t="str">
        <f>IFERROR(IF(VLOOKUP($B37,casostestes[#Data],6)=0,"-",VLOOKUP($B37,casostestes[#Data],6)),"-")</f>
        <v>-</v>
      </c>
      <c r="I37" s="35" t="str">
        <f>IFERROR(IF(VLOOKUP($B37,casostestes[#Data],8)=0,"-",VLOOKUP($B37,casostestes[#Data],8)),"-")</f>
        <v>-</v>
      </c>
      <c r="J37" s="35" t="str">
        <f>IFERROR(IF(VLOOKUP($B37,casostestes[#Data],9)=0,"-",VLOOKUP($B37,casostestes[#Data],9)),"-")</f>
        <v>-</v>
      </c>
      <c r="K37" s="36"/>
      <c r="L37" s="45"/>
      <c r="M37" s="37"/>
      <c r="N37" s="38"/>
      <c r="O37" s="38"/>
      <c r="P37" s="39"/>
    </row>
    <row r="38" spans="2:16">
      <c r="B38" s="40" t="str">
        <f>IF(ISERR(casostestes[[#This Row],[ID]]),"-",casostestes[[#This Row],[ID]])</f>
        <v>-</v>
      </c>
      <c r="C38" s="34" t="str">
        <f>IFERROR(IF(VLOOKUP($B38,casostestes[#Data],10)=0,"Não",VLOOKUP($B38,casostestes[#Data],10)), "-")</f>
        <v>-</v>
      </c>
      <c r="D38" s="35" t="str">
        <f>IFERROR(IF(VLOOKUP($B38,casostestes[#Data],2)=0,"-",VLOOKUP($B38,casostestes[#Data],2)), "-")</f>
        <v>-</v>
      </c>
      <c r="E38" s="35" t="str">
        <f>IFERROR(IF(VLOOKUP($B38,casostestes[#Data],3)=0,"-",VLOOKUP($B38,casostestes[#Data],3)), "-")</f>
        <v>-</v>
      </c>
      <c r="F38" s="35" t="str">
        <f>IFERROR(IF(VLOOKUP($B38,casostestes[#Data],4)=0,"-",VLOOKUP($B38,casostestes[#Data],4)),"-")</f>
        <v>-</v>
      </c>
      <c r="G38" s="35" t="str">
        <f>IFERROR(IF(VLOOKUP($B38,casostestes[#Data],5)=0,"-",VLOOKUP($B38,casostestes[#Data],5)),"-")</f>
        <v>-</v>
      </c>
      <c r="H38" s="35" t="str">
        <f>IFERROR(IF(VLOOKUP($B38,casostestes[#Data],6)=0,"-",VLOOKUP($B38,casostestes[#Data],6)),"-")</f>
        <v>-</v>
      </c>
      <c r="I38" s="35" t="str">
        <f>IFERROR(IF(VLOOKUP($B38,casostestes[#Data],8)=0,"-",VLOOKUP($B38,casostestes[#Data],8)),"-")</f>
        <v>-</v>
      </c>
      <c r="J38" s="35" t="str">
        <f>IFERROR(IF(VLOOKUP($B38,casostestes[#Data],9)=0,"-",VLOOKUP($B38,casostestes[#Data],9)),"-")</f>
        <v>-</v>
      </c>
      <c r="K38" s="36"/>
      <c r="L38" s="45"/>
      <c r="M38" s="37"/>
      <c r="N38" s="38"/>
      <c r="O38" s="38"/>
      <c r="P38" s="39"/>
    </row>
    <row r="39" spans="2:16">
      <c r="B39" s="40" t="str">
        <f>IF(ISERR(casostestes[[#This Row],[ID]]),"-",casostestes[[#This Row],[ID]])</f>
        <v>-</v>
      </c>
      <c r="C39" s="34" t="str">
        <f>IFERROR(IF(VLOOKUP($B39,casostestes[#Data],10)=0,"Não",VLOOKUP($B39,casostestes[#Data],10)), "-")</f>
        <v>-</v>
      </c>
      <c r="D39" s="35" t="str">
        <f>IFERROR(IF(VLOOKUP($B39,casostestes[#Data],2)=0,"-",VLOOKUP($B39,casostestes[#Data],2)), "-")</f>
        <v>-</v>
      </c>
      <c r="E39" s="35" t="str">
        <f>IFERROR(IF(VLOOKUP($B39,casostestes[#Data],3)=0,"-",VLOOKUP($B39,casostestes[#Data],3)), "-")</f>
        <v>-</v>
      </c>
      <c r="F39" s="35" t="str">
        <f>IFERROR(IF(VLOOKUP($B39,casostestes[#Data],4)=0,"-",VLOOKUP($B39,casostestes[#Data],4)),"-")</f>
        <v>-</v>
      </c>
      <c r="G39" s="35" t="str">
        <f>IFERROR(IF(VLOOKUP($B39,casostestes[#Data],5)=0,"-",VLOOKUP($B39,casostestes[#Data],5)),"-")</f>
        <v>-</v>
      </c>
      <c r="H39" s="35" t="str">
        <f>IFERROR(IF(VLOOKUP($B39,casostestes[#Data],6)=0,"-",VLOOKUP($B39,casostestes[#Data],6)),"-")</f>
        <v>-</v>
      </c>
      <c r="I39" s="35" t="str">
        <f>IFERROR(IF(VLOOKUP($B39,casostestes[#Data],8)=0,"-",VLOOKUP($B39,casostestes[#Data],8)),"-")</f>
        <v>-</v>
      </c>
      <c r="J39" s="35" t="str">
        <f>IFERROR(IF(VLOOKUP($B39,casostestes[#Data],9)=0,"-",VLOOKUP($B39,casostestes[#Data],9)),"-")</f>
        <v>-</v>
      </c>
      <c r="K39" s="36"/>
      <c r="L39" s="45"/>
      <c r="M39" s="37"/>
      <c r="N39" s="38"/>
      <c r="O39" s="38"/>
      <c r="P39" s="39"/>
    </row>
    <row r="40" spans="2:16">
      <c r="B40" s="40" t="str">
        <f>IF(ISERR(casostestes[[#This Row],[ID]]),"-",casostestes[[#This Row],[ID]])</f>
        <v>-</v>
      </c>
      <c r="C40" s="34" t="str">
        <f>IFERROR(IF(VLOOKUP($B40,casostestes[#Data],10)=0,"Não",VLOOKUP($B40,casostestes[#Data],10)), "-")</f>
        <v>-</v>
      </c>
      <c r="D40" s="35" t="str">
        <f>IFERROR(IF(VLOOKUP($B40,casostestes[#Data],2)=0,"-",VLOOKUP($B40,casostestes[#Data],2)), "-")</f>
        <v>-</v>
      </c>
      <c r="E40" s="35" t="str">
        <f>IFERROR(IF(VLOOKUP($B40,casostestes[#Data],3)=0,"-",VLOOKUP($B40,casostestes[#Data],3)), "-")</f>
        <v>-</v>
      </c>
      <c r="F40" s="35" t="str">
        <f>IFERROR(IF(VLOOKUP($B40,casostestes[#Data],4)=0,"-",VLOOKUP($B40,casostestes[#Data],4)),"-")</f>
        <v>-</v>
      </c>
      <c r="G40" s="35" t="str">
        <f>IFERROR(IF(VLOOKUP($B40,casostestes[#Data],5)=0,"-",VLOOKUP($B40,casostestes[#Data],5)),"-")</f>
        <v>-</v>
      </c>
      <c r="H40" s="35" t="str">
        <f>IFERROR(IF(VLOOKUP($B40,casostestes[#Data],6)=0,"-",VLOOKUP($B40,casostestes[#Data],6)),"-")</f>
        <v>-</v>
      </c>
      <c r="I40" s="35" t="str">
        <f>IFERROR(IF(VLOOKUP($B40,casostestes[#Data],8)=0,"-",VLOOKUP($B40,casostestes[#Data],8)),"-")</f>
        <v>-</v>
      </c>
      <c r="J40" s="35" t="str">
        <f>IFERROR(IF(VLOOKUP($B40,casostestes[#Data],9)=0,"-",VLOOKUP($B40,casostestes[#Data],9)),"-")</f>
        <v>-</v>
      </c>
      <c r="K40" s="36"/>
      <c r="L40" s="45"/>
      <c r="M40" s="37"/>
      <c r="N40" s="38"/>
      <c r="O40" s="38"/>
      <c r="P40" s="39"/>
    </row>
    <row r="41" spans="2:16">
      <c r="B41" s="40" t="str">
        <f>IF(ISERR(casostestes[[#This Row],[ID]]),"-",casostestes[[#This Row],[ID]])</f>
        <v>-</v>
      </c>
      <c r="C41" s="34" t="str">
        <f>IFERROR(IF(VLOOKUP($B41,casostestes[#Data],10)=0,"Não",VLOOKUP($B41,casostestes[#Data],10)), "-")</f>
        <v>-</v>
      </c>
      <c r="D41" s="35" t="str">
        <f>IFERROR(IF(VLOOKUP($B41,casostestes[#Data],2)=0,"-",VLOOKUP($B41,casostestes[#Data],2)), "-")</f>
        <v>-</v>
      </c>
      <c r="E41" s="35" t="str">
        <f>IFERROR(IF(VLOOKUP($B41,casostestes[#Data],3)=0,"-",VLOOKUP($B41,casostestes[#Data],3)), "-")</f>
        <v>-</v>
      </c>
      <c r="F41" s="35" t="str">
        <f>IFERROR(IF(VLOOKUP($B41,casostestes[#Data],4)=0,"-",VLOOKUP($B41,casostestes[#Data],4)),"-")</f>
        <v>-</v>
      </c>
      <c r="G41" s="35" t="str">
        <f>IFERROR(IF(VLOOKUP($B41,casostestes[#Data],5)=0,"-",VLOOKUP($B41,casostestes[#Data],5)),"-")</f>
        <v>-</v>
      </c>
      <c r="H41" s="35" t="str">
        <f>IFERROR(IF(VLOOKUP($B41,casostestes[#Data],6)=0,"-",VLOOKUP($B41,casostestes[#Data],6)),"-")</f>
        <v>-</v>
      </c>
      <c r="I41" s="35" t="str">
        <f>IFERROR(IF(VLOOKUP($B41,casostestes[#Data],8)=0,"-",VLOOKUP($B41,casostestes[#Data],8)),"-")</f>
        <v>-</v>
      </c>
      <c r="J41" s="35" t="str">
        <f>IFERROR(IF(VLOOKUP($B41,casostestes[#Data],9)=0,"-",VLOOKUP($B41,casostestes[#Data],9)),"-")</f>
        <v>-</v>
      </c>
      <c r="K41" s="36"/>
      <c r="L41" s="45"/>
      <c r="M41" s="37"/>
      <c r="N41" s="38"/>
      <c r="O41" s="38"/>
      <c r="P41" s="39"/>
    </row>
    <row r="42" spans="2:16">
      <c r="B42" s="40" t="str">
        <f>IF(ISERR(casostestes[[#This Row],[ID]]),"-",casostestes[[#This Row],[ID]])</f>
        <v>-</v>
      </c>
      <c r="C42" s="34" t="str">
        <f>IFERROR(IF(VLOOKUP($B42,casostestes[#Data],10)=0,"Não",VLOOKUP($B42,casostestes[#Data],10)), "-")</f>
        <v>-</v>
      </c>
      <c r="D42" s="35" t="str">
        <f>IFERROR(IF(VLOOKUP($B42,casostestes[#Data],2)=0,"-",VLOOKUP($B42,casostestes[#Data],2)), "-")</f>
        <v>-</v>
      </c>
      <c r="E42" s="35" t="str">
        <f>IFERROR(IF(VLOOKUP($B42,casostestes[#Data],3)=0,"-",VLOOKUP($B42,casostestes[#Data],3)), "-")</f>
        <v>-</v>
      </c>
      <c r="F42" s="35" t="str">
        <f>IFERROR(IF(VLOOKUP($B42,casostestes[#Data],4)=0,"-",VLOOKUP($B42,casostestes[#Data],4)),"-")</f>
        <v>-</v>
      </c>
      <c r="G42" s="35" t="str">
        <f>IFERROR(IF(VLOOKUP($B42,casostestes[#Data],5)=0,"-",VLOOKUP($B42,casostestes[#Data],5)),"-")</f>
        <v>-</v>
      </c>
      <c r="H42" s="35" t="str">
        <f>IFERROR(IF(VLOOKUP($B42,casostestes[#Data],6)=0,"-",VLOOKUP($B42,casostestes[#Data],6)),"-")</f>
        <v>-</v>
      </c>
      <c r="I42" s="35" t="str">
        <f>IFERROR(IF(VLOOKUP($B42,casostestes[#Data],8)=0,"-",VLOOKUP($B42,casostestes[#Data],8)),"-")</f>
        <v>-</v>
      </c>
      <c r="J42" s="35" t="str">
        <f>IFERROR(IF(VLOOKUP($B42,casostestes[#Data],9)=0,"-",VLOOKUP($B42,casostestes[#Data],9)),"-")</f>
        <v>-</v>
      </c>
      <c r="K42" s="36"/>
      <c r="L42" s="45"/>
      <c r="M42" s="37"/>
      <c r="N42" s="38"/>
      <c r="O42" s="38"/>
      <c r="P42" s="39"/>
    </row>
    <row r="43" spans="2:16">
      <c r="B43" s="40" t="str">
        <f>IF(ISERR(casostestes[[#This Row],[ID]]),"-",casostestes[[#This Row],[ID]])</f>
        <v>-</v>
      </c>
      <c r="C43" s="34" t="str">
        <f>IFERROR(IF(VLOOKUP($B43,casostestes[#Data],10)=0,"Não",VLOOKUP($B43,casostestes[#Data],10)), "-")</f>
        <v>-</v>
      </c>
      <c r="D43" s="35" t="str">
        <f>IFERROR(IF(VLOOKUP($B43,casostestes[#Data],2)=0,"-",VLOOKUP($B43,casostestes[#Data],2)), "-")</f>
        <v>-</v>
      </c>
      <c r="E43" s="35" t="str">
        <f>IFERROR(IF(VLOOKUP($B43,casostestes[#Data],3)=0,"-",VLOOKUP($B43,casostestes[#Data],3)), "-")</f>
        <v>-</v>
      </c>
      <c r="F43" s="35" t="str">
        <f>IFERROR(IF(VLOOKUP($B43,casostestes[#Data],4)=0,"-",VLOOKUP($B43,casostestes[#Data],4)),"-")</f>
        <v>-</v>
      </c>
      <c r="G43" s="35" t="str">
        <f>IFERROR(IF(VLOOKUP($B43,casostestes[#Data],5)=0,"-",VLOOKUP($B43,casostestes[#Data],5)),"-")</f>
        <v>-</v>
      </c>
      <c r="H43" s="35" t="str">
        <f>IFERROR(IF(VLOOKUP($B43,casostestes[#Data],6)=0,"-",VLOOKUP($B43,casostestes[#Data],6)),"-")</f>
        <v>-</v>
      </c>
      <c r="I43" s="35" t="str">
        <f>IFERROR(IF(VLOOKUP($B43,casostestes[#Data],8)=0,"-",VLOOKUP($B43,casostestes[#Data],8)),"-")</f>
        <v>-</v>
      </c>
      <c r="J43" s="35" t="str">
        <f>IFERROR(IF(VLOOKUP($B43,casostestes[#Data],9)=0,"-",VLOOKUP($B43,casostestes[#Data],9)),"-")</f>
        <v>-</v>
      </c>
      <c r="K43" s="36"/>
      <c r="L43" s="45"/>
      <c r="M43" s="37"/>
      <c r="N43" s="38"/>
      <c r="O43" s="38"/>
      <c r="P43" s="39"/>
    </row>
    <row r="44" spans="2:16">
      <c r="B44" s="40" t="str">
        <f>IF(ISERR(casostestes[[#This Row],[ID]]),"-",casostestes[[#This Row],[ID]])</f>
        <v>-</v>
      </c>
      <c r="C44" s="34" t="str">
        <f>IFERROR(IF(VLOOKUP($B44,casostestes[#Data],10)=0,"Não",VLOOKUP($B44,casostestes[#Data],10)), "-")</f>
        <v>-</v>
      </c>
      <c r="D44" s="35" t="str">
        <f>IFERROR(IF(VLOOKUP($B44,casostestes[#Data],2)=0,"-",VLOOKUP($B44,casostestes[#Data],2)), "-")</f>
        <v>-</v>
      </c>
      <c r="E44" s="35" t="str">
        <f>IFERROR(IF(VLOOKUP($B44,casostestes[#Data],3)=0,"-",VLOOKUP($B44,casostestes[#Data],3)), "-")</f>
        <v>-</v>
      </c>
      <c r="F44" s="35" t="str">
        <f>IFERROR(IF(VLOOKUP($B44,casostestes[#Data],4)=0,"-",VLOOKUP($B44,casostestes[#Data],4)),"-")</f>
        <v>-</v>
      </c>
      <c r="G44" s="35" t="str">
        <f>IFERROR(IF(VLOOKUP($B44,casostestes[#Data],5)=0,"-",VLOOKUP($B44,casostestes[#Data],5)),"-")</f>
        <v>-</v>
      </c>
      <c r="H44" s="35" t="str">
        <f>IFERROR(IF(VLOOKUP($B44,casostestes[#Data],6)=0,"-",VLOOKUP($B44,casostestes[#Data],6)),"-")</f>
        <v>-</v>
      </c>
      <c r="I44" s="35" t="str">
        <f>IFERROR(IF(VLOOKUP($B44,casostestes[#Data],8)=0,"-",VLOOKUP($B44,casostestes[#Data],8)),"-")</f>
        <v>-</v>
      </c>
      <c r="J44" s="35" t="str">
        <f>IFERROR(IF(VLOOKUP($B44,casostestes[#Data],9)=0,"-",VLOOKUP($B44,casostestes[#Data],9)),"-")</f>
        <v>-</v>
      </c>
      <c r="K44" s="36"/>
      <c r="L44" s="45"/>
      <c r="M44" s="37"/>
      <c r="N44" s="38"/>
      <c r="O44" s="38"/>
      <c r="P44" s="39"/>
    </row>
    <row r="45" spans="2:16">
      <c r="B45" s="40" t="str">
        <f>IF(ISERR(casostestes[[#This Row],[ID]]),"-",casostestes[[#This Row],[ID]])</f>
        <v>-</v>
      </c>
      <c r="C45" s="34" t="str">
        <f>IFERROR(IF(VLOOKUP($B45,casostestes[#Data],10)=0,"Não",VLOOKUP($B45,casostestes[#Data],10)), "-")</f>
        <v>-</v>
      </c>
      <c r="D45" s="35" t="str">
        <f>IFERROR(IF(VLOOKUP($B45,casostestes[#Data],2)=0,"-",VLOOKUP($B45,casostestes[#Data],2)), "-")</f>
        <v>-</v>
      </c>
      <c r="E45" s="35" t="str">
        <f>IFERROR(IF(VLOOKUP($B45,casostestes[#Data],3)=0,"-",VLOOKUP($B45,casostestes[#Data],3)), "-")</f>
        <v>-</v>
      </c>
      <c r="F45" s="35" t="str">
        <f>IFERROR(IF(VLOOKUP($B45,casostestes[#Data],4)=0,"-",VLOOKUP($B45,casostestes[#Data],4)),"-")</f>
        <v>-</v>
      </c>
      <c r="G45" s="35" t="str">
        <f>IFERROR(IF(VLOOKUP($B45,casostestes[#Data],5)=0,"-",VLOOKUP($B45,casostestes[#Data],5)),"-")</f>
        <v>-</v>
      </c>
      <c r="H45" s="35" t="str">
        <f>IFERROR(IF(VLOOKUP($B45,casostestes[#Data],6)=0,"-",VLOOKUP($B45,casostestes[#Data],6)),"-")</f>
        <v>-</v>
      </c>
      <c r="I45" s="35" t="str">
        <f>IFERROR(IF(VLOOKUP($B45,casostestes[#Data],8)=0,"-",VLOOKUP($B45,casostestes[#Data],8)),"-")</f>
        <v>-</v>
      </c>
      <c r="J45" s="35" t="str">
        <f>IFERROR(IF(VLOOKUP($B45,casostestes[#Data],9)=0,"-",VLOOKUP($B45,casostestes[#Data],9)),"-")</f>
        <v>-</v>
      </c>
      <c r="K45" s="36"/>
      <c r="L45" s="45"/>
      <c r="M45" s="37"/>
      <c r="N45" s="38"/>
      <c r="O45" s="38"/>
      <c r="P45" s="39"/>
    </row>
    <row r="46" spans="2:16">
      <c r="B46" s="40" t="str">
        <f>IF(ISERR(casostestes[[#This Row],[ID]]),"-",casostestes[[#This Row],[ID]])</f>
        <v>-</v>
      </c>
      <c r="C46" s="34" t="str">
        <f>IFERROR(IF(VLOOKUP($B46,casostestes[#Data],10)=0,"Não",VLOOKUP($B46,casostestes[#Data],10)), "-")</f>
        <v>-</v>
      </c>
      <c r="D46" s="35" t="str">
        <f>IFERROR(IF(VLOOKUP($B46,casostestes[#Data],2)=0,"-",VLOOKUP($B46,casostestes[#Data],2)), "-")</f>
        <v>-</v>
      </c>
      <c r="E46" s="35" t="str">
        <f>IFERROR(IF(VLOOKUP($B46,casostestes[#Data],3)=0,"-",VLOOKUP($B46,casostestes[#Data],3)), "-")</f>
        <v>-</v>
      </c>
      <c r="F46" s="35" t="str">
        <f>IFERROR(IF(VLOOKUP($B46,casostestes[#Data],4)=0,"-",VLOOKUP($B46,casostestes[#Data],4)),"-")</f>
        <v>-</v>
      </c>
      <c r="G46" s="35" t="str">
        <f>IFERROR(IF(VLOOKUP($B46,casostestes[#Data],5)=0,"-",VLOOKUP($B46,casostestes[#Data],5)),"-")</f>
        <v>-</v>
      </c>
      <c r="H46" s="35" t="str">
        <f>IFERROR(IF(VLOOKUP($B46,casostestes[#Data],6)=0,"-",VLOOKUP($B46,casostestes[#Data],6)),"-")</f>
        <v>-</v>
      </c>
      <c r="I46" s="35" t="str">
        <f>IFERROR(IF(VLOOKUP($B46,casostestes[#Data],8)=0,"-",VLOOKUP($B46,casostestes[#Data],8)),"-")</f>
        <v>-</v>
      </c>
      <c r="J46" s="35" t="str">
        <f>IFERROR(IF(VLOOKUP($B46,casostestes[#Data],9)=0,"-",VLOOKUP($B46,casostestes[#Data],9)),"-")</f>
        <v>-</v>
      </c>
      <c r="K46" s="36"/>
      <c r="L46" s="45"/>
      <c r="M46" s="37"/>
      <c r="N46" s="38"/>
      <c r="O46" s="38"/>
      <c r="P46" s="39"/>
    </row>
    <row r="47" spans="2:16">
      <c r="B47" s="40" t="str">
        <f>IF(ISERR(casostestes[[#This Row],[ID]]),"-",casostestes[[#This Row],[ID]])</f>
        <v>-</v>
      </c>
      <c r="C47" s="34" t="str">
        <f>IFERROR(IF(VLOOKUP($B47,casostestes[#Data],10)=0,"Não",VLOOKUP($B47,casostestes[#Data],10)), "-")</f>
        <v>-</v>
      </c>
      <c r="D47" s="35" t="str">
        <f>IFERROR(IF(VLOOKUP($B47,casostestes[#Data],2)=0,"-",VLOOKUP($B47,casostestes[#Data],2)), "-")</f>
        <v>-</v>
      </c>
      <c r="E47" s="35" t="str">
        <f>IFERROR(IF(VLOOKUP($B47,casostestes[#Data],3)=0,"-",VLOOKUP($B47,casostestes[#Data],3)), "-")</f>
        <v>-</v>
      </c>
      <c r="F47" s="35" t="str">
        <f>IFERROR(IF(VLOOKUP($B47,casostestes[#Data],4)=0,"-",VLOOKUP($B47,casostestes[#Data],4)),"-")</f>
        <v>-</v>
      </c>
      <c r="G47" s="35" t="str">
        <f>IFERROR(IF(VLOOKUP($B47,casostestes[#Data],5)=0,"-",VLOOKUP($B47,casostestes[#Data],5)),"-")</f>
        <v>-</v>
      </c>
      <c r="H47" s="35" t="str">
        <f>IFERROR(IF(VLOOKUP($B47,casostestes[#Data],6)=0,"-",VLOOKUP($B47,casostestes[#Data],6)),"-")</f>
        <v>-</v>
      </c>
      <c r="I47" s="35" t="str">
        <f>IFERROR(IF(VLOOKUP($B47,casostestes[#Data],8)=0,"-",VLOOKUP($B47,casostestes[#Data],8)),"-")</f>
        <v>-</v>
      </c>
      <c r="J47" s="35" t="str">
        <f>IFERROR(IF(VLOOKUP($B47,casostestes[#Data],9)=0,"-",VLOOKUP($B47,casostestes[#Data],9)),"-")</f>
        <v>-</v>
      </c>
      <c r="K47" s="36"/>
      <c r="L47" s="45"/>
      <c r="M47" s="37"/>
      <c r="N47" s="38"/>
      <c r="O47" s="38"/>
      <c r="P47" s="39"/>
    </row>
    <row r="48" spans="2:16">
      <c r="B48" s="40" t="str">
        <f>IF(ISERR(casostestes[[#This Row],[ID]]),"-",casostestes[[#This Row],[ID]])</f>
        <v>-</v>
      </c>
      <c r="C48" s="34" t="str">
        <f>IFERROR(IF(VLOOKUP($B48,casostestes[#Data],10)=0,"Não",VLOOKUP($B48,casostestes[#Data],10)), "-")</f>
        <v>-</v>
      </c>
      <c r="D48" s="35" t="str">
        <f>IFERROR(IF(VLOOKUP($B48,casostestes[#Data],2)=0,"-",VLOOKUP($B48,casostestes[#Data],2)), "-")</f>
        <v>-</v>
      </c>
      <c r="E48" s="35" t="str">
        <f>IFERROR(IF(VLOOKUP($B48,casostestes[#Data],3)=0,"-",VLOOKUP($B48,casostestes[#Data],3)), "-")</f>
        <v>-</v>
      </c>
      <c r="F48" s="35" t="str">
        <f>IFERROR(IF(VLOOKUP($B48,casostestes[#Data],4)=0,"-",VLOOKUP($B48,casostestes[#Data],4)),"-")</f>
        <v>-</v>
      </c>
      <c r="G48" s="35" t="str">
        <f>IFERROR(IF(VLOOKUP($B48,casostestes[#Data],5)=0,"-",VLOOKUP($B48,casostestes[#Data],5)),"-")</f>
        <v>-</v>
      </c>
      <c r="H48" s="35" t="str">
        <f>IFERROR(IF(VLOOKUP($B48,casostestes[#Data],6)=0,"-",VLOOKUP($B48,casostestes[#Data],6)),"-")</f>
        <v>-</v>
      </c>
      <c r="I48" s="35" t="str">
        <f>IFERROR(IF(VLOOKUP($B48,casostestes[#Data],8)=0,"-",VLOOKUP($B48,casostestes[#Data],8)),"-")</f>
        <v>-</v>
      </c>
      <c r="J48" s="35" t="str">
        <f>IFERROR(IF(VLOOKUP($B48,casostestes[#Data],9)=0,"-",VLOOKUP($B48,casostestes[#Data],9)),"-")</f>
        <v>-</v>
      </c>
      <c r="K48" s="36"/>
      <c r="L48" s="45"/>
      <c r="M48" s="37"/>
      <c r="N48" s="38"/>
      <c r="O48" s="38"/>
      <c r="P48" s="39"/>
    </row>
    <row r="49" spans="2:16">
      <c r="B49" s="40" t="str">
        <f>IF(ISERR(casostestes[[#This Row],[ID]]),"-",casostestes[[#This Row],[ID]])</f>
        <v>-</v>
      </c>
      <c r="C49" s="34" t="str">
        <f>IFERROR(IF(VLOOKUP($B49,casostestes[#Data],10)=0,"Não",VLOOKUP($B49,casostestes[#Data],10)), "-")</f>
        <v>-</v>
      </c>
      <c r="D49" s="35" t="str">
        <f>IFERROR(IF(VLOOKUP($B49,casostestes[#Data],2)=0,"-",VLOOKUP($B49,casostestes[#Data],2)), "-")</f>
        <v>-</v>
      </c>
      <c r="E49" s="35" t="str">
        <f>IFERROR(IF(VLOOKUP($B49,casostestes[#Data],3)=0,"-",VLOOKUP($B49,casostestes[#Data],3)), "-")</f>
        <v>-</v>
      </c>
      <c r="F49" s="35" t="str">
        <f>IFERROR(IF(VLOOKUP($B49,casostestes[#Data],4)=0,"-",VLOOKUP($B49,casostestes[#Data],4)),"-")</f>
        <v>-</v>
      </c>
      <c r="G49" s="35" t="str">
        <f>IFERROR(IF(VLOOKUP($B49,casostestes[#Data],5)=0,"-",VLOOKUP($B49,casostestes[#Data],5)),"-")</f>
        <v>-</v>
      </c>
      <c r="H49" s="35" t="str">
        <f>IFERROR(IF(VLOOKUP($B49,casostestes[#Data],6)=0,"-",VLOOKUP($B49,casostestes[#Data],6)),"-")</f>
        <v>-</v>
      </c>
      <c r="I49" s="35" t="str">
        <f>IFERROR(IF(VLOOKUP($B49,casostestes[#Data],8)=0,"-",VLOOKUP($B49,casostestes[#Data],8)),"-")</f>
        <v>-</v>
      </c>
      <c r="J49" s="35" t="str">
        <f>IFERROR(IF(VLOOKUP($B49,casostestes[#Data],9)=0,"-",VLOOKUP($B49,casostestes[#Data],9)),"-")</f>
        <v>-</v>
      </c>
      <c r="K49" s="36"/>
      <c r="L49" s="45"/>
      <c r="M49" s="37"/>
      <c r="N49" s="38"/>
      <c r="O49" s="38"/>
      <c r="P49" s="39"/>
    </row>
    <row r="50" spans="2:16">
      <c r="B50" s="40" t="str">
        <f>IF(ISERR(casostestes[[#This Row],[ID]]),"-",casostestes[[#This Row],[ID]])</f>
        <v>-</v>
      </c>
      <c r="C50" s="34" t="str">
        <f>IFERROR(IF(VLOOKUP($B50,casostestes[#Data],10)=0,"Não",VLOOKUP($B50,casostestes[#Data],10)), "-")</f>
        <v>-</v>
      </c>
      <c r="D50" s="35" t="str">
        <f>IFERROR(IF(VLOOKUP($B50,casostestes[#Data],2)=0,"-",VLOOKUP($B50,casostestes[#Data],2)), "-")</f>
        <v>-</v>
      </c>
      <c r="E50" s="35" t="str">
        <f>IFERROR(IF(VLOOKUP($B50,casostestes[#Data],3)=0,"-",VLOOKUP($B50,casostestes[#Data],3)), "-")</f>
        <v>-</v>
      </c>
      <c r="F50" s="35" t="str">
        <f>IFERROR(IF(VLOOKUP($B50,casostestes[#Data],4)=0,"-",VLOOKUP($B50,casostestes[#Data],4)),"-")</f>
        <v>-</v>
      </c>
      <c r="G50" s="35" t="str">
        <f>IFERROR(IF(VLOOKUP($B50,casostestes[#Data],5)=0,"-",VLOOKUP($B50,casostestes[#Data],5)),"-")</f>
        <v>-</v>
      </c>
      <c r="H50" s="35" t="str">
        <f>IFERROR(IF(VLOOKUP($B50,casostestes[#Data],6)=0,"-",VLOOKUP($B50,casostestes[#Data],6)),"-")</f>
        <v>-</v>
      </c>
      <c r="I50" s="35" t="str">
        <f>IFERROR(IF(VLOOKUP($B50,casostestes[#Data],8)=0,"-",VLOOKUP($B50,casostestes[#Data],8)),"-")</f>
        <v>-</v>
      </c>
      <c r="J50" s="35" t="str">
        <f>IFERROR(IF(VLOOKUP($B50,casostestes[#Data],9)=0,"-",VLOOKUP($B50,casostestes[#Data],9)),"-")</f>
        <v>-</v>
      </c>
      <c r="K50" s="36"/>
      <c r="L50" s="45"/>
      <c r="M50" s="37"/>
      <c r="N50" s="38"/>
      <c r="O50" s="38"/>
      <c r="P50" s="39"/>
    </row>
    <row r="51" spans="2:16">
      <c r="B51" s="40" t="str">
        <f>IF(ISERR(casostestes[[#This Row],[ID]]),"-",casostestes[[#This Row],[ID]])</f>
        <v>-</v>
      </c>
      <c r="C51" s="34" t="str">
        <f>IFERROR(IF(VLOOKUP($B51,casostestes[#Data],10)=0,"Não",VLOOKUP($B51,casostestes[#Data],10)), "-")</f>
        <v>-</v>
      </c>
      <c r="D51" s="35" t="str">
        <f>IFERROR(IF(VLOOKUP($B51,casostestes[#Data],2)=0,"-",VLOOKUP($B51,casostestes[#Data],2)), "-")</f>
        <v>-</v>
      </c>
      <c r="E51" s="35" t="str">
        <f>IFERROR(IF(VLOOKUP($B51,casostestes[#Data],3)=0,"-",VLOOKUP($B51,casostestes[#Data],3)), "-")</f>
        <v>-</v>
      </c>
      <c r="F51" s="35" t="str">
        <f>IFERROR(IF(VLOOKUP($B51,casostestes[#Data],4)=0,"-",VLOOKUP($B51,casostestes[#Data],4)),"-")</f>
        <v>-</v>
      </c>
      <c r="G51" s="35" t="str">
        <f>IFERROR(IF(VLOOKUP($B51,casostestes[#Data],5)=0,"-",VLOOKUP($B51,casostestes[#Data],5)),"-")</f>
        <v>-</v>
      </c>
      <c r="H51" s="35" t="str">
        <f>IFERROR(IF(VLOOKUP($B51,casostestes[#Data],6)=0,"-",VLOOKUP($B51,casostestes[#Data],6)),"-")</f>
        <v>-</v>
      </c>
      <c r="I51" s="35" t="str">
        <f>IFERROR(IF(VLOOKUP($B51,casostestes[#Data],8)=0,"-",VLOOKUP($B51,casostestes[#Data],8)),"-")</f>
        <v>-</v>
      </c>
      <c r="J51" s="35" t="str">
        <f>IFERROR(IF(VLOOKUP($B51,casostestes[#Data],9)=0,"-",VLOOKUP($B51,casostestes[#Data],9)),"-")</f>
        <v>-</v>
      </c>
      <c r="K51" s="36"/>
      <c r="L51" s="45"/>
      <c r="M51" s="37"/>
      <c r="N51" s="38"/>
      <c r="O51" s="38"/>
      <c r="P51" s="39"/>
    </row>
    <row r="52" spans="2:16">
      <c r="B52" s="40" t="str">
        <f>IF(ISERR(casostestes[[#This Row],[ID]]),"-",casostestes[[#This Row],[ID]])</f>
        <v>-</v>
      </c>
      <c r="C52" s="34" t="str">
        <f>IFERROR(IF(VLOOKUP($B52,casostestes[#Data],10)=0,"Não",VLOOKUP($B52,casostestes[#Data],10)), "-")</f>
        <v>-</v>
      </c>
      <c r="D52" s="35" t="str">
        <f>IFERROR(IF(VLOOKUP($B52,casostestes[#Data],2)=0,"-",VLOOKUP($B52,casostestes[#Data],2)), "-")</f>
        <v>-</v>
      </c>
      <c r="E52" s="35" t="str">
        <f>IFERROR(IF(VLOOKUP($B52,casostestes[#Data],3)=0,"-",VLOOKUP($B52,casostestes[#Data],3)), "-")</f>
        <v>-</v>
      </c>
      <c r="F52" s="35" t="str">
        <f>IFERROR(IF(VLOOKUP($B52,casostestes[#Data],4)=0,"-",VLOOKUP($B52,casostestes[#Data],4)),"-")</f>
        <v>-</v>
      </c>
      <c r="G52" s="35" t="str">
        <f>IFERROR(IF(VLOOKUP($B52,casostestes[#Data],5)=0,"-",VLOOKUP($B52,casostestes[#Data],5)),"-")</f>
        <v>-</v>
      </c>
      <c r="H52" s="35" t="str">
        <f>IFERROR(IF(VLOOKUP($B52,casostestes[#Data],6)=0,"-",VLOOKUP($B52,casostestes[#Data],6)),"-")</f>
        <v>-</v>
      </c>
      <c r="I52" s="35" t="str">
        <f>IFERROR(IF(VLOOKUP($B52,casostestes[#Data],8)=0,"-",VLOOKUP($B52,casostestes[#Data],8)),"-")</f>
        <v>-</v>
      </c>
      <c r="J52" s="35" t="str">
        <f>IFERROR(IF(VLOOKUP($B52,casostestes[#Data],9)=0,"-",VLOOKUP($B52,casostestes[#Data],9)),"-")</f>
        <v>-</v>
      </c>
      <c r="K52" s="36"/>
      <c r="L52" s="45"/>
      <c r="M52" s="37"/>
      <c r="N52" s="38"/>
      <c r="O52" s="38"/>
      <c r="P52" s="39"/>
    </row>
    <row r="53" spans="2:16">
      <c r="B53" s="40" t="str">
        <f>IF(ISERR(casostestes[[#This Row],[ID]]),"-",casostestes[[#This Row],[ID]])</f>
        <v>-</v>
      </c>
      <c r="C53" s="34" t="str">
        <f>IFERROR(IF(VLOOKUP($B53,casostestes[#Data],10)=0,"Não",VLOOKUP($B53,casostestes[#Data],10)), "-")</f>
        <v>-</v>
      </c>
      <c r="D53" s="35" t="str">
        <f>IFERROR(IF(VLOOKUP($B53,casostestes[#Data],2)=0,"-",VLOOKUP($B53,casostestes[#Data],2)), "-")</f>
        <v>-</v>
      </c>
      <c r="E53" s="35" t="str">
        <f>IFERROR(IF(VLOOKUP($B53,casostestes[#Data],3)=0,"-",VLOOKUP($B53,casostestes[#Data],3)), "-")</f>
        <v>-</v>
      </c>
      <c r="F53" s="35" t="str">
        <f>IFERROR(IF(VLOOKUP($B53,casostestes[#Data],4)=0,"-",VLOOKUP($B53,casostestes[#Data],4)),"-")</f>
        <v>-</v>
      </c>
      <c r="G53" s="35" t="str">
        <f>IFERROR(IF(VLOOKUP($B53,casostestes[#Data],5)=0,"-",VLOOKUP($B53,casostestes[#Data],5)),"-")</f>
        <v>-</v>
      </c>
      <c r="H53" s="35" t="str">
        <f>IFERROR(IF(VLOOKUP($B53,casostestes[#Data],6)=0,"-",VLOOKUP($B53,casostestes[#Data],6)),"-")</f>
        <v>-</v>
      </c>
      <c r="I53" s="35" t="str">
        <f>IFERROR(IF(VLOOKUP($B53,casostestes[#Data],8)=0,"-",VLOOKUP($B53,casostestes[#Data],8)),"-")</f>
        <v>-</v>
      </c>
      <c r="J53" s="35" t="str">
        <f>IFERROR(IF(VLOOKUP($B53,casostestes[#Data],9)=0,"-",VLOOKUP($B53,casostestes[#Data],9)),"-")</f>
        <v>-</v>
      </c>
      <c r="K53" s="36"/>
      <c r="L53" s="45"/>
      <c r="M53" s="37"/>
      <c r="N53" s="38"/>
      <c r="O53" s="38"/>
      <c r="P53" s="39"/>
    </row>
    <row r="54" spans="2:16">
      <c r="B54" s="40" t="str">
        <f>IF(ISERR(casostestes[[#This Row],[ID]]),"-",casostestes[[#This Row],[ID]])</f>
        <v>-</v>
      </c>
      <c r="C54" s="34" t="str">
        <f>IFERROR(IF(VLOOKUP($B54,casostestes[#Data],10)=0,"Não",VLOOKUP($B54,casostestes[#Data],10)), "-")</f>
        <v>-</v>
      </c>
      <c r="D54" s="35" t="str">
        <f>IFERROR(IF(VLOOKUP($B54,casostestes[#Data],2)=0,"-",VLOOKUP($B54,casostestes[#Data],2)), "-")</f>
        <v>-</v>
      </c>
      <c r="E54" s="35" t="str">
        <f>IFERROR(IF(VLOOKUP($B54,casostestes[#Data],3)=0,"-",VLOOKUP($B54,casostestes[#Data],3)), "-")</f>
        <v>-</v>
      </c>
      <c r="F54" s="35" t="str">
        <f>IFERROR(IF(VLOOKUP($B54,casostestes[#Data],4)=0,"-",VLOOKUP($B54,casostestes[#Data],4)),"-")</f>
        <v>-</v>
      </c>
      <c r="G54" s="35" t="str">
        <f>IFERROR(IF(VLOOKUP($B54,casostestes[#Data],5)=0,"-",VLOOKUP($B54,casostestes[#Data],5)),"-")</f>
        <v>-</v>
      </c>
      <c r="H54" s="35" t="str">
        <f>IFERROR(IF(VLOOKUP($B54,casostestes[#Data],6)=0,"-",VLOOKUP($B54,casostestes[#Data],6)),"-")</f>
        <v>-</v>
      </c>
      <c r="I54" s="35" t="str">
        <f>IFERROR(IF(VLOOKUP($B54,casostestes[#Data],8)=0,"-",VLOOKUP($B54,casostestes[#Data],8)),"-")</f>
        <v>-</v>
      </c>
      <c r="J54" s="35" t="str">
        <f>IFERROR(IF(VLOOKUP($B54,casostestes[#Data],9)=0,"-",VLOOKUP($B54,casostestes[#Data],9)),"-")</f>
        <v>-</v>
      </c>
      <c r="K54" s="36"/>
      <c r="L54" s="45"/>
      <c r="M54" s="37"/>
      <c r="N54" s="38"/>
      <c r="O54" s="38"/>
      <c r="P54" s="39"/>
    </row>
    <row r="55" spans="2:16">
      <c r="B55" s="40" t="str">
        <f>IF(ISERR(casostestes[[#This Row],[ID]]),"-",casostestes[[#This Row],[ID]])</f>
        <v>-</v>
      </c>
      <c r="C55" s="34" t="str">
        <f>IFERROR(IF(VLOOKUP($B55,casostestes[#Data],10)=0,"Não",VLOOKUP($B55,casostestes[#Data],10)), "-")</f>
        <v>-</v>
      </c>
      <c r="D55" s="35" t="str">
        <f>IFERROR(IF(VLOOKUP($B55,casostestes[#Data],2)=0,"-",VLOOKUP($B55,casostestes[#Data],2)), "-")</f>
        <v>-</v>
      </c>
      <c r="E55" s="35" t="str">
        <f>IFERROR(IF(VLOOKUP($B55,casostestes[#Data],3)=0,"-",VLOOKUP($B55,casostestes[#Data],3)), "-")</f>
        <v>-</v>
      </c>
      <c r="F55" s="35" t="str">
        <f>IFERROR(IF(VLOOKUP($B55,casostestes[#Data],4)=0,"-",VLOOKUP($B55,casostestes[#Data],4)),"-")</f>
        <v>-</v>
      </c>
      <c r="G55" s="35" t="str">
        <f>IFERROR(IF(VLOOKUP($B55,casostestes[#Data],5)=0,"-",VLOOKUP($B55,casostestes[#Data],5)),"-")</f>
        <v>-</v>
      </c>
      <c r="H55" s="35" t="str">
        <f>IFERROR(IF(VLOOKUP($B55,casostestes[#Data],6)=0,"-",VLOOKUP($B55,casostestes[#Data],6)),"-")</f>
        <v>-</v>
      </c>
      <c r="I55" s="35" t="str">
        <f>IFERROR(IF(VLOOKUP($B55,casostestes[#Data],8)=0,"-",VLOOKUP($B55,casostestes[#Data],8)),"-")</f>
        <v>-</v>
      </c>
      <c r="J55" s="35" t="str">
        <f>IFERROR(IF(VLOOKUP($B55,casostestes[#Data],9)=0,"-",VLOOKUP($B55,casostestes[#Data],9)),"-")</f>
        <v>-</v>
      </c>
      <c r="K55" s="36"/>
      <c r="L55" s="45"/>
      <c r="M55" s="37"/>
      <c r="N55" s="38"/>
      <c r="O55" s="38"/>
      <c r="P55" s="39"/>
    </row>
    <row r="56" spans="2:16">
      <c r="B56" s="40" t="str">
        <f>IF(ISERR(casostestes[[#This Row],[ID]]),"-",casostestes[[#This Row],[ID]])</f>
        <v>-</v>
      </c>
      <c r="C56" s="34" t="str">
        <f>IFERROR(IF(VLOOKUP($B56,casostestes[#Data],10)=0,"Não",VLOOKUP($B56,casostestes[#Data],10)), "-")</f>
        <v>-</v>
      </c>
      <c r="D56" s="35" t="str">
        <f>IFERROR(IF(VLOOKUP($B56,casostestes[#Data],2)=0,"-",VLOOKUP($B56,casostestes[#Data],2)), "-")</f>
        <v>-</v>
      </c>
      <c r="E56" s="35" t="str">
        <f>IFERROR(IF(VLOOKUP($B56,casostestes[#Data],3)=0,"-",VLOOKUP($B56,casostestes[#Data],3)), "-")</f>
        <v>-</v>
      </c>
      <c r="F56" s="35" t="str">
        <f>IFERROR(IF(VLOOKUP($B56,casostestes[#Data],4)=0,"-",VLOOKUP($B56,casostestes[#Data],4)),"-")</f>
        <v>-</v>
      </c>
      <c r="G56" s="35" t="str">
        <f>IFERROR(IF(VLOOKUP($B56,casostestes[#Data],5)=0,"-",VLOOKUP($B56,casostestes[#Data],5)),"-")</f>
        <v>-</v>
      </c>
      <c r="H56" s="35" t="str">
        <f>IFERROR(IF(VLOOKUP($B56,casostestes[#Data],6)=0,"-",VLOOKUP($B56,casostestes[#Data],6)),"-")</f>
        <v>-</v>
      </c>
      <c r="I56" s="35" t="str">
        <f>IFERROR(IF(VLOOKUP($B56,casostestes[#Data],8)=0,"-",VLOOKUP($B56,casostestes[#Data],8)),"-")</f>
        <v>-</v>
      </c>
      <c r="J56" s="35" t="str">
        <f>IFERROR(IF(VLOOKUP($B56,casostestes[#Data],9)=0,"-",VLOOKUP($B56,casostestes[#Data],9)),"-")</f>
        <v>-</v>
      </c>
      <c r="K56" s="36"/>
      <c r="L56" s="45"/>
      <c r="M56" s="37"/>
      <c r="N56" s="38"/>
      <c r="O56" s="38"/>
      <c r="P56" s="39"/>
    </row>
    <row r="57" spans="2:16">
      <c r="B57" s="40" t="str">
        <f>IF(ISERR(casostestes[[#This Row],[ID]]),"-",casostestes[[#This Row],[ID]])</f>
        <v>-</v>
      </c>
      <c r="C57" s="34" t="str">
        <f>IFERROR(IF(VLOOKUP($B57,casostestes[#Data],10)=0,"Não",VLOOKUP($B57,casostestes[#Data],10)), "-")</f>
        <v>-</v>
      </c>
      <c r="D57" s="35" t="str">
        <f>IFERROR(IF(VLOOKUP($B57,casostestes[#Data],2)=0,"-",VLOOKUP($B57,casostestes[#Data],2)), "-")</f>
        <v>-</v>
      </c>
      <c r="E57" s="35" t="str">
        <f>IFERROR(IF(VLOOKUP($B57,casostestes[#Data],3)=0,"-",VLOOKUP($B57,casostestes[#Data],3)), "-")</f>
        <v>-</v>
      </c>
      <c r="F57" s="35" t="str">
        <f>IFERROR(IF(VLOOKUP($B57,casostestes[#Data],4)=0,"-",VLOOKUP($B57,casostestes[#Data],4)),"-")</f>
        <v>-</v>
      </c>
      <c r="G57" s="35" t="str">
        <f>IFERROR(IF(VLOOKUP($B57,casostestes[#Data],5)=0,"-",VLOOKUP($B57,casostestes[#Data],5)),"-")</f>
        <v>-</v>
      </c>
      <c r="H57" s="35" t="str">
        <f>IFERROR(IF(VLOOKUP($B57,casostestes[#Data],6)=0,"-",VLOOKUP($B57,casostestes[#Data],6)),"-")</f>
        <v>-</v>
      </c>
      <c r="I57" s="35" t="str">
        <f>IFERROR(IF(VLOOKUP($B57,casostestes[#Data],8)=0,"-",VLOOKUP($B57,casostestes[#Data],8)),"-")</f>
        <v>-</v>
      </c>
      <c r="J57" s="35" t="str">
        <f>IFERROR(IF(VLOOKUP($B57,casostestes[#Data],9)=0,"-",VLOOKUP($B57,casostestes[#Data],9)),"-")</f>
        <v>-</v>
      </c>
      <c r="K57" s="36"/>
      <c r="L57" s="45"/>
      <c r="M57" s="37"/>
      <c r="N57" s="38"/>
      <c r="O57" s="38"/>
      <c r="P57" s="39"/>
    </row>
    <row r="58" spans="2:16">
      <c r="B58" s="40" t="str">
        <f>IF(ISERR(casostestes[[#This Row],[ID]]),"-",casostestes[[#This Row],[ID]])</f>
        <v>-</v>
      </c>
      <c r="C58" s="34" t="str">
        <f>IFERROR(IF(VLOOKUP($B58,casostestes[#Data],10)=0,"Não",VLOOKUP($B58,casostestes[#Data],10)), "-")</f>
        <v>-</v>
      </c>
      <c r="D58" s="35" t="str">
        <f>IFERROR(IF(VLOOKUP($B58,casostestes[#Data],2)=0,"-",VLOOKUP($B58,casostestes[#Data],2)), "-")</f>
        <v>-</v>
      </c>
      <c r="E58" s="35" t="str">
        <f>IFERROR(IF(VLOOKUP($B58,casostestes[#Data],3)=0,"-",VLOOKUP($B58,casostestes[#Data],3)), "-")</f>
        <v>-</v>
      </c>
      <c r="F58" s="35" t="str">
        <f>IFERROR(IF(VLOOKUP($B58,casostestes[#Data],4)=0,"-",VLOOKUP($B58,casostestes[#Data],4)),"-")</f>
        <v>-</v>
      </c>
      <c r="G58" s="35" t="str">
        <f>IFERROR(IF(VLOOKUP($B58,casostestes[#Data],5)=0,"-",VLOOKUP($B58,casostestes[#Data],5)),"-")</f>
        <v>-</v>
      </c>
      <c r="H58" s="35" t="str">
        <f>IFERROR(IF(VLOOKUP($B58,casostestes[#Data],6)=0,"-",VLOOKUP($B58,casostestes[#Data],6)),"-")</f>
        <v>-</v>
      </c>
      <c r="I58" s="35" t="str">
        <f>IFERROR(IF(VLOOKUP($B58,casostestes[#Data],8)=0,"-",VLOOKUP($B58,casostestes[#Data],8)),"-")</f>
        <v>-</v>
      </c>
      <c r="J58" s="35" t="str">
        <f>IFERROR(IF(VLOOKUP($B58,casostestes[#Data],9)=0,"-",VLOOKUP($B58,casostestes[#Data],9)),"-")</f>
        <v>-</v>
      </c>
      <c r="K58" s="36"/>
      <c r="L58" s="45"/>
      <c r="M58" s="37"/>
      <c r="N58" s="38"/>
      <c r="O58" s="38"/>
      <c r="P58" s="39"/>
    </row>
    <row r="59" spans="2:16">
      <c r="B59" s="40" t="str">
        <f>IF(ISERR(casostestes[[#This Row],[ID]]),"-",casostestes[[#This Row],[ID]])</f>
        <v>-</v>
      </c>
      <c r="C59" s="34" t="str">
        <f>IFERROR(IF(VLOOKUP($B59,casostestes[#Data],10)=0,"Não",VLOOKUP($B59,casostestes[#Data],10)), "-")</f>
        <v>-</v>
      </c>
      <c r="D59" s="35" t="str">
        <f>IFERROR(IF(VLOOKUP($B59,casostestes[#Data],2)=0,"-",VLOOKUP($B59,casostestes[#Data],2)), "-")</f>
        <v>-</v>
      </c>
      <c r="E59" s="35" t="str">
        <f>IFERROR(IF(VLOOKUP($B59,casostestes[#Data],3)=0,"-",VLOOKUP($B59,casostestes[#Data],3)), "-")</f>
        <v>-</v>
      </c>
      <c r="F59" s="35" t="str">
        <f>IFERROR(IF(VLOOKUP($B59,casostestes[#Data],4)=0,"-",VLOOKUP($B59,casostestes[#Data],4)),"-")</f>
        <v>-</v>
      </c>
      <c r="G59" s="35" t="str">
        <f>IFERROR(IF(VLOOKUP($B59,casostestes[#Data],5)=0,"-",VLOOKUP($B59,casostestes[#Data],5)),"-")</f>
        <v>-</v>
      </c>
      <c r="H59" s="35" t="str">
        <f>IFERROR(IF(VLOOKUP($B59,casostestes[#Data],6)=0,"-",VLOOKUP($B59,casostestes[#Data],6)),"-")</f>
        <v>-</v>
      </c>
      <c r="I59" s="35" t="str">
        <f>IFERROR(IF(VLOOKUP($B59,casostestes[#Data],8)=0,"-",VLOOKUP($B59,casostestes[#Data],8)),"-")</f>
        <v>-</v>
      </c>
      <c r="J59" s="35" t="str">
        <f>IFERROR(IF(VLOOKUP($B59,casostestes[#Data],9)=0,"-",VLOOKUP($B59,casostestes[#Data],9)),"-")</f>
        <v>-</v>
      </c>
      <c r="K59" s="36"/>
      <c r="L59" s="45"/>
      <c r="M59" s="37"/>
      <c r="N59" s="38"/>
      <c r="O59" s="38"/>
      <c r="P59" s="39"/>
    </row>
    <row r="60" spans="2:16">
      <c r="B60" s="40" t="str">
        <f>IF(ISERR(casostestes[[#This Row],[ID]]),"-",casostestes[[#This Row],[ID]])</f>
        <v>-</v>
      </c>
      <c r="C60" s="34" t="str">
        <f>IFERROR(IF(VLOOKUP($B60,casostestes[#Data],10)=0,"Não",VLOOKUP($B60,casostestes[#Data],10)), "-")</f>
        <v>-</v>
      </c>
      <c r="D60" s="35" t="str">
        <f>IFERROR(IF(VLOOKUP($B60,casostestes[#Data],2)=0,"-",VLOOKUP($B60,casostestes[#Data],2)), "-")</f>
        <v>-</v>
      </c>
      <c r="E60" s="35" t="str">
        <f>IFERROR(IF(VLOOKUP($B60,casostestes[#Data],3)=0,"-",VLOOKUP($B60,casostestes[#Data],3)), "-")</f>
        <v>-</v>
      </c>
      <c r="F60" s="35" t="str">
        <f>IFERROR(IF(VLOOKUP($B60,casostestes[#Data],4)=0,"-",VLOOKUP($B60,casostestes[#Data],4)),"-")</f>
        <v>-</v>
      </c>
      <c r="G60" s="35" t="str">
        <f>IFERROR(IF(VLOOKUP($B60,casostestes[#Data],5)=0,"-",VLOOKUP($B60,casostestes[#Data],5)),"-")</f>
        <v>-</v>
      </c>
      <c r="H60" s="35" t="str">
        <f>IFERROR(IF(VLOOKUP($B60,casostestes[#Data],6)=0,"-",VLOOKUP($B60,casostestes[#Data],6)),"-")</f>
        <v>-</v>
      </c>
      <c r="I60" s="35" t="str">
        <f>IFERROR(IF(VLOOKUP($B60,casostestes[#Data],8)=0,"-",VLOOKUP($B60,casostestes[#Data],8)),"-")</f>
        <v>-</v>
      </c>
      <c r="J60" s="35" t="str">
        <f>IFERROR(IF(VLOOKUP($B60,casostestes[#Data],9)=0,"-",VLOOKUP($B60,casostestes[#Data],9)),"-")</f>
        <v>-</v>
      </c>
      <c r="K60" s="36"/>
      <c r="L60" s="45"/>
      <c r="M60" s="37"/>
      <c r="N60" s="38"/>
      <c r="O60" s="38"/>
      <c r="P60" s="39"/>
    </row>
    <row r="61" spans="2:16">
      <c r="B61" s="40" t="str">
        <f>IF(ISERR(casostestes[[#This Row],[ID]]),"-",casostestes[[#This Row],[ID]])</f>
        <v>-</v>
      </c>
      <c r="C61" s="34" t="str">
        <f>IFERROR(IF(VLOOKUP($B61,casostestes[#Data],10)=0,"Não",VLOOKUP($B61,casostestes[#Data],10)), "-")</f>
        <v>-</v>
      </c>
      <c r="D61" s="35" t="str">
        <f>IFERROR(IF(VLOOKUP($B61,casostestes[#Data],2)=0,"-",VLOOKUP($B61,casostestes[#Data],2)), "-")</f>
        <v>-</v>
      </c>
      <c r="E61" s="35" t="str">
        <f>IFERROR(IF(VLOOKUP($B61,casostestes[#Data],3)=0,"-",VLOOKUP($B61,casostestes[#Data],3)), "-")</f>
        <v>-</v>
      </c>
      <c r="F61" s="35" t="str">
        <f>IFERROR(IF(VLOOKUP($B61,casostestes[#Data],4)=0,"-",VLOOKUP($B61,casostestes[#Data],4)),"-")</f>
        <v>-</v>
      </c>
      <c r="G61" s="35" t="str">
        <f>IFERROR(IF(VLOOKUP($B61,casostestes[#Data],5)=0,"-",VLOOKUP($B61,casostestes[#Data],5)),"-")</f>
        <v>-</v>
      </c>
      <c r="H61" s="35" t="str">
        <f>IFERROR(IF(VLOOKUP($B61,casostestes[#Data],6)=0,"-",VLOOKUP($B61,casostestes[#Data],6)),"-")</f>
        <v>-</v>
      </c>
      <c r="I61" s="35" t="str">
        <f>IFERROR(IF(VLOOKUP($B61,casostestes[#Data],8)=0,"-",VLOOKUP($B61,casostestes[#Data],8)),"-")</f>
        <v>-</v>
      </c>
      <c r="J61" s="35" t="str">
        <f>IFERROR(IF(VLOOKUP($B61,casostestes[#Data],9)=0,"-",VLOOKUP($B61,casostestes[#Data],9)),"-")</f>
        <v>-</v>
      </c>
      <c r="K61" s="36"/>
      <c r="L61" s="45"/>
      <c r="M61" s="37"/>
      <c r="N61" s="38"/>
      <c r="O61" s="38"/>
      <c r="P61" s="39"/>
    </row>
    <row r="62" spans="2:16">
      <c r="B62" s="40" t="str">
        <f>IF(ISERR(casostestes[[#This Row],[ID]]),"-",casostestes[[#This Row],[ID]])</f>
        <v>-</v>
      </c>
      <c r="C62" s="34" t="str">
        <f>IFERROR(IF(VLOOKUP($B62,casostestes[#Data],10)=0,"Não",VLOOKUP($B62,casostestes[#Data],10)), "-")</f>
        <v>-</v>
      </c>
      <c r="D62" s="35" t="str">
        <f>IFERROR(IF(VLOOKUP($B62,casostestes[#Data],2)=0,"-",VLOOKUP($B62,casostestes[#Data],2)), "-")</f>
        <v>-</v>
      </c>
      <c r="E62" s="35" t="str">
        <f>IFERROR(IF(VLOOKUP($B62,casostestes[#Data],3)=0,"-",VLOOKUP($B62,casostestes[#Data],3)), "-")</f>
        <v>-</v>
      </c>
      <c r="F62" s="35" t="str">
        <f>IFERROR(IF(VLOOKUP($B62,casostestes[#Data],4)=0,"-",VLOOKUP($B62,casostestes[#Data],4)),"-")</f>
        <v>-</v>
      </c>
      <c r="G62" s="35" t="str">
        <f>IFERROR(IF(VLOOKUP($B62,casostestes[#Data],5)=0,"-",VLOOKUP($B62,casostestes[#Data],5)),"-")</f>
        <v>-</v>
      </c>
      <c r="H62" s="35" t="str">
        <f>IFERROR(IF(VLOOKUP($B62,casostestes[#Data],6)=0,"-",VLOOKUP($B62,casostestes[#Data],6)),"-")</f>
        <v>-</v>
      </c>
      <c r="I62" s="35" t="str">
        <f>IFERROR(IF(VLOOKUP($B62,casostestes[#Data],8)=0,"-",VLOOKUP($B62,casostestes[#Data],8)),"-")</f>
        <v>-</v>
      </c>
      <c r="J62" s="35" t="str">
        <f>IFERROR(IF(VLOOKUP($B62,casostestes[#Data],9)=0,"-",VLOOKUP($B62,casostestes[#Data],9)),"-")</f>
        <v>-</v>
      </c>
      <c r="K62" s="36"/>
      <c r="L62" s="45"/>
      <c r="M62" s="37"/>
      <c r="N62" s="38"/>
      <c r="O62" s="38"/>
      <c r="P62" s="39"/>
    </row>
    <row r="63" spans="2:16">
      <c r="B63" s="40" t="str">
        <f>IF(ISERR(casostestes[[#This Row],[ID]]),"-",casostestes[[#This Row],[ID]])</f>
        <v>-</v>
      </c>
      <c r="C63" s="34" t="str">
        <f>IFERROR(IF(VLOOKUP($B63,casostestes[#Data],10)=0,"Não",VLOOKUP($B63,casostestes[#Data],10)), "-")</f>
        <v>-</v>
      </c>
      <c r="D63" s="35" t="str">
        <f>IFERROR(IF(VLOOKUP($B63,casostestes[#Data],2)=0,"-",VLOOKUP($B63,casostestes[#Data],2)), "-")</f>
        <v>-</v>
      </c>
      <c r="E63" s="35" t="str">
        <f>IFERROR(IF(VLOOKUP($B63,casostestes[#Data],3)=0,"-",VLOOKUP($B63,casostestes[#Data],3)), "-")</f>
        <v>-</v>
      </c>
      <c r="F63" s="35" t="str">
        <f>IFERROR(IF(VLOOKUP($B63,casostestes[#Data],4)=0,"-",VLOOKUP($B63,casostestes[#Data],4)),"-")</f>
        <v>-</v>
      </c>
      <c r="G63" s="35" t="str">
        <f>IFERROR(IF(VLOOKUP($B63,casostestes[#Data],5)=0,"-",VLOOKUP($B63,casostestes[#Data],5)),"-")</f>
        <v>-</v>
      </c>
      <c r="H63" s="35" t="str">
        <f>IFERROR(IF(VLOOKUP($B63,casostestes[#Data],6)=0,"-",VLOOKUP($B63,casostestes[#Data],6)),"-")</f>
        <v>-</v>
      </c>
      <c r="I63" s="35" t="str">
        <f>IFERROR(IF(VLOOKUP($B63,casostestes[#Data],8)=0,"-",VLOOKUP($B63,casostestes[#Data],8)),"-")</f>
        <v>-</v>
      </c>
      <c r="J63" s="35" t="str">
        <f>IFERROR(IF(VLOOKUP($B63,casostestes[#Data],9)=0,"-",VLOOKUP($B63,casostestes[#Data],9)),"-")</f>
        <v>-</v>
      </c>
      <c r="K63" s="36"/>
      <c r="L63" s="45"/>
      <c r="M63" s="37"/>
      <c r="N63" s="38"/>
      <c r="O63" s="38"/>
      <c r="P63" s="39"/>
    </row>
    <row r="64" spans="2:16">
      <c r="B64" s="40" t="str">
        <f>IF(ISERR(casostestes[[#This Row],[ID]]),"-",casostestes[[#This Row],[ID]])</f>
        <v>-</v>
      </c>
      <c r="C64" s="34" t="str">
        <f>IFERROR(IF(VLOOKUP($B64,casostestes[#Data],10)=0,"Não",VLOOKUP($B64,casostestes[#Data],10)), "-")</f>
        <v>-</v>
      </c>
      <c r="D64" s="35" t="str">
        <f>IFERROR(IF(VLOOKUP($B64,casostestes[#Data],2)=0,"-",VLOOKUP($B64,casostestes[#Data],2)), "-")</f>
        <v>-</v>
      </c>
      <c r="E64" s="35" t="str">
        <f>IFERROR(IF(VLOOKUP($B64,casostestes[#Data],3)=0,"-",VLOOKUP($B64,casostestes[#Data],3)), "-")</f>
        <v>-</v>
      </c>
      <c r="F64" s="35" t="str">
        <f>IFERROR(IF(VLOOKUP($B64,casostestes[#Data],4)=0,"-",VLOOKUP($B64,casostestes[#Data],4)),"-")</f>
        <v>-</v>
      </c>
      <c r="G64" s="35" t="str">
        <f>IFERROR(IF(VLOOKUP($B64,casostestes[#Data],5)=0,"-",VLOOKUP($B64,casostestes[#Data],5)),"-")</f>
        <v>-</v>
      </c>
      <c r="H64" s="35" t="str">
        <f>IFERROR(IF(VLOOKUP($B64,casostestes[#Data],6)=0,"-",VLOOKUP($B64,casostestes[#Data],6)),"-")</f>
        <v>-</v>
      </c>
      <c r="I64" s="35" t="str">
        <f>IFERROR(IF(VLOOKUP($B64,casostestes[#Data],8)=0,"-",VLOOKUP($B64,casostestes[#Data],8)),"-")</f>
        <v>-</v>
      </c>
      <c r="J64" s="35" t="str">
        <f>IFERROR(IF(VLOOKUP($B64,casostestes[#Data],9)=0,"-",VLOOKUP($B64,casostestes[#Data],9)),"-")</f>
        <v>-</v>
      </c>
      <c r="K64" s="36"/>
      <c r="L64" s="45"/>
      <c r="M64" s="37"/>
      <c r="N64" s="38"/>
      <c r="O64" s="38"/>
      <c r="P64" s="39"/>
    </row>
    <row r="65" spans="2:16">
      <c r="B65" s="40" t="str">
        <f>IF(ISERR(casostestes[[#This Row],[ID]]),"-",casostestes[[#This Row],[ID]])</f>
        <v>-</v>
      </c>
      <c r="C65" s="34" t="str">
        <f>IFERROR(IF(VLOOKUP($B65,casostestes[#Data],10)=0,"Não",VLOOKUP($B65,casostestes[#Data],10)), "-")</f>
        <v>-</v>
      </c>
      <c r="D65" s="35" t="str">
        <f>IFERROR(IF(VLOOKUP($B65,casostestes[#Data],2)=0,"-",VLOOKUP($B65,casostestes[#Data],2)), "-")</f>
        <v>-</v>
      </c>
      <c r="E65" s="35" t="str">
        <f>IFERROR(IF(VLOOKUP($B65,casostestes[#Data],3)=0,"-",VLOOKUP($B65,casostestes[#Data],3)), "-")</f>
        <v>-</v>
      </c>
      <c r="F65" s="35" t="str">
        <f>IFERROR(IF(VLOOKUP($B65,casostestes[#Data],4)=0,"-",VLOOKUP($B65,casostestes[#Data],4)),"-")</f>
        <v>-</v>
      </c>
      <c r="G65" s="35" t="str">
        <f>IFERROR(IF(VLOOKUP($B65,casostestes[#Data],5)=0,"-",VLOOKUP($B65,casostestes[#Data],5)),"-")</f>
        <v>-</v>
      </c>
      <c r="H65" s="35" t="str">
        <f>IFERROR(IF(VLOOKUP($B65,casostestes[#Data],6)=0,"-",VLOOKUP($B65,casostestes[#Data],6)),"-")</f>
        <v>-</v>
      </c>
      <c r="I65" s="35" t="str">
        <f>IFERROR(IF(VLOOKUP($B65,casostestes[#Data],8)=0,"-",VLOOKUP($B65,casostestes[#Data],8)),"-")</f>
        <v>-</v>
      </c>
      <c r="J65" s="35" t="str">
        <f>IFERROR(IF(VLOOKUP($B65,casostestes[#Data],9)=0,"-",VLOOKUP($B65,casostestes[#Data],9)),"-")</f>
        <v>-</v>
      </c>
      <c r="K65" s="36"/>
      <c r="L65" s="45"/>
      <c r="M65" s="37"/>
      <c r="N65" s="38"/>
      <c r="O65" s="38"/>
      <c r="P65" s="39"/>
    </row>
    <row r="66" spans="2:16">
      <c r="B66" s="40" t="str">
        <f>IF(ISERR(casostestes[[#This Row],[ID]]),"-",casostestes[[#This Row],[ID]])</f>
        <v>-</v>
      </c>
      <c r="C66" s="34" t="str">
        <f>IFERROR(IF(VLOOKUP($B66,casostestes[#Data],10)=0,"Não",VLOOKUP($B66,casostestes[#Data],10)), "-")</f>
        <v>-</v>
      </c>
      <c r="D66" s="35" t="str">
        <f>IFERROR(IF(VLOOKUP($B66,casostestes[#Data],2)=0,"-",VLOOKUP($B66,casostestes[#Data],2)), "-")</f>
        <v>-</v>
      </c>
      <c r="E66" s="35" t="str">
        <f>IFERROR(IF(VLOOKUP($B66,casostestes[#Data],3)=0,"-",VLOOKUP($B66,casostestes[#Data],3)), "-")</f>
        <v>-</v>
      </c>
      <c r="F66" s="35" t="str">
        <f>IFERROR(IF(VLOOKUP($B66,casostestes[#Data],4)=0,"-",VLOOKUP($B66,casostestes[#Data],4)),"-")</f>
        <v>-</v>
      </c>
      <c r="G66" s="35" t="str">
        <f>IFERROR(IF(VLOOKUP($B66,casostestes[#Data],5)=0,"-",VLOOKUP($B66,casostestes[#Data],5)),"-")</f>
        <v>-</v>
      </c>
      <c r="H66" s="35" t="str">
        <f>IFERROR(IF(VLOOKUP($B66,casostestes[#Data],6)=0,"-",VLOOKUP($B66,casostestes[#Data],6)),"-")</f>
        <v>-</v>
      </c>
      <c r="I66" s="35" t="str">
        <f>IFERROR(IF(VLOOKUP($B66,casostestes[#Data],8)=0,"-",VLOOKUP($B66,casostestes[#Data],8)),"-")</f>
        <v>-</v>
      </c>
      <c r="J66" s="35" t="str">
        <f>IFERROR(IF(VLOOKUP($B66,casostestes[#Data],9)=0,"-",VLOOKUP($B66,casostestes[#Data],9)),"-")</f>
        <v>-</v>
      </c>
      <c r="K66" s="36"/>
      <c r="L66" s="45"/>
      <c r="M66" s="37"/>
      <c r="N66" s="38"/>
      <c r="O66" s="38"/>
      <c r="P66" s="39"/>
    </row>
    <row r="67" spans="2:16">
      <c r="B67" s="40" t="str">
        <f>IF(ISERR(casostestes[[#This Row],[ID]]),"-",casostestes[[#This Row],[ID]])</f>
        <v>-</v>
      </c>
      <c r="C67" s="34" t="str">
        <f>IFERROR(IF(VLOOKUP($B67,casostestes[#Data],10)=0,"Não",VLOOKUP($B67,casostestes[#Data],10)), "-")</f>
        <v>-</v>
      </c>
      <c r="D67" s="35" t="str">
        <f>IFERROR(IF(VLOOKUP($B67,casostestes[#Data],2)=0,"-",VLOOKUP($B67,casostestes[#Data],2)), "-")</f>
        <v>-</v>
      </c>
      <c r="E67" s="35" t="str">
        <f>IFERROR(IF(VLOOKUP($B67,casostestes[#Data],3)=0,"-",VLOOKUP($B67,casostestes[#Data],3)), "-")</f>
        <v>-</v>
      </c>
      <c r="F67" s="35" t="str">
        <f>IFERROR(IF(VLOOKUP($B67,casostestes[#Data],4)=0,"-",VLOOKUP($B67,casostestes[#Data],4)),"-")</f>
        <v>-</v>
      </c>
      <c r="G67" s="35" t="str">
        <f>IFERROR(IF(VLOOKUP($B67,casostestes[#Data],5)=0,"-",VLOOKUP($B67,casostestes[#Data],5)),"-")</f>
        <v>-</v>
      </c>
      <c r="H67" s="35" t="str">
        <f>IFERROR(IF(VLOOKUP($B67,casostestes[#Data],6)=0,"-",VLOOKUP($B67,casostestes[#Data],6)),"-")</f>
        <v>-</v>
      </c>
      <c r="I67" s="35" t="str">
        <f>IFERROR(IF(VLOOKUP($B67,casostestes[#Data],8)=0,"-",VLOOKUP($B67,casostestes[#Data],8)),"-")</f>
        <v>-</v>
      </c>
      <c r="J67" s="35" t="str">
        <f>IFERROR(IF(VLOOKUP($B67,casostestes[#Data],9)=0,"-",VLOOKUP($B67,casostestes[#Data],9)),"-")</f>
        <v>-</v>
      </c>
      <c r="K67" s="36"/>
      <c r="L67" s="45"/>
      <c r="M67" s="37"/>
      <c r="N67" s="38"/>
      <c r="O67" s="38"/>
      <c r="P67" s="39"/>
    </row>
    <row r="68" spans="2:16">
      <c r="B68" s="40" t="str">
        <f>IF(ISERR(casostestes[[#This Row],[ID]]),"-",casostestes[[#This Row],[ID]])</f>
        <v>-</v>
      </c>
      <c r="C68" s="34" t="str">
        <f>IFERROR(IF(VLOOKUP($B68,casostestes[#Data],10)=0,"Não",VLOOKUP($B68,casostestes[#Data],10)), "-")</f>
        <v>-</v>
      </c>
      <c r="D68" s="35" t="str">
        <f>IFERROR(IF(VLOOKUP($B68,casostestes[#Data],2)=0,"-",VLOOKUP($B68,casostestes[#Data],2)), "-")</f>
        <v>-</v>
      </c>
      <c r="E68" s="35" t="str">
        <f>IFERROR(IF(VLOOKUP($B68,casostestes[#Data],3)=0,"-",VLOOKUP($B68,casostestes[#Data],3)), "-")</f>
        <v>-</v>
      </c>
      <c r="F68" s="35" t="str">
        <f>IFERROR(IF(VLOOKUP($B68,casostestes[#Data],4)=0,"-",VLOOKUP($B68,casostestes[#Data],4)),"-")</f>
        <v>-</v>
      </c>
      <c r="G68" s="35" t="str">
        <f>IFERROR(IF(VLOOKUP($B68,casostestes[#Data],5)=0,"-",VLOOKUP($B68,casostestes[#Data],5)),"-")</f>
        <v>-</v>
      </c>
      <c r="H68" s="35" t="str">
        <f>IFERROR(IF(VLOOKUP($B68,casostestes[#Data],6)=0,"-",VLOOKUP($B68,casostestes[#Data],6)),"-")</f>
        <v>-</v>
      </c>
      <c r="I68" s="35" t="str">
        <f>IFERROR(IF(VLOOKUP($B68,casostestes[#Data],8)=0,"-",VLOOKUP($B68,casostestes[#Data],8)),"-")</f>
        <v>-</v>
      </c>
      <c r="J68" s="35" t="str">
        <f>IFERROR(IF(VLOOKUP($B68,casostestes[#Data],9)=0,"-",VLOOKUP($B68,casostestes[#Data],9)),"-")</f>
        <v>-</v>
      </c>
      <c r="K68" s="36"/>
      <c r="L68" s="45"/>
      <c r="M68" s="37"/>
      <c r="N68" s="38"/>
      <c r="O68" s="38"/>
      <c r="P68" s="39"/>
    </row>
    <row r="69" spans="2:16">
      <c r="B69" s="40" t="str">
        <f>IF(ISERR(casostestes[[#This Row],[ID]]),"-",casostestes[[#This Row],[ID]])</f>
        <v>-</v>
      </c>
      <c r="C69" s="34" t="str">
        <f>IFERROR(IF(VLOOKUP($B69,casostestes[#Data],10)=0,"Não",VLOOKUP($B69,casostestes[#Data],10)), "-")</f>
        <v>-</v>
      </c>
      <c r="D69" s="35" t="str">
        <f>IFERROR(IF(VLOOKUP($B69,casostestes[#Data],2)=0,"-",VLOOKUP($B69,casostestes[#Data],2)), "-")</f>
        <v>-</v>
      </c>
      <c r="E69" s="35" t="str">
        <f>IFERROR(IF(VLOOKUP($B69,casostestes[#Data],3)=0,"-",VLOOKUP($B69,casostestes[#Data],3)), "-")</f>
        <v>-</v>
      </c>
      <c r="F69" s="35" t="str">
        <f>IFERROR(IF(VLOOKUP($B69,casostestes[#Data],4)=0,"-",VLOOKUP($B69,casostestes[#Data],4)),"-")</f>
        <v>-</v>
      </c>
      <c r="G69" s="35" t="str">
        <f>IFERROR(IF(VLOOKUP($B69,casostestes[#Data],5)=0,"-",VLOOKUP($B69,casostestes[#Data],5)),"-")</f>
        <v>-</v>
      </c>
      <c r="H69" s="35" t="str">
        <f>IFERROR(IF(VLOOKUP($B69,casostestes[#Data],6)=0,"-",VLOOKUP($B69,casostestes[#Data],6)),"-")</f>
        <v>-</v>
      </c>
      <c r="I69" s="35" t="str">
        <f>IFERROR(IF(VLOOKUP($B69,casostestes[#Data],8)=0,"-",VLOOKUP($B69,casostestes[#Data],8)),"-")</f>
        <v>-</v>
      </c>
      <c r="J69" s="35" t="str">
        <f>IFERROR(IF(VLOOKUP($B69,casostestes[#Data],9)=0,"-",VLOOKUP($B69,casostestes[#Data],9)),"-")</f>
        <v>-</v>
      </c>
      <c r="K69" s="36"/>
      <c r="L69" s="45"/>
      <c r="M69" s="37"/>
      <c r="N69" s="38"/>
      <c r="O69" s="38"/>
      <c r="P69" s="39"/>
    </row>
    <row r="70" spans="2:16">
      <c r="B70" s="40" t="str">
        <f>IF(ISERR(casostestes[[#This Row],[ID]]),"-",casostestes[[#This Row],[ID]])</f>
        <v>-</v>
      </c>
      <c r="C70" s="34" t="str">
        <f>IFERROR(IF(VLOOKUP($B70,casostestes[#Data],10)=0,"Não",VLOOKUP($B70,casostestes[#Data],10)), "-")</f>
        <v>-</v>
      </c>
      <c r="D70" s="35" t="str">
        <f>IFERROR(IF(VLOOKUP($B70,casostestes[#Data],2)=0,"-",VLOOKUP($B70,casostestes[#Data],2)), "-")</f>
        <v>-</v>
      </c>
      <c r="E70" s="35" t="str">
        <f>IFERROR(IF(VLOOKUP($B70,casostestes[#Data],3)=0,"-",VLOOKUP($B70,casostestes[#Data],3)), "-")</f>
        <v>-</v>
      </c>
      <c r="F70" s="35" t="str">
        <f>IFERROR(IF(VLOOKUP($B70,casostestes[#Data],4)=0,"-",VLOOKUP($B70,casostestes[#Data],4)),"-")</f>
        <v>-</v>
      </c>
      <c r="G70" s="35" t="str">
        <f>IFERROR(IF(VLOOKUP($B70,casostestes[#Data],5)=0,"-",VLOOKUP($B70,casostestes[#Data],5)),"-")</f>
        <v>-</v>
      </c>
      <c r="H70" s="35" t="str">
        <f>IFERROR(IF(VLOOKUP($B70,casostestes[#Data],6)=0,"-",VLOOKUP($B70,casostestes[#Data],6)),"-")</f>
        <v>-</v>
      </c>
      <c r="I70" s="35" t="str">
        <f>IFERROR(IF(VLOOKUP($B70,casostestes[#Data],8)=0,"-",VLOOKUP($B70,casostestes[#Data],8)),"-")</f>
        <v>-</v>
      </c>
      <c r="J70" s="35" t="str">
        <f>IFERROR(IF(VLOOKUP($B70,casostestes[#Data],9)=0,"-",VLOOKUP($B70,casostestes[#Data],9)),"-")</f>
        <v>-</v>
      </c>
      <c r="K70" s="36"/>
      <c r="L70" s="45"/>
      <c r="M70" s="37"/>
      <c r="N70" s="38"/>
      <c r="O70" s="38"/>
      <c r="P70" s="39"/>
    </row>
    <row r="71" spans="2:16">
      <c r="B71" s="40" t="str">
        <f>IF(ISERR(casostestes[[#This Row],[ID]]),"-",casostestes[[#This Row],[ID]])</f>
        <v>-</v>
      </c>
      <c r="C71" s="34" t="str">
        <f>IFERROR(IF(VLOOKUP($B71,casostestes[#Data],10)=0,"Não",VLOOKUP($B71,casostestes[#Data],10)), "-")</f>
        <v>-</v>
      </c>
      <c r="D71" s="35" t="str">
        <f>IFERROR(IF(VLOOKUP($B71,casostestes[#Data],2)=0,"-",VLOOKUP($B71,casostestes[#Data],2)), "-")</f>
        <v>-</v>
      </c>
      <c r="E71" s="35" t="str">
        <f>IFERROR(IF(VLOOKUP($B71,casostestes[#Data],3)=0,"-",VLOOKUP($B71,casostestes[#Data],3)), "-")</f>
        <v>-</v>
      </c>
      <c r="F71" s="35" t="str">
        <f>IFERROR(IF(VLOOKUP($B71,casostestes[#Data],4)=0,"-",VLOOKUP($B71,casostestes[#Data],4)),"-")</f>
        <v>-</v>
      </c>
      <c r="G71" s="35" t="str">
        <f>IFERROR(IF(VLOOKUP($B71,casostestes[#Data],5)=0,"-",VLOOKUP($B71,casostestes[#Data],5)),"-")</f>
        <v>-</v>
      </c>
      <c r="H71" s="35" t="str">
        <f>IFERROR(IF(VLOOKUP($B71,casostestes[#Data],6)=0,"-",VLOOKUP($B71,casostestes[#Data],6)),"-")</f>
        <v>-</v>
      </c>
      <c r="I71" s="35" t="str">
        <f>IFERROR(IF(VLOOKUP($B71,casostestes[#Data],8)=0,"-",VLOOKUP($B71,casostestes[#Data],8)),"-")</f>
        <v>-</v>
      </c>
      <c r="J71" s="35" t="str">
        <f>IFERROR(IF(VLOOKUP($B71,casostestes[#Data],9)=0,"-",VLOOKUP($B71,casostestes[#Data],9)),"-")</f>
        <v>-</v>
      </c>
      <c r="K71" s="36"/>
      <c r="L71" s="45"/>
      <c r="M71" s="37"/>
      <c r="N71" s="38"/>
      <c r="O71" s="38"/>
      <c r="P71" s="39"/>
    </row>
    <row r="72" spans="2:16">
      <c r="B72" s="40" t="str">
        <f>IF(ISERR(casostestes[[#This Row],[ID]]),"-",casostestes[[#This Row],[ID]])</f>
        <v>-</v>
      </c>
      <c r="C72" s="34" t="str">
        <f>IFERROR(IF(VLOOKUP($B72,casostestes[#Data],10)=0,"Não",VLOOKUP($B72,casostestes[#Data],10)), "-")</f>
        <v>-</v>
      </c>
      <c r="D72" s="35" t="str">
        <f>IFERROR(IF(VLOOKUP($B72,casostestes[#Data],2)=0,"-",VLOOKUP($B72,casostestes[#Data],2)), "-")</f>
        <v>-</v>
      </c>
      <c r="E72" s="35" t="str">
        <f>IFERROR(IF(VLOOKUP($B72,casostestes[#Data],3)=0,"-",VLOOKUP($B72,casostestes[#Data],3)), "-")</f>
        <v>-</v>
      </c>
      <c r="F72" s="35" t="str">
        <f>IFERROR(IF(VLOOKUP($B72,casostestes[#Data],4)=0,"-",VLOOKUP($B72,casostestes[#Data],4)),"-")</f>
        <v>-</v>
      </c>
      <c r="G72" s="35" t="str">
        <f>IFERROR(IF(VLOOKUP($B72,casostestes[#Data],5)=0,"-",VLOOKUP($B72,casostestes[#Data],5)),"-")</f>
        <v>-</v>
      </c>
      <c r="H72" s="35" t="str">
        <f>IFERROR(IF(VLOOKUP($B72,casostestes[#Data],6)=0,"-",VLOOKUP($B72,casostestes[#Data],6)),"-")</f>
        <v>-</v>
      </c>
      <c r="I72" s="35" t="str">
        <f>IFERROR(IF(VLOOKUP($B72,casostestes[#Data],8)=0,"-",VLOOKUP($B72,casostestes[#Data],8)),"-")</f>
        <v>-</v>
      </c>
      <c r="J72" s="35" t="str">
        <f>IFERROR(IF(VLOOKUP($B72,casostestes[#Data],9)=0,"-",VLOOKUP($B72,casostestes[#Data],9)),"-")</f>
        <v>-</v>
      </c>
      <c r="K72" s="36"/>
      <c r="L72" s="45"/>
      <c r="M72" s="37"/>
      <c r="N72" s="38"/>
      <c r="O72" s="38"/>
      <c r="P72" s="39"/>
    </row>
    <row r="73" spans="2:16">
      <c r="B73" s="40" t="str">
        <f>IF(ISERR(casostestes[[#This Row],[ID]]),"-",casostestes[[#This Row],[ID]])</f>
        <v>-</v>
      </c>
      <c r="C73" s="34" t="str">
        <f>IFERROR(IF(VLOOKUP($B73,casostestes[#Data],10)=0,"Não",VLOOKUP($B73,casostestes[#Data],10)), "-")</f>
        <v>-</v>
      </c>
      <c r="D73" s="35" t="str">
        <f>IFERROR(IF(VLOOKUP($B73,casostestes[#Data],2)=0,"-",VLOOKUP($B73,casostestes[#Data],2)), "-")</f>
        <v>-</v>
      </c>
      <c r="E73" s="35" t="str">
        <f>IFERROR(IF(VLOOKUP($B73,casostestes[#Data],3)=0,"-",VLOOKUP($B73,casostestes[#Data],3)), "-")</f>
        <v>-</v>
      </c>
      <c r="F73" s="35" t="str">
        <f>IFERROR(IF(VLOOKUP($B73,casostestes[#Data],4)=0,"-",VLOOKUP($B73,casostestes[#Data],4)),"-")</f>
        <v>-</v>
      </c>
      <c r="G73" s="35" t="str">
        <f>IFERROR(IF(VLOOKUP($B73,casostestes[#Data],5)=0,"-",VLOOKUP($B73,casostestes[#Data],5)),"-")</f>
        <v>-</v>
      </c>
      <c r="H73" s="35" t="str">
        <f>IFERROR(IF(VLOOKUP($B73,casostestes[#Data],6)=0,"-",VLOOKUP($B73,casostestes[#Data],6)),"-")</f>
        <v>-</v>
      </c>
      <c r="I73" s="35" t="str">
        <f>IFERROR(IF(VLOOKUP($B73,casostestes[#Data],8)=0,"-",VLOOKUP($B73,casostestes[#Data],8)),"-")</f>
        <v>-</v>
      </c>
      <c r="J73" s="35" t="str">
        <f>IFERROR(IF(VLOOKUP($B73,casostestes[#Data],9)=0,"-",VLOOKUP($B73,casostestes[#Data],9)),"-")</f>
        <v>-</v>
      </c>
      <c r="K73" s="36"/>
      <c r="L73" s="45"/>
      <c r="M73" s="37"/>
      <c r="N73" s="38"/>
      <c r="O73" s="38"/>
      <c r="P73" s="39"/>
    </row>
    <row r="74" spans="2:16">
      <c r="B74" s="40" t="str">
        <f>IF(ISERR(casostestes[[#This Row],[ID]]),"-",casostestes[[#This Row],[ID]])</f>
        <v>-</v>
      </c>
      <c r="C74" s="34" t="str">
        <f>IFERROR(IF(VLOOKUP($B74,casostestes[#Data],10)=0,"Não",VLOOKUP($B74,casostestes[#Data],10)), "-")</f>
        <v>-</v>
      </c>
      <c r="D74" s="35" t="str">
        <f>IFERROR(IF(VLOOKUP($B74,casostestes[#Data],2)=0,"-",VLOOKUP($B74,casostestes[#Data],2)), "-")</f>
        <v>-</v>
      </c>
      <c r="E74" s="35" t="str">
        <f>IFERROR(IF(VLOOKUP($B74,casostestes[#Data],3)=0,"-",VLOOKUP($B74,casostestes[#Data],3)), "-")</f>
        <v>-</v>
      </c>
      <c r="F74" s="35" t="str">
        <f>IFERROR(IF(VLOOKUP($B74,casostestes[#Data],4)=0,"-",VLOOKUP($B74,casostestes[#Data],4)),"-")</f>
        <v>-</v>
      </c>
      <c r="G74" s="35" t="str">
        <f>IFERROR(IF(VLOOKUP($B74,casostestes[#Data],5)=0,"-",VLOOKUP($B74,casostestes[#Data],5)),"-")</f>
        <v>-</v>
      </c>
      <c r="H74" s="35" t="str">
        <f>IFERROR(IF(VLOOKUP($B74,casostestes[#Data],6)=0,"-",VLOOKUP($B74,casostestes[#Data],6)),"-")</f>
        <v>-</v>
      </c>
      <c r="I74" s="35" t="str">
        <f>IFERROR(IF(VLOOKUP($B74,casostestes[#Data],8)=0,"-",VLOOKUP($B74,casostestes[#Data],8)),"-")</f>
        <v>-</v>
      </c>
      <c r="J74" s="35" t="str">
        <f>IFERROR(IF(VLOOKUP($B74,casostestes[#Data],9)=0,"-",VLOOKUP($B74,casostestes[#Data],9)),"-")</f>
        <v>-</v>
      </c>
      <c r="K74" s="36"/>
      <c r="L74" s="45"/>
      <c r="M74" s="37"/>
      <c r="N74" s="38"/>
      <c r="O74" s="38"/>
      <c r="P74" s="39"/>
    </row>
    <row r="75" spans="2:16">
      <c r="B75" s="40" t="str">
        <f>IF(ISERR(casostestes[[#This Row],[ID]]),"-",casostestes[[#This Row],[ID]])</f>
        <v>-</v>
      </c>
      <c r="C75" s="34" t="str">
        <f>IFERROR(IF(VLOOKUP($B75,casostestes[#Data],10)=0,"Não",VLOOKUP($B75,casostestes[#Data],10)), "-")</f>
        <v>-</v>
      </c>
      <c r="D75" s="35" t="str">
        <f>IFERROR(IF(VLOOKUP($B75,casostestes[#Data],2)=0,"-",VLOOKUP($B75,casostestes[#Data],2)), "-")</f>
        <v>-</v>
      </c>
      <c r="E75" s="35" t="str">
        <f>IFERROR(IF(VLOOKUP($B75,casostestes[#Data],3)=0,"-",VLOOKUP($B75,casostestes[#Data],3)), "-")</f>
        <v>-</v>
      </c>
      <c r="F75" s="35" t="str">
        <f>IFERROR(IF(VLOOKUP($B75,casostestes[#Data],4)=0,"-",VLOOKUP($B75,casostestes[#Data],4)),"-")</f>
        <v>-</v>
      </c>
      <c r="G75" s="35" t="str">
        <f>IFERROR(IF(VLOOKUP($B75,casostestes[#Data],5)=0,"-",VLOOKUP($B75,casostestes[#Data],5)),"-")</f>
        <v>-</v>
      </c>
      <c r="H75" s="35" t="str">
        <f>IFERROR(IF(VLOOKUP($B75,casostestes[#Data],6)=0,"-",VLOOKUP($B75,casostestes[#Data],6)),"-")</f>
        <v>-</v>
      </c>
      <c r="I75" s="35" t="str">
        <f>IFERROR(IF(VLOOKUP($B75,casostestes[#Data],8)=0,"-",VLOOKUP($B75,casostestes[#Data],8)),"-")</f>
        <v>-</v>
      </c>
      <c r="J75" s="35" t="str">
        <f>IFERROR(IF(VLOOKUP($B75,casostestes[#Data],9)=0,"-",VLOOKUP($B75,casostestes[#Data],9)),"-")</f>
        <v>-</v>
      </c>
      <c r="K75" s="36"/>
      <c r="L75" s="45"/>
      <c r="M75" s="37"/>
      <c r="N75" s="38"/>
      <c r="O75" s="38"/>
      <c r="P75" s="39"/>
    </row>
    <row r="76" spans="2:16">
      <c r="B76" s="40" t="str">
        <f>IF(ISERR(casostestes[[#This Row],[ID]]),"-",casostestes[[#This Row],[ID]])</f>
        <v>-</v>
      </c>
      <c r="C76" s="34" t="str">
        <f>IFERROR(IF(VLOOKUP($B76,casostestes[#Data],10)=0,"Não",VLOOKUP($B76,casostestes[#Data],10)), "-")</f>
        <v>-</v>
      </c>
      <c r="D76" s="35" t="str">
        <f>IFERROR(IF(VLOOKUP($B76,casostestes[#Data],2)=0,"-",VLOOKUP($B76,casostestes[#Data],2)), "-")</f>
        <v>-</v>
      </c>
      <c r="E76" s="35" t="str">
        <f>IFERROR(IF(VLOOKUP($B76,casostestes[#Data],3)=0,"-",VLOOKUP($B76,casostestes[#Data],3)), "-")</f>
        <v>-</v>
      </c>
      <c r="F76" s="35" t="str">
        <f>IFERROR(IF(VLOOKUP($B76,casostestes[#Data],4)=0,"-",VLOOKUP($B76,casostestes[#Data],4)),"-")</f>
        <v>-</v>
      </c>
      <c r="G76" s="35" t="str">
        <f>IFERROR(IF(VLOOKUP($B76,casostestes[#Data],5)=0,"-",VLOOKUP($B76,casostestes[#Data],5)),"-")</f>
        <v>-</v>
      </c>
      <c r="H76" s="35" t="str">
        <f>IFERROR(IF(VLOOKUP($B76,casostestes[#Data],6)=0,"-",VLOOKUP($B76,casostestes[#Data],6)),"-")</f>
        <v>-</v>
      </c>
      <c r="I76" s="35" t="str">
        <f>IFERROR(IF(VLOOKUP($B76,casostestes[#Data],8)=0,"-",VLOOKUP($B76,casostestes[#Data],8)),"-")</f>
        <v>-</v>
      </c>
      <c r="J76" s="35" t="str">
        <f>IFERROR(IF(VLOOKUP($B76,casostestes[#Data],9)=0,"-",VLOOKUP($B76,casostestes[#Data],9)),"-")</f>
        <v>-</v>
      </c>
      <c r="K76" s="36"/>
      <c r="L76" s="45"/>
      <c r="M76" s="37"/>
      <c r="N76" s="38"/>
      <c r="O76" s="38"/>
      <c r="P76" s="39"/>
    </row>
    <row r="77" spans="2:16">
      <c r="B77" s="40" t="str">
        <f>IF(ISERR(casostestes[[#This Row],[ID]]),"-",casostestes[[#This Row],[ID]])</f>
        <v>-</v>
      </c>
      <c r="C77" s="34" t="str">
        <f>IFERROR(IF(VLOOKUP($B77,casostestes[#Data],10)=0,"Não",VLOOKUP($B77,casostestes[#Data],10)), "-")</f>
        <v>-</v>
      </c>
      <c r="D77" s="35" t="str">
        <f>IFERROR(IF(VLOOKUP($B77,casostestes[#Data],2)=0,"-",VLOOKUP($B77,casostestes[#Data],2)), "-")</f>
        <v>-</v>
      </c>
      <c r="E77" s="35" t="str">
        <f>IFERROR(IF(VLOOKUP($B77,casostestes[#Data],3)=0,"-",VLOOKUP($B77,casostestes[#Data],3)), "-")</f>
        <v>-</v>
      </c>
      <c r="F77" s="35" t="str">
        <f>IFERROR(IF(VLOOKUP($B77,casostestes[#Data],4)=0,"-",VLOOKUP($B77,casostestes[#Data],4)),"-")</f>
        <v>-</v>
      </c>
      <c r="G77" s="35" t="str">
        <f>IFERROR(IF(VLOOKUP($B77,casostestes[#Data],5)=0,"-",VLOOKUP($B77,casostestes[#Data],5)),"-")</f>
        <v>-</v>
      </c>
      <c r="H77" s="35" t="str">
        <f>IFERROR(IF(VLOOKUP($B77,casostestes[#Data],6)=0,"-",VLOOKUP($B77,casostestes[#Data],6)),"-")</f>
        <v>-</v>
      </c>
      <c r="I77" s="35" t="str">
        <f>IFERROR(IF(VLOOKUP($B77,casostestes[#Data],8)=0,"-",VLOOKUP($B77,casostestes[#Data],8)),"-")</f>
        <v>-</v>
      </c>
      <c r="J77" s="35" t="str">
        <f>IFERROR(IF(VLOOKUP($B77,casostestes[#Data],9)=0,"-",VLOOKUP($B77,casostestes[#Data],9)),"-")</f>
        <v>-</v>
      </c>
      <c r="K77" s="36"/>
      <c r="L77" s="45"/>
      <c r="M77" s="37"/>
      <c r="N77" s="38"/>
      <c r="O77" s="38"/>
      <c r="P77" s="39"/>
    </row>
    <row r="78" spans="2:16">
      <c r="B78" s="40" t="str">
        <f>IF(ISERR(casostestes[[#This Row],[ID]]),"-",casostestes[[#This Row],[ID]])</f>
        <v>-</v>
      </c>
      <c r="C78" s="34" t="str">
        <f>IFERROR(IF(VLOOKUP($B78,casostestes[#Data],10)=0,"Não",VLOOKUP($B78,casostestes[#Data],10)), "-")</f>
        <v>-</v>
      </c>
      <c r="D78" s="35" t="str">
        <f>IFERROR(IF(VLOOKUP($B78,casostestes[#Data],2)=0,"-",VLOOKUP($B78,casostestes[#Data],2)), "-")</f>
        <v>-</v>
      </c>
      <c r="E78" s="35" t="str">
        <f>IFERROR(IF(VLOOKUP($B78,casostestes[#Data],3)=0,"-",VLOOKUP($B78,casostestes[#Data],3)), "-")</f>
        <v>-</v>
      </c>
      <c r="F78" s="35" t="str">
        <f>IFERROR(IF(VLOOKUP($B78,casostestes[#Data],4)=0,"-",VLOOKUP($B78,casostestes[#Data],4)),"-")</f>
        <v>-</v>
      </c>
      <c r="G78" s="35" t="str">
        <f>IFERROR(IF(VLOOKUP($B78,casostestes[#Data],5)=0,"-",VLOOKUP($B78,casostestes[#Data],5)),"-")</f>
        <v>-</v>
      </c>
      <c r="H78" s="35" t="str">
        <f>IFERROR(IF(VLOOKUP($B78,casostestes[#Data],6)=0,"-",VLOOKUP($B78,casostestes[#Data],6)),"-")</f>
        <v>-</v>
      </c>
      <c r="I78" s="35" t="str">
        <f>IFERROR(IF(VLOOKUP($B78,casostestes[#Data],8)=0,"-",VLOOKUP($B78,casostestes[#Data],8)),"-")</f>
        <v>-</v>
      </c>
      <c r="J78" s="35" t="str">
        <f>IFERROR(IF(VLOOKUP($B78,casostestes[#Data],9)=0,"-",VLOOKUP($B78,casostestes[#Data],9)),"-")</f>
        <v>-</v>
      </c>
      <c r="K78" s="36"/>
      <c r="L78" s="45"/>
      <c r="M78" s="37"/>
      <c r="N78" s="38"/>
      <c r="O78" s="38"/>
      <c r="P78" s="39"/>
    </row>
    <row r="79" spans="2:16">
      <c r="B79" s="40" t="str">
        <f>IF(ISERR(casostestes[[#This Row],[ID]]),"-",casostestes[[#This Row],[ID]])</f>
        <v>-</v>
      </c>
      <c r="C79" s="34" t="str">
        <f>IFERROR(IF(VLOOKUP($B79,casostestes[#Data],10)=0,"Não",VLOOKUP($B79,casostestes[#Data],10)), "-")</f>
        <v>-</v>
      </c>
      <c r="D79" s="35" t="str">
        <f>IFERROR(IF(VLOOKUP($B79,casostestes[#Data],2)=0,"-",VLOOKUP($B79,casostestes[#Data],2)), "-")</f>
        <v>-</v>
      </c>
      <c r="E79" s="35" t="str">
        <f>IFERROR(IF(VLOOKUP($B79,casostestes[#Data],3)=0,"-",VLOOKUP($B79,casostestes[#Data],3)), "-")</f>
        <v>-</v>
      </c>
      <c r="F79" s="35" t="str">
        <f>IFERROR(IF(VLOOKUP($B79,casostestes[#Data],4)=0,"-",VLOOKUP($B79,casostestes[#Data],4)),"-")</f>
        <v>-</v>
      </c>
      <c r="G79" s="35" t="str">
        <f>IFERROR(IF(VLOOKUP($B79,casostestes[#Data],5)=0,"-",VLOOKUP($B79,casostestes[#Data],5)),"-")</f>
        <v>-</v>
      </c>
      <c r="H79" s="35" t="str">
        <f>IFERROR(IF(VLOOKUP($B79,casostestes[#Data],6)=0,"-",VLOOKUP($B79,casostestes[#Data],6)),"-")</f>
        <v>-</v>
      </c>
      <c r="I79" s="35" t="str">
        <f>IFERROR(IF(VLOOKUP($B79,casostestes[#Data],8)=0,"-",VLOOKUP($B79,casostestes[#Data],8)),"-")</f>
        <v>-</v>
      </c>
      <c r="J79" s="35" t="str">
        <f>IFERROR(IF(VLOOKUP($B79,casostestes[#Data],9)=0,"-",VLOOKUP($B79,casostestes[#Data],9)),"-")</f>
        <v>-</v>
      </c>
      <c r="K79" s="36"/>
      <c r="L79" s="45"/>
      <c r="M79" s="37"/>
      <c r="N79" s="38"/>
      <c r="O79" s="38"/>
      <c r="P79" s="39"/>
    </row>
    <row r="80" spans="2:16">
      <c r="B80" s="40" t="str">
        <f>IF(ISERR(casostestes[[#This Row],[ID]]),"-",casostestes[[#This Row],[ID]])</f>
        <v>-</v>
      </c>
      <c r="C80" s="34" t="str">
        <f>IFERROR(IF(VLOOKUP($B80,casostestes[#Data],10)=0,"Não",VLOOKUP($B80,casostestes[#Data],10)), "-")</f>
        <v>-</v>
      </c>
      <c r="D80" s="35" t="str">
        <f>IFERROR(IF(VLOOKUP($B80,casostestes[#Data],2)=0,"-",VLOOKUP($B80,casostestes[#Data],2)), "-")</f>
        <v>-</v>
      </c>
      <c r="E80" s="35" t="str">
        <f>IFERROR(IF(VLOOKUP($B80,casostestes[#Data],3)=0,"-",VLOOKUP($B80,casostestes[#Data],3)), "-")</f>
        <v>-</v>
      </c>
      <c r="F80" s="35" t="str">
        <f>IFERROR(IF(VLOOKUP($B80,casostestes[#Data],4)=0,"-",VLOOKUP($B80,casostestes[#Data],4)),"-")</f>
        <v>-</v>
      </c>
      <c r="G80" s="35" t="str">
        <f>IFERROR(IF(VLOOKUP($B80,casostestes[#Data],5)=0,"-",VLOOKUP($B80,casostestes[#Data],5)),"-")</f>
        <v>-</v>
      </c>
      <c r="H80" s="35" t="str">
        <f>IFERROR(IF(VLOOKUP($B80,casostestes[#Data],6)=0,"-",VLOOKUP($B80,casostestes[#Data],6)),"-")</f>
        <v>-</v>
      </c>
      <c r="I80" s="35" t="str">
        <f>IFERROR(IF(VLOOKUP($B80,casostestes[#Data],8)=0,"-",VLOOKUP($B80,casostestes[#Data],8)),"-")</f>
        <v>-</v>
      </c>
      <c r="J80" s="35" t="str">
        <f>IFERROR(IF(VLOOKUP($B80,casostestes[#Data],9)=0,"-",VLOOKUP($B80,casostestes[#Data],9)),"-")</f>
        <v>-</v>
      </c>
      <c r="K80" s="36"/>
      <c r="L80" s="45"/>
      <c r="M80" s="37"/>
      <c r="N80" s="38"/>
      <c r="O80" s="38"/>
      <c r="P80" s="39"/>
    </row>
    <row r="81" spans="2:16">
      <c r="B81" s="40" t="str">
        <f>IF(ISERR(casostestes[[#This Row],[ID]]),"-",casostestes[[#This Row],[ID]])</f>
        <v>-</v>
      </c>
      <c r="C81" s="34" t="str">
        <f>IFERROR(IF(VLOOKUP($B81,casostestes[#Data],10)=0,"Não",VLOOKUP($B81,casostestes[#Data],10)), "-")</f>
        <v>-</v>
      </c>
      <c r="D81" s="35" t="str">
        <f>IFERROR(IF(VLOOKUP($B81,casostestes[#Data],2)=0,"-",VLOOKUP($B81,casostestes[#Data],2)), "-")</f>
        <v>-</v>
      </c>
      <c r="E81" s="35" t="str">
        <f>IFERROR(IF(VLOOKUP($B81,casostestes[#Data],3)=0,"-",VLOOKUP($B81,casostestes[#Data],3)), "-")</f>
        <v>-</v>
      </c>
      <c r="F81" s="35" t="str">
        <f>IFERROR(IF(VLOOKUP($B81,casostestes[#Data],4)=0,"-",VLOOKUP($B81,casostestes[#Data],4)),"-")</f>
        <v>-</v>
      </c>
      <c r="G81" s="35" t="str">
        <f>IFERROR(IF(VLOOKUP($B81,casostestes[#Data],5)=0,"-",VLOOKUP($B81,casostestes[#Data],5)),"-")</f>
        <v>-</v>
      </c>
      <c r="H81" s="35" t="str">
        <f>IFERROR(IF(VLOOKUP($B81,casostestes[#Data],6)=0,"-",VLOOKUP($B81,casostestes[#Data],6)),"-")</f>
        <v>-</v>
      </c>
      <c r="I81" s="35" t="str">
        <f>IFERROR(IF(VLOOKUP($B81,casostestes[#Data],8)=0,"-",VLOOKUP($B81,casostestes[#Data],8)),"-")</f>
        <v>-</v>
      </c>
      <c r="J81" s="35" t="str">
        <f>IFERROR(IF(VLOOKUP($B81,casostestes[#Data],9)=0,"-",VLOOKUP($B81,casostestes[#Data],9)),"-")</f>
        <v>-</v>
      </c>
      <c r="K81" s="36"/>
      <c r="L81" s="45"/>
      <c r="M81" s="37"/>
      <c r="N81" s="38"/>
      <c r="O81" s="38"/>
      <c r="P81" s="39"/>
    </row>
    <row r="82" spans="2:16">
      <c r="B82" s="40" t="str">
        <f>IF(ISERR(casostestes[[#This Row],[ID]]),"-",casostestes[[#This Row],[ID]])</f>
        <v>-</v>
      </c>
      <c r="C82" s="34" t="str">
        <f>IFERROR(IF(VLOOKUP($B82,casostestes[#Data],10)=0,"Não",VLOOKUP($B82,casostestes[#Data],10)), "-")</f>
        <v>-</v>
      </c>
      <c r="D82" s="35" t="str">
        <f>IFERROR(IF(VLOOKUP($B82,casostestes[#Data],2)=0,"-",VLOOKUP($B82,casostestes[#Data],2)), "-")</f>
        <v>-</v>
      </c>
      <c r="E82" s="35" t="str">
        <f>IFERROR(IF(VLOOKUP($B82,casostestes[#Data],3)=0,"-",VLOOKUP($B82,casostestes[#Data],3)), "-")</f>
        <v>-</v>
      </c>
      <c r="F82" s="35" t="str">
        <f>IFERROR(IF(VLOOKUP($B82,casostestes[#Data],4)=0,"-",VLOOKUP($B82,casostestes[#Data],4)),"-")</f>
        <v>-</v>
      </c>
      <c r="G82" s="35" t="str">
        <f>IFERROR(IF(VLOOKUP($B82,casostestes[#Data],5)=0,"-",VLOOKUP($B82,casostestes[#Data],5)),"-")</f>
        <v>-</v>
      </c>
      <c r="H82" s="35" t="str">
        <f>IFERROR(IF(VLOOKUP($B82,casostestes[#Data],6)=0,"-",VLOOKUP($B82,casostestes[#Data],6)),"-")</f>
        <v>-</v>
      </c>
      <c r="I82" s="35" t="str">
        <f>IFERROR(IF(VLOOKUP($B82,casostestes[#Data],8)=0,"-",VLOOKUP($B82,casostestes[#Data],8)),"-")</f>
        <v>-</v>
      </c>
      <c r="J82" s="35" t="str">
        <f>IFERROR(IF(VLOOKUP($B82,casostestes[#Data],9)=0,"-",VLOOKUP($B82,casostestes[#Data],9)),"-")</f>
        <v>-</v>
      </c>
      <c r="K82" s="36"/>
      <c r="L82" s="45"/>
      <c r="M82" s="37"/>
      <c r="N82" s="38"/>
      <c r="O82" s="38"/>
      <c r="P82" s="39"/>
    </row>
    <row r="83" spans="2:16">
      <c r="B83" s="40" t="str">
        <f>IF(ISERR(casostestes[[#This Row],[ID]]),"-",casostestes[[#This Row],[ID]])</f>
        <v>-</v>
      </c>
      <c r="C83" s="34" t="str">
        <f>IFERROR(IF(VLOOKUP($B83,casostestes[#Data],10)=0,"Não",VLOOKUP($B83,casostestes[#Data],10)), "-")</f>
        <v>-</v>
      </c>
      <c r="D83" s="35" t="str">
        <f>IFERROR(IF(VLOOKUP($B83,casostestes[#Data],2)=0,"-",VLOOKUP($B83,casostestes[#Data],2)), "-")</f>
        <v>-</v>
      </c>
      <c r="E83" s="35" t="str">
        <f>IFERROR(IF(VLOOKUP($B83,casostestes[#Data],3)=0,"-",VLOOKUP($B83,casostestes[#Data],3)), "-")</f>
        <v>-</v>
      </c>
      <c r="F83" s="35" t="str">
        <f>IFERROR(IF(VLOOKUP($B83,casostestes[#Data],4)=0,"-",VLOOKUP($B83,casostestes[#Data],4)),"-")</f>
        <v>-</v>
      </c>
      <c r="G83" s="35" t="str">
        <f>IFERROR(IF(VLOOKUP($B83,casostestes[#Data],5)=0,"-",VLOOKUP($B83,casostestes[#Data],5)),"-")</f>
        <v>-</v>
      </c>
      <c r="H83" s="35" t="str">
        <f>IFERROR(IF(VLOOKUP($B83,casostestes[#Data],6)=0,"-",VLOOKUP($B83,casostestes[#Data],6)),"-")</f>
        <v>-</v>
      </c>
      <c r="I83" s="35" t="str">
        <f>IFERROR(IF(VLOOKUP($B83,casostestes[#Data],8)=0,"-",VLOOKUP($B83,casostestes[#Data],8)),"-")</f>
        <v>-</v>
      </c>
      <c r="J83" s="35" t="str">
        <f>IFERROR(IF(VLOOKUP($B83,casostestes[#Data],9)=0,"-",VLOOKUP($B83,casostestes[#Data],9)),"-")</f>
        <v>-</v>
      </c>
      <c r="K83" s="36"/>
      <c r="L83" s="45"/>
      <c r="M83" s="37"/>
      <c r="N83" s="38"/>
      <c r="O83" s="38"/>
      <c r="P83" s="39"/>
    </row>
    <row r="84" spans="2:16">
      <c r="B84" s="40" t="str">
        <f>IF(ISERR(casostestes[[#This Row],[ID]]),"-",casostestes[[#This Row],[ID]])</f>
        <v>-</v>
      </c>
      <c r="C84" s="34" t="str">
        <f>IFERROR(IF(VLOOKUP($B84,casostestes[#Data],10)=0,"Não",VLOOKUP($B84,casostestes[#Data],10)), "-")</f>
        <v>-</v>
      </c>
      <c r="D84" s="35" t="str">
        <f>IFERROR(IF(VLOOKUP($B84,casostestes[#Data],2)=0,"-",VLOOKUP($B84,casostestes[#Data],2)), "-")</f>
        <v>-</v>
      </c>
      <c r="E84" s="35" t="str">
        <f>IFERROR(IF(VLOOKUP($B84,casostestes[#Data],3)=0,"-",VLOOKUP($B84,casostestes[#Data],3)), "-")</f>
        <v>-</v>
      </c>
      <c r="F84" s="35" t="str">
        <f>IFERROR(IF(VLOOKUP($B84,casostestes[#Data],4)=0,"-",VLOOKUP($B84,casostestes[#Data],4)),"-")</f>
        <v>-</v>
      </c>
      <c r="G84" s="35" t="str">
        <f>IFERROR(IF(VLOOKUP($B84,casostestes[#Data],5)=0,"-",VLOOKUP($B84,casostestes[#Data],5)),"-")</f>
        <v>-</v>
      </c>
      <c r="H84" s="35" t="str">
        <f>IFERROR(IF(VLOOKUP($B84,casostestes[#Data],6)=0,"-",VLOOKUP($B84,casostestes[#Data],6)),"-")</f>
        <v>-</v>
      </c>
      <c r="I84" s="35" t="str">
        <f>IFERROR(IF(VLOOKUP($B84,casostestes[#Data],8)=0,"-",VLOOKUP($B84,casostestes[#Data],8)),"-")</f>
        <v>-</v>
      </c>
      <c r="J84" s="35" t="str">
        <f>IFERROR(IF(VLOOKUP($B84,casostestes[#Data],9)=0,"-",VLOOKUP($B84,casostestes[#Data],9)),"-")</f>
        <v>-</v>
      </c>
      <c r="K84" s="36"/>
      <c r="L84" s="45"/>
      <c r="M84" s="37"/>
      <c r="N84" s="38"/>
      <c r="O84" s="38"/>
      <c r="P84" s="39"/>
    </row>
    <row r="85" spans="2:16">
      <c r="B85" s="40" t="str">
        <f>IF(ISERR(casostestes[[#This Row],[ID]]),"-",casostestes[[#This Row],[ID]])</f>
        <v>-</v>
      </c>
      <c r="C85" s="34" t="str">
        <f>IFERROR(IF(VLOOKUP($B85,casostestes[#Data],10)=0,"Não",VLOOKUP($B85,casostestes[#Data],10)), "-")</f>
        <v>-</v>
      </c>
      <c r="D85" s="35" t="str">
        <f>IFERROR(IF(VLOOKUP($B85,casostestes[#Data],2)=0,"-",VLOOKUP($B85,casostestes[#Data],2)), "-")</f>
        <v>-</v>
      </c>
      <c r="E85" s="35" t="str">
        <f>IFERROR(IF(VLOOKUP($B85,casostestes[#Data],3)=0,"-",VLOOKUP($B85,casostestes[#Data],3)), "-")</f>
        <v>-</v>
      </c>
      <c r="F85" s="35" t="str">
        <f>IFERROR(IF(VLOOKUP($B85,casostestes[#Data],4)=0,"-",VLOOKUP($B85,casostestes[#Data],4)),"-")</f>
        <v>-</v>
      </c>
      <c r="G85" s="35" t="str">
        <f>IFERROR(IF(VLOOKUP($B85,casostestes[#Data],5)=0,"-",VLOOKUP($B85,casostestes[#Data],5)),"-")</f>
        <v>-</v>
      </c>
      <c r="H85" s="35" t="str">
        <f>IFERROR(IF(VLOOKUP($B85,casostestes[#Data],6)=0,"-",VLOOKUP($B85,casostestes[#Data],6)),"-")</f>
        <v>-</v>
      </c>
      <c r="I85" s="35" t="str">
        <f>IFERROR(IF(VLOOKUP($B85,casostestes[#Data],8)=0,"-",VLOOKUP($B85,casostestes[#Data],8)),"-")</f>
        <v>-</v>
      </c>
      <c r="J85" s="35" t="str">
        <f>IFERROR(IF(VLOOKUP($B85,casostestes[#Data],9)=0,"-",VLOOKUP($B85,casostestes[#Data],9)),"-")</f>
        <v>-</v>
      </c>
      <c r="K85" s="36"/>
      <c r="L85" s="45"/>
      <c r="M85" s="37"/>
      <c r="N85" s="38"/>
      <c r="O85" s="38"/>
      <c r="P85" s="39"/>
    </row>
    <row r="86" spans="2:16">
      <c r="B86" s="40" t="str">
        <f>IF(ISERR(casostestes[[#This Row],[ID]]),"-",casostestes[[#This Row],[ID]])</f>
        <v>-</v>
      </c>
      <c r="C86" s="34" t="str">
        <f>IFERROR(IF(VLOOKUP($B86,casostestes[#Data],10)=0,"Não",VLOOKUP($B86,casostestes[#Data],10)), "-")</f>
        <v>-</v>
      </c>
      <c r="D86" s="35" t="str">
        <f>IFERROR(IF(VLOOKUP($B86,casostestes[#Data],2)=0,"-",VLOOKUP($B86,casostestes[#Data],2)), "-")</f>
        <v>-</v>
      </c>
      <c r="E86" s="35" t="str">
        <f>IFERROR(IF(VLOOKUP($B86,casostestes[#Data],3)=0,"-",VLOOKUP($B86,casostestes[#Data],3)), "-")</f>
        <v>-</v>
      </c>
      <c r="F86" s="35" t="str">
        <f>IFERROR(IF(VLOOKUP($B86,casostestes[#Data],4)=0,"-",VLOOKUP($B86,casostestes[#Data],4)),"-")</f>
        <v>-</v>
      </c>
      <c r="G86" s="35" t="str">
        <f>IFERROR(IF(VLOOKUP($B86,casostestes[#Data],5)=0,"-",VLOOKUP($B86,casostestes[#Data],5)),"-")</f>
        <v>-</v>
      </c>
      <c r="H86" s="35" t="str">
        <f>IFERROR(IF(VLOOKUP($B86,casostestes[#Data],6)=0,"-",VLOOKUP($B86,casostestes[#Data],6)),"-")</f>
        <v>-</v>
      </c>
      <c r="I86" s="35" t="str">
        <f>IFERROR(IF(VLOOKUP($B86,casostestes[#Data],8)=0,"-",VLOOKUP($B86,casostestes[#Data],8)),"-")</f>
        <v>-</v>
      </c>
      <c r="J86" s="35" t="str">
        <f>IFERROR(IF(VLOOKUP($B86,casostestes[#Data],9)=0,"-",VLOOKUP($B86,casostestes[#Data],9)),"-")</f>
        <v>-</v>
      </c>
      <c r="K86" s="36"/>
      <c r="L86" s="45"/>
      <c r="M86" s="37"/>
      <c r="N86" s="38"/>
      <c r="O86" s="38"/>
      <c r="P86" s="39"/>
    </row>
    <row r="87" spans="2:16">
      <c r="B87" s="40" t="str">
        <f>IF(ISERR(casostestes[[#This Row],[ID]]),"-",casostestes[[#This Row],[ID]])</f>
        <v>-</v>
      </c>
      <c r="C87" s="34" t="str">
        <f>IFERROR(IF(VLOOKUP($B87,casostestes[#Data],10)=0,"Não",VLOOKUP($B87,casostestes[#Data],10)), "-")</f>
        <v>-</v>
      </c>
      <c r="D87" s="35" t="str">
        <f>IFERROR(IF(VLOOKUP($B87,casostestes[#Data],2)=0,"-",VLOOKUP($B87,casostestes[#Data],2)), "-")</f>
        <v>-</v>
      </c>
      <c r="E87" s="35" t="str">
        <f>IFERROR(IF(VLOOKUP($B87,casostestes[#Data],3)=0,"-",VLOOKUP($B87,casostestes[#Data],3)), "-")</f>
        <v>-</v>
      </c>
      <c r="F87" s="35" t="str">
        <f>IFERROR(IF(VLOOKUP($B87,casostestes[#Data],4)=0,"-",VLOOKUP($B87,casostestes[#Data],4)),"-")</f>
        <v>-</v>
      </c>
      <c r="G87" s="35" t="str">
        <f>IFERROR(IF(VLOOKUP($B87,casostestes[#Data],5)=0,"-",VLOOKUP($B87,casostestes[#Data],5)),"-")</f>
        <v>-</v>
      </c>
      <c r="H87" s="35" t="str">
        <f>IFERROR(IF(VLOOKUP($B87,casostestes[#Data],6)=0,"-",VLOOKUP($B87,casostestes[#Data],6)),"-")</f>
        <v>-</v>
      </c>
      <c r="I87" s="35" t="str">
        <f>IFERROR(IF(VLOOKUP($B87,casostestes[#Data],8)=0,"-",VLOOKUP($B87,casostestes[#Data],8)),"-")</f>
        <v>-</v>
      </c>
      <c r="J87" s="35" t="str">
        <f>IFERROR(IF(VLOOKUP($B87,casostestes[#Data],9)=0,"-",VLOOKUP($B87,casostestes[#Data],9)),"-")</f>
        <v>-</v>
      </c>
      <c r="K87" s="36"/>
      <c r="L87" s="45"/>
      <c r="M87" s="37"/>
      <c r="N87" s="38"/>
      <c r="O87" s="38"/>
      <c r="P87" s="39"/>
    </row>
    <row r="88" spans="2:16">
      <c r="B88" s="40" t="str">
        <f>IF(ISERR(casostestes[[#This Row],[ID]]),"-",casostestes[[#This Row],[ID]])</f>
        <v>-</v>
      </c>
      <c r="C88" s="34" t="str">
        <f>IFERROR(IF(VLOOKUP($B88,casostestes[#Data],10)=0,"Não",VLOOKUP($B88,casostestes[#Data],10)), "-")</f>
        <v>-</v>
      </c>
      <c r="D88" s="35" t="str">
        <f>IFERROR(IF(VLOOKUP($B88,casostestes[#Data],2)=0,"-",VLOOKUP($B88,casostestes[#Data],2)), "-")</f>
        <v>-</v>
      </c>
      <c r="E88" s="35" t="str">
        <f>IFERROR(IF(VLOOKUP($B88,casostestes[#Data],3)=0,"-",VLOOKUP($B88,casostestes[#Data],3)), "-")</f>
        <v>-</v>
      </c>
      <c r="F88" s="35" t="str">
        <f>IFERROR(IF(VLOOKUP($B88,casostestes[#Data],4)=0,"-",VLOOKUP($B88,casostestes[#Data],4)),"-")</f>
        <v>-</v>
      </c>
      <c r="G88" s="35" t="str">
        <f>IFERROR(IF(VLOOKUP($B88,casostestes[#Data],5)=0,"-",VLOOKUP($B88,casostestes[#Data],5)),"-")</f>
        <v>-</v>
      </c>
      <c r="H88" s="35" t="str">
        <f>IFERROR(IF(VLOOKUP($B88,casostestes[#Data],6)=0,"-",VLOOKUP($B88,casostestes[#Data],6)),"-")</f>
        <v>-</v>
      </c>
      <c r="I88" s="35" t="str">
        <f>IFERROR(IF(VLOOKUP($B88,casostestes[#Data],8)=0,"-",VLOOKUP($B88,casostestes[#Data],8)),"-")</f>
        <v>-</v>
      </c>
      <c r="J88" s="35" t="str">
        <f>IFERROR(IF(VLOOKUP($B88,casostestes[#Data],9)=0,"-",VLOOKUP($B88,casostestes[#Data],9)),"-")</f>
        <v>-</v>
      </c>
      <c r="K88" s="36"/>
      <c r="L88" s="45"/>
      <c r="M88" s="37"/>
      <c r="N88" s="38"/>
      <c r="O88" s="38"/>
      <c r="P88" s="39"/>
    </row>
    <row r="89" spans="2:16">
      <c r="B89" s="40" t="str">
        <f>IF(ISERR(casostestes[[#This Row],[ID]]),"-",casostestes[[#This Row],[ID]])</f>
        <v>-</v>
      </c>
      <c r="C89" s="34" t="str">
        <f>IFERROR(IF(VLOOKUP($B89,casostestes[#Data],10)=0,"Não",VLOOKUP($B89,casostestes[#Data],10)), "-")</f>
        <v>-</v>
      </c>
      <c r="D89" s="35" t="str">
        <f>IFERROR(IF(VLOOKUP($B89,casostestes[#Data],2)=0,"-",VLOOKUP($B89,casostestes[#Data],2)), "-")</f>
        <v>-</v>
      </c>
      <c r="E89" s="35" t="str">
        <f>IFERROR(IF(VLOOKUP($B89,casostestes[#Data],3)=0,"-",VLOOKUP($B89,casostestes[#Data],3)), "-")</f>
        <v>-</v>
      </c>
      <c r="F89" s="35" t="str">
        <f>IFERROR(IF(VLOOKUP($B89,casostestes[#Data],4)=0,"-",VLOOKUP($B89,casostestes[#Data],4)),"-")</f>
        <v>-</v>
      </c>
      <c r="G89" s="35" t="str">
        <f>IFERROR(IF(VLOOKUP($B89,casostestes[#Data],5)=0,"-",VLOOKUP($B89,casostestes[#Data],5)),"-")</f>
        <v>-</v>
      </c>
      <c r="H89" s="35" t="str">
        <f>IFERROR(IF(VLOOKUP($B89,casostestes[#Data],6)=0,"-",VLOOKUP($B89,casostestes[#Data],6)),"-")</f>
        <v>-</v>
      </c>
      <c r="I89" s="35" t="str">
        <f>IFERROR(IF(VLOOKUP($B89,casostestes[#Data],8)=0,"-",VLOOKUP($B89,casostestes[#Data],8)),"-")</f>
        <v>-</v>
      </c>
      <c r="J89" s="35" t="str">
        <f>IFERROR(IF(VLOOKUP($B89,casostestes[#Data],9)=0,"-",VLOOKUP($B89,casostestes[#Data],9)),"-")</f>
        <v>-</v>
      </c>
      <c r="K89" s="36"/>
      <c r="L89" s="45"/>
      <c r="M89" s="37"/>
      <c r="N89" s="38"/>
      <c r="O89" s="38"/>
      <c r="P89" s="39"/>
    </row>
    <row r="90" spans="2:16">
      <c r="B90" s="40" t="str">
        <f>IF(ISERR(casostestes[[#This Row],[ID]]),"-",casostestes[[#This Row],[ID]])</f>
        <v>-</v>
      </c>
      <c r="C90" s="34" t="str">
        <f>IFERROR(IF(VLOOKUP($B90,casostestes[#Data],10)=0,"Não",VLOOKUP($B90,casostestes[#Data],10)), "-")</f>
        <v>-</v>
      </c>
      <c r="D90" s="35" t="str">
        <f>IFERROR(IF(VLOOKUP($B90,casostestes[#Data],2)=0,"-",VLOOKUP($B90,casostestes[#Data],2)), "-")</f>
        <v>-</v>
      </c>
      <c r="E90" s="35" t="str">
        <f>IFERROR(IF(VLOOKUP($B90,casostestes[#Data],3)=0,"-",VLOOKUP($B90,casostestes[#Data],3)), "-")</f>
        <v>-</v>
      </c>
      <c r="F90" s="35" t="str">
        <f>IFERROR(IF(VLOOKUP($B90,casostestes[#Data],4)=0,"-",VLOOKUP($B90,casostestes[#Data],4)),"-")</f>
        <v>-</v>
      </c>
      <c r="G90" s="35" t="str">
        <f>IFERROR(IF(VLOOKUP($B90,casostestes[#Data],5)=0,"-",VLOOKUP($B90,casostestes[#Data],5)),"-")</f>
        <v>-</v>
      </c>
      <c r="H90" s="35" t="str">
        <f>IFERROR(IF(VLOOKUP($B90,casostestes[#Data],6)=0,"-",VLOOKUP($B90,casostestes[#Data],6)),"-")</f>
        <v>-</v>
      </c>
      <c r="I90" s="35" t="str">
        <f>IFERROR(IF(VLOOKUP($B90,casostestes[#Data],8)=0,"-",VLOOKUP($B90,casostestes[#Data],8)),"-")</f>
        <v>-</v>
      </c>
      <c r="J90" s="35" t="str">
        <f>IFERROR(IF(VLOOKUP($B90,casostestes[#Data],9)=0,"-",VLOOKUP($B90,casostestes[#Data],9)),"-")</f>
        <v>-</v>
      </c>
      <c r="K90" s="36"/>
      <c r="L90" s="45"/>
      <c r="M90" s="37"/>
      <c r="N90" s="38"/>
      <c r="O90" s="38"/>
      <c r="P90" s="39"/>
    </row>
    <row r="91" spans="2:16">
      <c r="B91" s="40" t="str">
        <f>IF(ISERR(casostestes[[#This Row],[ID]]),"-",casostestes[[#This Row],[ID]])</f>
        <v>-</v>
      </c>
      <c r="C91" s="34" t="str">
        <f>IFERROR(IF(VLOOKUP($B91,casostestes[#Data],10)=0,"Não",VLOOKUP($B91,casostestes[#Data],10)), "-")</f>
        <v>-</v>
      </c>
      <c r="D91" s="35" t="str">
        <f>IFERROR(IF(VLOOKUP($B91,casostestes[#Data],2)=0,"-",VLOOKUP($B91,casostestes[#Data],2)), "-")</f>
        <v>-</v>
      </c>
      <c r="E91" s="35" t="str">
        <f>IFERROR(IF(VLOOKUP($B91,casostestes[#Data],3)=0,"-",VLOOKUP($B91,casostestes[#Data],3)), "-")</f>
        <v>-</v>
      </c>
      <c r="F91" s="35" t="str">
        <f>IFERROR(IF(VLOOKUP($B91,casostestes[#Data],4)=0,"-",VLOOKUP($B91,casostestes[#Data],4)),"-")</f>
        <v>-</v>
      </c>
      <c r="G91" s="35" t="str">
        <f>IFERROR(IF(VLOOKUP($B91,casostestes[#Data],5)=0,"-",VLOOKUP($B91,casostestes[#Data],5)),"-")</f>
        <v>-</v>
      </c>
      <c r="H91" s="35" t="str">
        <f>IFERROR(IF(VLOOKUP($B91,casostestes[#Data],6)=0,"-",VLOOKUP($B91,casostestes[#Data],6)),"-")</f>
        <v>-</v>
      </c>
      <c r="I91" s="35" t="str">
        <f>IFERROR(IF(VLOOKUP($B91,casostestes[#Data],8)=0,"-",VLOOKUP($B91,casostestes[#Data],8)),"-")</f>
        <v>-</v>
      </c>
      <c r="J91" s="35" t="str">
        <f>IFERROR(IF(VLOOKUP($B91,casostestes[#Data],9)=0,"-",VLOOKUP($B91,casostestes[#Data],9)),"-")</f>
        <v>-</v>
      </c>
      <c r="K91" s="36"/>
      <c r="L91" s="45"/>
      <c r="M91" s="37"/>
      <c r="N91" s="38"/>
      <c r="O91" s="38"/>
      <c r="P91" s="39"/>
    </row>
    <row r="92" spans="2:16">
      <c r="B92" s="40" t="str">
        <f>IF(ISERR(casostestes[[#This Row],[ID]]),"-",casostestes[[#This Row],[ID]])</f>
        <v>-</v>
      </c>
      <c r="C92" s="34" t="str">
        <f>IFERROR(IF(VLOOKUP($B92,casostestes[#Data],10)=0,"Não",VLOOKUP($B92,casostestes[#Data],10)), "-")</f>
        <v>-</v>
      </c>
      <c r="D92" s="35" t="str">
        <f>IFERROR(IF(VLOOKUP($B92,casostestes[#Data],2)=0,"-",VLOOKUP($B92,casostestes[#Data],2)), "-")</f>
        <v>-</v>
      </c>
      <c r="E92" s="35" t="str">
        <f>IFERROR(IF(VLOOKUP($B92,casostestes[#Data],3)=0,"-",VLOOKUP($B92,casostestes[#Data],3)), "-")</f>
        <v>-</v>
      </c>
      <c r="F92" s="35" t="str">
        <f>IFERROR(IF(VLOOKUP($B92,casostestes[#Data],4)=0,"-",VLOOKUP($B92,casostestes[#Data],4)),"-")</f>
        <v>-</v>
      </c>
      <c r="G92" s="35" t="str">
        <f>IFERROR(IF(VLOOKUP($B92,casostestes[#Data],5)=0,"-",VLOOKUP($B92,casostestes[#Data],5)),"-")</f>
        <v>-</v>
      </c>
      <c r="H92" s="35" t="str">
        <f>IFERROR(IF(VLOOKUP($B92,casostestes[#Data],6)=0,"-",VLOOKUP($B92,casostestes[#Data],6)),"-")</f>
        <v>-</v>
      </c>
      <c r="I92" s="35" t="str">
        <f>IFERROR(IF(VLOOKUP($B92,casostestes[#Data],8)=0,"-",VLOOKUP($B92,casostestes[#Data],8)),"-")</f>
        <v>-</v>
      </c>
      <c r="J92" s="35" t="str">
        <f>IFERROR(IF(VLOOKUP($B92,casostestes[#Data],9)=0,"-",VLOOKUP($B92,casostestes[#Data],9)),"-")</f>
        <v>-</v>
      </c>
      <c r="K92" s="36"/>
      <c r="L92" s="45"/>
      <c r="M92" s="37"/>
      <c r="N92" s="38"/>
      <c r="O92" s="38"/>
      <c r="P92" s="39"/>
    </row>
    <row r="93" spans="2:16">
      <c r="B93" s="40" t="str">
        <f>IF(ISERR(casostestes[[#This Row],[ID]]),"-",casostestes[[#This Row],[ID]])</f>
        <v>-</v>
      </c>
      <c r="C93" s="34" t="str">
        <f>IFERROR(IF(VLOOKUP($B93,casostestes[#Data],10)=0,"Não",VLOOKUP($B93,casostestes[#Data],10)), "-")</f>
        <v>-</v>
      </c>
      <c r="D93" s="35" t="str">
        <f>IFERROR(IF(VLOOKUP($B93,casostestes[#Data],2)=0,"-",VLOOKUP($B93,casostestes[#Data],2)), "-")</f>
        <v>-</v>
      </c>
      <c r="E93" s="35" t="str">
        <f>IFERROR(IF(VLOOKUP($B93,casostestes[#Data],3)=0,"-",VLOOKUP($B93,casostestes[#Data],3)), "-")</f>
        <v>-</v>
      </c>
      <c r="F93" s="35" t="str">
        <f>IFERROR(IF(VLOOKUP($B93,casostestes[#Data],4)=0,"-",VLOOKUP($B93,casostestes[#Data],4)),"-")</f>
        <v>-</v>
      </c>
      <c r="G93" s="35" t="str">
        <f>IFERROR(IF(VLOOKUP($B93,casostestes[#Data],5)=0,"-",VLOOKUP($B93,casostestes[#Data],5)),"-")</f>
        <v>-</v>
      </c>
      <c r="H93" s="35" t="str">
        <f>IFERROR(IF(VLOOKUP($B93,casostestes[#Data],6)=0,"-",VLOOKUP($B93,casostestes[#Data],6)),"-")</f>
        <v>-</v>
      </c>
      <c r="I93" s="35" t="str">
        <f>IFERROR(IF(VLOOKUP($B93,casostestes[#Data],8)=0,"-",VLOOKUP($B93,casostestes[#Data],8)),"-")</f>
        <v>-</v>
      </c>
      <c r="J93" s="35" t="str">
        <f>IFERROR(IF(VLOOKUP($B93,casostestes[#Data],9)=0,"-",VLOOKUP($B93,casostestes[#Data],9)),"-")</f>
        <v>-</v>
      </c>
      <c r="K93" s="36"/>
      <c r="L93" s="45"/>
      <c r="M93" s="37"/>
      <c r="N93" s="38"/>
      <c r="O93" s="38"/>
      <c r="P93" s="39"/>
    </row>
    <row r="94" spans="2:16">
      <c r="B94" s="40" t="str">
        <f>IF(ISERR(casostestes[[#This Row],[ID]]),"-",casostestes[[#This Row],[ID]])</f>
        <v>-</v>
      </c>
      <c r="C94" s="34" t="str">
        <f>IFERROR(IF(VLOOKUP($B94,casostestes[#Data],10)=0,"Não",VLOOKUP($B94,casostestes[#Data],10)), "-")</f>
        <v>-</v>
      </c>
      <c r="D94" s="35" t="str">
        <f>IFERROR(IF(VLOOKUP($B94,casostestes[#Data],2)=0,"-",VLOOKUP($B94,casostestes[#Data],2)), "-")</f>
        <v>-</v>
      </c>
      <c r="E94" s="35" t="str">
        <f>IFERROR(IF(VLOOKUP($B94,casostestes[#Data],3)=0,"-",VLOOKUP($B94,casostestes[#Data],3)), "-")</f>
        <v>-</v>
      </c>
      <c r="F94" s="35" t="str">
        <f>IFERROR(IF(VLOOKUP($B94,casostestes[#Data],4)=0,"-",VLOOKUP($B94,casostestes[#Data],4)),"-")</f>
        <v>-</v>
      </c>
      <c r="G94" s="35" t="str">
        <f>IFERROR(IF(VLOOKUP($B94,casostestes[#Data],5)=0,"-",VLOOKUP($B94,casostestes[#Data],5)),"-")</f>
        <v>-</v>
      </c>
      <c r="H94" s="35" t="str">
        <f>IFERROR(IF(VLOOKUP($B94,casostestes[#Data],6)=0,"-",VLOOKUP($B94,casostestes[#Data],6)),"-")</f>
        <v>-</v>
      </c>
      <c r="I94" s="35" t="str">
        <f>IFERROR(IF(VLOOKUP($B94,casostestes[#Data],8)=0,"-",VLOOKUP($B94,casostestes[#Data],8)),"-")</f>
        <v>-</v>
      </c>
      <c r="J94" s="35" t="str">
        <f>IFERROR(IF(VLOOKUP($B94,casostestes[#Data],9)=0,"-",VLOOKUP($B94,casostestes[#Data],9)),"-")</f>
        <v>-</v>
      </c>
      <c r="K94" s="36"/>
      <c r="L94" s="45"/>
      <c r="M94" s="37"/>
      <c r="N94" s="38"/>
      <c r="O94" s="38"/>
      <c r="P94" s="39"/>
    </row>
    <row r="95" spans="2:16">
      <c r="B95" s="40" t="str">
        <f>IF(ISERR(casostestes[[#This Row],[ID]]),"-",casostestes[[#This Row],[ID]])</f>
        <v>-</v>
      </c>
      <c r="C95" s="34" t="str">
        <f>IFERROR(IF(VLOOKUP($B95,casostestes[#Data],10)=0,"Não",VLOOKUP($B95,casostestes[#Data],10)), "-")</f>
        <v>-</v>
      </c>
      <c r="D95" s="35" t="str">
        <f>IFERROR(IF(VLOOKUP($B95,casostestes[#Data],2)=0,"-",VLOOKUP($B95,casostestes[#Data],2)), "-")</f>
        <v>-</v>
      </c>
      <c r="E95" s="35" t="str">
        <f>IFERROR(IF(VLOOKUP($B95,casostestes[#Data],3)=0,"-",VLOOKUP($B95,casostestes[#Data],3)), "-")</f>
        <v>-</v>
      </c>
      <c r="F95" s="35" t="str">
        <f>IFERROR(IF(VLOOKUP($B95,casostestes[#Data],4)=0,"-",VLOOKUP($B95,casostestes[#Data],4)),"-")</f>
        <v>-</v>
      </c>
      <c r="G95" s="35" t="str">
        <f>IFERROR(IF(VLOOKUP($B95,casostestes[#Data],5)=0,"-",VLOOKUP($B95,casostestes[#Data],5)),"-")</f>
        <v>-</v>
      </c>
      <c r="H95" s="35" t="str">
        <f>IFERROR(IF(VLOOKUP($B95,casostestes[#Data],6)=0,"-",VLOOKUP($B95,casostestes[#Data],6)),"-")</f>
        <v>-</v>
      </c>
      <c r="I95" s="35" t="str">
        <f>IFERROR(IF(VLOOKUP($B95,casostestes[#Data],8)=0,"-",VLOOKUP($B95,casostestes[#Data],8)),"-")</f>
        <v>-</v>
      </c>
      <c r="J95" s="35" t="str">
        <f>IFERROR(IF(VLOOKUP($B95,casostestes[#Data],9)=0,"-",VLOOKUP($B95,casostestes[#Data],9)),"-")</f>
        <v>-</v>
      </c>
      <c r="K95" s="36"/>
      <c r="L95" s="45"/>
      <c r="M95" s="37"/>
      <c r="N95" s="38"/>
      <c r="O95" s="38"/>
      <c r="P95" s="39"/>
    </row>
    <row r="96" spans="2:16">
      <c r="B96" s="40" t="str">
        <f>IF(ISERR(casostestes[[#This Row],[ID]]),"-",casostestes[[#This Row],[ID]])</f>
        <v>-</v>
      </c>
      <c r="C96" s="34" t="str">
        <f>IFERROR(IF(VLOOKUP($B96,casostestes[#Data],10)=0,"Não",VLOOKUP($B96,casostestes[#Data],10)), "-")</f>
        <v>-</v>
      </c>
      <c r="D96" s="35" t="str">
        <f>IFERROR(IF(VLOOKUP($B96,casostestes[#Data],2)=0,"-",VLOOKUP($B96,casostestes[#Data],2)), "-")</f>
        <v>-</v>
      </c>
      <c r="E96" s="35" t="str">
        <f>IFERROR(IF(VLOOKUP($B96,casostestes[#Data],3)=0,"-",VLOOKUP($B96,casostestes[#Data],3)), "-")</f>
        <v>-</v>
      </c>
      <c r="F96" s="35" t="str">
        <f>IFERROR(IF(VLOOKUP($B96,casostestes[#Data],4)=0,"-",VLOOKUP($B96,casostestes[#Data],4)),"-")</f>
        <v>-</v>
      </c>
      <c r="G96" s="35" t="str">
        <f>IFERROR(IF(VLOOKUP($B96,casostestes[#Data],5)=0,"-",VLOOKUP($B96,casostestes[#Data],5)),"-")</f>
        <v>-</v>
      </c>
      <c r="H96" s="35" t="str">
        <f>IFERROR(IF(VLOOKUP($B96,casostestes[#Data],6)=0,"-",VLOOKUP($B96,casostestes[#Data],6)),"-")</f>
        <v>-</v>
      </c>
      <c r="I96" s="35" t="str">
        <f>IFERROR(IF(VLOOKUP($B96,casostestes[#Data],8)=0,"-",VLOOKUP($B96,casostestes[#Data],8)),"-")</f>
        <v>-</v>
      </c>
      <c r="J96" s="35" t="str">
        <f>IFERROR(IF(VLOOKUP($B96,casostestes[#Data],9)=0,"-",VLOOKUP($B96,casostestes[#Data],9)),"-")</f>
        <v>-</v>
      </c>
      <c r="K96" s="36"/>
      <c r="L96" s="45"/>
      <c r="M96" s="37"/>
      <c r="N96" s="38"/>
      <c r="O96" s="38"/>
      <c r="P96" s="39"/>
    </row>
    <row r="97" spans="2:16">
      <c r="B97" s="40" t="str">
        <f>IF(ISERR(casostestes[[#This Row],[ID]]),"-",casostestes[[#This Row],[ID]])</f>
        <v>-</v>
      </c>
      <c r="C97" s="34" t="str">
        <f>IFERROR(IF(VLOOKUP($B97,casostestes[#Data],10)=0,"Não",VLOOKUP($B97,casostestes[#Data],10)), "-")</f>
        <v>-</v>
      </c>
      <c r="D97" s="35" t="str">
        <f>IFERROR(IF(VLOOKUP($B97,casostestes[#Data],2)=0,"-",VLOOKUP($B97,casostestes[#Data],2)), "-")</f>
        <v>-</v>
      </c>
      <c r="E97" s="35" t="str">
        <f>IFERROR(IF(VLOOKUP($B97,casostestes[#Data],3)=0,"-",VLOOKUP($B97,casostestes[#Data],3)), "-")</f>
        <v>-</v>
      </c>
      <c r="F97" s="35" t="str">
        <f>IFERROR(IF(VLOOKUP($B97,casostestes[#Data],4)=0,"-",VLOOKUP($B97,casostestes[#Data],4)),"-")</f>
        <v>-</v>
      </c>
      <c r="G97" s="35" t="str">
        <f>IFERROR(IF(VLOOKUP($B97,casostestes[#Data],5)=0,"-",VLOOKUP($B97,casostestes[#Data],5)),"-")</f>
        <v>-</v>
      </c>
      <c r="H97" s="35" t="str">
        <f>IFERROR(IF(VLOOKUP($B97,casostestes[#Data],6)=0,"-",VLOOKUP($B97,casostestes[#Data],6)),"-")</f>
        <v>-</v>
      </c>
      <c r="I97" s="35" t="str">
        <f>IFERROR(IF(VLOOKUP($B97,casostestes[#Data],8)=0,"-",VLOOKUP($B97,casostestes[#Data],8)),"-")</f>
        <v>-</v>
      </c>
      <c r="J97" s="35" t="str">
        <f>IFERROR(IF(VLOOKUP($B97,casostestes[#Data],9)=0,"-",VLOOKUP($B97,casostestes[#Data],9)),"-")</f>
        <v>-</v>
      </c>
      <c r="K97" s="36"/>
      <c r="L97" s="45"/>
      <c r="M97" s="37"/>
      <c r="N97" s="38"/>
      <c r="O97" s="38"/>
      <c r="P97" s="39"/>
    </row>
    <row r="98" spans="2:16">
      <c r="B98" s="40" t="str">
        <f>IF(ISERR(casostestes[[#This Row],[ID]]),"-",casostestes[[#This Row],[ID]])</f>
        <v>-</v>
      </c>
      <c r="C98" s="34" t="str">
        <f>IFERROR(IF(VLOOKUP($B98,casostestes[#Data],10)=0,"Não",VLOOKUP($B98,casostestes[#Data],10)), "-")</f>
        <v>-</v>
      </c>
      <c r="D98" s="35" t="str">
        <f>IFERROR(IF(VLOOKUP($B98,casostestes[#Data],2)=0,"-",VLOOKUP($B98,casostestes[#Data],2)), "-")</f>
        <v>-</v>
      </c>
      <c r="E98" s="35" t="str">
        <f>IFERROR(IF(VLOOKUP($B98,casostestes[#Data],3)=0,"-",VLOOKUP($B98,casostestes[#Data],3)), "-")</f>
        <v>-</v>
      </c>
      <c r="F98" s="35" t="str">
        <f>IFERROR(IF(VLOOKUP($B98,casostestes[#Data],4)=0,"-",VLOOKUP($B98,casostestes[#Data],4)),"-")</f>
        <v>-</v>
      </c>
      <c r="G98" s="35" t="str">
        <f>IFERROR(IF(VLOOKUP($B98,casostestes[#Data],5)=0,"-",VLOOKUP($B98,casostestes[#Data],5)),"-")</f>
        <v>-</v>
      </c>
      <c r="H98" s="35" t="str">
        <f>IFERROR(IF(VLOOKUP($B98,casostestes[#Data],6)=0,"-",VLOOKUP($B98,casostestes[#Data],6)),"-")</f>
        <v>-</v>
      </c>
      <c r="I98" s="35" t="str">
        <f>IFERROR(IF(VLOOKUP($B98,casostestes[#Data],8)=0,"-",VLOOKUP($B98,casostestes[#Data],8)),"-")</f>
        <v>-</v>
      </c>
      <c r="J98" s="35" t="str">
        <f>IFERROR(IF(VLOOKUP($B98,casostestes[#Data],9)=0,"-",VLOOKUP($B98,casostestes[#Data],9)),"-")</f>
        <v>-</v>
      </c>
      <c r="K98" s="36"/>
      <c r="L98" s="45"/>
      <c r="M98" s="37"/>
      <c r="N98" s="38"/>
      <c r="O98" s="38"/>
      <c r="P98" s="39"/>
    </row>
    <row r="99" spans="2:16">
      <c r="B99" s="40" t="str">
        <f>IF(ISERR(casostestes[[#This Row],[ID]]),"-",casostestes[[#This Row],[ID]])</f>
        <v>-</v>
      </c>
      <c r="C99" s="34" t="str">
        <f>IFERROR(IF(VLOOKUP($B99,casostestes[#Data],10)=0,"Não",VLOOKUP($B99,casostestes[#Data],10)), "-")</f>
        <v>-</v>
      </c>
      <c r="D99" s="35" t="str">
        <f>IFERROR(IF(VLOOKUP($B99,casostestes[#Data],2)=0,"-",VLOOKUP($B99,casostestes[#Data],2)), "-")</f>
        <v>-</v>
      </c>
      <c r="E99" s="35" t="str">
        <f>IFERROR(IF(VLOOKUP($B99,casostestes[#Data],3)=0,"-",VLOOKUP($B99,casostestes[#Data],3)), "-")</f>
        <v>-</v>
      </c>
      <c r="F99" s="35" t="str">
        <f>IFERROR(IF(VLOOKUP($B99,casostestes[#Data],4)=0,"-",VLOOKUP($B99,casostestes[#Data],4)),"-")</f>
        <v>-</v>
      </c>
      <c r="G99" s="35" t="str">
        <f>IFERROR(IF(VLOOKUP($B99,casostestes[#Data],5)=0,"-",VLOOKUP($B99,casostestes[#Data],5)),"-")</f>
        <v>-</v>
      </c>
      <c r="H99" s="35" t="str">
        <f>IFERROR(IF(VLOOKUP($B99,casostestes[#Data],6)=0,"-",VLOOKUP($B99,casostestes[#Data],6)),"-")</f>
        <v>-</v>
      </c>
      <c r="I99" s="35" t="str">
        <f>IFERROR(IF(VLOOKUP($B99,casostestes[#Data],8)=0,"-",VLOOKUP($B99,casostestes[#Data],8)),"-")</f>
        <v>-</v>
      </c>
      <c r="J99" s="35" t="str">
        <f>IFERROR(IF(VLOOKUP($B99,casostestes[#Data],9)=0,"-",VLOOKUP($B99,casostestes[#Data],9)),"-")</f>
        <v>-</v>
      </c>
      <c r="K99" s="36"/>
      <c r="L99" s="45"/>
      <c r="M99" s="37"/>
      <c r="N99" s="38"/>
      <c r="O99" s="38"/>
      <c r="P99" s="39"/>
    </row>
    <row r="100" spans="2:16">
      <c r="B100" s="40" t="str">
        <f>IF(ISERR(casostestes[[#This Row],[ID]]),"-",casostestes[[#This Row],[ID]])</f>
        <v>-</v>
      </c>
      <c r="C100" s="41" t="str">
        <f>IFERROR(IF(VLOOKUP($B100,casostestes[#Data],10)=0,"Não",VLOOKUP($B100,casostestes[#Data],10)), "-")</f>
        <v>-</v>
      </c>
      <c r="D100" s="42" t="str">
        <f>IFERROR(IF(VLOOKUP($B100,casostestes[#Data],2)=0,"-",VLOOKUP($B100,casostestes[#Data],2)), "-")</f>
        <v>-</v>
      </c>
      <c r="E100" s="42" t="str">
        <f>IFERROR(IF(VLOOKUP($B100,casostestes[#Data],3)=0,"-",VLOOKUP($B100,casostestes[#Data],3)), "-")</f>
        <v>-</v>
      </c>
      <c r="F100" s="42" t="str">
        <f>IFERROR(IF(VLOOKUP($B100,casostestes[#Data],4)=0,"-",VLOOKUP($B100,casostestes[#Data],4)),"-")</f>
        <v>-</v>
      </c>
      <c r="G100" s="42" t="str">
        <f>IFERROR(IF(VLOOKUP($B100,casostestes[#Data],5)=0,"-",VLOOKUP($B100,casostestes[#Data],5)),"-")</f>
        <v>-</v>
      </c>
      <c r="H100" s="42" t="str">
        <f>IFERROR(IF(VLOOKUP($B100,casostestes[#Data],6)=0,"-",VLOOKUP($B100,casostestes[#Data],6)),"-")</f>
        <v>-</v>
      </c>
      <c r="I100" s="42" t="str">
        <f>IFERROR(IF(VLOOKUP($B100,casostestes[#Data],8)=0,"-",VLOOKUP($B100,casostestes[#Data],8)),"-")</f>
        <v>-</v>
      </c>
      <c r="J100" s="42" t="str">
        <f>IFERROR(IF(VLOOKUP($B100,casostestes[#Data],9)=0,"-",VLOOKUP($B100,casostestes[#Data],9)),"-")</f>
        <v>-</v>
      </c>
      <c r="K100" s="43"/>
      <c r="L100" s="45"/>
      <c r="M100" s="44"/>
      <c r="N100" s="45"/>
      <c r="O100" s="45"/>
      <c r="P100" s="46"/>
    </row>
    <row r="101" spans="2:16">
      <c r="B101" s="40" t="str">
        <f>IF(ISERR(casostestes[[#This Row],[ID]]),"-",casostestes[[#This Row],[ID]])</f>
        <v>-</v>
      </c>
      <c r="C101" s="34" t="str">
        <f>IFERROR(IF(VLOOKUP($B101,casostestes[#Data],10)=0,"Não",VLOOKUP($B101,casostestes[#Data],10)), "-")</f>
        <v>-</v>
      </c>
      <c r="D101" s="35" t="str">
        <f>IFERROR(IF(VLOOKUP($B101,casostestes[#Data],2)=0,"-",VLOOKUP($B101,casostestes[#Data],2)), "-")</f>
        <v>-</v>
      </c>
      <c r="E101" s="35" t="str">
        <f>IFERROR(IF(VLOOKUP($B101,casostestes[#Data],3)=0,"-",VLOOKUP($B101,casostestes[#Data],3)), "-")</f>
        <v>-</v>
      </c>
      <c r="F101" s="35" t="str">
        <f>IFERROR(IF(VLOOKUP($B101,casostestes[#Data],4)=0,"-",VLOOKUP($B101,casostestes[#Data],4)),"-")</f>
        <v>-</v>
      </c>
      <c r="G101" s="35" t="str">
        <f>IFERROR(IF(VLOOKUP($B101,casostestes[#Data],5)=0,"-",VLOOKUP($B101,casostestes[#Data],5)),"-")</f>
        <v>-</v>
      </c>
      <c r="H101" s="35" t="str">
        <f>IFERROR(IF(VLOOKUP($B101,casostestes[#Data],6)=0,"-",VLOOKUP($B101,casostestes[#Data],6)),"-")</f>
        <v>-</v>
      </c>
      <c r="I101" s="35" t="str">
        <f>IFERROR(IF(VLOOKUP($B101,casostestes[#Data],8)=0,"-",VLOOKUP($B101,casostestes[#Data],8)),"-")</f>
        <v>-</v>
      </c>
      <c r="J101" s="35" t="str">
        <f>IFERROR(IF(VLOOKUP($B101,casostestes[#Data],9)=0,"-",VLOOKUP($B101,casostestes[#Data],9)),"-")</f>
        <v>-</v>
      </c>
      <c r="K101" s="36"/>
      <c r="L101" s="45"/>
      <c r="M101" s="37"/>
      <c r="N101" s="38"/>
      <c r="O101" s="38"/>
      <c r="P101" s="39"/>
    </row>
    <row r="102" spans="2:16">
      <c r="B102" s="40" t="str">
        <f>IF(ISERR(casostestes[[#This Row],[ID]]),"-",casostestes[[#This Row],[ID]])</f>
        <v>-</v>
      </c>
      <c r="C102" s="34" t="str">
        <f>IFERROR(IF(VLOOKUP($B102,casostestes[#Data],10)=0,"Não",VLOOKUP($B102,casostestes[#Data],10)), "-")</f>
        <v>-</v>
      </c>
      <c r="D102" s="35" t="str">
        <f>IFERROR(IF(VLOOKUP($B102,casostestes[#Data],2)=0,"-",VLOOKUP($B102,casostestes[#Data],2)), "-")</f>
        <v>-</v>
      </c>
      <c r="E102" s="35" t="str">
        <f>IFERROR(IF(VLOOKUP($B102,casostestes[#Data],3)=0,"-",VLOOKUP($B102,casostestes[#Data],3)), "-")</f>
        <v>-</v>
      </c>
      <c r="F102" s="35" t="str">
        <f>IFERROR(IF(VLOOKUP($B102,casostestes[#Data],4)=0,"-",VLOOKUP($B102,casostestes[#Data],4)),"-")</f>
        <v>-</v>
      </c>
      <c r="G102" s="35" t="str">
        <f>IFERROR(IF(VLOOKUP($B102,casostestes[#Data],5)=0,"-",VLOOKUP($B102,casostestes[#Data],5)),"-")</f>
        <v>-</v>
      </c>
      <c r="H102" s="35" t="str">
        <f>IFERROR(IF(VLOOKUP($B102,casostestes[#Data],6)=0,"-",VLOOKUP($B102,casostestes[#Data],6)),"-")</f>
        <v>-</v>
      </c>
      <c r="I102" s="35" t="str">
        <f>IFERROR(IF(VLOOKUP($B102,casostestes[#Data],8)=0,"-",VLOOKUP($B102,casostestes[#Data],8)),"-")</f>
        <v>-</v>
      </c>
      <c r="J102" s="35" t="str">
        <f>IFERROR(IF(VLOOKUP($B102,casostestes[#Data],9)=0,"-",VLOOKUP($B102,casostestes[#Data],9)),"-")</f>
        <v>-</v>
      </c>
      <c r="K102" s="36"/>
      <c r="L102" s="45"/>
      <c r="M102" s="37"/>
      <c r="N102" s="38"/>
      <c r="O102" s="38"/>
      <c r="P102" s="39"/>
    </row>
    <row r="103" spans="2:16">
      <c r="B103" s="40" t="str">
        <f>IF(ISERR(casostestes[[#This Row],[ID]]),"-",casostestes[[#This Row],[ID]])</f>
        <v>-</v>
      </c>
      <c r="C103" s="34" t="str">
        <f>IFERROR(IF(VLOOKUP($B103,casostestes[#Data],10)=0,"Não",VLOOKUP($B103,casostestes[#Data],10)), "-")</f>
        <v>-</v>
      </c>
      <c r="D103" s="35" t="str">
        <f>IFERROR(IF(VLOOKUP($B103,casostestes[#Data],2)=0,"-",VLOOKUP($B103,casostestes[#Data],2)), "-")</f>
        <v>-</v>
      </c>
      <c r="E103" s="35" t="str">
        <f>IFERROR(IF(VLOOKUP($B103,casostestes[#Data],3)=0,"-",VLOOKUP($B103,casostestes[#Data],3)), "-")</f>
        <v>-</v>
      </c>
      <c r="F103" s="35" t="str">
        <f>IFERROR(IF(VLOOKUP($B103,casostestes[#Data],4)=0,"-",VLOOKUP($B103,casostestes[#Data],4)),"-")</f>
        <v>-</v>
      </c>
      <c r="G103" s="35" t="str">
        <f>IFERROR(IF(VLOOKUP($B103,casostestes[#Data],5)=0,"-",VLOOKUP($B103,casostestes[#Data],5)),"-")</f>
        <v>-</v>
      </c>
      <c r="H103" s="35" t="str">
        <f>IFERROR(IF(VLOOKUP($B103,casostestes[#Data],6)=0,"-",VLOOKUP($B103,casostestes[#Data],6)),"-")</f>
        <v>-</v>
      </c>
      <c r="I103" s="35" t="str">
        <f>IFERROR(IF(VLOOKUP($B103,casostestes[#Data],8)=0,"-",VLOOKUP($B103,casostestes[#Data],8)),"-")</f>
        <v>-</v>
      </c>
      <c r="J103" s="35" t="str">
        <f>IFERROR(IF(VLOOKUP($B103,casostestes[#Data],9)=0,"-",VLOOKUP($B103,casostestes[#Data],9)),"-")</f>
        <v>-</v>
      </c>
      <c r="K103" s="36"/>
      <c r="L103" s="45"/>
      <c r="M103" s="37"/>
      <c r="N103" s="38"/>
      <c r="O103" s="38"/>
      <c r="P103" s="39"/>
    </row>
    <row r="104" spans="2:16">
      <c r="B104" s="40" t="str">
        <f>IF(ISERR(casostestes[[#This Row],[ID]]),"-",casostestes[[#This Row],[ID]])</f>
        <v>-</v>
      </c>
      <c r="C104" s="34" t="str">
        <f>IFERROR(IF(VLOOKUP($B104,casostestes[#Data],10)=0,"Não",VLOOKUP($B104,casostestes[#Data],10)), "-")</f>
        <v>-</v>
      </c>
      <c r="D104" s="35" t="str">
        <f>IFERROR(IF(VLOOKUP($B104,casostestes[#Data],2)=0,"-",VLOOKUP($B104,casostestes[#Data],2)), "-")</f>
        <v>-</v>
      </c>
      <c r="E104" s="35" t="str">
        <f>IFERROR(IF(VLOOKUP($B104,casostestes[#Data],3)=0,"-",VLOOKUP($B104,casostestes[#Data],3)), "-")</f>
        <v>-</v>
      </c>
      <c r="F104" s="35" t="str">
        <f>IFERROR(IF(VLOOKUP($B104,casostestes[#Data],4)=0,"-",VLOOKUP($B104,casostestes[#Data],4)),"-")</f>
        <v>-</v>
      </c>
      <c r="G104" s="35" t="str">
        <f>IFERROR(IF(VLOOKUP($B104,casostestes[#Data],5)=0,"-",VLOOKUP($B104,casostestes[#Data],5)),"-")</f>
        <v>-</v>
      </c>
      <c r="H104" s="35" t="str">
        <f>IFERROR(IF(VLOOKUP($B104,casostestes[#Data],6)=0,"-",VLOOKUP($B104,casostestes[#Data],6)),"-")</f>
        <v>-</v>
      </c>
      <c r="I104" s="35" t="str">
        <f>IFERROR(IF(VLOOKUP($B104,casostestes[#Data],8)=0,"-",VLOOKUP($B104,casostestes[#Data],8)),"-")</f>
        <v>-</v>
      </c>
      <c r="J104" s="35" t="str">
        <f>IFERROR(IF(VLOOKUP($B104,casostestes[#Data],9)=0,"-",VLOOKUP($B104,casostestes[#Data],9)),"-")</f>
        <v>-</v>
      </c>
      <c r="K104" s="36"/>
      <c r="L104" s="45"/>
      <c r="M104" s="37"/>
      <c r="N104" s="38"/>
      <c r="O104" s="38"/>
      <c r="P104" s="39"/>
    </row>
    <row r="105" spans="2:16">
      <c r="B105" s="40" t="str">
        <f>IF(ISERR(casostestes[[#This Row],[ID]]),"-",casostestes[[#This Row],[ID]])</f>
        <v>-</v>
      </c>
      <c r="C105" s="34" t="str">
        <f>IFERROR(IF(VLOOKUP($B105,casostestes[#Data],10)=0,"Não",VLOOKUP($B105,casostestes[#Data],10)), "-")</f>
        <v>-</v>
      </c>
      <c r="D105" s="35" t="str">
        <f>IFERROR(IF(VLOOKUP($B105,casostestes[#Data],2)=0,"-",VLOOKUP($B105,casostestes[#Data],2)), "-")</f>
        <v>-</v>
      </c>
      <c r="E105" s="35" t="str">
        <f>IFERROR(IF(VLOOKUP($B105,casostestes[#Data],3)=0,"-",VLOOKUP($B105,casostestes[#Data],3)), "-")</f>
        <v>-</v>
      </c>
      <c r="F105" s="35" t="str">
        <f>IFERROR(IF(VLOOKUP($B105,casostestes[#Data],4)=0,"-",VLOOKUP($B105,casostestes[#Data],4)),"-")</f>
        <v>-</v>
      </c>
      <c r="G105" s="35" t="str">
        <f>IFERROR(IF(VLOOKUP($B105,casostestes[#Data],5)=0,"-",VLOOKUP($B105,casostestes[#Data],5)),"-")</f>
        <v>-</v>
      </c>
      <c r="H105" s="35" t="str">
        <f>IFERROR(IF(VLOOKUP($B105,casostestes[#Data],6)=0,"-",VLOOKUP($B105,casostestes[#Data],6)),"-")</f>
        <v>-</v>
      </c>
      <c r="I105" s="35" t="str">
        <f>IFERROR(IF(VLOOKUP($B105,casostestes[#Data],8)=0,"-",VLOOKUP($B105,casostestes[#Data],8)),"-")</f>
        <v>-</v>
      </c>
      <c r="J105" s="35" t="str">
        <f>IFERROR(IF(VLOOKUP($B105,casostestes[#Data],9)=0,"-",VLOOKUP($B105,casostestes[#Data],9)),"-")</f>
        <v>-</v>
      </c>
      <c r="K105" s="36"/>
      <c r="L105" s="45"/>
      <c r="M105" s="37"/>
      <c r="N105" s="38"/>
      <c r="O105" s="38"/>
      <c r="P105" s="39"/>
    </row>
    <row r="106" spans="2:16">
      <c r="B106" s="40" t="str">
        <f>IF(ISERR(casostestes[[#This Row],[ID]]),"-",casostestes[[#This Row],[ID]])</f>
        <v>-</v>
      </c>
      <c r="C106" s="34" t="str">
        <f>IFERROR(IF(VLOOKUP($B106,casostestes[#Data],10)=0,"Não",VLOOKUP($B106,casostestes[#Data],10)), "-")</f>
        <v>-</v>
      </c>
      <c r="D106" s="35" t="str">
        <f>IFERROR(IF(VLOOKUP($B106,casostestes[#Data],2)=0,"-",VLOOKUP($B106,casostestes[#Data],2)), "-")</f>
        <v>-</v>
      </c>
      <c r="E106" s="35" t="str">
        <f>IFERROR(IF(VLOOKUP($B106,casostestes[#Data],3)=0,"-",VLOOKUP($B106,casostestes[#Data],3)), "-")</f>
        <v>-</v>
      </c>
      <c r="F106" s="35" t="str">
        <f>IFERROR(IF(VLOOKUP($B106,casostestes[#Data],4)=0,"-",VLOOKUP($B106,casostestes[#Data],4)),"-")</f>
        <v>-</v>
      </c>
      <c r="G106" s="35" t="str">
        <f>IFERROR(IF(VLOOKUP($B106,casostestes[#Data],5)=0,"-",VLOOKUP($B106,casostestes[#Data],5)),"-")</f>
        <v>-</v>
      </c>
      <c r="H106" s="35" t="str">
        <f>IFERROR(IF(VLOOKUP($B106,casostestes[#Data],6)=0,"-",VLOOKUP($B106,casostestes[#Data],6)),"-")</f>
        <v>-</v>
      </c>
      <c r="I106" s="35" t="str">
        <f>IFERROR(IF(VLOOKUP($B106,casostestes[#Data],8)=0,"-",VLOOKUP($B106,casostestes[#Data],8)),"-")</f>
        <v>-</v>
      </c>
      <c r="J106" s="35" t="str">
        <f>IFERROR(IF(VLOOKUP($B106,casostestes[#Data],9)=0,"-",VLOOKUP($B106,casostestes[#Data],9)),"-")</f>
        <v>-</v>
      </c>
      <c r="K106" s="36"/>
      <c r="L106" s="45"/>
      <c r="M106" s="37"/>
      <c r="N106" s="38"/>
      <c r="O106" s="38"/>
      <c r="P106" s="39"/>
    </row>
    <row r="107" spans="2:16">
      <c r="B107" s="40" t="str">
        <f>IF(ISERR(casostestes[[#This Row],[ID]]),"-",casostestes[[#This Row],[ID]])</f>
        <v>-</v>
      </c>
      <c r="C107" s="34" t="str">
        <f>IFERROR(IF(VLOOKUP($B107,casostestes[#Data],10)=0,"Não",VLOOKUP($B107,casostestes[#Data],10)), "-")</f>
        <v>-</v>
      </c>
      <c r="D107" s="35" t="str">
        <f>IFERROR(IF(VLOOKUP($B107,casostestes[#Data],2)=0,"-",VLOOKUP($B107,casostestes[#Data],2)), "-")</f>
        <v>-</v>
      </c>
      <c r="E107" s="35" t="str">
        <f>IFERROR(IF(VLOOKUP($B107,casostestes[#Data],3)=0,"-",VLOOKUP($B107,casostestes[#Data],3)), "-")</f>
        <v>-</v>
      </c>
      <c r="F107" s="35" t="str">
        <f>IFERROR(IF(VLOOKUP($B107,casostestes[#Data],4)=0,"-",VLOOKUP($B107,casostestes[#Data],4)),"-")</f>
        <v>-</v>
      </c>
      <c r="G107" s="35" t="str">
        <f>IFERROR(IF(VLOOKUP($B107,casostestes[#Data],5)=0,"-",VLOOKUP($B107,casostestes[#Data],5)),"-")</f>
        <v>-</v>
      </c>
      <c r="H107" s="35" t="str">
        <f>IFERROR(IF(VLOOKUP($B107,casostestes[#Data],6)=0,"-",VLOOKUP($B107,casostestes[#Data],6)),"-")</f>
        <v>-</v>
      </c>
      <c r="I107" s="35" t="str">
        <f>IFERROR(IF(VLOOKUP($B107,casostestes[#Data],8)=0,"-",VLOOKUP($B107,casostestes[#Data],8)),"-")</f>
        <v>-</v>
      </c>
      <c r="J107" s="35" t="str">
        <f>IFERROR(IF(VLOOKUP($B107,casostestes[#Data],9)=0,"-",VLOOKUP($B107,casostestes[#Data],9)),"-")</f>
        <v>-</v>
      </c>
      <c r="K107" s="36"/>
      <c r="L107" s="45"/>
      <c r="M107" s="37"/>
      <c r="N107" s="38"/>
      <c r="O107" s="38"/>
      <c r="P107" s="39"/>
    </row>
    <row r="108" spans="2:16">
      <c r="B108" s="40" t="str">
        <f>IF(ISERR(casostestes[[#This Row],[ID]]),"-",casostestes[[#This Row],[ID]])</f>
        <v>-</v>
      </c>
      <c r="C108" s="34" t="str">
        <f>IFERROR(IF(VLOOKUP($B108,casostestes[#Data],10)=0,"Não",VLOOKUP($B108,casostestes[#Data],10)), "-")</f>
        <v>-</v>
      </c>
      <c r="D108" s="35" t="str">
        <f>IFERROR(IF(VLOOKUP($B108,casostestes[#Data],2)=0,"-",VLOOKUP($B108,casostestes[#Data],2)), "-")</f>
        <v>-</v>
      </c>
      <c r="E108" s="35" t="str">
        <f>IFERROR(IF(VLOOKUP($B108,casostestes[#Data],3)=0,"-",VLOOKUP($B108,casostestes[#Data],3)), "-")</f>
        <v>-</v>
      </c>
      <c r="F108" s="35" t="str">
        <f>IFERROR(IF(VLOOKUP($B108,casostestes[#Data],4)=0,"-",VLOOKUP($B108,casostestes[#Data],4)),"-")</f>
        <v>-</v>
      </c>
      <c r="G108" s="35" t="str">
        <f>IFERROR(IF(VLOOKUP($B108,casostestes[#Data],5)=0,"-",VLOOKUP($B108,casostestes[#Data],5)),"-")</f>
        <v>-</v>
      </c>
      <c r="H108" s="35" t="str">
        <f>IFERROR(IF(VLOOKUP($B108,casostestes[#Data],6)=0,"-",VLOOKUP($B108,casostestes[#Data],6)),"-")</f>
        <v>-</v>
      </c>
      <c r="I108" s="35" t="str">
        <f>IFERROR(IF(VLOOKUP($B108,casostestes[#Data],8)=0,"-",VLOOKUP($B108,casostestes[#Data],8)),"-")</f>
        <v>-</v>
      </c>
      <c r="J108" s="35" t="str">
        <f>IFERROR(IF(VLOOKUP($B108,casostestes[#Data],9)=0,"-",VLOOKUP($B108,casostestes[#Data],9)),"-")</f>
        <v>-</v>
      </c>
      <c r="K108" s="36"/>
      <c r="L108" s="45"/>
      <c r="M108" s="37"/>
      <c r="N108" s="38"/>
      <c r="O108" s="38"/>
      <c r="P108" s="39"/>
    </row>
    <row r="109" spans="2:16">
      <c r="B109" s="40" t="str">
        <f>IF(ISERR(casostestes[[#This Row],[ID]]),"-",casostestes[[#This Row],[ID]])</f>
        <v>-</v>
      </c>
      <c r="C109" s="34" t="str">
        <f>IFERROR(IF(VLOOKUP($B109,casostestes[#Data],10)=0,"Não",VLOOKUP($B109,casostestes[#Data],10)), "-")</f>
        <v>-</v>
      </c>
      <c r="D109" s="35" t="str">
        <f>IFERROR(IF(VLOOKUP($B109,casostestes[#Data],2)=0,"-",VLOOKUP($B109,casostestes[#Data],2)), "-")</f>
        <v>-</v>
      </c>
      <c r="E109" s="35" t="str">
        <f>IFERROR(IF(VLOOKUP($B109,casostestes[#Data],3)=0,"-",VLOOKUP($B109,casostestes[#Data],3)), "-")</f>
        <v>-</v>
      </c>
      <c r="F109" s="35" t="str">
        <f>IFERROR(IF(VLOOKUP($B109,casostestes[#Data],4)=0,"-",VLOOKUP($B109,casostestes[#Data],4)),"-")</f>
        <v>-</v>
      </c>
      <c r="G109" s="35" t="str">
        <f>IFERROR(IF(VLOOKUP($B109,casostestes[#Data],5)=0,"-",VLOOKUP($B109,casostestes[#Data],5)),"-")</f>
        <v>-</v>
      </c>
      <c r="H109" s="35" t="str">
        <f>IFERROR(IF(VLOOKUP($B109,casostestes[#Data],6)=0,"-",VLOOKUP($B109,casostestes[#Data],6)),"-")</f>
        <v>-</v>
      </c>
      <c r="I109" s="35" t="str">
        <f>IFERROR(IF(VLOOKUP($B109,casostestes[#Data],8)=0,"-",VLOOKUP($B109,casostestes[#Data],8)),"-")</f>
        <v>-</v>
      </c>
      <c r="J109" s="35" t="str">
        <f>IFERROR(IF(VLOOKUP($B109,casostestes[#Data],9)=0,"-",VLOOKUP($B109,casostestes[#Data],9)),"-")</f>
        <v>-</v>
      </c>
      <c r="K109" s="36"/>
      <c r="L109" s="45"/>
      <c r="M109" s="37"/>
      <c r="N109" s="38"/>
      <c r="O109" s="38"/>
      <c r="P109" s="39"/>
    </row>
    <row r="110" spans="2:16">
      <c r="B110" s="40" t="str">
        <f>IF(ISERR(casostestes[[#This Row],[ID]]),"-",casostestes[[#This Row],[ID]])</f>
        <v>-</v>
      </c>
      <c r="C110" s="34" t="str">
        <f>IFERROR(IF(VLOOKUP($B110,casostestes[#Data],10)=0,"Não",VLOOKUP($B110,casostestes[#Data],10)), "-")</f>
        <v>-</v>
      </c>
      <c r="D110" s="35" t="str">
        <f>IFERROR(IF(VLOOKUP($B110,casostestes[#Data],2)=0,"-",VLOOKUP($B110,casostestes[#Data],2)), "-")</f>
        <v>-</v>
      </c>
      <c r="E110" s="35" t="str">
        <f>IFERROR(IF(VLOOKUP($B110,casostestes[#Data],3)=0,"-",VLOOKUP($B110,casostestes[#Data],3)), "-")</f>
        <v>-</v>
      </c>
      <c r="F110" s="35" t="str">
        <f>IFERROR(IF(VLOOKUP($B110,casostestes[#Data],4)=0,"-",VLOOKUP($B110,casostestes[#Data],4)),"-")</f>
        <v>-</v>
      </c>
      <c r="G110" s="35" t="str">
        <f>IFERROR(IF(VLOOKUP($B110,casostestes[#Data],5)=0,"-",VLOOKUP($B110,casostestes[#Data],5)),"-")</f>
        <v>-</v>
      </c>
      <c r="H110" s="35" t="str">
        <f>IFERROR(IF(VLOOKUP($B110,casostestes[#Data],6)=0,"-",VLOOKUP($B110,casostestes[#Data],6)),"-")</f>
        <v>-</v>
      </c>
      <c r="I110" s="35" t="str">
        <f>IFERROR(IF(VLOOKUP($B110,casostestes[#Data],8)=0,"-",VLOOKUP($B110,casostestes[#Data],8)),"-")</f>
        <v>-</v>
      </c>
      <c r="J110" s="35" t="str">
        <f>IFERROR(IF(VLOOKUP($B110,casostestes[#Data],9)=0,"-",VLOOKUP($B110,casostestes[#Data],9)),"-")</f>
        <v>-</v>
      </c>
      <c r="K110" s="36"/>
      <c r="L110" s="45"/>
      <c r="M110" s="37"/>
      <c r="N110" s="38"/>
      <c r="O110" s="38"/>
      <c r="P110" s="39"/>
    </row>
    <row r="111" spans="2:16">
      <c r="B111" s="40" t="str">
        <f>IF(ISERR(casostestes[[#This Row],[ID]]),"-",casostestes[[#This Row],[ID]])</f>
        <v>-</v>
      </c>
      <c r="C111" s="34" t="str">
        <f>IFERROR(IF(VLOOKUP($B111,casostestes[#Data],10)=0,"Não",VLOOKUP($B111,casostestes[#Data],10)), "-")</f>
        <v>-</v>
      </c>
      <c r="D111" s="35" t="str">
        <f>IFERROR(IF(VLOOKUP($B111,casostestes[#Data],2)=0,"-",VLOOKUP($B111,casostestes[#Data],2)), "-")</f>
        <v>-</v>
      </c>
      <c r="E111" s="35" t="str">
        <f>IFERROR(IF(VLOOKUP($B111,casostestes[#Data],3)=0,"-",VLOOKUP($B111,casostestes[#Data],3)), "-")</f>
        <v>-</v>
      </c>
      <c r="F111" s="35" t="str">
        <f>IFERROR(IF(VLOOKUP($B111,casostestes[#Data],4)=0,"-",VLOOKUP($B111,casostestes[#Data],4)),"-")</f>
        <v>-</v>
      </c>
      <c r="G111" s="35" t="str">
        <f>IFERROR(IF(VLOOKUP($B111,casostestes[#Data],5)=0,"-",VLOOKUP($B111,casostestes[#Data],5)),"-")</f>
        <v>-</v>
      </c>
      <c r="H111" s="35" t="str">
        <f>IFERROR(IF(VLOOKUP($B111,casostestes[#Data],6)=0,"-",VLOOKUP($B111,casostestes[#Data],6)),"-")</f>
        <v>-</v>
      </c>
      <c r="I111" s="35" t="str">
        <f>IFERROR(IF(VLOOKUP($B111,casostestes[#Data],8)=0,"-",VLOOKUP($B111,casostestes[#Data],8)),"-")</f>
        <v>-</v>
      </c>
      <c r="J111" s="35" t="str">
        <f>IFERROR(IF(VLOOKUP($B111,casostestes[#Data],9)=0,"-",VLOOKUP($B111,casostestes[#Data],9)),"-")</f>
        <v>-</v>
      </c>
      <c r="K111" s="36"/>
      <c r="L111" s="45"/>
      <c r="M111" s="37"/>
      <c r="N111" s="38"/>
      <c r="O111" s="38"/>
      <c r="P111" s="39"/>
    </row>
    <row r="112" spans="2:16">
      <c r="B112" s="40" t="str">
        <f>IF(ISERR(casostestes[[#This Row],[ID]]),"-",casostestes[[#This Row],[ID]])</f>
        <v>-</v>
      </c>
      <c r="C112" s="34" t="str">
        <f>IFERROR(IF(VLOOKUP($B112,casostestes[#Data],10)=0,"Não",VLOOKUP($B112,casostestes[#Data],10)), "-")</f>
        <v>-</v>
      </c>
      <c r="D112" s="35" t="str">
        <f>IFERROR(IF(VLOOKUP($B112,casostestes[#Data],2)=0,"-",VLOOKUP($B112,casostestes[#Data],2)), "-")</f>
        <v>-</v>
      </c>
      <c r="E112" s="35" t="str">
        <f>IFERROR(IF(VLOOKUP($B112,casostestes[#Data],3)=0,"-",VLOOKUP($B112,casostestes[#Data],3)), "-")</f>
        <v>-</v>
      </c>
      <c r="F112" s="35" t="str">
        <f>IFERROR(IF(VLOOKUP($B112,casostestes[#Data],4)=0,"-",VLOOKUP($B112,casostestes[#Data],4)),"-")</f>
        <v>-</v>
      </c>
      <c r="G112" s="35" t="str">
        <f>IFERROR(IF(VLOOKUP($B112,casostestes[#Data],5)=0,"-",VLOOKUP($B112,casostestes[#Data],5)),"-")</f>
        <v>-</v>
      </c>
      <c r="H112" s="35" t="str">
        <f>IFERROR(IF(VLOOKUP($B112,casostestes[#Data],6)=0,"-",VLOOKUP($B112,casostestes[#Data],6)),"-")</f>
        <v>-</v>
      </c>
      <c r="I112" s="35" t="str">
        <f>IFERROR(IF(VLOOKUP($B112,casostestes[#Data],8)=0,"-",VLOOKUP($B112,casostestes[#Data],8)),"-")</f>
        <v>-</v>
      </c>
      <c r="J112" s="35" t="str">
        <f>IFERROR(IF(VLOOKUP($B112,casostestes[#Data],9)=0,"-",VLOOKUP($B112,casostestes[#Data],9)),"-")</f>
        <v>-</v>
      </c>
      <c r="K112" s="36"/>
      <c r="L112" s="45"/>
      <c r="M112" s="37"/>
      <c r="N112" s="38"/>
      <c r="O112" s="38"/>
      <c r="P112" s="39"/>
    </row>
    <row r="113" spans="2:16">
      <c r="B113" s="40" t="str">
        <f>IF(ISERR(casostestes[[#This Row],[ID]]),"-",casostestes[[#This Row],[ID]])</f>
        <v>-</v>
      </c>
      <c r="C113" s="34" t="str">
        <f>IFERROR(IF(VLOOKUP($B113,casostestes[#Data],10)=0,"Não",VLOOKUP($B113,casostestes[#Data],10)), "-")</f>
        <v>-</v>
      </c>
      <c r="D113" s="35" t="str">
        <f>IFERROR(IF(VLOOKUP($B113,casostestes[#Data],2)=0,"-",VLOOKUP($B113,casostestes[#Data],2)), "-")</f>
        <v>-</v>
      </c>
      <c r="E113" s="35" t="str">
        <f>IFERROR(IF(VLOOKUP($B113,casostestes[#Data],3)=0,"-",VLOOKUP($B113,casostestes[#Data],3)), "-")</f>
        <v>-</v>
      </c>
      <c r="F113" s="35" t="str">
        <f>IFERROR(IF(VLOOKUP($B113,casostestes[#Data],4)=0,"-",VLOOKUP($B113,casostestes[#Data],4)),"-")</f>
        <v>-</v>
      </c>
      <c r="G113" s="35" t="str">
        <f>IFERROR(IF(VLOOKUP($B113,casostestes[#Data],5)=0,"-",VLOOKUP($B113,casostestes[#Data],5)),"-")</f>
        <v>-</v>
      </c>
      <c r="H113" s="35" t="str">
        <f>IFERROR(IF(VLOOKUP($B113,casostestes[#Data],6)=0,"-",VLOOKUP($B113,casostestes[#Data],6)),"-")</f>
        <v>-</v>
      </c>
      <c r="I113" s="35" t="str">
        <f>IFERROR(IF(VLOOKUP($B113,casostestes[#Data],8)=0,"-",VLOOKUP($B113,casostestes[#Data],8)),"-")</f>
        <v>-</v>
      </c>
      <c r="J113" s="35" t="str">
        <f>IFERROR(IF(VLOOKUP($B113,casostestes[#Data],9)=0,"-",VLOOKUP($B113,casostestes[#Data],9)),"-")</f>
        <v>-</v>
      </c>
      <c r="K113" s="36"/>
      <c r="L113" s="45"/>
      <c r="M113" s="37"/>
      <c r="N113" s="38"/>
      <c r="O113" s="38"/>
      <c r="P113" s="39"/>
    </row>
    <row r="114" spans="2:16">
      <c r="B114" s="40" t="str">
        <f>IF(ISERR(casostestes[[#This Row],[ID]]),"-",casostestes[[#This Row],[ID]])</f>
        <v>-</v>
      </c>
      <c r="C114" s="34" t="str">
        <f>IFERROR(IF(VLOOKUP($B114,casostestes[#Data],10)=0,"Não",VLOOKUP($B114,casostestes[#Data],10)), "-")</f>
        <v>-</v>
      </c>
      <c r="D114" s="35" t="str">
        <f>IFERROR(IF(VLOOKUP($B114,casostestes[#Data],2)=0,"-",VLOOKUP($B114,casostestes[#Data],2)), "-")</f>
        <v>-</v>
      </c>
      <c r="E114" s="35" t="str">
        <f>IFERROR(IF(VLOOKUP($B114,casostestes[#Data],3)=0,"-",VLOOKUP($B114,casostestes[#Data],3)), "-")</f>
        <v>-</v>
      </c>
      <c r="F114" s="35" t="str">
        <f>IFERROR(IF(VLOOKUP($B114,casostestes[#Data],4)=0,"-",VLOOKUP($B114,casostestes[#Data],4)),"-")</f>
        <v>-</v>
      </c>
      <c r="G114" s="35" t="str">
        <f>IFERROR(IF(VLOOKUP($B114,casostestes[#Data],5)=0,"-",VLOOKUP($B114,casostestes[#Data],5)),"-")</f>
        <v>-</v>
      </c>
      <c r="H114" s="35" t="str">
        <f>IFERROR(IF(VLOOKUP($B114,casostestes[#Data],6)=0,"-",VLOOKUP($B114,casostestes[#Data],6)),"-")</f>
        <v>-</v>
      </c>
      <c r="I114" s="35" t="str">
        <f>IFERROR(IF(VLOOKUP($B114,casostestes[#Data],8)=0,"-",VLOOKUP($B114,casostestes[#Data],8)),"-")</f>
        <v>-</v>
      </c>
      <c r="J114" s="35" t="str">
        <f>IFERROR(IF(VLOOKUP($B114,casostestes[#Data],9)=0,"-",VLOOKUP($B114,casostestes[#Data],9)),"-")</f>
        <v>-</v>
      </c>
      <c r="K114" s="36"/>
      <c r="L114" s="45"/>
      <c r="M114" s="37"/>
      <c r="N114" s="38"/>
      <c r="O114" s="38"/>
      <c r="P114" s="39"/>
    </row>
    <row r="115" spans="2:16">
      <c r="B115" s="40" t="str">
        <f>IF(ISERR(casostestes[[#This Row],[ID]]),"-",casostestes[[#This Row],[ID]])</f>
        <v>-</v>
      </c>
      <c r="C115" s="34" t="str">
        <f>IFERROR(IF(VLOOKUP($B115,casostestes[#Data],10)=0,"Não",VLOOKUP($B115,casostestes[#Data],10)), "-")</f>
        <v>-</v>
      </c>
      <c r="D115" s="35" t="str">
        <f>IFERROR(IF(VLOOKUP($B115,casostestes[#Data],2)=0,"-",VLOOKUP($B115,casostestes[#Data],2)), "-")</f>
        <v>-</v>
      </c>
      <c r="E115" s="35" t="str">
        <f>IFERROR(IF(VLOOKUP($B115,casostestes[#Data],3)=0,"-",VLOOKUP($B115,casostestes[#Data],3)), "-")</f>
        <v>-</v>
      </c>
      <c r="F115" s="35" t="str">
        <f>IFERROR(IF(VLOOKUP($B115,casostestes[#Data],4)=0,"-",VLOOKUP($B115,casostestes[#Data],4)),"-")</f>
        <v>-</v>
      </c>
      <c r="G115" s="35" t="str">
        <f>IFERROR(IF(VLOOKUP($B115,casostestes[#Data],5)=0,"-",VLOOKUP($B115,casostestes[#Data],5)),"-")</f>
        <v>-</v>
      </c>
      <c r="H115" s="35" t="str">
        <f>IFERROR(IF(VLOOKUP($B115,casostestes[#Data],6)=0,"-",VLOOKUP($B115,casostestes[#Data],6)),"-")</f>
        <v>-</v>
      </c>
      <c r="I115" s="35" t="str">
        <f>IFERROR(IF(VLOOKUP($B115,casostestes[#Data],8)=0,"-",VLOOKUP($B115,casostestes[#Data],8)),"-")</f>
        <v>-</v>
      </c>
      <c r="J115" s="35" t="str">
        <f>IFERROR(IF(VLOOKUP($B115,casostestes[#Data],9)=0,"-",VLOOKUP($B115,casostestes[#Data],9)),"-")</f>
        <v>-</v>
      </c>
      <c r="K115" s="36"/>
      <c r="L115" s="45"/>
      <c r="M115" s="37"/>
      <c r="N115" s="38"/>
      <c r="O115" s="38"/>
      <c r="P115" s="39"/>
    </row>
    <row r="116" spans="2:16">
      <c r="B116" s="40" t="str">
        <f>IF(ISERR(casostestes[[#This Row],[ID]]),"-",casostestes[[#This Row],[ID]])</f>
        <v>-</v>
      </c>
      <c r="C116" s="34" t="str">
        <f>IFERROR(IF(VLOOKUP($B116,casostestes[#Data],10)=0,"Não",VLOOKUP($B116,casostestes[#Data],10)), "-")</f>
        <v>-</v>
      </c>
      <c r="D116" s="35" t="str">
        <f>IFERROR(IF(VLOOKUP($B116,casostestes[#Data],2)=0,"-",VLOOKUP($B116,casostestes[#Data],2)), "-")</f>
        <v>-</v>
      </c>
      <c r="E116" s="35" t="str">
        <f>IFERROR(IF(VLOOKUP($B116,casostestes[#Data],3)=0,"-",VLOOKUP($B116,casostestes[#Data],3)), "-")</f>
        <v>-</v>
      </c>
      <c r="F116" s="35" t="str">
        <f>IFERROR(IF(VLOOKUP($B116,casostestes[#Data],4)=0,"-",VLOOKUP($B116,casostestes[#Data],4)),"-")</f>
        <v>-</v>
      </c>
      <c r="G116" s="35" t="str">
        <f>IFERROR(IF(VLOOKUP($B116,casostestes[#Data],5)=0,"-",VLOOKUP($B116,casostestes[#Data],5)),"-")</f>
        <v>-</v>
      </c>
      <c r="H116" s="35" t="str">
        <f>IFERROR(IF(VLOOKUP($B116,casostestes[#Data],6)=0,"-",VLOOKUP($B116,casostestes[#Data],6)),"-")</f>
        <v>-</v>
      </c>
      <c r="I116" s="35" t="str">
        <f>IFERROR(IF(VLOOKUP($B116,casostestes[#Data],8)=0,"-",VLOOKUP($B116,casostestes[#Data],8)),"-")</f>
        <v>-</v>
      </c>
      <c r="J116" s="35" t="str">
        <f>IFERROR(IF(VLOOKUP($B116,casostestes[#Data],9)=0,"-",VLOOKUP($B116,casostestes[#Data],9)),"-")</f>
        <v>-</v>
      </c>
      <c r="K116" s="36"/>
      <c r="L116" s="45"/>
      <c r="M116" s="37"/>
      <c r="N116" s="38"/>
      <c r="O116" s="38"/>
      <c r="P116" s="39"/>
    </row>
    <row r="117" spans="2:16">
      <c r="B117" s="40" t="str">
        <f>IF(ISERR(casostestes[[#This Row],[ID]]),"-",casostestes[[#This Row],[ID]])</f>
        <v>-</v>
      </c>
      <c r="C117" s="34" t="str">
        <f>IFERROR(IF(VLOOKUP($B117,casostestes[#Data],10)=0,"Não",VLOOKUP($B117,casostestes[#Data],10)), "-")</f>
        <v>-</v>
      </c>
      <c r="D117" s="35" t="str">
        <f>IFERROR(IF(VLOOKUP($B117,casostestes[#Data],2)=0,"-",VLOOKUP($B117,casostestes[#Data],2)), "-")</f>
        <v>-</v>
      </c>
      <c r="E117" s="35" t="str">
        <f>IFERROR(IF(VLOOKUP($B117,casostestes[#Data],3)=0,"-",VLOOKUP($B117,casostestes[#Data],3)), "-")</f>
        <v>-</v>
      </c>
      <c r="F117" s="35" t="str">
        <f>IFERROR(IF(VLOOKUP($B117,casostestes[#Data],4)=0,"-",VLOOKUP($B117,casostestes[#Data],4)),"-")</f>
        <v>-</v>
      </c>
      <c r="G117" s="35" t="str">
        <f>IFERROR(IF(VLOOKUP($B117,casostestes[#Data],5)=0,"-",VLOOKUP($B117,casostestes[#Data],5)),"-")</f>
        <v>-</v>
      </c>
      <c r="H117" s="35" t="str">
        <f>IFERROR(IF(VLOOKUP($B117,casostestes[#Data],6)=0,"-",VLOOKUP($B117,casostestes[#Data],6)),"-")</f>
        <v>-</v>
      </c>
      <c r="I117" s="35" t="str">
        <f>IFERROR(IF(VLOOKUP($B117,casostestes[#Data],8)=0,"-",VLOOKUP($B117,casostestes[#Data],8)),"-")</f>
        <v>-</v>
      </c>
      <c r="J117" s="35" t="str">
        <f>IFERROR(IF(VLOOKUP($B117,casostestes[#Data],9)=0,"-",VLOOKUP($B117,casostestes[#Data],9)),"-")</f>
        <v>-</v>
      </c>
      <c r="K117" s="36"/>
      <c r="L117" s="45"/>
      <c r="M117" s="37"/>
      <c r="N117" s="38"/>
      <c r="O117" s="38"/>
      <c r="P117" s="39"/>
    </row>
    <row r="118" spans="2:16">
      <c r="B118" s="40" t="str">
        <f>IF(ISERR(casostestes[[#This Row],[ID]]),"-",casostestes[[#This Row],[ID]])</f>
        <v>-</v>
      </c>
      <c r="C118" s="34" t="str">
        <f>IFERROR(IF(VLOOKUP($B118,casostestes[#Data],10)=0,"Não",VLOOKUP($B118,casostestes[#Data],10)), "-")</f>
        <v>-</v>
      </c>
      <c r="D118" s="35" t="str">
        <f>IFERROR(IF(VLOOKUP($B118,casostestes[#Data],2)=0,"-",VLOOKUP($B118,casostestes[#Data],2)), "-")</f>
        <v>-</v>
      </c>
      <c r="E118" s="35" t="str">
        <f>IFERROR(IF(VLOOKUP($B118,casostestes[#Data],3)=0,"-",VLOOKUP($B118,casostestes[#Data],3)), "-")</f>
        <v>-</v>
      </c>
      <c r="F118" s="35" t="str">
        <f>IFERROR(IF(VLOOKUP($B118,casostestes[#Data],4)=0,"-",VLOOKUP($B118,casostestes[#Data],4)),"-")</f>
        <v>-</v>
      </c>
      <c r="G118" s="35" t="str">
        <f>IFERROR(IF(VLOOKUP($B118,casostestes[#Data],5)=0,"-",VLOOKUP($B118,casostestes[#Data],5)),"-")</f>
        <v>-</v>
      </c>
      <c r="H118" s="35" t="str">
        <f>IFERROR(IF(VLOOKUP($B118,casostestes[#Data],6)=0,"-",VLOOKUP($B118,casostestes[#Data],6)),"-")</f>
        <v>-</v>
      </c>
      <c r="I118" s="35" t="str">
        <f>IFERROR(IF(VLOOKUP($B118,casostestes[#Data],8)=0,"-",VLOOKUP($B118,casostestes[#Data],8)),"-")</f>
        <v>-</v>
      </c>
      <c r="J118" s="35" t="str">
        <f>IFERROR(IF(VLOOKUP($B118,casostestes[#Data],9)=0,"-",VLOOKUP($B118,casostestes[#Data],9)),"-")</f>
        <v>-</v>
      </c>
      <c r="K118" s="36"/>
      <c r="L118" s="45"/>
      <c r="M118" s="37"/>
      <c r="N118" s="38"/>
      <c r="O118" s="38"/>
      <c r="P118" s="39"/>
    </row>
    <row r="119" spans="2:16">
      <c r="B119" s="40" t="str">
        <f>IF(ISERR(casostestes[[#This Row],[ID]]),"-",casostestes[[#This Row],[ID]])</f>
        <v>-</v>
      </c>
      <c r="C119" s="34" t="str">
        <f>IFERROR(IF(VLOOKUP($B119,casostestes[#Data],10)=0,"Não",VLOOKUP($B119,casostestes[#Data],10)), "-")</f>
        <v>-</v>
      </c>
      <c r="D119" s="35" t="str">
        <f>IFERROR(IF(VLOOKUP($B119,casostestes[#Data],2)=0,"-",VLOOKUP($B119,casostestes[#Data],2)), "-")</f>
        <v>-</v>
      </c>
      <c r="E119" s="35" t="str">
        <f>IFERROR(IF(VLOOKUP($B119,casostestes[#Data],3)=0,"-",VLOOKUP($B119,casostestes[#Data],3)), "-")</f>
        <v>-</v>
      </c>
      <c r="F119" s="35" t="str">
        <f>IFERROR(IF(VLOOKUP($B119,casostestes[#Data],4)=0,"-",VLOOKUP($B119,casostestes[#Data],4)),"-")</f>
        <v>-</v>
      </c>
      <c r="G119" s="35" t="str">
        <f>IFERROR(IF(VLOOKUP($B119,casostestes[#Data],5)=0,"-",VLOOKUP($B119,casostestes[#Data],5)),"-")</f>
        <v>-</v>
      </c>
      <c r="H119" s="35" t="str">
        <f>IFERROR(IF(VLOOKUP($B119,casostestes[#Data],6)=0,"-",VLOOKUP($B119,casostestes[#Data],6)),"-")</f>
        <v>-</v>
      </c>
      <c r="I119" s="35" t="str">
        <f>IFERROR(IF(VLOOKUP($B119,casostestes[#Data],8)=0,"-",VLOOKUP($B119,casostestes[#Data],8)),"-")</f>
        <v>-</v>
      </c>
      <c r="J119" s="35" t="str">
        <f>IFERROR(IF(VLOOKUP($B119,casostestes[#Data],9)=0,"-",VLOOKUP($B119,casostestes[#Data],9)),"-")</f>
        <v>-</v>
      </c>
      <c r="K119" s="36"/>
      <c r="L119" s="45"/>
      <c r="M119" s="37"/>
      <c r="N119" s="38"/>
      <c r="O119" s="38"/>
      <c r="P119" s="39"/>
    </row>
    <row r="120" spans="2:16">
      <c r="B120" s="40" t="str">
        <f>IF(ISERR(casostestes[[#This Row],[ID]]),"-",casostestes[[#This Row],[ID]])</f>
        <v>-</v>
      </c>
      <c r="C120" s="34" t="str">
        <f>IFERROR(IF(VLOOKUP($B120,casostestes[#Data],10)=0,"Não",VLOOKUP($B120,casostestes[#Data],10)), "-")</f>
        <v>-</v>
      </c>
      <c r="D120" s="35" t="str">
        <f>IFERROR(IF(VLOOKUP($B120,casostestes[#Data],2)=0,"-",VLOOKUP($B120,casostestes[#Data],2)), "-")</f>
        <v>-</v>
      </c>
      <c r="E120" s="35" t="str">
        <f>IFERROR(IF(VLOOKUP($B120,casostestes[#Data],3)=0,"-",VLOOKUP($B120,casostestes[#Data],3)), "-")</f>
        <v>-</v>
      </c>
      <c r="F120" s="35" t="str">
        <f>IFERROR(IF(VLOOKUP($B120,casostestes[#Data],4)=0,"-",VLOOKUP($B120,casostestes[#Data],4)),"-")</f>
        <v>-</v>
      </c>
      <c r="G120" s="35" t="str">
        <f>IFERROR(IF(VLOOKUP($B120,casostestes[#Data],5)=0,"-",VLOOKUP($B120,casostestes[#Data],5)),"-")</f>
        <v>-</v>
      </c>
      <c r="H120" s="35" t="str">
        <f>IFERROR(IF(VLOOKUP($B120,casostestes[#Data],6)=0,"-",VLOOKUP($B120,casostestes[#Data],6)),"-")</f>
        <v>-</v>
      </c>
      <c r="I120" s="35" t="str">
        <f>IFERROR(IF(VLOOKUP($B120,casostestes[#Data],8)=0,"-",VLOOKUP($B120,casostestes[#Data],8)),"-")</f>
        <v>-</v>
      </c>
      <c r="J120" s="35" t="str">
        <f>IFERROR(IF(VLOOKUP($B120,casostestes[#Data],9)=0,"-",VLOOKUP($B120,casostestes[#Data],9)),"-")</f>
        <v>-</v>
      </c>
      <c r="K120" s="36"/>
      <c r="L120" s="45"/>
      <c r="M120" s="37"/>
      <c r="N120" s="38"/>
      <c r="O120" s="38"/>
      <c r="P120" s="39"/>
    </row>
    <row r="121" spans="2:16">
      <c r="B121" s="40" t="str">
        <f>IF(ISERR(casostestes[[#This Row],[ID]]),"-",casostestes[[#This Row],[ID]])</f>
        <v>-</v>
      </c>
      <c r="C121" s="34" t="str">
        <f>IFERROR(IF(VLOOKUP($B121,casostestes[#Data],10)=0,"Não",VLOOKUP($B121,casostestes[#Data],10)), "-")</f>
        <v>-</v>
      </c>
      <c r="D121" s="35" t="str">
        <f>IFERROR(IF(VLOOKUP($B121,casostestes[#Data],2)=0,"-",VLOOKUP($B121,casostestes[#Data],2)), "-")</f>
        <v>-</v>
      </c>
      <c r="E121" s="35" t="str">
        <f>IFERROR(IF(VLOOKUP($B121,casostestes[#Data],3)=0,"-",VLOOKUP($B121,casostestes[#Data],3)), "-")</f>
        <v>-</v>
      </c>
      <c r="F121" s="35" t="str">
        <f>IFERROR(IF(VLOOKUP($B121,casostestes[#Data],4)=0,"-",VLOOKUP($B121,casostestes[#Data],4)),"-")</f>
        <v>-</v>
      </c>
      <c r="G121" s="35" t="str">
        <f>IFERROR(IF(VLOOKUP($B121,casostestes[#Data],5)=0,"-",VLOOKUP($B121,casostestes[#Data],5)),"-")</f>
        <v>-</v>
      </c>
      <c r="H121" s="35" t="str">
        <f>IFERROR(IF(VLOOKUP($B121,casostestes[#Data],6)=0,"-",VLOOKUP($B121,casostestes[#Data],6)),"-")</f>
        <v>-</v>
      </c>
      <c r="I121" s="35" t="str">
        <f>IFERROR(IF(VLOOKUP($B121,casostestes[#Data],8)=0,"-",VLOOKUP($B121,casostestes[#Data],8)),"-")</f>
        <v>-</v>
      </c>
      <c r="J121" s="35" t="str">
        <f>IFERROR(IF(VLOOKUP($B121,casostestes[#Data],9)=0,"-",VLOOKUP($B121,casostestes[#Data],9)),"-")</f>
        <v>-</v>
      </c>
      <c r="K121" s="36"/>
      <c r="L121" s="45"/>
      <c r="M121" s="37"/>
      <c r="N121" s="38"/>
      <c r="O121" s="38"/>
      <c r="P121" s="39"/>
    </row>
    <row r="122" spans="2:16">
      <c r="B122" s="40" t="str">
        <f>IF(ISERR(casostestes[[#This Row],[ID]]),"-",casostestes[[#This Row],[ID]])</f>
        <v>-</v>
      </c>
      <c r="C122" s="34" t="str">
        <f>IFERROR(IF(VLOOKUP($B122,casostestes[#Data],10)=0,"Não",VLOOKUP($B122,casostestes[#Data],10)), "-")</f>
        <v>-</v>
      </c>
      <c r="D122" s="35" t="str">
        <f>IFERROR(IF(VLOOKUP($B122,casostestes[#Data],2)=0,"-",VLOOKUP($B122,casostestes[#Data],2)), "-")</f>
        <v>-</v>
      </c>
      <c r="E122" s="35" t="str">
        <f>IFERROR(IF(VLOOKUP($B122,casostestes[#Data],3)=0,"-",VLOOKUP($B122,casostestes[#Data],3)), "-")</f>
        <v>-</v>
      </c>
      <c r="F122" s="35" t="str">
        <f>IFERROR(IF(VLOOKUP($B122,casostestes[#Data],4)=0,"-",VLOOKUP($B122,casostestes[#Data],4)),"-")</f>
        <v>-</v>
      </c>
      <c r="G122" s="35" t="str">
        <f>IFERROR(IF(VLOOKUP($B122,casostestes[#Data],5)=0,"-",VLOOKUP($B122,casostestes[#Data],5)),"-")</f>
        <v>-</v>
      </c>
      <c r="H122" s="35" t="str">
        <f>IFERROR(IF(VLOOKUP($B122,casostestes[#Data],6)=0,"-",VLOOKUP($B122,casostestes[#Data],6)),"-")</f>
        <v>-</v>
      </c>
      <c r="I122" s="35" t="str">
        <f>IFERROR(IF(VLOOKUP($B122,casostestes[#Data],8)=0,"-",VLOOKUP($B122,casostestes[#Data],8)),"-")</f>
        <v>-</v>
      </c>
      <c r="J122" s="35" t="str">
        <f>IFERROR(IF(VLOOKUP($B122,casostestes[#Data],9)=0,"-",VLOOKUP($B122,casostestes[#Data],9)),"-")</f>
        <v>-</v>
      </c>
      <c r="K122" s="36"/>
      <c r="L122" s="45"/>
      <c r="M122" s="37"/>
      <c r="N122" s="38"/>
      <c r="O122" s="38"/>
      <c r="P122" s="39"/>
    </row>
    <row r="123" spans="2:16">
      <c r="B123" s="40" t="str">
        <f>IF(ISERR(casostestes[[#This Row],[ID]]),"-",casostestes[[#This Row],[ID]])</f>
        <v>-</v>
      </c>
      <c r="C123" s="34" t="str">
        <f>IFERROR(IF(VLOOKUP($B123,casostestes[#Data],10)=0,"Não",VLOOKUP($B123,casostestes[#Data],10)), "-")</f>
        <v>-</v>
      </c>
      <c r="D123" s="35" t="str">
        <f>IFERROR(IF(VLOOKUP($B123,casostestes[#Data],2)=0,"-",VLOOKUP($B123,casostestes[#Data],2)), "-")</f>
        <v>-</v>
      </c>
      <c r="E123" s="35" t="str">
        <f>IFERROR(IF(VLOOKUP($B123,casostestes[#Data],3)=0,"-",VLOOKUP($B123,casostestes[#Data],3)), "-")</f>
        <v>-</v>
      </c>
      <c r="F123" s="35" t="str">
        <f>IFERROR(IF(VLOOKUP($B123,casostestes[#Data],4)=0,"-",VLOOKUP($B123,casostestes[#Data],4)),"-")</f>
        <v>-</v>
      </c>
      <c r="G123" s="35" t="str">
        <f>IFERROR(IF(VLOOKUP($B123,casostestes[#Data],5)=0,"-",VLOOKUP($B123,casostestes[#Data],5)),"-")</f>
        <v>-</v>
      </c>
      <c r="H123" s="35" t="str">
        <f>IFERROR(IF(VLOOKUP($B123,casostestes[#Data],6)=0,"-",VLOOKUP($B123,casostestes[#Data],6)),"-")</f>
        <v>-</v>
      </c>
      <c r="I123" s="35" t="str">
        <f>IFERROR(IF(VLOOKUP($B123,casostestes[#Data],8)=0,"-",VLOOKUP($B123,casostestes[#Data],8)),"-")</f>
        <v>-</v>
      </c>
      <c r="J123" s="35" t="str">
        <f>IFERROR(IF(VLOOKUP($B123,casostestes[#Data],9)=0,"-",VLOOKUP($B123,casostestes[#Data],9)),"-")</f>
        <v>-</v>
      </c>
      <c r="K123" s="36"/>
      <c r="L123" s="45"/>
      <c r="M123" s="37"/>
      <c r="N123" s="38"/>
      <c r="O123" s="38"/>
      <c r="P123" s="39"/>
    </row>
    <row r="124" spans="2:16">
      <c r="B124" s="40" t="str">
        <f>IF(ISERR(casostestes[[#This Row],[ID]]),"-",casostestes[[#This Row],[ID]])</f>
        <v>-</v>
      </c>
      <c r="C124" s="34" t="str">
        <f>IFERROR(IF(VLOOKUP($B124,casostestes[#Data],10)=0,"Não",VLOOKUP($B124,casostestes[#Data],10)), "-")</f>
        <v>-</v>
      </c>
      <c r="D124" s="35" t="str">
        <f>IFERROR(IF(VLOOKUP($B124,casostestes[#Data],2)=0,"-",VLOOKUP($B124,casostestes[#Data],2)), "-")</f>
        <v>-</v>
      </c>
      <c r="E124" s="35" t="str">
        <f>IFERROR(IF(VLOOKUP($B124,casostestes[#Data],3)=0,"-",VLOOKUP($B124,casostestes[#Data],3)), "-")</f>
        <v>-</v>
      </c>
      <c r="F124" s="35" t="str">
        <f>IFERROR(IF(VLOOKUP($B124,casostestes[#Data],4)=0,"-",VLOOKUP($B124,casostestes[#Data],4)),"-")</f>
        <v>-</v>
      </c>
      <c r="G124" s="35" t="str">
        <f>IFERROR(IF(VLOOKUP($B124,casostestes[#Data],5)=0,"-",VLOOKUP($B124,casostestes[#Data],5)),"-")</f>
        <v>-</v>
      </c>
      <c r="H124" s="35" t="str">
        <f>IFERROR(IF(VLOOKUP($B124,casostestes[#Data],6)=0,"-",VLOOKUP($B124,casostestes[#Data],6)),"-")</f>
        <v>-</v>
      </c>
      <c r="I124" s="35" t="str">
        <f>IFERROR(IF(VLOOKUP($B124,casostestes[#Data],8)=0,"-",VLOOKUP($B124,casostestes[#Data],8)),"-")</f>
        <v>-</v>
      </c>
      <c r="J124" s="35" t="str">
        <f>IFERROR(IF(VLOOKUP($B124,casostestes[#Data],9)=0,"-",VLOOKUP($B124,casostestes[#Data],9)),"-")</f>
        <v>-</v>
      </c>
      <c r="K124" s="36"/>
      <c r="L124" s="45"/>
      <c r="M124" s="37"/>
      <c r="N124" s="38"/>
      <c r="O124" s="38"/>
      <c r="P124" s="39"/>
    </row>
    <row r="125" spans="2:16">
      <c r="B125" s="40" t="str">
        <f>IF(ISERR(casostestes[[#This Row],[ID]]),"-",casostestes[[#This Row],[ID]])</f>
        <v>-</v>
      </c>
      <c r="C125" s="34" t="str">
        <f>IFERROR(IF(VLOOKUP($B125,casostestes[#Data],10)=0,"Não",VLOOKUP($B125,casostestes[#Data],10)), "-")</f>
        <v>-</v>
      </c>
      <c r="D125" s="35" t="str">
        <f>IFERROR(IF(VLOOKUP($B125,casostestes[#Data],2)=0,"-",VLOOKUP($B125,casostestes[#Data],2)), "-")</f>
        <v>-</v>
      </c>
      <c r="E125" s="35" t="str">
        <f>IFERROR(IF(VLOOKUP($B125,casostestes[#Data],3)=0,"-",VLOOKUP($B125,casostestes[#Data],3)), "-")</f>
        <v>-</v>
      </c>
      <c r="F125" s="35" t="str">
        <f>IFERROR(IF(VLOOKUP($B125,casostestes[#Data],4)=0,"-",VLOOKUP($B125,casostestes[#Data],4)),"-")</f>
        <v>-</v>
      </c>
      <c r="G125" s="35" t="str">
        <f>IFERROR(IF(VLOOKUP($B125,casostestes[#Data],5)=0,"-",VLOOKUP($B125,casostestes[#Data],5)),"-")</f>
        <v>-</v>
      </c>
      <c r="H125" s="35" t="str">
        <f>IFERROR(IF(VLOOKUP($B125,casostestes[#Data],6)=0,"-",VLOOKUP($B125,casostestes[#Data],6)),"-")</f>
        <v>-</v>
      </c>
      <c r="I125" s="35" t="str">
        <f>IFERROR(IF(VLOOKUP($B125,casostestes[#Data],8)=0,"-",VLOOKUP($B125,casostestes[#Data],8)),"-")</f>
        <v>-</v>
      </c>
      <c r="J125" s="35" t="str">
        <f>IFERROR(IF(VLOOKUP($B125,casostestes[#Data],9)=0,"-",VLOOKUP($B125,casostestes[#Data],9)),"-")</f>
        <v>-</v>
      </c>
      <c r="K125" s="36"/>
      <c r="L125" s="45"/>
      <c r="M125" s="37"/>
      <c r="N125" s="38"/>
      <c r="O125" s="38"/>
      <c r="P125" s="39"/>
    </row>
    <row r="126" spans="2:16">
      <c r="B126" s="40" t="str">
        <f>IF(ISERR(casostestes[[#This Row],[ID]]),"-",casostestes[[#This Row],[ID]])</f>
        <v>-</v>
      </c>
      <c r="C126" s="34" t="str">
        <f>IFERROR(IF(VLOOKUP($B126,casostestes[#Data],10)=0,"Não",VLOOKUP($B126,casostestes[#Data],10)), "-")</f>
        <v>-</v>
      </c>
      <c r="D126" s="35" t="str">
        <f>IFERROR(IF(VLOOKUP($B126,casostestes[#Data],2)=0,"-",VLOOKUP($B126,casostestes[#Data],2)), "-")</f>
        <v>-</v>
      </c>
      <c r="E126" s="35" t="str">
        <f>IFERROR(IF(VLOOKUP($B126,casostestes[#Data],3)=0,"-",VLOOKUP($B126,casostestes[#Data],3)), "-")</f>
        <v>-</v>
      </c>
      <c r="F126" s="35" t="str">
        <f>IFERROR(IF(VLOOKUP($B126,casostestes[#Data],4)=0,"-",VLOOKUP($B126,casostestes[#Data],4)),"-")</f>
        <v>-</v>
      </c>
      <c r="G126" s="35" t="str">
        <f>IFERROR(IF(VLOOKUP($B126,casostestes[#Data],5)=0,"-",VLOOKUP($B126,casostestes[#Data],5)),"-")</f>
        <v>-</v>
      </c>
      <c r="H126" s="35" t="str">
        <f>IFERROR(IF(VLOOKUP($B126,casostestes[#Data],6)=0,"-",VLOOKUP($B126,casostestes[#Data],6)),"-")</f>
        <v>-</v>
      </c>
      <c r="I126" s="35" t="str">
        <f>IFERROR(IF(VLOOKUP($B126,casostestes[#Data],8)=0,"-",VLOOKUP($B126,casostestes[#Data],8)),"-")</f>
        <v>-</v>
      </c>
      <c r="J126" s="35" t="str">
        <f>IFERROR(IF(VLOOKUP($B126,casostestes[#Data],9)=0,"-",VLOOKUP($B126,casostestes[#Data],9)),"-")</f>
        <v>-</v>
      </c>
      <c r="K126" s="36"/>
      <c r="L126" s="45"/>
      <c r="M126" s="37"/>
      <c r="N126" s="38"/>
      <c r="O126" s="38"/>
      <c r="P126" s="39"/>
    </row>
    <row r="127" spans="2:16">
      <c r="B127" s="40" t="str">
        <f>IF(ISERR(casostestes[[#This Row],[ID]]),"-",casostestes[[#This Row],[ID]])</f>
        <v>-</v>
      </c>
      <c r="C127" s="34" t="str">
        <f>IFERROR(IF(VLOOKUP($B127,casostestes[#Data],10)=0,"Não",VLOOKUP($B127,casostestes[#Data],10)), "-")</f>
        <v>-</v>
      </c>
      <c r="D127" s="35" t="str">
        <f>IFERROR(IF(VLOOKUP($B127,casostestes[#Data],2)=0,"-",VLOOKUP($B127,casostestes[#Data],2)), "-")</f>
        <v>-</v>
      </c>
      <c r="E127" s="35" t="str">
        <f>IFERROR(IF(VLOOKUP($B127,casostestes[#Data],3)=0,"-",VLOOKUP($B127,casostestes[#Data],3)), "-")</f>
        <v>-</v>
      </c>
      <c r="F127" s="35" t="str">
        <f>IFERROR(IF(VLOOKUP($B127,casostestes[#Data],4)=0,"-",VLOOKUP($B127,casostestes[#Data],4)),"-")</f>
        <v>-</v>
      </c>
      <c r="G127" s="35" t="str">
        <f>IFERROR(IF(VLOOKUP($B127,casostestes[#Data],5)=0,"-",VLOOKUP($B127,casostestes[#Data],5)),"-")</f>
        <v>-</v>
      </c>
      <c r="H127" s="35" t="str">
        <f>IFERROR(IF(VLOOKUP($B127,casostestes[#Data],6)=0,"-",VLOOKUP($B127,casostestes[#Data],6)),"-")</f>
        <v>-</v>
      </c>
      <c r="I127" s="35" t="str">
        <f>IFERROR(IF(VLOOKUP($B127,casostestes[#Data],8)=0,"-",VLOOKUP($B127,casostestes[#Data],8)),"-")</f>
        <v>-</v>
      </c>
      <c r="J127" s="35" t="str">
        <f>IFERROR(IF(VLOOKUP($B127,casostestes[#Data],9)=0,"-",VLOOKUP($B127,casostestes[#Data],9)),"-")</f>
        <v>-</v>
      </c>
      <c r="K127" s="36"/>
      <c r="L127" s="45"/>
      <c r="M127" s="37"/>
      <c r="N127" s="38"/>
      <c r="O127" s="38"/>
      <c r="P127" s="39"/>
    </row>
    <row r="128" spans="2:16">
      <c r="B128" s="40" t="str">
        <f>IF(ISERR(casostestes[[#This Row],[ID]]),"-",casostestes[[#This Row],[ID]])</f>
        <v>-</v>
      </c>
      <c r="C128" s="34" t="str">
        <f>IFERROR(IF(VLOOKUP($B128,casostestes[#Data],10)=0,"Não",VLOOKUP($B128,casostestes[#Data],10)), "-")</f>
        <v>-</v>
      </c>
      <c r="D128" s="35" t="str">
        <f>IFERROR(IF(VLOOKUP($B128,casostestes[#Data],2)=0,"-",VLOOKUP($B128,casostestes[#Data],2)), "-")</f>
        <v>-</v>
      </c>
      <c r="E128" s="35" t="str">
        <f>IFERROR(IF(VLOOKUP($B128,casostestes[#Data],3)=0,"-",VLOOKUP($B128,casostestes[#Data],3)), "-")</f>
        <v>-</v>
      </c>
      <c r="F128" s="35" t="str">
        <f>IFERROR(IF(VLOOKUP($B128,casostestes[#Data],4)=0,"-",VLOOKUP($B128,casostestes[#Data],4)),"-")</f>
        <v>-</v>
      </c>
      <c r="G128" s="35" t="str">
        <f>IFERROR(IF(VLOOKUP($B128,casostestes[#Data],5)=0,"-",VLOOKUP($B128,casostestes[#Data],5)),"-")</f>
        <v>-</v>
      </c>
      <c r="H128" s="35" t="str">
        <f>IFERROR(IF(VLOOKUP($B128,casostestes[#Data],6)=0,"-",VLOOKUP($B128,casostestes[#Data],6)),"-")</f>
        <v>-</v>
      </c>
      <c r="I128" s="35" t="str">
        <f>IFERROR(IF(VLOOKUP($B128,casostestes[#Data],8)=0,"-",VLOOKUP($B128,casostestes[#Data],8)),"-")</f>
        <v>-</v>
      </c>
      <c r="J128" s="35" t="str">
        <f>IFERROR(IF(VLOOKUP($B128,casostestes[#Data],9)=0,"-",VLOOKUP($B128,casostestes[#Data],9)),"-")</f>
        <v>-</v>
      </c>
      <c r="K128" s="36"/>
      <c r="L128" s="45"/>
      <c r="M128" s="37"/>
      <c r="N128" s="38"/>
      <c r="O128" s="38"/>
      <c r="P128" s="39"/>
    </row>
    <row r="129" spans="2:16">
      <c r="B129" s="40" t="str">
        <f>IF(ISERR(casostestes[[#This Row],[ID]]),"-",casostestes[[#This Row],[ID]])</f>
        <v>-</v>
      </c>
      <c r="C129" s="34" t="str">
        <f>IFERROR(IF(VLOOKUP($B129,casostestes[#Data],10)=0,"Não",VLOOKUP($B129,casostestes[#Data],10)), "-")</f>
        <v>-</v>
      </c>
      <c r="D129" s="35" t="str">
        <f>IFERROR(IF(VLOOKUP($B129,casostestes[#Data],2)=0,"-",VLOOKUP($B129,casostestes[#Data],2)), "-")</f>
        <v>-</v>
      </c>
      <c r="E129" s="35" t="str">
        <f>IFERROR(IF(VLOOKUP($B129,casostestes[#Data],3)=0,"-",VLOOKUP($B129,casostestes[#Data],3)), "-")</f>
        <v>-</v>
      </c>
      <c r="F129" s="35" t="str">
        <f>IFERROR(IF(VLOOKUP($B129,casostestes[#Data],4)=0,"-",VLOOKUP($B129,casostestes[#Data],4)),"-")</f>
        <v>-</v>
      </c>
      <c r="G129" s="35" t="str">
        <f>IFERROR(IF(VLOOKUP($B129,casostestes[#Data],5)=0,"-",VLOOKUP($B129,casostestes[#Data],5)),"-")</f>
        <v>-</v>
      </c>
      <c r="H129" s="35" t="str">
        <f>IFERROR(IF(VLOOKUP($B129,casostestes[#Data],6)=0,"-",VLOOKUP($B129,casostestes[#Data],6)),"-")</f>
        <v>-</v>
      </c>
      <c r="I129" s="35" t="str">
        <f>IFERROR(IF(VLOOKUP($B129,casostestes[#Data],8)=0,"-",VLOOKUP($B129,casostestes[#Data],8)),"-")</f>
        <v>-</v>
      </c>
      <c r="J129" s="35" t="str">
        <f>IFERROR(IF(VLOOKUP($B129,casostestes[#Data],9)=0,"-",VLOOKUP($B129,casostestes[#Data],9)),"-")</f>
        <v>-</v>
      </c>
      <c r="K129" s="36"/>
      <c r="L129" s="45"/>
      <c r="M129" s="37"/>
      <c r="N129" s="38"/>
      <c r="O129" s="38"/>
      <c r="P129" s="39"/>
    </row>
    <row r="130" spans="2:16">
      <c r="B130" s="40" t="str">
        <f>IF(ISERR(casostestes[[#This Row],[ID]]),"-",casostestes[[#This Row],[ID]])</f>
        <v>-</v>
      </c>
      <c r="C130" s="34" t="str">
        <f>IFERROR(IF(VLOOKUP($B130,casostestes[#Data],10)=0,"Não",VLOOKUP($B130,casostestes[#Data],10)), "-")</f>
        <v>-</v>
      </c>
      <c r="D130" s="35" t="str">
        <f>IFERROR(IF(VLOOKUP($B130,casostestes[#Data],2)=0,"-",VLOOKUP($B130,casostestes[#Data],2)), "-")</f>
        <v>-</v>
      </c>
      <c r="E130" s="35" t="str">
        <f>IFERROR(IF(VLOOKUP($B130,casostestes[#Data],3)=0,"-",VLOOKUP($B130,casostestes[#Data],3)), "-")</f>
        <v>-</v>
      </c>
      <c r="F130" s="35" t="str">
        <f>IFERROR(IF(VLOOKUP($B130,casostestes[#Data],4)=0,"-",VLOOKUP($B130,casostestes[#Data],4)),"-")</f>
        <v>-</v>
      </c>
      <c r="G130" s="35" t="str">
        <f>IFERROR(IF(VLOOKUP($B130,casostestes[#Data],5)=0,"-",VLOOKUP($B130,casostestes[#Data],5)),"-")</f>
        <v>-</v>
      </c>
      <c r="H130" s="35" t="str">
        <f>IFERROR(IF(VLOOKUP($B130,casostestes[#Data],6)=0,"-",VLOOKUP($B130,casostestes[#Data],6)),"-")</f>
        <v>-</v>
      </c>
      <c r="I130" s="35" t="str">
        <f>IFERROR(IF(VLOOKUP($B130,casostestes[#Data],8)=0,"-",VLOOKUP($B130,casostestes[#Data],8)),"-")</f>
        <v>-</v>
      </c>
      <c r="J130" s="35" t="str">
        <f>IFERROR(IF(VLOOKUP($B130,casostestes[#Data],9)=0,"-",VLOOKUP($B130,casostestes[#Data],9)),"-")</f>
        <v>-</v>
      </c>
      <c r="K130" s="36"/>
      <c r="L130" s="45"/>
      <c r="M130" s="37"/>
      <c r="N130" s="38"/>
      <c r="O130" s="38"/>
      <c r="P130" s="39"/>
    </row>
    <row r="131" spans="2:16">
      <c r="B131" s="40" t="str">
        <f>IF(ISERR(casostestes[[#This Row],[ID]]),"-",casostestes[[#This Row],[ID]])</f>
        <v>-</v>
      </c>
      <c r="C131" s="34" t="str">
        <f>IFERROR(IF(VLOOKUP($B131,casostestes[#Data],10)=0,"Não",VLOOKUP($B131,casostestes[#Data],10)), "-")</f>
        <v>-</v>
      </c>
      <c r="D131" s="35" t="str">
        <f>IFERROR(IF(VLOOKUP($B131,casostestes[#Data],2)=0,"-",VLOOKUP($B131,casostestes[#Data],2)), "-")</f>
        <v>-</v>
      </c>
      <c r="E131" s="35" t="str">
        <f>IFERROR(IF(VLOOKUP($B131,casostestes[#Data],3)=0,"-",VLOOKUP($B131,casostestes[#Data],3)), "-")</f>
        <v>-</v>
      </c>
      <c r="F131" s="35" t="str">
        <f>IFERROR(IF(VLOOKUP($B131,casostestes[#Data],4)=0,"-",VLOOKUP($B131,casostestes[#Data],4)),"-")</f>
        <v>-</v>
      </c>
      <c r="G131" s="35" t="str">
        <f>IFERROR(IF(VLOOKUP($B131,casostestes[#Data],5)=0,"-",VLOOKUP($B131,casostestes[#Data],5)),"-")</f>
        <v>-</v>
      </c>
      <c r="H131" s="35" t="str">
        <f>IFERROR(IF(VLOOKUP($B131,casostestes[#Data],6)=0,"-",VLOOKUP($B131,casostestes[#Data],6)),"-")</f>
        <v>-</v>
      </c>
      <c r="I131" s="35" t="str">
        <f>IFERROR(IF(VLOOKUP($B131,casostestes[#Data],8)=0,"-",VLOOKUP($B131,casostestes[#Data],8)),"-")</f>
        <v>-</v>
      </c>
      <c r="J131" s="35" t="str">
        <f>IFERROR(IF(VLOOKUP($B131,casostestes[#Data],9)=0,"-",VLOOKUP($B131,casostestes[#Data],9)),"-")</f>
        <v>-</v>
      </c>
      <c r="K131" s="36"/>
      <c r="L131" s="45"/>
      <c r="M131" s="37"/>
      <c r="N131" s="38"/>
      <c r="O131" s="38"/>
      <c r="P131" s="39"/>
    </row>
    <row r="132" spans="2:16">
      <c r="B132" s="40" t="str">
        <f>IF(ISERR(casostestes[[#This Row],[ID]]),"-",casostestes[[#This Row],[ID]])</f>
        <v>-</v>
      </c>
      <c r="C132" s="34" t="str">
        <f>IFERROR(IF(VLOOKUP($B132,casostestes[#Data],10)=0,"Não",VLOOKUP($B132,casostestes[#Data],10)), "-")</f>
        <v>-</v>
      </c>
      <c r="D132" s="35" t="str">
        <f>IFERROR(IF(VLOOKUP($B132,casostestes[#Data],2)=0,"-",VLOOKUP($B132,casostestes[#Data],2)), "-")</f>
        <v>-</v>
      </c>
      <c r="E132" s="35" t="str">
        <f>IFERROR(IF(VLOOKUP($B132,casostestes[#Data],3)=0,"-",VLOOKUP($B132,casostestes[#Data],3)), "-")</f>
        <v>-</v>
      </c>
      <c r="F132" s="35" t="str">
        <f>IFERROR(IF(VLOOKUP($B132,casostestes[#Data],4)=0,"-",VLOOKUP($B132,casostestes[#Data],4)),"-")</f>
        <v>-</v>
      </c>
      <c r="G132" s="35" t="str">
        <f>IFERROR(IF(VLOOKUP($B132,casostestes[#Data],5)=0,"-",VLOOKUP($B132,casostestes[#Data],5)),"-")</f>
        <v>-</v>
      </c>
      <c r="H132" s="35" t="str">
        <f>IFERROR(IF(VLOOKUP($B132,casostestes[#Data],6)=0,"-",VLOOKUP($B132,casostestes[#Data],6)),"-")</f>
        <v>-</v>
      </c>
      <c r="I132" s="35" t="str">
        <f>IFERROR(IF(VLOOKUP($B132,casostestes[#Data],8)=0,"-",VLOOKUP($B132,casostestes[#Data],8)),"-")</f>
        <v>-</v>
      </c>
      <c r="J132" s="35" t="str">
        <f>IFERROR(IF(VLOOKUP($B132,casostestes[#Data],9)=0,"-",VLOOKUP($B132,casostestes[#Data],9)),"-")</f>
        <v>-</v>
      </c>
      <c r="K132" s="36"/>
      <c r="L132" s="45"/>
      <c r="M132" s="37"/>
      <c r="N132" s="38"/>
      <c r="O132" s="38"/>
      <c r="P132" s="39"/>
    </row>
    <row r="133" spans="2:16">
      <c r="B133" s="40" t="str">
        <f>IF(ISERR(casostestes[[#This Row],[ID]]),"-",casostestes[[#This Row],[ID]])</f>
        <v>-</v>
      </c>
      <c r="C133" s="34" t="str">
        <f>IFERROR(IF(VLOOKUP($B133,casostestes[#Data],10)=0,"Não",VLOOKUP($B133,casostestes[#Data],10)), "-")</f>
        <v>-</v>
      </c>
      <c r="D133" s="35" t="str">
        <f>IFERROR(IF(VLOOKUP($B133,casostestes[#Data],2)=0,"-",VLOOKUP($B133,casostestes[#Data],2)), "-")</f>
        <v>-</v>
      </c>
      <c r="E133" s="35" t="str">
        <f>IFERROR(IF(VLOOKUP($B133,casostestes[#Data],3)=0,"-",VLOOKUP($B133,casostestes[#Data],3)), "-")</f>
        <v>-</v>
      </c>
      <c r="F133" s="35" t="str">
        <f>IFERROR(IF(VLOOKUP($B133,casostestes[#Data],4)=0,"-",VLOOKUP($B133,casostestes[#Data],4)),"-")</f>
        <v>-</v>
      </c>
      <c r="G133" s="35" t="str">
        <f>IFERROR(IF(VLOOKUP($B133,casostestes[#Data],5)=0,"-",VLOOKUP($B133,casostestes[#Data],5)),"-")</f>
        <v>-</v>
      </c>
      <c r="H133" s="35" t="str">
        <f>IFERROR(IF(VLOOKUP($B133,casostestes[#Data],6)=0,"-",VLOOKUP($B133,casostestes[#Data],6)),"-")</f>
        <v>-</v>
      </c>
      <c r="I133" s="35" t="str">
        <f>IFERROR(IF(VLOOKUP($B133,casostestes[#Data],8)=0,"-",VLOOKUP($B133,casostestes[#Data],8)),"-")</f>
        <v>-</v>
      </c>
      <c r="J133" s="35" t="str">
        <f>IFERROR(IF(VLOOKUP($B133,casostestes[#Data],9)=0,"-",VLOOKUP($B133,casostestes[#Data],9)),"-")</f>
        <v>-</v>
      </c>
      <c r="K133" s="36"/>
      <c r="L133" s="45"/>
      <c r="M133" s="37"/>
      <c r="N133" s="38"/>
      <c r="O133" s="38"/>
      <c r="P133" s="39"/>
    </row>
    <row r="134" spans="2:16">
      <c r="B134" s="40" t="str">
        <f>IF(ISERR(casostestes[[#This Row],[ID]]),"-",casostestes[[#This Row],[ID]])</f>
        <v>-</v>
      </c>
      <c r="C134" s="34" t="str">
        <f>IFERROR(IF(VLOOKUP($B134,casostestes[#Data],10)=0,"Não",VLOOKUP($B134,casostestes[#Data],10)), "-")</f>
        <v>-</v>
      </c>
      <c r="D134" s="35" t="str">
        <f>IFERROR(IF(VLOOKUP($B134,casostestes[#Data],2)=0,"-",VLOOKUP($B134,casostestes[#Data],2)), "-")</f>
        <v>-</v>
      </c>
      <c r="E134" s="35" t="str">
        <f>IFERROR(IF(VLOOKUP($B134,casostestes[#Data],3)=0,"-",VLOOKUP($B134,casostestes[#Data],3)), "-")</f>
        <v>-</v>
      </c>
      <c r="F134" s="35" t="str">
        <f>IFERROR(IF(VLOOKUP($B134,casostestes[#Data],4)=0,"-",VLOOKUP($B134,casostestes[#Data],4)),"-")</f>
        <v>-</v>
      </c>
      <c r="G134" s="35" t="str">
        <f>IFERROR(IF(VLOOKUP($B134,casostestes[#Data],5)=0,"-",VLOOKUP($B134,casostestes[#Data],5)),"-")</f>
        <v>-</v>
      </c>
      <c r="H134" s="35" t="str">
        <f>IFERROR(IF(VLOOKUP($B134,casostestes[#Data],6)=0,"-",VLOOKUP($B134,casostestes[#Data],6)),"-")</f>
        <v>-</v>
      </c>
      <c r="I134" s="35" t="str">
        <f>IFERROR(IF(VLOOKUP($B134,casostestes[#Data],8)=0,"-",VLOOKUP($B134,casostestes[#Data],8)),"-")</f>
        <v>-</v>
      </c>
      <c r="J134" s="35" t="str">
        <f>IFERROR(IF(VLOOKUP($B134,casostestes[#Data],9)=0,"-",VLOOKUP($B134,casostestes[#Data],9)),"-")</f>
        <v>-</v>
      </c>
      <c r="K134" s="36"/>
      <c r="L134" s="45"/>
      <c r="M134" s="37"/>
      <c r="N134" s="38"/>
      <c r="O134" s="38"/>
      <c r="P134" s="39"/>
    </row>
    <row r="135" spans="2:16">
      <c r="B135" s="40" t="str">
        <f>IF(ISERR(casostestes[[#This Row],[ID]]),"-",casostestes[[#This Row],[ID]])</f>
        <v>-</v>
      </c>
      <c r="C135" s="34" t="str">
        <f>IFERROR(IF(VLOOKUP($B135,casostestes[#Data],10)=0,"Não",VLOOKUP($B135,casostestes[#Data],10)), "-")</f>
        <v>-</v>
      </c>
      <c r="D135" s="35" t="str">
        <f>IFERROR(IF(VLOOKUP($B135,casostestes[#Data],2)=0,"-",VLOOKUP($B135,casostestes[#Data],2)), "-")</f>
        <v>-</v>
      </c>
      <c r="E135" s="35" t="str">
        <f>IFERROR(IF(VLOOKUP($B135,casostestes[#Data],3)=0,"-",VLOOKUP($B135,casostestes[#Data],3)), "-")</f>
        <v>-</v>
      </c>
      <c r="F135" s="35" t="str">
        <f>IFERROR(IF(VLOOKUP($B135,casostestes[#Data],4)=0,"-",VLOOKUP($B135,casostestes[#Data],4)),"-")</f>
        <v>-</v>
      </c>
      <c r="G135" s="35" t="str">
        <f>IFERROR(IF(VLOOKUP($B135,casostestes[#Data],5)=0,"-",VLOOKUP($B135,casostestes[#Data],5)),"-")</f>
        <v>-</v>
      </c>
      <c r="H135" s="35" t="str">
        <f>IFERROR(IF(VLOOKUP($B135,casostestes[#Data],6)=0,"-",VLOOKUP($B135,casostestes[#Data],6)),"-")</f>
        <v>-</v>
      </c>
      <c r="I135" s="35" t="str">
        <f>IFERROR(IF(VLOOKUP($B135,casostestes[#Data],8)=0,"-",VLOOKUP($B135,casostestes[#Data],8)),"-")</f>
        <v>-</v>
      </c>
      <c r="J135" s="35" t="str">
        <f>IFERROR(IF(VLOOKUP($B135,casostestes[#Data],9)=0,"-",VLOOKUP($B135,casostestes[#Data],9)),"-")</f>
        <v>-</v>
      </c>
      <c r="K135" s="36"/>
      <c r="L135" s="45"/>
      <c r="M135" s="37"/>
      <c r="N135" s="38"/>
      <c r="O135" s="38"/>
      <c r="P135" s="39"/>
    </row>
    <row r="136" spans="2:16">
      <c r="B136" s="40" t="str">
        <f>IF(ISERR(casostestes[[#This Row],[ID]]),"-",casostestes[[#This Row],[ID]])</f>
        <v>-</v>
      </c>
      <c r="C136" s="34" t="str">
        <f>IFERROR(IF(VLOOKUP($B136,casostestes[#Data],10)=0,"Não",VLOOKUP($B136,casostestes[#Data],10)), "-")</f>
        <v>-</v>
      </c>
      <c r="D136" s="35" t="str">
        <f>IFERROR(IF(VLOOKUP($B136,casostestes[#Data],2)=0,"-",VLOOKUP($B136,casostestes[#Data],2)), "-")</f>
        <v>-</v>
      </c>
      <c r="E136" s="35" t="str">
        <f>IFERROR(IF(VLOOKUP($B136,casostestes[#Data],3)=0,"-",VLOOKUP($B136,casostestes[#Data],3)), "-")</f>
        <v>-</v>
      </c>
      <c r="F136" s="35" t="str">
        <f>IFERROR(IF(VLOOKUP($B136,casostestes[#Data],4)=0,"-",VLOOKUP($B136,casostestes[#Data],4)),"-")</f>
        <v>-</v>
      </c>
      <c r="G136" s="35" t="str">
        <f>IFERROR(IF(VLOOKUP($B136,casostestes[#Data],5)=0,"-",VLOOKUP($B136,casostestes[#Data],5)),"-")</f>
        <v>-</v>
      </c>
      <c r="H136" s="35" t="str">
        <f>IFERROR(IF(VLOOKUP($B136,casostestes[#Data],6)=0,"-",VLOOKUP($B136,casostestes[#Data],6)),"-")</f>
        <v>-</v>
      </c>
      <c r="I136" s="35" t="str">
        <f>IFERROR(IF(VLOOKUP($B136,casostestes[#Data],8)=0,"-",VLOOKUP($B136,casostestes[#Data],8)),"-")</f>
        <v>-</v>
      </c>
      <c r="J136" s="35" t="str">
        <f>IFERROR(IF(VLOOKUP($B136,casostestes[#Data],9)=0,"-",VLOOKUP($B136,casostestes[#Data],9)),"-")</f>
        <v>-</v>
      </c>
      <c r="K136" s="36"/>
      <c r="L136" s="45"/>
      <c r="M136" s="37"/>
      <c r="N136" s="38"/>
      <c r="O136" s="38"/>
      <c r="P136" s="39"/>
    </row>
    <row r="137" spans="2:16">
      <c r="B137" s="40" t="str">
        <f>IF(ISERR(casostestes[[#This Row],[ID]]),"-",casostestes[[#This Row],[ID]])</f>
        <v>-</v>
      </c>
      <c r="C137" s="34" t="str">
        <f>IFERROR(IF(VLOOKUP($B137,casostestes[#Data],10)=0,"Não",VLOOKUP($B137,casostestes[#Data],10)), "-")</f>
        <v>-</v>
      </c>
      <c r="D137" s="35" t="str">
        <f>IFERROR(IF(VLOOKUP($B137,casostestes[#Data],2)=0,"-",VLOOKUP($B137,casostestes[#Data],2)), "-")</f>
        <v>-</v>
      </c>
      <c r="E137" s="35" t="str">
        <f>IFERROR(IF(VLOOKUP($B137,casostestes[#Data],3)=0,"-",VLOOKUP($B137,casostestes[#Data],3)), "-")</f>
        <v>-</v>
      </c>
      <c r="F137" s="35" t="str">
        <f>IFERROR(IF(VLOOKUP($B137,casostestes[#Data],4)=0,"-",VLOOKUP($B137,casostestes[#Data],4)),"-")</f>
        <v>-</v>
      </c>
      <c r="G137" s="35" t="str">
        <f>IFERROR(IF(VLOOKUP($B137,casostestes[#Data],5)=0,"-",VLOOKUP($B137,casostestes[#Data],5)),"-")</f>
        <v>-</v>
      </c>
      <c r="H137" s="35" t="str">
        <f>IFERROR(IF(VLOOKUP($B137,casostestes[#Data],6)=0,"-",VLOOKUP($B137,casostestes[#Data],6)),"-")</f>
        <v>-</v>
      </c>
      <c r="I137" s="35" t="str">
        <f>IFERROR(IF(VLOOKUP($B137,casostestes[#Data],8)=0,"-",VLOOKUP($B137,casostestes[#Data],8)),"-")</f>
        <v>-</v>
      </c>
      <c r="J137" s="35" t="str">
        <f>IFERROR(IF(VLOOKUP($B137,casostestes[#Data],9)=0,"-",VLOOKUP($B137,casostestes[#Data],9)),"-")</f>
        <v>-</v>
      </c>
      <c r="K137" s="36"/>
      <c r="L137" s="45"/>
      <c r="M137" s="37"/>
      <c r="N137" s="38"/>
      <c r="O137" s="38"/>
      <c r="P137" s="39"/>
    </row>
    <row r="138" spans="2:16">
      <c r="B138" s="40" t="str">
        <f>IF(ISERR(casostestes[[#This Row],[ID]]),"-",casostestes[[#This Row],[ID]])</f>
        <v>-</v>
      </c>
      <c r="C138" s="34" t="str">
        <f>IFERROR(IF(VLOOKUP($B138,casostestes[#Data],10)=0,"Não",VLOOKUP($B138,casostestes[#Data],10)), "-")</f>
        <v>-</v>
      </c>
      <c r="D138" s="35" t="str">
        <f>IFERROR(IF(VLOOKUP($B138,casostestes[#Data],2)=0,"-",VLOOKUP($B138,casostestes[#Data],2)), "-")</f>
        <v>-</v>
      </c>
      <c r="E138" s="35" t="str">
        <f>IFERROR(IF(VLOOKUP($B138,casostestes[#Data],3)=0,"-",VLOOKUP($B138,casostestes[#Data],3)), "-")</f>
        <v>-</v>
      </c>
      <c r="F138" s="35" t="str">
        <f>IFERROR(IF(VLOOKUP($B138,casostestes[#Data],4)=0,"-",VLOOKUP($B138,casostestes[#Data],4)),"-")</f>
        <v>-</v>
      </c>
      <c r="G138" s="35" t="str">
        <f>IFERROR(IF(VLOOKUP($B138,casostestes[#Data],5)=0,"-",VLOOKUP($B138,casostestes[#Data],5)),"-")</f>
        <v>-</v>
      </c>
      <c r="H138" s="35" t="str">
        <f>IFERROR(IF(VLOOKUP($B138,casostestes[#Data],6)=0,"-",VLOOKUP($B138,casostestes[#Data],6)),"-")</f>
        <v>-</v>
      </c>
      <c r="I138" s="35" t="str">
        <f>IFERROR(IF(VLOOKUP($B138,casostestes[#Data],8)=0,"-",VLOOKUP($B138,casostestes[#Data],8)),"-")</f>
        <v>-</v>
      </c>
      <c r="J138" s="35" t="str">
        <f>IFERROR(IF(VLOOKUP($B138,casostestes[#Data],9)=0,"-",VLOOKUP($B138,casostestes[#Data],9)),"-")</f>
        <v>-</v>
      </c>
      <c r="K138" s="36"/>
      <c r="L138" s="45"/>
      <c r="M138" s="37"/>
      <c r="N138" s="38"/>
      <c r="O138" s="38"/>
      <c r="P138" s="39"/>
    </row>
    <row r="139" spans="2:16">
      <c r="B139" s="40" t="str">
        <f>IF(ISERR(casostestes[[#This Row],[ID]]),"-",casostestes[[#This Row],[ID]])</f>
        <v>-</v>
      </c>
      <c r="C139" s="34" t="str">
        <f>IFERROR(IF(VLOOKUP($B139,casostestes[#Data],10)=0,"Não",VLOOKUP($B139,casostestes[#Data],10)), "-")</f>
        <v>-</v>
      </c>
      <c r="D139" s="35" t="str">
        <f>IFERROR(IF(VLOOKUP($B139,casostestes[#Data],2)=0,"-",VLOOKUP($B139,casostestes[#Data],2)), "-")</f>
        <v>-</v>
      </c>
      <c r="E139" s="35" t="str">
        <f>IFERROR(IF(VLOOKUP($B139,casostestes[#Data],3)=0,"-",VLOOKUP($B139,casostestes[#Data],3)), "-")</f>
        <v>-</v>
      </c>
      <c r="F139" s="35" t="str">
        <f>IFERROR(IF(VLOOKUP($B139,casostestes[#Data],4)=0,"-",VLOOKUP($B139,casostestes[#Data],4)),"-")</f>
        <v>-</v>
      </c>
      <c r="G139" s="35" t="str">
        <f>IFERROR(IF(VLOOKUP($B139,casostestes[#Data],5)=0,"-",VLOOKUP($B139,casostestes[#Data],5)),"-")</f>
        <v>-</v>
      </c>
      <c r="H139" s="35" t="str">
        <f>IFERROR(IF(VLOOKUP($B139,casostestes[#Data],6)=0,"-",VLOOKUP($B139,casostestes[#Data],6)),"-")</f>
        <v>-</v>
      </c>
      <c r="I139" s="35" t="str">
        <f>IFERROR(IF(VLOOKUP($B139,casostestes[#Data],8)=0,"-",VLOOKUP($B139,casostestes[#Data],8)),"-")</f>
        <v>-</v>
      </c>
      <c r="J139" s="35" t="str">
        <f>IFERROR(IF(VLOOKUP($B139,casostestes[#Data],9)=0,"-",VLOOKUP($B139,casostestes[#Data],9)),"-")</f>
        <v>-</v>
      </c>
      <c r="K139" s="36"/>
      <c r="L139" s="45"/>
      <c r="M139" s="37"/>
      <c r="N139" s="38"/>
      <c r="O139" s="38"/>
      <c r="P139" s="39"/>
    </row>
    <row r="140" spans="2:16">
      <c r="B140" s="40" t="str">
        <f>IF(ISERR(casostestes[[#This Row],[ID]]),"-",casostestes[[#This Row],[ID]])</f>
        <v>-</v>
      </c>
      <c r="C140" s="34" t="str">
        <f>IFERROR(IF(VLOOKUP($B140,casostestes[#Data],10)=0,"Não",VLOOKUP($B140,casostestes[#Data],10)), "-")</f>
        <v>-</v>
      </c>
      <c r="D140" s="35" t="str">
        <f>IFERROR(IF(VLOOKUP($B140,casostestes[#Data],2)=0,"-",VLOOKUP($B140,casostestes[#Data],2)), "-")</f>
        <v>-</v>
      </c>
      <c r="E140" s="35" t="str">
        <f>IFERROR(IF(VLOOKUP($B140,casostestes[#Data],3)=0,"-",VLOOKUP($B140,casostestes[#Data],3)), "-")</f>
        <v>-</v>
      </c>
      <c r="F140" s="35" t="str">
        <f>IFERROR(IF(VLOOKUP($B140,casostestes[#Data],4)=0,"-",VLOOKUP($B140,casostestes[#Data],4)),"-")</f>
        <v>-</v>
      </c>
      <c r="G140" s="35" t="str">
        <f>IFERROR(IF(VLOOKUP($B140,casostestes[#Data],5)=0,"-",VLOOKUP($B140,casostestes[#Data],5)),"-")</f>
        <v>-</v>
      </c>
      <c r="H140" s="35" t="str">
        <f>IFERROR(IF(VLOOKUP($B140,casostestes[#Data],6)=0,"-",VLOOKUP($B140,casostestes[#Data],6)),"-")</f>
        <v>-</v>
      </c>
      <c r="I140" s="35" t="str">
        <f>IFERROR(IF(VLOOKUP($B140,casostestes[#Data],8)=0,"-",VLOOKUP($B140,casostestes[#Data],8)),"-")</f>
        <v>-</v>
      </c>
      <c r="J140" s="35" t="str">
        <f>IFERROR(IF(VLOOKUP($B140,casostestes[#Data],9)=0,"-",VLOOKUP($B140,casostestes[#Data],9)),"-")</f>
        <v>-</v>
      </c>
      <c r="K140" s="36"/>
      <c r="L140" s="45"/>
      <c r="M140" s="37"/>
      <c r="N140" s="38"/>
      <c r="O140" s="38"/>
      <c r="P140" s="39"/>
    </row>
    <row r="141" spans="2:16">
      <c r="B141" s="40" t="str">
        <f>IF(ISERR(casostestes[[#This Row],[ID]]),"-",casostestes[[#This Row],[ID]])</f>
        <v>-</v>
      </c>
      <c r="C141" s="34" t="str">
        <f>IFERROR(IF(VLOOKUP($B141,casostestes[#Data],10)=0,"Não",VLOOKUP($B141,casostestes[#Data],10)), "-")</f>
        <v>-</v>
      </c>
      <c r="D141" s="35" t="str">
        <f>IFERROR(IF(VLOOKUP($B141,casostestes[#Data],2)=0,"-",VLOOKUP($B141,casostestes[#Data],2)), "-")</f>
        <v>-</v>
      </c>
      <c r="E141" s="35" t="str">
        <f>IFERROR(IF(VLOOKUP($B141,casostestes[#Data],3)=0,"-",VLOOKUP($B141,casostestes[#Data],3)), "-")</f>
        <v>-</v>
      </c>
      <c r="F141" s="35" t="str">
        <f>IFERROR(IF(VLOOKUP($B141,casostestes[#Data],4)=0,"-",VLOOKUP($B141,casostestes[#Data],4)),"-")</f>
        <v>-</v>
      </c>
      <c r="G141" s="35" t="str">
        <f>IFERROR(IF(VLOOKUP($B141,casostestes[#Data],5)=0,"-",VLOOKUP($B141,casostestes[#Data],5)),"-")</f>
        <v>-</v>
      </c>
      <c r="H141" s="35" t="str">
        <f>IFERROR(IF(VLOOKUP($B141,casostestes[#Data],6)=0,"-",VLOOKUP($B141,casostestes[#Data],6)),"-")</f>
        <v>-</v>
      </c>
      <c r="I141" s="35" t="str">
        <f>IFERROR(IF(VLOOKUP($B141,casostestes[#Data],8)=0,"-",VLOOKUP($B141,casostestes[#Data],8)),"-")</f>
        <v>-</v>
      </c>
      <c r="J141" s="35" t="str">
        <f>IFERROR(IF(VLOOKUP($B141,casostestes[#Data],9)=0,"-",VLOOKUP($B141,casostestes[#Data],9)),"-")</f>
        <v>-</v>
      </c>
      <c r="K141" s="36"/>
      <c r="L141" s="45"/>
      <c r="M141" s="37"/>
      <c r="N141" s="38"/>
      <c r="O141" s="38"/>
      <c r="P141" s="39"/>
    </row>
    <row r="142" spans="2:16">
      <c r="B142" s="40" t="str">
        <f>IF(ISERR(casostestes[[#This Row],[ID]]),"-",casostestes[[#This Row],[ID]])</f>
        <v>-</v>
      </c>
      <c r="C142" s="34" t="str">
        <f>IFERROR(IF(VLOOKUP($B142,casostestes[#Data],10)=0,"Não",VLOOKUP($B142,casostestes[#Data],10)), "-")</f>
        <v>-</v>
      </c>
      <c r="D142" s="35" t="str">
        <f>IFERROR(IF(VLOOKUP($B142,casostestes[#Data],2)=0,"-",VLOOKUP($B142,casostestes[#Data],2)), "-")</f>
        <v>-</v>
      </c>
      <c r="E142" s="35" t="str">
        <f>IFERROR(IF(VLOOKUP($B142,casostestes[#Data],3)=0,"-",VLOOKUP($B142,casostestes[#Data],3)), "-")</f>
        <v>-</v>
      </c>
      <c r="F142" s="35" t="str">
        <f>IFERROR(IF(VLOOKUP($B142,casostestes[#Data],4)=0,"-",VLOOKUP($B142,casostestes[#Data],4)),"-")</f>
        <v>-</v>
      </c>
      <c r="G142" s="35" t="str">
        <f>IFERROR(IF(VLOOKUP($B142,casostestes[#Data],5)=0,"-",VLOOKUP($B142,casostestes[#Data],5)),"-")</f>
        <v>-</v>
      </c>
      <c r="H142" s="35" t="str">
        <f>IFERROR(IF(VLOOKUP($B142,casostestes[#Data],6)=0,"-",VLOOKUP($B142,casostestes[#Data],6)),"-")</f>
        <v>-</v>
      </c>
      <c r="I142" s="35" t="str">
        <f>IFERROR(IF(VLOOKUP($B142,casostestes[#Data],8)=0,"-",VLOOKUP($B142,casostestes[#Data],8)),"-")</f>
        <v>-</v>
      </c>
      <c r="J142" s="35" t="str">
        <f>IFERROR(IF(VLOOKUP($B142,casostestes[#Data],9)=0,"-",VLOOKUP($B142,casostestes[#Data],9)),"-")</f>
        <v>-</v>
      </c>
      <c r="K142" s="36"/>
      <c r="L142" s="45"/>
      <c r="M142" s="37"/>
      <c r="N142" s="38"/>
      <c r="O142" s="38"/>
      <c r="P142" s="39"/>
    </row>
    <row r="143" spans="2:16">
      <c r="B143" s="40" t="str">
        <f>IF(ISERR(casostestes[[#This Row],[ID]]),"-",casostestes[[#This Row],[ID]])</f>
        <v>-</v>
      </c>
      <c r="C143" s="34" t="str">
        <f>IFERROR(IF(VLOOKUP($B143,casostestes[#Data],10)=0,"Não",VLOOKUP($B143,casostestes[#Data],10)), "-")</f>
        <v>-</v>
      </c>
      <c r="D143" s="35" t="str">
        <f>IFERROR(IF(VLOOKUP($B143,casostestes[#Data],2)=0,"-",VLOOKUP($B143,casostestes[#Data],2)), "-")</f>
        <v>-</v>
      </c>
      <c r="E143" s="35" t="str">
        <f>IFERROR(IF(VLOOKUP($B143,casostestes[#Data],3)=0,"-",VLOOKUP($B143,casostestes[#Data],3)), "-")</f>
        <v>-</v>
      </c>
      <c r="F143" s="35" t="str">
        <f>IFERROR(IF(VLOOKUP($B143,casostestes[#Data],4)=0,"-",VLOOKUP($B143,casostestes[#Data],4)),"-")</f>
        <v>-</v>
      </c>
      <c r="G143" s="35" t="str">
        <f>IFERROR(IF(VLOOKUP($B143,casostestes[#Data],5)=0,"-",VLOOKUP($B143,casostestes[#Data],5)),"-")</f>
        <v>-</v>
      </c>
      <c r="H143" s="35" t="str">
        <f>IFERROR(IF(VLOOKUP($B143,casostestes[#Data],6)=0,"-",VLOOKUP($B143,casostestes[#Data],6)),"-")</f>
        <v>-</v>
      </c>
      <c r="I143" s="35" t="str">
        <f>IFERROR(IF(VLOOKUP($B143,casostestes[#Data],8)=0,"-",VLOOKUP($B143,casostestes[#Data],8)),"-")</f>
        <v>-</v>
      </c>
      <c r="J143" s="35" t="str">
        <f>IFERROR(IF(VLOOKUP($B143,casostestes[#Data],9)=0,"-",VLOOKUP($B143,casostestes[#Data],9)),"-")</f>
        <v>-</v>
      </c>
      <c r="K143" s="36"/>
      <c r="L143" s="45"/>
      <c r="M143" s="37"/>
      <c r="N143" s="38"/>
      <c r="O143" s="38"/>
      <c r="P143" s="39"/>
    </row>
    <row r="144" spans="2:16">
      <c r="B144" s="40" t="str">
        <f>IF(ISERR(casostestes[[#This Row],[ID]]),"-",casostestes[[#This Row],[ID]])</f>
        <v>-</v>
      </c>
      <c r="C144" s="34" t="str">
        <f>IFERROR(IF(VLOOKUP($B144,casostestes[#Data],10)=0,"Não",VLOOKUP($B144,casostestes[#Data],10)), "-")</f>
        <v>-</v>
      </c>
      <c r="D144" s="35" t="str">
        <f>IFERROR(IF(VLOOKUP($B144,casostestes[#Data],2)=0,"-",VLOOKUP($B144,casostestes[#Data],2)), "-")</f>
        <v>-</v>
      </c>
      <c r="E144" s="35" t="str">
        <f>IFERROR(IF(VLOOKUP($B144,casostestes[#Data],3)=0,"-",VLOOKUP($B144,casostestes[#Data],3)), "-")</f>
        <v>-</v>
      </c>
      <c r="F144" s="35" t="str">
        <f>IFERROR(IF(VLOOKUP($B144,casostestes[#Data],4)=0,"-",VLOOKUP($B144,casostestes[#Data],4)),"-")</f>
        <v>-</v>
      </c>
      <c r="G144" s="35" t="str">
        <f>IFERROR(IF(VLOOKUP($B144,casostestes[#Data],5)=0,"-",VLOOKUP($B144,casostestes[#Data],5)),"-")</f>
        <v>-</v>
      </c>
      <c r="H144" s="35" t="str">
        <f>IFERROR(IF(VLOOKUP($B144,casostestes[#Data],6)=0,"-",VLOOKUP($B144,casostestes[#Data],6)),"-")</f>
        <v>-</v>
      </c>
      <c r="I144" s="35" t="str">
        <f>IFERROR(IF(VLOOKUP($B144,casostestes[#Data],8)=0,"-",VLOOKUP($B144,casostestes[#Data],8)),"-")</f>
        <v>-</v>
      </c>
      <c r="J144" s="35" t="str">
        <f>IFERROR(IF(VLOOKUP($B144,casostestes[#Data],9)=0,"-",VLOOKUP($B144,casostestes[#Data],9)),"-")</f>
        <v>-</v>
      </c>
      <c r="K144" s="36"/>
      <c r="L144" s="45"/>
      <c r="M144" s="37"/>
      <c r="N144" s="38"/>
      <c r="O144" s="38"/>
      <c r="P144" s="39"/>
    </row>
    <row r="145" spans="2:16">
      <c r="B145" s="40" t="str">
        <f>IF(ISERR(casostestes[[#This Row],[ID]]),"-",casostestes[[#This Row],[ID]])</f>
        <v>-</v>
      </c>
      <c r="C145" s="34" t="str">
        <f>IFERROR(IF(VLOOKUP($B145,casostestes[#Data],10)=0,"Não",VLOOKUP($B145,casostestes[#Data],10)), "-")</f>
        <v>-</v>
      </c>
      <c r="D145" s="35" t="str">
        <f>IFERROR(IF(VLOOKUP($B145,casostestes[#Data],2)=0,"-",VLOOKUP($B145,casostestes[#Data],2)), "-")</f>
        <v>-</v>
      </c>
      <c r="E145" s="35" t="str">
        <f>IFERROR(IF(VLOOKUP($B145,casostestes[#Data],3)=0,"-",VLOOKUP($B145,casostestes[#Data],3)), "-")</f>
        <v>-</v>
      </c>
      <c r="F145" s="35" t="str">
        <f>IFERROR(IF(VLOOKUP($B145,casostestes[#Data],4)=0,"-",VLOOKUP($B145,casostestes[#Data],4)),"-")</f>
        <v>-</v>
      </c>
      <c r="G145" s="35" t="str">
        <f>IFERROR(IF(VLOOKUP($B145,casostestes[#Data],5)=0,"-",VLOOKUP($B145,casostestes[#Data],5)),"-")</f>
        <v>-</v>
      </c>
      <c r="H145" s="35" t="str">
        <f>IFERROR(IF(VLOOKUP($B145,casostestes[#Data],6)=0,"-",VLOOKUP($B145,casostestes[#Data],6)),"-")</f>
        <v>-</v>
      </c>
      <c r="I145" s="35" t="str">
        <f>IFERROR(IF(VLOOKUP($B145,casostestes[#Data],8)=0,"-",VLOOKUP($B145,casostestes[#Data],8)),"-")</f>
        <v>-</v>
      </c>
      <c r="J145" s="35" t="str">
        <f>IFERROR(IF(VLOOKUP($B145,casostestes[#Data],9)=0,"-",VLOOKUP($B145,casostestes[#Data],9)),"-")</f>
        <v>-</v>
      </c>
      <c r="K145" s="36"/>
      <c r="L145" s="45"/>
      <c r="M145" s="37"/>
      <c r="N145" s="38"/>
      <c r="O145" s="38"/>
      <c r="P145" s="39"/>
    </row>
    <row r="146" spans="2:16">
      <c r="B146" s="40" t="str">
        <f>IF(ISERR(casostestes[[#This Row],[ID]]),"-",casostestes[[#This Row],[ID]])</f>
        <v>-</v>
      </c>
      <c r="C146" s="34" t="str">
        <f>IFERROR(IF(VLOOKUP($B146,casostestes[#Data],10)=0,"Não",VLOOKUP($B146,casostestes[#Data],10)), "-")</f>
        <v>-</v>
      </c>
      <c r="D146" s="35" t="str">
        <f>IFERROR(IF(VLOOKUP($B146,casostestes[#Data],2)=0,"-",VLOOKUP($B146,casostestes[#Data],2)), "-")</f>
        <v>-</v>
      </c>
      <c r="E146" s="35" t="str">
        <f>IFERROR(IF(VLOOKUP($B146,casostestes[#Data],3)=0,"-",VLOOKUP($B146,casostestes[#Data],3)), "-")</f>
        <v>-</v>
      </c>
      <c r="F146" s="35" t="str">
        <f>IFERROR(IF(VLOOKUP($B146,casostestes[#Data],4)=0,"-",VLOOKUP($B146,casostestes[#Data],4)),"-")</f>
        <v>-</v>
      </c>
      <c r="G146" s="35" t="str">
        <f>IFERROR(IF(VLOOKUP($B146,casostestes[#Data],5)=0,"-",VLOOKUP($B146,casostestes[#Data],5)),"-")</f>
        <v>-</v>
      </c>
      <c r="H146" s="35" t="str">
        <f>IFERROR(IF(VLOOKUP($B146,casostestes[#Data],6)=0,"-",VLOOKUP($B146,casostestes[#Data],6)),"-")</f>
        <v>-</v>
      </c>
      <c r="I146" s="35" t="str">
        <f>IFERROR(IF(VLOOKUP($B146,casostestes[#Data],8)=0,"-",VLOOKUP($B146,casostestes[#Data],8)),"-")</f>
        <v>-</v>
      </c>
      <c r="J146" s="35" t="str">
        <f>IFERROR(IF(VLOOKUP($B146,casostestes[#Data],9)=0,"-",VLOOKUP($B146,casostestes[#Data],9)),"-")</f>
        <v>-</v>
      </c>
      <c r="K146" s="36"/>
      <c r="L146" s="45"/>
      <c r="M146" s="37"/>
      <c r="N146" s="38"/>
      <c r="O146" s="38"/>
      <c r="P146" s="39"/>
    </row>
    <row r="147" spans="2:16">
      <c r="B147" s="40" t="str">
        <f>IF(ISERR(casostestes[[#This Row],[ID]]),"-",casostestes[[#This Row],[ID]])</f>
        <v>-</v>
      </c>
      <c r="C147" s="34" t="str">
        <f>IFERROR(IF(VLOOKUP($B147,casostestes[#Data],10)=0,"Não",VLOOKUP($B147,casostestes[#Data],10)), "-")</f>
        <v>-</v>
      </c>
      <c r="D147" s="35" t="str">
        <f>IFERROR(IF(VLOOKUP($B147,casostestes[#Data],2)=0,"-",VLOOKUP($B147,casostestes[#Data],2)), "-")</f>
        <v>-</v>
      </c>
      <c r="E147" s="35" t="str">
        <f>IFERROR(IF(VLOOKUP($B147,casostestes[#Data],3)=0,"-",VLOOKUP($B147,casostestes[#Data],3)), "-")</f>
        <v>-</v>
      </c>
      <c r="F147" s="35" t="str">
        <f>IFERROR(IF(VLOOKUP($B147,casostestes[#Data],4)=0,"-",VLOOKUP($B147,casostestes[#Data],4)),"-")</f>
        <v>-</v>
      </c>
      <c r="G147" s="35" t="str">
        <f>IFERROR(IF(VLOOKUP($B147,casostestes[#Data],5)=0,"-",VLOOKUP($B147,casostestes[#Data],5)),"-")</f>
        <v>-</v>
      </c>
      <c r="H147" s="35" t="str">
        <f>IFERROR(IF(VLOOKUP($B147,casostestes[#Data],6)=0,"-",VLOOKUP($B147,casostestes[#Data],6)),"-")</f>
        <v>-</v>
      </c>
      <c r="I147" s="35" t="str">
        <f>IFERROR(IF(VLOOKUP($B147,casostestes[#Data],8)=0,"-",VLOOKUP($B147,casostestes[#Data],8)),"-")</f>
        <v>-</v>
      </c>
      <c r="J147" s="35" t="str">
        <f>IFERROR(IF(VLOOKUP($B147,casostestes[#Data],9)=0,"-",VLOOKUP($B147,casostestes[#Data],9)),"-")</f>
        <v>-</v>
      </c>
      <c r="K147" s="36"/>
      <c r="L147" s="45"/>
      <c r="M147" s="37"/>
      <c r="N147" s="38"/>
      <c r="O147" s="38"/>
      <c r="P147" s="39"/>
    </row>
    <row r="148" spans="2:16">
      <c r="B148" s="40" t="str">
        <f>IF(ISERR(casostestes[[#This Row],[ID]]),"-",casostestes[[#This Row],[ID]])</f>
        <v>-</v>
      </c>
      <c r="C148" s="34" t="str">
        <f>IFERROR(IF(VLOOKUP($B148,casostestes[#Data],10)=0,"Não",VLOOKUP($B148,casostestes[#Data],10)), "-")</f>
        <v>-</v>
      </c>
      <c r="D148" s="35" t="str">
        <f>IFERROR(IF(VLOOKUP($B148,casostestes[#Data],2)=0,"-",VLOOKUP($B148,casostestes[#Data],2)), "-")</f>
        <v>-</v>
      </c>
      <c r="E148" s="35" t="str">
        <f>IFERROR(IF(VLOOKUP($B148,casostestes[#Data],3)=0,"-",VLOOKUP($B148,casostestes[#Data],3)), "-")</f>
        <v>-</v>
      </c>
      <c r="F148" s="35" t="str">
        <f>IFERROR(IF(VLOOKUP($B148,casostestes[#Data],4)=0,"-",VLOOKUP($B148,casostestes[#Data],4)),"-")</f>
        <v>-</v>
      </c>
      <c r="G148" s="35" t="str">
        <f>IFERROR(IF(VLOOKUP($B148,casostestes[#Data],5)=0,"-",VLOOKUP($B148,casostestes[#Data],5)),"-")</f>
        <v>-</v>
      </c>
      <c r="H148" s="35" t="str">
        <f>IFERROR(IF(VLOOKUP($B148,casostestes[#Data],6)=0,"-",VLOOKUP($B148,casostestes[#Data],6)),"-")</f>
        <v>-</v>
      </c>
      <c r="I148" s="35" t="str">
        <f>IFERROR(IF(VLOOKUP($B148,casostestes[#Data],8)=0,"-",VLOOKUP($B148,casostestes[#Data],8)),"-")</f>
        <v>-</v>
      </c>
      <c r="J148" s="35" t="str">
        <f>IFERROR(IF(VLOOKUP($B148,casostestes[#Data],9)=0,"-",VLOOKUP($B148,casostestes[#Data],9)),"-")</f>
        <v>-</v>
      </c>
      <c r="K148" s="36"/>
      <c r="L148" s="45"/>
      <c r="M148" s="37"/>
      <c r="N148" s="38"/>
      <c r="O148" s="38"/>
      <c r="P148" s="39"/>
    </row>
    <row r="149" spans="2:16">
      <c r="B149" s="40" t="str">
        <f>IF(ISERR(casostestes[[#This Row],[ID]]),"-",casostestes[[#This Row],[ID]])</f>
        <v>-</v>
      </c>
      <c r="C149" s="34" t="str">
        <f>IFERROR(IF(VLOOKUP($B149,casostestes[#Data],10)=0,"Não",VLOOKUP($B149,casostestes[#Data],10)), "-")</f>
        <v>-</v>
      </c>
      <c r="D149" s="35" t="str">
        <f>IFERROR(IF(VLOOKUP($B149,casostestes[#Data],2)=0,"-",VLOOKUP($B149,casostestes[#Data],2)), "-")</f>
        <v>-</v>
      </c>
      <c r="E149" s="35" t="str">
        <f>IFERROR(IF(VLOOKUP($B149,casostestes[#Data],3)=0,"-",VLOOKUP($B149,casostestes[#Data],3)), "-")</f>
        <v>-</v>
      </c>
      <c r="F149" s="35" t="str">
        <f>IFERROR(IF(VLOOKUP($B149,casostestes[#Data],4)=0,"-",VLOOKUP($B149,casostestes[#Data],4)),"-")</f>
        <v>-</v>
      </c>
      <c r="G149" s="35" t="str">
        <f>IFERROR(IF(VLOOKUP($B149,casostestes[#Data],5)=0,"-",VLOOKUP($B149,casostestes[#Data],5)),"-")</f>
        <v>-</v>
      </c>
      <c r="H149" s="35" t="str">
        <f>IFERROR(IF(VLOOKUP($B149,casostestes[#Data],6)=0,"-",VLOOKUP($B149,casostestes[#Data],6)),"-")</f>
        <v>-</v>
      </c>
      <c r="I149" s="35" t="str">
        <f>IFERROR(IF(VLOOKUP($B149,casostestes[#Data],8)=0,"-",VLOOKUP($B149,casostestes[#Data],8)),"-")</f>
        <v>-</v>
      </c>
      <c r="J149" s="35" t="str">
        <f>IFERROR(IF(VLOOKUP($B149,casostestes[#Data],9)=0,"-",VLOOKUP($B149,casostestes[#Data],9)),"-")</f>
        <v>-</v>
      </c>
      <c r="K149" s="36"/>
      <c r="L149" s="45"/>
      <c r="M149" s="37"/>
      <c r="N149" s="38"/>
      <c r="O149" s="38"/>
      <c r="P149" s="39"/>
    </row>
    <row r="150" spans="2:16">
      <c r="B150" s="40" t="str">
        <f>IF(ISERR(casostestes[[#This Row],[ID]]),"-",casostestes[[#This Row],[ID]])</f>
        <v>-</v>
      </c>
      <c r="C150" s="34" t="str">
        <f>IFERROR(IF(VLOOKUP($B150,casostestes[#Data],10)=0,"Não",VLOOKUP($B150,casostestes[#Data],10)), "-")</f>
        <v>-</v>
      </c>
      <c r="D150" s="35" t="str">
        <f>IFERROR(IF(VLOOKUP($B150,casostestes[#Data],2)=0,"-",VLOOKUP($B150,casostestes[#Data],2)), "-")</f>
        <v>-</v>
      </c>
      <c r="E150" s="35" t="str">
        <f>IFERROR(IF(VLOOKUP($B150,casostestes[#Data],3)=0,"-",VLOOKUP($B150,casostestes[#Data],3)), "-")</f>
        <v>-</v>
      </c>
      <c r="F150" s="35" t="str">
        <f>IFERROR(IF(VLOOKUP($B150,casostestes[#Data],4)=0,"-",VLOOKUP($B150,casostestes[#Data],4)),"-")</f>
        <v>-</v>
      </c>
      <c r="G150" s="35" t="str">
        <f>IFERROR(IF(VLOOKUP($B150,casostestes[#Data],5)=0,"-",VLOOKUP($B150,casostestes[#Data],5)),"-")</f>
        <v>-</v>
      </c>
      <c r="H150" s="35" t="str">
        <f>IFERROR(IF(VLOOKUP($B150,casostestes[#Data],6)=0,"-",VLOOKUP($B150,casostestes[#Data],6)),"-")</f>
        <v>-</v>
      </c>
      <c r="I150" s="35" t="str">
        <f>IFERROR(IF(VLOOKUP($B150,casostestes[#Data],8)=0,"-",VLOOKUP($B150,casostestes[#Data],8)),"-")</f>
        <v>-</v>
      </c>
      <c r="J150" s="35" t="str">
        <f>IFERROR(IF(VLOOKUP($B150,casostestes[#Data],9)=0,"-",VLOOKUP($B150,casostestes[#Data],9)),"-")</f>
        <v>-</v>
      </c>
      <c r="K150" s="36"/>
      <c r="L150" s="45"/>
      <c r="M150" s="37"/>
      <c r="N150" s="38"/>
      <c r="O150" s="38"/>
      <c r="P150" s="39"/>
    </row>
    <row r="151" spans="2:16">
      <c r="B151" s="40" t="str">
        <f>IF(ISERR(casostestes[[#This Row],[ID]]),"-",casostestes[[#This Row],[ID]])</f>
        <v>-</v>
      </c>
      <c r="C151" s="34" t="str">
        <f>IFERROR(IF(VLOOKUP($B151,casostestes[#Data],10)=0,"Não",VLOOKUP($B151,casostestes[#Data],10)), "-")</f>
        <v>-</v>
      </c>
      <c r="D151" s="35" t="str">
        <f>IFERROR(IF(VLOOKUP($B151,casostestes[#Data],2)=0,"-",VLOOKUP($B151,casostestes[#Data],2)), "-")</f>
        <v>-</v>
      </c>
      <c r="E151" s="35" t="str">
        <f>IFERROR(IF(VLOOKUP($B151,casostestes[#Data],3)=0,"-",VLOOKUP($B151,casostestes[#Data],3)), "-")</f>
        <v>-</v>
      </c>
      <c r="F151" s="35" t="str">
        <f>IFERROR(IF(VLOOKUP($B151,casostestes[#Data],4)=0,"-",VLOOKUP($B151,casostestes[#Data],4)),"-")</f>
        <v>-</v>
      </c>
      <c r="G151" s="35" t="str">
        <f>IFERROR(IF(VLOOKUP($B151,casostestes[#Data],5)=0,"-",VLOOKUP($B151,casostestes[#Data],5)),"-")</f>
        <v>-</v>
      </c>
      <c r="H151" s="35" t="str">
        <f>IFERROR(IF(VLOOKUP($B151,casostestes[#Data],6)=0,"-",VLOOKUP($B151,casostestes[#Data],6)),"-")</f>
        <v>-</v>
      </c>
      <c r="I151" s="35" t="str">
        <f>IFERROR(IF(VLOOKUP($B151,casostestes[#Data],8)=0,"-",VLOOKUP($B151,casostestes[#Data],8)),"-")</f>
        <v>-</v>
      </c>
      <c r="J151" s="35" t="str">
        <f>IFERROR(IF(VLOOKUP($B151,casostestes[#Data],9)=0,"-",VLOOKUP($B151,casostestes[#Data],9)),"-")</f>
        <v>-</v>
      </c>
      <c r="K151" s="36"/>
      <c r="L151" s="45"/>
      <c r="M151" s="37"/>
      <c r="N151" s="38"/>
      <c r="O151" s="38"/>
      <c r="P151" s="39"/>
    </row>
    <row r="152" spans="2:16">
      <c r="B152" s="40" t="str">
        <f>IF(ISERR(casostestes[[#This Row],[ID]]),"-",casostestes[[#This Row],[ID]])</f>
        <v>-</v>
      </c>
      <c r="C152" s="34" t="str">
        <f>IFERROR(IF(VLOOKUP($B152,casostestes[#Data],10)=0,"Não",VLOOKUP($B152,casostestes[#Data],10)), "-")</f>
        <v>-</v>
      </c>
      <c r="D152" s="35" t="str">
        <f>IFERROR(IF(VLOOKUP($B152,casostestes[#Data],2)=0,"-",VLOOKUP($B152,casostestes[#Data],2)), "-")</f>
        <v>-</v>
      </c>
      <c r="E152" s="35" t="str">
        <f>IFERROR(IF(VLOOKUP($B152,casostestes[#Data],3)=0,"-",VLOOKUP($B152,casostestes[#Data],3)), "-")</f>
        <v>-</v>
      </c>
      <c r="F152" s="35" t="str">
        <f>IFERROR(IF(VLOOKUP($B152,casostestes[#Data],4)=0,"-",VLOOKUP($B152,casostestes[#Data],4)),"-")</f>
        <v>-</v>
      </c>
      <c r="G152" s="35" t="str">
        <f>IFERROR(IF(VLOOKUP($B152,casostestes[#Data],5)=0,"-",VLOOKUP($B152,casostestes[#Data],5)),"-")</f>
        <v>-</v>
      </c>
      <c r="H152" s="35" t="str">
        <f>IFERROR(IF(VLOOKUP($B152,casostestes[#Data],6)=0,"-",VLOOKUP($B152,casostestes[#Data],6)),"-")</f>
        <v>-</v>
      </c>
      <c r="I152" s="35" t="str">
        <f>IFERROR(IF(VLOOKUP($B152,casostestes[#Data],8)=0,"-",VLOOKUP($B152,casostestes[#Data],8)),"-")</f>
        <v>-</v>
      </c>
      <c r="J152" s="35" t="str">
        <f>IFERROR(IF(VLOOKUP($B152,casostestes[#Data],9)=0,"-",VLOOKUP($B152,casostestes[#Data],9)),"-")</f>
        <v>-</v>
      </c>
      <c r="K152" s="36"/>
      <c r="L152" s="45"/>
      <c r="M152" s="37"/>
      <c r="N152" s="38"/>
      <c r="O152" s="38"/>
      <c r="P152" s="39"/>
    </row>
    <row r="153" spans="2:16">
      <c r="B153" s="40" t="str">
        <f>IF(ISERR(casostestes[[#This Row],[ID]]),"-",casostestes[[#This Row],[ID]])</f>
        <v>-</v>
      </c>
      <c r="C153" s="34" t="str">
        <f>IFERROR(IF(VLOOKUP($B153,casostestes[#Data],10)=0,"Não",VLOOKUP($B153,casostestes[#Data],10)), "-")</f>
        <v>-</v>
      </c>
      <c r="D153" s="35" t="str">
        <f>IFERROR(IF(VLOOKUP($B153,casostestes[#Data],2)=0,"-",VLOOKUP($B153,casostestes[#Data],2)), "-")</f>
        <v>-</v>
      </c>
      <c r="E153" s="35" t="str">
        <f>IFERROR(IF(VLOOKUP($B153,casostestes[#Data],3)=0,"-",VLOOKUP($B153,casostestes[#Data],3)), "-")</f>
        <v>-</v>
      </c>
      <c r="F153" s="35" t="str">
        <f>IFERROR(IF(VLOOKUP($B153,casostestes[#Data],4)=0,"-",VLOOKUP($B153,casostestes[#Data],4)),"-")</f>
        <v>-</v>
      </c>
      <c r="G153" s="35" t="str">
        <f>IFERROR(IF(VLOOKUP($B153,casostestes[#Data],5)=0,"-",VLOOKUP($B153,casostestes[#Data],5)),"-")</f>
        <v>-</v>
      </c>
      <c r="H153" s="35" t="str">
        <f>IFERROR(IF(VLOOKUP($B153,casostestes[#Data],6)=0,"-",VLOOKUP($B153,casostestes[#Data],6)),"-")</f>
        <v>-</v>
      </c>
      <c r="I153" s="35" t="str">
        <f>IFERROR(IF(VLOOKUP($B153,casostestes[#Data],8)=0,"-",VLOOKUP($B153,casostestes[#Data],8)),"-")</f>
        <v>-</v>
      </c>
      <c r="J153" s="35" t="str">
        <f>IFERROR(IF(VLOOKUP($B153,casostestes[#Data],9)=0,"-",VLOOKUP($B153,casostestes[#Data],9)),"-")</f>
        <v>-</v>
      </c>
      <c r="K153" s="36"/>
      <c r="L153" s="45"/>
      <c r="M153" s="37"/>
      <c r="N153" s="38"/>
      <c r="O153" s="38"/>
      <c r="P153" s="39"/>
    </row>
    <row r="154" spans="2:16">
      <c r="B154" s="40" t="str">
        <f>IF(ISERR(casostestes[[#This Row],[ID]]),"-",casostestes[[#This Row],[ID]])</f>
        <v>-</v>
      </c>
      <c r="C154" s="34" t="str">
        <f>IFERROR(IF(VLOOKUP($B154,casostestes[#Data],10)=0,"Não",VLOOKUP($B154,casostestes[#Data],10)), "-")</f>
        <v>-</v>
      </c>
      <c r="D154" s="35" t="str">
        <f>IFERROR(IF(VLOOKUP($B154,casostestes[#Data],2)=0,"-",VLOOKUP($B154,casostestes[#Data],2)), "-")</f>
        <v>-</v>
      </c>
      <c r="E154" s="35" t="str">
        <f>IFERROR(IF(VLOOKUP($B154,casostestes[#Data],3)=0,"-",VLOOKUP($B154,casostestes[#Data],3)), "-")</f>
        <v>-</v>
      </c>
      <c r="F154" s="35" t="str">
        <f>IFERROR(IF(VLOOKUP($B154,casostestes[#Data],4)=0,"-",VLOOKUP($B154,casostestes[#Data],4)),"-")</f>
        <v>-</v>
      </c>
      <c r="G154" s="35" t="str">
        <f>IFERROR(IF(VLOOKUP($B154,casostestes[#Data],5)=0,"-",VLOOKUP($B154,casostestes[#Data],5)),"-")</f>
        <v>-</v>
      </c>
      <c r="H154" s="35" t="str">
        <f>IFERROR(IF(VLOOKUP($B154,casostestes[#Data],6)=0,"-",VLOOKUP($B154,casostestes[#Data],6)),"-")</f>
        <v>-</v>
      </c>
      <c r="I154" s="35" t="str">
        <f>IFERROR(IF(VLOOKUP($B154,casostestes[#Data],8)=0,"-",VLOOKUP($B154,casostestes[#Data],8)),"-")</f>
        <v>-</v>
      </c>
      <c r="J154" s="35" t="str">
        <f>IFERROR(IF(VLOOKUP($B154,casostestes[#Data],9)=0,"-",VLOOKUP($B154,casostestes[#Data],9)),"-")</f>
        <v>-</v>
      </c>
      <c r="K154" s="36"/>
      <c r="L154" s="45"/>
      <c r="M154" s="37"/>
      <c r="N154" s="38"/>
      <c r="O154" s="38"/>
      <c r="P154" s="39"/>
    </row>
    <row r="155" spans="2:16">
      <c r="B155" s="40" t="str">
        <f>IF(ISERR(casostestes[[#This Row],[ID]]),"-",casostestes[[#This Row],[ID]])</f>
        <v>-</v>
      </c>
      <c r="C155" s="34" t="str">
        <f>IFERROR(IF(VLOOKUP($B155,casostestes[#Data],10)=0,"Não",VLOOKUP($B155,casostestes[#Data],10)), "-")</f>
        <v>-</v>
      </c>
      <c r="D155" s="35" t="str">
        <f>IFERROR(IF(VLOOKUP($B155,casostestes[#Data],2)=0,"-",VLOOKUP($B155,casostestes[#Data],2)), "-")</f>
        <v>-</v>
      </c>
      <c r="E155" s="35" t="str">
        <f>IFERROR(IF(VLOOKUP($B155,casostestes[#Data],3)=0,"-",VLOOKUP($B155,casostestes[#Data],3)), "-")</f>
        <v>-</v>
      </c>
      <c r="F155" s="35" t="str">
        <f>IFERROR(IF(VLOOKUP($B155,casostestes[#Data],4)=0,"-",VLOOKUP($B155,casostestes[#Data],4)),"-")</f>
        <v>-</v>
      </c>
      <c r="G155" s="35" t="str">
        <f>IFERROR(IF(VLOOKUP($B155,casostestes[#Data],5)=0,"-",VLOOKUP($B155,casostestes[#Data],5)),"-")</f>
        <v>-</v>
      </c>
      <c r="H155" s="35" t="str">
        <f>IFERROR(IF(VLOOKUP($B155,casostestes[#Data],6)=0,"-",VLOOKUP($B155,casostestes[#Data],6)),"-")</f>
        <v>-</v>
      </c>
      <c r="I155" s="35" t="str">
        <f>IFERROR(IF(VLOOKUP($B155,casostestes[#Data],8)=0,"-",VLOOKUP($B155,casostestes[#Data],8)),"-")</f>
        <v>-</v>
      </c>
      <c r="J155" s="35" t="str">
        <f>IFERROR(IF(VLOOKUP($B155,casostestes[#Data],9)=0,"-",VLOOKUP($B155,casostestes[#Data],9)),"-")</f>
        <v>-</v>
      </c>
      <c r="K155" s="36"/>
      <c r="L155" s="45"/>
      <c r="M155" s="37"/>
      <c r="N155" s="38"/>
      <c r="O155" s="38"/>
      <c r="P155" s="39"/>
    </row>
    <row r="156" spans="2:16">
      <c r="B156" s="40" t="str">
        <f>IF(ISERR(casostestes[[#This Row],[ID]]),"-",casostestes[[#This Row],[ID]])</f>
        <v>-</v>
      </c>
      <c r="C156" s="34" t="str">
        <f>IFERROR(IF(VLOOKUP($B156,casostestes[#Data],10)=0,"Não",VLOOKUP($B156,casostestes[#Data],10)), "-")</f>
        <v>-</v>
      </c>
      <c r="D156" s="35" t="str">
        <f>IFERROR(IF(VLOOKUP($B156,casostestes[#Data],2)=0,"-",VLOOKUP($B156,casostestes[#Data],2)), "-")</f>
        <v>-</v>
      </c>
      <c r="E156" s="35" t="str">
        <f>IFERROR(IF(VLOOKUP($B156,casostestes[#Data],3)=0,"-",VLOOKUP($B156,casostestes[#Data],3)), "-")</f>
        <v>-</v>
      </c>
      <c r="F156" s="35" t="str">
        <f>IFERROR(IF(VLOOKUP($B156,casostestes[#Data],4)=0,"-",VLOOKUP($B156,casostestes[#Data],4)),"-")</f>
        <v>-</v>
      </c>
      <c r="G156" s="35" t="str">
        <f>IFERROR(IF(VLOOKUP($B156,casostestes[#Data],5)=0,"-",VLOOKUP($B156,casostestes[#Data],5)),"-")</f>
        <v>-</v>
      </c>
      <c r="H156" s="35" t="str">
        <f>IFERROR(IF(VLOOKUP($B156,casostestes[#Data],6)=0,"-",VLOOKUP($B156,casostestes[#Data],6)),"-")</f>
        <v>-</v>
      </c>
      <c r="I156" s="35" t="str">
        <f>IFERROR(IF(VLOOKUP($B156,casostestes[#Data],8)=0,"-",VLOOKUP($B156,casostestes[#Data],8)),"-")</f>
        <v>-</v>
      </c>
      <c r="J156" s="35" t="str">
        <f>IFERROR(IF(VLOOKUP($B156,casostestes[#Data],9)=0,"-",VLOOKUP($B156,casostestes[#Data],9)),"-")</f>
        <v>-</v>
      </c>
      <c r="K156" s="36"/>
      <c r="L156" s="45"/>
      <c r="M156" s="37"/>
      <c r="N156" s="38"/>
      <c r="O156" s="38"/>
      <c r="P156" s="39"/>
    </row>
    <row r="157" spans="2:16">
      <c r="B157" s="40" t="str">
        <f>IF(ISERR(casostestes[[#This Row],[ID]]),"-",casostestes[[#This Row],[ID]])</f>
        <v>-</v>
      </c>
      <c r="C157" s="34" t="str">
        <f>IFERROR(IF(VLOOKUP($B157,casostestes[#Data],10)=0,"Não",VLOOKUP($B157,casostestes[#Data],10)), "-")</f>
        <v>-</v>
      </c>
      <c r="D157" s="35" t="str">
        <f>IFERROR(IF(VLOOKUP($B157,casostestes[#Data],2)=0,"-",VLOOKUP($B157,casostestes[#Data],2)), "-")</f>
        <v>-</v>
      </c>
      <c r="E157" s="35" t="str">
        <f>IFERROR(IF(VLOOKUP($B157,casostestes[#Data],3)=0,"-",VLOOKUP($B157,casostestes[#Data],3)), "-")</f>
        <v>-</v>
      </c>
      <c r="F157" s="35" t="str">
        <f>IFERROR(IF(VLOOKUP($B157,casostestes[#Data],4)=0,"-",VLOOKUP($B157,casostestes[#Data],4)),"-")</f>
        <v>-</v>
      </c>
      <c r="G157" s="35" t="str">
        <f>IFERROR(IF(VLOOKUP($B157,casostestes[#Data],5)=0,"-",VLOOKUP($B157,casostestes[#Data],5)),"-")</f>
        <v>-</v>
      </c>
      <c r="H157" s="35" t="str">
        <f>IFERROR(IF(VLOOKUP($B157,casostestes[#Data],6)=0,"-",VLOOKUP($B157,casostestes[#Data],6)),"-")</f>
        <v>-</v>
      </c>
      <c r="I157" s="35" t="str">
        <f>IFERROR(IF(VLOOKUP($B157,casostestes[#Data],8)=0,"-",VLOOKUP($B157,casostestes[#Data],8)),"-")</f>
        <v>-</v>
      </c>
      <c r="J157" s="35" t="str">
        <f>IFERROR(IF(VLOOKUP($B157,casostestes[#Data],9)=0,"-",VLOOKUP($B157,casostestes[#Data],9)),"-")</f>
        <v>-</v>
      </c>
      <c r="K157" s="36"/>
      <c r="L157" s="45"/>
      <c r="M157" s="37"/>
      <c r="N157" s="38"/>
      <c r="O157" s="38"/>
      <c r="P157" s="39"/>
    </row>
    <row r="158" spans="2:16">
      <c r="B158" s="40" t="str">
        <f>IF(ISERR(casostestes[[#This Row],[ID]]),"-",casostestes[[#This Row],[ID]])</f>
        <v>-</v>
      </c>
      <c r="C158" s="34" t="str">
        <f>IFERROR(IF(VLOOKUP($B158,casostestes[#Data],10)=0,"Não",VLOOKUP($B158,casostestes[#Data],10)), "-")</f>
        <v>-</v>
      </c>
      <c r="D158" s="35" t="str">
        <f>IFERROR(IF(VLOOKUP($B158,casostestes[#Data],2)=0,"-",VLOOKUP($B158,casostestes[#Data],2)), "-")</f>
        <v>-</v>
      </c>
      <c r="E158" s="35" t="str">
        <f>IFERROR(IF(VLOOKUP($B158,casostestes[#Data],3)=0,"-",VLOOKUP($B158,casostestes[#Data],3)), "-")</f>
        <v>-</v>
      </c>
      <c r="F158" s="35" t="str">
        <f>IFERROR(IF(VLOOKUP($B158,casostestes[#Data],4)=0,"-",VLOOKUP($B158,casostestes[#Data],4)),"-")</f>
        <v>-</v>
      </c>
      <c r="G158" s="35" t="str">
        <f>IFERROR(IF(VLOOKUP($B158,casostestes[#Data],5)=0,"-",VLOOKUP($B158,casostestes[#Data],5)),"-")</f>
        <v>-</v>
      </c>
      <c r="H158" s="35" t="str">
        <f>IFERROR(IF(VLOOKUP($B158,casostestes[#Data],6)=0,"-",VLOOKUP($B158,casostestes[#Data],6)),"-")</f>
        <v>-</v>
      </c>
      <c r="I158" s="35" t="str">
        <f>IFERROR(IF(VLOOKUP($B158,casostestes[#Data],8)=0,"-",VLOOKUP($B158,casostestes[#Data],8)),"-")</f>
        <v>-</v>
      </c>
      <c r="J158" s="35" t="str">
        <f>IFERROR(IF(VLOOKUP($B158,casostestes[#Data],9)=0,"-",VLOOKUP($B158,casostestes[#Data],9)),"-")</f>
        <v>-</v>
      </c>
      <c r="K158" s="36"/>
      <c r="L158" s="45"/>
      <c r="M158" s="37"/>
      <c r="N158" s="38"/>
      <c r="O158" s="38"/>
      <c r="P158" s="39"/>
    </row>
    <row r="159" spans="2:16">
      <c r="B159" s="40" t="str">
        <f>IF(ISERR(casostestes[[#This Row],[ID]]),"-",casostestes[[#This Row],[ID]])</f>
        <v>-</v>
      </c>
      <c r="C159" s="34" t="str">
        <f>IFERROR(IF(VLOOKUP($B159,casostestes[#Data],10)=0,"Não",VLOOKUP($B159,casostestes[#Data],10)), "-")</f>
        <v>-</v>
      </c>
      <c r="D159" s="35" t="str">
        <f>IFERROR(IF(VLOOKUP($B159,casostestes[#Data],2)=0,"-",VLOOKUP($B159,casostestes[#Data],2)), "-")</f>
        <v>-</v>
      </c>
      <c r="E159" s="35" t="str">
        <f>IFERROR(IF(VLOOKUP($B159,casostestes[#Data],3)=0,"-",VLOOKUP($B159,casostestes[#Data],3)), "-")</f>
        <v>-</v>
      </c>
      <c r="F159" s="35" t="str">
        <f>IFERROR(IF(VLOOKUP($B159,casostestes[#Data],4)=0,"-",VLOOKUP($B159,casostestes[#Data],4)),"-")</f>
        <v>-</v>
      </c>
      <c r="G159" s="35" t="str">
        <f>IFERROR(IF(VLOOKUP($B159,casostestes[#Data],5)=0,"-",VLOOKUP($B159,casostestes[#Data],5)),"-")</f>
        <v>-</v>
      </c>
      <c r="H159" s="35" t="str">
        <f>IFERROR(IF(VLOOKUP($B159,casostestes[#Data],6)=0,"-",VLOOKUP($B159,casostestes[#Data],6)),"-")</f>
        <v>-</v>
      </c>
      <c r="I159" s="35" t="str">
        <f>IFERROR(IF(VLOOKUP($B159,casostestes[#Data],8)=0,"-",VLOOKUP($B159,casostestes[#Data],8)),"-")</f>
        <v>-</v>
      </c>
      <c r="J159" s="35" t="str">
        <f>IFERROR(IF(VLOOKUP($B159,casostestes[#Data],9)=0,"-",VLOOKUP($B159,casostestes[#Data],9)),"-")</f>
        <v>-</v>
      </c>
      <c r="K159" s="36"/>
      <c r="L159" s="45"/>
      <c r="M159" s="37"/>
      <c r="N159" s="38"/>
      <c r="O159" s="38"/>
      <c r="P159" s="39"/>
    </row>
    <row r="160" spans="2:16">
      <c r="B160" s="40" t="str">
        <f>IF(ISERR(casostestes[[#This Row],[ID]]),"-",casostestes[[#This Row],[ID]])</f>
        <v>-</v>
      </c>
      <c r="C160" s="34" t="str">
        <f>IFERROR(IF(VLOOKUP($B160,casostestes[#Data],10)=0,"Não",VLOOKUP($B160,casostestes[#Data],10)), "-")</f>
        <v>-</v>
      </c>
      <c r="D160" s="35" t="str">
        <f>IFERROR(IF(VLOOKUP($B160,casostestes[#Data],2)=0,"-",VLOOKUP($B160,casostestes[#Data],2)), "-")</f>
        <v>-</v>
      </c>
      <c r="E160" s="35" t="str">
        <f>IFERROR(IF(VLOOKUP($B160,casostestes[#Data],3)=0,"-",VLOOKUP($B160,casostestes[#Data],3)), "-")</f>
        <v>-</v>
      </c>
      <c r="F160" s="35" t="str">
        <f>IFERROR(IF(VLOOKUP($B160,casostestes[#Data],4)=0,"-",VLOOKUP($B160,casostestes[#Data],4)),"-")</f>
        <v>-</v>
      </c>
      <c r="G160" s="35" t="str">
        <f>IFERROR(IF(VLOOKUP($B160,casostestes[#Data],5)=0,"-",VLOOKUP($B160,casostestes[#Data],5)),"-")</f>
        <v>-</v>
      </c>
      <c r="H160" s="35" t="str">
        <f>IFERROR(IF(VLOOKUP($B160,casostestes[#Data],6)=0,"-",VLOOKUP($B160,casostestes[#Data],6)),"-")</f>
        <v>-</v>
      </c>
      <c r="I160" s="35" t="str">
        <f>IFERROR(IF(VLOOKUP($B160,casostestes[#Data],8)=0,"-",VLOOKUP($B160,casostestes[#Data],8)),"-")</f>
        <v>-</v>
      </c>
      <c r="J160" s="35" t="str">
        <f>IFERROR(IF(VLOOKUP($B160,casostestes[#Data],9)=0,"-",VLOOKUP($B160,casostestes[#Data],9)),"-")</f>
        <v>-</v>
      </c>
      <c r="K160" s="36"/>
      <c r="L160" s="45"/>
      <c r="M160" s="37"/>
      <c r="N160" s="38"/>
      <c r="O160" s="38"/>
      <c r="P160" s="39"/>
    </row>
    <row r="161" spans="2:16">
      <c r="B161" s="40" t="str">
        <f>IF(ISERR(casostestes[[#This Row],[ID]]),"-",casostestes[[#This Row],[ID]])</f>
        <v>-</v>
      </c>
      <c r="C161" s="34" t="str">
        <f>IFERROR(IF(VLOOKUP($B161,casostestes[#Data],10)=0,"Não",VLOOKUP($B161,casostestes[#Data],10)), "-")</f>
        <v>-</v>
      </c>
      <c r="D161" s="35" t="str">
        <f>IFERROR(IF(VLOOKUP($B161,casostestes[#Data],2)=0,"-",VLOOKUP($B161,casostestes[#Data],2)), "-")</f>
        <v>-</v>
      </c>
      <c r="E161" s="35" t="str">
        <f>IFERROR(IF(VLOOKUP($B161,casostestes[#Data],3)=0,"-",VLOOKUP($B161,casostestes[#Data],3)), "-")</f>
        <v>-</v>
      </c>
      <c r="F161" s="35" t="str">
        <f>IFERROR(IF(VLOOKUP($B161,casostestes[#Data],4)=0,"-",VLOOKUP($B161,casostestes[#Data],4)),"-")</f>
        <v>-</v>
      </c>
      <c r="G161" s="35" t="str">
        <f>IFERROR(IF(VLOOKUP($B161,casostestes[#Data],5)=0,"-",VLOOKUP($B161,casostestes[#Data],5)),"-")</f>
        <v>-</v>
      </c>
      <c r="H161" s="35" t="str">
        <f>IFERROR(IF(VLOOKUP($B161,casostestes[#Data],6)=0,"-",VLOOKUP($B161,casostestes[#Data],6)),"-")</f>
        <v>-</v>
      </c>
      <c r="I161" s="35" t="str">
        <f>IFERROR(IF(VLOOKUP($B161,casostestes[#Data],8)=0,"-",VLOOKUP($B161,casostestes[#Data],8)),"-")</f>
        <v>-</v>
      </c>
      <c r="J161" s="35" t="str">
        <f>IFERROR(IF(VLOOKUP($B161,casostestes[#Data],9)=0,"-",VLOOKUP($B161,casostestes[#Data],9)),"-")</f>
        <v>-</v>
      </c>
      <c r="K161" s="36"/>
      <c r="L161" s="45"/>
      <c r="M161" s="37"/>
      <c r="N161" s="38"/>
      <c r="O161" s="38"/>
      <c r="P161" s="39"/>
    </row>
    <row r="162" spans="2:16">
      <c r="B162" s="40" t="str">
        <f>IF(ISERR(casostestes[[#This Row],[ID]]),"-",casostestes[[#This Row],[ID]])</f>
        <v>-</v>
      </c>
      <c r="C162" s="34" t="str">
        <f>IFERROR(IF(VLOOKUP($B162,casostestes[#Data],10)=0,"Não",VLOOKUP($B162,casostestes[#Data],10)), "-")</f>
        <v>-</v>
      </c>
      <c r="D162" s="35" t="str">
        <f>IFERROR(IF(VLOOKUP($B162,casostestes[#Data],2)=0,"-",VLOOKUP($B162,casostestes[#Data],2)), "-")</f>
        <v>-</v>
      </c>
      <c r="E162" s="35" t="str">
        <f>IFERROR(IF(VLOOKUP($B162,casostestes[#Data],3)=0,"-",VLOOKUP($B162,casostestes[#Data],3)), "-")</f>
        <v>-</v>
      </c>
      <c r="F162" s="35" t="str">
        <f>IFERROR(IF(VLOOKUP($B162,casostestes[#Data],4)=0,"-",VLOOKUP($B162,casostestes[#Data],4)),"-")</f>
        <v>-</v>
      </c>
      <c r="G162" s="35" t="str">
        <f>IFERROR(IF(VLOOKUP($B162,casostestes[#Data],5)=0,"-",VLOOKUP($B162,casostestes[#Data],5)),"-")</f>
        <v>-</v>
      </c>
      <c r="H162" s="35" t="str">
        <f>IFERROR(IF(VLOOKUP($B162,casostestes[#Data],6)=0,"-",VLOOKUP($B162,casostestes[#Data],6)),"-")</f>
        <v>-</v>
      </c>
      <c r="I162" s="35" t="str">
        <f>IFERROR(IF(VLOOKUP($B162,casostestes[#Data],8)=0,"-",VLOOKUP($B162,casostestes[#Data],8)),"-")</f>
        <v>-</v>
      </c>
      <c r="J162" s="35" t="str">
        <f>IFERROR(IF(VLOOKUP($B162,casostestes[#Data],9)=0,"-",VLOOKUP($B162,casostestes[#Data],9)),"-")</f>
        <v>-</v>
      </c>
      <c r="K162" s="36"/>
      <c r="L162" s="45"/>
      <c r="M162" s="37"/>
      <c r="N162" s="38"/>
      <c r="O162" s="38"/>
      <c r="P162" s="39"/>
    </row>
    <row r="163" spans="2:16">
      <c r="B163" s="40" t="str">
        <f>IF(ISERR(casostestes[[#This Row],[ID]]),"-",casostestes[[#This Row],[ID]])</f>
        <v>-</v>
      </c>
      <c r="C163" s="34" t="str">
        <f>IFERROR(IF(VLOOKUP($B163,casostestes[#Data],10)=0,"Não",VLOOKUP($B163,casostestes[#Data],10)), "-")</f>
        <v>-</v>
      </c>
      <c r="D163" s="35" t="str">
        <f>IFERROR(IF(VLOOKUP($B163,casostestes[#Data],2)=0,"-",VLOOKUP($B163,casostestes[#Data],2)), "-")</f>
        <v>-</v>
      </c>
      <c r="E163" s="35" t="str">
        <f>IFERROR(IF(VLOOKUP($B163,casostestes[#Data],3)=0,"-",VLOOKUP($B163,casostestes[#Data],3)), "-")</f>
        <v>-</v>
      </c>
      <c r="F163" s="35" t="str">
        <f>IFERROR(IF(VLOOKUP($B163,casostestes[#Data],4)=0,"-",VLOOKUP($B163,casostestes[#Data],4)),"-")</f>
        <v>-</v>
      </c>
      <c r="G163" s="35" t="str">
        <f>IFERROR(IF(VLOOKUP($B163,casostestes[#Data],5)=0,"-",VLOOKUP($B163,casostestes[#Data],5)),"-")</f>
        <v>-</v>
      </c>
      <c r="H163" s="35" t="str">
        <f>IFERROR(IF(VLOOKUP($B163,casostestes[#Data],6)=0,"-",VLOOKUP($B163,casostestes[#Data],6)),"-")</f>
        <v>-</v>
      </c>
      <c r="I163" s="35" t="str">
        <f>IFERROR(IF(VLOOKUP($B163,casostestes[#Data],8)=0,"-",VLOOKUP($B163,casostestes[#Data],8)),"-")</f>
        <v>-</v>
      </c>
      <c r="J163" s="35" t="str">
        <f>IFERROR(IF(VLOOKUP($B163,casostestes[#Data],9)=0,"-",VLOOKUP($B163,casostestes[#Data],9)),"-")</f>
        <v>-</v>
      </c>
      <c r="K163" s="36"/>
      <c r="L163" s="45"/>
      <c r="M163" s="37"/>
      <c r="N163" s="38"/>
      <c r="O163" s="38"/>
      <c r="P163" s="39"/>
    </row>
    <row r="164" spans="2:16">
      <c r="B164" s="40" t="str">
        <f>IF(ISERR(casostestes[[#This Row],[ID]]),"-",casostestes[[#This Row],[ID]])</f>
        <v>-</v>
      </c>
      <c r="C164" s="34" t="str">
        <f>IFERROR(IF(VLOOKUP($B164,casostestes[#Data],10)=0,"Não",VLOOKUP($B164,casostestes[#Data],10)), "-")</f>
        <v>-</v>
      </c>
      <c r="D164" s="35" t="str">
        <f>IFERROR(IF(VLOOKUP($B164,casostestes[#Data],2)=0,"-",VLOOKUP($B164,casostestes[#Data],2)), "-")</f>
        <v>-</v>
      </c>
      <c r="E164" s="35" t="str">
        <f>IFERROR(IF(VLOOKUP($B164,casostestes[#Data],3)=0,"-",VLOOKUP($B164,casostestes[#Data],3)), "-")</f>
        <v>-</v>
      </c>
      <c r="F164" s="35" t="str">
        <f>IFERROR(IF(VLOOKUP($B164,casostestes[#Data],4)=0,"-",VLOOKUP($B164,casostestes[#Data],4)),"-")</f>
        <v>-</v>
      </c>
      <c r="G164" s="35" t="str">
        <f>IFERROR(IF(VLOOKUP($B164,casostestes[#Data],5)=0,"-",VLOOKUP($B164,casostestes[#Data],5)),"-")</f>
        <v>-</v>
      </c>
      <c r="H164" s="35" t="str">
        <f>IFERROR(IF(VLOOKUP($B164,casostestes[#Data],6)=0,"-",VLOOKUP($B164,casostestes[#Data],6)),"-")</f>
        <v>-</v>
      </c>
      <c r="I164" s="35" t="str">
        <f>IFERROR(IF(VLOOKUP($B164,casostestes[#Data],8)=0,"-",VLOOKUP($B164,casostestes[#Data],8)),"-")</f>
        <v>-</v>
      </c>
      <c r="J164" s="35" t="str">
        <f>IFERROR(IF(VLOOKUP($B164,casostestes[#Data],9)=0,"-",VLOOKUP($B164,casostestes[#Data],9)),"-")</f>
        <v>-</v>
      </c>
      <c r="K164" s="36"/>
      <c r="L164" s="45"/>
      <c r="M164" s="37"/>
      <c r="N164" s="38"/>
      <c r="O164" s="38"/>
      <c r="P164" s="39"/>
    </row>
    <row r="165" spans="2:16">
      <c r="B165" s="40" t="str">
        <f>IF(ISERR(casostestes[[#This Row],[ID]]),"-",casostestes[[#This Row],[ID]])</f>
        <v>-</v>
      </c>
      <c r="C165" s="34" t="str">
        <f>IFERROR(IF(VLOOKUP($B165,casostestes[#Data],10)=0,"Não",VLOOKUP($B165,casostestes[#Data],10)), "-")</f>
        <v>-</v>
      </c>
      <c r="D165" s="35" t="str">
        <f>IFERROR(IF(VLOOKUP($B165,casostestes[#Data],2)=0,"-",VLOOKUP($B165,casostestes[#Data],2)), "-")</f>
        <v>-</v>
      </c>
      <c r="E165" s="35" t="str">
        <f>IFERROR(IF(VLOOKUP($B165,casostestes[#Data],3)=0,"-",VLOOKUP($B165,casostestes[#Data],3)), "-")</f>
        <v>-</v>
      </c>
      <c r="F165" s="35" t="str">
        <f>IFERROR(IF(VLOOKUP($B165,casostestes[#Data],4)=0,"-",VLOOKUP($B165,casostestes[#Data],4)),"-")</f>
        <v>-</v>
      </c>
      <c r="G165" s="35" t="str">
        <f>IFERROR(IF(VLOOKUP($B165,casostestes[#Data],5)=0,"-",VLOOKUP($B165,casostestes[#Data],5)),"-")</f>
        <v>-</v>
      </c>
      <c r="H165" s="35" t="str">
        <f>IFERROR(IF(VLOOKUP($B165,casostestes[#Data],6)=0,"-",VLOOKUP($B165,casostestes[#Data],6)),"-")</f>
        <v>-</v>
      </c>
      <c r="I165" s="35" t="str">
        <f>IFERROR(IF(VLOOKUP($B165,casostestes[#Data],8)=0,"-",VLOOKUP($B165,casostestes[#Data],8)),"-")</f>
        <v>-</v>
      </c>
      <c r="J165" s="35" t="str">
        <f>IFERROR(IF(VLOOKUP($B165,casostestes[#Data],9)=0,"-",VLOOKUP($B165,casostestes[#Data],9)),"-")</f>
        <v>-</v>
      </c>
      <c r="K165" s="36"/>
      <c r="L165" s="45"/>
      <c r="M165" s="37"/>
      <c r="N165" s="38"/>
      <c r="O165" s="38"/>
      <c r="P165" s="39"/>
    </row>
    <row r="166" spans="2:16">
      <c r="B166" s="40" t="str">
        <f>IF(ISERR(casostestes[[#This Row],[ID]]),"-",casostestes[[#This Row],[ID]])</f>
        <v>-</v>
      </c>
      <c r="C166" s="34" t="str">
        <f>IFERROR(IF(VLOOKUP($B166,casostestes[#Data],10)=0,"Não",VLOOKUP($B166,casostestes[#Data],10)), "-")</f>
        <v>-</v>
      </c>
      <c r="D166" s="35" t="str">
        <f>IFERROR(IF(VLOOKUP($B166,casostestes[#Data],2)=0,"-",VLOOKUP($B166,casostestes[#Data],2)), "-")</f>
        <v>-</v>
      </c>
      <c r="E166" s="35" t="str">
        <f>IFERROR(IF(VLOOKUP($B166,casostestes[#Data],3)=0,"-",VLOOKUP($B166,casostestes[#Data],3)), "-")</f>
        <v>-</v>
      </c>
      <c r="F166" s="35" t="str">
        <f>IFERROR(IF(VLOOKUP($B166,casostestes[#Data],4)=0,"-",VLOOKUP($B166,casostestes[#Data],4)),"-")</f>
        <v>-</v>
      </c>
      <c r="G166" s="35" t="str">
        <f>IFERROR(IF(VLOOKUP($B166,casostestes[#Data],5)=0,"-",VLOOKUP($B166,casostestes[#Data],5)),"-")</f>
        <v>-</v>
      </c>
      <c r="H166" s="35" t="str">
        <f>IFERROR(IF(VLOOKUP($B166,casostestes[#Data],6)=0,"-",VLOOKUP($B166,casostestes[#Data],6)),"-")</f>
        <v>-</v>
      </c>
      <c r="I166" s="35" t="str">
        <f>IFERROR(IF(VLOOKUP($B166,casostestes[#Data],8)=0,"-",VLOOKUP($B166,casostestes[#Data],8)),"-")</f>
        <v>-</v>
      </c>
      <c r="J166" s="35" t="str">
        <f>IFERROR(IF(VLOOKUP($B166,casostestes[#Data],9)=0,"-",VLOOKUP($B166,casostestes[#Data],9)),"-")</f>
        <v>-</v>
      </c>
      <c r="K166" s="36"/>
      <c r="L166" s="45"/>
      <c r="M166" s="37"/>
      <c r="N166" s="38"/>
      <c r="O166" s="38"/>
      <c r="P166" s="39"/>
    </row>
    <row r="167" spans="2:16">
      <c r="B167" s="40" t="str">
        <f>IF(ISERR(casostestes[[#This Row],[ID]]),"-",casostestes[[#This Row],[ID]])</f>
        <v>-</v>
      </c>
      <c r="C167" s="34" t="str">
        <f>IFERROR(IF(VLOOKUP($B167,casostestes[#Data],10)=0,"Não",VLOOKUP($B167,casostestes[#Data],10)), "-")</f>
        <v>-</v>
      </c>
      <c r="D167" s="35" t="str">
        <f>IFERROR(IF(VLOOKUP($B167,casostestes[#Data],2)=0,"-",VLOOKUP($B167,casostestes[#Data],2)), "-")</f>
        <v>-</v>
      </c>
      <c r="E167" s="35" t="str">
        <f>IFERROR(IF(VLOOKUP($B167,casostestes[#Data],3)=0,"-",VLOOKUP($B167,casostestes[#Data],3)), "-")</f>
        <v>-</v>
      </c>
      <c r="F167" s="35" t="str">
        <f>IFERROR(IF(VLOOKUP($B167,casostestes[#Data],4)=0,"-",VLOOKUP($B167,casostestes[#Data],4)),"-")</f>
        <v>-</v>
      </c>
      <c r="G167" s="35" t="str">
        <f>IFERROR(IF(VLOOKUP($B167,casostestes[#Data],5)=0,"-",VLOOKUP($B167,casostestes[#Data],5)),"-")</f>
        <v>-</v>
      </c>
      <c r="H167" s="35" t="str">
        <f>IFERROR(IF(VLOOKUP($B167,casostestes[#Data],6)=0,"-",VLOOKUP($B167,casostestes[#Data],6)),"-")</f>
        <v>-</v>
      </c>
      <c r="I167" s="35" t="str">
        <f>IFERROR(IF(VLOOKUP($B167,casostestes[#Data],8)=0,"-",VLOOKUP($B167,casostestes[#Data],8)),"-")</f>
        <v>-</v>
      </c>
      <c r="J167" s="35" t="str">
        <f>IFERROR(IF(VLOOKUP($B167,casostestes[#Data],9)=0,"-",VLOOKUP($B167,casostestes[#Data],9)),"-")</f>
        <v>-</v>
      </c>
      <c r="K167" s="36"/>
      <c r="L167" s="45"/>
      <c r="M167" s="37"/>
      <c r="N167" s="38"/>
      <c r="O167" s="38"/>
      <c r="P167" s="39"/>
    </row>
    <row r="168" spans="2:16">
      <c r="B168" s="40" t="str">
        <f>IF(ISERR(casostestes[[#This Row],[ID]]),"-",casostestes[[#This Row],[ID]])</f>
        <v>-</v>
      </c>
      <c r="C168" s="34" t="str">
        <f>IFERROR(IF(VLOOKUP($B168,casostestes[#Data],10)=0,"Não",VLOOKUP($B168,casostestes[#Data],10)), "-")</f>
        <v>-</v>
      </c>
      <c r="D168" s="35" t="str">
        <f>IFERROR(IF(VLOOKUP($B168,casostestes[#Data],2)=0,"-",VLOOKUP($B168,casostestes[#Data],2)), "-")</f>
        <v>-</v>
      </c>
      <c r="E168" s="35" t="str">
        <f>IFERROR(IF(VLOOKUP($B168,casostestes[#Data],3)=0,"-",VLOOKUP($B168,casostestes[#Data],3)), "-")</f>
        <v>-</v>
      </c>
      <c r="F168" s="35" t="str">
        <f>IFERROR(IF(VLOOKUP($B168,casostestes[#Data],4)=0,"-",VLOOKUP($B168,casostestes[#Data],4)),"-")</f>
        <v>-</v>
      </c>
      <c r="G168" s="35" t="str">
        <f>IFERROR(IF(VLOOKUP($B168,casostestes[#Data],5)=0,"-",VLOOKUP($B168,casostestes[#Data],5)),"-")</f>
        <v>-</v>
      </c>
      <c r="H168" s="35" t="str">
        <f>IFERROR(IF(VLOOKUP($B168,casostestes[#Data],6)=0,"-",VLOOKUP($B168,casostestes[#Data],6)),"-")</f>
        <v>-</v>
      </c>
      <c r="I168" s="35" t="str">
        <f>IFERROR(IF(VLOOKUP($B168,casostestes[#Data],8)=0,"-",VLOOKUP($B168,casostestes[#Data],8)),"-")</f>
        <v>-</v>
      </c>
      <c r="J168" s="35" t="str">
        <f>IFERROR(IF(VLOOKUP($B168,casostestes[#Data],9)=0,"-",VLOOKUP($B168,casostestes[#Data],9)),"-")</f>
        <v>-</v>
      </c>
      <c r="K168" s="36"/>
      <c r="L168" s="45"/>
      <c r="M168" s="37"/>
      <c r="N168" s="38"/>
      <c r="O168" s="38"/>
      <c r="P168" s="39"/>
    </row>
    <row r="169" spans="2:16">
      <c r="B169" s="40" t="str">
        <f>IF(ISERR(casostestes[[#This Row],[ID]]),"-",casostestes[[#This Row],[ID]])</f>
        <v>-</v>
      </c>
      <c r="C169" s="34" t="str">
        <f>IFERROR(IF(VLOOKUP($B169,casostestes[#Data],10)=0,"Não",VLOOKUP($B169,casostestes[#Data],10)), "-")</f>
        <v>-</v>
      </c>
      <c r="D169" s="35" t="str">
        <f>IFERROR(IF(VLOOKUP($B169,casostestes[#Data],2)=0,"-",VLOOKUP($B169,casostestes[#Data],2)), "-")</f>
        <v>-</v>
      </c>
      <c r="E169" s="35" t="str">
        <f>IFERROR(IF(VLOOKUP($B169,casostestes[#Data],3)=0,"-",VLOOKUP($B169,casostestes[#Data],3)), "-")</f>
        <v>-</v>
      </c>
      <c r="F169" s="35" t="str">
        <f>IFERROR(IF(VLOOKUP($B169,casostestes[#Data],4)=0,"-",VLOOKUP($B169,casostestes[#Data],4)),"-")</f>
        <v>-</v>
      </c>
      <c r="G169" s="35" t="str">
        <f>IFERROR(IF(VLOOKUP($B169,casostestes[#Data],5)=0,"-",VLOOKUP($B169,casostestes[#Data],5)),"-")</f>
        <v>-</v>
      </c>
      <c r="H169" s="35" t="str">
        <f>IFERROR(IF(VLOOKUP($B169,casostestes[#Data],6)=0,"-",VLOOKUP($B169,casostestes[#Data],6)),"-")</f>
        <v>-</v>
      </c>
      <c r="I169" s="35" t="str">
        <f>IFERROR(IF(VLOOKUP($B169,casostestes[#Data],8)=0,"-",VLOOKUP($B169,casostestes[#Data],8)),"-")</f>
        <v>-</v>
      </c>
      <c r="J169" s="35" t="str">
        <f>IFERROR(IF(VLOOKUP($B169,casostestes[#Data],9)=0,"-",VLOOKUP($B169,casostestes[#Data],9)),"-")</f>
        <v>-</v>
      </c>
      <c r="K169" s="36"/>
      <c r="L169" s="45"/>
      <c r="M169" s="37"/>
      <c r="N169" s="38"/>
      <c r="O169" s="38"/>
      <c r="P169" s="39"/>
    </row>
    <row r="170" spans="2:16">
      <c r="B170" s="40" t="str">
        <f>IF(ISERR(casostestes[[#This Row],[ID]]),"-",casostestes[[#This Row],[ID]])</f>
        <v>-</v>
      </c>
      <c r="C170" s="34" t="str">
        <f>IFERROR(IF(VLOOKUP($B170,casostestes[#Data],10)=0,"Não",VLOOKUP($B170,casostestes[#Data],10)), "-")</f>
        <v>-</v>
      </c>
      <c r="D170" s="35" t="str">
        <f>IFERROR(IF(VLOOKUP($B170,casostestes[#Data],2)=0,"-",VLOOKUP($B170,casostestes[#Data],2)), "-")</f>
        <v>-</v>
      </c>
      <c r="E170" s="35" t="str">
        <f>IFERROR(IF(VLOOKUP($B170,casostestes[#Data],3)=0,"-",VLOOKUP($B170,casostestes[#Data],3)), "-")</f>
        <v>-</v>
      </c>
      <c r="F170" s="35" t="str">
        <f>IFERROR(IF(VLOOKUP($B170,casostestes[#Data],4)=0,"-",VLOOKUP($B170,casostestes[#Data],4)),"-")</f>
        <v>-</v>
      </c>
      <c r="G170" s="35" t="str">
        <f>IFERROR(IF(VLOOKUP($B170,casostestes[#Data],5)=0,"-",VLOOKUP($B170,casostestes[#Data],5)),"-")</f>
        <v>-</v>
      </c>
      <c r="H170" s="35" t="str">
        <f>IFERROR(IF(VLOOKUP($B170,casostestes[#Data],6)=0,"-",VLOOKUP($B170,casostestes[#Data],6)),"-")</f>
        <v>-</v>
      </c>
      <c r="I170" s="35" t="str">
        <f>IFERROR(IF(VLOOKUP($B170,casostestes[#Data],8)=0,"-",VLOOKUP($B170,casostestes[#Data],8)),"-")</f>
        <v>-</v>
      </c>
      <c r="J170" s="35" t="str">
        <f>IFERROR(IF(VLOOKUP($B170,casostestes[#Data],9)=0,"-",VLOOKUP($B170,casostestes[#Data],9)),"-")</f>
        <v>-</v>
      </c>
      <c r="K170" s="36"/>
      <c r="L170" s="45"/>
      <c r="M170" s="37"/>
      <c r="N170" s="38"/>
      <c r="O170" s="38"/>
      <c r="P170" s="39"/>
    </row>
    <row r="171" spans="2:16">
      <c r="B171" s="40" t="str">
        <f>IF(ISERR(casostestes[[#This Row],[ID]]),"-",casostestes[[#This Row],[ID]])</f>
        <v>-</v>
      </c>
      <c r="C171" s="34" t="str">
        <f>IFERROR(IF(VLOOKUP($B171,casostestes[#Data],10)=0,"Não",VLOOKUP($B171,casostestes[#Data],10)), "-")</f>
        <v>-</v>
      </c>
      <c r="D171" s="35" t="str">
        <f>IFERROR(IF(VLOOKUP($B171,casostestes[#Data],2)=0,"-",VLOOKUP($B171,casostestes[#Data],2)), "-")</f>
        <v>-</v>
      </c>
      <c r="E171" s="35" t="str">
        <f>IFERROR(IF(VLOOKUP($B171,casostestes[#Data],3)=0,"-",VLOOKUP($B171,casostestes[#Data],3)), "-")</f>
        <v>-</v>
      </c>
      <c r="F171" s="35" t="str">
        <f>IFERROR(IF(VLOOKUP($B171,casostestes[#Data],4)=0,"-",VLOOKUP($B171,casostestes[#Data],4)),"-")</f>
        <v>-</v>
      </c>
      <c r="G171" s="35" t="str">
        <f>IFERROR(IF(VLOOKUP($B171,casostestes[#Data],5)=0,"-",VLOOKUP($B171,casostestes[#Data],5)),"-")</f>
        <v>-</v>
      </c>
      <c r="H171" s="35" t="str">
        <f>IFERROR(IF(VLOOKUP($B171,casostestes[#Data],6)=0,"-",VLOOKUP($B171,casostestes[#Data],6)),"-")</f>
        <v>-</v>
      </c>
      <c r="I171" s="35" t="str">
        <f>IFERROR(IF(VLOOKUP($B171,casostestes[#Data],8)=0,"-",VLOOKUP($B171,casostestes[#Data],8)),"-")</f>
        <v>-</v>
      </c>
      <c r="J171" s="35" t="str">
        <f>IFERROR(IF(VLOOKUP($B171,casostestes[#Data],9)=0,"-",VLOOKUP($B171,casostestes[#Data],9)),"-")</f>
        <v>-</v>
      </c>
      <c r="K171" s="36"/>
      <c r="L171" s="45"/>
      <c r="M171" s="37"/>
      <c r="N171" s="38"/>
      <c r="O171" s="38"/>
      <c r="P171" s="39"/>
    </row>
    <row r="172" spans="2:16">
      <c r="B172" s="40" t="str">
        <f>IF(ISERR(casostestes[[#This Row],[ID]]),"-",casostestes[[#This Row],[ID]])</f>
        <v>-</v>
      </c>
      <c r="C172" s="34" t="str">
        <f>IFERROR(IF(VLOOKUP($B172,casostestes[#Data],10)=0,"Não",VLOOKUP($B172,casostestes[#Data],10)), "-")</f>
        <v>-</v>
      </c>
      <c r="D172" s="35" t="str">
        <f>IFERROR(IF(VLOOKUP($B172,casostestes[#Data],2)=0,"-",VLOOKUP($B172,casostestes[#Data],2)), "-")</f>
        <v>-</v>
      </c>
      <c r="E172" s="35" t="str">
        <f>IFERROR(IF(VLOOKUP($B172,casostestes[#Data],3)=0,"-",VLOOKUP($B172,casostestes[#Data],3)), "-")</f>
        <v>-</v>
      </c>
      <c r="F172" s="35" t="str">
        <f>IFERROR(IF(VLOOKUP($B172,casostestes[#Data],4)=0,"-",VLOOKUP($B172,casostestes[#Data],4)),"-")</f>
        <v>-</v>
      </c>
      <c r="G172" s="35" t="str">
        <f>IFERROR(IF(VLOOKUP($B172,casostestes[#Data],5)=0,"-",VLOOKUP($B172,casostestes[#Data],5)),"-")</f>
        <v>-</v>
      </c>
      <c r="H172" s="35" t="str">
        <f>IFERROR(IF(VLOOKUP($B172,casostestes[#Data],6)=0,"-",VLOOKUP($B172,casostestes[#Data],6)),"-")</f>
        <v>-</v>
      </c>
      <c r="I172" s="35" t="str">
        <f>IFERROR(IF(VLOOKUP($B172,casostestes[#Data],8)=0,"-",VLOOKUP($B172,casostestes[#Data],8)),"-")</f>
        <v>-</v>
      </c>
      <c r="J172" s="35" t="str">
        <f>IFERROR(IF(VLOOKUP($B172,casostestes[#Data],9)=0,"-",VLOOKUP($B172,casostestes[#Data],9)),"-")</f>
        <v>-</v>
      </c>
      <c r="K172" s="36"/>
      <c r="L172" s="45"/>
      <c r="M172" s="37"/>
      <c r="N172" s="38"/>
      <c r="O172" s="38"/>
      <c r="P172" s="39"/>
    </row>
    <row r="173" spans="2:16">
      <c r="B173" s="40" t="str">
        <f>IF(ISERR(casostestes[[#This Row],[ID]]),"-",casostestes[[#This Row],[ID]])</f>
        <v>-</v>
      </c>
      <c r="C173" s="34" t="str">
        <f>IFERROR(IF(VLOOKUP($B173,casostestes[#Data],10)=0,"Não",VLOOKUP($B173,casostestes[#Data],10)), "-")</f>
        <v>-</v>
      </c>
      <c r="D173" s="35" t="str">
        <f>IFERROR(IF(VLOOKUP($B173,casostestes[#Data],2)=0,"-",VLOOKUP($B173,casostestes[#Data],2)), "-")</f>
        <v>-</v>
      </c>
      <c r="E173" s="35" t="str">
        <f>IFERROR(IF(VLOOKUP($B173,casostestes[#Data],3)=0,"-",VLOOKUP($B173,casostestes[#Data],3)), "-")</f>
        <v>-</v>
      </c>
      <c r="F173" s="35" t="str">
        <f>IFERROR(IF(VLOOKUP($B173,casostestes[#Data],4)=0,"-",VLOOKUP($B173,casostestes[#Data],4)),"-")</f>
        <v>-</v>
      </c>
      <c r="G173" s="35" t="str">
        <f>IFERROR(IF(VLOOKUP($B173,casostestes[#Data],5)=0,"-",VLOOKUP($B173,casostestes[#Data],5)),"-")</f>
        <v>-</v>
      </c>
      <c r="H173" s="35" t="str">
        <f>IFERROR(IF(VLOOKUP($B173,casostestes[#Data],6)=0,"-",VLOOKUP($B173,casostestes[#Data],6)),"-")</f>
        <v>-</v>
      </c>
      <c r="I173" s="35" t="str">
        <f>IFERROR(IF(VLOOKUP($B173,casostestes[#Data],8)=0,"-",VLOOKUP($B173,casostestes[#Data],8)),"-")</f>
        <v>-</v>
      </c>
      <c r="J173" s="35" t="str">
        <f>IFERROR(IF(VLOOKUP($B173,casostestes[#Data],9)=0,"-",VLOOKUP($B173,casostestes[#Data],9)),"-")</f>
        <v>-</v>
      </c>
      <c r="K173" s="36"/>
      <c r="L173" s="45"/>
      <c r="M173" s="37"/>
      <c r="N173" s="38"/>
      <c r="O173" s="38"/>
      <c r="P173" s="39"/>
    </row>
    <row r="174" spans="2:16">
      <c r="B174" s="40" t="str">
        <f>IF(ISERR(casostestes[[#This Row],[ID]]),"-",casostestes[[#This Row],[ID]])</f>
        <v>-</v>
      </c>
      <c r="C174" s="34" t="str">
        <f>IFERROR(IF(VLOOKUP($B174,casostestes[#Data],10)=0,"Não",VLOOKUP($B174,casostestes[#Data],10)), "-")</f>
        <v>-</v>
      </c>
      <c r="D174" s="35" t="str">
        <f>IFERROR(IF(VLOOKUP($B174,casostestes[#Data],2)=0,"-",VLOOKUP($B174,casostestes[#Data],2)), "-")</f>
        <v>-</v>
      </c>
      <c r="E174" s="35" t="str">
        <f>IFERROR(IF(VLOOKUP($B174,casostestes[#Data],3)=0,"-",VLOOKUP($B174,casostestes[#Data],3)), "-")</f>
        <v>-</v>
      </c>
      <c r="F174" s="35" t="str">
        <f>IFERROR(IF(VLOOKUP($B174,casostestes[#Data],4)=0,"-",VLOOKUP($B174,casostestes[#Data],4)),"-")</f>
        <v>-</v>
      </c>
      <c r="G174" s="35" t="str">
        <f>IFERROR(IF(VLOOKUP($B174,casostestes[#Data],5)=0,"-",VLOOKUP($B174,casostestes[#Data],5)),"-")</f>
        <v>-</v>
      </c>
      <c r="H174" s="35" t="str">
        <f>IFERROR(IF(VLOOKUP($B174,casostestes[#Data],6)=0,"-",VLOOKUP($B174,casostestes[#Data],6)),"-")</f>
        <v>-</v>
      </c>
      <c r="I174" s="35" t="str">
        <f>IFERROR(IF(VLOOKUP($B174,casostestes[#Data],8)=0,"-",VLOOKUP($B174,casostestes[#Data],8)),"-")</f>
        <v>-</v>
      </c>
      <c r="J174" s="35" t="str">
        <f>IFERROR(IF(VLOOKUP($B174,casostestes[#Data],9)=0,"-",VLOOKUP($B174,casostestes[#Data],9)),"-")</f>
        <v>-</v>
      </c>
      <c r="K174" s="36"/>
      <c r="L174" s="45"/>
      <c r="M174" s="37"/>
      <c r="N174" s="38"/>
      <c r="O174" s="38"/>
      <c r="P174" s="39"/>
    </row>
    <row r="175" spans="2:16">
      <c r="B175" s="40" t="str">
        <f>IF(ISERR(casostestes[[#This Row],[ID]]),"-",casostestes[[#This Row],[ID]])</f>
        <v>-</v>
      </c>
      <c r="C175" s="34" t="str">
        <f>IFERROR(IF(VLOOKUP($B175,casostestes[#Data],10)=0,"Não",VLOOKUP($B175,casostestes[#Data],10)), "-")</f>
        <v>-</v>
      </c>
      <c r="D175" s="35" t="str">
        <f>IFERROR(IF(VLOOKUP($B175,casostestes[#Data],2)=0,"-",VLOOKUP($B175,casostestes[#Data],2)), "-")</f>
        <v>-</v>
      </c>
      <c r="E175" s="35" t="str">
        <f>IFERROR(IF(VLOOKUP($B175,casostestes[#Data],3)=0,"-",VLOOKUP($B175,casostestes[#Data],3)), "-")</f>
        <v>-</v>
      </c>
      <c r="F175" s="35" t="str">
        <f>IFERROR(IF(VLOOKUP($B175,casostestes[#Data],4)=0,"-",VLOOKUP($B175,casostestes[#Data],4)),"-")</f>
        <v>-</v>
      </c>
      <c r="G175" s="35" t="str">
        <f>IFERROR(IF(VLOOKUP($B175,casostestes[#Data],5)=0,"-",VLOOKUP($B175,casostestes[#Data],5)),"-")</f>
        <v>-</v>
      </c>
      <c r="H175" s="35" t="str">
        <f>IFERROR(IF(VLOOKUP($B175,casostestes[#Data],6)=0,"-",VLOOKUP($B175,casostestes[#Data],6)),"-")</f>
        <v>-</v>
      </c>
      <c r="I175" s="35" t="str">
        <f>IFERROR(IF(VLOOKUP($B175,casostestes[#Data],8)=0,"-",VLOOKUP($B175,casostestes[#Data],8)),"-")</f>
        <v>-</v>
      </c>
      <c r="J175" s="35" t="str">
        <f>IFERROR(IF(VLOOKUP($B175,casostestes[#Data],9)=0,"-",VLOOKUP($B175,casostestes[#Data],9)),"-")</f>
        <v>-</v>
      </c>
      <c r="K175" s="36"/>
      <c r="L175" s="45"/>
      <c r="M175" s="37"/>
      <c r="N175" s="38"/>
      <c r="O175" s="38"/>
      <c r="P175" s="39"/>
    </row>
    <row r="176" spans="2:16">
      <c r="B176" s="40" t="str">
        <f>IF(ISERR(casostestes[[#This Row],[ID]]),"-",casostestes[[#This Row],[ID]])</f>
        <v>-</v>
      </c>
      <c r="C176" s="34" t="str">
        <f>IFERROR(IF(VLOOKUP($B176,casostestes[#Data],10)=0,"Não",VLOOKUP($B176,casostestes[#Data],10)), "-")</f>
        <v>-</v>
      </c>
      <c r="D176" s="35" t="str">
        <f>IFERROR(IF(VLOOKUP($B176,casostestes[#Data],2)=0,"-",VLOOKUP($B176,casostestes[#Data],2)), "-")</f>
        <v>-</v>
      </c>
      <c r="E176" s="35" t="str">
        <f>IFERROR(IF(VLOOKUP($B176,casostestes[#Data],3)=0,"-",VLOOKUP($B176,casostestes[#Data],3)), "-")</f>
        <v>-</v>
      </c>
      <c r="F176" s="35" t="str">
        <f>IFERROR(IF(VLOOKUP($B176,casostestes[#Data],4)=0,"-",VLOOKUP($B176,casostestes[#Data],4)),"-")</f>
        <v>-</v>
      </c>
      <c r="G176" s="35" t="str">
        <f>IFERROR(IF(VLOOKUP($B176,casostestes[#Data],5)=0,"-",VLOOKUP($B176,casostestes[#Data],5)),"-")</f>
        <v>-</v>
      </c>
      <c r="H176" s="35" t="str">
        <f>IFERROR(IF(VLOOKUP($B176,casostestes[#Data],6)=0,"-",VLOOKUP($B176,casostestes[#Data],6)),"-")</f>
        <v>-</v>
      </c>
      <c r="I176" s="35" t="str">
        <f>IFERROR(IF(VLOOKUP($B176,casostestes[#Data],8)=0,"-",VLOOKUP($B176,casostestes[#Data],8)),"-")</f>
        <v>-</v>
      </c>
      <c r="J176" s="35" t="str">
        <f>IFERROR(IF(VLOOKUP($B176,casostestes[#Data],9)=0,"-",VLOOKUP($B176,casostestes[#Data],9)),"-")</f>
        <v>-</v>
      </c>
      <c r="K176" s="36"/>
      <c r="L176" s="45"/>
      <c r="M176" s="37"/>
      <c r="N176" s="38"/>
      <c r="O176" s="38"/>
      <c r="P176" s="39"/>
    </row>
    <row r="177" spans="2:16">
      <c r="B177" s="40" t="str">
        <f>IF(ISERR(casostestes[[#This Row],[ID]]),"-",casostestes[[#This Row],[ID]])</f>
        <v>-</v>
      </c>
      <c r="C177" s="34" t="str">
        <f>IFERROR(IF(VLOOKUP($B177,casostestes[#Data],10)=0,"Não",VLOOKUP($B177,casostestes[#Data],10)), "-")</f>
        <v>-</v>
      </c>
      <c r="D177" s="35" t="str">
        <f>IFERROR(IF(VLOOKUP($B177,casostestes[#Data],2)=0,"-",VLOOKUP($B177,casostestes[#Data],2)), "-")</f>
        <v>-</v>
      </c>
      <c r="E177" s="35" t="str">
        <f>IFERROR(IF(VLOOKUP($B177,casostestes[#Data],3)=0,"-",VLOOKUP($B177,casostestes[#Data],3)), "-")</f>
        <v>-</v>
      </c>
      <c r="F177" s="35" t="str">
        <f>IFERROR(IF(VLOOKUP($B177,casostestes[#Data],4)=0,"-",VLOOKUP($B177,casostestes[#Data],4)),"-")</f>
        <v>-</v>
      </c>
      <c r="G177" s="35" t="str">
        <f>IFERROR(IF(VLOOKUP($B177,casostestes[#Data],5)=0,"-",VLOOKUP($B177,casostestes[#Data],5)),"-")</f>
        <v>-</v>
      </c>
      <c r="H177" s="35" t="str">
        <f>IFERROR(IF(VLOOKUP($B177,casostestes[#Data],6)=0,"-",VLOOKUP($B177,casostestes[#Data],6)),"-")</f>
        <v>-</v>
      </c>
      <c r="I177" s="35" t="str">
        <f>IFERROR(IF(VLOOKUP($B177,casostestes[#Data],8)=0,"-",VLOOKUP($B177,casostestes[#Data],8)),"-")</f>
        <v>-</v>
      </c>
      <c r="J177" s="35" t="str">
        <f>IFERROR(IF(VLOOKUP($B177,casostestes[#Data],9)=0,"-",VLOOKUP($B177,casostestes[#Data],9)),"-")</f>
        <v>-</v>
      </c>
      <c r="K177" s="36"/>
      <c r="L177" s="45"/>
      <c r="M177" s="37"/>
      <c r="N177" s="38"/>
      <c r="O177" s="38"/>
      <c r="P177" s="39"/>
    </row>
    <row r="178" spans="2:16">
      <c r="B178" s="40" t="str">
        <f>IF(ISERR(casostestes[[#This Row],[ID]]),"-",casostestes[[#This Row],[ID]])</f>
        <v>-</v>
      </c>
      <c r="C178" s="34" t="str">
        <f>IFERROR(IF(VLOOKUP($B178,casostestes[#Data],10)=0,"Não",VLOOKUP($B178,casostestes[#Data],10)), "-")</f>
        <v>-</v>
      </c>
      <c r="D178" s="35" t="str">
        <f>IFERROR(IF(VLOOKUP($B178,casostestes[#Data],2)=0,"-",VLOOKUP($B178,casostestes[#Data],2)), "-")</f>
        <v>-</v>
      </c>
      <c r="E178" s="35" t="str">
        <f>IFERROR(IF(VLOOKUP($B178,casostestes[#Data],3)=0,"-",VLOOKUP($B178,casostestes[#Data],3)), "-")</f>
        <v>-</v>
      </c>
      <c r="F178" s="35" t="str">
        <f>IFERROR(IF(VLOOKUP($B178,casostestes[#Data],4)=0,"-",VLOOKUP($B178,casostestes[#Data],4)),"-")</f>
        <v>-</v>
      </c>
      <c r="G178" s="35" t="str">
        <f>IFERROR(IF(VLOOKUP($B178,casostestes[#Data],5)=0,"-",VLOOKUP($B178,casostestes[#Data],5)),"-")</f>
        <v>-</v>
      </c>
      <c r="H178" s="35" t="str">
        <f>IFERROR(IF(VLOOKUP($B178,casostestes[#Data],6)=0,"-",VLOOKUP($B178,casostestes[#Data],6)),"-")</f>
        <v>-</v>
      </c>
      <c r="I178" s="35" t="str">
        <f>IFERROR(IF(VLOOKUP($B178,casostestes[#Data],8)=0,"-",VLOOKUP($B178,casostestes[#Data],8)),"-")</f>
        <v>-</v>
      </c>
      <c r="J178" s="35" t="str">
        <f>IFERROR(IF(VLOOKUP($B178,casostestes[#Data],9)=0,"-",VLOOKUP($B178,casostestes[#Data],9)),"-")</f>
        <v>-</v>
      </c>
      <c r="K178" s="36"/>
      <c r="L178" s="45"/>
      <c r="M178" s="37"/>
      <c r="N178" s="38"/>
      <c r="O178" s="38"/>
      <c r="P178" s="39"/>
    </row>
    <row r="179" spans="2:16">
      <c r="B179" s="40" t="str">
        <f>IF(ISERR(casostestes[[#This Row],[ID]]),"-",casostestes[[#This Row],[ID]])</f>
        <v>-</v>
      </c>
      <c r="C179" s="34" t="str">
        <f>IFERROR(IF(VLOOKUP($B179,casostestes[#Data],10)=0,"Não",VLOOKUP($B179,casostestes[#Data],10)), "-")</f>
        <v>-</v>
      </c>
      <c r="D179" s="35" t="str">
        <f>IFERROR(IF(VLOOKUP($B179,casostestes[#Data],2)=0,"-",VLOOKUP($B179,casostestes[#Data],2)), "-")</f>
        <v>-</v>
      </c>
      <c r="E179" s="35" t="str">
        <f>IFERROR(IF(VLOOKUP($B179,casostestes[#Data],3)=0,"-",VLOOKUP($B179,casostestes[#Data],3)), "-")</f>
        <v>-</v>
      </c>
      <c r="F179" s="35" t="str">
        <f>IFERROR(IF(VLOOKUP($B179,casostestes[#Data],4)=0,"-",VLOOKUP($B179,casostestes[#Data],4)),"-")</f>
        <v>-</v>
      </c>
      <c r="G179" s="35" t="str">
        <f>IFERROR(IF(VLOOKUP($B179,casostestes[#Data],5)=0,"-",VLOOKUP($B179,casostestes[#Data],5)),"-")</f>
        <v>-</v>
      </c>
      <c r="H179" s="35" t="str">
        <f>IFERROR(IF(VLOOKUP($B179,casostestes[#Data],6)=0,"-",VLOOKUP($B179,casostestes[#Data],6)),"-")</f>
        <v>-</v>
      </c>
      <c r="I179" s="35" t="str">
        <f>IFERROR(IF(VLOOKUP($B179,casostestes[#Data],8)=0,"-",VLOOKUP($B179,casostestes[#Data],8)),"-")</f>
        <v>-</v>
      </c>
      <c r="J179" s="35" t="str">
        <f>IFERROR(IF(VLOOKUP($B179,casostestes[#Data],9)=0,"-",VLOOKUP($B179,casostestes[#Data],9)),"-")</f>
        <v>-</v>
      </c>
      <c r="K179" s="36"/>
      <c r="L179" s="45"/>
      <c r="M179" s="37"/>
      <c r="N179" s="38"/>
      <c r="O179" s="38"/>
      <c r="P179" s="39"/>
    </row>
    <row r="180" spans="2:16">
      <c r="B180" s="40" t="str">
        <f>IF(ISERR(casostestes[[#This Row],[ID]]),"-",casostestes[[#This Row],[ID]])</f>
        <v>-</v>
      </c>
      <c r="C180" s="34" t="str">
        <f>IFERROR(IF(VLOOKUP($B180,casostestes[#Data],10)=0,"Não",VLOOKUP($B180,casostestes[#Data],10)), "-")</f>
        <v>-</v>
      </c>
      <c r="D180" s="35" t="str">
        <f>IFERROR(IF(VLOOKUP($B180,casostestes[#Data],2)=0,"-",VLOOKUP($B180,casostestes[#Data],2)), "-")</f>
        <v>-</v>
      </c>
      <c r="E180" s="35" t="str">
        <f>IFERROR(IF(VLOOKUP($B180,casostestes[#Data],3)=0,"-",VLOOKUP($B180,casostestes[#Data],3)), "-")</f>
        <v>-</v>
      </c>
      <c r="F180" s="35" t="str">
        <f>IFERROR(IF(VLOOKUP($B180,casostestes[#Data],4)=0,"-",VLOOKUP($B180,casostestes[#Data],4)),"-")</f>
        <v>-</v>
      </c>
      <c r="G180" s="35" t="str">
        <f>IFERROR(IF(VLOOKUP($B180,casostestes[#Data],5)=0,"-",VLOOKUP($B180,casostestes[#Data],5)),"-")</f>
        <v>-</v>
      </c>
      <c r="H180" s="35" t="str">
        <f>IFERROR(IF(VLOOKUP($B180,casostestes[#Data],6)=0,"-",VLOOKUP($B180,casostestes[#Data],6)),"-")</f>
        <v>-</v>
      </c>
      <c r="I180" s="35" t="str">
        <f>IFERROR(IF(VLOOKUP($B180,casostestes[#Data],8)=0,"-",VLOOKUP($B180,casostestes[#Data],8)),"-")</f>
        <v>-</v>
      </c>
      <c r="J180" s="35" t="str">
        <f>IFERROR(IF(VLOOKUP($B180,casostestes[#Data],9)=0,"-",VLOOKUP($B180,casostestes[#Data],9)),"-")</f>
        <v>-</v>
      </c>
      <c r="K180" s="36"/>
      <c r="L180" s="45"/>
      <c r="M180" s="37"/>
      <c r="N180" s="38"/>
      <c r="O180" s="38"/>
      <c r="P180" s="39"/>
    </row>
    <row r="181" spans="2:16">
      <c r="B181" s="40" t="str">
        <f>IF(ISERR(casostestes[[#This Row],[ID]]),"-",casostestes[[#This Row],[ID]])</f>
        <v>-</v>
      </c>
      <c r="C181" s="34" t="str">
        <f>IFERROR(IF(VLOOKUP($B181,casostestes[#Data],10)=0,"Não",VLOOKUP($B181,casostestes[#Data],10)), "-")</f>
        <v>-</v>
      </c>
      <c r="D181" s="35" t="str">
        <f>IFERROR(IF(VLOOKUP($B181,casostestes[#Data],2)=0,"-",VLOOKUP($B181,casostestes[#Data],2)), "-")</f>
        <v>-</v>
      </c>
      <c r="E181" s="35" t="str">
        <f>IFERROR(IF(VLOOKUP($B181,casostestes[#Data],3)=0,"-",VLOOKUP($B181,casostestes[#Data],3)), "-")</f>
        <v>-</v>
      </c>
      <c r="F181" s="35" t="str">
        <f>IFERROR(IF(VLOOKUP($B181,casostestes[#Data],4)=0,"-",VLOOKUP($B181,casostestes[#Data],4)),"-")</f>
        <v>-</v>
      </c>
      <c r="G181" s="35" t="str">
        <f>IFERROR(IF(VLOOKUP($B181,casostestes[#Data],5)=0,"-",VLOOKUP($B181,casostestes[#Data],5)),"-")</f>
        <v>-</v>
      </c>
      <c r="H181" s="35" t="str">
        <f>IFERROR(IF(VLOOKUP($B181,casostestes[#Data],6)=0,"-",VLOOKUP($B181,casostestes[#Data],6)),"-")</f>
        <v>-</v>
      </c>
      <c r="I181" s="35" t="str">
        <f>IFERROR(IF(VLOOKUP($B181,casostestes[#Data],8)=0,"-",VLOOKUP($B181,casostestes[#Data],8)),"-")</f>
        <v>-</v>
      </c>
      <c r="J181" s="35" t="str">
        <f>IFERROR(IF(VLOOKUP($B181,casostestes[#Data],9)=0,"-",VLOOKUP($B181,casostestes[#Data],9)),"-")</f>
        <v>-</v>
      </c>
      <c r="K181" s="36"/>
      <c r="L181" s="45"/>
      <c r="M181" s="37"/>
      <c r="N181" s="38"/>
      <c r="O181" s="38"/>
      <c r="P181" s="39"/>
    </row>
    <row r="182" spans="2:16">
      <c r="B182" s="40" t="str">
        <f>IF(ISERR(casostestes[[#This Row],[ID]]),"-",casostestes[[#This Row],[ID]])</f>
        <v>-</v>
      </c>
      <c r="C182" s="34" t="str">
        <f>IFERROR(IF(VLOOKUP($B182,casostestes[#Data],10)=0,"Não",VLOOKUP($B182,casostestes[#Data],10)), "-")</f>
        <v>-</v>
      </c>
      <c r="D182" s="35" t="str">
        <f>IFERROR(IF(VLOOKUP($B182,casostestes[#Data],2)=0,"-",VLOOKUP($B182,casostestes[#Data],2)), "-")</f>
        <v>-</v>
      </c>
      <c r="E182" s="35" t="str">
        <f>IFERROR(IF(VLOOKUP($B182,casostestes[#Data],3)=0,"-",VLOOKUP($B182,casostestes[#Data],3)), "-")</f>
        <v>-</v>
      </c>
      <c r="F182" s="35" t="str">
        <f>IFERROR(IF(VLOOKUP($B182,casostestes[#Data],4)=0,"-",VLOOKUP($B182,casostestes[#Data],4)),"-")</f>
        <v>-</v>
      </c>
      <c r="G182" s="35" t="str">
        <f>IFERROR(IF(VLOOKUP($B182,casostestes[#Data],5)=0,"-",VLOOKUP($B182,casostestes[#Data],5)),"-")</f>
        <v>-</v>
      </c>
      <c r="H182" s="35" t="str">
        <f>IFERROR(IF(VLOOKUP($B182,casostestes[#Data],6)=0,"-",VLOOKUP($B182,casostestes[#Data],6)),"-")</f>
        <v>-</v>
      </c>
      <c r="I182" s="35" t="str">
        <f>IFERROR(IF(VLOOKUP($B182,casostestes[#Data],8)=0,"-",VLOOKUP($B182,casostestes[#Data],8)),"-")</f>
        <v>-</v>
      </c>
      <c r="J182" s="35" t="str">
        <f>IFERROR(IF(VLOOKUP($B182,casostestes[#Data],9)=0,"-",VLOOKUP($B182,casostestes[#Data],9)),"-")</f>
        <v>-</v>
      </c>
      <c r="K182" s="36"/>
      <c r="L182" s="45"/>
      <c r="M182" s="37"/>
      <c r="N182" s="38"/>
      <c r="O182" s="38"/>
      <c r="P182" s="39"/>
    </row>
    <row r="183" spans="2:16">
      <c r="B183" s="40" t="str">
        <f>IF(ISERR(casostestes[[#This Row],[ID]]),"-",casostestes[[#This Row],[ID]])</f>
        <v>-</v>
      </c>
      <c r="C183" s="34" t="str">
        <f>IFERROR(IF(VLOOKUP($B183,casostestes[#Data],10)=0,"Não",VLOOKUP($B183,casostestes[#Data],10)), "-")</f>
        <v>-</v>
      </c>
      <c r="D183" s="35" t="str">
        <f>IFERROR(IF(VLOOKUP($B183,casostestes[#Data],2)=0,"-",VLOOKUP($B183,casostestes[#Data],2)), "-")</f>
        <v>-</v>
      </c>
      <c r="E183" s="35" t="str">
        <f>IFERROR(IF(VLOOKUP($B183,casostestes[#Data],3)=0,"-",VLOOKUP($B183,casostestes[#Data],3)), "-")</f>
        <v>-</v>
      </c>
      <c r="F183" s="35" t="str">
        <f>IFERROR(IF(VLOOKUP($B183,casostestes[#Data],4)=0,"-",VLOOKUP($B183,casostestes[#Data],4)),"-")</f>
        <v>-</v>
      </c>
      <c r="G183" s="35" t="str">
        <f>IFERROR(IF(VLOOKUP($B183,casostestes[#Data],5)=0,"-",VLOOKUP($B183,casostestes[#Data],5)),"-")</f>
        <v>-</v>
      </c>
      <c r="H183" s="35" t="str">
        <f>IFERROR(IF(VLOOKUP($B183,casostestes[#Data],6)=0,"-",VLOOKUP($B183,casostestes[#Data],6)),"-")</f>
        <v>-</v>
      </c>
      <c r="I183" s="35" t="str">
        <f>IFERROR(IF(VLOOKUP($B183,casostestes[#Data],8)=0,"-",VLOOKUP($B183,casostestes[#Data],8)),"-")</f>
        <v>-</v>
      </c>
      <c r="J183" s="35" t="str">
        <f>IFERROR(IF(VLOOKUP($B183,casostestes[#Data],9)=0,"-",VLOOKUP($B183,casostestes[#Data],9)),"-")</f>
        <v>-</v>
      </c>
      <c r="K183" s="36"/>
      <c r="L183" s="45"/>
      <c r="M183" s="37"/>
      <c r="N183" s="38"/>
      <c r="O183" s="38"/>
      <c r="P183" s="39"/>
    </row>
    <row r="184" spans="2:16">
      <c r="B184" s="40" t="str">
        <f>IF(ISERR(casostestes[[#This Row],[ID]]),"-",casostestes[[#This Row],[ID]])</f>
        <v>-</v>
      </c>
      <c r="C184" s="34" t="str">
        <f>IFERROR(IF(VLOOKUP($B184,casostestes[#Data],10)=0,"Não",VLOOKUP($B184,casostestes[#Data],10)), "-")</f>
        <v>-</v>
      </c>
      <c r="D184" s="35" t="str">
        <f>IFERROR(IF(VLOOKUP($B184,casostestes[#Data],2)=0,"-",VLOOKUP($B184,casostestes[#Data],2)), "-")</f>
        <v>-</v>
      </c>
      <c r="E184" s="35" t="str">
        <f>IFERROR(IF(VLOOKUP($B184,casostestes[#Data],3)=0,"-",VLOOKUP($B184,casostestes[#Data],3)), "-")</f>
        <v>-</v>
      </c>
      <c r="F184" s="35" t="str">
        <f>IFERROR(IF(VLOOKUP($B184,casostestes[#Data],4)=0,"-",VLOOKUP($B184,casostestes[#Data],4)),"-")</f>
        <v>-</v>
      </c>
      <c r="G184" s="35" t="str">
        <f>IFERROR(IF(VLOOKUP($B184,casostestes[#Data],5)=0,"-",VLOOKUP($B184,casostestes[#Data],5)),"-")</f>
        <v>-</v>
      </c>
      <c r="H184" s="35" t="str">
        <f>IFERROR(IF(VLOOKUP($B184,casostestes[#Data],6)=0,"-",VLOOKUP($B184,casostestes[#Data],6)),"-")</f>
        <v>-</v>
      </c>
      <c r="I184" s="35" t="str">
        <f>IFERROR(IF(VLOOKUP($B184,casostestes[#Data],8)=0,"-",VLOOKUP($B184,casostestes[#Data],8)),"-")</f>
        <v>-</v>
      </c>
      <c r="J184" s="35" t="str">
        <f>IFERROR(IF(VLOOKUP($B184,casostestes[#Data],9)=0,"-",VLOOKUP($B184,casostestes[#Data],9)),"-")</f>
        <v>-</v>
      </c>
      <c r="K184" s="36"/>
      <c r="L184" s="45"/>
      <c r="M184" s="37"/>
      <c r="N184" s="38"/>
      <c r="O184" s="38"/>
      <c r="P184" s="39"/>
    </row>
    <row r="185" spans="2:16">
      <c r="B185" s="40" t="str">
        <f>IF(ISERR(casostestes[[#This Row],[ID]]),"-",casostestes[[#This Row],[ID]])</f>
        <v>-</v>
      </c>
      <c r="C185" s="34" t="str">
        <f>IFERROR(IF(VLOOKUP($B185,casostestes[#Data],10)=0,"Não",VLOOKUP($B185,casostestes[#Data],10)), "-")</f>
        <v>-</v>
      </c>
      <c r="D185" s="35" t="str">
        <f>IFERROR(IF(VLOOKUP($B185,casostestes[#Data],2)=0,"-",VLOOKUP($B185,casostestes[#Data],2)), "-")</f>
        <v>-</v>
      </c>
      <c r="E185" s="35" t="str">
        <f>IFERROR(IF(VLOOKUP($B185,casostestes[#Data],3)=0,"-",VLOOKUP($B185,casostestes[#Data],3)), "-")</f>
        <v>-</v>
      </c>
      <c r="F185" s="35" t="str">
        <f>IFERROR(IF(VLOOKUP($B185,casostestes[#Data],4)=0,"-",VLOOKUP($B185,casostestes[#Data],4)),"-")</f>
        <v>-</v>
      </c>
      <c r="G185" s="35" t="str">
        <f>IFERROR(IF(VLOOKUP($B185,casostestes[#Data],5)=0,"-",VLOOKUP($B185,casostestes[#Data],5)),"-")</f>
        <v>-</v>
      </c>
      <c r="H185" s="35" t="str">
        <f>IFERROR(IF(VLOOKUP($B185,casostestes[#Data],6)=0,"-",VLOOKUP($B185,casostestes[#Data],6)),"-")</f>
        <v>-</v>
      </c>
      <c r="I185" s="35" t="str">
        <f>IFERROR(IF(VLOOKUP($B185,casostestes[#Data],8)=0,"-",VLOOKUP($B185,casostestes[#Data],8)),"-")</f>
        <v>-</v>
      </c>
      <c r="J185" s="35" t="str">
        <f>IFERROR(IF(VLOOKUP($B185,casostestes[#Data],9)=0,"-",VLOOKUP($B185,casostestes[#Data],9)),"-")</f>
        <v>-</v>
      </c>
      <c r="K185" s="36"/>
      <c r="L185" s="45"/>
      <c r="M185" s="37"/>
      <c r="N185" s="38"/>
      <c r="O185" s="38"/>
      <c r="P185" s="39"/>
    </row>
    <row r="186" spans="2:16">
      <c r="B186" s="40" t="str">
        <f>IF(ISERR(casostestes[[#This Row],[ID]]),"-",casostestes[[#This Row],[ID]])</f>
        <v>-</v>
      </c>
      <c r="C186" s="34" t="str">
        <f>IFERROR(IF(VLOOKUP($B186,casostestes[#Data],10)=0,"Não",VLOOKUP($B186,casostestes[#Data],10)), "-")</f>
        <v>-</v>
      </c>
      <c r="D186" s="35" t="str">
        <f>IFERROR(IF(VLOOKUP($B186,casostestes[#Data],2)=0,"-",VLOOKUP($B186,casostestes[#Data],2)), "-")</f>
        <v>-</v>
      </c>
      <c r="E186" s="35" t="str">
        <f>IFERROR(IF(VLOOKUP($B186,casostestes[#Data],3)=0,"-",VLOOKUP($B186,casostestes[#Data],3)), "-")</f>
        <v>-</v>
      </c>
      <c r="F186" s="35" t="str">
        <f>IFERROR(IF(VLOOKUP($B186,casostestes[#Data],4)=0,"-",VLOOKUP($B186,casostestes[#Data],4)),"-")</f>
        <v>-</v>
      </c>
      <c r="G186" s="35" t="str">
        <f>IFERROR(IF(VLOOKUP($B186,casostestes[#Data],5)=0,"-",VLOOKUP($B186,casostestes[#Data],5)),"-")</f>
        <v>-</v>
      </c>
      <c r="H186" s="35" t="str">
        <f>IFERROR(IF(VLOOKUP($B186,casostestes[#Data],6)=0,"-",VLOOKUP($B186,casostestes[#Data],6)),"-")</f>
        <v>-</v>
      </c>
      <c r="I186" s="35" t="str">
        <f>IFERROR(IF(VLOOKUP($B186,casostestes[#Data],8)=0,"-",VLOOKUP($B186,casostestes[#Data],8)),"-")</f>
        <v>-</v>
      </c>
      <c r="J186" s="35" t="str">
        <f>IFERROR(IF(VLOOKUP($B186,casostestes[#Data],9)=0,"-",VLOOKUP($B186,casostestes[#Data],9)),"-")</f>
        <v>-</v>
      </c>
      <c r="K186" s="36"/>
      <c r="L186" s="45"/>
      <c r="M186" s="37"/>
      <c r="N186" s="38"/>
      <c r="O186" s="38"/>
      <c r="P186" s="39"/>
    </row>
    <row r="187" spans="2:16">
      <c r="B187" s="40" t="str">
        <f>IF(ISERR(casostestes[[#This Row],[ID]]),"-",casostestes[[#This Row],[ID]])</f>
        <v>-</v>
      </c>
      <c r="C187" s="34" t="str">
        <f>IFERROR(IF(VLOOKUP($B187,casostestes[#Data],10)=0,"Não",VLOOKUP($B187,casostestes[#Data],10)), "-")</f>
        <v>-</v>
      </c>
      <c r="D187" s="35" t="str">
        <f>IFERROR(IF(VLOOKUP($B187,casostestes[#Data],2)=0,"-",VLOOKUP($B187,casostestes[#Data],2)), "-")</f>
        <v>-</v>
      </c>
      <c r="E187" s="35" t="str">
        <f>IFERROR(IF(VLOOKUP($B187,casostestes[#Data],3)=0,"-",VLOOKUP($B187,casostestes[#Data],3)), "-")</f>
        <v>-</v>
      </c>
      <c r="F187" s="35" t="str">
        <f>IFERROR(IF(VLOOKUP($B187,casostestes[#Data],4)=0,"-",VLOOKUP($B187,casostestes[#Data],4)),"-")</f>
        <v>-</v>
      </c>
      <c r="G187" s="35" t="str">
        <f>IFERROR(IF(VLOOKUP($B187,casostestes[#Data],5)=0,"-",VLOOKUP($B187,casostestes[#Data],5)),"-")</f>
        <v>-</v>
      </c>
      <c r="H187" s="35" t="str">
        <f>IFERROR(IF(VLOOKUP($B187,casostestes[#Data],6)=0,"-",VLOOKUP($B187,casostestes[#Data],6)),"-")</f>
        <v>-</v>
      </c>
      <c r="I187" s="35" t="str">
        <f>IFERROR(IF(VLOOKUP($B187,casostestes[#Data],8)=0,"-",VLOOKUP($B187,casostestes[#Data],8)),"-")</f>
        <v>-</v>
      </c>
      <c r="J187" s="35" t="str">
        <f>IFERROR(IF(VLOOKUP($B187,casostestes[#Data],9)=0,"-",VLOOKUP($B187,casostestes[#Data],9)),"-")</f>
        <v>-</v>
      </c>
      <c r="K187" s="36"/>
      <c r="L187" s="45"/>
      <c r="M187" s="37"/>
      <c r="N187" s="38"/>
      <c r="O187" s="38"/>
      <c r="P187" s="39"/>
    </row>
    <row r="188" spans="2:16">
      <c r="B188" s="40" t="str">
        <f>IF(ISERR(casostestes[[#This Row],[ID]]),"-",casostestes[[#This Row],[ID]])</f>
        <v>-</v>
      </c>
      <c r="C188" s="34" t="str">
        <f>IFERROR(IF(VLOOKUP($B188,casostestes[#Data],10)=0,"Não",VLOOKUP($B188,casostestes[#Data],10)), "-")</f>
        <v>-</v>
      </c>
      <c r="D188" s="35" t="str">
        <f>IFERROR(IF(VLOOKUP($B188,casostestes[#Data],2)=0,"-",VLOOKUP($B188,casostestes[#Data],2)), "-")</f>
        <v>-</v>
      </c>
      <c r="E188" s="35" t="str">
        <f>IFERROR(IF(VLOOKUP($B188,casostestes[#Data],3)=0,"-",VLOOKUP($B188,casostestes[#Data],3)), "-")</f>
        <v>-</v>
      </c>
      <c r="F188" s="35" t="str">
        <f>IFERROR(IF(VLOOKUP($B188,casostestes[#Data],4)=0,"-",VLOOKUP($B188,casostestes[#Data],4)),"-")</f>
        <v>-</v>
      </c>
      <c r="G188" s="35" t="str">
        <f>IFERROR(IF(VLOOKUP($B188,casostestes[#Data],5)=0,"-",VLOOKUP($B188,casostestes[#Data],5)),"-")</f>
        <v>-</v>
      </c>
      <c r="H188" s="35" t="str">
        <f>IFERROR(IF(VLOOKUP($B188,casostestes[#Data],6)=0,"-",VLOOKUP($B188,casostestes[#Data],6)),"-")</f>
        <v>-</v>
      </c>
      <c r="I188" s="35" t="str">
        <f>IFERROR(IF(VLOOKUP($B188,casostestes[#Data],8)=0,"-",VLOOKUP($B188,casostestes[#Data],8)),"-")</f>
        <v>-</v>
      </c>
      <c r="J188" s="35" t="str">
        <f>IFERROR(IF(VLOOKUP($B188,casostestes[#Data],9)=0,"-",VLOOKUP($B188,casostestes[#Data],9)),"-")</f>
        <v>-</v>
      </c>
      <c r="K188" s="36"/>
      <c r="L188" s="45"/>
      <c r="M188" s="37"/>
      <c r="N188" s="38"/>
      <c r="O188" s="38"/>
      <c r="P188" s="39"/>
    </row>
    <row r="189" spans="2:16">
      <c r="B189" s="40" t="str">
        <f>IF(ISERR(casostestes[[#This Row],[ID]]),"-",casostestes[[#This Row],[ID]])</f>
        <v>-</v>
      </c>
      <c r="C189" s="34" t="str">
        <f>IFERROR(IF(VLOOKUP($B189,casostestes[#Data],10)=0,"Não",VLOOKUP($B189,casostestes[#Data],10)), "-")</f>
        <v>-</v>
      </c>
      <c r="D189" s="35" t="str">
        <f>IFERROR(IF(VLOOKUP($B189,casostestes[#Data],2)=0,"-",VLOOKUP($B189,casostestes[#Data],2)), "-")</f>
        <v>-</v>
      </c>
      <c r="E189" s="35" t="str">
        <f>IFERROR(IF(VLOOKUP($B189,casostestes[#Data],3)=0,"-",VLOOKUP($B189,casostestes[#Data],3)), "-")</f>
        <v>-</v>
      </c>
      <c r="F189" s="35" t="str">
        <f>IFERROR(IF(VLOOKUP($B189,casostestes[#Data],4)=0,"-",VLOOKUP($B189,casostestes[#Data],4)),"-")</f>
        <v>-</v>
      </c>
      <c r="G189" s="35" t="str">
        <f>IFERROR(IF(VLOOKUP($B189,casostestes[#Data],5)=0,"-",VLOOKUP($B189,casostestes[#Data],5)),"-")</f>
        <v>-</v>
      </c>
      <c r="H189" s="35" t="str">
        <f>IFERROR(IF(VLOOKUP($B189,casostestes[#Data],6)=0,"-",VLOOKUP($B189,casostestes[#Data],6)),"-")</f>
        <v>-</v>
      </c>
      <c r="I189" s="35" t="str">
        <f>IFERROR(IF(VLOOKUP($B189,casostestes[#Data],8)=0,"-",VLOOKUP($B189,casostestes[#Data],8)),"-")</f>
        <v>-</v>
      </c>
      <c r="J189" s="35" t="str">
        <f>IFERROR(IF(VLOOKUP($B189,casostestes[#Data],9)=0,"-",VLOOKUP($B189,casostestes[#Data],9)),"-")</f>
        <v>-</v>
      </c>
      <c r="K189" s="36"/>
      <c r="L189" s="45"/>
      <c r="M189" s="37"/>
      <c r="N189" s="38"/>
      <c r="O189" s="38"/>
      <c r="P189" s="39"/>
    </row>
    <row r="190" spans="2:16">
      <c r="B190" s="40" t="str">
        <f>IF(ISERR(casostestes[[#This Row],[ID]]),"-",casostestes[[#This Row],[ID]])</f>
        <v>-</v>
      </c>
      <c r="C190" s="34" t="str">
        <f>IFERROR(IF(VLOOKUP($B190,casostestes[#Data],10)=0,"Não",VLOOKUP($B190,casostestes[#Data],10)), "-")</f>
        <v>-</v>
      </c>
      <c r="D190" s="35" t="str">
        <f>IFERROR(IF(VLOOKUP($B190,casostestes[#Data],2)=0,"-",VLOOKUP($B190,casostestes[#Data],2)), "-")</f>
        <v>-</v>
      </c>
      <c r="E190" s="35" t="str">
        <f>IFERROR(IF(VLOOKUP($B190,casostestes[#Data],3)=0,"-",VLOOKUP($B190,casostestes[#Data],3)), "-")</f>
        <v>-</v>
      </c>
      <c r="F190" s="35" t="str">
        <f>IFERROR(IF(VLOOKUP($B190,casostestes[#Data],4)=0,"-",VLOOKUP($B190,casostestes[#Data],4)),"-")</f>
        <v>-</v>
      </c>
      <c r="G190" s="35" t="str">
        <f>IFERROR(IF(VLOOKUP($B190,casostestes[#Data],5)=0,"-",VLOOKUP($B190,casostestes[#Data],5)),"-")</f>
        <v>-</v>
      </c>
      <c r="H190" s="35" t="str">
        <f>IFERROR(IF(VLOOKUP($B190,casostestes[#Data],6)=0,"-",VLOOKUP($B190,casostestes[#Data],6)),"-")</f>
        <v>-</v>
      </c>
      <c r="I190" s="35" t="str">
        <f>IFERROR(IF(VLOOKUP($B190,casostestes[#Data],8)=0,"-",VLOOKUP($B190,casostestes[#Data],8)),"-")</f>
        <v>-</v>
      </c>
      <c r="J190" s="35" t="str">
        <f>IFERROR(IF(VLOOKUP($B190,casostestes[#Data],9)=0,"-",VLOOKUP($B190,casostestes[#Data],9)),"-")</f>
        <v>-</v>
      </c>
      <c r="K190" s="36"/>
      <c r="L190" s="45"/>
      <c r="M190" s="37"/>
      <c r="N190" s="38"/>
      <c r="O190" s="38"/>
      <c r="P190" s="39"/>
    </row>
    <row r="191" spans="2:16">
      <c r="B191" s="40" t="str">
        <f>IF(ISERR(casostestes[[#This Row],[ID]]),"-",casostestes[[#This Row],[ID]])</f>
        <v>-</v>
      </c>
      <c r="C191" s="34" t="str">
        <f>IFERROR(IF(VLOOKUP($B191,casostestes[#Data],10)=0,"Não",VLOOKUP($B191,casostestes[#Data],10)), "-")</f>
        <v>-</v>
      </c>
      <c r="D191" s="35" t="str">
        <f>IFERROR(IF(VLOOKUP($B191,casostestes[#Data],2)=0,"-",VLOOKUP($B191,casostestes[#Data],2)), "-")</f>
        <v>-</v>
      </c>
      <c r="E191" s="35" t="str">
        <f>IFERROR(IF(VLOOKUP($B191,casostestes[#Data],3)=0,"-",VLOOKUP($B191,casostestes[#Data],3)), "-")</f>
        <v>-</v>
      </c>
      <c r="F191" s="35" t="str">
        <f>IFERROR(IF(VLOOKUP($B191,casostestes[#Data],4)=0,"-",VLOOKUP($B191,casostestes[#Data],4)),"-")</f>
        <v>-</v>
      </c>
      <c r="G191" s="35" t="str">
        <f>IFERROR(IF(VLOOKUP($B191,casostestes[#Data],5)=0,"-",VLOOKUP($B191,casostestes[#Data],5)),"-")</f>
        <v>-</v>
      </c>
      <c r="H191" s="35" t="str">
        <f>IFERROR(IF(VLOOKUP($B191,casostestes[#Data],6)=0,"-",VLOOKUP($B191,casostestes[#Data],6)),"-")</f>
        <v>-</v>
      </c>
      <c r="I191" s="35" t="str">
        <f>IFERROR(IF(VLOOKUP($B191,casostestes[#Data],8)=0,"-",VLOOKUP($B191,casostestes[#Data],8)),"-")</f>
        <v>-</v>
      </c>
      <c r="J191" s="35" t="str">
        <f>IFERROR(IF(VLOOKUP($B191,casostestes[#Data],9)=0,"-",VLOOKUP($B191,casostestes[#Data],9)),"-")</f>
        <v>-</v>
      </c>
      <c r="K191" s="36"/>
      <c r="L191" s="45"/>
      <c r="M191" s="37"/>
      <c r="N191" s="38"/>
      <c r="O191" s="38"/>
      <c r="P191" s="39"/>
    </row>
    <row r="192" spans="2:16">
      <c r="B192" s="40" t="str">
        <f>IF(ISERR(casostestes[[#This Row],[ID]]),"-",casostestes[[#This Row],[ID]])</f>
        <v>-</v>
      </c>
      <c r="C192" s="34" t="str">
        <f>IFERROR(IF(VLOOKUP($B192,casostestes[#Data],10)=0,"Não",VLOOKUP($B192,casostestes[#Data],10)), "-")</f>
        <v>-</v>
      </c>
      <c r="D192" s="35" t="str">
        <f>IFERROR(IF(VLOOKUP($B192,casostestes[#Data],2)=0,"-",VLOOKUP($B192,casostestes[#Data],2)), "-")</f>
        <v>-</v>
      </c>
      <c r="E192" s="35" t="str">
        <f>IFERROR(IF(VLOOKUP($B192,casostestes[#Data],3)=0,"-",VLOOKUP($B192,casostestes[#Data],3)), "-")</f>
        <v>-</v>
      </c>
      <c r="F192" s="35" t="str">
        <f>IFERROR(IF(VLOOKUP($B192,casostestes[#Data],4)=0,"-",VLOOKUP($B192,casostestes[#Data],4)),"-")</f>
        <v>-</v>
      </c>
      <c r="G192" s="35" t="str">
        <f>IFERROR(IF(VLOOKUP($B192,casostestes[#Data],5)=0,"-",VLOOKUP($B192,casostestes[#Data],5)),"-")</f>
        <v>-</v>
      </c>
      <c r="H192" s="35" t="str">
        <f>IFERROR(IF(VLOOKUP($B192,casostestes[#Data],6)=0,"-",VLOOKUP($B192,casostestes[#Data],6)),"-")</f>
        <v>-</v>
      </c>
      <c r="I192" s="35" t="str">
        <f>IFERROR(IF(VLOOKUP($B192,casostestes[#Data],8)=0,"-",VLOOKUP($B192,casostestes[#Data],8)),"-")</f>
        <v>-</v>
      </c>
      <c r="J192" s="35" t="str">
        <f>IFERROR(IF(VLOOKUP($B192,casostestes[#Data],9)=0,"-",VLOOKUP($B192,casostestes[#Data],9)),"-")</f>
        <v>-</v>
      </c>
      <c r="K192" s="36"/>
      <c r="L192" s="45"/>
      <c r="M192" s="37"/>
      <c r="N192" s="38"/>
      <c r="O192" s="38"/>
      <c r="P192" s="39"/>
    </row>
    <row r="193" spans="2:16">
      <c r="B193" s="40" t="str">
        <f>IF(ISERR(casostestes[[#This Row],[ID]]),"-",casostestes[[#This Row],[ID]])</f>
        <v>-</v>
      </c>
      <c r="C193" s="34" t="str">
        <f>IFERROR(IF(VLOOKUP($B193,casostestes[#Data],10)=0,"Não",VLOOKUP($B193,casostestes[#Data],10)), "-")</f>
        <v>-</v>
      </c>
      <c r="D193" s="35" t="str">
        <f>IFERROR(IF(VLOOKUP($B193,casostestes[#Data],2)=0,"-",VLOOKUP($B193,casostestes[#Data],2)), "-")</f>
        <v>-</v>
      </c>
      <c r="E193" s="35" t="str">
        <f>IFERROR(IF(VLOOKUP($B193,casostestes[#Data],3)=0,"-",VLOOKUP($B193,casostestes[#Data],3)), "-")</f>
        <v>-</v>
      </c>
      <c r="F193" s="35" t="str">
        <f>IFERROR(IF(VLOOKUP($B193,casostestes[#Data],4)=0,"-",VLOOKUP($B193,casostestes[#Data],4)),"-")</f>
        <v>-</v>
      </c>
      <c r="G193" s="35" t="str">
        <f>IFERROR(IF(VLOOKUP($B193,casostestes[#Data],5)=0,"-",VLOOKUP($B193,casostestes[#Data],5)),"-")</f>
        <v>-</v>
      </c>
      <c r="H193" s="35" t="str">
        <f>IFERROR(IF(VLOOKUP($B193,casostestes[#Data],6)=0,"-",VLOOKUP($B193,casostestes[#Data],6)),"-")</f>
        <v>-</v>
      </c>
      <c r="I193" s="35" t="str">
        <f>IFERROR(IF(VLOOKUP($B193,casostestes[#Data],8)=0,"-",VLOOKUP($B193,casostestes[#Data],8)),"-")</f>
        <v>-</v>
      </c>
      <c r="J193" s="35" t="str">
        <f>IFERROR(IF(VLOOKUP($B193,casostestes[#Data],9)=0,"-",VLOOKUP($B193,casostestes[#Data],9)),"-")</f>
        <v>-</v>
      </c>
      <c r="K193" s="36"/>
      <c r="L193" s="45"/>
      <c r="M193" s="37"/>
      <c r="N193" s="38"/>
      <c r="O193" s="38"/>
      <c r="P193" s="39"/>
    </row>
    <row r="194" spans="2:16">
      <c r="B194" s="40" t="str">
        <f>IF(ISERR(casostestes[[#This Row],[ID]]),"-",casostestes[[#This Row],[ID]])</f>
        <v>-</v>
      </c>
      <c r="C194" s="34" t="str">
        <f>IFERROR(IF(VLOOKUP($B194,casostestes[#Data],10)=0,"Não",VLOOKUP($B194,casostestes[#Data],10)), "-")</f>
        <v>-</v>
      </c>
      <c r="D194" s="35" t="str">
        <f>IFERROR(IF(VLOOKUP($B194,casostestes[#Data],2)=0,"-",VLOOKUP($B194,casostestes[#Data],2)), "-")</f>
        <v>-</v>
      </c>
      <c r="E194" s="35" t="str">
        <f>IFERROR(IF(VLOOKUP($B194,casostestes[#Data],3)=0,"-",VLOOKUP($B194,casostestes[#Data],3)), "-")</f>
        <v>-</v>
      </c>
      <c r="F194" s="35" t="str">
        <f>IFERROR(IF(VLOOKUP($B194,casostestes[#Data],4)=0,"-",VLOOKUP($B194,casostestes[#Data],4)),"-")</f>
        <v>-</v>
      </c>
      <c r="G194" s="35" t="str">
        <f>IFERROR(IF(VLOOKUP($B194,casostestes[#Data],5)=0,"-",VLOOKUP($B194,casostestes[#Data],5)),"-")</f>
        <v>-</v>
      </c>
      <c r="H194" s="35" t="str">
        <f>IFERROR(IF(VLOOKUP($B194,casostestes[#Data],6)=0,"-",VLOOKUP($B194,casostestes[#Data],6)),"-")</f>
        <v>-</v>
      </c>
      <c r="I194" s="35" t="str">
        <f>IFERROR(IF(VLOOKUP($B194,casostestes[#Data],8)=0,"-",VLOOKUP($B194,casostestes[#Data],8)),"-")</f>
        <v>-</v>
      </c>
      <c r="J194" s="35" t="str">
        <f>IFERROR(IF(VLOOKUP($B194,casostestes[#Data],9)=0,"-",VLOOKUP($B194,casostestes[#Data],9)),"-")</f>
        <v>-</v>
      </c>
      <c r="K194" s="36"/>
      <c r="L194" s="45"/>
      <c r="M194" s="37"/>
      <c r="N194" s="38"/>
      <c r="O194" s="38"/>
      <c r="P194" s="39"/>
    </row>
    <row r="195" spans="2:16">
      <c r="B195" s="40" t="str">
        <f>IF(ISERR(casostestes[[#This Row],[ID]]),"-",casostestes[[#This Row],[ID]])</f>
        <v>-</v>
      </c>
      <c r="C195" s="34" t="str">
        <f>IFERROR(IF(VLOOKUP($B195,casostestes[#Data],10)=0,"Não",VLOOKUP($B195,casostestes[#Data],10)), "-")</f>
        <v>-</v>
      </c>
      <c r="D195" s="35" t="str">
        <f>IFERROR(IF(VLOOKUP($B195,casostestes[#Data],2)=0,"-",VLOOKUP($B195,casostestes[#Data],2)), "-")</f>
        <v>-</v>
      </c>
      <c r="E195" s="35" t="str">
        <f>IFERROR(IF(VLOOKUP($B195,casostestes[#Data],3)=0,"-",VLOOKUP($B195,casostestes[#Data],3)), "-")</f>
        <v>-</v>
      </c>
      <c r="F195" s="35" t="str">
        <f>IFERROR(IF(VLOOKUP($B195,casostestes[#Data],4)=0,"-",VLOOKUP($B195,casostestes[#Data],4)),"-")</f>
        <v>-</v>
      </c>
      <c r="G195" s="35" t="str">
        <f>IFERROR(IF(VLOOKUP($B195,casostestes[#Data],5)=0,"-",VLOOKUP($B195,casostestes[#Data],5)),"-")</f>
        <v>-</v>
      </c>
      <c r="H195" s="35" t="str">
        <f>IFERROR(IF(VLOOKUP($B195,casostestes[#Data],6)=0,"-",VLOOKUP($B195,casostestes[#Data],6)),"-")</f>
        <v>-</v>
      </c>
      <c r="I195" s="35" t="str">
        <f>IFERROR(IF(VLOOKUP($B195,casostestes[#Data],8)=0,"-",VLOOKUP($B195,casostestes[#Data],8)),"-")</f>
        <v>-</v>
      </c>
      <c r="J195" s="35" t="str">
        <f>IFERROR(IF(VLOOKUP($B195,casostestes[#Data],9)=0,"-",VLOOKUP($B195,casostestes[#Data],9)),"-")</f>
        <v>-</v>
      </c>
      <c r="K195" s="36"/>
      <c r="L195" s="45"/>
      <c r="M195" s="37"/>
      <c r="N195" s="38"/>
      <c r="O195" s="38"/>
      <c r="P195" s="39"/>
    </row>
    <row r="196" spans="2:16">
      <c r="B196" s="40" t="str">
        <f>IF(ISERR(casostestes[[#This Row],[ID]]),"-",casostestes[[#This Row],[ID]])</f>
        <v>-</v>
      </c>
      <c r="C196" s="34" t="str">
        <f>IFERROR(IF(VLOOKUP($B196,casostestes[#Data],10)=0,"Não",VLOOKUP($B196,casostestes[#Data],10)), "-")</f>
        <v>-</v>
      </c>
      <c r="D196" s="35" t="str">
        <f>IFERROR(IF(VLOOKUP($B196,casostestes[#Data],2)=0,"-",VLOOKUP($B196,casostestes[#Data],2)), "-")</f>
        <v>-</v>
      </c>
      <c r="E196" s="35" t="str">
        <f>IFERROR(IF(VLOOKUP($B196,casostestes[#Data],3)=0,"-",VLOOKUP($B196,casostestes[#Data],3)), "-")</f>
        <v>-</v>
      </c>
      <c r="F196" s="35" t="str">
        <f>IFERROR(IF(VLOOKUP($B196,casostestes[#Data],4)=0,"-",VLOOKUP($B196,casostestes[#Data],4)),"-")</f>
        <v>-</v>
      </c>
      <c r="G196" s="35" t="str">
        <f>IFERROR(IF(VLOOKUP($B196,casostestes[#Data],5)=0,"-",VLOOKUP($B196,casostestes[#Data],5)),"-")</f>
        <v>-</v>
      </c>
      <c r="H196" s="35" t="str">
        <f>IFERROR(IF(VLOOKUP($B196,casostestes[#Data],6)=0,"-",VLOOKUP($B196,casostestes[#Data],6)),"-")</f>
        <v>-</v>
      </c>
      <c r="I196" s="35" t="str">
        <f>IFERROR(IF(VLOOKUP($B196,casostestes[#Data],8)=0,"-",VLOOKUP($B196,casostestes[#Data],8)),"-")</f>
        <v>-</v>
      </c>
      <c r="J196" s="35" t="str">
        <f>IFERROR(IF(VLOOKUP($B196,casostestes[#Data],9)=0,"-",VLOOKUP($B196,casostestes[#Data],9)),"-")</f>
        <v>-</v>
      </c>
      <c r="K196" s="36"/>
      <c r="L196" s="45"/>
      <c r="M196" s="37"/>
      <c r="N196" s="38"/>
      <c r="O196" s="38"/>
      <c r="P196" s="39"/>
    </row>
    <row r="197" spans="2:16">
      <c r="B197" s="40" t="str">
        <f>IF(ISERR(casostestes[[#This Row],[ID]]),"-",casostestes[[#This Row],[ID]])</f>
        <v>-</v>
      </c>
      <c r="C197" s="34" t="str">
        <f>IFERROR(IF(VLOOKUP($B197,casostestes[#Data],10)=0,"Não",VLOOKUP($B197,casostestes[#Data],10)), "-")</f>
        <v>-</v>
      </c>
      <c r="D197" s="35" t="str">
        <f>IFERROR(IF(VLOOKUP($B197,casostestes[#Data],2)=0,"-",VLOOKUP($B197,casostestes[#Data],2)), "-")</f>
        <v>-</v>
      </c>
      <c r="E197" s="35" t="str">
        <f>IFERROR(IF(VLOOKUP($B197,casostestes[#Data],3)=0,"-",VLOOKUP($B197,casostestes[#Data],3)), "-")</f>
        <v>-</v>
      </c>
      <c r="F197" s="35" t="str">
        <f>IFERROR(IF(VLOOKUP($B197,casostestes[#Data],4)=0,"-",VLOOKUP($B197,casostestes[#Data],4)),"-")</f>
        <v>-</v>
      </c>
      <c r="G197" s="35" t="str">
        <f>IFERROR(IF(VLOOKUP($B197,casostestes[#Data],5)=0,"-",VLOOKUP($B197,casostestes[#Data],5)),"-")</f>
        <v>-</v>
      </c>
      <c r="H197" s="35" t="str">
        <f>IFERROR(IF(VLOOKUP($B197,casostestes[#Data],6)=0,"-",VLOOKUP($B197,casostestes[#Data],6)),"-")</f>
        <v>-</v>
      </c>
      <c r="I197" s="35" t="str">
        <f>IFERROR(IF(VLOOKUP($B197,casostestes[#Data],8)=0,"-",VLOOKUP($B197,casostestes[#Data],8)),"-")</f>
        <v>-</v>
      </c>
      <c r="J197" s="35" t="str">
        <f>IFERROR(IF(VLOOKUP($B197,casostestes[#Data],9)=0,"-",VLOOKUP($B197,casostestes[#Data],9)),"-")</f>
        <v>-</v>
      </c>
      <c r="K197" s="36"/>
      <c r="L197" s="45"/>
      <c r="M197" s="37"/>
      <c r="N197" s="38"/>
      <c r="O197" s="38"/>
      <c r="P197" s="39"/>
    </row>
    <row r="198" spans="2:16">
      <c r="B198" s="40" t="str">
        <f>IF(ISERR(casostestes[[#This Row],[ID]]),"-",casostestes[[#This Row],[ID]])</f>
        <v>-</v>
      </c>
      <c r="C198" s="34" t="str">
        <f>IFERROR(IF(VLOOKUP($B198,casostestes[#Data],10)=0,"Não",VLOOKUP($B198,casostestes[#Data],10)), "-")</f>
        <v>-</v>
      </c>
      <c r="D198" s="35" t="str">
        <f>IFERROR(IF(VLOOKUP($B198,casostestes[#Data],2)=0,"-",VLOOKUP($B198,casostestes[#Data],2)), "-")</f>
        <v>-</v>
      </c>
      <c r="E198" s="35" t="str">
        <f>IFERROR(IF(VLOOKUP($B198,casostestes[#Data],3)=0,"-",VLOOKUP($B198,casostestes[#Data],3)), "-")</f>
        <v>-</v>
      </c>
      <c r="F198" s="35" t="str">
        <f>IFERROR(IF(VLOOKUP($B198,casostestes[#Data],4)=0,"-",VLOOKUP($B198,casostestes[#Data],4)),"-")</f>
        <v>-</v>
      </c>
      <c r="G198" s="35" t="str">
        <f>IFERROR(IF(VLOOKUP($B198,casostestes[#Data],5)=0,"-",VLOOKUP($B198,casostestes[#Data],5)),"-")</f>
        <v>-</v>
      </c>
      <c r="H198" s="35" t="str">
        <f>IFERROR(IF(VLOOKUP($B198,casostestes[#Data],6)=0,"-",VLOOKUP($B198,casostestes[#Data],6)),"-")</f>
        <v>-</v>
      </c>
      <c r="I198" s="35" t="str">
        <f>IFERROR(IF(VLOOKUP($B198,casostestes[#Data],8)=0,"-",VLOOKUP($B198,casostestes[#Data],8)),"-")</f>
        <v>-</v>
      </c>
      <c r="J198" s="35" t="str">
        <f>IFERROR(IF(VLOOKUP($B198,casostestes[#Data],9)=0,"-",VLOOKUP($B198,casostestes[#Data],9)),"-")</f>
        <v>-</v>
      </c>
      <c r="K198" s="36"/>
      <c r="L198" s="45"/>
      <c r="M198" s="37"/>
      <c r="N198" s="38"/>
      <c r="O198" s="38"/>
      <c r="P198" s="39"/>
    </row>
    <row r="199" spans="2:16">
      <c r="B199" s="40" t="str">
        <f>IF(ISERR(casostestes[[#This Row],[ID]]),"-",casostestes[[#This Row],[ID]])</f>
        <v>-</v>
      </c>
      <c r="C199" s="34" t="str">
        <f>IFERROR(IF(VLOOKUP($B199,casostestes[#Data],10)=0,"Não",VLOOKUP($B199,casostestes[#Data],10)), "-")</f>
        <v>-</v>
      </c>
      <c r="D199" s="35" t="str">
        <f>IFERROR(IF(VLOOKUP($B199,casostestes[#Data],2)=0,"-",VLOOKUP($B199,casostestes[#Data],2)), "-")</f>
        <v>-</v>
      </c>
      <c r="E199" s="35" t="str">
        <f>IFERROR(IF(VLOOKUP($B199,casostestes[#Data],3)=0,"-",VLOOKUP($B199,casostestes[#Data],3)), "-")</f>
        <v>-</v>
      </c>
      <c r="F199" s="35" t="str">
        <f>IFERROR(IF(VLOOKUP($B199,casostestes[#Data],4)=0,"-",VLOOKUP($B199,casostestes[#Data],4)),"-")</f>
        <v>-</v>
      </c>
      <c r="G199" s="35" t="str">
        <f>IFERROR(IF(VLOOKUP($B199,casostestes[#Data],5)=0,"-",VLOOKUP($B199,casostestes[#Data],5)),"-")</f>
        <v>-</v>
      </c>
      <c r="H199" s="35" t="str">
        <f>IFERROR(IF(VLOOKUP($B199,casostestes[#Data],6)=0,"-",VLOOKUP($B199,casostestes[#Data],6)),"-")</f>
        <v>-</v>
      </c>
      <c r="I199" s="35" t="str">
        <f>IFERROR(IF(VLOOKUP($B199,casostestes[#Data],8)=0,"-",VLOOKUP($B199,casostestes[#Data],8)),"-")</f>
        <v>-</v>
      </c>
      <c r="J199" s="35" t="str">
        <f>IFERROR(IF(VLOOKUP($B199,casostestes[#Data],9)=0,"-",VLOOKUP($B199,casostestes[#Data],9)),"-")</f>
        <v>-</v>
      </c>
      <c r="K199" s="36"/>
      <c r="L199" s="45"/>
      <c r="M199" s="37"/>
      <c r="N199" s="38"/>
      <c r="O199" s="38"/>
      <c r="P199" s="39"/>
    </row>
    <row r="200" spans="2:16">
      <c r="B200" s="40" t="str">
        <f>IF(ISERR(casostestes[[#This Row],[ID]]),"-",casostestes[[#This Row],[ID]])</f>
        <v>-</v>
      </c>
      <c r="C200" s="41" t="str">
        <f>IFERROR(IF(VLOOKUP($B200,casostestes[#Data],10)=0,"Não",VLOOKUP($B200,casostestes[#Data],10)), "-")</f>
        <v>-</v>
      </c>
      <c r="D200" s="42" t="str">
        <f>IFERROR(IF(VLOOKUP($B200,casostestes[#Data],2)=0,"-",VLOOKUP($B200,casostestes[#Data],2)), "-")</f>
        <v>-</v>
      </c>
      <c r="E200" s="42" t="str">
        <f>IFERROR(IF(VLOOKUP($B200,casostestes[#Data],3)=0,"-",VLOOKUP($B200,casostestes[#Data],3)), "-")</f>
        <v>-</v>
      </c>
      <c r="F200" s="42" t="str">
        <f>IFERROR(IF(VLOOKUP($B200,casostestes[#Data],4)=0,"-",VLOOKUP($B200,casostestes[#Data],4)),"-")</f>
        <v>-</v>
      </c>
      <c r="G200" s="42" t="str">
        <f>IFERROR(IF(VLOOKUP($B200,casostestes[#Data],5)=0,"-",VLOOKUP($B200,casostestes[#Data],5)),"-")</f>
        <v>-</v>
      </c>
      <c r="H200" s="42" t="str">
        <f>IFERROR(IF(VLOOKUP($B200,casostestes[#Data],6)=0,"-",VLOOKUP($B200,casostestes[#Data],6)),"-")</f>
        <v>-</v>
      </c>
      <c r="I200" s="42" t="str">
        <f>IFERROR(IF(VLOOKUP($B200,casostestes[#Data],8)=0,"-",VLOOKUP($B200,casostestes[#Data],8)),"-")</f>
        <v>-</v>
      </c>
      <c r="J200" s="42" t="str">
        <f>IFERROR(IF(VLOOKUP($B200,casostestes[#Data],9)=0,"-",VLOOKUP($B200,casostestes[#Data],9)),"-")</f>
        <v>-</v>
      </c>
      <c r="K200" s="43"/>
      <c r="L200" s="45"/>
      <c r="M200" s="44"/>
      <c r="N200" s="45"/>
      <c r="O200" s="45"/>
      <c r="P200" s="46"/>
    </row>
  </sheetData>
  <mergeCells count="3">
    <mergeCell ref="B1:J1"/>
    <mergeCell ref="B2:J2"/>
    <mergeCell ref="B3:J3"/>
  </mergeCells>
  <conditionalFormatting sqref="C8:C200 C201:D1048576">
    <cfRule type="cellIs" dxfId="292" priority="6" operator="equal">
      <formula>"Sim"</formula>
    </cfRule>
    <cfRule type="cellIs" dxfId="291" priority="7" operator="equal">
      <formula>"Não"</formula>
    </cfRule>
  </conditionalFormatting>
  <conditionalFormatting sqref="M8:M200">
    <cfRule type="cellIs" dxfId="290" priority="1" operator="equal">
      <formula>"Sem massa"</formula>
    </cfRule>
    <cfRule type="cellIs" dxfId="289" priority="2" operator="equal">
      <formula>"Pendência Externa"</formula>
    </cfRule>
    <cfRule type="cellIs" dxfId="288" priority="3" operator="equal">
      <formula>"Disponível para reteste"</formula>
    </cfRule>
    <cfRule type="cellIs" dxfId="287" priority="4" operator="equal">
      <formula>"Reprovado"</formula>
    </cfRule>
    <cfRule type="cellIs" dxfId="286" priority="5" operator="equal">
      <formula>"Aprovado"</formula>
    </cfRule>
  </conditionalFormatting>
  <dataValidations count="1">
    <dataValidation type="list" allowBlank="1" showInputMessage="1" showErrorMessage="1" sqref="M8:M200" xr:uid="{FD5E02C8-C7D7-4E16-BAB5-14E5CE636FB8}">
      <formula1>INDIRECT("status[status]")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09B68-CB49-46BF-A5EE-F961F82B1F4E}">
  <sheetPr>
    <tabColor theme="9" tint="0.79998168889431442"/>
  </sheetPr>
  <dimension ref="B1:P200"/>
  <sheetViews>
    <sheetView showGridLines="0" zoomScaleNormal="100" workbookViewId="0">
      <pane xSplit="5" ySplit="7" topLeftCell="G8" activePane="bottomRight" state="frozen"/>
      <selection pane="bottomRight" activeCell="N16" sqref="N16"/>
      <selection pane="bottomLeft" activeCell="E11" sqref="E11"/>
      <selection pane="topRight" activeCell="E11" sqref="E11"/>
    </sheetView>
  </sheetViews>
  <sheetFormatPr defaultColWidth="9.140625" defaultRowHeight="15"/>
  <cols>
    <col min="1" max="1" width="2.7109375" style="14" customWidth="1"/>
    <col min="2" max="2" width="7.7109375" style="14" customWidth="1"/>
    <col min="3" max="3" width="15.42578125" style="14" customWidth="1"/>
    <col min="4" max="4" width="26" style="14" customWidth="1"/>
    <col min="5" max="5" width="57.42578125" style="14" customWidth="1"/>
    <col min="6" max="6" width="17.7109375" style="14" customWidth="1"/>
    <col min="7" max="7" width="24.42578125" style="14" customWidth="1"/>
    <col min="8" max="8" width="57.42578125" style="14" customWidth="1"/>
    <col min="9" max="9" width="16.7109375" style="14" customWidth="1"/>
    <col min="10" max="10" width="104.7109375" style="14" customWidth="1"/>
    <col min="11" max="11" width="18" style="14" customWidth="1"/>
    <col min="12" max="12" width="20.5703125" style="14" customWidth="1"/>
    <col min="13" max="13" width="21.85546875" style="14" customWidth="1"/>
    <col min="14" max="14" width="31.5703125" style="14" customWidth="1"/>
    <col min="15" max="15" width="24.85546875" style="14" customWidth="1"/>
    <col min="16" max="16" width="22.42578125" style="14" customWidth="1"/>
    <col min="17" max="16384" width="9.140625" style="14"/>
  </cols>
  <sheetData>
    <row r="1" spans="2:16" ht="26.25">
      <c r="B1" s="106" t="s">
        <v>0</v>
      </c>
      <c r="C1" s="106"/>
      <c r="D1" s="106"/>
      <c r="E1" s="106"/>
      <c r="F1" s="106"/>
      <c r="G1" s="106"/>
      <c r="H1" s="106"/>
      <c r="I1" s="106"/>
      <c r="J1" s="106"/>
      <c r="K1" s="19"/>
      <c r="L1" s="19"/>
    </row>
    <row r="2" spans="2:16" s="21" customFormat="1" ht="23.25">
      <c r="B2" s="107" t="s">
        <v>1</v>
      </c>
      <c r="C2" s="107"/>
      <c r="D2" s="107"/>
      <c r="E2" s="107"/>
      <c r="F2" s="107"/>
      <c r="G2" s="107"/>
      <c r="H2" s="107"/>
      <c r="I2" s="107"/>
      <c r="J2" s="107"/>
      <c r="K2" s="20"/>
      <c r="L2" s="20"/>
    </row>
    <row r="3" spans="2:16" s="21" customFormat="1" ht="23.25">
      <c r="B3" s="107" t="s">
        <v>2</v>
      </c>
      <c r="C3" s="107"/>
      <c r="D3" s="107"/>
      <c r="E3" s="107"/>
      <c r="F3" s="107"/>
      <c r="G3" s="107"/>
      <c r="H3" s="107"/>
      <c r="I3" s="107"/>
      <c r="J3" s="107"/>
      <c r="K3" s="20"/>
      <c r="L3" s="20"/>
    </row>
    <row r="5" spans="2:16">
      <c r="B5" s="3"/>
      <c r="E5" s="3"/>
    </row>
    <row r="7" spans="2:16" s="3" customFormat="1">
      <c r="B7" s="15" t="s">
        <v>3</v>
      </c>
      <c r="C7" s="16" t="s">
        <v>4</v>
      </c>
      <c r="D7" s="16" t="s">
        <v>5</v>
      </c>
      <c r="E7" s="17" t="s">
        <v>6</v>
      </c>
      <c r="F7" s="17" t="s">
        <v>7</v>
      </c>
      <c r="G7" s="17" t="s">
        <v>8</v>
      </c>
      <c r="H7" s="17" t="s">
        <v>9</v>
      </c>
      <c r="I7" s="17" t="s">
        <v>10</v>
      </c>
      <c r="J7" s="17" t="s">
        <v>11</v>
      </c>
      <c r="K7" s="17" t="s">
        <v>12</v>
      </c>
      <c r="L7" s="17" t="s">
        <v>13</v>
      </c>
      <c r="M7" s="17" t="s">
        <v>14</v>
      </c>
      <c r="N7" s="17" t="s">
        <v>15</v>
      </c>
      <c r="O7" s="17" t="s">
        <v>16</v>
      </c>
      <c r="P7" s="18" t="s">
        <v>17</v>
      </c>
    </row>
    <row r="8" spans="2:16" s="13" customFormat="1" ht="105">
      <c r="B8" s="34">
        <f>IF(ISERR(casostestes[[#This Row],[ID]]),"-",casostestes[[#This Row],[ID]])</f>
        <v>1</v>
      </c>
      <c r="C8" s="34" t="str">
        <f>IFERROR(IF(VLOOKUP($B8,casostestes[#Data],10)=0,"Não",VLOOKUP($B8,casostestes[#Data],10)), "-")</f>
        <v>Sim</v>
      </c>
      <c r="D8" s="35" t="str">
        <f>IFERROR(IF(VLOOKUP($B8,casostestes[#Data],2)=0,"-",VLOOKUP($B8,casostestes[#Data],2)), "-")</f>
        <v>Requerimento Inicial de BI</v>
      </c>
      <c r="E8" s="35" t="str">
        <f>IFERROR(IF(VLOOKUP($B8,casostestes[#Data],3)=0,"-",VLOOKUP($B8,casostestes[#Data],3)), "-")</f>
        <v>6
Criação de tarefa de BI inicial com fluxo ATESTMED para categoria DIFERENTE de Segurado Especial COM exigência de preenchimento da AD.
Premissas:
Catálogo: Exige autodeclaração = ATIVADO
Parâmetro:  144 - Fluxo ATESTMED = LIGADO</v>
      </c>
      <c r="F8" s="35" t="str">
        <f>IFERROR(IF(VLOOKUP($B8,casostestes[#Data],4)=0,"-",VLOOKUP($B8,casostestes[#Data],4)),"-")</f>
        <v>Central 135</v>
      </c>
      <c r="G8" s="35" t="str">
        <f>IFERROR(IF(VLOOKUP($B8,casostestes[#Data],5)=0,"-",VLOOKUP($B8,casostestes[#Data],5)),"-")</f>
        <v>ATENDENTE_CENTRAL_135</v>
      </c>
      <c r="H8" s="35" t="str">
        <f>IFERROR(IF(VLOOKUP($B8,casostestes[#Data],6)=0,"-",VLOOKUP($B8,casostestes[#Data],6)),"-")</f>
        <v>1. Logar no Portal do Atendimento INSS com o perfil do caso de teste
2. Criar tarefa de BI informando:
- Tipo de Incapacidade? "Temporário"
- A pessoa está presa?  "Não"
- Categoria do trabalhador "Desempregado" ...
- A pessoa ficou sem trabalhar? "Sim"</v>
      </c>
      <c r="I8" s="35" t="str">
        <f>IFERROR(IF(VLOOKUP($B8,casostestes[#Data],8)=0,"-",VLOOKUP($B8,casostestes[#Data],8)),"-")</f>
        <v>-</v>
      </c>
      <c r="J8" s="35" t="str">
        <f>IFERROR(IF(VLOOKUP($B8,casostestes[#Data],9)=0,"-",VLOOKUP($B8,casostestes[#Data],9)),"-")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8" s="36"/>
      <c r="L8" s="37"/>
      <c r="M8" s="37"/>
      <c r="N8" s="37"/>
      <c r="O8" s="38"/>
      <c r="P8" s="39"/>
    </row>
    <row r="9" spans="2:16" ht="240">
      <c r="B9" s="40">
        <f>IF(ISERR(casostestes[[#This Row],[ID]]),"-",casostestes[[#This Row],[ID]])</f>
        <v>2</v>
      </c>
      <c r="C9" s="41" t="str">
        <f>IFERROR(IF(VLOOKUP($B9,casostestes[#Data],10)=0,"Não",VLOOKUP($B9,casostestes[#Data],10)), "-")</f>
        <v>Sim</v>
      </c>
      <c r="D9" s="42" t="str">
        <f>IFERROR(IF(VLOOKUP($B9,casostestes[#Data],2)=0,"-",VLOOKUP($B9,casostestes[#Data],2)), "-")</f>
        <v>Integração</v>
      </c>
      <c r="E9" s="42" t="str">
        <f>IFERROR(IF(VLOOKUP($B9,casostestes[#Data],3)=0,"-",VLOOKUP($B9,casostestes[#Data],3)), "-")</f>
        <v>12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9" s="42" t="str">
        <f>IFERROR(IF(VLOOKUP($B9,casostestes[#Data],4)=0,"-",VLOOKUP($B9,casostestes[#Data],4)),"-")</f>
        <v>PAT</v>
      </c>
      <c r="G9" s="42" t="str">
        <f>IFERROR(IF(VLOOKUP($B9,casostestes[#Data],5)=0,"-",VLOOKUP($B9,casostestes[#Data],5)),"-")</f>
        <v>SERVIDOR</v>
      </c>
      <c r="H9" s="42" t="str">
        <f>IFERROR(IF(VLOOKUP($B9,casostestes[#Data],6)=0,"-",VLOOKUP($B9,casostestes[#Data],6)),"-")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9" s="42" t="str">
        <f>IFERROR(IF(VLOOKUP($B9,casostestes[#Data],8)=0,"-",VLOOKUP($B9,casostestes[#Data],8)),"-")</f>
        <v>-</v>
      </c>
      <c r="J9" s="42" t="str">
        <f>IFERROR(IF(VLOOKUP($B9,casostestes[#Data],9)=0,"-",VLOOKUP($B9,casostestes[#Data],9)),"-")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9" s="43">
        <v>46252</v>
      </c>
      <c r="L9" s="44" t="s">
        <v>155</v>
      </c>
      <c r="M9" s="44" t="s">
        <v>22</v>
      </c>
      <c r="N9" s="44" t="s">
        <v>156</v>
      </c>
      <c r="O9" s="45"/>
      <c r="P9" s="46"/>
    </row>
    <row r="10" spans="2:16" ht="229.5">
      <c r="B10" s="40">
        <f>IF(ISERR(casostestes[[#This Row],[ID]]),"-",casostestes[[#This Row],[ID]])</f>
        <v>3</v>
      </c>
      <c r="C10" s="34" t="str">
        <f>IFERROR(IF(VLOOKUP($B10,casostestes[#Data],10)=0,"Não",VLOOKUP($B10,casostestes[#Data],10)), "-")</f>
        <v>Sim</v>
      </c>
      <c r="D10" s="35" t="str">
        <f>IFERROR(IF(VLOOKUP($B10,casostestes[#Data],2)=0,"-",VLOOKUP($B10,casostestes[#Data],2)), "-")</f>
        <v>Integração</v>
      </c>
      <c r="E10" s="35" t="str">
        <f>IFERROR(IF(VLOOKUP($B10,casostestes[#Data],3)=0,"-",VLOOKUP($B10,casostestes[#Data],3)), "-")</f>
        <v>13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10" s="35" t="str">
        <f>IFERROR(IF(VLOOKUP($B10,casostestes[#Data],4)=0,"-",VLOOKUP($B10,casostestes[#Data],4)),"-")</f>
        <v>PAT</v>
      </c>
      <c r="G10" s="35" t="str">
        <f>IFERROR(IF(VLOOKUP($B10,casostestes[#Data],5)=0,"-",VLOOKUP($B10,casostestes[#Data],5)),"-")</f>
        <v>SERVIDOR</v>
      </c>
      <c r="H10" s="35" t="str">
        <f>IFERROR(IF(VLOOKUP($B10,casostestes[#Data],6)=0,"-",VLOOKUP($B10,casostestes[#Data],6)),"-")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10" s="35" t="str">
        <f>IFERROR(IF(VLOOKUP($B10,casostestes[#Data],8)=0,"-",VLOOKUP($B10,casostestes[#Data],8)),"-")</f>
        <v>-</v>
      </c>
      <c r="J10" s="35" t="str">
        <f>IFERROR(IF(VLOOKUP($B10,casostestes[#Data],9)=0,"-",VLOOKUP($B10,casostestes[#Data],9)),"-")</f>
        <v>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</v>
      </c>
      <c r="K10" s="36">
        <v>46252</v>
      </c>
      <c r="L10" s="45" t="s">
        <v>157</v>
      </c>
      <c r="M10" s="37" t="s">
        <v>22</v>
      </c>
      <c r="N10" s="37" t="s">
        <v>158</v>
      </c>
      <c r="O10" s="38" t="s">
        <v>159</v>
      </c>
      <c r="P10" s="39"/>
    </row>
    <row r="11" spans="2:16" ht="225">
      <c r="B11" s="40">
        <f>IF(ISERR(casostestes[[#This Row],[ID]]),"-",casostestes[[#This Row],[ID]])</f>
        <v>4</v>
      </c>
      <c r="C11" s="34" t="str">
        <f>IFERROR(IF(VLOOKUP($B11,casostestes[#Data],10)=0,"Não",VLOOKUP($B11,casostestes[#Data],10)), "-")</f>
        <v>Sim</v>
      </c>
      <c r="D11" s="35" t="str">
        <f>IFERROR(IF(VLOOKUP($B11,casostestes[#Data],2)=0,"-",VLOOKUP($B11,casostestes[#Data],2)), "-")</f>
        <v>Integração</v>
      </c>
      <c r="E11" s="35" t="str">
        <f>IFERROR(IF(VLOOKUP($B11,casostestes[#Data],3)=0,"-",VLOOKUP($B11,casostestes[#Data],3)), "-")</f>
        <v>16
Cumprir a exigência de autodeclaração</v>
      </c>
      <c r="F11" s="35" t="str">
        <f>IFERROR(IF(VLOOKUP($B11,casostestes[#Data],4)=0,"-",VLOOKUP($B11,casostestes[#Data],4)),"-")</f>
        <v>PAT</v>
      </c>
      <c r="G11" s="35" t="str">
        <f>IFERROR(IF(VLOOKUP($B11,casostestes[#Data],5)=0,"-",VLOOKUP($B11,casostestes[#Data],5)),"-")</f>
        <v>SERVIDOR</v>
      </c>
      <c r="H11" s="35" t="str">
        <f>IFERROR(IF(VLOOKUP($B11,casostestes[#Data],6)=0,"-",VLOOKUP($B11,casostestes[#Data],6)),"-")</f>
        <v>1. Logar no Portal do Atendimento INSS com o perfil Servidor
2.Consultar uma tarefa em exigência de autodeclaração e acionar Cumprir Exigência  
3. Responder o formulário de autodeclaração até o final</v>
      </c>
      <c r="I11" s="35" t="str">
        <f>IFERROR(IF(VLOOKUP($B11,casostestes[#Data],8)=0,"-",VLOOKUP($B11,casostestes[#Data],8)),"-")</f>
        <v>-</v>
      </c>
      <c r="J11" s="35" t="str">
        <f>IFERROR(IF(VLOOKUP($B11,casostestes[#Data],9)=0,"-",VLOOKUP($B11,casostestes[#Data],9)),"-")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11" s="36">
        <v>46252</v>
      </c>
      <c r="L11" s="44" t="s">
        <v>160</v>
      </c>
      <c r="M11" s="37" t="s">
        <v>22</v>
      </c>
      <c r="N11" s="116" t="s">
        <v>161</v>
      </c>
      <c r="O11" s="38"/>
      <c r="P11" s="39"/>
    </row>
    <row r="12" spans="2:16" ht="165">
      <c r="B12" s="40">
        <f>IF(ISERR(casostestes[[#This Row],[ID]]),"-",casostestes[[#This Row],[ID]])</f>
        <v>5</v>
      </c>
      <c r="C12" s="34" t="str">
        <f>IFERROR(IF(VLOOKUP($B12,casostestes[#Data],10)=0,"Não",VLOOKUP($B12,casostestes[#Data],10)), "-")</f>
        <v>Sim</v>
      </c>
      <c r="D12" s="35" t="str">
        <f>IFERROR(IF(VLOOKUP($B12,casostestes[#Data],2)=0,"-",VLOOKUP($B12,casostestes[#Data],2)), "-")</f>
        <v>Integração</v>
      </c>
      <c r="E12" s="35" t="str">
        <f>IFERROR(IF(VLOOKUP($B12,casostestes[#Data],3)=0,"-",VLOOKUP($B12,casostestes[#Data],3)), "-")</f>
        <v>17
Responder o formulário de autodeclaração acessando diretamente a aba segurado especial ao detalhar a tarefa, onde a tarefa encontra-se em exigência de autodeclaração</v>
      </c>
      <c r="F12" s="35" t="str">
        <f>IFERROR(IF(VLOOKUP($B12,casostestes[#Data],4)=0,"-",VLOOKUP($B12,casostestes[#Data],4)),"-")</f>
        <v>PAT</v>
      </c>
      <c r="G12" s="35" t="str">
        <f>IFERROR(IF(VLOOKUP($B12,casostestes[#Data],5)=0,"-",VLOOKUP($B12,casostestes[#Data],5)),"-")</f>
        <v>SERVIDOR</v>
      </c>
      <c r="H12" s="35" t="str">
        <f>IFERROR(IF(VLOOKUP($B12,casostestes[#Data],6)=0,"-",VLOOKUP($B12,casostestes[#Data],6)),"-")</f>
        <v>1. Logar no Portal do Atendimento INSS com o perfil Servidor
2.Consultar uma tarefa em exigência de autodeclaração 
3. Acionar a aba Segurado especial
3. Responder o formulário de autodeclaração até o final</v>
      </c>
      <c r="I12" s="35" t="str">
        <f>IFERROR(IF(VLOOKUP($B12,casostestes[#Data],8)=0,"-",VLOOKUP($B12,casostestes[#Data],8)),"-")</f>
        <v>-</v>
      </c>
      <c r="J12" s="35" t="str">
        <f>IFERROR(IF(VLOOKUP($B12,casostestes[#Data],9)=0,"-",VLOOKUP($B12,casostestes[#Data],9)),"-")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12" s="36">
        <v>46252</v>
      </c>
      <c r="L12" s="44" t="s">
        <v>162</v>
      </c>
      <c r="M12" s="37" t="s">
        <v>22</v>
      </c>
      <c r="N12" s="116" t="s">
        <v>163</v>
      </c>
      <c r="O12" s="38"/>
      <c r="P12" s="39"/>
    </row>
    <row r="13" spans="2:16" ht="105">
      <c r="B13" s="40">
        <f>IF(ISERR(casostestes[[#This Row],[ID]]),"-",casostestes[[#This Row],[ID]])</f>
        <v>6</v>
      </c>
      <c r="C13" s="34" t="str">
        <f>IFERROR(IF(VLOOKUP($B13,casostestes[#Data],10)=0,"Não",VLOOKUP($B13,casostestes[#Data],10)), "-")</f>
        <v>Sim</v>
      </c>
      <c r="D13" s="35" t="str">
        <f>IFERROR(IF(VLOOKUP($B13,casostestes[#Data],2)=0,"-",VLOOKUP($B13,casostestes[#Data],2)), "-")</f>
        <v>Integração</v>
      </c>
      <c r="E13" s="35" t="str">
        <f>IFERROR(IF(VLOOKUP($B13,casostestes[#Data],3)=0,"-",VLOOKUP($B13,casostestes[#Data],3)), "-")</f>
        <v>18
Responder o formulário de autodeclaração acessando diretamente a aba segurado especial ao detalhar a tarefa, onde a tarefa encontra-se em exigência de documento médico</v>
      </c>
      <c r="F13" s="35" t="str">
        <f>IFERROR(IF(VLOOKUP($B13,casostestes[#Data],4)=0,"-",VLOOKUP($B13,casostestes[#Data],4)),"-")</f>
        <v>PAT</v>
      </c>
      <c r="G13" s="35" t="str">
        <f>IFERROR(IF(VLOOKUP($B13,casostestes[#Data],5)=0,"-",VLOOKUP($B13,casostestes[#Data],5)),"-")</f>
        <v>SERVIDOR</v>
      </c>
      <c r="H13" s="35" t="str">
        <f>IFERROR(IF(VLOOKUP($B13,casostestes[#Data],6)=0,"-",VLOOKUP($B13,casostestes[#Data],6)),"-")</f>
        <v>1. Logar no Portal do Atendimento INSS com o perfil Servidor
2.Consultar uma tarefa em exigência de documento médico
3. Acionar a aba Segurado especial
3. Responder o formulário de autodeclaração até o final</v>
      </c>
      <c r="I13" s="35" t="str">
        <f>IFERROR(IF(VLOOKUP($B13,casostestes[#Data],8)=0,"-",VLOOKUP($B13,casostestes[#Data],8)),"-")</f>
        <v>-</v>
      </c>
      <c r="J13" s="35" t="str">
        <f>IFERROR(IF(VLOOKUP($B13,casostestes[#Data],9)=0,"-",VLOOKUP($B13,casostestes[#Data],9)),"-")</f>
        <v xml:space="preserve">
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13" s="36">
        <v>46252</v>
      </c>
      <c r="L13" s="44" t="s">
        <v>164</v>
      </c>
      <c r="M13" s="37" t="s">
        <v>22</v>
      </c>
      <c r="N13" s="37" t="s">
        <v>165</v>
      </c>
      <c r="O13" s="38"/>
      <c r="P13" s="39"/>
    </row>
    <row r="14" spans="2:16" ht="244.5">
      <c r="B14" s="40">
        <f>IF(ISERR(casostestes[[#This Row],[ID]]),"-",casostestes[[#This Row],[ID]])</f>
        <v>7</v>
      </c>
      <c r="C14" s="34" t="str">
        <f>IFERROR(IF(VLOOKUP($B14,casostestes[#Data],10)=0,"Não",VLOOKUP($B14,casostestes[#Data],10)), "-")</f>
        <v>Sim</v>
      </c>
      <c r="D14" s="35" t="str">
        <f>IFERROR(IF(VLOOKUP($B14,casostestes[#Data],2)=0,"-",VLOOKUP($B14,casostestes[#Data],2)), "-")</f>
        <v>Integração</v>
      </c>
      <c r="E14" s="35" t="str">
        <f>IFERROR(IF(VLOOKUP($B14,casostestes[#Data],3)=0,"-",VLOOKUP($B14,casostestes[#Data],3)), "-")</f>
        <v>19
Criar tarefa de BI inicial fluxo ATESTMEDQ para categoria "Segurado especial" onde o parâmetro "Exige Autodeclaração" no Catálogo está ATIVADO,  NÃO foi respondida a autodeclaração, NÃO foi incluído o anexo detalhado de AD e cidadão está preso
**Parâmetro PAT ligado: 144 - Fluxo ATESTMEDQ</v>
      </c>
      <c r="F14" s="35" t="str">
        <f>IFERROR(IF(VLOOKUP($B14,casostestes[#Data],4)=0,"-",VLOOKUP($B14,casostestes[#Data],4)),"-")</f>
        <v>PAT</v>
      </c>
      <c r="G14" s="35" t="str">
        <f>IFERROR(IF(VLOOKUP($B14,casostestes[#Data],5)=0,"-",VLOOKUP($B14,casostestes[#Data],5)),"-")</f>
        <v>SERVIDOR</v>
      </c>
      <c r="H14" s="35" t="str">
        <f>IFERROR(IF(VLOOKUP($B14,casostestes[#Data],6)=0,"-",VLOOKUP($B14,casostestes[#Data],6)),"-")</f>
        <v xml:space="preserve">1. Logar no Portal do Atendimento INSS com o perfil do caso de teste
2.Criar tarefa de BI informando:
Tipo de Incapacidade? "Temporária "
A pessoa está presa?  Sim
Categoria do trabalhador "Segurado Especial"
A pessoa ficou sem trabalhar? Sim
3. NÃO Informar anexo detalhado de autodeclaração
4. NÃO responder o formulário de autodeclaração
</v>
      </c>
      <c r="I14" s="35" t="str">
        <f>IFERROR(IF(VLOOKUP($B14,casostestes[#Data],8)=0,"-",VLOOKUP($B14,casostestes[#Data],8)),"-")</f>
        <v>-</v>
      </c>
      <c r="J14" s="35" t="str">
        <f>IFERROR(IF(VLOOKUP($B14,casostestes[#Data],9)=0,"-",VLOOKUP($B14,casostestes[#Data],9)),"-")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14" s="36">
        <v>46252</v>
      </c>
      <c r="L14" s="44" t="s">
        <v>166</v>
      </c>
      <c r="M14" s="37" t="s">
        <v>22</v>
      </c>
      <c r="N14" s="37" t="s">
        <v>167</v>
      </c>
      <c r="O14" s="38" t="s">
        <v>168</v>
      </c>
      <c r="P14" s="39"/>
    </row>
    <row r="15" spans="2:16" ht="244.5">
      <c r="B15" s="40">
        <f>IF(ISERR(casostestes[[#This Row],[ID]]),"-",casostestes[[#This Row],[ID]])</f>
        <v>8</v>
      </c>
      <c r="C15" s="34" t="str">
        <f>IFERROR(IF(VLOOKUP($B15,casostestes[#Data],10)=0,"Não",VLOOKUP($B15,casostestes[#Data],10)), "-")</f>
        <v>Sim</v>
      </c>
      <c r="D15" s="35" t="str">
        <f>IFERROR(IF(VLOOKUP($B15,casostestes[#Data],2)=0,"-",VLOOKUP($B15,casostestes[#Data],2)), "-")</f>
        <v>Integração</v>
      </c>
      <c r="E15" s="35" t="str">
        <f>IFERROR(IF(VLOOKUP($B15,casostestes[#Data],3)=0,"-",VLOOKUP($B15,casostestes[#Data],3)), "-")</f>
        <v>20
Criar tarefa de BI inicial fluxo ATESTMEDQ para categoria "Segurado especial" onde o parâmetro "Exige Autodeclaração" no Catálogo está ATIVADO,  NÃO foi respondida a autodeclaração, NÃO foi incluído o anexo detalhado de AD e cidadão ficou sem trabalhar
**Parâmetro PAT ligado: 144 - Fluxo ATESTMEDQ</v>
      </c>
      <c r="F15" s="35" t="str">
        <f>IFERROR(IF(VLOOKUP($B15,casostestes[#Data],4)=0,"-",VLOOKUP($B15,casostestes[#Data],4)),"-")</f>
        <v>PAT</v>
      </c>
      <c r="G15" s="35" t="str">
        <f>IFERROR(IF(VLOOKUP($B15,casostestes[#Data],5)=0,"-",VLOOKUP($B15,casostestes[#Data],5)),"-")</f>
        <v>SERVIDOR</v>
      </c>
      <c r="H15" s="35" t="str">
        <f>IFERROR(IF(VLOOKUP($B15,casostestes[#Data],6)=0,"-",VLOOKUP($B15,casostestes[#Data],6)),"-")</f>
        <v xml:space="preserve">1. Logar no Portal do Atendimento INSS com o perfil do caso de teste
2.Criar tarefa de BI informando:
Tipo de Incapacidade? "Temporária "
A pessoa está presa?  Não
Categoria do trabalhador "Segurado Especial"
A pessoa ficou sem trabalhar? Não
3. Informar anexo detalhado de autodeclaração
4. NÃO responder o formulário de autodeclaração
</v>
      </c>
      <c r="I15" s="35" t="str">
        <f>IFERROR(IF(VLOOKUP($B15,casostestes[#Data],8)=0,"-",VLOOKUP($B15,casostestes[#Data],8)),"-")</f>
        <v>-</v>
      </c>
      <c r="J15" s="35" t="str">
        <f>IFERROR(IF(VLOOKUP($B15,casostestes[#Data],9)=0,"-",VLOOKUP($B15,casostestes[#Data],9)),"-")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15" s="36">
        <v>46252</v>
      </c>
      <c r="L15" s="44" t="s">
        <v>169</v>
      </c>
      <c r="M15" s="37" t="s">
        <v>22</v>
      </c>
      <c r="N15" s="37" t="s">
        <v>170</v>
      </c>
      <c r="O15" s="38" t="s">
        <v>168</v>
      </c>
      <c r="P15" s="39"/>
    </row>
    <row r="16" spans="2:16" ht="315">
      <c r="B16" s="40">
        <f>IF(ISERR(casostestes[[#This Row],[ID]]),"-",casostestes[[#This Row],[ID]])</f>
        <v>9</v>
      </c>
      <c r="C16" s="34" t="str">
        <f>IFERROR(IF(VLOOKUP($B16,casostestes[#Data],10)=0,"Não",VLOOKUP($B16,casostestes[#Data],10)), "-")</f>
        <v>Sim</v>
      </c>
      <c r="D16" s="35" t="str">
        <f>IFERROR(IF(VLOOKUP($B16,casostestes[#Data],2)=0,"-",VLOOKUP($B16,casostestes[#Data],2)), "-")</f>
        <v>Integração</v>
      </c>
      <c r="E16" s="35" t="str">
        <f>IFERROR(IF(VLOOKUP($B16,casostestes[#Data],3)=0,"-",VLOOKUP($B16,casostestes[#Data],3)), "-")</f>
        <v>21
Criar tarefa de BI inicial fluxo ATESTMEDQ para categoria "Segurado especial" onde o parâmetro "Exige Autodeclaração" no Catálogo está ATIVADO,  NÃO foi respondida a autodeclaração e foi incluído o anexo detalhado de AD
**Parâmetro PAT ligado: 144 - Fluxo ATESTMEDQ</v>
      </c>
      <c r="F16" s="35" t="str">
        <f>IFERROR(IF(VLOOKUP($B16,casostestes[#Data],4)=0,"-",VLOOKUP($B16,casostestes[#Data],4)),"-")</f>
        <v>PAT</v>
      </c>
      <c r="G16" s="35" t="str">
        <f>IFERROR(IF(VLOOKUP($B16,casostestes[#Data],5)=0,"-",VLOOKUP($B16,casostestes[#Data],5)),"-")</f>
        <v>SERVIDOR</v>
      </c>
      <c r="H16" s="35" t="str">
        <f>IFERROR(IF(VLOOKUP($B16,casostestes[#Data],6)=0,"-",VLOOKUP($B16,casostestes[#Data],6)),"-")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Informar anexo detalhado de autodeclaração
4. NÃO responder o formulário de autodeclaração
Resultado 1
5.Alterar via banco de dados a data da exigência para (data atual - 36 dias)
Resultado 2</v>
      </c>
      <c r="I16" s="35" t="str">
        <f>IFERROR(IF(VLOOKUP($B16,casostestes[#Data],8)=0,"-",VLOOKUP($B16,casostestes[#Data],8)),"-")</f>
        <v>-</v>
      </c>
      <c r="J16" s="35" t="str">
        <f>IFERROR(IF(VLOOKUP($B16,casostestes[#Data],9)=0,"-",VLOOKUP($B16,casostestes[#Data],9)),"-")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2
Resultado 2 - Após alguns minutos:
Tarefa de BI com situação alterada para Pendente
Despacho incluído informando a operação ( fragmento de sigla  XXXXXXXXXX )
Divergência de autodeclaração (116) EXCLUÍDA da tarefa
Alguns minutos depois:
Status SIBE igual a AGUARDANDO ATESTADO 
Na opção  "Lista de Ocorrências", o json de integração com o SIBE deverá conter o campo "periodosPendentesSegEsp" com valor true.
</v>
      </c>
      <c r="K16" s="36">
        <v>46252</v>
      </c>
      <c r="L16" s="44" t="s">
        <v>171</v>
      </c>
      <c r="M16" s="37" t="s">
        <v>22</v>
      </c>
      <c r="N16" s="37" t="s">
        <v>172</v>
      </c>
      <c r="O16" s="38"/>
      <c r="P16" s="39"/>
    </row>
    <row r="17" spans="2:16" ht="300">
      <c r="B17" s="40">
        <f>IF(ISERR(casostestes[[#This Row],[ID]]),"-",casostestes[[#This Row],[ID]])</f>
        <v>10</v>
      </c>
      <c r="C17" s="34" t="str">
        <f>IFERROR(IF(VLOOKUP($B17,casostestes[#Data],10)=0,"Não",VLOOKUP($B17,casostestes[#Data],10)), "-")</f>
        <v>Sim</v>
      </c>
      <c r="D17" s="35" t="str">
        <f>IFERROR(IF(VLOOKUP($B17,casostestes[#Data],2)=0,"-",VLOOKUP($B17,casostestes[#Data],2)), "-")</f>
        <v>Integração</v>
      </c>
      <c r="E17" s="35" t="str">
        <f>IFERROR(IF(VLOOKUP($B17,casostestes[#Data],3)=0,"-",VLOOKUP($B17,casostestes[#Data],3)), "-")</f>
        <v>22
Criar tarefa de BI inicial fluxo PRESENCIAL para categoria "Segurado especial" onde o parâmetro "Exige Autodeclaração" no Catálogo está ATIVADO, NÃO foi respondida a autodeclaração e NÃO foi incluído o anexo detalhado de AD
**Parâmetro PAT ligado: 144 - Fluxo ATESTMEDQ
**Parâmetro PAT ligado: 109 -Tipo de Incapacidade Permanente leva à Fluxo Presencial do Novo BI</v>
      </c>
      <c r="F17" s="35" t="str">
        <f>IFERROR(IF(VLOOKUP($B17,casostestes[#Data],4)=0,"-",VLOOKUP($B17,casostestes[#Data],4)),"-")</f>
        <v>PAT</v>
      </c>
      <c r="G17" s="35" t="str">
        <f>IFERROR(IF(VLOOKUP($B17,casostestes[#Data],5)=0,"-",VLOOKUP($B17,casostestes[#Data],5)),"-")</f>
        <v>SERVIDOR</v>
      </c>
      <c r="H17" s="35" t="str">
        <f>IFERROR(IF(VLOOKUP($B17,casostestes[#Data],6)=0,"-",VLOOKUP($B17,casostestes[#Data],6)),"-")</f>
        <v>1. Logar no Portal do Atendimento INSS com o perfil do caso de teste
2.Criar tarefa de BI informando:
Tipo de Incapacidade? "Permanente"
A pessoa está presa?  Não
Houve acidente de trabalho?  Não
Categoria do trabalhador "Segurado Especial"
A pessoa ficou sem trabalhar? Sim
3. NÃO informar anexo detalhado de autodeclaração
5. Realizar agendamento
6. NÃO responder o formulário de autodeclaração
Resultado 1 
7.Alterar via banco de dados a data da exigência para (data atual - 36 dias)
Resulado 2</v>
      </c>
      <c r="I17" s="35" t="str">
        <f>IFERROR(IF(VLOOKUP($B17,casostestes[#Data],8)=0,"-",VLOOKUP($B17,casostestes[#Data],8)),"-")</f>
        <v>-</v>
      </c>
      <c r="J17" s="35" t="str">
        <f>IFERROR(IF(VLOOKUP($B17,casostestes[#Data],9)=0,"-",VLOOKUP($B17,casostestes[#Data],9)),"-")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1
Resultado 2 - Após alguns minutos:
Tarefa de BI com situação alterada para Pendente
Despacho incluído informando a operação ( fragmento de sigla  XXXXXXXXXX )
Divergência de autodeclaração (116) EXCLUÍDA da tarefa
Alguns minutos depois:
Status SIBE igual a AGUARDANDO PERÍCIA
Na opção  "Lista de Ocorrências", o json de integração com o SIBE deverá conter o campo "periodosPendentesSegEsp" com valor null.
</v>
      </c>
      <c r="K17" s="36">
        <v>46252</v>
      </c>
      <c r="L17" s="44" t="s">
        <v>173</v>
      </c>
      <c r="M17" s="37" t="s">
        <v>40</v>
      </c>
      <c r="N17" s="37" t="s">
        <v>174</v>
      </c>
      <c r="O17" s="38"/>
      <c r="P17" s="39"/>
    </row>
    <row r="18" spans="2:16" ht="210">
      <c r="B18" s="40">
        <f>IF(ISERR(casostestes[[#This Row],[ID]]),"-",casostestes[[#This Row],[ID]])</f>
        <v>11</v>
      </c>
      <c r="C18" s="34" t="str">
        <f>IFERROR(IF(VLOOKUP($B18,casostestes[#Data],10)=0,"Não",VLOOKUP($B18,casostestes[#Data],10)), "-")</f>
        <v>Sim</v>
      </c>
      <c r="D18" s="35" t="str">
        <f>IFERROR(IF(VLOOKUP($B18,casostestes[#Data],2)=0,"-",VLOOKUP($B18,casostestes[#Data],2)), "-")</f>
        <v>Requerimento Inicial de BI</v>
      </c>
      <c r="E18" s="35" t="str">
        <f>IFERROR(IF(VLOOKUP($B18,casostestes[#Data],3)=0,"-",VLOOKUP($B18,casostestes[#Data],3)), "-")</f>
        <v>24
Criar tarefa de BI inicial fluxo ATESTMEDQ para categoria diferente de "Segurado especial" onde o parâmetro "Exige Autodeclaração" no Catálogo está ATIVADO
**Parâmetro PAT ligado: 144 - Fluxo ATESTMEDQ</v>
      </c>
      <c r="F18" s="35" t="str">
        <f>IFERROR(IF(VLOOKUP($B18,casostestes[#Data],4)=0,"-",VLOOKUP($B18,casostestes[#Data],4)),"-")</f>
        <v>EC</v>
      </c>
      <c r="G18" s="35" t="str">
        <f>IFERROR(IF(VLOOKUP($B18,casostestes[#Data],5)=0,"-",VLOOKUP($B18,casostestes[#Data],5)),"-")</f>
        <v>ENTIDADE_CONVENIADA</v>
      </c>
      <c r="H18" s="35" t="str">
        <f>IFERROR(IF(VLOOKUP($B18,casostestes[#Data],6)=0,"-",VLOOKUP($B18,casostestes[#Data],6)),"-")</f>
        <v xml:space="preserve">1. Logar no Portal do Atendimento INSS com o perfil do caso de teste
2.Criar tarefa de BI informando:
Tipo de Incapacidade? "Temporária "
A pessoa está presa?  Não
Categoria do trabalhador diferente de "Segurado Especial"
</v>
      </c>
      <c r="I18" s="35" t="str">
        <f>IFERROR(IF(VLOOKUP($B18,casostestes[#Data],8)=0,"-",VLOOKUP($B18,casostestes[#Data],8)),"-")</f>
        <v>-</v>
      </c>
      <c r="J18" s="35" t="str">
        <f>IFERROR(IF(VLOOKUP($B18,casostestes[#Data],9)=0,"-",VLOOKUP($B18,casostestes[#Data],9)),"-")</f>
        <v>Tarefa de BI criada com situação Pendente.
Tarefa SEM Divergência de autodeclaração (116)
Status SIBE igual a FLUXO NÃO INICIADO 
DPT: Tarefa.Exige_autodeclaração = 0</v>
      </c>
      <c r="K18" s="36">
        <v>46252</v>
      </c>
      <c r="L18" s="44" t="s">
        <v>175</v>
      </c>
      <c r="M18" s="37" t="s">
        <v>22</v>
      </c>
      <c r="N18" s="37" t="s">
        <v>176</v>
      </c>
      <c r="O18" s="38"/>
      <c r="P18" s="39"/>
    </row>
    <row r="19" spans="2:16" ht="270">
      <c r="B19" s="40">
        <f>IF(ISERR(casostestes[[#This Row],[ID]]),"-",casostestes[[#This Row],[ID]])</f>
        <v>12</v>
      </c>
      <c r="C19" s="34" t="str">
        <f>IFERROR(IF(VLOOKUP($B19,casostestes[#Data],10)=0,"Não",VLOOKUP($B19,casostestes[#Data],10)), "-")</f>
        <v>Sim</v>
      </c>
      <c r="D19" s="35" t="str">
        <f>IFERROR(IF(VLOOKUP($B19,casostestes[#Data],2)=0,"-",VLOOKUP($B19,casostestes[#Data],2)), "-")</f>
        <v>Integração</v>
      </c>
      <c r="E19" s="35" t="str">
        <f>IFERROR(IF(VLOOKUP($B19,casostestes[#Data],3)=0,"-",VLOOKUP($B19,casostestes[#Data],3)), "-")</f>
        <v>26
Criar tarefa de BI inicial fluxo ATESTMEDQ para categoria "Segurado especial" onde o parâmetro "Exige Autodeclaração" no Catálogo está ATIVADO e a autodeclaração tem período pendente
**Parâmetro PAT ligado: 144 - Fluxo ATESTMEDQ</v>
      </c>
      <c r="F19" s="35" t="str">
        <f>IFERROR(IF(VLOOKUP($B19,casostestes[#Data],4)=0,"-",VLOOKUP($B19,casostestes[#Data],4)),"-")</f>
        <v>EC</v>
      </c>
      <c r="G19" s="35" t="str">
        <f>IFERROR(IF(VLOOKUP($B19,casostestes[#Data],5)=0,"-",VLOOKUP($B19,casostestes[#Data],5)),"-")</f>
        <v>ENTIDADE_CONVENIADA</v>
      </c>
      <c r="H19" s="35" t="str">
        <f>IFERROR(IF(VLOOKUP($B19,casostestes[#Data],6)=0,"-",VLOOKUP($B19,casostestes[#Data],6)),"-")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Cumprir exigência de documentos obrigatórios
4. Responder formulário da autodeclaração</v>
      </c>
      <c r="I19" s="35" t="str">
        <f>IFERROR(IF(VLOOKUP($B19,casostestes[#Data],8)=0,"-",VLOOKUP($B19,casostestes[#Data],8)),"-")</f>
        <v>-</v>
      </c>
      <c r="J19" s="35" t="str">
        <f>IFERROR(IF(VLOOKUP($B19,casostestes[#Data],9)=0,"-",VLOOKUP($B19,casostestes[#Data],9)),"-")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19" s="36">
        <v>46252</v>
      </c>
      <c r="L19" s="44" t="s">
        <v>177</v>
      </c>
      <c r="M19" s="37" t="s">
        <v>22</v>
      </c>
      <c r="N19" s="38" t="s">
        <v>178</v>
      </c>
      <c r="O19" s="38"/>
      <c r="P19" s="39"/>
    </row>
    <row r="20" spans="2:16" ht="330">
      <c r="B20" s="40">
        <f>IF(ISERR(casostestes[[#This Row],[ID]]),"-",casostestes[[#This Row],[ID]])</f>
        <v>13</v>
      </c>
      <c r="C20" s="34" t="str">
        <f>IFERROR(IF(VLOOKUP($B20,casostestes[#Data],10)=0,"Não",VLOOKUP($B20,casostestes[#Data],10)), "-")</f>
        <v>Sim</v>
      </c>
      <c r="D20" s="35" t="str">
        <f>IFERROR(IF(VLOOKUP($B20,casostestes[#Data],2)=0,"-",VLOOKUP($B20,casostestes[#Data],2)), "-")</f>
        <v>Integração</v>
      </c>
      <c r="E20" s="35" t="str">
        <f>IFERROR(IF(VLOOKUP($B20,casostestes[#Data],3)=0,"-",VLOOKUP($B20,casostestes[#Data],3)), "-")</f>
        <v>27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0" s="35" t="str">
        <f>IFERROR(IF(VLOOKUP($B20,casostestes[#Data],4)=0,"-",VLOOKUP($B20,casostestes[#Data],4)),"-")</f>
        <v>EC</v>
      </c>
      <c r="G20" s="35" t="str">
        <f>IFERROR(IF(VLOOKUP($B20,casostestes[#Data],5)=0,"-",VLOOKUP($B20,casostestes[#Data],5)),"-")</f>
        <v>ENTIDADE_CONVENIADA</v>
      </c>
      <c r="H20" s="35" t="str">
        <f>IFERROR(IF(VLOOKUP($B20,casostestes[#Data],6)=0,"-",VLOOKUP($B20,casostestes[#Data],6)),"-")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Cumprir exigência de documentos obrigatórios
4. Responder formulário da autodeclaração</v>
      </c>
      <c r="I20" s="35" t="str">
        <f>IFERROR(IF(VLOOKUP($B20,casostestes[#Data],8)=0,"-",VLOOKUP($B20,casostestes[#Data],8)),"-")</f>
        <v>-</v>
      </c>
      <c r="J20" s="35" t="str">
        <f>IFERROR(IF(VLOOKUP($B20,casostestes[#Data],9)=0,"-",VLOOKUP($B20,casostestes[#Data],9)),"-")</f>
        <v xml:space="preserve">
Tarefa de BI criada com situação Pendente.
Tarefa SEM Divergência de autodeclaração (116).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20" s="36">
        <v>46253</v>
      </c>
      <c r="L20" s="44" t="s">
        <v>179</v>
      </c>
      <c r="M20" s="37" t="s">
        <v>22</v>
      </c>
      <c r="N20" s="38" t="s">
        <v>180</v>
      </c>
      <c r="O20" s="38"/>
      <c r="P20" s="39"/>
    </row>
    <row r="21" spans="2:16" ht="270">
      <c r="B21" s="40">
        <f>IF(ISERR(casostestes[[#This Row],[ID]]),"-",casostestes[[#This Row],[ID]])</f>
        <v>14</v>
      </c>
      <c r="C21" s="34" t="str">
        <f>IFERROR(IF(VLOOKUP($B21,casostestes[#Data],10)=0,"Não",VLOOKUP($B21,casostestes[#Data],10)), "-")</f>
        <v>Sim</v>
      </c>
      <c r="D21" s="35" t="str">
        <f>IFERROR(IF(VLOOKUP($B21,casostestes[#Data],2)=0,"-",VLOOKUP($B21,casostestes[#Data],2)), "-")</f>
        <v>Integração</v>
      </c>
      <c r="E21" s="35" t="str">
        <f>IFERROR(IF(VLOOKUP($B21,casostestes[#Data],3)=0,"-",VLOOKUP($B21,casostestes[#Data],3)), "-")</f>
        <v>29
Cumprir a exigência de autodeclaração</v>
      </c>
      <c r="F21" s="35" t="str">
        <f>IFERROR(IF(VLOOKUP($B21,casostestes[#Data],4)=0,"-",VLOOKUP($B21,casostestes[#Data],4)),"-")</f>
        <v>PAT</v>
      </c>
      <c r="G21" s="35" t="str">
        <f>IFERROR(IF(VLOOKUP($B21,casostestes[#Data],5)=0,"-",VLOOKUP($B21,casostestes[#Data],5)),"-")</f>
        <v>ENTIDADE_CONVENIADA</v>
      </c>
      <c r="H21" s="35" t="str">
        <f>IFERROR(IF(VLOOKUP($B21,casostestes[#Data],6)=0,"-",VLOOKUP($B21,casostestes[#Data],6)),"-")</f>
        <v>1. Logar no Portal do Atendimento INSS com o perfil do caso de teste
2.Consultar uma tarefa em exigência de autodeclaração, detalhar e em seguida e acionar  a aba Cumprir Exigência  
3. Responder o formulário de autodeclaração até o final</v>
      </c>
      <c r="I21" s="35" t="str">
        <f>IFERROR(IF(VLOOKUP($B21,casostestes[#Data],8)=0,"-",VLOOKUP($B21,casostestes[#Data],8)),"-")</f>
        <v>-</v>
      </c>
      <c r="J21" s="35" t="str">
        <f>IFERROR(IF(VLOOKUP($B21,casostestes[#Data],9)=0,"-",VLOOKUP($B21,casostestes[#Data],9)),"-")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1" s="36">
        <v>46253</v>
      </c>
      <c r="L21" s="104" t="s">
        <v>177</v>
      </c>
      <c r="M21" s="37" t="s">
        <v>22</v>
      </c>
      <c r="N21" s="38" t="s">
        <v>178</v>
      </c>
      <c r="O21" s="38"/>
      <c r="P21" s="39"/>
    </row>
    <row r="22" spans="2:16" ht="270">
      <c r="B22" s="40">
        <f>IF(ISERR(casostestes[[#This Row],[ID]]),"-",casostestes[[#This Row],[ID]])</f>
        <v>15</v>
      </c>
      <c r="C22" s="34" t="str">
        <f>IFERROR(IF(VLOOKUP($B22,casostestes[#Data],10)=0,"Não",VLOOKUP($B22,casostestes[#Data],10)), "-")</f>
        <v>Sim</v>
      </c>
      <c r="D22" s="35" t="str">
        <f>IFERROR(IF(VLOOKUP($B22,casostestes[#Data],2)=0,"-",VLOOKUP($B22,casostestes[#Data],2)), "-")</f>
        <v>Integração</v>
      </c>
      <c r="E22" s="35" t="str">
        <f>IFERROR(IF(VLOOKUP($B22,casostestes[#Data],3)=0,"-",VLOOKUP($B22,casostestes[#Data],3)), "-")</f>
        <v>30
Cumprir a exigência de autodeclaração</v>
      </c>
      <c r="F22" s="35" t="str">
        <f>IFERROR(IF(VLOOKUP($B22,casostestes[#Data],4)=0,"-",VLOOKUP($B22,casostestes[#Data],4)),"-")</f>
        <v>PAT</v>
      </c>
      <c r="G22" s="35" t="str">
        <f>IFERROR(IF(VLOOKUP($B22,casostestes[#Data],5)=0,"-",VLOOKUP($B22,casostestes[#Data],5)),"-")</f>
        <v>ENTIDADE_CONVENIADA_CORREIOS</v>
      </c>
      <c r="H22" s="35" t="str">
        <f>IFERROR(IF(VLOOKUP($B22,casostestes[#Data],6)=0,"-",VLOOKUP($B22,casostestes[#Data],6)),"-")</f>
        <v>1. Logar no Portal do Atendimento INSS com o perfil EC - CORREIOS
2. Acionar a aba Exigências e consultar uma tarefa em exigência de autodeclaração
3. Detalhar a tarefa e em seguida acionar  a opção Cumprir Exigência  
3. Responder o formulário de autodeclaração até o final</v>
      </c>
      <c r="I22" s="35" t="str">
        <f>IFERROR(IF(VLOOKUP($B22,casostestes[#Data],8)=0,"-",VLOOKUP($B22,casostestes[#Data],8)),"-")</f>
        <v>-</v>
      </c>
      <c r="J22" s="35" t="str">
        <f>IFERROR(IF(VLOOKUP($B22,casostestes[#Data],9)=0,"-",VLOOKUP($B22,casostestes[#Data],9)),"-")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2" s="36">
        <v>46253</v>
      </c>
      <c r="L22" s="104" t="s">
        <v>177</v>
      </c>
      <c r="M22" s="37" t="s">
        <v>22</v>
      </c>
      <c r="N22" s="38" t="s">
        <v>178</v>
      </c>
      <c r="O22" s="38"/>
      <c r="P22" s="39"/>
    </row>
    <row r="23" spans="2:16" ht="330">
      <c r="B23" s="40">
        <f>IF(ISERR(casostestes[[#This Row],[ID]]),"-",casostestes[[#This Row],[ID]])</f>
        <v>16</v>
      </c>
      <c r="C23" s="34" t="str">
        <f>IFERROR(IF(VLOOKUP($B23,casostestes[#Data],10)=0,"Não",VLOOKUP($B23,casostestes[#Data],10)), "-")</f>
        <v>Sim</v>
      </c>
      <c r="D23" s="35" t="str">
        <f>IFERROR(IF(VLOOKUP($B23,casostestes[#Data],2)=0,"-",VLOOKUP($B23,casostestes[#Data],2)), "-")</f>
        <v>Integração</v>
      </c>
      <c r="E23" s="35" t="str">
        <f>IFERROR(IF(VLOOKUP($B23,casostestes[#Data],3)=0,"-",VLOOKUP($B23,casostestes[#Data],3)), "-")</f>
        <v>31
Responder o formulário de autodeclaração acessando diretamente a aba segurado especial ao detalhar a tarefa, onde a tarefa encontra-se em exigência de documento médico
Será posível acessar diretamente a autodeclaração logado como EC?</v>
      </c>
      <c r="F23" s="35" t="str">
        <f>IFERROR(IF(VLOOKUP($B23,casostestes[#Data],4)=0,"-",VLOOKUP($B23,casostestes[#Data],4)),"-")</f>
        <v>PAT</v>
      </c>
      <c r="G23" s="35" t="str">
        <f>IFERROR(IF(VLOOKUP($B23,casostestes[#Data],5)=0,"-",VLOOKUP($B23,casostestes[#Data],5)),"-")</f>
        <v>ENTIDADE_CONVENIADA</v>
      </c>
      <c r="H23" s="35" t="str">
        <f>IFERROR(IF(VLOOKUP($B23,casostestes[#Data],6)=0,"-",VLOOKUP($B23,casostestes[#Data],6)),"-")</f>
        <v>1. Logar no Portal do Atendimento INSS com o perfil do caso se teste
2.Consultar uma tarefa em exigência de dautodeclaração
3. Acionar a aba Segurado especial
3. Responder o formulário de autodeclaração até o final</v>
      </c>
      <c r="I23" s="35" t="str">
        <f>IFERROR(IF(VLOOKUP($B23,casostestes[#Data],8)=0,"-",VLOOKUP($B23,casostestes[#Data],8)),"-")</f>
        <v>-</v>
      </c>
      <c r="J23" s="35" t="str">
        <f>IFERROR(IF(VLOOKUP($B23,casostestes[#Data],9)=0,"-",VLOOKUP($B23,casostestes[#Data],9)),"-")</f>
        <v xml:space="preserve">
Tarefa de BI com situação alterada para Pendente 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3" s="36">
        <v>46253</v>
      </c>
      <c r="L23" s="44" t="s">
        <v>179</v>
      </c>
      <c r="M23" s="37" t="s">
        <v>22</v>
      </c>
      <c r="N23" s="38" t="s">
        <v>180</v>
      </c>
      <c r="O23" s="38"/>
      <c r="P23" s="39"/>
    </row>
    <row r="24" spans="2:16" ht="150">
      <c r="B24" s="40">
        <f>IF(ISERR(casostestes[[#This Row],[ID]]),"-",casostestes[[#This Row],[ID]])</f>
        <v>17</v>
      </c>
      <c r="C24" s="34" t="str">
        <f>IFERROR(IF(VLOOKUP($B24,casostestes[#Data],10)=0,"Não",VLOOKUP($B24,casostestes[#Data],10)), "-")</f>
        <v>Sim</v>
      </c>
      <c r="D24" s="35" t="str">
        <f>IFERROR(IF(VLOOKUP($B24,casostestes[#Data],2)=0,"-",VLOOKUP($B24,casostestes[#Data],2)), "-")</f>
        <v>Integração</v>
      </c>
      <c r="E24" s="35" t="str">
        <f>IFERROR(IF(VLOOKUP($B24,casostestes[#Data],3)=0,"-",VLOOKUP($B24,casostestes[#Data],3)), "-")</f>
        <v xml:space="preserve">32
Responder o formulário de autodeclaração acessando diretamente a aba segurado especial ao detalhar a tarefa, onde a tarefa encontra-se em exigência de documento médico
</v>
      </c>
      <c r="F24" s="35" t="str">
        <f>IFERROR(IF(VLOOKUP($B24,casostestes[#Data],4)=0,"-",VLOOKUP($B24,casostestes[#Data],4)),"-")</f>
        <v>PAT</v>
      </c>
      <c r="G24" s="35" t="str">
        <f>IFERROR(IF(VLOOKUP($B24,casostestes[#Data],5)=0,"-",VLOOKUP($B24,casostestes[#Data],5)),"-")</f>
        <v>ENTIDADE_CONVENIADA</v>
      </c>
      <c r="H24" s="35" t="str">
        <f>IFERROR(IF(VLOOKUP($B24,casostestes[#Data],6)=0,"-",VLOOKUP($B24,casostestes[#Data],6)),"-")</f>
        <v>1. Logar no Portal do Atendimento INSS com o perfil do caso se teste
2.Consultar uma tarefa em exigência de documento médico
3. Acionar a aba Segurado especial
3. Responder o formulário de autodeclaração até o final</v>
      </c>
      <c r="I24" s="35" t="str">
        <f>IFERROR(IF(VLOOKUP($B24,casostestes[#Data],8)=0,"-",VLOOKUP($B24,casostestes[#Data],8)),"-")</f>
        <v>-</v>
      </c>
      <c r="J24" s="35" t="str">
        <f>IFERROR(IF(VLOOKUP($B24,casostestes[#Data],9)=0,"-",VLOOKUP($B24,casostestes[#Data],9)),"-")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24" s="36">
        <v>46253</v>
      </c>
      <c r="L24" s="44" t="s">
        <v>181</v>
      </c>
      <c r="M24" s="37" t="s">
        <v>22</v>
      </c>
      <c r="N24" s="37" t="s">
        <v>182</v>
      </c>
      <c r="O24" s="38"/>
      <c r="P24" s="39"/>
    </row>
    <row r="25" spans="2:16" ht="153.75" customHeight="1">
      <c r="B25" s="40">
        <f>IF(ISERR(casostestes[[#This Row],[ID]]),"-",casostestes[[#This Row],[ID]])</f>
        <v>18</v>
      </c>
      <c r="C25" s="34" t="str">
        <f>IFERROR(IF(VLOOKUP($B25,casostestes[#Data],10)=0,"Não",VLOOKUP($B25,casostestes[#Data],10)), "-")</f>
        <v>Sim</v>
      </c>
      <c r="D25" s="35" t="str">
        <f>IFERROR(IF(VLOOKUP($B25,casostestes[#Data],2)=0,"-",VLOOKUP($B25,casostestes[#Data],2)), "-")</f>
        <v>Requerimento Inicial de BI</v>
      </c>
      <c r="E25" s="35" t="str">
        <f>IFERROR(IF(VLOOKUP($B25,casostestes[#Data],3)=0,"-",VLOOKUP($B25,casostestes[#Data],3)), "-")</f>
        <v>34
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25" s="35" t="str">
        <f>IFERROR(IF(VLOOKUP($B25,casostestes[#Data],4)=0,"-",VLOOKUP($B25,casostestes[#Data],4)),"-")</f>
        <v>Meu INSS</v>
      </c>
      <c r="G25" s="35" t="str">
        <f>IFERROR(IF(VLOOKUP($B25,casostestes[#Data],5)=0,"-",VLOOKUP($B25,casostestes[#Data],5)),"-")</f>
        <v>INTERESSADO</v>
      </c>
      <c r="H25" s="35" t="str">
        <f>IFERROR(IF(VLOOKUP($B25,casostestes[#Data],6)=0,"-",VLOOKUP($B25,casostestes[#Data],6)),"-")</f>
        <v>1. Logar no  Meu INSS
2.Criar tarefa de BI informando:
Tipo de Incapacidade? "Permanente"
A pessoa está presa?  Não
Categoria do trabalhador diferente de "Segurado Especial"
3. Criar o agendamento da perícia</v>
      </c>
      <c r="I25" s="35" t="str">
        <f>IFERROR(IF(VLOOKUP($B25,casostestes[#Data],8)=0,"-",VLOOKUP($B25,casostestes[#Data],8)),"-")</f>
        <v>-</v>
      </c>
      <c r="J25" s="35" t="str">
        <f>IFERROR(IF(VLOOKUP($B25,casostestes[#Data],9)=0,"-",VLOOKUP($B25,casostestes[#Data],9)),"-")</f>
        <v>Tarefa de BI criada com situação Pendente.
Tarefa SEM Divergência de autodeclaração (116)
Status SIBE igual a  AGUARDANDO PERÍCIA
Tarefa.Exige_autodeclaração = 0</v>
      </c>
      <c r="K25" s="36">
        <v>46253</v>
      </c>
      <c r="L25" s="44" t="s">
        <v>183</v>
      </c>
      <c r="M25" s="37" t="s">
        <v>38</v>
      </c>
      <c r="N25" s="37" t="s">
        <v>184</v>
      </c>
      <c r="O25" s="38"/>
      <c r="P25" s="39"/>
    </row>
    <row r="26" spans="2:16" ht="255">
      <c r="B26" s="40">
        <f>IF(ISERR(casostestes[[#This Row],[ID]]),"-",casostestes[[#This Row],[ID]])</f>
        <v>19</v>
      </c>
      <c r="C26" s="34" t="str">
        <f>IFERROR(IF(VLOOKUP($B26,casostestes[#Data],10)=0,"Não",VLOOKUP($B26,casostestes[#Data],10)), "-")</f>
        <v>Sim</v>
      </c>
      <c r="D26" s="35" t="str">
        <f>IFERROR(IF(VLOOKUP($B26,casostestes[#Data],2)=0,"-",VLOOKUP($B26,casostestes[#Data],2)), "-")</f>
        <v>Integração</v>
      </c>
      <c r="E26" s="35" t="str">
        <f>IFERROR(IF(VLOOKUP($B26,casostestes[#Data],3)=0,"-",VLOOKUP($B26,casostestes[#Data],3)), "-")</f>
        <v>35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26" s="35" t="str">
        <f>IFERROR(IF(VLOOKUP($B26,casostestes[#Data],4)=0,"-",VLOOKUP($B26,casostestes[#Data],4)),"-")</f>
        <v>Meu INSS</v>
      </c>
      <c r="G26" s="35" t="str">
        <f>IFERROR(IF(VLOOKUP($B26,casostestes[#Data],5)=0,"-",VLOOKUP($B26,casostestes[#Data],5)),"-")</f>
        <v>INTERESSADO</v>
      </c>
      <c r="H26" s="35" t="str">
        <f>IFERROR(IF(VLOOKUP($B26,casostestes[#Data],6)=0,"-",VLOOKUP($B26,casostestes[#Data],6)),"-")</f>
        <v>1. Logar no  Meu INSS
2.Criar tarefa de BI informando:
Tipo de Incapacidade? "Temporária "
A pessoa está presa?  Não
Categoria do trabalhador "Segurado Especial"
A pessoa ficou sem trabalhar? Sim
3. Responder formulário da autodeclaração</v>
      </c>
      <c r="I26" s="35" t="str">
        <f>IFERROR(IF(VLOOKUP($B26,casostestes[#Data],8)=0,"-",VLOOKUP($B26,casostestes[#Data],8)),"-")</f>
        <v>-</v>
      </c>
      <c r="J26" s="35" t="str">
        <f>IFERROR(IF(VLOOKUP($B26,casostestes[#Data],9)=0,"-",VLOOKUP($B26,casostestes[#Data],9)),"-")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26" s="36"/>
      <c r="L26" s="45"/>
      <c r="M26" s="37"/>
      <c r="N26" s="38"/>
      <c r="O26" s="38"/>
      <c r="P26" s="39"/>
    </row>
    <row r="27" spans="2:16" ht="255">
      <c r="B27" s="40">
        <f>IF(ISERR(casostestes[[#This Row],[ID]]),"-",casostestes[[#This Row],[ID]])</f>
        <v>20</v>
      </c>
      <c r="C27" s="34" t="str">
        <f>IFERROR(IF(VLOOKUP($B27,casostestes[#Data],10)=0,"Não",VLOOKUP($B27,casostestes[#Data],10)), "-")</f>
        <v>Sim</v>
      </c>
      <c r="D27" s="35" t="str">
        <f>IFERROR(IF(VLOOKUP($B27,casostestes[#Data],2)=0,"-",VLOOKUP($B27,casostestes[#Data],2)), "-")</f>
        <v>Integração</v>
      </c>
      <c r="E27" s="35" t="str">
        <f>IFERROR(IF(VLOOKUP($B27,casostestes[#Data],3)=0,"-",VLOOKUP($B27,casostestes[#Data],3)), "-")</f>
        <v>36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7" s="35" t="str">
        <f>IFERROR(IF(VLOOKUP($B27,casostestes[#Data],4)=0,"-",VLOOKUP($B27,casostestes[#Data],4)),"-")</f>
        <v>Meu INSS</v>
      </c>
      <c r="G27" s="35" t="str">
        <f>IFERROR(IF(VLOOKUP($B27,casostestes[#Data],5)=0,"-",VLOOKUP($B27,casostestes[#Data],5)),"-")</f>
        <v>INTERESSADO</v>
      </c>
      <c r="H27" s="35" t="str">
        <f>IFERROR(IF(VLOOKUP($B27,casostestes[#Data],6)=0,"-",VLOOKUP($B27,casostestes[#Data],6)),"-")</f>
        <v>1. Logar no  Meu INSS
2.Criar tarefa de BI informando:
Tipo de Incapacidade? "Temporária "
A pessoa está presa?  Não
Categoria do trabalhador "Segurado Especial"
A pessoa ficou sem trabalhar? Sim
3. Responder a autodeclaração</v>
      </c>
      <c r="I27" s="35" t="str">
        <f>IFERROR(IF(VLOOKUP($B27,casostestes[#Data],8)=0,"-",VLOOKUP($B27,casostestes[#Data],8)),"-")</f>
        <v>-</v>
      </c>
      <c r="J27" s="35" t="str">
        <f>IFERROR(IF(VLOOKUP($B27,casostestes[#Data],9)=0,"-",VLOOKUP($B27,casostestes[#Data],9)),"-")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27" s="36"/>
      <c r="L27" s="45"/>
      <c r="M27" s="37"/>
      <c r="N27" s="38"/>
      <c r="O27" s="38"/>
      <c r="P27" s="39"/>
    </row>
    <row r="28" spans="2:16" ht="180">
      <c r="B28" s="40">
        <f>IF(ISERR(casostestes[[#This Row],[ID]]),"-",casostestes[[#This Row],[ID]])</f>
        <v>21</v>
      </c>
      <c r="C28" s="34" t="str">
        <f>IFERROR(IF(VLOOKUP($B28,casostestes[#Data],10)=0,"Não",VLOOKUP($B28,casostestes[#Data],10)), "-")</f>
        <v>Sim</v>
      </c>
      <c r="D28" s="35" t="str">
        <f>IFERROR(IF(VLOOKUP($B28,casostestes[#Data],2)=0,"-",VLOOKUP($B28,casostestes[#Data],2)), "-")</f>
        <v>Requerimento Inicial de BI</v>
      </c>
      <c r="E28" s="35" t="str">
        <f>IFERROR(IF(VLOOKUP($B28,casostestes[#Data],3)=0,"-",VLOOKUP($B28,casostestes[#Data],3)), "-")</f>
        <v>37
Criar tarefa de BI inicial fluxo ATESTMEDQ para categoria "Segurado especial" onde o parâmetro "Exige Autodeclaração" no Catálogo está ATIVADO e  NÃO foi respondida a autodeclaração
**Parâmetro PAT ligado: 144 - Fluxo ATESTMEDQ</v>
      </c>
      <c r="F28" s="35" t="str">
        <f>IFERROR(IF(VLOOKUP($B28,casostestes[#Data],4)=0,"-",VLOOKUP($B28,casostestes[#Data],4)),"-")</f>
        <v>Meu INSS</v>
      </c>
      <c r="G28" s="35" t="str">
        <f>IFERROR(IF(VLOOKUP($B28,casostestes[#Data],5)=0,"-",VLOOKUP($B28,casostestes[#Data],5)),"-")</f>
        <v>INTERESSADO</v>
      </c>
      <c r="H28" s="35" t="str">
        <f>IFERROR(IF(VLOOKUP($B28,casostestes[#Data],6)=0,"-",VLOOKUP($B28,casostestes[#Data],6)),"-")</f>
        <v>1. Logar no  Meu INSS
2.Criar tarefa de BI informando:
Tipo de Incapacidade? "Temporária "
A pessoa está presa?  Não
Categoria do trabalhador "Segurado Especial"
A pessoa ficou sem trabalhar? Não
3. NÃO Responder a autodeclaração</v>
      </c>
      <c r="I28" s="35" t="str">
        <f>IFERROR(IF(VLOOKUP($B28,casostestes[#Data],8)=0,"-",VLOOKUP($B28,casostestes[#Data],8)),"-")</f>
        <v>-</v>
      </c>
      <c r="J28" s="35" t="str">
        <f>IFERROR(IF(VLOOKUP($B28,casostestes[#Data],9)=0,"-",VLOOKUP($B28,casostestes[#Data],9)),"-")</f>
        <v xml:space="preserve">
"Tarefa de BI criada com situação Pendente.
Status SIBE igual a  FLUXO NÃO INICIADO
Divergência de autodeclaração (116) incluída na tarefa
Após execução workflow:
Tarefa de BI com situação alterada para Exigência .
DTP:
Campo Exige_autodeclaração = 1"
</v>
      </c>
      <c r="K28" s="36"/>
      <c r="L28" s="45"/>
      <c r="M28" s="37"/>
      <c r="N28" s="38"/>
      <c r="O28" s="38"/>
      <c r="P28" s="39"/>
    </row>
    <row r="29" spans="2:16" ht="225">
      <c r="B29" s="40">
        <f>IF(ISERR(casostestes[[#This Row],[ID]]),"-",casostestes[[#This Row],[ID]])</f>
        <v>22</v>
      </c>
      <c r="C29" s="34" t="str">
        <f>IFERROR(IF(VLOOKUP($B29,casostestes[#Data],10)=0,"Não",VLOOKUP($B29,casostestes[#Data],10)), "-")</f>
        <v>Sim</v>
      </c>
      <c r="D29" s="35" t="str">
        <f>IFERROR(IF(VLOOKUP($B29,casostestes[#Data],2)=0,"-",VLOOKUP($B29,casostestes[#Data],2)), "-")</f>
        <v>Integração</v>
      </c>
      <c r="E29" s="35" t="str">
        <f>IFERROR(IF(VLOOKUP($B29,casostestes[#Data],3)=0,"-",VLOOKUP($B29,casostestes[#Data],3)), "-")</f>
        <v>38
Cumprir a exigência de autodeclaração</v>
      </c>
      <c r="F29" s="35" t="str">
        <f>IFERROR(IF(VLOOKUP($B29,casostestes[#Data],4)=0,"-",VLOOKUP($B29,casostestes[#Data],4)),"-")</f>
        <v>Meu INSS</v>
      </c>
      <c r="G29" s="35" t="str">
        <f>IFERROR(IF(VLOOKUP($B29,casostestes[#Data],5)=0,"-",VLOOKUP($B29,casostestes[#Data],5)),"-")</f>
        <v>INTERESSADO</v>
      </c>
      <c r="H29" s="35" t="str">
        <f>IFERROR(IF(VLOOKUP($B29,casostestes[#Data],6)=0,"-",VLOOKUP($B29,casostestes[#Data],6)),"-")</f>
        <v>1. Logar no  Meu INSS
2.Consultar uma tarefa em exigência de autodeclaração e acionar Cumprir Exigência  
3. Responder o formulário de autodeclaração</v>
      </c>
      <c r="I29" s="35" t="str">
        <f>IFERROR(IF(VLOOKUP($B29,casostestes[#Data],8)=0,"-",VLOOKUP($B29,casostestes[#Data],8)),"-")</f>
        <v>-</v>
      </c>
      <c r="J29" s="35" t="str">
        <f>IFERROR(IF(VLOOKUP($B29,casostestes[#Data],9)=0,"-",VLOOKUP($B29,casostestes[#Data],9)),"-")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9" s="36"/>
      <c r="L29" s="45"/>
      <c r="M29" s="37"/>
      <c r="N29" s="38"/>
      <c r="O29" s="38"/>
      <c r="P29" s="39"/>
    </row>
    <row r="30" spans="2:16" ht="180">
      <c r="B30" s="40">
        <f>IF(ISERR(casostestes[[#This Row],[ID]]),"-",casostestes[[#This Row],[ID]])</f>
        <v>23</v>
      </c>
      <c r="C30" s="34" t="str">
        <f>IFERROR(IF(VLOOKUP($B30,casostestes[#Data],10)=0,"Não",VLOOKUP($B30,casostestes[#Data],10)), "-")</f>
        <v>Sim</v>
      </c>
      <c r="D30" s="35" t="str">
        <f>IFERROR(IF(VLOOKUP($B30,casostestes[#Data],2)=0,"-",VLOOKUP($B30,casostestes[#Data],2)), "-")</f>
        <v>Integração</v>
      </c>
      <c r="E30" s="35" t="str">
        <f>IFERROR(IF(VLOOKUP($B30,casostestes[#Data],3)=0,"-",VLOOKUP($B30,casostestes[#Data],3)), "-")</f>
        <v>39
Responder o formulário de autodeclaração acionando a opção de autodeclaração no card do pedido onde a tarefa encontra-se em exigência de autodeclaração
Será posível acessar diretamente a autodeclaração logado no Meu INSS?</v>
      </c>
      <c r="F30" s="35" t="str">
        <f>IFERROR(IF(VLOOKUP($B30,casostestes[#Data],4)=0,"-",VLOOKUP($B30,casostestes[#Data],4)),"-")</f>
        <v>Meu INSS</v>
      </c>
      <c r="G30" s="35" t="str">
        <f>IFERROR(IF(VLOOKUP($B30,casostestes[#Data],5)=0,"-",VLOOKUP($B30,casostestes[#Data],5)),"-")</f>
        <v>INTERESSADO</v>
      </c>
      <c r="H30" s="35" t="str">
        <f>IFERROR(IF(VLOOKUP($B30,casostestes[#Data],6)=0,"-",VLOOKUP($B30,casostestes[#Data],6)),"-")</f>
        <v>1. Logar no  Meu INSS
2.Consultar uma tarefa em exigência de autodeclaração
3. Acionar no card do pedido a opção de Autodeclaração   
3. Responder o formulário de autodeclaração</v>
      </c>
      <c r="I30" s="35" t="str">
        <f>IFERROR(IF(VLOOKUP($B30,casostestes[#Data],8)=0,"-",VLOOKUP($B30,casostestes[#Data],8)),"-")</f>
        <v>-</v>
      </c>
      <c r="J30" s="35" t="str">
        <f>IFERROR(IF(VLOOKUP($B30,casostestes[#Data],9)=0,"-",VLOOKUP($B30,casostestes[#Data],9)),"-")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0" s="36"/>
      <c r="L30" s="45"/>
      <c r="M30" s="37"/>
      <c r="N30" s="38"/>
      <c r="O30" s="38"/>
      <c r="P30" s="39"/>
    </row>
    <row r="31" spans="2:16" ht="105">
      <c r="B31" s="40">
        <f>IF(ISERR(casostestes[[#This Row],[ID]]),"-",casostestes[[#This Row],[ID]])</f>
        <v>24</v>
      </c>
      <c r="C31" s="34" t="str">
        <f>IFERROR(IF(VLOOKUP($B31,casostestes[#Data],10)=0,"Não",VLOOKUP($B31,casostestes[#Data],10)), "-")</f>
        <v>Sim</v>
      </c>
      <c r="D31" s="35" t="str">
        <f>IFERROR(IF(VLOOKUP($B31,casostestes[#Data],2)=0,"-",VLOOKUP($B31,casostestes[#Data],2)), "-")</f>
        <v>Integração</v>
      </c>
      <c r="E31" s="35" t="str">
        <f>IFERROR(IF(VLOOKUP($B31,casostestes[#Data],3)=0,"-",VLOOKUP($B31,casostestes[#Data],3)), "-")</f>
        <v>40
Responder o formulário de autodeclaração acionando a opção de autodeclaração no card do pedido onde a tarefa encontra-se em exigência de documento médico
Será posível acessar diretamente a autodeclaração logado no Meu INSS?</v>
      </c>
      <c r="F31" s="35" t="str">
        <f>IFERROR(IF(VLOOKUP($B31,casostestes[#Data],4)=0,"-",VLOOKUP($B31,casostestes[#Data],4)),"-")</f>
        <v>Meu INSS</v>
      </c>
      <c r="G31" s="35" t="str">
        <f>IFERROR(IF(VLOOKUP($B31,casostestes[#Data],5)=0,"-",VLOOKUP($B31,casostestes[#Data],5)),"-")</f>
        <v>INTERESSADO</v>
      </c>
      <c r="H31" s="35" t="str">
        <f>IFERROR(IF(VLOOKUP($B31,casostestes[#Data],6)=0,"-",VLOOKUP($B31,casostestes[#Data],6)),"-")</f>
        <v>1. Logar no  Meu INSS
2.Consultar uma tarefa em exigência de documento médico 
3. Acionar no card do pedido a opção de Autodeclaração   
3. Responder o formulário de autodeclaração</v>
      </c>
      <c r="I31" s="35" t="str">
        <f>IFERROR(IF(VLOOKUP($B31,casostestes[#Data],8)=0,"-",VLOOKUP($B31,casostestes[#Data],8)),"-")</f>
        <v>-</v>
      </c>
      <c r="J31" s="35" t="str">
        <f>IFERROR(IF(VLOOKUP($B31,casostestes[#Data],9)=0,"-",VLOOKUP($B31,casostestes[#Data],9)),"-")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31" s="36"/>
      <c r="L31" s="45"/>
      <c r="M31" s="37"/>
      <c r="N31" s="38"/>
      <c r="O31" s="38"/>
      <c r="P31" s="39"/>
    </row>
    <row r="32" spans="2:16" ht="409.5">
      <c r="B32" s="40">
        <f>IF(ISERR(casostestes[[#This Row],[ID]]),"-",casostestes[[#This Row],[ID]])</f>
        <v>25</v>
      </c>
      <c r="C32" s="34" t="str">
        <f>IFERROR(IF(VLOOKUP($B32,casostestes[#Data],10)=0,"Não",VLOOKUP($B32,casostestes[#Data],10)), "-")</f>
        <v>Sim</v>
      </c>
      <c r="D32" s="35" t="str">
        <f>IFERROR(IF(VLOOKUP($B32,casostestes[#Data],2)=0,"-",VLOOKUP($B32,casostestes[#Data],2)), "-")</f>
        <v>Integração</v>
      </c>
      <c r="E32" s="35" t="str">
        <f>IFERROR(IF(VLOOKUP($B32,casostestes[#Data],3)=0,"-",VLOOKUP($B32,casostestes[#Data],3)), "-")</f>
        <v xml:space="preserve">
41
'Criar tarefa de BI inicial fluxo ATESTMEDQ para categoria "Segurado especial" onde o parâmetro "Exige Autodeclaração" no Catálogo está ATIVADO, 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2" s="35" t="str">
        <f>IFERROR(IF(VLOOKUP($B32,casostestes[#Data],4)=0,"-",VLOOKUP($B32,casostestes[#Data],4)),"-")</f>
        <v>PAT</v>
      </c>
      <c r="G32" s="35" t="str">
        <f>IFERROR(IF(VLOOKUP($B32,casostestes[#Data],5)=0,"-",VLOOKUP($B32,casostestes[#Data],5)),"-")</f>
        <v>SERVIDOR</v>
      </c>
      <c r="H32" s="35" t="str">
        <f>IFERROR(IF(VLOOKUP($B32,casostestes[#Data],6)=0,"-",VLOOKUP($B32,casostestes[#Data],6)),"-")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Responder o formulário de autodeclaração
Resultado 1
5. Executar o serviço do STD simulando enquadramento na regra da análise de risco
- Inclusão da divergência 202 (ORIENTAÇÕES NA ABA MASSA)   
Resultado 2
</v>
      </c>
      <c r="I32" s="35" t="str">
        <f>IFERROR(IF(VLOOKUP($B32,casostestes[#Data],8)=0,"-",VLOOKUP($B32,casostestes[#Data],8)),"-")</f>
        <v>-</v>
      </c>
      <c r="J32" s="35" t="str">
        <f>IFERROR(IF(VLOOKUP($B32,casostestes[#Data],9)=0,"-",VLOOKUP($B32,casostestes[#Data],9)),"-")</f>
        <v xml:space="preserve">Resultado 1:
Tarefa de BI criada com situação Pendente.
Tarefa SEM a Divergência de autodeclaração (116)  
Status SIBE igual a  FLUXO NÃO INICIADO
Seção campos adicionais:
"Fluxo Inicial e final do BI" deve ter o valor  "ATESTMEDQ"
DTP:  Campo Exige_autodeclaração = 1
Aguardar alguns minutos após a geração automática do PDF da autodeclaração:
Status SIBE continua igual a  FLUXO NÃO INICIADO
Resultado 2 - Após a execução do serviço do STD:  
- Cerca de 5 minutos depois, será exibida a divergência da Análise de Risco (202) no requerimento
- Alguns minutos depois:
Status SIBE igual a AGUARDANDO PERÍCIA
- Ocorrências de integração (com SIBE)
 "tipoInformacaoMedica":0
 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 Seção "Agendamentos (Perícia)":
- A etapa_pericia apresentará o valor AGUARDANDO AGENDAMENTO 
Aba Despachos:
-Inclusão do despacho de exigência de agendamento
</v>
      </c>
      <c r="K32" s="36"/>
      <c r="L32" s="45"/>
      <c r="M32" s="37"/>
      <c r="N32" s="38"/>
      <c r="O32" s="38"/>
      <c r="P32" s="39"/>
    </row>
    <row r="33" spans="2:16" ht="409.5">
      <c r="B33" s="40">
        <f>IF(ISERR(casostestes[[#This Row],[ID]]),"-",casostestes[[#This Row],[ID]])</f>
        <v>26</v>
      </c>
      <c r="C33" s="34" t="str">
        <f>IFERROR(IF(VLOOKUP($B33,casostestes[#Data],10)=0,"Não",VLOOKUP($B33,casostestes[#Data],10)), "-")</f>
        <v>Sim</v>
      </c>
      <c r="D33" s="35" t="str">
        <f>IFERROR(IF(VLOOKUP($B33,casostestes[#Data],2)=0,"-",VLOOKUP($B33,casostestes[#Data],2)), "-")</f>
        <v>Integração</v>
      </c>
      <c r="E33" s="35" t="str">
        <f>IFERROR(IF(VLOOKUP($B33,casostestes[#Data],3)=0,"-",VLOOKUP($B33,casostestes[#Data],3)), "-")</f>
        <v xml:space="preserve">42'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3" s="35" t="str">
        <f>IFERROR(IF(VLOOKUP($B33,casostestes[#Data],4)=0,"-",VLOOKUP($B33,casostestes[#Data],4)),"-")</f>
        <v>PAT</v>
      </c>
      <c r="G33" s="35" t="str">
        <f>IFERROR(IF(VLOOKUP($B33,casostestes[#Data],5)=0,"-",VLOOKUP($B33,casostestes[#Data],5)),"-")</f>
        <v>SERVIDOR</v>
      </c>
      <c r="H33" s="35" t="str">
        <f>IFERROR(IF(VLOOKUP($B33,casostestes[#Data],6)=0,"-",VLOOKUP($B33,casostestes[#Data],6)),"-")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33" s="35" t="str">
        <f>IFERROR(IF(VLOOKUP($B33,casostestes[#Data],8)=0,"-",VLOOKUP($B33,casostestes[#Data],8)),"-")</f>
        <v>-</v>
      </c>
      <c r="J33" s="35" t="str">
        <f>IFERROR(IF(VLOOKUP($B33,casostestes[#Data],9)=0,"-",VLOOKUP($B33,casostestes[#Data],9)),"-")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33" s="36"/>
      <c r="L33" s="45"/>
      <c r="M33" s="37"/>
      <c r="N33" s="38"/>
      <c r="O33" s="38"/>
      <c r="P33" s="39"/>
    </row>
    <row r="34" spans="2:16" ht="409.5">
      <c r="B34" s="40">
        <f>IF(ISERR(casostestes[[#This Row],[ID]]),"-",casostestes[[#This Row],[ID]])</f>
        <v>27</v>
      </c>
      <c r="C34" s="34" t="str">
        <f>IFERROR(IF(VLOOKUP($B34,casostestes[#Data],10)=0,"Não",VLOOKUP($B34,casostestes[#Data],10)), "-")</f>
        <v>Sim</v>
      </c>
      <c r="D34" s="35" t="str">
        <f>IFERROR(IF(VLOOKUP($B34,casostestes[#Data],2)=0,"-",VLOOKUP($B34,casostestes[#Data],2)), "-")</f>
        <v>Integração</v>
      </c>
      <c r="E34" s="35" t="str">
        <f>IFERROR(IF(VLOOKUP($B34,casostestes[#Data],3)=0,"-",VLOOKUP($B34,casostestes[#Data],3)), "-")</f>
        <v xml:space="preserve">43'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4" s="35" t="str">
        <f>IFERROR(IF(VLOOKUP($B34,casostestes[#Data],4)=0,"-",VLOOKUP($B34,casostestes[#Data],4)),"-")</f>
        <v>PAT</v>
      </c>
      <c r="G34" s="35" t="str">
        <f>IFERROR(IF(VLOOKUP($B34,casostestes[#Data],5)=0,"-",VLOOKUP($B34,casostestes[#Data],5)),"-")</f>
        <v>SERVIDOR</v>
      </c>
      <c r="H34" s="35" t="str">
        <f>IFERROR(IF(VLOOKUP($B34,casostestes[#Data],6)=0,"-",VLOOKUP($B34,casostestes[#Data],6)),"-")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34" s="35" t="str">
        <f>IFERROR(IF(VLOOKUP($B34,casostestes[#Data],8)=0,"-",VLOOKUP($B34,casostestes[#Data],8)),"-")</f>
        <v>-</v>
      </c>
      <c r="J34" s="35" t="str">
        <f>IFERROR(IF(VLOOKUP($B34,casostestes[#Data],9)=0,"-",VLOOKUP($B34,casostestes[#Data],9)),"-")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34" s="36"/>
      <c r="L34" s="45"/>
      <c r="M34" s="37"/>
      <c r="N34" s="38"/>
      <c r="O34" s="38"/>
      <c r="P34" s="39"/>
    </row>
    <row r="35" spans="2:16">
      <c r="B35" s="40" t="str">
        <f>IF(ISERR(casostestes[[#This Row],[ID]]),"-",casostestes[[#This Row],[ID]])</f>
        <v>-</v>
      </c>
      <c r="C35" s="34" t="str">
        <f>IFERROR(IF(VLOOKUP($B35,casostestes[#Data],10)=0,"Não",VLOOKUP($B35,casostestes[#Data],10)), "-")</f>
        <v>-</v>
      </c>
      <c r="D35" s="35" t="str">
        <f>IFERROR(IF(VLOOKUP($B35,casostestes[#Data],2)=0,"-",VLOOKUP($B35,casostestes[#Data],2)), "-")</f>
        <v>-</v>
      </c>
      <c r="E35" s="35" t="str">
        <f>IFERROR(IF(VLOOKUP($B35,casostestes[#Data],3)=0,"-",VLOOKUP($B35,casostestes[#Data],3)), "-")</f>
        <v>-</v>
      </c>
      <c r="F35" s="35" t="str">
        <f>IFERROR(IF(VLOOKUP($B35,casostestes[#Data],4)=0,"-",VLOOKUP($B35,casostestes[#Data],4)),"-")</f>
        <v>-</v>
      </c>
      <c r="G35" s="35" t="str">
        <f>IFERROR(IF(VLOOKUP($B35,casostestes[#Data],5)=0,"-",VLOOKUP($B35,casostestes[#Data],5)),"-")</f>
        <v>-</v>
      </c>
      <c r="H35" s="35" t="str">
        <f>IFERROR(IF(VLOOKUP($B35,casostestes[#Data],6)=0,"-",VLOOKUP($B35,casostestes[#Data],6)),"-")</f>
        <v>-</v>
      </c>
      <c r="I35" s="35" t="str">
        <f>IFERROR(IF(VLOOKUP($B35,casostestes[#Data],8)=0,"-",VLOOKUP($B35,casostestes[#Data],8)),"-")</f>
        <v>-</v>
      </c>
      <c r="J35" s="35" t="str">
        <f>IFERROR(IF(VLOOKUP($B35,casostestes[#Data],9)=0,"-",VLOOKUP($B35,casostestes[#Data],9)),"-")</f>
        <v>-</v>
      </c>
      <c r="K35" s="36"/>
      <c r="L35" s="45"/>
      <c r="M35" s="37"/>
      <c r="N35" s="38"/>
      <c r="O35" s="38"/>
      <c r="P35" s="39"/>
    </row>
    <row r="36" spans="2:16">
      <c r="B36" s="40" t="str">
        <f>IF(ISERR(casostestes[[#This Row],[ID]]),"-",casostestes[[#This Row],[ID]])</f>
        <v>-</v>
      </c>
      <c r="C36" s="34" t="str">
        <f>IFERROR(IF(VLOOKUP($B36,casostestes[#Data],10)=0,"Não",VLOOKUP($B36,casostestes[#Data],10)), "-")</f>
        <v>-</v>
      </c>
      <c r="D36" s="35" t="str">
        <f>IFERROR(IF(VLOOKUP($B36,casostestes[#Data],2)=0,"-",VLOOKUP($B36,casostestes[#Data],2)), "-")</f>
        <v>-</v>
      </c>
      <c r="E36" s="35" t="str">
        <f>IFERROR(IF(VLOOKUP($B36,casostestes[#Data],3)=0,"-",VLOOKUP($B36,casostestes[#Data],3)), "-")</f>
        <v>-</v>
      </c>
      <c r="F36" s="35" t="str">
        <f>IFERROR(IF(VLOOKUP($B36,casostestes[#Data],4)=0,"-",VLOOKUP($B36,casostestes[#Data],4)),"-")</f>
        <v>-</v>
      </c>
      <c r="G36" s="35" t="str">
        <f>IFERROR(IF(VLOOKUP($B36,casostestes[#Data],5)=0,"-",VLOOKUP($B36,casostestes[#Data],5)),"-")</f>
        <v>-</v>
      </c>
      <c r="H36" s="35" t="str">
        <f>IFERROR(IF(VLOOKUP($B36,casostestes[#Data],6)=0,"-",VLOOKUP($B36,casostestes[#Data],6)),"-")</f>
        <v>-</v>
      </c>
      <c r="I36" s="35" t="str">
        <f>IFERROR(IF(VLOOKUP($B36,casostestes[#Data],8)=0,"-",VLOOKUP($B36,casostestes[#Data],8)),"-")</f>
        <v>-</v>
      </c>
      <c r="J36" s="35" t="str">
        <f>IFERROR(IF(VLOOKUP($B36,casostestes[#Data],9)=0,"-",VLOOKUP($B36,casostestes[#Data],9)),"-")</f>
        <v>-</v>
      </c>
      <c r="K36" s="36"/>
      <c r="L36" s="45"/>
      <c r="M36" s="37"/>
      <c r="N36" s="38"/>
      <c r="O36" s="38"/>
      <c r="P36" s="39"/>
    </row>
    <row r="37" spans="2:16">
      <c r="B37" s="40" t="str">
        <f>IF(ISERR(casostestes[[#This Row],[ID]]),"-",casostestes[[#This Row],[ID]])</f>
        <v>-</v>
      </c>
      <c r="C37" s="34" t="str">
        <f>IFERROR(IF(VLOOKUP($B37,casostestes[#Data],10)=0,"Não",VLOOKUP($B37,casostestes[#Data],10)), "-")</f>
        <v>-</v>
      </c>
      <c r="D37" s="35" t="str">
        <f>IFERROR(IF(VLOOKUP($B37,casostestes[#Data],2)=0,"-",VLOOKUP($B37,casostestes[#Data],2)), "-")</f>
        <v>-</v>
      </c>
      <c r="E37" s="35" t="str">
        <f>IFERROR(IF(VLOOKUP($B37,casostestes[#Data],3)=0,"-",VLOOKUP($B37,casostestes[#Data],3)), "-")</f>
        <v>-</v>
      </c>
      <c r="F37" s="35" t="str">
        <f>IFERROR(IF(VLOOKUP($B37,casostestes[#Data],4)=0,"-",VLOOKUP($B37,casostestes[#Data],4)),"-")</f>
        <v>-</v>
      </c>
      <c r="G37" s="35" t="str">
        <f>IFERROR(IF(VLOOKUP($B37,casostestes[#Data],5)=0,"-",VLOOKUP($B37,casostestes[#Data],5)),"-")</f>
        <v>-</v>
      </c>
      <c r="H37" s="35" t="str">
        <f>IFERROR(IF(VLOOKUP($B37,casostestes[#Data],6)=0,"-",VLOOKUP($B37,casostestes[#Data],6)),"-")</f>
        <v>-</v>
      </c>
      <c r="I37" s="35" t="str">
        <f>IFERROR(IF(VLOOKUP($B37,casostestes[#Data],8)=0,"-",VLOOKUP($B37,casostestes[#Data],8)),"-")</f>
        <v>-</v>
      </c>
      <c r="J37" s="35" t="str">
        <f>IFERROR(IF(VLOOKUP($B37,casostestes[#Data],9)=0,"-",VLOOKUP($B37,casostestes[#Data],9)),"-")</f>
        <v>-</v>
      </c>
      <c r="K37" s="36"/>
      <c r="L37" s="45"/>
      <c r="M37" s="37"/>
      <c r="N37" s="38"/>
      <c r="O37" s="38"/>
      <c r="P37" s="39"/>
    </row>
    <row r="38" spans="2:16">
      <c r="B38" s="40" t="str">
        <f>IF(ISERR(casostestes[[#This Row],[ID]]),"-",casostestes[[#This Row],[ID]])</f>
        <v>-</v>
      </c>
      <c r="C38" s="34" t="str">
        <f>IFERROR(IF(VLOOKUP($B38,casostestes[#Data],10)=0,"Não",VLOOKUP($B38,casostestes[#Data],10)), "-")</f>
        <v>-</v>
      </c>
      <c r="D38" s="35" t="str">
        <f>IFERROR(IF(VLOOKUP($B38,casostestes[#Data],2)=0,"-",VLOOKUP($B38,casostestes[#Data],2)), "-")</f>
        <v>-</v>
      </c>
      <c r="E38" s="35" t="str">
        <f>IFERROR(IF(VLOOKUP($B38,casostestes[#Data],3)=0,"-",VLOOKUP($B38,casostestes[#Data],3)), "-")</f>
        <v>-</v>
      </c>
      <c r="F38" s="35" t="str">
        <f>IFERROR(IF(VLOOKUP($B38,casostestes[#Data],4)=0,"-",VLOOKUP($B38,casostestes[#Data],4)),"-")</f>
        <v>-</v>
      </c>
      <c r="G38" s="35" t="str">
        <f>IFERROR(IF(VLOOKUP($B38,casostestes[#Data],5)=0,"-",VLOOKUP($B38,casostestes[#Data],5)),"-")</f>
        <v>-</v>
      </c>
      <c r="H38" s="35" t="str">
        <f>IFERROR(IF(VLOOKUP($B38,casostestes[#Data],6)=0,"-",VLOOKUP($B38,casostestes[#Data],6)),"-")</f>
        <v>-</v>
      </c>
      <c r="I38" s="35" t="str">
        <f>IFERROR(IF(VLOOKUP($B38,casostestes[#Data],8)=0,"-",VLOOKUP($B38,casostestes[#Data],8)),"-")</f>
        <v>-</v>
      </c>
      <c r="J38" s="35" t="str">
        <f>IFERROR(IF(VLOOKUP($B38,casostestes[#Data],9)=0,"-",VLOOKUP($B38,casostestes[#Data],9)),"-")</f>
        <v>-</v>
      </c>
      <c r="K38" s="36"/>
      <c r="L38" s="45"/>
      <c r="M38" s="37"/>
      <c r="N38" s="38"/>
      <c r="O38" s="38"/>
      <c r="P38" s="39"/>
    </row>
    <row r="39" spans="2:16">
      <c r="B39" s="40" t="str">
        <f>IF(ISERR(casostestes[[#This Row],[ID]]),"-",casostestes[[#This Row],[ID]])</f>
        <v>-</v>
      </c>
      <c r="C39" s="34" t="str">
        <f>IFERROR(IF(VLOOKUP($B39,casostestes[#Data],10)=0,"Não",VLOOKUP($B39,casostestes[#Data],10)), "-")</f>
        <v>-</v>
      </c>
      <c r="D39" s="35" t="str">
        <f>IFERROR(IF(VLOOKUP($B39,casostestes[#Data],2)=0,"-",VLOOKUP($B39,casostestes[#Data],2)), "-")</f>
        <v>-</v>
      </c>
      <c r="E39" s="35" t="str">
        <f>IFERROR(IF(VLOOKUP($B39,casostestes[#Data],3)=0,"-",VLOOKUP($B39,casostestes[#Data],3)), "-")</f>
        <v>-</v>
      </c>
      <c r="F39" s="35" t="str">
        <f>IFERROR(IF(VLOOKUP($B39,casostestes[#Data],4)=0,"-",VLOOKUP($B39,casostestes[#Data],4)),"-")</f>
        <v>-</v>
      </c>
      <c r="G39" s="35" t="str">
        <f>IFERROR(IF(VLOOKUP($B39,casostestes[#Data],5)=0,"-",VLOOKUP($B39,casostestes[#Data],5)),"-")</f>
        <v>-</v>
      </c>
      <c r="H39" s="35" t="str">
        <f>IFERROR(IF(VLOOKUP($B39,casostestes[#Data],6)=0,"-",VLOOKUP($B39,casostestes[#Data],6)),"-")</f>
        <v>-</v>
      </c>
      <c r="I39" s="35" t="str">
        <f>IFERROR(IF(VLOOKUP($B39,casostestes[#Data],8)=0,"-",VLOOKUP($B39,casostestes[#Data],8)),"-")</f>
        <v>-</v>
      </c>
      <c r="J39" s="35" t="str">
        <f>IFERROR(IF(VLOOKUP($B39,casostestes[#Data],9)=0,"-",VLOOKUP($B39,casostestes[#Data],9)),"-")</f>
        <v>-</v>
      </c>
      <c r="K39" s="36"/>
      <c r="L39" s="45"/>
      <c r="M39" s="37"/>
      <c r="N39" s="38"/>
      <c r="O39" s="38"/>
      <c r="P39" s="39"/>
    </row>
    <row r="40" spans="2:16">
      <c r="B40" s="40" t="str">
        <f>IF(ISERR(casostestes[[#This Row],[ID]]),"-",casostestes[[#This Row],[ID]])</f>
        <v>-</v>
      </c>
      <c r="C40" s="34" t="str">
        <f>IFERROR(IF(VLOOKUP($B40,casostestes[#Data],10)=0,"Não",VLOOKUP($B40,casostestes[#Data],10)), "-")</f>
        <v>-</v>
      </c>
      <c r="D40" s="35" t="str">
        <f>IFERROR(IF(VLOOKUP($B40,casostestes[#Data],2)=0,"-",VLOOKUP($B40,casostestes[#Data],2)), "-")</f>
        <v>-</v>
      </c>
      <c r="E40" s="35" t="str">
        <f>IFERROR(IF(VLOOKUP($B40,casostestes[#Data],3)=0,"-",VLOOKUP($B40,casostestes[#Data],3)), "-")</f>
        <v>-</v>
      </c>
      <c r="F40" s="35" t="str">
        <f>IFERROR(IF(VLOOKUP($B40,casostestes[#Data],4)=0,"-",VLOOKUP($B40,casostestes[#Data],4)),"-")</f>
        <v>-</v>
      </c>
      <c r="G40" s="35" t="str">
        <f>IFERROR(IF(VLOOKUP($B40,casostestes[#Data],5)=0,"-",VLOOKUP($B40,casostestes[#Data],5)),"-")</f>
        <v>-</v>
      </c>
      <c r="H40" s="35" t="str">
        <f>IFERROR(IF(VLOOKUP($B40,casostestes[#Data],6)=0,"-",VLOOKUP($B40,casostestes[#Data],6)),"-")</f>
        <v>-</v>
      </c>
      <c r="I40" s="35" t="str">
        <f>IFERROR(IF(VLOOKUP($B40,casostestes[#Data],8)=0,"-",VLOOKUP($B40,casostestes[#Data],8)),"-")</f>
        <v>-</v>
      </c>
      <c r="J40" s="35" t="str">
        <f>IFERROR(IF(VLOOKUP($B40,casostestes[#Data],9)=0,"-",VLOOKUP($B40,casostestes[#Data],9)),"-")</f>
        <v>-</v>
      </c>
      <c r="K40" s="36"/>
      <c r="L40" s="45"/>
      <c r="M40" s="37"/>
      <c r="N40" s="38"/>
      <c r="O40" s="38"/>
      <c r="P40" s="39"/>
    </row>
    <row r="41" spans="2:16">
      <c r="B41" s="40" t="str">
        <f>IF(ISERR(casostestes[[#This Row],[ID]]),"-",casostestes[[#This Row],[ID]])</f>
        <v>-</v>
      </c>
      <c r="C41" s="34" t="str">
        <f>IFERROR(IF(VLOOKUP($B41,casostestes[#Data],10)=0,"Não",VLOOKUP($B41,casostestes[#Data],10)), "-")</f>
        <v>-</v>
      </c>
      <c r="D41" s="35" t="str">
        <f>IFERROR(IF(VLOOKUP($B41,casostestes[#Data],2)=0,"-",VLOOKUP($B41,casostestes[#Data],2)), "-")</f>
        <v>-</v>
      </c>
      <c r="E41" s="35" t="str">
        <f>IFERROR(IF(VLOOKUP($B41,casostestes[#Data],3)=0,"-",VLOOKUP($B41,casostestes[#Data],3)), "-")</f>
        <v>-</v>
      </c>
      <c r="F41" s="35" t="str">
        <f>IFERROR(IF(VLOOKUP($B41,casostestes[#Data],4)=0,"-",VLOOKUP($B41,casostestes[#Data],4)),"-")</f>
        <v>-</v>
      </c>
      <c r="G41" s="35" t="str">
        <f>IFERROR(IF(VLOOKUP($B41,casostestes[#Data],5)=0,"-",VLOOKUP($B41,casostestes[#Data],5)),"-")</f>
        <v>-</v>
      </c>
      <c r="H41" s="35" t="str">
        <f>IFERROR(IF(VLOOKUP($B41,casostestes[#Data],6)=0,"-",VLOOKUP($B41,casostestes[#Data],6)),"-")</f>
        <v>-</v>
      </c>
      <c r="I41" s="35" t="str">
        <f>IFERROR(IF(VLOOKUP($B41,casostestes[#Data],8)=0,"-",VLOOKUP($B41,casostestes[#Data],8)),"-")</f>
        <v>-</v>
      </c>
      <c r="J41" s="35" t="str">
        <f>IFERROR(IF(VLOOKUP($B41,casostestes[#Data],9)=0,"-",VLOOKUP($B41,casostestes[#Data],9)),"-")</f>
        <v>-</v>
      </c>
      <c r="K41" s="36"/>
      <c r="L41" s="45"/>
      <c r="M41" s="37"/>
      <c r="N41" s="38"/>
      <c r="O41" s="38"/>
      <c r="P41" s="39"/>
    </row>
    <row r="42" spans="2:16">
      <c r="B42" s="40" t="str">
        <f>IF(ISERR(casostestes[[#This Row],[ID]]),"-",casostestes[[#This Row],[ID]])</f>
        <v>-</v>
      </c>
      <c r="C42" s="34" t="str">
        <f>IFERROR(IF(VLOOKUP($B42,casostestes[#Data],10)=0,"Não",VLOOKUP($B42,casostestes[#Data],10)), "-")</f>
        <v>-</v>
      </c>
      <c r="D42" s="35" t="str">
        <f>IFERROR(IF(VLOOKUP($B42,casostestes[#Data],2)=0,"-",VLOOKUP($B42,casostestes[#Data],2)), "-")</f>
        <v>-</v>
      </c>
      <c r="E42" s="35" t="str">
        <f>IFERROR(IF(VLOOKUP($B42,casostestes[#Data],3)=0,"-",VLOOKUP($B42,casostestes[#Data],3)), "-")</f>
        <v>-</v>
      </c>
      <c r="F42" s="35" t="str">
        <f>IFERROR(IF(VLOOKUP($B42,casostestes[#Data],4)=0,"-",VLOOKUP($B42,casostestes[#Data],4)),"-")</f>
        <v>-</v>
      </c>
      <c r="G42" s="35" t="str">
        <f>IFERROR(IF(VLOOKUP($B42,casostestes[#Data],5)=0,"-",VLOOKUP($B42,casostestes[#Data],5)),"-")</f>
        <v>-</v>
      </c>
      <c r="H42" s="35" t="str">
        <f>IFERROR(IF(VLOOKUP($B42,casostestes[#Data],6)=0,"-",VLOOKUP($B42,casostestes[#Data],6)),"-")</f>
        <v>-</v>
      </c>
      <c r="I42" s="35" t="str">
        <f>IFERROR(IF(VLOOKUP($B42,casostestes[#Data],8)=0,"-",VLOOKUP($B42,casostestes[#Data],8)),"-")</f>
        <v>-</v>
      </c>
      <c r="J42" s="35" t="str">
        <f>IFERROR(IF(VLOOKUP($B42,casostestes[#Data],9)=0,"-",VLOOKUP($B42,casostestes[#Data],9)),"-")</f>
        <v>-</v>
      </c>
      <c r="K42" s="36"/>
      <c r="L42" s="45"/>
      <c r="M42" s="37"/>
      <c r="N42" s="38"/>
      <c r="O42" s="38"/>
      <c r="P42" s="39"/>
    </row>
    <row r="43" spans="2:16">
      <c r="B43" s="40" t="str">
        <f>IF(ISERR(casostestes[[#This Row],[ID]]),"-",casostestes[[#This Row],[ID]])</f>
        <v>-</v>
      </c>
      <c r="C43" s="34" t="str">
        <f>IFERROR(IF(VLOOKUP($B43,casostestes[#Data],10)=0,"Não",VLOOKUP($B43,casostestes[#Data],10)), "-")</f>
        <v>-</v>
      </c>
      <c r="D43" s="35" t="str">
        <f>IFERROR(IF(VLOOKUP($B43,casostestes[#Data],2)=0,"-",VLOOKUP($B43,casostestes[#Data],2)), "-")</f>
        <v>-</v>
      </c>
      <c r="E43" s="35" t="str">
        <f>IFERROR(IF(VLOOKUP($B43,casostestes[#Data],3)=0,"-",VLOOKUP($B43,casostestes[#Data],3)), "-")</f>
        <v>-</v>
      </c>
      <c r="F43" s="35" t="str">
        <f>IFERROR(IF(VLOOKUP($B43,casostestes[#Data],4)=0,"-",VLOOKUP($B43,casostestes[#Data],4)),"-")</f>
        <v>-</v>
      </c>
      <c r="G43" s="35" t="str">
        <f>IFERROR(IF(VLOOKUP($B43,casostestes[#Data],5)=0,"-",VLOOKUP($B43,casostestes[#Data],5)),"-")</f>
        <v>-</v>
      </c>
      <c r="H43" s="35" t="str">
        <f>IFERROR(IF(VLOOKUP($B43,casostestes[#Data],6)=0,"-",VLOOKUP($B43,casostestes[#Data],6)),"-")</f>
        <v>-</v>
      </c>
      <c r="I43" s="35" t="str">
        <f>IFERROR(IF(VLOOKUP($B43,casostestes[#Data],8)=0,"-",VLOOKUP($B43,casostestes[#Data],8)),"-")</f>
        <v>-</v>
      </c>
      <c r="J43" s="35" t="str">
        <f>IFERROR(IF(VLOOKUP($B43,casostestes[#Data],9)=0,"-",VLOOKUP($B43,casostestes[#Data],9)),"-")</f>
        <v>-</v>
      </c>
      <c r="K43" s="36"/>
      <c r="L43" s="45"/>
      <c r="M43" s="37"/>
      <c r="N43" s="38"/>
      <c r="O43" s="38"/>
      <c r="P43" s="39"/>
    </row>
    <row r="44" spans="2:16">
      <c r="B44" s="40" t="str">
        <f>IF(ISERR(casostestes[[#This Row],[ID]]),"-",casostestes[[#This Row],[ID]])</f>
        <v>-</v>
      </c>
      <c r="C44" s="34" t="str">
        <f>IFERROR(IF(VLOOKUP($B44,casostestes[#Data],10)=0,"Não",VLOOKUP($B44,casostestes[#Data],10)), "-")</f>
        <v>-</v>
      </c>
      <c r="D44" s="35" t="str">
        <f>IFERROR(IF(VLOOKUP($B44,casostestes[#Data],2)=0,"-",VLOOKUP($B44,casostestes[#Data],2)), "-")</f>
        <v>-</v>
      </c>
      <c r="E44" s="35" t="str">
        <f>IFERROR(IF(VLOOKUP($B44,casostestes[#Data],3)=0,"-",VLOOKUP($B44,casostestes[#Data],3)), "-")</f>
        <v>-</v>
      </c>
      <c r="F44" s="35" t="str">
        <f>IFERROR(IF(VLOOKUP($B44,casostestes[#Data],4)=0,"-",VLOOKUP($B44,casostestes[#Data],4)),"-")</f>
        <v>-</v>
      </c>
      <c r="G44" s="35" t="str">
        <f>IFERROR(IF(VLOOKUP($B44,casostestes[#Data],5)=0,"-",VLOOKUP($B44,casostestes[#Data],5)),"-")</f>
        <v>-</v>
      </c>
      <c r="H44" s="35" t="str">
        <f>IFERROR(IF(VLOOKUP($B44,casostestes[#Data],6)=0,"-",VLOOKUP($B44,casostestes[#Data],6)),"-")</f>
        <v>-</v>
      </c>
      <c r="I44" s="35" t="str">
        <f>IFERROR(IF(VLOOKUP($B44,casostestes[#Data],8)=0,"-",VLOOKUP($B44,casostestes[#Data],8)),"-")</f>
        <v>-</v>
      </c>
      <c r="J44" s="35" t="str">
        <f>IFERROR(IF(VLOOKUP($B44,casostestes[#Data],9)=0,"-",VLOOKUP($B44,casostestes[#Data],9)),"-")</f>
        <v>-</v>
      </c>
      <c r="K44" s="36"/>
      <c r="L44" s="45"/>
      <c r="M44" s="37"/>
      <c r="N44" s="38"/>
      <c r="O44" s="38"/>
      <c r="P44" s="39"/>
    </row>
    <row r="45" spans="2:16">
      <c r="B45" s="40" t="str">
        <f>IF(ISERR(casostestes[[#This Row],[ID]]),"-",casostestes[[#This Row],[ID]])</f>
        <v>-</v>
      </c>
      <c r="C45" s="34" t="str">
        <f>IFERROR(IF(VLOOKUP($B45,casostestes[#Data],10)=0,"Não",VLOOKUP($B45,casostestes[#Data],10)), "-")</f>
        <v>-</v>
      </c>
      <c r="D45" s="35" t="str">
        <f>IFERROR(IF(VLOOKUP($B45,casostestes[#Data],2)=0,"-",VLOOKUP($B45,casostestes[#Data],2)), "-")</f>
        <v>-</v>
      </c>
      <c r="E45" s="35" t="str">
        <f>IFERROR(IF(VLOOKUP($B45,casostestes[#Data],3)=0,"-",VLOOKUP($B45,casostestes[#Data],3)), "-")</f>
        <v>-</v>
      </c>
      <c r="F45" s="35" t="str">
        <f>IFERROR(IF(VLOOKUP($B45,casostestes[#Data],4)=0,"-",VLOOKUP($B45,casostestes[#Data],4)),"-")</f>
        <v>-</v>
      </c>
      <c r="G45" s="35" t="str">
        <f>IFERROR(IF(VLOOKUP($B45,casostestes[#Data],5)=0,"-",VLOOKUP($B45,casostestes[#Data],5)),"-")</f>
        <v>-</v>
      </c>
      <c r="H45" s="35" t="str">
        <f>IFERROR(IF(VLOOKUP($B45,casostestes[#Data],6)=0,"-",VLOOKUP($B45,casostestes[#Data],6)),"-")</f>
        <v>-</v>
      </c>
      <c r="I45" s="35" t="str">
        <f>IFERROR(IF(VLOOKUP($B45,casostestes[#Data],8)=0,"-",VLOOKUP($B45,casostestes[#Data],8)),"-")</f>
        <v>-</v>
      </c>
      <c r="J45" s="35" t="str">
        <f>IFERROR(IF(VLOOKUP($B45,casostestes[#Data],9)=0,"-",VLOOKUP($B45,casostestes[#Data],9)),"-")</f>
        <v>-</v>
      </c>
      <c r="K45" s="36"/>
      <c r="L45" s="45"/>
      <c r="M45" s="37"/>
      <c r="N45" s="38"/>
      <c r="O45" s="38"/>
      <c r="P45" s="39"/>
    </row>
    <row r="46" spans="2:16">
      <c r="B46" s="40" t="str">
        <f>IF(ISERR(casostestes[[#This Row],[ID]]),"-",casostestes[[#This Row],[ID]])</f>
        <v>-</v>
      </c>
      <c r="C46" s="34" t="str">
        <f>IFERROR(IF(VLOOKUP($B46,casostestes[#Data],10)=0,"Não",VLOOKUP($B46,casostestes[#Data],10)), "-")</f>
        <v>-</v>
      </c>
      <c r="D46" s="35" t="str">
        <f>IFERROR(IF(VLOOKUP($B46,casostestes[#Data],2)=0,"-",VLOOKUP($B46,casostestes[#Data],2)), "-")</f>
        <v>-</v>
      </c>
      <c r="E46" s="35" t="str">
        <f>IFERROR(IF(VLOOKUP($B46,casostestes[#Data],3)=0,"-",VLOOKUP($B46,casostestes[#Data],3)), "-")</f>
        <v>-</v>
      </c>
      <c r="F46" s="35" t="str">
        <f>IFERROR(IF(VLOOKUP($B46,casostestes[#Data],4)=0,"-",VLOOKUP($B46,casostestes[#Data],4)),"-")</f>
        <v>-</v>
      </c>
      <c r="G46" s="35" t="str">
        <f>IFERROR(IF(VLOOKUP($B46,casostestes[#Data],5)=0,"-",VLOOKUP($B46,casostestes[#Data],5)),"-")</f>
        <v>-</v>
      </c>
      <c r="H46" s="35" t="str">
        <f>IFERROR(IF(VLOOKUP($B46,casostestes[#Data],6)=0,"-",VLOOKUP($B46,casostestes[#Data],6)),"-")</f>
        <v>-</v>
      </c>
      <c r="I46" s="35" t="str">
        <f>IFERROR(IF(VLOOKUP($B46,casostestes[#Data],8)=0,"-",VLOOKUP($B46,casostestes[#Data],8)),"-")</f>
        <v>-</v>
      </c>
      <c r="J46" s="35" t="str">
        <f>IFERROR(IF(VLOOKUP($B46,casostestes[#Data],9)=0,"-",VLOOKUP($B46,casostestes[#Data],9)),"-")</f>
        <v>-</v>
      </c>
      <c r="K46" s="36"/>
      <c r="L46" s="45"/>
      <c r="M46" s="37"/>
      <c r="N46" s="38"/>
      <c r="O46" s="38"/>
      <c r="P46" s="39"/>
    </row>
    <row r="47" spans="2:16">
      <c r="B47" s="40" t="str">
        <f>IF(ISERR(casostestes[[#This Row],[ID]]),"-",casostestes[[#This Row],[ID]])</f>
        <v>-</v>
      </c>
      <c r="C47" s="34" t="str">
        <f>IFERROR(IF(VLOOKUP($B47,casostestes[#Data],10)=0,"Não",VLOOKUP($B47,casostestes[#Data],10)), "-")</f>
        <v>-</v>
      </c>
      <c r="D47" s="35" t="str">
        <f>IFERROR(IF(VLOOKUP($B47,casostestes[#Data],2)=0,"-",VLOOKUP($B47,casostestes[#Data],2)), "-")</f>
        <v>-</v>
      </c>
      <c r="E47" s="35" t="str">
        <f>IFERROR(IF(VLOOKUP($B47,casostestes[#Data],3)=0,"-",VLOOKUP($B47,casostestes[#Data],3)), "-")</f>
        <v>-</v>
      </c>
      <c r="F47" s="35" t="str">
        <f>IFERROR(IF(VLOOKUP($B47,casostestes[#Data],4)=0,"-",VLOOKUP($B47,casostestes[#Data],4)),"-")</f>
        <v>-</v>
      </c>
      <c r="G47" s="35" t="str">
        <f>IFERROR(IF(VLOOKUP($B47,casostestes[#Data],5)=0,"-",VLOOKUP($B47,casostestes[#Data],5)),"-")</f>
        <v>-</v>
      </c>
      <c r="H47" s="35" t="str">
        <f>IFERROR(IF(VLOOKUP($B47,casostestes[#Data],6)=0,"-",VLOOKUP($B47,casostestes[#Data],6)),"-")</f>
        <v>-</v>
      </c>
      <c r="I47" s="35" t="str">
        <f>IFERROR(IF(VLOOKUP($B47,casostestes[#Data],8)=0,"-",VLOOKUP($B47,casostestes[#Data],8)),"-")</f>
        <v>-</v>
      </c>
      <c r="J47" s="35" t="str">
        <f>IFERROR(IF(VLOOKUP($B47,casostestes[#Data],9)=0,"-",VLOOKUP($B47,casostestes[#Data],9)),"-")</f>
        <v>-</v>
      </c>
      <c r="K47" s="36"/>
      <c r="L47" s="45"/>
      <c r="M47" s="37"/>
      <c r="N47" s="38"/>
      <c r="O47" s="38"/>
      <c r="P47" s="39"/>
    </row>
    <row r="48" spans="2:16">
      <c r="B48" s="40" t="str">
        <f>IF(ISERR(casostestes[[#This Row],[ID]]),"-",casostestes[[#This Row],[ID]])</f>
        <v>-</v>
      </c>
      <c r="C48" s="34" t="str">
        <f>IFERROR(IF(VLOOKUP($B48,casostestes[#Data],10)=0,"Não",VLOOKUP($B48,casostestes[#Data],10)), "-")</f>
        <v>-</v>
      </c>
      <c r="D48" s="35" t="str">
        <f>IFERROR(IF(VLOOKUP($B48,casostestes[#Data],2)=0,"-",VLOOKUP($B48,casostestes[#Data],2)), "-")</f>
        <v>-</v>
      </c>
      <c r="E48" s="35" t="str">
        <f>IFERROR(IF(VLOOKUP($B48,casostestes[#Data],3)=0,"-",VLOOKUP($B48,casostestes[#Data],3)), "-")</f>
        <v>-</v>
      </c>
      <c r="F48" s="35" t="str">
        <f>IFERROR(IF(VLOOKUP($B48,casostestes[#Data],4)=0,"-",VLOOKUP($B48,casostestes[#Data],4)),"-")</f>
        <v>-</v>
      </c>
      <c r="G48" s="35" t="str">
        <f>IFERROR(IF(VLOOKUP($B48,casostestes[#Data],5)=0,"-",VLOOKUP($B48,casostestes[#Data],5)),"-")</f>
        <v>-</v>
      </c>
      <c r="H48" s="35" t="str">
        <f>IFERROR(IF(VLOOKUP($B48,casostestes[#Data],6)=0,"-",VLOOKUP($B48,casostestes[#Data],6)),"-")</f>
        <v>-</v>
      </c>
      <c r="I48" s="35" t="str">
        <f>IFERROR(IF(VLOOKUP($B48,casostestes[#Data],8)=0,"-",VLOOKUP($B48,casostestes[#Data],8)),"-")</f>
        <v>-</v>
      </c>
      <c r="J48" s="35" t="str">
        <f>IFERROR(IF(VLOOKUP($B48,casostestes[#Data],9)=0,"-",VLOOKUP($B48,casostestes[#Data],9)),"-")</f>
        <v>-</v>
      </c>
      <c r="K48" s="36"/>
      <c r="L48" s="45"/>
      <c r="M48" s="37"/>
      <c r="N48" s="38"/>
      <c r="O48" s="38"/>
      <c r="P48" s="39"/>
    </row>
    <row r="49" spans="2:16">
      <c r="B49" s="40" t="str">
        <f>IF(ISERR(casostestes[[#This Row],[ID]]),"-",casostestes[[#This Row],[ID]])</f>
        <v>-</v>
      </c>
      <c r="C49" s="34" t="str">
        <f>IFERROR(IF(VLOOKUP($B49,casostestes[#Data],10)=0,"Não",VLOOKUP($B49,casostestes[#Data],10)), "-")</f>
        <v>-</v>
      </c>
      <c r="D49" s="35" t="str">
        <f>IFERROR(IF(VLOOKUP($B49,casostestes[#Data],2)=0,"-",VLOOKUP($B49,casostestes[#Data],2)), "-")</f>
        <v>-</v>
      </c>
      <c r="E49" s="35" t="str">
        <f>IFERROR(IF(VLOOKUP($B49,casostestes[#Data],3)=0,"-",VLOOKUP($B49,casostestes[#Data],3)), "-")</f>
        <v>-</v>
      </c>
      <c r="F49" s="35" t="str">
        <f>IFERROR(IF(VLOOKUP($B49,casostestes[#Data],4)=0,"-",VLOOKUP($B49,casostestes[#Data],4)),"-")</f>
        <v>-</v>
      </c>
      <c r="G49" s="35" t="str">
        <f>IFERROR(IF(VLOOKUP($B49,casostestes[#Data],5)=0,"-",VLOOKUP($B49,casostestes[#Data],5)),"-")</f>
        <v>-</v>
      </c>
      <c r="H49" s="35" t="str">
        <f>IFERROR(IF(VLOOKUP($B49,casostestes[#Data],6)=0,"-",VLOOKUP($B49,casostestes[#Data],6)),"-")</f>
        <v>-</v>
      </c>
      <c r="I49" s="35" t="str">
        <f>IFERROR(IF(VLOOKUP($B49,casostestes[#Data],8)=0,"-",VLOOKUP($B49,casostestes[#Data],8)),"-")</f>
        <v>-</v>
      </c>
      <c r="J49" s="35" t="str">
        <f>IFERROR(IF(VLOOKUP($B49,casostestes[#Data],9)=0,"-",VLOOKUP($B49,casostestes[#Data],9)),"-")</f>
        <v>-</v>
      </c>
      <c r="K49" s="36"/>
      <c r="L49" s="45"/>
      <c r="M49" s="37"/>
      <c r="N49" s="38"/>
      <c r="O49" s="38"/>
      <c r="P49" s="39"/>
    </row>
    <row r="50" spans="2:16">
      <c r="B50" s="40" t="str">
        <f>IF(ISERR(casostestes[[#This Row],[ID]]),"-",casostestes[[#This Row],[ID]])</f>
        <v>-</v>
      </c>
      <c r="C50" s="34" t="str">
        <f>IFERROR(IF(VLOOKUP($B50,casostestes[#Data],10)=0,"Não",VLOOKUP($B50,casostestes[#Data],10)), "-")</f>
        <v>-</v>
      </c>
      <c r="D50" s="35" t="str">
        <f>IFERROR(IF(VLOOKUP($B50,casostestes[#Data],2)=0,"-",VLOOKUP($B50,casostestes[#Data],2)), "-")</f>
        <v>-</v>
      </c>
      <c r="E50" s="35" t="str">
        <f>IFERROR(IF(VLOOKUP($B50,casostestes[#Data],3)=0,"-",VLOOKUP($B50,casostestes[#Data],3)), "-")</f>
        <v>-</v>
      </c>
      <c r="F50" s="35" t="str">
        <f>IFERROR(IF(VLOOKUP($B50,casostestes[#Data],4)=0,"-",VLOOKUP($B50,casostestes[#Data],4)),"-")</f>
        <v>-</v>
      </c>
      <c r="G50" s="35" t="str">
        <f>IFERROR(IF(VLOOKUP($B50,casostestes[#Data],5)=0,"-",VLOOKUP($B50,casostestes[#Data],5)),"-")</f>
        <v>-</v>
      </c>
      <c r="H50" s="35" t="str">
        <f>IFERROR(IF(VLOOKUP($B50,casostestes[#Data],6)=0,"-",VLOOKUP($B50,casostestes[#Data],6)),"-")</f>
        <v>-</v>
      </c>
      <c r="I50" s="35" t="str">
        <f>IFERROR(IF(VLOOKUP($B50,casostestes[#Data],8)=0,"-",VLOOKUP($B50,casostestes[#Data],8)),"-")</f>
        <v>-</v>
      </c>
      <c r="J50" s="35" t="str">
        <f>IFERROR(IF(VLOOKUP($B50,casostestes[#Data],9)=0,"-",VLOOKUP($B50,casostestes[#Data],9)),"-")</f>
        <v>-</v>
      </c>
      <c r="K50" s="36"/>
      <c r="L50" s="45"/>
      <c r="M50" s="37"/>
      <c r="N50" s="38"/>
      <c r="O50" s="38"/>
      <c r="P50" s="39"/>
    </row>
    <row r="51" spans="2:16">
      <c r="B51" s="40" t="str">
        <f>IF(ISERR(casostestes[[#This Row],[ID]]),"-",casostestes[[#This Row],[ID]])</f>
        <v>-</v>
      </c>
      <c r="C51" s="34" t="str">
        <f>IFERROR(IF(VLOOKUP($B51,casostestes[#Data],10)=0,"Não",VLOOKUP($B51,casostestes[#Data],10)), "-")</f>
        <v>-</v>
      </c>
      <c r="D51" s="35" t="str">
        <f>IFERROR(IF(VLOOKUP($B51,casostestes[#Data],2)=0,"-",VLOOKUP($B51,casostestes[#Data],2)), "-")</f>
        <v>-</v>
      </c>
      <c r="E51" s="35" t="str">
        <f>IFERROR(IF(VLOOKUP($B51,casostestes[#Data],3)=0,"-",VLOOKUP($B51,casostestes[#Data],3)), "-")</f>
        <v>-</v>
      </c>
      <c r="F51" s="35" t="str">
        <f>IFERROR(IF(VLOOKUP($B51,casostestes[#Data],4)=0,"-",VLOOKUP($B51,casostestes[#Data],4)),"-")</f>
        <v>-</v>
      </c>
      <c r="G51" s="35" t="str">
        <f>IFERROR(IF(VLOOKUP($B51,casostestes[#Data],5)=0,"-",VLOOKUP($B51,casostestes[#Data],5)),"-")</f>
        <v>-</v>
      </c>
      <c r="H51" s="35" t="str">
        <f>IFERROR(IF(VLOOKUP($B51,casostestes[#Data],6)=0,"-",VLOOKUP($B51,casostestes[#Data],6)),"-")</f>
        <v>-</v>
      </c>
      <c r="I51" s="35" t="str">
        <f>IFERROR(IF(VLOOKUP($B51,casostestes[#Data],8)=0,"-",VLOOKUP($B51,casostestes[#Data],8)),"-")</f>
        <v>-</v>
      </c>
      <c r="J51" s="35" t="str">
        <f>IFERROR(IF(VLOOKUP($B51,casostestes[#Data],9)=0,"-",VLOOKUP($B51,casostestes[#Data],9)),"-")</f>
        <v>-</v>
      </c>
      <c r="K51" s="36"/>
      <c r="L51" s="45"/>
      <c r="M51" s="37"/>
      <c r="N51" s="38"/>
      <c r="O51" s="38"/>
      <c r="P51" s="39"/>
    </row>
    <row r="52" spans="2:16">
      <c r="B52" s="40" t="str">
        <f>IF(ISERR(casostestes[[#This Row],[ID]]),"-",casostestes[[#This Row],[ID]])</f>
        <v>-</v>
      </c>
      <c r="C52" s="34" t="str">
        <f>IFERROR(IF(VLOOKUP($B52,casostestes[#Data],10)=0,"Não",VLOOKUP($B52,casostestes[#Data],10)), "-")</f>
        <v>-</v>
      </c>
      <c r="D52" s="35" t="str">
        <f>IFERROR(IF(VLOOKUP($B52,casostestes[#Data],2)=0,"-",VLOOKUP($B52,casostestes[#Data],2)), "-")</f>
        <v>-</v>
      </c>
      <c r="E52" s="35" t="str">
        <f>IFERROR(IF(VLOOKUP($B52,casostestes[#Data],3)=0,"-",VLOOKUP($B52,casostestes[#Data],3)), "-")</f>
        <v>-</v>
      </c>
      <c r="F52" s="35" t="str">
        <f>IFERROR(IF(VLOOKUP($B52,casostestes[#Data],4)=0,"-",VLOOKUP($B52,casostestes[#Data],4)),"-")</f>
        <v>-</v>
      </c>
      <c r="G52" s="35" t="str">
        <f>IFERROR(IF(VLOOKUP($B52,casostestes[#Data],5)=0,"-",VLOOKUP($B52,casostestes[#Data],5)),"-")</f>
        <v>-</v>
      </c>
      <c r="H52" s="35" t="str">
        <f>IFERROR(IF(VLOOKUP($B52,casostestes[#Data],6)=0,"-",VLOOKUP($B52,casostestes[#Data],6)),"-")</f>
        <v>-</v>
      </c>
      <c r="I52" s="35" t="str">
        <f>IFERROR(IF(VLOOKUP($B52,casostestes[#Data],8)=0,"-",VLOOKUP($B52,casostestes[#Data],8)),"-")</f>
        <v>-</v>
      </c>
      <c r="J52" s="35" t="str">
        <f>IFERROR(IF(VLOOKUP($B52,casostestes[#Data],9)=0,"-",VLOOKUP($B52,casostestes[#Data],9)),"-")</f>
        <v>-</v>
      </c>
      <c r="K52" s="36"/>
      <c r="L52" s="45"/>
      <c r="M52" s="37"/>
      <c r="N52" s="38"/>
      <c r="O52" s="38"/>
      <c r="P52" s="39"/>
    </row>
    <row r="53" spans="2:16">
      <c r="B53" s="40" t="str">
        <f>IF(ISERR(casostestes[[#This Row],[ID]]),"-",casostestes[[#This Row],[ID]])</f>
        <v>-</v>
      </c>
      <c r="C53" s="34" t="str">
        <f>IFERROR(IF(VLOOKUP($B53,casostestes[#Data],10)=0,"Não",VLOOKUP($B53,casostestes[#Data],10)), "-")</f>
        <v>-</v>
      </c>
      <c r="D53" s="35" t="str">
        <f>IFERROR(IF(VLOOKUP($B53,casostestes[#Data],2)=0,"-",VLOOKUP($B53,casostestes[#Data],2)), "-")</f>
        <v>-</v>
      </c>
      <c r="E53" s="35" t="str">
        <f>IFERROR(IF(VLOOKUP($B53,casostestes[#Data],3)=0,"-",VLOOKUP($B53,casostestes[#Data],3)), "-")</f>
        <v>-</v>
      </c>
      <c r="F53" s="35" t="str">
        <f>IFERROR(IF(VLOOKUP($B53,casostestes[#Data],4)=0,"-",VLOOKUP($B53,casostestes[#Data],4)),"-")</f>
        <v>-</v>
      </c>
      <c r="G53" s="35" t="str">
        <f>IFERROR(IF(VLOOKUP($B53,casostestes[#Data],5)=0,"-",VLOOKUP($B53,casostestes[#Data],5)),"-")</f>
        <v>-</v>
      </c>
      <c r="H53" s="35" t="str">
        <f>IFERROR(IF(VLOOKUP($B53,casostestes[#Data],6)=0,"-",VLOOKUP($B53,casostestes[#Data],6)),"-")</f>
        <v>-</v>
      </c>
      <c r="I53" s="35" t="str">
        <f>IFERROR(IF(VLOOKUP($B53,casostestes[#Data],8)=0,"-",VLOOKUP($B53,casostestes[#Data],8)),"-")</f>
        <v>-</v>
      </c>
      <c r="J53" s="35" t="str">
        <f>IFERROR(IF(VLOOKUP($B53,casostestes[#Data],9)=0,"-",VLOOKUP($B53,casostestes[#Data],9)),"-")</f>
        <v>-</v>
      </c>
      <c r="K53" s="36"/>
      <c r="L53" s="45"/>
      <c r="M53" s="37"/>
      <c r="N53" s="38"/>
      <c r="O53" s="38"/>
      <c r="P53" s="39"/>
    </row>
    <row r="54" spans="2:16">
      <c r="B54" s="40" t="str">
        <f>IF(ISERR(casostestes[[#This Row],[ID]]),"-",casostestes[[#This Row],[ID]])</f>
        <v>-</v>
      </c>
      <c r="C54" s="34" t="str">
        <f>IFERROR(IF(VLOOKUP($B54,casostestes[#Data],10)=0,"Não",VLOOKUP($B54,casostestes[#Data],10)), "-")</f>
        <v>-</v>
      </c>
      <c r="D54" s="35" t="str">
        <f>IFERROR(IF(VLOOKUP($B54,casostestes[#Data],2)=0,"-",VLOOKUP($B54,casostestes[#Data],2)), "-")</f>
        <v>-</v>
      </c>
      <c r="E54" s="35" t="str">
        <f>IFERROR(IF(VLOOKUP($B54,casostestes[#Data],3)=0,"-",VLOOKUP($B54,casostestes[#Data],3)), "-")</f>
        <v>-</v>
      </c>
      <c r="F54" s="35" t="str">
        <f>IFERROR(IF(VLOOKUP($B54,casostestes[#Data],4)=0,"-",VLOOKUP($B54,casostestes[#Data],4)),"-")</f>
        <v>-</v>
      </c>
      <c r="G54" s="35" t="str">
        <f>IFERROR(IF(VLOOKUP($B54,casostestes[#Data],5)=0,"-",VLOOKUP($B54,casostestes[#Data],5)),"-")</f>
        <v>-</v>
      </c>
      <c r="H54" s="35" t="str">
        <f>IFERROR(IF(VLOOKUP($B54,casostestes[#Data],6)=0,"-",VLOOKUP($B54,casostestes[#Data],6)),"-")</f>
        <v>-</v>
      </c>
      <c r="I54" s="35" t="str">
        <f>IFERROR(IF(VLOOKUP($B54,casostestes[#Data],8)=0,"-",VLOOKUP($B54,casostestes[#Data],8)),"-")</f>
        <v>-</v>
      </c>
      <c r="J54" s="35" t="str">
        <f>IFERROR(IF(VLOOKUP($B54,casostestes[#Data],9)=0,"-",VLOOKUP($B54,casostestes[#Data],9)),"-")</f>
        <v>-</v>
      </c>
      <c r="K54" s="36"/>
      <c r="L54" s="45"/>
      <c r="M54" s="37"/>
      <c r="N54" s="38"/>
      <c r="O54" s="38"/>
      <c r="P54" s="39"/>
    </row>
    <row r="55" spans="2:16">
      <c r="B55" s="40" t="str">
        <f>IF(ISERR(casostestes[[#This Row],[ID]]),"-",casostestes[[#This Row],[ID]])</f>
        <v>-</v>
      </c>
      <c r="C55" s="34" t="str">
        <f>IFERROR(IF(VLOOKUP($B55,casostestes[#Data],10)=0,"Não",VLOOKUP($B55,casostestes[#Data],10)), "-")</f>
        <v>-</v>
      </c>
      <c r="D55" s="35" t="str">
        <f>IFERROR(IF(VLOOKUP($B55,casostestes[#Data],2)=0,"-",VLOOKUP($B55,casostestes[#Data],2)), "-")</f>
        <v>-</v>
      </c>
      <c r="E55" s="35" t="str">
        <f>IFERROR(IF(VLOOKUP($B55,casostestes[#Data],3)=0,"-",VLOOKUP($B55,casostestes[#Data],3)), "-")</f>
        <v>-</v>
      </c>
      <c r="F55" s="35" t="str">
        <f>IFERROR(IF(VLOOKUP($B55,casostestes[#Data],4)=0,"-",VLOOKUP($B55,casostestes[#Data],4)),"-")</f>
        <v>-</v>
      </c>
      <c r="G55" s="35" t="str">
        <f>IFERROR(IF(VLOOKUP($B55,casostestes[#Data],5)=0,"-",VLOOKUP($B55,casostestes[#Data],5)),"-")</f>
        <v>-</v>
      </c>
      <c r="H55" s="35" t="str">
        <f>IFERROR(IF(VLOOKUP($B55,casostestes[#Data],6)=0,"-",VLOOKUP($B55,casostestes[#Data],6)),"-")</f>
        <v>-</v>
      </c>
      <c r="I55" s="35" t="str">
        <f>IFERROR(IF(VLOOKUP($B55,casostestes[#Data],8)=0,"-",VLOOKUP($B55,casostestes[#Data],8)),"-")</f>
        <v>-</v>
      </c>
      <c r="J55" s="35" t="str">
        <f>IFERROR(IF(VLOOKUP($B55,casostestes[#Data],9)=0,"-",VLOOKUP($B55,casostestes[#Data],9)),"-")</f>
        <v>-</v>
      </c>
      <c r="K55" s="36"/>
      <c r="L55" s="45"/>
      <c r="M55" s="37"/>
      <c r="N55" s="38"/>
      <c r="O55" s="38"/>
      <c r="P55" s="39"/>
    </row>
    <row r="56" spans="2:16">
      <c r="B56" s="40" t="str">
        <f>IF(ISERR(casostestes[[#This Row],[ID]]),"-",casostestes[[#This Row],[ID]])</f>
        <v>-</v>
      </c>
      <c r="C56" s="34" t="str">
        <f>IFERROR(IF(VLOOKUP($B56,casostestes[#Data],10)=0,"Não",VLOOKUP($B56,casostestes[#Data],10)), "-")</f>
        <v>-</v>
      </c>
      <c r="D56" s="35" t="str">
        <f>IFERROR(IF(VLOOKUP($B56,casostestes[#Data],2)=0,"-",VLOOKUP($B56,casostestes[#Data],2)), "-")</f>
        <v>-</v>
      </c>
      <c r="E56" s="35" t="str">
        <f>IFERROR(IF(VLOOKUP($B56,casostestes[#Data],3)=0,"-",VLOOKUP($B56,casostestes[#Data],3)), "-")</f>
        <v>-</v>
      </c>
      <c r="F56" s="35" t="str">
        <f>IFERROR(IF(VLOOKUP($B56,casostestes[#Data],4)=0,"-",VLOOKUP($B56,casostestes[#Data],4)),"-")</f>
        <v>-</v>
      </c>
      <c r="G56" s="35" t="str">
        <f>IFERROR(IF(VLOOKUP($B56,casostestes[#Data],5)=0,"-",VLOOKUP($B56,casostestes[#Data],5)),"-")</f>
        <v>-</v>
      </c>
      <c r="H56" s="35" t="str">
        <f>IFERROR(IF(VLOOKUP($B56,casostestes[#Data],6)=0,"-",VLOOKUP($B56,casostestes[#Data],6)),"-")</f>
        <v>-</v>
      </c>
      <c r="I56" s="35" t="str">
        <f>IFERROR(IF(VLOOKUP($B56,casostestes[#Data],8)=0,"-",VLOOKUP($B56,casostestes[#Data],8)),"-")</f>
        <v>-</v>
      </c>
      <c r="J56" s="35" t="str">
        <f>IFERROR(IF(VLOOKUP($B56,casostestes[#Data],9)=0,"-",VLOOKUP($B56,casostestes[#Data],9)),"-")</f>
        <v>-</v>
      </c>
      <c r="K56" s="36"/>
      <c r="L56" s="45"/>
      <c r="M56" s="37"/>
      <c r="N56" s="38"/>
      <c r="O56" s="38"/>
      <c r="P56" s="39"/>
    </row>
    <row r="57" spans="2:16">
      <c r="B57" s="40" t="str">
        <f>IF(ISERR(casostestes[[#This Row],[ID]]),"-",casostestes[[#This Row],[ID]])</f>
        <v>-</v>
      </c>
      <c r="C57" s="34" t="str">
        <f>IFERROR(IF(VLOOKUP($B57,casostestes[#Data],10)=0,"Não",VLOOKUP($B57,casostestes[#Data],10)), "-")</f>
        <v>-</v>
      </c>
      <c r="D57" s="35" t="str">
        <f>IFERROR(IF(VLOOKUP($B57,casostestes[#Data],2)=0,"-",VLOOKUP($B57,casostestes[#Data],2)), "-")</f>
        <v>-</v>
      </c>
      <c r="E57" s="35" t="str">
        <f>IFERROR(IF(VLOOKUP($B57,casostestes[#Data],3)=0,"-",VLOOKUP($B57,casostestes[#Data],3)), "-")</f>
        <v>-</v>
      </c>
      <c r="F57" s="35" t="str">
        <f>IFERROR(IF(VLOOKUP($B57,casostestes[#Data],4)=0,"-",VLOOKUP($B57,casostestes[#Data],4)),"-")</f>
        <v>-</v>
      </c>
      <c r="G57" s="35" t="str">
        <f>IFERROR(IF(VLOOKUP($B57,casostestes[#Data],5)=0,"-",VLOOKUP($B57,casostestes[#Data],5)),"-")</f>
        <v>-</v>
      </c>
      <c r="H57" s="35" t="str">
        <f>IFERROR(IF(VLOOKUP($B57,casostestes[#Data],6)=0,"-",VLOOKUP($B57,casostestes[#Data],6)),"-")</f>
        <v>-</v>
      </c>
      <c r="I57" s="35" t="str">
        <f>IFERROR(IF(VLOOKUP($B57,casostestes[#Data],8)=0,"-",VLOOKUP($B57,casostestes[#Data],8)),"-")</f>
        <v>-</v>
      </c>
      <c r="J57" s="35" t="str">
        <f>IFERROR(IF(VLOOKUP($B57,casostestes[#Data],9)=0,"-",VLOOKUP($B57,casostestes[#Data],9)),"-")</f>
        <v>-</v>
      </c>
      <c r="K57" s="36"/>
      <c r="L57" s="45"/>
      <c r="M57" s="37"/>
      <c r="N57" s="38"/>
      <c r="O57" s="38"/>
      <c r="P57" s="39"/>
    </row>
    <row r="58" spans="2:16">
      <c r="B58" s="40" t="str">
        <f>IF(ISERR(casostestes[[#This Row],[ID]]),"-",casostestes[[#This Row],[ID]])</f>
        <v>-</v>
      </c>
      <c r="C58" s="34" t="str">
        <f>IFERROR(IF(VLOOKUP($B58,casostestes[#Data],10)=0,"Não",VLOOKUP($B58,casostestes[#Data],10)), "-")</f>
        <v>-</v>
      </c>
      <c r="D58" s="35" t="str">
        <f>IFERROR(IF(VLOOKUP($B58,casostestes[#Data],2)=0,"-",VLOOKUP($B58,casostestes[#Data],2)), "-")</f>
        <v>-</v>
      </c>
      <c r="E58" s="35" t="str">
        <f>IFERROR(IF(VLOOKUP($B58,casostestes[#Data],3)=0,"-",VLOOKUP($B58,casostestes[#Data],3)), "-")</f>
        <v>-</v>
      </c>
      <c r="F58" s="35" t="str">
        <f>IFERROR(IF(VLOOKUP($B58,casostestes[#Data],4)=0,"-",VLOOKUP($B58,casostestes[#Data],4)),"-")</f>
        <v>-</v>
      </c>
      <c r="G58" s="35" t="str">
        <f>IFERROR(IF(VLOOKUP($B58,casostestes[#Data],5)=0,"-",VLOOKUP($B58,casostestes[#Data],5)),"-")</f>
        <v>-</v>
      </c>
      <c r="H58" s="35" t="str">
        <f>IFERROR(IF(VLOOKUP($B58,casostestes[#Data],6)=0,"-",VLOOKUP($B58,casostestes[#Data],6)),"-")</f>
        <v>-</v>
      </c>
      <c r="I58" s="35" t="str">
        <f>IFERROR(IF(VLOOKUP($B58,casostestes[#Data],8)=0,"-",VLOOKUP($B58,casostestes[#Data],8)),"-")</f>
        <v>-</v>
      </c>
      <c r="J58" s="35" t="str">
        <f>IFERROR(IF(VLOOKUP($B58,casostestes[#Data],9)=0,"-",VLOOKUP($B58,casostestes[#Data],9)),"-")</f>
        <v>-</v>
      </c>
      <c r="K58" s="36"/>
      <c r="L58" s="45"/>
      <c r="M58" s="37"/>
      <c r="N58" s="38"/>
      <c r="O58" s="38"/>
      <c r="P58" s="39"/>
    </row>
    <row r="59" spans="2:16">
      <c r="B59" s="40" t="str">
        <f>IF(ISERR(casostestes[[#This Row],[ID]]),"-",casostestes[[#This Row],[ID]])</f>
        <v>-</v>
      </c>
      <c r="C59" s="34" t="str">
        <f>IFERROR(IF(VLOOKUP($B59,casostestes[#Data],10)=0,"Não",VLOOKUP($B59,casostestes[#Data],10)), "-")</f>
        <v>-</v>
      </c>
      <c r="D59" s="35" t="str">
        <f>IFERROR(IF(VLOOKUP($B59,casostestes[#Data],2)=0,"-",VLOOKUP($B59,casostestes[#Data],2)), "-")</f>
        <v>-</v>
      </c>
      <c r="E59" s="35" t="str">
        <f>IFERROR(IF(VLOOKUP($B59,casostestes[#Data],3)=0,"-",VLOOKUP($B59,casostestes[#Data],3)), "-")</f>
        <v>-</v>
      </c>
      <c r="F59" s="35" t="str">
        <f>IFERROR(IF(VLOOKUP($B59,casostestes[#Data],4)=0,"-",VLOOKUP($B59,casostestes[#Data],4)),"-")</f>
        <v>-</v>
      </c>
      <c r="G59" s="35" t="str">
        <f>IFERROR(IF(VLOOKUP($B59,casostestes[#Data],5)=0,"-",VLOOKUP($B59,casostestes[#Data],5)),"-")</f>
        <v>-</v>
      </c>
      <c r="H59" s="35" t="str">
        <f>IFERROR(IF(VLOOKUP($B59,casostestes[#Data],6)=0,"-",VLOOKUP($B59,casostestes[#Data],6)),"-")</f>
        <v>-</v>
      </c>
      <c r="I59" s="35" t="str">
        <f>IFERROR(IF(VLOOKUP($B59,casostestes[#Data],8)=0,"-",VLOOKUP($B59,casostestes[#Data],8)),"-")</f>
        <v>-</v>
      </c>
      <c r="J59" s="35" t="str">
        <f>IFERROR(IF(VLOOKUP($B59,casostestes[#Data],9)=0,"-",VLOOKUP($B59,casostestes[#Data],9)),"-")</f>
        <v>-</v>
      </c>
      <c r="K59" s="36"/>
      <c r="L59" s="45"/>
      <c r="M59" s="37"/>
      <c r="N59" s="38"/>
      <c r="O59" s="38"/>
      <c r="P59" s="39"/>
    </row>
    <row r="60" spans="2:16">
      <c r="B60" s="40" t="str">
        <f>IF(ISERR(casostestes[[#This Row],[ID]]),"-",casostestes[[#This Row],[ID]])</f>
        <v>-</v>
      </c>
      <c r="C60" s="34" t="str">
        <f>IFERROR(IF(VLOOKUP($B60,casostestes[#Data],10)=0,"Não",VLOOKUP($B60,casostestes[#Data],10)), "-")</f>
        <v>-</v>
      </c>
      <c r="D60" s="35" t="str">
        <f>IFERROR(IF(VLOOKUP($B60,casostestes[#Data],2)=0,"-",VLOOKUP($B60,casostestes[#Data],2)), "-")</f>
        <v>-</v>
      </c>
      <c r="E60" s="35" t="str">
        <f>IFERROR(IF(VLOOKUP($B60,casostestes[#Data],3)=0,"-",VLOOKUP($B60,casostestes[#Data],3)), "-")</f>
        <v>-</v>
      </c>
      <c r="F60" s="35" t="str">
        <f>IFERROR(IF(VLOOKUP($B60,casostestes[#Data],4)=0,"-",VLOOKUP($B60,casostestes[#Data],4)),"-")</f>
        <v>-</v>
      </c>
      <c r="G60" s="35" t="str">
        <f>IFERROR(IF(VLOOKUP($B60,casostestes[#Data],5)=0,"-",VLOOKUP($B60,casostestes[#Data],5)),"-")</f>
        <v>-</v>
      </c>
      <c r="H60" s="35" t="str">
        <f>IFERROR(IF(VLOOKUP($B60,casostestes[#Data],6)=0,"-",VLOOKUP($B60,casostestes[#Data],6)),"-")</f>
        <v>-</v>
      </c>
      <c r="I60" s="35" t="str">
        <f>IFERROR(IF(VLOOKUP($B60,casostestes[#Data],8)=0,"-",VLOOKUP($B60,casostestes[#Data],8)),"-")</f>
        <v>-</v>
      </c>
      <c r="J60" s="35" t="str">
        <f>IFERROR(IF(VLOOKUP($B60,casostestes[#Data],9)=0,"-",VLOOKUP($B60,casostestes[#Data],9)),"-")</f>
        <v>-</v>
      </c>
      <c r="K60" s="36"/>
      <c r="L60" s="45"/>
      <c r="M60" s="37"/>
      <c r="N60" s="38"/>
      <c r="O60" s="38"/>
      <c r="P60" s="39"/>
    </row>
    <row r="61" spans="2:16">
      <c r="B61" s="40" t="str">
        <f>IF(ISERR(casostestes[[#This Row],[ID]]),"-",casostestes[[#This Row],[ID]])</f>
        <v>-</v>
      </c>
      <c r="C61" s="34" t="str">
        <f>IFERROR(IF(VLOOKUP($B61,casostestes[#Data],10)=0,"Não",VLOOKUP($B61,casostestes[#Data],10)), "-")</f>
        <v>-</v>
      </c>
      <c r="D61" s="35" t="str">
        <f>IFERROR(IF(VLOOKUP($B61,casostestes[#Data],2)=0,"-",VLOOKUP($B61,casostestes[#Data],2)), "-")</f>
        <v>-</v>
      </c>
      <c r="E61" s="35" t="str">
        <f>IFERROR(IF(VLOOKUP($B61,casostestes[#Data],3)=0,"-",VLOOKUP($B61,casostestes[#Data],3)), "-")</f>
        <v>-</v>
      </c>
      <c r="F61" s="35" t="str">
        <f>IFERROR(IF(VLOOKUP($B61,casostestes[#Data],4)=0,"-",VLOOKUP($B61,casostestes[#Data],4)),"-")</f>
        <v>-</v>
      </c>
      <c r="G61" s="35" t="str">
        <f>IFERROR(IF(VLOOKUP($B61,casostestes[#Data],5)=0,"-",VLOOKUP($B61,casostestes[#Data],5)),"-")</f>
        <v>-</v>
      </c>
      <c r="H61" s="35" t="str">
        <f>IFERROR(IF(VLOOKUP($B61,casostestes[#Data],6)=0,"-",VLOOKUP($B61,casostestes[#Data],6)),"-")</f>
        <v>-</v>
      </c>
      <c r="I61" s="35" t="str">
        <f>IFERROR(IF(VLOOKUP($B61,casostestes[#Data],8)=0,"-",VLOOKUP($B61,casostestes[#Data],8)),"-")</f>
        <v>-</v>
      </c>
      <c r="J61" s="35" t="str">
        <f>IFERROR(IF(VLOOKUP($B61,casostestes[#Data],9)=0,"-",VLOOKUP($B61,casostestes[#Data],9)),"-")</f>
        <v>-</v>
      </c>
      <c r="K61" s="36"/>
      <c r="L61" s="45"/>
      <c r="M61" s="37"/>
      <c r="N61" s="38"/>
      <c r="O61" s="38"/>
      <c r="P61" s="39"/>
    </row>
    <row r="62" spans="2:16">
      <c r="B62" s="40" t="str">
        <f>IF(ISERR(casostestes[[#This Row],[ID]]),"-",casostestes[[#This Row],[ID]])</f>
        <v>-</v>
      </c>
      <c r="C62" s="34" t="str">
        <f>IFERROR(IF(VLOOKUP($B62,casostestes[#Data],10)=0,"Não",VLOOKUP($B62,casostestes[#Data],10)), "-")</f>
        <v>-</v>
      </c>
      <c r="D62" s="35" t="str">
        <f>IFERROR(IF(VLOOKUP($B62,casostestes[#Data],2)=0,"-",VLOOKUP($B62,casostestes[#Data],2)), "-")</f>
        <v>-</v>
      </c>
      <c r="E62" s="35" t="str">
        <f>IFERROR(IF(VLOOKUP($B62,casostestes[#Data],3)=0,"-",VLOOKUP($B62,casostestes[#Data],3)), "-")</f>
        <v>-</v>
      </c>
      <c r="F62" s="35" t="str">
        <f>IFERROR(IF(VLOOKUP($B62,casostestes[#Data],4)=0,"-",VLOOKUP($B62,casostestes[#Data],4)),"-")</f>
        <v>-</v>
      </c>
      <c r="G62" s="35" t="str">
        <f>IFERROR(IF(VLOOKUP($B62,casostestes[#Data],5)=0,"-",VLOOKUP($B62,casostestes[#Data],5)),"-")</f>
        <v>-</v>
      </c>
      <c r="H62" s="35" t="str">
        <f>IFERROR(IF(VLOOKUP($B62,casostestes[#Data],6)=0,"-",VLOOKUP($B62,casostestes[#Data],6)),"-")</f>
        <v>-</v>
      </c>
      <c r="I62" s="35" t="str">
        <f>IFERROR(IF(VLOOKUP($B62,casostestes[#Data],8)=0,"-",VLOOKUP($B62,casostestes[#Data],8)),"-")</f>
        <v>-</v>
      </c>
      <c r="J62" s="35" t="str">
        <f>IFERROR(IF(VLOOKUP($B62,casostestes[#Data],9)=0,"-",VLOOKUP($B62,casostestes[#Data],9)),"-")</f>
        <v>-</v>
      </c>
      <c r="K62" s="36"/>
      <c r="L62" s="45"/>
      <c r="M62" s="37"/>
      <c r="N62" s="38"/>
      <c r="O62" s="38"/>
      <c r="P62" s="39"/>
    </row>
    <row r="63" spans="2:16">
      <c r="B63" s="40" t="str">
        <f>IF(ISERR(casostestes[[#This Row],[ID]]),"-",casostestes[[#This Row],[ID]])</f>
        <v>-</v>
      </c>
      <c r="C63" s="34" t="str">
        <f>IFERROR(IF(VLOOKUP($B63,casostestes[#Data],10)=0,"Não",VLOOKUP($B63,casostestes[#Data],10)), "-")</f>
        <v>-</v>
      </c>
      <c r="D63" s="35" t="str">
        <f>IFERROR(IF(VLOOKUP($B63,casostestes[#Data],2)=0,"-",VLOOKUP($B63,casostestes[#Data],2)), "-")</f>
        <v>-</v>
      </c>
      <c r="E63" s="35" t="str">
        <f>IFERROR(IF(VLOOKUP($B63,casostestes[#Data],3)=0,"-",VLOOKUP($B63,casostestes[#Data],3)), "-")</f>
        <v>-</v>
      </c>
      <c r="F63" s="35" t="str">
        <f>IFERROR(IF(VLOOKUP($B63,casostestes[#Data],4)=0,"-",VLOOKUP($B63,casostestes[#Data],4)),"-")</f>
        <v>-</v>
      </c>
      <c r="G63" s="35" t="str">
        <f>IFERROR(IF(VLOOKUP($B63,casostestes[#Data],5)=0,"-",VLOOKUP($B63,casostestes[#Data],5)),"-")</f>
        <v>-</v>
      </c>
      <c r="H63" s="35" t="str">
        <f>IFERROR(IF(VLOOKUP($B63,casostestes[#Data],6)=0,"-",VLOOKUP($B63,casostestes[#Data],6)),"-")</f>
        <v>-</v>
      </c>
      <c r="I63" s="35" t="str">
        <f>IFERROR(IF(VLOOKUP($B63,casostestes[#Data],8)=0,"-",VLOOKUP($B63,casostestes[#Data],8)),"-")</f>
        <v>-</v>
      </c>
      <c r="J63" s="35" t="str">
        <f>IFERROR(IF(VLOOKUP($B63,casostestes[#Data],9)=0,"-",VLOOKUP($B63,casostestes[#Data],9)),"-")</f>
        <v>-</v>
      </c>
      <c r="K63" s="36"/>
      <c r="L63" s="45"/>
      <c r="M63" s="37"/>
      <c r="N63" s="38"/>
      <c r="O63" s="38"/>
      <c r="P63" s="39"/>
    </row>
    <row r="64" spans="2:16">
      <c r="B64" s="40" t="str">
        <f>IF(ISERR(casostestes[[#This Row],[ID]]),"-",casostestes[[#This Row],[ID]])</f>
        <v>-</v>
      </c>
      <c r="C64" s="34" t="str">
        <f>IFERROR(IF(VLOOKUP($B64,casostestes[#Data],10)=0,"Não",VLOOKUP($B64,casostestes[#Data],10)), "-")</f>
        <v>-</v>
      </c>
      <c r="D64" s="35" t="str">
        <f>IFERROR(IF(VLOOKUP($B64,casostestes[#Data],2)=0,"-",VLOOKUP($B64,casostestes[#Data],2)), "-")</f>
        <v>-</v>
      </c>
      <c r="E64" s="35" t="str">
        <f>IFERROR(IF(VLOOKUP($B64,casostestes[#Data],3)=0,"-",VLOOKUP($B64,casostestes[#Data],3)), "-")</f>
        <v>-</v>
      </c>
      <c r="F64" s="35" t="str">
        <f>IFERROR(IF(VLOOKUP($B64,casostestes[#Data],4)=0,"-",VLOOKUP($B64,casostestes[#Data],4)),"-")</f>
        <v>-</v>
      </c>
      <c r="G64" s="35" t="str">
        <f>IFERROR(IF(VLOOKUP($B64,casostestes[#Data],5)=0,"-",VLOOKUP($B64,casostestes[#Data],5)),"-")</f>
        <v>-</v>
      </c>
      <c r="H64" s="35" t="str">
        <f>IFERROR(IF(VLOOKUP($B64,casostestes[#Data],6)=0,"-",VLOOKUP($B64,casostestes[#Data],6)),"-")</f>
        <v>-</v>
      </c>
      <c r="I64" s="35" t="str">
        <f>IFERROR(IF(VLOOKUP($B64,casostestes[#Data],8)=0,"-",VLOOKUP($B64,casostestes[#Data],8)),"-")</f>
        <v>-</v>
      </c>
      <c r="J64" s="35" t="str">
        <f>IFERROR(IF(VLOOKUP($B64,casostestes[#Data],9)=0,"-",VLOOKUP($B64,casostestes[#Data],9)),"-")</f>
        <v>-</v>
      </c>
      <c r="K64" s="36"/>
      <c r="L64" s="45"/>
      <c r="M64" s="37"/>
      <c r="N64" s="38"/>
      <c r="O64" s="38"/>
      <c r="P64" s="39"/>
    </row>
    <row r="65" spans="2:16">
      <c r="B65" s="40" t="str">
        <f>IF(ISERR(casostestes[[#This Row],[ID]]),"-",casostestes[[#This Row],[ID]])</f>
        <v>-</v>
      </c>
      <c r="C65" s="34" t="str">
        <f>IFERROR(IF(VLOOKUP($B65,casostestes[#Data],10)=0,"Não",VLOOKUP($B65,casostestes[#Data],10)), "-")</f>
        <v>-</v>
      </c>
      <c r="D65" s="35" t="str">
        <f>IFERROR(IF(VLOOKUP($B65,casostestes[#Data],2)=0,"-",VLOOKUP($B65,casostestes[#Data],2)), "-")</f>
        <v>-</v>
      </c>
      <c r="E65" s="35" t="str">
        <f>IFERROR(IF(VLOOKUP($B65,casostestes[#Data],3)=0,"-",VLOOKUP($B65,casostestes[#Data],3)), "-")</f>
        <v>-</v>
      </c>
      <c r="F65" s="35" t="str">
        <f>IFERROR(IF(VLOOKUP($B65,casostestes[#Data],4)=0,"-",VLOOKUP($B65,casostestes[#Data],4)),"-")</f>
        <v>-</v>
      </c>
      <c r="G65" s="35" t="str">
        <f>IFERROR(IF(VLOOKUP($B65,casostestes[#Data],5)=0,"-",VLOOKUP($B65,casostestes[#Data],5)),"-")</f>
        <v>-</v>
      </c>
      <c r="H65" s="35" t="str">
        <f>IFERROR(IF(VLOOKUP($B65,casostestes[#Data],6)=0,"-",VLOOKUP($B65,casostestes[#Data],6)),"-")</f>
        <v>-</v>
      </c>
      <c r="I65" s="35" t="str">
        <f>IFERROR(IF(VLOOKUP($B65,casostestes[#Data],8)=0,"-",VLOOKUP($B65,casostestes[#Data],8)),"-")</f>
        <v>-</v>
      </c>
      <c r="J65" s="35" t="str">
        <f>IFERROR(IF(VLOOKUP($B65,casostestes[#Data],9)=0,"-",VLOOKUP($B65,casostestes[#Data],9)),"-")</f>
        <v>-</v>
      </c>
      <c r="K65" s="36"/>
      <c r="L65" s="45"/>
      <c r="M65" s="37"/>
      <c r="N65" s="38"/>
      <c r="O65" s="38"/>
      <c r="P65" s="39"/>
    </row>
    <row r="66" spans="2:16">
      <c r="B66" s="40" t="str">
        <f>IF(ISERR(casostestes[[#This Row],[ID]]),"-",casostestes[[#This Row],[ID]])</f>
        <v>-</v>
      </c>
      <c r="C66" s="34" t="str">
        <f>IFERROR(IF(VLOOKUP($B66,casostestes[#Data],10)=0,"Não",VLOOKUP($B66,casostestes[#Data],10)), "-")</f>
        <v>-</v>
      </c>
      <c r="D66" s="35" t="str">
        <f>IFERROR(IF(VLOOKUP($B66,casostestes[#Data],2)=0,"-",VLOOKUP($B66,casostestes[#Data],2)), "-")</f>
        <v>-</v>
      </c>
      <c r="E66" s="35" t="str">
        <f>IFERROR(IF(VLOOKUP($B66,casostestes[#Data],3)=0,"-",VLOOKUP($B66,casostestes[#Data],3)), "-")</f>
        <v>-</v>
      </c>
      <c r="F66" s="35" t="str">
        <f>IFERROR(IF(VLOOKUP($B66,casostestes[#Data],4)=0,"-",VLOOKUP($B66,casostestes[#Data],4)),"-")</f>
        <v>-</v>
      </c>
      <c r="G66" s="35" t="str">
        <f>IFERROR(IF(VLOOKUP($B66,casostestes[#Data],5)=0,"-",VLOOKUP($B66,casostestes[#Data],5)),"-")</f>
        <v>-</v>
      </c>
      <c r="H66" s="35" t="str">
        <f>IFERROR(IF(VLOOKUP($B66,casostestes[#Data],6)=0,"-",VLOOKUP($B66,casostestes[#Data],6)),"-")</f>
        <v>-</v>
      </c>
      <c r="I66" s="35" t="str">
        <f>IFERROR(IF(VLOOKUP($B66,casostestes[#Data],8)=0,"-",VLOOKUP($B66,casostestes[#Data],8)),"-")</f>
        <v>-</v>
      </c>
      <c r="J66" s="35" t="str">
        <f>IFERROR(IF(VLOOKUP($B66,casostestes[#Data],9)=0,"-",VLOOKUP($B66,casostestes[#Data],9)),"-")</f>
        <v>-</v>
      </c>
      <c r="K66" s="36"/>
      <c r="L66" s="45"/>
      <c r="M66" s="37"/>
      <c r="N66" s="38"/>
      <c r="O66" s="38"/>
      <c r="P66" s="39"/>
    </row>
    <row r="67" spans="2:16">
      <c r="B67" s="40" t="str">
        <f>IF(ISERR(casostestes[[#This Row],[ID]]),"-",casostestes[[#This Row],[ID]])</f>
        <v>-</v>
      </c>
      <c r="C67" s="34" t="str">
        <f>IFERROR(IF(VLOOKUP($B67,casostestes[#Data],10)=0,"Não",VLOOKUP($B67,casostestes[#Data],10)), "-")</f>
        <v>-</v>
      </c>
      <c r="D67" s="35" t="str">
        <f>IFERROR(IF(VLOOKUP($B67,casostestes[#Data],2)=0,"-",VLOOKUP($B67,casostestes[#Data],2)), "-")</f>
        <v>-</v>
      </c>
      <c r="E67" s="35" t="str">
        <f>IFERROR(IF(VLOOKUP($B67,casostestes[#Data],3)=0,"-",VLOOKUP($B67,casostestes[#Data],3)), "-")</f>
        <v>-</v>
      </c>
      <c r="F67" s="35" t="str">
        <f>IFERROR(IF(VLOOKUP($B67,casostestes[#Data],4)=0,"-",VLOOKUP($B67,casostestes[#Data],4)),"-")</f>
        <v>-</v>
      </c>
      <c r="G67" s="35" t="str">
        <f>IFERROR(IF(VLOOKUP($B67,casostestes[#Data],5)=0,"-",VLOOKUP($B67,casostestes[#Data],5)),"-")</f>
        <v>-</v>
      </c>
      <c r="H67" s="35" t="str">
        <f>IFERROR(IF(VLOOKUP($B67,casostestes[#Data],6)=0,"-",VLOOKUP($B67,casostestes[#Data],6)),"-")</f>
        <v>-</v>
      </c>
      <c r="I67" s="35" t="str">
        <f>IFERROR(IF(VLOOKUP($B67,casostestes[#Data],8)=0,"-",VLOOKUP($B67,casostestes[#Data],8)),"-")</f>
        <v>-</v>
      </c>
      <c r="J67" s="35" t="str">
        <f>IFERROR(IF(VLOOKUP($B67,casostestes[#Data],9)=0,"-",VLOOKUP($B67,casostestes[#Data],9)),"-")</f>
        <v>-</v>
      </c>
      <c r="K67" s="36"/>
      <c r="L67" s="45"/>
      <c r="M67" s="37"/>
      <c r="N67" s="38"/>
      <c r="O67" s="38"/>
      <c r="P67" s="39"/>
    </row>
    <row r="68" spans="2:16">
      <c r="B68" s="40" t="str">
        <f>IF(ISERR(casostestes[[#This Row],[ID]]),"-",casostestes[[#This Row],[ID]])</f>
        <v>-</v>
      </c>
      <c r="C68" s="34" t="str">
        <f>IFERROR(IF(VLOOKUP($B68,casostestes[#Data],10)=0,"Não",VLOOKUP($B68,casostestes[#Data],10)), "-")</f>
        <v>-</v>
      </c>
      <c r="D68" s="35" t="str">
        <f>IFERROR(IF(VLOOKUP($B68,casostestes[#Data],2)=0,"-",VLOOKUP($B68,casostestes[#Data],2)), "-")</f>
        <v>-</v>
      </c>
      <c r="E68" s="35" t="str">
        <f>IFERROR(IF(VLOOKUP($B68,casostestes[#Data],3)=0,"-",VLOOKUP($B68,casostestes[#Data],3)), "-")</f>
        <v>-</v>
      </c>
      <c r="F68" s="35" t="str">
        <f>IFERROR(IF(VLOOKUP($B68,casostestes[#Data],4)=0,"-",VLOOKUP($B68,casostestes[#Data],4)),"-")</f>
        <v>-</v>
      </c>
      <c r="G68" s="35" t="str">
        <f>IFERROR(IF(VLOOKUP($B68,casostestes[#Data],5)=0,"-",VLOOKUP($B68,casostestes[#Data],5)),"-")</f>
        <v>-</v>
      </c>
      <c r="H68" s="35" t="str">
        <f>IFERROR(IF(VLOOKUP($B68,casostestes[#Data],6)=0,"-",VLOOKUP($B68,casostestes[#Data],6)),"-")</f>
        <v>-</v>
      </c>
      <c r="I68" s="35" t="str">
        <f>IFERROR(IF(VLOOKUP($B68,casostestes[#Data],8)=0,"-",VLOOKUP($B68,casostestes[#Data],8)),"-")</f>
        <v>-</v>
      </c>
      <c r="J68" s="35" t="str">
        <f>IFERROR(IF(VLOOKUP($B68,casostestes[#Data],9)=0,"-",VLOOKUP($B68,casostestes[#Data],9)),"-")</f>
        <v>-</v>
      </c>
      <c r="K68" s="36"/>
      <c r="L68" s="45"/>
      <c r="M68" s="37"/>
      <c r="N68" s="38"/>
      <c r="O68" s="38"/>
      <c r="P68" s="39"/>
    </row>
    <row r="69" spans="2:16">
      <c r="B69" s="40" t="str">
        <f>IF(ISERR(casostestes[[#This Row],[ID]]),"-",casostestes[[#This Row],[ID]])</f>
        <v>-</v>
      </c>
      <c r="C69" s="34" t="str">
        <f>IFERROR(IF(VLOOKUP($B69,casostestes[#Data],10)=0,"Não",VLOOKUP($B69,casostestes[#Data],10)), "-")</f>
        <v>-</v>
      </c>
      <c r="D69" s="35" t="str">
        <f>IFERROR(IF(VLOOKUP($B69,casostestes[#Data],2)=0,"-",VLOOKUP($B69,casostestes[#Data],2)), "-")</f>
        <v>-</v>
      </c>
      <c r="E69" s="35" t="str">
        <f>IFERROR(IF(VLOOKUP($B69,casostestes[#Data],3)=0,"-",VLOOKUP($B69,casostestes[#Data],3)), "-")</f>
        <v>-</v>
      </c>
      <c r="F69" s="35" t="str">
        <f>IFERROR(IF(VLOOKUP($B69,casostestes[#Data],4)=0,"-",VLOOKUP($B69,casostestes[#Data],4)),"-")</f>
        <v>-</v>
      </c>
      <c r="G69" s="35" t="str">
        <f>IFERROR(IF(VLOOKUP($B69,casostestes[#Data],5)=0,"-",VLOOKUP($B69,casostestes[#Data],5)),"-")</f>
        <v>-</v>
      </c>
      <c r="H69" s="35" t="str">
        <f>IFERROR(IF(VLOOKUP($B69,casostestes[#Data],6)=0,"-",VLOOKUP($B69,casostestes[#Data],6)),"-")</f>
        <v>-</v>
      </c>
      <c r="I69" s="35" t="str">
        <f>IFERROR(IF(VLOOKUP($B69,casostestes[#Data],8)=0,"-",VLOOKUP($B69,casostestes[#Data],8)),"-")</f>
        <v>-</v>
      </c>
      <c r="J69" s="35" t="str">
        <f>IFERROR(IF(VLOOKUP($B69,casostestes[#Data],9)=0,"-",VLOOKUP($B69,casostestes[#Data],9)),"-")</f>
        <v>-</v>
      </c>
      <c r="K69" s="36"/>
      <c r="L69" s="45"/>
      <c r="M69" s="37"/>
      <c r="N69" s="38"/>
      <c r="O69" s="38"/>
      <c r="P69" s="39"/>
    </row>
    <row r="70" spans="2:16">
      <c r="B70" s="40" t="str">
        <f>IF(ISERR(casostestes[[#This Row],[ID]]),"-",casostestes[[#This Row],[ID]])</f>
        <v>-</v>
      </c>
      <c r="C70" s="34" t="str">
        <f>IFERROR(IF(VLOOKUP($B70,casostestes[#Data],10)=0,"Não",VLOOKUP($B70,casostestes[#Data],10)), "-")</f>
        <v>-</v>
      </c>
      <c r="D70" s="35" t="str">
        <f>IFERROR(IF(VLOOKUP($B70,casostestes[#Data],2)=0,"-",VLOOKUP($B70,casostestes[#Data],2)), "-")</f>
        <v>-</v>
      </c>
      <c r="E70" s="35" t="str">
        <f>IFERROR(IF(VLOOKUP($B70,casostestes[#Data],3)=0,"-",VLOOKUP($B70,casostestes[#Data],3)), "-")</f>
        <v>-</v>
      </c>
      <c r="F70" s="35" t="str">
        <f>IFERROR(IF(VLOOKUP($B70,casostestes[#Data],4)=0,"-",VLOOKUP($B70,casostestes[#Data],4)),"-")</f>
        <v>-</v>
      </c>
      <c r="G70" s="35" t="str">
        <f>IFERROR(IF(VLOOKUP($B70,casostestes[#Data],5)=0,"-",VLOOKUP($B70,casostestes[#Data],5)),"-")</f>
        <v>-</v>
      </c>
      <c r="H70" s="35" t="str">
        <f>IFERROR(IF(VLOOKUP($B70,casostestes[#Data],6)=0,"-",VLOOKUP($B70,casostestes[#Data],6)),"-")</f>
        <v>-</v>
      </c>
      <c r="I70" s="35" t="str">
        <f>IFERROR(IF(VLOOKUP($B70,casostestes[#Data],8)=0,"-",VLOOKUP($B70,casostestes[#Data],8)),"-")</f>
        <v>-</v>
      </c>
      <c r="J70" s="35" t="str">
        <f>IFERROR(IF(VLOOKUP($B70,casostestes[#Data],9)=0,"-",VLOOKUP($B70,casostestes[#Data],9)),"-")</f>
        <v>-</v>
      </c>
      <c r="K70" s="36"/>
      <c r="L70" s="45"/>
      <c r="M70" s="37"/>
      <c r="N70" s="38"/>
      <c r="O70" s="38"/>
      <c r="P70" s="39"/>
    </row>
    <row r="71" spans="2:16">
      <c r="B71" s="40" t="str">
        <f>IF(ISERR(casostestes[[#This Row],[ID]]),"-",casostestes[[#This Row],[ID]])</f>
        <v>-</v>
      </c>
      <c r="C71" s="34" t="str">
        <f>IFERROR(IF(VLOOKUP($B71,casostestes[#Data],10)=0,"Não",VLOOKUP($B71,casostestes[#Data],10)), "-")</f>
        <v>-</v>
      </c>
      <c r="D71" s="35" t="str">
        <f>IFERROR(IF(VLOOKUP($B71,casostestes[#Data],2)=0,"-",VLOOKUP($B71,casostestes[#Data],2)), "-")</f>
        <v>-</v>
      </c>
      <c r="E71" s="35" t="str">
        <f>IFERROR(IF(VLOOKUP($B71,casostestes[#Data],3)=0,"-",VLOOKUP($B71,casostestes[#Data],3)), "-")</f>
        <v>-</v>
      </c>
      <c r="F71" s="35" t="str">
        <f>IFERROR(IF(VLOOKUP($B71,casostestes[#Data],4)=0,"-",VLOOKUP($B71,casostestes[#Data],4)),"-")</f>
        <v>-</v>
      </c>
      <c r="G71" s="35" t="str">
        <f>IFERROR(IF(VLOOKUP($B71,casostestes[#Data],5)=0,"-",VLOOKUP($B71,casostestes[#Data],5)),"-")</f>
        <v>-</v>
      </c>
      <c r="H71" s="35" t="str">
        <f>IFERROR(IF(VLOOKUP($B71,casostestes[#Data],6)=0,"-",VLOOKUP($B71,casostestes[#Data],6)),"-")</f>
        <v>-</v>
      </c>
      <c r="I71" s="35" t="str">
        <f>IFERROR(IF(VLOOKUP($B71,casostestes[#Data],8)=0,"-",VLOOKUP($B71,casostestes[#Data],8)),"-")</f>
        <v>-</v>
      </c>
      <c r="J71" s="35" t="str">
        <f>IFERROR(IF(VLOOKUP($B71,casostestes[#Data],9)=0,"-",VLOOKUP($B71,casostestes[#Data],9)),"-")</f>
        <v>-</v>
      </c>
      <c r="K71" s="36"/>
      <c r="L71" s="45"/>
      <c r="M71" s="37"/>
      <c r="N71" s="38"/>
      <c r="O71" s="38"/>
      <c r="P71" s="39"/>
    </row>
    <row r="72" spans="2:16">
      <c r="B72" s="40" t="str">
        <f>IF(ISERR(casostestes[[#This Row],[ID]]),"-",casostestes[[#This Row],[ID]])</f>
        <v>-</v>
      </c>
      <c r="C72" s="34" t="str">
        <f>IFERROR(IF(VLOOKUP($B72,casostestes[#Data],10)=0,"Não",VLOOKUP($B72,casostestes[#Data],10)), "-")</f>
        <v>-</v>
      </c>
      <c r="D72" s="35" t="str">
        <f>IFERROR(IF(VLOOKUP($B72,casostestes[#Data],2)=0,"-",VLOOKUP($B72,casostestes[#Data],2)), "-")</f>
        <v>-</v>
      </c>
      <c r="E72" s="35" t="str">
        <f>IFERROR(IF(VLOOKUP($B72,casostestes[#Data],3)=0,"-",VLOOKUP($B72,casostestes[#Data],3)), "-")</f>
        <v>-</v>
      </c>
      <c r="F72" s="35" t="str">
        <f>IFERROR(IF(VLOOKUP($B72,casostestes[#Data],4)=0,"-",VLOOKUP($B72,casostestes[#Data],4)),"-")</f>
        <v>-</v>
      </c>
      <c r="G72" s="35" t="str">
        <f>IFERROR(IF(VLOOKUP($B72,casostestes[#Data],5)=0,"-",VLOOKUP($B72,casostestes[#Data],5)),"-")</f>
        <v>-</v>
      </c>
      <c r="H72" s="35" t="str">
        <f>IFERROR(IF(VLOOKUP($B72,casostestes[#Data],6)=0,"-",VLOOKUP($B72,casostestes[#Data],6)),"-")</f>
        <v>-</v>
      </c>
      <c r="I72" s="35" t="str">
        <f>IFERROR(IF(VLOOKUP($B72,casostestes[#Data],8)=0,"-",VLOOKUP($B72,casostestes[#Data],8)),"-")</f>
        <v>-</v>
      </c>
      <c r="J72" s="35" t="str">
        <f>IFERROR(IF(VLOOKUP($B72,casostestes[#Data],9)=0,"-",VLOOKUP($B72,casostestes[#Data],9)),"-")</f>
        <v>-</v>
      </c>
      <c r="K72" s="36"/>
      <c r="L72" s="45"/>
      <c r="M72" s="37"/>
      <c r="N72" s="38"/>
      <c r="O72" s="38"/>
      <c r="P72" s="39"/>
    </row>
    <row r="73" spans="2:16">
      <c r="B73" s="40" t="str">
        <f>IF(ISERR(casostestes[[#This Row],[ID]]),"-",casostestes[[#This Row],[ID]])</f>
        <v>-</v>
      </c>
      <c r="C73" s="34" t="str">
        <f>IFERROR(IF(VLOOKUP($B73,casostestes[#Data],10)=0,"Não",VLOOKUP($B73,casostestes[#Data],10)), "-")</f>
        <v>-</v>
      </c>
      <c r="D73" s="35" t="str">
        <f>IFERROR(IF(VLOOKUP($B73,casostestes[#Data],2)=0,"-",VLOOKUP($B73,casostestes[#Data],2)), "-")</f>
        <v>-</v>
      </c>
      <c r="E73" s="35" t="str">
        <f>IFERROR(IF(VLOOKUP($B73,casostestes[#Data],3)=0,"-",VLOOKUP($B73,casostestes[#Data],3)), "-")</f>
        <v>-</v>
      </c>
      <c r="F73" s="35" t="str">
        <f>IFERROR(IF(VLOOKUP($B73,casostestes[#Data],4)=0,"-",VLOOKUP($B73,casostestes[#Data],4)),"-")</f>
        <v>-</v>
      </c>
      <c r="G73" s="35" t="str">
        <f>IFERROR(IF(VLOOKUP($B73,casostestes[#Data],5)=0,"-",VLOOKUP($B73,casostestes[#Data],5)),"-")</f>
        <v>-</v>
      </c>
      <c r="H73" s="35" t="str">
        <f>IFERROR(IF(VLOOKUP($B73,casostestes[#Data],6)=0,"-",VLOOKUP($B73,casostestes[#Data],6)),"-")</f>
        <v>-</v>
      </c>
      <c r="I73" s="35" t="str">
        <f>IFERROR(IF(VLOOKUP($B73,casostestes[#Data],8)=0,"-",VLOOKUP($B73,casostestes[#Data],8)),"-")</f>
        <v>-</v>
      </c>
      <c r="J73" s="35" t="str">
        <f>IFERROR(IF(VLOOKUP($B73,casostestes[#Data],9)=0,"-",VLOOKUP($B73,casostestes[#Data],9)),"-")</f>
        <v>-</v>
      </c>
      <c r="K73" s="36"/>
      <c r="L73" s="45"/>
      <c r="M73" s="37"/>
      <c r="N73" s="38"/>
      <c r="O73" s="38"/>
      <c r="P73" s="39"/>
    </row>
    <row r="74" spans="2:16">
      <c r="B74" s="40" t="str">
        <f>IF(ISERR(casostestes[[#This Row],[ID]]),"-",casostestes[[#This Row],[ID]])</f>
        <v>-</v>
      </c>
      <c r="C74" s="34" t="str">
        <f>IFERROR(IF(VLOOKUP($B74,casostestes[#Data],10)=0,"Não",VLOOKUP($B74,casostestes[#Data],10)), "-")</f>
        <v>-</v>
      </c>
      <c r="D74" s="35" t="str">
        <f>IFERROR(IF(VLOOKUP($B74,casostestes[#Data],2)=0,"-",VLOOKUP($B74,casostestes[#Data],2)), "-")</f>
        <v>-</v>
      </c>
      <c r="E74" s="35" t="str">
        <f>IFERROR(IF(VLOOKUP($B74,casostestes[#Data],3)=0,"-",VLOOKUP($B74,casostestes[#Data],3)), "-")</f>
        <v>-</v>
      </c>
      <c r="F74" s="35" t="str">
        <f>IFERROR(IF(VLOOKUP($B74,casostestes[#Data],4)=0,"-",VLOOKUP($B74,casostestes[#Data],4)),"-")</f>
        <v>-</v>
      </c>
      <c r="G74" s="35" t="str">
        <f>IFERROR(IF(VLOOKUP($B74,casostestes[#Data],5)=0,"-",VLOOKUP($B74,casostestes[#Data],5)),"-")</f>
        <v>-</v>
      </c>
      <c r="H74" s="35" t="str">
        <f>IFERROR(IF(VLOOKUP($B74,casostestes[#Data],6)=0,"-",VLOOKUP($B74,casostestes[#Data],6)),"-")</f>
        <v>-</v>
      </c>
      <c r="I74" s="35" t="str">
        <f>IFERROR(IF(VLOOKUP($B74,casostestes[#Data],8)=0,"-",VLOOKUP($B74,casostestes[#Data],8)),"-")</f>
        <v>-</v>
      </c>
      <c r="J74" s="35" t="str">
        <f>IFERROR(IF(VLOOKUP($B74,casostestes[#Data],9)=0,"-",VLOOKUP($B74,casostestes[#Data],9)),"-")</f>
        <v>-</v>
      </c>
      <c r="K74" s="36"/>
      <c r="L74" s="45"/>
      <c r="M74" s="37"/>
      <c r="N74" s="38"/>
      <c r="O74" s="38"/>
      <c r="P74" s="39"/>
    </row>
    <row r="75" spans="2:16">
      <c r="B75" s="40" t="str">
        <f>IF(ISERR(casostestes[[#This Row],[ID]]),"-",casostestes[[#This Row],[ID]])</f>
        <v>-</v>
      </c>
      <c r="C75" s="34" t="str">
        <f>IFERROR(IF(VLOOKUP($B75,casostestes[#Data],10)=0,"Não",VLOOKUP($B75,casostestes[#Data],10)), "-")</f>
        <v>-</v>
      </c>
      <c r="D75" s="35" t="str">
        <f>IFERROR(IF(VLOOKUP($B75,casostestes[#Data],2)=0,"-",VLOOKUP($B75,casostestes[#Data],2)), "-")</f>
        <v>-</v>
      </c>
      <c r="E75" s="35" t="str">
        <f>IFERROR(IF(VLOOKUP($B75,casostestes[#Data],3)=0,"-",VLOOKUP($B75,casostestes[#Data],3)), "-")</f>
        <v>-</v>
      </c>
      <c r="F75" s="35" t="str">
        <f>IFERROR(IF(VLOOKUP($B75,casostestes[#Data],4)=0,"-",VLOOKUP($B75,casostestes[#Data],4)),"-")</f>
        <v>-</v>
      </c>
      <c r="G75" s="35" t="str">
        <f>IFERROR(IF(VLOOKUP($B75,casostestes[#Data],5)=0,"-",VLOOKUP($B75,casostestes[#Data],5)),"-")</f>
        <v>-</v>
      </c>
      <c r="H75" s="35" t="str">
        <f>IFERROR(IF(VLOOKUP($B75,casostestes[#Data],6)=0,"-",VLOOKUP($B75,casostestes[#Data],6)),"-")</f>
        <v>-</v>
      </c>
      <c r="I75" s="35" t="str">
        <f>IFERROR(IF(VLOOKUP($B75,casostestes[#Data],8)=0,"-",VLOOKUP($B75,casostestes[#Data],8)),"-")</f>
        <v>-</v>
      </c>
      <c r="J75" s="35" t="str">
        <f>IFERROR(IF(VLOOKUP($B75,casostestes[#Data],9)=0,"-",VLOOKUP($B75,casostestes[#Data],9)),"-")</f>
        <v>-</v>
      </c>
      <c r="K75" s="36"/>
      <c r="L75" s="45"/>
      <c r="M75" s="37"/>
      <c r="N75" s="38"/>
      <c r="O75" s="38"/>
      <c r="P75" s="39"/>
    </row>
    <row r="76" spans="2:16">
      <c r="B76" s="40" t="str">
        <f>IF(ISERR(casostestes[[#This Row],[ID]]),"-",casostestes[[#This Row],[ID]])</f>
        <v>-</v>
      </c>
      <c r="C76" s="34" t="str">
        <f>IFERROR(IF(VLOOKUP($B76,casostestes[#Data],10)=0,"Não",VLOOKUP($B76,casostestes[#Data],10)), "-")</f>
        <v>-</v>
      </c>
      <c r="D76" s="35" t="str">
        <f>IFERROR(IF(VLOOKUP($B76,casostestes[#Data],2)=0,"-",VLOOKUP($B76,casostestes[#Data],2)), "-")</f>
        <v>-</v>
      </c>
      <c r="E76" s="35" t="str">
        <f>IFERROR(IF(VLOOKUP($B76,casostestes[#Data],3)=0,"-",VLOOKUP($B76,casostestes[#Data],3)), "-")</f>
        <v>-</v>
      </c>
      <c r="F76" s="35" t="str">
        <f>IFERROR(IF(VLOOKUP($B76,casostestes[#Data],4)=0,"-",VLOOKUP($B76,casostestes[#Data],4)),"-")</f>
        <v>-</v>
      </c>
      <c r="G76" s="35" t="str">
        <f>IFERROR(IF(VLOOKUP($B76,casostestes[#Data],5)=0,"-",VLOOKUP($B76,casostestes[#Data],5)),"-")</f>
        <v>-</v>
      </c>
      <c r="H76" s="35" t="str">
        <f>IFERROR(IF(VLOOKUP($B76,casostestes[#Data],6)=0,"-",VLOOKUP($B76,casostestes[#Data],6)),"-")</f>
        <v>-</v>
      </c>
      <c r="I76" s="35" t="str">
        <f>IFERROR(IF(VLOOKUP($B76,casostestes[#Data],8)=0,"-",VLOOKUP($B76,casostestes[#Data],8)),"-")</f>
        <v>-</v>
      </c>
      <c r="J76" s="35" t="str">
        <f>IFERROR(IF(VLOOKUP($B76,casostestes[#Data],9)=0,"-",VLOOKUP($B76,casostestes[#Data],9)),"-")</f>
        <v>-</v>
      </c>
      <c r="K76" s="36"/>
      <c r="L76" s="45"/>
      <c r="M76" s="37"/>
      <c r="N76" s="38"/>
      <c r="O76" s="38"/>
      <c r="P76" s="39"/>
    </row>
    <row r="77" spans="2:16">
      <c r="B77" s="40" t="str">
        <f>IF(ISERR(casostestes[[#This Row],[ID]]),"-",casostestes[[#This Row],[ID]])</f>
        <v>-</v>
      </c>
      <c r="C77" s="34" t="str">
        <f>IFERROR(IF(VLOOKUP($B77,casostestes[#Data],10)=0,"Não",VLOOKUP($B77,casostestes[#Data],10)), "-")</f>
        <v>-</v>
      </c>
      <c r="D77" s="35" t="str">
        <f>IFERROR(IF(VLOOKUP($B77,casostestes[#Data],2)=0,"-",VLOOKUP($B77,casostestes[#Data],2)), "-")</f>
        <v>-</v>
      </c>
      <c r="E77" s="35" t="str">
        <f>IFERROR(IF(VLOOKUP($B77,casostestes[#Data],3)=0,"-",VLOOKUP($B77,casostestes[#Data],3)), "-")</f>
        <v>-</v>
      </c>
      <c r="F77" s="35" t="str">
        <f>IFERROR(IF(VLOOKUP($B77,casostestes[#Data],4)=0,"-",VLOOKUP($B77,casostestes[#Data],4)),"-")</f>
        <v>-</v>
      </c>
      <c r="G77" s="35" t="str">
        <f>IFERROR(IF(VLOOKUP($B77,casostestes[#Data],5)=0,"-",VLOOKUP($B77,casostestes[#Data],5)),"-")</f>
        <v>-</v>
      </c>
      <c r="H77" s="35" t="str">
        <f>IFERROR(IF(VLOOKUP($B77,casostestes[#Data],6)=0,"-",VLOOKUP($B77,casostestes[#Data],6)),"-")</f>
        <v>-</v>
      </c>
      <c r="I77" s="35" t="str">
        <f>IFERROR(IF(VLOOKUP($B77,casostestes[#Data],8)=0,"-",VLOOKUP($B77,casostestes[#Data],8)),"-")</f>
        <v>-</v>
      </c>
      <c r="J77" s="35" t="str">
        <f>IFERROR(IF(VLOOKUP($B77,casostestes[#Data],9)=0,"-",VLOOKUP($B77,casostestes[#Data],9)),"-")</f>
        <v>-</v>
      </c>
      <c r="K77" s="36"/>
      <c r="L77" s="45"/>
      <c r="M77" s="37"/>
      <c r="N77" s="38"/>
      <c r="O77" s="38"/>
      <c r="P77" s="39"/>
    </row>
    <row r="78" spans="2:16">
      <c r="B78" s="40" t="str">
        <f>IF(ISERR(casostestes[[#This Row],[ID]]),"-",casostestes[[#This Row],[ID]])</f>
        <v>-</v>
      </c>
      <c r="C78" s="34" t="str">
        <f>IFERROR(IF(VLOOKUP($B78,casostestes[#Data],10)=0,"Não",VLOOKUP($B78,casostestes[#Data],10)), "-")</f>
        <v>-</v>
      </c>
      <c r="D78" s="35" t="str">
        <f>IFERROR(IF(VLOOKUP($B78,casostestes[#Data],2)=0,"-",VLOOKUP($B78,casostestes[#Data],2)), "-")</f>
        <v>-</v>
      </c>
      <c r="E78" s="35" t="str">
        <f>IFERROR(IF(VLOOKUP($B78,casostestes[#Data],3)=0,"-",VLOOKUP($B78,casostestes[#Data],3)), "-")</f>
        <v>-</v>
      </c>
      <c r="F78" s="35" t="str">
        <f>IFERROR(IF(VLOOKUP($B78,casostestes[#Data],4)=0,"-",VLOOKUP($B78,casostestes[#Data],4)),"-")</f>
        <v>-</v>
      </c>
      <c r="G78" s="35" t="str">
        <f>IFERROR(IF(VLOOKUP($B78,casostestes[#Data],5)=0,"-",VLOOKUP($B78,casostestes[#Data],5)),"-")</f>
        <v>-</v>
      </c>
      <c r="H78" s="35" t="str">
        <f>IFERROR(IF(VLOOKUP($B78,casostestes[#Data],6)=0,"-",VLOOKUP($B78,casostestes[#Data],6)),"-")</f>
        <v>-</v>
      </c>
      <c r="I78" s="35" t="str">
        <f>IFERROR(IF(VLOOKUP($B78,casostestes[#Data],8)=0,"-",VLOOKUP($B78,casostestes[#Data],8)),"-")</f>
        <v>-</v>
      </c>
      <c r="J78" s="35" t="str">
        <f>IFERROR(IF(VLOOKUP($B78,casostestes[#Data],9)=0,"-",VLOOKUP($B78,casostestes[#Data],9)),"-")</f>
        <v>-</v>
      </c>
      <c r="K78" s="36"/>
      <c r="L78" s="45"/>
      <c r="M78" s="37"/>
      <c r="N78" s="38"/>
      <c r="O78" s="38"/>
      <c r="P78" s="39"/>
    </row>
    <row r="79" spans="2:16">
      <c r="B79" s="40" t="str">
        <f>IF(ISERR(casostestes[[#This Row],[ID]]),"-",casostestes[[#This Row],[ID]])</f>
        <v>-</v>
      </c>
      <c r="C79" s="34" t="str">
        <f>IFERROR(IF(VLOOKUP($B79,casostestes[#Data],10)=0,"Não",VLOOKUP($B79,casostestes[#Data],10)), "-")</f>
        <v>-</v>
      </c>
      <c r="D79" s="35" t="str">
        <f>IFERROR(IF(VLOOKUP($B79,casostestes[#Data],2)=0,"-",VLOOKUP($B79,casostestes[#Data],2)), "-")</f>
        <v>-</v>
      </c>
      <c r="E79" s="35" t="str">
        <f>IFERROR(IF(VLOOKUP($B79,casostestes[#Data],3)=0,"-",VLOOKUP($B79,casostestes[#Data],3)), "-")</f>
        <v>-</v>
      </c>
      <c r="F79" s="35" t="str">
        <f>IFERROR(IF(VLOOKUP($B79,casostestes[#Data],4)=0,"-",VLOOKUP($B79,casostestes[#Data],4)),"-")</f>
        <v>-</v>
      </c>
      <c r="G79" s="35" t="str">
        <f>IFERROR(IF(VLOOKUP($B79,casostestes[#Data],5)=0,"-",VLOOKUP($B79,casostestes[#Data],5)),"-")</f>
        <v>-</v>
      </c>
      <c r="H79" s="35" t="str">
        <f>IFERROR(IF(VLOOKUP($B79,casostestes[#Data],6)=0,"-",VLOOKUP($B79,casostestes[#Data],6)),"-")</f>
        <v>-</v>
      </c>
      <c r="I79" s="35" t="str">
        <f>IFERROR(IF(VLOOKUP($B79,casostestes[#Data],8)=0,"-",VLOOKUP($B79,casostestes[#Data],8)),"-")</f>
        <v>-</v>
      </c>
      <c r="J79" s="35" t="str">
        <f>IFERROR(IF(VLOOKUP($B79,casostestes[#Data],9)=0,"-",VLOOKUP($B79,casostestes[#Data],9)),"-")</f>
        <v>-</v>
      </c>
      <c r="K79" s="36"/>
      <c r="L79" s="45"/>
      <c r="M79" s="37"/>
      <c r="N79" s="38"/>
      <c r="O79" s="38"/>
      <c r="P79" s="39"/>
    </row>
    <row r="80" spans="2:16">
      <c r="B80" s="40" t="str">
        <f>IF(ISERR(casostestes[[#This Row],[ID]]),"-",casostestes[[#This Row],[ID]])</f>
        <v>-</v>
      </c>
      <c r="C80" s="34" t="str">
        <f>IFERROR(IF(VLOOKUP($B80,casostestes[#Data],10)=0,"Não",VLOOKUP($B80,casostestes[#Data],10)), "-")</f>
        <v>-</v>
      </c>
      <c r="D80" s="35" t="str">
        <f>IFERROR(IF(VLOOKUP($B80,casostestes[#Data],2)=0,"-",VLOOKUP($B80,casostestes[#Data],2)), "-")</f>
        <v>-</v>
      </c>
      <c r="E80" s="35" t="str">
        <f>IFERROR(IF(VLOOKUP($B80,casostestes[#Data],3)=0,"-",VLOOKUP($B80,casostestes[#Data],3)), "-")</f>
        <v>-</v>
      </c>
      <c r="F80" s="35" t="str">
        <f>IFERROR(IF(VLOOKUP($B80,casostestes[#Data],4)=0,"-",VLOOKUP($B80,casostestes[#Data],4)),"-")</f>
        <v>-</v>
      </c>
      <c r="G80" s="35" t="str">
        <f>IFERROR(IF(VLOOKUP($B80,casostestes[#Data],5)=0,"-",VLOOKUP($B80,casostestes[#Data],5)),"-")</f>
        <v>-</v>
      </c>
      <c r="H80" s="35" t="str">
        <f>IFERROR(IF(VLOOKUP($B80,casostestes[#Data],6)=0,"-",VLOOKUP($B80,casostestes[#Data],6)),"-")</f>
        <v>-</v>
      </c>
      <c r="I80" s="35" t="str">
        <f>IFERROR(IF(VLOOKUP($B80,casostestes[#Data],8)=0,"-",VLOOKUP($B80,casostestes[#Data],8)),"-")</f>
        <v>-</v>
      </c>
      <c r="J80" s="35" t="str">
        <f>IFERROR(IF(VLOOKUP($B80,casostestes[#Data],9)=0,"-",VLOOKUP($B80,casostestes[#Data],9)),"-")</f>
        <v>-</v>
      </c>
      <c r="K80" s="36"/>
      <c r="L80" s="45"/>
      <c r="M80" s="37"/>
      <c r="N80" s="38"/>
      <c r="O80" s="38"/>
      <c r="P80" s="39"/>
    </row>
    <row r="81" spans="2:16">
      <c r="B81" s="40" t="str">
        <f>IF(ISERR(casostestes[[#This Row],[ID]]),"-",casostestes[[#This Row],[ID]])</f>
        <v>-</v>
      </c>
      <c r="C81" s="34" t="str">
        <f>IFERROR(IF(VLOOKUP($B81,casostestes[#Data],10)=0,"Não",VLOOKUP($B81,casostestes[#Data],10)), "-")</f>
        <v>-</v>
      </c>
      <c r="D81" s="35" t="str">
        <f>IFERROR(IF(VLOOKUP($B81,casostestes[#Data],2)=0,"-",VLOOKUP($B81,casostestes[#Data],2)), "-")</f>
        <v>-</v>
      </c>
      <c r="E81" s="35" t="str">
        <f>IFERROR(IF(VLOOKUP($B81,casostestes[#Data],3)=0,"-",VLOOKUP($B81,casostestes[#Data],3)), "-")</f>
        <v>-</v>
      </c>
      <c r="F81" s="35" t="str">
        <f>IFERROR(IF(VLOOKUP($B81,casostestes[#Data],4)=0,"-",VLOOKUP($B81,casostestes[#Data],4)),"-")</f>
        <v>-</v>
      </c>
      <c r="G81" s="35" t="str">
        <f>IFERROR(IF(VLOOKUP($B81,casostestes[#Data],5)=0,"-",VLOOKUP($B81,casostestes[#Data],5)),"-")</f>
        <v>-</v>
      </c>
      <c r="H81" s="35" t="str">
        <f>IFERROR(IF(VLOOKUP($B81,casostestes[#Data],6)=0,"-",VLOOKUP($B81,casostestes[#Data],6)),"-")</f>
        <v>-</v>
      </c>
      <c r="I81" s="35" t="str">
        <f>IFERROR(IF(VLOOKUP($B81,casostestes[#Data],8)=0,"-",VLOOKUP($B81,casostestes[#Data],8)),"-")</f>
        <v>-</v>
      </c>
      <c r="J81" s="35" t="str">
        <f>IFERROR(IF(VLOOKUP($B81,casostestes[#Data],9)=0,"-",VLOOKUP($B81,casostestes[#Data],9)),"-")</f>
        <v>-</v>
      </c>
      <c r="K81" s="36"/>
      <c r="L81" s="45"/>
      <c r="M81" s="37"/>
      <c r="N81" s="38"/>
      <c r="O81" s="38"/>
      <c r="P81" s="39"/>
    </row>
    <row r="82" spans="2:16">
      <c r="B82" s="40" t="str">
        <f>IF(ISERR(casostestes[[#This Row],[ID]]),"-",casostestes[[#This Row],[ID]])</f>
        <v>-</v>
      </c>
      <c r="C82" s="34" t="str">
        <f>IFERROR(IF(VLOOKUP($B82,casostestes[#Data],10)=0,"Não",VLOOKUP($B82,casostestes[#Data],10)), "-")</f>
        <v>-</v>
      </c>
      <c r="D82" s="35" t="str">
        <f>IFERROR(IF(VLOOKUP($B82,casostestes[#Data],2)=0,"-",VLOOKUP($B82,casostestes[#Data],2)), "-")</f>
        <v>-</v>
      </c>
      <c r="E82" s="35" t="str">
        <f>IFERROR(IF(VLOOKUP($B82,casostestes[#Data],3)=0,"-",VLOOKUP($B82,casostestes[#Data],3)), "-")</f>
        <v>-</v>
      </c>
      <c r="F82" s="35" t="str">
        <f>IFERROR(IF(VLOOKUP($B82,casostestes[#Data],4)=0,"-",VLOOKUP($B82,casostestes[#Data],4)),"-")</f>
        <v>-</v>
      </c>
      <c r="G82" s="35" t="str">
        <f>IFERROR(IF(VLOOKUP($B82,casostestes[#Data],5)=0,"-",VLOOKUP($B82,casostestes[#Data],5)),"-")</f>
        <v>-</v>
      </c>
      <c r="H82" s="35" t="str">
        <f>IFERROR(IF(VLOOKUP($B82,casostestes[#Data],6)=0,"-",VLOOKUP($B82,casostestes[#Data],6)),"-")</f>
        <v>-</v>
      </c>
      <c r="I82" s="35" t="str">
        <f>IFERROR(IF(VLOOKUP($B82,casostestes[#Data],8)=0,"-",VLOOKUP($B82,casostestes[#Data],8)),"-")</f>
        <v>-</v>
      </c>
      <c r="J82" s="35" t="str">
        <f>IFERROR(IF(VLOOKUP($B82,casostestes[#Data],9)=0,"-",VLOOKUP($B82,casostestes[#Data],9)),"-")</f>
        <v>-</v>
      </c>
      <c r="K82" s="36"/>
      <c r="L82" s="45"/>
      <c r="M82" s="37"/>
      <c r="N82" s="38"/>
      <c r="O82" s="38"/>
      <c r="P82" s="39"/>
    </row>
    <row r="83" spans="2:16">
      <c r="B83" s="40" t="str">
        <f>IF(ISERR(casostestes[[#This Row],[ID]]),"-",casostestes[[#This Row],[ID]])</f>
        <v>-</v>
      </c>
      <c r="C83" s="34" t="str">
        <f>IFERROR(IF(VLOOKUP($B83,casostestes[#Data],10)=0,"Não",VLOOKUP($B83,casostestes[#Data],10)), "-")</f>
        <v>-</v>
      </c>
      <c r="D83" s="35" t="str">
        <f>IFERROR(IF(VLOOKUP($B83,casostestes[#Data],2)=0,"-",VLOOKUP($B83,casostestes[#Data],2)), "-")</f>
        <v>-</v>
      </c>
      <c r="E83" s="35" t="str">
        <f>IFERROR(IF(VLOOKUP($B83,casostestes[#Data],3)=0,"-",VLOOKUP($B83,casostestes[#Data],3)), "-")</f>
        <v>-</v>
      </c>
      <c r="F83" s="35" t="str">
        <f>IFERROR(IF(VLOOKUP($B83,casostestes[#Data],4)=0,"-",VLOOKUP($B83,casostestes[#Data],4)),"-")</f>
        <v>-</v>
      </c>
      <c r="G83" s="35" t="str">
        <f>IFERROR(IF(VLOOKUP($B83,casostestes[#Data],5)=0,"-",VLOOKUP($B83,casostestes[#Data],5)),"-")</f>
        <v>-</v>
      </c>
      <c r="H83" s="35" t="str">
        <f>IFERROR(IF(VLOOKUP($B83,casostestes[#Data],6)=0,"-",VLOOKUP($B83,casostestes[#Data],6)),"-")</f>
        <v>-</v>
      </c>
      <c r="I83" s="35" t="str">
        <f>IFERROR(IF(VLOOKUP($B83,casostestes[#Data],8)=0,"-",VLOOKUP($B83,casostestes[#Data],8)),"-")</f>
        <v>-</v>
      </c>
      <c r="J83" s="35" t="str">
        <f>IFERROR(IF(VLOOKUP($B83,casostestes[#Data],9)=0,"-",VLOOKUP($B83,casostestes[#Data],9)),"-")</f>
        <v>-</v>
      </c>
      <c r="K83" s="36"/>
      <c r="L83" s="45"/>
      <c r="M83" s="37"/>
      <c r="N83" s="38"/>
      <c r="O83" s="38"/>
      <c r="P83" s="39"/>
    </row>
    <row r="84" spans="2:16">
      <c r="B84" s="40" t="str">
        <f>IF(ISERR(casostestes[[#This Row],[ID]]),"-",casostestes[[#This Row],[ID]])</f>
        <v>-</v>
      </c>
      <c r="C84" s="34" t="str">
        <f>IFERROR(IF(VLOOKUP($B84,casostestes[#Data],10)=0,"Não",VLOOKUP($B84,casostestes[#Data],10)), "-")</f>
        <v>-</v>
      </c>
      <c r="D84" s="35" t="str">
        <f>IFERROR(IF(VLOOKUP($B84,casostestes[#Data],2)=0,"-",VLOOKUP($B84,casostestes[#Data],2)), "-")</f>
        <v>-</v>
      </c>
      <c r="E84" s="35" t="str">
        <f>IFERROR(IF(VLOOKUP($B84,casostestes[#Data],3)=0,"-",VLOOKUP($B84,casostestes[#Data],3)), "-")</f>
        <v>-</v>
      </c>
      <c r="F84" s="35" t="str">
        <f>IFERROR(IF(VLOOKUP($B84,casostestes[#Data],4)=0,"-",VLOOKUP($B84,casostestes[#Data],4)),"-")</f>
        <v>-</v>
      </c>
      <c r="G84" s="35" t="str">
        <f>IFERROR(IF(VLOOKUP($B84,casostestes[#Data],5)=0,"-",VLOOKUP($B84,casostestes[#Data],5)),"-")</f>
        <v>-</v>
      </c>
      <c r="H84" s="35" t="str">
        <f>IFERROR(IF(VLOOKUP($B84,casostestes[#Data],6)=0,"-",VLOOKUP($B84,casostestes[#Data],6)),"-")</f>
        <v>-</v>
      </c>
      <c r="I84" s="35" t="str">
        <f>IFERROR(IF(VLOOKUP($B84,casostestes[#Data],8)=0,"-",VLOOKUP($B84,casostestes[#Data],8)),"-")</f>
        <v>-</v>
      </c>
      <c r="J84" s="35" t="str">
        <f>IFERROR(IF(VLOOKUP($B84,casostestes[#Data],9)=0,"-",VLOOKUP($B84,casostestes[#Data],9)),"-")</f>
        <v>-</v>
      </c>
      <c r="K84" s="36"/>
      <c r="L84" s="45"/>
      <c r="M84" s="37"/>
      <c r="N84" s="38"/>
      <c r="O84" s="38"/>
      <c r="P84" s="39"/>
    </row>
    <row r="85" spans="2:16">
      <c r="B85" s="40" t="str">
        <f>IF(ISERR(casostestes[[#This Row],[ID]]),"-",casostestes[[#This Row],[ID]])</f>
        <v>-</v>
      </c>
      <c r="C85" s="34" t="str">
        <f>IFERROR(IF(VLOOKUP($B85,casostestes[#Data],10)=0,"Não",VLOOKUP($B85,casostestes[#Data],10)), "-")</f>
        <v>-</v>
      </c>
      <c r="D85" s="35" t="str">
        <f>IFERROR(IF(VLOOKUP($B85,casostestes[#Data],2)=0,"-",VLOOKUP($B85,casostestes[#Data],2)), "-")</f>
        <v>-</v>
      </c>
      <c r="E85" s="35" t="str">
        <f>IFERROR(IF(VLOOKUP($B85,casostestes[#Data],3)=0,"-",VLOOKUP($B85,casostestes[#Data],3)), "-")</f>
        <v>-</v>
      </c>
      <c r="F85" s="35" t="str">
        <f>IFERROR(IF(VLOOKUP($B85,casostestes[#Data],4)=0,"-",VLOOKUP($B85,casostestes[#Data],4)),"-")</f>
        <v>-</v>
      </c>
      <c r="G85" s="35" t="str">
        <f>IFERROR(IF(VLOOKUP($B85,casostestes[#Data],5)=0,"-",VLOOKUP($B85,casostestes[#Data],5)),"-")</f>
        <v>-</v>
      </c>
      <c r="H85" s="35" t="str">
        <f>IFERROR(IF(VLOOKUP($B85,casostestes[#Data],6)=0,"-",VLOOKUP($B85,casostestes[#Data],6)),"-")</f>
        <v>-</v>
      </c>
      <c r="I85" s="35" t="str">
        <f>IFERROR(IF(VLOOKUP($B85,casostestes[#Data],8)=0,"-",VLOOKUP($B85,casostestes[#Data],8)),"-")</f>
        <v>-</v>
      </c>
      <c r="J85" s="35" t="str">
        <f>IFERROR(IF(VLOOKUP($B85,casostestes[#Data],9)=0,"-",VLOOKUP($B85,casostestes[#Data],9)),"-")</f>
        <v>-</v>
      </c>
      <c r="K85" s="36"/>
      <c r="L85" s="45"/>
      <c r="M85" s="37"/>
      <c r="N85" s="38"/>
      <c r="O85" s="38"/>
      <c r="P85" s="39"/>
    </row>
    <row r="86" spans="2:16">
      <c r="B86" s="40" t="str">
        <f>IF(ISERR(casostestes[[#This Row],[ID]]),"-",casostestes[[#This Row],[ID]])</f>
        <v>-</v>
      </c>
      <c r="C86" s="34" t="str">
        <f>IFERROR(IF(VLOOKUP($B86,casostestes[#Data],10)=0,"Não",VLOOKUP($B86,casostestes[#Data],10)), "-")</f>
        <v>-</v>
      </c>
      <c r="D86" s="35" t="str">
        <f>IFERROR(IF(VLOOKUP($B86,casostestes[#Data],2)=0,"-",VLOOKUP($B86,casostestes[#Data],2)), "-")</f>
        <v>-</v>
      </c>
      <c r="E86" s="35" t="str">
        <f>IFERROR(IF(VLOOKUP($B86,casostestes[#Data],3)=0,"-",VLOOKUP($B86,casostestes[#Data],3)), "-")</f>
        <v>-</v>
      </c>
      <c r="F86" s="35" t="str">
        <f>IFERROR(IF(VLOOKUP($B86,casostestes[#Data],4)=0,"-",VLOOKUP($B86,casostestes[#Data],4)),"-")</f>
        <v>-</v>
      </c>
      <c r="G86" s="35" t="str">
        <f>IFERROR(IF(VLOOKUP($B86,casostestes[#Data],5)=0,"-",VLOOKUP($B86,casostestes[#Data],5)),"-")</f>
        <v>-</v>
      </c>
      <c r="H86" s="35" t="str">
        <f>IFERROR(IF(VLOOKUP($B86,casostestes[#Data],6)=0,"-",VLOOKUP($B86,casostestes[#Data],6)),"-")</f>
        <v>-</v>
      </c>
      <c r="I86" s="35" t="str">
        <f>IFERROR(IF(VLOOKUP($B86,casostestes[#Data],8)=0,"-",VLOOKUP($B86,casostestes[#Data],8)),"-")</f>
        <v>-</v>
      </c>
      <c r="J86" s="35" t="str">
        <f>IFERROR(IF(VLOOKUP($B86,casostestes[#Data],9)=0,"-",VLOOKUP($B86,casostestes[#Data],9)),"-")</f>
        <v>-</v>
      </c>
      <c r="K86" s="36"/>
      <c r="L86" s="45"/>
      <c r="M86" s="37"/>
      <c r="N86" s="38"/>
      <c r="O86" s="38"/>
      <c r="P86" s="39"/>
    </row>
    <row r="87" spans="2:16">
      <c r="B87" s="40" t="str">
        <f>IF(ISERR(casostestes[[#This Row],[ID]]),"-",casostestes[[#This Row],[ID]])</f>
        <v>-</v>
      </c>
      <c r="C87" s="34" t="str">
        <f>IFERROR(IF(VLOOKUP($B87,casostestes[#Data],10)=0,"Não",VLOOKUP($B87,casostestes[#Data],10)), "-")</f>
        <v>-</v>
      </c>
      <c r="D87" s="35" t="str">
        <f>IFERROR(IF(VLOOKUP($B87,casostestes[#Data],2)=0,"-",VLOOKUP($B87,casostestes[#Data],2)), "-")</f>
        <v>-</v>
      </c>
      <c r="E87" s="35" t="str">
        <f>IFERROR(IF(VLOOKUP($B87,casostestes[#Data],3)=0,"-",VLOOKUP($B87,casostestes[#Data],3)), "-")</f>
        <v>-</v>
      </c>
      <c r="F87" s="35" t="str">
        <f>IFERROR(IF(VLOOKUP($B87,casostestes[#Data],4)=0,"-",VLOOKUP($B87,casostestes[#Data],4)),"-")</f>
        <v>-</v>
      </c>
      <c r="G87" s="35" t="str">
        <f>IFERROR(IF(VLOOKUP($B87,casostestes[#Data],5)=0,"-",VLOOKUP($B87,casostestes[#Data],5)),"-")</f>
        <v>-</v>
      </c>
      <c r="H87" s="35" t="str">
        <f>IFERROR(IF(VLOOKUP($B87,casostestes[#Data],6)=0,"-",VLOOKUP($B87,casostestes[#Data],6)),"-")</f>
        <v>-</v>
      </c>
      <c r="I87" s="35" t="str">
        <f>IFERROR(IF(VLOOKUP($B87,casostestes[#Data],8)=0,"-",VLOOKUP($B87,casostestes[#Data],8)),"-")</f>
        <v>-</v>
      </c>
      <c r="J87" s="35" t="str">
        <f>IFERROR(IF(VLOOKUP($B87,casostestes[#Data],9)=0,"-",VLOOKUP($B87,casostestes[#Data],9)),"-")</f>
        <v>-</v>
      </c>
      <c r="K87" s="36"/>
      <c r="L87" s="45"/>
      <c r="M87" s="37"/>
      <c r="N87" s="38"/>
      <c r="O87" s="38"/>
      <c r="P87" s="39"/>
    </row>
    <row r="88" spans="2:16">
      <c r="B88" s="40" t="str">
        <f>IF(ISERR(casostestes[[#This Row],[ID]]),"-",casostestes[[#This Row],[ID]])</f>
        <v>-</v>
      </c>
      <c r="C88" s="34" t="str">
        <f>IFERROR(IF(VLOOKUP($B88,casostestes[#Data],10)=0,"Não",VLOOKUP($B88,casostestes[#Data],10)), "-")</f>
        <v>-</v>
      </c>
      <c r="D88" s="35" t="str">
        <f>IFERROR(IF(VLOOKUP($B88,casostestes[#Data],2)=0,"-",VLOOKUP($B88,casostestes[#Data],2)), "-")</f>
        <v>-</v>
      </c>
      <c r="E88" s="35" t="str">
        <f>IFERROR(IF(VLOOKUP($B88,casostestes[#Data],3)=0,"-",VLOOKUP($B88,casostestes[#Data],3)), "-")</f>
        <v>-</v>
      </c>
      <c r="F88" s="35" t="str">
        <f>IFERROR(IF(VLOOKUP($B88,casostestes[#Data],4)=0,"-",VLOOKUP($B88,casostestes[#Data],4)),"-")</f>
        <v>-</v>
      </c>
      <c r="G88" s="35" t="str">
        <f>IFERROR(IF(VLOOKUP($B88,casostestes[#Data],5)=0,"-",VLOOKUP($B88,casostestes[#Data],5)),"-")</f>
        <v>-</v>
      </c>
      <c r="H88" s="35" t="str">
        <f>IFERROR(IF(VLOOKUP($B88,casostestes[#Data],6)=0,"-",VLOOKUP($B88,casostestes[#Data],6)),"-")</f>
        <v>-</v>
      </c>
      <c r="I88" s="35" t="str">
        <f>IFERROR(IF(VLOOKUP($B88,casostestes[#Data],8)=0,"-",VLOOKUP($B88,casostestes[#Data],8)),"-")</f>
        <v>-</v>
      </c>
      <c r="J88" s="35" t="str">
        <f>IFERROR(IF(VLOOKUP($B88,casostestes[#Data],9)=0,"-",VLOOKUP($B88,casostestes[#Data],9)),"-")</f>
        <v>-</v>
      </c>
      <c r="K88" s="36"/>
      <c r="L88" s="45"/>
      <c r="M88" s="37"/>
      <c r="N88" s="38"/>
      <c r="O88" s="38"/>
      <c r="P88" s="39"/>
    </row>
    <row r="89" spans="2:16">
      <c r="B89" s="40" t="str">
        <f>IF(ISERR(casostestes[[#This Row],[ID]]),"-",casostestes[[#This Row],[ID]])</f>
        <v>-</v>
      </c>
      <c r="C89" s="34" t="str">
        <f>IFERROR(IF(VLOOKUP($B89,casostestes[#Data],10)=0,"Não",VLOOKUP($B89,casostestes[#Data],10)), "-")</f>
        <v>-</v>
      </c>
      <c r="D89" s="35" t="str">
        <f>IFERROR(IF(VLOOKUP($B89,casostestes[#Data],2)=0,"-",VLOOKUP($B89,casostestes[#Data],2)), "-")</f>
        <v>-</v>
      </c>
      <c r="E89" s="35" t="str">
        <f>IFERROR(IF(VLOOKUP($B89,casostestes[#Data],3)=0,"-",VLOOKUP($B89,casostestes[#Data],3)), "-")</f>
        <v>-</v>
      </c>
      <c r="F89" s="35" t="str">
        <f>IFERROR(IF(VLOOKUP($B89,casostestes[#Data],4)=0,"-",VLOOKUP($B89,casostestes[#Data],4)),"-")</f>
        <v>-</v>
      </c>
      <c r="G89" s="35" t="str">
        <f>IFERROR(IF(VLOOKUP($B89,casostestes[#Data],5)=0,"-",VLOOKUP($B89,casostestes[#Data],5)),"-")</f>
        <v>-</v>
      </c>
      <c r="H89" s="35" t="str">
        <f>IFERROR(IF(VLOOKUP($B89,casostestes[#Data],6)=0,"-",VLOOKUP($B89,casostestes[#Data],6)),"-")</f>
        <v>-</v>
      </c>
      <c r="I89" s="35" t="str">
        <f>IFERROR(IF(VLOOKUP($B89,casostestes[#Data],8)=0,"-",VLOOKUP($B89,casostestes[#Data],8)),"-")</f>
        <v>-</v>
      </c>
      <c r="J89" s="35" t="str">
        <f>IFERROR(IF(VLOOKUP($B89,casostestes[#Data],9)=0,"-",VLOOKUP($B89,casostestes[#Data],9)),"-")</f>
        <v>-</v>
      </c>
      <c r="K89" s="36"/>
      <c r="L89" s="45"/>
      <c r="M89" s="37"/>
      <c r="N89" s="38"/>
      <c r="O89" s="38"/>
      <c r="P89" s="39"/>
    </row>
    <row r="90" spans="2:16">
      <c r="B90" s="40" t="str">
        <f>IF(ISERR(casostestes[[#This Row],[ID]]),"-",casostestes[[#This Row],[ID]])</f>
        <v>-</v>
      </c>
      <c r="C90" s="34" t="str">
        <f>IFERROR(IF(VLOOKUP($B90,casostestes[#Data],10)=0,"Não",VLOOKUP($B90,casostestes[#Data],10)), "-")</f>
        <v>-</v>
      </c>
      <c r="D90" s="35" t="str">
        <f>IFERROR(IF(VLOOKUP($B90,casostestes[#Data],2)=0,"-",VLOOKUP($B90,casostestes[#Data],2)), "-")</f>
        <v>-</v>
      </c>
      <c r="E90" s="35" t="str">
        <f>IFERROR(IF(VLOOKUP($B90,casostestes[#Data],3)=0,"-",VLOOKUP($B90,casostestes[#Data],3)), "-")</f>
        <v>-</v>
      </c>
      <c r="F90" s="35" t="str">
        <f>IFERROR(IF(VLOOKUP($B90,casostestes[#Data],4)=0,"-",VLOOKUP($B90,casostestes[#Data],4)),"-")</f>
        <v>-</v>
      </c>
      <c r="G90" s="35" t="str">
        <f>IFERROR(IF(VLOOKUP($B90,casostestes[#Data],5)=0,"-",VLOOKUP($B90,casostestes[#Data],5)),"-")</f>
        <v>-</v>
      </c>
      <c r="H90" s="35" t="str">
        <f>IFERROR(IF(VLOOKUP($B90,casostestes[#Data],6)=0,"-",VLOOKUP($B90,casostestes[#Data],6)),"-")</f>
        <v>-</v>
      </c>
      <c r="I90" s="35" t="str">
        <f>IFERROR(IF(VLOOKUP($B90,casostestes[#Data],8)=0,"-",VLOOKUP($B90,casostestes[#Data],8)),"-")</f>
        <v>-</v>
      </c>
      <c r="J90" s="35" t="str">
        <f>IFERROR(IF(VLOOKUP($B90,casostestes[#Data],9)=0,"-",VLOOKUP($B90,casostestes[#Data],9)),"-")</f>
        <v>-</v>
      </c>
      <c r="K90" s="36"/>
      <c r="L90" s="45"/>
      <c r="M90" s="37"/>
      <c r="N90" s="38"/>
      <c r="O90" s="38"/>
      <c r="P90" s="39"/>
    </row>
    <row r="91" spans="2:16">
      <c r="B91" s="40" t="str">
        <f>IF(ISERR(casostestes[[#This Row],[ID]]),"-",casostestes[[#This Row],[ID]])</f>
        <v>-</v>
      </c>
      <c r="C91" s="34" t="str">
        <f>IFERROR(IF(VLOOKUP($B91,casostestes[#Data],10)=0,"Não",VLOOKUP($B91,casostestes[#Data],10)), "-")</f>
        <v>-</v>
      </c>
      <c r="D91" s="35" t="str">
        <f>IFERROR(IF(VLOOKUP($B91,casostestes[#Data],2)=0,"-",VLOOKUP($B91,casostestes[#Data],2)), "-")</f>
        <v>-</v>
      </c>
      <c r="E91" s="35" t="str">
        <f>IFERROR(IF(VLOOKUP($B91,casostestes[#Data],3)=0,"-",VLOOKUP($B91,casostestes[#Data],3)), "-")</f>
        <v>-</v>
      </c>
      <c r="F91" s="35" t="str">
        <f>IFERROR(IF(VLOOKUP($B91,casostestes[#Data],4)=0,"-",VLOOKUP($B91,casostestes[#Data],4)),"-")</f>
        <v>-</v>
      </c>
      <c r="G91" s="35" t="str">
        <f>IFERROR(IF(VLOOKUP($B91,casostestes[#Data],5)=0,"-",VLOOKUP($B91,casostestes[#Data],5)),"-")</f>
        <v>-</v>
      </c>
      <c r="H91" s="35" t="str">
        <f>IFERROR(IF(VLOOKUP($B91,casostestes[#Data],6)=0,"-",VLOOKUP($B91,casostestes[#Data],6)),"-")</f>
        <v>-</v>
      </c>
      <c r="I91" s="35" t="str">
        <f>IFERROR(IF(VLOOKUP($B91,casostestes[#Data],8)=0,"-",VLOOKUP($B91,casostestes[#Data],8)),"-")</f>
        <v>-</v>
      </c>
      <c r="J91" s="35" t="str">
        <f>IFERROR(IF(VLOOKUP($B91,casostestes[#Data],9)=0,"-",VLOOKUP($B91,casostestes[#Data],9)),"-")</f>
        <v>-</v>
      </c>
      <c r="K91" s="36"/>
      <c r="L91" s="45"/>
      <c r="M91" s="37"/>
      <c r="N91" s="38"/>
      <c r="O91" s="38"/>
      <c r="P91" s="39"/>
    </row>
    <row r="92" spans="2:16">
      <c r="B92" s="40" t="str">
        <f>IF(ISERR(casostestes[[#This Row],[ID]]),"-",casostestes[[#This Row],[ID]])</f>
        <v>-</v>
      </c>
      <c r="C92" s="34" t="str">
        <f>IFERROR(IF(VLOOKUP($B92,casostestes[#Data],10)=0,"Não",VLOOKUP($B92,casostestes[#Data],10)), "-")</f>
        <v>-</v>
      </c>
      <c r="D92" s="35" t="str">
        <f>IFERROR(IF(VLOOKUP($B92,casostestes[#Data],2)=0,"-",VLOOKUP($B92,casostestes[#Data],2)), "-")</f>
        <v>-</v>
      </c>
      <c r="E92" s="35" t="str">
        <f>IFERROR(IF(VLOOKUP($B92,casostestes[#Data],3)=0,"-",VLOOKUP($B92,casostestes[#Data],3)), "-")</f>
        <v>-</v>
      </c>
      <c r="F92" s="35" t="str">
        <f>IFERROR(IF(VLOOKUP($B92,casostestes[#Data],4)=0,"-",VLOOKUP($B92,casostestes[#Data],4)),"-")</f>
        <v>-</v>
      </c>
      <c r="G92" s="35" t="str">
        <f>IFERROR(IF(VLOOKUP($B92,casostestes[#Data],5)=0,"-",VLOOKUP($B92,casostestes[#Data],5)),"-")</f>
        <v>-</v>
      </c>
      <c r="H92" s="35" t="str">
        <f>IFERROR(IF(VLOOKUP($B92,casostestes[#Data],6)=0,"-",VLOOKUP($B92,casostestes[#Data],6)),"-")</f>
        <v>-</v>
      </c>
      <c r="I92" s="35" t="str">
        <f>IFERROR(IF(VLOOKUP($B92,casostestes[#Data],8)=0,"-",VLOOKUP($B92,casostestes[#Data],8)),"-")</f>
        <v>-</v>
      </c>
      <c r="J92" s="35" t="str">
        <f>IFERROR(IF(VLOOKUP($B92,casostestes[#Data],9)=0,"-",VLOOKUP($B92,casostestes[#Data],9)),"-")</f>
        <v>-</v>
      </c>
      <c r="K92" s="36"/>
      <c r="L92" s="45"/>
      <c r="M92" s="37"/>
      <c r="N92" s="38"/>
      <c r="O92" s="38"/>
      <c r="P92" s="39"/>
    </row>
    <row r="93" spans="2:16">
      <c r="B93" s="40" t="str">
        <f>IF(ISERR(casostestes[[#This Row],[ID]]),"-",casostestes[[#This Row],[ID]])</f>
        <v>-</v>
      </c>
      <c r="C93" s="34" t="str">
        <f>IFERROR(IF(VLOOKUP($B93,casostestes[#Data],10)=0,"Não",VLOOKUP($B93,casostestes[#Data],10)), "-")</f>
        <v>-</v>
      </c>
      <c r="D93" s="35" t="str">
        <f>IFERROR(IF(VLOOKUP($B93,casostestes[#Data],2)=0,"-",VLOOKUP($B93,casostestes[#Data],2)), "-")</f>
        <v>-</v>
      </c>
      <c r="E93" s="35" t="str">
        <f>IFERROR(IF(VLOOKUP($B93,casostestes[#Data],3)=0,"-",VLOOKUP($B93,casostestes[#Data],3)), "-")</f>
        <v>-</v>
      </c>
      <c r="F93" s="35" t="str">
        <f>IFERROR(IF(VLOOKUP($B93,casostestes[#Data],4)=0,"-",VLOOKUP($B93,casostestes[#Data],4)),"-")</f>
        <v>-</v>
      </c>
      <c r="G93" s="35" t="str">
        <f>IFERROR(IF(VLOOKUP($B93,casostestes[#Data],5)=0,"-",VLOOKUP($B93,casostestes[#Data],5)),"-")</f>
        <v>-</v>
      </c>
      <c r="H93" s="35" t="str">
        <f>IFERROR(IF(VLOOKUP($B93,casostestes[#Data],6)=0,"-",VLOOKUP($B93,casostestes[#Data],6)),"-")</f>
        <v>-</v>
      </c>
      <c r="I93" s="35" t="str">
        <f>IFERROR(IF(VLOOKUP($B93,casostestes[#Data],8)=0,"-",VLOOKUP($B93,casostestes[#Data],8)),"-")</f>
        <v>-</v>
      </c>
      <c r="J93" s="35" t="str">
        <f>IFERROR(IF(VLOOKUP($B93,casostestes[#Data],9)=0,"-",VLOOKUP($B93,casostestes[#Data],9)),"-")</f>
        <v>-</v>
      </c>
      <c r="K93" s="36"/>
      <c r="L93" s="45"/>
      <c r="M93" s="37"/>
      <c r="N93" s="38"/>
      <c r="O93" s="38"/>
      <c r="P93" s="39"/>
    </row>
    <row r="94" spans="2:16">
      <c r="B94" s="40" t="str">
        <f>IF(ISERR(casostestes[[#This Row],[ID]]),"-",casostestes[[#This Row],[ID]])</f>
        <v>-</v>
      </c>
      <c r="C94" s="34" t="str">
        <f>IFERROR(IF(VLOOKUP($B94,casostestes[#Data],10)=0,"Não",VLOOKUP($B94,casostestes[#Data],10)), "-")</f>
        <v>-</v>
      </c>
      <c r="D94" s="35" t="str">
        <f>IFERROR(IF(VLOOKUP($B94,casostestes[#Data],2)=0,"-",VLOOKUP($B94,casostestes[#Data],2)), "-")</f>
        <v>-</v>
      </c>
      <c r="E94" s="35" t="str">
        <f>IFERROR(IF(VLOOKUP($B94,casostestes[#Data],3)=0,"-",VLOOKUP($B94,casostestes[#Data],3)), "-")</f>
        <v>-</v>
      </c>
      <c r="F94" s="35" t="str">
        <f>IFERROR(IF(VLOOKUP($B94,casostestes[#Data],4)=0,"-",VLOOKUP($B94,casostestes[#Data],4)),"-")</f>
        <v>-</v>
      </c>
      <c r="G94" s="35" t="str">
        <f>IFERROR(IF(VLOOKUP($B94,casostestes[#Data],5)=0,"-",VLOOKUP($B94,casostestes[#Data],5)),"-")</f>
        <v>-</v>
      </c>
      <c r="H94" s="35" t="str">
        <f>IFERROR(IF(VLOOKUP($B94,casostestes[#Data],6)=0,"-",VLOOKUP($B94,casostestes[#Data],6)),"-")</f>
        <v>-</v>
      </c>
      <c r="I94" s="35" t="str">
        <f>IFERROR(IF(VLOOKUP($B94,casostestes[#Data],8)=0,"-",VLOOKUP($B94,casostestes[#Data],8)),"-")</f>
        <v>-</v>
      </c>
      <c r="J94" s="35" t="str">
        <f>IFERROR(IF(VLOOKUP($B94,casostestes[#Data],9)=0,"-",VLOOKUP($B94,casostestes[#Data],9)),"-")</f>
        <v>-</v>
      </c>
      <c r="K94" s="36"/>
      <c r="L94" s="45"/>
      <c r="M94" s="37"/>
      <c r="N94" s="38"/>
      <c r="O94" s="38"/>
      <c r="P94" s="39"/>
    </row>
    <row r="95" spans="2:16">
      <c r="B95" s="40" t="str">
        <f>IF(ISERR(casostestes[[#This Row],[ID]]),"-",casostestes[[#This Row],[ID]])</f>
        <v>-</v>
      </c>
      <c r="C95" s="34" t="str">
        <f>IFERROR(IF(VLOOKUP($B95,casostestes[#Data],10)=0,"Não",VLOOKUP($B95,casostestes[#Data],10)), "-")</f>
        <v>-</v>
      </c>
      <c r="D95" s="35" t="str">
        <f>IFERROR(IF(VLOOKUP($B95,casostestes[#Data],2)=0,"-",VLOOKUP($B95,casostestes[#Data],2)), "-")</f>
        <v>-</v>
      </c>
      <c r="E95" s="35" t="str">
        <f>IFERROR(IF(VLOOKUP($B95,casostestes[#Data],3)=0,"-",VLOOKUP($B95,casostestes[#Data],3)), "-")</f>
        <v>-</v>
      </c>
      <c r="F95" s="35" t="str">
        <f>IFERROR(IF(VLOOKUP($B95,casostestes[#Data],4)=0,"-",VLOOKUP($B95,casostestes[#Data],4)),"-")</f>
        <v>-</v>
      </c>
      <c r="G95" s="35" t="str">
        <f>IFERROR(IF(VLOOKUP($B95,casostestes[#Data],5)=0,"-",VLOOKUP($B95,casostestes[#Data],5)),"-")</f>
        <v>-</v>
      </c>
      <c r="H95" s="35" t="str">
        <f>IFERROR(IF(VLOOKUP($B95,casostestes[#Data],6)=0,"-",VLOOKUP($B95,casostestes[#Data],6)),"-")</f>
        <v>-</v>
      </c>
      <c r="I95" s="35" t="str">
        <f>IFERROR(IF(VLOOKUP($B95,casostestes[#Data],8)=0,"-",VLOOKUP($B95,casostestes[#Data],8)),"-")</f>
        <v>-</v>
      </c>
      <c r="J95" s="35" t="str">
        <f>IFERROR(IF(VLOOKUP($B95,casostestes[#Data],9)=0,"-",VLOOKUP($B95,casostestes[#Data],9)),"-")</f>
        <v>-</v>
      </c>
      <c r="K95" s="36"/>
      <c r="L95" s="45"/>
      <c r="M95" s="37"/>
      <c r="N95" s="38"/>
      <c r="O95" s="38"/>
      <c r="P95" s="39"/>
    </row>
    <row r="96" spans="2:16">
      <c r="B96" s="40" t="str">
        <f>IF(ISERR(casostestes[[#This Row],[ID]]),"-",casostestes[[#This Row],[ID]])</f>
        <v>-</v>
      </c>
      <c r="C96" s="34" t="str">
        <f>IFERROR(IF(VLOOKUP($B96,casostestes[#Data],10)=0,"Não",VLOOKUP($B96,casostestes[#Data],10)), "-")</f>
        <v>-</v>
      </c>
      <c r="D96" s="35" t="str">
        <f>IFERROR(IF(VLOOKUP($B96,casostestes[#Data],2)=0,"-",VLOOKUP($B96,casostestes[#Data],2)), "-")</f>
        <v>-</v>
      </c>
      <c r="E96" s="35" t="str">
        <f>IFERROR(IF(VLOOKUP($B96,casostestes[#Data],3)=0,"-",VLOOKUP($B96,casostestes[#Data],3)), "-")</f>
        <v>-</v>
      </c>
      <c r="F96" s="35" t="str">
        <f>IFERROR(IF(VLOOKUP($B96,casostestes[#Data],4)=0,"-",VLOOKUP($B96,casostestes[#Data],4)),"-")</f>
        <v>-</v>
      </c>
      <c r="G96" s="35" t="str">
        <f>IFERROR(IF(VLOOKUP($B96,casostestes[#Data],5)=0,"-",VLOOKUP($B96,casostestes[#Data],5)),"-")</f>
        <v>-</v>
      </c>
      <c r="H96" s="35" t="str">
        <f>IFERROR(IF(VLOOKUP($B96,casostestes[#Data],6)=0,"-",VLOOKUP($B96,casostestes[#Data],6)),"-")</f>
        <v>-</v>
      </c>
      <c r="I96" s="35" t="str">
        <f>IFERROR(IF(VLOOKUP($B96,casostestes[#Data],8)=0,"-",VLOOKUP($B96,casostestes[#Data],8)),"-")</f>
        <v>-</v>
      </c>
      <c r="J96" s="35" t="str">
        <f>IFERROR(IF(VLOOKUP($B96,casostestes[#Data],9)=0,"-",VLOOKUP($B96,casostestes[#Data],9)),"-")</f>
        <v>-</v>
      </c>
      <c r="K96" s="36"/>
      <c r="L96" s="45"/>
      <c r="M96" s="37"/>
      <c r="N96" s="38"/>
      <c r="O96" s="38"/>
      <c r="P96" s="39"/>
    </row>
    <row r="97" spans="2:16">
      <c r="B97" s="40" t="str">
        <f>IF(ISERR(casostestes[[#This Row],[ID]]),"-",casostestes[[#This Row],[ID]])</f>
        <v>-</v>
      </c>
      <c r="C97" s="34" t="str">
        <f>IFERROR(IF(VLOOKUP($B97,casostestes[#Data],10)=0,"Não",VLOOKUP($B97,casostestes[#Data],10)), "-")</f>
        <v>-</v>
      </c>
      <c r="D97" s="35" t="str">
        <f>IFERROR(IF(VLOOKUP($B97,casostestes[#Data],2)=0,"-",VLOOKUP($B97,casostestes[#Data],2)), "-")</f>
        <v>-</v>
      </c>
      <c r="E97" s="35" t="str">
        <f>IFERROR(IF(VLOOKUP($B97,casostestes[#Data],3)=0,"-",VLOOKUP($B97,casostestes[#Data],3)), "-")</f>
        <v>-</v>
      </c>
      <c r="F97" s="35" t="str">
        <f>IFERROR(IF(VLOOKUP($B97,casostestes[#Data],4)=0,"-",VLOOKUP($B97,casostestes[#Data],4)),"-")</f>
        <v>-</v>
      </c>
      <c r="G97" s="35" t="str">
        <f>IFERROR(IF(VLOOKUP($B97,casostestes[#Data],5)=0,"-",VLOOKUP($B97,casostestes[#Data],5)),"-")</f>
        <v>-</v>
      </c>
      <c r="H97" s="35" t="str">
        <f>IFERROR(IF(VLOOKUP($B97,casostestes[#Data],6)=0,"-",VLOOKUP($B97,casostestes[#Data],6)),"-")</f>
        <v>-</v>
      </c>
      <c r="I97" s="35" t="str">
        <f>IFERROR(IF(VLOOKUP($B97,casostestes[#Data],8)=0,"-",VLOOKUP($B97,casostestes[#Data],8)),"-")</f>
        <v>-</v>
      </c>
      <c r="J97" s="35" t="str">
        <f>IFERROR(IF(VLOOKUP($B97,casostestes[#Data],9)=0,"-",VLOOKUP($B97,casostestes[#Data],9)),"-")</f>
        <v>-</v>
      </c>
      <c r="K97" s="36"/>
      <c r="L97" s="45"/>
      <c r="M97" s="37"/>
      <c r="N97" s="38"/>
      <c r="O97" s="38"/>
      <c r="P97" s="39"/>
    </row>
    <row r="98" spans="2:16">
      <c r="B98" s="40" t="str">
        <f>IF(ISERR(casostestes[[#This Row],[ID]]),"-",casostestes[[#This Row],[ID]])</f>
        <v>-</v>
      </c>
      <c r="C98" s="34" t="str">
        <f>IFERROR(IF(VLOOKUP($B98,casostestes[#Data],10)=0,"Não",VLOOKUP($B98,casostestes[#Data],10)), "-")</f>
        <v>-</v>
      </c>
      <c r="D98" s="35" t="str">
        <f>IFERROR(IF(VLOOKUP($B98,casostestes[#Data],2)=0,"-",VLOOKUP($B98,casostestes[#Data],2)), "-")</f>
        <v>-</v>
      </c>
      <c r="E98" s="35" t="str">
        <f>IFERROR(IF(VLOOKUP($B98,casostestes[#Data],3)=0,"-",VLOOKUP($B98,casostestes[#Data],3)), "-")</f>
        <v>-</v>
      </c>
      <c r="F98" s="35" t="str">
        <f>IFERROR(IF(VLOOKUP($B98,casostestes[#Data],4)=0,"-",VLOOKUP($B98,casostestes[#Data],4)),"-")</f>
        <v>-</v>
      </c>
      <c r="G98" s="35" t="str">
        <f>IFERROR(IF(VLOOKUP($B98,casostestes[#Data],5)=0,"-",VLOOKUP($B98,casostestes[#Data],5)),"-")</f>
        <v>-</v>
      </c>
      <c r="H98" s="35" t="str">
        <f>IFERROR(IF(VLOOKUP($B98,casostestes[#Data],6)=0,"-",VLOOKUP($B98,casostestes[#Data],6)),"-")</f>
        <v>-</v>
      </c>
      <c r="I98" s="35" t="str">
        <f>IFERROR(IF(VLOOKUP($B98,casostestes[#Data],8)=0,"-",VLOOKUP($B98,casostestes[#Data],8)),"-")</f>
        <v>-</v>
      </c>
      <c r="J98" s="35" t="str">
        <f>IFERROR(IF(VLOOKUP($B98,casostestes[#Data],9)=0,"-",VLOOKUP($B98,casostestes[#Data],9)),"-")</f>
        <v>-</v>
      </c>
      <c r="K98" s="36"/>
      <c r="L98" s="45"/>
      <c r="M98" s="37"/>
      <c r="N98" s="38"/>
      <c r="O98" s="38"/>
      <c r="P98" s="39"/>
    </row>
    <row r="99" spans="2:16">
      <c r="B99" s="40" t="str">
        <f>IF(ISERR(casostestes[[#This Row],[ID]]),"-",casostestes[[#This Row],[ID]])</f>
        <v>-</v>
      </c>
      <c r="C99" s="34" t="str">
        <f>IFERROR(IF(VLOOKUP($B99,casostestes[#Data],10)=0,"Não",VLOOKUP($B99,casostestes[#Data],10)), "-")</f>
        <v>-</v>
      </c>
      <c r="D99" s="35" t="str">
        <f>IFERROR(IF(VLOOKUP($B99,casostestes[#Data],2)=0,"-",VLOOKUP($B99,casostestes[#Data],2)), "-")</f>
        <v>-</v>
      </c>
      <c r="E99" s="35" t="str">
        <f>IFERROR(IF(VLOOKUP($B99,casostestes[#Data],3)=0,"-",VLOOKUP($B99,casostestes[#Data],3)), "-")</f>
        <v>-</v>
      </c>
      <c r="F99" s="35" t="str">
        <f>IFERROR(IF(VLOOKUP($B99,casostestes[#Data],4)=0,"-",VLOOKUP($B99,casostestes[#Data],4)),"-")</f>
        <v>-</v>
      </c>
      <c r="G99" s="35" t="str">
        <f>IFERROR(IF(VLOOKUP($B99,casostestes[#Data],5)=0,"-",VLOOKUP($B99,casostestes[#Data],5)),"-")</f>
        <v>-</v>
      </c>
      <c r="H99" s="35" t="str">
        <f>IFERROR(IF(VLOOKUP($B99,casostestes[#Data],6)=0,"-",VLOOKUP($B99,casostestes[#Data],6)),"-")</f>
        <v>-</v>
      </c>
      <c r="I99" s="35" t="str">
        <f>IFERROR(IF(VLOOKUP($B99,casostestes[#Data],8)=0,"-",VLOOKUP($B99,casostestes[#Data],8)),"-")</f>
        <v>-</v>
      </c>
      <c r="J99" s="35" t="str">
        <f>IFERROR(IF(VLOOKUP($B99,casostestes[#Data],9)=0,"-",VLOOKUP($B99,casostestes[#Data],9)),"-")</f>
        <v>-</v>
      </c>
      <c r="K99" s="36"/>
      <c r="L99" s="45"/>
      <c r="M99" s="37"/>
      <c r="N99" s="38"/>
      <c r="O99" s="38"/>
      <c r="P99" s="39"/>
    </row>
    <row r="100" spans="2:16">
      <c r="B100" s="40" t="str">
        <f>IF(ISERR(casostestes[[#This Row],[ID]]),"-",casostestes[[#This Row],[ID]])</f>
        <v>-</v>
      </c>
      <c r="C100" s="41" t="str">
        <f>IFERROR(IF(VLOOKUP($B100,casostestes[#Data],10)=0,"Não",VLOOKUP($B100,casostestes[#Data],10)), "-")</f>
        <v>-</v>
      </c>
      <c r="D100" s="42" t="str">
        <f>IFERROR(IF(VLOOKUP($B100,casostestes[#Data],2)=0,"-",VLOOKUP($B100,casostestes[#Data],2)), "-")</f>
        <v>-</v>
      </c>
      <c r="E100" s="42" t="str">
        <f>IFERROR(IF(VLOOKUP($B100,casostestes[#Data],3)=0,"-",VLOOKUP($B100,casostestes[#Data],3)), "-")</f>
        <v>-</v>
      </c>
      <c r="F100" s="42" t="str">
        <f>IFERROR(IF(VLOOKUP($B100,casostestes[#Data],4)=0,"-",VLOOKUP($B100,casostestes[#Data],4)),"-")</f>
        <v>-</v>
      </c>
      <c r="G100" s="42" t="str">
        <f>IFERROR(IF(VLOOKUP($B100,casostestes[#Data],5)=0,"-",VLOOKUP($B100,casostestes[#Data],5)),"-")</f>
        <v>-</v>
      </c>
      <c r="H100" s="42" t="str">
        <f>IFERROR(IF(VLOOKUP($B100,casostestes[#Data],6)=0,"-",VLOOKUP($B100,casostestes[#Data],6)),"-")</f>
        <v>-</v>
      </c>
      <c r="I100" s="42" t="str">
        <f>IFERROR(IF(VLOOKUP($B100,casostestes[#Data],8)=0,"-",VLOOKUP($B100,casostestes[#Data],8)),"-")</f>
        <v>-</v>
      </c>
      <c r="J100" s="42" t="str">
        <f>IFERROR(IF(VLOOKUP($B100,casostestes[#Data],9)=0,"-",VLOOKUP($B100,casostestes[#Data],9)),"-")</f>
        <v>-</v>
      </c>
      <c r="K100" s="43"/>
      <c r="L100" s="45"/>
      <c r="M100" s="44"/>
      <c r="N100" s="45"/>
      <c r="O100" s="45"/>
      <c r="P100" s="46"/>
    </row>
    <row r="101" spans="2:16">
      <c r="B101" s="40" t="str">
        <f>IF(ISERR(casostestes[[#This Row],[ID]]),"-",casostestes[[#This Row],[ID]])</f>
        <v>-</v>
      </c>
      <c r="C101" s="34" t="str">
        <f>IFERROR(IF(VLOOKUP($B101,casostestes[#Data],10)=0,"Não",VLOOKUP($B101,casostestes[#Data],10)), "-")</f>
        <v>-</v>
      </c>
      <c r="D101" s="35" t="str">
        <f>IFERROR(IF(VLOOKUP($B101,casostestes[#Data],2)=0,"-",VLOOKUP($B101,casostestes[#Data],2)), "-")</f>
        <v>-</v>
      </c>
      <c r="E101" s="35" t="str">
        <f>IFERROR(IF(VLOOKUP($B101,casostestes[#Data],3)=0,"-",VLOOKUP($B101,casostestes[#Data],3)), "-")</f>
        <v>-</v>
      </c>
      <c r="F101" s="35" t="str">
        <f>IFERROR(IF(VLOOKUP($B101,casostestes[#Data],4)=0,"-",VLOOKUP($B101,casostestes[#Data],4)),"-")</f>
        <v>-</v>
      </c>
      <c r="G101" s="35" t="str">
        <f>IFERROR(IF(VLOOKUP($B101,casostestes[#Data],5)=0,"-",VLOOKUP($B101,casostestes[#Data],5)),"-")</f>
        <v>-</v>
      </c>
      <c r="H101" s="35" t="str">
        <f>IFERROR(IF(VLOOKUP($B101,casostestes[#Data],6)=0,"-",VLOOKUP($B101,casostestes[#Data],6)),"-")</f>
        <v>-</v>
      </c>
      <c r="I101" s="35" t="str">
        <f>IFERROR(IF(VLOOKUP($B101,casostestes[#Data],8)=0,"-",VLOOKUP($B101,casostestes[#Data],8)),"-")</f>
        <v>-</v>
      </c>
      <c r="J101" s="35" t="str">
        <f>IFERROR(IF(VLOOKUP($B101,casostestes[#Data],9)=0,"-",VLOOKUP($B101,casostestes[#Data],9)),"-")</f>
        <v>-</v>
      </c>
      <c r="K101" s="36"/>
      <c r="L101" s="45"/>
      <c r="M101" s="37"/>
      <c r="N101" s="38"/>
      <c r="O101" s="38"/>
      <c r="P101" s="39"/>
    </row>
    <row r="102" spans="2:16">
      <c r="B102" s="40" t="str">
        <f>IF(ISERR(casostestes[[#This Row],[ID]]),"-",casostestes[[#This Row],[ID]])</f>
        <v>-</v>
      </c>
      <c r="C102" s="34" t="str">
        <f>IFERROR(IF(VLOOKUP($B102,casostestes[#Data],10)=0,"Não",VLOOKUP($B102,casostestes[#Data],10)), "-")</f>
        <v>-</v>
      </c>
      <c r="D102" s="35" t="str">
        <f>IFERROR(IF(VLOOKUP($B102,casostestes[#Data],2)=0,"-",VLOOKUP($B102,casostestes[#Data],2)), "-")</f>
        <v>-</v>
      </c>
      <c r="E102" s="35" t="str">
        <f>IFERROR(IF(VLOOKUP($B102,casostestes[#Data],3)=0,"-",VLOOKUP($B102,casostestes[#Data],3)), "-")</f>
        <v>-</v>
      </c>
      <c r="F102" s="35" t="str">
        <f>IFERROR(IF(VLOOKUP($B102,casostestes[#Data],4)=0,"-",VLOOKUP($B102,casostestes[#Data],4)),"-")</f>
        <v>-</v>
      </c>
      <c r="G102" s="35" t="str">
        <f>IFERROR(IF(VLOOKUP($B102,casostestes[#Data],5)=0,"-",VLOOKUP($B102,casostestes[#Data],5)),"-")</f>
        <v>-</v>
      </c>
      <c r="H102" s="35" t="str">
        <f>IFERROR(IF(VLOOKUP($B102,casostestes[#Data],6)=0,"-",VLOOKUP($B102,casostestes[#Data],6)),"-")</f>
        <v>-</v>
      </c>
      <c r="I102" s="35" t="str">
        <f>IFERROR(IF(VLOOKUP($B102,casostestes[#Data],8)=0,"-",VLOOKUP($B102,casostestes[#Data],8)),"-")</f>
        <v>-</v>
      </c>
      <c r="J102" s="35" t="str">
        <f>IFERROR(IF(VLOOKUP($B102,casostestes[#Data],9)=0,"-",VLOOKUP($B102,casostestes[#Data],9)),"-")</f>
        <v>-</v>
      </c>
      <c r="K102" s="36"/>
      <c r="L102" s="45"/>
      <c r="M102" s="37"/>
      <c r="N102" s="38"/>
      <c r="O102" s="38"/>
      <c r="P102" s="39"/>
    </row>
    <row r="103" spans="2:16">
      <c r="B103" s="40" t="str">
        <f>IF(ISERR(casostestes[[#This Row],[ID]]),"-",casostestes[[#This Row],[ID]])</f>
        <v>-</v>
      </c>
      <c r="C103" s="34" t="str">
        <f>IFERROR(IF(VLOOKUP($B103,casostestes[#Data],10)=0,"Não",VLOOKUP($B103,casostestes[#Data],10)), "-")</f>
        <v>-</v>
      </c>
      <c r="D103" s="35" t="str">
        <f>IFERROR(IF(VLOOKUP($B103,casostestes[#Data],2)=0,"-",VLOOKUP($B103,casostestes[#Data],2)), "-")</f>
        <v>-</v>
      </c>
      <c r="E103" s="35" t="str">
        <f>IFERROR(IF(VLOOKUP($B103,casostestes[#Data],3)=0,"-",VLOOKUP($B103,casostestes[#Data],3)), "-")</f>
        <v>-</v>
      </c>
      <c r="F103" s="35" t="str">
        <f>IFERROR(IF(VLOOKUP($B103,casostestes[#Data],4)=0,"-",VLOOKUP($B103,casostestes[#Data],4)),"-")</f>
        <v>-</v>
      </c>
      <c r="G103" s="35" t="str">
        <f>IFERROR(IF(VLOOKUP($B103,casostestes[#Data],5)=0,"-",VLOOKUP($B103,casostestes[#Data],5)),"-")</f>
        <v>-</v>
      </c>
      <c r="H103" s="35" t="str">
        <f>IFERROR(IF(VLOOKUP($B103,casostestes[#Data],6)=0,"-",VLOOKUP($B103,casostestes[#Data],6)),"-")</f>
        <v>-</v>
      </c>
      <c r="I103" s="35" t="str">
        <f>IFERROR(IF(VLOOKUP($B103,casostestes[#Data],8)=0,"-",VLOOKUP($B103,casostestes[#Data],8)),"-")</f>
        <v>-</v>
      </c>
      <c r="J103" s="35" t="str">
        <f>IFERROR(IF(VLOOKUP($B103,casostestes[#Data],9)=0,"-",VLOOKUP($B103,casostestes[#Data],9)),"-")</f>
        <v>-</v>
      </c>
      <c r="K103" s="36"/>
      <c r="L103" s="45"/>
      <c r="M103" s="37"/>
      <c r="N103" s="38"/>
      <c r="O103" s="38"/>
      <c r="P103" s="39"/>
    </row>
    <row r="104" spans="2:16">
      <c r="B104" s="40" t="str">
        <f>IF(ISERR(casostestes[[#This Row],[ID]]),"-",casostestes[[#This Row],[ID]])</f>
        <v>-</v>
      </c>
      <c r="C104" s="34" t="str">
        <f>IFERROR(IF(VLOOKUP($B104,casostestes[#Data],10)=0,"Não",VLOOKUP($B104,casostestes[#Data],10)), "-")</f>
        <v>-</v>
      </c>
      <c r="D104" s="35" t="str">
        <f>IFERROR(IF(VLOOKUP($B104,casostestes[#Data],2)=0,"-",VLOOKUP($B104,casostestes[#Data],2)), "-")</f>
        <v>-</v>
      </c>
      <c r="E104" s="35" t="str">
        <f>IFERROR(IF(VLOOKUP($B104,casostestes[#Data],3)=0,"-",VLOOKUP($B104,casostestes[#Data],3)), "-")</f>
        <v>-</v>
      </c>
      <c r="F104" s="35" t="str">
        <f>IFERROR(IF(VLOOKUP($B104,casostestes[#Data],4)=0,"-",VLOOKUP($B104,casostestes[#Data],4)),"-")</f>
        <v>-</v>
      </c>
      <c r="G104" s="35" t="str">
        <f>IFERROR(IF(VLOOKUP($B104,casostestes[#Data],5)=0,"-",VLOOKUP($B104,casostestes[#Data],5)),"-")</f>
        <v>-</v>
      </c>
      <c r="H104" s="35" t="str">
        <f>IFERROR(IF(VLOOKUP($B104,casostestes[#Data],6)=0,"-",VLOOKUP($B104,casostestes[#Data],6)),"-")</f>
        <v>-</v>
      </c>
      <c r="I104" s="35" t="str">
        <f>IFERROR(IF(VLOOKUP($B104,casostestes[#Data],8)=0,"-",VLOOKUP($B104,casostestes[#Data],8)),"-")</f>
        <v>-</v>
      </c>
      <c r="J104" s="35" t="str">
        <f>IFERROR(IF(VLOOKUP($B104,casostestes[#Data],9)=0,"-",VLOOKUP($B104,casostestes[#Data],9)),"-")</f>
        <v>-</v>
      </c>
      <c r="K104" s="36"/>
      <c r="L104" s="45"/>
      <c r="M104" s="37"/>
      <c r="N104" s="38"/>
      <c r="O104" s="38"/>
      <c r="P104" s="39"/>
    </row>
    <row r="105" spans="2:16">
      <c r="B105" s="40" t="str">
        <f>IF(ISERR(casostestes[[#This Row],[ID]]),"-",casostestes[[#This Row],[ID]])</f>
        <v>-</v>
      </c>
      <c r="C105" s="34" t="str">
        <f>IFERROR(IF(VLOOKUP($B105,casostestes[#Data],10)=0,"Não",VLOOKUP($B105,casostestes[#Data],10)), "-")</f>
        <v>-</v>
      </c>
      <c r="D105" s="35" t="str">
        <f>IFERROR(IF(VLOOKUP($B105,casostestes[#Data],2)=0,"-",VLOOKUP($B105,casostestes[#Data],2)), "-")</f>
        <v>-</v>
      </c>
      <c r="E105" s="35" t="str">
        <f>IFERROR(IF(VLOOKUP($B105,casostestes[#Data],3)=0,"-",VLOOKUP($B105,casostestes[#Data],3)), "-")</f>
        <v>-</v>
      </c>
      <c r="F105" s="35" t="str">
        <f>IFERROR(IF(VLOOKUP($B105,casostestes[#Data],4)=0,"-",VLOOKUP($B105,casostestes[#Data],4)),"-")</f>
        <v>-</v>
      </c>
      <c r="G105" s="35" t="str">
        <f>IFERROR(IF(VLOOKUP($B105,casostestes[#Data],5)=0,"-",VLOOKUP($B105,casostestes[#Data],5)),"-")</f>
        <v>-</v>
      </c>
      <c r="H105" s="35" t="str">
        <f>IFERROR(IF(VLOOKUP($B105,casostestes[#Data],6)=0,"-",VLOOKUP($B105,casostestes[#Data],6)),"-")</f>
        <v>-</v>
      </c>
      <c r="I105" s="35" t="str">
        <f>IFERROR(IF(VLOOKUP($B105,casostestes[#Data],8)=0,"-",VLOOKUP($B105,casostestes[#Data],8)),"-")</f>
        <v>-</v>
      </c>
      <c r="J105" s="35" t="str">
        <f>IFERROR(IF(VLOOKUP($B105,casostestes[#Data],9)=0,"-",VLOOKUP($B105,casostestes[#Data],9)),"-")</f>
        <v>-</v>
      </c>
      <c r="K105" s="36"/>
      <c r="L105" s="45"/>
      <c r="M105" s="37"/>
      <c r="N105" s="38"/>
      <c r="O105" s="38"/>
      <c r="P105" s="39"/>
    </row>
    <row r="106" spans="2:16">
      <c r="B106" s="40" t="str">
        <f>IF(ISERR(casostestes[[#This Row],[ID]]),"-",casostestes[[#This Row],[ID]])</f>
        <v>-</v>
      </c>
      <c r="C106" s="34" t="str">
        <f>IFERROR(IF(VLOOKUP($B106,casostestes[#Data],10)=0,"Não",VLOOKUP($B106,casostestes[#Data],10)), "-")</f>
        <v>-</v>
      </c>
      <c r="D106" s="35" t="str">
        <f>IFERROR(IF(VLOOKUP($B106,casostestes[#Data],2)=0,"-",VLOOKUP($B106,casostestes[#Data],2)), "-")</f>
        <v>-</v>
      </c>
      <c r="E106" s="35" t="str">
        <f>IFERROR(IF(VLOOKUP($B106,casostestes[#Data],3)=0,"-",VLOOKUP($B106,casostestes[#Data],3)), "-")</f>
        <v>-</v>
      </c>
      <c r="F106" s="35" t="str">
        <f>IFERROR(IF(VLOOKUP($B106,casostestes[#Data],4)=0,"-",VLOOKUP($B106,casostestes[#Data],4)),"-")</f>
        <v>-</v>
      </c>
      <c r="G106" s="35" t="str">
        <f>IFERROR(IF(VLOOKUP($B106,casostestes[#Data],5)=0,"-",VLOOKUP($B106,casostestes[#Data],5)),"-")</f>
        <v>-</v>
      </c>
      <c r="H106" s="35" t="str">
        <f>IFERROR(IF(VLOOKUP($B106,casostestes[#Data],6)=0,"-",VLOOKUP($B106,casostestes[#Data],6)),"-")</f>
        <v>-</v>
      </c>
      <c r="I106" s="35" t="str">
        <f>IFERROR(IF(VLOOKUP($B106,casostestes[#Data],8)=0,"-",VLOOKUP($B106,casostestes[#Data],8)),"-")</f>
        <v>-</v>
      </c>
      <c r="J106" s="35" t="str">
        <f>IFERROR(IF(VLOOKUP($B106,casostestes[#Data],9)=0,"-",VLOOKUP($B106,casostestes[#Data],9)),"-")</f>
        <v>-</v>
      </c>
      <c r="K106" s="36"/>
      <c r="L106" s="45"/>
      <c r="M106" s="37"/>
      <c r="N106" s="38"/>
      <c r="O106" s="38"/>
      <c r="P106" s="39"/>
    </row>
    <row r="107" spans="2:16">
      <c r="B107" s="40" t="str">
        <f>IF(ISERR(casostestes[[#This Row],[ID]]),"-",casostestes[[#This Row],[ID]])</f>
        <v>-</v>
      </c>
      <c r="C107" s="34" t="str">
        <f>IFERROR(IF(VLOOKUP($B107,casostestes[#Data],10)=0,"Não",VLOOKUP($B107,casostestes[#Data],10)), "-")</f>
        <v>-</v>
      </c>
      <c r="D107" s="35" t="str">
        <f>IFERROR(IF(VLOOKUP($B107,casostestes[#Data],2)=0,"-",VLOOKUP($B107,casostestes[#Data],2)), "-")</f>
        <v>-</v>
      </c>
      <c r="E107" s="35" t="str">
        <f>IFERROR(IF(VLOOKUP($B107,casostestes[#Data],3)=0,"-",VLOOKUP($B107,casostestes[#Data],3)), "-")</f>
        <v>-</v>
      </c>
      <c r="F107" s="35" t="str">
        <f>IFERROR(IF(VLOOKUP($B107,casostestes[#Data],4)=0,"-",VLOOKUP($B107,casostestes[#Data],4)),"-")</f>
        <v>-</v>
      </c>
      <c r="G107" s="35" t="str">
        <f>IFERROR(IF(VLOOKUP($B107,casostestes[#Data],5)=0,"-",VLOOKUP($B107,casostestes[#Data],5)),"-")</f>
        <v>-</v>
      </c>
      <c r="H107" s="35" t="str">
        <f>IFERROR(IF(VLOOKUP($B107,casostestes[#Data],6)=0,"-",VLOOKUP($B107,casostestes[#Data],6)),"-")</f>
        <v>-</v>
      </c>
      <c r="I107" s="35" t="str">
        <f>IFERROR(IF(VLOOKUP($B107,casostestes[#Data],8)=0,"-",VLOOKUP($B107,casostestes[#Data],8)),"-")</f>
        <v>-</v>
      </c>
      <c r="J107" s="35" t="str">
        <f>IFERROR(IF(VLOOKUP($B107,casostestes[#Data],9)=0,"-",VLOOKUP($B107,casostestes[#Data],9)),"-")</f>
        <v>-</v>
      </c>
      <c r="K107" s="36"/>
      <c r="L107" s="45"/>
      <c r="M107" s="37"/>
      <c r="N107" s="38"/>
      <c r="O107" s="38"/>
      <c r="P107" s="39"/>
    </row>
    <row r="108" spans="2:16">
      <c r="B108" s="40" t="str">
        <f>IF(ISERR(casostestes[[#This Row],[ID]]),"-",casostestes[[#This Row],[ID]])</f>
        <v>-</v>
      </c>
      <c r="C108" s="34" t="str">
        <f>IFERROR(IF(VLOOKUP($B108,casostestes[#Data],10)=0,"Não",VLOOKUP($B108,casostestes[#Data],10)), "-")</f>
        <v>-</v>
      </c>
      <c r="D108" s="35" t="str">
        <f>IFERROR(IF(VLOOKUP($B108,casostestes[#Data],2)=0,"-",VLOOKUP($B108,casostestes[#Data],2)), "-")</f>
        <v>-</v>
      </c>
      <c r="E108" s="35" t="str">
        <f>IFERROR(IF(VLOOKUP($B108,casostestes[#Data],3)=0,"-",VLOOKUP($B108,casostestes[#Data],3)), "-")</f>
        <v>-</v>
      </c>
      <c r="F108" s="35" t="str">
        <f>IFERROR(IF(VLOOKUP($B108,casostestes[#Data],4)=0,"-",VLOOKUP($B108,casostestes[#Data],4)),"-")</f>
        <v>-</v>
      </c>
      <c r="G108" s="35" t="str">
        <f>IFERROR(IF(VLOOKUP($B108,casostestes[#Data],5)=0,"-",VLOOKUP($B108,casostestes[#Data],5)),"-")</f>
        <v>-</v>
      </c>
      <c r="H108" s="35" t="str">
        <f>IFERROR(IF(VLOOKUP($B108,casostestes[#Data],6)=0,"-",VLOOKUP($B108,casostestes[#Data],6)),"-")</f>
        <v>-</v>
      </c>
      <c r="I108" s="35" t="str">
        <f>IFERROR(IF(VLOOKUP($B108,casostestes[#Data],8)=0,"-",VLOOKUP($B108,casostestes[#Data],8)),"-")</f>
        <v>-</v>
      </c>
      <c r="J108" s="35" t="str">
        <f>IFERROR(IF(VLOOKUP($B108,casostestes[#Data],9)=0,"-",VLOOKUP($B108,casostestes[#Data],9)),"-")</f>
        <v>-</v>
      </c>
      <c r="K108" s="36"/>
      <c r="L108" s="45"/>
      <c r="M108" s="37"/>
      <c r="N108" s="38"/>
      <c r="O108" s="38"/>
      <c r="P108" s="39"/>
    </row>
    <row r="109" spans="2:16">
      <c r="B109" s="40" t="str">
        <f>IF(ISERR(casostestes[[#This Row],[ID]]),"-",casostestes[[#This Row],[ID]])</f>
        <v>-</v>
      </c>
      <c r="C109" s="34" t="str">
        <f>IFERROR(IF(VLOOKUP($B109,casostestes[#Data],10)=0,"Não",VLOOKUP($B109,casostestes[#Data],10)), "-")</f>
        <v>-</v>
      </c>
      <c r="D109" s="35" t="str">
        <f>IFERROR(IF(VLOOKUP($B109,casostestes[#Data],2)=0,"-",VLOOKUP($B109,casostestes[#Data],2)), "-")</f>
        <v>-</v>
      </c>
      <c r="E109" s="35" t="str">
        <f>IFERROR(IF(VLOOKUP($B109,casostestes[#Data],3)=0,"-",VLOOKUP($B109,casostestes[#Data],3)), "-")</f>
        <v>-</v>
      </c>
      <c r="F109" s="35" t="str">
        <f>IFERROR(IF(VLOOKUP($B109,casostestes[#Data],4)=0,"-",VLOOKUP($B109,casostestes[#Data],4)),"-")</f>
        <v>-</v>
      </c>
      <c r="G109" s="35" t="str">
        <f>IFERROR(IF(VLOOKUP($B109,casostestes[#Data],5)=0,"-",VLOOKUP($B109,casostestes[#Data],5)),"-")</f>
        <v>-</v>
      </c>
      <c r="H109" s="35" t="str">
        <f>IFERROR(IF(VLOOKUP($B109,casostestes[#Data],6)=0,"-",VLOOKUP($B109,casostestes[#Data],6)),"-")</f>
        <v>-</v>
      </c>
      <c r="I109" s="35" t="str">
        <f>IFERROR(IF(VLOOKUP($B109,casostestes[#Data],8)=0,"-",VLOOKUP($B109,casostestes[#Data],8)),"-")</f>
        <v>-</v>
      </c>
      <c r="J109" s="35" t="str">
        <f>IFERROR(IF(VLOOKUP($B109,casostestes[#Data],9)=0,"-",VLOOKUP($B109,casostestes[#Data],9)),"-")</f>
        <v>-</v>
      </c>
      <c r="K109" s="36"/>
      <c r="L109" s="45"/>
      <c r="M109" s="37"/>
      <c r="N109" s="38"/>
      <c r="O109" s="38"/>
      <c r="P109" s="39"/>
    </row>
    <row r="110" spans="2:16">
      <c r="B110" s="40" t="str">
        <f>IF(ISERR(casostestes[[#This Row],[ID]]),"-",casostestes[[#This Row],[ID]])</f>
        <v>-</v>
      </c>
      <c r="C110" s="34" t="str">
        <f>IFERROR(IF(VLOOKUP($B110,casostestes[#Data],10)=0,"Não",VLOOKUP($B110,casostestes[#Data],10)), "-")</f>
        <v>-</v>
      </c>
      <c r="D110" s="35" t="str">
        <f>IFERROR(IF(VLOOKUP($B110,casostestes[#Data],2)=0,"-",VLOOKUP($B110,casostestes[#Data],2)), "-")</f>
        <v>-</v>
      </c>
      <c r="E110" s="35" t="str">
        <f>IFERROR(IF(VLOOKUP($B110,casostestes[#Data],3)=0,"-",VLOOKUP($B110,casostestes[#Data],3)), "-")</f>
        <v>-</v>
      </c>
      <c r="F110" s="35" t="str">
        <f>IFERROR(IF(VLOOKUP($B110,casostestes[#Data],4)=0,"-",VLOOKUP($B110,casostestes[#Data],4)),"-")</f>
        <v>-</v>
      </c>
      <c r="G110" s="35" t="str">
        <f>IFERROR(IF(VLOOKUP($B110,casostestes[#Data],5)=0,"-",VLOOKUP($B110,casostestes[#Data],5)),"-")</f>
        <v>-</v>
      </c>
      <c r="H110" s="35" t="str">
        <f>IFERROR(IF(VLOOKUP($B110,casostestes[#Data],6)=0,"-",VLOOKUP($B110,casostestes[#Data],6)),"-")</f>
        <v>-</v>
      </c>
      <c r="I110" s="35" t="str">
        <f>IFERROR(IF(VLOOKUP($B110,casostestes[#Data],8)=0,"-",VLOOKUP($B110,casostestes[#Data],8)),"-")</f>
        <v>-</v>
      </c>
      <c r="J110" s="35" t="str">
        <f>IFERROR(IF(VLOOKUP($B110,casostestes[#Data],9)=0,"-",VLOOKUP($B110,casostestes[#Data],9)),"-")</f>
        <v>-</v>
      </c>
      <c r="K110" s="36"/>
      <c r="L110" s="45"/>
      <c r="M110" s="37"/>
      <c r="N110" s="38"/>
      <c r="O110" s="38"/>
      <c r="P110" s="39"/>
    </row>
    <row r="111" spans="2:16">
      <c r="B111" s="40" t="str">
        <f>IF(ISERR(casostestes[[#This Row],[ID]]),"-",casostestes[[#This Row],[ID]])</f>
        <v>-</v>
      </c>
      <c r="C111" s="34" t="str">
        <f>IFERROR(IF(VLOOKUP($B111,casostestes[#Data],10)=0,"Não",VLOOKUP($B111,casostestes[#Data],10)), "-")</f>
        <v>-</v>
      </c>
      <c r="D111" s="35" t="str">
        <f>IFERROR(IF(VLOOKUP($B111,casostestes[#Data],2)=0,"-",VLOOKUP($B111,casostestes[#Data],2)), "-")</f>
        <v>-</v>
      </c>
      <c r="E111" s="35" t="str">
        <f>IFERROR(IF(VLOOKUP($B111,casostestes[#Data],3)=0,"-",VLOOKUP($B111,casostestes[#Data],3)), "-")</f>
        <v>-</v>
      </c>
      <c r="F111" s="35" t="str">
        <f>IFERROR(IF(VLOOKUP($B111,casostestes[#Data],4)=0,"-",VLOOKUP($B111,casostestes[#Data],4)),"-")</f>
        <v>-</v>
      </c>
      <c r="G111" s="35" t="str">
        <f>IFERROR(IF(VLOOKUP($B111,casostestes[#Data],5)=0,"-",VLOOKUP($B111,casostestes[#Data],5)),"-")</f>
        <v>-</v>
      </c>
      <c r="H111" s="35" t="str">
        <f>IFERROR(IF(VLOOKUP($B111,casostestes[#Data],6)=0,"-",VLOOKUP($B111,casostestes[#Data],6)),"-")</f>
        <v>-</v>
      </c>
      <c r="I111" s="35" t="str">
        <f>IFERROR(IF(VLOOKUP($B111,casostestes[#Data],8)=0,"-",VLOOKUP($B111,casostestes[#Data],8)),"-")</f>
        <v>-</v>
      </c>
      <c r="J111" s="35" t="str">
        <f>IFERROR(IF(VLOOKUP($B111,casostestes[#Data],9)=0,"-",VLOOKUP($B111,casostestes[#Data],9)),"-")</f>
        <v>-</v>
      </c>
      <c r="K111" s="36"/>
      <c r="L111" s="45"/>
      <c r="M111" s="37"/>
      <c r="N111" s="38"/>
      <c r="O111" s="38"/>
      <c r="P111" s="39"/>
    </row>
    <row r="112" spans="2:16">
      <c r="B112" s="40" t="str">
        <f>IF(ISERR(casostestes[[#This Row],[ID]]),"-",casostestes[[#This Row],[ID]])</f>
        <v>-</v>
      </c>
      <c r="C112" s="34" t="str">
        <f>IFERROR(IF(VLOOKUP($B112,casostestes[#Data],10)=0,"Não",VLOOKUP($B112,casostestes[#Data],10)), "-")</f>
        <v>-</v>
      </c>
      <c r="D112" s="35" t="str">
        <f>IFERROR(IF(VLOOKUP($B112,casostestes[#Data],2)=0,"-",VLOOKUP($B112,casostestes[#Data],2)), "-")</f>
        <v>-</v>
      </c>
      <c r="E112" s="35" t="str">
        <f>IFERROR(IF(VLOOKUP($B112,casostestes[#Data],3)=0,"-",VLOOKUP($B112,casostestes[#Data],3)), "-")</f>
        <v>-</v>
      </c>
      <c r="F112" s="35" t="str">
        <f>IFERROR(IF(VLOOKUP($B112,casostestes[#Data],4)=0,"-",VLOOKUP($B112,casostestes[#Data],4)),"-")</f>
        <v>-</v>
      </c>
      <c r="G112" s="35" t="str">
        <f>IFERROR(IF(VLOOKUP($B112,casostestes[#Data],5)=0,"-",VLOOKUP($B112,casostestes[#Data],5)),"-")</f>
        <v>-</v>
      </c>
      <c r="H112" s="35" t="str">
        <f>IFERROR(IF(VLOOKUP($B112,casostestes[#Data],6)=0,"-",VLOOKUP($B112,casostestes[#Data],6)),"-")</f>
        <v>-</v>
      </c>
      <c r="I112" s="35" t="str">
        <f>IFERROR(IF(VLOOKUP($B112,casostestes[#Data],8)=0,"-",VLOOKUP($B112,casostestes[#Data],8)),"-")</f>
        <v>-</v>
      </c>
      <c r="J112" s="35" t="str">
        <f>IFERROR(IF(VLOOKUP($B112,casostestes[#Data],9)=0,"-",VLOOKUP($B112,casostestes[#Data],9)),"-")</f>
        <v>-</v>
      </c>
      <c r="K112" s="36"/>
      <c r="L112" s="45"/>
      <c r="M112" s="37"/>
      <c r="N112" s="38"/>
      <c r="O112" s="38"/>
      <c r="P112" s="39"/>
    </row>
    <row r="113" spans="2:16">
      <c r="B113" s="40" t="str">
        <f>IF(ISERR(casostestes[[#This Row],[ID]]),"-",casostestes[[#This Row],[ID]])</f>
        <v>-</v>
      </c>
      <c r="C113" s="34" t="str">
        <f>IFERROR(IF(VLOOKUP($B113,casostestes[#Data],10)=0,"Não",VLOOKUP($B113,casostestes[#Data],10)), "-")</f>
        <v>-</v>
      </c>
      <c r="D113" s="35" t="str">
        <f>IFERROR(IF(VLOOKUP($B113,casostestes[#Data],2)=0,"-",VLOOKUP($B113,casostestes[#Data],2)), "-")</f>
        <v>-</v>
      </c>
      <c r="E113" s="35" t="str">
        <f>IFERROR(IF(VLOOKUP($B113,casostestes[#Data],3)=0,"-",VLOOKUP($B113,casostestes[#Data],3)), "-")</f>
        <v>-</v>
      </c>
      <c r="F113" s="35" t="str">
        <f>IFERROR(IF(VLOOKUP($B113,casostestes[#Data],4)=0,"-",VLOOKUP($B113,casostestes[#Data],4)),"-")</f>
        <v>-</v>
      </c>
      <c r="G113" s="35" t="str">
        <f>IFERROR(IF(VLOOKUP($B113,casostestes[#Data],5)=0,"-",VLOOKUP($B113,casostestes[#Data],5)),"-")</f>
        <v>-</v>
      </c>
      <c r="H113" s="35" t="str">
        <f>IFERROR(IF(VLOOKUP($B113,casostestes[#Data],6)=0,"-",VLOOKUP($B113,casostestes[#Data],6)),"-")</f>
        <v>-</v>
      </c>
      <c r="I113" s="35" t="str">
        <f>IFERROR(IF(VLOOKUP($B113,casostestes[#Data],8)=0,"-",VLOOKUP($B113,casostestes[#Data],8)),"-")</f>
        <v>-</v>
      </c>
      <c r="J113" s="35" t="str">
        <f>IFERROR(IF(VLOOKUP($B113,casostestes[#Data],9)=0,"-",VLOOKUP($B113,casostestes[#Data],9)),"-")</f>
        <v>-</v>
      </c>
      <c r="K113" s="36"/>
      <c r="L113" s="45"/>
      <c r="M113" s="37"/>
      <c r="N113" s="38"/>
      <c r="O113" s="38"/>
      <c r="P113" s="39"/>
    </row>
    <row r="114" spans="2:16">
      <c r="B114" s="40" t="str">
        <f>IF(ISERR(casostestes[[#This Row],[ID]]),"-",casostestes[[#This Row],[ID]])</f>
        <v>-</v>
      </c>
      <c r="C114" s="34" t="str">
        <f>IFERROR(IF(VLOOKUP($B114,casostestes[#Data],10)=0,"Não",VLOOKUP($B114,casostestes[#Data],10)), "-")</f>
        <v>-</v>
      </c>
      <c r="D114" s="35" t="str">
        <f>IFERROR(IF(VLOOKUP($B114,casostestes[#Data],2)=0,"-",VLOOKUP($B114,casostestes[#Data],2)), "-")</f>
        <v>-</v>
      </c>
      <c r="E114" s="35" t="str">
        <f>IFERROR(IF(VLOOKUP($B114,casostestes[#Data],3)=0,"-",VLOOKUP($B114,casostestes[#Data],3)), "-")</f>
        <v>-</v>
      </c>
      <c r="F114" s="35" t="str">
        <f>IFERROR(IF(VLOOKUP($B114,casostestes[#Data],4)=0,"-",VLOOKUP($B114,casostestes[#Data],4)),"-")</f>
        <v>-</v>
      </c>
      <c r="G114" s="35" t="str">
        <f>IFERROR(IF(VLOOKUP($B114,casostestes[#Data],5)=0,"-",VLOOKUP($B114,casostestes[#Data],5)),"-")</f>
        <v>-</v>
      </c>
      <c r="H114" s="35" t="str">
        <f>IFERROR(IF(VLOOKUP($B114,casostestes[#Data],6)=0,"-",VLOOKUP($B114,casostestes[#Data],6)),"-")</f>
        <v>-</v>
      </c>
      <c r="I114" s="35" t="str">
        <f>IFERROR(IF(VLOOKUP($B114,casostestes[#Data],8)=0,"-",VLOOKUP($B114,casostestes[#Data],8)),"-")</f>
        <v>-</v>
      </c>
      <c r="J114" s="35" t="str">
        <f>IFERROR(IF(VLOOKUP($B114,casostestes[#Data],9)=0,"-",VLOOKUP($B114,casostestes[#Data],9)),"-")</f>
        <v>-</v>
      </c>
      <c r="K114" s="36"/>
      <c r="L114" s="45"/>
      <c r="M114" s="37"/>
      <c r="N114" s="38"/>
      <c r="O114" s="38"/>
      <c r="P114" s="39"/>
    </row>
    <row r="115" spans="2:16">
      <c r="B115" s="40" t="str">
        <f>IF(ISERR(casostestes[[#This Row],[ID]]),"-",casostestes[[#This Row],[ID]])</f>
        <v>-</v>
      </c>
      <c r="C115" s="34" t="str">
        <f>IFERROR(IF(VLOOKUP($B115,casostestes[#Data],10)=0,"Não",VLOOKUP($B115,casostestes[#Data],10)), "-")</f>
        <v>-</v>
      </c>
      <c r="D115" s="35" t="str">
        <f>IFERROR(IF(VLOOKUP($B115,casostestes[#Data],2)=0,"-",VLOOKUP($B115,casostestes[#Data],2)), "-")</f>
        <v>-</v>
      </c>
      <c r="E115" s="35" t="str">
        <f>IFERROR(IF(VLOOKUP($B115,casostestes[#Data],3)=0,"-",VLOOKUP($B115,casostestes[#Data],3)), "-")</f>
        <v>-</v>
      </c>
      <c r="F115" s="35" t="str">
        <f>IFERROR(IF(VLOOKUP($B115,casostestes[#Data],4)=0,"-",VLOOKUP($B115,casostestes[#Data],4)),"-")</f>
        <v>-</v>
      </c>
      <c r="G115" s="35" t="str">
        <f>IFERROR(IF(VLOOKUP($B115,casostestes[#Data],5)=0,"-",VLOOKUP($B115,casostestes[#Data],5)),"-")</f>
        <v>-</v>
      </c>
      <c r="H115" s="35" t="str">
        <f>IFERROR(IF(VLOOKUP($B115,casostestes[#Data],6)=0,"-",VLOOKUP($B115,casostestes[#Data],6)),"-")</f>
        <v>-</v>
      </c>
      <c r="I115" s="35" t="str">
        <f>IFERROR(IF(VLOOKUP($B115,casostestes[#Data],8)=0,"-",VLOOKUP($B115,casostestes[#Data],8)),"-")</f>
        <v>-</v>
      </c>
      <c r="J115" s="35" t="str">
        <f>IFERROR(IF(VLOOKUP($B115,casostestes[#Data],9)=0,"-",VLOOKUP($B115,casostestes[#Data],9)),"-")</f>
        <v>-</v>
      </c>
      <c r="K115" s="36"/>
      <c r="L115" s="45"/>
      <c r="M115" s="37"/>
      <c r="N115" s="38"/>
      <c r="O115" s="38"/>
      <c r="P115" s="39"/>
    </row>
    <row r="116" spans="2:16">
      <c r="B116" s="40" t="str">
        <f>IF(ISERR(casostestes[[#This Row],[ID]]),"-",casostestes[[#This Row],[ID]])</f>
        <v>-</v>
      </c>
      <c r="C116" s="34" t="str">
        <f>IFERROR(IF(VLOOKUP($B116,casostestes[#Data],10)=0,"Não",VLOOKUP($B116,casostestes[#Data],10)), "-")</f>
        <v>-</v>
      </c>
      <c r="D116" s="35" t="str">
        <f>IFERROR(IF(VLOOKUP($B116,casostestes[#Data],2)=0,"-",VLOOKUP($B116,casostestes[#Data],2)), "-")</f>
        <v>-</v>
      </c>
      <c r="E116" s="35" t="str">
        <f>IFERROR(IF(VLOOKUP($B116,casostestes[#Data],3)=0,"-",VLOOKUP($B116,casostestes[#Data],3)), "-")</f>
        <v>-</v>
      </c>
      <c r="F116" s="35" t="str">
        <f>IFERROR(IF(VLOOKUP($B116,casostestes[#Data],4)=0,"-",VLOOKUP($B116,casostestes[#Data],4)),"-")</f>
        <v>-</v>
      </c>
      <c r="G116" s="35" t="str">
        <f>IFERROR(IF(VLOOKUP($B116,casostestes[#Data],5)=0,"-",VLOOKUP($B116,casostestes[#Data],5)),"-")</f>
        <v>-</v>
      </c>
      <c r="H116" s="35" t="str">
        <f>IFERROR(IF(VLOOKUP($B116,casostestes[#Data],6)=0,"-",VLOOKUP($B116,casostestes[#Data],6)),"-")</f>
        <v>-</v>
      </c>
      <c r="I116" s="35" t="str">
        <f>IFERROR(IF(VLOOKUP($B116,casostestes[#Data],8)=0,"-",VLOOKUP($B116,casostestes[#Data],8)),"-")</f>
        <v>-</v>
      </c>
      <c r="J116" s="35" t="str">
        <f>IFERROR(IF(VLOOKUP($B116,casostestes[#Data],9)=0,"-",VLOOKUP($B116,casostestes[#Data],9)),"-")</f>
        <v>-</v>
      </c>
      <c r="K116" s="36"/>
      <c r="L116" s="45"/>
      <c r="M116" s="37"/>
      <c r="N116" s="38"/>
      <c r="O116" s="38"/>
      <c r="P116" s="39"/>
    </row>
    <row r="117" spans="2:16">
      <c r="B117" s="40" t="str">
        <f>IF(ISERR(casostestes[[#This Row],[ID]]),"-",casostestes[[#This Row],[ID]])</f>
        <v>-</v>
      </c>
      <c r="C117" s="34" t="str">
        <f>IFERROR(IF(VLOOKUP($B117,casostestes[#Data],10)=0,"Não",VLOOKUP($B117,casostestes[#Data],10)), "-")</f>
        <v>-</v>
      </c>
      <c r="D117" s="35" t="str">
        <f>IFERROR(IF(VLOOKUP($B117,casostestes[#Data],2)=0,"-",VLOOKUP($B117,casostestes[#Data],2)), "-")</f>
        <v>-</v>
      </c>
      <c r="E117" s="35" t="str">
        <f>IFERROR(IF(VLOOKUP($B117,casostestes[#Data],3)=0,"-",VLOOKUP($B117,casostestes[#Data],3)), "-")</f>
        <v>-</v>
      </c>
      <c r="F117" s="35" t="str">
        <f>IFERROR(IF(VLOOKUP($B117,casostestes[#Data],4)=0,"-",VLOOKUP($B117,casostestes[#Data],4)),"-")</f>
        <v>-</v>
      </c>
      <c r="G117" s="35" t="str">
        <f>IFERROR(IF(VLOOKUP($B117,casostestes[#Data],5)=0,"-",VLOOKUP($B117,casostestes[#Data],5)),"-")</f>
        <v>-</v>
      </c>
      <c r="H117" s="35" t="str">
        <f>IFERROR(IF(VLOOKUP($B117,casostestes[#Data],6)=0,"-",VLOOKUP($B117,casostestes[#Data],6)),"-")</f>
        <v>-</v>
      </c>
      <c r="I117" s="35" t="str">
        <f>IFERROR(IF(VLOOKUP($B117,casostestes[#Data],8)=0,"-",VLOOKUP($B117,casostestes[#Data],8)),"-")</f>
        <v>-</v>
      </c>
      <c r="J117" s="35" t="str">
        <f>IFERROR(IF(VLOOKUP($B117,casostestes[#Data],9)=0,"-",VLOOKUP($B117,casostestes[#Data],9)),"-")</f>
        <v>-</v>
      </c>
      <c r="K117" s="36"/>
      <c r="L117" s="45"/>
      <c r="M117" s="37"/>
      <c r="N117" s="38"/>
      <c r="O117" s="38"/>
      <c r="P117" s="39"/>
    </row>
    <row r="118" spans="2:16">
      <c r="B118" s="40" t="str">
        <f>IF(ISERR(casostestes[[#This Row],[ID]]),"-",casostestes[[#This Row],[ID]])</f>
        <v>-</v>
      </c>
      <c r="C118" s="34" t="str">
        <f>IFERROR(IF(VLOOKUP($B118,casostestes[#Data],10)=0,"Não",VLOOKUP($B118,casostestes[#Data],10)), "-")</f>
        <v>-</v>
      </c>
      <c r="D118" s="35" t="str">
        <f>IFERROR(IF(VLOOKUP($B118,casostestes[#Data],2)=0,"-",VLOOKUP($B118,casostestes[#Data],2)), "-")</f>
        <v>-</v>
      </c>
      <c r="E118" s="35" t="str">
        <f>IFERROR(IF(VLOOKUP($B118,casostestes[#Data],3)=0,"-",VLOOKUP($B118,casostestes[#Data],3)), "-")</f>
        <v>-</v>
      </c>
      <c r="F118" s="35" t="str">
        <f>IFERROR(IF(VLOOKUP($B118,casostestes[#Data],4)=0,"-",VLOOKUP($B118,casostestes[#Data],4)),"-")</f>
        <v>-</v>
      </c>
      <c r="G118" s="35" t="str">
        <f>IFERROR(IF(VLOOKUP($B118,casostestes[#Data],5)=0,"-",VLOOKUP($B118,casostestes[#Data],5)),"-")</f>
        <v>-</v>
      </c>
      <c r="H118" s="35" t="str">
        <f>IFERROR(IF(VLOOKUP($B118,casostestes[#Data],6)=0,"-",VLOOKUP($B118,casostestes[#Data],6)),"-")</f>
        <v>-</v>
      </c>
      <c r="I118" s="35" t="str">
        <f>IFERROR(IF(VLOOKUP($B118,casostestes[#Data],8)=0,"-",VLOOKUP($B118,casostestes[#Data],8)),"-")</f>
        <v>-</v>
      </c>
      <c r="J118" s="35" t="str">
        <f>IFERROR(IF(VLOOKUP($B118,casostestes[#Data],9)=0,"-",VLOOKUP($B118,casostestes[#Data],9)),"-")</f>
        <v>-</v>
      </c>
      <c r="K118" s="36"/>
      <c r="L118" s="45"/>
      <c r="M118" s="37"/>
      <c r="N118" s="38"/>
      <c r="O118" s="38"/>
      <c r="P118" s="39"/>
    </row>
    <row r="119" spans="2:16">
      <c r="B119" s="40" t="str">
        <f>IF(ISERR(casostestes[[#This Row],[ID]]),"-",casostestes[[#This Row],[ID]])</f>
        <v>-</v>
      </c>
      <c r="C119" s="34" t="str">
        <f>IFERROR(IF(VLOOKUP($B119,casostestes[#Data],10)=0,"Não",VLOOKUP($B119,casostestes[#Data],10)), "-")</f>
        <v>-</v>
      </c>
      <c r="D119" s="35" t="str">
        <f>IFERROR(IF(VLOOKUP($B119,casostestes[#Data],2)=0,"-",VLOOKUP($B119,casostestes[#Data],2)), "-")</f>
        <v>-</v>
      </c>
      <c r="E119" s="35" t="str">
        <f>IFERROR(IF(VLOOKUP($B119,casostestes[#Data],3)=0,"-",VLOOKUP($B119,casostestes[#Data],3)), "-")</f>
        <v>-</v>
      </c>
      <c r="F119" s="35" t="str">
        <f>IFERROR(IF(VLOOKUP($B119,casostestes[#Data],4)=0,"-",VLOOKUP($B119,casostestes[#Data],4)),"-")</f>
        <v>-</v>
      </c>
      <c r="G119" s="35" t="str">
        <f>IFERROR(IF(VLOOKUP($B119,casostestes[#Data],5)=0,"-",VLOOKUP($B119,casostestes[#Data],5)),"-")</f>
        <v>-</v>
      </c>
      <c r="H119" s="35" t="str">
        <f>IFERROR(IF(VLOOKUP($B119,casostestes[#Data],6)=0,"-",VLOOKUP($B119,casostestes[#Data],6)),"-")</f>
        <v>-</v>
      </c>
      <c r="I119" s="35" t="str">
        <f>IFERROR(IF(VLOOKUP($B119,casostestes[#Data],8)=0,"-",VLOOKUP($B119,casostestes[#Data],8)),"-")</f>
        <v>-</v>
      </c>
      <c r="J119" s="35" t="str">
        <f>IFERROR(IF(VLOOKUP($B119,casostestes[#Data],9)=0,"-",VLOOKUP($B119,casostestes[#Data],9)),"-")</f>
        <v>-</v>
      </c>
      <c r="K119" s="36"/>
      <c r="L119" s="45"/>
      <c r="M119" s="37"/>
      <c r="N119" s="38"/>
      <c r="O119" s="38"/>
      <c r="P119" s="39"/>
    </row>
    <row r="120" spans="2:16">
      <c r="B120" s="40" t="str">
        <f>IF(ISERR(casostestes[[#This Row],[ID]]),"-",casostestes[[#This Row],[ID]])</f>
        <v>-</v>
      </c>
      <c r="C120" s="34" t="str">
        <f>IFERROR(IF(VLOOKUP($B120,casostestes[#Data],10)=0,"Não",VLOOKUP($B120,casostestes[#Data],10)), "-")</f>
        <v>-</v>
      </c>
      <c r="D120" s="35" t="str">
        <f>IFERROR(IF(VLOOKUP($B120,casostestes[#Data],2)=0,"-",VLOOKUP($B120,casostestes[#Data],2)), "-")</f>
        <v>-</v>
      </c>
      <c r="E120" s="35" t="str">
        <f>IFERROR(IF(VLOOKUP($B120,casostestes[#Data],3)=0,"-",VLOOKUP($B120,casostestes[#Data],3)), "-")</f>
        <v>-</v>
      </c>
      <c r="F120" s="35" t="str">
        <f>IFERROR(IF(VLOOKUP($B120,casostestes[#Data],4)=0,"-",VLOOKUP($B120,casostestes[#Data],4)),"-")</f>
        <v>-</v>
      </c>
      <c r="G120" s="35" t="str">
        <f>IFERROR(IF(VLOOKUP($B120,casostestes[#Data],5)=0,"-",VLOOKUP($B120,casostestes[#Data],5)),"-")</f>
        <v>-</v>
      </c>
      <c r="H120" s="35" t="str">
        <f>IFERROR(IF(VLOOKUP($B120,casostestes[#Data],6)=0,"-",VLOOKUP($B120,casostestes[#Data],6)),"-")</f>
        <v>-</v>
      </c>
      <c r="I120" s="35" t="str">
        <f>IFERROR(IF(VLOOKUP($B120,casostestes[#Data],8)=0,"-",VLOOKUP($B120,casostestes[#Data],8)),"-")</f>
        <v>-</v>
      </c>
      <c r="J120" s="35" t="str">
        <f>IFERROR(IF(VLOOKUP($B120,casostestes[#Data],9)=0,"-",VLOOKUP($B120,casostestes[#Data],9)),"-")</f>
        <v>-</v>
      </c>
      <c r="K120" s="36"/>
      <c r="L120" s="45"/>
      <c r="M120" s="37"/>
      <c r="N120" s="38"/>
      <c r="O120" s="38"/>
      <c r="P120" s="39"/>
    </row>
    <row r="121" spans="2:16">
      <c r="B121" s="40" t="str">
        <f>IF(ISERR(casostestes[[#This Row],[ID]]),"-",casostestes[[#This Row],[ID]])</f>
        <v>-</v>
      </c>
      <c r="C121" s="34" t="str">
        <f>IFERROR(IF(VLOOKUP($B121,casostestes[#Data],10)=0,"Não",VLOOKUP($B121,casostestes[#Data],10)), "-")</f>
        <v>-</v>
      </c>
      <c r="D121" s="35" t="str">
        <f>IFERROR(IF(VLOOKUP($B121,casostestes[#Data],2)=0,"-",VLOOKUP($B121,casostestes[#Data],2)), "-")</f>
        <v>-</v>
      </c>
      <c r="E121" s="35" t="str">
        <f>IFERROR(IF(VLOOKUP($B121,casostestes[#Data],3)=0,"-",VLOOKUP($B121,casostestes[#Data],3)), "-")</f>
        <v>-</v>
      </c>
      <c r="F121" s="35" t="str">
        <f>IFERROR(IF(VLOOKUP($B121,casostestes[#Data],4)=0,"-",VLOOKUP($B121,casostestes[#Data],4)),"-")</f>
        <v>-</v>
      </c>
      <c r="G121" s="35" t="str">
        <f>IFERROR(IF(VLOOKUP($B121,casostestes[#Data],5)=0,"-",VLOOKUP($B121,casostestes[#Data],5)),"-")</f>
        <v>-</v>
      </c>
      <c r="H121" s="35" t="str">
        <f>IFERROR(IF(VLOOKUP($B121,casostestes[#Data],6)=0,"-",VLOOKUP($B121,casostestes[#Data],6)),"-")</f>
        <v>-</v>
      </c>
      <c r="I121" s="35" t="str">
        <f>IFERROR(IF(VLOOKUP($B121,casostestes[#Data],8)=0,"-",VLOOKUP($B121,casostestes[#Data],8)),"-")</f>
        <v>-</v>
      </c>
      <c r="J121" s="35" t="str">
        <f>IFERROR(IF(VLOOKUP($B121,casostestes[#Data],9)=0,"-",VLOOKUP($B121,casostestes[#Data],9)),"-")</f>
        <v>-</v>
      </c>
      <c r="K121" s="36"/>
      <c r="L121" s="45"/>
      <c r="M121" s="37"/>
      <c r="N121" s="38"/>
      <c r="O121" s="38"/>
      <c r="P121" s="39"/>
    </row>
    <row r="122" spans="2:16">
      <c r="B122" s="40" t="str">
        <f>IF(ISERR(casostestes[[#This Row],[ID]]),"-",casostestes[[#This Row],[ID]])</f>
        <v>-</v>
      </c>
      <c r="C122" s="34" t="str">
        <f>IFERROR(IF(VLOOKUP($B122,casostestes[#Data],10)=0,"Não",VLOOKUP($B122,casostestes[#Data],10)), "-")</f>
        <v>-</v>
      </c>
      <c r="D122" s="35" t="str">
        <f>IFERROR(IF(VLOOKUP($B122,casostestes[#Data],2)=0,"-",VLOOKUP($B122,casostestes[#Data],2)), "-")</f>
        <v>-</v>
      </c>
      <c r="E122" s="35" t="str">
        <f>IFERROR(IF(VLOOKUP($B122,casostestes[#Data],3)=0,"-",VLOOKUP($B122,casostestes[#Data],3)), "-")</f>
        <v>-</v>
      </c>
      <c r="F122" s="35" t="str">
        <f>IFERROR(IF(VLOOKUP($B122,casostestes[#Data],4)=0,"-",VLOOKUP($B122,casostestes[#Data],4)),"-")</f>
        <v>-</v>
      </c>
      <c r="G122" s="35" t="str">
        <f>IFERROR(IF(VLOOKUP($B122,casostestes[#Data],5)=0,"-",VLOOKUP($B122,casostestes[#Data],5)),"-")</f>
        <v>-</v>
      </c>
      <c r="H122" s="35" t="str">
        <f>IFERROR(IF(VLOOKUP($B122,casostestes[#Data],6)=0,"-",VLOOKUP($B122,casostestes[#Data],6)),"-")</f>
        <v>-</v>
      </c>
      <c r="I122" s="35" t="str">
        <f>IFERROR(IF(VLOOKUP($B122,casostestes[#Data],8)=0,"-",VLOOKUP($B122,casostestes[#Data],8)),"-")</f>
        <v>-</v>
      </c>
      <c r="J122" s="35" t="str">
        <f>IFERROR(IF(VLOOKUP($B122,casostestes[#Data],9)=0,"-",VLOOKUP($B122,casostestes[#Data],9)),"-")</f>
        <v>-</v>
      </c>
      <c r="K122" s="36"/>
      <c r="L122" s="45"/>
      <c r="M122" s="37"/>
      <c r="N122" s="38"/>
      <c r="O122" s="38"/>
      <c r="P122" s="39"/>
    </row>
    <row r="123" spans="2:16">
      <c r="B123" s="40" t="str">
        <f>IF(ISERR(casostestes[[#This Row],[ID]]),"-",casostestes[[#This Row],[ID]])</f>
        <v>-</v>
      </c>
      <c r="C123" s="34" t="str">
        <f>IFERROR(IF(VLOOKUP($B123,casostestes[#Data],10)=0,"Não",VLOOKUP($B123,casostestes[#Data],10)), "-")</f>
        <v>-</v>
      </c>
      <c r="D123" s="35" t="str">
        <f>IFERROR(IF(VLOOKUP($B123,casostestes[#Data],2)=0,"-",VLOOKUP($B123,casostestes[#Data],2)), "-")</f>
        <v>-</v>
      </c>
      <c r="E123" s="35" t="str">
        <f>IFERROR(IF(VLOOKUP($B123,casostestes[#Data],3)=0,"-",VLOOKUP($B123,casostestes[#Data],3)), "-")</f>
        <v>-</v>
      </c>
      <c r="F123" s="35" t="str">
        <f>IFERROR(IF(VLOOKUP($B123,casostestes[#Data],4)=0,"-",VLOOKUP($B123,casostestes[#Data],4)),"-")</f>
        <v>-</v>
      </c>
      <c r="G123" s="35" t="str">
        <f>IFERROR(IF(VLOOKUP($B123,casostestes[#Data],5)=0,"-",VLOOKUP($B123,casostestes[#Data],5)),"-")</f>
        <v>-</v>
      </c>
      <c r="H123" s="35" t="str">
        <f>IFERROR(IF(VLOOKUP($B123,casostestes[#Data],6)=0,"-",VLOOKUP($B123,casostestes[#Data],6)),"-")</f>
        <v>-</v>
      </c>
      <c r="I123" s="35" t="str">
        <f>IFERROR(IF(VLOOKUP($B123,casostestes[#Data],8)=0,"-",VLOOKUP($B123,casostestes[#Data],8)),"-")</f>
        <v>-</v>
      </c>
      <c r="J123" s="35" t="str">
        <f>IFERROR(IF(VLOOKUP($B123,casostestes[#Data],9)=0,"-",VLOOKUP($B123,casostestes[#Data],9)),"-")</f>
        <v>-</v>
      </c>
      <c r="K123" s="36"/>
      <c r="L123" s="45"/>
      <c r="M123" s="37"/>
      <c r="N123" s="38"/>
      <c r="O123" s="38"/>
      <c r="P123" s="39"/>
    </row>
    <row r="124" spans="2:16">
      <c r="B124" s="40" t="str">
        <f>IF(ISERR(casostestes[[#This Row],[ID]]),"-",casostestes[[#This Row],[ID]])</f>
        <v>-</v>
      </c>
      <c r="C124" s="34" t="str">
        <f>IFERROR(IF(VLOOKUP($B124,casostestes[#Data],10)=0,"Não",VLOOKUP($B124,casostestes[#Data],10)), "-")</f>
        <v>-</v>
      </c>
      <c r="D124" s="35" t="str">
        <f>IFERROR(IF(VLOOKUP($B124,casostestes[#Data],2)=0,"-",VLOOKUP($B124,casostestes[#Data],2)), "-")</f>
        <v>-</v>
      </c>
      <c r="E124" s="35" t="str">
        <f>IFERROR(IF(VLOOKUP($B124,casostestes[#Data],3)=0,"-",VLOOKUP($B124,casostestes[#Data],3)), "-")</f>
        <v>-</v>
      </c>
      <c r="F124" s="35" t="str">
        <f>IFERROR(IF(VLOOKUP($B124,casostestes[#Data],4)=0,"-",VLOOKUP($B124,casostestes[#Data],4)),"-")</f>
        <v>-</v>
      </c>
      <c r="G124" s="35" t="str">
        <f>IFERROR(IF(VLOOKUP($B124,casostestes[#Data],5)=0,"-",VLOOKUP($B124,casostestes[#Data],5)),"-")</f>
        <v>-</v>
      </c>
      <c r="H124" s="35" t="str">
        <f>IFERROR(IF(VLOOKUP($B124,casostestes[#Data],6)=0,"-",VLOOKUP($B124,casostestes[#Data],6)),"-")</f>
        <v>-</v>
      </c>
      <c r="I124" s="35" t="str">
        <f>IFERROR(IF(VLOOKUP($B124,casostestes[#Data],8)=0,"-",VLOOKUP($B124,casostestes[#Data],8)),"-")</f>
        <v>-</v>
      </c>
      <c r="J124" s="35" t="str">
        <f>IFERROR(IF(VLOOKUP($B124,casostestes[#Data],9)=0,"-",VLOOKUP($B124,casostestes[#Data],9)),"-")</f>
        <v>-</v>
      </c>
      <c r="K124" s="36"/>
      <c r="L124" s="45"/>
      <c r="M124" s="37"/>
      <c r="N124" s="38"/>
      <c r="O124" s="38"/>
      <c r="P124" s="39"/>
    </row>
    <row r="125" spans="2:16">
      <c r="B125" s="40" t="str">
        <f>IF(ISERR(casostestes[[#This Row],[ID]]),"-",casostestes[[#This Row],[ID]])</f>
        <v>-</v>
      </c>
      <c r="C125" s="34" t="str">
        <f>IFERROR(IF(VLOOKUP($B125,casostestes[#Data],10)=0,"Não",VLOOKUP($B125,casostestes[#Data],10)), "-")</f>
        <v>-</v>
      </c>
      <c r="D125" s="35" t="str">
        <f>IFERROR(IF(VLOOKUP($B125,casostestes[#Data],2)=0,"-",VLOOKUP($B125,casostestes[#Data],2)), "-")</f>
        <v>-</v>
      </c>
      <c r="E125" s="35" t="str">
        <f>IFERROR(IF(VLOOKUP($B125,casostestes[#Data],3)=0,"-",VLOOKUP($B125,casostestes[#Data],3)), "-")</f>
        <v>-</v>
      </c>
      <c r="F125" s="35" t="str">
        <f>IFERROR(IF(VLOOKUP($B125,casostestes[#Data],4)=0,"-",VLOOKUP($B125,casostestes[#Data],4)),"-")</f>
        <v>-</v>
      </c>
      <c r="G125" s="35" t="str">
        <f>IFERROR(IF(VLOOKUP($B125,casostestes[#Data],5)=0,"-",VLOOKUP($B125,casostestes[#Data],5)),"-")</f>
        <v>-</v>
      </c>
      <c r="H125" s="35" t="str">
        <f>IFERROR(IF(VLOOKUP($B125,casostestes[#Data],6)=0,"-",VLOOKUP($B125,casostestes[#Data],6)),"-")</f>
        <v>-</v>
      </c>
      <c r="I125" s="35" t="str">
        <f>IFERROR(IF(VLOOKUP($B125,casostestes[#Data],8)=0,"-",VLOOKUP($B125,casostestes[#Data],8)),"-")</f>
        <v>-</v>
      </c>
      <c r="J125" s="35" t="str">
        <f>IFERROR(IF(VLOOKUP($B125,casostestes[#Data],9)=0,"-",VLOOKUP($B125,casostestes[#Data],9)),"-")</f>
        <v>-</v>
      </c>
      <c r="K125" s="36"/>
      <c r="L125" s="45"/>
      <c r="M125" s="37"/>
      <c r="N125" s="38"/>
      <c r="O125" s="38"/>
      <c r="P125" s="39"/>
    </row>
    <row r="126" spans="2:16">
      <c r="B126" s="40" t="str">
        <f>IF(ISERR(casostestes[[#This Row],[ID]]),"-",casostestes[[#This Row],[ID]])</f>
        <v>-</v>
      </c>
      <c r="C126" s="34" t="str">
        <f>IFERROR(IF(VLOOKUP($B126,casostestes[#Data],10)=0,"Não",VLOOKUP($B126,casostestes[#Data],10)), "-")</f>
        <v>-</v>
      </c>
      <c r="D126" s="35" t="str">
        <f>IFERROR(IF(VLOOKUP($B126,casostestes[#Data],2)=0,"-",VLOOKUP($B126,casostestes[#Data],2)), "-")</f>
        <v>-</v>
      </c>
      <c r="E126" s="35" t="str">
        <f>IFERROR(IF(VLOOKUP($B126,casostestes[#Data],3)=0,"-",VLOOKUP($B126,casostestes[#Data],3)), "-")</f>
        <v>-</v>
      </c>
      <c r="F126" s="35" t="str">
        <f>IFERROR(IF(VLOOKUP($B126,casostestes[#Data],4)=0,"-",VLOOKUP($B126,casostestes[#Data],4)),"-")</f>
        <v>-</v>
      </c>
      <c r="G126" s="35" t="str">
        <f>IFERROR(IF(VLOOKUP($B126,casostestes[#Data],5)=0,"-",VLOOKUP($B126,casostestes[#Data],5)),"-")</f>
        <v>-</v>
      </c>
      <c r="H126" s="35" t="str">
        <f>IFERROR(IF(VLOOKUP($B126,casostestes[#Data],6)=0,"-",VLOOKUP($B126,casostestes[#Data],6)),"-")</f>
        <v>-</v>
      </c>
      <c r="I126" s="35" t="str">
        <f>IFERROR(IF(VLOOKUP($B126,casostestes[#Data],8)=0,"-",VLOOKUP($B126,casostestes[#Data],8)),"-")</f>
        <v>-</v>
      </c>
      <c r="J126" s="35" t="str">
        <f>IFERROR(IF(VLOOKUP($B126,casostestes[#Data],9)=0,"-",VLOOKUP($B126,casostestes[#Data],9)),"-")</f>
        <v>-</v>
      </c>
      <c r="K126" s="36"/>
      <c r="L126" s="45"/>
      <c r="M126" s="37"/>
      <c r="N126" s="38"/>
      <c r="O126" s="38"/>
      <c r="P126" s="39"/>
    </row>
    <row r="127" spans="2:16">
      <c r="B127" s="40" t="str">
        <f>IF(ISERR(casostestes[[#This Row],[ID]]),"-",casostestes[[#This Row],[ID]])</f>
        <v>-</v>
      </c>
      <c r="C127" s="34" t="str">
        <f>IFERROR(IF(VLOOKUP($B127,casostestes[#Data],10)=0,"Não",VLOOKUP($B127,casostestes[#Data],10)), "-")</f>
        <v>-</v>
      </c>
      <c r="D127" s="35" t="str">
        <f>IFERROR(IF(VLOOKUP($B127,casostestes[#Data],2)=0,"-",VLOOKUP($B127,casostestes[#Data],2)), "-")</f>
        <v>-</v>
      </c>
      <c r="E127" s="35" t="str">
        <f>IFERROR(IF(VLOOKUP($B127,casostestes[#Data],3)=0,"-",VLOOKUP($B127,casostestes[#Data],3)), "-")</f>
        <v>-</v>
      </c>
      <c r="F127" s="35" t="str">
        <f>IFERROR(IF(VLOOKUP($B127,casostestes[#Data],4)=0,"-",VLOOKUP($B127,casostestes[#Data],4)),"-")</f>
        <v>-</v>
      </c>
      <c r="G127" s="35" t="str">
        <f>IFERROR(IF(VLOOKUP($B127,casostestes[#Data],5)=0,"-",VLOOKUP($B127,casostestes[#Data],5)),"-")</f>
        <v>-</v>
      </c>
      <c r="H127" s="35" t="str">
        <f>IFERROR(IF(VLOOKUP($B127,casostestes[#Data],6)=0,"-",VLOOKUP($B127,casostestes[#Data],6)),"-")</f>
        <v>-</v>
      </c>
      <c r="I127" s="35" t="str">
        <f>IFERROR(IF(VLOOKUP($B127,casostestes[#Data],8)=0,"-",VLOOKUP($B127,casostestes[#Data],8)),"-")</f>
        <v>-</v>
      </c>
      <c r="J127" s="35" t="str">
        <f>IFERROR(IF(VLOOKUP($B127,casostestes[#Data],9)=0,"-",VLOOKUP($B127,casostestes[#Data],9)),"-")</f>
        <v>-</v>
      </c>
      <c r="K127" s="36"/>
      <c r="L127" s="45"/>
      <c r="M127" s="37"/>
      <c r="N127" s="38"/>
      <c r="O127" s="38"/>
      <c r="P127" s="39"/>
    </row>
    <row r="128" spans="2:16">
      <c r="B128" s="40" t="str">
        <f>IF(ISERR(casostestes[[#This Row],[ID]]),"-",casostestes[[#This Row],[ID]])</f>
        <v>-</v>
      </c>
      <c r="C128" s="34" t="str">
        <f>IFERROR(IF(VLOOKUP($B128,casostestes[#Data],10)=0,"Não",VLOOKUP($B128,casostestes[#Data],10)), "-")</f>
        <v>-</v>
      </c>
      <c r="D128" s="35" t="str">
        <f>IFERROR(IF(VLOOKUP($B128,casostestes[#Data],2)=0,"-",VLOOKUP($B128,casostestes[#Data],2)), "-")</f>
        <v>-</v>
      </c>
      <c r="E128" s="35" t="str">
        <f>IFERROR(IF(VLOOKUP($B128,casostestes[#Data],3)=0,"-",VLOOKUP($B128,casostestes[#Data],3)), "-")</f>
        <v>-</v>
      </c>
      <c r="F128" s="35" t="str">
        <f>IFERROR(IF(VLOOKUP($B128,casostestes[#Data],4)=0,"-",VLOOKUP($B128,casostestes[#Data],4)),"-")</f>
        <v>-</v>
      </c>
      <c r="G128" s="35" t="str">
        <f>IFERROR(IF(VLOOKUP($B128,casostestes[#Data],5)=0,"-",VLOOKUP($B128,casostestes[#Data],5)),"-")</f>
        <v>-</v>
      </c>
      <c r="H128" s="35" t="str">
        <f>IFERROR(IF(VLOOKUP($B128,casostestes[#Data],6)=0,"-",VLOOKUP($B128,casostestes[#Data],6)),"-")</f>
        <v>-</v>
      </c>
      <c r="I128" s="35" t="str">
        <f>IFERROR(IF(VLOOKUP($B128,casostestes[#Data],8)=0,"-",VLOOKUP($B128,casostestes[#Data],8)),"-")</f>
        <v>-</v>
      </c>
      <c r="J128" s="35" t="str">
        <f>IFERROR(IF(VLOOKUP($B128,casostestes[#Data],9)=0,"-",VLOOKUP($B128,casostestes[#Data],9)),"-")</f>
        <v>-</v>
      </c>
      <c r="K128" s="36"/>
      <c r="L128" s="45"/>
      <c r="M128" s="37"/>
      <c r="N128" s="38"/>
      <c r="O128" s="38"/>
      <c r="P128" s="39"/>
    </row>
    <row r="129" spans="2:16">
      <c r="B129" s="40" t="str">
        <f>IF(ISERR(casostestes[[#This Row],[ID]]),"-",casostestes[[#This Row],[ID]])</f>
        <v>-</v>
      </c>
      <c r="C129" s="34" t="str">
        <f>IFERROR(IF(VLOOKUP($B129,casostestes[#Data],10)=0,"Não",VLOOKUP($B129,casostestes[#Data],10)), "-")</f>
        <v>-</v>
      </c>
      <c r="D129" s="35" t="str">
        <f>IFERROR(IF(VLOOKUP($B129,casostestes[#Data],2)=0,"-",VLOOKUP($B129,casostestes[#Data],2)), "-")</f>
        <v>-</v>
      </c>
      <c r="E129" s="35" t="str">
        <f>IFERROR(IF(VLOOKUP($B129,casostestes[#Data],3)=0,"-",VLOOKUP($B129,casostestes[#Data],3)), "-")</f>
        <v>-</v>
      </c>
      <c r="F129" s="35" t="str">
        <f>IFERROR(IF(VLOOKUP($B129,casostestes[#Data],4)=0,"-",VLOOKUP($B129,casostestes[#Data],4)),"-")</f>
        <v>-</v>
      </c>
      <c r="G129" s="35" t="str">
        <f>IFERROR(IF(VLOOKUP($B129,casostestes[#Data],5)=0,"-",VLOOKUP($B129,casostestes[#Data],5)),"-")</f>
        <v>-</v>
      </c>
      <c r="H129" s="35" t="str">
        <f>IFERROR(IF(VLOOKUP($B129,casostestes[#Data],6)=0,"-",VLOOKUP($B129,casostestes[#Data],6)),"-")</f>
        <v>-</v>
      </c>
      <c r="I129" s="35" t="str">
        <f>IFERROR(IF(VLOOKUP($B129,casostestes[#Data],8)=0,"-",VLOOKUP($B129,casostestes[#Data],8)),"-")</f>
        <v>-</v>
      </c>
      <c r="J129" s="35" t="str">
        <f>IFERROR(IF(VLOOKUP($B129,casostestes[#Data],9)=0,"-",VLOOKUP($B129,casostestes[#Data],9)),"-")</f>
        <v>-</v>
      </c>
      <c r="K129" s="36"/>
      <c r="L129" s="45"/>
      <c r="M129" s="37"/>
      <c r="N129" s="38"/>
      <c r="O129" s="38"/>
      <c r="P129" s="39"/>
    </row>
    <row r="130" spans="2:16">
      <c r="B130" s="40" t="str">
        <f>IF(ISERR(casostestes[[#This Row],[ID]]),"-",casostestes[[#This Row],[ID]])</f>
        <v>-</v>
      </c>
      <c r="C130" s="34" t="str">
        <f>IFERROR(IF(VLOOKUP($B130,casostestes[#Data],10)=0,"Não",VLOOKUP($B130,casostestes[#Data],10)), "-")</f>
        <v>-</v>
      </c>
      <c r="D130" s="35" t="str">
        <f>IFERROR(IF(VLOOKUP($B130,casostestes[#Data],2)=0,"-",VLOOKUP($B130,casostestes[#Data],2)), "-")</f>
        <v>-</v>
      </c>
      <c r="E130" s="35" t="str">
        <f>IFERROR(IF(VLOOKUP($B130,casostestes[#Data],3)=0,"-",VLOOKUP($B130,casostestes[#Data],3)), "-")</f>
        <v>-</v>
      </c>
      <c r="F130" s="35" t="str">
        <f>IFERROR(IF(VLOOKUP($B130,casostestes[#Data],4)=0,"-",VLOOKUP($B130,casostestes[#Data],4)),"-")</f>
        <v>-</v>
      </c>
      <c r="G130" s="35" t="str">
        <f>IFERROR(IF(VLOOKUP($B130,casostestes[#Data],5)=0,"-",VLOOKUP($B130,casostestes[#Data],5)),"-")</f>
        <v>-</v>
      </c>
      <c r="H130" s="35" t="str">
        <f>IFERROR(IF(VLOOKUP($B130,casostestes[#Data],6)=0,"-",VLOOKUP($B130,casostestes[#Data],6)),"-")</f>
        <v>-</v>
      </c>
      <c r="I130" s="35" t="str">
        <f>IFERROR(IF(VLOOKUP($B130,casostestes[#Data],8)=0,"-",VLOOKUP($B130,casostestes[#Data],8)),"-")</f>
        <v>-</v>
      </c>
      <c r="J130" s="35" t="str">
        <f>IFERROR(IF(VLOOKUP($B130,casostestes[#Data],9)=0,"-",VLOOKUP($B130,casostestes[#Data],9)),"-")</f>
        <v>-</v>
      </c>
      <c r="K130" s="36"/>
      <c r="L130" s="45"/>
      <c r="M130" s="37"/>
      <c r="N130" s="38"/>
      <c r="O130" s="38"/>
      <c r="P130" s="39"/>
    </row>
    <row r="131" spans="2:16">
      <c r="B131" s="40" t="str">
        <f>IF(ISERR(casostestes[[#This Row],[ID]]),"-",casostestes[[#This Row],[ID]])</f>
        <v>-</v>
      </c>
      <c r="C131" s="34" t="str">
        <f>IFERROR(IF(VLOOKUP($B131,casostestes[#Data],10)=0,"Não",VLOOKUP($B131,casostestes[#Data],10)), "-")</f>
        <v>-</v>
      </c>
      <c r="D131" s="35" t="str">
        <f>IFERROR(IF(VLOOKUP($B131,casostestes[#Data],2)=0,"-",VLOOKUP($B131,casostestes[#Data],2)), "-")</f>
        <v>-</v>
      </c>
      <c r="E131" s="35" t="str">
        <f>IFERROR(IF(VLOOKUP($B131,casostestes[#Data],3)=0,"-",VLOOKUP($B131,casostestes[#Data],3)), "-")</f>
        <v>-</v>
      </c>
      <c r="F131" s="35" t="str">
        <f>IFERROR(IF(VLOOKUP($B131,casostestes[#Data],4)=0,"-",VLOOKUP($B131,casostestes[#Data],4)),"-")</f>
        <v>-</v>
      </c>
      <c r="G131" s="35" t="str">
        <f>IFERROR(IF(VLOOKUP($B131,casostestes[#Data],5)=0,"-",VLOOKUP($B131,casostestes[#Data],5)),"-")</f>
        <v>-</v>
      </c>
      <c r="H131" s="35" t="str">
        <f>IFERROR(IF(VLOOKUP($B131,casostestes[#Data],6)=0,"-",VLOOKUP($B131,casostestes[#Data],6)),"-")</f>
        <v>-</v>
      </c>
      <c r="I131" s="35" t="str">
        <f>IFERROR(IF(VLOOKUP($B131,casostestes[#Data],8)=0,"-",VLOOKUP($B131,casostestes[#Data],8)),"-")</f>
        <v>-</v>
      </c>
      <c r="J131" s="35" t="str">
        <f>IFERROR(IF(VLOOKUP($B131,casostestes[#Data],9)=0,"-",VLOOKUP($B131,casostestes[#Data],9)),"-")</f>
        <v>-</v>
      </c>
      <c r="K131" s="36"/>
      <c r="L131" s="45"/>
      <c r="M131" s="37"/>
      <c r="N131" s="38"/>
      <c r="O131" s="38"/>
      <c r="P131" s="39"/>
    </row>
    <row r="132" spans="2:16">
      <c r="B132" s="40" t="str">
        <f>IF(ISERR(casostestes[[#This Row],[ID]]),"-",casostestes[[#This Row],[ID]])</f>
        <v>-</v>
      </c>
      <c r="C132" s="34" t="str">
        <f>IFERROR(IF(VLOOKUP($B132,casostestes[#Data],10)=0,"Não",VLOOKUP($B132,casostestes[#Data],10)), "-")</f>
        <v>-</v>
      </c>
      <c r="D132" s="35" t="str">
        <f>IFERROR(IF(VLOOKUP($B132,casostestes[#Data],2)=0,"-",VLOOKUP($B132,casostestes[#Data],2)), "-")</f>
        <v>-</v>
      </c>
      <c r="E132" s="35" t="str">
        <f>IFERROR(IF(VLOOKUP($B132,casostestes[#Data],3)=0,"-",VLOOKUP($B132,casostestes[#Data],3)), "-")</f>
        <v>-</v>
      </c>
      <c r="F132" s="35" t="str">
        <f>IFERROR(IF(VLOOKUP($B132,casostestes[#Data],4)=0,"-",VLOOKUP($B132,casostestes[#Data],4)),"-")</f>
        <v>-</v>
      </c>
      <c r="G132" s="35" t="str">
        <f>IFERROR(IF(VLOOKUP($B132,casostestes[#Data],5)=0,"-",VLOOKUP($B132,casostestes[#Data],5)),"-")</f>
        <v>-</v>
      </c>
      <c r="H132" s="35" t="str">
        <f>IFERROR(IF(VLOOKUP($B132,casostestes[#Data],6)=0,"-",VLOOKUP($B132,casostestes[#Data],6)),"-")</f>
        <v>-</v>
      </c>
      <c r="I132" s="35" t="str">
        <f>IFERROR(IF(VLOOKUP($B132,casostestes[#Data],8)=0,"-",VLOOKUP($B132,casostestes[#Data],8)),"-")</f>
        <v>-</v>
      </c>
      <c r="J132" s="35" t="str">
        <f>IFERROR(IF(VLOOKUP($B132,casostestes[#Data],9)=0,"-",VLOOKUP($B132,casostestes[#Data],9)),"-")</f>
        <v>-</v>
      </c>
      <c r="K132" s="36"/>
      <c r="L132" s="45"/>
      <c r="M132" s="37"/>
      <c r="N132" s="38"/>
      <c r="O132" s="38"/>
      <c r="P132" s="39"/>
    </row>
    <row r="133" spans="2:16">
      <c r="B133" s="40" t="str">
        <f>IF(ISERR(casostestes[[#This Row],[ID]]),"-",casostestes[[#This Row],[ID]])</f>
        <v>-</v>
      </c>
      <c r="C133" s="34" t="str">
        <f>IFERROR(IF(VLOOKUP($B133,casostestes[#Data],10)=0,"Não",VLOOKUP($B133,casostestes[#Data],10)), "-")</f>
        <v>-</v>
      </c>
      <c r="D133" s="35" t="str">
        <f>IFERROR(IF(VLOOKUP($B133,casostestes[#Data],2)=0,"-",VLOOKUP($B133,casostestes[#Data],2)), "-")</f>
        <v>-</v>
      </c>
      <c r="E133" s="35" t="str">
        <f>IFERROR(IF(VLOOKUP($B133,casostestes[#Data],3)=0,"-",VLOOKUP($B133,casostestes[#Data],3)), "-")</f>
        <v>-</v>
      </c>
      <c r="F133" s="35" t="str">
        <f>IFERROR(IF(VLOOKUP($B133,casostestes[#Data],4)=0,"-",VLOOKUP($B133,casostestes[#Data],4)),"-")</f>
        <v>-</v>
      </c>
      <c r="G133" s="35" t="str">
        <f>IFERROR(IF(VLOOKUP($B133,casostestes[#Data],5)=0,"-",VLOOKUP($B133,casostestes[#Data],5)),"-")</f>
        <v>-</v>
      </c>
      <c r="H133" s="35" t="str">
        <f>IFERROR(IF(VLOOKUP($B133,casostestes[#Data],6)=0,"-",VLOOKUP($B133,casostestes[#Data],6)),"-")</f>
        <v>-</v>
      </c>
      <c r="I133" s="35" t="str">
        <f>IFERROR(IF(VLOOKUP($B133,casostestes[#Data],8)=0,"-",VLOOKUP($B133,casostestes[#Data],8)),"-")</f>
        <v>-</v>
      </c>
      <c r="J133" s="35" t="str">
        <f>IFERROR(IF(VLOOKUP($B133,casostestes[#Data],9)=0,"-",VLOOKUP($B133,casostestes[#Data],9)),"-")</f>
        <v>-</v>
      </c>
      <c r="K133" s="36"/>
      <c r="L133" s="45"/>
      <c r="M133" s="37"/>
      <c r="N133" s="38"/>
      <c r="O133" s="38"/>
      <c r="P133" s="39"/>
    </row>
    <row r="134" spans="2:16">
      <c r="B134" s="40" t="str">
        <f>IF(ISERR(casostestes[[#This Row],[ID]]),"-",casostestes[[#This Row],[ID]])</f>
        <v>-</v>
      </c>
      <c r="C134" s="34" t="str">
        <f>IFERROR(IF(VLOOKUP($B134,casostestes[#Data],10)=0,"Não",VLOOKUP($B134,casostestes[#Data],10)), "-")</f>
        <v>-</v>
      </c>
      <c r="D134" s="35" t="str">
        <f>IFERROR(IF(VLOOKUP($B134,casostestes[#Data],2)=0,"-",VLOOKUP($B134,casostestes[#Data],2)), "-")</f>
        <v>-</v>
      </c>
      <c r="E134" s="35" t="str">
        <f>IFERROR(IF(VLOOKUP($B134,casostestes[#Data],3)=0,"-",VLOOKUP($B134,casostestes[#Data],3)), "-")</f>
        <v>-</v>
      </c>
      <c r="F134" s="35" t="str">
        <f>IFERROR(IF(VLOOKUP($B134,casostestes[#Data],4)=0,"-",VLOOKUP($B134,casostestes[#Data],4)),"-")</f>
        <v>-</v>
      </c>
      <c r="G134" s="35" t="str">
        <f>IFERROR(IF(VLOOKUP($B134,casostestes[#Data],5)=0,"-",VLOOKUP($B134,casostestes[#Data],5)),"-")</f>
        <v>-</v>
      </c>
      <c r="H134" s="35" t="str">
        <f>IFERROR(IF(VLOOKUP($B134,casostestes[#Data],6)=0,"-",VLOOKUP($B134,casostestes[#Data],6)),"-")</f>
        <v>-</v>
      </c>
      <c r="I134" s="35" t="str">
        <f>IFERROR(IF(VLOOKUP($B134,casostestes[#Data],8)=0,"-",VLOOKUP($B134,casostestes[#Data],8)),"-")</f>
        <v>-</v>
      </c>
      <c r="J134" s="35" t="str">
        <f>IFERROR(IF(VLOOKUP($B134,casostestes[#Data],9)=0,"-",VLOOKUP($B134,casostestes[#Data],9)),"-")</f>
        <v>-</v>
      </c>
      <c r="K134" s="36"/>
      <c r="L134" s="45"/>
      <c r="M134" s="37"/>
      <c r="N134" s="38"/>
      <c r="O134" s="38"/>
      <c r="P134" s="39"/>
    </row>
    <row r="135" spans="2:16">
      <c r="B135" s="40" t="str">
        <f>IF(ISERR(casostestes[[#This Row],[ID]]),"-",casostestes[[#This Row],[ID]])</f>
        <v>-</v>
      </c>
      <c r="C135" s="34" t="str">
        <f>IFERROR(IF(VLOOKUP($B135,casostestes[#Data],10)=0,"Não",VLOOKUP($B135,casostestes[#Data],10)), "-")</f>
        <v>-</v>
      </c>
      <c r="D135" s="35" t="str">
        <f>IFERROR(IF(VLOOKUP($B135,casostestes[#Data],2)=0,"-",VLOOKUP($B135,casostestes[#Data],2)), "-")</f>
        <v>-</v>
      </c>
      <c r="E135" s="35" t="str">
        <f>IFERROR(IF(VLOOKUP($B135,casostestes[#Data],3)=0,"-",VLOOKUP($B135,casostestes[#Data],3)), "-")</f>
        <v>-</v>
      </c>
      <c r="F135" s="35" t="str">
        <f>IFERROR(IF(VLOOKUP($B135,casostestes[#Data],4)=0,"-",VLOOKUP($B135,casostestes[#Data],4)),"-")</f>
        <v>-</v>
      </c>
      <c r="G135" s="35" t="str">
        <f>IFERROR(IF(VLOOKUP($B135,casostestes[#Data],5)=0,"-",VLOOKUP($B135,casostestes[#Data],5)),"-")</f>
        <v>-</v>
      </c>
      <c r="H135" s="35" t="str">
        <f>IFERROR(IF(VLOOKUP($B135,casostestes[#Data],6)=0,"-",VLOOKUP($B135,casostestes[#Data],6)),"-")</f>
        <v>-</v>
      </c>
      <c r="I135" s="35" t="str">
        <f>IFERROR(IF(VLOOKUP($B135,casostestes[#Data],8)=0,"-",VLOOKUP($B135,casostestes[#Data],8)),"-")</f>
        <v>-</v>
      </c>
      <c r="J135" s="35" t="str">
        <f>IFERROR(IF(VLOOKUP($B135,casostestes[#Data],9)=0,"-",VLOOKUP($B135,casostestes[#Data],9)),"-")</f>
        <v>-</v>
      </c>
      <c r="K135" s="36"/>
      <c r="L135" s="45"/>
      <c r="M135" s="37"/>
      <c r="N135" s="38"/>
      <c r="O135" s="38"/>
      <c r="P135" s="39"/>
    </row>
    <row r="136" spans="2:16">
      <c r="B136" s="40" t="str">
        <f>IF(ISERR(casostestes[[#This Row],[ID]]),"-",casostestes[[#This Row],[ID]])</f>
        <v>-</v>
      </c>
      <c r="C136" s="34" t="str">
        <f>IFERROR(IF(VLOOKUP($B136,casostestes[#Data],10)=0,"Não",VLOOKUP($B136,casostestes[#Data],10)), "-")</f>
        <v>-</v>
      </c>
      <c r="D136" s="35" t="str">
        <f>IFERROR(IF(VLOOKUP($B136,casostestes[#Data],2)=0,"-",VLOOKUP($B136,casostestes[#Data],2)), "-")</f>
        <v>-</v>
      </c>
      <c r="E136" s="35" t="str">
        <f>IFERROR(IF(VLOOKUP($B136,casostestes[#Data],3)=0,"-",VLOOKUP($B136,casostestes[#Data],3)), "-")</f>
        <v>-</v>
      </c>
      <c r="F136" s="35" t="str">
        <f>IFERROR(IF(VLOOKUP($B136,casostestes[#Data],4)=0,"-",VLOOKUP($B136,casostestes[#Data],4)),"-")</f>
        <v>-</v>
      </c>
      <c r="G136" s="35" t="str">
        <f>IFERROR(IF(VLOOKUP($B136,casostestes[#Data],5)=0,"-",VLOOKUP($B136,casostestes[#Data],5)),"-")</f>
        <v>-</v>
      </c>
      <c r="H136" s="35" t="str">
        <f>IFERROR(IF(VLOOKUP($B136,casostestes[#Data],6)=0,"-",VLOOKUP($B136,casostestes[#Data],6)),"-")</f>
        <v>-</v>
      </c>
      <c r="I136" s="35" t="str">
        <f>IFERROR(IF(VLOOKUP($B136,casostestes[#Data],8)=0,"-",VLOOKUP($B136,casostestes[#Data],8)),"-")</f>
        <v>-</v>
      </c>
      <c r="J136" s="35" t="str">
        <f>IFERROR(IF(VLOOKUP($B136,casostestes[#Data],9)=0,"-",VLOOKUP($B136,casostestes[#Data],9)),"-")</f>
        <v>-</v>
      </c>
      <c r="K136" s="36"/>
      <c r="L136" s="45"/>
      <c r="M136" s="37"/>
      <c r="N136" s="38"/>
      <c r="O136" s="38"/>
      <c r="P136" s="39"/>
    </row>
    <row r="137" spans="2:16">
      <c r="B137" s="40" t="str">
        <f>IF(ISERR(casostestes[[#This Row],[ID]]),"-",casostestes[[#This Row],[ID]])</f>
        <v>-</v>
      </c>
      <c r="C137" s="34" t="str">
        <f>IFERROR(IF(VLOOKUP($B137,casostestes[#Data],10)=0,"Não",VLOOKUP($B137,casostestes[#Data],10)), "-")</f>
        <v>-</v>
      </c>
      <c r="D137" s="35" t="str">
        <f>IFERROR(IF(VLOOKUP($B137,casostestes[#Data],2)=0,"-",VLOOKUP($B137,casostestes[#Data],2)), "-")</f>
        <v>-</v>
      </c>
      <c r="E137" s="35" t="str">
        <f>IFERROR(IF(VLOOKUP($B137,casostestes[#Data],3)=0,"-",VLOOKUP($B137,casostestes[#Data],3)), "-")</f>
        <v>-</v>
      </c>
      <c r="F137" s="35" t="str">
        <f>IFERROR(IF(VLOOKUP($B137,casostestes[#Data],4)=0,"-",VLOOKUP($B137,casostestes[#Data],4)),"-")</f>
        <v>-</v>
      </c>
      <c r="G137" s="35" t="str">
        <f>IFERROR(IF(VLOOKUP($B137,casostestes[#Data],5)=0,"-",VLOOKUP($B137,casostestes[#Data],5)),"-")</f>
        <v>-</v>
      </c>
      <c r="H137" s="35" t="str">
        <f>IFERROR(IF(VLOOKUP($B137,casostestes[#Data],6)=0,"-",VLOOKUP($B137,casostestes[#Data],6)),"-")</f>
        <v>-</v>
      </c>
      <c r="I137" s="35" t="str">
        <f>IFERROR(IF(VLOOKUP($B137,casostestes[#Data],8)=0,"-",VLOOKUP($B137,casostestes[#Data],8)),"-")</f>
        <v>-</v>
      </c>
      <c r="J137" s="35" t="str">
        <f>IFERROR(IF(VLOOKUP($B137,casostestes[#Data],9)=0,"-",VLOOKUP($B137,casostestes[#Data],9)),"-")</f>
        <v>-</v>
      </c>
      <c r="K137" s="36"/>
      <c r="L137" s="45"/>
      <c r="M137" s="37"/>
      <c r="N137" s="38"/>
      <c r="O137" s="38"/>
      <c r="P137" s="39"/>
    </row>
    <row r="138" spans="2:16">
      <c r="B138" s="40" t="str">
        <f>IF(ISERR(casostestes[[#This Row],[ID]]),"-",casostestes[[#This Row],[ID]])</f>
        <v>-</v>
      </c>
      <c r="C138" s="34" t="str">
        <f>IFERROR(IF(VLOOKUP($B138,casostestes[#Data],10)=0,"Não",VLOOKUP($B138,casostestes[#Data],10)), "-")</f>
        <v>-</v>
      </c>
      <c r="D138" s="35" t="str">
        <f>IFERROR(IF(VLOOKUP($B138,casostestes[#Data],2)=0,"-",VLOOKUP($B138,casostestes[#Data],2)), "-")</f>
        <v>-</v>
      </c>
      <c r="E138" s="35" t="str">
        <f>IFERROR(IF(VLOOKUP($B138,casostestes[#Data],3)=0,"-",VLOOKUP($B138,casostestes[#Data],3)), "-")</f>
        <v>-</v>
      </c>
      <c r="F138" s="35" t="str">
        <f>IFERROR(IF(VLOOKUP($B138,casostestes[#Data],4)=0,"-",VLOOKUP($B138,casostestes[#Data],4)),"-")</f>
        <v>-</v>
      </c>
      <c r="G138" s="35" t="str">
        <f>IFERROR(IF(VLOOKUP($B138,casostestes[#Data],5)=0,"-",VLOOKUP($B138,casostestes[#Data],5)),"-")</f>
        <v>-</v>
      </c>
      <c r="H138" s="35" t="str">
        <f>IFERROR(IF(VLOOKUP($B138,casostestes[#Data],6)=0,"-",VLOOKUP($B138,casostestes[#Data],6)),"-")</f>
        <v>-</v>
      </c>
      <c r="I138" s="35" t="str">
        <f>IFERROR(IF(VLOOKUP($B138,casostestes[#Data],8)=0,"-",VLOOKUP($B138,casostestes[#Data],8)),"-")</f>
        <v>-</v>
      </c>
      <c r="J138" s="35" t="str">
        <f>IFERROR(IF(VLOOKUP($B138,casostestes[#Data],9)=0,"-",VLOOKUP($B138,casostestes[#Data],9)),"-")</f>
        <v>-</v>
      </c>
      <c r="K138" s="36"/>
      <c r="L138" s="45"/>
      <c r="M138" s="37"/>
      <c r="N138" s="38"/>
      <c r="O138" s="38"/>
      <c r="P138" s="39"/>
    </row>
    <row r="139" spans="2:16">
      <c r="B139" s="40" t="str">
        <f>IF(ISERR(casostestes[[#This Row],[ID]]),"-",casostestes[[#This Row],[ID]])</f>
        <v>-</v>
      </c>
      <c r="C139" s="34" t="str">
        <f>IFERROR(IF(VLOOKUP($B139,casostestes[#Data],10)=0,"Não",VLOOKUP($B139,casostestes[#Data],10)), "-")</f>
        <v>-</v>
      </c>
      <c r="D139" s="35" t="str">
        <f>IFERROR(IF(VLOOKUP($B139,casostestes[#Data],2)=0,"-",VLOOKUP($B139,casostestes[#Data],2)), "-")</f>
        <v>-</v>
      </c>
      <c r="E139" s="35" t="str">
        <f>IFERROR(IF(VLOOKUP($B139,casostestes[#Data],3)=0,"-",VLOOKUP($B139,casostestes[#Data],3)), "-")</f>
        <v>-</v>
      </c>
      <c r="F139" s="35" t="str">
        <f>IFERROR(IF(VLOOKUP($B139,casostestes[#Data],4)=0,"-",VLOOKUP($B139,casostestes[#Data],4)),"-")</f>
        <v>-</v>
      </c>
      <c r="G139" s="35" t="str">
        <f>IFERROR(IF(VLOOKUP($B139,casostestes[#Data],5)=0,"-",VLOOKUP($B139,casostestes[#Data],5)),"-")</f>
        <v>-</v>
      </c>
      <c r="H139" s="35" t="str">
        <f>IFERROR(IF(VLOOKUP($B139,casostestes[#Data],6)=0,"-",VLOOKUP($B139,casostestes[#Data],6)),"-")</f>
        <v>-</v>
      </c>
      <c r="I139" s="35" t="str">
        <f>IFERROR(IF(VLOOKUP($B139,casostestes[#Data],8)=0,"-",VLOOKUP($B139,casostestes[#Data],8)),"-")</f>
        <v>-</v>
      </c>
      <c r="J139" s="35" t="str">
        <f>IFERROR(IF(VLOOKUP($B139,casostestes[#Data],9)=0,"-",VLOOKUP($B139,casostestes[#Data],9)),"-")</f>
        <v>-</v>
      </c>
      <c r="K139" s="36"/>
      <c r="L139" s="45"/>
      <c r="M139" s="37"/>
      <c r="N139" s="38"/>
      <c r="O139" s="38"/>
      <c r="P139" s="39"/>
    </row>
    <row r="140" spans="2:16">
      <c r="B140" s="40" t="str">
        <f>IF(ISERR(casostestes[[#This Row],[ID]]),"-",casostestes[[#This Row],[ID]])</f>
        <v>-</v>
      </c>
      <c r="C140" s="34" t="str">
        <f>IFERROR(IF(VLOOKUP($B140,casostestes[#Data],10)=0,"Não",VLOOKUP($B140,casostestes[#Data],10)), "-")</f>
        <v>-</v>
      </c>
      <c r="D140" s="35" t="str">
        <f>IFERROR(IF(VLOOKUP($B140,casostestes[#Data],2)=0,"-",VLOOKUP($B140,casostestes[#Data],2)), "-")</f>
        <v>-</v>
      </c>
      <c r="E140" s="35" t="str">
        <f>IFERROR(IF(VLOOKUP($B140,casostestes[#Data],3)=0,"-",VLOOKUP($B140,casostestes[#Data],3)), "-")</f>
        <v>-</v>
      </c>
      <c r="F140" s="35" t="str">
        <f>IFERROR(IF(VLOOKUP($B140,casostestes[#Data],4)=0,"-",VLOOKUP($B140,casostestes[#Data],4)),"-")</f>
        <v>-</v>
      </c>
      <c r="G140" s="35" t="str">
        <f>IFERROR(IF(VLOOKUP($B140,casostestes[#Data],5)=0,"-",VLOOKUP($B140,casostestes[#Data],5)),"-")</f>
        <v>-</v>
      </c>
      <c r="H140" s="35" t="str">
        <f>IFERROR(IF(VLOOKUP($B140,casostestes[#Data],6)=0,"-",VLOOKUP($B140,casostestes[#Data],6)),"-")</f>
        <v>-</v>
      </c>
      <c r="I140" s="35" t="str">
        <f>IFERROR(IF(VLOOKUP($B140,casostestes[#Data],8)=0,"-",VLOOKUP($B140,casostestes[#Data],8)),"-")</f>
        <v>-</v>
      </c>
      <c r="J140" s="35" t="str">
        <f>IFERROR(IF(VLOOKUP($B140,casostestes[#Data],9)=0,"-",VLOOKUP($B140,casostestes[#Data],9)),"-")</f>
        <v>-</v>
      </c>
      <c r="K140" s="36"/>
      <c r="L140" s="45"/>
      <c r="M140" s="37"/>
      <c r="N140" s="38"/>
      <c r="O140" s="38"/>
      <c r="P140" s="39"/>
    </row>
    <row r="141" spans="2:16">
      <c r="B141" s="40" t="str">
        <f>IF(ISERR(casostestes[[#This Row],[ID]]),"-",casostestes[[#This Row],[ID]])</f>
        <v>-</v>
      </c>
      <c r="C141" s="34" t="str">
        <f>IFERROR(IF(VLOOKUP($B141,casostestes[#Data],10)=0,"Não",VLOOKUP($B141,casostestes[#Data],10)), "-")</f>
        <v>-</v>
      </c>
      <c r="D141" s="35" t="str">
        <f>IFERROR(IF(VLOOKUP($B141,casostestes[#Data],2)=0,"-",VLOOKUP($B141,casostestes[#Data],2)), "-")</f>
        <v>-</v>
      </c>
      <c r="E141" s="35" t="str">
        <f>IFERROR(IF(VLOOKUP($B141,casostestes[#Data],3)=0,"-",VLOOKUP($B141,casostestes[#Data],3)), "-")</f>
        <v>-</v>
      </c>
      <c r="F141" s="35" t="str">
        <f>IFERROR(IF(VLOOKUP($B141,casostestes[#Data],4)=0,"-",VLOOKUP($B141,casostestes[#Data],4)),"-")</f>
        <v>-</v>
      </c>
      <c r="G141" s="35" t="str">
        <f>IFERROR(IF(VLOOKUP($B141,casostestes[#Data],5)=0,"-",VLOOKUP($B141,casostestes[#Data],5)),"-")</f>
        <v>-</v>
      </c>
      <c r="H141" s="35" t="str">
        <f>IFERROR(IF(VLOOKUP($B141,casostestes[#Data],6)=0,"-",VLOOKUP($B141,casostestes[#Data],6)),"-")</f>
        <v>-</v>
      </c>
      <c r="I141" s="35" t="str">
        <f>IFERROR(IF(VLOOKUP($B141,casostestes[#Data],8)=0,"-",VLOOKUP($B141,casostestes[#Data],8)),"-")</f>
        <v>-</v>
      </c>
      <c r="J141" s="35" t="str">
        <f>IFERROR(IF(VLOOKUP($B141,casostestes[#Data],9)=0,"-",VLOOKUP($B141,casostestes[#Data],9)),"-")</f>
        <v>-</v>
      </c>
      <c r="K141" s="36"/>
      <c r="L141" s="45"/>
      <c r="M141" s="37"/>
      <c r="N141" s="38"/>
      <c r="O141" s="38"/>
      <c r="P141" s="39"/>
    </row>
    <row r="142" spans="2:16">
      <c r="B142" s="40" t="str">
        <f>IF(ISERR(casostestes[[#This Row],[ID]]),"-",casostestes[[#This Row],[ID]])</f>
        <v>-</v>
      </c>
      <c r="C142" s="34" t="str">
        <f>IFERROR(IF(VLOOKUP($B142,casostestes[#Data],10)=0,"Não",VLOOKUP($B142,casostestes[#Data],10)), "-")</f>
        <v>-</v>
      </c>
      <c r="D142" s="35" t="str">
        <f>IFERROR(IF(VLOOKUP($B142,casostestes[#Data],2)=0,"-",VLOOKUP($B142,casostestes[#Data],2)), "-")</f>
        <v>-</v>
      </c>
      <c r="E142" s="35" t="str">
        <f>IFERROR(IF(VLOOKUP($B142,casostestes[#Data],3)=0,"-",VLOOKUP($B142,casostestes[#Data],3)), "-")</f>
        <v>-</v>
      </c>
      <c r="F142" s="35" t="str">
        <f>IFERROR(IF(VLOOKUP($B142,casostestes[#Data],4)=0,"-",VLOOKUP($B142,casostestes[#Data],4)),"-")</f>
        <v>-</v>
      </c>
      <c r="G142" s="35" t="str">
        <f>IFERROR(IF(VLOOKUP($B142,casostestes[#Data],5)=0,"-",VLOOKUP($B142,casostestes[#Data],5)),"-")</f>
        <v>-</v>
      </c>
      <c r="H142" s="35" t="str">
        <f>IFERROR(IF(VLOOKUP($B142,casostestes[#Data],6)=0,"-",VLOOKUP($B142,casostestes[#Data],6)),"-")</f>
        <v>-</v>
      </c>
      <c r="I142" s="35" t="str">
        <f>IFERROR(IF(VLOOKUP($B142,casostestes[#Data],8)=0,"-",VLOOKUP($B142,casostestes[#Data],8)),"-")</f>
        <v>-</v>
      </c>
      <c r="J142" s="35" t="str">
        <f>IFERROR(IF(VLOOKUP($B142,casostestes[#Data],9)=0,"-",VLOOKUP($B142,casostestes[#Data],9)),"-")</f>
        <v>-</v>
      </c>
      <c r="K142" s="36"/>
      <c r="L142" s="45"/>
      <c r="M142" s="37"/>
      <c r="N142" s="38"/>
      <c r="O142" s="38"/>
      <c r="P142" s="39"/>
    </row>
    <row r="143" spans="2:16">
      <c r="B143" s="40" t="str">
        <f>IF(ISERR(casostestes[[#This Row],[ID]]),"-",casostestes[[#This Row],[ID]])</f>
        <v>-</v>
      </c>
      <c r="C143" s="34" t="str">
        <f>IFERROR(IF(VLOOKUP($B143,casostestes[#Data],10)=0,"Não",VLOOKUP($B143,casostestes[#Data],10)), "-")</f>
        <v>-</v>
      </c>
      <c r="D143" s="35" t="str">
        <f>IFERROR(IF(VLOOKUP($B143,casostestes[#Data],2)=0,"-",VLOOKUP($B143,casostestes[#Data],2)), "-")</f>
        <v>-</v>
      </c>
      <c r="E143" s="35" t="str">
        <f>IFERROR(IF(VLOOKUP($B143,casostestes[#Data],3)=0,"-",VLOOKUP($B143,casostestes[#Data],3)), "-")</f>
        <v>-</v>
      </c>
      <c r="F143" s="35" t="str">
        <f>IFERROR(IF(VLOOKUP($B143,casostestes[#Data],4)=0,"-",VLOOKUP($B143,casostestes[#Data],4)),"-")</f>
        <v>-</v>
      </c>
      <c r="G143" s="35" t="str">
        <f>IFERROR(IF(VLOOKUP($B143,casostestes[#Data],5)=0,"-",VLOOKUP($B143,casostestes[#Data],5)),"-")</f>
        <v>-</v>
      </c>
      <c r="H143" s="35" t="str">
        <f>IFERROR(IF(VLOOKUP($B143,casostestes[#Data],6)=0,"-",VLOOKUP($B143,casostestes[#Data],6)),"-")</f>
        <v>-</v>
      </c>
      <c r="I143" s="35" t="str">
        <f>IFERROR(IF(VLOOKUP($B143,casostestes[#Data],8)=0,"-",VLOOKUP($B143,casostestes[#Data],8)),"-")</f>
        <v>-</v>
      </c>
      <c r="J143" s="35" t="str">
        <f>IFERROR(IF(VLOOKUP($B143,casostestes[#Data],9)=0,"-",VLOOKUP($B143,casostestes[#Data],9)),"-")</f>
        <v>-</v>
      </c>
      <c r="K143" s="36"/>
      <c r="L143" s="45"/>
      <c r="M143" s="37"/>
      <c r="N143" s="38"/>
      <c r="O143" s="38"/>
      <c r="P143" s="39"/>
    </row>
    <row r="144" spans="2:16">
      <c r="B144" s="40" t="str">
        <f>IF(ISERR(casostestes[[#This Row],[ID]]),"-",casostestes[[#This Row],[ID]])</f>
        <v>-</v>
      </c>
      <c r="C144" s="34" t="str">
        <f>IFERROR(IF(VLOOKUP($B144,casostestes[#Data],10)=0,"Não",VLOOKUP($B144,casostestes[#Data],10)), "-")</f>
        <v>-</v>
      </c>
      <c r="D144" s="35" t="str">
        <f>IFERROR(IF(VLOOKUP($B144,casostestes[#Data],2)=0,"-",VLOOKUP($B144,casostestes[#Data],2)), "-")</f>
        <v>-</v>
      </c>
      <c r="E144" s="35" t="str">
        <f>IFERROR(IF(VLOOKUP($B144,casostestes[#Data],3)=0,"-",VLOOKUP($B144,casostestes[#Data],3)), "-")</f>
        <v>-</v>
      </c>
      <c r="F144" s="35" t="str">
        <f>IFERROR(IF(VLOOKUP($B144,casostestes[#Data],4)=0,"-",VLOOKUP($B144,casostestes[#Data],4)),"-")</f>
        <v>-</v>
      </c>
      <c r="G144" s="35" t="str">
        <f>IFERROR(IF(VLOOKUP($B144,casostestes[#Data],5)=0,"-",VLOOKUP($B144,casostestes[#Data],5)),"-")</f>
        <v>-</v>
      </c>
      <c r="H144" s="35" t="str">
        <f>IFERROR(IF(VLOOKUP($B144,casostestes[#Data],6)=0,"-",VLOOKUP($B144,casostestes[#Data],6)),"-")</f>
        <v>-</v>
      </c>
      <c r="I144" s="35" t="str">
        <f>IFERROR(IF(VLOOKUP($B144,casostestes[#Data],8)=0,"-",VLOOKUP($B144,casostestes[#Data],8)),"-")</f>
        <v>-</v>
      </c>
      <c r="J144" s="35" t="str">
        <f>IFERROR(IF(VLOOKUP($B144,casostestes[#Data],9)=0,"-",VLOOKUP($B144,casostestes[#Data],9)),"-")</f>
        <v>-</v>
      </c>
      <c r="K144" s="36"/>
      <c r="L144" s="45"/>
      <c r="M144" s="37"/>
      <c r="N144" s="38"/>
      <c r="O144" s="38"/>
      <c r="P144" s="39"/>
    </row>
    <row r="145" spans="2:16">
      <c r="B145" s="40" t="str">
        <f>IF(ISERR(casostestes[[#This Row],[ID]]),"-",casostestes[[#This Row],[ID]])</f>
        <v>-</v>
      </c>
      <c r="C145" s="34" t="str">
        <f>IFERROR(IF(VLOOKUP($B145,casostestes[#Data],10)=0,"Não",VLOOKUP($B145,casostestes[#Data],10)), "-")</f>
        <v>-</v>
      </c>
      <c r="D145" s="35" t="str">
        <f>IFERROR(IF(VLOOKUP($B145,casostestes[#Data],2)=0,"-",VLOOKUP($B145,casostestes[#Data],2)), "-")</f>
        <v>-</v>
      </c>
      <c r="E145" s="35" t="str">
        <f>IFERROR(IF(VLOOKUP($B145,casostestes[#Data],3)=0,"-",VLOOKUP($B145,casostestes[#Data],3)), "-")</f>
        <v>-</v>
      </c>
      <c r="F145" s="35" t="str">
        <f>IFERROR(IF(VLOOKUP($B145,casostestes[#Data],4)=0,"-",VLOOKUP($B145,casostestes[#Data],4)),"-")</f>
        <v>-</v>
      </c>
      <c r="G145" s="35" t="str">
        <f>IFERROR(IF(VLOOKUP($B145,casostestes[#Data],5)=0,"-",VLOOKUP($B145,casostestes[#Data],5)),"-")</f>
        <v>-</v>
      </c>
      <c r="H145" s="35" t="str">
        <f>IFERROR(IF(VLOOKUP($B145,casostestes[#Data],6)=0,"-",VLOOKUP($B145,casostestes[#Data],6)),"-")</f>
        <v>-</v>
      </c>
      <c r="I145" s="35" t="str">
        <f>IFERROR(IF(VLOOKUP($B145,casostestes[#Data],8)=0,"-",VLOOKUP($B145,casostestes[#Data],8)),"-")</f>
        <v>-</v>
      </c>
      <c r="J145" s="35" t="str">
        <f>IFERROR(IF(VLOOKUP($B145,casostestes[#Data],9)=0,"-",VLOOKUP($B145,casostestes[#Data],9)),"-")</f>
        <v>-</v>
      </c>
      <c r="K145" s="36"/>
      <c r="L145" s="45"/>
      <c r="M145" s="37"/>
      <c r="N145" s="38"/>
      <c r="O145" s="38"/>
      <c r="P145" s="39"/>
    </row>
    <row r="146" spans="2:16">
      <c r="B146" s="40" t="str">
        <f>IF(ISERR(casostestes[[#This Row],[ID]]),"-",casostestes[[#This Row],[ID]])</f>
        <v>-</v>
      </c>
      <c r="C146" s="34" t="str">
        <f>IFERROR(IF(VLOOKUP($B146,casostestes[#Data],10)=0,"Não",VLOOKUP($B146,casostestes[#Data],10)), "-")</f>
        <v>-</v>
      </c>
      <c r="D146" s="35" t="str">
        <f>IFERROR(IF(VLOOKUP($B146,casostestes[#Data],2)=0,"-",VLOOKUP($B146,casostestes[#Data],2)), "-")</f>
        <v>-</v>
      </c>
      <c r="E146" s="35" t="str">
        <f>IFERROR(IF(VLOOKUP($B146,casostestes[#Data],3)=0,"-",VLOOKUP($B146,casostestes[#Data],3)), "-")</f>
        <v>-</v>
      </c>
      <c r="F146" s="35" t="str">
        <f>IFERROR(IF(VLOOKUP($B146,casostestes[#Data],4)=0,"-",VLOOKUP($B146,casostestes[#Data],4)),"-")</f>
        <v>-</v>
      </c>
      <c r="G146" s="35" t="str">
        <f>IFERROR(IF(VLOOKUP($B146,casostestes[#Data],5)=0,"-",VLOOKUP($B146,casostestes[#Data],5)),"-")</f>
        <v>-</v>
      </c>
      <c r="H146" s="35" t="str">
        <f>IFERROR(IF(VLOOKUP($B146,casostestes[#Data],6)=0,"-",VLOOKUP($B146,casostestes[#Data],6)),"-")</f>
        <v>-</v>
      </c>
      <c r="I146" s="35" t="str">
        <f>IFERROR(IF(VLOOKUP($B146,casostestes[#Data],8)=0,"-",VLOOKUP($B146,casostestes[#Data],8)),"-")</f>
        <v>-</v>
      </c>
      <c r="J146" s="35" t="str">
        <f>IFERROR(IF(VLOOKUP($B146,casostestes[#Data],9)=0,"-",VLOOKUP($B146,casostestes[#Data],9)),"-")</f>
        <v>-</v>
      </c>
      <c r="K146" s="36"/>
      <c r="L146" s="45"/>
      <c r="M146" s="37"/>
      <c r="N146" s="38"/>
      <c r="O146" s="38"/>
      <c r="P146" s="39"/>
    </row>
    <row r="147" spans="2:16">
      <c r="B147" s="40" t="str">
        <f>IF(ISERR(casostestes[[#This Row],[ID]]),"-",casostestes[[#This Row],[ID]])</f>
        <v>-</v>
      </c>
      <c r="C147" s="34" t="str">
        <f>IFERROR(IF(VLOOKUP($B147,casostestes[#Data],10)=0,"Não",VLOOKUP($B147,casostestes[#Data],10)), "-")</f>
        <v>-</v>
      </c>
      <c r="D147" s="35" t="str">
        <f>IFERROR(IF(VLOOKUP($B147,casostestes[#Data],2)=0,"-",VLOOKUP($B147,casostestes[#Data],2)), "-")</f>
        <v>-</v>
      </c>
      <c r="E147" s="35" t="str">
        <f>IFERROR(IF(VLOOKUP($B147,casostestes[#Data],3)=0,"-",VLOOKUP($B147,casostestes[#Data],3)), "-")</f>
        <v>-</v>
      </c>
      <c r="F147" s="35" t="str">
        <f>IFERROR(IF(VLOOKUP($B147,casostestes[#Data],4)=0,"-",VLOOKUP($B147,casostestes[#Data],4)),"-")</f>
        <v>-</v>
      </c>
      <c r="G147" s="35" t="str">
        <f>IFERROR(IF(VLOOKUP($B147,casostestes[#Data],5)=0,"-",VLOOKUP($B147,casostestes[#Data],5)),"-")</f>
        <v>-</v>
      </c>
      <c r="H147" s="35" t="str">
        <f>IFERROR(IF(VLOOKUP($B147,casostestes[#Data],6)=0,"-",VLOOKUP($B147,casostestes[#Data],6)),"-")</f>
        <v>-</v>
      </c>
      <c r="I147" s="35" t="str">
        <f>IFERROR(IF(VLOOKUP($B147,casostestes[#Data],8)=0,"-",VLOOKUP($B147,casostestes[#Data],8)),"-")</f>
        <v>-</v>
      </c>
      <c r="J147" s="35" t="str">
        <f>IFERROR(IF(VLOOKUP($B147,casostestes[#Data],9)=0,"-",VLOOKUP($B147,casostestes[#Data],9)),"-")</f>
        <v>-</v>
      </c>
      <c r="K147" s="36"/>
      <c r="L147" s="45"/>
      <c r="M147" s="37"/>
      <c r="N147" s="38"/>
      <c r="O147" s="38"/>
      <c r="P147" s="39"/>
    </row>
    <row r="148" spans="2:16">
      <c r="B148" s="40" t="str">
        <f>IF(ISERR(casostestes[[#This Row],[ID]]),"-",casostestes[[#This Row],[ID]])</f>
        <v>-</v>
      </c>
      <c r="C148" s="34" t="str">
        <f>IFERROR(IF(VLOOKUP($B148,casostestes[#Data],10)=0,"Não",VLOOKUP($B148,casostestes[#Data],10)), "-")</f>
        <v>-</v>
      </c>
      <c r="D148" s="35" t="str">
        <f>IFERROR(IF(VLOOKUP($B148,casostestes[#Data],2)=0,"-",VLOOKUP($B148,casostestes[#Data],2)), "-")</f>
        <v>-</v>
      </c>
      <c r="E148" s="35" t="str">
        <f>IFERROR(IF(VLOOKUP($B148,casostestes[#Data],3)=0,"-",VLOOKUP($B148,casostestes[#Data],3)), "-")</f>
        <v>-</v>
      </c>
      <c r="F148" s="35" t="str">
        <f>IFERROR(IF(VLOOKUP($B148,casostestes[#Data],4)=0,"-",VLOOKUP($B148,casostestes[#Data],4)),"-")</f>
        <v>-</v>
      </c>
      <c r="G148" s="35" t="str">
        <f>IFERROR(IF(VLOOKUP($B148,casostestes[#Data],5)=0,"-",VLOOKUP($B148,casostestes[#Data],5)),"-")</f>
        <v>-</v>
      </c>
      <c r="H148" s="35" t="str">
        <f>IFERROR(IF(VLOOKUP($B148,casostestes[#Data],6)=0,"-",VLOOKUP($B148,casostestes[#Data],6)),"-")</f>
        <v>-</v>
      </c>
      <c r="I148" s="35" t="str">
        <f>IFERROR(IF(VLOOKUP($B148,casostestes[#Data],8)=0,"-",VLOOKUP($B148,casostestes[#Data],8)),"-")</f>
        <v>-</v>
      </c>
      <c r="J148" s="35" t="str">
        <f>IFERROR(IF(VLOOKUP($B148,casostestes[#Data],9)=0,"-",VLOOKUP($B148,casostestes[#Data],9)),"-")</f>
        <v>-</v>
      </c>
      <c r="K148" s="36"/>
      <c r="L148" s="45"/>
      <c r="M148" s="37"/>
      <c r="N148" s="38"/>
      <c r="O148" s="38"/>
      <c r="P148" s="39"/>
    </row>
    <row r="149" spans="2:16">
      <c r="B149" s="40" t="str">
        <f>IF(ISERR(casostestes[[#This Row],[ID]]),"-",casostestes[[#This Row],[ID]])</f>
        <v>-</v>
      </c>
      <c r="C149" s="34" t="str">
        <f>IFERROR(IF(VLOOKUP($B149,casostestes[#Data],10)=0,"Não",VLOOKUP($B149,casostestes[#Data],10)), "-")</f>
        <v>-</v>
      </c>
      <c r="D149" s="35" t="str">
        <f>IFERROR(IF(VLOOKUP($B149,casostestes[#Data],2)=0,"-",VLOOKUP($B149,casostestes[#Data],2)), "-")</f>
        <v>-</v>
      </c>
      <c r="E149" s="35" t="str">
        <f>IFERROR(IF(VLOOKUP($B149,casostestes[#Data],3)=0,"-",VLOOKUP($B149,casostestes[#Data],3)), "-")</f>
        <v>-</v>
      </c>
      <c r="F149" s="35" t="str">
        <f>IFERROR(IF(VLOOKUP($B149,casostestes[#Data],4)=0,"-",VLOOKUP($B149,casostestes[#Data],4)),"-")</f>
        <v>-</v>
      </c>
      <c r="G149" s="35" t="str">
        <f>IFERROR(IF(VLOOKUP($B149,casostestes[#Data],5)=0,"-",VLOOKUP($B149,casostestes[#Data],5)),"-")</f>
        <v>-</v>
      </c>
      <c r="H149" s="35" t="str">
        <f>IFERROR(IF(VLOOKUP($B149,casostestes[#Data],6)=0,"-",VLOOKUP($B149,casostestes[#Data],6)),"-")</f>
        <v>-</v>
      </c>
      <c r="I149" s="35" t="str">
        <f>IFERROR(IF(VLOOKUP($B149,casostestes[#Data],8)=0,"-",VLOOKUP($B149,casostestes[#Data],8)),"-")</f>
        <v>-</v>
      </c>
      <c r="J149" s="35" t="str">
        <f>IFERROR(IF(VLOOKUP($B149,casostestes[#Data],9)=0,"-",VLOOKUP($B149,casostestes[#Data],9)),"-")</f>
        <v>-</v>
      </c>
      <c r="K149" s="36"/>
      <c r="L149" s="45"/>
      <c r="M149" s="37"/>
      <c r="N149" s="38"/>
      <c r="O149" s="38"/>
      <c r="P149" s="39"/>
    </row>
    <row r="150" spans="2:16">
      <c r="B150" s="40" t="str">
        <f>IF(ISERR(casostestes[[#This Row],[ID]]),"-",casostestes[[#This Row],[ID]])</f>
        <v>-</v>
      </c>
      <c r="C150" s="34" t="str">
        <f>IFERROR(IF(VLOOKUP($B150,casostestes[#Data],10)=0,"Não",VLOOKUP($B150,casostestes[#Data],10)), "-")</f>
        <v>-</v>
      </c>
      <c r="D150" s="35" t="str">
        <f>IFERROR(IF(VLOOKUP($B150,casostestes[#Data],2)=0,"-",VLOOKUP($B150,casostestes[#Data],2)), "-")</f>
        <v>-</v>
      </c>
      <c r="E150" s="35" t="str">
        <f>IFERROR(IF(VLOOKUP($B150,casostestes[#Data],3)=0,"-",VLOOKUP($B150,casostestes[#Data],3)), "-")</f>
        <v>-</v>
      </c>
      <c r="F150" s="35" t="str">
        <f>IFERROR(IF(VLOOKUP($B150,casostestes[#Data],4)=0,"-",VLOOKUP($B150,casostestes[#Data],4)),"-")</f>
        <v>-</v>
      </c>
      <c r="G150" s="35" t="str">
        <f>IFERROR(IF(VLOOKUP($B150,casostestes[#Data],5)=0,"-",VLOOKUP($B150,casostestes[#Data],5)),"-")</f>
        <v>-</v>
      </c>
      <c r="H150" s="35" t="str">
        <f>IFERROR(IF(VLOOKUP($B150,casostestes[#Data],6)=0,"-",VLOOKUP($B150,casostestes[#Data],6)),"-")</f>
        <v>-</v>
      </c>
      <c r="I150" s="35" t="str">
        <f>IFERROR(IF(VLOOKUP($B150,casostestes[#Data],8)=0,"-",VLOOKUP($B150,casostestes[#Data],8)),"-")</f>
        <v>-</v>
      </c>
      <c r="J150" s="35" t="str">
        <f>IFERROR(IF(VLOOKUP($B150,casostestes[#Data],9)=0,"-",VLOOKUP($B150,casostestes[#Data],9)),"-")</f>
        <v>-</v>
      </c>
      <c r="K150" s="36"/>
      <c r="L150" s="45"/>
      <c r="M150" s="37"/>
      <c r="N150" s="38"/>
      <c r="O150" s="38"/>
      <c r="P150" s="39"/>
    </row>
    <row r="151" spans="2:16">
      <c r="B151" s="40" t="str">
        <f>IF(ISERR(casostestes[[#This Row],[ID]]),"-",casostestes[[#This Row],[ID]])</f>
        <v>-</v>
      </c>
      <c r="C151" s="34" t="str">
        <f>IFERROR(IF(VLOOKUP($B151,casostestes[#Data],10)=0,"Não",VLOOKUP($B151,casostestes[#Data],10)), "-")</f>
        <v>-</v>
      </c>
      <c r="D151" s="35" t="str">
        <f>IFERROR(IF(VLOOKUP($B151,casostestes[#Data],2)=0,"-",VLOOKUP($B151,casostestes[#Data],2)), "-")</f>
        <v>-</v>
      </c>
      <c r="E151" s="35" t="str">
        <f>IFERROR(IF(VLOOKUP($B151,casostestes[#Data],3)=0,"-",VLOOKUP($B151,casostestes[#Data],3)), "-")</f>
        <v>-</v>
      </c>
      <c r="F151" s="35" t="str">
        <f>IFERROR(IF(VLOOKUP($B151,casostestes[#Data],4)=0,"-",VLOOKUP($B151,casostestes[#Data],4)),"-")</f>
        <v>-</v>
      </c>
      <c r="G151" s="35" t="str">
        <f>IFERROR(IF(VLOOKUP($B151,casostestes[#Data],5)=0,"-",VLOOKUP($B151,casostestes[#Data],5)),"-")</f>
        <v>-</v>
      </c>
      <c r="H151" s="35" t="str">
        <f>IFERROR(IF(VLOOKUP($B151,casostestes[#Data],6)=0,"-",VLOOKUP($B151,casostestes[#Data],6)),"-")</f>
        <v>-</v>
      </c>
      <c r="I151" s="35" t="str">
        <f>IFERROR(IF(VLOOKUP($B151,casostestes[#Data],8)=0,"-",VLOOKUP($B151,casostestes[#Data],8)),"-")</f>
        <v>-</v>
      </c>
      <c r="J151" s="35" t="str">
        <f>IFERROR(IF(VLOOKUP($B151,casostestes[#Data],9)=0,"-",VLOOKUP($B151,casostestes[#Data],9)),"-")</f>
        <v>-</v>
      </c>
      <c r="K151" s="36"/>
      <c r="L151" s="45"/>
      <c r="M151" s="37"/>
      <c r="N151" s="38"/>
      <c r="O151" s="38"/>
      <c r="P151" s="39"/>
    </row>
    <row r="152" spans="2:16">
      <c r="B152" s="40" t="str">
        <f>IF(ISERR(casostestes[[#This Row],[ID]]),"-",casostestes[[#This Row],[ID]])</f>
        <v>-</v>
      </c>
      <c r="C152" s="34" t="str">
        <f>IFERROR(IF(VLOOKUP($B152,casostestes[#Data],10)=0,"Não",VLOOKUP($B152,casostestes[#Data],10)), "-")</f>
        <v>-</v>
      </c>
      <c r="D152" s="35" t="str">
        <f>IFERROR(IF(VLOOKUP($B152,casostestes[#Data],2)=0,"-",VLOOKUP($B152,casostestes[#Data],2)), "-")</f>
        <v>-</v>
      </c>
      <c r="E152" s="35" t="str">
        <f>IFERROR(IF(VLOOKUP($B152,casostestes[#Data],3)=0,"-",VLOOKUP($B152,casostestes[#Data],3)), "-")</f>
        <v>-</v>
      </c>
      <c r="F152" s="35" t="str">
        <f>IFERROR(IF(VLOOKUP($B152,casostestes[#Data],4)=0,"-",VLOOKUP($B152,casostestes[#Data],4)),"-")</f>
        <v>-</v>
      </c>
      <c r="G152" s="35" t="str">
        <f>IFERROR(IF(VLOOKUP($B152,casostestes[#Data],5)=0,"-",VLOOKUP($B152,casostestes[#Data],5)),"-")</f>
        <v>-</v>
      </c>
      <c r="H152" s="35" t="str">
        <f>IFERROR(IF(VLOOKUP($B152,casostestes[#Data],6)=0,"-",VLOOKUP($B152,casostestes[#Data],6)),"-")</f>
        <v>-</v>
      </c>
      <c r="I152" s="35" t="str">
        <f>IFERROR(IF(VLOOKUP($B152,casostestes[#Data],8)=0,"-",VLOOKUP($B152,casostestes[#Data],8)),"-")</f>
        <v>-</v>
      </c>
      <c r="J152" s="35" t="str">
        <f>IFERROR(IF(VLOOKUP($B152,casostestes[#Data],9)=0,"-",VLOOKUP($B152,casostestes[#Data],9)),"-")</f>
        <v>-</v>
      </c>
      <c r="K152" s="36"/>
      <c r="L152" s="45"/>
      <c r="M152" s="37"/>
      <c r="N152" s="38"/>
      <c r="O152" s="38"/>
      <c r="P152" s="39"/>
    </row>
    <row r="153" spans="2:16">
      <c r="B153" s="40" t="str">
        <f>IF(ISERR(casostestes[[#This Row],[ID]]),"-",casostestes[[#This Row],[ID]])</f>
        <v>-</v>
      </c>
      <c r="C153" s="34" t="str">
        <f>IFERROR(IF(VLOOKUP($B153,casostestes[#Data],10)=0,"Não",VLOOKUP($B153,casostestes[#Data],10)), "-")</f>
        <v>-</v>
      </c>
      <c r="D153" s="35" t="str">
        <f>IFERROR(IF(VLOOKUP($B153,casostestes[#Data],2)=0,"-",VLOOKUP($B153,casostestes[#Data],2)), "-")</f>
        <v>-</v>
      </c>
      <c r="E153" s="35" t="str">
        <f>IFERROR(IF(VLOOKUP($B153,casostestes[#Data],3)=0,"-",VLOOKUP($B153,casostestes[#Data],3)), "-")</f>
        <v>-</v>
      </c>
      <c r="F153" s="35" t="str">
        <f>IFERROR(IF(VLOOKUP($B153,casostestes[#Data],4)=0,"-",VLOOKUP($B153,casostestes[#Data],4)),"-")</f>
        <v>-</v>
      </c>
      <c r="G153" s="35" t="str">
        <f>IFERROR(IF(VLOOKUP($B153,casostestes[#Data],5)=0,"-",VLOOKUP($B153,casostestes[#Data],5)),"-")</f>
        <v>-</v>
      </c>
      <c r="H153" s="35" t="str">
        <f>IFERROR(IF(VLOOKUP($B153,casostestes[#Data],6)=0,"-",VLOOKUP($B153,casostestes[#Data],6)),"-")</f>
        <v>-</v>
      </c>
      <c r="I153" s="35" t="str">
        <f>IFERROR(IF(VLOOKUP($B153,casostestes[#Data],8)=0,"-",VLOOKUP($B153,casostestes[#Data],8)),"-")</f>
        <v>-</v>
      </c>
      <c r="J153" s="35" t="str">
        <f>IFERROR(IF(VLOOKUP($B153,casostestes[#Data],9)=0,"-",VLOOKUP($B153,casostestes[#Data],9)),"-")</f>
        <v>-</v>
      </c>
      <c r="K153" s="36"/>
      <c r="L153" s="45"/>
      <c r="M153" s="37"/>
      <c r="N153" s="38"/>
      <c r="O153" s="38"/>
      <c r="P153" s="39"/>
    </row>
    <row r="154" spans="2:16">
      <c r="B154" s="40" t="str">
        <f>IF(ISERR(casostestes[[#This Row],[ID]]),"-",casostestes[[#This Row],[ID]])</f>
        <v>-</v>
      </c>
      <c r="C154" s="34" t="str">
        <f>IFERROR(IF(VLOOKUP($B154,casostestes[#Data],10)=0,"Não",VLOOKUP($B154,casostestes[#Data],10)), "-")</f>
        <v>-</v>
      </c>
      <c r="D154" s="35" t="str">
        <f>IFERROR(IF(VLOOKUP($B154,casostestes[#Data],2)=0,"-",VLOOKUP($B154,casostestes[#Data],2)), "-")</f>
        <v>-</v>
      </c>
      <c r="E154" s="35" t="str">
        <f>IFERROR(IF(VLOOKUP($B154,casostestes[#Data],3)=0,"-",VLOOKUP($B154,casostestes[#Data],3)), "-")</f>
        <v>-</v>
      </c>
      <c r="F154" s="35" t="str">
        <f>IFERROR(IF(VLOOKUP($B154,casostestes[#Data],4)=0,"-",VLOOKUP($B154,casostestes[#Data],4)),"-")</f>
        <v>-</v>
      </c>
      <c r="G154" s="35" t="str">
        <f>IFERROR(IF(VLOOKUP($B154,casostestes[#Data],5)=0,"-",VLOOKUP($B154,casostestes[#Data],5)),"-")</f>
        <v>-</v>
      </c>
      <c r="H154" s="35" t="str">
        <f>IFERROR(IF(VLOOKUP($B154,casostestes[#Data],6)=0,"-",VLOOKUP($B154,casostestes[#Data],6)),"-")</f>
        <v>-</v>
      </c>
      <c r="I154" s="35" t="str">
        <f>IFERROR(IF(VLOOKUP($B154,casostestes[#Data],8)=0,"-",VLOOKUP($B154,casostestes[#Data],8)),"-")</f>
        <v>-</v>
      </c>
      <c r="J154" s="35" t="str">
        <f>IFERROR(IF(VLOOKUP($B154,casostestes[#Data],9)=0,"-",VLOOKUP($B154,casostestes[#Data],9)),"-")</f>
        <v>-</v>
      </c>
      <c r="K154" s="36"/>
      <c r="L154" s="45"/>
      <c r="M154" s="37"/>
      <c r="N154" s="38"/>
      <c r="O154" s="38"/>
      <c r="P154" s="39"/>
    </row>
    <row r="155" spans="2:16">
      <c r="B155" s="40" t="str">
        <f>IF(ISERR(casostestes[[#This Row],[ID]]),"-",casostestes[[#This Row],[ID]])</f>
        <v>-</v>
      </c>
      <c r="C155" s="34" t="str">
        <f>IFERROR(IF(VLOOKUP($B155,casostestes[#Data],10)=0,"Não",VLOOKUP($B155,casostestes[#Data],10)), "-")</f>
        <v>-</v>
      </c>
      <c r="D155" s="35" t="str">
        <f>IFERROR(IF(VLOOKUP($B155,casostestes[#Data],2)=0,"-",VLOOKUP($B155,casostestes[#Data],2)), "-")</f>
        <v>-</v>
      </c>
      <c r="E155" s="35" t="str">
        <f>IFERROR(IF(VLOOKUP($B155,casostestes[#Data],3)=0,"-",VLOOKUP($B155,casostestes[#Data],3)), "-")</f>
        <v>-</v>
      </c>
      <c r="F155" s="35" t="str">
        <f>IFERROR(IF(VLOOKUP($B155,casostestes[#Data],4)=0,"-",VLOOKUP($B155,casostestes[#Data],4)),"-")</f>
        <v>-</v>
      </c>
      <c r="G155" s="35" t="str">
        <f>IFERROR(IF(VLOOKUP($B155,casostestes[#Data],5)=0,"-",VLOOKUP($B155,casostestes[#Data],5)),"-")</f>
        <v>-</v>
      </c>
      <c r="H155" s="35" t="str">
        <f>IFERROR(IF(VLOOKUP($B155,casostestes[#Data],6)=0,"-",VLOOKUP($B155,casostestes[#Data],6)),"-")</f>
        <v>-</v>
      </c>
      <c r="I155" s="35" t="str">
        <f>IFERROR(IF(VLOOKUP($B155,casostestes[#Data],8)=0,"-",VLOOKUP($B155,casostestes[#Data],8)),"-")</f>
        <v>-</v>
      </c>
      <c r="J155" s="35" t="str">
        <f>IFERROR(IF(VLOOKUP($B155,casostestes[#Data],9)=0,"-",VLOOKUP($B155,casostestes[#Data],9)),"-")</f>
        <v>-</v>
      </c>
      <c r="K155" s="36"/>
      <c r="L155" s="45"/>
      <c r="M155" s="37"/>
      <c r="N155" s="38"/>
      <c r="O155" s="38"/>
      <c r="P155" s="39"/>
    </row>
    <row r="156" spans="2:16">
      <c r="B156" s="40" t="str">
        <f>IF(ISERR(casostestes[[#This Row],[ID]]),"-",casostestes[[#This Row],[ID]])</f>
        <v>-</v>
      </c>
      <c r="C156" s="34" t="str">
        <f>IFERROR(IF(VLOOKUP($B156,casostestes[#Data],10)=0,"Não",VLOOKUP($B156,casostestes[#Data],10)), "-")</f>
        <v>-</v>
      </c>
      <c r="D156" s="35" t="str">
        <f>IFERROR(IF(VLOOKUP($B156,casostestes[#Data],2)=0,"-",VLOOKUP($B156,casostestes[#Data],2)), "-")</f>
        <v>-</v>
      </c>
      <c r="E156" s="35" t="str">
        <f>IFERROR(IF(VLOOKUP($B156,casostestes[#Data],3)=0,"-",VLOOKUP($B156,casostestes[#Data],3)), "-")</f>
        <v>-</v>
      </c>
      <c r="F156" s="35" t="str">
        <f>IFERROR(IF(VLOOKUP($B156,casostestes[#Data],4)=0,"-",VLOOKUP($B156,casostestes[#Data],4)),"-")</f>
        <v>-</v>
      </c>
      <c r="G156" s="35" t="str">
        <f>IFERROR(IF(VLOOKUP($B156,casostestes[#Data],5)=0,"-",VLOOKUP($B156,casostestes[#Data],5)),"-")</f>
        <v>-</v>
      </c>
      <c r="H156" s="35" t="str">
        <f>IFERROR(IF(VLOOKUP($B156,casostestes[#Data],6)=0,"-",VLOOKUP($B156,casostestes[#Data],6)),"-")</f>
        <v>-</v>
      </c>
      <c r="I156" s="35" t="str">
        <f>IFERROR(IF(VLOOKUP($B156,casostestes[#Data],8)=0,"-",VLOOKUP($B156,casostestes[#Data],8)),"-")</f>
        <v>-</v>
      </c>
      <c r="J156" s="35" t="str">
        <f>IFERROR(IF(VLOOKUP($B156,casostestes[#Data],9)=0,"-",VLOOKUP($B156,casostestes[#Data],9)),"-")</f>
        <v>-</v>
      </c>
      <c r="K156" s="36"/>
      <c r="L156" s="45"/>
      <c r="M156" s="37"/>
      <c r="N156" s="38"/>
      <c r="O156" s="38"/>
      <c r="P156" s="39"/>
    </row>
    <row r="157" spans="2:16">
      <c r="B157" s="40" t="str">
        <f>IF(ISERR(casostestes[[#This Row],[ID]]),"-",casostestes[[#This Row],[ID]])</f>
        <v>-</v>
      </c>
      <c r="C157" s="34" t="str">
        <f>IFERROR(IF(VLOOKUP($B157,casostestes[#Data],10)=0,"Não",VLOOKUP($B157,casostestes[#Data],10)), "-")</f>
        <v>-</v>
      </c>
      <c r="D157" s="35" t="str">
        <f>IFERROR(IF(VLOOKUP($B157,casostestes[#Data],2)=0,"-",VLOOKUP($B157,casostestes[#Data],2)), "-")</f>
        <v>-</v>
      </c>
      <c r="E157" s="35" t="str">
        <f>IFERROR(IF(VLOOKUP($B157,casostestes[#Data],3)=0,"-",VLOOKUP($B157,casostestes[#Data],3)), "-")</f>
        <v>-</v>
      </c>
      <c r="F157" s="35" t="str">
        <f>IFERROR(IF(VLOOKUP($B157,casostestes[#Data],4)=0,"-",VLOOKUP($B157,casostestes[#Data],4)),"-")</f>
        <v>-</v>
      </c>
      <c r="G157" s="35" t="str">
        <f>IFERROR(IF(VLOOKUP($B157,casostestes[#Data],5)=0,"-",VLOOKUP($B157,casostestes[#Data],5)),"-")</f>
        <v>-</v>
      </c>
      <c r="H157" s="35" t="str">
        <f>IFERROR(IF(VLOOKUP($B157,casostestes[#Data],6)=0,"-",VLOOKUP($B157,casostestes[#Data],6)),"-")</f>
        <v>-</v>
      </c>
      <c r="I157" s="35" t="str">
        <f>IFERROR(IF(VLOOKUP($B157,casostestes[#Data],8)=0,"-",VLOOKUP($B157,casostestes[#Data],8)),"-")</f>
        <v>-</v>
      </c>
      <c r="J157" s="35" t="str">
        <f>IFERROR(IF(VLOOKUP($B157,casostestes[#Data],9)=0,"-",VLOOKUP($B157,casostestes[#Data],9)),"-")</f>
        <v>-</v>
      </c>
      <c r="K157" s="36"/>
      <c r="L157" s="45"/>
      <c r="M157" s="37"/>
      <c r="N157" s="38"/>
      <c r="O157" s="38"/>
      <c r="P157" s="39"/>
    </row>
    <row r="158" spans="2:16">
      <c r="B158" s="40" t="str">
        <f>IF(ISERR(casostestes[[#This Row],[ID]]),"-",casostestes[[#This Row],[ID]])</f>
        <v>-</v>
      </c>
      <c r="C158" s="34" t="str">
        <f>IFERROR(IF(VLOOKUP($B158,casostestes[#Data],10)=0,"Não",VLOOKUP($B158,casostestes[#Data],10)), "-")</f>
        <v>-</v>
      </c>
      <c r="D158" s="35" t="str">
        <f>IFERROR(IF(VLOOKUP($B158,casostestes[#Data],2)=0,"-",VLOOKUP($B158,casostestes[#Data],2)), "-")</f>
        <v>-</v>
      </c>
      <c r="E158" s="35" t="str">
        <f>IFERROR(IF(VLOOKUP($B158,casostestes[#Data],3)=0,"-",VLOOKUP($B158,casostestes[#Data],3)), "-")</f>
        <v>-</v>
      </c>
      <c r="F158" s="35" t="str">
        <f>IFERROR(IF(VLOOKUP($B158,casostestes[#Data],4)=0,"-",VLOOKUP($B158,casostestes[#Data],4)),"-")</f>
        <v>-</v>
      </c>
      <c r="G158" s="35" t="str">
        <f>IFERROR(IF(VLOOKUP($B158,casostestes[#Data],5)=0,"-",VLOOKUP($B158,casostestes[#Data],5)),"-")</f>
        <v>-</v>
      </c>
      <c r="H158" s="35" t="str">
        <f>IFERROR(IF(VLOOKUP($B158,casostestes[#Data],6)=0,"-",VLOOKUP($B158,casostestes[#Data],6)),"-")</f>
        <v>-</v>
      </c>
      <c r="I158" s="35" t="str">
        <f>IFERROR(IF(VLOOKUP($B158,casostestes[#Data],8)=0,"-",VLOOKUP($B158,casostestes[#Data],8)),"-")</f>
        <v>-</v>
      </c>
      <c r="J158" s="35" t="str">
        <f>IFERROR(IF(VLOOKUP($B158,casostestes[#Data],9)=0,"-",VLOOKUP($B158,casostestes[#Data],9)),"-")</f>
        <v>-</v>
      </c>
      <c r="K158" s="36"/>
      <c r="L158" s="45"/>
      <c r="M158" s="37"/>
      <c r="N158" s="38"/>
      <c r="O158" s="38"/>
      <c r="P158" s="39"/>
    </row>
    <row r="159" spans="2:16">
      <c r="B159" s="40" t="str">
        <f>IF(ISERR(casostestes[[#This Row],[ID]]),"-",casostestes[[#This Row],[ID]])</f>
        <v>-</v>
      </c>
      <c r="C159" s="34" t="str">
        <f>IFERROR(IF(VLOOKUP($B159,casostestes[#Data],10)=0,"Não",VLOOKUP($B159,casostestes[#Data],10)), "-")</f>
        <v>-</v>
      </c>
      <c r="D159" s="35" t="str">
        <f>IFERROR(IF(VLOOKUP($B159,casostestes[#Data],2)=0,"-",VLOOKUP($B159,casostestes[#Data],2)), "-")</f>
        <v>-</v>
      </c>
      <c r="E159" s="35" t="str">
        <f>IFERROR(IF(VLOOKUP($B159,casostestes[#Data],3)=0,"-",VLOOKUP($B159,casostestes[#Data],3)), "-")</f>
        <v>-</v>
      </c>
      <c r="F159" s="35" t="str">
        <f>IFERROR(IF(VLOOKUP($B159,casostestes[#Data],4)=0,"-",VLOOKUP($B159,casostestes[#Data],4)),"-")</f>
        <v>-</v>
      </c>
      <c r="G159" s="35" t="str">
        <f>IFERROR(IF(VLOOKUP($B159,casostestes[#Data],5)=0,"-",VLOOKUP($B159,casostestes[#Data],5)),"-")</f>
        <v>-</v>
      </c>
      <c r="H159" s="35" t="str">
        <f>IFERROR(IF(VLOOKUP($B159,casostestes[#Data],6)=0,"-",VLOOKUP($B159,casostestes[#Data],6)),"-")</f>
        <v>-</v>
      </c>
      <c r="I159" s="35" t="str">
        <f>IFERROR(IF(VLOOKUP($B159,casostestes[#Data],8)=0,"-",VLOOKUP($B159,casostestes[#Data],8)),"-")</f>
        <v>-</v>
      </c>
      <c r="J159" s="35" t="str">
        <f>IFERROR(IF(VLOOKUP($B159,casostestes[#Data],9)=0,"-",VLOOKUP($B159,casostestes[#Data],9)),"-")</f>
        <v>-</v>
      </c>
      <c r="K159" s="36"/>
      <c r="L159" s="45"/>
      <c r="M159" s="37"/>
      <c r="N159" s="38"/>
      <c r="O159" s="38"/>
      <c r="P159" s="39"/>
    </row>
    <row r="160" spans="2:16">
      <c r="B160" s="40" t="str">
        <f>IF(ISERR(casostestes[[#This Row],[ID]]),"-",casostestes[[#This Row],[ID]])</f>
        <v>-</v>
      </c>
      <c r="C160" s="34" t="str">
        <f>IFERROR(IF(VLOOKUP($B160,casostestes[#Data],10)=0,"Não",VLOOKUP($B160,casostestes[#Data],10)), "-")</f>
        <v>-</v>
      </c>
      <c r="D160" s="35" t="str">
        <f>IFERROR(IF(VLOOKUP($B160,casostestes[#Data],2)=0,"-",VLOOKUP($B160,casostestes[#Data],2)), "-")</f>
        <v>-</v>
      </c>
      <c r="E160" s="35" t="str">
        <f>IFERROR(IF(VLOOKUP($B160,casostestes[#Data],3)=0,"-",VLOOKUP($B160,casostestes[#Data],3)), "-")</f>
        <v>-</v>
      </c>
      <c r="F160" s="35" t="str">
        <f>IFERROR(IF(VLOOKUP($B160,casostestes[#Data],4)=0,"-",VLOOKUP($B160,casostestes[#Data],4)),"-")</f>
        <v>-</v>
      </c>
      <c r="G160" s="35" t="str">
        <f>IFERROR(IF(VLOOKUP($B160,casostestes[#Data],5)=0,"-",VLOOKUP($B160,casostestes[#Data],5)),"-")</f>
        <v>-</v>
      </c>
      <c r="H160" s="35" t="str">
        <f>IFERROR(IF(VLOOKUP($B160,casostestes[#Data],6)=0,"-",VLOOKUP($B160,casostestes[#Data],6)),"-")</f>
        <v>-</v>
      </c>
      <c r="I160" s="35" t="str">
        <f>IFERROR(IF(VLOOKUP($B160,casostestes[#Data],8)=0,"-",VLOOKUP($B160,casostestes[#Data],8)),"-")</f>
        <v>-</v>
      </c>
      <c r="J160" s="35" t="str">
        <f>IFERROR(IF(VLOOKUP($B160,casostestes[#Data],9)=0,"-",VLOOKUP($B160,casostestes[#Data],9)),"-")</f>
        <v>-</v>
      </c>
      <c r="K160" s="36"/>
      <c r="L160" s="45"/>
      <c r="M160" s="37"/>
      <c r="N160" s="38"/>
      <c r="O160" s="38"/>
      <c r="P160" s="39"/>
    </row>
    <row r="161" spans="2:16">
      <c r="B161" s="40" t="str">
        <f>IF(ISERR(casostestes[[#This Row],[ID]]),"-",casostestes[[#This Row],[ID]])</f>
        <v>-</v>
      </c>
      <c r="C161" s="34" t="str">
        <f>IFERROR(IF(VLOOKUP($B161,casostestes[#Data],10)=0,"Não",VLOOKUP($B161,casostestes[#Data],10)), "-")</f>
        <v>-</v>
      </c>
      <c r="D161" s="35" t="str">
        <f>IFERROR(IF(VLOOKUP($B161,casostestes[#Data],2)=0,"-",VLOOKUP($B161,casostestes[#Data],2)), "-")</f>
        <v>-</v>
      </c>
      <c r="E161" s="35" t="str">
        <f>IFERROR(IF(VLOOKUP($B161,casostestes[#Data],3)=0,"-",VLOOKUP($B161,casostestes[#Data],3)), "-")</f>
        <v>-</v>
      </c>
      <c r="F161" s="35" t="str">
        <f>IFERROR(IF(VLOOKUP($B161,casostestes[#Data],4)=0,"-",VLOOKUP($B161,casostestes[#Data],4)),"-")</f>
        <v>-</v>
      </c>
      <c r="G161" s="35" t="str">
        <f>IFERROR(IF(VLOOKUP($B161,casostestes[#Data],5)=0,"-",VLOOKUP($B161,casostestes[#Data],5)),"-")</f>
        <v>-</v>
      </c>
      <c r="H161" s="35" t="str">
        <f>IFERROR(IF(VLOOKUP($B161,casostestes[#Data],6)=0,"-",VLOOKUP($B161,casostestes[#Data],6)),"-")</f>
        <v>-</v>
      </c>
      <c r="I161" s="35" t="str">
        <f>IFERROR(IF(VLOOKUP($B161,casostestes[#Data],8)=0,"-",VLOOKUP($B161,casostestes[#Data],8)),"-")</f>
        <v>-</v>
      </c>
      <c r="J161" s="35" t="str">
        <f>IFERROR(IF(VLOOKUP($B161,casostestes[#Data],9)=0,"-",VLOOKUP($B161,casostestes[#Data],9)),"-")</f>
        <v>-</v>
      </c>
      <c r="K161" s="36"/>
      <c r="L161" s="45"/>
      <c r="M161" s="37"/>
      <c r="N161" s="38"/>
      <c r="O161" s="38"/>
      <c r="P161" s="39"/>
    </row>
    <row r="162" spans="2:16">
      <c r="B162" s="40" t="str">
        <f>IF(ISERR(casostestes[[#This Row],[ID]]),"-",casostestes[[#This Row],[ID]])</f>
        <v>-</v>
      </c>
      <c r="C162" s="34" t="str">
        <f>IFERROR(IF(VLOOKUP($B162,casostestes[#Data],10)=0,"Não",VLOOKUP($B162,casostestes[#Data],10)), "-")</f>
        <v>-</v>
      </c>
      <c r="D162" s="35" t="str">
        <f>IFERROR(IF(VLOOKUP($B162,casostestes[#Data],2)=0,"-",VLOOKUP($B162,casostestes[#Data],2)), "-")</f>
        <v>-</v>
      </c>
      <c r="E162" s="35" t="str">
        <f>IFERROR(IF(VLOOKUP($B162,casostestes[#Data],3)=0,"-",VLOOKUP($B162,casostestes[#Data],3)), "-")</f>
        <v>-</v>
      </c>
      <c r="F162" s="35" t="str">
        <f>IFERROR(IF(VLOOKUP($B162,casostestes[#Data],4)=0,"-",VLOOKUP($B162,casostestes[#Data],4)),"-")</f>
        <v>-</v>
      </c>
      <c r="G162" s="35" t="str">
        <f>IFERROR(IF(VLOOKUP($B162,casostestes[#Data],5)=0,"-",VLOOKUP($B162,casostestes[#Data],5)),"-")</f>
        <v>-</v>
      </c>
      <c r="H162" s="35" t="str">
        <f>IFERROR(IF(VLOOKUP($B162,casostestes[#Data],6)=0,"-",VLOOKUP($B162,casostestes[#Data],6)),"-")</f>
        <v>-</v>
      </c>
      <c r="I162" s="35" t="str">
        <f>IFERROR(IF(VLOOKUP($B162,casostestes[#Data],8)=0,"-",VLOOKUP($B162,casostestes[#Data],8)),"-")</f>
        <v>-</v>
      </c>
      <c r="J162" s="35" t="str">
        <f>IFERROR(IF(VLOOKUP($B162,casostestes[#Data],9)=0,"-",VLOOKUP($B162,casostestes[#Data],9)),"-")</f>
        <v>-</v>
      </c>
      <c r="K162" s="36"/>
      <c r="L162" s="45"/>
      <c r="M162" s="37"/>
      <c r="N162" s="38"/>
      <c r="O162" s="38"/>
      <c r="P162" s="39"/>
    </row>
    <row r="163" spans="2:16">
      <c r="B163" s="40" t="str">
        <f>IF(ISERR(casostestes[[#This Row],[ID]]),"-",casostestes[[#This Row],[ID]])</f>
        <v>-</v>
      </c>
      <c r="C163" s="34" t="str">
        <f>IFERROR(IF(VLOOKUP($B163,casostestes[#Data],10)=0,"Não",VLOOKUP($B163,casostestes[#Data],10)), "-")</f>
        <v>-</v>
      </c>
      <c r="D163" s="35" t="str">
        <f>IFERROR(IF(VLOOKUP($B163,casostestes[#Data],2)=0,"-",VLOOKUP($B163,casostestes[#Data],2)), "-")</f>
        <v>-</v>
      </c>
      <c r="E163" s="35" t="str">
        <f>IFERROR(IF(VLOOKUP($B163,casostestes[#Data],3)=0,"-",VLOOKUP($B163,casostestes[#Data],3)), "-")</f>
        <v>-</v>
      </c>
      <c r="F163" s="35" t="str">
        <f>IFERROR(IF(VLOOKUP($B163,casostestes[#Data],4)=0,"-",VLOOKUP($B163,casostestes[#Data],4)),"-")</f>
        <v>-</v>
      </c>
      <c r="G163" s="35" t="str">
        <f>IFERROR(IF(VLOOKUP($B163,casostestes[#Data],5)=0,"-",VLOOKUP($B163,casostestes[#Data],5)),"-")</f>
        <v>-</v>
      </c>
      <c r="H163" s="35" t="str">
        <f>IFERROR(IF(VLOOKUP($B163,casostestes[#Data],6)=0,"-",VLOOKUP($B163,casostestes[#Data],6)),"-")</f>
        <v>-</v>
      </c>
      <c r="I163" s="35" t="str">
        <f>IFERROR(IF(VLOOKUP($B163,casostestes[#Data],8)=0,"-",VLOOKUP($B163,casostestes[#Data],8)),"-")</f>
        <v>-</v>
      </c>
      <c r="J163" s="35" t="str">
        <f>IFERROR(IF(VLOOKUP($B163,casostestes[#Data],9)=0,"-",VLOOKUP($B163,casostestes[#Data],9)),"-")</f>
        <v>-</v>
      </c>
      <c r="K163" s="36"/>
      <c r="L163" s="45"/>
      <c r="M163" s="37"/>
      <c r="N163" s="38"/>
      <c r="O163" s="38"/>
      <c r="P163" s="39"/>
    </row>
    <row r="164" spans="2:16">
      <c r="B164" s="40" t="str">
        <f>IF(ISERR(casostestes[[#This Row],[ID]]),"-",casostestes[[#This Row],[ID]])</f>
        <v>-</v>
      </c>
      <c r="C164" s="34" t="str">
        <f>IFERROR(IF(VLOOKUP($B164,casostestes[#Data],10)=0,"Não",VLOOKUP($B164,casostestes[#Data],10)), "-")</f>
        <v>-</v>
      </c>
      <c r="D164" s="35" t="str">
        <f>IFERROR(IF(VLOOKUP($B164,casostestes[#Data],2)=0,"-",VLOOKUP($B164,casostestes[#Data],2)), "-")</f>
        <v>-</v>
      </c>
      <c r="E164" s="35" t="str">
        <f>IFERROR(IF(VLOOKUP($B164,casostestes[#Data],3)=0,"-",VLOOKUP($B164,casostestes[#Data],3)), "-")</f>
        <v>-</v>
      </c>
      <c r="F164" s="35" t="str">
        <f>IFERROR(IF(VLOOKUP($B164,casostestes[#Data],4)=0,"-",VLOOKUP($B164,casostestes[#Data],4)),"-")</f>
        <v>-</v>
      </c>
      <c r="G164" s="35" t="str">
        <f>IFERROR(IF(VLOOKUP($B164,casostestes[#Data],5)=0,"-",VLOOKUP($B164,casostestes[#Data],5)),"-")</f>
        <v>-</v>
      </c>
      <c r="H164" s="35" t="str">
        <f>IFERROR(IF(VLOOKUP($B164,casostestes[#Data],6)=0,"-",VLOOKUP($B164,casostestes[#Data],6)),"-")</f>
        <v>-</v>
      </c>
      <c r="I164" s="35" t="str">
        <f>IFERROR(IF(VLOOKUP($B164,casostestes[#Data],8)=0,"-",VLOOKUP($B164,casostestes[#Data],8)),"-")</f>
        <v>-</v>
      </c>
      <c r="J164" s="35" t="str">
        <f>IFERROR(IF(VLOOKUP($B164,casostestes[#Data],9)=0,"-",VLOOKUP($B164,casostestes[#Data],9)),"-")</f>
        <v>-</v>
      </c>
      <c r="K164" s="36"/>
      <c r="L164" s="45"/>
      <c r="M164" s="37"/>
      <c r="N164" s="38"/>
      <c r="O164" s="38"/>
      <c r="P164" s="39"/>
    </row>
    <row r="165" spans="2:16">
      <c r="B165" s="40" t="str">
        <f>IF(ISERR(casostestes[[#This Row],[ID]]),"-",casostestes[[#This Row],[ID]])</f>
        <v>-</v>
      </c>
      <c r="C165" s="34" t="str">
        <f>IFERROR(IF(VLOOKUP($B165,casostestes[#Data],10)=0,"Não",VLOOKUP($B165,casostestes[#Data],10)), "-")</f>
        <v>-</v>
      </c>
      <c r="D165" s="35" t="str">
        <f>IFERROR(IF(VLOOKUP($B165,casostestes[#Data],2)=0,"-",VLOOKUP($B165,casostestes[#Data],2)), "-")</f>
        <v>-</v>
      </c>
      <c r="E165" s="35" t="str">
        <f>IFERROR(IF(VLOOKUP($B165,casostestes[#Data],3)=0,"-",VLOOKUP($B165,casostestes[#Data],3)), "-")</f>
        <v>-</v>
      </c>
      <c r="F165" s="35" t="str">
        <f>IFERROR(IF(VLOOKUP($B165,casostestes[#Data],4)=0,"-",VLOOKUP($B165,casostestes[#Data],4)),"-")</f>
        <v>-</v>
      </c>
      <c r="G165" s="35" t="str">
        <f>IFERROR(IF(VLOOKUP($B165,casostestes[#Data],5)=0,"-",VLOOKUP($B165,casostestes[#Data],5)),"-")</f>
        <v>-</v>
      </c>
      <c r="H165" s="35" t="str">
        <f>IFERROR(IF(VLOOKUP($B165,casostestes[#Data],6)=0,"-",VLOOKUP($B165,casostestes[#Data],6)),"-")</f>
        <v>-</v>
      </c>
      <c r="I165" s="35" t="str">
        <f>IFERROR(IF(VLOOKUP($B165,casostestes[#Data],8)=0,"-",VLOOKUP($B165,casostestes[#Data],8)),"-")</f>
        <v>-</v>
      </c>
      <c r="J165" s="35" t="str">
        <f>IFERROR(IF(VLOOKUP($B165,casostestes[#Data],9)=0,"-",VLOOKUP($B165,casostestes[#Data],9)),"-")</f>
        <v>-</v>
      </c>
      <c r="K165" s="36"/>
      <c r="L165" s="45"/>
      <c r="M165" s="37"/>
      <c r="N165" s="38"/>
      <c r="O165" s="38"/>
      <c r="P165" s="39"/>
    </row>
    <row r="166" spans="2:16">
      <c r="B166" s="40" t="str">
        <f>IF(ISERR(casostestes[[#This Row],[ID]]),"-",casostestes[[#This Row],[ID]])</f>
        <v>-</v>
      </c>
      <c r="C166" s="34" t="str">
        <f>IFERROR(IF(VLOOKUP($B166,casostestes[#Data],10)=0,"Não",VLOOKUP($B166,casostestes[#Data],10)), "-")</f>
        <v>-</v>
      </c>
      <c r="D166" s="35" t="str">
        <f>IFERROR(IF(VLOOKUP($B166,casostestes[#Data],2)=0,"-",VLOOKUP($B166,casostestes[#Data],2)), "-")</f>
        <v>-</v>
      </c>
      <c r="E166" s="35" t="str">
        <f>IFERROR(IF(VLOOKUP($B166,casostestes[#Data],3)=0,"-",VLOOKUP($B166,casostestes[#Data],3)), "-")</f>
        <v>-</v>
      </c>
      <c r="F166" s="35" t="str">
        <f>IFERROR(IF(VLOOKUP($B166,casostestes[#Data],4)=0,"-",VLOOKUP($B166,casostestes[#Data],4)),"-")</f>
        <v>-</v>
      </c>
      <c r="G166" s="35" t="str">
        <f>IFERROR(IF(VLOOKUP($B166,casostestes[#Data],5)=0,"-",VLOOKUP($B166,casostestes[#Data],5)),"-")</f>
        <v>-</v>
      </c>
      <c r="H166" s="35" t="str">
        <f>IFERROR(IF(VLOOKUP($B166,casostestes[#Data],6)=0,"-",VLOOKUP($B166,casostestes[#Data],6)),"-")</f>
        <v>-</v>
      </c>
      <c r="I166" s="35" t="str">
        <f>IFERROR(IF(VLOOKUP($B166,casostestes[#Data],8)=0,"-",VLOOKUP($B166,casostestes[#Data],8)),"-")</f>
        <v>-</v>
      </c>
      <c r="J166" s="35" t="str">
        <f>IFERROR(IF(VLOOKUP($B166,casostestes[#Data],9)=0,"-",VLOOKUP($B166,casostestes[#Data],9)),"-")</f>
        <v>-</v>
      </c>
      <c r="K166" s="36"/>
      <c r="L166" s="45"/>
      <c r="M166" s="37"/>
      <c r="N166" s="38"/>
      <c r="O166" s="38"/>
      <c r="P166" s="39"/>
    </row>
    <row r="167" spans="2:16">
      <c r="B167" s="40" t="str">
        <f>IF(ISERR(casostestes[[#This Row],[ID]]),"-",casostestes[[#This Row],[ID]])</f>
        <v>-</v>
      </c>
      <c r="C167" s="34" t="str">
        <f>IFERROR(IF(VLOOKUP($B167,casostestes[#Data],10)=0,"Não",VLOOKUP($B167,casostestes[#Data],10)), "-")</f>
        <v>-</v>
      </c>
      <c r="D167" s="35" t="str">
        <f>IFERROR(IF(VLOOKUP($B167,casostestes[#Data],2)=0,"-",VLOOKUP($B167,casostestes[#Data],2)), "-")</f>
        <v>-</v>
      </c>
      <c r="E167" s="35" t="str">
        <f>IFERROR(IF(VLOOKUP($B167,casostestes[#Data],3)=0,"-",VLOOKUP($B167,casostestes[#Data],3)), "-")</f>
        <v>-</v>
      </c>
      <c r="F167" s="35" t="str">
        <f>IFERROR(IF(VLOOKUP($B167,casostestes[#Data],4)=0,"-",VLOOKUP($B167,casostestes[#Data],4)),"-")</f>
        <v>-</v>
      </c>
      <c r="G167" s="35" t="str">
        <f>IFERROR(IF(VLOOKUP($B167,casostestes[#Data],5)=0,"-",VLOOKUP($B167,casostestes[#Data],5)),"-")</f>
        <v>-</v>
      </c>
      <c r="H167" s="35" t="str">
        <f>IFERROR(IF(VLOOKUP($B167,casostestes[#Data],6)=0,"-",VLOOKUP($B167,casostestes[#Data],6)),"-")</f>
        <v>-</v>
      </c>
      <c r="I167" s="35" t="str">
        <f>IFERROR(IF(VLOOKUP($B167,casostestes[#Data],8)=0,"-",VLOOKUP($B167,casostestes[#Data],8)),"-")</f>
        <v>-</v>
      </c>
      <c r="J167" s="35" t="str">
        <f>IFERROR(IF(VLOOKUP($B167,casostestes[#Data],9)=0,"-",VLOOKUP($B167,casostestes[#Data],9)),"-")</f>
        <v>-</v>
      </c>
      <c r="K167" s="36"/>
      <c r="L167" s="45"/>
      <c r="M167" s="37"/>
      <c r="N167" s="38"/>
      <c r="O167" s="38"/>
      <c r="P167" s="39"/>
    </row>
    <row r="168" spans="2:16">
      <c r="B168" s="40" t="str">
        <f>IF(ISERR(casostestes[[#This Row],[ID]]),"-",casostestes[[#This Row],[ID]])</f>
        <v>-</v>
      </c>
      <c r="C168" s="34" t="str">
        <f>IFERROR(IF(VLOOKUP($B168,casostestes[#Data],10)=0,"Não",VLOOKUP($B168,casostestes[#Data],10)), "-")</f>
        <v>-</v>
      </c>
      <c r="D168" s="35" t="str">
        <f>IFERROR(IF(VLOOKUP($B168,casostestes[#Data],2)=0,"-",VLOOKUP($B168,casostestes[#Data],2)), "-")</f>
        <v>-</v>
      </c>
      <c r="E168" s="35" t="str">
        <f>IFERROR(IF(VLOOKUP($B168,casostestes[#Data],3)=0,"-",VLOOKUP($B168,casostestes[#Data],3)), "-")</f>
        <v>-</v>
      </c>
      <c r="F168" s="35" t="str">
        <f>IFERROR(IF(VLOOKUP($B168,casostestes[#Data],4)=0,"-",VLOOKUP($B168,casostestes[#Data],4)),"-")</f>
        <v>-</v>
      </c>
      <c r="G168" s="35" t="str">
        <f>IFERROR(IF(VLOOKUP($B168,casostestes[#Data],5)=0,"-",VLOOKUP($B168,casostestes[#Data],5)),"-")</f>
        <v>-</v>
      </c>
      <c r="H168" s="35" t="str">
        <f>IFERROR(IF(VLOOKUP($B168,casostestes[#Data],6)=0,"-",VLOOKUP($B168,casostestes[#Data],6)),"-")</f>
        <v>-</v>
      </c>
      <c r="I168" s="35" t="str">
        <f>IFERROR(IF(VLOOKUP($B168,casostestes[#Data],8)=0,"-",VLOOKUP($B168,casostestes[#Data],8)),"-")</f>
        <v>-</v>
      </c>
      <c r="J168" s="35" t="str">
        <f>IFERROR(IF(VLOOKUP($B168,casostestes[#Data],9)=0,"-",VLOOKUP($B168,casostestes[#Data],9)),"-")</f>
        <v>-</v>
      </c>
      <c r="K168" s="36"/>
      <c r="L168" s="45"/>
      <c r="M168" s="37"/>
      <c r="N168" s="38"/>
      <c r="O168" s="38"/>
      <c r="P168" s="39"/>
    </row>
    <row r="169" spans="2:16">
      <c r="B169" s="40" t="str">
        <f>IF(ISERR(casostestes[[#This Row],[ID]]),"-",casostestes[[#This Row],[ID]])</f>
        <v>-</v>
      </c>
      <c r="C169" s="34" t="str">
        <f>IFERROR(IF(VLOOKUP($B169,casostestes[#Data],10)=0,"Não",VLOOKUP($B169,casostestes[#Data],10)), "-")</f>
        <v>-</v>
      </c>
      <c r="D169" s="35" t="str">
        <f>IFERROR(IF(VLOOKUP($B169,casostestes[#Data],2)=0,"-",VLOOKUP($B169,casostestes[#Data],2)), "-")</f>
        <v>-</v>
      </c>
      <c r="E169" s="35" t="str">
        <f>IFERROR(IF(VLOOKUP($B169,casostestes[#Data],3)=0,"-",VLOOKUP($B169,casostestes[#Data],3)), "-")</f>
        <v>-</v>
      </c>
      <c r="F169" s="35" t="str">
        <f>IFERROR(IF(VLOOKUP($B169,casostestes[#Data],4)=0,"-",VLOOKUP($B169,casostestes[#Data],4)),"-")</f>
        <v>-</v>
      </c>
      <c r="G169" s="35" t="str">
        <f>IFERROR(IF(VLOOKUP($B169,casostestes[#Data],5)=0,"-",VLOOKUP($B169,casostestes[#Data],5)),"-")</f>
        <v>-</v>
      </c>
      <c r="H169" s="35" t="str">
        <f>IFERROR(IF(VLOOKUP($B169,casostestes[#Data],6)=0,"-",VLOOKUP($B169,casostestes[#Data],6)),"-")</f>
        <v>-</v>
      </c>
      <c r="I169" s="35" t="str">
        <f>IFERROR(IF(VLOOKUP($B169,casostestes[#Data],8)=0,"-",VLOOKUP($B169,casostestes[#Data],8)),"-")</f>
        <v>-</v>
      </c>
      <c r="J169" s="35" t="str">
        <f>IFERROR(IF(VLOOKUP($B169,casostestes[#Data],9)=0,"-",VLOOKUP($B169,casostestes[#Data],9)),"-")</f>
        <v>-</v>
      </c>
      <c r="K169" s="36"/>
      <c r="L169" s="45"/>
      <c r="M169" s="37"/>
      <c r="N169" s="38"/>
      <c r="O169" s="38"/>
      <c r="P169" s="39"/>
    </row>
    <row r="170" spans="2:16">
      <c r="B170" s="40" t="str">
        <f>IF(ISERR(casostestes[[#This Row],[ID]]),"-",casostestes[[#This Row],[ID]])</f>
        <v>-</v>
      </c>
      <c r="C170" s="34" t="str">
        <f>IFERROR(IF(VLOOKUP($B170,casostestes[#Data],10)=0,"Não",VLOOKUP($B170,casostestes[#Data],10)), "-")</f>
        <v>-</v>
      </c>
      <c r="D170" s="35" t="str">
        <f>IFERROR(IF(VLOOKUP($B170,casostestes[#Data],2)=0,"-",VLOOKUP($B170,casostestes[#Data],2)), "-")</f>
        <v>-</v>
      </c>
      <c r="E170" s="35" t="str">
        <f>IFERROR(IF(VLOOKUP($B170,casostestes[#Data],3)=0,"-",VLOOKUP($B170,casostestes[#Data],3)), "-")</f>
        <v>-</v>
      </c>
      <c r="F170" s="35" t="str">
        <f>IFERROR(IF(VLOOKUP($B170,casostestes[#Data],4)=0,"-",VLOOKUP($B170,casostestes[#Data],4)),"-")</f>
        <v>-</v>
      </c>
      <c r="G170" s="35" t="str">
        <f>IFERROR(IF(VLOOKUP($B170,casostestes[#Data],5)=0,"-",VLOOKUP($B170,casostestes[#Data],5)),"-")</f>
        <v>-</v>
      </c>
      <c r="H170" s="35" t="str">
        <f>IFERROR(IF(VLOOKUP($B170,casostestes[#Data],6)=0,"-",VLOOKUP($B170,casostestes[#Data],6)),"-")</f>
        <v>-</v>
      </c>
      <c r="I170" s="35" t="str">
        <f>IFERROR(IF(VLOOKUP($B170,casostestes[#Data],8)=0,"-",VLOOKUP($B170,casostestes[#Data],8)),"-")</f>
        <v>-</v>
      </c>
      <c r="J170" s="35" t="str">
        <f>IFERROR(IF(VLOOKUP($B170,casostestes[#Data],9)=0,"-",VLOOKUP($B170,casostestes[#Data],9)),"-")</f>
        <v>-</v>
      </c>
      <c r="K170" s="36"/>
      <c r="L170" s="45"/>
      <c r="M170" s="37"/>
      <c r="N170" s="38"/>
      <c r="O170" s="38"/>
      <c r="P170" s="39"/>
    </row>
    <row r="171" spans="2:16">
      <c r="B171" s="40" t="str">
        <f>IF(ISERR(casostestes[[#This Row],[ID]]),"-",casostestes[[#This Row],[ID]])</f>
        <v>-</v>
      </c>
      <c r="C171" s="34" t="str">
        <f>IFERROR(IF(VLOOKUP($B171,casostestes[#Data],10)=0,"Não",VLOOKUP($B171,casostestes[#Data],10)), "-")</f>
        <v>-</v>
      </c>
      <c r="D171" s="35" t="str">
        <f>IFERROR(IF(VLOOKUP($B171,casostestes[#Data],2)=0,"-",VLOOKUP($B171,casostestes[#Data],2)), "-")</f>
        <v>-</v>
      </c>
      <c r="E171" s="35" t="str">
        <f>IFERROR(IF(VLOOKUP($B171,casostestes[#Data],3)=0,"-",VLOOKUP($B171,casostestes[#Data],3)), "-")</f>
        <v>-</v>
      </c>
      <c r="F171" s="35" t="str">
        <f>IFERROR(IF(VLOOKUP($B171,casostestes[#Data],4)=0,"-",VLOOKUP($B171,casostestes[#Data],4)),"-")</f>
        <v>-</v>
      </c>
      <c r="G171" s="35" t="str">
        <f>IFERROR(IF(VLOOKUP($B171,casostestes[#Data],5)=0,"-",VLOOKUP($B171,casostestes[#Data],5)),"-")</f>
        <v>-</v>
      </c>
      <c r="H171" s="35" t="str">
        <f>IFERROR(IF(VLOOKUP($B171,casostestes[#Data],6)=0,"-",VLOOKUP($B171,casostestes[#Data],6)),"-")</f>
        <v>-</v>
      </c>
      <c r="I171" s="35" t="str">
        <f>IFERROR(IF(VLOOKUP($B171,casostestes[#Data],8)=0,"-",VLOOKUP($B171,casostestes[#Data],8)),"-")</f>
        <v>-</v>
      </c>
      <c r="J171" s="35" t="str">
        <f>IFERROR(IF(VLOOKUP($B171,casostestes[#Data],9)=0,"-",VLOOKUP($B171,casostestes[#Data],9)),"-")</f>
        <v>-</v>
      </c>
      <c r="K171" s="36"/>
      <c r="L171" s="45"/>
      <c r="M171" s="37"/>
      <c r="N171" s="38"/>
      <c r="O171" s="38"/>
      <c r="P171" s="39"/>
    </row>
    <row r="172" spans="2:16">
      <c r="B172" s="40" t="str">
        <f>IF(ISERR(casostestes[[#This Row],[ID]]),"-",casostestes[[#This Row],[ID]])</f>
        <v>-</v>
      </c>
      <c r="C172" s="34" t="str">
        <f>IFERROR(IF(VLOOKUP($B172,casostestes[#Data],10)=0,"Não",VLOOKUP($B172,casostestes[#Data],10)), "-")</f>
        <v>-</v>
      </c>
      <c r="D172" s="35" t="str">
        <f>IFERROR(IF(VLOOKUP($B172,casostestes[#Data],2)=0,"-",VLOOKUP($B172,casostestes[#Data],2)), "-")</f>
        <v>-</v>
      </c>
      <c r="E172" s="35" t="str">
        <f>IFERROR(IF(VLOOKUP($B172,casostestes[#Data],3)=0,"-",VLOOKUP($B172,casostestes[#Data],3)), "-")</f>
        <v>-</v>
      </c>
      <c r="F172" s="35" t="str">
        <f>IFERROR(IF(VLOOKUP($B172,casostestes[#Data],4)=0,"-",VLOOKUP($B172,casostestes[#Data],4)),"-")</f>
        <v>-</v>
      </c>
      <c r="G172" s="35" t="str">
        <f>IFERROR(IF(VLOOKUP($B172,casostestes[#Data],5)=0,"-",VLOOKUP($B172,casostestes[#Data],5)),"-")</f>
        <v>-</v>
      </c>
      <c r="H172" s="35" t="str">
        <f>IFERROR(IF(VLOOKUP($B172,casostestes[#Data],6)=0,"-",VLOOKUP($B172,casostestes[#Data],6)),"-")</f>
        <v>-</v>
      </c>
      <c r="I172" s="35" t="str">
        <f>IFERROR(IF(VLOOKUP($B172,casostestes[#Data],8)=0,"-",VLOOKUP($B172,casostestes[#Data],8)),"-")</f>
        <v>-</v>
      </c>
      <c r="J172" s="35" t="str">
        <f>IFERROR(IF(VLOOKUP($B172,casostestes[#Data],9)=0,"-",VLOOKUP($B172,casostestes[#Data],9)),"-")</f>
        <v>-</v>
      </c>
      <c r="K172" s="36"/>
      <c r="L172" s="45"/>
      <c r="M172" s="37"/>
      <c r="N172" s="38"/>
      <c r="O172" s="38"/>
      <c r="P172" s="39"/>
    </row>
    <row r="173" spans="2:16">
      <c r="B173" s="40" t="str">
        <f>IF(ISERR(casostestes[[#This Row],[ID]]),"-",casostestes[[#This Row],[ID]])</f>
        <v>-</v>
      </c>
      <c r="C173" s="34" t="str">
        <f>IFERROR(IF(VLOOKUP($B173,casostestes[#Data],10)=0,"Não",VLOOKUP($B173,casostestes[#Data],10)), "-")</f>
        <v>-</v>
      </c>
      <c r="D173" s="35" t="str">
        <f>IFERROR(IF(VLOOKUP($B173,casostestes[#Data],2)=0,"-",VLOOKUP($B173,casostestes[#Data],2)), "-")</f>
        <v>-</v>
      </c>
      <c r="E173" s="35" t="str">
        <f>IFERROR(IF(VLOOKUP($B173,casostestes[#Data],3)=0,"-",VLOOKUP($B173,casostestes[#Data],3)), "-")</f>
        <v>-</v>
      </c>
      <c r="F173" s="35" t="str">
        <f>IFERROR(IF(VLOOKUP($B173,casostestes[#Data],4)=0,"-",VLOOKUP($B173,casostestes[#Data],4)),"-")</f>
        <v>-</v>
      </c>
      <c r="G173" s="35" t="str">
        <f>IFERROR(IF(VLOOKUP($B173,casostestes[#Data],5)=0,"-",VLOOKUP($B173,casostestes[#Data],5)),"-")</f>
        <v>-</v>
      </c>
      <c r="H173" s="35" t="str">
        <f>IFERROR(IF(VLOOKUP($B173,casostestes[#Data],6)=0,"-",VLOOKUP($B173,casostestes[#Data],6)),"-")</f>
        <v>-</v>
      </c>
      <c r="I173" s="35" t="str">
        <f>IFERROR(IF(VLOOKUP($B173,casostestes[#Data],8)=0,"-",VLOOKUP($B173,casostestes[#Data],8)),"-")</f>
        <v>-</v>
      </c>
      <c r="J173" s="35" t="str">
        <f>IFERROR(IF(VLOOKUP($B173,casostestes[#Data],9)=0,"-",VLOOKUP($B173,casostestes[#Data],9)),"-")</f>
        <v>-</v>
      </c>
      <c r="K173" s="36"/>
      <c r="L173" s="45"/>
      <c r="M173" s="37"/>
      <c r="N173" s="38"/>
      <c r="O173" s="38"/>
      <c r="P173" s="39"/>
    </row>
    <row r="174" spans="2:16">
      <c r="B174" s="40" t="str">
        <f>IF(ISERR(casostestes[[#This Row],[ID]]),"-",casostestes[[#This Row],[ID]])</f>
        <v>-</v>
      </c>
      <c r="C174" s="34" t="str">
        <f>IFERROR(IF(VLOOKUP($B174,casostestes[#Data],10)=0,"Não",VLOOKUP($B174,casostestes[#Data],10)), "-")</f>
        <v>-</v>
      </c>
      <c r="D174" s="35" t="str">
        <f>IFERROR(IF(VLOOKUP($B174,casostestes[#Data],2)=0,"-",VLOOKUP($B174,casostestes[#Data],2)), "-")</f>
        <v>-</v>
      </c>
      <c r="E174" s="35" t="str">
        <f>IFERROR(IF(VLOOKUP($B174,casostestes[#Data],3)=0,"-",VLOOKUP($B174,casostestes[#Data],3)), "-")</f>
        <v>-</v>
      </c>
      <c r="F174" s="35" t="str">
        <f>IFERROR(IF(VLOOKUP($B174,casostestes[#Data],4)=0,"-",VLOOKUP($B174,casostestes[#Data],4)),"-")</f>
        <v>-</v>
      </c>
      <c r="G174" s="35" t="str">
        <f>IFERROR(IF(VLOOKUP($B174,casostestes[#Data],5)=0,"-",VLOOKUP($B174,casostestes[#Data],5)),"-")</f>
        <v>-</v>
      </c>
      <c r="H174" s="35" t="str">
        <f>IFERROR(IF(VLOOKUP($B174,casostestes[#Data],6)=0,"-",VLOOKUP($B174,casostestes[#Data],6)),"-")</f>
        <v>-</v>
      </c>
      <c r="I174" s="35" t="str">
        <f>IFERROR(IF(VLOOKUP($B174,casostestes[#Data],8)=0,"-",VLOOKUP($B174,casostestes[#Data],8)),"-")</f>
        <v>-</v>
      </c>
      <c r="J174" s="35" t="str">
        <f>IFERROR(IF(VLOOKUP($B174,casostestes[#Data],9)=0,"-",VLOOKUP($B174,casostestes[#Data],9)),"-")</f>
        <v>-</v>
      </c>
      <c r="K174" s="36"/>
      <c r="L174" s="45"/>
      <c r="M174" s="37"/>
      <c r="N174" s="38"/>
      <c r="O174" s="38"/>
      <c r="P174" s="39"/>
    </row>
    <row r="175" spans="2:16">
      <c r="B175" s="40" t="str">
        <f>IF(ISERR(casostestes[[#This Row],[ID]]),"-",casostestes[[#This Row],[ID]])</f>
        <v>-</v>
      </c>
      <c r="C175" s="34" t="str">
        <f>IFERROR(IF(VLOOKUP($B175,casostestes[#Data],10)=0,"Não",VLOOKUP($B175,casostestes[#Data],10)), "-")</f>
        <v>-</v>
      </c>
      <c r="D175" s="35" t="str">
        <f>IFERROR(IF(VLOOKUP($B175,casostestes[#Data],2)=0,"-",VLOOKUP($B175,casostestes[#Data],2)), "-")</f>
        <v>-</v>
      </c>
      <c r="E175" s="35" t="str">
        <f>IFERROR(IF(VLOOKUP($B175,casostestes[#Data],3)=0,"-",VLOOKUP($B175,casostestes[#Data],3)), "-")</f>
        <v>-</v>
      </c>
      <c r="F175" s="35" t="str">
        <f>IFERROR(IF(VLOOKUP($B175,casostestes[#Data],4)=0,"-",VLOOKUP($B175,casostestes[#Data],4)),"-")</f>
        <v>-</v>
      </c>
      <c r="G175" s="35" t="str">
        <f>IFERROR(IF(VLOOKUP($B175,casostestes[#Data],5)=0,"-",VLOOKUP($B175,casostestes[#Data],5)),"-")</f>
        <v>-</v>
      </c>
      <c r="H175" s="35" t="str">
        <f>IFERROR(IF(VLOOKUP($B175,casostestes[#Data],6)=0,"-",VLOOKUP($B175,casostestes[#Data],6)),"-")</f>
        <v>-</v>
      </c>
      <c r="I175" s="35" t="str">
        <f>IFERROR(IF(VLOOKUP($B175,casostestes[#Data],8)=0,"-",VLOOKUP($B175,casostestes[#Data],8)),"-")</f>
        <v>-</v>
      </c>
      <c r="J175" s="35" t="str">
        <f>IFERROR(IF(VLOOKUP($B175,casostestes[#Data],9)=0,"-",VLOOKUP($B175,casostestes[#Data],9)),"-")</f>
        <v>-</v>
      </c>
      <c r="K175" s="36"/>
      <c r="L175" s="45"/>
      <c r="M175" s="37"/>
      <c r="N175" s="38"/>
      <c r="O175" s="38"/>
      <c r="P175" s="39"/>
    </row>
    <row r="176" spans="2:16">
      <c r="B176" s="40" t="str">
        <f>IF(ISERR(casostestes[[#This Row],[ID]]),"-",casostestes[[#This Row],[ID]])</f>
        <v>-</v>
      </c>
      <c r="C176" s="34" t="str">
        <f>IFERROR(IF(VLOOKUP($B176,casostestes[#Data],10)=0,"Não",VLOOKUP($B176,casostestes[#Data],10)), "-")</f>
        <v>-</v>
      </c>
      <c r="D176" s="35" t="str">
        <f>IFERROR(IF(VLOOKUP($B176,casostestes[#Data],2)=0,"-",VLOOKUP($B176,casostestes[#Data],2)), "-")</f>
        <v>-</v>
      </c>
      <c r="E176" s="35" t="str">
        <f>IFERROR(IF(VLOOKUP($B176,casostestes[#Data],3)=0,"-",VLOOKUP($B176,casostestes[#Data],3)), "-")</f>
        <v>-</v>
      </c>
      <c r="F176" s="35" t="str">
        <f>IFERROR(IF(VLOOKUP($B176,casostestes[#Data],4)=0,"-",VLOOKUP($B176,casostestes[#Data],4)),"-")</f>
        <v>-</v>
      </c>
      <c r="G176" s="35" t="str">
        <f>IFERROR(IF(VLOOKUP($B176,casostestes[#Data],5)=0,"-",VLOOKUP($B176,casostestes[#Data],5)),"-")</f>
        <v>-</v>
      </c>
      <c r="H176" s="35" t="str">
        <f>IFERROR(IF(VLOOKUP($B176,casostestes[#Data],6)=0,"-",VLOOKUP($B176,casostestes[#Data],6)),"-")</f>
        <v>-</v>
      </c>
      <c r="I176" s="35" t="str">
        <f>IFERROR(IF(VLOOKUP($B176,casostestes[#Data],8)=0,"-",VLOOKUP($B176,casostestes[#Data],8)),"-")</f>
        <v>-</v>
      </c>
      <c r="J176" s="35" t="str">
        <f>IFERROR(IF(VLOOKUP($B176,casostestes[#Data],9)=0,"-",VLOOKUP($B176,casostestes[#Data],9)),"-")</f>
        <v>-</v>
      </c>
      <c r="K176" s="36"/>
      <c r="L176" s="45"/>
      <c r="M176" s="37"/>
      <c r="N176" s="38"/>
      <c r="O176" s="38"/>
      <c r="P176" s="39"/>
    </row>
    <row r="177" spans="2:16">
      <c r="B177" s="40" t="str">
        <f>IF(ISERR(casostestes[[#This Row],[ID]]),"-",casostestes[[#This Row],[ID]])</f>
        <v>-</v>
      </c>
      <c r="C177" s="34" t="str">
        <f>IFERROR(IF(VLOOKUP($B177,casostestes[#Data],10)=0,"Não",VLOOKUP($B177,casostestes[#Data],10)), "-")</f>
        <v>-</v>
      </c>
      <c r="D177" s="35" t="str">
        <f>IFERROR(IF(VLOOKUP($B177,casostestes[#Data],2)=0,"-",VLOOKUP($B177,casostestes[#Data],2)), "-")</f>
        <v>-</v>
      </c>
      <c r="E177" s="35" t="str">
        <f>IFERROR(IF(VLOOKUP($B177,casostestes[#Data],3)=0,"-",VLOOKUP($B177,casostestes[#Data],3)), "-")</f>
        <v>-</v>
      </c>
      <c r="F177" s="35" t="str">
        <f>IFERROR(IF(VLOOKUP($B177,casostestes[#Data],4)=0,"-",VLOOKUP($B177,casostestes[#Data],4)),"-")</f>
        <v>-</v>
      </c>
      <c r="G177" s="35" t="str">
        <f>IFERROR(IF(VLOOKUP($B177,casostestes[#Data],5)=0,"-",VLOOKUP($B177,casostestes[#Data],5)),"-")</f>
        <v>-</v>
      </c>
      <c r="H177" s="35" t="str">
        <f>IFERROR(IF(VLOOKUP($B177,casostestes[#Data],6)=0,"-",VLOOKUP($B177,casostestes[#Data],6)),"-")</f>
        <v>-</v>
      </c>
      <c r="I177" s="35" t="str">
        <f>IFERROR(IF(VLOOKUP($B177,casostestes[#Data],8)=0,"-",VLOOKUP($B177,casostestes[#Data],8)),"-")</f>
        <v>-</v>
      </c>
      <c r="J177" s="35" t="str">
        <f>IFERROR(IF(VLOOKUP($B177,casostestes[#Data],9)=0,"-",VLOOKUP($B177,casostestes[#Data],9)),"-")</f>
        <v>-</v>
      </c>
      <c r="K177" s="36"/>
      <c r="L177" s="45"/>
      <c r="M177" s="37"/>
      <c r="N177" s="38"/>
      <c r="O177" s="38"/>
      <c r="P177" s="39"/>
    </row>
    <row r="178" spans="2:16">
      <c r="B178" s="40" t="str">
        <f>IF(ISERR(casostestes[[#This Row],[ID]]),"-",casostestes[[#This Row],[ID]])</f>
        <v>-</v>
      </c>
      <c r="C178" s="34" t="str">
        <f>IFERROR(IF(VLOOKUP($B178,casostestes[#Data],10)=0,"Não",VLOOKUP($B178,casostestes[#Data],10)), "-")</f>
        <v>-</v>
      </c>
      <c r="D178" s="35" t="str">
        <f>IFERROR(IF(VLOOKUP($B178,casostestes[#Data],2)=0,"-",VLOOKUP($B178,casostestes[#Data],2)), "-")</f>
        <v>-</v>
      </c>
      <c r="E178" s="35" t="str">
        <f>IFERROR(IF(VLOOKUP($B178,casostestes[#Data],3)=0,"-",VLOOKUP($B178,casostestes[#Data],3)), "-")</f>
        <v>-</v>
      </c>
      <c r="F178" s="35" t="str">
        <f>IFERROR(IF(VLOOKUP($B178,casostestes[#Data],4)=0,"-",VLOOKUP($B178,casostestes[#Data],4)),"-")</f>
        <v>-</v>
      </c>
      <c r="G178" s="35" t="str">
        <f>IFERROR(IF(VLOOKUP($B178,casostestes[#Data],5)=0,"-",VLOOKUP($B178,casostestes[#Data],5)),"-")</f>
        <v>-</v>
      </c>
      <c r="H178" s="35" t="str">
        <f>IFERROR(IF(VLOOKUP($B178,casostestes[#Data],6)=0,"-",VLOOKUP($B178,casostestes[#Data],6)),"-")</f>
        <v>-</v>
      </c>
      <c r="I178" s="35" t="str">
        <f>IFERROR(IF(VLOOKUP($B178,casostestes[#Data],8)=0,"-",VLOOKUP($B178,casostestes[#Data],8)),"-")</f>
        <v>-</v>
      </c>
      <c r="J178" s="35" t="str">
        <f>IFERROR(IF(VLOOKUP($B178,casostestes[#Data],9)=0,"-",VLOOKUP($B178,casostestes[#Data],9)),"-")</f>
        <v>-</v>
      </c>
      <c r="K178" s="36"/>
      <c r="L178" s="45"/>
      <c r="M178" s="37"/>
      <c r="N178" s="38"/>
      <c r="O178" s="38"/>
      <c r="P178" s="39"/>
    </row>
    <row r="179" spans="2:16">
      <c r="B179" s="40" t="str">
        <f>IF(ISERR(casostestes[[#This Row],[ID]]),"-",casostestes[[#This Row],[ID]])</f>
        <v>-</v>
      </c>
      <c r="C179" s="34" t="str">
        <f>IFERROR(IF(VLOOKUP($B179,casostestes[#Data],10)=0,"Não",VLOOKUP($B179,casostestes[#Data],10)), "-")</f>
        <v>-</v>
      </c>
      <c r="D179" s="35" t="str">
        <f>IFERROR(IF(VLOOKUP($B179,casostestes[#Data],2)=0,"-",VLOOKUP($B179,casostestes[#Data],2)), "-")</f>
        <v>-</v>
      </c>
      <c r="E179" s="35" t="str">
        <f>IFERROR(IF(VLOOKUP($B179,casostestes[#Data],3)=0,"-",VLOOKUP($B179,casostestes[#Data],3)), "-")</f>
        <v>-</v>
      </c>
      <c r="F179" s="35" t="str">
        <f>IFERROR(IF(VLOOKUP($B179,casostestes[#Data],4)=0,"-",VLOOKUP($B179,casostestes[#Data],4)),"-")</f>
        <v>-</v>
      </c>
      <c r="G179" s="35" t="str">
        <f>IFERROR(IF(VLOOKUP($B179,casostestes[#Data],5)=0,"-",VLOOKUP($B179,casostestes[#Data],5)),"-")</f>
        <v>-</v>
      </c>
      <c r="H179" s="35" t="str">
        <f>IFERROR(IF(VLOOKUP($B179,casostestes[#Data],6)=0,"-",VLOOKUP($B179,casostestes[#Data],6)),"-")</f>
        <v>-</v>
      </c>
      <c r="I179" s="35" t="str">
        <f>IFERROR(IF(VLOOKUP($B179,casostestes[#Data],8)=0,"-",VLOOKUP($B179,casostestes[#Data],8)),"-")</f>
        <v>-</v>
      </c>
      <c r="J179" s="35" t="str">
        <f>IFERROR(IF(VLOOKUP($B179,casostestes[#Data],9)=0,"-",VLOOKUP($B179,casostestes[#Data],9)),"-")</f>
        <v>-</v>
      </c>
      <c r="K179" s="36"/>
      <c r="L179" s="45"/>
      <c r="M179" s="37"/>
      <c r="N179" s="38"/>
      <c r="O179" s="38"/>
      <c r="P179" s="39"/>
    </row>
    <row r="180" spans="2:16">
      <c r="B180" s="40" t="str">
        <f>IF(ISERR(casostestes[[#This Row],[ID]]),"-",casostestes[[#This Row],[ID]])</f>
        <v>-</v>
      </c>
      <c r="C180" s="34" t="str">
        <f>IFERROR(IF(VLOOKUP($B180,casostestes[#Data],10)=0,"Não",VLOOKUP($B180,casostestes[#Data],10)), "-")</f>
        <v>-</v>
      </c>
      <c r="D180" s="35" t="str">
        <f>IFERROR(IF(VLOOKUP($B180,casostestes[#Data],2)=0,"-",VLOOKUP($B180,casostestes[#Data],2)), "-")</f>
        <v>-</v>
      </c>
      <c r="E180" s="35" t="str">
        <f>IFERROR(IF(VLOOKUP($B180,casostestes[#Data],3)=0,"-",VLOOKUP($B180,casostestes[#Data],3)), "-")</f>
        <v>-</v>
      </c>
      <c r="F180" s="35" t="str">
        <f>IFERROR(IF(VLOOKUP($B180,casostestes[#Data],4)=0,"-",VLOOKUP($B180,casostestes[#Data],4)),"-")</f>
        <v>-</v>
      </c>
      <c r="G180" s="35" t="str">
        <f>IFERROR(IF(VLOOKUP($B180,casostestes[#Data],5)=0,"-",VLOOKUP($B180,casostestes[#Data],5)),"-")</f>
        <v>-</v>
      </c>
      <c r="H180" s="35" t="str">
        <f>IFERROR(IF(VLOOKUP($B180,casostestes[#Data],6)=0,"-",VLOOKUP($B180,casostestes[#Data],6)),"-")</f>
        <v>-</v>
      </c>
      <c r="I180" s="35" t="str">
        <f>IFERROR(IF(VLOOKUP($B180,casostestes[#Data],8)=0,"-",VLOOKUP($B180,casostestes[#Data],8)),"-")</f>
        <v>-</v>
      </c>
      <c r="J180" s="35" t="str">
        <f>IFERROR(IF(VLOOKUP($B180,casostestes[#Data],9)=0,"-",VLOOKUP($B180,casostestes[#Data],9)),"-")</f>
        <v>-</v>
      </c>
      <c r="K180" s="36"/>
      <c r="L180" s="45"/>
      <c r="M180" s="37"/>
      <c r="N180" s="38"/>
      <c r="O180" s="38"/>
      <c r="P180" s="39"/>
    </row>
    <row r="181" spans="2:16">
      <c r="B181" s="40" t="str">
        <f>IF(ISERR(casostestes[[#This Row],[ID]]),"-",casostestes[[#This Row],[ID]])</f>
        <v>-</v>
      </c>
      <c r="C181" s="34" t="str">
        <f>IFERROR(IF(VLOOKUP($B181,casostestes[#Data],10)=0,"Não",VLOOKUP($B181,casostestes[#Data],10)), "-")</f>
        <v>-</v>
      </c>
      <c r="D181" s="35" t="str">
        <f>IFERROR(IF(VLOOKUP($B181,casostestes[#Data],2)=0,"-",VLOOKUP($B181,casostestes[#Data],2)), "-")</f>
        <v>-</v>
      </c>
      <c r="E181" s="35" t="str">
        <f>IFERROR(IF(VLOOKUP($B181,casostestes[#Data],3)=0,"-",VLOOKUP($B181,casostestes[#Data],3)), "-")</f>
        <v>-</v>
      </c>
      <c r="F181" s="35" t="str">
        <f>IFERROR(IF(VLOOKUP($B181,casostestes[#Data],4)=0,"-",VLOOKUP($B181,casostestes[#Data],4)),"-")</f>
        <v>-</v>
      </c>
      <c r="G181" s="35" t="str">
        <f>IFERROR(IF(VLOOKUP($B181,casostestes[#Data],5)=0,"-",VLOOKUP($B181,casostestes[#Data],5)),"-")</f>
        <v>-</v>
      </c>
      <c r="H181" s="35" t="str">
        <f>IFERROR(IF(VLOOKUP($B181,casostestes[#Data],6)=0,"-",VLOOKUP($B181,casostestes[#Data],6)),"-")</f>
        <v>-</v>
      </c>
      <c r="I181" s="35" t="str">
        <f>IFERROR(IF(VLOOKUP($B181,casostestes[#Data],8)=0,"-",VLOOKUP($B181,casostestes[#Data],8)),"-")</f>
        <v>-</v>
      </c>
      <c r="J181" s="35" t="str">
        <f>IFERROR(IF(VLOOKUP($B181,casostestes[#Data],9)=0,"-",VLOOKUP($B181,casostestes[#Data],9)),"-")</f>
        <v>-</v>
      </c>
      <c r="K181" s="36"/>
      <c r="L181" s="45"/>
      <c r="M181" s="37"/>
      <c r="N181" s="38"/>
      <c r="O181" s="38"/>
      <c r="P181" s="39"/>
    </row>
    <row r="182" spans="2:16">
      <c r="B182" s="40" t="str">
        <f>IF(ISERR(casostestes[[#This Row],[ID]]),"-",casostestes[[#This Row],[ID]])</f>
        <v>-</v>
      </c>
      <c r="C182" s="34" t="str">
        <f>IFERROR(IF(VLOOKUP($B182,casostestes[#Data],10)=0,"Não",VLOOKUP($B182,casostestes[#Data],10)), "-")</f>
        <v>-</v>
      </c>
      <c r="D182" s="35" t="str">
        <f>IFERROR(IF(VLOOKUP($B182,casostestes[#Data],2)=0,"-",VLOOKUP($B182,casostestes[#Data],2)), "-")</f>
        <v>-</v>
      </c>
      <c r="E182" s="35" t="str">
        <f>IFERROR(IF(VLOOKUP($B182,casostestes[#Data],3)=0,"-",VLOOKUP($B182,casostestes[#Data],3)), "-")</f>
        <v>-</v>
      </c>
      <c r="F182" s="35" t="str">
        <f>IFERROR(IF(VLOOKUP($B182,casostestes[#Data],4)=0,"-",VLOOKUP($B182,casostestes[#Data],4)),"-")</f>
        <v>-</v>
      </c>
      <c r="G182" s="35" t="str">
        <f>IFERROR(IF(VLOOKUP($B182,casostestes[#Data],5)=0,"-",VLOOKUP($B182,casostestes[#Data],5)),"-")</f>
        <v>-</v>
      </c>
      <c r="H182" s="35" t="str">
        <f>IFERROR(IF(VLOOKUP($B182,casostestes[#Data],6)=0,"-",VLOOKUP($B182,casostestes[#Data],6)),"-")</f>
        <v>-</v>
      </c>
      <c r="I182" s="35" t="str">
        <f>IFERROR(IF(VLOOKUP($B182,casostestes[#Data],8)=0,"-",VLOOKUP($B182,casostestes[#Data],8)),"-")</f>
        <v>-</v>
      </c>
      <c r="J182" s="35" t="str">
        <f>IFERROR(IF(VLOOKUP($B182,casostestes[#Data],9)=0,"-",VLOOKUP($B182,casostestes[#Data],9)),"-")</f>
        <v>-</v>
      </c>
      <c r="K182" s="36"/>
      <c r="L182" s="45"/>
      <c r="M182" s="37"/>
      <c r="N182" s="38"/>
      <c r="O182" s="38"/>
      <c r="P182" s="39"/>
    </row>
    <row r="183" spans="2:16">
      <c r="B183" s="40" t="str">
        <f>IF(ISERR(casostestes[[#This Row],[ID]]),"-",casostestes[[#This Row],[ID]])</f>
        <v>-</v>
      </c>
      <c r="C183" s="34" t="str">
        <f>IFERROR(IF(VLOOKUP($B183,casostestes[#Data],10)=0,"Não",VLOOKUP($B183,casostestes[#Data],10)), "-")</f>
        <v>-</v>
      </c>
      <c r="D183" s="35" t="str">
        <f>IFERROR(IF(VLOOKUP($B183,casostestes[#Data],2)=0,"-",VLOOKUP($B183,casostestes[#Data],2)), "-")</f>
        <v>-</v>
      </c>
      <c r="E183" s="35" t="str">
        <f>IFERROR(IF(VLOOKUP($B183,casostestes[#Data],3)=0,"-",VLOOKUP($B183,casostestes[#Data],3)), "-")</f>
        <v>-</v>
      </c>
      <c r="F183" s="35" t="str">
        <f>IFERROR(IF(VLOOKUP($B183,casostestes[#Data],4)=0,"-",VLOOKUP($B183,casostestes[#Data],4)),"-")</f>
        <v>-</v>
      </c>
      <c r="G183" s="35" t="str">
        <f>IFERROR(IF(VLOOKUP($B183,casostestes[#Data],5)=0,"-",VLOOKUP($B183,casostestes[#Data],5)),"-")</f>
        <v>-</v>
      </c>
      <c r="H183" s="35" t="str">
        <f>IFERROR(IF(VLOOKUP($B183,casostestes[#Data],6)=0,"-",VLOOKUP($B183,casostestes[#Data],6)),"-")</f>
        <v>-</v>
      </c>
      <c r="I183" s="35" t="str">
        <f>IFERROR(IF(VLOOKUP($B183,casostestes[#Data],8)=0,"-",VLOOKUP($B183,casostestes[#Data],8)),"-")</f>
        <v>-</v>
      </c>
      <c r="J183" s="35" t="str">
        <f>IFERROR(IF(VLOOKUP($B183,casostestes[#Data],9)=0,"-",VLOOKUP($B183,casostestes[#Data],9)),"-")</f>
        <v>-</v>
      </c>
      <c r="K183" s="36"/>
      <c r="L183" s="45"/>
      <c r="M183" s="37"/>
      <c r="N183" s="38"/>
      <c r="O183" s="38"/>
      <c r="P183" s="39"/>
    </row>
    <row r="184" spans="2:16">
      <c r="B184" s="40" t="str">
        <f>IF(ISERR(casostestes[[#This Row],[ID]]),"-",casostestes[[#This Row],[ID]])</f>
        <v>-</v>
      </c>
      <c r="C184" s="34" t="str">
        <f>IFERROR(IF(VLOOKUP($B184,casostestes[#Data],10)=0,"Não",VLOOKUP($B184,casostestes[#Data],10)), "-")</f>
        <v>-</v>
      </c>
      <c r="D184" s="35" t="str">
        <f>IFERROR(IF(VLOOKUP($B184,casostestes[#Data],2)=0,"-",VLOOKUP($B184,casostestes[#Data],2)), "-")</f>
        <v>-</v>
      </c>
      <c r="E184" s="35" t="str">
        <f>IFERROR(IF(VLOOKUP($B184,casostestes[#Data],3)=0,"-",VLOOKUP($B184,casostestes[#Data],3)), "-")</f>
        <v>-</v>
      </c>
      <c r="F184" s="35" t="str">
        <f>IFERROR(IF(VLOOKUP($B184,casostestes[#Data],4)=0,"-",VLOOKUP($B184,casostestes[#Data],4)),"-")</f>
        <v>-</v>
      </c>
      <c r="G184" s="35" t="str">
        <f>IFERROR(IF(VLOOKUP($B184,casostestes[#Data],5)=0,"-",VLOOKUP($B184,casostestes[#Data],5)),"-")</f>
        <v>-</v>
      </c>
      <c r="H184" s="35" t="str">
        <f>IFERROR(IF(VLOOKUP($B184,casostestes[#Data],6)=0,"-",VLOOKUP($B184,casostestes[#Data],6)),"-")</f>
        <v>-</v>
      </c>
      <c r="I184" s="35" t="str">
        <f>IFERROR(IF(VLOOKUP($B184,casostestes[#Data],8)=0,"-",VLOOKUP($B184,casostestes[#Data],8)),"-")</f>
        <v>-</v>
      </c>
      <c r="J184" s="35" t="str">
        <f>IFERROR(IF(VLOOKUP($B184,casostestes[#Data],9)=0,"-",VLOOKUP($B184,casostestes[#Data],9)),"-")</f>
        <v>-</v>
      </c>
      <c r="K184" s="36"/>
      <c r="L184" s="45"/>
      <c r="M184" s="37"/>
      <c r="N184" s="38"/>
      <c r="O184" s="38"/>
      <c r="P184" s="39"/>
    </row>
    <row r="185" spans="2:16">
      <c r="B185" s="40" t="str">
        <f>IF(ISERR(casostestes[[#This Row],[ID]]),"-",casostestes[[#This Row],[ID]])</f>
        <v>-</v>
      </c>
      <c r="C185" s="34" t="str">
        <f>IFERROR(IF(VLOOKUP($B185,casostestes[#Data],10)=0,"Não",VLOOKUP($B185,casostestes[#Data],10)), "-")</f>
        <v>-</v>
      </c>
      <c r="D185" s="35" t="str">
        <f>IFERROR(IF(VLOOKUP($B185,casostestes[#Data],2)=0,"-",VLOOKUP($B185,casostestes[#Data],2)), "-")</f>
        <v>-</v>
      </c>
      <c r="E185" s="35" t="str">
        <f>IFERROR(IF(VLOOKUP($B185,casostestes[#Data],3)=0,"-",VLOOKUP($B185,casostestes[#Data],3)), "-")</f>
        <v>-</v>
      </c>
      <c r="F185" s="35" t="str">
        <f>IFERROR(IF(VLOOKUP($B185,casostestes[#Data],4)=0,"-",VLOOKUP($B185,casostestes[#Data],4)),"-")</f>
        <v>-</v>
      </c>
      <c r="G185" s="35" t="str">
        <f>IFERROR(IF(VLOOKUP($B185,casostestes[#Data],5)=0,"-",VLOOKUP($B185,casostestes[#Data],5)),"-")</f>
        <v>-</v>
      </c>
      <c r="H185" s="35" t="str">
        <f>IFERROR(IF(VLOOKUP($B185,casostestes[#Data],6)=0,"-",VLOOKUP($B185,casostestes[#Data],6)),"-")</f>
        <v>-</v>
      </c>
      <c r="I185" s="35" t="str">
        <f>IFERROR(IF(VLOOKUP($B185,casostestes[#Data],8)=0,"-",VLOOKUP($B185,casostestes[#Data],8)),"-")</f>
        <v>-</v>
      </c>
      <c r="J185" s="35" t="str">
        <f>IFERROR(IF(VLOOKUP($B185,casostestes[#Data],9)=0,"-",VLOOKUP($B185,casostestes[#Data],9)),"-")</f>
        <v>-</v>
      </c>
      <c r="K185" s="36"/>
      <c r="L185" s="45"/>
      <c r="M185" s="37"/>
      <c r="N185" s="38"/>
      <c r="O185" s="38"/>
      <c r="P185" s="39"/>
    </row>
    <row r="186" spans="2:16">
      <c r="B186" s="40" t="str">
        <f>IF(ISERR(casostestes[[#This Row],[ID]]),"-",casostestes[[#This Row],[ID]])</f>
        <v>-</v>
      </c>
      <c r="C186" s="34" t="str">
        <f>IFERROR(IF(VLOOKUP($B186,casostestes[#Data],10)=0,"Não",VLOOKUP($B186,casostestes[#Data],10)), "-")</f>
        <v>-</v>
      </c>
      <c r="D186" s="35" t="str">
        <f>IFERROR(IF(VLOOKUP($B186,casostestes[#Data],2)=0,"-",VLOOKUP($B186,casostestes[#Data],2)), "-")</f>
        <v>-</v>
      </c>
      <c r="E186" s="35" t="str">
        <f>IFERROR(IF(VLOOKUP($B186,casostestes[#Data],3)=0,"-",VLOOKUP($B186,casostestes[#Data],3)), "-")</f>
        <v>-</v>
      </c>
      <c r="F186" s="35" t="str">
        <f>IFERROR(IF(VLOOKUP($B186,casostestes[#Data],4)=0,"-",VLOOKUP($B186,casostestes[#Data],4)),"-")</f>
        <v>-</v>
      </c>
      <c r="G186" s="35" t="str">
        <f>IFERROR(IF(VLOOKUP($B186,casostestes[#Data],5)=0,"-",VLOOKUP($B186,casostestes[#Data],5)),"-")</f>
        <v>-</v>
      </c>
      <c r="H186" s="35" t="str">
        <f>IFERROR(IF(VLOOKUP($B186,casostestes[#Data],6)=0,"-",VLOOKUP($B186,casostestes[#Data],6)),"-")</f>
        <v>-</v>
      </c>
      <c r="I186" s="35" t="str">
        <f>IFERROR(IF(VLOOKUP($B186,casostestes[#Data],8)=0,"-",VLOOKUP($B186,casostestes[#Data],8)),"-")</f>
        <v>-</v>
      </c>
      <c r="J186" s="35" t="str">
        <f>IFERROR(IF(VLOOKUP($B186,casostestes[#Data],9)=0,"-",VLOOKUP($B186,casostestes[#Data],9)),"-")</f>
        <v>-</v>
      </c>
      <c r="K186" s="36"/>
      <c r="L186" s="45"/>
      <c r="M186" s="37"/>
      <c r="N186" s="38"/>
      <c r="O186" s="38"/>
      <c r="P186" s="39"/>
    </row>
    <row r="187" spans="2:16">
      <c r="B187" s="40" t="str">
        <f>IF(ISERR(casostestes[[#This Row],[ID]]),"-",casostestes[[#This Row],[ID]])</f>
        <v>-</v>
      </c>
      <c r="C187" s="34" t="str">
        <f>IFERROR(IF(VLOOKUP($B187,casostestes[#Data],10)=0,"Não",VLOOKUP($B187,casostestes[#Data],10)), "-")</f>
        <v>-</v>
      </c>
      <c r="D187" s="35" t="str">
        <f>IFERROR(IF(VLOOKUP($B187,casostestes[#Data],2)=0,"-",VLOOKUP($B187,casostestes[#Data],2)), "-")</f>
        <v>-</v>
      </c>
      <c r="E187" s="35" t="str">
        <f>IFERROR(IF(VLOOKUP($B187,casostestes[#Data],3)=0,"-",VLOOKUP($B187,casostestes[#Data],3)), "-")</f>
        <v>-</v>
      </c>
      <c r="F187" s="35" t="str">
        <f>IFERROR(IF(VLOOKUP($B187,casostestes[#Data],4)=0,"-",VLOOKUP($B187,casostestes[#Data],4)),"-")</f>
        <v>-</v>
      </c>
      <c r="G187" s="35" t="str">
        <f>IFERROR(IF(VLOOKUP($B187,casostestes[#Data],5)=0,"-",VLOOKUP($B187,casostestes[#Data],5)),"-")</f>
        <v>-</v>
      </c>
      <c r="H187" s="35" t="str">
        <f>IFERROR(IF(VLOOKUP($B187,casostestes[#Data],6)=0,"-",VLOOKUP($B187,casostestes[#Data],6)),"-")</f>
        <v>-</v>
      </c>
      <c r="I187" s="35" t="str">
        <f>IFERROR(IF(VLOOKUP($B187,casostestes[#Data],8)=0,"-",VLOOKUP($B187,casostestes[#Data],8)),"-")</f>
        <v>-</v>
      </c>
      <c r="J187" s="35" t="str">
        <f>IFERROR(IF(VLOOKUP($B187,casostestes[#Data],9)=0,"-",VLOOKUP($B187,casostestes[#Data],9)),"-")</f>
        <v>-</v>
      </c>
      <c r="K187" s="36"/>
      <c r="L187" s="45"/>
      <c r="M187" s="37"/>
      <c r="N187" s="38"/>
      <c r="O187" s="38"/>
      <c r="P187" s="39"/>
    </row>
    <row r="188" spans="2:16">
      <c r="B188" s="40" t="str">
        <f>IF(ISERR(casostestes[[#This Row],[ID]]),"-",casostestes[[#This Row],[ID]])</f>
        <v>-</v>
      </c>
      <c r="C188" s="34" t="str">
        <f>IFERROR(IF(VLOOKUP($B188,casostestes[#Data],10)=0,"Não",VLOOKUP($B188,casostestes[#Data],10)), "-")</f>
        <v>-</v>
      </c>
      <c r="D188" s="35" t="str">
        <f>IFERROR(IF(VLOOKUP($B188,casostestes[#Data],2)=0,"-",VLOOKUP($B188,casostestes[#Data],2)), "-")</f>
        <v>-</v>
      </c>
      <c r="E188" s="35" t="str">
        <f>IFERROR(IF(VLOOKUP($B188,casostestes[#Data],3)=0,"-",VLOOKUP($B188,casostestes[#Data],3)), "-")</f>
        <v>-</v>
      </c>
      <c r="F188" s="35" t="str">
        <f>IFERROR(IF(VLOOKUP($B188,casostestes[#Data],4)=0,"-",VLOOKUP($B188,casostestes[#Data],4)),"-")</f>
        <v>-</v>
      </c>
      <c r="G188" s="35" t="str">
        <f>IFERROR(IF(VLOOKUP($B188,casostestes[#Data],5)=0,"-",VLOOKUP($B188,casostestes[#Data],5)),"-")</f>
        <v>-</v>
      </c>
      <c r="H188" s="35" t="str">
        <f>IFERROR(IF(VLOOKUP($B188,casostestes[#Data],6)=0,"-",VLOOKUP($B188,casostestes[#Data],6)),"-")</f>
        <v>-</v>
      </c>
      <c r="I188" s="35" t="str">
        <f>IFERROR(IF(VLOOKUP($B188,casostestes[#Data],8)=0,"-",VLOOKUP($B188,casostestes[#Data],8)),"-")</f>
        <v>-</v>
      </c>
      <c r="J188" s="35" t="str">
        <f>IFERROR(IF(VLOOKUP($B188,casostestes[#Data],9)=0,"-",VLOOKUP($B188,casostestes[#Data],9)),"-")</f>
        <v>-</v>
      </c>
      <c r="K188" s="36"/>
      <c r="L188" s="45"/>
      <c r="M188" s="37"/>
      <c r="N188" s="38"/>
      <c r="O188" s="38"/>
      <c r="P188" s="39"/>
    </row>
    <row r="189" spans="2:16">
      <c r="B189" s="40" t="str">
        <f>IF(ISERR(casostestes[[#This Row],[ID]]),"-",casostestes[[#This Row],[ID]])</f>
        <v>-</v>
      </c>
      <c r="C189" s="34" t="str">
        <f>IFERROR(IF(VLOOKUP($B189,casostestes[#Data],10)=0,"Não",VLOOKUP($B189,casostestes[#Data],10)), "-")</f>
        <v>-</v>
      </c>
      <c r="D189" s="35" t="str">
        <f>IFERROR(IF(VLOOKUP($B189,casostestes[#Data],2)=0,"-",VLOOKUP($B189,casostestes[#Data],2)), "-")</f>
        <v>-</v>
      </c>
      <c r="E189" s="35" t="str">
        <f>IFERROR(IF(VLOOKUP($B189,casostestes[#Data],3)=0,"-",VLOOKUP($B189,casostestes[#Data],3)), "-")</f>
        <v>-</v>
      </c>
      <c r="F189" s="35" t="str">
        <f>IFERROR(IF(VLOOKUP($B189,casostestes[#Data],4)=0,"-",VLOOKUP($B189,casostestes[#Data],4)),"-")</f>
        <v>-</v>
      </c>
      <c r="G189" s="35" t="str">
        <f>IFERROR(IF(VLOOKUP($B189,casostestes[#Data],5)=0,"-",VLOOKUP($B189,casostestes[#Data],5)),"-")</f>
        <v>-</v>
      </c>
      <c r="H189" s="35" t="str">
        <f>IFERROR(IF(VLOOKUP($B189,casostestes[#Data],6)=0,"-",VLOOKUP($B189,casostestes[#Data],6)),"-")</f>
        <v>-</v>
      </c>
      <c r="I189" s="35" t="str">
        <f>IFERROR(IF(VLOOKUP($B189,casostestes[#Data],8)=0,"-",VLOOKUP($B189,casostestes[#Data],8)),"-")</f>
        <v>-</v>
      </c>
      <c r="J189" s="35" t="str">
        <f>IFERROR(IF(VLOOKUP($B189,casostestes[#Data],9)=0,"-",VLOOKUP($B189,casostestes[#Data],9)),"-")</f>
        <v>-</v>
      </c>
      <c r="K189" s="36"/>
      <c r="L189" s="45"/>
      <c r="M189" s="37"/>
      <c r="N189" s="38"/>
      <c r="O189" s="38"/>
      <c r="P189" s="39"/>
    </row>
    <row r="190" spans="2:16">
      <c r="B190" s="40" t="str">
        <f>IF(ISERR(casostestes[[#This Row],[ID]]),"-",casostestes[[#This Row],[ID]])</f>
        <v>-</v>
      </c>
      <c r="C190" s="34" t="str">
        <f>IFERROR(IF(VLOOKUP($B190,casostestes[#Data],10)=0,"Não",VLOOKUP($B190,casostestes[#Data],10)), "-")</f>
        <v>-</v>
      </c>
      <c r="D190" s="35" t="str">
        <f>IFERROR(IF(VLOOKUP($B190,casostestes[#Data],2)=0,"-",VLOOKUP($B190,casostestes[#Data],2)), "-")</f>
        <v>-</v>
      </c>
      <c r="E190" s="35" t="str">
        <f>IFERROR(IF(VLOOKUP($B190,casostestes[#Data],3)=0,"-",VLOOKUP($B190,casostestes[#Data],3)), "-")</f>
        <v>-</v>
      </c>
      <c r="F190" s="35" t="str">
        <f>IFERROR(IF(VLOOKUP($B190,casostestes[#Data],4)=0,"-",VLOOKUP($B190,casostestes[#Data],4)),"-")</f>
        <v>-</v>
      </c>
      <c r="G190" s="35" t="str">
        <f>IFERROR(IF(VLOOKUP($B190,casostestes[#Data],5)=0,"-",VLOOKUP($B190,casostestes[#Data],5)),"-")</f>
        <v>-</v>
      </c>
      <c r="H190" s="35" t="str">
        <f>IFERROR(IF(VLOOKUP($B190,casostestes[#Data],6)=0,"-",VLOOKUP($B190,casostestes[#Data],6)),"-")</f>
        <v>-</v>
      </c>
      <c r="I190" s="35" t="str">
        <f>IFERROR(IF(VLOOKUP($B190,casostestes[#Data],8)=0,"-",VLOOKUP($B190,casostestes[#Data],8)),"-")</f>
        <v>-</v>
      </c>
      <c r="J190" s="35" t="str">
        <f>IFERROR(IF(VLOOKUP($B190,casostestes[#Data],9)=0,"-",VLOOKUP($B190,casostestes[#Data],9)),"-")</f>
        <v>-</v>
      </c>
      <c r="K190" s="36"/>
      <c r="L190" s="45"/>
      <c r="M190" s="37"/>
      <c r="N190" s="38"/>
      <c r="O190" s="38"/>
      <c r="P190" s="39"/>
    </row>
    <row r="191" spans="2:16">
      <c r="B191" s="40" t="str">
        <f>IF(ISERR(casostestes[[#This Row],[ID]]),"-",casostestes[[#This Row],[ID]])</f>
        <v>-</v>
      </c>
      <c r="C191" s="34" t="str">
        <f>IFERROR(IF(VLOOKUP($B191,casostestes[#Data],10)=0,"Não",VLOOKUP($B191,casostestes[#Data],10)), "-")</f>
        <v>-</v>
      </c>
      <c r="D191" s="35" t="str">
        <f>IFERROR(IF(VLOOKUP($B191,casostestes[#Data],2)=0,"-",VLOOKUP($B191,casostestes[#Data],2)), "-")</f>
        <v>-</v>
      </c>
      <c r="E191" s="35" t="str">
        <f>IFERROR(IF(VLOOKUP($B191,casostestes[#Data],3)=0,"-",VLOOKUP($B191,casostestes[#Data],3)), "-")</f>
        <v>-</v>
      </c>
      <c r="F191" s="35" t="str">
        <f>IFERROR(IF(VLOOKUP($B191,casostestes[#Data],4)=0,"-",VLOOKUP($B191,casostestes[#Data],4)),"-")</f>
        <v>-</v>
      </c>
      <c r="G191" s="35" t="str">
        <f>IFERROR(IF(VLOOKUP($B191,casostestes[#Data],5)=0,"-",VLOOKUP($B191,casostestes[#Data],5)),"-")</f>
        <v>-</v>
      </c>
      <c r="H191" s="35" t="str">
        <f>IFERROR(IF(VLOOKUP($B191,casostestes[#Data],6)=0,"-",VLOOKUP($B191,casostestes[#Data],6)),"-")</f>
        <v>-</v>
      </c>
      <c r="I191" s="35" t="str">
        <f>IFERROR(IF(VLOOKUP($B191,casostestes[#Data],8)=0,"-",VLOOKUP($B191,casostestes[#Data],8)),"-")</f>
        <v>-</v>
      </c>
      <c r="J191" s="35" t="str">
        <f>IFERROR(IF(VLOOKUP($B191,casostestes[#Data],9)=0,"-",VLOOKUP($B191,casostestes[#Data],9)),"-")</f>
        <v>-</v>
      </c>
      <c r="K191" s="36"/>
      <c r="L191" s="45"/>
      <c r="M191" s="37"/>
      <c r="N191" s="38"/>
      <c r="O191" s="38"/>
      <c r="P191" s="39"/>
    </row>
    <row r="192" spans="2:16">
      <c r="B192" s="40" t="str">
        <f>IF(ISERR(casostestes[[#This Row],[ID]]),"-",casostestes[[#This Row],[ID]])</f>
        <v>-</v>
      </c>
      <c r="C192" s="34" t="str">
        <f>IFERROR(IF(VLOOKUP($B192,casostestes[#Data],10)=0,"Não",VLOOKUP($B192,casostestes[#Data],10)), "-")</f>
        <v>-</v>
      </c>
      <c r="D192" s="35" t="str">
        <f>IFERROR(IF(VLOOKUP($B192,casostestes[#Data],2)=0,"-",VLOOKUP($B192,casostestes[#Data],2)), "-")</f>
        <v>-</v>
      </c>
      <c r="E192" s="35" t="str">
        <f>IFERROR(IF(VLOOKUP($B192,casostestes[#Data],3)=0,"-",VLOOKUP($B192,casostestes[#Data],3)), "-")</f>
        <v>-</v>
      </c>
      <c r="F192" s="35" t="str">
        <f>IFERROR(IF(VLOOKUP($B192,casostestes[#Data],4)=0,"-",VLOOKUP($B192,casostestes[#Data],4)),"-")</f>
        <v>-</v>
      </c>
      <c r="G192" s="35" t="str">
        <f>IFERROR(IF(VLOOKUP($B192,casostestes[#Data],5)=0,"-",VLOOKUP($B192,casostestes[#Data],5)),"-")</f>
        <v>-</v>
      </c>
      <c r="H192" s="35" t="str">
        <f>IFERROR(IF(VLOOKUP($B192,casostestes[#Data],6)=0,"-",VLOOKUP($B192,casostestes[#Data],6)),"-")</f>
        <v>-</v>
      </c>
      <c r="I192" s="35" t="str">
        <f>IFERROR(IF(VLOOKUP($B192,casostestes[#Data],8)=0,"-",VLOOKUP($B192,casostestes[#Data],8)),"-")</f>
        <v>-</v>
      </c>
      <c r="J192" s="35" t="str">
        <f>IFERROR(IF(VLOOKUP($B192,casostestes[#Data],9)=0,"-",VLOOKUP($B192,casostestes[#Data],9)),"-")</f>
        <v>-</v>
      </c>
      <c r="K192" s="36"/>
      <c r="L192" s="45"/>
      <c r="M192" s="37"/>
      <c r="N192" s="38"/>
      <c r="O192" s="38"/>
      <c r="P192" s="39"/>
    </row>
    <row r="193" spans="2:16">
      <c r="B193" s="40" t="str">
        <f>IF(ISERR(casostestes[[#This Row],[ID]]),"-",casostestes[[#This Row],[ID]])</f>
        <v>-</v>
      </c>
      <c r="C193" s="34" t="str">
        <f>IFERROR(IF(VLOOKUP($B193,casostestes[#Data],10)=0,"Não",VLOOKUP($B193,casostestes[#Data],10)), "-")</f>
        <v>-</v>
      </c>
      <c r="D193" s="35" t="str">
        <f>IFERROR(IF(VLOOKUP($B193,casostestes[#Data],2)=0,"-",VLOOKUP($B193,casostestes[#Data],2)), "-")</f>
        <v>-</v>
      </c>
      <c r="E193" s="35" t="str">
        <f>IFERROR(IF(VLOOKUP($B193,casostestes[#Data],3)=0,"-",VLOOKUP($B193,casostestes[#Data],3)), "-")</f>
        <v>-</v>
      </c>
      <c r="F193" s="35" t="str">
        <f>IFERROR(IF(VLOOKUP($B193,casostestes[#Data],4)=0,"-",VLOOKUP($B193,casostestes[#Data],4)),"-")</f>
        <v>-</v>
      </c>
      <c r="G193" s="35" t="str">
        <f>IFERROR(IF(VLOOKUP($B193,casostestes[#Data],5)=0,"-",VLOOKUP($B193,casostestes[#Data],5)),"-")</f>
        <v>-</v>
      </c>
      <c r="H193" s="35" t="str">
        <f>IFERROR(IF(VLOOKUP($B193,casostestes[#Data],6)=0,"-",VLOOKUP($B193,casostestes[#Data],6)),"-")</f>
        <v>-</v>
      </c>
      <c r="I193" s="35" t="str">
        <f>IFERROR(IF(VLOOKUP($B193,casostestes[#Data],8)=0,"-",VLOOKUP($B193,casostestes[#Data],8)),"-")</f>
        <v>-</v>
      </c>
      <c r="J193" s="35" t="str">
        <f>IFERROR(IF(VLOOKUP($B193,casostestes[#Data],9)=0,"-",VLOOKUP($B193,casostestes[#Data],9)),"-")</f>
        <v>-</v>
      </c>
      <c r="K193" s="36"/>
      <c r="L193" s="45"/>
      <c r="M193" s="37"/>
      <c r="N193" s="38"/>
      <c r="O193" s="38"/>
      <c r="P193" s="39"/>
    </row>
    <row r="194" spans="2:16">
      <c r="B194" s="40" t="str">
        <f>IF(ISERR(casostestes[[#This Row],[ID]]),"-",casostestes[[#This Row],[ID]])</f>
        <v>-</v>
      </c>
      <c r="C194" s="34" t="str">
        <f>IFERROR(IF(VLOOKUP($B194,casostestes[#Data],10)=0,"Não",VLOOKUP($B194,casostestes[#Data],10)), "-")</f>
        <v>-</v>
      </c>
      <c r="D194" s="35" t="str">
        <f>IFERROR(IF(VLOOKUP($B194,casostestes[#Data],2)=0,"-",VLOOKUP($B194,casostestes[#Data],2)), "-")</f>
        <v>-</v>
      </c>
      <c r="E194" s="35" t="str">
        <f>IFERROR(IF(VLOOKUP($B194,casostestes[#Data],3)=0,"-",VLOOKUP($B194,casostestes[#Data],3)), "-")</f>
        <v>-</v>
      </c>
      <c r="F194" s="35" t="str">
        <f>IFERROR(IF(VLOOKUP($B194,casostestes[#Data],4)=0,"-",VLOOKUP($B194,casostestes[#Data],4)),"-")</f>
        <v>-</v>
      </c>
      <c r="G194" s="35" t="str">
        <f>IFERROR(IF(VLOOKUP($B194,casostestes[#Data],5)=0,"-",VLOOKUP($B194,casostestes[#Data],5)),"-")</f>
        <v>-</v>
      </c>
      <c r="H194" s="35" t="str">
        <f>IFERROR(IF(VLOOKUP($B194,casostestes[#Data],6)=0,"-",VLOOKUP($B194,casostestes[#Data],6)),"-")</f>
        <v>-</v>
      </c>
      <c r="I194" s="35" t="str">
        <f>IFERROR(IF(VLOOKUP($B194,casostestes[#Data],8)=0,"-",VLOOKUP($B194,casostestes[#Data],8)),"-")</f>
        <v>-</v>
      </c>
      <c r="J194" s="35" t="str">
        <f>IFERROR(IF(VLOOKUP($B194,casostestes[#Data],9)=0,"-",VLOOKUP($B194,casostestes[#Data],9)),"-")</f>
        <v>-</v>
      </c>
      <c r="K194" s="36"/>
      <c r="L194" s="45"/>
      <c r="M194" s="37"/>
      <c r="N194" s="38"/>
      <c r="O194" s="38"/>
      <c r="P194" s="39"/>
    </row>
    <row r="195" spans="2:16">
      <c r="B195" s="40" t="str">
        <f>IF(ISERR(casostestes[[#This Row],[ID]]),"-",casostestes[[#This Row],[ID]])</f>
        <v>-</v>
      </c>
      <c r="C195" s="34" t="str">
        <f>IFERROR(IF(VLOOKUP($B195,casostestes[#Data],10)=0,"Não",VLOOKUP($B195,casostestes[#Data],10)), "-")</f>
        <v>-</v>
      </c>
      <c r="D195" s="35" t="str">
        <f>IFERROR(IF(VLOOKUP($B195,casostestes[#Data],2)=0,"-",VLOOKUP($B195,casostestes[#Data],2)), "-")</f>
        <v>-</v>
      </c>
      <c r="E195" s="35" t="str">
        <f>IFERROR(IF(VLOOKUP($B195,casostestes[#Data],3)=0,"-",VLOOKUP($B195,casostestes[#Data],3)), "-")</f>
        <v>-</v>
      </c>
      <c r="F195" s="35" t="str">
        <f>IFERROR(IF(VLOOKUP($B195,casostestes[#Data],4)=0,"-",VLOOKUP($B195,casostestes[#Data],4)),"-")</f>
        <v>-</v>
      </c>
      <c r="G195" s="35" t="str">
        <f>IFERROR(IF(VLOOKUP($B195,casostestes[#Data],5)=0,"-",VLOOKUP($B195,casostestes[#Data],5)),"-")</f>
        <v>-</v>
      </c>
      <c r="H195" s="35" t="str">
        <f>IFERROR(IF(VLOOKUP($B195,casostestes[#Data],6)=0,"-",VLOOKUP($B195,casostestes[#Data],6)),"-")</f>
        <v>-</v>
      </c>
      <c r="I195" s="35" t="str">
        <f>IFERROR(IF(VLOOKUP($B195,casostestes[#Data],8)=0,"-",VLOOKUP($B195,casostestes[#Data],8)),"-")</f>
        <v>-</v>
      </c>
      <c r="J195" s="35" t="str">
        <f>IFERROR(IF(VLOOKUP($B195,casostestes[#Data],9)=0,"-",VLOOKUP($B195,casostestes[#Data],9)),"-")</f>
        <v>-</v>
      </c>
      <c r="K195" s="36"/>
      <c r="L195" s="45"/>
      <c r="M195" s="37"/>
      <c r="N195" s="38"/>
      <c r="O195" s="38"/>
      <c r="P195" s="39"/>
    </row>
    <row r="196" spans="2:16">
      <c r="B196" s="40" t="str">
        <f>IF(ISERR(casostestes[[#This Row],[ID]]),"-",casostestes[[#This Row],[ID]])</f>
        <v>-</v>
      </c>
      <c r="C196" s="34" t="str">
        <f>IFERROR(IF(VLOOKUP($B196,casostestes[#Data],10)=0,"Não",VLOOKUP($B196,casostestes[#Data],10)), "-")</f>
        <v>-</v>
      </c>
      <c r="D196" s="35" t="str">
        <f>IFERROR(IF(VLOOKUP($B196,casostestes[#Data],2)=0,"-",VLOOKUP($B196,casostestes[#Data],2)), "-")</f>
        <v>-</v>
      </c>
      <c r="E196" s="35" t="str">
        <f>IFERROR(IF(VLOOKUP($B196,casostestes[#Data],3)=0,"-",VLOOKUP($B196,casostestes[#Data],3)), "-")</f>
        <v>-</v>
      </c>
      <c r="F196" s="35" t="str">
        <f>IFERROR(IF(VLOOKUP($B196,casostestes[#Data],4)=0,"-",VLOOKUP($B196,casostestes[#Data],4)),"-")</f>
        <v>-</v>
      </c>
      <c r="G196" s="35" t="str">
        <f>IFERROR(IF(VLOOKUP($B196,casostestes[#Data],5)=0,"-",VLOOKUP($B196,casostestes[#Data],5)),"-")</f>
        <v>-</v>
      </c>
      <c r="H196" s="35" t="str">
        <f>IFERROR(IF(VLOOKUP($B196,casostestes[#Data],6)=0,"-",VLOOKUP($B196,casostestes[#Data],6)),"-")</f>
        <v>-</v>
      </c>
      <c r="I196" s="35" t="str">
        <f>IFERROR(IF(VLOOKUP($B196,casostestes[#Data],8)=0,"-",VLOOKUP($B196,casostestes[#Data],8)),"-")</f>
        <v>-</v>
      </c>
      <c r="J196" s="35" t="str">
        <f>IFERROR(IF(VLOOKUP($B196,casostestes[#Data],9)=0,"-",VLOOKUP($B196,casostestes[#Data],9)),"-")</f>
        <v>-</v>
      </c>
      <c r="K196" s="36"/>
      <c r="L196" s="45"/>
      <c r="M196" s="37"/>
      <c r="N196" s="38"/>
      <c r="O196" s="38"/>
      <c r="P196" s="39"/>
    </row>
    <row r="197" spans="2:16">
      <c r="B197" s="40" t="str">
        <f>IF(ISERR(casostestes[[#This Row],[ID]]),"-",casostestes[[#This Row],[ID]])</f>
        <v>-</v>
      </c>
      <c r="C197" s="34" t="str">
        <f>IFERROR(IF(VLOOKUP($B197,casostestes[#Data],10)=0,"Não",VLOOKUP($B197,casostestes[#Data],10)), "-")</f>
        <v>-</v>
      </c>
      <c r="D197" s="35" t="str">
        <f>IFERROR(IF(VLOOKUP($B197,casostestes[#Data],2)=0,"-",VLOOKUP($B197,casostestes[#Data],2)), "-")</f>
        <v>-</v>
      </c>
      <c r="E197" s="35" t="str">
        <f>IFERROR(IF(VLOOKUP($B197,casostestes[#Data],3)=0,"-",VLOOKUP($B197,casostestes[#Data],3)), "-")</f>
        <v>-</v>
      </c>
      <c r="F197" s="35" t="str">
        <f>IFERROR(IF(VLOOKUP($B197,casostestes[#Data],4)=0,"-",VLOOKUP($B197,casostestes[#Data],4)),"-")</f>
        <v>-</v>
      </c>
      <c r="G197" s="35" t="str">
        <f>IFERROR(IF(VLOOKUP($B197,casostestes[#Data],5)=0,"-",VLOOKUP($B197,casostestes[#Data],5)),"-")</f>
        <v>-</v>
      </c>
      <c r="H197" s="35" t="str">
        <f>IFERROR(IF(VLOOKUP($B197,casostestes[#Data],6)=0,"-",VLOOKUP($B197,casostestes[#Data],6)),"-")</f>
        <v>-</v>
      </c>
      <c r="I197" s="35" t="str">
        <f>IFERROR(IF(VLOOKUP($B197,casostestes[#Data],8)=0,"-",VLOOKUP($B197,casostestes[#Data],8)),"-")</f>
        <v>-</v>
      </c>
      <c r="J197" s="35" t="str">
        <f>IFERROR(IF(VLOOKUP($B197,casostestes[#Data],9)=0,"-",VLOOKUP($B197,casostestes[#Data],9)),"-")</f>
        <v>-</v>
      </c>
      <c r="K197" s="36"/>
      <c r="L197" s="45"/>
      <c r="M197" s="37"/>
      <c r="N197" s="38"/>
      <c r="O197" s="38"/>
      <c r="P197" s="39"/>
    </row>
    <row r="198" spans="2:16">
      <c r="B198" s="40" t="str">
        <f>IF(ISERR(casostestes[[#This Row],[ID]]),"-",casostestes[[#This Row],[ID]])</f>
        <v>-</v>
      </c>
      <c r="C198" s="34" t="str">
        <f>IFERROR(IF(VLOOKUP($B198,casostestes[#Data],10)=0,"Não",VLOOKUP($B198,casostestes[#Data],10)), "-")</f>
        <v>-</v>
      </c>
      <c r="D198" s="35" t="str">
        <f>IFERROR(IF(VLOOKUP($B198,casostestes[#Data],2)=0,"-",VLOOKUP($B198,casostestes[#Data],2)), "-")</f>
        <v>-</v>
      </c>
      <c r="E198" s="35" t="str">
        <f>IFERROR(IF(VLOOKUP($B198,casostestes[#Data],3)=0,"-",VLOOKUP($B198,casostestes[#Data],3)), "-")</f>
        <v>-</v>
      </c>
      <c r="F198" s="35" t="str">
        <f>IFERROR(IF(VLOOKUP($B198,casostestes[#Data],4)=0,"-",VLOOKUP($B198,casostestes[#Data],4)),"-")</f>
        <v>-</v>
      </c>
      <c r="G198" s="35" t="str">
        <f>IFERROR(IF(VLOOKUP($B198,casostestes[#Data],5)=0,"-",VLOOKUP($B198,casostestes[#Data],5)),"-")</f>
        <v>-</v>
      </c>
      <c r="H198" s="35" t="str">
        <f>IFERROR(IF(VLOOKUP($B198,casostestes[#Data],6)=0,"-",VLOOKUP($B198,casostestes[#Data],6)),"-")</f>
        <v>-</v>
      </c>
      <c r="I198" s="35" t="str">
        <f>IFERROR(IF(VLOOKUP($B198,casostestes[#Data],8)=0,"-",VLOOKUP($B198,casostestes[#Data],8)),"-")</f>
        <v>-</v>
      </c>
      <c r="J198" s="35" t="str">
        <f>IFERROR(IF(VLOOKUP($B198,casostestes[#Data],9)=0,"-",VLOOKUP($B198,casostestes[#Data],9)),"-")</f>
        <v>-</v>
      </c>
      <c r="K198" s="36"/>
      <c r="L198" s="45"/>
      <c r="M198" s="37"/>
      <c r="N198" s="38"/>
      <c r="O198" s="38"/>
      <c r="P198" s="39"/>
    </row>
    <row r="199" spans="2:16">
      <c r="B199" s="40" t="str">
        <f>IF(ISERR(casostestes[[#This Row],[ID]]),"-",casostestes[[#This Row],[ID]])</f>
        <v>-</v>
      </c>
      <c r="C199" s="34" t="str">
        <f>IFERROR(IF(VLOOKUP($B199,casostestes[#Data],10)=0,"Não",VLOOKUP($B199,casostestes[#Data],10)), "-")</f>
        <v>-</v>
      </c>
      <c r="D199" s="35" t="str">
        <f>IFERROR(IF(VLOOKUP($B199,casostestes[#Data],2)=0,"-",VLOOKUP($B199,casostestes[#Data],2)), "-")</f>
        <v>-</v>
      </c>
      <c r="E199" s="35" t="str">
        <f>IFERROR(IF(VLOOKUP($B199,casostestes[#Data],3)=0,"-",VLOOKUP($B199,casostestes[#Data],3)), "-")</f>
        <v>-</v>
      </c>
      <c r="F199" s="35" t="str">
        <f>IFERROR(IF(VLOOKUP($B199,casostestes[#Data],4)=0,"-",VLOOKUP($B199,casostestes[#Data],4)),"-")</f>
        <v>-</v>
      </c>
      <c r="G199" s="35" t="str">
        <f>IFERROR(IF(VLOOKUP($B199,casostestes[#Data],5)=0,"-",VLOOKUP($B199,casostestes[#Data],5)),"-")</f>
        <v>-</v>
      </c>
      <c r="H199" s="35" t="str">
        <f>IFERROR(IF(VLOOKUP($B199,casostestes[#Data],6)=0,"-",VLOOKUP($B199,casostestes[#Data],6)),"-")</f>
        <v>-</v>
      </c>
      <c r="I199" s="35" t="str">
        <f>IFERROR(IF(VLOOKUP($B199,casostestes[#Data],8)=0,"-",VLOOKUP($B199,casostestes[#Data],8)),"-")</f>
        <v>-</v>
      </c>
      <c r="J199" s="35" t="str">
        <f>IFERROR(IF(VLOOKUP($B199,casostestes[#Data],9)=0,"-",VLOOKUP($B199,casostestes[#Data],9)),"-")</f>
        <v>-</v>
      </c>
      <c r="K199" s="36"/>
      <c r="L199" s="45"/>
      <c r="M199" s="37"/>
      <c r="N199" s="38"/>
      <c r="O199" s="38"/>
      <c r="P199" s="39"/>
    </row>
    <row r="200" spans="2:16">
      <c r="B200" s="40" t="str">
        <f>IF(ISERR(casostestes[[#This Row],[ID]]),"-",casostestes[[#This Row],[ID]])</f>
        <v>-</v>
      </c>
      <c r="C200" s="41" t="str">
        <f>IFERROR(IF(VLOOKUP($B200,casostestes[#Data],10)=0,"Não",VLOOKUP($B200,casostestes[#Data],10)), "-")</f>
        <v>-</v>
      </c>
      <c r="D200" s="42" t="str">
        <f>IFERROR(IF(VLOOKUP($B200,casostestes[#Data],2)=0,"-",VLOOKUP($B200,casostestes[#Data],2)), "-")</f>
        <v>-</v>
      </c>
      <c r="E200" s="42" t="str">
        <f>IFERROR(IF(VLOOKUP($B200,casostestes[#Data],3)=0,"-",VLOOKUP($B200,casostestes[#Data],3)), "-")</f>
        <v>-</v>
      </c>
      <c r="F200" s="42" t="str">
        <f>IFERROR(IF(VLOOKUP($B200,casostestes[#Data],4)=0,"-",VLOOKUP($B200,casostestes[#Data],4)),"-")</f>
        <v>-</v>
      </c>
      <c r="G200" s="42" t="str">
        <f>IFERROR(IF(VLOOKUP($B200,casostestes[#Data],5)=0,"-",VLOOKUP($B200,casostestes[#Data],5)),"-")</f>
        <v>-</v>
      </c>
      <c r="H200" s="42" t="str">
        <f>IFERROR(IF(VLOOKUP($B200,casostestes[#Data],6)=0,"-",VLOOKUP($B200,casostestes[#Data],6)),"-")</f>
        <v>-</v>
      </c>
      <c r="I200" s="42" t="str">
        <f>IFERROR(IF(VLOOKUP($B200,casostestes[#Data],8)=0,"-",VLOOKUP($B200,casostestes[#Data],8)),"-")</f>
        <v>-</v>
      </c>
      <c r="J200" s="42" t="str">
        <f>IFERROR(IF(VLOOKUP($B200,casostestes[#Data],9)=0,"-",VLOOKUP($B200,casostestes[#Data],9)),"-")</f>
        <v>-</v>
      </c>
      <c r="K200" s="43"/>
      <c r="L200" s="45"/>
      <c r="M200" s="44"/>
      <c r="N200" s="45"/>
      <c r="O200" s="45"/>
      <c r="P200" s="46"/>
    </row>
  </sheetData>
  <mergeCells count="3">
    <mergeCell ref="B1:J1"/>
    <mergeCell ref="B2:J2"/>
    <mergeCell ref="B3:J3"/>
  </mergeCells>
  <conditionalFormatting sqref="C8:C200">
    <cfRule type="cellIs" dxfId="265" priority="6" operator="equal">
      <formula>"Sim"</formula>
    </cfRule>
    <cfRule type="cellIs" dxfId="264" priority="7" operator="equal">
      <formula>"Não"</formula>
    </cfRule>
  </conditionalFormatting>
  <conditionalFormatting sqref="C201:D1048576">
    <cfRule type="cellIs" dxfId="263" priority="13" operator="equal">
      <formula>"Sim"</formula>
    </cfRule>
    <cfRule type="cellIs" dxfId="262" priority="14" operator="equal">
      <formula>"Não"</formula>
    </cfRule>
  </conditionalFormatting>
  <conditionalFormatting sqref="M8:M200">
    <cfRule type="cellIs" dxfId="261" priority="1" operator="equal">
      <formula>"Sem massa"</formula>
    </cfRule>
    <cfRule type="cellIs" dxfId="260" priority="2" operator="equal">
      <formula>"Pendência Externa"</formula>
    </cfRule>
    <cfRule type="cellIs" dxfId="259" priority="3" operator="equal">
      <formula>"Disponível para reteste"</formula>
    </cfRule>
    <cfRule type="cellIs" dxfId="258" priority="4" operator="equal">
      <formula>"Reprovado"</formula>
    </cfRule>
    <cfRule type="cellIs" dxfId="257" priority="5" operator="equal">
      <formula>"Aprovado"</formula>
    </cfRule>
  </conditionalFormatting>
  <dataValidations count="1">
    <dataValidation type="list" allowBlank="1" showInputMessage="1" showErrorMessage="1" sqref="M8:M200" xr:uid="{D4C9508D-1920-481F-A927-E5D5CE954EF9}">
      <formula1>INDIRECT("status[status]")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64D3F-41C9-4365-B95E-5215DE22B56B}">
  <sheetPr>
    <tabColor theme="9" tint="0.79998168889431442"/>
  </sheetPr>
  <dimension ref="B1:P199"/>
  <sheetViews>
    <sheetView showGridLines="0" zoomScaleNormal="100" workbookViewId="0">
      <pane xSplit="5" ySplit="7" topLeftCell="F8" activePane="bottomRight" state="frozen"/>
      <selection pane="bottomRight" activeCell="F8" sqref="F8"/>
      <selection pane="bottomLeft" activeCell="E11" sqref="E11"/>
      <selection pane="topRight" activeCell="E11" sqref="E11"/>
    </sheetView>
  </sheetViews>
  <sheetFormatPr defaultColWidth="9.140625" defaultRowHeight="15"/>
  <cols>
    <col min="1" max="1" width="2.7109375" style="14" customWidth="1"/>
    <col min="2" max="2" width="7.7109375" style="14" customWidth="1"/>
    <col min="3" max="3" width="15.42578125" style="14" customWidth="1"/>
    <col min="4" max="4" width="26" style="14" customWidth="1"/>
    <col min="5" max="5" width="57.42578125" style="14" customWidth="1"/>
    <col min="6" max="6" width="17.7109375" style="14" customWidth="1"/>
    <col min="7" max="7" width="24.42578125" style="14" customWidth="1"/>
    <col min="8" max="8" width="57.42578125" style="14" customWidth="1"/>
    <col min="9" max="9" width="16.7109375" style="14" customWidth="1"/>
    <col min="10" max="10" width="104.7109375" style="14" customWidth="1"/>
    <col min="11" max="11" width="18" style="14" customWidth="1"/>
    <col min="12" max="12" width="20.5703125" style="14" customWidth="1"/>
    <col min="13" max="13" width="21.85546875" style="14" customWidth="1"/>
    <col min="14" max="14" width="31.5703125" style="14" customWidth="1"/>
    <col min="15" max="15" width="24.85546875" style="14" customWidth="1"/>
    <col min="16" max="16" width="22.42578125" style="14" customWidth="1"/>
    <col min="17" max="16384" width="9.140625" style="14"/>
  </cols>
  <sheetData>
    <row r="1" spans="2:16" ht="26.25">
      <c r="B1" s="106" t="s">
        <v>0</v>
      </c>
      <c r="C1" s="106"/>
      <c r="D1" s="106"/>
      <c r="E1" s="106"/>
      <c r="F1" s="106"/>
      <c r="G1" s="106"/>
      <c r="H1" s="106"/>
      <c r="I1" s="106"/>
      <c r="J1" s="106"/>
      <c r="K1" s="19"/>
      <c r="L1" s="19"/>
    </row>
    <row r="2" spans="2:16" s="21" customFormat="1" ht="23.25">
      <c r="B2" s="107" t="s">
        <v>1</v>
      </c>
      <c r="C2" s="107"/>
      <c r="D2" s="107"/>
      <c r="E2" s="107"/>
      <c r="F2" s="107"/>
      <c r="G2" s="107"/>
      <c r="H2" s="107"/>
      <c r="I2" s="107"/>
      <c r="J2" s="107"/>
      <c r="K2" s="20"/>
      <c r="L2" s="20"/>
    </row>
    <row r="3" spans="2:16" s="21" customFormat="1" ht="23.25">
      <c r="B3" s="107" t="s">
        <v>2</v>
      </c>
      <c r="C3" s="107"/>
      <c r="D3" s="107"/>
      <c r="E3" s="107"/>
      <c r="F3" s="107"/>
      <c r="G3" s="107"/>
      <c r="H3" s="107"/>
      <c r="I3" s="107"/>
      <c r="J3" s="107"/>
      <c r="K3" s="20"/>
      <c r="L3" s="20"/>
    </row>
    <row r="5" spans="2:16">
      <c r="B5" s="3"/>
      <c r="E5" s="3"/>
    </row>
    <row r="7" spans="2:16" s="3" customFormat="1">
      <c r="B7" s="15" t="s">
        <v>3</v>
      </c>
      <c r="C7" s="16" t="s">
        <v>4</v>
      </c>
      <c r="D7" s="16" t="s">
        <v>5</v>
      </c>
      <c r="E7" s="17" t="s">
        <v>6</v>
      </c>
      <c r="F7" s="17" t="s">
        <v>7</v>
      </c>
      <c r="G7" s="17" t="s">
        <v>8</v>
      </c>
      <c r="H7" s="17" t="s">
        <v>9</v>
      </c>
      <c r="I7" s="17" t="s">
        <v>10</v>
      </c>
      <c r="J7" s="17" t="s">
        <v>11</v>
      </c>
      <c r="K7" s="17" t="s">
        <v>12</v>
      </c>
      <c r="L7" s="17" t="s">
        <v>13</v>
      </c>
      <c r="M7" s="17" t="s">
        <v>14</v>
      </c>
      <c r="N7" s="17" t="s">
        <v>15</v>
      </c>
      <c r="O7" s="17" t="s">
        <v>16</v>
      </c>
      <c r="P7" s="18" t="s">
        <v>17</v>
      </c>
    </row>
    <row r="8" spans="2:16" s="13" customFormat="1" ht="105">
      <c r="B8" s="40">
        <f>IF(ISERR(casostestes[[#This Row],[ID]]),"-",casostestes[[#This Row],[ID]])</f>
        <v>1</v>
      </c>
      <c r="C8" s="41" t="str">
        <f>IFERROR(IF(VLOOKUP($B8,casostestes[#Data],10)=0,"Não",VLOOKUP($B8,casostestes[#Data],10)), "-")</f>
        <v>Sim</v>
      </c>
      <c r="D8" s="42" t="str">
        <f>IFERROR(IF(VLOOKUP($B8,casostestes[#Data],2)=0,"-",VLOOKUP($B8,casostestes[#Data],2)), "-")</f>
        <v>Requerimento Inicial de BI</v>
      </c>
      <c r="E8" s="42" t="str">
        <f>IFERROR(IF(VLOOKUP($B8,casostestes[#Data],3)=0,"-",VLOOKUP($B8,casostestes[#Data],3)), "-")</f>
        <v>6
Criação de tarefa de BI inicial com fluxo ATESTMED para categoria DIFERENTE de Segurado Especial COM exigência de preenchimento da AD.
Premissas:
Catálogo: Exige autodeclaração = ATIVADO
Parâmetro:  144 - Fluxo ATESTMED = LIGADO</v>
      </c>
      <c r="F8" s="42" t="str">
        <f>IFERROR(IF(VLOOKUP($B8,casostestes[#Data],4)=0,"-",VLOOKUP($B8,casostestes[#Data],4)),"-")</f>
        <v>Central 135</v>
      </c>
      <c r="G8" s="42" t="str">
        <f>IFERROR(IF(VLOOKUP($B8,casostestes[#Data],5)=0,"-",VLOOKUP($B8,casostestes[#Data],5)),"-")</f>
        <v>ATENDENTE_CENTRAL_135</v>
      </c>
      <c r="H8" s="42" t="str">
        <f>IFERROR(IF(VLOOKUP($B8,casostestes[#Data],6)=0,"-",VLOOKUP($B8,casostestes[#Data],6)),"-")</f>
        <v>1. Logar no Portal do Atendimento INSS com o perfil do caso de teste
2. Criar tarefa de BI informando:
- Tipo de Incapacidade? "Temporário"
- A pessoa está presa?  "Não"
- Categoria do trabalhador "Desempregado" ...
- A pessoa ficou sem trabalhar? "Sim"</v>
      </c>
      <c r="I8" s="42" t="str">
        <f>IFERROR(IF(VLOOKUP($B8,casostestes[#Data],8)=0,"-",VLOOKUP($B8,casostestes[#Data],8)),"-")</f>
        <v>-</v>
      </c>
      <c r="J8" s="42" t="str">
        <f>IFERROR(IF(VLOOKUP($B8,casostestes[#Data],9)=0,"-",VLOOKUP($B8,casostestes[#Data],9)),"-")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8" s="43"/>
      <c r="L8" s="45"/>
      <c r="M8" s="44"/>
      <c r="N8" s="45"/>
      <c r="O8" s="45"/>
      <c r="P8" s="46"/>
    </row>
    <row r="9" spans="2:16" ht="240">
      <c r="B9" s="40">
        <f>IF(ISERR(casostestes[[#This Row],[ID]]),"-",casostestes[[#This Row],[ID]])</f>
        <v>2</v>
      </c>
      <c r="C9" s="34" t="str">
        <f>IFERROR(IF(VLOOKUP($B9,casostestes[#Data],10)=0,"Não",VLOOKUP($B9,casostestes[#Data],10)), "-")</f>
        <v>Sim</v>
      </c>
      <c r="D9" s="35" t="str">
        <f>IFERROR(IF(VLOOKUP($B9,casostestes[#Data],2)=0,"-",VLOOKUP($B9,casostestes[#Data],2)), "-")</f>
        <v>Integração</v>
      </c>
      <c r="E9" s="35" t="str">
        <f>IFERROR(IF(VLOOKUP($B9,casostestes[#Data],3)=0,"-",VLOOKUP($B9,casostestes[#Data],3)), "-")</f>
        <v>12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9" s="35" t="str">
        <f>IFERROR(IF(VLOOKUP($B9,casostestes[#Data],4)=0,"-",VLOOKUP($B9,casostestes[#Data],4)),"-")</f>
        <v>PAT</v>
      </c>
      <c r="G9" s="35" t="str">
        <f>IFERROR(IF(VLOOKUP($B9,casostestes[#Data],5)=0,"-",VLOOKUP($B9,casostestes[#Data],5)),"-")</f>
        <v>SERVIDOR</v>
      </c>
      <c r="H9" s="35" t="str">
        <f>IFERROR(IF(VLOOKUP($B9,casostestes[#Data],6)=0,"-",VLOOKUP($B9,casostestes[#Data],6)),"-")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9" s="35" t="str">
        <f>IFERROR(IF(VLOOKUP($B9,casostestes[#Data],8)=0,"-",VLOOKUP($B9,casostestes[#Data],8)),"-")</f>
        <v>-</v>
      </c>
      <c r="J9" s="35" t="str">
        <f>IFERROR(IF(VLOOKUP($B9,casostestes[#Data],9)=0,"-",VLOOKUP($B9,casostestes[#Data],9)),"-")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9" s="36"/>
      <c r="L9" s="45"/>
      <c r="M9" s="37"/>
      <c r="N9" s="38"/>
      <c r="O9" s="38"/>
      <c r="P9" s="39"/>
    </row>
    <row r="10" spans="2:16" ht="210">
      <c r="B10" s="40">
        <f>IF(ISERR(casostestes[[#This Row],[ID]]),"-",casostestes[[#This Row],[ID]])</f>
        <v>3</v>
      </c>
      <c r="C10" s="34" t="str">
        <f>IFERROR(IF(VLOOKUP($B10,casostestes[#Data],10)=0,"Não",VLOOKUP($B10,casostestes[#Data],10)), "-")</f>
        <v>Sim</v>
      </c>
      <c r="D10" s="35" t="str">
        <f>IFERROR(IF(VLOOKUP($B10,casostestes[#Data],2)=0,"-",VLOOKUP($B10,casostestes[#Data],2)), "-")</f>
        <v>Integração</v>
      </c>
      <c r="E10" s="35" t="str">
        <f>IFERROR(IF(VLOOKUP($B10,casostestes[#Data],3)=0,"-",VLOOKUP($B10,casostestes[#Data],3)), "-")</f>
        <v>13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10" s="35" t="str">
        <f>IFERROR(IF(VLOOKUP($B10,casostestes[#Data],4)=0,"-",VLOOKUP($B10,casostestes[#Data],4)),"-")</f>
        <v>PAT</v>
      </c>
      <c r="G10" s="35" t="str">
        <f>IFERROR(IF(VLOOKUP($B10,casostestes[#Data],5)=0,"-",VLOOKUP($B10,casostestes[#Data],5)),"-")</f>
        <v>SERVIDOR</v>
      </c>
      <c r="H10" s="35" t="str">
        <f>IFERROR(IF(VLOOKUP($B10,casostestes[#Data],6)=0,"-",VLOOKUP($B10,casostestes[#Data],6)),"-")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10" s="35" t="str">
        <f>IFERROR(IF(VLOOKUP($B10,casostestes[#Data],8)=0,"-",VLOOKUP($B10,casostestes[#Data],8)),"-")</f>
        <v>-</v>
      </c>
      <c r="J10" s="35" t="str">
        <f>IFERROR(IF(VLOOKUP($B10,casostestes[#Data],9)=0,"-",VLOOKUP($B10,casostestes[#Data],9)),"-")</f>
        <v>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</v>
      </c>
      <c r="K10" s="36"/>
      <c r="L10" s="45"/>
      <c r="M10" s="37"/>
      <c r="N10" s="38"/>
      <c r="O10" s="38"/>
      <c r="P10" s="39"/>
    </row>
    <row r="11" spans="2:16" ht="225">
      <c r="B11" s="40">
        <f>IF(ISERR(casostestes[[#This Row],[ID]]),"-",casostestes[[#This Row],[ID]])</f>
        <v>4</v>
      </c>
      <c r="C11" s="34" t="str">
        <f>IFERROR(IF(VLOOKUP($B11,casostestes[#Data],10)=0,"Não",VLOOKUP($B11,casostestes[#Data],10)), "-")</f>
        <v>Sim</v>
      </c>
      <c r="D11" s="35" t="str">
        <f>IFERROR(IF(VLOOKUP($B11,casostestes[#Data],2)=0,"-",VLOOKUP($B11,casostestes[#Data],2)), "-")</f>
        <v>Integração</v>
      </c>
      <c r="E11" s="35" t="str">
        <f>IFERROR(IF(VLOOKUP($B11,casostestes[#Data],3)=0,"-",VLOOKUP($B11,casostestes[#Data],3)), "-")</f>
        <v>16
Cumprir a exigência de autodeclaração</v>
      </c>
      <c r="F11" s="35" t="str">
        <f>IFERROR(IF(VLOOKUP($B11,casostestes[#Data],4)=0,"-",VLOOKUP($B11,casostestes[#Data],4)),"-")</f>
        <v>PAT</v>
      </c>
      <c r="G11" s="35" t="str">
        <f>IFERROR(IF(VLOOKUP($B11,casostestes[#Data],5)=0,"-",VLOOKUP($B11,casostestes[#Data],5)),"-")</f>
        <v>SERVIDOR</v>
      </c>
      <c r="H11" s="35" t="str">
        <f>IFERROR(IF(VLOOKUP($B11,casostestes[#Data],6)=0,"-",VLOOKUP($B11,casostestes[#Data],6)),"-")</f>
        <v>1. Logar no Portal do Atendimento INSS com o perfil Servidor
2.Consultar uma tarefa em exigência de autodeclaração e acionar Cumprir Exigência  
3. Responder o formulário de autodeclaração até o final</v>
      </c>
      <c r="I11" s="35" t="str">
        <f>IFERROR(IF(VLOOKUP($B11,casostestes[#Data],8)=0,"-",VLOOKUP($B11,casostestes[#Data],8)),"-")</f>
        <v>-</v>
      </c>
      <c r="J11" s="35" t="str">
        <f>IFERROR(IF(VLOOKUP($B11,casostestes[#Data],9)=0,"-",VLOOKUP($B11,casostestes[#Data],9)),"-")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11" s="36"/>
      <c r="L11" s="45"/>
      <c r="M11" s="37"/>
      <c r="N11" s="38"/>
      <c r="O11" s="38"/>
      <c r="P11" s="39"/>
    </row>
    <row r="12" spans="2:16" ht="165">
      <c r="B12" s="40">
        <f>IF(ISERR(casostestes[[#This Row],[ID]]),"-",casostestes[[#This Row],[ID]])</f>
        <v>5</v>
      </c>
      <c r="C12" s="34" t="str">
        <f>IFERROR(IF(VLOOKUP($B12,casostestes[#Data],10)=0,"Não",VLOOKUP($B12,casostestes[#Data],10)), "-")</f>
        <v>Sim</v>
      </c>
      <c r="D12" s="35" t="str">
        <f>IFERROR(IF(VLOOKUP($B12,casostestes[#Data],2)=0,"-",VLOOKUP($B12,casostestes[#Data],2)), "-")</f>
        <v>Integração</v>
      </c>
      <c r="E12" s="35" t="str">
        <f>IFERROR(IF(VLOOKUP($B12,casostestes[#Data],3)=0,"-",VLOOKUP($B12,casostestes[#Data],3)), "-")</f>
        <v>17
Responder o formulário de autodeclaração acessando diretamente a aba segurado especial ao detalhar a tarefa, onde a tarefa encontra-se em exigência de autodeclaração</v>
      </c>
      <c r="F12" s="35" t="str">
        <f>IFERROR(IF(VLOOKUP($B12,casostestes[#Data],4)=0,"-",VLOOKUP($B12,casostestes[#Data],4)),"-")</f>
        <v>PAT</v>
      </c>
      <c r="G12" s="35" t="str">
        <f>IFERROR(IF(VLOOKUP($B12,casostestes[#Data],5)=0,"-",VLOOKUP($B12,casostestes[#Data],5)),"-")</f>
        <v>SERVIDOR</v>
      </c>
      <c r="H12" s="35" t="str">
        <f>IFERROR(IF(VLOOKUP($B12,casostestes[#Data],6)=0,"-",VLOOKUP($B12,casostestes[#Data],6)),"-")</f>
        <v>1. Logar no Portal do Atendimento INSS com o perfil Servidor
2.Consultar uma tarefa em exigência de autodeclaração 
3. Acionar a aba Segurado especial
3. Responder o formulário de autodeclaração até o final</v>
      </c>
      <c r="I12" s="35" t="str">
        <f>IFERROR(IF(VLOOKUP($B12,casostestes[#Data],8)=0,"-",VLOOKUP($B12,casostestes[#Data],8)),"-")</f>
        <v>-</v>
      </c>
      <c r="J12" s="35" t="str">
        <f>IFERROR(IF(VLOOKUP($B12,casostestes[#Data],9)=0,"-",VLOOKUP($B12,casostestes[#Data],9)),"-")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12" s="36"/>
      <c r="L12" s="45"/>
      <c r="M12" s="37"/>
      <c r="N12" s="38"/>
      <c r="O12" s="38"/>
      <c r="P12" s="39"/>
    </row>
    <row r="13" spans="2:16" ht="105">
      <c r="B13" s="40">
        <f>IF(ISERR(casostestes[[#This Row],[ID]]),"-",casostestes[[#This Row],[ID]])</f>
        <v>6</v>
      </c>
      <c r="C13" s="34" t="str">
        <f>IFERROR(IF(VLOOKUP($B13,casostestes[#Data],10)=0,"Não",VLOOKUP($B13,casostestes[#Data],10)), "-")</f>
        <v>Sim</v>
      </c>
      <c r="D13" s="35" t="str">
        <f>IFERROR(IF(VLOOKUP($B13,casostestes[#Data],2)=0,"-",VLOOKUP($B13,casostestes[#Data],2)), "-")</f>
        <v>Integração</v>
      </c>
      <c r="E13" s="35" t="str">
        <f>IFERROR(IF(VLOOKUP($B13,casostestes[#Data],3)=0,"-",VLOOKUP($B13,casostestes[#Data],3)), "-")</f>
        <v>18
Responder o formulário de autodeclaração acessando diretamente a aba segurado especial ao detalhar a tarefa, onde a tarefa encontra-se em exigência de documento médico</v>
      </c>
      <c r="F13" s="35" t="str">
        <f>IFERROR(IF(VLOOKUP($B13,casostestes[#Data],4)=0,"-",VLOOKUP($B13,casostestes[#Data],4)),"-")</f>
        <v>PAT</v>
      </c>
      <c r="G13" s="35" t="str">
        <f>IFERROR(IF(VLOOKUP($B13,casostestes[#Data],5)=0,"-",VLOOKUP($B13,casostestes[#Data],5)),"-")</f>
        <v>SERVIDOR</v>
      </c>
      <c r="H13" s="35" t="str">
        <f>IFERROR(IF(VLOOKUP($B13,casostestes[#Data],6)=0,"-",VLOOKUP($B13,casostestes[#Data],6)),"-")</f>
        <v>1. Logar no Portal do Atendimento INSS com o perfil Servidor
2.Consultar uma tarefa em exigência de documento médico
3. Acionar a aba Segurado especial
3. Responder o formulário de autodeclaração até o final</v>
      </c>
      <c r="I13" s="35" t="str">
        <f>IFERROR(IF(VLOOKUP($B13,casostestes[#Data],8)=0,"-",VLOOKUP($B13,casostestes[#Data],8)),"-")</f>
        <v>-</v>
      </c>
      <c r="J13" s="35" t="str">
        <f>IFERROR(IF(VLOOKUP($B13,casostestes[#Data],9)=0,"-",VLOOKUP($B13,casostestes[#Data],9)),"-")</f>
        <v xml:space="preserve">
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13" s="36"/>
      <c r="L13" s="45"/>
      <c r="M13" s="37"/>
      <c r="N13" s="38"/>
      <c r="O13" s="38"/>
      <c r="P13" s="39"/>
    </row>
    <row r="14" spans="2:16" ht="240">
      <c r="B14" s="40">
        <f>IF(ISERR(casostestes[[#This Row],[ID]]),"-",casostestes[[#This Row],[ID]])</f>
        <v>7</v>
      </c>
      <c r="C14" s="34" t="str">
        <f>IFERROR(IF(VLOOKUP($B14,casostestes[#Data],10)=0,"Não",VLOOKUP($B14,casostestes[#Data],10)), "-")</f>
        <v>Sim</v>
      </c>
      <c r="D14" s="35" t="str">
        <f>IFERROR(IF(VLOOKUP($B14,casostestes[#Data],2)=0,"-",VLOOKUP($B14,casostestes[#Data],2)), "-")</f>
        <v>Integração</v>
      </c>
      <c r="E14" s="35" t="str">
        <f>IFERROR(IF(VLOOKUP($B14,casostestes[#Data],3)=0,"-",VLOOKUP($B14,casostestes[#Data],3)), "-")</f>
        <v>19
Criar tarefa de BI inicial fluxo ATESTMEDQ para categoria "Segurado especial" onde o parâmetro "Exige Autodeclaração" no Catálogo está ATIVADO,  NÃO foi respondida a autodeclaração, NÃO foi incluído o anexo detalhado de AD e cidadão está preso
**Parâmetro PAT ligado: 144 - Fluxo ATESTMEDQ</v>
      </c>
      <c r="F14" s="35" t="str">
        <f>IFERROR(IF(VLOOKUP($B14,casostestes[#Data],4)=0,"-",VLOOKUP($B14,casostestes[#Data],4)),"-")</f>
        <v>PAT</v>
      </c>
      <c r="G14" s="35" t="str">
        <f>IFERROR(IF(VLOOKUP($B14,casostestes[#Data],5)=0,"-",VLOOKUP($B14,casostestes[#Data],5)),"-")</f>
        <v>SERVIDOR</v>
      </c>
      <c r="H14" s="35" t="str">
        <f>IFERROR(IF(VLOOKUP($B14,casostestes[#Data],6)=0,"-",VLOOKUP($B14,casostestes[#Data],6)),"-")</f>
        <v xml:space="preserve">1. Logar no Portal do Atendimento INSS com o perfil do caso de teste
2.Criar tarefa de BI informando:
Tipo de Incapacidade? "Temporária "
A pessoa está presa?  Sim
Categoria do trabalhador "Segurado Especial"
A pessoa ficou sem trabalhar? Sim
3. NÃO Informar anexo detalhado de autodeclaração
4. NÃO responder o formulário de autodeclaração
</v>
      </c>
      <c r="I14" s="35" t="str">
        <f>IFERROR(IF(VLOOKUP($B14,casostestes[#Data],8)=0,"-",VLOOKUP($B14,casostestes[#Data],8)),"-")</f>
        <v>-</v>
      </c>
      <c r="J14" s="35" t="str">
        <f>IFERROR(IF(VLOOKUP($B14,casostestes[#Data],9)=0,"-",VLOOKUP($B14,casostestes[#Data],9)),"-")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14" s="36"/>
      <c r="L14" s="45"/>
      <c r="M14" s="37"/>
      <c r="N14" s="38"/>
      <c r="O14" s="38"/>
      <c r="P14" s="39"/>
    </row>
    <row r="15" spans="2:16" ht="240">
      <c r="B15" s="40">
        <f>IF(ISERR(casostestes[[#This Row],[ID]]),"-",casostestes[[#This Row],[ID]])</f>
        <v>8</v>
      </c>
      <c r="C15" s="34" t="str">
        <f>IFERROR(IF(VLOOKUP($B15,casostestes[#Data],10)=0,"Não",VLOOKUP($B15,casostestes[#Data],10)), "-")</f>
        <v>Sim</v>
      </c>
      <c r="D15" s="35" t="str">
        <f>IFERROR(IF(VLOOKUP($B15,casostestes[#Data],2)=0,"-",VLOOKUP($B15,casostestes[#Data],2)), "-")</f>
        <v>Integração</v>
      </c>
      <c r="E15" s="35" t="str">
        <f>IFERROR(IF(VLOOKUP($B15,casostestes[#Data],3)=0,"-",VLOOKUP($B15,casostestes[#Data],3)), "-")</f>
        <v>20
Criar tarefa de BI inicial fluxo ATESTMEDQ para categoria "Segurado especial" onde o parâmetro "Exige Autodeclaração" no Catálogo está ATIVADO,  NÃO foi respondida a autodeclaração, NÃO foi incluído o anexo detalhado de AD e cidadão ficou sem trabalhar
**Parâmetro PAT ligado: 144 - Fluxo ATESTMEDQ</v>
      </c>
      <c r="F15" s="35" t="str">
        <f>IFERROR(IF(VLOOKUP($B15,casostestes[#Data],4)=0,"-",VLOOKUP($B15,casostestes[#Data],4)),"-")</f>
        <v>PAT</v>
      </c>
      <c r="G15" s="35" t="str">
        <f>IFERROR(IF(VLOOKUP($B15,casostestes[#Data],5)=0,"-",VLOOKUP($B15,casostestes[#Data],5)),"-")</f>
        <v>SERVIDOR</v>
      </c>
      <c r="H15" s="35" t="str">
        <f>IFERROR(IF(VLOOKUP($B15,casostestes[#Data],6)=0,"-",VLOOKUP($B15,casostestes[#Data],6)),"-")</f>
        <v xml:space="preserve">1. Logar no Portal do Atendimento INSS com o perfil do caso de teste
2.Criar tarefa de BI informando:
Tipo de Incapacidade? "Temporária "
A pessoa está presa?  Não
Categoria do trabalhador "Segurado Especial"
A pessoa ficou sem trabalhar? Não
3. Informar anexo detalhado de autodeclaração
4. NÃO responder o formulário de autodeclaração
</v>
      </c>
      <c r="I15" s="35" t="str">
        <f>IFERROR(IF(VLOOKUP($B15,casostestes[#Data],8)=0,"-",VLOOKUP($B15,casostestes[#Data],8)),"-")</f>
        <v>-</v>
      </c>
      <c r="J15" s="35" t="str">
        <f>IFERROR(IF(VLOOKUP($B15,casostestes[#Data],9)=0,"-",VLOOKUP($B15,casostestes[#Data],9)),"-")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15" s="36">
        <v>46253</v>
      </c>
      <c r="L15" s="45" t="s">
        <v>185</v>
      </c>
      <c r="M15" s="37" t="s">
        <v>22</v>
      </c>
      <c r="N15" s="38" t="s">
        <v>186</v>
      </c>
      <c r="O15" s="38"/>
      <c r="P15" s="39"/>
    </row>
    <row r="16" spans="2:16" ht="240" customHeight="1">
      <c r="B16" s="40">
        <f>IF(ISERR(casostestes[[#This Row],[ID]]),"-",casostestes[[#This Row],[ID]])</f>
        <v>9</v>
      </c>
      <c r="C16" s="34" t="str">
        <f>IFERROR(IF(VLOOKUP($B16,casostestes[#Data],10)=0,"Não",VLOOKUP($B16,casostestes[#Data],10)), "-")</f>
        <v>Sim</v>
      </c>
      <c r="D16" s="35" t="str">
        <f>IFERROR(IF(VLOOKUP($B16,casostestes[#Data],2)=0,"-",VLOOKUP($B16,casostestes[#Data],2)), "-")</f>
        <v>Integração</v>
      </c>
      <c r="E16" s="35" t="str">
        <f>IFERROR(IF(VLOOKUP($B16,casostestes[#Data],3)=0,"-",VLOOKUP($B16,casostestes[#Data],3)), "-")</f>
        <v>21
Criar tarefa de BI inicial fluxo ATESTMEDQ para categoria "Segurado especial" onde o parâmetro "Exige Autodeclaração" no Catálogo está ATIVADO,  NÃO foi respondida a autodeclaração e foi incluído o anexo detalhado de AD
**Parâmetro PAT ligado: 144 - Fluxo ATESTMEDQ</v>
      </c>
      <c r="F16" s="35" t="str">
        <f>IFERROR(IF(VLOOKUP($B16,casostestes[#Data],4)=0,"-",VLOOKUP($B16,casostestes[#Data],4)),"-")</f>
        <v>PAT</v>
      </c>
      <c r="G16" s="35" t="str">
        <f>IFERROR(IF(VLOOKUP($B16,casostestes[#Data],5)=0,"-",VLOOKUP($B16,casostestes[#Data],5)),"-")</f>
        <v>SERVIDOR</v>
      </c>
      <c r="H16" s="35" t="str">
        <f>IFERROR(IF(VLOOKUP($B16,casostestes[#Data],6)=0,"-",VLOOKUP($B16,casostestes[#Data],6)),"-")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Informar anexo detalhado de autodeclaração
4. NÃO responder o formulário de autodeclaração
Resultado 1
5.Alterar via banco de dados a data da exigência para (data atual - 36 dias)
Resultado 2</v>
      </c>
      <c r="I16" s="35" t="str">
        <f>IFERROR(IF(VLOOKUP($B16,casostestes[#Data],8)=0,"-",VLOOKUP($B16,casostestes[#Data],8)),"-")</f>
        <v>-</v>
      </c>
      <c r="J16" s="35" t="str">
        <f>IFERROR(IF(VLOOKUP($B16,casostestes[#Data],9)=0,"-",VLOOKUP($B16,casostestes[#Data],9)),"-")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2
Resultado 2 - Após alguns minutos:
Tarefa de BI com situação alterada para Pendente
Despacho incluído informando a operação ( fragmento de sigla  XXXXXXXXXX )
Divergência de autodeclaração (116) EXCLUÍDA da tarefa
Alguns minutos depois:
Status SIBE igual a AGUARDANDO ATESTADO 
Na opção  "Lista de Ocorrências", o json de integração com o SIBE deverá conter o campo "periodosPendentesSegEsp" com valor true.
</v>
      </c>
      <c r="K16" s="36">
        <v>46253</v>
      </c>
      <c r="L16" s="45" t="s">
        <v>187</v>
      </c>
      <c r="M16" s="37" t="s">
        <v>35</v>
      </c>
      <c r="N16" s="38" t="s">
        <v>188</v>
      </c>
      <c r="O16" s="38"/>
      <c r="P16" s="39"/>
    </row>
    <row r="17" spans="2:16" ht="305.25">
      <c r="B17" s="40">
        <f>IF(ISERR(casostestes[[#This Row],[ID]]),"-",casostestes[[#This Row],[ID]])</f>
        <v>10</v>
      </c>
      <c r="C17" s="34" t="str">
        <f>IFERROR(IF(VLOOKUP($B17,casostestes[#Data],10)=0,"Não",VLOOKUP($B17,casostestes[#Data],10)), "-")</f>
        <v>Sim</v>
      </c>
      <c r="D17" s="35" t="str">
        <f>IFERROR(IF(VLOOKUP($B17,casostestes[#Data],2)=0,"-",VLOOKUP($B17,casostestes[#Data],2)), "-")</f>
        <v>Integração</v>
      </c>
      <c r="E17" s="35" t="str">
        <f>IFERROR(IF(VLOOKUP($B17,casostestes[#Data],3)=0,"-",VLOOKUP($B17,casostestes[#Data],3)), "-")</f>
        <v>22
Criar tarefa de BI inicial fluxo PRESENCIAL para categoria "Segurado especial" onde o parâmetro "Exige Autodeclaração" no Catálogo está ATIVADO, NÃO foi respondida a autodeclaração e NÃO foi incluído o anexo detalhado de AD
**Parâmetro PAT ligado: 144 - Fluxo ATESTMEDQ
**Parâmetro PAT ligado: 109 -Tipo de Incapacidade Permanente leva à Fluxo Presencial do Novo BI</v>
      </c>
      <c r="F17" s="35" t="str">
        <f>IFERROR(IF(VLOOKUP($B17,casostestes[#Data],4)=0,"-",VLOOKUP($B17,casostestes[#Data],4)),"-")</f>
        <v>PAT</v>
      </c>
      <c r="G17" s="35" t="str">
        <f>IFERROR(IF(VLOOKUP($B17,casostestes[#Data],5)=0,"-",VLOOKUP($B17,casostestes[#Data],5)),"-")</f>
        <v>SERVIDOR</v>
      </c>
      <c r="H17" s="35" t="str">
        <f>IFERROR(IF(VLOOKUP($B17,casostestes[#Data],6)=0,"-",VLOOKUP($B17,casostestes[#Data],6)),"-")</f>
        <v>1. Logar no Portal do Atendimento INSS com o perfil do caso de teste
2.Criar tarefa de BI informando:
Tipo de Incapacidade? "Permanente"
A pessoa está presa?  Não
Houve acidente de trabalho?  Não
Categoria do trabalhador "Segurado Especial"
A pessoa ficou sem trabalhar? Sim
3. NÃO informar anexo detalhado de autodeclaração
5. Realizar agendamento
6. NÃO responder o formulário de autodeclaração
Resultado 1 
7.Alterar via banco de dados a data da exigência para (data atual - 36 dias)
Resulado 2</v>
      </c>
      <c r="I17" s="35" t="str">
        <f>IFERROR(IF(VLOOKUP($B17,casostestes[#Data],8)=0,"-",VLOOKUP($B17,casostestes[#Data],8)),"-")</f>
        <v>-</v>
      </c>
      <c r="J17" s="35" t="str">
        <f>IFERROR(IF(VLOOKUP($B17,casostestes[#Data],9)=0,"-",VLOOKUP($B17,casostestes[#Data],9)),"-")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1
Resultado 2 - Após alguns minutos:
Tarefa de BI com situação alterada para Pendente
Despacho incluído informando a operação ( fragmento de sigla  XXXXXXXXXX )
Divergência de autodeclaração (116) EXCLUÍDA da tarefa
Alguns minutos depois:
Status SIBE igual a AGUARDANDO PERÍCIA
Na opção  "Lista de Ocorrências", o json de integração com o SIBE deverá conter o campo "periodosPendentesSegEsp" com valor null.
</v>
      </c>
      <c r="K17" s="36">
        <v>46253</v>
      </c>
      <c r="L17" s="45" t="s">
        <v>189</v>
      </c>
      <c r="M17" s="37" t="s">
        <v>35</v>
      </c>
      <c r="N17" s="91" t="s">
        <v>190</v>
      </c>
      <c r="O17" s="38"/>
      <c r="P17" s="39"/>
    </row>
    <row r="18" spans="2:16" ht="105">
      <c r="B18" s="40">
        <f>IF(ISERR(casostestes[[#This Row],[ID]]),"-",casostestes[[#This Row],[ID]])</f>
        <v>11</v>
      </c>
      <c r="C18" s="34" t="str">
        <f>IFERROR(IF(VLOOKUP($B18,casostestes[#Data],10)=0,"Não",VLOOKUP($B18,casostestes[#Data],10)), "-")</f>
        <v>Sim</v>
      </c>
      <c r="D18" s="35" t="str">
        <f>IFERROR(IF(VLOOKUP($B18,casostestes[#Data],2)=0,"-",VLOOKUP($B18,casostestes[#Data],2)), "-")</f>
        <v>Requerimento Inicial de BI</v>
      </c>
      <c r="E18" s="35" t="str">
        <f>IFERROR(IF(VLOOKUP($B18,casostestes[#Data],3)=0,"-",VLOOKUP($B18,casostestes[#Data],3)), "-")</f>
        <v>24
Criar tarefa de BI inicial fluxo ATESTMEDQ para categoria diferente de "Segurado especial" onde o parâmetro "Exige Autodeclaração" no Catálogo está ATIVADO
**Parâmetro PAT ligado: 144 - Fluxo ATESTMEDQ</v>
      </c>
      <c r="F18" s="35" t="str">
        <f>IFERROR(IF(VLOOKUP($B18,casostestes[#Data],4)=0,"-",VLOOKUP($B18,casostestes[#Data],4)),"-")</f>
        <v>EC</v>
      </c>
      <c r="G18" s="35" t="str">
        <f>IFERROR(IF(VLOOKUP($B18,casostestes[#Data],5)=0,"-",VLOOKUP($B18,casostestes[#Data],5)),"-")</f>
        <v>ENTIDADE_CONVENIADA</v>
      </c>
      <c r="H18" s="35" t="str">
        <f>IFERROR(IF(VLOOKUP($B18,casostestes[#Data],6)=0,"-",VLOOKUP($B18,casostestes[#Data],6)),"-")</f>
        <v xml:space="preserve">1. Logar no Portal do Atendimento INSS com o perfil do caso de teste
2.Criar tarefa de BI informando:
Tipo de Incapacidade? "Temporária "
A pessoa está presa?  Não
Categoria do trabalhador diferente de "Segurado Especial"
</v>
      </c>
      <c r="I18" s="35" t="str">
        <f>IFERROR(IF(VLOOKUP($B18,casostestes[#Data],8)=0,"-",VLOOKUP($B18,casostestes[#Data],8)),"-")</f>
        <v>-</v>
      </c>
      <c r="J18" s="35" t="str">
        <f>IFERROR(IF(VLOOKUP($B18,casostestes[#Data],9)=0,"-",VLOOKUP($B18,casostestes[#Data],9)),"-")</f>
        <v>Tarefa de BI criada com situação Pendente.
Tarefa SEM Divergência de autodeclaração (116)
Status SIBE igual a FLUXO NÃO INICIADO 
DPT: Tarefa.Exige_autodeclaração = 0</v>
      </c>
      <c r="K18" s="36">
        <v>46253</v>
      </c>
      <c r="L18" s="45" t="s">
        <v>191</v>
      </c>
      <c r="M18" s="37" t="s">
        <v>22</v>
      </c>
      <c r="N18" s="91" t="s">
        <v>192</v>
      </c>
      <c r="O18" s="38"/>
      <c r="P18" s="39"/>
    </row>
    <row r="19" spans="2:16" ht="244.5">
      <c r="B19" s="40">
        <f>IF(ISERR(casostestes[[#This Row],[ID]]),"-",casostestes[[#This Row],[ID]])</f>
        <v>12</v>
      </c>
      <c r="C19" s="34" t="str">
        <f>IFERROR(IF(VLOOKUP($B19,casostestes[#Data],10)=0,"Não",VLOOKUP($B19,casostestes[#Data],10)), "-")</f>
        <v>Sim</v>
      </c>
      <c r="D19" s="35" t="str">
        <f>IFERROR(IF(VLOOKUP($B19,casostestes[#Data],2)=0,"-",VLOOKUP($B19,casostestes[#Data],2)), "-")</f>
        <v>Integração</v>
      </c>
      <c r="E19" s="35" t="str">
        <f>IFERROR(IF(VLOOKUP($B19,casostestes[#Data],3)=0,"-",VLOOKUP($B19,casostestes[#Data],3)), "-")</f>
        <v>26
Criar tarefa de BI inicial fluxo ATESTMEDQ para categoria "Segurado especial" onde o parâmetro "Exige Autodeclaração" no Catálogo está ATIVADO e a autodeclaração tem período pendente
**Parâmetro PAT ligado: 144 - Fluxo ATESTMEDQ</v>
      </c>
      <c r="F19" s="35" t="str">
        <f>IFERROR(IF(VLOOKUP($B19,casostestes[#Data],4)=0,"-",VLOOKUP($B19,casostestes[#Data],4)),"-")</f>
        <v>EC</v>
      </c>
      <c r="G19" s="35" t="str">
        <f>IFERROR(IF(VLOOKUP($B19,casostestes[#Data],5)=0,"-",VLOOKUP($B19,casostestes[#Data],5)),"-")</f>
        <v>ENTIDADE_CONVENIADA</v>
      </c>
      <c r="H19" s="35" t="str">
        <f>IFERROR(IF(VLOOKUP($B19,casostestes[#Data],6)=0,"-",VLOOKUP($B19,casostestes[#Data],6)),"-")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Cumprir exigência de documentos obrigatórios
4. Responder formulário da autodeclaração</v>
      </c>
      <c r="I19" s="35" t="str">
        <f>IFERROR(IF(VLOOKUP($B19,casostestes[#Data],8)=0,"-",VLOOKUP($B19,casostestes[#Data],8)),"-")</f>
        <v>-</v>
      </c>
      <c r="J19" s="35" t="str">
        <f>IFERROR(IF(VLOOKUP($B19,casostestes[#Data],9)=0,"-",VLOOKUP($B19,casostestes[#Data],9)),"-")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19" s="36">
        <v>46253</v>
      </c>
      <c r="L19" s="45" t="s">
        <v>193</v>
      </c>
      <c r="M19" s="37" t="s">
        <v>22</v>
      </c>
      <c r="N19" s="38" t="s">
        <v>194</v>
      </c>
      <c r="O19" s="38"/>
      <c r="P19" s="39"/>
    </row>
    <row r="20" spans="2:16" ht="240">
      <c r="B20" s="40">
        <f>IF(ISERR(casostestes[[#This Row],[ID]]),"-",casostestes[[#This Row],[ID]])</f>
        <v>13</v>
      </c>
      <c r="C20" s="34" t="str">
        <f>IFERROR(IF(VLOOKUP($B20,casostestes[#Data],10)=0,"Não",VLOOKUP($B20,casostestes[#Data],10)), "-")</f>
        <v>Sim</v>
      </c>
      <c r="D20" s="35" t="str">
        <f>IFERROR(IF(VLOOKUP($B20,casostestes[#Data],2)=0,"-",VLOOKUP($B20,casostestes[#Data],2)), "-")</f>
        <v>Integração</v>
      </c>
      <c r="E20" s="35" t="str">
        <f>IFERROR(IF(VLOOKUP($B20,casostestes[#Data],3)=0,"-",VLOOKUP($B20,casostestes[#Data],3)), "-")</f>
        <v>27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0" s="35" t="str">
        <f>IFERROR(IF(VLOOKUP($B20,casostestes[#Data],4)=0,"-",VLOOKUP($B20,casostestes[#Data],4)),"-")</f>
        <v>EC</v>
      </c>
      <c r="G20" s="35" t="str">
        <f>IFERROR(IF(VLOOKUP($B20,casostestes[#Data],5)=0,"-",VLOOKUP($B20,casostestes[#Data],5)),"-")</f>
        <v>ENTIDADE_CONVENIADA</v>
      </c>
      <c r="H20" s="35" t="str">
        <f>IFERROR(IF(VLOOKUP($B20,casostestes[#Data],6)=0,"-",VLOOKUP($B20,casostestes[#Data],6)),"-")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Cumprir exigência de documentos obrigatórios
4. Responder formulário da autodeclaração</v>
      </c>
      <c r="I20" s="35" t="str">
        <f>IFERROR(IF(VLOOKUP($B20,casostestes[#Data],8)=0,"-",VLOOKUP($B20,casostestes[#Data],8)),"-")</f>
        <v>-</v>
      </c>
      <c r="J20" s="35" t="str">
        <f>IFERROR(IF(VLOOKUP($B20,casostestes[#Data],9)=0,"-",VLOOKUP($B20,casostestes[#Data],9)),"-")</f>
        <v xml:space="preserve">
Tarefa de BI criada com situação Pendente.
Tarefa SEM Divergência de autodeclaração (116).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20" s="36">
        <v>46253</v>
      </c>
      <c r="L20" s="45" t="s">
        <v>195</v>
      </c>
      <c r="M20" s="37" t="s">
        <v>22</v>
      </c>
      <c r="N20" s="38" t="s">
        <v>196</v>
      </c>
      <c r="O20" s="38"/>
      <c r="P20" s="39"/>
    </row>
    <row r="21" spans="2:16" ht="210">
      <c r="B21" s="40">
        <f>IF(ISERR(casostestes[[#This Row],[ID]]),"-",casostestes[[#This Row],[ID]])</f>
        <v>14</v>
      </c>
      <c r="C21" s="34" t="str">
        <f>IFERROR(IF(VLOOKUP($B21,casostestes[#Data],10)=0,"Não",VLOOKUP($B21,casostestes[#Data],10)), "-")</f>
        <v>Sim</v>
      </c>
      <c r="D21" s="35" t="str">
        <f>IFERROR(IF(VLOOKUP($B21,casostestes[#Data],2)=0,"-",VLOOKUP($B21,casostestes[#Data],2)), "-")</f>
        <v>Integração</v>
      </c>
      <c r="E21" s="35" t="str">
        <f>IFERROR(IF(VLOOKUP($B21,casostestes[#Data],3)=0,"-",VLOOKUP($B21,casostestes[#Data],3)), "-")</f>
        <v>29
Cumprir a exigência de autodeclaração</v>
      </c>
      <c r="F21" s="35" t="str">
        <f>IFERROR(IF(VLOOKUP($B21,casostestes[#Data],4)=0,"-",VLOOKUP($B21,casostestes[#Data],4)),"-")</f>
        <v>PAT</v>
      </c>
      <c r="G21" s="35" t="str">
        <f>IFERROR(IF(VLOOKUP($B21,casostestes[#Data],5)=0,"-",VLOOKUP($B21,casostestes[#Data],5)),"-")</f>
        <v>ENTIDADE_CONVENIADA</v>
      </c>
      <c r="H21" s="35" t="str">
        <f>IFERROR(IF(VLOOKUP($B21,casostestes[#Data],6)=0,"-",VLOOKUP($B21,casostestes[#Data],6)),"-")</f>
        <v>1. Logar no Portal do Atendimento INSS com o perfil do caso de teste
2.Consultar uma tarefa em exigência de autodeclaração, detalhar e em seguida e acionar  a aba Cumprir Exigência  
3. Responder o formulário de autodeclaração até o final</v>
      </c>
      <c r="I21" s="35" t="str">
        <f>IFERROR(IF(VLOOKUP($B21,casostestes[#Data],8)=0,"-",VLOOKUP($B21,casostestes[#Data],8)),"-")</f>
        <v>-</v>
      </c>
      <c r="J21" s="35" t="str">
        <f>IFERROR(IF(VLOOKUP($B21,casostestes[#Data],9)=0,"-",VLOOKUP($B21,casostestes[#Data],9)),"-")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1" s="36">
        <v>46253</v>
      </c>
      <c r="L21" s="45" t="s">
        <v>197</v>
      </c>
      <c r="M21" s="37" t="s">
        <v>22</v>
      </c>
      <c r="N21" s="38" t="s">
        <v>198</v>
      </c>
      <c r="O21" s="38"/>
      <c r="P21" s="39"/>
    </row>
    <row r="22" spans="2:16" ht="210">
      <c r="B22" s="40">
        <f>IF(ISERR(casostestes[[#This Row],[ID]]),"-",casostestes[[#This Row],[ID]])</f>
        <v>15</v>
      </c>
      <c r="C22" s="34" t="str">
        <f>IFERROR(IF(VLOOKUP($B22,casostestes[#Data],10)=0,"Não",VLOOKUP($B22,casostestes[#Data],10)), "-")</f>
        <v>Sim</v>
      </c>
      <c r="D22" s="35" t="str">
        <f>IFERROR(IF(VLOOKUP($B22,casostestes[#Data],2)=0,"-",VLOOKUP($B22,casostestes[#Data],2)), "-")</f>
        <v>Integração</v>
      </c>
      <c r="E22" s="35" t="str">
        <f>IFERROR(IF(VLOOKUP($B22,casostestes[#Data],3)=0,"-",VLOOKUP($B22,casostestes[#Data],3)), "-")</f>
        <v>30
Cumprir a exigência de autodeclaração</v>
      </c>
      <c r="F22" s="35" t="str">
        <f>IFERROR(IF(VLOOKUP($B22,casostestes[#Data],4)=0,"-",VLOOKUP($B22,casostestes[#Data],4)),"-")</f>
        <v>PAT</v>
      </c>
      <c r="G22" s="35" t="str">
        <f>IFERROR(IF(VLOOKUP($B22,casostestes[#Data],5)=0,"-",VLOOKUP($B22,casostestes[#Data],5)),"-")</f>
        <v>ENTIDADE_CONVENIADA_CORREIOS</v>
      </c>
      <c r="H22" s="35" t="str">
        <f>IFERROR(IF(VLOOKUP($B22,casostestes[#Data],6)=0,"-",VLOOKUP($B22,casostestes[#Data],6)),"-")</f>
        <v>1. Logar no Portal do Atendimento INSS com o perfil EC - CORREIOS
2. Acionar a aba Exigências e consultar uma tarefa em exigência de autodeclaração
3. Detalhar a tarefa e em seguida acionar  a opção Cumprir Exigência  
3. Responder o formulário de autodeclaração até o final</v>
      </c>
      <c r="I22" s="35" t="str">
        <f>IFERROR(IF(VLOOKUP($B22,casostestes[#Data],8)=0,"-",VLOOKUP($B22,casostestes[#Data],8)),"-")</f>
        <v>-</v>
      </c>
      <c r="J22" s="35" t="str">
        <f>IFERROR(IF(VLOOKUP($B22,casostestes[#Data],9)=0,"-",VLOOKUP($B22,casostestes[#Data],9)),"-")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2" s="36"/>
      <c r="L22" s="45"/>
      <c r="M22" s="37"/>
      <c r="N22" s="38"/>
      <c r="O22" s="38"/>
      <c r="P22" s="39"/>
    </row>
    <row r="23" spans="2:16" ht="180">
      <c r="B23" s="40">
        <f>IF(ISERR(casostestes[[#This Row],[ID]]),"-",casostestes[[#This Row],[ID]])</f>
        <v>16</v>
      </c>
      <c r="C23" s="34" t="str">
        <f>IFERROR(IF(VLOOKUP($B23,casostestes[#Data],10)=0,"Não",VLOOKUP($B23,casostestes[#Data],10)), "-")</f>
        <v>Sim</v>
      </c>
      <c r="D23" s="35" t="str">
        <f>IFERROR(IF(VLOOKUP($B23,casostestes[#Data],2)=0,"-",VLOOKUP($B23,casostestes[#Data],2)), "-")</f>
        <v>Integração</v>
      </c>
      <c r="E23" s="35" t="str">
        <f>IFERROR(IF(VLOOKUP($B23,casostestes[#Data],3)=0,"-",VLOOKUP($B23,casostestes[#Data],3)), "-")</f>
        <v>31
Responder o formulário de autodeclaração acessando diretamente a aba segurado especial ao detalhar a tarefa, onde a tarefa encontra-se em exigência de documento médico
Será posível acessar diretamente a autodeclaração logado como EC?</v>
      </c>
      <c r="F23" s="35" t="str">
        <f>IFERROR(IF(VLOOKUP($B23,casostestes[#Data],4)=0,"-",VLOOKUP($B23,casostestes[#Data],4)),"-")</f>
        <v>PAT</v>
      </c>
      <c r="G23" s="35" t="str">
        <f>IFERROR(IF(VLOOKUP($B23,casostestes[#Data],5)=0,"-",VLOOKUP($B23,casostestes[#Data],5)),"-")</f>
        <v>ENTIDADE_CONVENIADA</v>
      </c>
      <c r="H23" s="35" t="str">
        <f>IFERROR(IF(VLOOKUP($B23,casostestes[#Data],6)=0,"-",VLOOKUP($B23,casostestes[#Data],6)),"-")</f>
        <v>1. Logar no Portal do Atendimento INSS com o perfil do caso se teste
2.Consultar uma tarefa em exigência de dautodeclaração
3. Acionar a aba Segurado especial
3. Responder o formulário de autodeclaração até o final</v>
      </c>
      <c r="I23" s="35" t="str">
        <f>IFERROR(IF(VLOOKUP($B23,casostestes[#Data],8)=0,"-",VLOOKUP($B23,casostestes[#Data],8)),"-")</f>
        <v>-</v>
      </c>
      <c r="J23" s="35" t="str">
        <f>IFERROR(IF(VLOOKUP($B23,casostestes[#Data],9)=0,"-",VLOOKUP($B23,casostestes[#Data],9)),"-")</f>
        <v xml:space="preserve">
Tarefa de BI com situação alterada para Pendente 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3" s="36"/>
      <c r="L23" s="45"/>
      <c r="M23" s="37"/>
      <c r="N23" s="38"/>
      <c r="O23" s="38"/>
      <c r="P23" s="39"/>
    </row>
    <row r="24" spans="2:16" ht="105">
      <c r="B24" s="40">
        <f>IF(ISERR(casostestes[[#This Row],[ID]]),"-",casostestes[[#This Row],[ID]])</f>
        <v>17</v>
      </c>
      <c r="C24" s="34" t="str">
        <f>IFERROR(IF(VLOOKUP($B24,casostestes[#Data],10)=0,"Não",VLOOKUP($B24,casostestes[#Data],10)), "-")</f>
        <v>Sim</v>
      </c>
      <c r="D24" s="35" t="str">
        <f>IFERROR(IF(VLOOKUP($B24,casostestes[#Data],2)=0,"-",VLOOKUP($B24,casostestes[#Data],2)), "-")</f>
        <v>Integração</v>
      </c>
      <c r="E24" s="35" t="str">
        <f>IFERROR(IF(VLOOKUP($B24,casostestes[#Data],3)=0,"-",VLOOKUP($B24,casostestes[#Data],3)), "-")</f>
        <v xml:space="preserve">32
Responder o formulário de autodeclaração acessando diretamente a aba segurado especial ao detalhar a tarefa, onde a tarefa encontra-se em exigência de documento médico
</v>
      </c>
      <c r="F24" s="35" t="str">
        <f>IFERROR(IF(VLOOKUP($B24,casostestes[#Data],4)=0,"-",VLOOKUP($B24,casostestes[#Data],4)),"-")</f>
        <v>PAT</v>
      </c>
      <c r="G24" s="35" t="str">
        <f>IFERROR(IF(VLOOKUP($B24,casostestes[#Data],5)=0,"-",VLOOKUP($B24,casostestes[#Data],5)),"-")</f>
        <v>ENTIDADE_CONVENIADA</v>
      </c>
      <c r="H24" s="35" t="str">
        <f>IFERROR(IF(VLOOKUP($B24,casostestes[#Data],6)=0,"-",VLOOKUP($B24,casostestes[#Data],6)),"-")</f>
        <v>1. Logar no Portal do Atendimento INSS com o perfil do caso se teste
2.Consultar uma tarefa em exigência de documento médico
3. Acionar a aba Segurado especial
3. Responder o formulário de autodeclaração até o final</v>
      </c>
      <c r="I24" s="35" t="str">
        <f>IFERROR(IF(VLOOKUP($B24,casostestes[#Data],8)=0,"-",VLOOKUP($B24,casostestes[#Data],8)),"-")</f>
        <v>-</v>
      </c>
      <c r="J24" s="35" t="str">
        <f>IFERROR(IF(VLOOKUP($B24,casostestes[#Data],9)=0,"-",VLOOKUP($B24,casostestes[#Data],9)),"-")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24" s="36"/>
      <c r="L24" s="45"/>
      <c r="M24" s="37"/>
      <c r="N24" s="38"/>
      <c r="O24" s="38"/>
      <c r="P24" s="39"/>
    </row>
    <row r="25" spans="2:16" ht="135">
      <c r="B25" s="40">
        <f>IF(ISERR(casostestes[[#This Row],[ID]]),"-",casostestes[[#This Row],[ID]])</f>
        <v>18</v>
      </c>
      <c r="C25" s="34" t="str">
        <f>IFERROR(IF(VLOOKUP($B25,casostestes[#Data],10)=0,"Não",VLOOKUP($B25,casostestes[#Data],10)), "-")</f>
        <v>Sim</v>
      </c>
      <c r="D25" s="35" t="str">
        <f>IFERROR(IF(VLOOKUP($B25,casostestes[#Data],2)=0,"-",VLOOKUP($B25,casostestes[#Data],2)), "-")</f>
        <v>Requerimento Inicial de BI</v>
      </c>
      <c r="E25" s="35" t="str">
        <f>IFERROR(IF(VLOOKUP($B25,casostestes[#Data],3)=0,"-",VLOOKUP($B25,casostestes[#Data],3)), "-")</f>
        <v>34
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25" s="35" t="str">
        <f>IFERROR(IF(VLOOKUP($B25,casostestes[#Data],4)=0,"-",VLOOKUP($B25,casostestes[#Data],4)),"-")</f>
        <v>Meu INSS</v>
      </c>
      <c r="G25" s="35" t="str">
        <f>IFERROR(IF(VLOOKUP($B25,casostestes[#Data],5)=0,"-",VLOOKUP($B25,casostestes[#Data],5)),"-")</f>
        <v>INTERESSADO</v>
      </c>
      <c r="H25" s="35" t="str">
        <f>IFERROR(IF(VLOOKUP($B25,casostestes[#Data],6)=0,"-",VLOOKUP($B25,casostestes[#Data],6)),"-")</f>
        <v>1. Logar no  Meu INSS
2.Criar tarefa de BI informando:
Tipo de Incapacidade? "Permanente"
A pessoa está presa?  Não
Categoria do trabalhador diferente de "Segurado Especial"
3. Criar o agendamento da perícia</v>
      </c>
      <c r="I25" s="35" t="str">
        <f>IFERROR(IF(VLOOKUP($B25,casostestes[#Data],8)=0,"-",VLOOKUP($B25,casostestes[#Data],8)),"-")</f>
        <v>-</v>
      </c>
      <c r="J25" s="35" t="str">
        <f>IFERROR(IF(VLOOKUP($B25,casostestes[#Data],9)=0,"-",VLOOKUP($B25,casostestes[#Data],9)),"-")</f>
        <v>Tarefa de BI criada com situação Pendente.
Tarefa SEM Divergência de autodeclaração (116)
Status SIBE igual a  AGUARDANDO PERÍCIA
Tarefa.Exige_autodeclaração = 0</v>
      </c>
      <c r="K25" s="36"/>
      <c r="L25" s="45"/>
      <c r="M25" s="37"/>
      <c r="N25" s="38"/>
      <c r="O25" s="38"/>
      <c r="P25" s="39"/>
    </row>
    <row r="26" spans="2:16" ht="255">
      <c r="B26" s="40">
        <f>IF(ISERR(casostestes[[#This Row],[ID]]),"-",casostestes[[#This Row],[ID]])</f>
        <v>19</v>
      </c>
      <c r="C26" s="34" t="str">
        <f>IFERROR(IF(VLOOKUP($B26,casostestes[#Data],10)=0,"Não",VLOOKUP($B26,casostestes[#Data],10)), "-")</f>
        <v>Sim</v>
      </c>
      <c r="D26" s="35" t="str">
        <f>IFERROR(IF(VLOOKUP($B26,casostestes[#Data],2)=0,"-",VLOOKUP($B26,casostestes[#Data],2)), "-")</f>
        <v>Integração</v>
      </c>
      <c r="E26" s="35" t="str">
        <f>IFERROR(IF(VLOOKUP($B26,casostestes[#Data],3)=0,"-",VLOOKUP($B26,casostestes[#Data],3)), "-")</f>
        <v>35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26" s="35" t="str">
        <f>IFERROR(IF(VLOOKUP($B26,casostestes[#Data],4)=0,"-",VLOOKUP($B26,casostestes[#Data],4)),"-")</f>
        <v>Meu INSS</v>
      </c>
      <c r="G26" s="35" t="str">
        <f>IFERROR(IF(VLOOKUP($B26,casostestes[#Data],5)=0,"-",VLOOKUP($B26,casostestes[#Data],5)),"-")</f>
        <v>INTERESSADO</v>
      </c>
      <c r="H26" s="35" t="str">
        <f>IFERROR(IF(VLOOKUP($B26,casostestes[#Data],6)=0,"-",VLOOKUP($B26,casostestes[#Data],6)),"-")</f>
        <v>1. Logar no  Meu INSS
2.Criar tarefa de BI informando:
Tipo de Incapacidade? "Temporária "
A pessoa está presa?  Não
Categoria do trabalhador "Segurado Especial"
A pessoa ficou sem trabalhar? Sim
3. Responder formulário da autodeclaração</v>
      </c>
      <c r="I26" s="35" t="str">
        <f>IFERROR(IF(VLOOKUP($B26,casostestes[#Data],8)=0,"-",VLOOKUP($B26,casostestes[#Data],8)),"-")</f>
        <v>-</v>
      </c>
      <c r="J26" s="35" t="str">
        <f>IFERROR(IF(VLOOKUP($B26,casostestes[#Data],9)=0,"-",VLOOKUP($B26,casostestes[#Data],9)),"-")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26" s="36"/>
      <c r="L26" s="45"/>
      <c r="M26" s="37"/>
      <c r="N26" s="38"/>
      <c r="O26" s="38"/>
      <c r="P26" s="39"/>
    </row>
    <row r="27" spans="2:16" ht="255">
      <c r="B27" s="40">
        <f>IF(ISERR(casostestes[[#This Row],[ID]]),"-",casostestes[[#This Row],[ID]])</f>
        <v>20</v>
      </c>
      <c r="C27" s="34" t="str">
        <f>IFERROR(IF(VLOOKUP($B27,casostestes[#Data],10)=0,"Não",VLOOKUP($B27,casostestes[#Data],10)), "-")</f>
        <v>Sim</v>
      </c>
      <c r="D27" s="35" t="str">
        <f>IFERROR(IF(VLOOKUP($B27,casostestes[#Data],2)=0,"-",VLOOKUP($B27,casostestes[#Data],2)), "-")</f>
        <v>Integração</v>
      </c>
      <c r="E27" s="35" t="str">
        <f>IFERROR(IF(VLOOKUP($B27,casostestes[#Data],3)=0,"-",VLOOKUP($B27,casostestes[#Data],3)), "-")</f>
        <v>36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7" s="35" t="str">
        <f>IFERROR(IF(VLOOKUP($B27,casostestes[#Data],4)=0,"-",VLOOKUP($B27,casostestes[#Data],4)),"-")</f>
        <v>Meu INSS</v>
      </c>
      <c r="G27" s="35" t="str">
        <f>IFERROR(IF(VLOOKUP($B27,casostestes[#Data],5)=0,"-",VLOOKUP($B27,casostestes[#Data],5)),"-")</f>
        <v>INTERESSADO</v>
      </c>
      <c r="H27" s="35" t="str">
        <f>IFERROR(IF(VLOOKUP($B27,casostestes[#Data],6)=0,"-",VLOOKUP($B27,casostestes[#Data],6)),"-")</f>
        <v>1. Logar no  Meu INSS
2.Criar tarefa de BI informando:
Tipo de Incapacidade? "Temporária "
A pessoa está presa?  Não
Categoria do trabalhador "Segurado Especial"
A pessoa ficou sem trabalhar? Sim
3. Responder a autodeclaração</v>
      </c>
      <c r="I27" s="35" t="str">
        <f>IFERROR(IF(VLOOKUP($B27,casostestes[#Data],8)=0,"-",VLOOKUP($B27,casostestes[#Data],8)),"-")</f>
        <v>-</v>
      </c>
      <c r="J27" s="35" t="str">
        <f>IFERROR(IF(VLOOKUP($B27,casostestes[#Data],9)=0,"-",VLOOKUP($B27,casostestes[#Data],9)),"-")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27" s="36"/>
      <c r="L27" s="45"/>
      <c r="M27" s="37"/>
      <c r="N27" s="38"/>
      <c r="O27" s="38"/>
      <c r="P27" s="39"/>
    </row>
    <row r="28" spans="2:16" ht="180">
      <c r="B28" s="40">
        <f>IF(ISERR(casostestes[[#This Row],[ID]]),"-",casostestes[[#This Row],[ID]])</f>
        <v>21</v>
      </c>
      <c r="C28" s="34" t="str">
        <f>IFERROR(IF(VLOOKUP($B28,casostestes[#Data],10)=0,"Não",VLOOKUP($B28,casostestes[#Data],10)), "-")</f>
        <v>Sim</v>
      </c>
      <c r="D28" s="35" t="str">
        <f>IFERROR(IF(VLOOKUP($B28,casostestes[#Data],2)=0,"-",VLOOKUP($B28,casostestes[#Data],2)), "-")</f>
        <v>Requerimento Inicial de BI</v>
      </c>
      <c r="E28" s="35" t="str">
        <f>IFERROR(IF(VLOOKUP($B28,casostestes[#Data],3)=0,"-",VLOOKUP($B28,casostestes[#Data],3)), "-")</f>
        <v>37
Criar tarefa de BI inicial fluxo ATESTMEDQ para categoria "Segurado especial" onde o parâmetro "Exige Autodeclaração" no Catálogo está ATIVADO e  NÃO foi respondida a autodeclaração
**Parâmetro PAT ligado: 144 - Fluxo ATESTMEDQ</v>
      </c>
      <c r="F28" s="35" t="str">
        <f>IFERROR(IF(VLOOKUP($B28,casostestes[#Data],4)=0,"-",VLOOKUP($B28,casostestes[#Data],4)),"-")</f>
        <v>Meu INSS</v>
      </c>
      <c r="G28" s="35" t="str">
        <f>IFERROR(IF(VLOOKUP($B28,casostestes[#Data],5)=0,"-",VLOOKUP($B28,casostestes[#Data],5)),"-")</f>
        <v>INTERESSADO</v>
      </c>
      <c r="H28" s="35" t="str">
        <f>IFERROR(IF(VLOOKUP($B28,casostestes[#Data],6)=0,"-",VLOOKUP($B28,casostestes[#Data],6)),"-")</f>
        <v>1. Logar no  Meu INSS
2.Criar tarefa de BI informando:
Tipo de Incapacidade? "Temporária "
A pessoa está presa?  Não
Categoria do trabalhador "Segurado Especial"
A pessoa ficou sem trabalhar? Não
3. NÃO Responder a autodeclaração</v>
      </c>
      <c r="I28" s="35" t="str">
        <f>IFERROR(IF(VLOOKUP($B28,casostestes[#Data],8)=0,"-",VLOOKUP($B28,casostestes[#Data],8)),"-")</f>
        <v>-</v>
      </c>
      <c r="J28" s="35" t="str">
        <f>IFERROR(IF(VLOOKUP($B28,casostestes[#Data],9)=0,"-",VLOOKUP($B28,casostestes[#Data],9)),"-")</f>
        <v xml:space="preserve">
"Tarefa de BI criada com situação Pendente.
Status SIBE igual a  FLUXO NÃO INICIADO
Divergência de autodeclaração (116) incluída na tarefa
Após execução workflow:
Tarefa de BI com situação alterada para Exigência .
DTP:
Campo Exige_autodeclaração = 1"
</v>
      </c>
      <c r="K28" s="36"/>
      <c r="L28" s="45"/>
      <c r="M28" s="37"/>
      <c r="N28" s="38"/>
      <c r="O28" s="38"/>
      <c r="P28" s="39"/>
    </row>
    <row r="29" spans="2:16" ht="225">
      <c r="B29" s="40">
        <f>IF(ISERR(casostestes[[#This Row],[ID]]),"-",casostestes[[#This Row],[ID]])</f>
        <v>22</v>
      </c>
      <c r="C29" s="34" t="str">
        <f>IFERROR(IF(VLOOKUP($B29,casostestes[#Data],10)=0,"Não",VLOOKUP($B29,casostestes[#Data],10)), "-")</f>
        <v>Sim</v>
      </c>
      <c r="D29" s="35" t="str">
        <f>IFERROR(IF(VLOOKUP($B29,casostestes[#Data],2)=0,"-",VLOOKUP($B29,casostestes[#Data],2)), "-")</f>
        <v>Integração</v>
      </c>
      <c r="E29" s="35" t="str">
        <f>IFERROR(IF(VLOOKUP($B29,casostestes[#Data],3)=0,"-",VLOOKUP($B29,casostestes[#Data],3)), "-")</f>
        <v>38
Cumprir a exigência de autodeclaração</v>
      </c>
      <c r="F29" s="35" t="str">
        <f>IFERROR(IF(VLOOKUP($B29,casostestes[#Data],4)=0,"-",VLOOKUP($B29,casostestes[#Data],4)),"-")</f>
        <v>Meu INSS</v>
      </c>
      <c r="G29" s="35" t="str">
        <f>IFERROR(IF(VLOOKUP($B29,casostestes[#Data],5)=0,"-",VLOOKUP($B29,casostestes[#Data],5)),"-")</f>
        <v>INTERESSADO</v>
      </c>
      <c r="H29" s="35" t="str">
        <f>IFERROR(IF(VLOOKUP($B29,casostestes[#Data],6)=0,"-",VLOOKUP($B29,casostestes[#Data],6)),"-")</f>
        <v>1. Logar no  Meu INSS
2.Consultar uma tarefa em exigência de autodeclaração e acionar Cumprir Exigência  
3. Responder o formulário de autodeclaração</v>
      </c>
      <c r="I29" s="35" t="str">
        <f>IFERROR(IF(VLOOKUP($B29,casostestes[#Data],8)=0,"-",VLOOKUP($B29,casostestes[#Data],8)),"-")</f>
        <v>-</v>
      </c>
      <c r="J29" s="35" t="str">
        <f>IFERROR(IF(VLOOKUP($B29,casostestes[#Data],9)=0,"-",VLOOKUP($B29,casostestes[#Data],9)),"-")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9" s="36"/>
      <c r="L29" s="45"/>
      <c r="M29" s="37"/>
      <c r="N29" s="38"/>
      <c r="O29" s="38"/>
      <c r="P29" s="39"/>
    </row>
    <row r="30" spans="2:16" ht="180">
      <c r="B30" s="40">
        <f>IF(ISERR(casostestes[[#This Row],[ID]]),"-",casostestes[[#This Row],[ID]])</f>
        <v>23</v>
      </c>
      <c r="C30" s="34" t="str">
        <f>IFERROR(IF(VLOOKUP($B30,casostestes[#Data],10)=0,"Não",VLOOKUP($B30,casostestes[#Data],10)), "-")</f>
        <v>Sim</v>
      </c>
      <c r="D30" s="35" t="str">
        <f>IFERROR(IF(VLOOKUP($B30,casostestes[#Data],2)=0,"-",VLOOKUP($B30,casostestes[#Data],2)), "-")</f>
        <v>Integração</v>
      </c>
      <c r="E30" s="35" t="str">
        <f>IFERROR(IF(VLOOKUP($B30,casostestes[#Data],3)=0,"-",VLOOKUP($B30,casostestes[#Data],3)), "-")</f>
        <v>39
Responder o formulário de autodeclaração acionando a opção de autodeclaração no card do pedido onde a tarefa encontra-se em exigência de autodeclaração
Será posível acessar diretamente a autodeclaração logado no Meu INSS?</v>
      </c>
      <c r="F30" s="35" t="str">
        <f>IFERROR(IF(VLOOKUP($B30,casostestes[#Data],4)=0,"-",VLOOKUP($B30,casostestes[#Data],4)),"-")</f>
        <v>Meu INSS</v>
      </c>
      <c r="G30" s="35" t="str">
        <f>IFERROR(IF(VLOOKUP($B30,casostestes[#Data],5)=0,"-",VLOOKUP($B30,casostestes[#Data],5)),"-")</f>
        <v>INTERESSADO</v>
      </c>
      <c r="H30" s="35" t="str">
        <f>IFERROR(IF(VLOOKUP($B30,casostestes[#Data],6)=0,"-",VLOOKUP($B30,casostestes[#Data],6)),"-")</f>
        <v>1. Logar no  Meu INSS
2.Consultar uma tarefa em exigência de autodeclaração
3. Acionar no card do pedido a opção de Autodeclaração   
3. Responder o formulário de autodeclaração</v>
      </c>
      <c r="I30" s="35" t="str">
        <f>IFERROR(IF(VLOOKUP($B30,casostestes[#Data],8)=0,"-",VLOOKUP($B30,casostestes[#Data],8)),"-")</f>
        <v>-</v>
      </c>
      <c r="J30" s="35" t="str">
        <f>IFERROR(IF(VLOOKUP($B30,casostestes[#Data],9)=0,"-",VLOOKUP($B30,casostestes[#Data],9)),"-")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0" s="36"/>
      <c r="L30" s="45"/>
      <c r="M30" s="37"/>
      <c r="N30" s="38"/>
      <c r="O30" s="38"/>
      <c r="P30" s="39"/>
    </row>
    <row r="31" spans="2:16" ht="105">
      <c r="B31" s="40">
        <f>IF(ISERR(casostestes[[#This Row],[ID]]),"-",casostestes[[#This Row],[ID]])</f>
        <v>24</v>
      </c>
      <c r="C31" s="34" t="str">
        <f>IFERROR(IF(VLOOKUP($B31,casostestes[#Data],10)=0,"Não",VLOOKUP($B31,casostestes[#Data],10)), "-")</f>
        <v>Sim</v>
      </c>
      <c r="D31" s="35" t="str">
        <f>IFERROR(IF(VLOOKUP($B31,casostestes[#Data],2)=0,"-",VLOOKUP($B31,casostestes[#Data],2)), "-")</f>
        <v>Integração</v>
      </c>
      <c r="E31" s="35" t="str">
        <f>IFERROR(IF(VLOOKUP($B31,casostestes[#Data],3)=0,"-",VLOOKUP($B31,casostestes[#Data],3)), "-")</f>
        <v>40
Responder o formulário de autodeclaração acionando a opção de autodeclaração no card do pedido onde a tarefa encontra-se em exigência de documento médico
Será posível acessar diretamente a autodeclaração logado no Meu INSS?</v>
      </c>
      <c r="F31" s="35" t="str">
        <f>IFERROR(IF(VLOOKUP($B31,casostestes[#Data],4)=0,"-",VLOOKUP($B31,casostestes[#Data],4)),"-")</f>
        <v>Meu INSS</v>
      </c>
      <c r="G31" s="35" t="str">
        <f>IFERROR(IF(VLOOKUP($B31,casostestes[#Data],5)=0,"-",VLOOKUP($B31,casostestes[#Data],5)),"-")</f>
        <v>INTERESSADO</v>
      </c>
      <c r="H31" s="35" t="str">
        <f>IFERROR(IF(VLOOKUP($B31,casostestes[#Data],6)=0,"-",VLOOKUP($B31,casostestes[#Data],6)),"-")</f>
        <v>1. Logar no  Meu INSS
2.Consultar uma tarefa em exigência de documento médico 
3. Acionar no card do pedido a opção de Autodeclaração   
3. Responder o formulário de autodeclaração</v>
      </c>
      <c r="I31" s="35" t="str">
        <f>IFERROR(IF(VLOOKUP($B31,casostestes[#Data],8)=0,"-",VLOOKUP($B31,casostestes[#Data],8)),"-")</f>
        <v>-</v>
      </c>
      <c r="J31" s="35" t="str">
        <f>IFERROR(IF(VLOOKUP($B31,casostestes[#Data],9)=0,"-",VLOOKUP($B31,casostestes[#Data],9)),"-")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31" s="36"/>
      <c r="L31" s="45"/>
      <c r="M31" s="37"/>
      <c r="N31" s="38"/>
      <c r="O31" s="38"/>
      <c r="P31" s="39"/>
    </row>
    <row r="32" spans="2:16" ht="409.5">
      <c r="B32" s="40">
        <f>IF(ISERR(casostestes[[#This Row],[ID]]),"-",casostestes[[#This Row],[ID]])</f>
        <v>25</v>
      </c>
      <c r="C32" s="34" t="str">
        <f>IFERROR(IF(VLOOKUP($B32,casostestes[#Data],10)=0,"Não",VLOOKUP($B32,casostestes[#Data],10)), "-")</f>
        <v>Sim</v>
      </c>
      <c r="D32" s="35" t="str">
        <f>IFERROR(IF(VLOOKUP($B32,casostestes[#Data],2)=0,"-",VLOOKUP($B32,casostestes[#Data],2)), "-")</f>
        <v>Integração</v>
      </c>
      <c r="E32" s="35" t="str">
        <f>IFERROR(IF(VLOOKUP($B32,casostestes[#Data],3)=0,"-",VLOOKUP($B32,casostestes[#Data],3)), "-")</f>
        <v xml:space="preserve">
41
'Criar tarefa de BI inicial fluxo ATESTMEDQ para categoria "Segurado especial" onde o parâmetro "Exige Autodeclaração" no Catálogo está ATIVADO, 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2" s="35" t="str">
        <f>IFERROR(IF(VLOOKUP($B32,casostestes[#Data],4)=0,"-",VLOOKUP($B32,casostestes[#Data],4)),"-")</f>
        <v>PAT</v>
      </c>
      <c r="G32" s="35" t="str">
        <f>IFERROR(IF(VLOOKUP($B32,casostestes[#Data],5)=0,"-",VLOOKUP($B32,casostestes[#Data],5)),"-")</f>
        <v>SERVIDOR</v>
      </c>
      <c r="H32" s="35" t="str">
        <f>IFERROR(IF(VLOOKUP($B32,casostestes[#Data],6)=0,"-",VLOOKUP($B32,casostestes[#Data],6)),"-")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Responder o formulário de autodeclaração
Resultado 1
5. Executar o serviço do STD simulando enquadramento na regra da análise de risco
- Inclusão da divergência 202 (ORIENTAÇÕES NA ABA MASSA)   
Resultado 2
</v>
      </c>
      <c r="I32" s="35" t="str">
        <f>IFERROR(IF(VLOOKUP($B32,casostestes[#Data],8)=0,"-",VLOOKUP($B32,casostestes[#Data],8)),"-")</f>
        <v>-</v>
      </c>
      <c r="J32" s="35" t="str">
        <f>IFERROR(IF(VLOOKUP($B32,casostestes[#Data],9)=0,"-",VLOOKUP($B32,casostestes[#Data],9)),"-")</f>
        <v xml:space="preserve">Resultado 1:
Tarefa de BI criada com situação Pendente.
Tarefa SEM a Divergência de autodeclaração (116)  
Status SIBE igual a  FLUXO NÃO INICIADO
Seção campos adicionais:
"Fluxo Inicial e final do BI" deve ter o valor  "ATESTMEDQ"
DTP:  Campo Exige_autodeclaração = 1
Aguardar alguns minutos após a geração automática do PDF da autodeclaração:
Status SIBE continua igual a  FLUXO NÃO INICIADO
Resultado 2 - Após a execução do serviço do STD:  
- Cerca de 5 minutos depois, será exibida a divergência da Análise de Risco (202) no requerimento
- Alguns minutos depois:
Status SIBE igual a AGUARDANDO PERÍCIA
- Ocorrências de integração (com SIBE)
 "tipoInformacaoMedica":0
 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 Seção "Agendamentos (Perícia)":
- A etapa_pericia apresentará o valor AGUARDANDO AGENDAMENTO 
Aba Despachos:
-Inclusão do despacho de exigência de agendamento
</v>
      </c>
      <c r="K32" s="36"/>
      <c r="L32" s="45"/>
      <c r="M32" s="37"/>
      <c r="N32" s="38"/>
      <c r="O32" s="38"/>
      <c r="P32" s="39"/>
    </row>
    <row r="33" spans="2:16" ht="409.5">
      <c r="B33" s="40">
        <f>IF(ISERR(casostestes[[#This Row],[ID]]),"-",casostestes[[#This Row],[ID]])</f>
        <v>26</v>
      </c>
      <c r="C33" s="34" t="str">
        <f>IFERROR(IF(VLOOKUP($B33,casostestes[#Data],10)=0,"Não",VLOOKUP($B33,casostestes[#Data],10)), "-")</f>
        <v>Sim</v>
      </c>
      <c r="D33" s="35" t="str">
        <f>IFERROR(IF(VLOOKUP($B33,casostestes[#Data],2)=0,"-",VLOOKUP($B33,casostestes[#Data],2)), "-")</f>
        <v>Integração</v>
      </c>
      <c r="E33" s="35" t="str">
        <f>IFERROR(IF(VLOOKUP($B33,casostestes[#Data],3)=0,"-",VLOOKUP($B33,casostestes[#Data],3)), "-")</f>
        <v xml:space="preserve">42'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3" s="35" t="str">
        <f>IFERROR(IF(VLOOKUP($B33,casostestes[#Data],4)=0,"-",VLOOKUP($B33,casostestes[#Data],4)),"-")</f>
        <v>PAT</v>
      </c>
      <c r="G33" s="35" t="str">
        <f>IFERROR(IF(VLOOKUP($B33,casostestes[#Data],5)=0,"-",VLOOKUP($B33,casostestes[#Data],5)),"-")</f>
        <v>SERVIDOR</v>
      </c>
      <c r="H33" s="35" t="str">
        <f>IFERROR(IF(VLOOKUP($B33,casostestes[#Data],6)=0,"-",VLOOKUP($B33,casostestes[#Data],6)),"-")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33" s="35" t="str">
        <f>IFERROR(IF(VLOOKUP($B33,casostestes[#Data],8)=0,"-",VLOOKUP($B33,casostestes[#Data],8)),"-")</f>
        <v>-</v>
      </c>
      <c r="J33" s="35" t="str">
        <f>IFERROR(IF(VLOOKUP($B33,casostestes[#Data],9)=0,"-",VLOOKUP($B33,casostestes[#Data],9)),"-")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33" s="36"/>
      <c r="L33" s="45"/>
      <c r="M33" s="37"/>
      <c r="N33" s="38"/>
      <c r="O33" s="38"/>
      <c r="P33" s="39"/>
    </row>
    <row r="34" spans="2:16" ht="409.5">
      <c r="B34" s="40">
        <f>IF(ISERR(casostestes[[#This Row],[ID]]),"-",casostestes[[#This Row],[ID]])</f>
        <v>27</v>
      </c>
      <c r="C34" s="34" t="str">
        <f>IFERROR(IF(VLOOKUP($B34,casostestes[#Data],10)=0,"Não",VLOOKUP($B34,casostestes[#Data],10)), "-")</f>
        <v>Sim</v>
      </c>
      <c r="D34" s="35" t="str">
        <f>IFERROR(IF(VLOOKUP($B34,casostestes[#Data],2)=0,"-",VLOOKUP($B34,casostestes[#Data],2)), "-")</f>
        <v>Integração</v>
      </c>
      <c r="E34" s="35" t="str">
        <f>IFERROR(IF(VLOOKUP($B34,casostestes[#Data],3)=0,"-",VLOOKUP($B34,casostestes[#Data],3)), "-")</f>
        <v xml:space="preserve">43'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4" s="35" t="str">
        <f>IFERROR(IF(VLOOKUP($B34,casostestes[#Data],4)=0,"-",VLOOKUP($B34,casostestes[#Data],4)),"-")</f>
        <v>PAT</v>
      </c>
      <c r="G34" s="35" t="str">
        <f>IFERROR(IF(VLOOKUP($B34,casostestes[#Data],5)=0,"-",VLOOKUP($B34,casostestes[#Data],5)),"-")</f>
        <v>SERVIDOR</v>
      </c>
      <c r="H34" s="35" t="str">
        <f>IFERROR(IF(VLOOKUP($B34,casostestes[#Data],6)=0,"-",VLOOKUP($B34,casostestes[#Data],6)),"-")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34" s="35" t="str">
        <f>IFERROR(IF(VLOOKUP($B34,casostestes[#Data],8)=0,"-",VLOOKUP($B34,casostestes[#Data],8)),"-")</f>
        <v>-</v>
      </c>
      <c r="J34" s="35" t="str">
        <f>IFERROR(IF(VLOOKUP($B34,casostestes[#Data],9)=0,"-",VLOOKUP($B34,casostestes[#Data],9)),"-")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34" s="36"/>
      <c r="L34" s="45"/>
      <c r="M34" s="37"/>
      <c r="N34" s="38"/>
      <c r="O34" s="38"/>
      <c r="P34" s="39"/>
    </row>
    <row r="35" spans="2:16">
      <c r="B35" s="40" t="str">
        <f>IF(ISERR(casostestes[[#This Row],[ID]]),"-",casostestes[[#This Row],[ID]])</f>
        <v>-</v>
      </c>
      <c r="C35" s="34" t="str">
        <f>IFERROR(IF(VLOOKUP($B35,casostestes[#Data],10)=0,"Não",VLOOKUP($B35,casostestes[#Data],10)), "-")</f>
        <v>-</v>
      </c>
      <c r="D35" s="35" t="str">
        <f>IFERROR(IF(VLOOKUP($B35,casostestes[#Data],2)=0,"-",VLOOKUP($B35,casostestes[#Data],2)), "-")</f>
        <v>-</v>
      </c>
      <c r="E35" s="35" t="str">
        <f>IFERROR(IF(VLOOKUP($B35,casostestes[#Data],3)=0,"-",VLOOKUP($B35,casostestes[#Data],3)), "-")</f>
        <v>-</v>
      </c>
      <c r="F35" s="35" t="str">
        <f>IFERROR(IF(VLOOKUP($B35,casostestes[#Data],4)=0,"-",VLOOKUP($B35,casostestes[#Data],4)),"-")</f>
        <v>-</v>
      </c>
      <c r="G35" s="35" t="str">
        <f>IFERROR(IF(VLOOKUP($B35,casostestes[#Data],5)=0,"-",VLOOKUP($B35,casostestes[#Data],5)),"-")</f>
        <v>-</v>
      </c>
      <c r="H35" s="35" t="str">
        <f>IFERROR(IF(VLOOKUP($B35,casostestes[#Data],6)=0,"-",VLOOKUP($B35,casostestes[#Data],6)),"-")</f>
        <v>-</v>
      </c>
      <c r="I35" s="35" t="str">
        <f>IFERROR(IF(VLOOKUP($B35,casostestes[#Data],8)=0,"-",VLOOKUP($B35,casostestes[#Data],8)),"-")</f>
        <v>-</v>
      </c>
      <c r="J35" s="35" t="str">
        <f>IFERROR(IF(VLOOKUP($B35,casostestes[#Data],9)=0,"-",VLOOKUP($B35,casostestes[#Data],9)),"-")</f>
        <v>-</v>
      </c>
      <c r="K35" s="36"/>
      <c r="L35" s="45"/>
      <c r="M35" s="37"/>
      <c r="N35" s="38"/>
      <c r="O35" s="38"/>
      <c r="P35" s="39"/>
    </row>
    <row r="36" spans="2:16">
      <c r="B36" s="40" t="str">
        <f>IF(ISERR(casostestes[[#This Row],[ID]]),"-",casostestes[[#This Row],[ID]])</f>
        <v>-</v>
      </c>
      <c r="C36" s="34" t="str">
        <f>IFERROR(IF(VLOOKUP($B36,casostestes[#Data],10)=0,"Não",VLOOKUP($B36,casostestes[#Data],10)), "-")</f>
        <v>-</v>
      </c>
      <c r="D36" s="35" t="str">
        <f>IFERROR(IF(VLOOKUP($B36,casostestes[#Data],2)=0,"-",VLOOKUP($B36,casostestes[#Data],2)), "-")</f>
        <v>-</v>
      </c>
      <c r="E36" s="35" t="str">
        <f>IFERROR(IF(VLOOKUP($B36,casostestes[#Data],3)=0,"-",VLOOKUP($B36,casostestes[#Data],3)), "-")</f>
        <v>-</v>
      </c>
      <c r="F36" s="35" t="str">
        <f>IFERROR(IF(VLOOKUP($B36,casostestes[#Data],4)=0,"-",VLOOKUP($B36,casostestes[#Data],4)),"-")</f>
        <v>-</v>
      </c>
      <c r="G36" s="35" t="str">
        <f>IFERROR(IF(VLOOKUP($B36,casostestes[#Data],5)=0,"-",VLOOKUP($B36,casostestes[#Data],5)),"-")</f>
        <v>-</v>
      </c>
      <c r="H36" s="35" t="str">
        <f>IFERROR(IF(VLOOKUP($B36,casostestes[#Data],6)=0,"-",VLOOKUP($B36,casostestes[#Data],6)),"-")</f>
        <v>-</v>
      </c>
      <c r="I36" s="35" t="str">
        <f>IFERROR(IF(VLOOKUP($B36,casostestes[#Data],8)=0,"-",VLOOKUP($B36,casostestes[#Data],8)),"-")</f>
        <v>-</v>
      </c>
      <c r="J36" s="35" t="str">
        <f>IFERROR(IF(VLOOKUP($B36,casostestes[#Data],9)=0,"-",VLOOKUP($B36,casostestes[#Data],9)),"-")</f>
        <v>-</v>
      </c>
      <c r="K36" s="36"/>
      <c r="L36" s="45"/>
      <c r="M36" s="37"/>
      <c r="N36" s="38"/>
      <c r="O36" s="38"/>
      <c r="P36" s="39"/>
    </row>
    <row r="37" spans="2:16">
      <c r="B37" s="40" t="str">
        <f>IF(ISERR(casostestes[[#This Row],[ID]]),"-",casostestes[[#This Row],[ID]])</f>
        <v>-</v>
      </c>
      <c r="C37" s="34" t="str">
        <f>IFERROR(IF(VLOOKUP($B37,casostestes[#Data],10)=0,"Não",VLOOKUP($B37,casostestes[#Data],10)), "-")</f>
        <v>-</v>
      </c>
      <c r="D37" s="35" t="str">
        <f>IFERROR(IF(VLOOKUP($B37,casostestes[#Data],2)=0,"-",VLOOKUP($B37,casostestes[#Data],2)), "-")</f>
        <v>-</v>
      </c>
      <c r="E37" s="35" t="str">
        <f>IFERROR(IF(VLOOKUP($B37,casostestes[#Data],3)=0,"-",VLOOKUP($B37,casostestes[#Data],3)), "-")</f>
        <v>-</v>
      </c>
      <c r="F37" s="35" t="str">
        <f>IFERROR(IF(VLOOKUP($B37,casostestes[#Data],4)=0,"-",VLOOKUP($B37,casostestes[#Data],4)),"-")</f>
        <v>-</v>
      </c>
      <c r="G37" s="35" t="str">
        <f>IFERROR(IF(VLOOKUP($B37,casostestes[#Data],5)=0,"-",VLOOKUP($B37,casostestes[#Data],5)),"-")</f>
        <v>-</v>
      </c>
      <c r="H37" s="35" t="str">
        <f>IFERROR(IF(VLOOKUP($B37,casostestes[#Data],6)=0,"-",VLOOKUP($B37,casostestes[#Data],6)),"-")</f>
        <v>-</v>
      </c>
      <c r="I37" s="35" t="str">
        <f>IFERROR(IF(VLOOKUP($B37,casostestes[#Data],8)=0,"-",VLOOKUP($B37,casostestes[#Data],8)),"-")</f>
        <v>-</v>
      </c>
      <c r="J37" s="35" t="str">
        <f>IFERROR(IF(VLOOKUP($B37,casostestes[#Data],9)=0,"-",VLOOKUP($B37,casostestes[#Data],9)),"-")</f>
        <v>-</v>
      </c>
      <c r="K37" s="36"/>
      <c r="L37" s="45"/>
      <c r="M37" s="37"/>
      <c r="N37" s="38"/>
      <c r="O37" s="38"/>
      <c r="P37" s="39"/>
    </row>
    <row r="38" spans="2:16">
      <c r="B38" s="40" t="str">
        <f>IF(ISERR(casostestes[[#This Row],[ID]]),"-",casostestes[[#This Row],[ID]])</f>
        <v>-</v>
      </c>
      <c r="C38" s="34" t="str">
        <f>IFERROR(IF(VLOOKUP($B38,casostestes[#Data],10)=0,"Não",VLOOKUP($B38,casostestes[#Data],10)), "-")</f>
        <v>-</v>
      </c>
      <c r="D38" s="35" t="str">
        <f>IFERROR(IF(VLOOKUP($B38,casostestes[#Data],2)=0,"-",VLOOKUP($B38,casostestes[#Data],2)), "-")</f>
        <v>-</v>
      </c>
      <c r="E38" s="35" t="str">
        <f>IFERROR(IF(VLOOKUP($B38,casostestes[#Data],3)=0,"-",VLOOKUP($B38,casostestes[#Data],3)), "-")</f>
        <v>-</v>
      </c>
      <c r="F38" s="35" t="str">
        <f>IFERROR(IF(VLOOKUP($B38,casostestes[#Data],4)=0,"-",VLOOKUP($B38,casostestes[#Data],4)),"-")</f>
        <v>-</v>
      </c>
      <c r="G38" s="35" t="str">
        <f>IFERROR(IF(VLOOKUP($B38,casostestes[#Data],5)=0,"-",VLOOKUP($B38,casostestes[#Data],5)),"-")</f>
        <v>-</v>
      </c>
      <c r="H38" s="35" t="str">
        <f>IFERROR(IF(VLOOKUP($B38,casostestes[#Data],6)=0,"-",VLOOKUP($B38,casostestes[#Data],6)),"-")</f>
        <v>-</v>
      </c>
      <c r="I38" s="35" t="str">
        <f>IFERROR(IF(VLOOKUP($B38,casostestes[#Data],8)=0,"-",VLOOKUP($B38,casostestes[#Data],8)),"-")</f>
        <v>-</v>
      </c>
      <c r="J38" s="35" t="str">
        <f>IFERROR(IF(VLOOKUP($B38,casostestes[#Data],9)=0,"-",VLOOKUP($B38,casostestes[#Data],9)),"-")</f>
        <v>-</v>
      </c>
      <c r="K38" s="36"/>
      <c r="L38" s="45"/>
      <c r="M38" s="37"/>
      <c r="N38" s="38"/>
      <c r="O38" s="38"/>
      <c r="P38" s="39"/>
    </row>
    <row r="39" spans="2:16">
      <c r="B39" s="40" t="str">
        <f>IF(ISERR(casostestes[[#This Row],[ID]]),"-",casostestes[[#This Row],[ID]])</f>
        <v>-</v>
      </c>
      <c r="C39" s="34" t="str">
        <f>IFERROR(IF(VLOOKUP($B39,casostestes[#Data],10)=0,"Não",VLOOKUP($B39,casostestes[#Data],10)), "-")</f>
        <v>-</v>
      </c>
      <c r="D39" s="35" t="str">
        <f>IFERROR(IF(VLOOKUP($B39,casostestes[#Data],2)=0,"-",VLOOKUP($B39,casostestes[#Data],2)), "-")</f>
        <v>-</v>
      </c>
      <c r="E39" s="35" t="str">
        <f>IFERROR(IF(VLOOKUP($B39,casostestes[#Data],3)=0,"-",VLOOKUP($B39,casostestes[#Data],3)), "-")</f>
        <v>-</v>
      </c>
      <c r="F39" s="35" t="str">
        <f>IFERROR(IF(VLOOKUP($B39,casostestes[#Data],4)=0,"-",VLOOKUP($B39,casostestes[#Data],4)),"-")</f>
        <v>-</v>
      </c>
      <c r="G39" s="35" t="str">
        <f>IFERROR(IF(VLOOKUP($B39,casostestes[#Data],5)=0,"-",VLOOKUP($B39,casostestes[#Data],5)),"-")</f>
        <v>-</v>
      </c>
      <c r="H39" s="35" t="str">
        <f>IFERROR(IF(VLOOKUP($B39,casostestes[#Data],6)=0,"-",VLOOKUP($B39,casostestes[#Data],6)),"-")</f>
        <v>-</v>
      </c>
      <c r="I39" s="35" t="str">
        <f>IFERROR(IF(VLOOKUP($B39,casostestes[#Data],8)=0,"-",VLOOKUP($B39,casostestes[#Data],8)),"-")</f>
        <v>-</v>
      </c>
      <c r="J39" s="35" t="str">
        <f>IFERROR(IF(VLOOKUP($B39,casostestes[#Data],9)=0,"-",VLOOKUP($B39,casostestes[#Data],9)),"-")</f>
        <v>-</v>
      </c>
      <c r="K39" s="36"/>
      <c r="L39" s="45"/>
      <c r="M39" s="37"/>
      <c r="N39" s="38"/>
      <c r="O39" s="38"/>
      <c r="P39" s="39"/>
    </row>
    <row r="40" spans="2:16">
      <c r="B40" s="40" t="str">
        <f>IF(ISERR(casostestes[[#This Row],[ID]]),"-",casostestes[[#This Row],[ID]])</f>
        <v>-</v>
      </c>
      <c r="C40" s="34" t="str">
        <f>IFERROR(IF(VLOOKUP($B40,casostestes[#Data],10)=0,"Não",VLOOKUP($B40,casostestes[#Data],10)), "-")</f>
        <v>-</v>
      </c>
      <c r="D40" s="35" t="str">
        <f>IFERROR(IF(VLOOKUP($B40,casostestes[#Data],2)=0,"-",VLOOKUP($B40,casostestes[#Data],2)), "-")</f>
        <v>-</v>
      </c>
      <c r="E40" s="35" t="str">
        <f>IFERROR(IF(VLOOKUP($B40,casostestes[#Data],3)=0,"-",VLOOKUP($B40,casostestes[#Data],3)), "-")</f>
        <v>-</v>
      </c>
      <c r="F40" s="35" t="str">
        <f>IFERROR(IF(VLOOKUP($B40,casostestes[#Data],4)=0,"-",VLOOKUP($B40,casostestes[#Data],4)),"-")</f>
        <v>-</v>
      </c>
      <c r="G40" s="35" t="str">
        <f>IFERROR(IF(VLOOKUP($B40,casostestes[#Data],5)=0,"-",VLOOKUP($B40,casostestes[#Data],5)),"-")</f>
        <v>-</v>
      </c>
      <c r="H40" s="35" t="str">
        <f>IFERROR(IF(VLOOKUP($B40,casostestes[#Data],6)=0,"-",VLOOKUP($B40,casostestes[#Data],6)),"-")</f>
        <v>-</v>
      </c>
      <c r="I40" s="35" t="str">
        <f>IFERROR(IF(VLOOKUP($B40,casostestes[#Data],8)=0,"-",VLOOKUP($B40,casostestes[#Data],8)),"-")</f>
        <v>-</v>
      </c>
      <c r="J40" s="35" t="str">
        <f>IFERROR(IF(VLOOKUP($B40,casostestes[#Data],9)=0,"-",VLOOKUP($B40,casostestes[#Data],9)),"-")</f>
        <v>-</v>
      </c>
      <c r="K40" s="36"/>
      <c r="L40" s="45"/>
      <c r="M40" s="37"/>
      <c r="N40" s="38"/>
      <c r="O40" s="38"/>
      <c r="P40" s="39"/>
    </row>
    <row r="41" spans="2:16">
      <c r="B41" s="40" t="str">
        <f>IF(ISERR(casostestes[[#This Row],[ID]]),"-",casostestes[[#This Row],[ID]])</f>
        <v>-</v>
      </c>
      <c r="C41" s="34" t="str">
        <f>IFERROR(IF(VLOOKUP($B41,casostestes[#Data],10)=0,"Não",VLOOKUP($B41,casostestes[#Data],10)), "-")</f>
        <v>-</v>
      </c>
      <c r="D41" s="35" t="str">
        <f>IFERROR(IF(VLOOKUP($B41,casostestes[#Data],2)=0,"-",VLOOKUP($B41,casostestes[#Data],2)), "-")</f>
        <v>-</v>
      </c>
      <c r="E41" s="35" t="str">
        <f>IFERROR(IF(VLOOKUP($B41,casostestes[#Data],3)=0,"-",VLOOKUP($B41,casostestes[#Data],3)), "-")</f>
        <v>-</v>
      </c>
      <c r="F41" s="35" t="str">
        <f>IFERROR(IF(VLOOKUP($B41,casostestes[#Data],4)=0,"-",VLOOKUP($B41,casostestes[#Data],4)),"-")</f>
        <v>-</v>
      </c>
      <c r="G41" s="35" t="str">
        <f>IFERROR(IF(VLOOKUP($B41,casostestes[#Data],5)=0,"-",VLOOKUP($B41,casostestes[#Data],5)),"-")</f>
        <v>-</v>
      </c>
      <c r="H41" s="35" t="str">
        <f>IFERROR(IF(VLOOKUP($B41,casostestes[#Data],6)=0,"-",VLOOKUP($B41,casostestes[#Data],6)),"-")</f>
        <v>-</v>
      </c>
      <c r="I41" s="35" t="str">
        <f>IFERROR(IF(VLOOKUP($B41,casostestes[#Data],8)=0,"-",VLOOKUP($B41,casostestes[#Data],8)),"-")</f>
        <v>-</v>
      </c>
      <c r="J41" s="35" t="str">
        <f>IFERROR(IF(VLOOKUP($B41,casostestes[#Data],9)=0,"-",VLOOKUP($B41,casostestes[#Data],9)),"-")</f>
        <v>-</v>
      </c>
      <c r="K41" s="36"/>
      <c r="L41" s="45"/>
      <c r="M41" s="37"/>
      <c r="N41" s="38"/>
      <c r="O41" s="38"/>
      <c r="P41" s="39"/>
    </row>
    <row r="42" spans="2:16">
      <c r="B42" s="40" t="str">
        <f>IF(ISERR(casostestes[[#This Row],[ID]]),"-",casostestes[[#This Row],[ID]])</f>
        <v>-</v>
      </c>
      <c r="C42" s="34" t="str">
        <f>IFERROR(IF(VLOOKUP($B42,casostestes[#Data],10)=0,"Não",VLOOKUP($B42,casostestes[#Data],10)), "-")</f>
        <v>-</v>
      </c>
      <c r="D42" s="35" t="str">
        <f>IFERROR(IF(VLOOKUP($B42,casostestes[#Data],2)=0,"-",VLOOKUP($B42,casostestes[#Data],2)), "-")</f>
        <v>-</v>
      </c>
      <c r="E42" s="35" t="str">
        <f>IFERROR(IF(VLOOKUP($B42,casostestes[#Data],3)=0,"-",VLOOKUP($B42,casostestes[#Data],3)), "-")</f>
        <v>-</v>
      </c>
      <c r="F42" s="35" t="str">
        <f>IFERROR(IF(VLOOKUP($B42,casostestes[#Data],4)=0,"-",VLOOKUP($B42,casostestes[#Data],4)),"-")</f>
        <v>-</v>
      </c>
      <c r="G42" s="35" t="str">
        <f>IFERROR(IF(VLOOKUP($B42,casostestes[#Data],5)=0,"-",VLOOKUP($B42,casostestes[#Data],5)),"-")</f>
        <v>-</v>
      </c>
      <c r="H42" s="35" t="str">
        <f>IFERROR(IF(VLOOKUP($B42,casostestes[#Data],6)=0,"-",VLOOKUP($B42,casostestes[#Data],6)),"-")</f>
        <v>-</v>
      </c>
      <c r="I42" s="35" t="str">
        <f>IFERROR(IF(VLOOKUP($B42,casostestes[#Data],8)=0,"-",VLOOKUP($B42,casostestes[#Data],8)),"-")</f>
        <v>-</v>
      </c>
      <c r="J42" s="35" t="str">
        <f>IFERROR(IF(VLOOKUP($B42,casostestes[#Data],9)=0,"-",VLOOKUP($B42,casostestes[#Data],9)),"-")</f>
        <v>-</v>
      </c>
      <c r="K42" s="36"/>
      <c r="L42" s="45"/>
      <c r="M42" s="37"/>
      <c r="N42" s="38"/>
      <c r="O42" s="38"/>
      <c r="P42" s="39"/>
    </row>
    <row r="43" spans="2:16">
      <c r="B43" s="40" t="str">
        <f>IF(ISERR(casostestes[[#This Row],[ID]]),"-",casostestes[[#This Row],[ID]])</f>
        <v>-</v>
      </c>
      <c r="C43" s="34" t="str">
        <f>IFERROR(IF(VLOOKUP($B43,casostestes[#Data],10)=0,"Não",VLOOKUP($B43,casostestes[#Data],10)), "-")</f>
        <v>-</v>
      </c>
      <c r="D43" s="35" t="str">
        <f>IFERROR(IF(VLOOKUP($B43,casostestes[#Data],2)=0,"-",VLOOKUP($B43,casostestes[#Data],2)), "-")</f>
        <v>-</v>
      </c>
      <c r="E43" s="35" t="str">
        <f>IFERROR(IF(VLOOKUP($B43,casostestes[#Data],3)=0,"-",VLOOKUP($B43,casostestes[#Data],3)), "-")</f>
        <v>-</v>
      </c>
      <c r="F43" s="35" t="str">
        <f>IFERROR(IF(VLOOKUP($B43,casostestes[#Data],4)=0,"-",VLOOKUP($B43,casostestes[#Data],4)),"-")</f>
        <v>-</v>
      </c>
      <c r="G43" s="35" t="str">
        <f>IFERROR(IF(VLOOKUP($B43,casostestes[#Data],5)=0,"-",VLOOKUP($B43,casostestes[#Data],5)),"-")</f>
        <v>-</v>
      </c>
      <c r="H43" s="35" t="str">
        <f>IFERROR(IF(VLOOKUP($B43,casostestes[#Data],6)=0,"-",VLOOKUP($B43,casostestes[#Data],6)),"-")</f>
        <v>-</v>
      </c>
      <c r="I43" s="35" t="str">
        <f>IFERROR(IF(VLOOKUP($B43,casostestes[#Data],8)=0,"-",VLOOKUP($B43,casostestes[#Data],8)),"-")</f>
        <v>-</v>
      </c>
      <c r="J43" s="35" t="str">
        <f>IFERROR(IF(VLOOKUP($B43,casostestes[#Data],9)=0,"-",VLOOKUP($B43,casostestes[#Data],9)),"-")</f>
        <v>-</v>
      </c>
      <c r="K43" s="36"/>
      <c r="L43" s="45"/>
      <c r="M43" s="37"/>
      <c r="N43" s="38"/>
      <c r="O43" s="38"/>
      <c r="P43" s="39"/>
    </row>
    <row r="44" spans="2:16">
      <c r="B44" s="40" t="str">
        <f>IF(ISERR(casostestes[[#This Row],[ID]]),"-",casostestes[[#This Row],[ID]])</f>
        <v>-</v>
      </c>
      <c r="C44" s="34" t="str">
        <f>IFERROR(IF(VLOOKUP($B44,casostestes[#Data],10)=0,"Não",VLOOKUP($B44,casostestes[#Data],10)), "-")</f>
        <v>-</v>
      </c>
      <c r="D44" s="35" t="str">
        <f>IFERROR(IF(VLOOKUP($B44,casostestes[#Data],2)=0,"-",VLOOKUP($B44,casostestes[#Data],2)), "-")</f>
        <v>-</v>
      </c>
      <c r="E44" s="35" t="str">
        <f>IFERROR(IF(VLOOKUP($B44,casostestes[#Data],3)=0,"-",VLOOKUP($B44,casostestes[#Data],3)), "-")</f>
        <v>-</v>
      </c>
      <c r="F44" s="35" t="str">
        <f>IFERROR(IF(VLOOKUP($B44,casostestes[#Data],4)=0,"-",VLOOKUP($B44,casostestes[#Data],4)),"-")</f>
        <v>-</v>
      </c>
      <c r="G44" s="35" t="str">
        <f>IFERROR(IF(VLOOKUP($B44,casostestes[#Data],5)=0,"-",VLOOKUP($B44,casostestes[#Data],5)),"-")</f>
        <v>-</v>
      </c>
      <c r="H44" s="35" t="str">
        <f>IFERROR(IF(VLOOKUP($B44,casostestes[#Data],6)=0,"-",VLOOKUP($B44,casostestes[#Data],6)),"-")</f>
        <v>-</v>
      </c>
      <c r="I44" s="35" t="str">
        <f>IFERROR(IF(VLOOKUP($B44,casostestes[#Data],8)=0,"-",VLOOKUP($B44,casostestes[#Data],8)),"-")</f>
        <v>-</v>
      </c>
      <c r="J44" s="35" t="str">
        <f>IFERROR(IF(VLOOKUP($B44,casostestes[#Data],9)=0,"-",VLOOKUP($B44,casostestes[#Data],9)),"-")</f>
        <v>-</v>
      </c>
      <c r="K44" s="36"/>
      <c r="L44" s="45"/>
      <c r="M44" s="37"/>
      <c r="N44" s="38"/>
      <c r="O44" s="38"/>
      <c r="P44" s="39"/>
    </row>
    <row r="45" spans="2:16">
      <c r="B45" s="40" t="str">
        <f>IF(ISERR(casostestes[[#This Row],[ID]]),"-",casostestes[[#This Row],[ID]])</f>
        <v>-</v>
      </c>
      <c r="C45" s="34" t="str">
        <f>IFERROR(IF(VLOOKUP($B45,casostestes[#Data],10)=0,"Não",VLOOKUP($B45,casostestes[#Data],10)), "-")</f>
        <v>-</v>
      </c>
      <c r="D45" s="35" t="str">
        <f>IFERROR(IF(VLOOKUP($B45,casostestes[#Data],2)=0,"-",VLOOKUP($B45,casostestes[#Data],2)), "-")</f>
        <v>-</v>
      </c>
      <c r="E45" s="35" t="str">
        <f>IFERROR(IF(VLOOKUP($B45,casostestes[#Data],3)=0,"-",VLOOKUP($B45,casostestes[#Data],3)), "-")</f>
        <v>-</v>
      </c>
      <c r="F45" s="35" t="str">
        <f>IFERROR(IF(VLOOKUP($B45,casostestes[#Data],4)=0,"-",VLOOKUP($B45,casostestes[#Data],4)),"-")</f>
        <v>-</v>
      </c>
      <c r="G45" s="35" t="str">
        <f>IFERROR(IF(VLOOKUP($B45,casostestes[#Data],5)=0,"-",VLOOKUP($B45,casostestes[#Data],5)),"-")</f>
        <v>-</v>
      </c>
      <c r="H45" s="35" t="str">
        <f>IFERROR(IF(VLOOKUP($B45,casostestes[#Data],6)=0,"-",VLOOKUP($B45,casostestes[#Data],6)),"-")</f>
        <v>-</v>
      </c>
      <c r="I45" s="35" t="str">
        <f>IFERROR(IF(VLOOKUP($B45,casostestes[#Data],8)=0,"-",VLOOKUP($B45,casostestes[#Data],8)),"-")</f>
        <v>-</v>
      </c>
      <c r="J45" s="35" t="str">
        <f>IFERROR(IF(VLOOKUP($B45,casostestes[#Data],9)=0,"-",VLOOKUP($B45,casostestes[#Data],9)),"-")</f>
        <v>-</v>
      </c>
      <c r="K45" s="36"/>
      <c r="L45" s="45"/>
      <c r="M45" s="37"/>
      <c r="N45" s="38"/>
      <c r="O45" s="38"/>
      <c r="P45" s="39"/>
    </row>
    <row r="46" spans="2:16">
      <c r="B46" s="40" t="str">
        <f>IF(ISERR(casostestes[[#This Row],[ID]]),"-",casostestes[[#This Row],[ID]])</f>
        <v>-</v>
      </c>
      <c r="C46" s="34" t="str">
        <f>IFERROR(IF(VLOOKUP($B46,casostestes[#Data],10)=0,"Não",VLOOKUP($B46,casostestes[#Data],10)), "-")</f>
        <v>-</v>
      </c>
      <c r="D46" s="35" t="str">
        <f>IFERROR(IF(VLOOKUP($B46,casostestes[#Data],2)=0,"-",VLOOKUP($B46,casostestes[#Data],2)), "-")</f>
        <v>-</v>
      </c>
      <c r="E46" s="35" t="str">
        <f>IFERROR(IF(VLOOKUP($B46,casostestes[#Data],3)=0,"-",VLOOKUP($B46,casostestes[#Data],3)), "-")</f>
        <v>-</v>
      </c>
      <c r="F46" s="35" t="str">
        <f>IFERROR(IF(VLOOKUP($B46,casostestes[#Data],4)=0,"-",VLOOKUP($B46,casostestes[#Data],4)),"-")</f>
        <v>-</v>
      </c>
      <c r="G46" s="35" t="str">
        <f>IFERROR(IF(VLOOKUP($B46,casostestes[#Data],5)=0,"-",VLOOKUP($B46,casostestes[#Data],5)),"-")</f>
        <v>-</v>
      </c>
      <c r="H46" s="35" t="str">
        <f>IFERROR(IF(VLOOKUP($B46,casostestes[#Data],6)=0,"-",VLOOKUP($B46,casostestes[#Data],6)),"-")</f>
        <v>-</v>
      </c>
      <c r="I46" s="35" t="str">
        <f>IFERROR(IF(VLOOKUP($B46,casostestes[#Data],8)=0,"-",VLOOKUP($B46,casostestes[#Data],8)),"-")</f>
        <v>-</v>
      </c>
      <c r="J46" s="35" t="str">
        <f>IFERROR(IF(VLOOKUP($B46,casostestes[#Data],9)=0,"-",VLOOKUP($B46,casostestes[#Data],9)),"-")</f>
        <v>-</v>
      </c>
      <c r="K46" s="36"/>
      <c r="L46" s="45"/>
      <c r="M46" s="37"/>
      <c r="N46" s="38"/>
      <c r="O46" s="38"/>
      <c r="P46" s="39"/>
    </row>
    <row r="47" spans="2:16">
      <c r="B47" s="40" t="str">
        <f>IF(ISERR(casostestes[[#This Row],[ID]]),"-",casostestes[[#This Row],[ID]])</f>
        <v>-</v>
      </c>
      <c r="C47" s="34" t="str">
        <f>IFERROR(IF(VLOOKUP($B47,casostestes[#Data],10)=0,"Não",VLOOKUP($B47,casostestes[#Data],10)), "-")</f>
        <v>-</v>
      </c>
      <c r="D47" s="35" t="str">
        <f>IFERROR(IF(VLOOKUP($B47,casostestes[#Data],2)=0,"-",VLOOKUP($B47,casostestes[#Data],2)), "-")</f>
        <v>-</v>
      </c>
      <c r="E47" s="35" t="str">
        <f>IFERROR(IF(VLOOKUP($B47,casostestes[#Data],3)=0,"-",VLOOKUP($B47,casostestes[#Data],3)), "-")</f>
        <v>-</v>
      </c>
      <c r="F47" s="35" t="str">
        <f>IFERROR(IF(VLOOKUP($B47,casostestes[#Data],4)=0,"-",VLOOKUP($B47,casostestes[#Data],4)),"-")</f>
        <v>-</v>
      </c>
      <c r="G47" s="35" t="str">
        <f>IFERROR(IF(VLOOKUP($B47,casostestes[#Data],5)=0,"-",VLOOKUP($B47,casostestes[#Data],5)),"-")</f>
        <v>-</v>
      </c>
      <c r="H47" s="35" t="str">
        <f>IFERROR(IF(VLOOKUP($B47,casostestes[#Data],6)=0,"-",VLOOKUP($B47,casostestes[#Data],6)),"-")</f>
        <v>-</v>
      </c>
      <c r="I47" s="35" t="str">
        <f>IFERROR(IF(VLOOKUP($B47,casostestes[#Data],8)=0,"-",VLOOKUP($B47,casostestes[#Data],8)),"-")</f>
        <v>-</v>
      </c>
      <c r="J47" s="35" t="str">
        <f>IFERROR(IF(VLOOKUP($B47,casostestes[#Data],9)=0,"-",VLOOKUP($B47,casostestes[#Data],9)),"-")</f>
        <v>-</v>
      </c>
      <c r="K47" s="36"/>
      <c r="L47" s="45"/>
      <c r="M47" s="37"/>
      <c r="N47" s="38"/>
      <c r="O47" s="38"/>
      <c r="P47" s="39"/>
    </row>
    <row r="48" spans="2:16">
      <c r="B48" s="40" t="str">
        <f>IF(ISERR(casostestes[[#This Row],[ID]]),"-",casostestes[[#This Row],[ID]])</f>
        <v>-</v>
      </c>
      <c r="C48" s="34" t="str">
        <f>IFERROR(IF(VLOOKUP($B48,casostestes[#Data],10)=0,"Não",VLOOKUP($B48,casostestes[#Data],10)), "-")</f>
        <v>-</v>
      </c>
      <c r="D48" s="35" t="str">
        <f>IFERROR(IF(VLOOKUP($B48,casostestes[#Data],2)=0,"-",VLOOKUP($B48,casostestes[#Data],2)), "-")</f>
        <v>-</v>
      </c>
      <c r="E48" s="35" t="str">
        <f>IFERROR(IF(VLOOKUP($B48,casostestes[#Data],3)=0,"-",VLOOKUP($B48,casostestes[#Data],3)), "-")</f>
        <v>-</v>
      </c>
      <c r="F48" s="35" t="str">
        <f>IFERROR(IF(VLOOKUP($B48,casostestes[#Data],4)=0,"-",VLOOKUP($B48,casostestes[#Data],4)),"-")</f>
        <v>-</v>
      </c>
      <c r="G48" s="35" t="str">
        <f>IFERROR(IF(VLOOKUP($B48,casostestes[#Data],5)=0,"-",VLOOKUP($B48,casostestes[#Data],5)),"-")</f>
        <v>-</v>
      </c>
      <c r="H48" s="35" t="str">
        <f>IFERROR(IF(VLOOKUP($B48,casostestes[#Data],6)=0,"-",VLOOKUP($B48,casostestes[#Data],6)),"-")</f>
        <v>-</v>
      </c>
      <c r="I48" s="35" t="str">
        <f>IFERROR(IF(VLOOKUP($B48,casostestes[#Data],8)=0,"-",VLOOKUP($B48,casostestes[#Data],8)),"-")</f>
        <v>-</v>
      </c>
      <c r="J48" s="35" t="str">
        <f>IFERROR(IF(VLOOKUP($B48,casostestes[#Data],9)=0,"-",VLOOKUP($B48,casostestes[#Data],9)),"-")</f>
        <v>-</v>
      </c>
      <c r="K48" s="36"/>
      <c r="L48" s="45"/>
      <c r="M48" s="37"/>
      <c r="N48" s="38"/>
      <c r="O48" s="38"/>
      <c r="P48" s="39"/>
    </row>
    <row r="49" spans="2:16">
      <c r="B49" s="40" t="str">
        <f>IF(ISERR(casostestes[[#This Row],[ID]]),"-",casostestes[[#This Row],[ID]])</f>
        <v>-</v>
      </c>
      <c r="C49" s="34" t="str">
        <f>IFERROR(IF(VLOOKUP($B49,casostestes[#Data],10)=0,"Não",VLOOKUP($B49,casostestes[#Data],10)), "-")</f>
        <v>-</v>
      </c>
      <c r="D49" s="35" t="str">
        <f>IFERROR(IF(VLOOKUP($B49,casostestes[#Data],2)=0,"-",VLOOKUP($B49,casostestes[#Data],2)), "-")</f>
        <v>-</v>
      </c>
      <c r="E49" s="35" t="str">
        <f>IFERROR(IF(VLOOKUP($B49,casostestes[#Data],3)=0,"-",VLOOKUP($B49,casostestes[#Data],3)), "-")</f>
        <v>-</v>
      </c>
      <c r="F49" s="35" t="str">
        <f>IFERROR(IF(VLOOKUP($B49,casostestes[#Data],4)=0,"-",VLOOKUP($B49,casostestes[#Data],4)),"-")</f>
        <v>-</v>
      </c>
      <c r="G49" s="35" t="str">
        <f>IFERROR(IF(VLOOKUP($B49,casostestes[#Data],5)=0,"-",VLOOKUP($B49,casostestes[#Data],5)),"-")</f>
        <v>-</v>
      </c>
      <c r="H49" s="35" t="str">
        <f>IFERROR(IF(VLOOKUP($B49,casostestes[#Data],6)=0,"-",VLOOKUP($B49,casostestes[#Data],6)),"-")</f>
        <v>-</v>
      </c>
      <c r="I49" s="35" t="str">
        <f>IFERROR(IF(VLOOKUP($B49,casostestes[#Data],8)=0,"-",VLOOKUP($B49,casostestes[#Data],8)),"-")</f>
        <v>-</v>
      </c>
      <c r="J49" s="35" t="str">
        <f>IFERROR(IF(VLOOKUP($B49,casostestes[#Data],9)=0,"-",VLOOKUP($B49,casostestes[#Data],9)),"-")</f>
        <v>-</v>
      </c>
      <c r="K49" s="36"/>
      <c r="L49" s="45"/>
      <c r="M49" s="37"/>
      <c r="N49" s="38"/>
      <c r="O49" s="38"/>
      <c r="P49" s="39"/>
    </row>
    <row r="50" spans="2:16">
      <c r="B50" s="40" t="str">
        <f>IF(ISERR(casostestes[[#This Row],[ID]]),"-",casostestes[[#This Row],[ID]])</f>
        <v>-</v>
      </c>
      <c r="C50" s="34" t="str">
        <f>IFERROR(IF(VLOOKUP($B50,casostestes[#Data],10)=0,"Não",VLOOKUP($B50,casostestes[#Data],10)), "-")</f>
        <v>-</v>
      </c>
      <c r="D50" s="35" t="str">
        <f>IFERROR(IF(VLOOKUP($B50,casostestes[#Data],2)=0,"-",VLOOKUP($B50,casostestes[#Data],2)), "-")</f>
        <v>-</v>
      </c>
      <c r="E50" s="35" t="str">
        <f>IFERROR(IF(VLOOKUP($B50,casostestes[#Data],3)=0,"-",VLOOKUP($B50,casostestes[#Data],3)), "-")</f>
        <v>-</v>
      </c>
      <c r="F50" s="35" t="str">
        <f>IFERROR(IF(VLOOKUP($B50,casostestes[#Data],4)=0,"-",VLOOKUP($B50,casostestes[#Data],4)),"-")</f>
        <v>-</v>
      </c>
      <c r="G50" s="35" t="str">
        <f>IFERROR(IF(VLOOKUP($B50,casostestes[#Data],5)=0,"-",VLOOKUP($B50,casostestes[#Data],5)),"-")</f>
        <v>-</v>
      </c>
      <c r="H50" s="35" t="str">
        <f>IFERROR(IF(VLOOKUP($B50,casostestes[#Data],6)=0,"-",VLOOKUP($B50,casostestes[#Data],6)),"-")</f>
        <v>-</v>
      </c>
      <c r="I50" s="35" t="str">
        <f>IFERROR(IF(VLOOKUP($B50,casostestes[#Data],8)=0,"-",VLOOKUP($B50,casostestes[#Data],8)),"-")</f>
        <v>-</v>
      </c>
      <c r="J50" s="35" t="str">
        <f>IFERROR(IF(VLOOKUP($B50,casostestes[#Data],9)=0,"-",VLOOKUP($B50,casostestes[#Data],9)),"-")</f>
        <v>-</v>
      </c>
      <c r="K50" s="36"/>
      <c r="L50" s="45"/>
      <c r="M50" s="37"/>
      <c r="N50" s="38"/>
      <c r="O50" s="38"/>
      <c r="P50" s="39"/>
    </row>
    <row r="51" spans="2:16">
      <c r="B51" s="40" t="str">
        <f>IF(ISERR(casostestes[[#This Row],[ID]]),"-",casostestes[[#This Row],[ID]])</f>
        <v>-</v>
      </c>
      <c r="C51" s="34" t="str">
        <f>IFERROR(IF(VLOOKUP($B51,casostestes[#Data],10)=0,"Não",VLOOKUP($B51,casostestes[#Data],10)), "-")</f>
        <v>-</v>
      </c>
      <c r="D51" s="35" t="str">
        <f>IFERROR(IF(VLOOKUP($B51,casostestes[#Data],2)=0,"-",VLOOKUP($B51,casostestes[#Data],2)), "-")</f>
        <v>-</v>
      </c>
      <c r="E51" s="35" t="str">
        <f>IFERROR(IF(VLOOKUP($B51,casostestes[#Data],3)=0,"-",VLOOKUP($B51,casostestes[#Data],3)), "-")</f>
        <v>-</v>
      </c>
      <c r="F51" s="35" t="str">
        <f>IFERROR(IF(VLOOKUP($B51,casostestes[#Data],4)=0,"-",VLOOKUP($B51,casostestes[#Data],4)),"-")</f>
        <v>-</v>
      </c>
      <c r="G51" s="35" t="str">
        <f>IFERROR(IF(VLOOKUP($B51,casostestes[#Data],5)=0,"-",VLOOKUP($B51,casostestes[#Data],5)),"-")</f>
        <v>-</v>
      </c>
      <c r="H51" s="35" t="str">
        <f>IFERROR(IF(VLOOKUP($B51,casostestes[#Data],6)=0,"-",VLOOKUP($B51,casostestes[#Data],6)),"-")</f>
        <v>-</v>
      </c>
      <c r="I51" s="35" t="str">
        <f>IFERROR(IF(VLOOKUP($B51,casostestes[#Data],8)=0,"-",VLOOKUP($B51,casostestes[#Data],8)),"-")</f>
        <v>-</v>
      </c>
      <c r="J51" s="35" t="str">
        <f>IFERROR(IF(VLOOKUP($B51,casostestes[#Data],9)=0,"-",VLOOKUP($B51,casostestes[#Data],9)),"-")</f>
        <v>-</v>
      </c>
      <c r="K51" s="36"/>
      <c r="L51" s="45"/>
      <c r="M51" s="37"/>
      <c r="N51" s="38"/>
      <c r="O51" s="38"/>
      <c r="P51" s="39"/>
    </row>
    <row r="52" spans="2:16">
      <c r="B52" s="40" t="str">
        <f>IF(ISERR(casostestes[[#This Row],[ID]]),"-",casostestes[[#This Row],[ID]])</f>
        <v>-</v>
      </c>
      <c r="C52" s="34" t="str">
        <f>IFERROR(IF(VLOOKUP($B52,casostestes[#Data],10)=0,"Não",VLOOKUP($B52,casostestes[#Data],10)), "-")</f>
        <v>-</v>
      </c>
      <c r="D52" s="35" t="str">
        <f>IFERROR(IF(VLOOKUP($B52,casostestes[#Data],2)=0,"-",VLOOKUP($B52,casostestes[#Data],2)), "-")</f>
        <v>-</v>
      </c>
      <c r="E52" s="35" t="str">
        <f>IFERROR(IF(VLOOKUP($B52,casostestes[#Data],3)=0,"-",VLOOKUP($B52,casostestes[#Data],3)), "-")</f>
        <v>-</v>
      </c>
      <c r="F52" s="35" t="str">
        <f>IFERROR(IF(VLOOKUP($B52,casostestes[#Data],4)=0,"-",VLOOKUP($B52,casostestes[#Data],4)),"-")</f>
        <v>-</v>
      </c>
      <c r="G52" s="35" t="str">
        <f>IFERROR(IF(VLOOKUP($B52,casostestes[#Data],5)=0,"-",VLOOKUP($B52,casostestes[#Data],5)),"-")</f>
        <v>-</v>
      </c>
      <c r="H52" s="35" t="str">
        <f>IFERROR(IF(VLOOKUP($B52,casostestes[#Data],6)=0,"-",VLOOKUP($B52,casostestes[#Data],6)),"-")</f>
        <v>-</v>
      </c>
      <c r="I52" s="35" t="str">
        <f>IFERROR(IF(VLOOKUP($B52,casostestes[#Data],8)=0,"-",VLOOKUP($B52,casostestes[#Data],8)),"-")</f>
        <v>-</v>
      </c>
      <c r="J52" s="35" t="str">
        <f>IFERROR(IF(VLOOKUP($B52,casostestes[#Data],9)=0,"-",VLOOKUP($B52,casostestes[#Data],9)),"-")</f>
        <v>-</v>
      </c>
      <c r="K52" s="36"/>
      <c r="L52" s="45"/>
      <c r="M52" s="37"/>
      <c r="N52" s="38"/>
      <c r="O52" s="38"/>
      <c r="P52" s="39"/>
    </row>
    <row r="53" spans="2:16">
      <c r="B53" s="40" t="str">
        <f>IF(ISERR(casostestes[[#This Row],[ID]]),"-",casostestes[[#This Row],[ID]])</f>
        <v>-</v>
      </c>
      <c r="C53" s="34" t="str">
        <f>IFERROR(IF(VLOOKUP($B53,casostestes[#Data],10)=0,"Não",VLOOKUP($B53,casostestes[#Data],10)), "-")</f>
        <v>-</v>
      </c>
      <c r="D53" s="35" t="str">
        <f>IFERROR(IF(VLOOKUP($B53,casostestes[#Data],2)=0,"-",VLOOKUP($B53,casostestes[#Data],2)), "-")</f>
        <v>-</v>
      </c>
      <c r="E53" s="35" t="str">
        <f>IFERROR(IF(VLOOKUP($B53,casostestes[#Data],3)=0,"-",VLOOKUP($B53,casostestes[#Data],3)), "-")</f>
        <v>-</v>
      </c>
      <c r="F53" s="35" t="str">
        <f>IFERROR(IF(VLOOKUP($B53,casostestes[#Data],4)=0,"-",VLOOKUP($B53,casostestes[#Data],4)),"-")</f>
        <v>-</v>
      </c>
      <c r="G53" s="35" t="str">
        <f>IFERROR(IF(VLOOKUP($B53,casostestes[#Data],5)=0,"-",VLOOKUP($B53,casostestes[#Data],5)),"-")</f>
        <v>-</v>
      </c>
      <c r="H53" s="35" t="str">
        <f>IFERROR(IF(VLOOKUP($B53,casostestes[#Data],6)=0,"-",VLOOKUP($B53,casostestes[#Data],6)),"-")</f>
        <v>-</v>
      </c>
      <c r="I53" s="35" t="str">
        <f>IFERROR(IF(VLOOKUP($B53,casostestes[#Data],8)=0,"-",VLOOKUP($B53,casostestes[#Data],8)),"-")</f>
        <v>-</v>
      </c>
      <c r="J53" s="35" t="str">
        <f>IFERROR(IF(VLOOKUP($B53,casostestes[#Data],9)=0,"-",VLOOKUP($B53,casostestes[#Data],9)),"-")</f>
        <v>-</v>
      </c>
      <c r="K53" s="36"/>
      <c r="L53" s="45"/>
      <c r="M53" s="37"/>
      <c r="N53" s="38"/>
      <c r="O53" s="38"/>
      <c r="P53" s="39"/>
    </row>
    <row r="54" spans="2:16">
      <c r="B54" s="40" t="str">
        <f>IF(ISERR(casostestes[[#This Row],[ID]]),"-",casostestes[[#This Row],[ID]])</f>
        <v>-</v>
      </c>
      <c r="C54" s="34" t="str">
        <f>IFERROR(IF(VLOOKUP($B54,casostestes[#Data],10)=0,"Não",VLOOKUP($B54,casostestes[#Data],10)), "-")</f>
        <v>-</v>
      </c>
      <c r="D54" s="35" t="str">
        <f>IFERROR(IF(VLOOKUP($B54,casostestes[#Data],2)=0,"-",VLOOKUP($B54,casostestes[#Data],2)), "-")</f>
        <v>-</v>
      </c>
      <c r="E54" s="35" t="str">
        <f>IFERROR(IF(VLOOKUP($B54,casostestes[#Data],3)=0,"-",VLOOKUP($B54,casostestes[#Data],3)), "-")</f>
        <v>-</v>
      </c>
      <c r="F54" s="35" t="str">
        <f>IFERROR(IF(VLOOKUP($B54,casostestes[#Data],4)=0,"-",VLOOKUP($B54,casostestes[#Data],4)),"-")</f>
        <v>-</v>
      </c>
      <c r="G54" s="35" t="str">
        <f>IFERROR(IF(VLOOKUP($B54,casostestes[#Data],5)=0,"-",VLOOKUP($B54,casostestes[#Data],5)),"-")</f>
        <v>-</v>
      </c>
      <c r="H54" s="35" t="str">
        <f>IFERROR(IF(VLOOKUP($B54,casostestes[#Data],6)=0,"-",VLOOKUP($B54,casostestes[#Data],6)),"-")</f>
        <v>-</v>
      </c>
      <c r="I54" s="35" t="str">
        <f>IFERROR(IF(VLOOKUP($B54,casostestes[#Data],8)=0,"-",VLOOKUP($B54,casostestes[#Data],8)),"-")</f>
        <v>-</v>
      </c>
      <c r="J54" s="35" t="str">
        <f>IFERROR(IF(VLOOKUP($B54,casostestes[#Data],9)=0,"-",VLOOKUP($B54,casostestes[#Data],9)),"-")</f>
        <v>-</v>
      </c>
      <c r="K54" s="36"/>
      <c r="L54" s="45"/>
      <c r="M54" s="37"/>
      <c r="N54" s="38"/>
      <c r="O54" s="38"/>
      <c r="P54" s="39"/>
    </row>
    <row r="55" spans="2:16">
      <c r="B55" s="40" t="str">
        <f>IF(ISERR(casostestes[[#This Row],[ID]]),"-",casostestes[[#This Row],[ID]])</f>
        <v>-</v>
      </c>
      <c r="C55" s="34" t="str">
        <f>IFERROR(IF(VLOOKUP($B55,casostestes[#Data],10)=0,"Não",VLOOKUP($B55,casostestes[#Data],10)), "-")</f>
        <v>-</v>
      </c>
      <c r="D55" s="35" t="str">
        <f>IFERROR(IF(VLOOKUP($B55,casostestes[#Data],2)=0,"-",VLOOKUP($B55,casostestes[#Data],2)), "-")</f>
        <v>-</v>
      </c>
      <c r="E55" s="35" t="str">
        <f>IFERROR(IF(VLOOKUP($B55,casostestes[#Data],3)=0,"-",VLOOKUP($B55,casostestes[#Data],3)), "-")</f>
        <v>-</v>
      </c>
      <c r="F55" s="35" t="str">
        <f>IFERROR(IF(VLOOKUP($B55,casostestes[#Data],4)=0,"-",VLOOKUP($B55,casostestes[#Data],4)),"-")</f>
        <v>-</v>
      </c>
      <c r="G55" s="35" t="str">
        <f>IFERROR(IF(VLOOKUP($B55,casostestes[#Data],5)=0,"-",VLOOKUP($B55,casostestes[#Data],5)),"-")</f>
        <v>-</v>
      </c>
      <c r="H55" s="35" t="str">
        <f>IFERROR(IF(VLOOKUP($B55,casostestes[#Data],6)=0,"-",VLOOKUP($B55,casostestes[#Data],6)),"-")</f>
        <v>-</v>
      </c>
      <c r="I55" s="35" t="str">
        <f>IFERROR(IF(VLOOKUP($B55,casostestes[#Data],8)=0,"-",VLOOKUP($B55,casostestes[#Data],8)),"-")</f>
        <v>-</v>
      </c>
      <c r="J55" s="35" t="str">
        <f>IFERROR(IF(VLOOKUP($B55,casostestes[#Data],9)=0,"-",VLOOKUP($B55,casostestes[#Data],9)),"-")</f>
        <v>-</v>
      </c>
      <c r="K55" s="36"/>
      <c r="L55" s="45"/>
      <c r="M55" s="37"/>
      <c r="N55" s="38"/>
      <c r="O55" s="38"/>
      <c r="P55" s="39"/>
    </row>
    <row r="56" spans="2:16">
      <c r="B56" s="40" t="str">
        <f>IF(ISERR(casostestes[[#This Row],[ID]]),"-",casostestes[[#This Row],[ID]])</f>
        <v>-</v>
      </c>
      <c r="C56" s="34" t="str">
        <f>IFERROR(IF(VLOOKUP($B56,casostestes[#Data],10)=0,"Não",VLOOKUP($B56,casostestes[#Data],10)), "-")</f>
        <v>-</v>
      </c>
      <c r="D56" s="35" t="str">
        <f>IFERROR(IF(VLOOKUP($B56,casostestes[#Data],2)=0,"-",VLOOKUP($B56,casostestes[#Data],2)), "-")</f>
        <v>-</v>
      </c>
      <c r="E56" s="35" t="str">
        <f>IFERROR(IF(VLOOKUP($B56,casostestes[#Data],3)=0,"-",VLOOKUP($B56,casostestes[#Data],3)), "-")</f>
        <v>-</v>
      </c>
      <c r="F56" s="35" t="str">
        <f>IFERROR(IF(VLOOKUP($B56,casostestes[#Data],4)=0,"-",VLOOKUP($B56,casostestes[#Data],4)),"-")</f>
        <v>-</v>
      </c>
      <c r="G56" s="35" t="str">
        <f>IFERROR(IF(VLOOKUP($B56,casostestes[#Data],5)=0,"-",VLOOKUP($B56,casostestes[#Data],5)),"-")</f>
        <v>-</v>
      </c>
      <c r="H56" s="35" t="str">
        <f>IFERROR(IF(VLOOKUP($B56,casostestes[#Data],6)=0,"-",VLOOKUP($B56,casostestes[#Data],6)),"-")</f>
        <v>-</v>
      </c>
      <c r="I56" s="35" t="str">
        <f>IFERROR(IF(VLOOKUP($B56,casostestes[#Data],8)=0,"-",VLOOKUP($B56,casostestes[#Data],8)),"-")</f>
        <v>-</v>
      </c>
      <c r="J56" s="35" t="str">
        <f>IFERROR(IF(VLOOKUP($B56,casostestes[#Data],9)=0,"-",VLOOKUP($B56,casostestes[#Data],9)),"-")</f>
        <v>-</v>
      </c>
      <c r="K56" s="36"/>
      <c r="L56" s="45"/>
      <c r="M56" s="37"/>
      <c r="N56" s="38"/>
      <c r="O56" s="38"/>
      <c r="P56" s="39"/>
    </row>
    <row r="57" spans="2:16">
      <c r="B57" s="40" t="str">
        <f>IF(ISERR(casostestes[[#This Row],[ID]]),"-",casostestes[[#This Row],[ID]])</f>
        <v>-</v>
      </c>
      <c r="C57" s="34" t="str">
        <f>IFERROR(IF(VLOOKUP($B57,casostestes[#Data],10)=0,"Não",VLOOKUP($B57,casostestes[#Data],10)), "-")</f>
        <v>-</v>
      </c>
      <c r="D57" s="35" t="str">
        <f>IFERROR(IF(VLOOKUP($B57,casostestes[#Data],2)=0,"-",VLOOKUP($B57,casostestes[#Data],2)), "-")</f>
        <v>-</v>
      </c>
      <c r="E57" s="35" t="str">
        <f>IFERROR(IF(VLOOKUP($B57,casostestes[#Data],3)=0,"-",VLOOKUP($B57,casostestes[#Data],3)), "-")</f>
        <v>-</v>
      </c>
      <c r="F57" s="35" t="str">
        <f>IFERROR(IF(VLOOKUP($B57,casostestes[#Data],4)=0,"-",VLOOKUP($B57,casostestes[#Data],4)),"-")</f>
        <v>-</v>
      </c>
      <c r="G57" s="35" t="str">
        <f>IFERROR(IF(VLOOKUP($B57,casostestes[#Data],5)=0,"-",VLOOKUP($B57,casostestes[#Data],5)),"-")</f>
        <v>-</v>
      </c>
      <c r="H57" s="35" t="str">
        <f>IFERROR(IF(VLOOKUP($B57,casostestes[#Data],6)=0,"-",VLOOKUP($B57,casostestes[#Data],6)),"-")</f>
        <v>-</v>
      </c>
      <c r="I57" s="35" t="str">
        <f>IFERROR(IF(VLOOKUP($B57,casostestes[#Data],8)=0,"-",VLOOKUP($B57,casostestes[#Data],8)),"-")</f>
        <v>-</v>
      </c>
      <c r="J57" s="35" t="str">
        <f>IFERROR(IF(VLOOKUP($B57,casostestes[#Data],9)=0,"-",VLOOKUP($B57,casostestes[#Data],9)),"-")</f>
        <v>-</v>
      </c>
      <c r="K57" s="36"/>
      <c r="L57" s="45"/>
      <c r="M57" s="37"/>
      <c r="N57" s="38"/>
      <c r="O57" s="38"/>
      <c r="P57" s="39"/>
    </row>
    <row r="58" spans="2:16">
      <c r="B58" s="40" t="str">
        <f>IF(ISERR(casostestes[[#This Row],[ID]]),"-",casostestes[[#This Row],[ID]])</f>
        <v>-</v>
      </c>
      <c r="C58" s="34" t="str">
        <f>IFERROR(IF(VLOOKUP($B58,casostestes[#Data],10)=0,"Não",VLOOKUP($B58,casostestes[#Data],10)), "-")</f>
        <v>-</v>
      </c>
      <c r="D58" s="35" t="str">
        <f>IFERROR(IF(VLOOKUP($B58,casostestes[#Data],2)=0,"-",VLOOKUP($B58,casostestes[#Data],2)), "-")</f>
        <v>-</v>
      </c>
      <c r="E58" s="35" t="str">
        <f>IFERROR(IF(VLOOKUP($B58,casostestes[#Data],3)=0,"-",VLOOKUP($B58,casostestes[#Data],3)), "-")</f>
        <v>-</v>
      </c>
      <c r="F58" s="35" t="str">
        <f>IFERROR(IF(VLOOKUP($B58,casostestes[#Data],4)=0,"-",VLOOKUP($B58,casostestes[#Data],4)),"-")</f>
        <v>-</v>
      </c>
      <c r="G58" s="35" t="str">
        <f>IFERROR(IF(VLOOKUP($B58,casostestes[#Data],5)=0,"-",VLOOKUP($B58,casostestes[#Data],5)),"-")</f>
        <v>-</v>
      </c>
      <c r="H58" s="35" t="str">
        <f>IFERROR(IF(VLOOKUP($B58,casostestes[#Data],6)=0,"-",VLOOKUP($B58,casostestes[#Data],6)),"-")</f>
        <v>-</v>
      </c>
      <c r="I58" s="35" t="str">
        <f>IFERROR(IF(VLOOKUP($B58,casostestes[#Data],8)=0,"-",VLOOKUP($B58,casostestes[#Data],8)),"-")</f>
        <v>-</v>
      </c>
      <c r="J58" s="35" t="str">
        <f>IFERROR(IF(VLOOKUP($B58,casostestes[#Data],9)=0,"-",VLOOKUP($B58,casostestes[#Data],9)),"-")</f>
        <v>-</v>
      </c>
      <c r="K58" s="36"/>
      <c r="L58" s="45"/>
      <c r="M58" s="37"/>
      <c r="N58" s="38"/>
      <c r="O58" s="38"/>
      <c r="P58" s="39"/>
    </row>
    <row r="59" spans="2:16">
      <c r="B59" s="40" t="str">
        <f>IF(ISERR(casostestes[[#This Row],[ID]]),"-",casostestes[[#This Row],[ID]])</f>
        <v>-</v>
      </c>
      <c r="C59" s="34" t="str">
        <f>IFERROR(IF(VLOOKUP($B59,casostestes[#Data],10)=0,"Não",VLOOKUP($B59,casostestes[#Data],10)), "-")</f>
        <v>-</v>
      </c>
      <c r="D59" s="35" t="str">
        <f>IFERROR(IF(VLOOKUP($B59,casostestes[#Data],2)=0,"-",VLOOKUP($B59,casostestes[#Data],2)), "-")</f>
        <v>-</v>
      </c>
      <c r="E59" s="35" t="str">
        <f>IFERROR(IF(VLOOKUP($B59,casostestes[#Data],3)=0,"-",VLOOKUP($B59,casostestes[#Data],3)), "-")</f>
        <v>-</v>
      </c>
      <c r="F59" s="35" t="str">
        <f>IFERROR(IF(VLOOKUP($B59,casostestes[#Data],4)=0,"-",VLOOKUP($B59,casostestes[#Data],4)),"-")</f>
        <v>-</v>
      </c>
      <c r="G59" s="35" t="str">
        <f>IFERROR(IF(VLOOKUP($B59,casostestes[#Data],5)=0,"-",VLOOKUP($B59,casostestes[#Data],5)),"-")</f>
        <v>-</v>
      </c>
      <c r="H59" s="35" t="str">
        <f>IFERROR(IF(VLOOKUP($B59,casostestes[#Data],6)=0,"-",VLOOKUP($B59,casostestes[#Data],6)),"-")</f>
        <v>-</v>
      </c>
      <c r="I59" s="35" t="str">
        <f>IFERROR(IF(VLOOKUP($B59,casostestes[#Data],8)=0,"-",VLOOKUP($B59,casostestes[#Data],8)),"-")</f>
        <v>-</v>
      </c>
      <c r="J59" s="35" t="str">
        <f>IFERROR(IF(VLOOKUP($B59,casostestes[#Data],9)=0,"-",VLOOKUP($B59,casostestes[#Data],9)),"-")</f>
        <v>-</v>
      </c>
      <c r="K59" s="36"/>
      <c r="L59" s="45"/>
      <c r="M59" s="37"/>
      <c r="N59" s="38"/>
      <c r="O59" s="38"/>
      <c r="P59" s="39"/>
    </row>
    <row r="60" spans="2:16">
      <c r="B60" s="40" t="str">
        <f>IF(ISERR(casostestes[[#This Row],[ID]]),"-",casostestes[[#This Row],[ID]])</f>
        <v>-</v>
      </c>
      <c r="C60" s="34" t="str">
        <f>IFERROR(IF(VLOOKUP($B60,casostestes[#Data],10)=0,"Não",VLOOKUP($B60,casostestes[#Data],10)), "-")</f>
        <v>-</v>
      </c>
      <c r="D60" s="35" t="str">
        <f>IFERROR(IF(VLOOKUP($B60,casostestes[#Data],2)=0,"-",VLOOKUP($B60,casostestes[#Data],2)), "-")</f>
        <v>-</v>
      </c>
      <c r="E60" s="35" t="str">
        <f>IFERROR(IF(VLOOKUP($B60,casostestes[#Data],3)=0,"-",VLOOKUP($B60,casostestes[#Data],3)), "-")</f>
        <v>-</v>
      </c>
      <c r="F60" s="35" t="str">
        <f>IFERROR(IF(VLOOKUP($B60,casostestes[#Data],4)=0,"-",VLOOKUP($B60,casostestes[#Data],4)),"-")</f>
        <v>-</v>
      </c>
      <c r="G60" s="35" t="str">
        <f>IFERROR(IF(VLOOKUP($B60,casostestes[#Data],5)=0,"-",VLOOKUP($B60,casostestes[#Data],5)),"-")</f>
        <v>-</v>
      </c>
      <c r="H60" s="35" t="str">
        <f>IFERROR(IF(VLOOKUP($B60,casostestes[#Data],6)=0,"-",VLOOKUP($B60,casostestes[#Data],6)),"-")</f>
        <v>-</v>
      </c>
      <c r="I60" s="35" t="str">
        <f>IFERROR(IF(VLOOKUP($B60,casostestes[#Data],8)=0,"-",VLOOKUP($B60,casostestes[#Data],8)),"-")</f>
        <v>-</v>
      </c>
      <c r="J60" s="35" t="str">
        <f>IFERROR(IF(VLOOKUP($B60,casostestes[#Data],9)=0,"-",VLOOKUP($B60,casostestes[#Data],9)),"-")</f>
        <v>-</v>
      </c>
      <c r="K60" s="36"/>
      <c r="L60" s="45"/>
      <c r="M60" s="37"/>
      <c r="N60" s="38"/>
      <c r="O60" s="38"/>
      <c r="P60" s="39"/>
    </row>
    <row r="61" spans="2:16">
      <c r="B61" s="40" t="str">
        <f>IF(ISERR(casostestes[[#This Row],[ID]]),"-",casostestes[[#This Row],[ID]])</f>
        <v>-</v>
      </c>
      <c r="C61" s="34" t="str">
        <f>IFERROR(IF(VLOOKUP($B61,casostestes[#Data],10)=0,"Não",VLOOKUP($B61,casostestes[#Data],10)), "-")</f>
        <v>-</v>
      </c>
      <c r="D61" s="35" t="str">
        <f>IFERROR(IF(VLOOKUP($B61,casostestes[#Data],2)=0,"-",VLOOKUP($B61,casostestes[#Data],2)), "-")</f>
        <v>-</v>
      </c>
      <c r="E61" s="35" t="str">
        <f>IFERROR(IF(VLOOKUP($B61,casostestes[#Data],3)=0,"-",VLOOKUP($B61,casostestes[#Data],3)), "-")</f>
        <v>-</v>
      </c>
      <c r="F61" s="35" t="str">
        <f>IFERROR(IF(VLOOKUP($B61,casostestes[#Data],4)=0,"-",VLOOKUP($B61,casostestes[#Data],4)),"-")</f>
        <v>-</v>
      </c>
      <c r="G61" s="35" t="str">
        <f>IFERROR(IF(VLOOKUP($B61,casostestes[#Data],5)=0,"-",VLOOKUP($B61,casostestes[#Data],5)),"-")</f>
        <v>-</v>
      </c>
      <c r="H61" s="35" t="str">
        <f>IFERROR(IF(VLOOKUP($B61,casostestes[#Data],6)=0,"-",VLOOKUP($B61,casostestes[#Data],6)),"-")</f>
        <v>-</v>
      </c>
      <c r="I61" s="35" t="str">
        <f>IFERROR(IF(VLOOKUP($B61,casostestes[#Data],8)=0,"-",VLOOKUP($B61,casostestes[#Data],8)),"-")</f>
        <v>-</v>
      </c>
      <c r="J61" s="35" t="str">
        <f>IFERROR(IF(VLOOKUP($B61,casostestes[#Data],9)=0,"-",VLOOKUP($B61,casostestes[#Data],9)),"-")</f>
        <v>-</v>
      </c>
      <c r="K61" s="36"/>
      <c r="L61" s="45"/>
      <c r="M61" s="37"/>
      <c r="N61" s="38"/>
      <c r="O61" s="38"/>
      <c r="P61" s="39"/>
    </row>
    <row r="62" spans="2:16">
      <c r="B62" s="40" t="str">
        <f>IF(ISERR(casostestes[[#This Row],[ID]]),"-",casostestes[[#This Row],[ID]])</f>
        <v>-</v>
      </c>
      <c r="C62" s="34" t="str">
        <f>IFERROR(IF(VLOOKUP($B62,casostestes[#Data],10)=0,"Não",VLOOKUP($B62,casostestes[#Data],10)), "-")</f>
        <v>-</v>
      </c>
      <c r="D62" s="35" t="str">
        <f>IFERROR(IF(VLOOKUP($B62,casostestes[#Data],2)=0,"-",VLOOKUP($B62,casostestes[#Data],2)), "-")</f>
        <v>-</v>
      </c>
      <c r="E62" s="35" t="str">
        <f>IFERROR(IF(VLOOKUP($B62,casostestes[#Data],3)=0,"-",VLOOKUP($B62,casostestes[#Data],3)), "-")</f>
        <v>-</v>
      </c>
      <c r="F62" s="35" t="str">
        <f>IFERROR(IF(VLOOKUP($B62,casostestes[#Data],4)=0,"-",VLOOKUP($B62,casostestes[#Data],4)),"-")</f>
        <v>-</v>
      </c>
      <c r="G62" s="35" t="str">
        <f>IFERROR(IF(VLOOKUP($B62,casostestes[#Data],5)=0,"-",VLOOKUP($B62,casostestes[#Data],5)),"-")</f>
        <v>-</v>
      </c>
      <c r="H62" s="35" t="str">
        <f>IFERROR(IF(VLOOKUP($B62,casostestes[#Data],6)=0,"-",VLOOKUP($B62,casostestes[#Data],6)),"-")</f>
        <v>-</v>
      </c>
      <c r="I62" s="35" t="str">
        <f>IFERROR(IF(VLOOKUP($B62,casostestes[#Data],8)=0,"-",VLOOKUP($B62,casostestes[#Data],8)),"-")</f>
        <v>-</v>
      </c>
      <c r="J62" s="35" t="str">
        <f>IFERROR(IF(VLOOKUP($B62,casostestes[#Data],9)=0,"-",VLOOKUP($B62,casostestes[#Data],9)),"-")</f>
        <v>-</v>
      </c>
      <c r="K62" s="36"/>
      <c r="L62" s="45"/>
      <c r="M62" s="37"/>
      <c r="N62" s="38"/>
      <c r="O62" s="38"/>
      <c r="P62" s="39"/>
    </row>
    <row r="63" spans="2:16">
      <c r="B63" s="40" t="str">
        <f>IF(ISERR(casostestes[[#This Row],[ID]]),"-",casostestes[[#This Row],[ID]])</f>
        <v>-</v>
      </c>
      <c r="C63" s="34" t="str">
        <f>IFERROR(IF(VLOOKUP($B63,casostestes[#Data],10)=0,"Não",VLOOKUP($B63,casostestes[#Data],10)), "-")</f>
        <v>-</v>
      </c>
      <c r="D63" s="35" t="str">
        <f>IFERROR(IF(VLOOKUP($B63,casostestes[#Data],2)=0,"-",VLOOKUP($B63,casostestes[#Data],2)), "-")</f>
        <v>-</v>
      </c>
      <c r="E63" s="35" t="str">
        <f>IFERROR(IF(VLOOKUP($B63,casostestes[#Data],3)=0,"-",VLOOKUP($B63,casostestes[#Data],3)), "-")</f>
        <v>-</v>
      </c>
      <c r="F63" s="35" t="str">
        <f>IFERROR(IF(VLOOKUP($B63,casostestes[#Data],4)=0,"-",VLOOKUP($B63,casostestes[#Data],4)),"-")</f>
        <v>-</v>
      </c>
      <c r="G63" s="35" t="str">
        <f>IFERROR(IF(VLOOKUP($B63,casostestes[#Data],5)=0,"-",VLOOKUP($B63,casostestes[#Data],5)),"-")</f>
        <v>-</v>
      </c>
      <c r="H63" s="35" t="str">
        <f>IFERROR(IF(VLOOKUP($B63,casostestes[#Data],6)=0,"-",VLOOKUP($B63,casostestes[#Data],6)),"-")</f>
        <v>-</v>
      </c>
      <c r="I63" s="35" t="str">
        <f>IFERROR(IF(VLOOKUP($B63,casostestes[#Data],8)=0,"-",VLOOKUP($B63,casostestes[#Data],8)),"-")</f>
        <v>-</v>
      </c>
      <c r="J63" s="35" t="str">
        <f>IFERROR(IF(VLOOKUP($B63,casostestes[#Data],9)=0,"-",VLOOKUP($B63,casostestes[#Data],9)),"-")</f>
        <v>-</v>
      </c>
      <c r="K63" s="36"/>
      <c r="L63" s="45"/>
      <c r="M63" s="37"/>
      <c r="N63" s="38"/>
      <c r="O63" s="38"/>
      <c r="P63" s="39"/>
    </row>
    <row r="64" spans="2:16">
      <c r="B64" s="40" t="str">
        <f>IF(ISERR(casostestes[[#This Row],[ID]]),"-",casostestes[[#This Row],[ID]])</f>
        <v>-</v>
      </c>
      <c r="C64" s="34" t="str">
        <f>IFERROR(IF(VLOOKUP($B64,casostestes[#Data],10)=0,"Não",VLOOKUP($B64,casostestes[#Data],10)), "-")</f>
        <v>-</v>
      </c>
      <c r="D64" s="35" t="str">
        <f>IFERROR(IF(VLOOKUP($B64,casostestes[#Data],2)=0,"-",VLOOKUP($B64,casostestes[#Data],2)), "-")</f>
        <v>-</v>
      </c>
      <c r="E64" s="35" t="str">
        <f>IFERROR(IF(VLOOKUP($B64,casostestes[#Data],3)=0,"-",VLOOKUP($B64,casostestes[#Data],3)), "-")</f>
        <v>-</v>
      </c>
      <c r="F64" s="35" t="str">
        <f>IFERROR(IF(VLOOKUP($B64,casostestes[#Data],4)=0,"-",VLOOKUP($B64,casostestes[#Data],4)),"-")</f>
        <v>-</v>
      </c>
      <c r="G64" s="35" t="str">
        <f>IFERROR(IF(VLOOKUP($B64,casostestes[#Data],5)=0,"-",VLOOKUP($B64,casostestes[#Data],5)),"-")</f>
        <v>-</v>
      </c>
      <c r="H64" s="35" t="str">
        <f>IFERROR(IF(VLOOKUP($B64,casostestes[#Data],6)=0,"-",VLOOKUP($B64,casostestes[#Data],6)),"-")</f>
        <v>-</v>
      </c>
      <c r="I64" s="35" t="str">
        <f>IFERROR(IF(VLOOKUP($B64,casostestes[#Data],8)=0,"-",VLOOKUP($B64,casostestes[#Data],8)),"-")</f>
        <v>-</v>
      </c>
      <c r="J64" s="35" t="str">
        <f>IFERROR(IF(VLOOKUP($B64,casostestes[#Data],9)=0,"-",VLOOKUP($B64,casostestes[#Data],9)),"-")</f>
        <v>-</v>
      </c>
      <c r="K64" s="36"/>
      <c r="L64" s="45"/>
      <c r="M64" s="37"/>
      <c r="N64" s="38"/>
      <c r="O64" s="38"/>
      <c r="P64" s="39"/>
    </row>
    <row r="65" spans="2:16">
      <c r="B65" s="40" t="str">
        <f>IF(ISERR(casostestes[[#This Row],[ID]]),"-",casostestes[[#This Row],[ID]])</f>
        <v>-</v>
      </c>
      <c r="C65" s="34" t="str">
        <f>IFERROR(IF(VLOOKUP($B65,casostestes[#Data],10)=0,"Não",VLOOKUP($B65,casostestes[#Data],10)), "-")</f>
        <v>-</v>
      </c>
      <c r="D65" s="35" t="str">
        <f>IFERROR(IF(VLOOKUP($B65,casostestes[#Data],2)=0,"-",VLOOKUP($B65,casostestes[#Data],2)), "-")</f>
        <v>-</v>
      </c>
      <c r="E65" s="35" t="str">
        <f>IFERROR(IF(VLOOKUP($B65,casostestes[#Data],3)=0,"-",VLOOKUP($B65,casostestes[#Data],3)), "-")</f>
        <v>-</v>
      </c>
      <c r="F65" s="35" t="str">
        <f>IFERROR(IF(VLOOKUP($B65,casostestes[#Data],4)=0,"-",VLOOKUP($B65,casostestes[#Data],4)),"-")</f>
        <v>-</v>
      </c>
      <c r="G65" s="35" t="str">
        <f>IFERROR(IF(VLOOKUP($B65,casostestes[#Data],5)=0,"-",VLOOKUP($B65,casostestes[#Data],5)),"-")</f>
        <v>-</v>
      </c>
      <c r="H65" s="35" t="str">
        <f>IFERROR(IF(VLOOKUP($B65,casostestes[#Data],6)=0,"-",VLOOKUP($B65,casostestes[#Data],6)),"-")</f>
        <v>-</v>
      </c>
      <c r="I65" s="35" t="str">
        <f>IFERROR(IF(VLOOKUP($B65,casostestes[#Data],8)=0,"-",VLOOKUP($B65,casostestes[#Data],8)),"-")</f>
        <v>-</v>
      </c>
      <c r="J65" s="35" t="str">
        <f>IFERROR(IF(VLOOKUP($B65,casostestes[#Data],9)=0,"-",VLOOKUP($B65,casostestes[#Data],9)),"-")</f>
        <v>-</v>
      </c>
      <c r="K65" s="36"/>
      <c r="L65" s="45"/>
      <c r="M65" s="37"/>
      <c r="N65" s="38"/>
      <c r="O65" s="38"/>
      <c r="P65" s="39"/>
    </row>
    <row r="66" spans="2:16">
      <c r="B66" s="40" t="str">
        <f>IF(ISERR(casostestes[[#This Row],[ID]]),"-",casostestes[[#This Row],[ID]])</f>
        <v>-</v>
      </c>
      <c r="C66" s="34" t="str">
        <f>IFERROR(IF(VLOOKUP($B66,casostestes[#Data],10)=0,"Não",VLOOKUP($B66,casostestes[#Data],10)), "-")</f>
        <v>-</v>
      </c>
      <c r="D66" s="35" t="str">
        <f>IFERROR(IF(VLOOKUP($B66,casostestes[#Data],2)=0,"-",VLOOKUP($B66,casostestes[#Data],2)), "-")</f>
        <v>-</v>
      </c>
      <c r="E66" s="35" t="str">
        <f>IFERROR(IF(VLOOKUP($B66,casostestes[#Data],3)=0,"-",VLOOKUP($B66,casostestes[#Data],3)), "-")</f>
        <v>-</v>
      </c>
      <c r="F66" s="35" t="str">
        <f>IFERROR(IF(VLOOKUP($B66,casostestes[#Data],4)=0,"-",VLOOKUP($B66,casostestes[#Data],4)),"-")</f>
        <v>-</v>
      </c>
      <c r="G66" s="35" t="str">
        <f>IFERROR(IF(VLOOKUP($B66,casostestes[#Data],5)=0,"-",VLOOKUP($B66,casostestes[#Data],5)),"-")</f>
        <v>-</v>
      </c>
      <c r="H66" s="35" t="str">
        <f>IFERROR(IF(VLOOKUP($B66,casostestes[#Data],6)=0,"-",VLOOKUP($B66,casostestes[#Data],6)),"-")</f>
        <v>-</v>
      </c>
      <c r="I66" s="35" t="str">
        <f>IFERROR(IF(VLOOKUP($B66,casostestes[#Data],8)=0,"-",VLOOKUP($B66,casostestes[#Data],8)),"-")</f>
        <v>-</v>
      </c>
      <c r="J66" s="35" t="str">
        <f>IFERROR(IF(VLOOKUP($B66,casostestes[#Data],9)=0,"-",VLOOKUP($B66,casostestes[#Data],9)),"-")</f>
        <v>-</v>
      </c>
      <c r="K66" s="36"/>
      <c r="L66" s="45"/>
      <c r="M66" s="37"/>
      <c r="N66" s="38"/>
      <c r="O66" s="38"/>
      <c r="P66" s="39"/>
    </row>
    <row r="67" spans="2:16">
      <c r="B67" s="40" t="str">
        <f>IF(ISERR(casostestes[[#This Row],[ID]]),"-",casostestes[[#This Row],[ID]])</f>
        <v>-</v>
      </c>
      <c r="C67" s="34" t="str">
        <f>IFERROR(IF(VLOOKUP($B67,casostestes[#Data],10)=0,"Não",VLOOKUP($B67,casostestes[#Data],10)), "-")</f>
        <v>-</v>
      </c>
      <c r="D67" s="35" t="str">
        <f>IFERROR(IF(VLOOKUP($B67,casostestes[#Data],2)=0,"-",VLOOKUP($B67,casostestes[#Data],2)), "-")</f>
        <v>-</v>
      </c>
      <c r="E67" s="35" t="str">
        <f>IFERROR(IF(VLOOKUP($B67,casostestes[#Data],3)=0,"-",VLOOKUP($B67,casostestes[#Data],3)), "-")</f>
        <v>-</v>
      </c>
      <c r="F67" s="35" t="str">
        <f>IFERROR(IF(VLOOKUP($B67,casostestes[#Data],4)=0,"-",VLOOKUP($B67,casostestes[#Data],4)),"-")</f>
        <v>-</v>
      </c>
      <c r="G67" s="35" t="str">
        <f>IFERROR(IF(VLOOKUP($B67,casostestes[#Data],5)=0,"-",VLOOKUP($B67,casostestes[#Data],5)),"-")</f>
        <v>-</v>
      </c>
      <c r="H67" s="35" t="str">
        <f>IFERROR(IF(VLOOKUP($B67,casostestes[#Data],6)=0,"-",VLOOKUP($B67,casostestes[#Data],6)),"-")</f>
        <v>-</v>
      </c>
      <c r="I67" s="35" t="str">
        <f>IFERROR(IF(VLOOKUP($B67,casostestes[#Data],8)=0,"-",VLOOKUP($B67,casostestes[#Data],8)),"-")</f>
        <v>-</v>
      </c>
      <c r="J67" s="35" t="str">
        <f>IFERROR(IF(VLOOKUP($B67,casostestes[#Data],9)=0,"-",VLOOKUP($B67,casostestes[#Data],9)),"-")</f>
        <v>-</v>
      </c>
      <c r="K67" s="36"/>
      <c r="L67" s="45"/>
      <c r="M67" s="37"/>
      <c r="N67" s="38"/>
      <c r="O67" s="38"/>
      <c r="P67" s="39"/>
    </row>
    <row r="68" spans="2:16">
      <c r="B68" s="40" t="str">
        <f>IF(ISERR(casostestes[[#This Row],[ID]]),"-",casostestes[[#This Row],[ID]])</f>
        <v>-</v>
      </c>
      <c r="C68" s="34" t="str">
        <f>IFERROR(IF(VLOOKUP($B68,casostestes[#Data],10)=0,"Não",VLOOKUP($B68,casostestes[#Data],10)), "-")</f>
        <v>-</v>
      </c>
      <c r="D68" s="35" t="str">
        <f>IFERROR(IF(VLOOKUP($B68,casostestes[#Data],2)=0,"-",VLOOKUP($B68,casostestes[#Data],2)), "-")</f>
        <v>-</v>
      </c>
      <c r="E68" s="35" t="str">
        <f>IFERROR(IF(VLOOKUP($B68,casostestes[#Data],3)=0,"-",VLOOKUP($B68,casostestes[#Data],3)), "-")</f>
        <v>-</v>
      </c>
      <c r="F68" s="35" t="str">
        <f>IFERROR(IF(VLOOKUP($B68,casostestes[#Data],4)=0,"-",VLOOKUP($B68,casostestes[#Data],4)),"-")</f>
        <v>-</v>
      </c>
      <c r="G68" s="35" t="str">
        <f>IFERROR(IF(VLOOKUP($B68,casostestes[#Data],5)=0,"-",VLOOKUP($B68,casostestes[#Data],5)),"-")</f>
        <v>-</v>
      </c>
      <c r="H68" s="35" t="str">
        <f>IFERROR(IF(VLOOKUP($B68,casostestes[#Data],6)=0,"-",VLOOKUP($B68,casostestes[#Data],6)),"-")</f>
        <v>-</v>
      </c>
      <c r="I68" s="35" t="str">
        <f>IFERROR(IF(VLOOKUP($B68,casostestes[#Data],8)=0,"-",VLOOKUP($B68,casostestes[#Data],8)),"-")</f>
        <v>-</v>
      </c>
      <c r="J68" s="35" t="str">
        <f>IFERROR(IF(VLOOKUP($B68,casostestes[#Data],9)=0,"-",VLOOKUP($B68,casostestes[#Data],9)),"-")</f>
        <v>-</v>
      </c>
      <c r="K68" s="36"/>
      <c r="L68" s="45"/>
      <c r="M68" s="37"/>
      <c r="N68" s="38"/>
      <c r="O68" s="38"/>
      <c r="P68" s="39"/>
    </row>
    <row r="69" spans="2:16">
      <c r="B69" s="40" t="str">
        <f>IF(ISERR(casostestes[[#This Row],[ID]]),"-",casostestes[[#This Row],[ID]])</f>
        <v>-</v>
      </c>
      <c r="C69" s="34" t="str">
        <f>IFERROR(IF(VLOOKUP($B69,casostestes[#Data],10)=0,"Não",VLOOKUP($B69,casostestes[#Data],10)), "-")</f>
        <v>-</v>
      </c>
      <c r="D69" s="35" t="str">
        <f>IFERROR(IF(VLOOKUP($B69,casostestes[#Data],2)=0,"-",VLOOKUP($B69,casostestes[#Data],2)), "-")</f>
        <v>-</v>
      </c>
      <c r="E69" s="35" t="str">
        <f>IFERROR(IF(VLOOKUP($B69,casostestes[#Data],3)=0,"-",VLOOKUP($B69,casostestes[#Data],3)), "-")</f>
        <v>-</v>
      </c>
      <c r="F69" s="35" t="str">
        <f>IFERROR(IF(VLOOKUP($B69,casostestes[#Data],4)=0,"-",VLOOKUP($B69,casostestes[#Data],4)),"-")</f>
        <v>-</v>
      </c>
      <c r="G69" s="35" t="str">
        <f>IFERROR(IF(VLOOKUP($B69,casostestes[#Data],5)=0,"-",VLOOKUP($B69,casostestes[#Data],5)),"-")</f>
        <v>-</v>
      </c>
      <c r="H69" s="35" t="str">
        <f>IFERROR(IF(VLOOKUP($B69,casostestes[#Data],6)=0,"-",VLOOKUP($B69,casostestes[#Data],6)),"-")</f>
        <v>-</v>
      </c>
      <c r="I69" s="35" t="str">
        <f>IFERROR(IF(VLOOKUP($B69,casostestes[#Data],8)=0,"-",VLOOKUP($B69,casostestes[#Data],8)),"-")</f>
        <v>-</v>
      </c>
      <c r="J69" s="35" t="str">
        <f>IFERROR(IF(VLOOKUP($B69,casostestes[#Data],9)=0,"-",VLOOKUP($B69,casostestes[#Data],9)),"-")</f>
        <v>-</v>
      </c>
      <c r="K69" s="36"/>
      <c r="L69" s="45"/>
      <c r="M69" s="37"/>
      <c r="N69" s="38"/>
      <c r="O69" s="38"/>
      <c r="P69" s="39"/>
    </row>
    <row r="70" spans="2:16">
      <c r="B70" s="40" t="str">
        <f>IF(ISERR(casostestes[[#This Row],[ID]]),"-",casostestes[[#This Row],[ID]])</f>
        <v>-</v>
      </c>
      <c r="C70" s="34" t="str">
        <f>IFERROR(IF(VLOOKUP($B70,casostestes[#Data],10)=0,"Não",VLOOKUP($B70,casostestes[#Data],10)), "-")</f>
        <v>-</v>
      </c>
      <c r="D70" s="35" t="str">
        <f>IFERROR(IF(VLOOKUP($B70,casostestes[#Data],2)=0,"-",VLOOKUP($B70,casostestes[#Data],2)), "-")</f>
        <v>-</v>
      </c>
      <c r="E70" s="35" t="str">
        <f>IFERROR(IF(VLOOKUP($B70,casostestes[#Data],3)=0,"-",VLOOKUP($B70,casostestes[#Data],3)), "-")</f>
        <v>-</v>
      </c>
      <c r="F70" s="35" t="str">
        <f>IFERROR(IF(VLOOKUP($B70,casostestes[#Data],4)=0,"-",VLOOKUP($B70,casostestes[#Data],4)),"-")</f>
        <v>-</v>
      </c>
      <c r="G70" s="35" t="str">
        <f>IFERROR(IF(VLOOKUP($B70,casostestes[#Data],5)=0,"-",VLOOKUP($B70,casostestes[#Data],5)),"-")</f>
        <v>-</v>
      </c>
      <c r="H70" s="35" t="str">
        <f>IFERROR(IF(VLOOKUP($B70,casostestes[#Data],6)=0,"-",VLOOKUP($B70,casostestes[#Data],6)),"-")</f>
        <v>-</v>
      </c>
      <c r="I70" s="35" t="str">
        <f>IFERROR(IF(VLOOKUP($B70,casostestes[#Data],8)=0,"-",VLOOKUP($B70,casostestes[#Data],8)),"-")</f>
        <v>-</v>
      </c>
      <c r="J70" s="35" t="str">
        <f>IFERROR(IF(VLOOKUP($B70,casostestes[#Data],9)=0,"-",VLOOKUP($B70,casostestes[#Data],9)),"-")</f>
        <v>-</v>
      </c>
      <c r="K70" s="36"/>
      <c r="L70" s="45"/>
      <c r="M70" s="37"/>
      <c r="N70" s="38"/>
      <c r="O70" s="38"/>
      <c r="P70" s="39"/>
    </row>
    <row r="71" spans="2:16">
      <c r="B71" s="40" t="str">
        <f>IF(ISERR(casostestes[[#This Row],[ID]]),"-",casostestes[[#This Row],[ID]])</f>
        <v>-</v>
      </c>
      <c r="C71" s="34" t="str">
        <f>IFERROR(IF(VLOOKUP($B71,casostestes[#Data],10)=0,"Não",VLOOKUP($B71,casostestes[#Data],10)), "-")</f>
        <v>-</v>
      </c>
      <c r="D71" s="35" t="str">
        <f>IFERROR(IF(VLOOKUP($B71,casostestes[#Data],2)=0,"-",VLOOKUP($B71,casostestes[#Data],2)), "-")</f>
        <v>-</v>
      </c>
      <c r="E71" s="35" t="str">
        <f>IFERROR(IF(VLOOKUP($B71,casostestes[#Data],3)=0,"-",VLOOKUP($B71,casostestes[#Data],3)), "-")</f>
        <v>-</v>
      </c>
      <c r="F71" s="35" t="str">
        <f>IFERROR(IF(VLOOKUP($B71,casostestes[#Data],4)=0,"-",VLOOKUP($B71,casostestes[#Data],4)),"-")</f>
        <v>-</v>
      </c>
      <c r="G71" s="35" t="str">
        <f>IFERROR(IF(VLOOKUP($B71,casostestes[#Data],5)=0,"-",VLOOKUP($B71,casostestes[#Data],5)),"-")</f>
        <v>-</v>
      </c>
      <c r="H71" s="35" t="str">
        <f>IFERROR(IF(VLOOKUP($B71,casostestes[#Data],6)=0,"-",VLOOKUP($B71,casostestes[#Data],6)),"-")</f>
        <v>-</v>
      </c>
      <c r="I71" s="35" t="str">
        <f>IFERROR(IF(VLOOKUP($B71,casostestes[#Data],8)=0,"-",VLOOKUP($B71,casostestes[#Data],8)),"-")</f>
        <v>-</v>
      </c>
      <c r="J71" s="35" t="str">
        <f>IFERROR(IF(VLOOKUP($B71,casostestes[#Data],9)=0,"-",VLOOKUP($B71,casostestes[#Data],9)),"-")</f>
        <v>-</v>
      </c>
      <c r="K71" s="36"/>
      <c r="L71" s="45"/>
      <c r="M71" s="37"/>
      <c r="N71" s="38"/>
      <c r="O71" s="38"/>
      <c r="P71" s="39"/>
    </row>
    <row r="72" spans="2:16">
      <c r="B72" s="40" t="str">
        <f>IF(ISERR(casostestes[[#This Row],[ID]]),"-",casostestes[[#This Row],[ID]])</f>
        <v>-</v>
      </c>
      <c r="C72" s="34" t="str">
        <f>IFERROR(IF(VLOOKUP($B72,casostestes[#Data],10)=0,"Não",VLOOKUP($B72,casostestes[#Data],10)), "-")</f>
        <v>-</v>
      </c>
      <c r="D72" s="35" t="str">
        <f>IFERROR(IF(VLOOKUP($B72,casostestes[#Data],2)=0,"-",VLOOKUP($B72,casostestes[#Data],2)), "-")</f>
        <v>-</v>
      </c>
      <c r="E72" s="35" t="str">
        <f>IFERROR(IF(VLOOKUP($B72,casostestes[#Data],3)=0,"-",VLOOKUP($B72,casostestes[#Data],3)), "-")</f>
        <v>-</v>
      </c>
      <c r="F72" s="35" t="str">
        <f>IFERROR(IF(VLOOKUP($B72,casostestes[#Data],4)=0,"-",VLOOKUP($B72,casostestes[#Data],4)),"-")</f>
        <v>-</v>
      </c>
      <c r="G72" s="35" t="str">
        <f>IFERROR(IF(VLOOKUP($B72,casostestes[#Data],5)=0,"-",VLOOKUP($B72,casostestes[#Data],5)),"-")</f>
        <v>-</v>
      </c>
      <c r="H72" s="35" t="str">
        <f>IFERROR(IF(VLOOKUP($B72,casostestes[#Data],6)=0,"-",VLOOKUP($B72,casostestes[#Data],6)),"-")</f>
        <v>-</v>
      </c>
      <c r="I72" s="35" t="str">
        <f>IFERROR(IF(VLOOKUP($B72,casostestes[#Data],8)=0,"-",VLOOKUP($B72,casostestes[#Data],8)),"-")</f>
        <v>-</v>
      </c>
      <c r="J72" s="35" t="str">
        <f>IFERROR(IF(VLOOKUP($B72,casostestes[#Data],9)=0,"-",VLOOKUP($B72,casostestes[#Data],9)),"-")</f>
        <v>-</v>
      </c>
      <c r="K72" s="36"/>
      <c r="L72" s="45"/>
      <c r="M72" s="37"/>
      <c r="N72" s="38"/>
      <c r="O72" s="38"/>
      <c r="P72" s="39"/>
    </row>
    <row r="73" spans="2:16">
      <c r="B73" s="40" t="str">
        <f>IF(ISERR(casostestes[[#This Row],[ID]]),"-",casostestes[[#This Row],[ID]])</f>
        <v>-</v>
      </c>
      <c r="C73" s="34" t="str">
        <f>IFERROR(IF(VLOOKUP($B73,casostestes[#Data],10)=0,"Não",VLOOKUP($B73,casostestes[#Data],10)), "-")</f>
        <v>-</v>
      </c>
      <c r="D73" s="35" t="str">
        <f>IFERROR(IF(VLOOKUP($B73,casostestes[#Data],2)=0,"-",VLOOKUP($B73,casostestes[#Data],2)), "-")</f>
        <v>-</v>
      </c>
      <c r="E73" s="35" t="str">
        <f>IFERROR(IF(VLOOKUP($B73,casostestes[#Data],3)=0,"-",VLOOKUP($B73,casostestes[#Data],3)), "-")</f>
        <v>-</v>
      </c>
      <c r="F73" s="35" t="str">
        <f>IFERROR(IF(VLOOKUP($B73,casostestes[#Data],4)=0,"-",VLOOKUP($B73,casostestes[#Data],4)),"-")</f>
        <v>-</v>
      </c>
      <c r="G73" s="35" t="str">
        <f>IFERROR(IF(VLOOKUP($B73,casostestes[#Data],5)=0,"-",VLOOKUP($B73,casostestes[#Data],5)),"-")</f>
        <v>-</v>
      </c>
      <c r="H73" s="35" t="str">
        <f>IFERROR(IF(VLOOKUP($B73,casostestes[#Data],6)=0,"-",VLOOKUP($B73,casostestes[#Data],6)),"-")</f>
        <v>-</v>
      </c>
      <c r="I73" s="35" t="str">
        <f>IFERROR(IF(VLOOKUP($B73,casostestes[#Data],8)=0,"-",VLOOKUP($B73,casostestes[#Data],8)),"-")</f>
        <v>-</v>
      </c>
      <c r="J73" s="35" t="str">
        <f>IFERROR(IF(VLOOKUP($B73,casostestes[#Data],9)=0,"-",VLOOKUP($B73,casostestes[#Data],9)),"-")</f>
        <v>-</v>
      </c>
      <c r="K73" s="36"/>
      <c r="L73" s="45"/>
      <c r="M73" s="37"/>
      <c r="N73" s="38"/>
      <c r="O73" s="38"/>
      <c r="P73" s="39"/>
    </row>
    <row r="74" spans="2:16">
      <c r="B74" s="40" t="str">
        <f>IF(ISERR(casostestes[[#This Row],[ID]]),"-",casostestes[[#This Row],[ID]])</f>
        <v>-</v>
      </c>
      <c r="C74" s="34" t="str">
        <f>IFERROR(IF(VLOOKUP($B74,casostestes[#Data],10)=0,"Não",VLOOKUP($B74,casostestes[#Data],10)), "-")</f>
        <v>-</v>
      </c>
      <c r="D74" s="35" t="str">
        <f>IFERROR(IF(VLOOKUP($B74,casostestes[#Data],2)=0,"-",VLOOKUP($B74,casostestes[#Data],2)), "-")</f>
        <v>-</v>
      </c>
      <c r="E74" s="35" t="str">
        <f>IFERROR(IF(VLOOKUP($B74,casostestes[#Data],3)=0,"-",VLOOKUP($B74,casostestes[#Data],3)), "-")</f>
        <v>-</v>
      </c>
      <c r="F74" s="35" t="str">
        <f>IFERROR(IF(VLOOKUP($B74,casostestes[#Data],4)=0,"-",VLOOKUP($B74,casostestes[#Data],4)),"-")</f>
        <v>-</v>
      </c>
      <c r="G74" s="35" t="str">
        <f>IFERROR(IF(VLOOKUP($B74,casostestes[#Data],5)=0,"-",VLOOKUP($B74,casostestes[#Data],5)),"-")</f>
        <v>-</v>
      </c>
      <c r="H74" s="35" t="str">
        <f>IFERROR(IF(VLOOKUP($B74,casostestes[#Data],6)=0,"-",VLOOKUP($B74,casostestes[#Data],6)),"-")</f>
        <v>-</v>
      </c>
      <c r="I74" s="35" t="str">
        <f>IFERROR(IF(VLOOKUP($B74,casostestes[#Data],8)=0,"-",VLOOKUP($B74,casostestes[#Data],8)),"-")</f>
        <v>-</v>
      </c>
      <c r="J74" s="35" t="str">
        <f>IFERROR(IF(VLOOKUP($B74,casostestes[#Data],9)=0,"-",VLOOKUP($B74,casostestes[#Data],9)),"-")</f>
        <v>-</v>
      </c>
      <c r="K74" s="36"/>
      <c r="L74" s="45"/>
      <c r="M74" s="37"/>
      <c r="N74" s="38"/>
      <c r="O74" s="38"/>
      <c r="P74" s="39"/>
    </row>
    <row r="75" spans="2:16">
      <c r="B75" s="40" t="str">
        <f>IF(ISERR(casostestes[[#This Row],[ID]]),"-",casostestes[[#This Row],[ID]])</f>
        <v>-</v>
      </c>
      <c r="C75" s="34" t="str">
        <f>IFERROR(IF(VLOOKUP($B75,casostestes[#Data],10)=0,"Não",VLOOKUP($B75,casostestes[#Data],10)), "-")</f>
        <v>-</v>
      </c>
      <c r="D75" s="35" t="str">
        <f>IFERROR(IF(VLOOKUP($B75,casostestes[#Data],2)=0,"-",VLOOKUP($B75,casostestes[#Data],2)), "-")</f>
        <v>-</v>
      </c>
      <c r="E75" s="35" t="str">
        <f>IFERROR(IF(VLOOKUP($B75,casostestes[#Data],3)=0,"-",VLOOKUP($B75,casostestes[#Data],3)), "-")</f>
        <v>-</v>
      </c>
      <c r="F75" s="35" t="str">
        <f>IFERROR(IF(VLOOKUP($B75,casostestes[#Data],4)=0,"-",VLOOKUP($B75,casostestes[#Data],4)),"-")</f>
        <v>-</v>
      </c>
      <c r="G75" s="35" t="str">
        <f>IFERROR(IF(VLOOKUP($B75,casostestes[#Data],5)=0,"-",VLOOKUP($B75,casostestes[#Data],5)),"-")</f>
        <v>-</v>
      </c>
      <c r="H75" s="35" t="str">
        <f>IFERROR(IF(VLOOKUP($B75,casostestes[#Data],6)=0,"-",VLOOKUP($B75,casostestes[#Data],6)),"-")</f>
        <v>-</v>
      </c>
      <c r="I75" s="35" t="str">
        <f>IFERROR(IF(VLOOKUP($B75,casostestes[#Data],8)=0,"-",VLOOKUP($B75,casostestes[#Data],8)),"-")</f>
        <v>-</v>
      </c>
      <c r="J75" s="35" t="str">
        <f>IFERROR(IF(VLOOKUP($B75,casostestes[#Data],9)=0,"-",VLOOKUP($B75,casostestes[#Data],9)),"-")</f>
        <v>-</v>
      </c>
      <c r="K75" s="36"/>
      <c r="L75" s="45"/>
      <c r="M75" s="37"/>
      <c r="N75" s="38"/>
      <c r="O75" s="38"/>
      <c r="P75" s="39"/>
    </row>
    <row r="76" spans="2:16">
      <c r="B76" s="40" t="str">
        <f>IF(ISERR(casostestes[[#This Row],[ID]]),"-",casostestes[[#This Row],[ID]])</f>
        <v>-</v>
      </c>
      <c r="C76" s="34" t="str">
        <f>IFERROR(IF(VLOOKUP($B76,casostestes[#Data],10)=0,"Não",VLOOKUP($B76,casostestes[#Data],10)), "-")</f>
        <v>-</v>
      </c>
      <c r="D76" s="35" t="str">
        <f>IFERROR(IF(VLOOKUP($B76,casostestes[#Data],2)=0,"-",VLOOKUP($B76,casostestes[#Data],2)), "-")</f>
        <v>-</v>
      </c>
      <c r="E76" s="35" t="str">
        <f>IFERROR(IF(VLOOKUP($B76,casostestes[#Data],3)=0,"-",VLOOKUP($B76,casostestes[#Data],3)), "-")</f>
        <v>-</v>
      </c>
      <c r="F76" s="35" t="str">
        <f>IFERROR(IF(VLOOKUP($B76,casostestes[#Data],4)=0,"-",VLOOKUP($B76,casostestes[#Data],4)),"-")</f>
        <v>-</v>
      </c>
      <c r="G76" s="35" t="str">
        <f>IFERROR(IF(VLOOKUP($B76,casostestes[#Data],5)=0,"-",VLOOKUP($B76,casostestes[#Data],5)),"-")</f>
        <v>-</v>
      </c>
      <c r="H76" s="35" t="str">
        <f>IFERROR(IF(VLOOKUP($B76,casostestes[#Data],6)=0,"-",VLOOKUP($B76,casostestes[#Data],6)),"-")</f>
        <v>-</v>
      </c>
      <c r="I76" s="35" t="str">
        <f>IFERROR(IF(VLOOKUP($B76,casostestes[#Data],8)=0,"-",VLOOKUP($B76,casostestes[#Data],8)),"-")</f>
        <v>-</v>
      </c>
      <c r="J76" s="35" t="str">
        <f>IFERROR(IF(VLOOKUP($B76,casostestes[#Data],9)=0,"-",VLOOKUP($B76,casostestes[#Data],9)),"-")</f>
        <v>-</v>
      </c>
      <c r="K76" s="36"/>
      <c r="L76" s="45"/>
      <c r="M76" s="37"/>
      <c r="N76" s="38"/>
      <c r="O76" s="38"/>
      <c r="P76" s="39"/>
    </row>
    <row r="77" spans="2:16">
      <c r="B77" s="40" t="str">
        <f>IF(ISERR(casostestes[[#This Row],[ID]]),"-",casostestes[[#This Row],[ID]])</f>
        <v>-</v>
      </c>
      <c r="C77" s="34" t="str">
        <f>IFERROR(IF(VLOOKUP($B77,casostestes[#Data],10)=0,"Não",VLOOKUP($B77,casostestes[#Data],10)), "-")</f>
        <v>-</v>
      </c>
      <c r="D77" s="35" t="str">
        <f>IFERROR(IF(VLOOKUP($B77,casostestes[#Data],2)=0,"-",VLOOKUP($B77,casostestes[#Data],2)), "-")</f>
        <v>-</v>
      </c>
      <c r="E77" s="35" t="str">
        <f>IFERROR(IF(VLOOKUP($B77,casostestes[#Data],3)=0,"-",VLOOKUP($B77,casostestes[#Data],3)), "-")</f>
        <v>-</v>
      </c>
      <c r="F77" s="35" t="str">
        <f>IFERROR(IF(VLOOKUP($B77,casostestes[#Data],4)=0,"-",VLOOKUP($B77,casostestes[#Data],4)),"-")</f>
        <v>-</v>
      </c>
      <c r="G77" s="35" t="str">
        <f>IFERROR(IF(VLOOKUP($B77,casostestes[#Data],5)=0,"-",VLOOKUP($B77,casostestes[#Data],5)),"-")</f>
        <v>-</v>
      </c>
      <c r="H77" s="35" t="str">
        <f>IFERROR(IF(VLOOKUP($B77,casostestes[#Data],6)=0,"-",VLOOKUP($B77,casostestes[#Data],6)),"-")</f>
        <v>-</v>
      </c>
      <c r="I77" s="35" t="str">
        <f>IFERROR(IF(VLOOKUP($B77,casostestes[#Data],8)=0,"-",VLOOKUP($B77,casostestes[#Data],8)),"-")</f>
        <v>-</v>
      </c>
      <c r="J77" s="35" t="str">
        <f>IFERROR(IF(VLOOKUP($B77,casostestes[#Data],9)=0,"-",VLOOKUP($B77,casostestes[#Data],9)),"-")</f>
        <v>-</v>
      </c>
      <c r="K77" s="36"/>
      <c r="L77" s="45"/>
      <c r="M77" s="37"/>
      <c r="N77" s="38"/>
      <c r="O77" s="38"/>
      <c r="P77" s="39"/>
    </row>
    <row r="78" spans="2:16">
      <c r="B78" s="40" t="str">
        <f>IF(ISERR(casostestes[[#This Row],[ID]]),"-",casostestes[[#This Row],[ID]])</f>
        <v>-</v>
      </c>
      <c r="C78" s="34" t="str">
        <f>IFERROR(IF(VLOOKUP($B78,casostestes[#Data],10)=0,"Não",VLOOKUP($B78,casostestes[#Data],10)), "-")</f>
        <v>-</v>
      </c>
      <c r="D78" s="35" t="str">
        <f>IFERROR(IF(VLOOKUP($B78,casostestes[#Data],2)=0,"-",VLOOKUP($B78,casostestes[#Data],2)), "-")</f>
        <v>-</v>
      </c>
      <c r="E78" s="35" t="str">
        <f>IFERROR(IF(VLOOKUP($B78,casostestes[#Data],3)=0,"-",VLOOKUP($B78,casostestes[#Data],3)), "-")</f>
        <v>-</v>
      </c>
      <c r="F78" s="35" t="str">
        <f>IFERROR(IF(VLOOKUP($B78,casostestes[#Data],4)=0,"-",VLOOKUP($B78,casostestes[#Data],4)),"-")</f>
        <v>-</v>
      </c>
      <c r="G78" s="35" t="str">
        <f>IFERROR(IF(VLOOKUP($B78,casostestes[#Data],5)=0,"-",VLOOKUP($B78,casostestes[#Data],5)),"-")</f>
        <v>-</v>
      </c>
      <c r="H78" s="35" t="str">
        <f>IFERROR(IF(VLOOKUP($B78,casostestes[#Data],6)=0,"-",VLOOKUP($B78,casostestes[#Data],6)),"-")</f>
        <v>-</v>
      </c>
      <c r="I78" s="35" t="str">
        <f>IFERROR(IF(VLOOKUP($B78,casostestes[#Data],8)=0,"-",VLOOKUP($B78,casostestes[#Data],8)),"-")</f>
        <v>-</v>
      </c>
      <c r="J78" s="35" t="str">
        <f>IFERROR(IF(VLOOKUP($B78,casostestes[#Data],9)=0,"-",VLOOKUP($B78,casostestes[#Data],9)),"-")</f>
        <v>-</v>
      </c>
      <c r="K78" s="36"/>
      <c r="L78" s="45"/>
      <c r="M78" s="37"/>
      <c r="N78" s="38"/>
      <c r="O78" s="38"/>
      <c r="P78" s="39"/>
    </row>
    <row r="79" spans="2:16">
      <c r="B79" s="40" t="str">
        <f>IF(ISERR(casostestes[[#This Row],[ID]]),"-",casostestes[[#This Row],[ID]])</f>
        <v>-</v>
      </c>
      <c r="C79" s="34" t="str">
        <f>IFERROR(IF(VLOOKUP($B79,casostestes[#Data],10)=0,"Não",VLOOKUP($B79,casostestes[#Data],10)), "-")</f>
        <v>-</v>
      </c>
      <c r="D79" s="35" t="str">
        <f>IFERROR(IF(VLOOKUP($B79,casostestes[#Data],2)=0,"-",VLOOKUP($B79,casostestes[#Data],2)), "-")</f>
        <v>-</v>
      </c>
      <c r="E79" s="35" t="str">
        <f>IFERROR(IF(VLOOKUP($B79,casostestes[#Data],3)=0,"-",VLOOKUP($B79,casostestes[#Data],3)), "-")</f>
        <v>-</v>
      </c>
      <c r="F79" s="35" t="str">
        <f>IFERROR(IF(VLOOKUP($B79,casostestes[#Data],4)=0,"-",VLOOKUP($B79,casostestes[#Data],4)),"-")</f>
        <v>-</v>
      </c>
      <c r="G79" s="35" t="str">
        <f>IFERROR(IF(VLOOKUP($B79,casostestes[#Data],5)=0,"-",VLOOKUP($B79,casostestes[#Data],5)),"-")</f>
        <v>-</v>
      </c>
      <c r="H79" s="35" t="str">
        <f>IFERROR(IF(VLOOKUP($B79,casostestes[#Data],6)=0,"-",VLOOKUP($B79,casostestes[#Data],6)),"-")</f>
        <v>-</v>
      </c>
      <c r="I79" s="35" t="str">
        <f>IFERROR(IF(VLOOKUP($B79,casostestes[#Data],8)=0,"-",VLOOKUP($B79,casostestes[#Data],8)),"-")</f>
        <v>-</v>
      </c>
      <c r="J79" s="35" t="str">
        <f>IFERROR(IF(VLOOKUP($B79,casostestes[#Data],9)=0,"-",VLOOKUP($B79,casostestes[#Data],9)),"-")</f>
        <v>-</v>
      </c>
      <c r="K79" s="36"/>
      <c r="L79" s="45"/>
      <c r="M79" s="37"/>
      <c r="N79" s="38"/>
      <c r="O79" s="38"/>
      <c r="P79" s="39"/>
    </row>
    <row r="80" spans="2:16">
      <c r="B80" s="40" t="str">
        <f>IF(ISERR(casostestes[[#This Row],[ID]]),"-",casostestes[[#This Row],[ID]])</f>
        <v>-</v>
      </c>
      <c r="C80" s="34" t="str">
        <f>IFERROR(IF(VLOOKUP($B80,casostestes[#Data],10)=0,"Não",VLOOKUP($B80,casostestes[#Data],10)), "-")</f>
        <v>-</v>
      </c>
      <c r="D80" s="35" t="str">
        <f>IFERROR(IF(VLOOKUP($B80,casostestes[#Data],2)=0,"-",VLOOKUP($B80,casostestes[#Data],2)), "-")</f>
        <v>-</v>
      </c>
      <c r="E80" s="35" t="str">
        <f>IFERROR(IF(VLOOKUP($B80,casostestes[#Data],3)=0,"-",VLOOKUP($B80,casostestes[#Data],3)), "-")</f>
        <v>-</v>
      </c>
      <c r="F80" s="35" t="str">
        <f>IFERROR(IF(VLOOKUP($B80,casostestes[#Data],4)=0,"-",VLOOKUP($B80,casostestes[#Data],4)),"-")</f>
        <v>-</v>
      </c>
      <c r="G80" s="35" t="str">
        <f>IFERROR(IF(VLOOKUP($B80,casostestes[#Data],5)=0,"-",VLOOKUP($B80,casostestes[#Data],5)),"-")</f>
        <v>-</v>
      </c>
      <c r="H80" s="35" t="str">
        <f>IFERROR(IF(VLOOKUP($B80,casostestes[#Data],6)=0,"-",VLOOKUP($B80,casostestes[#Data],6)),"-")</f>
        <v>-</v>
      </c>
      <c r="I80" s="35" t="str">
        <f>IFERROR(IF(VLOOKUP($B80,casostestes[#Data],8)=0,"-",VLOOKUP($B80,casostestes[#Data],8)),"-")</f>
        <v>-</v>
      </c>
      <c r="J80" s="35" t="str">
        <f>IFERROR(IF(VLOOKUP($B80,casostestes[#Data],9)=0,"-",VLOOKUP($B80,casostestes[#Data],9)),"-")</f>
        <v>-</v>
      </c>
      <c r="K80" s="36"/>
      <c r="L80" s="45"/>
      <c r="M80" s="37"/>
      <c r="N80" s="38"/>
      <c r="O80" s="38"/>
      <c r="P80" s="39"/>
    </row>
    <row r="81" spans="2:16">
      <c r="B81" s="40" t="str">
        <f>IF(ISERR(casostestes[[#This Row],[ID]]),"-",casostestes[[#This Row],[ID]])</f>
        <v>-</v>
      </c>
      <c r="C81" s="34" t="str">
        <f>IFERROR(IF(VLOOKUP($B81,casostestes[#Data],10)=0,"Não",VLOOKUP($B81,casostestes[#Data],10)), "-")</f>
        <v>-</v>
      </c>
      <c r="D81" s="35" t="str">
        <f>IFERROR(IF(VLOOKUP($B81,casostestes[#Data],2)=0,"-",VLOOKUP($B81,casostestes[#Data],2)), "-")</f>
        <v>-</v>
      </c>
      <c r="E81" s="35" t="str">
        <f>IFERROR(IF(VLOOKUP($B81,casostestes[#Data],3)=0,"-",VLOOKUP($B81,casostestes[#Data],3)), "-")</f>
        <v>-</v>
      </c>
      <c r="F81" s="35" t="str">
        <f>IFERROR(IF(VLOOKUP($B81,casostestes[#Data],4)=0,"-",VLOOKUP($B81,casostestes[#Data],4)),"-")</f>
        <v>-</v>
      </c>
      <c r="G81" s="35" t="str">
        <f>IFERROR(IF(VLOOKUP($B81,casostestes[#Data],5)=0,"-",VLOOKUP($B81,casostestes[#Data],5)),"-")</f>
        <v>-</v>
      </c>
      <c r="H81" s="35" t="str">
        <f>IFERROR(IF(VLOOKUP($B81,casostestes[#Data],6)=0,"-",VLOOKUP($B81,casostestes[#Data],6)),"-")</f>
        <v>-</v>
      </c>
      <c r="I81" s="35" t="str">
        <f>IFERROR(IF(VLOOKUP($B81,casostestes[#Data],8)=0,"-",VLOOKUP($B81,casostestes[#Data],8)),"-")</f>
        <v>-</v>
      </c>
      <c r="J81" s="35" t="str">
        <f>IFERROR(IF(VLOOKUP($B81,casostestes[#Data],9)=0,"-",VLOOKUP($B81,casostestes[#Data],9)),"-")</f>
        <v>-</v>
      </c>
      <c r="K81" s="36"/>
      <c r="L81" s="45"/>
      <c r="M81" s="37"/>
      <c r="N81" s="38"/>
      <c r="O81" s="38"/>
      <c r="P81" s="39"/>
    </row>
    <row r="82" spans="2:16">
      <c r="B82" s="40" t="str">
        <f>IF(ISERR(casostestes[[#This Row],[ID]]),"-",casostestes[[#This Row],[ID]])</f>
        <v>-</v>
      </c>
      <c r="C82" s="34" t="str">
        <f>IFERROR(IF(VLOOKUP($B82,casostestes[#Data],10)=0,"Não",VLOOKUP($B82,casostestes[#Data],10)), "-")</f>
        <v>-</v>
      </c>
      <c r="D82" s="35" t="str">
        <f>IFERROR(IF(VLOOKUP($B82,casostestes[#Data],2)=0,"-",VLOOKUP($B82,casostestes[#Data],2)), "-")</f>
        <v>-</v>
      </c>
      <c r="E82" s="35" t="str">
        <f>IFERROR(IF(VLOOKUP($B82,casostestes[#Data],3)=0,"-",VLOOKUP($B82,casostestes[#Data],3)), "-")</f>
        <v>-</v>
      </c>
      <c r="F82" s="35" t="str">
        <f>IFERROR(IF(VLOOKUP($B82,casostestes[#Data],4)=0,"-",VLOOKUP($B82,casostestes[#Data],4)),"-")</f>
        <v>-</v>
      </c>
      <c r="G82" s="35" t="str">
        <f>IFERROR(IF(VLOOKUP($B82,casostestes[#Data],5)=0,"-",VLOOKUP($B82,casostestes[#Data],5)),"-")</f>
        <v>-</v>
      </c>
      <c r="H82" s="35" t="str">
        <f>IFERROR(IF(VLOOKUP($B82,casostestes[#Data],6)=0,"-",VLOOKUP($B82,casostestes[#Data],6)),"-")</f>
        <v>-</v>
      </c>
      <c r="I82" s="35" t="str">
        <f>IFERROR(IF(VLOOKUP($B82,casostestes[#Data],8)=0,"-",VLOOKUP($B82,casostestes[#Data],8)),"-")</f>
        <v>-</v>
      </c>
      <c r="J82" s="35" t="str">
        <f>IFERROR(IF(VLOOKUP($B82,casostestes[#Data],9)=0,"-",VLOOKUP($B82,casostestes[#Data],9)),"-")</f>
        <v>-</v>
      </c>
      <c r="K82" s="36"/>
      <c r="L82" s="45"/>
      <c r="M82" s="37"/>
      <c r="N82" s="38"/>
      <c r="O82" s="38"/>
      <c r="P82" s="39"/>
    </row>
    <row r="83" spans="2:16">
      <c r="B83" s="40" t="str">
        <f>IF(ISERR(casostestes[[#This Row],[ID]]),"-",casostestes[[#This Row],[ID]])</f>
        <v>-</v>
      </c>
      <c r="C83" s="34" t="str">
        <f>IFERROR(IF(VLOOKUP($B83,casostestes[#Data],10)=0,"Não",VLOOKUP($B83,casostestes[#Data],10)), "-")</f>
        <v>-</v>
      </c>
      <c r="D83" s="35" t="str">
        <f>IFERROR(IF(VLOOKUP($B83,casostestes[#Data],2)=0,"-",VLOOKUP($B83,casostestes[#Data],2)), "-")</f>
        <v>-</v>
      </c>
      <c r="E83" s="35" t="str">
        <f>IFERROR(IF(VLOOKUP($B83,casostestes[#Data],3)=0,"-",VLOOKUP($B83,casostestes[#Data],3)), "-")</f>
        <v>-</v>
      </c>
      <c r="F83" s="35" t="str">
        <f>IFERROR(IF(VLOOKUP($B83,casostestes[#Data],4)=0,"-",VLOOKUP($B83,casostestes[#Data],4)),"-")</f>
        <v>-</v>
      </c>
      <c r="G83" s="35" t="str">
        <f>IFERROR(IF(VLOOKUP($B83,casostestes[#Data],5)=0,"-",VLOOKUP($B83,casostestes[#Data],5)),"-")</f>
        <v>-</v>
      </c>
      <c r="H83" s="35" t="str">
        <f>IFERROR(IF(VLOOKUP($B83,casostestes[#Data],6)=0,"-",VLOOKUP($B83,casostestes[#Data],6)),"-")</f>
        <v>-</v>
      </c>
      <c r="I83" s="35" t="str">
        <f>IFERROR(IF(VLOOKUP($B83,casostestes[#Data],8)=0,"-",VLOOKUP($B83,casostestes[#Data],8)),"-")</f>
        <v>-</v>
      </c>
      <c r="J83" s="35" t="str">
        <f>IFERROR(IF(VLOOKUP($B83,casostestes[#Data],9)=0,"-",VLOOKUP($B83,casostestes[#Data],9)),"-")</f>
        <v>-</v>
      </c>
      <c r="K83" s="36"/>
      <c r="L83" s="45"/>
      <c r="M83" s="37"/>
      <c r="N83" s="38"/>
      <c r="O83" s="38"/>
      <c r="P83" s="39"/>
    </row>
    <row r="84" spans="2:16">
      <c r="B84" s="40" t="str">
        <f>IF(ISERR(casostestes[[#This Row],[ID]]),"-",casostestes[[#This Row],[ID]])</f>
        <v>-</v>
      </c>
      <c r="C84" s="34" t="str">
        <f>IFERROR(IF(VLOOKUP($B84,casostestes[#Data],10)=0,"Não",VLOOKUP($B84,casostestes[#Data],10)), "-")</f>
        <v>-</v>
      </c>
      <c r="D84" s="35" t="str">
        <f>IFERROR(IF(VLOOKUP($B84,casostestes[#Data],2)=0,"-",VLOOKUP($B84,casostestes[#Data],2)), "-")</f>
        <v>-</v>
      </c>
      <c r="E84" s="35" t="str">
        <f>IFERROR(IF(VLOOKUP($B84,casostestes[#Data],3)=0,"-",VLOOKUP($B84,casostestes[#Data],3)), "-")</f>
        <v>-</v>
      </c>
      <c r="F84" s="35" t="str">
        <f>IFERROR(IF(VLOOKUP($B84,casostestes[#Data],4)=0,"-",VLOOKUP($B84,casostestes[#Data],4)),"-")</f>
        <v>-</v>
      </c>
      <c r="G84" s="35" t="str">
        <f>IFERROR(IF(VLOOKUP($B84,casostestes[#Data],5)=0,"-",VLOOKUP($B84,casostestes[#Data],5)),"-")</f>
        <v>-</v>
      </c>
      <c r="H84" s="35" t="str">
        <f>IFERROR(IF(VLOOKUP($B84,casostestes[#Data],6)=0,"-",VLOOKUP($B84,casostestes[#Data],6)),"-")</f>
        <v>-</v>
      </c>
      <c r="I84" s="35" t="str">
        <f>IFERROR(IF(VLOOKUP($B84,casostestes[#Data],8)=0,"-",VLOOKUP($B84,casostestes[#Data],8)),"-")</f>
        <v>-</v>
      </c>
      <c r="J84" s="35" t="str">
        <f>IFERROR(IF(VLOOKUP($B84,casostestes[#Data],9)=0,"-",VLOOKUP($B84,casostestes[#Data],9)),"-")</f>
        <v>-</v>
      </c>
      <c r="K84" s="36"/>
      <c r="L84" s="45"/>
      <c r="M84" s="37"/>
      <c r="N84" s="38"/>
      <c r="O84" s="38"/>
      <c r="P84" s="39"/>
    </row>
    <row r="85" spans="2:16">
      <c r="B85" s="40" t="str">
        <f>IF(ISERR(casostestes[[#This Row],[ID]]),"-",casostestes[[#This Row],[ID]])</f>
        <v>-</v>
      </c>
      <c r="C85" s="34" t="str">
        <f>IFERROR(IF(VLOOKUP($B85,casostestes[#Data],10)=0,"Não",VLOOKUP($B85,casostestes[#Data],10)), "-")</f>
        <v>-</v>
      </c>
      <c r="D85" s="35" t="str">
        <f>IFERROR(IF(VLOOKUP($B85,casostestes[#Data],2)=0,"-",VLOOKUP($B85,casostestes[#Data],2)), "-")</f>
        <v>-</v>
      </c>
      <c r="E85" s="35" t="str">
        <f>IFERROR(IF(VLOOKUP($B85,casostestes[#Data],3)=0,"-",VLOOKUP($B85,casostestes[#Data],3)), "-")</f>
        <v>-</v>
      </c>
      <c r="F85" s="35" t="str">
        <f>IFERROR(IF(VLOOKUP($B85,casostestes[#Data],4)=0,"-",VLOOKUP($B85,casostestes[#Data],4)),"-")</f>
        <v>-</v>
      </c>
      <c r="G85" s="35" t="str">
        <f>IFERROR(IF(VLOOKUP($B85,casostestes[#Data],5)=0,"-",VLOOKUP($B85,casostestes[#Data],5)),"-")</f>
        <v>-</v>
      </c>
      <c r="H85" s="35" t="str">
        <f>IFERROR(IF(VLOOKUP($B85,casostestes[#Data],6)=0,"-",VLOOKUP($B85,casostestes[#Data],6)),"-")</f>
        <v>-</v>
      </c>
      <c r="I85" s="35" t="str">
        <f>IFERROR(IF(VLOOKUP($B85,casostestes[#Data],8)=0,"-",VLOOKUP($B85,casostestes[#Data],8)),"-")</f>
        <v>-</v>
      </c>
      <c r="J85" s="35" t="str">
        <f>IFERROR(IF(VLOOKUP($B85,casostestes[#Data],9)=0,"-",VLOOKUP($B85,casostestes[#Data],9)),"-")</f>
        <v>-</v>
      </c>
      <c r="K85" s="36"/>
      <c r="L85" s="45"/>
      <c r="M85" s="37"/>
      <c r="N85" s="38"/>
      <c r="O85" s="38"/>
      <c r="P85" s="39"/>
    </row>
    <row r="86" spans="2:16">
      <c r="B86" s="40" t="str">
        <f>IF(ISERR(casostestes[[#This Row],[ID]]),"-",casostestes[[#This Row],[ID]])</f>
        <v>-</v>
      </c>
      <c r="C86" s="34" t="str">
        <f>IFERROR(IF(VLOOKUP($B86,casostestes[#Data],10)=0,"Não",VLOOKUP($B86,casostestes[#Data],10)), "-")</f>
        <v>-</v>
      </c>
      <c r="D86" s="35" t="str">
        <f>IFERROR(IF(VLOOKUP($B86,casostestes[#Data],2)=0,"-",VLOOKUP($B86,casostestes[#Data],2)), "-")</f>
        <v>-</v>
      </c>
      <c r="E86" s="35" t="str">
        <f>IFERROR(IF(VLOOKUP($B86,casostestes[#Data],3)=0,"-",VLOOKUP($B86,casostestes[#Data],3)), "-")</f>
        <v>-</v>
      </c>
      <c r="F86" s="35" t="str">
        <f>IFERROR(IF(VLOOKUP($B86,casostestes[#Data],4)=0,"-",VLOOKUP($B86,casostestes[#Data],4)),"-")</f>
        <v>-</v>
      </c>
      <c r="G86" s="35" t="str">
        <f>IFERROR(IF(VLOOKUP($B86,casostestes[#Data],5)=0,"-",VLOOKUP($B86,casostestes[#Data],5)),"-")</f>
        <v>-</v>
      </c>
      <c r="H86" s="35" t="str">
        <f>IFERROR(IF(VLOOKUP($B86,casostestes[#Data],6)=0,"-",VLOOKUP($B86,casostestes[#Data],6)),"-")</f>
        <v>-</v>
      </c>
      <c r="I86" s="35" t="str">
        <f>IFERROR(IF(VLOOKUP($B86,casostestes[#Data],8)=0,"-",VLOOKUP($B86,casostestes[#Data],8)),"-")</f>
        <v>-</v>
      </c>
      <c r="J86" s="35" t="str">
        <f>IFERROR(IF(VLOOKUP($B86,casostestes[#Data],9)=0,"-",VLOOKUP($B86,casostestes[#Data],9)),"-")</f>
        <v>-</v>
      </c>
      <c r="K86" s="36"/>
      <c r="L86" s="45"/>
      <c r="M86" s="37"/>
      <c r="N86" s="38"/>
      <c r="O86" s="38"/>
      <c r="P86" s="39"/>
    </row>
    <row r="87" spans="2:16">
      <c r="B87" s="40" t="str">
        <f>IF(ISERR(casostestes[[#This Row],[ID]]),"-",casostestes[[#This Row],[ID]])</f>
        <v>-</v>
      </c>
      <c r="C87" s="34" t="str">
        <f>IFERROR(IF(VLOOKUP($B87,casostestes[#Data],10)=0,"Não",VLOOKUP($B87,casostestes[#Data],10)), "-")</f>
        <v>-</v>
      </c>
      <c r="D87" s="35" t="str">
        <f>IFERROR(IF(VLOOKUP($B87,casostestes[#Data],2)=0,"-",VLOOKUP($B87,casostestes[#Data],2)), "-")</f>
        <v>-</v>
      </c>
      <c r="E87" s="35" t="str">
        <f>IFERROR(IF(VLOOKUP($B87,casostestes[#Data],3)=0,"-",VLOOKUP($B87,casostestes[#Data],3)), "-")</f>
        <v>-</v>
      </c>
      <c r="F87" s="35" t="str">
        <f>IFERROR(IF(VLOOKUP($B87,casostestes[#Data],4)=0,"-",VLOOKUP($B87,casostestes[#Data],4)),"-")</f>
        <v>-</v>
      </c>
      <c r="G87" s="35" t="str">
        <f>IFERROR(IF(VLOOKUP($B87,casostestes[#Data],5)=0,"-",VLOOKUP($B87,casostestes[#Data],5)),"-")</f>
        <v>-</v>
      </c>
      <c r="H87" s="35" t="str">
        <f>IFERROR(IF(VLOOKUP($B87,casostestes[#Data],6)=0,"-",VLOOKUP($B87,casostestes[#Data],6)),"-")</f>
        <v>-</v>
      </c>
      <c r="I87" s="35" t="str">
        <f>IFERROR(IF(VLOOKUP($B87,casostestes[#Data],8)=0,"-",VLOOKUP($B87,casostestes[#Data],8)),"-")</f>
        <v>-</v>
      </c>
      <c r="J87" s="35" t="str">
        <f>IFERROR(IF(VLOOKUP($B87,casostestes[#Data],9)=0,"-",VLOOKUP($B87,casostestes[#Data],9)),"-")</f>
        <v>-</v>
      </c>
      <c r="K87" s="36"/>
      <c r="L87" s="45"/>
      <c r="M87" s="37"/>
      <c r="N87" s="38"/>
      <c r="O87" s="38"/>
      <c r="P87" s="39"/>
    </row>
    <row r="88" spans="2:16">
      <c r="B88" s="40" t="str">
        <f>IF(ISERR(casostestes[[#This Row],[ID]]),"-",casostestes[[#This Row],[ID]])</f>
        <v>-</v>
      </c>
      <c r="C88" s="34" t="str">
        <f>IFERROR(IF(VLOOKUP($B88,casostestes[#Data],10)=0,"Não",VLOOKUP($B88,casostestes[#Data],10)), "-")</f>
        <v>-</v>
      </c>
      <c r="D88" s="35" t="str">
        <f>IFERROR(IF(VLOOKUP($B88,casostestes[#Data],2)=0,"-",VLOOKUP($B88,casostestes[#Data],2)), "-")</f>
        <v>-</v>
      </c>
      <c r="E88" s="35" t="str">
        <f>IFERROR(IF(VLOOKUP($B88,casostestes[#Data],3)=0,"-",VLOOKUP($B88,casostestes[#Data],3)), "-")</f>
        <v>-</v>
      </c>
      <c r="F88" s="35" t="str">
        <f>IFERROR(IF(VLOOKUP($B88,casostestes[#Data],4)=0,"-",VLOOKUP($B88,casostestes[#Data],4)),"-")</f>
        <v>-</v>
      </c>
      <c r="G88" s="35" t="str">
        <f>IFERROR(IF(VLOOKUP($B88,casostestes[#Data],5)=0,"-",VLOOKUP($B88,casostestes[#Data],5)),"-")</f>
        <v>-</v>
      </c>
      <c r="H88" s="35" t="str">
        <f>IFERROR(IF(VLOOKUP($B88,casostestes[#Data],6)=0,"-",VLOOKUP($B88,casostestes[#Data],6)),"-")</f>
        <v>-</v>
      </c>
      <c r="I88" s="35" t="str">
        <f>IFERROR(IF(VLOOKUP($B88,casostestes[#Data],8)=0,"-",VLOOKUP($B88,casostestes[#Data],8)),"-")</f>
        <v>-</v>
      </c>
      <c r="J88" s="35" t="str">
        <f>IFERROR(IF(VLOOKUP($B88,casostestes[#Data],9)=0,"-",VLOOKUP($B88,casostestes[#Data],9)),"-")</f>
        <v>-</v>
      </c>
      <c r="K88" s="36"/>
      <c r="L88" s="45"/>
      <c r="M88" s="37"/>
      <c r="N88" s="38"/>
      <c r="O88" s="38"/>
      <c r="P88" s="39"/>
    </row>
    <row r="89" spans="2:16">
      <c r="B89" s="40" t="str">
        <f>IF(ISERR(casostestes[[#This Row],[ID]]),"-",casostestes[[#This Row],[ID]])</f>
        <v>-</v>
      </c>
      <c r="C89" s="34" t="str">
        <f>IFERROR(IF(VLOOKUP($B89,casostestes[#Data],10)=0,"Não",VLOOKUP($B89,casostestes[#Data],10)), "-")</f>
        <v>-</v>
      </c>
      <c r="D89" s="35" t="str">
        <f>IFERROR(IF(VLOOKUP($B89,casostestes[#Data],2)=0,"-",VLOOKUP($B89,casostestes[#Data],2)), "-")</f>
        <v>-</v>
      </c>
      <c r="E89" s="35" t="str">
        <f>IFERROR(IF(VLOOKUP($B89,casostestes[#Data],3)=0,"-",VLOOKUP($B89,casostestes[#Data],3)), "-")</f>
        <v>-</v>
      </c>
      <c r="F89" s="35" t="str">
        <f>IFERROR(IF(VLOOKUP($B89,casostestes[#Data],4)=0,"-",VLOOKUP($B89,casostestes[#Data],4)),"-")</f>
        <v>-</v>
      </c>
      <c r="G89" s="35" t="str">
        <f>IFERROR(IF(VLOOKUP($B89,casostestes[#Data],5)=0,"-",VLOOKUP($B89,casostestes[#Data],5)),"-")</f>
        <v>-</v>
      </c>
      <c r="H89" s="35" t="str">
        <f>IFERROR(IF(VLOOKUP($B89,casostestes[#Data],6)=0,"-",VLOOKUP($B89,casostestes[#Data],6)),"-")</f>
        <v>-</v>
      </c>
      <c r="I89" s="35" t="str">
        <f>IFERROR(IF(VLOOKUP($B89,casostestes[#Data],8)=0,"-",VLOOKUP($B89,casostestes[#Data],8)),"-")</f>
        <v>-</v>
      </c>
      <c r="J89" s="35" t="str">
        <f>IFERROR(IF(VLOOKUP($B89,casostestes[#Data],9)=0,"-",VLOOKUP($B89,casostestes[#Data],9)),"-")</f>
        <v>-</v>
      </c>
      <c r="K89" s="36"/>
      <c r="L89" s="45"/>
      <c r="M89" s="37"/>
      <c r="N89" s="38"/>
      <c r="O89" s="38"/>
      <c r="P89" s="39"/>
    </row>
    <row r="90" spans="2:16">
      <c r="B90" s="40" t="str">
        <f>IF(ISERR(casostestes[[#This Row],[ID]]),"-",casostestes[[#This Row],[ID]])</f>
        <v>-</v>
      </c>
      <c r="C90" s="34" t="str">
        <f>IFERROR(IF(VLOOKUP($B90,casostestes[#Data],10)=0,"Não",VLOOKUP($B90,casostestes[#Data],10)), "-")</f>
        <v>-</v>
      </c>
      <c r="D90" s="35" t="str">
        <f>IFERROR(IF(VLOOKUP($B90,casostestes[#Data],2)=0,"-",VLOOKUP($B90,casostestes[#Data],2)), "-")</f>
        <v>-</v>
      </c>
      <c r="E90" s="35" t="str">
        <f>IFERROR(IF(VLOOKUP($B90,casostestes[#Data],3)=0,"-",VLOOKUP($B90,casostestes[#Data],3)), "-")</f>
        <v>-</v>
      </c>
      <c r="F90" s="35" t="str">
        <f>IFERROR(IF(VLOOKUP($B90,casostestes[#Data],4)=0,"-",VLOOKUP($B90,casostestes[#Data],4)),"-")</f>
        <v>-</v>
      </c>
      <c r="G90" s="35" t="str">
        <f>IFERROR(IF(VLOOKUP($B90,casostestes[#Data],5)=0,"-",VLOOKUP($B90,casostestes[#Data],5)),"-")</f>
        <v>-</v>
      </c>
      <c r="H90" s="35" t="str">
        <f>IFERROR(IF(VLOOKUP($B90,casostestes[#Data],6)=0,"-",VLOOKUP($B90,casostestes[#Data],6)),"-")</f>
        <v>-</v>
      </c>
      <c r="I90" s="35" t="str">
        <f>IFERROR(IF(VLOOKUP($B90,casostestes[#Data],8)=0,"-",VLOOKUP($B90,casostestes[#Data],8)),"-")</f>
        <v>-</v>
      </c>
      <c r="J90" s="35" t="str">
        <f>IFERROR(IF(VLOOKUP($B90,casostestes[#Data],9)=0,"-",VLOOKUP($B90,casostestes[#Data],9)),"-")</f>
        <v>-</v>
      </c>
      <c r="K90" s="36"/>
      <c r="L90" s="45"/>
      <c r="M90" s="37"/>
      <c r="N90" s="38"/>
      <c r="O90" s="38"/>
      <c r="P90" s="39"/>
    </row>
    <row r="91" spans="2:16">
      <c r="B91" s="40" t="str">
        <f>IF(ISERR(casostestes[[#This Row],[ID]]),"-",casostestes[[#This Row],[ID]])</f>
        <v>-</v>
      </c>
      <c r="C91" s="34" t="str">
        <f>IFERROR(IF(VLOOKUP($B91,casostestes[#Data],10)=0,"Não",VLOOKUP($B91,casostestes[#Data],10)), "-")</f>
        <v>-</v>
      </c>
      <c r="D91" s="35" t="str">
        <f>IFERROR(IF(VLOOKUP($B91,casostestes[#Data],2)=0,"-",VLOOKUP($B91,casostestes[#Data],2)), "-")</f>
        <v>-</v>
      </c>
      <c r="E91" s="35" t="str">
        <f>IFERROR(IF(VLOOKUP($B91,casostestes[#Data],3)=0,"-",VLOOKUP($B91,casostestes[#Data],3)), "-")</f>
        <v>-</v>
      </c>
      <c r="F91" s="35" t="str">
        <f>IFERROR(IF(VLOOKUP($B91,casostestes[#Data],4)=0,"-",VLOOKUP($B91,casostestes[#Data],4)),"-")</f>
        <v>-</v>
      </c>
      <c r="G91" s="35" t="str">
        <f>IFERROR(IF(VLOOKUP($B91,casostestes[#Data],5)=0,"-",VLOOKUP($B91,casostestes[#Data],5)),"-")</f>
        <v>-</v>
      </c>
      <c r="H91" s="35" t="str">
        <f>IFERROR(IF(VLOOKUP($B91,casostestes[#Data],6)=0,"-",VLOOKUP($B91,casostestes[#Data],6)),"-")</f>
        <v>-</v>
      </c>
      <c r="I91" s="35" t="str">
        <f>IFERROR(IF(VLOOKUP($B91,casostestes[#Data],8)=0,"-",VLOOKUP($B91,casostestes[#Data],8)),"-")</f>
        <v>-</v>
      </c>
      <c r="J91" s="35" t="str">
        <f>IFERROR(IF(VLOOKUP($B91,casostestes[#Data],9)=0,"-",VLOOKUP($B91,casostestes[#Data],9)),"-")</f>
        <v>-</v>
      </c>
      <c r="K91" s="36"/>
      <c r="L91" s="45"/>
      <c r="M91" s="37"/>
      <c r="N91" s="38"/>
      <c r="O91" s="38"/>
      <c r="P91" s="39"/>
    </row>
    <row r="92" spans="2:16">
      <c r="B92" s="40" t="str">
        <f>IF(ISERR(casostestes[[#This Row],[ID]]),"-",casostestes[[#This Row],[ID]])</f>
        <v>-</v>
      </c>
      <c r="C92" s="34" t="str">
        <f>IFERROR(IF(VLOOKUP($B92,casostestes[#Data],10)=0,"Não",VLOOKUP($B92,casostestes[#Data],10)), "-")</f>
        <v>-</v>
      </c>
      <c r="D92" s="35" t="str">
        <f>IFERROR(IF(VLOOKUP($B92,casostestes[#Data],2)=0,"-",VLOOKUP($B92,casostestes[#Data],2)), "-")</f>
        <v>-</v>
      </c>
      <c r="E92" s="35" t="str">
        <f>IFERROR(IF(VLOOKUP($B92,casostestes[#Data],3)=0,"-",VLOOKUP($B92,casostestes[#Data],3)), "-")</f>
        <v>-</v>
      </c>
      <c r="F92" s="35" t="str">
        <f>IFERROR(IF(VLOOKUP($B92,casostestes[#Data],4)=0,"-",VLOOKUP($B92,casostestes[#Data],4)),"-")</f>
        <v>-</v>
      </c>
      <c r="G92" s="35" t="str">
        <f>IFERROR(IF(VLOOKUP($B92,casostestes[#Data],5)=0,"-",VLOOKUP($B92,casostestes[#Data],5)),"-")</f>
        <v>-</v>
      </c>
      <c r="H92" s="35" t="str">
        <f>IFERROR(IF(VLOOKUP($B92,casostestes[#Data],6)=0,"-",VLOOKUP($B92,casostestes[#Data],6)),"-")</f>
        <v>-</v>
      </c>
      <c r="I92" s="35" t="str">
        <f>IFERROR(IF(VLOOKUP($B92,casostestes[#Data],8)=0,"-",VLOOKUP($B92,casostestes[#Data],8)),"-")</f>
        <v>-</v>
      </c>
      <c r="J92" s="35" t="str">
        <f>IFERROR(IF(VLOOKUP($B92,casostestes[#Data],9)=0,"-",VLOOKUP($B92,casostestes[#Data],9)),"-")</f>
        <v>-</v>
      </c>
      <c r="K92" s="36"/>
      <c r="L92" s="45"/>
      <c r="M92" s="37"/>
      <c r="N92" s="38"/>
      <c r="O92" s="38"/>
      <c r="P92" s="39"/>
    </row>
    <row r="93" spans="2:16">
      <c r="B93" s="40" t="str">
        <f>IF(ISERR(casostestes[[#This Row],[ID]]),"-",casostestes[[#This Row],[ID]])</f>
        <v>-</v>
      </c>
      <c r="C93" s="34" t="str">
        <f>IFERROR(IF(VLOOKUP($B93,casostestes[#Data],10)=0,"Não",VLOOKUP($B93,casostestes[#Data],10)), "-")</f>
        <v>-</v>
      </c>
      <c r="D93" s="35" t="str">
        <f>IFERROR(IF(VLOOKUP($B93,casostestes[#Data],2)=0,"-",VLOOKUP($B93,casostestes[#Data],2)), "-")</f>
        <v>-</v>
      </c>
      <c r="E93" s="35" t="str">
        <f>IFERROR(IF(VLOOKUP($B93,casostestes[#Data],3)=0,"-",VLOOKUP($B93,casostestes[#Data],3)), "-")</f>
        <v>-</v>
      </c>
      <c r="F93" s="35" t="str">
        <f>IFERROR(IF(VLOOKUP($B93,casostestes[#Data],4)=0,"-",VLOOKUP($B93,casostestes[#Data],4)),"-")</f>
        <v>-</v>
      </c>
      <c r="G93" s="35" t="str">
        <f>IFERROR(IF(VLOOKUP($B93,casostestes[#Data],5)=0,"-",VLOOKUP($B93,casostestes[#Data],5)),"-")</f>
        <v>-</v>
      </c>
      <c r="H93" s="35" t="str">
        <f>IFERROR(IF(VLOOKUP($B93,casostestes[#Data],6)=0,"-",VLOOKUP($B93,casostestes[#Data],6)),"-")</f>
        <v>-</v>
      </c>
      <c r="I93" s="35" t="str">
        <f>IFERROR(IF(VLOOKUP($B93,casostestes[#Data],8)=0,"-",VLOOKUP($B93,casostestes[#Data],8)),"-")</f>
        <v>-</v>
      </c>
      <c r="J93" s="35" t="str">
        <f>IFERROR(IF(VLOOKUP($B93,casostestes[#Data],9)=0,"-",VLOOKUP($B93,casostestes[#Data],9)),"-")</f>
        <v>-</v>
      </c>
      <c r="K93" s="36"/>
      <c r="L93" s="45"/>
      <c r="M93" s="37"/>
      <c r="N93" s="38"/>
      <c r="O93" s="38"/>
      <c r="P93" s="39"/>
    </row>
    <row r="94" spans="2:16">
      <c r="B94" s="40" t="str">
        <f>IF(ISERR(casostestes[[#This Row],[ID]]),"-",casostestes[[#This Row],[ID]])</f>
        <v>-</v>
      </c>
      <c r="C94" s="34" t="str">
        <f>IFERROR(IF(VLOOKUP($B94,casostestes[#Data],10)=0,"Não",VLOOKUP($B94,casostestes[#Data],10)), "-")</f>
        <v>-</v>
      </c>
      <c r="D94" s="35" t="str">
        <f>IFERROR(IF(VLOOKUP($B94,casostestes[#Data],2)=0,"-",VLOOKUP($B94,casostestes[#Data],2)), "-")</f>
        <v>-</v>
      </c>
      <c r="E94" s="35" t="str">
        <f>IFERROR(IF(VLOOKUP($B94,casostestes[#Data],3)=0,"-",VLOOKUP($B94,casostestes[#Data],3)), "-")</f>
        <v>-</v>
      </c>
      <c r="F94" s="35" t="str">
        <f>IFERROR(IF(VLOOKUP($B94,casostestes[#Data],4)=0,"-",VLOOKUP($B94,casostestes[#Data],4)),"-")</f>
        <v>-</v>
      </c>
      <c r="G94" s="35" t="str">
        <f>IFERROR(IF(VLOOKUP($B94,casostestes[#Data],5)=0,"-",VLOOKUP($B94,casostestes[#Data],5)),"-")</f>
        <v>-</v>
      </c>
      <c r="H94" s="35" t="str">
        <f>IFERROR(IF(VLOOKUP($B94,casostestes[#Data],6)=0,"-",VLOOKUP($B94,casostestes[#Data],6)),"-")</f>
        <v>-</v>
      </c>
      <c r="I94" s="35" t="str">
        <f>IFERROR(IF(VLOOKUP($B94,casostestes[#Data],8)=0,"-",VLOOKUP($B94,casostestes[#Data],8)),"-")</f>
        <v>-</v>
      </c>
      <c r="J94" s="35" t="str">
        <f>IFERROR(IF(VLOOKUP($B94,casostestes[#Data],9)=0,"-",VLOOKUP($B94,casostestes[#Data],9)),"-")</f>
        <v>-</v>
      </c>
      <c r="K94" s="36"/>
      <c r="L94" s="45"/>
      <c r="M94" s="37"/>
      <c r="N94" s="38"/>
      <c r="O94" s="38"/>
      <c r="P94" s="39"/>
    </row>
    <row r="95" spans="2:16">
      <c r="B95" s="40" t="str">
        <f>IF(ISERR(casostestes[[#This Row],[ID]]),"-",casostestes[[#This Row],[ID]])</f>
        <v>-</v>
      </c>
      <c r="C95" s="34" t="str">
        <f>IFERROR(IF(VLOOKUP($B95,casostestes[#Data],10)=0,"Não",VLOOKUP($B95,casostestes[#Data],10)), "-")</f>
        <v>-</v>
      </c>
      <c r="D95" s="35" t="str">
        <f>IFERROR(IF(VLOOKUP($B95,casostestes[#Data],2)=0,"-",VLOOKUP($B95,casostestes[#Data],2)), "-")</f>
        <v>-</v>
      </c>
      <c r="E95" s="35" t="str">
        <f>IFERROR(IF(VLOOKUP($B95,casostestes[#Data],3)=0,"-",VLOOKUP($B95,casostestes[#Data],3)), "-")</f>
        <v>-</v>
      </c>
      <c r="F95" s="35" t="str">
        <f>IFERROR(IF(VLOOKUP($B95,casostestes[#Data],4)=0,"-",VLOOKUP($B95,casostestes[#Data],4)),"-")</f>
        <v>-</v>
      </c>
      <c r="G95" s="35" t="str">
        <f>IFERROR(IF(VLOOKUP($B95,casostestes[#Data],5)=0,"-",VLOOKUP($B95,casostestes[#Data],5)),"-")</f>
        <v>-</v>
      </c>
      <c r="H95" s="35" t="str">
        <f>IFERROR(IF(VLOOKUP($B95,casostestes[#Data],6)=0,"-",VLOOKUP($B95,casostestes[#Data],6)),"-")</f>
        <v>-</v>
      </c>
      <c r="I95" s="35" t="str">
        <f>IFERROR(IF(VLOOKUP($B95,casostestes[#Data],8)=0,"-",VLOOKUP($B95,casostestes[#Data],8)),"-")</f>
        <v>-</v>
      </c>
      <c r="J95" s="35" t="str">
        <f>IFERROR(IF(VLOOKUP($B95,casostestes[#Data],9)=0,"-",VLOOKUP($B95,casostestes[#Data],9)),"-")</f>
        <v>-</v>
      </c>
      <c r="K95" s="36"/>
      <c r="L95" s="45"/>
      <c r="M95" s="37"/>
      <c r="N95" s="38"/>
      <c r="O95" s="38"/>
      <c r="P95" s="39"/>
    </row>
    <row r="96" spans="2:16">
      <c r="B96" s="40" t="str">
        <f>IF(ISERR(casostestes[[#This Row],[ID]]),"-",casostestes[[#This Row],[ID]])</f>
        <v>-</v>
      </c>
      <c r="C96" s="34" t="str">
        <f>IFERROR(IF(VLOOKUP($B96,casostestes[#Data],10)=0,"Não",VLOOKUP($B96,casostestes[#Data],10)), "-")</f>
        <v>-</v>
      </c>
      <c r="D96" s="35" t="str">
        <f>IFERROR(IF(VLOOKUP($B96,casostestes[#Data],2)=0,"-",VLOOKUP($B96,casostestes[#Data],2)), "-")</f>
        <v>-</v>
      </c>
      <c r="E96" s="35" t="str">
        <f>IFERROR(IF(VLOOKUP($B96,casostestes[#Data],3)=0,"-",VLOOKUP($B96,casostestes[#Data],3)), "-")</f>
        <v>-</v>
      </c>
      <c r="F96" s="35" t="str">
        <f>IFERROR(IF(VLOOKUP($B96,casostestes[#Data],4)=0,"-",VLOOKUP($B96,casostestes[#Data],4)),"-")</f>
        <v>-</v>
      </c>
      <c r="G96" s="35" t="str">
        <f>IFERROR(IF(VLOOKUP($B96,casostestes[#Data],5)=0,"-",VLOOKUP($B96,casostestes[#Data],5)),"-")</f>
        <v>-</v>
      </c>
      <c r="H96" s="35" t="str">
        <f>IFERROR(IF(VLOOKUP($B96,casostestes[#Data],6)=0,"-",VLOOKUP($B96,casostestes[#Data],6)),"-")</f>
        <v>-</v>
      </c>
      <c r="I96" s="35" t="str">
        <f>IFERROR(IF(VLOOKUP($B96,casostestes[#Data],8)=0,"-",VLOOKUP($B96,casostestes[#Data],8)),"-")</f>
        <v>-</v>
      </c>
      <c r="J96" s="35" t="str">
        <f>IFERROR(IF(VLOOKUP($B96,casostestes[#Data],9)=0,"-",VLOOKUP($B96,casostestes[#Data],9)),"-")</f>
        <v>-</v>
      </c>
      <c r="K96" s="36"/>
      <c r="L96" s="45"/>
      <c r="M96" s="37"/>
      <c r="N96" s="38"/>
      <c r="O96" s="38"/>
      <c r="P96" s="39"/>
    </row>
    <row r="97" spans="2:16">
      <c r="B97" s="40" t="str">
        <f>IF(ISERR(casostestes[[#This Row],[ID]]),"-",casostestes[[#This Row],[ID]])</f>
        <v>-</v>
      </c>
      <c r="C97" s="34" t="str">
        <f>IFERROR(IF(VLOOKUP($B97,casostestes[#Data],10)=0,"Não",VLOOKUP($B97,casostestes[#Data],10)), "-")</f>
        <v>-</v>
      </c>
      <c r="D97" s="35" t="str">
        <f>IFERROR(IF(VLOOKUP($B97,casostestes[#Data],2)=0,"-",VLOOKUP($B97,casostestes[#Data],2)), "-")</f>
        <v>-</v>
      </c>
      <c r="E97" s="35" t="str">
        <f>IFERROR(IF(VLOOKUP($B97,casostestes[#Data],3)=0,"-",VLOOKUP($B97,casostestes[#Data],3)), "-")</f>
        <v>-</v>
      </c>
      <c r="F97" s="35" t="str">
        <f>IFERROR(IF(VLOOKUP($B97,casostestes[#Data],4)=0,"-",VLOOKUP($B97,casostestes[#Data],4)),"-")</f>
        <v>-</v>
      </c>
      <c r="G97" s="35" t="str">
        <f>IFERROR(IF(VLOOKUP($B97,casostestes[#Data],5)=0,"-",VLOOKUP($B97,casostestes[#Data],5)),"-")</f>
        <v>-</v>
      </c>
      <c r="H97" s="35" t="str">
        <f>IFERROR(IF(VLOOKUP($B97,casostestes[#Data],6)=0,"-",VLOOKUP($B97,casostestes[#Data],6)),"-")</f>
        <v>-</v>
      </c>
      <c r="I97" s="35" t="str">
        <f>IFERROR(IF(VLOOKUP($B97,casostestes[#Data],8)=0,"-",VLOOKUP($B97,casostestes[#Data],8)),"-")</f>
        <v>-</v>
      </c>
      <c r="J97" s="35" t="str">
        <f>IFERROR(IF(VLOOKUP($B97,casostestes[#Data],9)=0,"-",VLOOKUP($B97,casostestes[#Data],9)),"-")</f>
        <v>-</v>
      </c>
      <c r="K97" s="36"/>
      <c r="L97" s="45"/>
      <c r="M97" s="37"/>
      <c r="N97" s="38"/>
      <c r="O97" s="38"/>
      <c r="P97" s="39"/>
    </row>
    <row r="98" spans="2:16">
      <c r="B98" s="40" t="str">
        <f>IF(ISERR(casostestes[[#This Row],[ID]]),"-",casostestes[[#This Row],[ID]])</f>
        <v>-</v>
      </c>
      <c r="C98" s="34" t="str">
        <f>IFERROR(IF(VLOOKUP($B98,casostestes[#Data],10)=0,"Não",VLOOKUP($B98,casostestes[#Data],10)), "-")</f>
        <v>-</v>
      </c>
      <c r="D98" s="35" t="str">
        <f>IFERROR(IF(VLOOKUP($B98,casostestes[#Data],2)=0,"-",VLOOKUP($B98,casostestes[#Data],2)), "-")</f>
        <v>-</v>
      </c>
      <c r="E98" s="35" t="str">
        <f>IFERROR(IF(VLOOKUP($B98,casostestes[#Data],3)=0,"-",VLOOKUP($B98,casostestes[#Data],3)), "-")</f>
        <v>-</v>
      </c>
      <c r="F98" s="35" t="str">
        <f>IFERROR(IF(VLOOKUP($B98,casostestes[#Data],4)=0,"-",VLOOKUP($B98,casostestes[#Data],4)),"-")</f>
        <v>-</v>
      </c>
      <c r="G98" s="35" t="str">
        <f>IFERROR(IF(VLOOKUP($B98,casostestes[#Data],5)=0,"-",VLOOKUP($B98,casostestes[#Data],5)),"-")</f>
        <v>-</v>
      </c>
      <c r="H98" s="35" t="str">
        <f>IFERROR(IF(VLOOKUP($B98,casostestes[#Data],6)=0,"-",VLOOKUP($B98,casostestes[#Data],6)),"-")</f>
        <v>-</v>
      </c>
      <c r="I98" s="35" t="str">
        <f>IFERROR(IF(VLOOKUP($B98,casostestes[#Data],8)=0,"-",VLOOKUP($B98,casostestes[#Data],8)),"-")</f>
        <v>-</v>
      </c>
      <c r="J98" s="35" t="str">
        <f>IFERROR(IF(VLOOKUP($B98,casostestes[#Data],9)=0,"-",VLOOKUP($B98,casostestes[#Data],9)),"-")</f>
        <v>-</v>
      </c>
      <c r="K98" s="36"/>
      <c r="L98" s="45"/>
      <c r="M98" s="37"/>
      <c r="N98" s="38"/>
      <c r="O98" s="38"/>
      <c r="P98" s="39"/>
    </row>
    <row r="99" spans="2:16">
      <c r="B99" s="40" t="str">
        <f>IF(ISERR(casostestes[[#This Row],[ID]]),"-",casostestes[[#This Row],[ID]])</f>
        <v>-</v>
      </c>
      <c r="C99" s="41" t="str">
        <f>IFERROR(IF(VLOOKUP($B99,casostestes[#Data],10)=0,"Não",VLOOKUP($B99,casostestes[#Data],10)), "-")</f>
        <v>-</v>
      </c>
      <c r="D99" s="42" t="str">
        <f>IFERROR(IF(VLOOKUP($B99,casostestes[#Data],2)=0,"-",VLOOKUP($B99,casostestes[#Data],2)), "-")</f>
        <v>-</v>
      </c>
      <c r="E99" s="42" t="str">
        <f>IFERROR(IF(VLOOKUP($B99,casostestes[#Data],3)=0,"-",VLOOKUP($B99,casostestes[#Data],3)), "-")</f>
        <v>-</v>
      </c>
      <c r="F99" s="42" t="str">
        <f>IFERROR(IF(VLOOKUP($B99,casostestes[#Data],4)=0,"-",VLOOKUP($B99,casostestes[#Data],4)),"-")</f>
        <v>-</v>
      </c>
      <c r="G99" s="42" t="str">
        <f>IFERROR(IF(VLOOKUP($B99,casostestes[#Data],5)=0,"-",VLOOKUP($B99,casostestes[#Data],5)),"-")</f>
        <v>-</v>
      </c>
      <c r="H99" s="42" t="str">
        <f>IFERROR(IF(VLOOKUP($B99,casostestes[#Data],6)=0,"-",VLOOKUP($B99,casostestes[#Data],6)),"-")</f>
        <v>-</v>
      </c>
      <c r="I99" s="42" t="str">
        <f>IFERROR(IF(VLOOKUP($B99,casostestes[#Data],8)=0,"-",VLOOKUP($B99,casostestes[#Data],8)),"-")</f>
        <v>-</v>
      </c>
      <c r="J99" s="42" t="str">
        <f>IFERROR(IF(VLOOKUP($B99,casostestes[#Data],9)=0,"-",VLOOKUP($B99,casostestes[#Data],9)),"-")</f>
        <v>-</v>
      </c>
      <c r="K99" s="43"/>
      <c r="L99" s="45"/>
      <c r="M99" s="44"/>
      <c r="N99" s="45"/>
      <c r="O99" s="45"/>
      <c r="P99" s="46"/>
    </row>
    <row r="100" spans="2:16">
      <c r="B100" s="40" t="str">
        <f>IF(ISERR(casostestes[[#This Row],[ID]]),"-",casostestes[[#This Row],[ID]])</f>
        <v>-</v>
      </c>
      <c r="C100" s="34" t="str">
        <f>IFERROR(IF(VLOOKUP($B100,casostestes[#Data],10)=0,"Não",VLOOKUP($B100,casostestes[#Data],10)), "-")</f>
        <v>-</v>
      </c>
      <c r="D100" s="35" t="str">
        <f>IFERROR(IF(VLOOKUP($B100,casostestes[#Data],2)=0,"-",VLOOKUP($B100,casostestes[#Data],2)), "-")</f>
        <v>-</v>
      </c>
      <c r="E100" s="35" t="str">
        <f>IFERROR(IF(VLOOKUP($B100,casostestes[#Data],3)=0,"-",VLOOKUP($B100,casostestes[#Data],3)), "-")</f>
        <v>-</v>
      </c>
      <c r="F100" s="35" t="str">
        <f>IFERROR(IF(VLOOKUP($B100,casostestes[#Data],4)=0,"-",VLOOKUP($B100,casostestes[#Data],4)),"-")</f>
        <v>-</v>
      </c>
      <c r="G100" s="35" t="str">
        <f>IFERROR(IF(VLOOKUP($B100,casostestes[#Data],5)=0,"-",VLOOKUP($B100,casostestes[#Data],5)),"-")</f>
        <v>-</v>
      </c>
      <c r="H100" s="35" t="str">
        <f>IFERROR(IF(VLOOKUP($B100,casostestes[#Data],6)=0,"-",VLOOKUP($B100,casostestes[#Data],6)),"-")</f>
        <v>-</v>
      </c>
      <c r="I100" s="35" t="str">
        <f>IFERROR(IF(VLOOKUP($B100,casostestes[#Data],8)=0,"-",VLOOKUP($B100,casostestes[#Data],8)),"-")</f>
        <v>-</v>
      </c>
      <c r="J100" s="35" t="str">
        <f>IFERROR(IF(VLOOKUP($B100,casostestes[#Data],9)=0,"-",VLOOKUP($B100,casostestes[#Data],9)),"-")</f>
        <v>-</v>
      </c>
      <c r="K100" s="36"/>
      <c r="L100" s="45"/>
      <c r="M100" s="37"/>
      <c r="N100" s="38"/>
      <c r="O100" s="38"/>
      <c r="P100" s="39"/>
    </row>
    <row r="101" spans="2:16">
      <c r="B101" s="40" t="str">
        <f>IF(ISERR(casostestes[[#This Row],[ID]]),"-",casostestes[[#This Row],[ID]])</f>
        <v>-</v>
      </c>
      <c r="C101" s="34" t="str">
        <f>IFERROR(IF(VLOOKUP($B101,casostestes[#Data],10)=0,"Não",VLOOKUP($B101,casostestes[#Data],10)), "-")</f>
        <v>-</v>
      </c>
      <c r="D101" s="35" t="str">
        <f>IFERROR(IF(VLOOKUP($B101,casostestes[#Data],2)=0,"-",VLOOKUP($B101,casostestes[#Data],2)), "-")</f>
        <v>-</v>
      </c>
      <c r="E101" s="35" t="str">
        <f>IFERROR(IF(VLOOKUP($B101,casostestes[#Data],3)=0,"-",VLOOKUP($B101,casostestes[#Data],3)), "-")</f>
        <v>-</v>
      </c>
      <c r="F101" s="35" t="str">
        <f>IFERROR(IF(VLOOKUP($B101,casostestes[#Data],4)=0,"-",VLOOKUP($B101,casostestes[#Data],4)),"-")</f>
        <v>-</v>
      </c>
      <c r="G101" s="35" t="str">
        <f>IFERROR(IF(VLOOKUP($B101,casostestes[#Data],5)=0,"-",VLOOKUP($B101,casostestes[#Data],5)),"-")</f>
        <v>-</v>
      </c>
      <c r="H101" s="35" t="str">
        <f>IFERROR(IF(VLOOKUP($B101,casostestes[#Data],6)=0,"-",VLOOKUP($B101,casostestes[#Data],6)),"-")</f>
        <v>-</v>
      </c>
      <c r="I101" s="35" t="str">
        <f>IFERROR(IF(VLOOKUP($B101,casostestes[#Data],8)=0,"-",VLOOKUP($B101,casostestes[#Data],8)),"-")</f>
        <v>-</v>
      </c>
      <c r="J101" s="35" t="str">
        <f>IFERROR(IF(VLOOKUP($B101,casostestes[#Data],9)=0,"-",VLOOKUP($B101,casostestes[#Data],9)),"-")</f>
        <v>-</v>
      </c>
      <c r="K101" s="36"/>
      <c r="L101" s="45"/>
      <c r="M101" s="37"/>
      <c r="N101" s="38"/>
      <c r="O101" s="38"/>
      <c r="P101" s="39"/>
    </row>
    <row r="102" spans="2:16">
      <c r="B102" s="40" t="str">
        <f>IF(ISERR(casostestes[[#This Row],[ID]]),"-",casostestes[[#This Row],[ID]])</f>
        <v>-</v>
      </c>
      <c r="C102" s="34" t="str">
        <f>IFERROR(IF(VLOOKUP($B102,casostestes[#Data],10)=0,"Não",VLOOKUP($B102,casostestes[#Data],10)), "-")</f>
        <v>-</v>
      </c>
      <c r="D102" s="35" t="str">
        <f>IFERROR(IF(VLOOKUP($B102,casostestes[#Data],2)=0,"-",VLOOKUP($B102,casostestes[#Data],2)), "-")</f>
        <v>-</v>
      </c>
      <c r="E102" s="35" t="str">
        <f>IFERROR(IF(VLOOKUP($B102,casostestes[#Data],3)=0,"-",VLOOKUP($B102,casostestes[#Data],3)), "-")</f>
        <v>-</v>
      </c>
      <c r="F102" s="35" t="str">
        <f>IFERROR(IF(VLOOKUP($B102,casostestes[#Data],4)=0,"-",VLOOKUP($B102,casostestes[#Data],4)),"-")</f>
        <v>-</v>
      </c>
      <c r="G102" s="35" t="str">
        <f>IFERROR(IF(VLOOKUP($B102,casostestes[#Data],5)=0,"-",VLOOKUP($B102,casostestes[#Data],5)),"-")</f>
        <v>-</v>
      </c>
      <c r="H102" s="35" t="str">
        <f>IFERROR(IF(VLOOKUP($B102,casostestes[#Data],6)=0,"-",VLOOKUP($B102,casostestes[#Data],6)),"-")</f>
        <v>-</v>
      </c>
      <c r="I102" s="35" t="str">
        <f>IFERROR(IF(VLOOKUP($B102,casostestes[#Data],8)=0,"-",VLOOKUP($B102,casostestes[#Data],8)),"-")</f>
        <v>-</v>
      </c>
      <c r="J102" s="35" t="str">
        <f>IFERROR(IF(VLOOKUP($B102,casostestes[#Data],9)=0,"-",VLOOKUP($B102,casostestes[#Data],9)),"-")</f>
        <v>-</v>
      </c>
      <c r="K102" s="36"/>
      <c r="L102" s="45"/>
      <c r="M102" s="37"/>
      <c r="N102" s="38"/>
      <c r="O102" s="38"/>
      <c r="P102" s="39"/>
    </row>
    <row r="103" spans="2:16">
      <c r="B103" s="40" t="str">
        <f>IF(ISERR(casostestes[[#This Row],[ID]]),"-",casostestes[[#This Row],[ID]])</f>
        <v>-</v>
      </c>
      <c r="C103" s="34" t="str">
        <f>IFERROR(IF(VLOOKUP($B103,casostestes[#Data],10)=0,"Não",VLOOKUP($B103,casostestes[#Data],10)), "-")</f>
        <v>-</v>
      </c>
      <c r="D103" s="35" t="str">
        <f>IFERROR(IF(VLOOKUP($B103,casostestes[#Data],2)=0,"-",VLOOKUP($B103,casostestes[#Data],2)), "-")</f>
        <v>-</v>
      </c>
      <c r="E103" s="35" t="str">
        <f>IFERROR(IF(VLOOKUP($B103,casostestes[#Data],3)=0,"-",VLOOKUP($B103,casostestes[#Data],3)), "-")</f>
        <v>-</v>
      </c>
      <c r="F103" s="35" t="str">
        <f>IFERROR(IF(VLOOKUP($B103,casostestes[#Data],4)=0,"-",VLOOKUP($B103,casostestes[#Data],4)),"-")</f>
        <v>-</v>
      </c>
      <c r="G103" s="35" t="str">
        <f>IFERROR(IF(VLOOKUP($B103,casostestes[#Data],5)=0,"-",VLOOKUP($B103,casostestes[#Data],5)),"-")</f>
        <v>-</v>
      </c>
      <c r="H103" s="35" t="str">
        <f>IFERROR(IF(VLOOKUP($B103,casostestes[#Data],6)=0,"-",VLOOKUP($B103,casostestes[#Data],6)),"-")</f>
        <v>-</v>
      </c>
      <c r="I103" s="35" t="str">
        <f>IFERROR(IF(VLOOKUP($B103,casostestes[#Data],8)=0,"-",VLOOKUP($B103,casostestes[#Data],8)),"-")</f>
        <v>-</v>
      </c>
      <c r="J103" s="35" t="str">
        <f>IFERROR(IF(VLOOKUP($B103,casostestes[#Data],9)=0,"-",VLOOKUP($B103,casostestes[#Data],9)),"-")</f>
        <v>-</v>
      </c>
      <c r="K103" s="36"/>
      <c r="L103" s="45"/>
      <c r="M103" s="37"/>
      <c r="N103" s="38"/>
      <c r="O103" s="38"/>
      <c r="P103" s="39"/>
    </row>
    <row r="104" spans="2:16">
      <c r="B104" s="40" t="str">
        <f>IF(ISERR(casostestes[[#This Row],[ID]]),"-",casostestes[[#This Row],[ID]])</f>
        <v>-</v>
      </c>
      <c r="C104" s="34" t="str">
        <f>IFERROR(IF(VLOOKUP($B104,casostestes[#Data],10)=0,"Não",VLOOKUP($B104,casostestes[#Data],10)), "-")</f>
        <v>-</v>
      </c>
      <c r="D104" s="35" t="str">
        <f>IFERROR(IF(VLOOKUP($B104,casostestes[#Data],2)=0,"-",VLOOKUP($B104,casostestes[#Data],2)), "-")</f>
        <v>-</v>
      </c>
      <c r="E104" s="35" t="str">
        <f>IFERROR(IF(VLOOKUP($B104,casostestes[#Data],3)=0,"-",VLOOKUP($B104,casostestes[#Data],3)), "-")</f>
        <v>-</v>
      </c>
      <c r="F104" s="35" t="str">
        <f>IFERROR(IF(VLOOKUP($B104,casostestes[#Data],4)=0,"-",VLOOKUP($B104,casostestes[#Data],4)),"-")</f>
        <v>-</v>
      </c>
      <c r="G104" s="35" t="str">
        <f>IFERROR(IF(VLOOKUP($B104,casostestes[#Data],5)=0,"-",VLOOKUP($B104,casostestes[#Data],5)),"-")</f>
        <v>-</v>
      </c>
      <c r="H104" s="35" t="str">
        <f>IFERROR(IF(VLOOKUP($B104,casostestes[#Data],6)=0,"-",VLOOKUP($B104,casostestes[#Data],6)),"-")</f>
        <v>-</v>
      </c>
      <c r="I104" s="35" t="str">
        <f>IFERROR(IF(VLOOKUP($B104,casostestes[#Data],8)=0,"-",VLOOKUP($B104,casostestes[#Data],8)),"-")</f>
        <v>-</v>
      </c>
      <c r="J104" s="35" t="str">
        <f>IFERROR(IF(VLOOKUP($B104,casostestes[#Data],9)=0,"-",VLOOKUP($B104,casostestes[#Data],9)),"-")</f>
        <v>-</v>
      </c>
      <c r="K104" s="36"/>
      <c r="L104" s="45"/>
      <c r="M104" s="37"/>
      <c r="N104" s="38"/>
      <c r="O104" s="38"/>
      <c r="P104" s="39"/>
    </row>
    <row r="105" spans="2:16">
      <c r="B105" s="40" t="str">
        <f>IF(ISERR(casostestes[[#This Row],[ID]]),"-",casostestes[[#This Row],[ID]])</f>
        <v>-</v>
      </c>
      <c r="C105" s="34" t="str">
        <f>IFERROR(IF(VLOOKUP($B105,casostestes[#Data],10)=0,"Não",VLOOKUP($B105,casostestes[#Data],10)), "-")</f>
        <v>-</v>
      </c>
      <c r="D105" s="35" t="str">
        <f>IFERROR(IF(VLOOKUP($B105,casostestes[#Data],2)=0,"-",VLOOKUP($B105,casostestes[#Data],2)), "-")</f>
        <v>-</v>
      </c>
      <c r="E105" s="35" t="str">
        <f>IFERROR(IF(VLOOKUP($B105,casostestes[#Data],3)=0,"-",VLOOKUP($B105,casostestes[#Data],3)), "-")</f>
        <v>-</v>
      </c>
      <c r="F105" s="35" t="str">
        <f>IFERROR(IF(VLOOKUP($B105,casostestes[#Data],4)=0,"-",VLOOKUP($B105,casostestes[#Data],4)),"-")</f>
        <v>-</v>
      </c>
      <c r="G105" s="35" t="str">
        <f>IFERROR(IF(VLOOKUP($B105,casostestes[#Data],5)=0,"-",VLOOKUP($B105,casostestes[#Data],5)),"-")</f>
        <v>-</v>
      </c>
      <c r="H105" s="35" t="str">
        <f>IFERROR(IF(VLOOKUP($B105,casostestes[#Data],6)=0,"-",VLOOKUP($B105,casostestes[#Data],6)),"-")</f>
        <v>-</v>
      </c>
      <c r="I105" s="35" t="str">
        <f>IFERROR(IF(VLOOKUP($B105,casostestes[#Data],8)=0,"-",VLOOKUP($B105,casostestes[#Data],8)),"-")</f>
        <v>-</v>
      </c>
      <c r="J105" s="35" t="str">
        <f>IFERROR(IF(VLOOKUP($B105,casostestes[#Data],9)=0,"-",VLOOKUP($B105,casostestes[#Data],9)),"-")</f>
        <v>-</v>
      </c>
      <c r="K105" s="36"/>
      <c r="L105" s="45"/>
      <c r="M105" s="37"/>
      <c r="N105" s="38"/>
      <c r="O105" s="38"/>
      <c r="P105" s="39"/>
    </row>
    <row r="106" spans="2:16">
      <c r="B106" s="40" t="str">
        <f>IF(ISERR(casostestes[[#This Row],[ID]]),"-",casostestes[[#This Row],[ID]])</f>
        <v>-</v>
      </c>
      <c r="C106" s="34" t="str">
        <f>IFERROR(IF(VLOOKUP($B106,casostestes[#Data],10)=0,"Não",VLOOKUP($B106,casostestes[#Data],10)), "-")</f>
        <v>-</v>
      </c>
      <c r="D106" s="35" t="str">
        <f>IFERROR(IF(VLOOKUP($B106,casostestes[#Data],2)=0,"-",VLOOKUP($B106,casostestes[#Data],2)), "-")</f>
        <v>-</v>
      </c>
      <c r="E106" s="35" t="str">
        <f>IFERROR(IF(VLOOKUP($B106,casostestes[#Data],3)=0,"-",VLOOKUP($B106,casostestes[#Data],3)), "-")</f>
        <v>-</v>
      </c>
      <c r="F106" s="35" t="str">
        <f>IFERROR(IF(VLOOKUP($B106,casostestes[#Data],4)=0,"-",VLOOKUP($B106,casostestes[#Data],4)),"-")</f>
        <v>-</v>
      </c>
      <c r="G106" s="35" t="str">
        <f>IFERROR(IF(VLOOKUP($B106,casostestes[#Data],5)=0,"-",VLOOKUP($B106,casostestes[#Data],5)),"-")</f>
        <v>-</v>
      </c>
      <c r="H106" s="35" t="str">
        <f>IFERROR(IF(VLOOKUP($B106,casostestes[#Data],6)=0,"-",VLOOKUP($B106,casostestes[#Data],6)),"-")</f>
        <v>-</v>
      </c>
      <c r="I106" s="35" t="str">
        <f>IFERROR(IF(VLOOKUP($B106,casostestes[#Data],8)=0,"-",VLOOKUP($B106,casostestes[#Data],8)),"-")</f>
        <v>-</v>
      </c>
      <c r="J106" s="35" t="str">
        <f>IFERROR(IF(VLOOKUP($B106,casostestes[#Data],9)=0,"-",VLOOKUP($B106,casostestes[#Data],9)),"-")</f>
        <v>-</v>
      </c>
      <c r="K106" s="36"/>
      <c r="L106" s="45"/>
      <c r="M106" s="37"/>
      <c r="N106" s="38"/>
      <c r="O106" s="38"/>
      <c r="P106" s="39"/>
    </row>
    <row r="107" spans="2:16">
      <c r="B107" s="40" t="str">
        <f>IF(ISERR(casostestes[[#This Row],[ID]]),"-",casostestes[[#This Row],[ID]])</f>
        <v>-</v>
      </c>
      <c r="C107" s="34" t="str">
        <f>IFERROR(IF(VLOOKUP($B107,casostestes[#Data],10)=0,"Não",VLOOKUP($B107,casostestes[#Data],10)), "-")</f>
        <v>-</v>
      </c>
      <c r="D107" s="35" t="str">
        <f>IFERROR(IF(VLOOKUP($B107,casostestes[#Data],2)=0,"-",VLOOKUP($B107,casostestes[#Data],2)), "-")</f>
        <v>-</v>
      </c>
      <c r="E107" s="35" t="str">
        <f>IFERROR(IF(VLOOKUP($B107,casostestes[#Data],3)=0,"-",VLOOKUP($B107,casostestes[#Data],3)), "-")</f>
        <v>-</v>
      </c>
      <c r="F107" s="35" t="str">
        <f>IFERROR(IF(VLOOKUP($B107,casostestes[#Data],4)=0,"-",VLOOKUP($B107,casostestes[#Data],4)),"-")</f>
        <v>-</v>
      </c>
      <c r="G107" s="35" t="str">
        <f>IFERROR(IF(VLOOKUP($B107,casostestes[#Data],5)=0,"-",VLOOKUP($B107,casostestes[#Data],5)),"-")</f>
        <v>-</v>
      </c>
      <c r="H107" s="35" t="str">
        <f>IFERROR(IF(VLOOKUP($B107,casostestes[#Data],6)=0,"-",VLOOKUP($B107,casostestes[#Data],6)),"-")</f>
        <v>-</v>
      </c>
      <c r="I107" s="35" t="str">
        <f>IFERROR(IF(VLOOKUP($B107,casostestes[#Data],8)=0,"-",VLOOKUP($B107,casostestes[#Data],8)),"-")</f>
        <v>-</v>
      </c>
      <c r="J107" s="35" t="str">
        <f>IFERROR(IF(VLOOKUP($B107,casostestes[#Data],9)=0,"-",VLOOKUP($B107,casostestes[#Data],9)),"-")</f>
        <v>-</v>
      </c>
      <c r="K107" s="36"/>
      <c r="L107" s="45"/>
      <c r="M107" s="37"/>
      <c r="N107" s="38"/>
      <c r="O107" s="38"/>
      <c r="P107" s="39"/>
    </row>
    <row r="108" spans="2:16">
      <c r="B108" s="40" t="str">
        <f>IF(ISERR(casostestes[[#This Row],[ID]]),"-",casostestes[[#This Row],[ID]])</f>
        <v>-</v>
      </c>
      <c r="C108" s="34" t="str">
        <f>IFERROR(IF(VLOOKUP($B108,casostestes[#Data],10)=0,"Não",VLOOKUP($B108,casostestes[#Data],10)), "-")</f>
        <v>-</v>
      </c>
      <c r="D108" s="35" t="str">
        <f>IFERROR(IF(VLOOKUP($B108,casostestes[#Data],2)=0,"-",VLOOKUP($B108,casostestes[#Data],2)), "-")</f>
        <v>-</v>
      </c>
      <c r="E108" s="35" t="str">
        <f>IFERROR(IF(VLOOKUP($B108,casostestes[#Data],3)=0,"-",VLOOKUP($B108,casostestes[#Data],3)), "-")</f>
        <v>-</v>
      </c>
      <c r="F108" s="35" t="str">
        <f>IFERROR(IF(VLOOKUP($B108,casostestes[#Data],4)=0,"-",VLOOKUP($B108,casostestes[#Data],4)),"-")</f>
        <v>-</v>
      </c>
      <c r="G108" s="35" t="str">
        <f>IFERROR(IF(VLOOKUP($B108,casostestes[#Data],5)=0,"-",VLOOKUP($B108,casostestes[#Data],5)),"-")</f>
        <v>-</v>
      </c>
      <c r="H108" s="35" t="str">
        <f>IFERROR(IF(VLOOKUP($B108,casostestes[#Data],6)=0,"-",VLOOKUP($B108,casostestes[#Data],6)),"-")</f>
        <v>-</v>
      </c>
      <c r="I108" s="35" t="str">
        <f>IFERROR(IF(VLOOKUP($B108,casostestes[#Data],8)=0,"-",VLOOKUP($B108,casostestes[#Data],8)),"-")</f>
        <v>-</v>
      </c>
      <c r="J108" s="35" t="str">
        <f>IFERROR(IF(VLOOKUP($B108,casostestes[#Data],9)=0,"-",VLOOKUP($B108,casostestes[#Data],9)),"-")</f>
        <v>-</v>
      </c>
      <c r="K108" s="36"/>
      <c r="L108" s="45"/>
      <c r="M108" s="37"/>
      <c r="N108" s="38"/>
      <c r="O108" s="38"/>
      <c r="P108" s="39"/>
    </row>
    <row r="109" spans="2:16">
      <c r="B109" s="40" t="str">
        <f>IF(ISERR(casostestes[[#This Row],[ID]]),"-",casostestes[[#This Row],[ID]])</f>
        <v>-</v>
      </c>
      <c r="C109" s="34" t="str">
        <f>IFERROR(IF(VLOOKUP($B109,casostestes[#Data],10)=0,"Não",VLOOKUP($B109,casostestes[#Data],10)), "-")</f>
        <v>-</v>
      </c>
      <c r="D109" s="35" t="str">
        <f>IFERROR(IF(VLOOKUP($B109,casostestes[#Data],2)=0,"-",VLOOKUP($B109,casostestes[#Data],2)), "-")</f>
        <v>-</v>
      </c>
      <c r="E109" s="35" t="str">
        <f>IFERROR(IF(VLOOKUP($B109,casostestes[#Data],3)=0,"-",VLOOKUP($B109,casostestes[#Data],3)), "-")</f>
        <v>-</v>
      </c>
      <c r="F109" s="35" t="str">
        <f>IFERROR(IF(VLOOKUP($B109,casostestes[#Data],4)=0,"-",VLOOKUP($B109,casostestes[#Data],4)),"-")</f>
        <v>-</v>
      </c>
      <c r="G109" s="35" t="str">
        <f>IFERROR(IF(VLOOKUP($B109,casostestes[#Data],5)=0,"-",VLOOKUP($B109,casostestes[#Data],5)),"-")</f>
        <v>-</v>
      </c>
      <c r="H109" s="35" t="str">
        <f>IFERROR(IF(VLOOKUP($B109,casostestes[#Data],6)=0,"-",VLOOKUP($B109,casostestes[#Data],6)),"-")</f>
        <v>-</v>
      </c>
      <c r="I109" s="35" t="str">
        <f>IFERROR(IF(VLOOKUP($B109,casostestes[#Data],8)=0,"-",VLOOKUP($B109,casostestes[#Data],8)),"-")</f>
        <v>-</v>
      </c>
      <c r="J109" s="35" t="str">
        <f>IFERROR(IF(VLOOKUP($B109,casostestes[#Data],9)=0,"-",VLOOKUP($B109,casostestes[#Data],9)),"-")</f>
        <v>-</v>
      </c>
      <c r="K109" s="36"/>
      <c r="L109" s="45"/>
      <c r="M109" s="37"/>
      <c r="N109" s="38"/>
      <c r="O109" s="38"/>
      <c r="P109" s="39"/>
    </row>
    <row r="110" spans="2:16">
      <c r="B110" s="40" t="str">
        <f>IF(ISERR(casostestes[[#This Row],[ID]]),"-",casostestes[[#This Row],[ID]])</f>
        <v>-</v>
      </c>
      <c r="C110" s="34" t="str">
        <f>IFERROR(IF(VLOOKUP($B110,casostestes[#Data],10)=0,"Não",VLOOKUP($B110,casostestes[#Data],10)), "-")</f>
        <v>-</v>
      </c>
      <c r="D110" s="35" t="str">
        <f>IFERROR(IF(VLOOKUP($B110,casostestes[#Data],2)=0,"-",VLOOKUP($B110,casostestes[#Data],2)), "-")</f>
        <v>-</v>
      </c>
      <c r="E110" s="35" t="str">
        <f>IFERROR(IF(VLOOKUP($B110,casostestes[#Data],3)=0,"-",VLOOKUP($B110,casostestes[#Data],3)), "-")</f>
        <v>-</v>
      </c>
      <c r="F110" s="35" t="str">
        <f>IFERROR(IF(VLOOKUP($B110,casostestes[#Data],4)=0,"-",VLOOKUP($B110,casostestes[#Data],4)),"-")</f>
        <v>-</v>
      </c>
      <c r="G110" s="35" t="str">
        <f>IFERROR(IF(VLOOKUP($B110,casostestes[#Data],5)=0,"-",VLOOKUP($B110,casostestes[#Data],5)),"-")</f>
        <v>-</v>
      </c>
      <c r="H110" s="35" t="str">
        <f>IFERROR(IF(VLOOKUP($B110,casostestes[#Data],6)=0,"-",VLOOKUP($B110,casostestes[#Data],6)),"-")</f>
        <v>-</v>
      </c>
      <c r="I110" s="35" t="str">
        <f>IFERROR(IF(VLOOKUP($B110,casostestes[#Data],8)=0,"-",VLOOKUP($B110,casostestes[#Data],8)),"-")</f>
        <v>-</v>
      </c>
      <c r="J110" s="35" t="str">
        <f>IFERROR(IF(VLOOKUP($B110,casostestes[#Data],9)=0,"-",VLOOKUP($B110,casostestes[#Data],9)),"-")</f>
        <v>-</v>
      </c>
      <c r="K110" s="36"/>
      <c r="L110" s="45"/>
      <c r="M110" s="37"/>
      <c r="N110" s="38"/>
      <c r="O110" s="38"/>
      <c r="P110" s="39"/>
    </row>
    <row r="111" spans="2:16">
      <c r="B111" s="40" t="str">
        <f>IF(ISERR(casostestes[[#This Row],[ID]]),"-",casostestes[[#This Row],[ID]])</f>
        <v>-</v>
      </c>
      <c r="C111" s="34" t="str">
        <f>IFERROR(IF(VLOOKUP($B111,casostestes[#Data],10)=0,"Não",VLOOKUP($B111,casostestes[#Data],10)), "-")</f>
        <v>-</v>
      </c>
      <c r="D111" s="35" t="str">
        <f>IFERROR(IF(VLOOKUP($B111,casostestes[#Data],2)=0,"-",VLOOKUP($B111,casostestes[#Data],2)), "-")</f>
        <v>-</v>
      </c>
      <c r="E111" s="35" t="str">
        <f>IFERROR(IF(VLOOKUP($B111,casostestes[#Data],3)=0,"-",VLOOKUP($B111,casostestes[#Data],3)), "-")</f>
        <v>-</v>
      </c>
      <c r="F111" s="35" t="str">
        <f>IFERROR(IF(VLOOKUP($B111,casostestes[#Data],4)=0,"-",VLOOKUP($B111,casostestes[#Data],4)),"-")</f>
        <v>-</v>
      </c>
      <c r="G111" s="35" t="str">
        <f>IFERROR(IF(VLOOKUP($B111,casostestes[#Data],5)=0,"-",VLOOKUP($B111,casostestes[#Data],5)),"-")</f>
        <v>-</v>
      </c>
      <c r="H111" s="35" t="str">
        <f>IFERROR(IF(VLOOKUP($B111,casostestes[#Data],6)=0,"-",VLOOKUP($B111,casostestes[#Data],6)),"-")</f>
        <v>-</v>
      </c>
      <c r="I111" s="35" t="str">
        <f>IFERROR(IF(VLOOKUP($B111,casostestes[#Data],8)=0,"-",VLOOKUP($B111,casostestes[#Data],8)),"-")</f>
        <v>-</v>
      </c>
      <c r="J111" s="35" t="str">
        <f>IFERROR(IF(VLOOKUP($B111,casostestes[#Data],9)=0,"-",VLOOKUP($B111,casostestes[#Data],9)),"-")</f>
        <v>-</v>
      </c>
      <c r="K111" s="36"/>
      <c r="L111" s="45"/>
      <c r="M111" s="37"/>
      <c r="N111" s="38"/>
      <c r="O111" s="38"/>
      <c r="P111" s="39"/>
    </row>
    <row r="112" spans="2:16">
      <c r="B112" s="40" t="str">
        <f>IF(ISERR(casostestes[[#This Row],[ID]]),"-",casostestes[[#This Row],[ID]])</f>
        <v>-</v>
      </c>
      <c r="C112" s="34" t="str">
        <f>IFERROR(IF(VLOOKUP($B112,casostestes[#Data],10)=0,"Não",VLOOKUP($B112,casostestes[#Data],10)), "-")</f>
        <v>-</v>
      </c>
      <c r="D112" s="35" t="str">
        <f>IFERROR(IF(VLOOKUP($B112,casostestes[#Data],2)=0,"-",VLOOKUP($B112,casostestes[#Data],2)), "-")</f>
        <v>-</v>
      </c>
      <c r="E112" s="35" t="str">
        <f>IFERROR(IF(VLOOKUP($B112,casostestes[#Data],3)=0,"-",VLOOKUP($B112,casostestes[#Data],3)), "-")</f>
        <v>-</v>
      </c>
      <c r="F112" s="35" t="str">
        <f>IFERROR(IF(VLOOKUP($B112,casostestes[#Data],4)=0,"-",VLOOKUP($B112,casostestes[#Data],4)),"-")</f>
        <v>-</v>
      </c>
      <c r="G112" s="35" t="str">
        <f>IFERROR(IF(VLOOKUP($B112,casostestes[#Data],5)=0,"-",VLOOKUP($B112,casostestes[#Data],5)),"-")</f>
        <v>-</v>
      </c>
      <c r="H112" s="35" t="str">
        <f>IFERROR(IF(VLOOKUP($B112,casostestes[#Data],6)=0,"-",VLOOKUP($B112,casostestes[#Data],6)),"-")</f>
        <v>-</v>
      </c>
      <c r="I112" s="35" t="str">
        <f>IFERROR(IF(VLOOKUP($B112,casostestes[#Data],8)=0,"-",VLOOKUP($B112,casostestes[#Data],8)),"-")</f>
        <v>-</v>
      </c>
      <c r="J112" s="35" t="str">
        <f>IFERROR(IF(VLOOKUP($B112,casostestes[#Data],9)=0,"-",VLOOKUP($B112,casostestes[#Data],9)),"-")</f>
        <v>-</v>
      </c>
      <c r="K112" s="36"/>
      <c r="L112" s="45"/>
      <c r="M112" s="37"/>
      <c r="N112" s="38"/>
      <c r="O112" s="38"/>
      <c r="P112" s="39"/>
    </row>
    <row r="113" spans="2:16">
      <c r="B113" s="40" t="str">
        <f>IF(ISERR(casostestes[[#This Row],[ID]]),"-",casostestes[[#This Row],[ID]])</f>
        <v>-</v>
      </c>
      <c r="C113" s="34" t="str">
        <f>IFERROR(IF(VLOOKUP($B113,casostestes[#Data],10)=0,"Não",VLOOKUP($B113,casostestes[#Data],10)), "-")</f>
        <v>-</v>
      </c>
      <c r="D113" s="35" t="str">
        <f>IFERROR(IF(VLOOKUP($B113,casostestes[#Data],2)=0,"-",VLOOKUP($B113,casostestes[#Data],2)), "-")</f>
        <v>-</v>
      </c>
      <c r="E113" s="35" t="str">
        <f>IFERROR(IF(VLOOKUP($B113,casostestes[#Data],3)=0,"-",VLOOKUP($B113,casostestes[#Data],3)), "-")</f>
        <v>-</v>
      </c>
      <c r="F113" s="35" t="str">
        <f>IFERROR(IF(VLOOKUP($B113,casostestes[#Data],4)=0,"-",VLOOKUP($B113,casostestes[#Data],4)),"-")</f>
        <v>-</v>
      </c>
      <c r="G113" s="35" t="str">
        <f>IFERROR(IF(VLOOKUP($B113,casostestes[#Data],5)=0,"-",VLOOKUP($B113,casostestes[#Data],5)),"-")</f>
        <v>-</v>
      </c>
      <c r="H113" s="35" t="str">
        <f>IFERROR(IF(VLOOKUP($B113,casostestes[#Data],6)=0,"-",VLOOKUP($B113,casostestes[#Data],6)),"-")</f>
        <v>-</v>
      </c>
      <c r="I113" s="35" t="str">
        <f>IFERROR(IF(VLOOKUP($B113,casostestes[#Data],8)=0,"-",VLOOKUP($B113,casostestes[#Data],8)),"-")</f>
        <v>-</v>
      </c>
      <c r="J113" s="35" t="str">
        <f>IFERROR(IF(VLOOKUP($B113,casostestes[#Data],9)=0,"-",VLOOKUP($B113,casostestes[#Data],9)),"-")</f>
        <v>-</v>
      </c>
      <c r="K113" s="36"/>
      <c r="L113" s="45"/>
      <c r="M113" s="37"/>
      <c r="N113" s="38"/>
      <c r="O113" s="38"/>
      <c r="P113" s="39"/>
    </row>
    <row r="114" spans="2:16">
      <c r="B114" s="40" t="str">
        <f>IF(ISERR(casostestes[[#This Row],[ID]]),"-",casostestes[[#This Row],[ID]])</f>
        <v>-</v>
      </c>
      <c r="C114" s="34" t="str">
        <f>IFERROR(IF(VLOOKUP($B114,casostestes[#Data],10)=0,"Não",VLOOKUP($B114,casostestes[#Data],10)), "-")</f>
        <v>-</v>
      </c>
      <c r="D114" s="35" t="str">
        <f>IFERROR(IF(VLOOKUP($B114,casostestes[#Data],2)=0,"-",VLOOKUP($B114,casostestes[#Data],2)), "-")</f>
        <v>-</v>
      </c>
      <c r="E114" s="35" t="str">
        <f>IFERROR(IF(VLOOKUP($B114,casostestes[#Data],3)=0,"-",VLOOKUP($B114,casostestes[#Data],3)), "-")</f>
        <v>-</v>
      </c>
      <c r="F114" s="35" t="str">
        <f>IFERROR(IF(VLOOKUP($B114,casostestes[#Data],4)=0,"-",VLOOKUP($B114,casostestes[#Data],4)),"-")</f>
        <v>-</v>
      </c>
      <c r="G114" s="35" t="str">
        <f>IFERROR(IF(VLOOKUP($B114,casostestes[#Data],5)=0,"-",VLOOKUP($B114,casostestes[#Data],5)),"-")</f>
        <v>-</v>
      </c>
      <c r="H114" s="35" t="str">
        <f>IFERROR(IF(VLOOKUP($B114,casostestes[#Data],6)=0,"-",VLOOKUP($B114,casostestes[#Data],6)),"-")</f>
        <v>-</v>
      </c>
      <c r="I114" s="35" t="str">
        <f>IFERROR(IF(VLOOKUP($B114,casostestes[#Data],8)=0,"-",VLOOKUP($B114,casostestes[#Data],8)),"-")</f>
        <v>-</v>
      </c>
      <c r="J114" s="35" t="str">
        <f>IFERROR(IF(VLOOKUP($B114,casostestes[#Data],9)=0,"-",VLOOKUP($B114,casostestes[#Data],9)),"-")</f>
        <v>-</v>
      </c>
      <c r="K114" s="36"/>
      <c r="L114" s="45"/>
      <c r="M114" s="37"/>
      <c r="N114" s="38"/>
      <c r="O114" s="38"/>
      <c r="P114" s="39"/>
    </row>
    <row r="115" spans="2:16">
      <c r="B115" s="40" t="str">
        <f>IF(ISERR(casostestes[[#This Row],[ID]]),"-",casostestes[[#This Row],[ID]])</f>
        <v>-</v>
      </c>
      <c r="C115" s="34" t="str">
        <f>IFERROR(IF(VLOOKUP($B115,casostestes[#Data],10)=0,"Não",VLOOKUP($B115,casostestes[#Data],10)), "-")</f>
        <v>-</v>
      </c>
      <c r="D115" s="35" t="str">
        <f>IFERROR(IF(VLOOKUP($B115,casostestes[#Data],2)=0,"-",VLOOKUP($B115,casostestes[#Data],2)), "-")</f>
        <v>-</v>
      </c>
      <c r="E115" s="35" t="str">
        <f>IFERROR(IF(VLOOKUP($B115,casostestes[#Data],3)=0,"-",VLOOKUP($B115,casostestes[#Data],3)), "-")</f>
        <v>-</v>
      </c>
      <c r="F115" s="35" t="str">
        <f>IFERROR(IF(VLOOKUP($B115,casostestes[#Data],4)=0,"-",VLOOKUP($B115,casostestes[#Data],4)),"-")</f>
        <v>-</v>
      </c>
      <c r="G115" s="35" t="str">
        <f>IFERROR(IF(VLOOKUP($B115,casostestes[#Data],5)=0,"-",VLOOKUP($B115,casostestes[#Data],5)),"-")</f>
        <v>-</v>
      </c>
      <c r="H115" s="35" t="str">
        <f>IFERROR(IF(VLOOKUP($B115,casostestes[#Data],6)=0,"-",VLOOKUP($B115,casostestes[#Data],6)),"-")</f>
        <v>-</v>
      </c>
      <c r="I115" s="35" t="str">
        <f>IFERROR(IF(VLOOKUP($B115,casostestes[#Data],8)=0,"-",VLOOKUP($B115,casostestes[#Data],8)),"-")</f>
        <v>-</v>
      </c>
      <c r="J115" s="35" t="str">
        <f>IFERROR(IF(VLOOKUP($B115,casostestes[#Data],9)=0,"-",VLOOKUP($B115,casostestes[#Data],9)),"-")</f>
        <v>-</v>
      </c>
      <c r="K115" s="36"/>
      <c r="L115" s="45"/>
      <c r="M115" s="37"/>
      <c r="N115" s="38"/>
      <c r="O115" s="38"/>
      <c r="P115" s="39"/>
    </row>
    <row r="116" spans="2:16">
      <c r="B116" s="40" t="str">
        <f>IF(ISERR(casostestes[[#This Row],[ID]]),"-",casostestes[[#This Row],[ID]])</f>
        <v>-</v>
      </c>
      <c r="C116" s="34" t="str">
        <f>IFERROR(IF(VLOOKUP($B116,casostestes[#Data],10)=0,"Não",VLOOKUP($B116,casostestes[#Data],10)), "-")</f>
        <v>-</v>
      </c>
      <c r="D116" s="35" t="str">
        <f>IFERROR(IF(VLOOKUP($B116,casostestes[#Data],2)=0,"-",VLOOKUP($B116,casostestes[#Data],2)), "-")</f>
        <v>-</v>
      </c>
      <c r="E116" s="35" t="str">
        <f>IFERROR(IF(VLOOKUP($B116,casostestes[#Data],3)=0,"-",VLOOKUP($B116,casostestes[#Data],3)), "-")</f>
        <v>-</v>
      </c>
      <c r="F116" s="35" t="str">
        <f>IFERROR(IF(VLOOKUP($B116,casostestes[#Data],4)=0,"-",VLOOKUP($B116,casostestes[#Data],4)),"-")</f>
        <v>-</v>
      </c>
      <c r="G116" s="35" t="str">
        <f>IFERROR(IF(VLOOKUP($B116,casostestes[#Data],5)=0,"-",VLOOKUP($B116,casostestes[#Data],5)),"-")</f>
        <v>-</v>
      </c>
      <c r="H116" s="35" t="str">
        <f>IFERROR(IF(VLOOKUP($B116,casostestes[#Data],6)=0,"-",VLOOKUP($B116,casostestes[#Data],6)),"-")</f>
        <v>-</v>
      </c>
      <c r="I116" s="35" t="str">
        <f>IFERROR(IF(VLOOKUP($B116,casostestes[#Data],8)=0,"-",VLOOKUP($B116,casostestes[#Data],8)),"-")</f>
        <v>-</v>
      </c>
      <c r="J116" s="35" t="str">
        <f>IFERROR(IF(VLOOKUP($B116,casostestes[#Data],9)=0,"-",VLOOKUP($B116,casostestes[#Data],9)),"-")</f>
        <v>-</v>
      </c>
      <c r="K116" s="36"/>
      <c r="L116" s="45"/>
      <c r="M116" s="37"/>
      <c r="N116" s="38"/>
      <c r="O116" s="38"/>
      <c r="P116" s="39"/>
    </row>
    <row r="117" spans="2:16">
      <c r="B117" s="40" t="str">
        <f>IF(ISERR(casostestes[[#This Row],[ID]]),"-",casostestes[[#This Row],[ID]])</f>
        <v>-</v>
      </c>
      <c r="C117" s="34" t="str">
        <f>IFERROR(IF(VLOOKUP($B117,casostestes[#Data],10)=0,"Não",VLOOKUP($B117,casostestes[#Data],10)), "-")</f>
        <v>-</v>
      </c>
      <c r="D117" s="35" t="str">
        <f>IFERROR(IF(VLOOKUP($B117,casostestes[#Data],2)=0,"-",VLOOKUP($B117,casostestes[#Data],2)), "-")</f>
        <v>-</v>
      </c>
      <c r="E117" s="35" t="str">
        <f>IFERROR(IF(VLOOKUP($B117,casostestes[#Data],3)=0,"-",VLOOKUP($B117,casostestes[#Data],3)), "-")</f>
        <v>-</v>
      </c>
      <c r="F117" s="35" t="str">
        <f>IFERROR(IF(VLOOKUP($B117,casostestes[#Data],4)=0,"-",VLOOKUP($B117,casostestes[#Data],4)),"-")</f>
        <v>-</v>
      </c>
      <c r="G117" s="35" t="str">
        <f>IFERROR(IF(VLOOKUP($B117,casostestes[#Data],5)=0,"-",VLOOKUP($B117,casostestes[#Data],5)),"-")</f>
        <v>-</v>
      </c>
      <c r="H117" s="35" t="str">
        <f>IFERROR(IF(VLOOKUP($B117,casostestes[#Data],6)=0,"-",VLOOKUP($B117,casostestes[#Data],6)),"-")</f>
        <v>-</v>
      </c>
      <c r="I117" s="35" t="str">
        <f>IFERROR(IF(VLOOKUP($B117,casostestes[#Data],8)=0,"-",VLOOKUP($B117,casostestes[#Data],8)),"-")</f>
        <v>-</v>
      </c>
      <c r="J117" s="35" t="str">
        <f>IFERROR(IF(VLOOKUP($B117,casostestes[#Data],9)=0,"-",VLOOKUP($B117,casostestes[#Data],9)),"-")</f>
        <v>-</v>
      </c>
      <c r="K117" s="36"/>
      <c r="L117" s="45"/>
      <c r="M117" s="37"/>
      <c r="N117" s="38"/>
      <c r="O117" s="38"/>
      <c r="P117" s="39"/>
    </row>
    <row r="118" spans="2:16">
      <c r="B118" s="40" t="str">
        <f>IF(ISERR(casostestes[[#This Row],[ID]]),"-",casostestes[[#This Row],[ID]])</f>
        <v>-</v>
      </c>
      <c r="C118" s="34" t="str">
        <f>IFERROR(IF(VLOOKUP($B118,casostestes[#Data],10)=0,"Não",VLOOKUP($B118,casostestes[#Data],10)), "-")</f>
        <v>-</v>
      </c>
      <c r="D118" s="35" t="str">
        <f>IFERROR(IF(VLOOKUP($B118,casostestes[#Data],2)=0,"-",VLOOKUP($B118,casostestes[#Data],2)), "-")</f>
        <v>-</v>
      </c>
      <c r="E118" s="35" t="str">
        <f>IFERROR(IF(VLOOKUP($B118,casostestes[#Data],3)=0,"-",VLOOKUP($B118,casostestes[#Data],3)), "-")</f>
        <v>-</v>
      </c>
      <c r="F118" s="35" t="str">
        <f>IFERROR(IF(VLOOKUP($B118,casostestes[#Data],4)=0,"-",VLOOKUP($B118,casostestes[#Data],4)),"-")</f>
        <v>-</v>
      </c>
      <c r="G118" s="35" t="str">
        <f>IFERROR(IF(VLOOKUP($B118,casostestes[#Data],5)=0,"-",VLOOKUP($B118,casostestes[#Data],5)),"-")</f>
        <v>-</v>
      </c>
      <c r="H118" s="35" t="str">
        <f>IFERROR(IF(VLOOKUP($B118,casostestes[#Data],6)=0,"-",VLOOKUP($B118,casostestes[#Data],6)),"-")</f>
        <v>-</v>
      </c>
      <c r="I118" s="35" t="str">
        <f>IFERROR(IF(VLOOKUP($B118,casostestes[#Data],8)=0,"-",VLOOKUP($B118,casostestes[#Data],8)),"-")</f>
        <v>-</v>
      </c>
      <c r="J118" s="35" t="str">
        <f>IFERROR(IF(VLOOKUP($B118,casostestes[#Data],9)=0,"-",VLOOKUP($B118,casostestes[#Data],9)),"-")</f>
        <v>-</v>
      </c>
      <c r="K118" s="36"/>
      <c r="L118" s="45"/>
      <c r="M118" s="37"/>
      <c r="N118" s="38"/>
      <c r="O118" s="38"/>
      <c r="P118" s="39"/>
    </row>
    <row r="119" spans="2:16">
      <c r="B119" s="40" t="str">
        <f>IF(ISERR(casostestes[[#This Row],[ID]]),"-",casostestes[[#This Row],[ID]])</f>
        <v>-</v>
      </c>
      <c r="C119" s="34" t="str">
        <f>IFERROR(IF(VLOOKUP($B119,casostestes[#Data],10)=0,"Não",VLOOKUP($B119,casostestes[#Data],10)), "-")</f>
        <v>-</v>
      </c>
      <c r="D119" s="35" t="str">
        <f>IFERROR(IF(VLOOKUP($B119,casostestes[#Data],2)=0,"-",VLOOKUP($B119,casostestes[#Data],2)), "-")</f>
        <v>-</v>
      </c>
      <c r="E119" s="35" t="str">
        <f>IFERROR(IF(VLOOKUP($B119,casostestes[#Data],3)=0,"-",VLOOKUP($B119,casostestes[#Data],3)), "-")</f>
        <v>-</v>
      </c>
      <c r="F119" s="35" t="str">
        <f>IFERROR(IF(VLOOKUP($B119,casostestes[#Data],4)=0,"-",VLOOKUP($B119,casostestes[#Data],4)),"-")</f>
        <v>-</v>
      </c>
      <c r="G119" s="35" t="str">
        <f>IFERROR(IF(VLOOKUP($B119,casostestes[#Data],5)=0,"-",VLOOKUP($B119,casostestes[#Data],5)),"-")</f>
        <v>-</v>
      </c>
      <c r="H119" s="35" t="str">
        <f>IFERROR(IF(VLOOKUP($B119,casostestes[#Data],6)=0,"-",VLOOKUP($B119,casostestes[#Data],6)),"-")</f>
        <v>-</v>
      </c>
      <c r="I119" s="35" t="str">
        <f>IFERROR(IF(VLOOKUP($B119,casostestes[#Data],8)=0,"-",VLOOKUP($B119,casostestes[#Data],8)),"-")</f>
        <v>-</v>
      </c>
      <c r="J119" s="35" t="str">
        <f>IFERROR(IF(VLOOKUP($B119,casostestes[#Data],9)=0,"-",VLOOKUP($B119,casostestes[#Data],9)),"-")</f>
        <v>-</v>
      </c>
      <c r="K119" s="36"/>
      <c r="L119" s="45"/>
      <c r="M119" s="37"/>
      <c r="N119" s="38"/>
      <c r="O119" s="38"/>
      <c r="P119" s="39"/>
    </row>
    <row r="120" spans="2:16">
      <c r="B120" s="40" t="str">
        <f>IF(ISERR(casostestes[[#This Row],[ID]]),"-",casostestes[[#This Row],[ID]])</f>
        <v>-</v>
      </c>
      <c r="C120" s="34" t="str">
        <f>IFERROR(IF(VLOOKUP($B120,casostestes[#Data],10)=0,"Não",VLOOKUP($B120,casostestes[#Data],10)), "-")</f>
        <v>-</v>
      </c>
      <c r="D120" s="35" t="str">
        <f>IFERROR(IF(VLOOKUP($B120,casostestes[#Data],2)=0,"-",VLOOKUP($B120,casostestes[#Data],2)), "-")</f>
        <v>-</v>
      </c>
      <c r="E120" s="35" t="str">
        <f>IFERROR(IF(VLOOKUP($B120,casostestes[#Data],3)=0,"-",VLOOKUP($B120,casostestes[#Data],3)), "-")</f>
        <v>-</v>
      </c>
      <c r="F120" s="35" t="str">
        <f>IFERROR(IF(VLOOKUP($B120,casostestes[#Data],4)=0,"-",VLOOKUP($B120,casostestes[#Data],4)),"-")</f>
        <v>-</v>
      </c>
      <c r="G120" s="35" t="str">
        <f>IFERROR(IF(VLOOKUP($B120,casostestes[#Data],5)=0,"-",VLOOKUP($B120,casostestes[#Data],5)),"-")</f>
        <v>-</v>
      </c>
      <c r="H120" s="35" t="str">
        <f>IFERROR(IF(VLOOKUP($B120,casostestes[#Data],6)=0,"-",VLOOKUP($B120,casostestes[#Data],6)),"-")</f>
        <v>-</v>
      </c>
      <c r="I120" s="35" t="str">
        <f>IFERROR(IF(VLOOKUP($B120,casostestes[#Data],8)=0,"-",VLOOKUP($B120,casostestes[#Data],8)),"-")</f>
        <v>-</v>
      </c>
      <c r="J120" s="35" t="str">
        <f>IFERROR(IF(VLOOKUP($B120,casostestes[#Data],9)=0,"-",VLOOKUP($B120,casostestes[#Data],9)),"-")</f>
        <v>-</v>
      </c>
      <c r="K120" s="36"/>
      <c r="L120" s="45"/>
      <c r="M120" s="37"/>
      <c r="N120" s="38"/>
      <c r="O120" s="38"/>
      <c r="P120" s="39"/>
    </row>
    <row r="121" spans="2:16">
      <c r="B121" s="40" t="str">
        <f>IF(ISERR(casostestes[[#This Row],[ID]]),"-",casostestes[[#This Row],[ID]])</f>
        <v>-</v>
      </c>
      <c r="C121" s="34" t="str">
        <f>IFERROR(IF(VLOOKUP($B121,casostestes[#Data],10)=0,"Não",VLOOKUP($B121,casostestes[#Data],10)), "-")</f>
        <v>-</v>
      </c>
      <c r="D121" s="35" t="str">
        <f>IFERROR(IF(VLOOKUP($B121,casostestes[#Data],2)=0,"-",VLOOKUP($B121,casostestes[#Data],2)), "-")</f>
        <v>-</v>
      </c>
      <c r="E121" s="35" t="str">
        <f>IFERROR(IF(VLOOKUP($B121,casostestes[#Data],3)=0,"-",VLOOKUP($B121,casostestes[#Data],3)), "-")</f>
        <v>-</v>
      </c>
      <c r="F121" s="35" t="str">
        <f>IFERROR(IF(VLOOKUP($B121,casostestes[#Data],4)=0,"-",VLOOKUP($B121,casostestes[#Data],4)),"-")</f>
        <v>-</v>
      </c>
      <c r="G121" s="35" t="str">
        <f>IFERROR(IF(VLOOKUP($B121,casostestes[#Data],5)=0,"-",VLOOKUP($B121,casostestes[#Data],5)),"-")</f>
        <v>-</v>
      </c>
      <c r="H121" s="35" t="str">
        <f>IFERROR(IF(VLOOKUP($B121,casostestes[#Data],6)=0,"-",VLOOKUP($B121,casostestes[#Data],6)),"-")</f>
        <v>-</v>
      </c>
      <c r="I121" s="35" t="str">
        <f>IFERROR(IF(VLOOKUP($B121,casostestes[#Data],8)=0,"-",VLOOKUP($B121,casostestes[#Data],8)),"-")</f>
        <v>-</v>
      </c>
      <c r="J121" s="35" t="str">
        <f>IFERROR(IF(VLOOKUP($B121,casostestes[#Data],9)=0,"-",VLOOKUP($B121,casostestes[#Data],9)),"-")</f>
        <v>-</v>
      </c>
      <c r="K121" s="36"/>
      <c r="L121" s="45"/>
      <c r="M121" s="37"/>
      <c r="N121" s="38"/>
      <c r="O121" s="38"/>
      <c r="P121" s="39"/>
    </row>
    <row r="122" spans="2:16">
      <c r="B122" s="40" t="str">
        <f>IF(ISERR(casostestes[[#This Row],[ID]]),"-",casostestes[[#This Row],[ID]])</f>
        <v>-</v>
      </c>
      <c r="C122" s="34" t="str">
        <f>IFERROR(IF(VLOOKUP($B122,casostestes[#Data],10)=0,"Não",VLOOKUP($B122,casostestes[#Data],10)), "-")</f>
        <v>-</v>
      </c>
      <c r="D122" s="35" t="str">
        <f>IFERROR(IF(VLOOKUP($B122,casostestes[#Data],2)=0,"-",VLOOKUP($B122,casostestes[#Data],2)), "-")</f>
        <v>-</v>
      </c>
      <c r="E122" s="35" t="str">
        <f>IFERROR(IF(VLOOKUP($B122,casostestes[#Data],3)=0,"-",VLOOKUP($B122,casostestes[#Data],3)), "-")</f>
        <v>-</v>
      </c>
      <c r="F122" s="35" t="str">
        <f>IFERROR(IF(VLOOKUP($B122,casostestes[#Data],4)=0,"-",VLOOKUP($B122,casostestes[#Data],4)),"-")</f>
        <v>-</v>
      </c>
      <c r="G122" s="35" t="str">
        <f>IFERROR(IF(VLOOKUP($B122,casostestes[#Data],5)=0,"-",VLOOKUP($B122,casostestes[#Data],5)),"-")</f>
        <v>-</v>
      </c>
      <c r="H122" s="35" t="str">
        <f>IFERROR(IF(VLOOKUP($B122,casostestes[#Data],6)=0,"-",VLOOKUP($B122,casostestes[#Data],6)),"-")</f>
        <v>-</v>
      </c>
      <c r="I122" s="35" t="str">
        <f>IFERROR(IF(VLOOKUP($B122,casostestes[#Data],8)=0,"-",VLOOKUP($B122,casostestes[#Data],8)),"-")</f>
        <v>-</v>
      </c>
      <c r="J122" s="35" t="str">
        <f>IFERROR(IF(VLOOKUP($B122,casostestes[#Data],9)=0,"-",VLOOKUP($B122,casostestes[#Data],9)),"-")</f>
        <v>-</v>
      </c>
      <c r="K122" s="36"/>
      <c r="L122" s="45"/>
      <c r="M122" s="37"/>
      <c r="N122" s="38"/>
      <c r="O122" s="38"/>
      <c r="P122" s="39"/>
    </row>
    <row r="123" spans="2:16">
      <c r="B123" s="40" t="str">
        <f>IF(ISERR(casostestes[[#This Row],[ID]]),"-",casostestes[[#This Row],[ID]])</f>
        <v>-</v>
      </c>
      <c r="C123" s="34" t="str">
        <f>IFERROR(IF(VLOOKUP($B123,casostestes[#Data],10)=0,"Não",VLOOKUP($B123,casostestes[#Data],10)), "-")</f>
        <v>-</v>
      </c>
      <c r="D123" s="35" t="str">
        <f>IFERROR(IF(VLOOKUP($B123,casostestes[#Data],2)=0,"-",VLOOKUP($B123,casostestes[#Data],2)), "-")</f>
        <v>-</v>
      </c>
      <c r="E123" s="35" t="str">
        <f>IFERROR(IF(VLOOKUP($B123,casostestes[#Data],3)=0,"-",VLOOKUP($B123,casostestes[#Data],3)), "-")</f>
        <v>-</v>
      </c>
      <c r="F123" s="35" t="str">
        <f>IFERROR(IF(VLOOKUP($B123,casostestes[#Data],4)=0,"-",VLOOKUP($B123,casostestes[#Data],4)),"-")</f>
        <v>-</v>
      </c>
      <c r="G123" s="35" t="str">
        <f>IFERROR(IF(VLOOKUP($B123,casostestes[#Data],5)=0,"-",VLOOKUP($B123,casostestes[#Data],5)),"-")</f>
        <v>-</v>
      </c>
      <c r="H123" s="35" t="str">
        <f>IFERROR(IF(VLOOKUP($B123,casostestes[#Data],6)=0,"-",VLOOKUP($B123,casostestes[#Data],6)),"-")</f>
        <v>-</v>
      </c>
      <c r="I123" s="35" t="str">
        <f>IFERROR(IF(VLOOKUP($B123,casostestes[#Data],8)=0,"-",VLOOKUP($B123,casostestes[#Data],8)),"-")</f>
        <v>-</v>
      </c>
      <c r="J123" s="35" t="str">
        <f>IFERROR(IF(VLOOKUP($B123,casostestes[#Data],9)=0,"-",VLOOKUP($B123,casostestes[#Data],9)),"-")</f>
        <v>-</v>
      </c>
      <c r="K123" s="36"/>
      <c r="L123" s="45"/>
      <c r="M123" s="37"/>
      <c r="N123" s="38"/>
      <c r="O123" s="38"/>
      <c r="P123" s="39"/>
    </row>
    <row r="124" spans="2:16">
      <c r="B124" s="40" t="str">
        <f>IF(ISERR(casostestes[[#This Row],[ID]]),"-",casostestes[[#This Row],[ID]])</f>
        <v>-</v>
      </c>
      <c r="C124" s="34" t="str">
        <f>IFERROR(IF(VLOOKUP($B124,casostestes[#Data],10)=0,"Não",VLOOKUP($B124,casostestes[#Data],10)), "-")</f>
        <v>-</v>
      </c>
      <c r="D124" s="35" t="str">
        <f>IFERROR(IF(VLOOKUP($B124,casostestes[#Data],2)=0,"-",VLOOKUP($B124,casostestes[#Data],2)), "-")</f>
        <v>-</v>
      </c>
      <c r="E124" s="35" t="str">
        <f>IFERROR(IF(VLOOKUP($B124,casostestes[#Data],3)=0,"-",VLOOKUP($B124,casostestes[#Data],3)), "-")</f>
        <v>-</v>
      </c>
      <c r="F124" s="35" t="str">
        <f>IFERROR(IF(VLOOKUP($B124,casostestes[#Data],4)=0,"-",VLOOKUP($B124,casostestes[#Data],4)),"-")</f>
        <v>-</v>
      </c>
      <c r="G124" s="35" t="str">
        <f>IFERROR(IF(VLOOKUP($B124,casostestes[#Data],5)=0,"-",VLOOKUP($B124,casostestes[#Data],5)),"-")</f>
        <v>-</v>
      </c>
      <c r="H124" s="35" t="str">
        <f>IFERROR(IF(VLOOKUP($B124,casostestes[#Data],6)=0,"-",VLOOKUP($B124,casostestes[#Data],6)),"-")</f>
        <v>-</v>
      </c>
      <c r="I124" s="35" t="str">
        <f>IFERROR(IF(VLOOKUP($B124,casostestes[#Data],8)=0,"-",VLOOKUP($B124,casostestes[#Data],8)),"-")</f>
        <v>-</v>
      </c>
      <c r="J124" s="35" t="str">
        <f>IFERROR(IF(VLOOKUP($B124,casostestes[#Data],9)=0,"-",VLOOKUP($B124,casostestes[#Data],9)),"-")</f>
        <v>-</v>
      </c>
      <c r="K124" s="36"/>
      <c r="L124" s="45"/>
      <c r="M124" s="37"/>
      <c r="N124" s="38"/>
      <c r="O124" s="38"/>
      <c r="P124" s="39"/>
    </row>
    <row r="125" spans="2:16">
      <c r="B125" s="40" t="str">
        <f>IF(ISERR(casostestes[[#This Row],[ID]]),"-",casostestes[[#This Row],[ID]])</f>
        <v>-</v>
      </c>
      <c r="C125" s="34" t="str">
        <f>IFERROR(IF(VLOOKUP($B125,casostestes[#Data],10)=0,"Não",VLOOKUP($B125,casostestes[#Data],10)), "-")</f>
        <v>-</v>
      </c>
      <c r="D125" s="35" t="str">
        <f>IFERROR(IF(VLOOKUP($B125,casostestes[#Data],2)=0,"-",VLOOKUP($B125,casostestes[#Data],2)), "-")</f>
        <v>-</v>
      </c>
      <c r="E125" s="35" t="str">
        <f>IFERROR(IF(VLOOKUP($B125,casostestes[#Data],3)=0,"-",VLOOKUP($B125,casostestes[#Data],3)), "-")</f>
        <v>-</v>
      </c>
      <c r="F125" s="35" t="str">
        <f>IFERROR(IF(VLOOKUP($B125,casostestes[#Data],4)=0,"-",VLOOKUP($B125,casostestes[#Data],4)),"-")</f>
        <v>-</v>
      </c>
      <c r="G125" s="35" t="str">
        <f>IFERROR(IF(VLOOKUP($B125,casostestes[#Data],5)=0,"-",VLOOKUP($B125,casostestes[#Data],5)),"-")</f>
        <v>-</v>
      </c>
      <c r="H125" s="35" t="str">
        <f>IFERROR(IF(VLOOKUP($B125,casostestes[#Data],6)=0,"-",VLOOKUP($B125,casostestes[#Data],6)),"-")</f>
        <v>-</v>
      </c>
      <c r="I125" s="35" t="str">
        <f>IFERROR(IF(VLOOKUP($B125,casostestes[#Data],8)=0,"-",VLOOKUP($B125,casostestes[#Data],8)),"-")</f>
        <v>-</v>
      </c>
      <c r="J125" s="35" t="str">
        <f>IFERROR(IF(VLOOKUP($B125,casostestes[#Data],9)=0,"-",VLOOKUP($B125,casostestes[#Data],9)),"-")</f>
        <v>-</v>
      </c>
      <c r="K125" s="36"/>
      <c r="L125" s="45"/>
      <c r="M125" s="37"/>
      <c r="N125" s="38"/>
      <c r="O125" s="38"/>
      <c r="P125" s="39"/>
    </row>
    <row r="126" spans="2:16">
      <c r="B126" s="40" t="str">
        <f>IF(ISERR(casostestes[[#This Row],[ID]]),"-",casostestes[[#This Row],[ID]])</f>
        <v>-</v>
      </c>
      <c r="C126" s="34" t="str">
        <f>IFERROR(IF(VLOOKUP($B126,casostestes[#Data],10)=0,"Não",VLOOKUP($B126,casostestes[#Data],10)), "-")</f>
        <v>-</v>
      </c>
      <c r="D126" s="35" t="str">
        <f>IFERROR(IF(VLOOKUP($B126,casostestes[#Data],2)=0,"-",VLOOKUP($B126,casostestes[#Data],2)), "-")</f>
        <v>-</v>
      </c>
      <c r="E126" s="35" t="str">
        <f>IFERROR(IF(VLOOKUP($B126,casostestes[#Data],3)=0,"-",VLOOKUP($B126,casostestes[#Data],3)), "-")</f>
        <v>-</v>
      </c>
      <c r="F126" s="35" t="str">
        <f>IFERROR(IF(VLOOKUP($B126,casostestes[#Data],4)=0,"-",VLOOKUP($B126,casostestes[#Data],4)),"-")</f>
        <v>-</v>
      </c>
      <c r="G126" s="35" t="str">
        <f>IFERROR(IF(VLOOKUP($B126,casostestes[#Data],5)=0,"-",VLOOKUP($B126,casostestes[#Data],5)),"-")</f>
        <v>-</v>
      </c>
      <c r="H126" s="35" t="str">
        <f>IFERROR(IF(VLOOKUP($B126,casostestes[#Data],6)=0,"-",VLOOKUP($B126,casostestes[#Data],6)),"-")</f>
        <v>-</v>
      </c>
      <c r="I126" s="35" t="str">
        <f>IFERROR(IF(VLOOKUP($B126,casostestes[#Data],8)=0,"-",VLOOKUP($B126,casostestes[#Data],8)),"-")</f>
        <v>-</v>
      </c>
      <c r="J126" s="35" t="str">
        <f>IFERROR(IF(VLOOKUP($B126,casostestes[#Data],9)=0,"-",VLOOKUP($B126,casostestes[#Data],9)),"-")</f>
        <v>-</v>
      </c>
      <c r="K126" s="36"/>
      <c r="L126" s="45"/>
      <c r="M126" s="37"/>
      <c r="N126" s="38"/>
      <c r="O126" s="38"/>
      <c r="P126" s="39"/>
    </row>
    <row r="127" spans="2:16">
      <c r="B127" s="40" t="str">
        <f>IF(ISERR(casostestes[[#This Row],[ID]]),"-",casostestes[[#This Row],[ID]])</f>
        <v>-</v>
      </c>
      <c r="C127" s="34" t="str">
        <f>IFERROR(IF(VLOOKUP($B127,casostestes[#Data],10)=0,"Não",VLOOKUP($B127,casostestes[#Data],10)), "-")</f>
        <v>-</v>
      </c>
      <c r="D127" s="35" t="str">
        <f>IFERROR(IF(VLOOKUP($B127,casostestes[#Data],2)=0,"-",VLOOKUP($B127,casostestes[#Data],2)), "-")</f>
        <v>-</v>
      </c>
      <c r="E127" s="35" t="str">
        <f>IFERROR(IF(VLOOKUP($B127,casostestes[#Data],3)=0,"-",VLOOKUP($B127,casostestes[#Data],3)), "-")</f>
        <v>-</v>
      </c>
      <c r="F127" s="35" t="str">
        <f>IFERROR(IF(VLOOKUP($B127,casostestes[#Data],4)=0,"-",VLOOKUP($B127,casostestes[#Data],4)),"-")</f>
        <v>-</v>
      </c>
      <c r="G127" s="35" t="str">
        <f>IFERROR(IF(VLOOKUP($B127,casostestes[#Data],5)=0,"-",VLOOKUP($B127,casostestes[#Data],5)),"-")</f>
        <v>-</v>
      </c>
      <c r="H127" s="35" t="str">
        <f>IFERROR(IF(VLOOKUP($B127,casostestes[#Data],6)=0,"-",VLOOKUP($B127,casostestes[#Data],6)),"-")</f>
        <v>-</v>
      </c>
      <c r="I127" s="35" t="str">
        <f>IFERROR(IF(VLOOKUP($B127,casostestes[#Data],8)=0,"-",VLOOKUP($B127,casostestes[#Data],8)),"-")</f>
        <v>-</v>
      </c>
      <c r="J127" s="35" t="str">
        <f>IFERROR(IF(VLOOKUP($B127,casostestes[#Data],9)=0,"-",VLOOKUP($B127,casostestes[#Data],9)),"-")</f>
        <v>-</v>
      </c>
      <c r="K127" s="36"/>
      <c r="L127" s="45"/>
      <c r="M127" s="37"/>
      <c r="N127" s="38"/>
      <c r="O127" s="38"/>
      <c r="P127" s="39"/>
    </row>
    <row r="128" spans="2:16">
      <c r="B128" s="40" t="str">
        <f>IF(ISERR(casostestes[[#This Row],[ID]]),"-",casostestes[[#This Row],[ID]])</f>
        <v>-</v>
      </c>
      <c r="C128" s="34" t="str">
        <f>IFERROR(IF(VLOOKUP($B128,casostestes[#Data],10)=0,"Não",VLOOKUP($B128,casostestes[#Data],10)), "-")</f>
        <v>-</v>
      </c>
      <c r="D128" s="35" t="str">
        <f>IFERROR(IF(VLOOKUP($B128,casostestes[#Data],2)=0,"-",VLOOKUP($B128,casostestes[#Data],2)), "-")</f>
        <v>-</v>
      </c>
      <c r="E128" s="35" t="str">
        <f>IFERROR(IF(VLOOKUP($B128,casostestes[#Data],3)=0,"-",VLOOKUP($B128,casostestes[#Data],3)), "-")</f>
        <v>-</v>
      </c>
      <c r="F128" s="35" t="str">
        <f>IFERROR(IF(VLOOKUP($B128,casostestes[#Data],4)=0,"-",VLOOKUP($B128,casostestes[#Data],4)),"-")</f>
        <v>-</v>
      </c>
      <c r="G128" s="35" t="str">
        <f>IFERROR(IF(VLOOKUP($B128,casostestes[#Data],5)=0,"-",VLOOKUP($B128,casostestes[#Data],5)),"-")</f>
        <v>-</v>
      </c>
      <c r="H128" s="35" t="str">
        <f>IFERROR(IF(VLOOKUP($B128,casostestes[#Data],6)=0,"-",VLOOKUP($B128,casostestes[#Data],6)),"-")</f>
        <v>-</v>
      </c>
      <c r="I128" s="35" t="str">
        <f>IFERROR(IF(VLOOKUP($B128,casostestes[#Data],8)=0,"-",VLOOKUP($B128,casostestes[#Data],8)),"-")</f>
        <v>-</v>
      </c>
      <c r="J128" s="35" t="str">
        <f>IFERROR(IF(VLOOKUP($B128,casostestes[#Data],9)=0,"-",VLOOKUP($B128,casostestes[#Data],9)),"-")</f>
        <v>-</v>
      </c>
      <c r="K128" s="36"/>
      <c r="L128" s="45"/>
      <c r="M128" s="37"/>
      <c r="N128" s="38"/>
      <c r="O128" s="38"/>
      <c r="P128" s="39"/>
    </row>
    <row r="129" spans="2:16">
      <c r="B129" s="40" t="str">
        <f>IF(ISERR(casostestes[[#This Row],[ID]]),"-",casostestes[[#This Row],[ID]])</f>
        <v>-</v>
      </c>
      <c r="C129" s="34" t="str">
        <f>IFERROR(IF(VLOOKUP($B129,casostestes[#Data],10)=0,"Não",VLOOKUP($B129,casostestes[#Data],10)), "-")</f>
        <v>-</v>
      </c>
      <c r="D129" s="35" t="str">
        <f>IFERROR(IF(VLOOKUP($B129,casostestes[#Data],2)=0,"-",VLOOKUP($B129,casostestes[#Data],2)), "-")</f>
        <v>-</v>
      </c>
      <c r="E129" s="35" t="str">
        <f>IFERROR(IF(VLOOKUP($B129,casostestes[#Data],3)=0,"-",VLOOKUP($B129,casostestes[#Data],3)), "-")</f>
        <v>-</v>
      </c>
      <c r="F129" s="35" t="str">
        <f>IFERROR(IF(VLOOKUP($B129,casostestes[#Data],4)=0,"-",VLOOKUP($B129,casostestes[#Data],4)),"-")</f>
        <v>-</v>
      </c>
      <c r="G129" s="35" t="str">
        <f>IFERROR(IF(VLOOKUP($B129,casostestes[#Data],5)=0,"-",VLOOKUP($B129,casostestes[#Data],5)),"-")</f>
        <v>-</v>
      </c>
      <c r="H129" s="35" t="str">
        <f>IFERROR(IF(VLOOKUP($B129,casostestes[#Data],6)=0,"-",VLOOKUP($B129,casostestes[#Data],6)),"-")</f>
        <v>-</v>
      </c>
      <c r="I129" s="35" t="str">
        <f>IFERROR(IF(VLOOKUP($B129,casostestes[#Data],8)=0,"-",VLOOKUP($B129,casostestes[#Data],8)),"-")</f>
        <v>-</v>
      </c>
      <c r="J129" s="35" t="str">
        <f>IFERROR(IF(VLOOKUP($B129,casostestes[#Data],9)=0,"-",VLOOKUP($B129,casostestes[#Data],9)),"-")</f>
        <v>-</v>
      </c>
      <c r="K129" s="36"/>
      <c r="L129" s="45"/>
      <c r="M129" s="37"/>
      <c r="N129" s="38"/>
      <c r="O129" s="38"/>
      <c r="P129" s="39"/>
    </row>
    <row r="130" spans="2:16">
      <c r="B130" s="40" t="str">
        <f>IF(ISERR(casostestes[[#This Row],[ID]]),"-",casostestes[[#This Row],[ID]])</f>
        <v>-</v>
      </c>
      <c r="C130" s="34" t="str">
        <f>IFERROR(IF(VLOOKUP($B130,casostestes[#Data],10)=0,"Não",VLOOKUP($B130,casostestes[#Data],10)), "-")</f>
        <v>-</v>
      </c>
      <c r="D130" s="35" t="str">
        <f>IFERROR(IF(VLOOKUP($B130,casostestes[#Data],2)=0,"-",VLOOKUP($B130,casostestes[#Data],2)), "-")</f>
        <v>-</v>
      </c>
      <c r="E130" s="35" t="str">
        <f>IFERROR(IF(VLOOKUP($B130,casostestes[#Data],3)=0,"-",VLOOKUP($B130,casostestes[#Data],3)), "-")</f>
        <v>-</v>
      </c>
      <c r="F130" s="35" t="str">
        <f>IFERROR(IF(VLOOKUP($B130,casostestes[#Data],4)=0,"-",VLOOKUP($B130,casostestes[#Data],4)),"-")</f>
        <v>-</v>
      </c>
      <c r="G130" s="35" t="str">
        <f>IFERROR(IF(VLOOKUP($B130,casostestes[#Data],5)=0,"-",VLOOKUP($B130,casostestes[#Data],5)),"-")</f>
        <v>-</v>
      </c>
      <c r="H130" s="35" t="str">
        <f>IFERROR(IF(VLOOKUP($B130,casostestes[#Data],6)=0,"-",VLOOKUP($B130,casostestes[#Data],6)),"-")</f>
        <v>-</v>
      </c>
      <c r="I130" s="35" t="str">
        <f>IFERROR(IF(VLOOKUP($B130,casostestes[#Data],8)=0,"-",VLOOKUP($B130,casostestes[#Data],8)),"-")</f>
        <v>-</v>
      </c>
      <c r="J130" s="35" t="str">
        <f>IFERROR(IF(VLOOKUP($B130,casostestes[#Data],9)=0,"-",VLOOKUP($B130,casostestes[#Data],9)),"-")</f>
        <v>-</v>
      </c>
      <c r="K130" s="36"/>
      <c r="L130" s="45"/>
      <c r="M130" s="37"/>
      <c r="N130" s="38"/>
      <c r="O130" s="38"/>
      <c r="P130" s="39"/>
    </row>
    <row r="131" spans="2:16">
      <c r="B131" s="40" t="str">
        <f>IF(ISERR(casostestes[[#This Row],[ID]]),"-",casostestes[[#This Row],[ID]])</f>
        <v>-</v>
      </c>
      <c r="C131" s="34" t="str">
        <f>IFERROR(IF(VLOOKUP($B131,casostestes[#Data],10)=0,"Não",VLOOKUP($B131,casostestes[#Data],10)), "-")</f>
        <v>-</v>
      </c>
      <c r="D131" s="35" t="str">
        <f>IFERROR(IF(VLOOKUP($B131,casostestes[#Data],2)=0,"-",VLOOKUP($B131,casostestes[#Data],2)), "-")</f>
        <v>-</v>
      </c>
      <c r="E131" s="35" t="str">
        <f>IFERROR(IF(VLOOKUP($B131,casostestes[#Data],3)=0,"-",VLOOKUP($B131,casostestes[#Data],3)), "-")</f>
        <v>-</v>
      </c>
      <c r="F131" s="35" t="str">
        <f>IFERROR(IF(VLOOKUP($B131,casostestes[#Data],4)=0,"-",VLOOKUP($B131,casostestes[#Data],4)),"-")</f>
        <v>-</v>
      </c>
      <c r="G131" s="35" t="str">
        <f>IFERROR(IF(VLOOKUP($B131,casostestes[#Data],5)=0,"-",VLOOKUP($B131,casostestes[#Data],5)),"-")</f>
        <v>-</v>
      </c>
      <c r="H131" s="35" t="str">
        <f>IFERROR(IF(VLOOKUP($B131,casostestes[#Data],6)=0,"-",VLOOKUP($B131,casostestes[#Data],6)),"-")</f>
        <v>-</v>
      </c>
      <c r="I131" s="35" t="str">
        <f>IFERROR(IF(VLOOKUP($B131,casostestes[#Data],8)=0,"-",VLOOKUP($B131,casostestes[#Data],8)),"-")</f>
        <v>-</v>
      </c>
      <c r="J131" s="35" t="str">
        <f>IFERROR(IF(VLOOKUP($B131,casostestes[#Data],9)=0,"-",VLOOKUP($B131,casostestes[#Data],9)),"-")</f>
        <v>-</v>
      </c>
      <c r="K131" s="36"/>
      <c r="L131" s="45"/>
      <c r="M131" s="37"/>
      <c r="N131" s="38"/>
      <c r="O131" s="38"/>
      <c r="P131" s="39"/>
    </row>
    <row r="132" spans="2:16">
      <c r="B132" s="40" t="str">
        <f>IF(ISERR(casostestes[[#This Row],[ID]]),"-",casostestes[[#This Row],[ID]])</f>
        <v>-</v>
      </c>
      <c r="C132" s="34" t="str">
        <f>IFERROR(IF(VLOOKUP($B132,casostestes[#Data],10)=0,"Não",VLOOKUP($B132,casostestes[#Data],10)), "-")</f>
        <v>-</v>
      </c>
      <c r="D132" s="35" t="str">
        <f>IFERROR(IF(VLOOKUP($B132,casostestes[#Data],2)=0,"-",VLOOKUP($B132,casostestes[#Data],2)), "-")</f>
        <v>-</v>
      </c>
      <c r="E132" s="35" t="str">
        <f>IFERROR(IF(VLOOKUP($B132,casostestes[#Data],3)=0,"-",VLOOKUP($B132,casostestes[#Data],3)), "-")</f>
        <v>-</v>
      </c>
      <c r="F132" s="35" t="str">
        <f>IFERROR(IF(VLOOKUP($B132,casostestes[#Data],4)=0,"-",VLOOKUP($B132,casostestes[#Data],4)),"-")</f>
        <v>-</v>
      </c>
      <c r="G132" s="35" t="str">
        <f>IFERROR(IF(VLOOKUP($B132,casostestes[#Data],5)=0,"-",VLOOKUP($B132,casostestes[#Data],5)),"-")</f>
        <v>-</v>
      </c>
      <c r="H132" s="35" t="str">
        <f>IFERROR(IF(VLOOKUP($B132,casostestes[#Data],6)=0,"-",VLOOKUP($B132,casostestes[#Data],6)),"-")</f>
        <v>-</v>
      </c>
      <c r="I132" s="35" t="str">
        <f>IFERROR(IF(VLOOKUP($B132,casostestes[#Data],8)=0,"-",VLOOKUP($B132,casostestes[#Data],8)),"-")</f>
        <v>-</v>
      </c>
      <c r="J132" s="35" t="str">
        <f>IFERROR(IF(VLOOKUP($B132,casostestes[#Data],9)=0,"-",VLOOKUP($B132,casostestes[#Data],9)),"-")</f>
        <v>-</v>
      </c>
      <c r="K132" s="36"/>
      <c r="L132" s="45"/>
      <c r="M132" s="37"/>
      <c r="N132" s="38"/>
      <c r="O132" s="38"/>
      <c r="P132" s="39"/>
    </row>
    <row r="133" spans="2:16">
      <c r="B133" s="40" t="str">
        <f>IF(ISERR(casostestes[[#This Row],[ID]]),"-",casostestes[[#This Row],[ID]])</f>
        <v>-</v>
      </c>
      <c r="C133" s="34" t="str">
        <f>IFERROR(IF(VLOOKUP($B133,casostestes[#Data],10)=0,"Não",VLOOKUP($B133,casostestes[#Data],10)), "-")</f>
        <v>-</v>
      </c>
      <c r="D133" s="35" t="str">
        <f>IFERROR(IF(VLOOKUP($B133,casostestes[#Data],2)=0,"-",VLOOKUP($B133,casostestes[#Data],2)), "-")</f>
        <v>-</v>
      </c>
      <c r="E133" s="35" t="str">
        <f>IFERROR(IF(VLOOKUP($B133,casostestes[#Data],3)=0,"-",VLOOKUP($B133,casostestes[#Data],3)), "-")</f>
        <v>-</v>
      </c>
      <c r="F133" s="35" t="str">
        <f>IFERROR(IF(VLOOKUP($B133,casostestes[#Data],4)=0,"-",VLOOKUP($B133,casostestes[#Data],4)),"-")</f>
        <v>-</v>
      </c>
      <c r="G133" s="35" t="str">
        <f>IFERROR(IF(VLOOKUP($B133,casostestes[#Data],5)=0,"-",VLOOKUP($B133,casostestes[#Data],5)),"-")</f>
        <v>-</v>
      </c>
      <c r="H133" s="35" t="str">
        <f>IFERROR(IF(VLOOKUP($B133,casostestes[#Data],6)=0,"-",VLOOKUP($B133,casostestes[#Data],6)),"-")</f>
        <v>-</v>
      </c>
      <c r="I133" s="35" t="str">
        <f>IFERROR(IF(VLOOKUP($B133,casostestes[#Data],8)=0,"-",VLOOKUP($B133,casostestes[#Data],8)),"-")</f>
        <v>-</v>
      </c>
      <c r="J133" s="35" t="str">
        <f>IFERROR(IF(VLOOKUP($B133,casostestes[#Data],9)=0,"-",VLOOKUP($B133,casostestes[#Data],9)),"-")</f>
        <v>-</v>
      </c>
      <c r="K133" s="36"/>
      <c r="L133" s="45"/>
      <c r="M133" s="37"/>
      <c r="N133" s="38"/>
      <c r="O133" s="38"/>
      <c r="P133" s="39"/>
    </row>
    <row r="134" spans="2:16">
      <c r="B134" s="40" t="str">
        <f>IF(ISERR(casostestes[[#This Row],[ID]]),"-",casostestes[[#This Row],[ID]])</f>
        <v>-</v>
      </c>
      <c r="C134" s="34" t="str">
        <f>IFERROR(IF(VLOOKUP($B134,casostestes[#Data],10)=0,"Não",VLOOKUP($B134,casostestes[#Data],10)), "-")</f>
        <v>-</v>
      </c>
      <c r="D134" s="35" t="str">
        <f>IFERROR(IF(VLOOKUP($B134,casostestes[#Data],2)=0,"-",VLOOKUP($B134,casostestes[#Data],2)), "-")</f>
        <v>-</v>
      </c>
      <c r="E134" s="35" t="str">
        <f>IFERROR(IF(VLOOKUP($B134,casostestes[#Data],3)=0,"-",VLOOKUP($B134,casostestes[#Data],3)), "-")</f>
        <v>-</v>
      </c>
      <c r="F134" s="35" t="str">
        <f>IFERROR(IF(VLOOKUP($B134,casostestes[#Data],4)=0,"-",VLOOKUP($B134,casostestes[#Data],4)),"-")</f>
        <v>-</v>
      </c>
      <c r="G134" s="35" t="str">
        <f>IFERROR(IF(VLOOKUP($B134,casostestes[#Data],5)=0,"-",VLOOKUP($B134,casostestes[#Data],5)),"-")</f>
        <v>-</v>
      </c>
      <c r="H134" s="35" t="str">
        <f>IFERROR(IF(VLOOKUP($B134,casostestes[#Data],6)=0,"-",VLOOKUP($B134,casostestes[#Data],6)),"-")</f>
        <v>-</v>
      </c>
      <c r="I134" s="35" t="str">
        <f>IFERROR(IF(VLOOKUP($B134,casostestes[#Data],8)=0,"-",VLOOKUP($B134,casostestes[#Data],8)),"-")</f>
        <v>-</v>
      </c>
      <c r="J134" s="35" t="str">
        <f>IFERROR(IF(VLOOKUP($B134,casostestes[#Data],9)=0,"-",VLOOKUP($B134,casostestes[#Data],9)),"-")</f>
        <v>-</v>
      </c>
      <c r="K134" s="36"/>
      <c r="L134" s="45"/>
      <c r="M134" s="37"/>
      <c r="N134" s="38"/>
      <c r="O134" s="38"/>
      <c r="P134" s="39"/>
    </row>
    <row r="135" spans="2:16">
      <c r="B135" s="40" t="str">
        <f>IF(ISERR(casostestes[[#This Row],[ID]]),"-",casostestes[[#This Row],[ID]])</f>
        <v>-</v>
      </c>
      <c r="C135" s="34" t="str">
        <f>IFERROR(IF(VLOOKUP($B135,casostestes[#Data],10)=0,"Não",VLOOKUP($B135,casostestes[#Data],10)), "-")</f>
        <v>-</v>
      </c>
      <c r="D135" s="35" t="str">
        <f>IFERROR(IF(VLOOKUP($B135,casostestes[#Data],2)=0,"-",VLOOKUP($B135,casostestes[#Data],2)), "-")</f>
        <v>-</v>
      </c>
      <c r="E135" s="35" t="str">
        <f>IFERROR(IF(VLOOKUP($B135,casostestes[#Data],3)=0,"-",VLOOKUP($B135,casostestes[#Data],3)), "-")</f>
        <v>-</v>
      </c>
      <c r="F135" s="35" t="str">
        <f>IFERROR(IF(VLOOKUP($B135,casostestes[#Data],4)=0,"-",VLOOKUP($B135,casostestes[#Data],4)),"-")</f>
        <v>-</v>
      </c>
      <c r="G135" s="35" t="str">
        <f>IFERROR(IF(VLOOKUP($B135,casostestes[#Data],5)=0,"-",VLOOKUP($B135,casostestes[#Data],5)),"-")</f>
        <v>-</v>
      </c>
      <c r="H135" s="35" t="str">
        <f>IFERROR(IF(VLOOKUP($B135,casostestes[#Data],6)=0,"-",VLOOKUP($B135,casostestes[#Data],6)),"-")</f>
        <v>-</v>
      </c>
      <c r="I135" s="35" t="str">
        <f>IFERROR(IF(VLOOKUP($B135,casostestes[#Data],8)=0,"-",VLOOKUP($B135,casostestes[#Data],8)),"-")</f>
        <v>-</v>
      </c>
      <c r="J135" s="35" t="str">
        <f>IFERROR(IF(VLOOKUP($B135,casostestes[#Data],9)=0,"-",VLOOKUP($B135,casostestes[#Data],9)),"-")</f>
        <v>-</v>
      </c>
      <c r="K135" s="36"/>
      <c r="L135" s="45"/>
      <c r="M135" s="37"/>
      <c r="N135" s="38"/>
      <c r="O135" s="38"/>
      <c r="P135" s="39"/>
    </row>
    <row r="136" spans="2:16">
      <c r="B136" s="40" t="str">
        <f>IF(ISERR(casostestes[[#This Row],[ID]]),"-",casostestes[[#This Row],[ID]])</f>
        <v>-</v>
      </c>
      <c r="C136" s="34" t="str">
        <f>IFERROR(IF(VLOOKUP($B136,casostestes[#Data],10)=0,"Não",VLOOKUP($B136,casostestes[#Data],10)), "-")</f>
        <v>-</v>
      </c>
      <c r="D136" s="35" t="str">
        <f>IFERROR(IF(VLOOKUP($B136,casostestes[#Data],2)=0,"-",VLOOKUP($B136,casostestes[#Data],2)), "-")</f>
        <v>-</v>
      </c>
      <c r="E136" s="35" t="str">
        <f>IFERROR(IF(VLOOKUP($B136,casostestes[#Data],3)=0,"-",VLOOKUP($B136,casostestes[#Data],3)), "-")</f>
        <v>-</v>
      </c>
      <c r="F136" s="35" t="str">
        <f>IFERROR(IF(VLOOKUP($B136,casostestes[#Data],4)=0,"-",VLOOKUP($B136,casostestes[#Data],4)),"-")</f>
        <v>-</v>
      </c>
      <c r="G136" s="35" t="str">
        <f>IFERROR(IF(VLOOKUP($B136,casostestes[#Data],5)=0,"-",VLOOKUP($B136,casostestes[#Data],5)),"-")</f>
        <v>-</v>
      </c>
      <c r="H136" s="35" t="str">
        <f>IFERROR(IF(VLOOKUP($B136,casostestes[#Data],6)=0,"-",VLOOKUP($B136,casostestes[#Data],6)),"-")</f>
        <v>-</v>
      </c>
      <c r="I136" s="35" t="str">
        <f>IFERROR(IF(VLOOKUP($B136,casostestes[#Data],8)=0,"-",VLOOKUP($B136,casostestes[#Data],8)),"-")</f>
        <v>-</v>
      </c>
      <c r="J136" s="35" t="str">
        <f>IFERROR(IF(VLOOKUP($B136,casostestes[#Data],9)=0,"-",VLOOKUP($B136,casostestes[#Data],9)),"-")</f>
        <v>-</v>
      </c>
      <c r="K136" s="36"/>
      <c r="L136" s="45"/>
      <c r="M136" s="37"/>
      <c r="N136" s="38"/>
      <c r="O136" s="38"/>
      <c r="P136" s="39"/>
    </row>
    <row r="137" spans="2:16">
      <c r="B137" s="40" t="str">
        <f>IF(ISERR(casostestes[[#This Row],[ID]]),"-",casostestes[[#This Row],[ID]])</f>
        <v>-</v>
      </c>
      <c r="C137" s="34" t="str">
        <f>IFERROR(IF(VLOOKUP($B137,casostestes[#Data],10)=0,"Não",VLOOKUP($B137,casostestes[#Data],10)), "-")</f>
        <v>-</v>
      </c>
      <c r="D137" s="35" t="str">
        <f>IFERROR(IF(VLOOKUP($B137,casostestes[#Data],2)=0,"-",VLOOKUP($B137,casostestes[#Data],2)), "-")</f>
        <v>-</v>
      </c>
      <c r="E137" s="35" t="str">
        <f>IFERROR(IF(VLOOKUP($B137,casostestes[#Data],3)=0,"-",VLOOKUP($B137,casostestes[#Data],3)), "-")</f>
        <v>-</v>
      </c>
      <c r="F137" s="35" t="str">
        <f>IFERROR(IF(VLOOKUP($B137,casostestes[#Data],4)=0,"-",VLOOKUP($B137,casostestes[#Data],4)),"-")</f>
        <v>-</v>
      </c>
      <c r="G137" s="35" t="str">
        <f>IFERROR(IF(VLOOKUP($B137,casostestes[#Data],5)=0,"-",VLOOKUP($B137,casostestes[#Data],5)),"-")</f>
        <v>-</v>
      </c>
      <c r="H137" s="35" t="str">
        <f>IFERROR(IF(VLOOKUP($B137,casostestes[#Data],6)=0,"-",VLOOKUP($B137,casostestes[#Data],6)),"-")</f>
        <v>-</v>
      </c>
      <c r="I137" s="35" t="str">
        <f>IFERROR(IF(VLOOKUP($B137,casostestes[#Data],8)=0,"-",VLOOKUP($B137,casostestes[#Data],8)),"-")</f>
        <v>-</v>
      </c>
      <c r="J137" s="35" t="str">
        <f>IFERROR(IF(VLOOKUP($B137,casostestes[#Data],9)=0,"-",VLOOKUP($B137,casostestes[#Data],9)),"-")</f>
        <v>-</v>
      </c>
      <c r="K137" s="36"/>
      <c r="L137" s="45"/>
      <c r="M137" s="37"/>
      <c r="N137" s="38"/>
      <c r="O137" s="38"/>
      <c r="P137" s="39"/>
    </row>
    <row r="138" spans="2:16">
      <c r="B138" s="40" t="str">
        <f>IF(ISERR(casostestes[[#This Row],[ID]]),"-",casostestes[[#This Row],[ID]])</f>
        <v>-</v>
      </c>
      <c r="C138" s="34" t="str">
        <f>IFERROR(IF(VLOOKUP($B138,casostestes[#Data],10)=0,"Não",VLOOKUP($B138,casostestes[#Data],10)), "-")</f>
        <v>-</v>
      </c>
      <c r="D138" s="35" t="str">
        <f>IFERROR(IF(VLOOKUP($B138,casostestes[#Data],2)=0,"-",VLOOKUP($B138,casostestes[#Data],2)), "-")</f>
        <v>-</v>
      </c>
      <c r="E138" s="35" t="str">
        <f>IFERROR(IF(VLOOKUP($B138,casostestes[#Data],3)=0,"-",VLOOKUP($B138,casostestes[#Data],3)), "-")</f>
        <v>-</v>
      </c>
      <c r="F138" s="35" t="str">
        <f>IFERROR(IF(VLOOKUP($B138,casostestes[#Data],4)=0,"-",VLOOKUP($B138,casostestes[#Data],4)),"-")</f>
        <v>-</v>
      </c>
      <c r="G138" s="35" t="str">
        <f>IFERROR(IF(VLOOKUP($B138,casostestes[#Data],5)=0,"-",VLOOKUP($B138,casostestes[#Data],5)),"-")</f>
        <v>-</v>
      </c>
      <c r="H138" s="35" t="str">
        <f>IFERROR(IF(VLOOKUP($B138,casostestes[#Data],6)=0,"-",VLOOKUP($B138,casostestes[#Data],6)),"-")</f>
        <v>-</v>
      </c>
      <c r="I138" s="35" t="str">
        <f>IFERROR(IF(VLOOKUP($B138,casostestes[#Data],8)=0,"-",VLOOKUP($B138,casostestes[#Data],8)),"-")</f>
        <v>-</v>
      </c>
      <c r="J138" s="35" t="str">
        <f>IFERROR(IF(VLOOKUP($B138,casostestes[#Data],9)=0,"-",VLOOKUP($B138,casostestes[#Data],9)),"-")</f>
        <v>-</v>
      </c>
      <c r="K138" s="36"/>
      <c r="L138" s="45"/>
      <c r="M138" s="37"/>
      <c r="N138" s="38"/>
      <c r="O138" s="38"/>
      <c r="P138" s="39"/>
    </row>
    <row r="139" spans="2:16">
      <c r="B139" s="40" t="str">
        <f>IF(ISERR(casostestes[[#This Row],[ID]]),"-",casostestes[[#This Row],[ID]])</f>
        <v>-</v>
      </c>
      <c r="C139" s="34" t="str">
        <f>IFERROR(IF(VLOOKUP($B139,casostestes[#Data],10)=0,"Não",VLOOKUP($B139,casostestes[#Data],10)), "-")</f>
        <v>-</v>
      </c>
      <c r="D139" s="35" t="str">
        <f>IFERROR(IF(VLOOKUP($B139,casostestes[#Data],2)=0,"-",VLOOKUP($B139,casostestes[#Data],2)), "-")</f>
        <v>-</v>
      </c>
      <c r="E139" s="35" t="str">
        <f>IFERROR(IF(VLOOKUP($B139,casostestes[#Data],3)=0,"-",VLOOKUP($B139,casostestes[#Data],3)), "-")</f>
        <v>-</v>
      </c>
      <c r="F139" s="35" t="str">
        <f>IFERROR(IF(VLOOKUP($B139,casostestes[#Data],4)=0,"-",VLOOKUP($B139,casostestes[#Data],4)),"-")</f>
        <v>-</v>
      </c>
      <c r="G139" s="35" t="str">
        <f>IFERROR(IF(VLOOKUP($B139,casostestes[#Data],5)=0,"-",VLOOKUP($B139,casostestes[#Data],5)),"-")</f>
        <v>-</v>
      </c>
      <c r="H139" s="35" t="str">
        <f>IFERROR(IF(VLOOKUP($B139,casostestes[#Data],6)=0,"-",VLOOKUP($B139,casostestes[#Data],6)),"-")</f>
        <v>-</v>
      </c>
      <c r="I139" s="35" t="str">
        <f>IFERROR(IF(VLOOKUP($B139,casostestes[#Data],8)=0,"-",VLOOKUP($B139,casostestes[#Data],8)),"-")</f>
        <v>-</v>
      </c>
      <c r="J139" s="35" t="str">
        <f>IFERROR(IF(VLOOKUP($B139,casostestes[#Data],9)=0,"-",VLOOKUP($B139,casostestes[#Data],9)),"-")</f>
        <v>-</v>
      </c>
      <c r="K139" s="36"/>
      <c r="L139" s="45"/>
      <c r="M139" s="37"/>
      <c r="N139" s="38"/>
      <c r="O139" s="38"/>
      <c r="P139" s="39"/>
    </row>
    <row r="140" spans="2:16">
      <c r="B140" s="40" t="str">
        <f>IF(ISERR(casostestes[[#This Row],[ID]]),"-",casostestes[[#This Row],[ID]])</f>
        <v>-</v>
      </c>
      <c r="C140" s="34" t="str">
        <f>IFERROR(IF(VLOOKUP($B140,casostestes[#Data],10)=0,"Não",VLOOKUP($B140,casostestes[#Data],10)), "-")</f>
        <v>-</v>
      </c>
      <c r="D140" s="35" t="str">
        <f>IFERROR(IF(VLOOKUP($B140,casostestes[#Data],2)=0,"-",VLOOKUP($B140,casostestes[#Data],2)), "-")</f>
        <v>-</v>
      </c>
      <c r="E140" s="35" t="str">
        <f>IFERROR(IF(VLOOKUP($B140,casostestes[#Data],3)=0,"-",VLOOKUP($B140,casostestes[#Data],3)), "-")</f>
        <v>-</v>
      </c>
      <c r="F140" s="35" t="str">
        <f>IFERROR(IF(VLOOKUP($B140,casostestes[#Data],4)=0,"-",VLOOKUP($B140,casostestes[#Data],4)),"-")</f>
        <v>-</v>
      </c>
      <c r="G140" s="35" t="str">
        <f>IFERROR(IF(VLOOKUP($B140,casostestes[#Data],5)=0,"-",VLOOKUP($B140,casostestes[#Data],5)),"-")</f>
        <v>-</v>
      </c>
      <c r="H140" s="35" t="str">
        <f>IFERROR(IF(VLOOKUP($B140,casostestes[#Data],6)=0,"-",VLOOKUP($B140,casostestes[#Data],6)),"-")</f>
        <v>-</v>
      </c>
      <c r="I140" s="35" t="str">
        <f>IFERROR(IF(VLOOKUP($B140,casostestes[#Data],8)=0,"-",VLOOKUP($B140,casostestes[#Data],8)),"-")</f>
        <v>-</v>
      </c>
      <c r="J140" s="35" t="str">
        <f>IFERROR(IF(VLOOKUP($B140,casostestes[#Data],9)=0,"-",VLOOKUP($B140,casostestes[#Data],9)),"-")</f>
        <v>-</v>
      </c>
      <c r="K140" s="36"/>
      <c r="L140" s="45"/>
      <c r="M140" s="37"/>
      <c r="N140" s="38"/>
      <c r="O140" s="38"/>
      <c r="P140" s="39"/>
    </row>
    <row r="141" spans="2:16">
      <c r="B141" s="40" t="str">
        <f>IF(ISERR(casostestes[[#This Row],[ID]]),"-",casostestes[[#This Row],[ID]])</f>
        <v>-</v>
      </c>
      <c r="C141" s="34" t="str">
        <f>IFERROR(IF(VLOOKUP($B141,casostestes[#Data],10)=0,"Não",VLOOKUP($B141,casostestes[#Data],10)), "-")</f>
        <v>-</v>
      </c>
      <c r="D141" s="35" t="str">
        <f>IFERROR(IF(VLOOKUP($B141,casostestes[#Data],2)=0,"-",VLOOKUP($B141,casostestes[#Data],2)), "-")</f>
        <v>-</v>
      </c>
      <c r="E141" s="35" t="str">
        <f>IFERROR(IF(VLOOKUP($B141,casostestes[#Data],3)=0,"-",VLOOKUP($B141,casostestes[#Data],3)), "-")</f>
        <v>-</v>
      </c>
      <c r="F141" s="35" t="str">
        <f>IFERROR(IF(VLOOKUP($B141,casostestes[#Data],4)=0,"-",VLOOKUP($B141,casostestes[#Data],4)),"-")</f>
        <v>-</v>
      </c>
      <c r="G141" s="35" t="str">
        <f>IFERROR(IF(VLOOKUP($B141,casostestes[#Data],5)=0,"-",VLOOKUP($B141,casostestes[#Data],5)),"-")</f>
        <v>-</v>
      </c>
      <c r="H141" s="35" t="str">
        <f>IFERROR(IF(VLOOKUP($B141,casostestes[#Data],6)=0,"-",VLOOKUP($B141,casostestes[#Data],6)),"-")</f>
        <v>-</v>
      </c>
      <c r="I141" s="35" t="str">
        <f>IFERROR(IF(VLOOKUP($B141,casostestes[#Data],8)=0,"-",VLOOKUP($B141,casostestes[#Data],8)),"-")</f>
        <v>-</v>
      </c>
      <c r="J141" s="35" t="str">
        <f>IFERROR(IF(VLOOKUP($B141,casostestes[#Data],9)=0,"-",VLOOKUP($B141,casostestes[#Data],9)),"-")</f>
        <v>-</v>
      </c>
      <c r="K141" s="36"/>
      <c r="L141" s="45"/>
      <c r="M141" s="37"/>
      <c r="N141" s="38"/>
      <c r="O141" s="38"/>
      <c r="P141" s="39"/>
    </row>
    <row r="142" spans="2:16">
      <c r="B142" s="40" t="str">
        <f>IF(ISERR(casostestes[[#This Row],[ID]]),"-",casostestes[[#This Row],[ID]])</f>
        <v>-</v>
      </c>
      <c r="C142" s="34" t="str">
        <f>IFERROR(IF(VLOOKUP($B142,casostestes[#Data],10)=0,"Não",VLOOKUP($B142,casostestes[#Data],10)), "-")</f>
        <v>-</v>
      </c>
      <c r="D142" s="35" t="str">
        <f>IFERROR(IF(VLOOKUP($B142,casostestes[#Data],2)=0,"-",VLOOKUP($B142,casostestes[#Data],2)), "-")</f>
        <v>-</v>
      </c>
      <c r="E142" s="35" t="str">
        <f>IFERROR(IF(VLOOKUP($B142,casostestes[#Data],3)=0,"-",VLOOKUP($B142,casostestes[#Data],3)), "-")</f>
        <v>-</v>
      </c>
      <c r="F142" s="35" t="str">
        <f>IFERROR(IF(VLOOKUP($B142,casostestes[#Data],4)=0,"-",VLOOKUP($B142,casostestes[#Data],4)),"-")</f>
        <v>-</v>
      </c>
      <c r="G142" s="35" t="str">
        <f>IFERROR(IF(VLOOKUP($B142,casostestes[#Data],5)=0,"-",VLOOKUP($B142,casostestes[#Data],5)),"-")</f>
        <v>-</v>
      </c>
      <c r="H142" s="35" t="str">
        <f>IFERROR(IF(VLOOKUP($B142,casostestes[#Data],6)=0,"-",VLOOKUP($B142,casostestes[#Data],6)),"-")</f>
        <v>-</v>
      </c>
      <c r="I142" s="35" t="str">
        <f>IFERROR(IF(VLOOKUP($B142,casostestes[#Data],8)=0,"-",VLOOKUP($B142,casostestes[#Data],8)),"-")</f>
        <v>-</v>
      </c>
      <c r="J142" s="35" t="str">
        <f>IFERROR(IF(VLOOKUP($B142,casostestes[#Data],9)=0,"-",VLOOKUP($B142,casostestes[#Data],9)),"-")</f>
        <v>-</v>
      </c>
      <c r="K142" s="36"/>
      <c r="L142" s="45"/>
      <c r="M142" s="37"/>
      <c r="N142" s="38"/>
      <c r="O142" s="38"/>
      <c r="P142" s="39"/>
    </row>
    <row r="143" spans="2:16">
      <c r="B143" s="40" t="str">
        <f>IF(ISERR(casostestes[[#This Row],[ID]]),"-",casostestes[[#This Row],[ID]])</f>
        <v>-</v>
      </c>
      <c r="C143" s="34" t="str">
        <f>IFERROR(IF(VLOOKUP($B143,casostestes[#Data],10)=0,"Não",VLOOKUP($B143,casostestes[#Data],10)), "-")</f>
        <v>-</v>
      </c>
      <c r="D143" s="35" t="str">
        <f>IFERROR(IF(VLOOKUP($B143,casostestes[#Data],2)=0,"-",VLOOKUP($B143,casostestes[#Data],2)), "-")</f>
        <v>-</v>
      </c>
      <c r="E143" s="35" t="str">
        <f>IFERROR(IF(VLOOKUP($B143,casostestes[#Data],3)=0,"-",VLOOKUP($B143,casostestes[#Data],3)), "-")</f>
        <v>-</v>
      </c>
      <c r="F143" s="35" t="str">
        <f>IFERROR(IF(VLOOKUP($B143,casostestes[#Data],4)=0,"-",VLOOKUP($B143,casostestes[#Data],4)),"-")</f>
        <v>-</v>
      </c>
      <c r="G143" s="35" t="str">
        <f>IFERROR(IF(VLOOKUP($B143,casostestes[#Data],5)=0,"-",VLOOKUP($B143,casostestes[#Data],5)),"-")</f>
        <v>-</v>
      </c>
      <c r="H143" s="35" t="str">
        <f>IFERROR(IF(VLOOKUP($B143,casostestes[#Data],6)=0,"-",VLOOKUP($B143,casostestes[#Data],6)),"-")</f>
        <v>-</v>
      </c>
      <c r="I143" s="35" t="str">
        <f>IFERROR(IF(VLOOKUP($B143,casostestes[#Data],8)=0,"-",VLOOKUP($B143,casostestes[#Data],8)),"-")</f>
        <v>-</v>
      </c>
      <c r="J143" s="35" t="str">
        <f>IFERROR(IF(VLOOKUP($B143,casostestes[#Data],9)=0,"-",VLOOKUP($B143,casostestes[#Data],9)),"-")</f>
        <v>-</v>
      </c>
      <c r="K143" s="36"/>
      <c r="L143" s="45"/>
      <c r="M143" s="37"/>
      <c r="N143" s="38"/>
      <c r="O143" s="38"/>
      <c r="P143" s="39"/>
    </row>
    <row r="144" spans="2:16">
      <c r="B144" s="40" t="str">
        <f>IF(ISERR(casostestes[[#This Row],[ID]]),"-",casostestes[[#This Row],[ID]])</f>
        <v>-</v>
      </c>
      <c r="C144" s="34" t="str">
        <f>IFERROR(IF(VLOOKUP($B144,casostestes[#Data],10)=0,"Não",VLOOKUP($B144,casostestes[#Data],10)), "-")</f>
        <v>-</v>
      </c>
      <c r="D144" s="35" t="str">
        <f>IFERROR(IF(VLOOKUP($B144,casostestes[#Data],2)=0,"-",VLOOKUP($B144,casostestes[#Data],2)), "-")</f>
        <v>-</v>
      </c>
      <c r="E144" s="35" t="str">
        <f>IFERROR(IF(VLOOKUP($B144,casostestes[#Data],3)=0,"-",VLOOKUP($B144,casostestes[#Data],3)), "-")</f>
        <v>-</v>
      </c>
      <c r="F144" s="35" t="str">
        <f>IFERROR(IF(VLOOKUP($B144,casostestes[#Data],4)=0,"-",VLOOKUP($B144,casostestes[#Data],4)),"-")</f>
        <v>-</v>
      </c>
      <c r="G144" s="35" t="str">
        <f>IFERROR(IF(VLOOKUP($B144,casostestes[#Data],5)=0,"-",VLOOKUP($B144,casostestes[#Data],5)),"-")</f>
        <v>-</v>
      </c>
      <c r="H144" s="35" t="str">
        <f>IFERROR(IF(VLOOKUP($B144,casostestes[#Data],6)=0,"-",VLOOKUP($B144,casostestes[#Data],6)),"-")</f>
        <v>-</v>
      </c>
      <c r="I144" s="35" t="str">
        <f>IFERROR(IF(VLOOKUP($B144,casostestes[#Data],8)=0,"-",VLOOKUP($B144,casostestes[#Data],8)),"-")</f>
        <v>-</v>
      </c>
      <c r="J144" s="35" t="str">
        <f>IFERROR(IF(VLOOKUP($B144,casostestes[#Data],9)=0,"-",VLOOKUP($B144,casostestes[#Data],9)),"-")</f>
        <v>-</v>
      </c>
      <c r="K144" s="36"/>
      <c r="L144" s="45"/>
      <c r="M144" s="37"/>
      <c r="N144" s="38"/>
      <c r="O144" s="38"/>
      <c r="P144" s="39"/>
    </row>
    <row r="145" spans="2:16">
      <c r="B145" s="40" t="str">
        <f>IF(ISERR(casostestes[[#This Row],[ID]]),"-",casostestes[[#This Row],[ID]])</f>
        <v>-</v>
      </c>
      <c r="C145" s="34" t="str">
        <f>IFERROR(IF(VLOOKUP($B145,casostestes[#Data],10)=0,"Não",VLOOKUP($B145,casostestes[#Data],10)), "-")</f>
        <v>-</v>
      </c>
      <c r="D145" s="35" t="str">
        <f>IFERROR(IF(VLOOKUP($B145,casostestes[#Data],2)=0,"-",VLOOKUP($B145,casostestes[#Data],2)), "-")</f>
        <v>-</v>
      </c>
      <c r="E145" s="35" t="str">
        <f>IFERROR(IF(VLOOKUP($B145,casostestes[#Data],3)=0,"-",VLOOKUP($B145,casostestes[#Data],3)), "-")</f>
        <v>-</v>
      </c>
      <c r="F145" s="35" t="str">
        <f>IFERROR(IF(VLOOKUP($B145,casostestes[#Data],4)=0,"-",VLOOKUP($B145,casostestes[#Data],4)),"-")</f>
        <v>-</v>
      </c>
      <c r="G145" s="35" t="str">
        <f>IFERROR(IF(VLOOKUP($B145,casostestes[#Data],5)=0,"-",VLOOKUP($B145,casostestes[#Data],5)),"-")</f>
        <v>-</v>
      </c>
      <c r="H145" s="35" t="str">
        <f>IFERROR(IF(VLOOKUP($B145,casostestes[#Data],6)=0,"-",VLOOKUP($B145,casostestes[#Data],6)),"-")</f>
        <v>-</v>
      </c>
      <c r="I145" s="35" t="str">
        <f>IFERROR(IF(VLOOKUP($B145,casostestes[#Data],8)=0,"-",VLOOKUP($B145,casostestes[#Data],8)),"-")</f>
        <v>-</v>
      </c>
      <c r="J145" s="35" t="str">
        <f>IFERROR(IF(VLOOKUP($B145,casostestes[#Data],9)=0,"-",VLOOKUP($B145,casostestes[#Data],9)),"-")</f>
        <v>-</v>
      </c>
      <c r="K145" s="36"/>
      <c r="L145" s="45"/>
      <c r="M145" s="37"/>
      <c r="N145" s="38"/>
      <c r="O145" s="38"/>
      <c r="P145" s="39"/>
    </row>
    <row r="146" spans="2:16">
      <c r="B146" s="40" t="str">
        <f>IF(ISERR(casostestes[[#This Row],[ID]]),"-",casostestes[[#This Row],[ID]])</f>
        <v>-</v>
      </c>
      <c r="C146" s="34" t="str">
        <f>IFERROR(IF(VLOOKUP($B146,casostestes[#Data],10)=0,"Não",VLOOKUP($B146,casostestes[#Data],10)), "-")</f>
        <v>-</v>
      </c>
      <c r="D146" s="35" t="str">
        <f>IFERROR(IF(VLOOKUP($B146,casostestes[#Data],2)=0,"-",VLOOKUP($B146,casostestes[#Data],2)), "-")</f>
        <v>-</v>
      </c>
      <c r="E146" s="35" t="str">
        <f>IFERROR(IF(VLOOKUP($B146,casostestes[#Data],3)=0,"-",VLOOKUP($B146,casostestes[#Data],3)), "-")</f>
        <v>-</v>
      </c>
      <c r="F146" s="35" t="str">
        <f>IFERROR(IF(VLOOKUP($B146,casostestes[#Data],4)=0,"-",VLOOKUP($B146,casostestes[#Data],4)),"-")</f>
        <v>-</v>
      </c>
      <c r="G146" s="35" t="str">
        <f>IFERROR(IF(VLOOKUP($B146,casostestes[#Data],5)=0,"-",VLOOKUP($B146,casostestes[#Data],5)),"-")</f>
        <v>-</v>
      </c>
      <c r="H146" s="35" t="str">
        <f>IFERROR(IF(VLOOKUP($B146,casostestes[#Data],6)=0,"-",VLOOKUP($B146,casostestes[#Data],6)),"-")</f>
        <v>-</v>
      </c>
      <c r="I146" s="35" t="str">
        <f>IFERROR(IF(VLOOKUP($B146,casostestes[#Data],8)=0,"-",VLOOKUP($B146,casostestes[#Data],8)),"-")</f>
        <v>-</v>
      </c>
      <c r="J146" s="35" t="str">
        <f>IFERROR(IF(VLOOKUP($B146,casostestes[#Data],9)=0,"-",VLOOKUP($B146,casostestes[#Data],9)),"-")</f>
        <v>-</v>
      </c>
      <c r="K146" s="36"/>
      <c r="L146" s="45"/>
      <c r="M146" s="37"/>
      <c r="N146" s="38"/>
      <c r="O146" s="38"/>
      <c r="P146" s="39"/>
    </row>
    <row r="147" spans="2:16">
      <c r="B147" s="40" t="str">
        <f>IF(ISERR(casostestes[[#This Row],[ID]]),"-",casostestes[[#This Row],[ID]])</f>
        <v>-</v>
      </c>
      <c r="C147" s="34" t="str">
        <f>IFERROR(IF(VLOOKUP($B147,casostestes[#Data],10)=0,"Não",VLOOKUP($B147,casostestes[#Data],10)), "-")</f>
        <v>-</v>
      </c>
      <c r="D147" s="35" t="str">
        <f>IFERROR(IF(VLOOKUP($B147,casostestes[#Data],2)=0,"-",VLOOKUP($B147,casostestes[#Data],2)), "-")</f>
        <v>-</v>
      </c>
      <c r="E147" s="35" t="str">
        <f>IFERROR(IF(VLOOKUP($B147,casostestes[#Data],3)=0,"-",VLOOKUP($B147,casostestes[#Data],3)), "-")</f>
        <v>-</v>
      </c>
      <c r="F147" s="35" t="str">
        <f>IFERROR(IF(VLOOKUP($B147,casostestes[#Data],4)=0,"-",VLOOKUP($B147,casostestes[#Data],4)),"-")</f>
        <v>-</v>
      </c>
      <c r="G147" s="35" t="str">
        <f>IFERROR(IF(VLOOKUP($B147,casostestes[#Data],5)=0,"-",VLOOKUP($B147,casostestes[#Data],5)),"-")</f>
        <v>-</v>
      </c>
      <c r="H147" s="35" t="str">
        <f>IFERROR(IF(VLOOKUP($B147,casostestes[#Data],6)=0,"-",VLOOKUP($B147,casostestes[#Data],6)),"-")</f>
        <v>-</v>
      </c>
      <c r="I147" s="35" t="str">
        <f>IFERROR(IF(VLOOKUP($B147,casostestes[#Data],8)=0,"-",VLOOKUP($B147,casostestes[#Data],8)),"-")</f>
        <v>-</v>
      </c>
      <c r="J147" s="35" t="str">
        <f>IFERROR(IF(VLOOKUP($B147,casostestes[#Data],9)=0,"-",VLOOKUP($B147,casostestes[#Data],9)),"-")</f>
        <v>-</v>
      </c>
      <c r="K147" s="36"/>
      <c r="L147" s="45"/>
      <c r="M147" s="37"/>
      <c r="N147" s="38"/>
      <c r="O147" s="38"/>
      <c r="P147" s="39"/>
    </row>
    <row r="148" spans="2:16">
      <c r="B148" s="40" t="str">
        <f>IF(ISERR(casostestes[[#This Row],[ID]]),"-",casostestes[[#This Row],[ID]])</f>
        <v>-</v>
      </c>
      <c r="C148" s="34" t="str">
        <f>IFERROR(IF(VLOOKUP($B148,casostestes[#Data],10)=0,"Não",VLOOKUP($B148,casostestes[#Data],10)), "-")</f>
        <v>-</v>
      </c>
      <c r="D148" s="35" t="str">
        <f>IFERROR(IF(VLOOKUP($B148,casostestes[#Data],2)=0,"-",VLOOKUP($B148,casostestes[#Data],2)), "-")</f>
        <v>-</v>
      </c>
      <c r="E148" s="35" t="str">
        <f>IFERROR(IF(VLOOKUP($B148,casostestes[#Data],3)=0,"-",VLOOKUP($B148,casostestes[#Data],3)), "-")</f>
        <v>-</v>
      </c>
      <c r="F148" s="35" t="str">
        <f>IFERROR(IF(VLOOKUP($B148,casostestes[#Data],4)=0,"-",VLOOKUP($B148,casostestes[#Data],4)),"-")</f>
        <v>-</v>
      </c>
      <c r="G148" s="35" t="str">
        <f>IFERROR(IF(VLOOKUP($B148,casostestes[#Data],5)=0,"-",VLOOKUP($B148,casostestes[#Data],5)),"-")</f>
        <v>-</v>
      </c>
      <c r="H148" s="35" t="str">
        <f>IFERROR(IF(VLOOKUP($B148,casostestes[#Data],6)=0,"-",VLOOKUP($B148,casostestes[#Data],6)),"-")</f>
        <v>-</v>
      </c>
      <c r="I148" s="35" t="str">
        <f>IFERROR(IF(VLOOKUP($B148,casostestes[#Data],8)=0,"-",VLOOKUP($B148,casostestes[#Data],8)),"-")</f>
        <v>-</v>
      </c>
      <c r="J148" s="35" t="str">
        <f>IFERROR(IF(VLOOKUP($B148,casostestes[#Data],9)=0,"-",VLOOKUP($B148,casostestes[#Data],9)),"-")</f>
        <v>-</v>
      </c>
      <c r="K148" s="36"/>
      <c r="L148" s="45"/>
      <c r="M148" s="37"/>
      <c r="N148" s="38"/>
      <c r="O148" s="38"/>
      <c r="P148" s="39"/>
    </row>
    <row r="149" spans="2:16">
      <c r="B149" s="40" t="str">
        <f>IF(ISERR(casostestes[[#This Row],[ID]]),"-",casostestes[[#This Row],[ID]])</f>
        <v>-</v>
      </c>
      <c r="C149" s="34" t="str">
        <f>IFERROR(IF(VLOOKUP($B149,casostestes[#Data],10)=0,"Não",VLOOKUP($B149,casostestes[#Data],10)), "-")</f>
        <v>-</v>
      </c>
      <c r="D149" s="35" t="str">
        <f>IFERROR(IF(VLOOKUP($B149,casostestes[#Data],2)=0,"-",VLOOKUP($B149,casostestes[#Data],2)), "-")</f>
        <v>-</v>
      </c>
      <c r="E149" s="35" t="str">
        <f>IFERROR(IF(VLOOKUP($B149,casostestes[#Data],3)=0,"-",VLOOKUP($B149,casostestes[#Data],3)), "-")</f>
        <v>-</v>
      </c>
      <c r="F149" s="35" t="str">
        <f>IFERROR(IF(VLOOKUP($B149,casostestes[#Data],4)=0,"-",VLOOKUP($B149,casostestes[#Data],4)),"-")</f>
        <v>-</v>
      </c>
      <c r="G149" s="35" t="str">
        <f>IFERROR(IF(VLOOKUP($B149,casostestes[#Data],5)=0,"-",VLOOKUP($B149,casostestes[#Data],5)),"-")</f>
        <v>-</v>
      </c>
      <c r="H149" s="35" t="str">
        <f>IFERROR(IF(VLOOKUP($B149,casostestes[#Data],6)=0,"-",VLOOKUP($B149,casostestes[#Data],6)),"-")</f>
        <v>-</v>
      </c>
      <c r="I149" s="35" t="str">
        <f>IFERROR(IF(VLOOKUP($B149,casostestes[#Data],8)=0,"-",VLOOKUP($B149,casostestes[#Data],8)),"-")</f>
        <v>-</v>
      </c>
      <c r="J149" s="35" t="str">
        <f>IFERROR(IF(VLOOKUP($B149,casostestes[#Data],9)=0,"-",VLOOKUP($B149,casostestes[#Data],9)),"-")</f>
        <v>-</v>
      </c>
      <c r="K149" s="36"/>
      <c r="L149" s="45"/>
      <c r="M149" s="37"/>
      <c r="N149" s="38"/>
      <c r="O149" s="38"/>
      <c r="P149" s="39"/>
    </row>
    <row r="150" spans="2:16">
      <c r="B150" s="40" t="str">
        <f>IF(ISERR(casostestes[[#This Row],[ID]]),"-",casostestes[[#This Row],[ID]])</f>
        <v>-</v>
      </c>
      <c r="C150" s="34" t="str">
        <f>IFERROR(IF(VLOOKUP($B150,casostestes[#Data],10)=0,"Não",VLOOKUP($B150,casostestes[#Data],10)), "-")</f>
        <v>-</v>
      </c>
      <c r="D150" s="35" t="str">
        <f>IFERROR(IF(VLOOKUP($B150,casostestes[#Data],2)=0,"-",VLOOKUP($B150,casostestes[#Data],2)), "-")</f>
        <v>-</v>
      </c>
      <c r="E150" s="35" t="str">
        <f>IFERROR(IF(VLOOKUP($B150,casostestes[#Data],3)=0,"-",VLOOKUP($B150,casostestes[#Data],3)), "-")</f>
        <v>-</v>
      </c>
      <c r="F150" s="35" t="str">
        <f>IFERROR(IF(VLOOKUP($B150,casostestes[#Data],4)=0,"-",VLOOKUP($B150,casostestes[#Data],4)),"-")</f>
        <v>-</v>
      </c>
      <c r="G150" s="35" t="str">
        <f>IFERROR(IF(VLOOKUP($B150,casostestes[#Data],5)=0,"-",VLOOKUP($B150,casostestes[#Data],5)),"-")</f>
        <v>-</v>
      </c>
      <c r="H150" s="35" t="str">
        <f>IFERROR(IF(VLOOKUP($B150,casostestes[#Data],6)=0,"-",VLOOKUP($B150,casostestes[#Data],6)),"-")</f>
        <v>-</v>
      </c>
      <c r="I150" s="35" t="str">
        <f>IFERROR(IF(VLOOKUP($B150,casostestes[#Data],8)=0,"-",VLOOKUP($B150,casostestes[#Data],8)),"-")</f>
        <v>-</v>
      </c>
      <c r="J150" s="35" t="str">
        <f>IFERROR(IF(VLOOKUP($B150,casostestes[#Data],9)=0,"-",VLOOKUP($B150,casostestes[#Data],9)),"-")</f>
        <v>-</v>
      </c>
      <c r="K150" s="36"/>
      <c r="L150" s="45"/>
      <c r="M150" s="37"/>
      <c r="N150" s="38"/>
      <c r="O150" s="38"/>
      <c r="P150" s="39"/>
    </row>
    <row r="151" spans="2:16">
      <c r="B151" s="40" t="str">
        <f>IF(ISERR(casostestes[[#This Row],[ID]]),"-",casostestes[[#This Row],[ID]])</f>
        <v>-</v>
      </c>
      <c r="C151" s="34" t="str">
        <f>IFERROR(IF(VLOOKUP($B151,casostestes[#Data],10)=0,"Não",VLOOKUP($B151,casostestes[#Data],10)), "-")</f>
        <v>-</v>
      </c>
      <c r="D151" s="35" t="str">
        <f>IFERROR(IF(VLOOKUP($B151,casostestes[#Data],2)=0,"-",VLOOKUP($B151,casostestes[#Data],2)), "-")</f>
        <v>-</v>
      </c>
      <c r="E151" s="35" t="str">
        <f>IFERROR(IF(VLOOKUP($B151,casostestes[#Data],3)=0,"-",VLOOKUP($B151,casostestes[#Data],3)), "-")</f>
        <v>-</v>
      </c>
      <c r="F151" s="35" t="str">
        <f>IFERROR(IF(VLOOKUP($B151,casostestes[#Data],4)=0,"-",VLOOKUP($B151,casostestes[#Data],4)),"-")</f>
        <v>-</v>
      </c>
      <c r="G151" s="35" t="str">
        <f>IFERROR(IF(VLOOKUP($B151,casostestes[#Data],5)=0,"-",VLOOKUP($B151,casostestes[#Data],5)),"-")</f>
        <v>-</v>
      </c>
      <c r="H151" s="35" t="str">
        <f>IFERROR(IF(VLOOKUP($B151,casostestes[#Data],6)=0,"-",VLOOKUP($B151,casostestes[#Data],6)),"-")</f>
        <v>-</v>
      </c>
      <c r="I151" s="35" t="str">
        <f>IFERROR(IF(VLOOKUP($B151,casostestes[#Data],8)=0,"-",VLOOKUP($B151,casostestes[#Data],8)),"-")</f>
        <v>-</v>
      </c>
      <c r="J151" s="35" t="str">
        <f>IFERROR(IF(VLOOKUP($B151,casostestes[#Data],9)=0,"-",VLOOKUP($B151,casostestes[#Data],9)),"-")</f>
        <v>-</v>
      </c>
      <c r="K151" s="36"/>
      <c r="L151" s="45"/>
      <c r="M151" s="37"/>
      <c r="N151" s="38"/>
      <c r="O151" s="38"/>
      <c r="P151" s="39"/>
    </row>
    <row r="152" spans="2:16">
      <c r="B152" s="40" t="str">
        <f>IF(ISERR(casostestes[[#This Row],[ID]]),"-",casostestes[[#This Row],[ID]])</f>
        <v>-</v>
      </c>
      <c r="C152" s="34" t="str">
        <f>IFERROR(IF(VLOOKUP($B152,casostestes[#Data],10)=0,"Não",VLOOKUP($B152,casostestes[#Data],10)), "-")</f>
        <v>-</v>
      </c>
      <c r="D152" s="35" t="str">
        <f>IFERROR(IF(VLOOKUP($B152,casostestes[#Data],2)=0,"-",VLOOKUP($B152,casostestes[#Data],2)), "-")</f>
        <v>-</v>
      </c>
      <c r="E152" s="35" t="str">
        <f>IFERROR(IF(VLOOKUP($B152,casostestes[#Data],3)=0,"-",VLOOKUP($B152,casostestes[#Data],3)), "-")</f>
        <v>-</v>
      </c>
      <c r="F152" s="35" t="str">
        <f>IFERROR(IF(VLOOKUP($B152,casostestes[#Data],4)=0,"-",VLOOKUP($B152,casostestes[#Data],4)),"-")</f>
        <v>-</v>
      </c>
      <c r="G152" s="35" t="str">
        <f>IFERROR(IF(VLOOKUP($B152,casostestes[#Data],5)=0,"-",VLOOKUP($B152,casostestes[#Data],5)),"-")</f>
        <v>-</v>
      </c>
      <c r="H152" s="35" t="str">
        <f>IFERROR(IF(VLOOKUP($B152,casostestes[#Data],6)=0,"-",VLOOKUP($B152,casostestes[#Data],6)),"-")</f>
        <v>-</v>
      </c>
      <c r="I152" s="35" t="str">
        <f>IFERROR(IF(VLOOKUP($B152,casostestes[#Data],8)=0,"-",VLOOKUP($B152,casostestes[#Data],8)),"-")</f>
        <v>-</v>
      </c>
      <c r="J152" s="35" t="str">
        <f>IFERROR(IF(VLOOKUP($B152,casostestes[#Data],9)=0,"-",VLOOKUP($B152,casostestes[#Data],9)),"-")</f>
        <v>-</v>
      </c>
      <c r="K152" s="36"/>
      <c r="L152" s="45"/>
      <c r="M152" s="37"/>
      <c r="N152" s="38"/>
      <c r="O152" s="38"/>
      <c r="P152" s="39"/>
    </row>
    <row r="153" spans="2:16">
      <c r="B153" s="40" t="str">
        <f>IF(ISERR(casostestes[[#This Row],[ID]]),"-",casostestes[[#This Row],[ID]])</f>
        <v>-</v>
      </c>
      <c r="C153" s="34" t="str">
        <f>IFERROR(IF(VLOOKUP($B153,casostestes[#Data],10)=0,"Não",VLOOKUP($B153,casostestes[#Data],10)), "-")</f>
        <v>-</v>
      </c>
      <c r="D153" s="35" t="str">
        <f>IFERROR(IF(VLOOKUP($B153,casostestes[#Data],2)=0,"-",VLOOKUP($B153,casostestes[#Data],2)), "-")</f>
        <v>-</v>
      </c>
      <c r="E153" s="35" t="str">
        <f>IFERROR(IF(VLOOKUP($B153,casostestes[#Data],3)=0,"-",VLOOKUP($B153,casostestes[#Data],3)), "-")</f>
        <v>-</v>
      </c>
      <c r="F153" s="35" t="str">
        <f>IFERROR(IF(VLOOKUP($B153,casostestes[#Data],4)=0,"-",VLOOKUP($B153,casostestes[#Data],4)),"-")</f>
        <v>-</v>
      </c>
      <c r="G153" s="35" t="str">
        <f>IFERROR(IF(VLOOKUP($B153,casostestes[#Data],5)=0,"-",VLOOKUP($B153,casostestes[#Data],5)),"-")</f>
        <v>-</v>
      </c>
      <c r="H153" s="35" t="str">
        <f>IFERROR(IF(VLOOKUP($B153,casostestes[#Data],6)=0,"-",VLOOKUP($B153,casostestes[#Data],6)),"-")</f>
        <v>-</v>
      </c>
      <c r="I153" s="35" t="str">
        <f>IFERROR(IF(VLOOKUP($B153,casostestes[#Data],8)=0,"-",VLOOKUP($B153,casostestes[#Data],8)),"-")</f>
        <v>-</v>
      </c>
      <c r="J153" s="35" t="str">
        <f>IFERROR(IF(VLOOKUP($B153,casostestes[#Data],9)=0,"-",VLOOKUP($B153,casostestes[#Data],9)),"-")</f>
        <v>-</v>
      </c>
      <c r="K153" s="36"/>
      <c r="L153" s="45"/>
      <c r="M153" s="37"/>
      <c r="N153" s="38"/>
      <c r="O153" s="38"/>
      <c r="P153" s="39"/>
    </row>
    <row r="154" spans="2:16">
      <c r="B154" s="40" t="str">
        <f>IF(ISERR(casostestes[[#This Row],[ID]]),"-",casostestes[[#This Row],[ID]])</f>
        <v>-</v>
      </c>
      <c r="C154" s="34" t="str">
        <f>IFERROR(IF(VLOOKUP($B154,casostestes[#Data],10)=0,"Não",VLOOKUP($B154,casostestes[#Data],10)), "-")</f>
        <v>-</v>
      </c>
      <c r="D154" s="35" t="str">
        <f>IFERROR(IF(VLOOKUP($B154,casostestes[#Data],2)=0,"-",VLOOKUP($B154,casostestes[#Data],2)), "-")</f>
        <v>-</v>
      </c>
      <c r="E154" s="35" t="str">
        <f>IFERROR(IF(VLOOKUP($B154,casostestes[#Data],3)=0,"-",VLOOKUP($B154,casostestes[#Data],3)), "-")</f>
        <v>-</v>
      </c>
      <c r="F154" s="35" t="str">
        <f>IFERROR(IF(VLOOKUP($B154,casostestes[#Data],4)=0,"-",VLOOKUP($B154,casostestes[#Data],4)),"-")</f>
        <v>-</v>
      </c>
      <c r="G154" s="35" t="str">
        <f>IFERROR(IF(VLOOKUP($B154,casostestes[#Data],5)=0,"-",VLOOKUP($B154,casostestes[#Data],5)),"-")</f>
        <v>-</v>
      </c>
      <c r="H154" s="35" t="str">
        <f>IFERROR(IF(VLOOKUP($B154,casostestes[#Data],6)=0,"-",VLOOKUP($B154,casostestes[#Data],6)),"-")</f>
        <v>-</v>
      </c>
      <c r="I154" s="35" t="str">
        <f>IFERROR(IF(VLOOKUP($B154,casostestes[#Data],8)=0,"-",VLOOKUP($B154,casostestes[#Data],8)),"-")</f>
        <v>-</v>
      </c>
      <c r="J154" s="35" t="str">
        <f>IFERROR(IF(VLOOKUP($B154,casostestes[#Data],9)=0,"-",VLOOKUP($B154,casostestes[#Data],9)),"-")</f>
        <v>-</v>
      </c>
      <c r="K154" s="36"/>
      <c r="L154" s="45"/>
      <c r="M154" s="37"/>
      <c r="N154" s="38"/>
      <c r="O154" s="38"/>
      <c r="P154" s="39"/>
    </row>
    <row r="155" spans="2:16">
      <c r="B155" s="40" t="str">
        <f>IF(ISERR(casostestes[[#This Row],[ID]]),"-",casostestes[[#This Row],[ID]])</f>
        <v>-</v>
      </c>
      <c r="C155" s="34" t="str">
        <f>IFERROR(IF(VLOOKUP($B155,casostestes[#Data],10)=0,"Não",VLOOKUP($B155,casostestes[#Data],10)), "-")</f>
        <v>-</v>
      </c>
      <c r="D155" s="35" t="str">
        <f>IFERROR(IF(VLOOKUP($B155,casostestes[#Data],2)=0,"-",VLOOKUP($B155,casostestes[#Data],2)), "-")</f>
        <v>-</v>
      </c>
      <c r="E155" s="35" t="str">
        <f>IFERROR(IF(VLOOKUP($B155,casostestes[#Data],3)=0,"-",VLOOKUP($B155,casostestes[#Data],3)), "-")</f>
        <v>-</v>
      </c>
      <c r="F155" s="35" t="str">
        <f>IFERROR(IF(VLOOKUP($B155,casostestes[#Data],4)=0,"-",VLOOKUP($B155,casostestes[#Data],4)),"-")</f>
        <v>-</v>
      </c>
      <c r="G155" s="35" t="str">
        <f>IFERROR(IF(VLOOKUP($B155,casostestes[#Data],5)=0,"-",VLOOKUP($B155,casostestes[#Data],5)),"-")</f>
        <v>-</v>
      </c>
      <c r="H155" s="35" t="str">
        <f>IFERROR(IF(VLOOKUP($B155,casostestes[#Data],6)=0,"-",VLOOKUP($B155,casostestes[#Data],6)),"-")</f>
        <v>-</v>
      </c>
      <c r="I155" s="35" t="str">
        <f>IFERROR(IF(VLOOKUP($B155,casostestes[#Data],8)=0,"-",VLOOKUP($B155,casostestes[#Data],8)),"-")</f>
        <v>-</v>
      </c>
      <c r="J155" s="35" t="str">
        <f>IFERROR(IF(VLOOKUP($B155,casostestes[#Data],9)=0,"-",VLOOKUP($B155,casostestes[#Data],9)),"-")</f>
        <v>-</v>
      </c>
      <c r="K155" s="36"/>
      <c r="L155" s="45"/>
      <c r="M155" s="37"/>
      <c r="N155" s="38"/>
      <c r="O155" s="38"/>
      <c r="P155" s="39"/>
    </row>
    <row r="156" spans="2:16">
      <c r="B156" s="40" t="str">
        <f>IF(ISERR(casostestes[[#This Row],[ID]]),"-",casostestes[[#This Row],[ID]])</f>
        <v>-</v>
      </c>
      <c r="C156" s="34" t="str">
        <f>IFERROR(IF(VLOOKUP($B156,casostestes[#Data],10)=0,"Não",VLOOKUP($B156,casostestes[#Data],10)), "-")</f>
        <v>-</v>
      </c>
      <c r="D156" s="35" t="str">
        <f>IFERROR(IF(VLOOKUP($B156,casostestes[#Data],2)=0,"-",VLOOKUP($B156,casostestes[#Data],2)), "-")</f>
        <v>-</v>
      </c>
      <c r="E156" s="35" t="str">
        <f>IFERROR(IF(VLOOKUP($B156,casostestes[#Data],3)=0,"-",VLOOKUP($B156,casostestes[#Data],3)), "-")</f>
        <v>-</v>
      </c>
      <c r="F156" s="35" t="str">
        <f>IFERROR(IF(VLOOKUP($B156,casostestes[#Data],4)=0,"-",VLOOKUP($B156,casostestes[#Data],4)),"-")</f>
        <v>-</v>
      </c>
      <c r="G156" s="35" t="str">
        <f>IFERROR(IF(VLOOKUP($B156,casostestes[#Data],5)=0,"-",VLOOKUP($B156,casostestes[#Data],5)),"-")</f>
        <v>-</v>
      </c>
      <c r="H156" s="35" t="str">
        <f>IFERROR(IF(VLOOKUP($B156,casostestes[#Data],6)=0,"-",VLOOKUP($B156,casostestes[#Data],6)),"-")</f>
        <v>-</v>
      </c>
      <c r="I156" s="35" t="str">
        <f>IFERROR(IF(VLOOKUP($B156,casostestes[#Data],8)=0,"-",VLOOKUP($B156,casostestes[#Data],8)),"-")</f>
        <v>-</v>
      </c>
      <c r="J156" s="35" t="str">
        <f>IFERROR(IF(VLOOKUP($B156,casostestes[#Data],9)=0,"-",VLOOKUP($B156,casostestes[#Data],9)),"-")</f>
        <v>-</v>
      </c>
      <c r="K156" s="36"/>
      <c r="L156" s="45"/>
      <c r="M156" s="37"/>
      <c r="N156" s="38"/>
      <c r="O156" s="38"/>
      <c r="P156" s="39"/>
    </row>
    <row r="157" spans="2:16">
      <c r="B157" s="40" t="str">
        <f>IF(ISERR(casostestes[[#This Row],[ID]]),"-",casostestes[[#This Row],[ID]])</f>
        <v>-</v>
      </c>
      <c r="C157" s="34" t="str">
        <f>IFERROR(IF(VLOOKUP($B157,casostestes[#Data],10)=0,"Não",VLOOKUP($B157,casostestes[#Data],10)), "-")</f>
        <v>-</v>
      </c>
      <c r="D157" s="35" t="str">
        <f>IFERROR(IF(VLOOKUP($B157,casostestes[#Data],2)=0,"-",VLOOKUP($B157,casostestes[#Data],2)), "-")</f>
        <v>-</v>
      </c>
      <c r="E157" s="35" t="str">
        <f>IFERROR(IF(VLOOKUP($B157,casostestes[#Data],3)=0,"-",VLOOKUP($B157,casostestes[#Data],3)), "-")</f>
        <v>-</v>
      </c>
      <c r="F157" s="35" t="str">
        <f>IFERROR(IF(VLOOKUP($B157,casostestes[#Data],4)=0,"-",VLOOKUP($B157,casostestes[#Data],4)),"-")</f>
        <v>-</v>
      </c>
      <c r="G157" s="35" t="str">
        <f>IFERROR(IF(VLOOKUP($B157,casostestes[#Data],5)=0,"-",VLOOKUP($B157,casostestes[#Data],5)),"-")</f>
        <v>-</v>
      </c>
      <c r="H157" s="35" t="str">
        <f>IFERROR(IF(VLOOKUP($B157,casostestes[#Data],6)=0,"-",VLOOKUP($B157,casostestes[#Data],6)),"-")</f>
        <v>-</v>
      </c>
      <c r="I157" s="35" t="str">
        <f>IFERROR(IF(VLOOKUP($B157,casostestes[#Data],8)=0,"-",VLOOKUP($B157,casostestes[#Data],8)),"-")</f>
        <v>-</v>
      </c>
      <c r="J157" s="35" t="str">
        <f>IFERROR(IF(VLOOKUP($B157,casostestes[#Data],9)=0,"-",VLOOKUP($B157,casostestes[#Data],9)),"-")</f>
        <v>-</v>
      </c>
      <c r="K157" s="36"/>
      <c r="L157" s="45"/>
      <c r="M157" s="37"/>
      <c r="N157" s="38"/>
      <c r="O157" s="38"/>
      <c r="P157" s="39"/>
    </row>
    <row r="158" spans="2:16">
      <c r="B158" s="40" t="str">
        <f>IF(ISERR(casostestes[[#This Row],[ID]]),"-",casostestes[[#This Row],[ID]])</f>
        <v>-</v>
      </c>
      <c r="C158" s="34" t="str">
        <f>IFERROR(IF(VLOOKUP($B158,casostestes[#Data],10)=0,"Não",VLOOKUP($B158,casostestes[#Data],10)), "-")</f>
        <v>-</v>
      </c>
      <c r="D158" s="35" t="str">
        <f>IFERROR(IF(VLOOKUP($B158,casostestes[#Data],2)=0,"-",VLOOKUP($B158,casostestes[#Data],2)), "-")</f>
        <v>-</v>
      </c>
      <c r="E158" s="35" t="str">
        <f>IFERROR(IF(VLOOKUP($B158,casostestes[#Data],3)=0,"-",VLOOKUP($B158,casostestes[#Data],3)), "-")</f>
        <v>-</v>
      </c>
      <c r="F158" s="35" t="str">
        <f>IFERROR(IF(VLOOKUP($B158,casostestes[#Data],4)=0,"-",VLOOKUP($B158,casostestes[#Data],4)),"-")</f>
        <v>-</v>
      </c>
      <c r="G158" s="35" t="str">
        <f>IFERROR(IF(VLOOKUP($B158,casostestes[#Data],5)=0,"-",VLOOKUP($B158,casostestes[#Data],5)),"-")</f>
        <v>-</v>
      </c>
      <c r="H158" s="35" t="str">
        <f>IFERROR(IF(VLOOKUP($B158,casostestes[#Data],6)=0,"-",VLOOKUP($B158,casostestes[#Data],6)),"-")</f>
        <v>-</v>
      </c>
      <c r="I158" s="35" t="str">
        <f>IFERROR(IF(VLOOKUP($B158,casostestes[#Data],8)=0,"-",VLOOKUP($B158,casostestes[#Data],8)),"-")</f>
        <v>-</v>
      </c>
      <c r="J158" s="35" t="str">
        <f>IFERROR(IF(VLOOKUP($B158,casostestes[#Data],9)=0,"-",VLOOKUP($B158,casostestes[#Data],9)),"-")</f>
        <v>-</v>
      </c>
      <c r="K158" s="36"/>
      <c r="L158" s="45"/>
      <c r="M158" s="37"/>
      <c r="N158" s="38"/>
      <c r="O158" s="38"/>
      <c r="P158" s="39"/>
    </row>
    <row r="159" spans="2:16">
      <c r="B159" s="40" t="str">
        <f>IF(ISERR(casostestes[[#This Row],[ID]]),"-",casostestes[[#This Row],[ID]])</f>
        <v>-</v>
      </c>
      <c r="C159" s="34" t="str">
        <f>IFERROR(IF(VLOOKUP($B159,casostestes[#Data],10)=0,"Não",VLOOKUP($B159,casostestes[#Data],10)), "-")</f>
        <v>-</v>
      </c>
      <c r="D159" s="35" t="str">
        <f>IFERROR(IF(VLOOKUP($B159,casostestes[#Data],2)=0,"-",VLOOKUP($B159,casostestes[#Data],2)), "-")</f>
        <v>-</v>
      </c>
      <c r="E159" s="35" t="str">
        <f>IFERROR(IF(VLOOKUP($B159,casostestes[#Data],3)=0,"-",VLOOKUP($B159,casostestes[#Data],3)), "-")</f>
        <v>-</v>
      </c>
      <c r="F159" s="35" t="str">
        <f>IFERROR(IF(VLOOKUP($B159,casostestes[#Data],4)=0,"-",VLOOKUP($B159,casostestes[#Data],4)),"-")</f>
        <v>-</v>
      </c>
      <c r="G159" s="35" t="str">
        <f>IFERROR(IF(VLOOKUP($B159,casostestes[#Data],5)=0,"-",VLOOKUP($B159,casostestes[#Data],5)),"-")</f>
        <v>-</v>
      </c>
      <c r="H159" s="35" t="str">
        <f>IFERROR(IF(VLOOKUP($B159,casostestes[#Data],6)=0,"-",VLOOKUP($B159,casostestes[#Data],6)),"-")</f>
        <v>-</v>
      </c>
      <c r="I159" s="35" t="str">
        <f>IFERROR(IF(VLOOKUP($B159,casostestes[#Data],8)=0,"-",VLOOKUP($B159,casostestes[#Data],8)),"-")</f>
        <v>-</v>
      </c>
      <c r="J159" s="35" t="str">
        <f>IFERROR(IF(VLOOKUP($B159,casostestes[#Data],9)=0,"-",VLOOKUP($B159,casostestes[#Data],9)),"-")</f>
        <v>-</v>
      </c>
      <c r="K159" s="36"/>
      <c r="L159" s="45"/>
      <c r="M159" s="37"/>
      <c r="N159" s="38"/>
      <c r="O159" s="38"/>
      <c r="P159" s="39"/>
    </row>
    <row r="160" spans="2:16">
      <c r="B160" s="40" t="str">
        <f>IF(ISERR(casostestes[[#This Row],[ID]]),"-",casostestes[[#This Row],[ID]])</f>
        <v>-</v>
      </c>
      <c r="C160" s="34" t="str">
        <f>IFERROR(IF(VLOOKUP($B160,casostestes[#Data],10)=0,"Não",VLOOKUP($B160,casostestes[#Data],10)), "-")</f>
        <v>-</v>
      </c>
      <c r="D160" s="35" t="str">
        <f>IFERROR(IF(VLOOKUP($B160,casostestes[#Data],2)=0,"-",VLOOKUP($B160,casostestes[#Data],2)), "-")</f>
        <v>-</v>
      </c>
      <c r="E160" s="35" t="str">
        <f>IFERROR(IF(VLOOKUP($B160,casostestes[#Data],3)=0,"-",VLOOKUP($B160,casostestes[#Data],3)), "-")</f>
        <v>-</v>
      </c>
      <c r="F160" s="35" t="str">
        <f>IFERROR(IF(VLOOKUP($B160,casostestes[#Data],4)=0,"-",VLOOKUP($B160,casostestes[#Data],4)),"-")</f>
        <v>-</v>
      </c>
      <c r="G160" s="35" t="str">
        <f>IFERROR(IF(VLOOKUP($B160,casostestes[#Data],5)=0,"-",VLOOKUP($B160,casostestes[#Data],5)),"-")</f>
        <v>-</v>
      </c>
      <c r="H160" s="35" t="str">
        <f>IFERROR(IF(VLOOKUP($B160,casostestes[#Data],6)=0,"-",VLOOKUP($B160,casostestes[#Data],6)),"-")</f>
        <v>-</v>
      </c>
      <c r="I160" s="35" t="str">
        <f>IFERROR(IF(VLOOKUP($B160,casostestes[#Data],8)=0,"-",VLOOKUP($B160,casostestes[#Data],8)),"-")</f>
        <v>-</v>
      </c>
      <c r="J160" s="35" t="str">
        <f>IFERROR(IF(VLOOKUP($B160,casostestes[#Data],9)=0,"-",VLOOKUP($B160,casostestes[#Data],9)),"-")</f>
        <v>-</v>
      </c>
      <c r="K160" s="36"/>
      <c r="L160" s="45"/>
      <c r="M160" s="37"/>
      <c r="N160" s="38"/>
      <c r="O160" s="38"/>
      <c r="P160" s="39"/>
    </row>
    <row r="161" spans="2:16">
      <c r="B161" s="40" t="str">
        <f>IF(ISERR(casostestes[[#This Row],[ID]]),"-",casostestes[[#This Row],[ID]])</f>
        <v>-</v>
      </c>
      <c r="C161" s="34" t="str">
        <f>IFERROR(IF(VLOOKUP($B161,casostestes[#Data],10)=0,"Não",VLOOKUP($B161,casostestes[#Data],10)), "-")</f>
        <v>-</v>
      </c>
      <c r="D161" s="35" t="str">
        <f>IFERROR(IF(VLOOKUP($B161,casostestes[#Data],2)=0,"-",VLOOKUP($B161,casostestes[#Data],2)), "-")</f>
        <v>-</v>
      </c>
      <c r="E161" s="35" t="str">
        <f>IFERROR(IF(VLOOKUP($B161,casostestes[#Data],3)=0,"-",VLOOKUP($B161,casostestes[#Data],3)), "-")</f>
        <v>-</v>
      </c>
      <c r="F161" s="35" t="str">
        <f>IFERROR(IF(VLOOKUP($B161,casostestes[#Data],4)=0,"-",VLOOKUP($B161,casostestes[#Data],4)),"-")</f>
        <v>-</v>
      </c>
      <c r="G161" s="35" t="str">
        <f>IFERROR(IF(VLOOKUP($B161,casostestes[#Data],5)=0,"-",VLOOKUP($B161,casostestes[#Data],5)),"-")</f>
        <v>-</v>
      </c>
      <c r="H161" s="35" t="str">
        <f>IFERROR(IF(VLOOKUP($B161,casostestes[#Data],6)=0,"-",VLOOKUP($B161,casostestes[#Data],6)),"-")</f>
        <v>-</v>
      </c>
      <c r="I161" s="35" t="str">
        <f>IFERROR(IF(VLOOKUP($B161,casostestes[#Data],8)=0,"-",VLOOKUP($B161,casostestes[#Data],8)),"-")</f>
        <v>-</v>
      </c>
      <c r="J161" s="35" t="str">
        <f>IFERROR(IF(VLOOKUP($B161,casostestes[#Data],9)=0,"-",VLOOKUP($B161,casostestes[#Data],9)),"-")</f>
        <v>-</v>
      </c>
      <c r="K161" s="36"/>
      <c r="L161" s="45"/>
      <c r="M161" s="37"/>
      <c r="N161" s="38"/>
      <c r="O161" s="38"/>
      <c r="P161" s="39"/>
    </row>
    <row r="162" spans="2:16">
      <c r="B162" s="40" t="str">
        <f>IF(ISERR(casostestes[[#This Row],[ID]]),"-",casostestes[[#This Row],[ID]])</f>
        <v>-</v>
      </c>
      <c r="C162" s="34" t="str">
        <f>IFERROR(IF(VLOOKUP($B162,casostestes[#Data],10)=0,"Não",VLOOKUP($B162,casostestes[#Data],10)), "-")</f>
        <v>-</v>
      </c>
      <c r="D162" s="35" t="str">
        <f>IFERROR(IF(VLOOKUP($B162,casostestes[#Data],2)=0,"-",VLOOKUP($B162,casostestes[#Data],2)), "-")</f>
        <v>-</v>
      </c>
      <c r="E162" s="35" t="str">
        <f>IFERROR(IF(VLOOKUP($B162,casostestes[#Data],3)=0,"-",VLOOKUP($B162,casostestes[#Data],3)), "-")</f>
        <v>-</v>
      </c>
      <c r="F162" s="35" t="str">
        <f>IFERROR(IF(VLOOKUP($B162,casostestes[#Data],4)=0,"-",VLOOKUP($B162,casostestes[#Data],4)),"-")</f>
        <v>-</v>
      </c>
      <c r="G162" s="35" t="str">
        <f>IFERROR(IF(VLOOKUP($B162,casostestes[#Data],5)=0,"-",VLOOKUP($B162,casostestes[#Data],5)),"-")</f>
        <v>-</v>
      </c>
      <c r="H162" s="35" t="str">
        <f>IFERROR(IF(VLOOKUP($B162,casostestes[#Data],6)=0,"-",VLOOKUP($B162,casostestes[#Data],6)),"-")</f>
        <v>-</v>
      </c>
      <c r="I162" s="35" t="str">
        <f>IFERROR(IF(VLOOKUP($B162,casostestes[#Data],8)=0,"-",VLOOKUP($B162,casostestes[#Data],8)),"-")</f>
        <v>-</v>
      </c>
      <c r="J162" s="35" t="str">
        <f>IFERROR(IF(VLOOKUP($B162,casostestes[#Data],9)=0,"-",VLOOKUP($B162,casostestes[#Data],9)),"-")</f>
        <v>-</v>
      </c>
      <c r="K162" s="36"/>
      <c r="L162" s="45"/>
      <c r="M162" s="37"/>
      <c r="N162" s="38"/>
      <c r="O162" s="38"/>
      <c r="P162" s="39"/>
    </row>
    <row r="163" spans="2:16">
      <c r="B163" s="40" t="str">
        <f>IF(ISERR(casostestes[[#This Row],[ID]]),"-",casostestes[[#This Row],[ID]])</f>
        <v>-</v>
      </c>
      <c r="C163" s="34" t="str">
        <f>IFERROR(IF(VLOOKUP($B163,casostestes[#Data],10)=0,"Não",VLOOKUP($B163,casostestes[#Data],10)), "-")</f>
        <v>-</v>
      </c>
      <c r="D163" s="35" t="str">
        <f>IFERROR(IF(VLOOKUP($B163,casostestes[#Data],2)=0,"-",VLOOKUP($B163,casostestes[#Data],2)), "-")</f>
        <v>-</v>
      </c>
      <c r="E163" s="35" t="str">
        <f>IFERROR(IF(VLOOKUP($B163,casostestes[#Data],3)=0,"-",VLOOKUP($B163,casostestes[#Data],3)), "-")</f>
        <v>-</v>
      </c>
      <c r="F163" s="35" t="str">
        <f>IFERROR(IF(VLOOKUP($B163,casostestes[#Data],4)=0,"-",VLOOKUP($B163,casostestes[#Data],4)),"-")</f>
        <v>-</v>
      </c>
      <c r="G163" s="35" t="str">
        <f>IFERROR(IF(VLOOKUP($B163,casostestes[#Data],5)=0,"-",VLOOKUP($B163,casostestes[#Data],5)),"-")</f>
        <v>-</v>
      </c>
      <c r="H163" s="35" t="str">
        <f>IFERROR(IF(VLOOKUP($B163,casostestes[#Data],6)=0,"-",VLOOKUP($B163,casostestes[#Data],6)),"-")</f>
        <v>-</v>
      </c>
      <c r="I163" s="35" t="str">
        <f>IFERROR(IF(VLOOKUP($B163,casostestes[#Data],8)=0,"-",VLOOKUP($B163,casostestes[#Data],8)),"-")</f>
        <v>-</v>
      </c>
      <c r="J163" s="35" t="str">
        <f>IFERROR(IF(VLOOKUP($B163,casostestes[#Data],9)=0,"-",VLOOKUP($B163,casostestes[#Data],9)),"-")</f>
        <v>-</v>
      </c>
      <c r="K163" s="36"/>
      <c r="L163" s="45"/>
      <c r="M163" s="37"/>
      <c r="N163" s="38"/>
      <c r="O163" s="38"/>
      <c r="P163" s="39"/>
    </row>
    <row r="164" spans="2:16">
      <c r="B164" s="40" t="str">
        <f>IF(ISERR(casostestes[[#This Row],[ID]]),"-",casostestes[[#This Row],[ID]])</f>
        <v>-</v>
      </c>
      <c r="C164" s="34" t="str">
        <f>IFERROR(IF(VLOOKUP($B164,casostestes[#Data],10)=0,"Não",VLOOKUP($B164,casostestes[#Data],10)), "-")</f>
        <v>-</v>
      </c>
      <c r="D164" s="35" t="str">
        <f>IFERROR(IF(VLOOKUP($B164,casostestes[#Data],2)=0,"-",VLOOKUP($B164,casostestes[#Data],2)), "-")</f>
        <v>-</v>
      </c>
      <c r="E164" s="35" t="str">
        <f>IFERROR(IF(VLOOKUP($B164,casostestes[#Data],3)=0,"-",VLOOKUP($B164,casostestes[#Data],3)), "-")</f>
        <v>-</v>
      </c>
      <c r="F164" s="35" t="str">
        <f>IFERROR(IF(VLOOKUP($B164,casostestes[#Data],4)=0,"-",VLOOKUP($B164,casostestes[#Data],4)),"-")</f>
        <v>-</v>
      </c>
      <c r="G164" s="35" t="str">
        <f>IFERROR(IF(VLOOKUP($B164,casostestes[#Data],5)=0,"-",VLOOKUP($B164,casostestes[#Data],5)),"-")</f>
        <v>-</v>
      </c>
      <c r="H164" s="35" t="str">
        <f>IFERROR(IF(VLOOKUP($B164,casostestes[#Data],6)=0,"-",VLOOKUP($B164,casostestes[#Data],6)),"-")</f>
        <v>-</v>
      </c>
      <c r="I164" s="35" t="str">
        <f>IFERROR(IF(VLOOKUP($B164,casostestes[#Data],8)=0,"-",VLOOKUP($B164,casostestes[#Data],8)),"-")</f>
        <v>-</v>
      </c>
      <c r="J164" s="35" t="str">
        <f>IFERROR(IF(VLOOKUP($B164,casostestes[#Data],9)=0,"-",VLOOKUP($B164,casostestes[#Data],9)),"-")</f>
        <v>-</v>
      </c>
      <c r="K164" s="36"/>
      <c r="L164" s="45"/>
      <c r="M164" s="37"/>
      <c r="N164" s="38"/>
      <c r="O164" s="38"/>
      <c r="P164" s="39"/>
    </row>
    <row r="165" spans="2:16">
      <c r="B165" s="40" t="str">
        <f>IF(ISERR(casostestes[[#This Row],[ID]]),"-",casostestes[[#This Row],[ID]])</f>
        <v>-</v>
      </c>
      <c r="C165" s="34" t="str">
        <f>IFERROR(IF(VLOOKUP($B165,casostestes[#Data],10)=0,"Não",VLOOKUP($B165,casostestes[#Data],10)), "-")</f>
        <v>-</v>
      </c>
      <c r="D165" s="35" t="str">
        <f>IFERROR(IF(VLOOKUP($B165,casostestes[#Data],2)=0,"-",VLOOKUP($B165,casostestes[#Data],2)), "-")</f>
        <v>-</v>
      </c>
      <c r="E165" s="35" t="str">
        <f>IFERROR(IF(VLOOKUP($B165,casostestes[#Data],3)=0,"-",VLOOKUP($B165,casostestes[#Data],3)), "-")</f>
        <v>-</v>
      </c>
      <c r="F165" s="35" t="str">
        <f>IFERROR(IF(VLOOKUP($B165,casostestes[#Data],4)=0,"-",VLOOKUP($B165,casostestes[#Data],4)),"-")</f>
        <v>-</v>
      </c>
      <c r="G165" s="35" t="str">
        <f>IFERROR(IF(VLOOKUP($B165,casostestes[#Data],5)=0,"-",VLOOKUP($B165,casostestes[#Data],5)),"-")</f>
        <v>-</v>
      </c>
      <c r="H165" s="35" t="str">
        <f>IFERROR(IF(VLOOKUP($B165,casostestes[#Data],6)=0,"-",VLOOKUP($B165,casostestes[#Data],6)),"-")</f>
        <v>-</v>
      </c>
      <c r="I165" s="35" t="str">
        <f>IFERROR(IF(VLOOKUP($B165,casostestes[#Data],8)=0,"-",VLOOKUP($B165,casostestes[#Data],8)),"-")</f>
        <v>-</v>
      </c>
      <c r="J165" s="35" t="str">
        <f>IFERROR(IF(VLOOKUP($B165,casostestes[#Data],9)=0,"-",VLOOKUP($B165,casostestes[#Data],9)),"-")</f>
        <v>-</v>
      </c>
      <c r="K165" s="36"/>
      <c r="L165" s="45"/>
      <c r="M165" s="37"/>
      <c r="N165" s="38"/>
      <c r="O165" s="38"/>
      <c r="P165" s="39"/>
    </row>
    <row r="166" spans="2:16">
      <c r="B166" s="40" t="str">
        <f>IF(ISERR(casostestes[[#This Row],[ID]]),"-",casostestes[[#This Row],[ID]])</f>
        <v>-</v>
      </c>
      <c r="C166" s="34" t="str">
        <f>IFERROR(IF(VLOOKUP($B166,casostestes[#Data],10)=0,"Não",VLOOKUP($B166,casostestes[#Data],10)), "-")</f>
        <v>-</v>
      </c>
      <c r="D166" s="35" t="str">
        <f>IFERROR(IF(VLOOKUP($B166,casostestes[#Data],2)=0,"-",VLOOKUP($B166,casostestes[#Data],2)), "-")</f>
        <v>-</v>
      </c>
      <c r="E166" s="35" t="str">
        <f>IFERROR(IF(VLOOKUP($B166,casostestes[#Data],3)=0,"-",VLOOKUP($B166,casostestes[#Data],3)), "-")</f>
        <v>-</v>
      </c>
      <c r="F166" s="35" t="str">
        <f>IFERROR(IF(VLOOKUP($B166,casostestes[#Data],4)=0,"-",VLOOKUP($B166,casostestes[#Data],4)),"-")</f>
        <v>-</v>
      </c>
      <c r="G166" s="35" t="str">
        <f>IFERROR(IF(VLOOKUP($B166,casostestes[#Data],5)=0,"-",VLOOKUP($B166,casostestes[#Data],5)),"-")</f>
        <v>-</v>
      </c>
      <c r="H166" s="35" t="str">
        <f>IFERROR(IF(VLOOKUP($B166,casostestes[#Data],6)=0,"-",VLOOKUP($B166,casostestes[#Data],6)),"-")</f>
        <v>-</v>
      </c>
      <c r="I166" s="35" t="str">
        <f>IFERROR(IF(VLOOKUP($B166,casostestes[#Data],8)=0,"-",VLOOKUP($B166,casostestes[#Data],8)),"-")</f>
        <v>-</v>
      </c>
      <c r="J166" s="35" t="str">
        <f>IFERROR(IF(VLOOKUP($B166,casostestes[#Data],9)=0,"-",VLOOKUP($B166,casostestes[#Data],9)),"-")</f>
        <v>-</v>
      </c>
      <c r="K166" s="36"/>
      <c r="L166" s="45"/>
      <c r="M166" s="37"/>
      <c r="N166" s="38"/>
      <c r="O166" s="38"/>
      <c r="P166" s="39"/>
    </row>
    <row r="167" spans="2:16">
      <c r="B167" s="40" t="str">
        <f>IF(ISERR(casostestes[[#This Row],[ID]]),"-",casostestes[[#This Row],[ID]])</f>
        <v>-</v>
      </c>
      <c r="C167" s="34" t="str">
        <f>IFERROR(IF(VLOOKUP($B167,casostestes[#Data],10)=0,"Não",VLOOKUP($B167,casostestes[#Data],10)), "-")</f>
        <v>-</v>
      </c>
      <c r="D167" s="35" t="str">
        <f>IFERROR(IF(VLOOKUP($B167,casostestes[#Data],2)=0,"-",VLOOKUP($B167,casostestes[#Data],2)), "-")</f>
        <v>-</v>
      </c>
      <c r="E167" s="35" t="str">
        <f>IFERROR(IF(VLOOKUP($B167,casostestes[#Data],3)=0,"-",VLOOKUP($B167,casostestes[#Data],3)), "-")</f>
        <v>-</v>
      </c>
      <c r="F167" s="35" t="str">
        <f>IFERROR(IF(VLOOKUP($B167,casostestes[#Data],4)=0,"-",VLOOKUP($B167,casostestes[#Data],4)),"-")</f>
        <v>-</v>
      </c>
      <c r="G167" s="35" t="str">
        <f>IFERROR(IF(VLOOKUP($B167,casostestes[#Data],5)=0,"-",VLOOKUP($B167,casostestes[#Data],5)),"-")</f>
        <v>-</v>
      </c>
      <c r="H167" s="35" t="str">
        <f>IFERROR(IF(VLOOKUP($B167,casostestes[#Data],6)=0,"-",VLOOKUP($B167,casostestes[#Data],6)),"-")</f>
        <v>-</v>
      </c>
      <c r="I167" s="35" t="str">
        <f>IFERROR(IF(VLOOKUP($B167,casostestes[#Data],8)=0,"-",VLOOKUP($B167,casostestes[#Data],8)),"-")</f>
        <v>-</v>
      </c>
      <c r="J167" s="35" t="str">
        <f>IFERROR(IF(VLOOKUP($B167,casostestes[#Data],9)=0,"-",VLOOKUP($B167,casostestes[#Data],9)),"-")</f>
        <v>-</v>
      </c>
      <c r="K167" s="36"/>
      <c r="L167" s="45"/>
      <c r="M167" s="37"/>
      <c r="N167" s="38"/>
      <c r="O167" s="38"/>
      <c r="P167" s="39"/>
    </row>
    <row r="168" spans="2:16">
      <c r="B168" s="40" t="str">
        <f>IF(ISERR(casostestes[[#This Row],[ID]]),"-",casostestes[[#This Row],[ID]])</f>
        <v>-</v>
      </c>
      <c r="C168" s="34" t="str">
        <f>IFERROR(IF(VLOOKUP($B168,casostestes[#Data],10)=0,"Não",VLOOKUP($B168,casostestes[#Data],10)), "-")</f>
        <v>-</v>
      </c>
      <c r="D168" s="35" t="str">
        <f>IFERROR(IF(VLOOKUP($B168,casostestes[#Data],2)=0,"-",VLOOKUP($B168,casostestes[#Data],2)), "-")</f>
        <v>-</v>
      </c>
      <c r="E168" s="35" t="str">
        <f>IFERROR(IF(VLOOKUP($B168,casostestes[#Data],3)=0,"-",VLOOKUP($B168,casostestes[#Data],3)), "-")</f>
        <v>-</v>
      </c>
      <c r="F168" s="35" t="str">
        <f>IFERROR(IF(VLOOKUP($B168,casostestes[#Data],4)=0,"-",VLOOKUP($B168,casostestes[#Data],4)),"-")</f>
        <v>-</v>
      </c>
      <c r="G168" s="35" t="str">
        <f>IFERROR(IF(VLOOKUP($B168,casostestes[#Data],5)=0,"-",VLOOKUP($B168,casostestes[#Data],5)),"-")</f>
        <v>-</v>
      </c>
      <c r="H168" s="35" t="str">
        <f>IFERROR(IF(VLOOKUP($B168,casostestes[#Data],6)=0,"-",VLOOKUP($B168,casostestes[#Data],6)),"-")</f>
        <v>-</v>
      </c>
      <c r="I168" s="35" t="str">
        <f>IFERROR(IF(VLOOKUP($B168,casostestes[#Data],8)=0,"-",VLOOKUP($B168,casostestes[#Data],8)),"-")</f>
        <v>-</v>
      </c>
      <c r="J168" s="35" t="str">
        <f>IFERROR(IF(VLOOKUP($B168,casostestes[#Data],9)=0,"-",VLOOKUP($B168,casostestes[#Data],9)),"-")</f>
        <v>-</v>
      </c>
      <c r="K168" s="36"/>
      <c r="L168" s="45"/>
      <c r="M168" s="37"/>
      <c r="N168" s="38"/>
      <c r="O168" s="38"/>
      <c r="P168" s="39"/>
    </row>
    <row r="169" spans="2:16">
      <c r="B169" s="40" t="str">
        <f>IF(ISERR(casostestes[[#This Row],[ID]]),"-",casostestes[[#This Row],[ID]])</f>
        <v>-</v>
      </c>
      <c r="C169" s="34" t="str">
        <f>IFERROR(IF(VLOOKUP($B169,casostestes[#Data],10)=0,"Não",VLOOKUP($B169,casostestes[#Data],10)), "-")</f>
        <v>-</v>
      </c>
      <c r="D169" s="35" t="str">
        <f>IFERROR(IF(VLOOKUP($B169,casostestes[#Data],2)=0,"-",VLOOKUP($B169,casostestes[#Data],2)), "-")</f>
        <v>-</v>
      </c>
      <c r="E169" s="35" t="str">
        <f>IFERROR(IF(VLOOKUP($B169,casostestes[#Data],3)=0,"-",VLOOKUP($B169,casostestes[#Data],3)), "-")</f>
        <v>-</v>
      </c>
      <c r="F169" s="35" t="str">
        <f>IFERROR(IF(VLOOKUP($B169,casostestes[#Data],4)=0,"-",VLOOKUP($B169,casostestes[#Data],4)),"-")</f>
        <v>-</v>
      </c>
      <c r="G169" s="35" t="str">
        <f>IFERROR(IF(VLOOKUP($B169,casostestes[#Data],5)=0,"-",VLOOKUP($B169,casostestes[#Data],5)),"-")</f>
        <v>-</v>
      </c>
      <c r="H169" s="35" t="str">
        <f>IFERROR(IF(VLOOKUP($B169,casostestes[#Data],6)=0,"-",VLOOKUP($B169,casostestes[#Data],6)),"-")</f>
        <v>-</v>
      </c>
      <c r="I169" s="35" t="str">
        <f>IFERROR(IF(VLOOKUP($B169,casostestes[#Data],8)=0,"-",VLOOKUP($B169,casostestes[#Data],8)),"-")</f>
        <v>-</v>
      </c>
      <c r="J169" s="35" t="str">
        <f>IFERROR(IF(VLOOKUP($B169,casostestes[#Data],9)=0,"-",VLOOKUP($B169,casostestes[#Data],9)),"-")</f>
        <v>-</v>
      </c>
      <c r="K169" s="36"/>
      <c r="L169" s="45"/>
      <c r="M169" s="37"/>
      <c r="N169" s="38"/>
      <c r="O169" s="38"/>
      <c r="P169" s="39"/>
    </row>
    <row r="170" spans="2:16">
      <c r="B170" s="40" t="str">
        <f>IF(ISERR(casostestes[[#This Row],[ID]]),"-",casostestes[[#This Row],[ID]])</f>
        <v>-</v>
      </c>
      <c r="C170" s="34" t="str">
        <f>IFERROR(IF(VLOOKUP($B170,casostestes[#Data],10)=0,"Não",VLOOKUP($B170,casostestes[#Data],10)), "-")</f>
        <v>-</v>
      </c>
      <c r="D170" s="35" t="str">
        <f>IFERROR(IF(VLOOKUP($B170,casostestes[#Data],2)=0,"-",VLOOKUP($B170,casostestes[#Data],2)), "-")</f>
        <v>-</v>
      </c>
      <c r="E170" s="35" t="str">
        <f>IFERROR(IF(VLOOKUP($B170,casostestes[#Data],3)=0,"-",VLOOKUP($B170,casostestes[#Data],3)), "-")</f>
        <v>-</v>
      </c>
      <c r="F170" s="35" t="str">
        <f>IFERROR(IF(VLOOKUP($B170,casostestes[#Data],4)=0,"-",VLOOKUP($B170,casostestes[#Data],4)),"-")</f>
        <v>-</v>
      </c>
      <c r="G170" s="35" t="str">
        <f>IFERROR(IF(VLOOKUP($B170,casostestes[#Data],5)=0,"-",VLOOKUP($B170,casostestes[#Data],5)),"-")</f>
        <v>-</v>
      </c>
      <c r="H170" s="35" t="str">
        <f>IFERROR(IF(VLOOKUP($B170,casostestes[#Data],6)=0,"-",VLOOKUP($B170,casostestes[#Data],6)),"-")</f>
        <v>-</v>
      </c>
      <c r="I170" s="35" t="str">
        <f>IFERROR(IF(VLOOKUP($B170,casostestes[#Data],8)=0,"-",VLOOKUP($B170,casostestes[#Data],8)),"-")</f>
        <v>-</v>
      </c>
      <c r="J170" s="35" t="str">
        <f>IFERROR(IF(VLOOKUP($B170,casostestes[#Data],9)=0,"-",VLOOKUP($B170,casostestes[#Data],9)),"-")</f>
        <v>-</v>
      </c>
      <c r="K170" s="36"/>
      <c r="L170" s="45"/>
      <c r="M170" s="37"/>
      <c r="N170" s="38"/>
      <c r="O170" s="38"/>
      <c r="P170" s="39"/>
    </row>
    <row r="171" spans="2:16">
      <c r="B171" s="40" t="str">
        <f>IF(ISERR(casostestes[[#This Row],[ID]]),"-",casostestes[[#This Row],[ID]])</f>
        <v>-</v>
      </c>
      <c r="C171" s="34" t="str">
        <f>IFERROR(IF(VLOOKUP($B171,casostestes[#Data],10)=0,"Não",VLOOKUP($B171,casostestes[#Data],10)), "-")</f>
        <v>-</v>
      </c>
      <c r="D171" s="35" t="str">
        <f>IFERROR(IF(VLOOKUP($B171,casostestes[#Data],2)=0,"-",VLOOKUP($B171,casostestes[#Data],2)), "-")</f>
        <v>-</v>
      </c>
      <c r="E171" s="35" t="str">
        <f>IFERROR(IF(VLOOKUP($B171,casostestes[#Data],3)=0,"-",VLOOKUP($B171,casostestes[#Data],3)), "-")</f>
        <v>-</v>
      </c>
      <c r="F171" s="35" t="str">
        <f>IFERROR(IF(VLOOKUP($B171,casostestes[#Data],4)=0,"-",VLOOKUP($B171,casostestes[#Data],4)),"-")</f>
        <v>-</v>
      </c>
      <c r="G171" s="35" t="str">
        <f>IFERROR(IF(VLOOKUP($B171,casostestes[#Data],5)=0,"-",VLOOKUP($B171,casostestes[#Data],5)),"-")</f>
        <v>-</v>
      </c>
      <c r="H171" s="35" t="str">
        <f>IFERROR(IF(VLOOKUP($B171,casostestes[#Data],6)=0,"-",VLOOKUP($B171,casostestes[#Data],6)),"-")</f>
        <v>-</v>
      </c>
      <c r="I171" s="35" t="str">
        <f>IFERROR(IF(VLOOKUP($B171,casostestes[#Data],8)=0,"-",VLOOKUP($B171,casostestes[#Data],8)),"-")</f>
        <v>-</v>
      </c>
      <c r="J171" s="35" t="str">
        <f>IFERROR(IF(VLOOKUP($B171,casostestes[#Data],9)=0,"-",VLOOKUP($B171,casostestes[#Data],9)),"-")</f>
        <v>-</v>
      </c>
      <c r="K171" s="36"/>
      <c r="L171" s="45"/>
      <c r="M171" s="37"/>
      <c r="N171" s="38"/>
      <c r="O171" s="38"/>
      <c r="P171" s="39"/>
    </row>
    <row r="172" spans="2:16">
      <c r="B172" s="40" t="str">
        <f>IF(ISERR(casostestes[[#This Row],[ID]]),"-",casostestes[[#This Row],[ID]])</f>
        <v>-</v>
      </c>
      <c r="C172" s="34" t="str">
        <f>IFERROR(IF(VLOOKUP($B172,casostestes[#Data],10)=0,"Não",VLOOKUP($B172,casostestes[#Data],10)), "-")</f>
        <v>-</v>
      </c>
      <c r="D172" s="35" t="str">
        <f>IFERROR(IF(VLOOKUP($B172,casostestes[#Data],2)=0,"-",VLOOKUP($B172,casostestes[#Data],2)), "-")</f>
        <v>-</v>
      </c>
      <c r="E172" s="35" t="str">
        <f>IFERROR(IF(VLOOKUP($B172,casostestes[#Data],3)=0,"-",VLOOKUP($B172,casostestes[#Data],3)), "-")</f>
        <v>-</v>
      </c>
      <c r="F172" s="35" t="str">
        <f>IFERROR(IF(VLOOKUP($B172,casostestes[#Data],4)=0,"-",VLOOKUP($B172,casostestes[#Data],4)),"-")</f>
        <v>-</v>
      </c>
      <c r="G172" s="35" t="str">
        <f>IFERROR(IF(VLOOKUP($B172,casostestes[#Data],5)=0,"-",VLOOKUP($B172,casostestes[#Data],5)),"-")</f>
        <v>-</v>
      </c>
      <c r="H172" s="35" t="str">
        <f>IFERROR(IF(VLOOKUP($B172,casostestes[#Data],6)=0,"-",VLOOKUP($B172,casostestes[#Data],6)),"-")</f>
        <v>-</v>
      </c>
      <c r="I172" s="35" t="str">
        <f>IFERROR(IF(VLOOKUP($B172,casostestes[#Data],8)=0,"-",VLOOKUP($B172,casostestes[#Data],8)),"-")</f>
        <v>-</v>
      </c>
      <c r="J172" s="35" t="str">
        <f>IFERROR(IF(VLOOKUP($B172,casostestes[#Data],9)=0,"-",VLOOKUP($B172,casostestes[#Data],9)),"-")</f>
        <v>-</v>
      </c>
      <c r="K172" s="36"/>
      <c r="L172" s="45"/>
      <c r="M172" s="37"/>
      <c r="N172" s="38"/>
      <c r="O172" s="38"/>
      <c r="P172" s="39"/>
    </row>
    <row r="173" spans="2:16">
      <c r="B173" s="40" t="str">
        <f>IF(ISERR(casostestes[[#This Row],[ID]]),"-",casostestes[[#This Row],[ID]])</f>
        <v>-</v>
      </c>
      <c r="C173" s="34" t="str">
        <f>IFERROR(IF(VLOOKUP($B173,casostestes[#Data],10)=0,"Não",VLOOKUP($B173,casostestes[#Data],10)), "-")</f>
        <v>-</v>
      </c>
      <c r="D173" s="35" t="str">
        <f>IFERROR(IF(VLOOKUP($B173,casostestes[#Data],2)=0,"-",VLOOKUP($B173,casostestes[#Data],2)), "-")</f>
        <v>-</v>
      </c>
      <c r="E173" s="35" t="str">
        <f>IFERROR(IF(VLOOKUP($B173,casostestes[#Data],3)=0,"-",VLOOKUP($B173,casostestes[#Data],3)), "-")</f>
        <v>-</v>
      </c>
      <c r="F173" s="35" t="str">
        <f>IFERROR(IF(VLOOKUP($B173,casostestes[#Data],4)=0,"-",VLOOKUP($B173,casostestes[#Data],4)),"-")</f>
        <v>-</v>
      </c>
      <c r="G173" s="35" t="str">
        <f>IFERROR(IF(VLOOKUP($B173,casostestes[#Data],5)=0,"-",VLOOKUP($B173,casostestes[#Data],5)),"-")</f>
        <v>-</v>
      </c>
      <c r="H173" s="35" t="str">
        <f>IFERROR(IF(VLOOKUP($B173,casostestes[#Data],6)=0,"-",VLOOKUP($B173,casostestes[#Data],6)),"-")</f>
        <v>-</v>
      </c>
      <c r="I173" s="35" t="str">
        <f>IFERROR(IF(VLOOKUP($B173,casostestes[#Data],8)=0,"-",VLOOKUP($B173,casostestes[#Data],8)),"-")</f>
        <v>-</v>
      </c>
      <c r="J173" s="35" t="str">
        <f>IFERROR(IF(VLOOKUP($B173,casostestes[#Data],9)=0,"-",VLOOKUP($B173,casostestes[#Data],9)),"-")</f>
        <v>-</v>
      </c>
      <c r="K173" s="36"/>
      <c r="L173" s="45"/>
      <c r="M173" s="37"/>
      <c r="N173" s="38"/>
      <c r="O173" s="38"/>
      <c r="P173" s="39"/>
    </row>
    <row r="174" spans="2:16">
      <c r="B174" s="40" t="str">
        <f>IF(ISERR(casostestes[[#This Row],[ID]]),"-",casostestes[[#This Row],[ID]])</f>
        <v>-</v>
      </c>
      <c r="C174" s="34" t="str">
        <f>IFERROR(IF(VLOOKUP($B174,casostestes[#Data],10)=0,"Não",VLOOKUP($B174,casostestes[#Data],10)), "-")</f>
        <v>-</v>
      </c>
      <c r="D174" s="35" t="str">
        <f>IFERROR(IF(VLOOKUP($B174,casostestes[#Data],2)=0,"-",VLOOKUP($B174,casostestes[#Data],2)), "-")</f>
        <v>-</v>
      </c>
      <c r="E174" s="35" t="str">
        <f>IFERROR(IF(VLOOKUP($B174,casostestes[#Data],3)=0,"-",VLOOKUP($B174,casostestes[#Data],3)), "-")</f>
        <v>-</v>
      </c>
      <c r="F174" s="35" t="str">
        <f>IFERROR(IF(VLOOKUP($B174,casostestes[#Data],4)=0,"-",VLOOKUP($B174,casostestes[#Data],4)),"-")</f>
        <v>-</v>
      </c>
      <c r="G174" s="35" t="str">
        <f>IFERROR(IF(VLOOKUP($B174,casostestes[#Data],5)=0,"-",VLOOKUP($B174,casostestes[#Data],5)),"-")</f>
        <v>-</v>
      </c>
      <c r="H174" s="35" t="str">
        <f>IFERROR(IF(VLOOKUP($B174,casostestes[#Data],6)=0,"-",VLOOKUP($B174,casostestes[#Data],6)),"-")</f>
        <v>-</v>
      </c>
      <c r="I174" s="35" t="str">
        <f>IFERROR(IF(VLOOKUP($B174,casostestes[#Data],8)=0,"-",VLOOKUP($B174,casostestes[#Data],8)),"-")</f>
        <v>-</v>
      </c>
      <c r="J174" s="35" t="str">
        <f>IFERROR(IF(VLOOKUP($B174,casostestes[#Data],9)=0,"-",VLOOKUP($B174,casostestes[#Data],9)),"-")</f>
        <v>-</v>
      </c>
      <c r="K174" s="36"/>
      <c r="L174" s="45"/>
      <c r="M174" s="37"/>
      <c r="N174" s="38"/>
      <c r="O174" s="38"/>
      <c r="P174" s="39"/>
    </row>
    <row r="175" spans="2:16">
      <c r="B175" s="40" t="str">
        <f>IF(ISERR(casostestes[[#This Row],[ID]]),"-",casostestes[[#This Row],[ID]])</f>
        <v>-</v>
      </c>
      <c r="C175" s="34" t="str">
        <f>IFERROR(IF(VLOOKUP($B175,casostestes[#Data],10)=0,"Não",VLOOKUP($B175,casostestes[#Data],10)), "-")</f>
        <v>-</v>
      </c>
      <c r="D175" s="35" t="str">
        <f>IFERROR(IF(VLOOKUP($B175,casostestes[#Data],2)=0,"-",VLOOKUP($B175,casostestes[#Data],2)), "-")</f>
        <v>-</v>
      </c>
      <c r="E175" s="35" t="str">
        <f>IFERROR(IF(VLOOKUP($B175,casostestes[#Data],3)=0,"-",VLOOKUP($B175,casostestes[#Data],3)), "-")</f>
        <v>-</v>
      </c>
      <c r="F175" s="35" t="str">
        <f>IFERROR(IF(VLOOKUP($B175,casostestes[#Data],4)=0,"-",VLOOKUP($B175,casostestes[#Data],4)),"-")</f>
        <v>-</v>
      </c>
      <c r="G175" s="35" t="str">
        <f>IFERROR(IF(VLOOKUP($B175,casostestes[#Data],5)=0,"-",VLOOKUP($B175,casostestes[#Data],5)),"-")</f>
        <v>-</v>
      </c>
      <c r="H175" s="35" t="str">
        <f>IFERROR(IF(VLOOKUP($B175,casostestes[#Data],6)=0,"-",VLOOKUP($B175,casostestes[#Data],6)),"-")</f>
        <v>-</v>
      </c>
      <c r="I175" s="35" t="str">
        <f>IFERROR(IF(VLOOKUP($B175,casostestes[#Data],8)=0,"-",VLOOKUP($B175,casostestes[#Data],8)),"-")</f>
        <v>-</v>
      </c>
      <c r="J175" s="35" t="str">
        <f>IFERROR(IF(VLOOKUP($B175,casostestes[#Data],9)=0,"-",VLOOKUP($B175,casostestes[#Data],9)),"-")</f>
        <v>-</v>
      </c>
      <c r="K175" s="36"/>
      <c r="L175" s="45"/>
      <c r="M175" s="37"/>
      <c r="N175" s="38"/>
      <c r="O175" s="38"/>
      <c r="P175" s="39"/>
    </row>
    <row r="176" spans="2:16">
      <c r="B176" s="40" t="str">
        <f>IF(ISERR(casostestes[[#This Row],[ID]]),"-",casostestes[[#This Row],[ID]])</f>
        <v>-</v>
      </c>
      <c r="C176" s="34" t="str">
        <f>IFERROR(IF(VLOOKUP($B176,casostestes[#Data],10)=0,"Não",VLOOKUP($B176,casostestes[#Data],10)), "-")</f>
        <v>-</v>
      </c>
      <c r="D176" s="35" t="str">
        <f>IFERROR(IF(VLOOKUP($B176,casostestes[#Data],2)=0,"-",VLOOKUP($B176,casostestes[#Data],2)), "-")</f>
        <v>-</v>
      </c>
      <c r="E176" s="35" t="str">
        <f>IFERROR(IF(VLOOKUP($B176,casostestes[#Data],3)=0,"-",VLOOKUP($B176,casostestes[#Data],3)), "-")</f>
        <v>-</v>
      </c>
      <c r="F176" s="35" t="str">
        <f>IFERROR(IF(VLOOKUP($B176,casostestes[#Data],4)=0,"-",VLOOKUP($B176,casostestes[#Data],4)),"-")</f>
        <v>-</v>
      </c>
      <c r="G176" s="35" t="str">
        <f>IFERROR(IF(VLOOKUP($B176,casostestes[#Data],5)=0,"-",VLOOKUP($B176,casostestes[#Data],5)),"-")</f>
        <v>-</v>
      </c>
      <c r="H176" s="35" t="str">
        <f>IFERROR(IF(VLOOKUP($B176,casostestes[#Data],6)=0,"-",VLOOKUP($B176,casostestes[#Data],6)),"-")</f>
        <v>-</v>
      </c>
      <c r="I176" s="35" t="str">
        <f>IFERROR(IF(VLOOKUP($B176,casostestes[#Data],8)=0,"-",VLOOKUP($B176,casostestes[#Data],8)),"-")</f>
        <v>-</v>
      </c>
      <c r="J176" s="35" t="str">
        <f>IFERROR(IF(VLOOKUP($B176,casostestes[#Data],9)=0,"-",VLOOKUP($B176,casostestes[#Data],9)),"-")</f>
        <v>-</v>
      </c>
      <c r="K176" s="36"/>
      <c r="L176" s="45"/>
      <c r="M176" s="37"/>
      <c r="N176" s="38"/>
      <c r="O176" s="38"/>
      <c r="P176" s="39"/>
    </row>
    <row r="177" spans="2:16">
      <c r="B177" s="40" t="str">
        <f>IF(ISERR(casostestes[[#This Row],[ID]]),"-",casostestes[[#This Row],[ID]])</f>
        <v>-</v>
      </c>
      <c r="C177" s="34" t="str">
        <f>IFERROR(IF(VLOOKUP($B177,casostestes[#Data],10)=0,"Não",VLOOKUP($B177,casostestes[#Data],10)), "-")</f>
        <v>-</v>
      </c>
      <c r="D177" s="35" t="str">
        <f>IFERROR(IF(VLOOKUP($B177,casostestes[#Data],2)=0,"-",VLOOKUP($B177,casostestes[#Data],2)), "-")</f>
        <v>-</v>
      </c>
      <c r="E177" s="35" t="str">
        <f>IFERROR(IF(VLOOKUP($B177,casostestes[#Data],3)=0,"-",VLOOKUP($B177,casostestes[#Data],3)), "-")</f>
        <v>-</v>
      </c>
      <c r="F177" s="35" t="str">
        <f>IFERROR(IF(VLOOKUP($B177,casostestes[#Data],4)=0,"-",VLOOKUP($B177,casostestes[#Data],4)),"-")</f>
        <v>-</v>
      </c>
      <c r="G177" s="35" t="str">
        <f>IFERROR(IF(VLOOKUP($B177,casostestes[#Data],5)=0,"-",VLOOKUP($B177,casostestes[#Data],5)),"-")</f>
        <v>-</v>
      </c>
      <c r="H177" s="35" t="str">
        <f>IFERROR(IF(VLOOKUP($B177,casostestes[#Data],6)=0,"-",VLOOKUP($B177,casostestes[#Data],6)),"-")</f>
        <v>-</v>
      </c>
      <c r="I177" s="35" t="str">
        <f>IFERROR(IF(VLOOKUP($B177,casostestes[#Data],8)=0,"-",VLOOKUP($B177,casostestes[#Data],8)),"-")</f>
        <v>-</v>
      </c>
      <c r="J177" s="35" t="str">
        <f>IFERROR(IF(VLOOKUP($B177,casostestes[#Data],9)=0,"-",VLOOKUP($B177,casostestes[#Data],9)),"-")</f>
        <v>-</v>
      </c>
      <c r="K177" s="36"/>
      <c r="L177" s="45"/>
      <c r="M177" s="37"/>
      <c r="N177" s="38"/>
      <c r="O177" s="38"/>
      <c r="P177" s="39"/>
    </row>
    <row r="178" spans="2:16">
      <c r="B178" s="40" t="str">
        <f>IF(ISERR(casostestes[[#This Row],[ID]]),"-",casostestes[[#This Row],[ID]])</f>
        <v>-</v>
      </c>
      <c r="C178" s="34" t="str">
        <f>IFERROR(IF(VLOOKUP($B178,casostestes[#Data],10)=0,"Não",VLOOKUP($B178,casostestes[#Data],10)), "-")</f>
        <v>-</v>
      </c>
      <c r="D178" s="35" t="str">
        <f>IFERROR(IF(VLOOKUP($B178,casostestes[#Data],2)=0,"-",VLOOKUP($B178,casostestes[#Data],2)), "-")</f>
        <v>-</v>
      </c>
      <c r="E178" s="35" t="str">
        <f>IFERROR(IF(VLOOKUP($B178,casostestes[#Data],3)=0,"-",VLOOKUP($B178,casostestes[#Data],3)), "-")</f>
        <v>-</v>
      </c>
      <c r="F178" s="35" t="str">
        <f>IFERROR(IF(VLOOKUP($B178,casostestes[#Data],4)=0,"-",VLOOKUP($B178,casostestes[#Data],4)),"-")</f>
        <v>-</v>
      </c>
      <c r="G178" s="35" t="str">
        <f>IFERROR(IF(VLOOKUP($B178,casostestes[#Data],5)=0,"-",VLOOKUP($B178,casostestes[#Data],5)),"-")</f>
        <v>-</v>
      </c>
      <c r="H178" s="35" t="str">
        <f>IFERROR(IF(VLOOKUP($B178,casostestes[#Data],6)=0,"-",VLOOKUP($B178,casostestes[#Data],6)),"-")</f>
        <v>-</v>
      </c>
      <c r="I178" s="35" t="str">
        <f>IFERROR(IF(VLOOKUP($B178,casostestes[#Data],8)=0,"-",VLOOKUP($B178,casostestes[#Data],8)),"-")</f>
        <v>-</v>
      </c>
      <c r="J178" s="35" t="str">
        <f>IFERROR(IF(VLOOKUP($B178,casostestes[#Data],9)=0,"-",VLOOKUP($B178,casostestes[#Data],9)),"-")</f>
        <v>-</v>
      </c>
      <c r="K178" s="36"/>
      <c r="L178" s="45"/>
      <c r="M178" s="37"/>
      <c r="N178" s="38"/>
      <c r="O178" s="38"/>
      <c r="P178" s="39"/>
    </row>
    <row r="179" spans="2:16">
      <c r="B179" s="40" t="str">
        <f>IF(ISERR(casostestes[[#This Row],[ID]]),"-",casostestes[[#This Row],[ID]])</f>
        <v>-</v>
      </c>
      <c r="C179" s="34" t="str">
        <f>IFERROR(IF(VLOOKUP($B179,casostestes[#Data],10)=0,"Não",VLOOKUP($B179,casostestes[#Data],10)), "-")</f>
        <v>-</v>
      </c>
      <c r="D179" s="35" t="str">
        <f>IFERROR(IF(VLOOKUP($B179,casostestes[#Data],2)=0,"-",VLOOKUP($B179,casostestes[#Data],2)), "-")</f>
        <v>-</v>
      </c>
      <c r="E179" s="35" t="str">
        <f>IFERROR(IF(VLOOKUP($B179,casostestes[#Data],3)=0,"-",VLOOKUP($B179,casostestes[#Data],3)), "-")</f>
        <v>-</v>
      </c>
      <c r="F179" s="35" t="str">
        <f>IFERROR(IF(VLOOKUP($B179,casostestes[#Data],4)=0,"-",VLOOKUP($B179,casostestes[#Data],4)),"-")</f>
        <v>-</v>
      </c>
      <c r="G179" s="35" t="str">
        <f>IFERROR(IF(VLOOKUP($B179,casostestes[#Data],5)=0,"-",VLOOKUP($B179,casostestes[#Data],5)),"-")</f>
        <v>-</v>
      </c>
      <c r="H179" s="35" t="str">
        <f>IFERROR(IF(VLOOKUP($B179,casostestes[#Data],6)=0,"-",VLOOKUP($B179,casostestes[#Data],6)),"-")</f>
        <v>-</v>
      </c>
      <c r="I179" s="35" t="str">
        <f>IFERROR(IF(VLOOKUP($B179,casostestes[#Data],8)=0,"-",VLOOKUP($B179,casostestes[#Data],8)),"-")</f>
        <v>-</v>
      </c>
      <c r="J179" s="35" t="str">
        <f>IFERROR(IF(VLOOKUP($B179,casostestes[#Data],9)=0,"-",VLOOKUP($B179,casostestes[#Data],9)),"-")</f>
        <v>-</v>
      </c>
      <c r="K179" s="36"/>
      <c r="L179" s="45"/>
      <c r="M179" s="37"/>
      <c r="N179" s="38"/>
      <c r="O179" s="38"/>
      <c r="P179" s="39"/>
    </row>
    <row r="180" spans="2:16">
      <c r="B180" s="40" t="str">
        <f>IF(ISERR(casostestes[[#This Row],[ID]]),"-",casostestes[[#This Row],[ID]])</f>
        <v>-</v>
      </c>
      <c r="C180" s="34" t="str">
        <f>IFERROR(IF(VLOOKUP($B180,casostestes[#Data],10)=0,"Não",VLOOKUP($B180,casostestes[#Data],10)), "-")</f>
        <v>-</v>
      </c>
      <c r="D180" s="35" t="str">
        <f>IFERROR(IF(VLOOKUP($B180,casostestes[#Data],2)=0,"-",VLOOKUP($B180,casostestes[#Data],2)), "-")</f>
        <v>-</v>
      </c>
      <c r="E180" s="35" t="str">
        <f>IFERROR(IF(VLOOKUP($B180,casostestes[#Data],3)=0,"-",VLOOKUP($B180,casostestes[#Data],3)), "-")</f>
        <v>-</v>
      </c>
      <c r="F180" s="35" t="str">
        <f>IFERROR(IF(VLOOKUP($B180,casostestes[#Data],4)=0,"-",VLOOKUP($B180,casostestes[#Data],4)),"-")</f>
        <v>-</v>
      </c>
      <c r="G180" s="35" t="str">
        <f>IFERROR(IF(VLOOKUP($B180,casostestes[#Data],5)=0,"-",VLOOKUP($B180,casostestes[#Data],5)),"-")</f>
        <v>-</v>
      </c>
      <c r="H180" s="35" t="str">
        <f>IFERROR(IF(VLOOKUP($B180,casostestes[#Data],6)=0,"-",VLOOKUP($B180,casostestes[#Data],6)),"-")</f>
        <v>-</v>
      </c>
      <c r="I180" s="35" t="str">
        <f>IFERROR(IF(VLOOKUP($B180,casostestes[#Data],8)=0,"-",VLOOKUP($B180,casostestes[#Data],8)),"-")</f>
        <v>-</v>
      </c>
      <c r="J180" s="35" t="str">
        <f>IFERROR(IF(VLOOKUP($B180,casostestes[#Data],9)=0,"-",VLOOKUP($B180,casostestes[#Data],9)),"-")</f>
        <v>-</v>
      </c>
      <c r="K180" s="36"/>
      <c r="L180" s="45"/>
      <c r="M180" s="37"/>
      <c r="N180" s="38"/>
      <c r="O180" s="38"/>
      <c r="P180" s="39"/>
    </row>
    <row r="181" spans="2:16">
      <c r="B181" s="40" t="str">
        <f>IF(ISERR(casostestes[[#This Row],[ID]]),"-",casostestes[[#This Row],[ID]])</f>
        <v>-</v>
      </c>
      <c r="C181" s="34" t="str">
        <f>IFERROR(IF(VLOOKUP($B181,casostestes[#Data],10)=0,"Não",VLOOKUP($B181,casostestes[#Data],10)), "-")</f>
        <v>-</v>
      </c>
      <c r="D181" s="35" t="str">
        <f>IFERROR(IF(VLOOKUP($B181,casostestes[#Data],2)=0,"-",VLOOKUP($B181,casostestes[#Data],2)), "-")</f>
        <v>-</v>
      </c>
      <c r="E181" s="35" t="str">
        <f>IFERROR(IF(VLOOKUP($B181,casostestes[#Data],3)=0,"-",VLOOKUP($B181,casostestes[#Data],3)), "-")</f>
        <v>-</v>
      </c>
      <c r="F181" s="35" t="str">
        <f>IFERROR(IF(VLOOKUP($B181,casostestes[#Data],4)=0,"-",VLOOKUP($B181,casostestes[#Data],4)),"-")</f>
        <v>-</v>
      </c>
      <c r="G181" s="35" t="str">
        <f>IFERROR(IF(VLOOKUP($B181,casostestes[#Data],5)=0,"-",VLOOKUP($B181,casostestes[#Data],5)),"-")</f>
        <v>-</v>
      </c>
      <c r="H181" s="35" t="str">
        <f>IFERROR(IF(VLOOKUP($B181,casostestes[#Data],6)=0,"-",VLOOKUP($B181,casostestes[#Data],6)),"-")</f>
        <v>-</v>
      </c>
      <c r="I181" s="35" t="str">
        <f>IFERROR(IF(VLOOKUP($B181,casostestes[#Data],8)=0,"-",VLOOKUP($B181,casostestes[#Data],8)),"-")</f>
        <v>-</v>
      </c>
      <c r="J181" s="35" t="str">
        <f>IFERROR(IF(VLOOKUP($B181,casostestes[#Data],9)=0,"-",VLOOKUP($B181,casostestes[#Data],9)),"-")</f>
        <v>-</v>
      </c>
      <c r="K181" s="36"/>
      <c r="L181" s="45"/>
      <c r="M181" s="37"/>
      <c r="N181" s="38"/>
      <c r="O181" s="38"/>
      <c r="P181" s="39"/>
    </row>
    <row r="182" spans="2:16">
      <c r="B182" s="40" t="str">
        <f>IF(ISERR(casostestes[[#This Row],[ID]]),"-",casostestes[[#This Row],[ID]])</f>
        <v>-</v>
      </c>
      <c r="C182" s="34" t="str">
        <f>IFERROR(IF(VLOOKUP($B182,casostestes[#Data],10)=0,"Não",VLOOKUP($B182,casostestes[#Data],10)), "-")</f>
        <v>-</v>
      </c>
      <c r="D182" s="35" t="str">
        <f>IFERROR(IF(VLOOKUP($B182,casostestes[#Data],2)=0,"-",VLOOKUP($B182,casostestes[#Data],2)), "-")</f>
        <v>-</v>
      </c>
      <c r="E182" s="35" t="str">
        <f>IFERROR(IF(VLOOKUP($B182,casostestes[#Data],3)=0,"-",VLOOKUP($B182,casostestes[#Data],3)), "-")</f>
        <v>-</v>
      </c>
      <c r="F182" s="35" t="str">
        <f>IFERROR(IF(VLOOKUP($B182,casostestes[#Data],4)=0,"-",VLOOKUP($B182,casostestes[#Data],4)),"-")</f>
        <v>-</v>
      </c>
      <c r="G182" s="35" t="str">
        <f>IFERROR(IF(VLOOKUP($B182,casostestes[#Data],5)=0,"-",VLOOKUP($B182,casostestes[#Data],5)),"-")</f>
        <v>-</v>
      </c>
      <c r="H182" s="35" t="str">
        <f>IFERROR(IF(VLOOKUP($B182,casostestes[#Data],6)=0,"-",VLOOKUP($B182,casostestes[#Data],6)),"-")</f>
        <v>-</v>
      </c>
      <c r="I182" s="35" t="str">
        <f>IFERROR(IF(VLOOKUP($B182,casostestes[#Data],8)=0,"-",VLOOKUP($B182,casostestes[#Data],8)),"-")</f>
        <v>-</v>
      </c>
      <c r="J182" s="35" t="str">
        <f>IFERROR(IF(VLOOKUP($B182,casostestes[#Data],9)=0,"-",VLOOKUP($B182,casostestes[#Data],9)),"-")</f>
        <v>-</v>
      </c>
      <c r="K182" s="36"/>
      <c r="L182" s="45"/>
      <c r="M182" s="37"/>
      <c r="N182" s="38"/>
      <c r="O182" s="38"/>
      <c r="P182" s="39"/>
    </row>
    <row r="183" spans="2:16">
      <c r="B183" s="40" t="str">
        <f>IF(ISERR(casostestes[[#This Row],[ID]]),"-",casostestes[[#This Row],[ID]])</f>
        <v>-</v>
      </c>
      <c r="C183" s="34" t="str">
        <f>IFERROR(IF(VLOOKUP($B183,casostestes[#Data],10)=0,"Não",VLOOKUP($B183,casostestes[#Data],10)), "-")</f>
        <v>-</v>
      </c>
      <c r="D183" s="35" t="str">
        <f>IFERROR(IF(VLOOKUP($B183,casostestes[#Data],2)=0,"-",VLOOKUP($B183,casostestes[#Data],2)), "-")</f>
        <v>-</v>
      </c>
      <c r="E183" s="35" t="str">
        <f>IFERROR(IF(VLOOKUP($B183,casostestes[#Data],3)=0,"-",VLOOKUP($B183,casostestes[#Data],3)), "-")</f>
        <v>-</v>
      </c>
      <c r="F183" s="35" t="str">
        <f>IFERROR(IF(VLOOKUP($B183,casostestes[#Data],4)=0,"-",VLOOKUP($B183,casostestes[#Data],4)),"-")</f>
        <v>-</v>
      </c>
      <c r="G183" s="35" t="str">
        <f>IFERROR(IF(VLOOKUP($B183,casostestes[#Data],5)=0,"-",VLOOKUP($B183,casostestes[#Data],5)),"-")</f>
        <v>-</v>
      </c>
      <c r="H183" s="35" t="str">
        <f>IFERROR(IF(VLOOKUP($B183,casostestes[#Data],6)=0,"-",VLOOKUP($B183,casostestes[#Data],6)),"-")</f>
        <v>-</v>
      </c>
      <c r="I183" s="35" t="str">
        <f>IFERROR(IF(VLOOKUP($B183,casostestes[#Data],8)=0,"-",VLOOKUP($B183,casostestes[#Data],8)),"-")</f>
        <v>-</v>
      </c>
      <c r="J183" s="35" t="str">
        <f>IFERROR(IF(VLOOKUP($B183,casostestes[#Data],9)=0,"-",VLOOKUP($B183,casostestes[#Data],9)),"-")</f>
        <v>-</v>
      </c>
      <c r="K183" s="36"/>
      <c r="L183" s="45"/>
      <c r="M183" s="37"/>
      <c r="N183" s="38"/>
      <c r="O183" s="38"/>
      <c r="P183" s="39"/>
    </row>
    <row r="184" spans="2:16">
      <c r="B184" s="40" t="str">
        <f>IF(ISERR(casostestes[[#This Row],[ID]]),"-",casostestes[[#This Row],[ID]])</f>
        <v>-</v>
      </c>
      <c r="C184" s="34" t="str">
        <f>IFERROR(IF(VLOOKUP($B184,casostestes[#Data],10)=0,"Não",VLOOKUP($B184,casostestes[#Data],10)), "-")</f>
        <v>-</v>
      </c>
      <c r="D184" s="35" t="str">
        <f>IFERROR(IF(VLOOKUP($B184,casostestes[#Data],2)=0,"-",VLOOKUP($B184,casostestes[#Data],2)), "-")</f>
        <v>-</v>
      </c>
      <c r="E184" s="35" t="str">
        <f>IFERROR(IF(VLOOKUP($B184,casostestes[#Data],3)=0,"-",VLOOKUP($B184,casostestes[#Data],3)), "-")</f>
        <v>-</v>
      </c>
      <c r="F184" s="35" t="str">
        <f>IFERROR(IF(VLOOKUP($B184,casostestes[#Data],4)=0,"-",VLOOKUP($B184,casostestes[#Data],4)),"-")</f>
        <v>-</v>
      </c>
      <c r="G184" s="35" t="str">
        <f>IFERROR(IF(VLOOKUP($B184,casostestes[#Data],5)=0,"-",VLOOKUP($B184,casostestes[#Data],5)),"-")</f>
        <v>-</v>
      </c>
      <c r="H184" s="35" t="str">
        <f>IFERROR(IF(VLOOKUP($B184,casostestes[#Data],6)=0,"-",VLOOKUP($B184,casostestes[#Data],6)),"-")</f>
        <v>-</v>
      </c>
      <c r="I184" s="35" t="str">
        <f>IFERROR(IF(VLOOKUP($B184,casostestes[#Data],8)=0,"-",VLOOKUP($B184,casostestes[#Data],8)),"-")</f>
        <v>-</v>
      </c>
      <c r="J184" s="35" t="str">
        <f>IFERROR(IF(VLOOKUP($B184,casostestes[#Data],9)=0,"-",VLOOKUP($B184,casostestes[#Data],9)),"-")</f>
        <v>-</v>
      </c>
      <c r="K184" s="36"/>
      <c r="L184" s="45"/>
      <c r="M184" s="37"/>
      <c r="N184" s="38"/>
      <c r="O184" s="38"/>
      <c r="P184" s="39"/>
    </row>
    <row r="185" spans="2:16">
      <c r="B185" s="40" t="str">
        <f>IF(ISERR(casostestes[[#This Row],[ID]]),"-",casostestes[[#This Row],[ID]])</f>
        <v>-</v>
      </c>
      <c r="C185" s="34" t="str">
        <f>IFERROR(IF(VLOOKUP($B185,casostestes[#Data],10)=0,"Não",VLOOKUP($B185,casostestes[#Data],10)), "-")</f>
        <v>-</v>
      </c>
      <c r="D185" s="35" t="str">
        <f>IFERROR(IF(VLOOKUP($B185,casostestes[#Data],2)=0,"-",VLOOKUP($B185,casostestes[#Data],2)), "-")</f>
        <v>-</v>
      </c>
      <c r="E185" s="35" t="str">
        <f>IFERROR(IF(VLOOKUP($B185,casostestes[#Data],3)=0,"-",VLOOKUP($B185,casostestes[#Data],3)), "-")</f>
        <v>-</v>
      </c>
      <c r="F185" s="35" t="str">
        <f>IFERROR(IF(VLOOKUP($B185,casostestes[#Data],4)=0,"-",VLOOKUP($B185,casostestes[#Data],4)),"-")</f>
        <v>-</v>
      </c>
      <c r="G185" s="35" t="str">
        <f>IFERROR(IF(VLOOKUP($B185,casostestes[#Data],5)=0,"-",VLOOKUP($B185,casostestes[#Data],5)),"-")</f>
        <v>-</v>
      </c>
      <c r="H185" s="35" t="str">
        <f>IFERROR(IF(VLOOKUP($B185,casostestes[#Data],6)=0,"-",VLOOKUP($B185,casostestes[#Data],6)),"-")</f>
        <v>-</v>
      </c>
      <c r="I185" s="35" t="str">
        <f>IFERROR(IF(VLOOKUP($B185,casostestes[#Data],8)=0,"-",VLOOKUP($B185,casostestes[#Data],8)),"-")</f>
        <v>-</v>
      </c>
      <c r="J185" s="35" t="str">
        <f>IFERROR(IF(VLOOKUP($B185,casostestes[#Data],9)=0,"-",VLOOKUP($B185,casostestes[#Data],9)),"-")</f>
        <v>-</v>
      </c>
      <c r="K185" s="36"/>
      <c r="L185" s="45"/>
      <c r="M185" s="37"/>
      <c r="N185" s="38"/>
      <c r="O185" s="38"/>
      <c r="P185" s="39"/>
    </row>
    <row r="186" spans="2:16">
      <c r="B186" s="40" t="str">
        <f>IF(ISERR(casostestes[[#This Row],[ID]]),"-",casostestes[[#This Row],[ID]])</f>
        <v>-</v>
      </c>
      <c r="C186" s="34" t="str">
        <f>IFERROR(IF(VLOOKUP($B186,casostestes[#Data],10)=0,"Não",VLOOKUP($B186,casostestes[#Data],10)), "-")</f>
        <v>-</v>
      </c>
      <c r="D186" s="35" t="str">
        <f>IFERROR(IF(VLOOKUP($B186,casostestes[#Data],2)=0,"-",VLOOKUP($B186,casostestes[#Data],2)), "-")</f>
        <v>-</v>
      </c>
      <c r="E186" s="35" t="str">
        <f>IFERROR(IF(VLOOKUP($B186,casostestes[#Data],3)=0,"-",VLOOKUP($B186,casostestes[#Data],3)), "-")</f>
        <v>-</v>
      </c>
      <c r="F186" s="35" t="str">
        <f>IFERROR(IF(VLOOKUP($B186,casostestes[#Data],4)=0,"-",VLOOKUP($B186,casostestes[#Data],4)),"-")</f>
        <v>-</v>
      </c>
      <c r="G186" s="35" t="str">
        <f>IFERROR(IF(VLOOKUP($B186,casostestes[#Data],5)=0,"-",VLOOKUP($B186,casostestes[#Data],5)),"-")</f>
        <v>-</v>
      </c>
      <c r="H186" s="35" t="str">
        <f>IFERROR(IF(VLOOKUP($B186,casostestes[#Data],6)=0,"-",VLOOKUP($B186,casostestes[#Data],6)),"-")</f>
        <v>-</v>
      </c>
      <c r="I186" s="35" t="str">
        <f>IFERROR(IF(VLOOKUP($B186,casostestes[#Data],8)=0,"-",VLOOKUP($B186,casostestes[#Data],8)),"-")</f>
        <v>-</v>
      </c>
      <c r="J186" s="35" t="str">
        <f>IFERROR(IF(VLOOKUP($B186,casostestes[#Data],9)=0,"-",VLOOKUP($B186,casostestes[#Data],9)),"-")</f>
        <v>-</v>
      </c>
      <c r="K186" s="36"/>
      <c r="L186" s="45"/>
      <c r="M186" s="37"/>
      <c r="N186" s="38"/>
      <c r="O186" s="38"/>
      <c r="P186" s="39"/>
    </row>
    <row r="187" spans="2:16">
      <c r="B187" s="40" t="str">
        <f>IF(ISERR(casostestes[[#This Row],[ID]]),"-",casostestes[[#This Row],[ID]])</f>
        <v>-</v>
      </c>
      <c r="C187" s="34" t="str">
        <f>IFERROR(IF(VLOOKUP($B187,casostestes[#Data],10)=0,"Não",VLOOKUP($B187,casostestes[#Data],10)), "-")</f>
        <v>-</v>
      </c>
      <c r="D187" s="35" t="str">
        <f>IFERROR(IF(VLOOKUP($B187,casostestes[#Data],2)=0,"-",VLOOKUP($B187,casostestes[#Data],2)), "-")</f>
        <v>-</v>
      </c>
      <c r="E187" s="35" t="str">
        <f>IFERROR(IF(VLOOKUP($B187,casostestes[#Data],3)=0,"-",VLOOKUP($B187,casostestes[#Data],3)), "-")</f>
        <v>-</v>
      </c>
      <c r="F187" s="35" t="str">
        <f>IFERROR(IF(VLOOKUP($B187,casostestes[#Data],4)=0,"-",VLOOKUP($B187,casostestes[#Data],4)),"-")</f>
        <v>-</v>
      </c>
      <c r="G187" s="35" t="str">
        <f>IFERROR(IF(VLOOKUP($B187,casostestes[#Data],5)=0,"-",VLOOKUP($B187,casostestes[#Data],5)),"-")</f>
        <v>-</v>
      </c>
      <c r="H187" s="35" t="str">
        <f>IFERROR(IF(VLOOKUP($B187,casostestes[#Data],6)=0,"-",VLOOKUP($B187,casostestes[#Data],6)),"-")</f>
        <v>-</v>
      </c>
      <c r="I187" s="35" t="str">
        <f>IFERROR(IF(VLOOKUP($B187,casostestes[#Data],8)=0,"-",VLOOKUP($B187,casostestes[#Data],8)),"-")</f>
        <v>-</v>
      </c>
      <c r="J187" s="35" t="str">
        <f>IFERROR(IF(VLOOKUP($B187,casostestes[#Data],9)=0,"-",VLOOKUP($B187,casostestes[#Data],9)),"-")</f>
        <v>-</v>
      </c>
      <c r="K187" s="36"/>
      <c r="L187" s="45"/>
      <c r="M187" s="37"/>
      <c r="N187" s="38"/>
      <c r="O187" s="38"/>
      <c r="P187" s="39"/>
    </row>
    <row r="188" spans="2:16">
      <c r="B188" s="40" t="str">
        <f>IF(ISERR(casostestes[[#This Row],[ID]]),"-",casostestes[[#This Row],[ID]])</f>
        <v>-</v>
      </c>
      <c r="C188" s="34" t="str">
        <f>IFERROR(IF(VLOOKUP($B188,casostestes[#Data],10)=0,"Não",VLOOKUP($B188,casostestes[#Data],10)), "-")</f>
        <v>-</v>
      </c>
      <c r="D188" s="35" t="str">
        <f>IFERROR(IF(VLOOKUP($B188,casostestes[#Data],2)=0,"-",VLOOKUP($B188,casostestes[#Data],2)), "-")</f>
        <v>-</v>
      </c>
      <c r="E188" s="35" t="str">
        <f>IFERROR(IF(VLOOKUP($B188,casostestes[#Data],3)=0,"-",VLOOKUP($B188,casostestes[#Data],3)), "-")</f>
        <v>-</v>
      </c>
      <c r="F188" s="35" t="str">
        <f>IFERROR(IF(VLOOKUP($B188,casostestes[#Data],4)=0,"-",VLOOKUP($B188,casostestes[#Data],4)),"-")</f>
        <v>-</v>
      </c>
      <c r="G188" s="35" t="str">
        <f>IFERROR(IF(VLOOKUP($B188,casostestes[#Data],5)=0,"-",VLOOKUP($B188,casostestes[#Data],5)),"-")</f>
        <v>-</v>
      </c>
      <c r="H188" s="35" t="str">
        <f>IFERROR(IF(VLOOKUP($B188,casostestes[#Data],6)=0,"-",VLOOKUP($B188,casostestes[#Data],6)),"-")</f>
        <v>-</v>
      </c>
      <c r="I188" s="35" t="str">
        <f>IFERROR(IF(VLOOKUP($B188,casostestes[#Data],8)=0,"-",VLOOKUP($B188,casostestes[#Data],8)),"-")</f>
        <v>-</v>
      </c>
      <c r="J188" s="35" t="str">
        <f>IFERROR(IF(VLOOKUP($B188,casostestes[#Data],9)=0,"-",VLOOKUP($B188,casostestes[#Data],9)),"-")</f>
        <v>-</v>
      </c>
      <c r="K188" s="36"/>
      <c r="L188" s="45"/>
      <c r="M188" s="37"/>
      <c r="N188" s="38"/>
      <c r="O188" s="38"/>
      <c r="P188" s="39"/>
    </row>
    <row r="189" spans="2:16">
      <c r="B189" s="40" t="str">
        <f>IF(ISERR(casostestes[[#This Row],[ID]]),"-",casostestes[[#This Row],[ID]])</f>
        <v>-</v>
      </c>
      <c r="C189" s="34" t="str">
        <f>IFERROR(IF(VLOOKUP($B189,casostestes[#Data],10)=0,"Não",VLOOKUP($B189,casostestes[#Data],10)), "-")</f>
        <v>-</v>
      </c>
      <c r="D189" s="35" t="str">
        <f>IFERROR(IF(VLOOKUP($B189,casostestes[#Data],2)=0,"-",VLOOKUP($B189,casostestes[#Data],2)), "-")</f>
        <v>-</v>
      </c>
      <c r="E189" s="35" t="str">
        <f>IFERROR(IF(VLOOKUP($B189,casostestes[#Data],3)=0,"-",VLOOKUP($B189,casostestes[#Data],3)), "-")</f>
        <v>-</v>
      </c>
      <c r="F189" s="35" t="str">
        <f>IFERROR(IF(VLOOKUP($B189,casostestes[#Data],4)=0,"-",VLOOKUP($B189,casostestes[#Data],4)),"-")</f>
        <v>-</v>
      </c>
      <c r="G189" s="35" t="str">
        <f>IFERROR(IF(VLOOKUP($B189,casostestes[#Data],5)=0,"-",VLOOKUP($B189,casostestes[#Data],5)),"-")</f>
        <v>-</v>
      </c>
      <c r="H189" s="35" t="str">
        <f>IFERROR(IF(VLOOKUP($B189,casostestes[#Data],6)=0,"-",VLOOKUP($B189,casostestes[#Data],6)),"-")</f>
        <v>-</v>
      </c>
      <c r="I189" s="35" t="str">
        <f>IFERROR(IF(VLOOKUP($B189,casostestes[#Data],8)=0,"-",VLOOKUP($B189,casostestes[#Data],8)),"-")</f>
        <v>-</v>
      </c>
      <c r="J189" s="35" t="str">
        <f>IFERROR(IF(VLOOKUP($B189,casostestes[#Data],9)=0,"-",VLOOKUP($B189,casostestes[#Data],9)),"-")</f>
        <v>-</v>
      </c>
      <c r="K189" s="36"/>
      <c r="L189" s="45"/>
      <c r="M189" s="37"/>
      <c r="N189" s="38"/>
      <c r="O189" s="38"/>
      <c r="P189" s="39"/>
    </row>
    <row r="190" spans="2:16">
      <c r="B190" s="40" t="str">
        <f>IF(ISERR(casostestes[[#This Row],[ID]]),"-",casostestes[[#This Row],[ID]])</f>
        <v>-</v>
      </c>
      <c r="C190" s="34" t="str">
        <f>IFERROR(IF(VLOOKUP($B190,casostestes[#Data],10)=0,"Não",VLOOKUP($B190,casostestes[#Data],10)), "-")</f>
        <v>-</v>
      </c>
      <c r="D190" s="35" t="str">
        <f>IFERROR(IF(VLOOKUP($B190,casostestes[#Data],2)=0,"-",VLOOKUP($B190,casostestes[#Data],2)), "-")</f>
        <v>-</v>
      </c>
      <c r="E190" s="35" t="str">
        <f>IFERROR(IF(VLOOKUP($B190,casostestes[#Data],3)=0,"-",VLOOKUP($B190,casostestes[#Data],3)), "-")</f>
        <v>-</v>
      </c>
      <c r="F190" s="35" t="str">
        <f>IFERROR(IF(VLOOKUP($B190,casostestes[#Data],4)=0,"-",VLOOKUP($B190,casostestes[#Data],4)),"-")</f>
        <v>-</v>
      </c>
      <c r="G190" s="35" t="str">
        <f>IFERROR(IF(VLOOKUP($B190,casostestes[#Data],5)=0,"-",VLOOKUP($B190,casostestes[#Data],5)),"-")</f>
        <v>-</v>
      </c>
      <c r="H190" s="35" t="str">
        <f>IFERROR(IF(VLOOKUP($B190,casostestes[#Data],6)=0,"-",VLOOKUP($B190,casostestes[#Data],6)),"-")</f>
        <v>-</v>
      </c>
      <c r="I190" s="35" t="str">
        <f>IFERROR(IF(VLOOKUP($B190,casostestes[#Data],8)=0,"-",VLOOKUP($B190,casostestes[#Data],8)),"-")</f>
        <v>-</v>
      </c>
      <c r="J190" s="35" t="str">
        <f>IFERROR(IF(VLOOKUP($B190,casostestes[#Data],9)=0,"-",VLOOKUP($B190,casostestes[#Data],9)),"-")</f>
        <v>-</v>
      </c>
      <c r="K190" s="36"/>
      <c r="L190" s="45"/>
      <c r="M190" s="37"/>
      <c r="N190" s="38"/>
      <c r="O190" s="38"/>
      <c r="P190" s="39"/>
    </row>
    <row r="191" spans="2:16">
      <c r="B191" s="40" t="str">
        <f>IF(ISERR(casostestes[[#This Row],[ID]]),"-",casostestes[[#This Row],[ID]])</f>
        <v>-</v>
      </c>
      <c r="C191" s="34" t="str">
        <f>IFERROR(IF(VLOOKUP($B191,casostestes[#Data],10)=0,"Não",VLOOKUP($B191,casostestes[#Data],10)), "-")</f>
        <v>-</v>
      </c>
      <c r="D191" s="35" t="str">
        <f>IFERROR(IF(VLOOKUP($B191,casostestes[#Data],2)=0,"-",VLOOKUP($B191,casostestes[#Data],2)), "-")</f>
        <v>-</v>
      </c>
      <c r="E191" s="35" t="str">
        <f>IFERROR(IF(VLOOKUP($B191,casostestes[#Data],3)=0,"-",VLOOKUP($B191,casostestes[#Data],3)), "-")</f>
        <v>-</v>
      </c>
      <c r="F191" s="35" t="str">
        <f>IFERROR(IF(VLOOKUP($B191,casostestes[#Data],4)=0,"-",VLOOKUP($B191,casostestes[#Data],4)),"-")</f>
        <v>-</v>
      </c>
      <c r="G191" s="35" t="str">
        <f>IFERROR(IF(VLOOKUP($B191,casostestes[#Data],5)=0,"-",VLOOKUP($B191,casostestes[#Data],5)),"-")</f>
        <v>-</v>
      </c>
      <c r="H191" s="35" t="str">
        <f>IFERROR(IF(VLOOKUP($B191,casostestes[#Data],6)=0,"-",VLOOKUP($B191,casostestes[#Data],6)),"-")</f>
        <v>-</v>
      </c>
      <c r="I191" s="35" t="str">
        <f>IFERROR(IF(VLOOKUP($B191,casostestes[#Data],8)=0,"-",VLOOKUP($B191,casostestes[#Data],8)),"-")</f>
        <v>-</v>
      </c>
      <c r="J191" s="35" t="str">
        <f>IFERROR(IF(VLOOKUP($B191,casostestes[#Data],9)=0,"-",VLOOKUP($B191,casostestes[#Data],9)),"-")</f>
        <v>-</v>
      </c>
      <c r="K191" s="36"/>
      <c r="L191" s="45"/>
      <c r="M191" s="37"/>
      <c r="N191" s="38"/>
      <c r="O191" s="38"/>
      <c r="P191" s="39"/>
    </row>
    <row r="192" spans="2:16">
      <c r="B192" s="40" t="str">
        <f>IF(ISERR(casostestes[[#This Row],[ID]]),"-",casostestes[[#This Row],[ID]])</f>
        <v>-</v>
      </c>
      <c r="C192" s="34" t="str">
        <f>IFERROR(IF(VLOOKUP($B192,casostestes[#Data],10)=0,"Não",VLOOKUP($B192,casostestes[#Data],10)), "-")</f>
        <v>-</v>
      </c>
      <c r="D192" s="35" t="str">
        <f>IFERROR(IF(VLOOKUP($B192,casostestes[#Data],2)=0,"-",VLOOKUP($B192,casostestes[#Data],2)), "-")</f>
        <v>-</v>
      </c>
      <c r="E192" s="35" t="str">
        <f>IFERROR(IF(VLOOKUP($B192,casostestes[#Data],3)=0,"-",VLOOKUP($B192,casostestes[#Data],3)), "-")</f>
        <v>-</v>
      </c>
      <c r="F192" s="35" t="str">
        <f>IFERROR(IF(VLOOKUP($B192,casostestes[#Data],4)=0,"-",VLOOKUP($B192,casostestes[#Data],4)),"-")</f>
        <v>-</v>
      </c>
      <c r="G192" s="35" t="str">
        <f>IFERROR(IF(VLOOKUP($B192,casostestes[#Data],5)=0,"-",VLOOKUP($B192,casostestes[#Data],5)),"-")</f>
        <v>-</v>
      </c>
      <c r="H192" s="35" t="str">
        <f>IFERROR(IF(VLOOKUP($B192,casostestes[#Data],6)=0,"-",VLOOKUP($B192,casostestes[#Data],6)),"-")</f>
        <v>-</v>
      </c>
      <c r="I192" s="35" t="str">
        <f>IFERROR(IF(VLOOKUP($B192,casostestes[#Data],8)=0,"-",VLOOKUP($B192,casostestes[#Data],8)),"-")</f>
        <v>-</v>
      </c>
      <c r="J192" s="35" t="str">
        <f>IFERROR(IF(VLOOKUP($B192,casostestes[#Data],9)=0,"-",VLOOKUP($B192,casostestes[#Data],9)),"-")</f>
        <v>-</v>
      </c>
      <c r="K192" s="36"/>
      <c r="L192" s="45"/>
      <c r="M192" s="37"/>
      <c r="N192" s="38"/>
      <c r="O192" s="38"/>
      <c r="P192" s="39"/>
    </row>
    <row r="193" spans="2:16">
      <c r="B193" s="40" t="str">
        <f>IF(ISERR(casostestes[[#This Row],[ID]]),"-",casostestes[[#This Row],[ID]])</f>
        <v>-</v>
      </c>
      <c r="C193" s="34" t="str">
        <f>IFERROR(IF(VLOOKUP($B193,casostestes[#Data],10)=0,"Não",VLOOKUP($B193,casostestes[#Data],10)), "-")</f>
        <v>-</v>
      </c>
      <c r="D193" s="35" t="str">
        <f>IFERROR(IF(VLOOKUP($B193,casostestes[#Data],2)=0,"-",VLOOKUP($B193,casostestes[#Data],2)), "-")</f>
        <v>-</v>
      </c>
      <c r="E193" s="35" t="str">
        <f>IFERROR(IF(VLOOKUP($B193,casostestes[#Data],3)=0,"-",VLOOKUP($B193,casostestes[#Data],3)), "-")</f>
        <v>-</v>
      </c>
      <c r="F193" s="35" t="str">
        <f>IFERROR(IF(VLOOKUP($B193,casostestes[#Data],4)=0,"-",VLOOKUP($B193,casostestes[#Data],4)),"-")</f>
        <v>-</v>
      </c>
      <c r="G193" s="35" t="str">
        <f>IFERROR(IF(VLOOKUP($B193,casostestes[#Data],5)=0,"-",VLOOKUP($B193,casostestes[#Data],5)),"-")</f>
        <v>-</v>
      </c>
      <c r="H193" s="35" t="str">
        <f>IFERROR(IF(VLOOKUP($B193,casostestes[#Data],6)=0,"-",VLOOKUP($B193,casostestes[#Data],6)),"-")</f>
        <v>-</v>
      </c>
      <c r="I193" s="35" t="str">
        <f>IFERROR(IF(VLOOKUP($B193,casostestes[#Data],8)=0,"-",VLOOKUP($B193,casostestes[#Data],8)),"-")</f>
        <v>-</v>
      </c>
      <c r="J193" s="35" t="str">
        <f>IFERROR(IF(VLOOKUP($B193,casostestes[#Data],9)=0,"-",VLOOKUP($B193,casostestes[#Data],9)),"-")</f>
        <v>-</v>
      </c>
      <c r="K193" s="36"/>
      <c r="L193" s="45"/>
      <c r="M193" s="37"/>
      <c r="N193" s="38"/>
      <c r="O193" s="38"/>
      <c r="P193" s="39"/>
    </row>
    <row r="194" spans="2:16">
      <c r="B194" s="40" t="str">
        <f>IF(ISERR(casostestes[[#This Row],[ID]]),"-",casostestes[[#This Row],[ID]])</f>
        <v>-</v>
      </c>
      <c r="C194" s="34" t="str">
        <f>IFERROR(IF(VLOOKUP($B194,casostestes[#Data],10)=0,"Não",VLOOKUP($B194,casostestes[#Data],10)), "-")</f>
        <v>-</v>
      </c>
      <c r="D194" s="35" t="str">
        <f>IFERROR(IF(VLOOKUP($B194,casostestes[#Data],2)=0,"-",VLOOKUP($B194,casostestes[#Data],2)), "-")</f>
        <v>-</v>
      </c>
      <c r="E194" s="35" t="str">
        <f>IFERROR(IF(VLOOKUP($B194,casostestes[#Data],3)=0,"-",VLOOKUP($B194,casostestes[#Data],3)), "-")</f>
        <v>-</v>
      </c>
      <c r="F194" s="35" t="str">
        <f>IFERROR(IF(VLOOKUP($B194,casostestes[#Data],4)=0,"-",VLOOKUP($B194,casostestes[#Data],4)),"-")</f>
        <v>-</v>
      </c>
      <c r="G194" s="35" t="str">
        <f>IFERROR(IF(VLOOKUP($B194,casostestes[#Data],5)=0,"-",VLOOKUP($B194,casostestes[#Data],5)),"-")</f>
        <v>-</v>
      </c>
      <c r="H194" s="35" t="str">
        <f>IFERROR(IF(VLOOKUP($B194,casostestes[#Data],6)=0,"-",VLOOKUP($B194,casostestes[#Data],6)),"-")</f>
        <v>-</v>
      </c>
      <c r="I194" s="35" t="str">
        <f>IFERROR(IF(VLOOKUP($B194,casostestes[#Data],8)=0,"-",VLOOKUP($B194,casostestes[#Data],8)),"-")</f>
        <v>-</v>
      </c>
      <c r="J194" s="35" t="str">
        <f>IFERROR(IF(VLOOKUP($B194,casostestes[#Data],9)=0,"-",VLOOKUP($B194,casostestes[#Data],9)),"-")</f>
        <v>-</v>
      </c>
      <c r="K194" s="36"/>
      <c r="L194" s="45"/>
      <c r="M194" s="37"/>
      <c r="N194" s="38"/>
      <c r="O194" s="38"/>
      <c r="P194" s="39"/>
    </row>
    <row r="195" spans="2:16">
      <c r="B195" s="40" t="str">
        <f>IF(ISERR(casostestes[[#This Row],[ID]]),"-",casostestes[[#This Row],[ID]])</f>
        <v>-</v>
      </c>
      <c r="C195" s="34" t="str">
        <f>IFERROR(IF(VLOOKUP($B195,casostestes[#Data],10)=0,"Não",VLOOKUP($B195,casostestes[#Data],10)), "-")</f>
        <v>-</v>
      </c>
      <c r="D195" s="35" t="str">
        <f>IFERROR(IF(VLOOKUP($B195,casostestes[#Data],2)=0,"-",VLOOKUP($B195,casostestes[#Data],2)), "-")</f>
        <v>-</v>
      </c>
      <c r="E195" s="35" t="str">
        <f>IFERROR(IF(VLOOKUP($B195,casostestes[#Data],3)=0,"-",VLOOKUP($B195,casostestes[#Data],3)), "-")</f>
        <v>-</v>
      </c>
      <c r="F195" s="35" t="str">
        <f>IFERROR(IF(VLOOKUP($B195,casostestes[#Data],4)=0,"-",VLOOKUP($B195,casostestes[#Data],4)),"-")</f>
        <v>-</v>
      </c>
      <c r="G195" s="35" t="str">
        <f>IFERROR(IF(VLOOKUP($B195,casostestes[#Data],5)=0,"-",VLOOKUP($B195,casostestes[#Data],5)),"-")</f>
        <v>-</v>
      </c>
      <c r="H195" s="35" t="str">
        <f>IFERROR(IF(VLOOKUP($B195,casostestes[#Data],6)=0,"-",VLOOKUP($B195,casostestes[#Data],6)),"-")</f>
        <v>-</v>
      </c>
      <c r="I195" s="35" t="str">
        <f>IFERROR(IF(VLOOKUP($B195,casostestes[#Data],8)=0,"-",VLOOKUP($B195,casostestes[#Data],8)),"-")</f>
        <v>-</v>
      </c>
      <c r="J195" s="35" t="str">
        <f>IFERROR(IF(VLOOKUP($B195,casostestes[#Data],9)=0,"-",VLOOKUP($B195,casostestes[#Data],9)),"-")</f>
        <v>-</v>
      </c>
      <c r="K195" s="36"/>
      <c r="L195" s="45"/>
      <c r="M195" s="37"/>
      <c r="N195" s="38"/>
      <c r="O195" s="38"/>
      <c r="P195" s="39"/>
    </row>
    <row r="196" spans="2:16">
      <c r="B196" s="40" t="str">
        <f>IF(ISERR(casostestes[[#This Row],[ID]]),"-",casostestes[[#This Row],[ID]])</f>
        <v>-</v>
      </c>
      <c r="C196" s="34" t="str">
        <f>IFERROR(IF(VLOOKUP($B196,casostestes[#Data],10)=0,"Não",VLOOKUP($B196,casostestes[#Data],10)), "-")</f>
        <v>-</v>
      </c>
      <c r="D196" s="35" t="str">
        <f>IFERROR(IF(VLOOKUP($B196,casostestes[#Data],2)=0,"-",VLOOKUP($B196,casostestes[#Data],2)), "-")</f>
        <v>-</v>
      </c>
      <c r="E196" s="35" t="str">
        <f>IFERROR(IF(VLOOKUP($B196,casostestes[#Data],3)=0,"-",VLOOKUP($B196,casostestes[#Data],3)), "-")</f>
        <v>-</v>
      </c>
      <c r="F196" s="35" t="str">
        <f>IFERROR(IF(VLOOKUP($B196,casostestes[#Data],4)=0,"-",VLOOKUP($B196,casostestes[#Data],4)),"-")</f>
        <v>-</v>
      </c>
      <c r="G196" s="35" t="str">
        <f>IFERROR(IF(VLOOKUP($B196,casostestes[#Data],5)=0,"-",VLOOKUP($B196,casostestes[#Data],5)),"-")</f>
        <v>-</v>
      </c>
      <c r="H196" s="35" t="str">
        <f>IFERROR(IF(VLOOKUP($B196,casostestes[#Data],6)=0,"-",VLOOKUP($B196,casostestes[#Data],6)),"-")</f>
        <v>-</v>
      </c>
      <c r="I196" s="35" t="str">
        <f>IFERROR(IF(VLOOKUP($B196,casostestes[#Data],8)=0,"-",VLOOKUP($B196,casostestes[#Data],8)),"-")</f>
        <v>-</v>
      </c>
      <c r="J196" s="35" t="str">
        <f>IFERROR(IF(VLOOKUP($B196,casostestes[#Data],9)=0,"-",VLOOKUP($B196,casostestes[#Data],9)),"-")</f>
        <v>-</v>
      </c>
      <c r="K196" s="36"/>
      <c r="L196" s="45"/>
      <c r="M196" s="37"/>
      <c r="N196" s="38"/>
      <c r="O196" s="38"/>
      <c r="P196" s="39"/>
    </row>
    <row r="197" spans="2:16">
      <c r="B197" s="40" t="str">
        <f>IF(ISERR(casostestes[[#This Row],[ID]]),"-",casostestes[[#This Row],[ID]])</f>
        <v>-</v>
      </c>
      <c r="C197" s="34" t="str">
        <f>IFERROR(IF(VLOOKUP($B197,casostestes[#Data],10)=0,"Não",VLOOKUP($B197,casostestes[#Data],10)), "-")</f>
        <v>-</v>
      </c>
      <c r="D197" s="35" t="str">
        <f>IFERROR(IF(VLOOKUP($B197,casostestes[#Data],2)=0,"-",VLOOKUP($B197,casostestes[#Data],2)), "-")</f>
        <v>-</v>
      </c>
      <c r="E197" s="35" t="str">
        <f>IFERROR(IF(VLOOKUP($B197,casostestes[#Data],3)=0,"-",VLOOKUP($B197,casostestes[#Data],3)), "-")</f>
        <v>-</v>
      </c>
      <c r="F197" s="35" t="str">
        <f>IFERROR(IF(VLOOKUP($B197,casostestes[#Data],4)=0,"-",VLOOKUP($B197,casostestes[#Data],4)),"-")</f>
        <v>-</v>
      </c>
      <c r="G197" s="35" t="str">
        <f>IFERROR(IF(VLOOKUP($B197,casostestes[#Data],5)=0,"-",VLOOKUP($B197,casostestes[#Data],5)),"-")</f>
        <v>-</v>
      </c>
      <c r="H197" s="35" t="str">
        <f>IFERROR(IF(VLOOKUP($B197,casostestes[#Data],6)=0,"-",VLOOKUP($B197,casostestes[#Data],6)),"-")</f>
        <v>-</v>
      </c>
      <c r="I197" s="35" t="str">
        <f>IFERROR(IF(VLOOKUP($B197,casostestes[#Data],8)=0,"-",VLOOKUP($B197,casostestes[#Data],8)),"-")</f>
        <v>-</v>
      </c>
      <c r="J197" s="35" t="str">
        <f>IFERROR(IF(VLOOKUP($B197,casostestes[#Data],9)=0,"-",VLOOKUP($B197,casostestes[#Data],9)),"-")</f>
        <v>-</v>
      </c>
      <c r="K197" s="36"/>
      <c r="L197" s="45"/>
      <c r="M197" s="37"/>
      <c r="N197" s="38"/>
      <c r="O197" s="38"/>
      <c r="P197" s="39"/>
    </row>
    <row r="198" spans="2:16">
      <c r="B198" s="40" t="str">
        <f>IF(ISERR(casostestes[[#This Row],[ID]]),"-",casostestes[[#This Row],[ID]])</f>
        <v>-</v>
      </c>
      <c r="C198" s="34" t="str">
        <f>IFERROR(IF(VLOOKUP($B198,casostestes[#Data],10)=0,"Não",VLOOKUP($B198,casostestes[#Data],10)), "-")</f>
        <v>-</v>
      </c>
      <c r="D198" s="35" t="str">
        <f>IFERROR(IF(VLOOKUP($B198,casostestes[#Data],2)=0,"-",VLOOKUP($B198,casostestes[#Data],2)), "-")</f>
        <v>-</v>
      </c>
      <c r="E198" s="35" t="str">
        <f>IFERROR(IF(VLOOKUP($B198,casostestes[#Data],3)=0,"-",VLOOKUP($B198,casostestes[#Data],3)), "-")</f>
        <v>-</v>
      </c>
      <c r="F198" s="35" t="str">
        <f>IFERROR(IF(VLOOKUP($B198,casostestes[#Data],4)=0,"-",VLOOKUP($B198,casostestes[#Data],4)),"-")</f>
        <v>-</v>
      </c>
      <c r="G198" s="35" t="str">
        <f>IFERROR(IF(VLOOKUP($B198,casostestes[#Data],5)=0,"-",VLOOKUP($B198,casostestes[#Data],5)),"-")</f>
        <v>-</v>
      </c>
      <c r="H198" s="35" t="str">
        <f>IFERROR(IF(VLOOKUP($B198,casostestes[#Data],6)=0,"-",VLOOKUP($B198,casostestes[#Data],6)),"-")</f>
        <v>-</v>
      </c>
      <c r="I198" s="35" t="str">
        <f>IFERROR(IF(VLOOKUP($B198,casostestes[#Data],8)=0,"-",VLOOKUP($B198,casostestes[#Data],8)),"-")</f>
        <v>-</v>
      </c>
      <c r="J198" s="35" t="str">
        <f>IFERROR(IF(VLOOKUP($B198,casostestes[#Data],9)=0,"-",VLOOKUP($B198,casostestes[#Data],9)),"-")</f>
        <v>-</v>
      </c>
      <c r="K198" s="36"/>
      <c r="L198" s="45"/>
      <c r="M198" s="37"/>
      <c r="N198" s="38"/>
      <c r="O198" s="38"/>
      <c r="P198" s="39"/>
    </row>
    <row r="199" spans="2:16">
      <c r="B199" s="40" t="str">
        <f>IF(ISERR(casostestes[[#This Row],[ID]]),"-",casostestes[[#This Row],[ID]])</f>
        <v>-</v>
      </c>
      <c r="C199" s="41" t="str">
        <f>IFERROR(IF(VLOOKUP($B199,casostestes[#Data],10)=0,"Não",VLOOKUP($B199,casostestes[#Data],10)), "-")</f>
        <v>-</v>
      </c>
      <c r="D199" s="42" t="str">
        <f>IFERROR(IF(VLOOKUP($B199,casostestes[#Data],2)=0,"-",VLOOKUP($B199,casostestes[#Data],2)), "-")</f>
        <v>-</v>
      </c>
      <c r="E199" s="42" t="str">
        <f>IFERROR(IF(VLOOKUP($B199,casostestes[#Data],3)=0,"-",VLOOKUP($B199,casostestes[#Data],3)), "-")</f>
        <v>-</v>
      </c>
      <c r="F199" s="42" t="str">
        <f>IFERROR(IF(VLOOKUP($B199,casostestes[#Data],4)=0,"-",VLOOKUP($B199,casostestes[#Data],4)),"-")</f>
        <v>-</v>
      </c>
      <c r="G199" s="42" t="str">
        <f>IFERROR(IF(VLOOKUP($B199,casostestes[#Data],5)=0,"-",VLOOKUP($B199,casostestes[#Data],5)),"-")</f>
        <v>-</v>
      </c>
      <c r="H199" s="42" t="str">
        <f>IFERROR(IF(VLOOKUP($B199,casostestes[#Data],6)=0,"-",VLOOKUP($B199,casostestes[#Data],6)),"-")</f>
        <v>-</v>
      </c>
      <c r="I199" s="42" t="str">
        <f>IFERROR(IF(VLOOKUP($B199,casostestes[#Data],8)=0,"-",VLOOKUP($B199,casostestes[#Data],8)),"-")</f>
        <v>-</v>
      </c>
      <c r="J199" s="42" t="str">
        <f>IFERROR(IF(VLOOKUP($B199,casostestes[#Data],9)=0,"-",VLOOKUP($B199,casostestes[#Data],9)),"-")</f>
        <v>-</v>
      </c>
      <c r="K199" s="43"/>
      <c r="L199" s="45"/>
      <c r="M199" s="44"/>
      <c r="N199" s="45"/>
      <c r="O199" s="45"/>
      <c r="P199" s="46"/>
    </row>
  </sheetData>
  <mergeCells count="3">
    <mergeCell ref="B1:J1"/>
    <mergeCell ref="B2:J2"/>
    <mergeCell ref="B3:J3"/>
  </mergeCells>
  <conditionalFormatting sqref="C8:C199">
    <cfRule type="cellIs" dxfId="237" priority="6" operator="equal">
      <formula>"Sim"</formula>
    </cfRule>
    <cfRule type="cellIs" dxfId="236" priority="7" operator="equal">
      <formula>"Não"</formula>
    </cfRule>
  </conditionalFormatting>
  <conditionalFormatting sqref="C200:D1048576">
    <cfRule type="cellIs" dxfId="235" priority="13" operator="equal">
      <formula>"Sim"</formula>
    </cfRule>
    <cfRule type="cellIs" dxfId="234" priority="14" operator="equal">
      <formula>"Não"</formula>
    </cfRule>
  </conditionalFormatting>
  <conditionalFormatting sqref="M8:M199">
    <cfRule type="cellIs" dxfId="233" priority="1" operator="equal">
      <formula>"Sem massa"</formula>
    </cfRule>
    <cfRule type="cellIs" dxfId="232" priority="2" operator="equal">
      <formula>"Pendência Externa"</formula>
    </cfRule>
    <cfRule type="cellIs" dxfId="231" priority="3" operator="equal">
      <formula>"Disponível para reteste"</formula>
    </cfRule>
    <cfRule type="cellIs" dxfId="230" priority="4" operator="equal">
      <formula>"Reprovado"</formula>
    </cfRule>
    <cfRule type="cellIs" dxfId="229" priority="5" operator="equal">
      <formula>"Aprovado"</formula>
    </cfRule>
  </conditionalFormatting>
  <dataValidations count="1">
    <dataValidation type="list" allowBlank="1" showInputMessage="1" showErrorMessage="1" sqref="M8:M199" xr:uid="{E9842C07-7C0F-4063-9662-FE2133015DFA}">
      <formula1>INDIRECT("status[status]")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88B05-EC96-447F-800C-30FC74635ED5}">
  <sheetPr>
    <tabColor theme="9" tint="0.79998168889431442"/>
  </sheetPr>
  <dimension ref="A1:P200"/>
  <sheetViews>
    <sheetView showGridLines="0" zoomScaleNormal="100" workbookViewId="0">
      <pane xSplit="5" ySplit="7" topLeftCell="J8" activePane="bottomRight" state="frozen"/>
      <selection pane="bottomRight" activeCell="N9" sqref="N9"/>
      <selection pane="bottomLeft" activeCell="E11" sqref="E11"/>
      <selection pane="topRight" activeCell="E11" sqref="E11"/>
    </sheetView>
  </sheetViews>
  <sheetFormatPr defaultColWidth="9.140625" defaultRowHeight="15"/>
  <cols>
    <col min="1" max="1" width="2.7109375" style="14" hidden="1" customWidth="1"/>
    <col min="2" max="2" width="5.140625" style="14" customWidth="1"/>
    <col min="3" max="3" width="7.5703125" style="14" customWidth="1"/>
    <col min="4" max="4" width="13.28515625" style="14" customWidth="1"/>
    <col min="5" max="5" width="57.42578125" style="14" customWidth="1"/>
    <col min="6" max="6" width="10.5703125" style="14" customWidth="1"/>
    <col min="7" max="7" width="13.5703125" style="14" customWidth="1"/>
    <col min="8" max="8" width="57.42578125" style="14" customWidth="1"/>
    <col min="9" max="9" width="8.85546875" style="14" hidden="1" customWidth="1"/>
    <col min="10" max="10" width="88.42578125" style="14" customWidth="1"/>
    <col min="11" max="11" width="18" style="14" customWidth="1"/>
    <col min="12" max="12" width="20.5703125" style="14" customWidth="1"/>
    <col min="13" max="13" width="21.85546875" style="14" customWidth="1"/>
    <col min="14" max="14" width="63" style="14" customWidth="1"/>
    <col min="15" max="15" width="24.85546875" style="14" customWidth="1"/>
    <col min="16" max="16" width="22.42578125" style="14" customWidth="1"/>
    <col min="17" max="16384" width="9.140625" style="14"/>
  </cols>
  <sheetData>
    <row r="1" spans="2:16" ht="26.25" hidden="1">
      <c r="B1" s="106" t="s">
        <v>0</v>
      </c>
      <c r="C1" s="106"/>
      <c r="D1" s="106"/>
      <c r="E1" s="106"/>
      <c r="F1" s="106"/>
      <c r="G1" s="106"/>
      <c r="H1" s="106"/>
      <c r="I1" s="106"/>
      <c r="J1" s="106"/>
      <c r="K1" s="19"/>
      <c r="L1" s="19"/>
    </row>
    <row r="2" spans="2:16" s="21" customFormat="1" ht="23.25" hidden="1">
      <c r="B2" s="107" t="s">
        <v>1</v>
      </c>
      <c r="C2" s="107"/>
      <c r="D2" s="107"/>
      <c r="E2" s="107"/>
      <c r="F2" s="107"/>
      <c r="G2" s="107"/>
      <c r="H2" s="107"/>
      <c r="I2" s="107"/>
      <c r="J2" s="107"/>
      <c r="K2" s="20"/>
      <c r="L2" s="20"/>
    </row>
    <row r="3" spans="2:16" s="21" customFormat="1" ht="23.25" hidden="1">
      <c r="B3" s="107" t="s">
        <v>2</v>
      </c>
      <c r="C3" s="107"/>
      <c r="D3" s="107"/>
      <c r="E3" s="107"/>
      <c r="F3" s="107"/>
      <c r="G3" s="107"/>
      <c r="H3" s="107"/>
      <c r="I3" s="107"/>
      <c r="J3" s="107"/>
      <c r="K3" s="20"/>
      <c r="L3" s="20"/>
    </row>
    <row r="4" spans="2:16" hidden="1"/>
    <row r="5" spans="2:16" hidden="1">
      <c r="B5" s="3"/>
      <c r="E5" s="3"/>
    </row>
    <row r="6" spans="2:16" hidden="1"/>
    <row r="7" spans="2:16" s="3" customFormat="1">
      <c r="B7" s="15" t="s">
        <v>3</v>
      </c>
      <c r="C7" s="16" t="s">
        <v>4</v>
      </c>
      <c r="D7" s="16" t="s">
        <v>5</v>
      </c>
      <c r="E7" s="17" t="s">
        <v>6</v>
      </c>
      <c r="F7" s="17" t="s">
        <v>7</v>
      </c>
      <c r="G7" s="17" t="s">
        <v>8</v>
      </c>
      <c r="H7" s="17" t="s">
        <v>9</v>
      </c>
      <c r="I7" s="17" t="s">
        <v>10</v>
      </c>
      <c r="J7" s="17" t="s">
        <v>11</v>
      </c>
      <c r="K7" s="17" t="s">
        <v>12</v>
      </c>
      <c r="L7" s="17" t="s">
        <v>13</v>
      </c>
      <c r="M7" s="17" t="s">
        <v>14</v>
      </c>
      <c r="N7" s="17" t="s">
        <v>15</v>
      </c>
      <c r="O7" s="17" t="s">
        <v>16</v>
      </c>
      <c r="P7" s="18" t="s">
        <v>17</v>
      </c>
    </row>
    <row r="8" spans="2:16" s="13" customFormat="1" ht="105">
      <c r="B8" s="34">
        <f>IF(ISERR(casostestes[[#This Row],[ID]]),"-",casostestes[[#This Row],[ID]])</f>
        <v>1</v>
      </c>
      <c r="C8" s="34" t="str">
        <f>IFERROR(IF(VLOOKUP($B8,casostestes[#Data],10)=0,"Não",VLOOKUP($B8,casostestes[#Data],10)), "-")</f>
        <v>Sim</v>
      </c>
      <c r="D8" s="35" t="str">
        <f>IFERROR(IF(VLOOKUP($B8,casostestes[#Data],2)=0,"-",VLOOKUP($B8,casostestes[#Data],2)), "-")</f>
        <v>Requerimento Inicial de BI</v>
      </c>
      <c r="E8" s="35" t="str">
        <f>IFERROR(IF(VLOOKUP($B8,casostestes[#Data],3)=0,"-",VLOOKUP($B8,casostestes[#Data],3)), "-")</f>
        <v>6
Criação de tarefa de BI inicial com fluxo ATESTMED para categoria DIFERENTE de Segurado Especial COM exigência de preenchimento da AD.
Premissas:
Catálogo: Exige autodeclaração = ATIVADO
Parâmetro:  144 - Fluxo ATESTMED = LIGADO</v>
      </c>
      <c r="F8" s="35" t="str">
        <f>IFERROR(IF(VLOOKUP($B8,casostestes[#Data],4)=0,"-",VLOOKUP($B8,casostestes[#Data],4)),"-")</f>
        <v>Central 135</v>
      </c>
      <c r="G8" s="35" t="str">
        <f>IFERROR(IF(VLOOKUP($B8,casostestes[#Data],5)=0,"-",VLOOKUP($B8,casostestes[#Data],5)),"-")</f>
        <v>ATENDENTE_CENTRAL_135</v>
      </c>
      <c r="H8" s="35" t="str">
        <f>IFERROR(IF(VLOOKUP($B8,casostestes[#Data],6)=0,"-",VLOOKUP($B8,casostestes[#Data],6)),"-")</f>
        <v>1. Logar no Portal do Atendimento INSS com o perfil do caso de teste
2. Criar tarefa de BI informando:
- Tipo de Incapacidade? "Temporário"
- A pessoa está presa?  "Não"
- Categoria do trabalhador "Desempregado" ...
- A pessoa ficou sem trabalhar? "Sim"</v>
      </c>
      <c r="I8" s="35" t="str">
        <f>IFERROR(IF(VLOOKUP($B8,casostestes[#Data],8)=0,"-",VLOOKUP($B8,casostestes[#Data],8)),"-")</f>
        <v>-</v>
      </c>
      <c r="J8" s="35" t="str">
        <f>IFERROR(IF(VLOOKUP($B8,casostestes[#Data],9)=0,"-",VLOOKUP($B8,casostestes[#Data],9)),"-")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8" s="36">
        <v>46251</v>
      </c>
      <c r="L8" s="38">
        <v>25572427993</v>
      </c>
      <c r="M8" s="37" t="s">
        <v>22</v>
      </c>
      <c r="N8" s="38"/>
      <c r="O8" s="38"/>
      <c r="P8" s="39"/>
    </row>
    <row r="9" spans="2:16" ht="240">
      <c r="B9" s="40">
        <f>IF(ISERR(casostestes[[#This Row],[ID]]),"-",casostestes[[#This Row],[ID]])</f>
        <v>2</v>
      </c>
      <c r="C9" s="41" t="str">
        <f>IFERROR(IF(VLOOKUP($B9,casostestes[#Data],10)=0,"Não",VLOOKUP($B9,casostestes[#Data],10)), "-")</f>
        <v>Sim</v>
      </c>
      <c r="D9" s="42" t="str">
        <f>IFERROR(IF(VLOOKUP($B9,casostestes[#Data],2)=0,"-",VLOOKUP($B9,casostestes[#Data],2)), "-")</f>
        <v>Integração</v>
      </c>
      <c r="E9" s="42" t="str">
        <f>IFERROR(IF(VLOOKUP($B9,casostestes[#Data],3)=0,"-",VLOOKUP($B9,casostestes[#Data],3)), "-")</f>
        <v>12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9" s="42" t="str">
        <f>IFERROR(IF(VLOOKUP($B9,casostestes[#Data],4)=0,"-",VLOOKUP($B9,casostestes[#Data],4)),"-")</f>
        <v>PAT</v>
      </c>
      <c r="G9" s="42" t="str">
        <f>IFERROR(IF(VLOOKUP($B9,casostestes[#Data],5)=0,"-",VLOOKUP($B9,casostestes[#Data],5)),"-")</f>
        <v>SERVIDOR</v>
      </c>
      <c r="H9" s="42" t="str">
        <f>IFERROR(IF(VLOOKUP($B9,casostestes[#Data],6)=0,"-",VLOOKUP($B9,casostestes[#Data],6)),"-")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9" s="42" t="str">
        <f>IFERROR(IF(VLOOKUP($B9,casostestes[#Data],8)=0,"-",VLOOKUP($B9,casostestes[#Data],8)),"-")</f>
        <v>-</v>
      </c>
      <c r="J9" s="42" t="str">
        <f>IFERROR(IF(VLOOKUP($B9,casostestes[#Data],9)=0,"-",VLOOKUP($B9,casostestes[#Data],9)),"-")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9" s="43">
        <v>46251</v>
      </c>
      <c r="L9" s="92" t="s">
        <v>199</v>
      </c>
      <c r="M9" s="44" t="s">
        <v>22</v>
      </c>
      <c r="N9" s="45" t="s">
        <v>200</v>
      </c>
      <c r="O9" s="45"/>
      <c r="P9" s="46"/>
    </row>
    <row r="10" spans="2:16" ht="213">
      <c r="B10" s="40">
        <f>IF(ISERR(casostestes[[#This Row],[ID]]),"-",casostestes[[#This Row],[ID]])</f>
        <v>3</v>
      </c>
      <c r="C10" s="34" t="str">
        <f>IFERROR(IF(VLOOKUP($B10,casostestes[#Data],10)=0,"Não",VLOOKUP($B10,casostestes[#Data],10)), "-")</f>
        <v>Sim</v>
      </c>
      <c r="D10" s="35" t="str">
        <f>IFERROR(IF(VLOOKUP($B10,casostestes[#Data],2)=0,"-",VLOOKUP($B10,casostestes[#Data],2)), "-")</f>
        <v>Integração</v>
      </c>
      <c r="E10" s="35" t="str">
        <f>IFERROR(IF(VLOOKUP($B10,casostestes[#Data],3)=0,"-",VLOOKUP($B10,casostestes[#Data],3)), "-")</f>
        <v>13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10" s="35" t="str">
        <f>IFERROR(IF(VLOOKUP($B10,casostestes[#Data],4)=0,"-",VLOOKUP($B10,casostestes[#Data],4)),"-")</f>
        <v>PAT</v>
      </c>
      <c r="G10" s="35" t="str">
        <f>IFERROR(IF(VLOOKUP($B10,casostestes[#Data],5)=0,"-",VLOOKUP($B10,casostestes[#Data],5)),"-")</f>
        <v>SERVIDOR</v>
      </c>
      <c r="H10" s="35" t="str">
        <f>IFERROR(IF(VLOOKUP($B10,casostestes[#Data],6)=0,"-",VLOOKUP($B10,casostestes[#Data],6)),"-")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10" s="35" t="str">
        <f>IFERROR(IF(VLOOKUP($B10,casostestes[#Data],8)=0,"-",VLOOKUP($B10,casostestes[#Data],8)),"-")</f>
        <v>-</v>
      </c>
      <c r="J10" s="35" t="str">
        <f>IFERROR(IF(VLOOKUP($B10,casostestes[#Data],9)=0,"-",VLOOKUP($B10,casostestes[#Data],9)),"-")</f>
        <v>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</v>
      </c>
      <c r="K10" s="36">
        <v>46252</v>
      </c>
      <c r="L10" s="92" t="s">
        <v>201</v>
      </c>
      <c r="M10" s="37" t="s">
        <v>27</v>
      </c>
      <c r="N10" s="91" t="s">
        <v>202</v>
      </c>
      <c r="O10" s="38" t="s">
        <v>203</v>
      </c>
      <c r="P10" s="39"/>
    </row>
    <row r="11" spans="2:16" ht="275.25">
      <c r="B11" s="40">
        <f>IF(ISERR(casostestes[[#This Row],[ID]]),"-",casostestes[[#This Row],[ID]])</f>
        <v>4</v>
      </c>
      <c r="C11" s="34" t="str">
        <f>IFERROR(IF(VLOOKUP($B11,casostestes[#Data],10)=0,"Não",VLOOKUP($B11,casostestes[#Data],10)), "-")</f>
        <v>Sim</v>
      </c>
      <c r="D11" s="35" t="str">
        <f>IFERROR(IF(VLOOKUP($B11,casostestes[#Data],2)=0,"-",VLOOKUP($B11,casostestes[#Data],2)), "-")</f>
        <v>Integração</v>
      </c>
      <c r="E11" s="35" t="str">
        <f>IFERROR(IF(VLOOKUP($B11,casostestes[#Data],3)=0,"-",VLOOKUP($B11,casostestes[#Data],3)), "-")</f>
        <v>16
Cumprir a exigência de autodeclaração</v>
      </c>
      <c r="F11" s="35" t="str">
        <f>IFERROR(IF(VLOOKUP($B11,casostestes[#Data],4)=0,"-",VLOOKUP($B11,casostestes[#Data],4)),"-")</f>
        <v>PAT</v>
      </c>
      <c r="G11" s="35" t="str">
        <f>IFERROR(IF(VLOOKUP($B11,casostestes[#Data],5)=0,"-",VLOOKUP($B11,casostestes[#Data],5)),"-")</f>
        <v>SERVIDOR</v>
      </c>
      <c r="H11" s="35" t="str">
        <f>IFERROR(IF(VLOOKUP($B11,casostestes[#Data],6)=0,"-",VLOOKUP($B11,casostestes[#Data],6)),"-")</f>
        <v>1. Logar no Portal do Atendimento INSS com o perfil Servidor
2.Consultar uma tarefa em exigência de autodeclaração e acionar Cumprir Exigência  
3. Responder o formulário de autodeclaração até o final</v>
      </c>
      <c r="I11" s="35" t="str">
        <f>IFERROR(IF(VLOOKUP($B11,casostestes[#Data],8)=0,"-",VLOOKUP($B11,casostestes[#Data],8)),"-")</f>
        <v>-</v>
      </c>
      <c r="J11" s="35" t="str">
        <f>IFERROR(IF(VLOOKUP($B11,casostestes[#Data],9)=0,"-",VLOOKUP($B11,casostestes[#Data],9)),"-")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11" s="36">
        <v>46252</v>
      </c>
      <c r="L11" s="45">
        <v>10000003115</v>
      </c>
      <c r="M11" s="37" t="s">
        <v>27</v>
      </c>
      <c r="N11" s="38" t="s">
        <v>204</v>
      </c>
      <c r="O11" s="38"/>
      <c r="P11" s="39"/>
    </row>
    <row r="12" spans="2:16" ht="165">
      <c r="B12" s="40">
        <f>IF(ISERR(casostestes[[#This Row],[ID]]),"-",casostestes[[#This Row],[ID]])</f>
        <v>5</v>
      </c>
      <c r="C12" s="34" t="str">
        <f>IFERROR(IF(VLOOKUP($B12,casostestes[#Data],10)=0,"Não",VLOOKUP($B12,casostestes[#Data],10)), "-")</f>
        <v>Sim</v>
      </c>
      <c r="D12" s="35" t="str">
        <f>IFERROR(IF(VLOOKUP($B12,casostestes[#Data],2)=0,"-",VLOOKUP($B12,casostestes[#Data],2)), "-")</f>
        <v>Integração</v>
      </c>
      <c r="E12" s="35" t="str">
        <f>IFERROR(IF(VLOOKUP($B12,casostestes[#Data],3)=0,"-",VLOOKUP($B12,casostestes[#Data],3)), "-")</f>
        <v>17
Responder o formulário de autodeclaração acessando diretamente a aba segurado especial ao detalhar a tarefa, onde a tarefa encontra-se em exigência de autodeclaração</v>
      </c>
      <c r="F12" s="35" t="str">
        <f>IFERROR(IF(VLOOKUP($B12,casostestes[#Data],4)=0,"-",VLOOKUP($B12,casostestes[#Data],4)),"-")</f>
        <v>PAT</v>
      </c>
      <c r="G12" s="35" t="str">
        <f>IFERROR(IF(VLOOKUP($B12,casostestes[#Data],5)=0,"-",VLOOKUP($B12,casostestes[#Data],5)),"-")</f>
        <v>SERVIDOR</v>
      </c>
      <c r="H12" s="35" t="str">
        <f>IFERROR(IF(VLOOKUP($B12,casostestes[#Data],6)=0,"-",VLOOKUP($B12,casostestes[#Data],6)),"-")</f>
        <v>1. Logar no Portal do Atendimento INSS com o perfil Servidor
2.Consultar uma tarefa em exigência de autodeclaração 
3. Acionar a aba Segurado especial
3. Responder o formulário de autodeclaração até o final</v>
      </c>
      <c r="I12" s="35" t="str">
        <f>IFERROR(IF(VLOOKUP($B12,casostestes[#Data],8)=0,"-",VLOOKUP($B12,casostestes[#Data],8)),"-")</f>
        <v>-</v>
      </c>
      <c r="J12" s="35" t="str">
        <f>IFERROR(IF(VLOOKUP($B12,casostestes[#Data],9)=0,"-",VLOOKUP($B12,casostestes[#Data],9)),"-")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12" s="36">
        <v>46252</v>
      </c>
      <c r="L12" s="45">
        <v>10000007374</v>
      </c>
      <c r="M12" s="37" t="s">
        <v>22</v>
      </c>
      <c r="N12" s="38"/>
      <c r="O12" s="38"/>
      <c r="P12" s="39"/>
    </row>
    <row r="13" spans="2:16" ht="264" customHeight="1">
      <c r="B13" s="40">
        <f>IF(ISERR(casostestes[[#This Row],[ID]]),"-",casostestes[[#This Row],[ID]])</f>
        <v>6</v>
      </c>
      <c r="C13" s="34" t="str">
        <f>IFERROR(IF(VLOOKUP($B13,casostestes[#Data],10)=0,"Não",VLOOKUP($B13,casostestes[#Data],10)), "-")</f>
        <v>Sim</v>
      </c>
      <c r="D13" s="35" t="str">
        <f>IFERROR(IF(VLOOKUP($B13,casostestes[#Data],2)=0,"-",VLOOKUP($B13,casostestes[#Data],2)), "-")</f>
        <v>Integração</v>
      </c>
      <c r="E13" s="35" t="str">
        <f>IFERROR(IF(VLOOKUP($B13,casostestes[#Data],3)=0,"-",VLOOKUP($B13,casostestes[#Data],3)), "-")</f>
        <v>18
Responder o formulário de autodeclaração acessando diretamente a aba segurado especial ao detalhar a tarefa, onde a tarefa encontra-se em exigência de documento médico</v>
      </c>
      <c r="F13" s="35" t="str">
        <f>IFERROR(IF(VLOOKUP($B13,casostestes[#Data],4)=0,"-",VLOOKUP($B13,casostestes[#Data],4)),"-")</f>
        <v>PAT</v>
      </c>
      <c r="G13" s="35" t="str">
        <f>IFERROR(IF(VLOOKUP($B13,casostestes[#Data],5)=0,"-",VLOOKUP($B13,casostestes[#Data],5)),"-")</f>
        <v>SERVIDOR</v>
      </c>
      <c r="H13" s="35" t="str">
        <f>IFERROR(IF(VLOOKUP($B13,casostestes[#Data],6)=0,"-",VLOOKUP($B13,casostestes[#Data],6)),"-")</f>
        <v>1. Logar no Portal do Atendimento INSS com o perfil Servidor
2.Consultar uma tarefa em exigência de documento médico
3. Acionar a aba Segurado especial
3. Responder o formulário de autodeclaração até o final</v>
      </c>
      <c r="I13" s="35" t="str">
        <f>IFERROR(IF(VLOOKUP($B13,casostestes[#Data],8)=0,"-",VLOOKUP($B13,casostestes[#Data],8)),"-")</f>
        <v>-</v>
      </c>
      <c r="J13" s="35" t="str">
        <f>IFERROR(IF(VLOOKUP($B13,casostestes[#Data],9)=0,"-",VLOOKUP($B13,casostestes[#Data],9)),"-")</f>
        <v xml:space="preserve">
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13" s="36">
        <v>46252</v>
      </c>
      <c r="L13" s="45">
        <v>10000007293</v>
      </c>
      <c r="M13" s="37" t="s">
        <v>22</v>
      </c>
      <c r="N13" s="38" t="s">
        <v>205</v>
      </c>
      <c r="O13" s="38" t="s">
        <v>206</v>
      </c>
      <c r="P13" s="39"/>
    </row>
    <row r="14" spans="2:16" ht="244.5">
      <c r="B14" s="40">
        <f>IF(ISERR(casostestes[[#This Row],[ID]]),"-",casostestes[[#This Row],[ID]])</f>
        <v>7</v>
      </c>
      <c r="C14" s="34" t="str">
        <f>IFERROR(IF(VLOOKUP($B14,casostestes[#Data],10)=0,"Não",VLOOKUP($B14,casostestes[#Data],10)), "-")</f>
        <v>Sim</v>
      </c>
      <c r="D14" s="35" t="str">
        <f>IFERROR(IF(VLOOKUP($B14,casostestes[#Data],2)=0,"-",VLOOKUP($B14,casostestes[#Data],2)), "-")</f>
        <v>Integração</v>
      </c>
      <c r="E14" s="35" t="str">
        <f>IFERROR(IF(VLOOKUP($B14,casostestes[#Data],3)=0,"-",VLOOKUP($B14,casostestes[#Data],3)), "-")</f>
        <v>19
Criar tarefa de BI inicial fluxo ATESTMEDQ para categoria "Segurado especial" onde o parâmetro "Exige Autodeclaração" no Catálogo está ATIVADO,  NÃO foi respondida a autodeclaração, NÃO foi incluído o anexo detalhado de AD e cidadão está preso
**Parâmetro PAT ligado: 144 - Fluxo ATESTMEDQ</v>
      </c>
      <c r="F14" s="35" t="str">
        <f>IFERROR(IF(VLOOKUP($B14,casostestes[#Data],4)=0,"-",VLOOKUP($B14,casostestes[#Data],4)),"-")</f>
        <v>PAT</v>
      </c>
      <c r="G14" s="35" t="str">
        <f>IFERROR(IF(VLOOKUP($B14,casostestes[#Data],5)=0,"-",VLOOKUP($B14,casostestes[#Data],5)),"-")</f>
        <v>SERVIDOR</v>
      </c>
      <c r="H14" s="35" t="str">
        <f>IFERROR(IF(VLOOKUP($B14,casostestes[#Data],6)=0,"-",VLOOKUP($B14,casostestes[#Data],6)),"-")</f>
        <v xml:space="preserve">1. Logar no Portal do Atendimento INSS com o perfil do caso de teste
2.Criar tarefa de BI informando:
Tipo de Incapacidade? "Temporária "
A pessoa está presa?  Sim
Categoria do trabalhador "Segurado Especial"
A pessoa ficou sem trabalhar? Sim
3. NÃO Informar anexo detalhado de autodeclaração
4. NÃO responder o formulário de autodeclaração
</v>
      </c>
      <c r="I14" s="35" t="str">
        <f>IFERROR(IF(VLOOKUP($B14,casostestes[#Data],8)=0,"-",VLOOKUP($B14,casostestes[#Data],8)),"-")</f>
        <v>-</v>
      </c>
      <c r="J14" s="35" t="str">
        <f>IFERROR(IF(VLOOKUP($B14,casostestes[#Data],9)=0,"-",VLOOKUP($B14,casostestes[#Data],9)),"-")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14" s="36">
        <v>46252</v>
      </c>
      <c r="L14" s="45">
        <v>67330216925</v>
      </c>
      <c r="M14" s="37" t="s">
        <v>22</v>
      </c>
      <c r="N14" s="38" t="s">
        <v>207</v>
      </c>
      <c r="O14" s="38" t="s">
        <v>206</v>
      </c>
      <c r="P14" s="39"/>
    </row>
    <row r="15" spans="2:16" ht="244.5">
      <c r="B15" s="40">
        <f>IF(ISERR(casostestes[[#This Row],[ID]]),"-",casostestes[[#This Row],[ID]])</f>
        <v>8</v>
      </c>
      <c r="C15" s="34" t="str">
        <f>IFERROR(IF(VLOOKUP($B15,casostestes[#Data],10)=0,"Não",VLOOKUP($B15,casostestes[#Data],10)), "-")</f>
        <v>Sim</v>
      </c>
      <c r="D15" s="35" t="str">
        <f>IFERROR(IF(VLOOKUP($B15,casostestes[#Data],2)=0,"-",VLOOKUP($B15,casostestes[#Data],2)), "-")</f>
        <v>Integração</v>
      </c>
      <c r="E15" s="35" t="str">
        <f>IFERROR(IF(VLOOKUP($B15,casostestes[#Data],3)=0,"-",VLOOKUP($B15,casostestes[#Data],3)), "-")</f>
        <v>20
Criar tarefa de BI inicial fluxo ATESTMEDQ para categoria "Segurado especial" onde o parâmetro "Exige Autodeclaração" no Catálogo está ATIVADO,  NÃO foi respondida a autodeclaração, NÃO foi incluído o anexo detalhado de AD e cidadão ficou sem trabalhar
**Parâmetro PAT ligado: 144 - Fluxo ATESTMEDQ</v>
      </c>
      <c r="F15" s="35" t="str">
        <f>IFERROR(IF(VLOOKUP($B15,casostestes[#Data],4)=0,"-",VLOOKUP($B15,casostestes[#Data],4)),"-")</f>
        <v>PAT</v>
      </c>
      <c r="G15" s="35" t="str">
        <f>IFERROR(IF(VLOOKUP($B15,casostestes[#Data],5)=0,"-",VLOOKUP($B15,casostestes[#Data],5)),"-")</f>
        <v>SERVIDOR</v>
      </c>
      <c r="H15" s="35" t="str">
        <f>IFERROR(IF(VLOOKUP($B15,casostestes[#Data],6)=0,"-",VLOOKUP($B15,casostestes[#Data],6)),"-")</f>
        <v xml:space="preserve">1. Logar no Portal do Atendimento INSS com o perfil do caso de teste
2.Criar tarefa de BI informando:
Tipo de Incapacidade? "Temporária "
A pessoa está presa?  Não
Categoria do trabalhador "Segurado Especial"
A pessoa ficou sem trabalhar? Não
3. Informar anexo detalhado de autodeclaração
4. NÃO responder o formulário de autodeclaração
</v>
      </c>
      <c r="I15" s="35" t="str">
        <f>IFERROR(IF(VLOOKUP($B15,casostestes[#Data],8)=0,"-",VLOOKUP($B15,casostestes[#Data],8)),"-")</f>
        <v>-</v>
      </c>
      <c r="J15" s="35" t="str">
        <f>IFERROR(IF(VLOOKUP($B15,casostestes[#Data],9)=0,"-",VLOOKUP($B15,casostestes[#Data],9)),"-")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15" s="36">
        <v>46253</v>
      </c>
      <c r="L15" s="92">
        <v>40883857995</v>
      </c>
      <c r="M15" s="37" t="s">
        <v>35</v>
      </c>
      <c r="N15" s="105" t="s">
        <v>208</v>
      </c>
      <c r="O15" s="38" t="s">
        <v>209</v>
      </c>
      <c r="P15" s="39"/>
    </row>
    <row r="16" spans="2:16" ht="321">
      <c r="B16" s="40">
        <f>IF(ISERR(casostestes[[#This Row],[ID]]),"-",casostestes[[#This Row],[ID]])</f>
        <v>9</v>
      </c>
      <c r="C16" s="34" t="str">
        <f>IFERROR(IF(VLOOKUP($B16,casostestes[#Data],10)=0,"Não",VLOOKUP($B16,casostestes[#Data],10)), "-")</f>
        <v>Sim</v>
      </c>
      <c r="D16" s="35" t="str">
        <f>IFERROR(IF(VLOOKUP($B16,casostestes[#Data],2)=0,"-",VLOOKUP($B16,casostestes[#Data],2)), "-")</f>
        <v>Integração</v>
      </c>
      <c r="E16" s="35" t="str">
        <f>IFERROR(IF(VLOOKUP($B16,casostestes[#Data],3)=0,"-",VLOOKUP($B16,casostestes[#Data],3)), "-")</f>
        <v>21
Criar tarefa de BI inicial fluxo ATESTMEDQ para categoria "Segurado especial" onde o parâmetro "Exige Autodeclaração" no Catálogo está ATIVADO,  NÃO foi respondida a autodeclaração e foi incluído o anexo detalhado de AD
**Parâmetro PAT ligado: 144 - Fluxo ATESTMEDQ</v>
      </c>
      <c r="F16" s="35" t="str">
        <f>IFERROR(IF(VLOOKUP($B16,casostestes[#Data],4)=0,"-",VLOOKUP($B16,casostestes[#Data],4)),"-")</f>
        <v>PAT</v>
      </c>
      <c r="G16" s="35" t="str">
        <f>IFERROR(IF(VLOOKUP($B16,casostestes[#Data],5)=0,"-",VLOOKUP($B16,casostestes[#Data],5)),"-")</f>
        <v>SERVIDOR</v>
      </c>
      <c r="H16" s="35" t="str">
        <f>IFERROR(IF(VLOOKUP($B16,casostestes[#Data],6)=0,"-",VLOOKUP($B16,casostestes[#Data],6)),"-")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Informar anexo detalhado de autodeclaração
4. NÃO responder o formulário de autodeclaração
Resultado 1
5.Alterar via banco de dados a data da exigência para (data atual - 36 dias)
Resultado 2</v>
      </c>
      <c r="I16" s="35" t="str">
        <f>IFERROR(IF(VLOOKUP($B16,casostestes[#Data],8)=0,"-",VLOOKUP($B16,casostestes[#Data],8)),"-")</f>
        <v>-</v>
      </c>
      <c r="J16" s="35" t="str">
        <f>IFERROR(IF(VLOOKUP($B16,casostestes[#Data],9)=0,"-",VLOOKUP($B16,casostestes[#Data],9)),"-")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2
Resultado 2 - Após alguns minutos:
Tarefa de BI com situação alterada para Pendente
Despacho incluído informando a operação ( fragmento de sigla  XXXXXXXXXX )
Divergência de autodeclaração (116) EXCLUÍDA da tarefa
Alguns minutos depois:
Status SIBE igual a AGUARDANDO ATESTADO 
Na opção  "Lista de Ocorrências", o json de integração com o SIBE deverá conter o campo "periodosPendentesSegEsp" com valor true.
</v>
      </c>
      <c r="K16" s="36">
        <v>46254</v>
      </c>
      <c r="L16" s="45">
        <v>45128431169</v>
      </c>
      <c r="M16" s="37" t="s">
        <v>35</v>
      </c>
      <c r="N16" s="38" t="s">
        <v>210</v>
      </c>
      <c r="O16" s="38"/>
      <c r="P16" s="39"/>
    </row>
    <row r="17" spans="2:16" ht="305.25">
      <c r="B17" s="40">
        <f>IF(ISERR(casostestes[[#This Row],[ID]]),"-",casostestes[[#This Row],[ID]])</f>
        <v>10</v>
      </c>
      <c r="C17" s="34" t="str">
        <f>IFERROR(IF(VLOOKUP($B17,casostestes[#Data],10)=0,"Não",VLOOKUP($B17,casostestes[#Data],10)), "-")</f>
        <v>Sim</v>
      </c>
      <c r="D17" s="35" t="str">
        <f>IFERROR(IF(VLOOKUP($B17,casostestes[#Data],2)=0,"-",VLOOKUP($B17,casostestes[#Data],2)), "-")</f>
        <v>Integração</v>
      </c>
      <c r="E17" s="35" t="str">
        <f>IFERROR(IF(VLOOKUP($B17,casostestes[#Data],3)=0,"-",VLOOKUP($B17,casostestes[#Data],3)), "-")</f>
        <v>22
Criar tarefa de BI inicial fluxo PRESENCIAL para categoria "Segurado especial" onde o parâmetro "Exige Autodeclaração" no Catálogo está ATIVADO, NÃO foi respondida a autodeclaração e NÃO foi incluído o anexo detalhado de AD
**Parâmetro PAT ligado: 144 - Fluxo ATESTMEDQ
**Parâmetro PAT ligado: 109 -Tipo de Incapacidade Permanente leva à Fluxo Presencial do Novo BI</v>
      </c>
      <c r="F17" s="35" t="str">
        <f>IFERROR(IF(VLOOKUP($B17,casostestes[#Data],4)=0,"-",VLOOKUP($B17,casostestes[#Data],4)),"-")</f>
        <v>PAT</v>
      </c>
      <c r="G17" s="35" t="str">
        <f>IFERROR(IF(VLOOKUP($B17,casostestes[#Data],5)=0,"-",VLOOKUP($B17,casostestes[#Data],5)),"-")</f>
        <v>SERVIDOR</v>
      </c>
      <c r="H17" s="35" t="str">
        <f>IFERROR(IF(VLOOKUP($B17,casostestes[#Data],6)=0,"-",VLOOKUP($B17,casostestes[#Data],6)),"-")</f>
        <v>1. Logar no Portal do Atendimento INSS com o perfil do caso de teste
2.Criar tarefa de BI informando:
Tipo de Incapacidade? "Permanente"
A pessoa está presa?  Não
Houve acidente de trabalho?  Não
Categoria do trabalhador "Segurado Especial"
A pessoa ficou sem trabalhar? Sim
3. NÃO informar anexo detalhado de autodeclaração
5. Realizar agendamento
6. NÃO responder o formulário de autodeclaração
Resultado 1 
7.Alterar via banco de dados a data da exigência para (data atual - 36 dias)
Resulado 2</v>
      </c>
      <c r="I17" s="35" t="str">
        <f>IFERROR(IF(VLOOKUP($B17,casostestes[#Data],8)=0,"-",VLOOKUP($B17,casostestes[#Data],8)),"-")</f>
        <v>-</v>
      </c>
      <c r="J17" s="35" t="str">
        <f>IFERROR(IF(VLOOKUP($B17,casostestes[#Data],9)=0,"-",VLOOKUP($B17,casostestes[#Data],9)),"-")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1
Resultado 2 - Após alguns minutos:
Tarefa de BI com situação alterada para Pendente
Despacho incluído informando a operação ( fragmento de sigla  XXXXXXXXXX )
Divergência de autodeclaração (116) EXCLUÍDA da tarefa
Alguns minutos depois:
Status SIBE igual a AGUARDANDO PERÍCIA
Na opção  "Lista de Ocorrências", o json de integração com o SIBE deverá conter o campo "periodosPendentesSegEsp" com valor null.
</v>
      </c>
      <c r="K17" s="36">
        <v>46254</v>
      </c>
      <c r="L17" s="45">
        <v>53285494301</v>
      </c>
      <c r="M17" s="37" t="s">
        <v>35</v>
      </c>
      <c r="N17" s="38" t="s">
        <v>210</v>
      </c>
      <c r="O17" s="38"/>
      <c r="P17" s="39"/>
    </row>
    <row r="18" spans="2:16" ht="106.5">
      <c r="B18" s="40">
        <f>IF(ISERR(casostestes[[#This Row],[ID]]),"-",casostestes[[#This Row],[ID]])</f>
        <v>11</v>
      </c>
      <c r="C18" s="34" t="str">
        <f>IFERROR(IF(VLOOKUP($B18,casostestes[#Data],10)=0,"Não",VLOOKUP($B18,casostestes[#Data],10)), "-")</f>
        <v>Sim</v>
      </c>
      <c r="D18" s="35" t="str">
        <f>IFERROR(IF(VLOOKUP($B18,casostestes[#Data],2)=0,"-",VLOOKUP($B18,casostestes[#Data],2)), "-")</f>
        <v>Requerimento Inicial de BI</v>
      </c>
      <c r="E18" s="35" t="str">
        <f>IFERROR(IF(VLOOKUP($B18,casostestes[#Data],3)=0,"-",VLOOKUP($B18,casostestes[#Data],3)), "-")</f>
        <v>24
Criar tarefa de BI inicial fluxo ATESTMEDQ para categoria diferente de "Segurado especial" onde o parâmetro "Exige Autodeclaração" no Catálogo está ATIVADO
**Parâmetro PAT ligado: 144 - Fluxo ATESTMEDQ</v>
      </c>
      <c r="F18" s="35" t="str">
        <f>IFERROR(IF(VLOOKUP($B18,casostestes[#Data],4)=0,"-",VLOOKUP($B18,casostestes[#Data],4)),"-")</f>
        <v>EC</v>
      </c>
      <c r="G18" s="35" t="str">
        <f>IFERROR(IF(VLOOKUP($B18,casostestes[#Data],5)=0,"-",VLOOKUP($B18,casostestes[#Data],5)),"-")</f>
        <v>ENTIDADE_CONVENIADA</v>
      </c>
      <c r="H18" s="35" t="str">
        <f>IFERROR(IF(VLOOKUP($B18,casostestes[#Data],6)=0,"-",VLOOKUP($B18,casostestes[#Data],6)),"-")</f>
        <v xml:space="preserve">1. Logar no Portal do Atendimento INSS com o perfil do caso de teste
2.Criar tarefa de BI informando:
Tipo de Incapacidade? "Temporária "
A pessoa está presa?  Não
Categoria do trabalhador diferente de "Segurado Especial"
</v>
      </c>
      <c r="I18" s="35" t="str">
        <f>IFERROR(IF(VLOOKUP($B18,casostestes[#Data],8)=0,"-",VLOOKUP($B18,casostestes[#Data],8)),"-")</f>
        <v>-</v>
      </c>
      <c r="J18" s="35" t="str">
        <f>IFERROR(IF(VLOOKUP($B18,casostestes[#Data],9)=0,"-",VLOOKUP($B18,casostestes[#Data],9)),"-")</f>
        <v>Tarefa de BI criada com situação Pendente.
Tarefa SEM Divergência de autodeclaração (116)
Status SIBE igual a FLUXO NÃO INICIADO 
DPT: Tarefa.Exige_autodeclaração = 0</v>
      </c>
      <c r="K18" s="36">
        <v>46254</v>
      </c>
      <c r="L18" s="45">
        <v>14287335821</v>
      </c>
      <c r="M18" s="37" t="s">
        <v>22</v>
      </c>
      <c r="N18" s="38" t="s">
        <v>211</v>
      </c>
      <c r="O18" s="38"/>
      <c r="P18" s="39"/>
    </row>
    <row r="19" spans="2:16" ht="244.5">
      <c r="B19" s="40">
        <f>IF(ISERR(casostestes[[#This Row],[ID]]),"-",casostestes[[#This Row],[ID]])</f>
        <v>12</v>
      </c>
      <c r="C19" s="34" t="str">
        <f>IFERROR(IF(VLOOKUP($B19,casostestes[#Data],10)=0,"Não",VLOOKUP($B19,casostestes[#Data],10)), "-")</f>
        <v>Sim</v>
      </c>
      <c r="D19" s="35" t="str">
        <f>IFERROR(IF(VLOOKUP($B19,casostestes[#Data],2)=0,"-",VLOOKUP($B19,casostestes[#Data],2)), "-")</f>
        <v>Integração</v>
      </c>
      <c r="E19" s="35" t="str">
        <f>IFERROR(IF(VLOOKUP($B19,casostestes[#Data],3)=0,"-",VLOOKUP($B19,casostestes[#Data],3)), "-")</f>
        <v>26
Criar tarefa de BI inicial fluxo ATESTMEDQ para categoria "Segurado especial" onde o parâmetro "Exige Autodeclaração" no Catálogo está ATIVADO e a autodeclaração tem período pendente
**Parâmetro PAT ligado: 144 - Fluxo ATESTMEDQ</v>
      </c>
      <c r="F19" s="35" t="str">
        <f>IFERROR(IF(VLOOKUP($B19,casostestes[#Data],4)=0,"-",VLOOKUP($B19,casostestes[#Data],4)),"-")</f>
        <v>EC</v>
      </c>
      <c r="G19" s="35" t="str">
        <f>IFERROR(IF(VLOOKUP($B19,casostestes[#Data],5)=0,"-",VLOOKUP($B19,casostestes[#Data],5)),"-")</f>
        <v>ENTIDADE_CONVENIADA</v>
      </c>
      <c r="H19" s="35" t="str">
        <f>IFERROR(IF(VLOOKUP($B19,casostestes[#Data],6)=0,"-",VLOOKUP($B19,casostestes[#Data],6)),"-")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Cumprir exigência de documentos obrigatórios
4. Responder formulário da autodeclaração</v>
      </c>
      <c r="I19" s="35" t="str">
        <f>IFERROR(IF(VLOOKUP($B19,casostestes[#Data],8)=0,"-",VLOOKUP($B19,casostestes[#Data],8)),"-")</f>
        <v>-</v>
      </c>
      <c r="J19" s="35" t="str">
        <f>IFERROR(IF(VLOOKUP($B19,casostestes[#Data],9)=0,"-",VLOOKUP($B19,casostestes[#Data],9)),"-")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19" s="36">
        <v>46254</v>
      </c>
      <c r="L19" s="45">
        <v>28190491768</v>
      </c>
      <c r="M19" s="37" t="s">
        <v>40</v>
      </c>
      <c r="N19" s="38" t="s">
        <v>212</v>
      </c>
      <c r="O19" s="38"/>
      <c r="P19" s="39"/>
    </row>
    <row r="20" spans="2:16" ht="240">
      <c r="B20" s="40">
        <f>IF(ISERR(casostestes[[#This Row],[ID]]),"-",casostestes[[#This Row],[ID]])</f>
        <v>13</v>
      </c>
      <c r="C20" s="34" t="str">
        <f>IFERROR(IF(VLOOKUP($B20,casostestes[#Data],10)=0,"Não",VLOOKUP($B20,casostestes[#Data],10)), "-")</f>
        <v>Sim</v>
      </c>
      <c r="D20" s="35" t="str">
        <f>IFERROR(IF(VLOOKUP($B20,casostestes[#Data],2)=0,"-",VLOOKUP($B20,casostestes[#Data],2)), "-")</f>
        <v>Integração</v>
      </c>
      <c r="E20" s="35" t="str">
        <f>IFERROR(IF(VLOOKUP($B20,casostestes[#Data],3)=0,"-",VLOOKUP($B20,casostestes[#Data],3)), "-")</f>
        <v>27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0" s="35" t="str">
        <f>IFERROR(IF(VLOOKUP($B20,casostestes[#Data],4)=0,"-",VLOOKUP($B20,casostestes[#Data],4)),"-")</f>
        <v>EC</v>
      </c>
      <c r="G20" s="35" t="str">
        <f>IFERROR(IF(VLOOKUP($B20,casostestes[#Data],5)=0,"-",VLOOKUP($B20,casostestes[#Data],5)),"-")</f>
        <v>ENTIDADE_CONVENIADA</v>
      </c>
      <c r="H20" s="35" t="str">
        <f>IFERROR(IF(VLOOKUP($B20,casostestes[#Data],6)=0,"-",VLOOKUP($B20,casostestes[#Data],6)),"-")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Cumprir exigência de documentos obrigatórios
4. Responder formulário da autodeclaração</v>
      </c>
      <c r="I20" s="35" t="str">
        <f>IFERROR(IF(VLOOKUP($B20,casostestes[#Data],8)=0,"-",VLOOKUP($B20,casostestes[#Data],8)),"-")</f>
        <v>-</v>
      </c>
      <c r="J20" s="35" t="str">
        <f>IFERROR(IF(VLOOKUP($B20,casostestes[#Data],9)=0,"-",VLOOKUP($B20,casostestes[#Data],9)),"-")</f>
        <v xml:space="preserve">
Tarefa de BI criada com situação Pendente.
Tarefa SEM Divergência de autodeclaração (116).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20" s="36"/>
      <c r="L20" s="45"/>
      <c r="M20" s="37"/>
      <c r="N20" s="38"/>
      <c r="O20" s="38"/>
      <c r="P20" s="39"/>
    </row>
    <row r="21" spans="2:16" ht="210">
      <c r="B21" s="40">
        <f>IF(ISERR(casostestes[[#This Row],[ID]]),"-",casostestes[[#This Row],[ID]])</f>
        <v>14</v>
      </c>
      <c r="C21" s="34" t="str">
        <f>IFERROR(IF(VLOOKUP($B21,casostestes[#Data],10)=0,"Não",VLOOKUP($B21,casostestes[#Data],10)), "-")</f>
        <v>Sim</v>
      </c>
      <c r="D21" s="35" t="str">
        <f>IFERROR(IF(VLOOKUP($B21,casostestes[#Data],2)=0,"-",VLOOKUP($B21,casostestes[#Data],2)), "-")</f>
        <v>Integração</v>
      </c>
      <c r="E21" s="35" t="str">
        <f>IFERROR(IF(VLOOKUP($B21,casostestes[#Data],3)=0,"-",VLOOKUP($B21,casostestes[#Data],3)), "-")</f>
        <v>29
Cumprir a exigência de autodeclaração</v>
      </c>
      <c r="F21" s="35" t="str">
        <f>IFERROR(IF(VLOOKUP($B21,casostestes[#Data],4)=0,"-",VLOOKUP($B21,casostestes[#Data],4)),"-")</f>
        <v>PAT</v>
      </c>
      <c r="G21" s="35" t="str">
        <f>IFERROR(IF(VLOOKUP($B21,casostestes[#Data],5)=0,"-",VLOOKUP($B21,casostestes[#Data],5)),"-")</f>
        <v>ENTIDADE_CONVENIADA</v>
      </c>
      <c r="H21" s="35" t="str">
        <f>IFERROR(IF(VLOOKUP($B21,casostestes[#Data],6)=0,"-",VLOOKUP($B21,casostestes[#Data],6)),"-")</f>
        <v>1. Logar no Portal do Atendimento INSS com o perfil do caso de teste
2.Consultar uma tarefa em exigência de autodeclaração, detalhar e em seguida e acionar  a aba Cumprir Exigência  
3. Responder o formulário de autodeclaração até o final</v>
      </c>
      <c r="I21" s="35" t="str">
        <f>IFERROR(IF(VLOOKUP($B21,casostestes[#Data],8)=0,"-",VLOOKUP($B21,casostestes[#Data],8)),"-")</f>
        <v>-</v>
      </c>
      <c r="J21" s="35" t="str">
        <f>IFERROR(IF(VLOOKUP($B21,casostestes[#Data],9)=0,"-",VLOOKUP($B21,casostestes[#Data],9)),"-")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1" s="36"/>
      <c r="L21" s="45"/>
      <c r="M21" s="37"/>
      <c r="N21" s="38"/>
      <c r="O21" s="38"/>
      <c r="P21" s="39"/>
    </row>
    <row r="22" spans="2:16" ht="210">
      <c r="B22" s="40">
        <f>IF(ISERR(casostestes[[#This Row],[ID]]),"-",casostestes[[#This Row],[ID]])</f>
        <v>15</v>
      </c>
      <c r="C22" s="34" t="str">
        <f>IFERROR(IF(VLOOKUP($B22,casostestes[#Data],10)=0,"Não",VLOOKUP($B22,casostestes[#Data],10)), "-")</f>
        <v>Sim</v>
      </c>
      <c r="D22" s="35" t="str">
        <f>IFERROR(IF(VLOOKUP($B22,casostestes[#Data],2)=0,"-",VLOOKUP($B22,casostestes[#Data],2)), "-")</f>
        <v>Integração</v>
      </c>
      <c r="E22" s="35" t="str">
        <f>IFERROR(IF(VLOOKUP($B22,casostestes[#Data],3)=0,"-",VLOOKUP($B22,casostestes[#Data],3)), "-")</f>
        <v>30
Cumprir a exigência de autodeclaração</v>
      </c>
      <c r="F22" s="35" t="str">
        <f>IFERROR(IF(VLOOKUP($B22,casostestes[#Data],4)=0,"-",VLOOKUP($B22,casostestes[#Data],4)),"-")</f>
        <v>PAT</v>
      </c>
      <c r="G22" s="35" t="str">
        <f>IFERROR(IF(VLOOKUP($B22,casostestes[#Data],5)=0,"-",VLOOKUP($B22,casostestes[#Data],5)),"-")</f>
        <v>ENTIDADE_CONVENIADA_CORREIOS</v>
      </c>
      <c r="H22" s="35" t="str">
        <f>IFERROR(IF(VLOOKUP($B22,casostestes[#Data],6)=0,"-",VLOOKUP($B22,casostestes[#Data],6)),"-")</f>
        <v>1. Logar no Portal do Atendimento INSS com o perfil EC - CORREIOS
2. Acionar a aba Exigências e consultar uma tarefa em exigência de autodeclaração
3. Detalhar a tarefa e em seguida acionar  a opção Cumprir Exigência  
3. Responder o formulário de autodeclaração até o final</v>
      </c>
      <c r="I22" s="35" t="str">
        <f>IFERROR(IF(VLOOKUP($B22,casostestes[#Data],8)=0,"-",VLOOKUP($B22,casostestes[#Data],8)),"-")</f>
        <v>-</v>
      </c>
      <c r="J22" s="35" t="str">
        <f>IFERROR(IF(VLOOKUP($B22,casostestes[#Data],9)=0,"-",VLOOKUP($B22,casostestes[#Data],9)),"-")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2" s="36"/>
      <c r="L22" s="45"/>
      <c r="M22" s="37"/>
      <c r="N22" s="38"/>
      <c r="O22" s="38"/>
      <c r="P22" s="39"/>
    </row>
    <row r="23" spans="2:16" ht="180">
      <c r="B23" s="40">
        <f>IF(ISERR(casostestes[[#This Row],[ID]]),"-",casostestes[[#This Row],[ID]])</f>
        <v>16</v>
      </c>
      <c r="C23" s="34" t="str">
        <f>IFERROR(IF(VLOOKUP($B23,casostestes[#Data],10)=0,"Não",VLOOKUP($B23,casostestes[#Data],10)), "-")</f>
        <v>Sim</v>
      </c>
      <c r="D23" s="35" t="str">
        <f>IFERROR(IF(VLOOKUP($B23,casostestes[#Data],2)=0,"-",VLOOKUP($B23,casostestes[#Data],2)), "-")</f>
        <v>Integração</v>
      </c>
      <c r="E23" s="35" t="str">
        <f>IFERROR(IF(VLOOKUP($B23,casostestes[#Data],3)=0,"-",VLOOKUP($B23,casostestes[#Data],3)), "-")</f>
        <v>31
Responder o formulário de autodeclaração acessando diretamente a aba segurado especial ao detalhar a tarefa, onde a tarefa encontra-se em exigência de documento médico
Será posível acessar diretamente a autodeclaração logado como EC?</v>
      </c>
      <c r="F23" s="35" t="str">
        <f>IFERROR(IF(VLOOKUP($B23,casostestes[#Data],4)=0,"-",VLOOKUP($B23,casostestes[#Data],4)),"-")</f>
        <v>PAT</v>
      </c>
      <c r="G23" s="35" t="str">
        <f>IFERROR(IF(VLOOKUP($B23,casostestes[#Data],5)=0,"-",VLOOKUP($B23,casostestes[#Data],5)),"-")</f>
        <v>ENTIDADE_CONVENIADA</v>
      </c>
      <c r="H23" s="35" t="str">
        <f>IFERROR(IF(VLOOKUP($B23,casostestes[#Data],6)=0,"-",VLOOKUP($B23,casostestes[#Data],6)),"-")</f>
        <v>1. Logar no Portal do Atendimento INSS com o perfil do caso se teste
2.Consultar uma tarefa em exigência de dautodeclaração
3. Acionar a aba Segurado especial
3. Responder o formulário de autodeclaração até o final</v>
      </c>
      <c r="I23" s="35" t="str">
        <f>IFERROR(IF(VLOOKUP($B23,casostestes[#Data],8)=0,"-",VLOOKUP($B23,casostestes[#Data],8)),"-")</f>
        <v>-</v>
      </c>
      <c r="J23" s="35" t="str">
        <f>IFERROR(IF(VLOOKUP($B23,casostestes[#Data],9)=0,"-",VLOOKUP($B23,casostestes[#Data],9)),"-")</f>
        <v xml:space="preserve">
Tarefa de BI com situação alterada para Pendente 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3" s="36"/>
      <c r="L23" s="45"/>
      <c r="M23" s="37"/>
      <c r="N23" s="38"/>
      <c r="O23" s="38"/>
      <c r="P23" s="39"/>
    </row>
    <row r="24" spans="2:16" ht="105">
      <c r="B24" s="40">
        <f>IF(ISERR(casostestes[[#This Row],[ID]]),"-",casostestes[[#This Row],[ID]])</f>
        <v>17</v>
      </c>
      <c r="C24" s="34" t="str">
        <f>IFERROR(IF(VLOOKUP($B24,casostestes[#Data],10)=0,"Não",VLOOKUP($B24,casostestes[#Data],10)), "-")</f>
        <v>Sim</v>
      </c>
      <c r="D24" s="35" t="str">
        <f>IFERROR(IF(VLOOKUP($B24,casostestes[#Data],2)=0,"-",VLOOKUP($B24,casostestes[#Data],2)), "-")</f>
        <v>Integração</v>
      </c>
      <c r="E24" s="35" t="str">
        <f>IFERROR(IF(VLOOKUP($B24,casostestes[#Data],3)=0,"-",VLOOKUP($B24,casostestes[#Data],3)), "-")</f>
        <v xml:space="preserve">32
Responder o formulário de autodeclaração acessando diretamente a aba segurado especial ao detalhar a tarefa, onde a tarefa encontra-se em exigência de documento médico
</v>
      </c>
      <c r="F24" s="35" t="str">
        <f>IFERROR(IF(VLOOKUP($B24,casostestes[#Data],4)=0,"-",VLOOKUP($B24,casostestes[#Data],4)),"-")</f>
        <v>PAT</v>
      </c>
      <c r="G24" s="35" t="str">
        <f>IFERROR(IF(VLOOKUP($B24,casostestes[#Data],5)=0,"-",VLOOKUP($B24,casostestes[#Data],5)),"-")</f>
        <v>ENTIDADE_CONVENIADA</v>
      </c>
      <c r="H24" s="35" t="str">
        <f>IFERROR(IF(VLOOKUP($B24,casostestes[#Data],6)=0,"-",VLOOKUP($B24,casostestes[#Data],6)),"-")</f>
        <v>1. Logar no Portal do Atendimento INSS com o perfil do caso se teste
2.Consultar uma tarefa em exigência de documento médico
3. Acionar a aba Segurado especial
3. Responder o formulário de autodeclaração até o final</v>
      </c>
      <c r="I24" s="35" t="str">
        <f>IFERROR(IF(VLOOKUP($B24,casostestes[#Data],8)=0,"-",VLOOKUP($B24,casostestes[#Data],8)),"-")</f>
        <v>-</v>
      </c>
      <c r="J24" s="35" t="str">
        <f>IFERROR(IF(VLOOKUP($B24,casostestes[#Data],9)=0,"-",VLOOKUP($B24,casostestes[#Data],9)),"-")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24" s="36"/>
      <c r="L24" s="45"/>
      <c r="M24" s="37"/>
      <c r="N24" s="38"/>
      <c r="O24" s="38"/>
      <c r="P24" s="39"/>
    </row>
    <row r="25" spans="2:16" ht="135">
      <c r="B25" s="40">
        <f>IF(ISERR(casostestes[[#This Row],[ID]]),"-",casostestes[[#This Row],[ID]])</f>
        <v>18</v>
      </c>
      <c r="C25" s="34" t="str">
        <f>IFERROR(IF(VLOOKUP($B25,casostestes[#Data],10)=0,"Não",VLOOKUP($B25,casostestes[#Data],10)), "-")</f>
        <v>Sim</v>
      </c>
      <c r="D25" s="35" t="str">
        <f>IFERROR(IF(VLOOKUP($B25,casostestes[#Data],2)=0,"-",VLOOKUP($B25,casostestes[#Data],2)), "-")</f>
        <v>Requerimento Inicial de BI</v>
      </c>
      <c r="E25" s="35" t="str">
        <f>IFERROR(IF(VLOOKUP($B25,casostestes[#Data],3)=0,"-",VLOOKUP($B25,casostestes[#Data],3)), "-")</f>
        <v>34
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25" s="35" t="str">
        <f>IFERROR(IF(VLOOKUP($B25,casostestes[#Data],4)=0,"-",VLOOKUP($B25,casostestes[#Data],4)),"-")</f>
        <v>Meu INSS</v>
      </c>
      <c r="G25" s="35" t="str">
        <f>IFERROR(IF(VLOOKUP($B25,casostestes[#Data],5)=0,"-",VLOOKUP($B25,casostestes[#Data],5)),"-")</f>
        <v>INTERESSADO</v>
      </c>
      <c r="H25" s="35" t="str">
        <f>IFERROR(IF(VLOOKUP($B25,casostestes[#Data],6)=0,"-",VLOOKUP($B25,casostestes[#Data],6)),"-")</f>
        <v>1. Logar no  Meu INSS
2.Criar tarefa de BI informando:
Tipo de Incapacidade? "Permanente"
A pessoa está presa?  Não
Categoria do trabalhador diferente de "Segurado Especial"
3. Criar o agendamento da perícia</v>
      </c>
      <c r="I25" s="35" t="str">
        <f>IFERROR(IF(VLOOKUP($B25,casostestes[#Data],8)=0,"-",VLOOKUP($B25,casostestes[#Data],8)),"-")</f>
        <v>-</v>
      </c>
      <c r="J25" s="35" t="str">
        <f>IFERROR(IF(VLOOKUP($B25,casostestes[#Data],9)=0,"-",VLOOKUP($B25,casostestes[#Data],9)),"-")</f>
        <v>Tarefa de BI criada com situação Pendente.
Tarefa SEM Divergência de autodeclaração (116)
Status SIBE igual a  AGUARDANDO PERÍCIA
Tarefa.Exige_autodeclaração = 0</v>
      </c>
      <c r="K25" s="36"/>
      <c r="L25" s="92"/>
      <c r="M25" s="37"/>
      <c r="N25" s="38"/>
      <c r="O25" s="38"/>
      <c r="P25" s="39"/>
    </row>
    <row r="26" spans="2:16" ht="255">
      <c r="B26" s="40">
        <f>IF(ISERR(casostestes[[#This Row],[ID]]),"-",casostestes[[#This Row],[ID]])</f>
        <v>19</v>
      </c>
      <c r="C26" s="34" t="str">
        <f>IFERROR(IF(VLOOKUP($B26,casostestes[#Data],10)=0,"Não",VLOOKUP($B26,casostestes[#Data],10)), "-")</f>
        <v>Sim</v>
      </c>
      <c r="D26" s="35" t="str">
        <f>IFERROR(IF(VLOOKUP($B26,casostestes[#Data],2)=0,"-",VLOOKUP($B26,casostestes[#Data],2)), "-")</f>
        <v>Integração</v>
      </c>
      <c r="E26" s="35" t="str">
        <f>IFERROR(IF(VLOOKUP($B26,casostestes[#Data],3)=0,"-",VLOOKUP($B26,casostestes[#Data],3)), "-")</f>
        <v>35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26" s="35" t="str">
        <f>IFERROR(IF(VLOOKUP($B26,casostestes[#Data],4)=0,"-",VLOOKUP($B26,casostestes[#Data],4)),"-")</f>
        <v>Meu INSS</v>
      </c>
      <c r="G26" s="35" t="str">
        <f>IFERROR(IF(VLOOKUP($B26,casostestes[#Data],5)=0,"-",VLOOKUP($B26,casostestes[#Data],5)),"-")</f>
        <v>INTERESSADO</v>
      </c>
      <c r="H26" s="35" t="str">
        <f>IFERROR(IF(VLOOKUP($B26,casostestes[#Data],6)=0,"-",VLOOKUP($B26,casostestes[#Data],6)),"-")</f>
        <v>1. Logar no  Meu INSS
2.Criar tarefa de BI informando:
Tipo de Incapacidade? "Temporária "
A pessoa está presa?  Não
Categoria do trabalhador "Segurado Especial"
A pessoa ficou sem trabalhar? Sim
3. Responder formulário da autodeclaração</v>
      </c>
      <c r="I26" s="35" t="str">
        <f>IFERROR(IF(VLOOKUP($B26,casostestes[#Data],8)=0,"-",VLOOKUP($B26,casostestes[#Data],8)),"-")</f>
        <v>-</v>
      </c>
      <c r="J26" s="35" t="str">
        <f>IFERROR(IF(VLOOKUP($B26,casostestes[#Data],9)=0,"-",VLOOKUP($B26,casostestes[#Data],9)),"-")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26" s="36"/>
      <c r="L26" s="45"/>
      <c r="M26" s="37"/>
      <c r="N26" s="38"/>
      <c r="O26" s="38"/>
      <c r="P26" s="39"/>
    </row>
    <row r="27" spans="2:16" ht="255">
      <c r="B27" s="40">
        <f>IF(ISERR(casostestes[[#This Row],[ID]]),"-",casostestes[[#This Row],[ID]])</f>
        <v>20</v>
      </c>
      <c r="C27" s="34" t="str">
        <f>IFERROR(IF(VLOOKUP($B27,casostestes[#Data],10)=0,"Não",VLOOKUP($B27,casostestes[#Data],10)), "-")</f>
        <v>Sim</v>
      </c>
      <c r="D27" s="35" t="str">
        <f>IFERROR(IF(VLOOKUP($B27,casostestes[#Data],2)=0,"-",VLOOKUP($B27,casostestes[#Data],2)), "-")</f>
        <v>Integração</v>
      </c>
      <c r="E27" s="35" t="str">
        <f>IFERROR(IF(VLOOKUP($B27,casostestes[#Data],3)=0,"-",VLOOKUP($B27,casostestes[#Data],3)), "-")</f>
        <v>36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7" s="35" t="str">
        <f>IFERROR(IF(VLOOKUP($B27,casostestes[#Data],4)=0,"-",VLOOKUP($B27,casostestes[#Data],4)),"-")</f>
        <v>Meu INSS</v>
      </c>
      <c r="G27" s="35" t="str">
        <f>IFERROR(IF(VLOOKUP($B27,casostestes[#Data],5)=0,"-",VLOOKUP($B27,casostestes[#Data],5)),"-")</f>
        <v>INTERESSADO</v>
      </c>
      <c r="H27" s="35" t="str">
        <f>IFERROR(IF(VLOOKUP($B27,casostestes[#Data],6)=0,"-",VLOOKUP($B27,casostestes[#Data],6)),"-")</f>
        <v>1. Logar no  Meu INSS
2.Criar tarefa de BI informando:
Tipo de Incapacidade? "Temporária "
A pessoa está presa?  Não
Categoria do trabalhador "Segurado Especial"
A pessoa ficou sem trabalhar? Sim
3. Responder a autodeclaração</v>
      </c>
      <c r="I27" s="35" t="str">
        <f>IFERROR(IF(VLOOKUP($B27,casostestes[#Data],8)=0,"-",VLOOKUP($B27,casostestes[#Data],8)),"-")</f>
        <v>-</v>
      </c>
      <c r="J27" s="35" t="str">
        <f>IFERROR(IF(VLOOKUP($B27,casostestes[#Data],9)=0,"-",VLOOKUP($B27,casostestes[#Data],9)),"-")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27" s="36"/>
      <c r="L27" s="45"/>
      <c r="M27" s="37"/>
      <c r="N27" s="38"/>
      <c r="O27" s="38"/>
      <c r="P27" s="39"/>
    </row>
    <row r="28" spans="2:16" ht="180">
      <c r="B28" s="40">
        <f>IF(ISERR(casostestes[[#This Row],[ID]]),"-",casostestes[[#This Row],[ID]])</f>
        <v>21</v>
      </c>
      <c r="C28" s="34" t="str">
        <f>IFERROR(IF(VLOOKUP($B28,casostestes[#Data],10)=0,"Não",VLOOKUP($B28,casostestes[#Data],10)), "-")</f>
        <v>Sim</v>
      </c>
      <c r="D28" s="35" t="str">
        <f>IFERROR(IF(VLOOKUP($B28,casostestes[#Data],2)=0,"-",VLOOKUP($B28,casostestes[#Data],2)), "-")</f>
        <v>Requerimento Inicial de BI</v>
      </c>
      <c r="E28" s="35" t="str">
        <f>IFERROR(IF(VLOOKUP($B28,casostestes[#Data],3)=0,"-",VLOOKUP($B28,casostestes[#Data],3)), "-")</f>
        <v>37
Criar tarefa de BI inicial fluxo ATESTMEDQ para categoria "Segurado especial" onde o parâmetro "Exige Autodeclaração" no Catálogo está ATIVADO e  NÃO foi respondida a autodeclaração
**Parâmetro PAT ligado: 144 - Fluxo ATESTMEDQ</v>
      </c>
      <c r="F28" s="35" t="str">
        <f>IFERROR(IF(VLOOKUP($B28,casostestes[#Data],4)=0,"-",VLOOKUP($B28,casostestes[#Data],4)),"-")</f>
        <v>Meu INSS</v>
      </c>
      <c r="G28" s="35" t="str">
        <f>IFERROR(IF(VLOOKUP($B28,casostestes[#Data],5)=0,"-",VLOOKUP($B28,casostestes[#Data],5)),"-")</f>
        <v>INTERESSADO</v>
      </c>
      <c r="H28" s="35" t="str">
        <f>IFERROR(IF(VLOOKUP($B28,casostestes[#Data],6)=0,"-",VLOOKUP($B28,casostestes[#Data],6)),"-")</f>
        <v>1. Logar no  Meu INSS
2.Criar tarefa de BI informando:
Tipo de Incapacidade? "Temporária "
A pessoa está presa?  Não
Categoria do trabalhador "Segurado Especial"
A pessoa ficou sem trabalhar? Não
3. NÃO Responder a autodeclaração</v>
      </c>
      <c r="I28" s="35" t="str">
        <f>IFERROR(IF(VLOOKUP($B28,casostestes[#Data],8)=0,"-",VLOOKUP($B28,casostestes[#Data],8)),"-")</f>
        <v>-</v>
      </c>
      <c r="J28" s="35" t="str">
        <f>IFERROR(IF(VLOOKUP($B28,casostestes[#Data],9)=0,"-",VLOOKUP($B28,casostestes[#Data],9)),"-")</f>
        <v xml:space="preserve">
"Tarefa de BI criada com situação Pendente.
Status SIBE igual a  FLUXO NÃO INICIADO
Divergência de autodeclaração (116) incluída na tarefa
Após execução workflow:
Tarefa de BI com situação alterada para Exigência .
DTP:
Campo Exige_autodeclaração = 1"
</v>
      </c>
      <c r="K28" s="36"/>
      <c r="L28" s="45"/>
      <c r="M28" s="37"/>
      <c r="N28" s="38"/>
      <c r="O28" s="38"/>
      <c r="P28" s="39"/>
    </row>
    <row r="29" spans="2:16" ht="225">
      <c r="B29" s="40">
        <f>IF(ISERR(casostestes[[#This Row],[ID]]),"-",casostestes[[#This Row],[ID]])</f>
        <v>22</v>
      </c>
      <c r="C29" s="34" t="str">
        <f>IFERROR(IF(VLOOKUP($B29,casostestes[#Data],10)=0,"Não",VLOOKUP($B29,casostestes[#Data],10)), "-")</f>
        <v>Sim</v>
      </c>
      <c r="D29" s="35" t="str">
        <f>IFERROR(IF(VLOOKUP($B29,casostestes[#Data],2)=0,"-",VLOOKUP($B29,casostestes[#Data],2)), "-")</f>
        <v>Integração</v>
      </c>
      <c r="E29" s="35" t="str">
        <f>IFERROR(IF(VLOOKUP($B29,casostestes[#Data],3)=0,"-",VLOOKUP($B29,casostestes[#Data],3)), "-")</f>
        <v>38
Cumprir a exigência de autodeclaração</v>
      </c>
      <c r="F29" s="35" t="str">
        <f>IFERROR(IF(VLOOKUP($B29,casostestes[#Data],4)=0,"-",VLOOKUP($B29,casostestes[#Data],4)),"-")</f>
        <v>Meu INSS</v>
      </c>
      <c r="G29" s="35" t="str">
        <f>IFERROR(IF(VLOOKUP($B29,casostestes[#Data],5)=0,"-",VLOOKUP($B29,casostestes[#Data],5)),"-")</f>
        <v>INTERESSADO</v>
      </c>
      <c r="H29" s="35" t="str">
        <f>IFERROR(IF(VLOOKUP($B29,casostestes[#Data],6)=0,"-",VLOOKUP($B29,casostestes[#Data],6)),"-")</f>
        <v>1. Logar no  Meu INSS
2.Consultar uma tarefa em exigência de autodeclaração e acionar Cumprir Exigência  
3. Responder o formulário de autodeclaração</v>
      </c>
      <c r="I29" s="35" t="str">
        <f>IFERROR(IF(VLOOKUP($B29,casostestes[#Data],8)=0,"-",VLOOKUP($B29,casostestes[#Data],8)),"-")</f>
        <v>-</v>
      </c>
      <c r="J29" s="35" t="str">
        <f>IFERROR(IF(VLOOKUP($B29,casostestes[#Data],9)=0,"-",VLOOKUP($B29,casostestes[#Data],9)),"-")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9" s="36"/>
      <c r="L29" s="45"/>
      <c r="M29" s="37"/>
      <c r="N29" s="38"/>
      <c r="O29" s="38"/>
      <c r="P29" s="39"/>
    </row>
    <row r="30" spans="2:16" ht="180">
      <c r="B30" s="40">
        <f>IF(ISERR(casostestes[[#This Row],[ID]]),"-",casostestes[[#This Row],[ID]])</f>
        <v>23</v>
      </c>
      <c r="C30" s="34" t="str">
        <f>IFERROR(IF(VLOOKUP($B30,casostestes[#Data],10)=0,"Não",VLOOKUP($B30,casostestes[#Data],10)), "-")</f>
        <v>Sim</v>
      </c>
      <c r="D30" s="35" t="str">
        <f>IFERROR(IF(VLOOKUP($B30,casostestes[#Data],2)=0,"-",VLOOKUP($B30,casostestes[#Data],2)), "-")</f>
        <v>Integração</v>
      </c>
      <c r="E30" s="35" t="str">
        <f>IFERROR(IF(VLOOKUP($B30,casostestes[#Data],3)=0,"-",VLOOKUP($B30,casostestes[#Data],3)), "-")</f>
        <v>39
Responder o formulário de autodeclaração acionando a opção de autodeclaração no card do pedido onde a tarefa encontra-se em exigência de autodeclaração
Será posível acessar diretamente a autodeclaração logado no Meu INSS?</v>
      </c>
      <c r="F30" s="35" t="str">
        <f>IFERROR(IF(VLOOKUP($B30,casostestes[#Data],4)=0,"-",VLOOKUP($B30,casostestes[#Data],4)),"-")</f>
        <v>Meu INSS</v>
      </c>
      <c r="G30" s="35" t="str">
        <f>IFERROR(IF(VLOOKUP($B30,casostestes[#Data],5)=0,"-",VLOOKUP($B30,casostestes[#Data],5)),"-")</f>
        <v>INTERESSADO</v>
      </c>
      <c r="H30" s="35" t="str">
        <f>IFERROR(IF(VLOOKUP($B30,casostestes[#Data],6)=0,"-",VLOOKUP($B30,casostestes[#Data],6)),"-")</f>
        <v>1. Logar no  Meu INSS
2.Consultar uma tarefa em exigência de autodeclaração
3. Acionar no card do pedido a opção de Autodeclaração   
3. Responder o formulário de autodeclaração</v>
      </c>
      <c r="I30" s="35" t="str">
        <f>IFERROR(IF(VLOOKUP($B30,casostestes[#Data],8)=0,"-",VLOOKUP($B30,casostestes[#Data],8)),"-")</f>
        <v>-</v>
      </c>
      <c r="J30" s="35" t="str">
        <f>IFERROR(IF(VLOOKUP($B30,casostestes[#Data],9)=0,"-",VLOOKUP($B30,casostestes[#Data],9)),"-")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0" s="36"/>
      <c r="L30" s="45"/>
      <c r="M30" s="37"/>
      <c r="N30" s="38"/>
      <c r="O30" s="38"/>
      <c r="P30" s="39"/>
    </row>
    <row r="31" spans="2:16" ht="105">
      <c r="B31" s="40">
        <f>IF(ISERR(casostestes[[#This Row],[ID]]),"-",casostestes[[#This Row],[ID]])</f>
        <v>24</v>
      </c>
      <c r="C31" s="34" t="str">
        <f>IFERROR(IF(VLOOKUP($B31,casostestes[#Data],10)=0,"Não",VLOOKUP($B31,casostestes[#Data],10)), "-")</f>
        <v>Sim</v>
      </c>
      <c r="D31" s="35" t="str">
        <f>IFERROR(IF(VLOOKUP($B31,casostestes[#Data],2)=0,"-",VLOOKUP($B31,casostestes[#Data],2)), "-")</f>
        <v>Integração</v>
      </c>
      <c r="E31" s="35" t="str">
        <f>IFERROR(IF(VLOOKUP($B31,casostestes[#Data],3)=0,"-",VLOOKUP($B31,casostestes[#Data],3)), "-")</f>
        <v>40
Responder o formulário de autodeclaração acionando a opção de autodeclaração no card do pedido onde a tarefa encontra-se em exigência de documento médico
Será posível acessar diretamente a autodeclaração logado no Meu INSS?</v>
      </c>
      <c r="F31" s="35" t="str">
        <f>IFERROR(IF(VLOOKUP($B31,casostestes[#Data],4)=0,"-",VLOOKUP($B31,casostestes[#Data],4)),"-")</f>
        <v>Meu INSS</v>
      </c>
      <c r="G31" s="35" t="str">
        <f>IFERROR(IF(VLOOKUP($B31,casostestes[#Data],5)=0,"-",VLOOKUP($B31,casostestes[#Data],5)),"-")</f>
        <v>INTERESSADO</v>
      </c>
      <c r="H31" s="35" t="str">
        <f>IFERROR(IF(VLOOKUP($B31,casostestes[#Data],6)=0,"-",VLOOKUP($B31,casostestes[#Data],6)),"-")</f>
        <v>1. Logar no  Meu INSS
2.Consultar uma tarefa em exigência de documento médico 
3. Acionar no card do pedido a opção de Autodeclaração   
3. Responder o formulário de autodeclaração</v>
      </c>
      <c r="I31" s="35" t="str">
        <f>IFERROR(IF(VLOOKUP($B31,casostestes[#Data],8)=0,"-",VLOOKUP($B31,casostestes[#Data],8)),"-")</f>
        <v>-</v>
      </c>
      <c r="J31" s="35" t="str">
        <f>IFERROR(IF(VLOOKUP($B31,casostestes[#Data],9)=0,"-",VLOOKUP($B31,casostestes[#Data],9)),"-")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31" s="36"/>
      <c r="L31" s="45"/>
      <c r="M31" s="37"/>
      <c r="N31" s="38"/>
      <c r="O31" s="38"/>
      <c r="P31" s="39"/>
    </row>
    <row r="32" spans="2:16" ht="409.5">
      <c r="B32" s="40">
        <f>IF(ISERR(casostestes[[#This Row],[ID]]),"-",casostestes[[#This Row],[ID]])</f>
        <v>25</v>
      </c>
      <c r="C32" s="34" t="str">
        <f>IFERROR(IF(VLOOKUP($B32,casostestes[#Data],10)=0,"Não",VLOOKUP($B32,casostestes[#Data],10)), "-")</f>
        <v>Sim</v>
      </c>
      <c r="D32" s="35" t="str">
        <f>IFERROR(IF(VLOOKUP($B32,casostestes[#Data],2)=0,"-",VLOOKUP($B32,casostestes[#Data],2)), "-")</f>
        <v>Integração</v>
      </c>
      <c r="E32" s="35" t="str">
        <f>IFERROR(IF(VLOOKUP($B32,casostestes[#Data],3)=0,"-",VLOOKUP($B32,casostestes[#Data],3)), "-")</f>
        <v xml:space="preserve">
41
'Criar tarefa de BI inicial fluxo ATESTMEDQ para categoria "Segurado especial" onde o parâmetro "Exige Autodeclaração" no Catálogo está ATIVADO, 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2" s="35" t="str">
        <f>IFERROR(IF(VLOOKUP($B32,casostestes[#Data],4)=0,"-",VLOOKUP($B32,casostestes[#Data],4)),"-")</f>
        <v>PAT</v>
      </c>
      <c r="G32" s="35" t="str">
        <f>IFERROR(IF(VLOOKUP($B32,casostestes[#Data],5)=0,"-",VLOOKUP($B32,casostestes[#Data],5)),"-")</f>
        <v>SERVIDOR</v>
      </c>
      <c r="H32" s="35" t="str">
        <f>IFERROR(IF(VLOOKUP($B32,casostestes[#Data],6)=0,"-",VLOOKUP($B32,casostestes[#Data],6)),"-")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Responder o formulário de autodeclaração
Resultado 1
5. Executar o serviço do STD simulando enquadramento na regra da análise de risco
- Inclusão da divergência 202 (ORIENTAÇÕES NA ABA MASSA)   
Resultado 2
</v>
      </c>
      <c r="I32" s="35" t="str">
        <f>IFERROR(IF(VLOOKUP($B32,casostestes[#Data],8)=0,"-",VLOOKUP($B32,casostestes[#Data],8)),"-")</f>
        <v>-</v>
      </c>
      <c r="J32" s="35" t="str">
        <f>IFERROR(IF(VLOOKUP($B32,casostestes[#Data],9)=0,"-",VLOOKUP($B32,casostestes[#Data],9)),"-")</f>
        <v xml:space="preserve">Resultado 1:
Tarefa de BI criada com situação Pendente.
Tarefa SEM a Divergência de autodeclaração (116)  
Status SIBE igual a  FLUXO NÃO INICIADO
Seção campos adicionais:
"Fluxo Inicial e final do BI" deve ter o valor  "ATESTMEDQ"
DTP:  Campo Exige_autodeclaração = 1
Aguardar alguns minutos após a geração automática do PDF da autodeclaração:
Status SIBE continua igual a  FLUXO NÃO INICIADO
Resultado 2 - Após a execução do serviço do STD:  
- Cerca de 5 minutos depois, será exibida a divergência da Análise de Risco (202) no requerimento
- Alguns minutos depois:
Status SIBE igual a AGUARDANDO PERÍCIA
- Ocorrências de integração (com SIBE)
 "tipoInformacaoMedica":0
 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 Seção "Agendamentos (Perícia)":
- A etapa_pericia apresentará o valor AGUARDANDO AGENDAMENTO 
Aba Despachos:
-Inclusão do despacho de exigência de agendamento
</v>
      </c>
      <c r="K32" s="36"/>
      <c r="L32" s="45"/>
      <c r="M32" s="37"/>
      <c r="N32" s="38"/>
      <c r="O32" s="38"/>
      <c r="P32" s="39"/>
    </row>
    <row r="33" spans="2:16" ht="409.5">
      <c r="B33" s="40">
        <f>IF(ISERR(casostestes[[#This Row],[ID]]),"-",casostestes[[#This Row],[ID]])</f>
        <v>26</v>
      </c>
      <c r="C33" s="34" t="str">
        <f>IFERROR(IF(VLOOKUP($B33,casostestes[#Data],10)=0,"Não",VLOOKUP($B33,casostestes[#Data],10)), "-")</f>
        <v>Sim</v>
      </c>
      <c r="D33" s="35" t="str">
        <f>IFERROR(IF(VLOOKUP($B33,casostestes[#Data],2)=0,"-",VLOOKUP($B33,casostestes[#Data],2)), "-")</f>
        <v>Integração</v>
      </c>
      <c r="E33" s="35" t="str">
        <f>IFERROR(IF(VLOOKUP($B33,casostestes[#Data],3)=0,"-",VLOOKUP($B33,casostestes[#Data],3)), "-")</f>
        <v xml:space="preserve">42'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3" s="35" t="str">
        <f>IFERROR(IF(VLOOKUP($B33,casostestes[#Data],4)=0,"-",VLOOKUP($B33,casostestes[#Data],4)),"-")</f>
        <v>PAT</v>
      </c>
      <c r="G33" s="35" t="str">
        <f>IFERROR(IF(VLOOKUP($B33,casostestes[#Data],5)=0,"-",VLOOKUP($B33,casostestes[#Data],5)),"-")</f>
        <v>SERVIDOR</v>
      </c>
      <c r="H33" s="35" t="str">
        <f>IFERROR(IF(VLOOKUP($B33,casostestes[#Data],6)=0,"-",VLOOKUP($B33,casostestes[#Data],6)),"-")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33" s="35" t="str">
        <f>IFERROR(IF(VLOOKUP($B33,casostestes[#Data],8)=0,"-",VLOOKUP($B33,casostestes[#Data],8)),"-")</f>
        <v>-</v>
      </c>
      <c r="J33" s="35" t="str">
        <f>IFERROR(IF(VLOOKUP($B33,casostestes[#Data],9)=0,"-",VLOOKUP($B33,casostestes[#Data],9)),"-")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33" s="36"/>
      <c r="L33" s="45"/>
      <c r="M33" s="37"/>
      <c r="N33" s="38"/>
      <c r="O33" s="38"/>
      <c r="P33" s="39"/>
    </row>
    <row r="34" spans="2:16" ht="409.5">
      <c r="B34" s="40">
        <f>IF(ISERR(casostestes[[#This Row],[ID]]),"-",casostestes[[#This Row],[ID]])</f>
        <v>27</v>
      </c>
      <c r="C34" s="34" t="str">
        <f>IFERROR(IF(VLOOKUP($B34,casostestes[#Data],10)=0,"Não",VLOOKUP($B34,casostestes[#Data],10)), "-")</f>
        <v>Sim</v>
      </c>
      <c r="D34" s="35" t="str">
        <f>IFERROR(IF(VLOOKUP($B34,casostestes[#Data],2)=0,"-",VLOOKUP($B34,casostestes[#Data],2)), "-")</f>
        <v>Integração</v>
      </c>
      <c r="E34" s="35" t="str">
        <f>IFERROR(IF(VLOOKUP($B34,casostestes[#Data],3)=0,"-",VLOOKUP($B34,casostestes[#Data],3)), "-")</f>
        <v xml:space="preserve">43'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4" s="35" t="str">
        <f>IFERROR(IF(VLOOKUP($B34,casostestes[#Data],4)=0,"-",VLOOKUP($B34,casostestes[#Data],4)),"-")</f>
        <v>PAT</v>
      </c>
      <c r="G34" s="35" t="str">
        <f>IFERROR(IF(VLOOKUP($B34,casostestes[#Data],5)=0,"-",VLOOKUP($B34,casostestes[#Data],5)),"-")</f>
        <v>SERVIDOR</v>
      </c>
      <c r="H34" s="35" t="str">
        <f>IFERROR(IF(VLOOKUP($B34,casostestes[#Data],6)=0,"-",VLOOKUP($B34,casostestes[#Data],6)),"-")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34" s="35" t="str">
        <f>IFERROR(IF(VLOOKUP($B34,casostestes[#Data],8)=0,"-",VLOOKUP($B34,casostestes[#Data],8)),"-")</f>
        <v>-</v>
      </c>
      <c r="J34" s="35" t="str">
        <f>IFERROR(IF(VLOOKUP($B34,casostestes[#Data],9)=0,"-",VLOOKUP($B34,casostestes[#Data],9)),"-")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34" s="36"/>
      <c r="L34" s="45"/>
      <c r="M34" s="37"/>
      <c r="N34" s="38"/>
      <c r="O34" s="38"/>
      <c r="P34" s="39"/>
    </row>
    <row r="35" spans="2:16">
      <c r="B35" s="40" t="str">
        <f>IF(ISERR(casostestes[[#This Row],[ID]]),"-",casostestes[[#This Row],[ID]])</f>
        <v>-</v>
      </c>
      <c r="C35" s="34" t="str">
        <f>IFERROR(IF(VLOOKUP($B35,casostestes[#Data],10)=0,"Não",VLOOKUP($B35,casostestes[#Data],10)), "-")</f>
        <v>-</v>
      </c>
      <c r="D35" s="35" t="str">
        <f>IFERROR(IF(VLOOKUP($B35,casostestes[#Data],2)=0,"-",VLOOKUP($B35,casostestes[#Data],2)), "-")</f>
        <v>-</v>
      </c>
      <c r="E35" s="35" t="str">
        <f>IFERROR(IF(VLOOKUP($B35,casostestes[#Data],3)=0,"-",VLOOKUP($B35,casostestes[#Data],3)), "-")</f>
        <v>-</v>
      </c>
      <c r="F35" s="35" t="str">
        <f>IFERROR(IF(VLOOKUP($B35,casostestes[#Data],4)=0,"-",VLOOKUP($B35,casostestes[#Data],4)),"-")</f>
        <v>-</v>
      </c>
      <c r="G35" s="35" t="str">
        <f>IFERROR(IF(VLOOKUP($B35,casostestes[#Data],5)=0,"-",VLOOKUP($B35,casostestes[#Data],5)),"-")</f>
        <v>-</v>
      </c>
      <c r="H35" s="35" t="str">
        <f>IFERROR(IF(VLOOKUP($B35,casostestes[#Data],6)=0,"-",VLOOKUP($B35,casostestes[#Data],6)),"-")</f>
        <v>-</v>
      </c>
      <c r="I35" s="35" t="str">
        <f>IFERROR(IF(VLOOKUP($B35,casostestes[#Data],8)=0,"-",VLOOKUP($B35,casostestes[#Data],8)),"-")</f>
        <v>-</v>
      </c>
      <c r="J35" s="35" t="str">
        <f>IFERROR(IF(VLOOKUP($B35,casostestes[#Data],9)=0,"-",VLOOKUP($B35,casostestes[#Data],9)),"-")</f>
        <v>-</v>
      </c>
      <c r="K35" s="36"/>
      <c r="L35" s="45"/>
      <c r="M35" s="37"/>
      <c r="N35" s="38"/>
      <c r="O35" s="38"/>
      <c r="P35" s="39"/>
    </row>
    <row r="36" spans="2:16">
      <c r="B36" s="40" t="str">
        <f>IF(ISERR(casostestes[[#This Row],[ID]]),"-",casostestes[[#This Row],[ID]])</f>
        <v>-</v>
      </c>
      <c r="C36" s="34" t="str">
        <f>IFERROR(IF(VLOOKUP($B36,casostestes[#Data],10)=0,"Não",VLOOKUP($B36,casostestes[#Data],10)), "-")</f>
        <v>-</v>
      </c>
      <c r="D36" s="35" t="str">
        <f>IFERROR(IF(VLOOKUP($B36,casostestes[#Data],2)=0,"-",VLOOKUP($B36,casostestes[#Data],2)), "-")</f>
        <v>-</v>
      </c>
      <c r="E36" s="35" t="str">
        <f>IFERROR(IF(VLOOKUP($B36,casostestes[#Data],3)=0,"-",VLOOKUP($B36,casostestes[#Data],3)), "-")</f>
        <v>-</v>
      </c>
      <c r="F36" s="35" t="str">
        <f>IFERROR(IF(VLOOKUP($B36,casostestes[#Data],4)=0,"-",VLOOKUP($B36,casostestes[#Data],4)),"-")</f>
        <v>-</v>
      </c>
      <c r="G36" s="35" t="str">
        <f>IFERROR(IF(VLOOKUP($B36,casostestes[#Data],5)=0,"-",VLOOKUP($B36,casostestes[#Data],5)),"-")</f>
        <v>-</v>
      </c>
      <c r="H36" s="35" t="str">
        <f>IFERROR(IF(VLOOKUP($B36,casostestes[#Data],6)=0,"-",VLOOKUP($B36,casostestes[#Data],6)),"-")</f>
        <v>-</v>
      </c>
      <c r="I36" s="35" t="str">
        <f>IFERROR(IF(VLOOKUP($B36,casostestes[#Data],8)=0,"-",VLOOKUP($B36,casostestes[#Data],8)),"-")</f>
        <v>-</v>
      </c>
      <c r="J36" s="35" t="str">
        <f>IFERROR(IF(VLOOKUP($B36,casostestes[#Data],9)=0,"-",VLOOKUP($B36,casostestes[#Data],9)),"-")</f>
        <v>-</v>
      </c>
      <c r="K36" s="36"/>
      <c r="L36" s="45"/>
      <c r="M36" s="37"/>
      <c r="N36" s="38"/>
      <c r="O36" s="38"/>
      <c r="P36" s="39"/>
    </row>
    <row r="37" spans="2:16">
      <c r="B37" s="40" t="str">
        <f>IF(ISERR(casostestes[[#This Row],[ID]]),"-",casostestes[[#This Row],[ID]])</f>
        <v>-</v>
      </c>
      <c r="C37" s="34" t="str">
        <f>IFERROR(IF(VLOOKUP($B37,casostestes[#Data],10)=0,"Não",VLOOKUP($B37,casostestes[#Data],10)), "-")</f>
        <v>-</v>
      </c>
      <c r="D37" s="35" t="str">
        <f>IFERROR(IF(VLOOKUP($B37,casostestes[#Data],2)=0,"-",VLOOKUP($B37,casostestes[#Data],2)), "-")</f>
        <v>-</v>
      </c>
      <c r="E37" s="35" t="str">
        <f>IFERROR(IF(VLOOKUP($B37,casostestes[#Data],3)=0,"-",VLOOKUP($B37,casostestes[#Data],3)), "-")</f>
        <v>-</v>
      </c>
      <c r="F37" s="35" t="str">
        <f>IFERROR(IF(VLOOKUP($B37,casostestes[#Data],4)=0,"-",VLOOKUP($B37,casostestes[#Data],4)),"-")</f>
        <v>-</v>
      </c>
      <c r="G37" s="35" t="str">
        <f>IFERROR(IF(VLOOKUP($B37,casostestes[#Data],5)=0,"-",VLOOKUP($B37,casostestes[#Data],5)),"-")</f>
        <v>-</v>
      </c>
      <c r="H37" s="35" t="str">
        <f>IFERROR(IF(VLOOKUP($B37,casostestes[#Data],6)=0,"-",VLOOKUP($B37,casostestes[#Data],6)),"-")</f>
        <v>-</v>
      </c>
      <c r="I37" s="35" t="str">
        <f>IFERROR(IF(VLOOKUP($B37,casostestes[#Data],8)=0,"-",VLOOKUP($B37,casostestes[#Data],8)),"-")</f>
        <v>-</v>
      </c>
      <c r="J37" s="35" t="str">
        <f>IFERROR(IF(VLOOKUP($B37,casostestes[#Data],9)=0,"-",VLOOKUP($B37,casostestes[#Data],9)),"-")</f>
        <v>-</v>
      </c>
      <c r="K37" s="36"/>
      <c r="L37" s="45"/>
      <c r="M37" s="37"/>
      <c r="N37" s="38"/>
      <c r="O37" s="38"/>
      <c r="P37" s="39"/>
    </row>
    <row r="38" spans="2:16">
      <c r="B38" s="40" t="str">
        <f>IF(ISERR(casostestes[[#This Row],[ID]]),"-",casostestes[[#This Row],[ID]])</f>
        <v>-</v>
      </c>
      <c r="C38" s="34" t="str">
        <f>IFERROR(IF(VLOOKUP($B38,casostestes[#Data],10)=0,"Não",VLOOKUP($B38,casostestes[#Data],10)), "-")</f>
        <v>-</v>
      </c>
      <c r="D38" s="35" t="str">
        <f>IFERROR(IF(VLOOKUP($B38,casostestes[#Data],2)=0,"-",VLOOKUP($B38,casostestes[#Data],2)), "-")</f>
        <v>-</v>
      </c>
      <c r="E38" s="35" t="str">
        <f>IFERROR(IF(VLOOKUP($B38,casostestes[#Data],3)=0,"-",VLOOKUP($B38,casostestes[#Data],3)), "-")</f>
        <v>-</v>
      </c>
      <c r="F38" s="35" t="str">
        <f>IFERROR(IF(VLOOKUP($B38,casostestes[#Data],4)=0,"-",VLOOKUP($B38,casostestes[#Data],4)),"-")</f>
        <v>-</v>
      </c>
      <c r="G38" s="35" t="str">
        <f>IFERROR(IF(VLOOKUP($B38,casostestes[#Data],5)=0,"-",VLOOKUP($B38,casostestes[#Data],5)),"-")</f>
        <v>-</v>
      </c>
      <c r="H38" s="35" t="str">
        <f>IFERROR(IF(VLOOKUP($B38,casostestes[#Data],6)=0,"-",VLOOKUP($B38,casostestes[#Data],6)),"-")</f>
        <v>-</v>
      </c>
      <c r="I38" s="35" t="str">
        <f>IFERROR(IF(VLOOKUP($B38,casostestes[#Data],8)=0,"-",VLOOKUP($B38,casostestes[#Data],8)),"-")</f>
        <v>-</v>
      </c>
      <c r="J38" s="35" t="str">
        <f>IFERROR(IF(VLOOKUP($B38,casostestes[#Data],9)=0,"-",VLOOKUP($B38,casostestes[#Data],9)),"-")</f>
        <v>-</v>
      </c>
      <c r="K38" s="36"/>
      <c r="L38" s="45"/>
      <c r="M38" s="37"/>
      <c r="N38" s="38"/>
      <c r="O38" s="38"/>
      <c r="P38" s="39"/>
    </row>
    <row r="39" spans="2:16">
      <c r="B39" s="40" t="str">
        <f>IF(ISERR(casostestes[[#This Row],[ID]]),"-",casostestes[[#This Row],[ID]])</f>
        <v>-</v>
      </c>
      <c r="C39" s="34" t="str">
        <f>IFERROR(IF(VLOOKUP($B39,casostestes[#Data],10)=0,"Não",VLOOKUP($B39,casostestes[#Data],10)), "-")</f>
        <v>-</v>
      </c>
      <c r="D39" s="35" t="str">
        <f>IFERROR(IF(VLOOKUP($B39,casostestes[#Data],2)=0,"-",VLOOKUP($B39,casostestes[#Data],2)), "-")</f>
        <v>-</v>
      </c>
      <c r="E39" s="35" t="str">
        <f>IFERROR(IF(VLOOKUP($B39,casostestes[#Data],3)=0,"-",VLOOKUP($B39,casostestes[#Data],3)), "-")</f>
        <v>-</v>
      </c>
      <c r="F39" s="35" t="str">
        <f>IFERROR(IF(VLOOKUP($B39,casostestes[#Data],4)=0,"-",VLOOKUP($B39,casostestes[#Data],4)),"-")</f>
        <v>-</v>
      </c>
      <c r="G39" s="35" t="str">
        <f>IFERROR(IF(VLOOKUP($B39,casostestes[#Data],5)=0,"-",VLOOKUP($B39,casostestes[#Data],5)),"-")</f>
        <v>-</v>
      </c>
      <c r="H39" s="35" t="str">
        <f>IFERROR(IF(VLOOKUP($B39,casostestes[#Data],6)=0,"-",VLOOKUP($B39,casostestes[#Data],6)),"-")</f>
        <v>-</v>
      </c>
      <c r="I39" s="35" t="str">
        <f>IFERROR(IF(VLOOKUP($B39,casostestes[#Data],8)=0,"-",VLOOKUP($B39,casostestes[#Data],8)),"-")</f>
        <v>-</v>
      </c>
      <c r="J39" s="35" t="str">
        <f>IFERROR(IF(VLOOKUP($B39,casostestes[#Data],9)=0,"-",VLOOKUP($B39,casostestes[#Data],9)),"-")</f>
        <v>-</v>
      </c>
      <c r="K39" s="36"/>
      <c r="L39" s="45"/>
      <c r="M39" s="37"/>
      <c r="N39" s="38"/>
      <c r="O39" s="38"/>
      <c r="P39" s="39"/>
    </row>
    <row r="40" spans="2:16">
      <c r="B40" s="40" t="str">
        <f>IF(ISERR(casostestes[[#This Row],[ID]]),"-",casostestes[[#This Row],[ID]])</f>
        <v>-</v>
      </c>
      <c r="C40" s="34" t="str">
        <f>IFERROR(IF(VLOOKUP($B40,casostestes[#Data],10)=0,"Não",VLOOKUP($B40,casostestes[#Data],10)), "-")</f>
        <v>-</v>
      </c>
      <c r="D40" s="35" t="str">
        <f>IFERROR(IF(VLOOKUP($B40,casostestes[#Data],2)=0,"-",VLOOKUP($B40,casostestes[#Data],2)), "-")</f>
        <v>-</v>
      </c>
      <c r="E40" s="35" t="str">
        <f>IFERROR(IF(VLOOKUP($B40,casostestes[#Data],3)=0,"-",VLOOKUP($B40,casostestes[#Data],3)), "-")</f>
        <v>-</v>
      </c>
      <c r="F40" s="35" t="str">
        <f>IFERROR(IF(VLOOKUP($B40,casostestes[#Data],4)=0,"-",VLOOKUP($B40,casostestes[#Data],4)),"-")</f>
        <v>-</v>
      </c>
      <c r="G40" s="35" t="str">
        <f>IFERROR(IF(VLOOKUP($B40,casostestes[#Data],5)=0,"-",VLOOKUP($B40,casostestes[#Data],5)),"-")</f>
        <v>-</v>
      </c>
      <c r="H40" s="35" t="str">
        <f>IFERROR(IF(VLOOKUP($B40,casostestes[#Data],6)=0,"-",VLOOKUP($B40,casostestes[#Data],6)),"-")</f>
        <v>-</v>
      </c>
      <c r="I40" s="35" t="str">
        <f>IFERROR(IF(VLOOKUP($B40,casostestes[#Data],8)=0,"-",VLOOKUP($B40,casostestes[#Data],8)),"-")</f>
        <v>-</v>
      </c>
      <c r="J40" s="35" t="str">
        <f>IFERROR(IF(VLOOKUP($B40,casostestes[#Data],9)=0,"-",VLOOKUP($B40,casostestes[#Data],9)),"-")</f>
        <v>-</v>
      </c>
      <c r="K40" s="36"/>
      <c r="L40" s="45"/>
      <c r="M40" s="37"/>
      <c r="N40" s="38"/>
      <c r="O40" s="38"/>
      <c r="P40" s="39"/>
    </row>
    <row r="41" spans="2:16">
      <c r="B41" s="40" t="str">
        <f>IF(ISERR(casostestes[[#This Row],[ID]]),"-",casostestes[[#This Row],[ID]])</f>
        <v>-</v>
      </c>
      <c r="C41" s="34" t="str">
        <f>IFERROR(IF(VLOOKUP($B41,casostestes[#Data],10)=0,"Não",VLOOKUP($B41,casostestes[#Data],10)), "-")</f>
        <v>-</v>
      </c>
      <c r="D41" s="35" t="str">
        <f>IFERROR(IF(VLOOKUP($B41,casostestes[#Data],2)=0,"-",VLOOKUP($B41,casostestes[#Data],2)), "-")</f>
        <v>-</v>
      </c>
      <c r="E41" s="35" t="str">
        <f>IFERROR(IF(VLOOKUP($B41,casostestes[#Data],3)=0,"-",VLOOKUP($B41,casostestes[#Data],3)), "-")</f>
        <v>-</v>
      </c>
      <c r="F41" s="35" t="str">
        <f>IFERROR(IF(VLOOKUP($B41,casostestes[#Data],4)=0,"-",VLOOKUP($B41,casostestes[#Data],4)),"-")</f>
        <v>-</v>
      </c>
      <c r="G41" s="35" t="str">
        <f>IFERROR(IF(VLOOKUP($B41,casostestes[#Data],5)=0,"-",VLOOKUP($B41,casostestes[#Data],5)),"-")</f>
        <v>-</v>
      </c>
      <c r="H41" s="35" t="str">
        <f>IFERROR(IF(VLOOKUP($B41,casostestes[#Data],6)=0,"-",VLOOKUP($B41,casostestes[#Data],6)),"-")</f>
        <v>-</v>
      </c>
      <c r="I41" s="35" t="str">
        <f>IFERROR(IF(VLOOKUP($B41,casostestes[#Data],8)=0,"-",VLOOKUP($B41,casostestes[#Data],8)),"-")</f>
        <v>-</v>
      </c>
      <c r="J41" s="35" t="str">
        <f>IFERROR(IF(VLOOKUP($B41,casostestes[#Data],9)=0,"-",VLOOKUP($B41,casostestes[#Data],9)),"-")</f>
        <v>-</v>
      </c>
      <c r="K41" s="36"/>
      <c r="L41" s="92"/>
      <c r="M41" s="37"/>
      <c r="N41" s="38"/>
      <c r="O41" s="38"/>
      <c r="P41" s="39"/>
    </row>
    <row r="42" spans="2:16">
      <c r="B42" s="40" t="str">
        <f>IF(ISERR(casostestes[[#This Row],[ID]]),"-",casostestes[[#This Row],[ID]])</f>
        <v>-</v>
      </c>
      <c r="C42" s="34" t="str">
        <f>IFERROR(IF(VLOOKUP($B42,casostestes[#Data],10)=0,"Não",VLOOKUP($B42,casostestes[#Data],10)), "-")</f>
        <v>-</v>
      </c>
      <c r="D42" s="35" t="str">
        <f>IFERROR(IF(VLOOKUP($B42,casostestes[#Data],2)=0,"-",VLOOKUP($B42,casostestes[#Data],2)), "-")</f>
        <v>-</v>
      </c>
      <c r="E42" s="35" t="str">
        <f>IFERROR(IF(VLOOKUP($B42,casostestes[#Data],3)=0,"-",VLOOKUP($B42,casostestes[#Data],3)), "-")</f>
        <v>-</v>
      </c>
      <c r="F42" s="35" t="str">
        <f>IFERROR(IF(VLOOKUP($B42,casostestes[#Data],4)=0,"-",VLOOKUP($B42,casostestes[#Data],4)),"-")</f>
        <v>-</v>
      </c>
      <c r="G42" s="35" t="str">
        <f>IFERROR(IF(VLOOKUP($B42,casostestes[#Data],5)=0,"-",VLOOKUP($B42,casostestes[#Data],5)),"-")</f>
        <v>-</v>
      </c>
      <c r="H42" s="35" t="str">
        <f>IFERROR(IF(VLOOKUP($B42,casostestes[#Data],6)=0,"-",VLOOKUP($B42,casostestes[#Data],6)),"-")</f>
        <v>-</v>
      </c>
      <c r="I42" s="35" t="str">
        <f>IFERROR(IF(VLOOKUP($B42,casostestes[#Data],8)=0,"-",VLOOKUP($B42,casostestes[#Data],8)),"-")</f>
        <v>-</v>
      </c>
      <c r="J42" s="35" t="str">
        <f>IFERROR(IF(VLOOKUP($B42,casostestes[#Data],9)=0,"-",VLOOKUP($B42,casostestes[#Data],9)),"-")</f>
        <v>-</v>
      </c>
      <c r="K42" s="36"/>
      <c r="L42" s="45"/>
      <c r="M42" s="37"/>
      <c r="N42" s="38"/>
      <c r="O42" s="38"/>
      <c r="P42" s="39"/>
    </row>
    <row r="43" spans="2:16">
      <c r="B43" s="40" t="str">
        <f>IF(ISERR(casostestes[[#This Row],[ID]]),"-",casostestes[[#This Row],[ID]])</f>
        <v>-</v>
      </c>
      <c r="C43" s="34" t="str">
        <f>IFERROR(IF(VLOOKUP($B43,casostestes[#Data],10)=0,"Não",VLOOKUP($B43,casostestes[#Data],10)), "-")</f>
        <v>-</v>
      </c>
      <c r="D43" s="35" t="str">
        <f>IFERROR(IF(VLOOKUP($B43,casostestes[#Data],2)=0,"-",VLOOKUP($B43,casostestes[#Data],2)), "-")</f>
        <v>-</v>
      </c>
      <c r="E43" s="35" t="str">
        <f>IFERROR(IF(VLOOKUP($B43,casostestes[#Data],3)=0,"-",VLOOKUP($B43,casostestes[#Data],3)), "-")</f>
        <v>-</v>
      </c>
      <c r="F43" s="35" t="str">
        <f>IFERROR(IF(VLOOKUP($B43,casostestes[#Data],4)=0,"-",VLOOKUP($B43,casostestes[#Data],4)),"-")</f>
        <v>-</v>
      </c>
      <c r="G43" s="35" t="str">
        <f>IFERROR(IF(VLOOKUP($B43,casostestes[#Data],5)=0,"-",VLOOKUP($B43,casostestes[#Data],5)),"-")</f>
        <v>-</v>
      </c>
      <c r="H43" s="35" t="str">
        <f>IFERROR(IF(VLOOKUP($B43,casostestes[#Data],6)=0,"-",VLOOKUP($B43,casostestes[#Data],6)),"-")</f>
        <v>-</v>
      </c>
      <c r="I43" s="35" t="str">
        <f>IFERROR(IF(VLOOKUP($B43,casostestes[#Data],8)=0,"-",VLOOKUP($B43,casostestes[#Data],8)),"-")</f>
        <v>-</v>
      </c>
      <c r="J43" s="35" t="str">
        <f>IFERROR(IF(VLOOKUP($B43,casostestes[#Data],9)=0,"-",VLOOKUP($B43,casostestes[#Data],9)),"-")</f>
        <v>-</v>
      </c>
      <c r="K43" s="36"/>
      <c r="L43" s="45"/>
      <c r="M43" s="37"/>
      <c r="N43" s="38"/>
      <c r="O43" s="38"/>
      <c r="P43" s="39"/>
    </row>
    <row r="44" spans="2:16">
      <c r="B44" s="40" t="str">
        <f>IF(ISERR(casostestes[[#This Row],[ID]]),"-",casostestes[[#This Row],[ID]])</f>
        <v>-</v>
      </c>
      <c r="C44" s="34" t="str">
        <f>IFERROR(IF(VLOOKUP($B44,casostestes[#Data],10)=0,"Não",VLOOKUP($B44,casostestes[#Data],10)), "-")</f>
        <v>-</v>
      </c>
      <c r="D44" s="35" t="str">
        <f>IFERROR(IF(VLOOKUP($B44,casostestes[#Data],2)=0,"-",VLOOKUP($B44,casostestes[#Data],2)), "-")</f>
        <v>-</v>
      </c>
      <c r="E44" s="35" t="str">
        <f>IFERROR(IF(VLOOKUP($B44,casostestes[#Data],3)=0,"-",VLOOKUP($B44,casostestes[#Data],3)), "-")</f>
        <v>-</v>
      </c>
      <c r="F44" s="35" t="str">
        <f>IFERROR(IF(VLOOKUP($B44,casostestes[#Data],4)=0,"-",VLOOKUP($B44,casostestes[#Data],4)),"-")</f>
        <v>-</v>
      </c>
      <c r="G44" s="35" t="str">
        <f>IFERROR(IF(VLOOKUP($B44,casostestes[#Data],5)=0,"-",VLOOKUP($B44,casostestes[#Data],5)),"-")</f>
        <v>-</v>
      </c>
      <c r="H44" s="35" t="str">
        <f>IFERROR(IF(VLOOKUP($B44,casostestes[#Data],6)=0,"-",VLOOKUP($B44,casostestes[#Data],6)),"-")</f>
        <v>-</v>
      </c>
      <c r="I44" s="35" t="str">
        <f>IFERROR(IF(VLOOKUP($B44,casostestes[#Data],8)=0,"-",VLOOKUP($B44,casostestes[#Data],8)),"-")</f>
        <v>-</v>
      </c>
      <c r="J44" s="35" t="str">
        <f>IFERROR(IF(VLOOKUP($B44,casostestes[#Data],9)=0,"-",VLOOKUP($B44,casostestes[#Data],9)),"-")</f>
        <v>-</v>
      </c>
      <c r="K44" s="36"/>
      <c r="L44" s="45"/>
      <c r="M44" s="37"/>
      <c r="N44" s="38"/>
      <c r="O44" s="38"/>
      <c r="P44" s="39"/>
    </row>
    <row r="45" spans="2:16">
      <c r="B45" s="40" t="str">
        <f>IF(ISERR(casostestes[[#This Row],[ID]]),"-",casostestes[[#This Row],[ID]])</f>
        <v>-</v>
      </c>
      <c r="C45" s="34" t="str">
        <f>IFERROR(IF(VLOOKUP($B45,casostestes[#Data],10)=0,"Não",VLOOKUP($B45,casostestes[#Data],10)), "-")</f>
        <v>-</v>
      </c>
      <c r="D45" s="35" t="str">
        <f>IFERROR(IF(VLOOKUP($B45,casostestes[#Data],2)=0,"-",VLOOKUP($B45,casostestes[#Data],2)), "-")</f>
        <v>-</v>
      </c>
      <c r="E45" s="35" t="str">
        <f>IFERROR(IF(VLOOKUP($B45,casostestes[#Data],3)=0,"-",VLOOKUP($B45,casostestes[#Data],3)), "-")</f>
        <v>-</v>
      </c>
      <c r="F45" s="35" t="str">
        <f>IFERROR(IF(VLOOKUP($B45,casostestes[#Data],4)=0,"-",VLOOKUP($B45,casostestes[#Data],4)),"-")</f>
        <v>-</v>
      </c>
      <c r="G45" s="35" t="str">
        <f>IFERROR(IF(VLOOKUP($B45,casostestes[#Data],5)=0,"-",VLOOKUP($B45,casostestes[#Data],5)),"-")</f>
        <v>-</v>
      </c>
      <c r="H45" s="35" t="str">
        <f>IFERROR(IF(VLOOKUP($B45,casostestes[#Data],6)=0,"-",VLOOKUP($B45,casostestes[#Data],6)),"-")</f>
        <v>-</v>
      </c>
      <c r="I45" s="35" t="str">
        <f>IFERROR(IF(VLOOKUP($B45,casostestes[#Data],8)=0,"-",VLOOKUP($B45,casostestes[#Data],8)),"-")</f>
        <v>-</v>
      </c>
      <c r="J45" s="35" t="str">
        <f>IFERROR(IF(VLOOKUP($B45,casostestes[#Data],9)=0,"-",VLOOKUP($B45,casostestes[#Data],9)),"-")</f>
        <v>-</v>
      </c>
      <c r="K45" s="36"/>
      <c r="L45" s="45"/>
      <c r="M45" s="37"/>
      <c r="N45" s="38"/>
      <c r="O45" s="38"/>
      <c r="P45" s="39"/>
    </row>
    <row r="46" spans="2:16">
      <c r="B46" s="40" t="str">
        <f>IF(ISERR(casostestes[[#This Row],[ID]]),"-",casostestes[[#This Row],[ID]])</f>
        <v>-</v>
      </c>
      <c r="C46" s="34" t="str">
        <f>IFERROR(IF(VLOOKUP($B46,casostestes[#Data],10)=0,"Não",VLOOKUP($B46,casostestes[#Data],10)), "-")</f>
        <v>-</v>
      </c>
      <c r="D46" s="35" t="str">
        <f>IFERROR(IF(VLOOKUP($B46,casostestes[#Data],2)=0,"-",VLOOKUP($B46,casostestes[#Data],2)), "-")</f>
        <v>-</v>
      </c>
      <c r="E46" s="35" t="str">
        <f>IFERROR(IF(VLOOKUP($B46,casostestes[#Data],3)=0,"-",VLOOKUP($B46,casostestes[#Data],3)), "-")</f>
        <v>-</v>
      </c>
      <c r="F46" s="35" t="str">
        <f>IFERROR(IF(VLOOKUP($B46,casostestes[#Data],4)=0,"-",VLOOKUP($B46,casostestes[#Data],4)),"-")</f>
        <v>-</v>
      </c>
      <c r="G46" s="35" t="str">
        <f>IFERROR(IF(VLOOKUP($B46,casostestes[#Data],5)=0,"-",VLOOKUP($B46,casostestes[#Data],5)),"-")</f>
        <v>-</v>
      </c>
      <c r="H46" s="35" t="str">
        <f>IFERROR(IF(VLOOKUP($B46,casostestes[#Data],6)=0,"-",VLOOKUP($B46,casostestes[#Data],6)),"-")</f>
        <v>-</v>
      </c>
      <c r="I46" s="35" t="str">
        <f>IFERROR(IF(VLOOKUP($B46,casostestes[#Data],8)=0,"-",VLOOKUP($B46,casostestes[#Data],8)),"-")</f>
        <v>-</v>
      </c>
      <c r="J46" s="35" t="str">
        <f>IFERROR(IF(VLOOKUP($B46,casostestes[#Data],9)=0,"-",VLOOKUP($B46,casostestes[#Data],9)),"-")</f>
        <v>-</v>
      </c>
      <c r="K46" s="36"/>
      <c r="L46" s="45"/>
      <c r="M46" s="37"/>
      <c r="N46" s="38"/>
      <c r="O46" s="38"/>
      <c r="P46" s="39"/>
    </row>
    <row r="47" spans="2:16">
      <c r="B47" s="40" t="str">
        <f>IF(ISERR(casostestes[[#This Row],[ID]]),"-",casostestes[[#This Row],[ID]])</f>
        <v>-</v>
      </c>
      <c r="C47" s="34" t="str">
        <f>IFERROR(IF(VLOOKUP($B47,casostestes[#Data],10)=0,"Não",VLOOKUP($B47,casostestes[#Data],10)), "-")</f>
        <v>-</v>
      </c>
      <c r="D47" s="35" t="str">
        <f>IFERROR(IF(VLOOKUP($B47,casostestes[#Data],2)=0,"-",VLOOKUP($B47,casostestes[#Data],2)), "-")</f>
        <v>-</v>
      </c>
      <c r="E47" s="35" t="str">
        <f>IFERROR(IF(VLOOKUP($B47,casostestes[#Data],3)=0,"-",VLOOKUP($B47,casostestes[#Data],3)), "-")</f>
        <v>-</v>
      </c>
      <c r="F47" s="35" t="str">
        <f>IFERROR(IF(VLOOKUP($B47,casostestes[#Data],4)=0,"-",VLOOKUP($B47,casostestes[#Data],4)),"-")</f>
        <v>-</v>
      </c>
      <c r="G47" s="35" t="str">
        <f>IFERROR(IF(VLOOKUP($B47,casostestes[#Data],5)=0,"-",VLOOKUP($B47,casostestes[#Data],5)),"-")</f>
        <v>-</v>
      </c>
      <c r="H47" s="35" t="str">
        <f>IFERROR(IF(VLOOKUP($B47,casostestes[#Data],6)=0,"-",VLOOKUP($B47,casostestes[#Data],6)),"-")</f>
        <v>-</v>
      </c>
      <c r="I47" s="35" t="str">
        <f>IFERROR(IF(VLOOKUP($B47,casostestes[#Data],8)=0,"-",VLOOKUP($B47,casostestes[#Data],8)),"-")</f>
        <v>-</v>
      </c>
      <c r="J47" s="35" t="str">
        <f>IFERROR(IF(VLOOKUP($B47,casostestes[#Data],9)=0,"-",VLOOKUP($B47,casostestes[#Data],9)),"-")</f>
        <v>-</v>
      </c>
      <c r="K47" s="36"/>
      <c r="L47" s="45"/>
      <c r="M47" s="37"/>
      <c r="N47" s="38"/>
      <c r="O47" s="38"/>
      <c r="P47" s="39"/>
    </row>
    <row r="48" spans="2:16">
      <c r="B48" s="40" t="str">
        <f>IF(ISERR(casostestes[[#This Row],[ID]]),"-",casostestes[[#This Row],[ID]])</f>
        <v>-</v>
      </c>
      <c r="C48" s="34" t="str">
        <f>IFERROR(IF(VLOOKUP($B48,casostestes[#Data],10)=0,"Não",VLOOKUP($B48,casostestes[#Data],10)), "-")</f>
        <v>-</v>
      </c>
      <c r="D48" s="35" t="str">
        <f>IFERROR(IF(VLOOKUP($B48,casostestes[#Data],2)=0,"-",VLOOKUP($B48,casostestes[#Data],2)), "-")</f>
        <v>-</v>
      </c>
      <c r="E48" s="35" t="str">
        <f>IFERROR(IF(VLOOKUP($B48,casostestes[#Data],3)=0,"-",VLOOKUP($B48,casostestes[#Data],3)), "-")</f>
        <v>-</v>
      </c>
      <c r="F48" s="35" t="str">
        <f>IFERROR(IF(VLOOKUP($B48,casostestes[#Data],4)=0,"-",VLOOKUP($B48,casostestes[#Data],4)),"-")</f>
        <v>-</v>
      </c>
      <c r="G48" s="35" t="str">
        <f>IFERROR(IF(VLOOKUP($B48,casostestes[#Data],5)=0,"-",VLOOKUP($B48,casostestes[#Data],5)),"-")</f>
        <v>-</v>
      </c>
      <c r="H48" s="35" t="str">
        <f>IFERROR(IF(VLOOKUP($B48,casostestes[#Data],6)=0,"-",VLOOKUP($B48,casostestes[#Data],6)),"-")</f>
        <v>-</v>
      </c>
      <c r="I48" s="35" t="str">
        <f>IFERROR(IF(VLOOKUP($B48,casostestes[#Data],8)=0,"-",VLOOKUP($B48,casostestes[#Data],8)),"-")</f>
        <v>-</v>
      </c>
      <c r="J48" s="35" t="str">
        <f>IFERROR(IF(VLOOKUP($B48,casostestes[#Data],9)=0,"-",VLOOKUP($B48,casostestes[#Data],9)),"-")</f>
        <v>-</v>
      </c>
      <c r="K48" s="36"/>
      <c r="L48" s="45"/>
      <c r="M48" s="37"/>
      <c r="N48" s="38"/>
      <c r="O48" s="38"/>
      <c r="P48" s="39"/>
    </row>
    <row r="49" spans="2:16">
      <c r="B49" s="40" t="str">
        <f>IF(ISERR(casostestes[[#This Row],[ID]]),"-",casostestes[[#This Row],[ID]])</f>
        <v>-</v>
      </c>
      <c r="C49" s="34" t="str">
        <f>IFERROR(IF(VLOOKUP($B49,casostestes[#Data],10)=0,"Não",VLOOKUP($B49,casostestes[#Data],10)), "-")</f>
        <v>-</v>
      </c>
      <c r="D49" s="35" t="str">
        <f>IFERROR(IF(VLOOKUP($B49,casostestes[#Data],2)=0,"-",VLOOKUP($B49,casostestes[#Data],2)), "-")</f>
        <v>-</v>
      </c>
      <c r="E49" s="35" t="str">
        <f>IFERROR(IF(VLOOKUP($B49,casostestes[#Data],3)=0,"-",VLOOKUP($B49,casostestes[#Data],3)), "-")</f>
        <v>-</v>
      </c>
      <c r="F49" s="35" t="str">
        <f>IFERROR(IF(VLOOKUP($B49,casostestes[#Data],4)=0,"-",VLOOKUP($B49,casostestes[#Data],4)),"-")</f>
        <v>-</v>
      </c>
      <c r="G49" s="35" t="str">
        <f>IFERROR(IF(VLOOKUP($B49,casostestes[#Data],5)=0,"-",VLOOKUP($B49,casostestes[#Data],5)),"-")</f>
        <v>-</v>
      </c>
      <c r="H49" s="35" t="str">
        <f>IFERROR(IF(VLOOKUP($B49,casostestes[#Data],6)=0,"-",VLOOKUP($B49,casostestes[#Data],6)),"-")</f>
        <v>-</v>
      </c>
      <c r="I49" s="35" t="str">
        <f>IFERROR(IF(VLOOKUP($B49,casostestes[#Data],8)=0,"-",VLOOKUP($B49,casostestes[#Data],8)),"-")</f>
        <v>-</v>
      </c>
      <c r="J49" s="35" t="str">
        <f>IFERROR(IF(VLOOKUP($B49,casostestes[#Data],9)=0,"-",VLOOKUP($B49,casostestes[#Data],9)),"-")</f>
        <v>-</v>
      </c>
      <c r="K49" s="36"/>
      <c r="L49" s="45"/>
      <c r="M49" s="37"/>
      <c r="N49" s="38"/>
      <c r="O49" s="38"/>
      <c r="P49" s="39"/>
    </row>
    <row r="50" spans="2:16">
      <c r="B50" s="40" t="str">
        <f>IF(ISERR(casostestes[[#This Row],[ID]]),"-",casostestes[[#This Row],[ID]])</f>
        <v>-</v>
      </c>
      <c r="C50" s="34" t="str">
        <f>IFERROR(IF(VLOOKUP($B50,casostestes[#Data],10)=0,"Não",VLOOKUP($B50,casostestes[#Data],10)), "-")</f>
        <v>-</v>
      </c>
      <c r="D50" s="35" t="str">
        <f>IFERROR(IF(VLOOKUP($B50,casostestes[#Data],2)=0,"-",VLOOKUP($B50,casostestes[#Data],2)), "-")</f>
        <v>-</v>
      </c>
      <c r="E50" s="35" t="str">
        <f>IFERROR(IF(VLOOKUP($B50,casostestes[#Data],3)=0,"-",VLOOKUP($B50,casostestes[#Data],3)), "-")</f>
        <v>-</v>
      </c>
      <c r="F50" s="35" t="str">
        <f>IFERROR(IF(VLOOKUP($B50,casostestes[#Data],4)=0,"-",VLOOKUP($B50,casostestes[#Data],4)),"-")</f>
        <v>-</v>
      </c>
      <c r="G50" s="35" t="str">
        <f>IFERROR(IF(VLOOKUP($B50,casostestes[#Data],5)=0,"-",VLOOKUP($B50,casostestes[#Data],5)),"-")</f>
        <v>-</v>
      </c>
      <c r="H50" s="35" t="str">
        <f>IFERROR(IF(VLOOKUP($B50,casostestes[#Data],6)=0,"-",VLOOKUP($B50,casostestes[#Data],6)),"-")</f>
        <v>-</v>
      </c>
      <c r="I50" s="35" t="str">
        <f>IFERROR(IF(VLOOKUP($B50,casostestes[#Data],8)=0,"-",VLOOKUP($B50,casostestes[#Data],8)),"-")</f>
        <v>-</v>
      </c>
      <c r="J50" s="35" t="str">
        <f>IFERROR(IF(VLOOKUP($B50,casostestes[#Data],9)=0,"-",VLOOKUP($B50,casostestes[#Data],9)),"-")</f>
        <v>-</v>
      </c>
      <c r="K50" s="36"/>
      <c r="L50" s="45"/>
      <c r="M50" s="37"/>
      <c r="N50" s="38"/>
      <c r="O50" s="38"/>
      <c r="P50" s="39"/>
    </row>
    <row r="51" spans="2:16">
      <c r="B51" s="40" t="str">
        <f>IF(ISERR(casostestes[[#This Row],[ID]]),"-",casostestes[[#This Row],[ID]])</f>
        <v>-</v>
      </c>
      <c r="C51" s="34" t="str">
        <f>IFERROR(IF(VLOOKUP($B51,casostestes[#Data],10)=0,"Não",VLOOKUP($B51,casostestes[#Data],10)), "-")</f>
        <v>-</v>
      </c>
      <c r="D51" s="35" t="str">
        <f>IFERROR(IF(VLOOKUP($B51,casostestes[#Data],2)=0,"-",VLOOKUP($B51,casostestes[#Data],2)), "-")</f>
        <v>-</v>
      </c>
      <c r="E51" s="35" t="str">
        <f>IFERROR(IF(VLOOKUP($B51,casostestes[#Data],3)=0,"-",VLOOKUP($B51,casostestes[#Data],3)), "-")</f>
        <v>-</v>
      </c>
      <c r="F51" s="35" t="str">
        <f>IFERROR(IF(VLOOKUP($B51,casostestes[#Data],4)=0,"-",VLOOKUP($B51,casostestes[#Data],4)),"-")</f>
        <v>-</v>
      </c>
      <c r="G51" s="35" t="str">
        <f>IFERROR(IF(VLOOKUP($B51,casostestes[#Data],5)=0,"-",VLOOKUP($B51,casostestes[#Data],5)),"-")</f>
        <v>-</v>
      </c>
      <c r="H51" s="35" t="str">
        <f>IFERROR(IF(VLOOKUP($B51,casostestes[#Data],6)=0,"-",VLOOKUP($B51,casostestes[#Data],6)),"-")</f>
        <v>-</v>
      </c>
      <c r="I51" s="35" t="str">
        <f>IFERROR(IF(VLOOKUP($B51,casostestes[#Data],8)=0,"-",VLOOKUP($B51,casostestes[#Data],8)),"-")</f>
        <v>-</v>
      </c>
      <c r="J51" s="35" t="str">
        <f>IFERROR(IF(VLOOKUP($B51,casostestes[#Data],9)=0,"-",VLOOKUP($B51,casostestes[#Data],9)),"-")</f>
        <v>-</v>
      </c>
      <c r="K51" s="36"/>
      <c r="L51" s="45"/>
      <c r="M51" s="37"/>
      <c r="N51" s="38"/>
      <c r="O51" s="38"/>
      <c r="P51" s="39"/>
    </row>
    <row r="52" spans="2:16">
      <c r="B52" s="40" t="str">
        <f>IF(ISERR(casostestes[[#This Row],[ID]]),"-",casostestes[[#This Row],[ID]])</f>
        <v>-</v>
      </c>
      <c r="C52" s="34" t="str">
        <f>IFERROR(IF(VLOOKUP($B52,casostestes[#Data],10)=0,"Não",VLOOKUP($B52,casostestes[#Data],10)), "-")</f>
        <v>-</v>
      </c>
      <c r="D52" s="35" t="str">
        <f>IFERROR(IF(VLOOKUP($B52,casostestes[#Data],2)=0,"-",VLOOKUP($B52,casostestes[#Data],2)), "-")</f>
        <v>-</v>
      </c>
      <c r="E52" s="35" t="str">
        <f>IFERROR(IF(VLOOKUP($B52,casostestes[#Data],3)=0,"-",VLOOKUP($B52,casostestes[#Data],3)), "-")</f>
        <v>-</v>
      </c>
      <c r="F52" s="35" t="str">
        <f>IFERROR(IF(VLOOKUP($B52,casostestes[#Data],4)=0,"-",VLOOKUP($B52,casostestes[#Data],4)),"-")</f>
        <v>-</v>
      </c>
      <c r="G52" s="35" t="str">
        <f>IFERROR(IF(VLOOKUP($B52,casostestes[#Data],5)=0,"-",VLOOKUP($B52,casostestes[#Data],5)),"-")</f>
        <v>-</v>
      </c>
      <c r="H52" s="35" t="str">
        <f>IFERROR(IF(VLOOKUP($B52,casostestes[#Data],6)=0,"-",VLOOKUP($B52,casostestes[#Data],6)),"-")</f>
        <v>-</v>
      </c>
      <c r="I52" s="35" t="str">
        <f>IFERROR(IF(VLOOKUP($B52,casostestes[#Data],8)=0,"-",VLOOKUP($B52,casostestes[#Data],8)),"-")</f>
        <v>-</v>
      </c>
      <c r="J52" s="35" t="str">
        <f>IFERROR(IF(VLOOKUP($B52,casostestes[#Data],9)=0,"-",VLOOKUP($B52,casostestes[#Data],9)),"-")</f>
        <v>-</v>
      </c>
      <c r="K52" s="36"/>
      <c r="L52" s="45"/>
      <c r="M52" s="37"/>
      <c r="N52" s="38"/>
      <c r="O52" s="38"/>
      <c r="P52" s="39"/>
    </row>
    <row r="53" spans="2:16">
      <c r="B53" s="40" t="str">
        <f>IF(ISERR(casostestes[[#This Row],[ID]]),"-",casostestes[[#This Row],[ID]])</f>
        <v>-</v>
      </c>
      <c r="C53" s="34" t="str">
        <f>IFERROR(IF(VLOOKUP($B53,casostestes[#Data],10)=0,"Não",VLOOKUP($B53,casostestes[#Data],10)), "-")</f>
        <v>-</v>
      </c>
      <c r="D53" s="35" t="str">
        <f>IFERROR(IF(VLOOKUP($B53,casostestes[#Data],2)=0,"-",VLOOKUP($B53,casostestes[#Data],2)), "-")</f>
        <v>-</v>
      </c>
      <c r="E53" s="35" t="str">
        <f>IFERROR(IF(VLOOKUP($B53,casostestes[#Data],3)=0,"-",VLOOKUP($B53,casostestes[#Data],3)), "-")</f>
        <v>-</v>
      </c>
      <c r="F53" s="35" t="str">
        <f>IFERROR(IF(VLOOKUP($B53,casostestes[#Data],4)=0,"-",VLOOKUP($B53,casostestes[#Data],4)),"-")</f>
        <v>-</v>
      </c>
      <c r="G53" s="35" t="str">
        <f>IFERROR(IF(VLOOKUP($B53,casostestes[#Data],5)=0,"-",VLOOKUP($B53,casostestes[#Data],5)),"-")</f>
        <v>-</v>
      </c>
      <c r="H53" s="35" t="str">
        <f>IFERROR(IF(VLOOKUP($B53,casostestes[#Data],6)=0,"-",VLOOKUP($B53,casostestes[#Data],6)),"-")</f>
        <v>-</v>
      </c>
      <c r="I53" s="35" t="str">
        <f>IFERROR(IF(VLOOKUP($B53,casostestes[#Data],8)=0,"-",VLOOKUP($B53,casostestes[#Data],8)),"-")</f>
        <v>-</v>
      </c>
      <c r="J53" s="35" t="str">
        <f>IFERROR(IF(VLOOKUP($B53,casostestes[#Data],9)=0,"-",VLOOKUP($B53,casostestes[#Data],9)),"-")</f>
        <v>-</v>
      </c>
      <c r="K53" s="36"/>
      <c r="L53" s="45"/>
      <c r="M53" s="37"/>
      <c r="N53" s="38"/>
      <c r="O53" s="38"/>
      <c r="P53" s="39"/>
    </row>
    <row r="54" spans="2:16">
      <c r="B54" s="40" t="str">
        <f>IF(ISERR(casostestes[[#This Row],[ID]]),"-",casostestes[[#This Row],[ID]])</f>
        <v>-</v>
      </c>
      <c r="C54" s="34" t="str">
        <f>IFERROR(IF(VLOOKUP($B54,casostestes[#Data],10)=0,"Não",VLOOKUP($B54,casostestes[#Data],10)), "-")</f>
        <v>-</v>
      </c>
      <c r="D54" s="35" t="str">
        <f>IFERROR(IF(VLOOKUP($B54,casostestes[#Data],2)=0,"-",VLOOKUP($B54,casostestes[#Data],2)), "-")</f>
        <v>-</v>
      </c>
      <c r="E54" s="35" t="str">
        <f>IFERROR(IF(VLOOKUP($B54,casostestes[#Data],3)=0,"-",VLOOKUP($B54,casostestes[#Data],3)), "-")</f>
        <v>-</v>
      </c>
      <c r="F54" s="35" t="str">
        <f>IFERROR(IF(VLOOKUP($B54,casostestes[#Data],4)=0,"-",VLOOKUP($B54,casostestes[#Data],4)),"-")</f>
        <v>-</v>
      </c>
      <c r="G54" s="35" t="str">
        <f>IFERROR(IF(VLOOKUP($B54,casostestes[#Data],5)=0,"-",VLOOKUP($B54,casostestes[#Data],5)),"-")</f>
        <v>-</v>
      </c>
      <c r="H54" s="35" t="str">
        <f>IFERROR(IF(VLOOKUP($B54,casostestes[#Data],6)=0,"-",VLOOKUP($B54,casostestes[#Data],6)),"-")</f>
        <v>-</v>
      </c>
      <c r="I54" s="35" t="str">
        <f>IFERROR(IF(VLOOKUP($B54,casostestes[#Data],8)=0,"-",VLOOKUP($B54,casostestes[#Data],8)),"-")</f>
        <v>-</v>
      </c>
      <c r="J54" s="35" t="str">
        <f>IFERROR(IF(VLOOKUP($B54,casostestes[#Data],9)=0,"-",VLOOKUP($B54,casostestes[#Data],9)),"-")</f>
        <v>-</v>
      </c>
      <c r="K54" s="36"/>
      <c r="L54" s="45"/>
      <c r="M54" s="37"/>
      <c r="N54" s="38"/>
      <c r="O54" s="38"/>
      <c r="P54" s="39"/>
    </row>
    <row r="55" spans="2:16">
      <c r="B55" s="40" t="str">
        <f>IF(ISERR(casostestes[[#This Row],[ID]]),"-",casostestes[[#This Row],[ID]])</f>
        <v>-</v>
      </c>
      <c r="C55" s="34" t="str">
        <f>IFERROR(IF(VLOOKUP($B55,casostestes[#Data],10)=0,"Não",VLOOKUP($B55,casostestes[#Data],10)), "-")</f>
        <v>-</v>
      </c>
      <c r="D55" s="35" t="str">
        <f>IFERROR(IF(VLOOKUP($B55,casostestes[#Data],2)=0,"-",VLOOKUP($B55,casostestes[#Data],2)), "-")</f>
        <v>-</v>
      </c>
      <c r="E55" s="35" t="str">
        <f>IFERROR(IF(VLOOKUP($B55,casostestes[#Data],3)=0,"-",VLOOKUP($B55,casostestes[#Data],3)), "-")</f>
        <v>-</v>
      </c>
      <c r="F55" s="35" t="str">
        <f>IFERROR(IF(VLOOKUP($B55,casostestes[#Data],4)=0,"-",VLOOKUP($B55,casostestes[#Data],4)),"-")</f>
        <v>-</v>
      </c>
      <c r="G55" s="35" t="str">
        <f>IFERROR(IF(VLOOKUP($B55,casostestes[#Data],5)=0,"-",VLOOKUP($B55,casostestes[#Data],5)),"-")</f>
        <v>-</v>
      </c>
      <c r="H55" s="35" t="str">
        <f>IFERROR(IF(VLOOKUP($B55,casostestes[#Data],6)=0,"-",VLOOKUP($B55,casostestes[#Data],6)),"-")</f>
        <v>-</v>
      </c>
      <c r="I55" s="35" t="str">
        <f>IFERROR(IF(VLOOKUP($B55,casostestes[#Data],8)=0,"-",VLOOKUP($B55,casostestes[#Data],8)),"-")</f>
        <v>-</v>
      </c>
      <c r="J55" s="35" t="str">
        <f>IFERROR(IF(VLOOKUP($B55,casostestes[#Data],9)=0,"-",VLOOKUP($B55,casostestes[#Data],9)),"-")</f>
        <v>-</v>
      </c>
      <c r="K55" s="36"/>
      <c r="L55" s="45"/>
      <c r="M55" s="37"/>
      <c r="N55" s="38"/>
      <c r="O55" s="38"/>
      <c r="P55" s="39"/>
    </row>
    <row r="56" spans="2:16">
      <c r="B56" s="40" t="str">
        <f>IF(ISERR(casostestes[[#This Row],[ID]]),"-",casostestes[[#This Row],[ID]])</f>
        <v>-</v>
      </c>
      <c r="C56" s="34" t="str">
        <f>IFERROR(IF(VLOOKUP($B56,casostestes[#Data],10)=0,"Não",VLOOKUP($B56,casostestes[#Data],10)), "-")</f>
        <v>-</v>
      </c>
      <c r="D56" s="35" t="str">
        <f>IFERROR(IF(VLOOKUP($B56,casostestes[#Data],2)=0,"-",VLOOKUP($B56,casostestes[#Data],2)), "-")</f>
        <v>-</v>
      </c>
      <c r="E56" s="35" t="str">
        <f>IFERROR(IF(VLOOKUP($B56,casostestes[#Data],3)=0,"-",VLOOKUP($B56,casostestes[#Data],3)), "-")</f>
        <v>-</v>
      </c>
      <c r="F56" s="35" t="str">
        <f>IFERROR(IF(VLOOKUP($B56,casostestes[#Data],4)=0,"-",VLOOKUP($B56,casostestes[#Data],4)),"-")</f>
        <v>-</v>
      </c>
      <c r="G56" s="35" t="str">
        <f>IFERROR(IF(VLOOKUP($B56,casostestes[#Data],5)=0,"-",VLOOKUP($B56,casostestes[#Data],5)),"-")</f>
        <v>-</v>
      </c>
      <c r="H56" s="35" t="str">
        <f>IFERROR(IF(VLOOKUP($B56,casostestes[#Data],6)=0,"-",VLOOKUP($B56,casostestes[#Data],6)),"-")</f>
        <v>-</v>
      </c>
      <c r="I56" s="35" t="str">
        <f>IFERROR(IF(VLOOKUP($B56,casostestes[#Data],8)=0,"-",VLOOKUP($B56,casostestes[#Data],8)),"-")</f>
        <v>-</v>
      </c>
      <c r="J56" s="35" t="str">
        <f>IFERROR(IF(VLOOKUP($B56,casostestes[#Data],9)=0,"-",VLOOKUP($B56,casostestes[#Data],9)),"-")</f>
        <v>-</v>
      </c>
      <c r="K56" s="36"/>
      <c r="L56" s="45"/>
      <c r="M56" s="37"/>
      <c r="N56" s="38"/>
      <c r="O56" s="38"/>
      <c r="P56" s="39"/>
    </row>
    <row r="57" spans="2:16">
      <c r="B57" s="40" t="str">
        <f>IF(ISERR(casostestes[[#This Row],[ID]]),"-",casostestes[[#This Row],[ID]])</f>
        <v>-</v>
      </c>
      <c r="C57" s="34" t="str">
        <f>IFERROR(IF(VLOOKUP($B57,casostestes[#Data],10)=0,"Não",VLOOKUP($B57,casostestes[#Data],10)), "-")</f>
        <v>-</v>
      </c>
      <c r="D57" s="35" t="str">
        <f>IFERROR(IF(VLOOKUP($B57,casostestes[#Data],2)=0,"-",VLOOKUP($B57,casostestes[#Data],2)), "-")</f>
        <v>-</v>
      </c>
      <c r="E57" s="35" t="str">
        <f>IFERROR(IF(VLOOKUP($B57,casostestes[#Data],3)=0,"-",VLOOKUP($B57,casostestes[#Data],3)), "-")</f>
        <v>-</v>
      </c>
      <c r="F57" s="35" t="str">
        <f>IFERROR(IF(VLOOKUP($B57,casostestes[#Data],4)=0,"-",VLOOKUP($B57,casostestes[#Data],4)),"-")</f>
        <v>-</v>
      </c>
      <c r="G57" s="35" t="str">
        <f>IFERROR(IF(VLOOKUP($B57,casostestes[#Data],5)=0,"-",VLOOKUP($B57,casostestes[#Data],5)),"-")</f>
        <v>-</v>
      </c>
      <c r="H57" s="35" t="str">
        <f>IFERROR(IF(VLOOKUP($B57,casostestes[#Data],6)=0,"-",VLOOKUP($B57,casostestes[#Data],6)),"-")</f>
        <v>-</v>
      </c>
      <c r="I57" s="35" t="str">
        <f>IFERROR(IF(VLOOKUP($B57,casostestes[#Data],8)=0,"-",VLOOKUP($B57,casostestes[#Data],8)),"-")</f>
        <v>-</v>
      </c>
      <c r="J57" s="35" t="str">
        <f>IFERROR(IF(VLOOKUP($B57,casostestes[#Data],9)=0,"-",VLOOKUP($B57,casostestes[#Data],9)),"-")</f>
        <v>-</v>
      </c>
      <c r="K57" s="36"/>
      <c r="L57" s="45"/>
      <c r="M57" s="37"/>
      <c r="N57" s="38"/>
      <c r="O57" s="38"/>
      <c r="P57" s="39"/>
    </row>
    <row r="58" spans="2:16">
      <c r="B58" s="40" t="str">
        <f>IF(ISERR(casostestes[[#This Row],[ID]]),"-",casostestes[[#This Row],[ID]])</f>
        <v>-</v>
      </c>
      <c r="C58" s="34" t="str">
        <f>IFERROR(IF(VLOOKUP($B58,casostestes[#Data],10)=0,"Não",VLOOKUP($B58,casostestes[#Data],10)), "-")</f>
        <v>-</v>
      </c>
      <c r="D58" s="35" t="str">
        <f>IFERROR(IF(VLOOKUP($B58,casostestes[#Data],2)=0,"-",VLOOKUP($B58,casostestes[#Data],2)), "-")</f>
        <v>-</v>
      </c>
      <c r="E58" s="35" t="str">
        <f>IFERROR(IF(VLOOKUP($B58,casostestes[#Data],3)=0,"-",VLOOKUP($B58,casostestes[#Data],3)), "-")</f>
        <v>-</v>
      </c>
      <c r="F58" s="35" t="str">
        <f>IFERROR(IF(VLOOKUP($B58,casostestes[#Data],4)=0,"-",VLOOKUP($B58,casostestes[#Data],4)),"-")</f>
        <v>-</v>
      </c>
      <c r="G58" s="35" t="str">
        <f>IFERROR(IF(VLOOKUP($B58,casostestes[#Data],5)=0,"-",VLOOKUP($B58,casostestes[#Data],5)),"-")</f>
        <v>-</v>
      </c>
      <c r="H58" s="35" t="str">
        <f>IFERROR(IF(VLOOKUP($B58,casostestes[#Data],6)=0,"-",VLOOKUP($B58,casostestes[#Data],6)),"-")</f>
        <v>-</v>
      </c>
      <c r="I58" s="35" t="str">
        <f>IFERROR(IF(VLOOKUP($B58,casostestes[#Data],8)=0,"-",VLOOKUP($B58,casostestes[#Data],8)),"-")</f>
        <v>-</v>
      </c>
      <c r="J58" s="35" t="str">
        <f>IFERROR(IF(VLOOKUP($B58,casostestes[#Data],9)=0,"-",VLOOKUP($B58,casostestes[#Data],9)),"-")</f>
        <v>-</v>
      </c>
      <c r="K58" s="36"/>
      <c r="L58" s="45"/>
      <c r="M58" s="37"/>
      <c r="N58" s="38"/>
      <c r="O58" s="38"/>
      <c r="P58" s="39"/>
    </row>
    <row r="59" spans="2:16">
      <c r="B59" s="40" t="str">
        <f>IF(ISERR(casostestes[[#This Row],[ID]]),"-",casostestes[[#This Row],[ID]])</f>
        <v>-</v>
      </c>
      <c r="C59" s="34" t="str">
        <f>IFERROR(IF(VLOOKUP($B59,casostestes[#Data],10)=0,"Não",VLOOKUP($B59,casostestes[#Data],10)), "-")</f>
        <v>-</v>
      </c>
      <c r="D59" s="35" t="str">
        <f>IFERROR(IF(VLOOKUP($B59,casostestes[#Data],2)=0,"-",VLOOKUP($B59,casostestes[#Data],2)), "-")</f>
        <v>-</v>
      </c>
      <c r="E59" s="35" t="str">
        <f>IFERROR(IF(VLOOKUP($B59,casostestes[#Data],3)=0,"-",VLOOKUP($B59,casostestes[#Data],3)), "-")</f>
        <v>-</v>
      </c>
      <c r="F59" s="35" t="str">
        <f>IFERROR(IF(VLOOKUP($B59,casostestes[#Data],4)=0,"-",VLOOKUP($B59,casostestes[#Data],4)),"-")</f>
        <v>-</v>
      </c>
      <c r="G59" s="35" t="str">
        <f>IFERROR(IF(VLOOKUP($B59,casostestes[#Data],5)=0,"-",VLOOKUP($B59,casostestes[#Data],5)),"-")</f>
        <v>-</v>
      </c>
      <c r="H59" s="35" t="str">
        <f>IFERROR(IF(VLOOKUP($B59,casostestes[#Data],6)=0,"-",VLOOKUP($B59,casostestes[#Data],6)),"-")</f>
        <v>-</v>
      </c>
      <c r="I59" s="35" t="str">
        <f>IFERROR(IF(VLOOKUP($B59,casostestes[#Data],8)=0,"-",VLOOKUP($B59,casostestes[#Data],8)),"-")</f>
        <v>-</v>
      </c>
      <c r="J59" s="35" t="str">
        <f>IFERROR(IF(VLOOKUP($B59,casostestes[#Data],9)=0,"-",VLOOKUP($B59,casostestes[#Data],9)),"-")</f>
        <v>-</v>
      </c>
      <c r="K59" s="36"/>
      <c r="L59" s="45"/>
      <c r="M59" s="37"/>
      <c r="N59" s="38"/>
      <c r="O59" s="38"/>
      <c r="P59" s="39"/>
    </row>
    <row r="60" spans="2:16">
      <c r="B60" s="40" t="str">
        <f>IF(ISERR(casostestes[[#This Row],[ID]]),"-",casostestes[[#This Row],[ID]])</f>
        <v>-</v>
      </c>
      <c r="C60" s="34" t="str">
        <f>IFERROR(IF(VLOOKUP($B60,casostestes[#Data],10)=0,"Não",VLOOKUP($B60,casostestes[#Data],10)), "-")</f>
        <v>-</v>
      </c>
      <c r="D60" s="35" t="str">
        <f>IFERROR(IF(VLOOKUP($B60,casostestes[#Data],2)=0,"-",VLOOKUP($B60,casostestes[#Data],2)), "-")</f>
        <v>-</v>
      </c>
      <c r="E60" s="35" t="str">
        <f>IFERROR(IF(VLOOKUP($B60,casostestes[#Data],3)=0,"-",VLOOKUP($B60,casostestes[#Data],3)), "-")</f>
        <v>-</v>
      </c>
      <c r="F60" s="35" t="str">
        <f>IFERROR(IF(VLOOKUP($B60,casostestes[#Data],4)=0,"-",VLOOKUP($B60,casostestes[#Data],4)),"-")</f>
        <v>-</v>
      </c>
      <c r="G60" s="35" t="str">
        <f>IFERROR(IF(VLOOKUP($B60,casostestes[#Data],5)=0,"-",VLOOKUP($B60,casostestes[#Data],5)),"-")</f>
        <v>-</v>
      </c>
      <c r="H60" s="35" t="str">
        <f>IFERROR(IF(VLOOKUP($B60,casostestes[#Data],6)=0,"-",VLOOKUP($B60,casostestes[#Data],6)),"-")</f>
        <v>-</v>
      </c>
      <c r="I60" s="35" t="str">
        <f>IFERROR(IF(VLOOKUP($B60,casostestes[#Data],8)=0,"-",VLOOKUP($B60,casostestes[#Data],8)),"-")</f>
        <v>-</v>
      </c>
      <c r="J60" s="35" t="str">
        <f>IFERROR(IF(VLOOKUP($B60,casostestes[#Data],9)=0,"-",VLOOKUP($B60,casostestes[#Data],9)),"-")</f>
        <v>-</v>
      </c>
      <c r="K60" s="36"/>
      <c r="L60" s="45"/>
      <c r="M60" s="37"/>
      <c r="N60" s="38"/>
      <c r="O60" s="38"/>
      <c r="P60" s="39"/>
    </row>
    <row r="61" spans="2:16">
      <c r="B61" s="40" t="str">
        <f>IF(ISERR(casostestes[[#This Row],[ID]]),"-",casostestes[[#This Row],[ID]])</f>
        <v>-</v>
      </c>
      <c r="C61" s="34" t="str">
        <f>IFERROR(IF(VLOOKUP($B61,casostestes[#Data],10)=0,"Não",VLOOKUP($B61,casostestes[#Data],10)), "-")</f>
        <v>-</v>
      </c>
      <c r="D61" s="35" t="str">
        <f>IFERROR(IF(VLOOKUP($B61,casostestes[#Data],2)=0,"-",VLOOKUP($B61,casostestes[#Data],2)), "-")</f>
        <v>-</v>
      </c>
      <c r="E61" s="35" t="str">
        <f>IFERROR(IF(VLOOKUP($B61,casostestes[#Data],3)=0,"-",VLOOKUP($B61,casostestes[#Data],3)), "-")</f>
        <v>-</v>
      </c>
      <c r="F61" s="35" t="str">
        <f>IFERROR(IF(VLOOKUP($B61,casostestes[#Data],4)=0,"-",VLOOKUP($B61,casostestes[#Data],4)),"-")</f>
        <v>-</v>
      </c>
      <c r="G61" s="35" t="str">
        <f>IFERROR(IF(VLOOKUP($B61,casostestes[#Data],5)=0,"-",VLOOKUP($B61,casostestes[#Data],5)),"-")</f>
        <v>-</v>
      </c>
      <c r="H61" s="35" t="str">
        <f>IFERROR(IF(VLOOKUP($B61,casostestes[#Data],6)=0,"-",VLOOKUP($B61,casostestes[#Data],6)),"-")</f>
        <v>-</v>
      </c>
      <c r="I61" s="35" t="str">
        <f>IFERROR(IF(VLOOKUP($B61,casostestes[#Data],8)=0,"-",VLOOKUP($B61,casostestes[#Data],8)),"-")</f>
        <v>-</v>
      </c>
      <c r="J61" s="35" t="str">
        <f>IFERROR(IF(VLOOKUP($B61,casostestes[#Data],9)=0,"-",VLOOKUP($B61,casostestes[#Data],9)),"-")</f>
        <v>-</v>
      </c>
      <c r="K61" s="36"/>
      <c r="L61" s="45"/>
      <c r="M61" s="37"/>
      <c r="N61" s="38"/>
      <c r="O61" s="38"/>
      <c r="P61" s="39"/>
    </row>
    <row r="62" spans="2:16">
      <c r="B62" s="40" t="str">
        <f>IF(ISERR(casostestes[[#This Row],[ID]]),"-",casostestes[[#This Row],[ID]])</f>
        <v>-</v>
      </c>
      <c r="C62" s="34" t="str">
        <f>IFERROR(IF(VLOOKUP($B62,casostestes[#Data],10)=0,"Não",VLOOKUP($B62,casostestes[#Data],10)), "-")</f>
        <v>-</v>
      </c>
      <c r="D62" s="35" t="str">
        <f>IFERROR(IF(VLOOKUP($B62,casostestes[#Data],2)=0,"-",VLOOKUP($B62,casostestes[#Data],2)), "-")</f>
        <v>-</v>
      </c>
      <c r="E62" s="35" t="str">
        <f>IFERROR(IF(VLOOKUP($B62,casostestes[#Data],3)=0,"-",VLOOKUP($B62,casostestes[#Data],3)), "-")</f>
        <v>-</v>
      </c>
      <c r="F62" s="35" t="str">
        <f>IFERROR(IF(VLOOKUP($B62,casostestes[#Data],4)=0,"-",VLOOKUP($B62,casostestes[#Data],4)),"-")</f>
        <v>-</v>
      </c>
      <c r="G62" s="35" t="str">
        <f>IFERROR(IF(VLOOKUP($B62,casostestes[#Data],5)=0,"-",VLOOKUP($B62,casostestes[#Data],5)),"-")</f>
        <v>-</v>
      </c>
      <c r="H62" s="35" t="str">
        <f>IFERROR(IF(VLOOKUP($B62,casostestes[#Data],6)=0,"-",VLOOKUP($B62,casostestes[#Data],6)),"-")</f>
        <v>-</v>
      </c>
      <c r="I62" s="35" t="str">
        <f>IFERROR(IF(VLOOKUP($B62,casostestes[#Data],8)=0,"-",VLOOKUP($B62,casostestes[#Data],8)),"-")</f>
        <v>-</v>
      </c>
      <c r="J62" s="35" t="str">
        <f>IFERROR(IF(VLOOKUP($B62,casostestes[#Data],9)=0,"-",VLOOKUP($B62,casostestes[#Data],9)),"-")</f>
        <v>-</v>
      </c>
      <c r="K62" s="36"/>
      <c r="L62" s="45"/>
      <c r="M62" s="37"/>
      <c r="N62" s="38"/>
      <c r="O62" s="38"/>
      <c r="P62" s="39"/>
    </row>
    <row r="63" spans="2:16">
      <c r="B63" s="40" t="str">
        <f>IF(ISERR(casostestes[[#This Row],[ID]]),"-",casostestes[[#This Row],[ID]])</f>
        <v>-</v>
      </c>
      <c r="C63" s="34" t="str">
        <f>IFERROR(IF(VLOOKUP($B63,casostestes[#Data],10)=0,"Não",VLOOKUP($B63,casostestes[#Data],10)), "-")</f>
        <v>-</v>
      </c>
      <c r="D63" s="35" t="str">
        <f>IFERROR(IF(VLOOKUP($B63,casostestes[#Data],2)=0,"-",VLOOKUP($B63,casostestes[#Data],2)), "-")</f>
        <v>-</v>
      </c>
      <c r="E63" s="35" t="str">
        <f>IFERROR(IF(VLOOKUP($B63,casostestes[#Data],3)=0,"-",VLOOKUP($B63,casostestes[#Data],3)), "-")</f>
        <v>-</v>
      </c>
      <c r="F63" s="35" t="str">
        <f>IFERROR(IF(VLOOKUP($B63,casostestes[#Data],4)=0,"-",VLOOKUP($B63,casostestes[#Data],4)),"-")</f>
        <v>-</v>
      </c>
      <c r="G63" s="35" t="str">
        <f>IFERROR(IF(VLOOKUP($B63,casostestes[#Data],5)=0,"-",VLOOKUP($B63,casostestes[#Data],5)),"-")</f>
        <v>-</v>
      </c>
      <c r="H63" s="35" t="str">
        <f>IFERROR(IF(VLOOKUP($B63,casostestes[#Data],6)=0,"-",VLOOKUP($B63,casostestes[#Data],6)),"-")</f>
        <v>-</v>
      </c>
      <c r="I63" s="35" t="str">
        <f>IFERROR(IF(VLOOKUP($B63,casostestes[#Data],8)=0,"-",VLOOKUP($B63,casostestes[#Data],8)),"-")</f>
        <v>-</v>
      </c>
      <c r="J63" s="35" t="str">
        <f>IFERROR(IF(VLOOKUP($B63,casostestes[#Data],9)=0,"-",VLOOKUP($B63,casostestes[#Data],9)),"-")</f>
        <v>-</v>
      </c>
      <c r="K63" s="36"/>
      <c r="L63" s="45"/>
      <c r="M63" s="37"/>
      <c r="N63" s="38"/>
      <c r="O63" s="38"/>
      <c r="P63" s="39"/>
    </row>
    <row r="64" spans="2:16">
      <c r="B64" s="40" t="str">
        <f>IF(ISERR(casostestes[[#This Row],[ID]]),"-",casostestes[[#This Row],[ID]])</f>
        <v>-</v>
      </c>
      <c r="C64" s="34" t="str">
        <f>IFERROR(IF(VLOOKUP($B64,casostestes[#Data],10)=0,"Não",VLOOKUP($B64,casostestes[#Data],10)), "-")</f>
        <v>-</v>
      </c>
      <c r="D64" s="35" t="str">
        <f>IFERROR(IF(VLOOKUP($B64,casostestes[#Data],2)=0,"-",VLOOKUP($B64,casostestes[#Data],2)), "-")</f>
        <v>-</v>
      </c>
      <c r="E64" s="35" t="str">
        <f>IFERROR(IF(VLOOKUP($B64,casostestes[#Data],3)=0,"-",VLOOKUP($B64,casostestes[#Data],3)), "-")</f>
        <v>-</v>
      </c>
      <c r="F64" s="35" t="str">
        <f>IFERROR(IF(VLOOKUP($B64,casostestes[#Data],4)=0,"-",VLOOKUP($B64,casostestes[#Data],4)),"-")</f>
        <v>-</v>
      </c>
      <c r="G64" s="35" t="str">
        <f>IFERROR(IF(VLOOKUP($B64,casostestes[#Data],5)=0,"-",VLOOKUP($B64,casostestes[#Data],5)),"-")</f>
        <v>-</v>
      </c>
      <c r="H64" s="35" t="str">
        <f>IFERROR(IF(VLOOKUP($B64,casostestes[#Data],6)=0,"-",VLOOKUP($B64,casostestes[#Data],6)),"-")</f>
        <v>-</v>
      </c>
      <c r="I64" s="35" t="str">
        <f>IFERROR(IF(VLOOKUP($B64,casostestes[#Data],8)=0,"-",VLOOKUP($B64,casostestes[#Data],8)),"-")</f>
        <v>-</v>
      </c>
      <c r="J64" s="35" t="str">
        <f>IFERROR(IF(VLOOKUP($B64,casostestes[#Data],9)=0,"-",VLOOKUP($B64,casostestes[#Data],9)),"-")</f>
        <v>-</v>
      </c>
      <c r="K64" s="36"/>
      <c r="L64" s="45"/>
      <c r="M64" s="37"/>
      <c r="N64" s="38"/>
      <c r="O64" s="38"/>
      <c r="P64" s="39"/>
    </row>
    <row r="65" spans="2:16">
      <c r="B65" s="40" t="str">
        <f>IF(ISERR(casostestes[[#This Row],[ID]]),"-",casostestes[[#This Row],[ID]])</f>
        <v>-</v>
      </c>
      <c r="C65" s="34" t="str">
        <f>IFERROR(IF(VLOOKUP($B65,casostestes[#Data],10)=0,"Não",VLOOKUP($B65,casostestes[#Data],10)), "-")</f>
        <v>-</v>
      </c>
      <c r="D65" s="35" t="str">
        <f>IFERROR(IF(VLOOKUP($B65,casostestes[#Data],2)=0,"-",VLOOKUP($B65,casostestes[#Data],2)), "-")</f>
        <v>-</v>
      </c>
      <c r="E65" s="35" t="str">
        <f>IFERROR(IF(VLOOKUP($B65,casostestes[#Data],3)=0,"-",VLOOKUP($B65,casostestes[#Data],3)), "-")</f>
        <v>-</v>
      </c>
      <c r="F65" s="35" t="str">
        <f>IFERROR(IF(VLOOKUP($B65,casostestes[#Data],4)=0,"-",VLOOKUP($B65,casostestes[#Data],4)),"-")</f>
        <v>-</v>
      </c>
      <c r="G65" s="35" t="str">
        <f>IFERROR(IF(VLOOKUP($B65,casostestes[#Data],5)=0,"-",VLOOKUP($B65,casostestes[#Data],5)),"-")</f>
        <v>-</v>
      </c>
      <c r="H65" s="35" t="str">
        <f>IFERROR(IF(VLOOKUP($B65,casostestes[#Data],6)=0,"-",VLOOKUP($B65,casostestes[#Data],6)),"-")</f>
        <v>-</v>
      </c>
      <c r="I65" s="35" t="str">
        <f>IFERROR(IF(VLOOKUP($B65,casostestes[#Data],8)=0,"-",VLOOKUP($B65,casostestes[#Data],8)),"-")</f>
        <v>-</v>
      </c>
      <c r="J65" s="35" t="str">
        <f>IFERROR(IF(VLOOKUP($B65,casostestes[#Data],9)=0,"-",VLOOKUP($B65,casostestes[#Data],9)),"-")</f>
        <v>-</v>
      </c>
      <c r="K65" s="36"/>
      <c r="L65" s="45"/>
      <c r="M65" s="37"/>
      <c r="N65" s="38"/>
      <c r="O65" s="38"/>
      <c r="P65" s="39"/>
    </row>
    <row r="66" spans="2:16">
      <c r="B66" s="40" t="str">
        <f>IF(ISERR(casostestes[[#This Row],[ID]]),"-",casostestes[[#This Row],[ID]])</f>
        <v>-</v>
      </c>
      <c r="C66" s="34" t="str">
        <f>IFERROR(IF(VLOOKUP($B66,casostestes[#Data],10)=0,"Não",VLOOKUP($B66,casostestes[#Data],10)), "-")</f>
        <v>-</v>
      </c>
      <c r="D66" s="35" t="str">
        <f>IFERROR(IF(VLOOKUP($B66,casostestes[#Data],2)=0,"-",VLOOKUP($B66,casostestes[#Data],2)), "-")</f>
        <v>-</v>
      </c>
      <c r="E66" s="35" t="str">
        <f>IFERROR(IF(VLOOKUP($B66,casostestes[#Data],3)=0,"-",VLOOKUP($B66,casostestes[#Data],3)), "-")</f>
        <v>-</v>
      </c>
      <c r="F66" s="35" t="str">
        <f>IFERROR(IF(VLOOKUP($B66,casostestes[#Data],4)=0,"-",VLOOKUP($B66,casostestes[#Data],4)),"-")</f>
        <v>-</v>
      </c>
      <c r="G66" s="35" t="str">
        <f>IFERROR(IF(VLOOKUP($B66,casostestes[#Data],5)=0,"-",VLOOKUP($B66,casostestes[#Data],5)),"-")</f>
        <v>-</v>
      </c>
      <c r="H66" s="35" t="str">
        <f>IFERROR(IF(VLOOKUP($B66,casostestes[#Data],6)=0,"-",VLOOKUP($B66,casostestes[#Data],6)),"-")</f>
        <v>-</v>
      </c>
      <c r="I66" s="35" t="str">
        <f>IFERROR(IF(VLOOKUP($B66,casostestes[#Data],8)=0,"-",VLOOKUP($B66,casostestes[#Data],8)),"-")</f>
        <v>-</v>
      </c>
      <c r="J66" s="35" t="str">
        <f>IFERROR(IF(VLOOKUP($B66,casostestes[#Data],9)=0,"-",VLOOKUP($B66,casostestes[#Data],9)),"-")</f>
        <v>-</v>
      </c>
      <c r="K66" s="36"/>
      <c r="L66" s="45"/>
      <c r="M66" s="37"/>
      <c r="N66" s="38"/>
      <c r="O66" s="38"/>
      <c r="P66" s="39"/>
    </row>
    <row r="67" spans="2:16">
      <c r="B67" s="40" t="str">
        <f>IF(ISERR(casostestes[[#This Row],[ID]]),"-",casostestes[[#This Row],[ID]])</f>
        <v>-</v>
      </c>
      <c r="C67" s="34" t="str">
        <f>IFERROR(IF(VLOOKUP($B67,casostestes[#Data],10)=0,"Não",VLOOKUP($B67,casostestes[#Data],10)), "-")</f>
        <v>-</v>
      </c>
      <c r="D67" s="35" t="str">
        <f>IFERROR(IF(VLOOKUP($B67,casostestes[#Data],2)=0,"-",VLOOKUP($B67,casostestes[#Data],2)), "-")</f>
        <v>-</v>
      </c>
      <c r="E67" s="35" t="str">
        <f>IFERROR(IF(VLOOKUP($B67,casostestes[#Data],3)=0,"-",VLOOKUP($B67,casostestes[#Data],3)), "-")</f>
        <v>-</v>
      </c>
      <c r="F67" s="35" t="str">
        <f>IFERROR(IF(VLOOKUP($B67,casostestes[#Data],4)=0,"-",VLOOKUP($B67,casostestes[#Data],4)),"-")</f>
        <v>-</v>
      </c>
      <c r="G67" s="35" t="str">
        <f>IFERROR(IF(VLOOKUP($B67,casostestes[#Data],5)=0,"-",VLOOKUP($B67,casostestes[#Data],5)),"-")</f>
        <v>-</v>
      </c>
      <c r="H67" s="35" t="str">
        <f>IFERROR(IF(VLOOKUP($B67,casostestes[#Data],6)=0,"-",VLOOKUP($B67,casostestes[#Data],6)),"-")</f>
        <v>-</v>
      </c>
      <c r="I67" s="35" t="str">
        <f>IFERROR(IF(VLOOKUP($B67,casostestes[#Data],8)=0,"-",VLOOKUP($B67,casostestes[#Data],8)),"-")</f>
        <v>-</v>
      </c>
      <c r="J67" s="35" t="str">
        <f>IFERROR(IF(VLOOKUP($B67,casostestes[#Data],9)=0,"-",VLOOKUP($B67,casostestes[#Data],9)),"-")</f>
        <v>-</v>
      </c>
      <c r="K67" s="36"/>
      <c r="L67" s="45"/>
      <c r="M67" s="37"/>
      <c r="N67" s="38"/>
      <c r="O67" s="38"/>
      <c r="P67" s="39"/>
    </row>
    <row r="68" spans="2:16">
      <c r="B68" s="40" t="str">
        <f>IF(ISERR(casostestes[[#This Row],[ID]]),"-",casostestes[[#This Row],[ID]])</f>
        <v>-</v>
      </c>
      <c r="C68" s="34" t="str">
        <f>IFERROR(IF(VLOOKUP($B68,casostestes[#Data],10)=0,"Não",VLOOKUP($B68,casostestes[#Data],10)), "-")</f>
        <v>-</v>
      </c>
      <c r="D68" s="35" t="str">
        <f>IFERROR(IF(VLOOKUP($B68,casostestes[#Data],2)=0,"-",VLOOKUP($B68,casostestes[#Data],2)), "-")</f>
        <v>-</v>
      </c>
      <c r="E68" s="35" t="str">
        <f>IFERROR(IF(VLOOKUP($B68,casostestes[#Data],3)=0,"-",VLOOKUP($B68,casostestes[#Data],3)), "-")</f>
        <v>-</v>
      </c>
      <c r="F68" s="35" t="str">
        <f>IFERROR(IF(VLOOKUP($B68,casostestes[#Data],4)=0,"-",VLOOKUP($B68,casostestes[#Data],4)),"-")</f>
        <v>-</v>
      </c>
      <c r="G68" s="35" t="str">
        <f>IFERROR(IF(VLOOKUP($B68,casostestes[#Data],5)=0,"-",VLOOKUP($B68,casostestes[#Data],5)),"-")</f>
        <v>-</v>
      </c>
      <c r="H68" s="35" t="str">
        <f>IFERROR(IF(VLOOKUP($B68,casostestes[#Data],6)=0,"-",VLOOKUP($B68,casostestes[#Data],6)),"-")</f>
        <v>-</v>
      </c>
      <c r="I68" s="35" t="str">
        <f>IFERROR(IF(VLOOKUP($B68,casostestes[#Data],8)=0,"-",VLOOKUP($B68,casostestes[#Data],8)),"-")</f>
        <v>-</v>
      </c>
      <c r="J68" s="35" t="str">
        <f>IFERROR(IF(VLOOKUP($B68,casostestes[#Data],9)=0,"-",VLOOKUP($B68,casostestes[#Data],9)),"-")</f>
        <v>-</v>
      </c>
      <c r="K68" s="36"/>
      <c r="L68" s="45"/>
      <c r="M68" s="37"/>
      <c r="N68" s="38"/>
      <c r="O68" s="38"/>
      <c r="P68" s="39"/>
    </row>
    <row r="69" spans="2:16">
      <c r="B69" s="40" t="str">
        <f>IF(ISERR(casostestes[[#This Row],[ID]]),"-",casostestes[[#This Row],[ID]])</f>
        <v>-</v>
      </c>
      <c r="C69" s="34" t="str">
        <f>IFERROR(IF(VLOOKUP($B69,casostestes[#Data],10)=0,"Não",VLOOKUP($B69,casostestes[#Data],10)), "-")</f>
        <v>-</v>
      </c>
      <c r="D69" s="35" t="str">
        <f>IFERROR(IF(VLOOKUP($B69,casostestes[#Data],2)=0,"-",VLOOKUP($B69,casostestes[#Data],2)), "-")</f>
        <v>-</v>
      </c>
      <c r="E69" s="35" t="str">
        <f>IFERROR(IF(VLOOKUP($B69,casostestes[#Data],3)=0,"-",VLOOKUP($B69,casostestes[#Data],3)), "-")</f>
        <v>-</v>
      </c>
      <c r="F69" s="35" t="str">
        <f>IFERROR(IF(VLOOKUP($B69,casostestes[#Data],4)=0,"-",VLOOKUP($B69,casostestes[#Data],4)),"-")</f>
        <v>-</v>
      </c>
      <c r="G69" s="35" t="str">
        <f>IFERROR(IF(VLOOKUP($B69,casostestes[#Data],5)=0,"-",VLOOKUP($B69,casostestes[#Data],5)),"-")</f>
        <v>-</v>
      </c>
      <c r="H69" s="35" t="str">
        <f>IFERROR(IF(VLOOKUP($B69,casostestes[#Data],6)=0,"-",VLOOKUP($B69,casostestes[#Data],6)),"-")</f>
        <v>-</v>
      </c>
      <c r="I69" s="35" t="str">
        <f>IFERROR(IF(VLOOKUP($B69,casostestes[#Data],8)=0,"-",VLOOKUP($B69,casostestes[#Data],8)),"-")</f>
        <v>-</v>
      </c>
      <c r="J69" s="35" t="str">
        <f>IFERROR(IF(VLOOKUP($B69,casostestes[#Data],9)=0,"-",VLOOKUP($B69,casostestes[#Data],9)),"-")</f>
        <v>-</v>
      </c>
      <c r="K69" s="36"/>
      <c r="L69" s="45"/>
      <c r="M69" s="37"/>
      <c r="N69" s="38"/>
      <c r="O69" s="38"/>
      <c r="P69" s="39"/>
    </row>
    <row r="70" spans="2:16">
      <c r="B70" s="40" t="str">
        <f>IF(ISERR(casostestes[[#This Row],[ID]]),"-",casostestes[[#This Row],[ID]])</f>
        <v>-</v>
      </c>
      <c r="C70" s="34" t="str">
        <f>IFERROR(IF(VLOOKUP($B70,casostestes[#Data],10)=0,"Não",VLOOKUP($B70,casostestes[#Data],10)), "-")</f>
        <v>-</v>
      </c>
      <c r="D70" s="35" t="str">
        <f>IFERROR(IF(VLOOKUP($B70,casostestes[#Data],2)=0,"-",VLOOKUP($B70,casostestes[#Data],2)), "-")</f>
        <v>-</v>
      </c>
      <c r="E70" s="35" t="str">
        <f>IFERROR(IF(VLOOKUP($B70,casostestes[#Data],3)=0,"-",VLOOKUP($B70,casostestes[#Data],3)), "-")</f>
        <v>-</v>
      </c>
      <c r="F70" s="35" t="str">
        <f>IFERROR(IF(VLOOKUP($B70,casostestes[#Data],4)=0,"-",VLOOKUP($B70,casostestes[#Data],4)),"-")</f>
        <v>-</v>
      </c>
      <c r="G70" s="35" t="str">
        <f>IFERROR(IF(VLOOKUP($B70,casostestes[#Data],5)=0,"-",VLOOKUP($B70,casostestes[#Data],5)),"-")</f>
        <v>-</v>
      </c>
      <c r="H70" s="35" t="str">
        <f>IFERROR(IF(VLOOKUP($B70,casostestes[#Data],6)=0,"-",VLOOKUP($B70,casostestes[#Data],6)),"-")</f>
        <v>-</v>
      </c>
      <c r="I70" s="35" t="str">
        <f>IFERROR(IF(VLOOKUP($B70,casostestes[#Data],8)=0,"-",VLOOKUP($B70,casostestes[#Data],8)),"-")</f>
        <v>-</v>
      </c>
      <c r="J70" s="35" t="str">
        <f>IFERROR(IF(VLOOKUP($B70,casostestes[#Data],9)=0,"-",VLOOKUP($B70,casostestes[#Data],9)),"-")</f>
        <v>-</v>
      </c>
      <c r="K70" s="36"/>
      <c r="L70" s="45"/>
      <c r="M70" s="37"/>
      <c r="N70" s="38"/>
      <c r="O70" s="38"/>
      <c r="P70" s="39"/>
    </row>
    <row r="71" spans="2:16">
      <c r="B71" s="40" t="str">
        <f>IF(ISERR(casostestes[[#This Row],[ID]]),"-",casostestes[[#This Row],[ID]])</f>
        <v>-</v>
      </c>
      <c r="C71" s="34" t="str">
        <f>IFERROR(IF(VLOOKUP($B71,casostestes[#Data],10)=0,"Não",VLOOKUP($B71,casostestes[#Data],10)), "-")</f>
        <v>-</v>
      </c>
      <c r="D71" s="35" t="str">
        <f>IFERROR(IF(VLOOKUP($B71,casostestes[#Data],2)=0,"-",VLOOKUP($B71,casostestes[#Data],2)), "-")</f>
        <v>-</v>
      </c>
      <c r="E71" s="35" t="str">
        <f>IFERROR(IF(VLOOKUP($B71,casostestes[#Data],3)=0,"-",VLOOKUP($B71,casostestes[#Data],3)), "-")</f>
        <v>-</v>
      </c>
      <c r="F71" s="35" t="str">
        <f>IFERROR(IF(VLOOKUP($B71,casostestes[#Data],4)=0,"-",VLOOKUP($B71,casostestes[#Data],4)),"-")</f>
        <v>-</v>
      </c>
      <c r="G71" s="35" t="str">
        <f>IFERROR(IF(VLOOKUP($B71,casostestes[#Data],5)=0,"-",VLOOKUP($B71,casostestes[#Data],5)),"-")</f>
        <v>-</v>
      </c>
      <c r="H71" s="35" t="str">
        <f>IFERROR(IF(VLOOKUP($B71,casostestes[#Data],6)=0,"-",VLOOKUP($B71,casostestes[#Data],6)),"-")</f>
        <v>-</v>
      </c>
      <c r="I71" s="35" t="str">
        <f>IFERROR(IF(VLOOKUP($B71,casostestes[#Data],8)=0,"-",VLOOKUP($B71,casostestes[#Data],8)),"-")</f>
        <v>-</v>
      </c>
      <c r="J71" s="35" t="str">
        <f>IFERROR(IF(VLOOKUP($B71,casostestes[#Data],9)=0,"-",VLOOKUP($B71,casostestes[#Data],9)),"-")</f>
        <v>-</v>
      </c>
      <c r="K71" s="36"/>
      <c r="L71" s="45"/>
      <c r="M71" s="37"/>
      <c r="N71" s="38"/>
      <c r="O71" s="38"/>
      <c r="P71" s="39"/>
    </row>
    <row r="72" spans="2:16">
      <c r="B72" s="40" t="str">
        <f>IF(ISERR(casostestes[[#This Row],[ID]]),"-",casostestes[[#This Row],[ID]])</f>
        <v>-</v>
      </c>
      <c r="C72" s="34" t="str">
        <f>IFERROR(IF(VLOOKUP($B72,casostestes[#Data],10)=0,"Não",VLOOKUP($B72,casostestes[#Data],10)), "-")</f>
        <v>-</v>
      </c>
      <c r="D72" s="35" t="str">
        <f>IFERROR(IF(VLOOKUP($B72,casostestes[#Data],2)=0,"-",VLOOKUP($B72,casostestes[#Data],2)), "-")</f>
        <v>-</v>
      </c>
      <c r="E72" s="35" t="str">
        <f>IFERROR(IF(VLOOKUP($B72,casostestes[#Data],3)=0,"-",VLOOKUP($B72,casostestes[#Data],3)), "-")</f>
        <v>-</v>
      </c>
      <c r="F72" s="35" t="str">
        <f>IFERROR(IF(VLOOKUP($B72,casostestes[#Data],4)=0,"-",VLOOKUP($B72,casostestes[#Data],4)),"-")</f>
        <v>-</v>
      </c>
      <c r="G72" s="35" t="str">
        <f>IFERROR(IF(VLOOKUP($B72,casostestes[#Data],5)=0,"-",VLOOKUP($B72,casostestes[#Data],5)),"-")</f>
        <v>-</v>
      </c>
      <c r="H72" s="35" t="str">
        <f>IFERROR(IF(VLOOKUP($B72,casostestes[#Data],6)=0,"-",VLOOKUP($B72,casostestes[#Data],6)),"-")</f>
        <v>-</v>
      </c>
      <c r="I72" s="35" t="str">
        <f>IFERROR(IF(VLOOKUP($B72,casostestes[#Data],8)=0,"-",VLOOKUP($B72,casostestes[#Data],8)),"-")</f>
        <v>-</v>
      </c>
      <c r="J72" s="35" t="str">
        <f>IFERROR(IF(VLOOKUP($B72,casostestes[#Data],9)=0,"-",VLOOKUP($B72,casostestes[#Data],9)),"-")</f>
        <v>-</v>
      </c>
      <c r="K72" s="36"/>
      <c r="L72" s="45"/>
      <c r="M72" s="37"/>
      <c r="N72" s="38"/>
      <c r="O72" s="38"/>
      <c r="P72" s="39"/>
    </row>
    <row r="73" spans="2:16">
      <c r="B73" s="40" t="str">
        <f>IF(ISERR(casostestes[[#This Row],[ID]]),"-",casostestes[[#This Row],[ID]])</f>
        <v>-</v>
      </c>
      <c r="C73" s="34" t="str">
        <f>IFERROR(IF(VLOOKUP($B73,casostestes[#Data],10)=0,"Não",VLOOKUP($B73,casostestes[#Data],10)), "-")</f>
        <v>-</v>
      </c>
      <c r="D73" s="35" t="str">
        <f>IFERROR(IF(VLOOKUP($B73,casostestes[#Data],2)=0,"-",VLOOKUP($B73,casostestes[#Data],2)), "-")</f>
        <v>-</v>
      </c>
      <c r="E73" s="35" t="str">
        <f>IFERROR(IF(VLOOKUP($B73,casostestes[#Data],3)=0,"-",VLOOKUP($B73,casostestes[#Data],3)), "-")</f>
        <v>-</v>
      </c>
      <c r="F73" s="35" t="str">
        <f>IFERROR(IF(VLOOKUP($B73,casostestes[#Data],4)=0,"-",VLOOKUP($B73,casostestes[#Data],4)),"-")</f>
        <v>-</v>
      </c>
      <c r="G73" s="35" t="str">
        <f>IFERROR(IF(VLOOKUP($B73,casostestes[#Data],5)=0,"-",VLOOKUP($B73,casostestes[#Data],5)),"-")</f>
        <v>-</v>
      </c>
      <c r="H73" s="35" t="str">
        <f>IFERROR(IF(VLOOKUP($B73,casostestes[#Data],6)=0,"-",VLOOKUP($B73,casostestes[#Data],6)),"-")</f>
        <v>-</v>
      </c>
      <c r="I73" s="35" t="str">
        <f>IFERROR(IF(VLOOKUP($B73,casostestes[#Data],8)=0,"-",VLOOKUP($B73,casostestes[#Data],8)),"-")</f>
        <v>-</v>
      </c>
      <c r="J73" s="35" t="str">
        <f>IFERROR(IF(VLOOKUP($B73,casostestes[#Data],9)=0,"-",VLOOKUP($B73,casostestes[#Data],9)),"-")</f>
        <v>-</v>
      </c>
      <c r="K73" s="36"/>
      <c r="L73" s="45"/>
      <c r="M73" s="37"/>
      <c r="N73" s="38"/>
      <c r="O73" s="38"/>
      <c r="P73" s="39"/>
    </row>
    <row r="74" spans="2:16">
      <c r="B74" s="40" t="str">
        <f>IF(ISERR(casostestes[[#This Row],[ID]]),"-",casostestes[[#This Row],[ID]])</f>
        <v>-</v>
      </c>
      <c r="C74" s="34" t="str">
        <f>IFERROR(IF(VLOOKUP($B74,casostestes[#Data],10)=0,"Não",VLOOKUP($B74,casostestes[#Data],10)), "-")</f>
        <v>-</v>
      </c>
      <c r="D74" s="35" t="str">
        <f>IFERROR(IF(VLOOKUP($B74,casostestes[#Data],2)=0,"-",VLOOKUP($B74,casostestes[#Data],2)), "-")</f>
        <v>-</v>
      </c>
      <c r="E74" s="35" t="str">
        <f>IFERROR(IF(VLOOKUP($B74,casostestes[#Data],3)=0,"-",VLOOKUP($B74,casostestes[#Data],3)), "-")</f>
        <v>-</v>
      </c>
      <c r="F74" s="35" t="str">
        <f>IFERROR(IF(VLOOKUP($B74,casostestes[#Data],4)=0,"-",VLOOKUP($B74,casostestes[#Data],4)),"-")</f>
        <v>-</v>
      </c>
      <c r="G74" s="35" t="str">
        <f>IFERROR(IF(VLOOKUP($B74,casostestes[#Data],5)=0,"-",VLOOKUP($B74,casostestes[#Data],5)),"-")</f>
        <v>-</v>
      </c>
      <c r="H74" s="35" t="str">
        <f>IFERROR(IF(VLOOKUP($B74,casostestes[#Data],6)=0,"-",VLOOKUP($B74,casostestes[#Data],6)),"-")</f>
        <v>-</v>
      </c>
      <c r="I74" s="35" t="str">
        <f>IFERROR(IF(VLOOKUP($B74,casostestes[#Data],8)=0,"-",VLOOKUP($B74,casostestes[#Data],8)),"-")</f>
        <v>-</v>
      </c>
      <c r="J74" s="35" t="str">
        <f>IFERROR(IF(VLOOKUP($B74,casostestes[#Data],9)=0,"-",VLOOKUP($B74,casostestes[#Data],9)),"-")</f>
        <v>-</v>
      </c>
      <c r="K74" s="36"/>
      <c r="L74" s="45"/>
      <c r="M74" s="37"/>
      <c r="N74" s="38"/>
      <c r="O74" s="38"/>
      <c r="P74" s="39"/>
    </row>
    <row r="75" spans="2:16">
      <c r="B75" s="40" t="str">
        <f>IF(ISERR(casostestes[[#This Row],[ID]]),"-",casostestes[[#This Row],[ID]])</f>
        <v>-</v>
      </c>
      <c r="C75" s="34" t="str">
        <f>IFERROR(IF(VLOOKUP($B75,casostestes[#Data],10)=0,"Não",VLOOKUP($B75,casostestes[#Data],10)), "-")</f>
        <v>-</v>
      </c>
      <c r="D75" s="35" t="str">
        <f>IFERROR(IF(VLOOKUP($B75,casostestes[#Data],2)=0,"-",VLOOKUP($B75,casostestes[#Data],2)), "-")</f>
        <v>-</v>
      </c>
      <c r="E75" s="35" t="str">
        <f>IFERROR(IF(VLOOKUP($B75,casostestes[#Data],3)=0,"-",VLOOKUP($B75,casostestes[#Data],3)), "-")</f>
        <v>-</v>
      </c>
      <c r="F75" s="35" t="str">
        <f>IFERROR(IF(VLOOKUP($B75,casostestes[#Data],4)=0,"-",VLOOKUP($B75,casostestes[#Data],4)),"-")</f>
        <v>-</v>
      </c>
      <c r="G75" s="35" t="str">
        <f>IFERROR(IF(VLOOKUP($B75,casostestes[#Data],5)=0,"-",VLOOKUP($B75,casostestes[#Data],5)),"-")</f>
        <v>-</v>
      </c>
      <c r="H75" s="35" t="str">
        <f>IFERROR(IF(VLOOKUP($B75,casostestes[#Data],6)=0,"-",VLOOKUP($B75,casostestes[#Data],6)),"-")</f>
        <v>-</v>
      </c>
      <c r="I75" s="35" t="str">
        <f>IFERROR(IF(VLOOKUP($B75,casostestes[#Data],8)=0,"-",VLOOKUP($B75,casostestes[#Data],8)),"-")</f>
        <v>-</v>
      </c>
      <c r="J75" s="35" t="str">
        <f>IFERROR(IF(VLOOKUP($B75,casostestes[#Data],9)=0,"-",VLOOKUP($B75,casostestes[#Data],9)),"-")</f>
        <v>-</v>
      </c>
      <c r="K75" s="36"/>
      <c r="L75" s="45"/>
      <c r="M75" s="37"/>
      <c r="N75" s="38"/>
      <c r="O75" s="38"/>
      <c r="P75" s="39"/>
    </row>
    <row r="76" spans="2:16">
      <c r="B76" s="40" t="str">
        <f>IF(ISERR(casostestes[[#This Row],[ID]]),"-",casostestes[[#This Row],[ID]])</f>
        <v>-</v>
      </c>
      <c r="C76" s="34" t="str">
        <f>IFERROR(IF(VLOOKUP($B76,casostestes[#Data],10)=0,"Não",VLOOKUP($B76,casostestes[#Data],10)), "-")</f>
        <v>-</v>
      </c>
      <c r="D76" s="35" t="str">
        <f>IFERROR(IF(VLOOKUP($B76,casostestes[#Data],2)=0,"-",VLOOKUP($B76,casostestes[#Data],2)), "-")</f>
        <v>-</v>
      </c>
      <c r="E76" s="35" t="str">
        <f>IFERROR(IF(VLOOKUP($B76,casostestes[#Data],3)=0,"-",VLOOKUP($B76,casostestes[#Data],3)), "-")</f>
        <v>-</v>
      </c>
      <c r="F76" s="35" t="str">
        <f>IFERROR(IF(VLOOKUP($B76,casostestes[#Data],4)=0,"-",VLOOKUP($B76,casostestes[#Data],4)),"-")</f>
        <v>-</v>
      </c>
      <c r="G76" s="35" t="str">
        <f>IFERROR(IF(VLOOKUP($B76,casostestes[#Data],5)=0,"-",VLOOKUP($B76,casostestes[#Data],5)),"-")</f>
        <v>-</v>
      </c>
      <c r="H76" s="35" t="str">
        <f>IFERROR(IF(VLOOKUP($B76,casostestes[#Data],6)=0,"-",VLOOKUP($B76,casostestes[#Data],6)),"-")</f>
        <v>-</v>
      </c>
      <c r="I76" s="35" t="str">
        <f>IFERROR(IF(VLOOKUP($B76,casostestes[#Data],8)=0,"-",VLOOKUP($B76,casostestes[#Data],8)),"-")</f>
        <v>-</v>
      </c>
      <c r="J76" s="35" t="str">
        <f>IFERROR(IF(VLOOKUP($B76,casostestes[#Data],9)=0,"-",VLOOKUP($B76,casostestes[#Data],9)),"-")</f>
        <v>-</v>
      </c>
      <c r="K76" s="36"/>
      <c r="L76" s="45"/>
      <c r="M76" s="37"/>
      <c r="N76" s="38"/>
      <c r="O76" s="38"/>
      <c r="P76" s="39"/>
    </row>
    <row r="77" spans="2:16">
      <c r="B77" s="40" t="str">
        <f>IF(ISERR(casostestes[[#This Row],[ID]]),"-",casostestes[[#This Row],[ID]])</f>
        <v>-</v>
      </c>
      <c r="C77" s="34" t="str">
        <f>IFERROR(IF(VLOOKUP($B77,casostestes[#Data],10)=0,"Não",VLOOKUP($B77,casostestes[#Data],10)), "-")</f>
        <v>-</v>
      </c>
      <c r="D77" s="35" t="str">
        <f>IFERROR(IF(VLOOKUP($B77,casostestes[#Data],2)=0,"-",VLOOKUP($B77,casostestes[#Data],2)), "-")</f>
        <v>-</v>
      </c>
      <c r="E77" s="35" t="str">
        <f>IFERROR(IF(VLOOKUP($B77,casostestes[#Data],3)=0,"-",VLOOKUP($B77,casostestes[#Data],3)), "-")</f>
        <v>-</v>
      </c>
      <c r="F77" s="35" t="str">
        <f>IFERROR(IF(VLOOKUP($B77,casostestes[#Data],4)=0,"-",VLOOKUP($B77,casostestes[#Data],4)),"-")</f>
        <v>-</v>
      </c>
      <c r="G77" s="35" t="str">
        <f>IFERROR(IF(VLOOKUP($B77,casostestes[#Data],5)=0,"-",VLOOKUP($B77,casostestes[#Data],5)),"-")</f>
        <v>-</v>
      </c>
      <c r="H77" s="35" t="str">
        <f>IFERROR(IF(VLOOKUP($B77,casostestes[#Data],6)=0,"-",VLOOKUP($B77,casostestes[#Data],6)),"-")</f>
        <v>-</v>
      </c>
      <c r="I77" s="35" t="str">
        <f>IFERROR(IF(VLOOKUP($B77,casostestes[#Data],8)=0,"-",VLOOKUP($B77,casostestes[#Data],8)),"-")</f>
        <v>-</v>
      </c>
      <c r="J77" s="35" t="str">
        <f>IFERROR(IF(VLOOKUP($B77,casostestes[#Data],9)=0,"-",VLOOKUP($B77,casostestes[#Data],9)),"-")</f>
        <v>-</v>
      </c>
      <c r="K77" s="36"/>
      <c r="L77" s="45"/>
      <c r="M77" s="37"/>
      <c r="N77" s="38"/>
      <c r="O77" s="38"/>
      <c r="P77" s="39"/>
    </row>
    <row r="78" spans="2:16">
      <c r="B78" s="40" t="str">
        <f>IF(ISERR(casostestes[[#This Row],[ID]]),"-",casostestes[[#This Row],[ID]])</f>
        <v>-</v>
      </c>
      <c r="C78" s="34" t="str">
        <f>IFERROR(IF(VLOOKUP($B78,casostestes[#Data],10)=0,"Não",VLOOKUP($B78,casostestes[#Data],10)), "-")</f>
        <v>-</v>
      </c>
      <c r="D78" s="35" t="str">
        <f>IFERROR(IF(VLOOKUP($B78,casostestes[#Data],2)=0,"-",VLOOKUP($B78,casostestes[#Data],2)), "-")</f>
        <v>-</v>
      </c>
      <c r="E78" s="35" t="str">
        <f>IFERROR(IF(VLOOKUP($B78,casostestes[#Data],3)=0,"-",VLOOKUP($B78,casostestes[#Data],3)), "-")</f>
        <v>-</v>
      </c>
      <c r="F78" s="35" t="str">
        <f>IFERROR(IF(VLOOKUP($B78,casostestes[#Data],4)=0,"-",VLOOKUP($B78,casostestes[#Data],4)),"-")</f>
        <v>-</v>
      </c>
      <c r="G78" s="35" t="str">
        <f>IFERROR(IF(VLOOKUP($B78,casostestes[#Data],5)=0,"-",VLOOKUP($B78,casostestes[#Data],5)),"-")</f>
        <v>-</v>
      </c>
      <c r="H78" s="35" t="str">
        <f>IFERROR(IF(VLOOKUP($B78,casostestes[#Data],6)=0,"-",VLOOKUP($B78,casostestes[#Data],6)),"-")</f>
        <v>-</v>
      </c>
      <c r="I78" s="35" t="str">
        <f>IFERROR(IF(VLOOKUP($B78,casostestes[#Data],8)=0,"-",VLOOKUP($B78,casostestes[#Data],8)),"-")</f>
        <v>-</v>
      </c>
      <c r="J78" s="35" t="str">
        <f>IFERROR(IF(VLOOKUP($B78,casostestes[#Data],9)=0,"-",VLOOKUP($B78,casostestes[#Data],9)),"-")</f>
        <v>-</v>
      </c>
      <c r="K78" s="36"/>
      <c r="L78" s="45"/>
      <c r="M78" s="37"/>
      <c r="N78" s="38"/>
      <c r="O78" s="38"/>
      <c r="P78" s="39"/>
    </row>
    <row r="79" spans="2:16">
      <c r="B79" s="40" t="str">
        <f>IF(ISERR(casostestes[[#This Row],[ID]]),"-",casostestes[[#This Row],[ID]])</f>
        <v>-</v>
      </c>
      <c r="C79" s="34" t="str">
        <f>IFERROR(IF(VLOOKUP($B79,casostestes[#Data],10)=0,"Não",VLOOKUP($B79,casostestes[#Data],10)), "-")</f>
        <v>-</v>
      </c>
      <c r="D79" s="35" t="str">
        <f>IFERROR(IF(VLOOKUP($B79,casostestes[#Data],2)=0,"-",VLOOKUP($B79,casostestes[#Data],2)), "-")</f>
        <v>-</v>
      </c>
      <c r="E79" s="35" t="str">
        <f>IFERROR(IF(VLOOKUP($B79,casostestes[#Data],3)=0,"-",VLOOKUP($B79,casostestes[#Data],3)), "-")</f>
        <v>-</v>
      </c>
      <c r="F79" s="35" t="str">
        <f>IFERROR(IF(VLOOKUP($B79,casostestes[#Data],4)=0,"-",VLOOKUP($B79,casostestes[#Data],4)),"-")</f>
        <v>-</v>
      </c>
      <c r="G79" s="35" t="str">
        <f>IFERROR(IF(VLOOKUP($B79,casostestes[#Data],5)=0,"-",VLOOKUP($B79,casostestes[#Data],5)),"-")</f>
        <v>-</v>
      </c>
      <c r="H79" s="35" t="str">
        <f>IFERROR(IF(VLOOKUP($B79,casostestes[#Data],6)=0,"-",VLOOKUP($B79,casostestes[#Data],6)),"-")</f>
        <v>-</v>
      </c>
      <c r="I79" s="35" t="str">
        <f>IFERROR(IF(VLOOKUP($B79,casostestes[#Data],8)=0,"-",VLOOKUP($B79,casostestes[#Data],8)),"-")</f>
        <v>-</v>
      </c>
      <c r="J79" s="35" t="str">
        <f>IFERROR(IF(VLOOKUP($B79,casostestes[#Data],9)=0,"-",VLOOKUP($B79,casostestes[#Data],9)),"-")</f>
        <v>-</v>
      </c>
      <c r="K79" s="36"/>
      <c r="L79" s="45"/>
      <c r="M79" s="37"/>
      <c r="N79" s="38"/>
      <c r="O79" s="38"/>
      <c r="P79" s="39"/>
    </row>
    <row r="80" spans="2:16">
      <c r="B80" s="40" t="str">
        <f>IF(ISERR(casostestes[[#This Row],[ID]]),"-",casostestes[[#This Row],[ID]])</f>
        <v>-</v>
      </c>
      <c r="C80" s="34" t="str">
        <f>IFERROR(IF(VLOOKUP($B80,casostestes[#Data],10)=0,"Não",VLOOKUP($B80,casostestes[#Data],10)), "-")</f>
        <v>-</v>
      </c>
      <c r="D80" s="35" t="str">
        <f>IFERROR(IF(VLOOKUP($B80,casostestes[#Data],2)=0,"-",VLOOKUP($B80,casostestes[#Data],2)), "-")</f>
        <v>-</v>
      </c>
      <c r="E80" s="35" t="str">
        <f>IFERROR(IF(VLOOKUP($B80,casostestes[#Data],3)=0,"-",VLOOKUP($B80,casostestes[#Data],3)), "-")</f>
        <v>-</v>
      </c>
      <c r="F80" s="35" t="str">
        <f>IFERROR(IF(VLOOKUP($B80,casostestes[#Data],4)=0,"-",VLOOKUP($B80,casostestes[#Data],4)),"-")</f>
        <v>-</v>
      </c>
      <c r="G80" s="35" t="str">
        <f>IFERROR(IF(VLOOKUP($B80,casostestes[#Data],5)=0,"-",VLOOKUP($B80,casostestes[#Data],5)),"-")</f>
        <v>-</v>
      </c>
      <c r="H80" s="35" t="str">
        <f>IFERROR(IF(VLOOKUP($B80,casostestes[#Data],6)=0,"-",VLOOKUP($B80,casostestes[#Data],6)),"-")</f>
        <v>-</v>
      </c>
      <c r="I80" s="35" t="str">
        <f>IFERROR(IF(VLOOKUP($B80,casostestes[#Data],8)=0,"-",VLOOKUP($B80,casostestes[#Data],8)),"-")</f>
        <v>-</v>
      </c>
      <c r="J80" s="35" t="str">
        <f>IFERROR(IF(VLOOKUP($B80,casostestes[#Data],9)=0,"-",VLOOKUP($B80,casostestes[#Data],9)),"-")</f>
        <v>-</v>
      </c>
      <c r="K80" s="36"/>
      <c r="L80" s="45"/>
      <c r="M80" s="37"/>
      <c r="N80" s="38"/>
      <c r="O80" s="38"/>
      <c r="P80" s="39"/>
    </row>
    <row r="81" spans="2:16">
      <c r="B81" s="40" t="str">
        <f>IF(ISERR(casostestes[[#This Row],[ID]]),"-",casostestes[[#This Row],[ID]])</f>
        <v>-</v>
      </c>
      <c r="C81" s="34" t="str">
        <f>IFERROR(IF(VLOOKUP($B81,casostestes[#Data],10)=0,"Não",VLOOKUP($B81,casostestes[#Data],10)), "-")</f>
        <v>-</v>
      </c>
      <c r="D81" s="35" t="str">
        <f>IFERROR(IF(VLOOKUP($B81,casostestes[#Data],2)=0,"-",VLOOKUP($B81,casostestes[#Data],2)), "-")</f>
        <v>-</v>
      </c>
      <c r="E81" s="35" t="str">
        <f>IFERROR(IF(VLOOKUP($B81,casostestes[#Data],3)=0,"-",VLOOKUP($B81,casostestes[#Data],3)), "-")</f>
        <v>-</v>
      </c>
      <c r="F81" s="35" t="str">
        <f>IFERROR(IF(VLOOKUP($B81,casostestes[#Data],4)=0,"-",VLOOKUP($B81,casostestes[#Data],4)),"-")</f>
        <v>-</v>
      </c>
      <c r="G81" s="35" t="str">
        <f>IFERROR(IF(VLOOKUP($B81,casostestes[#Data],5)=0,"-",VLOOKUP($B81,casostestes[#Data],5)),"-")</f>
        <v>-</v>
      </c>
      <c r="H81" s="35" t="str">
        <f>IFERROR(IF(VLOOKUP($B81,casostestes[#Data],6)=0,"-",VLOOKUP($B81,casostestes[#Data],6)),"-")</f>
        <v>-</v>
      </c>
      <c r="I81" s="35" t="str">
        <f>IFERROR(IF(VLOOKUP($B81,casostestes[#Data],8)=0,"-",VLOOKUP($B81,casostestes[#Data],8)),"-")</f>
        <v>-</v>
      </c>
      <c r="J81" s="35" t="str">
        <f>IFERROR(IF(VLOOKUP($B81,casostestes[#Data],9)=0,"-",VLOOKUP($B81,casostestes[#Data],9)),"-")</f>
        <v>-</v>
      </c>
      <c r="K81" s="36"/>
      <c r="L81" s="45"/>
      <c r="M81" s="37"/>
      <c r="N81" s="38"/>
      <c r="O81" s="38"/>
      <c r="P81" s="39"/>
    </row>
    <row r="82" spans="2:16">
      <c r="B82" s="40" t="str">
        <f>IF(ISERR(casostestes[[#This Row],[ID]]),"-",casostestes[[#This Row],[ID]])</f>
        <v>-</v>
      </c>
      <c r="C82" s="34" t="str">
        <f>IFERROR(IF(VLOOKUP($B82,casostestes[#Data],10)=0,"Não",VLOOKUP($B82,casostestes[#Data],10)), "-")</f>
        <v>-</v>
      </c>
      <c r="D82" s="35" t="str">
        <f>IFERROR(IF(VLOOKUP($B82,casostestes[#Data],2)=0,"-",VLOOKUP($B82,casostestes[#Data],2)), "-")</f>
        <v>-</v>
      </c>
      <c r="E82" s="35" t="str">
        <f>IFERROR(IF(VLOOKUP($B82,casostestes[#Data],3)=0,"-",VLOOKUP($B82,casostestes[#Data],3)), "-")</f>
        <v>-</v>
      </c>
      <c r="F82" s="35" t="str">
        <f>IFERROR(IF(VLOOKUP($B82,casostestes[#Data],4)=0,"-",VLOOKUP($B82,casostestes[#Data],4)),"-")</f>
        <v>-</v>
      </c>
      <c r="G82" s="35" t="str">
        <f>IFERROR(IF(VLOOKUP($B82,casostestes[#Data],5)=0,"-",VLOOKUP($B82,casostestes[#Data],5)),"-")</f>
        <v>-</v>
      </c>
      <c r="H82" s="35" t="str">
        <f>IFERROR(IF(VLOOKUP($B82,casostestes[#Data],6)=0,"-",VLOOKUP($B82,casostestes[#Data],6)),"-")</f>
        <v>-</v>
      </c>
      <c r="I82" s="35" t="str">
        <f>IFERROR(IF(VLOOKUP($B82,casostestes[#Data],8)=0,"-",VLOOKUP($B82,casostestes[#Data],8)),"-")</f>
        <v>-</v>
      </c>
      <c r="J82" s="35" t="str">
        <f>IFERROR(IF(VLOOKUP($B82,casostestes[#Data],9)=0,"-",VLOOKUP($B82,casostestes[#Data],9)),"-")</f>
        <v>-</v>
      </c>
      <c r="K82" s="36"/>
      <c r="L82" s="45"/>
      <c r="M82" s="37"/>
      <c r="N82" s="38"/>
      <c r="O82" s="38"/>
      <c r="P82" s="39"/>
    </row>
    <row r="83" spans="2:16">
      <c r="B83" s="40" t="str">
        <f>IF(ISERR(casostestes[[#This Row],[ID]]),"-",casostestes[[#This Row],[ID]])</f>
        <v>-</v>
      </c>
      <c r="C83" s="34" t="str">
        <f>IFERROR(IF(VLOOKUP($B83,casostestes[#Data],10)=0,"Não",VLOOKUP($B83,casostestes[#Data],10)), "-")</f>
        <v>-</v>
      </c>
      <c r="D83" s="35" t="str">
        <f>IFERROR(IF(VLOOKUP($B83,casostestes[#Data],2)=0,"-",VLOOKUP($B83,casostestes[#Data],2)), "-")</f>
        <v>-</v>
      </c>
      <c r="E83" s="35" t="str">
        <f>IFERROR(IF(VLOOKUP($B83,casostestes[#Data],3)=0,"-",VLOOKUP($B83,casostestes[#Data],3)), "-")</f>
        <v>-</v>
      </c>
      <c r="F83" s="35" t="str">
        <f>IFERROR(IF(VLOOKUP($B83,casostestes[#Data],4)=0,"-",VLOOKUP($B83,casostestes[#Data],4)),"-")</f>
        <v>-</v>
      </c>
      <c r="G83" s="35" t="str">
        <f>IFERROR(IF(VLOOKUP($B83,casostestes[#Data],5)=0,"-",VLOOKUP($B83,casostestes[#Data],5)),"-")</f>
        <v>-</v>
      </c>
      <c r="H83" s="35" t="str">
        <f>IFERROR(IF(VLOOKUP($B83,casostestes[#Data],6)=0,"-",VLOOKUP($B83,casostestes[#Data],6)),"-")</f>
        <v>-</v>
      </c>
      <c r="I83" s="35" t="str">
        <f>IFERROR(IF(VLOOKUP($B83,casostestes[#Data],8)=0,"-",VLOOKUP($B83,casostestes[#Data],8)),"-")</f>
        <v>-</v>
      </c>
      <c r="J83" s="35" t="str">
        <f>IFERROR(IF(VLOOKUP($B83,casostestes[#Data],9)=0,"-",VLOOKUP($B83,casostestes[#Data],9)),"-")</f>
        <v>-</v>
      </c>
      <c r="K83" s="36"/>
      <c r="L83" s="45"/>
      <c r="M83" s="37"/>
      <c r="N83" s="38"/>
      <c r="O83" s="38"/>
      <c r="P83" s="39"/>
    </row>
    <row r="84" spans="2:16">
      <c r="B84" s="40" t="str">
        <f>IF(ISERR(casostestes[[#This Row],[ID]]),"-",casostestes[[#This Row],[ID]])</f>
        <v>-</v>
      </c>
      <c r="C84" s="34" t="str">
        <f>IFERROR(IF(VLOOKUP($B84,casostestes[#Data],10)=0,"Não",VLOOKUP($B84,casostestes[#Data],10)), "-")</f>
        <v>-</v>
      </c>
      <c r="D84" s="35" t="str">
        <f>IFERROR(IF(VLOOKUP($B84,casostestes[#Data],2)=0,"-",VLOOKUP($B84,casostestes[#Data],2)), "-")</f>
        <v>-</v>
      </c>
      <c r="E84" s="35" t="str">
        <f>IFERROR(IF(VLOOKUP($B84,casostestes[#Data],3)=0,"-",VLOOKUP($B84,casostestes[#Data],3)), "-")</f>
        <v>-</v>
      </c>
      <c r="F84" s="35" t="str">
        <f>IFERROR(IF(VLOOKUP($B84,casostestes[#Data],4)=0,"-",VLOOKUP($B84,casostestes[#Data],4)),"-")</f>
        <v>-</v>
      </c>
      <c r="G84" s="35" t="str">
        <f>IFERROR(IF(VLOOKUP($B84,casostestes[#Data],5)=0,"-",VLOOKUP($B84,casostestes[#Data],5)),"-")</f>
        <v>-</v>
      </c>
      <c r="H84" s="35" t="str">
        <f>IFERROR(IF(VLOOKUP($B84,casostestes[#Data],6)=0,"-",VLOOKUP($B84,casostestes[#Data],6)),"-")</f>
        <v>-</v>
      </c>
      <c r="I84" s="35" t="str">
        <f>IFERROR(IF(VLOOKUP($B84,casostestes[#Data],8)=0,"-",VLOOKUP($B84,casostestes[#Data],8)),"-")</f>
        <v>-</v>
      </c>
      <c r="J84" s="35" t="str">
        <f>IFERROR(IF(VLOOKUP($B84,casostestes[#Data],9)=0,"-",VLOOKUP($B84,casostestes[#Data],9)),"-")</f>
        <v>-</v>
      </c>
      <c r="K84" s="36"/>
      <c r="L84" s="45"/>
      <c r="M84" s="37"/>
      <c r="N84" s="38"/>
      <c r="O84" s="38"/>
      <c r="P84" s="39"/>
    </row>
    <row r="85" spans="2:16">
      <c r="B85" s="40" t="str">
        <f>IF(ISERR(casostestes[[#This Row],[ID]]),"-",casostestes[[#This Row],[ID]])</f>
        <v>-</v>
      </c>
      <c r="C85" s="34" t="str">
        <f>IFERROR(IF(VLOOKUP($B85,casostestes[#Data],10)=0,"Não",VLOOKUP($B85,casostestes[#Data],10)), "-")</f>
        <v>-</v>
      </c>
      <c r="D85" s="35" t="str">
        <f>IFERROR(IF(VLOOKUP($B85,casostestes[#Data],2)=0,"-",VLOOKUP($B85,casostestes[#Data],2)), "-")</f>
        <v>-</v>
      </c>
      <c r="E85" s="35" t="str">
        <f>IFERROR(IF(VLOOKUP($B85,casostestes[#Data],3)=0,"-",VLOOKUP($B85,casostestes[#Data],3)), "-")</f>
        <v>-</v>
      </c>
      <c r="F85" s="35" t="str">
        <f>IFERROR(IF(VLOOKUP($B85,casostestes[#Data],4)=0,"-",VLOOKUP($B85,casostestes[#Data],4)),"-")</f>
        <v>-</v>
      </c>
      <c r="G85" s="35" t="str">
        <f>IFERROR(IF(VLOOKUP($B85,casostestes[#Data],5)=0,"-",VLOOKUP($B85,casostestes[#Data],5)),"-")</f>
        <v>-</v>
      </c>
      <c r="H85" s="35" t="str">
        <f>IFERROR(IF(VLOOKUP($B85,casostestes[#Data],6)=0,"-",VLOOKUP($B85,casostestes[#Data],6)),"-")</f>
        <v>-</v>
      </c>
      <c r="I85" s="35" t="str">
        <f>IFERROR(IF(VLOOKUP($B85,casostestes[#Data],8)=0,"-",VLOOKUP($B85,casostestes[#Data],8)),"-")</f>
        <v>-</v>
      </c>
      <c r="J85" s="35" t="str">
        <f>IFERROR(IF(VLOOKUP($B85,casostestes[#Data],9)=0,"-",VLOOKUP($B85,casostestes[#Data],9)),"-")</f>
        <v>-</v>
      </c>
      <c r="K85" s="36"/>
      <c r="L85" s="45"/>
      <c r="M85" s="37"/>
      <c r="N85" s="38"/>
      <c r="O85" s="38"/>
      <c r="P85" s="39"/>
    </row>
    <row r="86" spans="2:16">
      <c r="B86" s="40" t="str">
        <f>IF(ISERR(casostestes[[#This Row],[ID]]),"-",casostestes[[#This Row],[ID]])</f>
        <v>-</v>
      </c>
      <c r="C86" s="34" t="str">
        <f>IFERROR(IF(VLOOKUP($B86,casostestes[#Data],10)=0,"Não",VLOOKUP($B86,casostestes[#Data],10)), "-")</f>
        <v>-</v>
      </c>
      <c r="D86" s="35" t="str">
        <f>IFERROR(IF(VLOOKUP($B86,casostestes[#Data],2)=0,"-",VLOOKUP($B86,casostestes[#Data],2)), "-")</f>
        <v>-</v>
      </c>
      <c r="E86" s="35" t="str">
        <f>IFERROR(IF(VLOOKUP($B86,casostestes[#Data],3)=0,"-",VLOOKUP($B86,casostestes[#Data],3)), "-")</f>
        <v>-</v>
      </c>
      <c r="F86" s="35" t="str">
        <f>IFERROR(IF(VLOOKUP($B86,casostestes[#Data],4)=0,"-",VLOOKUP($B86,casostestes[#Data],4)),"-")</f>
        <v>-</v>
      </c>
      <c r="G86" s="35" t="str">
        <f>IFERROR(IF(VLOOKUP($B86,casostestes[#Data],5)=0,"-",VLOOKUP($B86,casostestes[#Data],5)),"-")</f>
        <v>-</v>
      </c>
      <c r="H86" s="35" t="str">
        <f>IFERROR(IF(VLOOKUP($B86,casostestes[#Data],6)=0,"-",VLOOKUP($B86,casostestes[#Data],6)),"-")</f>
        <v>-</v>
      </c>
      <c r="I86" s="35" t="str">
        <f>IFERROR(IF(VLOOKUP($B86,casostestes[#Data],8)=0,"-",VLOOKUP($B86,casostestes[#Data],8)),"-")</f>
        <v>-</v>
      </c>
      <c r="J86" s="35" t="str">
        <f>IFERROR(IF(VLOOKUP($B86,casostestes[#Data],9)=0,"-",VLOOKUP($B86,casostestes[#Data],9)),"-")</f>
        <v>-</v>
      </c>
      <c r="K86" s="36"/>
      <c r="L86" s="45"/>
      <c r="M86" s="37"/>
      <c r="N86" s="38"/>
      <c r="O86" s="38"/>
      <c r="P86" s="39"/>
    </row>
    <row r="87" spans="2:16">
      <c r="B87" s="40" t="str">
        <f>IF(ISERR(casostestes[[#This Row],[ID]]),"-",casostestes[[#This Row],[ID]])</f>
        <v>-</v>
      </c>
      <c r="C87" s="34" t="str">
        <f>IFERROR(IF(VLOOKUP($B87,casostestes[#Data],10)=0,"Não",VLOOKUP($B87,casostestes[#Data],10)), "-")</f>
        <v>-</v>
      </c>
      <c r="D87" s="35" t="str">
        <f>IFERROR(IF(VLOOKUP($B87,casostestes[#Data],2)=0,"-",VLOOKUP($B87,casostestes[#Data],2)), "-")</f>
        <v>-</v>
      </c>
      <c r="E87" s="35" t="str">
        <f>IFERROR(IF(VLOOKUP($B87,casostestes[#Data],3)=0,"-",VLOOKUP($B87,casostestes[#Data],3)), "-")</f>
        <v>-</v>
      </c>
      <c r="F87" s="35" t="str">
        <f>IFERROR(IF(VLOOKUP($B87,casostestes[#Data],4)=0,"-",VLOOKUP($B87,casostestes[#Data],4)),"-")</f>
        <v>-</v>
      </c>
      <c r="G87" s="35" t="str">
        <f>IFERROR(IF(VLOOKUP($B87,casostestes[#Data],5)=0,"-",VLOOKUP($B87,casostestes[#Data],5)),"-")</f>
        <v>-</v>
      </c>
      <c r="H87" s="35" t="str">
        <f>IFERROR(IF(VLOOKUP($B87,casostestes[#Data],6)=0,"-",VLOOKUP($B87,casostestes[#Data],6)),"-")</f>
        <v>-</v>
      </c>
      <c r="I87" s="35" t="str">
        <f>IFERROR(IF(VLOOKUP($B87,casostestes[#Data],8)=0,"-",VLOOKUP($B87,casostestes[#Data],8)),"-")</f>
        <v>-</v>
      </c>
      <c r="J87" s="35" t="str">
        <f>IFERROR(IF(VLOOKUP($B87,casostestes[#Data],9)=0,"-",VLOOKUP($B87,casostestes[#Data],9)),"-")</f>
        <v>-</v>
      </c>
      <c r="K87" s="36"/>
      <c r="L87" s="45"/>
      <c r="M87" s="37"/>
      <c r="N87" s="38"/>
      <c r="O87" s="38"/>
      <c r="P87" s="39"/>
    </row>
    <row r="88" spans="2:16">
      <c r="B88" s="40" t="str">
        <f>IF(ISERR(casostestes[[#This Row],[ID]]),"-",casostestes[[#This Row],[ID]])</f>
        <v>-</v>
      </c>
      <c r="C88" s="34" t="str">
        <f>IFERROR(IF(VLOOKUP($B88,casostestes[#Data],10)=0,"Não",VLOOKUP($B88,casostestes[#Data],10)), "-")</f>
        <v>-</v>
      </c>
      <c r="D88" s="35" t="str">
        <f>IFERROR(IF(VLOOKUP($B88,casostestes[#Data],2)=0,"-",VLOOKUP($B88,casostestes[#Data],2)), "-")</f>
        <v>-</v>
      </c>
      <c r="E88" s="35" t="str">
        <f>IFERROR(IF(VLOOKUP($B88,casostestes[#Data],3)=0,"-",VLOOKUP($B88,casostestes[#Data],3)), "-")</f>
        <v>-</v>
      </c>
      <c r="F88" s="35" t="str">
        <f>IFERROR(IF(VLOOKUP($B88,casostestes[#Data],4)=0,"-",VLOOKUP($B88,casostestes[#Data],4)),"-")</f>
        <v>-</v>
      </c>
      <c r="G88" s="35" t="str">
        <f>IFERROR(IF(VLOOKUP($B88,casostestes[#Data],5)=0,"-",VLOOKUP($B88,casostestes[#Data],5)),"-")</f>
        <v>-</v>
      </c>
      <c r="H88" s="35" t="str">
        <f>IFERROR(IF(VLOOKUP($B88,casostestes[#Data],6)=0,"-",VLOOKUP($B88,casostestes[#Data],6)),"-")</f>
        <v>-</v>
      </c>
      <c r="I88" s="35" t="str">
        <f>IFERROR(IF(VLOOKUP($B88,casostestes[#Data],8)=0,"-",VLOOKUP($B88,casostestes[#Data],8)),"-")</f>
        <v>-</v>
      </c>
      <c r="J88" s="35" t="str">
        <f>IFERROR(IF(VLOOKUP($B88,casostestes[#Data],9)=0,"-",VLOOKUP($B88,casostestes[#Data],9)),"-")</f>
        <v>-</v>
      </c>
      <c r="K88" s="36"/>
      <c r="L88" s="45"/>
      <c r="M88" s="37"/>
      <c r="N88" s="38"/>
      <c r="O88" s="38"/>
      <c r="P88" s="39"/>
    </row>
    <row r="89" spans="2:16">
      <c r="B89" s="40" t="str">
        <f>IF(ISERR(casostestes[[#This Row],[ID]]),"-",casostestes[[#This Row],[ID]])</f>
        <v>-</v>
      </c>
      <c r="C89" s="34" t="str">
        <f>IFERROR(IF(VLOOKUP($B89,casostestes[#Data],10)=0,"Não",VLOOKUP($B89,casostestes[#Data],10)), "-")</f>
        <v>-</v>
      </c>
      <c r="D89" s="35" t="str">
        <f>IFERROR(IF(VLOOKUP($B89,casostestes[#Data],2)=0,"-",VLOOKUP($B89,casostestes[#Data],2)), "-")</f>
        <v>-</v>
      </c>
      <c r="E89" s="35" t="str">
        <f>IFERROR(IF(VLOOKUP($B89,casostestes[#Data],3)=0,"-",VLOOKUP($B89,casostestes[#Data],3)), "-")</f>
        <v>-</v>
      </c>
      <c r="F89" s="35" t="str">
        <f>IFERROR(IF(VLOOKUP($B89,casostestes[#Data],4)=0,"-",VLOOKUP($B89,casostestes[#Data],4)),"-")</f>
        <v>-</v>
      </c>
      <c r="G89" s="35" t="str">
        <f>IFERROR(IF(VLOOKUP($B89,casostestes[#Data],5)=0,"-",VLOOKUP($B89,casostestes[#Data],5)),"-")</f>
        <v>-</v>
      </c>
      <c r="H89" s="35" t="str">
        <f>IFERROR(IF(VLOOKUP($B89,casostestes[#Data],6)=0,"-",VLOOKUP($B89,casostestes[#Data],6)),"-")</f>
        <v>-</v>
      </c>
      <c r="I89" s="35" t="str">
        <f>IFERROR(IF(VLOOKUP($B89,casostestes[#Data],8)=0,"-",VLOOKUP($B89,casostestes[#Data],8)),"-")</f>
        <v>-</v>
      </c>
      <c r="J89" s="35" t="str">
        <f>IFERROR(IF(VLOOKUP($B89,casostestes[#Data],9)=0,"-",VLOOKUP($B89,casostestes[#Data],9)),"-")</f>
        <v>-</v>
      </c>
      <c r="K89" s="36"/>
      <c r="L89" s="45"/>
      <c r="M89" s="37"/>
      <c r="N89" s="38"/>
      <c r="O89" s="38"/>
      <c r="P89" s="39"/>
    </row>
    <row r="90" spans="2:16">
      <c r="B90" s="40" t="str">
        <f>IF(ISERR(casostestes[[#This Row],[ID]]),"-",casostestes[[#This Row],[ID]])</f>
        <v>-</v>
      </c>
      <c r="C90" s="34" t="str">
        <f>IFERROR(IF(VLOOKUP($B90,casostestes[#Data],10)=0,"Não",VLOOKUP($B90,casostestes[#Data],10)), "-")</f>
        <v>-</v>
      </c>
      <c r="D90" s="35" t="str">
        <f>IFERROR(IF(VLOOKUP($B90,casostestes[#Data],2)=0,"-",VLOOKUP($B90,casostestes[#Data],2)), "-")</f>
        <v>-</v>
      </c>
      <c r="E90" s="35" t="str">
        <f>IFERROR(IF(VLOOKUP($B90,casostestes[#Data],3)=0,"-",VLOOKUP($B90,casostestes[#Data],3)), "-")</f>
        <v>-</v>
      </c>
      <c r="F90" s="35" t="str">
        <f>IFERROR(IF(VLOOKUP($B90,casostestes[#Data],4)=0,"-",VLOOKUP($B90,casostestes[#Data],4)),"-")</f>
        <v>-</v>
      </c>
      <c r="G90" s="35" t="str">
        <f>IFERROR(IF(VLOOKUP($B90,casostestes[#Data],5)=0,"-",VLOOKUP($B90,casostestes[#Data],5)),"-")</f>
        <v>-</v>
      </c>
      <c r="H90" s="35" t="str">
        <f>IFERROR(IF(VLOOKUP($B90,casostestes[#Data],6)=0,"-",VLOOKUP($B90,casostestes[#Data],6)),"-")</f>
        <v>-</v>
      </c>
      <c r="I90" s="35" t="str">
        <f>IFERROR(IF(VLOOKUP($B90,casostestes[#Data],8)=0,"-",VLOOKUP($B90,casostestes[#Data],8)),"-")</f>
        <v>-</v>
      </c>
      <c r="J90" s="35" t="str">
        <f>IFERROR(IF(VLOOKUP($B90,casostestes[#Data],9)=0,"-",VLOOKUP($B90,casostestes[#Data],9)),"-")</f>
        <v>-</v>
      </c>
      <c r="K90" s="36"/>
      <c r="L90" s="45"/>
      <c r="M90" s="37"/>
      <c r="N90" s="38"/>
      <c r="O90" s="38"/>
      <c r="P90" s="39"/>
    </row>
    <row r="91" spans="2:16">
      <c r="B91" s="40" t="str">
        <f>IF(ISERR(casostestes[[#This Row],[ID]]),"-",casostestes[[#This Row],[ID]])</f>
        <v>-</v>
      </c>
      <c r="C91" s="34" t="str">
        <f>IFERROR(IF(VLOOKUP($B91,casostestes[#Data],10)=0,"Não",VLOOKUP($B91,casostestes[#Data],10)), "-")</f>
        <v>-</v>
      </c>
      <c r="D91" s="35" t="str">
        <f>IFERROR(IF(VLOOKUP($B91,casostestes[#Data],2)=0,"-",VLOOKUP($B91,casostestes[#Data],2)), "-")</f>
        <v>-</v>
      </c>
      <c r="E91" s="35" t="str">
        <f>IFERROR(IF(VLOOKUP($B91,casostestes[#Data],3)=0,"-",VLOOKUP($B91,casostestes[#Data],3)), "-")</f>
        <v>-</v>
      </c>
      <c r="F91" s="35" t="str">
        <f>IFERROR(IF(VLOOKUP($B91,casostestes[#Data],4)=0,"-",VLOOKUP($B91,casostestes[#Data],4)),"-")</f>
        <v>-</v>
      </c>
      <c r="G91" s="35" t="str">
        <f>IFERROR(IF(VLOOKUP($B91,casostestes[#Data],5)=0,"-",VLOOKUP($B91,casostestes[#Data],5)),"-")</f>
        <v>-</v>
      </c>
      <c r="H91" s="35" t="str">
        <f>IFERROR(IF(VLOOKUP($B91,casostestes[#Data],6)=0,"-",VLOOKUP($B91,casostestes[#Data],6)),"-")</f>
        <v>-</v>
      </c>
      <c r="I91" s="35" t="str">
        <f>IFERROR(IF(VLOOKUP($B91,casostestes[#Data],8)=0,"-",VLOOKUP($B91,casostestes[#Data],8)),"-")</f>
        <v>-</v>
      </c>
      <c r="J91" s="35" t="str">
        <f>IFERROR(IF(VLOOKUP($B91,casostestes[#Data],9)=0,"-",VLOOKUP($B91,casostestes[#Data],9)),"-")</f>
        <v>-</v>
      </c>
      <c r="K91" s="36"/>
      <c r="L91" s="45"/>
      <c r="M91" s="37"/>
      <c r="N91" s="38"/>
      <c r="O91" s="38"/>
      <c r="P91" s="39"/>
    </row>
    <row r="92" spans="2:16">
      <c r="B92" s="40" t="str">
        <f>IF(ISERR(casostestes[[#This Row],[ID]]),"-",casostestes[[#This Row],[ID]])</f>
        <v>-</v>
      </c>
      <c r="C92" s="34" t="str">
        <f>IFERROR(IF(VLOOKUP($B92,casostestes[#Data],10)=0,"Não",VLOOKUP($B92,casostestes[#Data],10)), "-")</f>
        <v>-</v>
      </c>
      <c r="D92" s="35" t="str">
        <f>IFERROR(IF(VLOOKUP($B92,casostestes[#Data],2)=0,"-",VLOOKUP($B92,casostestes[#Data],2)), "-")</f>
        <v>-</v>
      </c>
      <c r="E92" s="35" t="str">
        <f>IFERROR(IF(VLOOKUP($B92,casostestes[#Data],3)=0,"-",VLOOKUP($B92,casostestes[#Data],3)), "-")</f>
        <v>-</v>
      </c>
      <c r="F92" s="35" t="str">
        <f>IFERROR(IF(VLOOKUP($B92,casostestes[#Data],4)=0,"-",VLOOKUP($B92,casostestes[#Data],4)),"-")</f>
        <v>-</v>
      </c>
      <c r="G92" s="35" t="str">
        <f>IFERROR(IF(VLOOKUP($B92,casostestes[#Data],5)=0,"-",VLOOKUP($B92,casostestes[#Data],5)),"-")</f>
        <v>-</v>
      </c>
      <c r="H92" s="35" t="str">
        <f>IFERROR(IF(VLOOKUP($B92,casostestes[#Data],6)=0,"-",VLOOKUP($B92,casostestes[#Data],6)),"-")</f>
        <v>-</v>
      </c>
      <c r="I92" s="35" t="str">
        <f>IFERROR(IF(VLOOKUP($B92,casostestes[#Data],8)=0,"-",VLOOKUP($B92,casostestes[#Data],8)),"-")</f>
        <v>-</v>
      </c>
      <c r="J92" s="35" t="str">
        <f>IFERROR(IF(VLOOKUP($B92,casostestes[#Data],9)=0,"-",VLOOKUP($B92,casostestes[#Data],9)),"-")</f>
        <v>-</v>
      </c>
      <c r="K92" s="36"/>
      <c r="L92" s="45"/>
      <c r="M92" s="37"/>
      <c r="N92" s="38"/>
      <c r="O92" s="38"/>
      <c r="P92" s="39"/>
    </row>
    <row r="93" spans="2:16">
      <c r="B93" s="40" t="str">
        <f>IF(ISERR(casostestes[[#This Row],[ID]]),"-",casostestes[[#This Row],[ID]])</f>
        <v>-</v>
      </c>
      <c r="C93" s="34" t="str">
        <f>IFERROR(IF(VLOOKUP($B93,casostestes[#Data],10)=0,"Não",VLOOKUP($B93,casostestes[#Data],10)), "-")</f>
        <v>-</v>
      </c>
      <c r="D93" s="35" t="str">
        <f>IFERROR(IF(VLOOKUP($B93,casostestes[#Data],2)=0,"-",VLOOKUP($B93,casostestes[#Data],2)), "-")</f>
        <v>-</v>
      </c>
      <c r="E93" s="35" t="str">
        <f>IFERROR(IF(VLOOKUP($B93,casostestes[#Data],3)=0,"-",VLOOKUP($B93,casostestes[#Data],3)), "-")</f>
        <v>-</v>
      </c>
      <c r="F93" s="35" t="str">
        <f>IFERROR(IF(VLOOKUP($B93,casostestes[#Data],4)=0,"-",VLOOKUP($B93,casostestes[#Data],4)),"-")</f>
        <v>-</v>
      </c>
      <c r="G93" s="35" t="str">
        <f>IFERROR(IF(VLOOKUP($B93,casostestes[#Data],5)=0,"-",VLOOKUP($B93,casostestes[#Data],5)),"-")</f>
        <v>-</v>
      </c>
      <c r="H93" s="35" t="str">
        <f>IFERROR(IF(VLOOKUP($B93,casostestes[#Data],6)=0,"-",VLOOKUP($B93,casostestes[#Data],6)),"-")</f>
        <v>-</v>
      </c>
      <c r="I93" s="35" t="str">
        <f>IFERROR(IF(VLOOKUP($B93,casostestes[#Data],8)=0,"-",VLOOKUP($B93,casostestes[#Data],8)),"-")</f>
        <v>-</v>
      </c>
      <c r="J93" s="35" t="str">
        <f>IFERROR(IF(VLOOKUP($B93,casostestes[#Data],9)=0,"-",VLOOKUP($B93,casostestes[#Data],9)),"-")</f>
        <v>-</v>
      </c>
      <c r="K93" s="36"/>
      <c r="L93" s="45"/>
      <c r="M93" s="37"/>
      <c r="N93" s="38"/>
      <c r="O93" s="38"/>
      <c r="P93" s="39"/>
    </row>
    <row r="94" spans="2:16">
      <c r="B94" s="40" t="str">
        <f>IF(ISERR(casostestes[[#This Row],[ID]]),"-",casostestes[[#This Row],[ID]])</f>
        <v>-</v>
      </c>
      <c r="C94" s="34" t="str">
        <f>IFERROR(IF(VLOOKUP($B94,casostestes[#Data],10)=0,"Não",VLOOKUP($B94,casostestes[#Data],10)), "-")</f>
        <v>-</v>
      </c>
      <c r="D94" s="35" t="str">
        <f>IFERROR(IF(VLOOKUP($B94,casostestes[#Data],2)=0,"-",VLOOKUP($B94,casostestes[#Data],2)), "-")</f>
        <v>-</v>
      </c>
      <c r="E94" s="35" t="str">
        <f>IFERROR(IF(VLOOKUP($B94,casostestes[#Data],3)=0,"-",VLOOKUP($B94,casostestes[#Data],3)), "-")</f>
        <v>-</v>
      </c>
      <c r="F94" s="35" t="str">
        <f>IFERROR(IF(VLOOKUP($B94,casostestes[#Data],4)=0,"-",VLOOKUP($B94,casostestes[#Data],4)),"-")</f>
        <v>-</v>
      </c>
      <c r="G94" s="35" t="str">
        <f>IFERROR(IF(VLOOKUP($B94,casostestes[#Data],5)=0,"-",VLOOKUP($B94,casostestes[#Data],5)),"-")</f>
        <v>-</v>
      </c>
      <c r="H94" s="35" t="str">
        <f>IFERROR(IF(VLOOKUP($B94,casostestes[#Data],6)=0,"-",VLOOKUP($B94,casostestes[#Data],6)),"-")</f>
        <v>-</v>
      </c>
      <c r="I94" s="35" t="str">
        <f>IFERROR(IF(VLOOKUP($B94,casostestes[#Data],8)=0,"-",VLOOKUP($B94,casostestes[#Data],8)),"-")</f>
        <v>-</v>
      </c>
      <c r="J94" s="35" t="str">
        <f>IFERROR(IF(VLOOKUP($B94,casostestes[#Data],9)=0,"-",VLOOKUP($B94,casostestes[#Data],9)),"-")</f>
        <v>-</v>
      </c>
      <c r="K94" s="36"/>
      <c r="L94" s="45"/>
      <c r="M94" s="37"/>
      <c r="N94" s="38"/>
      <c r="O94" s="38"/>
      <c r="P94" s="39"/>
    </row>
    <row r="95" spans="2:16">
      <c r="B95" s="40" t="str">
        <f>IF(ISERR(casostestes[[#This Row],[ID]]),"-",casostestes[[#This Row],[ID]])</f>
        <v>-</v>
      </c>
      <c r="C95" s="34" t="str">
        <f>IFERROR(IF(VLOOKUP($B95,casostestes[#Data],10)=0,"Não",VLOOKUP($B95,casostestes[#Data],10)), "-")</f>
        <v>-</v>
      </c>
      <c r="D95" s="35" t="str">
        <f>IFERROR(IF(VLOOKUP($B95,casostestes[#Data],2)=0,"-",VLOOKUP($B95,casostestes[#Data],2)), "-")</f>
        <v>-</v>
      </c>
      <c r="E95" s="35" t="str">
        <f>IFERROR(IF(VLOOKUP($B95,casostestes[#Data],3)=0,"-",VLOOKUP($B95,casostestes[#Data],3)), "-")</f>
        <v>-</v>
      </c>
      <c r="F95" s="35" t="str">
        <f>IFERROR(IF(VLOOKUP($B95,casostestes[#Data],4)=0,"-",VLOOKUP($B95,casostestes[#Data],4)),"-")</f>
        <v>-</v>
      </c>
      <c r="G95" s="35" t="str">
        <f>IFERROR(IF(VLOOKUP($B95,casostestes[#Data],5)=0,"-",VLOOKUP($B95,casostestes[#Data],5)),"-")</f>
        <v>-</v>
      </c>
      <c r="H95" s="35" t="str">
        <f>IFERROR(IF(VLOOKUP($B95,casostestes[#Data],6)=0,"-",VLOOKUP($B95,casostestes[#Data],6)),"-")</f>
        <v>-</v>
      </c>
      <c r="I95" s="35" t="str">
        <f>IFERROR(IF(VLOOKUP($B95,casostestes[#Data],8)=0,"-",VLOOKUP($B95,casostestes[#Data],8)),"-")</f>
        <v>-</v>
      </c>
      <c r="J95" s="35" t="str">
        <f>IFERROR(IF(VLOOKUP($B95,casostestes[#Data],9)=0,"-",VLOOKUP($B95,casostestes[#Data],9)),"-")</f>
        <v>-</v>
      </c>
      <c r="K95" s="36"/>
      <c r="L95" s="45"/>
      <c r="M95" s="37"/>
      <c r="N95" s="38"/>
      <c r="O95" s="38"/>
      <c r="P95" s="39"/>
    </row>
    <row r="96" spans="2:16">
      <c r="B96" s="40" t="str">
        <f>IF(ISERR(casostestes[[#This Row],[ID]]),"-",casostestes[[#This Row],[ID]])</f>
        <v>-</v>
      </c>
      <c r="C96" s="34" t="str">
        <f>IFERROR(IF(VLOOKUP($B96,casostestes[#Data],10)=0,"Não",VLOOKUP($B96,casostestes[#Data],10)), "-")</f>
        <v>-</v>
      </c>
      <c r="D96" s="35" t="str">
        <f>IFERROR(IF(VLOOKUP($B96,casostestes[#Data],2)=0,"-",VLOOKUP($B96,casostestes[#Data],2)), "-")</f>
        <v>-</v>
      </c>
      <c r="E96" s="35" t="str">
        <f>IFERROR(IF(VLOOKUP($B96,casostestes[#Data],3)=0,"-",VLOOKUP($B96,casostestes[#Data],3)), "-")</f>
        <v>-</v>
      </c>
      <c r="F96" s="35" t="str">
        <f>IFERROR(IF(VLOOKUP($B96,casostestes[#Data],4)=0,"-",VLOOKUP($B96,casostestes[#Data],4)),"-")</f>
        <v>-</v>
      </c>
      <c r="G96" s="35" t="str">
        <f>IFERROR(IF(VLOOKUP($B96,casostestes[#Data],5)=0,"-",VLOOKUP($B96,casostestes[#Data],5)),"-")</f>
        <v>-</v>
      </c>
      <c r="H96" s="35" t="str">
        <f>IFERROR(IF(VLOOKUP($B96,casostestes[#Data],6)=0,"-",VLOOKUP($B96,casostestes[#Data],6)),"-")</f>
        <v>-</v>
      </c>
      <c r="I96" s="35" t="str">
        <f>IFERROR(IF(VLOOKUP($B96,casostestes[#Data],8)=0,"-",VLOOKUP($B96,casostestes[#Data],8)),"-")</f>
        <v>-</v>
      </c>
      <c r="J96" s="35" t="str">
        <f>IFERROR(IF(VLOOKUP($B96,casostestes[#Data],9)=0,"-",VLOOKUP($B96,casostestes[#Data],9)),"-")</f>
        <v>-</v>
      </c>
      <c r="K96" s="36"/>
      <c r="L96" s="45"/>
      <c r="M96" s="37"/>
      <c r="N96" s="38"/>
      <c r="O96" s="38"/>
      <c r="P96" s="39"/>
    </row>
    <row r="97" spans="2:16">
      <c r="B97" s="40" t="str">
        <f>IF(ISERR(casostestes[[#This Row],[ID]]),"-",casostestes[[#This Row],[ID]])</f>
        <v>-</v>
      </c>
      <c r="C97" s="34" t="str">
        <f>IFERROR(IF(VLOOKUP($B97,casostestes[#Data],10)=0,"Não",VLOOKUP($B97,casostestes[#Data],10)), "-")</f>
        <v>-</v>
      </c>
      <c r="D97" s="35" t="str">
        <f>IFERROR(IF(VLOOKUP($B97,casostestes[#Data],2)=0,"-",VLOOKUP($B97,casostestes[#Data],2)), "-")</f>
        <v>-</v>
      </c>
      <c r="E97" s="35" t="str">
        <f>IFERROR(IF(VLOOKUP($B97,casostestes[#Data],3)=0,"-",VLOOKUP($B97,casostestes[#Data],3)), "-")</f>
        <v>-</v>
      </c>
      <c r="F97" s="35" t="str">
        <f>IFERROR(IF(VLOOKUP($B97,casostestes[#Data],4)=0,"-",VLOOKUP($B97,casostestes[#Data],4)),"-")</f>
        <v>-</v>
      </c>
      <c r="G97" s="35" t="str">
        <f>IFERROR(IF(VLOOKUP($B97,casostestes[#Data],5)=0,"-",VLOOKUP($B97,casostestes[#Data],5)),"-")</f>
        <v>-</v>
      </c>
      <c r="H97" s="35" t="str">
        <f>IFERROR(IF(VLOOKUP($B97,casostestes[#Data],6)=0,"-",VLOOKUP($B97,casostestes[#Data],6)),"-")</f>
        <v>-</v>
      </c>
      <c r="I97" s="35" t="str">
        <f>IFERROR(IF(VLOOKUP($B97,casostestes[#Data],8)=0,"-",VLOOKUP($B97,casostestes[#Data],8)),"-")</f>
        <v>-</v>
      </c>
      <c r="J97" s="35" t="str">
        <f>IFERROR(IF(VLOOKUP($B97,casostestes[#Data],9)=0,"-",VLOOKUP($B97,casostestes[#Data],9)),"-")</f>
        <v>-</v>
      </c>
      <c r="K97" s="36"/>
      <c r="L97" s="45"/>
      <c r="M97" s="37"/>
      <c r="N97" s="38"/>
      <c r="O97" s="38"/>
      <c r="P97" s="39"/>
    </row>
    <row r="98" spans="2:16">
      <c r="B98" s="40" t="str">
        <f>IF(ISERR(casostestes[[#This Row],[ID]]),"-",casostestes[[#This Row],[ID]])</f>
        <v>-</v>
      </c>
      <c r="C98" s="34" t="str">
        <f>IFERROR(IF(VLOOKUP($B98,casostestes[#Data],10)=0,"Não",VLOOKUP($B98,casostestes[#Data],10)), "-")</f>
        <v>-</v>
      </c>
      <c r="D98" s="35" t="str">
        <f>IFERROR(IF(VLOOKUP($B98,casostestes[#Data],2)=0,"-",VLOOKUP($B98,casostestes[#Data],2)), "-")</f>
        <v>-</v>
      </c>
      <c r="E98" s="35" t="str">
        <f>IFERROR(IF(VLOOKUP($B98,casostestes[#Data],3)=0,"-",VLOOKUP($B98,casostestes[#Data],3)), "-")</f>
        <v>-</v>
      </c>
      <c r="F98" s="35" t="str">
        <f>IFERROR(IF(VLOOKUP($B98,casostestes[#Data],4)=0,"-",VLOOKUP($B98,casostestes[#Data],4)),"-")</f>
        <v>-</v>
      </c>
      <c r="G98" s="35" t="str">
        <f>IFERROR(IF(VLOOKUP($B98,casostestes[#Data],5)=0,"-",VLOOKUP($B98,casostestes[#Data],5)),"-")</f>
        <v>-</v>
      </c>
      <c r="H98" s="35" t="str">
        <f>IFERROR(IF(VLOOKUP($B98,casostestes[#Data],6)=0,"-",VLOOKUP($B98,casostestes[#Data],6)),"-")</f>
        <v>-</v>
      </c>
      <c r="I98" s="35" t="str">
        <f>IFERROR(IF(VLOOKUP($B98,casostestes[#Data],8)=0,"-",VLOOKUP($B98,casostestes[#Data],8)),"-")</f>
        <v>-</v>
      </c>
      <c r="J98" s="35" t="str">
        <f>IFERROR(IF(VLOOKUP($B98,casostestes[#Data],9)=0,"-",VLOOKUP($B98,casostestes[#Data],9)),"-")</f>
        <v>-</v>
      </c>
      <c r="K98" s="36"/>
      <c r="L98" s="45"/>
      <c r="M98" s="37"/>
      <c r="N98" s="38"/>
      <c r="O98" s="38"/>
      <c r="P98" s="39"/>
    </row>
    <row r="99" spans="2:16">
      <c r="B99" s="40" t="str">
        <f>IF(ISERR(casostestes[[#This Row],[ID]]),"-",casostestes[[#This Row],[ID]])</f>
        <v>-</v>
      </c>
      <c r="C99" s="34" t="str">
        <f>IFERROR(IF(VLOOKUP($B99,casostestes[#Data],10)=0,"Não",VLOOKUP($B99,casostestes[#Data],10)), "-")</f>
        <v>-</v>
      </c>
      <c r="D99" s="35" t="str">
        <f>IFERROR(IF(VLOOKUP($B99,casostestes[#Data],2)=0,"-",VLOOKUP($B99,casostestes[#Data],2)), "-")</f>
        <v>-</v>
      </c>
      <c r="E99" s="35" t="str">
        <f>IFERROR(IF(VLOOKUP($B99,casostestes[#Data],3)=0,"-",VLOOKUP($B99,casostestes[#Data],3)), "-")</f>
        <v>-</v>
      </c>
      <c r="F99" s="35" t="str">
        <f>IFERROR(IF(VLOOKUP($B99,casostestes[#Data],4)=0,"-",VLOOKUP($B99,casostestes[#Data],4)),"-")</f>
        <v>-</v>
      </c>
      <c r="G99" s="35" t="str">
        <f>IFERROR(IF(VLOOKUP($B99,casostestes[#Data],5)=0,"-",VLOOKUP($B99,casostestes[#Data],5)),"-")</f>
        <v>-</v>
      </c>
      <c r="H99" s="35" t="str">
        <f>IFERROR(IF(VLOOKUP($B99,casostestes[#Data],6)=0,"-",VLOOKUP($B99,casostestes[#Data],6)),"-")</f>
        <v>-</v>
      </c>
      <c r="I99" s="35" t="str">
        <f>IFERROR(IF(VLOOKUP($B99,casostestes[#Data],8)=0,"-",VLOOKUP($B99,casostestes[#Data],8)),"-")</f>
        <v>-</v>
      </c>
      <c r="J99" s="35" t="str">
        <f>IFERROR(IF(VLOOKUP($B99,casostestes[#Data],9)=0,"-",VLOOKUP($B99,casostestes[#Data],9)),"-")</f>
        <v>-</v>
      </c>
      <c r="K99" s="36"/>
      <c r="L99" s="45"/>
      <c r="M99" s="37"/>
      <c r="N99" s="38"/>
      <c r="O99" s="38"/>
      <c r="P99" s="39"/>
    </row>
    <row r="100" spans="2:16">
      <c r="B100" s="40" t="str">
        <f>IF(ISERR(casostestes[[#This Row],[ID]]),"-",casostestes[[#This Row],[ID]])</f>
        <v>-</v>
      </c>
      <c r="C100" s="41" t="str">
        <f>IFERROR(IF(VLOOKUP($B100,casostestes[#Data],10)=0,"Não",VLOOKUP($B100,casostestes[#Data],10)), "-")</f>
        <v>-</v>
      </c>
      <c r="D100" s="42" t="str">
        <f>IFERROR(IF(VLOOKUP($B100,casostestes[#Data],2)=0,"-",VLOOKUP($B100,casostestes[#Data],2)), "-")</f>
        <v>-</v>
      </c>
      <c r="E100" s="42" t="str">
        <f>IFERROR(IF(VLOOKUP($B100,casostestes[#Data],3)=0,"-",VLOOKUP($B100,casostestes[#Data],3)), "-")</f>
        <v>-</v>
      </c>
      <c r="F100" s="42" t="str">
        <f>IFERROR(IF(VLOOKUP($B100,casostestes[#Data],4)=0,"-",VLOOKUP($B100,casostestes[#Data],4)),"-")</f>
        <v>-</v>
      </c>
      <c r="G100" s="42" t="str">
        <f>IFERROR(IF(VLOOKUP($B100,casostestes[#Data],5)=0,"-",VLOOKUP($B100,casostestes[#Data],5)),"-")</f>
        <v>-</v>
      </c>
      <c r="H100" s="42" t="str">
        <f>IFERROR(IF(VLOOKUP($B100,casostestes[#Data],6)=0,"-",VLOOKUP($B100,casostestes[#Data],6)),"-")</f>
        <v>-</v>
      </c>
      <c r="I100" s="42" t="str">
        <f>IFERROR(IF(VLOOKUP($B100,casostestes[#Data],8)=0,"-",VLOOKUP($B100,casostestes[#Data],8)),"-")</f>
        <v>-</v>
      </c>
      <c r="J100" s="42" t="str">
        <f>IFERROR(IF(VLOOKUP($B100,casostestes[#Data],9)=0,"-",VLOOKUP($B100,casostestes[#Data],9)),"-")</f>
        <v>-</v>
      </c>
      <c r="K100" s="43"/>
      <c r="L100" s="45"/>
      <c r="M100" s="44"/>
      <c r="N100" s="45"/>
      <c r="O100" s="45"/>
      <c r="P100" s="46"/>
    </row>
    <row r="101" spans="2:16">
      <c r="B101" s="40" t="str">
        <f>IF(ISERR(casostestes[[#This Row],[ID]]),"-",casostestes[[#This Row],[ID]])</f>
        <v>-</v>
      </c>
      <c r="C101" s="34" t="str">
        <f>IFERROR(IF(VLOOKUP($B101,casostestes[#Data],10)=0,"Não",VLOOKUP($B101,casostestes[#Data],10)), "-")</f>
        <v>-</v>
      </c>
      <c r="D101" s="35" t="str">
        <f>IFERROR(IF(VLOOKUP($B101,casostestes[#Data],2)=0,"-",VLOOKUP($B101,casostestes[#Data],2)), "-")</f>
        <v>-</v>
      </c>
      <c r="E101" s="35" t="str">
        <f>IFERROR(IF(VLOOKUP($B101,casostestes[#Data],3)=0,"-",VLOOKUP($B101,casostestes[#Data],3)), "-")</f>
        <v>-</v>
      </c>
      <c r="F101" s="35" t="str">
        <f>IFERROR(IF(VLOOKUP($B101,casostestes[#Data],4)=0,"-",VLOOKUP($B101,casostestes[#Data],4)),"-")</f>
        <v>-</v>
      </c>
      <c r="G101" s="35" t="str">
        <f>IFERROR(IF(VLOOKUP($B101,casostestes[#Data],5)=0,"-",VLOOKUP($B101,casostestes[#Data],5)),"-")</f>
        <v>-</v>
      </c>
      <c r="H101" s="35" t="str">
        <f>IFERROR(IF(VLOOKUP($B101,casostestes[#Data],6)=0,"-",VLOOKUP($B101,casostestes[#Data],6)),"-")</f>
        <v>-</v>
      </c>
      <c r="I101" s="35" t="str">
        <f>IFERROR(IF(VLOOKUP($B101,casostestes[#Data],8)=0,"-",VLOOKUP($B101,casostestes[#Data],8)),"-")</f>
        <v>-</v>
      </c>
      <c r="J101" s="35" t="str">
        <f>IFERROR(IF(VLOOKUP($B101,casostestes[#Data],9)=0,"-",VLOOKUP($B101,casostestes[#Data],9)),"-")</f>
        <v>-</v>
      </c>
      <c r="K101" s="36"/>
      <c r="L101" s="45"/>
      <c r="M101" s="37"/>
      <c r="N101" s="38"/>
      <c r="O101" s="38"/>
      <c r="P101" s="39"/>
    </row>
    <row r="102" spans="2:16">
      <c r="B102" s="40" t="str">
        <f>IF(ISERR(casostestes[[#This Row],[ID]]),"-",casostestes[[#This Row],[ID]])</f>
        <v>-</v>
      </c>
      <c r="C102" s="34" t="str">
        <f>IFERROR(IF(VLOOKUP($B102,casostestes[#Data],10)=0,"Não",VLOOKUP($B102,casostestes[#Data],10)), "-")</f>
        <v>-</v>
      </c>
      <c r="D102" s="35" t="str">
        <f>IFERROR(IF(VLOOKUP($B102,casostestes[#Data],2)=0,"-",VLOOKUP($B102,casostestes[#Data],2)), "-")</f>
        <v>-</v>
      </c>
      <c r="E102" s="35" t="str">
        <f>IFERROR(IF(VLOOKUP($B102,casostestes[#Data],3)=0,"-",VLOOKUP($B102,casostestes[#Data],3)), "-")</f>
        <v>-</v>
      </c>
      <c r="F102" s="35" t="str">
        <f>IFERROR(IF(VLOOKUP($B102,casostestes[#Data],4)=0,"-",VLOOKUP($B102,casostestes[#Data],4)),"-")</f>
        <v>-</v>
      </c>
      <c r="G102" s="35" t="str">
        <f>IFERROR(IF(VLOOKUP($B102,casostestes[#Data],5)=0,"-",VLOOKUP($B102,casostestes[#Data],5)),"-")</f>
        <v>-</v>
      </c>
      <c r="H102" s="35" t="str">
        <f>IFERROR(IF(VLOOKUP($B102,casostestes[#Data],6)=0,"-",VLOOKUP($B102,casostestes[#Data],6)),"-")</f>
        <v>-</v>
      </c>
      <c r="I102" s="35" t="str">
        <f>IFERROR(IF(VLOOKUP($B102,casostestes[#Data],8)=0,"-",VLOOKUP($B102,casostestes[#Data],8)),"-")</f>
        <v>-</v>
      </c>
      <c r="J102" s="35" t="str">
        <f>IFERROR(IF(VLOOKUP($B102,casostestes[#Data],9)=0,"-",VLOOKUP($B102,casostestes[#Data],9)),"-")</f>
        <v>-</v>
      </c>
      <c r="K102" s="36"/>
      <c r="L102" s="45"/>
      <c r="M102" s="37"/>
      <c r="N102" s="38"/>
      <c r="O102" s="38"/>
      <c r="P102" s="39"/>
    </row>
    <row r="103" spans="2:16">
      <c r="B103" s="40" t="str">
        <f>IF(ISERR(casostestes[[#This Row],[ID]]),"-",casostestes[[#This Row],[ID]])</f>
        <v>-</v>
      </c>
      <c r="C103" s="34" t="str">
        <f>IFERROR(IF(VLOOKUP($B103,casostestes[#Data],10)=0,"Não",VLOOKUP($B103,casostestes[#Data],10)), "-")</f>
        <v>-</v>
      </c>
      <c r="D103" s="35" t="str">
        <f>IFERROR(IF(VLOOKUP($B103,casostestes[#Data],2)=0,"-",VLOOKUP($B103,casostestes[#Data],2)), "-")</f>
        <v>-</v>
      </c>
      <c r="E103" s="35" t="str">
        <f>IFERROR(IF(VLOOKUP($B103,casostestes[#Data],3)=0,"-",VLOOKUP($B103,casostestes[#Data],3)), "-")</f>
        <v>-</v>
      </c>
      <c r="F103" s="35" t="str">
        <f>IFERROR(IF(VLOOKUP($B103,casostestes[#Data],4)=0,"-",VLOOKUP($B103,casostestes[#Data],4)),"-")</f>
        <v>-</v>
      </c>
      <c r="G103" s="35" t="str">
        <f>IFERROR(IF(VLOOKUP($B103,casostestes[#Data],5)=0,"-",VLOOKUP($B103,casostestes[#Data],5)),"-")</f>
        <v>-</v>
      </c>
      <c r="H103" s="35" t="str">
        <f>IFERROR(IF(VLOOKUP($B103,casostestes[#Data],6)=0,"-",VLOOKUP($B103,casostestes[#Data],6)),"-")</f>
        <v>-</v>
      </c>
      <c r="I103" s="35" t="str">
        <f>IFERROR(IF(VLOOKUP($B103,casostestes[#Data],8)=0,"-",VLOOKUP($B103,casostestes[#Data],8)),"-")</f>
        <v>-</v>
      </c>
      <c r="J103" s="35" t="str">
        <f>IFERROR(IF(VLOOKUP($B103,casostestes[#Data],9)=0,"-",VLOOKUP($B103,casostestes[#Data],9)),"-")</f>
        <v>-</v>
      </c>
      <c r="K103" s="36"/>
      <c r="L103" s="45"/>
      <c r="M103" s="37"/>
      <c r="N103" s="38"/>
      <c r="O103" s="38"/>
      <c r="P103" s="39"/>
    </row>
    <row r="104" spans="2:16">
      <c r="B104" s="40" t="str">
        <f>IF(ISERR(casostestes[[#This Row],[ID]]),"-",casostestes[[#This Row],[ID]])</f>
        <v>-</v>
      </c>
      <c r="C104" s="34" t="str">
        <f>IFERROR(IF(VLOOKUP($B104,casostestes[#Data],10)=0,"Não",VLOOKUP($B104,casostestes[#Data],10)), "-")</f>
        <v>-</v>
      </c>
      <c r="D104" s="35" t="str">
        <f>IFERROR(IF(VLOOKUP($B104,casostestes[#Data],2)=0,"-",VLOOKUP($B104,casostestes[#Data],2)), "-")</f>
        <v>-</v>
      </c>
      <c r="E104" s="35" t="str">
        <f>IFERROR(IF(VLOOKUP($B104,casostestes[#Data],3)=0,"-",VLOOKUP($B104,casostestes[#Data],3)), "-")</f>
        <v>-</v>
      </c>
      <c r="F104" s="35" t="str">
        <f>IFERROR(IF(VLOOKUP($B104,casostestes[#Data],4)=0,"-",VLOOKUP($B104,casostestes[#Data],4)),"-")</f>
        <v>-</v>
      </c>
      <c r="G104" s="35" t="str">
        <f>IFERROR(IF(VLOOKUP($B104,casostestes[#Data],5)=0,"-",VLOOKUP($B104,casostestes[#Data],5)),"-")</f>
        <v>-</v>
      </c>
      <c r="H104" s="35" t="str">
        <f>IFERROR(IF(VLOOKUP($B104,casostestes[#Data],6)=0,"-",VLOOKUP($B104,casostestes[#Data],6)),"-")</f>
        <v>-</v>
      </c>
      <c r="I104" s="35" t="str">
        <f>IFERROR(IF(VLOOKUP($B104,casostestes[#Data],8)=0,"-",VLOOKUP($B104,casostestes[#Data],8)),"-")</f>
        <v>-</v>
      </c>
      <c r="J104" s="35" t="str">
        <f>IFERROR(IF(VLOOKUP($B104,casostestes[#Data],9)=0,"-",VLOOKUP($B104,casostestes[#Data],9)),"-")</f>
        <v>-</v>
      </c>
      <c r="K104" s="36"/>
      <c r="L104" s="45"/>
      <c r="M104" s="37"/>
      <c r="N104" s="38"/>
      <c r="O104" s="38"/>
      <c r="P104" s="39"/>
    </row>
    <row r="105" spans="2:16">
      <c r="B105" s="40" t="str">
        <f>IF(ISERR(casostestes[[#This Row],[ID]]),"-",casostestes[[#This Row],[ID]])</f>
        <v>-</v>
      </c>
      <c r="C105" s="34" t="str">
        <f>IFERROR(IF(VLOOKUP($B105,casostestes[#Data],10)=0,"Não",VLOOKUP($B105,casostestes[#Data],10)), "-")</f>
        <v>-</v>
      </c>
      <c r="D105" s="35" t="str">
        <f>IFERROR(IF(VLOOKUP($B105,casostestes[#Data],2)=0,"-",VLOOKUP($B105,casostestes[#Data],2)), "-")</f>
        <v>-</v>
      </c>
      <c r="E105" s="35" t="str">
        <f>IFERROR(IF(VLOOKUP($B105,casostestes[#Data],3)=0,"-",VLOOKUP($B105,casostestes[#Data],3)), "-")</f>
        <v>-</v>
      </c>
      <c r="F105" s="35" t="str">
        <f>IFERROR(IF(VLOOKUP($B105,casostestes[#Data],4)=0,"-",VLOOKUP($B105,casostestes[#Data],4)),"-")</f>
        <v>-</v>
      </c>
      <c r="G105" s="35" t="str">
        <f>IFERROR(IF(VLOOKUP($B105,casostestes[#Data],5)=0,"-",VLOOKUP($B105,casostestes[#Data],5)),"-")</f>
        <v>-</v>
      </c>
      <c r="H105" s="35" t="str">
        <f>IFERROR(IF(VLOOKUP($B105,casostestes[#Data],6)=0,"-",VLOOKUP($B105,casostestes[#Data],6)),"-")</f>
        <v>-</v>
      </c>
      <c r="I105" s="35" t="str">
        <f>IFERROR(IF(VLOOKUP($B105,casostestes[#Data],8)=0,"-",VLOOKUP($B105,casostestes[#Data],8)),"-")</f>
        <v>-</v>
      </c>
      <c r="J105" s="35" t="str">
        <f>IFERROR(IF(VLOOKUP($B105,casostestes[#Data],9)=0,"-",VLOOKUP($B105,casostestes[#Data],9)),"-")</f>
        <v>-</v>
      </c>
      <c r="K105" s="36"/>
      <c r="L105" s="45"/>
      <c r="M105" s="37"/>
      <c r="N105" s="38"/>
      <c r="O105" s="38"/>
      <c r="P105" s="39"/>
    </row>
    <row r="106" spans="2:16">
      <c r="B106" s="40" t="str">
        <f>IF(ISERR(casostestes[[#This Row],[ID]]),"-",casostestes[[#This Row],[ID]])</f>
        <v>-</v>
      </c>
      <c r="C106" s="34" t="str">
        <f>IFERROR(IF(VLOOKUP($B106,casostestes[#Data],10)=0,"Não",VLOOKUP($B106,casostestes[#Data],10)), "-")</f>
        <v>-</v>
      </c>
      <c r="D106" s="35" t="str">
        <f>IFERROR(IF(VLOOKUP($B106,casostestes[#Data],2)=0,"-",VLOOKUP($B106,casostestes[#Data],2)), "-")</f>
        <v>-</v>
      </c>
      <c r="E106" s="35" t="str">
        <f>IFERROR(IF(VLOOKUP($B106,casostestes[#Data],3)=0,"-",VLOOKUP($B106,casostestes[#Data],3)), "-")</f>
        <v>-</v>
      </c>
      <c r="F106" s="35" t="str">
        <f>IFERROR(IF(VLOOKUP($B106,casostestes[#Data],4)=0,"-",VLOOKUP($B106,casostestes[#Data],4)),"-")</f>
        <v>-</v>
      </c>
      <c r="G106" s="35" t="str">
        <f>IFERROR(IF(VLOOKUP($B106,casostestes[#Data],5)=0,"-",VLOOKUP($B106,casostestes[#Data],5)),"-")</f>
        <v>-</v>
      </c>
      <c r="H106" s="35" t="str">
        <f>IFERROR(IF(VLOOKUP($B106,casostestes[#Data],6)=0,"-",VLOOKUP($B106,casostestes[#Data],6)),"-")</f>
        <v>-</v>
      </c>
      <c r="I106" s="35" t="str">
        <f>IFERROR(IF(VLOOKUP($B106,casostestes[#Data],8)=0,"-",VLOOKUP($B106,casostestes[#Data],8)),"-")</f>
        <v>-</v>
      </c>
      <c r="J106" s="35" t="str">
        <f>IFERROR(IF(VLOOKUP($B106,casostestes[#Data],9)=0,"-",VLOOKUP($B106,casostestes[#Data],9)),"-")</f>
        <v>-</v>
      </c>
      <c r="K106" s="36"/>
      <c r="L106" s="45"/>
      <c r="M106" s="37"/>
      <c r="N106" s="38"/>
      <c r="O106" s="38"/>
      <c r="P106" s="39"/>
    </row>
    <row r="107" spans="2:16">
      <c r="B107" s="40" t="str">
        <f>IF(ISERR(casostestes[[#This Row],[ID]]),"-",casostestes[[#This Row],[ID]])</f>
        <v>-</v>
      </c>
      <c r="C107" s="34" t="str">
        <f>IFERROR(IF(VLOOKUP($B107,casostestes[#Data],10)=0,"Não",VLOOKUP($B107,casostestes[#Data],10)), "-")</f>
        <v>-</v>
      </c>
      <c r="D107" s="35" t="str">
        <f>IFERROR(IF(VLOOKUP($B107,casostestes[#Data],2)=0,"-",VLOOKUP($B107,casostestes[#Data],2)), "-")</f>
        <v>-</v>
      </c>
      <c r="E107" s="35" t="str">
        <f>IFERROR(IF(VLOOKUP($B107,casostestes[#Data],3)=0,"-",VLOOKUP($B107,casostestes[#Data],3)), "-")</f>
        <v>-</v>
      </c>
      <c r="F107" s="35" t="str">
        <f>IFERROR(IF(VLOOKUP($B107,casostestes[#Data],4)=0,"-",VLOOKUP($B107,casostestes[#Data],4)),"-")</f>
        <v>-</v>
      </c>
      <c r="G107" s="35" t="str">
        <f>IFERROR(IF(VLOOKUP($B107,casostestes[#Data],5)=0,"-",VLOOKUP($B107,casostestes[#Data],5)),"-")</f>
        <v>-</v>
      </c>
      <c r="H107" s="35" t="str">
        <f>IFERROR(IF(VLOOKUP($B107,casostestes[#Data],6)=0,"-",VLOOKUP($B107,casostestes[#Data],6)),"-")</f>
        <v>-</v>
      </c>
      <c r="I107" s="35" t="str">
        <f>IFERROR(IF(VLOOKUP($B107,casostestes[#Data],8)=0,"-",VLOOKUP($B107,casostestes[#Data],8)),"-")</f>
        <v>-</v>
      </c>
      <c r="J107" s="35" t="str">
        <f>IFERROR(IF(VLOOKUP($B107,casostestes[#Data],9)=0,"-",VLOOKUP($B107,casostestes[#Data],9)),"-")</f>
        <v>-</v>
      </c>
      <c r="K107" s="36"/>
      <c r="L107" s="45"/>
      <c r="M107" s="37"/>
      <c r="N107" s="38"/>
      <c r="O107" s="38"/>
      <c r="P107" s="39"/>
    </row>
    <row r="108" spans="2:16">
      <c r="B108" s="40" t="str">
        <f>IF(ISERR(casostestes[[#This Row],[ID]]),"-",casostestes[[#This Row],[ID]])</f>
        <v>-</v>
      </c>
      <c r="C108" s="34" t="str">
        <f>IFERROR(IF(VLOOKUP($B108,casostestes[#Data],10)=0,"Não",VLOOKUP($B108,casostestes[#Data],10)), "-")</f>
        <v>-</v>
      </c>
      <c r="D108" s="35" t="str">
        <f>IFERROR(IF(VLOOKUP($B108,casostestes[#Data],2)=0,"-",VLOOKUP($B108,casostestes[#Data],2)), "-")</f>
        <v>-</v>
      </c>
      <c r="E108" s="35" t="str">
        <f>IFERROR(IF(VLOOKUP($B108,casostestes[#Data],3)=0,"-",VLOOKUP($B108,casostestes[#Data],3)), "-")</f>
        <v>-</v>
      </c>
      <c r="F108" s="35" t="str">
        <f>IFERROR(IF(VLOOKUP($B108,casostestes[#Data],4)=0,"-",VLOOKUP($B108,casostestes[#Data],4)),"-")</f>
        <v>-</v>
      </c>
      <c r="G108" s="35" t="str">
        <f>IFERROR(IF(VLOOKUP($B108,casostestes[#Data],5)=0,"-",VLOOKUP($B108,casostestes[#Data],5)),"-")</f>
        <v>-</v>
      </c>
      <c r="H108" s="35" t="str">
        <f>IFERROR(IF(VLOOKUP($B108,casostestes[#Data],6)=0,"-",VLOOKUP($B108,casostestes[#Data],6)),"-")</f>
        <v>-</v>
      </c>
      <c r="I108" s="35" t="str">
        <f>IFERROR(IF(VLOOKUP($B108,casostestes[#Data],8)=0,"-",VLOOKUP($B108,casostestes[#Data],8)),"-")</f>
        <v>-</v>
      </c>
      <c r="J108" s="35" t="str">
        <f>IFERROR(IF(VLOOKUP($B108,casostestes[#Data],9)=0,"-",VLOOKUP($B108,casostestes[#Data],9)),"-")</f>
        <v>-</v>
      </c>
      <c r="K108" s="36"/>
      <c r="L108" s="45"/>
      <c r="M108" s="37"/>
      <c r="N108" s="38"/>
      <c r="O108" s="38"/>
      <c r="P108" s="39"/>
    </row>
    <row r="109" spans="2:16">
      <c r="B109" s="40" t="str">
        <f>IF(ISERR(casostestes[[#This Row],[ID]]),"-",casostestes[[#This Row],[ID]])</f>
        <v>-</v>
      </c>
      <c r="C109" s="34" t="str">
        <f>IFERROR(IF(VLOOKUP($B109,casostestes[#Data],10)=0,"Não",VLOOKUP($B109,casostestes[#Data],10)), "-")</f>
        <v>-</v>
      </c>
      <c r="D109" s="35" t="str">
        <f>IFERROR(IF(VLOOKUP($B109,casostestes[#Data],2)=0,"-",VLOOKUP($B109,casostestes[#Data],2)), "-")</f>
        <v>-</v>
      </c>
      <c r="E109" s="35" t="str">
        <f>IFERROR(IF(VLOOKUP($B109,casostestes[#Data],3)=0,"-",VLOOKUP($B109,casostestes[#Data],3)), "-")</f>
        <v>-</v>
      </c>
      <c r="F109" s="35" t="str">
        <f>IFERROR(IF(VLOOKUP($B109,casostestes[#Data],4)=0,"-",VLOOKUP($B109,casostestes[#Data],4)),"-")</f>
        <v>-</v>
      </c>
      <c r="G109" s="35" t="str">
        <f>IFERROR(IF(VLOOKUP($B109,casostestes[#Data],5)=0,"-",VLOOKUP($B109,casostestes[#Data],5)),"-")</f>
        <v>-</v>
      </c>
      <c r="H109" s="35" t="str">
        <f>IFERROR(IF(VLOOKUP($B109,casostestes[#Data],6)=0,"-",VLOOKUP($B109,casostestes[#Data],6)),"-")</f>
        <v>-</v>
      </c>
      <c r="I109" s="35" t="str">
        <f>IFERROR(IF(VLOOKUP($B109,casostestes[#Data],8)=0,"-",VLOOKUP($B109,casostestes[#Data],8)),"-")</f>
        <v>-</v>
      </c>
      <c r="J109" s="35" t="str">
        <f>IFERROR(IF(VLOOKUP($B109,casostestes[#Data],9)=0,"-",VLOOKUP($B109,casostestes[#Data],9)),"-")</f>
        <v>-</v>
      </c>
      <c r="K109" s="36"/>
      <c r="L109" s="45"/>
      <c r="M109" s="37"/>
      <c r="N109" s="38"/>
      <c r="O109" s="38"/>
      <c r="P109" s="39"/>
    </row>
    <row r="110" spans="2:16">
      <c r="B110" s="40" t="str">
        <f>IF(ISERR(casostestes[[#This Row],[ID]]),"-",casostestes[[#This Row],[ID]])</f>
        <v>-</v>
      </c>
      <c r="C110" s="34" t="str">
        <f>IFERROR(IF(VLOOKUP($B110,casostestes[#Data],10)=0,"Não",VLOOKUP($B110,casostestes[#Data],10)), "-")</f>
        <v>-</v>
      </c>
      <c r="D110" s="35" t="str">
        <f>IFERROR(IF(VLOOKUP($B110,casostestes[#Data],2)=0,"-",VLOOKUP($B110,casostestes[#Data],2)), "-")</f>
        <v>-</v>
      </c>
      <c r="E110" s="35" t="str">
        <f>IFERROR(IF(VLOOKUP($B110,casostestes[#Data],3)=0,"-",VLOOKUP($B110,casostestes[#Data],3)), "-")</f>
        <v>-</v>
      </c>
      <c r="F110" s="35" t="str">
        <f>IFERROR(IF(VLOOKUP($B110,casostestes[#Data],4)=0,"-",VLOOKUP($B110,casostestes[#Data],4)),"-")</f>
        <v>-</v>
      </c>
      <c r="G110" s="35" t="str">
        <f>IFERROR(IF(VLOOKUP($B110,casostestes[#Data],5)=0,"-",VLOOKUP($B110,casostestes[#Data],5)),"-")</f>
        <v>-</v>
      </c>
      <c r="H110" s="35" t="str">
        <f>IFERROR(IF(VLOOKUP($B110,casostestes[#Data],6)=0,"-",VLOOKUP($B110,casostestes[#Data],6)),"-")</f>
        <v>-</v>
      </c>
      <c r="I110" s="35" t="str">
        <f>IFERROR(IF(VLOOKUP($B110,casostestes[#Data],8)=0,"-",VLOOKUP($B110,casostestes[#Data],8)),"-")</f>
        <v>-</v>
      </c>
      <c r="J110" s="35" t="str">
        <f>IFERROR(IF(VLOOKUP($B110,casostestes[#Data],9)=0,"-",VLOOKUP($B110,casostestes[#Data],9)),"-")</f>
        <v>-</v>
      </c>
      <c r="K110" s="36"/>
      <c r="L110" s="45"/>
      <c r="M110" s="37"/>
      <c r="N110" s="38"/>
      <c r="O110" s="38"/>
      <c r="P110" s="39"/>
    </row>
    <row r="111" spans="2:16">
      <c r="B111" s="40" t="str">
        <f>IF(ISERR(casostestes[[#This Row],[ID]]),"-",casostestes[[#This Row],[ID]])</f>
        <v>-</v>
      </c>
      <c r="C111" s="34" t="str">
        <f>IFERROR(IF(VLOOKUP($B111,casostestes[#Data],10)=0,"Não",VLOOKUP($B111,casostestes[#Data],10)), "-")</f>
        <v>-</v>
      </c>
      <c r="D111" s="35" t="str">
        <f>IFERROR(IF(VLOOKUP($B111,casostestes[#Data],2)=0,"-",VLOOKUP($B111,casostestes[#Data],2)), "-")</f>
        <v>-</v>
      </c>
      <c r="E111" s="35" t="str">
        <f>IFERROR(IF(VLOOKUP($B111,casostestes[#Data],3)=0,"-",VLOOKUP($B111,casostestes[#Data],3)), "-")</f>
        <v>-</v>
      </c>
      <c r="F111" s="35" t="str">
        <f>IFERROR(IF(VLOOKUP($B111,casostestes[#Data],4)=0,"-",VLOOKUP($B111,casostestes[#Data],4)),"-")</f>
        <v>-</v>
      </c>
      <c r="G111" s="35" t="str">
        <f>IFERROR(IF(VLOOKUP($B111,casostestes[#Data],5)=0,"-",VLOOKUP($B111,casostestes[#Data],5)),"-")</f>
        <v>-</v>
      </c>
      <c r="H111" s="35" t="str">
        <f>IFERROR(IF(VLOOKUP($B111,casostestes[#Data],6)=0,"-",VLOOKUP($B111,casostestes[#Data],6)),"-")</f>
        <v>-</v>
      </c>
      <c r="I111" s="35" t="str">
        <f>IFERROR(IF(VLOOKUP($B111,casostestes[#Data],8)=0,"-",VLOOKUP($B111,casostestes[#Data],8)),"-")</f>
        <v>-</v>
      </c>
      <c r="J111" s="35" t="str">
        <f>IFERROR(IF(VLOOKUP($B111,casostestes[#Data],9)=0,"-",VLOOKUP($B111,casostestes[#Data],9)),"-")</f>
        <v>-</v>
      </c>
      <c r="K111" s="36"/>
      <c r="L111" s="45"/>
      <c r="M111" s="37"/>
      <c r="N111" s="38"/>
      <c r="O111" s="38"/>
      <c r="P111" s="39"/>
    </row>
    <row r="112" spans="2:16">
      <c r="B112" s="40" t="str">
        <f>IF(ISERR(casostestes[[#This Row],[ID]]),"-",casostestes[[#This Row],[ID]])</f>
        <v>-</v>
      </c>
      <c r="C112" s="34" t="str">
        <f>IFERROR(IF(VLOOKUP($B112,casostestes[#Data],10)=0,"Não",VLOOKUP($B112,casostestes[#Data],10)), "-")</f>
        <v>-</v>
      </c>
      <c r="D112" s="35" t="str">
        <f>IFERROR(IF(VLOOKUP($B112,casostestes[#Data],2)=0,"-",VLOOKUP($B112,casostestes[#Data],2)), "-")</f>
        <v>-</v>
      </c>
      <c r="E112" s="35" t="str">
        <f>IFERROR(IF(VLOOKUP($B112,casostestes[#Data],3)=0,"-",VLOOKUP($B112,casostestes[#Data],3)), "-")</f>
        <v>-</v>
      </c>
      <c r="F112" s="35" t="str">
        <f>IFERROR(IF(VLOOKUP($B112,casostestes[#Data],4)=0,"-",VLOOKUP($B112,casostestes[#Data],4)),"-")</f>
        <v>-</v>
      </c>
      <c r="G112" s="35" t="str">
        <f>IFERROR(IF(VLOOKUP($B112,casostestes[#Data],5)=0,"-",VLOOKUP($B112,casostestes[#Data],5)),"-")</f>
        <v>-</v>
      </c>
      <c r="H112" s="35" t="str">
        <f>IFERROR(IF(VLOOKUP($B112,casostestes[#Data],6)=0,"-",VLOOKUP($B112,casostestes[#Data],6)),"-")</f>
        <v>-</v>
      </c>
      <c r="I112" s="35" t="str">
        <f>IFERROR(IF(VLOOKUP($B112,casostestes[#Data],8)=0,"-",VLOOKUP($B112,casostestes[#Data],8)),"-")</f>
        <v>-</v>
      </c>
      <c r="J112" s="35" t="str">
        <f>IFERROR(IF(VLOOKUP($B112,casostestes[#Data],9)=0,"-",VLOOKUP($B112,casostestes[#Data],9)),"-")</f>
        <v>-</v>
      </c>
      <c r="K112" s="36"/>
      <c r="L112" s="45"/>
      <c r="M112" s="37"/>
      <c r="N112" s="38"/>
      <c r="O112" s="38"/>
      <c r="P112" s="39"/>
    </row>
    <row r="113" spans="2:16">
      <c r="B113" s="40" t="str">
        <f>IF(ISERR(casostestes[[#This Row],[ID]]),"-",casostestes[[#This Row],[ID]])</f>
        <v>-</v>
      </c>
      <c r="C113" s="34" t="str">
        <f>IFERROR(IF(VLOOKUP($B113,casostestes[#Data],10)=0,"Não",VLOOKUP($B113,casostestes[#Data],10)), "-")</f>
        <v>-</v>
      </c>
      <c r="D113" s="35" t="str">
        <f>IFERROR(IF(VLOOKUP($B113,casostestes[#Data],2)=0,"-",VLOOKUP($B113,casostestes[#Data],2)), "-")</f>
        <v>-</v>
      </c>
      <c r="E113" s="35" t="str">
        <f>IFERROR(IF(VLOOKUP($B113,casostestes[#Data],3)=0,"-",VLOOKUP($B113,casostestes[#Data],3)), "-")</f>
        <v>-</v>
      </c>
      <c r="F113" s="35" t="str">
        <f>IFERROR(IF(VLOOKUP($B113,casostestes[#Data],4)=0,"-",VLOOKUP($B113,casostestes[#Data],4)),"-")</f>
        <v>-</v>
      </c>
      <c r="G113" s="35" t="str">
        <f>IFERROR(IF(VLOOKUP($B113,casostestes[#Data],5)=0,"-",VLOOKUP($B113,casostestes[#Data],5)),"-")</f>
        <v>-</v>
      </c>
      <c r="H113" s="35" t="str">
        <f>IFERROR(IF(VLOOKUP($B113,casostestes[#Data],6)=0,"-",VLOOKUP($B113,casostestes[#Data],6)),"-")</f>
        <v>-</v>
      </c>
      <c r="I113" s="35" t="str">
        <f>IFERROR(IF(VLOOKUP($B113,casostestes[#Data],8)=0,"-",VLOOKUP($B113,casostestes[#Data],8)),"-")</f>
        <v>-</v>
      </c>
      <c r="J113" s="35" t="str">
        <f>IFERROR(IF(VLOOKUP($B113,casostestes[#Data],9)=0,"-",VLOOKUP($B113,casostestes[#Data],9)),"-")</f>
        <v>-</v>
      </c>
      <c r="K113" s="36"/>
      <c r="L113" s="45"/>
      <c r="M113" s="37"/>
      <c r="N113" s="38"/>
      <c r="O113" s="38"/>
      <c r="P113" s="39"/>
    </row>
    <row r="114" spans="2:16">
      <c r="B114" s="40" t="str">
        <f>IF(ISERR(casostestes[[#This Row],[ID]]),"-",casostestes[[#This Row],[ID]])</f>
        <v>-</v>
      </c>
      <c r="C114" s="34" t="str">
        <f>IFERROR(IF(VLOOKUP($B114,casostestes[#Data],10)=0,"Não",VLOOKUP($B114,casostestes[#Data],10)), "-")</f>
        <v>-</v>
      </c>
      <c r="D114" s="35" t="str">
        <f>IFERROR(IF(VLOOKUP($B114,casostestes[#Data],2)=0,"-",VLOOKUP($B114,casostestes[#Data],2)), "-")</f>
        <v>-</v>
      </c>
      <c r="E114" s="35" t="str">
        <f>IFERROR(IF(VLOOKUP($B114,casostestes[#Data],3)=0,"-",VLOOKUP($B114,casostestes[#Data],3)), "-")</f>
        <v>-</v>
      </c>
      <c r="F114" s="35" t="str">
        <f>IFERROR(IF(VLOOKUP($B114,casostestes[#Data],4)=0,"-",VLOOKUP($B114,casostestes[#Data],4)),"-")</f>
        <v>-</v>
      </c>
      <c r="G114" s="35" t="str">
        <f>IFERROR(IF(VLOOKUP($B114,casostestes[#Data],5)=0,"-",VLOOKUP($B114,casostestes[#Data],5)),"-")</f>
        <v>-</v>
      </c>
      <c r="H114" s="35" t="str">
        <f>IFERROR(IF(VLOOKUP($B114,casostestes[#Data],6)=0,"-",VLOOKUP($B114,casostestes[#Data],6)),"-")</f>
        <v>-</v>
      </c>
      <c r="I114" s="35" t="str">
        <f>IFERROR(IF(VLOOKUP($B114,casostestes[#Data],8)=0,"-",VLOOKUP($B114,casostestes[#Data],8)),"-")</f>
        <v>-</v>
      </c>
      <c r="J114" s="35" t="str">
        <f>IFERROR(IF(VLOOKUP($B114,casostestes[#Data],9)=0,"-",VLOOKUP($B114,casostestes[#Data],9)),"-")</f>
        <v>-</v>
      </c>
      <c r="K114" s="36"/>
      <c r="L114" s="45"/>
      <c r="M114" s="37"/>
      <c r="N114" s="38"/>
      <c r="O114" s="38"/>
      <c r="P114" s="39"/>
    </row>
    <row r="115" spans="2:16">
      <c r="B115" s="40" t="str">
        <f>IF(ISERR(casostestes[[#This Row],[ID]]),"-",casostestes[[#This Row],[ID]])</f>
        <v>-</v>
      </c>
      <c r="C115" s="34" t="str">
        <f>IFERROR(IF(VLOOKUP($B115,casostestes[#Data],10)=0,"Não",VLOOKUP($B115,casostestes[#Data],10)), "-")</f>
        <v>-</v>
      </c>
      <c r="D115" s="35" t="str">
        <f>IFERROR(IF(VLOOKUP($B115,casostestes[#Data],2)=0,"-",VLOOKUP($B115,casostestes[#Data],2)), "-")</f>
        <v>-</v>
      </c>
      <c r="E115" s="35" t="str">
        <f>IFERROR(IF(VLOOKUP($B115,casostestes[#Data],3)=0,"-",VLOOKUP($B115,casostestes[#Data],3)), "-")</f>
        <v>-</v>
      </c>
      <c r="F115" s="35" t="str">
        <f>IFERROR(IF(VLOOKUP($B115,casostestes[#Data],4)=0,"-",VLOOKUP($B115,casostestes[#Data],4)),"-")</f>
        <v>-</v>
      </c>
      <c r="G115" s="35" t="str">
        <f>IFERROR(IF(VLOOKUP($B115,casostestes[#Data],5)=0,"-",VLOOKUP($B115,casostestes[#Data],5)),"-")</f>
        <v>-</v>
      </c>
      <c r="H115" s="35" t="str">
        <f>IFERROR(IF(VLOOKUP($B115,casostestes[#Data],6)=0,"-",VLOOKUP($B115,casostestes[#Data],6)),"-")</f>
        <v>-</v>
      </c>
      <c r="I115" s="35" t="str">
        <f>IFERROR(IF(VLOOKUP($B115,casostestes[#Data],8)=0,"-",VLOOKUP($B115,casostestes[#Data],8)),"-")</f>
        <v>-</v>
      </c>
      <c r="J115" s="35" t="str">
        <f>IFERROR(IF(VLOOKUP($B115,casostestes[#Data],9)=0,"-",VLOOKUP($B115,casostestes[#Data],9)),"-")</f>
        <v>-</v>
      </c>
      <c r="K115" s="36"/>
      <c r="L115" s="45"/>
      <c r="M115" s="37"/>
      <c r="N115" s="38"/>
      <c r="O115" s="38"/>
      <c r="P115" s="39"/>
    </row>
    <row r="116" spans="2:16">
      <c r="B116" s="40" t="str">
        <f>IF(ISERR(casostestes[[#This Row],[ID]]),"-",casostestes[[#This Row],[ID]])</f>
        <v>-</v>
      </c>
      <c r="C116" s="34" t="str">
        <f>IFERROR(IF(VLOOKUP($B116,casostestes[#Data],10)=0,"Não",VLOOKUP($B116,casostestes[#Data],10)), "-")</f>
        <v>-</v>
      </c>
      <c r="D116" s="35" t="str">
        <f>IFERROR(IF(VLOOKUP($B116,casostestes[#Data],2)=0,"-",VLOOKUP($B116,casostestes[#Data],2)), "-")</f>
        <v>-</v>
      </c>
      <c r="E116" s="35" t="str">
        <f>IFERROR(IF(VLOOKUP($B116,casostestes[#Data],3)=0,"-",VLOOKUP($B116,casostestes[#Data],3)), "-")</f>
        <v>-</v>
      </c>
      <c r="F116" s="35" t="str">
        <f>IFERROR(IF(VLOOKUP($B116,casostestes[#Data],4)=0,"-",VLOOKUP($B116,casostestes[#Data],4)),"-")</f>
        <v>-</v>
      </c>
      <c r="G116" s="35" t="str">
        <f>IFERROR(IF(VLOOKUP($B116,casostestes[#Data],5)=0,"-",VLOOKUP($B116,casostestes[#Data],5)),"-")</f>
        <v>-</v>
      </c>
      <c r="H116" s="35" t="str">
        <f>IFERROR(IF(VLOOKUP($B116,casostestes[#Data],6)=0,"-",VLOOKUP($B116,casostestes[#Data],6)),"-")</f>
        <v>-</v>
      </c>
      <c r="I116" s="35" t="str">
        <f>IFERROR(IF(VLOOKUP($B116,casostestes[#Data],8)=0,"-",VLOOKUP($B116,casostestes[#Data],8)),"-")</f>
        <v>-</v>
      </c>
      <c r="J116" s="35" t="str">
        <f>IFERROR(IF(VLOOKUP($B116,casostestes[#Data],9)=0,"-",VLOOKUP($B116,casostestes[#Data],9)),"-")</f>
        <v>-</v>
      </c>
      <c r="K116" s="36"/>
      <c r="L116" s="45"/>
      <c r="M116" s="37"/>
      <c r="N116" s="38"/>
      <c r="O116" s="38"/>
      <c r="P116" s="39"/>
    </row>
    <row r="117" spans="2:16">
      <c r="B117" s="40" t="str">
        <f>IF(ISERR(casostestes[[#This Row],[ID]]),"-",casostestes[[#This Row],[ID]])</f>
        <v>-</v>
      </c>
      <c r="C117" s="34" t="str">
        <f>IFERROR(IF(VLOOKUP($B117,casostestes[#Data],10)=0,"Não",VLOOKUP($B117,casostestes[#Data],10)), "-")</f>
        <v>-</v>
      </c>
      <c r="D117" s="35" t="str">
        <f>IFERROR(IF(VLOOKUP($B117,casostestes[#Data],2)=0,"-",VLOOKUP($B117,casostestes[#Data],2)), "-")</f>
        <v>-</v>
      </c>
      <c r="E117" s="35" t="str">
        <f>IFERROR(IF(VLOOKUP($B117,casostestes[#Data],3)=0,"-",VLOOKUP($B117,casostestes[#Data],3)), "-")</f>
        <v>-</v>
      </c>
      <c r="F117" s="35" t="str">
        <f>IFERROR(IF(VLOOKUP($B117,casostestes[#Data],4)=0,"-",VLOOKUP($B117,casostestes[#Data],4)),"-")</f>
        <v>-</v>
      </c>
      <c r="G117" s="35" t="str">
        <f>IFERROR(IF(VLOOKUP($B117,casostestes[#Data],5)=0,"-",VLOOKUP($B117,casostestes[#Data],5)),"-")</f>
        <v>-</v>
      </c>
      <c r="H117" s="35" t="str">
        <f>IFERROR(IF(VLOOKUP($B117,casostestes[#Data],6)=0,"-",VLOOKUP($B117,casostestes[#Data],6)),"-")</f>
        <v>-</v>
      </c>
      <c r="I117" s="35" t="str">
        <f>IFERROR(IF(VLOOKUP($B117,casostestes[#Data],8)=0,"-",VLOOKUP($B117,casostestes[#Data],8)),"-")</f>
        <v>-</v>
      </c>
      <c r="J117" s="35" t="str">
        <f>IFERROR(IF(VLOOKUP($B117,casostestes[#Data],9)=0,"-",VLOOKUP($B117,casostestes[#Data],9)),"-")</f>
        <v>-</v>
      </c>
      <c r="K117" s="36"/>
      <c r="L117" s="45"/>
      <c r="M117" s="37"/>
      <c r="N117" s="38"/>
      <c r="O117" s="38"/>
      <c r="P117" s="39"/>
    </row>
    <row r="118" spans="2:16">
      <c r="B118" s="40" t="str">
        <f>IF(ISERR(casostestes[[#This Row],[ID]]),"-",casostestes[[#This Row],[ID]])</f>
        <v>-</v>
      </c>
      <c r="C118" s="34" t="str">
        <f>IFERROR(IF(VLOOKUP($B118,casostestes[#Data],10)=0,"Não",VLOOKUP($B118,casostestes[#Data],10)), "-")</f>
        <v>-</v>
      </c>
      <c r="D118" s="35" t="str">
        <f>IFERROR(IF(VLOOKUP($B118,casostestes[#Data],2)=0,"-",VLOOKUP($B118,casostestes[#Data],2)), "-")</f>
        <v>-</v>
      </c>
      <c r="E118" s="35" t="str">
        <f>IFERROR(IF(VLOOKUP($B118,casostestes[#Data],3)=0,"-",VLOOKUP($B118,casostestes[#Data],3)), "-")</f>
        <v>-</v>
      </c>
      <c r="F118" s="35" t="str">
        <f>IFERROR(IF(VLOOKUP($B118,casostestes[#Data],4)=0,"-",VLOOKUP($B118,casostestes[#Data],4)),"-")</f>
        <v>-</v>
      </c>
      <c r="G118" s="35" t="str">
        <f>IFERROR(IF(VLOOKUP($B118,casostestes[#Data],5)=0,"-",VLOOKUP($B118,casostestes[#Data],5)),"-")</f>
        <v>-</v>
      </c>
      <c r="H118" s="35" t="str">
        <f>IFERROR(IF(VLOOKUP($B118,casostestes[#Data],6)=0,"-",VLOOKUP($B118,casostestes[#Data],6)),"-")</f>
        <v>-</v>
      </c>
      <c r="I118" s="35" t="str">
        <f>IFERROR(IF(VLOOKUP($B118,casostestes[#Data],8)=0,"-",VLOOKUP($B118,casostestes[#Data],8)),"-")</f>
        <v>-</v>
      </c>
      <c r="J118" s="35" t="str">
        <f>IFERROR(IF(VLOOKUP($B118,casostestes[#Data],9)=0,"-",VLOOKUP($B118,casostestes[#Data],9)),"-")</f>
        <v>-</v>
      </c>
      <c r="K118" s="36"/>
      <c r="L118" s="45"/>
      <c r="M118" s="37"/>
      <c r="N118" s="38"/>
      <c r="O118" s="38"/>
      <c r="P118" s="39"/>
    </row>
    <row r="119" spans="2:16">
      <c r="B119" s="40" t="str">
        <f>IF(ISERR(casostestes[[#This Row],[ID]]),"-",casostestes[[#This Row],[ID]])</f>
        <v>-</v>
      </c>
      <c r="C119" s="34" t="str">
        <f>IFERROR(IF(VLOOKUP($B119,casostestes[#Data],10)=0,"Não",VLOOKUP($B119,casostestes[#Data],10)), "-")</f>
        <v>-</v>
      </c>
      <c r="D119" s="35" t="str">
        <f>IFERROR(IF(VLOOKUP($B119,casostestes[#Data],2)=0,"-",VLOOKUP($B119,casostestes[#Data],2)), "-")</f>
        <v>-</v>
      </c>
      <c r="E119" s="35" t="str">
        <f>IFERROR(IF(VLOOKUP($B119,casostestes[#Data],3)=0,"-",VLOOKUP($B119,casostestes[#Data],3)), "-")</f>
        <v>-</v>
      </c>
      <c r="F119" s="35" t="str">
        <f>IFERROR(IF(VLOOKUP($B119,casostestes[#Data],4)=0,"-",VLOOKUP($B119,casostestes[#Data],4)),"-")</f>
        <v>-</v>
      </c>
      <c r="G119" s="35" t="str">
        <f>IFERROR(IF(VLOOKUP($B119,casostestes[#Data],5)=0,"-",VLOOKUP($B119,casostestes[#Data],5)),"-")</f>
        <v>-</v>
      </c>
      <c r="H119" s="35" t="str">
        <f>IFERROR(IF(VLOOKUP($B119,casostestes[#Data],6)=0,"-",VLOOKUP($B119,casostestes[#Data],6)),"-")</f>
        <v>-</v>
      </c>
      <c r="I119" s="35" t="str">
        <f>IFERROR(IF(VLOOKUP($B119,casostestes[#Data],8)=0,"-",VLOOKUP($B119,casostestes[#Data],8)),"-")</f>
        <v>-</v>
      </c>
      <c r="J119" s="35" t="str">
        <f>IFERROR(IF(VLOOKUP($B119,casostestes[#Data],9)=0,"-",VLOOKUP($B119,casostestes[#Data],9)),"-")</f>
        <v>-</v>
      </c>
      <c r="K119" s="36"/>
      <c r="L119" s="45"/>
      <c r="M119" s="37"/>
      <c r="N119" s="38"/>
      <c r="O119" s="38"/>
      <c r="P119" s="39"/>
    </row>
    <row r="120" spans="2:16">
      <c r="B120" s="40" t="str">
        <f>IF(ISERR(casostestes[[#This Row],[ID]]),"-",casostestes[[#This Row],[ID]])</f>
        <v>-</v>
      </c>
      <c r="C120" s="34" t="str">
        <f>IFERROR(IF(VLOOKUP($B120,casostestes[#Data],10)=0,"Não",VLOOKUP($B120,casostestes[#Data],10)), "-")</f>
        <v>-</v>
      </c>
      <c r="D120" s="35" t="str">
        <f>IFERROR(IF(VLOOKUP($B120,casostestes[#Data],2)=0,"-",VLOOKUP($B120,casostestes[#Data],2)), "-")</f>
        <v>-</v>
      </c>
      <c r="E120" s="35" t="str">
        <f>IFERROR(IF(VLOOKUP($B120,casostestes[#Data],3)=0,"-",VLOOKUP($B120,casostestes[#Data],3)), "-")</f>
        <v>-</v>
      </c>
      <c r="F120" s="35" t="str">
        <f>IFERROR(IF(VLOOKUP($B120,casostestes[#Data],4)=0,"-",VLOOKUP($B120,casostestes[#Data],4)),"-")</f>
        <v>-</v>
      </c>
      <c r="G120" s="35" t="str">
        <f>IFERROR(IF(VLOOKUP($B120,casostestes[#Data],5)=0,"-",VLOOKUP($B120,casostestes[#Data],5)),"-")</f>
        <v>-</v>
      </c>
      <c r="H120" s="35" t="str">
        <f>IFERROR(IF(VLOOKUP($B120,casostestes[#Data],6)=0,"-",VLOOKUP($B120,casostestes[#Data],6)),"-")</f>
        <v>-</v>
      </c>
      <c r="I120" s="35" t="str">
        <f>IFERROR(IF(VLOOKUP($B120,casostestes[#Data],8)=0,"-",VLOOKUP($B120,casostestes[#Data],8)),"-")</f>
        <v>-</v>
      </c>
      <c r="J120" s="35" t="str">
        <f>IFERROR(IF(VLOOKUP($B120,casostestes[#Data],9)=0,"-",VLOOKUP($B120,casostestes[#Data],9)),"-")</f>
        <v>-</v>
      </c>
      <c r="K120" s="36"/>
      <c r="L120" s="45"/>
      <c r="M120" s="37"/>
      <c r="N120" s="38"/>
      <c r="O120" s="38"/>
      <c r="P120" s="39"/>
    </row>
    <row r="121" spans="2:16">
      <c r="B121" s="40" t="str">
        <f>IF(ISERR(casostestes[[#This Row],[ID]]),"-",casostestes[[#This Row],[ID]])</f>
        <v>-</v>
      </c>
      <c r="C121" s="34" t="str">
        <f>IFERROR(IF(VLOOKUP($B121,casostestes[#Data],10)=0,"Não",VLOOKUP($B121,casostestes[#Data],10)), "-")</f>
        <v>-</v>
      </c>
      <c r="D121" s="35" t="str">
        <f>IFERROR(IF(VLOOKUP($B121,casostestes[#Data],2)=0,"-",VLOOKUP($B121,casostestes[#Data],2)), "-")</f>
        <v>-</v>
      </c>
      <c r="E121" s="35" t="str">
        <f>IFERROR(IF(VLOOKUP($B121,casostestes[#Data],3)=0,"-",VLOOKUP($B121,casostestes[#Data],3)), "-")</f>
        <v>-</v>
      </c>
      <c r="F121" s="35" t="str">
        <f>IFERROR(IF(VLOOKUP($B121,casostestes[#Data],4)=0,"-",VLOOKUP($B121,casostestes[#Data],4)),"-")</f>
        <v>-</v>
      </c>
      <c r="G121" s="35" t="str">
        <f>IFERROR(IF(VLOOKUP($B121,casostestes[#Data],5)=0,"-",VLOOKUP($B121,casostestes[#Data],5)),"-")</f>
        <v>-</v>
      </c>
      <c r="H121" s="35" t="str">
        <f>IFERROR(IF(VLOOKUP($B121,casostestes[#Data],6)=0,"-",VLOOKUP($B121,casostestes[#Data],6)),"-")</f>
        <v>-</v>
      </c>
      <c r="I121" s="35" t="str">
        <f>IFERROR(IF(VLOOKUP($B121,casostestes[#Data],8)=0,"-",VLOOKUP($B121,casostestes[#Data],8)),"-")</f>
        <v>-</v>
      </c>
      <c r="J121" s="35" t="str">
        <f>IFERROR(IF(VLOOKUP($B121,casostestes[#Data],9)=0,"-",VLOOKUP($B121,casostestes[#Data],9)),"-")</f>
        <v>-</v>
      </c>
      <c r="K121" s="36"/>
      <c r="L121" s="45"/>
      <c r="M121" s="37"/>
      <c r="N121" s="38"/>
      <c r="O121" s="38"/>
      <c r="P121" s="39"/>
    </row>
    <row r="122" spans="2:16">
      <c r="B122" s="40" t="str">
        <f>IF(ISERR(casostestes[[#This Row],[ID]]),"-",casostestes[[#This Row],[ID]])</f>
        <v>-</v>
      </c>
      <c r="C122" s="34" t="str">
        <f>IFERROR(IF(VLOOKUP($B122,casostestes[#Data],10)=0,"Não",VLOOKUP($B122,casostestes[#Data],10)), "-")</f>
        <v>-</v>
      </c>
      <c r="D122" s="35" t="str">
        <f>IFERROR(IF(VLOOKUP($B122,casostestes[#Data],2)=0,"-",VLOOKUP($B122,casostestes[#Data],2)), "-")</f>
        <v>-</v>
      </c>
      <c r="E122" s="35" t="str">
        <f>IFERROR(IF(VLOOKUP($B122,casostestes[#Data],3)=0,"-",VLOOKUP($B122,casostestes[#Data],3)), "-")</f>
        <v>-</v>
      </c>
      <c r="F122" s="35" t="str">
        <f>IFERROR(IF(VLOOKUP($B122,casostestes[#Data],4)=0,"-",VLOOKUP($B122,casostestes[#Data],4)),"-")</f>
        <v>-</v>
      </c>
      <c r="G122" s="35" t="str">
        <f>IFERROR(IF(VLOOKUP($B122,casostestes[#Data],5)=0,"-",VLOOKUP($B122,casostestes[#Data],5)),"-")</f>
        <v>-</v>
      </c>
      <c r="H122" s="35" t="str">
        <f>IFERROR(IF(VLOOKUP($B122,casostestes[#Data],6)=0,"-",VLOOKUP($B122,casostestes[#Data],6)),"-")</f>
        <v>-</v>
      </c>
      <c r="I122" s="35" t="str">
        <f>IFERROR(IF(VLOOKUP($B122,casostestes[#Data],8)=0,"-",VLOOKUP($B122,casostestes[#Data],8)),"-")</f>
        <v>-</v>
      </c>
      <c r="J122" s="35" t="str">
        <f>IFERROR(IF(VLOOKUP($B122,casostestes[#Data],9)=0,"-",VLOOKUP($B122,casostestes[#Data],9)),"-")</f>
        <v>-</v>
      </c>
      <c r="K122" s="36"/>
      <c r="L122" s="45"/>
      <c r="M122" s="37"/>
      <c r="N122" s="38"/>
      <c r="O122" s="38"/>
      <c r="P122" s="39"/>
    </row>
    <row r="123" spans="2:16">
      <c r="B123" s="40" t="str">
        <f>IF(ISERR(casostestes[[#This Row],[ID]]),"-",casostestes[[#This Row],[ID]])</f>
        <v>-</v>
      </c>
      <c r="C123" s="34" t="str">
        <f>IFERROR(IF(VLOOKUP($B123,casostestes[#Data],10)=0,"Não",VLOOKUP($B123,casostestes[#Data],10)), "-")</f>
        <v>-</v>
      </c>
      <c r="D123" s="35" t="str">
        <f>IFERROR(IF(VLOOKUP($B123,casostestes[#Data],2)=0,"-",VLOOKUP($B123,casostestes[#Data],2)), "-")</f>
        <v>-</v>
      </c>
      <c r="E123" s="35" t="str">
        <f>IFERROR(IF(VLOOKUP($B123,casostestes[#Data],3)=0,"-",VLOOKUP($B123,casostestes[#Data],3)), "-")</f>
        <v>-</v>
      </c>
      <c r="F123" s="35" t="str">
        <f>IFERROR(IF(VLOOKUP($B123,casostestes[#Data],4)=0,"-",VLOOKUP($B123,casostestes[#Data],4)),"-")</f>
        <v>-</v>
      </c>
      <c r="G123" s="35" t="str">
        <f>IFERROR(IF(VLOOKUP($B123,casostestes[#Data],5)=0,"-",VLOOKUP($B123,casostestes[#Data],5)),"-")</f>
        <v>-</v>
      </c>
      <c r="H123" s="35" t="str">
        <f>IFERROR(IF(VLOOKUP($B123,casostestes[#Data],6)=0,"-",VLOOKUP($B123,casostestes[#Data],6)),"-")</f>
        <v>-</v>
      </c>
      <c r="I123" s="35" t="str">
        <f>IFERROR(IF(VLOOKUP($B123,casostestes[#Data],8)=0,"-",VLOOKUP($B123,casostestes[#Data],8)),"-")</f>
        <v>-</v>
      </c>
      <c r="J123" s="35" t="str">
        <f>IFERROR(IF(VLOOKUP($B123,casostestes[#Data],9)=0,"-",VLOOKUP($B123,casostestes[#Data],9)),"-")</f>
        <v>-</v>
      </c>
      <c r="K123" s="36"/>
      <c r="L123" s="45"/>
      <c r="M123" s="37"/>
      <c r="N123" s="38"/>
      <c r="O123" s="38"/>
      <c r="P123" s="39"/>
    </row>
    <row r="124" spans="2:16">
      <c r="B124" s="40" t="str">
        <f>IF(ISERR(casostestes[[#This Row],[ID]]),"-",casostestes[[#This Row],[ID]])</f>
        <v>-</v>
      </c>
      <c r="C124" s="34" t="str">
        <f>IFERROR(IF(VLOOKUP($B124,casostestes[#Data],10)=0,"Não",VLOOKUP($B124,casostestes[#Data],10)), "-")</f>
        <v>-</v>
      </c>
      <c r="D124" s="35" t="str">
        <f>IFERROR(IF(VLOOKUP($B124,casostestes[#Data],2)=0,"-",VLOOKUP($B124,casostestes[#Data],2)), "-")</f>
        <v>-</v>
      </c>
      <c r="E124" s="35" t="str">
        <f>IFERROR(IF(VLOOKUP($B124,casostestes[#Data],3)=0,"-",VLOOKUP($B124,casostestes[#Data],3)), "-")</f>
        <v>-</v>
      </c>
      <c r="F124" s="35" t="str">
        <f>IFERROR(IF(VLOOKUP($B124,casostestes[#Data],4)=0,"-",VLOOKUP($B124,casostestes[#Data],4)),"-")</f>
        <v>-</v>
      </c>
      <c r="G124" s="35" t="str">
        <f>IFERROR(IF(VLOOKUP($B124,casostestes[#Data],5)=0,"-",VLOOKUP($B124,casostestes[#Data],5)),"-")</f>
        <v>-</v>
      </c>
      <c r="H124" s="35" t="str">
        <f>IFERROR(IF(VLOOKUP($B124,casostestes[#Data],6)=0,"-",VLOOKUP($B124,casostestes[#Data],6)),"-")</f>
        <v>-</v>
      </c>
      <c r="I124" s="35" t="str">
        <f>IFERROR(IF(VLOOKUP($B124,casostestes[#Data],8)=0,"-",VLOOKUP($B124,casostestes[#Data],8)),"-")</f>
        <v>-</v>
      </c>
      <c r="J124" s="35" t="str">
        <f>IFERROR(IF(VLOOKUP($B124,casostestes[#Data],9)=0,"-",VLOOKUP($B124,casostestes[#Data],9)),"-")</f>
        <v>-</v>
      </c>
      <c r="K124" s="36"/>
      <c r="L124" s="45"/>
      <c r="M124" s="37"/>
      <c r="N124" s="38"/>
      <c r="O124" s="38"/>
      <c r="P124" s="39"/>
    </row>
    <row r="125" spans="2:16">
      <c r="B125" s="40" t="str">
        <f>IF(ISERR(casostestes[[#This Row],[ID]]),"-",casostestes[[#This Row],[ID]])</f>
        <v>-</v>
      </c>
      <c r="C125" s="34" t="str">
        <f>IFERROR(IF(VLOOKUP($B125,casostestes[#Data],10)=0,"Não",VLOOKUP($B125,casostestes[#Data],10)), "-")</f>
        <v>-</v>
      </c>
      <c r="D125" s="35" t="str">
        <f>IFERROR(IF(VLOOKUP($B125,casostestes[#Data],2)=0,"-",VLOOKUP($B125,casostestes[#Data],2)), "-")</f>
        <v>-</v>
      </c>
      <c r="E125" s="35" t="str">
        <f>IFERROR(IF(VLOOKUP($B125,casostestes[#Data],3)=0,"-",VLOOKUP($B125,casostestes[#Data],3)), "-")</f>
        <v>-</v>
      </c>
      <c r="F125" s="35" t="str">
        <f>IFERROR(IF(VLOOKUP($B125,casostestes[#Data],4)=0,"-",VLOOKUP($B125,casostestes[#Data],4)),"-")</f>
        <v>-</v>
      </c>
      <c r="G125" s="35" t="str">
        <f>IFERROR(IF(VLOOKUP($B125,casostestes[#Data],5)=0,"-",VLOOKUP($B125,casostestes[#Data],5)),"-")</f>
        <v>-</v>
      </c>
      <c r="H125" s="35" t="str">
        <f>IFERROR(IF(VLOOKUP($B125,casostestes[#Data],6)=0,"-",VLOOKUP($B125,casostestes[#Data],6)),"-")</f>
        <v>-</v>
      </c>
      <c r="I125" s="35" t="str">
        <f>IFERROR(IF(VLOOKUP($B125,casostestes[#Data],8)=0,"-",VLOOKUP($B125,casostestes[#Data],8)),"-")</f>
        <v>-</v>
      </c>
      <c r="J125" s="35" t="str">
        <f>IFERROR(IF(VLOOKUP($B125,casostestes[#Data],9)=0,"-",VLOOKUP($B125,casostestes[#Data],9)),"-")</f>
        <v>-</v>
      </c>
      <c r="K125" s="36"/>
      <c r="L125" s="45"/>
      <c r="M125" s="37"/>
      <c r="N125" s="38"/>
      <c r="O125" s="38"/>
      <c r="P125" s="39"/>
    </row>
    <row r="126" spans="2:16">
      <c r="B126" s="40" t="str">
        <f>IF(ISERR(casostestes[[#This Row],[ID]]),"-",casostestes[[#This Row],[ID]])</f>
        <v>-</v>
      </c>
      <c r="C126" s="34" t="str">
        <f>IFERROR(IF(VLOOKUP($B126,casostestes[#Data],10)=0,"Não",VLOOKUP($B126,casostestes[#Data],10)), "-")</f>
        <v>-</v>
      </c>
      <c r="D126" s="35" t="str">
        <f>IFERROR(IF(VLOOKUP($B126,casostestes[#Data],2)=0,"-",VLOOKUP($B126,casostestes[#Data],2)), "-")</f>
        <v>-</v>
      </c>
      <c r="E126" s="35" t="str">
        <f>IFERROR(IF(VLOOKUP($B126,casostestes[#Data],3)=0,"-",VLOOKUP($B126,casostestes[#Data],3)), "-")</f>
        <v>-</v>
      </c>
      <c r="F126" s="35" t="str">
        <f>IFERROR(IF(VLOOKUP($B126,casostestes[#Data],4)=0,"-",VLOOKUP($B126,casostestes[#Data],4)),"-")</f>
        <v>-</v>
      </c>
      <c r="G126" s="35" t="str">
        <f>IFERROR(IF(VLOOKUP($B126,casostestes[#Data],5)=0,"-",VLOOKUP($B126,casostestes[#Data],5)),"-")</f>
        <v>-</v>
      </c>
      <c r="H126" s="35" t="str">
        <f>IFERROR(IF(VLOOKUP($B126,casostestes[#Data],6)=0,"-",VLOOKUP($B126,casostestes[#Data],6)),"-")</f>
        <v>-</v>
      </c>
      <c r="I126" s="35" t="str">
        <f>IFERROR(IF(VLOOKUP($B126,casostestes[#Data],8)=0,"-",VLOOKUP($B126,casostestes[#Data],8)),"-")</f>
        <v>-</v>
      </c>
      <c r="J126" s="35" t="str">
        <f>IFERROR(IF(VLOOKUP($B126,casostestes[#Data],9)=0,"-",VLOOKUP($B126,casostestes[#Data],9)),"-")</f>
        <v>-</v>
      </c>
      <c r="K126" s="36"/>
      <c r="L126" s="45"/>
      <c r="M126" s="37"/>
      <c r="N126" s="38"/>
      <c r="O126" s="38"/>
      <c r="P126" s="39"/>
    </row>
    <row r="127" spans="2:16">
      <c r="B127" s="40" t="str">
        <f>IF(ISERR(casostestes[[#This Row],[ID]]),"-",casostestes[[#This Row],[ID]])</f>
        <v>-</v>
      </c>
      <c r="C127" s="34" t="str">
        <f>IFERROR(IF(VLOOKUP($B127,casostestes[#Data],10)=0,"Não",VLOOKUP($B127,casostestes[#Data],10)), "-")</f>
        <v>-</v>
      </c>
      <c r="D127" s="35" t="str">
        <f>IFERROR(IF(VLOOKUP($B127,casostestes[#Data],2)=0,"-",VLOOKUP($B127,casostestes[#Data],2)), "-")</f>
        <v>-</v>
      </c>
      <c r="E127" s="35" t="str">
        <f>IFERROR(IF(VLOOKUP($B127,casostestes[#Data],3)=0,"-",VLOOKUP($B127,casostestes[#Data],3)), "-")</f>
        <v>-</v>
      </c>
      <c r="F127" s="35" t="str">
        <f>IFERROR(IF(VLOOKUP($B127,casostestes[#Data],4)=0,"-",VLOOKUP($B127,casostestes[#Data],4)),"-")</f>
        <v>-</v>
      </c>
      <c r="G127" s="35" t="str">
        <f>IFERROR(IF(VLOOKUP($B127,casostestes[#Data],5)=0,"-",VLOOKUP($B127,casostestes[#Data],5)),"-")</f>
        <v>-</v>
      </c>
      <c r="H127" s="35" t="str">
        <f>IFERROR(IF(VLOOKUP($B127,casostestes[#Data],6)=0,"-",VLOOKUP($B127,casostestes[#Data],6)),"-")</f>
        <v>-</v>
      </c>
      <c r="I127" s="35" t="str">
        <f>IFERROR(IF(VLOOKUP($B127,casostestes[#Data],8)=0,"-",VLOOKUP($B127,casostestes[#Data],8)),"-")</f>
        <v>-</v>
      </c>
      <c r="J127" s="35" t="str">
        <f>IFERROR(IF(VLOOKUP($B127,casostestes[#Data],9)=0,"-",VLOOKUP($B127,casostestes[#Data],9)),"-")</f>
        <v>-</v>
      </c>
      <c r="K127" s="36"/>
      <c r="L127" s="45"/>
      <c r="M127" s="37"/>
      <c r="N127" s="38"/>
      <c r="O127" s="38"/>
      <c r="P127" s="39"/>
    </row>
    <row r="128" spans="2:16">
      <c r="B128" s="40" t="str">
        <f>IF(ISERR(casostestes[[#This Row],[ID]]),"-",casostestes[[#This Row],[ID]])</f>
        <v>-</v>
      </c>
      <c r="C128" s="34" t="str">
        <f>IFERROR(IF(VLOOKUP($B128,casostestes[#Data],10)=0,"Não",VLOOKUP($B128,casostestes[#Data],10)), "-")</f>
        <v>-</v>
      </c>
      <c r="D128" s="35" t="str">
        <f>IFERROR(IF(VLOOKUP($B128,casostestes[#Data],2)=0,"-",VLOOKUP($B128,casostestes[#Data],2)), "-")</f>
        <v>-</v>
      </c>
      <c r="E128" s="35" t="str">
        <f>IFERROR(IF(VLOOKUP($B128,casostestes[#Data],3)=0,"-",VLOOKUP($B128,casostestes[#Data],3)), "-")</f>
        <v>-</v>
      </c>
      <c r="F128" s="35" t="str">
        <f>IFERROR(IF(VLOOKUP($B128,casostestes[#Data],4)=0,"-",VLOOKUP($B128,casostestes[#Data],4)),"-")</f>
        <v>-</v>
      </c>
      <c r="G128" s="35" t="str">
        <f>IFERROR(IF(VLOOKUP($B128,casostestes[#Data],5)=0,"-",VLOOKUP($B128,casostestes[#Data],5)),"-")</f>
        <v>-</v>
      </c>
      <c r="H128" s="35" t="str">
        <f>IFERROR(IF(VLOOKUP($B128,casostestes[#Data],6)=0,"-",VLOOKUP($B128,casostestes[#Data],6)),"-")</f>
        <v>-</v>
      </c>
      <c r="I128" s="35" t="str">
        <f>IFERROR(IF(VLOOKUP($B128,casostestes[#Data],8)=0,"-",VLOOKUP($B128,casostestes[#Data],8)),"-")</f>
        <v>-</v>
      </c>
      <c r="J128" s="35" t="str">
        <f>IFERROR(IF(VLOOKUP($B128,casostestes[#Data],9)=0,"-",VLOOKUP($B128,casostestes[#Data],9)),"-")</f>
        <v>-</v>
      </c>
      <c r="K128" s="36"/>
      <c r="L128" s="45"/>
      <c r="M128" s="37"/>
      <c r="N128" s="38"/>
      <c r="O128" s="38"/>
      <c r="P128" s="39"/>
    </row>
    <row r="129" spans="2:16">
      <c r="B129" s="40" t="str">
        <f>IF(ISERR(casostestes[[#This Row],[ID]]),"-",casostestes[[#This Row],[ID]])</f>
        <v>-</v>
      </c>
      <c r="C129" s="34" t="str">
        <f>IFERROR(IF(VLOOKUP($B129,casostestes[#Data],10)=0,"Não",VLOOKUP($B129,casostestes[#Data],10)), "-")</f>
        <v>-</v>
      </c>
      <c r="D129" s="35" t="str">
        <f>IFERROR(IF(VLOOKUP($B129,casostestes[#Data],2)=0,"-",VLOOKUP($B129,casostestes[#Data],2)), "-")</f>
        <v>-</v>
      </c>
      <c r="E129" s="35" t="str">
        <f>IFERROR(IF(VLOOKUP($B129,casostestes[#Data],3)=0,"-",VLOOKUP($B129,casostestes[#Data],3)), "-")</f>
        <v>-</v>
      </c>
      <c r="F129" s="35" t="str">
        <f>IFERROR(IF(VLOOKUP($B129,casostestes[#Data],4)=0,"-",VLOOKUP($B129,casostestes[#Data],4)),"-")</f>
        <v>-</v>
      </c>
      <c r="G129" s="35" t="str">
        <f>IFERROR(IF(VLOOKUP($B129,casostestes[#Data],5)=0,"-",VLOOKUP($B129,casostestes[#Data],5)),"-")</f>
        <v>-</v>
      </c>
      <c r="H129" s="35" t="str">
        <f>IFERROR(IF(VLOOKUP($B129,casostestes[#Data],6)=0,"-",VLOOKUP($B129,casostestes[#Data],6)),"-")</f>
        <v>-</v>
      </c>
      <c r="I129" s="35" t="str">
        <f>IFERROR(IF(VLOOKUP($B129,casostestes[#Data],8)=0,"-",VLOOKUP($B129,casostestes[#Data],8)),"-")</f>
        <v>-</v>
      </c>
      <c r="J129" s="35" t="str">
        <f>IFERROR(IF(VLOOKUP($B129,casostestes[#Data],9)=0,"-",VLOOKUP($B129,casostestes[#Data],9)),"-")</f>
        <v>-</v>
      </c>
      <c r="K129" s="36"/>
      <c r="L129" s="45"/>
      <c r="M129" s="37"/>
      <c r="N129" s="38"/>
      <c r="O129" s="38"/>
      <c r="P129" s="39"/>
    </row>
    <row r="130" spans="2:16">
      <c r="B130" s="40" t="str">
        <f>IF(ISERR(casostestes[[#This Row],[ID]]),"-",casostestes[[#This Row],[ID]])</f>
        <v>-</v>
      </c>
      <c r="C130" s="34" t="str">
        <f>IFERROR(IF(VLOOKUP($B130,casostestes[#Data],10)=0,"Não",VLOOKUP($B130,casostestes[#Data],10)), "-")</f>
        <v>-</v>
      </c>
      <c r="D130" s="35" t="str">
        <f>IFERROR(IF(VLOOKUP($B130,casostestes[#Data],2)=0,"-",VLOOKUP($B130,casostestes[#Data],2)), "-")</f>
        <v>-</v>
      </c>
      <c r="E130" s="35" t="str">
        <f>IFERROR(IF(VLOOKUP($B130,casostestes[#Data],3)=0,"-",VLOOKUP($B130,casostestes[#Data],3)), "-")</f>
        <v>-</v>
      </c>
      <c r="F130" s="35" t="str">
        <f>IFERROR(IF(VLOOKUP($B130,casostestes[#Data],4)=0,"-",VLOOKUP($B130,casostestes[#Data],4)),"-")</f>
        <v>-</v>
      </c>
      <c r="G130" s="35" t="str">
        <f>IFERROR(IF(VLOOKUP($B130,casostestes[#Data],5)=0,"-",VLOOKUP($B130,casostestes[#Data],5)),"-")</f>
        <v>-</v>
      </c>
      <c r="H130" s="35" t="str">
        <f>IFERROR(IF(VLOOKUP($B130,casostestes[#Data],6)=0,"-",VLOOKUP($B130,casostestes[#Data],6)),"-")</f>
        <v>-</v>
      </c>
      <c r="I130" s="35" t="str">
        <f>IFERROR(IF(VLOOKUP($B130,casostestes[#Data],8)=0,"-",VLOOKUP($B130,casostestes[#Data],8)),"-")</f>
        <v>-</v>
      </c>
      <c r="J130" s="35" t="str">
        <f>IFERROR(IF(VLOOKUP($B130,casostestes[#Data],9)=0,"-",VLOOKUP($B130,casostestes[#Data],9)),"-")</f>
        <v>-</v>
      </c>
      <c r="K130" s="36"/>
      <c r="L130" s="45"/>
      <c r="M130" s="37"/>
      <c r="N130" s="38"/>
      <c r="O130" s="38"/>
      <c r="P130" s="39"/>
    </row>
    <row r="131" spans="2:16">
      <c r="B131" s="40" t="str">
        <f>IF(ISERR(casostestes[[#This Row],[ID]]),"-",casostestes[[#This Row],[ID]])</f>
        <v>-</v>
      </c>
      <c r="C131" s="34" t="str">
        <f>IFERROR(IF(VLOOKUP($B131,casostestes[#Data],10)=0,"Não",VLOOKUP($B131,casostestes[#Data],10)), "-")</f>
        <v>-</v>
      </c>
      <c r="D131" s="35" t="str">
        <f>IFERROR(IF(VLOOKUP($B131,casostestes[#Data],2)=0,"-",VLOOKUP($B131,casostestes[#Data],2)), "-")</f>
        <v>-</v>
      </c>
      <c r="E131" s="35" t="str">
        <f>IFERROR(IF(VLOOKUP($B131,casostestes[#Data],3)=0,"-",VLOOKUP($B131,casostestes[#Data],3)), "-")</f>
        <v>-</v>
      </c>
      <c r="F131" s="35" t="str">
        <f>IFERROR(IF(VLOOKUP($B131,casostestes[#Data],4)=0,"-",VLOOKUP($B131,casostestes[#Data],4)),"-")</f>
        <v>-</v>
      </c>
      <c r="G131" s="35" t="str">
        <f>IFERROR(IF(VLOOKUP($B131,casostestes[#Data],5)=0,"-",VLOOKUP($B131,casostestes[#Data],5)),"-")</f>
        <v>-</v>
      </c>
      <c r="H131" s="35" t="str">
        <f>IFERROR(IF(VLOOKUP($B131,casostestes[#Data],6)=0,"-",VLOOKUP($B131,casostestes[#Data],6)),"-")</f>
        <v>-</v>
      </c>
      <c r="I131" s="35" t="str">
        <f>IFERROR(IF(VLOOKUP($B131,casostestes[#Data],8)=0,"-",VLOOKUP($B131,casostestes[#Data],8)),"-")</f>
        <v>-</v>
      </c>
      <c r="J131" s="35" t="str">
        <f>IFERROR(IF(VLOOKUP($B131,casostestes[#Data],9)=0,"-",VLOOKUP($B131,casostestes[#Data],9)),"-")</f>
        <v>-</v>
      </c>
      <c r="K131" s="36"/>
      <c r="L131" s="45"/>
      <c r="M131" s="37"/>
      <c r="N131" s="38"/>
      <c r="O131" s="38"/>
      <c r="P131" s="39"/>
    </row>
    <row r="132" spans="2:16">
      <c r="B132" s="40" t="str">
        <f>IF(ISERR(casostestes[[#This Row],[ID]]),"-",casostestes[[#This Row],[ID]])</f>
        <v>-</v>
      </c>
      <c r="C132" s="34" t="str">
        <f>IFERROR(IF(VLOOKUP($B132,casostestes[#Data],10)=0,"Não",VLOOKUP($B132,casostestes[#Data],10)), "-")</f>
        <v>-</v>
      </c>
      <c r="D132" s="35" t="str">
        <f>IFERROR(IF(VLOOKUP($B132,casostestes[#Data],2)=0,"-",VLOOKUP($B132,casostestes[#Data],2)), "-")</f>
        <v>-</v>
      </c>
      <c r="E132" s="35" t="str">
        <f>IFERROR(IF(VLOOKUP($B132,casostestes[#Data],3)=0,"-",VLOOKUP($B132,casostestes[#Data],3)), "-")</f>
        <v>-</v>
      </c>
      <c r="F132" s="35" t="str">
        <f>IFERROR(IF(VLOOKUP($B132,casostestes[#Data],4)=0,"-",VLOOKUP($B132,casostestes[#Data],4)),"-")</f>
        <v>-</v>
      </c>
      <c r="G132" s="35" t="str">
        <f>IFERROR(IF(VLOOKUP($B132,casostestes[#Data],5)=0,"-",VLOOKUP($B132,casostestes[#Data],5)),"-")</f>
        <v>-</v>
      </c>
      <c r="H132" s="35" t="str">
        <f>IFERROR(IF(VLOOKUP($B132,casostestes[#Data],6)=0,"-",VLOOKUP($B132,casostestes[#Data],6)),"-")</f>
        <v>-</v>
      </c>
      <c r="I132" s="35" t="str">
        <f>IFERROR(IF(VLOOKUP($B132,casostestes[#Data],8)=0,"-",VLOOKUP($B132,casostestes[#Data],8)),"-")</f>
        <v>-</v>
      </c>
      <c r="J132" s="35" t="str">
        <f>IFERROR(IF(VLOOKUP($B132,casostestes[#Data],9)=0,"-",VLOOKUP($B132,casostestes[#Data],9)),"-")</f>
        <v>-</v>
      </c>
      <c r="K132" s="36"/>
      <c r="L132" s="45"/>
      <c r="M132" s="37"/>
      <c r="N132" s="38"/>
      <c r="O132" s="38"/>
      <c r="P132" s="39"/>
    </row>
    <row r="133" spans="2:16">
      <c r="B133" s="40" t="str">
        <f>IF(ISERR(casostestes[[#This Row],[ID]]),"-",casostestes[[#This Row],[ID]])</f>
        <v>-</v>
      </c>
      <c r="C133" s="34" t="str">
        <f>IFERROR(IF(VLOOKUP($B133,casostestes[#Data],10)=0,"Não",VLOOKUP($B133,casostestes[#Data],10)), "-")</f>
        <v>-</v>
      </c>
      <c r="D133" s="35" t="str">
        <f>IFERROR(IF(VLOOKUP($B133,casostestes[#Data],2)=0,"-",VLOOKUP($B133,casostestes[#Data],2)), "-")</f>
        <v>-</v>
      </c>
      <c r="E133" s="35" t="str">
        <f>IFERROR(IF(VLOOKUP($B133,casostestes[#Data],3)=0,"-",VLOOKUP($B133,casostestes[#Data],3)), "-")</f>
        <v>-</v>
      </c>
      <c r="F133" s="35" t="str">
        <f>IFERROR(IF(VLOOKUP($B133,casostestes[#Data],4)=0,"-",VLOOKUP($B133,casostestes[#Data],4)),"-")</f>
        <v>-</v>
      </c>
      <c r="G133" s="35" t="str">
        <f>IFERROR(IF(VLOOKUP($B133,casostestes[#Data],5)=0,"-",VLOOKUP($B133,casostestes[#Data],5)),"-")</f>
        <v>-</v>
      </c>
      <c r="H133" s="35" t="str">
        <f>IFERROR(IF(VLOOKUP($B133,casostestes[#Data],6)=0,"-",VLOOKUP($B133,casostestes[#Data],6)),"-")</f>
        <v>-</v>
      </c>
      <c r="I133" s="35" t="str">
        <f>IFERROR(IF(VLOOKUP($B133,casostestes[#Data],8)=0,"-",VLOOKUP($B133,casostestes[#Data],8)),"-")</f>
        <v>-</v>
      </c>
      <c r="J133" s="35" t="str">
        <f>IFERROR(IF(VLOOKUP($B133,casostestes[#Data],9)=0,"-",VLOOKUP($B133,casostestes[#Data],9)),"-")</f>
        <v>-</v>
      </c>
      <c r="K133" s="36"/>
      <c r="L133" s="45"/>
      <c r="M133" s="37"/>
      <c r="N133" s="38"/>
      <c r="O133" s="38"/>
      <c r="P133" s="39"/>
    </row>
    <row r="134" spans="2:16">
      <c r="B134" s="40" t="str">
        <f>IF(ISERR(casostestes[[#This Row],[ID]]),"-",casostestes[[#This Row],[ID]])</f>
        <v>-</v>
      </c>
      <c r="C134" s="34" t="str">
        <f>IFERROR(IF(VLOOKUP($B134,casostestes[#Data],10)=0,"Não",VLOOKUP($B134,casostestes[#Data],10)), "-")</f>
        <v>-</v>
      </c>
      <c r="D134" s="35" t="str">
        <f>IFERROR(IF(VLOOKUP($B134,casostestes[#Data],2)=0,"-",VLOOKUP($B134,casostestes[#Data],2)), "-")</f>
        <v>-</v>
      </c>
      <c r="E134" s="35" t="str">
        <f>IFERROR(IF(VLOOKUP($B134,casostestes[#Data],3)=0,"-",VLOOKUP($B134,casostestes[#Data],3)), "-")</f>
        <v>-</v>
      </c>
      <c r="F134" s="35" t="str">
        <f>IFERROR(IF(VLOOKUP($B134,casostestes[#Data],4)=0,"-",VLOOKUP($B134,casostestes[#Data],4)),"-")</f>
        <v>-</v>
      </c>
      <c r="G134" s="35" t="str">
        <f>IFERROR(IF(VLOOKUP($B134,casostestes[#Data],5)=0,"-",VLOOKUP($B134,casostestes[#Data],5)),"-")</f>
        <v>-</v>
      </c>
      <c r="H134" s="35" t="str">
        <f>IFERROR(IF(VLOOKUP($B134,casostestes[#Data],6)=0,"-",VLOOKUP($B134,casostestes[#Data],6)),"-")</f>
        <v>-</v>
      </c>
      <c r="I134" s="35" t="str">
        <f>IFERROR(IF(VLOOKUP($B134,casostestes[#Data],8)=0,"-",VLOOKUP($B134,casostestes[#Data],8)),"-")</f>
        <v>-</v>
      </c>
      <c r="J134" s="35" t="str">
        <f>IFERROR(IF(VLOOKUP($B134,casostestes[#Data],9)=0,"-",VLOOKUP($B134,casostestes[#Data],9)),"-")</f>
        <v>-</v>
      </c>
      <c r="K134" s="36"/>
      <c r="L134" s="45"/>
      <c r="M134" s="37"/>
      <c r="N134" s="38"/>
      <c r="O134" s="38"/>
      <c r="P134" s="39"/>
    </row>
    <row r="135" spans="2:16">
      <c r="B135" s="40" t="str">
        <f>IF(ISERR(casostestes[[#This Row],[ID]]),"-",casostestes[[#This Row],[ID]])</f>
        <v>-</v>
      </c>
      <c r="C135" s="34" t="str">
        <f>IFERROR(IF(VLOOKUP($B135,casostestes[#Data],10)=0,"Não",VLOOKUP($B135,casostestes[#Data],10)), "-")</f>
        <v>-</v>
      </c>
      <c r="D135" s="35" t="str">
        <f>IFERROR(IF(VLOOKUP($B135,casostestes[#Data],2)=0,"-",VLOOKUP($B135,casostestes[#Data],2)), "-")</f>
        <v>-</v>
      </c>
      <c r="E135" s="35" t="str">
        <f>IFERROR(IF(VLOOKUP($B135,casostestes[#Data],3)=0,"-",VLOOKUP($B135,casostestes[#Data],3)), "-")</f>
        <v>-</v>
      </c>
      <c r="F135" s="35" t="str">
        <f>IFERROR(IF(VLOOKUP($B135,casostestes[#Data],4)=0,"-",VLOOKUP($B135,casostestes[#Data],4)),"-")</f>
        <v>-</v>
      </c>
      <c r="G135" s="35" t="str">
        <f>IFERROR(IF(VLOOKUP($B135,casostestes[#Data],5)=0,"-",VLOOKUP($B135,casostestes[#Data],5)),"-")</f>
        <v>-</v>
      </c>
      <c r="H135" s="35" t="str">
        <f>IFERROR(IF(VLOOKUP($B135,casostestes[#Data],6)=0,"-",VLOOKUP($B135,casostestes[#Data],6)),"-")</f>
        <v>-</v>
      </c>
      <c r="I135" s="35" t="str">
        <f>IFERROR(IF(VLOOKUP($B135,casostestes[#Data],8)=0,"-",VLOOKUP($B135,casostestes[#Data],8)),"-")</f>
        <v>-</v>
      </c>
      <c r="J135" s="35" t="str">
        <f>IFERROR(IF(VLOOKUP($B135,casostestes[#Data],9)=0,"-",VLOOKUP($B135,casostestes[#Data],9)),"-")</f>
        <v>-</v>
      </c>
      <c r="K135" s="36"/>
      <c r="L135" s="45"/>
      <c r="M135" s="37"/>
      <c r="N135" s="38"/>
      <c r="O135" s="38"/>
      <c r="P135" s="39"/>
    </row>
    <row r="136" spans="2:16">
      <c r="B136" s="40" t="str">
        <f>IF(ISERR(casostestes[[#This Row],[ID]]),"-",casostestes[[#This Row],[ID]])</f>
        <v>-</v>
      </c>
      <c r="C136" s="34" t="str">
        <f>IFERROR(IF(VLOOKUP($B136,casostestes[#Data],10)=0,"Não",VLOOKUP($B136,casostestes[#Data],10)), "-")</f>
        <v>-</v>
      </c>
      <c r="D136" s="35" t="str">
        <f>IFERROR(IF(VLOOKUP($B136,casostestes[#Data],2)=0,"-",VLOOKUP($B136,casostestes[#Data],2)), "-")</f>
        <v>-</v>
      </c>
      <c r="E136" s="35" t="str">
        <f>IFERROR(IF(VLOOKUP($B136,casostestes[#Data],3)=0,"-",VLOOKUP($B136,casostestes[#Data],3)), "-")</f>
        <v>-</v>
      </c>
      <c r="F136" s="35" t="str">
        <f>IFERROR(IF(VLOOKUP($B136,casostestes[#Data],4)=0,"-",VLOOKUP($B136,casostestes[#Data],4)),"-")</f>
        <v>-</v>
      </c>
      <c r="G136" s="35" t="str">
        <f>IFERROR(IF(VLOOKUP($B136,casostestes[#Data],5)=0,"-",VLOOKUP($B136,casostestes[#Data],5)),"-")</f>
        <v>-</v>
      </c>
      <c r="H136" s="35" t="str">
        <f>IFERROR(IF(VLOOKUP($B136,casostestes[#Data],6)=0,"-",VLOOKUP($B136,casostestes[#Data],6)),"-")</f>
        <v>-</v>
      </c>
      <c r="I136" s="35" t="str">
        <f>IFERROR(IF(VLOOKUP($B136,casostestes[#Data],8)=0,"-",VLOOKUP($B136,casostestes[#Data],8)),"-")</f>
        <v>-</v>
      </c>
      <c r="J136" s="35" t="str">
        <f>IFERROR(IF(VLOOKUP($B136,casostestes[#Data],9)=0,"-",VLOOKUP($B136,casostestes[#Data],9)),"-")</f>
        <v>-</v>
      </c>
      <c r="K136" s="36"/>
      <c r="L136" s="45"/>
      <c r="M136" s="37"/>
      <c r="N136" s="38"/>
      <c r="O136" s="38"/>
      <c r="P136" s="39"/>
    </row>
    <row r="137" spans="2:16">
      <c r="B137" s="40" t="str">
        <f>IF(ISERR(casostestes[[#This Row],[ID]]),"-",casostestes[[#This Row],[ID]])</f>
        <v>-</v>
      </c>
      <c r="C137" s="34" t="str">
        <f>IFERROR(IF(VLOOKUP($B137,casostestes[#Data],10)=0,"Não",VLOOKUP($B137,casostestes[#Data],10)), "-")</f>
        <v>-</v>
      </c>
      <c r="D137" s="35" t="str">
        <f>IFERROR(IF(VLOOKUP($B137,casostestes[#Data],2)=0,"-",VLOOKUP($B137,casostestes[#Data],2)), "-")</f>
        <v>-</v>
      </c>
      <c r="E137" s="35" t="str">
        <f>IFERROR(IF(VLOOKUP($B137,casostestes[#Data],3)=0,"-",VLOOKUP($B137,casostestes[#Data],3)), "-")</f>
        <v>-</v>
      </c>
      <c r="F137" s="35" t="str">
        <f>IFERROR(IF(VLOOKUP($B137,casostestes[#Data],4)=0,"-",VLOOKUP($B137,casostestes[#Data],4)),"-")</f>
        <v>-</v>
      </c>
      <c r="G137" s="35" t="str">
        <f>IFERROR(IF(VLOOKUP($B137,casostestes[#Data],5)=0,"-",VLOOKUP($B137,casostestes[#Data],5)),"-")</f>
        <v>-</v>
      </c>
      <c r="H137" s="35" t="str">
        <f>IFERROR(IF(VLOOKUP($B137,casostestes[#Data],6)=0,"-",VLOOKUP($B137,casostestes[#Data],6)),"-")</f>
        <v>-</v>
      </c>
      <c r="I137" s="35" t="str">
        <f>IFERROR(IF(VLOOKUP($B137,casostestes[#Data],8)=0,"-",VLOOKUP($B137,casostestes[#Data],8)),"-")</f>
        <v>-</v>
      </c>
      <c r="J137" s="35" t="str">
        <f>IFERROR(IF(VLOOKUP($B137,casostestes[#Data],9)=0,"-",VLOOKUP($B137,casostestes[#Data],9)),"-")</f>
        <v>-</v>
      </c>
      <c r="K137" s="36"/>
      <c r="L137" s="45"/>
      <c r="M137" s="37"/>
      <c r="N137" s="38"/>
      <c r="O137" s="38"/>
      <c r="P137" s="39"/>
    </row>
    <row r="138" spans="2:16">
      <c r="B138" s="40" t="str">
        <f>IF(ISERR(casostestes[[#This Row],[ID]]),"-",casostestes[[#This Row],[ID]])</f>
        <v>-</v>
      </c>
      <c r="C138" s="34" t="str">
        <f>IFERROR(IF(VLOOKUP($B138,casostestes[#Data],10)=0,"Não",VLOOKUP($B138,casostestes[#Data],10)), "-")</f>
        <v>-</v>
      </c>
      <c r="D138" s="35" t="str">
        <f>IFERROR(IF(VLOOKUP($B138,casostestes[#Data],2)=0,"-",VLOOKUP($B138,casostestes[#Data],2)), "-")</f>
        <v>-</v>
      </c>
      <c r="E138" s="35" t="str">
        <f>IFERROR(IF(VLOOKUP($B138,casostestes[#Data],3)=0,"-",VLOOKUP($B138,casostestes[#Data],3)), "-")</f>
        <v>-</v>
      </c>
      <c r="F138" s="35" t="str">
        <f>IFERROR(IF(VLOOKUP($B138,casostestes[#Data],4)=0,"-",VLOOKUP($B138,casostestes[#Data],4)),"-")</f>
        <v>-</v>
      </c>
      <c r="G138" s="35" t="str">
        <f>IFERROR(IF(VLOOKUP($B138,casostestes[#Data],5)=0,"-",VLOOKUP($B138,casostestes[#Data],5)),"-")</f>
        <v>-</v>
      </c>
      <c r="H138" s="35" t="str">
        <f>IFERROR(IF(VLOOKUP($B138,casostestes[#Data],6)=0,"-",VLOOKUP($B138,casostestes[#Data],6)),"-")</f>
        <v>-</v>
      </c>
      <c r="I138" s="35" t="str">
        <f>IFERROR(IF(VLOOKUP($B138,casostestes[#Data],8)=0,"-",VLOOKUP($B138,casostestes[#Data],8)),"-")</f>
        <v>-</v>
      </c>
      <c r="J138" s="35" t="str">
        <f>IFERROR(IF(VLOOKUP($B138,casostestes[#Data],9)=0,"-",VLOOKUP($B138,casostestes[#Data],9)),"-")</f>
        <v>-</v>
      </c>
      <c r="K138" s="36"/>
      <c r="L138" s="45"/>
      <c r="M138" s="37"/>
      <c r="N138" s="38"/>
      <c r="O138" s="38"/>
      <c r="P138" s="39"/>
    </row>
    <row r="139" spans="2:16">
      <c r="B139" s="40" t="str">
        <f>IF(ISERR(casostestes[[#This Row],[ID]]),"-",casostestes[[#This Row],[ID]])</f>
        <v>-</v>
      </c>
      <c r="C139" s="34" t="str">
        <f>IFERROR(IF(VLOOKUP($B139,casostestes[#Data],10)=0,"Não",VLOOKUP($B139,casostestes[#Data],10)), "-")</f>
        <v>-</v>
      </c>
      <c r="D139" s="35" t="str">
        <f>IFERROR(IF(VLOOKUP($B139,casostestes[#Data],2)=0,"-",VLOOKUP($B139,casostestes[#Data],2)), "-")</f>
        <v>-</v>
      </c>
      <c r="E139" s="35" t="str">
        <f>IFERROR(IF(VLOOKUP($B139,casostestes[#Data],3)=0,"-",VLOOKUP($B139,casostestes[#Data],3)), "-")</f>
        <v>-</v>
      </c>
      <c r="F139" s="35" t="str">
        <f>IFERROR(IF(VLOOKUP($B139,casostestes[#Data],4)=0,"-",VLOOKUP($B139,casostestes[#Data],4)),"-")</f>
        <v>-</v>
      </c>
      <c r="G139" s="35" t="str">
        <f>IFERROR(IF(VLOOKUP($B139,casostestes[#Data],5)=0,"-",VLOOKUP($B139,casostestes[#Data],5)),"-")</f>
        <v>-</v>
      </c>
      <c r="H139" s="35" t="str">
        <f>IFERROR(IF(VLOOKUP($B139,casostestes[#Data],6)=0,"-",VLOOKUP($B139,casostestes[#Data],6)),"-")</f>
        <v>-</v>
      </c>
      <c r="I139" s="35" t="str">
        <f>IFERROR(IF(VLOOKUP($B139,casostestes[#Data],8)=0,"-",VLOOKUP($B139,casostestes[#Data],8)),"-")</f>
        <v>-</v>
      </c>
      <c r="J139" s="35" t="str">
        <f>IFERROR(IF(VLOOKUP($B139,casostestes[#Data],9)=0,"-",VLOOKUP($B139,casostestes[#Data],9)),"-")</f>
        <v>-</v>
      </c>
      <c r="K139" s="36"/>
      <c r="L139" s="45"/>
      <c r="M139" s="37"/>
      <c r="N139" s="38"/>
      <c r="O139" s="38"/>
      <c r="P139" s="39"/>
    </row>
    <row r="140" spans="2:16">
      <c r="B140" s="40" t="str">
        <f>IF(ISERR(casostestes[[#This Row],[ID]]),"-",casostestes[[#This Row],[ID]])</f>
        <v>-</v>
      </c>
      <c r="C140" s="34" t="str">
        <f>IFERROR(IF(VLOOKUP($B140,casostestes[#Data],10)=0,"Não",VLOOKUP($B140,casostestes[#Data],10)), "-")</f>
        <v>-</v>
      </c>
      <c r="D140" s="35" t="str">
        <f>IFERROR(IF(VLOOKUP($B140,casostestes[#Data],2)=0,"-",VLOOKUP($B140,casostestes[#Data],2)), "-")</f>
        <v>-</v>
      </c>
      <c r="E140" s="35" t="str">
        <f>IFERROR(IF(VLOOKUP($B140,casostestes[#Data],3)=0,"-",VLOOKUP($B140,casostestes[#Data],3)), "-")</f>
        <v>-</v>
      </c>
      <c r="F140" s="35" t="str">
        <f>IFERROR(IF(VLOOKUP($B140,casostestes[#Data],4)=0,"-",VLOOKUP($B140,casostestes[#Data],4)),"-")</f>
        <v>-</v>
      </c>
      <c r="G140" s="35" t="str">
        <f>IFERROR(IF(VLOOKUP($B140,casostestes[#Data],5)=0,"-",VLOOKUP($B140,casostestes[#Data],5)),"-")</f>
        <v>-</v>
      </c>
      <c r="H140" s="35" t="str">
        <f>IFERROR(IF(VLOOKUP($B140,casostestes[#Data],6)=0,"-",VLOOKUP($B140,casostestes[#Data],6)),"-")</f>
        <v>-</v>
      </c>
      <c r="I140" s="35" t="str">
        <f>IFERROR(IF(VLOOKUP($B140,casostestes[#Data],8)=0,"-",VLOOKUP($B140,casostestes[#Data],8)),"-")</f>
        <v>-</v>
      </c>
      <c r="J140" s="35" t="str">
        <f>IFERROR(IF(VLOOKUP($B140,casostestes[#Data],9)=0,"-",VLOOKUP($B140,casostestes[#Data],9)),"-")</f>
        <v>-</v>
      </c>
      <c r="K140" s="36"/>
      <c r="L140" s="45"/>
      <c r="M140" s="37"/>
      <c r="N140" s="38"/>
      <c r="O140" s="38"/>
      <c r="P140" s="39"/>
    </row>
    <row r="141" spans="2:16">
      <c r="B141" s="40" t="str">
        <f>IF(ISERR(casostestes[[#This Row],[ID]]),"-",casostestes[[#This Row],[ID]])</f>
        <v>-</v>
      </c>
      <c r="C141" s="34" t="str">
        <f>IFERROR(IF(VLOOKUP($B141,casostestes[#Data],10)=0,"Não",VLOOKUP($B141,casostestes[#Data],10)), "-")</f>
        <v>-</v>
      </c>
      <c r="D141" s="35" t="str">
        <f>IFERROR(IF(VLOOKUP($B141,casostestes[#Data],2)=0,"-",VLOOKUP($B141,casostestes[#Data],2)), "-")</f>
        <v>-</v>
      </c>
      <c r="E141" s="35" t="str">
        <f>IFERROR(IF(VLOOKUP($B141,casostestes[#Data],3)=0,"-",VLOOKUP($B141,casostestes[#Data],3)), "-")</f>
        <v>-</v>
      </c>
      <c r="F141" s="35" t="str">
        <f>IFERROR(IF(VLOOKUP($B141,casostestes[#Data],4)=0,"-",VLOOKUP($B141,casostestes[#Data],4)),"-")</f>
        <v>-</v>
      </c>
      <c r="G141" s="35" t="str">
        <f>IFERROR(IF(VLOOKUP($B141,casostestes[#Data],5)=0,"-",VLOOKUP($B141,casostestes[#Data],5)),"-")</f>
        <v>-</v>
      </c>
      <c r="H141" s="35" t="str">
        <f>IFERROR(IF(VLOOKUP($B141,casostestes[#Data],6)=0,"-",VLOOKUP($B141,casostestes[#Data],6)),"-")</f>
        <v>-</v>
      </c>
      <c r="I141" s="35" t="str">
        <f>IFERROR(IF(VLOOKUP($B141,casostestes[#Data],8)=0,"-",VLOOKUP($B141,casostestes[#Data],8)),"-")</f>
        <v>-</v>
      </c>
      <c r="J141" s="35" t="str">
        <f>IFERROR(IF(VLOOKUP($B141,casostestes[#Data],9)=0,"-",VLOOKUP($B141,casostestes[#Data],9)),"-")</f>
        <v>-</v>
      </c>
      <c r="K141" s="36"/>
      <c r="L141" s="45"/>
      <c r="M141" s="37"/>
      <c r="N141" s="38"/>
      <c r="O141" s="38"/>
      <c r="P141" s="39"/>
    </row>
    <row r="142" spans="2:16">
      <c r="B142" s="40" t="str">
        <f>IF(ISERR(casostestes[[#This Row],[ID]]),"-",casostestes[[#This Row],[ID]])</f>
        <v>-</v>
      </c>
      <c r="C142" s="34" t="str">
        <f>IFERROR(IF(VLOOKUP($B142,casostestes[#Data],10)=0,"Não",VLOOKUP($B142,casostestes[#Data],10)), "-")</f>
        <v>-</v>
      </c>
      <c r="D142" s="35" t="str">
        <f>IFERROR(IF(VLOOKUP($B142,casostestes[#Data],2)=0,"-",VLOOKUP($B142,casostestes[#Data],2)), "-")</f>
        <v>-</v>
      </c>
      <c r="E142" s="35" t="str">
        <f>IFERROR(IF(VLOOKUP($B142,casostestes[#Data],3)=0,"-",VLOOKUP($B142,casostestes[#Data],3)), "-")</f>
        <v>-</v>
      </c>
      <c r="F142" s="35" t="str">
        <f>IFERROR(IF(VLOOKUP($B142,casostestes[#Data],4)=0,"-",VLOOKUP($B142,casostestes[#Data],4)),"-")</f>
        <v>-</v>
      </c>
      <c r="G142" s="35" t="str">
        <f>IFERROR(IF(VLOOKUP($B142,casostestes[#Data],5)=0,"-",VLOOKUP($B142,casostestes[#Data],5)),"-")</f>
        <v>-</v>
      </c>
      <c r="H142" s="35" t="str">
        <f>IFERROR(IF(VLOOKUP($B142,casostestes[#Data],6)=0,"-",VLOOKUP($B142,casostestes[#Data],6)),"-")</f>
        <v>-</v>
      </c>
      <c r="I142" s="35" t="str">
        <f>IFERROR(IF(VLOOKUP($B142,casostestes[#Data],8)=0,"-",VLOOKUP($B142,casostestes[#Data],8)),"-")</f>
        <v>-</v>
      </c>
      <c r="J142" s="35" t="str">
        <f>IFERROR(IF(VLOOKUP($B142,casostestes[#Data],9)=0,"-",VLOOKUP($B142,casostestes[#Data],9)),"-")</f>
        <v>-</v>
      </c>
      <c r="K142" s="36"/>
      <c r="L142" s="45"/>
      <c r="M142" s="37"/>
      <c r="N142" s="38"/>
      <c r="O142" s="38"/>
      <c r="P142" s="39"/>
    </row>
    <row r="143" spans="2:16">
      <c r="B143" s="40" t="str">
        <f>IF(ISERR(casostestes[[#This Row],[ID]]),"-",casostestes[[#This Row],[ID]])</f>
        <v>-</v>
      </c>
      <c r="C143" s="34" t="str">
        <f>IFERROR(IF(VLOOKUP($B143,casostestes[#Data],10)=0,"Não",VLOOKUP($B143,casostestes[#Data],10)), "-")</f>
        <v>-</v>
      </c>
      <c r="D143" s="35" t="str">
        <f>IFERROR(IF(VLOOKUP($B143,casostestes[#Data],2)=0,"-",VLOOKUP($B143,casostestes[#Data],2)), "-")</f>
        <v>-</v>
      </c>
      <c r="E143" s="35" t="str">
        <f>IFERROR(IF(VLOOKUP($B143,casostestes[#Data],3)=0,"-",VLOOKUP($B143,casostestes[#Data],3)), "-")</f>
        <v>-</v>
      </c>
      <c r="F143" s="35" t="str">
        <f>IFERROR(IF(VLOOKUP($B143,casostestes[#Data],4)=0,"-",VLOOKUP($B143,casostestes[#Data],4)),"-")</f>
        <v>-</v>
      </c>
      <c r="G143" s="35" t="str">
        <f>IFERROR(IF(VLOOKUP($B143,casostestes[#Data],5)=0,"-",VLOOKUP($B143,casostestes[#Data],5)),"-")</f>
        <v>-</v>
      </c>
      <c r="H143" s="35" t="str">
        <f>IFERROR(IF(VLOOKUP($B143,casostestes[#Data],6)=0,"-",VLOOKUP($B143,casostestes[#Data],6)),"-")</f>
        <v>-</v>
      </c>
      <c r="I143" s="35" t="str">
        <f>IFERROR(IF(VLOOKUP($B143,casostestes[#Data],8)=0,"-",VLOOKUP($B143,casostestes[#Data],8)),"-")</f>
        <v>-</v>
      </c>
      <c r="J143" s="35" t="str">
        <f>IFERROR(IF(VLOOKUP($B143,casostestes[#Data],9)=0,"-",VLOOKUP($B143,casostestes[#Data],9)),"-")</f>
        <v>-</v>
      </c>
      <c r="K143" s="36"/>
      <c r="L143" s="45"/>
      <c r="M143" s="37"/>
      <c r="N143" s="38"/>
      <c r="O143" s="38"/>
      <c r="P143" s="39"/>
    </row>
    <row r="144" spans="2:16">
      <c r="B144" s="40" t="str">
        <f>IF(ISERR(casostestes[[#This Row],[ID]]),"-",casostestes[[#This Row],[ID]])</f>
        <v>-</v>
      </c>
      <c r="C144" s="34" t="str">
        <f>IFERROR(IF(VLOOKUP($B144,casostestes[#Data],10)=0,"Não",VLOOKUP($B144,casostestes[#Data],10)), "-")</f>
        <v>-</v>
      </c>
      <c r="D144" s="35" t="str">
        <f>IFERROR(IF(VLOOKUP($B144,casostestes[#Data],2)=0,"-",VLOOKUP($B144,casostestes[#Data],2)), "-")</f>
        <v>-</v>
      </c>
      <c r="E144" s="35" t="str">
        <f>IFERROR(IF(VLOOKUP($B144,casostestes[#Data],3)=0,"-",VLOOKUP($B144,casostestes[#Data],3)), "-")</f>
        <v>-</v>
      </c>
      <c r="F144" s="35" t="str">
        <f>IFERROR(IF(VLOOKUP($B144,casostestes[#Data],4)=0,"-",VLOOKUP($B144,casostestes[#Data],4)),"-")</f>
        <v>-</v>
      </c>
      <c r="G144" s="35" t="str">
        <f>IFERROR(IF(VLOOKUP($B144,casostestes[#Data],5)=0,"-",VLOOKUP($B144,casostestes[#Data],5)),"-")</f>
        <v>-</v>
      </c>
      <c r="H144" s="35" t="str">
        <f>IFERROR(IF(VLOOKUP($B144,casostestes[#Data],6)=0,"-",VLOOKUP($B144,casostestes[#Data],6)),"-")</f>
        <v>-</v>
      </c>
      <c r="I144" s="35" t="str">
        <f>IFERROR(IF(VLOOKUP($B144,casostestes[#Data],8)=0,"-",VLOOKUP($B144,casostestes[#Data],8)),"-")</f>
        <v>-</v>
      </c>
      <c r="J144" s="35" t="str">
        <f>IFERROR(IF(VLOOKUP($B144,casostestes[#Data],9)=0,"-",VLOOKUP($B144,casostestes[#Data],9)),"-")</f>
        <v>-</v>
      </c>
      <c r="K144" s="36"/>
      <c r="L144" s="45"/>
      <c r="M144" s="37"/>
      <c r="N144" s="38"/>
      <c r="O144" s="38"/>
      <c r="P144" s="39"/>
    </row>
    <row r="145" spans="2:16">
      <c r="B145" s="40" t="str">
        <f>IF(ISERR(casostestes[[#This Row],[ID]]),"-",casostestes[[#This Row],[ID]])</f>
        <v>-</v>
      </c>
      <c r="C145" s="34" t="str">
        <f>IFERROR(IF(VLOOKUP($B145,casostestes[#Data],10)=0,"Não",VLOOKUP($B145,casostestes[#Data],10)), "-")</f>
        <v>-</v>
      </c>
      <c r="D145" s="35" t="str">
        <f>IFERROR(IF(VLOOKUP($B145,casostestes[#Data],2)=0,"-",VLOOKUP($B145,casostestes[#Data],2)), "-")</f>
        <v>-</v>
      </c>
      <c r="E145" s="35" t="str">
        <f>IFERROR(IF(VLOOKUP($B145,casostestes[#Data],3)=0,"-",VLOOKUP($B145,casostestes[#Data],3)), "-")</f>
        <v>-</v>
      </c>
      <c r="F145" s="35" t="str">
        <f>IFERROR(IF(VLOOKUP($B145,casostestes[#Data],4)=0,"-",VLOOKUP($B145,casostestes[#Data],4)),"-")</f>
        <v>-</v>
      </c>
      <c r="G145" s="35" t="str">
        <f>IFERROR(IF(VLOOKUP($B145,casostestes[#Data],5)=0,"-",VLOOKUP($B145,casostestes[#Data],5)),"-")</f>
        <v>-</v>
      </c>
      <c r="H145" s="35" t="str">
        <f>IFERROR(IF(VLOOKUP($B145,casostestes[#Data],6)=0,"-",VLOOKUP($B145,casostestes[#Data],6)),"-")</f>
        <v>-</v>
      </c>
      <c r="I145" s="35" t="str">
        <f>IFERROR(IF(VLOOKUP($B145,casostestes[#Data],8)=0,"-",VLOOKUP($B145,casostestes[#Data],8)),"-")</f>
        <v>-</v>
      </c>
      <c r="J145" s="35" t="str">
        <f>IFERROR(IF(VLOOKUP($B145,casostestes[#Data],9)=0,"-",VLOOKUP($B145,casostestes[#Data],9)),"-")</f>
        <v>-</v>
      </c>
      <c r="K145" s="36"/>
      <c r="L145" s="45"/>
      <c r="M145" s="37"/>
      <c r="N145" s="38"/>
      <c r="O145" s="38"/>
      <c r="P145" s="39"/>
    </row>
    <row r="146" spans="2:16">
      <c r="B146" s="40" t="str">
        <f>IF(ISERR(casostestes[[#This Row],[ID]]),"-",casostestes[[#This Row],[ID]])</f>
        <v>-</v>
      </c>
      <c r="C146" s="34" t="str">
        <f>IFERROR(IF(VLOOKUP($B146,casostestes[#Data],10)=0,"Não",VLOOKUP($B146,casostestes[#Data],10)), "-")</f>
        <v>-</v>
      </c>
      <c r="D146" s="35" t="str">
        <f>IFERROR(IF(VLOOKUP($B146,casostestes[#Data],2)=0,"-",VLOOKUP($B146,casostestes[#Data],2)), "-")</f>
        <v>-</v>
      </c>
      <c r="E146" s="35" t="str">
        <f>IFERROR(IF(VLOOKUP($B146,casostestes[#Data],3)=0,"-",VLOOKUP($B146,casostestes[#Data],3)), "-")</f>
        <v>-</v>
      </c>
      <c r="F146" s="35" t="str">
        <f>IFERROR(IF(VLOOKUP($B146,casostestes[#Data],4)=0,"-",VLOOKUP($B146,casostestes[#Data],4)),"-")</f>
        <v>-</v>
      </c>
      <c r="G146" s="35" t="str">
        <f>IFERROR(IF(VLOOKUP($B146,casostestes[#Data],5)=0,"-",VLOOKUP($B146,casostestes[#Data],5)),"-")</f>
        <v>-</v>
      </c>
      <c r="H146" s="35" t="str">
        <f>IFERROR(IF(VLOOKUP($B146,casostestes[#Data],6)=0,"-",VLOOKUP($B146,casostestes[#Data],6)),"-")</f>
        <v>-</v>
      </c>
      <c r="I146" s="35" t="str">
        <f>IFERROR(IF(VLOOKUP($B146,casostestes[#Data],8)=0,"-",VLOOKUP($B146,casostestes[#Data],8)),"-")</f>
        <v>-</v>
      </c>
      <c r="J146" s="35" t="str">
        <f>IFERROR(IF(VLOOKUP($B146,casostestes[#Data],9)=0,"-",VLOOKUP($B146,casostestes[#Data],9)),"-")</f>
        <v>-</v>
      </c>
      <c r="K146" s="36"/>
      <c r="L146" s="45"/>
      <c r="M146" s="37"/>
      <c r="N146" s="38"/>
      <c r="O146" s="38"/>
      <c r="P146" s="39"/>
    </row>
    <row r="147" spans="2:16">
      <c r="B147" s="40" t="str">
        <f>IF(ISERR(casostestes[[#This Row],[ID]]),"-",casostestes[[#This Row],[ID]])</f>
        <v>-</v>
      </c>
      <c r="C147" s="34" t="str">
        <f>IFERROR(IF(VLOOKUP($B147,casostestes[#Data],10)=0,"Não",VLOOKUP($B147,casostestes[#Data],10)), "-")</f>
        <v>-</v>
      </c>
      <c r="D147" s="35" t="str">
        <f>IFERROR(IF(VLOOKUP($B147,casostestes[#Data],2)=0,"-",VLOOKUP($B147,casostestes[#Data],2)), "-")</f>
        <v>-</v>
      </c>
      <c r="E147" s="35" t="str">
        <f>IFERROR(IF(VLOOKUP($B147,casostestes[#Data],3)=0,"-",VLOOKUP($B147,casostestes[#Data],3)), "-")</f>
        <v>-</v>
      </c>
      <c r="F147" s="35" t="str">
        <f>IFERROR(IF(VLOOKUP($B147,casostestes[#Data],4)=0,"-",VLOOKUP($B147,casostestes[#Data],4)),"-")</f>
        <v>-</v>
      </c>
      <c r="G147" s="35" t="str">
        <f>IFERROR(IF(VLOOKUP($B147,casostestes[#Data],5)=0,"-",VLOOKUP($B147,casostestes[#Data],5)),"-")</f>
        <v>-</v>
      </c>
      <c r="H147" s="35" t="str">
        <f>IFERROR(IF(VLOOKUP($B147,casostestes[#Data],6)=0,"-",VLOOKUP($B147,casostestes[#Data],6)),"-")</f>
        <v>-</v>
      </c>
      <c r="I147" s="35" t="str">
        <f>IFERROR(IF(VLOOKUP($B147,casostestes[#Data],8)=0,"-",VLOOKUP($B147,casostestes[#Data],8)),"-")</f>
        <v>-</v>
      </c>
      <c r="J147" s="35" t="str">
        <f>IFERROR(IF(VLOOKUP($B147,casostestes[#Data],9)=0,"-",VLOOKUP($B147,casostestes[#Data],9)),"-")</f>
        <v>-</v>
      </c>
      <c r="K147" s="36"/>
      <c r="L147" s="45"/>
      <c r="M147" s="37"/>
      <c r="N147" s="38"/>
      <c r="O147" s="38"/>
      <c r="P147" s="39"/>
    </row>
    <row r="148" spans="2:16">
      <c r="B148" s="40" t="str">
        <f>IF(ISERR(casostestes[[#This Row],[ID]]),"-",casostestes[[#This Row],[ID]])</f>
        <v>-</v>
      </c>
      <c r="C148" s="34" t="str">
        <f>IFERROR(IF(VLOOKUP($B148,casostestes[#Data],10)=0,"Não",VLOOKUP($B148,casostestes[#Data],10)), "-")</f>
        <v>-</v>
      </c>
      <c r="D148" s="35" t="str">
        <f>IFERROR(IF(VLOOKUP($B148,casostestes[#Data],2)=0,"-",VLOOKUP($B148,casostestes[#Data],2)), "-")</f>
        <v>-</v>
      </c>
      <c r="E148" s="35" t="str">
        <f>IFERROR(IF(VLOOKUP($B148,casostestes[#Data],3)=0,"-",VLOOKUP($B148,casostestes[#Data],3)), "-")</f>
        <v>-</v>
      </c>
      <c r="F148" s="35" t="str">
        <f>IFERROR(IF(VLOOKUP($B148,casostestes[#Data],4)=0,"-",VLOOKUP($B148,casostestes[#Data],4)),"-")</f>
        <v>-</v>
      </c>
      <c r="G148" s="35" t="str">
        <f>IFERROR(IF(VLOOKUP($B148,casostestes[#Data],5)=0,"-",VLOOKUP($B148,casostestes[#Data],5)),"-")</f>
        <v>-</v>
      </c>
      <c r="H148" s="35" t="str">
        <f>IFERROR(IF(VLOOKUP($B148,casostestes[#Data],6)=0,"-",VLOOKUP($B148,casostestes[#Data],6)),"-")</f>
        <v>-</v>
      </c>
      <c r="I148" s="35" t="str">
        <f>IFERROR(IF(VLOOKUP($B148,casostestes[#Data],8)=0,"-",VLOOKUP($B148,casostestes[#Data],8)),"-")</f>
        <v>-</v>
      </c>
      <c r="J148" s="35" t="str">
        <f>IFERROR(IF(VLOOKUP($B148,casostestes[#Data],9)=0,"-",VLOOKUP($B148,casostestes[#Data],9)),"-")</f>
        <v>-</v>
      </c>
      <c r="K148" s="36"/>
      <c r="L148" s="45"/>
      <c r="M148" s="37"/>
      <c r="N148" s="38"/>
      <c r="O148" s="38"/>
      <c r="P148" s="39"/>
    </row>
    <row r="149" spans="2:16">
      <c r="B149" s="40" t="str">
        <f>IF(ISERR(casostestes[[#This Row],[ID]]),"-",casostestes[[#This Row],[ID]])</f>
        <v>-</v>
      </c>
      <c r="C149" s="34" t="str">
        <f>IFERROR(IF(VLOOKUP($B149,casostestes[#Data],10)=0,"Não",VLOOKUP($B149,casostestes[#Data],10)), "-")</f>
        <v>-</v>
      </c>
      <c r="D149" s="35" t="str">
        <f>IFERROR(IF(VLOOKUP($B149,casostestes[#Data],2)=0,"-",VLOOKUP($B149,casostestes[#Data],2)), "-")</f>
        <v>-</v>
      </c>
      <c r="E149" s="35" t="str">
        <f>IFERROR(IF(VLOOKUP($B149,casostestes[#Data],3)=0,"-",VLOOKUP($B149,casostestes[#Data],3)), "-")</f>
        <v>-</v>
      </c>
      <c r="F149" s="35" t="str">
        <f>IFERROR(IF(VLOOKUP($B149,casostestes[#Data],4)=0,"-",VLOOKUP($B149,casostestes[#Data],4)),"-")</f>
        <v>-</v>
      </c>
      <c r="G149" s="35" t="str">
        <f>IFERROR(IF(VLOOKUP($B149,casostestes[#Data],5)=0,"-",VLOOKUP($B149,casostestes[#Data],5)),"-")</f>
        <v>-</v>
      </c>
      <c r="H149" s="35" t="str">
        <f>IFERROR(IF(VLOOKUP($B149,casostestes[#Data],6)=0,"-",VLOOKUP($B149,casostestes[#Data],6)),"-")</f>
        <v>-</v>
      </c>
      <c r="I149" s="35" t="str">
        <f>IFERROR(IF(VLOOKUP($B149,casostestes[#Data],8)=0,"-",VLOOKUP($B149,casostestes[#Data],8)),"-")</f>
        <v>-</v>
      </c>
      <c r="J149" s="35" t="str">
        <f>IFERROR(IF(VLOOKUP($B149,casostestes[#Data],9)=0,"-",VLOOKUP($B149,casostestes[#Data],9)),"-")</f>
        <v>-</v>
      </c>
      <c r="K149" s="36"/>
      <c r="L149" s="45"/>
      <c r="M149" s="37"/>
      <c r="N149" s="38"/>
      <c r="O149" s="38"/>
      <c r="P149" s="39"/>
    </row>
    <row r="150" spans="2:16">
      <c r="B150" s="40" t="str">
        <f>IF(ISERR(casostestes[[#This Row],[ID]]),"-",casostestes[[#This Row],[ID]])</f>
        <v>-</v>
      </c>
      <c r="C150" s="34" t="str">
        <f>IFERROR(IF(VLOOKUP($B150,casostestes[#Data],10)=0,"Não",VLOOKUP($B150,casostestes[#Data],10)), "-")</f>
        <v>-</v>
      </c>
      <c r="D150" s="35" t="str">
        <f>IFERROR(IF(VLOOKUP($B150,casostestes[#Data],2)=0,"-",VLOOKUP($B150,casostestes[#Data],2)), "-")</f>
        <v>-</v>
      </c>
      <c r="E150" s="35" t="str">
        <f>IFERROR(IF(VLOOKUP($B150,casostestes[#Data],3)=0,"-",VLOOKUP($B150,casostestes[#Data],3)), "-")</f>
        <v>-</v>
      </c>
      <c r="F150" s="35" t="str">
        <f>IFERROR(IF(VLOOKUP($B150,casostestes[#Data],4)=0,"-",VLOOKUP($B150,casostestes[#Data],4)),"-")</f>
        <v>-</v>
      </c>
      <c r="G150" s="35" t="str">
        <f>IFERROR(IF(VLOOKUP($B150,casostestes[#Data],5)=0,"-",VLOOKUP($B150,casostestes[#Data],5)),"-")</f>
        <v>-</v>
      </c>
      <c r="H150" s="35" t="str">
        <f>IFERROR(IF(VLOOKUP($B150,casostestes[#Data],6)=0,"-",VLOOKUP($B150,casostestes[#Data],6)),"-")</f>
        <v>-</v>
      </c>
      <c r="I150" s="35" t="str">
        <f>IFERROR(IF(VLOOKUP($B150,casostestes[#Data],8)=0,"-",VLOOKUP($B150,casostestes[#Data],8)),"-")</f>
        <v>-</v>
      </c>
      <c r="J150" s="35" t="str">
        <f>IFERROR(IF(VLOOKUP($B150,casostestes[#Data],9)=0,"-",VLOOKUP($B150,casostestes[#Data],9)),"-")</f>
        <v>-</v>
      </c>
      <c r="K150" s="36"/>
      <c r="L150" s="45"/>
      <c r="M150" s="37"/>
      <c r="N150" s="38"/>
      <c r="O150" s="38"/>
      <c r="P150" s="39"/>
    </row>
    <row r="151" spans="2:16">
      <c r="B151" s="40" t="str">
        <f>IF(ISERR(casostestes[[#This Row],[ID]]),"-",casostestes[[#This Row],[ID]])</f>
        <v>-</v>
      </c>
      <c r="C151" s="34" t="str">
        <f>IFERROR(IF(VLOOKUP($B151,casostestes[#Data],10)=0,"Não",VLOOKUP($B151,casostestes[#Data],10)), "-")</f>
        <v>-</v>
      </c>
      <c r="D151" s="35" t="str">
        <f>IFERROR(IF(VLOOKUP($B151,casostestes[#Data],2)=0,"-",VLOOKUP($B151,casostestes[#Data],2)), "-")</f>
        <v>-</v>
      </c>
      <c r="E151" s="35" t="str">
        <f>IFERROR(IF(VLOOKUP($B151,casostestes[#Data],3)=0,"-",VLOOKUP($B151,casostestes[#Data],3)), "-")</f>
        <v>-</v>
      </c>
      <c r="F151" s="35" t="str">
        <f>IFERROR(IF(VLOOKUP($B151,casostestes[#Data],4)=0,"-",VLOOKUP($B151,casostestes[#Data],4)),"-")</f>
        <v>-</v>
      </c>
      <c r="G151" s="35" t="str">
        <f>IFERROR(IF(VLOOKUP($B151,casostestes[#Data],5)=0,"-",VLOOKUP($B151,casostestes[#Data],5)),"-")</f>
        <v>-</v>
      </c>
      <c r="H151" s="35" t="str">
        <f>IFERROR(IF(VLOOKUP($B151,casostestes[#Data],6)=0,"-",VLOOKUP($B151,casostestes[#Data],6)),"-")</f>
        <v>-</v>
      </c>
      <c r="I151" s="35" t="str">
        <f>IFERROR(IF(VLOOKUP($B151,casostestes[#Data],8)=0,"-",VLOOKUP($B151,casostestes[#Data],8)),"-")</f>
        <v>-</v>
      </c>
      <c r="J151" s="35" t="str">
        <f>IFERROR(IF(VLOOKUP($B151,casostestes[#Data],9)=0,"-",VLOOKUP($B151,casostestes[#Data],9)),"-")</f>
        <v>-</v>
      </c>
      <c r="K151" s="36"/>
      <c r="L151" s="45"/>
      <c r="M151" s="37"/>
      <c r="N151" s="38"/>
      <c r="O151" s="38"/>
      <c r="P151" s="39"/>
    </row>
    <row r="152" spans="2:16">
      <c r="B152" s="40" t="str">
        <f>IF(ISERR(casostestes[[#This Row],[ID]]),"-",casostestes[[#This Row],[ID]])</f>
        <v>-</v>
      </c>
      <c r="C152" s="34" t="str">
        <f>IFERROR(IF(VLOOKUP($B152,casostestes[#Data],10)=0,"Não",VLOOKUP($B152,casostestes[#Data],10)), "-")</f>
        <v>-</v>
      </c>
      <c r="D152" s="35" t="str">
        <f>IFERROR(IF(VLOOKUP($B152,casostestes[#Data],2)=0,"-",VLOOKUP($B152,casostestes[#Data],2)), "-")</f>
        <v>-</v>
      </c>
      <c r="E152" s="35" t="str">
        <f>IFERROR(IF(VLOOKUP($B152,casostestes[#Data],3)=0,"-",VLOOKUP($B152,casostestes[#Data],3)), "-")</f>
        <v>-</v>
      </c>
      <c r="F152" s="35" t="str">
        <f>IFERROR(IF(VLOOKUP($B152,casostestes[#Data],4)=0,"-",VLOOKUP($B152,casostestes[#Data],4)),"-")</f>
        <v>-</v>
      </c>
      <c r="G152" s="35" t="str">
        <f>IFERROR(IF(VLOOKUP($B152,casostestes[#Data],5)=0,"-",VLOOKUP($B152,casostestes[#Data],5)),"-")</f>
        <v>-</v>
      </c>
      <c r="H152" s="35" t="str">
        <f>IFERROR(IF(VLOOKUP($B152,casostestes[#Data],6)=0,"-",VLOOKUP($B152,casostestes[#Data],6)),"-")</f>
        <v>-</v>
      </c>
      <c r="I152" s="35" t="str">
        <f>IFERROR(IF(VLOOKUP($B152,casostestes[#Data],8)=0,"-",VLOOKUP($B152,casostestes[#Data],8)),"-")</f>
        <v>-</v>
      </c>
      <c r="J152" s="35" t="str">
        <f>IFERROR(IF(VLOOKUP($B152,casostestes[#Data],9)=0,"-",VLOOKUP($B152,casostestes[#Data],9)),"-")</f>
        <v>-</v>
      </c>
      <c r="K152" s="36"/>
      <c r="L152" s="45"/>
      <c r="M152" s="37"/>
      <c r="N152" s="38"/>
      <c r="O152" s="38"/>
      <c r="P152" s="39"/>
    </row>
    <row r="153" spans="2:16">
      <c r="B153" s="40" t="str">
        <f>IF(ISERR(casostestes[[#This Row],[ID]]),"-",casostestes[[#This Row],[ID]])</f>
        <v>-</v>
      </c>
      <c r="C153" s="34" t="str">
        <f>IFERROR(IF(VLOOKUP($B153,casostestes[#Data],10)=0,"Não",VLOOKUP($B153,casostestes[#Data],10)), "-")</f>
        <v>-</v>
      </c>
      <c r="D153" s="35" t="str">
        <f>IFERROR(IF(VLOOKUP($B153,casostestes[#Data],2)=0,"-",VLOOKUP($B153,casostestes[#Data],2)), "-")</f>
        <v>-</v>
      </c>
      <c r="E153" s="35" t="str">
        <f>IFERROR(IF(VLOOKUP($B153,casostestes[#Data],3)=0,"-",VLOOKUP($B153,casostestes[#Data],3)), "-")</f>
        <v>-</v>
      </c>
      <c r="F153" s="35" t="str">
        <f>IFERROR(IF(VLOOKUP($B153,casostestes[#Data],4)=0,"-",VLOOKUP($B153,casostestes[#Data],4)),"-")</f>
        <v>-</v>
      </c>
      <c r="G153" s="35" t="str">
        <f>IFERROR(IF(VLOOKUP($B153,casostestes[#Data],5)=0,"-",VLOOKUP($B153,casostestes[#Data],5)),"-")</f>
        <v>-</v>
      </c>
      <c r="H153" s="35" t="str">
        <f>IFERROR(IF(VLOOKUP($B153,casostestes[#Data],6)=0,"-",VLOOKUP($B153,casostestes[#Data],6)),"-")</f>
        <v>-</v>
      </c>
      <c r="I153" s="35" t="str">
        <f>IFERROR(IF(VLOOKUP($B153,casostestes[#Data],8)=0,"-",VLOOKUP($B153,casostestes[#Data],8)),"-")</f>
        <v>-</v>
      </c>
      <c r="J153" s="35" t="str">
        <f>IFERROR(IF(VLOOKUP($B153,casostestes[#Data],9)=0,"-",VLOOKUP($B153,casostestes[#Data],9)),"-")</f>
        <v>-</v>
      </c>
      <c r="K153" s="36"/>
      <c r="L153" s="45"/>
      <c r="M153" s="37"/>
      <c r="N153" s="38"/>
      <c r="O153" s="38"/>
      <c r="P153" s="39"/>
    </row>
    <row r="154" spans="2:16">
      <c r="B154" s="40" t="str">
        <f>IF(ISERR(casostestes[[#This Row],[ID]]),"-",casostestes[[#This Row],[ID]])</f>
        <v>-</v>
      </c>
      <c r="C154" s="34" t="str">
        <f>IFERROR(IF(VLOOKUP($B154,casostestes[#Data],10)=0,"Não",VLOOKUP($B154,casostestes[#Data],10)), "-")</f>
        <v>-</v>
      </c>
      <c r="D154" s="35" t="str">
        <f>IFERROR(IF(VLOOKUP($B154,casostestes[#Data],2)=0,"-",VLOOKUP($B154,casostestes[#Data],2)), "-")</f>
        <v>-</v>
      </c>
      <c r="E154" s="35" t="str">
        <f>IFERROR(IF(VLOOKUP($B154,casostestes[#Data],3)=0,"-",VLOOKUP($B154,casostestes[#Data],3)), "-")</f>
        <v>-</v>
      </c>
      <c r="F154" s="35" t="str">
        <f>IFERROR(IF(VLOOKUP($B154,casostestes[#Data],4)=0,"-",VLOOKUP($B154,casostestes[#Data],4)),"-")</f>
        <v>-</v>
      </c>
      <c r="G154" s="35" t="str">
        <f>IFERROR(IF(VLOOKUP($B154,casostestes[#Data],5)=0,"-",VLOOKUP($B154,casostestes[#Data],5)),"-")</f>
        <v>-</v>
      </c>
      <c r="H154" s="35" t="str">
        <f>IFERROR(IF(VLOOKUP($B154,casostestes[#Data],6)=0,"-",VLOOKUP($B154,casostestes[#Data],6)),"-")</f>
        <v>-</v>
      </c>
      <c r="I154" s="35" t="str">
        <f>IFERROR(IF(VLOOKUP($B154,casostestes[#Data],8)=0,"-",VLOOKUP($B154,casostestes[#Data],8)),"-")</f>
        <v>-</v>
      </c>
      <c r="J154" s="35" t="str">
        <f>IFERROR(IF(VLOOKUP($B154,casostestes[#Data],9)=0,"-",VLOOKUP($B154,casostestes[#Data],9)),"-")</f>
        <v>-</v>
      </c>
      <c r="K154" s="36"/>
      <c r="L154" s="45"/>
      <c r="M154" s="37"/>
      <c r="N154" s="38"/>
      <c r="O154" s="38"/>
      <c r="P154" s="39"/>
    </row>
    <row r="155" spans="2:16">
      <c r="B155" s="40" t="str">
        <f>IF(ISERR(casostestes[[#This Row],[ID]]),"-",casostestes[[#This Row],[ID]])</f>
        <v>-</v>
      </c>
      <c r="C155" s="34" t="str">
        <f>IFERROR(IF(VLOOKUP($B155,casostestes[#Data],10)=0,"Não",VLOOKUP($B155,casostestes[#Data],10)), "-")</f>
        <v>-</v>
      </c>
      <c r="D155" s="35" t="str">
        <f>IFERROR(IF(VLOOKUP($B155,casostestes[#Data],2)=0,"-",VLOOKUP($B155,casostestes[#Data],2)), "-")</f>
        <v>-</v>
      </c>
      <c r="E155" s="35" t="str">
        <f>IFERROR(IF(VLOOKUP($B155,casostestes[#Data],3)=0,"-",VLOOKUP($B155,casostestes[#Data],3)), "-")</f>
        <v>-</v>
      </c>
      <c r="F155" s="35" t="str">
        <f>IFERROR(IF(VLOOKUP($B155,casostestes[#Data],4)=0,"-",VLOOKUP($B155,casostestes[#Data],4)),"-")</f>
        <v>-</v>
      </c>
      <c r="G155" s="35" t="str">
        <f>IFERROR(IF(VLOOKUP($B155,casostestes[#Data],5)=0,"-",VLOOKUP($B155,casostestes[#Data],5)),"-")</f>
        <v>-</v>
      </c>
      <c r="H155" s="35" t="str">
        <f>IFERROR(IF(VLOOKUP($B155,casostestes[#Data],6)=0,"-",VLOOKUP($B155,casostestes[#Data],6)),"-")</f>
        <v>-</v>
      </c>
      <c r="I155" s="35" t="str">
        <f>IFERROR(IF(VLOOKUP($B155,casostestes[#Data],8)=0,"-",VLOOKUP($B155,casostestes[#Data],8)),"-")</f>
        <v>-</v>
      </c>
      <c r="J155" s="35" t="str">
        <f>IFERROR(IF(VLOOKUP($B155,casostestes[#Data],9)=0,"-",VLOOKUP($B155,casostestes[#Data],9)),"-")</f>
        <v>-</v>
      </c>
      <c r="K155" s="36"/>
      <c r="L155" s="45"/>
      <c r="M155" s="37"/>
      <c r="N155" s="38"/>
      <c r="O155" s="38"/>
      <c r="P155" s="39"/>
    </row>
    <row r="156" spans="2:16">
      <c r="B156" s="40" t="str">
        <f>IF(ISERR(casostestes[[#This Row],[ID]]),"-",casostestes[[#This Row],[ID]])</f>
        <v>-</v>
      </c>
      <c r="C156" s="34" t="str">
        <f>IFERROR(IF(VLOOKUP($B156,casostestes[#Data],10)=0,"Não",VLOOKUP($B156,casostestes[#Data],10)), "-")</f>
        <v>-</v>
      </c>
      <c r="D156" s="35" t="str">
        <f>IFERROR(IF(VLOOKUP($B156,casostestes[#Data],2)=0,"-",VLOOKUP($B156,casostestes[#Data],2)), "-")</f>
        <v>-</v>
      </c>
      <c r="E156" s="35" t="str">
        <f>IFERROR(IF(VLOOKUP($B156,casostestes[#Data],3)=0,"-",VLOOKUP($B156,casostestes[#Data],3)), "-")</f>
        <v>-</v>
      </c>
      <c r="F156" s="35" t="str">
        <f>IFERROR(IF(VLOOKUP($B156,casostestes[#Data],4)=0,"-",VLOOKUP($B156,casostestes[#Data],4)),"-")</f>
        <v>-</v>
      </c>
      <c r="G156" s="35" t="str">
        <f>IFERROR(IF(VLOOKUP($B156,casostestes[#Data],5)=0,"-",VLOOKUP($B156,casostestes[#Data],5)),"-")</f>
        <v>-</v>
      </c>
      <c r="H156" s="35" t="str">
        <f>IFERROR(IF(VLOOKUP($B156,casostestes[#Data],6)=0,"-",VLOOKUP($B156,casostestes[#Data],6)),"-")</f>
        <v>-</v>
      </c>
      <c r="I156" s="35" t="str">
        <f>IFERROR(IF(VLOOKUP($B156,casostestes[#Data],8)=0,"-",VLOOKUP($B156,casostestes[#Data],8)),"-")</f>
        <v>-</v>
      </c>
      <c r="J156" s="35" t="str">
        <f>IFERROR(IF(VLOOKUP($B156,casostestes[#Data],9)=0,"-",VLOOKUP($B156,casostestes[#Data],9)),"-")</f>
        <v>-</v>
      </c>
      <c r="K156" s="36"/>
      <c r="L156" s="45"/>
      <c r="M156" s="37"/>
      <c r="N156" s="38"/>
      <c r="O156" s="38"/>
      <c r="P156" s="39"/>
    </row>
    <row r="157" spans="2:16">
      <c r="B157" s="40" t="str">
        <f>IF(ISERR(casostestes[[#This Row],[ID]]),"-",casostestes[[#This Row],[ID]])</f>
        <v>-</v>
      </c>
      <c r="C157" s="34" t="str">
        <f>IFERROR(IF(VLOOKUP($B157,casostestes[#Data],10)=0,"Não",VLOOKUP($B157,casostestes[#Data],10)), "-")</f>
        <v>-</v>
      </c>
      <c r="D157" s="35" t="str">
        <f>IFERROR(IF(VLOOKUP($B157,casostestes[#Data],2)=0,"-",VLOOKUP($B157,casostestes[#Data],2)), "-")</f>
        <v>-</v>
      </c>
      <c r="E157" s="35" t="str">
        <f>IFERROR(IF(VLOOKUP($B157,casostestes[#Data],3)=0,"-",VLOOKUP($B157,casostestes[#Data],3)), "-")</f>
        <v>-</v>
      </c>
      <c r="F157" s="35" t="str">
        <f>IFERROR(IF(VLOOKUP($B157,casostestes[#Data],4)=0,"-",VLOOKUP($B157,casostestes[#Data],4)),"-")</f>
        <v>-</v>
      </c>
      <c r="G157" s="35" t="str">
        <f>IFERROR(IF(VLOOKUP($B157,casostestes[#Data],5)=0,"-",VLOOKUP($B157,casostestes[#Data],5)),"-")</f>
        <v>-</v>
      </c>
      <c r="H157" s="35" t="str">
        <f>IFERROR(IF(VLOOKUP($B157,casostestes[#Data],6)=0,"-",VLOOKUP($B157,casostestes[#Data],6)),"-")</f>
        <v>-</v>
      </c>
      <c r="I157" s="35" t="str">
        <f>IFERROR(IF(VLOOKUP($B157,casostestes[#Data],8)=0,"-",VLOOKUP($B157,casostestes[#Data],8)),"-")</f>
        <v>-</v>
      </c>
      <c r="J157" s="35" t="str">
        <f>IFERROR(IF(VLOOKUP($B157,casostestes[#Data],9)=0,"-",VLOOKUP($B157,casostestes[#Data],9)),"-")</f>
        <v>-</v>
      </c>
      <c r="K157" s="36"/>
      <c r="L157" s="45"/>
      <c r="M157" s="37"/>
      <c r="N157" s="38"/>
      <c r="O157" s="38"/>
      <c r="P157" s="39"/>
    </row>
    <row r="158" spans="2:16">
      <c r="B158" s="40" t="str">
        <f>IF(ISERR(casostestes[[#This Row],[ID]]),"-",casostestes[[#This Row],[ID]])</f>
        <v>-</v>
      </c>
      <c r="C158" s="34" t="str">
        <f>IFERROR(IF(VLOOKUP($B158,casostestes[#Data],10)=0,"Não",VLOOKUP($B158,casostestes[#Data],10)), "-")</f>
        <v>-</v>
      </c>
      <c r="D158" s="35" t="str">
        <f>IFERROR(IF(VLOOKUP($B158,casostestes[#Data],2)=0,"-",VLOOKUP($B158,casostestes[#Data],2)), "-")</f>
        <v>-</v>
      </c>
      <c r="E158" s="35" t="str">
        <f>IFERROR(IF(VLOOKUP($B158,casostestes[#Data],3)=0,"-",VLOOKUP($B158,casostestes[#Data],3)), "-")</f>
        <v>-</v>
      </c>
      <c r="F158" s="35" t="str">
        <f>IFERROR(IF(VLOOKUP($B158,casostestes[#Data],4)=0,"-",VLOOKUP($B158,casostestes[#Data],4)),"-")</f>
        <v>-</v>
      </c>
      <c r="G158" s="35" t="str">
        <f>IFERROR(IF(VLOOKUP($B158,casostestes[#Data],5)=0,"-",VLOOKUP($B158,casostestes[#Data],5)),"-")</f>
        <v>-</v>
      </c>
      <c r="H158" s="35" t="str">
        <f>IFERROR(IF(VLOOKUP($B158,casostestes[#Data],6)=0,"-",VLOOKUP($B158,casostestes[#Data],6)),"-")</f>
        <v>-</v>
      </c>
      <c r="I158" s="35" t="str">
        <f>IFERROR(IF(VLOOKUP($B158,casostestes[#Data],8)=0,"-",VLOOKUP($B158,casostestes[#Data],8)),"-")</f>
        <v>-</v>
      </c>
      <c r="J158" s="35" t="str">
        <f>IFERROR(IF(VLOOKUP($B158,casostestes[#Data],9)=0,"-",VLOOKUP($B158,casostestes[#Data],9)),"-")</f>
        <v>-</v>
      </c>
      <c r="K158" s="36"/>
      <c r="L158" s="45"/>
      <c r="M158" s="37"/>
      <c r="N158" s="38"/>
      <c r="O158" s="38"/>
      <c r="P158" s="39"/>
    </row>
    <row r="159" spans="2:16">
      <c r="B159" s="40" t="str">
        <f>IF(ISERR(casostestes[[#This Row],[ID]]),"-",casostestes[[#This Row],[ID]])</f>
        <v>-</v>
      </c>
      <c r="C159" s="34" t="str">
        <f>IFERROR(IF(VLOOKUP($B159,casostestes[#Data],10)=0,"Não",VLOOKUP($B159,casostestes[#Data],10)), "-")</f>
        <v>-</v>
      </c>
      <c r="D159" s="35" t="str">
        <f>IFERROR(IF(VLOOKUP($B159,casostestes[#Data],2)=0,"-",VLOOKUP($B159,casostestes[#Data],2)), "-")</f>
        <v>-</v>
      </c>
      <c r="E159" s="35" t="str">
        <f>IFERROR(IF(VLOOKUP($B159,casostestes[#Data],3)=0,"-",VLOOKUP($B159,casostestes[#Data],3)), "-")</f>
        <v>-</v>
      </c>
      <c r="F159" s="35" t="str">
        <f>IFERROR(IF(VLOOKUP($B159,casostestes[#Data],4)=0,"-",VLOOKUP($B159,casostestes[#Data],4)),"-")</f>
        <v>-</v>
      </c>
      <c r="G159" s="35" t="str">
        <f>IFERROR(IF(VLOOKUP($B159,casostestes[#Data],5)=0,"-",VLOOKUP($B159,casostestes[#Data],5)),"-")</f>
        <v>-</v>
      </c>
      <c r="H159" s="35" t="str">
        <f>IFERROR(IF(VLOOKUP($B159,casostestes[#Data],6)=0,"-",VLOOKUP($B159,casostestes[#Data],6)),"-")</f>
        <v>-</v>
      </c>
      <c r="I159" s="35" t="str">
        <f>IFERROR(IF(VLOOKUP($B159,casostestes[#Data],8)=0,"-",VLOOKUP($B159,casostestes[#Data],8)),"-")</f>
        <v>-</v>
      </c>
      <c r="J159" s="35" t="str">
        <f>IFERROR(IF(VLOOKUP($B159,casostestes[#Data],9)=0,"-",VLOOKUP($B159,casostestes[#Data],9)),"-")</f>
        <v>-</v>
      </c>
      <c r="K159" s="36"/>
      <c r="L159" s="45"/>
      <c r="M159" s="37"/>
      <c r="N159" s="38"/>
      <c r="O159" s="38"/>
      <c r="P159" s="39"/>
    </row>
    <row r="160" spans="2:16">
      <c r="B160" s="40" t="str">
        <f>IF(ISERR(casostestes[[#This Row],[ID]]),"-",casostestes[[#This Row],[ID]])</f>
        <v>-</v>
      </c>
      <c r="C160" s="34" t="str">
        <f>IFERROR(IF(VLOOKUP($B160,casostestes[#Data],10)=0,"Não",VLOOKUP($B160,casostestes[#Data],10)), "-")</f>
        <v>-</v>
      </c>
      <c r="D160" s="35" t="str">
        <f>IFERROR(IF(VLOOKUP($B160,casostestes[#Data],2)=0,"-",VLOOKUP($B160,casostestes[#Data],2)), "-")</f>
        <v>-</v>
      </c>
      <c r="E160" s="35" t="str">
        <f>IFERROR(IF(VLOOKUP($B160,casostestes[#Data],3)=0,"-",VLOOKUP($B160,casostestes[#Data],3)), "-")</f>
        <v>-</v>
      </c>
      <c r="F160" s="35" t="str">
        <f>IFERROR(IF(VLOOKUP($B160,casostestes[#Data],4)=0,"-",VLOOKUP($B160,casostestes[#Data],4)),"-")</f>
        <v>-</v>
      </c>
      <c r="G160" s="35" t="str">
        <f>IFERROR(IF(VLOOKUP($B160,casostestes[#Data],5)=0,"-",VLOOKUP($B160,casostestes[#Data],5)),"-")</f>
        <v>-</v>
      </c>
      <c r="H160" s="35" t="str">
        <f>IFERROR(IF(VLOOKUP($B160,casostestes[#Data],6)=0,"-",VLOOKUP($B160,casostestes[#Data],6)),"-")</f>
        <v>-</v>
      </c>
      <c r="I160" s="35" t="str">
        <f>IFERROR(IF(VLOOKUP($B160,casostestes[#Data],8)=0,"-",VLOOKUP($B160,casostestes[#Data],8)),"-")</f>
        <v>-</v>
      </c>
      <c r="J160" s="35" t="str">
        <f>IFERROR(IF(VLOOKUP($B160,casostestes[#Data],9)=0,"-",VLOOKUP($B160,casostestes[#Data],9)),"-")</f>
        <v>-</v>
      </c>
      <c r="K160" s="36"/>
      <c r="L160" s="45"/>
      <c r="M160" s="37"/>
      <c r="N160" s="38"/>
      <c r="O160" s="38"/>
      <c r="P160" s="39"/>
    </row>
    <row r="161" spans="2:16">
      <c r="B161" s="40" t="str">
        <f>IF(ISERR(casostestes[[#This Row],[ID]]),"-",casostestes[[#This Row],[ID]])</f>
        <v>-</v>
      </c>
      <c r="C161" s="34" t="str">
        <f>IFERROR(IF(VLOOKUP($B161,casostestes[#Data],10)=0,"Não",VLOOKUP($B161,casostestes[#Data],10)), "-")</f>
        <v>-</v>
      </c>
      <c r="D161" s="35" t="str">
        <f>IFERROR(IF(VLOOKUP($B161,casostestes[#Data],2)=0,"-",VLOOKUP($B161,casostestes[#Data],2)), "-")</f>
        <v>-</v>
      </c>
      <c r="E161" s="35" t="str">
        <f>IFERROR(IF(VLOOKUP($B161,casostestes[#Data],3)=0,"-",VLOOKUP($B161,casostestes[#Data],3)), "-")</f>
        <v>-</v>
      </c>
      <c r="F161" s="35" t="str">
        <f>IFERROR(IF(VLOOKUP($B161,casostestes[#Data],4)=0,"-",VLOOKUP($B161,casostestes[#Data],4)),"-")</f>
        <v>-</v>
      </c>
      <c r="G161" s="35" t="str">
        <f>IFERROR(IF(VLOOKUP($B161,casostestes[#Data],5)=0,"-",VLOOKUP($B161,casostestes[#Data],5)),"-")</f>
        <v>-</v>
      </c>
      <c r="H161" s="35" t="str">
        <f>IFERROR(IF(VLOOKUP($B161,casostestes[#Data],6)=0,"-",VLOOKUP($B161,casostestes[#Data],6)),"-")</f>
        <v>-</v>
      </c>
      <c r="I161" s="35" t="str">
        <f>IFERROR(IF(VLOOKUP($B161,casostestes[#Data],8)=0,"-",VLOOKUP($B161,casostestes[#Data],8)),"-")</f>
        <v>-</v>
      </c>
      <c r="J161" s="35" t="str">
        <f>IFERROR(IF(VLOOKUP($B161,casostestes[#Data],9)=0,"-",VLOOKUP($B161,casostestes[#Data],9)),"-")</f>
        <v>-</v>
      </c>
      <c r="K161" s="36"/>
      <c r="L161" s="45"/>
      <c r="M161" s="37"/>
      <c r="N161" s="38"/>
      <c r="O161" s="38"/>
      <c r="P161" s="39"/>
    </row>
    <row r="162" spans="2:16">
      <c r="B162" s="40" t="str">
        <f>IF(ISERR(casostestes[[#This Row],[ID]]),"-",casostestes[[#This Row],[ID]])</f>
        <v>-</v>
      </c>
      <c r="C162" s="34" t="str">
        <f>IFERROR(IF(VLOOKUP($B162,casostestes[#Data],10)=0,"Não",VLOOKUP($B162,casostestes[#Data],10)), "-")</f>
        <v>-</v>
      </c>
      <c r="D162" s="35" t="str">
        <f>IFERROR(IF(VLOOKUP($B162,casostestes[#Data],2)=0,"-",VLOOKUP($B162,casostestes[#Data],2)), "-")</f>
        <v>-</v>
      </c>
      <c r="E162" s="35" t="str">
        <f>IFERROR(IF(VLOOKUP($B162,casostestes[#Data],3)=0,"-",VLOOKUP($B162,casostestes[#Data],3)), "-")</f>
        <v>-</v>
      </c>
      <c r="F162" s="35" t="str">
        <f>IFERROR(IF(VLOOKUP($B162,casostestes[#Data],4)=0,"-",VLOOKUP($B162,casostestes[#Data],4)),"-")</f>
        <v>-</v>
      </c>
      <c r="G162" s="35" t="str">
        <f>IFERROR(IF(VLOOKUP($B162,casostestes[#Data],5)=0,"-",VLOOKUP($B162,casostestes[#Data],5)),"-")</f>
        <v>-</v>
      </c>
      <c r="H162" s="35" t="str">
        <f>IFERROR(IF(VLOOKUP($B162,casostestes[#Data],6)=0,"-",VLOOKUP($B162,casostestes[#Data],6)),"-")</f>
        <v>-</v>
      </c>
      <c r="I162" s="35" t="str">
        <f>IFERROR(IF(VLOOKUP($B162,casostestes[#Data],8)=0,"-",VLOOKUP($B162,casostestes[#Data],8)),"-")</f>
        <v>-</v>
      </c>
      <c r="J162" s="35" t="str">
        <f>IFERROR(IF(VLOOKUP($B162,casostestes[#Data],9)=0,"-",VLOOKUP($B162,casostestes[#Data],9)),"-")</f>
        <v>-</v>
      </c>
      <c r="K162" s="36"/>
      <c r="L162" s="45"/>
      <c r="M162" s="37"/>
      <c r="N162" s="38"/>
      <c r="O162" s="38"/>
      <c r="P162" s="39"/>
    </row>
    <row r="163" spans="2:16">
      <c r="B163" s="40" t="str">
        <f>IF(ISERR(casostestes[[#This Row],[ID]]),"-",casostestes[[#This Row],[ID]])</f>
        <v>-</v>
      </c>
      <c r="C163" s="34" t="str">
        <f>IFERROR(IF(VLOOKUP($B163,casostestes[#Data],10)=0,"Não",VLOOKUP($B163,casostestes[#Data],10)), "-")</f>
        <v>-</v>
      </c>
      <c r="D163" s="35" t="str">
        <f>IFERROR(IF(VLOOKUP($B163,casostestes[#Data],2)=0,"-",VLOOKUP($B163,casostestes[#Data],2)), "-")</f>
        <v>-</v>
      </c>
      <c r="E163" s="35" t="str">
        <f>IFERROR(IF(VLOOKUP($B163,casostestes[#Data],3)=0,"-",VLOOKUP($B163,casostestes[#Data],3)), "-")</f>
        <v>-</v>
      </c>
      <c r="F163" s="35" t="str">
        <f>IFERROR(IF(VLOOKUP($B163,casostestes[#Data],4)=0,"-",VLOOKUP($B163,casostestes[#Data],4)),"-")</f>
        <v>-</v>
      </c>
      <c r="G163" s="35" t="str">
        <f>IFERROR(IF(VLOOKUP($B163,casostestes[#Data],5)=0,"-",VLOOKUP($B163,casostestes[#Data],5)),"-")</f>
        <v>-</v>
      </c>
      <c r="H163" s="35" t="str">
        <f>IFERROR(IF(VLOOKUP($B163,casostestes[#Data],6)=0,"-",VLOOKUP($B163,casostestes[#Data],6)),"-")</f>
        <v>-</v>
      </c>
      <c r="I163" s="35" t="str">
        <f>IFERROR(IF(VLOOKUP($B163,casostestes[#Data],8)=0,"-",VLOOKUP($B163,casostestes[#Data],8)),"-")</f>
        <v>-</v>
      </c>
      <c r="J163" s="35" t="str">
        <f>IFERROR(IF(VLOOKUP($B163,casostestes[#Data],9)=0,"-",VLOOKUP($B163,casostestes[#Data],9)),"-")</f>
        <v>-</v>
      </c>
      <c r="K163" s="36"/>
      <c r="L163" s="45"/>
      <c r="M163" s="37"/>
      <c r="N163" s="38"/>
      <c r="O163" s="38"/>
      <c r="P163" s="39"/>
    </row>
    <row r="164" spans="2:16">
      <c r="B164" s="40" t="str">
        <f>IF(ISERR(casostestes[[#This Row],[ID]]),"-",casostestes[[#This Row],[ID]])</f>
        <v>-</v>
      </c>
      <c r="C164" s="34" t="str">
        <f>IFERROR(IF(VLOOKUP($B164,casostestes[#Data],10)=0,"Não",VLOOKUP($B164,casostestes[#Data],10)), "-")</f>
        <v>-</v>
      </c>
      <c r="D164" s="35" t="str">
        <f>IFERROR(IF(VLOOKUP($B164,casostestes[#Data],2)=0,"-",VLOOKUP($B164,casostestes[#Data],2)), "-")</f>
        <v>-</v>
      </c>
      <c r="E164" s="35" t="str">
        <f>IFERROR(IF(VLOOKUP($B164,casostestes[#Data],3)=0,"-",VLOOKUP($B164,casostestes[#Data],3)), "-")</f>
        <v>-</v>
      </c>
      <c r="F164" s="35" t="str">
        <f>IFERROR(IF(VLOOKUP($B164,casostestes[#Data],4)=0,"-",VLOOKUP($B164,casostestes[#Data],4)),"-")</f>
        <v>-</v>
      </c>
      <c r="G164" s="35" t="str">
        <f>IFERROR(IF(VLOOKUP($B164,casostestes[#Data],5)=0,"-",VLOOKUP($B164,casostestes[#Data],5)),"-")</f>
        <v>-</v>
      </c>
      <c r="H164" s="35" t="str">
        <f>IFERROR(IF(VLOOKUP($B164,casostestes[#Data],6)=0,"-",VLOOKUP($B164,casostestes[#Data],6)),"-")</f>
        <v>-</v>
      </c>
      <c r="I164" s="35" t="str">
        <f>IFERROR(IF(VLOOKUP($B164,casostestes[#Data],8)=0,"-",VLOOKUP($B164,casostestes[#Data],8)),"-")</f>
        <v>-</v>
      </c>
      <c r="J164" s="35" t="str">
        <f>IFERROR(IF(VLOOKUP($B164,casostestes[#Data],9)=0,"-",VLOOKUP($B164,casostestes[#Data],9)),"-")</f>
        <v>-</v>
      </c>
      <c r="K164" s="36"/>
      <c r="L164" s="45"/>
      <c r="M164" s="37"/>
      <c r="N164" s="38"/>
      <c r="O164" s="38"/>
      <c r="P164" s="39"/>
    </row>
    <row r="165" spans="2:16">
      <c r="B165" s="40" t="str">
        <f>IF(ISERR(casostestes[[#This Row],[ID]]),"-",casostestes[[#This Row],[ID]])</f>
        <v>-</v>
      </c>
      <c r="C165" s="34" t="str">
        <f>IFERROR(IF(VLOOKUP($B165,casostestes[#Data],10)=0,"Não",VLOOKUP($B165,casostestes[#Data],10)), "-")</f>
        <v>-</v>
      </c>
      <c r="D165" s="35" t="str">
        <f>IFERROR(IF(VLOOKUP($B165,casostestes[#Data],2)=0,"-",VLOOKUP($B165,casostestes[#Data],2)), "-")</f>
        <v>-</v>
      </c>
      <c r="E165" s="35" t="str">
        <f>IFERROR(IF(VLOOKUP($B165,casostestes[#Data],3)=0,"-",VLOOKUP($B165,casostestes[#Data],3)), "-")</f>
        <v>-</v>
      </c>
      <c r="F165" s="35" t="str">
        <f>IFERROR(IF(VLOOKUP($B165,casostestes[#Data],4)=0,"-",VLOOKUP($B165,casostestes[#Data],4)),"-")</f>
        <v>-</v>
      </c>
      <c r="G165" s="35" t="str">
        <f>IFERROR(IF(VLOOKUP($B165,casostestes[#Data],5)=0,"-",VLOOKUP($B165,casostestes[#Data],5)),"-")</f>
        <v>-</v>
      </c>
      <c r="H165" s="35" t="str">
        <f>IFERROR(IF(VLOOKUP($B165,casostestes[#Data],6)=0,"-",VLOOKUP($B165,casostestes[#Data],6)),"-")</f>
        <v>-</v>
      </c>
      <c r="I165" s="35" t="str">
        <f>IFERROR(IF(VLOOKUP($B165,casostestes[#Data],8)=0,"-",VLOOKUP($B165,casostestes[#Data],8)),"-")</f>
        <v>-</v>
      </c>
      <c r="J165" s="35" t="str">
        <f>IFERROR(IF(VLOOKUP($B165,casostestes[#Data],9)=0,"-",VLOOKUP($B165,casostestes[#Data],9)),"-")</f>
        <v>-</v>
      </c>
      <c r="K165" s="36"/>
      <c r="L165" s="45"/>
      <c r="M165" s="37"/>
      <c r="N165" s="38"/>
      <c r="O165" s="38"/>
      <c r="P165" s="39"/>
    </row>
    <row r="166" spans="2:16">
      <c r="B166" s="40" t="str">
        <f>IF(ISERR(casostestes[[#This Row],[ID]]),"-",casostestes[[#This Row],[ID]])</f>
        <v>-</v>
      </c>
      <c r="C166" s="34" t="str">
        <f>IFERROR(IF(VLOOKUP($B166,casostestes[#Data],10)=0,"Não",VLOOKUP($B166,casostestes[#Data],10)), "-")</f>
        <v>-</v>
      </c>
      <c r="D166" s="35" t="str">
        <f>IFERROR(IF(VLOOKUP($B166,casostestes[#Data],2)=0,"-",VLOOKUP($B166,casostestes[#Data],2)), "-")</f>
        <v>-</v>
      </c>
      <c r="E166" s="35" t="str">
        <f>IFERROR(IF(VLOOKUP($B166,casostestes[#Data],3)=0,"-",VLOOKUP($B166,casostestes[#Data],3)), "-")</f>
        <v>-</v>
      </c>
      <c r="F166" s="35" t="str">
        <f>IFERROR(IF(VLOOKUP($B166,casostestes[#Data],4)=0,"-",VLOOKUP($B166,casostestes[#Data],4)),"-")</f>
        <v>-</v>
      </c>
      <c r="G166" s="35" t="str">
        <f>IFERROR(IF(VLOOKUP($B166,casostestes[#Data],5)=0,"-",VLOOKUP($B166,casostestes[#Data],5)),"-")</f>
        <v>-</v>
      </c>
      <c r="H166" s="35" t="str">
        <f>IFERROR(IF(VLOOKUP($B166,casostestes[#Data],6)=0,"-",VLOOKUP($B166,casostestes[#Data],6)),"-")</f>
        <v>-</v>
      </c>
      <c r="I166" s="35" t="str">
        <f>IFERROR(IF(VLOOKUP($B166,casostestes[#Data],8)=0,"-",VLOOKUP($B166,casostestes[#Data],8)),"-")</f>
        <v>-</v>
      </c>
      <c r="J166" s="35" t="str">
        <f>IFERROR(IF(VLOOKUP($B166,casostestes[#Data],9)=0,"-",VLOOKUP($B166,casostestes[#Data],9)),"-")</f>
        <v>-</v>
      </c>
      <c r="K166" s="36"/>
      <c r="L166" s="45"/>
      <c r="M166" s="37"/>
      <c r="N166" s="38"/>
      <c r="O166" s="38"/>
      <c r="P166" s="39"/>
    </row>
    <row r="167" spans="2:16">
      <c r="B167" s="40" t="str">
        <f>IF(ISERR(casostestes[[#This Row],[ID]]),"-",casostestes[[#This Row],[ID]])</f>
        <v>-</v>
      </c>
      <c r="C167" s="34" t="str">
        <f>IFERROR(IF(VLOOKUP($B167,casostestes[#Data],10)=0,"Não",VLOOKUP($B167,casostestes[#Data],10)), "-")</f>
        <v>-</v>
      </c>
      <c r="D167" s="35" t="str">
        <f>IFERROR(IF(VLOOKUP($B167,casostestes[#Data],2)=0,"-",VLOOKUP($B167,casostestes[#Data],2)), "-")</f>
        <v>-</v>
      </c>
      <c r="E167" s="35" t="str">
        <f>IFERROR(IF(VLOOKUP($B167,casostestes[#Data],3)=0,"-",VLOOKUP($B167,casostestes[#Data],3)), "-")</f>
        <v>-</v>
      </c>
      <c r="F167" s="35" t="str">
        <f>IFERROR(IF(VLOOKUP($B167,casostestes[#Data],4)=0,"-",VLOOKUP($B167,casostestes[#Data],4)),"-")</f>
        <v>-</v>
      </c>
      <c r="G167" s="35" t="str">
        <f>IFERROR(IF(VLOOKUP($B167,casostestes[#Data],5)=0,"-",VLOOKUP($B167,casostestes[#Data],5)),"-")</f>
        <v>-</v>
      </c>
      <c r="H167" s="35" t="str">
        <f>IFERROR(IF(VLOOKUP($B167,casostestes[#Data],6)=0,"-",VLOOKUP($B167,casostestes[#Data],6)),"-")</f>
        <v>-</v>
      </c>
      <c r="I167" s="35" t="str">
        <f>IFERROR(IF(VLOOKUP($B167,casostestes[#Data],8)=0,"-",VLOOKUP($B167,casostestes[#Data],8)),"-")</f>
        <v>-</v>
      </c>
      <c r="J167" s="35" t="str">
        <f>IFERROR(IF(VLOOKUP($B167,casostestes[#Data],9)=0,"-",VLOOKUP($B167,casostestes[#Data],9)),"-")</f>
        <v>-</v>
      </c>
      <c r="K167" s="36"/>
      <c r="L167" s="45"/>
      <c r="M167" s="37"/>
      <c r="N167" s="38"/>
      <c r="O167" s="38"/>
      <c r="P167" s="39"/>
    </row>
    <row r="168" spans="2:16">
      <c r="B168" s="40" t="str">
        <f>IF(ISERR(casostestes[[#This Row],[ID]]),"-",casostestes[[#This Row],[ID]])</f>
        <v>-</v>
      </c>
      <c r="C168" s="34" t="str">
        <f>IFERROR(IF(VLOOKUP($B168,casostestes[#Data],10)=0,"Não",VLOOKUP($B168,casostestes[#Data],10)), "-")</f>
        <v>-</v>
      </c>
      <c r="D168" s="35" t="str">
        <f>IFERROR(IF(VLOOKUP($B168,casostestes[#Data],2)=0,"-",VLOOKUP($B168,casostestes[#Data],2)), "-")</f>
        <v>-</v>
      </c>
      <c r="E168" s="35" t="str">
        <f>IFERROR(IF(VLOOKUP($B168,casostestes[#Data],3)=0,"-",VLOOKUP($B168,casostestes[#Data],3)), "-")</f>
        <v>-</v>
      </c>
      <c r="F168" s="35" t="str">
        <f>IFERROR(IF(VLOOKUP($B168,casostestes[#Data],4)=0,"-",VLOOKUP($B168,casostestes[#Data],4)),"-")</f>
        <v>-</v>
      </c>
      <c r="G168" s="35" t="str">
        <f>IFERROR(IF(VLOOKUP($B168,casostestes[#Data],5)=0,"-",VLOOKUP($B168,casostestes[#Data],5)),"-")</f>
        <v>-</v>
      </c>
      <c r="H168" s="35" t="str">
        <f>IFERROR(IF(VLOOKUP($B168,casostestes[#Data],6)=0,"-",VLOOKUP($B168,casostestes[#Data],6)),"-")</f>
        <v>-</v>
      </c>
      <c r="I168" s="35" t="str">
        <f>IFERROR(IF(VLOOKUP($B168,casostestes[#Data],8)=0,"-",VLOOKUP($B168,casostestes[#Data],8)),"-")</f>
        <v>-</v>
      </c>
      <c r="J168" s="35" t="str">
        <f>IFERROR(IF(VLOOKUP($B168,casostestes[#Data],9)=0,"-",VLOOKUP($B168,casostestes[#Data],9)),"-")</f>
        <v>-</v>
      </c>
      <c r="K168" s="36"/>
      <c r="L168" s="45"/>
      <c r="M168" s="37"/>
      <c r="N168" s="38"/>
      <c r="O168" s="38"/>
      <c r="P168" s="39"/>
    </row>
    <row r="169" spans="2:16">
      <c r="B169" s="40" t="str">
        <f>IF(ISERR(casostestes[[#This Row],[ID]]),"-",casostestes[[#This Row],[ID]])</f>
        <v>-</v>
      </c>
      <c r="C169" s="34" t="str">
        <f>IFERROR(IF(VLOOKUP($B169,casostestes[#Data],10)=0,"Não",VLOOKUP($B169,casostestes[#Data],10)), "-")</f>
        <v>-</v>
      </c>
      <c r="D169" s="35" t="str">
        <f>IFERROR(IF(VLOOKUP($B169,casostestes[#Data],2)=0,"-",VLOOKUP($B169,casostestes[#Data],2)), "-")</f>
        <v>-</v>
      </c>
      <c r="E169" s="35" t="str">
        <f>IFERROR(IF(VLOOKUP($B169,casostestes[#Data],3)=0,"-",VLOOKUP($B169,casostestes[#Data],3)), "-")</f>
        <v>-</v>
      </c>
      <c r="F169" s="35" t="str">
        <f>IFERROR(IF(VLOOKUP($B169,casostestes[#Data],4)=0,"-",VLOOKUP($B169,casostestes[#Data],4)),"-")</f>
        <v>-</v>
      </c>
      <c r="G169" s="35" t="str">
        <f>IFERROR(IF(VLOOKUP($B169,casostestes[#Data],5)=0,"-",VLOOKUP($B169,casostestes[#Data],5)),"-")</f>
        <v>-</v>
      </c>
      <c r="H169" s="35" t="str">
        <f>IFERROR(IF(VLOOKUP($B169,casostestes[#Data],6)=0,"-",VLOOKUP($B169,casostestes[#Data],6)),"-")</f>
        <v>-</v>
      </c>
      <c r="I169" s="35" t="str">
        <f>IFERROR(IF(VLOOKUP($B169,casostestes[#Data],8)=0,"-",VLOOKUP($B169,casostestes[#Data],8)),"-")</f>
        <v>-</v>
      </c>
      <c r="J169" s="35" t="str">
        <f>IFERROR(IF(VLOOKUP($B169,casostestes[#Data],9)=0,"-",VLOOKUP($B169,casostestes[#Data],9)),"-")</f>
        <v>-</v>
      </c>
      <c r="K169" s="36"/>
      <c r="L169" s="45"/>
      <c r="M169" s="37"/>
      <c r="N169" s="38"/>
      <c r="O169" s="38"/>
      <c r="P169" s="39"/>
    </row>
    <row r="170" spans="2:16">
      <c r="B170" s="40" t="str">
        <f>IF(ISERR(casostestes[[#This Row],[ID]]),"-",casostestes[[#This Row],[ID]])</f>
        <v>-</v>
      </c>
      <c r="C170" s="34" t="str">
        <f>IFERROR(IF(VLOOKUP($B170,casostestes[#Data],10)=0,"Não",VLOOKUP($B170,casostestes[#Data],10)), "-")</f>
        <v>-</v>
      </c>
      <c r="D170" s="35" t="str">
        <f>IFERROR(IF(VLOOKUP($B170,casostestes[#Data],2)=0,"-",VLOOKUP($B170,casostestes[#Data],2)), "-")</f>
        <v>-</v>
      </c>
      <c r="E170" s="35" t="str">
        <f>IFERROR(IF(VLOOKUP($B170,casostestes[#Data],3)=0,"-",VLOOKUP($B170,casostestes[#Data],3)), "-")</f>
        <v>-</v>
      </c>
      <c r="F170" s="35" t="str">
        <f>IFERROR(IF(VLOOKUP($B170,casostestes[#Data],4)=0,"-",VLOOKUP($B170,casostestes[#Data],4)),"-")</f>
        <v>-</v>
      </c>
      <c r="G170" s="35" t="str">
        <f>IFERROR(IF(VLOOKUP($B170,casostestes[#Data],5)=0,"-",VLOOKUP($B170,casostestes[#Data],5)),"-")</f>
        <v>-</v>
      </c>
      <c r="H170" s="35" t="str">
        <f>IFERROR(IF(VLOOKUP($B170,casostestes[#Data],6)=0,"-",VLOOKUP($B170,casostestes[#Data],6)),"-")</f>
        <v>-</v>
      </c>
      <c r="I170" s="35" t="str">
        <f>IFERROR(IF(VLOOKUP($B170,casostestes[#Data],8)=0,"-",VLOOKUP($B170,casostestes[#Data],8)),"-")</f>
        <v>-</v>
      </c>
      <c r="J170" s="35" t="str">
        <f>IFERROR(IF(VLOOKUP($B170,casostestes[#Data],9)=0,"-",VLOOKUP($B170,casostestes[#Data],9)),"-")</f>
        <v>-</v>
      </c>
      <c r="K170" s="36"/>
      <c r="L170" s="45"/>
      <c r="M170" s="37"/>
      <c r="N170" s="38"/>
      <c r="O170" s="38"/>
      <c r="P170" s="39"/>
    </row>
    <row r="171" spans="2:16">
      <c r="B171" s="40" t="str">
        <f>IF(ISERR(casostestes[[#This Row],[ID]]),"-",casostestes[[#This Row],[ID]])</f>
        <v>-</v>
      </c>
      <c r="C171" s="34" t="str">
        <f>IFERROR(IF(VLOOKUP($B171,casostestes[#Data],10)=0,"Não",VLOOKUP($B171,casostestes[#Data],10)), "-")</f>
        <v>-</v>
      </c>
      <c r="D171" s="35" t="str">
        <f>IFERROR(IF(VLOOKUP($B171,casostestes[#Data],2)=0,"-",VLOOKUP($B171,casostestes[#Data],2)), "-")</f>
        <v>-</v>
      </c>
      <c r="E171" s="35" t="str">
        <f>IFERROR(IF(VLOOKUP($B171,casostestes[#Data],3)=0,"-",VLOOKUP($B171,casostestes[#Data],3)), "-")</f>
        <v>-</v>
      </c>
      <c r="F171" s="35" t="str">
        <f>IFERROR(IF(VLOOKUP($B171,casostestes[#Data],4)=0,"-",VLOOKUP($B171,casostestes[#Data],4)),"-")</f>
        <v>-</v>
      </c>
      <c r="G171" s="35" t="str">
        <f>IFERROR(IF(VLOOKUP($B171,casostestes[#Data],5)=0,"-",VLOOKUP($B171,casostestes[#Data],5)),"-")</f>
        <v>-</v>
      </c>
      <c r="H171" s="35" t="str">
        <f>IFERROR(IF(VLOOKUP($B171,casostestes[#Data],6)=0,"-",VLOOKUP($B171,casostestes[#Data],6)),"-")</f>
        <v>-</v>
      </c>
      <c r="I171" s="35" t="str">
        <f>IFERROR(IF(VLOOKUP($B171,casostestes[#Data],8)=0,"-",VLOOKUP($B171,casostestes[#Data],8)),"-")</f>
        <v>-</v>
      </c>
      <c r="J171" s="35" t="str">
        <f>IFERROR(IF(VLOOKUP($B171,casostestes[#Data],9)=0,"-",VLOOKUP($B171,casostestes[#Data],9)),"-")</f>
        <v>-</v>
      </c>
      <c r="K171" s="36"/>
      <c r="L171" s="45"/>
      <c r="M171" s="37"/>
      <c r="N171" s="38"/>
      <c r="O171" s="38"/>
      <c r="P171" s="39"/>
    </row>
    <row r="172" spans="2:16">
      <c r="B172" s="40" t="str">
        <f>IF(ISERR(casostestes[[#This Row],[ID]]),"-",casostestes[[#This Row],[ID]])</f>
        <v>-</v>
      </c>
      <c r="C172" s="34" t="str">
        <f>IFERROR(IF(VLOOKUP($B172,casostestes[#Data],10)=0,"Não",VLOOKUP($B172,casostestes[#Data],10)), "-")</f>
        <v>-</v>
      </c>
      <c r="D172" s="35" t="str">
        <f>IFERROR(IF(VLOOKUP($B172,casostestes[#Data],2)=0,"-",VLOOKUP($B172,casostestes[#Data],2)), "-")</f>
        <v>-</v>
      </c>
      <c r="E172" s="35" t="str">
        <f>IFERROR(IF(VLOOKUP($B172,casostestes[#Data],3)=0,"-",VLOOKUP($B172,casostestes[#Data],3)), "-")</f>
        <v>-</v>
      </c>
      <c r="F172" s="35" t="str">
        <f>IFERROR(IF(VLOOKUP($B172,casostestes[#Data],4)=0,"-",VLOOKUP($B172,casostestes[#Data],4)),"-")</f>
        <v>-</v>
      </c>
      <c r="G172" s="35" t="str">
        <f>IFERROR(IF(VLOOKUP($B172,casostestes[#Data],5)=0,"-",VLOOKUP($B172,casostestes[#Data],5)),"-")</f>
        <v>-</v>
      </c>
      <c r="H172" s="35" t="str">
        <f>IFERROR(IF(VLOOKUP($B172,casostestes[#Data],6)=0,"-",VLOOKUP($B172,casostestes[#Data],6)),"-")</f>
        <v>-</v>
      </c>
      <c r="I172" s="35" t="str">
        <f>IFERROR(IF(VLOOKUP($B172,casostestes[#Data],8)=0,"-",VLOOKUP($B172,casostestes[#Data],8)),"-")</f>
        <v>-</v>
      </c>
      <c r="J172" s="35" t="str">
        <f>IFERROR(IF(VLOOKUP($B172,casostestes[#Data],9)=0,"-",VLOOKUP($B172,casostestes[#Data],9)),"-")</f>
        <v>-</v>
      </c>
      <c r="K172" s="36"/>
      <c r="L172" s="45"/>
      <c r="M172" s="37"/>
      <c r="N172" s="38"/>
      <c r="O172" s="38"/>
      <c r="P172" s="39"/>
    </row>
    <row r="173" spans="2:16">
      <c r="B173" s="40" t="str">
        <f>IF(ISERR(casostestes[[#This Row],[ID]]),"-",casostestes[[#This Row],[ID]])</f>
        <v>-</v>
      </c>
      <c r="C173" s="34" t="str">
        <f>IFERROR(IF(VLOOKUP($B173,casostestes[#Data],10)=0,"Não",VLOOKUP($B173,casostestes[#Data],10)), "-")</f>
        <v>-</v>
      </c>
      <c r="D173" s="35" t="str">
        <f>IFERROR(IF(VLOOKUP($B173,casostestes[#Data],2)=0,"-",VLOOKUP($B173,casostestes[#Data],2)), "-")</f>
        <v>-</v>
      </c>
      <c r="E173" s="35" t="str">
        <f>IFERROR(IF(VLOOKUP($B173,casostestes[#Data],3)=0,"-",VLOOKUP($B173,casostestes[#Data],3)), "-")</f>
        <v>-</v>
      </c>
      <c r="F173" s="35" t="str">
        <f>IFERROR(IF(VLOOKUP($B173,casostestes[#Data],4)=0,"-",VLOOKUP($B173,casostestes[#Data],4)),"-")</f>
        <v>-</v>
      </c>
      <c r="G173" s="35" t="str">
        <f>IFERROR(IF(VLOOKUP($B173,casostestes[#Data],5)=0,"-",VLOOKUP($B173,casostestes[#Data],5)),"-")</f>
        <v>-</v>
      </c>
      <c r="H173" s="35" t="str">
        <f>IFERROR(IF(VLOOKUP($B173,casostestes[#Data],6)=0,"-",VLOOKUP($B173,casostestes[#Data],6)),"-")</f>
        <v>-</v>
      </c>
      <c r="I173" s="35" t="str">
        <f>IFERROR(IF(VLOOKUP($B173,casostestes[#Data],8)=0,"-",VLOOKUP($B173,casostestes[#Data],8)),"-")</f>
        <v>-</v>
      </c>
      <c r="J173" s="35" t="str">
        <f>IFERROR(IF(VLOOKUP($B173,casostestes[#Data],9)=0,"-",VLOOKUP($B173,casostestes[#Data],9)),"-")</f>
        <v>-</v>
      </c>
      <c r="K173" s="36"/>
      <c r="L173" s="45"/>
      <c r="M173" s="37"/>
      <c r="N173" s="38"/>
      <c r="O173" s="38"/>
      <c r="P173" s="39"/>
    </row>
    <row r="174" spans="2:16">
      <c r="B174" s="40" t="str">
        <f>IF(ISERR(casostestes[[#This Row],[ID]]),"-",casostestes[[#This Row],[ID]])</f>
        <v>-</v>
      </c>
      <c r="C174" s="34" t="str">
        <f>IFERROR(IF(VLOOKUP($B174,casostestes[#Data],10)=0,"Não",VLOOKUP($B174,casostestes[#Data],10)), "-")</f>
        <v>-</v>
      </c>
      <c r="D174" s="35" t="str">
        <f>IFERROR(IF(VLOOKUP($B174,casostestes[#Data],2)=0,"-",VLOOKUP($B174,casostestes[#Data],2)), "-")</f>
        <v>-</v>
      </c>
      <c r="E174" s="35" t="str">
        <f>IFERROR(IF(VLOOKUP($B174,casostestes[#Data],3)=0,"-",VLOOKUP($B174,casostestes[#Data],3)), "-")</f>
        <v>-</v>
      </c>
      <c r="F174" s="35" t="str">
        <f>IFERROR(IF(VLOOKUP($B174,casostestes[#Data],4)=0,"-",VLOOKUP($B174,casostestes[#Data],4)),"-")</f>
        <v>-</v>
      </c>
      <c r="G174" s="35" t="str">
        <f>IFERROR(IF(VLOOKUP($B174,casostestes[#Data],5)=0,"-",VLOOKUP($B174,casostestes[#Data],5)),"-")</f>
        <v>-</v>
      </c>
      <c r="H174" s="35" t="str">
        <f>IFERROR(IF(VLOOKUP($B174,casostestes[#Data],6)=0,"-",VLOOKUP($B174,casostestes[#Data],6)),"-")</f>
        <v>-</v>
      </c>
      <c r="I174" s="35" t="str">
        <f>IFERROR(IF(VLOOKUP($B174,casostestes[#Data],8)=0,"-",VLOOKUP($B174,casostestes[#Data],8)),"-")</f>
        <v>-</v>
      </c>
      <c r="J174" s="35" t="str">
        <f>IFERROR(IF(VLOOKUP($B174,casostestes[#Data],9)=0,"-",VLOOKUP($B174,casostestes[#Data],9)),"-")</f>
        <v>-</v>
      </c>
      <c r="K174" s="36"/>
      <c r="L174" s="45"/>
      <c r="M174" s="37"/>
      <c r="N174" s="38"/>
      <c r="O174" s="38"/>
      <c r="P174" s="39"/>
    </row>
    <row r="175" spans="2:16">
      <c r="B175" s="40" t="str">
        <f>IF(ISERR(casostestes[[#This Row],[ID]]),"-",casostestes[[#This Row],[ID]])</f>
        <v>-</v>
      </c>
      <c r="C175" s="34" t="str">
        <f>IFERROR(IF(VLOOKUP($B175,casostestes[#Data],10)=0,"Não",VLOOKUP($B175,casostestes[#Data],10)), "-")</f>
        <v>-</v>
      </c>
      <c r="D175" s="35" t="str">
        <f>IFERROR(IF(VLOOKUP($B175,casostestes[#Data],2)=0,"-",VLOOKUP($B175,casostestes[#Data],2)), "-")</f>
        <v>-</v>
      </c>
      <c r="E175" s="35" t="str">
        <f>IFERROR(IF(VLOOKUP($B175,casostestes[#Data],3)=0,"-",VLOOKUP($B175,casostestes[#Data],3)), "-")</f>
        <v>-</v>
      </c>
      <c r="F175" s="35" t="str">
        <f>IFERROR(IF(VLOOKUP($B175,casostestes[#Data],4)=0,"-",VLOOKUP($B175,casostestes[#Data],4)),"-")</f>
        <v>-</v>
      </c>
      <c r="G175" s="35" t="str">
        <f>IFERROR(IF(VLOOKUP($B175,casostestes[#Data],5)=0,"-",VLOOKUP($B175,casostestes[#Data],5)),"-")</f>
        <v>-</v>
      </c>
      <c r="H175" s="35" t="str">
        <f>IFERROR(IF(VLOOKUP($B175,casostestes[#Data],6)=0,"-",VLOOKUP($B175,casostestes[#Data],6)),"-")</f>
        <v>-</v>
      </c>
      <c r="I175" s="35" t="str">
        <f>IFERROR(IF(VLOOKUP($B175,casostestes[#Data],8)=0,"-",VLOOKUP($B175,casostestes[#Data],8)),"-")</f>
        <v>-</v>
      </c>
      <c r="J175" s="35" t="str">
        <f>IFERROR(IF(VLOOKUP($B175,casostestes[#Data],9)=0,"-",VLOOKUP($B175,casostestes[#Data],9)),"-")</f>
        <v>-</v>
      </c>
      <c r="K175" s="36"/>
      <c r="L175" s="45"/>
      <c r="M175" s="37"/>
      <c r="N175" s="38"/>
      <c r="O175" s="38"/>
      <c r="P175" s="39"/>
    </row>
    <row r="176" spans="2:16">
      <c r="B176" s="40" t="str">
        <f>IF(ISERR(casostestes[[#This Row],[ID]]),"-",casostestes[[#This Row],[ID]])</f>
        <v>-</v>
      </c>
      <c r="C176" s="34" t="str">
        <f>IFERROR(IF(VLOOKUP($B176,casostestes[#Data],10)=0,"Não",VLOOKUP($B176,casostestes[#Data],10)), "-")</f>
        <v>-</v>
      </c>
      <c r="D176" s="35" t="str">
        <f>IFERROR(IF(VLOOKUP($B176,casostestes[#Data],2)=0,"-",VLOOKUP($B176,casostestes[#Data],2)), "-")</f>
        <v>-</v>
      </c>
      <c r="E176" s="35" t="str">
        <f>IFERROR(IF(VLOOKUP($B176,casostestes[#Data],3)=0,"-",VLOOKUP($B176,casostestes[#Data],3)), "-")</f>
        <v>-</v>
      </c>
      <c r="F176" s="35" t="str">
        <f>IFERROR(IF(VLOOKUP($B176,casostestes[#Data],4)=0,"-",VLOOKUP($B176,casostestes[#Data],4)),"-")</f>
        <v>-</v>
      </c>
      <c r="G176" s="35" t="str">
        <f>IFERROR(IF(VLOOKUP($B176,casostestes[#Data],5)=0,"-",VLOOKUP($B176,casostestes[#Data],5)),"-")</f>
        <v>-</v>
      </c>
      <c r="H176" s="35" t="str">
        <f>IFERROR(IF(VLOOKUP($B176,casostestes[#Data],6)=0,"-",VLOOKUP($B176,casostestes[#Data],6)),"-")</f>
        <v>-</v>
      </c>
      <c r="I176" s="35" t="str">
        <f>IFERROR(IF(VLOOKUP($B176,casostestes[#Data],8)=0,"-",VLOOKUP($B176,casostestes[#Data],8)),"-")</f>
        <v>-</v>
      </c>
      <c r="J176" s="35" t="str">
        <f>IFERROR(IF(VLOOKUP($B176,casostestes[#Data],9)=0,"-",VLOOKUP($B176,casostestes[#Data],9)),"-")</f>
        <v>-</v>
      </c>
      <c r="K176" s="36"/>
      <c r="L176" s="45"/>
      <c r="M176" s="37"/>
      <c r="N176" s="38"/>
      <c r="O176" s="38"/>
      <c r="P176" s="39"/>
    </row>
    <row r="177" spans="2:16">
      <c r="B177" s="40" t="str">
        <f>IF(ISERR(casostestes[[#This Row],[ID]]),"-",casostestes[[#This Row],[ID]])</f>
        <v>-</v>
      </c>
      <c r="C177" s="34" t="str">
        <f>IFERROR(IF(VLOOKUP($B177,casostestes[#Data],10)=0,"Não",VLOOKUP($B177,casostestes[#Data],10)), "-")</f>
        <v>-</v>
      </c>
      <c r="D177" s="35" t="str">
        <f>IFERROR(IF(VLOOKUP($B177,casostestes[#Data],2)=0,"-",VLOOKUP($B177,casostestes[#Data],2)), "-")</f>
        <v>-</v>
      </c>
      <c r="E177" s="35" t="str">
        <f>IFERROR(IF(VLOOKUP($B177,casostestes[#Data],3)=0,"-",VLOOKUP($B177,casostestes[#Data],3)), "-")</f>
        <v>-</v>
      </c>
      <c r="F177" s="35" t="str">
        <f>IFERROR(IF(VLOOKUP($B177,casostestes[#Data],4)=0,"-",VLOOKUP($B177,casostestes[#Data],4)),"-")</f>
        <v>-</v>
      </c>
      <c r="G177" s="35" t="str">
        <f>IFERROR(IF(VLOOKUP($B177,casostestes[#Data],5)=0,"-",VLOOKUP($B177,casostestes[#Data],5)),"-")</f>
        <v>-</v>
      </c>
      <c r="H177" s="35" t="str">
        <f>IFERROR(IF(VLOOKUP($B177,casostestes[#Data],6)=0,"-",VLOOKUP($B177,casostestes[#Data],6)),"-")</f>
        <v>-</v>
      </c>
      <c r="I177" s="35" t="str">
        <f>IFERROR(IF(VLOOKUP($B177,casostestes[#Data],8)=0,"-",VLOOKUP($B177,casostestes[#Data],8)),"-")</f>
        <v>-</v>
      </c>
      <c r="J177" s="35" t="str">
        <f>IFERROR(IF(VLOOKUP($B177,casostestes[#Data],9)=0,"-",VLOOKUP($B177,casostestes[#Data],9)),"-")</f>
        <v>-</v>
      </c>
      <c r="K177" s="36"/>
      <c r="L177" s="45"/>
      <c r="M177" s="37"/>
      <c r="N177" s="38"/>
      <c r="O177" s="38"/>
      <c r="P177" s="39"/>
    </row>
    <row r="178" spans="2:16">
      <c r="B178" s="40" t="str">
        <f>IF(ISERR(casostestes[[#This Row],[ID]]),"-",casostestes[[#This Row],[ID]])</f>
        <v>-</v>
      </c>
      <c r="C178" s="34" t="str">
        <f>IFERROR(IF(VLOOKUP($B178,casostestes[#Data],10)=0,"Não",VLOOKUP($B178,casostestes[#Data],10)), "-")</f>
        <v>-</v>
      </c>
      <c r="D178" s="35" t="str">
        <f>IFERROR(IF(VLOOKUP($B178,casostestes[#Data],2)=0,"-",VLOOKUP($B178,casostestes[#Data],2)), "-")</f>
        <v>-</v>
      </c>
      <c r="E178" s="35" t="str">
        <f>IFERROR(IF(VLOOKUP($B178,casostestes[#Data],3)=0,"-",VLOOKUP($B178,casostestes[#Data],3)), "-")</f>
        <v>-</v>
      </c>
      <c r="F178" s="35" t="str">
        <f>IFERROR(IF(VLOOKUP($B178,casostestes[#Data],4)=0,"-",VLOOKUP($B178,casostestes[#Data],4)),"-")</f>
        <v>-</v>
      </c>
      <c r="G178" s="35" t="str">
        <f>IFERROR(IF(VLOOKUP($B178,casostestes[#Data],5)=0,"-",VLOOKUP($B178,casostestes[#Data],5)),"-")</f>
        <v>-</v>
      </c>
      <c r="H178" s="35" t="str">
        <f>IFERROR(IF(VLOOKUP($B178,casostestes[#Data],6)=0,"-",VLOOKUP($B178,casostestes[#Data],6)),"-")</f>
        <v>-</v>
      </c>
      <c r="I178" s="35" t="str">
        <f>IFERROR(IF(VLOOKUP($B178,casostestes[#Data],8)=0,"-",VLOOKUP($B178,casostestes[#Data],8)),"-")</f>
        <v>-</v>
      </c>
      <c r="J178" s="35" t="str">
        <f>IFERROR(IF(VLOOKUP($B178,casostestes[#Data],9)=0,"-",VLOOKUP($B178,casostestes[#Data],9)),"-")</f>
        <v>-</v>
      </c>
      <c r="K178" s="36"/>
      <c r="L178" s="45"/>
      <c r="M178" s="37"/>
      <c r="N178" s="38"/>
      <c r="O178" s="38"/>
      <c r="P178" s="39"/>
    </row>
    <row r="179" spans="2:16">
      <c r="B179" s="40" t="str">
        <f>IF(ISERR(casostestes[[#This Row],[ID]]),"-",casostestes[[#This Row],[ID]])</f>
        <v>-</v>
      </c>
      <c r="C179" s="34" t="str">
        <f>IFERROR(IF(VLOOKUP($B179,casostestes[#Data],10)=0,"Não",VLOOKUP($B179,casostestes[#Data],10)), "-")</f>
        <v>-</v>
      </c>
      <c r="D179" s="35" t="str">
        <f>IFERROR(IF(VLOOKUP($B179,casostestes[#Data],2)=0,"-",VLOOKUP($B179,casostestes[#Data],2)), "-")</f>
        <v>-</v>
      </c>
      <c r="E179" s="35" t="str">
        <f>IFERROR(IF(VLOOKUP($B179,casostestes[#Data],3)=0,"-",VLOOKUP($B179,casostestes[#Data],3)), "-")</f>
        <v>-</v>
      </c>
      <c r="F179" s="35" t="str">
        <f>IFERROR(IF(VLOOKUP($B179,casostestes[#Data],4)=0,"-",VLOOKUP($B179,casostestes[#Data],4)),"-")</f>
        <v>-</v>
      </c>
      <c r="G179" s="35" t="str">
        <f>IFERROR(IF(VLOOKUP($B179,casostestes[#Data],5)=0,"-",VLOOKUP($B179,casostestes[#Data],5)),"-")</f>
        <v>-</v>
      </c>
      <c r="H179" s="35" t="str">
        <f>IFERROR(IF(VLOOKUP($B179,casostestes[#Data],6)=0,"-",VLOOKUP($B179,casostestes[#Data],6)),"-")</f>
        <v>-</v>
      </c>
      <c r="I179" s="35" t="str">
        <f>IFERROR(IF(VLOOKUP($B179,casostestes[#Data],8)=0,"-",VLOOKUP($B179,casostestes[#Data],8)),"-")</f>
        <v>-</v>
      </c>
      <c r="J179" s="35" t="str">
        <f>IFERROR(IF(VLOOKUP($B179,casostestes[#Data],9)=0,"-",VLOOKUP($B179,casostestes[#Data],9)),"-")</f>
        <v>-</v>
      </c>
      <c r="K179" s="36"/>
      <c r="L179" s="45"/>
      <c r="M179" s="37"/>
      <c r="N179" s="38"/>
      <c r="O179" s="38"/>
      <c r="P179" s="39"/>
    </row>
    <row r="180" spans="2:16">
      <c r="B180" s="40" t="str">
        <f>IF(ISERR(casostestes[[#This Row],[ID]]),"-",casostestes[[#This Row],[ID]])</f>
        <v>-</v>
      </c>
      <c r="C180" s="34" t="str">
        <f>IFERROR(IF(VLOOKUP($B180,casostestes[#Data],10)=0,"Não",VLOOKUP($B180,casostestes[#Data],10)), "-")</f>
        <v>-</v>
      </c>
      <c r="D180" s="35" t="str">
        <f>IFERROR(IF(VLOOKUP($B180,casostestes[#Data],2)=0,"-",VLOOKUP($B180,casostestes[#Data],2)), "-")</f>
        <v>-</v>
      </c>
      <c r="E180" s="35" t="str">
        <f>IFERROR(IF(VLOOKUP($B180,casostestes[#Data],3)=0,"-",VLOOKUP($B180,casostestes[#Data],3)), "-")</f>
        <v>-</v>
      </c>
      <c r="F180" s="35" t="str">
        <f>IFERROR(IF(VLOOKUP($B180,casostestes[#Data],4)=0,"-",VLOOKUP($B180,casostestes[#Data],4)),"-")</f>
        <v>-</v>
      </c>
      <c r="G180" s="35" t="str">
        <f>IFERROR(IF(VLOOKUP($B180,casostestes[#Data],5)=0,"-",VLOOKUP($B180,casostestes[#Data],5)),"-")</f>
        <v>-</v>
      </c>
      <c r="H180" s="35" t="str">
        <f>IFERROR(IF(VLOOKUP($B180,casostestes[#Data],6)=0,"-",VLOOKUP($B180,casostestes[#Data],6)),"-")</f>
        <v>-</v>
      </c>
      <c r="I180" s="35" t="str">
        <f>IFERROR(IF(VLOOKUP($B180,casostestes[#Data],8)=0,"-",VLOOKUP($B180,casostestes[#Data],8)),"-")</f>
        <v>-</v>
      </c>
      <c r="J180" s="35" t="str">
        <f>IFERROR(IF(VLOOKUP($B180,casostestes[#Data],9)=0,"-",VLOOKUP($B180,casostestes[#Data],9)),"-")</f>
        <v>-</v>
      </c>
      <c r="K180" s="36"/>
      <c r="L180" s="45"/>
      <c r="M180" s="37"/>
      <c r="N180" s="38"/>
      <c r="O180" s="38"/>
      <c r="P180" s="39"/>
    </row>
    <row r="181" spans="2:16">
      <c r="B181" s="40" t="str">
        <f>IF(ISERR(casostestes[[#This Row],[ID]]),"-",casostestes[[#This Row],[ID]])</f>
        <v>-</v>
      </c>
      <c r="C181" s="34" t="str">
        <f>IFERROR(IF(VLOOKUP($B181,casostestes[#Data],10)=0,"Não",VLOOKUP($B181,casostestes[#Data],10)), "-")</f>
        <v>-</v>
      </c>
      <c r="D181" s="35" t="str">
        <f>IFERROR(IF(VLOOKUP($B181,casostestes[#Data],2)=0,"-",VLOOKUP($B181,casostestes[#Data],2)), "-")</f>
        <v>-</v>
      </c>
      <c r="E181" s="35" t="str">
        <f>IFERROR(IF(VLOOKUP($B181,casostestes[#Data],3)=0,"-",VLOOKUP($B181,casostestes[#Data],3)), "-")</f>
        <v>-</v>
      </c>
      <c r="F181" s="35" t="str">
        <f>IFERROR(IF(VLOOKUP($B181,casostestes[#Data],4)=0,"-",VLOOKUP($B181,casostestes[#Data],4)),"-")</f>
        <v>-</v>
      </c>
      <c r="G181" s="35" t="str">
        <f>IFERROR(IF(VLOOKUP($B181,casostestes[#Data],5)=0,"-",VLOOKUP($B181,casostestes[#Data],5)),"-")</f>
        <v>-</v>
      </c>
      <c r="H181" s="35" t="str">
        <f>IFERROR(IF(VLOOKUP($B181,casostestes[#Data],6)=0,"-",VLOOKUP($B181,casostestes[#Data],6)),"-")</f>
        <v>-</v>
      </c>
      <c r="I181" s="35" t="str">
        <f>IFERROR(IF(VLOOKUP($B181,casostestes[#Data],8)=0,"-",VLOOKUP($B181,casostestes[#Data],8)),"-")</f>
        <v>-</v>
      </c>
      <c r="J181" s="35" t="str">
        <f>IFERROR(IF(VLOOKUP($B181,casostestes[#Data],9)=0,"-",VLOOKUP($B181,casostestes[#Data],9)),"-")</f>
        <v>-</v>
      </c>
      <c r="K181" s="36"/>
      <c r="L181" s="45"/>
      <c r="M181" s="37"/>
      <c r="N181" s="38"/>
      <c r="O181" s="38"/>
      <c r="P181" s="39"/>
    </row>
    <row r="182" spans="2:16">
      <c r="B182" s="40" t="str">
        <f>IF(ISERR(casostestes[[#This Row],[ID]]),"-",casostestes[[#This Row],[ID]])</f>
        <v>-</v>
      </c>
      <c r="C182" s="34" t="str">
        <f>IFERROR(IF(VLOOKUP($B182,casostestes[#Data],10)=0,"Não",VLOOKUP($B182,casostestes[#Data],10)), "-")</f>
        <v>-</v>
      </c>
      <c r="D182" s="35" t="str">
        <f>IFERROR(IF(VLOOKUP($B182,casostestes[#Data],2)=0,"-",VLOOKUP($B182,casostestes[#Data],2)), "-")</f>
        <v>-</v>
      </c>
      <c r="E182" s="35" t="str">
        <f>IFERROR(IF(VLOOKUP($B182,casostestes[#Data],3)=0,"-",VLOOKUP($B182,casostestes[#Data],3)), "-")</f>
        <v>-</v>
      </c>
      <c r="F182" s="35" t="str">
        <f>IFERROR(IF(VLOOKUP($B182,casostestes[#Data],4)=0,"-",VLOOKUP($B182,casostestes[#Data],4)),"-")</f>
        <v>-</v>
      </c>
      <c r="G182" s="35" t="str">
        <f>IFERROR(IF(VLOOKUP($B182,casostestes[#Data],5)=0,"-",VLOOKUP($B182,casostestes[#Data],5)),"-")</f>
        <v>-</v>
      </c>
      <c r="H182" s="35" t="str">
        <f>IFERROR(IF(VLOOKUP($B182,casostestes[#Data],6)=0,"-",VLOOKUP($B182,casostestes[#Data],6)),"-")</f>
        <v>-</v>
      </c>
      <c r="I182" s="35" t="str">
        <f>IFERROR(IF(VLOOKUP($B182,casostestes[#Data],8)=0,"-",VLOOKUP($B182,casostestes[#Data],8)),"-")</f>
        <v>-</v>
      </c>
      <c r="J182" s="35" t="str">
        <f>IFERROR(IF(VLOOKUP($B182,casostestes[#Data],9)=0,"-",VLOOKUP($B182,casostestes[#Data],9)),"-")</f>
        <v>-</v>
      </c>
      <c r="K182" s="36"/>
      <c r="L182" s="45"/>
      <c r="M182" s="37"/>
      <c r="N182" s="38"/>
      <c r="O182" s="38"/>
      <c r="P182" s="39"/>
    </row>
    <row r="183" spans="2:16">
      <c r="B183" s="40" t="str">
        <f>IF(ISERR(casostestes[[#This Row],[ID]]),"-",casostestes[[#This Row],[ID]])</f>
        <v>-</v>
      </c>
      <c r="C183" s="34" t="str">
        <f>IFERROR(IF(VLOOKUP($B183,casostestes[#Data],10)=0,"Não",VLOOKUP($B183,casostestes[#Data],10)), "-")</f>
        <v>-</v>
      </c>
      <c r="D183" s="35" t="str">
        <f>IFERROR(IF(VLOOKUP($B183,casostestes[#Data],2)=0,"-",VLOOKUP($B183,casostestes[#Data],2)), "-")</f>
        <v>-</v>
      </c>
      <c r="E183" s="35" t="str">
        <f>IFERROR(IF(VLOOKUP($B183,casostestes[#Data],3)=0,"-",VLOOKUP($B183,casostestes[#Data],3)), "-")</f>
        <v>-</v>
      </c>
      <c r="F183" s="35" t="str">
        <f>IFERROR(IF(VLOOKUP($B183,casostestes[#Data],4)=0,"-",VLOOKUP($B183,casostestes[#Data],4)),"-")</f>
        <v>-</v>
      </c>
      <c r="G183" s="35" t="str">
        <f>IFERROR(IF(VLOOKUP($B183,casostestes[#Data],5)=0,"-",VLOOKUP($B183,casostestes[#Data],5)),"-")</f>
        <v>-</v>
      </c>
      <c r="H183" s="35" t="str">
        <f>IFERROR(IF(VLOOKUP($B183,casostestes[#Data],6)=0,"-",VLOOKUP($B183,casostestes[#Data],6)),"-")</f>
        <v>-</v>
      </c>
      <c r="I183" s="35" t="str">
        <f>IFERROR(IF(VLOOKUP($B183,casostestes[#Data],8)=0,"-",VLOOKUP($B183,casostestes[#Data],8)),"-")</f>
        <v>-</v>
      </c>
      <c r="J183" s="35" t="str">
        <f>IFERROR(IF(VLOOKUP($B183,casostestes[#Data],9)=0,"-",VLOOKUP($B183,casostestes[#Data],9)),"-")</f>
        <v>-</v>
      </c>
      <c r="K183" s="36"/>
      <c r="L183" s="45"/>
      <c r="M183" s="37"/>
      <c r="N183" s="38"/>
      <c r="O183" s="38"/>
      <c r="P183" s="39"/>
    </row>
    <row r="184" spans="2:16">
      <c r="B184" s="40" t="str">
        <f>IF(ISERR(casostestes[[#This Row],[ID]]),"-",casostestes[[#This Row],[ID]])</f>
        <v>-</v>
      </c>
      <c r="C184" s="34" t="str">
        <f>IFERROR(IF(VLOOKUP($B184,casostestes[#Data],10)=0,"Não",VLOOKUP($B184,casostestes[#Data],10)), "-")</f>
        <v>-</v>
      </c>
      <c r="D184" s="35" t="str">
        <f>IFERROR(IF(VLOOKUP($B184,casostestes[#Data],2)=0,"-",VLOOKUP($B184,casostestes[#Data],2)), "-")</f>
        <v>-</v>
      </c>
      <c r="E184" s="35" t="str">
        <f>IFERROR(IF(VLOOKUP($B184,casostestes[#Data],3)=0,"-",VLOOKUP($B184,casostestes[#Data],3)), "-")</f>
        <v>-</v>
      </c>
      <c r="F184" s="35" t="str">
        <f>IFERROR(IF(VLOOKUP($B184,casostestes[#Data],4)=0,"-",VLOOKUP($B184,casostestes[#Data],4)),"-")</f>
        <v>-</v>
      </c>
      <c r="G184" s="35" t="str">
        <f>IFERROR(IF(VLOOKUP($B184,casostestes[#Data],5)=0,"-",VLOOKUP($B184,casostestes[#Data],5)),"-")</f>
        <v>-</v>
      </c>
      <c r="H184" s="35" t="str">
        <f>IFERROR(IF(VLOOKUP($B184,casostestes[#Data],6)=0,"-",VLOOKUP($B184,casostestes[#Data],6)),"-")</f>
        <v>-</v>
      </c>
      <c r="I184" s="35" t="str">
        <f>IFERROR(IF(VLOOKUP($B184,casostestes[#Data],8)=0,"-",VLOOKUP($B184,casostestes[#Data],8)),"-")</f>
        <v>-</v>
      </c>
      <c r="J184" s="35" t="str">
        <f>IFERROR(IF(VLOOKUP($B184,casostestes[#Data],9)=0,"-",VLOOKUP($B184,casostestes[#Data],9)),"-")</f>
        <v>-</v>
      </c>
      <c r="K184" s="36"/>
      <c r="L184" s="45"/>
      <c r="M184" s="37"/>
      <c r="N184" s="38"/>
      <c r="O184" s="38"/>
      <c r="P184" s="39"/>
    </row>
    <row r="185" spans="2:16">
      <c r="B185" s="40" t="str">
        <f>IF(ISERR(casostestes[[#This Row],[ID]]),"-",casostestes[[#This Row],[ID]])</f>
        <v>-</v>
      </c>
      <c r="C185" s="34" t="str">
        <f>IFERROR(IF(VLOOKUP($B185,casostestes[#Data],10)=0,"Não",VLOOKUP($B185,casostestes[#Data],10)), "-")</f>
        <v>-</v>
      </c>
      <c r="D185" s="35" t="str">
        <f>IFERROR(IF(VLOOKUP($B185,casostestes[#Data],2)=0,"-",VLOOKUP($B185,casostestes[#Data],2)), "-")</f>
        <v>-</v>
      </c>
      <c r="E185" s="35" t="str">
        <f>IFERROR(IF(VLOOKUP($B185,casostestes[#Data],3)=0,"-",VLOOKUP($B185,casostestes[#Data],3)), "-")</f>
        <v>-</v>
      </c>
      <c r="F185" s="35" t="str">
        <f>IFERROR(IF(VLOOKUP($B185,casostestes[#Data],4)=0,"-",VLOOKUP($B185,casostestes[#Data],4)),"-")</f>
        <v>-</v>
      </c>
      <c r="G185" s="35" t="str">
        <f>IFERROR(IF(VLOOKUP($B185,casostestes[#Data],5)=0,"-",VLOOKUP($B185,casostestes[#Data],5)),"-")</f>
        <v>-</v>
      </c>
      <c r="H185" s="35" t="str">
        <f>IFERROR(IF(VLOOKUP($B185,casostestes[#Data],6)=0,"-",VLOOKUP($B185,casostestes[#Data],6)),"-")</f>
        <v>-</v>
      </c>
      <c r="I185" s="35" t="str">
        <f>IFERROR(IF(VLOOKUP($B185,casostestes[#Data],8)=0,"-",VLOOKUP($B185,casostestes[#Data],8)),"-")</f>
        <v>-</v>
      </c>
      <c r="J185" s="35" t="str">
        <f>IFERROR(IF(VLOOKUP($B185,casostestes[#Data],9)=0,"-",VLOOKUP($B185,casostestes[#Data],9)),"-")</f>
        <v>-</v>
      </c>
      <c r="K185" s="36"/>
      <c r="L185" s="45"/>
      <c r="M185" s="37"/>
      <c r="N185" s="38"/>
      <c r="O185" s="38"/>
      <c r="P185" s="39"/>
    </row>
    <row r="186" spans="2:16">
      <c r="B186" s="40" t="str">
        <f>IF(ISERR(casostestes[[#This Row],[ID]]),"-",casostestes[[#This Row],[ID]])</f>
        <v>-</v>
      </c>
      <c r="C186" s="34" t="str">
        <f>IFERROR(IF(VLOOKUP($B186,casostestes[#Data],10)=0,"Não",VLOOKUP($B186,casostestes[#Data],10)), "-")</f>
        <v>-</v>
      </c>
      <c r="D186" s="35" t="str">
        <f>IFERROR(IF(VLOOKUP($B186,casostestes[#Data],2)=0,"-",VLOOKUP($B186,casostestes[#Data],2)), "-")</f>
        <v>-</v>
      </c>
      <c r="E186" s="35" t="str">
        <f>IFERROR(IF(VLOOKUP($B186,casostestes[#Data],3)=0,"-",VLOOKUP($B186,casostestes[#Data],3)), "-")</f>
        <v>-</v>
      </c>
      <c r="F186" s="35" t="str">
        <f>IFERROR(IF(VLOOKUP($B186,casostestes[#Data],4)=0,"-",VLOOKUP($B186,casostestes[#Data],4)),"-")</f>
        <v>-</v>
      </c>
      <c r="G186" s="35" t="str">
        <f>IFERROR(IF(VLOOKUP($B186,casostestes[#Data],5)=0,"-",VLOOKUP($B186,casostestes[#Data],5)),"-")</f>
        <v>-</v>
      </c>
      <c r="H186" s="35" t="str">
        <f>IFERROR(IF(VLOOKUP($B186,casostestes[#Data],6)=0,"-",VLOOKUP($B186,casostestes[#Data],6)),"-")</f>
        <v>-</v>
      </c>
      <c r="I186" s="35" t="str">
        <f>IFERROR(IF(VLOOKUP($B186,casostestes[#Data],8)=0,"-",VLOOKUP($B186,casostestes[#Data],8)),"-")</f>
        <v>-</v>
      </c>
      <c r="J186" s="35" t="str">
        <f>IFERROR(IF(VLOOKUP($B186,casostestes[#Data],9)=0,"-",VLOOKUP($B186,casostestes[#Data],9)),"-")</f>
        <v>-</v>
      </c>
      <c r="K186" s="36"/>
      <c r="L186" s="45"/>
      <c r="M186" s="37"/>
      <c r="N186" s="38"/>
      <c r="O186" s="38"/>
      <c r="P186" s="39"/>
    </row>
    <row r="187" spans="2:16">
      <c r="B187" s="40" t="str">
        <f>IF(ISERR(casostestes[[#This Row],[ID]]),"-",casostestes[[#This Row],[ID]])</f>
        <v>-</v>
      </c>
      <c r="C187" s="34" t="str">
        <f>IFERROR(IF(VLOOKUP($B187,casostestes[#Data],10)=0,"Não",VLOOKUP($B187,casostestes[#Data],10)), "-")</f>
        <v>-</v>
      </c>
      <c r="D187" s="35" t="str">
        <f>IFERROR(IF(VLOOKUP($B187,casostestes[#Data],2)=0,"-",VLOOKUP($B187,casostestes[#Data],2)), "-")</f>
        <v>-</v>
      </c>
      <c r="E187" s="35" t="str">
        <f>IFERROR(IF(VLOOKUP($B187,casostestes[#Data],3)=0,"-",VLOOKUP($B187,casostestes[#Data],3)), "-")</f>
        <v>-</v>
      </c>
      <c r="F187" s="35" t="str">
        <f>IFERROR(IF(VLOOKUP($B187,casostestes[#Data],4)=0,"-",VLOOKUP($B187,casostestes[#Data],4)),"-")</f>
        <v>-</v>
      </c>
      <c r="G187" s="35" t="str">
        <f>IFERROR(IF(VLOOKUP($B187,casostestes[#Data],5)=0,"-",VLOOKUP($B187,casostestes[#Data],5)),"-")</f>
        <v>-</v>
      </c>
      <c r="H187" s="35" t="str">
        <f>IFERROR(IF(VLOOKUP($B187,casostestes[#Data],6)=0,"-",VLOOKUP($B187,casostestes[#Data],6)),"-")</f>
        <v>-</v>
      </c>
      <c r="I187" s="35" t="str">
        <f>IFERROR(IF(VLOOKUP($B187,casostestes[#Data],8)=0,"-",VLOOKUP($B187,casostestes[#Data],8)),"-")</f>
        <v>-</v>
      </c>
      <c r="J187" s="35" t="str">
        <f>IFERROR(IF(VLOOKUP($B187,casostestes[#Data],9)=0,"-",VLOOKUP($B187,casostestes[#Data],9)),"-")</f>
        <v>-</v>
      </c>
      <c r="K187" s="36"/>
      <c r="L187" s="45"/>
      <c r="M187" s="37"/>
      <c r="N187" s="38"/>
      <c r="O187" s="38"/>
      <c r="P187" s="39"/>
    </row>
    <row r="188" spans="2:16">
      <c r="B188" s="40" t="str">
        <f>IF(ISERR(casostestes[[#This Row],[ID]]),"-",casostestes[[#This Row],[ID]])</f>
        <v>-</v>
      </c>
      <c r="C188" s="34" t="str">
        <f>IFERROR(IF(VLOOKUP($B188,casostestes[#Data],10)=0,"Não",VLOOKUP($B188,casostestes[#Data],10)), "-")</f>
        <v>-</v>
      </c>
      <c r="D188" s="35" t="str">
        <f>IFERROR(IF(VLOOKUP($B188,casostestes[#Data],2)=0,"-",VLOOKUP($B188,casostestes[#Data],2)), "-")</f>
        <v>-</v>
      </c>
      <c r="E188" s="35" t="str">
        <f>IFERROR(IF(VLOOKUP($B188,casostestes[#Data],3)=0,"-",VLOOKUP($B188,casostestes[#Data],3)), "-")</f>
        <v>-</v>
      </c>
      <c r="F188" s="35" t="str">
        <f>IFERROR(IF(VLOOKUP($B188,casostestes[#Data],4)=0,"-",VLOOKUP($B188,casostestes[#Data],4)),"-")</f>
        <v>-</v>
      </c>
      <c r="G188" s="35" t="str">
        <f>IFERROR(IF(VLOOKUP($B188,casostestes[#Data],5)=0,"-",VLOOKUP($B188,casostestes[#Data],5)),"-")</f>
        <v>-</v>
      </c>
      <c r="H188" s="35" t="str">
        <f>IFERROR(IF(VLOOKUP($B188,casostestes[#Data],6)=0,"-",VLOOKUP($B188,casostestes[#Data],6)),"-")</f>
        <v>-</v>
      </c>
      <c r="I188" s="35" t="str">
        <f>IFERROR(IF(VLOOKUP($B188,casostestes[#Data],8)=0,"-",VLOOKUP($B188,casostestes[#Data],8)),"-")</f>
        <v>-</v>
      </c>
      <c r="J188" s="35" t="str">
        <f>IFERROR(IF(VLOOKUP($B188,casostestes[#Data],9)=0,"-",VLOOKUP($B188,casostestes[#Data],9)),"-")</f>
        <v>-</v>
      </c>
      <c r="K188" s="36"/>
      <c r="L188" s="45"/>
      <c r="M188" s="37"/>
      <c r="N188" s="38"/>
      <c r="O188" s="38"/>
      <c r="P188" s="39"/>
    </row>
    <row r="189" spans="2:16">
      <c r="B189" s="40" t="str">
        <f>IF(ISERR(casostestes[[#This Row],[ID]]),"-",casostestes[[#This Row],[ID]])</f>
        <v>-</v>
      </c>
      <c r="C189" s="34" t="str">
        <f>IFERROR(IF(VLOOKUP($B189,casostestes[#Data],10)=0,"Não",VLOOKUP($B189,casostestes[#Data],10)), "-")</f>
        <v>-</v>
      </c>
      <c r="D189" s="35" t="str">
        <f>IFERROR(IF(VLOOKUP($B189,casostestes[#Data],2)=0,"-",VLOOKUP($B189,casostestes[#Data],2)), "-")</f>
        <v>-</v>
      </c>
      <c r="E189" s="35" t="str">
        <f>IFERROR(IF(VLOOKUP($B189,casostestes[#Data],3)=0,"-",VLOOKUP($B189,casostestes[#Data],3)), "-")</f>
        <v>-</v>
      </c>
      <c r="F189" s="35" t="str">
        <f>IFERROR(IF(VLOOKUP($B189,casostestes[#Data],4)=0,"-",VLOOKUP($B189,casostestes[#Data],4)),"-")</f>
        <v>-</v>
      </c>
      <c r="G189" s="35" t="str">
        <f>IFERROR(IF(VLOOKUP($B189,casostestes[#Data],5)=0,"-",VLOOKUP($B189,casostestes[#Data],5)),"-")</f>
        <v>-</v>
      </c>
      <c r="H189" s="35" t="str">
        <f>IFERROR(IF(VLOOKUP($B189,casostestes[#Data],6)=0,"-",VLOOKUP($B189,casostestes[#Data],6)),"-")</f>
        <v>-</v>
      </c>
      <c r="I189" s="35" t="str">
        <f>IFERROR(IF(VLOOKUP($B189,casostestes[#Data],8)=0,"-",VLOOKUP($B189,casostestes[#Data],8)),"-")</f>
        <v>-</v>
      </c>
      <c r="J189" s="35" t="str">
        <f>IFERROR(IF(VLOOKUP($B189,casostestes[#Data],9)=0,"-",VLOOKUP($B189,casostestes[#Data],9)),"-")</f>
        <v>-</v>
      </c>
      <c r="K189" s="36"/>
      <c r="L189" s="45"/>
      <c r="M189" s="37"/>
      <c r="N189" s="38"/>
      <c r="O189" s="38"/>
      <c r="P189" s="39"/>
    </row>
    <row r="190" spans="2:16">
      <c r="B190" s="40" t="str">
        <f>IF(ISERR(casostestes[[#This Row],[ID]]),"-",casostestes[[#This Row],[ID]])</f>
        <v>-</v>
      </c>
      <c r="C190" s="34" t="str">
        <f>IFERROR(IF(VLOOKUP($B190,casostestes[#Data],10)=0,"Não",VLOOKUP($B190,casostestes[#Data],10)), "-")</f>
        <v>-</v>
      </c>
      <c r="D190" s="35" t="str">
        <f>IFERROR(IF(VLOOKUP($B190,casostestes[#Data],2)=0,"-",VLOOKUP($B190,casostestes[#Data],2)), "-")</f>
        <v>-</v>
      </c>
      <c r="E190" s="35" t="str">
        <f>IFERROR(IF(VLOOKUP($B190,casostestes[#Data],3)=0,"-",VLOOKUP($B190,casostestes[#Data],3)), "-")</f>
        <v>-</v>
      </c>
      <c r="F190" s="35" t="str">
        <f>IFERROR(IF(VLOOKUP($B190,casostestes[#Data],4)=0,"-",VLOOKUP($B190,casostestes[#Data],4)),"-")</f>
        <v>-</v>
      </c>
      <c r="G190" s="35" t="str">
        <f>IFERROR(IF(VLOOKUP($B190,casostestes[#Data],5)=0,"-",VLOOKUP($B190,casostestes[#Data],5)),"-")</f>
        <v>-</v>
      </c>
      <c r="H190" s="35" t="str">
        <f>IFERROR(IF(VLOOKUP($B190,casostestes[#Data],6)=0,"-",VLOOKUP($B190,casostestes[#Data],6)),"-")</f>
        <v>-</v>
      </c>
      <c r="I190" s="35" t="str">
        <f>IFERROR(IF(VLOOKUP($B190,casostestes[#Data],8)=0,"-",VLOOKUP($B190,casostestes[#Data],8)),"-")</f>
        <v>-</v>
      </c>
      <c r="J190" s="35" t="str">
        <f>IFERROR(IF(VLOOKUP($B190,casostestes[#Data],9)=0,"-",VLOOKUP($B190,casostestes[#Data],9)),"-")</f>
        <v>-</v>
      </c>
      <c r="K190" s="36"/>
      <c r="L190" s="45"/>
      <c r="M190" s="37"/>
      <c r="N190" s="38"/>
      <c r="O190" s="38"/>
      <c r="P190" s="39"/>
    </row>
    <row r="191" spans="2:16">
      <c r="B191" s="40" t="str">
        <f>IF(ISERR(casostestes[[#This Row],[ID]]),"-",casostestes[[#This Row],[ID]])</f>
        <v>-</v>
      </c>
      <c r="C191" s="34" t="str">
        <f>IFERROR(IF(VLOOKUP($B191,casostestes[#Data],10)=0,"Não",VLOOKUP($B191,casostestes[#Data],10)), "-")</f>
        <v>-</v>
      </c>
      <c r="D191" s="35" t="str">
        <f>IFERROR(IF(VLOOKUP($B191,casostestes[#Data],2)=0,"-",VLOOKUP($B191,casostestes[#Data],2)), "-")</f>
        <v>-</v>
      </c>
      <c r="E191" s="35" t="str">
        <f>IFERROR(IF(VLOOKUP($B191,casostestes[#Data],3)=0,"-",VLOOKUP($B191,casostestes[#Data],3)), "-")</f>
        <v>-</v>
      </c>
      <c r="F191" s="35" t="str">
        <f>IFERROR(IF(VLOOKUP($B191,casostestes[#Data],4)=0,"-",VLOOKUP($B191,casostestes[#Data],4)),"-")</f>
        <v>-</v>
      </c>
      <c r="G191" s="35" t="str">
        <f>IFERROR(IF(VLOOKUP($B191,casostestes[#Data],5)=0,"-",VLOOKUP($B191,casostestes[#Data],5)),"-")</f>
        <v>-</v>
      </c>
      <c r="H191" s="35" t="str">
        <f>IFERROR(IF(VLOOKUP($B191,casostestes[#Data],6)=0,"-",VLOOKUP($B191,casostestes[#Data],6)),"-")</f>
        <v>-</v>
      </c>
      <c r="I191" s="35" t="str">
        <f>IFERROR(IF(VLOOKUP($B191,casostestes[#Data],8)=0,"-",VLOOKUP($B191,casostestes[#Data],8)),"-")</f>
        <v>-</v>
      </c>
      <c r="J191" s="35" t="str">
        <f>IFERROR(IF(VLOOKUP($B191,casostestes[#Data],9)=0,"-",VLOOKUP($B191,casostestes[#Data],9)),"-")</f>
        <v>-</v>
      </c>
      <c r="K191" s="36"/>
      <c r="L191" s="45"/>
      <c r="M191" s="37"/>
      <c r="N191" s="38"/>
      <c r="O191" s="38"/>
      <c r="P191" s="39"/>
    </row>
    <row r="192" spans="2:16">
      <c r="B192" s="40" t="str">
        <f>IF(ISERR(casostestes[[#This Row],[ID]]),"-",casostestes[[#This Row],[ID]])</f>
        <v>-</v>
      </c>
      <c r="C192" s="34" t="str">
        <f>IFERROR(IF(VLOOKUP($B192,casostestes[#Data],10)=0,"Não",VLOOKUP($B192,casostestes[#Data],10)), "-")</f>
        <v>-</v>
      </c>
      <c r="D192" s="35" t="str">
        <f>IFERROR(IF(VLOOKUP($B192,casostestes[#Data],2)=0,"-",VLOOKUP($B192,casostestes[#Data],2)), "-")</f>
        <v>-</v>
      </c>
      <c r="E192" s="35" t="str">
        <f>IFERROR(IF(VLOOKUP($B192,casostestes[#Data],3)=0,"-",VLOOKUP($B192,casostestes[#Data],3)), "-")</f>
        <v>-</v>
      </c>
      <c r="F192" s="35" t="str">
        <f>IFERROR(IF(VLOOKUP($B192,casostestes[#Data],4)=0,"-",VLOOKUP($B192,casostestes[#Data],4)),"-")</f>
        <v>-</v>
      </c>
      <c r="G192" s="35" t="str">
        <f>IFERROR(IF(VLOOKUP($B192,casostestes[#Data],5)=0,"-",VLOOKUP($B192,casostestes[#Data],5)),"-")</f>
        <v>-</v>
      </c>
      <c r="H192" s="35" t="str">
        <f>IFERROR(IF(VLOOKUP($B192,casostestes[#Data],6)=0,"-",VLOOKUP($B192,casostestes[#Data],6)),"-")</f>
        <v>-</v>
      </c>
      <c r="I192" s="35" t="str">
        <f>IFERROR(IF(VLOOKUP($B192,casostestes[#Data],8)=0,"-",VLOOKUP($B192,casostestes[#Data],8)),"-")</f>
        <v>-</v>
      </c>
      <c r="J192" s="35" t="str">
        <f>IFERROR(IF(VLOOKUP($B192,casostestes[#Data],9)=0,"-",VLOOKUP($B192,casostestes[#Data],9)),"-")</f>
        <v>-</v>
      </c>
      <c r="K192" s="36"/>
      <c r="L192" s="45"/>
      <c r="M192" s="37"/>
      <c r="N192" s="38"/>
      <c r="O192" s="38"/>
      <c r="P192" s="39"/>
    </row>
    <row r="193" spans="2:16">
      <c r="B193" s="40" t="str">
        <f>IF(ISERR(casostestes[[#This Row],[ID]]),"-",casostestes[[#This Row],[ID]])</f>
        <v>-</v>
      </c>
      <c r="C193" s="34" t="str">
        <f>IFERROR(IF(VLOOKUP($B193,casostestes[#Data],10)=0,"Não",VLOOKUP($B193,casostestes[#Data],10)), "-")</f>
        <v>-</v>
      </c>
      <c r="D193" s="35" t="str">
        <f>IFERROR(IF(VLOOKUP($B193,casostestes[#Data],2)=0,"-",VLOOKUP($B193,casostestes[#Data],2)), "-")</f>
        <v>-</v>
      </c>
      <c r="E193" s="35" t="str">
        <f>IFERROR(IF(VLOOKUP($B193,casostestes[#Data],3)=0,"-",VLOOKUP($B193,casostestes[#Data],3)), "-")</f>
        <v>-</v>
      </c>
      <c r="F193" s="35" t="str">
        <f>IFERROR(IF(VLOOKUP($B193,casostestes[#Data],4)=0,"-",VLOOKUP($B193,casostestes[#Data],4)),"-")</f>
        <v>-</v>
      </c>
      <c r="G193" s="35" t="str">
        <f>IFERROR(IF(VLOOKUP($B193,casostestes[#Data],5)=0,"-",VLOOKUP($B193,casostestes[#Data],5)),"-")</f>
        <v>-</v>
      </c>
      <c r="H193" s="35" t="str">
        <f>IFERROR(IF(VLOOKUP($B193,casostestes[#Data],6)=0,"-",VLOOKUP($B193,casostestes[#Data],6)),"-")</f>
        <v>-</v>
      </c>
      <c r="I193" s="35" t="str">
        <f>IFERROR(IF(VLOOKUP($B193,casostestes[#Data],8)=0,"-",VLOOKUP($B193,casostestes[#Data],8)),"-")</f>
        <v>-</v>
      </c>
      <c r="J193" s="35" t="str">
        <f>IFERROR(IF(VLOOKUP($B193,casostestes[#Data],9)=0,"-",VLOOKUP($B193,casostestes[#Data],9)),"-")</f>
        <v>-</v>
      </c>
      <c r="K193" s="36"/>
      <c r="L193" s="45"/>
      <c r="M193" s="37"/>
      <c r="N193" s="38"/>
      <c r="O193" s="38"/>
      <c r="P193" s="39"/>
    </row>
    <row r="194" spans="2:16">
      <c r="B194" s="40" t="str">
        <f>IF(ISERR(casostestes[[#This Row],[ID]]),"-",casostestes[[#This Row],[ID]])</f>
        <v>-</v>
      </c>
      <c r="C194" s="34" t="str">
        <f>IFERROR(IF(VLOOKUP($B194,casostestes[#Data],10)=0,"Não",VLOOKUP($B194,casostestes[#Data],10)), "-")</f>
        <v>-</v>
      </c>
      <c r="D194" s="35" t="str">
        <f>IFERROR(IF(VLOOKUP($B194,casostestes[#Data],2)=0,"-",VLOOKUP($B194,casostestes[#Data],2)), "-")</f>
        <v>-</v>
      </c>
      <c r="E194" s="35" t="str">
        <f>IFERROR(IF(VLOOKUP($B194,casostestes[#Data],3)=0,"-",VLOOKUP($B194,casostestes[#Data],3)), "-")</f>
        <v>-</v>
      </c>
      <c r="F194" s="35" t="str">
        <f>IFERROR(IF(VLOOKUP($B194,casostestes[#Data],4)=0,"-",VLOOKUP($B194,casostestes[#Data],4)),"-")</f>
        <v>-</v>
      </c>
      <c r="G194" s="35" t="str">
        <f>IFERROR(IF(VLOOKUP($B194,casostestes[#Data],5)=0,"-",VLOOKUP($B194,casostestes[#Data],5)),"-")</f>
        <v>-</v>
      </c>
      <c r="H194" s="35" t="str">
        <f>IFERROR(IF(VLOOKUP($B194,casostestes[#Data],6)=0,"-",VLOOKUP($B194,casostestes[#Data],6)),"-")</f>
        <v>-</v>
      </c>
      <c r="I194" s="35" t="str">
        <f>IFERROR(IF(VLOOKUP($B194,casostestes[#Data],8)=0,"-",VLOOKUP($B194,casostestes[#Data],8)),"-")</f>
        <v>-</v>
      </c>
      <c r="J194" s="35" t="str">
        <f>IFERROR(IF(VLOOKUP($B194,casostestes[#Data],9)=0,"-",VLOOKUP($B194,casostestes[#Data],9)),"-")</f>
        <v>-</v>
      </c>
      <c r="K194" s="36"/>
      <c r="L194" s="45"/>
      <c r="M194" s="37"/>
      <c r="N194" s="38"/>
      <c r="O194" s="38"/>
      <c r="P194" s="39"/>
    </row>
    <row r="195" spans="2:16">
      <c r="B195" s="40" t="str">
        <f>IF(ISERR(casostestes[[#This Row],[ID]]),"-",casostestes[[#This Row],[ID]])</f>
        <v>-</v>
      </c>
      <c r="C195" s="34" t="str">
        <f>IFERROR(IF(VLOOKUP($B195,casostestes[#Data],10)=0,"Não",VLOOKUP($B195,casostestes[#Data],10)), "-")</f>
        <v>-</v>
      </c>
      <c r="D195" s="35" t="str">
        <f>IFERROR(IF(VLOOKUP($B195,casostestes[#Data],2)=0,"-",VLOOKUP($B195,casostestes[#Data],2)), "-")</f>
        <v>-</v>
      </c>
      <c r="E195" s="35" t="str">
        <f>IFERROR(IF(VLOOKUP($B195,casostestes[#Data],3)=0,"-",VLOOKUP($B195,casostestes[#Data],3)), "-")</f>
        <v>-</v>
      </c>
      <c r="F195" s="35" t="str">
        <f>IFERROR(IF(VLOOKUP($B195,casostestes[#Data],4)=0,"-",VLOOKUP($B195,casostestes[#Data],4)),"-")</f>
        <v>-</v>
      </c>
      <c r="G195" s="35" t="str">
        <f>IFERROR(IF(VLOOKUP($B195,casostestes[#Data],5)=0,"-",VLOOKUP($B195,casostestes[#Data],5)),"-")</f>
        <v>-</v>
      </c>
      <c r="H195" s="35" t="str">
        <f>IFERROR(IF(VLOOKUP($B195,casostestes[#Data],6)=0,"-",VLOOKUP($B195,casostestes[#Data],6)),"-")</f>
        <v>-</v>
      </c>
      <c r="I195" s="35" t="str">
        <f>IFERROR(IF(VLOOKUP($B195,casostestes[#Data],8)=0,"-",VLOOKUP($B195,casostestes[#Data],8)),"-")</f>
        <v>-</v>
      </c>
      <c r="J195" s="35" t="str">
        <f>IFERROR(IF(VLOOKUP($B195,casostestes[#Data],9)=0,"-",VLOOKUP($B195,casostestes[#Data],9)),"-")</f>
        <v>-</v>
      </c>
      <c r="K195" s="36"/>
      <c r="L195" s="45"/>
      <c r="M195" s="37"/>
      <c r="N195" s="38"/>
      <c r="O195" s="38"/>
      <c r="P195" s="39"/>
    </row>
    <row r="196" spans="2:16">
      <c r="B196" s="40" t="str">
        <f>IF(ISERR(casostestes[[#This Row],[ID]]),"-",casostestes[[#This Row],[ID]])</f>
        <v>-</v>
      </c>
      <c r="C196" s="34" t="str">
        <f>IFERROR(IF(VLOOKUP($B196,casostestes[#Data],10)=0,"Não",VLOOKUP($B196,casostestes[#Data],10)), "-")</f>
        <v>-</v>
      </c>
      <c r="D196" s="35" t="str">
        <f>IFERROR(IF(VLOOKUP($B196,casostestes[#Data],2)=0,"-",VLOOKUP($B196,casostestes[#Data],2)), "-")</f>
        <v>-</v>
      </c>
      <c r="E196" s="35" t="str">
        <f>IFERROR(IF(VLOOKUP($B196,casostestes[#Data],3)=0,"-",VLOOKUP($B196,casostestes[#Data],3)), "-")</f>
        <v>-</v>
      </c>
      <c r="F196" s="35" t="str">
        <f>IFERROR(IF(VLOOKUP($B196,casostestes[#Data],4)=0,"-",VLOOKUP($B196,casostestes[#Data],4)),"-")</f>
        <v>-</v>
      </c>
      <c r="G196" s="35" t="str">
        <f>IFERROR(IF(VLOOKUP($B196,casostestes[#Data],5)=0,"-",VLOOKUP($B196,casostestes[#Data],5)),"-")</f>
        <v>-</v>
      </c>
      <c r="H196" s="35" t="str">
        <f>IFERROR(IF(VLOOKUP($B196,casostestes[#Data],6)=0,"-",VLOOKUP($B196,casostestes[#Data],6)),"-")</f>
        <v>-</v>
      </c>
      <c r="I196" s="35" t="str">
        <f>IFERROR(IF(VLOOKUP($B196,casostestes[#Data],8)=0,"-",VLOOKUP($B196,casostestes[#Data],8)),"-")</f>
        <v>-</v>
      </c>
      <c r="J196" s="35" t="str">
        <f>IFERROR(IF(VLOOKUP($B196,casostestes[#Data],9)=0,"-",VLOOKUP($B196,casostestes[#Data],9)),"-")</f>
        <v>-</v>
      </c>
      <c r="K196" s="36"/>
      <c r="L196" s="45"/>
      <c r="M196" s="37"/>
      <c r="N196" s="38"/>
      <c r="O196" s="38"/>
      <c r="P196" s="39"/>
    </row>
    <row r="197" spans="2:16">
      <c r="B197" s="40" t="str">
        <f>IF(ISERR(casostestes[[#This Row],[ID]]),"-",casostestes[[#This Row],[ID]])</f>
        <v>-</v>
      </c>
      <c r="C197" s="34" t="str">
        <f>IFERROR(IF(VLOOKUP($B197,casostestes[#Data],10)=0,"Não",VLOOKUP($B197,casostestes[#Data],10)), "-")</f>
        <v>-</v>
      </c>
      <c r="D197" s="35" t="str">
        <f>IFERROR(IF(VLOOKUP($B197,casostestes[#Data],2)=0,"-",VLOOKUP($B197,casostestes[#Data],2)), "-")</f>
        <v>-</v>
      </c>
      <c r="E197" s="35" t="str">
        <f>IFERROR(IF(VLOOKUP($B197,casostestes[#Data],3)=0,"-",VLOOKUP($B197,casostestes[#Data],3)), "-")</f>
        <v>-</v>
      </c>
      <c r="F197" s="35" t="str">
        <f>IFERROR(IF(VLOOKUP($B197,casostestes[#Data],4)=0,"-",VLOOKUP($B197,casostestes[#Data],4)),"-")</f>
        <v>-</v>
      </c>
      <c r="G197" s="35" t="str">
        <f>IFERROR(IF(VLOOKUP($B197,casostestes[#Data],5)=0,"-",VLOOKUP($B197,casostestes[#Data],5)),"-")</f>
        <v>-</v>
      </c>
      <c r="H197" s="35" t="str">
        <f>IFERROR(IF(VLOOKUP($B197,casostestes[#Data],6)=0,"-",VLOOKUP($B197,casostestes[#Data],6)),"-")</f>
        <v>-</v>
      </c>
      <c r="I197" s="35" t="str">
        <f>IFERROR(IF(VLOOKUP($B197,casostestes[#Data],8)=0,"-",VLOOKUP($B197,casostestes[#Data],8)),"-")</f>
        <v>-</v>
      </c>
      <c r="J197" s="35" t="str">
        <f>IFERROR(IF(VLOOKUP($B197,casostestes[#Data],9)=0,"-",VLOOKUP($B197,casostestes[#Data],9)),"-")</f>
        <v>-</v>
      </c>
      <c r="K197" s="36"/>
      <c r="L197" s="45"/>
      <c r="M197" s="37"/>
      <c r="N197" s="38"/>
      <c r="O197" s="38"/>
      <c r="P197" s="39"/>
    </row>
    <row r="198" spans="2:16">
      <c r="B198" s="40" t="str">
        <f>IF(ISERR(casostestes[[#This Row],[ID]]),"-",casostestes[[#This Row],[ID]])</f>
        <v>-</v>
      </c>
      <c r="C198" s="34" t="str">
        <f>IFERROR(IF(VLOOKUP($B198,casostestes[#Data],10)=0,"Não",VLOOKUP($B198,casostestes[#Data],10)), "-")</f>
        <v>-</v>
      </c>
      <c r="D198" s="35" t="str">
        <f>IFERROR(IF(VLOOKUP($B198,casostestes[#Data],2)=0,"-",VLOOKUP($B198,casostestes[#Data],2)), "-")</f>
        <v>-</v>
      </c>
      <c r="E198" s="35" t="str">
        <f>IFERROR(IF(VLOOKUP($B198,casostestes[#Data],3)=0,"-",VLOOKUP($B198,casostestes[#Data],3)), "-")</f>
        <v>-</v>
      </c>
      <c r="F198" s="35" t="str">
        <f>IFERROR(IF(VLOOKUP($B198,casostestes[#Data],4)=0,"-",VLOOKUP($B198,casostestes[#Data],4)),"-")</f>
        <v>-</v>
      </c>
      <c r="G198" s="35" t="str">
        <f>IFERROR(IF(VLOOKUP($B198,casostestes[#Data],5)=0,"-",VLOOKUP($B198,casostestes[#Data],5)),"-")</f>
        <v>-</v>
      </c>
      <c r="H198" s="35" t="str">
        <f>IFERROR(IF(VLOOKUP($B198,casostestes[#Data],6)=0,"-",VLOOKUP($B198,casostestes[#Data],6)),"-")</f>
        <v>-</v>
      </c>
      <c r="I198" s="35" t="str">
        <f>IFERROR(IF(VLOOKUP($B198,casostestes[#Data],8)=0,"-",VLOOKUP($B198,casostestes[#Data],8)),"-")</f>
        <v>-</v>
      </c>
      <c r="J198" s="35" t="str">
        <f>IFERROR(IF(VLOOKUP($B198,casostestes[#Data],9)=0,"-",VLOOKUP($B198,casostestes[#Data],9)),"-")</f>
        <v>-</v>
      </c>
      <c r="K198" s="36"/>
      <c r="L198" s="45"/>
      <c r="M198" s="37"/>
      <c r="N198" s="38"/>
      <c r="O198" s="38"/>
      <c r="P198" s="39"/>
    </row>
    <row r="199" spans="2:16">
      <c r="B199" s="40" t="str">
        <f>IF(ISERR(casostestes[[#This Row],[ID]]),"-",casostestes[[#This Row],[ID]])</f>
        <v>-</v>
      </c>
      <c r="C199" s="34" t="str">
        <f>IFERROR(IF(VLOOKUP($B199,casostestes[#Data],10)=0,"Não",VLOOKUP($B199,casostestes[#Data],10)), "-")</f>
        <v>-</v>
      </c>
      <c r="D199" s="35" t="str">
        <f>IFERROR(IF(VLOOKUP($B199,casostestes[#Data],2)=0,"-",VLOOKUP($B199,casostestes[#Data],2)), "-")</f>
        <v>-</v>
      </c>
      <c r="E199" s="35" t="str">
        <f>IFERROR(IF(VLOOKUP($B199,casostestes[#Data],3)=0,"-",VLOOKUP($B199,casostestes[#Data],3)), "-")</f>
        <v>-</v>
      </c>
      <c r="F199" s="35" t="str">
        <f>IFERROR(IF(VLOOKUP($B199,casostestes[#Data],4)=0,"-",VLOOKUP($B199,casostestes[#Data],4)),"-")</f>
        <v>-</v>
      </c>
      <c r="G199" s="35" t="str">
        <f>IFERROR(IF(VLOOKUP($B199,casostestes[#Data],5)=0,"-",VLOOKUP($B199,casostestes[#Data],5)),"-")</f>
        <v>-</v>
      </c>
      <c r="H199" s="35" t="str">
        <f>IFERROR(IF(VLOOKUP($B199,casostestes[#Data],6)=0,"-",VLOOKUP($B199,casostestes[#Data],6)),"-")</f>
        <v>-</v>
      </c>
      <c r="I199" s="35" t="str">
        <f>IFERROR(IF(VLOOKUP($B199,casostestes[#Data],8)=0,"-",VLOOKUP($B199,casostestes[#Data],8)),"-")</f>
        <v>-</v>
      </c>
      <c r="J199" s="35" t="str">
        <f>IFERROR(IF(VLOOKUP($B199,casostestes[#Data],9)=0,"-",VLOOKUP($B199,casostestes[#Data],9)),"-")</f>
        <v>-</v>
      </c>
      <c r="K199" s="36"/>
      <c r="L199" s="45"/>
      <c r="M199" s="37"/>
      <c r="N199" s="38"/>
      <c r="O199" s="38"/>
      <c r="P199" s="39"/>
    </row>
    <row r="200" spans="2:16">
      <c r="B200" s="40" t="str">
        <f>IF(ISERR(casostestes[[#This Row],[ID]]),"-",casostestes[[#This Row],[ID]])</f>
        <v>-</v>
      </c>
      <c r="C200" s="41" t="str">
        <f>IFERROR(IF(VLOOKUP($B200,casostestes[#Data],10)=0,"Não",VLOOKUP($B200,casostestes[#Data],10)), "-")</f>
        <v>-</v>
      </c>
      <c r="D200" s="42" t="str">
        <f>IFERROR(IF(VLOOKUP($B200,casostestes[#Data],2)=0,"-",VLOOKUP($B200,casostestes[#Data],2)), "-")</f>
        <v>-</v>
      </c>
      <c r="E200" s="42" t="str">
        <f>IFERROR(IF(VLOOKUP($B200,casostestes[#Data],3)=0,"-",VLOOKUP($B200,casostestes[#Data],3)), "-")</f>
        <v>-</v>
      </c>
      <c r="F200" s="42" t="str">
        <f>IFERROR(IF(VLOOKUP($B200,casostestes[#Data],4)=0,"-",VLOOKUP($B200,casostestes[#Data],4)),"-")</f>
        <v>-</v>
      </c>
      <c r="G200" s="42" t="str">
        <f>IFERROR(IF(VLOOKUP($B200,casostestes[#Data],5)=0,"-",VLOOKUP($B200,casostestes[#Data],5)),"-")</f>
        <v>-</v>
      </c>
      <c r="H200" s="42" t="str">
        <f>IFERROR(IF(VLOOKUP($B200,casostestes[#Data],6)=0,"-",VLOOKUP($B200,casostestes[#Data],6)),"-")</f>
        <v>-</v>
      </c>
      <c r="I200" s="42" t="str">
        <f>IFERROR(IF(VLOOKUP($B200,casostestes[#Data],8)=0,"-",VLOOKUP($B200,casostestes[#Data],8)),"-")</f>
        <v>-</v>
      </c>
      <c r="J200" s="42" t="str">
        <f>IFERROR(IF(VLOOKUP($B200,casostestes[#Data],9)=0,"-",VLOOKUP($B200,casostestes[#Data],9)),"-")</f>
        <v>-</v>
      </c>
      <c r="K200" s="43"/>
      <c r="L200" s="45"/>
      <c r="M200" s="44"/>
      <c r="N200" s="45"/>
      <c r="O200" s="45"/>
      <c r="P200" s="46"/>
    </row>
  </sheetData>
  <mergeCells count="3">
    <mergeCell ref="B1:J1"/>
    <mergeCell ref="B2:J2"/>
    <mergeCell ref="B3:J3"/>
  </mergeCells>
  <conditionalFormatting sqref="C8:C200 C201:D1048576">
    <cfRule type="cellIs" dxfId="209" priority="6" operator="equal">
      <formula>"Sim"</formula>
    </cfRule>
    <cfRule type="cellIs" dxfId="208" priority="7" operator="equal">
      <formula>"Não"</formula>
    </cfRule>
  </conditionalFormatting>
  <conditionalFormatting sqref="M8:M200">
    <cfRule type="cellIs" dxfId="207" priority="1" operator="equal">
      <formula>"Sem massa"</formula>
    </cfRule>
    <cfRule type="cellIs" dxfId="206" priority="2" operator="equal">
      <formula>"Pendência Externa"</formula>
    </cfRule>
    <cfRule type="cellIs" dxfId="205" priority="3" operator="equal">
      <formula>"Disponível para reteste"</formula>
    </cfRule>
    <cfRule type="cellIs" dxfId="204" priority="4" operator="equal">
      <formula>"Reprovado"</formula>
    </cfRule>
    <cfRule type="cellIs" dxfId="203" priority="5" operator="equal">
      <formula>"Aprovado"</formula>
    </cfRule>
  </conditionalFormatting>
  <dataValidations count="1">
    <dataValidation type="list" allowBlank="1" showInputMessage="1" showErrorMessage="1" sqref="M8:M200" xr:uid="{B5434264-A04C-4F0D-9B49-C6731AC97315}">
      <formula1>INDIRECT("status[status]")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BE77F-2F15-476B-9ADF-5EA5064026C5}">
  <sheetPr>
    <tabColor theme="9" tint="0.79998168889431442"/>
  </sheetPr>
  <dimension ref="B1:P200"/>
  <sheetViews>
    <sheetView showGridLines="0" zoomScaleNormal="100" workbookViewId="0">
      <pane xSplit="5" ySplit="7" topLeftCell="F8" activePane="bottomRight" state="frozen"/>
      <selection pane="bottomRight" activeCell="F8" sqref="F8"/>
      <selection pane="bottomLeft" activeCell="E11" sqref="E11"/>
      <selection pane="topRight" activeCell="E11" sqref="E11"/>
    </sheetView>
  </sheetViews>
  <sheetFormatPr defaultColWidth="9.140625" defaultRowHeight="15"/>
  <cols>
    <col min="1" max="1" width="2.7109375" style="14" customWidth="1"/>
    <col min="2" max="2" width="7.7109375" style="14" customWidth="1"/>
    <col min="3" max="3" width="15.42578125" style="14" customWidth="1"/>
    <col min="4" max="4" width="26" style="14" customWidth="1"/>
    <col min="5" max="5" width="57.42578125" style="14" customWidth="1"/>
    <col min="6" max="6" width="17.7109375" style="14" customWidth="1"/>
    <col min="7" max="7" width="24.42578125" style="14" customWidth="1"/>
    <col min="8" max="8" width="57.42578125" style="14" customWidth="1"/>
    <col min="9" max="9" width="16.7109375" style="14" customWidth="1"/>
    <col min="10" max="10" width="104.7109375" style="14" customWidth="1"/>
    <col min="11" max="11" width="18" style="14" customWidth="1"/>
    <col min="12" max="12" width="20.5703125" style="14" customWidth="1"/>
    <col min="13" max="13" width="21.85546875" style="14" customWidth="1"/>
    <col min="14" max="14" width="31.5703125" style="14" customWidth="1"/>
    <col min="15" max="15" width="24.85546875" style="14" customWidth="1"/>
    <col min="16" max="16" width="22.42578125" style="14" customWidth="1"/>
    <col min="17" max="16384" width="9.140625" style="14"/>
  </cols>
  <sheetData>
    <row r="1" spans="2:16" ht="26.25">
      <c r="B1" s="106" t="s">
        <v>0</v>
      </c>
      <c r="C1" s="106"/>
      <c r="D1" s="106"/>
      <c r="E1" s="106"/>
      <c r="F1" s="106"/>
      <c r="G1" s="106"/>
      <c r="H1" s="106"/>
      <c r="I1" s="106"/>
      <c r="J1" s="106"/>
      <c r="K1" s="19"/>
      <c r="L1" s="19"/>
    </row>
    <row r="2" spans="2:16" s="21" customFormat="1" ht="23.25">
      <c r="B2" s="107" t="s">
        <v>1</v>
      </c>
      <c r="C2" s="107"/>
      <c r="D2" s="107"/>
      <c r="E2" s="107"/>
      <c r="F2" s="107"/>
      <c r="G2" s="107"/>
      <c r="H2" s="107"/>
      <c r="I2" s="107"/>
      <c r="J2" s="107"/>
      <c r="K2" s="20"/>
      <c r="L2" s="20"/>
    </row>
    <row r="3" spans="2:16" s="21" customFormat="1" ht="23.25">
      <c r="B3" s="107" t="s">
        <v>2</v>
      </c>
      <c r="C3" s="107"/>
      <c r="D3" s="107"/>
      <c r="E3" s="107"/>
      <c r="F3" s="107"/>
      <c r="G3" s="107"/>
      <c r="H3" s="107"/>
      <c r="I3" s="107"/>
      <c r="J3" s="107"/>
      <c r="K3" s="20"/>
      <c r="L3" s="20"/>
    </row>
    <row r="5" spans="2:16">
      <c r="B5" s="3"/>
      <c r="E5" s="3"/>
    </row>
    <row r="7" spans="2:16" s="3" customFormat="1">
      <c r="B7" s="15" t="s">
        <v>3</v>
      </c>
      <c r="C7" s="16" t="s">
        <v>4</v>
      </c>
      <c r="D7" s="16" t="s">
        <v>5</v>
      </c>
      <c r="E7" s="17" t="s">
        <v>6</v>
      </c>
      <c r="F7" s="17" t="s">
        <v>7</v>
      </c>
      <c r="G7" s="17" t="s">
        <v>8</v>
      </c>
      <c r="H7" s="17" t="s">
        <v>9</v>
      </c>
      <c r="I7" s="17" t="s">
        <v>10</v>
      </c>
      <c r="J7" s="17" t="s">
        <v>11</v>
      </c>
      <c r="K7" s="17" t="s">
        <v>12</v>
      </c>
      <c r="L7" s="17" t="s">
        <v>13</v>
      </c>
      <c r="M7" s="17" t="s">
        <v>14</v>
      </c>
      <c r="N7" s="17" t="s">
        <v>15</v>
      </c>
      <c r="O7" s="17" t="s">
        <v>16</v>
      </c>
      <c r="P7" s="18" t="s">
        <v>17</v>
      </c>
    </row>
    <row r="8" spans="2:16" s="13" customFormat="1" ht="105">
      <c r="B8" s="34">
        <f>IF(ISERR(casostestes[[#This Row],[ID]]),"-",casostestes[[#This Row],[ID]])</f>
        <v>1</v>
      </c>
      <c r="C8" s="34" t="str">
        <f>IFERROR(IF(VLOOKUP($B8,casostestes[#Data],10)=0,"Não",VLOOKUP($B8,casostestes[#Data],10)), "-")</f>
        <v>Sim</v>
      </c>
      <c r="D8" s="35" t="str">
        <f>IFERROR(IF(VLOOKUP($B8,casostestes[#Data],2)=0,"-",VLOOKUP($B8,casostestes[#Data],2)), "-")</f>
        <v>Requerimento Inicial de BI</v>
      </c>
      <c r="E8" s="35" t="str">
        <f>IFERROR(IF(VLOOKUP($B8,casostestes[#Data],3)=0,"-",VLOOKUP($B8,casostestes[#Data],3)), "-")</f>
        <v>6
Criação de tarefa de BI inicial com fluxo ATESTMED para categoria DIFERENTE de Segurado Especial COM exigência de preenchimento da AD.
Premissas:
Catálogo: Exige autodeclaração = ATIVADO
Parâmetro:  144 - Fluxo ATESTMED = LIGADO</v>
      </c>
      <c r="F8" s="35" t="str">
        <f>IFERROR(IF(VLOOKUP($B8,casostestes[#Data],4)=0,"-",VLOOKUP($B8,casostestes[#Data],4)),"-")</f>
        <v>Central 135</v>
      </c>
      <c r="G8" s="35" t="str">
        <f>IFERROR(IF(VLOOKUP($B8,casostestes[#Data],5)=0,"-",VLOOKUP($B8,casostestes[#Data],5)),"-")</f>
        <v>ATENDENTE_CENTRAL_135</v>
      </c>
      <c r="H8" s="35" t="str">
        <f>IFERROR(IF(VLOOKUP($B8,casostestes[#Data],6)=0,"-",VLOOKUP($B8,casostestes[#Data],6)),"-")</f>
        <v>1. Logar no Portal do Atendimento INSS com o perfil do caso de teste
2. Criar tarefa de BI informando:
- Tipo de Incapacidade? "Temporário"
- A pessoa está presa?  "Não"
- Categoria do trabalhador "Desempregado" ...
- A pessoa ficou sem trabalhar? "Sim"</v>
      </c>
      <c r="I8" s="35" t="str">
        <f>IFERROR(IF(VLOOKUP($B8,casostestes[#Data],8)=0,"-",VLOOKUP($B8,casostestes[#Data],8)),"-")</f>
        <v>-</v>
      </c>
      <c r="J8" s="35" t="str">
        <f>IFERROR(IF(VLOOKUP($B8,casostestes[#Data],9)=0,"-",VLOOKUP($B8,casostestes[#Data],9)),"-")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8" s="36"/>
      <c r="L8" s="38"/>
      <c r="M8" s="37"/>
      <c r="N8" s="38"/>
      <c r="O8" s="38"/>
      <c r="P8" s="39"/>
    </row>
    <row r="9" spans="2:16" ht="240">
      <c r="B9" s="40">
        <f>IF(ISERR(casostestes[[#This Row],[ID]]),"-",casostestes[[#This Row],[ID]])</f>
        <v>2</v>
      </c>
      <c r="C9" s="41" t="str">
        <f>IFERROR(IF(VLOOKUP($B9,casostestes[#Data],10)=0,"Não",VLOOKUP($B9,casostestes[#Data],10)), "-")</f>
        <v>Sim</v>
      </c>
      <c r="D9" s="42" t="str">
        <f>IFERROR(IF(VLOOKUP($B9,casostestes[#Data],2)=0,"-",VLOOKUP($B9,casostestes[#Data],2)), "-")</f>
        <v>Integração</v>
      </c>
      <c r="E9" s="42" t="str">
        <f>IFERROR(IF(VLOOKUP($B9,casostestes[#Data],3)=0,"-",VLOOKUP($B9,casostestes[#Data],3)), "-")</f>
        <v>12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9" s="42" t="str">
        <f>IFERROR(IF(VLOOKUP($B9,casostestes[#Data],4)=0,"-",VLOOKUP($B9,casostestes[#Data],4)),"-")</f>
        <v>PAT</v>
      </c>
      <c r="G9" s="42" t="str">
        <f>IFERROR(IF(VLOOKUP($B9,casostestes[#Data],5)=0,"-",VLOOKUP($B9,casostestes[#Data],5)),"-")</f>
        <v>SERVIDOR</v>
      </c>
      <c r="H9" s="42" t="str">
        <f>IFERROR(IF(VLOOKUP($B9,casostestes[#Data],6)=0,"-",VLOOKUP($B9,casostestes[#Data],6)),"-")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9" s="42" t="str">
        <f>IFERROR(IF(VLOOKUP($B9,casostestes[#Data],8)=0,"-",VLOOKUP($B9,casostestes[#Data],8)),"-")</f>
        <v>-</v>
      </c>
      <c r="J9" s="42" t="str">
        <f>IFERROR(IF(VLOOKUP($B9,casostestes[#Data],9)=0,"-",VLOOKUP($B9,casostestes[#Data],9)),"-")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9" s="43"/>
      <c r="L9" s="45"/>
      <c r="M9" s="44"/>
      <c r="N9" s="45"/>
      <c r="O9" s="45"/>
      <c r="P9" s="46"/>
    </row>
    <row r="10" spans="2:16" ht="210">
      <c r="B10" s="40">
        <f>IF(ISERR(casostestes[[#This Row],[ID]]),"-",casostestes[[#This Row],[ID]])</f>
        <v>3</v>
      </c>
      <c r="C10" s="34" t="str">
        <f>IFERROR(IF(VLOOKUP($B10,casostestes[#Data],10)=0,"Não",VLOOKUP($B10,casostestes[#Data],10)), "-")</f>
        <v>Sim</v>
      </c>
      <c r="D10" s="35" t="str">
        <f>IFERROR(IF(VLOOKUP($B10,casostestes[#Data],2)=0,"-",VLOOKUP($B10,casostestes[#Data],2)), "-")</f>
        <v>Integração</v>
      </c>
      <c r="E10" s="35" t="str">
        <f>IFERROR(IF(VLOOKUP($B10,casostestes[#Data],3)=0,"-",VLOOKUP($B10,casostestes[#Data],3)), "-")</f>
        <v>13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10" s="35" t="str">
        <f>IFERROR(IF(VLOOKUP($B10,casostestes[#Data],4)=0,"-",VLOOKUP($B10,casostestes[#Data],4)),"-")</f>
        <v>PAT</v>
      </c>
      <c r="G10" s="35" t="str">
        <f>IFERROR(IF(VLOOKUP($B10,casostestes[#Data],5)=0,"-",VLOOKUP($B10,casostestes[#Data],5)),"-")</f>
        <v>SERVIDOR</v>
      </c>
      <c r="H10" s="35" t="str">
        <f>IFERROR(IF(VLOOKUP($B10,casostestes[#Data],6)=0,"-",VLOOKUP($B10,casostestes[#Data],6)),"-")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10" s="35" t="str">
        <f>IFERROR(IF(VLOOKUP($B10,casostestes[#Data],8)=0,"-",VLOOKUP($B10,casostestes[#Data],8)),"-")</f>
        <v>-</v>
      </c>
      <c r="J10" s="35" t="str">
        <f>IFERROR(IF(VLOOKUP($B10,casostestes[#Data],9)=0,"-",VLOOKUP($B10,casostestes[#Data],9)),"-")</f>
        <v>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</v>
      </c>
      <c r="K10" s="36"/>
      <c r="L10" s="45"/>
      <c r="M10" s="37"/>
      <c r="N10" s="38"/>
      <c r="O10" s="38"/>
      <c r="P10" s="39"/>
    </row>
    <row r="11" spans="2:16" ht="225">
      <c r="B11" s="40">
        <f>IF(ISERR(casostestes[[#This Row],[ID]]),"-",casostestes[[#This Row],[ID]])</f>
        <v>4</v>
      </c>
      <c r="C11" s="34" t="str">
        <f>IFERROR(IF(VLOOKUP($B11,casostestes[#Data],10)=0,"Não",VLOOKUP($B11,casostestes[#Data],10)), "-")</f>
        <v>Sim</v>
      </c>
      <c r="D11" s="35" t="str">
        <f>IFERROR(IF(VLOOKUP($B11,casostestes[#Data],2)=0,"-",VLOOKUP($B11,casostestes[#Data],2)), "-")</f>
        <v>Integração</v>
      </c>
      <c r="E11" s="35" t="str">
        <f>IFERROR(IF(VLOOKUP($B11,casostestes[#Data],3)=0,"-",VLOOKUP($B11,casostestes[#Data],3)), "-")</f>
        <v>16
Cumprir a exigência de autodeclaração</v>
      </c>
      <c r="F11" s="35" t="str">
        <f>IFERROR(IF(VLOOKUP($B11,casostestes[#Data],4)=0,"-",VLOOKUP($B11,casostestes[#Data],4)),"-")</f>
        <v>PAT</v>
      </c>
      <c r="G11" s="35" t="str">
        <f>IFERROR(IF(VLOOKUP($B11,casostestes[#Data],5)=0,"-",VLOOKUP($B11,casostestes[#Data],5)),"-")</f>
        <v>SERVIDOR</v>
      </c>
      <c r="H11" s="35" t="str">
        <f>IFERROR(IF(VLOOKUP($B11,casostestes[#Data],6)=0,"-",VLOOKUP($B11,casostestes[#Data],6)),"-")</f>
        <v>1. Logar no Portal do Atendimento INSS com o perfil Servidor
2.Consultar uma tarefa em exigência de autodeclaração e acionar Cumprir Exigência  
3. Responder o formulário de autodeclaração até o final</v>
      </c>
      <c r="I11" s="35" t="str">
        <f>IFERROR(IF(VLOOKUP($B11,casostestes[#Data],8)=0,"-",VLOOKUP($B11,casostestes[#Data],8)),"-")</f>
        <v>-</v>
      </c>
      <c r="J11" s="35" t="str">
        <f>IFERROR(IF(VLOOKUP($B11,casostestes[#Data],9)=0,"-",VLOOKUP($B11,casostestes[#Data],9)),"-")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11" s="36"/>
      <c r="L11" s="45"/>
      <c r="M11" s="37"/>
      <c r="N11" s="38"/>
      <c r="O11" s="38"/>
      <c r="P11" s="39"/>
    </row>
    <row r="12" spans="2:16" ht="165">
      <c r="B12" s="40">
        <f>IF(ISERR(casostestes[[#This Row],[ID]]),"-",casostestes[[#This Row],[ID]])</f>
        <v>5</v>
      </c>
      <c r="C12" s="34" t="str">
        <f>IFERROR(IF(VLOOKUP($B12,casostestes[#Data],10)=0,"Não",VLOOKUP($B12,casostestes[#Data],10)), "-")</f>
        <v>Sim</v>
      </c>
      <c r="D12" s="35" t="str">
        <f>IFERROR(IF(VLOOKUP($B12,casostestes[#Data],2)=0,"-",VLOOKUP($B12,casostestes[#Data],2)), "-")</f>
        <v>Integração</v>
      </c>
      <c r="E12" s="35" t="str">
        <f>IFERROR(IF(VLOOKUP($B12,casostestes[#Data],3)=0,"-",VLOOKUP($B12,casostestes[#Data],3)), "-")</f>
        <v>17
Responder o formulário de autodeclaração acessando diretamente a aba segurado especial ao detalhar a tarefa, onde a tarefa encontra-se em exigência de autodeclaração</v>
      </c>
      <c r="F12" s="35" t="str">
        <f>IFERROR(IF(VLOOKUP($B12,casostestes[#Data],4)=0,"-",VLOOKUP($B12,casostestes[#Data],4)),"-")</f>
        <v>PAT</v>
      </c>
      <c r="G12" s="35" t="str">
        <f>IFERROR(IF(VLOOKUP($B12,casostestes[#Data],5)=0,"-",VLOOKUP($B12,casostestes[#Data],5)),"-")</f>
        <v>SERVIDOR</v>
      </c>
      <c r="H12" s="35" t="str">
        <f>IFERROR(IF(VLOOKUP($B12,casostestes[#Data],6)=0,"-",VLOOKUP($B12,casostestes[#Data],6)),"-")</f>
        <v>1. Logar no Portal do Atendimento INSS com o perfil Servidor
2.Consultar uma tarefa em exigência de autodeclaração 
3. Acionar a aba Segurado especial
3. Responder o formulário de autodeclaração até o final</v>
      </c>
      <c r="I12" s="35" t="str">
        <f>IFERROR(IF(VLOOKUP($B12,casostestes[#Data],8)=0,"-",VLOOKUP($B12,casostestes[#Data],8)),"-")</f>
        <v>-</v>
      </c>
      <c r="J12" s="35" t="str">
        <f>IFERROR(IF(VLOOKUP($B12,casostestes[#Data],9)=0,"-",VLOOKUP($B12,casostestes[#Data],9)),"-")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12" s="36"/>
      <c r="L12" s="45"/>
      <c r="M12" s="37"/>
      <c r="N12" s="38"/>
      <c r="O12" s="38"/>
      <c r="P12" s="39"/>
    </row>
    <row r="13" spans="2:16" ht="105">
      <c r="B13" s="40">
        <f>IF(ISERR(casostestes[[#This Row],[ID]]),"-",casostestes[[#This Row],[ID]])</f>
        <v>6</v>
      </c>
      <c r="C13" s="34" t="str">
        <f>IFERROR(IF(VLOOKUP($B13,casostestes[#Data],10)=0,"Não",VLOOKUP($B13,casostestes[#Data],10)), "-")</f>
        <v>Sim</v>
      </c>
      <c r="D13" s="35" t="str">
        <f>IFERROR(IF(VLOOKUP($B13,casostestes[#Data],2)=0,"-",VLOOKUP($B13,casostestes[#Data],2)), "-")</f>
        <v>Integração</v>
      </c>
      <c r="E13" s="35" t="str">
        <f>IFERROR(IF(VLOOKUP($B13,casostestes[#Data],3)=0,"-",VLOOKUP($B13,casostestes[#Data],3)), "-")</f>
        <v>18
Responder o formulário de autodeclaração acessando diretamente a aba segurado especial ao detalhar a tarefa, onde a tarefa encontra-se em exigência de documento médico</v>
      </c>
      <c r="F13" s="35" t="str">
        <f>IFERROR(IF(VLOOKUP($B13,casostestes[#Data],4)=0,"-",VLOOKUP($B13,casostestes[#Data],4)),"-")</f>
        <v>PAT</v>
      </c>
      <c r="G13" s="35" t="str">
        <f>IFERROR(IF(VLOOKUP($B13,casostestes[#Data],5)=0,"-",VLOOKUP($B13,casostestes[#Data],5)),"-")</f>
        <v>SERVIDOR</v>
      </c>
      <c r="H13" s="35" t="str">
        <f>IFERROR(IF(VLOOKUP($B13,casostestes[#Data],6)=0,"-",VLOOKUP($B13,casostestes[#Data],6)),"-")</f>
        <v>1. Logar no Portal do Atendimento INSS com o perfil Servidor
2.Consultar uma tarefa em exigência de documento médico
3. Acionar a aba Segurado especial
3. Responder o formulário de autodeclaração até o final</v>
      </c>
      <c r="I13" s="35" t="str">
        <f>IFERROR(IF(VLOOKUP($B13,casostestes[#Data],8)=0,"-",VLOOKUP($B13,casostestes[#Data],8)),"-")</f>
        <v>-</v>
      </c>
      <c r="J13" s="35" t="str">
        <f>IFERROR(IF(VLOOKUP($B13,casostestes[#Data],9)=0,"-",VLOOKUP($B13,casostestes[#Data],9)),"-")</f>
        <v xml:space="preserve">
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13" s="36"/>
      <c r="L13" s="45"/>
      <c r="M13" s="37"/>
      <c r="N13" s="38"/>
      <c r="O13" s="38"/>
      <c r="P13" s="39"/>
    </row>
    <row r="14" spans="2:16" ht="240">
      <c r="B14" s="40">
        <f>IF(ISERR(casostestes[[#This Row],[ID]]),"-",casostestes[[#This Row],[ID]])</f>
        <v>7</v>
      </c>
      <c r="C14" s="34" t="str">
        <f>IFERROR(IF(VLOOKUP($B14,casostestes[#Data],10)=0,"Não",VLOOKUP($B14,casostestes[#Data],10)), "-")</f>
        <v>Sim</v>
      </c>
      <c r="D14" s="35" t="str">
        <f>IFERROR(IF(VLOOKUP($B14,casostestes[#Data],2)=0,"-",VLOOKUP($B14,casostestes[#Data],2)), "-")</f>
        <v>Integração</v>
      </c>
      <c r="E14" s="35" t="str">
        <f>IFERROR(IF(VLOOKUP($B14,casostestes[#Data],3)=0,"-",VLOOKUP($B14,casostestes[#Data],3)), "-")</f>
        <v>19
Criar tarefa de BI inicial fluxo ATESTMEDQ para categoria "Segurado especial" onde o parâmetro "Exige Autodeclaração" no Catálogo está ATIVADO,  NÃO foi respondida a autodeclaração, NÃO foi incluído o anexo detalhado de AD e cidadão está preso
**Parâmetro PAT ligado: 144 - Fluxo ATESTMEDQ</v>
      </c>
      <c r="F14" s="35" t="str">
        <f>IFERROR(IF(VLOOKUP($B14,casostestes[#Data],4)=0,"-",VLOOKUP($B14,casostestes[#Data],4)),"-")</f>
        <v>PAT</v>
      </c>
      <c r="G14" s="35" t="str">
        <f>IFERROR(IF(VLOOKUP($B14,casostestes[#Data],5)=0,"-",VLOOKUP($B14,casostestes[#Data],5)),"-")</f>
        <v>SERVIDOR</v>
      </c>
      <c r="H14" s="35" t="str">
        <f>IFERROR(IF(VLOOKUP($B14,casostestes[#Data],6)=0,"-",VLOOKUP($B14,casostestes[#Data],6)),"-")</f>
        <v xml:space="preserve">1. Logar no Portal do Atendimento INSS com o perfil do caso de teste
2.Criar tarefa de BI informando:
Tipo de Incapacidade? "Temporária "
A pessoa está presa?  Sim
Categoria do trabalhador "Segurado Especial"
A pessoa ficou sem trabalhar? Sim
3. NÃO Informar anexo detalhado de autodeclaração
4. NÃO responder o formulário de autodeclaração
</v>
      </c>
      <c r="I14" s="35" t="str">
        <f>IFERROR(IF(VLOOKUP($B14,casostestes[#Data],8)=0,"-",VLOOKUP($B14,casostestes[#Data],8)),"-")</f>
        <v>-</v>
      </c>
      <c r="J14" s="35" t="str">
        <f>IFERROR(IF(VLOOKUP($B14,casostestes[#Data],9)=0,"-",VLOOKUP($B14,casostestes[#Data],9)),"-")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14" s="36"/>
      <c r="L14" s="45"/>
      <c r="M14" s="37"/>
      <c r="N14" s="38"/>
      <c r="O14" s="38"/>
      <c r="P14" s="39"/>
    </row>
    <row r="15" spans="2:16" ht="240">
      <c r="B15" s="40">
        <f>IF(ISERR(casostestes[[#This Row],[ID]]),"-",casostestes[[#This Row],[ID]])</f>
        <v>8</v>
      </c>
      <c r="C15" s="34" t="str">
        <f>IFERROR(IF(VLOOKUP($B15,casostestes[#Data],10)=0,"Não",VLOOKUP($B15,casostestes[#Data],10)), "-")</f>
        <v>Sim</v>
      </c>
      <c r="D15" s="35" t="str">
        <f>IFERROR(IF(VLOOKUP($B15,casostestes[#Data],2)=0,"-",VLOOKUP($B15,casostestes[#Data],2)), "-")</f>
        <v>Integração</v>
      </c>
      <c r="E15" s="35" t="str">
        <f>IFERROR(IF(VLOOKUP($B15,casostestes[#Data],3)=0,"-",VLOOKUP($B15,casostestes[#Data],3)), "-")</f>
        <v>20
Criar tarefa de BI inicial fluxo ATESTMEDQ para categoria "Segurado especial" onde o parâmetro "Exige Autodeclaração" no Catálogo está ATIVADO,  NÃO foi respondida a autodeclaração, NÃO foi incluído o anexo detalhado de AD e cidadão ficou sem trabalhar
**Parâmetro PAT ligado: 144 - Fluxo ATESTMEDQ</v>
      </c>
      <c r="F15" s="35" t="str">
        <f>IFERROR(IF(VLOOKUP($B15,casostestes[#Data],4)=0,"-",VLOOKUP($B15,casostestes[#Data],4)),"-")</f>
        <v>PAT</v>
      </c>
      <c r="G15" s="35" t="str">
        <f>IFERROR(IF(VLOOKUP($B15,casostestes[#Data],5)=0,"-",VLOOKUP($B15,casostestes[#Data],5)),"-")</f>
        <v>SERVIDOR</v>
      </c>
      <c r="H15" s="35" t="str">
        <f>IFERROR(IF(VLOOKUP($B15,casostestes[#Data],6)=0,"-",VLOOKUP($B15,casostestes[#Data],6)),"-")</f>
        <v xml:space="preserve">1. Logar no Portal do Atendimento INSS com o perfil do caso de teste
2.Criar tarefa de BI informando:
Tipo de Incapacidade? "Temporária "
A pessoa está presa?  Não
Categoria do trabalhador "Segurado Especial"
A pessoa ficou sem trabalhar? Não
3. Informar anexo detalhado de autodeclaração
4. NÃO responder o formulário de autodeclaração
</v>
      </c>
      <c r="I15" s="35" t="str">
        <f>IFERROR(IF(VLOOKUP($B15,casostestes[#Data],8)=0,"-",VLOOKUP($B15,casostestes[#Data],8)),"-")</f>
        <v>-</v>
      </c>
      <c r="J15" s="35" t="str">
        <f>IFERROR(IF(VLOOKUP($B15,casostestes[#Data],9)=0,"-",VLOOKUP($B15,casostestes[#Data],9)),"-")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15" s="36"/>
      <c r="L15" s="45"/>
      <c r="M15" s="37"/>
      <c r="N15" s="38"/>
      <c r="O15" s="38"/>
      <c r="P15" s="39"/>
    </row>
    <row r="16" spans="2:16" ht="315">
      <c r="B16" s="40">
        <f>IF(ISERR(casostestes[[#This Row],[ID]]),"-",casostestes[[#This Row],[ID]])</f>
        <v>9</v>
      </c>
      <c r="C16" s="34" t="str">
        <f>IFERROR(IF(VLOOKUP($B16,casostestes[#Data],10)=0,"Não",VLOOKUP($B16,casostestes[#Data],10)), "-")</f>
        <v>Sim</v>
      </c>
      <c r="D16" s="35" t="str">
        <f>IFERROR(IF(VLOOKUP($B16,casostestes[#Data],2)=0,"-",VLOOKUP($B16,casostestes[#Data],2)), "-")</f>
        <v>Integração</v>
      </c>
      <c r="E16" s="35" t="str">
        <f>IFERROR(IF(VLOOKUP($B16,casostestes[#Data],3)=0,"-",VLOOKUP($B16,casostestes[#Data],3)), "-")</f>
        <v>21
Criar tarefa de BI inicial fluxo ATESTMEDQ para categoria "Segurado especial" onde o parâmetro "Exige Autodeclaração" no Catálogo está ATIVADO,  NÃO foi respondida a autodeclaração e foi incluído o anexo detalhado de AD
**Parâmetro PAT ligado: 144 - Fluxo ATESTMEDQ</v>
      </c>
      <c r="F16" s="35" t="str">
        <f>IFERROR(IF(VLOOKUP($B16,casostestes[#Data],4)=0,"-",VLOOKUP($B16,casostestes[#Data],4)),"-")</f>
        <v>PAT</v>
      </c>
      <c r="G16" s="35" t="str">
        <f>IFERROR(IF(VLOOKUP($B16,casostestes[#Data],5)=0,"-",VLOOKUP($B16,casostestes[#Data],5)),"-")</f>
        <v>SERVIDOR</v>
      </c>
      <c r="H16" s="35" t="str">
        <f>IFERROR(IF(VLOOKUP($B16,casostestes[#Data],6)=0,"-",VLOOKUP($B16,casostestes[#Data],6)),"-")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Informar anexo detalhado de autodeclaração
4. NÃO responder o formulário de autodeclaração
Resultado 1
5.Alterar via banco de dados a data da exigência para (data atual - 36 dias)
Resultado 2</v>
      </c>
      <c r="I16" s="35" t="str">
        <f>IFERROR(IF(VLOOKUP($B16,casostestes[#Data],8)=0,"-",VLOOKUP($B16,casostestes[#Data],8)),"-")</f>
        <v>-</v>
      </c>
      <c r="J16" s="35" t="str">
        <f>IFERROR(IF(VLOOKUP($B16,casostestes[#Data],9)=0,"-",VLOOKUP($B16,casostestes[#Data],9)),"-")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2
Resultado 2 - Após alguns minutos:
Tarefa de BI com situação alterada para Pendente
Despacho incluído informando a operação ( fragmento de sigla  XXXXXXXXXX )
Divergência de autodeclaração (116) EXCLUÍDA da tarefa
Alguns minutos depois:
Status SIBE igual a AGUARDANDO ATESTADO 
Na opção  "Lista de Ocorrências", o json de integração com o SIBE deverá conter o campo "periodosPendentesSegEsp" com valor true.
</v>
      </c>
      <c r="K16" s="36"/>
      <c r="L16" s="45"/>
      <c r="M16" s="37"/>
      <c r="N16" s="38"/>
      <c r="O16" s="38"/>
      <c r="P16" s="39"/>
    </row>
    <row r="17" spans="2:16" ht="300">
      <c r="B17" s="40">
        <f>IF(ISERR(casostestes[[#This Row],[ID]]),"-",casostestes[[#This Row],[ID]])</f>
        <v>10</v>
      </c>
      <c r="C17" s="34" t="str">
        <f>IFERROR(IF(VLOOKUP($B17,casostestes[#Data],10)=0,"Não",VLOOKUP($B17,casostestes[#Data],10)), "-")</f>
        <v>Sim</v>
      </c>
      <c r="D17" s="35" t="str">
        <f>IFERROR(IF(VLOOKUP($B17,casostestes[#Data],2)=0,"-",VLOOKUP($B17,casostestes[#Data],2)), "-")</f>
        <v>Integração</v>
      </c>
      <c r="E17" s="35" t="str">
        <f>IFERROR(IF(VLOOKUP($B17,casostestes[#Data],3)=0,"-",VLOOKUP($B17,casostestes[#Data],3)), "-")</f>
        <v>22
Criar tarefa de BI inicial fluxo PRESENCIAL para categoria "Segurado especial" onde o parâmetro "Exige Autodeclaração" no Catálogo está ATIVADO, NÃO foi respondida a autodeclaração e NÃO foi incluído o anexo detalhado de AD
**Parâmetro PAT ligado: 144 - Fluxo ATESTMEDQ
**Parâmetro PAT ligado: 109 -Tipo de Incapacidade Permanente leva à Fluxo Presencial do Novo BI</v>
      </c>
      <c r="F17" s="35" t="str">
        <f>IFERROR(IF(VLOOKUP($B17,casostestes[#Data],4)=0,"-",VLOOKUP($B17,casostestes[#Data],4)),"-")</f>
        <v>PAT</v>
      </c>
      <c r="G17" s="35" t="str">
        <f>IFERROR(IF(VLOOKUP($B17,casostestes[#Data],5)=0,"-",VLOOKUP($B17,casostestes[#Data],5)),"-")</f>
        <v>SERVIDOR</v>
      </c>
      <c r="H17" s="35" t="str">
        <f>IFERROR(IF(VLOOKUP($B17,casostestes[#Data],6)=0,"-",VLOOKUP($B17,casostestes[#Data],6)),"-")</f>
        <v>1. Logar no Portal do Atendimento INSS com o perfil do caso de teste
2.Criar tarefa de BI informando:
Tipo de Incapacidade? "Permanente"
A pessoa está presa?  Não
Houve acidente de trabalho?  Não
Categoria do trabalhador "Segurado Especial"
A pessoa ficou sem trabalhar? Sim
3. NÃO informar anexo detalhado de autodeclaração
5. Realizar agendamento
6. NÃO responder o formulário de autodeclaração
Resultado 1 
7.Alterar via banco de dados a data da exigência para (data atual - 36 dias)
Resulado 2</v>
      </c>
      <c r="I17" s="35" t="str">
        <f>IFERROR(IF(VLOOKUP($B17,casostestes[#Data],8)=0,"-",VLOOKUP($B17,casostestes[#Data],8)),"-")</f>
        <v>-</v>
      </c>
      <c r="J17" s="35" t="str">
        <f>IFERROR(IF(VLOOKUP($B17,casostestes[#Data],9)=0,"-",VLOOKUP($B17,casostestes[#Data],9)),"-")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1
Resultado 2 - Após alguns minutos:
Tarefa de BI com situação alterada para Pendente
Despacho incluído informando a operação ( fragmento de sigla  XXXXXXXXXX )
Divergência de autodeclaração (116) EXCLUÍDA da tarefa
Alguns minutos depois:
Status SIBE igual a AGUARDANDO PERÍCIA
Na opção  "Lista de Ocorrências", o json de integração com o SIBE deverá conter o campo "periodosPendentesSegEsp" com valor null.
</v>
      </c>
      <c r="K17" s="36"/>
      <c r="L17" s="45"/>
      <c r="M17" s="37"/>
      <c r="N17" s="38"/>
      <c r="O17" s="38"/>
      <c r="P17" s="39"/>
    </row>
    <row r="18" spans="2:16" ht="105">
      <c r="B18" s="40">
        <f>IF(ISERR(casostestes[[#This Row],[ID]]),"-",casostestes[[#This Row],[ID]])</f>
        <v>11</v>
      </c>
      <c r="C18" s="34" t="str">
        <f>IFERROR(IF(VLOOKUP($B18,casostestes[#Data],10)=0,"Não",VLOOKUP($B18,casostestes[#Data],10)), "-")</f>
        <v>Sim</v>
      </c>
      <c r="D18" s="35" t="str">
        <f>IFERROR(IF(VLOOKUP($B18,casostestes[#Data],2)=0,"-",VLOOKUP($B18,casostestes[#Data],2)), "-")</f>
        <v>Requerimento Inicial de BI</v>
      </c>
      <c r="E18" s="35" t="str">
        <f>IFERROR(IF(VLOOKUP($B18,casostestes[#Data],3)=0,"-",VLOOKUP($B18,casostestes[#Data],3)), "-")</f>
        <v>24
Criar tarefa de BI inicial fluxo ATESTMEDQ para categoria diferente de "Segurado especial" onde o parâmetro "Exige Autodeclaração" no Catálogo está ATIVADO
**Parâmetro PAT ligado: 144 - Fluxo ATESTMEDQ</v>
      </c>
      <c r="F18" s="35" t="str">
        <f>IFERROR(IF(VLOOKUP($B18,casostestes[#Data],4)=0,"-",VLOOKUP($B18,casostestes[#Data],4)),"-")</f>
        <v>EC</v>
      </c>
      <c r="G18" s="35" t="str">
        <f>IFERROR(IF(VLOOKUP($B18,casostestes[#Data],5)=0,"-",VLOOKUP($B18,casostestes[#Data],5)),"-")</f>
        <v>ENTIDADE_CONVENIADA</v>
      </c>
      <c r="H18" s="35" t="str">
        <f>IFERROR(IF(VLOOKUP($B18,casostestes[#Data],6)=0,"-",VLOOKUP($B18,casostestes[#Data],6)),"-")</f>
        <v xml:space="preserve">1. Logar no Portal do Atendimento INSS com o perfil do caso de teste
2.Criar tarefa de BI informando:
Tipo de Incapacidade? "Temporária "
A pessoa está presa?  Não
Categoria do trabalhador diferente de "Segurado Especial"
</v>
      </c>
      <c r="I18" s="35" t="str">
        <f>IFERROR(IF(VLOOKUP($B18,casostestes[#Data],8)=0,"-",VLOOKUP($B18,casostestes[#Data],8)),"-")</f>
        <v>-</v>
      </c>
      <c r="J18" s="35" t="str">
        <f>IFERROR(IF(VLOOKUP($B18,casostestes[#Data],9)=0,"-",VLOOKUP($B18,casostestes[#Data],9)),"-")</f>
        <v>Tarefa de BI criada com situação Pendente.
Tarefa SEM Divergência de autodeclaração (116)
Status SIBE igual a FLUXO NÃO INICIADO 
DPT: Tarefa.Exige_autodeclaração = 0</v>
      </c>
      <c r="K18" s="36"/>
      <c r="L18" s="45"/>
      <c r="M18" s="37"/>
      <c r="N18" s="38"/>
      <c r="O18" s="38"/>
      <c r="P18" s="39"/>
    </row>
    <row r="19" spans="2:16" ht="240">
      <c r="B19" s="40">
        <f>IF(ISERR(casostestes[[#This Row],[ID]]),"-",casostestes[[#This Row],[ID]])</f>
        <v>12</v>
      </c>
      <c r="C19" s="34" t="str">
        <f>IFERROR(IF(VLOOKUP($B19,casostestes[#Data],10)=0,"Não",VLOOKUP($B19,casostestes[#Data],10)), "-")</f>
        <v>Sim</v>
      </c>
      <c r="D19" s="35" t="str">
        <f>IFERROR(IF(VLOOKUP($B19,casostestes[#Data],2)=0,"-",VLOOKUP($B19,casostestes[#Data],2)), "-")</f>
        <v>Integração</v>
      </c>
      <c r="E19" s="35" t="str">
        <f>IFERROR(IF(VLOOKUP($B19,casostestes[#Data],3)=0,"-",VLOOKUP($B19,casostestes[#Data],3)), "-")</f>
        <v>26
Criar tarefa de BI inicial fluxo ATESTMEDQ para categoria "Segurado especial" onde o parâmetro "Exige Autodeclaração" no Catálogo está ATIVADO e a autodeclaração tem período pendente
**Parâmetro PAT ligado: 144 - Fluxo ATESTMEDQ</v>
      </c>
      <c r="F19" s="35" t="str">
        <f>IFERROR(IF(VLOOKUP($B19,casostestes[#Data],4)=0,"-",VLOOKUP($B19,casostestes[#Data],4)),"-")</f>
        <v>EC</v>
      </c>
      <c r="G19" s="35" t="str">
        <f>IFERROR(IF(VLOOKUP($B19,casostestes[#Data],5)=0,"-",VLOOKUP($B19,casostestes[#Data],5)),"-")</f>
        <v>ENTIDADE_CONVENIADA</v>
      </c>
      <c r="H19" s="35" t="str">
        <f>IFERROR(IF(VLOOKUP($B19,casostestes[#Data],6)=0,"-",VLOOKUP($B19,casostestes[#Data],6)),"-")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Cumprir exigência de documentos obrigatórios
4. Responder formulário da autodeclaração</v>
      </c>
      <c r="I19" s="35" t="str">
        <f>IFERROR(IF(VLOOKUP($B19,casostestes[#Data],8)=0,"-",VLOOKUP($B19,casostestes[#Data],8)),"-")</f>
        <v>-</v>
      </c>
      <c r="J19" s="35" t="str">
        <f>IFERROR(IF(VLOOKUP($B19,casostestes[#Data],9)=0,"-",VLOOKUP($B19,casostestes[#Data],9)),"-")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19" s="36"/>
      <c r="L19" s="45"/>
      <c r="M19" s="37"/>
      <c r="N19" s="38"/>
      <c r="O19" s="38"/>
      <c r="P19" s="39"/>
    </row>
    <row r="20" spans="2:16" ht="240">
      <c r="B20" s="40">
        <f>IF(ISERR(casostestes[[#This Row],[ID]]),"-",casostestes[[#This Row],[ID]])</f>
        <v>13</v>
      </c>
      <c r="C20" s="34" t="str">
        <f>IFERROR(IF(VLOOKUP($B20,casostestes[#Data],10)=0,"Não",VLOOKUP($B20,casostestes[#Data],10)), "-")</f>
        <v>Sim</v>
      </c>
      <c r="D20" s="35" t="str">
        <f>IFERROR(IF(VLOOKUP($B20,casostestes[#Data],2)=0,"-",VLOOKUP($B20,casostestes[#Data],2)), "-")</f>
        <v>Integração</v>
      </c>
      <c r="E20" s="35" t="str">
        <f>IFERROR(IF(VLOOKUP($B20,casostestes[#Data],3)=0,"-",VLOOKUP($B20,casostestes[#Data],3)), "-")</f>
        <v>27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0" s="35" t="str">
        <f>IFERROR(IF(VLOOKUP($B20,casostestes[#Data],4)=0,"-",VLOOKUP($B20,casostestes[#Data],4)),"-")</f>
        <v>EC</v>
      </c>
      <c r="G20" s="35" t="str">
        <f>IFERROR(IF(VLOOKUP($B20,casostestes[#Data],5)=0,"-",VLOOKUP($B20,casostestes[#Data],5)),"-")</f>
        <v>ENTIDADE_CONVENIADA</v>
      </c>
      <c r="H20" s="35" t="str">
        <f>IFERROR(IF(VLOOKUP($B20,casostestes[#Data],6)=0,"-",VLOOKUP($B20,casostestes[#Data],6)),"-")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Cumprir exigência de documentos obrigatórios
4. Responder formulário da autodeclaração</v>
      </c>
      <c r="I20" s="35" t="str">
        <f>IFERROR(IF(VLOOKUP($B20,casostestes[#Data],8)=0,"-",VLOOKUP($B20,casostestes[#Data],8)),"-")</f>
        <v>-</v>
      </c>
      <c r="J20" s="35" t="str">
        <f>IFERROR(IF(VLOOKUP($B20,casostestes[#Data],9)=0,"-",VLOOKUP($B20,casostestes[#Data],9)),"-")</f>
        <v xml:space="preserve">
Tarefa de BI criada com situação Pendente.
Tarefa SEM Divergência de autodeclaração (116).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20" s="36"/>
      <c r="L20" s="45"/>
      <c r="M20" s="37"/>
      <c r="N20" s="38"/>
      <c r="O20" s="38"/>
      <c r="P20" s="39"/>
    </row>
    <row r="21" spans="2:16" ht="210">
      <c r="B21" s="40">
        <f>IF(ISERR(casostestes[[#This Row],[ID]]),"-",casostestes[[#This Row],[ID]])</f>
        <v>14</v>
      </c>
      <c r="C21" s="34" t="str">
        <f>IFERROR(IF(VLOOKUP($B21,casostestes[#Data],10)=0,"Não",VLOOKUP($B21,casostestes[#Data],10)), "-")</f>
        <v>Sim</v>
      </c>
      <c r="D21" s="35" t="str">
        <f>IFERROR(IF(VLOOKUP($B21,casostestes[#Data],2)=0,"-",VLOOKUP($B21,casostestes[#Data],2)), "-")</f>
        <v>Integração</v>
      </c>
      <c r="E21" s="35" t="str">
        <f>IFERROR(IF(VLOOKUP($B21,casostestes[#Data],3)=0,"-",VLOOKUP($B21,casostestes[#Data],3)), "-")</f>
        <v>29
Cumprir a exigência de autodeclaração</v>
      </c>
      <c r="F21" s="35" t="str">
        <f>IFERROR(IF(VLOOKUP($B21,casostestes[#Data],4)=0,"-",VLOOKUP($B21,casostestes[#Data],4)),"-")</f>
        <v>PAT</v>
      </c>
      <c r="G21" s="35" t="str">
        <f>IFERROR(IF(VLOOKUP($B21,casostestes[#Data],5)=0,"-",VLOOKUP($B21,casostestes[#Data],5)),"-")</f>
        <v>ENTIDADE_CONVENIADA</v>
      </c>
      <c r="H21" s="35" t="str">
        <f>IFERROR(IF(VLOOKUP($B21,casostestes[#Data],6)=0,"-",VLOOKUP($B21,casostestes[#Data],6)),"-")</f>
        <v>1. Logar no Portal do Atendimento INSS com o perfil do caso de teste
2.Consultar uma tarefa em exigência de autodeclaração, detalhar e em seguida e acionar  a aba Cumprir Exigência  
3. Responder o formulário de autodeclaração até o final</v>
      </c>
      <c r="I21" s="35" t="str">
        <f>IFERROR(IF(VLOOKUP($B21,casostestes[#Data],8)=0,"-",VLOOKUP($B21,casostestes[#Data],8)),"-")</f>
        <v>-</v>
      </c>
      <c r="J21" s="35" t="str">
        <f>IFERROR(IF(VLOOKUP($B21,casostestes[#Data],9)=0,"-",VLOOKUP($B21,casostestes[#Data],9)),"-")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1" s="36"/>
      <c r="L21" s="45"/>
      <c r="M21" s="37"/>
      <c r="N21" s="38"/>
      <c r="O21" s="38"/>
      <c r="P21" s="39"/>
    </row>
    <row r="22" spans="2:16" ht="210">
      <c r="B22" s="40">
        <f>IF(ISERR(casostestes[[#This Row],[ID]]),"-",casostestes[[#This Row],[ID]])</f>
        <v>15</v>
      </c>
      <c r="C22" s="34" t="str">
        <f>IFERROR(IF(VLOOKUP($B22,casostestes[#Data],10)=0,"Não",VLOOKUP($B22,casostestes[#Data],10)), "-")</f>
        <v>Sim</v>
      </c>
      <c r="D22" s="35" t="str">
        <f>IFERROR(IF(VLOOKUP($B22,casostestes[#Data],2)=0,"-",VLOOKUP($B22,casostestes[#Data],2)), "-")</f>
        <v>Integração</v>
      </c>
      <c r="E22" s="35" t="str">
        <f>IFERROR(IF(VLOOKUP($B22,casostestes[#Data],3)=0,"-",VLOOKUP($B22,casostestes[#Data],3)), "-")</f>
        <v>30
Cumprir a exigência de autodeclaração</v>
      </c>
      <c r="F22" s="35" t="str">
        <f>IFERROR(IF(VLOOKUP($B22,casostestes[#Data],4)=0,"-",VLOOKUP($B22,casostestes[#Data],4)),"-")</f>
        <v>PAT</v>
      </c>
      <c r="G22" s="35" t="str">
        <f>IFERROR(IF(VLOOKUP($B22,casostestes[#Data],5)=0,"-",VLOOKUP($B22,casostestes[#Data],5)),"-")</f>
        <v>ENTIDADE_CONVENIADA_CORREIOS</v>
      </c>
      <c r="H22" s="35" t="str">
        <f>IFERROR(IF(VLOOKUP($B22,casostestes[#Data],6)=0,"-",VLOOKUP($B22,casostestes[#Data],6)),"-")</f>
        <v>1. Logar no Portal do Atendimento INSS com o perfil EC - CORREIOS
2. Acionar a aba Exigências e consultar uma tarefa em exigência de autodeclaração
3. Detalhar a tarefa e em seguida acionar  a opção Cumprir Exigência  
3. Responder o formulário de autodeclaração até o final</v>
      </c>
      <c r="I22" s="35" t="str">
        <f>IFERROR(IF(VLOOKUP($B22,casostestes[#Data],8)=0,"-",VLOOKUP($B22,casostestes[#Data],8)),"-")</f>
        <v>-</v>
      </c>
      <c r="J22" s="35" t="str">
        <f>IFERROR(IF(VLOOKUP($B22,casostestes[#Data],9)=0,"-",VLOOKUP($B22,casostestes[#Data],9)),"-")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2" s="36"/>
      <c r="L22" s="45"/>
      <c r="M22" s="37"/>
      <c r="N22" s="38"/>
      <c r="O22" s="38"/>
      <c r="P22" s="39"/>
    </row>
    <row r="23" spans="2:16" ht="180">
      <c r="B23" s="40">
        <f>IF(ISERR(casostestes[[#This Row],[ID]]),"-",casostestes[[#This Row],[ID]])</f>
        <v>16</v>
      </c>
      <c r="C23" s="34" t="str">
        <f>IFERROR(IF(VLOOKUP($B23,casostestes[#Data],10)=0,"Não",VLOOKUP($B23,casostestes[#Data],10)), "-")</f>
        <v>Sim</v>
      </c>
      <c r="D23" s="35" t="str">
        <f>IFERROR(IF(VLOOKUP($B23,casostestes[#Data],2)=0,"-",VLOOKUP($B23,casostestes[#Data],2)), "-")</f>
        <v>Integração</v>
      </c>
      <c r="E23" s="35" t="str">
        <f>IFERROR(IF(VLOOKUP($B23,casostestes[#Data],3)=0,"-",VLOOKUP($B23,casostestes[#Data],3)), "-")</f>
        <v>31
Responder o formulário de autodeclaração acessando diretamente a aba segurado especial ao detalhar a tarefa, onde a tarefa encontra-se em exigência de documento médico
Será posível acessar diretamente a autodeclaração logado como EC?</v>
      </c>
      <c r="F23" s="35" t="str">
        <f>IFERROR(IF(VLOOKUP($B23,casostestes[#Data],4)=0,"-",VLOOKUP($B23,casostestes[#Data],4)),"-")</f>
        <v>PAT</v>
      </c>
      <c r="G23" s="35" t="str">
        <f>IFERROR(IF(VLOOKUP($B23,casostestes[#Data],5)=0,"-",VLOOKUP($B23,casostestes[#Data],5)),"-")</f>
        <v>ENTIDADE_CONVENIADA</v>
      </c>
      <c r="H23" s="35" t="str">
        <f>IFERROR(IF(VLOOKUP($B23,casostestes[#Data],6)=0,"-",VLOOKUP($B23,casostestes[#Data],6)),"-")</f>
        <v>1. Logar no Portal do Atendimento INSS com o perfil do caso se teste
2.Consultar uma tarefa em exigência de dautodeclaração
3. Acionar a aba Segurado especial
3. Responder o formulário de autodeclaração até o final</v>
      </c>
      <c r="I23" s="35" t="str">
        <f>IFERROR(IF(VLOOKUP($B23,casostestes[#Data],8)=0,"-",VLOOKUP($B23,casostestes[#Data],8)),"-")</f>
        <v>-</v>
      </c>
      <c r="J23" s="35" t="str">
        <f>IFERROR(IF(VLOOKUP($B23,casostestes[#Data],9)=0,"-",VLOOKUP($B23,casostestes[#Data],9)),"-")</f>
        <v xml:space="preserve">
Tarefa de BI com situação alterada para Pendente 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3" s="36"/>
      <c r="L23" s="45"/>
      <c r="M23" s="37"/>
      <c r="N23" s="38"/>
      <c r="O23" s="38"/>
      <c r="P23" s="39"/>
    </row>
    <row r="24" spans="2:16" ht="105">
      <c r="B24" s="40">
        <f>IF(ISERR(casostestes[[#This Row],[ID]]),"-",casostestes[[#This Row],[ID]])</f>
        <v>17</v>
      </c>
      <c r="C24" s="34" t="str">
        <f>IFERROR(IF(VLOOKUP($B24,casostestes[#Data],10)=0,"Não",VLOOKUP($B24,casostestes[#Data],10)), "-")</f>
        <v>Sim</v>
      </c>
      <c r="D24" s="35" t="str">
        <f>IFERROR(IF(VLOOKUP($B24,casostestes[#Data],2)=0,"-",VLOOKUP($B24,casostestes[#Data],2)), "-")</f>
        <v>Integração</v>
      </c>
      <c r="E24" s="35" t="str">
        <f>IFERROR(IF(VLOOKUP($B24,casostestes[#Data],3)=0,"-",VLOOKUP($B24,casostestes[#Data],3)), "-")</f>
        <v xml:space="preserve">32
Responder o formulário de autodeclaração acessando diretamente a aba segurado especial ao detalhar a tarefa, onde a tarefa encontra-se em exigência de documento médico
</v>
      </c>
      <c r="F24" s="35" t="str">
        <f>IFERROR(IF(VLOOKUP($B24,casostestes[#Data],4)=0,"-",VLOOKUP($B24,casostestes[#Data],4)),"-")</f>
        <v>PAT</v>
      </c>
      <c r="G24" s="35" t="str">
        <f>IFERROR(IF(VLOOKUP($B24,casostestes[#Data],5)=0,"-",VLOOKUP($B24,casostestes[#Data],5)),"-")</f>
        <v>ENTIDADE_CONVENIADA</v>
      </c>
      <c r="H24" s="35" t="str">
        <f>IFERROR(IF(VLOOKUP($B24,casostestes[#Data],6)=0,"-",VLOOKUP($B24,casostestes[#Data],6)),"-")</f>
        <v>1. Logar no Portal do Atendimento INSS com o perfil do caso se teste
2.Consultar uma tarefa em exigência de documento médico
3. Acionar a aba Segurado especial
3. Responder o formulário de autodeclaração até o final</v>
      </c>
      <c r="I24" s="35" t="str">
        <f>IFERROR(IF(VLOOKUP($B24,casostestes[#Data],8)=0,"-",VLOOKUP($B24,casostestes[#Data],8)),"-")</f>
        <v>-</v>
      </c>
      <c r="J24" s="35" t="str">
        <f>IFERROR(IF(VLOOKUP($B24,casostestes[#Data],9)=0,"-",VLOOKUP($B24,casostestes[#Data],9)),"-")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24" s="36"/>
      <c r="L24" s="45"/>
      <c r="M24" s="37"/>
      <c r="N24" s="38"/>
      <c r="O24" s="38"/>
      <c r="P24" s="39"/>
    </row>
    <row r="25" spans="2:16" ht="135">
      <c r="B25" s="40">
        <f>IF(ISERR(casostestes[[#This Row],[ID]]),"-",casostestes[[#This Row],[ID]])</f>
        <v>18</v>
      </c>
      <c r="C25" s="34" t="str">
        <f>IFERROR(IF(VLOOKUP($B25,casostestes[#Data],10)=0,"Não",VLOOKUP($B25,casostestes[#Data],10)), "-")</f>
        <v>Sim</v>
      </c>
      <c r="D25" s="35" t="str">
        <f>IFERROR(IF(VLOOKUP($B25,casostestes[#Data],2)=0,"-",VLOOKUP($B25,casostestes[#Data],2)), "-")</f>
        <v>Requerimento Inicial de BI</v>
      </c>
      <c r="E25" s="35" t="str">
        <f>IFERROR(IF(VLOOKUP($B25,casostestes[#Data],3)=0,"-",VLOOKUP($B25,casostestes[#Data],3)), "-")</f>
        <v>34
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25" s="35" t="str">
        <f>IFERROR(IF(VLOOKUP($B25,casostestes[#Data],4)=0,"-",VLOOKUP($B25,casostestes[#Data],4)),"-")</f>
        <v>Meu INSS</v>
      </c>
      <c r="G25" s="35" t="str">
        <f>IFERROR(IF(VLOOKUP($B25,casostestes[#Data],5)=0,"-",VLOOKUP($B25,casostestes[#Data],5)),"-")</f>
        <v>INTERESSADO</v>
      </c>
      <c r="H25" s="35" t="str">
        <f>IFERROR(IF(VLOOKUP($B25,casostestes[#Data],6)=0,"-",VLOOKUP($B25,casostestes[#Data],6)),"-")</f>
        <v>1. Logar no  Meu INSS
2.Criar tarefa de BI informando:
Tipo de Incapacidade? "Permanente"
A pessoa está presa?  Não
Categoria do trabalhador diferente de "Segurado Especial"
3. Criar o agendamento da perícia</v>
      </c>
      <c r="I25" s="35" t="str">
        <f>IFERROR(IF(VLOOKUP($B25,casostestes[#Data],8)=0,"-",VLOOKUP($B25,casostestes[#Data],8)),"-")</f>
        <v>-</v>
      </c>
      <c r="J25" s="35" t="str">
        <f>IFERROR(IF(VLOOKUP($B25,casostestes[#Data],9)=0,"-",VLOOKUP($B25,casostestes[#Data],9)),"-")</f>
        <v>Tarefa de BI criada com situação Pendente.
Tarefa SEM Divergência de autodeclaração (116)
Status SIBE igual a  AGUARDANDO PERÍCIA
Tarefa.Exige_autodeclaração = 0</v>
      </c>
      <c r="K25" s="36"/>
      <c r="L25" s="45"/>
      <c r="M25" s="37"/>
      <c r="N25" s="38"/>
      <c r="O25" s="38"/>
      <c r="P25" s="39"/>
    </row>
    <row r="26" spans="2:16" ht="255">
      <c r="B26" s="40">
        <f>IF(ISERR(casostestes[[#This Row],[ID]]),"-",casostestes[[#This Row],[ID]])</f>
        <v>19</v>
      </c>
      <c r="C26" s="34" t="str">
        <f>IFERROR(IF(VLOOKUP($B26,casostestes[#Data],10)=0,"Não",VLOOKUP($B26,casostestes[#Data],10)), "-")</f>
        <v>Sim</v>
      </c>
      <c r="D26" s="35" t="str">
        <f>IFERROR(IF(VLOOKUP($B26,casostestes[#Data],2)=0,"-",VLOOKUP($B26,casostestes[#Data],2)), "-")</f>
        <v>Integração</v>
      </c>
      <c r="E26" s="35" t="str">
        <f>IFERROR(IF(VLOOKUP($B26,casostestes[#Data],3)=0,"-",VLOOKUP($B26,casostestes[#Data],3)), "-")</f>
        <v>35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26" s="35" t="str">
        <f>IFERROR(IF(VLOOKUP($B26,casostestes[#Data],4)=0,"-",VLOOKUP($B26,casostestes[#Data],4)),"-")</f>
        <v>Meu INSS</v>
      </c>
      <c r="G26" s="35" t="str">
        <f>IFERROR(IF(VLOOKUP($B26,casostestes[#Data],5)=0,"-",VLOOKUP($B26,casostestes[#Data],5)),"-")</f>
        <v>INTERESSADO</v>
      </c>
      <c r="H26" s="35" t="str">
        <f>IFERROR(IF(VLOOKUP($B26,casostestes[#Data],6)=0,"-",VLOOKUP($B26,casostestes[#Data],6)),"-")</f>
        <v>1. Logar no  Meu INSS
2.Criar tarefa de BI informando:
Tipo de Incapacidade? "Temporária "
A pessoa está presa?  Não
Categoria do trabalhador "Segurado Especial"
A pessoa ficou sem trabalhar? Sim
3. Responder formulário da autodeclaração</v>
      </c>
      <c r="I26" s="35" t="str">
        <f>IFERROR(IF(VLOOKUP($B26,casostestes[#Data],8)=0,"-",VLOOKUP($B26,casostestes[#Data],8)),"-")</f>
        <v>-</v>
      </c>
      <c r="J26" s="35" t="str">
        <f>IFERROR(IF(VLOOKUP($B26,casostestes[#Data],9)=0,"-",VLOOKUP($B26,casostestes[#Data],9)),"-")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26" s="36"/>
      <c r="L26" s="45"/>
      <c r="M26" s="37"/>
      <c r="N26" s="38"/>
      <c r="O26" s="38"/>
      <c r="P26" s="39"/>
    </row>
    <row r="27" spans="2:16" ht="255">
      <c r="B27" s="40">
        <f>IF(ISERR(casostestes[[#This Row],[ID]]),"-",casostestes[[#This Row],[ID]])</f>
        <v>20</v>
      </c>
      <c r="C27" s="34" t="str">
        <f>IFERROR(IF(VLOOKUP($B27,casostestes[#Data],10)=0,"Não",VLOOKUP($B27,casostestes[#Data],10)), "-")</f>
        <v>Sim</v>
      </c>
      <c r="D27" s="35" t="str">
        <f>IFERROR(IF(VLOOKUP($B27,casostestes[#Data],2)=0,"-",VLOOKUP($B27,casostestes[#Data],2)), "-")</f>
        <v>Integração</v>
      </c>
      <c r="E27" s="35" t="str">
        <f>IFERROR(IF(VLOOKUP($B27,casostestes[#Data],3)=0,"-",VLOOKUP($B27,casostestes[#Data],3)), "-")</f>
        <v>36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7" s="35" t="str">
        <f>IFERROR(IF(VLOOKUP($B27,casostestes[#Data],4)=0,"-",VLOOKUP($B27,casostestes[#Data],4)),"-")</f>
        <v>Meu INSS</v>
      </c>
      <c r="G27" s="35" t="str">
        <f>IFERROR(IF(VLOOKUP($B27,casostestes[#Data],5)=0,"-",VLOOKUP($B27,casostestes[#Data],5)),"-")</f>
        <v>INTERESSADO</v>
      </c>
      <c r="H27" s="35" t="str">
        <f>IFERROR(IF(VLOOKUP($B27,casostestes[#Data],6)=0,"-",VLOOKUP($B27,casostestes[#Data],6)),"-")</f>
        <v>1. Logar no  Meu INSS
2.Criar tarefa de BI informando:
Tipo de Incapacidade? "Temporária "
A pessoa está presa?  Não
Categoria do trabalhador "Segurado Especial"
A pessoa ficou sem trabalhar? Sim
3. Responder a autodeclaração</v>
      </c>
      <c r="I27" s="35" t="str">
        <f>IFERROR(IF(VLOOKUP($B27,casostestes[#Data],8)=0,"-",VLOOKUP($B27,casostestes[#Data],8)),"-")</f>
        <v>-</v>
      </c>
      <c r="J27" s="35" t="str">
        <f>IFERROR(IF(VLOOKUP($B27,casostestes[#Data],9)=0,"-",VLOOKUP($B27,casostestes[#Data],9)),"-")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27" s="36"/>
      <c r="L27" s="45"/>
      <c r="M27" s="37"/>
      <c r="N27" s="38"/>
      <c r="O27" s="38"/>
      <c r="P27" s="39"/>
    </row>
    <row r="28" spans="2:16" ht="180">
      <c r="B28" s="40">
        <f>IF(ISERR(casostestes[[#This Row],[ID]]),"-",casostestes[[#This Row],[ID]])</f>
        <v>21</v>
      </c>
      <c r="C28" s="34" t="str">
        <f>IFERROR(IF(VLOOKUP($B28,casostestes[#Data],10)=0,"Não",VLOOKUP($B28,casostestes[#Data],10)), "-")</f>
        <v>Sim</v>
      </c>
      <c r="D28" s="35" t="str">
        <f>IFERROR(IF(VLOOKUP($B28,casostestes[#Data],2)=0,"-",VLOOKUP($B28,casostestes[#Data],2)), "-")</f>
        <v>Requerimento Inicial de BI</v>
      </c>
      <c r="E28" s="35" t="str">
        <f>IFERROR(IF(VLOOKUP($B28,casostestes[#Data],3)=0,"-",VLOOKUP($B28,casostestes[#Data],3)), "-")</f>
        <v>37
Criar tarefa de BI inicial fluxo ATESTMEDQ para categoria "Segurado especial" onde o parâmetro "Exige Autodeclaração" no Catálogo está ATIVADO e  NÃO foi respondida a autodeclaração
**Parâmetro PAT ligado: 144 - Fluxo ATESTMEDQ</v>
      </c>
      <c r="F28" s="35" t="str">
        <f>IFERROR(IF(VLOOKUP($B28,casostestes[#Data],4)=0,"-",VLOOKUP($B28,casostestes[#Data],4)),"-")</f>
        <v>Meu INSS</v>
      </c>
      <c r="G28" s="35" t="str">
        <f>IFERROR(IF(VLOOKUP($B28,casostestes[#Data],5)=0,"-",VLOOKUP($B28,casostestes[#Data],5)),"-")</f>
        <v>INTERESSADO</v>
      </c>
      <c r="H28" s="35" t="str">
        <f>IFERROR(IF(VLOOKUP($B28,casostestes[#Data],6)=0,"-",VLOOKUP($B28,casostestes[#Data],6)),"-")</f>
        <v>1. Logar no  Meu INSS
2.Criar tarefa de BI informando:
Tipo de Incapacidade? "Temporária "
A pessoa está presa?  Não
Categoria do trabalhador "Segurado Especial"
A pessoa ficou sem trabalhar? Não
3. NÃO Responder a autodeclaração</v>
      </c>
      <c r="I28" s="35" t="str">
        <f>IFERROR(IF(VLOOKUP($B28,casostestes[#Data],8)=0,"-",VLOOKUP($B28,casostestes[#Data],8)),"-")</f>
        <v>-</v>
      </c>
      <c r="J28" s="35" t="str">
        <f>IFERROR(IF(VLOOKUP($B28,casostestes[#Data],9)=0,"-",VLOOKUP($B28,casostestes[#Data],9)),"-")</f>
        <v xml:space="preserve">
"Tarefa de BI criada com situação Pendente.
Status SIBE igual a  FLUXO NÃO INICIADO
Divergência de autodeclaração (116) incluída na tarefa
Após execução workflow:
Tarefa de BI com situação alterada para Exigência .
DTP:
Campo Exige_autodeclaração = 1"
</v>
      </c>
      <c r="K28" s="36"/>
      <c r="L28" s="45"/>
      <c r="M28" s="37"/>
      <c r="N28" s="38"/>
      <c r="O28" s="38"/>
      <c r="P28" s="39"/>
    </row>
    <row r="29" spans="2:16" ht="225">
      <c r="B29" s="40">
        <f>IF(ISERR(casostestes[[#This Row],[ID]]),"-",casostestes[[#This Row],[ID]])</f>
        <v>22</v>
      </c>
      <c r="C29" s="34" t="str">
        <f>IFERROR(IF(VLOOKUP($B29,casostestes[#Data],10)=0,"Não",VLOOKUP($B29,casostestes[#Data],10)), "-")</f>
        <v>Sim</v>
      </c>
      <c r="D29" s="35" t="str">
        <f>IFERROR(IF(VLOOKUP($B29,casostestes[#Data],2)=0,"-",VLOOKUP($B29,casostestes[#Data],2)), "-")</f>
        <v>Integração</v>
      </c>
      <c r="E29" s="35" t="str">
        <f>IFERROR(IF(VLOOKUP($B29,casostestes[#Data],3)=0,"-",VLOOKUP($B29,casostestes[#Data],3)), "-")</f>
        <v>38
Cumprir a exigência de autodeclaração</v>
      </c>
      <c r="F29" s="35" t="str">
        <f>IFERROR(IF(VLOOKUP($B29,casostestes[#Data],4)=0,"-",VLOOKUP($B29,casostestes[#Data],4)),"-")</f>
        <v>Meu INSS</v>
      </c>
      <c r="G29" s="35" t="str">
        <f>IFERROR(IF(VLOOKUP($B29,casostestes[#Data],5)=0,"-",VLOOKUP($B29,casostestes[#Data],5)),"-")</f>
        <v>INTERESSADO</v>
      </c>
      <c r="H29" s="35" t="str">
        <f>IFERROR(IF(VLOOKUP($B29,casostestes[#Data],6)=0,"-",VLOOKUP($B29,casostestes[#Data],6)),"-")</f>
        <v>1. Logar no  Meu INSS
2.Consultar uma tarefa em exigência de autodeclaração e acionar Cumprir Exigência  
3. Responder o formulário de autodeclaração</v>
      </c>
      <c r="I29" s="35" t="str">
        <f>IFERROR(IF(VLOOKUP($B29,casostestes[#Data],8)=0,"-",VLOOKUP($B29,casostestes[#Data],8)),"-")</f>
        <v>-</v>
      </c>
      <c r="J29" s="35" t="str">
        <f>IFERROR(IF(VLOOKUP($B29,casostestes[#Data],9)=0,"-",VLOOKUP($B29,casostestes[#Data],9)),"-")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9" s="36"/>
      <c r="L29" s="45"/>
      <c r="M29" s="37"/>
      <c r="N29" s="38"/>
      <c r="O29" s="38"/>
      <c r="P29" s="39"/>
    </row>
    <row r="30" spans="2:16" ht="180">
      <c r="B30" s="40">
        <f>IF(ISERR(casostestes[[#This Row],[ID]]),"-",casostestes[[#This Row],[ID]])</f>
        <v>23</v>
      </c>
      <c r="C30" s="34" t="str">
        <f>IFERROR(IF(VLOOKUP($B30,casostestes[#Data],10)=0,"Não",VLOOKUP($B30,casostestes[#Data],10)), "-")</f>
        <v>Sim</v>
      </c>
      <c r="D30" s="35" t="str">
        <f>IFERROR(IF(VLOOKUP($B30,casostestes[#Data],2)=0,"-",VLOOKUP($B30,casostestes[#Data],2)), "-")</f>
        <v>Integração</v>
      </c>
      <c r="E30" s="35" t="str">
        <f>IFERROR(IF(VLOOKUP($B30,casostestes[#Data],3)=0,"-",VLOOKUP($B30,casostestes[#Data],3)), "-")</f>
        <v>39
Responder o formulário de autodeclaração acionando a opção de autodeclaração no card do pedido onde a tarefa encontra-se em exigência de autodeclaração
Será posível acessar diretamente a autodeclaração logado no Meu INSS?</v>
      </c>
      <c r="F30" s="35" t="str">
        <f>IFERROR(IF(VLOOKUP($B30,casostestes[#Data],4)=0,"-",VLOOKUP($B30,casostestes[#Data],4)),"-")</f>
        <v>Meu INSS</v>
      </c>
      <c r="G30" s="35" t="str">
        <f>IFERROR(IF(VLOOKUP($B30,casostestes[#Data],5)=0,"-",VLOOKUP($B30,casostestes[#Data],5)),"-")</f>
        <v>INTERESSADO</v>
      </c>
      <c r="H30" s="35" t="str">
        <f>IFERROR(IF(VLOOKUP($B30,casostestes[#Data],6)=0,"-",VLOOKUP($B30,casostestes[#Data],6)),"-")</f>
        <v>1. Logar no  Meu INSS
2.Consultar uma tarefa em exigência de autodeclaração
3. Acionar no card do pedido a opção de Autodeclaração   
3. Responder o formulário de autodeclaração</v>
      </c>
      <c r="I30" s="35" t="str">
        <f>IFERROR(IF(VLOOKUP($B30,casostestes[#Data],8)=0,"-",VLOOKUP($B30,casostestes[#Data],8)),"-")</f>
        <v>-</v>
      </c>
      <c r="J30" s="35" t="str">
        <f>IFERROR(IF(VLOOKUP($B30,casostestes[#Data],9)=0,"-",VLOOKUP($B30,casostestes[#Data],9)),"-")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0" s="36"/>
      <c r="L30" s="45"/>
      <c r="M30" s="37"/>
      <c r="N30" s="38"/>
      <c r="O30" s="38"/>
      <c r="P30" s="39"/>
    </row>
    <row r="31" spans="2:16" ht="105">
      <c r="B31" s="40">
        <f>IF(ISERR(casostestes[[#This Row],[ID]]),"-",casostestes[[#This Row],[ID]])</f>
        <v>24</v>
      </c>
      <c r="C31" s="34" t="str">
        <f>IFERROR(IF(VLOOKUP($B31,casostestes[#Data],10)=0,"Não",VLOOKUP($B31,casostestes[#Data],10)), "-")</f>
        <v>Sim</v>
      </c>
      <c r="D31" s="35" t="str">
        <f>IFERROR(IF(VLOOKUP($B31,casostestes[#Data],2)=0,"-",VLOOKUP($B31,casostestes[#Data],2)), "-")</f>
        <v>Integração</v>
      </c>
      <c r="E31" s="35" t="str">
        <f>IFERROR(IF(VLOOKUP($B31,casostestes[#Data],3)=0,"-",VLOOKUP($B31,casostestes[#Data],3)), "-")</f>
        <v>40
Responder o formulário de autodeclaração acionando a opção de autodeclaração no card do pedido onde a tarefa encontra-se em exigência de documento médico
Será posível acessar diretamente a autodeclaração logado no Meu INSS?</v>
      </c>
      <c r="F31" s="35" t="str">
        <f>IFERROR(IF(VLOOKUP($B31,casostestes[#Data],4)=0,"-",VLOOKUP($B31,casostestes[#Data],4)),"-")</f>
        <v>Meu INSS</v>
      </c>
      <c r="G31" s="35" t="str">
        <f>IFERROR(IF(VLOOKUP($B31,casostestes[#Data],5)=0,"-",VLOOKUP($B31,casostestes[#Data],5)),"-")</f>
        <v>INTERESSADO</v>
      </c>
      <c r="H31" s="35" t="str">
        <f>IFERROR(IF(VLOOKUP($B31,casostestes[#Data],6)=0,"-",VLOOKUP($B31,casostestes[#Data],6)),"-")</f>
        <v>1. Logar no  Meu INSS
2.Consultar uma tarefa em exigência de documento médico 
3. Acionar no card do pedido a opção de Autodeclaração   
3. Responder o formulário de autodeclaração</v>
      </c>
      <c r="I31" s="35" t="str">
        <f>IFERROR(IF(VLOOKUP($B31,casostestes[#Data],8)=0,"-",VLOOKUP($B31,casostestes[#Data],8)),"-")</f>
        <v>-</v>
      </c>
      <c r="J31" s="35" t="str">
        <f>IFERROR(IF(VLOOKUP($B31,casostestes[#Data],9)=0,"-",VLOOKUP($B31,casostestes[#Data],9)),"-")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31" s="36"/>
      <c r="L31" s="45"/>
      <c r="M31" s="37"/>
      <c r="N31" s="38"/>
      <c r="O31" s="38"/>
      <c r="P31" s="39"/>
    </row>
    <row r="32" spans="2:16" ht="409.5">
      <c r="B32" s="40">
        <f>IF(ISERR(casostestes[[#This Row],[ID]]),"-",casostestes[[#This Row],[ID]])</f>
        <v>25</v>
      </c>
      <c r="C32" s="34" t="str">
        <f>IFERROR(IF(VLOOKUP($B32,casostestes[#Data],10)=0,"Não",VLOOKUP($B32,casostestes[#Data],10)), "-")</f>
        <v>Sim</v>
      </c>
      <c r="D32" s="35" t="str">
        <f>IFERROR(IF(VLOOKUP($B32,casostestes[#Data],2)=0,"-",VLOOKUP($B32,casostestes[#Data],2)), "-")</f>
        <v>Integração</v>
      </c>
      <c r="E32" s="35" t="str">
        <f>IFERROR(IF(VLOOKUP($B32,casostestes[#Data],3)=0,"-",VLOOKUP($B32,casostestes[#Data],3)), "-")</f>
        <v xml:space="preserve">
41
'Criar tarefa de BI inicial fluxo ATESTMEDQ para categoria "Segurado especial" onde o parâmetro "Exige Autodeclaração" no Catálogo está ATIVADO, 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2" s="35" t="str">
        <f>IFERROR(IF(VLOOKUP($B32,casostestes[#Data],4)=0,"-",VLOOKUP($B32,casostestes[#Data],4)),"-")</f>
        <v>PAT</v>
      </c>
      <c r="G32" s="35" t="str">
        <f>IFERROR(IF(VLOOKUP($B32,casostestes[#Data],5)=0,"-",VLOOKUP($B32,casostestes[#Data],5)),"-")</f>
        <v>SERVIDOR</v>
      </c>
      <c r="H32" s="35" t="str">
        <f>IFERROR(IF(VLOOKUP($B32,casostestes[#Data],6)=0,"-",VLOOKUP($B32,casostestes[#Data],6)),"-")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Responder o formulário de autodeclaração
Resultado 1
5. Executar o serviço do STD simulando enquadramento na regra da análise de risco
- Inclusão da divergência 202 (ORIENTAÇÕES NA ABA MASSA)   
Resultado 2
</v>
      </c>
      <c r="I32" s="35" t="str">
        <f>IFERROR(IF(VLOOKUP($B32,casostestes[#Data],8)=0,"-",VLOOKUP($B32,casostestes[#Data],8)),"-")</f>
        <v>-</v>
      </c>
      <c r="J32" s="35" t="str">
        <f>IFERROR(IF(VLOOKUP($B32,casostestes[#Data],9)=0,"-",VLOOKUP($B32,casostestes[#Data],9)),"-")</f>
        <v xml:space="preserve">Resultado 1:
Tarefa de BI criada com situação Pendente.
Tarefa SEM a Divergência de autodeclaração (116)  
Status SIBE igual a  FLUXO NÃO INICIADO
Seção campos adicionais:
"Fluxo Inicial e final do BI" deve ter o valor  "ATESTMEDQ"
DTP:  Campo Exige_autodeclaração = 1
Aguardar alguns minutos após a geração automática do PDF da autodeclaração:
Status SIBE continua igual a  FLUXO NÃO INICIADO
Resultado 2 - Após a execução do serviço do STD:  
- Cerca de 5 minutos depois, será exibida a divergência da Análise de Risco (202) no requerimento
- Alguns minutos depois:
Status SIBE igual a AGUARDANDO PERÍCIA
- Ocorrências de integração (com SIBE)
 "tipoInformacaoMedica":0
 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 Seção "Agendamentos (Perícia)":
- A etapa_pericia apresentará o valor AGUARDANDO AGENDAMENTO 
Aba Despachos:
-Inclusão do despacho de exigência de agendamento
</v>
      </c>
      <c r="K32" s="36"/>
      <c r="L32" s="45"/>
      <c r="M32" s="37"/>
      <c r="N32" s="38"/>
      <c r="O32" s="38"/>
      <c r="P32" s="39"/>
    </row>
    <row r="33" spans="2:16" ht="409.5">
      <c r="B33" s="40">
        <f>IF(ISERR(casostestes[[#This Row],[ID]]),"-",casostestes[[#This Row],[ID]])</f>
        <v>26</v>
      </c>
      <c r="C33" s="34" t="str">
        <f>IFERROR(IF(VLOOKUP($B33,casostestes[#Data],10)=0,"Não",VLOOKUP($B33,casostestes[#Data],10)), "-")</f>
        <v>Sim</v>
      </c>
      <c r="D33" s="35" t="str">
        <f>IFERROR(IF(VLOOKUP($B33,casostestes[#Data],2)=0,"-",VLOOKUP($B33,casostestes[#Data],2)), "-")</f>
        <v>Integração</v>
      </c>
      <c r="E33" s="35" t="str">
        <f>IFERROR(IF(VLOOKUP($B33,casostestes[#Data],3)=0,"-",VLOOKUP($B33,casostestes[#Data],3)), "-")</f>
        <v xml:space="preserve">42'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3" s="35" t="str">
        <f>IFERROR(IF(VLOOKUP($B33,casostestes[#Data],4)=0,"-",VLOOKUP($B33,casostestes[#Data],4)),"-")</f>
        <v>PAT</v>
      </c>
      <c r="G33" s="35" t="str">
        <f>IFERROR(IF(VLOOKUP($B33,casostestes[#Data],5)=0,"-",VLOOKUP($B33,casostestes[#Data],5)),"-")</f>
        <v>SERVIDOR</v>
      </c>
      <c r="H33" s="35" t="str">
        <f>IFERROR(IF(VLOOKUP($B33,casostestes[#Data],6)=0,"-",VLOOKUP($B33,casostestes[#Data],6)),"-")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33" s="35" t="str">
        <f>IFERROR(IF(VLOOKUP($B33,casostestes[#Data],8)=0,"-",VLOOKUP($B33,casostestes[#Data],8)),"-")</f>
        <v>-</v>
      </c>
      <c r="J33" s="35" t="str">
        <f>IFERROR(IF(VLOOKUP($B33,casostestes[#Data],9)=0,"-",VLOOKUP($B33,casostestes[#Data],9)),"-")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33" s="36"/>
      <c r="L33" s="45"/>
      <c r="M33" s="37"/>
      <c r="N33" s="38"/>
      <c r="O33" s="38"/>
      <c r="P33" s="39"/>
    </row>
    <row r="34" spans="2:16" ht="409.5">
      <c r="B34" s="40">
        <f>IF(ISERR(casostestes[[#This Row],[ID]]),"-",casostestes[[#This Row],[ID]])</f>
        <v>27</v>
      </c>
      <c r="C34" s="34" t="str">
        <f>IFERROR(IF(VLOOKUP($B34,casostestes[#Data],10)=0,"Não",VLOOKUP($B34,casostestes[#Data],10)), "-")</f>
        <v>Sim</v>
      </c>
      <c r="D34" s="35" t="str">
        <f>IFERROR(IF(VLOOKUP($B34,casostestes[#Data],2)=0,"-",VLOOKUP($B34,casostestes[#Data],2)), "-")</f>
        <v>Integração</v>
      </c>
      <c r="E34" s="35" t="str">
        <f>IFERROR(IF(VLOOKUP($B34,casostestes[#Data],3)=0,"-",VLOOKUP($B34,casostestes[#Data],3)), "-")</f>
        <v xml:space="preserve">43'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4" s="35" t="str">
        <f>IFERROR(IF(VLOOKUP($B34,casostestes[#Data],4)=0,"-",VLOOKUP($B34,casostestes[#Data],4)),"-")</f>
        <v>PAT</v>
      </c>
      <c r="G34" s="35" t="str">
        <f>IFERROR(IF(VLOOKUP($B34,casostestes[#Data],5)=0,"-",VLOOKUP($B34,casostestes[#Data],5)),"-")</f>
        <v>SERVIDOR</v>
      </c>
      <c r="H34" s="35" t="str">
        <f>IFERROR(IF(VLOOKUP($B34,casostestes[#Data],6)=0,"-",VLOOKUP($B34,casostestes[#Data],6)),"-")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34" s="35" t="str">
        <f>IFERROR(IF(VLOOKUP($B34,casostestes[#Data],8)=0,"-",VLOOKUP($B34,casostestes[#Data],8)),"-")</f>
        <v>-</v>
      </c>
      <c r="J34" s="35" t="str">
        <f>IFERROR(IF(VLOOKUP($B34,casostestes[#Data],9)=0,"-",VLOOKUP($B34,casostestes[#Data],9)),"-")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34" s="36"/>
      <c r="L34" s="45"/>
      <c r="M34" s="37"/>
      <c r="N34" s="38"/>
      <c r="O34" s="38"/>
      <c r="P34" s="39"/>
    </row>
    <row r="35" spans="2:16">
      <c r="B35" s="40" t="str">
        <f>IF(ISERR(casostestes[[#This Row],[ID]]),"-",casostestes[[#This Row],[ID]])</f>
        <v>-</v>
      </c>
      <c r="C35" s="34" t="str">
        <f>IFERROR(IF(VLOOKUP($B35,casostestes[#Data],10)=0,"Não",VLOOKUP($B35,casostestes[#Data],10)), "-")</f>
        <v>-</v>
      </c>
      <c r="D35" s="35" t="str">
        <f>IFERROR(IF(VLOOKUP($B35,casostestes[#Data],2)=0,"-",VLOOKUP($B35,casostestes[#Data],2)), "-")</f>
        <v>-</v>
      </c>
      <c r="E35" s="35" t="str">
        <f>IFERROR(IF(VLOOKUP($B35,casostestes[#Data],3)=0,"-",VLOOKUP($B35,casostestes[#Data],3)), "-")</f>
        <v>-</v>
      </c>
      <c r="F35" s="35" t="str">
        <f>IFERROR(IF(VLOOKUP($B35,casostestes[#Data],4)=0,"-",VLOOKUP($B35,casostestes[#Data],4)),"-")</f>
        <v>-</v>
      </c>
      <c r="G35" s="35" t="str">
        <f>IFERROR(IF(VLOOKUP($B35,casostestes[#Data],5)=0,"-",VLOOKUP($B35,casostestes[#Data],5)),"-")</f>
        <v>-</v>
      </c>
      <c r="H35" s="35" t="str">
        <f>IFERROR(IF(VLOOKUP($B35,casostestes[#Data],6)=0,"-",VLOOKUP($B35,casostestes[#Data],6)),"-")</f>
        <v>-</v>
      </c>
      <c r="I35" s="35" t="str">
        <f>IFERROR(IF(VLOOKUP($B35,casostestes[#Data],8)=0,"-",VLOOKUP($B35,casostestes[#Data],8)),"-")</f>
        <v>-</v>
      </c>
      <c r="J35" s="35" t="str">
        <f>IFERROR(IF(VLOOKUP($B35,casostestes[#Data],9)=0,"-",VLOOKUP($B35,casostestes[#Data],9)),"-")</f>
        <v>-</v>
      </c>
      <c r="K35" s="36"/>
      <c r="L35" s="45"/>
      <c r="M35" s="37"/>
      <c r="N35" s="38"/>
      <c r="O35" s="38"/>
      <c r="P35" s="39"/>
    </row>
    <row r="36" spans="2:16">
      <c r="B36" s="40" t="str">
        <f>IF(ISERR(casostestes[[#This Row],[ID]]),"-",casostestes[[#This Row],[ID]])</f>
        <v>-</v>
      </c>
      <c r="C36" s="34" t="str">
        <f>IFERROR(IF(VLOOKUP($B36,casostestes[#Data],10)=0,"Não",VLOOKUP($B36,casostestes[#Data],10)), "-")</f>
        <v>-</v>
      </c>
      <c r="D36" s="35" t="str">
        <f>IFERROR(IF(VLOOKUP($B36,casostestes[#Data],2)=0,"-",VLOOKUP($B36,casostestes[#Data],2)), "-")</f>
        <v>-</v>
      </c>
      <c r="E36" s="35" t="str">
        <f>IFERROR(IF(VLOOKUP($B36,casostestes[#Data],3)=0,"-",VLOOKUP($B36,casostestes[#Data],3)), "-")</f>
        <v>-</v>
      </c>
      <c r="F36" s="35" t="str">
        <f>IFERROR(IF(VLOOKUP($B36,casostestes[#Data],4)=0,"-",VLOOKUP($B36,casostestes[#Data],4)),"-")</f>
        <v>-</v>
      </c>
      <c r="G36" s="35" t="str">
        <f>IFERROR(IF(VLOOKUP($B36,casostestes[#Data],5)=0,"-",VLOOKUP($B36,casostestes[#Data],5)),"-")</f>
        <v>-</v>
      </c>
      <c r="H36" s="35" t="str">
        <f>IFERROR(IF(VLOOKUP($B36,casostestes[#Data],6)=0,"-",VLOOKUP($B36,casostestes[#Data],6)),"-")</f>
        <v>-</v>
      </c>
      <c r="I36" s="35" t="str">
        <f>IFERROR(IF(VLOOKUP($B36,casostestes[#Data],8)=0,"-",VLOOKUP($B36,casostestes[#Data],8)),"-")</f>
        <v>-</v>
      </c>
      <c r="J36" s="35" t="str">
        <f>IFERROR(IF(VLOOKUP($B36,casostestes[#Data],9)=0,"-",VLOOKUP($B36,casostestes[#Data],9)),"-")</f>
        <v>-</v>
      </c>
      <c r="K36" s="36"/>
      <c r="L36" s="45"/>
      <c r="M36" s="37"/>
      <c r="N36" s="38"/>
      <c r="O36" s="38"/>
      <c r="P36" s="39"/>
    </row>
    <row r="37" spans="2:16">
      <c r="B37" s="40" t="str">
        <f>IF(ISERR(casostestes[[#This Row],[ID]]),"-",casostestes[[#This Row],[ID]])</f>
        <v>-</v>
      </c>
      <c r="C37" s="34" t="str">
        <f>IFERROR(IF(VLOOKUP($B37,casostestes[#Data],10)=0,"Não",VLOOKUP($B37,casostestes[#Data],10)), "-")</f>
        <v>-</v>
      </c>
      <c r="D37" s="35" t="str">
        <f>IFERROR(IF(VLOOKUP($B37,casostestes[#Data],2)=0,"-",VLOOKUP($B37,casostestes[#Data],2)), "-")</f>
        <v>-</v>
      </c>
      <c r="E37" s="35" t="str">
        <f>IFERROR(IF(VLOOKUP($B37,casostestes[#Data],3)=0,"-",VLOOKUP($B37,casostestes[#Data],3)), "-")</f>
        <v>-</v>
      </c>
      <c r="F37" s="35" t="str">
        <f>IFERROR(IF(VLOOKUP($B37,casostestes[#Data],4)=0,"-",VLOOKUP($B37,casostestes[#Data],4)),"-")</f>
        <v>-</v>
      </c>
      <c r="G37" s="35" t="str">
        <f>IFERROR(IF(VLOOKUP($B37,casostestes[#Data],5)=0,"-",VLOOKUP($B37,casostestes[#Data],5)),"-")</f>
        <v>-</v>
      </c>
      <c r="H37" s="35" t="str">
        <f>IFERROR(IF(VLOOKUP($B37,casostestes[#Data],6)=0,"-",VLOOKUP($B37,casostestes[#Data],6)),"-")</f>
        <v>-</v>
      </c>
      <c r="I37" s="35" t="str">
        <f>IFERROR(IF(VLOOKUP($B37,casostestes[#Data],8)=0,"-",VLOOKUP($B37,casostestes[#Data],8)),"-")</f>
        <v>-</v>
      </c>
      <c r="J37" s="35" t="str">
        <f>IFERROR(IF(VLOOKUP($B37,casostestes[#Data],9)=0,"-",VLOOKUP($B37,casostestes[#Data],9)),"-")</f>
        <v>-</v>
      </c>
      <c r="K37" s="36"/>
      <c r="L37" s="45"/>
      <c r="M37" s="37"/>
      <c r="N37" s="38"/>
      <c r="O37" s="38"/>
      <c r="P37" s="39"/>
    </row>
    <row r="38" spans="2:16">
      <c r="B38" s="40" t="str">
        <f>IF(ISERR(casostestes[[#This Row],[ID]]),"-",casostestes[[#This Row],[ID]])</f>
        <v>-</v>
      </c>
      <c r="C38" s="34" t="str">
        <f>IFERROR(IF(VLOOKUP($B38,casostestes[#Data],10)=0,"Não",VLOOKUP($B38,casostestes[#Data],10)), "-")</f>
        <v>-</v>
      </c>
      <c r="D38" s="35" t="str">
        <f>IFERROR(IF(VLOOKUP($B38,casostestes[#Data],2)=0,"-",VLOOKUP($B38,casostestes[#Data],2)), "-")</f>
        <v>-</v>
      </c>
      <c r="E38" s="35" t="str">
        <f>IFERROR(IF(VLOOKUP($B38,casostestes[#Data],3)=0,"-",VLOOKUP($B38,casostestes[#Data],3)), "-")</f>
        <v>-</v>
      </c>
      <c r="F38" s="35" t="str">
        <f>IFERROR(IF(VLOOKUP($B38,casostestes[#Data],4)=0,"-",VLOOKUP($B38,casostestes[#Data],4)),"-")</f>
        <v>-</v>
      </c>
      <c r="G38" s="35" t="str">
        <f>IFERROR(IF(VLOOKUP($B38,casostestes[#Data],5)=0,"-",VLOOKUP($B38,casostestes[#Data],5)),"-")</f>
        <v>-</v>
      </c>
      <c r="H38" s="35" t="str">
        <f>IFERROR(IF(VLOOKUP($B38,casostestes[#Data],6)=0,"-",VLOOKUP($B38,casostestes[#Data],6)),"-")</f>
        <v>-</v>
      </c>
      <c r="I38" s="35" t="str">
        <f>IFERROR(IF(VLOOKUP($B38,casostestes[#Data],8)=0,"-",VLOOKUP($B38,casostestes[#Data],8)),"-")</f>
        <v>-</v>
      </c>
      <c r="J38" s="35" t="str">
        <f>IFERROR(IF(VLOOKUP($B38,casostestes[#Data],9)=0,"-",VLOOKUP($B38,casostestes[#Data],9)),"-")</f>
        <v>-</v>
      </c>
      <c r="K38" s="36"/>
      <c r="L38" s="45"/>
      <c r="M38" s="37"/>
      <c r="N38" s="38"/>
      <c r="O38" s="38"/>
      <c r="P38" s="39"/>
    </row>
    <row r="39" spans="2:16">
      <c r="B39" s="40" t="str">
        <f>IF(ISERR(casostestes[[#This Row],[ID]]),"-",casostestes[[#This Row],[ID]])</f>
        <v>-</v>
      </c>
      <c r="C39" s="34" t="str">
        <f>IFERROR(IF(VLOOKUP($B39,casostestes[#Data],10)=0,"Não",VLOOKUP($B39,casostestes[#Data],10)), "-")</f>
        <v>-</v>
      </c>
      <c r="D39" s="35" t="str">
        <f>IFERROR(IF(VLOOKUP($B39,casostestes[#Data],2)=0,"-",VLOOKUP($B39,casostestes[#Data],2)), "-")</f>
        <v>-</v>
      </c>
      <c r="E39" s="35" t="str">
        <f>IFERROR(IF(VLOOKUP($B39,casostestes[#Data],3)=0,"-",VLOOKUP($B39,casostestes[#Data],3)), "-")</f>
        <v>-</v>
      </c>
      <c r="F39" s="35" t="str">
        <f>IFERROR(IF(VLOOKUP($B39,casostestes[#Data],4)=0,"-",VLOOKUP($B39,casostestes[#Data],4)),"-")</f>
        <v>-</v>
      </c>
      <c r="G39" s="35" t="str">
        <f>IFERROR(IF(VLOOKUP($B39,casostestes[#Data],5)=0,"-",VLOOKUP($B39,casostestes[#Data],5)),"-")</f>
        <v>-</v>
      </c>
      <c r="H39" s="35" t="str">
        <f>IFERROR(IF(VLOOKUP($B39,casostestes[#Data],6)=0,"-",VLOOKUP($B39,casostestes[#Data],6)),"-")</f>
        <v>-</v>
      </c>
      <c r="I39" s="35" t="str">
        <f>IFERROR(IF(VLOOKUP($B39,casostestes[#Data],8)=0,"-",VLOOKUP($B39,casostestes[#Data],8)),"-")</f>
        <v>-</v>
      </c>
      <c r="J39" s="35" t="str">
        <f>IFERROR(IF(VLOOKUP($B39,casostestes[#Data],9)=0,"-",VLOOKUP($B39,casostestes[#Data],9)),"-")</f>
        <v>-</v>
      </c>
      <c r="K39" s="36"/>
      <c r="L39" s="45"/>
      <c r="M39" s="37"/>
      <c r="N39" s="38"/>
      <c r="O39" s="38"/>
      <c r="P39" s="39"/>
    </row>
    <row r="40" spans="2:16">
      <c r="B40" s="40" t="str">
        <f>IF(ISERR(casostestes[[#This Row],[ID]]),"-",casostestes[[#This Row],[ID]])</f>
        <v>-</v>
      </c>
      <c r="C40" s="34" t="str">
        <f>IFERROR(IF(VLOOKUP($B40,casostestes[#Data],10)=0,"Não",VLOOKUP($B40,casostestes[#Data],10)), "-")</f>
        <v>-</v>
      </c>
      <c r="D40" s="35" t="str">
        <f>IFERROR(IF(VLOOKUP($B40,casostestes[#Data],2)=0,"-",VLOOKUP($B40,casostestes[#Data],2)), "-")</f>
        <v>-</v>
      </c>
      <c r="E40" s="35" t="str">
        <f>IFERROR(IF(VLOOKUP($B40,casostestes[#Data],3)=0,"-",VLOOKUP($B40,casostestes[#Data],3)), "-")</f>
        <v>-</v>
      </c>
      <c r="F40" s="35" t="str">
        <f>IFERROR(IF(VLOOKUP($B40,casostestes[#Data],4)=0,"-",VLOOKUP($B40,casostestes[#Data],4)),"-")</f>
        <v>-</v>
      </c>
      <c r="G40" s="35" t="str">
        <f>IFERROR(IF(VLOOKUP($B40,casostestes[#Data],5)=0,"-",VLOOKUP($B40,casostestes[#Data],5)),"-")</f>
        <v>-</v>
      </c>
      <c r="H40" s="35" t="str">
        <f>IFERROR(IF(VLOOKUP($B40,casostestes[#Data],6)=0,"-",VLOOKUP($B40,casostestes[#Data],6)),"-")</f>
        <v>-</v>
      </c>
      <c r="I40" s="35" t="str">
        <f>IFERROR(IF(VLOOKUP($B40,casostestes[#Data],8)=0,"-",VLOOKUP($B40,casostestes[#Data],8)),"-")</f>
        <v>-</v>
      </c>
      <c r="J40" s="35" t="str">
        <f>IFERROR(IF(VLOOKUP($B40,casostestes[#Data],9)=0,"-",VLOOKUP($B40,casostestes[#Data],9)),"-")</f>
        <v>-</v>
      </c>
      <c r="K40" s="36"/>
      <c r="L40" s="45"/>
      <c r="M40" s="37"/>
      <c r="N40" s="38"/>
      <c r="O40" s="38"/>
      <c r="P40" s="39"/>
    </row>
    <row r="41" spans="2:16">
      <c r="B41" s="40" t="str">
        <f>IF(ISERR(casostestes[[#This Row],[ID]]),"-",casostestes[[#This Row],[ID]])</f>
        <v>-</v>
      </c>
      <c r="C41" s="34" t="str">
        <f>IFERROR(IF(VLOOKUP($B41,casostestes[#Data],10)=0,"Não",VLOOKUP($B41,casostestes[#Data],10)), "-")</f>
        <v>-</v>
      </c>
      <c r="D41" s="35" t="str">
        <f>IFERROR(IF(VLOOKUP($B41,casostestes[#Data],2)=0,"-",VLOOKUP($B41,casostestes[#Data],2)), "-")</f>
        <v>-</v>
      </c>
      <c r="E41" s="35" t="str">
        <f>IFERROR(IF(VLOOKUP($B41,casostestes[#Data],3)=0,"-",VLOOKUP($B41,casostestes[#Data],3)), "-")</f>
        <v>-</v>
      </c>
      <c r="F41" s="35" t="str">
        <f>IFERROR(IF(VLOOKUP($B41,casostestes[#Data],4)=0,"-",VLOOKUP($B41,casostestes[#Data],4)),"-")</f>
        <v>-</v>
      </c>
      <c r="G41" s="35" t="str">
        <f>IFERROR(IF(VLOOKUP($B41,casostestes[#Data],5)=0,"-",VLOOKUP($B41,casostestes[#Data],5)),"-")</f>
        <v>-</v>
      </c>
      <c r="H41" s="35" t="str">
        <f>IFERROR(IF(VLOOKUP($B41,casostestes[#Data],6)=0,"-",VLOOKUP($B41,casostestes[#Data],6)),"-")</f>
        <v>-</v>
      </c>
      <c r="I41" s="35" t="str">
        <f>IFERROR(IF(VLOOKUP($B41,casostestes[#Data],8)=0,"-",VLOOKUP($B41,casostestes[#Data],8)),"-")</f>
        <v>-</v>
      </c>
      <c r="J41" s="35" t="str">
        <f>IFERROR(IF(VLOOKUP($B41,casostestes[#Data],9)=0,"-",VLOOKUP($B41,casostestes[#Data],9)),"-")</f>
        <v>-</v>
      </c>
      <c r="K41" s="36"/>
      <c r="L41" s="45"/>
      <c r="M41" s="37"/>
      <c r="N41" s="38"/>
      <c r="O41" s="38"/>
      <c r="P41" s="39"/>
    </row>
    <row r="42" spans="2:16">
      <c r="B42" s="40" t="str">
        <f>IF(ISERR(casostestes[[#This Row],[ID]]),"-",casostestes[[#This Row],[ID]])</f>
        <v>-</v>
      </c>
      <c r="C42" s="34" t="str">
        <f>IFERROR(IF(VLOOKUP($B42,casostestes[#Data],10)=0,"Não",VLOOKUP($B42,casostestes[#Data],10)), "-")</f>
        <v>-</v>
      </c>
      <c r="D42" s="35" t="str">
        <f>IFERROR(IF(VLOOKUP($B42,casostestes[#Data],2)=0,"-",VLOOKUP($B42,casostestes[#Data],2)), "-")</f>
        <v>-</v>
      </c>
      <c r="E42" s="35" t="str">
        <f>IFERROR(IF(VLOOKUP($B42,casostestes[#Data],3)=0,"-",VLOOKUP($B42,casostestes[#Data],3)), "-")</f>
        <v>-</v>
      </c>
      <c r="F42" s="35" t="str">
        <f>IFERROR(IF(VLOOKUP($B42,casostestes[#Data],4)=0,"-",VLOOKUP($B42,casostestes[#Data],4)),"-")</f>
        <v>-</v>
      </c>
      <c r="G42" s="35" t="str">
        <f>IFERROR(IF(VLOOKUP($B42,casostestes[#Data],5)=0,"-",VLOOKUP($B42,casostestes[#Data],5)),"-")</f>
        <v>-</v>
      </c>
      <c r="H42" s="35" t="str">
        <f>IFERROR(IF(VLOOKUP($B42,casostestes[#Data],6)=0,"-",VLOOKUP($B42,casostestes[#Data],6)),"-")</f>
        <v>-</v>
      </c>
      <c r="I42" s="35" t="str">
        <f>IFERROR(IF(VLOOKUP($B42,casostestes[#Data],8)=0,"-",VLOOKUP($B42,casostestes[#Data],8)),"-")</f>
        <v>-</v>
      </c>
      <c r="J42" s="35" t="str">
        <f>IFERROR(IF(VLOOKUP($B42,casostestes[#Data],9)=0,"-",VLOOKUP($B42,casostestes[#Data],9)),"-")</f>
        <v>-</v>
      </c>
      <c r="K42" s="36"/>
      <c r="L42" s="45"/>
      <c r="M42" s="37"/>
      <c r="N42" s="38"/>
      <c r="O42" s="38"/>
      <c r="P42" s="39"/>
    </row>
    <row r="43" spans="2:16">
      <c r="B43" s="40" t="str">
        <f>IF(ISERR(casostestes[[#This Row],[ID]]),"-",casostestes[[#This Row],[ID]])</f>
        <v>-</v>
      </c>
      <c r="C43" s="34" t="str">
        <f>IFERROR(IF(VLOOKUP($B43,casostestes[#Data],10)=0,"Não",VLOOKUP($B43,casostestes[#Data],10)), "-")</f>
        <v>-</v>
      </c>
      <c r="D43" s="35" t="str">
        <f>IFERROR(IF(VLOOKUP($B43,casostestes[#Data],2)=0,"-",VLOOKUP($B43,casostestes[#Data],2)), "-")</f>
        <v>-</v>
      </c>
      <c r="E43" s="35" t="str">
        <f>IFERROR(IF(VLOOKUP($B43,casostestes[#Data],3)=0,"-",VLOOKUP($B43,casostestes[#Data],3)), "-")</f>
        <v>-</v>
      </c>
      <c r="F43" s="35" t="str">
        <f>IFERROR(IF(VLOOKUP($B43,casostestes[#Data],4)=0,"-",VLOOKUP($B43,casostestes[#Data],4)),"-")</f>
        <v>-</v>
      </c>
      <c r="G43" s="35" t="str">
        <f>IFERROR(IF(VLOOKUP($B43,casostestes[#Data],5)=0,"-",VLOOKUP($B43,casostestes[#Data],5)),"-")</f>
        <v>-</v>
      </c>
      <c r="H43" s="35" t="str">
        <f>IFERROR(IF(VLOOKUP($B43,casostestes[#Data],6)=0,"-",VLOOKUP($B43,casostestes[#Data],6)),"-")</f>
        <v>-</v>
      </c>
      <c r="I43" s="35" t="str">
        <f>IFERROR(IF(VLOOKUP($B43,casostestes[#Data],8)=0,"-",VLOOKUP($B43,casostestes[#Data],8)),"-")</f>
        <v>-</v>
      </c>
      <c r="J43" s="35" t="str">
        <f>IFERROR(IF(VLOOKUP($B43,casostestes[#Data],9)=0,"-",VLOOKUP($B43,casostestes[#Data],9)),"-")</f>
        <v>-</v>
      </c>
      <c r="K43" s="36"/>
      <c r="L43" s="45"/>
      <c r="M43" s="37"/>
      <c r="N43" s="38"/>
      <c r="O43" s="38"/>
      <c r="P43" s="39"/>
    </row>
    <row r="44" spans="2:16">
      <c r="B44" s="40" t="str">
        <f>IF(ISERR(casostestes[[#This Row],[ID]]),"-",casostestes[[#This Row],[ID]])</f>
        <v>-</v>
      </c>
      <c r="C44" s="34" t="str">
        <f>IFERROR(IF(VLOOKUP($B44,casostestes[#Data],10)=0,"Não",VLOOKUP($B44,casostestes[#Data],10)), "-")</f>
        <v>-</v>
      </c>
      <c r="D44" s="35" t="str">
        <f>IFERROR(IF(VLOOKUP($B44,casostestes[#Data],2)=0,"-",VLOOKUP($B44,casostestes[#Data],2)), "-")</f>
        <v>-</v>
      </c>
      <c r="E44" s="35" t="str">
        <f>IFERROR(IF(VLOOKUP($B44,casostestes[#Data],3)=0,"-",VLOOKUP($B44,casostestes[#Data],3)), "-")</f>
        <v>-</v>
      </c>
      <c r="F44" s="35" t="str">
        <f>IFERROR(IF(VLOOKUP($B44,casostestes[#Data],4)=0,"-",VLOOKUP($B44,casostestes[#Data],4)),"-")</f>
        <v>-</v>
      </c>
      <c r="G44" s="35" t="str">
        <f>IFERROR(IF(VLOOKUP($B44,casostestes[#Data],5)=0,"-",VLOOKUP($B44,casostestes[#Data],5)),"-")</f>
        <v>-</v>
      </c>
      <c r="H44" s="35" t="str">
        <f>IFERROR(IF(VLOOKUP($B44,casostestes[#Data],6)=0,"-",VLOOKUP($B44,casostestes[#Data],6)),"-")</f>
        <v>-</v>
      </c>
      <c r="I44" s="35" t="str">
        <f>IFERROR(IF(VLOOKUP($B44,casostestes[#Data],8)=0,"-",VLOOKUP($B44,casostestes[#Data],8)),"-")</f>
        <v>-</v>
      </c>
      <c r="J44" s="35" t="str">
        <f>IFERROR(IF(VLOOKUP($B44,casostestes[#Data],9)=0,"-",VLOOKUP($B44,casostestes[#Data],9)),"-")</f>
        <v>-</v>
      </c>
      <c r="K44" s="36"/>
      <c r="L44" s="45"/>
      <c r="M44" s="37"/>
      <c r="N44" s="38"/>
      <c r="O44" s="38"/>
      <c r="P44" s="39"/>
    </row>
    <row r="45" spans="2:16">
      <c r="B45" s="40" t="str">
        <f>IF(ISERR(casostestes[[#This Row],[ID]]),"-",casostestes[[#This Row],[ID]])</f>
        <v>-</v>
      </c>
      <c r="C45" s="34" t="str">
        <f>IFERROR(IF(VLOOKUP($B45,casostestes[#Data],10)=0,"Não",VLOOKUP($B45,casostestes[#Data],10)), "-")</f>
        <v>-</v>
      </c>
      <c r="D45" s="35" t="str">
        <f>IFERROR(IF(VLOOKUP($B45,casostestes[#Data],2)=0,"-",VLOOKUP($B45,casostestes[#Data],2)), "-")</f>
        <v>-</v>
      </c>
      <c r="E45" s="35" t="str">
        <f>IFERROR(IF(VLOOKUP($B45,casostestes[#Data],3)=0,"-",VLOOKUP($B45,casostestes[#Data],3)), "-")</f>
        <v>-</v>
      </c>
      <c r="F45" s="35" t="str">
        <f>IFERROR(IF(VLOOKUP($B45,casostestes[#Data],4)=0,"-",VLOOKUP($B45,casostestes[#Data],4)),"-")</f>
        <v>-</v>
      </c>
      <c r="G45" s="35" t="str">
        <f>IFERROR(IF(VLOOKUP($B45,casostestes[#Data],5)=0,"-",VLOOKUP($B45,casostestes[#Data],5)),"-")</f>
        <v>-</v>
      </c>
      <c r="H45" s="35" t="str">
        <f>IFERROR(IF(VLOOKUP($B45,casostestes[#Data],6)=0,"-",VLOOKUP($B45,casostestes[#Data],6)),"-")</f>
        <v>-</v>
      </c>
      <c r="I45" s="35" t="str">
        <f>IFERROR(IF(VLOOKUP($B45,casostestes[#Data],8)=0,"-",VLOOKUP($B45,casostestes[#Data],8)),"-")</f>
        <v>-</v>
      </c>
      <c r="J45" s="35" t="str">
        <f>IFERROR(IF(VLOOKUP($B45,casostestes[#Data],9)=0,"-",VLOOKUP($B45,casostestes[#Data],9)),"-")</f>
        <v>-</v>
      </c>
      <c r="K45" s="36"/>
      <c r="L45" s="45"/>
      <c r="M45" s="37"/>
      <c r="N45" s="38"/>
      <c r="O45" s="38"/>
      <c r="P45" s="39"/>
    </row>
    <row r="46" spans="2:16">
      <c r="B46" s="40" t="str">
        <f>IF(ISERR(casostestes[[#This Row],[ID]]),"-",casostestes[[#This Row],[ID]])</f>
        <v>-</v>
      </c>
      <c r="C46" s="34" t="str">
        <f>IFERROR(IF(VLOOKUP($B46,casostestes[#Data],10)=0,"Não",VLOOKUP($B46,casostestes[#Data],10)), "-")</f>
        <v>-</v>
      </c>
      <c r="D46" s="35" t="str">
        <f>IFERROR(IF(VLOOKUP($B46,casostestes[#Data],2)=0,"-",VLOOKUP($B46,casostestes[#Data],2)), "-")</f>
        <v>-</v>
      </c>
      <c r="E46" s="35" t="str">
        <f>IFERROR(IF(VLOOKUP($B46,casostestes[#Data],3)=0,"-",VLOOKUP($B46,casostestes[#Data],3)), "-")</f>
        <v>-</v>
      </c>
      <c r="F46" s="35" t="str">
        <f>IFERROR(IF(VLOOKUP($B46,casostestes[#Data],4)=0,"-",VLOOKUP($B46,casostestes[#Data],4)),"-")</f>
        <v>-</v>
      </c>
      <c r="G46" s="35" t="str">
        <f>IFERROR(IF(VLOOKUP($B46,casostestes[#Data],5)=0,"-",VLOOKUP($B46,casostestes[#Data],5)),"-")</f>
        <v>-</v>
      </c>
      <c r="H46" s="35" t="str">
        <f>IFERROR(IF(VLOOKUP($B46,casostestes[#Data],6)=0,"-",VLOOKUP($B46,casostestes[#Data],6)),"-")</f>
        <v>-</v>
      </c>
      <c r="I46" s="35" t="str">
        <f>IFERROR(IF(VLOOKUP($B46,casostestes[#Data],8)=0,"-",VLOOKUP($B46,casostestes[#Data],8)),"-")</f>
        <v>-</v>
      </c>
      <c r="J46" s="35" t="str">
        <f>IFERROR(IF(VLOOKUP($B46,casostestes[#Data],9)=0,"-",VLOOKUP($B46,casostestes[#Data],9)),"-")</f>
        <v>-</v>
      </c>
      <c r="K46" s="36"/>
      <c r="L46" s="45"/>
      <c r="M46" s="37"/>
      <c r="N46" s="38"/>
      <c r="O46" s="38"/>
      <c r="P46" s="39"/>
    </row>
    <row r="47" spans="2:16">
      <c r="B47" s="40" t="str">
        <f>IF(ISERR(casostestes[[#This Row],[ID]]),"-",casostestes[[#This Row],[ID]])</f>
        <v>-</v>
      </c>
      <c r="C47" s="34" t="str">
        <f>IFERROR(IF(VLOOKUP($B47,casostestes[#Data],10)=0,"Não",VLOOKUP($B47,casostestes[#Data],10)), "-")</f>
        <v>-</v>
      </c>
      <c r="D47" s="35" t="str">
        <f>IFERROR(IF(VLOOKUP($B47,casostestes[#Data],2)=0,"-",VLOOKUP($B47,casostestes[#Data],2)), "-")</f>
        <v>-</v>
      </c>
      <c r="E47" s="35" t="str">
        <f>IFERROR(IF(VLOOKUP($B47,casostestes[#Data],3)=0,"-",VLOOKUP($B47,casostestes[#Data],3)), "-")</f>
        <v>-</v>
      </c>
      <c r="F47" s="35" t="str">
        <f>IFERROR(IF(VLOOKUP($B47,casostestes[#Data],4)=0,"-",VLOOKUP($B47,casostestes[#Data],4)),"-")</f>
        <v>-</v>
      </c>
      <c r="G47" s="35" t="str">
        <f>IFERROR(IF(VLOOKUP($B47,casostestes[#Data],5)=0,"-",VLOOKUP($B47,casostestes[#Data],5)),"-")</f>
        <v>-</v>
      </c>
      <c r="H47" s="35" t="str">
        <f>IFERROR(IF(VLOOKUP($B47,casostestes[#Data],6)=0,"-",VLOOKUP($B47,casostestes[#Data],6)),"-")</f>
        <v>-</v>
      </c>
      <c r="I47" s="35" t="str">
        <f>IFERROR(IF(VLOOKUP($B47,casostestes[#Data],8)=0,"-",VLOOKUP($B47,casostestes[#Data],8)),"-")</f>
        <v>-</v>
      </c>
      <c r="J47" s="35" t="str">
        <f>IFERROR(IF(VLOOKUP($B47,casostestes[#Data],9)=0,"-",VLOOKUP($B47,casostestes[#Data],9)),"-")</f>
        <v>-</v>
      </c>
      <c r="K47" s="36"/>
      <c r="L47" s="45"/>
      <c r="M47" s="37"/>
      <c r="N47" s="38"/>
      <c r="O47" s="38"/>
      <c r="P47" s="39"/>
    </row>
    <row r="48" spans="2:16">
      <c r="B48" s="40" t="str">
        <f>IF(ISERR(casostestes[[#This Row],[ID]]),"-",casostestes[[#This Row],[ID]])</f>
        <v>-</v>
      </c>
      <c r="C48" s="34" t="str">
        <f>IFERROR(IF(VLOOKUP($B48,casostestes[#Data],10)=0,"Não",VLOOKUP($B48,casostestes[#Data],10)), "-")</f>
        <v>-</v>
      </c>
      <c r="D48" s="35" t="str">
        <f>IFERROR(IF(VLOOKUP($B48,casostestes[#Data],2)=0,"-",VLOOKUP($B48,casostestes[#Data],2)), "-")</f>
        <v>-</v>
      </c>
      <c r="E48" s="35" t="str">
        <f>IFERROR(IF(VLOOKUP($B48,casostestes[#Data],3)=0,"-",VLOOKUP($B48,casostestes[#Data],3)), "-")</f>
        <v>-</v>
      </c>
      <c r="F48" s="35" t="str">
        <f>IFERROR(IF(VLOOKUP($B48,casostestes[#Data],4)=0,"-",VLOOKUP($B48,casostestes[#Data],4)),"-")</f>
        <v>-</v>
      </c>
      <c r="G48" s="35" t="str">
        <f>IFERROR(IF(VLOOKUP($B48,casostestes[#Data],5)=0,"-",VLOOKUP($B48,casostestes[#Data],5)),"-")</f>
        <v>-</v>
      </c>
      <c r="H48" s="35" t="str">
        <f>IFERROR(IF(VLOOKUP($B48,casostestes[#Data],6)=0,"-",VLOOKUP($B48,casostestes[#Data],6)),"-")</f>
        <v>-</v>
      </c>
      <c r="I48" s="35" t="str">
        <f>IFERROR(IF(VLOOKUP($B48,casostestes[#Data],8)=0,"-",VLOOKUP($B48,casostestes[#Data],8)),"-")</f>
        <v>-</v>
      </c>
      <c r="J48" s="35" t="str">
        <f>IFERROR(IF(VLOOKUP($B48,casostestes[#Data],9)=0,"-",VLOOKUP($B48,casostestes[#Data],9)),"-")</f>
        <v>-</v>
      </c>
      <c r="K48" s="36"/>
      <c r="L48" s="45"/>
      <c r="M48" s="37"/>
      <c r="N48" s="38"/>
      <c r="O48" s="38"/>
      <c r="P48" s="39"/>
    </row>
    <row r="49" spans="2:16">
      <c r="B49" s="40" t="str">
        <f>IF(ISERR(casostestes[[#This Row],[ID]]),"-",casostestes[[#This Row],[ID]])</f>
        <v>-</v>
      </c>
      <c r="C49" s="34" t="str">
        <f>IFERROR(IF(VLOOKUP($B49,casostestes[#Data],10)=0,"Não",VLOOKUP($B49,casostestes[#Data],10)), "-")</f>
        <v>-</v>
      </c>
      <c r="D49" s="35" t="str">
        <f>IFERROR(IF(VLOOKUP($B49,casostestes[#Data],2)=0,"-",VLOOKUP($B49,casostestes[#Data],2)), "-")</f>
        <v>-</v>
      </c>
      <c r="E49" s="35" t="str">
        <f>IFERROR(IF(VLOOKUP($B49,casostestes[#Data],3)=0,"-",VLOOKUP($B49,casostestes[#Data],3)), "-")</f>
        <v>-</v>
      </c>
      <c r="F49" s="35" t="str">
        <f>IFERROR(IF(VLOOKUP($B49,casostestes[#Data],4)=0,"-",VLOOKUP($B49,casostestes[#Data],4)),"-")</f>
        <v>-</v>
      </c>
      <c r="G49" s="35" t="str">
        <f>IFERROR(IF(VLOOKUP($B49,casostestes[#Data],5)=0,"-",VLOOKUP($B49,casostestes[#Data],5)),"-")</f>
        <v>-</v>
      </c>
      <c r="H49" s="35" t="str">
        <f>IFERROR(IF(VLOOKUP($B49,casostestes[#Data],6)=0,"-",VLOOKUP($B49,casostestes[#Data],6)),"-")</f>
        <v>-</v>
      </c>
      <c r="I49" s="35" t="str">
        <f>IFERROR(IF(VLOOKUP($B49,casostestes[#Data],8)=0,"-",VLOOKUP($B49,casostestes[#Data],8)),"-")</f>
        <v>-</v>
      </c>
      <c r="J49" s="35" t="str">
        <f>IFERROR(IF(VLOOKUP($B49,casostestes[#Data],9)=0,"-",VLOOKUP($B49,casostestes[#Data],9)),"-")</f>
        <v>-</v>
      </c>
      <c r="K49" s="36"/>
      <c r="L49" s="45"/>
      <c r="M49" s="37"/>
      <c r="N49" s="38"/>
      <c r="O49" s="38"/>
      <c r="P49" s="39"/>
    </row>
    <row r="50" spans="2:16">
      <c r="B50" s="40" t="str">
        <f>IF(ISERR(casostestes[[#This Row],[ID]]),"-",casostestes[[#This Row],[ID]])</f>
        <v>-</v>
      </c>
      <c r="C50" s="34" t="str">
        <f>IFERROR(IF(VLOOKUP($B50,casostestes[#Data],10)=0,"Não",VLOOKUP($B50,casostestes[#Data],10)), "-")</f>
        <v>-</v>
      </c>
      <c r="D50" s="35" t="str">
        <f>IFERROR(IF(VLOOKUP($B50,casostestes[#Data],2)=0,"-",VLOOKUP($B50,casostestes[#Data],2)), "-")</f>
        <v>-</v>
      </c>
      <c r="E50" s="35" t="str">
        <f>IFERROR(IF(VLOOKUP($B50,casostestes[#Data],3)=0,"-",VLOOKUP($B50,casostestes[#Data],3)), "-")</f>
        <v>-</v>
      </c>
      <c r="F50" s="35" t="str">
        <f>IFERROR(IF(VLOOKUP($B50,casostestes[#Data],4)=0,"-",VLOOKUP($B50,casostestes[#Data],4)),"-")</f>
        <v>-</v>
      </c>
      <c r="G50" s="35" t="str">
        <f>IFERROR(IF(VLOOKUP($B50,casostestes[#Data],5)=0,"-",VLOOKUP($B50,casostestes[#Data],5)),"-")</f>
        <v>-</v>
      </c>
      <c r="H50" s="35" t="str">
        <f>IFERROR(IF(VLOOKUP($B50,casostestes[#Data],6)=0,"-",VLOOKUP($B50,casostestes[#Data],6)),"-")</f>
        <v>-</v>
      </c>
      <c r="I50" s="35" t="str">
        <f>IFERROR(IF(VLOOKUP($B50,casostestes[#Data],8)=0,"-",VLOOKUP($B50,casostestes[#Data],8)),"-")</f>
        <v>-</v>
      </c>
      <c r="J50" s="35" t="str">
        <f>IFERROR(IF(VLOOKUP($B50,casostestes[#Data],9)=0,"-",VLOOKUP($B50,casostestes[#Data],9)),"-")</f>
        <v>-</v>
      </c>
      <c r="K50" s="36"/>
      <c r="L50" s="45"/>
      <c r="M50" s="37"/>
      <c r="N50" s="38"/>
      <c r="O50" s="38"/>
      <c r="P50" s="39"/>
    </row>
    <row r="51" spans="2:16">
      <c r="B51" s="40" t="str">
        <f>IF(ISERR(casostestes[[#This Row],[ID]]),"-",casostestes[[#This Row],[ID]])</f>
        <v>-</v>
      </c>
      <c r="C51" s="34" t="str">
        <f>IFERROR(IF(VLOOKUP($B51,casostestes[#Data],10)=0,"Não",VLOOKUP($B51,casostestes[#Data],10)), "-")</f>
        <v>-</v>
      </c>
      <c r="D51" s="35" t="str">
        <f>IFERROR(IF(VLOOKUP($B51,casostestes[#Data],2)=0,"-",VLOOKUP($B51,casostestes[#Data],2)), "-")</f>
        <v>-</v>
      </c>
      <c r="E51" s="35" t="str">
        <f>IFERROR(IF(VLOOKUP($B51,casostestes[#Data],3)=0,"-",VLOOKUP($B51,casostestes[#Data],3)), "-")</f>
        <v>-</v>
      </c>
      <c r="F51" s="35" t="str">
        <f>IFERROR(IF(VLOOKUP($B51,casostestes[#Data],4)=0,"-",VLOOKUP($B51,casostestes[#Data],4)),"-")</f>
        <v>-</v>
      </c>
      <c r="G51" s="35" t="str">
        <f>IFERROR(IF(VLOOKUP($B51,casostestes[#Data],5)=0,"-",VLOOKUP($B51,casostestes[#Data],5)),"-")</f>
        <v>-</v>
      </c>
      <c r="H51" s="35" t="str">
        <f>IFERROR(IF(VLOOKUP($B51,casostestes[#Data],6)=0,"-",VLOOKUP($B51,casostestes[#Data],6)),"-")</f>
        <v>-</v>
      </c>
      <c r="I51" s="35" t="str">
        <f>IFERROR(IF(VLOOKUP($B51,casostestes[#Data],8)=0,"-",VLOOKUP($B51,casostestes[#Data],8)),"-")</f>
        <v>-</v>
      </c>
      <c r="J51" s="35" t="str">
        <f>IFERROR(IF(VLOOKUP($B51,casostestes[#Data],9)=0,"-",VLOOKUP($B51,casostestes[#Data],9)),"-")</f>
        <v>-</v>
      </c>
      <c r="K51" s="36"/>
      <c r="L51" s="45"/>
      <c r="M51" s="37"/>
      <c r="N51" s="38"/>
      <c r="O51" s="38"/>
      <c r="P51" s="39"/>
    </row>
    <row r="52" spans="2:16">
      <c r="B52" s="40" t="str">
        <f>IF(ISERR(casostestes[[#This Row],[ID]]),"-",casostestes[[#This Row],[ID]])</f>
        <v>-</v>
      </c>
      <c r="C52" s="34" t="str">
        <f>IFERROR(IF(VLOOKUP($B52,casostestes[#Data],10)=0,"Não",VLOOKUP($B52,casostestes[#Data],10)), "-")</f>
        <v>-</v>
      </c>
      <c r="D52" s="35" t="str">
        <f>IFERROR(IF(VLOOKUP($B52,casostestes[#Data],2)=0,"-",VLOOKUP($B52,casostestes[#Data],2)), "-")</f>
        <v>-</v>
      </c>
      <c r="E52" s="35" t="str">
        <f>IFERROR(IF(VLOOKUP($B52,casostestes[#Data],3)=0,"-",VLOOKUP($B52,casostestes[#Data],3)), "-")</f>
        <v>-</v>
      </c>
      <c r="F52" s="35" t="str">
        <f>IFERROR(IF(VLOOKUP($B52,casostestes[#Data],4)=0,"-",VLOOKUP($B52,casostestes[#Data],4)),"-")</f>
        <v>-</v>
      </c>
      <c r="G52" s="35" t="str">
        <f>IFERROR(IF(VLOOKUP($B52,casostestes[#Data],5)=0,"-",VLOOKUP($B52,casostestes[#Data],5)),"-")</f>
        <v>-</v>
      </c>
      <c r="H52" s="35" t="str">
        <f>IFERROR(IF(VLOOKUP($B52,casostestes[#Data],6)=0,"-",VLOOKUP($B52,casostestes[#Data],6)),"-")</f>
        <v>-</v>
      </c>
      <c r="I52" s="35" t="str">
        <f>IFERROR(IF(VLOOKUP($B52,casostestes[#Data],8)=0,"-",VLOOKUP($B52,casostestes[#Data],8)),"-")</f>
        <v>-</v>
      </c>
      <c r="J52" s="35" t="str">
        <f>IFERROR(IF(VLOOKUP($B52,casostestes[#Data],9)=0,"-",VLOOKUP($B52,casostestes[#Data],9)),"-")</f>
        <v>-</v>
      </c>
      <c r="K52" s="36"/>
      <c r="L52" s="45"/>
      <c r="M52" s="37"/>
      <c r="N52" s="38"/>
      <c r="O52" s="38"/>
      <c r="P52" s="39"/>
    </row>
    <row r="53" spans="2:16">
      <c r="B53" s="40" t="str">
        <f>IF(ISERR(casostestes[[#This Row],[ID]]),"-",casostestes[[#This Row],[ID]])</f>
        <v>-</v>
      </c>
      <c r="C53" s="34" t="str">
        <f>IFERROR(IF(VLOOKUP($B53,casostestes[#Data],10)=0,"Não",VLOOKUP($B53,casostestes[#Data],10)), "-")</f>
        <v>-</v>
      </c>
      <c r="D53" s="35" t="str">
        <f>IFERROR(IF(VLOOKUP($B53,casostestes[#Data],2)=0,"-",VLOOKUP($B53,casostestes[#Data],2)), "-")</f>
        <v>-</v>
      </c>
      <c r="E53" s="35" t="str">
        <f>IFERROR(IF(VLOOKUP($B53,casostestes[#Data],3)=0,"-",VLOOKUP($B53,casostestes[#Data],3)), "-")</f>
        <v>-</v>
      </c>
      <c r="F53" s="35" t="str">
        <f>IFERROR(IF(VLOOKUP($B53,casostestes[#Data],4)=0,"-",VLOOKUP($B53,casostestes[#Data],4)),"-")</f>
        <v>-</v>
      </c>
      <c r="G53" s="35" t="str">
        <f>IFERROR(IF(VLOOKUP($B53,casostestes[#Data],5)=0,"-",VLOOKUP($B53,casostestes[#Data],5)),"-")</f>
        <v>-</v>
      </c>
      <c r="H53" s="35" t="str">
        <f>IFERROR(IF(VLOOKUP($B53,casostestes[#Data],6)=0,"-",VLOOKUP($B53,casostestes[#Data],6)),"-")</f>
        <v>-</v>
      </c>
      <c r="I53" s="35" t="str">
        <f>IFERROR(IF(VLOOKUP($B53,casostestes[#Data],8)=0,"-",VLOOKUP($B53,casostestes[#Data],8)),"-")</f>
        <v>-</v>
      </c>
      <c r="J53" s="35" t="str">
        <f>IFERROR(IF(VLOOKUP($B53,casostestes[#Data],9)=0,"-",VLOOKUP($B53,casostestes[#Data],9)),"-")</f>
        <v>-</v>
      </c>
      <c r="K53" s="36"/>
      <c r="L53" s="45"/>
      <c r="M53" s="37"/>
      <c r="N53" s="38"/>
      <c r="O53" s="38"/>
      <c r="P53" s="39"/>
    </row>
    <row r="54" spans="2:16">
      <c r="B54" s="40" t="str">
        <f>IF(ISERR(casostestes[[#This Row],[ID]]),"-",casostestes[[#This Row],[ID]])</f>
        <v>-</v>
      </c>
      <c r="C54" s="34" t="str">
        <f>IFERROR(IF(VLOOKUP($B54,casostestes[#Data],10)=0,"Não",VLOOKUP($B54,casostestes[#Data],10)), "-")</f>
        <v>-</v>
      </c>
      <c r="D54" s="35" t="str">
        <f>IFERROR(IF(VLOOKUP($B54,casostestes[#Data],2)=0,"-",VLOOKUP($B54,casostestes[#Data],2)), "-")</f>
        <v>-</v>
      </c>
      <c r="E54" s="35" t="str">
        <f>IFERROR(IF(VLOOKUP($B54,casostestes[#Data],3)=0,"-",VLOOKUP($B54,casostestes[#Data],3)), "-")</f>
        <v>-</v>
      </c>
      <c r="F54" s="35" t="str">
        <f>IFERROR(IF(VLOOKUP($B54,casostestes[#Data],4)=0,"-",VLOOKUP($B54,casostestes[#Data],4)),"-")</f>
        <v>-</v>
      </c>
      <c r="G54" s="35" t="str">
        <f>IFERROR(IF(VLOOKUP($B54,casostestes[#Data],5)=0,"-",VLOOKUP($B54,casostestes[#Data],5)),"-")</f>
        <v>-</v>
      </c>
      <c r="H54" s="35" t="str">
        <f>IFERROR(IF(VLOOKUP($B54,casostestes[#Data],6)=0,"-",VLOOKUP($B54,casostestes[#Data],6)),"-")</f>
        <v>-</v>
      </c>
      <c r="I54" s="35" t="str">
        <f>IFERROR(IF(VLOOKUP($B54,casostestes[#Data],8)=0,"-",VLOOKUP($B54,casostestes[#Data],8)),"-")</f>
        <v>-</v>
      </c>
      <c r="J54" s="35" t="str">
        <f>IFERROR(IF(VLOOKUP($B54,casostestes[#Data],9)=0,"-",VLOOKUP($B54,casostestes[#Data],9)),"-")</f>
        <v>-</v>
      </c>
      <c r="K54" s="36"/>
      <c r="L54" s="45"/>
      <c r="M54" s="37"/>
      <c r="N54" s="38"/>
      <c r="O54" s="38"/>
      <c r="P54" s="39"/>
    </row>
    <row r="55" spans="2:16">
      <c r="B55" s="40" t="str">
        <f>IF(ISERR(casostestes[[#This Row],[ID]]),"-",casostestes[[#This Row],[ID]])</f>
        <v>-</v>
      </c>
      <c r="C55" s="34" t="str">
        <f>IFERROR(IF(VLOOKUP($B55,casostestes[#Data],10)=0,"Não",VLOOKUP($B55,casostestes[#Data],10)), "-")</f>
        <v>-</v>
      </c>
      <c r="D55" s="35" t="str">
        <f>IFERROR(IF(VLOOKUP($B55,casostestes[#Data],2)=0,"-",VLOOKUP($B55,casostestes[#Data],2)), "-")</f>
        <v>-</v>
      </c>
      <c r="E55" s="35" t="str">
        <f>IFERROR(IF(VLOOKUP($B55,casostestes[#Data],3)=0,"-",VLOOKUP($B55,casostestes[#Data],3)), "-")</f>
        <v>-</v>
      </c>
      <c r="F55" s="35" t="str">
        <f>IFERROR(IF(VLOOKUP($B55,casostestes[#Data],4)=0,"-",VLOOKUP($B55,casostestes[#Data],4)),"-")</f>
        <v>-</v>
      </c>
      <c r="G55" s="35" t="str">
        <f>IFERROR(IF(VLOOKUP($B55,casostestes[#Data],5)=0,"-",VLOOKUP($B55,casostestes[#Data],5)),"-")</f>
        <v>-</v>
      </c>
      <c r="H55" s="35" t="str">
        <f>IFERROR(IF(VLOOKUP($B55,casostestes[#Data],6)=0,"-",VLOOKUP($B55,casostestes[#Data],6)),"-")</f>
        <v>-</v>
      </c>
      <c r="I55" s="35" t="str">
        <f>IFERROR(IF(VLOOKUP($B55,casostestes[#Data],8)=0,"-",VLOOKUP($B55,casostestes[#Data],8)),"-")</f>
        <v>-</v>
      </c>
      <c r="J55" s="35" t="str">
        <f>IFERROR(IF(VLOOKUP($B55,casostestes[#Data],9)=0,"-",VLOOKUP($B55,casostestes[#Data],9)),"-")</f>
        <v>-</v>
      </c>
      <c r="K55" s="36"/>
      <c r="L55" s="45"/>
      <c r="M55" s="37"/>
      <c r="N55" s="38"/>
      <c r="O55" s="38"/>
      <c r="P55" s="39"/>
    </row>
    <row r="56" spans="2:16">
      <c r="B56" s="40" t="str">
        <f>IF(ISERR(casostestes[[#This Row],[ID]]),"-",casostestes[[#This Row],[ID]])</f>
        <v>-</v>
      </c>
      <c r="C56" s="34" t="str">
        <f>IFERROR(IF(VLOOKUP($B56,casostestes[#Data],10)=0,"Não",VLOOKUP($B56,casostestes[#Data],10)), "-")</f>
        <v>-</v>
      </c>
      <c r="D56" s="35" t="str">
        <f>IFERROR(IF(VLOOKUP($B56,casostestes[#Data],2)=0,"-",VLOOKUP($B56,casostestes[#Data],2)), "-")</f>
        <v>-</v>
      </c>
      <c r="E56" s="35" t="str">
        <f>IFERROR(IF(VLOOKUP($B56,casostestes[#Data],3)=0,"-",VLOOKUP($B56,casostestes[#Data],3)), "-")</f>
        <v>-</v>
      </c>
      <c r="F56" s="35" t="str">
        <f>IFERROR(IF(VLOOKUP($B56,casostestes[#Data],4)=0,"-",VLOOKUP($B56,casostestes[#Data],4)),"-")</f>
        <v>-</v>
      </c>
      <c r="G56" s="35" t="str">
        <f>IFERROR(IF(VLOOKUP($B56,casostestes[#Data],5)=0,"-",VLOOKUP($B56,casostestes[#Data],5)),"-")</f>
        <v>-</v>
      </c>
      <c r="H56" s="35" t="str">
        <f>IFERROR(IF(VLOOKUP($B56,casostestes[#Data],6)=0,"-",VLOOKUP($B56,casostestes[#Data],6)),"-")</f>
        <v>-</v>
      </c>
      <c r="I56" s="35" t="str">
        <f>IFERROR(IF(VLOOKUP($B56,casostestes[#Data],8)=0,"-",VLOOKUP($B56,casostestes[#Data],8)),"-")</f>
        <v>-</v>
      </c>
      <c r="J56" s="35" t="str">
        <f>IFERROR(IF(VLOOKUP($B56,casostestes[#Data],9)=0,"-",VLOOKUP($B56,casostestes[#Data],9)),"-")</f>
        <v>-</v>
      </c>
      <c r="K56" s="36"/>
      <c r="L56" s="45"/>
      <c r="M56" s="37"/>
      <c r="N56" s="38"/>
      <c r="O56" s="38"/>
      <c r="P56" s="39"/>
    </row>
    <row r="57" spans="2:16">
      <c r="B57" s="40" t="str">
        <f>IF(ISERR(casostestes[[#This Row],[ID]]),"-",casostestes[[#This Row],[ID]])</f>
        <v>-</v>
      </c>
      <c r="C57" s="34" t="str">
        <f>IFERROR(IF(VLOOKUP($B57,casostestes[#Data],10)=0,"Não",VLOOKUP($B57,casostestes[#Data],10)), "-")</f>
        <v>-</v>
      </c>
      <c r="D57" s="35" t="str">
        <f>IFERROR(IF(VLOOKUP($B57,casostestes[#Data],2)=0,"-",VLOOKUP($B57,casostestes[#Data],2)), "-")</f>
        <v>-</v>
      </c>
      <c r="E57" s="35" t="str">
        <f>IFERROR(IF(VLOOKUP($B57,casostestes[#Data],3)=0,"-",VLOOKUP($B57,casostestes[#Data],3)), "-")</f>
        <v>-</v>
      </c>
      <c r="F57" s="35" t="str">
        <f>IFERROR(IF(VLOOKUP($B57,casostestes[#Data],4)=0,"-",VLOOKUP($B57,casostestes[#Data],4)),"-")</f>
        <v>-</v>
      </c>
      <c r="G57" s="35" t="str">
        <f>IFERROR(IF(VLOOKUP($B57,casostestes[#Data],5)=0,"-",VLOOKUP($B57,casostestes[#Data],5)),"-")</f>
        <v>-</v>
      </c>
      <c r="H57" s="35" t="str">
        <f>IFERROR(IF(VLOOKUP($B57,casostestes[#Data],6)=0,"-",VLOOKUP($B57,casostestes[#Data],6)),"-")</f>
        <v>-</v>
      </c>
      <c r="I57" s="35" t="str">
        <f>IFERROR(IF(VLOOKUP($B57,casostestes[#Data],8)=0,"-",VLOOKUP($B57,casostestes[#Data],8)),"-")</f>
        <v>-</v>
      </c>
      <c r="J57" s="35" t="str">
        <f>IFERROR(IF(VLOOKUP($B57,casostestes[#Data],9)=0,"-",VLOOKUP($B57,casostestes[#Data],9)),"-")</f>
        <v>-</v>
      </c>
      <c r="K57" s="36"/>
      <c r="L57" s="45"/>
      <c r="M57" s="37"/>
      <c r="N57" s="38"/>
      <c r="O57" s="38"/>
      <c r="P57" s="39"/>
    </row>
    <row r="58" spans="2:16">
      <c r="B58" s="40" t="str">
        <f>IF(ISERR(casostestes[[#This Row],[ID]]),"-",casostestes[[#This Row],[ID]])</f>
        <v>-</v>
      </c>
      <c r="C58" s="34" t="str">
        <f>IFERROR(IF(VLOOKUP($B58,casostestes[#Data],10)=0,"Não",VLOOKUP($B58,casostestes[#Data],10)), "-")</f>
        <v>-</v>
      </c>
      <c r="D58" s="35" t="str">
        <f>IFERROR(IF(VLOOKUP($B58,casostestes[#Data],2)=0,"-",VLOOKUP($B58,casostestes[#Data],2)), "-")</f>
        <v>-</v>
      </c>
      <c r="E58" s="35" t="str">
        <f>IFERROR(IF(VLOOKUP($B58,casostestes[#Data],3)=0,"-",VLOOKUP($B58,casostestes[#Data],3)), "-")</f>
        <v>-</v>
      </c>
      <c r="F58" s="35" t="str">
        <f>IFERROR(IF(VLOOKUP($B58,casostestes[#Data],4)=0,"-",VLOOKUP($B58,casostestes[#Data],4)),"-")</f>
        <v>-</v>
      </c>
      <c r="G58" s="35" t="str">
        <f>IFERROR(IF(VLOOKUP($B58,casostestes[#Data],5)=0,"-",VLOOKUP($B58,casostestes[#Data],5)),"-")</f>
        <v>-</v>
      </c>
      <c r="H58" s="35" t="str">
        <f>IFERROR(IF(VLOOKUP($B58,casostestes[#Data],6)=0,"-",VLOOKUP($B58,casostestes[#Data],6)),"-")</f>
        <v>-</v>
      </c>
      <c r="I58" s="35" t="str">
        <f>IFERROR(IF(VLOOKUP($B58,casostestes[#Data],8)=0,"-",VLOOKUP($B58,casostestes[#Data],8)),"-")</f>
        <v>-</v>
      </c>
      <c r="J58" s="35" t="str">
        <f>IFERROR(IF(VLOOKUP($B58,casostestes[#Data],9)=0,"-",VLOOKUP($B58,casostestes[#Data],9)),"-")</f>
        <v>-</v>
      </c>
      <c r="K58" s="36"/>
      <c r="L58" s="45"/>
      <c r="M58" s="37"/>
      <c r="N58" s="38"/>
      <c r="O58" s="38"/>
      <c r="P58" s="39"/>
    </row>
    <row r="59" spans="2:16">
      <c r="B59" s="40" t="str">
        <f>IF(ISERR(casostestes[[#This Row],[ID]]),"-",casostestes[[#This Row],[ID]])</f>
        <v>-</v>
      </c>
      <c r="C59" s="34" t="str">
        <f>IFERROR(IF(VLOOKUP($B59,casostestes[#Data],10)=0,"Não",VLOOKUP($B59,casostestes[#Data],10)), "-")</f>
        <v>-</v>
      </c>
      <c r="D59" s="35" t="str">
        <f>IFERROR(IF(VLOOKUP($B59,casostestes[#Data],2)=0,"-",VLOOKUP($B59,casostestes[#Data],2)), "-")</f>
        <v>-</v>
      </c>
      <c r="E59" s="35" t="str">
        <f>IFERROR(IF(VLOOKUP($B59,casostestes[#Data],3)=0,"-",VLOOKUP($B59,casostestes[#Data],3)), "-")</f>
        <v>-</v>
      </c>
      <c r="F59" s="35" t="str">
        <f>IFERROR(IF(VLOOKUP($B59,casostestes[#Data],4)=0,"-",VLOOKUP($B59,casostestes[#Data],4)),"-")</f>
        <v>-</v>
      </c>
      <c r="G59" s="35" t="str">
        <f>IFERROR(IF(VLOOKUP($B59,casostestes[#Data],5)=0,"-",VLOOKUP($B59,casostestes[#Data],5)),"-")</f>
        <v>-</v>
      </c>
      <c r="H59" s="35" t="str">
        <f>IFERROR(IF(VLOOKUP($B59,casostestes[#Data],6)=0,"-",VLOOKUP($B59,casostestes[#Data],6)),"-")</f>
        <v>-</v>
      </c>
      <c r="I59" s="35" t="str">
        <f>IFERROR(IF(VLOOKUP($B59,casostestes[#Data],8)=0,"-",VLOOKUP($B59,casostestes[#Data],8)),"-")</f>
        <v>-</v>
      </c>
      <c r="J59" s="35" t="str">
        <f>IFERROR(IF(VLOOKUP($B59,casostestes[#Data],9)=0,"-",VLOOKUP($B59,casostestes[#Data],9)),"-")</f>
        <v>-</v>
      </c>
      <c r="K59" s="36"/>
      <c r="L59" s="45"/>
      <c r="M59" s="37"/>
      <c r="N59" s="38"/>
      <c r="O59" s="38"/>
      <c r="P59" s="39"/>
    </row>
    <row r="60" spans="2:16">
      <c r="B60" s="40" t="str">
        <f>IF(ISERR(casostestes[[#This Row],[ID]]),"-",casostestes[[#This Row],[ID]])</f>
        <v>-</v>
      </c>
      <c r="C60" s="34" t="str">
        <f>IFERROR(IF(VLOOKUP($B60,casostestes[#Data],10)=0,"Não",VLOOKUP($B60,casostestes[#Data],10)), "-")</f>
        <v>-</v>
      </c>
      <c r="D60" s="35" t="str">
        <f>IFERROR(IF(VLOOKUP($B60,casostestes[#Data],2)=0,"-",VLOOKUP($B60,casostestes[#Data],2)), "-")</f>
        <v>-</v>
      </c>
      <c r="E60" s="35" t="str">
        <f>IFERROR(IF(VLOOKUP($B60,casostestes[#Data],3)=0,"-",VLOOKUP($B60,casostestes[#Data],3)), "-")</f>
        <v>-</v>
      </c>
      <c r="F60" s="35" t="str">
        <f>IFERROR(IF(VLOOKUP($B60,casostestes[#Data],4)=0,"-",VLOOKUP($B60,casostestes[#Data],4)),"-")</f>
        <v>-</v>
      </c>
      <c r="G60" s="35" t="str">
        <f>IFERROR(IF(VLOOKUP($B60,casostestes[#Data],5)=0,"-",VLOOKUP($B60,casostestes[#Data],5)),"-")</f>
        <v>-</v>
      </c>
      <c r="H60" s="35" t="str">
        <f>IFERROR(IF(VLOOKUP($B60,casostestes[#Data],6)=0,"-",VLOOKUP($B60,casostestes[#Data],6)),"-")</f>
        <v>-</v>
      </c>
      <c r="I60" s="35" t="str">
        <f>IFERROR(IF(VLOOKUP($B60,casostestes[#Data],8)=0,"-",VLOOKUP($B60,casostestes[#Data],8)),"-")</f>
        <v>-</v>
      </c>
      <c r="J60" s="35" t="str">
        <f>IFERROR(IF(VLOOKUP($B60,casostestes[#Data],9)=0,"-",VLOOKUP($B60,casostestes[#Data],9)),"-")</f>
        <v>-</v>
      </c>
      <c r="K60" s="36"/>
      <c r="L60" s="45"/>
      <c r="M60" s="37"/>
      <c r="N60" s="38"/>
      <c r="O60" s="38"/>
      <c r="P60" s="39"/>
    </row>
    <row r="61" spans="2:16">
      <c r="B61" s="40" t="str">
        <f>IF(ISERR(casostestes[[#This Row],[ID]]),"-",casostestes[[#This Row],[ID]])</f>
        <v>-</v>
      </c>
      <c r="C61" s="34" t="str">
        <f>IFERROR(IF(VLOOKUP($B61,casostestes[#Data],10)=0,"Não",VLOOKUP($B61,casostestes[#Data],10)), "-")</f>
        <v>-</v>
      </c>
      <c r="D61" s="35" t="str">
        <f>IFERROR(IF(VLOOKUP($B61,casostestes[#Data],2)=0,"-",VLOOKUP($B61,casostestes[#Data],2)), "-")</f>
        <v>-</v>
      </c>
      <c r="E61" s="35" t="str">
        <f>IFERROR(IF(VLOOKUP($B61,casostestes[#Data],3)=0,"-",VLOOKUP($B61,casostestes[#Data],3)), "-")</f>
        <v>-</v>
      </c>
      <c r="F61" s="35" t="str">
        <f>IFERROR(IF(VLOOKUP($B61,casostestes[#Data],4)=0,"-",VLOOKUP($B61,casostestes[#Data],4)),"-")</f>
        <v>-</v>
      </c>
      <c r="G61" s="35" t="str">
        <f>IFERROR(IF(VLOOKUP($B61,casostestes[#Data],5)=0,"-",VLOOKUP($B61,casostestes[#Data],5)),"-")</f>
        <v>-</v>
      </c>
      <c r="H61" s="35" t="str">
        <f>IFERROR(IF(VLOOKUP($B61,casostestes[#Data],6)=0,"-",VLOOKUP($B61,casostestes[#Data],6)),"-")</f>
        <v>-</v>
      </c>
      <c r="I61" s="35" t="str">
        <f>IFERROR(IF(VLOOKUP($B61,casostestes[#Data],8)=0,"-",VLOOKUP($B61,casostestes[#Data],8)),"-")</f>
        <v>-</v>
      </c>
      <c r="J61" s="35" t="str">
        <f>IFERROR(IF(VLOOKUP($B61,casostestes[#Data],9)=0,"-",VLOOKUP($B61,casostestes[#Data],9)),"-")</f>
        <v>-</v>
      </c>
      <c r="K61" s="36"/>
      <c r="L61" s="45"/>
      <c r="M61" s="37"/>
      <c r="N61" s="38"/>
      <c r="O61" s="38"/>
      <c r="P61" s="39"/>
    </row>
    <row r="62" spans="2:16">
      <c r="B62" s="40" t="str">
        <f>IF(ISERR(casostestes[[#This Row],[ID]]),"-",casostestes[[#This Row],[ID]])</f>
        <v>-</v>
      </c>
      <c r="C62" s="34" t="str">
        <f>IFERROR(IF(VLOOKUP($B62,casostestes[#Data],10)=0,"Não",VLOOKUP($B62,casostestes[#Data],10)), "-")</f>
        <v>-</v>
      </c>
      <c r="D62" s="35" t="str">
        <f>IFERROR(IF(VLOOKUP($B62,casostestes[#Data],2)=0,"-",VLOOKUP($B62,casostestes[#Data],2)), "-")</f>
        <v>-</v>
      </c>
      <c r="E62" s="35" t="str">
        <f>IFERROR(IF(VLOOKUP($B62,casostestes[#Data],3)=0,"-",VLOOKUP($B62,casostestes[#Data],3)), "-")</f>
        <v>-</v>
      </c>
      <c r="F62" s="35" t="str">
        <f>IFERROR(IF(VLOOKUP($B62,casostestes[#Data],4)=0,"-",VLOOKUP($B62,casostestes[#Data],4)),"-")</f>
        <v>-</v>
      </c>
      <c r="G62" s="35" t="str">
        <f>IFERROR(IF(VLOOKUP($B62,casostestes[#Data],5)=0,"-",VLOOKUP($B62,casostestes[#Data],5)),"-")</f>
        <v>-</v>
      </c>
      <c r="H62" s="35" t="str">
        <f>IFERROR(IF(VLOOKUP($B62,casostestes[#Data],6)=0,"-",VLOOKUP($B62,casostestes[#Data],6)),"-")</f>
        <v>-</v>
      </c>
      <c r="I62" s="35" t="str">
        <f>IFERROR(IF(VLOOKUP($B62,casostestes[#Data],8)=0,"-",VLOOKUP($B62,casostestes[#Data],8)),"-")</f>
        <v>-</v>
      </c>
      <c r="J62" s="35" t="str">
        <f>IFERROR(IF(VLOOKUP($B62,casostestes[#Data],9)=0,"-",VLOOKUP($B62,casostestes[#Data],9)),"-")</f>
        <v>-</v>
      </c>
      <c r="K62" s="36"/>
      <c r="L62" s="45"/>
      <c r="M62" s="37"/>
      <c r="N62" s="38"/>
      <c r="O62" s="38"/>
      <c r="P62" s="39"/>
    </row>
    <row r="63" spans="2:16">
      <c r="B63" s="40" t="str">
        <f>IF(ISERR(casostestes[[#This Row],[ID]]),"-",casostestes[[#This Row],[ID]])</f>
        <v>-</v>
      </c>
      <c r="C63" s="34" t="str">
        <f>IFERROR(IF(VLOOKUP($B63,casostestes[#Data],10)=0,"Não",VLOOKUP($B63,casostestes[#Data],10)), "-")</f>
        <v>-</v>
      </c>
      <c r="D63" s="35" t="str">
        <f>IFERROR(IF(VLOOKUP($B63,casostestes[#Data],2)=0,"-",VLOOKUP($B63,casostestes[#Data],2)), "-")</f>
        <v>-</v>
      </c>
      <c r="E63" s="35" t="str">
        <f>IFERROR(IF(VLOOKUP($B63,casostestes[#Data],3)=0,"-",VLOOKUP($B63,casostestes[#Data],3)), "-")</f>
        <v>-</v>
      </c>
      <c r="F63" s="35" t="str">
        <f>IFERROR(IF(VLOOKUP($B63,casostestes[#Data],4)=0,"-",VLOOKUP($B63,casostestes[#Data],4)),"-")</f>
        <v>-</v>
      </c>
      <c r="G63" s="35" t="str">
        <f>IFERROR(IF(VLOOKUP($B63,casostestes[#Data],5)=0,"-",VLOOKUP($B63,casostestes[#Data],5)),"-")</f>
        <v>-</v>
      </c>
      <c r="H63" s="35" t="str">
        <f>IFERROR(IF(VLOOKUP($B63,casostestes[#Data],6)=0,"-",VLOOKUP($B63,casostestes[#Data],6)),"-")</f>
        <v>-</v>
      </c>
      <c r="I63" s="35" t="str">
        <f>IFERROR(IF(VLOOKUP($B63,casostestes[#Data],8)=0,"-",VLOOKUP($B63,casostestes[#Data],8)),"-")</f>
        <v>-</v>
      </c>
      <c r="J63" s="35" t="str">
        <f>IFERROR(IF(VLOOKUP($B63,casostestes[#Data],9)=0,"-",VLOOKUP($B63,casostestes[#Data],9)),"-")</f>
        <v>-</v>
      </c>
      <c r="K63" s="36"/>
      <c r="L63" s="45"/>
      <c r="M63" s="37"/>
      <c r="N63" s="38"/>
      <c r="O63" s="38"/>
      <c r="P63" s="39"/>
    </row>
    <row r="64" spans="2:16">
      <c r="B64" s="40" t="str">
        <f>IF(ISERR(casostestes[[#This Row],[ID]]),"-",casostestes[[#This Row],[ID]])</f>
        <v>-</v>
      </c>
      <c r="C64" s="34" t="str">
        <f>IFERROR(IF(VLOOKUP($B64,casostestes[#Data],10)=0,"Não",VLOOKUP($B64,casostestes[#Data],10)), "-")</f>
        <v>-</v>
      </c>
      <c r="D64" s="35" t="str">
        <f>IFERROR(IF(VLOOKUP($B64,casostestes[#Data],2)=0,"-",VLOOKUP($B64,casostestes[#Data],2)), "-")</f>
        <v>-</v>
      </c>
      <c r="E64" s="35" t="str">
        <f>IFERROR(IF(VLOOKUP($B64,casostestes[#Data],3)=0,"-",VLOOKUP($B64,casostestes[#Data],3)), "-")</f>
        <v>-</v>
      </c>
      <c r="F64" s="35" t="str">
        <f>IFERROR(IF(VLOOKUP($B64,casostestes[#Data],4)=0,"-",VLOOKUP($B64,casostestes[#Data],4)),"-")</f>
        <v>-</v>
      </c>
      <c r="G64" s="35" t="str">
        <f>IFERROR(IF(VLOOKUP($B64,casostestes[#Data],5)=0,"-",VLOOKUP($B64,casostestes[#Data],5)),"-")</f>
        <v>-</v>
      </c>
      <c r="H64" s="35" t="str">
        <f>IFERROR(IF(VLOOKUP($B64,casostestes[#Data],6)=0,"-",VLOOKUP($B64,casostestes[#Data],6)),"-")</f>
        <v>-</v>
      </c>
      <c r="I64" s="35" t="str">
        <f>IFERROR(IF(VLOOKUP($B64,casostestes[#Data],8)=0,"-",VLOOKUP($B64,casostestes[#Data],8)),"-")</f>
        <v>-</v>
      </c>
      <c r="J64" s="35" t="str">
        <f>IFERROR(IF(VLOOKUP($B64,casostestes[#Data],9)=0,"-",VLOOKUP($B64,casostestes[#Data],9)),"-")</f>
        <v>-</v>
      </c>
      <c r="K64" s="36"/>
      <c r="L64" s="45"/>
      <c r="M64" s="37"/>
      <c r="N64" s="38"/>
      <c r="O64" s="38"/>
      <c r="P64" s="39"/>
    </row>
    <row r="65" spans="2:16">
      <c r="B65" s="40" t="str">
        <f>IF(ISERR(casostestes[[#This Row],[ID]]),"-",casostestes[[#This Row],[ID]])</f>
        <v>-</v>
      </c>
      <c r="C65" s="34" t="str">
        <f>IFERROR(IF(VLOOKUP($B65,casostestes[#Data],10)=0,"Não",VLOOKUP($B65,casostestes[#Data],10)), "-")</f>
        <v>-</v>
      </c>
      <c r="D65" s="35" t="str">
        <f>IFERROR(IF(VLOOKUP($B65,casostestes[#Data],2)=0,"-",VLOOKUP($B65,casostestes[#Data],2)), "-")</f>
        <v>-</v>
      </c>
      <c r="E65" s="35" t="str">
        <f>IFERROR(IF(VLOOKUP($B65,casostestes[#Data],3)=0,"-",VLOOKUP($B65,casostestes[#Data],3)), "-")</f>
        <v>-</v>
      </c>
      <c r="F65" s="35" t="str">
        <f>IFERROR(IF(VLOOKUP($B65,casostestes[#Data],4)=0,"-",VLOOKUP($B65,casostestes[#Data],4)),"-")</f>
        <v>-</v>
      </c>
      <c r="G65" s="35" t="str">
        <f>IFERROR(IF(VLOOKUP($B65,casostestes[#Data],5)=0,"-",VLOOKUP($B65,casostestes[#Data],5)),"-")</f>
        <v>-</v>
      </c>
      <c r="H65" s="35" t="str">
        <f>IFERROR(IF(VLOOKUP($B65,casostestes[#Data],6)=0,"-",VLOOKUP($B65,casostestes[#Data],6)),"-")</f>
        <v>-</v>
      </c>
      <c r="I65" s="35" t="str">
        <f>IFERROR(IF(VLOOKUP($B65,casostestes[#Data],8)=0,"-",VLOOKUP($B65,casostestes[#Data],8)),"-")</f>
        <v>-</v>
      </c>
      <c r="J65" s="35" t="str">
        <f>IFERROR(IF(VLOOKUP($B65,casostestes[#Data],9)=0,"-",VLOOKUP($B65,casostestes[#Data],9)),"-")</f>
        <v>-</v>
      </c>
      <c r="K65" s="36"/>
      <c r="L65" s="45"/>
      <c r="M65" s="37"/>
      <c r="N65" s="38"/>
      <c r="O65" s="38"/>
      <c r="P65" s="39"/>
    </row>
    <row r="66" spans="2:16">
      <c r="B66" s="40" t="str">
        <f>IF(ISERR(casostestes[[#This Row],[ID]]),"-",casostestes[[#This Row],[ID]])</f>
        <v>-</v>
      </c>
      <c r="C66" s="34" t="str">
        <f>IFERROR(IF(VLOOKUP($B66,casostestes[#Data],10)=0,"Não",VLOOKUP($B66,casostestes[#Data],10)), "-")</f>
        <v>-</v>
      </c>
      <c r="D66" s="35" t="str">
        <f>IFERROR(IF(VLOOKUP($B66,casostestes[#Data],2)=0,"-",VLOOKUP($B66,casostestes[#Data],2)), "-")</f>
        <v>-</v>
      </c>
      <c r="E66" s="35" t="str">
        <f>IFERROR(IF(VLOOKUP($B66,casostestes[#Data],3)=0,"-",VLOOKUP($B66,casostestes[#Data],3)), "-")</f>
        <v>-</v>
      </c>
      <c r="F66" s="35" t="str">
        <f>IFERROR(IF(VLOOKUP($B66,casostestes[#Data],4)=0,"-",VLOOKUP($B66,casostestes[#Data],4)),"-")</f>
        <v>-</v>
      </c>
      <c r="G66" s="35" t="str">
        <f>IFERROR(IF(VLOOKUP($B66,casostestes[#Data],5)=0,"-",VLOOKUP($B66,casostestes[#Data],5)),"-")</f>
        <v>-</v>
      </c>
      <c r="H66" s="35" t="str">
        <f>IFERROR(IF(VLOOKUP($B66,casostestes[#Data],6)=0,"-",VLOOKUP($B66,casostestes[#Data],6)),"-")</f>
        <v>-</v>
      </c>
      <c r="I66" s="35" t="str">
        <f>IFERROR(IF(VLOOKUP($B66,casostestes[#Data],8)=0,"-",VLOOKUP($B66,casostestes[#Data],8)),"-")</f>
        <v>-</v>
      </c>
      <c r="J66" s="35" t="str">
        <f>IFERROR(IF(VLOOKUP($B66,casostestes[#Data],9)=0,"-",VLOOKUP($B66,casostestes[#Data],9)),"-")</f>
        <v>-</v>
      </c>
      <c r="K66" s="36"/>
      <c r="L66" s="45"/>
      <c r="M66" s="37"/>
      <c r="N66" s="38"/>
      <c r="O66" s="38"/>
      <c r="P66" s="39"/>
    </row>
    <row r="67" spans="2:16">
      <c r="B67" s="40" t="str">
        <f>IF(ISERR(casostestes[[#This Row],[ID]]),"-",casostestes[[#This Row],[ID]])</f>
        <v>-</v>
      </c>
      <c r="C67" s="34" t="str">
        <f>IFERROR(IF(VLOOKUP($B67,casostestes[#Data],10)=0,"Não",VLOOKUP($B67,casostestes[#Data],10)), "-")</f>
        <v>-</v>
      </c>
      <c r="D67" s="35" t="str">
        <f>IFERROR(IF(VLOOKUP($B67,casostestes[#Data],2)=0,"-",VLOOKUP($B67,casostestes[#Data],2)), "-")</f>
        <v>-</v>
      </c>
      <c r="E67" s="35" t="str">
        <f>IFERROR(IF(VLOOKUP($B67,casostestes[#Data],3)=0,"-",VLOOKUP($B67,casostestes[#Data],3)), "-")</f>
        <v>-</v>
      </c>
      <c r="F67" s="35" t="str">
        <f>IFERROR(IF(VLOOKUP($B67,casostestes[#Data],4)=0,"-",VLOOKUP($B67,casostestes[#Data],4)),"-")</f>
        <v>-</v>
      </c>
      <c r="G67" s="35" t="str">
        <f>IFERROR(IF(VLOOKUP($B67,casostestes[#Data],5)=0,"-",VLOOKUP($B67,casostestes[#Data],5)),"-")</f>
        <v>-</v>
      </c>
      <c r="H67" s="35" t="str">
        <f>IFERROR(IF(VLOOKUP($B67,casostestes[#Data],6)=0,"-",VLOOKUP($B67,casostestes[#Data],6)),"-")</f>
        <v>-</v>
      </c>
      <c r="I67" s="35" t="str">
        <f>IFERROR(IF(VLOOKUP($B67,casostestes[#Data],8)=0,"-",VLOOKUP($B67,casostestes[#Data],8)),"-")</f>
        <v>-</v>
      </c>
      <c r="J67" s="35" t="str">
        <f>IFERROR(IF(VLOOKUP($B67,casostestes[#Data],9)=0,"-",VLOOKUP($B67,casostestes[#Data],9)),"-")</f>
        <v>-</v>
      </c>
      <c r="K67" s="36"/>
      <c r="L67" s="45"/>
      <c r="M67" s="37"/>
      <c r="N67" s="38"/>
      <c r="O67" s="38"/>
      <c r="P67" s="39"/>
    </row>
    <row r="68" spans="2:16">
      <c r="B68" s="40" t="str">
        <f>IF(ISERR(casostestes[[#This Row],[ID]]),"-",casostestes[[#This Row],[ID]])</f>
        <v>-</v>
      </c>
      <c r="C68" s="34" t="str">
        <f>IFERROR(IF(VLOOKUP($B68,casostestes[#Data],10)=0,"Não",VLOOKUP($B68,casostestes[#Data],10)), "-")</f>
        <v>-</v>
      </c>
      <c r="D68" s="35" t="str">
        <f>IFERROR(IF(VLOOKUP($B68,casostestes[#Data],2)=0,"-",VLOOKUP($B68,casostestes[#Data],2)), "-")</f>
        <v>-</v>
      </c>
      <c r="E68" s="35" t="str">
        <f>IFERROR(IF(VLOOKUP($B68,casostestes[#Data],3)=0,"-",VLOOKUP($B68,casostestes[#Data],3)), "-")</f>
        <v>-</v>
      </c>
      <c r="F68" s="35" t="str">
        <f>IFERROR(IF(VLOOKUP($B68,casostestes[#Data],4)=0,"-",VLOOKUP($B68,casostestes[#Data],4)),"-")</f>
        <v>-</v>
      </c>
      <c r="G68" s="35" t="str">
        <f>IFERROR(IF(VLOOKUP($B68,casostestes[#Data],5)=0,"-",VLOOKUP($B68,casostestes[#Data],5)),"-")</f>
        <v>-</v>
      </c>
      <c r="H68" s="35" t="str">
        <f>IFERROR(IF(VLOOKUP($B68,casostestes[#Data],6)=0,"-",VLOOKUP($B68,casostestes[#Data],6)),"-")</f>
        <v>-</v>
      </c>
      <c r="I68" s="35" t="str">
        <f>IFERROR(IF(VLOOKUP($B68,casostestes[#Data],8)=0,"-",VLOOKUP($B68,casostestes[#Data],8)),"-")</f>
        <v>-</v>
      </c>
      <c r="J68" s="35" t="str">
        <f>IFERROR(IF(VLOOKUP($B68,casostestes[#Data],9)=0,"-",VLOOKUP($B68,casostestes[#Data],9)),"-")</f>
        <v>-</v>
      </c>
      <c r="K68" s="36"/>
      <c r="L68" s="45"/>
      <c r="M68" s="37"/>
      <c r="N68" s="38"/>
      <c r="O68" s="38"/>
      <c r="P68" s="39"/>
    </row>
    <row r="69" spans="2:16">
      <c r="B69" s="40" t="str">
        <f>IF(ISERR(casostestes[[#This Row],[ID]]),"-",casostestes[[#This Row],[ID]])</f>
        <v>-</v>
      </c>
      <c r="C69" s="34" t="str">
        <f>IFERROR(IF(VLOOKUP($B69,casostestes[#Data],10)=0,"Não",VLOOKUP($B69,casostestes[#Data],10)), "-")</f>
        <v>-</v>
      </c>
      <c r="D69" s="35" t="str">
        <f>IFERROR(IF(VLOOKUP($B69,casostestes[#Data],2)=0,"-",VLOOKUP($B69,casostestes[#Data],2)), "-")</f>
        <v>-</v>
      </c>
      <c r="E69" s="35" t="str">
        <f>IFERROR(IF(VLOOKUP($B69,casostestes[#Data],3)=0,"-",VLOOKUP($B69,casostestes[#Data],3)), "-")</f>
        <v>-</v>
      </c>
      <c r="F69" s="35" t="str">
        <f>IFERROR(IF(VLOOKUP($B69,casostestes[#Data],4)=0,"-",VLOOKUP($B69,casostestes[#Data],4)),"-")</f>
        <v>-</v>
      </c>
      <c r="G69" s="35" t="str">
        <f>IFERROR(IF(VLOOKUP($B69,casostestes[#Data],5)=0,"-",VLOOKUP($B69,casostestes[#Data],5)),"-")</f>
        <v>-</v>
      </c>
      <c r="H69" s="35" t="str">
        <f>IFERROR(IF(VLOOKUP($B69,casostestes[#Data],6)=0,"-",VLOOKUP($B69,casostestes[#Data],6)),"-")</f>
        <v>-</v>
      </c>
      <c r="I69" s="35" t="str">
        <f>IFERROR(IF(VLOOKUP($B69,casostestes[#Data],8)=0,"-",VLOOKUP($B69,casostestes[#Data],8)),"-")</f>
        <v>-</v>
      </c>
      <c r="J69" s="35" t="str">
        <f>IFERROR(IF(VLOOKUP($B69,casostestes[#Data],9)=0,"-",VLOOKUP($B69,casostestes[#Data],9)),"-")</f>
        <v>-</v>
      </c>
      <c r="K69" s="36"/>
      <c r="L69" s="45"/>
      <c r="M69" s="37"/>
      <c r="N69" s="38"/>
      <c r="O69" s="38"/>
      <c r="P69" s="39"/>
    </row>
    <row r="70" spans="2:16">
      <c r="B70" s="40" t="str">
        <f>IF(ISERR(casostestes[[#This Row],[ID]]),"-",casostestes[[#This Row],[ID]])</f>
        <v>-</v>
      </c>
      <c r="C70" s="34" t="str">
        <f>IFERROR(IF(VLOOKUP($B70,casostestes[#Data],10)=0,"Não",VLOOKUP($B70,casostestes[#Data],10)), "-")</f>
        <v>-</v>
      </c>
      <c r="D70" s="35" t="str">
        <f>IFERROR(IF(VLOOKUP($B70,casostestes[#Data],2)=0,"-",VLOOKUP($B70,casostestes[#Data],2)), "-")</f>
        <v>-</v>
      </c>
      <c r="E70" s="35" t="str">
        <f>IFERROR(IF(VLOOKUP($B70,casostestes[#Data],3)=0,"-",VLOOKUP($B70,casostestes[#Data],3)), "-")</f>
        <v>-</v>
      </c>
      <c r="F70" s="35" t="str">
        <f>IFERROR(IF(VLOOKUP($B70,casostestes[#Data],4)=0,"-",VLOOKUP($B70,casostestes[#Data],4)),"-")</f>
        <v>-</v>
      </c>
      <c r="G70" s="35" t="str">
        <f>IFERROR(IF(VLOOKUP($B70,casostestes[#Data],5)=0,"-",VLOOKUP($B70,casostestes[#Data],5)),"-")</f>
        <v>-</v>
      </c>
      <c r="H70" s="35" t="str">
        <f>IFERROR(IF(VLOOKUP($B70,casostestes[#Data],6)=0,"-",VLOOKUP($B70,casostestes[#Data],6)),"-")</f>
        <v>-</v>
      </c>
      <c r="I70" s="35" t="str">
        <f>IFERROR(IF(VLOOKUP($B70,casostestes[#Data],8)=0,"-",VLOOKUP($B70,casostestes[#Data],8)),"-")</f>
        <v>-</v>
      </c>
      <c r="J70" s="35" t="str">
        <f>IFERROR(IF(VLOOKUP($B70,casostestes[#Data],9)=0,"-",VLOOKUP($B70,casostestes[#Data],9)),"-")</f>
        <v>-</v>
      </c>
      <c r="K70" s="36"/>
      <c r="L70" s="45"/>
      <c r="M70" s="37"/>
      <c r="N70" s="38"/>
      <c r="O70" s="38"/>
      <c r="P70" s="39"/>
    </row>
    <row r="71" spans="2:16">
      <c r="B71" s="40" t="str">
        <f>IF(ISERR(casostestes[[#This Row],[ID]]),"-",casostestes[[#This Row],[ID]])</f>
        <v>-</v>
      </c>
      <c r="C71" s="34" t="str">
        <f>IFERROR(IF(VLOOKUP($B71,casostestes[#Data],10)=0,"Não",VLOOKUP($B71,casostestes[#Data],10)), "-")</f>
        <v>-</v>
      </c>
      <c r="D71" s="35" t="str">
        <f>IFERROR(IF(VLOOKUP($B71,casostestes[#Data],2)=0,"-",VLOOKUP($B71,casostestes[#Data],2)), "-")</f>
        <v>-</v>
      </c>
      <c r="E71" s="35" t="str">
        <f>IFERROR(IF(VLOOKUP($B71,casostestes[#Data],3)=0,"-",VLOOKUP($B71,casostestes[#Data],3)), "-")</f>
        <v>-</v>
      </c>
      <c r="F71" s="35" t="str">
        <f>IFERROR(IF(VLOOKUP($B71,casostestes[#Data],4)=0,"-",VLOOKUP($B71,casostestes[#Data],4)),"-")</f>
        <v>-</v>
      </c>
      <c r="G71" s="35" t="str">
        <f>IFERROR(IF(VLOOKUP($B71,casostestes[#Data],5)=0,"-",VLOOKUP($B71,casostestes[#Data],5)),"-")</f>
        <v>-</v>
      </c>
      <c r="H71" s="35" t="str">
        <f>IFERROR(IF(VLOOKUP($B71,casostestes[#Data],6)=0,"-",VLOOKUP($B71,casostestes[#Data],6)),"-")</f>
        <v>-</v>
      </c>
      <c r="I71" s="35" t="str">
        <f>IFERROR(IF(VLOOKUP($B71,casostestes[#Data],8)=0,"-",VLOOKUP($B71,casostestes[#Data],8)),"-")</f>
        <v>-</v>
      </c>
      <c r="J71" s="35" t="str">
        <f>IFERROR(IF(VLOOKUP($B71,casostestes[#Data],9)=0,"-",VLOOKUP($B71,casostestes[#Data],9)),"-")</f>
        <v>-</v>
      </c>
      <c r="K71" s="36"/>
      <c r="L71" s="45"/>
      <c r="M71" s="37"/>
      <c r="N71" s="38"/>
      <c r="O71" s="38"/>
      <c r="P71" s="39"/>
    </row>
    <row r="72" spans="2:16">
      <c r="B72" s="40" t="str">
        <f>IF(ISERR(casostestes[[#This Row],[ID]]),"-",casostestes[[#This Row],[ID]])</f>
        <v>-</v>
      </c>
      <c r="C72" s="34" t="str">
        <f>IFERROR(IF(VLOOKUP($B72,casostestes[#Data],10)=0,"Não",VLOOKUP($B72,casostestes[#Data],10)), "-")</f>
        <v>-</v>
      </c>
      <c r="D72" s="35" t="str">
        <f>IFERROR(IF(VLOOKUP($B72,casostestes[#Data],2)=0,"-",VLOOKUP($B72,casostestes[#Data],2)), "-")</f>
        <v>-</v>
      </c>
      <c r="E72" s="35" t="str">
        <f>IFERROR(IF(VLOOKUP($B72,casostestes[#Data],3)=0,"-",VLOOKUP($B72,casostestes[#Data],3)), "-")</f>
        <v>-</v>
      </c>
      <c r="F72" s="35" t="str">
        <f>IFERROR(IF(VLOOKUP($B72,casostestes[#Data],4)=0,"-",VLOOKUP($B72,casostestes[#Data],4)),"-")</f>
        <v>-</v>
      </c>
      <c r="G72" s="35" t="str">
        <f>IFERROR(IF(VLOOKUP($B72,casostestes[#Data],5)=0,"-",VLOOKUP($B72,casostestes[#Data],5)),"-")</f>
        <v>-</v>
      </c>
      <c r="H72" s="35" t="str">
        <f>IFERROR(IF(VLOOKUP($B72,casostestes[#Data],6)=0,"-",VLOOKUP($B72,casostestes[#Data],6)),"-")</f>
        <v>-</v>
      </c>
      <c r="I72" s="35" t="str">
        <f>IFERROR(IF(VLOOKUP($B72,casostestes[#Data],8)=0,"-",VLOOKUP($B72,casostestes[#Data],8)),"-")</f>
        <v>-</v>
      </c>
      <c r="J72" s="35" t="str">
        <f>IFERROR(IF(VLOOKUP($B72,casostestes[#Data],9)=0,"-",VLOOKUP($B72,casostestes[#Data],9)),"-")</f>
        <v>-</v>
      </c>
      <c r="K72" s="36"/>
      <c r="L72" s="45"/>
      <c r="M72" s="37"/>
      <c r="N72" s="38"/>
      <c r="O72" s="38"/>
      <c r="P72" s="39"/>
    </row>
    <row r="73" spans="2:16">
      <c r="B73" s="40" t="str">
        <f>IF(ISERR(casostestes[[#This Row],[ID]]),"-",casostestes[[#This Row],[ID]])</f>
        <v>-</v>
      </c>
      <c r="C73" s="34" t="str">
        <f>IFERROR(IF(VLOOKUP($B73,casostestes[#Data],10)=0,"Não",VLOOKUP($B73,casostestes[#Data],10)), "-")</f>
        <v>-</v>
      </c>
      <c r="D73" s="35" t="str">
        <f>IFERROR(IF(VLOOKUP($B73,casostestes[#Data],2)=0,"-",VLOOKUP($B73,casostestes[#Data],2)), "-")</f>
        <v>-</v>
      </c>
      <c r="E73" s="35" t="str">
        <f>IFERROR(IF(VLOOKUP($B73,casostestes[#Data],3)=0,"-",VLOOKUP($B73,casostestes[#Data],3)), "-")</f>
        <v>-</v>
      </c>
      <c r="F73" s="35" t="str">
        <f>IFERROR(IF(VLOOKUP($B73,casostestes[#Data],4)=0,"-",VLOOKUP($B73,casostestes[#Data],4)),"-")</f>
        <v>-</v>
      </c>
      <c r="G73" s="35" t="str">
        <f>IFERROR(IF(VLOOKUP($B73,casostestes[#Data],5)=0,"-",VLOOKUP($B73,casostestes[#Data],5)),"-")</f>
        <v>-</v>
      </c>
      <c r="H73" s="35" t="str">
        <f>IFERROR(IF(VLOOKUP($B73,casostestes[#Data],6)=0,"-",VLOOKUP($B73,casostestes[#Data],6)),"-")</f>
        <v>-</v>
      </c>
      <c r="I73" s="35" t="str">
        <f>IFERROR(IF(VLOOKUP($B73,casostestes[#Data],8)=0,"-",VLOOKUP($B73,casostestes[#Data],8)),"-")</f>
        <v>-</v>
      </c>
      <c r="J73" s="35" t="str">
        <f>IFERROR(IF(VLOOKUP($B73,casostestes[#Data],9)=0,"-",VLOOKUP($B73,casostestes[#Data],9)),"-")</f>
        <v>-</v>
      </c>
      <c r="K73" s="36"/>
      <c r="L73" s="45"/>
      <c r="M73" s="37"/>
      <c r="N73" s="38"/>
      <c r="O73" s="38"/>
      <c r="P73" s="39"/>
    </row>
    <row r="74" spans="2:16">
      <c r="B74" s="40" t="str">
        <f>IF(ISERR(casostestes[[#This Row],[ID]]),"-",casostestes[[#This Row],[ID]])</f>
        <v>-</v>
      </c>
      <c r="C74" s="34" t="str">
        <f>IFERROR(IF(VLOOKUP($B74,casostestes[#Data],10)=0,"Não",VLOOKUP($B74,casostestes[#Data],10)), "-")</f>
        <v>-</v>
      </c>
      <c r="D74" s="35" t="str">
        <f>IFERROR(IF(VLOOKUP($B74,casostestes[#Data],2)=0,"-",VLOOKUP($B74,casostestes[#Data],2)), "-")</f>
        <v>-</v>
      </c>
      <c r="E74" s="35" t="str">
        <f>IFERROR(IF(VLOOKUP($B74,casostestes[#Data],3)=0,"-",VLOOKUP($B74,casostestes[#Data],3)), "-")</f>
        <v>-</v>
      </c>
      <c r="F74" s="35" t="str">
        <f>IFERROR(IF(VLOOKUP($B74,casostestes[#Data],4)=0,"-",VLOOKUP($B74,casostestes[#Data],4)),"-")</f>
        <v>-</v>
      </c>
      <c r="G74" s="35" t="str">
        <f>IFERROR(IF(VLOOKUP($B74,casostestes[#Data],5)=0,"-",VLOOKUP($B74,casostestes[#Data],5)),"-")</f>
        <v>-</v>
      </c>
      <c r="H74" s="35" t="str">
        <f>IFERROR(IF(VLOOKUP($B74,casostestes[#Data],6)=0,"-",VLOOKUP($B74,casostestes[#Data],6)),"-")</f>
        <v>-</v>
      </c>
      <c r="I74" s="35" t="str">
        <f>IFERROR(IF(VLOOKUP($B74,casostestes[#Data],8)=0,"-",VLOOKUP($B74,casostestes[#Data],8)),"-")</f>
        <v>-</v>
      </c>
      <c r="J74" s="35" t="str">
        <f>IFERROR(IF(VLOOKUP($B74,casostestes[#Data],9)=0,"-",VLOOKUP($B74,casostestes[#Data],9)),"-")</f>
        <v>-</v>
      </c>
      <c r="K74" s="36"/>
      <c r="L74" s="45"/>
      <c r="M74" s="37"/>
      <c r="N74" s="38"/>
      <c r="O74" s="38"/>
      <c r="P74" s="39"/>
    </row>
    <row r="75" spans="2:16">
      <c r="B75" s="40" t="str">
        <f>IF(ISERR(casostestes[[#This Row],[ID]]),"-",casostestes[[#This Row],[ID]])</f>
        <v>-</v>
      </c>
      <c r="C75" s="34" t="str">
        <f>IFERROR(IF(VLOOKUP($B75,casostestes[#Data],10)=0,"Não",VLOOKUP($B75,casostestes[#Data],10)), "-")</f>
        <v>-</v>
      </c>
      <c r="D75" s="35" t="str">
        <f>IFERROR(IF(VLOOKUP($B75,casostestes[#Data],2)=0,"-",VLOOKUP($B75,casostestes[#Data],2)), "-")</f>
        <v>-</v>
      </c>
      <c r="E75" s="35" t="str">
        <f>IFERROR(IF(VLOOKUP($B75,casostestes[#Data],3)=0,"-",VLOOKUP($B75,casostestes[#Data],3)), "-")</f>
        <v>-</v>
      </c>
      <c r="F75" s="35" t="str">
        <f>IFERROR(IF(VLOOKUP($B75,casostestes[#Data],4)=0,"-",VLOOKUP($B75,casostestes[#Data],4)),"-")</f>
        <v>-</v>
      </c>
      <c r="G75" s="35" t="str">
        <f>IFERROR(IF(VLOOKUP($B75,casostestes[#Data],5)=0,"-",VLOOKUP($B75,casostestes[#Data],5)),"-")</f>
        <v>-</v>
      </c>
      <c r="H75" s="35" t="str">
        <f>IFERROR(IF(VLOOKUP($B75,casostestes[#Data],6)=0,"-",VLOOKUP($B75,casostestes[#Data],6)),"-")</f>
        <v>-</v>
      </c>
      <c r="I75" s="35" t="str">
        <f>IFERROR(IF(VLOOKUP($B75,casostestes[#Data],8)=0,"-",VLOOKUP($B75,casostestes[#Data],8)),"-")</f>
        <v>-</v>
      </c>
      <c r="J75" s="35" t="str">
        <f>IFERROR(IF(VLOOKUP($B75,casostestes[#Data],9)=0,"-",VLOOKUP($B75,casostestes[#Data],9)),"-")</f>
        <v>-</v>
      </c>
      <c r="K75" s="36"/>
      <c r="L75" s="45"/>
      <c r="M75" s="37"/>
      <c r="N75" s="38"/>
      <c r="O75" s="38"/>
      <c r="P75" s="39"/>
    </row>
    <row r="76" spans="2:16">
      <c r="B76" s="40" t="str">
        <f>IF(ISERR(casostestes[[#This Row],[ID]]),"-",casostestes[[#This Row],[ID]])</f>
        <v>-</v>
      </c>
      <c r="C76" s="34" t="str">
        <f>IFERROR(IF(VLOOKUP($B76,casostestes[#Data],10)=0,"Não",VLOOKUP($B76,casostestes[#Data],10)), "-")</f>
        <v>-</v>
      </c>
      <c r="D76" s="35" t="str">
        <f>IFERROR(IF(VLOOKUP($B76,casostestes[#Data],2)=0,"-",VLOOKUP($B76,casostestes[#Data],2)), "-")</f>
        <v>-</v>
      </c>
      <c r="E76" s="35" t="str">
        <f>IFERROR(IF(VLOOKUP($B76,casostestes[#Data],3)=0,"-",VLOOKUP($B76,casostestes[#Data],3)), "-")</f>
        <v>-</v>
      </c>
      <c r="F76" s="35" t="str">
        <f>IFERROR(IF(VLOOKUP($B76,casostestes[#Data],4)=0,"-",VLOOKUP($B76,casostestes[#Data],4)),"-")</f>
        <v>-</v>
      </c>
      <c r="G76" s="35" t="str">
        <f>IFERROR(IF(VLOOKUP($B76,casostestes[#Data],5)=0,"-",VLOOKUP($B76,casostestes[#Data],5)),"-")</f>
        <v>-</v>
      </c>
      <c r="H76" s="35" t="str">
        <f>IFERROR(IF(VLOOKUP($B76,casostestes[#Data],6)=0,"-",VLOOKUP($B76,casostestes[#Data],6)),"-")</f>
        <v>-</v>
      </c>
      <c r="I76" s="35" t="str">
        <f>IFERROR(IF(VLOOKUP($B76,casostestes[#Data],8)=0,"-",VLOOKUP($B76,casostestes[#Data],8)),"-")</f>
        <v>-</v>
      </c>
      <c r="J76" s="35" t="str">
        <f>IFERROR(IF(VLOOKUP($B76,casostestes[#Data],9)=0,"-",VLOOKUP($B76,casostestes[#Data],9)),"-")</f>
        <v>-</v>
      </c>
      <c r="K76" s="36"/>
      <c r="L76" s="45"/>
      <c r="M76" s="37"/>
      <c r="N76" s="38"/>
      <c r="O76" s="38"/>
      <c r="P76" s="39"/>
    </row>
    <row r="77" spans="2:16">
      <c r="B77" s="40" t="str">
        <f>IF(ISERR(casostestes[[#This Row],[ID]]),"-",casostestes[[#This Row],[ID]])</f>
        <v>-</v>
      </c>
      <c r="C77" s="34" t="str">
        <f>IFERROR(IF(VLOOKUP($B77,casostestes[#Data],10)=0,"Não",VLOOKUP($B77,casostestes[#Data],10)), "-")</f>
        <v>-</v>
      </c>
      <c r="D77" s="35" t="str">
        <f>IFERROR(IF(VLOOKUP($B77,casostestes[#Data],2)=0,"-",VLOOKUP($B77,casostestes[#Data],2)), "-")</f>
        <v>-</v>
      </c>
      <c r="E77" s="35" t="str">
        <f>IFERROR(IF(VLOOKUP($B77,casostestes[#Data],3)=0,"-",VLOOKUP($B77,casostestes[#Data],3)), "-")</f>
        <v>-</v>
      </c>
      <c r="F77" s="35" t="str">
        <f>IFERROR(IF(VLOOKUP($B77,casostestes[#Data],4)=0,"-",VLOOKUP($B77,casostestes[#Data],4)),"-")</f>
        <v>-</v>
      </c>
      <c r="G77" s="35" t="str">
        <f>IFERROR(IF(VLOOKUP($B77,casostestes[#Data],5)=0,"-",VLOOKUP($B77,casostestes[#Data],5)),"-")</f>
        <v>-</v>
      </c>
      <c r="H77" s="35" t="str">
        <f>IFERROR(IF(VLOOKUP($B77,casostestes[#Data],6)=0,"-",VLOOKUP($B77,casostestes[#Data],6)),"-")</f>
        <v>-</v>
      </c>
      <c r="I77" s="35" t="str">
        <f>IFERROR(IF(VLOOKUP($B77,casostestes[#Data],8)=0,"-",VLOOKUP($B77,casostestes[#Data],8)),"-")</f>
        <v>-</v>
      </c>
      <c r="J77" s="35" t="str">
        <f>IFERROR(IF(VLOOKUP($B77,casostestes[#Data],9)=0,"-",VLOOKUP($B77,casostestes[#Data],9)),"-")</f>
        <v>-</v>
      </c>
      <c r="K77" s="36"/>
      <c r="L77" s="45"/>
      <c r="M77" s="37"/>
      <c r="N77" s="38"/>
      <c r="O77" s="38"/>
      <c r="P77" s="39"/>
    </row>
    <row r="78" spans="2:16">
      <c r="B78" s="40" t="str">
        <f>IF(ISERR(casostestes[[#This Row],[ID]]),"-",casostestes[[#This Row],[ID]])</f>
        <v>-</v>
      </c>
      <c r="C78" s="34" t="str">
        <f>IFERROR(IF(VLOOKUP($B78,casostestes[#Data],10)=0,"Não",VLOOKUP($B78,casostestes[#Data],10)), "-")</f>
        <v>-</v>
      </c>
      <c r="D78" s="35" t="str">
        <f>IFERROR(IF(VLOOKUP($B78,casostestes[#Data],2)=0,"-",VLOOKUP($B78,casostestes[#Data],2)), "-")</f>
        <v>-</v>
      </c>
      <c r="E78" s="35" t="str">
        <f>IFERROR(IF(VLOOKUP($B78,casostestes[#Data],3)=0,"-",VLOOKUP($B78,casostestes[#Data],3)), "-")</f>
        <v>-</v>
      </c>
      <c r="F78" s="35" t="str">
        <f>IFERROR(IF(VLOOKUP($B78,casostestes[#Data],4)=0,"-",VLOOKUP($B78,casostestes[#Data],4)),"-")</f>
        <v>-</v>
      </c>
      <c r="G78" s="35" t="str">
        <f>IFERROR(IF(VLOOKUP($B78,casostestes[#Data],5)=0,"-",VLOOKUP($B78,casostestes[#Data],5)),"-")</f>
        <v>-</v>
      </c>
      <c r="H78" s="35" t="str">
        <f>IFERROR(IF(VLOOKUP($B78,casostestes[#Data],6)=0,"-",VLOOKUP($B78,casostestes[#Data],6)),"-")</f>
        <v>-</v>
      </c>
      <c r="I78" s="35" t="str">
        <f>IFERROR(IF(VLOOKUP($B78,casostestes[#Data],8)=0,"-",VLOOKUP($B78,casostestes[#Data],8)),"-")</f>
        <v>-</v>
      </c>
      <c r="J78" s="35" t="str">
        <f>IFERROR(IF(VLOOKUP($B78,casostestes[#Data],9)=0,"-",VLOOKUP($B78,casostestes[#Data],9)),"-")</f>
        <v>-</v>
      </c>
      <c r="K78" s="36"/>
      <c r="L78" s="45"/>
      <c r="M78" s="37"/>
      <c r="N78" s="38"/>
      <c r="O78" s="38"/>
      <c r="P78" s="39"/>
    </row>
    <row r="79" spans="2:16">
      <c r="B79" s="40" t="str">
        <f>IF(ISERR(casostestes[[#This Row],[ID]]),"-",casostestes[[#This Row],[ID]])</f>
        <v>-</v>
      </c>
      <c r="C79" s="34" t="str">
        <f>IFERROR(IF(VLOOKUP($B79,casostestes[#Data],10)=0,"Não",VLOOKUP($B79,casostestes[#Data],10)), "-")</f>
        <v>-</v>
      </c>
      <c r="D79" s="35" t="str">
        <f>IFERROR(IF(VLOOKUP($B79,casostestes[#Data],2)=0,"-",VLOOKUP($B79,casostestes[#Data],2)), "-")</f>
        <v>-</v>
      </c>
      <c r="E79" s="35" t="str">
        <f>IFERROR(IF(VLOOKUP($B79,casostestes[#Data],3)=0,"-",VLOOKUP($B79,casostestes[#Data],3)), "-")</f>
        <v>-</v>
      </c>
      <c r="F79" s="35" t="str">
        <f>IFERROR(IF(VLOOKUP($B79,casostestes[#Data],4)=0,"-",VLOOKUP($B79,casostestes[#Data],4)),"-")</f>
        <v>-</v>
      </c>
      <c r="G79" s="35" t="str">
        <f>IFERROR(IF(VLOOKUP($B79,casostestes[#Data],5)=0,"-",VLOOKUP($B79,casostestes[#Data],5)),"-")</f>
        <v>-</v>
      </c>
      <c r="H79" s="35" t="str">
        <f>IFERROR(IF(VLOOKUP($B79,casostestes[#Data],6)=0,"-",VLOOKUP($B79,casostestes[#Data],6)),"-")</f>
        <v>-</v>
      </c>
      <c r="I79" s="35" t="str">
        <f>IFERROR(IF(VLOOKUP($B79,casostestes[#Data],8)=0,"-",VLOOKUP($B79,casostestes[#Data],8)),"-")</f>
        <v>-</v>
      </c>
      <c r="J79" s="35" t="str">
        <f>IFERROR(IF(VLOOKUP($B79,casostestes[#Data],9)=0,"-",VLOOKUP($B79,casostestes[#Data],9)),"-")</f>
        <v>-</v>
      </c>
      <c r="K79" s="36"/>
      <c r="L79" s="45"/>
      <c r="M79" s="37"/>
      <c r="N79" s="38"/>
      <c r="O79" s="38"/>
      <c r="P79" s="39"/>
    </row>
    <row r="80" spans="2:16">
      <c r="B80" s="40" t="str">
        <f>IF(ISERR(casostestes[[#This Row],[ID]]),"-",casostestes[[#This Row],[ID]])</f>
        <v>-</v>
      </c>
      <c r="C80" s="34" t="str">
        <f>IFERROR(IF(VLOOKUP($B80,casostestes[#Data],10)=0,"Não",VLOOKUP($B80,casostestes[#Data],10)), "-")</f>
        <v>-</v>
      </c>
      <c r="D80" s="35" t="str">
        <f>IFERROR(IF(VLOOKUP($B80,casostestes[#Data],2)=0,"-",VLOOKUP($B80,casostestes[#Data],2)), "-")</f>
        <v>-</v>
      </c>
      <c r="E80" s="35" t="str">
        <f>IFERROR(IF(VLOOKUP($B80,casostestes[#Data],3)=0,"-",VLOOKUP($B80,casostestes[#Data],3)), "-")</f>
        <v>-</v>
      </c>
      <c r="F80" s="35" t="str">
        <f>IFERROR(IF(VLOOKUP($B80,casostestes[#Data],4)=0,"-",VLOOKUP($B80,casostestes[#Data],4)),"-")</f>
        <v>-</v>
      </c>
      <c r="G80" s="35" t="str">
        <f>IFERROR(IF(VLOOKUP($B80,casostestes[#Data],5)=0,"-",VLOOKUP($B80,casostestes[#Data],5)),"-")</f>
        <v>-</v>
      </c>
      <c r="H80" s="35" t="str">
        <f>IFERROR(IF(VLOOKUP($B80,casostestes[#Data],6)=0,"-",VLOOKUP($B80,casostestes[#Data],6)),"-")</f>
        <v>-</v>
      </c>
      <c r="I80" s="35" t="str">
        <f>IFERROR(IF(VLOOKUP($B80,casostestes[#Data],8)=0,"-",VLOOKUP($B80,casostestes[#Data],8)),"-")</f>
        <v>-</v>
      </c>
      <c r="J80" s="35" t="str">
        <f>IFERROR(IF(VLOOKUP($B80,casostestes[#Data],9)=0,"-",VLOOKUP($B80,casostestes[#Data],9)),"-")</f>
        <v>-</v>
      </c>
      <c r="K80" s="36"/>
      <c r="L80" s="45"/>
      <c r="M80" s="37"/>
      <c r="N80" s="38"/>
      <c r="O80" s="38"/>
      <c r="P80" s="39"/>
    </row>
    <row r="81" spans="2:16">
      <c r="B81" s="40" t="str">
        <f>IF(ISERR(casostestes[[#This Row],[ID]]),"-",casostestes[[#This Row],[ID]])</f>
        <v>-</v>
      </c>
      <c r="C81" s="34" t="str">
        <f>IFERROR(IF(VLOOKUP($B81,casostestes[#Data],10)=0,"Não",VLOOKUP($B81,casostestes[#Data],10)), "-")</f>
        <v>-</v>
      </c>
      <c r="D81" s="35" t="str">
        <f>IFERROR(IF(VLOOKUP($B81,casostestes[#Data],2)=0,"-",VLOOKUP($B81,casostestes[#Data],2)), "-")</f>
        <v>-</v>
      </c>
      <c r="E81" s="35" t="str">
        <f>IFERROR(IF(VLOOKUP($B81,casostestes[#Data],3)=0,"-",VLOOKUP($B81,casostestes[#Data],3)), "-")</f>
        <v>-</v>
      </c>
      <c r="F81" s="35" t="str">
        <f>IFERROR(IF(VLOOKUP($B81,casostestes[#Data],4)=0,"-",VLOOKUP($B81,casostestes[#Data],4)),"-")</f>
        <v>-</v>
      </c>
      <c r="G81" s="35" t="str">
        <f>IFERROR(IF(VLOOKUP($B81,casostestes[#Data],5)=0,"-",VLOOKUP($B81,casostestes[#Data],5)),"-")</f>
        <v>-</v>
      </c>
      <c r="H81" s="35" t="str">
        <f>IFERROR(IF(VLOOKUP($B81,casostestes[#Data],6)=0,"-",VLOOKUP($B81,casostestes[#Data],6)),"-")</f>
        <v>-</v>
      </c>
      <c r="I81" s="35" t="str">
        <f>IFERROR(IF(VLOOKUP($B81,casostestes[#Data],8)=0,"-",VLOOKUP($B81,casostestes[#Data],8)),"-")</f>
        <v>-</v>
      </c>
      <c r="J81" s="35" t="str">
        <f>IFERROR(IF(VLOOKUP($B81,casostestes[#Data],9)=0,"-",VLOOKUP($B81,casostestes[#Data],9)),"-")</f>
        <v>-</v>
      </c>
      <c r="K81" s="36"/>
      <c r="L81" s="45"/>
      <c r="M81" s="37"/>
      <c r="N81" s="38"/>
      <c r="O81" s="38"/>
      <c r="P81" s="39"/>
    </row>
    <row r="82" spans="2:16">
      <c r="B82" s="40" t="str">
        <f>IF(ISERR(casostestes[[#This Row],[ID]]),"-",casostestes[[#This Row],[ID]])</f>
        <v>-</v>
      </c>
      <c r="C82" s="34" t="str">
        <f>IFERROR(IF(VLOOKUP($B82,casostestes[#Data],10)=0,"Não",VLOOKUP($B82,casostestes[#Data],10)), "-")</f>
        <v>-</v>
      </c>
      <c r="D82" s="35" t="str">
        <f>IFERROR(IF(VLOOKUP($B82,casostestes[#Data],2)=0,"-",VLOOKUP($B82,casostestes[#Data],2)), "-")</f>
        <v>-</v>
      </c>
      <c r="E82" s="35" t="str">
        <f>IFERROR(IF(VLOOKUP($B82,casostestes[#Data],3)=0,"-",VLOOKUP($B82,casostestes[#Data],3)), "-")</f>
        <v>-</v>
      </c>
      <c r="F82" s="35" t="str">
        <f>IFERROR(IF(VLOOKUP($B82,casostestes[#Data],4)=0,"-",VLOOKUP($B82,casostestes[#Data],4)),"-")</f>
        <v>-</v>
      </c>
      <c r="G82" s="35" t="str">
        <f>IFERROR(IF(VLOOKUP($B82,casostestes[#Data],5)=0,"-",VLOOKUP($B82,casostestes[#Data],5)),"-")</f>
        <v>-</v>
      </c>
      <c r="H82" s="35" t="str">
        <f>IFERROR(IF(VLOOKUP($B82,casostestes[#Data],6)=0,"-",VLOOKUP($B82,casostestes[#Data],6)),"-")</f>
        <v>-</v>
      </c>
      <c r="I82" s="35" t="str">
        <f>IFERROR(IF(VLOOKUP($B82,casostestes[#Data],8)=0,"-",VLOOKUP($B82,casostestes[#Data],8)),"-")</f>
        <v>-</v>
      </c>
      <c r="J82" s="35" t="str">
        <f>IFERROR(IF(VLOOKUP($B82,casostestes[#Data],9)=0,"-",VLOOKUP($B82,casostestes[#Data],9)),"-")</f>
        <v>-</v>
      </c>
      <c r="K82" s="36"/>
      <c r="L82" s="45"/>
      <c r="M82" s="37"/>
      <c r="N82" s="38"/>
      <c r="O82" s="38"/>
      <c r="P82" s="39"/>
    </row>
    <row r="83" spans="2:16">
      <c r="B83" s="40" t="str">
        <f>IF(ISERR(casostestes[[#This Row],[ID]]),"-",casostestes[[#This Row],[ID]])</f>
        <v>-</v>
      </c>
      <c r="C83" s="34" t="str">
        <f>IFERROR(IF(VLOOKUP($B83,casostestes[#Data],10)=0,"Não",VLOOKUP($B83,casostestes[#Data],10)), "-")</f>
        <v>-</v>
      </c>
      <c r="D83" s="35" t="str">
        <f>IFERROR(IF(VLOOKUP($B83,casostestes[#Data],2)=0,"-",VLOOKUP($B83,casostestes[#Data],2)), "-")</f>
        <v>-</v>
      </c>
      <c r="E83" s="35" t="str">
        <f>IFERROR(IF(VLOOKUP($B83,casostestes[#Data],3)=0,"-",VLOOKUP($B83,casostestes[#Data],3)), "-")</f>
        <v>-</v>
      </c>
      <c r="F83" s="35" t="str">
        <f>IFERROR(IF(VLOOKUP($B83,casostestes[#Data],4)=0,"-",VLOOKUP($B83,casostestes[#Data],4)),"-")</f>
        <v>-</v>
      </c>
      <c r="G83" s="35" t="str">
        <f>IFERROR(IF(VLOOKUP($B83,casostestes[#Data],5)=0,"-",VLOOKUP($B83,casostestes[#Data],5)),"-")</f>
        <v>-</v>
      </c>
      <c r="H83" s="35" t="str">
        <f>IFERROR(IF(VLOOKUP($B83,casostestes[#Data],6)=0,"-",VLOOKUP($B83,casostestes[#Data],6)),"-")</f>
        <v>-</v>
      </c>
      <c r="I83" s="35" t="str">
        <f>IFERROR(IF(VLOOKUP($B83,casostestes[#Data],8)=0,"-",VLOOKUP($B83,casostestes[#Data],8)),"-")</f>
        <v>-</v>
      </c>
      <c r="J83" s="35" t="str">
        <f>IFERROR(IF(VLOOKUP($B83,casostestes[#Data],9)=0,"-",VLOOKUP($B83,casostestes[#Data],9)),"-")</f>
        <v>-</v>
      </c>
      <c r="K83" s="36"/>
      <c r="L83" s="45"/>
      <c r="M83" s="37"/>
      <c r="N83" s="38"/>
      <c r="O83" s="38"/>
      <c r="P83" s="39"/>
    </row>
    <row r="84" spans="2:16">
      <c r="B84" s="40" t="str">
        <f>IF(ISERR(casostestes[[#This Row],[ID]]),"-",casostestes[[#This Row],[ID]])</f>
        <v>-</v>
      </c>
      <c r="C84" s="34" t="str">
        <f>IFERROR(IF(VLOOKUP($B84,casostestes[#Data],10)=0,"Não",VLOOKUP($B84,casostestes[#Data],10)), "-")</f>
        <v>-</v>
      </c>
      <c r="D84" s="35" t="str">
        <f>IFERROR(IF(VLOOKUP($B84,casostestes[#Data],2)=0,"-",VLOOKUP($B84,casostestes[#Data],2)), "-")</f>
        <v>-</v>
      </c>
      <c r="E84" s="35" t="str">
        <f>IFERROR(IF(VLOOKUP($B84,casostestes[#Data],3)=0,"-",VLOOKUP($B84,casostestes[#Data],3)), "-")</f>
        <v>-</v>
      </c>
      <c r="F84" s="35" t="str">
        <f>IFERROR(IF(VLOOKUP($B84,casostestes[#Data],4)=0,"-",VLOOKUP($B84,casostestes[#Data],4)),"-")</f>
        <v>-</v>
      </c>
      <c r="G84" s="35" t="str">
        <f>IFERROR(IF(VLOOKUP($B84,casostestes[#Data],5)=0,"-",VLOOKUP($B84,casostestes[#Data],5)),"-")</f>
        <v>-</v>
      </c>
      <c r="H84" s="35" t="str">
        <f>IFERROR(IF(VLOOKUP($B84,casostestes[#Data],6)=0,"-",VLOOKUP($B84,casostestes[#Data],6)),"-")</f>
        <v>-</v>
      </c>
      <c r="I84" s="35" t="str">
        <f>IFERROR(IF(VLOOKUP($B84,casostestes[#Data],8)=0,"-",VLOOKUP($B84,casostestes[#Data],8)),"-")</f>
        <v>-</v>
      </c>
      <c r="J84" s="35" t="str">
        <f>IFERROR(IF(VLOOKUP($B84,casostestes[#Data],9)=0,"-",VLOOKUP($B84,casostestes[#Data],9)),"-")</f>
        <v>-</v>
      </c>
      <c r="K84" s="36"/>
      <c r="L84" s="45"/>
      <c r="M84" s="37"/>
      <c r="N84" s="38"/>
      <c r="O84" s="38"/>
      <c r="P84" s="39"/>
    </row>
    <row r="85" spans="2:16">
      <c r="B85" s="40" t="str">
        <f>IF(ISERR(casostestes[[#This Row],[ID]]),"-",casostestes[[#This Row],[ID]])</f>
        <v>-</v>
      </c>
      <c r="C85" s="34" t="str">
        <f>IFERROR(IF(VLOOKUP($B85,casostestes[#Data],10)=0,"Não",VLOOKUP($B85,casostestes[#Data],10)), "-")</f>
        <v>-</v>
      </c>
      <c r="D85" s="35" t="str">
        <f>IFERROR(IF(VLOOKUP($B85,casostestes[#Data],2)=0,"-",VLOOKUP($B85,casostestes[#Data],2)), "-")</f>
        <v>-</v>
      </c>
      <c r="E85" s="35" t="str">
        <f>IFERROR(IF(VLOOKUP($B85,casostestes[#Data],3)=0,"-",VLOOKUP($B85,casostestes[#Data],3)), "-")</f>
        <v>-</v>
      </c>
      <c r="F85" s="35" t="str">
        <f>IFERROR(IF(VLOOKUP($B85,casostestes[#Data],4)=0,"-",VLOOKUP($B85,casostestes[#Data],4)),"-")</f>
        <v>-</v>
      </c>
      <c r="G85" s="35" t="str">
        <f>IFERROR(IF(VLOOKUP($B85,casostestes[#Data],5)=0,"-",VLOOKUP($B85,casostestes[#Data],5)),"-")</f>
        <v>-</v>
      </c>
      <c r="H85" s="35" t="str">
        <f>IFERROR(IF(VLOOKUP($B85,casostestes[#Data],6)=0,"-",VLOOKUP($B85,casostestes[#Data],6)),"-")</f>
        <v>-</v>
      </c>
      <c r="I85" s="35" t="str">
        <f>IFERROR(IF(VLOOKUP($B85,casostestes[#Data],8)=0,"-",VLOOKUP($B85,casostestes[#Data],8)),"-")</f>
        <v>-</v>
      </c>
      <c r="J85" s="35" t="str">
        <f>IFERROR(IF(VLOOKUP($B85,casostestes[#Data],9)=0,"-",VLOOKUP($B85,casostestes[#Data],9)),"-")</f>
        <v>-</v>
      </c>
      <c r="K85" s="36"/>
      <c r="L85" s="45"/>
      <c r="M85" s="37"/>
      <c r="N85" s="38"/>
      <c r="O85" s="38"/>
      <c r="P85" s="39"/>
    </row>
    <row r="86" spans="2:16">
      <c r="B86" s="40" t="str">
        <f>IF(ISERR(casostestes[[#This Row],[ID]]),"-",casostestes[[#This Row],[ID]])</f>
        <v>-</v>
      </c>
      <c r="C86" s="34" t="str">
        <f>IFERROR(IF(VLOOKUP($B86,casostestes[#Data],10)=0,"Não",VLOOKUP($B86,casostestes[#Data],10)), "-")</f>
        <v>-</v>
      </c>
      <c r="D86" s="35" t="str">
        <f>IFERROR(IF(VLOOKUP($B86,casostestes[#Data],2)=0,"-",VLOOKUP($B86,casostestes[#Data],2)), "-")</f>
        <v>-</v>
      </c>
      <c r="E86" s="35" t="str">
        <f>IFERROR(IF(VLOOKUP($B86,casostestes[#Data],3)=0,"-",VLOOKUP($B86,casostestes[#Data],3)), "-")</f>
        <v>-</v>
      </c>
      <c r="F86" s="35" t="str">
        <f>IFERROR(IF(VLOOKUP($B86,casostestes[#Data],4)=0,"-",VLOOKUP($B86,casostestes[#Data],4)),"-")</f>
        <v>-</v>
      </c>
      <c r="G86" s="35" t="str">
        <f>IFERROR(IF(VLOOKUP($B86,casostestes[#Data],5)=0,"-",VLOOKUP($B86,casostestes[#Data],5)),"-")</f>
        <v>-</v>
      </c>
      <c r="H86" s="35" t="str">
        <f>IFERROR(IF(VLOOKUP($B86,casostestes[#Data],6)=0,"-",VLOOKUP($B86,casostestes[#Data],6)),"-")</f>
        <v>-</v>
      </c>
      <c r="I86" s="35" t="str">
        <f>IFERROR(IF(VLOOKUP($B86,casostestes[#Data],8)=0,"-",VLOOKUP($B86,casostestes[#Data],8)),"-")</f>
        <v>-</v>
      </c>
      <c r="J86" s="35" t="str">
        <f>IFERROR(IF(VLOOKUP($B86,casostestes[#Data],9)=0,"-",VLOOKUP($B86,casostestes[#Data],9)),"-")</f>
        <v>-</v>
      </c>
      <c r="K86" s="36"/>
      <c r="L86" s="45"/>
      <c r="M86" s="37"/>
      <c r="N86" s="38"/>
      <c r="O86" s="38"/>
      <c r="P86" s="39"/>
    </row>
    <row r="87" spans="2:16">
      <c r="B87" s="40" t="str">
        <f>IF(ISERR(casostestes[[#This Row],[ID]]),"-",casostestes[[#This Row],[ID]])</f>
        <v>-</v>
      </c>
      <c r="C87" s="34" t="str">
        <f>IFERROR(IF(VLOOKUP($B87,casostestes[#Data],10)=0,"Não",VLOOKUP($B87,casostestes[#Data],10)), "-")</f>
        <v>-</v>
      </c>
      <c r="D87" s="35" t="str">
        <f>IFERROR(IF(VLOOKUP($B87,casostestes[#Data],2)=0,"-",VLOOKUP($B87,casostestes[#Data],2)), "-")</f>
        <v>-</v>
      </c>
      <c r="E87" s="35" t="str">
        <f>IFERROR(IF(VLOOKUP($B87,casostestes[#Data],3)=0,"-",VLOOKUP($B87,casostestes[#Data],3)), "-")</f>
        <v>-</v>
      </c>
      <c r="F87" s="35" t="str">
        <f>IFERROR(IF(VLOOKUP($B87,casostestes[#Data],4)=0,"-",VLOOKUP($B87,casostestes[#Data],4)),"-")</f>
        <v>-</v>
      </c>
      <c r="G87" s="35" t="str">
        <f>IFERROR(IF(VLOOKUP($B87,casostestes[#Data],5)=0,"-",VLOOKUP($B87,casostestes[#Data],5)),"-")</f>
        <v>-</v>
      </c>
      <c r="H87" s="35" t="str">
        <f>IFERROR(IF(VLOOKUP($B87,casostestes[#Data],6)=0,"-",VLOOKUP($B87,casostestes[#Data],6)),"-")</f>
        <v>-</v>
      </c>
      <c r="I87" s="35" t="str">
        <f>IFERROR(IF(VLOOKUP($B87,casostestes[#Data],8)=0,"-",VLOOKUP($B87,casostestes[#Data],8)),"-")</f>
        <v>-</v>
      </c>
      <c r="J87" s="35" t="str">
        <f>IFERROR(IF(VLOOKUP($B87,casostestes[#Data],9)=0,"-",VLOOKUP($B87,casostestes[#Data],9)),"-")</f>
        <v>-</v>
      </c>
      <c r="K87" s="36"/>
      <c r="L87" s="45"/>
      <c r="M87" s="37"/>
      <c r="N87" s="38"/>
      <c r="O87" s="38"/>
      <c r="P87" s="39"/>
    </row>
    <row r="88" spans="2:16">
      <c r="B88" s="40" t="str">
        <f>IF(ISERR(casostestes[[#This Row],[ID]]),"-",casostestes[[#This Row],[ID]])</f>
        <v>-</v>
      </c>
      <c r="C88" s="34" t="str">
        <f>IFERROR(IF(VLOOKUP($B88,casostestes[#Data],10)=0,"Não",VLOOKUP($B88,casostestes[#Data],10)), "-")</f>
        <v>-</v>
      </c>
      <c r="D88" s="35" t="str">
        <f>IFERROR(IF(VLOOKUP($B88,casostestes[#Data],2)=0,"-",VLOOKUP($B88,casostestes[#Data],2)), "-")</f>
        <v>-</v>
      </c>
      <c r="E88" s="35" t="str">
        <f>IFERROR(IF(VLOOKUP($B88,casostestes[#Data],3)=0,"-",VLOOKUP($B88,casostestes[#Data],3)), "-")</f>
        <v>-</v>
      </c>
      <c r="F88" s="35" t="str">
        <f>IFERROR(IF(VLOOKUP($B88,casostestes[#Data],4)=0,"-",VLOOKUP($B88,casostestes[#Data],4)),"-")</f>
        <v>-</v>
      </c>
      <c r="G88" s="35" t="str">
        <f>IFERROR(IF(VLOOKUP($B88,casostestes[#Data],5)=0,"-",VLOOKUP($B88,casostestes[#Data],5)),"-")</f>
        <v>-</v>
      </c>
      <c r="H88" s="35" t="str">
        <f>IFERROR(IF(VLOOKUP($B88,casostestes[#Data],6)=0,"-",VLOOKUP($B88,casostestes[#Data],6)),"-")</f>
        <v>-</v>
      </c>
      <c r="I88" s="35" t="str">
        <f>IFERROR(IF(VLOOKUP($B88,casostestes[#Data],8)=0,"-",VLOOKUP($B88,casostestes[#Data],8)),"-")</f>
        <v>-</v>
      </c>
      <c r="J88" s="35" t="str">
        <f>IFERROR(IF(VLOOKUP($B88,casostestes[#Data],9)=0,"-",VLOOKUP($B88,casostestes[#Data],9)),"-")</f>
        <v>-</v>
      </c>
      <c r="K88" s="36"/>
      <c r="L88" s="45"/>
      <c r="M88" s="37"/>
      <c r="N88" s="38"/>
      <c r="O88" s="38"/>
      <c r="P88" s="39"/>
    </row>
    <row r="89" spans="2:16">
      <c r="B89" s="40" t="str">
        <f>IF(ISERR(casostestes[[#This Row],[ID]]),"-",casostestes[[#This Row],[ID]])</f>
        <v>-</v>
      </c>
      <c r="C89" s="34" t="str">
        <f>IFERROR(IF(VLOOKUP($B89,casostestes[#Data],10)=0,"Não",VLOOKUP($B89,casostestes[#Data],10)), "-")</f>
        <v>-</v>
      </c>
      <c r="D89" s="35" t="str">
        <f>IFERROR(IF(VLOOKUP($B89,casostestes[#Data],2)=0,"-",VLOOKUP($B89,casostestes[#Data],2)), "-")</f>
        <v>-</v>
      </c>
      <c r="E89" s="35" t="str">
        <f>IFERROR(IF(VLOOKUP($B89,casostestes[#Data],3)=0,"-",VLOOKUP($B89,casostestes[#Data],3)), "-")</f>
        <v>-</v>
      </c>
      <c r="F89" s="35" t="str">
        <f>IFERROR(IF(VLOOKUP($B89,casostestes[#Data],4)=0,"-",VLOOKUP($B89,casostestes[#Data],4)),"-")</f>
        <v>-</v>
      </c>
      <c r="G89" s="35" t="str">
        <f>IFERROR(IF(VLOOKUP($B89,casostestes[#Data],5)=0,"-",VLOOKUP($B89,casostestes[#Data],5)),"-")</f>
        <v>-</v>
      </c>
      <c r="H89" s="35" t="str">
        <f>IFERROR(IF(VLOOKUP($B89,casostestes[#Data],6)=0,"-",VLOOKUP($B89,casostestes[#Data],6)),"-")</f>
        <v>-</v>
      </c>
      <c r="I89" s="35" t="str">
        <f>IFERROR(IF(VLOOKUP($B89,casostestes[#Data],8)=0,"-",VLOOKUP($B89,casostestes[#Data],8)),"-")</f>
        <v>-</v>
      </c>
      <c r="J89" s="35" t="str">
        <f>IFERROR(IF(VLOOKUP($B89,casostestes[#Data],9)=0,"-",VLOOKUP($B89,casostestes[#Data],9)),"-")</f>
        <v>-</v>
      </c>
      <c r="K89" s="36"/>
      <c r="L89" s="45"/>
      <c r="M89" s="37"/>
      <c r="N89" s="38"/>
      <c r="O89" s="38"/>
      <c r="P89" s="39"/>
    </row>
    <row r="90" spans="2:16">
      <c r="B90" s="40" t="str">
        <f>IF(ISERR(casostestes[[#This Row],[ID]]),"-",casostestes[[#This Row],[ID]])</f>
        <v>-</v>
      </c>
      <c r="C90" s="34" t="str">
        <f>IFERROR(IF(VLOOKUP($B90,casostestes[#Data],10)=0,"Não",VLOOKUP($B90,casostestes[#Data],10)), "-")</f>
        <v>-</v>
      </c>
      <c r="D90" s="35" t="str">
        <f>IFERROR(IF(VLOOKUP($B90,casostestes[#Data],2)=0,"-",VLOOKUP($B90,casostestes[#Data],2)), "-")</f>
        <v>-</v>
      </c>
      <c r="E90" s="35" t="str">
        <f>IFERROR(IF(VLOOKUP($B90,casostestes[#Data],3)=0,"-",VLOOKUP($B90,casostestes[#Data],3)), "-")</f>
        <v>-</v>
      </c>
      <c r="F90" s="35" t="str">
        <f>IFERROR(IF(VLOOKUP($B90,casostestes[#Data],4)=0,"-",VLOOKUP($B90,casostestes[#Data],4)),"-")</f>
        <v>-</v>
      </c>
      <c r="G90" s="35" t="str">
        <f>IFERROR(IF(VLOOKUP($B90,casostestes[#Data],5)=0,"-",VLOOKUP($B90,casostestes[#Data],5)),"-")</f>
        <v>-</v>
      </c>
      <c r="H90" s="35" t="str">
        <f>IFERROR(IF(VLOOKUP($B90,casostestes[#Data],6)=0,"-",VLOOKUP($B90,casostestes[#Data],6)),"-")</f>
        <v>-</v>
      </c>
      <c r="I90" s="35" t="str">
        <f>IFERROR(IF(VLOOKUP($B90,casostestes[#Data],8)=0,"-",VLOOKUP($B90,casostestes[#Data],8)),"-")</f>
        <v>-</v>
      </c>
      <c r="J90" s="35" t="str">
        <f>IFERROR(IF(VLOOKUP($B90,casostestes[#Data],9)=0,"-",VLOOKUP($B90,casostestes[#Data],9)),"-")</f>
        <v>-</v>
      </c>
      <c r="K90" s="36"/>
      <c r="L90" s="45"/>
      <c r="M90" s="37"/>
      <c r="N90" s="38"/>
      <c r="O90" s="38"/>
      <c r="P90" s="39"/>
    </row>
    <row r="91" spans="2:16">
      <c r="B91" s="40" t="str">
        <f>IF(ISERR(casostestes[[#This Row],[ID]]),"-",casostestes[[#This Row],[ID]])</f>
        <v>-</v>
      </c>
      <c r="C91" s="34" t="str">
        <f>IFERROR(IF(VLOOKUP($B91,casostestes[#Data],10)=0,"Não",VLOOKUP($B91,casostestes[#Data],10)), "-")</f>
        <v>-</v>
      </c>
      <c r="D91" s="35" t="str">
        <f>IFERROR(IF(VLOOKUP($B91,casostestes[#Data],2)=0,"-",VLOOKUP($B91,casostestes[#Data],2)), "-")</f>
        <v>-</v>
      </c>
      <c r="E91" s="35" t="str">
        <f>IFERROR(IF(VLOOKUP($B91,casostestes[#Data],3)=0,"-",VLOOKUP($B91,casostestes[#Data],3)), "-")</f>
        <v>-</v>
      </c>
      <c r="F91" s="35" t="str">
        <f>IFERROR(IF(VLOOKUP($B91,casostestes[#Data],4)=0,"-",VLOOKUP($B91,casostestes[#Data],4)),"-")</f>
        <v>-</v>
      </c>
      <c r="G91" s="35" t="str">
        <f>IFERROR(IF(VLOOKUP($B91,casostestes[#Data],5)=0,"-",VLOOKUP($B91,casostestes[#Data],5)),"-")</f>
        <v>-</v>
      </c>
      <c r="H91" s="35" t="str">
        <f>IFERROR(IF(VLOOKUP($B91,casostestes[#Data],6)=0,"-",VLOOKUP($B91,casostestes[#Data],6)),"-")</f>
        <v>-</v>
      </c>
      <c r="I91" s="35" t="str">
        <f>IFERROR(IF(VLOOKUP($B91,casostestes[#Data],8)=0,"-",VLOOKUP($B91,casostestes[#Data],8)),"-")</f>
        <v>-</v>
      </c>
      <c r="J91" s="35" t="str">
        <f>IFERROR(IF(VLOOKUP($B91,casostestes[#Data],9)=0,"-",VLOOKUP($B91,casostestes[#Data],9)),"-")</f>
        <v>-</v>
      </c>
      <c r="K91" s="36"/>
      <c r="L91" s="45"/>
      <c r="M91" s="37"/>
      <c r="N91" s="38"/>
      <c r="O91" s="38"/>
      <c r="P91" s="39"/>
    </row>
    <row r="92" spans="2:16">
      <c r="B92" s="40" t="str">
        <f>IF(ISERR(casostestes[[#This Row],[ID]]),"-",casostestes[[#This Row],[ID]])</f>
        <v>-</v>
      </c>
      <c r="C92" s="34" t="str">
        <f>IFERROR(IF(VLOOKUP($B92,casostestes[#Data],10)=0,"Não",VLOOKUP($B92,casostestes[#Data],10)), "-")</f>
        <v>-</v>
      </c>
      <c r="D92" s="35" t="str">
        <f>IFERROR(IF(VLOOKUP($B92,casostestes[#Data],2)=0,"-",VLOOKUP($B92,casostestes[#Data],2)), "-")</f>
        <v>-</v>
      </c>
      <c r="E92" s="35" t="str">
        <f>IFERROR(IF(VLOOKUP($B92,casostestes[#Data],3)=0,"-",VLOOKUP($B92,casostestes[#Data],3)), "-")</f>
        <v>-</v>
      </c>
      <c r="F92" s="35" t="str">
        <f>IFERROR(IF(VLOOKUP($B92,casostestes[#Data],4)=0,"-",VLOOKUP($B92,casostestes[#Data],4)),"-")</f>
        <v>-</v>
      </c>
      <c r="G92" s="35" t="str">
        <f>IFERROR(IF(VLOOKUP($B92,casostestes[#Data],5)=0,"-",VLOOKUP($B92,casostestes[#Data],5)),"-")</f>
        <v>-</v>
      </c>
      <c r="H92" s="35" t="str">
        <f>IFERROR(IF(VLOOKUP($B92,casostestes[#Data],6)=0,"-",VLOOKUP($B92,casostestes[#Data],6)),"-")</f>
        <v>-</v>
      </c>
      <c r="I92" s="35" t="str">
        <f>IFERROR(IF(VLOOKUP($B92,casostestes[#Data],8)=0,"-",VLOOKUP($B92,casostestes[#Data],8)),"-")</f>
        <v>-</v>
      </c>
      <c r="J92" s="35" t="str">
        <f>IFERROR(IF(VLOOKUP($B92,casostestes[#Data],9)=0,"-",VLOOKUP($B92,casostestes[#Data],9)),"-")</f>
        <v>-</v>
      </c>
      <c r="K92" s="36"/>
      <c r="L92" s="45"/>
      <c r="M92" s="37"/>
      <c r="N92" s="38"/>
      <c r="O92" s="38"/>
      <c r="P92" s="39"/>
    </row>
    <row r="93" spans="2:16">
      <c r="B93" s="40" t="str">
        <f>IF(ISERR(casostestes[[#This Row],[ID]]),"-",casostestes[[#This Row],[ID]])</f>
        <v>-</v>
      </c>
      <c r="C93" s="34" t="str">
        <f>IFERROR(IF(VLOOKUP($B93,casostestes[#Data],10)=0,"Não",VLOOKUP($B93,casostestes[#Data],10)), "-")</f>
        <v>-</v>
      </c>
      <c r="D93" s="35" t="str">
        <f>IFERROR(IF(VLOOKUP($B93,casostestes[#Data],2)=0,"-",VLOOKUP($B93,casostestes[#Data],2)), "-")</f>
        <v>-</v>
      </c>
      <c r="E93" s="35" t="str">
        <f>IFERROR(IF(VLOOKUP($B93,casostestes[#Data],3)=0,"-",VLOOKUP($B93,casostestes[#Data],3)), "-")</f>
        <v>-</v>
      </c>
      <c r="F93" s="35" t="str">
        <f>IFERROR(IF(VLOOKUP($B93,casostestes[#Data],4)=0,"-",VLOOKUP($B93,casostestes[#Data],4)),"-")</f>
        <v>-</v>
      </c>
      <c r="G93" s="35" t="str">
        <f>IFERROR(IF(VLOOKUP($B93,casostestes[#Data],5)=0,"-",VLOOKUP($B93,casostestes[#Data],5)),"-")</f>
        <v>-</v>
      </c>
      <c r="H93" s="35" t="str">
        <f>IFERROR(IF(VLOOKUP($B93,casostestes[#Data],6)=0,"-",VLOOKUP($B93,casostestes[#Data],6)),"-")</f>
        <v>-</v>
      </c>
      <c r="I93" s="35" t="str">
        <f>IFERROR(IF(VLOOKUP($B93,casostestes[#Data],8)=0,"-",VLOOKUP($B93,casostestes[#Data],8)),"-")</f>
        <v>-</v>
      </c>
      <c r="J93" s="35" t="str">
        <f>IFERROR(IF(VLOOKUP($B93,casostestes[#Data],9)=0,"-",VLOOKUP($B93,casostestes[#Data],9)),"-")</f>
        <v>-</v>
      </c>
      <c r="K93" s="36"/>
      <c r="L93" s="45"/>
      <c r="M93" s="37"/>
      <c r="N93" s="38"/>
      <c r="O93" s="38"/>
      <c r="P93" s="39"/>
    </row>
    <row r="94" spans="2:16">
      <c r="B94" s="40" t="str">
        <f>IF(ISERR(casostestes[[#This Row],[ID]]),"-",casostestes[[#This Row],[ID]])</f>
        <v>-</v>
      </c>
      <c r="C94" s="34" t="str">
        <f>IFERROR(IF(VLOOKUP($B94,casostestes[#Data],10)=0,"Não",VLOOKUP($B94,casostestes[#Data],10)), "-")</f>
        <v>-</v>
      </c>
      <c r="D94" s="35" t="str">
        <f>IFERROR(IF(VLOOKUP($B94,casostestes[#Data],2)=0,"-",VLOOKUP($B94,casostestes[#Data],2)), "-")</f>
        <v>-</v>
      </c>
      <c r="E94" s="35" t="str">
        <f>IFERROR(IF(VLOOKUP($B94,casostestes[#Data],3)=0,"-",VLOOKUP($B94,casostestes[#Data],3)), "-")</f>
        <v>-</v>
      </c>
      <c r="F94" s="35" t="str">
        <f>IFERROR(IF(VLOOKUP($B94,casostestes[#Data],4)=0,"-",VLOOKUP($B94,casostestes[#Data],4)),"-")</f>
        <v>-</v>
      </c>
      <c r="G94" s="35" t="str">
        <f>IFERROR(IF(VLOOKUP($B94,casostestes[#Data],5)=0,"-",VLOOKUP($B94,casostestes[#Data],5)),"-")</f>
        <v>-</v>
      </c>
      <c r="H94" s="35" t="str">
        <f>IFERROR(IF(VLOOKUP($B94,casostestes[#Data],6)=0,"-",VLOOKUP($B94,casostestes[#Data],6)),"-")</f>
        <v>-</v>
      </c>
      <c r="I94" s="35" t="str">
        <f>IFERROR(IF(VLOOKUP($B94,casostestes[#Data],8)=0,"-",VLOOKUP($B94,casostestes[#Data],8)),"-")</f>
        <v>-</v>
      </c>
      <c r="J94" s="35" t="str">
        <f>IFERROR(IF(VLOOKUP($B94,casostestes[#Data],9)=0,"-",VLOOKUP($B94,casostestes[#Data],9)),"-")</f>
        <v>-</v>
      </c>
      <c r="K94" s="36"/>
      <c r="L94" s="45"/>
      <c r="M94" s="37"/>
      <c r="N94" s="38"/>
      <c r="O94" s="38"/>
      <c r="P94" s="39"/>
    </row>
    <row r="95" spans="2:16">
      <c r="B95" s="40" t="str">
        <f>IF(ISERR(casostestes[[#This Row],[ID]]),"-",casostestes[[#This Row],[ID]])</f>
        <v>-</v>
      </c>
      <c r="C95" s="34" t="str">
        <f>IFERROR(IF(VLOOKUP($B95,casostestes[#Data],10)=0,"Não",VLOOKUP($B95,casostestes[#Data],10)), "-")</f>
        <v>-</v>
      </c>
      <c r="D95" s="35" t="str">
        <f>IFERROR(IF(VLOOKUP($B95,casostestes[#Data],2)=0,"-",VLOOKUP($B95,casostestes[#Data],2)), "-")</f>
        <v>-</v>
      </c>
      <c r="E95" s="35" t="str">
        <f>IFERROR(IF(VLOOKUP($B95,casostestes[#Data],3)=0,"-",VLOOKUP($B95,casostestes[#Data],3)), "-")</f>
        <v>-</v>
      </c>
      <c r="F95" s="35" t="str">
        <f>IFERROR(IF(VLOOKUP($B95,casostestes[#Data],4)=0,"-",VLOOKUP($B95,casostestes[#Data],4)),"-")</f>
        <v>-</v>
      </c>
      <c r="G95" s="35" t="str">
        <f>IFERROR(IF(VLOOKUP($B95,casostestes[#Data],5)=0,"-",VLOOKUP($B95,casostestes[#Data],5)),"-")</f>
        <v>-</v>
      </c>
      <c r="H95" s="35" t="str">
        <f>IFERROR(IF(VLOOKUP($B95,casostestes[#Data],6)=0,"-",VLOOKUP($B95,casostestes[#Data],6)),"-")</f>
        <v>-</v>
      </c>
      <c r="I95" s="35" t="str">
        <f>IFERROR(IF(VLOOKUP($B95,casostestes[#Data],8)=0,"-",VLOOKUP($B95,casostestes[#Data],8)),"-")</f>
        <v>-</v>
      </c>
      <c r="J95" s="35" t="str">
        <f>IFERROR(IF(VLOOKUP($B95,casostestes[#Data],9)=0,"-",VLOOKUP($B95,casostestes[#Data],9)),"-")</f>
        <v>-</v>
      </c>
      <c r="K95" s="36"/>
      <c r="L95" s="45"/>
      <c r="M95" s="37"/>
      <c r="N95" s="38"/>
      <c r="O95" s="38"/>
      <c r="P95" s="39"/>
    </row>
    <row r="96" spans="2:16">
      <c r="B96" s="40" t="str">
        <f>IF(ISERR(casostestes[[#This Row],[ID]]),"-",casostestes[[#This Row],[ID]])</f>
        <v>-</v>
      </c>
      <c r="C96" s="34" t="str">
        <f>IFERROR(IF(VLOOKUP($B96,casostestes[#Data],10)=0,"Não",VLOOKUP($B96,casostestes[#Data],10)), "-")</f>
        <v>-</v>
      </c>
      <c r="D96" s="35" t="str">
        <f>IFERROR(IF(VLOOKUP($B96,casostestes[#Data],2)=0,"-",VLOOKUP($B96,casostestes[#Data],2)), "-")</f>
        <v>-</v>
      </c>
      <c r="E96" s="35" t="str">
        <f>IFERROR(IF(VLOOKUP($B96,casostestes[#Data],3)=0,"-",VLOOKUP($B96,casostestes[#Data],3)), "-")</f>
        <v>-</v>
      </c>
      <c r="F96" s="35" t="str">
        <f>IFERROR(IF(VLOOKUP($B96,casostestes[#Data],4)=0,"-",VLOOKUP($B96,casostestes[#Data],4)),"-")</f>
        <v>-</v>
      </c>
      <c r="G96" s="35" t="str">
        <f>IFERROR(IF(VLOOKUP($B96,casostestes[#Data],5)=0,"-",VLOOKUP($B96,casostestes[#Data],5)),"-")</f>
        <v>-</v>
      </c>
      <c r="H96" s="35" t="str">
        <f>IFERROR(IF(VLOOKUP($B96,casostestes[#Data],6)=0,"-",VLOOKUP($B96,casostestes[#Data],6)),"-")</f>
        <v>-</v>
      </c>
      <c r="I96" s="35" t="str">
        <f>IFERROR(IF(VLOOKUP($B96,casostestes[#Data],8)=0,"-",VLOOKUP($B96,casostestes[#Data],8)),"-")</f>
        <v>-</v>
      </c>
      <c r="J96" s="35" t="str">
        <f>IFERROR(IF(VLOOKUP($B96,casostestes[#Data],9)=0,"-",VLOOKUP($B96,casostestes[#Data],9)),"-")</f>
        <v>-</v>
      </c>
      <c r="K96" s="36"/>
      <c r="L96" s="45"/>
      <c r="M96" s="37"/>
      <c r="N96" s="38"/>
      <c r="O96" s="38"/>
      <c r="P96" s="39"/>
    </row>
    <row r="97" spans="2:16">
      <c r="B97" s="40" t="str">
        <f>IF(ISERR(casostestes[[#This Row],[ID]]),"-",casostestes[[#This Row],[ID]])</f>
        <v>-</v>
      </c>
      <c r="C97" s="34" t="str">
        <f>IFERROR(IF(VLOOKUP($B97,casostestes[#Data],10)=0,"Não",VLOOKUP($B97,casostestes[#Data],10)), "-")</f>
        <v>-</v>
      </c>
      <c r="D97" s="35" t="str">
        <f>IFERROR(IF(VLOOKUP($B97,casostestes[#Data],2)=0,"-",VLOOKUP($B97,casostestes[#Data],2)), "-")</f>
        <v>-</v>
      </c>
      <c r="E97" s="35" t="str">
        <f>IFERROR(IF(VLOOKUP($B97,casostestes[#Data],3)=0,"-",VLOOKUP($B97,casostestes[#Data],3)), "-")</f>
        <v>-</v>
      </c>
      <c r="F97" s="35" t="str">
        <f>IFERROR(IF(VLOOKUP($B97,casostestes[#Data],4)=0,"-",VLOOKUP($B97,casostestes[#Data],4)),"-")</f>
        <v>-</v>
      </c>
      <c r="G97" s="35" t="str">
        <f>IFERROR(IF(VLOOKUP($B97,casostestes[#Data],5)=0,"-",VLOOKUP($B97,casostestes[#Data],5)),"-")</f>
        <v>-</v>
      </c>
      <c r="H97" s="35" t="str">
        <f>IFERROR(IF(VLOOKUP($B97,casostestes[#Data],6)=0,"-",VLOOKUP($B97,casostestes[#Data],6)),"-")</f>
        <v>-</v>
      </c>
      <c r="I97" s="35" t="str">
        <f>IFERROR(IF(VLOOKUP($B97,casostestes[#Data],8)=0,"-",VLOOKUP($B97,casostestes[#Data],8)),"-")</f>
        <v>-</v>
      </c>
      <c r="J97" s="35" t="str">
        <f>IFERROR(IF(VLOOKUP($B97,casostestes[#Data],9)=0,"-",VLOOKUP($B97,casostestes[#Data],9)),"-")</f>
        <v>-</v>
      </c>
      <c r="K97" s="36"/>
      <c r="L97" s="45"/>
      <c r="M97" s="37"/>
      <c r="N97" s="38"/>
      <c r="O97" s="38"/>
      <c r="P97" s="39"/>
    </row>
    <row r="98" spans="2:16">
      <c r="B98" s="40" t="str">
        <f>IF(ISERR(casostestes[[#This Row],[ID]]),"-",casostestes[[#This Row],[ID]])</f>
        <v>-</v>
      </c>
      <c r="C98" s="34" t="str">
        <f>IFERROR(IF(VLOOKUP($B98,casostestes[#Data],10)=0,"Não",VLOOKUP($B98,casostestes[#Data],10)), "-")</f>
        <v>-</v>
      </c>
      <c r="D98" s="35" t="str">
        <f>IFERROR(IF(VLOOKUP($B98,casostestes[#Data],2)=0,"-",VLOOKUP($B98,casostestes[#Data],2)), "-")</f>
        <v>-</v>
      </c>
      <c r="E98" s="35" t="str">
        <f>IFERROR(IF(VLOOKUP($B98,casostestes[#Data],3)=0,"-",VLOOKUP($B98,casostestes[#Data],3)), "-")</f>
        <v>-</v>
      </c>
      <c r="F98" s="35" t="str">
        <f>IFERROR(IF(VLOOKUP($B98,casostestes[#Data],4)=0,"-",VLOOKUP($B98,casostestes[#Data],4)),"-")</f>
        <v>-</v>
      </c>
      <c r="G98" s="35" t="str">
        <f>IFERROR(IF(VLOOKUP($B98,casostestes[#Data],5)=0,"-",VLOOKUP($B98,casostestes[#Data],5)),"-")</f>
        <v>-</v>
      </c>
      <c r="H98" s="35" t="str">
        <f>IFERROR(IF(VLOOKUP($B98,casostestes[#Data],6)=0,"-",VLOOKUP($B98,casostestes[#Data],6)),"-")</f>
        <v>-</v>
      </c>
      <c r="I98" s="35" t="str">
        <f>IFERROR(IF(VLOOKUP($B98,casostestes[#Data],8)=0,"-",VLOOKUP($B98,casostestes[#Data],8)),"-")</f>
        <v>-</v>
      </c>
      <c r="J98" s="35" t="str">
        <f>IFERROR(IF(VLOOKUP($B98,casostestes[#Data],9)=0,"-",VLOOKUP($B98,casostestes[#Data],9)),"-")</f>
        <v>-</v>
      </c>
      <c r="K98" s="36"/>
      <c r="L98" s="45"/>
      <c r="M98" s="37"/>
      <c r="N98" s="38"/>
      <c r="O98" s="38"/>
      <c r="P98" s="39"/>
    </row>
    <row r="99" spans="2:16">
      <c r="B99" s="40" t="str">
        <f>IF(ISERR(casostestes[[#This Row],[ID]]),"-",casostestes[[#This Row],[ID]])</f>
        <v>-</v>
      </c>
      <c r="C99" s="34" t="str">
        <f>IFERROR(IF(VLOOKUP($B99,casostestes[#Data],10)=0,"Não",VLOOKUP($B99,casostestes[#Data],10)), "-")</f>
        <v>-</v>
      </c>
      <c r="D99" s="35" t="str">
        <f>IFERROR(IF(VLOOKUP($B99,casostestes[#Data],2)=0,"-",VLOOKUP($B99,casostestes[#Data],2)), "-")</f>
        <v>-</v>
      </c>
      <c r="E99" s="35" t="str">
        <f>IFERROR(IF(VLOOKUP($B99,casostestes[#Data],3)=0,"-",VLOOKUP($B99,casostestes[#Data],3)), "-")</f>
        <v>-</v>
      </c>
      <c r="F99" s="35" t="str">
        <f>IFERROR(IF(VLOOKUP($B99,casostestes[#Data],4)=0,"-",VLOOKUP($B99,casostestes[#Data],4)),"-")</f>
        <v>-</v>
      </c>
      <c r="G99" s="35" t="str">
        <f>IFERROR(IF(VLOOKUP($B99,casostestes[#Data],5)=0,"-",VLOOKUP($B99,casostestes[#Data],5)),"-")</f>
        <v>-</v>
      </c>
      <c r="H99" s="35" t="str">
        <f>IFERROR(IF(VLOOKUP($B99,casostestes[#Data],6)=0,"-",VLOOKUP($B99,casostestes[#Data],6)),"-")</f>
        <v>-</v>
      </c>
      <c r="I99" s="35" t="str">
        <f>IFERROR(IF(VLOOKUP($B99,casostestes[#Data],8)=0,"-",VLOOKUP($B99,casostestes[#Data],8)),"-")</f>
        <v>-</v>
      </c>
      <c r="J99" s="35" t="str">
        <f>IFERROR(IF(VLOOKUP($B99,casostestes[#Data],9)=0,"-",VLOOKUP($B99,casostestes[#Data],9)),"-")</f>
        <v>-</v>
      </c>
      <c r="K99" s="36"/>
      <c r="L99" s="45"/>
      <c r="M99" s="37"/>
      <c r="N99" s="38"/>
      <c r="O99" s="38"/>
      <c r="P99" s="39"/>
    </row>
    <row r="100" spans="2:16">
      <c r="B100" s="40" t="str">
        <f>IF(ISERR(casostestes[[#This Row],[ID]]),"-",casostestes[[#This Row],[ID]])</f>
        <v>-</v>
      </c>
      <c r="C100" s="41" t="str">
        <f>IFERROR(IF(VLOOKUP($B100,casostestes[#Data],10)=0,"Não",VLOOKUP($B100,casostestes[#Data],10)), "-")</f>
        <v>-</v>
      </c>
      <c r="D100" s="42" t="str">
        <f>IFERROR(IF(VLOOKUP($B100,casostestes[#Data],2)=0,"-",VLOOKUP($B100,casostestes[#Data],2)), "-")</f>
        <v>-</v>
      </c>
      <c r="E100" s="42" t="str">
        <f>IFERROR(IF(VLOOKUP($B100,casostestes[#Data],3)=0,"-",VLOOKUP($B100,casostestes[#Data],3)), "-")</f>
        <v>-</v>
      </c>
      <c r="F100" s="42" t="str">
        <f>IFERROR(IF(VLOOKUP($B100,casostestes[#Data],4)=0,"-",VLOOKUP($B100,casostestes[#Data],4)),"-")</f>
        <v>-</v>
      </c>
      <c r="G100" s="42" t="str">
        <f>IFERROR(IF(VLOOKUP($B100,casostestes[#Data],5)=0,"-",VLOOKUP($B100,casostestes[#Data],5)),"-")</f>
        <v>-</v>
      </c>
      <c r="H100" s="42" t="str">
        <f>IFERROR(IF(VLOOKUP($B100,casostestes[#Data],6)=0,"-",VLOOKUP($B100,casostestes[#Data],6)),"-")</f>
        <v>-</v>
      </c>
      <c r="I100" s="42" t="str">
        <f>IFERROR(IF(VLOOKUP($B100,casostestes[#Data],8)=0,"-",VLOOKUP($B100,casostestes[#Data],8)),"-")</f>
        <v>-</v>
      </c>
      <c r="J100" s="42" t="str">
        <f>IFERROR(IF(VLOOKUP($B100,casostestes[#Data],9)=0,"-",VLOOKUP($B100,casostestes[#Data],9)),"-")</f>
        <v>-</v>
      </c>
      <c r="K100" s="43"/>
      <c r="L100" s="45"/>
      <c r="M100" s="44"/>
      <c r="N100" s="45"/>
      <c r="O100" s="45"/>
      <c r="P100" s="46"/>
    </row>
    <row r="101" spans="2:16">
      <c r="B101" s="40" t="str">
        <f>IF(ISERR(casostestes[[#This Row],[ID]]),"-",casostestes[[#This Row],[ID]])</f>
        <v>-</v>
      </c>
      <c r="C101" s="34" t="str">
        <f>IFERROR(IF(VLOOKUP($B101,casostestes[#Data],10)=0,"Não",VLOOKUP($B101,casostestes[#Data],10)), "-")</f>
        <v>-</v>
      </c>
      <c r="D101" s="35" t="str">
        <f>IFERROR(IF(VLOOKUP($B101,casostestes[#Data],2)=0,"-",VLOOKUP($B101,casostestes[#Data],2)), "-")</f>
        <v>-</v>
      </c>
      <c r="E101" s="35" t="str">
        <f>IFERROR(IF(VLOOKUP($B101,casostestes[#Data],3)=0,"-",VLOOKUP($B101,casostestes[#Data],3)), "-")</f>
        <v>-</v>
      </c>
      <c r="F101" s="35" t="str">
        <f>IFERROR(IF(VLOOKUP($B101,casostestes[#Data],4)=0,"-",VLOOKUP($B101,casostestes[#Data],4)),"-")</f>
        <v>-</v>
      </c>
      <c r="G101" s="35" t="str">
        <f>IFERROR(IF(VLOOKUP($B101,casostestes[#Data],5)=0,"-",VLOOKUP($B101,casostestes[#Data],5)),"-")</f>
        <v>-</v>
      </c>
      <c r="H101" s="35" t="str">
        <f>IFERROR(IF(VLOOKUP($B101,casostestes[#Data],6)=0,"-",VLOOKUP($B101,casostestes[#Data],6)),"-")</f>
        <v>-</v>
      </c>
      <c r="I101" s="35" t="str">
        <f>IFERROR(IF(VLOOKUP($B101,casostestes[#Data],8)=0,"-",VLOOKUP($B101,casostestes[#Data],8)),"-")</f>
        <v>-</v>
      </c>
      <c r="J101" s="35" t="str">
        <f>IFERROR(IF(VLOOKUP($B101,casostestes[#Data],9)=0,"-",VLOOKUP($B101,casostestes[#Data],9)),"-")</f>
        <v>-</v>
      </c>
      <c r="K101" s="36"/>
      <c r="L101" s="45"/>
      <c r="M101" s="37"/>
      <c r="N101" s="38"/>
      <c r="O101" s="38"/>
      <c r="P101" s="39"/>
    </row>
    <row r="102" spans="2:16">
      <c r="B102" s="40" t="str">
        <f>IF(ISERR(casostestes[[#This Row],[ID]]),"-",casostestes[[#This Row],[ID]])</f>
        <v>-</v>
      </c>
      <c r="C102" s="34" t="str">
        <f>IFERROR(IF(VLOOKUP($B102,casostestes[#Data],10)=0,"Não",VLOOKUP($B102,casostestes[#Data],10)), "-")</f>
        <v>-</v>
      </c>
      <c r="D102" s="35" t="str">
        <f>IFERROR(IF(VLOOKUP($B102,casostestes[#Data],2)=0,"-",VLOOKUP($B102,casostestes[#Data],2)), "-")</f>
        <v>-</v>
      </c>
      <c r="E102" s="35" t="str">
        <f>IFERROR(IF(VLOOKUP($B102,casostestes[#Data],3)=0,"-",VLOOKUP($B102,casostestes[#Data],3)), "-")</f>
        <v>-</v>
      </c>
      <c r="F102" s="35" t="str">
        <f>IFERROR(IF(VLOOKUP($B102,casostestes[#Data],4)=0,"-",VLOOKUP($B102,casostestes[#Data],4)),"-")</f>
        <v>-</v>
      </c>
      <c r="G102" s="35" t="str">
        <f>IFERROR(IF(VLOOKUP($B102,casostestes[#Data],5)=0,"-",VLOOKUP($B102,casostestes[#Data],5)),"-")</f>
        <v>-</v>
      </c>
      <c r="H102" s="35" t="str">
        <f>IFERROR(IF(VLOOKUP($B102,casostestes[#Data],6)=0,"-",VLOOKUP($B102,casostestes[#Data],6)),"-")</f>
        <v>-</v>
      </c>
      <c r="I102" s="35" t="str">
        <f>IFERROR(IF(VLOOKUP($B102,casostestes[#Data],8)=0,"-",VLOOKUP($B102,casostestes[#Data],8)),"-")</f>
        <v>-</v>
      </c>
      <c r="J102" s="35" t="str">
        <f>IFERROR(IF(VLOOKUP($B102,casostestes[#Data],9)=0,"-",VLOOKUP($B102,casostestes[#Data],9)),"-")</f>
        <v>-</v>
      </c>
      <c r="K102" s="36"/>
      <c r="L102" s="45"/>
      <c r="M102" s="37"/>
      <c r="N102" s="38"/>
      <c r="O102" s="38"/>
      <c r="P102" s="39"/>
    </row>
    <row r="103" spans="2:16">
      <c r="B103" s="40" t="str">
        <f>IF(ISERR(casostestes[[#This Row],[ID]]),"-",casostestes[[#This Row],[ID]])</f>
        <v>-</v>
      </c>
      <c r="C103" s="34" t="str">
        <f>IFERROR(IF(VLOOKUP($B103,casostestes[#Data],10)=0,"Não",VLOOKUP($B103,casostestes[#Data],10)), "-")</f>
        <v>-</v>
      </c>
      <c r="D103" s="35" t="str">
        <f>IFERROR(IF(VLOOKUP($B103,casostestes[#Data],2)=0,"-",VLOOKUP($B103,casostestes[#Data],2)), "-")</f>
        <v>-</v>
      </c>
      <c r="E103" s="35" t="str">
        <f>IFERROR(IF(VLOOKUP($B103,casostestes[#Data],3)=0,"-",VLOOKUP($B103,casostestes[#Data],3)), "-")</f>
        <v>-</v>
      </c>
      <c r="F103" s="35" t="str">
        <f>IFERROR(IF(VLOOKUP($B103,casostestes[#Data],4)=0,"-",VLOOKUP($B103,casostestes[#Data],4)),"-")</f>
        <v>-</v>
      </c>
      <c r="G103" s="35" t="str">
        <f>IFERROR(IF(VLOOKUP($B103,casostestes[#Data],5)=0,"-",VLOOKUP($B103,casostestes[#Data],5)),"-")</f>
        <v>-</v>
      </c>
      <c r="H103" s="35" t="str">
        <f>IFERROR(IF(VLOOKUP($B103,casostestes[#Data],6)=0,"-",VLOOKUP($B103,casostestes[#Data],6)),"-")</f>
        <v>-</v>
      </c>
      <c r="I103" s="35" t="str">
        <f>IFERROR(IF(VLOOKUP($B103,casostestes[#Data],8)=0,"-",VLOOKUP($B103,casostestes[#Data],8)),"-")</f>
        <v>-</v>
      </c>
      <c r="J103" s="35" t="str">
        <f>IFERROR(IF(VLOOKUP($B103,casostestes[#Data],9)=0,"-",VLOOKUP($B103,casostestes[#Data],9)),"-")</f>
        <v>-</v>
      </c>
      <c r="K103" s="36"/>
      <c r="L103" s="45"/>
      <c r="M103" s="37"/>
      <c r="N103" s="38"/>
      <c r="O103" s="38"/>
      <c r="P103" s="39"/>
    </row>
    <row r="104" spans="2:16">
      <c r="B104" s="40" t="str">
        <f>IF(ISERR(casostestes[[#This Row],[ID]]),"-",casostestes[[#This Row],[ID]])</f>
        <v>-</v>
      </c>
      <c r="C104" s="34" t="str">
        <f>IFERROR(IF(VLOOKUP($B104,casostestes[#Data],10)=0,"Não",VLOOKUP($B104,casostestes[#Data],10)), "-")</f>
        <v>-</v>
      </c>
      <c r="D104" s="35" t="str">
        <f>IFERROR(IF(VLOOKUP($B104,casostestes[#Data],2)=0,"-",VLOOKUP($B104,casostestes[#Data],2)), "-")</f>
        <v>-</v>
      </c>
      <c r="E104" s="35" t="str">
        <f>IFERROR(IF(VLOOKUP($B104,casostestes[#Data],3)=0,"-",VLOOKUP($B104,casostestes[#Data],3)), "-")</f>
        <v>-</v>
      </c>
      <c r="F104" s="35" t="str">
        <f>IFERROR(IF(VLOOKUP($B104,casostestes[#Data],4)=0,"-",VLOOKUP($B104,casostestes[#Data],4)),"-")</f>
        <v>-</v>
      </c>
      <c r="G104" s="35" t="str">
        <f>IFERROR(IF(VLOOKUP($B104,casostestes[#Data],5)=0,"-",VLOOKUP($B104,casostestes[#Data],5)),"-")</f>
        <v>-</v>
      </c>
      <c r="H104" s="35" t="str">
        <f>IFERROR(IF(VLOOKUP($B104,casostestes[#Data],6)=0,"-",VLOOKUP($B104,casostestes[#Data],6)),"-")</f>
        <v>-</v>
      </c>
      <c r="I104" s="35" t="str">
        <f>IFERROR(IF(VLOOKUP($B104,casostestes[#Data],8)=0,"-",VLOOKUP($B104,casostestes[#Data],8)),"-")</f>
        <v>-</v>
      </c>
      <c r="J104" s="35" t="str">
        <f>IFERROR(IF(VLOOKUP($B104,casostestes[#Data],9)=0,"-",VLOOKUP($B104,casostestes[#Data],9)),"-")</f>
        <v>-</v>
      </c>
      <c r="K104" s="36"/>
      <c r="L104" s="45"/>
      <c r="M104" s="37"/>
      <c r="N104" s="38"/>
      <c r="O104" s="38"/>
      <c r="P104" s="39"/>
    </row>
    <row r="105" spans="2:16">
      <c r="B105" s="40" t="str">
        <f>IF(ISERR(casostestes[[#This Row],[ID]]),"-",casostestes[[#This Row],[ID]])</f>
        <v>-</v>
      </c>
      <c r="C105" s="34" t="str">
        <f>IFERROR(IF(VLOOKUP($B105,casostestes[#Data],10)=0,"Não",VLOOKUP($B105,casostestes[#Data],10)), "-")</f>
        <v>-</v>
      </c>
      <c r="D105" s="35" t="str">
        <f>IFERROR(IF(VLOOKUP($B105,casostestes[#Data],2)=0,"-",VLOOKUP($B105,casostestes[#Data],2)), "-")</f>
        <v>-</v>
      </c>
      <c r="E105" s="35" t="str">
        <f>IFERROR(IF(VLOOKUP($B105,casostestes[#Data],3)=0,"-",VLOOKUP($B105,casostestes[#Data],3)), "-")</f>
        <v>-</v>
      </c>
      <c r="F105" s="35" t="str">
        <f>IFERROR(IF(VLOOKUP($B105,casostestes[#Data],4)=0,"-",VLOOKUP($B105,casostestes[#Data],4)),"-")</f>
        <v>-</v>
      </c>
      <c r="G105" s="35" t="str">
        <f>IFERROR(IF(VLOOKUP($B105,casostestes[#Data],5)=0,"-",VLOOKUP($B105,casostestes[#Data],5)),"-")</f>
        <v>-</v>
      </c>
      <c r="H105" s="35" t="str">
        <f>IFERROR(IF(VLOOKUP($B105,casostestes[#Data],6)=0,"-",VLOOKUP($B105,casostestes[#Data],6)),"-")</f>
        <v>-</v>
      </c>
      <c r="I105" s="35" t="str">
        <f>IFERROR(IF(VLOOKUP($B105,casostestes[#Data],8)=0,"-",VLOOKUP($B105,casostestes[#Data],8)),"-")</f>
        <v>-</v>
      </c>
      <c r="J105" s="35" t="str">
        <f>IFERROR(IF(VLOOKUP($B105,casostestes[#Data],9)=0,"-",VLOOKUP($B105,casostestes[#Data],9)),"-")</f>
        <v>-</v>
      </c>
      <c r="K105" s="36"/>
      <c r="L105" s="45"/>
      <c r="M105" s="37"/>
      <c r="N105" s="38"/>
      <c r="O105" s="38"/>
      <c r="P105" s="39"/>
    </row>
    <row r="106" spans="2:16">
      <c r="B106" s="40" t="str">
        <f>IF(ISERR(casostestes[[#This Row],[ID]]),"-",casostestes[[#This Row],[ID]])</f>
        <v>-</v>
      </c>
      <c r="C106" s="34" t="str">
        <f>IFERROR(IF(VLOOKUP($B106,casostestes[#Data],10)=0,"Não",VLOOKUP($B106,casostestes[#Data],10)), "-")</f>
        <v>-</v>
      </c>
      <c r="D106" s="35" t="str">
        <f>IFERROR(IF(VLOOKUP($B106,casostestes[#Data],2)=0,"-",VLOOKUP($B106,casostestes[#Data],2)), "-")</f>
        <v>-</v>
      </c>
      <c r="E106" s="35" t="str">
        <f>IFERROR(IF(VLOOKUP($B106,casostestes[#Data],3)=0,"-",VLOOKUP($B106,casostestes[#Data],3)), "-")</f>
        <v>-</v>
      </c>
      <c r="F106" s="35" t="str">
        <f>IFERROR(IF(VLOOKUP($B106,casostestes[#Data],4)=0,"-",VLOOKUP($B106,casostestes[#Data],4)),"-")</f>
        <v>-</v>
      </c>
      <c r="G106" s="35" t="str">
        <f>IFERROR(IF(VLOOKUP($B106,casostestes[#Data],5)=0,"-",VLOOKUP($B106,casostestes[#Data],5)),"-")</f>
        <v>-</v>
      </c>
      <c r="H106" s="35" t="str">
        <f>IFERROR(IF(VLOOKUP($B106,casostestes[#Data],6)=0,"-",VLOOKUP($B106,casostestes[#Data],6)),"-")</f>
        <v>-</v>
      </c>
      <c r="I106" s="35" t="str">
        <f>IFERROR(IF(VLOOKUP($B106,casostestes[#Data],8)=0,"-",VLOOKUP($B106,casostestes[#Data],8)),"-")</f>
        <v>-</v>
      </c>
      <c r="J106" s="35" t="str">
        <f>IFERROR(IF(VLOOKUP($B106,casostestes[#Data],9)=0,"-",VLOOKUP($B106,casostestes[#Data],9)),"-")</f>
        <v>-</v>
      </c>
      <c r="K106" s="36"/>
      <c r="L106" s="45"/>
      <c r="M106" s="37"/>
      <c r="N106" s="38"/>
      <c r="O106" s="38"/>
      <c r="P106" s="39"/>
    </row>
    <row r="107" spans="2:16">
      <c r="B107" s="40" t="str">
        <f>IF(ISERR(casostestes[[#This Row],[ID]]),"-",casostestes[[#This Row],[ID]])</f>
        <v>-</v>
      </c>
      <c r="C107" s="34" t="str">
        <f>IFERROR(IF(VLOOKUP($B107,casostestes[#Data],10)=0,"Não",VLOOKUP($B107,casostestes[#Data],10)), "-")</f>
        <v>-</v>
      </c>
      <c r="D107" s="35" t="str">
        <f>IFERROR(IF(VLOOKUP($B107,casostestes[#Data],2)=0,"-",VLOOKUP($B107,casostestes[#Data],2)), "-")</f>
        <v>-</v>
      </c>
      <c r="E107" s="35" t="str">
        <f>IFERROR(IF(VLOOKUP($B107,casostestes[#Data],3)=0,"-",VLOOKUP($B107,casostestes[#Data],3)), "-")</f>
        <v>-</v>
      </c>
      <c r="F107" s="35" t="str">
        <f>IFERROR(IF(VLOOKUP($B107,casostestes[#Data],4)=0,"-",VLOOKUP($B107,casostestes[#Data],4)),"-")</f>
        <v>-</v>
      </c>
      <c r="G107" s="35" t="str">
        <f>IFERROR(IF(VLOOKUP($B107,casostestes[#Data],5)=0,"-",VLOOKUP($B107,casostestes[#Data],5)),"-")</f>
        <v>-</v>
      </c>
      <c r="H107" s="35" t="str">
        <f>IFERROR(IF(VLOOKUP($B107,casostestes[#Data],6)=0,"-",VLOOKUP($B107,casostestes[#Data],6)),"-")</f>
        <v>-</v>
      </c>
      <c r="I107" s="35" t="str">
        <f>IFERROR(IF(VLOOKUP($B107,casostestes[#Data],8)=0,"-",VLOOKUP($B107,casostestes[#Data],8)),"-")</f>
        <v>-</v>
      </c>
      <c r="J107" s="35" t="str">
        <f>IFERROR(IF(VLOOKUP($B107,casostestes[#Data],9)=0,"-",VLOOKUP($B107,casostestes[#Data],9)),"-")</f>
        <v>-</v>
      </c>
      <c r="K107" s="36"/>
      <c r="L107" s="45"/>
      <c r="M107" s="37"/>
      <c r="N107" s="38"/>
      <c r="O107" s="38"/>
      <c r="P107" s="39"/>
    </row>
    <row r="108" spans="2:16">
      <c r="B108" s="40" t="str">
        <f>IF(ISERR(casostestes[[#This Row],[ID]]),"-",casostestes[[#This Row],[ID]])</f>
        <v>-</v>
      </c>
      <c r="C108" s="34" t="str">
        <f>IFERROR(IF(VLOOKUP($B108,casostestes[#Data],10)=0,"Não",VLOOKUP($B108,casostestes[#Data],10)), "-")</f>
        <v>-</v>
      </c>
      <c r="D108" s="35" t="str">
        <f>IFERROR(IF(VLOOKUP($B108,casostestes[#Data],2)=0,"-",VLOOKUP($B108,casostestes[#Data],2)), "-")</f>
        <v>-</v>
      </c>
      <c r="E108" s="35" t="str">
        <f>IFERROR(IF(VLOOKUP($B108,casostestes[#Data],3)=0,"-",VLOOKUP($B108,casostestes[#Data],3)), "-")</f>
        <v>-</v>
      </c>
      <c r="F108" s="35" t="str">
        <f>IFERROR(IF(VLOOKUP($B108,casostestes[#Data],4)=0,"-",VLOOKUP($B108,casostestes[#Data],4)),"-")</f>
        <v>-</v>
      </c>
      <c r="G108" s="35" t="str">
        <f>IFERROR(IF(VLOOKUP($B108,casostestes[#Data],5)=0,"-",VLOOKUP($B108,casostestes[#Data],5)),"-")</f>
        <v>-</v>
      </c>
      <c r="H108" s="35" t="str">
        <f>IFERROR(IF(VLOOKUP($B108,casostestes[#Data],6)=0,"-",VLOOKUP($B108,casostestes[#Data],6)),"-")</f>
        <v>-</v>
      </c>
      <c r="I108" s="35" t="str">
        <f>IFERROR(IF(VLOOKUP($B108,casostestes[#Data],8)=0,"-",VLOOKUP($B108,casostestes[#Data],8)),"-")</f>
        <v>-</v>
      </c>
      <c r="J108" s="35" t="str">
        <f>IFERROR(IF(VLOOKUP($B108,casostestes[#Data],9)=0,"-",VLOOKUP($B108,casostestes[#Data],9)),"-")</f>
        <v>-</v>
      </c>
      <c r="K108" s="36"/>
      <c r="L108" s="45"/>
      <c r="M108" s="37"/>
      <c r="N108" s="38"/>
      <c r="O108" s="38"/>
      <c r="P108" s="39"/>
    </row>
    <row r="109" spans="2:16">
      <c r="B109" s="40" t="str">
        <f>IF(ISERR(casostestes[[#This Row],[ID]]),"-",casostestes[[#This Row],[ID]])</f>
        <v>-</v>
      </c>
      <c r="C109" s="34" t="str">
        <f>IFERROR(IF(VLOOKUP($B109,casostestes[#Data],10)=0,"Não",VLOOKUP($B109,casostestes[#Data],10)), "-")</f>
        <v>-</v>
      </c>
      <c r="D109" s="35" t="str">
        <f>IFERROR(IF(VLOOKUP($B109,casostestes[#Data],2)=0,"-",VLOOKUP($B109,casostestes[#Data],2)), "-")</f>
        <v>-</v>
      </c>
      <c r="E109" s="35" t="str">
        <f>IFERROR(IF(VLOOKUP($B109,casostestes[#Data],3)=0,"-",VLOOKUP($B109,casostestes[#Data],3)), "-")</f>
        <v>-</v>
      </c>
      <c r="F109" s="35" t="str">
        <f>IFERROR(IF(VLOOKUP($B109,casostestes[#Data],4)=0,"-",VLOOKUP($B109,casostestes[#Data],4)),"-")</f>
        <v>-</v>
      </c>
      <c r="G109" s="35" t="str">
        <f>IFERROR(IF(VLOOKUP($B109,casostestes[#Data],5)=0,"-",VLOOKUP($B109,casostestes[#Data],5)),"-")</f>
        <v>-</v>
      </c>
      <c r="H109" s="35" t="str">
        <f>IFERROR(IF(VLOOKUP($B109,casostestes[#Data],6)=0,"-",VLOOKUP($B109,casostestes[#Data],6)),"-")</f>
        <v>-</v>
      </c>
      <c r="I109" s="35" t="str">
        <f>IFERROR(IF(VLOOKUP($B109,casostestes[#Data],8)=0,"-",VLOOKUP($B109,casostestes[#Data],8)),"-")</f>
        <v>-</v>
      </c>
      <c r="J109" s="35" t="str">
        <f>IFERROR(IF(VLOOKUP($B109,casostestes[#Data],9)=0,"-",VLOOKUP($B109,casostestes[#Data],9)),"-")</f>
        <v>-</v>
      </c>
      <c r="K109" s="36"/>
      <c r="L109" s="45"/>
      <c r="M109" s="37"/>
      <c r="N109" s="38"/>
      <c r="O109" s="38"/>
      <c r="P109" s="39"/>
    </row>
    <row r="110" spans="2:16">
      <c r="B110" s="40" t="str">
        <f>IF(ISERR(casostestes[[#This Row],[ID]]),"-",casostestes[[#This Row],[ID]])</f>
        <v>-</v>
      </c>
      <c r="C110" s="34" t="str">
        <f>IFERROR(IF(VLOOKUP($B110,casostestes[#Data],10)=0,"Não",VLOOKUP($B110,casostestes[#Data],10)), "-")</f>
        <v>-</v>
      </c>
      <c r="D110" s="35" t="str">
        <f>IFERROR(IF(VLOOKUP($B110,casostestes[#Data],2)=0,"-",VLOOKUP($B110,casostestes[#Data],2)), "-")</f>
        <v>-</v>
      </c>
      <c r="E110" s="35" t="str">
        <f>IFERROR(IF(VLOOKUP($B110,casostestes[#Data],3)=0,"-",VLOOKUP($B110,casostestes[#Data],3)), "-")</f>
        <v>-</v>
      </c>
      <c r="F110" s="35" t="str">
        <f>IFERROR(IF(VLOOKUP($B110,casostestes[#Data],4)=0,"-",VLOOKUP($B110,casostestes[#Data],4)),"-")</f>
        <v>-</v>
      </c>
      <c r="G110" s="35" t="str">
        <f>IFERROR(IF(VLOOKUP($B110,casostestes[#Data],5)=0,"-",VLOOKUP($B110,casostestes[#Data],5)),"-")</f>
        <v>-</v>
      </c>
      <c r="H110" s="35" t="str">
        <f>IFERROR(IF(VLOOKUP($B110,casostestes[#Data],6)=0,"-",VLOOKUP($B110,casostestes[#Data],6)),"-")</f>
        <v>-</v>
      </c>
      <c r="I110" s="35" t="str">
        <f>IFERROR(IF(VLOOKUP($B110,casostestes[#Data],8)=0,"-",VLOOKUP($B110,casostestes[#Data],8)),"-")</f>
        <v>-</v>
      </c>
      <c r="J110" s="35" t="str">
        <f>IFERROR(IF(VLOOKUP($B110,casostestes[#Data],9)=0,"-",VLOOKUP($B110,casostestes[#Data],9)),"-")</f>
        <v>-</v>
      </c>
      <c r="K110" s="36"/>
      <c r="L110" s="45"/>
      <c r="M110" s="37"/>
      <c r="N110" s="38"/>
      <c r="O110" s="38"/>
      <c r="P110" s="39"/>
    </row>
    <row r="111" spans="2:16">
      <c r="B111" s="40" t="str">
        <f>IF(ISERR(casostestes[[#This Row],[ID]]),"-",casostestes[[#This Row],[ID]])</f>
        <v>-</v>
      </c>
      <c r="C111" s="34" t="str">
        <f>IFERROR(IF(VLOOKUP($B111,casostestes[#Data],10)=0,"Não",VLOOKUP($B111,casostestes[#Data],10)), "-")</f>
        <v>-</v>
      </c>
      <c r="D111" s="35" t="str">
        <f>IFERROR(IF(VLOOKUP($B111,casostestes[#Data],2)=0,"-",VLOOKUP($B111,casostestes[#Data],2)), "-")</f>
        <v>-</v>
      </c>
      <c r="E111" s="35" t="str">
        <f>IFERROR(IF(VLOOKUP($B111,casostestes[#Data],3)=0,"-",VLOOKUP($B111,casostestes[#Data],3)), "-")</f>
        <v>-</v>
      </c>
      <c r="F111" s="35" t="str">
        <f>IFERROR(IF(VLOOKUP($B111,casostestes[#Data],4)=0,"-",VLOOKUP($B111,casostestes[#Data],4)),"-")</f>
        <v>-</v>
      </c>
      <c r="G111" s="35" t="str">
        <f>IFERROR(IF(VLOOKUP($B111,casostestes[#Data],5)=0,"-",VLOOKUP($B111,casostestes[#Data],5)),"-")</f>
        <v>-</v>
      </c>
      <c r="H111" s="35" t="str">
        <f>IFERROR(IF(VLOOKUP($B111,casostestes[#Data],6)=0,"-",VLOOKUP($B111,casostestes[#Data],6)),"-")</f>
        <v>-</v>
      </c>
      <c r="I111" s="35" t="str">
        <f>IFERROR(IF(VLOOKUP($B111,casostestes[#Data],8)=0,"-",VLOOKUP($B111,casostestes[#Data],8)),"-")</f>
        <v>-</v>
      </c>
      <c r="J111" s="35" t="str">
        <f>IFERROR(IF(VLOOKUP($B111,casostestes[#Data],9)=0,"-",VLOOKUP($B111,casostestes[#Data],9)),"-")</f>
        <v>-</v>
      </c>
      <c r="K111" s="36"/>
      <c r="L111" s="45"/>
      <c r="M111" s="37"/>
      <c r="N111" s="38"/>
      <c r="O111" s="38"/>
      <c r="P111" s="39"/>
    </row>
    <row r="112" spans="2:16">
      <c r="B112" s="40" t="str">
        <f>IF(ISERR(casostestes[[#This Row],[ID]]),"-",casostestes[[#This Row],[ID]])</f>
        <v>-</v>
      </c>
      <c r="C112" s="34" t="str">
        <f>IFERROR(IF(VLOOKUP($B112,casostestes[#Data],10)=0,"Não",VLOOKUP($B112,casostestes[#Data],10)), "-")</f>
        <v>-</v>
      </c>
      <c r="D112" s="35" t="str">
        <f>IFERROR(IF(VLOOKUP($B112,casostestes[#Data],2)=0,"-",VLOOKUP($B112,casostestes[#Data],2)), "-")</f>
        <v>-</v>
      </c>
      <c r="E112" s="35" t="str">
        <f>IFERROR(IF(VLOOKUP($B112,casostestes[#Data],3)=0,"-",VLOOKUP($B112,casostestes[#Data],3)), "-")</f>
        <v>-</v>
      </c>
      <c r="F112" s="35" t="str">
        <f>IFERROR(IF(VLOOKUP($B112,casostestes[#Data],4)=0,"-",VLOOKUP($B112,casostestes[#Data],4)),"-")</f>
        <v>-</v>
      </c>
      <c r="G112" s="35" t="str">
        <f>IFERROR(IF(VLOOKUP($B112,casostestes[#Data],5)=0,"-",VLOOKUP($B112,casostestes[#Data],5)),"-")</f>
        <v>-</v>
      </c>
      <c r="H112" s="35" t="str">
        <f>IFERROR(IF(VLOOKUP($B112,casostestes[#Data],6)=0,"-",VLOOKUP($B112,casostestes[#Data],6)),"-")</f>
        <v>-</v>
      </c>
      <c r="I112" s="35" t="str">
        <f>IFERROR(IF(VLOOKUP($B112,casostestes[#Data],8)=0,"-",VLOOKUP($B112,casostestes[#Data],8)),"-")</f>
        <v>-</v>
      </c>
      <c r="J112" s="35" t="str">
        <f>IFERROR(IF(VLOOKUP($B112,casostestes[#Data],9)=0,"-",VLOOKUP($B112,casostestes[#Data],9)),"-")</f>
        <v>-</v>
      </c>
      <c r="K112" s="36"/>
      <c r="L112" s="45"/>
      <c r="M112" s="37"/>
      <c r="N112" s="38"/>
      <c r="O112" s="38"/>
      <c r="P112" s="39"/>
    </row>
    <row r="113" spans="2:16">
      <c r="B113" s="40" t="str">
        <f>IF(ISERR(casostestes[[#This Row],[ID]]),"-",casostestes[[#This Row],[ID]])</f>
        <v>-</v>
      </c>
      <c r="C113" s="34" t="str">
        <f>IFERROR(IF(VLOOKUP($B113,casostestes[#Data],10)=0,"Não",VLOOKUP($B113,casostestes[#Data],10)), "-")</f>
        <v>-</v>
      </c>
      <c r="D113" s="35" t="str">
        <f>IFERROR(IF(VLOOKUP($B113,casostestes[#Data],2)=0,"-",VLOOKUP($B113,casostestes[#Data],2)), "-")</f>
        <v>-</v>
      </c>
      <c r="E113" s="35" t="str">
        <f>IFERROR(IF(VLOOKUP($B113,casostestes[#Data],3)=0,"-",VLOOKUP($B113,casostestes[#Data],3)), "-")</f>
        <v>-</v>
      </c>
      <c r="F113" s="35" t="str">
        <f>IFERROR(IF(VLOOKUP($B113,casostestes[#Data],4)=0,"-",VLOOKUP($B113,casostestes[#Data],4)),"-")</f>
        <v>-</v>
      </c>
      <c r="G113" s="35" t="str">
        <f>IFERROR(IF(VLOOKUP($B113,casostestes[#Data],5)=0,"-",VLOOKUP($B113,casostestes[#Data],5)),"-")</f>
        <v>-</v>
      </c>
      <c r="H113" s="35" t="str">
        <f>IFERROR(IF(VLOOKUP($B113,casostestes[#Data],6)=0,"-",VLOOKUP($B113,casostestes[#Data],6)),"-")</f>
        <v>-</v>
      </c>
      <c r="I113" s="35" t="str">
        <f>IFERROR(IF(VLOOKUP($B113,casostestes[#Data],8)=0,"-",VLOOKUP($B113,casostestes[#Data],8)),"-")</f>
        <v>-</v>
      </c>
      <c r="J113" s="35" t="str">
        <f>IFERROR(IF(VLOOKUP($B113,casostestes[#Data],9)=0,"-",VLOOKUP($B113,casostestes[#Data],9)),"-")</f>
        <v>-</v>
      </c>
      <c r="K113" s="36"/>
      <c r="L113" s="45"/>
      <c r="M113" s="37"/>
      <c r="N113" s="38"/>
      <c r="O113" s="38"/>
      <c r="P113" s="39"/>
    </row>
    <row r="114" spans="2:16">
      <c r="B114" s="40" t="str">
        <f>IF(ISERR(casostestes[[#This Row],[ID]]),"-",casostestes[[#This Row],[ID]])</f>
        <v>-</v>
      </c>
      <c r="C114" s="34" t="str">
        <f>IFERROR(IF(VLOOKUP($B114,casostestes[#Data],10)=0,"Não",VLOOKUP($B114,casostestes[#Data],10)), "-")</f>
        <v>-</v>
      </c>
      <c r="D114" s="35" t="str">
        <f>IFERROR(IF(VLOOKUP($B114,casostestes[#Data],2)=0,"-",VLOOKUP($B114,casostestes[#Data],2)), "-")</f>
        <v>-</v>
      </c>
      <c r="E114" s="35" t="str">
        <f>IFERROR(IF(VLOOKUP($B114,casostestes[#Data],3)=0,"-",VLOOKUP($B114,casostestes[#Data],3)), "-")</f>
        <v>-</v>
      </c>
      <c r="F114" s="35" t="str">
        <f>IFERROR(IF(VLOOKUP($B114,casostestes[#Data],4)=0,"-",VLOOKUP($B114,casostestes[#Data],4)),"-")</f>
        <v>-</v>
      </c>
      <c r="G114" s="35" t="str">
        <f>IFERROR(IF(VLOOKUP($B114,casostestes[#Data],5)=0,"-",VLOOKUP($B114,casostestes[#Data],5)),"-")</f>
        <v>-</v>
      </c>
      <c r="H114" s="35" t="str">
        <f>IFERROR(IF(VLOOKUP($B114,casostestes[#Data],6)=0,"-",VLOOKUP($B114,casostestes[#Data],6)),"-")</f>
        <v>-</v>
      </c>
      <c r="I114" s="35" t="str">
        <f>IFERROR(IF(VLOOKUP($B114,casostestes[#Data],8)=0,"-",VLOOKUP($B114,casostestes[#Data],8)),"-")</f>
        <v>-</v>
      </c>
      <c r="J114" s="35" t="str">
        <f>IFERROR(IF(VLOOKUP($B114,casostestes[#Data],9)=0,"-",VLOOKUP($B114,casostestes[#Data],9)),"-")</f>
        <v>-</v>
      </c>
      <c r="K114" s="36"/>
      <c r="L114" s="45"/>
      <c r="M114" s="37"/>
      <c r="N114" s="38"/>
      <c r="O114" s="38"/>
      <c r="P114" s="39"/>
    </row>
    <row r="115" spans="2:16">
      <c r="B115" s="40" t="str">
        <f>IF(ISERR(casostestes[[#This Row],[ID]]),"-",casostestes[[#This Row],[ID]])</f>
        <v>-</v>
      </c>
      <c r="C115" s="34" t="str">
        <f>IFERROR(IF(VLOOKUP($B115,casostestes[#Data],10)=0,"Não",VLOOKUP($B115,casostestes[#Data],10)), "-")</f>
        <v>-</v>
      </c>
      <c r="D115" s="35" t="str">
        <f>IFERROR(IF(VLOOKUP($B115,casostestes[#Data],2)=0,"-",VLOOKUP($B115,casostestes[#Data],2)), "-")</f>
        <v>-</v>
      </c>
      <c r="E115" s="35" t="str">
        <f>IFERROR(IF(VLOOKUP($B115,casostestes[#Data],3)=0,"-",VLOOKUP($B115,casostestes[#Data],3)), "-")</f>
        <v>-</v>
      </c>
      <c r="F115" s="35" t="str">
        <f>IFERROR(IF(VLOOKUP($B115,casostestes[#Data],4)=0,"-",VLOOKUP($B115,casostestes[#Data],4)),"-")</f>
        <v>-</v>
      </c>
      <c r="G115" s="35" t="str">
        <f>IFERROR(IF(VLOOKUP($B115,casostestes[#Data],5)=0,"-",VLOOKUP($B115,casostestes[#Data],5)),"-")</f>
        <v>-</v>
      </c>
      <c r="H115" s="35" t="str">
        <f>IFERROR(IF(VLOOKUP($B115,casostestes[#Data],6)=0,"-",VLOOKUP($B115,casostestes[#Data],6)),"-")</f>
        <v>-</v>
      </c>
      <c r="I115" s="35" t="str">
        <f>IFERROR(IF(VLOOKUP($B115,casostestes[#Data],8)=0,"-",VLOOKUP($B115,casostestes[#Data],8)),"-")</f>
        <v>-</v>
      </c>
      <c r="J115" s="35" t="str">
        <f>IFERROR(IF(VLOOKUP($B115,casostestes[#Data],9)=0,"-",VLOOKUP($B115,casostestes[#Data],9)),"-")</f>
        <v>-</v>
      </c>
      <c r="K115" s="36"/>
      <c r="L115" s="45"/>
      <c r="M115" s="37"/>
      <c r="N115" s="38"/>
      <c r="O115" s="38"/>
      <c r="P115" s="39"/>
    </row>
    <row r="116" spans="2:16">
      <c r="B116" s="40" t="str">
        <f>IF(ISERR(casostestes[[#This Row],[ID]]),"-",casostestes[[#This Row],[ID]])</f>
        <v>-</v>
      </c>
      <c r="C116" s="34" t="str">
        <f>IFERROR(IF(VLOOKUP($B116,casostestes[#Data],10)=0,"Não",VLOOKUP($B116,casostestes[#Data],10)), "-")</f>
        <v>-</v>
      </c>
      <c r="D116" s="35" t="str">
        <f>IFERROR(IF(VLOOKUP($B116,casostestes[#Data],2)=0,"-",VLOOKUP($B116,casostestes[#Data],2)), "-")</f>
        <v>-</v>
      </c>
      <c r="E116" s="35" t="str">
        <f>IFERROR(IF(VLOOKUP($B116,casostestes[#Data],3)=0,"-",VLOOKUP($B116,casostestes[#Data],3)), "-")</f>
        <v>-</v>
      </c>
      <c r="F116" s="35" t="str">
        <f>IFERROR(IF(VLOOKUP($B116,casostestes[#Data],4)=0,"-",VLOOKUP($B116,casostestes[#Data],4)),"-")</f>
        <v>-</v>
      </c>
      <c r="G116" s="35" t="str">
        <f>IFERROR(IF(VLOOKUP($B116,casostestes[#Data],5)=0,"-",VLOOKUP($B116,casostestes[#Data],5)),"-")</f>
        <v>-</v>
      </c>
      <c r="H116" s="35" t="str">
        <f>IFERROR(IF(VLOOKUP($B116,casostestes[#Data],6)=0,"-",VLOOKUP($B116,casostestes[#Data],6)),"-")</f>
        <v>-</v>
      </c>
      <c r="I116" s="35" t="str">
        <f>IFERROR(IF(VLOOKUP($B116,casostestes[#Data],8)=0,"-",VLOOKUP($B116,casostestes[#Data],8)),"-")</f>
        <v>-</v>
      </c>
      <c r="J116" s="35" t="str">
        <f>IFERROR(IF(VLOOKUP($B116,casostestes[#Data],9)=0,"-",VLOOKUP($B116,casostestes[#Data],9)),"-")</f>
        <v>-</v>
      </c>
      <c r="K116" s="36"/>
      <c r="L116" s="45"/>
      <c r="M116" s="37"/>
      <c r="N116" s="38"/>
      <c r="O116" s="38"/>
      <c r="P116" s="39"/>
    </row>
    <row r="117" spans="2:16">
      <c r="B117" s="40" t="str">
        <f>IF(ISERR(casostestes[[#This Row],[ID]]),"-",casostestes[[#This Row],[ID]])</f>
        <v>-</v>
      </c>
      <c r="C117" s="34" t="str">
        <f>IFERROR(IF(VLOOKUP($B117,casostestes[#Data],10)=0,"Não",VLOOKUP($B117,casostestes[#Data],10)), "-")</f>
        <v>-</v>
      </c>
      <c r="D117" s="35" t="str">
        <f>IFERROR(IF(VLOOKUP($B117,casostestes[#Data],2)=0,"-",VLOOKUP($B117,casostestes[#Data],2)), "-")</f>
        <v>-</v>
      </c>
      <c r="E117" s="35" t="str">
        <f>IFERROR(IF(VLOOKUP($B117,casostestes[#Data],3)=0,"-",VLOOKUP($B117,casostestes[#Data],3)), "-")</f>
        <v>-</v>
      </c>
      <c r="F117" s="35" t="str">
        <f>IFERROR(IF(VLOOKUP($B117,casostestes[#Data],4)=0,"-",VLOOKUP($B117,casostestes[#Data],4)),"-")</f>
        <v>-</v>
      </c>
      <c r="G117" s="35" t="str">
        <f>IFERROR(IF(VLOOKUP($B117,casostestes[#Data],5)=0,"-",VLOOKUP($B117,casostestes[#Data],5)),"-")</f>
        <v>-</v>
      </c>
      <c r="H117" s="35" t="str">
        <f>IFERROR(IF(VLOOKUP($B117,casostestes[#Data],6)=0,"-",VLOOKUP($B117,casostestes[#Data],6)),"-")</f>
        <v>-</v>
      </c>
      <c r="I117" s="35" t="str">
        <f>IFERROR(IF(VLOOKUP($B117,casostestes[#Data],8)=0,"-",VLOOKUP($B117,casostestes[#Data],8)),"-")</f>
        <v>-</v>
      </c>
      <c r="J117" s="35" t="str">
        <f>IFERROR(IF(VLOOKUP($B117,casostestes[#Data],9)=0,"-",VLOOKUP($B117,casostestes[#Data],9)),"-")</f>
        <v>-</v>
      </c>
      <c r="K117" s="36"/>
      <c r="L117" s="45"/>
      <c r="M117" s="37"/>
      <c r="N117" s="38"/>
      <c r="O117" s="38"/>
      <c r="P117" s="39"/>
    </row>
    <row r="118" spans="2:16">
      <c r="B118" s="40" t="str">
        <f>IF(ISERR(casostestes[[#This Row],[ID]]),"-",casostestes[[#This Row],[ID]])</f>
        <v>-</v>
      </c>
      <c r="C118" s="34" t="str">
        <f>IFERROR(IF(VLOOKUP($B118,casostestes[#Data],10)=0,"Não",VLOOKUP($B118,casostestes[#Data],10)), "-")</f>
        <v>-</v>
      </c>
      <c r="D118" s="35" t="str">
        <f>IFERROR(IF(VLOOKUP($B118,casostestes[#Data],2)=0,"-",VLOOKUP($B118,casostestes[#Data],2)), "-")</f>
        <v>-</v>
      </c>
      <c r="E118" s="35" t="str">
        <f>IFERROR(IF(VLOOKUP($B118,casostestes[#Data],3)=0,"-",VLOOKUP($B118,casostestes[#Data],3)), "-")</f>
        <v>-</v>
      </c>
      <c r="F118" s="35" t="str">
        <f>IFERROR(IF(VLOOKUP($B118,casostestes[#Data],4)=0,"-",VLOOKUP($B118,casostestes[#Data],4)),"-")</f>
        <v>-</v>
      </c>
      <c r="G118" s="35" t="str">
        <f>IFERROR(IF(VLOOKUP($B118,casostestes[#Data],5)=0,"-",VLOOKUP($B118,casostestes[#Data],5)),"-")</f>
        <v>-</v>
      </c>
      <c r="H118" s="35" t="str">
        <f>IFERROR(IF(VLOOKUP($B118,casostestes[#Data],6)=0,"-",VLOOKUP($B118,casostestes[#Data],6)),"-")</f>
        <v>-</v>
      </c>
      <c r="I118" s="35" t="str">
        <f>IFERROR(IF(VLOOKUP($B118,casostestes[#Data],8)=0,"-",VLOOKUP($B118,casostestes[#Data],8)),"-")</f>
        <v>-</v>
      </c>
      <c r="J118" s="35" t="str">
        <f>IFERROR(IF(VLOOKUP($B118,casostestes[#Data],9)=0,"-",VLOOKUP($B118,casostestes[#Data],9)),"-")</f>
        <v>-</v>
      </c>
      <c r="K118" s="36"/>
      <c r="L118" s="45"/>
      <c r="M118" s="37"/>
      <c r="N118" s="38"/>
      <c r="O118" s="38"/>
      <c r="P118" s="39"/>
    </row>
    <row r="119" spans="2:16">
      <c r="B119" s="40" t="str">
        <f>IF(ISERR(casostestes[[#This Row],[ID]]),"-",casostestes[[#This Row],[ID]])</f>
        <v>-</v>
      </c>
      <c r="C119" s="34" t="str">
        <f>IFERROR(IF(VLOOKUP($B119,casostestes[#Data],10)=0,"Não",VLOOKUP($B119,casostestes[#Data],10)), "-")</f>
        <v>-</v>
      </c>
      <c r="D119" s="35" t="str">
        <f>IFERROR(IF(VLOOKUP($B119,casostestes[#Data],2)=0,"-",VLOOKUP($B119,casostestes[#Data],2)), "-")</f>
        <v>-</v>
      </c>
      <c r="E119" s="35" t="str">
        <f>IFERROR(IF(VLOOKUP($B119,casostestes[#Data],3)=0,"-",VLOOKUP($B119,casostestes[#Data],3)), "-")</f>
        <v>-</v>
      </c>
      <c r="F119" s="35" t="str">
        <f>IFERROR(IF(VLOOKUP($B119,casostestes[#Data],4)=0,"-",VLOOKUP($B119,casostestes[#Data],4)),"-")</f>
        <v>-</v>
      </c>
      <c r="G119" s="35" t="str">
        <f>IFERROR(IF(VLOOKUP($B119,casostestes[#Data],5)=0,"-",VLOOKUP($B119,casostestes[#Data],5)),"-")</f>
        <v>-</v>
      </c>
      <c r="H119" s="35" t="str">
        <f>IFERROR(IF(VLOOKUP($B119,casostestes[#Data],6)=0,"-",VLOOKUP($B119,casostestes[#Data],6)),"-")</f>
        <v>-</v>
      </c>
      <c r="I119" s="35" t="str">
        <f>IFERROR(IF(VLOOKUP($B119,casostestes[#Data],8)=0,"-",VLOOKUP($B119,casostestes[#Data],8)),"-")</f>
        <v>-</v>
      </c>
      <c r="J119" s="35" t="str">
        <f>IFERROR(IF(VLOOKUP($B119,casostestes[#Data],9)=0,"-",VLOOKUP($B119,casostestes[#Data],9)),"-")</f>
        <v>-</v>
      </c>
      <c r="K119" s="36"/>
      <c r="L119" s="45"/>
      <c r="M119" s="37"/>
      <c r="N119" s="38"/>
      <c r="O119" s="38"/>
      <c r="P119" s="39"/>
    </row>
    <row r="120" spans="2:16">
      <c r="B120" s="40" t="str">
        <f>IF(ISERR(casostestes[[#This Row],[ID]]),"-",casostestes[[#This Row],[ID]])</f>
        <v>-</v>
      </c>
      <c r="C120" s="34" t="str">
        <f>IFERROR(IF(VLOOKUP($B120,casostestes[#Data],10)=0,"Não",VLOOKUP($B120,casostestes[#Data],10)), "-")</f>
        <v>-</v>
      </c>
      <c r="D120" s="35" t="str">
        <f>IFERROR(IF(VLOOKUP($B120,casostestes[#Data],2)=0,"-",VLOOKUP($B120,casostestes[#Data],2)), "-")</f>
        <v>-</v>
      </c>
      <c r="E120" s="35" t="str">
        <f>IFERROR(IF(VLOOKUP($B120,casostestes[#Data],3)=0,"-",VLOOKUP($B120,casostestes[#Data],3)), "-")</f>
        <v>-</v>
      </c>
      <c r="F120" s="35" t="str">
        <f>IFERROR(IF(VLOOKUP($B120,casostestes[#Data],4)=0,"-",VLOOKUP($B120,casostestes[#Data],4)),"-")</f>
        <v>-</v>
      </c>
      <c r="G120" s="35" t="str">
        <f>IFERROR(IF(VLOOKUP($B120,casostestes[#Data],5)=0,"-",VLOOKUP($B120,casostestes[#Data],5)),"-")</f>
        <v>-</v>
      </c>
      <c r="H120" s="35" t="str">
        <f>IFERROR(IF(VLOOKUP($B120,casostestes[#Data],6)=0,"-",VLOOKUP($B120,casostestes[#Data],6)),"-")</f>
        <v>-</v>
      </c>
      <c r="I120" s="35" t="str">
        <f>IFERROR(IF(VLOOKUP($B120,casostestes[#Data],8)=0,"-",VLOOKUP($B120,casostestes[#Data],8)),"-")</f>
        <v>-</v>
      </c>
      <c r="J120" s="35" t="str">
        <f>IFERROR(IF(VLOOKUP($B120,casostestes[#Data],9)=0,"-",VLOOKUP($B120,casostestes[#Data],9)),"-")</f>
        <v>-</v>
      </c>
      <c r="K120" s="36"/>
      <c r="L120" s="45"/>
      <c r="M120" s="37"/>
      <c r="N120" s="38"/>
      <c r="O120" s="38"/>
      <c r="P120" s="39"/>
    </row>
    <row r="121" spans="2:16">
      <c r="B121" s="40" t="str">
        <f>IF(ISERR(casostestes[[#This Row],[ID]]),"-",casostestes[[#This Row],[ID]])</f>
        <v>-</v>
      </c>
      <c r="C121" s="34" t="str">
        <f>IFERROR(IF(VLOOKUP($B121,casostestes[#Data],10)=0,"Não",VLOOKUP($B121,casostestes[#Data],10)), "-")</f>
        <v>-</v>
      </c>
      <c r="D121" s="35" t="str">
        <f>IFERROR(IF(VLOOKUP($B121,casostestes[#Data],2)=0,"-",VLOOKUP($B121,casostestes[#Data],2)), "-")</f>
        <v>-</v>
      </c>
      <c r="E121" s="35" t="str">
        <f>IFERROR(IF(VLOOKUP($B121,casostestes[#Data],3)=0,"-",VLOOKUP($B121,casostestes[#Data],3)), "-")</f>
        <v>-</v>
      </c>
      <c r="F121" s="35" t="str">
        <f>IFERROR(IF(VLOOKUP($B121,casostestes[#Data],4)=0,"-",VLOOKUP($B121,casostestes[#Data],4)),"-")</f>
        <v>-</v>
      </c>
      <c r="G121" s="35" t="str">
        <f>IFERROR(IF(VLOOKUP($B121,casostestes[#Data],5)=0,"-",VLOOKUP($B121,casostestes[#Data],5)),"-")</f>
        <v>-</v>
      </c>
      <c r="H121" s="35" t="str">
        <f>IFERROR(IF(VLOOKUP($B121,casostestes[#Data],6)=0,"-",VLOOKUP($B121,casostestes[#Data],6)),"-")</f>
        <v>-</v>
      </c>
      <c r="I121" s="35" t="str">
        <f>IFERROR(IF(VLOOKUP($B121,casostestes[#Data],8)=0,"-",VLOOKUP($B121,casostestes[#Data],8)),"-")</f>
        <v>-</v>
      </c>
      <c r="J121" s="35" t="str">
        <f>IFERROR(IF(VLOOKUP($B121,casostestes[#Data],9)=0,"-",VLOOKUP($B121,casostestes[#Data],9)),"-")</f>
        <v>-</v>
      </c>
      <c r="K121" s="36"/>
      <c r="L121" s="45"/>
      <c r="M121" s="37"/>
      <c r="N121" s="38"/>
      <c r="O121" s="38"/>
      <c r="P121" s="39"/>
    </row>
    <row r="122" spans="2:16">
      <c r="B122" s="40" t="str">
        <f>IF(ISERR(casostestes[[#This Row],[ID]]),"-",casostestes[[#This Row],[ID]])</f>
        <v>-</v>
      </c>
      <c r="C122" s="34" t="str">
        <f>IFERROR(IF(VLOOKUP($B122,casostestes[#Data],10)=0,"Não",VLOOKUP($B122,casostestes[#Data],10)), "-")</f>
        <v>-</v>
      </c>
      <c r="D122" s="35" t="str">
        <f>IFERROR(IF(VLOOKUP($B122,casostestes[#Data],2)=0,"-",VLOOKUP($B122,casostestes[#Data],2)), "-")</f>
        <v>-</v>
      </c>
      <c r="E122" s="35" t="str">
        <f>IFERROR(IF(VLOOKUP($B122,casostestes[#Data],3)=0,"-",VLOOKUP($B122,casostestes[#Data],3)), "-")</f>
        <v>-</v>
      </c>
      <c r="F122" s="35" t="str">
        <f>IFERROR(IF(VLOOKUP($B122,casostestes[#Data],4)=0,"-",VLOOKUP($B122,casostestes[#Data],4)),"-")</f>
        <v>-</v>
      </c>
      <c r="G122" s="35" t="str">
        <f>IFERROR(IF(VLOOKUP($B122,casostestes[#Data],5)=0,"-",VLOOKUP($B122,casostestes[#Data],5)),"-")</f>
        <v>-</v>
      </c>
      <c r="H122" s="35" t="str">
        <f>IFERROR(IF(VLOOKUP($B122,casostestes[#Data],6)=0,"-",VLOOKUP($B122,casostestes[#Data],6)),"-")</f>
        <v>-</v>
      </c>
      <c r="I122" s="35" t="str">
        <f>IFERROR(IF(VLOOKUP($B122,casostestes[#Data],8)=0,"-",VLOOKUP($B122,casostestes[#Data],8)),"-")</f>
        <v>-</v>
      </c>
      <c r="J122" s="35" t="str">
        <f>IFERROR(IF(VLOOKUP($B122,casostestes[#Data],9)=0,"-",VLOOKUP($B122,casostestes[#Data],9)),"-")</f>
        <v>-</v>
      </c>
      <c r="K122" s="36"/>
      <c r="L122" s="45"/>
      <c r="M122" s="37"/>
      <c r="N122" s="38"/>
      <c r="O122" s="38"/>
      <c r="P122" s="39"/>
    </row>
    <row r="123" spans="2:16">
      <c r="B123" s="40" t="str">
        <f>IF(ISERR(casostestes[[#This Row],[ID]]),"-",casostestes[[#This Row],[ID]])</f>
        <v>-</v>
      </c>
      <c r="C123" s="34" t="str">
        <f>IFERROR(IF(VLOOKUP($B123,casostestes[#Data],10)=0,"Não",VLOOKUP($B123,casostestes[#Data],10)), "-")</f>
        <v>-</v>
      </c>
      <c r="D123" s="35" t="str">
        <f>IFERROR(IF(VLOOKUP($B123,casostestes[#Data],2)=0,"-",VLOOKUP($B123,casostestes[#Data],2)), "-")</f>
        <v>-</v>
      </c>
      <c r="E123" s="35" t="str">
        <f>IFERROR(IF(VLOOKUP($B123,casostestes[#Data],3)=0,"-",VLOOKUP($B123,casostestes[#Data],3)), "-")</f>
        <v>-</v>
      </c>
      <c r="F123" s="35" t="str">
        <f>IFERROR(IF(VLOOKUP($B123,casostestes[#Data],4)=0,"-",VLOOKUP($B123,casostestes[#Data],4)),"-")</f>
        <v>-</v>
      </c>
      <c r="G123" s="35" t="str">
        <f>IFERROR(IF(VLOOKUP($B123,casostestes[#Data],5)=0,"-",VLOOKUP($B123,casostestes[#Data],5)),"-")</f>
        <v>-</v>
      </c>
      <c r="H123" s="35" t="str">
        <f>IFERROR(IF(VLOOKUP($B123,casostestes[#Data],6)=0,"-",VLOOKUP($B123,casostestes[#Data],6)),"-")</f>
        <v>-</v>
      </c>
      <c r="I123" s="35" t="str">
        <f>IFERROR(IF(VLOOKUP($B123,casostestes[#Data],8)=0,"-",VLOOKUP($B123,casostestes[#Data],8)),"-")</f>
        <v>-</v>
      </c>
      <c r="J123" s="35" t="str">
        <f>IFERROR(IF(VLOOKUP($B123,casostestes[#Data],9)=0,"-",VLOOKUP($B123,casostestes[#Data],9)),"-")</f>
        <v>-</v>
      </c>
      <c r="K123" s="36"/>
      <c r="L123" s="45"/>
      <c r="M123" s="37"/>
      <c r="N123" s="38"/>
      <c r="O123" s="38"/>
      <c r="P123" s="39"/>
    </row>
    <row r="124" spans="2:16">
      <c r="B124" s="40" t="str">
        <f>IF(ISERR(casostestes[[#This Row],[ID]]),"-",casostestes[[#This Row],[ID]])</f>
        <v>-</v>
      </c>
      <c r="C124" s="34" t="str">
        <f>IFERROR(IF(VLOOKUP($B124,casostestes[#Data],10)=0,"Não",VLOOKUP($B124,casostestes[#Data],10)), "-")</f>
        <v>-</v>
      </c>
      <c r="D124" s="35" t="str">
        <f>IFERROR(IF(VLOOKUP($B124,casostestes[#Data],2)=0,"-",VLOOKUP($B124,casostestes[#Data],2)), "-")</f>
        <v>-</v>
      </c>
      <c r="E124" s="35" t="str">
        <f>IFERROR(IF(VLOOKUP($B124,casostestes[#Data],3)=0,"-",VLOOKUP($B124,casostestes[#Data],3)), "-")</f>
        <v>-</v>
      </c>
      <c r="F124" s="35" t="str">
        <f>IFERROR(IF(VLOOKUP($B124,casostestes[#Data],4)=0,"-",VLOOKUP($B124,casostestes[#Data],4)),"-")</f>
        <v>-</v>
      </c>
      <c r="G124" s="35" t="str">
        <f>IFERROR(IF(VLOOKUP($B124,casostestes[#Data],5)=0,"-",VLOOKUP($B124,casostestes[#Data],5)),"-")</f>
        <v>-</v>
      </c>
      <c r="H124" s="35" t="str">
        <f>IFERROR(IF(VLOOKUP($B124,casostestes[#Data],6)=0,"-",VLOOKUP($B124,casostestes[#Data],6)),"-")</f>
        <v>-</v>
      </c>
      <c r="I124" s="35" t="str">
        <f>IFERROR(IF(VLOOKUP($B124,casostestes[#Data],8)=0,"-",VLOOKUP($B124,casostestes[#Data],8)),"-")</f>
        <v>-</v>
      </c>
      <c r="J124" s="35" t="str">
        <f>IFERROR(IF(VLOOKUP($B124,casostestes[#Data],9)=0,"-",VLOOKUP($B124,casostestes[#Data],9)),"-")</f>
        <v>-</v>
      </c>
      <c r="K124" s="36"/>
      <c r="L124" s="45"/>
      <c r="M124" s="37"/>
      <c r="N124" s="38"/>
      <c r="O124" s="38"/>
      <c r="P124" s="39"/>
    </row>
    <row r="125" spans="2:16">
      <c r="B125" s="40" t="str">
        <f>IF(ISERR(casostestes[[#This Row],[ID]]),"-",casostestes[[#This Row],[ID]])</f>
        <v>-</v>
      </c>
      <c r="C125" s="34" t="str">
        <f>IFERROR(IF(VLOOKUP($B125,casostestes[#Data],10)=0,"Não",VLOOKUP($B125,casostestes[#Data],10)), "-")</f>
        <v>-</v>
      </c>
      <c r="D125" s="35" t="str">
        <f>IFERROR(IF(VLOOKUP($B125,casostestes[#Data],2)=0,"-",VLOOKUP($B125,casostestes[#Data],2)), "-")</f>
        <v>-</v>
      </c>
      <c r="E125" s="35" t="str">
        <f>IFERROR(IF(VLOOKUP($B125,casostestes[#Data],3)=0,"-",VLOOKUP($B125,casostestes[#Data],3)), "-")</f>
        <v>-</v>
      </c>
      <c r="F125" s="35" t="str">
        <f>IFERROR(IF(VLOOKUP($B125,casostestes[#Data],4)=0,"-",VLOOKUP($B125,casostestes[#Data],4)),"-")</f>
        <v>-</v>
      </c>
      <c r="G125" s="35" t="str">
        <f>IFERROR(IF(VLOOKUP($B125,casostestes[#Data],5)=0,"-",VLOOKUP($B125,casostestes[#Data],5)),"-")</f>
        <v>-</v>
      </c>
      <c r="H125" s="35" t="str">
        <f>IFERROR(IF(VLOOKUP($B125,casostestes[#Data],6)=0,"-",VLOOKUP($B125,casostestes[#Data],6)),"-")</f>
        <v>-</v>
      </c>
      <c r="I125" s="35" t="str">
        <f>IFERROR(IF(VLOOKUP($B125,casostestes[#Data],8)=0,"-",VLOOKUP($B125,casostestes[#Data],8)),"-")</f>
        <v>-</v>
      </c>
      <c r="J125" s="35" t="str">
        <f>IFERROR(IF(VLOOKUP($B125,casostestes[#Data],9)=0,"-",VLOOKUP($B125,casostestes[#Data],9)),"-")</f>
        <v>-</v>
      </c>
      <c r="K125" s="36"/>
      <c r="L125" s="45"/>
      <c r="M125" s="37"/>
      <c r="N125" s="38"/>
      <c r="O125" s="38"/>
      <c r="P125" s="39"/>
    </row>
    <row r="126" spans="2:16">
      <c r="B126" s="40" t="str">
        <f>IF(ISERR(casostestes[[#This Row],[ID]]),"-",casostestes[[#This Row],[ID]])</f>
        <v>-</v>
      </c>
      <c r="C126" s="34" t="str">
        <f>IFERROR(IF(VLOOKUP($B126,casostestes[#Data],10)=0,"Não",VLOOKUP($B126,casostestes[#Data],10)), "-")</f>
        <v>-</v>
      </c>
      <c r="D126" s="35" t="str">
        <f>IFERROR(IF(VLOOKUP($B126,casostestes[#Data],2)=0,"-",VLOOKUP($B126,casostestes[#Data],2)), "-")</f>
        <v>-</v>
      </c>
      <c r="E126" s="35" t="str">
        <f>IFERROR(IF(VLOOKUP($B126,casostestes[#Data],3)=0,"-",VLOOKUP($B126,casostestes[#Data],3)), "-")</f>
        <v>-</v>
      </c>
      <c r="F126" s="35" t="str">
        <f>IFERROR(IF(VLOOKUP($B126,casostestes[#Data],4)=0,"-",VLOOKUP($B126,casostestes[#Data],4)),"-")</f>
        <v>-</v>
      </c>
      <c r="G126" s="35" t="str">
        <f>IFERROR(IF(VLOOKUP($B126,casostestes[#Data],5)=0,"-",VLOOKUP($B126,casostestes[#Data],5)),"-")</f>
        <v>-</v>
      </c>
      <c r="H126" s="35" t="str">
        <f>IFERROR(IF(VLOOKUP($B126,casostestes[#Data],6)=0,"-",VLOOKUP($B126,casostestes[#Data],6)),"-")</f>
        <v>-</v>
      </c>
      <c r="I126" s="35" t="str">
        <f>IFERROR(IF(VLOOKUP($B126,casostestes[#Data],8)=0,"-",VLOOKUP($B126,casostestes[#Data],8)),"-")</f>
        <v>-</v>
      </c>
      <c r="J126" s="35" t="str">
        <f>IFERROR(IF(VLOOKUP($B126,casostestes[#Data],9)=0,"-",VLOOKUP($B126,casostestes[#Data],9)),"-")</f>
        <v>-</v>
      </c>
      <c r="K126" s="36"/>
      <c r="L126" s="45"/>
      <c r="M126" s="37"/>
      <c r="N126" s="38"/>
      <c r="O126" s="38"/>
      <c r="P126" s="39"/>
    </row>
    <row r="127" spans="2:16">
      <c r="B127" s="40" t="str">
        <f>IF(ISERR(casostestes[[#This Row],[ID]]),"-",casostestes[[#This Row],[ID]])</f>
        <v>-</v>
      </c>
      <c r="C127" s="34" t="str">
        <f>IFERROR(IF(VLOOKUP($B127,casostestes[#Data],10)=0,"Não",VLOOKUP($B127,casostestes[#Data],10)), "-")</f>
        <v>-</v>
      </c>
      <c r="D127" s="35" t="str">
        <f>IFERROR(IF(VLOOKUP($B127,casostestes[#Data],2)=0,"-",VLOOKUP($B127,casostestes[#Data],2)), "-")</f>
        <v>-</v>
      </c>
      <c r="E127" s="35" t="str">
        <f>IFERROR(IF(VLOOKUP($B127,casostestes[#Data],3)=0,"-",VLOOKUP($B127,casostestes[#Data],3)), "-")</f>
        <v>-</v>
      </c>
      <c r="F127" s="35" t="str">
        <f>IFERROR(IF(VLOOKUP($B127,casostestes[#Data],4)=0,"-",VLOOKUP($B127,casostestes[#Data],4)),"-")</f>
        <v>-</v>
      </c>
      <c r="G127" s="35" t="str">
        <f>IFERROR(IF(VLOOKUP($B127,casostestes[#Data],5)=0,"-",VLOOKUP($B127,casostestes[#Data],5)),"-")</f>
        <v>-</v>
      </c>
      <c r="H127" s="35" t="str">
        <f>IFERROR(IF(VLOOKUP($B127,casostestes[#Data],6)=0,"-",VLOOKUP($B127,casostestes[#Data],6)),"-")</f>
        <v>-</v>
      </c>
      <c r="I127" s="35" t="str">
        <f>IFERROR(IF(VLOOKUP($B127,casostestes[#Data],8)=0,"-",VLOOKUP($B127,casostestes[#Data],8)),"-")</f>
        <v>-</v>
      </c>
      <c r="J127" s="35" t="str">
        <f>IFERROR(IF(VLOOKUP($B127,casostestes[#Data],9)=0,"-",VLOOKUP($B127,casostestes[#Data],9)),"-")</f>
        <v>-</v>
      </c>
      <c r="K127" s="36"/>
      <c r="L127" s="45"/>
      <c r="M127" s="37"/>
      <c r="N127" s="38"/>
      <c r="O127" s="38"/>
      <c r="P127" s="39"/>
    </row>
    <row r="128" spans="2:16">
      <c r="B128" s="40" t="str">
        <f>IF(ISERR(casostestes[[#This Row],[ID]]),"-",casostestes[[#This Row],[ID]])</f>
        <v>-</v>
      </c>
      <c r="C128" s="34" t="str">
        <f>IFERROR(IF(VLOOKUP($B128,casostestes[#Data],10)=0,"Não",VLOOKUP($B128,casostestes[#Data],10)), "-")</f>
        <v>-</v>
      </c>
      <c r="D128" s="35" t="str">
        <f>IFERROR(IF(VLOOKUP($B128,casostestes[#Data],2)=0,"-",VLOOKUP($B128,casostestes[#Data],2)), "-")</f>
        <v>-</v>
      </c>
      <c r="E128" s="35" t="str">
        <f>IFERROR(IF(VLOOKUP($B128,casostestes[#Data],3)=0,"-",VLOOKUP($B128,casostestes[#Data],3)), "-")</f>
        <v>-</v>
      </c>
      <c r="F128" s="35" t="str">
        <f>IFERROR(IF(VLOOKUP($B128,casostestes[#Data],4)=0,"-",VLOOKUP($B128,casostestes[#Data],4)),"-")</f>
        <v>-</v>
      </c>
      <c r="G128" s="35" t="str">
        <f>IFERROR(IF(VLOOKUP($B128,casostestes[#Data],5)=0,"-",VLOOKUP($B128,casostestes[#Data],5)),"-")</f>
        <v>-</v>
      </c>
      <c r="H128" s="35" t="str">
        <f>IFERROR(IF(VLOOKUP($B128,casostestes[#Data],6)=0,"-",VLOOKUP($B128,casostestes[#Data],6)),"-")</f>
        <v>-</v>
      </c>
      <c r="I128" s="35" t="str">
        <f>IFERROR(IF(VLOOKUP($B128,casostestes[#Data],8)=0,"-",VLOOKUP($B128,casostestes[#Data],8)),"-")</f>
        <v>-</v>
      </c>
      <c r="J128" s="35" t="str">
        <f>IFERROR(IF(VLOOKUP($B128,casostestes[#Data],9)=0,"-",VLOOKUP($B128,casostestes[#Data],9)),"-")</f>
        <v>-</v>
      </c>
      <c r="K128" s="36"/>
      <c r="L128" s="45"/>
      <c r="M128" s="37"/>
      <c r="N128" s="38"/>
      <c r="O128" s="38"/>
      <c r="P128" s="39"/>
    </row>
    <row r="129" spans="2:16">
      <c r="B129" s="40" t="str">
        <f>IF(ISERR(casostestes[[#This Row],[ID]]),"-",casostestes[[#This Row],[ID]])</f>
        <v>-</v>
      </c>
      <c r="C129" s="34" t="str">
        <f>IFERROR(IF(VLOOKUP($B129,casostestes[#Data],10)=0,"Não",VLOOKUP($B129,casostestes[#Data],10)), "-")</f>
        <v>-</v>
      </c>
      <c r="D129" s="35" t="str">
        <f>IFERROR(IF(VLOOKUP($B129,casostestes[#Data],2)=0,"-",VLOOKUP($B129,casostestes[#Data],2)), "-")</f>
        <v>-</v>
      </c>
      <c r="E129" s="35" t="str">
        <f>IFERROR(IF(VLOOKUP($B129,casostestes[#Data],3)=0,"-",VLOOKUP($B129,casostestes[#Data],3)), "-")</f>
        <v>-</v>
      </c>
      <c r="F129" s="35" t="str">
        <f>IFERROR(IF(VLOOKUP($B129,casostestes[#Data],4)=0,"-",VLOOKUP($B129,casostestes[#Data],4)),"-")</f>
        <v>-</v>
      </c>
      <c r="G129" s="35" t="str">
        <f>IFERROR(IF(VLOOKUP($B129,casostestes[#Data],5)=0,"-",VLOOKUP($B129,casostestes[#Data],5)),"-")</f>
        <v>-</v>
      </c>
      <c r="H129" s="35" t="str">
        <f>IFERROR(IF(VLOOKUP($B129,casostestes[#Data],6)=0,"-",VLOOKUP($B129,casostestes[#Data],6)),"-")</f>
        <v>-</v>
      </c>
      <c r="I129" s="35" t="str">
        <f>IFERROR(IF(VLOOKUP($B129,casostestes[#Data],8)=0,"-",VLOOKUP($B129,casostestes[#Data],8)),"-")</f>
        <v>-</v>
      </c>
      <c r="J129" s="35" t="str">
        <f>IFERROR(IF(VLOOKUP($B129,casostestes[#Data],9)=0,"-",VLOOKUP($B129,casostestes[#Data],9)),"-")</f>
        <v>-</v>
      </c>
      <c r="K129" s="36"/>
      <c r="L129" s="45"/>
      <c r="M129" s="37"/>
      <c r="N129" s="38"/>
      <c r="O129" s="38"/>
      <c r="P129" s="39"/>
    </row>
    <row r="130" spans="2:16">
      <c r="B130" s="40" t="str">
        <f>IF(ISERR(casostestes[[#This Row],[ID]]),"-",casostestes[[#This Row],[ID]])</f>
        <v>-</v>
      </c>
      <c r="C130" s="34" t="str">
        <f>IFERROR(IF(VLOOKUP($B130,casostestes[#Data],10)=0,"Não",VLOOKUP($B130,casostestes[#Data],10)), "-")</f>
        <v>-</v>
      </c>
      <c r="D130" s="35" t="str">
        <f>IFERROR(IF(VLOOKUP($B130,casostestes[#Data],2)=0,"-",VLOOKUP($B130,casostestes[#Data],2)), "-")</f>
        <v>-</v>
      </c>
      <c r="E130" s="35" t="str">
        <f>IFERROR(IF(VLOOKUP($B130,casostestes[#Data],3)=0,"-",VLOOKUP($B130,casostestes[#Data],3)), "-")</f>
        <v>-</v>
      </c>
      <c r="F130" s="35" t="str">
        <f>IFERROR(IF(VLOOKUP($B130,casostestes[#Data],4)=0,"-",VLOOKUP($B130,casostestes[#Data],4)),"-")</f>
        <v>-</v>
      </c>
      <c r="G130" s="35" t="str">
        <f>IFERROR(IF(VLOOKUP($B130,casostestes[#Data],5)=0,"-",VLOOKUP($B130,casostestes[#Data],5)),"-")</f>
        <v>-</v>
      </c>
      <c r="H130" s="35" t="str">
        <f>IFERROR(IF(VLOOKUP($B130,casostestes[#Data],6)=0,"-",VLOOKUP($B130,casostestes[#Data],6)),"-")</f>
        <v>-</v>
      </c>
      <c r="I130" s="35" t="str">
        <f>IFERROR(IF(VLOOKUP($B130,casostestes[#Data],8)=0,"-",VLOOKUP($B130,casostestes[#Data],8)),"-")</f>
        <v>-</v>
      </c>
      <c r="J130" s="35" t="str">
        <f>IFERROR(IF(VLOOKUP($B130,casostestes[#Data],9)=0,"-",VLOOKUP($B130,casostestes[#Data],9)),"-")</f>
        <v>-</v>
      </c>
      <c r="K130" s="36"/>
      <c r="L130" s="45"/>
      <c r="M130" s="37"/>
      <c r="N130" s="38"/>
      <c r="O130" s="38"/>
      <c r="P130" s="39"/>
    </row>
    <row r="131" spans="2:16">
      <c r="B131" s="40" t="str">
        <f>IF(ISERR(casostestes[[#This Row],[ID]]),"-",casostestes[[#This Row],[ID]])</f>
        <v>-</v>
      </c>
      <c r="C131" s="34" t="str">
        <f>IFERROR(IF(VLOOKUP($B131,casostestes[#Data],10)=0,"Não",VLOOKUP($B131,casostestes[#Data],10)), "-")</f>
        <v>-</v>
      </c>
      <c r="D131" s="35" t="str">
        <f>IFERROR(IF(VLOOKUP($B131,casostestes[#Data],2)=0,"-",VLOOKUP($B131,casostestes[#Data],2)), "-")</f>
        <v>-</v>
      </c>
      <c r="E131" s="35" t="str">
        <f>IFERROR(IF(VLOOKUP($B131,casostestes[#Data],3)=0,"-",VLOOKUP($B131,casostestes[#Data],3)), "-")</f>
        <v>-</v>
      </c>
      <c r="F131" s="35" t="str">
        <f>IFERROR(IF(VLOOKUP($B131,casostestes[#Data],4)=0,"-",VLOOKUP($B131,casostestes[#Data],4)),"-")</f>
        <v>-</v>
      </c>
      <c r="G131" s="35" t="str">
        <f>IFERROR(IF(VLOOKUP($B131,casostestes[#Data],5)=0,"-",VLOOKUP($B131,casostestes[#Data],5)),"-")</f>
        <v>-</v>
      </c>
      <c r="H131" s="35" t="str">
        <f>IFERROR(IF(VLOOKUP($B131,casostestes[#Data],6)=0,"-",VLOOKUP($B131,casostestes[#Data],6)),"-")</f>
        <v>-</v>
      </c>
      <c r="I131" s="35" t="str">
        <f>IFERROR(IF(VLOOKUP($B131,casostestes[#Data],8)=0,"-",VLOOKUP($B131,casostestes[#Data],8)),"-")</f>
        <v>-</v>
      </c>
      <c r="J131" s="35" t="str">
        <f>IFERROR(IF(VLOOKUP($B131,casostestes[#Data],9)=0,"-",VLOOKUP($B131,casostestes[#Data],9)),"-")</f>
        <v>-</v>
      </c>
      <c r="K131" s="36"/>
      <c r="L131" s="45"/>
      <c r="M131" s="37"/>
      <c r="N131" s="38"/>
      <c r="O131" s="38"/>
      <c r="P131" s="39"/>
    </row>
    <row r="132" spans="2:16">
      <c r="B132" s="40" t="str">
        <f>IF(ISERR(casostestes[[#This Row],[ID]]),"-",casostestes[[#This Row],[ID]])</f>
        <v>-</v>
      </c>
      <c r="C132" s="34" t="str">
        <f>IFERROR(IF(VLOOKUP($B132,casostestes[#Data],10)=0,"Não",VLOOKUP($B132,casostestes[#Data],10)), "-")</f>
        <v>-</v>
      </c>
      <c r="D132" s="35" t="str">
        <f>IFERROR(IF(VLOOKUP($B132,casostestes[#Data],2)=0,"-",VLOOKUP($B132,casostestes[#Data],2)), "-")</f>
        <v>-</v>
      </c>
      <c r="E132" s="35" t="str">
        <f>IFERROR(IF(VLOOKUP($B132,casostestes[#Data],3)=0,"-",VLOOKUP($B132,casostestes[#Data],3)), "-")</f>
        <v>-</v>
      </c>
      <c r="F132" s="35" t="str">
        <f>IFERROR(IF(VLOOKUP($B132,casostestes[#Data],4)=0,"-",VLOOKUP($B132,casostestes[#Data],4)),"-")</f>
        <v>-</v>
      </c>
      <c r="G132" s="35" t="str">
        <f>IFERROR(IF(VLOOKUP($B132,casostestes[#Data],5)=0,"-",VLOOKUP($B132,casostestes[#Data],5)),"-")</f>
        <v>-</v>
      </c>
      <c r="H132" s="35" t="str">
        <f>IFERROR(IF(VLOOKUP($B132,casostestes[#Data],6)=0,"-",VLOOKUP($B132,casostestes[#Data],6)),"-")</f>
        <v>-</v>
      </c>
      <c r="I132" s="35" t="str">
        <f>IFERROR(IF(VLOOKUP($B132,casostestes[#Data],8)=0,"-",VLOOKUP($B132,casostestes[#Data],8)),"-")</f>
        <v>-</v>
      </c>
      <c r="J132" s="35" t="str">
        <f>IFERROR(IF(VLOOKUP($B132,casostestes[#Data],9)=0,"-",VLOOKUP($B132,casostestes[#Data],9)),"-")</f>
        <v>-</v>
      </c>
      <c r="K132" s="36"/>
      <c r="L132" s="45"/>
      <c r="M132" s="37"/>
      <c r="N132" s="38"/>
      <c r="O132" s="38"/>
      <c r="P132" s="39"/>
    </row>
    <row r="133" spans="2:16">
      <c r="B133" s="40" t="str">
        <f>IF(ISERR(casostestes[[#This Row],[ID]]),"-",casostestes[[#This Row],[ID]])</f>
        <v>-</v>
      </c>
      <c r="C133" s="34" t="str">
        <f>IFERROR(IF(VLOOKUP($B133,casostestes[#Data],10)=0,"Não",VLOOKUP($B133,casostestes[#Data],10)), "-")</f>
        <v>-</v>
      </c>
      <c r="D133" s="35" t="str">
        <f>IFERROR(IF(VLOOKUP($B133,casostestes[#Data],2)=0,"-",VLOOKUP($B133,casostestes[#Data],2)), "-")</f>
        <v>-</v>
      </c>
      <c r="E133" s="35" t="str">
        <f>IFERROR(IF(VLOOKUP($B133,casostestes[#Data],3)=0,"-",VLOOKUP($B133,casostestes[#Data],3)), "-")</f>
        <v>-</v>
      </c>
      <c r="F133" s="35" t="str">
        <f>IFERROR(IF(VLOOKUP($B133,casostestes[#Data],4)=0,"-",VLOOKUP($B133,casostestes[#Data],4)),"-")</f>
        <v>-</v>
      </c>
      <c r="G133" s="35" t="str">
        <f>IFERROR(IF(VLOOKUP($B133,casostestes[#Data],5)=0,"-",VLOOKUP($B133,casostestes[#Data],5)),"-")</f>
        <v>-</v>
      </c>
      <c r="H133" s="35" t="str">
        <f>IFERROR(IF(VLOOKUP($B133,casostestes[#Data],6)=0,"-",VLOOKUP($B133,casostestes[#Data],6)),"-")</f>
        <v>-</v>
      </c>
      <c r="I133" s="35" t="str">
        <f>IFERROR(IF(VLOOKUP($B133,casostestes[#Data],8)=0,"-",VLOOKUP($B133,casostestes[#Data],8)),"-")</f>
        <v>-</v>
      </c>
      <c r="J133" s="35" t="str">
        <f>IFERROR(IF(VLOOKUP($B133,casostestes[#Data],9)=0,"-",VLOOKUP($B133,casostestes[#Data],9)),"-")</f>
        <v>-</v>
      </c>
      <c r="K133" s="36"/>
      <c r="L133" s="45"/>
      <c r="M133" s="37"/>
      <c r="N133" s="38"/>
      <c r="O133" s="38"/>
      <c r="P133" s="39"/>
    </row>
    <row r="134" spans="2:16">
      <c r="B134" s="40" t="str">
        <f>IF(ISERR(casostestes[[#This Row],[ID]]),"-",casostestes[[#This Row],[ID]])</f>
        <v>-</v>
      </c>
      <c r="C134" s="34" t="str">
        <f>IFERROR(IF(VLOOKUP($B134,casostestes[#Data],10)=0,"Não",VLOOKUP($B134,casostestes[#Data],10)), "-")</f>
        <v>-</v>
      </c>
      <c r="D134" s="35" t="str">
        <f>IFERROR(IF(VLOOKUP($B134,casostestes[#Data],2)=0,"-",VLOOKUP($B134,casostestes[#Data],2)), "-")</f>
        <v>-</v>
      </c>
      <c r="E134" s="35" t="str">
        <f>IFERROR(IF(VLOOKUP($B134,casostestes[#Data],3)=0,"-",VLOOKUP($B134,casostestes[#Data],3)), "-")</f>
        <v>-</v>
      </c>
      <c r="F134" s="35" t="str">
        <f>IFERROR(IF(VLOOKUP($B134,casostestes[#Data],4)=0,"-",VLOOKUP($B134,casostestes[#Data],4)),"-")</f>
        <v>-</v>
      </c>
      <c r="G134" s="35" t="str">
        <f>IFERROR(IF(VLOOKUP($B134,casostestes[#Data],5)=0,"-",VLOOKUP($B134,casostestes[#Data],5)),"-")</f>
        <v>-</v>
      </c>
      <c r="H134" s="35" t="str">
        <f>IFERROR(IF(VLOOKUP($B134,casostestes[#Data],6)=0,"-",VLOOKUP($B134,casostestes[#Data],6)),"-")</f>
        <v>-</v>
      </c>
      <c r="I134" s="35" t="str">
        <f>IFERROR(IF(VLOOKUP($B134,casostestes[#Data],8)=0,"-",VLOOKUP($B134,casostestes[#Data],8)),"-")</f>
        <v>-</v>
      </c>
      <c r="J134" s="35" t="str">
        <f>IFERROR(IF(VLOOKUP($B134,casostestes[#Data],9)=0,"-",VLOOKUP($B134,casostestes[#Data],9)),"-")</f>
        <v>-</v>
      </c>
      <c r="K134" s="36"/>
      <c r="L134" s="45"/>
      <c r="M134" s="37"/>
      <c r="N134" s="38"/>
      <c r="O134" s="38"/>
      <c r="P134" s="39"/>
    </row>
    <row r="135" spans="2:16">
      <c r="B135" s="40" t="str">
        <f>IF(ISERR(casostestes[[#This Row],[ID]]),"-",casostestes[[#This Row],[ID]])</f>
        <v>-</v>
      </c>
      <c r="C135" s="34" t="str">
        <f>IFERROR(IF(VLOOKUP($B135,casostestes[#Data],10)=0,"Não",VLOOKUP($B135,casostestes[#Data],10)), "-")</f>
        <v>-</v>
      </c>
      <c r="D135" s="35" t="str">
        <f>IFERROR(IF(VLOOKUP($B135,casostestes[#Data],2)=0,"-",VLOOKUP($B135,casostestes[#Data],2)), "-")</f>
        <v>-</v>
      </c>
      <c r="E135" s="35" t="str">
        <f>IFERROR(IF(VLOOKUP($B135,casostestes[#Data],3)=0,"-",VLOOKUP($B135,casostestes[#Data],3)), "-")</f>
        <v>-</v>
      </c>
      <c r="F135" s="35" t="str">
        <f>IFERROR(IF(VLOOKUP($B135,casostestes[#Data],4)=0,"-",VLOOKUP($B135,casostestes[#Data],4)),"-")</f>
        <v>-</v>
      </c>
      <c r="G135" s="35" t="str">
        <f>IFERROR(IF(VLOOKUP($B135,casostestes[#Data],5)=0,"-",VLOOKUP($B135,casostestes[#Data],5)),"-")</f>
        <v>-</v>
      </c>
      <c r="H135" s="35" t="str">
        <f>IFERROR(IF(VLOOKUP($B135,casostestes[#Data],6)=0,"-",VLOOKUP($B135,casostestes[#Data],6)),"-")</f>
        <v>-</v>
      </c>
      <c r="I135" s="35" t="str">
        <f>IFERROR(IF(VLOOKUP($B135,casostestes[#Data],8)=0,"-",VLOOKUP($B135,casostestes[#Data],8)),"-")</f>
        <v>-</v>
      </c>
      <c r="J135" s="35" t="str">
        <f>IFERROR(IF(VLOOKUP($B135,casostestes[#Data],9)=0,"-",VLOOKUP($B135,casostestes[#Data],9)),"-")</f>
        <v>-</v>
      </c>
      <c r="K135" s="36"/>
      <c r="L135" s="45"/>
      <c r="M135" s="37"/>
      <c r="N135" s="38"/>
      <c r="O135" s="38"/>
      <c r="P135" s="39"/>
    </row>
    <row r="136" spans="2:16">
      <c r="B136" s="40" t="str">
        <f>IF(ISERR(casostestes[[#This Row],[ID]]),"-",casostestes[[#This Row],[ID]])</f>
        <v>-</v>
      </c>
      <c r="C136" s="34" t="str">
        <f>IFERROR(IF(VLOOKUP($B136,casostestes[#Data],10)=0,"Não",VLOOKUP($B136,casostestes[#Data],10)), "-")</f>
        <v>-</v>
      </c>
      <c r="D136" s="35" t="str">
        <f>IFERROR(IF(VLOOKUP($B136,casostestes[#Data],2)=0,"-",VLOOKUP($B136,casostestes[#Data],2)), "-")</f>
        <v>-</v>
      </c>
      <c r="E136" s="35" t="str">
        <f>IFERROR(IF(VLOOKUP($B136,casostestes[#Data],3)=0,"-",VLOOKUP($B136,casostestes[#Data],3)), "-")</f>
        <v>-</v>
      </c>
      <c r="F136" s="35" t="str">
        <f>IFERROR(IF(VLOOKUP($B136,casostestes[#Data],4)=0,"-",VLOOKUP($B136,casostestes[#Data],4)),"-")</f>
        <v>-</v>
      </c>
      <c r="G136" s="35" t="str">
        <f>IFERROR(IF(VLOOKUP($B136,casostestes[#Data],5)=0,"-",VLOOKUP($B136,casostestes[#Data],5)),"-")</f>
        <v>-</v>
      </c>
      <c r="H136" s="35" t="str">
        <f>IFERROR(IF(VLOOKUP($B136,casostestes[#Data],6)=0,"-",VLOOKUP($B136,casostestes[#Data],6)),"-")</f>
        <v>-</v>
      </c>
      <c r="I136" s="35" t="str">
        <f>IFERROR(IF(VLOOKUP($B136,casostestes[#Data],8)=0,"-",VLOOKUP($B136,casostestes[#Data],8)),"-")</f>
        <v>-</v>
      </c>
      <c r="J136" s="35" t="str">
        <f>IFERROR(IF(VLOOKUP($B136,casostestes[#Data],9)=0,"-",VLOOKUP($B136,casostestes[#Data],9)),"-")</f>
        <v>-</v>
      </c>
      <c r="K136" s="36"/>
      <c r="L136" s="45"/>
      <c r="M136" s="37"/>
      <c r="N136" s="38"/>
      <c r="O136" s="38"/>
      <c r="P136" s="39"/>
    </row>
    <row r="137" spans="2:16">
      <c r="B137" s="40" t="str">
        <f>IF(ISERR(casostestes[[#This Row],[ID]]),"-",casostestes[[#This Row],[ID]])</f>
        <v>-</v>
      </c>
      <c r="C137" s="34" t="str">
        <f>IFERROR(IF(VLOOKUP($B137,casostestes[#Data],10)=0,"Não",VLOOKUP($B137,casostestes[#Data],10)), "-")</f>
        <v>-</v>
      </c>
      <c r="D137" s="35" t="str">
        <f>IFERROR(IF(VLOOKUP($B137,casostestes[#Data],2)=0,"-",VLOOKUP($B137,casostestes[#Data],2)), "-")</f>
        <v>-</v>
      </c>
      <c r="E137" s="35" t="str">
        <f>IFERROR(IF(VLOOKUP($B137,casostestes[#Data],3)=0,"-",VLOOKUP($B137,casostestes[#Data],3)), "-")</f>
        <v>-</v>
      </c>
      <c r="F137" s="35" t="str">
        <f>IFERROR(IF(VLOOKUP($B137,casostestes[#Data],4)=0,"-",VLOOKUP($B137,casostestes[#Data],4)),"-")</f>
        <v>-</v>
      </c>
      <c r="G137" s="35" t="str">
        <f>IFERROR(IF(VLOOKUP($B137,casostestes[#Data],5)=0,"-",VLOOKUP($B137,casostestes[#Data],5)),"-")</f>
        <v>-</v>
      </c>
      <c r="H137" s="35" t="str">
        <f>IFERROR(IF(VLOOKUP($B137,casostestes[#Data],6)=0,"-",VLOOKUP($B137,casostestes[#Data],6)),"-")</f>
        <v>-</v>
      </c>
      <c r="I137" s="35" t="str">
        <f>IFERROR(IF(VLOOKUP($B137,casostestes[#Data],8)=0,"-",VLOOKUP($B137,casostestes[#Data],8)),"-")</f>
        <v>-</v>
      </c>
      <c r="J137" s="35" t="str">
        <f>IFERROR(IF(VLOOKUP($B137,casostestes[#Data],9)=0,"-",VLOOKUP($B137,casostestes[#Data],9)),"-")</f>
        <v>-</v>
      </c>
      <c r="K137" s="36"/>
      <c r="L137" s="45"/>
      <c r="M137" s="37"/>
      <c r="N137" s="38"/>
      <c r="O137" s="38"/>
      <c r="P137" s="39"/>
    </row>
    <row r="138" spans="2:16">
      <c r="B138" s="40" t="str">
        <f>IF(ISERR(casostestes[[#This Row],[ID]]),"-",casostestes[[#This Row],[ID]])</f>
        <v>-</v>
      </c>
      <c r="C138" s="34" t="str">
        <f>IFERROR(IF(VLOOKUP($B138,casostestes[#Data],10)=0,"Não",VLOOKUP($B138,casostestes[#Data],10)), "-")</f>
        <v>-</v>
      </c>
      <c r="D138" s="35" t="str">
        <f>IFERROR(IF(VLOOKUP($B138,casostestes[#Data],2)=0,"-",VLOOKUP($B138,casostestes[#Data],2)), "-")</f>
        <v>-</v>
      </c>
      <c r="E138" s="35" t="str">
        <f>IFERROR(IF(VLOOKUP($B138,casostestes[#Data],3)=0,"-",VLOOKUP($B138,casostestes[#Data],3)), "-")</f>
        <v>-</v>
      </c>
      <c r="F138" s="35" t="str">
        <f>IFERROR(IF(VLOOKUP($B138,casostestes[#Data],4)=0,"-",VLOOKUP($B138,casostestes[#Data],4)),"-")</f>
        <v>-</v>
      </c>
      <c r="G138" s="35" t="str">
        <f>IFERROR(IF(VLOOKUP($B138,casostestes[#Data],5)=0,"-",VLOOKUP($B138,casostestes[#Data],5)),"-")</f>
        <v>-</v>
      </c>
      <c r="H138" s="35" t="str">
        <f>IFERROR(IF(VLOOKUP($B138,casostestes[#Data],6)=0,"-",VLOOKUP($B138,casostestes[#Data],6)),"-")</f>
        <v>-</v>
      </c>
      <c r="I138" s="35" t="str">
        <f>IFERROR(IF(VLOOKUP($B138,casostestes[#Data],8)=0,"-",VLOOKUP($B138,casostestes[#Data],8)),"-")</f>
        <v>-</v>
      </c>
      <c r="J138" s="35" t="str">
        <f>IFERROR(IF(VLOOKUP($B138,casostestes[#Data],9)=0,"-",VLOOKUP($B138,casostestes[#Data],9)),"-")</f>
        <v>-</v>
      </c>
      <c r="K138" s="36"/>
      <c r="L138" s="45"/>
      <c r="M138" s="37"/>
      <c r="N138" s="38"/>
      <c r="O138" s="38"/>
      <c r="P138" s="39"/>
    </row>
    <row r="139" spans="2:16">
      <c r="B139" s="40" t="str">
        <f>IF(ISERR(casostestes[[#This Row],[ID]]),"-",casostestes[[#This Row],[ID]])</f>
        <v>-</v>
      </c>
      <c r="C139" s="34" t="str">
        <f>IFERROR(IF(VLOOKUP($B139,casostestes[#Data],10)=0,"Não",VLOOKUP($B139,casostestes[#Data],10)), "-")</f>
        <v>-</v>
      </c>
      <c r="D139" s="35" t="str">
        <f>IFERROR(IF(VLOOKUP($B139,casostestes[#Data],2)=0,"-",VLOOKUP($B139,casostestes[#Data],2)), "-")</f>
        <v>-</v>
      </c>
      <c r="E139" s="35" t="str">
        <f>IFERROR(IF(VLOOKUP($B139,casostestes[#Data],3)=0,"-",VLOOKUP($B139,casostestes[#Data],3)), "-")</f>
        <v>-</v>
      </c>
      <c r="F139" s="35" t="str">
        <f>IFERROR(IF(VLOOKUP($B139,casostestes[#Data],4)=0,"-",VLOOKUP($B139,casostestes[#Data],4)),"-")</f>
        <v>-</v>
      </c>
      <c r="G139" s="35" t="str">
        <f>IFERROR(IF(VLOOKUP($B139,casostestes[#Data],5)=0,"-",VLOOKUP($B139,casostestes[#Data],5)),"-")</f>
        <v>-</v>
      </c>
      <c r="H139" s="35" t="str">
        <f>IFERROR(IF(VLOOKUP($B139,casostestes[#Data],6)=0,"-",VLOOKUP($B139,casostestes[#Data],6)),"-")</f>
        <v>-</v>
      </c>
      <c r="I139" s="35" t="str">
        <f>IFERROR(IF(VLOOKUP($B139,casostestes[#Data],8)=0,"-",VLOOKUP($B139,casostestes[#Data],8)),"-")</f>
        <v>-</v>
      </c>
      <c r="J139" s="35" t="str">
        <f>IFERROR(IF(VLOOKUP($B139,casostestes[#Data],9)=0,"-",VLOOKUP($B139,casostestes[#Data],9)),"-")</f>
        <v>-</v>
      </c>
      <c r="K139" s="36"/>
      <c r="L139" s="45"/>
      <c r="M139" s="37"/>
      <c r="N139" s="38"/>
      <c r="O139" s="38"/>
      <c r="P139" s="39"/>
    </row>
    <row r="140" spans="2:16">
      <c r="B140" s="40" t="str">
        <f>IF(ISERR(casostestes[[#This Row],[ID]]),"-",casostestes[[#This Row],[ID]])</f>
        <v>-</v>
      </c>
      <c r="C140" s="34" t="str">
        <f>IFERROR(IF(VLOOKUP($B140,casostestes[#Data],10)=0,"Não",VLOOKUP($B140,casostestes[#Data],10)), "-")</f>
        <v>-</v>
      </c>
      <c r="D140" s="35" t="str">
        <f>IFERROR(IF(VLOOKUP($B140,casostestes[#Data],2)=0,"-",VLOOKUP($B140,casostestes[#Data],2)), "-")</f>
        <v>-</v>
      </c>
      <c r="E140" s="35" t="str">
        <f>IFERROR(IF(VLOOKUP($B140,casostestes[#Data],3)=0,"-",VLOOKUP($B140,casostestes[#Data],3)), "-")</f>
        <v>-</v>
      </c>
      <c r="F140" s="35" t="str">
        <f>IFERROR(IF(VLOOKUP($B140,casostestes[#Data],4)=0,"-",VLOOKUP($B140,casostestes[#Data],4)),"-")</f>
        <v>-</v>
      </c>
      <c r="G140" s="35" t="str">
        <f>IFERROR(IF(VLOOKUP($B140,casostestes[#Data],5)=0,"-",VLOOKUP($B140,casostestes[#Data],5)),"-")</f>
        <v>-</v>
      </c>
      <c r="H140" s="35" t="str">
        <f>IFERROR(IF(VLOOKUP($B140,casostestes[#Data],6)=0,"-",VLOOKUP($B140,casostestes[#Data],6)),"-")</f>
        <v>-</v>
      </c>
      <c r="I140" s="35" t="str">
        <f>IFERROR(IF(VLOOKUP($B140,casostestes[#Data],8)=0,"-",VLOOKUP($B140,casostestes[#Data],8)),"-")</f>
        <v>-</v>
      </c>
      <c r="J140" s="35" t="str">
        <f>IFERROR(IF(VLOOKUP($B140,casostestes[#Data],9)=0,"-",VLOOKUP($B140,casostestes[#Data],9)),"-")</f>
        <v>-</v>
      </c>
      <c r="K140" s="36"/>
      <c r="L140" s="45"/>
      <c r="M140" s="37"/>
      <c r="N140" s="38"/>
      <c r="O140" s="38"/>
      <c r="P140" s="39"/>
    </row>
    <row r="141" spans="2:16">
      <c r="B141" s="40" t="str">
        <f>IF(ISERR(casostestes[[#This Row],[ID]]),"-",casostestes[[#This Row],[ID]])</f>
        <v>-</v>
      </c>
      <c r="C141" s="34" t="str">
        <f>IFERROR(IF(VLOOKUP($B141,casostestes[#Data],10)=0,"Não",VLOOKUP($B141,casostestes[#Data],10)), "-")</f>
        <v>-</v>
      </c>
      <c r="D141" s="35" t="str">
        <f>IFERROR(IF(VLOOKUP($B141,casostestes[#Data],2)=0,"-",VLOOKUP($B141,casostestes[#Data],2)), "-")</f>
        <v>-</v>
      </c>
      <c r="E141" s="35" t="str">
        <f>IFERROR(IF(VLOOKUP($B141,casostestes[#Data],3)=0,"-",VLOOKUP($B141,casostestes[#Data],3)), "-")</f>
        <v>-</v>
      </c>
      <c r="F141" s="35" t="str">
        <f>IFERROR(IF(VLOOKUP($B141,casostestes[#Data],4)=0,"-",VLOOKUP($B141,casostestes[#Data],4)),"-")</f>
        <v>-</v>
      </c>
      <c r="G141" s="35" t="str">
        <f>IFERROR(IF(VLOOKUP($B141,casostestes[#Data],5)=0,"-",VLOOKUP($B141,casostestes[#Data],5)),"-")</f>
        <v>-</v>
      </c>
      <c r="H141" s="35" t="str">
        <f>IFERROR(IF(VLOOKUP($B141,casostestes[#Data],6)=0,"-",VLOOKUP($B141,casostestes[#Data],6)),"-")</f>
        <v>-</v>
      </c>
      <c r="I141" s="35" t="str">
        <f>IFERROR(IF(VLOOKUP($B141,casostestes[#Data],8)=0,"-",VLOOKUP($B141,casostestes[#Data],8)),"-")</f>
        <v>-</v>
      </c>
      <c r="J141" s="35" t="str">
        <f>IFERROR(IF(VLOOKUP($B141,casostestes[#Data],9)=0,"-",VLOOKUP($B141,casostestes[#Data],9)),"-")</f>
        <v>-</v>
      </c>
      <c r="K141" s="36"/>
      <c r="L141" s="45"/>
      <c r="M141" s="37"/>
      <c r="N141" s="38"/>
      <c r="O141" s="38"/>
      <c r="P141" s="39"/>
    </row>
    <row r="142" spans="2:16">
      <c r="B142" s="40" t="str">
        <f>IF(ISERR(casostestes[[#This Row],[ID]]),"-",casostestes[[#This Row],[ID]])</f>
        <v>-</v>
      </c>
      <c r="C142" s="34" t="str">
        <f>IFERROR(IF(VLOOKUP($B142,casostestes[#Data],10)=0,"Não",VLOOKUP($B142,casostestes[#Data],10)), "-")</f>
        <v>-</v>
      </c>
      <c r="D142" s="35" t="str">
        <f>IFERROR(IF(VLOOKUP($B142,casostestes[#Data],2)=0,"-",VLOOKUP($B142,casostestes[#Data],2)), "-")</f>
        <v>-</v>
      </c>
      <c r="E142" s="35" t="str">
        <f>IFERROR(IF(VLOOKUP($B142,casostestes[#Data],3)=0,"-",VLOOKUP($B142,casostestes[#Data],3)), "-")</f>
        <v>-</v>
      </c>
      <c r="F142" s="35" t="str">
        <f>IFERROR(IF(VLOOKUP($B142,casostestes[#Data],4)=0,"-",VLOOKUP($B142,casostestes[#Data],4)),"-")</f>
        <v>-</v>
      </c>
      <c r="G142" s="35" t="str">
        <f>IFERROR(IF(VLOOKUP($B142,casostestes[#Data],5)=0,"-",VLOOKUP($B142,casostestes[#Data],5)),"-")</f>
        <v>-</v>
      </c>
      <c r="H142" s="35" t="str">
        <f>IFERROR(IF(VLOOKUP($B142,casostestes[#Data],6)=0,"-",VLOOKUP($B142,casostestes[#Data],6)),"-")</f>
        <v>-</v>
      </c>
      <c r="I142" s="35" t="str">
        <f>IFERROR(IF(VLOOKUP($B142,casostestes[#Data],8)=0,"-",VLOOKUP($B142,casostestes[#Data],8)),"-")</f>
        <v>-</v>
      </c>
      <c r="J142" s="35" t="str">
        <f>IFERROR(IF(VLOOKUP($B142,casostestes[#Data],9)=0,"-",VLOOKUP($B142,casostestes[#Data],9)),"-")</f>
        <v>-</v>
      </c>
      <c r="K142" s="36"/>
      <c r="L142" s="45"/>
      <c r="M142" s="37"/>
      <c r="N142" s="38"/>
      <c r="O142" s="38"/>
      <c r="P142" s="39"/>
    </row>
    <row r="143" spans="2:16">
      <c r="B143" s="40" t="str">
        <f>IF(ISERR(casostestes[[#This Row],[ID]]),"-",casostestes[[#This Row],[ID]])</f>
        <v>-</v>
      </c>
      <c r="C143" s="34" t="str">
        <f>IFERROR(IF(VLOOKUP($B143,casostestes[#Data],10)=0,"Não",VLOOKUP($B143,casostestes[#Data],10)), "-")</f>
        <v>-</v>
      </c>
      <c r="D143" s="35" t="str">
        <f>IFERROR(IF(VLOOKUP($B143,casostestes[#Data],2)=0,"-",VLOOKUP($B143,casostestes[#Data],2)), "-")</f>
        <v>-</v>
      </c>
      <c r="E143" s="35" t="str">
        <f>IFERROR(IF(VLOOKUP($B143,casostestes[#Data],3)=0,"-",VLOOKUP($B143,casostestes[#Data],3)), "-")</f>
        <v>-</v>
      </c>
      <c r="F143" s="35" t="str">
        <f>IFERROR(IF(VLOOKUP($B143,casostestes[#Data],4)=0,"-",VLOOKUP($B143,casostestes[#Data],4)),"-")</f>
        <v>-</v>
      </c>
      <c r="G143" s="35" t="str">
        <f>IFERROR(IF(VLOOKUP($B143,casostestes[#Data],5)=0,"-",VLOOKUP($B143,casostestes[#Data],5)),"-")</f>
        <v>-</v>
      </c>
      <c r="H143" s="35" t="str">
        <f>IFERROR(IF(VLOOKUP($B143,casostestes[#Data],6)=0,"-",VLOOKUP($B143,casostestes[#Data],6)),"-")</f>
        <v>-</v>
      </c>
      <c r="I143" s="35" t="str">
        <f>IFERROR(IF(VLOOKUP($B143,casostestes[#Data],8)=0,"-",VLOOKUP($B143,casostestes[#Data],8)),"-")</f>
        <v>-</v>
      </c>
      <c r="J143" s="35" t="str">
        <f>IFERROR(IF(VLOOKUP($B143,casostestes[#Data],9)=0,"-",VLOOKUP($B143,casostestes[#Data],9)),"-")</f>
        <v>-</v>
      </c>
      <c r="K143" s="36"/>
      <c r="L143" s="45"/>
      <c r="M143" s="37"/>
      <c r="N143" s="38"/>
      <c r="O143" s="38"/>
      <c r="P143" s="39"/>
    </row>
    <row r="144" spans="2:16">
      <c r="B144" s="40" t="str">
        <f>IF(ISERR(casostestes[[#This Row],[ID]]),"-",casostestes[[#This Row],[ID]])</f>
        <v>-</v>
      </c>
      <c r="C144" s="34" t="str">
        <f>IFERROR(IF(VLOOKUP($B144,casostestes[#Data],10)=0,"Não",VLOOKUP($B144,casostestes[#Data],10)), "-")</f>
        <v>-</v>
      </c>
      <c r="D144" s="35" t="str">
        <f>IFERROR(IF(VLOOKUP($B144,casostestes[#Data],2)=0,"-",VLOOKUP($B144,casostestes[#Data],2)), "-")</f>
        <v>-</v>
      </c>
      <c r="E144" s="35" t="str">
        <f>IFERROR(IF(VLOOKUP($B144,casostestes[#Data],3)=0,"-",VLOOKUP($B144,casostestes[#Data],3)), "-")</f>
        <v>-</v>
      </c>
      <c r="F144" s="35" t="str">
        <f>IFERROR(IF(VLOOKUP($B144,casostestes[#Data],4)=0,"-",VLOOKUP($B144,casostestes[#Data],4)),"-")</f>
        <v>-</v>
      </c>
      <c r="G144" s="35" t="str">
        <f>IFERROR(IF(VLOOKUP($B144,casostestes[#Data],5)=0,"-",VLOOKUP($B144,casostestes[#Data],5)),"-")</f>
        <v>-</v>
      </c>
      <c r="H144" s="35" t="str">
        <f>IFERROR(IF(VLOOKUP($B144,casostestes[#Data],6)=0,"-",VLOOKUP($B144,casostestes[#Data],6)),"-")</f>
        <v>-</v>
      </c>
      <c r="I144" s="35" t="str">
        <f>IFERROR(IF(VLOOKUP($B144,casostestes[#Data],8)=0,"-",VLOOKUP($B144,casostestes[#Data],8)),"-")</f>
        <v>-</v>
      </c>
      <c r="J144" s="35" t="str">
        <f>IFERROR(IF(VLOOKUP($B144,casostestes[#Data],9)=0,"-",VLOOKUP($B144,casostestes[#Data],9)),"-")</f>
        <v>-</v>
      </c>
      <c r="K144" s="36"/>
      <c r="L144" s="45"/>
      <c r="M144" s="37"/>
      <c r="N144" s="38"/>
      <c r="O144" s="38"/>
      <c r="P144" s="39"/>
    </row>
    <row r="145" spans="2:16">
      <c r="B145" s="40" t="str">
        <f>IF(ISERR(casostestes[[#This Row],[ID]]),"-",casostestes[[#This Row],[ID]])</f>
        <v>-</v>
      </c>
      <c r="C145" s="34" t="str">
        <f>IFERROR(IF(VLOOKUP($B145,casostestes[#Data],10)=0,"Não",VLOOKUP($B145,casostestes[#Data],10)), "-")</f>
        <v>-</v>
      </c>
      <c r="D145" s="35" t="str">
        <f>IFERROR(IF(VLOOKUP($B145,casostestes[#Data],2)=0,"-",VLOOKUP($B145,casostestes[#Data],2)), "-")</f>
        <v>-</v>
      </c>
      <c r="E145" s="35" t="str">
        <f>IFERROR(IF(VLOOKUP($B145,casostestes[#Data],3)=0,"-",VLOOKUP($B145,casostestes[#Data],3)), "-")</f>
        <v>-</v>
      </c>
      <c r="F145" s="35" t="str">
        <f>IFERROR(IF(VLOOKUP($B145,casostestes[#Data],4)=0,"-",VLOOKUP($B145,casostestes[#Data],4)),"-")</f>
        <v>-</v>
      </c>
      <c r="G145" s="35" t="str">
        <f>IFERROR(IF(VLOOKUP($B145,casostestes[#Data],5)=0,"-",VLOOKUP($B145,casostestes[#Data],5)),"-")</f>
        <v>-</v>
      </c>
      <c r="H145" s="35" t="str">
        <f>IFERROR(IF(VLOOKUP($B145,casostestes[#Data],6)=0,"-",VLOOKUP($B145,casostestes[#Data],6)),"-")</f>
        <v>-</v>
      </c>
      <c r="I145" s="35" t="str">
        <f>IFERROR(IF(VLOOKUP($B145,casostestes[#Data],8)=0,"-",VLOOKUP($B145,casostestes[#Data],8)),"-")</f>
        <v>-</v>
      </c>
      <c r="J145" s="35" t="str">
        <f>IFERROR(IF(VLOOKUP($B145,casostestes[#Data],9)=0,"-",VLOOKUP($B145,casostestes[#Data],9)),"-")</f>
        <v>-</v>
      </c>
      <c r="K145" s="36"/>
      <c r="L145" s="45"/>
      <c r="M145" s="37"/>
      <c r="N145" s="38"/>
      <c r="O145" s="38"/>
      <c r="P145" s="39"/>
    </row>
    <row r="146" spans="2:16">
      <c r="B146" s="40" t="str">
        <f>IF(ISERR(casostestes[[#This Row],[ID]]),"-",casostestes[[#This Row],[ID]])</f>
        <v>-</v>
      </c>
      <c r="C146" s="34" t="str">
        <f>IFERROR(IF(VLOOKUP($B146,casostestes[#Data],10)=0,"Não",VLOOKUP($B146,casostestes[#Data],10)), "-")</f>
        <v>-</v>
      </c>
      <c r="D146" s="35" t="str">
        <f>IFERROR(IF(VLOOKUP($B146,casostestes[#Data],2)=0,"-",VLOOKUP($B146,casostestes[#Data],2)), "-")</f>
        <v>-</v>
      </c>
      <c r="E146" s="35" t="str">
        <f>IFERROR(IF(VLOOKUP($B146,casostestes[#Data],3)=0,"-",VLOOKUP($B146,casostestes[#Data],3)), "-")</f>
        <v>-</v>
      </c>
      <c r="F146" s="35" t="str">
        <f>IFERROR(IF(VLOOKUP($B146,casostestes[#Data],4)=0,"-",VLOOKUP($B146,casostestes[#Data],4)),"-")</f>
        <v>-</v>
      </c>
      <c r="G146" s="35" t="str">
        <f>IFERROR(IF(VLOOKUP($B146,casostestes[#Data],5)=0,"-",VLOOKUP($B146,casostestes[#Data],5)),"-")</f>
        <v>-</v>
      </c>
      <c r="H146" s="35" t="str">
        <f>IFERROR(IF(VLOOKUP($B146,casostestes[#Data],6)=0,"-",VLOOKUP($B146,casostestes[#Data],6)),"-")</f>
        <v>-</v>
      </c>
      <c r="I146" s="35" t="str">
        <f>IFERROR(IF(VLOOKUP($B146,casostestes[#Data],8)=0,"-",VLOOKUP($B146,casostestes[#Data],8)),"-")</f>
        <v>-</v>
      </c>
      <c r="J146" s="35" t="str">
        <f>IFERROR(IF(VLOOKUP($B146,casostestes[#Data],9)=0,"-",VLOOKUP($B146,casostestes[#Data],9)),"-")</f>
        <v>-</v>
      </c>
      <c r="K146" s="36"/>
      <c r="L146" s="45"/>
      <c r="M146" s="37"/>
      <c r="N146" s="38"/>
      <c r="O146" s="38"/>
      <c r="P146" s="39"/>
    </row>
    <row r="147" spans="2:16">
      <c r="B147" s="40" t="str">
        <f>IF(ISERR(casostestes[[#This Row],[ID]]),"-",casostestes[[#This Row],[ID]])</f>
        <v>-</v>
      </c>
      <c r="C147" s="34" t="str">
        <f>IFERROR(IF(VLOOKUP($B147,casostestes[#Data],10)=0,"Não",VLOOKUP($B147,casostestes[#Data],10)), "-")</f>
        <v>-</v>
      </c>
      <c r="D147" s="35" t="str">
        <f>IFERROR(IF(VLOOKUP($B147,casostestes[#Data],2)=0,"-",VLOOKUP($B147,casostestes[#Data],2)), "-")</f>
        <v>-</v>
      </c>
      <c r="E147" s="35" t="str">
        <f>IFERROR(IF(VLOOKUP($B147,casostestes[#Data],3)=0,"-",VLOOKUP($B147,casostestes[#Data],3)), "-")</f>
        <v>-</v>
      </c>
      <c r="F147" s="35" t="str">
        <f>IFERROR(IF(VLOOKUP($B147,casostestes[#Data],4)=0,"-",VLOOKUP($B147,casostestes[#Data],4)),"-")</f>
        <v>-</v>
      </c>
      <c r="G147" s="35" t="str">
        <f>IFERROR(IF(VLOOKUP($B147,casostestes[#Data],5)=0,"-",VLOOKUP($B147,casostestes[#Data],5)),"-")</f>
        <v>-</v>
      </c>
      <c r="H147" s="35" t="str">
        <f>IFERROR(IF(VLOOKUP($B147,casostestes[#Data],6)=0,"-",VLOOKUP($B147,casostestes[#Data],6)),"-")</f>
        <v>-</v>
      </c>
      <c r="I147" s="35" t="str">
        <f>IFERROR(IF(VLOOKUP($B147,casostestes[#Data],8)=0,"-",VLOOKUP($B147,casostestes[#Data],8)),"-")</f>
        <v>-</v>
      </c>
      <c r="J147" s="35" t="str">
        <f>IFERROR(IF(VLOOKUP($B147,casostestes[#Data],9)=0,"-",VLOOKUP($B147,casostestes[#Data],9)),"-")</f>
        <v>-</v>
      </c>
      <c r="K147" s="36"/>
      <c r="L147" s="45"/>
      <c r="M147" s="37"/>
      <c r="N147" s="38"/>
      <c r="O147" s="38"/>
      <c r="P147" s="39"/>
    </row>
    <row r="148" spans="2:16">
      <c r="B148" s="40" t="str">
        <f>IF(ISERR(casostestes[[#This Row],[ID]]),"-",casostestes[[#This Row],[ID]])</f>
        <v>-</v>
      </c>
      <c r="C148" s="34" t="str">
        <f>IFERROR(IF(VLOOKUP($B148,casostestes[#Data],10)=0,"Não",VLOOKUP($B148,casostestes[#Data],10)), "-")</f>
        <v>-</v>
      </c>
      <c r="D148" s="35" t="str">
        <f>IFERROR(IF(VLOOKUP($B148,casostestes[#Data],2)=0,"-",VLOOKUP($B148,casostestes[#Data],2)), "-")</f>
        <v>-</v>
      </c>
      <c r="E148" s="35" t="str">
        <f>IFERROR(IF(VLOOKUP($B148,casostestes[#Data],3)=0,"-",VLOOKUP($B148,casostestes[#Data],3)), "-")</f>
        <v>-</v>
      </c>
      <c r="F148" s="35" t="str">
        <f>IFERROR(IF(VLOOKUP($B148,casostestes[#Data],4)=0,"-",VLOOKUP($B148,casostestes[#Data],4)),"-")</f>
        <v>-</v>
      </c>
      <c r="G148" s="35" t="str">
        <f>IFERROR(IF(VLOOKUP($B148,casostestes[#Data],5)=0,"-",VLOOKUP($B148,casostestes[#Data],5)),"-")</f>
        <v>-</v>
      </c>
      <c r="H148" s="35" t="str">
        <f>IFERROR(IF(VLOOKUP($B148,casostestes[#Data],6)=0,"-",VLOOKUP($B148,casostestes[#Data],6)),"-")</f>
        <v>-</v>
      </c>
      <c r="I148" s="35" t="str">
        <f>IFERROR(IF(VLOOKUP($B148,casostestes[#Data],8)=0,"-",VLOOKUP($B148,casostestes[#Data],8)),"-")</f>
        <v>-</v>
      </c>
      <c r="J148" s="35" t="str">
        <f>IFERROR(IF(VLOOKUP($B148,casostestes[#Data],9)=0,"-",VLOOKUP($B148,casostestes[#Data],9)),"-")</f>
        <v>-</v>
      </c>
      <c r="K148" s="36"/>
      <c r="L148" s="45"/>
      <c r="M148" s="37"/>
      <c r="N148" s="38"/>
      <c r="O148" s="38"/>
      <c r="P148" s="39"/>
    </row>
    <row r="149" spans="2:16">
      <c r="B149" s="40" t="str">
        <f>IF(ISERR(casostestes[[#This Row],[ID]]),"-",casostestes[[#This Row],[ID]])</f>
        <v>-</v>
      </c>
      <c r="C149" s="34" t="str">
        <f>IFERROR(IF(VLOOKUP($B149,casostestes[#Data],10)=0,"Não",VLOOKUP($B149,casostestes[#Data],10)), "-")</f>
        <v>-</v>
      </c>
      <c r="D149" s="35" t="str">
        <f>IFERROR(IF(VLOOKUP($B149,casostestes[#Data],2)=0,"-",VLOOKUP($B149,casostestes[#Data],2)), "-")</f>
        <v>-</v>
      </c>
      <c r="E149" s="35" t="str">
        <f>IFERROR(IF(VLOOKUP($B149,casostestes[#Data],3)=0,"-",VLOOKUP($B149,casostestes[#Data],3)), "-")</f>
        <v>-</v>
      </c>
      <c r="F149" s="35" t="str">
        <f>IFERROR(IF(VLOOKUP($B149,casostestes[#Data],4)=0,"-",VLOOKUP($B149,casostestes[#Data],4)),"-")</f>
        <v>-</v>
      </c>
      <c r="G149" s="35" t="str">
        <f>IFERROR(IF(VLOOKUP($B149,casostestes[#Data],5)=0,"-",VLOOKUP($B149,casostestes[#Data],5)),"-")</f>
        <v>-</v>
      </c>
      <c r="H149" s="35" t="str">
        <f>IFERROR(IF(VLOOKUP($B149,casostestes[#Data],6)=0,"-",VLOOKUP($B149,casostestes[#Data],6)),"-")</f>
        <v>-</v>
      </c>
      <c r="I149" s="35" t="str">
        <f>IFERROR(IF(VLOOKUP($B149,casostestes[#Data],8)=0,"-",VLOOKUP($B149,casostestes[#Data],8)),"-")</f>
        <v>-</v>
      </c>
      <c r="J149" s="35" t="str">
        <f>IFERROR(IF(VLOOKUP($B149,casostestes[#Data],9)=0,"-",VLOOKUP($B149,casostestes[#Data],9)),"-")</f>
        <v>-</v>
      </c>
      <c r="K149" s="36"/>
      <c r="L149" s="45"/>
      <c r="M149" s="37"/>
      <c r="N149" s="38"/>
      <c r="O149" s="38"/>
      <c r="P149" s="39"/>
    </row>
    <row r="150" spans="2:16">
      <c r="B150" s="40" t="str">
        <f>IF(ISERR(casostestes[[#This Row],[ID]]),"-",casostestes[[#This Row],[ID]])</f>
        <v>-</v>
      </c>
      <c r="C150" s="34" t="str">
        <f>IFERROR(IF(VLOOKUP($B150,casostestes[#Data],10)=0,"Não",VLOOKUP($B150,casostestes[#Data],10)), "-")</f>
        <v>-</v>
      </c>
      <c r="D150" s="35" t="str">
        <f>IFERROR(IF(VLOOKUP($B150,casostestes[#Data],2)=0,"-",VLOOKUP($B150,casostestes[#Data],2)), "-")</f>
        <v>-</v>
      </c>
      <c r="E150" s="35" t="str">
        <f>IFERROR(IF(VLOOKUP($B150,casostestes[#Data],3)=0,"-",VLOOKUP($B150,casostestes[#Data],3)), "-")</f>
        <v>-</v>
      </c>
      <c r="F150" s="35" t="str">
        <f>IFERROR(IF(VLOOKUP($B150,casostestes[#Data],4)=0,"-",VLOOKUP($B150,casostestes[#Data],4)),"-")</f>
        <v>-</v>
      </c>
      <c r="G150" s="35" t="str">
        <f>IFERROR(IF(VLOOKUP($B150,casostestes[#Data],5)=0,"-",VLOOKUP($B150,casostestes[#Data],5)),"-")</f>
        <v>-</v>
      </c>
      <c r="H150" s="35" t="str">
        <f>IFERROR(IF(VLOOKUP($B150,casostestes[#Data],6)=0,"-",VLOOKUP($B150,casostestes[#Data],6)),"-")</f>
        <v>-</v>
      </c>
      <c r="I150" s="35" t="str">
        <f>IFERROR(IF(VLOOKUP($B150,casostestes[#Data],8)=0,"-",VLOOKUP($B150,casostestes[#Data],8)),"-")</f>
        <v>-</v>
      </c>
      <c r="J150" s="35" t="str">
        <f>IFERROR(IF(VLOOKUP($B150,casostestes[#Data],9)=0,"-",VLOOKUP($B150,casostestes[#Data],9)),"-")</f>
        <v>-</v>
      </c>
      <c r="K150" s="36"/>
      <c r="L150" s="45"/>
      <c r="M150" s="37"/>
      <c r="N150" s="38"/>
      <c r="O150" s="38"/>
      <c r="P150" s="39"/>
    </row>
    <row r="151" spans="2:16">
      <c r="B151" s="40" t="str">
        <f>IF(ISERR(casostestes[[#This Row],[ID]]),"-",casostestes[[#This Row],[ID]])</f>
        <v>-</v>
      </c>
      <c r="C151" s="34" t="str">
        <f>IFERROR(IF(VLOOKUP($B151,casostestes[#Data],10)=0,"Não",VLOOKUP($B151,casostestes[#Data],10)), "-")</f>
        <v>-</v>
      </c>
      <c r="D151" s="35" t="str">
        <f>IFERROR(IF(VLOOKUP($B151,casostestes[#Data],2)=0,"-",VLOOKUP($B151,casostestes[#Data],2)), "-")</f>
        <v>-</v>
      </c>
      <c r="E151" s="35" t="str">
        <f>IFERROR(IF(VLOOKUP($B151,casostestes[#Data],3)=0,"-",VLOOKUP($B151,casostestes[#Data],3)), "-")</f>
        <v>-</v>
      </c>
      <c r="F151" s="35" t="str">
        <f>IFERROR(IF(VLOOKUP($B151,casostestes[#Data],4)=0,"-",VLOOKUP($B151,casostestes[#Data],4)),"-")</f>
        <v>-</v>
      </c>
      <c r="G151" s="35" t="str">
        <f>IFERROR(IF(VLOOKUP($B151,casostestes[#Data],5)=0,"-",VLOOKUP($B151,casostestes[#Data],5)),"-")</f>
        <v>-</v>
      </c>
      <c r="H151" s="35" t="str">
        <f>IFERROR(IF(VLOOKUP($B151,casostestes[#Data],6)=0,"-",VLOOKUP($B151,casostestes[#Data],6)),"-")</f>
        <v>-</v>
      </c>
      <c r="I151" s="35" t="str">
        <f>IFERROR(IF(VLOOKUP($B151,casostestes[#Data],8)=0,"-",VLOOKUP($B151,casostestes[#Data],8)),"-")</f>
        <v>-</v>
      </c>
      <c r="J151" s="35" t="str">
        <f>IFERROR(IF(VLOOKUP($B151,casostestes[#Data],9)=0,"-",VLOOKUP($B151,casostestes[#Data],9)),"-")</f>
        <v>-</v>
      </c>
      <c r="K151" s="36"/>
      <c r="L151" s="45"/>
      <c r="M151" s="37"/>
      <c r="N151" s="38"/>
      <c r="O151" s="38"/>
      <c r="P151" s="39"/>
    </row>
    <row r="152" spans="2:16">
      <c r="B152" s="40" t="str">
        <f>IF(ISERR(casostestes[[#This Row],[ID]]),"-",casostestes[[#This Row],[ID]])</f>
        <v>-</v>
      </c>
      <c r="C152" s="34" t="str">
        <f>IFERROR(IF(VLOOKUP($B152,casostestes[#Data],10)=0,"Não",VLOOKUP($B152,casostestes[#Data],10)), "-")</f>
        <v>-</v>
      </c>
      <c r="D152" s="35" t="str">
        <f>IFERROR(IF(VLOOKUP($B152,casostestes[#Data],2)=0,"-",VLOOKUP($B152,casostestes[#Data],2)), "-")</f>
        <v>-</v>
      </c>
      <c r="E152" s="35" t="str">
        <f>IFERROR(IF(VLOOKUP($B152,casostestes[#Data],3)=0,"-",VLOOKUP($B152,casostestes[#Data],3)), "-")</f>
        <v>-</v>
      </c>
      <c r="F152" s="35" t="str">
        <f>IFERROR(IF(VLOOKUP($B152,casostestes[#Data],4)=0,"-",VLOOKUP($B152,casostestes[#Data],4)),"-")</f>
        <v>-</v>
      </c>
      <c r="G152" s="35" t="str">
        <f>IFERROR(IF(VLOOKUP($B152,casostestes[#Data],5)=0,"-",VLOOKUP($B152,casostestes[#Data],5)),"-")</f>
        <v>-</v>
      </c>
      <c r="H152" s="35" t="str">
        <f>IFERROR(IF(VLOOKUP($B152,casostestes[#Data],6)=0,"-",VLOOKUP($B152,casostestes[#Data],6)),"-")</f>
        <v>-</v>
      </c>
      <c r="I152" s="35" t="str">
        <f>IFERROR(IF(VLOOKUP($B152,casostestes[#Data],8)=0,"-",VLOOKUP($B152,casostestes[#Data],8)),"-")</f>
        <v>-</v>
      </c>
      <c r="J152" s="35" t="str">
        <f>IFERROR(IF(VLOOKUP($B152,casostestes[#Data],9)=0,"-",VLOOKUP($B152,casostestes[#Data],9)),"-")</f>
        <v>-</v>
      </c>
      <c r="K152" s="36"/>
      <c r="L152" s="45"/>
      <c r="M152" s="37"/>
      <c r="N152" s="38"/>
      <c r="O152" s="38"/>
      <c r="P152" s="39"/>
    </row>
    <row r="153" spans="2:16">
      <c r="B153" s="40" t="str">
        <f>IF(ISERR(casostestes[[#This Row],[ID]]),"-",casostestes[[#This Row],[ID]])</f>
        <v>-</v>
      </c>
      <c r="C153" s="34" t="str">
        <f>IFERROR(IF(VLOOKUP($B153,casostestes[#Data],10)=0,"Não",VLOOKUP($B153,casostestes[#Data],10)), "-")</f>
        <v>-</v>
      </c>
      <c r="D153" s="35" t="str">
        <f>IFERROR(IF(VLOOKUP($B153,casostestes[#Data],2)=0,"-",VLOOKUP($B153,casostestes[#Data],2)), "-")</f>
        <v>-</v>
      </c>
      <c r="E153" s="35" t="str">
        <f>IFERROR(IF(VLOOKUP($B153,casostestes[#Data],3)=0,"-",VLOOKUP($B153,casostestes[#Data],3)), "-")</f>
        <v>-</v>
      </c>
      <c r="F153" s="35" t="str">
        <f>IFERROR(IF(VLOOKUP($B153,casostestes[#Data],4)=0,"-",VLOOKUP($B153,casostestes[#Data],4)),"-")</f>
        <v>-</v>
      </c>
      <c r="G153" s="35" t="str">
        <f>IFERROR(IF(VLOOKUP($B153,casostestes[#Data],5)=0,"-",VLOOKUP($B153,casostestes[#Data],5)),"-")</f>
        <v>-</v>
      </c>
      <c r="H153" s="35" t="str">
        <f>IFERROR(IF(VLOOKUP($B153,casostestes[#Data],6)=0,"-",VLOOKUP($B153,casostestes[#Data],6)),"-")</f>
        <v>-</v>
      </c>
      <c r="I153" s="35" t="str">
        <f>IFERROR(IF(VLOOKUP($B153,casostestes[#Data],8)=0,"-",VLOOKUP($B153,casostestes[#Data],8)),"-")</f>
        <v>-</v>
      </c>
      <c r="J153" s="35" t="str">
        <f>IFERROR(IF(VLOOKUP($B153,casostestes[#Data],9)=0,"-",VLOOKUP($B153,casostestes[#Data],9)),"-")</f>
        <v>-</v>
      </c>
      <c r="K153" s="36"/>
      <c r="L153" s="45"/>
      <c r="M153" s="37"/>
      <c r="N153" s="38"/>
      <c r="O153" s="38"/>
      <c r="P153" s="39"/>
    </row>
    <row r="154" spans="2:16">
      <c r="B154" s="40" t="str">
        <f>IF(ISERR(casostestes[[#This Row],[ID]]),"-",casostestes[[#This Row],[ID]])</f>
        <v>-</v>
      </c>
      <c r="C154" s="34" t="str">
        <f>IFERROR(IF(VLOOKUP($B154,casostestes[#Data],10)=0,"Não",VLOOKUP($B154,casostestes[#Data],10)), "-")</f>
        <v>-</v>
      </c>
      <c r="D154" s="35" t="str">
        <f>IFERROR(IF(VLOOKUP($B154,casostestes[#Data],2)=0,"-",VLOOKUP($B154,casostestes[#Data],2)), "-")</f>
        <v>-</v>
      </c>
      <c r="E154" s="35" t="str">
        <f>IFERROR(IF(VLOOKUP($B154,casostestes[#Data],3)=0,"-",VLOOKUP($B154,casostestes[#Data],3)), "-")</f>
        <v>-</v>
      </c>
      <c r="F154" s="35" t="str">
        <f>IFERROR(IF(VLOOKUP($B154,casostestes[#Data],4)=0,"-",VLOOKUP($B154,casostestes[#Data],4)),"-")</f>
        <v>-</v>
      </c>
      <c r="G154" s="35" t="str">
        <f>IFERROR(IF(VLOOKUP($B154,casostestes[#Data],5)=0,"-",VLOOKUP($B154,casostestes[#Data],5)),"-")</f>
        <v>-</v>
      </c>
      <c r="H154" s="35" t="str">
        <f>IFERROR(IF(VLOOKUP($B154,casostestes[#Data],6)=0,"-",VLOOKUP($B154,casostestes[#Data],6)),"-")</f>
        <v>-</v>
      </c>
      <c r="I154" s="35" t="str">
        <f>IFERROR(IF(VLOOKUP($B154,casostestes[#Data],8)=0,"-",VLOOKUP($B154,casostestes[#Data],8)),"-")</f>
        <v>-</v>
      </c>
      <c r="J154" s="35" t="str">
        <f>IFERROR(IF(VLOOKUP($B154,casostestes[#Data],9)=0,"-",VLOOKUP($B154,casostestes[#Data],9)),"-")</f>
        <v>-</v>
      </c>
      <c r="K154" s="36"/>
      <c r="L154" s="45"/>
      <c r="M154" s="37"/>
      <c r="N154" s="38"/>
      <c r="O154" s="38"/>
      <c r="P154" s="39"/>
    </row>
    <row r="155" spans="2:16">
      <c r="B155" s="40" t="str">
        <f>IF(ISERR(casostestes[[#This Row],[ID]]),"-",casostestes[[#This Row],[ID]])</f>
        <v>-</v>
      </c>
      <c r="C155" s="34" t="str">
        <f>IFERROR(IF(VLOOKUP($B155,casostestes[#Data],10)=0,"Não",VLOOKUP($B155,casostestes[#Data],10)), "-")</f>
        <v>-</v>
      </c>
      <c r="D155" s="35" t="str">
        <f>IFERROR(IF(VLOOKUP($B155,casostestes[#Data],2)=0,"-",VLOOKUP($B155,casostestes[#Data],2)), "-")</f>
        <v>-</v>
      </c>
      <c r="E155" s="35" t="str">
        <f>IFERROR(IF(VLOOKUP($B155,casostestes[#Data],3)=0,"-",VLOOKUP($B155,casostestes[#Data],3)), "-")</f>
        <v>-</v>
      </c>
      <c r="F155" s="35" t="str">
        <f>IFERROR(IF(VLOOKUP($B155,casostestes[#Data],4)=0,"-",VLOOKUP($B155,casostestes[#Data],4)),"-")</f>
        <v>-</v>
      </c>
      <c r="G155" s="35" t="str">
        <f>IFERROR(IF(VLOOKUP($B155,casostestes[#Data],5)=0,"-",VLOOKUP($B155,casostestes[#Data],5)),"-")</f>
        <v>-</v>
      </c>
      <c r="H155" s="35" t="str">
        <f>IFERROR(IF(VLOOKUP($B155,casostestes[#Data],6)=0,"-",VLOOKUP($B155,casostestes[#Data],6)),"-")</f>
        <v>-</v>
      </c>
      <c r="I155" s="35" t="str">
        <f>IFERROR(IF(VLOOKUP($B155,casostestes[#Data],8)=0,"-",VLOOKUP($B155,casostestes[#Data],8)),"-")</f>
        <v>-</v>
      </c>
      <c r="J155" s="35" t="str">
        <f>IFERROR(IF(VLOOKUP($B155,casostestes[#Data],9)=0,"-",VLOOKUP($B155,casostestes[#Data],9)),"-")</f>
        <v>-</v>
      </c>
      <c r="K155" s="36"/>
      <c r="L155" s="45"/>
      <c r="M155" s="37"/>
      <c r="N155" s="38"/>
      <c r="O155" s="38"/>
      <c r="P155" s="39"/>
    </row>
    <row r="156" spans="2:16">
      <c r="B156" s="40" t="str">
        <f>IF(ISERR(casostestes[[#This Row],[ID]]),"-",casostestes[[#This Row],[ID]])</f>
        <v>-</v>
      </c>
      <c r="C156" s="34" t="str">
        <f>IFERROR(IF(VLOOKUP($B156,casostestes[#Data],10)=0,"Não",VLOOKUP($B156,casostestes[#Data],10)), "-")</f>
        <v>-</v>
      </c>
      <c r="D156" s="35" t="str">
        <f>IFERROR(IF(VLOOKUP($B156,casostestes[#Data],2)=0,"-",VLOOKUP($B156,casostestes[#Data],2)), "-")</f>
        <v>-</v>
      </c>
      <c r="E156" s="35" t="str">
        <f>IFERROR(IF(VLOOKUP($B156,casostestes[#Data],3)=0,"-",VLOOKUP($B156,casostestes[#Data],3)), "-")</f>
        <v>-</v>
      </c>
      <c r="F156" s="35" t="str">
        <f>IFERROR(IF(VLOOKUP($B156,casostestes[#Data],4)=0,"-",VLOOKUP($B156,casostestes[#Data],4)),"-")</f>
        <v>-</v>
      </c>
      <c r="G156" s="35" t="str">
        <f>IFERROR(IF(VLOOKUP($B156,casostestes[#Data],5)=0,"-",VLOOKUP($B156,casostestes[#Data],5)),"-")</f>
        <v>-</v>
      </c>
      <c r="H156" s="35" t="str">
        <f>IFERROR(IF(VLOOKUP($B156,casostestes[#Data],6)=0,"-",VLOOKUP($B156,casostestes[#Data],6)),"-")</f>
        <v>-</v>
      </c>
      <c r="I156" s="35" t="str">
        <f>IFERROR(IF(VLOOKUP($B156,casostestes[#Data],8)=0,"-",VLOOKUP($B156,casostestes[#Data],8)),"-")</f>
        <v>-</v>
      </c>
      <c r="J156" s="35" t="str">
        <f>IFERROR(IF(VLOOKUP($B156,casostestes[#Data],9)=0,"-",VLOOKUP($B156,casostestes[#Data],9)),"-")</f>
        <v>-</v>
      </c>
      <c r="K156" s="36"/>
      <c r="L156" s="45"/>
      <c r="M156" s="37"/>
      <c r="N156" s="38"/>
      <c r="O156" s="38"/>
      <c r="P156" s="39"/>
    </row>
    <row r="157" spans="2:16">
      <c r="B157" s="40" t="str">
        <f>IF(ISERR(casostestes[[#This Row],[ID]]),"-",casostestes[[#This Row],[ID]])</f>
        <v>-</v>
      </c>
      <c r="C157" s="34" t="str">
        <f>IFERROR(IF(VLOOKUP($B157,casostestes[#Data],10)=0,"Não",VLOOKUP($B157,casostestes[#Data],10)), "-")</f>
        <v>-</v>
      </c>
      <c r="D157" s="35" t="str">
        <f>IFERROR(IF(VLOOKUP($B157,casostestes[#Data],2)=0,"-",VLOOKUP($B157,casostestes[#Data],2)), "-")</f>
        <v>-</v>
      </c>
      <c r="E157" s="35" t="str">
        <f>IFERROR(IF(VLOOKUP($B157,casostestes[#Data],3)=0,"-",VLOOKUP($B157,casostestes[#Data],3)), "-")</f>
        <v>-</v>
      </c>
      <c r="F157" s="35" t="str">
        <f>IFERROR(IF(VLOOKUP($B157,casostestes[#Data],4)=0,"-",VLOOKUP($B157,casostestes[#Data],4)),"-")</f>
        <v>-</v>
      </c>
      <c r="G157" s="35" t="str">
        <f>IFERROR(IF(VLOOKUP($B157,casostestes[#Data],5)=0,"-",VLOOKUP($B157,casostestes[#Data],5)),"-")</f>
        <v>-</v>
      </c>
      <c r="H157" s="35" t="str">
        <f>IFERROR(IF(VLOOKUP($B157,casostestes[#Data],6)=0,"-",VLOOKUP($B157,casostestes[#Data],6)),"-")</f>
        <v>-</v>
      </c>
      <c r="I157" s="35" t="str">
        <f>IFERROR(IF(VLOOKUP($B157,casostestes[#Data],8)=0,"-",VLOOKUP($B157,casostestes[#Data],8)),"-")</f>
        <v>-</v>
      </c>
      <c r="J157" s="35" t="str">
        <f>IFERROR(IF(VLOOKUP($B157,casostestes[#Data],9)=0,"-",VLOOKUP($B157,casostestes[#Data],9)),"-")</f>
        <v>-</v>
      </c>
      <c r="K157" s="36"/>
      <c r="L157" s="45"/>
      <c r="M157" s="37"/>
      <c r="N157" s="38"/>
      <c r="O157" s="38"/>
      <c r="P157" s="39"/>
    </row>
    <row r="158" spans="2:16">
      <c r="B158" s="40" t="str">
        <f>IF(ISERR(casostestes[[#This Row],[ID]]),"-",casostestes[[#This Row],[ID]])</f>
        <v>-</v>
      </c>
      <c r="C158" s="34" t="str">
        <f>IFERROR(IF(VLOOKUP($B158,casostestes[#Data],10)=0,"Não",VLOOKUP($B158,casostestes[#Data],10)), "-")</f>
        <v>-</v>
      </c>
      <c r="D158" s="35" t="str">
        <f>IFERROR(IF(VLOOKUP($B158,casostestes[#Data],2)=0,"-",VLOOKUP($B158,casostestes[#Data],2)), "-")</f>
        <v>-</v>
      </c>
      <c r="E158" s="35" t="str">
        <f>IFERROR(IF(VLOOKUP($B158,casostestes[#Data],3)=0,"-",VLOOKUP($B158,casostestes[#Data],3)), "-")</f>
        <v>-</v>
      </c>
      <c r="F158" s="35" t="str">
        <f>IFERROR(IF(VLOOKUP($B158,casostestes[#Data],4)=0,"-",VLOOKUP($B158,casostestes[#Data],4)),"-")</f>
        <v>-</v>
      </c>
      <c r="G158" s="35" t="str">
        <f>IFERROR(IF(VLOOKUP($B158,casostestes[#Data],5)=0,"-",VLOOKUP($B158,casostestes[#Data],5)),"-")</f>
        <v>-</v>
      </c>
      <c r="H158" s="35" t="str">
        <f>IFERROR(IF(VLOOKUP($B158,casostestes[#Data],6)=0,"-",VLOOKUP($B158,casostestes[#Data],6)),"-")</f>
        <v>-</v>
      </c>
      <c r="I158" s="35" t="str">
        <f>IFERROR(IF(VLOOKUP($B158,casostestes[#Data],8)=0,"-",VLOOKUP($B158,casostestes[#Data],8)),"-")</f>
        <v>-</v>
      </c>
      <c r="J158" s="35" t="str">
        <f>IFERROR(IF(VLOOKUP($B158,casostestes[#Data],9)=0,"-",VLOOKUP($B158,casostestes[#Data],9)),"-")</f>
        <v>-</v>
      </c>
      <c r="K158" s="36"/>
      <c r="L158" s="45"/>
      <c r="M158" s="37"/>
      <c r="N158" s="38"/>
      <c r="O158" s="38"/>
      <c r="P158" s="39"/>
    </row>
    <row r="159" spans="2:16">
      <c r="B159" s="40" t="str">
        <f>IF(ISERR(casostestes[[#This Row],[ID]]),"-",casostestes[[#This Row],[ID]])</f>
        <v>-</v>
      </c>
      <c r="C159" s="34" t="str">
        <f>IFERROR(IF(VLOOKUP($B159,casostestes[#Data],10)=0,"Não",VLOOKUP($B159,casostestes[#Data],10)), "-")</f>
        <v>-</v>
      </c>
      <c r="D159" s="35" t="str">
        <f>IFERROR(IF(VLOOKUP($B159,casostestes[#Data],2)=0,"-",VLOOKUP($B159,casostestes[#Data],2)), "-")</f>
        <v>-</v>
      </c>
      <c r="E159" s="35" t="str">
        <f>IFERROR(IF(VLOOKUP($B159,casostestes[#Data],3)=0,"-",VLOOKUP($B159,casostestes[#Data],3)), "-")</f>
        <v>-</v>
      </c>
      <c r="F159" s="35" t="str">
        <f>IFERROR(IF(VLOOKUP($B159,casostestes[#Data],4)=0,"-",VLOOKUP($B159,casostestes[#Data],4)),"-")</f>
        <v>-</v>
      </c>
      <c r="G159" s="35" t="str">
        <f>IFERROR(IF(VLOOKUP($B159,casostestes[#Data],5)=0,"-",VLOOKUP($B159,casostestes[#Data],5)),"-")</f>
        <v>-</v>
      </c>
      <c r="H159" s="35" t="str">
        <f>IFERROR(IF(VLOOKUP($B159,casostestes[#Data],6)=0,"-",VLOOKUP($B159,casostestes[#Data],6)),"-")</f>
        <v>-</v>
      </c>
      <c r="I159" s="35" t="str">
        <f>IFERROR(IF(VLOOKUP($B159,casostestes[#Data],8)=0,"-",VLOOKUP($B159,casostestes[#Data],8)),"-")</f>
        <v>-</v>
      </c>
      <c r="J159" s="35" t="str">
        <f>IFERROR(IF(VLOOKUP($B159,casostestes[#Data],9)=0,"-",VLOOKUP($B159,casostestes[#Data],9)),"-")</f>
        <v>-</v>
      </c>
      <c r="K159" s="36"/>
      <c r="L159" s="45"/>
      <c r="M159" s="37"/>
      <c r="N159" s="38"/>
      <c r="O159" s="38"/>
      <c r="P159" s="39"/>
    </row>
    <row r="160" spans="2:16">
      <c r="B160" s="40" t="str">
        <f>IF(ISERR(casostestes[[#This Row],[ID]]),"-",casostestes[[#This Row],[ID]])</f>
        <v>-</v>
      </c>
      <c r="C160" s="34" t="str">
        <f>IFERROR(IF(VLOOKUP($B160,casostestes[#Data],10)=0,"Não",VLOOKUP($B160,casostestes[#Data],10)), "-")</f>
        <v>-</v>
      </c>
      <c r="D160" s="35" t="str">
        <f>IFERROR(IF(VLOOKUP($B160,casostestes[#Data],2)=0,"-",VLOOKUP($B160,casostestes[#Data],2)), "-")</f>
        <v>-</v>
      </c>
      <c r="E160" s="35" t="str">
        <f>IFERROR(IF(VLOOKUP($B160,casostestes[#Data],3)=0,"-",VLOOKUP($B160,casostestes[#Data],3)), "-")</f>
        <v>-</v>
      </c>
      <c r="F160" s="35" t="str">
        <f>IFERROR(IF(VLOOKUP($B160,casostestes[#Data],4)=0,"-",VLOOKUP($B160,casostestes[#Data],4)),"-")</f>
        <v>-</v>
      </c>
      <c r="G160" s="35" t="str">
        <f>IFERROR(IF(VLOOKUP($B160,casostestes[#Data],5)=0,"-",VLOOKUP($B160,casostestes[#Data],5)),"-")</f>
        <v>-</v>
      </c>
      <c r="H160" s="35" t="str">
        <f>IFERROR(IF(VLOOKUP($B160,casostestes[#Data],6)=0,"-",VLOOKUP($B160,casostestes[#Data],6)),"-")</f>
        <v>-</v>
      </c>
      <c r="I160" s="35" t="str">
        <f>IFERROR(IF(VLOOKUP($B160,casostestes[#Data],8)=0,"-",VLOOKUP($B160,casostestes[#Data],8)),"-")</f>
        <v>-</v>
      </c>
      <c r="J160" s="35" t="str">
        <f>IFERROR(IF(VLOOKUP($B160,casostestes[#Data],9)=0,"-",VLOOKUP($B160,casostestes[#Data],9)),"-")</f>
        <v>-</v>
      </c>
      <c r="K160" s="36"/>
      <c r="L160" s="45"/>
      <c r="M160" s="37"/>
      <c r="N160" s="38"/>
      <c r="O160" s="38"/>
      <c r="P160" s="39"/>
    </row>
    <row r="161" spans="2:16">
      <c r="B161" s="40" t="str">
        <f>IF(ISERR(casostestes[[#This Row],[ID]]),"-",casostestes[[#This Row],[ID]])</f>
        <v>-</v>
      </c>
      <c r="C161" s="34" t="str">
        <f>IFERROR(IF(VLOOKUP($B161,casostestes[#Data],10)=0,"Não",VLOOKUP($B161,casostestes[#Data],10)), "-")</f>
        <v>-</v>
      </c>
      <c r="D161" s="35" t="str">
        <f>IFERROR(IF(VLOOKUP($B161,casostestes[#Data],2)=0,"-",VLOOKUP($B161,casostestes[#Data],2)), "-")</f>
        <v>-</v>
      </c>
      <c r="E161" s="35" t="str">
        <f>IFERROR(IF(VLOOKUP($B161,casostestes[#Data],3)=0,"-",VLOOKUP($B161,casostestes[#Data],3)), "-")</f>
        <v>-</v>
      </c>
      <c r="F161" s="35" t="str">
        <f>IFERROR(IF(VLOOKUP($B161,casostestes[#Data],4)=0,"-",VLOOKUP($B161,casostestes[#Data],4)),"-")</f>
        <v>-</v>
      </c>
      <c r="G161" s="35" t="str">
        <f>IFERROR(IF(VLOOKUP($B161,casostestes[#Data],5)=0,"-",VLOOKUP($B161,casostestes[#Data],5)),"-")</f>
        <v>-</v>
      </c>
      <c r="H161" s="35" t="str">
        <f>IFERROR(IF(VLOOKUP($B161,casostestes[#Data],6)=0,"-",VLOOKUP($B161,casostestes[#Data],6)),"-")</f>
        <v>-</v>
      </c>
      <c r="I161" s="35" t="str">
        <f>IFERROR(IF(VLOOKUP($B161,casostestes[#Data],8)=0,"-",VLOOKUP($B161,casostestes[#Data],8)),"-")</f>
        <v>-</v>
      </c>
      <c r="J161" s="35" t="str">
        <f>IFERROR(IF(VLOOKUP($B161,casostestes[#Data],9)=0,"-",VLOOKUP($B161,casostestes[#Data],9)),"-")</f>
        <v>-</v>
      </c>
      <c r="K161" s="36"/>
      <c r="L161" s="45"/>
      <c r="M161" s="37"/>
      <c r="N161" s="38"/>
      <c r="O161" s="38"/>
      <c r="P161" s="39"/>
    </row>
    <row r="162" spans="2:16">
      <c r="B162" s="40" t="str">
        <f>IF(ISERR(casostestes[[#This Row],[ID]]),"-",casostestes[[#This Row],[ID]])</f>
        <v>-</v>
      </c>
      <c r="C162" s="34" t="str">
        <f>IFERROR(IF(VLOOKUP($B162,casostestes[#Data],10)=0,"Não",VLOOKUP($B162,casostestes[#Data],10)), "-")</f>
        <v>-</v>
      </c>
      <c r="D162" s="35" t="str">
        <f>IFERROR(IF(VLOOKUP($B162,casostestes[#Data],2)=0,"-",VLOOKUP($B162,casostestes[#Data],2)), "-")</f>
        <v>-</v>
      </c>
      <c r="E162" s="35" t="str">
        <f>IFERROR(IF(VLOOKUP($B162,casostestes[#Data],3)=0,"-",VLOOKUP($B162,casostestes[#Data],3)), "-")</f>
        <v>-</v>
      </c>
      <c r="F162" s="35" t="str">
        <f>IFERROR(IF(VLOOKUP($B162,casostestes[#Data],4)=0,"-",VLOOKUP($B162,casostestes[#Data],4)),"-")</f>
        <v>-</v>
      </c>
      <c r="G162" s="35" t="str">
        <f>IFERROR(IF(VLOOKUP($B162,casostestes[#Data],5)=0,"-",VLOOKUP($B162,casostestes[#Data],5)),"-")</f>
        <v>-</v>
      </c>
      <c r="H162" s="35" t="str">
        <f>IFERROR(IF(VLOOKUP($B162,casostestes[#Data],6)=0,"-",VLOOKUP($B162,casostestes[#Data],6)),"-")</f>
        <v>-</v>
      </c>
      <c r="I162" s="35" t="str">
        <f>IFERROR(IF(VLOOKUP($B162,casostestes[#Data],8)=0,"-",VLOOKUP($B162,casostestes[#Data],8)),"-")</f>
        <v>-</v>
      </c>
      <c r="J162" s="35" t="str">
        <f>IFERROR(IF(VLOOKUP($B162,casostestes[#Data],9)=0,"-",VLOOKUP($B162,casostestes[#Data],9)),"-")</f>
        <v>-</v>
      </c>
      <c r="K162" s="36"/>
      <c r="L162" s="45"/>
      <c r="M162" s="37"/>
      <c r="N162" s="38"/>
      <c r="O162" s="38"/>
      <c r="P162" s="39"/>
    </row>
    <row r="163" spans="2:16">
      <c r="B163" s="40" t="str">
        <f>IF(ISERR(casostestes[[#This Row],[ID]]),"-",casostestes[[#This Row],[ID]])</f>
        <v>-</v>
      </c>
      <c r="C163" s="34" t="str">
        <f>IFERROR(IF(VLOOKUP($B163,casostestes[#Data],10)=0,"Não",VLOOKUP($B163,casostestes[#Data],10)), "-")</f>
        <v>-</v>
      </c>
      <c r="D163" s="35" t="str">
        <f>IFERROR(IF(VLOOKUP($B163,casostestes[#Data],2)=0,"-",VLOOKUP($B163,casostestes[#Data],2)), "-")</f>
        <v>-</v>
      </c>
      <c r="E163" s="35" t="str">
        <f>IFERROR(IF(VLOOKUP($B163,casostestes[#Data],3)=0,"-",VLOOKUP($B163,casostestes[#Data],3)), "-")</f>
        <v>-</v>
      </c>
      <c r="F163" s="35" t="str">
        <f>IFERROR(IF(VLOOKUP($B163,casostestes[#Data],4)=0,"-",VLOOKUP($B163,casostestes[#Data],4)),"-")</f>
        <v>-</v>
      </c>
      <c r="G163" s="35" t="str">
        <f>IFERROR(IF(VLOOKUP($B163,casostestes[#Data],5)=0,"-",VLOOKUP($B163,casostestes[#Data],5)),"-")</f>
        <v>-</v>
      </c>
      <c r="H163" s="35" t="str">
        <f>IFERROR(IF(VLOOKUP($B163,casostestes[#Data],6)=0,"-",VLOOKUP($B163,casostestes[#Data],6)),"-")</f>
        <v>-</v>
      </c>
      <c r="I163" s="35" t="str">
        <f>IFERROR(IF(VLOOKUP($B163,casostestes[#Data],8)=0,"-",VLOOKUP($B163,casostestes[#Data],8)),"-")</f>
        <v>-</v>
      </c>
      <c r="J163" s="35" t="str">
        <f>IFERROR(IF(VLOOKUP($B163,casostestes[#Data],9)=0,"-",VLOOKUP($B163,casostestes[#Data],9)),"-")</f>
        <v>-</v>
      </c>
      <c r="K163" s="36"/>
      <c r="L163" s="45"/>
      <c r="M163" s="37"/>
      <c r="N163" s="38"/>
      <c r="O163" s="38"/>
      <c r="P163" s="39"/>
    </row>
    <row r="164" spans="2:16">
      <c r="B164" s="40" t="str">
        <f>IF(ISERR(casostestes[[#This Row],[ID]]),"-",casostestes[[#This Row],[ID]])</f>
        <v>-</v>
      </c>
      <c r="C164" s="34" t="str">
        <f>IFERROR(IF(VLOOKUP($B164,casostestes[#Data],10)=0,"Não",VLOOKUP($B164,casostestes[#Data],10)), "-")</f>
        <v>-</v>
      </c>
      <c r="D164" s="35" t="str">
        <f>IFERROR(IF(VLOOKUP($B164,casostestes[#Data],2)=0,"-",VLOOKUP($B164,casostestes[#Data],2)), "-")</f>
        <v>-</v>
      </c>
      <c r="E164" s="35" t="str">
        <f>IFERROR(IF(VLOOKUP($B164,casostestes[#Data],3)=0,"-",VLOOKUP($B164,casostestes[#Data],3)), "-")</f>
        <v>-</v>
      </c>
      <c r="F164" s="35" t="str">
        <f>IFERROR(IF(VLOOKUP($B164,casostestes[#Data],4)=0,"-",VLOOKUP($B164,casostestes[#Data],4)),"-")</f>
        <v>-</v>
      </c>
      <c r="G164" s="35" t="str">
        <f>IFERROR(IF(VLOOKUP($B164,casostestes[#Data],5)=0,"-",VLOOKUP($B164,casostestes[#Data],5)),"-")</f>
        <v>-</v>
      </c>
      <c r="H164" s="35" t="str">
        <f>IFERROR(IF(VLOOKUP($B164,casostestes[#Data],6)=0,"-",VLOOKUP($B164,casostestes[#Data],6)),"-")</f>
        <v>-</v>
      </c>
      <c r="I164" s="35" t="str">
        <f>IFERROR(IF(VLOOKUP($B164,casostestes[#Data],8)=0,"-",VLOOKUP($B164,casostestes[#Data],8)),"-")</f>
        <v>-</v>
      </c>
      <c r="J164" s="35" t="str">
        <f>IFERROR(IF(VLOOKUP($B164,casostestes[#Data],9)=0,"-",VLOOKUP($B164,casostestes[#Data],9)),"-")</f>
        <v>-</v>
      </c>
      <c r="K164" s="36"/>
      <c r="L164" s="45"/>
      <c r="M164" s="37"/>
      <c r="N164" s="38"/>
      <c r="O164" s="38"/>
      <c r="P164" s="39"/>
    </row>
    <row r="165" spans="2:16">
      <c r="B165" s="40" t="str">
        <f>IF(ISERR(casostestes[[#This Row],[ID]]),"-",casostestes[[#This Row],[ID]])</f>
        <v>-</v>
      </c>
      <c r="C165" s="34" t="str">
        <f>IFERROR(IF(VLOOKUP($B165,casostestes[#Data],10)=0,"Não",VLOOKUP($B165,casostestes[#Data],10)), "-")</f>
        <v>-</v>
      </c>
      <c r="D165" s="35" t="str">
        <f>IFERROR(IF(VLOOKUP($B165,casostestes[#Data],2)=0,"-",VLOOKUP($B165,casostestes[#Data],2)), "-")</f>
        <v>-</v>
      </c>
      <c r="E165" s="35" t="str">
        <f>IFERROR(IF(VLOOKUP($B165,casostestes[#Data],3)=0,"-",VLOOKUP($B165,casostestes[#Data],3)), "-")</f>
        <v>-</v>
      </c>
      <c r="F165" s="35" t="str">
        <f>IFERROR(IF(VLOOKUP($B165,casostestes[#Data],4)=0,"-",VLOOKUP($B165,casostestes[#Data],4)),"-")</f>
        <v>-</v>
      </c>
      <c r="G165" s="35" t="str">
        <f>IFERROR(IF(VLOOKUP($B165,casostestes[#Data],5)=0,"-",VLOOKUP($B165,casostestes[#Data],5)),"-")</f>
        <v>-</v>
      </c>
      <c r="H165" s="35" t="str">
        <f>IFERROR(IF(VLOOKUP($B165,casostestes[#Data],6)=0,"-",VLOOKUP($B165,casostestes[#Data],6)),"-")</f>
        <v>-</v>
      </c>
      <c r="I165" s="35" t="str">
        <f>IFERROR(IF(VLOOKUP($B165,casostestes[#Data],8)=0,"-",VLOOKUP($B165,casostestes[#Data],8)),"-")</f>
        <v>-</v>
      </c>
      <c r="J165" s="35" t="str">
        <f>IFERROR(IF(VLOOKUP($B165,casostestes[#Data],9)=0,"-",VLOOKUP($B165,casostestes[#Data],9)),"-")</f>
        <v>-</v>
      </c>
      <c r="K165" s="36"/>
      <c r="L165" s="45"/>
      <c r="M165" s="37"/>
      <c r="N165" s="38"/>
      <c r="O165" s="38"/>
      <c r="P165" s="39"/>
    </row>
    <row r="166" spans="2:16">
      <c r="B166" s="40" t="str">
        <f>IF(ISERR(casostestes[[#This Row],[ID]]),"-",casostestes[[#This Row],[ID]])</f>
        <v>-</v>
      </c>
      <c r="C166" s="34" t="str">
        <f>IFERROR(IF(VLOOKUP($B166,casostestes[#Data],10)=0,"Não",VLOOKUP($B166,casostestes[#Data],10)), "-")</f>
        <v>-</v>
      </c>
      <c r="D166" s="35" t="str">
        <f>IFERROR(IF(VLOOKUP($B166,casostestes[#Data],2)=0,"-",VLOOKUP($B166,casostestes[#Data],2)), "-")</f>
        <v>-</v>
      </c>
      <c r="E166" s="35" t="str">
        <f>IFERROR(IF(VLOOKUP($B166,casostestes[#Data],3)=0,"-",VLOOKUP($B166,casostestes[#Data],3)), "-")</f>
        <v>-</v>
      </c>
      <c r="F166" s="35" t="str">
        <f>IFERROR(IF(VLOOKUP($B166,casostestes[#Data],4)=0,"-",VLOOKUP($B166,casostestes[#Data],4)),"-")</f>
        <v>-</v>
      </c>
      <c r="G166" s="35" t="str">
        <f>IFERROR(IF(VLOOKUP($B166,casostestes[#Data],5)=0,"-",VLOOKUP($B166,casostestes[#Data],5)),"-")</f>
        <v>-</v>
      </c>
      <c r="H166" s="35" t="str">
        <f>IFERROR(IF(VLOOKUP($B166,casostestes[#Data],6)=0,"-",VLOOKUP($B166,casostestes[#Data],6)),"-")</f>
        <v>-</v>
      </c>
      <c r="I166" s="35" t="str">
        <f>IFERROR(IF(VLOOKUP($B166,casostestes[#Data],8)=0,"-",VLOOKUP($B166,casostestes[#Data],8)),"-")</f>
        <v>-</v>
      </c>
      <c r="J166" s="35" t="str">
        <f>IFERROR(IF(VLOOKUP($B166,casostestes[#Data],9)=0,"-",VLOOKUP($B166,casostestes[#Data],9)),"-")</f>
        <v>-</v>
      </c>
      <c r="K166" s="36"/>
      <c r="L166" s="45"/>
      <c r="M166" s="37"/>
      <c r="N166" s="38"/>
      <c r="O166" s="38"/>
      <c r="P166" s="39"/>
    </row>
    <row r="167" spans="2:16">
      <c r="B167" s="40" t="str">
        <f>IF(ISERR(casostestes[[#This Row],[ID]]),"-",casostestes[[#This Row],[ID]])</f>
        <v>-</v>
      </c>
      <c r="C167" s="34" t="str">
        <f>IFERROR(IF(VLOOKUP($B167,casostestes[#Data],10)=0,"Não",VLOOKUP($B167,casostestes[#Data],10)), "-")</f>
        <v>-</v>
      </c>
      <c r="D167" s="35" t="str">
        <f>IFERROR(IF(VLOOKUP($B167,casostestes[#Data],2)=0,"-",VLOOKUP($B167,casostestes[#Data],2)), "-")</f>
        <v>-</v>
      </c>
      <c r="E167" s="35" t="str">
        <f>IFERROR(IF(VLOOKUP($B167,casostestes[#Data],3)=0,"-",VLOOKUP($B167,casostestes[#Data],3)), "-")</f>
        <v>-</v>
      </c>
      <c r="F167" s="35" t="str">
        <f>IFERROR(IF(VLOOKUP($B167,casostestes[#Data],4)=0,"-",VLOOKUP($B167,casostestes[#Data],4)),"-")</f>
        <v>-</v>
      </c>
      <c r="G167" s="35" t="str">
        <f>IFERROR(IF(VLOOKUP($B167,casostestes[#Data],5)=0,"-",VLOOKUP($B167,casostestes[#Data],5)),"-")</f>
        <v>-</v>
      </c>
      <c r="H167" s="35" t="str">
        <f>IFERROR(IF(VLOOKUP($B167,casostestes[#Data],6)=0,"-",VLOOKUP($B167,casostestes[#Data],6)),"-")</f>
        <v>-</v>
      </c>
      <c r="I167" s="35" t="str">
        <f>IFERROR(IF(VLOOKUP($B167,casostestes[#Data],8)=0,"-",VLOOKUP($B167,casostestes[#Data],8)),"-")</f>
        <v>-</v>
      </c>
      <c r="J167" s="35" t="str">
        <f>IFERROR(IF(VLOOKUP($B167,casostestes[#Data],9)=0,"-",VLOOKUP($B167,casostestes[#Data],9)),"-")</f>
        <v>-</v>
      </c>
      <c r="K167" s="36"/>
      <c r="L167" s="45"/>
      <c r="M167" s="37"/>
      <c r="N167" s="38"/>
      <c r="O167" s="38"/>
      <c r="P167" s="39"/>
    </row>
    <row r="168" spans="2:16">
      <c r="B168" s="40" t="str">
        <f>IF(ISERR(casostestes[[#This Row],[ID]]),"-",casostestes[[#This Row],[ID]])</f>
        <v>-</v>
      </c>
      <c r="C168" s="34" t="str">
        <f>IFERROR(IF(VLOOKUP($B168,casostestes[#Data],10)=0,"Não",VLOOKUP($B168,casostestes[#Data],10)), "-")</f>
        <v>-</v>
      </c>
      <c r="D168" s="35" t="str">
        <f>IFERROR(IF(VLOOKUP($B168,casostestes[#Data],2)=0,"-",VLOOKUP($B168,casostestes[#Data],2)), "-")</f>
        <v>-</v>
      </c>
      <c r="E168" s="35" t="str">
        <f>IFERROR(IF(VLOOKUP($B168,casostestes[#Data],3)=0,"-",VLOOKUP($B168,casostestes[#Data],3)), "-")</f>
        <v>-</v>
      </c>
      <c r="F168" s="35" t="str">
        <f>IFERROR(IF(VLOOKUP($B168,casostestes[#Data],4)=0,"-",VLOOKUP($B168,casostestes[#Data],4)),"-")</f>
        <v>-</v>
      </c>
      <c r="G168" s="35" t="str">
        <f>IFERROR(IF(VLOOKUP($B168,casostestes[#Data],5)=0,"-",VLOOKUP($B168,casostestes[#Data],5)),"-")</f>
        <v>-</v>
      </c>
      <c r="H168" s="35" t="str">
        <f>IFERROR(IF(VLOOKUP($B168,casostestes[#Data],6)=0,"-",VLOOKUP($B168,casostestes[#Data],6)),"-")</f>
        <v>-</v>
      </c>
      <c r="I168" s="35" t="str">
        <f>IFERROR(IF(VLOOKUP($B168,casostestes[#Data],8)=0,"-",VLOOKUP($B168,casostestes[#Data],8)),"-")</f>
        <v>-</v>
      </c>
      <c r="J168" s="35" t="str">
        <f>IFERROR(IF(VLOOKUP($B168,casostestes[#Data],9)=0,"-",VLOOKUP($B168,casostestes[#Data],9)),"-")</f>
        <v>-</v>
      </c>
      <c r="K168" s="36"/>
      <c r="L168" s="45"/>
      <c r="M168" s="37"/>
      <c r="N168" s="38"/>
      <c r="O168" s="38"/>
      <c r="P168" s="39"/>
    </row>
    <row r="169" spans="2:16">
      <c r="B169" s="40" t="str">
        <f>IF(ISERR(casostestes[[#This Row],[ID]]),"-",casostestes[[#This Row],[ID]])</f>
        <v>-</v>
      </c>
      <c r="C169" s="34" t="str">
        <f>IFERROR(IF(VLOOKUP($B169,casostestes[#Data],10)=0,"Não",VLOOKUP($B169,casostestes[#Data],10)), "-")</f>
        <v>-</v>
      </c>
      <c r="D169" s="35" t="str">
        <f>IFERROR(IF(VLOOKUP($B169,casostestes[#Data],2)=0,"-",VLOOKUP($B169,casostestes[#Data],2)), "-")</f>
        <v>-</v>
      </c>
      <c r="E169" s="35" t="str">
        <f>IFERROR(IF(VLOOKUP($B169,casostestes[#Data],3)=0,"-",VLOOKUP($B169,casostestes[#Data],3)), "-")</f>
        <v>-</v>
      </c>
      <c r="F169" s="35" t="str">
        <f>IFERROR(IF(VLOOKUP($B169,casostestes[#Data],4)=0,"-",VLOOKUP($B169,casostestes[#Data],4)),"-")</f>
        <v>-</v>
      </c>
      <c r="G169" s="35" t="str">
        <f>IFERROR(IF(VLOOKUP($B169,casostestes[#Data],5)=0,"-",VLOOKUP($B169,casostestes[#Data],5)),"-")</f>
        <v>-</v>
      </c>
      <c r="H169" s="35" t="str">
        <f>IFERROR(IF(VLOOKUP($B169,casostestes[#Data],6)=0,"-",VLOOKUP($B169,casostestes[#Data],6)),"-")</f>
        <v>-</v>
      </c>
      <c r="I169" s="35" t="str">
        <f>IFERROR(IF(VLOOKUP($B169,casostestes[#Data],8)=0,"-",VLOOKUP($B169,casostestes[#Data],8)),"-")</f>
        <v>-</v>
      </c>
      <c r="J169" s="35" t="str">
        <f>IFERROR(IF(VLOOKUP($B169,casostestes[#Data],9)=0,"-",VLOOKUP($B169,casostestes[#Data],9)),"-")</f>
        <v>-</v>
      </c>
      <c r="K169" s="36"/>
      <c r="L169" s="45"/>
      <c r="M169" s="37"/>
      <c r="N169" s="38"/>
      <c r="O169" s="38"/>
      <c r="P169" s="39"/>
    </row>
    <row r="170" spans="2:16">
      <c r="B170" s="40" t="str">
        <f>IF(ISERR(casostestes[[#This Row],[ID]]),"-",casostestes[[#This Row],[ID]])</f>
        <v>-</v>
      </c>
      <c r="C170" s="34" t="str">
        <f>IFERROR(IF(VLOOKUP($B170,casostestes[#Data],10)=0,"Não",VLOOKUP($B170,casostestes[#Data],10)), "-")</f>
        <v>-</v>
      </c>
      <c r="D170" s="35" t="str">
        <f>IFERROR(IF(VLOOKUP($B170,casostestes[#Data],2)=0,"-",VLOOKUP($B170,casostestes[#Data],2)), "-")</f>
        <v>-</v>
      </c>
      <c r="E170" s="35" t="str">
        <f>IFERROR(IF(VLOOKUP($B170,casostestes[#Data],3)=0,"-",VLOOKUP($B170,casostestes[#Data],3)), "-")</f>
        <v>-</v>
      </c>
      <c r="F170" s="35" t="str">
        <f>IFERROR(IF(VLOOKUP($B170,casostestes[#Data],4)=0,"-",VLOOKUP($B170,casostestes[#Data],4)),"-")</f>
        <v>-</v>
      </c>
      <c r="G170" s="35" t="str">
        <f>IFERROR(IF(VLOOKUP($B170,casostestes[#Data],5)=0,"-",VLOOKUP($B170,casostestes[#Data],5)),"-")</f>
        <v>-</v>
      </c>
      <c r="H170" s="35" t="str">
        <f>IFERROR(IF(VLOOKUP($B170,casostestes[#Data],6)=0,"-",VLOOKUP($B170,casostestes[#Data],6)),"-")</f>
        <v>-</v>
      </c>
      <c r="I170" s="35" t="str">
        <f>IFERROR(IF(VLOOKUP($B170,casostestes[#Data],8)=0,"-",VLOOKUP($B170,casostestes[#Data],8)),"-")</f>
        <v>-</v>
      </c>
      <c r="J170" s="35" t="str">
        <f>IFERROR(IF(VLOOKUP($B170,casostestes[#Data],9)=0,"-",VLOOKUP($B170,casostestes[#Data],9)),"-")</f>
        <v>-</v>
      </c>
      <c r="K170" s="36"/>
      <c r="L170" s="45"/>
      <c r="M170" s="37"/>
      <c r="N170" s="38"/>
      <c r="O170" s="38"/>
      <c r="P170" s="39"/>
    </row>
    <row r="171" spans="2:16">
      <c r="B171" s="40" t="str">
        <f>IF(ISERR(casostestes[[#This Row],[ID]]),"-",casostestes[[#This Row],[ID]])</f>
        <v>-</v>
      </c>
      <c r="C171" s="34" t="str">
        <f>IFERROR(IF(VLOOKUP($B171,casostestes[#Data],10)=0,"Não",VLOOKUP($B171,casostestes[#Data],10)), "-")</f>
        <v>-</v>
      </c>
      <c r="D171" s="35" t="str">
        <f>IFERROR(IF(VLOOKUP($B171,casostestes[#Data],2)=0,"-",VLOOKUP($B171,casostestes[#Data],2)), "-")</f>
        <v>-</v>
      </c>
      <c r="E171" s="35" t="str">
        <f>IFERROR(IF(VLOOKUP($B171,casostestes[#Data],3)=0,"-",VLOOKUP($B171,casostestes[#Data],3)), "-")</f>
        <v>-</v>
      </c>
      <c r="F171" s="35" t="str">
        <f>IFERROR(IF(VLOOKUP($B171,casostestes[#Data],4)=0,"-",VLOOKUP($B171,casostestes[#Data],4)),"-")</f>
        <v>-</v>
      </c>
      <c r="G171" s="35" t="str">
        <f>IFERROR(IF(VLOOKUP($B171,casostestes[#Data],5)=0,"-",VLOOKUP($B171,casostestes[#Data],5)),"-")</f>
        <v>-</v>
      </c>
      <c r="H171" s="35" t="str">
        <f>IFERROR(IF(VLOOKUP($B171,casostestes[#Data],6)=0,"-",VLOOKUP($B171,casostestes[#Data],6)),"-")</f>
        <v>-</v>
      </c>
      <c r="I171" s="35" t="str">
        <f>IFERROR(IF(VLOOKUP($B171,casostestes[#Data],8)=0,"-",VLOOKUP($B171,casostestes[#Data],8)),"-")</f>
        <v>-</v>
      </c>
      <c r="J171" s="35" t="str">
        <f>IFERROR(IF(VLOOKUP($B171,casostestes[#Data],9)=0,"-",VLOOKUP($B171,casostestes[#Data],9)),"-")</f>
        <v>-</v>
      </c>
      <c r="K171" s="36"/>
      <c r="L171" s="45"/>
      <c r="M171" s="37"/>
      <c r="N171" s="38"/>
      <c r="O171" s="38"/>
      <c r="P171" s="39"/>
    </row>
    <row r="172" spans="2:16">
      <c r="B172" s="40" t="str">
        <f>IF(ISERR(casostestes[[#This Row],[ID]]),"-",casostestes[[#This Row],[ID]])</f>
        <v>-</v>
      </c>
      <c r="C172" s="34" t="str">
        <f>IFERROR(IF(VLOOKUP($B172,casostestes[#Data],10)=0,"Não",VLOOKUP($B172,casostestes[#Data],10)), "-")</f>
        <v>-</v>
      </c>
      <c r="D172" s="35" t="str">
        <f>IFERROR(IF(VLOOKUP($B172,casostestes[#Data],2)=0,"-",VLOOKUP($B172,casostestes[#Data],2)), "-")</f>
        <v>-</v>
      </c>
      <c r="E172" s="35" t="str">
        <f>IFERROR(IF(VLOOKUP($B172,casostestes[#Data],3)=0,"-",VLOOKUP($B172,casostestes[#Data],3)), "-")</f>
        <v>-</v>
      </c>
      <c r="F172" s="35" t="str">
        <f>IFERROR(IF(VLOOKUP($B172,casostestes[#Data],4)=0,"-",VLOOKUP($B172,casostestes[#Data],4)),"-")</f>
        <v>-</v>
      </c>
      <c r="G172" s="35" t="str">
        <f>IFERROR(IF(VLOOKUP($B172,casostestes[#Data],5)=0,"-",VLOOKUP($B172,casostestes[#Data],5)),"-")</f>
        <v>-</v>
      </c>
      <c r="H172" s="35" t="str">
        <f>IFERROR(IF(VLOOKUP($B172,casostestes[#Data],6)=0,"-",VLOOKUP($B172,casostestes[#Data],6)),"-")</f>
        <v>-</v>
      </c>
      <c r="I172" s="35" t="str">
        <f>IFERROR(IF(VLOOKUP($B172,casostestes[#Data],8)=0,"-",VLOOKUP($B172,casostestes[#Data],8)),"-")</f>
        <v>-</v>
      </c>
      <c r="J172" s="35" t="str">
        <f>IFERROR(IF(VLOOKUP($B172,casostestes[#Data],9)=0,"-",VLOOKUP($B172,casostestes[#Data],9)),"-")</f>
        <v>-</v>
      </c>
      <c r="K172" s="36"/>
      <c r="L172" s="45"/>
      <c r="M172" s="37"/>
      <c r="N172" s="38"/>
      <c r="O172" s="38"/>
      <c r="P172" s="39"/>
    </row>
    <row r="173" spans="2:16">
      <c r="B173" s="40" t="str">
        <f>IF(ISERR(casostestes[[#This Row],[ID]]),"-",casostestes[[#This Row],[ID]])</f>
        <v>-</v>
      </c>
      <c r="C173" s="34" t="str">
        <f>IFERROR(IF(VLOOKUP($B173,casostestes[#Data],10)=0,"Não",VLOOKUP($B173,casostestes[#Data],10)), "-")</f>
        <v>-</v>
      </c>
      <c r="D173" s="35" t="str">
        <f>IFERROR(IF(VLOOKUP($B173,casostestes[#Data],2)=0,"-",VLOOKUP($B173,casostestes[#Data],2)), "-")</f>
        <v>-</v>
      </c>
      <c r="E173" s="35" t="str">
        <f>IFERROR(IF(VLOOKUP($B173,casostestes[#Data],3)=0,"-",VLOOKUP($B173,casostestes[#Data],3)), "-")</f>
        <v>-</v>
      </c>
      <c r="F173" s="35" t="str">
        <f>IFERROR(IF(VLOOKUP($B173,casostestes[#Data],4)=0,"-",VLOOKUP($B173,casostestes[#Data],4)),"-")</f>
        <v>-</v>
      </c>
      <c r="G173" s="35" t="str">
        <f>IFERROR(IF(VLOOKUP($B173,casostestes[#Data],5)=0,"-",VLOOKUP($B173,casostestes[#Data],5)),"-")</f>
        <v>-</v>
      </c>
      <c r="H173" s="35" t="str">
        <f>IFERROR(IF(VLOOKUP($B173,casostestes[#Data],6)=0,"-",VLOOKUP($B173,casostestes[#Data],6)),"-")</f>
        <v>-</v>
      </c>
      <c r="I173" s="35" t="str">
        <f>IFERROR(IF(VLOOKUP($B173,casostestes[#Data],8)=0,"-",VLOOKUP($B173,casostestes[#Data],8)),"-")</f>
        <v>-</v>
      </c>
      <c r="J173" s="35" t="str">
        <f>IFERROR(IF(VLOOKUP($B173,casostestes[#Data],9)=0,"-",VLOOKUP($B173,casostestes[#Data],9)),"-")</f>
        <v>-</v>
      </c>
      <c r="K173" s="36"/>
      <c r="L173" s="45"/>
      <c r="M173" s="37"/>
      <c r="N173" s="38"/>
      <c r="O173" s="38"/>
      <c r="P173" s="39"/>
    </row>
    <row r="174" spans="2:16">
      <c r="B174" s="40" t="str">
        <f>IF(ISERR(casostestes[[#This Row],[ID]]),"-",casostestes[[#This Row],[ID]])</f>
        <v>-</v>
      </c>
      <c r="C174" s="34" t="str">
        <f>IFERROR(IF(VLOOKUP($B174,casostestes[#Data],10)=0,"Não",VLOOKUP($B174,casostestes[#Data],10)), "-")</f>
        <v>-</v>
      </c>
      <c r="D174" s="35" t="str">
        <f>IFERROR(IF(VLOOKUP($B174,casostestes[#Data],2)=0,"-",VLOOKUP($B174,casostestes[#Data],2)), "-")</f>
        <v>-</v>
      </c>
      <c r="E174" s="35" t="str">
        <f>IFERROR(IF(VLOOKUP($B174,casostestes[#Data],3)=0,"-",VLOOKUP($B174,casostestes[#Data],3)), "-")</f>
        <v>-</v>
      </c>
      <c r="F174" s="35" t="str">
        <f>IFERROR(IF(VLOOKUP($B174,casostestes[#Data],4)=0,"-",VLOOKUP($B174,casostestes[#Data],4)),"-")</f>
        <v>-</v>
      </c>
      <c r="G174" s="35" t="str">
        <f>IFERROR(IF(VLOOKUP($B174,casostestes[#Data],5)=0,"-",VLOOKUP($B174,casostestes[#Data],5)),"-")</f>
        <v>-</v>
      </c>
      <c r="H174" s="35" t="str">
        <f>IFERROR(IF(VLOOKUP($B174,casostestes[#Data],6)=0,"-",VLOOKUP($B174,casostestes[#Data],6)),"-")</f>
        <v>-</v>
      </c>
      <c r="I174" s="35" t="str">
        <f>IFERROR(IF(VLOOKUP($B174,casostestes[#Data],8)=0,"-",VLOOKUP($B174,casostestes[#Data],8)),"-")</f>
        <v>-</v>
      </c>
      <c r="J174" s="35" t="str">
        <f>IFERROR(IF(VLOOKUP($B174,casostestes[#Data],9)=0,"-",VLOOKUP($B174,casostestes[#Data],9)),"-")</f>
        <v>-</v>
      </c>
      <c r="K174" s="36"/>
      <c r="L174" s="45"/>
      <c r="M174" s="37"/>
      <c r="N174" s="38"/>
      <c r="O174" s="38"/>
      <c r="P174" s="39"/>
    </row>
    <row r="175" spans="2:16">
      <c r="B175" s="40" t="str">
        <f>IF(ISERR(casostestes[[#This Row],[ID]]),"-",casostestes[[#This Row],[ID]])</f>
        <v>-</v>
      </c>
      <c r="C175" s="34" t="str">
        <f>IFERROR(IF(VLOOKUP($B175,casostestes[#Data],10)=0,"Não",VLOOKUP($B175,casostestes[#Data],10)), "-")</f>
        <v>-</v>
      </c>
      <c r="D175" s="35" t="str">
        <f>IFERROR(IF(VLOOKUP($B175,casostestes[#Data],2)=0,"-",VLOOKUP($B175,casostestes[#Data],2)), "-")</f>
        <v>-</v>
      </c>
      <c r="E175" s="35" t="str">
        <f>IFERROR(IF(VLOOKUP($B175,casostestes[#Data],3)=0,"-",VLOOKUP($B175,casostestes[#Data],3)), "-")</f>
        <v>-</v>
      </c>
      <c r="F175" s="35" t="str">
        <f>IFERROR(IF(VLOOKUP($B175,casostestes[#Data],4)=0,"-",VLOOKUP($B175,casostestes[#Data],4)),"-")</f>
        <v>-</v>
      </c>
      <c r="G175" s="35" t="str">
        <f>IFERROR(IF(VLOOKUP($B175,casostestes[#Data],5)=0,"-",VLOOKUP($B175,casostestes[#Data],5)),"-")</f>
        <v>-</v>
      </c>
      <c r="H175" s="35" t="str">
        <f>IFERROR(IF(VLOOKUP($B175,casostestes[#Data],6)=0,"-",VLOOKUP($B175,casostestes[#Data],6)),"-")</f>
        <v>-</v>
      </c>
      <c r="I175" s="35" t="str">
        <f>IFERROR(IF(VLOOKUP($B175,casostestes[#Data],8)=0,"-",VLOOKUP($B175,casostestes[#Data],8)),"-")</f>
        <v>-</v>
      </c>
      <c r="J175" s="35" t="str">
        <f>IFERROR(IF(VLOOKUP($B175,casostestes[#Data],9)=0,"-",VLOOKUP($B175,casostestes[#Data],9)),"-")</f>
        <v>-</v>
      </c>
      <c r="K175" s="36"/>
      <c r="L175" s="45"/>
      <c r="M175" s="37"/>
      <c r="N175" s="38"/>
      <c r="O175" s="38"/>
      <c r="P175" s="39"/>
    </row>
    <row r="176" spans="2:16">
      <c r="B176" s="40" t="str">
        <f>IF(ISERR(casostestes[[#This Row],[ID]]),"-",casostestes[[#This Row],[ID]])</f>
        <v>-</v>
      </c>
      <c r="C176" s="34" t="str">
        <f>IFERROR(IF(VLOOKUP($B176,casostestes[#Data],10)=0,"Não",VLOOKUP($B176,casostestes[#Data],10)), "-")</f>
        <v>-</v>
      </c>
      <c r="D176" s="35" t="str">
        <f>IFERROR(IF(VLOOKUP($B176,casostestes[#Data],2)=0,"-",VLOOKUP($B176,casostestes[#Data],2)), "-")</f>
        <v>-</v>
      </c>
      <c r="E176" s="35" t="str">
        <f>IFERROR(IF(VLOOKUP($B176,casostestes[#Data],3)=0,"-",VLOOKUP($B176,casostestes[#Data],3)), "-")</f>
        <v>-</v>
      </c>
      <c r="F176" s="35" t="str">
        <f>IFERROR(IF(VLOOKUP($B176,casostestes[#Data],4)=0,"-",VLOOKUP($B176,casostestes[#Data],4)),"-")</f>
        <v>-</v>
      </c>
      <c r="G176" s="35" t="str">
        <f>IFERROR(IF(VLOOKUP($B176,casostestes[#Data],5)=0,"-",VLOOKUP($B176,casostestes[#Data],5)),"-")</f>
        <v>-</v>
      </c>
      <c r="H176" s="35" t="str">
        <f>IFERROR(IF(VLOOKUP($B176,casostestes[#Data],6)=0,"-",VLOOKUP($B176,casostestes[#Data],6)),"-")</f>
        <v>-</v>
      </c>
      <c r="I176" s="35" t="str">
        <f>IFERROR(IF(VLOOKUP($B176,casostestes[#Data],8)=0,"-",VLOOKUP($B176,casostestes[#Data],8)),"-")</f>
        <v>-</v>
      </c>
      <c r="J176" s="35" t="str">
        <f>IFERROR(IF(VLOOKUP($B176,casostestes[#Data],9)=0,"-",VLOOKUP($B176,casostestes[#Data],9)),"-")</f>
        <v>-</v>
      </c>
      <c r="K176" s="36"/>
      <c r="L176" s="45"/>
      <c r="M176" s="37"/>
      <c r="N176" s="38"/>
      <c r="O176" s="38"/>
      <c r="P176" s="39"/>
    </row>
    <row r="177" spans="2:16">
      <c r="B177" s="40" t="str">
        <f>IF(ISERR(casostestes[[#This Row],[ID]]),"-",casostestes[[#This Row],[ID]])</f>
        <v>-</v>
      </c>
      <c r="C177" s="34" t="str">
        <f>IFERROR(IF(VLOOKUP($B177,casostestes[#Data],10)=0,"Não",VLOOKUP($B177,casostestes[#Data],10)), "-")</f>
        <v>-</v>
      </c>
      <c r="D177" s="35" t="str">
        <f>IFERROR(IF(VLOOKUP($B177,casostestes[#Data],2)=0,"-",VLOOKUP($B177,casostestes[#Data],2)), "-")</f>
        <v>-</v>
      </c>
      <c r="E177" s="35" t="str">
        <f>IFERROR(IF(VLOOKUP($B177,casostestes[#Data],3)=0,"-",VLOOKUP($B177,casostestes[#Data],3)), "-")</f>
        <v>-</v>
      </c>
      <c r="F177" s="35" t="str">
        <f>IFERROR(IF(VLOOKUP($B177,casostestes[#Data],4)=0,"-",VLOOKUP($B177,casostestes[#Data],4)),"-")</f>
        <v>-</v>
      </c>
      <c r="G177" s="35" t="str">
        <f>IFERROR(IF(VLOOKUP($B177,casostestes[#Data],5)=0,"-",VLOOKUP($B177,casostestes[#Data],5)),"-")</f>
        <v>-</v>
      </c>
      <c r="H177" s="35" t="str">
        <f>IFERROR(IF(VLOOKUP($B177,casostestes[#Data],6)=0,"-",VLOOKUP($B177,casostestes[#Data],6)),"-")</f>
        <v>-</v>
      </c>
      <c r="I177" s="35" t="str">
        <f>IFERROR(IF(VLOOKUP($B177,casostestes[#Data],8)=0,"-",VLOOKUP($B177,casostestes[#Data],8)),"-")</f>
        <v>-</v>
      </c>
      <c r="J177" s="35" t="str">
        <f>IFERROR(IF(VLOOKUP($B177,casostestes[#Data],9)=0,"-",VLOOKUP($B177,casostestes[#Data],9)),"-")</f>
        <v>-</v>
      </c>
      <c r="K177" s="36"/>
      <c r="L177" s="45"/>
      <c r="M177" s="37"/>
      <c r="N177" s="38"/>
      <c r="O177" s="38"/>
      <c r="P177" s="39"/>
    </row>
    <row r="178" spans="2:16">
      <c r="B178" s="40" t="str">
        <f>IF(ISERR(casostestes[[#This Row],[ID]]),"-",casostestes[[#This Row],[ID]])</f>
        <v>-</v>
      </c>
      <c r="C178" s="34" t="str">
        <f>IFERROR(IF(VLOOKUP($B178,casostestes[#Data],10)=0,"Não",VLOOKUP($B178,casostestes[#Data],10)), "-")</f>
        <v>-</v>
      </c>
      <c r="D178" s="35" t="str">
        <f>IFERROR(IF(VLOOKUP($B178,casostestes[#Data],2)=0,"-",VLOOKUP($B178,casostestes[#Data],2)), "-")</f>
        <v>-</v>
      </c>
      <c r="E178" s="35" t="str">
        <f>IFERROR(IF(VLOOKUP($B178,casostestes[#Data],3)=0,"-",VLOOKUP($B178,casostestes[#Data],3)), "-")</f>
        <v>-</v>
      </c>
      <c r="F178" s="35" t="str">
        <f>IFERROR(IF(VLOOKUP($B178,casostestes[#Data],4)=0,"-",VLOOKUP($B178,casostestes[#Data],4)),"-")</f>
        <v>-</v>
      </c>
      <c r="G178" s="35" t="str">
        <f>IFERROR(IF(VLOOKUP($B178,casostestes[#Data],5)=0,"-",VLOOKUP($B178,casostestes[#Data],5)),"-")</f>
        <v>-</v>
      </c>
      <c r="H178" s="35" t="str">
        <f>IFERROR(IF(VLOOKUP($B178,casostestes[#Data],6)=0,"-",VLOOKUP($B178,casostestes[#Data],6)),"-")</f>
        <v>-</v>
      </c>
      <c r="I178" s="35" t="str">
        <f>IFERROR(IF(VLOOKUP($B178,casostestes[#Data],8)=0,"-",VLOOKUP($B178,casostestes[#Data],8)),"-")</f>
        <v>-</v>
      </c>
      <c r="J178" s="35" t="str">
        <f>IFERROR(IF(VLOOKUP($B178,casostestes[#Data],9)=0,"-",VLOOKUP($B178,casostestes[#Data],9)),"-")</f>
        <v>-</v>
      </c>
      <c r="K178" s="36"/>
      <c r="L178" s="45"/>
      <c r="M178" s="37"/>
      <c r="N178" s="38"/>
      <c r="O178" s="38"/>
      <c r="P178" s="39"/>
    </row>
    <row r="179" spans="2:16">
      <c r="B179" s="40" t="str">
        <f>IF(ISERR(casostestes[[#This Row],[ID]]),"-",casostestes[[#This Row],[ID]])</f>
        <v>-</v>
      </c>
      <c r="C179" s="34" t="str">
        <f>IFERROR(IF(VLOOKUP($B179,casostestes[#Data],10)=0,"Não",VLOOKUP($B179,casostestes[#Data],10)), "-")</f>
        <v>-</v>
      </c>
      <c r="D179" s="35" t="str">
        <f>IFERROR(IF(VLOOKUP($B179,casostestes[#Data],2)=0,"-",VLOOKUP($B179,casostestes[#Data],2)), "-")</f>
        <v>-</v>
      </c>
      <c r="E179" s="35" t="str">
        <f>IFERROR(IF(VLOOKUP($B179,casostestes[#Data],3)=0,"-",VLOOKUP($B179,casostestes[#Data],3)), "-")</f>
        <v>-</v>
      </c>
      <c r="F179" s="35" t="str">
        <f>IFERROR(IF(VLOOKUP($B179,casostestes[#Data],4)=0,"-",VLOOKUP($B179,casostestes[#Data],4)),"-")</f>
        <v>-</v>
      </c>
      <c r="G179" s="35" t="str">
        <f>IFERROR(IF(VLOOKUP($B179,casostestes[#Data],5)=0,"-",VLOOKUP($B179,casostestes[#Data],5)),"-")</f>
        <v>-</v>
      </c>
      <c r="H179" s="35" t="str">
        <f>IFERROR(IF(VLOOKUP($B179,casostestes[#Data],6)=0,"-",VLOOKUP($B179,casostestes[#Data],6)),"-")</f>
        <v>-</v>
      </c>
      <c r="I179" s="35" t="str">
        <f>IFERROR(IF(VLOOKUP($B179,casostestes[#Data],8)=0,"-",VLOOKUP($B179,casostestes[#Data],8)),"-")</f>
        <v>-</v>
      </c>
      <c r="J179" s="35" t="str">
        <f>IFERROR(IF(VLOOKUP($B179,casostestes[#Data],9)=0,"-",VLOOKUP($B179,casostestes[#Data],9)),"-")</f>
        <v>-</v>
      </c>
      <c r="K179" s="36"/>
      <c r="L179" s="45"/>
      <c r="M179" s="37"/>
      <c r="N179" s="38"/>
      <c r="O179" s="38"/>
      <c r="P179" s="39"/>
    </row>
    <row r="180" spans="2:16">
      <c r="B180" s="40" t="str">
        <f>IF(ISERR(casostestes[[#This Row],[ID]]),"-",casostestes[[#This Row],[ID]])</f>
        <v>-</v>
      </c>
      <c r="C180" s="34" t="str">
        <f>IFERROR(IF(VLOOKUP($B180,casostestes[#Data],10)=0,"Não",VLOOKUP($B180,casostestes[#Data],10)), "-")</f>
        <v>-</v>
      </c>
      <c r="D180" s="35" t="str">
        <f>IFERROR(IF(VLOOKUP($B180,casostestes[#Data],2)=0,"-",VLOOKUP($B180,casostestes[#Data],2)), "-")</f>
        <v>-</v>
      </c>
      <c r="E180" s="35" t="str">
        <f>IFERROR(IF(VLOOKUP($B180,casostestes[#Data],3)=0,"-",VLOOKUP($B180,casostestes[#Data],3)), "-")</f>
        <v>-</v>
      </c>
      <c r="F180" s="35" t="str">
        <f>IFERROR(IF(VLOOKUP($B180,casostestes[#Data],4)=0,"-",VLOOKUP($B180,casostestes[#Data],4)),"-")</f>
        <v>-</v>
      </c>
      <c r="G180" s="35" t="str">
        <f>IFERROR(IF(VLOOKUP($B180,casostestes[#Data],5)=0,"-",VLOOKUP($B180,casostestes[#Data],5)),"-")</f>
        <v>-</v>
      </c>
      <c r="H180" s="35" t="str">
        <f>IFERROR(IF(VLOOKUP($B180,casostestes[#Data],6)=0,"-",VLOOKUP($B180,casostestes[#Data],6)),"-")</f>
        <v>-</v>
      </c>
      <c r="I180" s="35" t="str">
        <f>IFERROR(IF(VLOOKUP($B180,casostestes[#Data],8)=0,"-",VLOOKUP($B180,casostestes[#Data],8)),"-")</f>
        <v>-</v>
      </c>
      <c r="J180" s="35" t="str">
        <f>IFERROR(IF(VLOOKUP($B180,casostestes[#Data],9)=0,"-",VLOOKUP($B180,casostestes[#Data],9)),"-")</f>
        <v>-</v>
      </c>
      <c r="K180" s="36"/>
      <c r="L180" s="45"/>
      <c r="M180" s="37"/>
      <c r="N180" s="38"/>
      <c r="O180" s="38"/>
      <c r="P180" s="39"/>
    </row>
    <row r="181" spans="2:16">
      <c r="B181" s="40" t="str">
        <f>IF(ISERR(casostestes[[#This Row],[ID]]),"-",casostestes[[#This Row],[ID]])</f>
        <v>-</v>
      </c>
      <c r="C181" s="34" t="str">
        <f>IFERROR(IF(VLOOKUP($B181,casostestes[#Data],10)=0,"Não",VLOOKUP($B181,casostestes[#Data],10)), "-")</f>
        <v>-</v>
      </c>
      <c r="D181" s="35" t="str">
        <f>IFERROR(IF(VLOOKUP($B181,casostestes[#Data],2)=0,"-",VLOOKUP($B181,casostestes[#Data],2)), "-")</f>
        <v>-</v>
      </c>
      <c r="E181" s="35" t="str">
        <f>IFERROR(IF(VLOOKUP($B181,casostestes[#Data],3)=0,"-",VLOOKUP($B181,casostestes[#Data],3)), "-")</f>
        <v>-</v>
      </c>
      <c r="F181" s="35" t="str">
        <f>IFERROR(IF(VLOOKUP($B181,casostestes[#Data],4)=0,"-",VLOOKUP($B181,casostestes[#Data],4)),"-")</f>
        <v>-</v>
      </c>
      <c r="G181" s="35" t="str">
        <f>IFERROR(IF(VLOOKUP($B181,casostestes[#Data],5)=0,"-",VLOOKUP($B181,casostestes[#Data],5)),"-")</f>
        <v>-</v>
      </c>
      <c r="H181" s="35" t="str">
        <f>IFERROR(IF(VLOOKUP($B181,casostestes[#Data],6)=0,"-",VLOOKUP($B181,casostestes[#Data],6)),"-")</f>
        <v>-</v>
      </c>
      <c r="I181" s="35" t="str">
        <f>IFERROR(IF(VLOOKUP($B181,casostestes[#Data],8)=0,"-",VLOOKUP($B181,casostestes[#Data],8)),"-")</f>
        <v>-</v>
      </c>
      <c r="J181" s="35" t="str">
        <f>IFERROR(IF(VLOOKUP($B181,casostestes[#Data],9)=0,"-",VLOOKUP($B181,casostestes[#Data],9)),"-")</f>
        <v>-</v>
      </c>
      <c r="K181" s="36"/>
      <c r="L181" s="45"/>
      <c r="M181" s="37"/>
      <c r="N181" s="38"/>
      <c r="O181" s="38"/>
      <c r="P181" s="39"/>
    </row>
    <row r="182" spans="2:16">
      <c r="B182" s="40" t="str">
        <f>IF(ISERR(casostestes[[#This Row],[ID]]),"-",casostestes[[#This Row],[ID]])</f>
        <v>-</v>
      </c>
      <c r="C182" s="34" t="str">
        <f>IFERROR(IF(VLOOKUP($B182,casostestes[#Data],10)=0,"Não",VLOOKUP($B182,casostestes[#Data],10)), "-")</f>
        <v>-</v>
      </c>
      <c r="D182" s="35" t="str">
        <f>IFERROR(IF(VLOOKUP($B182,casostestes[#Data],2)=0,"-",VLOOKUP($B182,casostestes[#Data],2)), "-")</f>
        <v>-</v>
      </c>
      <c r="E182" s="35" t="str">
        <f>IFERROR(IF(VLOOKUP($B182,casostestes[#Data],3)=0,"-",VLOOKUP($B182,casostestes[#Data],3)), "-")</f>
        <v>-</v>
      </c>
      <c r="F182" s="35" t="str">
        <f>IFERROR(IF(VLOOKUP($B182,casostestes[#Data],4)=0,"-",VLOOKUP($B182,casostestes[#Data],4)),"-")</f>
        <v>-</v>
      </c>
      <c r="G182" s="35" t="str">
        <f>IFERROR(IF(VLOOKUP($B182,casostestes[#Data],5)=0,"-",VLOOKUP($B182,casostestes[#Data],5)),"-")</f>
        <v>-</v>
      </c>
      <c r="H182" s="35" t="str">
        <f>IFERROR(IF(VLOOKUP($B182,casostestes[#Data],6)=0,"-",VLOOKUP($B182,casostestes[#Data],6)),"-")</f>
        <v>-</v>
      </c>
      <c r="I182" s="35" t="str">
        <f>IFERROR(IF(VLOOKUP($B182,casostestes[#Data],8)=0,"-",VLOOKUP($B182,casostestes[#Data],8)),"-")</f>
        <v>-</v>
      </c>
      <c r="J182" s="35" t="str">
        <f>IFERROR(IF(VLOOKUP($B182,casostestes[#Data],9)=0,"-",VLOOKUP($B182,casostestes[#Data],9)),"-")</f>
        <v>-</v>
      </c>
      <c r="K182" s="36"/>
      <c r="L182" s="45"/>
      <c r="M182" s="37"/>
      <c r="N182" s="38"/>
      <c r="O182" s="38"/>
      <c r="P182" s="39"/>
    </row>
    <row r="183" spans="2:16">
      <c r="B183" s="40" t="str">
        <f>IF(ISERR(casostestes[[#This Row],[ID]]),"-",casostestes[[#This Row],[ID]])</f>
        <v>-</v>
      </c>
      <c r="C183" s="34" t="str">
        <f>IFERROR(IF(VLOOKUP($B183,casostestes[#Data],10)=0,"Não",VLOOKUP($B183,casostestes[#Data],10)), "-")</f>
        <v>-</v>
      </c>
      <c r="D183" s="35" t="str">
        <f>IFERROR(IF(VLOOKUP($B183,casostestes[#Data],2)=0,"-",VLOOKUP($B183,casostestes[#Data],2)), "-")</f>
        <v>-</v>
      </c>
      <c r="E183" s="35" t="str">
        <f>IFERROR(IF(VLOOKUP($B183,casostestes[#Data],3)=0,"-",VLOOKUP($B183,casostestes[#Data],3)), "-")</f>
        <v>-</v>
      </c>
      <c r="F183" s="35" t="str">
        <f>IFERROR(IF(VLOOKUP($B183,casostestes[#Data],4)=0,"-",VLOOKUP($B183,casostestes[#Data],4)),"-")</f>
        <v>-</v>
      </c>
      <c r="G183" s="35" t="str">
        <f>IFERROR(IF(VLOOKUP($B183,casostestes[#Data],5)=0,"-",VLOOKUP($B183,casostestes[#Data],5)),"-")</f>
        <v>-</v>
      </c>
      <c r="H183" s="35" t="str">
        <f>IFERROR(IF(VLOOKUP($B183,casostestes[#Data],6)=0,"-",VLOOKUP($B183,casostestes[#Data],6)),"-")</f>
        <v>-</v>
      </c>
      <c r="I183" s="35" t="str">
        <f>IFERROR(IF(VLOOKUP($B183,casostestes[#Data],8)=0,"-",VLOOKUP($B183,casostestes[#Data],8)),"-")</f>
        <v>-</v>
      </c>
      <c r="J183" s="35" t="str">
        <f>IFERROR(IF(VLOOKUP($B183,casostestes[#Data],9)=0,"-",VLOOKUP($B183,casostestes[#Data],9)),"-")</f>
        <v>-</v>
      </c>
      <c r="K183" s="36"/>
      <c r="L183" s="45"/>
      <c r="M183" s="37"/>
      <c r="N183" s="38"/>
      <c r="O183" s="38"/>
      <c r="P183" s="39"/>
    </row>
    <row r="184" spans="2:16">
      <c r="B184" s="40" t="str">
        <f>IF(ISERR(casostestes[[#This Row],[ID]]),"-",casostestes[[#This Row],[ID]])</f>
        <v>-</v>
      </c>
      <c r="C184" s="34" t="str">
        <f>IFERROR(IF(VLOOKUP($B184,casostestes[#Data],10)=0,"Não",VLOOKUP($B184,casostestes[#Data],10)), "-")</f>
        <v>-</v>
      </c>
      <c r="D184" s="35" t="str">
        <f>IFERROR(IF(VLOOKUP($B184,casostestes[#Data],2)=0,"-",VLOOKUP($B184,casostestes[#Data],2)), "-")</f>
        <v>-</v>
      </c>
      <c r="E184" s="35" t="str">
        <f>IFERROR(IF(VLOOKUP($B184,casostestes[#Data],3)=0,"-",VLOOKUP($B184,casostestes[#Data],3)), "-")</f>
        <v>-</v>
      </c>
      <c r="F184" s="35" t="str">
        <f>IFERROR(IF(VLOOKUP($B184,casostestes[#Data],4)=0,"-",VLOOKUP($B184,casostestes[#Data],4)),"-")</f>
        <v>-</v>
      </c>
      <c r="G184" s="35" t="str">
        <f>IFERROR(IF(VLOOKUP($B184,casostestes[#Data],5)=0,"-",VLOOKUP($B184,casostestes[#Data],5)),"-")</f>
        <v>-</v>
      </c>
      <c r="H184" s="35" t="str">
        <f>IFERROR(IF(VLOOKUP($B184,casostestes[#Data],6)=0,"-",VLOOKUP($B184,casostestes[#Data],6)),"-")</f>
        <v>-</v>
      </c>
      <c r="I184" s="35" t="str">
        <f>IFERROR(IF(VLOOKUP($B184,casostestes[#Data],8)=0,"-",VLOOKUP($B184,casostestes[#Data],8)),"-")</f>
        <v>-</v>
      </c>
      <c r="J184" s="35" t="str">
        <f>IFERROR(IF(VLOOKUP($B184,casostestes[#Data],9)=0,"-",VLOOKUP($B184,casostestes[#Data],9)),"-")</f>
        <v>-</v>
      </c>
      <c r="K184" s="36"/>
      <c r="L184" s="45"/>
      <c r="M184" s="37"/>
      <c r="N184" s="38"/>
      <c r="O184" s="38"/>
      <c r="P184" s="39"/>
    </row>
    <row r="185" spans="2:16">
      <c r="B185" s="40" t="str">
        <f>IF(ISERR(casostestes[[#This Row],[ID]]),"-",casostestes[[#This Row],[ID]])</f>
        <v>-</v>
      </c>
      <c r="C185" s="34" t="str">
        <f>IFERROR(IF(VLOOKUP($B185,casostestes[#Data],10)=0,"Não",VLOOKUP($B185,casostestes[#Data],10)), "-")</f>
        <v>-</v>
      </c>
      <c r="D185" s="35" t="str">
        <f>IFERROR(IF(VLOOKUP($B185,casostestes[#Data],2)=0,"-",VLOOKUP($B185,casostestes[#Data],2)), "-")</f>
        <v>-</v>
      </c>
      <c r="E185" s="35" t="str">
        <f>IFERROR(IF(VLOOKUP($B185,casostestes[#Data],3)=0,"-",VLOOKUP($B185,casostestes[#Data],3)), "-")</f>
        <v>-</v>
      </c>
      <c r="F185" s="35" t="str">
        <f>IFERROR(IF(VLOOKUP($B185,casostestes[#Data],4)=0,"-",VLOOKUP($B185,casostestes[#Data],4)),"-")</f>
        <v>-</v>
      </c>
      <c r="G185" s="35" t="str">
        <f>IFERROR(IF(VLOOKUP($B185,casostestes[#Data],5)=0,"-",VLOOKUP($B185,casostestes[#Data],5)),"-")</f>
        <v>-</v>
      </c>
      <c r="H185" s="35" t="str">
        <f>IFERROR(IF(VLOOKUP($B185,casostestes[#Data],6)=0,"-",VLOOKUP($B185,casostestes[#Data],6)),"-")</f>
        <v>-</v>
      </c>
      <c r="I185" s="35" t="str">
        <f>IFERROR(IF(VLOOKUP($B185,casostestes[#Data],8)=0,"-",VLOOKUP($B185,casostestes[#Data],8)),"-")</f>
        <v>-</v>
      </c>
      <c r="J185" s="35" t="str">
        <f>IFERROR(IF(VLOOKUP($B185,casostestes[#Data],9)=0,"-",VLOOKUP($B185,casostestes[#Data],9)),"-")</f>
        <v>-</v>
      </c>
      <c r="K185" s="36"/>
      <c r="L185" s="45"/>
      <c r="M185" s="37"/>
      <c r="N185" s="38"/>
      <c r="O185" s="38"/>
      <c r="P185" s="39"/>
    </row>
    <row r="186" spans="2:16">
      <c r="B186" s="40" t="str">
        <f>IF(ISERR(casostestes[[#This Row],[ID]]),"-",casostestes[[#This Row],[ID]])</f>
        <v>-</v>
      </c>
      <c r="C186" s="34" t="str">
        <f>IFERROR(IF(VLOOKUP($B186,casostestes[#Data],10)=0,"Não",VLOOKUP($B186,casostestes[#Data],10)), "-")</f>
        <v>-</v>
      </c>
      <c r="D186" s="35" t="str">
        <f>IFERROR(IF(VLOOKUP($B186,casostestes[#Data],2)=0,"-",VLOOKUP($B186,casostestes[#Data],2)), "-")</f>
        <v>-</v>
      </c>
      <c r="E186" s="35" t="str">
        <f>IFERROR(IF(VLOOKUP($B186,casostestes[#Data],3)=0,"-",VLOOKUP($B186,casostestes[#Data],3)), "-")</f>
        <v>-</v>
      </c>
      <c r="F186" s="35" t="str">
        <f>IFERROR(IF(VLOOKUP($B186,casostestes[#Data],4)=0,"-",VLOOKUP($B186,casostestes[#Data],4)),"-")</f>
        <v>-</v>
      </c>
      <c r="G186" s="35" t="str">
        <f>IFERROR(IF(VLOOKUP($B186,casostestes[#Data],5)=0,"-",VLOOKUP($B186,casostestes[#Data],5)),"-")</f>
        <v>-</v>
      </c>
      <c r="H186" s="35" t="str">
        <f>IFERROR(IF(VLOOKUP($B186,casostestes[#Data],6)=0,"-",VLOOKUP($B186,casostestes[#Data],6)),"-")</f>
        <v>-</v>
      </c>
      <c r="I186" s="35" t="str">
        <f>IFERROR(IF(VLOOKUP($B186,casostestes[#Data],8)=0,"-",VLOOKUP($B186,casostestes[#Data],8)),"-")</f>
        <v>-</v>
      </c>
      <c r="J186" s="35" t="str">
        <f>IFERROR(IF(VLOOKUP($B186,casostestes[#Data],9)=0,"-",VLOOKUP($B186,casostestes[#Data],9)),"-")</f>
        <v>-</v>
      </c>
      <c r="K186" s="36"/>
      <c r="L186" s="45"/>
      <c r="M186" s="37"/>
      <c r="N186" s="38"/>
      <c r="O186" s="38"/>
      <c r="P186" s="39"/>
    </row>
    <row r="187" spans="2:16">
      <c r="B187" s="40" t="str">
        <f>IF(ISERR(casostestes[[#This Row],[ID]]),"-",casostestes[[#This Row],[ID]])</f>
        <v>-</v>
      </c>
      <c r="C187" s="34" t="str">
        <f>IFERROR(IF(VLOOKUP($B187,casostestes[#Data],10)=0,"Não",VLOOKUP($B187,casostestes[#Data],10)), "-")</f>
        <v>-</v>
      </c>
      <c r="D187" s="35" t="str">
        <f>IFERROR(IF(VLOOKUP($B187,casostestes[#Data],2)=0,"-",VLOOKUP($B187,casostestes[#Data],2)), "-")</f>
        <v>-</v>
      </c>
      <c r="E187" s="35" t="str">
        <f>IFERROR(IF(VLOOKUP($B187,casostestes[#Data],3)=0,"-",VLOOKUP($B187,casostestes[#Data],3)), "-")</f>
        <v>-</v>
      </c>
      <c r="F187" s="35" t="str">
        <f>IFERROR(IF(VLOOKUP($B187,casostestes[#Data],4)=0,"-",VLOOKUP($B187,casostestes[#Data],4)),"-")</f>
        <v>-</v>
      </c>
      <c r="G187" s="35" t="str">
        <f>IFERROR(IF(VLOOKUP($B187,casostestes[#Data],5)=0,"-",VLOOKUP($B187,casostestes[#Data],5)),"-")</f>
        <v>-</v>
      </c>
      <c r="H187" s="35" t="str">
        <f>IFERROR(IF(VLOOKUP($B187,casostestes[#Data],6)=0,"-",VLOOKUP($B187,casostestes[#Data],6)),"-")</f>
        <v>-</v>
      </c>
      <c r="I187" s="35" t="str">
        <f>IFERROR(IF(VLOOKUP($B187,casostestes[#Data],8)=0,"-",VLOOKUP($B187,casostestes[#Data],8)),"-")</f>
        <v>-</v>
      </c>
      <c r="J187" s="35" t="str">
        <f>IFERROR(IF(VLOOKUP($B187,casostestes[#Data],9)=0,"-",VLOOKUP($B187,casostestes[#Data],9)),"-")</f>
        <v>-</v>
      </c>
      <c r="K187" s="36"/>
      <c r="L187" s="45"/>
      <c r="M187" s="37"/>
      <c r="N187" s="38"/>
      <c r="O187" s="38"/>
      <c r="P187" s="39"/>
    </row>
    <row r="188" spans="2:16">
      <c r="B188" s="40" t="str">
        <f>IF(ISERR(casostestes[[#This Row],[ID]]),"-",casostestes[[#This Row],[ID]])</f>
        <v>-</v>
      </c>
      <c r="C188" s="34" t="str">
        <f>IFERROR(IF(VLOOKUP($B188,casostestes[#Data],10)=0,"Não",VLOOKUP($B188,casostestes[#Data],10)), "-")</f>
        <v>-</v>
      </c>
      <c r="D188" s="35" t="str">
        <f>IFERROR(IF(VLOOKUP($B188,casostestes[#Data],2)=0,"-",VLOOKUP($B188,casostestes[#Data],2)), "-")</f>
        <v>-</v>
      </c>
      <c r="E188" s="35" t="str">
        <f>IFERROR(IF(VLOOKUP($B188,casostestes[#Data],3)=0,"-",VLOOKUP($B188,casostestes[#Data],3)), "-")</f>
        <v>-</v>
      </c>
      <c r="F188" s="35" t="str">
        <f>IFERROR(IF(VLOOKUP($B188,casostestes[#Data],4)=0,"-",VLOOKUP($B188,casostestes[#Data],4)),"-")</f>
        <v>-</v>
      </c>
      <c r="G188" s="35" t="str">
        <f>IFERROR(IF(VLOOKUP($B188,casostestes[#Data],5)=0,"-",VLOOKUP($B188,casostestes[#Data],5)),"-")</f>
        <v>-</v>
      </c>
      <c r="H188" s="35" t="str">
        <f>IFERROR(IF(VLOOKUP($B188,casostestes[#Data],6)=0,"-",VLOOKUP($B188,casostestes[#Data],6)),"-")</f>
        <v>-</v>
      </c>
      <c r="I188" s="35" t="str">
        <f>IFERROR(IF(VLOOKUP($B188,casostestes[#Data],8)=0,"-",VLOOKUP($B188,casostestes[#Data],8)),"-")</f>
        <v>-</v>
      </c>
      <c r="J188" s="35" t="str">
        <f>IFERROR(IF(VLOOKUP($B188,casostestes[#Data],9)=0,"-",VLOOKUP($B188,casostestes[#Data],9)),"-")</f>
        <v>-</v>
      </c>
      <c r="K188" s="36"/>
      <c r="L188" s="45"/>
      <c r="M188" s="37"/>
      <c r="N188" s="38"/>
      <c r="O188" s="38"/>
      <c r="P188" s="39"/>
    </row>
    <row r="189" spans="2:16">
      <c r="B189" s="40" t="str">
        <f>IF(ISERR(casostestes[[#This Row],[ID]]),"-",casostestes[[#This Row],[ID]])</f>
        <v>-</v>
      </c>
      <c r="C189" s="34" t="str">
        <f>IFERROR(IF(VLOOKUP($B189,casostestes[#Data],10)=0,"Não",VLOOKUP($B189,casostestes[#Data],10)), "-")</f>
        <v>-</v>
      </c>
      <c r="D189" s="35" t="str">
        <f>IFERROR(IF(VLOOKUP($B189,casostestes[#Data],2)=0,"-",VLOOKUP($B189,casostestes[#Data],2)), "-")</f>
        <v>-</v>
      </c>
      <c r="E189" s="35" t="str">
        <f>IFERROR(IF(VLOOKUP($B189,casostestes[#Data],3)=0,"-",VLOOKUP($B189,casostestes[#Data],3)), "-")</f>
        <v>-</v>
      </c>
      <c r="F189" s="35" t="str">
        <f>IFERROR(IF(VLOOKUP($B189,casostestes[#Data],4)=0,"-",VLOOKUP($B189,casostestes[#Data],4)),"-")</f>
        <v>-</v>
      </c>
      <c r="G189" s="35" t="str">
        <f>IFERROR(IF(VLOOKUP($B189,casostestes[#Data],5)=0,"-",VLOOKUP($B189,casostestes[#Data],5)),"-")</f>
        <v>-</v>
      </c>
      <c r="H189" s="35" t="str">
        <f>IFERROR(IF(VLOOKUP($B189,casostestes[#Data],6)=0,"-",VLOOKUP($B189,casostestes[#Data],6)),"-")</f>
        <v>-</v>
      </c>
      <c r="I189" s="35" t="str">
        <f>IFERROR(IF(VLOOKUP($B189,casostestes[#Data],8)=0,"-",VLOOKUP($B189,casostestes[#Data],8)),"-")</f>
        <v>-</v>
      </c>
      <c r="J189" s="35" t="str">
        <f>IFERROR(IF(VLOOKUP($B189,casostestes[#Data],9)=0,"-",VLOOKUP($B189,casostestes[#Data],9)),"-")</f>
        <v>-</v>
      </c>
      <c r="K189" s="36"/>
      <c r="L189" s="45"/>
      <c r="M189" s="37"/>
      <c r="N189" s="38"/>
      <c r="O189" s="38"/>
      <c r="P189" s="39"/>
    </row>
    <row r="190" spans="2:16">
      <c r="B190" s="40" t="str">
        <f>IF(ISERR(casostestes[[#This Row],[ID]]),"-",casostestes[[#This Row],[ID]])</f>
        <v>-</v>
      </c>
      <c r="C190" s="34" t="str">
        <f>IFERROR(IF(VLOOKUP($B190,casostestes[#Data],10)=0,"Não",VLOOKUP($B190,casostestes[#Data],10)), "-")</f>
        <v>-</v>
      </c>
      <c r="D190" s="35" t="str">
        <f>IFERROR(IF(VLOOKUP($B190,casostestes[#Data],2)=0,"-",VLOOKUP($B190,casostestes[#Data],2)), "-")</f>
        <v>-</v>
      </c>
      <c r="E190" s="35" t="str">
        <f>IFERROR(IF(VLOOKUP($B190,casostestes[#Data],3)=0,"-",VLOOKUP($B190,casostestes[#Data],3)), "-")</f>
        <v>-</v>
      </c>
      <c r="F190" s="35" t="str">
        <f>IFERROR(IF(VLOOKUP($B190,casostestes[#Data],4)=0,"-",VLOOKUP($B190,casostestes[#Data],4)),"-")</f>
        <v>-</v>
      </c>
      <c r="G190" s="35" t="str">
        <f>IFERROR(IF(VLOOKUP($B190,casostestes[#Data],5)=0,"-",VLOOKUP($B190,casostestes[#Data],5)),"-")</f>
        <v>-</v>
      </c>
      <c r="H190" s="35" t="str">
        <f>IFERROR(IF(VLOOKUP($B190,casostestes[#Data],6)=0,"-",VLOOKUP($B190,casostestes[#Data],6)),"-")</f>
        <v>-</v>
      </c>
      <c r="I190" s="35" t="str">
        <f>IFERROR(IF(VLOOKUP($B190,casostestes[#Data],8)=0,"-",VLOOKUP($B190,casostestes[#Data],8)),"-")</f>
        <v>-</v>
      </c>
      <c r="J190" s="35" t="str">
        <f>IFERROR(IF(VLOOKUP($B190,casostestes[#Data],9)=0,"-",VLOOKUP($B190,casostestes[#Data],9)),"-")</f>
        <v>-</v>
      </c>
      <c r="K190" s="36"/>
      <c r="L190" s="45"/>
      <c r="M190" s="37"/>
      <c r="N190" s="38"/>
      <c r="O190" s="38"/>
      <c r="P190" s="39"/>
    </row>
    <row r="191" spans="2:16">
      <c r="B191" s="40" t="str">
        <f>IF(ISERR(casostestes[[#This Row],[ID]]),"-",casostestes[[#This Row],[ID]])</f>
        <v>-</v>
      </c>
      <c r="C191" s="34" t="str">
        <f>IFERROR(IF(VLOOKUP($B191,casostestes[#Data],10)=0,"Não",VLOOKUP($B191,casostestes[#Data],10)), "-")</f>
        <v>-</v>
      </c>
      <c r="D191" s="35" t="str">
        <f>IFERROR(IF(VLOOKUP($B191,casostestes[#Data],2)=0,"-",VLOOKUP($B191,casostestes[#Data],2)), "-")</f>
        <v>-</v>
      </c>
      <c r="E191" s="35" t="str">
        <f>IFERROR(IF(VLOOKUP($B191,casostestes[#Data],3)=0,"-",VLOOKUP($B191,casostestes[#Data],3)), "-")</f>
        <v>-</v>
      </c>
      <c r="F191" s="35" t="str">
        <f>IFERROR(IF(VLOOKUP($B191,casostestes[#Data],4)=0,"-",VLOOKUP($B191,casostestes[#Data],4)),"-")</f>
        <v>-</v>
      </c>
      <c r="G191" s="35" t="str">
        <f>IFERROR(IF(VLOOKUP($B191,casostestes[#Data],5)=0,"-",VLOOKUP($B191,casostestes[#Data],5)),"-")</f>
        <v>-</v>
      </c>
      <c r="H191" s="35" t="str">
        <f>IFERROR(IF(VLOOKUP($B191,casostestes[#Data],6)=0,"-",VLOOKUP($B191,casostestes[#Data],6)),"-")</f>
        <v>-</v>
      </c>
      <c r="I191" s="35" t="str">
        <f>IFERROR(IF(VLOOKUP($B191,casostestes[#Data],8)=0,"-",VLOOKUP($B191,casostestes[#Data],8)),"-")</f>
        <v>-</v>
      </c>
      <c r="J191" s="35" t="str">
        <f>IFERROR(IF(VLOOKUP($B191,casostestes[#Data],9)=0,"-",VLOOKUP($B191,casostestes[#Data],9)),"-")</f>
        <v>-</v>
      </c>
      <c r="K191" s="36"/>
      <c r="L191" s="45"/>
      <c r="M191" s="37"/>
      <c r="N191" s="38"/>
      <c r="O191" s="38"/>
      <c r="P191" s="39"/>
    </row>
    <row r="192" spans="2:16">
      <c r="B192" s="40" t="str">
        <f>IF(ISERR(casostestes[[#This Row],[ID]]),"-",casostestes[[#This Row],[ID]])</f>
        <v>-</v>
      </c>
      <c r="C192" s="34" t="str">
        <f>IFERROR(IF(VLOOKUP($B192,casostestes[#Data],10)=0,"Não",VLOOKUP($B192,casostestes[#Data],10)), "-")</f>
        <v>-</v>
      </c>
      <c r="D192" s="35" t="str">
        <f>IFERROR(IF(VLOOKUP($B192,casostestes[#Data],2)=0,"-",VLOOKUP($B192,casostestes[#Data],2)), "-")</f>
        <v>-</v>
      </c>
      <c r="E192" s="35" t="str">
        <f>IFERROR(IF(VLOOKUP($B192,casostestes[#Data],3)=0,"-",VLOOKUP($B192,casostestes[#Data],3)), "-")</f>
        <v>-</v>
      </c>
      <c r="F192" s="35" t="str">
        <f>IFERROR(IF(VLOOKUP($B192,casostestes[#Data],4)=0,"-",VLOOKUP($B192,casostestes[#Data],4)),"-")</f>
        <v>-</v>
      </c>
      <c r="G192" s="35" t="str">
        <f>IFERROR(IF(VLOOKUP($B192,casostestes[#Data],5)=0,"-",VLOOKUP($B192,casostestes[#Data],5)),"-")</f>
        <v>-</v>
      </c>
      <c r="H192" s="35" t="str">
        <f>IFERROR(IF(VLOOKUP($B192,casostestes[#Data],6)=0,"-",VLOOKUP($B192,casostestes[#Data],6)),"-")</f>
        <v>-</v>
      </c>
      <c r="I192" s="35" t="str">
        <f>IFERROR(IF(VLOOKUP($B192,casostestes[#Data],8)=0,"-",VLOOKUP($B192,casostestes[#Data],8)),"-")</f>
        <v>-</v>
      </c>
      <c r="J192" s="35" t="str">
        <f>IFERROR(IF(VLOOKUP($B192,casostestes[#Data],9)=0,"-",VLOOKUP($B192,casostestes[#Data],9)),"-")</f>
        <v>-</v>
      </c>
      <c r="K192" s="36"/>
      <c r="L192" s="45"/>
      <c r="M192" s="37"/>
      <c r="N192" s="38"/>
      <c r="O192" s="38"/>
      <c r="P192" s="39"/>
    </row>
    <row r="193" spans="2:16">
      <c r="B193" s="40" t="str">
        <f>IF(ISERR(casostestes[[#This Row],[ID]]),"-",casostestes[[#This Row],[ID]])</f>
        <v>-</v>
      </c>
      <c r="C193" s="34" t="str">
        <f>IFERROR(IF(VLOOKUP($B193,casostestes[#Data],10)=0,"Não",VLOOKUP($B193,casostestes[#Data],10)), "-")</f>
        <v>-</v>
      </c>
      <c r="D193" s="35" t="str">
        <f>IFERROR(IF(VLOOKUP($B193,casostestes[#Data],2)=0,"-",VLOOKUP($B193,casostestes[#Data],2)), "-")</f>
        <v>-</v>
      </c>
      <c r="E193" s="35" t="str">
        <f>IFERROR(IF(VLOOKUP($B193,casostestes[#Data],3)=0,"-",VLOOKUP($B193,casostestes[#Data],3)), "-")</f>
        <v>-</v>
      </c>
      <c r="F193" s="35" t="str">
        <f>IFERROR(IF(VLOOKUP($B193,casostestes[#Data],4)=0,"-",VLOOKUP($B193,casostestes[#Data],4)),"-")</f>
        <v>-</v>
      </c>
      <c r="G193" s="35" t="str">
        <f>IFERROR(IF(VLOOKUP($B193,casostestes[#Data],5)=0,"-",VLOOKUP($B193,casostestes[#Data],5)),"-")</f>
        <v>-</v>
      </c>
      <c r="H193" s="35" t="str">
        <f>IFERROR(IF(VLOOKUP($B193,casostestes[#Data],6)=0,"-",VLOOKUP($B193,casostestes[#Data],6)),"-")</f>
        <v>-</v>
      </c>
      <c r="I193" s="35" t="str">
        <f>IFERROR(IF(VLOOKUP($B193,casostestes[#Data],8)=0,"-",VLOOKUP($B193,casostestes[#Data],8)),"-")</f>
        <v>-</v>
      </c>
      <c r="J193" s="35" t="str">
        <f>IFERROR(IF(VLOOKUP($B193,casostestes[#Data],9)=0,"-",VLOOKUP($B193,casostestes[#Data],9)),"-")</f>
        <v>-</v>
      </c>
      <c r="K193" s="36"/>
      <c r="L193" s="45"/>
      <c r="M193" s="37"/>
      <c r="N193" s="38"/>
      <c r="O193" s="38"/>
      <c r="P193" s="39"/>
    </row>
    <row r="194" spans="2:16">
      <c r="B194" s="40" t="str">
        <f>IF(ISERR(casostestes[[#This Row],[ID]]),"-",casostestes[[#This Row],[ID]])</f>
        <v>-</v>
      </c>
      <c r="C194" s="34" t="str">
        <f>IFERROR(IF(VLOOKUP($B194,casostestes[#Data],10)=0,"Não",VLOOKUP($B194,casostestes[#Data],10)), "-")</f>
        <v>-</v>
      </c>
      <c r="D194" s="35" t="str">
        <f>IFERROR(IF(VLOOKUP($B194,casostestes[#Data],2)=0,"-",VLOOKUP($B194,casostestes[#Data],2)), "-")</f>
        <v>-</v>
      </c>
      <c r="E194" s="35" t="str">
        <f>IFERROR(IF(VLOOKUP($B194,casostestes[#Data],3)=0,"-",VLOOKUP($B194,casostestes[#Data],3)), "-")</f>
        <v>-</v>
      </c>
      <c r="F194" s="35" t="str">
        <f>IFERROR(IF(VLOOKUP($B194,casostestes[#Data],4)=0,"-",VLOOKUP($B194,casostestes[#Data],4)),"-")</f>
        <v>-</v>
      </c>
      <c r="G194" s="35" t="str">
        <f>IFERROR(IF(VLOOKUP($B194,casostestes[#Data],5)=0,"-",VLOOKUP($B194,casostestes[#Data],5)),"-")</f>
        <v>-</v>
      </c>
      <c r="H194" s="35" t="str">
        <f>IFERROR(IF(VLOOKUP($B194,casostestes[#Data],6)=0,"-",VLOOKUP($B194,casostestes[#Data],6)),"-")</f>
        <v>-</v>
      </c>
      <c r="I194" s="35" t="str">
        <f>IFERROR(IF(VLOOKUP($B194,casostestes[#Data],8)=0,"-",VLOOKUP($B194,casostestes[#Data],8)),"-")</f>
        <v>-</v>
      </c>
      <c r="J194" s="35" t="str">
        <f>IFERROR(IF(VLOOKUP($B194,casostestes[#Data],9)=0,"-",VLOOKUP($B194,casostestes[#Data],9)),"-")</f>
        <v>-</v>
      </c>
      <c r="K194" s="36"/>
      <c r="L194" s="45"/>
      <c r="M194" s="37"/>
      <c r="N194" s="38"/>
      <c r="O194" s="38"/>
      <c r="P194" s="39"/>
    </row>
    <row r="195" spans="2:16">
      <c r="B195" s="40" t="str">
        <f>IF(ISERR(casostestes[[#This Row],[ID]]),"-",casostestes[[#This Row],[ID]])</f>
        <v>-</v>
      </c>
      <c r="C195" s="34" t="str">
        <f>IFERROR(IF(VLOOKUP($B195,casostestes[#Data],10)=0,"Não",VLOOKUP($B195,casostestes[#Data],10)), "-")</f>
        <v>-</v>
      </c>
      <c r="D195" s="35" t="str">
        <f>IFERROR(IF(VLOOKUP($B195,casostestes[#Data],2)=0,"-",VLOOKUP($B195,casostestes[#Data],2)), "-")</f>
        <v>-</v>
      </c>
      <c r="E195" s="35" t="str">
        <f>IFERROR(IF(VLOOKUP($B195,casostestes[#Data],3)=0,"-",VLOOKUP($B195,casostestes[#Data],3)), "-")</f>
        <v>-</v>
      </c>
      <c r="F195" s="35" t="str">
        <f>IFERROR(IF(VLOOKUP($B195,casostestes[#Data],4)=0,"-",VLOOKUP($B195,casostestes[#Data],4)),"-")</f>
        <v>-</v>
      </c>
      <c r="G195" s="35" t="str">
        <f>IFERROR(IF(VLOOKUP($B195,casostestes[#Data],5)=0,"-",VLOOKUP($B195,casostestes[#Data],5)),"-")</f>
        <v>-</v>
      </c>
      <c r="H195" s="35" t="str">
        <f>IFERROR(IF(VLOOKUP($B195,casostestes[#Data],6)=0,"-",VLOOKUP($B195,casostestes[#Data],6)),"-")</f>
        <v>-</v>
      </c>
      <c r="I195" s="35" t="str">
        <f>IFERROR(IF(VLOOKUP($B195,casostestes[#Data],8)=0,"-",VLOOKUP($B195,casostestes[#Data],8)),"-")</f>
        <v>-</v>
      </c>
      <c r="J195" s="35" t="str">
        <f>IFERROR(IF(VLOOKUP($B195,casostestes[#Data],9)=0,"-",VLOOKUP($B195,casostestes[#Data],9)),"-")</f>
        <v>-</v>
      </c>
      <c r="K195" s="36"/>
      <c r="L195" s="45"/>
      <c r="M195" s="37"/>
      <c r="N195" s="38"/>
      <c r="O195" s="38"/>
      <c r="P195" s="39"/>
    </row>
    <row r="196" spans="2:16">
      <c r="B196" s="40" t="str">
        <f>IF(ISERR(casostestes[[#This Row],[ID]]),"-",casostestes[[#This Row],[ID]])</f>
        <v>-</v>
      </c>
      <c r="C196" s="34" t="str">
        <f>IFERROR(IF(VLOOKUP($B196,casostestes[#Data],10)=0,"Não",VLOOKUP($B196,casostestes[#Data],10)), "-")</f>
        <v>-</v>
      </c>
      <c r="D196" s="35" t="str">
        <f>IFERROR(IF(VLOOKUP($B196,casostestes[#Data],2)=0,"-",VLOOKUP($B196,casostestes[#Data],2)), "-")</f>
        <v>-</v>
      </c>
      <c r="E196" s="35" t="str">
        <f>IFERROR(IF(VLOOKUP($B196,casostestes[#Data],3)=0,"-",VLOOKUP($B196,casostestes[#Data],3)), "-")</f>
        <v>-</v>
      </c>
      <c r="F196" s="35" t="str">
        <f>IFERROR(IF(VLOOKUP($B196,casostestes[#Data],4)=0,"-",VLOOKUP($B196,casostestes[#Data],4)),"-")</f>
        <v>-</v>
      </c>
      <c r="G196" s="35" t="str">
        <f>IFERROR(IF(VLOOKUP($B196,casostestes[#Data],5)=0,"-",VLOOKUP($B196,casostestes[#Data],5)),"-")</f>
        <v>-</v>
      </c>
      <c r="H196" s="35" t="str">
        <f>IFERROR(IF(VLOOKUP($B196,casostestes[#Data],6)=0,"-",VLOOKUP($B196,casostestes[#Data],6)),"-")</f>
        <v>-</v>
      </c>
      <c r="I196" s="35" t="str">
        <f>IFERROR(IF(VLOOKUP($B196,casostestes[#Data],8)=0,"-",VLOOKUP($B196,casostestes[#Data],8)),"-")</f>
        <v>-</v>
      </c>
      <c r="J196" s="35" t="str">
        <f>IFERROR(IF(VLOOKUP($B196,casostestes[#Data],9)=0,"-",VLOOKUP($B196,casostestes[#Data],9)),"-")</f>
        <v>-</v>
      </c>
      <c r="K196" s="36"/>
      <c r="L196" s="45"/>
      <c r="M196" s="37"/>
      <c r="N196" s="38"/>
      <c r="O196" s="38"/>
      <c r="P196" s="39"/>
    </row>
    <row r="197" spans="2:16">
      <c r="B197" s="40" t="str">
        <f>IF(ISERR(casostestes[[#This Row],[ID]]),"-",casostestes[[#This Row],[ID]])</f>
        <v>-</v>
      </c>
      <c r="C197" s="34" t="str">
        <f>IFERROR(IF(VLOOKUP($B197,casostestes[#Data],10)=0,"Não",VLOOKUP($B197,casostestes[#Data],10)), "-")</f>
        <v>-</v>
      </c>
      <c r="D197" s="35" t="str">
        <f>IFERROR(IF(VLOOKUP($B197,casostestes[#Data],2)=0,"-",VLOOKUP($B197,casostestes[#Data],2)), "-")</f>
        <v>-</v>
      </c>
      <c r="E197" s="35" t="str">
        <f>IFERROR(IF(VLOOKUP($B197,casostestes[#Data],3)=0,"-",VLOOKUP($B197,casostestes[#Data],3)), "-")</f>
        <v>-</v>
      </c>
      <c r="F197" s="35" t="str">
        <f>IFERROR(IF(VLOOKUP($B197,casostestes[#Data],4)=0,"-",VLOOKUP($B197,casostestes[#Data],4)),"-")</f>
        <v>-</v>
      </c>
      <c r="G197" s="35" t="str">
        <f>IFERROR(IF(VLOOKUP($B197,casostestes[#Data],5)=0,"-",VLOOKUP($B197,casostestes[#Data],5)),"-")</f>
        <v>-</v>
      </c>
      <c r="H197" s="35" t="str">
        <f>IFERROR(IF(VLOOKUP($B197,casostestes[#Data],6)=0,"-",VLOOKUP($B197,casostestes[#Data],6)),"-")</f>
        <v>-</v>
      </c>
      <c r="I197" s="35" t="str">
        <f>IFERROR(IF(VLOOKUP($B197,casostestes[#Data],8)=0,"-",VLOOKUP($B197,casostestes[#Data],8)),"-")</f>
        <v>-</v>
      </c>
      <c r="J197" s="35" t="str">
        <f>IFERROR(IF(VLOOKUP($B197,casostestes[#Data],9)=0,"-",VLOOKUP($B197,casostestes[#Data],9)),"-")</f>
        <v>-</v>
      </c>
      <c r="K197" s="36"/>
      <c r="L197" s="45"/>
      <c r="M197" s="37"/>
      <c r="N197" s="38"/>
      <c r="O197" s="38"/>
      <c r="P197" s="39"/>
    </row>
    <row r="198" spans="2:16">
      <c r="B198" s="40" t="str">
        <f>IF(ISERR(casostestes[[#This Row],[ID]]),"-",casostestes[[#This Row],[ID]])</f>
        <v>-</v>
      </c>
      <c r="C198" s="34" t="str">
        <f>IFERROR(IF(VLOOKUP($B198,casostestes[#Data],10)=0,"Não",VLOOKUP($B198,casostestes[#Data],10)), "-")</f>
        <v>-</v>
      </c>
      <c r="D198" s="35" t="str">
        <f>IFERROR(IF(VLOOKUP($B198,casostestes[#Data],2)=0,"-",VLOOKUP($B198,casostestes[#Data],2)), "-")</f>
        <v>-</v>
      </c>
      <c r="E198" s="35" t="str">
        <f>IFERROR(IF(VLOOKUP($B198,casostestes[#Data],3)=0,"-",VLOOKUP($B198,casostestes[#Data],3)), "-")</f>
        <v>-</v>
      </c>
      <c r="F198" s="35" t="str">
        <f>IFERROR(IF(VLOOKUP($B198,casostestes[#Data],4)=0,"-",VLOOKUP($B198,casostestes[#Data],4)),"-")</f>
        <v>-</v>
      </c>
      <c r="G198" s="35" t="str">
        <f>IFERROR(IF(VLOOKUP($B198,casostestes[#Data],5)=0,"-",VLOOKUP($B198,casostestes[#Data],5)),"-")</f>
        <v>-</v>
      </c>
      <c r="H198" s="35" t="str">
        <f>IFERROR(IF(VLOOKUP($B198,casostestes[#Data],6)=0,"-",VLOOKUP($B198,casostestes[#Data],6)),"-")</f>
        <v>-</v>
      </c>
      <c r="I198" s="35" t="str">
        <f>IFERROR(IF(VLOOKUP($B198,casostestes[#Data],8)=0,"-",VLOOKUP($B198,casostestes[#Data],8)),"-")</f>
        <v>-</v>
      </c>
      <c r="J198" s="35" t="str">
        <f>IFERROR(IF(VLOOKUP($B198,casostestes[#Data],9)=0,"-",VLOOKUP($B198,casostestes[#Data],9)),"-")</f>
        <v>-</v>
      </c>
      <c r="K198" s="36"/>
      <c r="L198" s="45"/>
      <c r="M198" s="37"/>
      <c r="N198" s="38"/>
      <c r="O198" s="38"/>
      <c r="P198" s="39"/>
    </row>
    <row r="199" spans="2:16">
      <c r="B199" s="40" t="str">
        <f>IF(ISERR(casostestes[[#This Row],[ID]]),"-",casostestes[[#This Row],[ID]])</f>
        <v>-</v>
      </c>
      <c r="C199" s="34" t="str">
        <f>IFERROR(IF(VLOOKUP($B199,casostestes[#Data],10)=0,"Não",VLOOKUP($B199,casostestes[#Data],10)), "-")</f>
        <v>-</v>
      </c>
      <c r="D199" s="35" t="str">
        <f>IFERROR(IF(VLOOKUP($B199,casostestes[#Data],2)=0,"-",VLOOKUP($B199,casostestes[#Data],2)), "-")</f>
        <v>-</v>
      </c>
      <c r="E199" s="35" t="str">
        <f>IFERROR(IF(VLOOKUP($B199,casostestes[#Data],3)=0,"-",VLOOKUP($B199,casostestes[#Data],3)), "-")</f>
        <v>-</v>
      </c>
      <c r="F199" s="35" t="str">
        <f>IFERROR(IF(VLOOKUP($B199,casostestes[#Data],4)=0,"-",VLOOKUP($B199,casostestes[#Data],4)),"-")</f>
        <v>-</v>
      </c>
      <c r="G199" s="35" t="str">
        <f>IFERROR(IF(VLOOKUP($B199,casostestes[#Data],5)=0,"-",VLOOKUP($B199,casostestes[#Data],5)),"-")</f>
        <v>-</v>
      </c>
      <c r="H199" s="35" t="str">
        <f>IFERROR(IF(VLOOKUP($B199,casostestes[#Data],6)=0,"-",VLOOKUP($B199,casostestes[#Data],6)),"-")</f>
        <v>-</v>
      </c>
      <c r="I199" s="35" t="str">
        <f>IFERROR(IF(VLOOKUP($B199,casostestes[#Data],8)=0,"-",VLOOKUP($B199,casostestes[#Data],8)),"-")</f>
        <v>-</v>
      </c>
      <c r="J199" s="35" t="str">
        <f>IFERROR(IF(VLOOKUP($B199,casostestes[#Data],9)=0,"-",VLOOKUP($B199,casostestes[#Data],9)),"-")</f>
        <v>-</v>
      </c>
      <c r="K199" s="36"/>
      <c r="L199" s="45"/>
      <c r="M199" s="37"/>
      <c r="N199" s="38"/>
      <c r="O199" s="38"/>
      <c r="P199" s="39"/>
    </row>
    <row r="200" spans="2:16">
      <c r="B200" s="40" t="str">
        <f>IF(ISERR(casostestes[[#This Row],[ID]]),"-",casostestes[[#This Row],[ID]])</f>
        <v>-</v>
      </c>
      <c r="C200" s="41" t="str">
        <f>IFERROR(IF(VLOOKUP($B200,casostestes[#Data],10)=0,"Não",VLOOKUP($B200,casostestes[#Data],10)), "-")</f>
        <v>-</v>
      </c>
      <c r="D200" s="42" t="str">
        <f>IFERROR(IF(VLOOKUP($B200,casostestes[#Data],2)=0,"-",VLOOKUP($B200,casostestes[#Data],2)), "-")</f>
        <v>-</v>
      </c>
      <c r="E200" s="42" t="str">
        <f>IFERROR(IF(VLOOKUP($B200,casostestes[#Data],3)=0,"-",VLOOKUP($B200,casostestes[#Data],3)), "-")</f>
        <v>-</v>
      </c>
      <c r="F200" s="42" t="str">
        <f>IFERROR(IF(VLOOKUP($B200,casostestes[#Data],4)=0,"-",VLOOKUP($B200,casostestes[#Data],4)),"-")</f>
        <v>-</v>
      </c>
      <c r="G200" s="42" t="str">
        <f>IFERROR(IF(VLOOKUP($B200,casostestes[#Data],5)=0,"-",VLOOKUP($B200,casostestes[#Data],5)),"-")</f>
        <v>-</v>
      </c>
      <c r="H200" s="42" t="str">
        <f>IFERROR(IF(VLOOKUP($B200,casostestes[#Data],6)=0,"-",VLOOKUP($B200,casostestes[#Data],6)),"-")</f>
        <v>-</v>
      </c>
      <c r="I200" s="42" t="str">
        <f>IFERROR(IF(VLOOKUP($B200,casostestes[#Data],8)=0,"-",VLOOKUP($B200,casostestes[#Data],8)),"-")</f>
        <v>-</v>
      </c>
      <c r="J200" s="42" t="str">
        <f>IFERROR(IF(VLOOKUP($B200,casostestes[#Data],9)=0,"-",VLOOKUP($B200,casostestes[#Data],9)),"-")</f>
        <v>-</v>
      </c>
      <c r="K200" s="43"/>
      <c r="L200" s="45"/>
      <c r="M200" s="44"/>
      <c r="N200" s="45"/>
      <c r="O200" s="45"/>
      <c r="P200" s="46"/>
    </row>
  </sheetData>
  <mergeCells count="3">
    <mergeCell ref="B1:J1"/>
    <mergeCell ref="B2:J2"/>
    <mergeCell ref="B3:J3"/>
  </mergeCells>
  <conditionalFormatting sqref="C8:C200 C201:D1048576">
    <cfRule type="cellIs" dxfId="182" priority="6" operator="equal">
      <formula>"Sim"</formula>
    </cfRule>
    <cfRule type="cellIs" dxfId="181" priority="7" operator="equal">
      <formula>"Não"</formula>
    </cfRule>
  </conditionalFormatting>
  <conditionalFormatting sqref="M8:M200">
    <cfRule type="cellIs" dxfId="180" priority="1" operator="equal">
      <formula>"Sem massa"</formula>
    </cfRule>
    <cfRule type="cellIs" dxfId="179" priority="2" operator="equal">
      <formula>"Pendência Externa"</formula>
    </cfRule>
    <cfRule type="cellIs" dxfId="178" priority="3" operator="equal">
      <formula>"Disponível para reteste"</formula>
    </cfRule>
    <cfRule type="cellIs" dxfId="177" priority="4" operator="equal">
      <formula>"Reprovado"</formula>
    </cfRule>
    <cfRule type="cellIs" dxfId="176" priority="5" operator="equal">
      <formula>"Aprovado"</formula>
    </cfRule>
  </conditionalFormatting>
  <dataValidations count="1">
    <dataValidation type="list" allowBlank="1" showInputMessage="1" showErrorMessage="1" sqref="M8:M200" xr:uid="{55527D1B-D765-4191-BD68-A4D61459C00B}">
      <formula1>INDIRECT("status[status]")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29BC-50FC-4E24-8D77-755B7AC82C77}">
  <sheetPr>
    <tabColor theme="9" tint="0.79998168889431442"/>
  </sheetPr>
  <dimension ref="B1:P200"/>
  <sheetViews>
    <sheetView showGridLines="0" zoomScaleNormal="100" workbookViewId="0">
      <pane xSplit="5" ySplit="7" topLeftCell="F8" activePane="bottomRight" state="frozen"/>
      <selection pane="bottomRight" activeCell="F8" sqref="F8"/>
      <selection pane="bottomLeft" activeCell="E11" sqref="E11"/>
      <selection pane="topRight" activeCell="E11" sqref="E11"/>
    </sheetView>
  </sheetViews>
  <sheetFormatPr defaultColWidth="9.140625" defaultRowHeight="15"/>
  <cols>
    <col min="1" max="1" width="2.7109375" style="14" customWidth="1"/>
    <col min="2" max="2" width="7.7109375" style="14" customWidth="1"/>
    <col min="3" max="3" width="15.42578125" style="14" customWidth="1"/>
    <col min="4" max="4" width="26" style="14" customWidth="1"/>
    <col min="5" max="5" width="57.42578125" style="14" customWidth="1"/>
    <col min="6" max="6" width="17.7109375" style="14" customWidth="1"/>
    <col min="7" max="7" width="24.42578125" style="14" customWidth="1"/>
    <col min="8" max="8" width="57.42578125" style="14" customWidth="1"/>
    <col min="9" max="9" width="16.7109375" style="14" customWidth="1"/>
    <col min="10" max="10" width="104.7109375" style="14" customWidth="1"/>
    <col min="11" max="11" width="18" style="14" customWidth="1"/>
    <col min="12" max="12" width="20.5703125" style="14" customWidth="1"/>
    <col min="13" max="13" width="21.85546875" style="14" customWidth="1"/>
    <col min="14" max="14" width="31.5703125" style="14" customWidth="1"/>
    <col min="15" max="15" width="24.85546875" style="14" customWidth="1"/>
    <col min="16" max="16" width="22.42578125" style="14" customWidth="1"/>
    <col min="17" max="16384" width="9.140625" style="14"/>
  </cols>
  <sheetData>
    <row r="1" spans="2:16" ht="26.25">
      <c r="B1" s="106" t="s">
        <v>0</v>
      </c>
      <c r="C1" s="106"/>
      <c r="D1" s="106"/>
      <c r="E1" s="106"/>
      <c r="F1" s="106"/>
      <c r="G1" s="106"/>
      <c r="H1" s="106"/>
      <c r="I1" s="106"/>
      <c r="J1" s="106"/>
      <c r="K1" s="19"/>
      <c r="L1" s="19"/>
    </row>
    <row r="2" spans="2:16" s="21" customFormat="1" ht="23.25">
      <c r="B2" s="107" t="s">
        <v>1</v>
      </c>
      <c r="C2" s="107"/>
      <c r="D2" s="107"/>
      <c r="E2" s="107"/>
      <c r="F2" s="107"/>
      <c r="G2" s="107"/>
      <c r="H2" s="107"/>
      <c r="I2" s="107"/>
      <c r="J2" s="107"/>
      <c r="K2" s="20"/>
      <c r="L2" s="20"/>
    </row>
    <row r="3" spans="2:16" s="21" customFormat="1" ht="23.25">
      <c r="B3" s="107" t="s">
        <v>2</v>
      </c>
      <c r="C3" s="107"/>
      <c r="D3" s="107"/>
      <c r="E3" s="107"/>
      <c r="F3" s="107"/>
      <c r="G3" s="107"/>
      <c r="H3" s="107"/>
      <c r="I3" s="107"/>
      <c r="J3" s="107"/>
      <c r="K3" s="20"/>
      <c r="L3" s="20"/>
    </row>
    <row r="5" spans="2:16">
      <c r="B5" s="3"/>
      <c r="E5" s="3"/>
    </row>
    <row r="7" spans="2:16" s="3" customFormat="1">
      <c r="B7" s="15" t="s">
        <v>3</v>
      </c>
      <c r="C7" s="16" t="s">
        <v>4</v>
      </c>
      <c r="D7" s="16" t="s">
        <v>5</v>
      </c>
      <c r="E7" s="17" t="s">
        <v>6</v>
      </c>
      <c r="F7" s="17" t="s">
        <v>7</v>
      </c>
      <c r="G7" s="17" t="s">
        <v>8</v>
      </c>
      <c r="H7" s="17" t="s">
        <v>9</v>
      </c>
      <c r="I7" s="17" t="s">
        <v>10</v>
      </c>
      <c r="J7" s="17" t="s">
        <v>11</v>
      </c>
      <c r="K7" s="17" t="s">
        <v>12</v>
      </c>
      <c r="L7" s="17" t="s">
        <v>13</v>
      </c>
      <c r="M7" s="17" t="s">
        <v>14</v>
      </c>
      <c r="N7" s="17" t="s">
        <v>15</v>
      </c>
      <c r="O7" s="17" t="s">
        <v>16</v>
      </c>
      <c r="P7" s="18" t="s">
        <v>17</v>
      </c>
    </row>
    <row r="8" spans="2:16" s="13" customFormat="1" ht="105">
      <c r="B8" s="34">
        <f>IF(ISERR(casostestes[[#This Row],[ID]]),"-",casostestes[[#This Row],[ID]])</f>
        <v>1</v>
      </c>
      <c r="C8" s="34" t="str">
        <f>IFERROR(IF(VLOOKUP($B8,casostestes[#Data],10)=0,"Não",VLOOKUP($B8,casostestes[#Data],10)), "-")</f>
        <v>Sim</v>
      </c>
      <c r="D8" s="35" t="str">
        <f>IFERROR(IF(VLOOKUP($B8,casostestes[#Data],2)=0,"-",VLOOKUP($B8,casostestes[#Data],2)), "-")</f>
        <v>Requerimento Inicial de BI</v>
      </c>
      <c r="E8" s="35" t="str">
        <f>IFERROR(IF(VLOOKUP($B8,casostestes[#Data],3)=0,"-",VLOOKUP($B8,casostestes[#Data],3)), "-")</f>
        <v>6
Criação de tarefa de BI inicial com fluxo ATESTMED para categoria DIFERENTE de Segurado Especial COM exigência de preenchimento da AD.
Premissas:
Catálogo: Exige autodeclaração = ATIVADO
Parâmetro:  144 - Fluxo ATESTMED = LIGADO</v>
      </c>
      <c r="F8" s="35" t="str">
        <f>IFERROR(IF(VLOOKUP($B8,casostestes[#Data],4)=0,"-",VLOOKUP($B8,casostestes[#Data],4)),"-")</f>
        <v>Central 135</v>
      </c>
      <c r="G8" s="35" t="str">
        <f>IFERROR(IF(VLOOKUP($B8,casostestes[#Data],5)=0,"-",VLOOKUP($B8,casostestes[#Data],5)),"-")</f>
        <v>ATENDENTE_CENTRAL_135</v>
      </c>
      <c r="H8" s="35" t="str">
        <f>IFERROR(IF(VLOOKUP($B8,casostestes[#Data],6)=0,"-",VLOOKUP($B8,casostestes[#Data],6)),"-")</f>
        <v>1. Logar no Portal do Atendimento INSS com o perfil do caso de teste
2. Criar tarefa de BI informando:
- Tipo de Incapacidade? "Temporário"
- A pessoa está presa?  "Não"
- Categoria do trabalhador "Desempregado" ...
- A pessoa ficou sem trabalhar? "Sim"</v>
      </c>
      <c r="I8" s="35" t="str">
        <f>IFERROR(IF(VLOOKUP($B8,casostestes[#Data],8)=0,"-",VLOOKUP($B8,casostestes[#Data],8)),"-")</f>
        <v>-</v>
      </c>
      <c r="J8" s="35" t="str">
        <f>IFERROR(IF(VLOOKUP($B8,casostestes[#Data],9)=0,"-",VLOOKUP($B8,casostestes[#Data],9)),"-")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8" s="36"/>
      <c r="L8" s="38"/>
      <c r="M8" s="37"/>
      <c r="N8" s="38"/>
      <c r="O8" s="38"/>
      <c r="P8" s="39"/>
    </row>
    <row r="9" spans="2:16" ht="240">
      <c r="B9" s="40">
        <f>IF(ISERR(casostestes[[#This Row],[ID]]),"-",casostestes[[#This Row],[ID]])</f>
        <v>2</v>
      </c>
      <c r="C9" s="41" t="str">
        <f>IFERROR(IF(VLOOKUP($B9,casostestes[#Data],10)=0,"Não",VLOOKUP($B9,casostestes[#Data],10)), "-")</f>
        <v>Sim</v>
      </c>
      <c r="D9" s="42" t="str">
        <f>IFERROR(IF(VLOOKUP($B9,casostestes[#Data],2)=0,"-",VLOOKUP($B9,casostestes[#Data],2)), "-")</f>
        <v>Integração</v>
      </c>
      <c r="E9" s="42" t="str">
        <f>IFERROR(IF(VLOOKUP($B9,casostestes[#Data],3)=0,"-",VLOOKUP($B9,casostestes[#Data],3)), "-")</f>
        <v>12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9" s="42" t="str">
        <f>IFERROR(IF(VLOOKUP($B9,casostestes[#Data],4)=0,"-",VLOOKUP($B9,casostestes[#Data],4)),"-")</f>
        <v>PAT</v>
      </c>
      <c r="G9" s="42" t="str">
        <f>IFERROR(IF(VLOOKUP($B9,casostestes[#Data],5)=0,"-",VLOOKUP($B9,casostestes[#Data],5)),"-")</f>
        <v>SERVIDOR</v>
      </c>
      <c r="H9" s="42" t="str">
        <f>IFERROR(IF(VLOOKUP($B9,casostestes[#Data],6)=0,"-",VLOOKUP($B9,casostestes[#Data],6)),"-")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9" s="42" t="str">
        <f>IFERROR(IF(VLOOKUP($B9,casostestes[#Data],8)=0,"-",VLOOKUP($B9,casostestes[#Data],8)),"-")</f>
        <v>-</v>
      </c>
      <c r="J9" s="42" t="str">
        <f>IFERROR(IF(VLOOKUP($B9,casostestes[#Data],9)=0,"-",VLOOKUP($B9,casostestes[#Data],9)),"-")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9" s="43"/>
      <c r="L9" s="45"/>
      <c r="M9" s="44"/>
      <c r="N9" s="45"/>
      <c r="O9" s="45"/>
      <c r="P9" s="46"/>
    </row>
    <row r="10" spans="2:16" ht="210">
      <c r="B10" s="40">
        <f>IF(ISERR(casostestes[[#This Row],[ID]]),"-",casostestes[[#This Row],[ID]])</f>
        <v>3</v>
      </c>
      <c r="C10" s="34" t="str">
        <f>IFERROR(IF(VLOOKUP($B10,casostestes[#Data],10)=0,"Não",VLOOKUP($B10,casostestes[#Data],10)), "-")</f>
        <v>Sim</v>
      </c>
      <c r="D10" s="35" t="str">
        <f>IFERROR(IF(VLOOKUP($B10,casostestes[#Data],2)=0,"-",VLOOKUP($B10,casostestes[#Data],2)), "-")</f>
        <v>Integração</v>
      </c>
      <c r="E10" s="35" t="str">
        <f>IFERROR(IF(VLOOKUP($B10,casostestes[#Data],3)=0,"-",VLOOKUP($B10,casostestes[#Data],3)), "-")</f>
        <v>13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10" s="35" t="str">
        <f>IFERROR(IF(VLOOKUP($B10,casostestes[#Data],4)=0,"-",VLOOKUP($B10,casostestes[#Data],4)),"-")</f>
        <v>PAT</v>
      </c>
      <c r="G10" s="35" t="str">
        <f>IFERROR(IF(VLOOKUP($B10,casostestes[#Data],5)=0,"-",VLOOKUP($B10,casostestes[#Data],5)),"-")</f>
        <v>SERVIDOR</v>
      </c>
      <c r="H10" s="35" t="str">
        <f>IFERROR(IF(VLOOKUP($B10,casostestes[#Data],6)=0,"-",VLOOKUP($B10,casostestes[#Data],6)),"-")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10" s="35" t="str">
        <f>IFERROR(IF(VLOOKUP($B10,casostestes[#Data],8)=0,"-",VLOOKUP($B10,casostestes[#Data],8)),"-")</f>
        <v>-</v>
      </c>
      <c r="J10" s="35" t="str">
        <f>IFERROR(IF(VLOOKUP($B10,casostestes[#Data],9)=0,"-",VLOOKUP($B10,casostestes[#Data],9)),"-")</f>
        <v>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</v>
      </c>
      <c r="K10" s="36"/>
      <c r="L10" s="45"/>
      <c r="M10" s="37"/>
      <c r="N10" s="38"/>
      <c r="O10" s="38"/>
      <c r="P10" s="39"/>
    </row>
    <row r="11" spans="2:16" ht="225">
      <c r="B11" s="40">
        <f>IF(ISERR(casostestes[[#This Row],[ID]]),"-",casostestes[[#This Row],[ID]])</f>
        <v>4</v>
      </c>
      <c r="C11" s="34" t="str">
        <f>IFERROR(IF(VLOOKUP($B11,casostestes[#Data],10)=0,"Não",VLOOKUP($B11,casostestes[#Data],10)), "-")</f>
        <v>Sim</v>
      </c>
      <c r="D11" s="35" t="str">
        <f>IFERROR(IF(VLOOKUP($B11,casostestes[#Data],2)=0,"-",VLOOKUP($B11,casostestes[#Data],2)), "-")</f>
        <v>Integração</v>
      </c>
      <c r="E11" s="35" t="str">
        <f>IFERROR(IF(VLOOKUP($B11,casostestes[#Data],3)=0,"-",VLOOKUP($B11,casostestes[#Data],3)), "-")</f>
        <v>16
Cumprir a exigência de autodeclaração</v>
      </c>
      <c r="F11" s="35" t="str">
        <f>IFERROR(IF(VLOOKUP($B11,casostestes[#Data],4)=0,"-",VLOOKUP($B11,casostestes[#Data],4)),"-")</f>
        <v>PAT</v>
      </c>
      <c r="G11" s="35" t="str">
        <f>IFERROR(IF(VLOOKUP($B11,casostestes[#Data],5)=0,"-",VLOOKUP($B11,casostestes[#Data],5)),"-")</f>
        <v>SERVIDOR</v>
      </c>
      <c r="H11" s="35" t="str">
        <f>IFERROR(IF(VLOOKUP($B11,casostestes[#Data],6)=0,"-",VLOOKUP($B11,casostestes[#Data],6)),"-")</f>
        <v>1. Logar no Portal do Atendimento INSS com o perfil Servidor
2.Consultar uma tarefa em exigência de autodeclaração e acionar Cumprir Exigência  
3. Responder o formulário de autodeclaração até o final</v>
      </c>
      <c r="I11" s="35" t="str">
        <f>IFERROR(IF(VLOOKUP($B11,casostestes[#Data],8)=0,"-",VLOOKUP($B11,casostestes[#Data],8)),"-")</f>
        <v>-</v>
      </c>
      <c r="J11" s="35" t="str">
        <f>IFERROR(IF(VLOOKUP($B11,casostestes[#Data],9)=0,"-",VLOOKUP($B11,casostestes[#Data],9)),"-")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11" s="36"/>
      <c r="L11" s="45"/>
      <c r="M11" s="37"/>
      <c r="N11" s="38"/>
      <c r="O11" s="38"/>
      <c r="P11" s="39"/>
    </row>
    <row r="12" spans="2:16" ht="165">
      <c r="B12" s="40">
        <f>IF(ISERR(casostestes[[#This Row],[ID]]),"-",casostestes[[#This Row],[ID]])</f>
        <v>5</v>
      </c>
      <c r="C12" s="34" t="str">
        <f>IFERROR(IF(VLOOKUP($B12,casostestes[#Data],10)=0,"Não",VLOOKUP($B12,casostestes[#Data],10)), "-")</f>
        <v>Sim</v>
      </c>
      <c r="D12" s="35" t="str">
        <f>IFERROR(IF(VLOOKUP($B12,casostestes[#Data],2)=0,"-",VLOOKUP($B12,casostestes[#Data],2)), "-")</f>
        <v>Integração</v>
      </c>
      <c r="E12" s="35" t="str">
        <f>IFERROR(IF(VLOOKUP($B12,casostestes[#Data],3)=0,"-",VLOOKUP($B12,casostestes[#Data],3)), "-")</f>
        <v>17
Responder o formulário de autodeclaração acessando diretamente a aba segurado especial ao detalhar a tarefa, onde a tarefa encontra-se em exigência de autodeclaração</v>
      </c>
      <c r="F12" s="35" t="str">
        <f>IFERROR(IF(VLOOKUP($B12,casostestes[#Data],4)=0,"-",VLOOKUP($B12,casostestes[#Data],4)),"-")</f>
        <v>PAT</v>
      </c>
      <c r="G12" s="35" t="str">
        <f>IFERROR(IF(VLOOKUP($B12,casostestes[#Data],5)=0,"-",VLOOKUP($B12,casostestes[#Data],5)),"-")</f>
        <v>SERVIDOR</v>
      </c>
      <c r="H12" s="35" t="str">
        <f>IFERROR(IF(VLOOKUP($B12,casostestes[#Data],6)=0,"-",VLOOKUP($B12,casostestes[#Data],6)),"-")</f>
        <v>1. Logar no Portal do Atendimento INSS com o perfil Servidor
2.Consultar uma tarefa em exigência de autodeclaração 
3. Acionar a aba Segurado especial
3. Responder o formulário de autodeclaração até o final</v>
      </c>
      <c r="I12" s="35" t="str">
        <f>IFERROR(IF(VLOOKUP($B12,casostestes[#Data],8)=0,"-",VLOOKUP($B12,casostestes[#Data],8)),"-")</f>
        <v>-</v>
      </c>
      <c r="J12" s="35" t="str">
        <f>IFERROR(IF(VLOOKUP($B12,casostestes[#Data],9)=0,"-",VLOOKUP($B12,casostestes[#Data],9)),"-")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12" s="36"/>
      <c r="L12" s="45"/>
      <c r="M12" s="37"/>
      <c r="N12" s="38"/>
      <c r="O12" s="38"/>
      <c r="P12" s="39"/>
    </row>
    <row r="13" spans="2:16" ht="105">
      <c r="B13" s="40">
        <f>IF(ISERR(casostestes[[#This Row],[ID]]),"-",casostestes[[#This Row],[ID]])</f>
        <v>6</v>
      </c>
      <c r="C13" s="34" t="str">
        <f>IFERROR(IF(VLOOKUP($B13,casostestes[#Data],10)=0,"Não",VLOOKUP($B13,casostestes[#Data],10)), "-")</f>
        <v>Sim</v>
      </c>
      <c r="D13" s="35" t="str">
        <f>IFERROR(IF(VLOOKUP($B13,casostestes[#Data],2)=0,"-",VLOOKUP($B13,casostestes[#Data],2)), "-")</f>
        <v>Integração</v>
      </c>
      <c r="E13" s="35" t="str">
        <f>IFERROR(IF(VLOOKUP($B13,casostestes[#Data],3)=0,"-",VLOOKUP($B13,casostestes[#Data],3)), "-")</f>
        <v>18
Responder o formulário de autodeclaração acessando diretamente a aba segurado especial ao detalhar a tarefa, onde a tarefa encontra-se em exigência de documento médico</v>
      </c>
      <c r="F13" s="35" t="str">
        <f>IFERROR(IF(VLOOKUP($B13,casostestes[#Data],4)=0,"-",VLOOKUP($B13,casostestes[#Data],4)),"-")</f>
        <v>PAT</v>
      </c>
      <c r="G13" s="35" t="str">
        <f>IFERROR(IF(VLOOKUP($B13,casostestes[#Data],5)=0,"-",VLOOKUP($B13,casostestes[#Data],5)),"-")</f>
        <v>SERVIDOR</v>
      </c>
      <c r="H13" s="35" t="str">
        <f>IFERROR(IF(VLOOKUP($B13,casostestes[#Data],6)=0,"-",VLOOKUP($B13,casostestes[#Data],6)),"-")</f>
        <v>1. Logar no Portal do Atendimento INSS com o perfil Servidor
2.Consultar uma tarefa em exigência de documento médico
3. Acionar a aba Segurado especial
3. Responder o formulário de autodeclaração até o final</v>
      </c>
      <c r="I13" s="35" t="str">
        <f>IFERROR(IF(VLOOKUP($B13,casostestes[#Data],8)=0,"-",VLOOKUP($B13,casostestes[#Data],8)),"-")</f>
        <v>-</v>
      </c>
      <c r="J13" s="35" t="str">
        <f>IFERROR(IF(VLOOKUP($B13,casostestes[#Data],9)=0,"-",VLOOKUP($B13,casostestes[#Data],9)),"-")</f>
        <v xml:space="preserve">
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13" s="36"/>
      <c r="L13" s="45"/>
      <c r="M13" s="37"/>
      <c r="N13" s="38"/>
      <c r="O13" s="38"/>
      <c r="P13" s="39"/>
    </row>
    <row r="14" spans="2:16" ht="240">
      <c r="B14" s="40">
        <f>IF(ISERR(casostestes[[#This Row],[ID]]),"-",casostestes[[#This Row],[ID]])</f>
        <v>7</v>
      </c>
      <c r="C14" s="34" t="str">
        <f>IFERROR(IF(VLOOKUP($B14,casostestes[#Data],10)=0,"Não",VLOOKUP($B14,casostestes[#Data],10)), "-")</f>
        <v>Sim</v>
      </c>
      <c r="D14" s="35" t="str">
        <f>IFERROR(IF(VLOOKUP($B14,casostestes[#Data],2)=0,"-",VLOOKUP($B14,casostestes[#Data],2)), "-")</f>
        <v>Integração</v>
      </c>
      <c r="E14" s="35" t="str">
        <f>IFERROR(IF(VLOOKUP($B14,casostestes[#Data],3)=0,"-",VLOOKUP($B14,casostestes[#Data],3)), "-")</f>
        <v>19
Criar tarefa de BI inicial fluxo ATESTMEDQ para categoria "Segurado especial" onde o parâmetro "Exige Autodeclaração" no Catálogo está ATIVADO,  NÃO foi respondida a autodeclaração, NÃO foi incluído o anexo detalhado de AD e cidadão está preso
**Parâmetro PAT ligado: 144 - Fluxo ATESTMEDQ</v>
      </c>
      <c r="F14" s="35" t="str">
        <f>IFERROR(IF(VLOOKUP($B14,casostestes[#Data],4)=0,"-",VLOOKUP($B14,casostestes[#Data],4)),"-")</f>
        <v>PAT</v>
      </c>
      <c r="G14" s="35" t="str">
        <f>IFERROR(IF(VLOOKUP($B14,casostestes[#Data],5)=0,"-",VLOOKUP($B14,casostestes[#Data],5)),"-")</f>
        <v>SERVIDOR</v>
      </c>
      <c r="H14" s="35" t="str">
        <f>IFERROR(IF(VLOOKUP($B14,casostestes[#Data],6)=0,"-",VLOOKUP($B14,casostestes[#Data],6)),"-")</f>
        <v xml:space="preserve">1. Logar no Portal do Atendimento INSS com o perfil do caso de teste
2.Criar tarefa de BI informando:
Tipo de Incapacidade? "Temporária "
A pessoa está presa?  Sim
Categoria do trabalhador "Segurado Especial"
A pessoa ficou sem trabalhar? Sim
3. NÃO Informar anexo detalhado de autodeclaração
4. NÃO responder o formulário de autodeclaração
</v>
      </c>
      <c r="I14" s="35" t="str">
        <f>IFERROR(IF(VLOOKUP($B14,casostestes[#Data],8)=0,"-",VLOOKUP($B14,casostestes[#Data],8)),"-")</f>
        <v>-</v>
      </c>
      <c r="J14" s="35" t="str">
        <f>IFERROR(IF(VLOOKUP($B14,casostestes[#Data],9)=0,"-",VLOOKUP($B14,casostestes[#Data],9)),"-")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14" s="36"/>
      <c r="L14" s="45"/>
      <c r="M14" s="37"/>
      <c r="N14" s="38"/>
      <c r="O14" s="38"/>
      <c r="P14" s="39"/>
    </row>
    <row r="15" spans="2:16" ht="240">
      <c r="B15" s="40">
        <f>IF(ISERR(casostestes[[#This Row],[ID]]),"-",casostestes[[#This Row],[ID]])</f>
        <v>8</v>
      </c>
      <c r="C15" s="34" t="str">
        <f>IFERROR(IF(VLOOKUP($B15,casostestes[#Data],10)=0,"Não",VLOOKUP($B15,casostestes[#Data],10)), "-")</f>
        <v>Sim</v>
      </c>
      <c r="D15" s="35" t="str">
        <f>IFERROR(IF(VLOOKUP($B15,casostestes[#Data],2)=0,"-",VLOOKUP($B15,casostestes[#Data],2)), "-")</f>
        <v>Integração</v>
      </c>
      <c r="E15" s="35" t="str">
        <f>IFERROR(IF(VLOOKUP($B15,casostestes[#Data],3)=0,"-",VLOOKUP($B15,casostestes[#Data],3)), "-")</f>
        <v>20
Criar tarefa de BI inicial fluxo ATESTMEDQ para categoria "Segurado especial" onde o parâmetro "Exige Autodeclaração" no Catálogo está ATIVADO,  NÃO foi respondida a autodeclaração, NÃO foi incluído o anexo detalhado de AD e cidadão ficou sem trabalhar
**Parâmetro PAT ligado: 144 - Fluxo ATESTMEDQ</v>
      </c>
      <c r="F15" s="35" t="str">
        <f>IFERROR(IF(VLOOKUP($B15,casostestes[#Data],4)=0,"-",VLOOKUP($B15,casostestes[#Data],4)),"-")</f>
        <v>PAT</v>
      </c>
      <c r="G15" s="35" t="str">
        <f>IFERROR(IF(VLOOKUP($B15,casostestes[#Data],5)=0,"-",VLOOKUP($B15,casostestes[#Data],5)),"-")</f>
        <v>SERVIDOR</v>
      </c>
      <c r="H15" s="35" t="str">
        <f>IFERROR(IF(VLOOKUP($B15,casostestes[#Data],6)=0,"-",VLOOKUP($B15,casostestes[#Data],6)),"-")</f>
        <v xml:space="preserve">1. Logar no Portal do Atendimento INSS com o perfil do caso de teste
2.Criar tarefa de BI informando:
Tipo de Incapacidade? "Temporária "
A pessoa está presa?  Não
Categoria do trabalhador "Segurado Especial"
A pessoa ficou sem trabalhar? Não
3. Informar anexo detalhado de autodeclaração
4. NÃO responder o formulário de autodeclaração
</v>
      </c>
      <c r="I15" s="35" t="str">
        <f>IFERROR(IF(VLOOKUP($B15,casostestes[#Data],8)=0,"-",VLOOKUP($B15,casostestes[#Data],8)),"-")</f>
        <v>-</v>
      </c>
      <c r="J15" s="35" t="str">
        <f>IFERROR(IF(VLOOKUP($B15,casostestes[#Data],9)=0,"-",VLOOKUP($B15,casostestes[#Data],9)),"-")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15" s="36"/>
      <c r="L15" s="45"/>
      <c r="M15" s="37"/>
      <c r="N15" s="38"/>
      <c r="O15" s="38"/>
      <c r="P15" s="39"/>
    </row>
    <row r="16" spans="2:16" ht="315">
      <c r="B16" s="40">
        <f>IF(ISERR(casostestes[[#This Row],[ID]]),"-",casostestes[[#This Row],[ID]])</f>
        <v>9</v>
      </c>
      <c r="C16" s="34" t="str">
        <f>IFERROR(IF(VLOOKUP($B16,casostestes[#Data],10)=0,"Não",VLOOKUP($B16,casostestes[#Data],10)), "-")</f>
        <v>Sim</v>
      </c>
      <c r="D16" s="35" t="str">
        <f>IFERROR(IF(VLOOKUP($B16,casostestes[#Data],2)=0,"-",VLOOKUP($B16,casostestes[#Data],2)), "-")</f>
        <v>Integração</v>
      </c>
      <c r="E16" s="35" t="str">
        <f>IFERROR(IF(VLOOKUP($B16,casostestes[#Data],3)=0,"-",VLOOKUP($B16,casostestes[#Data],3)), "-")</f>
        <v>21
Criar tarefa de BI inicial fluxo ATESTMEDQ para categoria "Segurado especial" onde o parâmetro "Exige Autodeclaração" no Catálogo está ATIVADO,  NÃO foi respondida a autodeclaração e foi incluído o anexo detalhado de AD
**Parâmetro PAT ligado: 144 - Fluxo ATESTMEDQ</v>
      </c>
      <c r="F16" s="35" t="str">
        <f>IFERROR(IF(VLOOKUP($B16,casostestes[#Data],4)=0,"-",VLOOKUP($B16,casostestes[#Data],4)),"-")</f>
        <v>PAT</v>
      </c>
      <c r="G16" s="35" t="str">
        <f>IFERROR(IF(VLOOKUP($B16,casostestes[#Data],5)=0,"-",VLOOKUP($B16,casostestes[#Data],5)),"-")</f>
        <v>SERVIDOR</v>
      </c>
      <c r="H16" s="35" t="str">
        <f>IFERROR(IF(VLOOKUP($B16,casostestes[#Data],6)=0,"-",VLOOKUP($B16,casostestes[#Data],6)),"-")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Informar anexo detalhado de autodeclaração
4. NÃO responder o formulário de autodeclaração
Resultado 1
5.Alterar via banco de dados a data da exigência para (data atual - 36 dias)
Resultado 2</v>
      </c>
      <c r="I16" s="35" t="str">
        <f>IFERROR(IF(VLOOKUP($B16,casostestes[#Data],8)=0,"-",VLOOKUP($B16,casostestes[#Data],8)),"-")</f>
        <v>-</v>
      </c>
      <c r="J16" s="35" t="str">
        <f>IFERROR(IF(VLOOKUP($B16,casostestes[#Data],9)=0,"-",VLOOKUP($B16,casostestes[#Data],9)),"-")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2
Resultado 2 - Após alguns minutos:
Tarefa de BI com situação alterada para Pendente
Despacho incluído informando a operação ( fragmento de sigla  XXXXXXXXXX )
Divergência de autodeclaração (116) EXCLUÍDA da tarefa
Alguns minutos depois:
Status SIBE igual a AGUARDANDO ATESTADO 
Na opção  "Lista de Ocorrências", o json de integração com o SIBE deverá conter o campo "periodosPendentesSegEsp" com valor true.
</v>
      </c>
      <c r="K16" s="36"/>
      <c r="L16" s="45"/>
      <c r="M16" s="37"/>
      <c r="N16" s="38"/>
      <c r="O16" s="38"/>
      <c r="P16" s="39"/>
    </row>
    <row r="17" spans="2:16" ht="300">
      <c r="B17" s="40">
        <f>IF(ISERR(casostestes[[#This Row],[ID]]),"-",casostestes[[#This Row],[ID]])</f>
        <v>10</v>
      </c>
      <c r="C17" s="34" t="str">
        <f>IFERROR(IF(VLOOKUP($B17,casostestes[#Data],10)=0,"Não",VLOOKUP($B17,casostestes[#Data],10)), "-")</f>
        <v>Sim</v>
      </c>
      <c r="D17" s="35" t="str">
        <f>IFERROR(IF(VLOOKUP($B17,casostestes[#Data],2)=0,"-",VLOOKUP($B17,casostestes[#Data],2)), "-")</f>
        <v>Integração</v>
      </c>
      <c r="E17" s="35" t="str">
        <f>IFERROR(IF(VLOOKUP($B17,casostestes[#Data],3)=0,"-",VLOOKUP($B17,casostestes[#Data],3)), "-")</f>
        <v>22
Criar tarefa de BI inicial fluxo PRESENCIAL para categoria "Segurado especial" onde o parâmetro "Exige Autodeclaração" no Catálogo está ATIVADO, NÃO foi respondida a autodeclaração e NÃO foi incluído o anexo detalhado de AD
**Parâmetro PAT ligado: 144 - Fluxo ATESTMEDQ
**Parâmetro PAT ligado: 109 -Tipo de Incapacidade Permanente leva à Fluxo Presencial do Novo BI</v>
      </c>
      <c r="F17" s="35" t="str">
        <f>IFERROR(IF(VLOOKUP($B17,casostestes[#Data],4)=0,"-",VLOOKUP($B17,casostestes[#Data],4)),"-")</f>
        <v>PAT</v>
      </c>
      <c r="G17" s="35" t="str">
        <f>IFERROR(IF(VLOOKUP($B17,casostestes[#Data],5)=0,"-",VLOOKUP($B17,casostestes[#Data],5)),"-")</f>
        <v>SERVIDOR</v>
      </c>
      <c r="H17" s="35" t="str">
        <f>IFERROR(IF(VLOOKUP($B17,casostestes[#Data],6)=0,"-",VLOOKUP($B17,casostestes[#Data],6)),"-")</f>
        <v>1. Logar no Portal do Atendimento INSS com o perfil do caso de teste
2.Criar tarefa de BI informando:
Tipo de Incapacidade? "Permanente"
A pessoa está presa?  Não
Houve acidente de trabalho?  Não
Categoria do trabalhador "Segurado Especial"
A pessoa ficou sem trabalhar? Sim
3. NÃO informar anexo detalhado de autodeclaração
5. Realizar agendamento
6. NÃO responder o formulário de autodeclaração
Resultado 1 
7.Alterar via banco de dados a data da exigência para (data atual - 36 dias)
Resulado 2</v>
      </c>
      <c r="I17" s="35" t="str">
        <f>IFERROR(IF(VLOOKUP($B17,casostestes[#Data],8)=0,"-",VLOOKUP($B17,casostestes[#Data],8)),"-")</f>
        <v>-</v>
      </c>
      <c r="J17" s="35" t="str">
        <f>IFERROR(IF(VLOOKUP($B17,casostestes[#Data],9)=0,"-",VLOOKUP($B17,casostestes[#Data],9)),"-")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1
Resultado 2 - Após alguns minutos:
Tarefa de BI com situação alterada para Pendente
Despacho incluído informando a operação ( fragmento de sigla  XXXXXXXXXX )
Divergência de autodeclaração (116) EXCLUÍDA da tarefa
Alguns minutos depois:
Status SIBE igual a AGUARDANDO PERÍCIA
Na opção  "Lista de Ocorrências", o json de integração com o SIBE deverá conter o campo "periodosPendentesSegEsp" com valor null.
</v>
      </c>
      <c r="K17" s="36"/>
      <c r="L17" s="45"/>
      <c r="M17" s="37"/>
      <c r="N17" s="38"/>
      <c r="O17" s="38"/>
      <c r="P17" s="39"/>
    </row>
    <row r="18" spans="2:16" ht="105">
      <c r="B18" s="40">
        <f>IF(ISERR(casostestes[[#This Row],[ID]]),"-",casostestes[[#This Row],[ID]])</f>
        <v>11</v>
      </c>
      <c r="C18" s="34" t="str">
        <f>IFERROR(IF(VLOOKUP($B18,casostestes[#Data],10)=0,"Não",VLOOKUP($B18,casostestes[#Data],10)), "-")</f>
        <v>Sim</v>
      </c>
      <c r="D18" s="35" t="str">
        <f>IFERROR(IF(VLOOKUP($B18,casostestes[#Data],2)=0,"-",VLOOKUP($B18,casostestes[#Data],2)), "-")</f>
        <v>Requerimento Inicial de BI</v>
      </c>
      <c r="E18" s="35" t="str">
        <f>IFERROR(IF(VLOOKUP($B18,casostestes[#Data],3)=0,"-",VLOOKUP($B18,casostestes[#Data],3)), "-")</f>
        <v>24
Criar tarefa de BI inicial fluxo ATESTMEDQ para categoria diferente de "Segurado especial" onde o parâmetro "Exige Autodeclaração" no Catálogo está ATIVADO
**Parâmetro PAT ligado: 144 - Fluxo ATESTMEDQ</v>
      </c>
      <c r="F18" s="35" t="str">
        <f>IFERROR(IF(VLOOKUP($B18,casostestes[#Data],4)=0,"-",VLOOKUP($B18,casostestes[#Data],4)),"-")</f>
        <v>EC</v>
      </c>
      <c r="G18" s="35" t="str">
        <f>IFERROR(IF(VLOOKUP($B18,casostestes[#Data],5)=0,"-",VLOOKUP($B18,casostestes[#Data],5)),"-")</f>
        <v>ENTIDADE_CONVENIADA</v>
      </c>
      <c r="H18" s="35" t="str">
        <f>IFERROR(IF(VLOOKUP($B18,casostestes[#Data],6)=0,"-",VLOOKUP($B18,casostestes[#Data],6)),"-")</f>
        <v xml:space="preserve">1. Logar no Portal do Atendimento INSS com o perfil do caso de teste
2.Criar tarefa de BI informando:
Tipo de Incapacidade? "Temporária "
A pessoa está presa?  Não
Categoria do trabalhador diferente de "Segurado Especial"
</v>
      </c>
      <c r="I18" s="35" t="str">
        <f>IFERROR(IF(VLOOKUP($B18,casostestes[#Data],8)=0,"-",VLOOKUP($B18,casostestes[#Data],8)),"-")</f>
        <v>-</v>
      </c>
      <c r="J18" s="35" t="str">
        <f>IFERROR(IF(VLOOKUP($B18,casostestes[#Data],9)=0,"-",VLOOKUP($B18,casostestes[#Data],9)),"-")</f>
        <v>Tarefa de BI criada com situação Pendente.
Tarefa SEM Divergência de autodeclaração (116)
Status SIBE igual a FLUXO NÃO INICIADO 
DPT: Tarefa.Exige_autodeclaração = 0</v>
      </c>
      <c r="K18" s="36"/>
      <c r="L18" s="45"/>
      <c r="M18" s="37"/>
      <c r="N18" s="38"/>
      <c r="O18" s="38"/>
      <c r="P18" s="39"/>
    </row>
    <row r="19" spans="2:16" ht="240">
      <c r="B19" s="40">
        <f>IF(ISERR(casostestes[[#This Row],[ID]]),"-",casostestes[[#This Row],[ID]])</f>
        <v>12</v>
      </c>
      <c r="C19" s="34" t="str">
        <f>IFERROR(IF(VLOOKUP($B19,casostestes[#Data],10)=0,"Não",VLOOKUP($B19,casostestes[#Data],10)), "-")</f>
        <v>Sim</v>
      </c>
      <c r="D19" s="35" t="str">
        <f>IFERROR(IF(VLOOKUP($B19,casostestes[#Data],2)=0,"-",VLOOKUP($B19,casostestes[#Data],2)), "-")</f>
        <v>Integração</v>
      </c>
      <c r="E19" s="35" t="str">
        <f>IFERROR(IF(VLOOKUP($B19,casostestes[#Data],3)=0,"-",VLOOKUP($B19,casostestes[#Data],3)), "-")</f>
        <v>26
Criar tarefa de BI inicial fluxo ATESTMEDQ para categoria "Segurado especial" onde o parâmetro "Exige Autodeclaração" no Catálogo está ATIVADO e a autodeclaração tem período pendente
**Parâmetro PAT ligado: 144 - Fluxo ATESTMEDQ</v>
      </c>
      <c r="F19" s="35" t="str">
        <f>IFERROR(IF(VLOOKUP($B19,casostestes[#Data],4)=0,"-",VLOOKUP($B19,casostestes[#Data],4)),"-")</f>
        <v>EC</v>
      </c>
      <c r="G19" s="35" t="str">
        <f>IFERROR(IF(VLOOKUP($B19,casostestes[#Data],5)=0,"-",VLOOKUP($B19,casostestes[#Data],5)),"-")</f>
        <v>ENTIDADE_CONVENIADA</v>
      </c>
      <c r="H19" s="35" t="str">
        <f>IFERROR(IF(VLOOKUP($B19,casostestes[#Data],6)=0,"-",VLOOKUP($B19,casostestes[#Data],6)),"-")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Cumprir exigência de documentos obrigatórios
4. Responder formulário da autodeclaração</v>
      </c>
      <c r="I19" s="35" t="str">
        <f>IFERROR(IF(VLOOKUP($B19,casostestes[#Data],8)=0,"-",VLOOKUP($B19,casostestes[#Data],8)),"-")</f>
        <v>-</v>
      </c>
      <c r="J19" s="35" t="str">
        <f>IFERROR(IF(VLOOKUP($B19,casostestes[#Data],9)=0,"-",VLOOKUP($B19,casostestes[#Data],9)),"-")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19" s="36"/>
      <c r="L19" s="45"/>
      <c r="M19" s="37"/>
      <c r="N19" s="38"/>
      <c r="O19" s="38"/>
      <c r="P19" s="39"/>
    </row>
    <row r="20" spans="2:16" ht="240">
      <c r="B20" s="40">
        <f>IF(ISERR(casostestes[[#This Row],[ID]]),"-",casostestes[[#This Row],[ID]])</f>
        <v>13</v>
      </c>
      <c r="C20" s="34" t="str">
        <f>IFERROR(IF(VLOOKUP($B20,casostestes[#Data],10)=0,"Não",VLOOKUP($B20,casostestes[#Data],10)), "-")</f>
        <v>Sim</v>
      </c>
      <c r="D20" s="35" t="str">
        <f>IFERROR(IF(VLOOKUP($B20,casostestes[#Data],2)=0,"-",VLOOKUP($B20,casostestes[#Data],2)), "-")</f>
        <v>Integração</v>
      </c>
      <c r="E20" s="35" t="str">
        <f>IFERROR(IF(VLOOKUP($B20,casostestes[#Data],3)=0,"-",VLOOKUP($B20,casostestes[#Data],3)), "-")</f>
        <v>27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0" s="35" t="str">
        <f>IFERROR(IF(VLOOKUP($B20,casostestes[#Data],4)=0,"-",VLOOKUP($B20,casostestes[#Data],4)),"-")</f>
        <v>EC</v>
      </c>
      <c r="G20" s="35" t="str">
        <f>IFERROR(IF(VLOOKUP($B20,casostestes[#Data],5)=0,"-",VLOOKUP($B20,casostestes[#Data],5)),"-")</f>
        <v>ENTIDADE_CONVENIADA</v>
      </c>
      <c r="H20" s="35" t="str">
        <f>IFERROR(IF(VLOOKUP($B20,casostestes[#Data],6)=0,"-",VLOOKUP($B20,casostestes[#Data],6)),"-")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Cumprir exigência de documentos obrigatórios
4. Responder formulário da autodeclaração</v>
      </c>
      <c r="I20" s="35" t="str">
        <f>IFERROR(IF(VLOOKUP($B20,casostestes[#Data],8)=0,"-",VLOOKUP($B20,casostestes[#Data],8)),"-")</f>
        <v>-</v>
      </c>
      <c r="J20" s="35" t="str">
        <f>IFERROR(IF(VLOOKUP($B20,casostestes[#Data],9)=0,"-",VLOOKUP($B20,casostestes[#Data],9)),"-")</f>
        <v xml:space="preserve">
Tarefa de BI criada com situação Pendente.
Tarefa SEM Divergência de autodeclaração (116).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20" s="36"/>
      <c r="L20" s="45"/>
      <c r="M20" s="37"/>
      <c r="N20" s="38"/>
      <c r="O20" s="38"/>
      <c r="P20" s="39"/>
    </row>
    <row r="21" spans="2:16" ht="210">
      <c r="B21" s="40">
        <f>IF(ISERR(casostestes[[#This Row],[ID]]),"-",casostestes[[#This Row],[ID]])</f>
        <v>14</v>
      </c>
      <c r="C21" s="34" t="str">
        <f>IFERROR(IF(VLOOKUP($B21,casostestes[#Data],10)=0,"Não",VLOOKUP($B21,casostestes[#Data],10)), "-")</f>
        <v>Sim</v>
      </c>
      <c r="D21" s="35" t="str">
        <f>IFERROR(IF(VLOOKUP($B21,casostestes[#Data],2)=0,"-",VLOOKUP($B21,casostestes[#Data],2)), "-")</f>
        <v>Integração</v>
      </c>
      <c r="E21" s="35" t="str">
        <f>IFERROR(IF(VLOOKUP($B21,casostestes[#Data],3)=0,"-",VLOOKUP($B21,casostestes[#Data],3)), "-")</f>
        <v>29
Cumprir a exigência de autodeclaração</v>
      </c>
      <c r="F21" s="35" t="str">
        <f>IFERROR(IF(VLOOKUP($B21,casostestes[#Data],4)=0,"-",VLOOKUP($B21,casostestes[#Data],4)),"-")</f>
        <v>PAT</v>
      </c>
      <c r="G21" s="35" t="str">
        <f>IFERROR(IF(VLOOKUP($B21,casostestes[#Data],5)=0,"-",VLOOKUP($B21,casostestes[#Data],5)),"-")</f>
        <v>ENTIDADE_CONVENIADA</v>
      </c>
      <c r="H21" s="35" t="str">
        <f>IFERROR(IF(VLOOKUP($B21,casostestes[#Data],6)=0,"-",VLOOKUP($B21,casostestes[#Data],6)),"-")</f>
        <v>1. Logar no Portal do Atendimento INSS com o perfil do caso de teste
2.Consultar uma tarefa em exigência de autodeclaração, detalhar e em seguida e acionar  a aba Cumprir Exigência  
3. Responder o formulário de autodeclaração até o final</v>
      </c>
      <c r="I21" s="35" t="str">
        <f>IFERROR(IF(VLOOKUP($B21,casostestes[#Data],8)=0,"-",VLOOKUP($B21,casostestes[#Data],8)),"-")</f>
        <v>-</v>
      </c>
      <c r="J21" s="35" t="str">
        <f>IFERROR(IF(VLOOKUP($B21,casostestes[#Data],9)=0,"-",VLOOKUP($B21,casostestes[#Data],9)),"-")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1" s="36"/>
      <c r="L21" s="45"/>
      <c r="M21" s="37"/>
      <c r="N21" s="38"/>
      <c r="O21" s="38"/>
      <c r="P21" s="39"/>
    </row>
    <row r="22" spans="2:16" ht="210">
      <c r="B22" s="40">
        <f>IF(ISERR(casostestes[[#This Row],[ID]]),"-",casostestes[[#This Row],[ID]])</f>
        <v>15</v>
      </c>
      <c r="C22" s="34" t="str">
        <f>IFERROR(IF(VLOOKUP($B22,casostestes[#Data],10)=0,"Não",VLOOKUP($B22,casostestes[#Data],10)), "-")</f>
        <v>Sim</v>
      </c>
      <c r="D22" s="35" t="str">
        <f>IFERROR(IF(VLOOKUP($B22,casostestes[#Data],2)=0,"-",VLOOKUP($B22,casostestes[#Data],2)), "-")</f>
        <v>Integração</v>
      </c>
      <c r="E22" s="35" t="str">
        <f>IFERROR(IF(VLOOKUP($B22,casostestes[#Data],3)=0,"-",VLOOKUP($B22,casostestes[#Data],3)), "-")</f>
        <v>30
Cumprir a exigência de autodeclaração</v>
      </c>
      <c r="F22" s="35" t="str">
        <f>IFERROR(IF(VLOOKUP($B22,casostestes[#Data],4)=0,"-",VLOOKUP($B22,casostestes[#Data],4)),"-")</f>
        <v>PAT</v>
      </c>
      <c r="G22" s="35" t="str">
        <f>IFERROR(IF(VLOOKUP($B22,casostestes[#Data],5)=0,"-",VLOOKUP($B22,casostestes[#Data],5)),"-")</f>
        <v>ENTIDADE_CONVENIADA_CORREIOS</v>
      </c>
      <c r="H22" s="35" t="str">
        <f>IFERROR(IF(VLOOKUP($B22,casostestes[#Data],6)=0,"-",VLOOKUP($B22,casostestes[#Data],6)),"-")</f>
        <v>1. Logar no Portal do Atendimento INSS com o perfil EC - CORREIOS
2. Acionar a aba Exigências e consultar uma tarefa em exigência de autodeclaração
3. Detalhar a tarefa e em seguida acionar  a opção Cumprir Exigência  
3. Responder o formulário de autodeclaração até o final</v>
      </c>
      <c r="I22" s="35" t="str">
        <f>IFERROR(IF(VLOOKUP($B22,casostestes[#Data],8)=0,"-",VLOOKUP($B22,casostestes[#Data],8)),"-")</f>
        <v>-</v>
      </c>
      <c r="J22" s="35" t="str">
        <f>IFERROR(IF(VLOOKUP($B22,casostestes[#Data],9)=0,"-",VLOOKUP($B22,casostestes[#Data],9)),"-")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2" s="36"/>
      <c r="L22" s="45"/>
      <c r="M22" s="37"/>
      <c r="N22" s="38"/>
      <c r="O22" s="38"/>
      <c r="P22" s="39"/>
    </row>
    <row r="23" spans="2:16" ht="180">
      <c r="B23" s="40">
        <f>IF(ISERR(casostestes[[#This Row],[ID]]),"-",casostestes[[#This Row],[ID]])</f>
        <v>16</v>
      </c>
      <c r="C23" s="34" t="str">
        <f>IFERROR(IF(VLOOKUP($B23,casostestes[#Data],10)=0,"Não",VLOOKUP($B23,casostestes[#Data],10)), "-")</f>
        <v>Sim</v>
      </c>
      <c r="D23" s="35" t="str">
        <f>IFERROR(IF(VLOOKUP($B23,casostestes[#Data],2)=0,"-",VLOOKUP($B23,casostestes[#Data],2)), "-")</f>
        <v>Integração</v>
      </c>
      <c r="E23" s="35" t="str">
        <f>IFERROR(IF(VLOOKUP($B23,casostestes[#Data],3)=0,"-",VLOOKUP($B23,casostestes[#Data],3)), "-")</f>
        <v>31
Responder o formulário de autodeclaração acessando diretamente a aba segurado especial ao detalhar a tarefa, onde a tarefa encontra-se em exigência de documento médico
Será posível acessar diretamente a autodeclaração logado como EC?</v>
      </c>
      <c r="F23" s="35" t="str">
        <f>IFERROR(IF(VLOOKUP($B23,casostestes[#Data],4)=0,"-",VLOOKUP($B23,casostestes[#Data],4)),"-")</f>
        <v>PAT</v>
      </c>
      <c r="G23" s="35" t="str">
        <f>IFERROR(IF(VLOOKUP($B23,casostestes[#Data],5)=0,"-",VLOOKUP($B23,casostestes[#Data],5)),"-")</f>
        <v>ENTIDADE_CONVENIADA</v>
      </c>
      <c r="H23" s="35" t="str">
        <f>IFERROR(IF(VLOOKUP($B23,casostestes[#Data],6)=0,"-",VLOOKUP($B23,casostestes[#Data],6)),"-")</f>
        <v>1. Logar no Portal do Atendimento INSS com o perfil do caso se teste
2.Consultar uma tarefa em exigência de dautodeclaração
3. Acionar a aba Segurado especial
3. Responder o formulário de autodeclaração até o final</v>
      </c>
      <c r="I23" s="35" t="str">
        <f>IFERROR(IF(VLOOKUP($B23,casostestes[#Data],8)=0,"-",VLOOKUP($B23,casostestes[#Data],8)),"-")</f>
        <v>-</v>
      </c>
      <c r="J23" s="35" t="str">
        <f>IFERROR(IF(VLOOKUP($B23,casostestes[#Data],9)=0,"-",VLOOKUP($B23,casostestes[#Data],9)),"-")</f>
        <v xml:space="preserve">
Tarefa de BI com situação alterada para Pendente 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3" s="36"/>
      <c r="L23" s="45"/>
      <c r="M23" s="37"/>
      <c r="N23" s="38"/>
      <c r="O23" s="38"/>
      <c r="P23" s="39"/>
    </row>
    <row r="24" spans="2:16" ht="105">
      <c r="B24" s="40">
        <f>IF(ISERR(casostestes[[#This Row],[ID]]),"-",casostestes[[#This Row],[ID]])</f>
        <v>17</v>
      </c>
      <c r="C24" s="34" t="str">
        <f>IFERROR(IF(VLOOKUP($B24,casostestes[#Data],10)=0,"Não",VLOOKUP($B24,casostestes[#Data],10)), "-")</f>
        <v>Sim</v>
      </c>
      <c r="D24" s="35" t="str">
        <f>IFERROR(IF(VLOOKUP($B24,casostestes[#Data],2)=0,"-",VLOOKUP($B24,casostestes[#Data],2)), "-")</f>
        <v>Integração</v>
      </c>
      <c r="E24" s="35" t="str">
        <f>IFERROR(IF(VLOOKUP($B24,casostestes[#Data],3)=0,"-",VLOOKUP($B24,casostestes[#Data],3)), "-")</f>
        <v xml:space="preserve">32
Responder o formulário de autodeclaração acessando diretamente a aba segurado especial ao detalhar a tarefa, onde a tarefa encontra-se em exigência de documento médico
</v>
      </c>
      <c r="F24" s="35" t="str">
        <f>IFERROR(IF(VLOOKUP($B24,casostestes[#Data],4)=0,"-",VLOOKUP($B24,casostestes[#Data],4)),"-")</f>
        <v>PAT</v>
      </c>
      <c r="G24" s="35" t="str">
        <f>IFERROR(IF(VLOOKUP($B24,casostestes[#Data],5)=0,"-",VLOOKUP($B24,casostestes[#Data],5)),"-")</f>
        <v>ENTIDADE_CONVENIADA</v>
      </c>
      <c r="H24" s="35" t="str">
        <f>IFERROR(IF(VLOOKUP($B24,casostestes[#Data],6)=0,"-",VLOOKUP($B24,casostestes[#Data],6)),"-")</f>
        <v>1. Logar no Portal do Atendimento INSS com o perfil do caso se teste
2.Consultar uma tarefa em exigência de documento médico
3. Acionar a aba Segurado especial
3. Responder o formulário de autodeclaração até o final</v>
      </c>
      <c r="I24" s="35" t="str">
        <f>IFERROR(IF(VLOOKUP($B24,casostestes[#Data],8)=0,"-",VLOOKUP($B24,casostestes[#Data],8)),"-")</f>
        <v>-</v>
      </c>
      <c r="J24" s="35" t="str">
        <f>IFERROR(IF(VLOOKUP($B24,casostestes[#Data],9)=0,"-",VLOOKUP($B24,casostestes[#Data],9)),"-")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24" s="36"/>
      <c r="L24" s="45"/>
      <c r="M24" s="37"/>
      <c r="N24" s="38"/>
      <c r="O24" s="38"/>
      <c r="P24" s="39"/>
    </row>
    <row r="25" spans="2:16" ht="135">
      <c r="B25" s="40">
        <f>IF(ISERR(casostestes[[#This Row],[ID]]),"-",casostestes[[#This Row],[ID]])</f>
        <v>18</v>
      </c>
      <c r="C25" s="34" t="str">
        <f>IFERROR(IF(VLOOKUP($B25,casostestes[#Data],10)=0,"Não",VLOOKUP($B25,casostestes[#Data],10)), "-")</f>
        <v>Sim</v>
      </c>
      <c r="D25" s="35" t="str">
        <f>IFERROR(IF(VLOOKUP($B25,casostestes[#Data],2)=0,"-",VLOOKUP($B25,casostestes[#Data],2)), "-")</f>
        <v>Requerimento Inicial de BI</v>
      </c>
      <c r="E25" s="35" t="str">
        <f>IFERROR(IF(VLOOKUP($B25,casostestes[#Data],3)=0,"-",VLOOKUP($B25,casostestes[#Data],3)), "-")</f>
        <v>34
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25" s="35" t="str">
        <f>IFERROR(IF(VLOOKUP($B25,casostestes[#Data],4)=0,"-",VLOOKUP($B25,casostestes[#Data],4)),"-")</f>
        <v>Meu INSS</v>
      </c>
      <c r="G25" s="35" t="str">
        <f>IFERROR(IF(VLOOKUP($B25,casostestes[#Data],5)=0,"-",VLOOKUP($B25,casostestes[#Data],5)),"-")</f>
        <v>INTERESSADO</v>
      </c>
      <c r="H25" s="35" t="str">
        <f>IFERROR(IF(VLOOKUP($B25,casostestes[#Data],6)=0,"-",VLOOKUP($B25,casostestes[#Data],6)),"-")</f>
        <v>1. Logar no  Meu INSS
2.Criar tarefa de BI informando:
Tipo de Incapacidade? "Permanente"
A pessoa está presa?  Não
Categoria do trabalhador diferente de "Segurado Especial"
3. Criar o agendamento da perícia</v>
      </c>
      <c r="I25" s="35" t="str">
        <f>IFERROR(IF(VLOOKUP($B25,casostestes[#Data],8)=0,"-",VLOOKUP($B25,casostestes[#Data],8)),"-")</f>
        <v>-</v>
      </c>
      <c r="J25" s="35" t="str">
        <f>IFERROR(IF(VLOOKUP($B25,casostestes[#Data],9)=0,"-",VLOOKUP($B25,casostestes[#Data],9)),"-")</f>
        <v>Tarefa de BI criada com situação Pendente.
Tarefa SEM Divergência de autodeclaração (116)
Status SIBE igual a  AGUARDANDO PERÍCIA
Tarefa.Exige_autodeclaração = 0</v>
      </c>
      <c r="K25" s="36"/>
      <c r="L25" s="45"/>
      <c r="M25" s="37"/>
      <c r="N25" s="38"/>
      <c r="O25" s="38"/>
      <c r="P25" s="39"/>
    </row>
    <row r="26" spans="2:16" ht="255">
      <c r="B26" s="40">
        <f>IF(ISERR(casostestes[[#This Row],[ID]]),"-",casostestes[[#This Row],[ID]])</f>
        <v>19</v>
      </c>
      <c r="C26" s="34" t="str">
        <f>IFERROR(IF(VLOOKUP($B26,casostestes[#Data],10)=0,"Não",VLOOKUP($B26,casostestes[#Data],10)), "-")</f>
        <v>Sim</v>
      </c>
      <c r="D26" s="35" t="str">
        <f>IFERROR(IF(VLOOKUP($B26,casostestes[#Data],2)=0,"-",VLOOKUP($B26,casostestes[#Data],2)), "-")</f>
        <v>Integração</v>
      </c>
      <c r="E26" s="35" t="str">
        <f>IFERROR(IF(VLOOKUP($B26,casostestes[#Data],3)=0,"-",VLOOKUP($B26,casostestes[#Data],3)), "-")</f>
        <v>35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26" s="35" t="str">
        <f>IFERROR(IF(VLOOKUP($B26,casostestes[#Data],4)=0,"-",VLOOKUP($B26,casostestes[#Data],4)),"-")</f>
        <v>Meu INSS</v>
      </c>
      <c r="G26" s="35" t="str">
        <f>IFERROR(IF(VLOOKUP($B26,casostestes[#Data],5)=0,"-",VLOOKUP($B26,casostestes[#Data],5)),"-")</f>
        <v>INTERESSADO</v>
      </c>
      <c r="H26" s="35" t="str">
        <f>IFERROR(IF(VLOOKUP($B26,casostestes[#Data],6)=0,"-",VLOOKUP($B26,casostestes[#Data],6)),"-")</f>
        <v>1. Logar no  Meu INSS
2.Criar tarefa de BI informando:
Tipo de Incapacidade? "Temporária "
A pessoa está presa?  Não
Categoria do trabalhador "Segurado Especial"
A pessoa ficou sem trabalhar? Sim
3. Responder formulário da autodeclaração</v>
      </c>
      <c r="I26" s="35" t="str">
        <f>IFERROR(IF(VLOOKUP($B26,casostestes[#Data],8)=0,"-",VLOOKUP($B26,casostestes[#Data],8)),"-")</f>
        <v>-</v>
      </c>
      <c r="J26" s="35" t="str">
        <f>IFERROR(IF(VLOOKUP($B26,casostestes[#Data],9)=0,"-",VLOOKUP($B26,casostestes[#Data],9)),"-")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26" s="36"/>
      <c r="L26" s="45"/>
      <c r="M26" s="37"/>
      <c r="N26" s="38"/>
      <c r="O26" s="38"/>
      <c r="P26" s="39"/>
    </row>
    <row r="27" spans="2:16" ht="255">
      <c r="B27" s="40">
        <f>IF(ISERR(casostestes[[#This Row],[ID]]),"-",casostestes[[#This Row],[ID]])</f>
        <v>20</v>
      </c>
      <c r="C27" s="34" t="str">
        <f>IFERROR(IF(VLOOKUP($B27,casostestes[#Data],10)=0,"Não",VLOOKUP($B27,casostestes[#Data],10)), "-")</f>
        <v>Sim</v>
      </c>
      <c r="D27" s="35" t="str">
        <f>IFERROR(IF(VLOOKUP($B27,casostestes[#Data],2)=0,"-",VLOOKUP($B27,casostestes[#Data],2)), "-")</f>
        <v>Integração</v>
      </c>
      <c r="E27" s="35" t="str">
        <f>IFERROR(IF(VLOOKUP($B27,casostestes[#Data],3)=0,"-",VLOOKUP($B27,casostestes[#Data],3)), "-")</f>
        <v>36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7" s="35" t="str">
        <f>IFERROR(IF(VLOOKUP($B27,casostestes[#Data],4)=0,"-",VLOOKUP($B27,casostestes[#Data],4)),"-")</f>
        <v>Meu INSS</v>
      </c>
      <c r="G27" s="35" t="str">
        <f>IFERROR(IF(VLOOKUP($B27,casostestes[#Data],5)=0,"-",VLOOKUP($B27,casostestes[#Data],5)),"-")</f>
        <v>INTERESSADO</v>
      </c>
      <c r="H27" s="35" t="str">
        <f>IFERROR(IF(VLOOKUP($B27,casostestes[#Data],6)=0,"-",VLOOKUP($B27,casostestes[#Data],6)),"-")</f>
        <v>1. Logar no  Meu INSS
2.Criar tarefa de BI informando:
Tipo de Incapacidade? "Temporária "
A pessoa está presa?  Não
Categoria do trabalhador "Segurado Especial"
A pessoa ficou sem trabalhar? Sim
3. Responder a autodeclaração</v>
      </c>
      <c r="I27" s="35" t="str">
        <f>IFERROR(IF(VLOOKUP($B27,casostestes[#Data],8)=0,"-",VLOOKUP($B27,casostestes[#Data],8)),"-")</f>
        <v>-</v>
      </c>
      <c r="J27" s="35" t="str">
        <f>IFERROR(IF(VLOOKUP($B27,casostestes[#Data],9)=0,"-",VLOOKUP($B27,casostestes[#Data],9)),"-")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27" s="36"/>
      <c r="L27" s="45"/>
      <c r="M27" s="37"/>
      <c r="N27" s="38"/>
      <c r="O27" s="38"/>
      <c r="P27" s="39"/>
    </row>
    <row r="28" spans="2:16" ht="180">
      <c r="B28" s="40">
        <f>IF(ISERR(casostestes[[#This Row],[ID]]),"-",casostestes[[#This Row],[ID]])</f>
        <v>21</v>
      </c>
      <c r="C28" s="34" t="str">
        <f>IFERROR(IF(VLOOKUP($B28,casostestes[#Data],10)=0,"Não",VLOOKUP($B28,casostestes[#Data],10)), "-")</f>
        <v>Sim</v>
      </c>
      <c r="D28" s="35" t="str">
        <f>IFERROR(IF(VLOOKUP($B28,casostestes[#Data],2)=0,"-",VLOOKUP($B28,casostestes[#Data],2)), "-")</f>
        <v>Requerimento Inicial de BI</v>
      </c>
      <c r="E28" s="35" t="str">
        <f>IFERROR(IF(VLOOKUP($B28,casostestes[#Data],3)=0,"-",VLOOKUP($B28,casostestes[#Data],3)), "-")</f>
        <v>37
Criar tarefa de BI inicial fluxo ATESTMEDQ para categoria "Segurado especial" onde o parâmetro "Exige Autodeclaração" no Catálogo está ATIVADO e  NÃO foi respondida a autodeclaração
**Parâmetro PAT ligado: 144 - Fluxo ATESTMEDQ</v>
      </c>
      <c r="F28" s="35" t="str">
        <f>IFERROR(IF(VLOOKUP($B28,casostestes[#Data],4)=0,"-",VLOOKUP($B28,casostestes[#Data],4)),"-")</f>
        <v>Meu INSS</v>
      </c>
      <c r="G28" s="35" t="str">
        <f>IFERROR(IF(VLOOKUP($B28,casostestes[#Data],5)=0,"-",VLOOKUP($B28,casostestes[#Data],5)),"-")</f>
        <v>INTERESSADO</v>
      </c>
      <c r="H28" s="35" t="str">
        <f>IFERROR(IF(VLOOKUP($B28,casostestes[#Data],6)=0,"-",VLOOKUP($B28,casostestes[#Data],6)),"-")</f>
        <v>1. Logar no  Meu INSS
2.Criar tarefa de BI informando:
Tipo de Incapacidade? "Temporária "
A pessoa está presa?  Não
Categoria do trabalhador "Segurado Especial"
A pessoa ficou sem trabalhar? Não
3. NÃO Responder a autodeclaração</v>
      </c>
      <c r="I28" s="35" t="str">
        <f>IFERROR(IF(VLOOKUP($B28,casostestes[#Data],8)=0,"-",VLOOKUP($B28,casostestes[#Data],8)),"-")</f>
        <v>-</v>
      </c>
      <c r="J28" s="35" t="str">
        <f>IFERROR(IF(VLOOKUP($B28,casostestes[#Data],9)=0,"-",VLOOKUP($B28,casostestes[#Data],9)),"-")</f>
        <v xml:space="preserve">
"Tarefa de BI criada com situação Pendente.
Status SIBE igual a  FLUXO NÃO INICIADO
Divergência de autodeclaração (116) incluída na tarefa
Após execução workflow:
Tarefa de BI com situação alterada para Exigência .
DTP:
Campo Exige_autodeclaração = 1"
</v>
      </c>
      <c r="K28" s="36"/>
      <c r="L28" s="45"/>
      <c r="M28" s="37"/>
      <c r="N28" s="38"/>
      <c r="O28" s="38"/>
      <c r="P28" s="39"/>
    </row>
    <row r="29" spans="2:16" ht="225">
      <c r="B29" s="40">
        <f>IF(ISERR(casostestes[[#This Row],[ID]]),"-",casostestes[[#This Row],[ID]])</f>
        <v>22</v>
      </c>
      <c r="C29" s="34" t="str">
        <f>IFERROR(IF(VLOOKUP($B29,casostestes[#Data],10)=0,"Não",VLOOKUP($B29,casostestes[#Data],10)), "-")</f>
        <v>Sim</v>
      </c>
      <c r="D29" s="35" t="str">
        <f>IFERROR(IF(VLOOKUP($B29,casostestes[#Data],2)=0,"-",VLOOKUP($B29,casostestes[#Data],2)), "-")</f>
        <v>Integração</v>
      </c>
      <c r="E29" s="35" t="str">
        <f>IFERROR(IF(VLOOKUP($B29,casostestes[#Data],3)=0,"-",VLOOKUP($B29,casostestes[#Data],3)), "-")</f>
        <v>38
Cumprir a exigência de autodeclaração</v>
      </c>
      <c r="F29" s="35" t="str">
        <f>IFERROR(IF(VLOOKUP($B29,casostestes[#Data],4)=0,"-",VLOOKUP($B29,casostestes[#Data],4)),"-")</f>
        <v>Meu INSS</v>
      </c>
      <c r="G29" s="35" t="str">
        <f>IFERROR(IF(VLOOKUP($B29,casostestes[#Data],5)=0,"-",VLOOKUP($B29,casostestes[#Data],5)),"-")</f>
        <v>INTERESSADO</v>
      </c>
      <c r="H29" s="35" t="str">
        <f>IFERROR(IF(VLOOKUP($B29,casostestes[#Data],6)=0,"-",VLOOKUP($B29,casostestes[#Data],6)),"-")</f>
        <v>1. Logar no  Meu INSS
2.Consultar uma tarefa em exigência de autodeclaração e acionar Cumprir Exigência  
3. Responder o formulário de autodeclaração</v>
      </c>
      <c r="I29" s="35" t="str">
        <f>IFERROR(IF(VLOOKUP($B29,casostestes[#Data],8)=0,"-",VLOOKUP($B29,casostestes[#Data],8)),"-")</f>
        <v>-</v>
      </c>
      <c r="J29" s="35" t="str">
        <f>IFERROR(IF(VLOOKUP($B29,casostestes[#Data],9)=0,"-",VLOOKUP($B29,casostestes[#Data],9)),"-")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9" s="36"/>
      <c r="L29" s="45"/>
      <c r="M29" s="37"/>
      <c r="N29" s="38"/>
      <c r="O29" s="38"/>
      <c r="P29" s="39"/>
    </row>
    <row r="30" spans="2:16" ht="180">
      <c r="B30" s="40">
        <f>IF(ISERR(casostestes[[#This Row],[ID]]),"-",casostestes[[#This Row],[ID]])</f>
        <v>23</v>
      </c>
      <c r="C30" s="34" t="str">
        <f>IFERROR(IF(VLOOKUP($B30,casostestes[#Data],10)=0,"Não",VLOOKUP($B30,casostestes[#Data],10)), "-")</f>
        <v>Sim</v>
      </c>
      <c r="D30" s="35" t="str">
        <f>IFERROR(IF(VLOOKUP($B30,casostestes[#Data],2)=0,"-",VLOOKUP($B30,casostestes[#Data],2)), "-")</f>
        <v>Integração</v>
      </c>
      <c r="E30" s="35" t="str">
        <f>IFERROR(IF(VLOOKUP($B30,casostestes[#Data],3)=0,"-",VLOOKUP($B30,casostestes[#Data],3)), "-")</f>
        <v>39
Responder o formulário de autodeclaração acionando a opção de autodeclaração no card do pedido onde a tarefa encontra-se em exigência de autodeclaração
Será posível acessar diretamente a autodeclaração logado no Meu INSS?</v>
      </c>
      <c r="F30" s="35" t="str">
        <f>IFERROR(IF(VLOOKUP($B30,casostestes[#Data],4)=0,"-",VLOOKUP($B30,casostestes[#Data],4)),"-")</f>
        <v>Meu INSS</v>
      </c>
      <c r="G30" s="35" t="str">
        <f>IFERROR(IF(VLOOKUP($B30,casostestes[#Data],5)=0,"-",VLOOKUP($B30,casostestes[#Data],5)),"-")</f>
        <v>INTERESSADO</v>
      </c>
      <c r="H30" s="35" t="str">
        <f>IFERROR(IF(VLOOKUP($B30,casostestes[#Data],6)=0,"-",VLOOKUP($B30,casostestes[#Data],6)),"-")</f>
        <v>1. Logar no  Meu INSS
2.Consultar uma tarefa em exigência de autodeclaração
3. Acionar no card do pedido a opção de Autodeclaração   
3. Responder o formulário de autodeclaração</v>
      </c>
      <c r="I30" s="35" t="str">
        <f>IFERROR(IF(VLOOKUP($B30,casostestes[#Data],8)=0,"-",VLOOKUP($B30,casostestes[#Data],8)),"-")</f>
        <v>-</v>
      </c>
      <c r="J30" s="35" t="str">
        <f>IFERROR(IF(VLOOKUP($B30,casostestes[#Data],9)=0,"-",VLOOKUP($B30,casostestes[#Data],9)),"-")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0" s="36"/>
      <c r="L30" s="45"/>
      <c r="M30" s="37"/>
      <c r="N30" s="38"/>
      <c r="O30" s="38"/>
      <c r="P30" s="39"/>
    </row>
    <row r="31" spans="2:16" ht="105">
      <c r="B31" s="40">
        <f>IF(ISERR(casostestes[[#This Row],[ID]]),"-",casostestes[[#This Row],[ID]])</f>
        <v>24</v>
      </c>
      <c r="C31" s="34" t="str">
        <f>IFERROR(IF(VLOOKUP($B31,casostestes[#Data],10)=0,"Não",VLOOKUP($B31,casostestes[#Data],10)), "-")</f>
        <v>Sim</v>
      </c>
      <c r="D31" s="35" t="str">
        <f>IFERROR(IF(VLOOKUP($B31,casostestes[#Data],2)=0,"-",VLOOKUP($B31,casostestes[#Data],2)), "-")</f>
        <v>Integração</v>
      </c>
      <c r="E31" s="35" t="str">
        <f>IFERROR(IF(VLOOKUP($B31,casostestes[#Data],3)=0,"-",VLOOKUP($B31,casostestes[#Data],3)), "-")</f>
        <v>40
Responder o formulário de autodeclaração acionando a opção de autodeclaração no card do pedido onde a tarefa encontra-se em exigência de documento médico
Será posível acessar diretamente a autodeclaração logado no Meu INSS?</v>
      </c>
      <c r="F31" s="35" t="str">
        <f>IFERROR(IF(VLOOKUP($B31,casostestes[#Data],4)=0,"-",VLOOKUP($B31,casostestes[#Data],4)),"-")</f>
        <v>Meu INSS</v>
      </c>
      <c r="G31" s="35" t="str">
        <f>IFERROR(IF(VLOOKUP($B31,casostestes[#Data],5)=0,"-",VLOOKUP($B31,casostestes[#Data],5)),"-")</f>
        <v>INTERESSADO</v>
      </c>
      <c r="H31" s="35" t="str">
        <f>IFERROR(IF(VLOOKUP($B31,casostestes[#Data],6)=0,"-",VLOOKUP($B31,casostestes[#Data],6)),"-")</f>
        <v>1. Logar no  Meu INSS
2.Consultar uma tarefa em exigência de documento médico 
3. Acionar no card do pedido a opção de Autodeclaração   
3. Responder o formulário de autodeclaração</v>
      </c>
      <c r="I31" s="35" t="str">
        <f>IFERROR(IF(VLOOKUP($B31,casostestes[#Data],8)=0,"-",VLOOKUP($B31,casostestes[#Data],8)),"-")</f>
        <v>-</v>
      </c>
      <c r="J31" s="35" t="str">
        <f>IFERROR(IF(VLOOKUP($B31,casostestes[#Data],9)=0,"-",VLOOKUP($B31,casostestes[#Data],9)),"-")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31" s="36"/>
      <c r="L31" s="45"/>
      <c r="M31" s="37"/>
      <c r="N31" s="38"/>
      <c r="O31" s="38"/>
      <c r="P31" s="39"/>
    </row>
    <row r="32" spans="2:16" ht="409.5">
      <c r="B32" s="40">
        <f>IF(ISERR(casostestes[[#This Row],[ID]]),"-",casostestes[[#This Row],[ID]])</f>
        <v>25</v>
      </c>
      <c r="C32" s="34" t="str">
        <f>IFERROR(IF(VLOOKUP($B32,casostestes[#Data],10)=0,"Não",VLOOKUP($B32,casostestes[#Data],10)), "-")</f>
        <v>Sim</v>
      </c>
      <c r="D32" s="35" t="str">
        <f>IFERROR(IF(VLOOKUP($B32,casostestes[#Data],2)=0,"-",VLOOKUP($B32,casostestes[#Data],2)), "-")</f>
        <v>Integração</v>
      </c>
      <c r="E32" s="35" t="str">
        <f>IFERROR(IF(VLOOKUP($B32,casostestes[#Data],3)=0,"-",VLOOKUP($B32,casostestes[#Data],3)), "-")</f>
        <v xml:space="preserve">
41
'Criar tarefa de BI inicial fluxo ATESTMEDQ para categoria "Segurado especial" onde o parâmetro "Exige Autodeclaração" no Catálogo está ATIVADO, 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2" s="35" t="str">
        <f>IFERROR(IF(VLOOKUP($B32,casostestes[#Data],4)=0,"-",VLOOKUP($B32,casostestes[#Data],4)),"-")</f>
        <v>PAT</v>
      </c>
      <c r="G32" s="35" t="str">
        <f>IFERROR(IF(VLOOKUP($B32,casostestes[#Data],5)=0,"-",VLOOKUP($B32,casostestes[#Data],5)),"-")</f>
        <v>SERVIDOR</v>
      </c>
      <c r="H32" s="35" t="str">
        <f>IFERROR(IF(VLOOKUP($B32,casostestes[#Data],6)=0,"-",VLOOKUP($B32,casostestes[#Data],6)),"-")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Responder o formulário de autodeclaração
Resultado 1
5. Executar o serviço do STD simulando enquadramento na regra da análise de risco
- Inclusão da divergência 202 (ORIENTAÇÕES NA ABA MASSA)   
Resultado 2
</v>
      </c>
      <c r="I32" s="35" t="str">
        <f>IFERROR(IF(VLOOKUP($B32,casostestes[#Data],8)=0,"-",VLOOKUP($B32,casostestes[#Data],8)),"-")</f>
        <v>-</v>
      </c>
      <c r="J32" s="35" t="str">
        <f>IFERROR(IF(VLOOKUP($B32,casostestes[#Data],9)=0,"-",VLOOKUP($B32,casostestes[#Data],9)),"-")</f>
        <v xml:space="preserve">Resultado 1:
Tarefa de BI criada com situação Pendente.
Tarefa SEM a Divergência de autodeclaração (116)  
Status SIBE igual a  FLUXO NÃO INICIADO
Seção campos adicionais:
"Fluxo Inicial e final do BI" deve ter o valor  "ATESTMEDQ"
DTP:  Campo Exige_autodeclaração = 1
Aguardar alguns minutos após a geração automática do PDF da autodeclaração:
Status SIBE continua igual a  FLUXO NÃO INICIADO
Resultado 2 - Após a execução do serviço do STD:  
- Cerca de 5 minutos depois, será exibida a divergência da Análise de Risco (202) no requerimento
- Alguns minutos depois:
Status SIBE igual a AGUARDANDO PERÍCIA
- Ocorrências de integração (com SIBE)
 "tipoInformacaoMedica":0
 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 Seção "Agendamentos (Perícia)":
- A etapa_pericia apresentará o valor AGUARDANDO AGENDAMENTO 
Aba Despachos:
-Inclusão do despacho de exigência de agendamento
</v>
      </c>
      <c r="K32" s="36"/>
      <c r="L32" s="45"/>
      <c r="M32" s="37"/>
      <c r="N32" s="38"/>
      <c r="O32" s="38"/>
      <c r="P32" s="39"/>
    </row>
    <row r="33" spans="2:16" ht="409.5">
      <c r="B33" s="40">
        <f>IF(ISERR(casostestes[[#This Row],[ID]]),"-",casostestes[[#This Row],[ID]])</f>
        <v>26</v>
      </c>
      <c r="C33" s="34" t="str">
        <f>IFERROR(IF(VLOOKUP($B33,casostestes[#Data],10)=0,"Não",VLOOKUP($B33,casostestes[#Data],10)), "-")</f>
        <v>Sim</v>
      </c>
      <c r="D33" s="35" t="str">
        <f>IFERROR(IF(VLOOKUP($B33,casostestes[#Data],2)=0,"-",VLOOKUP($B33,casostestes[#Data],2)), "-")</f>
        <v>Integração</v>
      </c>
      <c r="E33" s="35" t="str">
        <f>IFERROR(IF(VLOOKUP($B33,casostestes[#Data],3)=0,"-",VLOOKUP($B33,casostestes[#Data],3)), "-")</f>
        <v xml:space="preserve">42'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3" s="35" t="str">
        <f>IFERROR(IF(VLOOKUP($B33,casostestes[#Data],4)=0,"-",VLOOKUP($B33,casostestes[#Data],4)),"-")</f>
        <v>PAT</v>
      </c>
      <c r="G33" s="35" t="str">
        <f>IFERROR(IF(VLOOKUP($B33,casostestes[#Data],5)=0,"-",VLOOKUP($B33,casostestes[#Data],5)),"-")</f>
        <v>SERVIDOR</v>
      </c>
      <c r="H33" s="35" t="str">
        <f>IFERROR(IF(VLOOKUP($B33,casostestes[#Data],6)=0,"-",VLOOKUP($B33,casostestes[#Data],6)),"-")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33" s="35" t="str">
        <f>IFERROR(IF(VLOOKUP($B33,casostestes[#Data],8)=0,"-",VLOOKUP($B33,casostestes[#Data],8)),"-")</f>
        <v>-</v>
      </c>
      <c r="J33" s="35" t="str">
        <f>IFERROR(IF(VLOOKUP($B33,casostestes[#Data],9)=0,"-",VLOOKUP($B33,casostestes[#Data],9)),"-")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33" s="36"/>
      <c r="L33" s="45"/>
      <c r="M33" s="37"/>
      <c r="N33" s="38"/>
      <c r="O33" s="38"/>
      <c r="P33" s="39"/>
    </row>
    <row r="34" spans="2:16" ht="409.5">
      <c r="B34" s="40">
        <f>IF(ISERR(casostestes[[#This Row],[ID]]),"-",casostestes[[#This Row],[ID]])</f>
        <v>27</v>
      </c>
      <c r="C34" s="34" t="str">
        <f>IFERROR(IF(VLOOKUP($B34,casostestes[#Data],10)=0,"Não",VLOOKUP($B34,casostestes[#Data],10)), "-")</f>
        <v>Sim</v>
      </c>
      <c r="D34" s="35" t="str">
        <f>IFERROR(IF(VLOOKUP($B34,casostestes[#Data],2)=0,"-",VLOOKUP($B34,casostestes[#Data],2)), "-")</f>
        <v>Integração</v>
      </c>
      <c r="E34" s="35" t="str">
        <f>IFERROR(IF(VLOOKUP($B34,casostestes[#Data],3)=0,"-",VLOOKUP($B34,casostestes[#Data],3)), "-")</f>
        <v xml:space="preserve">43'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4" s="35" t="str">
        <f>IFERROR(IF(VLOOKUP($B34,casostestes[#Data],4)=0,"-",VLOOKUP($B34,casostestes[#Data],4)),"-")</f>
        <v>PAT</v>
      </c>
      <c r="G34" s="35" t="str">
        <f>IFERROR(IF(VLOOKUP($B34,casostestes[#Data],5)=0,"-",VLOOKUP($B34,casostestes[#Data],5)),"-")</f>
        <v>SERVIDOR</v>
      </c>
      <c r="H34" s="35" t="str">
        <f>IFERROR(IF(VLOOKUP($B34,casostestes[#Data],6)=0,"-",VLOOKUP($B34,casostestes[#Data],6)),"-")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34" s="35" t="str">
        <f>IFERROR(IF(VLOOKUP($B34,casostestes[#Data],8)=0,"-",VLOOKUP($B34,casostestes[#Data],8)),"-")</f>
        <v>-</v>
      </c>
      <c r="J34" s="35" t="str">
        <f>IFERROR(IF(VLOOKUP($B34,casostestes[#Data],9)=0,"-",VLOOKUP($B34,casostestes[#Data],9)),"-")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34" s="36"/>
      <c r="L34" s="45"/>
      <c r="M34" s="37"/>
      <c r="N34" s="38"/>
      <c r="O34" s="38"/>
      <c r="P34" s="39"/>
    </row>
    <row r="35" spans="2:16">
      <c r="B35" s="40" t="str">
        <f>IF(ISERR(casostestes[[#This Row],[ID]]),"-",casostestes[[#This Row],[ID]])</f>
        <v>-</v>
      </c>
      <c r="C35" s="34" t="str">
        <f>IFERROR(IF(VLOOKUP($B35,casostestes[#Data],10)=0,"Não",VLOOKUP($B35,casostestes[#Data],10)), "-")</f>
        <v>-</v>
      </c>
      <c r="D35" s="35" t="str">
        <f>IFERROR(IF(VLOOKUP($B35,casostestes[#Data],2)=0,"-",VLOOKUP($B35,casostestes[#Data],2)), "-")</f>
        <v>-</v>
      </c>
      <c r="E35" s="35" t="str">
        <f>IFERROR(IF(VLOOKUP($B35,casostestes[#Data],3)=0,"-",VLOOKUP($B35,casostestes[#Data],3)), "-")</f>
        <v>-</v>
      </c>
      <c r="F35" s="35" t="str">
        <f>IFERROR(IF(VLOOKUP($B35,casostestes[#Data],4)=0,"-",VLOOKUP($B35,casostestes[#Data],4)),"-")</f>
        <v>-</v>
      </c>
      <c r="G35" s="35" t="str">
        <f>IFERROR(IF(VLOOKUP($B35,casostestes[#Data],5)=0,"-",VLOOKUP($B35,casostestes[#Data],5)),"-")</f>
        <v>-</v>
      </c>
      <c r="H35" s="35" t="str">
        <f>IFERROR(IF(VLOOKUP($B35,casostestes[#Data],6)=0,"-",VLOOKUP($B35,casostestes[#Data],6)),"-")</f>
        <v>-</v>
      </c>
      <c r="I35" s="35" t="str">
        <f>IFERROR(IF(VLOOKUP($B35,casostestes[#Data],8)=0,"-",VLOOKUP($B35,casostestes[#Data],8)),"-")</f>
        <v>-</v>
      </c>
      <c r="J35" s="35" t="str">
        <f>IFERROR(IF(VLOOKUP($B35,casostestes[#Data],9)=0,"-",VLOOKUP($B35,casostestes[#Data],9)),"-")</f>
        <v>-</v>
      </c>
      <c r="K35" s="36"/>
      <c r="L35" s="45"/>
      <c r="M35" s="37"/>
      <c r="N35" s="38"/>
      <c r="O35" s="38"/>
      <c r="P35" s="39"/>
    </row>
    <row r="36" spans="2:16">
      <c r="B36" s="40" t="str">
        <f>IF(ISERR(casostestes[[#This Row],[ID]]),"-",casostestes[[#This Row],[ID]])</f>
        <v>-</v>
      </c>
      <c r="C36" s="34" t="str">
        <f>IFERROR(IF(VLOOKUP($B36,casostestes[#Data],10)=0,"Não",VLOOKUP($B36,casostestes[#Data],10)), "-")</f>
        <v>-</v>
      </c>
      <c r="D36" s="35" t="str">
        <f>IFERROR(IF(VLOOKUP($B36,casostestes[#Data],2)=0,"-",VLOOKUP($B36,casostestes[#Data],2)), "-")</f>
        <v>-</v>
      </c>
      <c r="E36" s="35" t="str">
        <f>IFERROR(IF(VLOOKUP($B36,casostestes[#Data],3)=0,"-",VLOOKUP($B36,casostestes[#Data],3)), "-")</f>
        <v>-</v>
      </c>
      <c r="F36" s="35" t="str">
        <f>IFERROR(IF(VLOOKUP($B36,casostestes[#Data],4)=0,"-",VLOOKUP($B36,casostestes[#Data],4)),"-")</f>
        <v>-</v>
      </c>
      <c r="G36" s="35" t="str">
        <f>IFERROR(IF(VLOOKUP($B36,casostestes[#Data],5)=0,"-",VLOOKUP($B36,casostestes[#Data],5)),"-")</f>
        <v>-</v>
      </c>
      <c r="H36" s="35" t="str">
        <f>IFERROR(IF(VLOOKUP($B36,casostestes[#Data],6)=0,"-",VLOOKUP($B36,casostestes[#Data],6)),"-")</f>
        <v>-</v>
      </c>
      <c r="I36" s="35" t="str">
        <f>IFERROR(IF(VLOOKUP($B36,casostestes[#Data],8)=0,"-",VLOOKUP($B36,casostestes[#Data],8)),"-")</f>
        <v>-</v>
      </c>
      <c r="J36" s="35" t="str">
        <f>IFERROR(IF(VLOOKUP($B36,casostestes[#Data],9)=0,"-",VLOOKUP($B36,casostestes[#Data],9)),"-")</f>
        <v>-</v>
      </c>
      <c r="K36" s="36"/>
      <c r="L36" s="45"/>
      <c r="M36" s="37"/>
      <c r="N36" s="38"/>
      <c r="O36" s="38"/>
      <c r="P36" s="39"/>
    </row>
    <row r="37" spans="2:16">
      <c r="B37" s="40" t="str">
        <f>IF(ISERR(casostestes[[#This Row],[ID]]),"-",casostestes[[#This Row],[ID]])</f>
        <v>-</v>
      </c>
      <c r="C37" s="34" t="str">
        <f>IFERROR(IF(VLOOKUP($B37,casostestes[#Data],10)=0,"Não",VLOOKUP($B37,casostestes[#Data],10)), "-")</f>
        <v>-</v>
      </c>
      <c r="D37" s="35" t="str">
        <f>IFERROR(IF(VLOOKUP($B37,casostestes[#Data],2)=0,"-",VLOOKUP($B37,casostestes[#Data],2)), "-")</f>
        <v>-</v>
      </c>
      <c r="E37" s="35" t="str">
        <f>IFERROR(IF(VLOOKUP($B37,casostestes[#Data],3)=0,"-",VLOOKUP($B37,casostestes[#Data],3)), "-")</f>
        <v>-</v>
      </c>
      <c r="F37" s="35" t="str">
        <f>IFERROR(IF(VLOOKUP($B37,casostestes[#Data],4)=0,"-",VLOOKUP($B37,casostestes[#Data],4)),"-")</f>
        <v>-</v>
      </c>
      <c r="G37" s="35" t="str">
        <f>IFERROR(IF(VLOOKUP($B37,casostestes[#Data],5)=0,"-",VLOOKUP($B37,casostestes[#Data],5)),"-")</f>
        <v>-</v>
      </c>
      <c r="H37" s="35" t="str">
        <f>IFERROR(IF(VLOOKUP($B37,casostestes[#Data],6)=0,"-",VLOOKUP($B37,casostestes[#Data],6)),"-")</f>
        <v>-</v>
      </c>
      <c r="I37" s="35" t="str">
        <f>IFERROR(IF(VLOOKUP($B37,casostestes[#Data],8)=0,"-",VLOOKUP($B37,casostestes[#Data],8)),"-")</f>
        <v>-</v>
      </c>
      <c r="J37" s="35" t="str">
        <f>IFERROR(IF(VLOOKUP($B37,casostestes[#Data],9)=0,"-",VLOOKUP($B37,casostestes[#Data],9)),"-")</f>
        <v>-</v>
      </c>
      <c r="K37" s="36"/>
      <c r="L37" s="45"/>
      <c r="M37" s="37"/>
      <c r="N37" s="38"/>
      <c r="O37" s="38"/>
      <c r="P37" s="39"/>
    </row>
    <row r="38" spans="2:16">
      <c r="B38" s="40" t="str">
        <f>IF(ISERR(casostestes[[#This Row],[ID]]),"-",casostestes[[#This Row],[ID]])</f>
        <v>-</v>
      </c>
      <c r="C38" s="34" t="str">
        <f>IFERROR(IF(VLOOKUP($B38,casostestes[#Data],10)=0,"Não",VLOOKUP($B38,casostestes[#Data],10)), "-")</f>
        <v>-</v>
      </c>
      <c r="D38" s="35" t="str">
        <f>IFERROR(IF(VLOOKUP($B38,casostestes[#Data],2)=0,"-",VLOOKUP($B38,casostestes[#Data],2)), "-")</f>
        <v>-</v>
      </c>
      <c r="E38" s="35" t="str">
        <f>IFERROR(IF(VLOOKUP($B38,casostestes[#Data],3)=0,"-",VLOOKUP($B38,casostestes[#Data],3)), "-")</f>
        <v>-</v>
      </c>
      <c r="F38" s="35" t="str">
        <f>IFERROR(IF(VLOOKUP($B38,casostestes[#Data],4)=0,"-",VLOOKUP($B38,casostestes[#Data],4)),"-")</f>
        <v>-</v>
      </c>
      <c r="G38" s="35" t="str">
        <f>IFERROR(IF(VLOOKUP($B38,casostestes[#Data],5)=0,"-",VLOOKUP($B38,casostestes[#Data],5)),"-")</f>
        <v>-</v>
      </c>
      <c r="H38" s="35" t="str">
        <f>IFERROR(IF(VLOOKUP($B38,casostestes[#Data],6)=0,"-",VLOOKUP($B38,casostestes[#Data],6)),"-")</f>
        <v>-</v>
      </c>
      <c r="I38" s="35" t="str">
        <f>IFERROR(IF(VLOOKUP($B38,casostestes[#Data],8)=0,"-",VLOOKUP($B38,casostestes[#Data],8)),"-")</f>
        <v>-</v>
      </c>
      <c r="J38" s="35" t="str">
        <f>IFERROR(IF(VLOOKUP($B38,casostestes[#Data],9)=0,"-",VLOOKUP($B38,casostestes[#Data],9)),"-")</f>
        <v>-</v>
      </c>
      <c r="K38" s="36"/>
      <c r="L38" s="45"/>
      <c r="M38" s="37"/>
      <c r="N38" s="38"/>
      <c r="O38" s="38"/>
      <c r="P38" s="39"/>
    </row>
    <row r="39" spans="2:16">
      <c r="B39" s="40" t="str">
        <f>IF(ISERR(casostestes[[#This Row],[ID]]),"-",casostestes[[#This Row],[ID]])</f>
        <v>-</v>
      </c>
      <c r="C39" s="34" t="str">
        <f>IFERROR(IF(VLOOKUP($B39,casostestes[#Data],10)=0,"Não",VLOOKUP($B39,casostestes[#Data],10)), "-")</f>
        <v>-</v>
      </c>
      <c r="D39" s="35" t="str">
        <f>IFERROR(IF(VLOOKUP($B39,casostestes[#Data],2)=0,"-",VLOOKUP($B39,casostestes[#Data],2)), "-")</f>
        <v>-</v>
      </c>
      <c r="E39" s="35" t="str">
        <f>IFERROR(IF(VLOOKUP($B39,casostestes[#Data],3)=0,"-",VLOOKUP($B39,casostestes[#Data],3)), "-")</f>
        <v>-</v>
      </c>
      <c r="F39" s="35" t="str">
        <f>IFERROR(IF(VLOOKUP($B39,casostestes[#Data],4)=0,"-",VLOOKUP($B39,casostestes[#Data],4)),"-")</f>
        <v>-</v>
      </c>
      <c r="G39" s="35" t="str">
        <f>IFERROR(IF(VLOOKUP($B39,casostestes[#Data],5)=0,"-",VLOOKUP($B39,casostestes[#Data],5)),"-")</f>
        <v>-</v>
      </c>
      <c r="H39" s="35" t="str">
        <f>IFERROR(IF(VLOOKUP($B39,casostestes[#Data],6)=0,"-",VLOOKUP($B39,casostestes[#Data],6)),"-")</f>
        <v>-</v>
      </c>
      <c r="I39" s="35" t="str">
        <f>IFERROR(IF(VLOOKUP($B39,casostestes[#Data],8)=0,"-",VLOOKUP($B39,casostestes[#Data],8)),"-")</f>
        <v>-</v>
      </c>
      <c r="J39" s="35" t="str">
        <f>IFERROR(IF(VLOOKUP($B39,casostestes[#Data],9)=0,"-",VLOOKUP($B39,casostestes[#Data],9)),"-")</f>
        <v>-</v>
      </c>
      <c r="K39" s="36"/>
      <c r="L39" s="45"/>
      <c r="M39" s="37"/>
      <c r="N39" s="38"/>
      <c r="O39" s="38"/>
      <c r="P39" s="39"/>
    </row>
    <row r="40" spans="2:16">
      <c r="B40" s="40" t="str">
        <f>IF(ISERR(casostestes[[#This Row],[ID]]),"-",casostestes[[#This Row],[ID]])</f>
        <v>-</v>
      </c>
      <c r="C40" s="34" t="str">
        <f>IFERROR(IF(VLOOKUP($B40,casostestes[#Data],10)=0,"Não",VLOOKUP($B40,casostestes[#Data],10)), "-")</f>
        <v>-</v>
      </c>
      <c r="D40" s="35" t="str">
        <f>IFERROR(IF(VLOOKUP($B40,casostestes[#Data],2)=0,"-",VLOOKUP($B40,casostestes[#Data],2)), "-")</f>
        <v>-</v>
      </c>
      <c r="E40" s="35" t="str">
        <f>IFERROR(IF(VLOOKUP($B40,casostestes[#Data],3)=0,"-",VLOOKUP($B40,casostestes[#Data],3)), "-")</f>
        <v>-</v>
      </c>
      <c r="F40" s="35" t="str">
        <f>IFERROR(IF(VLOOKUP($B40,casostestes[#Data],4)=0,"-",VLOOKUP($B40,casostestes[#Data],4)),"-")</f>
        <v>-</v>
      </c>
      <c r="G40" s="35" t="str">
        <f>IFERROR(IF(VLOOKUP($B40,casostestes[#Data],5)=0,"-",VLOOKUP($B40,casostestes[#Data],5)),"-")</f>
        <v>-</v>
      </c>
      <c r="H40" s="35" t="str">
        <f>IFERROR(IF(VLOOKUP($B40,casostestes[#Data],6)=0,"-",VLOOKUP($B40,casostestes[#Data],6)),"-")</f>
        <v>-</v>
      </c>
      <c r="I40" s="35" t="str">
        <f>IFERROR(IF(VLOOKUP($B40,casostestes[#Data],8)=0,"-",VLOOKUP($B40,casostestes[#Data],8)),"-")</f>
        <v>-</v>
      </c>
      <c r="J40" s="35" t="str">
        <f>IFERROR(IF(VLOOKUP($B40,casostestes[#Data],9)=0,"-",VLOOKUP($B40,casostestes[#Data],9)),"-")</f>
        <v>-</v>
      </c>
      <c r="K40" s="36"/>
      <c r="L40" s="45"/>
      <c r="M40" s="37"/>
      <c r="N40" s="38"/>
      <c r="O40" s="38"/>
      <c r="P40" s="39"/>
    </row>
    <row r="41" spans="2:16">
      <c r="B41" s="40" t="str">
        <f>IF(ISERR(casostestes[[#This Row],[ID]]),"-",casostestes[[#This Row],[ID]])</f>
        <v>-</v>
      </c>
      <c r="C41" s="34" t="str">
        <f>IFERROR(IF(VLOOKUP($B41,casostestes[#Data],10)=0,"Não",VLOOKUP($B41,casostestes[#Data],10)), "-")</f>
        <v>-</v>
      </c>
      <c r="D41" s="35" t="str">
        <f>IFERROR(IF(VLOOKUP($B41,casostestes[#Data],2)=0,"-",VLOOKUP($B41,casostestes[#Data],2)), "-")</f>
        <v>-</v>
      </c>
      <c r="E41" s="35" t="str">
        <f>IFERROR(IF(VLOOKUP($B41,casostestes[#Data],3)=0,"-",VLOOKUP($B41,casostestes[#Data],3)), "-")</f>
        <v>-</v>
      </c>
      <c r="F41" s="35" t="str">
        <f>IFERROR(IF(VLOOKUP($B41,casostestes[#Data],4)=0,"-",VLOOKUP($B41,casostestes[#Data],4)),"-")</f>
        <v>-</v>
      </c>
      <c r="G41" s="35" t="str">
        <f>IFERROR(IF(VLOOKUP($B41,casostestes[#Data],5)=0,"-",VLOOKUP($B41,casostestes[#Data],5)),"-")</f>
        <v>-</v>
      </c>
      <c r="H41" s="35" t="str">
        <f>IFERROR(IF(VLOOKUP($B41,casostestes[#Data],6)=0,"-",VLOOKUP($B41,casostestes[#Data],6)),"-")</f>
        <v>-</v>
      </c>
      <c r="I41" s="35" t="str">
        <f>IFERROR(IF(VLOOKUP($B41,casostestes[#Data],8)=0,"-",VLOOKUP($B41,casostestes[#Data],8)),"-")</f>
        <v>-</v>
      </c>
      <c r="J41" s="35" t="str">
        <f>IFERROR(IF(VLOOKUP($B41,casostestes[#Data],9)=0,"-",VLOOKUP($B41,casostestes[#Data],9)),"-")</f>
        <v>-</v>
      </c>
      <c r="K41" s="36"/>
      <c r="L41" s="45"/>
      <c r="M41" s="37"/>
      <c r="N41" s="38"/>
      <c r="O41" s="38"/>
      <c r="P41" s="39"/>
    </row>
    <row r="42" spans="2:16">
      <c r="B42" s="40" t="str">
        <f>IF(ISERR(casostestes[[#This Row],[ID]]),"-",casostestes[[#This Row],[ID]])</f>
        <v>-</v>
      </c>
      <c r="C42" s="34" t="str">
        <f>IFERROR(IF(VLOOKUP($B42,casostestes[#Data],10)=0,"Não",VLOOKUP($B42,casostestes[#Data],10)), "-")</f>
        <v>-</v>
      </c>
      <c r="D42" s="35" t="str">
        <f>IFERROR(IF(VLOOKUP($B42,casostestes[#Data],2)=0,"-",VLOOKUP($B42,casostestes[#Data],2)), "-")</f>
        <v>-</v>
      </c>
      <c r="E42" s="35" t="str">
        <f>IFERROR(IF(VLOOKUP($B42,casostestes[#Data],3)=0,"-",VLOOKUP($B42,casostestes[#Data],3)), "-")</f>
        <v>-</v>
      </c>
      <c r="F42" s="35" t="str">
        <f>IFERROR(IF(VLOOKUP($B42,casostestes[#Data],4)=0,"-",VLOOKUP($B42,casostestes[#Data],4)),"-")</f>
        <v>-</v>
      </c>
      <c r="G42" s="35" t="str">
        <f>IFERROR(IF(VLOOKUP($B42,casostestes[#Data],5)=0,"-",VLOOKUP($B42,casostestes[#Data],5)),"-")</f>
        <v>-</v>
      </c>
      <c r="H42" s="35" t="str">
        <f>IFERROR(IF(VLOOKUP($B42,casostestes[#Data],6)=0,"-",VLOOKUP($B42,casostestes[#Data],6)),"-")</f>
        <v>-</v>
      </c>
      <c r="I42" s="35" t="str">
        <f>IFERROR(IF(VLOOKUP($B42,casostestes[#Data],8)=0,"-",VLOOKUP($B42,casostestes[#Data],8)),"-")</f>
        <v>-</v>
      </c>
      <c r="J42" s="35" t="str">
        <f>IFERROR(IF(VLOOKUP($B42,casostestes[#Data],9)=0,"-",VLOOKUP($B42,casostestes[#Data],9)),"-")</f>
        <v>-</v>
      </c>
      <c r="K42" s="36"/>
      <c r="L42" s="45"/>
      <c r="M42" s="37"/>
      <c r="N42" s="38"/>
      <c r="O42" s="38"/>
      <c r="P42" s="39"/>
    </row>
    <row r="43" spans="2:16">
      <c r="B43" s="40" t="str">
        <f>IF(ISERR(casostestes[[#This Row],[ID]]),"-",casostestes[[#This Row],[ID]])</f>
        <v>-</v>
      </c>
      <c r="C43" s="34" t="str">
        <f>IFERROR(IF(VLOOKUP($B43,casostestes[#Data],10)=0,"Não",VLOOKUP($B43,casostestes[#Data],10)), "-")</f>
        <v>-</v>
      </c>
      <c r="D43" s="35" t="str">
        <f>IFERROR(IF(VLOOKUP($B43,casostestes[#Data],2)=0,"-",VLOOKUP($B43,casostestes[#Data],2)), "-")</f>
        <v>-</v>
      </c>
      <c r="E43" s="35" t="str">
        <f>IFERROR(IF(VLOOKUP($B43,casostestes[#Data],3)=0,"-",VLOOKUP($B43,casostestes[#Data],3)), "-")</f>
        <v>-</v>
      </c>
      <c r="F43" s="35" t="str">
        <f>IFERROR(IF(VLOOKUP($B43,casostestes[#Data],4)=0,"-",VLOOKUP($B43,casostestes[#Data],4)),"-")</f>
        <v>-</v>
      </c>
      <c r="G43" s="35" t="str">
        <f>IFERROR(IF(VLOOKUP($B43,casostestes[#Data],5)=0,"-",VLOOKUP($B43,casostestes[#Data],5)),"-")</f>
        <v>-</v>
      </c>
      <c r="H43" s="35" t="str">
        <f>IFERROR(IF(VLOOKUP($B43,casostestes[#Data],6)=0,"-",VLOOKUP($B43,casostestes[#Data],6)),"-")</f>
        <v>-</v>
      </c>
      <c r="I43" s="35" t="str">
        <f>IFERROR(IF(VLOOKUP($B43,casostestes[#Data],8)=0,"-",VLOOKUP($B43,casostestes[#Data],8)),"-")</f>
        <v>-</v>
      </c>
      <c r="J43" s="35" t="str">
        <f>IFERROR(IF(VLOOKUP($B43,casostestes[#Data],9)=0,"-",VLOOKUP($B43,casostestes[#Data],9)),"-")</f>
        <v>-</v>
      </c>
      <c r="K43" s="36"/>
      <c r="L43" s="45"/>
      <c r="M43" s="37"/>
      <c r="N43" s="38"/>
      <c r="O43" s="38"/>
      <c r="P43" s="39"/>
    </row>
    <row r="44" spans="2:16">
      <c r="B44" s="40" t="str">
        <f>IF(ISERR(casostestes[[#This Row],[ID]]),"-",casostestes[[#This Row],[ID]])</f>
        <v>-</v>
      </c>
      <c r="C44" s="34" t="str">
        <f>IFERROR(IF(VLOOKUP($B44,casostestes[#Data],10)=0,"Não",VLOOKUP($B44,casostestes[#Data],10)), "-")</f>
        <v>-</v>
      </c>
      <c r="D44" s="35" t="str">
        <f>IFERROR(IF(VLOOKUP($B44,casostestes[#Data],2)=0,"-",VLOOKUP($B44,casostestes[#Data],2)), "-")</f>
        <v>-</v>
      </c>
      <c r="E44" s="35" t="str">
        <f>IFERROR(IF(VLOOKUP($B44,casostestes[#Data],3)=0,"-",VLOOKUP($B44,casostestes[#Data],3)), "-")</f>
        <v>-</v>
      </c>
      <c r="F44" s="35" t="str">
        <f>IFERROR(IF(VLOOKUP($B44,casostestes[#Data],4)=0,"-",VLOOKUP($B44,casostestes[#Data],4)),"-")</f>
        <v>-</v>
      </c>
      <c r="G44" s="35" t="str">
        <f>IFERROR(IF(VLOOKUP($B44,casostestes[#Data],5)=0,"-",VLOOKUP($B44,casostestes[#Data],5)),"-")</f>
        <v>-</v>
      </c>
      <c r="H44" s="35" t="str">
        <f>IFERROR(IF(VLOOKUP($B44,casostestes[#Data],6)=0,"-",VLOOKUP($B44,casostestes[#Data],6)),"-")</f>
        <v>-</v>
      </c>
      <c r="I44" s="35" t="str">
        <f>IFERROR(IF(VLOOKUP($B44,casostestes[#Data],8)=0,"-",VLOOKUP($B44,casostestes[#Data],8)),"-")</f>
        <v>-</v>
      </c>
      <c r="J44" s="35" t="str">
        <f>IFERROR(IF(VLOOKUP($B44,casostestes[#Data],9)=0,"-",VLOOKUP($B44,casostestes[#Data],9)),"-")</f>
        <v>-</v>
      </c>
      <c r="K44" s="36"/>
      <c r="L44" s="45"/>
      <c r="M44" s="37"/>
      <c r="N44" s="38"/>
      <c r="O44" s="38"/>
      <c r="P44" s="39"/>
    </row>
    <row r="45" spans="2:16">
      <c r="B45" s="40" t="str">
        <f>IF(ISERR(casostestes[[#This Row],[ID]]),"-",casostestes[[#This Row],[ID]])</f>
        <v>-</v>
      </c>
      <c r="C45" s="34" t="str">
        <f>IFERROR(IF(VLOOKUP($B45,casostestes[#Data],10)=0,"Não",VLOOKUP($B45,casostestes[#Data],10)), "-")</f>
        <v>-</v>
      </c>
      <c r="D45" s="35" t="str">
        <f>IFERROR(IF(VLOOKUP($B45,casostestes[#Data],2)=0,"-",VLOOKUP($B45,casostestes[#Data],2)), "-")</f>
        <v>-</v>
      </c>
      <c r="E45" s="35" t="str">
        <f>IFERROR(IF(VLOOKUP($B45,casostestes[#Data],3)=0,"-",VLOOKUP($B45,casostestes[#Data],3)), "-")</f>
        <v>-</v>
      </c>
      <c r="F45" s="35" t="str">
        <f>IFERROR(IF(VLOOKUP($B45,casostestes[#Data],4)=0,"-",VLOOKUP($B45,casostestes[#Data],4)),"-")</f>
        <v>-</v>
      </c>
      <c r="G45" s="35" t="str">
        <f>IFERROR(IF(VLOOKUP($B45,casostestes[#Data],5)=0,"-",VLOOKUP($B45,casostestes[#Data],5)),"-")</f>
        <v>-</v>
      </c>
      <c r="H45" s="35" t="str">
        <f>IFERROR(IF(VLOOKUP($B45,casostestes[#Data],6)=0,"-",VLOOKUP($B45,casostestes[#Data],6)),"-")</f>
        <v>-</v>
      </c>
      <c r="I45" s="35" t="str">
        <f>IFERROR(IF(VLOOKUP($B45,casostestes[#Data],8)=0,"-",VLOOKUP($B45,casostestes[#Data],8)),"-")</f>
        <v>-</v>
      </c>
      <c r="J45" s="35" t="str">
        <f>IFERROR(IF(VLOOKUP($B45,casostestes[#Data],9)=0,"-",VLOOKUP($B45,casostestes[#Data],9)),"-")</f>
        <v>-</v>
      </c>
      <c r="K45" s="36"/>
      <c r="L45" s="45"/>
      <c r="M45" s="37"/>
      <c r="N45" s="38"/>
      <c r="O45" s="38"/>
      <c r="P45" s="39"/>
    </row>
    <row r="46" spans="2:16">
      <c r="B46" s="40" t="str">
        <f>IF(ISERR(casostestes[[#This Row],[ID]]),"-",casostestes[[#This Row],[ID]])</f>
        <v>-</v>
      </c>
      <c r="C46" s="34" t="str">
        <f>IFERROR(IF(VLOOKUP($B46,casostestes[#Data],10)=0,"Não",VLOOKUP($B46,casostestes[#Data],10)), "-")</f>
        <v>-</v>
      </c>
      <c r="D46" s="35" t="str">
        <f>IFERROR(IF(VLOOKUP($B46,casostestes[#Data],2)=0,"-",VLOOKUP($B46,casostestes[#Data],2)), "-")</f>
        <v>-</v>
      </c>
      <c r="E46" s="35" t="str">
        <f>IFERROR(IF(VLOOKUP($B46,casostestes[#Data],3)=0,"-",VLOOKUP($B46,casostestes[#Data],3)), "-")</f>
        <v>-</v>
      </c>
      <c r="F46" s="35" t="str">
        <f>IFERROR(IF(VLOOKUP($B46,casostestes[#Data],4)=0,"-",VLOOKUP($B46,casostestes[#Data],4)),"-")</f>
        <v>-</v>
      </c>
      <c r="G46" s="35" t="str">
        <f>IFERROR(IF(VLOOKUP($B46,casostestes[#Data],5)=0,"-",VLOOKUP($B46,casostestes[#Data],5)),"-")</f>
        <v>-</v>
      </c>
      <c r="H46" s="35" t="str">
        <f>IFERROR(IF(VLOOKUP($B46,casostestes[#Data],6)=0,"-",VLOOKUP($B46,casostestes[#Data],6)),"-")</f>
        <v>-</v>
      </c>
      <c r="I46" s="35" t="str">
        <f>IFERROR(IF(VLOOKUP($B46,casostestes[#Data],8)=0,"-",VLOOKUP($B46,casostestes[#Data],8)),"-")</f>
        <v>-</v>
      </c>
      <c r="J46" s="35" t="str">
        <f>IFERROR(IF(VLOOKUP($B46,casostestes[#Data],9)=0,"-",VLOOKUP($B46,casostestes[#Data],9)),"-")</f>
        <v>-</v>
      </c>
      <c r="K46" s="36"/>
      <c r="L46" s="45"/>
      <c r="M46" s="37"/>
      <c r="N46" s="38"/>
      <c r="O46" s="38"/>
      <c r="P46" s="39"/>
    </row>
    <row r="47" spans="2:16">
      <c r="B47" s="40" t="str">
        <f>IF(ISERR(casostestes[[#This Row],[ID]]),"-",casostestes[[#This Row],[ID]])</f>
        <v>-</v>
      </c>
      <c r="C47" s="34" t="str">
        <f>IFERROR(IF(VLOOKUP($B47,casostestes[#Data],10)=0,"Não",VLOOKUP($B47,casostestes[#Data],10)), "-")</f>
        <v>-</v>
      </c>
      <c r="D47" s="35" t="str">
        <f>IFERROR(IF(VLOOKUP($B47,casostestes[#Data],2)=0,"-",VLOOKUP($B47,casostestes[#Data],2)), "-")</f>
        <v>-</v>
      </c>
      <c r="E47" s="35" t="str">
        <f>IFERROR(IF(VLOOKUP($B47,casostestes[#Data],3)=0,"-",VLOOKUP($B47,casostestes[#Data],3)), "-")</f>
        <v>-</v>
      </c>
      <c r="F47" s="35" t="str">
        <f>IFERROR(IF(VLOOKUP($B47,casostestes[#Data],4)=0,"-",VLOOKUP($B47,casostestes[#Data],4)),"-")</f>
        <v>-</v>
      </c>
      <c r="G47" s="35" t="str">
        <f>IFERROR(IF(VLOOKUP($B47,casostestes[#Data],5)=0,"-",VLOOKUP($B47,casostestes[#Data],5)),"-")</f>
        <v>-</v>
      </c>
      <c r="H47" s="35" t="str">
        <f>IFERROR(IF(VLOOKUP($B47,casostestes[#Data],6)=0,"-",VLOOKUP($B47,casostestes[#Data],6)),"-")</f>
        <v>-</v>
      </c>
      <c r="I47" s="35" t="str">
        <f>IFERROR(IF(VLOOKUP($B47,casostestes[#Data],8)=0,"-",VLOOKUP($B47,casostestes[#Data],8)),"-")</f>
        <v>-</v>
      </c>
      <c r="J47" s="35" t="str">
        <f>IFERROR(IF(VLOOKUP($B47,casostestes[#Data],9)=0,"-",VLOOKUP($B47,casostestes[#Data],9)),"-")</f>
        <v>-</v>
      </c>
      <c r="K47" s="36"/>
      <c r="L47" s="45"/>
      <c r="M47" s="37"/>
      <c r="N47" s="38"/>
      <c r="O47" s="38"/>
      <c r="P47" s="39"/>
    </row>
    <row r="48" spans="2:16">
      <c r="B48" s="40" t="str">
        <f>IF(ISERR(casostestes[[#This Row],[ID]]),"-",casostestes[[#This Row],[ID]])</f>
        <v>-</v>
      </c>
      <c r="C48" s="34" t="str">
        <f>IFERROR(IF(VLOOKUP($B48,casostestes[#Data],10)=0,"Não",VLOOKUP($B48,casostestes[#Data],10)), "-")</f>
        <v>-</v>
      </c>
      <c r="D48" s="35" t="str">
        <f>IFERROR(IF(VLOOKUP($B48,casostestes[#Data],2)=0,"-",VLOOKUP($B48,casostestes[#Data],2)), "-")</f>
        <v>-</v>
      </c>
      <c r="E48" s="35" t="str">
        <f>IFERROR(IF(VLOOKUP($B48,casostestes[#Data],3)=0,"-",VLOOKUP($B48,casostestes[#Data],3)), "-")</f>
        <v>-</v>
      </c>
      <c r="F48" s="35" t="str">
        <f>IFERROR(IF(VLOOKUP($B48,casostestes[#Data],4)=0,"-",VLOOKUP($B48,casostestes[#Data],4)),"-")</f>
        <v>-</v>
      </c>
      <c r="G48" s="35" t="str">
        <f>IFERROR(IF(VLOOKUP($B48,casostestes[#Data],5)=0,"-",VLOOKUP($B48,casostestes[#Data],5)),"-")</f>
        <v>-</v>
      </c>
      <c r="H48" s="35" t="str">
        <f>IFERROR(IF(VLOOKUP($B48,casostestes[#Data],6)=0,"-",VLOOKUP($B48,casostestes[#Data],6)),"-")</f>
        <v>-</v>
      </c>
      <c r="I48" s="35" t="str">
        <f>IFERROR(IF(VLOOKUP($B48,casostestes[#Data],8)=0,"-",VLOOKUP($B48,casostestes[#Data],8)),"-")</f>
        <v>-</v>
      </c>
      <c r="J48" s="35" t="str">
        <f>IFERROR(IF(VLOOKUP($B48,casostestes[#Data],9)=0,"-",VLOOKUP($B48,casostestes[#Data],9)),"-")</f>
        <v>-</v>
      </c>
      <c r="K48" s="36"/>
      <c r="L48" s="45"/>
      <c r="M48" s="37"/>
      <c r="N48" s="38"/>
      <c r="O48" s="38"/>
      <c r="P48" s="39"/>
    </row>
    <row r="49" spans="2:16">
      <c r="B49" s="40" t="str">
        <f>IF(ISERR(casostestes[[#This Row],[ID]]),"-",casostestes[[#This Row],[ID]])</f>
        <v>-</v>
      </c>
      <c r="C49" s="34" t="str">
        <f>IFERROR(IF(VLOOKUP($B49,casostestes[#Data],10)=0,"Não",VLOOKUP($B49,casostestes[#Data],10)), "-")</f>
        <v>-</v>
      </c>
      <c r="D49" s="35" t="str">
        <f>IFERROR(IF(VLOOKUP($B49,casostestes[#Data],2)=0,"-",VLOOKUP($B49,casostestes[#Data],2)), "-")</f>
        <v>-</v>
      </c>
      <c r="E49" s="35" t="str">
        <f>IFERROR(IF(VLOOKUP($B49,casostestes[#Data],3)=0,"-",VLOOKUP($B49,casostestes[#Data],3)), "-")</f>
        <v>-</v>
      </c>
      <c r="F49" s="35" t="str">
        <f>IFERROR(IF(VLOOKUP($B49,casostestes[#Data],4)=0,"-",VLOOKUP($B49,casostestes[#Data],4)),"-")</f>
        <v>-</v>
      </c>
      <c r="G49" s="35" t="str">
        <f>IFERROR(IF(VLOOKUP($B49,casostestes[#Data],5)=0,"-",VLOOKUP($B49,casostestes[#Data],5)),"-")</f>
        <v>-</v>
      </c>
      <c r="H49" s="35" t="str">
        <f>IFERROR(IF(VLOOKUP($B49,casostestes[#Data],6)=0,"-",VLOOKUP($B49,casostestes[#Data],6)),"-")</f>
        <v>-</v>
      </c>
      <c r="I49" s="35" t="str">
        <f>IFERROR(IF(VLOOKUP($B49,casostestes[#Data],8)=0,"-",VLOOKUP($B49,casostestes[#Data],8)),"-")</f>
        <v>-</v>
      </c>
      <c r="J49" s="35" t="str">
        <f>IFERROR(IF(VLOOKUP($B49,casostestes[#Data],9)=0,"-",VLOOKUP($B49,casostestes[#Data],9)),"-")</f>
        <v>-</v>
      </c>
      <c r="K49" s="36"/>
      <c r="L49" s="45"/>
      <c r="M49" s="37"/>
      <c r="N49" s="38"/>
      <c r="O49" s="38"/>
      <c r="P49" s="39"/>
    </row>
    <row r="50" spans="2:16">
      <c r="B50" s="40" t="str">
        <f>IF(ISERR(casostestes[[#This Row],[ID]]),"-",casostestes[[#This Row],[ID]])</f>
        <v>-</v>
      </c>
      <c r="C50" s="34" t="str">
        <f>IFERROR(IF(VLOOKUP($B50,casostestes[#Data],10)=0,"Não",VLOOKUP($B50,casostestes[#Data],10)), "-")</f>
        <v>-</v>
      </c>
      <c r="D50" s="35" t="str">
        <f>IFERROR(IF(VLOOKUP($B50,casostestes[#Data],2)=0,"-",VLOOKUP($B50,casostestes[#Data],2)), "-")</f>
        <v>-</v>
      </c>
      <c r="E50" s="35" t="str">
        <f>IFERROR(IF(VLOOKUP($B50,casostestes[#Data],3)=0,"-",VLOOKUP($B50,casostestes[#Data],3)), "-")</f>
        <v>-</v>
      </c>
      <c r="F50" s="35" t="str">
        <f>IFERROR(IF(VLOOKUP($B50,casostestes[#Data],4)=0,"-",VLOOKUP($B50,casostestes[#Data],4)),"-")</f>
        <v>-</v>
      </c>
      <c r="G50" s="35" t="str">
        <f>IFERROR(IF(VLOOKUP($B50,casostestes[#Data],5)=0,"-",VLOOKUP($B50,casostestes[#Data],5)),"-")</f>
        <v>-</v>
      </c>
      <c r="H50" s="35" t="str">
        <f>IFERROR(IF(VLOOKUP($B50,casostestes[#Data],6)=0,"-",VLOOKUP($B50,casostestes[#Data],6)),"-")</f>
        <v>-</v>
      </c>
      <c r="I50" s="35" t="str">
        <f>IFERROR(IF(VLOOKUP($B50,casostestes[#Data],8)=0,"-",VLOOKUP($B50,casostestes[#Data],8)),"-")</f>
        <v>-</v>
      </c>
      <c r="J50" s="35" t="str">
        <f>IFERROR(IF(VLOOKUP($B50,casostestes[#Data],9)=0,"-",VLOOKUP($B50,casostestes[#Data],9)),"-")</f>
        <v>-</v>
      </c>
      <c r="K50" s="36"/>
      <c r="L50" s="45"/>
      <c r="M50" s="37"/>
      <c r="N50" s="38"/>
      <c r="O50" s="38"/>
      <c r="P50" s="39"/>
    </row>
    <row r="51" spans="2:16">
      <c r="B51" s="40" t="str">
        <f>IF(ISERR(casostestes[[#This Row],[ID]]),"-",casostestes[[#This Row],[ID]])</f>
        <v>-</v>
      </c>
      <c r="C51" s="34" t="str">
        <f>IFERROR(IF(VLOOKUP($B51,casostestes[#Data],10)=0,"Não",VLOOKUP($B51,casostestes[#Data],10)), "-")</f>
        <v>-</v>
      </c>
      <c r="D51" s="35" t="str">
        <f>IFERROR(IF(VLOOKUP($B51,casostestes[#Data],2)=0,"-",VLOOKUP($B51,casostestes[#Data],2)), "-")</f>
        <v>-</v>
      </c>
      <c r="E51" s="35" t="str">
        <f>IFERROR(IF(VLOOKUP($B51,casostestes[#Data],3)=0,"-",VLOOKUP($B51,casostestes[#Data],3)), "-")</f>
        <v>-</v>
      </c>
      <c r="F51" s="35" t="str">
        <f>IFERROR(IF(VLOOKUP($B51,casostestes[#Data],4)=0,"-",VLOOKUP($B51,casostestes[#Data],4)),"-")</f>
        <v>-</v>
      </c>
      <c r="G51" s="35" t="str">
        <f>IFERROR(IF(VLOOKUP($B51,casostestes[#Data],5)=0,"-",VLOOKUP($B51,casostestes[#Data],5)),"-")</f>
        <v>-</v>
      </c>
      <c r="H51" s="35" t="str">
        <f>IFERROR(IF(VLOOKUP($B51,casostestes[#Data],6)=0,"-",VLOOKUP($B51,casostestes[#Data],6)),"-")</f>
        <v>-</v>
      </c>
      <c r="I51" s="35" t="str">
        <f>IFERROR(IF(VLOOKUP($B51,casostestes[#Data],8)=0,"-",VLOOKUP($B51,casostestes[#Data],8)),"-")</f>
        <v>-</v>
      </c>
      <c r="J51" s="35" t="str">
        <f>IFERROR(IF(VLOOKUP($B51,casostestes[#Data],9)=0,"-",VLOOKUP($B51,casostestes[#Data],9)),"-")</f>
        <v>-</v>
      </c>
      <c r="K51" s="36"/>
      <c r="L51" s="45"/>
      <c r="M51" s="37"/>
      <c r="N51" s="38"/>
      <c r="O51" s="38"/>
      <c r="P51" s="39"/>
    </row>
    <row r="52" spans="2:16">
      <c r="B52" s="40" t="str">
        <f>IF(ISERR(casostestes[[#This Row],[ID]]),"-",casostestes[[#This Row],[ID]])</f>
        <v>-</v>
      </c>
      <c r="C52" s="34" t="str">
        <f>IFERROR(IF(VLOOKUP($B52,casostestes[#Data],10)=0,"Não",VLOOKUP($B52,casostestes[#Data],10)), "-")</f>
        <v>-</v>
      </c>
      <c r="D52" s="35" t="str">
        <f>IFERROR(IF(VLOOKUP($B52,casostestes[#Data],2)=0,"-",VLOOKUP($B52,casostestes[#Data],2)), "-")</f>
        <v>-</v>
      </c>
      <c r="E52" s="35" t="str">
        <f>IFERROR(IF(VLOOKUP($B52,casostestes[#Data],3)=0,"-",VLOOKUP($B52,casostestes[#Data],3)), "-")</f>
        <v>-</v>
      </c>
      <c r="F52" s="35" t="str">
        <f>IFERROR(IF(VLOOKUP($B52,casostestes[#Data],4)=0,"-",VLOOKUP($B52,casostestes[#Data],4)),"-")</f>
        <v>-</v>
      </c>
      <c r="G52" s="35" t="str">
        <f>IFERROR(IF(VLOOKUP($B52,casostestes[#Data],5)=0,"-",VLOOKUP($B52,casostestes[#Data],5)),"-")</f>
        <v>-</v>
      </c>
      <c r="H52" s="35" t="str">
        <f>IFERROR(IF(VLOOKUP($B52,casostestes[#Data],6)=0,"-",VLOOKUP($B52,casostestes[#Data],6)),"-")</f>
        <v>-</v>
      </c>
      <c r="I52" s="35" t="str">
        <f>IFERROR(IF(VLOOKUP($B52,casostestes[#Data],8)=0,"-",VLOOKUP($B52,casostestes[#Data],8)),"-")</f>
        <v>-</v>
      </c>
      <c r="J52" s="35" t="str">
        <f>IFERROR(IF(VLOOKUP($B52,casostestes[#Data],9)=0,"-",VLOOKUP($B52,casostestes[#Data],9)),"-")</f>
        <v>-</v>
      </c>
      <c r="K52" s="36"/>
      <c r="L52" s="45"/>
      <c r="M52" s="37"/>
      <c r="N52" s="38"/>
      <c r="O52" s="38"/>
      <c r="P52" s="39"/>
    </row>
    <row r="53" spans="2:16">
      <c r="B53" s="40" t="str">
        <f>IF(ISERR(casostestes[[#This Row],[ID]]),"-",casostestes[[#This Row],[ID]])</f>
        <v>-</v>
      </c>
      <c r="C53" s="34" t="str">
        <f>IFERROR(IF(VLOOKUP($B53,casostestes[#Data],10)=0,"Não",VLOOKUP($B53,casostestes[#Data],10)), "-")</f>
        <v>-</v>
      </c>
      <c r="D53" s="35" t="str">
        <f>IFERROR(IF(VLOOKUP($B53,casostestes[#Data],2)=0,"-",VLOOKUP($B53,casostestes[#Data],2)), "-")</f>
        <v>-</v>
      </c>
      <c r="E53" s="35" t="str">
        <f>IFERROR(IF(VLOOKUP($B53,casostestes[#Data],3)=0,"-",VLOOKUP($B53,casostestes[#Data],3)), "-")</f>
        <v>-</v>
      </c>
      <c r="F53" s="35" t="str">
        <f>IFERROR(IF(VLOOKUP($B53,casostestes[#Data],4)=0,"-",VLOOKUP($B53,casostestes[#Data],4)),"-")</f>
        <v>-</v>
      </c>
      <c r="G53" s="35" t="str">
        <f>IFERROR(IF(VLOOKUP($B53,casostestes[#Data],5)=0,"-",VLOOKUP($B53,casostestes[#Data],5)),"-")</f>
        <v>-</v>
      </c>
      <c r="H53" s="35" t="str">
        <f>IFERROR(IF(VLOOKUP($B53,casostestes[#Data],6)=0,"-",VLOOKUP($B53,casostestes[#Data],6)),"-")</f>
        <v>-</v>
      </c>
      <c r="I53" s="35" t="str">
        <f>IFERROR(IF(VLOOKUP($B53,casostestes[#Data],8)=0,"-",VLOOKUP($B53,casostestes[#Data],8)),"-")</f>
        <v>-</v>
      </c>
      <c r="J53" s="35" t="str">
        <f>IFERROR(IF(VLOOKUP($B53,casostestes[#Data],9)=0,"-",VLOOKUP($B53,casostestes[#Data],9)),"-")</f>
        <v>-</v>
      </c>
      <c r="K53" s="36"/>
      <c r="L53" s="45"/>
      <c r="M53" s="37"/>
      <c r="N53" s="38"/>
      <c r="O53" s="38"/>
      <c r="P53" s="39"/>
    </row>
    <row r="54" spans="2:16">
      <c r="B54" s="40" t="str">
        <f>IF(ISERR(casostestes[[#This Row],[ID]]),"-",casostestes[[#This Row],[ID]])</f>
        <v>-</v>
      </c>
      <c r="C54" s="34" t="str">
        <f>IFERROR(IF(VLOOKUP($B54,casostestes[#Data],10)=0,"Não",VLOOKUP($B54,casostestes[#Data],10)), "-")</f>
        <v>-</v>
      </c>
      <c r="D54" s="35" t="str">
        <f>IFERROR(IF(VLOOKUP($B54,casostestes[#Data],2)=0,"-",VLOOKUP($B54,casostestes[#Data],2)), "-")</f>
        <v>-</v>
      </c>
      <c r="E54" s="35" t="str">
        <f>IFERROR(IF(VLOOKUP($B54,casostestes[#Data],3)=0,"-",VLOOKUP($B54,casostestes[#Data],3)), "-")</f>
        <v>-</v>
      </c>
      <c r="F54" s="35" t="str">
        <f>IFERROR(IF(VLOOKUP($B54,casostestes[#Data],4)=0,"-",VLOOKUP($B54,casostestes[#Data],4)),"-")</f>
        <v>-</v>
      </c>
      <c r="G54" s="35" t="str">
        <f>IFERROR(IF(VLOOKUP($B54,casostestes[#Data],5)=0,"-",VLOOKUP($B54,casostestes[#Data],5)),"-")</f>
        <v>-</v>
      </c>
      <c r="H54" s="35" t="str">
        <f>IFERROR(IF(VLOOKUP($B54,casostestes[#Data],6)=0,"-",VLOOKUP($B54,casostestes[#Data],6)),"-")</f>
        <v>-</v>
      </c>
      <c r="I54" s="35" t="str">
        <f>IFERROR(IF(VLOOKUP($B54,casostestes[#Data],8)=0,"-",VLOOKUP($B54,casostestes[#Data],8)),"-")</f>
        <v>-</v>
      </c>
      <c r="J54" s="35" t="str">
        <f>IFERROR(IF(VLOOKUP($B54,casostestes[#Data],9)=0,"-",VLOOKUP($B54,casostestes[#Data],9)),"-")</f>
        <v>-</v>
      </c>
      <c r="K54" s="36"/>
      <c r="L54" s="45"/>
      <c r="M54" s="37"/>
      <c r="N54" s="38"/>
      <c r="O54" s="38"/>
      <c r="P54" s="39"/>
    </row>
    <row r="55" spans="2:16">
      <c r="B55" s="40" t="str">
        <f>IF(ISERR(casostestes[[#This Row],[ID]]),"-",casostestes[[#This Row],[ID]])</f>
        <v>-</v>
      </c>
      <c r="C55" s="34" t="str">
        <f>IFERROR(IF(VLOOKUP($B55,casostestes[#Data],10)=0,"Não",VLOOKUP($B55,casostestes[#Data],10)), "-")</f>
        <v>-</v>
      </c>
      <c r="D55" s="35" t="str">
        <f>IFERROR(IF(VLOOKUP($B55,casostestes[#Data],2)=0,"-",VLOOKUP($B55,casostestes[#Data],2)), "-")</f>
        <v>-</v>
      </c>
      <c r="E55" s="35" t="str">
        <f>IFERROR(IF(VLOOKUP($B55,casostestes[#Data],3)=0,"-",VLOOKUP($B55,casostestes[#Data],3)), "-")</f>
        <v>-</v>
      </c>
      <c r="F55" s="35" t="str">
        <f>IFERROR(IF(VLOOKUP($B55,casostestes[#Data],4)=0,"-",VLOOKUP($B55,casostestes[#Data],4)),"-")</f>
        <v>-</v>
      </c>
      <c r="G55" s="35" t="str">
        <f>IFERROR(IF(VLOOKUP($B55,casostestes[#Data],5)=0,"-",VLOOKUP($B55,casostestes[#Data],5)),"-")</f>
        <v>-</v>
      </c>
      <c r="H55" s="35" t="str">
        <f>IFERROR(IF(VLOOKUP($B55,casostestes[#Data],6)=0,"-",VLOOKUP($B55,casostestes[#Data],6)),"-")</f>
        <v>-</v>
      </c>
      <c r="I55" s="35" t="str">
        <f>IFERROR(IF(VLOOKUP($B55,casostestes[#Data],8)=0,"-",VLOOKUP($B55,casostestes[#Data],8)),"-")</f>
        <v>-</v>
      </c>
      <c r="J55" s="35" t="str">
        <f>IFERROR(IF(VLOOKUP($B55,casostestes[#Data],9)=0,"-",VLOOKUP($B55,casostestes[#Data],9)),"-")</f>
        <v>-</v>
      </c>
      <c r="K55" s="36"/>
      <c r="L55" s="45"/>
      <c r="M55" s="37"/>
      <c r="N55" s="38"/>
      <c r="O55" s="38"/>
      <c r="P55" s="39"/>
    </row>
    <row r="56" spans="2:16">
      <c r="B56" s="40" t="str">
        <f>IF(ISERR(casostestes[[#This Row],[ID]]),"-",casostestes[[#This Row],[ID]])</f>
        <v>-</v>
      </c>
      <c r="C56" s="34" t="str">
        <f>IFERROR(IF(VLOOKUP($B56,casostestes[#Data],10)=0,"Não",VLOOKUP($B56,casostestes[#Data],10)), "-")</f>
        <v>-</v>
      </c>
      <c r="D56" s="35" t="str">
        <f>IFERROR(IF(VLOOKUP($B56,casostestes[#Data],2)=0,"-",VLOOKUP($B56,casostestes[#Data],2)), "-")</f>
        <v>-</v>
      </c>
      <c r="E56" s="35" t="str">
        <f>IFERROR(IF(VLOOKUP($B56,casostestes[#Data],3)=0,"-",VLOOKUP($B56,casostestes[#Data],3)), "-")</f>
        <v>-</v>
      </c>
      <c r="F56" s="35" t="str">
        <f>IFERROR(IF(VLOOKUP($B56,casostestes[#Data],4)=0,"-",VLOOKUP($B56,casostestes[#Data],4)),"-")</f>
        <v>-</v>
      </c>
      <c r="G56" s="35" t="str">
        <f>IFERROR(IF(VLOOKUP($B56,casostestes[#Data],5)=0,"-",VLOOKUP($B56,casostestes[#Data],5)),"-")</f>
        <v>-</v>
      </c>
      <c r="H56" s="35" t="str">
        <f>IFERROR(IF(VLOOKUP($B56,casostestes[#Data],6)=0,"-",VLOOKUP($B56,casostestes[#Data],6)),"-")</f>
        <v>-</v>
      </c>
      <c r="I56" s="35" t="str">
        <f>IFERROR(IF(VLOOKUP($B56,casostestes[#Data],8)=0,"-",VLOOKUP($B56,casostestes[#Data],8)),"-")</f>
        <v>-</v>
      </c>
      <c r="J56" s="35" t="str">
        <f>IFERROR(IF(VLOOKUP($B56,casostestes[#Data],9)=0,"-",VLOOKUP($B56,casostestes[#Data],9)),"-")</f>
        <v>-</v>
      </c>
      <c r="K56" s="36"/>
      <c r="L56" s="45"/>
      <c r="M56" s="37"/>
      <c r="N56" s="38"/>
      <c r="O56" s="38"/>
      <c r="P56" s="39"/>
    </row>
    <row r="57" spans="2:16">
      <c r="B57" s="40" t="str">
        <f>IF(ISERR(casostestes[[#This Row],[ID]]),"-",casostestes[[#This Row],[ID]])</f>
        <v>-</v>
      </c>
      <c r="C57" s="34" t="str">
        <f>IFERROR(IF(VLOOKUP($B57,casostestes[#Data],10)=0,"Não",VLOOKUP($B57,casostestes[#Data],10)), "-")</f>
        <v>-</v>
      </c>
      <c r="D57" s="35" t="str">
        <f>IFERROR(IF(VLOOKUP($B57,casostestes[#Data],2)=0,"-",VLOOKUP($B57,casostestes[#Data],2)), "-")</f>
        <v>-</v>
      </c>
      <c r="E57" s="35" t="str">
        <f>IFERROR(IF(VLOOKUP($B57,casostestes[#Data],3)=0,"-",VLOOKUP($B57,casostestes[#Data],3)), "-")</f>
        <v>-</v>
      </c>
      <c r="F57" s="35" t="str">
        <f>IFERROR(IF(VLOOKUP($B57,casostestes[#Data],4)=0,"-",VLOOKUP($B57,casostestes[#Data],4)),"-")</f>
        <v>-</v>
      </c>
      <c r="G57" s="35" t="str">
        <f>IFERROR(IF(VLOOKUP($B57,casostestes[#Data],5)=0,"-",VLOOKUP($B57,casostestes[#Data],5)),"-")</f>
        <v>-</v>
      </c>
      <c r="H57" s="35" t="str">
        <f>IFERROR(IF(VLOOKUP($B57,casostestes[#Data],6)=0,"-",VLOOKUP($B57,casostestes[#Data],6)),"-")</f>
        <v>-</v>
      </c>
      <c r="I57" s="35" t="str">
        <f>IFERROR(IF(VLOOKUP($B57,casostestes[#Data],8)=0,"-",VLOOKUP($B57,casostestes[#Data],8)),"-")</f>
        <v>-</v>
      </c>
      <c r="J57" s="35" t="str">
        <f>IFERROR(IF(VLOOKUP($B57,casostestes[#Data],9)=0,"-",VLOOKUP($B57,casostestes[#Data],9)),"-")</f>
        <v>-</v>
      </c>
      <c r="K57" s="36"/>
      <c r="L57" s="45"/>
      <c r="M57" s="37"/>
      <c r="N57" s="38"/>
      <c r="O57" s="38"/>
      <c r="P57" s="39"/>
    </row>
    <row r="58" spans="2:16">
      <c r="B58" s="40" t="str">
        <f>IF(ISERR(casostestes[[#This Row],[ID]]),"-",casostestes[[#This Row],[ID]])</f>
        <v>-</v>
      </c>
      <c r="C58" s="34" t="str">
        <f>IFERROR(IF(VLOOKUP($B58,casostestes[#Data],10)=0,"Não",VLOOKUP($B58,casostestes[#Data],10)), "-")</f>
        <v>-</v>
      </c>
      <c r="D58" s="35" t="str">
        <f>IFERROR(IF(VLOOKUP($B58,casostestes[#Data],2)=0,"-",VLOOKUP($B58,casostestes[#Data],2)), "-")</f>
        <v>-</v>
      </c>
      <c r="E58" s="35" t="str">
        <f>IFERROR(IF(VLOOKUP($B58,casostestes[#Data],3)=0,"-",VLOOKUP($B58,casostestes[#Data],3)), "-")</f>
        <v>-</v>
      </c>
      <c r="F58" s="35" t="str">
        <f>IFERROR(IF(VLOOKUP($B58,casostestes[#Data],4)=0,"-",VLOOKUP($B58,casostestes[#Data],4)),"-")</f>
        <v>-</v>
      </c>
      <c r="G58" s="35" t="str">
        <f>IFERROR(IF(VLOOKUP($B58,casostestes[#Data],5)=0,"-",VLOOKUP($B58,casostestes[#Data],5)),"-")</f>
        <v>-</v>
      </c>
      <c r="H58" s="35" t="str">
        <f>IFERROR(IF(VLOOKUP($B58,casostestes[#Data],6)=0,"-",VLOOKUP($B58,casostestes[#Data],6)),"-")</f>
        <v>-</v>
      </c>
      <c r="I58" s="35" t="str">
        <f>IFERROR(IF(VLOOKUP($B58,casostestes[#Data],8)=0,"-",VLOOKUP($B58,casostestes[#Data],8)),"-")</f>
        <v>-</v>
      </c>
      <c r="J58" s="35" t="str">
        <f>IFERROR(IF(VLOOKUP($B58,casostestes[#Data],9)=0,"-",VLOOKUP($B58,casostestes[#Data],9)),"-")</f>
        <v>-</v>
      </c>
      <c r="K58" s="36"/>
      <c r="L58" s="45"/>
      <c r="M58" s="37"/>
      <c r="N58" s="38"/>
      <c r="O58" s="38"/>
      <c r="P58" s="39"/>
    </row>
    <row r="59" spans="2:16">
      <c r="B59" s="40" t="str">
        <f>IF(ISERR(casostestes[[#This Row],[ID]]),"-",casostestes[[#This Row],[ID]])</f>
        <v>-</v>
      </c>
      <c r="C59" s="34" t="str">
        <f>IFERROR(IF(VLOOKUP($B59,casostestes[#Data],10)=0,"Não",VLOOKUP($B59,casostestes[#Data],10)), "-")</f>
        <v>-</v>
      </c>
      <c r="D59" s="35" t="str">
        <f>IFERROR(IF(VLOOKUP($B59,casostestes[#Data],2)=0,"-",VLOOKUP($B59,casostestes[#Data],2)), "-")</f>
        <v>-</v>
      </c>
      <c r="E59" s="35" t="str">
        <f>IFERROR(IF(VLOOKUP($B59,casostestes[#Data],3)=0,"-",VLOOKUP($B59,casostestes[#Data],3)), "-")</f>
        <v>-</v>
      </c>
      <c r="F59" s="35" t="str">
        <f>IFERROR(IF(VLOOKUP($B59,casostestes[#Data],4)=0,"-",VLOOKUP($B59,casostestes[#Data],4)),"-")</f>
        <v>-</v>
      </c>
      <c r="G59" s="35" t="str">
        <f>IFERROR(IF(VLOOKUP($B59,casostestes[#Data],5)=0,"-",VLOOKUP($B59,casostestes[#Data],5)),"-")</f>
        <v>-</v>
      </c>
      <c r="H59" s="35" t="str">
        <f>IFERROR(IF(VLOOKUP($B59,casostestes[#Data],6)=0,"-",VLOOKUP($B59,casostestes[#Data],6)),"-")</f>
        <v>-</v>
      </c>
      <c r="I59" s="35" t="str">
        <f>IFERROR(IF(VLOOKUP($B59,casostestes[#Data],8)=0,"-",VLOOKUP($B59,casostestes[#Data],8)),"-")</f>
        <v>-</v>
      </c>
      <c r="J59" s="35" t="str">
        <f>IFERROR(IF(VLOOKUP($B59,casostestes[#Data],9)=0,"-",VLOOKUP($B59,casostestes[#Data],9)),"-")</f>
        <v>-</v>
      </c>
      <c r="K59" s="36"/>
      <c r="L59" s="45"/>
      <c r="M59" s="37"/>
      <c r="N59" s="38"/>
      <c r="O59" s="38"/>
      <c r="P59" s="39"/>
    </row>
    <row r="60" spans="2:16">
      <c r="B60" s="40" t="str">
        <f>IF(ISERR(casostestes[[#This Row],[ID]]),"-",casostestes[[#This Row],[ID]])</f>
        <v>-</v>
      </c>
      <c r="C60" s="34" t="str">
        <f>IFERROR(IF(VLOOKUP($B60,casostestes[#Data],10)=0,"Não",VLOOKUP($B60,casostestes[#Data],10)), "-")</f>
        <v>-</v>
      </c>
      <c r="D60" s="35" t="str">
        <f>IFERROR(IF(VLOOKUP($B60,casostestes[#Data],2)=0,"-",VLOOKUP($B60,casostestes[#Data],2)), "-")</f>
        <v>-</v>
      </c>
      <c r="E60" s="35" t="str">
        <f>IFERROR(IF(VLOOKUP($B60,casostestes[#Data],3)=0,"-",VLOOKUP($B60,casostestes[#Data],3)), "-")</f>
        <v>-</v>
      </c>
      <c r="F60" s="35" t="str">
        <f>IFERROR(IF(VLOOKUP($B60,casostestes[#Data],4)=0,"-",VLOOKUP($B60,casostestes[#Data],4)),"-")</f>
        <v>-</v>
      </c>
      <c r="G60" s="35" t="str">
        <f>IFERROR(IF(VLOOKUP($B60,casostestes[#Data],5)=0,"-",VLOOKUP($B60,casostestes[#Data],5)),"-")</f>
        <v>-</v>
      </c>
      <c r="H60" s="35" t="str">
        <f>IFERROR(IF(VLOOKUP($B60,casostestes[#Data],6)=0,"-",VLOOKUP($B60,casostestes[#Data],6)),"-")</f>
        <v>-</v>
      </c>
      <c r="I60" s="35" t="str">
        <f>IFERROR(IF(VLOOKUP($B60,casostestes[#Data],8)=0,"-",VLOOKUP($B60,casostestes[#Data],8)),"-")</f>
        <v>-</v>
      </c>
      <c r="J60" s="35" t="str">
        <f>IFERROR(IF(VLOOKUP($B60,casostestes[#Data],9)=0,"-",VLOOKUP($B60,casostestes[#Data],9)),"-")</f>
        <v>-</v>
      </c>
      <c r="K60" s="36"/>
      <c r="L60" s="45"/>
      <c r="M60" s="37"/>
      <c r="N60" s="38"/>
      <c r="O60" s="38"/>
      <c r="P60" s="39"/>
    </row>
    <row r="61" spans="2:16">
      <c r="B61" s="40" t="str">
        <f>IF(ISERR(casostestes[[#This Row],[ID]]),"-",casostestes[[#This Row],[ID]])</f>
        <v>-</v>
      </c>
      <c r="C61" s="34" t="str">
        <f>IFERROR(IF(VLOOKUP($B61,casostestes[#Data],10)=0,"Não",VLOOKUP($B61,casostestes[#Data],10)), "-")</f>
        <v>-</v>
      </c>
      <c r="D61" s="35" t="str">
        <f>IFERROR(IF(VLOOKUP($B61,casostestes[#Data],2)=0,"-",VLOOKUP($B61,casostestes[#Data],2)), "-")</f>
        <v>-</v>
      </c>
      <c r="E61" s="35" t="str">
        <f>IFERROR(IF(VLOOKUP($B61,casostestes[#Data],3)=0,"-",VLOOKUP($B61,casostestes[#Data],3)), "-")</f>
        <v>-</v>
      </c>
      <c r="F61" s="35" t="str">
        <f>IFERROR(IF(VLOOKUP($B61,casostestes[#Data],4)=0,"-",VLOOKUP($B61,casostestes[#Data],4)),"-")</f>
        <v>-</v>
      </c>
      <c r="G61" s="35" t="str">
        <f>IFERROR(IF(VLOOKUP($B61,casostestes[#Data],5)=0,"-",VLOOKUP($B61,casostestes[#Data],5)),"-")</f>
        <v>-</v>
      </c>
      <c r="H61" s="35" t="str">
        <f>IFERROR(IF(VLOOKUP($B61,casostestes[#Data],6)=0,"-",VLOOKUP($B61,casostestes[#Data],6)),"-")</f>
        <v>-</v>
      </c>
      <c r="I61" s="35" t="str">
        <f>IFERROR(IF(VLOOKUP($B61,casostestes[#Data],8)=0,"-",VLOOKUP($B61,casostestes[#Data],8)),"-")</f>
        <v>-</v>
      </c>
      <c r="J61" s="35" t="str">
        <f>IFERROR(IF(VLOOKUP($B61,casostestes[#Data],9)=0,"-",VLOOKUP($B61,casostestes[#Data],9)),"-")</f>
        <v>-</v>
      </c>
      <c r="K61" s="36"/>
      <c r="L61" s="45"/>
      <c r="M61" s="37"/>
      <c r="N61" s="38"/>
      <c r="O61" s="38"/>
      <c r="P61" s="39"/>
    </row>
    <row r="62" spans="2:16">
      <c r="B62" s="40" t="str">
        <f>IF(ISERR(casostestes[[#This Row],[ID]]),"-",casostestes[[#This Row],[ID]])</f>
        <v>-</v>
      </c>
      <c r="C62" s="34" t="str">
        <f>IFERROR(IF(VLOOKUP($B62,casostestes[#Data],10)=0,"Não",VLOOKUP($B62,casostestes[#Data],10)), "-")</f>
        <v>-</v>
      </c>
      <c r="D62" s="35" t="str">
        <f>IFERROR(IF(VLOOKUP($B62,casostestes[#Data],2)=0,"-",VLOOKUP($B62,casostestes[#Data],2)), "-")</f>
        <v>-</v>
      </c>
      <c r="E62" s="35" t="str">
        <f>IFERROR(IF(VLOOKUP($B62,casostestes[#Data],3)=0,"-",VLOOKUP($B62,casostestes[#Data],3)), "-")</f>
        <v>-</v>
      </c>
      <c r="F62" s="35" t="str">
        <f>IFERROR(IF(VLOOKUP($B62,casostestes[#Data],4)=0,"-",VLOOKUP($B62,casostestes[#Data],4)),"-")</f>
        <v>-</v>
      </c>
      <c r="G62" s="35" t="str">
        <f>IFERROR(IF(VLOOKUP($B62,casostestes[#Data],5)=0,"-",VLOOKUP($B62,casostestes[#Data],5)),"-")</f>
        <v>-</v>
      </c>
      <c r="H62" s="35" t="str">
        <f>IFERROR(IF(VLOOKUP($B62,casostestes[#Data],6)=0,"-",VLOOKUP($B62,casostestes[#Data],6)),"-")</f>
        <v>-</v>
      </c>
      <c r="I62" s="35" t="str">
        <f>IFERROR(IF(VLOOKUP($B62,casostestes[#Data],8)=0,"-",VLOOKUP($B62,casostestes[#Data],8)),"-")</f>
        <v>-</v>
      </c>
      <c r="J62" s="35" t="str">
        <f>IFERROR(IF(VLOOKUP($B62,casostestes[#Data],9)=0,"-",VLOOKUP($B62,casostestes[#Data],9)),"-")</f>
        <v>-</v>
      </c>
      <c r="K62" s="36"/>
      <c r="L62" s="45"/>
      <c r="M62" s="37"/>
      <c r="N62" s="38"/>
      <c r="O62" s="38"/>
      <c r="P62" s="39"/>
    </row>
    <row r="63" spans="2:16">
      <c r="B63" s="40" t="str">
        <f>IF(ISERR(casostestes[[#This Row],[ID]]),"-",casostestes[[#This Row],[ID]])</f>
        <v>-</v>
      </c>
      <c r="C63" s="34" t="str">
        <f>IFERROR(IF(VLOOKUP($B63,casostestes[#Data],10)=0,"Não",VLOOKUP($B63,casostestes[#Data],10)), "-")</f>
        <v>-</v>
      </c>
      <c r="D63" s="35" t="str">
        <f>IFERROR(IF(VLOOKUP($B63,casostestes[#Data],2)=0,"-",VLOOKUP($B63,casostestes[#Data],2)), "-")</f>
        <v>-</v>
      </c>
      <c r="E63" s="35" t="str">
        <f>IFERROR(IF(VLOOKUP($B63,casostestes[#Data],3)=0,"-",VLOOKUP($B63,casostestes[#Data],3)), "-")</f>
        <v>-</v>
      </c>
      <c r="F63" s="35" t="str">
        <f>IFERROR(IF(VLOOKUP($B63,casostestes[#Data],4)=0,"-",VLOOKUP($B63,casostestes[#Data],4)),"-")</f>
        <v>-</v>
      </c>
      <c r="G63" s="35" t="str">
        <f>IFERROR(IF(VLOOKUP($B63,casostestes[#Data],5)=0,"-",VLOOKUP($B63,casostestes[#Data],5)),"-")</f>
        <v>-</v>
      </c>
      <c r="H63" s="35" t="str">
        <f>IFERROR(IF(VLOOKUP($B63,casostestes[#Data],6)=0,"-",VLOOKUP($B63,casostestes[#Data],6)),"-")</f>
        <v>-</v>
      </c>
      <c r="I63" s="35" t="str">
        <f>IFERROR(IF(VLOOKUP($B63,casostestes[#Data],8)=0,"-",VLOOKUP($B63,casostestes[#Data],8)),"-")</f>
        <v>-</v>
      </c>
      <c r="J63" s="35" t="str">
        <f>IFERROR(IF(VLOOKUP($B63,casostestes[#Data],9)=0,"-",VLOOKUP($B63,casostestes[#Data],9)),"-")</f>
        <v>-</v>
      </c>
      <c r="K63" s="36"/>
      <c r="L63" s="45"/>
      <c r="M63" s="37"/>
      <c r="N63" s="38"/>
      <c r="O63" s="38"/>
      <c r="P63" s="39"/>
    </row>
    <row r="64" spans="2:16">
      <c r="B64" s="40" t="str">
        <f>IF(ISERR(casostestes[[#This Row],[ID]]),"-",casostestes[[#This Row],[ID]])</f>
        <v>-</v>
      </c>
      <c r="C64" s="34" t="str">
        <f>IFERROR(IF(VLOOKUP($B64,casostestes[#Data],10)=0,"Não",VLOOKUP($B64,casostestes[#Data],10)), "-")</f>
        <v>-</v>
      </c>
      <c r="D64" s="35" t="str">
        <f>IFERROR(IF(VLOOKUP($B64,casostestes[#Data],2)=0,"-",VLOOKUP($B64,casostestes[#Data],2)), "-")</f>
        <v>-</v>
      </c>
      <c r="E64" s="35" t="str">
        <f>IFERROR(IF(VLOOKUP($B64,casostestes[#Data],3)=0,"-",VLOOKUP($B64,casostestes[#Data],3)), "-")</f>
        <v>-</v>
      </c>
      <c r="F64" s="35" t="str">
        <f>IFERROR(IF(VLOOKUP($B64,casostestes[#Data],4)=0,"-",VLOOKUP($B64,casostestes[#Data],4)),"-")</f>
        <v>-</v>
      </c>
      <c r="G64" s="35" t="str">
        <f>IFERROR(IF(VLOOKUP($B64,casostestes[#Data],5)=0,"-",VLOOKUP($B64,casostestes[#Data],5)),"-")</f>
        <v>-</v>
      </c>
      <c r="H64" s="35" t="str">
        <f>IFERROR(IF(VLOOKUP($B64,casostestes[#Data],6)=0,"-",VLOOKUP($B64,casostestes[#Data],6)),"-")</f>
        <v>-</v>
      </c>
      <c r="I64" s="35" t="str">
        <f>IFERROR(IF(VLOOKUP($B64,casostestes[#Data],8)=0,"-",VLOOKUP($B64,casostestes[#Data],8)),"-")</f>
        <v>-</v>
      </c>
      <c r="J64" s="35" t="str">
        <f>IFERROR(IF(VLOOKUP($B64,casostestes[#Data],9)=0,"-",VLOOKUP($B64,casostestes[#Data],9)),"-")</f>
        <v>-</v>
      </c>
      <c r="K64" s="36"/>
      <c r="L64" s="45"/>
      <c r="M64" s="37"/>
      <c r="N64" s="38"/>
      <c r="O64" s="38"/>
      <c r="P64" s="39"/>
    </row>
    <row r="65" spans="2:16">
      <c r="B65" s="40" t="str">
        <f>IF(ISERR(casostestes[[#This Row],[ID]]),"-",casostestes[[#This Row],[ID]])</f>
        <v>-</v>
      </c>
      <c r="C65" s="34" t="str">
        <f>IFERROR(IF(VLOOKUP($B65,casostestes[#Data],10)=0,"Não",VLOOKUP($B65,casostestes[#Data],10)), "-")</f>
        <v>-</v>
      </c>
      <c r="D65" s="35" t="str">
        <f>IFERROR(IF(VLOOKUP($B65,casostestes[#Data],2)=0,"-",VLOOKUP($B65,casostestes[#Data],2)), "-")</f>
        <v>-</v>
      </c>
      <c r="E65" s="35" t="str">
        <f>IFERROR(IF(VLOOKUP($B65,casostestes[#Data],3)=0,"-",VLOOKUP($B65,casostestes[#Data],3)), "-")</f>
        <v>-</v>
      </c>
      <c r="F65" s="35" t="str">
        <f>IFERROR(IF(VLOOKUP($B65,casostestes[#Data],4)=0,"-",VLOOKUP($B65,casostestes[#Data],4)),"-")</f>
        <v>-</v>
      </c>
      <c r="G65" s="35" t="str">
        <f>IFERROR(IF(VLOOKUP($B65,casostestes[#Data],5)=0,"-",VLOOKUP($B65,casostestes[#Data],5)),"-")</f>
        <v>-</v>
      </c>
      <c r="H65" s="35" t="str">
        <f>IFERROR(IF(VLOOKUP($B65,casostestes[#Data],6)=0,"-",VLOOKUP($B65,casostestes[#Data],6)),"-")</f>
        <v>-</v>
      </c>
      <c r="I65" s="35" t="str">
        <f>IFERROR(IF(VLOOKUP($B65,casostestes[#Data],8)=0,"-",VLOOKUP($B65,casostestes[#Data],8)),"-")</f>
        <v>-</v>
      </c>
      <c r="J65" s="35" t="str">
        <f>IFERROR(IF(VLOOKUP($B65,casostestes[#Data],9)=0,"-",VLOOKUP($B65,casostestes[#Data],9)),"-")</f>
        <v>-</v>
      </c>
      <c r="K65" s="36"/>
      <c r="L65" s="45"/>
      <c r="M65" s="37"/>
      <c r="N65" s="38"/>
      <c r="O65" s="38"/>
      <c r="P65" s="39"/>
    </row>
    <row r="66" spans="2:16">
      <c r="B66" s="40" t="str">
        <f>IF(ISERR(casostestes[[#This Row],[ID]]),"-",casostestes[[#This Row],[ID]])</f>
        <v>-</v>
      </c>
      <c r="C66" s="34" t="str">
        <f>IFERROR(IF(VLOOKUP($B66,casostestes[#Data],10)=0,"Não",VLOOKUP($B66,casostestes[#Data],10)), "-")</f>
        <v>-</v>
      </c>
      <c r="D66" s="35" t="str">
        <f>IFERROR(IF(VLOOKUP($B66,casostestes[#Data],2)=0,"-",VLOOKUP($B66,casostestes[#Data],2)), "-")</f>
        <v>-</v>
      </c>
      <c r="E66" s="35" t="str">
        <f>IFERROR(IF(VLOOKUP($B66,casostestes[#Data],3)=0,"-",VLOOKUP($B66,casostestes[#Data],3)), "-")</f>
        <v>-</v>
      </c>
      <c r="F66" s="35" t="str">
        <f>IFERROR(IF(VLOOKUP($B66,casostestes[#Data],4)=0,"-",VLOOKUP($B66,casostestes[#Data],4)),"-")</f>
        <v>-</v>
      </c>
      <c r="G66" s="35" t="str">
        <f>IFERROR(IF(VLOOKUP($B66,casostestes[#Data],5)=0,"-",VLOOKUP($B66,casostestes[#Data],5)),"-")</f>
        <v>-</v>
      </c>
      <c r="H66" s="35" t="str">
        <f>IFERROR(IF(VLOOKUP($B66,casostestes[#Data],6)=0,"-",VLOOKUP($B66,casostestes[#Data],6)),"-")</f>
        <v>-</v>
      </c>
      <c r="I66" s="35" t="str">
        <f>IFERROR(IF(VLOOKUP($B66,casostestes[#Data],8)=0,"-",VLOOKUP($B66,casostestes[#Data],8)),"-")</f>
        <v>-</v>
      </c>
      <c r="J66" s="35" t="str">
        <f>IFERROR(IF(VLOOKUP($B66,casostestes[#Data],9)=0,"-",VLOOKUP($B66,casostestes[#Data],9)),"-")</f>
        <v>-</v>
      </c>
      <c r="K66" s="36"/>
      <c r="L66" s="45"/>
      <c r="M66" s="37"/>
      <c r="N66" s="38"/>
      <c r="O66" s="38"/>
      <c r="P66" s="39"/>
    </row>
    <row r="67" spans="2:16">
      <c r="B67" s="40" t="str">
        <f>IF(ISERR(casostestes[[#This Row],[ID]]),"-",casostestes[[#This Row],[ID]])</f>
        <v>-</v>
      </c>
      <c r="C67" s="34" t="str">
        <f>IFERROR(IF(VLOOKUP($B67,casostestes[#Data],10)=0,"Não",VLOOKUP($B67,casostestes[#Data],10)), "-")</f>
        <v>-</v>
      </c>
      <c r="D67" s="35" t="str">
        <f>IFERROR(IF(VLOOKUP($B67,casostestes[#Data],2)=0,"-",VLOOKUP($B67,casostestes[#Data],2)), "-")</f>
        <v>-</v>
      </c>
      <c r="E67" s="35" t="str">
        <f>IFERROR(IF(VLOOKUP($B67,casostestes[#Data],3)=0,"-",VLOOKUP($B67,casostestes[#Data],3)), "-")</f>
        <v>-</v>
      </c>
      <c r="F67" s="35" t="str">
        <f>IFERROR(IF(VLOOKUP($B67,casostestes[#Data],4)=0,"-",VLOOKUP($B67,casostestes[#Data],4)),"-")</f>
        <v>-</v>
      </c>
      <c r="G67" s="35" t="str">
        <f>IFERROR(IF(VLOOKUP($B67,casostestes[#Data],5)=0,"-",VLOOKUP($B67,casostestes[#Data],5)),"-")</f>
        <v>-</v>
      </c>
      <c r="H67" s="35" t="str">
        <f>IFERROR(IF(VLOOKUP($B67,casostestes[#Data],6)=0,"-",VLOOKUP($B67,casostestes[#Data],6)),"-")</f>
        <v>-</v>
      </c>
      <c r="I67" s="35" t="str">
        <f>IFERROR(IF(VLOOKUP($B67,casostestes[#Data],8)=0,"-",VLOOKUP($B67,casostestes[#Data],8)),"-")</f>
        <v>-</v>
      </c>
      <c r="J67" s="35" t="str">
        <f>IFERROR(IF(VLOOKUP($B67,casostestes[#Data],9)=0,"-",VLOOKUP($B67,casostestes[#Data],9)),"-")</f>
        <v>-</v>
      </c>
      <c r="K67" s="36"/>
      <c r="L67" s="45"/>
      <c r="M67" s="37"/>
      <c r="N67" s="38"/>
      <c r="O67" s="38"/>
      <c r="P67" s="39"/>
    </row>
    <row r="68" spans="2:16">
      <c r="B68" s="40" t="str">
        <f>IF(ISERR(casostestes[[#This Row],[ID]]),"-",casostestes[[#This Row],[ID]])</f>
        <v>-</v>
      </c>
      <c r="C68" s="34" t="str">
        <f>IFERROR(IF(VLOOKUP($B68,casostestes[#Data],10)=0,"Não",VLOOKUP($B68,casostestes[#Data],10)), "-")</f>
        <v>-</v>
      </c>
      <c r="D68" s="35" t="str">
        <f>IFERROR(IF(VLOOKUP($B68,casostestes[#Data],2)=0,"-",VLOOKUP($B68,casostestes[#Data],2)), "-")</f>
        <v>-</v>
      </c>
      <c r="E68" s="35" t="str">
        <f>IFERROR(IF(VLOOKUP($B68,casostestes[#Data],3)=0,"-",VLOOKUP($B68,casostestes[#Data],3)), "-")</f>
        <v>-</v>
      </c>
      <c r="F68" s="35" t="str">
        <f>IFERROR(IF(VLOOKUP($B68,casostestes[#Data],4)=0,"-",VLOOKUP($B68,casostestes[#Data],4)),"-")</f>
        <v>-</v>
      </c>
      <c r="G68" s="35" t="str">
        <f>IFERROR(IF(VLOOKUP($B68,casostestes[#Data],5)=0,"-",VLOOKUP($B68,casostestes[#Data],5)),"-")</f>
        <v>-</v>
      </c>
      <c r="H68" s="35" t="str">
        <f>IFERROR(IF(VLOOKUP($B68,casostestes[#Data],6)=0,"-",VLOOKUP($B68,casostestes[#Data],6)),"-")</f>
        <v>-</v>
      </c>
      <c r="I68" s="35" t="str">
        <f>IFERROR(IF(VLOOKUP($B68,casostestes[#Data],8)=0,"-",VLOOKUP($B68,casostestes[#Data],8)),"-")</f>
        <v>-</v>
      </c>
      <c r="J68" s="35" t="str">
        <f>IFERROR(IF(VLOOKUP($B68,casostestes[#Data],9)=0,"-",VLOOKUP($B68,casostestes[#Data],9)),"-")</f>
        <v>-</v>
      </c>
      <c r="K68" s="36"/>
      <c r="L68" s="45"/>
      <c r="M68" s="37"/>
      <c r="N68" s="38"/>
      <c r="O68" s="38"/>
      <c r="P68" s="39"/>
    </row>
    <row r="69" spans="2:16">
      <c r="B69" s="40" t="str">
        <f>IF(ISERR(casostestes[[#This Row],[ID]]),"-",casostestes[[#This Row],[ID]])</f>
        <v>-</v>
      </c>
      <c r="C69" s="34" t="str">
        <f>IFERROR(IF(VLOOKUP($B69,casostestes[#Data],10)=0,"Não",VLOOKUP($B69,casostestes[#Data],10)), "-")</f>
        <v>-</v>
      </c>
      <c r="D69" s="35" t="str">
        <f>IFERROR(IF(VLOOKUP($B69,casostestes[#Data],2)=0,"-",VLOOKUP($B69,casostestes[#Data],2)), "-")</f>
        <v>-</v>
      </c>
      <c r="E69" s="35" t="str">
        <f>IFERROR(IF(VLOOKUP($B69,casostestes[#Data],3)=0,"-",VLOOKUP($B69,casostestes[#Data],3)), "-")</f>
        <v>-</v>
      </c>
      <c r="F69" s="35" t="str">
        <f>IFERROR(IF(VLOOKUP($B69,casostestes[#Data],4)=0,"-",VLOOKUP($B69,casostestes[#Data],4)),"-")</f>
        <v>-</v>
      </c>
      <c r="G69" s="35" t="str">
        <f>IFERROR(IF(VLOOKUP($B69,casostestes[#Data],5)=0,"-",VLOOKUP($B69,casostestes[#Data],5)),"-")</f>
        <v>-</v>
      </c>
      <c r="H69" s="35" t="str">
        <f>IFERROR(IF(VLOOKUP($B69,casostestes[#Data],6)=0,"-",VLOOKUP($B69,casostestes[#Data],6)),"-")</f>
        <v>-</v>
      </c>
      <c r="I69" s="35" t="str">
        <f>IFERROR(IF(VLOOKUP($B69,casostestes[#Data],8)=0,"-",VLOOKUP($B69,casostestes[#Data],8)),"-")</f>
        <v>-</v>
      </c>
      <c r="J69" s="35" t="str">
        <f>IFERROR(IF(VLOOKUP($B69,casostestes[#Data],9)=0,"-",VLOOKUP($B69,casostestes[#Data],9)),"-")</f>
        <v>-</v>
      </c>
      <c r="K69" s="36"/>
      <c r="L69" s="45"/>
      <c r="M69" s="37"/>
      <c r="N69" s="38"/>
      <c r="O69" s="38"/>
      <c r="P69" s="39"/>
    </row>
    <row r="70" spans="2:16">
      <c r="B70" s="40" t="str">
        <f>IF(ISERR(casostestes[[#This Row],[ID]]),"-",casostestes[[#This Row],[ID]])</f>
        <v>-</v>
      </c>
      <c r="C70" s="34" t="str">
        <f>IFERROR(IF(VLOOKUP($B70,casostestes[#Data],10)=0,"Não",VLOOKUP($B70,casostestes[#Data],10)), "-")</f>
        <v>-</v>
      </c>
      <c r="D70" s="35" t="str">
        <f>IFERROR(IF(VLOOKUP($B70,casostestes[#Data],2)=0,"-",VLOOKUP($B70,casostestes[#Data],2)), "-")</f>
        <v>-</v>
      </c>
      <c r="E70" s="35" t="str">
        <f>IFERROR(IF(VLOOKUP($B70,casostestes[#Data],3)=0,"-",VLOOKUP($B70,casostestes[#Data],3)), "-")</f>
        <v>-</v>
      </c>
      <c r="F70" s="35" t="str">
        <f>IFERROR(IF(VLOOKUP($B70,casostestes[#Data],4)=0,"-",VLOOKUP($B70,casostestes[#Data],4)),"-")</f>
        <v>-</v>
      </c>
      <c r="G70" s="35" t="str">
        <f>IFERROR(IF(VLOOKUP($B70,casostestes[#Data],5)=0,"-",VLOOKUP($B70,casostestes[#Data],5)),"-")</f>
        <v>-</v>
      </c>
      <c r="H70" s="35" t="str">
        <f>IFERROR(IF(VLOOKUP($B70,casostestes[#Data],6)=0,"-",VLOOKUP($B70,casostestes[#Data],6)),"-")</f>
        <v>-</v>
      </c>
      <c r="I70" s="35" t="str">
        <f>IFERROR(IF(VLOOKUP($B70,casostestes[#Data],8)=0,"-",VLOOKUP($B70,casostestes[#Data],8)),"-")</f>
        <v>-</v>
      </c>
      <c r="J70" s="35" t="str">
        <f>IFERROR(IF(VLOOKUP($B70,casostestes[#Data],9)=0,"-",VLOOKUP($B70,casostestes[#Data],9)),"-")</f>
        <v>-</v>
      </c>
      <c r="K70" s="36"/>
      <c r="L70" s="45"/>
      <c r="M70" s="37"/>
      <c r="N70" s="38"/>
      <c r="O70" s="38"/>
      <c r="P70" s="39"/>
    </row>
    <row r="71" spans="2:16">
      <c r="B71" s="40" t="str">
        <f>IF(ISERR(casostestes[[#This Row],[ID]]),"-",casostestes[[#This Row],[ID]])</f>
        <v>-</v>
      </c>
      <c r="C71" s="34" t="str">
        <f>IFERROR(IF(VLOOKUP($B71,casostestes[#Data],10)=0,"Não",VLOOKUP($B71,casostestes[#Data],10)), "-")</f>
        <v>-</v>
      </c>
      <c r="D71" s="35" t="str">
        <f>IFERROR(IF(VLOOKUP($B71,casostestes[#Data],2)=0,"-",VLOOKUP($B71,casostestes[#Data],2)), "-")</f>
        <v>-</v>
      </c>
      <c r="E71" s="35" t="str">
        <f>IFERROR(IF(VLOOKUP($B71,casostestes[#Data],3)=0,"-",VLOOKUP($B71,casostestes[#Data],3)), "-")</f>
        <v>-</v>
      </c>
      <c r="F71" s="35" t="str">
        <f>IFERROR(IF(VLOOKUP($B71,casostestes[#Data],4)=0,"-",VLOOKUP($B71,casostestes[#Data],4)),"-")</f>
        <v>-</v>
      </c>
      <c r="G71" s="35" t="str">
        <f>IFERROR(IF(VLOOKUP($B71,casostestes[#Data],5)=0,"-",VLOOKUP($B71,casostestes[#Data],5)),"-")</f>
        <v>-</v>
      </c>
      <c r="H71" s="35" t="str">
        <f>IFERROR(IF(VLOOKUP($B71,casostestes[#Data],6)=0,"-",VLOOKUP($B71,casostestes[#Data],6)),"-")</f>
        <v>-</v>
      </c>
      <c r="I71" s="35" t="str">
        <f>IFERROR(IF(VLOOKUP($B71,casostestes[#Data],8)=0,"-",VLOOKUP($B71,casostestes[#Data],8)),"-")</f>
        <v>-</v>
      </c>
      <c r="J71" s="35" t="str">
        <f>IFERROR(IF(VLOOKUP($B71,casostestes[#Data],9)=0,"-",VLOOKUP($B71,casostestes[#Data],9)),"-")</f>
        <v>-</v>
      </c>
      <c r="K71" s="36"/>
      <c r="L71" s="45"/>
      <c r="M71" s="37"/>
      <c r="N71" s="38"/>
      <c r="O71" s="38"/>
      <c r="P71" s="39"/>
    </row>
    <row r="72" spans="2:16">
      <c r="B72" s="40" t="str">
        <f>IF(ISERR(casostestes[[#This Row],[ID]]),"-",casostestes[[#This Row],[ID]])</f>
        <v>-</v>
      </c>
      <c r="C72" s="34" t="str">
        <f>IFERROR(IF(VLOOKUP($B72,casostestes[#Data],10)=0,"Não",VLOOKUP($B72,casostestes[#Data],10)), "-")</f>
        <v>-</v>
      </c>
      <c r="D72" s="35" t="str">
        <f>IFERROR(IF(VLOOKUP($B72,casostestes[#Data],2)=0,"-",VLOOKUP($B72,casostestes[#Data],2)), "-")</f>
        <v>-</v>
      </c>
      <c r="E72" s="35" t="str">
        <f>IFERROR(IF(VLOOKUP($B72,casostestes[#Data],3)=0,"-",VLOOKUP($B72,casostestes[#Data],3)), "-")</f>
        <v>-</v>
      </c>
      <c r="F72" s="35" t="str">
        <f>IFERROR(IF(VLOOKUP($B72,casostestes[#Data],4)=0,"-",VLOOKUP($B72,casostestes[#Data],4)),"-")</f>
        <v>-</v>
      </c>
      <c r="G72" s="35" t="str">
        <f>IFERROR(IF(VLOOKUP($B72,casostestes[#Data],5)=0,"-",VLOOKUP($B72,casostestes[#Data],5)),"-")</f>
        <v>-</v>
      </c>
      <c r="H72" s="35" t="str">
        <f>IFERROR(IF(VLOOKUP($B72,casostestes[#Data],6)=0,"-",VLOOKUP($B72,casostestes[#Data],6)),"-")</f>
        <v>-</v>
      </c>
      <c r="I72" s="35" t="str">
        <f>IFERROR(IF(VLOOKUP($B72,casostestes[#Data],8)=0,"-",VLOOKUP($B72,casostestes[#Data],8)),"-")</f>
        <v>-</v>
      </c>
      <c r="J72" s="35" t="str">
        <f>IFERROR(IF(VLOOKUP($B72,casostestes[#Data],9)=0,"-",VLOOKUP($B72,casostestes[#Data],9)),"-")</f>
        <v>-</v>
      </c>
      <c r="K72" s="36"/>
      <c r="L72" s="45"/>
      <c r="M72" s="37"/>
      <c r="N72" s="38"/>
      <c r="O72" s="38"/>
      <c r="P72" s="39"/>
    </row>
    <row r="73" spans="2:16">
      <c r="B73" s="40" t="str">
        <f>IF(ISERR(casostestes[[#This Row],[ID]]),"-",casostestes[[#This Row],[ID]])</f>
        <v>-</v>
      </c>
      <c r="C73" s="34" t="str">
        <f>IFERROR(IF(VLOOKUP($B73,casostestes[#Data],10)=0,"Não",VLOOKUP($B73,casostestes[#Data],10)), "-")</f>
        <v>-</v>
      </c>
      <c r="D73" s="35" t="str">
        <f>IFERROR(IF(VLOOKUP($B73,casostestes[#Data],2)=0,"-",VLOOKUP($B73,casostestes[#Data],2)), "-")</f>
        <v>-</v>
      </c>
      <c r="E73" s="35" t="str">
        <f>IFERROR(IF(VLOOKUP($B73,casostestes[#Data],3)=0,"-",VLOOKUP($B73,casostestes[#Data],3)), "-")</f>
        <v>-</v>
      </c>
      <c r="F73" s="35" t="str">
        <f>IFERROR(IF(VLOOKUP($B73,casostestes[#Data],4)=0,"-",VLOOKUP($B73,casostestes[#Data],4)),"-")</f>
        <v>-</v>
      </c>
      <c r="G73" s="35" t="str">
        <f>IFERROR(IF(VLOOKUP($B73,casostestes[#Data],5)=0,"-",VLOOKUP($B73,casostestes[#Data],5)),"-")</f>
        <v>-</v>
      </c>
      <c r="H73" s="35" t="str">
        <f>IFERROR(IF(VLOOKUP($B73,casostestes[#Data],6)=0,"-",VLOOKUP($B73,casostestes[#Data],6)),"-")</f>
        <v>-</v>
      </c>
      <c r="I73" s="35" t="str">
        <f>IFERROR(IF(VLOOKUP($B73,casostestes[#Data],8)=0,"-",VLOOKUP($B73,casostestes[#Data],8)),"-")</f>
        <v>-</v>
      </c>
      <c r="J73" s="35" t="str">
        <f>IFERROR(IF(VLOOKUP($B73,casostestes[#Data],9)=0,"-",VLOOKUP($B73,casostestes[#Data],9)),"-")</f>
        <v>-</v>
      </c>
      <c r="K73" s="36"/>
      <c r="L73" s="45"/>
      <c r="M73" s="37"/>
      <c r="N73" s="38"/>
      <c r="O73" s="38"/>
      <c r="P73" s="39"/>
    </row>
    <row r="74" spans="2:16">
      <c r="B74" s="40" t="str">
        <f>IF(ISERR(casostestes[[#This Row],[ID]]),"-",casostestes[[#This Row],[ID]])</f>
        <v>-</v>
      </c>
      <c r="C74" s="34" t="str">
        <f>IFERROR(IF(VLOOKUP($B74,casostestes[#Data],10)=0,"Não",VLOOKUP($B74,casostestes[#Data],10)), "-")</f>
        <v>-</v>
      </c>
      <c r="D74" s="35" t="str">
        <f>IFERROR(IF(VLOOKUP($B74,casostestes[#Data],2)=0,"-",VLOOKUP($B74,casostestes[#Data],2)), "-")</f>
        <v>-</v>
      </c>
      <c r="E74" s="35" t="str">
        <f>IFERROR(IF(VLOOKUP($B74,casostestes[#Data],3)=0,"-",VLOOKUP($B74,casostestes[#Data],3)), "-")</f>
        <v>-</v>
      </c>
      <c r="F74" s="35" t="str">
        <f>IFERROR(IF(VLOOKUP($B74,casostestes[#Data],4)=0,"-",VLOOKUP($B74,casostestes[#Data],4)),"-")</f>
        <v>-</v>
      </c>
      <c r="G74" s="35" t="str">
        <f>IFERROR(IF(VLOOKUP($B74,casostestes[#Data],5)=0,"-",VLOOKUP($B74,casostestes[#Data],5)),"-")</f>
        <v>-</v>
      </c>
      <c r="H74" s="35" t="str">
        <f>IFERROR(IF(VLOOKUP($B74,casostestes[#Data],6)=0,"-",VLOOKUP($B74,casostestes[#Data],6)),"-")</f>
        <v>-</v>
      </c>
      <c r="I74" s="35" t="str">
        <f>IFERROR(IF(VLOOKUP($B74,casostestes[#Data],8)=0,"-",VLOOKUP($B74,casostestes[#Data],8)),"-")</f>
        <v>-</v>
      </c>
      <c r="J74" s="35" t="str">
        <f>IFERROR(IF(VLOOKUP($B74,casostestes[#Data],9)=0,"-",VLOOKUP($B74,casostestes[#Data],9)),"-")</f>
        <v>-</v>
      </c>
      <c r="K74" s="36"/>
      <c r="L74" s="45"/>
      <c r="M74" s="37"/>
      <c r="N74" s="38"/>
      <c r="O74" s="38"/>
      <c r="P74" s="39"/>
    </row>
    <row r="75" spans="2:16">
      <c r="B75" s="40" t="str">
        <f>IF(ISERR(casostestes[[#This Row],[ID]]),"-",casostestes[[#This Row],[ID]])</f>
        <v>-</v>
      </c>
      <c r="C75" s="34" t="str">
        <f>IFERROR(IF(VLOOKUP($B75,casostestes[#Data],10)=0,"Não",VLOOKUP($B75,casostestes[#Data],10)), "-")</f>
        <v>-</v>
      </c>
      <c r="D75" s="35" t="str">
        <f>IFERROR(IF(VLOOKUP($B75,casostestes[#Data],2)=0,"-",VLOOKUP($B75,casostestes[#Data],2)), "-")</f>
        <v>-</v>
      </c>
      <c r="E75" s="35" t="str">
        <f>IFERROR(IF(VLOOKUP($B75,casostestes[#Data],3)=0,"-",VLOOKUP($B75,casostestes[#Data],3)), "-")</f>
        <v>-</v>
      </c>
      <c r="F75" s="35" t="str">
        <f>IFERROR(IF(VLOOKUP($B75,casostestes[#Data],4)=0,"-",VLOOKUP($B75,casostestes[#Data],4)),"-")</f>
        <v>-</v>
      </c>
      <c r="G75" s="35" t="str">
        <f>IFERROR(IF(VLOOKUP($B75,casostestes[#Data],5)=0,"-",VLOOKUP($B75,casostestes[#Data],5)),"-")</f>
        <v>-</v>
      </c>
      <c r="H75" s="35" t="str">
        <f>IFERROR(IF(VLOOKUP($B75,casostestes[#Data],6)=0,"-",VLOOKUP($B75,casostestes[#Data],6)),"-")</f>
        <v>-</v>
      </c>
      <c r="I75" s="35" t="str">
        <f>IFERROR(IF(VLOOKUP($B75,casostestes[#Data],8)=0,"-",VLOOKUP($B75,casostestes[#Data],8)),"-")</f>
        <v>-</v>
      </c>
      <c r="J75" s="35" t="str">
        <f>IFERROR(IF(VLOOKUP($B75,casostestes[#Data],9)=0,"-",VLOOKUP($B75,casostestes[#Data],9)),"-")</f>
        <v>-</v>
      </c>
      <c r="K75" s="36"/>
      <c r="L75" s="45"/>
      <c r="M75" s="37"/>
      <c r="N75" s="38"/>
      <c r="O75" s="38"/>
      <c r="P75" s="39"/>
    </row>
    <row r="76" spans="2:16">
      <c r="B76" s="40" t="str">
        <f>IF(ISERR(casostestes[[#This Row],[ID]]),"-",casostestes[[#This Row],[ID]])</f>
        <v>-</v>
      </c>
      <c r="C76" s="34" t="str">
        <f>IFERROR(IF(VLOOKUP($B76,casostestes[#Data],10)=0,"Não",VLOOKUP($B76,casostestes[#Data],10)), "-")</f>
        <v>-</v>
      </c>
      <c r="D76" s="35" t="str">
        <f>IFERROR(IF(VLOOKUP($B76,casostestes[#Data],2)=0,"-",VLOOKUP($B76,casostestes[#Data],2)), "-")</f>
        <v>-</v>
      </c>
      <c r="E76" s="35" t="str">
        <f>IFERROR(IF(VLOOKUP($B76,casostestes[#Data],3)=0,"-",VLOOKUP($B76,casostestes[#Data],3)), "-")</f>
        <v>-</v>
      </c>
      <c r="F76" s="35" t="str">
        <f>IFERROR(IF(VLOOKUP($B76,casostestes[#Data],4)=0,"-",VLOOKUP($B76,casostestes[#Data],4)),"-")</f>
        <v>-</v>
      </c>
      <c r="G76" s="35" t="str">
        <f>IFERROR(IF(VLOOKUP($B76,casostestes[#Data],5)=0,"-",VLOOKUP($B76,casostestes[#Data],5)),"-")</f>
        <v>-</v>
      </c>
      <c r="H76" s="35" t="str">
        <f>IFERROR(IF(VLOOKUP($B76,casostestes[#Data],6)=0,"-",VLOOKUP($B76,casostestes[#Data],6)),"-")</f>
        <v>-</v>
      </c>
      <c r="I76" s="35" t="str">
        <f>IFERROR(IF(VLOOKUP($B76,casostestes[#Data],8)=0,"-",VLOOKUP($B76,casostestes[#Data],8)),"-")</f>
        <v>-</v>
      </c>
      <c r="J76" s="35" t="str">
        <f>IFERROR(IF(VLOOKUP($B76,casostestes[#Data],9)=0,"-",VLOOKUP($B76,casostestes[#Data],9)),"-")</f>
        <v>-</v>
      </c>
      <c r="K76" s="36"/>
      <c r="L76" s="45"/>
      <c r="M76" s="37"/>
      <c r="N76" s="38"/>
      <c r="O76" s="38"/>
      <c r="P76" s="39"/>
    </row>
    <row r="77" spans="2:16">
      <c r="B77" s="40" t="str">
        <f>IF(ISERR(casostestes[[#This Row],[ID]]),"-",casostestes[[#This Row],[ID]])</f>
        <v>-</v>
      </c>
      <c r="C77" s="34" t="str">
        <f>IFERROR(IF(VLOOKUP($B77,casostestes[#Data],10)=0,"Não",VLOOKUP($B77,casostestes[#Data],10)), "-")</f>
        <v>-</v>
      </c>
      <c r="D77" s="35" t="str">
        <f>IFERROR(IF(VLOOKUP($B77,casostestes[#Data],2)=0,"-",VLOOKUP($B77,casostestes[#Data],2)), "-")</f>
        <v>-</v>
      </c>
      <c r="E77" s="35" t="str">
        <f>IFERROR(IF(VLOOKUP($B77,casostestes[#Data],3)=0,"-",VLOOKUP($B77,casostestes[#Data],3)), "-")</f>
        <v>-</v>
      </c>
      <c r="F77" s="35" t="str">
        <f>IFERROR(IF(VLOOKUP($B77,casostestes[#Data],4)=0,"-",VLOOKUP($B77,casostestes[#Data],4)),"-")</f>
        <v>-</v>
      </c>
      <c r="G77" s="35" t="str">
        <f>IFERROR(IF(VLOOKUP($B77,casostestes[#Data],5)=0,"-",VLOOKUP($B77,casostestes[#Data],5)),"-")</f>
        <v>-</v>
      </c>
      <c r="H77" s="35" t="str">
        <f>IFERROR(IF(VLOOKUP($B77,casostestes[#Data],6)=0,"-",VLOOKUP($B77,casostestes[#Data],6)),"-")</f>
        <v>-</v>
      </c>
      <c r="I77" s="35" t="str">
        <f>IFERROR(IF(VLOOKUP($B77,casostestes[#Data],8)=0,"-",VLOOKUP($B77,casostestes[#Data],8)),"-")</f>
        <v>-</v>
      </c>
      <c r="J77" s="35" t="str">
        <f>IFERROR(IF(VLOOKUP($B77,casostestes[#Data],9)=0,"-",VLOOKUP($B77,casostestes[#Data],9)),"-")</f>
        <v>-</v>
      </c>
      <c r="K77" s="36"/>
      <c r="L77" s="45"/>
      <c r="M77" s="37"/>
      <c r="N77" s="38"/>
      <c r="O77" s="38"/>
      <c r="P77" s="39"/>
    </row>
    <row r="78" spans="2:16">
      <c r="B78" s="40" t="str">
        <f>IF(ISERR(casostestes[[#This Row],[ID]]),"-",casostestes[[#This Row],[ID]])</f>
        <v>-</v>
      </c>
      <c r="C78" s="34" t="str">
        <f>IFERROR(IF(VLOOKUP($B78,casostestes[#Data],10)=0,"Não",VLOOKUP($B78,casostestes[#Data],10)), "-")</f>
        <v>-</v>
      </c>
      <c r="D78" s="35" t="str">
        <f>IFERROR(IF(VLOOKUP($B78,casostestes[#Data],2)=0,"-",VLOOKUP($B78,casostestes[#Data],2)), "-")</f>
        <v>-</v>
      </c>
      <c r="E78" s="35" t="str">
        <f>IFERROR(IF(VLOOKUP($B78,casostestes[#Data],3)=0,"-",VLOOKUP($B78,casostestes[#Data],3)), "-")</f>
        <v>-</v>
      </c>
      <c r="F78" s="35" t="str">
        <f>IFERROR(IF(VLOOKUP($B78,casostestes[#Data],4)=0,"-",VLOOKUP($B78,casostestes[#Data],4)),"-")</f>
        <v>-</v>
      </c>
      <c r="G78" s="35" t="str">
        <f>IFERROR(IF(VLOOKUP($B78,casostestes[#Data],5)=0,"-",VLOOKUP($B78,casostestes[#Data],5)),"-")</f>
        <v>-</v>
      </c>
      <c r="H78" s="35" t="str">
        <f>IFERROR(IF(VLOOKUP($B78,casostestes[#Data],6)=0,"-",VLOOKUP($B78,casostestes[#Data],6)),"-")</f>
        <v>-</v>
      </c>
      <c r="I78" s="35" t="str">
        <f>IFERROR(IF(VLOOKUP($B78,casostestes[#Data],8)=0,"-",VLOOKUP($B78,casostestes[#Data],8)),"-")</f>
        <v>-</v>
      </c>
      <c r="J78" s="35" t="str">
        <f>IFERROR(IF(VLOOKUP($B78,casostestes[#Data],9)=0,"-",VLOOKUP($B78,casostestes[#Data],9)),"-")</f>
        <v>-</v>
      </c>
      <c r="K78" s="36"/>
      <c r="L78" s="45"/>
      <c r="M78" s="37"/>
      <c r="N78" s="38"/>
      <c r="O78" s="38"/>
      <c r="P78" s="39"/>
    </row>
    <row r="79" spans="2:16">
      <c r="B79" s="40" t="str">
        <f>IF(ISERR(casostestes[[#This Row],[ID]]),"-",casostestes[[#This Row],[ID]])</f>
        <v>-</v>
      </c>
      <c r="C79" s="34" t="str">
        <f>IFERROR(IF(VLOOKUP($B79,casostestes[#Data],10)=0,"Não",VLOOKUP($B79,casostestes[#Data],10)), "-")</f>
        <v>-</v>
      </c>
      <c r="D79" s="35" t="str">
        <f>IFERROR(IF(VLOOKUP($B79,casostestes[#Data],2)=0,"-",VLOOKUP($B79,casostestes[#Data],2)), "-")</f>
        <v>-</v>
      </c>
      <c r="E79" s="35" t="str">
        <f>IFERROR(IF(VLOOKUP($B79,casostestes[#Data],3)=0,"-",VLOOKUP($B79,casostestes[#Data],3)), "-")</f>
        <v>-</v>
      </c>
      <c r="F79" s="35" t="str">
        <f>IFERROR(IF(VLOOKUP($B79,casostestes[#Data],4)=0,"-",VLOOKUP($B79,casostestes[#Data],4)),"-")</f>
        <v>-</v>
      </c>
      <c r="G79" s="35" t="str">
        <f>IFERROR(IF(VLOOKUP($B79,casostestes[#Data],5)=0,"-",VLOOKUP($B79,casostestes[#Data],5)),"-")</f>
        <v>-</v>
      </c>
      <c r="H79" s="35" t="str">
        <f>IFERROR(IF(VLOOKUP($B79,casostestes[#Data],6)=0,"-",VLOOKUP($B79,casostestes[#Data],6)),"-")</f>
        <v>-</v>
      </c>
      <c r="I79" s="35" t="str">
        <f>IFERROR(IF(VLOOKUP($B79,casostestes[#Data],8)=0,"-",VLOOKUP($B79,casostestes[#Data],8)),"-")</f>
        <v>-</v>
      </c>
      <c r="J79" s="35" t="str">
        <f>IFERROR(IF(VLOOKUP($B79,casostestes[#Data],9)=0,"-",VLOOKUP($B79,casostestes[#Data],9)),"-")</f>
        <v>-</v>
      </c>
      <c r="K79" s="36"/>
      <c r="L79" s="45"/>
      <c r="M79" s="37"/>
      <c r="N79" s="38"/>
      <c r="O79" s="38"/>
      <c r="P79" s="39"/>
    </row>
    <row r="80" spans="2:16">
      <c r="B80" s="40" t="str">
        <f>IF(ISERR(casostestes[[#This Row],[ID]]),"-",casostestes[[#This Row],[ID]])</f>
        <v>-</v>
      </c>
      <c r="C80" s="34" t="str">
        <f>IFERROR(IF(VLOOKUP($B80,casostestes[#Data],10)=0,"Não",VLOOKUP($B80,casostestes[#Data],10)), "-")</f>
        <v>-</v>
      </c>
      <c r="D80" s="35" t="str">
        <f>IFERROR(IF(VLOOKUP($B80,casostestes[#Data],2)=0,"-",VLOOKUP($B80,casostestes[#Data],2)), "-")</f>
        <v>-</v>
      </c>
      <c r="E80" s="35" t="str">
        <f>IFERROR(IF(VLOOKUP($B80,casostestes[#Data],3)=0,"-",VLOOKUP($B80,casostestes[#Data],3)), "-")</f>
        <v>-</v>
      </c>
      <c r="F80" s="35" t="str">
        <f>IFERROR(IF(VLOOKUP($B80,casostestes[#Data],4)=0,"-",VLOOKUP($B80,casostestes[#Data],4)),"-")</f>
        <v>-</v>
      </c>
      <c r="G80" s="35" t="str">
        <f>IFERROR(IF(VLOOKUP($B80,casostestes[#Data],5)=0,"-",VLOOKUP($B80,casostestes[#Data],5)),"-")</f>
        <v>-</v>
      </c>
      <c r="H80" s="35" t="str">
        <f>IFERROR(IF(VLOOKUP($B80,casostestes[#Data],6)=0,"-",VLOOKUP($B80,casostestes[#Data],6)),"-")</f>
        <v>-</v>
      </c>
      <c r="I80" s="35" t="str">
        <f>IFERROR(IF(VLOOKUP($B80,casostestes[#Data],8)=0,"-",VLOOKUP($B80,casostestes[#Data],8)),"-")</f>
        <v>-</v>
      </c>
      <c r="J80" s="35" t="str">
        <f>IFERROR(IF(VLOOKUP($B80,casostestes[#Data],9)=0,"-",VLOOKUP($B80,casostestes[#Data],9)),"-")</f>
        <v>-</v>
      </c>
      <c r="K80" s="36"/>
      <c r="L80" s="45"/>
      <c r="M80" s="37"/>
      <c r="N80" s="38"/>
      <c r="O80" s="38"/>
      <c r="P80" s="39"/>
    </row>
    <row r="81" spans="2:16">
      <c r="B81" s="40" t="str">
        <f>IF(ISERR(casostestes[[#This Row],[ID]]),"-",casostestes[[#This Row],[ID]])</f>
        <v>-</v>
      </c>
      <c r="C81" s="34" t="str">
        <f>IFERROR(IF(VLOOKUP($B81,casostestes[#Data],10)=0,"Não",VLOOKUP($B81,casostestes[#Data],10)), "-")</f>
        <v>-</v>
      </c>
      <c r="D81" s="35" t="str">
        <f>IFERROR(IF(VLOOKUP($B81,casostestes[#Data],2)=0,"-",VLOOKUP($B81,casostestes[#Data],2)), "-")</f>
        <v>-</v>
      </c>
      <c r="E81" s="35" t="str">
        <f>IFERROR(IF(VLOOKUP($B81,casostestes[#Data],3)=0,"-",VLOOKUP($B81,casostestes[#Data],3)), "-")</f>
        <v>-</v>
      </c>
      <c r="F81" s="35" t="str">
        <f>IFERROR(IF(VLOOKUP($B81,casostestes[#Data],4)=0,"-",VLOOKUP($B81,casostestes[#Data],4)),"-")</f>
        <v>-</v>
      </c>
      <c r="G81" s="35" t="str">
        <f>IFERROR(IF(VLOOKUP($B81,casostestes[#Data],5)=0,"-",VLOOKUP($B81,casostestes[#Data],5)),"-")</f>
        <v>-</v>
      </c>
      <c r="H81" s="35" t="str">
        <f>IFERROR(IF(VLOOKUP($B81,casostestes[#Data],6)=0,"-",VLOOKUP($B81,casostestes[#Data],6)),"-")</f>
        <v>-</v>
      </c>
      <c r="I81" s="35" t="str">
        <f>IFERROR(IF(VLOOKUP($B81,casostestes[#Data],8)=0,"-",VLOOKUP($B81,casostestes[#Data],8)),"-")</f>
        <v>-</v>
      </c>
      <c r="J81" s="35" t="str">
        <f>IFERROR(IF(VLOOKUP($B81,casostestes[#Data],9)=0,"-",VLOOKUP($B81,casostestes[#Data],9)),"-")</f>
        <v>-</v>
      </c>
      <c r="K81" s="36"/>
      <c r="L81" s="45"/>
      <c r="M81" s="37"/>
      <c r="N81" s="38"/>
      <c r="O81" s="38"/>
      <c r="P81" s="39"/>
    </row>
    <row r="82" spans="2:16">
      <c r="B82" s="40" t="str">
        <f>IF(ISERR(casostestes[[#This Row],[ID]]),"-",casostestes[[#This Row],[ID]])</f>
        <v>-</v>
      </c>
      <c r="C82" s="34" t="str">
        <f>IFERROR(IF(VLOOKUP($B82,casostestes[#Data],10)=0,"Não",VLOOKUP($B82,casostestes[#Data],10)), "-")</f>
        <v>-</v>
      </c>
      <c r="D82" s="35" t="str">
        <f>IFERROR(IF(VLOOKUP($B82,casostestes[#Data],2)=0,"-",VLOOKUP($B82,casostestes[#Data],2)), "-")</f>
        <v>-</v>
      </c>
      <c r="E82" s="35" t="str">
        <f>IFERROR(IF(VLOOKUP($B82,casostestes[#Data],3)=0,"-",VLOOKUP($B82,casostestes[#Data],3)), "-")</f>
        <v>-</v>
      </c>
      <c r="F82" s="35" t="str">
        <f>IFERROR(IF(VLOOKUP($B82,casostestes[#Data],4)=0,"-",VLOOKUP($B82,casostestes[#Data],4)),"-")</f>
        <v>-</v>
      </c>
      <c r="G82" s="35" t="str">
        <f>IFERROR(IF(VLOOKUP($B82,casostestes[#Data],5)=0,"-",VLOOKUP($B82,casostestes[#Data],5)),"-")</f>
        <v>-</v>
      </c>
      <c r="H82" s="35" t="str">
        <f>IFERROR(IF(VLOOKUP($B82,casostestes[#Data],6)=0,"-",VLOOKUP($B82,casostestes[#Data],6)),"-")</f>
        <v>-</v>
      </c>
      <c r="I82" s="35" t="str">
        <f>IFERROR(IF(VLOOKUP($B82,casostestes[#Data],8)=0,"-",VLOOKUP($B82,casostestes[#Data],8)),"-")</f>
        <v>-</v>
      </c>
      <c r="J82" s="35" t="str">
        <f>IFERROR(IF(VLOOKUP($B82,casostestes[#Data],9)=0,"-",VLOOKUP($B82,casostestes[#Data],9)),"-")</f>
        <v>-</v>
      </c>
      <c r="K82" s="36"/>
      <c r="L82" s="45"/>
      <c r="M82" s="37"/>
      <c r="N82" s="38"/>
      <c r="O82" s="38"/>
      <c r="P82" s="39"/>
    </row>
    <row r="83" spans="2:16">
      <c r="B83" s="40" t="str">
        <f>IF(ISERR(casostestes[[#This Row],[ID]]),"-",casostestes[[#This Row],[ID]])</f>
        <v>-</v>
      </c>
      <c r="C83" s="34" t="str">
        <f>IFERROR(IF(VLOOKUP($B83,casostestes[#Data],10)=0,"Não",VLOOKUP($B83,casostestes[#Data],10)), "-")</f>
        <v>-</v>
      </c>
      <c r="D83" s="35" t="str">
        <f>IFERROR(IF(VLOOKUP($B83,casostestes[#Data],2)=0,"-",VLOOKUP($B83,casostestes[#Data],2)), "-")</f>
        <v>-</v>
      </c>
      <c r="E83" s="35" t="str">
        <f>IFERROR(IF(VLOOKUP($B83,casostestes[#Data],3)=0,"-",VLOOKUP($B83,casostestes[#Data],3)), "-")</f>
        <v>-</v>
      </c>
      <c r="F83" s="35" t="str">
        <f>IFERROR(IF(VLOOKUP($B83,casostestes[#Data],4)=0,"-",VLOOKUP($B83,casostestes[#Data],4)),"-")</f>
        <v>-</v>
      </c>
      <c r="G83" s="35" t="str">
        <f>IFERROR(IF(VLOOKUP($B83,casostestes[#Data],5)=0,"-",VLOOKUP($B83,casostestes[#Data],5)),"-")</f>
        <v>-</v>
      </c>
      <c r="H83" s="35" t="str">
        <f>IFERROR(IF(VLOOKUP($B83,casostestes[#Data],6)=0,"-",VLOOKUP($B83,casostestes[#Data],6)),"-")</f>
        <v>-</v>
      </c>
      <c r="I83" s="35" t="str">
        <f>IFERROR(IF(VLOOKUP($B83,casostestes[#Data],8)=0,"-",VLOOKUP($B83,casostestes[#Data],8)),"-")</f>
        <v>-</v>
      </c>
      <c r="J83" s="35" t="str">
        <f>IFERROR(IF(VLOOKUP($B83,casostestes[#Data],9)=0,"-",VLOOKUP($B83,casostestes[#Data],9)),"-")</f>
        <v>-</v>
      </c>
      <c r="K83" s="36"/>
      <c r="L83" s="45"/>
      <c r="M83" s="37"/>
      <c r="N83" s="38"/>
      <c r="O83" s="38"/>
      <c r="P83" s="39"/>
    </row>
    <row r="84" spans="2:16">
      <c r="B84" s="40" t="str">
        <f>IF(ISERR(casostestes[[#This Row],[ID]]),"-",casostestes[[#This Row],[ID]])</f>
        <v>-</v>
      </c>
      <c r="C84" s="34" t="str">
        <f>IFERROR(IF(VLOOKUP($B84,casostestes[#Data],10)=0,"Não",VLOOKUP($B84,casostestes[#Data],10)), "-")</f>
        <v>-</v>
      </c>
      <c r="D84" s="35" t="str">
        <f>IFERROR(IF(VLOOKUP($B84,casostestes[#Data],2)=0,"-",VLOOKUP($B84,casostestes[#Data],2)), "-")</f>
        <v>-</v>
      </c>
      <c r="E84" s="35" t="str">
        <f>IFERROR(IF(VLOOKUP($B84,casostestes[#Data],3)=0,"-",VLOOKUP($B84,casostestes[#Data],3)), "-")</f>
        <v>-</v>
      </c>
      <c r="F84" s="35" t="str">
        <f>IFERROR(IF(VLOOKUP($B84,casostestes[#Data],4)=0,"-",VLOOKUP($B84,casostestes[#Data],4)),"-")</f>
        <v>-</v>
      </c>
      <c r="G84" s="35" t="str">
        <f>IFERROR(IF(VLOOKUP($B84,casostestes[#Data],5)=0,"-",VLOOKUP($B84,casostestes[#Data],5)),"-")</f>
        <v>-</v>
      </c>
      <c r="H84" s="35" t="str">
        <f>IFERROR(IF(VLOOKUP($B84,casostestes[#Data],6)=0,"-",VLOOKUP($B84,casostestes[#Data],6)),"-")</f>
        <v>-</v>
      </c>
      <c r="I84" s="35" t="str">
        <f>IFERROR(IF(VLOOKUP($B84,casostestes[#Data],8)=0,"-",VLOOKUP($B84,casostestes[#Data],8)),"-")</f>
        <v>-</v>
      </c>
      <c r="J84" s="35" t="str">
        <f>IFERROR(IF(VLOOKUP($B84,casostestes[#Data],9)=0,"-",VLOOKUP($B84,casostestes[#Data],9)),"-")</f>
        <v>-</v>
      </c>
      <c r="K84" s="36"/>
      <c r="L84" s="45"/>
      <c r="M84" s="37"/>
      <c r="N84" s="38"/>
      <c r="O84" s="38"/>
      <c r="P84" s="39"/>
    </row>
    <row r="85" spans="2:16">
      <c r="B85" s="40" t="str">
        <f>IF(ISERR(casostestes[[#This Row],[ID]]),"-",casostestes[[#This Row],[ID]])</f>
        <v>-</v>
      </c>
      <c r="C85" s="34" t="str">
        <f>IFERROR(IF(VLOOKUP($B85,casostestes[#Data],10)=0,"Não",VLOOKUP($B85,casostestes[#Data],10)), "-")</f>
        <v>-</v>
      </c>
      <c r="D85" s="35" t="str">
        <f>IFERROR(IF(VLOOKUP($B85,casostestes[#Data],2)=0,"-",VLOOKUP($B85,casostestes[#Data],2)), "-")</f>
        <v>-</v>
      </c>
      <c r="E85" s="35" t="str">
        <f>IFERROR(IF(VLOOKUP($B85,casostestes[#Data],3)=0,"-",VLOOKUP($B85,casostestes[#Data],3)), "-")</f>
        <v>-</v>
      </c>
      <c r="F85" s="35" t="str">
        <f>IFERROR(IF(VLOOKUP($B85,casostestes[#Data],4)=0,"-",VLOOKUP($B85,casostestes[#Data],4)),"-")</f>
        <v>-</v>
      </c>
      <c r="G85" s="35" t="str">
        <f>IFERROR(IF(VLOOKUP($B85,casostestes[#Data],5)=0,"-",VLOOKUP($B85,casostestes[#Data],5)),"-")</f>
        <v>-</v>
      </c>
      <c r="H85" s="35" t="str">
        <f>IFERROR(IF(VLOOKUP($B85,casostestes[#Data],6)=0,"-",VLOOKUP($B85,casostestes[#Data],6)),"-")</f>
        <v>-</v>
      </c>
      <c r="I85" s="35" t="str">
        <f>IFERROR(IF(VLOOKUP($B85,casostestes[#Data],8)=0,"-",VLOOKUP($B85,casostestes[#Data],8)),"-")</f>
        <v>-</v>
      </c>
      <c r="J85" s="35" t="str">
        <f>IFERROR(IF(VLOOKUP($B85,casostestes[#Data],9)=0,"-",VLOOKUP($B85,casostestes[#Data],9)),"-")</f>
        <v>-</v>
      </c>
      <c r="K85" s="36"/>
      <c r="L85" s="45"/>
      <c r="M85" s="37"/>
      <c r="N85" s="38"/>
      <c r="O85" s="38"/>
      <c r="P85" s="39"/>
    </row>
    <row r="86" spans="2:16">
      <c r="B86" s="40" t="str">
        <f>IF(ISERR(casostestes[[#This Row],[ID]]),"-",casostestes[[#This Row],[ID]])</f>
        <v>-</v>
      </c>
      <c r="C86" s="34" t="str">
        <f>IFERROR(IF(VLOOKUP($B86,casostestes[#Data],10)=0,"Não",VLOOKUP($B86,casostestes[#Data],10)), "-")</f>
        <v>-</v>
      </c>
      <c r="D86" s="35" t="str">
        <f>IFERROR(IF(VLOOKUP($B86,casostestes[#Data],2)=0,"-",VLOOKUP($B86,casostestes[#Data],2)), "-")</f>
        <v>-</v>
      </c>
      <c r="E86" s="35" t="str">
        <f>IFERROR(IF(VLOOKUP($B86,casostestes[#Data],3)=0,"-",VLOOKUP($B86,casostestes[#Data],3)), "-")</f>
        <v>-</v>
      </c>
      <c r="F86" s="35" t="str">
        <f>IFERROR(IF(VLOOKUP($B86,casostestes[#Data],4)=0,"-",VLOOKUP($B86,casostestes[#Data],4)),"-")</f>
        <v>-</v>
      </c>
      <c r="G86" s="35" t="str">
        <f>IFERROR(IF(VLOOKUP($B86,casostestes[#Data],5)=0,"-",VLOOKUP($B86,casostestes[#Data],5)),"-")</f>
        <v>-</v>
      </c>
      <c r="H86" s="35" t="str">
        <f>IFERROR(IF(VLOOKUP($B86,casostestes[#Data],6)=0,"-",VLOOKUP($B86,casostestes[#Data],6)),"-")</f>
        <v>-</v>
      </c>
      <c r="I86" s="35" t="str">
        <f>IFERROR(IF(VLOOKUP($B86,casostestes[#Data],8)=0,"-",VLOOKUP($B86,casostestes[#Data],8)),"-")</f>
        <v>-</v>
      </c>
      <c r="J86" s="35" t="str">
        <f>IFERROR(IF(VLOOKUP($B86,casostestes[#Data],9)=0,"-",VLOOKUP($B86,casostestes[#Data],9)),"-")</f>
        <v>-</v>
      </c>
      <c r="K86" s="36"/>
      <c r="L86" s="45"/>
      <c r="M86" s="37"/>
      <c r="N86" s="38"/>
      <c r="O86" s="38"/>
      <c r="P86" s="39"/>
    </row>
    <row r="87" spans="2:16">
      <c r="B87" s="40" t="str">
        <f>IF(ISERR(casostestes[[#This Row],[ID]]),"-",casostestes[[#This Row],[ID]])</f>
        <v>-</v>
      </c>
      <c r="C87" s="34" t="str">
        <f>IFERROR(IF(VLOOKUP($B87,casostestes[#Data],10)=0,"Não",VLOOKUP($B87,casostestes[#Data],10)), "-")</f>
        <v>-</v>
      </c>
      <c r="D87" s="35" t="str">
        <f>IFERROR(IF(VLOOKUP($B87,casostestes[#Data],2)=0,"-",VLOOKUP($B87,casostestes[#Data],2)), "-")</f>
        <v>-</v>
      </c>
      <c r="E87" s="35" t="str">
        <f>IFERROR(IF(VLOOKUP($B87,casostestes[#Data],3)=0,"-",VLOOKUP($B87,casostestes[#Data],3)), "-")</f>
        <v>-</v>
      </c>
      <c r="F87" s="35" t="str">
        <f>IFERROR(IF(VLOOKUP($B87,casostestes[#Data],4)=0,"-",VLOOKUP($B87,casostestes[#Data],4)),"-")</f>
        <v>-</v>
      </c>
      <c r="G87" s="35" t="str">
        <f>IFERROR(IF(VLOOKUP($B87,casostestes[#Data],5)=0,"-",VLOOKUP($B87,casostestes[#Data],5)),"-")</f>
        <v>-</v>
      </c>
      <c r="H87" s="35" t="str">
        <f>IFERROR(IF(VLOOKUP($B87,casostestes[#Data],6)=0,"-",VLOOKUP($B87,casostestes[#Data],6)),"-")</f>
        <v>-</v>
      </c>
      <c r="I87" s="35" t="str">
        <f>IFERROR(IF(VLOOKUP($B87,casostestes[#Data],8)=0,"-",VLOOKUP($B87,casostestes[#Data],8)),"-")</f>
        <v>-</v>
      </c>
      <c r="J87" s="35" t="str">
        <f>IFERROR(IF(VLOOKUP($B87,casostestes[#Data],9)=0,"-",VLOOKUP($B87,casostestes[#Data],9)),"-")</f>
        <v>-</v>
      </c>
      <c r="K87" s="36"/>
      <c r="L87" s="45"/>
      <c r="M87" s="37"/>
      <c r="N87" s="38"/>
      <c r="O87" s="38"/>
      <c r="P87" s="39"/>
    </row>
    <row r="88" spans="2:16">
      <c r="B88" s="40" t="str">
        <f>IF(ISERR(casostestes[[#This Row],[ID]]),"-",casostestes[[#This Row],[ID]])</f>
        <v>-</v>
      </c>
      <c r="C88" s="34" t="str">
        <f>IFERROR(IF(VLOOKUP($B88,casostestes[#Data],10)=0,"Não",VLOOKUP($B88,casostestes[#Data],10)), "-")</f>
        <v>-</v>
      </c>
      <c r="D88" s="35" t="str">
        <f>IFERROR(IF(VLOOKUP($B88,casostestes[#Data],2)=0,"-",VLOOKUP($B88,casostestes[#Data],2)), "-")</f>
        <v>-</v>
      </c>
      <c r="E88" s="35" t="str">
        <f>IFERROR(IF(VLOOKUP($B88,casostestes[#Data],3)=0,"-",VLOOKUP($B88,casostestes[#Data],3)), "-")</f>
        <v>-</v>
      </c>
      <c r="F88" s="35" t="str">
        <f>IFERROR(IF(VLOOKUP($B88,casostestes[#Data],4)=0,"-",VLOOKUP($B88,casostestes[#Data],4)),"-")</f>
        <v>-</v>
      </c>
      <c r="G88" s="35" t="str">
        <f>IFERROR(IF(VLOOKUP($B88,casostestes[#Data],5)=0,"-",VLOOKUP($B88,casostestes[#Data],5)),"-")</f>
        <v>-</v>
      </c>
      <c r="H88" s="35" t="str">
        <f>IFERROR(IF(VLOOKUP($B88,casostestes[#Data],6)=0,"-",VLOOKUP($B88,casostestes[#Data],6)),"-")</f>
        <v>-</v>
      </c>
      <c r="I88" s="35" t="str">
        <f>IFERROR(IF(VLOOKUP($B88,casostestes[#Data],8)=0,"-",VLOOKUP($B88,casostestes[#Data],8)),"-")</f>
        <v>-</v>
      </c>
      <c r="J88" s="35" t="str">
        <f>IFERROR(IF(VLOOKUP($B88,casostestes[#Data],9)=0,"-",VLOOKUP($B88,casostestes[#Data],9)),"-")</f>
        <v>-</v>
      </c>
      <c r="K88" s="36"/>
      <c r="L88" s="45"/>
      <c r="M88" s="37"/>
      <c r="N88" s="38"/>
      <c r="O88" s="38"/>
      <c r="P88" s="39"/>
    </row>
    <row r="89" spans="2:16">
      <c r="B89" s="40" t="str">
        <f>IF(ISERR(casostestes[[#This Row],[ID]]),"-",casostestes[[#This Row],[ID]])</f>
        <v>-</v>
      </c>
      <c r="C89" s="34" t="str">
        <f>IFERROR(IF(VLOOKUP($B89,casostestes[#Data],10)=0,"Não",VLOOKUP($B89,casostestes[#Data],10)), "-")</f>
        <v>-</v>
      </c>
      <c r="D89" s="35" t="str">
        <f>IFERROR(IF(VLOOKUP($B89,casostestes[#Data],2)=0,"-",VLOOKUP($B89,casostestes[#Data],2)), "-")</f>
        <v>-</v>
      </c>
      <c r="E89" s="35" t="str">
        <f>IFERROR(IF(VLOOKUP($B89,casostestes[#Data],3)=0,"-",VLOOKUP($B89,casostestes[#Data],3)), "-")</f>
        <v>-</v>
      </c>
      <c r="F89" s="35" t="str">
        <f>IFERROR(IF(VLOOKUP($B89,casostestes[#Data],4)=0,"-",VLOOKUP($B89,casostestes[#Data],4)),"-")</f>
        <v>-</v>
      </c>
      <c r="G89" s="35" t="str">
        <f>IFERROR(IF(VLOOKUP($B89,casostestes[#Data],5)=0,"-",VLOOKUP($B89,casostestes[#Data],5)),"-")</f>
        <v>-</v>
      </c>
      <c r="H89" s="35" t="str">
        <f>IFERROR(IF(VLOOKUP($B89,casostestes[#Data],6)=0,"-",VLOOKUP($B89,casostestes[#Data],6)),"-")</f>
        <v>-</v>
      </c>
      <c r="I89" s="35" t="str">
        <f>IFERROR(IF(VLOOKUP($B89,casostestes[#Data],8)=0,"-",VLOOKUP($B89,casostestes[#Data],8)),"-")</f>
        <v>-</v>
      </c>
      <c r="J89" s="35" t="str">
        <f>IFERROR(IF(VLOOKUP($B89,casostestes[#Data],9)=0,"-",VLOOKUP($B89,casostestes[#Data],9)),"-")</f>
        <v>-</v>
      </c>
      <c r="K89" s="36"/>
      <c r="L89" s="45"/>
      <c r="M89" s="37"/>
      <c r="N89" s="38"/>
      <c r="O89" s="38"/>
      <c r="P89" s="39"/>
    </row>
    <row r="90" spans="2:16">
      <c r="B90" s="40" t="str">
        <f>IF(ISERR(casostestes[[#This Row],[ID]]),"-",casostestes[[#This Row],[ID]])</f>
        <v>-</v>
      </c>
      <c r="C90" s="34" t="str">
        <f>IFERROR(IF(VLOOKUP($B90,casostestes[#Data],10)=0,"Não",VLOOKUP($B90,casostestes[#Data],10)), "-")</f>
        <v>-</v>
      </c>
      <c r="D90" s="35" t="str">
        <f>IFERROR(IF(VLOOKUP($B90,casostestes[#Data],2)=0,"-",VLOOKUP($B90,casostestes[#Data],2)), "-")</f>
        <v>-</v>
      </c>
      <c r="E90" s="35" t="str">
        <f>IFERROR(IF(VLOOKUP($B90,casostestes[#Data],3)=0,"-",VLOOKUP($B90,casostestes[#Data],3)), "-")</f>
        <v>-</v>
      </c>
      <c r="F90" s="35" t="str">
        <f>IFERROR(IF(VLOOKUP($B90,casostestes[#Data],4)=0,"-",VLOOKUP($B90,casostestes[#Data],4)),"-")</f>
        <v>-</v>
      </c>
      <c r="G90" s="35" t="str">
        <f>IFERROR(IF(VLOOKUP($B90,casostestes[#Data],5)=0,"-",VLOOKUP($B90,casostestes[#Data],5)),"-")</f>
        <v>-</v>
      </c>
      <c r="H90" s="35" t="str">
        <f>IFERROR(IF(VLOOKUP($B90,casostestes[#Data],6)=0,"-",VLOOKUP($B90,casostestes[#Data],6)),"-")</f>
        <v>-</v>
      </c>
      <c r="I90" s="35" t="str">
        <f>IFERROR(IF(VLOOKUP($B90,casostestes[#Data],8)=0,"-",VLOOKUP($B90,casostestes[#Data],8)),"-")</f>
        <v>-</v>
      </c>
      <c r="J90" s="35" t="str">
        <f>IFERROR(IF(VLOOKUP($B90,casostestes[#Data],9)=0,"-",VLOOKUP($B90,casostestes[#Data],9)),"-")</f>
        <v>-</v>
      </c>
      <c r="K90" s="36"/>
      <c r="L90" s="45"/>
      <c r="M90" s="37"/>
      <c r="N90" s="38"/>
      <c r="O90" s="38"/>
      <c r="P90" s="39"/>
    </row>
    <row r="91" spans="2:16">
      <c r="B91" s="40" t="str">
        <f>IF(ISERR(casostestes[[#This Row],[ID]]),"-",casostestes[[#This Row],[ID]])</f>
        <v>-</v>
      </c>
      <c r="C91" s="34" t="str">
        <f>IFERROR(IF(VLOOKUP($B91,casostestes[#Data],10)=0,"Não",VLOOKUP($B91,casostestes[#Data],10)), "-")</f>
        <v>-</v>
      </c>
      <c r="D91" s="35" t="str">
        <f>IFERROR(IF(VLOOKUP($B91,casostestes[#Data],2)=0,"-",VLOOKUP($B91,casostestes[#Data],2)), "-")</f>
        <v>-</v>
      </c>
      <c r="E91" s="35" t="str">
        <f>IFERROR(IF(VLOOKUP($B91,casostestes[#Data],3)=0,"-",VLOOKUP($B91,casostestes[#Data],3)), "-")</f>
        <v>-</v>
      </c>
      <c r="F91" s="35" t="str">
        <f>IFERROR(IF(VLOOKUP($B91,casostestes[#Data],4)=0,"-",VLOOKUP($B91,casostestes[#Data],4)),"-")</f>
        <v>-</v>
      </c>
      <c r="G91" s="35" t="str">
        <f>IFERROR(IF(VLOOKUP($B91,casostestes[#Data],5)=0,"-",VLOOKUP($B91,casostestes[#Data],5)),"-")</f>
        <v>-</v>
      </c>
      <c r="H91" s="35" t="str">
        <f>IFERROR(IF(VLOOKUP($B91,casostestes[#Data],6)=0,"-",VLOOKUP($B91,casostestes[#Data],6)),"-")</f>
        <v>-</v>
      </c>
      <c r="I91" s="35" t="str">
        <f>IFERROR(IF(VLOOKUP($B91,casostestes[#Data],8)=0,"-",VLOOKUP($B91,casostestes[#Data],8)),"-")</f>
        <v>-</v>
      </c>
      <c r="J91" s="35" t="str">
        <f>IFERROR(IF(VLOOKUP($B91,casostestes[#Data],9)=0,"-",VLOOKUP($B91,casostestes[#Data],9)),"-")</f>
        <v>-</v>
      </c>
      <c r="K91" s="36"/>
      <c r="L91" s="45"/>
      <c r="M91" s="37"/>
      <c r="N91" s="38"/>
      <c r="O91" s="38"/>
      <c r="P91" s="39"/>
    </row>
    <row r="92" spans="2:16">
      <c r="B92" s="40" t="str">
        <f>IF(ISERR(casostestes[[#This Row],[ID]]),"-",casostestes[[#This Row],[ID]])</f>
        <v>-</v>
      </c>
      <c r="C92" s="34" t="str">
        <f>IFERROR(IF(VLOOKUP($B92,casostestes[#Data],10)=0,"Não",VLOOKUP($B92,casostestes[#Data],10)), "-")</f>
        <v>-</v>
      </c>
      <c r="D92" s="35" t="str">
        <f>IFERROR(IF(VLOOKUP($B92,casostestes[#Data],2)=0,"-",VLOOKUP($B92,casostestes[#Data],2)), "-")</f>
        <v>-</v>
      </c>
      <c r="E92" s="35" t="str">
        <f>IFERROR(IF(VLOOKUP($B92,casostestes[#Data],3)=0,"-",VLOOKUP($B92,casostestes[#Data],3)), "-")</f>
        <v>-</v>
      </c>
      <c r="F92" s="35" t="str">
        <f>IFERROR(IF(VLOOKUP($B92,casostestes[#Data],4)=0,"-",VLOOKUP($B92,casostestes[#Data],4)),"-")</f>
        <v>-</v>
      </c>
      <c r="G92" s="35" t="str">
        <f>IFERROR(IF(VLOOKUP($B92,casostestes[#Data],5)=0,"-",VLOOKUP($B92,casostestes[#Data],5)),"-")</f>
        <v>-</v>
      </c>
      <c r="H92" s="35" t="str">
        <f>IFERROR(IF(VLOOKUP($B92,casostestes[#Data],6)=0,"-",VLOOKUP($B92,casostestes[#Data],6)),"-")</f>
        <v>-</v>
      </c>
      <c r="I92" s="35" t="str">
        <f>IFERROR(IF(VLOOKUP($B92,casostestes[#Data],8)=0,"-",VLOOKUP($B92,casostestes[#Data],8)),"-")</f>
        <v>-</v>
      </c>
      <c r="J92" s="35" t="str">
        <f>IFERROR(IF(VLOOKUP($B92,casostestes[#Data],9)=0,"-",VLOOKUP($B92,casostestes[#Data],9)),"-")</f>
        <v>-</v>
      </c>
      <c r="K92" s="36"/>
      <c r="L92" s="45"/>
      <c r="M92" s="37"/>
      <c r="N92" s="38"/>
      <c r="O92" s="38"/>
      <c r="P92" s="39"/>
    </row>
    <row r="93" spans="2:16">
      <c r="B93" s="40" t="str">
        <f>IF(ISERR(casostestes[[#This Row],[ID]]),"-",casostestes[[#This Row],[ID]])</f>
        <v>-</v>
      </c>
      <c r="C93" s="34" t="str">
        <f>IFERROR(IF(VLOOKUP($B93,casostestes[#Data],10)=0,"Não",VLOOKUP($B93,casostestes[#Data],10)), "-")</f>
        <v>-</v>
      </c>
      <c r="D93" s="35" t="str">
        <f>IFERROR(IF(VLOOKUP($B93,casostestes[#Data],2)=0,"-",VLOOKUP($B93,casostestes[#Data],2)), "-")</f>
        <v>-</v>
      </c>
      <c r="E93" s="35" t="str">
        <f>IFERROR(IF(VLOOKUP($B93,casostestes[#Data],3)=0,"-",VLOOKUP($B93,casostestes[#Data],3)), "-")</f>
        <v>-</v>
      </c>
      <c r="F93" s="35" t="str">
        <f>IFERROR(IF(VLOOKUP($B93,casostestes[#Data],4)=0,"-",VLOOKUP($B93,casostestes[#Data],4)),"-")</f>
        <v>-</v>
      </c>
      <c r="G93" s="35" t="str">
        <f>IFERROR(IF(VLOOKUP($B93,casostestes[#Data],5)=0,"-",VLOOKUP($B93,casostestes[#Data],5)),"-")</f>
        <v>-</v>
      </c>
      <c r="H93" s="35" t="str">
        <f>IFERROR(IF(VLOOKUP($B93,casostestes[#Data],6)=0,"-",VLOOKUP($B93,casostestes[#Data],6)),"-")</f>
        <v>-</v>
      </c>
      <c r="I93" s="35" t="str">
        <f>IFERROR(IF(VLOOKUP($B93,casostestes[#Data],8)=0,"-",VLOOKUP($B93,casostestes[#Data],8)),"-")</f>
        <v>-</v>
      </c>
      <c r="J93" s="35" t="str">
        <f>IFERROR(IF(VLOOKUP($B93,casostestes[#Data],9)=0,"-",VLOOKUP($B93,casostestes[#Data],9)),"-")</f>
        <v>-</v>
      </c>
      <c r="K93" s="36"/>
      <c r="L93" s="45"/>
      <c r="M93" s="37"/>
      <c r="N93" s="38"/>
      <c r="O93" s="38"/>
      <c r="P93" s="39"/>
    </row>
    <row r="94" spans="2:16">
      <c r="B94" s="40" t="str">
        <f>IF(ISERR(casostestes[[#This Row],[ID]]),"-",casostestes[[#This Row],[ID]])</f>
        <v>-</v>
      </c>
      <c r="C94" s="34" t="str">
        <f>IFERROR(IF(VLOOKUP($B94,casostestes[#Data],10)=0,"Não",VLOOKUP($B94,casostestes[#Data],10)), "-")</f>
        <v>-</v>
      </c>
      <c r="D94" s="35" t="str">
        <f>IFERROR(IF(VLOOKUP($B94,casostestes[#Data],2)=0,"-",VLOOKUP($B94,casostestes[#Data],2)), "-")</f>
        <v>-</v>
      </c>
      <c r="E94" s="35" t="str">
        <f>IFERROR(IF(VLOOKUP($B94,casostestes[#Data],3)=0,"-",VLOOKUP($B94,casostestes[#Data],3)), "-")</f>
        <v>-</v>
      </c>
      <c r="F94" s="35" t="str">
        <f>IFERROR(IF(VLOOKUP($B94,casostestes[#Data],4)=0,"-",VLOOKUP($B94,casostestes[#Data],4)),"-")</f>
        <v>-</v>
      </c>
      <c r="G94" s="35" t="str">
        <f>IFERROR(IF(VLOOKUP($B94,casostestes[#Data],5)=0,"-",VLOOKUP($B94,casostestes[#Data],5)),"-")</f>
        <v>-</v>
      </c>
      <c r="H94" s="35" t="str">
        <f>IFERROR(IF(VLOOKUP($B94,casostestes[#Data],6)=0,"-",VLOOKUP($B94,casostestes[#Data],6)),"-")</f>
        <v>-</v>
      </c>
      <c r="I94" s="35" t="str">
        <f>IFERROR(IF(VLOOKUP($B94,casostestes[#Data],8)=0,"-",VLOOKUP($B94,casostestes[#Data],8)),"-")</f>
        <v>-</v>
      </c>
      <c r="J94" s="35" t="str">
        <f>IFERROR(IF(VLOOKUP($B94,casostestes[#Data],9)=0,"-",VLOOKUP($B94,casostestes[#Data],9)),"-")</f>
        <v>-</v>
      </c>
      <c r="K94" s="36"/>
      <c r="L94" s="45"/>
      <c r="M94" s="37"/>
      <c r="N94" s="38"/>
      <c r="O94" s="38"/>
      <c r="P94" s="39"/>
    </row>
    <row r="95" spans="2:16">
      <c r="B95" s="40" t="str">
        <f>IF(ISERR(casostestes[[#This Row],[ID]]),"-",casostestes[[#This Row],[ID]])</f>
        <v>-</v>
      </c>
      <c r="C95" s="34" t="str">
        <f>IFERROR(IF(VLOOKUP($B95,casostestes[#Data],10)=0,"Não",VLOOKUP($B95,casostestes[#Data],10)), "-")</f>
        <v>-</v>
      </c>
      <c r="D95" s="35" t="str">
        <f>IFERROR(IF(VLOOKUP($B95,casostestes[#Data],2)=0,"-",VLOOKUP($B95,casostestes[#Data],2)), "-")</f>
        <v>-</v>
      </c>
      <c r="E95" s="35" t="str">
        <f>IFERROR(IF(VLOOKUP($B95,casostestes[#Data],3)=0,"-",VLOOKUP($B95,casostestes[#Data],3)), "-")</f>
        <v>-</v>
      </c>
      <c r="F95" s="35" t="str">
        <f>IFERROR(IF(VLOOKUP($B95,casostestes[#Data],4)=0,"-",VLOOKUP($B95,casostestes[#Data],4)),"-")</f>
        <v>-</v>
      </c>
      <c r="G95" s="35" t="str">
        <f>IFERROR(IF(VLOOKUP($B95,casostestes[#Data],5)=0,"-",VLOOKUP($B95,casostestes[#Data],5)),"-")</f>
        <v>-</v>
      </c>
      <c r="H95" s="35" t="str">
        <f>IFERROR(IF(VLOOKUP($B95,casostestes[#Data],6)=0,"-",VLOOKUP($B95,casostestes[#Data],6)),"-")</f>
        <v>-</v>
      </c>
      <c r="I95" s="35" t="str">
        <f>IFERROR(IF(VLOOKUP($B95,casostestes[#Data],8)=0,"-",VLOOKUP($B95,casostestes[#Data],8)),"-")</f>
        <v>-</v>
      </c>
      <c r="J95" s="35" t="str">
        <f>IFERROR(IF(VLOOKUP($B95,casostestes[#Data],9)=0,"-",VLOOKUP($B95,casostestes[#Data],9)),"-")</f>
        <v>-</v>
      </c>
      <c r="K95" s="36"/>
      <c r="L95" s="45"/>
      <c r="M95" s="37"/>
      <c r="N95" s="38"/>
      <c r="O95" s="38"/>
      <c r="P95" s="39"/>
    </row>
    <row r="96" spans="2:16">
      <c r="B96" s="40" t="str">
        <f>IF(ISERR(casostestes[[#This Row],[ID]]),"-",casostestes[[#This Row],[ID]])</f>
        <v>-</v>
      </c>
      <c r="C96" s="34" t="str">
        <f>IFERROR(IF(VLOOKUP($B96,casostestes[#Data],10)=0,"Não",VLOOKUP($B96,casostestes[#Data],10)), "-")</f>
        <v>-</v>
      </c>
      <c r="D96" s="35" t="str">
        <f>IFERROR(IF(VLOOKUP($B96,casostestes[#Data],2)=0,"-",VLOOKUP($B96,casostestes[#Data],2)), "-")</f>
        <v>-</v>
      </c>
      <c r="E96" s="35" t="str">
        <f>IFERROR(IF(VLOOKUP($B96,casostestes[#Data],3)=0,"-",VLOOKUP($B96,casostestes[#Data],3)), "-")</f>
        <v>-</v>
      </c>
      <c r="F96" s="35" t="str">
        <f>IFERROR(IF(VLOOKUP($B96,casostestes[#Data],4)=0,"-",VLOOKUP($B96,casostestes[#Data],4)),"-")</f>
        <v>-</v>
      </c>
      <c r="G96" s="35" t="str">
        <f>IFERROR(IF(VLOOKUP($B96,casostestes[#Data],5)=0,"-",VLOOKUP($B96,casostestes[#Data],5)),"-")</f>
        <v>-</v>
      </c>
      <c r="H96" s="35" t="str">
        <f>IFERROR(IF(VLOOKUP($B96,casostestes[#Data],6)=0,"-",VLOOKUP($B96,casostestes[#Data],6)),"-")</f>
        <v>-</v>
      </c>
      <c r="I96" s="35" t="str">
        <f>IFERROR(IF(VLOOKUP($B96,casostestes[#Data],8)=0,"-",VLOOKUP($B96,casostestes[#Data],8)),"-")</f>
        <v>-</v>
      </c>
      <c r="J96" s="35" t="str">
        <f>IFERROR(IF(VLOOKUP($B96,casostestes[#Data],9)=0,"-",VLOOKUP($B96,casostestes[#Data],9)),"-")</f>
        <v>-</v>
      </c>
      <c r="K96" s="36"/>
      <c r="L96" s="45"/>
      <c r="M96" s="37"/>
      <c r="N96" s="38"/>
      <c r="O96" s="38"/>
      <c r="P96" s="39"/>
    </row>
    <row r="97" spans="2:16">
      <c r="B97" s="40" t="str">
        <f>IF(ISERR(casostestes[[#This Row],[ID]]),"-",casostestes[[#This Row],[ID]])</f>
        <v>-</v>
      </c>
      <c r="C97" s="34" t="str">
        <f>IFERROR(IF(VLOOKUP($B97,casostestes[#Data],10)=0,"Não",VLOOKUP($B97,casostestes[#Data],10)), "-")</f>
        <v>-</v>
      </c>
      <c r="D97" s="35" t="str">
        <f>IFERROR(IF(VLOOKUP($B97,casostestes[#Data],2)=0,"-",VLOOKUP($B97,casostestes[#Data],2)), "-")</f>
        <v>-</v>
      </c>
      <c r="E97" s="35" t="str">
        <f>IFERROR(IF(VLOOKUP($B97,casostestes[#Data],3)=0,"-",VLOOKUP($B97,casostestes[#Data],3)), "-")</f>
        <v>-</v>
      </c>
      <c r="F97" s="35" t="str">
        <f>IFERROR(IF(VLOOKUP($B97,casostestes[#Data],4)=0,"-",VLOOKUP($B97,casostestes[#Data],4)),"-")</f>
        <v>-</v>
      </c>
      <c r="G97" s="35" t="str">
        <f>IFERROR(IF(VLOOKUP($B97,casostestes[#Data],5)=0,"-",VLOOKUP($B97,casostestes[#Data],5)),"-")</f>
        <v>-</v>
      </c>
      <c r="H97" s="35" t="str">
        <f>IFERROR(IF(VLOOKUP($B97,casostestes[#Data],6)=0,"-",VLOOKUP($B97,casostestes[#Data],6)),"-")</f>
        <v>-</v>
      </c>
      <c r="I97" s="35" t="str">
        <f>IFERROR(IF(VLOOKUP($B97,casostestes[#Data],8)=0,"-",VLOOKUP($B97,casostestes[#Data],8)),"-")</f>
        <v>-</v>
      </c>
      <c r="J97" s="35" t="str">
        <f>IFERROR(IF(VLOOKUP($B97,casostestes[#Data],9)=0,"-",VLOOKUP($B97,casostestes[#Data],9)),"-")</f>
        <v>-</v>
      </c>
      <c r="K97" s="36"/>
      <c r="L97" s="45"/>
      <c r="M97" s="37"/>
      <c r="N97" s="38"/>
      <c r="O97" s="38"/>
      <c r="P97" s="39"/>
    </row>
    <row r="98" spans="2:16">
      <c r="B98" s="40" t="str">
        <f>IF(ISERR(casostestes[[#This Row],[ID]]),"-",casostestes[[#This Row],[ID]])</f>
        <v>-</v>
      </c>
      <c r="C98" s="34" t="str">
        <f>IFERROR(IF(VLOOKUP($B98,casostestes[#Data],10)=0,"Não",VLOOKUP($B98,casostestes[#Data],10)), "-")</f>
        <v>-</v>
      </c>
      <c r="D98" s="35" t="str">
        <f>IFERROR(IF(VLOOKUP($B98,casostestes[#Data],2)=0,"-",VLOOKUP($B98,casostestes[#Data],2)), "-")</f>
        <v>-</v>
      </c>
      <c r="E98" s="35" t="str">
        <f>IFERROR(IF(VLOOKUP($B98,casostestes[#Data],3)=0,"-",VLOOKUP($B98,casostestes[#Data],3)), "-")</f>
        <v>-</v>
      </c>
      <c r="F98" s="35" t="str">
        <f>IFERROR(IF(VLOOKUP($B98,casostestes[#Data],4)=0,"-",VLOOKUP($B98,casostestes[#Data],4)),"-")</f>
        <v>-</v>
      </c>
      <c r="G98" s="35" t="str">
        <f>IFERROR(IF(VLOOKUP($B98,casostestes[#Data],5)=0,"-",VLOOKUP($B98,casostestes[#Data],5)),"-")</f>
        <v>-</v>
      </c>
      <c r="H98" s="35" t="str">
        <f>IFERROR(IF(VLOOKUP($B98,casostestes[#Data],6)=0,"-",VLOOKUP($B98,casostestes[#Data],6)),"-")</f>
        <v>-</v>
      </c>
      <c r="I98" s="35" t="str">
        <f>IFERROR(IF(VLOOKUP($B98,casostestes[#Data],8)=0,"-",VLOOKUP($B98,casostestes[#Data],8)),"-")</f>
        <v>-</v>
      </c>
      <c r="J98" s="35" t="str">
        <f>IFERROR(IF(VLOOKUP($B98,casostestes[#Data],9)=0,"-",VLOOKUP($B98,casostestes[#Data],9)),"-")</f>
        <v>-</v>
      </c>
      <c r="K98" s="36"/>
      <c r="L98" s="45"/>
      <c r="M98" s="37"/>
      <c r="N98" s="38"/>
      <c r="O98" s="38"/>
      <c r="P98" s="39"/>
    </row>
    <row r="99" spans="2:16">
      <c r="B99" s="40" t="str">
        <f>IF(ISERR(casostestes[[#This Row],[ID]]),"-",casostestes[[#This Row],[ID]])</f>
        <v>-</v>
      </c>
      <c r="C99" s="34" t="str">
        <f>IFERROR(IF(VLOOKUP($B99,casostestes[#Data],10)=0,"Não",VLOOKUP($B99,casostestes[#Data],10)), "-")</f>
        <v>-</v>
      </c>
      <c r="D99" s="35" t="str">
        <f>IFERROR(IF(VLOOKUP($B99,casostestes[#Data],2)=0,"-",VLOOKUP($B99,casostestes[#Data],2)), "-")</f>
        <v>-</v>
      </c>
      <c r="E99" s="35" t="str">
        <f>IFERROR(IF(VLOOKUP($B99,casostestes[#Data],3)=0,"-",VLOOKUP($B99,casostestes[#Data],3)), "-")</f>
        <v>-</v>
      </c>
      <c r="F99" s="35" t="str">
        <f>IFERROR(IF(VLOOKUP($B99,casostestes[#Data],4)=0,"-",VLOOKUP($B99,casostestes[#Data],4)),"-")</f>
        <v>-</v>
      </c>
      <c r="G99" s="35" t="str">
        <f>IFERROR(IF(VLOOKUP($B99,casostestes[#Data],5)=0,"-",VLOOKUP($B99,casostestes[#Data],5)),"-")</f>
        <v>-</v>
      </c>
      <c r="H99" s="35" t="str">
        <f>IFERROR(IF(VLOOKUP($B99,casostestes[#Data],6)=0,"-",VLOOKUP($B99,casostestes[#Data],6)),"-")</f>
        <v>-</v>
      </c>
      <c r="I99" s="35" t="str">
        <f>IFERROR(IF(VLOOKUP($B99,casostestes[#Data],8)=0,"-",VLOOKUP($B99,casostestes[#Data],8)),"-")</f>
        <v>-</v>
      </c>
      <c r="J99" s="35" t="str">
        <f>IFERROR(IF(VLOOKUP($B99,casostestes[#Data],9)=0,"-",VLOOKUP($B99,casostestes[#Data],9)),"-")</f>
        <v>-</v>
      </c>
      <c r="K99" s="36"/>
      <c r="L99" s="45"/>
      <c r="M99" s="37"/>
      <c r="N99" s="38"/>
      <c r="O99" s="38"/>
      <c r="P99" s="39"/>
    </row>
    <row r="100" spans="2:16">
      <c r="B100" s="40" t="str">
        <f>IF(ISERR(casostestes[[#This Row],[ID]]),"-",casostestes[[#This Row],[ID]])</f>
        <v>-</v>
      </c>
      <c r="C100" s="41" t="str">
        <f>IFERROR(IF(VLOOKUP($B100,casostestes[#Data],10)=0,"Não",VLOOKUP($B100,casostestes[#Data],10)), "-")</f>
        <v>-</v>
      </c>
      <c r="D100" s="42" t="str">
        <f>IFERROR(IF(VLOOKUP($B100,casostestes[#Data],2)=0,"-",VLOOKUP($B100,casostestes[#Data],2)), "-")</f>
        <v>-</v>
      </c>
      <c r="E100" s="42" t="str">
        <f>IFERROR(IF(VLOOKUP($B100,casostestes[#Data],3)=0,"-",VLOOKUP($B100,casostestes[#Data],3)), "-")</f>
        <v>-</v>
      </c>
      <c r="F100" s="42" t="str">
        <f>IFERROR(IF(VLOOKUP($B100,casostestes[#Data],4)=0,"-",VLOOKUP($B100,casostestes[#Data],4)),"-")</f>
        <v>-</v>
      </c>
      <c r="G100" s="42" t="str">
        <f>IFERROR(IF(VLOOKUP($B100,casostestes[#Data],5)=0,"-",VLOOKUP($B100,casostestes[#Data],5)),"-")</f>
        <v>-</v>
      </c>
      <c r="H100" s="42" t="str">
        <f>IFERROR(IF(VLOOKUP($B100,casostestes[#Data],6)=0,"-",VLOOKUP($B100,casostestes[#Data],6)),"-")</f>
        <v>-</v>
      </c>
      <c r="I100" s="42" t="str">
        <f>IFERROR(IF(VLOOKUP($B100,casostestes[#Data],8)=0,"-",VLOOKUP($B100,casostestes[#Data],8)),"-")</f>
        <v>-</v>
      </c>
      <c r="J100" s="42" t="str">
        <f>IFERROR(IF(VLOOKUP($B100,casostestes[#Data],9)=0,"-",VLOOKUP($B100,casostestes[#Data],9)),"-")</f>
        <v>-</v>
      </c>
      <c r="K100" s="43"/>
      <c r="L100" s="45"/>
      <c r="M100" s="44"/>
      <c r="N100" s="45"/>
      <c r="O100" s="45"/>
      <c r="P100" s="46"/>
    </row>
    <row r="101" spans="2:16">
      <c r="B101" s="40" t="str">
        <f>IF(ISERR(casostestes[[#This Row],[ID]]),"-",casostestes[[#This Row],[ID]])</f>
        <v>-</v>
      </c>
      <c r="C101" s="34" t="str">
        <f>IFERROR(IF(VLOOKUP($B101,casostestes[#Data],10)=0,"Não",VLOOKUP($B101,casostestes[#Data],10)), "-")</f>
        <v>-</v>
      </c>
      <c r="D101" s="35" t="str">
        <f>IFERROR(IF(VLOOKUP($B101,casostestes[#Data],2)=0,"-",VLOOKUP($B101,casostestes[#Data],2)), "-")</f>
        <v>-</v>
      </c>
      <c r="E101" s="35" t="str">
        <f>IFERROR(IF(VLOOKUP($B101,casostestes[#Data],3)=0,"-",VLOOKUP($B101,casostestes[#Data],3)), "-")</f>
        <v>-</v>
      </c>
      <c r="F101" s="35" t="str">
        <f>IFERROR(IF(VLOOKUP($B101,casostestes[#Data],4)=0,"-",VLOOKUP($B101,casostestes[#Data],4)),"-")</f>
        <v>-</v>
      </c>
      <c r="G101" s="35" t="str">
        <f>IFERROR(IF(VLOOKUP($B101,casostestes[#Data],5)=0,"-",VLOOKUP($B101,casostestes[#Data],5)),"-")</f>
        <v>-</v>
      </c>
      <c r="H101" s="35" t="str">
        <f>IFERROR(IF(VLOOKUP($B101,casostestes[#Data],6)=0,"-",VLOOKUP($B101,casostestes[#Data],6)),"-")</f>
        <v>-</v>
      </c>
      <c r="I101" s="35" t="str">
        <f>IFERROR(IF(VLOOKUP($B101,casostestes[#Data],8)=0,"-",VLOOKUP($B101,casostestes[#Data],8)),"-")</f>
        <v>-</v>
      </c>
      <c r="J101" s="35" t="str">
        <f>IFERROR(IF(VLOOKUP($B101,casostestes[#Data],9)=0,"-",VLOOKUP($B101,casostestes[#Data],9)),"-")</f>
        <v>-</v>
      </c>
      <c r="K101" s="36"/>
      <c r="L101" s="45"/>
      <c r="M101" s="37"/>
      <c r="N101" s="38"/>
      <c r="O101" s="38"/>
      <c r="P101" s="39"/>
    </row>
    <row r="102" spans="2:16">
      <c r="B102" s="40" t="str">
        <f>IF(ISERR(casostestes[[#This Row],[ID]]),"-",casostestes[[#This Row],[ID]])</f>
        <v>-</v>
      </c>
      <c r="C102" s="34" t="str">
        <f>IFERROR(IF(VLOOKUP($B102,casostestes[#Data],10)=0,"Não",VLOOKUP($B102,casostestes[#Data],10)), "-")</f>
        <v>-</v>
      </c>
      <c r="D102" s="35" t="str">
        <f>IFERROR(IF(VLOOKUP($B102,casostestes[#Data],2)=0,"-",VLOOKUP($B102,casostestes[#Data],2)), "-")</f>
        <v>-</v>
      </c>
      <c r="E102" s="35" t="str">
        <f>IFERROR(IF(VLOOKUP($B102,casostestes[#Data],3)=0,"-",VLOOKUP($B102,casostestes[#Data],3)), "-")</f>
        <v>-</v>
      </c>
      <c r="F102" s="35" t="str">
        <f>IFERROR(IF(VLOOKUP($B102,casostestes[#Data],4)=0,"-",VLOOKUP($B102,casostestes[#Data],4)),"-")</f>
        <v>-</v>
      </c>
      <c r="G102" s="35" t="str">
        <f>IFERROR(IF(VLOOKUP($B102,casostestes[#Data],5)=0,"-",VLOOKUP($B102,casostestes[#Data],5)),"-")</f>
        <v>-</v>
      </c>
      <c r="H102" s="35" t="str">
        <f>IFERROR(IF(VLOOKUP($B102,casostestes[#Data],6)=0,"-",VLOOKUP($B102,casostestes[#Data],6)),"-")</f>
        <v>-</v>
      </c>
      <c r="I102" s="35" t="str">
        <f>IFERROR(IF(VLOOKUP($B102,casostestes[#Data],8)=0,"-",VLOOKUP($B102,casostestes[#Data],8)),"-")</f>
        <v>-</v>
      </c>
      <c r="J102" s="35" t="str">
        <f>IFERROR(IF(VLOOKUP($B102,casostestes[#Data],9)=0,"-",VLOOKUP($B102,casostestes[#Data],9)),"-")</f>
        <v>-</v>
      </c>
      <c r="K102" s="36"/>
      <c r="L102" s="45"/>
      <c r="M102" s="37"/>
      <c r="N102" s="38"/>
      <c r="O102" s="38"/>
      <c r="P102" s="39"/>
    </row>
    <row r="103" spans="2:16">
      <c r="B103" s="40" t="str">
        <f>IF(ISERR(casostestes[[#This Row],[ID]]),"-",casostestes[[#This Row],[ID]])</f>
        <v>-</v>
      </c>
      <c r="C103" s="34" t="str">
        <f>IFERROR(IF(VLOOKUP($B103,casostestes[#Data],10)=0,"Não",VLOOKUP($B103,casostestes[#Data],10)), "-")</f>
        <v>-</v>
      </c>
      <c r="D103" s="35" t="str">
        <f>IFERROR(IF(VLOOKUP($B103,casostestes[#Data],2)=0,"-",VLOOKUP($B103,casostestes[#Data],2)), "-")</f>
        <v>-</v>
      </c>
      <c r="E103" s="35" t="str">
        <f>IFERROR(IF(VLOOKUP($B103,casostestes[#Data],3)=0,"-",VLOOKUP($B103,casostestes[#Data],3)), "-")</f>
        <v>-</v>
      </c>
      <c r="F103" s="35" t="str">
        <f>IFERROR(IF(VLOOKUP($B103,casostestes[#Data],4)=0,"-",VLOOKUP($B103,casostestes[#Data],4)),"-")</f>
        <v>-</v>
      </c>
      <c r="G103" s="35" t="str">
        <f>IFERROR(IF(VLOOKUP($B103,casostestes[#Data],5)=0,"-",VLOOKUP($B103,casostestes[#Data],5)),"-")</f>
        <v>-</v>
      </c>
      <c r="H103" s="35" t="str">
        <f>IFERROR(IF(VLOOKUP($B103,casostestes[#Data],6)=0,"-",VLOOKUP($B103,casostestes[#Data],6)),"-")</f>
        <v>-</v>
      </c>
      <c r="I103" s="35" t="str">
        <f>IFERROR(IF(VLOOKUP($B103,casostestes[#Data],8)=0,"-",VLOOKUP($B103,casostestes[#Data],8)),"-")</f>
        <v>-</v>
      </c>
      <c r="J103" s="35" t="str">
        <f>IFERROR(IF(VLOOKUP($B103,casostestes[#Data],9)=0,"-",VLOOKUP($B103,casostestes[#Data],9)),"-")</f>
        <v>-</v>
      </c>
      <c r="K103" s="36"/>
      <c r="L103" s="45"/>
      <c r="M103" s="37"/>
      <c r="N103" s="38"/>
      <c r="O103" s="38"/>
      <c r="P103" s="39"/>
    </row>
    <row r="104" spans="2:16">
      <c r="B104" s="40" t="str">
        <f>IF(ISERR(casostestes[[#This Row],[ID]]),"-",casostestes[[#This Row],[ID]])</f>
        <v>-</v>
      </c>
      <c r="C104" s="34" t="str">
        <f>IFERROR(IF(VLOOKUP($B104,casostestes[#Data],10)=0,"Não",VLOOKUP($B104,casostestes[#Data],10)), "-")</f>
        <v>-</v>
      </c>
      <c r="D104" s="35" t="str">
        <f>IFERROR(IF(VLOOKUP($B104,casostestes[#Data],2)=0,"-",VLOOKUP($B104,casostestes[#Data],2)), "-")</f>
        <v>-</v>
      </c>
      <c r="E104" s="35" t="str">
        <f>IFERROR(IF(VLOOKUP($B104,casostestes[#Data],3)=0,"-",VLOOKUP($B104,casostestes[#Data],3)), "-")</f>
        <v>-</v>
      </c>
      <c r="F104" s="35" t="str">
        <f>IFERROR(IF(VLOOKUP($B104,casostestes[#Data],4)=0,"-",VLOOKUP($B104,casostestes[#Data],4)),"-")</f>
        <v>-</v>
      </c>
      <c r="G104" s="35" t="str">
        <f>IFERROR(IF(VLOOKUP($B104,casostestes[#Data],5)=0,"-",VLOOKUP($B104,casostestes[#Data],5)),"-")</f>
        <v>-</v>
      </c>
      <c r="H104" s="35" t="str">
        <f>IFERROR(IF(VLOOKUP($B104,casostestes[#Data],6)=0,"-",VLOOKUP($B104,casostestes[#Data],6)),"-")</f>
        <v>-</v>
      </c>
      <c r="I104" s="35" t="str">
        <f>IFERROR(IF(VLOOKUP($B104,casostestes[#Data],8)=0,"-",VLOOKUP($B104,casostestes[#Data],8)),"-")</f>
        <v>-</v>
      </c>
      <c r="J104" s="35" t="str">
        <f>IFERROR(IF(VLOOKUP($B104,casostestes[#Data],9)=0,"-",VLOOKUP($B104,casostestes[#Data],9)),"-")</f>
        <v>-</v>
      </c>
      <c r="K104" s="36"/>
      <c r="L104" s="45"/>
      <c r="M104" s="37"/>
      <c r="N104" s="38"/>
      <c r="O104" s="38"/>
      <c r="P104" s="39"/>
    </row>
    <row r="105" spans="2:16">
      <c r="B105" s="40" t="str">
        <f>IF(ISERR(casostestes[[#This Row],[ID]]),"-",casostestes[[#This Row],[ID]])</f>
        <v>-</v>
      </c>
      <c r="C105" s="34" t="str">
        <f>IFERROR(IF(VLOOKUP($B105,casostestes[#Data],10)=0,"Não",VLOOKUP($B105,casostestes[#Data],10)), "-")</f>
        <v>-</v>
      </c>
      <c r="D105" s="35" t="str">
        <f>IFERROR(IF(VLOOKUP($B105,casostestes[#Data],2)=0,"-",VLOOKUP($B105,casostestes[#Data],2)), "-")</f>
        <v>-</v>
      </c>
      <c r="E105" s="35" t="str">
        <f>IFERROR(IF(VLOOKUP($B105,casostestes[#Data],3)=0,"-",VLOOKUP($B105,casostestes[#Data],3)), "-")</f>
        <v>-</v>
      </c>
      <c r="F105" s="35" t="str">
        <f>IFERROR(IF(VLOOKUP($B105,casostestes[#Data],4)=0,"-",VLOOKUP($B105,casostestes[#Data],4)),"-")</f>
        <v>-</v>
      </c>
      <c r="G105" s="35" t="str">
        <f>IFERROR(IF(VLOOKUP($B105,casostestes[#Data],5)=0,"-",VLOOKUP($B105,casostestes[#Data],5)),"-")</f>
        <v>-</v>
      </c>
      <c r="H105" s="35" t="str">
        <f>IFERROR(IF(VLOOKUP($B105,casostestes[#Data],6)=0,"-",VLOOKUP($B105,casostestes[#Data],6)),"-")</f>
        <v>-</v>
      </c>
      <c r="I105" s="35" t="str">
        <f>IFERROR(IF(VLOOKUP($B105,casostestes[#Data],8)=0,"-",VLOOKUP($B105,casostestes[#Data],8)),"-")</f>
        <v>-</v>
      </c>
      <c r="J105" s="35" t="str">
        <f>IFERROR(IF(VLOOKUP($B105,casostestes[#Data],9)=0,"-",VLOOKUP($B105,casostestes[#Data],9)),"-")</f>
        <v>-</v>
      </c>
      <c r="K105" s="36"/>
      <c r="L105" s="45"/>
      <c r="M105" s="37"/>
      <c r="N105" s="38"/>
      <c r="O105" s="38"/>
      <c r="P105" s="39"/>
    </row>
    <row r="106" spans="2:16">
      <c r="B106" s="40" t="str">
        <f>IF(ISERR(casostestes[[#This Row],[ID]]),"-",casostestes[[#This Row],[ID]])</f>
        <v>-</v>
      </c>
      <c r="C106" s="34" t="str">
        <f>IFERROR(IF(VLOOKUP($B106,casostestes[#Data],10)=0,"Não",VLOOKUP($B106,casostestes[#Data],10)), "-")</f>
        <v>-</v>
      </c>
      <c r="D106" s="35" t="str">
        <f>IFERROR(IF(VLOOKUP($B106,casostestes[#Data],2)=0,"-",VLOOKUP($B106,casostestes[#Data],2)), "-")</f>
        <v>-</v>
      </c>
      <c r="E106" s="35" t="str">
        <f>IFERROR(IF(VLOOKUP($B106,casostestes[#Data],3)=0,"-",VLOOKUP($B106,casostestes[#Data],3)), "-")</f>
        <v>-</v>
      </c>
      <c r="F106" s="35" t="str">
        <f>IFERROR(IF(VLOOKUP($B106,casostestes[#Data],4)=0,"-",VLOOKUP($B106,casostestes[#Data],4)),"-")</f>
        <v>-</v>
      </c>
      <c r="G106" s="35" t="str">
        <f>IFERROR(IF(VLOOKUP($B106,casostestes[#Data],5)=0,"-",VLOOKUP($B106,casostestes[#Data],5)),"-")</f>
        <v>-</v>
      </c>
      <c r="H106" s="35" t="str">
        <f>IFERROR(IF(VLOOKUP($B106,casostestes[#Data],6)=0,"-",VLOOKUP($B106,casostestes[#Data],6)),"-")</f>
        <v>-</v>
      </c>
      <c r="I106" s="35" t="str">
        <f>IFERROR(IF(VLOOKUP($B106,casostestes[#Data],8)=0,"-",VLOOKUP($B106,casostestes[#Data],8)),"-")</f>
        <v>-</v>
      </c>
      <c r="J106" s="35" t="str">
        <f>IFERROR(IF(VLOOKUP($B106,casostestes[#Data],9)=0,"-",VLOOKUP($B106,casostestes[#Data],9)),"-")</f>
        <v>-</v>
      </c>
      <c r="K106" s="36"/>
      <c r="L106" s="45"/>
      <c r="M106" s="37"/>
      <c r="N106" s="38"/>
      <c r="O106" s="38"/>
      <c r="P106" s="39"/>
    </row>
    <row r="107" spans="2:16">
      <c r="B107" s="40" t="str">
        <f>IF(ISERR(casostestes[[#This Row],[ID]]),"-",casostestes[[#This Row],[ID]])</f>
        <v>-</v>
      </c>
      <c r="C107" s="34" t="str">
        <f>IFERROR(IF(VLOOKUP($B107,casostestes[#Data],10)=0,"Não",VLOOKUP($B107,casostestes[#Data],10)), "-")</f>
        <v>-</v>
      </c>
      <c r="D107" s="35" t="str">
        <f>IFERROR(IF(VLOOKUP($B107,casostestes[#Data],2)=0,"-",VLOOKUP($B107,casostestes[#Data],2)), "-")</f>
        <v>-</v>
      </c>
      <c r="E107" s="35" t="str">
        <f>IFERROR(IF(VLOOKUP($B107,casostestes[#Data],3)=0,"-",VLOOKUP($B107,casostestes[#Data],3)), "-")</f>
        <v>-</v>
      </c>
      <c r="F107" s="35" t="str">
        <f>IFERROR(IF(VLOOKUP($B107,casostestes[#Data],4)=0,"-",VLOOKUP($B107,casostestes[#Data],4)),"-")</f>
        <v>-</v>
      </c>
      <c r="G107" s="35" t="str">
        <f>IFERROR(IF(VLOOKUP($B107,casostestes[#Data],5)=0,"-",VLOOKUP($B107,casostestes[#Data],5)),"-")</f>
        <v>-</v>
      </c>
      <c r="H107" s="35" t="str">
        <f>IFERROR(IF(VLOOKUP($B107,casostestes[#Data],6)=0,"-",VLOOKUP($B107,casostestes[#Data],6)),"-")</f>
        <v>-</v>
      </c>
      <c r="I107" s="35" t="str">
        <f>IFERROR(IF(VLOOKUP($B107,casostestes[#Data],8)=0,"-",VLOOKUP($B107,casostestes[#Data],8)),"-")</f>
        <v>-</v>
      </c>
      <c r="J107" s="35" t="str">
        <f>IFERROR(IF(VLOOKUP($B107,casostestes[#Data],9)=0,"-",VLOOKUP($B107,casostestes[#Data],9)),"-")</f>
        <v>-</v>
      </c>
      <c r="K107" s="36"/>
      <c r="L107" s="45"/>
      <c r="M107" s="37"/>
      <c r="N107" s="38"/>
      <c r="O107" s="38"/>
      <c r="P107" s="39"/>
    </row>
    <row r="108" spans="2:16">
      <c r="B108" s="40" t="str">
        <f>IF(ISERR(casostestes[[#This Row],[ID]]),"-",casostestes[[#This Row],[ID]])</f>
        <v>-</v>
      </c>
      <c r="C108" s="34" t="str">
        <f>IFERROR(IF(VLOOKUP($B108,casostestes[#Data],10)=0,"Não",VLOOKUP($B108,casostestes[#Data],10)), "-")</f>
        <v>-</v>
      </c>
      <c r="D108" s="35" t="str">
        <f>IFERROR(IF(VLOOKUP($B108,casostestes[#Data],2)=0,"-",VLOOKUP($B108,casostestes[#Data],2)), "-")</f>
        <v>-</v>
      </c>
      <c r="E108" s="35" t="str">
        <f>IFERROR(IF(VLOOKUP($B108,casostestes[#Data],3)=0,"-",VLOOKUP($B108,casostestes[#Data],3)), "-")</f>
        <v>-</v>
      </c>
      <c r="F108" s="35" t="str">
        <f>IFERROR(IF(VLOOKUP($B108,casostestes[#Data],4)=0,"-",VLOOKUP($B108,casostestes[#Data],4)),"-")</f>
        <v>-</v>
      </c>
      <c r="G108" s="35" t="str">
        <f>IFERROR(IF(VLOOKUP($B108,casostestes[#Data],5)=0,"-",VLOOKUP($B108,casostestes[#Data],5)),"-")</f>
        <v>-</v>
      </c>
      <c r="H108" s="35" t="str">
        <f>IFERROR(IF(VLOOKUP($B108,casostestes[#Data],6)=0,"-",VLOOKUP($B108,casostestes[#Data],6)),"-")</f>
        <v>-</v>
      </c>
      <c r="I108" s="35" t="str">
        <f>IFERROR(IF(VLOOKUP($B108,casostestes[#Data],8)=0,"-",VLOOKUP($B108,casostestes[#Data],8)),"-")</f>
        <v>-</v>
      </c>
      <c r="J108" s="35" t="str">
        <f>IFERROR(IF(VLOOKUP($B108,casostestes[#Data],9)=0,"-",VLOOKUP($B108,casostestes[#Data],9)),"-")</f>
        <v>-</v>
      </c>
      <c r="K108" s="36"/>
      <c r="L108" s="45"/>
      <c r="M108" s="37"/>
      <c r="N108" s="38"/>
      <c r="O108" s="38"/>
      <c r="P108" s="39"/>
    </row>
    <row r="109" spans="2:16">
      <c r="B109" s="40" t="str">
        <f>IF(ISERR(casostestes[[#This Row],[ID]]),"-",casostestes[[#This Row],[ID]])</f>
        <v>-</v>
      </c>
      <c r="C109" s="34" t="str">
        <f>IFERROR(IF(VLOOKUP($B109,casostestes[#Data],10)=0,"Não",VLOOKUP($B109,casostestes[#Data],10)), "-")</f>
        <v>-</v>
      </c>
      <c r="D109" s="35" t="str">
        <f>IFERROR(IF(VLOOKUP($B109,casostestes[#Data],2)=0,"-",VLOOKUP($B109,casostestes[#Data],2)), "-")</f>
        <v>-</v>
      </c>
      <c r="E109" s="35" t="str">
        <f>IFERROR(IF(VLOOKUP($B109,casostestes[#Data],3)=0,"-",VLOOKUP($B109,casostestes[#Data],3)), "-")</f>
        <v>-</v>
      </c>
      <c r="F109" s="35" t="str">
        <f>IFERROR(IF(VLOOKUP($B109,casostestes[#Data],4)=0,"-",VLOOKUP($B109,casostestes[#Data],4)),"-")</f>
        <v>-</v>
      </c>
      <c r="G109" s="35" t="str">
        <f>IFERROR(IF(VLOOKUP($B109,casostestes[#Data],5)=0,"-",VLOOKUP($B109,casostestes[#Data],5)),"-")</f>
        <v>-</v>
      </c>
      <c r="H109" s="35" t="str">
        <f>IFERROR(IF(VLOOKUP($B109,casostestes[#Data],6)=0,"-",VLOOKUP($B109,casostestes[#Data],6)),"-")</f>
        <v>-</v>
      </c>
      <c r="I109" s="35" t="str">
        <f>IFERROR(IF(VLOOKUP($B109,casostestes[#Data],8)=0,"-",VLOOKUP($B109,casostestes[#Data],8)),"-")</f>
        <v>-</v>
      </c>
      <c r="J109" s="35" t="str">
        <f>IFERROR(IF(VLOOKUP($B109,casostestes[#Data],9)=0,"-",VLOOKUP($B109,casostestes[#Data],9)),"-")</f>
        <v>-</v>
      </c>
      <c r="K109" s="36"/>
      <c r="L109" s="45"/>
      <c r="M109" s="37"/>
      <c r="N109" s="38"/>
      <c r="O109" s="38"/>
      <c r="P109" s="39"/>
    </row>
    <row r="110" spans="2:16">
      <c r="B110" s="40" t="str">
        <f>IF(ISERR(casostestes[[#This Row],[ID]]),"-",casostestes[[#This Row],[ID]])</f>
        <v>-</v>
      </c>
      <c r="C110" s="34" t="str">
        <f>IFERROR(IF(VLOOKUP($B110,casostestes[#Data],10)=0,"Não",VLOOKUP($B110,casostestes[#Data],10)), "-")</f>
        <v>-</v>
      </c>
      <c r="D110" s="35" t="str">
        <f>IFERROR(IF(VLOOKUP($B110,casostestes[#Data],2)=0,"-",VLOOKUP($B110,casostestes[#Data],2)), "-")</f>
        <v>-</v>
      </c>
      <c r="E110" s="35" t="str">
        <f>IFERROR(IF(VLOOKUP($B110,casostestes[#Data],3)=0,"-",VLOOKUP($B110,casostestes[#Data],3)), "-")</f>
        <v>-</v>
      </c>
      <c r="F110" s="35" t="str">
        <f>IFERROR(IF(VLOOKUP($B110,casostestes[#Data],4)=0,"-",VLOOKUP($B110,casostestes[#Data],4)),"-")</f>
        <v>-</v>
      </c>
      <c r="G110" s="35" t="str">
        <f>IFERROR(IF(VLOOKUP($B110,casostestes[#Data],5)=0,"-",VLOOKUP($B110,casostestes[#Data],5)),"-")</f>
        <v>-</v>
      </c>
      <c r="H110" s="35" t="str">
        <f>IFERROR(IF(VLOOKUP($B110,casostestes[#Data],6)=0,"-",VLOOKUP($B110,casostestes[#Data],6)),"-")</f>
        <v>-</v>
      </c>
      <c r="I110" s="35" t="str">
        <f>IFERROR(IF(VLOOKUP($B110,casostestes[#Data],8)=0,"-",VLOOKUP($B110,casostestes[#Data],8)),"-")</f>
        <v>-</v>
      </c>
      <c r="J110" s="35" t="str">
        <f>IFERROR(IF(VLOOKUP($B110,casostestes[#Data],9)=0,"-",VLOOKUP($B110,casostestes[#Data],9)),"-")</f>
        <v>-</v>
      </c>
      <c r="K110" s="36"/>
      <c r="L110" s="45"/>
      <c r="M110" s="37"/>
      <c r="N110" s="38"/>
      <c r="O110" s="38"/>
      <c r="P110" s="39"/>
    </row>
    <row r="111" spans="2:16">
      <c r="B111" s="40" t="str">
        <f>IF(ISERR(casostestes[[#This Row],[ID]]),"-",casostestes[[#This Row],[ID]])</f>
        <v>-</v>
      </c>
      <c r="C111" s="34" t="str">
        <f>IFERROR(IF(VLOOKUP($B111,casostestes[#Data],10)=0,"Não",VLOOKUP($B111,casostestes[#Data],10)), "-")</f>
        <v>-</v>
      </c>
      <c r="D111" s="35" t="str">
        <f>IFERROR(IF(VLOOKUP($B111,casostestes[#Data],2)=0,"-",VLOOKUP($B111,casostestes[#Data],2)), "-")</f>
        <v>-</v>
      </c>
      <c r="E111" s="35" t="str">
        <f>IFERROR(IF(VLOOKUP($B111,casostestes[#Data],3)=0,"-",VLOOKUP($B111,casostestes[#Data],3)), "-")</f>
        <v>-</v>
      </c>
      <c r="F111" s="35" t="str">
        <f>IFERROR(IF(VLOOKUP($B111,casostestes[#Data],4)=0,"-",VLOOKUP($B111,casostestes[#Data],4)),"-")</f>
        <v>-</v>
      </c>
      <c r="G111" s="35" t="str">
        <f>IFERROR(IF(VLOOKUP($B111,casostestes[#Data],5)=0,"-",VLOOKUP($B111,casostestes[#Data],5)),"-")</f>
        <v>-</v>
      </c>
      <c r="H111" s="35" t="str">
        <f>IFERROR(IF(VLOOKUP($B111,casostestes[#Data],6)=0,"-",VLOOKUP($B111,casostestes[#Data],6)),"-")</f>
        <v>-</v>
      </c>
      <c r="I111" s="35" t="str">
        <f>IFERROR(IF(VLOOKUP($B111,casostestes[#Data],8)=0,"-",VLOOKUP($B111,casostestes[#Data],8)),"-")</f>
        <v>-</v>
      </c>
      <c r="J111" s="35" t="str">
        <f>IFERROR(IF(VLOOKUP($B111,casostestes[#Data],9)=0,"-",VLOOKUP($B111,casostestes[#Data],9)),"-")</f>
        <v>-</v>
      </c>
      <c r="K111" s="36"/>
      <c r="L111" s="45"/>
      <c r="M111" s="37"/>
      <c r="N111" s="38"/>
      <c r="O111" s="38"/>
      <c r="P111" s="39"/>
    </row>
    <row r="112" spans="2:16">
      <c r="B112" s="40" t="str">
        <f>IF(ISERR(casostestes[[#This Row],[ID]]),"-",casostestes[[#This Row],[ID]])</f>
        <v>-</v>
      </c>
      <c r="C112" s="34" t="str">
        <f>IFERROR(IF(VLOOKUP($B112,casostestes[#Data],10)=0,"Não",VLOOKUP($B112,casostestes[#Data],10)), "-")</f>
        <v>-</v>
      </c>
      <c r="D112" s="35" t="str">
        <f>IFERROR(IF(VLOOKUP($B112,casostestes[#Data],2)=0,"-",VLOOKUP($B112,casostestes[#Data],2)), "-")</f>
        <v>-</v>
      </c>
      <c r="E112" s="35" t="str">
        <f>IFERROR(IF(VLOOKUP($B112,casostestes[#Data],3)=0,"-",VLOOKUP($B112,casostestes[#Data],3)), "-")</f>
        <v>-</v>
      </c>
      <c r="F112" s="35" t="str">
        <f>IFERROR(IF(VLOOKUP($B112,casostestes[#Data],4)=0,"-",VLOOKUP($B112,casostestes[#Data],4)),"-")</f>
        <v>-</v>
      </c>
      <c r="G112" s="35" t="str">
        <f>IFERROR(IF(VLOOKUP($B112,casostestes[#Data],5)=0,"-",VLOOKUP($B112,casostestes[#Data],5)),"-")</f>
        <v>-</v>
      </c>
      <c r="H112" s="35" t="str">
        <f>IFERROR(IF(VLOOKUP($B112,casostestes[#Data],6)=0,"-",VLOOKUP($B112,casostestes[#Data],6)),"-")</f>
        <v>-</v>
      </c>
      <c r="I112" s="35" t="str">
        <f>IFERROR(IF(VLOOKUP($B112,casostestes[#Data],8)=0,"-",VLOOKUP($B112,casostestes[#Data],8)),"-")</f>
        <v>-</v>
      </c>
      <c r="J112" s="35" t="str">
        <f>IFERROR(IF(VLOOKUP($B112,casostestes[#Data],9)=0,"-",VLOOKUP($B112,casostestes[#Data],9)),"-")</f>
        <v>-</v>
      </c>
      <c r="K112" s="36"/>
      <c r="L112" s="45"/>
      <c r="M112" s="37"/>
      <c r="N112" s="38"/>
      <c r="O112" s="38"/>
      <c r="P112" s="39"/>
    </row>
    <row r="113" spans="2:16">
      <c r="B113" s="40" t="str">
        <f>IF(ISERR(casostestes[[#This Row],[ID]]),"-",casostestes[[#This Row],[ID]])</f>
        <v>-</v>
      </c>
      <c r="C113" s="34" t="str">
        <f>IFERROR(IF(VLOOKUP($B113,casostestes[#Data],10)=0,"Não",VLOOKUP($B113,casostestes[#Data],10)), "-")</f>
        <v>-</v>
      </c>
      <c r="D113" s="35" t="str">
        <f>IFERROR(IF(VLOOKUP($B113,casostestes[#Data],2)=0,"-",VLOOKUP($B113,casostestes[#Data],2)), "-")</f>
        <v>-</v>
      </c>
      <c r="E113" s="35" t="str">
        <f>IFERROR(IF(VLOOKUP($B113,casostestes[#Data],3)=0,"-",VLOOKUP($B113,casostestes[#Data],3)), "-")</f>
        <v>-</v>
      </c>
      <c r="F113" s="35" t="str">
        <f>IFERROR(IF(VLOOKUP($B113,casostestes[#Data],4)=0,"-",VLOOKUP($B113,casostestes[#Data],4)),"-")</f>
        <v>-</v>
      </c>
      <c r="G113" s="35" t="str">
        <f>IFERROR(IF(VLOOKUP($B113,casostestes[#Data],5)=0,"-",VLOOKUP($B113,casostestes[#Data],5)),"-")</f>
        <v>-</v>
      </c>
      <c r="H113" s="35" t="str">
        <f>IFERROR(IF(VLOOKUP($B113,casostestes[#Data],6)=0,"-",VLOOKUP($B113,casostestes[#Data],6)),"-")</f>
        <v>-</v>
      </c>
      <c r="I113" s="35" t="str">
        <f>IFERROR(IF(VLOOKUP($B113,casostestes[#Data],8)=0,"-",VLOOKUP($B113,casostestes[#Data],8)),"-")</f>
        <v>-</v>
      </c>
      <c r="J113" s="35" t="str">
        <f>IFERROR(IF(VLOOKUP($B113,casostestes[#Data],9)=0,"-",VLOOKUP($B113,casostestes[#Data],9)),"-")</f>
        <v>-</v>
      </c>
      <c r="K113" s="36"/>
      <c r="L113" s="45"/>
      <c r="M113" s="37"/>
      <c r="N113" s="38"/>
      <c r="O113" s="38"/>
      <c r="P113" s="39"/>
    </row>
    <row r="114" spans="2:16">
      <c r="B114" s="40" t="str">
        <f>IF(ISERR(casostestes[[#This Row],[ID]]),"-",casostestes[[#This Row],[ID]])</f>
        <v>-</v>
      </c>
      <c r="C114" s="34" t="str">
        <f>IFERROR(IF(VLOOKUP($B114,casostestes[#Data],10)=0,"Não",VLOOKUP($B114,casostestes[#Data],10)), "-")</f>
        <v>-</v>
      </c>
      <c r="D114" s="35" t="str">
        <f>IFERROR(IF(VLOOKUP($B114,casostestes[#Data],2)=0,"-",VLOOKUP($B114,casostestes[#Data],2)), "-")</f>
        <v>-</v>
      </c>
      <c r="E114" s="35" t="str">
        <f>IFERROR(IF(VLOOKUP($B114,casostestes[#Data],3)=0,"-",VLOOKUP($B114,casostestes[#Data],3)), "-")</f>
        <v>-</v>
      </c>
      <c r="F114" s="35" t="str">
        <f>IFERROR(IF(VLOOKUP($B114,casostestes[#Data],4)=0,"-",VLOOKUP($B114,casostestes[#Data],4)),"-")</f>
        <v>-</v>
      </c>
      <c r="G114" s="35" t="str">
        <f>IFERROR(IF(VLOOKUP($B114,casostestes[#Data],5)=0,"-",VLOOKUP($B114,casostestes[#Data],5)),"-")</f>
        <v>-</v>
      </c>
      <c r="H114" s="35" t="str">
        <f>IFERROR(IF(VLOOKUP($B114,casostestes[#Data],6)=0,"-",VLOOKUP($B114,casostestes[#Data],6)),"-")</f>
        <v>-</v>
      </c>
      <c r="I114" s="35" t="str">
        <f>IFERROR(IF(VLOOKUP($B114,casostestes[#Data],8)=0,"-",VLOOKUP($B114,casostestes[#Data],8)),"-")</f>
        <v>-</v>
      </c>
      <c r="J114" s="35" t="str">
        <f>IFERROR(IF(VLOOKUP($B114,casostestes[#Data],9)=0,"-",VLOOKUP($B114,casostestes[#Data],9)),"-")</f>
        <v>-</v>
      </c>
      <c r="K114" s="36"/>
      <c r="L114" s="45"/>
      <c r="M114" s="37"/>
      <c r="N114" s="38"/>
      <c r="O114" s="38"/>
      <c r="P114" s="39"/>
    </row>
    <row r="115" spans="2:16">
      <c r="B115" s="40" t="str">
        <f>IF(ISERR(casostestes[[#This Row],[ID]]),"-",casostestes[[#This Row],[ID]])</f>
        <v>-</v>
      </c>
      <c r="C115" s="34" t="str">
        <f>IFERROR(IF(VLOOKUP($B115,casostestes[#Data],10)=0,"Não",VLOOKUP($B115,casostestes[#Data],10)), "-")</f>
        <v>-</v>
      </c>
      <c r="D115" s="35" t="str">
        <f>IFERROR(IF(VLOOKUP($B115,casostestes[#Data],2)=0,"-",VLOOKUP($B115,casostestes[#Data],2)), "-")</f>
        <v>-</v>
      </c>
      <c r="E115" s="35" t="str">
        <f>IFERROR(IF(VLOOKUP($B115,casostestes[#Data],3)=0,"-",VLOOKUP($B115,casostestes[#Data],3)), "-")</f>
        <v>-</v>
      </c>
      <c r="F115" s="35" t="str">
        <f>IFERROR(IF(VLOOKUP($B115,casostestes[#Data],4)=0,"-",VLOOKUP($B115,casostestes[#Data],4)),"-")</f>
        <v>-</v>
      </c>
      <c r="G115" s="35" t="str">
        <f>IFERROR(IF(VLOOKUP($B115,casostestes[#Data],5)=0,"-",VLOOKUP($B115,casostestes[#Data],5)),"-")</f>
        <v>-</v>
      </c>
      <c r="H115" s="35" t="str">
        <f>IFERROR(IF(VLOOKUP($B115,casostestes[#Data],6)=0,"-",VLOOKUP($B115,casostestes[#Data],6)),"-")</f>
        <v>-</v>
      </c>
      <c r="I115" s="35" t="str">
        <f>IFERROR(IF(VLOOKUP($B115,casostestes[#Data],8)=0,"-",VLOOKUP($B115,casostestes[#Data],8)),"-")</f>
        <v>-</v>
      </c>
      <c r="J115" s="35" t="str">
        <f>IFERROR(IF(VLOOKUP($B115,casostestes[#Data],9)=0,"-",VLOOKUP($B115,casostestes[#Data],9)),"-")</f>
        <v>-</v>
      </c>
      <c r="K115" s="36"/>
      <c r="L115" s="45"/>
      <c r="M115" s="37"/>
      <c r="N115" s="38"/>
      <c r="O115" s="38"/>
      <c r="P115" s="39"/>
    </row>
    <row r="116" spans="2:16">
      <c r="B116" s="40" t="str">
        <f>IF(ISERR(casostestes[[#This Row],[ID]]),"-",casostestes[[#This Row],[ID]])</f>
        <v>-</v>
      </c>
      <c r="C116" s="34" t="str">
        <f>IFERROR(IF(VLOOKUP($B116,casostestes[#Data],10)=0,"Não",VLOOKUP($B116,casostestes[#Data],10)), "-")</f>
        <v>-</v>
      </c>
      <c r="D116" s="35" t="str">
        <f>IFERROR(IF(VLOOKUP($B116,casostestes[#Data],2)=0,"-",VLOOKUP($B116,casostestes[#Data],2)), "-")</f>
        <v>-</v>
      </c>
      <c r="E116" s="35" t="str">
        <f>IFERROR(IF(VLOOKUP($B116,casostestes[#Data],3)=0,"-",VLOOKUP($B116,casostestes[#Data],3)), "-")</f>
        <v>-</v>
      </c>
      <c r="F116" s="35" t="str">
        <f>IFERROR(IF(VLOOKUP($B116,casostestes[#Data],4)=0,"-",VLOOKUP($B116,casostestes[#Data],4)),"-")</f>
        <v>-</v>
      </c>
      <c r="G116" s="35" t="str">
        <f>IFERROR(IF(VLOOKUP($B116,casostestes[#Data],5)=0,"-",VLOOKUP($B116,casostestes[#Data],5)),"-")</f>
        <v>-</v>
      </c>
      <c r="H116" s="35" t="str">
        <f>IFERROR(IF(VLOOKUP($B116,casostestes[#Data],6)=0,"-",VLOOKUP($B116,casostestes[#Data],6)),"-")</f>
        <v>-</v>
      </c>
      <c r="I116" s="35" t="str">
        <f>IFERROR(IF(VLOOKUP($B116,casostestes[#Data],8)=0,"-",VLOOKUP($B116,casostestes[#Data],8)),"-")</f>
        <v>-</v>
      </c>
      <c r="J116" s="35" t="str">
        <f>IFERROR(IF(VLOOKUP($B116,casostestes[#Data],9)=0,"-",VLOOKUP($B116,casostestes[#Data],9)),"-")</f>
        <v>-</v>
      </c>
      <c r="K116" s="36"/>
      <c r="L116" s="45"/>
      <c r="M116" s="37"/>
      <c r="N116" s="38"/>
      <c r="O116" s="38"/>
      <c r="P116" s="39"/>
    </row>
    <row r="117" spans="2:16">
      <c r="B117" s="40" t="str">
        <f>IF(ISERR(casostestes[[#This Row],[ID]]),"-",casostestes[[#This Row],[ID]])</f>
        <v>-</v>
      </c>
      <c r="C117" s="34" t="str">
        <f>IFERROR(IF(VLOOKUP($B117,casostestes[#Data],10)=0,"Não",VLOOKUP($B117,casostestes[#Data],10)), "-")</f>
        <v>-</v>
      </c>
      <c r="D117" s="35" t="str">
        <f>IFERROR(IF(VLOOKUP($B117,casostestes[#Data],2)=0,"-",VLOOKUP($B117,casostestes[#Data],2)), "-")</f>
        <v>-</v>
      </c>
      <c r="E117" s="35" t="str">
        <f>IFERROR(IF(VLOOKUP($B117,casostestes[#Data],3)=0,"-",VLOOKUP($B117,casostestes[#Data],3)), "-")</f>
        <v>-</v>
      </c>
      <c r="F117" s="35" t="str">
        <f>IFERROR(IF(VLOOKUP($B117,casostestes[#Data],4)=0,"-",VLOOKUP($B117,casostestes[#Data],4)),"-")</f>
        <v>-</v>
      </c>
      <c r="G117" s="35" t="str">
        <f>IFERROR(IF(VLOOKUP($B117,casostestes[#Data],5)=0,"-",VLOOKUP($B117,casostestes[#Data],5)),"-")</f>
        <v>-</v>
      </c>
      <c r="H117" s="35" t="str">
        <f>IFERROR(IF(VLOOKUP($B117,casostestes[#Data],6)=0,"-",VLOOKUP($B117,casostestes[#Data],6)),"-")</f>
        <v>-</v>
      </c>
      <c r="I117" s="35" t="str">
        <f>IFERROR(IF(VLOOKUP($B117,casostestes[#Data],8)=0,"-",VLOOKUP($B117,casostestes[#Data],8)),"-")</f>
        <v>-</v>
      </c>
      <c r="J117" s="35" t="str">
        <f>IFERROR(IF(VLOOKUP($B117,casostestes[#Data],9)=0,"-",VLOOKUP($B117,casostestes[#Data],9)),"-")</f>
        <v>-</v>
      </c>
      <c r="K117" s="36"/>
      <c r="L117" s="45"/>
      <c r="M117" s="37"/>
      <c r="N117" s="38"/>
      <c r="O117" s="38"/>
      <c r="P117" s="39"/>
    </row>
    <row r="118" spans="2:16">
      <c r="B118" s="40" t="str">
        <f>IF(ISERR(casostestes[[#This Row],[ID]]),"-",casostestes[[#This Row],[ID]])</f>
        <v>-</v>
      </c>
      <c r="C118" s="34" t="str">
        <f>IFERROR(IF(VLOOKUP($B118,casostestes[#Data],10)=0,"Não",VLOOKUP($B118,casostestes[#Data],10)), "-")</f>
        <v>-</v>
      </c>
      <c r="D118" s="35" t="str">
        <f>IFERROR(IF(VLOOKUP($B118,casostestes[#Data],2)=0,"-",VLOOKUP($B118,casostestes[#Data],2)), "-")</f>
        <v>-</v>
      </c>
      <c r="E118" s="35" t="str">
        <f>IFERROR(IF(VLOOKUP($B118,casostestes[#Data],3)=0,"-",VLOOKUP($B118,casostestes[#Data],3)), "-")</f>
        <v>-</v>
      </c>
      <c r="F118" s="35" t="str">
        <f>IFERROR(IF(VLOOKUP($B118,casostestes[#Data],4)=0,"-",VLOOKUP($B118,casostestes[#Data],4)),"-")</f>
        <v>-</v>
      </c>
      <c r="G118" s="35" t="str">
        <f>IFERROR(IF(VLOOKUP($B118,casostestes[#Data],5)=0,"-",VLOOKUP($B118,casostestes[#Data],5)),"-")</f>
        <v>-</v>
      </c>
      <c r="H118" s="35" t="str">
        <f>IFERROR(IF(VLOOKUP($B118,casostestes[#Data],6)=0,"-",VLOOKUP($B118,casostestes[#Data],6)),"-")</f>
        <v>-</v>
      </c>
      <c r="I118" s="35" t="str">
        <f>IFERROR(IF(VLOOKUP($B118,casostestes[#Data],8)=0,"-",VLOOKUP($B118,casostestes[#Data],8)),"-")</f>
        <v>-</v>
      </c>
      <c r="J118" s="35" t="str">
        <f>IFERROR(IF(VLOOKUP($B118,casostestes[#Data],9)=0,"-",VLOOKUP($B118,casostestes[#Data],9)),"-")</f>
        <v>-</v>
      </c>
      <c r="K118" s="36"/>
      <c r="L118" s="45"/>
      <c r="M118" s="37"/>
      <c r="N118" s="38"/>
      <c r="O118" s="38"/>
      <c r="P118" s="39"/>
    </row>
    <row r="119" spans="2:16">
      <c r="B119" s="40" t="str">
        <f>IF(ISERR(casostestes[[#This Row],[ID]]),"-",casostestes[[#This Row],[ID]])</f>
        <v>-</v>
      </c>
      <c r="C119" s="34" t="str">
        <f>IFERROR(IF(VLOOKUP($B119,casostestes[#Data],10)=0,"Não",VLOOKUP($B119,casostestes[#Data],10)), "-")</f>
        <v>-</v>
      </c>
      <c r="D119" s="35" t="str">
        <f>IFERROR(IF(VLOOKUP($B119,casostestes[#Data],2)=0,"-",VLOOKUP($B119,casostestes[#Data],2)), "-")</f>
        <v>-</v>
      </c>
      <c r="E119" s="35" t="str">
        <f>IFERROR(IF(VLOOKUP($B119,casostestes[#Data],3)=0,"-",VLOOKUP($B119,casostestes[#Data],3)), "-")</f>
        <v>-</v>
      </c>
      <c r="F119" s="35" t="str">
        <f>IFERROR(IF(VLOOKUP($B119,casostestes[#Data],4)=0,"-",VLOOKUP($B119,casostestes[#Data],4)),"-")</f>
        <v>-</v>
      </c>
      <c r="G119" s="35" t="str">
        <f>IFERROR(IF(VLOOKUP($B119,casostestes[#Data],5)=0,"-",VLOOKUP($B119,casostestes[#Data],5)),"-")</f>
        <v>-</v>
      </c>
      <c r="H119" s="35" t="str">
        <f>IFERROR(IF(VLOOKUP($B119,casostestes[#Data],6)=0,"-",VLOOKUP($B119,casostestes[#Data],6)),"-")</f>
        <v>-</v>
      </c>
      <c r="I119" s="35" t="str">
        <f>IFERROR(IF(VLOOKUP($B119,casostestes[#Data],8)=0,"-",VLOOKUP($B119,casostestes[#Data],8)),"-")</f>
        <v>-</v>
      </c>
      <c r="J119" s="35" t="str">
        <f>IFERROR(IF(VLOOKUP($B119,casostestes[#Data],9)=0,"-",VLOOKUP($B119,casostestes[#Data],9)),"-")</f>
        <v>-</v>
      </c>
      <c r="K119" s="36"/>
      <c r="L119" s="45"/>
      <c r="M119" s="37"/>
      <c r="N119" s="38"/>
      <c r="O119" s="38"/>
      <c r="P119" s="39"/>
    </row>
    <row r="120" spans="2:16">
      <c r="B120" s="40" t="str">
        <f>IF(ISERR(casostestes[[#This Row],[ID]]),"-",casostestes[[#This Row],[ID]])</f>
        <v>-</v>
      </c>
      <c r="C120" s="34" t="str">
        <f>IFERROR(IF(VLOOKUP($B120,casostestes[#Data],10)=0,"Não",VLOOKUP($B120,casostestes[#Data],10)), "-")</f>
        <v>-</v>
      </c>
      <c r="D120" s="35" t="str">
        <f>IFERROR(IF(VLOOKUP($B120,casostestes[#Data],2)=0,"-",VLOOKUP($B120,casostestes[#Data],2)), "-")</f>
        <v>-</v>
      </c>
      <c r="E120" s="35" t="str">
        <f>IFERROR(IF(VLOOKUP($B120,casostestes[#Data],3)=0,"-",VLOOKUP($B120,casostestes[#Data],3)), "-")</f>
        <v>-</v>
      </c>
      <c r="F120" s="35" t="str">
        <f>IFERROR(IF(VLOOKUP($B120,casostestes[#Data],4)=0,"-",VLOOKUP($B120,casostestes[#Data],4)),"-")</f>
        <v>-</v>
      </c>
      <c r="G120" s="35" t="str">
        <f>IFERROR(IF(VLOOKUP($B120,casostestes[#Data],5)=0,"-",VLOOKUP($B120,casostestes[#Data],5)),"-")</f>
        <v>-</v>
      </c>
      <c r="H120" s="35" t="str">
        <f>IFERROR(IF(VLOOKUP($B120,casostestes[#Data],6)=0,"-",VLOOKUP($B120,casostestes[#Data],6)),"-")</f>
        <v>-</v>
      </c>
      <c r="I120" s="35" t="str">
        <f>IFERROR(IF(VLOOKUP($B120,casostestes[#Data],8)=0,"-",VLOOKUP($B120,casostestes[#Data],8)),"-")</f>
        <v>-</v>
      </c>
      <c r="J120" s="35" t="str">
        <f>IFERROR(IF(VLOOKUP($B120,casostestes[#Data],9)=0,"-",VLOOKUP($B120,casostestes[#Data],9)),"-")</f>
        <v>-</v>
      </c>
      <c r="K120" s="36"/>
      <c r="L120" s="45"/>
      <c r="M120" s="37"/>
      <c r="N120" s="38"/>
      <c r="O120" s="38"/>
      <c r="P120" s="39"/>
    </row>
    <row r="121" spans="2:16">
      <c r="B121" s="40" t="str">
        <f>IF(ISERR(casostestes[[#This Row],[ID]]),"-",casostestes[[#This Row],[ID]])</f>
        <v>-</v>
      </c>
      <c r="C121" s="34" t="str">
        <f>IFERROR(IF(VLOOKUP($B121,casostestes[#Data],10)=0,"Não",VLOOKUP($B121,casostestes[#Data],10)), "-")</f>
        <v>-</v>
      </c>
      <c r="D121" s="35" t="str">
        <f>IFERROR(IF(VLOOKUP($B121,casostestes[#Data],2)=0,"-",VLOOKUP($B121,casostestes[#Data],2)), "-")</f>
        <v>-</v>
      </c>
      <c r="E121" s="35" t="str">
        <f>IFERROR(IF(VLOOKUP($B121,casostestes[#Data],3)=0,"-",VLOOKUP($B121,casostestes[#Data],3)), "-")</f>
        <v>-</v>
      </c>
      <c r="F121" s="35" t="str">
        <f>IFERROR(IF(VLOOKUP($B121,casostestes[#Data],4)=0,"-",VLOOKUP($B121,casostestes[#Data],4)),"-")</f>
        <v>-</v>
      </c>
      <c r="G121" s="35" t="str">
        <f>IFERROR(IF(VLOOKUP($B121,casostestes[#Data],5)=0,"-",VLOOKUP($B121,casostestes[#Data],5)),"-")</f>
        <v>-</v>
      </c>
      <c r="H121" s="35" t="str">
        <f>IFERROR(IF(VLOOKUP($B121,casostestes[#Data],6)=0,"-",VLOOKUP($B121,casostestes[#Data],6)),"-")</f>
        <v>-</v>
      </c>
      <c r="I121" s="35" t="str">
        <f>IFERROR(IF(VLOOKUP($B121,casostestes[#Data],8)=0,"-",VLOOKUP($B121,casostestes[#Data],8)),"-")</f>
        <v>-</v>
      </c>
      <c r="J121" s="35" t="str">
        <f>IFERROR(IF(VLOOKUP($B121,casostestes[#Data],9)=0,"-",VLOOKUP($B121,casostestes[#Data],9)),"-")</f>
        <v>-</v>
      </c>
      <c r="K121" s="36"/>
      <c r="L121" s="45"/>
      <c r="M121" s="37"/>
      <c r="N121" s="38"/>
      <c r="O121" s="38"/>
      <c r="P121" s="39"/>
    </row>
    <row r="122" spans="2:16">
      <c r="B122" s="40" t="str">
        <f>IF(ISERR(casostestes[[#This Row],[ID]]),"-",casostestes[[#This Row],[ID]])</f>
        <v>-</v>
      </c>
      <c r="C122" s="34" t="str">
        <f>IFERROR(IF(VLOOKUP($B122,casostestes[#Data],10)=0,"Não",VLOOKUP($B122,casostestes[#Data],10)), "-")</f>
        <v>-</v>
      </c>
      <c r="D122" s="35" t="str">
        <f>IFERROR(IF(VLOOKUP($B122,casostestes[#Data],2)=0,"-",VLOOKUP($B122,casostestes[#Data],2)), "-")</f>
        <v>-</v>
      </c>
      <c r="E122" s="35" t="str">
        <f>IFERROR(IF(VLOOKUP($B122,casostestes[#Data],3)=0,"-",VLOOKUP($B122,casostestes[#Data],3)), "-")</f>
        <v>-</v>
      </c>
      <c r="F122" s="35" t="str">
        <f>IFERROR(IF(VLOOKUP($B122,casostestes[#Data],4)=0,"-",VLOOKUP($B122,casostestes[#Data],4)),"-")</f>
        <v>-</v>
      </c>
      <c r="G122" s="35" t="str">
        <f>IFERROR(IF(VLOOKUP($B122,casostestes[#Data],5)=0,"-",VLOOKUP($B122,casostestes[#Data],5)),"-")</f>
        <v>-</v>
      </c>
      <c r="H122" s="35" t="str">
        <f>IFERROR(IF(VLOOKUP($B122,casostestes[#Data],6)=0,"-",VLOOKUP($B122,casostestes[#Data],6)),"-")</f>
        <v>-</v>
      </c>
      <c r="I122" s="35" t="str">
        <f>IFERROR(IF(VLOOKUP($B122,casostestes[#Data],8)=0,"-",VLOOKUP($B122,casostestes[#Data],8)),"-")</f>
        <v>-</v>
      </c>
      <c r="J122" s="35" t="str">
        <f>IFERROR(IF(VLOOKUP($B122,casostestes[#Data],9)=0,"-",VLOOKUP($B122,casostestes[#Data],9)),"-")</f>
        <v>-</v>
      </c>
      <c r="K122" s="36"/>
      <c r="L122" s="45"/>
      <c r="M122" s="37"/>
      <c r="N122" s="38"/>
      <c r="O122" s="38"/>
      <c r="P122" s="39"/>
    </row>
    <row r="123" spans="2:16">
      <c r="B123" s="40" t="str">
        <f>IF(ISERR(casostestes[[#This Row],[ID]]),"-",casostestes[[#This Row],[ID]])</f>
        <v>-</v>
      </c>
      <c r="C123" s="34" t="str">
        <f>IFERROR(IF(VLOOKUP($B123,casostestes[#Data],10)=0,"Não",VLOOKUP($B123,casostestes[#Data],10)), "-")</f>
        <v>-</v>
      </c>
      <c r="D123" s="35" t="str">
        <f>IFERROR(IF(VLOOKUP($B123,casostestes[#Data],2)=0,"-",VLOOKUP($B123,casostestes[#Data],2)), "-")</f>
        <v>-</v>
      </c>
      <c r="E123" s="35" t="str">
        <f>IFERROR(IF(VLOOKUP($B123,casostestes[#Data],3)=0,"-",VLOOKUP($B123,casostestes[#Data],3)), "-")</f>
        <v>-</v>
      </c>
      <c r="F123" s="35" t="str">
        <f>IFERROR(IF(VLOOKUP($B123,casostestes[#Data],4)=0,"-",VLOOKUP($B123,casostestes[#Data],4)),"-")</f>
        <v>-</v>
      </c>
      <c r="G123" s="35" t="str">
        <f>IFERROR(IF(VLOOKUP($B123,casostestes[#Data],5)=0,"-",VLOOKUP($B123,casostestes[#Data],5)),"-")</f>
        <v>-</v>
      </c>
      <c r="H123" s="35" t="str">
        <f>IFERROR(IF(VLOOKUP($B123,casostestes[#Data],6)=0,"-",VLOOKUP($B123,casostestes[#Data],6)),"-")</f>
        <v>-</v>
      </c>
      <c r="I123" s="35" t="str">
        <f>IFERROR(IF(VLOOKUP($B123,casostestes[#Data],8)=0,"-",VLOOKUP($B123,casostestes[#Data],8)),"-")</f>
        <v>-</v>
      </c>
      <c r="J123" s="35" t="str">
        <f>IFERROR(IF(VLOOKUP($B123,casostestes[#Data],9)=0,"-",VLOOKUP($B123,casostestes[#Data],9)),"-")</f>
        <v>-</v>
      </c>
      <c r="K123" s="36"/>
      <c r="L123" s="45"/>
      <c r="M123" s="37"/>
      <c r="N123" s="38"/>
      <c r="O123" s="38"/>
      <c r="P123" s="39"/>
    </row>
    <row r="124" spans="2:16">
      <c r="B124" s="40" t="str">
        <f>IF(ISERR(casostestes[[#This Row],[ID]]),"-",casostestes[[#This Row],[ID]])</f>
        <v>-</v>
      </c>
      <c r="C124" s="34" t="str">
        <f>IFERROR(IF(VLOOKUP($B124,casostestes[#Data],10)=0,"Não",VLOOKUP($B124,casostestes[#Data],10)), "-")</f>
        <v>-</v>
      </c>
      <c r="D124" s="35" t="str">
        <f>IFERROR(IF(VLOOKUP($B124,casostestes[#Data],2)=0,"-",VLOOKUP($B124,casostestes[#Data],2)), "-")</f>
        <v>-</v>
      </c>
      <c r="E124" s="35" t="str">
        <f>IFERROR(IF(VLOOKUP($B124,casostestes[#Data],3)=0,"-",VLOOKUP($B124,casostestes[#Data],3)), "-")</f>
        <v>-</v>
      </c>
      <c r="F124" s="35" t="str">
        <f>IFERROR(IF(VLOOKUP($B124,casostestes[#Data],4)=0,"-",VLOOKUP($B124,casostestes[#Data],4)),"-")</f>
        <v>-</v>
      </c>
      <c r="G124" s="35" t="str">
        <f>IFERROR(IF(VLOOKUP($B124,casostestes[#Data],5)=0,"-",VLOOKUP($B124,casostestes[#Data],5)),"-")</f>
        <v>-</v>
      </c>
      <c r="H124" s="35" t="str">
        <f>IFERROR(IF(VLOOKUP($B124,casostestes[#Data],6)=0,"-",VLOOKUP($B124,casostestes[#Data],6)),"-")</f>
        <v>-</v>
      </c>
      <c r="I124" s="35" t="str">
        <f>IFERROR(IF(VLOOKUP($B124,casostestes[#Data],8)=0,"-",VLOOKUP($B124,casostestes[#Data],8)),"-")</f>
        <v>-</v>
      </c>
      <c r="J124" s="35" t="str">
        <f>IFERROR(IF(VLOOKUP($B124,casostestes[#Data],9)=0,"-",VLOOKUP($B124,casostestes[#Data],9)),"-")</f>
        <v>-</v>
      </c>
      <c r="K124" s="36"/>
      <c r="L124" s="45"/>
      <c r="M124" s="37"/>
      <c r="N124" s="38"/>
      <c r="O124" s="38"/>
      <c r="P124" s="39"/>
    </row>
    <row r="125" spans="2:16">
      <c r="B125" s="40" t="str">
        <f>IF(ISERR(casostestes[[#This Row],[ID]]),"-",casostestes[[#This Row],[ID]])</f>
        <v>-</v>
      </c>
      <c r="C125" s="34" t="str">
        <f>IFERROR(IF(VLOOKUP($B125,casostestes[#Data],10)=0,"Não",VLOOKUP($B125,casostestes[#Data],10)), "-")</f>
        <v>-</v>
      </c>
      <c r="D125" s="35" t="str">
        <f>IFERROR(IF(VLOOKUP($B125,casostestes[#Data],2)=0,"-",VLOOKUP($B125,casostestes[#Data],2)), "-")</f>
        <v>-</v>
      </c>
      <c r="E125" s="35" t="str">
        <f>IFERROR(IF(VLOOKUP($B125,casostestes[#Data],3)=0,"-",VLOOKUP($B125,casostestes[#Data],3)), "-")</f>
        <v>-</v>
      </c>
      <c r="F125" s="35" t="str">
        <f>IFERROR(IF(VLOOKUP($B125,casostestes[#Data],4)=0,"-",VLOOKUP($B125,casostestes[#Data],4)),"-")</f>
        <v>-</v>
      </c>
      <c r="G125" s="35" t="str">
        <f>IFERROR(IF(VLOOKUP($B125,casostestes[#Data],5)=0,"-",VLOOKUP($B125,casostestes[#Data],5)),"-")</f>
        <v>-</v>
      </c>
      <c r="H125" s="35" t="str">
        <f>IFERROR(IF(VLOOKUP($B125,casostestes[#Data],6)=0,"-",VLOOKUP($B125,casostestes[#Data],6)),"-")</f>
        <v>-</v>
      </c>
      <c r="I125" s="35" t="str">
        <f>IFERROR(IF(VLOOKUP($B125,casostestes[#Data],8)=0,"-",VLOOKUP($B125,casostestes[#Data],8)),"-")</f>
        <v>-</v>
      </c>
      <c r="J125" s="35" t="str">
        <f>IFERROR(IF(VLOOKUP($B125,casostestes[#Data],9)=0,"-",VLOOKUP($B125,casostestes[#Data],9)),"-")</f>
        <v>-</v>
      </c>
      <c r="K125" s="36"/>
      <c r="L125" s="45"/>
      <c r="M125" s="37"/>
      <c r="N125" s="38"/>
      <c r="O125" s="38"/>
      <c r="P125" s="39"/>
    </row>
    <row r="126" spans="2:16">
      <c r="B126" s="40" t="str">
        <f>IF(ISERR(casostestes[[#This Row],[ID]]),"-",casostestes[[#This Row],[ID]])</f>
        <v>-</v>
      </c>
      <c r="C126" s="34" t="str">
        <f>IFERROR(IF(VLOOKUP($B126,casostestes[#Data],10)=0,"Não",VLOOKUP($B126,casostestes[#Data],10)), "-")</f>
        <v>-</v>
      </c>
      <c r="D126" s="35" t="str">
        <f>IFERROR(IF(VLOOKUP($B126,casostestes[#Data],2)=0,"-",VLOOKUP($B126,casostestes[#Data],2)), "-")</f>
        <v>-</v>
      </c>
      <c r="E126" s="35" t="str">
        <f>IFERROR(IF(VLOOKUP($B126,casostestes[#Data],3)=0,"-",VLOOKUP($B126,casostestes[#Data],3)), "-")</f>
        <v>-</v>
      </c>
      <c r="F126" s="35" t="str">
        <f>IFERROR(IF(VLOOKUP($B126,casostestes[#Data],4)=0,"-",VLOOKUP($B126,casostestes[#Data],4)),"-")</f>
        <v>-</v>
      </c>
      <c r="G126" s="35" t="str">
        <f>IFERROR(IF(VLOOKUP($B126,casostestes[#Data],5)=0,"-",VLOOKUP($B126,casostestes[#Data],5)),"-")</f>
        <v>-</v>
      </c>
      <c r="H126" s="35" t="str">
        <f>IFERROR(IF(VLOOKUP($B126,casostestes[#Data],6)=0,"-",VLOOKUP($B126,casostestes[#Data],6)),"-")</f>
        <v>-</v>
      </c>
      <c r="I126" s="35" t="str">
        <f>IFERROR(IF(VLOOKUP($B126,casostestes[#Data],8)=0,"-",VLOOKUP($B126,casostestes[#Data],8)),"-")</f>
        <v>-</v>
      </c>
      <c r="J126" s="35" t="str">
        <f>IFERROR(IF(VLOOKUP($B126,casostestes[#Data],9)=0,"-",VLOOKUP($B126,casostestes[#Data],9)),"-")</f>
        <v>-</v>
      </c>
      <c r="K126" s="36"/>
      <c r="L126" s="45"/>
      <c r="M126" s="37"/>
      <c r="N126" s="38"/>
      <c r="O126" s="38"/>
      <c r="P126" s="39"/>
    </row>
    <row r="127" spans="2:16">
      <c r="B127" s="40" t="str">
        <f>IF(ISERR(casostestes[[#This Row],[ID]]),"-",casostestes[[#This Row],[ID]])</f>
        <v>-</v>
      </c>
      <c r="C127" s="34" t="str">
        <f>IFERROR(IF(VLOOKUP($B127,casostestes[#Data],10)=0,"Não",VLOOKUP($B127,casostestes[#Data],10)), "-")</f>
        <v>-</v>
      </c>
      <c r="D127" s="35" t="str">
        <f>IFERROR(IF(VLOOKUP($B127,casostestes[#Data],2)=0,"-",VLOOKUP($B127,casostestes[#Data],2)), "-")</f>
        <v>-</v>
      </c>
      <c r="E127" s="35" t="str">
        <f>IFERROR(IF(VLOOKUP($B127,casostestes[#Data],3)=0,"-",VLOOKUP($B127,casostestes[#Data],3)), "-")</f>
        <v>-</v>
      </c>
      <c r="F127" s="35" t="str">
        <f>IFERROR(IF(VLOOKUP($B127,casostestes[#Data],4)=0,"-",VLOOKUP($B127,casostestes[#Data],4)),"-")</f>
        <v>-</v>
      </c>
      <c r="G127" s="35" t="str">
        <f>IFERROR(IF(VLOOKUP($B127,casostestes[#Data],5)=0,"-",VLOOKUP($B127,casostestes[#Data],5)),"-")</f>
        <v>-</v>
      </c>
      <c r="H127" s="35" t="str">
        <f>IFERROR(IF(VLOOKUP($B127,casostestes[#Data],6)=0,"-",VLOOKUP($B127,casostestes[#Data],6)),"-")</f>
        <v>-</v>
      </c>
      <c r="I127" s="35" t="str">
        <f>IFERROR(IF(VLOOKUP($B127,casostestes[#Data],8)=0,"-",VLOOKUP($B127,casostestes[#Data],8)),"-")</f>
        <v>-</v>
      </c>
      <c r="J127" s="35" t="str">
        <f>IFERROR(IF(VLOOKUP($B127,casostestes[#Data],9)=0,"-",VLOOKUP($B127,casostestes[#Data],9)),"-")</f>
        <v>-</v>
      </c>
      <c r="K127" s="36"/>
      <c r="L127" s="45"/>
      <c r="M127" s="37"/>
      <c r="N127" s="38"/>
      <c r="O127" s="38"/>
      <c r="P127" s="39"/>
    </row>
    <row r="128" spans="2:16">
      <c r="B128" s="40" t="str">
        <f>IF(ISERR(casostestes[[#This Row],[ID]]),"-",casostestes[[#This Row],[ID]])</f>
        <v>-</v>
      </c>
      <c r="C128" s="34" t="str">
        <f>IFERROR(IF(VLOOKUP($B128,casostestes[#Data],10)=0,"Não",VLOOKUP($B128,casostestes[#Data],10)), "-")</f>
        <v>-</v>
      </c>
      <c r="D128" s="35" t="str">
        <f>IFERROR(IF(VLOOKUP($B128,casostestes[#Data],2)=0,"-",VLOOKUP($B128,casostestes[#Data],2)), "-")</f>
        <v>-</v>
      </c>
      <c r="E128" s="35" t="str">
        <f>IFERROR(IF(VLOOKUP($B128,casostestes[#Data],3)=0,"-",VLOOKUP($B128,casostestes[#Data],3)), "-")</f>
        <v>-</v>
      </c>
      <c r="F128" s="35" t="str">
        <f>IFERROR(IF(VLOOKUP($B128,casostestes[#Data],4)=0,"-",VLOOKUP($B128,casostestes[#Data],4)),"-")</f>
        <v>-</v>
      </c>
      <c r="G128" s="35" t="str">
        <f>IFERROR(IF(VLOOKUP($B128,casostestes[#Data],5)=0,"-",VLOOKUP($B128,casostestes[#Data],5)),"-")</f>
        <v>-</v>
      </c>
      <c r="H128" s="35" t="str">
        <f>IFERROR(IF(VLOOKUP($B128,casostestes[#Data],6)=0,"-",VLOOKUP($B128,casostestes[#Data],6)),"-")</f>
        <v>-</v>
      </c>
      <c r="I128" s="35" t="str">
        <f>IFERROR(IF(VLOOKUP($B128,casostestes[#Data],8)=0,"-",VLOOKUP($B128,casostestes[#Data],8)),"-")</f>
        <v>-</v>
      </c>
      <c r="J128" s="35" t="str">
        <f>IFERROR(IF(VLOOKUP($B128,casostestes[#Data],9)=0,"-",VLOOKUP($B128,casostestes[#Data],9)),"-")</f>
        <v>-</v>
      </c>
      <c r="K128" s="36"/>
      <c r="L128" s="45"/>
      <c r="M128" s="37"/>
      <c r="N128" s="38"/>
      <c r="O128" s="38"/>
      <c r="P128" s="39"/>
    </row>
    <row r="129" spans="2:16">
      <c r="B129" s="40" t="str">
        <f>IF(ISERR(casostestes[[#This Row],[ID]]),"-",casostestes[[#This Row],[ID]])</f>
        <v>-</v>
      </c>
      <c r="C129" s="34" t="str">
        <f>IFERROR(IF(VLOOKUP($B129,casostestes[#Data],10)=0,"Não",VLOOKUP($B129,casostestes[#Data],10)), "-")</f>
        <v>-</v>
      </c>
      <c r="D129" s="35" t="str">
        <f>IFERROR(IF(VLOOKUP($B129,casostestes[#Data],2)=0,"-",VLOOKUP($B129,casostestes[#Data],2)), "-")</f>
        <v>-</v>
      </c>
      <c r="E129" s="35" t="str">
        <f>IFERROR(IF(VLOOKUP($B129,casostestes[#Data],3)=0,"-",VLOOKUP($B129,casostestes[#Data],3)), "-")</f>
        <v>-</v>
      </c>
      <c r="F129" s="35" t="str">
        <f>IFERROR(IF(VLOOKUP($B129,casostestes[#Data],4)=0,"-",VLOOKUP($B129,casostestes[#Data],4)),"-")</f>
        <v>-</v>
      </c>
      <c r="G129" s="35" t="str">
        <f>IFERROR(IF(VLOOKUP($B129,casostestes[#Data],5)=0,"-",VLOOKUP($B129,casostestes[#Data],5)),"-")</f>
        <v>-</v>
      </c>
      <c r="H129" s="35" t="str">
        <f>IFERROR(IF(VLOOKUP($B129,casostestes[#Data],6)=0,"-",VLOOKUP($B129,casostestes[#Data],6)),"-")</f>
        <v>-</v>
      </c>
      <c r="I129" s="35" t="str">
        <f>IFERROR(IF(VLOOKUP($B129,casostestes[#Data],8)=0,"-",VLOOKUP($B129,casostestes[#Data],8)),"-")</f>
        <v>-</v>
      </c>
      <c r="J129" s="35" t="str">
        <f>IFERROR(IF(VLOOKUP($B129,casostestes[#Data],9)=0,"-",VLOOKUP($B129,casostestes[#Data],9)),"-")</f>
        <v>-</v>
      </c>
      <c r="K129" s="36"/>
      <c r="L129" s="45"/>
      <c r="M129" s="37"/>
      <c r="N129" s="38"/>
      <c r="O129" s="38"/>
      <c r="P129" s="39"/>
    </row>
    <row r="130" spans="2:16">
      <c r="B130" s="40" t="str">
        <f>IF(ISERR(casostestes[[#This Row],[ID]]),"-",casostestes[[#This Row],[ID]])</f>
        <v>-</v>
      </c>
      <c r="C130" s="34" t="str">
        <f>IFERROR(IF(VLOOKUP($B130,casostestes[#Data],10)=0,"Não",VLOOKUP($B130,casostestes[#Data],10)), "-")</f>
        <v>-</v>
      </c>
      <c r="D130" s="35" t="str">
        <f>IFERROR(IF(VLOOKUP($B130,casostestes[#Data],2)=0,"-",VLOOKUP($B130,casostestes[#Data],2)), "-")</f>
        <v>-</v>
      </c>
      <c r="E130" s="35" t="str">
        <f>IFERROR(IF(VLOOKUP($B130,casostestes[#Data],3)=0,"-",VLOOKUP($B130,casostestes[#Data],3)), "-")</f>
        <v>-</v>
      </c>
      <c r="F130" s="35" t="str">
        <f>IFERROR(IF(VLOOKUP($B130,casostestes[#Data],4)=0,"-",VLOOKUP($B130,casostestes[#Data],4)),"-")</f>
        <v>-</v>
      </c>
      <c r="G130" s="35" t="str">
        <f>IFERROR(IF(VLOOKUP($B130,casostestes[#Data],5)=0,"-",VLOOKUP($B130,casostestes[#Data],5)),"-")</f>
        <v>-</v>
      </c>
      <c r="H130" s="35" t="str">
        <f>IFERROR(IF(VLOOKUP($B130,casostestes[#Data],6)=0,"-",VLOOKUP($B130,casostestes[#Data],6)),"-")</f>
        <v>-</v>
      </c>
      <c r="I130" s="35" t="str">
        <f>IFERROR(IF(VLOOKUP($B130,casostestes[#Data],8)=0,"-",VLOOKUP($B130,casostestes[#Data],8)),"-")</f>
        <v>-</v>
      </c>
      <c r="J130" s="35" t="str">
        <f>IFERROR(IF(VLOOKUP($B130,casostestes[#Data],9)=0,"-",VLOOKUP($B130,casostestes[#Data],9)),"-")</f>
        <v>-</v>
      </c>
      <c r="K130" s="36"/>
      <c r="L130" s="45"/>
      <c r="M130" s="37"/>
      <c r="N130" s="38"/>
      <c r="O130" s="38"/>
      <c r="P130" s="39"/>
    </row>
    <row r="131" spans="2:16">
      <c r="B131" s="40" t="str">
        <f>IF(ISERR(casostestes[[#This Row],[ID]]),"-",casostestes[[#This Row],[ID]])</f>
        <v>-</v>
      </c>
      <c r="C131" s="34" t="str">
        <f>IFERROR(IF(VLOOKUP($B131,casostestes[#Data],10)=0,"Não",VLOOKUP($B131,casostestes[#Data],10)), "-")</f>
        <v>-</v>
      </c>
      <c r="D131" s="35" t="str">
        <f>IFERROR(IF(VLOOKUP($B131,casostestes[#Data],2)=0,"-",VLOOKUP($B131,casostestes[#Data],2)), "-")</f>
        <v>-</v>
      </c>
      <c r="E131" s="35" t="str">
        <f>IFERROR(IF(VLOOKUP($B131,casostestes[#Data],3)=0,"-",VLOOKUP($B131,casostestes[#Data],3)), "-")</f>
        <v>-</v>
      </c>
      <c r="F131" s="35" t="str">
        <f>IFERROR(IF(VLOOKUP($B131,casostestes[#Data],4)=0,"-",VLOOKUP($B131,casostestes[#Data],4)),"-")</f>
        <v>-</v>
      </c>
      <c r="G131" s="35" t="str">
        <f>IFERROR(IF(VLOOKUP($B131,casostestes[#Data],5)=0,"-",VLOOKUP($B131,casostestes[#Data],5)),"-")</f>
        <v>-</v>
      </c>
      <c r="H131" s="35" t="str">
        <f>IFERROR(IF(VLOOKUP($B131,casostestes[#Data],6)=0,"-",VLOOKUP($B131,casostestes[#Data],6)),"-")</f>
        <v>-</v>
      </c>
      <c r="I131" s="35" t="str">
        <f>IFERROR(IF(VLOOKUP($B131,casostestes[#Data],8)=0,"-",VLOOKUP($B131,casostestes[#Data],8)),"-")</f>
        <v>-</v>
      </c>
      <c r="J131" s="35" t="str">
        <f>IFERROR(IF(VLOOKUP($B131,casostestes[#Data],9)=0,"-",VLOOKUP($B131,casostestes[#Data],9)),"-")</f>
        <v>-</v>
      </c>
      <c r="K131" s="36"/>
      <c r="L131" s="45"/>
      <c r="M131" s="37"/>
      <c r="N131" s="38"/>
      <c r="O131" s="38"/>
      <c r="P131" s="39"/>
    </row>
    <row r="132" spans="2:16">
      <c r="B132" s="40" t="str">
        <f>IF(ISERR(casostestes[[#This Row],[ID]]),"-",casostestes[[#This Row],[ID]])</f>
        <v>-</v>
      </c>
      <c r="C132" s="34" t="str">
        <f>IFERROR(IF(VLOOKUP($B132,casostestes[#Data],10)=0,"Não",VLOOKUP($B132,casostestes[#Data],10)), "-")</f>
        <v>-</v>
      </c>
      <c r="D132" s="35" t="str">
        <f>IFERROR(IF(VLOOKUP($B132,casostestes[#Data],2)=0,"-",VLOOKUP($B132,casostestes[#Data],2)), "-")</f>
        <v>-</v>
      </c>
      <c r="E132" s="35" t="str">
        <f>IFERROR(IF(VLOOKUP($B132,casostestes[#Data],3)=0,"-",VLOOKUP($B132,casostestes[#Data],3)), "-")</f>
        <v>-</v>
      </c>
      <c r="F132" s="35" t="str">
        <f>IFERROR(IF(VLOOKUP($B132,casostestes[#Data],4)=0,"-",VLOOKUP($B132,casostestes[#Data],4)),"-")</f>
        <v>-</v>
      </c>
      <c r="G132" s="35" t="str">
        <f>IFERROR(IF(VLOOKUP($B132,casostestes[#Data],5)=0,"-",VLOOKUP($B132,casostestes[#Data],5)),"-")</f>
        <v>-</v>
      </c>
      <c r="H132" s="35" t="str">
        <f>IFERROR(IF(VLOOKUP($B132,casostestes[#Data],6)=0,"-",VLOOKUP($B132,casostestes[#Data],6)),"-")</f>
        <v>-</v>
      </c>
      <c r="I132" s="35" t="str">
        <f>IFERROR(IF(VLOOKUP($B132,casostestes[#Data],8)=0,"-",VLOOKUP($B132,casostestes[#Data],8)),"-")</f>
        <v>-</v>
      </c>
      <c r="J132" s="35" t="str">
        <f>IFERROR(IF(VLOOKUP($B132,casostestes[#Data],9)=0,"-",VLOOKUP($B132,casostestes[#Data],9)),"-")</f>
        <v>-</v>
      </c>
      <c r="K132" s="36"/>
      <c r="L132" s="45"/>
      <c r="M132" s="37"/>
      <c r="N132" s="38"/>
      <c r="O132" s="38"/>
      <c r="P132" s="39"/>
    </row>
    <row r="133" spans="2:16">
      <c r="B133" s="40" t="str">
        <f>IF(ISERR(casostestes[[#This Row],[ID]]),"-",casostestes[[#This Row],[ID]])</f>
        <v>-</v>
      </c>
      <c r="C133" s="34" t="str">
        <f>IFERROR(IF(VLOOKUP($B133,casostestes[#Data],10)=0,"Não",VLOOKUP($B133,casostestes[#Data],10)), "-")</f>
        <v>-</v>
      </c>
      <c r="D133" s="35" t="str">
        <f>IFERROR(IF(VLOOKUP($B133,casostestes[#Data],2)=0,"-",VLOOKUP($B133,casostestes[#Data],2)), "-")</f>
        <v>-</v>
      </c>
      <c r="E133" s="35" t="str">
        <f>IFERROR(IF(VLOOKUP($B133,casostestes[#Data],3)=0,"-",VLOOKUP($B133,casostestes[#Data],3)), "-")</f>
        <v>-</v>
      </c>
      <c r="F133" s="35" t="str">
        <f>IFERROR(IF(VLOOKUP($B133,casostestes[#Data],4)=0,"-",VLOOKUP($B133,casostestes[#Data],4)),"-")</f>
        <v>-</v>
      </c>
      <c r="G133" s="35" t="str">
        <f>IFERROR(IF(VLOOKUP($B133,casostestes[#Data],5)=0,"-",VLOOKUP($B133,casostestes[#Data],5)),"-")</f>
        <v>-</v>
      </c>
      <c r="H133" s="35" t="str">
        <f>IFERROR(IF(VLOOKUP($B133,casostestes[#Data],6)=0,"-",VLOOKUP($B133,casostestes[#Data],6)),"-")</f>
        <v>-</v>
      </c>
      <c r="I133" s="35" t="str">
        <f>IFERROR(IF(VLOOKUP($B133,casostestes[#Data],8)=0,"-",VLOOKUP($B133,casostestes[#Data],8)),"-")</f>
        <v>-</v>
      </c>
      <c r="J133" s="35" t="str">
        <f>IFERROR(IF(VLOOKUP($B133,casostestes[#Data],9)=0,"-",VLOOKUP($B133,casostestes[#Data],9)),"-")</f>
        <v>-</v>
      </c>
      <c r="K133" s="36"/>
      <c r="L133" s="45"/>
      <c r="M133" s="37"/>
      <c r="N133" s="38"/>
      <c r="O133" s="38"/>
      <c r="P133" s="39"/>
    </row>
    <row r="134" spans="2:16">
      <c r="B134" s="40" t="str">
        <f>IF(ISERR(casostestes[[#This Row],[ID]]),"-",casostestes[[#This Row],[ID]])</f>
        <v>-</v>
      </c>
      <c r="C134" s="34" t="str">
        <f>IFERROR(IF(VLOOKUP($B134,casostestes[#Data],10)=0,"Não",VLOOKUP($B134,casostestes[#Data],10)), "-")</f>
        <v>-</v>
      </c>
      <c r="D134" s="35" t="str">
        <f>IFERROR(IF(VLOOKUP($B134,casostestes[#Data],2)=0,"-",VLOOKUP($B134,casostestes[#Data],2)), "-")</f>
        <v>-</v>
      </c>
      <c r="E134" s="35" t="str">
        <f>IFERROR(IF(VLOOKUP($B134,casostestes[#Data],3)=0,"-",VLOOKUP($B134,casostestes[#Data],3)), "-")</f>
        <v>-</v>
      </c>
      <c r="F134" s="35" t="str">
        <f>IFERROR(IF(VLOOKUP($B134,casostestes[#Data],4)=0,"-",VLOOKUP($B134,casostestes[#Data],4)),"-")</f>
        <v>-</v>
      </c>
      <c r="G134" s="35" t="str">
        <f>IFERROR(IF(VLOOKUP($B134,casostestes[#Data],5)=0,"-",VLOOKUP($B134,casostestes[#Data],5)),"-")</f>
        <v>-</v>
      </c>
      <c r="H134" s="35" t="str">
        <f>IFERROR(IF(VLOOKUP($B134,casostestes[#Data],6)=0,"-",VLOOKUP($B134,casostestes[#Data],6)),"-")</f>
        <v>-</v>
      </c>
      <c r="I134" s="35" t="str">
        <f>IFERROR(IF(VLOOKUP($B134,casostestes[#Data],8)=0,"-",VLOOKUP($B134,casostestes[#Data],8)),"-")</f>
        <v>-</v>
      </c>
      <c r="J134" s="35" t="str">
        <f>IFERROR(IF(VLOOKUP($B134,casostestes[#Data],9)=0,"-",VLOOKUP($B134,casostestes[#Data],9)),"-")</f>
        <v>-</v>
      </c>
      <c r="K134" s="36"/>
      <c r="L134" s="45"/>
      <c r="M134" s="37"/>
      <c r="N134" s="38"/>
      <c r="O134" s="38"/>
      <c r="P134" s="39"/>
    </row>
    <row r="135" spans="2:16">
      <c r="B135" s="40" t="str">
        <f>IF(ISERR(casostestes[[#This Row],[ID]]),"-",casostestes[[#This Row],[ID]])</f>
        <v>-</v>
      </c>
      <c r="C135" s="34" t="str">
        <f>IFERROR(IF(VLOOKUP($B135,casostestes[#Data],10)=0,"Não",VLOOKUP($B135,casostestes[#Data],10)), "-")</f>
        <v>-</v>
      </c>
      <c r="D135" s="35" t="str">
        <f>IFERROR(IF(VLOOKUP($B135,casostestes[#Data],2)=0,"-",VLOOKUP($B135,casostestes[#Data],2)), "-")</f>
        <v>-</v>
      </c>
      <c r="E135" s="35" t="str">
        <f>IFERROR(IF(VLOOKUP($B135,casostestes[#Data],3)=0,"-",VLOOKUP($B135,casostestes[#Data],3)), "-")</f>
        <v>-</v>
      </c>
      <c r="F135" s="35" t="str">
        <f>IFERROR(IF(VLOOKUP($B135,casostestes[#Data],4)=0,"-",VLOOKUP($B135,casostestes[#Data],4)),"-")</f>
        <v>-</v>
      </c>
      <c r="G135" s="35" t="str">
        <f>IFERROR(IF(VLOOKUP($B135,casostestes[#Data],5)=0,"-",VLOOKUP($B135,casostestes[#Data],5)),"-")</f>
        <v>-</v>
      </c>
      <c r="H135" s="35" t="str">
        <f>IFERROR(IF(VLOOKUP($B135,casostestes[#Data],6)=0,"-",VLOOKUP($B135,casostestes[#Data],6)),"-")</f>
        <v>-</v>
      </c>
      <c r="I135" s="35" t="str">
        <f>IFERROR(IF(VLOOKUP($B135,casostestes[#Data],8)=0,"-",VLOOKUP($B135,casostestes[#Data],8)),"-")</f>
        <v>-</v>
      </c>
      <c r="J135" s="35" t="str">
        <f>IFERROR(IF(VLOOKUP($B135,casostestes[#Data],9)=0,"-",VLOOKUP($B135,casostestes[#Data],9)),"-")</f>
        <v>-</v>
      </c>
      <c r="K135" s="36"/>
      <c r="L135" s="45"/>
      <c r="M135" s="37"/>
      <c r="N135" s="38"/>
      <c r="O135" s="38"/>
      <c r="P135" s="39"/>
    </row>
    <row r="136" spans="2:16">
      <c r="B136" s="40" t="str">
        <f>IF(ISERR(casostestes[[#This Row],[ID]]),"-",casostestes[[#This Row],[ID]])</f>
        <v>-</v>
      </c>
      <c r="C136" s="34" t="str">
        <f>IFERROR(IF(VLOOKUP($B136,casostestes[#Data],10)=0,"Não",VLOOKUP($B136,casostestes[#Data],10)), "-")</f>
        <v>-</v>
      </c>
      <c r="D136" s="35" t="str">
        <f>IFERROR(IF(VLOOKUP($B136,casostestes[#Data],2)=0,"-",VLOOKUP($B136,casostestes[#Data],2)), "-")</f>
        <v>-</v>
      </c>
      <c r="E136" s="35" t="str">
        <f>IFERROR(IF(VLOOKUP($B136,casostestes[#Data],3)=0,"-",VLOOKUP($B136,casostestes[#Data],3)), "-")</f>
        <v>-</v>
      </c>
      <c r="F136" s="35" t="str">
        <f>IFERROR(IF(VLOOKUP($B136,casostestes[#Data],4)=0,"-",VLOOKUP($B136,casostestes[#Data],4)),"-")</f>
        <v>-</v>
      </c>
      <c r="G136" s="35" t="str">
        <f>IFERROR(IF(VLOOKUP($B136,casostestes[#Data],5)=0,"-",VLOOKUP($B136,casostestes[#Data],5)),"-")</f>
        <v>-</v>
      </c>
      <c r="H136" s="35" t="str">
        <f>IFERROR(IF(VLOOKUP($B136,casostestes[#Data],6)=0,"-",VLOOKUP($B136,casostestes[#Data],6)),"-")</f>
        <v>-</v>
      </c>
      <c r="I136" s="35" t="str">
        <f>IFERROR(IF(VLOOKUP($B136,casostestes[#Data],8)=0,"-",VLOOKUP($B136,casostestes[#Data],8)),"-")</f>
        <v>-</v>
      </c>
      <c r="J136" s="35" t="str">
        <f>IFERROR(IF(VLOOKUP($B136,casostestes[#Data],9)=0,"-",VLOOKUP($B136,casostestes[#Data],9)),"-")</f>
        <v>-</v>
      </c>
      <c r="K136" s="36"/>
      <c r="L136" s="45"/>
      <c r="M136" s="37"/>
      <c r="N136" s="38"/>
      <c r="O136" s="38"/>
      <c r="P136" s="39"/>
    </row>
    <row r="137" spans="2:16">
      <c r="B137" s="40" t="str">
        <f>IF(ISERR(casostestes[[#This Row],[ID]]),"-",casostestes[[#This Row],[ID]])</f>
        <v>-</v>
      </c>
      <c r="C137" s="34" t="str">
        <f>IFERROR(IF(VLOOKUP($B137,casostestes[#Data],10)=0,"Não",VLOOKUP($B137,casostestes[#Data],10)), "-")</f>
        <v>-</v>
      </c>
      <c r="D137" s="35" t="str">
        <f>IFERROR(IF(VLOOKUP($B137,casostestes[#Data],2)=0,"-",VLOOKUP($B137,casostestes[#Data],2)), "-")</f>
        <v>-</v>
      </c>
      <c r="E137" s="35" t="str">
        <f>IFERROR(IF(VLOOKUP($B137,casostestes[#Data],3)=0,"-",VLOOKUP($B137,casostestes[#Data],3)), "-")</f>
        <v>-</v>
      </c>
      <c r="F137" s="35" t="str">
        <f>IFERROR(IF(VLOOKUP($B137,casostestes[#Data],4)=0,"-",VLOOKUP($B137,casostestes[#Data],4)),"-")</f>
        <v>-</v>
      </c>
      <c r="G137" s="35" t="str">
        <f>IFERROR(IF(VLOOKUP($B137,casostestes[#Data],5)=0,"-",VLOOKUP($B137,casostestes[#Data],5)),"-")</f>
        <v>-</v>
      </c>
      <c r="H137" s="35" t="str">
        <f>IFERROR(IF(VLOOKUP($B137,casostestes[#Data],6)=0,"-",VLOOKUP($B137,casostestes[#Data],6)),"-")</f>
        <v>-</v>
      </c>
      <c r="I137" s="35" t="str">
        <f>IFERROR(IF(VLOOKUP($B137,casostestes[#Data],8)=0,"-",VLOOKUP($B137,casostestes[#Data],8)),"-")</f>
        <v>-</v>
      </c>
      <c r="J137" s="35" t="str">
        <f>IFERROR(IF(VLOOKUP($B137,casostestes[#Data],9)=0,"-",VLOOKUP($B137,casostestes[#Data],9)),"-")</f>
        <v>-</v>
      </c>
      <c r="K137" s="36"/>
      <c r="L137" s="45"/>
      <c r="M137" s="37"/>
      <c r="N137" s="38"/>
      <c r="O137" s="38"/>
      <c r="P137" s="39"/>
    </row>
    <row r="138" spans="2:16">
      <c r="B138" s="40" t="str">
        <f>IF(ISERR(casostestes[[#This Row],[ID]]),"-",casostestes[[#This Row],[ID]])</f>
        <v>-</v>
      </c>
      <c r="C138" s="34" t="str">
        <f>IFERROR(IF(VLOOKUP($B138,casostestes[#Data],10)=0,"Não",VLOOKUP($B138,casostestes[#Data],10)), "-")</f>
        <v>-</v>
      </c>
      <c r="D138" s="35" t="str">
        <f>IFERROR(IF(VLOOKUP($B138,casostestes[#Data],2)=0,"-",VLOOKUP($B138,casostestes[#Data],2)), "-")</f>
        <v>-</v>
      </c>
      <c r="E138" s="35" t="str">
        <f>IFERROR(IF(VLOOKUP($B138,casostestes[#Data],3)=0,"-",VLOOKUP($B138,casostestes[#Data],3)), "-")</f>
        <v>-</v>
      </c>
      <c r="F138" s="35" t="str">
        <f>IFERROR(IF(VLOOKUP($B138,casostestes[#Data],4)=0,"-",VLOOKUP($B138,casostestes[#Data],4)),"-")</f>
        <v>-</v>
      </c>
      <c r="G138" s="35" t="str">
        <f>IFERROR(IF(VLOOKUP($B138,casostestes[#Data],5)=0,"-",VLOOKUP($B138,casostestes[#Data],5)),"-")</f>
        <v>-</v>
      </c>
      <c r="H138" s="35" t="str">
        <f>IFERROR(IF(VLOOKUP($B138,casostestes[#Data],6)=0,"-",VLOOKUP($B138,casostestes[#Data],6)),"-")</f>
        <v>-</v>
      </c>
      <c r="I138" s="35" t="str">
        <f>IFERROR(IF(VLOOKUP($B138,casostestes[#Data],8)=0,"-",VLOOKUP($B138,casostestes[#Data],8)),"-")</f>
        <v>-</v>
      </c>
      <c r="J138" s="35" t="str">
        <f>IFERROR(IF(VLOOKUP($B138,casostestes[#Data],9)=0,"-",VLOOKUP($B138,casostestes[#Data],9)),"-")</f>
        <v>-</v>
      </c>
      <c r="K138" s="36"/>
      <c r="L138" s="45"/>
      <c r="M138" s="37"/>
      <c r="N138" s="38"/>
      <c r="O138" s="38"/>
      <c r="P138" s="39"/>
    </row>
    <row r="139" spans="2:16">
      <c r="B139" s="40" t="str">
        <f>IF(ISERR(casostestes[[#This Row],[ID]]),"-",casostestes[[#This Row],[ID]])</f>
        <v>-</v>
      </c>
      <c r="C139" s="34" t="str">
        <f>IFERROR(IF(VLOOKUP($B139,casostestes[#Data],10)=0,"Não",VLOOKUP($B139,casostestes[#Data],10)), "-")</f>
        <v>-</v>
      </c>
      <c r="D139" s="35" t="str">
        <f>IFERROR(IF(VLOOKUP($B139,casostestes[#Data],2)=0,"-",VLOOKUP($B139,casostestes[#Data],2)), "-")</f>
        <v>-</v>
      </c>
      <c r="E139" s="35" t="str">
        <f>IFERROR(IF(VLOOKUP($B139,casostestes[#Data],3)=0,"-",VLOOKUP($B139,casostestes[#Data],3)), "-")</f>
        <v>-</v>
      </c>
      <c r="F139" s="35" t="str">
        <f>IFERROR(IF(VLOOKUP($B139,casostestes[#Data],4)=0,"-",VLOOKUP($B139,casostestes[#Data],4)),"-")</f>
        <v>-</v>
      </c>
      <c r="G139" s="35" t="str">
        <f>IFERROR(IF(VLOOKUP($B139,casostestes[#Data],5)=0,"-",VLOOKUP($B139,casostestes[#Data],5)),"-")</f>
        <v>-</v>
      </c>
      <c r="H139" s="35" t="str">
        <f>IFERROR(IF(VLOOKUP($B139,casostestes[#Data],6)=0,"-",VLOOKUP($B139,casostestes[#Data],6)),"-")</f>
        <v>-</v>
      </c>
      <c r="I139" s="35" t="str">
        <f>IFERROR(IF(VLOOKUP($B139,casostestes[#Data],8)=0,"-",VLOOKUP($B139,casostestes[#Data],8)),"-")</f>
        <v>-</v>
      </c>
      <c r="J139" s="35" t="str">
        <f>IFERROR(IF(VLOOKUP($B139,casostestes[#Data],9)=0,"-",VLOOKUP($B139,casostestes[#Data],9)),"-")</f>
        <v>-</v>
      </c>
      <c r="K139" s="36"/>
      <c r="L139" s="45"/>
      <c r="M139" s="37"/>
      <c r="N139" s="38"/>
      <c r="O139" s="38"/>
      <c r="P139" s="39"/>
    </row>
    <row r="140" spans="2:16">
      <c r="B140" s="40" t="str">
        <f>IF(ISERR(casostestes[[#This Row],[ID]]),"-",casostestes[[#This Row],[ID]])</f>
        <v>-</v>
      </c>
      <c r="C140" s="34" t="str">
        <f>IFERROR(IF(VLOOKUP($B140,casostestes[#Data],10)=0,"Não",VLOOKUP($B140,casostestes[#Data],10)), "-")</f>
        <v>-</v>
      </c>
      <c r="D140" s="35" t="str">
        <f>IFERROR(IF(VLOOKUP($B140,casostestes[#Data],2)=0,"-",VLOOKUP($B140,casostestes[#Data],2)), "-")</f>
        <v>-</v>
      </c>
      <c r="E140" s="35" t="str">
        <f>IFERROR(IF(VLOOKUP($B140,casostestes[#Data],3)=0,"-",VLOOKUP($B140,casostestes[#Data],3)), "-")</f>
        <v>-</v>
      </c>
      <c r="F140" s="35" t="str">
        <f>IFERROR(IF(VLOOKUP($B140,casostestes[#Data],4)=0,"-",VLOOKUP($B140,casostestes[#Data],4)),"-")</f>
        <v>-</v>
      </c>
      <c r="G140" s="35" t="str">
        <f>IFERROR(IF(VLOOKUP($B140,casostestes[#Data],5)=0,"-",VLOOKUP($B140,casostestes[#Data],5)),"-")</f>
        <v>-</v>
      </c>
      <c r="H140" s="35" t="str">
        <f>IFERROR(IF(VLOOKUP($B140,casostestes[#Data],6)=0,"-",VLOOKUP($B140,casostestes[#Data],6)),"-")</f>
        <v>-</v>
      </c>
      <c r="I140" s="35" t="str">
        <f>IFERROR(IF(VLOOKUP($B140,casostestes[#Data],8)=0,"-",VLOOKUP($B140,casostestes[#Data],8)),"-")</f>
        <v>-</v>
      </c>
      <c r="J140" s="35" t="str">
        <f>IFERROR(IF(VLOOKUP($B140,casostestes[#Data],9)=0,"-",VLOOKUP($B140,casostestes[#Data],9)),"-")</f>
        <v>-</v>
      </c>
      <c r="K140" s="36"/>
      <c r="L140" s="45"/>
      <c r="M140" s="37"/>
      <c r="N140" s="38"/>
      <c r="O140" s="38"/>
      <c r="P140" s="39"/>
    </row>
    <row r="141" spans="2:16">
      <c r="B141" s="40" t="str">
        <f>IF(ISERR(casostestes[[#This Row],[ID]]),"-",casostestes[[#This Row],[ID]])</f>
        <v>-</v>
      </c>
      <c r="C141" s="34" t="str">
        <f>IFERROR(IF(VLOOKUP($B141,casostestes[#Data],10)=0,"Não",VLOOKUP($B141,casostestes[#Data],10)), "-")</f>
        <v>-</v>
      </c>
      <c r="D141" s="35" t="str">
        <f>IFERROR(IF(VLOOKUP($B141,casostestes[#Data],2)=0,"-",VLOOKUP($B141,casostestes[#Data],2)), "-")</f>
        <v>-</v>
      </c>
      <c r="E141" s="35" t="str">
        <f>IFERROR(IF(VLOOKUP($B141,casostestes[#Data],3)=0,"-",VLOOKUP($B141,casostestes[#Data],3)), "-")</f>
        <v>-</v>
      </c>
      <c r="F141" s="35" t="str">
        <f>IFERROR(IF(VLOOKUP($B141,casostestes[#Data],4)=0,"-",VLOOKUP($B141,casostestes[#Data],4)),"-")</f>
        <v>-</v>
      </c>
      <c r="G141" s="35" t="str">
        <f>IFERROR(IF(VLOOKUP($B141,casostestes[#Data],5)=0,"-",VLOOKUP($B141,casostestes[#Data],5)),"-")</f>
        <v>-</v>
      </c>
      <c r="H141" s="35" t="str">
        <f>IFERROR(IF(VLOOKUP($B141,casostestes[#Data],6)=0,"-",VLOOKUP($B141,casostestes[#Data],6)),"-")</f>
        <v>-</v>
      </c>
      <c r="I141" s="35" t="str">
        <f>IFERROR(IF(VLOOKUP($B141,casostestes[#Data],8)=0,"-",VLOOKUP($B141,casostestes[#Data],8)),"-")</f>
        <v>-</v>
      </c>
      <c r="J141" s="35" t="str">
        <f>IFERROR(IF(VLOOKUP($B141,casostestes[#Data],9)=0,"-",VLOOKUP($B141,casostestes[#Data],9)),"-")</f>
        <v>-</v>
      </c>
      <c r="K141" s="36"/>
      <c r="L141" s="45"/>
      <c r="M141" s="37"/>
      <c r="N141" s="38"/>
      <c r="O141" s="38"/>
      <c r="P141" s="39"/>
    </row>
    <row r="142" spans="2:16">
      <c r="B142" s="40" t="str">
        <f>IF(ISERR(casostestes[[#This Row],[ID]]),"-",casostestes[[#This Row],[ID]])</f>
        <v>-</v>
      </c>
      <c r="C142" s="34" t="str">
        <f>IFERROR(IF(VLOOKUP($B142,casostestes[#Data],10)=0,"Não",VLOOKUP($B142,casostestes[#Data],10)), "-")</f>
        <v>-</v>
      </c>
      <c r="D142" s="35" t="str">
        <f>IFERROR(IF(VLOOKUP($B142,casostestes[#Data],2)=0,"-",VLOOKUP($B142,casostestes[#Data],2)), "-")</f>
        <v>-</v>
      </c>
      <c r="E142" s="35" t="str">
        <f>IFERROR(IF(VLOOKUP($B142,casostestes[#Data],3)=0,"-",VLOOKUP($B142,casostestes[#Data],3)), "-")</f>
        <v>-</v>
      </c>
      <c r="F142" s="35" t="str">
        <f>IFERROR(IF(VLOOKUP($B142,casostestes[#Data],4)=0,"-",VLOOKUP($B142,casostestes[#Data],4)),"-")</f>
        <v>-</v>
      </c>
      <c r="G142" s="35" t="str">
        <f>IFERROR(IF(VLOOKUP($B142,casostestes[#Data],5)=0,"-",VLOOKUP($B142,casostestes[#Data],5)),"-")</f>
        <v>-</v>
      </c>
      <c r="H142" s="35" t="str">
        <f>IFERROR(IF(VLOOKUP($B142,casostestes[#Data],6)=0,"-",VLOOKUP($B142,casostestes[#Data],6)),"-")</f>
        <v>-</v>
      </c>
      <c r="I142" s="35" t="str">
        <f>IFERROR(IF(VLOOKUP($B142,casostestes[#Data],8)=0,"-",VLOOKUP($B142,casostestes[#Data],8)),"-")</f>
        <v>-</v>
      </c>
      <c r="J142" s="35" t="str">
        <f>IFERROR(IF(VLOOKUP($B142,casostestes[#Data],9)=0,"-",VLOOKUP($B142,casostestes[#Data],9)),"-")</f>
        <v>-</v>
      </c>
      <c r="K142" s="36"/>
      <c r="L142" s="45"/>
      <c r="M142" s="37"/>
      <c r="N142" s="38"/>
      <c r="O142" s="38"/>
      <c r="P142" s="39"/>
    </row>
    <row r="143" spans="2:16">
      <c r="B143" s="40" t="str">
        <f>IF(ISERR(casostestes[[#This Row],[ID]]),"-",casostestes[[#This Row],[ID]])</f>
        <v>-</v>
      </c>
      <c r="C143" s="34" t="str">
        <f>IFERROR(IF(VLOOKUP($B143,casostestes[#Data],10)=0,"Não",VLOOKUP($B143,casostestes[#Data],10)), "-")</f>
        <v>-</v>
      </c>
      <c r="D143" s="35" t="str">
        <f>IFERROR(IF(VLOOKUP($B143,casostestes[#Data],2)=0,"-",VLOOKUP($B143,casostestes[#Data],2)), "-")</f>
        <v>-</v>
      </c>
      <c r="E143" s="35" t="str">
        <f>IFERROR(IF(VLOOKUP($B143,casostestes[#Data],3)=0,"-",VLOOKUP($B143,casostestes[#Data],3)), "-")</f>
        <v>-</v>
      </c>
      <c r="F143" s="35" t="str">
        <f>IFERROR(IF(VLOOKUP($B143,casostestes[#Data],4)=0,"-",VLOOKUP($B143,casostestes[#Data],4)),"-")</f>
        <v>-</v>
      </c>
      <c r="G143" s="35" t="str">
        <f>IFERROR(IF(VLOOKUP($B143,casostestes[#Data],5)=0,"-",VLOOKUP($B143,casostestes[#Data],5)),"-")</f>
        <v>-</v>
      </c>
      <c r="H143" s="35" t="str">
        <f>IFERROR(IF(VLOOKUP($B143,casostestes[#Data],6)=0,"-",VLOOKUP($B143,casostestes[#Data],6)),"-")</f>
        <v>-</v>
      </c>
      <c r="I143" s="35" t="str">
        <f>IFERROR(IF(VLOOKUP($B143,casostestes[#Data],8)=0,"-",VLOOKUP($B143,casostestes[#Data],8)),"-")</f>
        <v>-</v>
      </c>
      <c r="J143" s="35" t="str">
        <f>IFERROR(IF(VLOOKUP($B143,casostestes[#Data],9)=0,"-",VLOOKUP($B143,casostestes[#Data],9)),"-")</f>
        <v>-</v>
      </c>
      <c r="K143" s="36"/>
      <c r="L143" s="45"/>
      <c r="M143" s="37"/>
      <c r="N143" s="38"/>
      <c r="O143" s="38"/>
      <c r="P143" s="39"/>
    </row>
    <row r="144" spans="2:16">
      <c r="B144" s="40" t="str">
        <f>IF(ISERR(casostestes[[#This Row],[ID]]),"-",casostestes[[#This Row],[ID]])</f>
        <v>-</v>
      </c>
      <c r="C144" s="34" t="str">
        <f>IFERROR(IF(VLOOKUP($B144,casostestes[#Data],10)=0,"Não",VLOOKUP($B144,casostestes[#Data],10)), "-")</f>
        <v>-</v>
      </c>
      <c r="D144" s="35" t="str">
        <f>IFERROR(IF(VLOOKUP($B144,casostestes[#Data],2)=0,"-",VLOOKUP($B144,casostestes[#Data],2)), "-")</f>
        <v>-</v>
      </c>
      <c r="E144" s="35" t="str">
        <f>IFERROR(IF(VLOOKUP($B144,casostestes[#Data],3)=0,"-",VLOOKUP($B144,casostestes[#Data],3)), "-")</f>
        <v>-</v>
      </c>
      <c r="F144" s="35" t="str">
        <f>IFERROR(IF(VLOOKUP($B144,casostestes[#Data],4)=0,"-",VLOOKUP($B144,casostestes[#Data],4)),"-")</f>
        <v>-</v>
      </c>
      <c r="G144" s="35" t="str">
        <f>IFERROR(IF(VLOOKUP($B144,casostestes[#Data],5)=0,"-",VLOOKUP($B144,casostestes[#Data],5)),"-")</f>
        <v>-</v>
      </c>
      <c r="H144" s="35" t="str">
        <f>IFERROR(IF(VLOOKUP($B144,casostestes[#Data],6)=0,"-",VLOOKUP($B144,casostestes[#Data],6)),"-")</f>
        <v>-</v>
      </c>
      <c r="I144" s="35" t="str">
        <f>IFERROR(IF(VLOOKUP($B144,casostestes[#Data],8)=0,"-",VLOOKUP($B144,casostestes[#Data],8)),"-")</f>
        <v>-</v>
      </c>
      <c r="J144" s="35" t="str">
        <f>IFERROR(IF(VLOOKUP($B144,casostestes[#Data],9)=0,"-",VLOOKUP($B144,casostestes[#Data],9)),"-")</f>
        <v>-</v>
      </c>
      <c r="K144" s="36"/>
      <c r="L144" s="45"/>
      <c r="M144" s="37"/>
      <c r="N144" s="38"/>
      <c r="O144" s="38"/>
      <c r="P144" s="39"/>
    </row>
    <row r="145" spans="2:16">
      <c r="B145" s="40" t="str">
        <f>IF(ISERR(casostestes[[#This Row],[ID]]),"-",casostestes[[#This Row],[ID]])</f>
        <v>-</v>
      </c>
      <c r="C145" s="34" t="str">
        <f>IFERROR(IF(VLOOKUP($B145,casostestes[#Data],10)=0,"Não",VLOOKUP($B145,casostestes[#Data],10)), "-")</f>
        <v>-</v>
      </c>
      <c r="D145" s="35" t="str">
        <f>IFERROR(IF(VLOOKUP($B145,casostestes[#Data],2)=0,"-",VLOOKUP($B145,casostestes[#Data],2)), "-")</f>
        <v>-</v>
      </c>
      <c r="E145" s="35" t="str">
        <f>IFERROR(IF(VLOOKUP($B145,casostestes[#Data],3)=0,"-",VLOOKUP($B145,casostestes[#Data],3)), "-")</f>
        <v>-</v>
      </c>
      <c r="F145" s="35" t="str">
        <f>IFERROR(IF(VLOOKUP($B145,casostestes[#Data],4)=0,"-",VLOOKUP($B145,casostestes[#Data],4)),"-")</f>
        <v>-</v>
      </c>
      <c r="G145" s="35" t="str">
        <f>IFERROR(IF(VLOOKUP($B145,casostestes[#Data],5)=0,"-",VLOOKUP($B145,casostestes[#Data],5)),"-")</f>
        <v>-</v>
      </c>
      <c r="H145" s="35" t="str">
        <f>IFERROR(IF(VLOOKUP($B145,casostestes[#Data],6)=0,"-",VLOOKUP($B145,casostestes[#Data],6)),"-")</f>
        <v>-</v>
      </c>
      <c r="I145" s="35" t="str">
        <f>IFERROR(IF(VLOOKUP($B145,casostestes[#Data],8)=0,"-",VLOOKUP($B145,casostestes[#Data],8)),"-")</f>
        <v>-</v>
      </c>
      <c r="J145" s="35" t="str">
        <f>IFERROR(IF(VLOOKUP($B145,casostestes[#Data],9)=0,"-",VLOOKUP($B145,casostestes[#Data],9)),"-")</f>
        <v>-</v>
      </c>
      <c r="K145" s="36"/>
      <c r="L145" s="45"/>
      <c r="M145" s="37"/>
      <c r="N145" s="38"/>
      <c r="O145" s="38"/>
      <c r="P145" s="39"/>
    </row>
    <row r="146" spans="2:16">
      <c r="B146" s="40" t="str">
        <f>IF(ISERR(casostestes[[#This Row],[ID]]),"-",casostestes[[#This Row],[ID]])</f>
        <v>-</v>
      </c>
      <c r="C146" s="34" t="str">
        <f>IFERROR(IF(VLOOKUP($B146,casostestes[#Data],10)=0,"Não",VLOOKUP($B146,casostestes[#Data],10)), "-")</f>
        <v>-</v>
      </c>
      <c r="D146" s="35" t="str">
        <f>IFERROR(IF(VLOOKUP($B146,casostestes[#Data],2)=0,"-",VLOOKUP($B146,casostestes[#Data],2)), "-")</f>
        <v>-</v>
      </c>
      <c r="E146" s="35" t="str">
        <f>IFERROR(IF(VLOOKUP($B146,casostestes[#Data],3)=0,"-",VLOOKUP($B146,casostestes[#Data],3)), "-")</f>
        <v>-</v>
      </c>
      <c r="F146" s="35" t="str">
        <f>IFERROR(IF(VLOOKUP($B146,casostestes[#Data],4)=0,"-",VLOOKUP($B146,casostestes[#Data],4)),"-")</f>
        <v>-</v>
      </c>
      <c r="G146" s="35" t="str">
        <f>IFERROR(IF(VLOOKUP($B146,casostestes[#Data],5)=0,"-",VLOOKUP($B146,casostestes[#Data],5)),"-")</f>
        <v>-</v>
      </c>
      <c r="H146" s="35" t="str">
        <f>IFERROR(IF(VLOOKUP($B146,casostestes[#Data],6)=0,"-",VLOOKUP($B146,casostestes[#Data],6)),"-")</f>
        <v>-</v>
      </c>
      <c r="I146" s="35" t="str">
        <f>IFERROR(IF(VLOOKUP($B146,casostestes[#Data],8)=0,"-",VLOOKUP($B146,casostestes[#Data],8)),"-")</f>
        <v>-</v>
      </c>
      <c r="J146" s="35" t="str">
        <f>IFERROR(IF(VLOOKUP($B146,casostestes[#Data],9)=0,"-",VLOOKUP($B146,casostestes[#Data],9)),"-")</f>
        <v>-</v>
      </c>
      <c r="K146" s="36"/>
      <c r="L146" s="45"/>
      <c r="M146" s="37"/>
      <c r="N146" s="38"/>
      <c r="O146" s="38"/>
      <c r="P146" s="39"/>
    </row>
    <row r="147" spans="2:16">
      <c r="B147" s="40" t="str">
        <f>IF(ISERR(casostestes[[#This Row],[ID]]),"-",casostestes[[#This Row],[ID]])</f>
        <v>-</v>
      </c>
      <c r="C147" s="34" t="str">
        <f>IFERROR(IF(VLOOKUP($B147,casostestes[#Data],10)=0,"Não",VLOOKUP($B147,casostestes[#Data],10)), "-")</f>
        <v>-</v>
      </c>
      <c r="D147" s="35" t="str">
        <f>IFERROR(IF(VLOOKUP($B147,casostestes[#Data],2)=0,"-",VLOOKUP($B147,casostestes[#Data],2)), "-")</f>
        <v>-</v>
      </c>
      <c r="E147" s="35" t="str">
        <f>IFERROR(IF(VLOOKUP($B147,casostestes[#Data],3)=0,"-",VLOOKUP($B147,casostestes[#Data],3)), "-")</f>
        <v>-</v>
      </c>
      <c r="F147" s="35" t="str">
        <f>IFERROR(IF(VLOOKUP($B147,casostestes[#Data],4)=0,"-",VLOOKUP($B147,casostestes[#Data],4)),"-")</f>
        <v>-</v>
      </c>
      <c r="G147" s="35" t="str">
        <f>IFERROR(IF(VLOOKUP($B147,casostestes[#Data],5)=0,"-",VLOOKUP($B147,casostestes[#Data],5)),"-")</f>
        <v>-</v>
      </c>
      <c r="H147" s="35" t="str">
        <f>IFERROR(IF(VLOOKUP($B147,casostestes[#Data],6)=0,"-",VLOOKUP($B147,casostestes[#Data],6)),"-")</f>
        <v>-</v>
      </c>
      <c r="I147" s="35" t="str">
        <f>IFERROR(IF(VLOOKUP($B147,casostestes[#Data],8)=0,"-",VLOOKUP($B147,casostestes[#Data],8)),"-")</f>
        <v>-</v>
      </c>
      <c r="J147" s="35" t="str">
        <f>IFERROR(IF(VLOOKUP($B147,casostestes[#Data],9)=0,"-",VLOOKUP($B147,casostestes[#Data],9)),"-")</f>
        <v>-</v>
      </c>
      <c r="K147" s="36"/>
      <c r="L147" s="45"/>
      <c r="M147" s="37"/>
      <c r="N147" s="38"/>
      <c r="O147" s="38"/>
      <c r="P147" s="39"/>
    </row>
    <row r="148" spans="2:16">
      <c r="B148" s="40" t="str">
        <f>IF(ISERR(casostestes[[#This Row],[ID]]),"-",casostestes[[#This Row],[ID]])</f>
        <v>-</v>
      </c>
      <c r="C148" s="34" t="str">
        <f>IFERROR(IF(VLOOKUP($B148,casostestes[#Data],10)=0,"Não",VLOOKUP($B148,casostestes[#Data],10)), "-")</f>
        <v>-</v>
      </c>
      <c r="D148" s="35" t="str">
        <f>IFERROR(IF(VLOOKUP($B148,casostestes[#Data],2)=0,"-",VLOOKUP($B148,casostestes[#Data],2)), "-")</f>
        <v>-</v>
      </c>
      <c r="E148" s="35" t="str">
        <f>IFERROR(IF(VLOOKUP($B148,casostestes[#Data],3)=0,"-",VLOOKUP($B148,casostestes[#Data],3)), "-")</f>
        <v>-</v>
      </c>
      <c r="F148" s="35" t="str">
        <f>IFERROR(IF(VLOOKUP($B148,casostestes[#Data],4)=0,"-",VLOOKUP($B148,casostestes[#Data],4)),"-")</f>
        <v>-</v>
      </c>
      <c r="G148" s="35" t="str">
        <f>IFERROR(IF(VLOOKUP($B148,casostestes[#Data],5)=0,"-",VLOOKUP($B148,casostestes[#Data],5)),"-")</f>
        <v>-</v>
      </c>
      <c r="H148" s="35" t="str">
        <f>IFERROR(IF(VLOOKUP($B148,casostestes[#Data],6)=0,"-",VLOOKUP($B148,casostestes[#Data],6)),"-")</f>
        <v>-</v>
      </c>
      <c r="I148" s="35" t="str">
        <f>IFERROR(IF(VLOOKUP($B148,casostestes[#Data],8)=0,"-",VLOOKUP($B148,casostestes[#Data],8)),"-")</f>
        <v>-</v>
      </c>
      <c r="J148" s="35" t="str">
        <f>IFERROR(IF(VLOOKUP($B148,casostestes[#Data],9)=0,"-",VLOOKUP($B148,casostestes[#Data],9)),"-")</f>
        <v>-</v>
      </c>
      <c r="K148" s="36"/>
      <c r="L148" s="45"/>
      <c r="M148" s="37"/>
      <c r="N148" s="38"/>
      <c r="O148" s="38"/>
      <c r="P148" s="39"/>
    </row>
    <row r="149" spans="2:16">
      <c r="B149" s="40" t="str">
        <f>IF(ISERR(casostestes[[#This Row],[ID]]),"-",casostestes[[#This Row],[ID]])</f>
        <v>-</v>
      </c>
      <c r="C149" s="34" t="str">
        <f>IFERROR(IF(VLOOKUP($B149,casostestes[#Data],10)=0,"Não",VLOOKUP($B149,casostestes[#Data],10)), "-")</f>
        <v>-</v>
      </c>
      <c r="D149" s="35" t="str">
        <f>IFERROR(IF(VLOOKUP($B149,casostestes[#Data],2)=0,"-",VLOOKUP($B149,casostestes[#Data],2)), "-")</f>
        <v>-</v>
      </c>
      <c r="E149" s="35" t="str">
        <f>IFERROR(IF(VLOOKUP($B149,casostestes[#Data],3)=0,"-",VLOOKUP($B149,casostestes[#Data],3)), "-")</f>
        <v>-</v>
      </c>
      <c r="F149" s="35" t="str">
        <f>IFERROR(IF(VLOOKUP($B149,casostestes[#Data],4)=0,"-",VLOOKUP($B149,casostestes[#Data],4)),"-")</f>
        <v>-</v>
      </c>
      <c r="G149" s="35" t="str">
        <f>IFERROR(IF(VLOOKUP($B149,casostestes[#Data],5)=0,"-",VLOOKUP($B149,casostestes[#Data],5)),"-")</f>
        <v>-</v>
      </c>
      <c r="H149" s="35" t="str">
        <f>IFERROR(IF(VLOOKUP($B149,casostestes[#Data],6)=0,"-",VLOOKUP($B149,casostestes[#Data],6)),"-")</f>
        <v>-</v>
      </c>
      <c r="I149" s="35" t="str">
        <f>IFERROR(IF(VLOOKUP($B149,casostestes[#Data],8)=0,"-",VLOOKUP($B149,casostestes[#Data],8)),"-")</f>
        <v>-</v>
      </c>
      <c r="J149" s="35" t="str">
        <f>IFERROR(IF(VLOOKUP($B149,casostestes[#Data],9)=0,"-",VLOOKUP($B149,casostestes[#Data],9)),"-")</f>
        <v>-</v>
      </c>
      <c r="K149" s="36"/>
      <c r="L149" s="45"/>
      <c r="M149" s="37"/>
      <c r="N149" s="38"/>
      <c r="O149" s="38"/>
      <c r="P149" s="39"/>
    </row>
    <row r="150" spans="2:16">
      <c r="B150" s="40" t="str">
        <f>IF(ISERR(casostestes[[#This Row],[ID]]),"-",casostestes[[#This Row],[ID]])</f>
        <v>-</v>
      </c>
      <c r="C150" s="34" t="str">
        <f>IFERROR(IF(VLOOKUP($B150,casostestes[#Data],10)=0,"Não",VLOOKUP($B150,casostestes[#Data],10)), "-")</f>
        <v>-</v>
      </c>
      <c r="D150" s="35" t="str">
        <f>IFERROR(IF(VLOOKUP($B150,casostestes[#Data],2)=0,"-",VLOOKUP($B150,casostestes[#Data],2)), "-")</f>
        <v>-</v>
      </c>
      <c r="E150" s="35" t="str">
        <f>IFERROR(IF(VLOOKUP($B150,casostestes[#Data],3)=0,"-",VLOOKUP($B150,casostestes[#Data],3)), "-")</f>
        <v>-</v>
      </c>
      <c r="F150" s="35" t="str">
        <f>IFERROR(IF(VLOOKUP($B150,casostestes[#Data],4)=0,"-",VLOOKUP($B150,casostestes[#Data],4)),"-")</f>
        <v>-</v>
      </c>
      <c r="G150" s="35" t="str">
        <f>IFERROR(IF(VLOOKUP($B150,casostestes[#Data],5)=0,"-",VLOOKUP($B150,casostestes[#Data],5)),"-")</f>
        <v>-</v>
      </c>
      <c r="H150" s="35" t="str">
        <f>IFERROR(IF(VLOOKUP($B150,casostestes[#Data],6)=0,"-",VLOOKUP($B150,casostestes[#Data],6)),"-")</f>
        <v>-</v>
      </c>
      <c r="I150" s="35" t="str">
        <f>IFERROR(IF(VLOOKUP($B150,casostestes[#Data],8)=0,"-",VLOOKUP($B150,casostestes[#Data],8)),"-")</f>
        <v>-</v>
      </c>
      <c r="J150" s="35" t="str">
        <f>IFERROR(IF(VLOOKUP($B150,casostestes[#Data],9)=0,"-",VLOOKUP($B150,casostestes[#Data],9)),"-")</f>
        <v>-</v>
      </c>
      <c r="K150" s="36"/>
      <c r="L150" s="45"/>
      <c r="M150" s="37"/>
      <c r="N150" s="38"/>
      <c r="O150" s="38"/>
      <c r="P150" s="39"/>
    </row>
    <row r="151" spans="2:16">
      <c r="B151" s="40" t="str">
        <f>IF(ISERR(casostestes[[#This Row],[ID]]),"-",casostestes[[#This Row],[ID]])</f>
        <v>-</v>
      </c>
      <c r="C151" s="34" t="str">
        <f>IFERROR(IF(VLOOKUP($B151,casostestes[#Data],10)=0,"Não",VLOOKUP($B151,casostestes[#Data],10)), "-")</f>
        <v>-</v>
      </c>
      <c r="D151" s="35" t="str">
        <f>IFERROR(IF(VLOOKUP($B151,casostestes[#Data],2)=0,"-",VLOOKUP($B151,casostestes[#Data],2)), "-")</f>
        <v>-</v>
      </c>
      <c r="E151" s="35" t="str">
        <f>IFERROR(IF(VLOOKUP($B151,casostestes[#Data],3)=0,"-",VLOOKUP($B151,casostestes[#Data],3)), "-")</f>
        <v>-</v>
      </c>
      <c r="F151" s="35" t="str">
        <f>IFERROR(IF(VLOOKUP($B151,casostestes[#Data],4)=0,"-",VLOOKUP($B151,casostestes[#Data],4)),"-")</f>
        <v>-</v>
      </c>
      <c r="G151" s="35" t="str">
        <f>IFERROR(IF(VLOOKUP($B151,casostestes[#Data],5)=0,"-",VLOOKUP($B151,casostestes[#Data],5)),"-")</f>
        <v>-</v>
      </c>
      <c r="H151" s="35" t="str">
        <f>IFERROR(IF(VLOOKUP($B151,casostestes[#Data],6)=0,"-",VLOOKUP($B151,casostestes[#Data],6)),"-")</f>
        <v>-</v>
      </c>
      <c r="I151" s="35" t="str">
        <f>IFERROR(IF(VLOOKUP($B151,casostestes[#Data],8)=0,"-",VLOOKUP($B151,casostestes[#Data],8)),"-")</f>
        <v>-</v>
      </c>
      <c r="J151" s="35" t="str">
        <f>IFERROR(IF(VLOOKUP($B151,casostestes[#Data],9)=0,"-",VLOOKUP($B151,casostestes[#Data],9)),"-")</f>
        <v>-</v>
      </c>
      <c r="K151" s="36"/>
      <c r="L151" s="45"/>
      <c r="M151" s="37"/>
      <c r="N151" s="38"/>
      <c r="O151" s="38"/>
      <c r="P151" s="39"/>
    </row>
    <row r="152" spans="2:16">
      <c r="B152" s="40" t="str">
        <f>IF(ISERR(casostestes[[#This Row],[ID]]),"-",casostestes[[#This Row],[ID]])</f>
        <v>-</v>
      </c>
      <c r="C152" s="34" t="str">
        <f>IFERROR(IF(VLOOKUP($B152,casostestes[#Data],10)=0,"Não",VLOOKUP($B152,casostestes[#Data],10)), "-")</f>
        <v>-</v>
      </c>
      <c r="D152" s="35" t="str">
        <f>IFERROR(IF(VLOOKUP($B152,casostestes[#Data],2)=0,"-",VLOOKUP($B152,casostestes[#Data],2)), "-")</f>
        <v>-</v>
      </c>
      <c r="E152" s="35" t="str">
        <f>IFERROR(IF(VLOOKUP($B152,casostestes[#Data],3)=0,"-",VLOOKUP($B152,casostestes[#Data],3)), "-")</f>
        <v>-</v>
      </c>
      <c r="F152" s="35" t="str">
        <f>IFERROR(IF(VLOOKUP($B152,casostestes[#Data],4)=0,"-",VLOOKUP($B152,casostestes[#Data],4)),"-")</f>
        <v>-</v>
      </c>
      <c r="G152" s="35" t="str">
        <f>IFERROR(IF(VLOOKUP($B152,casostestes[#Data],5)=0,"-",VLOOKUP($B152,casostestes[#Data],5)),"-")</f>
        <v>-</v>
      </c>
      <c r="H152" s="35" t="str">
        <f>IFERROR(IF(VLOOKUP($B152,casostestes[#Data],6)=0,"-",VLOOKUP($B152,casostestes[#Data],6)),"-")</f>
        <v>-</v>
      </c>
      <c r="I152" s="35" t="str">
        <f>IFERROR(IF(VLOOKUP($B152,casostestes[#Data],8)=0,"-",VLOOKUP($B152,casostestes[#Data],8)),"-")</f>
        <v>-</v>
      </c>
      <c r="J152" s="35" t="str">
        <f>IFERROR(IF(VLOOKUP($B152,casostestes[#Data],9)=0,"-",VLOOKUP($B152,casostestes[#Data],9)),"-")</f>
        <v>-</v>
      </c>
      <c r="K152" s="36"/>
      <c r="L152" s="45"/>
      <c r="M152" s="37"/>
      <c r="N152" s="38"/>
      <c r="O152" s="38"/>
      <c r="P152" s="39"/>
    </row>
    <row r="153" spans="2:16">
      <c r="B153" s="40" t="str">
        <f>IF(ISERR(casostestes[[#This Row],[ID]]),"-",casostestes[[#This Row],[ID]])</f>
        <v>-</v>
      </c>
      <c r="C153" s="34" t="str">
        <f>IFERROR(IF(VLOOKUP($B153,casostestes[#Data],10)=0,"Não",VLOOKUP($B153,casostestes[#Data],10)), "-")</f>
        <v>-</v>
      </c>
      <c r="D153" s="35" t="str">
        <f>IFERROR(IF(VLOOKUP($B153,casostestes[#Data],2)=0,"-",VLOOKUP($B153,casostestes[#Data],2)), "-")</f>
        <v>-</v>
      </c>
      <c r="E153" s="35" t="str">
        <f>IFERROR(IF(VLOOKUP($B153,casostestes[#Data],3)=0,"-",VLOOKUP($B153,casostestes[#Data],3)), "-")</f>
        <v>-</v>
      </c>
      <c r="F153" s="35" t="str">
        <f>IFERROR(IF(VLOOKUP($B153,casostestes[#Data],4)=0,"-",VLOOKUP($B153,casostestes[#Data],4)),"-")</f>
        <v>-</v>
      </c>
      <c r="G153" s="35" t="str">
        <f>IFERROR(IF(VLOOKUP($B153,casostestes[#Data],5)=0,"-",VLOOKUP($B153,casostestes[#Data],5)),"-")</f>
        <v>-</v>
      </c>
      <c r="H153" s="35" t="str">
        <f>IFERROR(IF(VLOOKUP($B153,casostestes[#Data],6)=0,"-",VLOOKUP($B153,casostestes[#Data],6)),"-")</f>
        <v>-</v>
      </c>
      <c r="I153" s="35" t="str">
        <f>IFERROR(IF(VLOOKUP($B153,casostestes[#Data],8)=0,"-",VLOOKUP($B153,casostestes[#Data],8)),"-")</f>
        <v>-</v>
      </c>
      <c r="J153" s="35" t="str">
        <f>IFERROR(IF(VLOOKUP($B153,casostestes[#Data],9)=0,"-",VLOOKUP($B153,casostestes[#Data],9)),"-")</f>
        <v>-</v>
      </c>
      <c r="K153" s="36"/>
      <c r="L153" s="45"/>
      <c r="M153" s="37"/>
      <c r="N153" s="38"/>
      <c r="O153" s="38"/>
      <c r="P153" s="39"/>
    </row>
    <row r="154" spans="2:16">
      <c r="B154" s="40" t="str">
        <f>IF(ISERR(casostestes[[#This Row],[ID]]),"-",casostestes[[#This Row],[ID]])</f>
        <v>-</v>
      </c>
      <c r="C154" s="34" t="str">
        <f>IFERROR(IF(VLOOKUP($B154,casostestes[#Data],10)=0,"Não",VLOOKUP($B154,casostestes[#Data],10)), "-")</f>
        <v>-</v>
      </c>
      <c r="D154" s="35" t="str">
        <f>IFERROR(IF(VLOOKUP($B154,casostestes[#Data],2)=0,"-",VLOOKUP($B154,casostestes[#Data],2)), "-")</f>
        <v>-</v>
      </c>
      <c r="E154" s="35" t="str">
        <f>IFERROR(IF(VLOOKUP($B154,casostestes[#Data],3)=0,"-",VLOOKUP($B154,casostestes[#Data],3)), "-")</f>
        <v>-</v>
      </c>
      <c r="F154" s="35" t="str">
        <f>IFERROR(IF(VLOOKUP($B154,casostestes[#Data],4)=0,"-",VLOOKUP($B154,casostestes[#Data],4)),"-")</f>
        <v>-</v>
      </c>
      <c r="G154" s="35" t="str">
        <f>IFERROR(IF(VLOOKUP($B154,casostestes[#Data],5)=0,"-",VLOOKUP($B154,casostestes[#Data],5)),"-")</f>
        <v>-</v>
      </c>
      <c r="H154" s="35" t="str">
        <f>IFERROR(IF(VLOOKUP($B154,casostestes[#Data],6)=0,"-",VLOOKUP($B154,casostestes[#Data],6)),"-")</f>
        <v>-</v>
      </c>
      <c r="I154" s="35" t="str">
        <f>IFERROR(IF(VLOOKUP($B154,casostestes[#Data],8)=0,"-",VLOOKUP($B154,casostestes[#Data],8)),"-")</f>
        <v>-</v>
      </c>
      <c r="J154" s="35" t="str">
        <f>IFERROR(IF(VLOOKUP($B154,casostestes[#Data],9)=0,"-",VLOOKUP($B154,casostestes[#Data],9)),"-")</f>
        <v>-</v>
      </c>
      <c r="K154" s="36"/>
      <c r="L154" s="45"/>
      <c r="M154" s="37"/>
      <c r="N154" s="38"/>
      <c r="O154" s="38"/>
      <c r="P154" s="39"/>
    </row>
    <row r="155" spans="2:16">
      <c r="B155" s="40" t="str">
        <f>IF(ISERR(casostestes[[#This Row],[ID]]),"-",casostestes[[#This Row],[ID]])</f>
        <v>-</v>
      </c>
      <c r="C155" s="34" t="str">
        <f>IFERROR(IF(VLOOKUP($B155,casostestes[#Data],10)=0,"Não",VLOOKUP($B155,casostestes[#Data],10)), "-")</f>
        <v>-</v>
      </c>
      <c r="D155" s="35" t="str">
        <f>IFERROR(IF(VLOOKUP($B155,casostestes[#Data],2)=0,"-",VLOOKUP($B155,casostestes[#Data],2)), "-")</f>
        <v>-</v>
      </c>
      <c r="E155" s="35" t="str">
        <f>IFERROR(IF(VLOOKUP($B155,casostestes[#Data],3)=0,"-",VLOOKUP($B155,casostestes[#Data],3)), "-")</f>
        <v>-</v>
      </c>
      <c r="F155" s="35" t="str">
        <f>IFERROR(IF(VLOOKUP($B155,casostestes[#Data],4)=0,"-",VLOOKUP($B155,casostestes[#Data],4)),"-")</f>
        <v>-</v>
      </c>
      <c r="G155" s="35" t="str">
        <f>IFERROR(IF(VLOOKUP($B155,casostestes[#Data],5)=0,"-",VLOOKUP($B155,casostestes[#Data],5)),"-")</f>
        <v>-</v>
      </c>
      <c r="H155" s="35" t="str">
        <f>IFERROR(IF(VLOOKUP($B155,casostestes[#Data],6)=0,"-",VLOOKUP($B155,casostestes[#Data],6)),"-")</f>
        <v>-</v>
      </c>
      <c r="I155" s="35" t="str">
        <f>IFERROR(IF(VLOOKUP($B155,casostestes[#Data],8)=0,"-",VLOOKUP($B155,casostestes[#Data],8)),"-")</f>
        <v>-</v>
      </c>
      <c r="J155" s="35" t="str">
        <f>IFERROR(IF(VLOOKUP($B155,casostestes[#Data],9)=0,"-",VLOOKUP($B155,casostestes[#Data],9)),"-")</f>
        <v>-</v>
      </c>
      <c r="K155" s="36"/>
      <c r="L155" s="45"/>
      <c r="M155" s="37"/>
      <c r="N155" s="38"/>
      <c r="O155" s="38"/>
      <c r="P155" s="39"/>
    </row>
    <row r="156" spans="2:16">
      <c r="B156" s="40" t="str">
        <f>IF(ISERR(casostestes[[#This Row],[ID]]),"-",casostestes[[#This Row],[ID]])</f>
        <v>-</v>
      </c>
      <c r="C156" s="34" t="str">
        <f>IFERROR(IF(VLOOKUP($B156,casostestes[#Data],10)=0,"Não",VLOOKUP($B156,casostestes[#Data],10)), "-")</f>
        <v>-</v>
      </c>
      <c r="D156" s="35" t="str">
        <f>IFERROR(IF(VLOOKUP($B156,casostestes[#Data],2)=0,"-",VLOOKUP($B156,casostestes[#Data],2)), "-")</f>
        <v>-</v>
      </c>
      <c r="E156" s="35" t="str">
        <f>IFERROR(IF(VLOOKUP($B156,casostestes[#Data],3)=0,"-",VLOOKUP($B156,casostestes[#Data],3)), "-")</f>
        <v>-</v>
      </c>
      <c r="F156" s="35" t="str">
        <f>IFERROR(IF(VLOOKUP($B156,casostestes[#Data],4)=0,"-",VLOOKUP($B156,casostestes[#Data],4)),"-")</f>
        <v>-</v>
      </c>
      <c r="G156" s="35" t="str">
        <f>IFERROR(IF(VLOOKUP($B156,casostestes[#Data],5)=0,"-",VLOOKUP($B156,casostestes[#Data],5)),"-")</f>
        <v>-</v>
      </c>
      <c r="H156" s="35" t="str">
        <f>IFERROR(IF(VLOOKUP($B156,casostestes[#Data],6)=0,"-",VLOOKUP($B156,casostestes[#Data],6)),"-")</f>
        <v>-</v>
      </c>
      <c r="I156" s="35" t="str">
        <f>IFERROR(IF(VLOOKUP($B156,casostestes[#Data],8)=0,"-",VLOOKUP($B156,casostestes[#Data],8)),"-")</f>
        <v>-</v>
      </c>
      <c r="J156" s="35" t="str">
        <f>IFERROR(IF(VLOOKUP($B156,casostestes[#Data],9)=0,"-",VLOOKUP($B156,casostestes[#Data],9)),"-")</f>
        <v>-</v>
      </c>
      <c r="K156" s="36"/>
      <c r="L156" s="45"/>
      <c r="M156" s="37"/>
      <c r="N156" s="38"/>
      <c r="O156" s="38"/>
      <c r="P156" s="39"/>
    </row>
    <row r="157" spans="2:16">
      <c r="B157" s="40" t="str">
        <f>IF(ISERR(casostestes[[#This Row],[ID]]),"-",casostestes[[#This Row],[ID]])</f>
        <v>-</v>
      </c>
      <c r="C157" s="34" t="str">
        <f>IFERROR(IF(VLOOKUP($B157,casostestes[#Data],10)=0,"Não",VLOOKUP($B157,casostestes[#Data],10)), "-")</f>
        <v>-</v>
      </c>
      <c r="D157" s="35" t="str">
        <f>IFERROR(IF(VLOOKUP($B157,casostestes[#Data],2)=0,"-",VLOOKUP($B157,casostestes[#Data],2)), "-")</f>
        <v>-</v>
      </c>
      <c r="E157" s="35" t="str">
        <f>IFERROR(IF(VLOOKUP($B157,casostestes[#Data],3)=0,"-",VLOOKUP($B157,casostestes[#Data],3)), "-")</f>
        <v>-</v>
      </c>
      <c r="F157" s="35" t="str">
        <f>IFERROR(IF(VLOOKUP($B157,casostestes[#Data],4)=0,"-",VLOOKUP($B157,casostestes[#Data],4)),"-")</f>
        <v>-</v>
      </c>
      <c r="G157" s="35" t="str">
        <f>IFERROR(IF(VLOOKUP($B157,casostestes[#Data],5)=0,"-",VLOOKUP($B157,casostestes[#Data],5)),"-")</f>
        <v>-</v>
      </c>
      <c r="H157" s="35" t="str">
        <f>IFERROR(IF(VLOOKUP($B157,casostestes[#Data],6)=0,"-",VLOOKUP($B157,casostestes[#Data],6)),"-")</f>
        <v>-</v>
      </c>
      <c r="I157" s="35" t="str">
        <f>IFERROR(IF(VLOOKUP($B157,casostestes[#Data],8)=0,"-",VLOOKUP($B157,casostestes[#Data],8)),"-")</f>
        <v>-</v>
      </c>
      <c r="J157" s="35" t="str">
        <f>IFERROR(IF(VLOOKUP($B157,casostestes[#Data],9)=0,"-",VLOOKUP($B157,casostestes[#Data],9)),"-")</f>
        <v>-</v>
      </c>
      <c r="K157" s="36"/>
      <c r="L157" s="45"/>
      <c r="M157" s="37"/>
      <c r="N157" s="38"/>
      <c r="O157" s="38"/>
      <c r="P157" s="39"/>
    </row>
    <row r="158" spans="2:16">
      <c r="B158" s="40" t="str">
        <f>IF(ISERR(casostestes[[#This Row],[ID]]),"-",casostestes[[#This Row],[ID]])</f>
        <v>-</v>
      </c>
      <c r="C158" s="34" t="str">
        <f>IFERROR(IF(VLOOKUP($B158,casostestes[#Data],10)=0,"Não",VLOOKUP($B158,casostestes[#Data],10)), "-")</f>
        <v>-</v>
      </c>
      <c r="D158" s="35" t="str">
        <f>IFERROR(IF(VLOOKUP($B158,casostestes[#Data],2)=0,"-",VLOOKUP($B158,casostestes[#Data],2)), "-")</f>
        <v>-</v>
      </c>
      <c r="E158" s="35" t="str">
        <f>IFERROR(IF(VLOOKUP($B158,casostestes[#Data],3)=0,"-",VLOOKUP($B158,casostestes[#Data],3)), "-")</f>
        <v>-</v>
      </c>
      <c r="F158" s="35" t="str">
        <f>IFERROR(IF(VLOOKUP($B158,casostestes[#Data],4)=0,"-",VLOOKUP($B158,casostestes[#Data],4)),"-")</f>
        <v>-</v>
      </c>
      <c r="G158" s="35" t="str">
        <f>IFERROR(IF(VLOOKUP($B158,casostestes[#Data],5)=0,"-",VLOOKUP($B158,casostestes[#Data],5)),"-")</f>
        <v>-</v>
      </c>
      <c r="H158" s="35" t="str">
        <f>IFERROR(IF(VLOOKUP($B158,casostestes[#Data],6)=0,"-",VLOOKUP($B158,casostestes[#Data],6)),"-")</f>
        <v>-</v>
      </c>
      <c r="I158" s="35" t="str">
        <f>IFERROR(IF(VLOOKUP($B158,casostestes[#Data],8)=0,"-",VLOOKUP($B158,casostestes[#Data],8)),"-")</f>
        <v>-</v>
      </c>
      <c r="J158" s="35" t="str">
        <f>IFERROR(IF(VLOOKUP($B158,casostestes[#Data],9)=0,"-",VLOOKUP($B158,casostestes[#Data],9)),"-")</f>
        <v>-</v>
      </c>
      <c r="K158" s="36"/>
      <c r="L158" s="45"/>
      <c r="M158" s="37"/>
      <c r="N158" s="38"/>
      <c r="O158" s="38"/>
      <c r="P158" s="39"/>
    </row>
    <row r="159" spans="2:16">
      <c r="B159" s="40" t="str">
        <f>IF(ISERR(casostestes[[#This Row],[ID]]),"-",casostestes[[#This Row],[ID]])</f>
        <v>-</v>
      </c>
      <c r="C159" s="34" t="str">
        <f>IFERROR(IF(VLOOKUP($B159,casostestes[#Data],10)=0,"Não",VLOOKUP($B159,casostestes[#Data],10)), "-")</f>
        <v>-</v>
      </c>
      <c r="D159" s="35" t="str">
        <f>IFERROR(IF(VLOOKUP($B159,casostestes[#Data],2)=0,"-",VLOOKUP($B159,casostestes[#Data],2)), "-")</f>
        <v>-</v>
      </c>
      <c r="E159" s="35" t="str">
        <f>IFERROR(IF(VLOOKUP($B159,casostestes[#Data],3)=0,"-",VLOOKUP($B159,casostestes[#Data],3)), "-")</f>
        <v>-</v>
      </c>
      <c r="F159" s="35" t="str">
        <f>IFERROR(IF(VLOOKUP($B159,casostestes[#Data],4)=0,"-",VLOOKUP($B159,casostestes[#Data],4)),"-")</f>
        <v>-</v>
      </c>
      <c r="G159" s="35" t="str">
        <f>IFERROR(IF(VLOOKUP($B159,casostestes[#Data],5)=0,"-",VLOOKUP($B159,casostestes[#Data],5)),"-")</f>
        <v>-</v>
      </c>
      <c r="H159" s="35" t="str">
        <f>IFERROR(IF(VLOOKUP($B159,casostestes[#Data],6)=0,"-",VLOOKUP($B159,casostestes[#Data],6)),"-")</f>
        <v>-</v>
      </c>
      <c r="I159" s="35" t="str">
        <f>IFERROR(IF(VLOOKUP($B159,casostestes[#Data],8)=0,"-",VLOOKUP($B159,casostestes[#Data],8)),"-")</f>
        <v>-</v>
      </c>
      <c r="J159" s="35" t="str">
        <f>IFERROR(IF(VLOOKUP($B159,casostestes[#Data],9)=0,"-",VLOOKUP($B159,casostestes[#Data],9)),"-")</f>
        <v>-</v>
      </c>
      <c r="K159" s="36"/>
      <c r="L159" s="45"/>
      <c r="M159" s="37"/>
      <c r="N159" s="38"/>
      <c r="O159" s="38"/>
      <c r="P159" s="39"/>
    </row>
    <row r="160" spans="2:16">
      <c r="B160" s="40" t="str">
        <f>IF(ISERR(casostestes[[#This Row],[ID]]),"-",casostestes[[#This Row],[ID]])</f>
        <v>-</v>
      </c>
      <c r="C160" s="34" t="str">
        <f>IFERROR(IF(VLOOKUP($B160,casostestes[#Data],10)=0,"Não",VLOOKUP($B160,casostestes[#Data],10)), "-")</f>
        <v>-</v>
      </c>
      <c r="D160" s="35" t="str">
        <f>IFERROR(IF(VLOOKUP($B160,casostestes[#Data],2)=0,"-",VLOOKUP($B160,casostestes[#Data],2)), "-")</f>
        <v>-</v>
      </c>
      <c r="E160" s="35" t="str">
        <f>IFERROR(IF(VLOOKUP($B160,casostestes[#Data],3)=0,"-",VLOOKUP($B160,casostestes[#Data],3)), "-")</f>
        <v>-</v>
      </c>
      <c r="F160" s="35" t="str">
        <f>IFERROR(IF(VLOOKUP($B160,casostestes[#Data],4)=0,"-",VLOOKUP($B160,casostestes[#Data],4)),"-")</f>
        <v>-</v>
      </c>
      <c r="G160" s="35" t="str">
        <f>IFERROR(IF(VLOOKUP($B160,casostestes[#Data],5)=0,"-",VLOOKUP($B160,casostestes[#Data],5)),"-")</f>
        <v>-</v>
      </c>
      <c r="H160" s="35" t="str">
        <f>IFERROR(IF(VLOOKUP($B160,casostestes[#Data],6)=0,"-",VLOOKUP($B160,casostestes[#Data],6)),"-")</f>
        <v>-</v>
      </c>
      <c r="I160" s="35" t="str">
        <f>IFERROR(IF(VLOOKUP($B160,casostestes[#Data],8)=0,"-",VLOOKUP($B160,casostestes[#Data],8)),"-")</f>
        <v>-</v>
      </c>
      <c r="J160" s="35" t="str">
        <f>IFERROR(IF(VLOOKUP($B160,casostestes[#Data],9)=0,"-",VLOOKUP($B160,casostestes[#Data],9)),"-")</f>
        <v>-</v>
      </c>
      <c r="K160" s="36"/>
      <c r="L160" s="45"/>
      <c r="M160" s="37"/>
      <c r="N160" s="38"/>
      <c r="O160" s="38"/>
      <c r="P160" s="39"/>
    </row>
    <row r="161" spans="2:16">
      <c r="B161" s="40" t="str">
        <f>IF(ISERR(casostestes[[#This Row],[ID]]),"-",casostestes[[#This Row],[ID]])</f>
        <v>-</v>
      </c>
      <c r="C161" s="34" t="str">
        <f>IFERROR(IF(VLOOKUP($B161,casostestes[#Data],10)=0,"Não",VLOOKUP($B161,casostestes[#Data],10)), "-")</f>
        <v>-</v>
      </c>
      <c r="D161" s="35" t="str">
        <f>IFERROR(IF(VLOOKUP($B161,casostestes[#Data],2)=0,"-",VLOOKUP($B161,casostestes[#Data],2)), "-")</f>
        <v>-</v>
      </c>
      <c r="E161" s="35" t="str">
        <f>IFERROR(IF(VLOOKUP($B161,casostestes[#Data],3)=0,"-",VLOOKUP($B161,casostestes[#Data],3)), "-")</f>
        <v>-</v>
      </c>
      <c r="F161" s="35" t="str">
        <f>IFERROR(IF(VLOOKUP($B161,casostestes[#Data],4)=0,"-",VLOOKUP($B161,casostestes[#Data],4)),"-")</f>
        <v>-</v>
      </c>
      <c r="G161" s="35" t="str">
        <f>IFERROR(IF(VLOOKUP($B161,casostestes[#Data],5)=0,"-",VLOOKUP($B161,casostestes[#Data],5)),"-")</f>
        <v>-</v>
      </c>
      <c r="H161" s="35" t="str">
        <f>IFERROR(IF(VLOOKUP($B161,casostestes[#Data],6)=0,"-",VLOOKUP($B161,casostestes[#Data],6)),"-")</f>
        <v>-</v>
      </c>
      <c r="I161" s="35" t="str">
        <f>IFERROR(IF(VLOOKUP($B161,casostestes[#Data],8)=0,"-",VLOOKUP($B161,casostestes[#Data],8)),"-")</f>
        <v>-</v>
      </c>
      <c r="J161" s="35" t="str">
        <f>IFERROR(IF(VLOOKUP($B161,casostestes[#Data],9)=0,"-",VLOOKUP($B161,casostestes[#Data],9)),"-")</f>
        <v>-</v>
      </c>
      <c r="K161" s="36"/>
      <c r="L161" s="45"/>
      <c r="M161" s="37"/>
      <c r="N161" s="38"/>
      <c r="O161" s="38"/>
      <c r="P161" s="39"/>
    </row>
    <row r="162" spans="2:16">
      <c r="B162" s="40" t="str">
        <f>IF(ISERR(casostestes[[#This Row],[ID]]),"-",casostestes[[#This Row],[ID]])</f>
        <v>-</v>
      </c>
      <c r="C162" s="34" t="str">
        <f>IFERROR(IF(VLOOKUP($B162,casostestes[#Data],10)=0,"Não",VLOOKUP($B162,casostestes[#Data],10)), "-")</f>
        <v>-</v>
      </c>
      <c r="D162" s="35" t="str">
        <f>IFERROR(IF(VLOOKUP($B162,casostestes[#Data],2)=0,"-",VLOOKUP($B162,casostestes[#Data],2)), "-")</f>
        <v>-</v>
      </c>
      <c r="E162" s="35" t="str">
        <f>IFERROR(IF(VLOOKUP($B162,casostestes[#Data],3)=0,"-",VLOOKUP($B162,casostestes[#Data],3)), "-")</f>
        <v>-</v>
      </c>
      <c r="F162" s="35" t="str">
        <f>IFERROR(IF(VLOOKUP($B162,casostestes[#Data],4)=0,"-",VLOOKUP($B162,casostestes[#Data],4)),"-")</f>
        <v>-</v>
      </c>
      <c r="G162" s="35" t="str">
        <f>IFERROR(IF(VLOOKUP($B162,casostestes[#Data],5)=0,"-",VLOOKUP($B162,casostestes[#Data],5)),"-")</f>
        <v>-</v>
      </c>
      <c r="H162" s="35" t="str">
        <f>IFERROR(IF(VLOOKUP($B162,casostestes[#Data],6)=0,"-",VLOOKUP($B162,casostestes[#Data],6)),"-")</f>
        <v>-</v>
      </c>
      <c r="I162" s="35" t="str">
        <f>IFERROR(IF(VLOOKUP($B162,casostestes[#Data],8)=0,"-",VLOOKUP($B162,casostestes[#Data],8)),"-")</f>
        <v>-</v>
      </c>
      <c r="J162" s="35" t="str">
        <f>IFERROR(IF(VLOOKUP($B162,casostestes[#Data],9)=0,"-",VLOOKUP($B162,casostestes[#Data],9)),"-")</f>
        <v>-</v>
      </c>
      <c r="K162" s="36"/>
      <c r="L162" s="45"/>
      <c r="M162" s="37"/>
      <c r="N162" s="38"/>
      <c r="O162" s="38"/>
      <c r="P162" s="39"/>
    </row>
    <row r="163" spans="2:16">
      <c r="B163" s="40" t="str">
        <f>IF(ISERR(casostestes[[#This Row],[ID]]),"-",casostestes[[#This Row],[ID]])</f>
        <v>-</v>
      </c>
      <c r="C163" s="34" t="str">
        <f>IFERROR(IF(VLOOKUP($B163,casostestes[#Data],10)=0,"Não",VLOOKUP($B163,casostestes[#Data],10)), "-")</f>
        <v>-</v>
      </c>
      <c r="D163" s="35" t="str">
        <f>IFERROR(IF(VLOOKUP($B163,casostestes[#Data],2)=0,"-",VLOOKUP($B163,casostestes[#Data],2)), "-")</f>
        <v>-</v>
      </c>
      <c r="E163" s="35" t="str">
        <f>IFERROR(IF(VLOOKUP($B163,casostestes[#Data],3)=0,"-",VLOOKUP($B163,casostestes[#Data],3)), "-")</f>
        <v>-</v>
      </c>
      <c r="F163" s="35" t="str">
        <f>IFERROR(IF(VLOOKUP($B163,casostestes[#Data],4)=0,"-",VLOOKUP($B163,casostestes[#Data],4)),"-")</f>
        <v>-</v>
      </c>
      <c r="G163" s="35" t="str">
        <f>IFERROR(IF(VLOOKUP($B163,casostestes[#Data],5)=0,"-",VLOOKUP($B163,casostestes[#Data],5)),"-")</f>
        <v>-</v>
      </c>
      <c r="H163" s="35" t="str">
        <f>IFERROR(IF(VLOOKUP($B163,casostestes[#Data],6)=0,"-",VLOOKUP($B163,casostestes[#Data],6)),"-")</f>
        <v>-</v>
      </c>
      <c r="I163" s="35" t="str">
        <f>IFERROR(IF(VLOOKUP($B163,casostestes[#Data],8)=0,"-",VLOOKUP($B163,casostestes[#Data],8)),"-")</f>
        <v>-</v>
      </c>
      <c r="J163" s="35" t="str">
        <f>IFERROR(IF(VLOOKUP($B163,casostestes[#Data],9)=0,"-",VLOOKUP($B163,casostestes[#Data],9)),"-")</f>
        <v>-</v>
      </c>
      <c r="K163" s="36"/>
      <c r="L163" s="45"/>
      <c r="M163" s="37"/>
      <c r="N163" s="38"/>
      <c r="O163" s="38"/>
      <c r="P163" s="39"/>
    </row>
    <row r="164" spans="2:16">
      <c r="B164" s="40" t="str">
        <f>IF(ISERR(casostestes[[#This Row],[ID]]),"-",casostestes[[#This Row],[ID]])</f>
        <v>-</v>
      </c>
      <c r="C164" s="34" t="str">
        <f>IFERROR(IF(VLOOKUP($B164,casostestes[#Data],10)=0,"Não",VLOOKUP($B164,casostestes[#Data],10)), "-")</f>
        <v>-</v>
      </c>
      <c r="D164" s="35" t="str">
        <f>IFERROR(IF(VLOOKUP($B164,casostestes[#Data],2)=0,"-",VLOOKUP($B164,casostestes[#Data],2)), "-")</f>
        <v>-</v>
      </c>
      <c r="E164" s="35" t="str">
        <f>IFERROR(IF(VLOOKUP($B164,casostestes[#Data],3)=0,"-",VLOOKUP($B164,casostestes[#Data],3)), "-")</f>
        <v>-</v>
      </c>
      <c r="F164" s="35" t="str">
        <f>IFERROR(IF(VLOOKUP($B164,casostestes[#Data],4)=0,"-",VLOOKUP($B164,casostestes[#Data],4)),"-")</f>
        <v>-</v>
      </c>
      <c r="G164" s="35" t="str">
        <f>IFERROR(IF(VLOOKUP($B164,casostestes[#Data],5)=0,"-",VLOOKUP($B164,casostestes[#Data],5)),"-")</f>
        <v>-</v>
      </c>
      <c r="H164" s="35" t="str">
        <f>IFERROR(IF(VLOOKUP($B164,casostestes[#Data],6)=0,"-",VLOOKUP($B164,casostestes[#Data],6)),"-")</f>
        <v>-</v>
      </c>
      <c r="I164" s="35" t="str">
        <f>IFERROR(IF(VLOOKUP($B164,casostestes[#Data],8)=0,"-",VLOOKUP($B164,casostestes[#Data],8)),"-")</f>
        <v>-</v>
      </c>
      <c r="J164" s="35" t="str">
        <f>IFERROR(IF(VLOOKUP($B164,casostestes[#Data],9)=0,"-",VLOOKUP($B164,casostestes[#Data],9)),"-")</f>
        <v>-</v>
      </c>
      <c r="K164" s="36"/>
      <c r="L164" s="45"/>
      <c r="M164" s="37"/>
      <c r="N164" s="38"/>
      <c r="O164" s="38"/>
      <c r="P164" s="39"/>
    </row>
    <row r="165" spans="2:16">
      <c r="B165" s="40" t="str">
        <f>IF(ISERR(casostestes[[#This Row],[ID]]),"-",casostestes[[#This Row],[ID]])</f>
        <v>-</v>
      </c>
      <c r="C165" s="34" t="str">
        <f>IFERROR(IF(VLOOKUP($B165,casostestes[#Data],10)=0,"Não",VLOOKUP($B165,casostestes[#Data],10)), "-")</f>
        <v>-</v>
      </c>
      <c r="D165" s="35" t="str">
        <f>IFERROR(IF(VLOOKUP($B165,casostestes[#Data],2)=0,"-",VLOOKUP($B165,casostestes[#Data],2)), "-")</f>
        <v>-</v>
      </c>
      <c r="E165" s="35" t="str">
        <f>IFERROR(IF(VLOOKUP($B165,casostestes[#Data],3)=0,"-",VLOOKUP($B165,casostestes[#Data],3)), "-")</f>
        <v>-</v>
      </c>
      <c r="F165" s="35" t="str">
        <f>IFERROR(IF(VLOOKUP($B165,casostestes[#Data],4)=0,"-",VLOOKUP($B165,casostestes[#Data],4)),"-")</f>
        <v>-</v>
      </c>
      <c r="G165" s="35" t="str">
        <f>IFERROR(IF(VLOOKUP($B165,casostestes[#Data],5)=0,"-",VLOOKUP($B165,casostestes[#Data],5)),"-")</f>
        <v>-</v>
      </c>
      <c r="H165" s="35" t="str">
        <f>IFERROR(IF(VLOOKUP($B165,casostestes[#Data],6)=0,"-",VLOOKUP($B165,casostestes[#Data],6)),"-")</f>
        <v>-</v>
      </c>
      <c r="I165" s="35" t="str">
        <f>IFERROR(IF(VLOOKUP($B165,casostestes[#Data],8)=0,"-",VLOOKUP($B165,casostestes[#Data],8)),"-")</f>
        <v>-</v>
      </c>
      <c r="J165" s="35" t="str">
        <f>IFERROR(IF(VLOOKUP($B165,casostestes[#Data],9)=0,"-",VLOOKUP($B165,casostestes[#Data],9)),"-")</f>
        <v>-</v>
      </c>
      <c r="K165" s="36"/>
      <c r="L165" s="45"/>
      <c r="M165" s="37"/>
      <c r="N165" s="38"/>
      <c r="O165" s="38"/>
      <c r="P165" s="39"/>
    </row>
    <row r="166" spans="2:16">
      <c r="B166" s="40" t="str">
        <f>IF(ISERR(casostestes[[#This Row],[ID]]),"-",casostestes[[#This Row],[ID]])</f>
        <v>-</v>
      </c>
      <c r="C166" s="34" t="str">
        <f>IFERROR(IF(VLOOKUP($B166,casostestes[#Data],10)=0,"Não",VLOOKUP($B166,casostestes[#Data],10)), "-")</f>
        <v>-</v>
      </c>
      <c r="D166" s="35" t="str">
        <f>IFERROR(IF(VLOOKUP($B166,casostestes[#Data],2)=0,"-",VLOOKUP($B166,casostestes[#Data],2)), "-")</f>
        <v>-</v>
      </c>
      <c r="E166" s="35" t="str">
        <f>IFERROR(IF(VLOOKUP($B166,casostestes[#Data],3)=0,"-",VLOOKUP($B166,casostestes[#Data],3)), "-")</f>
        <v>-</v>
      </c>
      <c r="F166" s="35" t="str">
        <f>IFERROR(IF(VLOOKUP($B166,casostestes[#Data],4)=0,"-",VLOOKUP($B166,casostestes[#Data],4)),"-")</f>
        <v>-</v>
      </c>
      <c r="G166" s="35" t="str">
        <f>IFERROR(IF(VLOOKUP($B166,casostestes[#Data],5)=0,"-",VLOOKUP($B166,casostestes[#Data],5)),"-")</f>
        <v>-</v>
      </c>
      <c r="H166" s="35" t="str">
        <f>IFERROR(IF(VLOOKUP($B166,casostestes[#Data],6)=0,"-",VLOOKUP($B166,casostestes[#Data],6)),"-")</f>
        <v>-</v>
      </c>
      <c r="I166" s="35" t="str">
        <f>IFERROR(IF(VLOOKUP($B166,casostestes[#Data],8)=0,"-",VLOOKUP($B166,casostestes[#Data],8)),"-")</f>
        <v>-</v>
      </c>
      <c r="J166" s="35" t="str">
        <f>IFERROR(IF(VLOOKUP($B166,casostestes[#Data],9)=0,"-",VLOOKUP($B166,casostestes[#Data],9)),"-")</f>
        <v>-</v>
      </c>
      <c r="K166" s="36"/>
      <c r="L166" s="45"/>
      <c r="M166" s="37"/>
      <c r="N166" s="38"/>
      <c r="O166" s="38"/>
      <c r="P166" s="39"/>
    </row>
    <row r="167" spans="2:16">
      <c r="B167" s="40" t="str">
        <f>IF(ISERR(casostestes[[#This Row],[ID]]),"-",casostestes[[#This Row],[ID]])</f>
        <v>-</v>
      </c>
      <c r="C167" s="34" t="str">
        <f>IFERROR(IF(VLOOKUP($B167,casostestes[#Data],10)=0,"Não",VLOOKUP($B167,casostestes[#Data],10)), "-")</f>
        <v>-</v>
      </c>
      <c r="D167" s="35" t="str">
        <f>IFERROR(IF(VLOOKUP($B167,casostestes[#Data],2)=0,"-",VLOOKUP($B167,casostestes[#Data],2)), "-")</f>
        <v>-</v>
      </c>
      <c r="E167" s="35" t="str">
        <f>IFERROR(IF(VLOOKUP($B167,casostestes[#Data],3)=0,"-",VLOOKUP($B167,casostestes[#Data],3)), "-")</f>
        <v>-</v>
      </c>
      <c r="F167" s="35" t="str">
        <f>IFERROR(IF(VLOOKUP($B167,casostestes[#Data],4)=0,"-",VLOOKUP($B167,casostestes[#Data],4)),"-")</f>
        <v>-</v>
      </c>
      <c r="G167" s="35" t="str">
        <f>IFERROR(IF(VLOOKUP($B167,casostestes[#Data],5)=0,"-",VLOOKUP($B167,casostestes[#Data],5)),"-")</f>
        <v>-</v>
      </c>
      <c r="H167" s="35" t="str">
        <f>IFERROR(IF(VLOOKUP($B167,casostestes[#Data],6)=0,"-",VLOOKUP($B167,casostestes[#Data],6)),"-")</f>
        <v>-</v>
      </c>
      <c r="I167" s="35" t="str">
        <f>IFERROR(IF(VLOOKUP($B167,casostestes[#Data],8)=0,"-",VLOOKUP($B167,casostestes[#Data],8)),"-")</f>
        <v>-</v>
      </c>
      <c r="J167" s="35" t="str">
        <f>IFERROR(IF(VLOOKUP($B167,casostestes[#Data],9)=0,"-",VLOOKUP($B167,casostestes[#Data],9)),"-")</f>
        <v>-</v>
      </c>
      <c r="K167" s="36"/>
      <c r="L167" s="45"/>
      <c r="M167" s="37"/>
      <c r="N167" s="38"/>
      <c r="O167" s="38"/>
      <c r="P167" s="39"/>
    </row>
    <row r="168" spans="2:16">
      <c r="B168" s="40" t="str">
        <f>IF(ISERR(casostestes[[#This Row],[ID]]),"-",casostestes[[#This Row],[ID]])</f>
        <v>-</v>
      </c>
      <c r="C168" s="34" t="str">
        <f>IFERROR(IF(VLOOKUP($B168,casostestes[#Data],10)=0,"Não",VLOOKUP($B168,casostestes[#Data],10)), "-")</f>
        <v>-</v>
      </c>
      <c r="D168" s="35" t="str">
        <f>IFERROR(IF(VLOOKUP($B168,casostestes[#Data],2)=0,"-",VLOOKUP($B168,casostestes[#Data],2)), "-")</f>
        <v>-</v>
      </c>
      <c r="E168" s="35" t="str">
        <f>IFERROR(IF(VLOOKUP($B168,casostestes[#Data],3)=0,"-",VLOOKUP($B168,casostestes[#Data],3)), "-")</f>
        <v>-</v>
      </c>
      <c r="F168" s="35" t="str">
        <f>IFERROR(IF(VLOOKUP($B168,casostestes[#Data],4)=0,"-",VLOOKUP($B168,casostestes[#Data],4)),"-")</f>
        <v>-</v>
      </c>
      <c r="G168" s="35" t="str">
        <f>IFERROR(IF(VLOOKUP($B168,casostestes[#Data],5)=0,"-",VLOOKUP($B168,casostestes[#Data],5)),"-")</f>
        <v>-</v>
      </c>
      <c r="H168" s="35" t="str">
        <f>IFERROR(IF(VLOOKUP($B168,casostestes[#Data],6)=0,"-",VLOOKUP($B168,casostestes[#Data],6)),"-")</f>
        <v>-</v>
      </c>
      <c r="I168" s="35" t="str">
        <f>IFERROR(IF(VLOOKUP($B168,casostestes[#Data],8)=0,"-",VLOOKUP($B168,casostestes[#Data],8)),"-")</f>
        <v>-</v>
      </c>
      <c r="J168" s="35" t="str">
        <f>IFERROR(IF(VLOOKUP($B168,casostestes[#Data],9)=0,"-",VLOOKUP($B168,casostestes[#Data],9)),"-")</f>
        <v>-</v>
      </c>
      <c r="K168" s="36"/>
      <c r="L168" s="45"/>
      <c r="M168" s="37"/>
      <c r="N168" s="38"/>
      <c r="O168" s="38"/>
      <c r="P168" s="39"/>
    </row>
    <row r="169" spans="2:16">
      <c r="B169" s="40" t="str">
        <f>IF(ISERR(casostestes[[#This Row],[ID]]),"-",casostestes[[#This Row],[ID]])</f>
        <v>-</v>
      </c>
      <c r="C169" s="34" t="str">
        <f>IFERROR(IF(VLOOKUP($B169,casostestes[#Data],10)=0,"Não",VLOOKUP($B169,casostestes[#Data],10)), "-")</f>
        <v>-</v>
      </c>
      <c r="D169" s="35" t="str">
        <f>IFERROR(IF(VLOOKUP($B169,casostestes[#Data],2)=0,"-",VLOOKUP($B169,casostestes[#Data],2)), "-")</f>
        <v>-</v>
      </c>
      <c r="E169" s="35" t="str">
        <f>IFERROR(IF(VLOOKUP($B169,casostestes[#Data],3)=0,"-",VLOOKUP($B169,casostestes[#Data],3)), "-")</f>
        <v>-</v>
      </c>
      <c r="F169" s="35" t="str">
        <f>IFERROR(IF(VLOOKUP($B169,casostestes[#Data],4)=0,"-",VLOOKUP($B169,casostestes[#Data],4)),"-")</f>
        <v>-</v>
      </c>
      <c r="G169" s="35" t="str">
        <f>IFERROR(IF(VLOOKUP($B169,casostestes[#Data],5)=0,"-",VLOOKUP($B169,casostestes[#Data],5)),"-")</f>
        <v>-</v>
      </c>
      <c r="H169" s="35" t="str">
        <f>IFERROR(IF(VLOOKUP($B169,casostestes[#Data],6)=0,"-",VLOOKUP($B169,casostestes[#Data],6)),"-")</f>
        <v>-</v>
      </c>
      <c r="I169" s="35" t="str">
        <f>IFERROR(IF(VLOOKUP($B169,casostestes[#Data],8)=0,"-",VLOOKUP($B169,casostestes[#Data],8)),"-")</f>
        <v>-</v>
      </c>
      <c r="J169" s="35" t="str">
        <f>IFERROR(IF(VLOOKUP($B169,casostestes[#Data],9)=0,"-",VLOOKUP($B169,casostestes[#Data],9)),"-")</f>
        <v>-</v>
      </c>
      <c r="K169" s="36"/>
      <c r="L169" s="45"/>
      <c r="M169" s="37"/>
      <c r="N169" s="38"/>
      <c r="O169" s="38"/>
      <c r="P169" s="39"/>
    </row>
    <row r="170" spans="2:16">
      <c r="B170" s="40" t="str">
        <f>IF(ISERR(casostestes[[#This Row],[ID]]),"-",casostestes[[#This Row],[ID]])</f>
        <v>-</v>
      </c>
      <c r="C170" s="34" t="str">
        <f>IFERROR(IF(VLOOKUP($B170,casostestes[#Data],10)=0,"Não",VLOOKUP($B170,casostestes[#Data],10)), "-")</f>
        <v>-</v>
      </c>
      <c r="D170" s="35" t="str">
        <f>IFERROR(IF(VLOOKUP($B170,casostestes[#Data],2)=0,"-",VLOOKUP($B170,casostestes[#Data],2)), "-")</f>
        <v>-</v>
      </c>
      <c r="E170" s="35" t="str">
        <f>IFERROR(IF(VLOOKUP($B170,casostestes[#Data],3)=0,"-",VLOOKUP($B170,casostestes[#Data],3)), "-")</f>
        <v>-</v>
      </c>
      <c r="F170" s="35" t="str">
        <f>IFERROR(IF(VLOOKUP($B170,casostestes[#Data],4)=0,"-",VLOOKUP($B170,casostestes[#Data],4)),"-")</f>
        <v>-</v>
      </c>
      <c r="G170" s="35" t="str">
        <f>IFERROR(IF(VLOOKUP($B170,casostestes[#Data],5)=0,"-",VLOOKUP($B170,casostestes[#Data],5)),"-")</f>
        <v>-</v>
      </c>
      <c r="H170" s="35" t="str">
        <f>IFERROR(IF(VLOOKUP($B170,casostestes[#Data],6)=0,"-",VLOOKUP($B170,casostestes[#Data],6)),"-")</f>
        <v>-</v>
      </c>
      <c r="I170" s="35" t="str">
        <f>IFERROR(IF(VLOOKUP($B170,casostestes[#Data],8)=0,"-",VLOOKUP($B170,casostestes[#Data],8)),"-")</f>
        <v>-</v>
      </c>
      <c r="J170" s="35" t="str">
        <f>IFERROR(IF(VLOOKUP($B170,casostestes[#Data],9)=0,"-",VLOOKUP($B170,casostestes[#Data],9)),"-")</f>
        <v>-</v>
      </c>
      <c r="K170" s="36"/>
      <c r="L170" s="45"/>
      <c r="M170" s="37"/>
      <c r="N170" s="38"/>
      <c r="O170" s="38"/>
      <c r="P170" s="39"/>
    </row>
    <row r="171" spans="2:16">
      <c r="B171" s="40" t="str">
        <f>IF(ISERR(casostestes[[#This Row],[ID]]),"-",casostestes[[#This Row],[ID]])</f>
        <v>-</v>
      </c>
      <c r="C171" s="34" t="str">
        <f>IFERROR(IF(VLOOKUP($B171,casostestes[#Data],10)=0,"Não",VLOOKUP($B171,casostestes[#Data],10)), "-")</f>
        <v>-</v>
      </c>
      <c r="D171" s="35" t="str">
        <f>IFERROR(IF(VLOOKUP($B171,casostestes[#Data],2)=0,"-",VLOOKUP($B171,casostestes[#Data],2)), "-")</f>
        <v>-</v>
      </c>
      <c r="E171" s="35" t="str">
        <f>IFERROR(IF(VLOOKUP($B171,casostestes[#Data],3)=0,"-",VLOOKUP($B171,casostestes[#Data],3)), "-")</f>
        <v>-</v>
      </c>
      <c r="F171" s="35" t="str">
        <f>IFERROR(IF(VLOOKUP($B171,casostestes[#Data],4)=0,"-",VLOOKUP($B171,casostestes[#Data],4)),"-")</f>
        <v>-</v>
      </c>
      <c r="G171" s="35" t="str">
        <f>IFERROR(IF(VLOOKUP($B171,casostestes[#Data],5)=0,"-",VLOOKUP($B171,casostestes[#Data],5)),"-")</f>
        <v>-</v>
      </c>
      <c r="H171" s="35" t="str">
        <f>IFERROR(IF(VLOOKUP($B171,casostestes[#Data],6)=0,"-",VLOOKUP($B171,casostestes[#Data],6)),"-")</f>
        <v>-</v>
      </c>
      <c r="I171" s="35" t="str">
        <f>IFERROR(IF(VLOOKUP($B171,casostestes[#Data],8)=0,"-",VLOOKUP($B171,casostestes[#Data],8)),"-")</f>
        <v>-</v>
      </c>
      <c r="J171" s="35" t="str">
        <f>IFERROR(IF(VLOOKUP($B171,casostestes[#Data],9)=0,"-",VLOOKUP($B171,casostestes[#Data],9)),"-")</f>
        <v>-</v>
      </c>
      <c r="K171" s="36"/>
      <c r="L171" s="45"/>
      <c r="M171" s="37"/>
      <c r="N171" s="38"/>
      <c r="O171" s="38"/>
      <c r="P171" s="39"/>
    </row>
    <row r="172" spans="2:16">
      <c r="B172" s="40" t="str">
        <f>IF(ISERR(casostestes[[#This Row],[ID]]),"-",casostestes[[#This Row],[ID]])</f>
        <v>-</v>
      </c>
      <c r="C172" s="34" t="str">
        <f>IFERROR(IF(VLOOKUP($B172,casostestes[#Data],10)=0,"Não",VLOOKUP($B172,casostestes[#Data],10)), "-")</f>
        <v>-</v>
      </c>
      <c r="D172" s="35" t="str">
        <f>IFERROR(IF(VLOOKUP($B172,casostestes[#Data],2)=0,"-",VLOOKUP($B172,casostestes[#Data],2)), "-")</f>
        <v>-</v>
      </c>
      <c r="E172" s="35" t="str">
        <f>IFERROR(IF(VLOOKUP($B172,casostestes[#Data],3)=0,"-",VLOOKUP($B172,casostestes[#Data],3)), "-")</f>
        <v>-</v>
      </c>
      <c r="F172" s="35" t="str">
        <f>IFERROR(IF(VLOOKUP($B172,casostestes[#Data],4)=0,"-",VLOOKUP($B172,casostestes[#Data],4)),"-")</f>
        <v>-</v>
      </c>
      <c r="G172" s="35" t="str">
        <f>IFERROR(IF(VLOOKUP($B172,casostestes[#Data],5)=0,"-",VLOOKUP($B172,casostestes[#Data],5)),"-")</f>
        <v>-</v>
      </c>
      <c r="H172" s="35" t="str">
        <f>IFERROR(IF(VLOOKUP($B172,casostestes[#Data],6)=0,"-",VLOOKUP($B172,casostestes[#Data],6)),"-")</f>
        <v>-</v>
      </c>
      <c r="I172" s="35" t="str">
        <f>IFERROR(IF(VLOOKUP($B172,casostestes[#Data],8)=0,"-",VLOOKUP($B172,casostestes[#Data],8)),"-")</f>
        <v>-</v>
      </c>
      <c r="J172" s="35" t="str">
        <f>IFERROR(IF(VLOOKUP($B172,casostestes[#Data],9)=0,"-",VLOOKUP($B172,casostestes[#Data],9)),"-")</f>
        <v>-</v>
      </c>
      <c r="K172" s="36"/>
      <c r="L172" s="45"/>
      <c r="M172" s="37"/>
      <c r="N172" s="38"/>
      <c r="O172" s="38"/>
      <c r="P172" s="39"/>
    </row>
    <row r="173" spans="2:16">
      <c r="B173" s="40" t="str">
        <f>IF(ISERR(casostestes[[#This Row],[ID]]),"-",casostestes[[#This Row],[ID]])</f>
        <v>-</v>
      </c>
      <c r="C173" s="34" t="str">
        <f>IFERROR(IF(VLOOKUP($B173,casostestes[#Data],10)=0,"Não",VLOOKUP($B173,casostestes[#Data],10)), "-")</f>
        <v>-</v>
      </c>
      <c r="D173" s="35" t="str">
        <f>IFERROR(IF(VLOOKUP($B173,casostestes[#Data],2)=0,"-",VLOOKUP($B173,casostestes[#Data],2)), "-")</f>
        <v>-</v>
      </c>
      <c r="E173" s="35" t="str">
        <f>IFERROR(IF(VLOOKUP($B173,casostestes[#Data],3)=0,"-",VLOOKUP($B173,casostestes[#Data],3)), "-")</f>
        <v>-</v>
      </c>
      <c r="F173" s="35" t="str">
        <f>IFERROR(IF(VLOOKUP($B173,casostestes[#Data],4)=0,"-",VLOOKUP($B173,casostestes[#Data],4)),"-")</f>
        <v>-</v>
      </c>
      <c r="G173" s="35" t="str">
        <f>IFERROR(IF(VLOOKUP($B173,casostestes[#Data],5)=0,"-",VLOOKUP($B173,casostestes[#Data],5)),"-")</f>
        <v>-</v>
      </c>
      <c r="H173" s="35" t="str">
        <f>IFERROR(IF(VLOOKUP($B173,casostestes[#Data],6)=0,"-",VLOOKUP($B173,casostestes[#Data],6)),"-")</f>
        <v>-</v>
      </c>
      <c r="I173" s="35" t="str">
        <f>IFERROR(IF(VLOOKUP($B173,casostestes[#Data],8)=0,"-",VLOOKUP($B173,casostestes[#Data],8)),"-")</f>
        <v>-</v>
      </c>
      <c r="J173" s="35" t="str">
        <f>IFERROR(IF(VLOOKUP($B173,casostestes[#Data],9)=0,"-",VLOOKUP($B173,casostestes[#Data],9)),"-")</f>
        <v>-</v>
      </c>
      <c r="K173" s="36"/>
      <c r="L173" s="45"/>
      <c r="M173" s="37"/>
      <c r="N173" s="38"/>
      <c r="O173" s="38"/>
      <c r="P173" s="39"/>
    </row>
    <row r="174" spans="2:16">
      <c r="B174" s="40" t="str">
        <f>IF(ISERR(casostestes[[#This Row],[ID]]),"-",casostestes[[#This Row],[ID]])</f>
        <v>-</v>
      </c>
      <c r="C174" s="34" t="str">
        <f>IFERROR(IF(VLOOKUP($B174,casostestes[#Data],10)=0,"Não",VLOOKUP($B174,casostestes[#Data],10)), "-")</f>
        <v>-</v>
      </c>
      <c r="D174" s="35" t="str">
        <f>IFERROR(IF(VLOOKUP($B174,casostestes[#Data],2)=0,"-",VLOOKUP($B174,casostestes[#Data],2)), "-")</f>
        <v>-</v>
      </c>
      <c r="E174" s="35" t="str">
        <f>IFERROR(IF(VLOOKUP($B174,casostestes[#Data],3)=0,"-",VLOOKUP($B174,casostestes[#Data],3)), "-")</f>
        <v>-</v>
      </c>
      <c r="F174" s="35" t="str">
        <f>IFERROR(IF(VLOOKUP($B174,casostestes[#Data],4)=0,"-",VLOOKUP($B174,casostestes[#Data],4)),"-")</f>
        <v>-</v>
      </c>
      <c r="G174" s="35" t="str">
        <f>IFERROR(IF(VLOOKUP($B174,casostestes[#Data],5)=0,"-",VLOOKUP($B174,casostestes[#Data],5)),"-")</f>
        <v>-</v>
      </c>
      <c r="H174" s="35" t="str">
        <f>IFERROR(IF(VLOOKUP($B174,casostestes[#Data],6)=0,"-",VLOOKUP($B174,casostestes[#Data],6)),"-")</f>
        <v>-</v>
      </c>
      <c r="I174" s="35" t="str">
        <f>IFERROR(IF(VLOOKUP($B174,casostestes[#Data],8)=0,"-",VLOOKUP($B174,casostestes[#Data],8)),"-")</f>
        <v>-</v>
      </c>
      <c r="J174" s="35" t="str">
        <f>IFERROR(IF(VLOOKUP($B174,casostestes[#Data],9)=0,"-",VLOOKUP($B174,casostestes[#Data],9)),"-")</f>
        <v>-</v>
      </c>
      <c r="K174" s="36"/>
      <c r="L174" s="45"/>
      <c r="M174" s="37"/>
      <c r="N174" s="38"/>
      <c r="O174" s="38"/>
      <c r="P174" s="39"/>
    </row>
    <row r="175" spans="2:16">
      <c r="B175" s="40" t="str">
        <f>IF(ISERR(casostestes[[#This Row],[ID]]),"-",casostestes[[#This Row],[ID]])</f>
        <v>-</v>
      </c>
      <c r="C175" s="34" t="str">
        <f>IFERROR(IF(VLOOKUP($B175,casostestes[#Data],10)=0,"Não",VLOOKUP($B175,casostestes[#Data],10)), "-")</f>
        <v>-</v>
      </c>
      <c r="D175" s="35" t="str">
        <f>IFERROR(IF(VLOOKUP($B175,casostestes[#Data],2)=0,"-",VLOOKUP($B175,casostestes[#Data],2)), "-")</f>
        <v>-</v>
      </c>
      <c r="E175" s="35" t="str">
        <f>IFERROR(IF(VLOOKUP($B175,casostestes[#Data],3)=0,"-",VLOOKUP($B175,casostestes[#Data],3)), "-")</f>
        <v>-</v>
      </c>
      <c r="F175" s="35" t="str">
        <f>IFERROR(IF(VLOOKUP($B175,casostestes[#Data],4)=0,"-",VLOOKUP($B175,casostestes[#Data],4)),"-")</f>
        <v>-</v>
      </c>
      <c r="G175" s="35" t="str">
        <f>IFERROR(IF(VLOOKUP($B175,casostestes[#Data],5)=0,"-",VLOOKUP($B175,casostestes[#Data],5)),"-")</f>
        <v>-</v>
      </c>
      <c r="H175" s="35" t="str">
        <f>IFERROR(IF(VLOOKUP($B175,casostestes[#Data],6)=0,"-",VLOOKUP($B175,casostestes[#Data],6)),"-")</f>
        <v>-</v>
      </c>
      <c r="I175" s="35" t="str">
        <f>IFERROR(IF(VLOOKUP($B175,casostestes[#Data],8)=0,"-",VLOOKUP($B175,casostestes[#Data],8)),"-")</f>
        <v>-</v>
      </c>
      <c r="J175" s="35" t="str">
        <f>IFERROR(IF(VLOOKUP($B175,casostestes[#Data],9)=0,"-",VLOOKUP($B175,casostestes[#Data],9)),"-")</f>
        <v>-</v>
      </c>
      <c r="K175" s="36"/>
      <c r="L175" s="45"/>
      <c r="M175" s="37"/>
      <c r="N175" s="38"/>
      <c r="O175" s="38"/>
      <c r="P175" s="39"/>
    </row>
    <row r="176" spans="2:16">
      <c r="B176" s="40" t="str">
        <f>IF(ISERR(casostestes[[#This Row],[ID]]),"-",casostestes[[#This Row],[ID]])</f>
        <v>-</v>
      </c>
      <c r="C176" s="34" t="str">
        <f>IFERROR(IF(VLOOKUP($B176,casostestes[#Data],10)=0,"Não",VLOOKUP($B176,casostestes[#Data],10)), "-")</f>
        <v>-</v>
      </c>
      <c r="D176" s="35" t="str">
        <f>IFERROR(IF(VLOOKUP($B176,casostestes[#Data],2)=0,"-",VLOOKUP($B176,casostestes[#Data],2)), "-")</f>
        <v>-</v>
      </c>
      <c r="E176" s="35" t="str">
        <f>IFERROR(IF(VLOOKUP($B176,casostestes[#Data],3)=0,"-",VLOOKUP($B176,casostestes[#Data],3)), "-")</f>
        <v>-</v>
      </c>
      <c r="F176" s="35" t="str">
        <f>IFERROR(IF(VLOOKUP($B176,casostestes[#Data],4)=0,"-",VLOOKUP($B176,casostestes[#Data],4)),"-")</f>
        <v>-</v>
      </c>
      <c r="G176" s="35" t="str">
        <f>IFERROR(IF(VLOOKUP($B176,casostestes[#Data],5)=0,"-",VLOOKUP($B176,casostestes[#Data],5)),"-")</f>
        <v>-</v>
      </c>
      <c r="H176" s="35" t="str">
        <f>IFERROR(IF(VLOOKUP($B176,casostestes[#Data],6)=0,"-",VLOOKUP($B176,casostestes[#Data],6)),"-")</f>
        <v>-</v>
      </c>
      <c r="I176" s="35" t="str">
        <f>IFERROR(IF(VLOOKUP($B176,casostestes[#Data],8)=0,"-",VLOOKUP($B176,casostestes[#Data],8)),"-")</f>
        <v>-</v>
      </c>
      <c r="J176" s="35" t="str">
        <f>IFERROR(IF(VLOOKUP($B176,casostestes[#Data],9)=0,"-",VLOOKUP($B176,casostestes[#Data],9)),"-")</f>
        <v>-</v>
      </c>
      <c r="K176" s="36"/>
      <c r="L176" s="45"/>
      <c r="M176" s="37"/>
      <c r="N176" s="38"/>
      <c r="O176" s="38"/>
      <c r="P176" s="39"/>
    </row>
    <row r="177" spans="2:16">
      <c r="B177" s="40" t="str">
        <f>IF(ISERR(casostestes[[#This Row],[ID]]),"-",casostestes[[#This Row],[ID]])</f>
        <v>-</v>
      </c>
      <c r="C177" s="34" t="str">
        <f>IFERROR(IF(VLOOKUP($B177,casostestes[#Data],10)=0,"Não",VLOOKUP($B177,casostestes[#Data],10)), "-")</f>
        <v>-</v>
      </c>
      <c r="D177" s="35" t="str">
        <f>IFERROR(IF(VLOOKUP($B177,casostestes[#Data],2)=0,"-",VLOOKUP($B177,casostestes[#Data],2)), "-")</f>
        <v>-</v>
      </c>
      <c r="E177" s="35" t="str">
        <f>IFERROR(IF(VLOOKUP($B177,casostestes[#Data],3)=0,"-",VLOOKUP($B177,casostestes[#Data],3)), "-")</f>
        <v>-</v>
      </c>
      <c r="F177" s="35" t="str">
        <f>IFERROR(IF(VLOOKUP($B177,casostestes[#Data],4)=0,"-",VLOOKUP($B177,casostestes[#Data],4)),"-")</f>
        <v>-</v>
      </c>
      <c r="G177" s="35" t="str">
        <f>IFERROR(IF(VLOOKUP($B177,casostestes[#Data],5)=0,"-",VLOOKUP($B177,casostestes[#Data],5)),"-")</f>
        <v>-</v>
      </c>
      <c r="H177" s="35" t="str">
        <f>IFERROR(IF(VLOOKUP($B177,casostestes[#Data],6)=0,"-",VLOOKUP($B177,casostestes[#Data],6)),"-")</f>
        <v>-</v>
      </c>
      <c r="I177" s="35" t="str">
        <f>IFERROR(IF(VLOOKUP($B177,casostestes[#Data],8)=0,"-",VLOOKUP($B177,casostestes[#Data],8)),"-")</f>
        <v>-</v>
      </c>
      <c r="J177" s="35" t="str">
        <f>IFERROR(IF(VLOOKUP($B177,casostestes[#Data],9)=0,"-",VLOOKUP($B177,casostestes[#Data],9)),"-")</f>
        <v>-</v>
      </c>
      <c r="K177" s="36"/>
      <c r="L177" s="45"/>
      <c r="M177" s="37"/>
      <c r="N177" s="38"/>
      <c r="O177" s="38"/>
      <c r="P177" s="39"/>
    </row>
    <row r="178" spans="2:16">
      <c r="B178" s="40" t="str">
        <f>IF(ISERR(casostestes[[#This Row],[ID]]),"-",casostestes[[#This Row],[ID]])</f>
        <v>-</v>
      </c>
      <c r="C178" s="34" t="str">
        <f>IFERROR(IF(VLOOKUP($B178,casostestes[#Data],10)=0,"Não",VLOOKUP($B178,casostestes[#Data],10)), "-")</f>
        <v>-</v>
      </c>
      <c r="D178" s="35" t="str">
        <f>IFERROR(IF(VLOOKUP($B178,casostestes[#Data],2)=0,"-",VLOOKUP($B178,casostestes[#Data],2)), "-")</f>
        <v>-</v>
      </c>
      <c r="E178" s="35" t="str">
        <f>IFERROR(IF(VLOOKUP($B178,casostestes[#Data],3)=0,"-",VLOOKUP($B178,casostestes[#Data],3)), "-")</f>
        <v>-</v>
      </c>
      <c r="F178" s="35" t="str">
        <f>IFERROR(IF(VLOOKUP($B178,casostestes[#Data],4)=0,"-",VLOOKUP($B178,casostestes[#Data],4)),"-")</f>
        <v>-</v>
      </c>
      <c r="G178" s="35" t="str">
        <f>IFERROR(IF(VLOOKUP($B178,casostestes[#Data],5)=0,"-",VLOOKUP($B178,casostestes[#Data],5)),"-")</f>
        <v>-</v>
      </c>
      <c r="H178" s="35" t="str">
        <f>IFERROR(IF(VLOOKUP($B178,casostestes[#Data],6)=0,"-",VLOOKUP($B178,casostestes[#Data],6)),"-")</f>
        <v>-</v>
      </c>
      <c r="I178" s="35" t="str">
        <f>IFERROR(IF(VLOOKUP($B178,casostestes[#Data],8)=0,"-",VLOOKUP($B178,casostestes[#Data],8)),"-")</f>
        <v>-</v>
      </c>
      <c r="J178" s="35" t="str">
        <f>IFERROR(IF(VLOOKUP($B178,casostestes[#Data],9)=0,"-",VLOOKUP($B178,casostestes[#Data],9)),"-")</f>
        <v>-</v>
      </c>
      <c r="K178" s="36"/>
      <c r="L178" s="45"/>
      <c r="M178" s="37"/>
      <c r="N178" s="38"/>
      <c r="O178" s="38"/>
      <c r="P178" s="39"/>
    </row>
    <row r="179" spans="2:16">
      <c r="B179" s="40" t="str">
        <f>IF(ISERR(casostestes[[#This Row],[ID]]),"-",casostestes[[#This Row],[ID]])</f>
        <v>-</v>
      </c>
      <c r="C179" s="34" t="str">
        <f>IFERROR(IF(VLOOKUP($B179,casostestes[#Data],10)=0,"Não",VLOOKUP($B179,casostestes[#Data],10)), "-")</f>
        <v>-</v>
      </c>
      <c r="D179" s="35" t="str">
        <f>IFERROR(IF(VLOOKUP($B179,casostestes[#Data],2)=0,"-",VLOOKUP($B179,casostestes[#Data],2)), "-")</f>
        <v>-</v>
      </c>
      <c r="E179" s="35" t="str">
        <f>IFERROR(IF(VLOOKUP($B179,casostestes[#Data],3)=0,"-",VLOOKUP($B179,casostestes[#Data],3)), "-")</f>
        <v>-</v>
      </c>
      <c r="F179" s="35" t="str">
        <f>IFERROR(IF(VLOOKUP($B179,casostestes[#Data],4)=0,"-",VLOOKUP($B179,casostestes[#Data],4)),"-")</f>
        <v>-</v>
      </c>
      <c r="G179" s="35" t="str">
        <f>IFERROR(IF(VLOOKUP($B179,casostestes[#Data],5)=0,"-",VLOOKUP($B179,casostestes[#Data],5)),"-")</f>
        <v>-</v>
      </c>
      <c r="H179" s="35" t="str">
        <f>IFERROR(IF(VLOOKUP($B179,casostestes[#Data],6)=0,"-",VLOOKUP($B179,casostestes[#Data],6)),"-")</f>
        <v>-</v>
      </c>
      <c r="I179" s="35" t="str">
        <f>IFERROR(IF(VLOOKUP($B179,casostestes[#Data],8)=0,"-",VLOOKUP($B179,casostestes[#Data],8)),"-")</f>
        <v>-</v>
      </c>
      <c r="J179" s="35" t="str">
        <f>IFERROR(IF(VLOOKUP($B179,casostestes[#Data],9)=0,"-",VLOOKUP($B179,casostestes[#Data],9)),"-")</f>
        <v>-</v>
      </c>
      <c r="K179" s="36"/>
      <c r="L179" s="45"/>
      <c r="M179" s="37"/>
      <c r="N179" s="38"/>
      <c r="O179" s="38"/>
      <c r="P179" s="39"/>
    </row>
    <row r="180" spans="2:16">
      <c r="B180" s="40" t="str">
        <f>IF(ISERR(casostestes[[#This Row],[ID]]),"-",casostestes[[#This Row],[ID]])</f>
        <v>-</v>
      </c>
      <c r="C180" s="34" t="str">
        <f>IFERROR(IF(VLOOKUP($B180,casostestes[#Data],10)=0,"Não",VLOOKUP($B180,casostestes[#Data],10)), "-")</f>
        <v>-</v>
      </c>
      <c r="D180" s="35" t="str">
        <f>IFERROR(IF(VLOOKUP($B180,casostestes[#Data],2)=0,"-",VLOOKUP($B180,casostestes[#Data],2)), "-")</f>
        <v>-</v>
      </c>
      <c r="E180" s="35" t="str">
        <f>IFERROR(IF(VLOOKUP($B180,casostestes[#Data],3)=0,"-",VLOOKUP($B180,casostestes[#Data],3)), "-")</f>
        <v>-</v>
      </c>
      <c r="F180" s="35" t="str">
        <f>IFERROR(IF(VLOOKUP($B180,casostestes[#Data],4)=0,"-",VLOOKUP($B180,casostestes[#Data],4)),"-")</f>
        <v>-</v>
      </c>
      <c r="G180" s="35" t="str">
        <f>IFERROR(IF(VLOOKUP($B180,casostestes[#Data],5)=0,"-",VLOOKUP($B180,casostestes[#Data],5)),"-")</f>
        <v>-</v>
      </c>
      <c r="H180" s="35" t="str">
        <f>IFERROR(IF(VLOOKUP($B180,casostestes[#Data],6)=0,"-",VLOOKUP($B180,casostestes[#Data],6)),"-")</f>
        <v>-</v>
      </c>
      <c r="I180" s="35" t="str">
        <f>IFERROR(IF(VLOOKUP($B180,casostestes[#Data],8)=0,"-",VLOOKUP($B180,casostestes[#Data],8)),"-")</f>
        <v>-</v>
      </c>
      <c r="J180" s="35" t="str">
        <f>IFERROR(IF(VLOOKUP($B180,casostestes[#Data],9)=0,"-",VLOOKUP($B180,casostestes[#Data],9)),"-")</f>
        <v>-</v>
      </c>
      <c r="K180" s="36"/>
      <c r="L180" s="45"/>
      <c r="M180" s="37"/>
      <c r="N180" s="38"/>
      <c r="O180" s="38"/>
      <c r="P180" s="39"/>
    </row>
    <row r="181" spans="2:16">
      <c r="B181" s="40" t="str">
        <f>IF(ISERR(casostestes[[#This Row],[ID]]),"-",casostestes[[#This Row],[ID]])</f>
        <v>-</v>
      </c>
      <c r="C181" s="34" t="str">
        <f>IFERROR(IF(VLOOKUP($B181,casostestes[#Data],10)=0,"Não",VLOOKUP($B181,casostestes[#Data],10)), "-")</f>
        <v>-</v>
      </c>
      <c r="D181" s="35" t="str">
        <f>IFERROR(IF(VLOOKUP($B181,casostestes[#Data],2)=0,"-",VLOOKUP($B181,casostestes[#Data],2)), "-")</f>
        <v>-</v>
      </c>
      <c r="E181" s="35" t="str">
        <f>IFERROR(IF(VLOOKUP($B181,casostestes[#Data],3)=0,"-",VLOOKUP($B181,casostestes[#Data],3)), "-")</f>
        <v>-</v>
      </c>
      <c r="F181" s="35" t="str">
        <f>IFERROR(IF(VLOOKUP($B181,casostestes[#Data],4)=0,"-",VLOOKUP($B181,casostestes[#Data],4)),"-")</f>
        <v>-</v>
      </c>
      <c r="G181" s="35" t="str">
        <f>IFERROR(IF(VLOOKUP($B181,casostestes[#Data],5)=0,"-",VLOOKUP($B181,casostestes[#Data],5)),"-")</f>
        <v>-</v>
      </c>
      <c r="H181" s="35" t="str">
        <f>IFERROR(IF(VLOOKUP($B181,casostestes[#Data],6)=0,"-",VLOOKUP($B181,casostestes[#Data],6)),"-")</f>
        <v>-</v>
      </c>
      <c r="I181" s="35" t="str">
        <f>IFERROR(IF(VLOOKUP($B181,casostestes[#Data],8)=0,"-",VLOOKUP($B181,casostestes[#Data],8)),"-")</f>
        <v>-</v>
      </c>
      <c r="J181" s="35" t="str">
        <f>IFERROR(IF(VLOOKUP($B181,casostestes[#Data],9)=0,"-",VLOOKUP($B181,casostestes[#Data],9)),"-")</f>
        <v>-</v>
      </c>
      <c r="K181" s="36"/>
      <c r="L181" s="45"/>
      <c r="M181" s="37"/>
      <c r="N181" s="38"/>
      <c r="O181" s="38"/>
      <c r="P181" s="39"/>
    </row>
    <row r="182" spans="2:16">
      <c r="B182" s="40" t="str">
        <f>IF(ISERR(casostestes[[#This Row],[ID]]),"-",casostestes[[#This Row],[ID]])</f>
        <v>-</v>
      </c>
      <c r="C182" s="34" t="str">
        <f>IFERROR(IF(VLOOKUP($B182,casostestes[#Data],10)=0,"Não",VLOOKUP($B182,casostestes[#Data],10)), "-")</f>
        <v>-</v>
      </c>
      <c r="D182" s="35" t="str">
        <f>IFERROR(IF(VLOOKUP($B182,casostestes[#Data],2)=0,"-",VLOOKUP($B182,casostestes[#Data],2)), "-")</f>
        <v>-</v>
      </c>
      <c r="E182" s="35" t="str">
        <f>IFERROR(IF(VLOOKUP($B182,casostestes[#Data],3)=0,"-",VLOOKUP($B182,casostestes[#Data],3)), "-")</f>
        <v>-</v>
      </c>
      <c r="F182" s="35" t="str">
        <f>IFERROR(IF(VLOOKUP($B182,casostestes[#Data],4)=0,"-",VLOOKUP($B182,casostestes[#Data],4)),"-")</f>
        <v>-</v>
      </c>
      <c r="G182" s="35" t="str">
        <f>IFERROR(IF(VLOOKUP($B182,casostestes[#Data],5)=0,"-",VLOOKUP($B182,casostestes[#Data],5)),"-")</f>
        <v>-</v>
      </c>
      <c r="H182" s="35" t="str">
        <f>IFERROR(IF(VLOOKUP($B182,casostestes[#Data],6)=0,"-",VLOOKUP($B182,casostestes[#Data],6)),"-")</f>
        <v>-</v>
      </c>
      <c r="I182" s="35" t="str">
        <f>IFERROR(IF(VLOOKUP($B182,casostestes[#Data],8)=0,"-",VLOOKUP($B182,casostestes[#Data],8)),"-")</f>
        <v>-</v>
      </c>
      <c r="J182" s="35" t="str">
        <f>IFERROR(IF(VLOOKUP($B182,casostestes[#Data],9)=0,"-",VLOOKUP($B182,casostestes[#Data],9)),"-")</f>
        <v>-</v>
      </c>
      <c r="K182" s="36"/>
      <c r="L182" s="45"/>
      <c r="M182" s="37"/>
      <c r="N182" s="38"/>
      <c r="O182" s="38"/>
      <c r="P182" s="39"/>
    </row>
    <row r="183" spans="2:16">
      <c r="B183" s="40" t="str">
        <f>IF(ISERR(casostestes[[#This Row],[ID]]),"-",casostestes[[#This Row],[ID]])</f>
        <v>-</v>
      </c>
      <c r="C183" s="34" t="str">
        <f>IFERROR(IF(VLOOKUP($B183,casostestes[#Data],10)=0,"Não",VLOOKUP($B183,casostestes[#Data],10)), "-")</f>
        <v>-</v>
      </c>
      <c r="D183" s="35" t="str">
        <f>IFERROR(IF(VLOOKUP($B183,casostestes[#Data],2)=0,"-",VLOOKUP($B183,casostestes[#Data],2)), "-")</f>
        <v>-</v>
      </c>
      <c r="E183" s="35" t="str">
        <f>IFERROR(IF(VLOOKUP($B183,casostestes[#Data],3)=0,"-",VLOOKUP($B183,casostestes[#Data],3)), "-")</f>
        <v>-</v>
      </c>
      <c r="F183" s="35" t="str">
        <f>IFERROR(IF(VLOOKUP($B183,casostestes[#Data],4)=0,"-",VLOOKUP($B183,casostestes[#Data],4)),"-")</f>
        <v>-</v>
      </c>
      <c r="G183" s="35" t="str">
        <f>IFERROR(IF(VLOOKUP($B183,casostestes[#Data],5)=0,"-",VLOOKUP($B183,casostestes[#Data],5)),"-")</f>
        <v>-</v>
      </c>
      <c r="H183" s="35" t="str">
        <f>IFERROR(IF(VLOOKUP($B183,casostestes[#Data],6)=0,"-",VLOOKUP($B183,casostestes[#Data],6)),"-")</f>
        <v>-</v>
      </c>
      <c r="I183" s="35" t="str">
        <f>IFERROR(IF(VLOOKUP($B183,casostestes[#Data],8)=0,"-",VLOOKUP($B183,casostestes[#Data],8)),"-")</f>
        <v>-</v>
      </c>
      <c r="J183" s="35" t="str">
        <f>IFERROR(IF(VLOOKUP($B183,casostestes[#Data],9)=0,"-",VLOOKUP($B183,casostestes[#Data],9)),"-")</f>
        <v>-</v>
      </c>
      <c r="K183" s="36"/>
      <c r="L183" s="45"/>
      <c r="M183" s="37"/>
      <c r="N183" s="38"/>
      <c r="O183" s="38"/>
      <c r="P183" s="39"/>
    </row>
    <row r="184" spans="2:16">
      <c r="B184" s="40" t="str">
        <f>IF(ISERR(casostestes[[#This Row],[ID]]),"-",casostestes[[#This Row],[ID]])</f>
        <v>-</v>
      </c>
      <c r="C184" s="34" t="str">
        <f>IFERROR(IF(VLOOKUP($B184,casostestes[#Data],10)=0,"Não",VLOOKUP($B184,casostestes[#Data],10)), "-")</f>
        <v>-</v>
      </c>
      <c r="D184" s="35" t="str">
        <f>IFERROR(IF(VLOOKUP($B184,casostestes[#Data],2)=0,"-",VLOOKUP($B184,casostestes[#Data],2)), "-")</f>
        <v>-</v>
      </c>
      <c r="E184" s="35" t="str">
        <f>IFERROR(IF(VLOOKUP($B184,casostestes[#Data],3)=0,"-",VLOOKUP($B184,casostestes[#Data],3)), "-")</f>
        <v>-</v>
      </c>
      <c r="F184" s="35" t="str">
        <f>IFERROR(IF(VLOOKUP($B184,casostestes[#Data],4)=0,"-",VLOOKUP($B184,casostestes[#Data],4)),"-")</f>
        <v>-</v>
      </c>
      <c r="G184" s="35" t="str">
        <f>IFERROR(IF(VLOOKUP($B184,casostestes[#Data],5)=0,"-",VLOOKUP($B184,casostestes[#Data],5)),"-")</f>
        <v>-</v>
      </c>
      <c r="H184" s="35" t="str">
        <f>IFERROR(IF(VLOOKUP($B184,casostestes[#Data],6)=0,"-",VLOOKUP($B184,casostestes[#Data],6)),"-")</f>
        <v>-</v>
      </c>
      <c r="I184" s="35" t="str">
        <f>IFERROR(IF(VLOOKUP($B184,casostestes[#Data],8)=0,"-",VLOOKUP($B184,casostestes[#Data],8)),"-")</f>
        <v>-</v>
      </c>
      <c r="J184" s="35" t="str">
        <f>IFERROR(IF(VLOOKUP($B184,casostestes[#Data],9)=0,"-",VLOOKUP($B184,casostestes[#Data],9)),"-")</f>
        <v>-</v>
      </c>
      <c r="K184" s="36"/>
      <c r="L184" s="45"/>
      <c r="M184" s="37"/>
      <c r="N184" s="38"/>
      <c r="O184" s="38"/>
      <c r="P184" s="39"/>
    </row>
    <row r="185" spans="2:16">
      <c r="B185" s="40" t="str">
        <f>IF(ISERR(casostestes[[#This Row],[ID]]),"-",casostestes[[#This Row],[ID]])</f>
        <v>-</v>
      </c>
      <c r="C185" s="34" t="str">
        <f>IFERROR(IF(VLOOKUP($B185,casostestes[#Data],10)=0,"Não",VLOOKUP($B185,casostestes[#Data],10)), "-")</f>
        <v>-</v>
      </c>
      <c r="D185" s="35" t="str">
        <f>IFERROR(IF(VLOOKUP($B185,casostestes[#Data],2)=0,"-",VLOOKUP($B185,casostestes[#Data],2)), "-")</f>
        <v>-</v>
      </c>
      <c r="E185" s="35" t="str">
        <f>IFERROR(IF(VLOOKUP($B185,casostestes[#Data],3)=0,"-",VLOOKUP($B185,casostestes[#Data],3)), "-")</f>
        <v>-</v>
      </c>
      <c r="F185" s="35" t="str">
        <f>IFERROR(IF(VLOOKUP($B185,casostestes[#Data],4)=0,"-",VLOOKUP($B185,casostestes[#Data],4)),"-")</f>
        <v>-</v>
      </c>
      <c r="G185" s="35" t="str">
        <f>IFERROR(IF(VLOOKUP($B185,casostestes[#Data],5)=0,"-",VLOOKUP($B185,casostestes[#Data],5)),"-")</f>
        <v>-</v>
      </c>
      <c r="H185" s="35" t="str">
        <f>IFERROR(IF(VLOOKUP($B185,casostestes[#Data],6)=0,"-",VLOOKUP($B185,casostestes[#Data],6)),"-")</f>
        <v>-</v>
      </c>
      <c r="I185" s="35" t="str">
        <f>IFERROR(IF(VLOOKUP($B185,casostestes[#Data],8)=0,"-",VLOOKUP($B185,casostestes[#Data],8)),"-")</f>
        <v>-</v>
      </c>
      <c r="J185" s="35" t="str">
        <f>IFERROR(IF(VLOOKUP($B185,casostestes[#Data],9)=0,"-",VLOOKUP($B185,casostestes[#Data],9)),"-")</f>
        <v>-</v>
      </c>
      <c r="K185" s="36"/>
      <c r="L185" s="45"/>
      <c r="M185" s="37"/>
      <c r="N185" s="38"/>
      <c r="O185" s="38"/>
      <c r="P185" s="39"/>
    </row>
    <row r="186" spans="2:16">
      <c r="B186" s="40" t="str">
        <f>IF(ISERR(casostestes[[#This Row],[ID]]),"-",casostestes[[#This Row],[ID]])</f>
        <v>-</v>
      </c>
      <c r="C186" s="34" t="str">
        <f>IFERROR(IF(VLOOKUP($B186,casostestes[#Data],10)=0,"Não",VLOOKUP($B186,casostestes[#Data],10)), "-")</f>
        <v>-</v>
      </c>
      <c r="D186" s="35" t="str">
        <f>IFERROR(IF(VLOOKUP($B186,casostestes[#Data],2)=0,"-",VLOOKUP($B186,casostestes[#Data],2)), "-")</f>
        <v>-</v>
      </c>
      <c r="E186" s="35" t="str">
        <f>IFERROR(IF(VLOOKUP($B186,casostestes[#Data],3)=0,"-",VLOOKUP($B186,casostestes[#Data],3)), "-")</f>
        <v>-</v>
      </c>
      <c r="F186" s="35" t="str">
        <f>IFERROR(IF(VLOOKUP($B186,casostestes[#Data],4)=0,"-",VLOOKUP($B186,casostestes[#Data],4)),"-")</f>
        <v>-</v>
      </c>
      <c r="G186" s="35" t="str">
        <f>IFERROR(IF(VLOOKUP($B186,casostestes[#Data],5)=0,"-",VLOOKUP($B186,casostestes[#Data],5)),"-")</f>
        <v>-</v>
      </c>
      <c r="H186" s="35" t="str">
        <f>IFERROR(IF(VLOOKUP($B186,casostestes[#Data],6)=0,"-",VLOOKUP($B186,casostestes[#Data],6)),"-")</f>
        <v>-</v>
      </c>
      <c r="I186" s="35" t="str">
        <f>IFERROR(IF(VLOOKUP($B186,casostestes[#Data],8)=0,"-",VLOOKUP($B186,casostestes[#Data],8)),"-")</f>
        <v>-</v>
      </c>
      <c r="J186" s="35" t="str">
        <f>IFERROR(IF(VLOOKUP($B186,casostestes[#Data],9)=0,"-",VLOOKUP($B186,casostestes[#Data],9)),"-")</f>
        <v>-</v>
      </c>
      <c r="K186" s="36"/>
      <c r="L186" s="45"/>
      <c r="M186" s="37"/>
      <c r="N186" s="38"/>
      <c r="O186" s="38"/>
      <c r="P186" s="39"/>
    </row>
    <row r="187" spans="2:16">
      <c r="B187" s="40" t="str">
        <f>IF(ISERR(casostestes[[#This Row],[ID]]),"-",casostestes[[#This Row],[ID]])</f>
        <v>-</v>
      </c>
      <c r="C187" s="34" t="str">
        <f>IFERROR(IF(VLOOKUP($B187,casostestes[#Data],10)=0,"Não",VLOOKUP($B187,casostestes[#Data],10)), "-")</f>
        <v>-</v>
      </c>
      <c r="D187" s="35" t="str">
        <f>IFERROR(IF(VLOOKUP($B187,casostestes[#Data],2)=0,"-",VLOOKUP($B187,casostestes[#Data],2)), "-")</f>
        <v>-</v>
      </c>
      <c r="E187" s="35" t="str">
        <f>IFERROR(IF(VLOOKUP($B187,casostestes[#Data],3)=0,"-",VLOOKUP($B187,casostestes[#Data],3)), "-")</f>
        <v>-</v>
      </c>
      <c r="F187" s="35" t="str">
        <f>IFERROR(IF(VLOOKUP($B187,casostestes[#Data],4)=0,"-",VLOOKUP($B187,casostestes[#Data],4)),"-")</f>
        <v>-</v>
      </c>
      <c r="G187" s="35" t="str">
        <f>IFERROR(IF(VLOOKUP($B187,casostestes[#Data],5)=0,"-",VLOOKUP($B187,casostestes[#Data],5)),"-")</f>
        <v>-</v>
      </c>
      <c r="H187" s="35" t="str">
        <f>IFERROR(IF(VLOOKUP($B187,casostestes[#Data],6)=0,"-",VLOOKUP($B187,casostestes[#Data],6)),"-")</f>
        <v>-</v>
      </c>
      <c r="I187" s="35" t="str">
        <f>IFERROR(IF(VLOOKUP($B187,casostestes[#Data],8)=0,"-",VLOOKUP($B187,casostestes[#Data],8)),"-")</f>
        <v>-</v>
      </c>
      <c r="J187" s="35" t="str">
        <f>IFERROR(IF(VLOOKUP($B187,casostestes[#Data],9)=0,"-",VLOOKUP($B187,casostestes[#Data],9)),"-")</f>
        <v>-</v>
      </c>
      <c r="K187" s="36"/>
      <c r="L187" s="45"/>
      <c r="M187" s="37"/>
      <c r="N187" s="38"/>
      <c r="O187" s="38"/>
      <c r="P187" s="39"/>
    </row>
    <row r="188" spans="2:16">
      <c r="B188" s="40" t="str">
        <f>IF(ISERR(casostestes[[#This Row],[ID]]),"-",casostestes[[#This Row],[ID]])</f>
        <v>-</v>
      </c>
      <c r="C188" s="34" t="str">
        <f>IFERROR(IF(VLOOKUP($B188,casostestes[#Data],10)=0,"Não",VLOOKUP($B188,casostestes[#Data],10)), "-")</f>
        <v>-</v>
      </c>
      <c r="D188" s="35" t="str">
        <f>IFERROR(IF(VLOOKUP($B188,casostestes[#Data],2)=0,"-",VLOOKUP($B188,casostestes[#Data],2)), "-")</f>
        <v>-</v>
      </c>
      <c r="E188" s="35" t="str">
        <f>IFERROR(IF(VLOOKUP($B188,casostestes[#Data],3)=0,"-",VLOOKUP($B188,casostestes[#Data],3)), "-")</f>
        <v>-</v>
      </c>
      <c r="F188" s="35" t="str">
        <f>IFERROR(IF(VLOOKUP($B188,casostestes[#Data],4)=0,"-",VLOOKUP($B188,casostestes[#Data],4)),"-")</f>
        <v>-</v>
      </c>
      <c r="G188" s="35" t="str">
        <f>IFERROR(IF(VLOOKUP($B188,casostestes[#Data],5)=0,"-",VLOOKUP($B188,casostestes[#Data],5)),"-")</f>
        <v>-</v>
      </c>
      <c r="H188" s="35" t="str">
        <f>IFERROR(IF(VLOOKUP($B188,casostestes[#Data],6)=0,"-",VLOOKUP($B188,casostestes[#Data],6)),"-")</f>
        <v>-</v>
      </c>
      <c r="I188" s="35" t="str">
        <f>IFERROR(IF(VLOOKUP($B188,casostestes[#Data],8)=0,"-",VLOOKUP($B188,casostestes[#Data],8)),"-")</f>
        <v>-</v>
      </c>
      <c r="J188" s="35" t="str">
        <f>IFERROR(IF(VLOOKUP($B188,casostestes[#Data],9)=0,"-",VLOOKUP($B188,casostestes[#Data],9)),"-")</f>
        <v>-</v>
      </c>
      <c r="K188" s="36"/>
      <c r="L188" s="45"/>
      <c r="M188" s="37"/>
      <c r="N188" s="38"/>
      <c r="O188" s="38"/>
      <c r="P188" s="39"/>
    </row>
    <row r="189" spans="2:16">
      <c r="B189" s="40" t="str">
        <f>IF(ISERR(casostestes[[#This Row],[ID]]),"-",casostestes[[#This Row],[ID]])</f>
        <v>-</v>
      </c>
      <c r="C189" s="34" t="str">
        <f>IFERROR(IF(VLOOKUP($B189,casostestes[#Data],10)=0,"Não",VLOOKUP($B189,casostestes[#Data],10)), "-")</f>
        <v>-</v>
      </c>
      <c r="D189" s="35" t="str">
        <f>IFERROR(IF(VLOOKUP($B189,casostestes[#Data],2)=0,"-",VLOOKUP($B189,casostestes[#Data],2)), "-")</f>
        <v>-</v>
      </c>
      <c r="E189" s="35" t="str">
        <f>IFERROR(IF(VLOOKUP($B189,casostestes[#Data],3)=0,"-",VLOOKUP($B189,casostestes[#Data],3)), "-")</f>
        <v>-</v>
      </c>
      <c r="F189" s="35" t="str">
        <f>IFERROR(IF(VLOOKUP($B189,casostestes[#Data],4)=0,"-",VLOOKUP($B189,casostestes[#Data],4)),"-")</f>
        <v>-</v>
      </c>
      <c r="G189" s="35" t="str">
        <f>IFERROR(IF(VLOOKUP($B189,casostestes[#Data],5)=0,"-",VLOOKUP($B189,casostestes[#Data],5)),"-")</f>
        <v>-</v>
      </c>
      <c r="H189" s="35" t="str">
        <f>IFERROR(IF(VLOOKUP($B189,casostestes[#Data],6)=0,"-",VLOOKUP($B189,casostestes[#Data],6)),"-")</f>
        <v>-</v>
      </c>
      <c r="I189" s="35" t="str">
        <f>IFERROR(IF(VLOOKUP($B189,casostestes[#Data],8)=0,"-",VLOOKUP($B189,casostestes[#Data],8)),"-")</f>
        <v>-</v>
      </c>
      <c r="J189" s="35" t="str">
        <f>IFERROR(IF(VLOOKUP($B189,casostestes[#Data],9)=0,"-",VLOOKUP($B189,casostestes[#Data],9)),"-")</f>
        <v>-</v>
      </c>
      <c r="K189" s="36"/>
      <c r="L189" s="45"/>
      <c r="M189" s="37"/>
      <c r="N189" s="38"/>
      <c r="O189" s="38"/>
      <c r="P189" s="39"/>
    </row>
    <row r="190" spans="2:16">
      <c r="B190" s="40" t="str">
        <f>IF(ISERR(casostestes[[#This Row],[ID]]),"-",casostestes[[#This Row],[ID]])</f>
        <v>-</v>
      </c>
      <c r="C190" s="34" t="str">
        <f>IFERROR(IF(VLOOKUP($B190,casostestes[#Data],10)=0,"Não",VLOOKUP($B190,casostestes[#Data],10)), "-")</f>
        <v>-</v>
      </c>
      <c r="D190" s="35" t="str">
        <f>IFERROR(IF(VLOOKUP($B190,casostestes[#Data],2)=0,"-",VLOOKUP($B190,casostestes[#Data],2)), "-")</f>
        <v>-</v>
      </c>
      <c r="E190" s="35" t="str">
        <f>IFERROR(IF(VLOOKUP($B190,casostestes[#Data],3)=0,"-",VLOOKUP($B190,casostestes[#Data],3)), "-")</f>
        <v>-</v>
      </c>
      <c r="F190" s="35" t="str">
        <f>IFERROR(IF(VLOOKUP($B190,casostestes[#Data],4)=0,"-",VLOOKUP($B190,casostestes[#Data],4)),"-")</f>
        <v>-</v>
      </c>
      <c r="G190" s="35" t="str">
        <f>IFERROR(IF(VLOOKUP($B190,casostestes[#Data],5)=0,"-",VLOOKUP($B190,casostestes[#Data],5)),"-")</f>
        <v>-</v>
      </c>
      <c r="H190" s="35" t="str">
        <f>IFERROR(IF(VLOOKUP($B190,casostestes[#Data],6)=0,"-",VLOOKUP($B190,casostestes[#Data],6)),"-")</f>
        <v>-</v>
      </c>
      <c r="I190" s="35" t="str">
        <f>IFERROR(IF(VLOOKUP($B190,casostestes[#Data],8)=0,"-",VLOOKUP($B190,casostestes[#Data],8)),"-")</f>
        <v>-</v>
      </c>
      <c r="J190" s="35" t="str">
        <f>IFERROR(IF(VLOOKUP($B190,casostestes[#Data],9)=0,"-",VLOOKUP($B190,casostestes[#Data],9)),"-")</f>
        <v>-</v>
      </c>
      <c r="K190" s="36"/>
      <c r="L190" s="45"/>
      <c r="M190" s="37"/>
      <c r="N190" s="38"/>
      <c r="O190" s="38"/>
      <c r="P190" s="39"/>
    </row>
    <row r="191" spans="2:16">
      <c r="B191" s="40" t="str">
        <f>IF(ISERR(casostestes[[#This Row],[ID]]),"-",casostestes[[#This Row],[ID]])</f>
        <v>-</v>
      </c>
      <c r="C191" s="34" t="str">
        <f>IFERROR(IF(VLOOKUP($B191,casostestes[#Data],10)=0,"Não",VLOOKUP($B191,casostestes[#Data],10)), "-")</f>
        <v>-</v>
      </c>
      <c r="D191" s="35" t="str">
        <f>IFERROR(IF(VLOOKUP($B191,casostestes[#Data],2)=0,"-",VLOOKUP($B191,casostestes[#Data],2)), "-")</f>
        <v>-</v>
      </c>
      <c r="E191" s="35" t="str">
        <f>IFERROR(IF(VLOOKUP($B191,casostestes[#Data],3)=0,"-",VLOOKUP($B191,casostestes[#Data],3)), "-")</f>
        <v>-</v>
      </c>
      <c r="F191" s="35" t="str">
        <f>IFERROR(IF(VLOOKUP($B191,casostestes[#Data],4)=0,"-",VLOOKUP($B191,casostestes[#Data],4)),"-")</f>
        <v>-</v>
      </c>
      <c r="G191" s="35" t="str">
        <f>IFERROR(IF(VLOOKUP($B191,casostestes[#Data],5)=0,"-",VLOOKUP($B191,casostestes[#Data],5)),"-")</f>
        <v>-</v>
      </c>
      <c r="H191" s="35" t="str">
        <f>IFERROR(IF(VLOOKUP($B191,casostestes[#Data],6)=0,"-",VLOOKUP($B191,casostestes[#Data],6)),"-")</f>
        <v>-</v>
      </c>
      <c r="I191" s="35" t="str">
        <f>IFERROR(IF(VLOOKUP($B191,casostestes[#Data],8)=0,"-",VLOOKUP($B191,casostestes[#Data],8)),"-")</f>
        <v>-</v>
      </c>
      <c r="J191" s="35" t="str">
        <f>IFERROR(IF(VLOOKUP($B191,casostestes[#Data],9)=0,"-",VLOOKUP($B191,casostestes[#Data],9)),"-")</f>
        <v>-</v>
      </c>
      <c r="K191" s="36"/>
      <c r="L191" s="45"/>
      <c r="M191" s="37"/>
      <c r="N191" s="38"/>
      <c r="O191" s="38"/>
      <c r="P191" s="39"/>
    </row>
    <row r="192" spans="2:16">
      <c r="B192" s="40" t="str">
        <f>IF(ISERR(casostestes[[#This Row],[ID]]),"-",casostestes[[#This Row],[ID]])</f>
        <v>-</v>
      </c>
      <c r="C192" s="34" t="str">
        <f>IFERROR(IF(VLOOKUP($B192,casostestes[#Data],10)=0,"Não",VLOOKUP($B192,casostestes[#Data],10)), "-")</f>
        <v>-</v>
      </c>
      <c r="D192" s="35" t="str">
        <f>IFERROR(IF(VLOOKUP($B192,casostestes[#Data],2)=0,"-",VLOOKUP($B192,casostestes[#Data],2)), "-")</f>
        <v>-</v>
      </c>
      <c r="E192" s="35" t="str">
        <f>IFERROR(IF(VLOOKUP($B192,casostestes[#Data],3)=0,"-",VLOOKUP($B192,casostestes[#Data],3)), "-")</f>
        <v>-</v>
      </c>
      <c r="F192" s="35" t="str">
        <f>IFERROR(IF(VLOOKUP($B192,casostestes[#Data],4)=0,"-",VLOOKUP($B192,casostestes[#Data],4)),"-")</f>
        <v>-</v>
      </c>
      <c r="G192" s="35" t="str">
        <f>IFERROR(IF(VLOOKUP($B192,casostestes[#Data],5)=0,"-",VLOOKUP($B192,casostestes[#Data],5)),"-")</f>
        <v>-</v>
      </c>
      <c r="H192" s="35" t="str">
        <f>IFERROR(IF(VLOOKUP($B192,casostestes[#Data],6)=0,"-",VLOOKUP($B192,casostestes[#Data],6)),"-")</f>
        <v>-</v>
      </c>
      <c r="I192" s="35" t="str">
        <f>IFERROR(IF(VLOOKUP($B192,casostestes[#Data],8)=0,"-",VLOOKUP($B192,casostestes[#Data],8)),"-")</f>
        <v>-</v>
      </c>
      <c r="J192" s="35" t="str">
        <f>IFERROR(IF(VLOOKUP($B192,casostestes[#Data],9)=0,"-",VLOOKUP($B192,casostestes[#Data],9)),"-")</f>
        <v>-</v>
      </c>
      <c r="K192" s="36"/>
      <c r="L192" s="45"/>
      <c r="M192" s="37"/>
      <c r="N192" s="38"/>
      <c r="O192" s="38"/>
      <c r="P192" s="39"/>
    </row>
    <row r="193" spans="2:16">
      <c r="B193" s="40" t="str">
        <f>IF(ISERR(casostestes[[#This Row],[ID]]),"-",casostestes[[#This Row],[ID]])</f>
        <v>-</v>
      </c>
      <c r="C193" s="34" t="str">
        <f>IFERROR(IF(VLOOKUP($B193,casostestes[#Data],10)=0,"Não",VLOOKUP($B193,casostestes[#Data],10)), "-")</f>
        <v>-</v>
      </c>
      <c r="D193" s="35" t="str">
        <f>IFERROR(IF(VLOOKUP($B193,casostestes[#Data],2)=0,"-",VLOOKUP($B193,casostestes[#Data],2)), "-")</f>
        <v>-</v>
      </c>
      <c r="E193" s="35" t="str">
        <f>IFERROR(IF(VLOOKUP($B193,casostestes[#Data],3)=0,"-",VLOOKUP($B193,casostestes[#Data],3)), "-")</f>
        <v>-</v>
      </c>
      <c r="F193" s="35" t="str">
        <f>IFERROR(IF(VLOOKUP($B193,casostestes[#Data],4)=0,"-",VLOOKUP($B193,casostestes[#Data],4)),"-")</f>
        <v>-</v>
      </c>
      <c r="G193" s="35" t="str">
        <f>IFERROR(IF(VLOOKUP($B193,casostestes[#Data],5)=0,"-",VLOOKUP($B193,casostestes[#Data],5)),"-")</f>
        <v>-</v>
      </c>
      <c r="H193" s="35" t="str">
        <f>IFERROR(IF(VLOOKUP($B193,casostestes[#Data],6)=0,"-",VLOOKUP($B193,casostestes[#Data],6)),"-")</f>
        <v>-</v>
      </c>
      <c r="I193" s="35" t="str">
        <f>IFERROR(IF(VLOOKUP($B193,casostestes[#Data],8)=0,"-",VLOOKUP($B193,casostestes[#Data],8)),"-")</f>
        <v>-</v>
      </c>
      <c r="J193" s="35" t="str">
        <f>IFERROR(IF(VLOOKUP($B193,casostestes[#Data],9)=0,"-",VLOOKUP($B193,casostestes[#Data],9)),"-")</f>
        <v>-</v>
      </c>
      <c r="K193" s="36"/>
      <c r="L193" s="45"/>
      <c r="M193" s="37"/>
      <c r="N193" s="38"/>
      <c r="O193" s="38"/>
      <c r="P193" s="39"/>
    </row>
    <row r="194" spans="2:16">
      <c r="B194" s="40" t="str">
        <f>IF(ISERR(casostestes[[#This Row],[ID]]),"-",casostestes[[#This Row],[ID]])</f>
        <v>-</v>
      </c>
      <c r="C194" s="34" t="str">
        <f>IFERROR(IF(VLOOKUP($B194,casostestes[#Data],10)=0,"Não",VLOOKUP($B194,casostestes[#Data],10)), "-")</f>
        <v>-</v>
      </c>
      <c r="D194" s="35" t="str">
        <f>IFERROR(IF(VLOOKUP($B194,casostestes[#Data],2)=0,"-",VLOOKUP($B194,casostestes[#Data],2)), "-")</f>
        <v>-</v>
      </c>
      <c r="E194" s="35" t="str">
        <f>IFERROR(IF(VLOOKUP($B194,casostestes[#Data],3)=0,"-",VLOOKUP($B194,casostestes[#Data],3)), "-")</f>
        <v>-</v>
      </c>
      <c r="F194" s="35" t="str">
        <f>IFERROR(IF(VLOOKUP($B194,casostestes[#Data],4)=0,"-",VLOOKUP($B194,casostestes[#Data],4)),"-")</f>
        <v>-</v>
      </c>
      <c r="G194" s="35" t="str">
        <f>IFERROR(IF(VLOOKUP($B194,casostestes[#Data],5)=0,"-",VLOOKUP($B194,casostestes[#Data],5)),"-")</f>
        <v>-</v>
      </c>
      <c r="H194" s="35" t="str">
        <f>IFERROR(IF(VLOOKUP($B194,casostestes[#Data],6)=0,"-",VLOOKUP($B194,casostestes[#Data],6)),"-")</f>
        <v>-</v>
      </c>
      <c r="I194" s="35" t="str">
        <f>IFERROR(IF(VLOOKUP($B194,casostestes[#Data],8)=0,"-",VLOOKUP($B194,casostestes[#Data],8)),"-")</f>
        <v>-</v>
      </c>
      <c r="J194" s="35" t="str">
        <f>IFERROR(IF(VLOOKUP($B194,casostestes[#Data],9)=0,"-",VLOOKUP($B194,casostestes[#Data],9)),"-")</f>
        <v>-</v>
      </c>
      <c r="K194" s="36"/>
      <c r="L194" s="45"/>
      <c r="M194" s="37"/>
      <c r="N194" s="38"/>
      <c r="O194" s="38"/>
      <c r="P194" s="39"/>
    </row>
    <row r="195" spans="2:16">
      <c r="B195" s="40" t="str">
        <f>IF(ISERR(casostestes[[#This Row],[ID]]),"-",casostestes[[#This Row],[ID]])</f>
        <v>-</v>
      </c>
      <c r="C195" s="34" t="str">
        <f>IFERROR(IF(VLOOKUP($B195,casostestes[#Data],10)=0,"Não",VLOOKUP($B195,casostestes[#Data],10)), "-")</f>
        <v>-</v>
      </c>
      <c r="D195" s="35" t="str">
        <f>IFERROR(IF(VLOOKUP($B195,casostestes[#Data],2)=0,"-",VLOOKUP($B195,casostestes[#Data],2)), "-")</f>
        <v>-</v>
      </c>
      <c r="E195" s="35" t="str">
        <f>IFERROR(IF(VLOOKUP($B195,casostestes[#Data],3)=0,"-",VLOOKUP($B195,casostestes[#Data],3)), "-")</f>
        <v>-</v>
      </c>
      <c r="F195" s="35" t="str">
        <f>IFERROR(IF(VLOOKUP($B195,casostestes[#Data],4)=0,"-",VLOOKUP($B195,casostestes[#Data],4)),"-")</f>
        <v>-</v>
      </c>
      <c r="G195" s="35" t="str">
        <f>IFERROR(IF(VLOOKUP($B195,casostestes[#Data],5)=0,"-",VLOOKUP($B195,casostestes[#Data],5)),"-")</f>
        <v>-</v>
      </c>
      <c r="H195" s="35" t="str">
        <f>IFERROR(IF(VLOOKUP($B195,casostestes[#Data],6)=0,"-",VLOOKUP($B195,casostestes[#Data],6)),"-")</f>
        <v>-</v>
      </c>
      <c r="I195" s="35" t="str">
        <f>IFERROR(IF(VLOOKUP($B195,casostestes[#Data],8)=0,"-",VLOOKUP($B195,casostestes[#Data],8)),"-")</f>
        <v>-</v>
      </c>
      <c r="J195" s="35" t="str">
        <f>IFERROR(IF(VLOOKUP($B195,casostestes[#Data],9)=0,"-",VLOOKUP($B195,casostestes[#Data],9)),"-")</f>
        <v>-</v>
      </c>
      <c r="K195" s="36"/>
      <c r="L195" s="45"/>
      <c r="M195" s="37"/>
      <c r="N195" s="38"/>
      <c r="O195" s="38"/>
      <c r="P195" s="39"/>
    </row>
    <row r="196" spans="2:16">
      <c r="B196" s="40" t="str">
        <f>IF(ISERR(casostestes[[#This Row],[ID]]),"-",casostestes[[#This Row],[ID]])</f>
        <v>-</v>
      </c>
      <c r="C196" s="34" t="str">
        <f>IFERROR(IF(VLOOKUP($B196,casostestes[#Data],10)=0,"Não",VLOOKUP($B196,casostestes[#Data],10)), "-")</f>
        <v>-</v>
      </c>
      <c r="D196" s="35" t="str">
        <f>IFERROR(IF(VLOOKUP($B196,casostestes[#Data],2)=0,"-",VLOOKUP($B196,casostestes[#Data],2)), "-")</f>
        <v>-</v>
      </c>
      <c r="E196" s="35" t="str">
        <f>IFERROR(IF(VLOOKUP($B196,casostestes[#Data],3)=0,"-",VLOOKUP($B196,casostestes[#Data],3)), "-")</f>
        <v>-</v>
      </c>
      <c r="F196" s="35" t="str">
        <f>IFERROR(IF(VLOOKUP($B196,casostestes[#Data],4)=0,"-",VLOOKUP($B196,casostestes[#Data],4)),"-")</f>
        <v>-</v>
      </c>
      <c r="G196" s="35" t="str">
        <f>IFERROR(IF(VLOOKUP($B196,casostestes[#Data],5)=0,"-",VLOOKUP($B196,casostestes[#Data],5)),"-")</f>
        <v>-</v>
      </c>
      <c r="H196" s="35" t="str">
        <f>IFERROR(IF(VLOOKUP($B196,casostestes[#Data],6)=0,"-",VLOOKUP($B196,casostestes[#Data],6)),"-")</f>
        <v>-</v>
      </c>
      <c r="I196" s="35" t="str">
        <f>IFERROR(IF(VLOOKUP($B196,casostestes[#Data],8)=0,"-",VLOOKUP($B196,casostestes[#Data],8)),"-")</f>
        <v>-</v>
      </c>
      <c r="J196" s="35" t="str">
        <f>IFERROR(IF(VLOOKUP($B196,casostestes[#Data],9)=0,"-",VLOOKUP($B196,casostestes[#Data],9)),"-")</f>
        <v>-</v>
      </c>
      <c r="K196" s="36"/>
      <c r="L196" s="45"/>
      <c r="M196" s="37"/>
      <c r="N196" s="38"/>
      <c r="O196" s="38"/>
      <c r="P196" s="39"/>
    </row>
    <row r="197" spans="2:16">
      <c r="B197" s="40" t="str">
        <f>IF(ISERR(casostestes[[#This Row],[ID]]),"-",casostestes[[#This Row],[ID]])</f>
        <v>-</v>
      </c>
      <c r="C197" s="34" t="str">
        <f>IFERROR(IF(VLOOKUP($B197,casostestes[#Data],10)=0,"Não",VLOOKUP($B197,casostestes[#Data],10)), "-")</f>
        <v>-</v>
      </c>
      <c r="D197" s="35" t="str">
        <f>IFERROR(IF(VLOOKUP($B197,casostestes[#Data],2)=0,"-",VLOOKUP($B197,casostestes[#Data],2)), "-")</f>
        <v>-</v>
      </c>
      <c r="E197" s="35" t="str">
        <f>IFERROR(IF(VLOOKUP($B197,casostestes[#Data],3)=0,"-",VLOOKUP($B197,casostestes[#Data],3)), "-")</f>
        <v>-</v>
      </c>
      <c r="F197" s="35" t="str">
        <f>IFERROR(IF(VLOOKUP($B197,casostestes[#Data],4)=0,"-",VLOOKUP($B197,casostestes[#Data],4)),"-")</f>
        <v>-</v>
      </c>
      <c r="G197" s="35" t="str">
        <f>IFERROR(IF(VLOOKUP($B197,casostestes[#Data],5)=0,"-",VLOOKUP($B197,casostestes[#Data],5)),"-")</f>
        <v>-</v>
      </c>
      <c r="H197" s="35" t="str">
        <f>IFERROR(IF(VLOOKUP($B197,casostestes[#Data],6)=0,"-",VLOOKUP($B197,casostestes[#Data],6)),"-")</f>
        <v>-</v>
      </c>
      <c r="I197" s="35" t="str">
        <f>IFERROR(IF(VLOOKUP($B197,casostestes[#Data],8)=0,"-",VLOOKUP($B197,casostestes[#Data],8)),"-")</f>
        <v>-</v>
      </c>
      <c r="J197" s="35" t="str">
        <f>IFERROR(IF(VLOOKUP($B197,casostestes[#Data],9)=0,"-",VLOOKUP($B197,casostestes[#Data],9)),"-")</f>
        <v>-</v>
      </c>
      <c r="K197" s="36"/>
      <c r="L197" s="45"/>
      <c r="M197" s="37"/>
      <c r="N197" s="38"/>
      <c r="O197" s="38"/>
      <c r="P197" s="39"/>
    </row>
    <row r="198" spans="2:16">
      <c r="B198" s="40" t="str">
        <f>IF(ISERR(casostestes[[#This Row],[ID]]),"-",casostestes[[#This Row],[ID]])</f>
        <v>-</v>
      </c>
      <c r="C198" s="34" t="str">
        <f>IFERROR(IF(VLOOKUP($B198,casostestes[#Data],10)=0,"Não",VLOOKUP($B198,casostestes[#Data],10)), "-")</f>
        <v>-</v>
      </c>
      <c r="D198" s="35" t="str">
        <f>IFERROR(IF(VLOOKUP($B198,casostestes[#Data],2)=0,"-",VLOOKUP($B198,casostestes[#Data],2)), "-")</f>
        <v>-</v>
      </c>
      <c r="E198" s="35" t="str">
        <f>IFERROR(IF(VLOOKUP($B198,casostestes[#Data],3)=0,"-",VLOOKUP($B198,casostestes[#Data],3)), "-")</f>
        <v>-</v>
      </c>
      <c r="F198" s="35" t="str">
        <f>IFERROR(IF(VLOOKUP($B198,casostestes[#Data],4)=0,"-",VLOOKUP($B198,casostestes[#Data],4)),"-")</f>
        <v>-</v>
      </c>
      <c r="G198" s="35" t="str">
        <f>IFERROR(IF(VLOOKUP($B198,casostestes[#Data],5)=0,"-",VLOOKUP($B198,casostestes[#Data],5)),"-")</f>
        <v>-</v>
      </c>
      <c r="H198" s="35" t="str">
        <f>IFERROR(IF(VLOOKUP($B198,casostestes[#Data],6)=0,"-",VLOOKUP($B198,casostestes[#Data],6)),"-")</f>
        <v>-</v>
      </c>
      <c r="I198" s="35" t="str">
        <f>IFERROR(IF(VLOOKUP($B198,casostestes[#Data],8)=0,"-",VLOOKUP($B198,casostestes[#Data],8)),"-")</f>
        <v>-</v>
      </c>
      <c r="J198" s="35" t="str">
        <f>IFERROR(IF(VLOOKUP($B198,casostestes[#Data],9)=0,"-",VLOOKUP($B198,casostestes[#Data],9)),"-")</f>
        <v>-</v>
      </c>
      <c r="K198" s="36"/>
      <c r="L198" s="45"/>
      <c r="M198" s="37"/>
      <c r="N198" s="38"/>
      <c r="O198" s="38"/>
      <c r="P198" s="39"/>
    </row>
    <row r="199" spans="2:16">
      <c r="B199" s="40" t="str">
        <f>IF(ISERR(casostestes[[#This Row],[ID]]),"-",casostestes[[#This Row],[ID]])</f>
        <v>-</v>
      </c>
      <c r="C199" s="34" t="str">
        <f>IFERROR(IF(VLOOKUP($B199,casostestes[#Data],10)=0,"Não",VLOOKUP($B199,casostestes[#Data],10)), "-")</f>
        <v>-</v>
      </c>
      <c r="D199" s="35" t="str">
        <f>IFERROR(IF(VLOOKUP($B199,casostestes[#Data],2)=0,"-",VLOOKUP($B199,casostestes[#Data],2)), "-")</f>
        <v>-</v>
      </c>
      <c r="E199" s="35" t="str">
        <f>IFERROR(IF(VLOOKUP($B199,casostestes[#Data],3)=0,"-",VLOOKUP($B199,casostestes[#Data],3)), "-")</f>
        <v>-</v>
      </c>
      <c r="F199" s="35" t="str">
        <f>IFERROR(IF(VLOOKUP($B199,casostestes[#Data],4)=0,"-",VLOOKUP($B199,casostestes[#Data],4)),"-")</f>
        <v>-</v>
      </c>
      <c r="G199" s="35" t="str">
        <f>IFERROR(IF(VLOOKUP($B199,casostestes[#Data],5)=0,"-",VLOOKUP($B199,casostestes[#Data],5)),"-")</f>
        <v>-</v>
      </c>
      <c r="H199" s="35" t="str">
        <f>IFERROR(IF(VLOOKUP($B199,casostestes[#Data],6)=0,"-",VLOOKUP($B199,casostestes[#Data],6)),"-")</f>
        <v>-</v>
      </c>
      <c r="I199" s="35" t="str">
        <f>IFERROR(IF(VLOOKUP($B199,casostestes[#Data],8)=0,"-",VLOOKUP($B199,casostestes[#Data],8)),"-")</f>
        <v>-</v>
      </c>
      <c r="J199" s="35" t="str">
        <f>IFERROR(IF(VLOOKUP($B199,casostestes[#Data],9)=0,"-",VLOOKUP($B199,casostestes[#Data],9)),"-")</f>
        <v>-</v>
      </c>
      <c r="K199" s="36"/>
      <c r="L199" s="45"/>
      <c r="M199" s="37"/>
      <c r="N199" s="38"/>
      <c r="O199" s="38"/>
      <c r="P199" s="39"/>
    </row>
    <row r="200" spans="2:16">
      <c r="B200" s="40" t="str">
        <f>IF(ISERR(casostestes[[#This Row],[ID]]),"-",casostestes[[#This Row],[ID]])</f>
        <v>-</v>
      </c>
      <c r="C200" s="41" t="str">
        <f>IFERROR(IF(VLOOKUP($B200,casostestes[#Data],10)=0,"Não",VLOOKUP($B200,casostestes[#Data],10)), "-")</f>
        <v>-</v>
      </c>
      <c r="D200" s="42" t="str">
        <f>IFERROR(IF(VLOOKUP($B200,casostestes[#Data],2)=0,"-",VLOOKUP($B200,casostestes[#Data],2)), "-")</f>
        <v>-</v>
      </c>
      <c r="E200" s="42" t="str">
        <f>IFERROR(IF(VLOOKUP($B200,casostestes[#Data],3)=0,"-",VLOOKUP($B200,casostestes[#Data],3)), "-")</f>
        <v>-</v>
      </c>
      <c r="F200" s="42" t="str">
        <f>IFERROR(IF(VLOOKUP($B200,casostestes[#Data],4)=0,"-",VLOOKUP($B200,casostestes[#Data],4)),"-")</f>
        <v>-</v>
      </c>
      <c r="G200" s="42" t="str">
        <f>IFERROR(IF(VLOOKUP($B200,casostestes[#Data],5)=0,"-",VLOOKUP($B200,casostestes[#Data],5)),"-")</f>
        <v>-</v>
      </c>
      <c r="H200" s="42" t="str">
        <f>IFERROR(IF(VLOOKUP($B200,casostestes[#Data],6)=0,"-",VLOOKUP($B200,casostestes[#Data],6)),"-")</f>
        <v>-</v>
      </c>
      <c r="I200" s="42" t="str">
        <f>IFERROR(IF(VLOOKUP($B200,casostestes[#Data],8)=0,"-",VLOOKUP($B200,casostestes[#Data],8)),"-")</f>
        <v>-</v>
      </c>
      <c r="J200" s="42" t="str">
        <f>IFERROR(IF(VLOOKUP($B200,casostestes[#Data],9)=0,"-",VLOOKUP($B200,casostestes[#Data],9)),"-")</f>
        <v>-</v>
      </c>
      <c r="K200" s="43"/>
      <c r="L200" s="45"/>
      <c r="M200" s="44"/>
      <c r="N200" s="45"/>
      <c r="O200" s="45"/>
      <c r="P200" s="46"/>
    </row>
  </sheetData>
  <mergeCells count="3">
    <mergeCell ref="B1:J1"/>
    <mergeCell ref="B2:J2"/>
    <mergeCell ref="B3:J3"/>
  </mergeCells>
  <conditionalFormatting sqref="C8:C200 C201:D1048576">
    <cfRule type="cellIs" dxfId="155" priority="6" operator="equal">
      <formula>"Sim"</formula>
    </cfRule>
    <cfRule type="cellIs" dxfId="154" priority="7" operator="equal">
      <formula>"Não"</formula>
    </cfRule>
  </conditionalFormatting>
  <conditionalFormatting sqref="M8:M200">
    <cfRule type="cellIs" dxfId="153" priority="1" operator="equal">
      <formula>"Sem massa"</formula>
    </cfRule>
    <cfRule type="cellIs" dxfId="152" priority="2" operator="equal">
      <formula>"Pendência Externa"</formula>
    </cfRule>
    <cfRule type="cellIs" dxfId="151" priority="3" operator="equal">
      <formula>"Disponível para reteste"</formula>
    </cfRule>
    <cfRule type="cellIs" dxfId="150" priority="4" operator="equal">
      <formula>"Reprovado"</formula>
    </cfRule>
    <cfRule type="cellIs" dxfId="149" priority="5" operator="equal">
      <formula>"Aprovado"</formula>
    </cfRule>
  </conditionalFormatting>
  <dataValidations disablePrompts="1" count="1">
    <dataValidation type="list" allowBlank="1" showInputMessage="1" showErrorMessage="1" sqref="M8:M200" xr:uid="{E907CD86-39D1-41DD-B613-648FADA3AD87}">
      <formula1>INDIRECT("status[status]")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804AB-7E67-4B0A-9348-21D020647253}">
  <sheetPr>
    <tabColor theme="9" tint="0.79998168889431442"/>
  </sheetPr>
  <dimension ref="B1:P200"/>
  <sheetViews>
    <sheetView showGridLines="0" zoomScaleNormal="100" workbookViewId="0">
      <pane xSplit="5" ySplit="7" topLeftCell="K31" activePane="bottomRight" state="frozen"/>
      <selection pane="bottomRight" activeCell="L32" sqref="L32"/>
      <selection pane="bottomLeft"/>
      <selection pane="topRight"/>
    </sheetView>
  </sheetViews>
  <sheetFormatPr defaultColWidth="9.140625" defaultRowHeight="15"/>
  <cols>
    <col min="1" max="1" width="2.7109375" style="14" customWidth="1"/>
    <col min="2" max="2" width="7.7109375" style="14" customWidth="1"/>
    <col min="3" max="3" width="15.42578125" style="14" customWidth="1"/>
    <col min="4" max="4" width="26" style="14" customWidth="1"/>
    <col min="5" max="5" width="57.42578125" style="14" customWidth="1"/>
    <col min="6" max="6" width="17.7109375" style="14" customWidth="1"/>
    <col min="7" max="7" width="24.42578125" style="14" customWidth="1"/>
    <col min="8" max="8" width="57.42578125" style="14" customWidth="1"/>
    <col min="9" max="9" width="16.7109375" style="14" customWidth="1"/>
    <col min="10" max="10" width="104.7109375" style="14" customWidth="1"/>
    <col min="11" max="11" width="18" style="14" customWidth="1"/>
    <col min="12" max="12" width="20.5703125" style="14" customWidth="1"/>
    <col min="13" max="13" width="21.85546875" style="14" customWidth="1"/>
    <col min="14" max="14" width="31.5703125" style="14" customWidth="1"/>
    <col min="15" max="15" width="24.85546875" style="14" customWidth="1"/>
    <col min="16" max="16" width="22.42578125" style="14" customWidth="1"/>
    <col min="17" max="16384" width="9.140625" style="14"/>
  </cols>
  <sheetData>
    <row r="1" spans="2:16" ht="26.25">
      <c r="B1" s="106" t="s">
        <v>0</v>
      </c>
      <c r="C1" s="106"/>
      <c r="D1" s="106"/>
      <c r="E1" s="106"/>
      <c r="F1" s="106"/>
      <c r="G1" s="106"/>
      <c r="H1" s="106"/>
      <c r="I1" s="106"/>
      <c r="J1" s="106"/>
      <c r="K1" s="19"/>
      <c r="L1" s="19"/>
    </row>
    <row r="2" spans="2:16" s="21" customFormat="1" ht="23.25">
      <c r="B2" s="107" t="s">
        <v>1</v>
      </c>
      <c r="C2" s="107"/>
      <c r="D2" s="107"/>
      <c r="E2" s="107"/>
      <c r="F2" s="107"/>
      <c r="G2" s="107"/>
      <c r="H2" s="107"/>
      <c r="I2" s="107"/>
      <c r="J2" s="107"/>
      <c r="K2" s="20"/>
      <c r="L2" s="20"/>
    </row>
    <row r="3" spans="2:16" s="21" customFormat="1" ht="23.25">
      <c r="B3" s="107" t="s">
        <v>2</v>
      </c>
      <c r="C3" s="107"/>
      <c r="D3" s="107"/>
      <c r="E3" s="107"/>
      <c r="F3" s="107"/>
      <c r="G3" s="107"/>
      <c r="H3" s="107"/>
      <c r="I3" s="107"/>
      <c r="J3" s="107"/>
      <c r="K3" s="20"/>
      <c r="L3" s="20"/>
    </row>
    <row r="5" spans="2:16">
      <c r="B5" s="3"/>
      <c r="E5" s="3"/>
    </row>
    <row r="7" spans="2:16" s="3" customFormat="1">
      <c r="B7" s="15" t="s">
        <v>3</v>
      </c>
      <c r="C7" s="16" t="s">
        <v>4</v>
      </c>
      <c r="D7" s="16" t="s">
        <v>5</v>
      </c>
      <c r="E7" s="17" t="s">
        <v>6</v>
      </c>
      <c r="F7" s="17" t="s">
        <v>7</v>
      </c>
      <c r="G7" s="17" t="s">
        <v>8</v>
      </c>
      <c r="H7" s="17" t="s">
        <v>9</v>
      </c>
      <c r="I7" s="17" t="s">
        <v>10</v>
      </c>
      <c r="J7" s="17" t="s">
        <v>11</v>
      </c>
      <c r="K7" s="17" t="s">
        <v>12</v>
      </c>
      <c r="L7" s="17" t="s">
        <v>13</v>
      </c>
      <c r="M7" s="17" t="s">
        <v>14</v>
      </c>
      <c r="N7" s="17" t="s">
        <v>15</v>
      </c>
      <c r="O7" s="17" t="s">
        <v>16</v>
      </c>
      <c r="P7" s="18" t="s">
        <v>17</v>
      </c>
    </row>
    <row r="8" spans="2:16" s="13" customFormat="1" ht="150" customHeight="1">
      <c r="B8" s="34">
        <f>IF(ISERR(casostestes[[#This Row],[ID]]),"-",casostestes[[#This Row],[ID]])</f>
        <v>1</v>
      </c>
      <c r="C8" s="34" t="str">
        <f>IFERROR(IF(VLOOKUP($B8,casostestes[#Data],10)=0,"Não",VLOOKUP($B8,casostestes[#Data],10)), "-")</f>
        <v>Sim</v>
      </c>
      <c r="D8" s="35" t="str">
        <f>IFERROR(IF(VLOOKUP($B8,casostestes[#Data],2)=0,"-",VLOOKUP($B8,casostestes[#Data],2)), "-")</f>
        <v>Requerimento Inicial de BI</v>
      </c>
      <c r="E8" s="35" t="str">
        <f>IFERROR(IF(VLOOKUP($B8,casostestes[#Data],3)=0,"-",VLOOKUP($B8,casostestes[#Data],3)), "-")</f>
        <v>6
Criação de tarefa de BI inicial com fluxo ATESTMED para categoria DIFERENTE de Segurado Especial COM exigência de preenchimento da AD.
Premissas:
Catálogo: Exige autodeclaração = ATIVADO
Parâmetro:  144 - Fluxo ATESTMED = LIGADO</v>
      </c>
      <c r="F8" s="35" t="str">
        <f>IFERROR(IF(VLOOKUP($B8,casostestes[#Data],4)=0,"-",VLOOKUP($B8,casostestes[#Data],4)),"-")</f>
        <v>Central 135</v>
      </c>
      <c r="G8" s="35" t="str">
        <f>IFERROR(IF(VLOOKUP($B8,casostestes[#Data],5)=0,"-",VLOOKUP($B8,casostestes[#Data],5)),"-")</f>
        <v>ATENDENTE_CENTRAL_135</v>
      </c>
      <c r="H8" s="35" t="str">
        <f>IFERROR(IF(VLOOKUP($B8,casostestes[#Data],6)=0,"-",VLOOKUP($B8,casostestes[#Data],6)),"-")</f>
        <v>1. Logar no Portal do Atendimento INSS com o perfil do caso de teste
2. Criar tarefa de BI informando:
- Tipo de Incapacidade? "Temporário"
- A pessoa está presa?  "Não"
- Categoria do trabalhador "Desempregado" ...
- A pessoa ficou sem trabalhar? "Sim"</v>
      </c>
      <c r="I8" s="35" t="str">
        <f>IFERROR(IF(VLOOKUP($B8,casostestes[#Data],8)=0,"-",VLOOKUP($B8,casostestes[#Data],8)),"-")</f>
        <v>-</v>
      </c>
      <c r="J8" s="35" t="str">
        <f>IFERROR(IF(VLOOKUP($B8,casostestes[#Data],9)=0,"-",VLOOKUP($B8,casostestes[#Data],9)),"-")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8" s="36">
        <v>46251</v>
      </c>
      <c r="L8" s="38" t="s">
        <v>213</v>
      </c>
      <c r="M8" s="37" t="s">
        <v>22</v>
      </c>
      <c r="N8" s="38"/>
      <c r="O8" s="38"/>
      <c r="P8" s="39"/>
    </row>
    <row r="9" spans="2:16" ht="240">
      <c r="B9" s="40">
        <f>IF(ISERR(casostestes[[#This Row],[ID]]),"-",casostestes[[#This Row],[ID]])</f>
        <v>2</v>
      </c>
      <c r="C9" s="41" t="str">
        <f>IFERROR(IF(VLOOKUP($B9,casostestes[#Data],10)=0,"Não",VLOOKUP($B9,casostestes[#Data],10)), "-")</f>
        <v>Sim</v>
      </c>
      <c r="D9" s="42" t="str">
        <f>IFERROR(IF(VLOOKUP($B9,casostestes[#Data],2)=0,"-",VLOOKUP($B9,casostestes[#Data],2)), "-")</f>
        <v>Integração</v>
      </c>
      <c r="E9" s="42" t="str">
        <f>IFERROR(IF(VLOOKUP($B9,casostestes[#Data],3)=0,"-",VLOOKUP($B9,casostestes[#Data],3)), "-")</f>
        <v>12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9" s="42" t="str">
        <f>IFERROR(IF(VLOOKUP($B9,casostestes[#Data],4)=0,"-",VLOOKUP($B9,casostestes[#Data],4)),"-")</f>
        <v>PAT</v>
      </c>
      <c r="G9" s="42" t="str">
        <f>IFERROR(IF(VLOOKUP($B9,casostestes[#Data],5)=0,"-",VLOOKUP($B9,casostestes[#Data],5)),"-")</f>
        <v>SERVIDOR</v>
      </c>
      <c r="H9" s="42" t="str">
        <f>IFERROR(IF(VLOOKUP($B9,casostestes[#Data],6)=0,"-",VLOOKUP($B9,casostestes[#Data],6)),"-")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9" s="42" t="str">
        <f>IFERROR(IF(VLOOKUP($B9,casostestes[#Data],8)=0,"-",VLOOKUP($B9,casostestes[#Data],8)),"-")</f>
        <v>-</v>
      </c>
      <c r="J9" s="42" t="str">
        <f>IFERROR(IF(VLOOKUP($B9,casostestes[#Data],9)=0,"-",VLOOKUP($B9,casostestes[#Data],9)),"-")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9" s="43">
        <v>46251</v>
      </c>
      <c r="L9" s="45" t="s">
        <v>214</v>
      </c>
      <c r="M9" s="44" t="s">
        <v>22</v>
      </c>
      <c r="N9" s="45" t="s">
        <v>215</v>
      </c>
      <c r="O9" s="45"/>
      <c r="P9" s="46"/>
    </row>
    <row r="10" spans="2:16" ht="207.75" customHeight="1">
      <c r="B10" s="40">
        <f>IF(ISERR(casostestes[[#This Row],[ID]]),"-",casostestes[[#This Row],[ID]])</f>
        <v>3</v>
      </c>
      <c r="C10" s="34" t="str">
        <f>IFERROR(IF(VLOOKUP($B10,casostestes[#Data],10)=0,"Não",VLOOKUP($B10,casostestes[#Data],10)), "-")</f>
        <v>Sim</v>
      </c>
      <c r="D10" s="35" t="str">
        <f>IFERROR(IF(VLOOKUP($B10,casostestes[#Data],2)=0,"-",VLOOKUP($B10,casostestes[#Data],2)), "-")</f>
        <v>Integração</v>
      </c>
      <c r="E10" s="35" t="str">
        <f>IFERROR(IF(VLOOKUP($B10,casostestes[#Data],3)=0,"-",VLOOKUP($B10,casostestes[#Data],3)), "-")</f>
        <v>13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10" s="35" t="str">
        <f>IFERROR(IF(VLOOKUP($B10,casostestes[#Data],4)=0,"-",VLOOKUP($B10,casostestes[#Data],4)),"-")</f>
        <v>PAT</v>
      </c>
      <c r="G10" s="35" t="str">
        <f>IFERROR(IF(VLOOKUP($B10,casostestes[#Data],5)=0,"-",VLOOKUP($B10,casostestes[#Data],5)),"-")</f>
        <v>SERVIDOR</v>
      </c>
      <c r="H10" s="35" t="str">
        <f>IFERROR(IF(VLOOKUP($B10,casostestes[#Data],6)=0,"-",VLOOKUP($B10,casostestes[#Data],6)),"-")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10" s="35" t="str">
        <f>IFERROR(IF(VLOOKUP($B10,casostestes[#Data],8)=0,"-",VLOOKUP($B10,casostestes[#Data],8)),"-")</f>
        <v>-</v>
      </c>
      <c r="J10" s="35" t="str">
        <f>IFERROR(IF(VLOOKUP($B10,casostestes[#Data],9)=0,"-",VLOOKUP($B10,casostestes[#Data],9)),"-")</f>
        <v>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</v>
      </c>
      <c r="K10" s="36">
        <v>46251</v>
      </c>
      <c r="L10" s="45" t="s">
        <v>216</v>
      </c>
      <c r="M10" s="37" t="s">
        <v>22</v>
      </c>
      <c r="N10" s="45" t="s">
        <v>217</v>
      </c>
      <c r="O10" s="38"/>
      <c r="P10" s="39"/>
    </row>
    <row r="11" spans="2:16" ht="225">
      <c r="B11" s="40">
        <f>IF(ISERR(casostestes[[#This Row],[ID]]),"-",casostestes[[#This Row],[ID]])</f>
        <v>4</v>
      </c>
      <c r="C11" s="34" t="str">
        <f>IFERROR(IF(VLOOKUP($B11,casostestes[#Data],10)=0,"Não",VLOOKUP($B11,casostestes[#Data],10)), "-")</f>
        <v>Sim</v>
      </c>
      <c r="D11" s="35" t="str">
        <f>IFERROR(IF(VLOOKUP($B11,casostestes[#Data],2)=0,"-",VLOOKUP($B11,casostestes[#Data],2)), "-")</f>
        <v>Integração</v>
      </c>
      <c r="E11" s="35" t="str">
        <f>IFERROR(IF(VLOOKUP($B11,casostestes[#Data],3)=0,"-",VLOOKUP($B11,casostestes[#Data],3)), "-")</f>
        <v>16
Cumprir a exigência de autodeclaração</v>
      </c>
      <c r="F11" s="35" t="str">
        <f>IFERROR(IF(VLOOKUP($B11,casostestes[#Data],4)=0,"-",VLOOKUP($B11,casostestes[#Data],4)),"-")</f>
        <v>PAT</v>
      </c>
      <c r="G11" s="35" t="str">
        <f>IFERROR(IF(VLOOKUP($B11,casostestes[#Data],5)=0,"-",VLOOKUP($B11,casostestes[#Data],5)),"-")</f>
        <v>SERVIDOR</v>
      </c>
      <c r="H11" s="35" t="str">
        <f>IFERROR(IF(VLOOKUP($B11,casostestes[#Data],6)=0,"-",VLOOKUP($B11,casostestes[#Data],6)),"-")</f>
        <v>1. Logar no Portal do Atendimento INSS com o perfil Servidor
2.Consultar uma tarefa em exigência de autodeclaração e acionar Cumprir Exigência  
3. Responder o formulário de autodeclaração até o final</v>
      </c>
      <c r="I11" s="35" t="str">
        <f>IFERROR(IF(VLOOKUP($B11,casostestes[#Data],8)=0,"-",VLOOKUP($B11,casostestes[#Data],8)),"-")</f>
        <v>-</v>
      </c>
      <c r="J11" s="35" t="str">
        <f>IFERROR(IF(VLOOKUP($B11,casostestes[#Data],9)=0,"-",VLOOKUP($B11,casostestes[#Data],9)),"-")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11" s="36">
        <v>46252</v>
      </c>
      <c r="L11" s="45" t="s">
        <v>218</v>
      </c>
      <c r="M11" s="37" t="s">
        <v>22</v>
      </c>
      <c r="N11" s="38"/>
      <c r="O11" s="38"/>
      <c r="P11" s="39"/>
    </row>
    <row r="12" spans="2:16" ht="165">
      <c r="B12" s="40">
        <f>IF(ISERR(casostestes[[#This Row],[ID]]),"-",casostestes[[#This Row],[ID]])</f>
        <v>5</v>
      </c>
      <c r="C12" s="34" t="str">
        <f>IFERROR(IF(VLOOKUP($B12,casostestes[#Data],10)=0,"Não",VLOOKUP($B12,casostestes[#Data],10)), "-")</f>
        <v>Sim</v>
      </c>
      <c r="D12" s="35" t="str">
        <f>IFERROR(IF(VLOOKUP($B12,casostestes[#Data],2)=0,"-",VLOOKUP($B12,casostestes[#Data],2)), "-")</f>
        <v>Integração</v>
      </c>
      <c r="E12" s="35" t="str">
        <f>IFERROR(IF(VLOOKUP($B12,casostestes[#Data],3)=0,"-",VLOOKUP($B12,casostestes[#Data],3)), "-")</f>
        <v>17
Responder o formulário de autodeclaração acessando diretamente a aba segurado especial ao detalhar a tarefa, onde a tarefa encontra-se em exigência de autodeclaração</v>
      </c>
      <c r="F12" s="35" t="str">
        <f>IFERROR(IF(VLOOKUP($B12,casostestes[#Data],4)=0,"-",VLOOKUP($B12,casostestes[#Data],4)),"-")</f>
        <v>PAT</v>
      </c>
      <c r="G12" s="35" t="str">
        <f>IFERROR(IF(VLOOKUP($B12,casostestes[#Data],5)=0,"-",VLOOKUP($B12,casostestes[#Data],5)),"-")</f>
        <v>SERVIDOR</v>
      </c>
      <c r="H12" s="35" t="str">
        <f>IFERROR(IF(VLOOKUP($B12,casostestes[#Data],6)=0,"-",VLOOKUP($B12,casostestes[#Data],6)),"-")</f>
        <v>1. Logar no Portal do Atendimento INSS com o perfil Servidor
2.Consultar uma tarefa em exigência de autodeclaração 
3. Acionar a aba Segurado especial
3. Responder o formulário de autodeclaração até o final</v>
      </c>
      <c r="I12" s="35" t="str">
        <f>IFERROR(IF(VLOOKUP($B12,casostestes[#Data],8)=0,"-",VLOOKUP($B12,casostestes[#Data],8)),"-")</f>
        <v>-</v>
      </c>
      <c r="J12" s="35" t="str">
        <f>IFERROR(IF(VLOOKUP($B12,casostestes[#Data],9)=0,"-",VLOOKUP($B12,casostestes[#Data],9)),"-")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12" s="36">
        <v>46252</v>
      </c>
      <c r="L12" s="45" t="s">
        <v>219</v>
      </c>
      <c r="M12" s="37" t="s">
        <v>22</v>
      </c>
      <c r="N12" s="38" t="s">
        <v>220</v>
      </c>
      <c r="O12" s="38"/>
      <c r="P12" s="39"/>
    </row>
    <row r="13" spans="2:16" ht="105">
      <c r="B13" s="40">
        <f>IF(ISERR(casostestes[[#This Row],[ID]]),"-",casostestes[[#This Row],[ID]])</f>
        <v>6</v>
      </c>
      <c r="C13" s="34" t="str">
        <f>IFERROR(IF(VLOOKUP($B13,casostestes[#Data],10)=0,"Não",VLOOKUP($B13,casostestes[#Data],10)), "-")</f>
        <v>Sim</v>
      </c>
      <c r="D13" s="35" t="str">
        <f>IFERROR(IF(VLOOKUP($B13,casostestes[#Data],2)=0,"-",VLOOKUP($B13,casostestes[#Data],2)), "-")</f>
        <v>Integração</v>
      </c>
      <c r="E13" s="35" t="str">
        <f>IFERROR(IF(VLOOKUP($B13,casostestes[#Data],3)=0,"-",VLOOKUP($B13,casostestes[#Data],3)), "-")</f>
        <v>18
Responder o formulário de autodeclaração acessando diretamente a aba segurado especial ao detalhar a tarefa, onde a tarefa encontra-se em exigência de documento médico</v>
      </c>
      <c r="F13" s="35" t="str">
        <f>IFERROR(IF(VLOOKUP($B13,casostestes[#Data],4)=0,"-",VLOOKUP($B13,casostestes[#Data],4)),"-")</f>
        <v>PAT</v>
      </c>
      <c r="G13" s="35" t="str">
        <f>IFERROR(IF(VLOOKUP($B13,casostestes[#Data],5)=0,"-",VLOOKUP($B13,casostestes[#Data],5)),"-")</f>
        <v>SERVIDOR</v>
      </c>
      <c r="H13" s="35" t="str">
        <f>IFERROR(IF(VLOOKUP($B13,casostestes[#Data],6)=0,"-",VLOOKUP($B13,casostestes[#Data],6)),"-")</f>
        <v>1. Logar no Portal do Atendimento INSS com o perfil Servidor
2.Consultar uma tarefa em exigência de documento médico
3. Acionar a aba Segurado especial
3. Responder o formulário de autodeclaração até o final</v>
      </c>
      <c r="I13" s="35" t="str">
        <f>IFERROR(IF(VLOOKUP($B13,casostestes[#Data],8)=0,"-",VLOOKUP($B13,casostestes[#Data],8)),"-")</f>
        <v>-</v>
      </c>
      <c r="J13" s="35" t="str">
        <f>IFERROR(IF(VLOOKUP($B13,casostestes[#Data],9)=0,"-",VLOOKUP($B13,casostestes[#Data],9)),"-")</f>
        <v xml:space="preserve">
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13" s="36">
        <v>46252</v>
      </c>
      <c r="L13" s="45" t="s">
        <v>221</v>
      </c>
      <c r="M13" s="37" t="s">
        <v>22</v>
      </c>
      <c r="N13" s="38"/>
      <c r="O13" s="38"/>
      <c r="P13" s="39"/>
    </row>
    <row r="14" spans="2:16" ht="240">
      <c r="B14" s="40">
        <f>IF(ISERR(casostestes[[#This Row],[ID]]),"-",casostestes[[#This Row],[ID]])</f>
        <v>7</v>
      </c>
      <c r="C14" s="34" t="str">
        <f>IFERROR(IF(VLOOKUP($B14,casostestes[#Data],10)=0,"Não",VLOOKUP($B14,casostestes[#Data],10)), "-")</f>
        <v>Sim</v>
      </c>
      <c r="D14" s="35" t="str">
        <f>IFERROR(IF(VLOOKUP($B14,casostestes[#Data],2)=0,"-",VLOOKUP($B14,casostestes[#Data],2)), "-")</f>
        <v>Integração</v>
      </c>
      <c r="E14" s="35" t="str">
        <f>IFERROR(IF(VLOOKUP($B14,casostestes[#Data],3)=0,"-",VLOOKUP($B14,casostestes[#Data],3)), "-")</f>
        <v>19
Criar tarefa de BI inicial fluxo ATESTMEDQ para categoria "Segurado especial" onde o parâmetro "Exige Autodeclaração" no Catálogo está ATIVADO,  NÃO foi respondida a autodeclaração, NÃO foi incluído o anexo detalhado de AD e cidadão está preso
**Parâmetro PAT ligado: 144 - Fluxo ATESTMEDQ</v>
      </c>
      <c r="F14" s="35" t="str">
        <f>IFERROR(IF(VLOOKUP($B14,casostestes[#Data],4)=0,"-",VLOOKUP($B14,casostestes[#Data],4)),"-")</f>
        <v>PAT</v>
      </c>
      <c r="G14" s="35" t="str">
        <f>IFERROR(IF(VLOOKUP($B14,casostestes[#Data],5)=0,"-",VLOOKUP($B14,casostestes[#Data],5)),"-")</f>
        <v>SERVIDOR</v>
      </c>
      <c r="H14" s="35" t="str">
        <f>IFERROR(IF(VLOOKUP($B14,casostestes[#Data],6)=0,"-",VLOOKUP($B14,casostestes[#Data],6)),"-")</f>
        <v xml:space="preserve">1. Logar no Portal do Atendimento INSS com o perfil do caso de teste
2.Criar tarefa de BI informando:
Tipo de Incapacidade? "Temporária "
A pessoa está presa?  Sim
Categoria do trabalhador "Segurado Especial"
A pessoa ficou sem trabalhar? Sim
3. NÃO Informar anexo detalhado de autodeclaração
4. NÃO responder o formulário de autodeclaração
</v>
      </c>
      <c r="I14" s="35" t="str">
        <f>IFERROR(IF(VLOOKUP($B14,casostestes[#Data],8)=0,"-",VLOOKUP($B14,casostestes[#Data],8)),"-")</f>
        <v>-</v>
      </c>
      <c r="J14" s="35" t="str">
        <f>IFERROR(IF(VLOOKUP($B14,casostestes[#Data],9)=0,"-",VLOOKUP($B14,casostestes[#Data],9)),"-")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14" s="36">
        <v>46252</v>
      </c>
      <c r="L14" s="45" t="s">
        <v>222</v>
      </c>
      <c r="M14" s="37" t="s">
        <v>22</v>
      </c>
      <c r="N14" s="38" t="s">
        <v>223</v>
      </c>
      <c r="O14" s="38"/>
      <c r="P14" s="39"/>
    </row>
    <row r="15" spans="2:16" ht="240">
      <c r="B15" s="40">
        <f>IF(ISERR(casostestes[[#This Row],[ID]]),"-",casostestes[[#This Row],[ID]])</f>
        <v>8</v>
      </c>
      <c r="C15" s="34" t="str">
        <f>IFERROR(IF(VLOOKUP($B15,casostestes[#Data],10)=0,"Não",VLOOKUP($B15,casostestes[#Data],10)), "-")</f>
        <v>Sim</v>
      </c>
      <c r="D15" s="35" t="str">
        <f>IFERROR(IF(VLOOKUP($B15,casostestes[#Data],2)=0,"-",VLOOKUP($B15,casostestes[#Data],2)), "-")</f>
        <v>Integração</v>
      </c>
      <c r="E15" s="35" t="str">
        <f>IFERROR(IF(VLOOKUP($B15,casostestes[#Data],3)=0,"-",VLOOKUP($B15,casostestes[#Data],3)), "-")</f>
        <v>20
Criar tarefa de BI inicial fluxo ATESTMEDQ para categoria "Segurado especial" onde o parâmetro "Exige Autodeclaração" no Catálogo está ATIVADO,  NÃO foi respondida a autodeclaração, NÃO foi incluído o anexo detalhado de AD e cidadão ficou sem trabalhar
**Parâmetro PAT ligado: 144 - Fluxo ATESTMEDQ</v>
      </c>
      <c r="F15" s="35" t="str">
        <f>IFERROR(IF(VLOOKUP($B15,casostestes[#Data],4)=0,"-",VLOOKUP($B15,casostestes[#Data],4)),"-")</f>
        <v>PAT</v>
      </c>
      <c r="G15" s="35" t="str">
        <f>IFERROR(IF(VLOOKUP($B15,casostestes[#Data],5)=0,"-",VLOOKUP($B15,casostestes[#Data],5)),"-")</f>
        <v>SERVIDOR</v>
      </c>
      <c r="H15" s="35" t="str">
        <f>IFERROR(IF(VLOOKUP($B15,casostestes[#Data],6)=0,"-",VLOOKUP($B15,casostestes[#Data],6)),"-")</f>
        <v xml:space="preserve">1. Logar no Portal do Atendimento INSS com o perfil do caso de teste
2.Criar tarefa de BI informando:
Tipo de Incapacidade? "Temporária "
A pessoa está presa?  Não
Categoria do trabalhador "Segurado Especial"
A pessoa ficou sem trabalhar? Não
3. Informar anexo detalhado de autodeclaração
4. NÃO responder o formulário de autodeclaração
</v>
      </c>
      <c r="I15" s="35" t="str">
        <f>IFERROR(IF(VLOOKUP($B15,casostestes[#Data],8)=0,"-",VLOOKUP($B15,casostestes[#Data],8)),"-")</f>
        <v>-</v>
      </c>
      <c r="J15" s="35" t="str">
        <f>IFERROR(IF(VLOOKUP($B15,casostestes[#Data],9)=0,"-",VLOOKUP($B15,casostestes[#Data],9)),"-")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15" s="36">
        <v>46252</v>
      </c>
      <c r="L15" s="45" t="s">
        <v>224</v>
      </c>
      <c r="M15" s="37" t="s">
        <v>22</v>
      </c>
      <c r="N15" s="38" t="s">
        <v>225</v>
      </c>
      <c r="O15" s="38"/>
      <c r="P15" s="39"/>
    </row>
    <row r="16" spans="2:16" ht="321">
      <c r="B16" s="40">
        <f>IF(ISERR(casostestes[[#This Row],[ID]]),"-",casostestes[[#This Row],[ID]])</f>
        <v>9</v>
      </c>
      <c r="C16" s="34" t="str">
        <f>IFERROR(IF(VLOOKUP($B16,casostestes[#Data],10)=0,"Não",VLOOKUP($B16,casostestes[#Data],10)), "-")</f>
        <v>Sim</v>
      </c>
      <c r="D16" s="35" t="str">
        <f>IFERROR(IF(VLOOKUP($B16,casostestes[#Data],2)=0,"-",VLOOKUP($B16,casostestes[#Data],2)), "-")</f>
        <v>Integração</v>
      </c>
      <c r="E16" s="35" t="str">
        <f>IFERROR(IF(VLOOKUP($B16,casostestes[#Data],3)=0,"-",VLOOKUP($B16,casostestes[#Data],3)), "-")</f>
        <v>21
Criar tarefa de BI inicial fluxo ATESTMEDQ para categoria "Segurado especial" onde o parâmetro "Exige Autodeclaração" no Catálogo está ATIVADO,  NÃO foi respondida a autodeclaração e foi incluído o anexo detalhado de AD
**Parâmetro PAT ligado: 144 - Fluxo ATESTMEDQ</v>
      </c>
      <c r="F16" s="35" t="str">
        <f>IFERROR(IF(VLOOKUP($B16,casostestes[#Data],4)=0,"-",VLOOKUP($B16,casostestes[#Data],4)),"-")</f>
        <v>PAT</v>
      </c>
      <c r="G16" s="35" t="str">
        <f>IFERROR(IF(VLOOKUP($B16,casostestes[#Data],5)=0,"-",VLOOKUP($B16,casostestes[#Data],5)),"-")</f>
        <v>SERVIDOR</v>
      </c>
      <c r="H16" s="35" t="str">
        <f>IFERROR(IF(VLOOKUP($B16,casostestes[#Data],6)=0,"-",VLOOKUP($B16,casostestes[#Data],6)),"-")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Informar anexo detalhado de autodeclaração
4. NÃO responder o formulário de autodeclaração
Resultado 1
5.Alterar via banco de dados a data da exigência para (data atual - 36 dias)
Resultado 2</v>
      </c>
      <c r="I16" s="35" t="str">
        <f>IFERROR(IF(VLOOKUP($B16,casostestes[#Data],8)=0,"-",VLOOKUP($B16,casostestes[#Data],8)),"-")</f>
        <v>-</v>
      </c>
      <c r="J16" s="35" t="str">
        <f>IFERROR(IF(VLOOKUP($B16,casostestes[#Data],9)=0,"-",VLOOKUP($B16,casostestes[#Data],9)),"-")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2
Resultado 2 - Após alguns minutos:
Tarefa de BI com situação alterada para Pendente
Despacho incluído informando a operação ( fragmento de sigla  XXXXXXXXXX )
Divergência de autodeclaração (116) EXCLUÍDA da tarefa
Alguns minutos depois:
Status SIBE igual a AGUARDANDO ATESTADO 
Na opção  "Lista de Ocorrências", o json de integração com o SIBE deverá conter o campo "periodosPendentesSegEsp" com valor true.
</v>
      </c>
      <c r="K16" s="36">
        <v>46252</v>
      </c>
      <c r="L16" s="45" t="s">
        <v>226</v>
      </c>
      <c r="M16" s="37" t="s">
        <v>22</v>
      </c>
      <c r="N16" s="38" t="s">
        <v>227</v>
      </c>
      <c r="O16" s="38"/>
      <c r="P16" s="39"/>
    </row>
    <row r="17" spans="2:16" ht="300">
      <c r="B17" s="40">
        <f>IF(ISERR(casostestes[[#This Row],[ID]]),"-",casostestes[[#This Row],[ID]])</f>
        <v>10</v>
      </c>
      <c r="C17" s="34" t="str">
        <f>IFERROR(IF(VLOOKUP($B17,casostestes[#Data],10)=0,"Não",VLOOKUP($B17,casostestes[#Data],10)), "-")</f>
        <v>Sim</v>
      </c>
      <c r="D17" s="35" t="str">
        <f>IFERROR(IF(VLOOKUP($B17,casostestes[#Data],2)=0,"-",VLOOKUP($B17,casostestes[#Data],2)), "-")</f>
        <v>Integração</v>
      </c>
      <c r="E17" s="35" t="str">
        <f>IFERROR(IF(VLOOKUP($B17,casostestes[#Data],3)=0,"-",VLOOKUP($B17,casostestes[#Data],3)), "-")</f>
        <v>22
Criar tarefa de BI inicial fluxo PRESENCIAL para categoria "Segurado especial" onde o parâmetro "Exige Autodeclaração" no Catálogo está ATIVADO, NÃO foi respondida a autodeclaração e NÃO foi incluído o anexo detalhado de AD
**Parâmetro PAT ligado: 144 - Fluxo ATESTMEDQ
**Parâmetro PAT ligado: 109 -Tipo de Incapacidade Permanente leva à Fluxo Presencial do Novo BI</v>
      </c>
      <c r="F17" s="35" t="str">
        <f>IFERROR(IF(VLOOKUP($B17,casostestes[#Data],4)=0,"-",VLOOKUP($B17,casostestes[#Data],4)),"-")</f>
        <v>PAT</v>
      </c>
      <c r="G17" s="35" t="str">
        <f>IFERROR(IF(VLOOKUP($B17,casostestes[#Data],5)=0,"-",VLOOKUP($B17,casostestes[#Data],5)),"-")</f>
        <v>SERVIDOR</v>
      </c>
      <c r="H17" s="35" t="str">
        <f>IFERROR(IF(VLOOKUP($B17,casostestes[#Data],6)=0,"-",VLOOKUP($B17,casostestes[#Data],6)),"-")</f>
        <v>1. Logar no Portal do Atendimento INSS com o perfil do caso de teste
2.Criar tarefa de BI informando:
Tipo de Incapacidade? "Permanente"
A pessoa está presa?  Não
Houve acidente de trabalho?  Não
Categoria do trabalhador "Segurado Especial"
A pessoa ficou sem trabalhar? Sim
3. NÃO informar anexo detalhado de autodeclaração
5. Realizar agendamento
6. NÃO responder o formulário de autodeclaração
Resultado 1 
7.Alterar via banco de dados a data da exigência para (data atual - 36 dias)
Resulado 2</v>
      </c>
      <c r="I17" s="35" t="str">
        <f>IFERROR(IF(VLOOKUP($B17,casostestes[#Data],8)=0,"-",VLOOKUP($B17,casostestes[#Data],8)),"-")</f>
        <v>-</v>
      </c>
      <c r="J17" s="35" t="str">
        <f>IFERROR(IF(VLOOKUP($B17,casostestes[#Data],9)=0,"-",VLOOKUP($B17,casostestes[#Data],9)),"-")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1
Resultado 2 - Após alguns minutos:
Tarefa de BI com situação alterada para Pendente
Despacho incluído informando a operação ( fragmento de sigla  XXXXXXXXXX )
Divergência de autodeclaração (116) EXCLUÍDA da tarefa
Alguns minutos depois:
Status SIBE igual a AGUARDANDO PERÍCIA
Na opção  "Lista de Ocorrências", o json de integração com o SIBE deverá conter o campo "periodosPendentesSegEsp" com valor null.
</v>
      </c>
      <c r="K17" s="36">
        <v>46252</v>
      </c>
      <c r="L17" s="45" t="s">
        <v>228</v>
      </c>
      <c r="M17" s="37" t="s">
        <v>35</v>
      </c>
      <c r="N17" s="38" t="s">
        <v>227</v>
      </c>
      <c r="O17" s="38"/>
      <c r="P17" s="39"/>
    </row>
    <row r="18" spans="2:16" ht="105">
      <c r="B18" s="40">
        <f>IF(ISERR(casostestes[[#This Row],[ID]]),"-",casostestes[[#This Row],[ID]])</f>
        <v>11</v>
      </c>
      <c r="C18" s="34" t="str">
        <f>IFERROR(IF(VLOOKUP($B18,casostestes[#Data],10)=0,"Não",VLOOKUP($B18,casostestes[#Data],10)), "-")</f>
        <v>Sim</v>
      </c>
      <c r="D18" s="35" t="str">
        <f>IFERROR(IF(VLOOKUP($B18,casostestes[#Data],2)=0,"-",VLOOKUP($B18,casostestes[#Data],2)), "-")</f>
        <v>Requerimento Inicial de BI</v>
      </c>
      <c r="E18" s="35" t="str">
        <f>IFERROR(IF(VLOOKUP($B18,casostestes[#Data],3)=0,"-",VLOOKUP($B18,casostestes[#Data],3)), "-")</f>
        <v>24
Criar tarefa de BI inicial fluxo ATESTMEDQ para categoria diferente de "Segurado especial" onde o parâmetro "Exige Autodeclaração" no Catálogo está ATIVADO
**Parâmetro PAT ligado: 144 - Fluxo ATESTMEDQ</v>
      </c>
      <c r="F18" s="35" t="str">
        <f>IFERROR(IF(VLOOKUP($B18,casostestes[#Data],4)=0,"-",VLOOKUP($B18,casostestes[#Data],4)),"-")</f>
        <v>EC</v>
      </c>
      <c r="G18" s="35" t="str">
        <f>IFERROR(IF(VLOOKUP($B18,casostestes[#Data],5)=0,"-",VLOOKUP($B18,casostestes[#Data],5)),"-")</f>
        <v>ENTIDADE_CONVENIADA</v>
      </c>
      <c r="H18" s="35" t="str">
        <f>IFERROR(IF(VLOOKUP($B18,casostestes[#Data],6)=0,"-",VLOOKUP($B18,casostestes[#Data],6)),"-")</f>
        <v xml:space="preserve">1. Logar no Portal do Atendimento INSS com o perfil do caso de teste
2.Criar tarefa de BI informando:
Tipo de Incapacidade? "Temporária "
A pessoa está presa?  Não
Categoria do trabalhador diferente de "Segurado Especial"
</v>
      </c>
      <c r="I18" s="35" t="str">
        <f>IFERROR(IF(VLOOKUP($B18,casostestes[#Data],8)=0,"-",VLOOKUP($B18,casostestes[#Data],8)),"-")</f>
        <v>-</v>
      </c>
      <c r="J18" s="35" t="str">
        <f>IFERROR(IF(VLOOKUP($B18,casostestes[#Data],9)=0,"-",VLOOKUP($B18,casostestes[#Data],9)),"-")</f>
        <v>Tarefa de BI criada com situação Pendente.
Tarefa SEM Divergência de autodeclaração (116)
Status SIBE igual a FLUXO NÃO INICIADO 
DPT: Tarefa.Exige_autodeclaração = 0</v>
      </c>
      <c r="K18" s="36">
        <v>46252</v>
      </c>
      <c r="L18" s="45" t="s">
        <v>229</v>
      </c>
      <c r="M18" s="37" t="s">
        <v>22</v>
      </c>
      <c r="N18" s="38"/>
      <c r="O18" s="38"/>
      <c r="P18" s="39"/>
    </row>
    <row r="19" spans="2:16" ht="240">
      <c r="B19" s="40">
        <f>IF(ISERR(casostestes[[#This Row],[ID]]),"-",casostestes[[#This Row],[ID]])</f>
        <v>12</v>
      </c>
      <c r="C19" s="34" t="str">
        <f>IFERROR(IF(VLOOKUP($B19,casostestes[#Data],10)=0,"Não",VLOOKUP($B19,casostestes[#Data],10)), "-")</f>
        <v>Sim</v>
      </c>
      <c r="D19" s="35" t="str">
        <f>IFERROR(IF(VLOOKUP($B19,casostestes[#Data],2)=0,"-",VLOOKUP($B19,casostestes[#Data],2)), "-")</f>
        <v>Integração</v>
      </c>
      <c r="E19" s="35" t="str">
        <f>IFERROR(IF(VLOOKUP($B19,casostestes[#Data],3)=0,"-",VLOOKUP($B19,casostestes[#Data],3)), "-")</f>
        <v>26
Criar tarefa de BI inicial fluxo ATESTMEDQ para categoria "Segurado especial" onde o parâmetro "Exige Autodeclaração" no Catálogo está ATIVADO e a autodeclaração tem período pendente
**Parâmetro PAT ligado: 144 - Fluxo ATESTMEDQ</v>
      </c>
      <c r="F19" s="35" t="str">
        <f>IFERROR(IF(VLOOKUP($B19,casostestes[#Data],4)=0,"-",VLOOKUP($B19,casostestes[#Data],4)),"-")</f>
        <v>EC</v>
      </c>
      <c r="G19" s="35" t="str">
        <f>IFERROR(IF(VLOOKUP($B19,casostestes[#Data],5)=0,"-",VLOOKUP($B19,casostestes[#Data],5)),"-")</f>
        <v>ENTIDADE_CONVENIADA</v>
      </c>
      <c r="H19" s="35" t="str">
        <f>IFERROR(IF(VLOOKUP($B19,casostestes[#Data],6)=0,"-",VLOOKUP($B19,casostestes[#Data],6)),"-")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Cumprir exigência de documentos obrigatórios
4. Responder formulário da autodeclaração</v>
      </c>
      <c r="I19" s="35" t="str">
        <f>IFERROR(IF(VLOOKUP($B19,casostestes[#Data],8)=0,"-",VLOOKUP($B19,casostestes[#Data],8)),"-")</f>
        <v>-</v>
      </c>
      <c r="J19" s="35" t="str">
        <f>IFERROR(IF(VLOOKUP($B19,casostestes[#Data],9)=0,"-",VLOOKUP($B19,casostestes[#Data],9)),"-")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19" s="36">
        <v>46252</v>
      </c>
      <c r="L19" s="45" t="s">
        <v>230</v>
      </c>
      <c r="M19" s="37" t="s">
        <v>22</v>
      </c>
      <c r="N19" s="38"/>
      <c r="O19" s="38"/>
      <c r="P19" s="39"/>
    </row>
    <row r="20" spans="2:16" ht="240">
      <c r="B20" s="40">
        <f>IF(ISERR(casostestes[[#This Row],[ID]]),"-",casostestes[[#This Row],[ID]])</f>
        <v>13</v>
      </c>
      <c r="C20" s="34" t="str">
        <f>IFERROR(IF(VLOOKUP($B20,casostestes[#Data],10)=0,"Não",VLOOKUP($B20,casostestes[#Data],10)), "-")</f>
        <v>Sim</v>
      </c>
      <c r="D20" s="35" t="str">
        <f>IFERROR(IF(VLOOKUP($B20,casostestes[#Data],2)=0,"-",VLOOKUP($B20,casostestes[#Data],2)), "-")</f>
        <v>Integração</v>
      </c>
      <c r="E20" s="35" t="str">
        <f>IFERROR(IF(VLOOKUP($B20,casostestes[#Data],3)=0,"-",VLOOKUP($B20,casostestes[#Data],3)), "-")</f>
        <v>27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0" s="35" t="str">
        <f>IFERROR(IF(VLOOKUP($B20,casostestes[#Data],4)=0,"-",VLOOKUP($B20,casostestes[#Data],4)),"-")</f>
        <v>EC</v>
      </c>
      <c r="G20" s="35" t="str">
        <f>IFERROR(IF(VLOOKUP($B20,casostestes[#Data],5)=0,"-",VLOOKUP($B20,casostestes[#Data],5)),"-")</f>
        <v>ENTIDADE_CONVENIADA</v>
      </c>
      <c r="H20" s="35" t="str">
        <f>IFERROR(IF(VLOOKUP($B20,casostestes[#Data],6)=0,"-",VLOOKUP($B20,casostestes[#Data],6)),"-")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Cumprir exigência de documentos obrigatórios
4. Responder formulário da autodeclaração</v>
      </c>
      <c r="I20" s="35" t="str">
        <f>IFERROR(IF(VLOOKUP($B20,casostestes[#Data],8)=0,"-",VLOOKUP($B20,casostestes[#Data],8)),"-")</f>
        <v>-</v>
      </c>
      <c r="J20" s="35" t="str">
        <f>IFERROR(IF(VLOOKUP($B20,casostestes[#Data],9)=0,"-",VLOOKUP($B20,casostestes[#Data],9)),"-")</f>
        <v xml:space="preserve">
Tarefa de BI criada com situação Pendente.
Tarefa SEM Divergência de autodeclaração (116).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20" s="36">
        <v>46252</v>
      </c>
      <c r="L20" s="45" t="s">
        <v>231</v>
      </c>
      <c r="M20" s="37" t="s">
        <v>22</v>
      </c>
      <c r="N20" s="38"/>
      <c r="O20" s="38"/>
      <c r="P20" s="39"/>
    </row>
    <row r="21" spans="2:16" ht="210">
      <c r="B21" s="40">
        <f>IF(ISERR(casostestes[[#This Row],[ID]]),"-",casostestes[[#This Row],[ID]])</f>
        <v>14</v>
      </c>
      <c r="C21" s="34" t="str">
        <f>IFERROR(IF(VLOOKUP($B21,casostestes[#Data],10)=0,"Não",VLOOKUP($B21,casostestes[#Data],10)), "-")</f>
        <v>Sim</v>
      </c>
      <c r="D21" s="35" t="str">
        <f>IFERROR(IF(VLOOKUP($B21,casostestes[#Data],2)=0,"-",VLOOKUP($B21,casostestes[#Data],2)), "-")</f>
        <v>Integração</v>
      </c>
      <c r="E21" s="35" t="str">
        <f>IFERROR(IF(VLOOKUP($B21,casostestes[#Data],3)=0,"-",VLOOKUP($B21,casostestes[#Data],3)), "-")</f>
        <v>29
Cumprir a exigência de autodeclaração</v>
      </c>
      <c r="F21" s="35" t="str">
        <f>IFERROR(IF(VLOOKUP($B21,casostestes[#Data],4)=0,"-",VLOOKUP($B21,casostestes[#Data],4)),"-")</f>
        <v>PAT</v>
      </c>
      <c r="G21" s="35" t="str">
        <f>IFERROR(IF(VLOOKUP($B21,casostestes[#Data],5)=0,"-",VLOOKUP($B21,casostestes[#Data],5)),"-")</f>
        <v>ENTIDADE_CONVENIADA</v>
      </c>
      <c r="H21" s="35" t="str">
        <f>IFERROR(IF(VLOOKUP($B21,casostestes[#Data],6)=0,"-",VLOOKUP($B21,casostestes[#Data],6)),"-")</f>
        <v>1. Logar no Portal do Atendimento INSS com o perfil do caso de teste
2.Consultar uma tarefa em exigência de autodeclaração, detalhar e em seguida e acionar  a aba Cumprir Exigência  
3. Responder o formulário de autodeclaração até o final</v>
      </c>
      <c r="I21" s="35" t="str">
        <f>IFERROR(IF(VLOOKUP($B21,casostestes[#Data],8)=0,"-",VLOOKUP($B21,casostestes[#Data],8)),"-")</f>
        <v>-</v>
      </c>
      <c r="J21" s="35" t="str">
        <f>IFERROR(IF(VLOOKUP($B21,casostestes[#Data],9)=0,"-",VLOOKUP($B21,casostestes[#Data],9)),"-")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1" s="36">
        <v>46252</v>
      </c>
      <c r="L21" s="45" t="s">
        <v>230</v>
      </c>
      <c r="M21" s="37" t="s">
        <v>22</v>
      </c>
      <c r="N21" s="38"/>
      <c r="O21" s="38"/>
      <c r="P21" s="39"/>
    </row>
    <row r="22" spans="2:16" ht="210">
      <c r="B22" s="40">
        <f>IF(ISERR(casostestes[[#This Row],[ID]]),"-",casostestes[[#This Row],[ID]])</f>
        <v>15</v>
      </c>
      <c r="C22" s="34" t="str">
        <f>IFERROR(IF(VLOOKUP($B22,casostestes[#Data],10)=0,"Não",VLOOKUP($B22,casostestes[#Data],10)), "-")</f>
        <v>Sim</v>
      </c>
      <c r="D22" s="35" t="str">
        <f>IFERROR(IF(VLOOKUP($B22,casostestes[#Data],2)=0,"-",VLOOKUP($B22,casostestes[#Data],2)), "-")</f>
        <v>Integração</v>
      </c>
      <c r="E22" s="35" t="str">
        <f>IFERROR(IF(VLOOKUP($B22,casostestes[#Data],3)=0,"-",VLOOKUP($B22,casostestes[#Data],3)), "-")</f>
        <v>30
Cumprir a exigência de autodeclaração</v>
      </c>
      <c r="F22" s="35" t="str">
        <f>IFERROR(IF(VLOOKUP($B22,casostestes[#Data],4)=0,"-",VLOOKUP($B22,casostestes[#Data],4)),"-")</f>
        <v>PAT</v>
      </c>
      <c r="G22" s="35" t="str">
        <f>IFERROR(IF(VLOOKUP($B22,casostestes[#Data],5)=0,"-",VLOOKUP($B22,casostestes[#Data],5)),"-")</f>
        <v>ENTIDADE_CONVENIADA_CORREIOS</v>
      </c>
      <c r="H22" s="35" t="str">
        <f>IFERROR(IF(VLOOKUP($B22,casostestes[#Data],6)=0,"-",VLOOKUP($B22,casostestes[#Data],6)),"-")</f>
        <v>1. Logar no Portal do Atendimento INSS com o perfil EC - CORREIOS
2. Acionar a aba Exigências e consultar uma tarefa em exigência de autodeclaração
3. Detalhar a tarefa e em seguida acionar  a opção Cumprir Exigência  
3. Responder o formulário de autodeclaração até o final</v>
      </c>
      <c r="I22" s="35" t="str">
        <f>IFERROR(IF(VLOOKUP($B22,casostestes[#Data],8)=0,"-",VLOOKUP($B22,casostestes[#Data],8)),"-")</f>
        <v>-</v>
      </c>
      <c r="J22" s="35" t="str">
        <f>IFERROR(IF(VLOOKUP($B22,casostestes[#Data],9)=0,"-",VLOOKUP($B22,casostestes[#Data],9)),"-")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2" s="36">
        <v>46253</v>
      </c>
      <c r="L22" s="45" t="s">
        <v>231</v>
      </c>
      <c r="M22" s="37" t="s">
        <v>22</v>
      </c>
      <c r="N22" s="38"/>
      <c r="O22" s="38"/>
      <c r="P22" s="39"/>
    </row>
    <row r="23" spans="2:16" ht="180">
      <c r="B23" s="40">
        <f>IF(ISERR(casostestes[[#This Row],[ID]]),"-",casostestes[[#This Row],[ID]])</f>
        <v>16</v>
      </c>
      <c r="C23" s="34" t="str">
        <f>IFERROR(IF(VLOOKUP($B23,casostestes[#Data],10)=0,"Não",VLOOKUP($B23,casostestes[#Data],10)), "-")</f>
        <v>Sim</v>
      </c>
      <c r="D23" s="35" t="str">
        <f>IFERROR(IF(VLOOKUP($B23,casostestes[#Data],2)=0,"-",VLOOKUP($B23,casostestes[#Data],2)), "-")</f>
        <v>Integração</v>
      </c>
      <c r="E23" s="35" t="str">
        <f>IFERROR(IF(VLOOKUP($B23,casostestes[#Data],3)=0,"-",VLOOKUP($B23,casostestes[#Data],3)), "-")</f>
        <v>31
Responder o formulário de autodeclaração acessando diretamente a aba segurado especial ao detalhar a tarefa, onde a tarefa encontra-se em exigência de documento médico
Será posível acessar diretamente a autodeclaração logado como EC?</v>
      </c>
      <c r="F23" s="35" t="str">
        <f>IFERROR(IF(VLOOKUP($B23,casostestes[#Data],4)=0,"-",VLOOKUP($B23,casostestes[#Data],4)),"-")</f>
        <v>PAT</v>
      </c>
      <c r="G23" s="35" t="str">
        <f>IFERROR(IF(VLOOKUP($B23,casostestes[#Data],5)=0,"-",VLOOKUP($B23,casostestes[#Data],5)),"-")</f>
        <v>ENTIDADE_CONVENIADA</v>
      </c>
      <c r="H23" s="35" t="str">
        <f>IFERROR(IF(VLOOKUP($B23,casostestes[#Data],6)=0,"-",VLOOKUP($B23,casostestes[#Data],6)),"-")</f>
        <v>1. Logar no Portal do Atendimento INSS com o perfil do caso se teste
2.Consultar uma tarefa em exigência de dautodeclaração
3. Acionar a aba Segurado especial
3. Responder o formulário de autodeclaração até o final</v>
      </c>
      <c r="I23" s="35" t="str">
        <f>IFERROR(IF(VLOOKUP($B23,casostestes[#Data],8)=0,"-",VLOOKUP($B23,casostestes[#Data],8)),"-")</f>
        <v>-</v>
      </c>
      <c r="J23" s="35" t="str">
        <f>IFERROR(IF(VLOOKUP($B23,casostestes[#Data],9)=0,"-",VLOOKUP($B23,casostestes[#Data],9)),"-")</f>
        <v xml:space="preserve">
Tarefa de BI com situação alterada para Pendente 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3" s="36">
        <v>46253</v>
      </c>
      <c r="L23" s="45" t="s">
        <v>232</v>
      </c>
      <c r="M23" s="37" t="s">
        <v>22</v>
      </c>
      <c r="N23" s="38"/>
      <c r="O23" s="38"/>
      <c r="P23" s="39"/>
    </row>
    <row r="24" spans="2:16" ht="105">
      <c r="B24" s="40">
        <f>IF(ISERR(casostestes[[#This Row],[ID]]),"-",casostestes[[#This Row],[ID]])</f>
        <v>17</v>
      </c>
      <c r="C24" s="34" t="str">
        <f>IFERROR(IF(VLOOKUP($B24,casostestes[#Data],10)=0,"Não",VLOOKUP($B24,casostestes[#Data],10)), "-")</f>
        <v>Sim</v>
      </c>
      <c r="D24" s="35" t="str">
        <f>IFERROR(IF(VLOOKUP($B24,casostestes[#Data],2)=0,"-",VLOOKUP($B24,casostestes[#Data],2)), "-")</f>
        <v>Integração</v>
      </c>
      <c r="E24" s="35" t="str">
        <f>IFERROR(IF(VLOOKUP($B24,casostestes[#Data],3)=0,"-",VLOOKUP($B24,casostestes[#Data],3)), "-")</f>
        <v xml:space="preserve">32
Responder o formulário de autodeclaração acessando diretamente a aba segurado especial ao detalhar a tarefa, onde a tarefa encontra-se em exigência de documento médico
</v>
      </c>
      <c r="F24" s="35" t="str">
        <f>IFERROR(IF(VLOOKUP($B24,casostestes[#Data],4)=0,"-",VLOOKUP($B24,casostestes[#Data],4)),"-")</f>
        <v>PAT</v>
      </c>
      <c r="G24" s="35" t="str">
        <f>IFERROR(IF(VLOOKUP($B24,casostestes[#Data],5)=0,"-",VLOOKUP($B24,casostestes[#Data],5)),"-")</f>
        <v>ENTIDADE_CONVENIADA</v>
      </c>
      <c r="H24" s="35" t="str">
        <f>IFERROR(IF(VLOOKUP($B24,casostestes[#Data],6)=0,"-",VLOOKUP($B24,casostestes[#Data],6)),"-")</f>
        <v>1. Logar no Portal do Atendimento INSS com o perfil do caso se teste
2.Consultar uma tarefa em exigência de documento médico
3. Acionar a aba Segurado especial
3. Responder o formulário de autodeclaração até o final</v>
      </c>
      <c r="I24" s="35" t="str">
        <f>IFERROR(IF(VLOOKUP($B24,casostestes[#Data],8)=0,"-",VLOOKUP($B24,casostestes[#Data],8)),"-")</f>
        <v>-</v>
      </c>
      <c r="J24" s="35" t="str">
        <f>IFERROR(IF(VLOOKUP($B24,casostestes[#Data],9)=0,"-",VLOOKUP($B24,casostestes[#Data],9)),"-")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24" s="36">
        <v>46253</v>
      </c>
      <c r="L24" s="45" t="s">
        <v>232</v>
      </c>
      <c r="M24" s="37" t="s">
        <v>22</v>
      </c>
      <c r="N24" s="38"/>
      <c r="O24" s="38"/>
      <c r="P24" s="39"/>
    </row>
    <row r="25" spans="2:16" ht="135">
      <c r="B25" s="40">
        <f>IF(ISERR(casostestes[[#This Row],[ID]]),"-",casostestes[[#This Row],[ID]])</f>
        <v>18</v>
      </c>
      <c r="C25" s="34" t="str">
        <f>IFERROR(IF(VLOOKUP($B25,casostestes[#Data],10)=0,"Não",VLOOKUP($B25,casostestes[#Data],10)), "-")</f>
        <v>Sim</v>
      </c>
      <c r="D25" s="35" t="str">
        <f>IFERROR(IF(VLOOKUP($B25,casostestes[#Data],2)=0,"-",VLOOKUP($B25,casostestes[#Data],2)), "-")</f>
        <v>Requerimento Inicial de BI</v>
      </c>
      <c r="E25" s="35" t="str">
        <f>IFERROR(IF(VLOOKUP($B25,casostestes[#Data],3)=0,"-",VLOOKUP($B25,casostestes[#Data],3)), "-")</f>
        <v>34
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25" s="35" t="str">
        <f>IFERROR(IF(VLOOKUP($B25,casostestes[#Data],4)=0,"-",VLOOKUP($B25,casostestes[#Data],4)),"-")</f>
        <v>Meu INSS</v>
      </c>
      <c r="G25" s="35" t="str">
        <f>IFERROR(IF(VLOOKUP($B25,casostestes[#Data],5)=0,"-",VLOOKUP($B25,casostestes[#Data],5)),"-")</f>
        <v>INTERESSADO</v>
      </c>
      <c r="H25" s="35" t="str">
        <f>IFERROR(IF(VLOOKUP($B25,casostestes[#Data],6)=0,"-",VLOOKUP($B25,casostestes[#Data],6)),"-")</f>
        <v>1. Logar no  Meu INSS
2.Criar tarefa de BI informando:
Tipo de Incapacidade? "Permanente"
A pessoa está presa?  Não
Categoria do trabalhador diferente de "Segurado Especial"
3. Criar o agendamento da perícia</v>
      </c>
      <c r="I25" s="35" t="str">
        <f>IFERROR(IF(VLOOKUP($B25,casostestes[#Data],8)=0,"-",VLOOKUP($B25,casostestes[#Data],8)),"-")</f>
        <v>-</v>
      </c>
      <c r="J25" s="35" t="str">
        <f>IFERROR(IF(VLOOKUP($B25,casostestes[#Data],9)=0,"-",VLOOKUP($B25,casostestes[#Data],9)),"-")</f>
        <v>Tarefa de BI criada com situação Pendente.
Tarefa SEM Divergência de autodeclaração (116)
Status SIBE igual a  AGUARDANDO PERÍCIA
Tarefa.Exige_autodeclaração = 0</v>
      </c>
      <c r="K25" s="36">
        <v>46253</v>
      </c>
      <c r="L25" s="45" t="s">
        <v>233</v>
      </c>
      <c r="M25" s="37" t="s">
        <v>22</v>
      </c>
      <c r="N25" s="38"/>
      <c r="O25" s="38"/>
      <c r="P25" s="39"/>
    </row>
    <row r="26" spans="2:16" ht="259.5">
      <c r="B26" s="40">
        <f>IF(ISERR(casostestes[[#This Row],[ID]]),"-",casostestes[[#This Row],[ID]])</f>
        <v>19</v>
      </c>
      <c r="C26" s="34" t="str">
        <f>IFERROR(IF(VLOOKUP($B26,casostestes[#Data],10)=0,"Não",VLOOKUP($B26,casostestes[#Data],10)), "-")</f>
        <v>Sim</v>
      </c>
      <c r="D26" s="35" t="str">
        <f>IFERROR(IF(VLOOKUP($B26,casostestes[#Data],2)=0,"-",VLOOKUP($B26,casostestes[#Data],2)), "-")</f>
        <v>Integração</v>
      </c>
      <c r="E26" s="35" t="str">
        <f>IFERROR(IF(VLOOKUP($B26,casostestes[#Data],3)=0,"-",VLOOKUP($B26,casostestes[#Data],3)), "-")</f>
        <v>35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26" s="35" t="str">
        <f>IFERROR(IF(VLOOKUP($B26,casostestes[#Data],4)=0,"-",VLOOKUP($B26,casostestes[#Data],4)),"-")</f>
        <v>Meu INSS</v>
      </c>
      <c r="G26" s="35" t="str">
        <f>IFERROR(IF(VLOOKUP($B26,casostestes[#Data],5)=0,"-",VLOOKUP($B26,casostestes[#Data],5)),"-")</f>
        <v>INTERESSADO</v>
      </c>
      <c r="H26" s="35" t="str">
        <f>IFERROR(IF(VLOOKUP($B26,casostestes[#Data],6)=0,"-",VLOOKUP($B26,casostestes[#Data],6)),"-")</f>
        <v>1. Logar no  Meu INSS
2.Criar tarefa de BI informando:
Tipo de Incapacidade? "Temporária "
A pessoa está presa?  Não
Categoria do trabalhador "Segurado Especial"
A pessoa ficou sem trabalhar? Sim
3. Responder formulário da autodeclaração</v>
      </c>
      <c r="I26" s="35" t="str">
        <f>IFERROR(IF(VLOOKUP($B26,casostestes[#Data],8)=0,"-",VLOOKUP($B26,casostestes[#Data],8)),"-")</f>
        <v>-</v>
      </c>
      <c r="J26" s="35" t="str">
        <f>IFERROR(IF(VLOOKUP($B26,casostestes[#Data],9)=0,"-",VLOOKUP($B26,casostestes[#Data],9)),"-")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26" s="36">
        <v>46253</v>
      </c>
      <c r="L26" s="45" t="s">
        <v>234</v>
      </c>
      <c r="M26" s="37" t="s">
        <v>22</v>
      </c>
      <c r="N26" s="38"/>
      <c r="O26" s="38"/>
      <c r="P26" s="39"/>
    </row>
    <row r="27" spans="2:16" ht="259.5">
      <c r="B27" s="40">
        <f>IF(ISERR(casostestes[[#This Row],[ID]]),"-",casostestes[[#This Row],[ID]])</f>
        <v>20</v>
      </c>
      <c r="C27" s="34" t="str">
        <f>IFERROR(IF(VLOOKUP($B27,casostestes[#Data],10)=0,"Não",VLOOKUP($B27,casostestes[#Data],10)), "-")</f>
        <v>Sim</v>
      </c>
      <c r="D27" s="35" t="str">
        <f>IFERROR(IF(VLOOKUP($B27,casostestes[#Data],2)=0,"-",VLOOKUP($B27,casostestes[#Data],2)), "-")</f>
        <v>Integração</v>
      </c>
      <c r="E27" s="35" t="str">
        <f>IFERROR(IF(VLOOKUP($B27,casostestes[#Data],3)=0,"-",VLOOKUP($B27,casostestes[#Data],3)), "-")</f>
        <v>36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7" s="35" t="str">
        <f>IFERROR(IF(VLOOKUP($B27,casostestes[#Data],4)=0,"-",VLOOKUP($B27,casostestes[#Data],4)),"-")</f>
        <v>Meu INSS</v>
      </c>
      <c r="G27" s="35" t="str">
        <f>IFERROR(IF(VLOOKUP($B27,casostestes[#Data],5)=0,"-",VLOOKUP($B27,casostestes[#Data],5)),"-")</f>
        <v>INTERESSADO</v>
      </c>
      <c r="H27" s="35" t="str">
        <f>IFERROR(IF(VLOOKUP($B27,casostestes[#Data],6)=0,"-",VLOOKUP($B27,casostestes[#Data],6)),"-")</f>
        <v>1. Logar no  Meu INSS
2.Criar tarefa de BI informando:
Tipo de Incapacidade? "Temporária "
A pessoa está presa?  Não
Categoria do trabalhador "Segurado Especial"
A pessoa ficou sem trabalhar? Sim
3. Responder a autodeclaração</v>
      </c>
      <c r="I27" s="35" t="str">
        <f>IFERROR(IF(VLOOKUP($B27,casostestes[#Data],8)=0,"-",VLOOKUP($B27,casostestes[#Data],8)),"-")</f>
        <v>-</v>
      </c>
      <c r="J27" s="35" t="str">
        <f>IFERROR(IF(VLOOKUP($B27,casostestes[#Data],9)=0,"-",VLOOKUP($B27,casostestes[#Data],9)),"-")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27" s="36">
        <v>46253</v>
      </c>
      <c r="L27" s="45" t="s">
        <v>235</v>
      </c>
      <c r="M27" s="37" t="s">
        <v>22</v>
      </c>
      <c r="N27" s="38"/>
      <c r="O27" s="38"/>
      <c r="P27" s="39"/>
    </row>
    <row r="28" spans="2:16" ht="183">
      <c r="B28" s="40">
        <f>IF(ISERR(casostestes[[#This Row],[ID]]),"-",casostestes[[#This Row],[ID]])</f>
        <v>21</v>
      </c>
      <c r="C28" s="34" t="str">
        <f>IFERROR(IF(VLOOKUP($B28,casostestes[#Data],10)=0,"Não",VLOOKUP($B28,casostestes[#Data],10)), "-")</f>
        <v>Sim</v>
      </c>
      <c r="D28" s="35" t="str">
        <f>IFERROR(IF(VLOOKUP($B28,casostestes[#Data],2)=0,"-",VLOOKUP($B28,casostestes[#Data],2)), "-")</f>
        <v>Requerimento Inicial de BI</v>
      </c>
      <c r="E28" s="35" t="str">
        <f>IFERROR(IF(VLOOKUP($B28,casostestes[#Data],3)=0,"-",VLOOKUP($B28,casostestes[#Data],3)), "-")</f>
        <v>37
Criar tarefa de BI inicial fluxo ATESTMEDQ para categoria "Segurado especial" onde o parâmetro "Exige Autodeclaração" no Catálogo está ATIVADO e  NÃO foi respondida a autodeclaração
**Parâmetro PAT ligado: 144 - Fluxo ATESTMEDQ</v>
      </c>
      <c r="F28" s="35" t="str">
        <f>IFERROR(IF(VLOOKUP($B28,casostestes[#Data],4)=0,"-",VLOOKUP($B28,casostestes[#Data],4)),"-")</f>
        <v>Meu INSS</v>
      </c>
      <c r="G28" s="35" t="str">
        <f>IFERROR(IF(VLOOKUP($B28,casostestes[#Data],5)=0,"-",VLOOKUP($B28,casostestes[#Data],5)),"-")</f>
        <v>INTERESSADO</v>
      </c>
      <c r="H28" s="35" t="str">
        <f>IFERROR(IF(VLOOKUP($B28,casostestes[#Data],6)=0,"-",VLOOKUP($B28,casostestes[#Data],6)),"-")</f>
        <v>1. Logar no  Meu INSS
2.Criar tarefa de BI informando:
Tipo de Incapacidade? "Temporária "
A pessoa está presa?  Não
Categoria do trabalhador "Segurado Especial"
A pessoa ficou sem trabalhar? Não
3. NÃO Responder a autodeclaração</v>
      </c>
      <c r="I28" s="35" t="str">
        <f>IFERROR(IF(VLOOKUP($B28,casostestes[#Data],8)=0,"-",VLOOKUP($B28,casostestes[#Data],8)),"-")</f>
        <v>-</v>
      </c>
      <c r="J28" s="35" t="str">
        <f>IFERROR(IF(VLOOKUP($B28,casostestes[#Data],9)=0,"-",VLOOKUP($B28,casostestes[#Data],9)),"-")</f>
        <v xml:space="preserve">
"Tarefa de BI criada com situação Pendente.
Status SIBE igual a  FLUXO NÃO INICIADO
Divergência de autodeclaração (116) incluída na tarefa
Após execução workflow:
Tarefa de BI com situação alterada para Exigência .
DTP:
Campo Exige_autodeclaração = 1"
</v>
      </c>
      <c r="K28" s="36">
        <v>46253</v>
      </c>
      <c r="L28" s="45" t="s">
        <v>236</v>
      </c>
      <c r="M28" s="37" t="s">
        <v>22</v>
      </c>
      <c r="N28" s="38"/>
      <c r="O28" s="38"/>
      <c r="P28" s="39"/>
    </row>
    <row r="29" spans="2:16" ht="229.5">
      <c r="B29" s="40">
        <f>IF(ISERR(casostestes[[#This Row],[ID]]),"-",casostestes[[#This Row],[ID]])</f>
        <v>22</v>
      </c>
      <c r="C29" s="34" t="str">
        <f>IFERROR(IF(VLOOKUP($B29,casostestes[#Data],10)=0,"Não",VLOOKUP($B29,casostestes[#Data],10)), "-")</f>
        <v>Sim</v>
      </c>
      <c r="D29" s="35" t="str">
        <f>IFERROR(IF(VLOOKUP($B29,casostestes[#Data],2)=0,"-",VLOOKUP($B29,casostestes[#Data],2)), "-")</f>
        <v>Integração</v>
      </c>
      <c r="E29" s="35" t="str">
        <f>IFERROR(IF(VLOOKUP($B29,casostestes[#Data],3)=0,"-",VLOOKUP($B29,casostestes[#Data],3)), "-")</f>
        <v>38
Cumprir a exigência de autodeclaração</v>
      </c>
      <c r="F29" s="35" t="str">
        <f>IFERROR(IF(VLOOKUP($B29,casostestes[#Data],4)=0,"-",VLOOKUP($B29,casostestes[#Data],4)),"-")</f>
        <v>Meu INSS</v>
      </c>
      <c r="G29" s="35" t="str">
        <f>IFERROR(IF(VLOOKUP($B29,casostestes[#Data],5)=0,"-",VLOOKUP($B29,casostestes[#Data],5)),"-")</f>
        <v>INTERESSADO</v>
      </c>
      <c r="H29" s="35" t="str">
        <f>IFERROR(IF(VLOOKUP($B29,casostestes[#Data],6)=0,"-",VLOOKUP($B29,casostestes[#Data],6)),"-")</f>
        <v>1. Logar no  Meu INSS
2.Consultar uma tarefa em exigência de autodeclaração e acionar Cumprir Exigência  
3. Responder o formulário de autodeclaração</v>
      </c>
      <c r="I29" s="35" t="str">
        <f>IFERROR(IF(VLOOKUP($B29,casostestes[#Data],8)=0,"-",VLOOKUP($B29,casostestes[#Data],8)),"-")</f>
        <v>-</v>
      </c>
      <c r="J29" s="35" t="str">
        <f>IFERROR(IF(VLOOKUP($B29,casostestes[#Data],9)=0,"-",VLOOKUP($B29,casostestes[#Data],9)),"-")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9" s="36">
        <v>46253</v>
      </c>
      <c r="L29" s="45" t="s">
        <v>237</v>
      </c>
      <c r="M29" s="37" t="s">
        <v>22</v>
      </c>
      <c r="N29" s="38"/>
      <c r="O29" s="38"/>
      <c r="P29" s="39"/>
    </row>
    <row r="30" spans="2:16" ht="180">
      <c r="B30" s="40">
        <f>IF(ISERR(casostestes[[#This Row],[ID]]),"-",casostestes[[#This Row],[ID]])</f>
        <v>23</v>
      </c>
      <c r="C30" s="34" t="str">
        <f>IFERROR(IF(VLOOKUP($B30,casostestes[#Data],10)=0,"Não",VLOOKUP($B30,casostestes[#Data],10)), "-")</f>
        <v>Sim</v>
      </c>
      <c r="D30" s="35" t="str">
        <f>IFERROR(IF(VLOOKUP($B30,casostestes[#Data],2)=0,"-",VLOOKUP($B30,casostestes[#Data],2)), "-")</f>
        <v>Integração</v>
      </c>
      <c r="E30" s="35" t="str">
        <f>IFERROR(IF(VLOOKUP($B30,casostestes[#Data],3)=0,"-",VLOOKUP($B30,casostestes[#Data],3)), "-")</f>
        <v>39
Responder o formulário de autodeclaração acionando a opção de autodeclaração no card do pedido onde a tarefa encontra-se em exigência de autodeclaração
Será posível acessar diretamente a autodeclaração logado no Meu INSS?</v>
      </c>
      <c r="F30" s="35" t="str">
        <f>IFERROR(IF(VLOOKUP($B30,casostestes[#Data],4)=0,"-",VLOOKUP($B30,casostestes[#Data],4)),"-")</f>
        <v>Meu INSS</v>
      </c>
      <c r="G30" s="35" t="str">
        <f>IFERROR(IF(VLOOKUP($B30,casostestes[#Data],5)=0,"-",VLOOKUP($B30,casostestes[#Data],5)),"-")</f>
        <v>INTERESSADO</v>
      </c>
      <c r="H30" s="35" t="str">
        <f>IFERROR(IF(VLOOKUP($B30,casostestes[#Data],6)=0,"-",VLOOKUP($B30,casostestes[#Data],6)),"-")</f>
        <v>1. Logar no  Meu INSS
2.Consultar uma tarefa em exigência de autodeclaração
3. Acionar no card do pedido a opção de Autodeclaração   
3. Responder o formulário de autodeclaração</v>
      </c>
      <c r="I30" s="35" t="str">
        <f>IFERROR(IF(VLOOKUP($B30,casostestes[#Data],8)=0,"-",VLOOKUP($B30,casostestes[#Data],8)),"-")</f>
        <v>-</v>
      </c>
      <c r="J30" s="35" t="str">
        <f>IFERROR(IF(VLOOKUP($B30,casostestes[#Data],9)=0,"-",VLOOKUP($B30,casostestes[#Data],9)),"-")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0" s="36">
        <v>46253</v>
      </c>
      <c r="L30" s="45" t="s">
        <v>237</v>
      </c>
      <c r="M30" s="37" t="s">
        <v>22</v>
      </c>
      <c r="N30" s="38"/>
      <c r="O30" s="38"/>
      <c r="P30" s="39"/>
    </row>
    <row r="31" spans="2:16" ht="105">
      <c r="B31" s="40">
        <f>IF(ISERR(casostestes[[#This Row],[ID]]),"-",casostestes[[#This Row],[ID]])</f>
        <v>24</v>
      </c>
      <c r="C31" s="34" t="str">
        <f>IFERROR(IF(VLOOKUP($B31,casostestes[#Data],10)=0,"Não",VLOOKUP($B31,casostestes[#Data],10)), "-")</f>
        <v>Sim</v>
      </c>
      <c r="D31" s="35" t="str">
        <f>IFERROR(IF(VLOOKUP($B31,casostestes[#Data],2)=0,"-",VLOOKUP($B31,casostestes[#Data],2)), "-")</f>
        <v>Integração</v>
      </c>
      <c r="E31" s="35" t="str">
        <f>IFERROR(IF(VLOOKUP($B31,casostestes[#Data],3)=0,"-",VLOOKUP($B31,casostestes[#Data],3)), "-")</f>
        <v>40
Responder o formulário de autodeclaração acionando a opção de autodeclaração no card do pedido onde a tarefa encontra-se em exigência de documento médico
Será posível acessar diretamente a autodeclaração logado no Meu INSS?</v>
      </c>
      <c r="F31" s="35" t="str">
        <f>IFERROR(IF(VLOOKUP($B31,casostestes[#Data],4)=0,"-",VLOOKUP($B31,casostestes[#Data],4)),"-")</f>
        <v>Meu INSS</v>
      </c>
      <c r="G31" s="35" t="str">
        <f>IFERROR(IF(VLOOKUP($B31,casostestes[#Data],5)=0,"-",VLOOKUP($B31,casostestes[#Data],5)),"-")</f>
        <v>INTERESSADO</v>
      </c>
      <c r="H31" s="35" t="str">
        <f>IFERROR(IF(VLOOKUP($B31,casostestes[#Data],6)=0,"-",VLOOKUP($B31,casostestes[#Data],6)),"-")</f>
        <v>1. Logar no  Meu INSS
2.Consultar uma tarefa em exigência de documento médico 
3. Acionar no card do pedido a opção de Autodeclaração   
3. Responder o formulário de autodeclaração</v>
      </c>
      <c r="I31" s="35" t="str">
        <f>IFERROR(IF(VLOOKUP($B31,casostestes[#Data],8)=0,"-",VLOOKUP($B31,casostestes[#Data],8)),"-")</f>
        <v>-</v>
      </c>
      <c r="J31" s="35" t="str">
        <f>IFERROR(IF(VLOOKUP($B31,casostestes[#Data],9)=0,"-",VLOOKUP($B31,casostestes[#Data],9)),"-")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31" s="36">
        <v>46253</v>
      </c>
      <c r="L31" s="45" t="s">
        <v>238</v>
      </c>
      <c r="M31" s="37" t="s">
        <v>22</v>
      </c>
      <c r="N31" s="38"/>
      <c r="O31" s="38"/>
      <c r="P31" s="39"/>
    </row>
    <row r="32" spans="2:16" ht="409.6">
      <c r="B32" s="40">
        <f>IF(ISERR(casostestes[[#This Row],[ID]]),"-",casostestes[[#This Row],[ID]])</f>
        <v>25</v>
      </c>
      <c r="C32" s="34" t="str">
        <f>IFERROR(IF(VLOOKUP($B32,casostestes[#Data],10)=0,"Não",VLOOKUP($B32,casostestes[#Data],10)), "-")</f>
        <v>Sim</v>
      </c>
      <c r="D32" s="35" t="str">
        <f>IFERROR(IF(VLOOKUP($B32,casostestes[#Data],2)=0,"-",VLOOKUP($B32,casostestes[#Data],2)), "-")</f>
        <v>Integração</v>
      </c>
      <c r="E32" s="35" t="str">
        <f>IFERROR(IF(VLOOKUP($B32,casostestes[#Data],3)=0,"-",VLOOKUP($B32,casostestes[#Data],3)), "-")</f>
        <v xml:space="preserve">
41
'Criar tarefa de BI inicial fluxo ATESTMEDQ para categoria "Segurado especial" onde o parâmetro "Exige Autodeclaração" no Catálogo está ATIVADO, 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2" s="35" t="str">
        <f>IFERROR(IF(VLOOKUP($B32,casostestes[#Data],4)=0,"-",VLOOKUP($B32,casostestes[#Data],4)),"-")</f>
        <v>PAT</v>
      </c>
      <c r="G32" s="35" t="str">
        <f>IFERROR(IF(VLOOKUP($B32,casostestes[#Data],5)=0,"-",VLOOKUP($B32,casostestes[#Data],5)),"-")</f>
        <v>SERVIDOR</v>
      </c>
      <c r="H32" s="35" t="str">
        <f>IFERROR(IF(VLOOKUP($B32,casostestes[#Data],6)=0,"-",VLOOKUP($B32,casostestes[#Data],6)),"-")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Responder o formulário de autodeclaração
Resultado 1
5. Executar o serviço do STD simulando enquadramento na regra da análise de risco
- Inclusão da divergência 202 (ORIENTAÇÕES NA ABA MASSA)   
Resultado 2
</v>
      </c>
      <c r="I32" s="35" t="str">
        <f>IFERROR(IF(VLOOKUP($B32,casostestes[#Data],8)=0,"-",VLOOKUP($B32,casostestes[#Data],8)),"-")</f>
        <v>-</v>
      </c>
      <c r="J32" s="35" t="str">
        <f>IFERROR(IF(VLOOKUP($B32,casostestes[#Data],9)=0,"-",VLOOKUP($B32,casostestes[#Data],9)),"-")</f>
        <v xml:space="preserve">Resultado 1:
Tarefa de BI criada com situação Pendente.
Tarefa SEM a Divergência de autodeclaração (116)  
Status SIBE igual a  FLUXO NÃO INICIADO
Seção campos adicionais:
"Fluxo Inicial e final do BI" deve ter o valor  "ATESTMEDQ"
DTP:  Campo Exige_autodeclaração = 1
Aguardar alguns minutos após a geração automática do PDF da autodeclaração:
Status SIBE continua igual a  FLUXO NÃO INICIADO
Resultado 2 - Após a execução do serviço do STD:  
- Cerca de 5 minutos depois, será exibida a divergência da Análise de Risco (202) no requerimento
- Alguns minutos depois:
Status SIBE igual a AGUARDANDO PERÍCIA
- Ocorrências de integração (com SIBE)
 "tipoInformacaoMedica":0
 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 Seção "Agendamentos (Perícia)":
- A etapa_pericia apresentará o valor AGUARDANDO AGENDAMENTO 
Aba Despachos:
-Inclusão do despacho de exigência de agendamento
</v>
      </c>
      <c r="K32" s="36">
        <v>46254</v>
      </c>
      <c r="L32" s="45" t="s">
        <v>239</v>
      </c>
      <c r="M32" s="37" t="s">
        <v>22</v>
      </c>
      <c r="N32" s="38" t="s">
        <v>240</v>
      </c>
      <c r="O32" s="38"/>
      <c r="P32" s="39"/>
    </row>
    <row r="33" spans="2:16" ht="409.6">
      <c r="B33" s="40">
        <f>IF(ISERR(casostestes[[#This Row],[ID]]),"-",casostestes[[#This Row],[ID]])</f>
        <v>26</v>
      </c>
      <c r="C33" s="34" t="str">
        <f>IFERROR(IF(VLOOKUP($B33,casostestes[#Data],10)=0,"Não",VLOOKUP($B33,casostestes[#Data],10)), "-")</f>
        <v>Sim</v>
      </c>
      <c r="D33" s="35" t="str">
        <f>IFERROR(IF(VLOOKUP($B33,casostestes[#Data],2)=0,"-",VLOOKUP($B33,casostestes[#Data],2)), "-")</f>
        <v>Integração</v>
      </c>
      <c r="E33" s="35" t="str">
        <f>IFERROR(IF(VLOOKUP($B33,casostestes[#Data],3)=0,"-",VLOOKUP($B33,casostestes[#Data],3)), "-")</f>
        <v xml:space="preserve">42'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3" s="35" t="str">
        <f>IFERROR(IF(VLOOKUP($B33,casostestes[#Data],4)=0,"-",VLOOKUP($B33,casostestes[#Data],4)),"-")</f>
        <v>PAT</v>
      </c>
      <c r="G33" s="35" t="str">
        <f>IFERROR(IF(VLOOKUP($B33,casostestes[#Data],5)=0,"-",VLOOKUP($B33,casostestes[#Data],5)),"-")</f>
        <v>SERVIDOR</v>
      </c>
      <c r="H33" s="35" t="str">
        <f>IFERROR(IF(VLOOKUP($B33,casostestes[#Data],6)=0,"-",VLOOKUP($B33,casostestes[#Data],6)),"-")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33" s="35" t="str">
        <f>IFERROR(IF(VLOOKUP($B33,casostestes[#Data],8)=0,"-",VLOOKUP($B33,casostestes[#Data],8)),"-")</f>
        <v>-</v>
      </c>
      <c r="J33" s="35" t="str">
        <f>IFERROR(IF(VLOOKUP($B33,casostestes[#Data],9)=0,"-",VLOOKUP($B33,casostestes[#Data],9)),"-")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33" s="36">
        <v>46254</v>
      </c>
      <c r="L33" s="45" t="s">
        <v>241</v>
      </c>
      <c r="M33" s="37" t="s">
        <v>22</v>
      </c>
      <c r="N33" s="38"/>
      <c r="O33" s="38"/>
      <c r="P33" s="39"/>
    </row>
    <row r="34" spans="2:16" ht="408.75" customHeight="1">
      <c r="B34" s="40">
        <f>IF(ISERR(casostestes[[#This Row],[ID]]),"-",casostestes[[#This Row],[ID]])</f>
        <v>27</v>
      </c>
      <c r="C34" s="34" t="str">
        <f>IFERROR(IF(VLOOKUP($B34,casostestes[#Data],10)=0,"Não",VLOOKUP($B34,casostestes[#Data],10)), "-")</f>
        <v>Sim</v>
      </c>
      <c r="D34" s="35" t="str">
        <f>IFERROR(IF(VLOOKUP($B34,casostestes[#Data],2)=0,"-",VLOOKUP($B34,casostestes[#Data],2)), "-")</f>
        <v>Integração</v>
      </c>
      <c r="E34" s="35" t="str">
        <f>IFERROR(IF(VLOOKUP($B34,casostestes[#Data],3)=0,"-",VLOOKUP($B34,casostestes[#Data],3)), "-")</f>
        <v xml:space="preserve">43'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4" s="35" t="str">
        <f>IFERROR(IF(VLOOKUP($B34,casostestes[#Data],4)=0,"-",VLOOKUP($B34,casostestes[#Data],4)),"-")</f>
        <v>PAT</v>
      </c>
      <c r="G34" s="35" t="str">
        <f>IFERROR(IF(VLOOKUP($B34,casostestes[#Data],5)=0,"-",VLOOKUP($B34,casostestes[#Data],5)),"-")</f>
        <v>SERVIDOR</v>
      </c>
      <c r="H34" s="35" t="str">
        <f>IFERROR(IF(VLOOKUP($B34,casostestes[#Data],6)=0,"-",VLOOKUP($B34,casostestes[#Data],6)),"-")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34" s="35" t="str">
        <f>IFERROR(IF(VLOOKUP($B34,casostestes[#Data],8)=0,"-",VLOOKUP($B34,casostestes[#Data],8)),"-")</f>
        <v>-</v>
      </c>
      <c r="J34" s="35" t="str">
        <f>IFERROR(IF(VLOOKUP($B34,casostestes[#Data],9)=0,"-",VLOOKUP($B34,casostestes[#Data],9)),"-")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34" s="36">
        <v>46254</v>
      </c>
      <c r="L34" s="45" t="s">
        <v>242</v>
      </c>
      <c r="M34" s="37" t="s">
        <v>22</v>
      </c>
      <c r="N34" s="38" t="s">
        <v>243</v>
      </c>
      <c r="O34" s="38"/>
      <c r="P34" s="39"/>
    </row>
    <row r="35" spans="2:16">
      <c r="B35" s="40" t="str">
        <f>IF(ISERR(casostestes[[#This Row],[ID]]),"-",casostestes[[#This Row],[ID]])</f>
        <v>-</v>
      </c>
      <c r="C35" s="34" t="str">
        <f>IFERROR(IF(VLOOKUP($B35,casostestes[#Data],10)=0,"Não",VLOOKUP($B35,casostestes[#Data],10)), "-")</f>
        <v>-</v>
      </c>
      <c r="D35" s="35" t="str">
        <f>IFERROR(IF(VLOOKUP($B35,casostestes[#Data],2)=0,"-",VLOOKUP($B35,casostestes[#Data],2)), "-")</f>
        <v>-</v>
      </c>
      <c r="E35" s="35" t="str">
        <f>IFERROR(IF(VLOOKUP($B35,casostestes[#Data],3)=0,"-",VLOOKUP($B35,casostestes[#Data],3)), "-")</f>
        <v>-</v>
      </c>
      <c r="F35" s="35" t="str">
        <f>IFERROR(IF(VLOOKUP($B35,casostestes[#Data],4)=0,"-",VLOOKUP($B35,casostestes[#Data],4)),"-")</f>
        <v>-</v>
      </c>
      <c r="G35" s="35" t="str">
        <f>IFERROR(IF(VLOOKUP($B35,casostestes[#Data],5)=0,"-",VLOOKUP($B35,casostestes[#Data],5)),"-")</f>
        <v>-</v>
      </c>
      <c r="H35" s="35" t="str">
        <f>IFERROR(IF(VLOOKUP($B35,casostestes[#Data],6)=0,"-",VLOOKUP($B35,casostestes[#Data],6)),"-")</f>
        <v>-</v>
      </c>
      <c r="I35" s="35" t="str">
        <f>IFERROR(IF(VLOOKUP($B35,casostestes[#Data],8)=0,"-",VLOOKUP($B35,casostestes[#Data],8)),"-")</f>
        <v>-</v>
      </c>
      <c r="J35" s="35" t="str">
        <f>IFERROR(IF(VLOOKUP($B35,casostestes[#Data],9)=0,"-",VLOOKUP($B35,casostestes[#Data],9)),"-")</f>
        <v>-</v>
      </c>
      <c r="K35" s="36"/>
      <c r="L35" s="45"/>
      <c r="M35" s="37"/>
      <c r="N35" s="38"/>
      <c r="O35" s="38"/>
      <c r="P35" s="39"/>
    </row>
    <row r="36" spans="2:16">
      <c r="B36" s="40" t="str">
        <f>IF(ISERR(casostestes[[#This Row],[ID]]),"-",casostestes[[#This Row],[ID]])</f>
        <v>-</v>
      </c>
      <c r="C36" s="34" t="str">
        <f>IFERROR(IF(VLOOKUP($B36,casostestes[#Data],10)=0,"Não",VLOOKUP($B36,casostestes[#Data],10)), "-")</f>
        <v>-</v>
      </c>
      <c r="D36" s="35" t="str">
        <f>IFERROR(IF(VLOOKUP($B36,casostestes[#Data],2)=0,"-",VLOOKUP($B36,casostestes[#Data],2)), "-")</f>
        <v>-</v>
      </c>
      <c r="E36" s="35" t="str">
        <f>IFERROR(IF(VLOOKUP($B36,casostestes[#Data],3)=0,"-",VLOOKUP($B36,casostestes[#Data],3)), "-")</f>
        <v>-</v>
      </c>
      <c r="F36" s="35" t="str">
        <f>IFERROR(IF(VLOOKUP($B36,casostestes[#Data],4)=0,"-",VLOOKUP($B36,casostestes[#Data],4)),"-")</f>
        <v>-</v>
      </c>
      <c r="G36" s="35" t="str">
        <f>IFERROR(IF(VLOOKUP($B36,casostestes[#Data],5)=0,"-",VLOOKUP($B36,casostestes[#Data],5)),"-")</f>
        <v>-</v>
      </c>
      <c r="H36" s="35" t="str">
        <f>IFERROR(IF(VLOOKUP($B36,casostestes[#Data],6)=0,"-",VLOOKUP($B36,casostestes[#Data],6)),"-")</f>
        <v>-</v>
      </c>
      <c r="I36" s="35" t="str">
        <f>IFERROR(IF(VLOOKUP($B36,casostestes[#Data],8)=0,"-",VLOOKUP($B36,casostestes[#Data],8)),"-")</f>
        <v>-</v>
      </c>
      <c r="J36" s="35" t="str">
        <f>IFERROR(IF(VLOOKUP($B36,casostestes[#Data],9)=0,"-",VLOOKUP($B36,casostestes[#Data],9)),"-")</f>
        <v>-</v>
      </c>
      <c r="K36" s="36"/>
      <c r="L36" s="45"/>
      <c r="M36" s="37"/>
      <c r="N36" s="38"/>
      <c r="O36" s="38"/>
      <c r="P36" s="39"/>
    </row>
    <row r="37" spans="2:16">
      <c r="B37" s="40" t="str">
        <f>IF(ISERR(casostestes[[#This Row],[ID]]),"-",casostestes[[#This Row],[ID]])</f>
        <v>-</v>
      </c>
      <c r="C37" s="34" t="str">
        <f>IFERROR(IF(VLOOKUP($B37,casostestes[#Data],10)=0,"Não",VLOOKUP($B37,casostestes[#Data],10)), "-")</f>
        <v>-</v>
      </c>
      <c r="D37" s="35" t="str">
        <f>IFERROR(IF(VLOOKUP($B37,casostestes[#Data],2)=0,"-",VLOOKUP($B37,casostestes[#Data],2)), "-")</f>
        <v>-</v>
      </c>
      <c r="E37" s="35" t="str">
        <f>IFERROR(IF(VLOOKUP($B37,casostestes[#Data],3)=0,"-",VLOOKUP($B37,casostestes[#Data],3)), "-")</f>
        <v>-</v>
      </c>
      <c r="F37" s="35" t="str">
        <f>IFERROR(IF(VLOOKUP($B37,casostestes[#Data],4)=0,"-",VLOOKUP($B37,casostestes[#Data],4)),"-")</f>
        <v>-</v>
      </c>
      <c r="G37" s="35" t="str">
        <f>IFERROR(IF(VLOOKUP($B37,casostestes[#Data],5)=0,"-",VLOOKUP($B37,casostestes[#Data],5)),"-")</f>
        <v>-</v>
      </c>
      <c r="H37" s="35" t="str">
        <f>IFERROR(IF(VLOOKUP($B37,casostestes[#Data],6)=0,"-",VLOOKUP($B37,casostestes[#Data],6)),"-")</f>
        <v>-</v>
      </c>
      <c r="I37" s="35" t="str">
        <f>IFERROR(IF(VLOOKUP($B37,casostestes[#Data],8)=0,"-",VLOOKUP($B37,casostestes[#Data],8)),"-")</f>
        <v>-</v>
      </c>
      <c r="J37" s="35" t="str">
        <f>IFERROR(IF(VLOOKUP($B37,casostestes[#Data],9)=0,"-",VLOOKUP($B37,casostestes[#Data],9)),"-")</f>
        <v>-</v>
      </c>
      <c r="K37" s="36"/>
      <c r="L37" s="45"/>
      <c r="M37" s="37"/>
      <c r="N37" s="38"/>
      <c r="O37" s="38"/>
      <c r="P37" s="39"/>
    </row>
    <row r="38" spans="2:16">
      <c r="B38" s="40" t="str">
        <f>IF(ISERR(casostestes[[#This Row],[ID]]),"-",casostestes[[#This Row],[ID]])</f>
        <v>-</v>
      </c>
      <c r="C38" s="34" t="str">
        <f>IFERROR(IF(VLOOKUP($B38,casostestes[#Data],10)=0,"Não",VLOOKUP($B38,casostestes[#Data],10)), "-")</f>
        <v>-</v>
      </c>
      <c r="D38" s="35" t="str">
        <f>IFERROR(IF(VLOOKUP($B38,casostestes[#Data],2)=0,"-",VLOOKUP($B38,casostestes[#Data],2)), "-")</f>
        <v>-</v>
      </c>
      <c r="E38" s="35" t="str">
        <f>IFERROR(IF(VLOOKUP($B38,casostestes[#Data],3)=0,"-",VLOOKUP($B38,casostestes[#Data],3)), "-")</f>
        <v>-</v>
      </c>
      <c r="F38" s="35" t="str">
        <f>IFERROR(IF(VLOOKUP($B38,casostestes[#Data],4)=0,"-",VLOOKUP($B38,casostestes[#Data],4)),"-")</f>
        <v>-</v>
      </c>
      <c r="G38" s="35" t="str">
        <f>IFERROR(IF(VLOOKUP($B38,casostestes[#Data],5)=0,"-",VLOOKUP($B38,casostestes[#Data],5)),"-")</f>
        <v>-</v>
      </c>
      <c r="H38" s="35" t="str">
        <f>IFERROR(IF(VLOOKUP($B38,casostestes[#Data],6)=0,"-",VLOOKUP($B38,casostestes[#Data],6)),"-")</f>
        <v>-</v>
      </c>
      <c r="I38" s="35" t="str">
        <f>IFERROR(IF(VLOOKUP($B38,casostestes[#Data],8)=0,"-",VLOOKUP($B38,casostestes[#Data],8)),"-")</f>
        <v>-</v>
      </c>
      <c r="J38" s="35" t="str">
        <f>IFERROR(IF(VLOOKUP($B38,casostestes[#Data],9)=0,"-",VLOOKUP($B38,casostestes[#Data],9)),"-")</f>
        <v>-</v>
      </c>
      <c r="K38" s="36"/>
      <c r="L38" s="45"/>
      <c r="M38" s="37"/>
      <c r="N38" s="38"/>
      <c r="O38" s="38"/>
      <c r="P38" s="39"/>
    </row>
    <row r="39" spans="2:16">
      <c r="B39" s="40" t="str">
        <f>IF(ISERR(casostestes[[#This Row],[ID]]),"-",casostestes[[#This Row],[ID]])</f>
        <v>-</v>
      </c>
      <c r="C39" s="34" t="str">
        <f>IFERROR(IF(VLOOKUP($B39,casostestes[#Data],10)=0,"Não",VLOOKUP($B39,casostestes[#Data],10)), "-")</f>
        <v>-</v>
      </c>
      <c r="D39" s="35" t="str">
        <f>IFERROR(IF(VLOOKUP($B39,casostestes[#Data],2)=0,"-",VLOOKUP($B39,casostestes[#Data],2)), "-")</f>
        <v>-</v>
      </c>
      <c r="E39" s="35" t="str">
        <f>IFERROR(IF(VLOOKUP($B39,casostestes[#Data],3)=0,"-",VLOOKUP($B39,casostestes[#Data],3)), "-")</f>
        <v>-</v>
      </c>
      <c r="F39" s="35" t="str">
        <f>IFERROR(IF(VLOOKUP($B39,casostestes[#Data],4)=0,"-",VLOOKUP($B39,casostestes[#Data],4)),"-")</f>
        <v>-</v>
      </c>
      <c r="G39" s="35" t="str">
        <f>IFERROR(IF(VLOOKUP($B39,casostestes[#Data],5)=0,"-",VLOOKUP($B39,casostestes[#Data],5)),"-")</f>
        <v>-</v>
      </c>
      <c r="H39" s="35" t="str">
        <f>IFERROR(IF(VLOOKUP($B39,casostestes[#Data],6)=0,"-",VLOOKUP($B39,casostestes[#Data],6)),"-")</f>
        <v>-</v>
      </c>
      <c r="I39" s="35" t="str">
        <f>IFERROR(IF(VLOOKUP($B39,casostestes[#Data],8)=0,"-",VLOOKUP($B39,casostestes[#Data],8)),"-")</f>
        <v>-</v>
      </c>
      <c r="J39" s="35" t="str">
        <f>IFERROR(IF(VLOOKUP($B39,casostestes[#Data],9)=0,"-",VLOOKUP($B39,casostestes[#Data],9)),"-")</f>
        <v>-</v>
      </c>
      <c r="K39" s="36"/>
      <c r="L39" s="45"/>
      <c r="M39" s="37"/>
      <c r="N39" s="38"/>
      <c r="O39" s="38"/>
      <c r="P39" s="39"/>
    </row>
    <row r="40" spans="2:16">
      <c r="B40" s="40" t="str">
        <f>IF(ISERR(casostestes[[#This Row],[ID]]),"-",casostestes[[#This Row],[ID]])</f>
        <v>-</v>
      </c>
      <c r="C40" s="34" t="str">
        <f>IFERROR(IF(VLOOKUP($B40,casostestes[#Data],10)=0,"Não",VLOOKUP($B40,casostestes[#Data],10)), "-")</f>
        <v>-</v>
      </c>
      <c r="D40" s="35" t="str">
        <f>IFERROR(IF(VLOOKUP($B40,casostestes[#Data],2)=0,"-",VLOOKUP($B40,casostestes[#Data],2)), "-")</f>
        <v>-</v>
      </c>
      <c r="E40" s="35" t="str">
        <f>IFERROR(IF(VLOOKUP($B40,casostestes[#Data],3)=0,"-",VLOOKUP($B40,casostestes[#Data],3)), "-")</f>
        <v>-</v>
      </c>
      <c r="F40" s="35" t="str">
        <f>IFERROR(IF(VLOOKUP($B40,casostestes[#Data],4)=0,"-",VLOOKUP($B40,casostestes[#Data],4)),"-")</f>
        <v>-</v>
      </c>
      <c r="G40" s="35" t="str">
        <f>IFERROR(IF(VLOOKUP($B40,casostestes[#Data],5)=0,"-",VLOOKUP($B40,casostestes[#Data],5)),"-")</f>
        <v>-</v>
      </c>
      <c r="H40" s="35" t="str">
        <f>IFERROR(IF(VLOOKUP($B40,casostestes[#Data],6)=0,"-",VLOOKUP($B40,casostestes[#Data],6)),"-")</f>
        <v>-</v>
      </c>
      <c r="I40" s="35" t="str">
        <f>IFERROR(IF(VLOOKUP($B40,casostestes[#Data],8)=0,"-",VLOOKUP($B40,casostestes[#Data],8)),"-")</f>
        <v>-</v>
      </c>
      <c r="J40" s="35" t="str">
        <f>IFERROR(IF(VLOOKUP($B40,casostestes[#Data],9)=0,"-",VLOOKUP($B40,casostestes[#Data],9)),"-")</f>
        <v>-</v>
      </c>
      <c r="K40" s="36"/>
      <c r="L40" s="45"/>
      <c r="M40" s="37"/>
      <c r="N40" s="38"/>
      <c r="O40" s="38"/>
      <c r="P40" s="39"/>
    </row>
    <row r="41" spans="2:16">
      <c r="B41" s="40" t="str">
        <f>IF(ISERR(casostestes[[#This Row],[ID]]),"-",casostestes[[#This Row],[ID]])</f>
        <v>-</v>
      </c>
      <c r="C41" s="34" t="str">
        <f>IFERROR(IF(VLOOKUP($B41,casostestes[#Data],10)=0,"Não",VLOOKUP($B41,casostestes[#Data],10)), "-")</f>
        <v>-</v>
      </c>
      <c r="D41" s="35" t="str">
        <f>IFERROR(IF(VLOOKUP($B41,casostestes[#Data],2)=0,"-",VLOOKUP($B41,casostestes[#Data],2)), "-")</f>
        <v>-</v>
      </c>
      <c r="E41" s="35" t="str">
        <f>IFERROR(IF(VLOOKUP($B41,casostestes[#Data],3)=0,"-",VLOOKUP($B41,casostestes[#Data],3)), "-")</f>
        <v>-</v>
      </c>
      <c r="F41" s="35" t="str">
        <f>IFERROR(IF(VLOOKUP($B41,casostestes[#Data],4)=0,"-",VLOOKUP($B41,casostestes[#Data],4)),"-")</f>
        <v>-</v>
      </c>
      <c r="G41" s="35" t="str">
        <f>IFERROR(IF(VLOOKUP($B41,casostestes[#Data],5)=0,"-",VLOOKUP($B41,casostestes[#Data],5)),"-")</f>
        <v>-</v>
      </c>
      <c r="H41" s="35" t="str">
        <f>IFERROR(IF(VLOOKUP($B41,casostestes[#Data],6)=0,"-",VLOOKUP($B41,casostestes[#Data],6)),"-")</f>
        <v>-</v>
      </c>
      <c r="I41" s="35" t="str">
        <f>IFERROR(IF(VLOOKUP($B41,casostestes[#Data],8)=0,"-",VLOOKUP($B41,casostestes[#Data],8)),"-")</f>
        <v>-</v>
      </c>
      <c r="J41" s="35" t="str">
        <f>IFERROR(IF(VLOOKUP($B41,casostestes[#Data],9)=0,"-",VLOOKUP($B41,casostestes[#Data],9)),"-")</f>
        <v>-</v>
      </c>
      <c r="K41" s="36"/>
      <c r="L41" s="45"/>
      <c r="M41" s="37"/>
      <c r="N41" s="38"/>
      <c r="O41" s="38"/>
      <c r="P41" s="39"/>
    </row>
    <row r="42" spans="2:16">
      <c r="B42" s="40" t="str">
        <f>IF(ISERR(casostestes[[#This Row],[ID]]),"-",casostestes[[#This Row],[ID]])</f>
        <v>-</v>
      </c>
      <c r="C42" s="34" t="str">
        <f>IFERROR(IF(VLOOKUP($B42,casostestes[#Data],10)=0,"Não",VLOOKUP($B42,casostestes[#Data],10)), "-")</f>
        <v>-</v>
      </c>
      <c r="D42" s="35" t="str">
        <f>IFERROR(IF(VLOOKUP($B42,casostestes[#Data],2)=0,"-",VLOOKUP($B42,casostestes[#Data],2)), "-")</f>
        <v>-</v>
      </c>
      <c r="E42" s="35" t="str">
        <f>IFERROR(IF(VLOOKUP($B42,casostestes[#Data],3)=0,"-",VLOOKUP($B42,casostestes[#Data],3)), "-")</f>
        <v>-</v>
      </c>
      <c r="F42" s="35" t="str">
        <f>IFERROR(IF(VLOOKUP($B42,casostestes[#Data],4)=0,"-",VLOOKUP($B42,casostestes[#Data],4)),"-")</f>
        <v>-</v>
      </c>
      <c r="G42" s="35" t="str">
        <f>IFERROR(IF(VLOOKUP($B42,casostestes[#Data],5)=0,"-",VLOOKUP($B42,casostestes[#Data],5)),"-")</f>
        <v>-</v>
      </c>
      <c r="H42" s="35" t="str">
        <f>IFERROR(IF(VLOOKUP($B42,casostestes[#Data],6)=0,"-",VLOOKUP($B42,casostestes[#Data],6)),"-")</f>
        <v>-</v>
      </c>
      <c r="I42" s="35" t="str">
        <f>IFERROR(IF(VLOOKUP($B42,casostestes[#Data],8)=0,"-",VLOOKUP($B42,casostestes[#Data],8)),"-")</f>
        <v>-</v>
      </c>
      <c r="J42" s="35" t="str">
        <f>IFERROR(IF(VLOOKUP($B42,casostestes[#Data],9)=0,"-",VLOOKUP($B42,casostestes[#Data],9)),"-")</f>
        <v>-</v>
      </c>
      <c r="K42" s="36"/>
      <c r="L42" s="45"/>
      <c r="M42" s="37"/>
      <c r="N42" s="38"/>
      <c r="O42" s="38"/>
      <c r="P42" s="39"/>
    </row>
    <row r="43" spans="2:16">
      <c r="B43" s="40" t="str">
        <f>IF(ISERR(casostestes[[#This Row],[ID]]),"-",casostestes[[#This Row],[ID]])</f>
        <v>-</v>
      </c>
      <c r="C43" s="34" t="str">
        <f>IFERROR(IF(VLOOKUP($B43,casostestes[#Data],10)=0,"Não",VLOOKUP($B43,casostestes[#Data],10)), "-")</f>
        <v>-</v>
      </c>
      <c r="D43" s="35" t="str">
        <f>IFERROR(IF(VLOOKUP($B43,casostestes[#Data],2)=0,"-",VLOOKUP($B43,casostestes[#Data],2)), "-")</f>
        <v>-</v>
      </c>
      <c r="E43" s="35" t="str">
        <f>IFERROR(IF(VLOOKUP($B43,casostestes[#Data],3)=0,"-",VLOOKUP($B43,casostestes[#Data],3)), "-")</f>
        <v>-</v>
      </c>
      <c r="F43" s="35" t="str">
        <f>IFERROR(IF(VLOOKUP($B43,casostestes[#Data],4)=0,"-",VLOOKUP($B43,casostestes[#Data],4)),"-")</f>
        <v>-</v>
      </c>
      <c r="G43" s="35" t="str">
        <f>IFERROR(IF(VLOOKUP($B43,casostestes[#Data],5)=0,"-",VLOOKUP($B43,casostestes[#Data],5)),"-")</f>
        <v>-</v>
      </c>
      <c r="H43" s="35" t="str">
        <f>IFERROR(IF(VLOOKUP($B43,casostestes[#Data],6)=0,"-",VLOOKUP($B43,casostestes[#Data],6)),"-")</f>
        <v>-</v>
      </c>
      <c r="I43" s="35" t="str">
        <f>IFERROR(IF(VLOOKUP($B43,casostestes[#Data],8)=0,"-",VLOOKUP($B43,casostestes[#Data],8)),"-")</f>
        <v>-</v>
      </c>
      <c r="J43" s="35" t="str">
        <f>IFERROR(IF(VLOOKUP($B43,casostestes[#Data],9)=0,"-",VLOOKUP($B43,casostestes[#Data],9)),"-")</f>
        <v>-</v>
      </c>
      <c r="K43" s="36"/>
      <c r="L43" s="45"/>
      <c r="M43" s="37"/>
      <c r="N43" s="38"/>
      <c r="O43" s="38"/>
      <c r="P43" s="39"/>
    </row>
    <row r="44" spans="2:16">
      <c r="B44" s="40" t="str">
        <f>IF(ISERR(casostestes[[#This Row],[ID]]),"-",casostestes[[#This Row],[ID]])</f>
        <v>-</v>
      </c>
      <c r="C44" s="34" t="str">
        <f>IFERROR(IF(VLOOKUP($B44,casostestes[#Data],10)=0,"Não",VLOOKUP($B44,casostestes[#Data],10)), "-")</f>
        <v>-</v>
      </c>
      <c r="D44" s="35" t="str">
        <f>IFERROR(IF(VLOOKUP($B44,casostestes[#Data],2)=0,"-",VLOOKUP($B44,casostestes[#Data],2)), "-")</f>
        <v>-</v>
      </c>
      <c r="E44" s="35" t="str">
        <f>IFERROR(IF(VLOOKUP($B44,casostestes[#Data],3)=0,"-",VLOOKUP($B44,casostestes[#Data],3)), "-")</f>
        <v>-</v>
      </c>
      <c r="F44" s="35" t="str">
        <f>IFERROR(IF(VLOOKUP($B44,casostestes[#Data],4)=0,"-",VLOOKUP($B44,casostestes[#Data],4)),"-")</f>
        <v>-</v>
      </c>
      <c r="G44" s="35" t="str">
        <f>IFERROR(IF(VLOOKUP($B44,casostestes[#Data],5)=0,"-",VLOOKUP($B44,casostestes[#Data],5)),"-")</f>
        <v>-</v>
      </c>
      <c r="H44" s="35" t="str">
        <f>IFERROR(IF(VLOOKUP($B44,casostestes[#Data],6)=0,"-",VLOOKUP($B44,casostestes[#Data],6)),"-")</f>
        <v>-</v>
      </c>
      <c r="I44" s="35" t="str">
        <f>IFERROR(IF(VLOOKUP($B44,casostestes[#Data],8)=0,"-",VLOOKUP($B44,casostestes[#Data],8)),"-")</f>
        <v>-</v>
      </c>
      <c r="J44" s="35" t="str">
        <f>IFERROR(IF(VLOOKUP($B44,casostestes[#Data],9)=0,"-",VLOOKUP($B44,casostestes[#Data],9)),"-")</f>
        <v>-</v>
      </c>
      <c r="K44" s="36"/>
      <c r="L44" s="45"/>
      <c r="M44" s="37"/>
      <c r="N44" s="38"/>
      <c r="O44" s="38"/>
      <c r="P44" s="39"/>
    </row>
    <row r="45" spans="2:16">
      <c r="B45" s="40" t="str">
        <f>IF(ISERR(casostestes[[#This Row],[ID]]),"-",casostestes[[#This Row],[ID]])</f>
        <v>-</v>
      </c>
      <c r="C45" s="34" t="str">
        <f>IFERROR(IF(VLOOKUP($B45,casostestes[#Data],10)=0,"Não",VLOOKUP($B45,casostestes[#Data],10)), "-")</f>
        <v>-</v>
      </c>
      <c r="D45" s="35" t="str">
        <f>IFERROR(IF(VLOOKUP($B45,casostestes[#Data],2)=0,"-",VLOOKUP($B45,casostestes[#Data],2)), "-")</f>
        <v>-</v>
      </c>
      <c r="E45" s="35" t="str">
        <f>IFERROR(IF(VLOOKUP($B45,casostestes[#Data],3)=0,"-",VLOOKUP($B45,casostestes[#Data],3)), "-")</f>
        <v>-</v>
      </c>
      <c r="F45" s="35" t="str">
        <f>IFERROR(IF(VLOOKUP($B45,casostestes[#Data],4)=0,"-",VLOOKUP($B45,casostestes[#Data],4)),"-")</f>
        <v>-</v>
      </c>
      <c r="G45" s="35" t="str">
        <f>IFERROR(IF(VLOOKUP($B45,casostestes[#Data],5)=0,"-",VLOOKUP($B45,casostestes[#Data],5)),"-")</f>
        <v>-</v>
      </c>
      <c r="H45" s="35" t="str">
        <f>IFERROR(IF(VLOOKUP($B45,casostestes[#Data],6)=0,"-",VLOOKUP($B45,casostestes[#Data],6)),"-")</f>
        <v>-</v>
      </c>
      <c r="I45" s="35" t="str">
        <f>IFERROR(IF(VLOOKUP($B45,casostestes[#Data],8)=0,"-",VLOOKUP($B45,casostestes[#Data],8)),"-")</f>
        <v>-</v>
      </c>
      <c r="J45" s="35" t="str">
        <f>IFERROR(IF(VLOOKUP($B45,casostestes[#Data],9)=0,"-",VLOOKUP($B45,casostestes[#Data],9)),"-")</f>
        <v>-</v>
      </c>
      <c r="K45" s="36"/>
      <c r="L45" s="45"/>
      <c r="M45" s="37"/>
      <c r="N45" s="38"/>
      <c r="O45" s="38"/>
      <c r="P45" s="39"/>
    </row>
    <row r="46" spans="2:16">
      <c r="B46" s="40" t="str">
        <f>IF(ISERR(casostestes[[#This Row],[ID]]),"-",casostestes[[#This Row],[ID]])</f>
        <v>-</v>
      </c>
      <c r="C46" s="34" t="str">
        <f>IFERROR(IF(VLOOKUP($B46,casostestes[#Data],10)=0,"Não",VLOOKUP($B46,casostestes[#Data],10)), "-")</f>
        <v>-</v>
      </c>
      <c r="D46" s="35" t="str">
        <f>IFERROR(IF(VLOOKUP($B46,casostestes[#Data],2)=0,"-",VLOOKUP($B46,casostestes[#Data],2)), "-")</f>
        <v>-</v>
      </c>
      <c r="E46" s="35" t="str">
        <f>IFERROR(IF(VLOOKUP($B46,casostestes[#Data],3)=0,"-",VLOOKUP($B46,casostestes[#Data],3)), "-")</f>
        <v>-</v>
      </c>
      <c r="F46" s="35" t="str">
        <f>IFERROR(IF(VLOOKUP($B46,casostestes[#Data],4)=0,"-",VLOOKUP($B46,casostestes[#Data],4)),"-")</f>
        <v>-</v>
      </c>
      <c r="G46" s="35" t="str">
        <f>IFERROR(IF(VLOOKUP($B46,casostestes[#Data],5)=0,"-",VLOOKUP($B46,casostestes[#Data],5)),"-")</f>
        <v>-</v>
      </c>
      <c r="H46" s="35" t="str">
        <f>IFERROR(IF(VLOOKUP($B46,casostestes[#Data],6)=0,"-",VLOOKUP($B46,casostestes[#Data],6)),"-")</f>
        <v>-</v>
      </c>
      <c r="I46" s="35" t="str">
        <f>IFERROR(IF(VLOOKUP($B46,casostestes[#Data],8)=0,"-",VLOOKUP($B46,casostestes[#Data],8)),"-")</f>
        <v>-</v>
      </c>
      <c r="J46" s="35" t="str">
        <f>IFERROR(IF(VLOOKUP($B46,casostestes[#Data],9)=0,"-",VLOOKUP($B46,casostestes[#Data],9)),"-")</f>
        <v>-</v>
      </c>
      <c r="K46" s="36"/>
      <c r="L46" s="45"/>
      <c r="M46" s="37"/>
      <c r="N46" s="38"/>
      <c r="O46" s="38"/>
      <c r="P46" s="39"/>
    </row>
    <row r="47" spans="2:16">
      <c r="B47" s="40" t="str">
        <f>IF(ISERR(casostestes[[#This Row],[ID]]),"-",casostestes[[#This Row],[ID]])</f>
        <v>-</v>
      </c>
      <c r="C47" s="34" t="str">
        <f>IFERROR(IF(VLOOKUP($B47,casostestes[#Data],10)=0,"Não",VLOOKUP($B47,casostestes[#Data],10)), "-")</f>
        <v>-</v>
      </c>
      <c r="D47" s="35" t="str">
        <f>IFERROR(IF(VLOOKUP($B47,casostestes[#Data],2)=0,"-",VLOOKUP($B47,casostestes[#Data],2)), "-")</f>
        <v>-</v>
      </c>
      <c r="E47" s="35" t="str">
        <f>IFERROR(IF(VLOOKUP($B47,casostestes[#Data],3)=0,"-",VLOOKUP($B47,casostestes[#Data],3)), "-")</f>
        <v>-</v>
      </c>
      <c r="F47" s="35" t="str">
        <f>IFERROR(IF(VLOOKUP($B47,casostestes[#Data],4)=0,"-",VLOOKUP($B47,casostestes[#Data],4)),"-")</f>
        <v>-</v>
      </c>
      <c r="G47" s="35" t="str">
        <f>IFERROR(IF(VLOOKUP($B47,casostestes[#Data],5)=0,"-",VLOOKUP($B47,casostestes[#Data],5)),"-")</f>
        <v>-</v>
      </c>
      <c r="H47" s="35" t="str">
        <f>IFERROR(IF(VLOOKUP($B47,casostestes[#Data],6)=0,"-",VLOOKUP($B47,casostestes[#Data],6)),"-")</f>
        <v>-</v>
      </c>
      <c r="I47" s="35" t="str">
        <f>IFERROR(IF(VLOOKUP($B47,casostestes[#Data],8)=0,"-",VLOOKUP($B47,casostestes[#Data],8)),"-")</f>
        <v>-</v>
      </c>
      <c r="J47" s="35" t="str">
        <f>IFERROR(IF(VLOOKUP($B47,casostestes[#Data],9)=0,"-",VLOOKUP($B47,casostestes[#Data],9)),"-")</f>
        <v>-</v>
      </c>
      <c r="K47" s="36"/>
      <c r="L47" s="45"/>
      <c r="M47" s="37"/>
      <c r="N47" s="38"/>
      <c r="O47" s="38"/>
      <c r="P47" s="39"/>
    </row>
    <row r="48" spans="2:16">
      <c r="B48" s="40" t="str">
        <f>IF(ISERR(casostestes[[#This Row],[ID]]),"-",casostestes[[#This Row],[ID]])</f>
        <v>-</v>
      </c>
      <c r="C48" s="34" t="str">
        <f>IFERROR(IF(VLOOKUP($B48,casostestes[#Data],10)=0,"Não",VLOOKUP($B48,casostestes[#Data],10)), "-")</f>
        <v>-</v>
      </c>
      <c r="D48" s="35" t="str">
        <f>IFERROR(IF(VLOOKUP($B48,casostestes[#Data],2)=0,"-",VLOOKUP($B48,casostestes[#Data],2)), "-")</f>
        <v>-</v>
      </c>
      <c r="E48" s="35" t="str">
        <f>IFERROR(IF(VLOOKUP($B48,casostestes[#Data],3)=0,"-",VLOOKUP($B48,casostestes[#Data],3)), "-")</f>
        <v>-</v>
      </c>
      <c r="F48" s="35" t="str">
        <f>IFERROR(IF(VLOOKUP($B48,casostestes[#Data],4)=0,"-",VLOOKUP($B48,casostestes[#Data],4)),"-")</f>
        <v>-</v>
      </c>
      <c r="G48" s="35" t="str">
        <f>IFERROR(IF(VLOOKUP($B48,casostestes[#Data],5)=0,"-",VLOOKUP($B48,casostestes[#Data],5)),"-")</f>
        <v>-</v>
      </c>
      <c r="H48" s="35" t="str">
        <f>IFERROR(IF(VLOOKUP($B48,casostestes[#Data],6)=0,"-",VLOOKUP($B48,casostestes[#Data],6)),"-")</f>
        <v>-</v>
      </c>
      <c r="I48" s="35" t="str">
        <f>IFERROR(IF(VLOOKUP($B48,casostestes[#Data],8)=0,"-",VLOOKUP($B48,casostestes[#Data],8)),"-")</f>
        <v>-</v>
      </c>
      <c r="J48" s="35" t="str">
        <f>IFERROR(IF(VLOOKUP($B48,casostestes[#Data],9)=0,"-",VLOOKUP($B48,casostestes[#Data],9)),"-")</f>
        <v>-</v>
      </c>
      <c r="K48" s="36"/>
      <c r="L48" s="45"/>
      <c r="M48" s="37"/>
      <c r="N48" s="38"/>
      <c r="O48" s="38"/>
      <c r="P48" s="39"/>
    </row>
    <row r="49" spans="2:16">
      <c r="B49" s="40" t="str">
        <f>IF(ISERR(casostestes[[#This Row],[ID]]),"-",casostestes[[#This Row],[ID]])</f>
        <v>-</v>
      </c>
      <c r="C49" s="34" t="str">
        <f>IFERROR(IF(VLOOKUP($B49,casostestes[#Data],10)=0,"Não",VLOOKUP($B49,casostestes[#Data],10)), "-")</f>
        <v>-</v>
      </c>
      <c r="D49" s="35" t="str">
        <f>IFERROR(IF(VLOOKUP($B49,casostestes[#Data],2)=0,"-",VLOOKUP($B49,casostestes[#Data],2)), "-")</f>
        <v>-</v>
      </c>
      <c r="E49" s="35" t="str">
        <f>IFERROR(IF(VLOOKUP($B49,casostestes[#Data],3)=0,"-",VLOOKUP($B49,casostestes[#Data],3)), "-")</f>
        <v>-</v>
      </c>
      <c r="F49" s="35" t="str">
        <f>IFERROR(IF(VLOOKUP($B49,casostestes[#Data],4)=0,"-",VLOOKUP($B49,casostestes[#Data],4)),"-")</f>
        <v>-</v>
      </c>
      <c r="G49" s="35" t="str">
        <f>IFERROR(IF(VLOOKUP($B49,casostestes[#Data],5)=0,"-",VLOOKUP($B49,casostestes[#Data],5)),"-")</f>
        <v>-</v>
      </c>
      <c r="H49" s="35" t="str">
        <f>IFERROR(IF(VLOOKUP($B49,casostestes[#Data],6)=0,"-",VLOOKUP($B49,casostestes[#Data],6)),"-")</f>
        <v>-</v>
      </c>
      <c r="I49" s="35" t="str">
        <f>IFERROR(IF(VLOOKUP($B49,casostestes[#Data],8)=0,"-",VLOOKUP($B49,casostestes[#Data],8)),"-")</f>
        <v>-</v>
      </c>
      <c r="J49" s="35" t="str">
        <f>IFERROR(IF(VLOOKUP($B49,casostestes[#Data],9)=0,"-",VLOOKUP($B49,casostestes[#Data],9)),"-")</f>
        <v>-</v>
      </c>
      <c r="K49" s="36"/>
      <c r="L49" s="45"/>
      <c r="M49" s="37"/>
      <c r="N49" s="38"/>
      <c r="O49" s="38"/>
      <c r="P49" s="39"/>
    </row>
    <row r="50" spans="2:16">
      <c r="B50" s="40" t="str">
        <f>IF(ISERR(casostestes[[#This Row],[ID]]),"-",casostestes[[#This Row],[ID]])</f>
        <v>-</v>
      </c>
      <c r="C50" s="34" t="str">
        <f>IFERROR(IF(VLOOKUP($B50,casostestes[#Data],10)=0,"Não",VLOOKUP($B50,casostestes[#Data],10)), "-")</f>
        <v>-</v>
      </c>
      <c r="D50" s="35" t="str">
        <f>IFERROR(IF(VLOOKUP($B50,casostestes[#Data],2)=0,"-",VLOOKUP($B50,casostestes[#Data],2)), "-")</f>
        <v>-</v>
      </c>
      <c r="E50" s="35" t="str">
        <f>IFERROR(IF(VLOOKUP($B50,casostestes[#Data],3)=0,"-",VLOOKUP($B50,casostestes[#Data],3)), "-")</f>
        <v>-</v>
      </c>
      <c r="F50" s="35" t="str">
        <f>IFERROR(IF(VLOOKUP($B50,casostestes[#Data],4)=0,"-",VLOOKUP($B50,casostestes[#Data],4)),"-")</f>
        <v>-</v>
      </c>
      <c r="G50" s="35" t="str">
        <f>IFERROR(IF(VLOOKUP($B50,casostestes[#Data],5)=0,"-",VLOOKUP($B50,casostestes[#Data],5)),"-")</f>
        <v>-</v>
      </c>
      <c r="H50" s="35" t="str">
        <f>IFERROR(IF(VLOOKUP($B50,casostestes[#Data],6)=0,"-",VLOOKUP($B50,casostestes[#Data],6)),"-")</f>
        <v>-</v>
      </c>
      <c r="I50" s="35" t="str">
        <f>IFERROR(IF(VLOOKUP($B50,casostestes[#Data],8)=0,"-",VLOOKUP($B50,casostestes[#Data],8)),"-")</f>
        <v>-</v>
      </c>
      <c r="J50" s="35" t="str">
        <f>IFERROR(IF(VLOOKUP($B50,casostestes[#Data],9)=0,"-",VLOOKUP($B50,casostestes[#Data],9)),"-")</f>
        <v>-</v>
      </c>
      <c r="K50" s="36"/>
      <c r="L50" s="45"/>
      <c r="M50" s="37"/>
      <c r="N50" s="38"/>
      <c r="O50" s="38"/>
      <c r="P50" s="39"/>
    </row>
    <row r="51" spans="2:16">
      <c r="B51" s="40" t="str">
        <f>IF(ISERR(casostestes[[#This Row],[ID]]),"-",casostestes[[#This Row],[ID]])</f>
        <v>-</v>
      </c>
      <c r="C51" s="34" t="str">
        <f>IFERROR(IF(VLOOKUP($B51,casostestes[#Data],10)=0,"Não",VLOOKUP($B51,casostestes[#Data],10)), "-")</f>
        <v>-</v>
      </c>
      <c r="D51" s="35" t="str">
        <f>IFERROR(IF(VLOOKUP($B51,casostestes[#Data],2)=0,"-",VLOOKUP($B51,casostestes[#Data],2)), "-")</f>
        <v>-</v>
      </c>
      <c r="E51" s="35" t="str">
        <f>IFERROR(IF(VLOOKUP($B51,casostestes[#Data],3)=0,"-",VLOOKUP($B51,casostestes[#Data],3)), "-")</f>
        <v>-</v>
      </c>
      <c r="F51" s="35" t="str">
        <f>IFERROR(IF(VLOOKUP($B51,casostestes[#Data],4)=0,"-",VLOOKUP($B51,casostestes[#Data],4)),"-")</f>
        <v>-</v>
      </c>
      <c r="G51" s="35" t="str">
        <f>IFERROR(IF(VLOOKUP($B51,casostestes[#Data],5)=0,"-",VLOOKUP($B51,casostestes[#Data],5)),"-")</f>
        <v>-</v>
      </c>
      <c r="H51" s="35" t="str">
        <f>IFERROR(IF(VLOOKUP($B51,casostestes[#Data],6)=0,"-",VLOOKUP($B51,casostestes[#Data],6)),"-")</f>
        <v>-</v>
      </c>
      <c r="I51" s="35" t="str">
        <f>IFERROR(IF(VLOOKUP($B51,casostestes[#Data],8)=0,"-",VLOOKUP($B51,casostestes[#Data],8)),"-")</f>
        <v>-</v>
      </c>
      <c r="J51" s="35" t="str">
        <f>IFERROR(IF(VLOOKUP($B51,casostestes[#Data],9)=0,"-",VLOOKUP($B51,casostestes[#Data],9)),"-")</f>
        <v>-</v>
      </c>
      <c r="K51" s="36"/>
      <c r="L51" s="45"/>
      <c r="M51" s="37"/>
      <c r="N51" s="38"/>
      <c r="O51" s="38"/>
      <c r="P51" s="39"/>
    </row>
    <row r="52" spans="2:16">
      <c r="B52" s="40" t="str">
        <f>IF(ISERR(casostestes[[#This Row],[ID]]),"-",casostestes[[#This Row],[ID]])</f>
        <v>-</v>
      </c>
      <c r="C52" s="34" t="str">
        <f>IFERROR(IF(VLOOKUP($B52,casostestes[#Data],10)=0,"Não",VLOOKUP($B52,casostestes[#Data],10)), "-")</f>
        <v>-</v>
      </c>
      <c r="D52" s="35" t="str">
        <f>IFERROR(IF(VLOOKUP($B52,casostestes[#Data],2)=0,"-",VLOOKUP($B52,casostestes[#Data],2)), "-")</f>
        <v>-</v>
      </c>
      <c r="E52" s="35" t="str">
        <f>IFERROR(IF(VLOOKUP($B52,casostestes[#Data],3)=0,"-",VLOOKUP($B52,casostestes[#Data],3)), "-")</f>
        <v>-</v>
      </c>
      <c r="F52" s="35" t="str">
        <f>IFERROR(IF(VLOOKUP($B52,casostestes[#Data],4)=0,"-",VLOOKUP($B52,casostestes[#Data],4)),"-")</f>
        <v>-</v>
      </c>
      <c r="G52" s="35" t="str">
        <f>IFERROR(IF(VLOOKUP($B52,casostestes[#Data],5)=0,"-",VLOOKUP($B52,casostestes[#Data],5)),"-")</f>
        <v>-</v>
      </c>
      <c r="H52" s="35" t="str">
        <f>IFERROR(IF(VLOOKUP($B52,casostestes[#Data],6)=0,"-",VLOOKUP($B52,casostestes[#Data],6)),"-")</f>
        <v>-</v>
      </c>
      <c r="I52" s="35" t="str">
        <f>IFERROR(IF(VLOOKUP($B52,casostestes[#Data],8)=0,"-",VLOOKUP($B52,casostestes[#Data],8)),"-")</f>
        <v>-</v>
      </c>
      <c r="J52" s="35" t="str">
        <f>IFERROR(IF(VLOOKUP($B52,casostestes[#Data],9)=0,"-",VLOOKUP($B52,casostestes[#Data],9)),"-")</f>
        <v>-</v>
      </c>
      <c r="K52" s="36"/>
      <c r="L52" s="45"/>
      <c r="M52" s="37"/>
      <c r="N52" s="38"/>
      <c r="O52" s="38"/>
      <c r="P52" s="39"/>
    </row>
    <row r="53" spans="2:16">
      <c r="B53" s="40" t="str">
        <f>IF(ISERR(casostestes[[#This Row],[ID]]),"-",casostestes[[#This Row],[ID]])</f>
        <v>-</v>
      </c>
      <c r="C53" s="34" t="str">
        <f>IFERROR(IF(VLOOKUP($B53,casostestes[#Data],10)=0,"Não",VLOOKUP($B53,casostestes[#Data],10)), "-")</f>
        <v>-</v>
      </c>
      <c r="D53" s="35" t="str">
        <f>IFERROR(IF(VLOOKUP($B53,casostestes[#Data],2)=0,"-",VLOOKUP($B53,casostestes[#Data],2)), "-")</f>
        <v>-</v>
      </c>
      <c r="E53" s="35" t="str">
        <f>IFERROR(IF(VLOOKUP($B53,casostestes[#Data],3)=0,"-",VLOOKUP($B53,casostestes[#Data],3)), "-")</f>
        <v>-</v>
      </c>
      <c r="F53" s="35" t="str">
        <f>IFERROR(IF(VLOOKUP($B53,casostestes[#Data],4)=0,"-",VLOOKUP($B53,casostestes[#Data],4)),"-")</f>
        <v>-</v>
      </c>
      <c r="G53" s="35" t="str">
        <f>IFERROR(IF(VLOOKUP($B53,casostestes[#Data],5)=0,"-",VLOOKUP($B53,casostestes[#Data],5)),"-")</f>
        <v>-</v>
      </c>
      <c r="H53" s="35" t="str">
        <f>IFERROR(IF(VLOOKUP($B53,casostestes[#Data],6)=0,"-",VLOOKUP($B53,casostestes[#Data],6)),"-")</f>
        <v>-</v>
      </c>
      <c r="I53" s="35" t="str">
        <f>IFERROR(IF(VLOOKUP($B53,casostestes[#Data],8)=0,"-",VLOOKUP($B53,casostestes[#Data],8)),"-")</f>
        <v>-</v>
      </c>
      <c r="J53" s="35" t="str">
        <f>IFERROR(IF(VLOOKUP($B53,casostestes[#Data],9)=0,"-",VLOOKUP($B53,casostestes[#Data],9)),"-")</f>
        <v>-</v>
      </c>
      <c r="K53" s="36"/>
      <c r="L53" s="45"/>
      <c r="M53" s="37"/>
      <c r="N53" s="38"/>
      <c r="O53" s="38"/>
      <c r="P53" s="39"/>
    </row>
    <row r="54" spans="2:16">
      <c r="B54" s="40" t="str">
        <f>IF(ISERR(casostestes[[#This Row],[ID]]),"-",casostestes[[#This Row],[ID]])</f>
        <v>-</v>
      </c>
      <c r="C54" s="34" t="str">
        <f>IFERROR(IF(VLOOKUP($B54,casostestes[#Data],10)=0,"Não",VLOOKUP($B54,casostestes[#Data],10)), "-")</f>
        <v>-</v>
      </c>
      <c r="D54" s="35" t="str">
        <f>IFERROR(IF(VLOOKUP($B54,casostestes[#Data],2)=0,"-",VLOOKUP($B54,casostestes[#Data],2)), "-")</f>
        <v>-</v>
      </c>
      <c r="E54" s="35" t="str">
        <f>IFERROR(IF(VLOOKUP($B54,casostestes[#Data],3)=0,"-",VLOOKUP($B54,casostestes[#Data],3)), "-")</f>
        <v>-</v>
      </c>
      <c r="F54" s="35" t="str">
        <f>IFERROR(IF(VLOOKUP($B54,casostestes[#Data],4)=0,"-",VLOOKUP($B54,casostestes[#Data],4)),"-")</f>
        <v>-</v>
      </c>
      <c r="G54" s="35" t="str">
        <f>IFERROR(IF(VLOOKUP($B54,casostestes[#Data],5)=0,"-",VLOOKUP($B54,casostestes[#Data],5)),"-")</f>
        <v>-</v>
      </c>
      <c r="H54" s="35" t="str">
        <f>IFERROR(IF(VLOOKUP($B54,casostestes[#Data],6)=0,"-",VLOOKUP($B54,casostestes[#Data],6)),"-")</f>
        <v>-</v>
      </c>
      <c r="I54" s="35" t="str">
        <f>IFERROR(IF(VLOOKUP($B54,casostestes[#Data],8)=0,"-",VLOOKUP($B54,casostestes[#Data],8)),"-")</f>
        <v>-</v>
      </c>
      <c r="J54" s="35" t="str">
        <f>IFERROR(IF(VLOOKUP($B54,casostestes[#Data],9)=0,"-",VLOOKUP($B54,casostestes[#Data],9)),"-")</f>
        <v>-</v>
      </c>
      <c r="K54" s="36"/>
      <c r="L54" s="45"/>
      <c r="M54" s="37"/>
      <c r="N54" s="38"/>
      <c r="O54" s="38"/>
      <c r="P54" s="39"/>
    </row>
    <row r="55" spans="2:16">
      <c r="B55" s="40" t="str">
        <f>IF(ISERR(casostestes[[#This Row],[ID]]),"-",casostestes[[#This Row],[ID]])</f>
        <v>-</v>
      </c>
      <c r="C55" s="34" t="str">
        <f>IFERROR(IF(VLOOKUP($B55,casostestes[#Data],10)=0,"Não",VLOOKUP($B55,casostestes[#Data],10)), "-")</f>
        <v>-</v>
      </c>
      <c r="D55" s="35" t="str">
        <f>IFERROR(IF(VLOOKUP($B55,casostestes[#Data],2)=0,"-",VLOOKUP($B55,casostestes[#Data],2)), "-")</f>
        <v>-</v>
      </c>
      <c r="E55" s="35" t="str">
        <f>IFERROR(IF(VLOOKUP($B55,casostestes[#Data],3)=0,"-",VLOOKUP($B55,casostestes[#Data],3)), "-")</f>
        <v>-</v>
      </c>
      <c r="F55" s="35" t="str">
        <f>IFERROR(IF(VLOOKUP($B55,casostestes[#Data],4)=0,"-",VLOOKUP($B55,casostestes[#Data],4)),"-")</f>
        <v>-</v>
      </c>
      <c r="G55" s="35" t="str">
        <f>IFERROR(IF(VLOOKUP($B55,casostestes[#Data],5)=0,"-",VLOOKUP($B55,casostestes[#Data],5)),"-")</f>
        <v>-</v>
      </c>
      <c r="H55" s="35" t="str">
        <f>IFERROR(IF(VLOOKUP($B55,casostestes[#Data],6)=0,"-",VLOOKUP($B55,casostestes[#Data],6)),"-")</f>
        <v>-</v>
      </c>
      <c r="I55" s="35" t="str">
        <f>IFERROR(IF(VLOOKUP($B55,casostestes[#Data],8)=0,"-",VLOOKUP($B55,casostestes[#Data],8)),"-")</f>
        <v>-</v>
      </c>
      <c r="J55" s="35" t="str">
        <f>IFERROR(IF(VLOOKUP($B55,casostestes[#Data],9)=0,"-",VLOOKUP($B55,casostestes[#Data],9)),"-")</f>
        <v>-</v>
      </c>
      <c r="K55" s="36"/>
      <c r="L55" s="45"/>
      <c r="M55" s="37"/>
      <c r="N55" s="38"/>
      <c r="O55" s="38"/>
      <c r="P55" s="39"/>
    </row>
    <row r="56" spans="2:16">
      <c r="B56" s="40" t="str">
        <f>IF(ISERR(casostestes[[#This Row],[ID]]),"-",casostestes[[#This Row],[ID]])</f>
        <v>-</v>
      </c>
      <c r="C56" s="34" t="str">
        <f>IFERROR(IF(VLOOKUP($B56,casostestes[#Data],10)=0,"Não",VLOOKUP($B56,casostestes[#Data],10)), "-")</f>
        <v>-</v>
      </c>
      <c r="D56" s="35" t="str">
        <f>IFERROR(IF(VLOOKUP($B56,casostestes[#Data],2)=0,"-",VLOOKUP($B56,casostestes[#Data],2)), "-")</f>
        <v>-</v>
      </c>
      <c r="E56" s="35" t="str">
        <f>IFERROR(IF(VLOOKUP($B56,casostestes[#Data],3)=0,"-",VLOOKUP($B56,casostestes[#Data],3)), "-")</f>
        <v>-</v>
      </c>
      <c r="F56" s="35" t="str">
        <f>IFERROR(IF(VLOOKUP($B56,casostestes[#Data],4)=0,"-",VLOOKUP($B56,casostestes[#Data],4)),"-")</f>
        <v>-</v>
      </c>
      <c r="G56" s="35" t="str">
        <f>IFERROR(IF(VLOOKUP($B56,casostestes[#Data],5)=0,"-",VLOOKUP($B56,casostestes[#Data],5)),"-")</f>
        <v>-</v>
      </c>
      <c r="H56" s="35" t="str">
        <f>IFERROR(IF(VLOOKUP($B56,casostestes[#Data],6)=0,"-",VLOOKUP($B56,casostestes[#Data],6)),"-")</f>
        <v>-</v>
      </c>
      <c r="I56" s="35" t="str">
        <f>IFERROR(IF(VLOOKUP($B56,casostestes[#Data],8)=0,"-",VLOOKUP($B56,casostestes[#Data],8)),"-")</f>
        <v>-</v>
      </c>
      <c r="J56" s="35" t="str">
        <f>IFERROR(IF(VLOOKUP($B56,casostestes[#Data],9)=0,"-",VLOOKUP($B56,casostestes[#Data],9)),"-")</f>
        <v>-</v>
      </c>
      <c r="K56" s="36"/>
      <c r="L56" s="45"/>
      <c r="M56" s="37"/>
      <c r="N56" s="38"/>
      <c r="O56" s="38"/>
      <c r="P56" s="39"/>
    </row>
    <row r="57" spans="2:16">
      <c r="B57" s="40" t="str">
        <f>IF(ISERR(casostestes[[#This Row],[ID]]),"-",casostestes[[#This Row],[ID]])</f>
        <v>-</v>
      </c>
      <c r="C57" s="34" t="str">
        <f>IFERROR(IF(VLOOKUP($B57,casostestes[#Data],10)=0,"Não",VLOOKUP($B57,casostestes[#Data],10)), "-")</f>
        <v>-</v>
      </c>
      <c r="D57" s="35" t="str">
        <f>IFERROR(IF(VLOOKUP($B57,casostestes[#Data],2)=0,"-",VLOOKUP($B57,casostestes[#Data],2)), "-")</f>
        <v>-</v>
      </c>
      <c r="E57" s="35" t="str">
        <f>IFERROR(IF(VLOOKUP($B57,casostestes[#Data],3)=0,"-",VLOOKUP($B57,casostestes[#Data],3)), "-")</f>
        <v>-</v>
      </c>
      <c r="F57" s="35" t="str">
        <f>IFERROR(IF(VLOOKUP($B57,casostestes[#Data],4)=0,"-",VLOOKUP($B57,casostestes[#Data],4)),"-")</f>
        <v>-</v>
      </c>
      <c r="G57" s="35" t="str">
        <f>IFERROR(IF(VLOOKUP($B57,casostestes[#Data],5)=0,"-",VLOOKUP($B57,casostestes[#Data],5)),"-")</f>
        <v>-</v>
      </c>
      <c r="H57" s="35" t="str">
        <f>IFERROR(IF(VLOOKUP($B57,casostestes[#Data],6)=0,"-",VLOOKUP($B57,casostestes[#Data],6)),"-")</f>
        <v>-</v>
      </c>
      <c r="I57" s="35" t="str">
        <f>IFERROR(IF(VLOOKUP($B57,casostestes[#Data],8)=0,"-",VLOOKUP($B57,casostestes[#Data],8)),"-")</f>
        <v>-</v>
      </c>
      <c r="J57" s="35" t="str">
        <f>IFERROR(IF(VLOOKUP($B57,casostestes[#Data],9)=0,"-",VLOOKUP($B57,casostestes[#Data],9)),"-")</f>
        <v>-</v>
      </c>
      <c r="K57" s="36"/>
      <c r="L57" s="45"/>
      <c r="M57" s="37"/>
      <c r="N57" s="38"/>
      <c r="O57" s="38"/>
      <c r="P57" s="39"/>
    </row>
    <row r="58" spans="2:16">
      <c r="B58" s="40" t="str">
        <f>IF(ISERR(casostestes[[#This Row],[ID]]),"-",casostestes[[#This Row],[ID]])</f>
        <v>-</v>
      </c>
      <c r="C58" s="34" t="str">
        <f>IFERROR(IF(VLOOKUP($B58,casostestes[#Data],10)=0,"Não",VLOOKUP($B58,casostestes[#Data],10)), "-")</f>
        <v>-</v>
      </c>
      <c r="D58" s="35" t="str">
        <f>IFERROR(IF(VLOOKUP($B58,casostestes[#Data],2)=0,"-",VLOOKUP($B58,casostestes[#Data],2)), "-")</f>
        <v>-</v>
      </c>
      <c r="E58" s="35" t="str">
        <f>IFERROR(IF(VLOOKUP($B58,casostestes[#Data],3)=0,"-",VLOOKUP($B58,casostestes[#Data],3)), "-")</f>
        <v>-</v>
      </c>
      <c r="F58" s="35" t="str">
        <f>IFERROR(IF(VLOOKUP($B58,casostestes[#Data],4)=0,"-",VLOOKUP($B58,casostestes[#Data],4)),"-")</f>
        <v>-</v>
      </c>
      <c r="G58" s="35" t="str">
        <f>IFERROR(IF(VLOOKUP($B58,casostestes[#Data],5)=0,"-",VLOOKUP($B58,casostestes[#Data],5)),"-")</f>
        <v>-</v>
      </c>
      <c r="H58" s="35" t="str">
        <f>IFERROR(IF(VLOOKUP($B58,casostestes[#Data],6)=0,"-",VLOOKUP($B58,casostestes[#Data],6)),"-")</f>
        <v>-</v>
      </c>
      <c r="I58" s="35" t="str">
        <f>IFERROR(IF(VLOOKUP($B58,casostestes[#Data],8)=0,"-",VLOOKUP($B58,casostestes[#Data],8)),"-")</f>
        <v>-</v>
      </c>
      <c r="J58" s="35" t="str">
        <f>IFERROR(IF(VLOOKUP($B58,casostestes[#Data],9)=0,"-",VLOOKUP($B58,casostestes[#Data],9)),"-")</f>
        <v>-</v>
      </c>
      <c r="K58" s="36"/>
      <c r="L58" s="45"/>
      <c r="M58" s="37"/>
      <c r="N58" s="38"/>
      <c r="O58" s="38"/>
      <c r="P58" s="39"/>
    </row>
    <row r="59" spans="2:16">
      <c r="B59" s="40" t="str">
        <f>IF(ISERR(casostestes[[#This Row],[ID]]),"-",casostestes[[#This Row],[ID]])</f>
        <v>-</v>
      </c>
      <c r="C59" s="34" t="str">
        <f>IFERROR(IF(VLOOKUP($B59,casostestes[#Data],10)=0,"Não",VLOOKUP($B59,casostestes[#Data],10)), "-")</f>
        <v>-</v>
      </c>
      <c r="D59" s="35" t="str">
        <f>IFERROR(IF(VLOOKUP($B59,casostestes[#Data],2)=0,"-",VLOOKUP($B59,casostestes[#Data],2)), "-")</f>
        <v>-</v>
      </c>
      <c r="E59" s="35" t="str">
        <f>IFERROR(IF(VLOOKUP($B59,casostestes[#Data],3)=0,"-",VLOOKUP($B59,casostestes[#Data],3)), "-")</f>
        <v>-</v>
      </c>
      <c r="F59" s="35" t="str">
        <f>IFERROR(IF(VLOOKUP($B59,casostestes[#Data],4)=0,"-",VLOOKUP($B59,casostestes[#Data],4)),"-")</f>
        <v>-</v>
      </c>
      <c r="G59" s="35" t="str">
        <f>IFERROR(IF(VLOOKUP($B59,casostestes[#Data],5)=0,"-",VLOOKUP($B59,casostestes[#Data],5)),"-")</f>
        <v>-</v>
      </c>
      <c r="H59" s="35" t="str">
        <f>IFERROR(IF(VLOOKUP($B59,casostestes[#Data],6)=0,"-",VLOOKUP($B59,casostestes[#Data],6)),"-")</f>
        <v>-</v>
      </c>
      <c r="I59" s="35" t="str">
        <f>IFERROR(IF(VLOOKUP($B59,casostestes[#Data],8)=0,"-",VLOOKUP($B59,casostestes[#Data],8)),"-")</f>
        <v>-</v>
      </c>
      <c r="J59" s="35" t="str">
        <f>IFERROR(IF(VLOOKUP($B59,casostestes[#Data],9)=0,"-",VLOOKUP($B59,casostestes[#Data],9)),"-")</f>
        <v>-</v>
      </c>
      <c r="K59" s="36"/>
      <c r="L59" s="45"/>
      <c r="M59" s="37"/>
      <c r="N59" s="38"/>
      <c r="O59" s="38"/>
      <c r="P59" s="39"/>
    </row>
    <row r="60" spans="2:16">
      <c r="B60" s="40" t="str">
        <f>IF(ISERR(casostestes[[#This Row],[ID]]),"-",casostestes[[#This Row],[ID]])</f>
        <v>-</v>
      </c>
      <c r="C60" s="34" t="str">
        <f>IFERROR(IF(VLOOKUP($B60,casostestes[#Data],10)=0,"Não",VLOOKUP($B60,casostestes[#Data],10)), "-")</f>
        <v>-</v>
      </c>
      <c r="D60" s="35" t="str">
        <f>IFERROR(IF(VLOOKUP($B60,casostestes[#Data],2)=0,"-",VLOOKUP($B60,casostestes[#Data],2)), "-")</f>
        <v>-</v>
      </c>
      <c r="E60" s="35" t="str">
        <f>IFERROR(IF(VLOOKUP($B60,casostestes[#Data],3)=0,"-",VLOOKUP($B60,casostestes[#Data],3)), "-")</f>
        <v>-</v>
      </c>
      <c r="F60" s="35" t="str">
        <f>IFERROR(IF(VLOOKUP($B60,casostestes[#Data],4)=0,"-",VLOOKUP($B60,casostestes[#Data],4)),"-")</f>
        <v>-</v>
      </c>
      <c r="G60" s="35" t="str">
        <f>IFERROR(IF(VLOOKUP($B60,casostestes[#Data],5)=0,"-",VLOOKUP($B60,casostestes[#Data],5)),"-")</f>
        <v>-</v>
      </c>
      <c r="H60" s="35" t="str">
        <f>IFERROR(IF(VLOOKUP($B60,casostestes[#Data],6)=0,"-",VLOOKUP($B60,casostestes[#Data],6)),"-")</f>
        <v>-</v>
      </c>
      <c r="I60" s="35" t="str">
        <f>IFERROR(IF(VLOOKUP($B60,casostestes[#Data],8)=0,"-",VLOOKUP($B60,casostestes[#Data],8)),"-")</f>
        <v>-</v>
      </c>
      <c r="J60" s="35" t="str">
        <f>IFERROR(IF(VLOOKUP($B60,casostestes[#Data],9)=0,"-",VLOOKUP($B60,casostestes[#Data],9)),"-")</f>
        <v>-</v>
      </c>
      <c r="K60" s="36"/>
      <c r="L60" s="45"/>
      <c r="M60" s="37"/>
      <c r="N60" s="38"/>
      <c r="O60" s="38"/>
      <c r="P60" s="39"/>
    </row>
    <row r="61" spans="2:16">
      <c r="B61" s="40" t="str">
        <f>IF(ISERR(casostestes[[#This Row],[ID]]),"-",casostestes[[#This Row],[ID]])</f>
        <v>-</v>
      </c>
      <c r="C61" s="34" t="str">
        <f>IFERROR(IF(VLOOKUP($B61,casostestes[#Data],10)=0,"Não",VLOOKUP($B61,casostestes[#Data],10)), "-")</f>
        <v>-</v>
      </c>
      <c r="D61" s="35" t="str">
        <f>IFERROR(IF(VLOOKUP($B61,casostestes[#Data],2)=0,"-",VLOOKUP($B61,casostestes[#Data],2)), "-")</f>
        <v>-</v>
      </c>
      <c r="E61" s="35" t="str">
        <f>IFERROR(IF(VLOOKUP($B61,casostestes[#Data],3)=0,"-",VLOOKUP($B61,casostestes[#Data],3)), "-")</f>
        <v>-</v>
      </c>
      <c r="F61" s="35" t="str">
        <f>IFERROR(IF(VLOOKUP($B61,casostestes[#Data],4)=0,"-",VLOOKUP($B61,casostestes[#Data],4)),"-")</f>
        <v>-</v>
      </c>
      <c r="G61" s="35" t="str">
        <f>IFERROR(IF(VLOOKUP($B61,casostestes[#Data],5)=0,"-",VLOOKUP($B61,casostestes[#Data],5)),"-")</f>
        <v>-</v>
      </c>
      <c r="H61" s="35" t="str">
        <f>IFERROR(IF(VLOOKUP($B61,casostestes[#Data],6)=0,"-",VLOOKUP($B61,casostestes[#Data],6)),"-")</f>
        <v>-</v>
      </c>
      <c r="I61" s="35" t="str">
        <f>IFERROR(IF(VLOOKUP($B61,casostestes[#Data],8)=0,"-",VLOOKUP($B61,casostestes[#Data],8)),"-")</f>
        <v>-</v>
      </c>
      <c r="J61" s="35" t="str">
        <f>IFERROR(IF(VLOOKUP($B61,casostestes[#Data],9)=0,"-",VLOOKUP($B61,casostestes[#Data],9)),"-")</f>
        <v>-</v>
      </c>
      <c r="K61" s="36"/>
      <c r="L61" s="45"/>
      <c r="M61" s="37"/>
      <c r="N61" s="38"/>
      <c r="O61" s="38"/>
      <c r="P61" s="39"/>
    </row>
    <row r="62" spans="2:16">
      <c r="B62" s="40" t="str">
        <f>IF(ISERR(casostestes[[#This Row],[ID]]),"-",casostestes[[#This Row],[ID]])</f>
        <v>-</v>
      </c>
      <c r="C62" s="34" t="str">
        <f>IFERROR(IF(VLOOKUP($B62,casostestes[#Data],10)=0,"Não",VLOOKUP($B62,casostestes[#Data],10)), "-")</f>
        <v>-</v>
      </c>
      <c r="D62" s="35" t="str">
        <f>IFERROR(IF(VLOOKUP($B62,casostestes[#Data],2)=0,"-",VLOOKUP($B62,casostestes[#Data],2)), "-")</f>
        <v>-</v>
      </c>
      <c r="E62" s="35" t="str">
        <f>IFERROR(IF(VLOOKUP($B62,casostestes[#Data],3)=0,"-",VLOOKUP($B62,casostestes[#Data],3)), "-")</f>
        <v>-</v>
      </c>
      <c r="F62" s="35" t="str">
        <f>IFERROR(IF(VLOOKUP($B62,casostestes[#Data],4)=0,"-",VLOOKUP($B62,casostestes[#Data],4)),"-")</f>
        <v>-</v>
      </c>
      <c r="G62" s="35" t="str">
        <f>IFERROR(IF(VLOOKUP($B62,casostestes[#Data],5)=0,"-",VLOOKUP($B62,casostestes[#Data],5)),"-")</f>
        <v>-</v>
      </c>
      <c r="H62" s="35" t="str">
        <f>IFERROR(IF(VLOOKUP($B62,casostestes[#Data],6)=0,"-",VLOOKUP($B62,casostestes[#Data],6)),"-")</f>
        <v>-</v>
      </c>
      <c r="I62" s="35" t="str">
        <f>IFERROR(IF(VLOOKUP($B62,casostestes[#Data],8)=0,"-",VLOOKUP($B62,casostestes[#Data],8)),"-")</f>
        <v>-</v>
      </c>
      <c r="J62" s="35" t="str">
        <f>IFERROR(IF(VLOOKUP($B62,casostestes[#Data],9)=0,"-",VLOOKUP($B62,casostestes[#Data],9)),"-")</f>
        <v>-</v>
      </c>
      <c r="K62" s="36"/>
      <c r="L62" s="45"/>
      <c r="M62" s="37"/>
      <c r="N62" s="38"/>
      <c r="O62" s="38"/>
      <c r="P62" s="39"/>
    </row>
    <row r="63" spans="2:16">
      <c r="B63" s="40" t="str">
        <f>IF(ISERR(casostestes[[#This Row],[ID]]),"-",casostestes[[#This Row],[ID]])</f>
        <v>-</v>
      </c>
      <c r="C63" s="34" t="str">
        <f>IFERROR(IF(VLOOKUP($B63,casostestes[#Data],10)=0,"Não",VLOOKUP($B63,casostestes[#Data],10)), "-")</f>
        <v>-</v>
      </c>
      <c r="D63" s="35" t="str">
        <f>IFERROR(IF(VLOOKUP($B63,casostestes[#Data],2)=0,"-",VLOOKUP($B63,casostestes[#Data],2)), "-")</f>
        <v>-</v>
      </c>
      <c r="E63" s="35" t="str">
        <f>IFERROR(IF(VLOOKUP($B63,casostestes[#Data],3)=0,"-",VLOOKUP($B63,casostestes[#Data],3)), "-")</f>
        <v>-</v>
      </c>
      <c r="F63" s="35" t="str">
        <f>IFERROR(IF(VLOOKUP($B63,casostestes[#Data],4)=0,"-",VLOOKUP($B63,casostestes[#Data],4)),"-")</f>
        <v>-</v>
      </c>
      <c r="G63" s="35" t="str">
        <f>IFERROR(IF(VLOOKUP($B63,casostestes[#Data],5)=0,"-",VLOOKUP($B63,casostestes[#Data],5)),"-")</f>
        <v>-</v>
      </c>
      <c r="H63" s="35" t="str">
        <f>IFERROR(IF(VLOOKUP($B63,casostestes[#Data],6)=0,"-",VLOOKUP($B63,casostestes[#Data],6)),"-")</f>
        <v>-</v>
      </c>
      <c r="I63" s="35" t="str">
        <f>IFERROR(IF(VLOOKUP($B63,casostestes[#Data],8)=0,"-",VLOOKUP($B63,casostestes[#Data],8)),"-")</f>
        <v>-</v>
      </c>
      <c r="J63" s="35" t="str">
        <f>IFERROR(IF(VLOOKUP($B63,casostestes[#Data],9)=0,"-",VLOOKUP($B63,casostestes[#Data],9)),"-")</f>
        <v>-</v>
      </c>
      <c r="K63" s="36"/>
      <c r="L63" s="45"/>
      <c r="M63" s="37"/>
      <c r="N63" s="38"/>
      <c r="O63" s="38"/>
      <c r="P63" s="39"/>
    </row>
    <row r="64" spans="2:16">
      <c r="B64" s="40" t="str">
        <f>IF(ISERR(casostestes[[#This Row],[ID]]),"-",casostestes[[#This Row],[ID]])</f>
        <v>-</v>
      </c>
      <c r="C64" s="34" t="str">
        <f>IFERROR(IF(VLOOKUP($B64,casostestes[#Data],10)=0,"Não",VLOOKUP($B64,casostestes[#Data],10)), "-")</f>
        <v>-</v>
      </c>
      <c r="D64" s="35" t="str">
        <f>IFERROR(IF(VLOOKUP($B64,casostestes[#Data],2)=0,"-",VLOOKUP($B64,casostestes[#Data],2)), "-")</f>
        <v>-</v>
      </c>
      <c r="E64" s="35" t="str">
        <f>IFERROR(IF(VLOOKUP($B64,casostestes[#Data],3)=0,"-",VLOOKUP($B64,casostestes[#Data],3)), "-")</f>
        <v>-</v>
      </c>
      <c r="F64" s="35" t="str">
        <f>IFERROR(IF(VLOOKUP($B64,casostestes[#Data],4)=0,"-",VLOOKUP($B64,casostestes[#Data],4)),"-")</f>
        <v>-</v>
      </c>
      <c r="G64" s="35" t="str">
        <f>IFERROR(IF(VLOOKUP($B64,casostestes[#Data],5)=0,"-",VLOOKUP($B64,casostestes[#Data],5)),"-")</f>
        <v>-</v>
      </c>
      <c r="H64" s="35" t="str">
        <f>IFERROR(IF(VLOOKUP($B64,casostestes[#Data],6)=0,"-",VLOOKUP($B64,casostestes[#Data],6)),"-")</f>
        <v>-</v>
      </c>
      <c r="I64" s="35" t="str">
        <f>IFERROR(IF(VLOOKUP($B64,casostestes[#Data],8)=0,"-",VLOOKUP($B64,casostestes[#Data],8)),"-")</f>
        <v>-</v>
      </c>
      <c r="J64" s="35" t="str">
        <f>IFERROR(IF(VLOOKUP($B64,casostestes[#Data],9)=0,"-",VLOOKUP($B64,casostestes[#Data],9)),"-")</f>
        <v>-</v>
      </c>
      <c r="K64" s="36"/>
      <c r="L64" s="45"/>
      <c r="M64" s="37"/>
      <c r="N64" s="38"/>
      <c r="O64" s="38"/>
      <c r="P64" s="39"/>
    </row>
    <row r="65" spans="2:16">
      <c r="B65" s="40" t="str">
        <f>IF(ISERR(casostestes[[#This Row],[ID]]),"-",casostestes[[#This Row],[ID]])</f>
        <v>-</v>
      </c>
      <c r="C65" s="34" t="str">
        <f>IFERROR(IF(VLOOKUP($B65,casostestes[#Data],10)=0,"Não",VLOOKUP($B65,casostestes[#Data],10)), "-")</f>
        <v>-</v>
      </c>
      <c r="D65" s="35" t="str">
        <f>IFERROR(IF(VLOOKUP($B65,casostestes[#Data],2)=0,"-",VLOOKUP($B65,casostestes[#Data],2)), "-")</f>
        <v>-</v>
      </c>
      <c r="E65" s="35" t="str">
        <f>IFERROR(IF(VLOOKUP($B65,casostestes[#Data],3)=0,"-",VLOOKUP($B65,casostestes[#Data],3)), "-")</f>
        <v>-</v>
      </c>
      <c r="F65" s="35" t="str">
        <f>IFERROR(IF(VLOOKUP($B65,casostestes[#Data],4)=0,"-",VLOOKUP($B65,casostestes[#Data],4)),"-")</f>
        <v>-</v>
      </c>
      <c r="G65" s="35" t="str">
        <f>IFERROR(IF(VLOOKUP($B65,casostestes[#Data],5)=0,"-",VLOOKUP($B65,casostestes[#Data],5)),"-")</f>
        <v>-</v>
      </c>
      <c r="H65" s="35" t="str">
        <f>IFERROR(IF(VLOOKUP($B65,casostestes[#Data],6)=0,"-",VLOOKUP($B65,casostestes[#Data],6)),"-")</f>
        <v>-</v>
      </c>
      <c r="I65" s="35" t="str">
        <f>IFERROR(IF(VLOOKUP($B65,casostestes[#Data],8)=0,"-",VLOOKUP($B65,casostestes[#Data],8)),"-")</f>
        <v>-</v>
      </c>
      <c r="J65" s="35" t="str">
        <f>IFERROR(IF(VLOOKUP($B65,casostestes[#Data],9)=0,"-",VLOOKUP($B65,casostestes[#Data],9)),"-")</f>
        <v>-</v>
      </c>
      <c r="K65" s="36"/>
      <c r="L65" s="45"/>
      <c r="M65" s="37"/>
      <c r="N65" s="38"/>
      <c r="O65" s="38"/>
      <c r="P65" s="39"/>
    </row>
    <row r="66" spans="2:16">
      <c r="B66" s="40" t="str">
        <f>IF(ISERR(casostestes[[#This Row],[ID]]),"-",casostestes[[#This Row],[ID]])</f>
        <v>-</v>
      </c>
      <c r="C66" s="34" t="str">
        <f>IFERROR(IF(VLOOKUP($B66,casostestes[#Data],10)=0,"Não",VLOOKUP($B66,casostestes[#Data],10)), "-")</f>
        <v>-</v>
      </c>
      <c r="D66" s="35" t="str">
        <f>IFERROR(IF(VLOOKUP($B66,casostestes[#Data],2)=0,"-",VLOOKUP($B66,casostestes[#Data],2)), "-")</f>
        <v>-</v>
      </c>
      <c r="E66" s="35" t="str">
        <f>IFERROR(IF(VLOOKUP($B66,casostestes[#Data],3)=0,"-",VLOOKUP($B66,casostestes[#Data],3)), "-")</f>
        <v>-</v>
      </c>
      <c r="F66" s="35" t="str">
        <f>IFERROR(IF(VLOOKUP($B66,casostestes[#Data],4)=0,"-",VLOOKUP($B66,casostestes[#Data],4)),"-")</f>
        <v>-</v>
      </c>
      <c r="G66" s="35" t="str">
        <f>IFERROR(IF(VLOOKUP($B66,casostestes[#Data],5)=0,"-",VLOOKUP($B66,casostestes[#Data],5)),"-")</f>
        <v>-</v>
      </c>
      <c r="H66" s="35" t="str">
        <f>IFERROR(IF(VLOOKUP($B66,casostestes[#Data],6)=0,"-",VLOOKUP($B66,casostestes[#Data],6)),"-")</f>
        <v>-</v>
      </c>
      <c r="I66" s="35" t="str">
        <f>IFERROR(IF(VLOOKUP($B66,casostestes[#Data],8)=0,"-",VLOOKUP($B66,casostestes[#Data],8)),"-")</f>
        <v>-</v>
      </c>
      <c r="J66" s="35" t="str">
        <f>IFERROR(IF(VLOOKUP($B66,casostestes[#Data],9)=0,"-",VLOOKUP($B66,casostestes[#Data],9)),"-")</f>
        <v>-</v>
      </c>
      <c r="K66" s="36"/>
      <c r="L66" s="45"/>
      <c r="M66" s="37"/>
      <c r="N66" s="38"/>
      <c r="O66" s="38"/>
      <c r="P66" s="39"/>
    </row>
    <row r="67" spans="2:16">
      <c r="B67" s="40" t="str">
        <f>IF(ISERR(casostestes[[#This Row],[ID]]),"-",casostestes[[#This Row],[ID]])</f>
        <v>-</v>
      </c>
      <c r="C67" s="34" t="str">
        <f>IFERROR(IF(VLOOKUP($B67,casostestes[#Data],10)=0,"Não",VLOOKUP($B67,casostestes[#Data],10)), "-")</f>
        <v>-</v>
      </c>
      <c r="D67" s="35" t="str">
        <f>IFERROR(IF(VLOOKUP($B67,casostestes[#Data],2)=0,"-",VLOOKUP($B67,casostestes[#Data],2)), "-")</f>
        <v>-</v>
      </c>
      <c r="E67" s="35" t="str">
        <f>IFERROR(IF(VLOOKUP($B67,casostestes[#Data],3)=0,"-",VLOOKUP($B67,casostestes[#Data],3)), "-")</f>
        <v>-</v>
      </c>
      <c r="F67" s="35" t="str">
        <f>IFERROR(IF(VLOOKUP($B67,casostestes[#Data],4)=0,"-",VLOOKUP($B67,casostestes[#Data],4)),"-")</f>
        <v>-</v>
      </c>
      <c r="G67" s="35" t="str">
        <f>IFERROR(IF(VLOOKUP($B67,casostestes[#Data],5)=0,"-",VLOOKUP($B67,casostestes[#Data],5)),"-")</f>
        <v>-</v>
      </c>
      <c r="H67" s="35" t="str">
        <f>IFERROR(IF(VLOOKUP($B67,casostestes[#Data],6)=0,"-",VLOOKUP($B67,casostestes[#Data],6)),"-")</f>
        <v>-</v>
      </c>
      <c r="I67" s="35" t="str">
        <f>IFERROR(IF(VLOOKUP($B67,casostestes[#Data],8)=0,"-",VLOOKUP($B67,casostestes[#Data],8)),"-")</f>
        <v>-</v>
      </c>
      <c r="J67" s="35" t="str">
        <f>IFERROR(IF(VLOOKUP($B67,casostestes[#Data],9)=0,"-",VLOOKUP($B67,casostestes[#Data],9)),"-")</f>
        <v>-</v>
      </c>
      <c r="K67" s="36"/>
      <c r="L67" s="45"/>
      <c r="M67" s="37"/>
      <c r="N67" s="38"/>
      <c r="O67" s="38"/>
      <c r="P67" s="39"/>
    </row>
    <row r="68" spans="2:16">
      <c r="B68" s="40" t="str">
        <f>IF(ISERR(casostestes[[#This Row],[ID]]),"-",casostestes[[#This Row],[ID]])</f>
        <v>-</v>
      </c>
      <c r="C68" s="34" t="str">
        <f>IFERROR(IF(VLOOKUP($B68,casostestes[#Data],10)=0,"Não",VLOOKUP($B68,casostestes[#Data],10)), "-")</f>
        <v>-</v>
      </c>
      <c r="D68" s="35" t="str">
        <f>IFERROR(IF(VLOOKUP($B68,casostestes[#Data],2)=0,"-",VLOOKUP($B68,casostestes[#Data],2)), "-")</f>
        <v>-</v>
      </c>
      <c r="E68" s="35" t="str">
        <f>IFERROR(IF(VLOOKUP($B68,casostestes[#Data],3)=0,"-",VLOOKUP($B68,casostestes[#Data],3)), "-")</f>
        <v>-</v>
      </c>
      <c r="F68" s="35" t="str">
        <f>IFERROR(IF(VLOOKUP($B68,casostestes[#Data],4)=0,"-",VLOOKUP($B68,casostestes[#Data],4)),"-")</f>
        <v>-</v>
      </c>
      <c r="G68" s="35" t="str">
        <f>IFERROR(IF(VLOOKUP($B68,casostestes[#Data],5)=0,"-",VLOOKUP($B68,casostestes[#Data],5)),"-")</f>
        <v>-</v>
      </c>
      <c r="H68" s="35" t="str">
        <f>IFERROR(IF(VLOOKUP($B68,casostestes[#Data],6)=0,"-",VLOOKUP($B68,casostestes[#Data],6)),"-")</f>
        <v>-</v>
      </c>
      <c r="I68" s="35" t="str">
        <f>IFERROR(IF(VLOOKUP($B68,casostestes[#Data],8)=0,"-",VLOOKUP($B68,casostestes[#Data],8)),"-")</f>
        <v>-</v>
      </c>
      <c r="J68" s="35" t="str">
        <f>IFERROR(IF(VLOOKUP($B68,casostestes[#Data],9)=0,"-",VLOOKUP($B68,casostestes[#Data],9)),"-")</f>
        <v>-</v>
      </c>
      <c r="K68" s="36"/>
      <c r="L68" s="45"/>
      <c r="M68" s="37"/>
      <c r="N68" s="38"/>
      <c r="O68" s="38"/>
      <c r="P68" s="39"/>
    </row>
    <row r="69" spans="2:16">
      <c r="B69" s="40" t="str">
        <f>IF(ISERR(casostestes[[#This Row],[ID]]),"-",casostestes[[#This Row],[ID]])</f>
        <v>-</v>
      </c>
      <c r="C69" s="34" t="str">
        <f>IFERROR(IF(VLOOKUP($B69,casostestes[#Data],10)=0,"Não",VLOOKUP($B69,casostestes[#Data],10)), "-")</f>
        <v>-</v>
      </c>
      <c r="D69" s="35" t="str">
        <f>IFERROR(IF(VLOOKUP($B69,casostestes[#Data],2)=0,"-",VLOOKUP($B69,casostestes[#Data],2)), "-")</f>
        <v>-</v>
      </c>
      <c r="E69" s="35" t="str">
        <f>IFERROR(IF(VLOOKUP($B69,casostestes[#Data],3)=0,"-",VLOOKUP($B69,casostestes[#Data],3)), "-")</f>
        <v>-</v>
      </c>
      <c r="F69" s="35" t="str">
        <f>IFERROR(IF(VLOOKUP($B69,casostestes[#Data],4)=0,"-",VLOOKUP($B69,casostestes[#Data],4)),"-")</f>
        <v>-</v>
      </c>
      <c r="G69" s="35" t="str">
        <f>IFERROR(IF(VLOOKUP($B69,casostestes[#Data],5)=0,"-",VLOOKUP($B69,casostestes[#Data],5)),"-")</f>
        <v>-</v>
      </c>
      <c r="H69" s="35" t="str">
        <f>IFERROR(IF(VLOOKUP($B69,casostestes[#Data],6)=0,"-",VLOOKUP($B69,casostestes[#Data],6)),"-")</f>
        <v>-</v>
      </c>
      <c r="I69" s="35" t="str">
        <f>IFERROR(IF(VLOOKUP($B69,casostestes[#Data],8)=0,"-",VLOOKUP($B69,casostestes[#Data],8)),"-")</f>
        <v>-</v>
      </c>
      <c r="J69" s="35" t="str">
        <f>IFERROR(IF(VLOOKUP($B69,casostestes[#Data],9)=0,"-",VLOOKUP($B69,casostestes[#Data],9)),"-")</f>
        <v>-</v>
      </c>
      <c r="K69" s="36"/>
      <c r="L69" s="45"/>
      <c r="M69" s="37"/>
      <c r="N69" s="38"/>
      <c r="O69" s="38"/>
      <c r="P69" s="39"/>
    </row>
    <row r="70" spans="2:16">
      <c r="B70" s="40" t="str">
        <f>IF(ISERR(casostestes[[#This Row],[ID]]),"-",casostestes[[#This Row],[ID]])</f>
        <v>-</v>
      </c>
      <c r="C70" s="34" t="str">
        <f>IFERROR(IF(VLOOKUP($B70,casostestes[#Data],10)=0,"Não",VLOOKUP($B70,casostestes[#Data],10)), "-")</f>
        <v>-</v>
      </c>
      <c r="D70" s="35" t="str">
        <f>IFERROR(IF(VLOOKUP($B70,casostestes[#Data],2)=0,"-",VLOOKUP($B70,casostestes[#Data],2)), "-")</f>
        <v>-</v>
      </c>
      <c r="E70" s="35" t="str">
        <f>IFERROR(IF(VLOOKUP($B70,casostestes[#Data],3)=0,"-",VLOOKUP($B70,casostestes[#Data],3)), "-")</f>
        <v>-</v>
      </c>
      <c r="F70" s="35" t="str">
        <f>IFERROR(IF(VLOOKUP($B70,casostestes[#Data],4)=0,"-",VLOOKUP($B70,casostestes[#Data],4)),"-")</f>
        <v>-</v>
      </c>
      <c r="G70" s="35" t="str">
        <f>IFERROR(IF(VLOOKUP($B70,casostestes[#Data],5)=0,"-",VLOOKUP($B70,casostestes[#Data],5)),"-")</f>
        <v>-</v>
      </c>
      <c r="H70" s="35" t="str">
        <f>IFERROR(IF(VLOOKUP($B70,casostestes[#Data],6)=0,"-",VLOOKUP($B70,casostestes[#Data],6)),"-")</f>
        <v>-</v>
      </c>
      <c r="I70" s="35" t="str">
        <f>IFERROR(IF(VLOOKUP($B70,casostestes[#Data],8)=0,"-",VLOOKUP($B70,casostestes[#Data],8)),"-")</f>
        <v>-</v>
      </c>
      <c r="J70" s="35" t="str">
        <f>IFERROR(IF(VLOOKUP($B70,casostestes[#Data],9)=0,"-",VLOOKUP($B70,casostestes[#Data],9)),"-")</f>
        <v>-</v>
      </c>
      <c r="K70" s="36"/>
      <c r="L70" s="45"/>
      <c r="M70" s="37"/>
      <c r="N70" s="38"/>
      <c r="O70" s="38"/>
      <c r="P70" s="39"/>
    </row>
    <row r="71" spans="2:16">
      <c r="B71" s="40" t="str">
        <f>IF(ISERR(casostestes[[#This Row],[ID]]),"-",casostestes[[#This Row],[ID]])</f>
        <v>-</v>
      </c>
      <c r="C71" s="34" t="str">
        <f>IFERROR(IF(VLOOKUP($B71,casostestes[#Data],10)=0,"Não",VLOOKUP($B71,casostestes[#Data],10)), "-")</f>
        <v>-</v>
      </c>
      <c r="D71" s="35" t="str">
        <f>IFERROR(IF(VLOOKUP($B71,casostestes[#Data],2)=0,"-",VLOOKUP($B71,casostestes[#Data],2)), "-")</f>
        <v>-</v>
      </c>
      <c r="E71" s="35" t="str">
        <f>IFERROR(IF(VLOOKUP($B71,casostestes[#Data],3)=0,"-",VLOOKUP($B71,casostestes[#Data],3)), "-")</f>
        <v>-</v>
      </c>
      <c r="F71" s="35" t="str">
        <f>IFERROR(IF(VLOOKUP($B71,casostestes[#Data],4)=0,"-",VLOOKUP($B71,casostestes[#Data],4)),"-")</f>
        <v>-</v>
      </c>
      <c r="G71" s="35" t="str">
        <f>IFERROR(IF(VLOOKUP($B71,casostestes[#Data],5)=0,"-",VLOOKUP($B71,casostestes[#Data],5)),"-")</f>
        <v>-</v>
      </c>
      <c r="H71" s="35" t="str">
        <f>IFERROR(IF(VLOOKUP($B71,casostestes[#Data],6)=0,"-",VLOOKUP($B71,casostestes[#Data],6)),"-")</f>
        <v>-</v>
      </c>
      <c r="I71" s="35" t="str">
        <f>IFERROR(IF(VLOOKUP($B71,casostestes[#Data],8)=0,"-",VLOOKUP($B71,casostestes[#Data],8)),"-")</f>
        <v>-</v>
      </c>
      <c r="J71" s="35" t="str">
        <f>IFERROR(IF(VLOOKUP($B71,casostestes[#Data],9)=0,"-",VLOOKUP($B71,casostestes[#Data],9)),"-")</f>
        <v>-</v>
      </c>
      <c r="K71" s="36"/>
      <c r="L71" s="45"/>
      <c r="M71" s="37"/>
      <c r="N71" s="38"/>
      <c r="O71" s="38"/>
      <c r="P71" s="39"/>
    </row>
    <row r="72" spans="2:16">
      <c r="B72" s="40" t="str">
        <f>IF(ISERR(casostestes[[#This Row],[ID]]),"-",casostestes[[#This Row],[ID]])</f>
        <v>-</v>
      </c>
      <c r="C72" s="34" t="str">
        <f>IFERROR(IF(VLOOKUP($B72,casostestes[#Data],10)=0,"Não",VLOOKUP($B72,casostestes[#Data],10)), "-")</f>
        <v>-</v>
      </c>
      <c r="D72" s="35" t="str">
        <f>IFERROR(IF(VLOOKUP($B72,casostestes[#Data],2)=0,"-",VLOOKUP($B72,casostestes[#Data],2)), "-")</f>
        <v>-</v>
      </c>
      <c r="E72" s="35" t="str">
        <f>IFERROR(IF(VLOOKUP($B72,casostestes[#Data],3)=0,"-",VLOOKUP($B72,casostestes[#Data],3)), "-")</f>
        <v>-</v>
      </c>
      <c r="F72" s="35" t="str">
        <f>IFERROR(IF(VLOOKUP($B72,casostestes[#Data],4)=0,"-",VLOOKUP($B72,casostestes[#Data],4)),"-")</f>
        <v>-</v>
      </c>
      <c r="G72" s="35" t="str">
        <f>IFERROR(IF(VLOOKUP($B72,casostestes[#Data],5)=0,"-",VLOOKUP($B72,casostestes[#Data],5)),"-")</f>
        <v>-</v>
      </c>
      <c r="H72" s="35" t="str">
        <f>IFERROR(IF(VLOOKUP($B72,casostestes[#Data],6)=0,"-",VLOOKUP($B72,casostestes[#Data],6)),"-")</f>
        <v>-</v>
      </c>
      <c r="I72" s="35" t="str">
        <f>IFERROR(IF(VLOOKUP($B72,casostestes[#Data],8)=0,"-",VLOOKUP($B72,casostestes[#Data],8)),"-")</f>
        <v>-</v>
      </c>
      <c r="J72" s="35" t="str">
        <f>IFERROR(IF(VLOOKUP($B72,casostestes[#Data],9)=0,"-",VLOOKUP($B72,casostestes[#Data],9)),"-")</f>
        <v>-</v>
      </c>
      <c r="K72" s="36"/>
      <c r="L72" s="45"/>
      <c r="M72" s="37"/>
      <c r="N72" s="38"/>
      <c r="O72" s="38"/>
      <c r="P72" s="39"/>
    </row>
    <row r="73" spans="2:16">
      <c r="B73" s="40" t="str">
        <f>IF(ISERR(casostestes[[#This Row],[ID]]),"-",casostestes[[#This Row],[ID]])</f>
        <v>-</v>
      </c>
      <c r="C73" s="34" t="str">
        <f>IFERROR(IF(VLOOKUP($B73,casostestes[#Data],10)=0,"Não",VLOOKUP($B73,casostestes[#Data],10)), "-")</f>
        <v>-</v>
      </c>
      <c r="D73" s="35" t="str">
        <f>IFERROR(IF(VLOOKUP($B73,casostestes[#Data],2)=0,"-",VLOOKUP($B73,casostestes[#Data],2)), "-")</f>
        <v>-</v>
      </c>
      <c r="E73" s="35" t="str">
        <f>IFERROR(IF(VLOOKUP($B73,casostestes[#Data],3)=0,"-",VLOOKUP($B73,casostestes[#Data],3)), "-")</f>
        <v>-</v>
      </c>
      <c r="F73" s="35" t="str">
        <f>IFERROR(IF(VLOOKUP($B73,casostestes[#Data],4)=0,"-",VLOOKUP($B73,casostestes[#Data],4)),"-")</f>
        <v>-</v>
      </c>
      <c r="G73" s="35" t="str">
        <f>IFERROR(IF(VLOOKUP($B73,casostestes[#Data],5)=0,"-",VLOOKUP($B73,casostestes[#Data],5)),"-")</f>
        <v>-</v>
      </c>
      <c r="H73" s="35" t="str">
        <f>IFERROR(IF(VLOOKUP($B73,casostestes[#Data],6)=0,"-",VLOOKUP($B73,casostestes[#Data],6)),"-")</f>
        <v>-</v>
      </c>
      <c r="I73" s="35" t="str">
        <f>IFERROR(IF(VLOOKUP($B73,casostestes[#Data],8)=0,"-",VLOOKUP($B73,casostestes[#Data],8)),"-")</f>
        <v>-</v>
      </c>
      <c r="J73" s="35" t="str">
        <f>IFERROR(IF(VLOOKUP($B73,casostestes[#Data],9)=0,"-",VLOOKUP($B73,casostestes[#Data],9)),"-")</f>
        <v>-</v>
      </c>
      <c r="K73" s="36"/>
      <c r="L73" s="45"/>
      <c r="M73" s="37"/>
      <c r="N73" s="38"/>
      <c r="O73" s="38"/>
      <c r="P73" s="39"/>
    </row>
    <row r="74" spans="2:16">
      <c r="B74" s="40" t="str">
        <f>IF(ISERR(casostestes[[#This Row],[ID]]),"-",casostestes[[#This Row],[ID]])</f>
        <v>-</v>
      </c>
      <c r="C74" s="34" t="str">
        <f>IFERROR(IF(VLOOKUP($B74,casostestes[#Data],10)=0,"Não",VLOOKUP($B74,casostestes[#Data],10)), "-")</f>
        <v>-</v>
      </c>
      <c r="D74" s="35" t="str">
        <f>IFERROR(IF(VLOOKUP($B74,casostestes[#Data],2)=0,"-",VLOOKUP($B74,casostestes[#Data],2)), "-")</f>
        <v>-</v>
      </c>
      <c r="E74" s="35" t="str">
        <f>IFERROR(IF(VLOOKUP($B74,casostestes[#Data],3)=0,"-",VLOOKUP($B74,casostestes[#Data],3)), "-")</f>
        <v>-</v>
      </c>
      <c r="F74" s="35" t="str">
        <f>IFERROR(IF(VLOOKUP($B74,casostestes[#Data],4)=0,"-",VLOOKUP($B74,casostestes[#Data],4)),"-")</f>
        <v>-</v>
      </c>
      <c r="G74" s="35" t="str">
        <f>IFERROR(IF(VLOOKUP($B74,casostestes[#Data],5)=0,"-",VLOOKUP($B74,casostestes[#Data],5)),"-")</f>
        <v>-</v>
      </c>
      <c r="H74" s="35" t="str">
        <f>IFERROR(IF(VLOOKUP($B74,casostestes[#Data],6)=0,"-",VLOOKUP($B74,casostestes[#Data],6)),"-")</f>
        <v>-</v>
      </c>
      <c r="I74" s="35" t="str">
        <f>IFERROR(IF(VLOOKUP($B74,casostestes[#Data],8)=0,"-",VLOOKUP($B74,casostestes[#Data],8)),"-")</f>
        <v>-</v>
      </c>
      <c r="J74" s="35" t="str">
        <f>IFERROR(IF(VLOOKUP($B74,casostestes[#Data],9)=0,"-",VLOOKUP($B74,casostestes[#Data],9)),"-")</f>
        <v>-</v>
      </c>
      <c r="K74" s="36"/>
      <c r="L74" s="45"/>
      <c r="M74" s="37"/>
      <c r="N74" s="38"/>
      <c r="O74" s="38"/>
      <c r="P74" s="39"/>
    </row>
    <row r="75" spans="2:16">
      <c r="B75" s="40" t="str">
        <f>IF(ISERR(casostestes[[#This Row],[ID]]),"-",casostestes[[#This Row],[ID]])</f>
        <v>-</v>
      </c>
      <c r="C75" s="34" t="str">
        <f>IFERROR(IF(VLOOKUP($B75,casostestes[#Data],10)=0,"Não",VLOOKUP($B75,casostestes[#Data],10)), "-")</f>
        <v>-</v>
      </c>
      <c r="D75" s="35" t="str">
        <f>IFERROR(IF(VLOOKUP($B75,casostestes[#Data],2)=0,"-",VLOOKUP($B75,casostestes[#Data],2)), "-")</f>
        <v>-</v>
      </c>
      <c r="E75" s="35" t="str">
        <f>IFERROR(IF(VLOOKUP($B75,casostestes[#Data],3)=0,"-",VLOOKUP($B75,casostestes[#Data],3)), "-")</f>
        <v>-</v>
      </c>
      <c r="F75" s="35" t="str">
        <f>IFERROR(IF(VLOOKUP($B75,casostestes[#Data],4)=0,"-",VLOOKUP($B75,casostestes[#Data],4)),"-")</f>
        <v>-</v>
      </c>
      <c r="G75" s="35" t="str">
        <f>IFERROR(IF(VLOOKUP($B75,casostestes[#Data],5)=0,"-",VLOOKUP($B75,casostestes[#Data],5)),"-")</f>
        <v>-</v>
      </c>
      <c r="H75" s="35" t="str">
        <f>IFERROR(IF(VLOOKUP($B75,casostestes[#Data],6)=0,"-",VLOOKUP($B75,casostestes[#Data],6)),"-")</f>
        <v>-</v>
      </c>
      <c r="I75" s="35" t="str">
        <f>IFERROR(IF(VLOOKUP($B75,casostestes[#Data],8)=0,"-",VLOOKUP($B75,casostestes[#Data],8)),"-")</f>
        <v>-</v>
      </c>
      <c r="J75" s="35" t="str">
        <f>IFERROR(IF(VLOOKUP($B75,casostestes[#Data],9)=0,"-",VLOOKUP($B75,casostestes[#Data],9)),"-")</f>
        <v>-</v>
      </c>
      <c r="K75" s="36"/>
      <c r="L75" s="45"/>
      <c r="M75" s="37"/>
      <c r="N75" s="38"/>
      <c r="O75" s="38"/>
      <c r="P75" s="39"/>
    </row>
    <row r="76" spans="2:16">
      <c r="B76" s="40" t="str">
        <f>IF(ISERR(casostestes[[#This Row],[ID]]),"-",casostestes[[#This Row],[ID]])</f>
        <v>-</v>
      </c>
      <c r="C76" s="34" t="str">
        <f>IFERROR(IF(VLOOKUP($B76,casostestes[#Data],10)=0,"Não",VLOOKUP($B76,casostestes[#Data],10)), "-")</f>
        <v>-</v>
      </c>
      <c r="D76" s="35" t="str">
        <f>IFERROR(IF(VLOOKUP($B76,casostestes[#Data],2)=0,"-",VLOOKUP($B76,casostestes[#Data],2)), "-")</f>
        <v>-</v>
      </c>
      <c r="E76" s="35" t="str">
        <f>IFERROR(IF(VLOOKUP($B76,casostestes[#Data],3)=0,"-",VLOOKUP($B76,casostestes[#Data],3)), "-")</f>
        <v>-</v>
      </c>
      <c r="F76" s="35" t="str">
        <f>IFERROR(IF(VLOOKUP($B76,casostestes[#Data],4)=0,"-",VLOOKUP($B76,casostestes[#Data],4)),"-")</f>
        <v>-</v>
      </c>
      <c r="G76" s="35" t="str">
        <f>IFERROR(IF(VLOOKUP($B76,casostestes[#Data],5)=0,"-",VLOOKUP($B76,casostestes[#Data],5)),"-")</f>
        <v>-</v>
      </c>
      <c r="H76" s="35" t="str">
        <f>IFERROR(IF(VLOOKUP($B76,casostestes[#Data],6)=0,"-",VLOOKUP($B76,casostestes[#Data],6)),"-")</f>
        <v>-</v>
      </c>
      <c r="I76" s="35" t="str">
        <f>IFERROR(IF(VLOOKUP($B76,casostestes[#Data],8)=0,"-",VLOOKUP($B76,casostestes[#Data],8)),"-")</f>
        <v>-</v>
      </c>
      <c r="J76" s="35" t="str">
        <f>IFERROR(IF(VLOOKUP($B76,casostestes[#Data],9)=0,"-",VLOOKUP($B76,casostestes[#Data],9)),"-")</f>
        <v>-</v>
      </c>
      <c r="K76" s="36"/>
      <c r="L76" s="45"/>
      <c r="M76" s="37"/>
      <c r="N76" s="38"/>
      <c r="O76" s="38"/>
      <c r="P76" s="39"/>
    </row>
    <row r="77" spans="2:16">
      <c r="B77" s="40" t="str">
        <f>IF(ISERR(casostestes[[#This Row],[ID]]),"-",casostestes[[#This Row],[ID]])</f>
        <v>-</v>
      </c>
      <c r="C77" s="34" t="str">
        <f>IFERROR(IF(VLOOKUP($B77,casostestes[#Data],10)=0,"Não",VLOOKUP($B77,casostestes[#Data],10)), "-")</f>
        <v>-</v>
      </c>
      <c r="D77" s="35" t="str">
        <f>IFERROR(IF(VLOOKUP($B77,casostestes[#Data],2)=0,"-",VLOOKUP($B77,casostestes[#Data],2)), "-")</f>
        <v>-</v>
      </c>
      <c r="E77" s="35" t="str">
        <f>IFERROR(IF(VLOOKUP($B77,casostestes[#Data],3)=0,"-",VLOOKUP($B77,casostestes[#Data],3)), "-")</f>
        <v>-</v>
      </c>
      <c r="F77" s="35" t="str">
        <f>IFERROR(IF(VLOOKUP($B77,casostestes[#Data],4)=0,"-",VLOOKUP($B77,casostestes[#Data],4)),"-")</f>
        <v>-</v>
      </c>
      <c r="G77" s="35" t="str">
        <f>IFERROR(IF(VLOOKUP($B77,casostestes[#Data],5)=0,"-",VLOOKUP($B77,casostestes[#Data],5)),"-")</f>
        <v>-</v>
      </c>
      <c r="H77" s="35" t="str">
        <f>IFERROR(IF(VLOOKUP($B77,casostestes[#Data],6)=0,"-",VLOOKUP($B77,casostestes[#Data],6)),"-")</f>
        <v>-</v>
      </c>
      <c r="I77" s="35" t="str">
        <f>IFERROR(IF(VLOOKUP($B77,casostestes[#Data],8)=0,"-",VLOOKUP($B77,casostestes[#Data],8)),"-")</f>
        <v>-</v>
      </c>
      <c r="J77" s="35" t="str">
        <f>IFERROR(IF(VLOOKUP($B77,casostestes[#Data],9)=0,"-",VLOOKUP($B77,casostestes[#Data],9)),"-")</f>
        <v>-</v>
      </c>
      <c r="K77" s="36"/>
      <c r="L77" s="45"/>
      <c r="M77" s="37"/>
      <c r="N77" s="38"/>
      <c r="O77" s="38"/>
      <c r="P77" s="39"/>
    </row>
    <row r="78" spans="2:16">
      <c r="B78" s="40" t="str">
        <f>IF(ISERR(casostestes[[#This Row],[ID]]),"-",casostestes[[#This Row],[ID]])</f>
        <v>-</v>
      </c>
      <c r="C78" s="34" t="str">
        <f>IFERROR(IF(VLOOKUP($B78,casostestes[#Data],10)=0,"Não",VLOOKUP($B78,casostestes[#Data],10)), "-")</f>
        <v>-</v>
      </c>
      <c r="D78" s="35" t="str">
        <f>IFERROR(IF(VLOOKUP($B78,casostestes[#Data],2)=0,"-",VLOOKUP($B78,casostestes[#Data],2)), "-")</f>
        <v>-</v>
      </c>
      <c r="E78" s="35" t="str">
        <f>IFERROR(IF(VLOOKUP($B78,casostestes[#Data],3)=0,"-",VLOOKUP($B78,casostestes[#Data],3)), "-")</f>
        <v>-</v>
      </c>
      <c r="F78" s="35" t="str">
        <f>IFERROR(IF(VLOOKUP($B78,casostestes[#Data],4)=0,"-",VLOOKUP($B78,casostestes[#Data],4)),"-")</f>
        <v>-</v>
      </c>
      <c r="G78" s="35" t="str">
        <f>IFERROR(IF(VLOOKUP($B78,casostestes[#Data],5)=0,"-",VLOOKUP($B78,casostestes[#Data],5)),"-")</f>
        <v>-</v>
      </c>
      <c r="H78" s="35" t="str">
        <f>IFERROR(IF(VLOOKUP($B78,casostestes[#Data],6)=0,"-",VLOOKUP($B78,casostestes[#Data],6)),"-")</f>
        <v>-</v>
      </c>
      <c r="I78" s="35" t="str">
        <f>IFERROR(IF(VLOOKUP($B78,casostestes[#Data],8)=0,"-",VLOOKUP($B78,casostestes[#Data],8)),"-")</f>
        <v>-</v>
      </c>
      <c r="J78" s="35" t="str">
        <f>IFERROR(IF(VLOOKUP($B78,casostestes[#Data],9)=0,"-",VLOOKUP($B78,casostestes[#Data],9)),"-")</f>
        <v>-</v>
      </c>
      <c r="K78" s="36"/>
      <c r="L78" s="45"/>
      <c r="M78" s="37"/>
      <c r="N78" s="38"/>
      <c r="O78" s="38"/>
      <c r="P78" s="39"/>
    </row>
    <row r="79" spans="2:16">
      <c r="B79" s="40" t="str">
        <f>IF(ISERR(casostestes[[#This Row],[ID]]),"-",casostestes[[#This Row],[ID]])</f>
        <v>-</v>
      </c>
      <c r="C79" s="34" t="str">
        <f>IFERROR(IF(VLOOKUP($B79,casostestes[#Data],10)=0,"Não",VLOOKUP($B79,casostestes[#Data],10)), "-")</f>
        <v>-</v>
      </c>
      <c r="D79" s="35" t="str">
        <f>IFERROR(IF(VLOOKUP($B79,casostestes[#Data],2)=0,"-",VLOOKUP($B79,casostestes[#Data],2)), "-")</f>
        <v>-</v>
      </c>
      <c r="E79" s="35" t="str">
        <f>IFERROR(IF(VLOOKUP($B79,casostestes[#Data],3)=0,"-",VLOOKUP($B79,casostestes[#Data],3)), "-")</f>
        <v>-</v>
      </c>
      <c r="F79" s="35" t="str">
        <f>IFERROR(IF(VLOOKUP($B79,casostestes[#Data],4)=0,"-",VLOOKUP($B79,casostestes[#Data],4)),"-")</f>
        <v>-</v>
      </c>
      <c r="G79" s="35" t="str">
        <f>IFERROR(IF(VLOOKUP($B79,casostestes[#Data],5)=0,"-",VLOOKUP($B79,casostestes[#Data],5)),"-")</f>
        <v>-</v>
      </c>
      <c r="H79" s="35" t="str">
        <f>IFERROR(IF(VLOOKUP($B79,casostestes[#Data],6)=0,"-",VLOOKUP($B79,casostestes[#Data],6)),"-")</f>
        <v>-</v>
      </c>
      <c r="I79" s="35" t="str">
        <f>IFERROR(IF(VLOOKUP($B79,casostestes[#Data],8)=0,"-",VLOOKUP($B79,casostestes[#Data],8)),"-")</f>
        <v>-</v>
      </c>
      <c r="J79" s="35" t="str">
        <f>IFERROR(IF(VLOOKUP($B79,casostestes[#Data],9)=0,"-",VLOOKUP($B79,casostestes[#Data],9)),"-")</f>
        <v>-</v>
      </c>
      <c r="K79" s="36"/>
      <c r="L79" s="45"/>
      <c r="M79" s="37"/>
      <c r="N79" s="38"/>
      <c r="O79" s="38"/>
      <c r="P79" s="39"/>
    </row>
    <row r="80" spans="2:16">
      <c r="B80" s="40" t="str">
        <f>IF(ISERR(casostestes[[#This Row],[ID]]),"-",casostestes[[#This Row],[ID]])</f>
        <v>-</v>
      </c>
      <c r="C80" s="34" t="str">
        <f>IFERROR(IF(VLOOKUP($B80,casostestes[#Data],10)=0,"Não",VLOOKUP($B80,casostestes[#Data],10)), "-")</f>
        <v>-</v>
      </c>
      <c r="D80" s="35" t="str">
        <f>IFERROR(IF(VLOOKUP($B80,casostestes[#Data],2)=0,"-",VLOOKUP($B80,casostestes[#Data],2)), "-")</f>
        <v>-</v>
      </c>
      <c r="E80" s="35" t="str">
        <f>IFERROR(IF(VLOOKUP($B80,casostestes[#Data],3)=0,"-",VLOOKUP($B80,casostestes[#Data],3)), "-")</f>
        <v>-</v>
      </c>
      <c r="F80" s="35" t="str">
        <f>IFERROR(IF(VLOOKUP($B80,casostestes[#Data],4)=0,"-",VLOOKUP($B80,casostestes[#Data],4)),"-")</f>
        <v>-</v>
      </c>
      <c r="G80" s="35" t="str">
        <f>IFERROR(IF(VLOOKUP($B80,casostestes[#Data],5)=0,"-",VLOOKUP($B80,casostestes[#Data],5)),"-")</f>
        <v>-</v>
      </c>
      <c r="H80" s="35" t="str">
        <f>IFERROR(IF(VLOOKUP($B80,casostestes[#Data],6)=0,"-",VLOOKUP($B80,casostestes[#Data],6)),"-")</f>
        <v>-</v>
      </c>
      <c r="I80" s="35" t="str">
        <f>IFERROR(IF(VLOOKUP($B80,casostestes[#Data],8)=0,"-",VLOOKUP($B80,casostestes[#Data],8)),"-")</f>
        <v>-</v>
      </c>
      <c r="J80" s="35" t="str">
        <f>IFERROR(IF(VLOOKUP($B80,casostestes[#Data],9)=0,"-",VLOOKUP($B80,casostestes[#Data],9)),"-")</f>
        <v>-</v>
      </c>
      <c r="K80" s="36"/>
      <c r="L80" s="45"/>
      <c r="M80" s="37"/>
      <c r="N80" s="38"/>
      <c r="O80" s="38"/>
      <c r="P80" s="39"/>
    </row>
    <row r="81" spans="2:16">
      <c r="B81" s="40" t="str">
        <f>IF(ISERR(casostestes[[#This Row],[ID]]),"-",casostestes[[#This Row],[ID]])</f>
        <v>-</v>
      </c>
      <c r="C81" s="34" t="str">
        <f>IFERROR(IF(VLOOKUP($B81,casostestes[#Data],10)=0,"Não",VLOOKUP($B81,casostestes[#Data],10)), "-")</f>
        <v>-</v>
      </c>
      <c r="D81" s="35" t="str">
        <f>IFERROR(IF(VLOOKUP($B81,casostestes[#Data],2)=0,"-",VLOOKUP($B81,casostestes[#Data],2)), "-")</f>
        <v>-</v>
      </c>
      <c r="E81" s="35" t="str">
        <f>IFERROR(IF(VLOOKUP($B81,casostestes[#Data],3)=0,"-",VLOOKUP($B81,casostestes[#Data],3)), "-")</f>
        <v>-</v>
      </c>
      <c r="F81" s="35" t="str">
        <f>IFERROR(IF(VLOOKUP($B81,casostestes[#Data],4)=0,"-",VLOOKUP($B81,casostestes[#Data],4)),"-")</f>
        <v>-</v>
      </c>
      <c r="G81" s="35" t="str">
        <f>IFERROR(IF(VLOOKUP($B81,casostestes[#Data],5)=0,"-",VLOOKUP($B81,casostestes[#Data],5)),"-")</f>
        <v>-</v>
      </c>
      <c r="H81" s="35" t="str">
        <f>IFERROR(IF(VLOOKUP($B81,casostestes[#Data],6)=0,"-",VLOOKUP($B81,casostestes[#Data],6)),"-")</f>
        <v>-</v>
      </c>
      <c r="I81" s="35" t="str">
        <f>IFERROR(IF(VLOOKUP($B81,casostestes[#Data],8)=0,"-",VLOOKUP($B81,casostestes[#Data],8)),"-")</f>
        <v>-</v>
      </c>
      <c r="J81" s="35" t="str">
        <f>IFERROR(IF(VLOOKUP($B81,casostestes[#Data],9)=0,"-",VLOOKUP($B81,casostestes[#Data],9)),"-")</f>
        <v>-</v>
      </c>
      <c r="K81" s="36"/>
      <c r="L81" s="45"/>
      <c r="M81" s="37"/>
      <c r="N81" s="38"/>
      <c r="O81" s="38"/>
      <c r="P81" s="39"/>
    </row>
    <row r="82" spans="2:16">
      <c r="B82" s="40" t="str">
        <f>IF(ISERR(casostestes[[#This Row],[ID]]),"-",casostestes[[#This Row],[ID]])</f>
        <v>-</v>
      </c>
      <c r="C82" s="34" t="str">
        <f>IFERROR(IF(VLOOKUP($B82,casostestes[#Data],10)=0,"Não",VLOOKUP($B82,casostestes[#Data],10)), "-")</f>
        <v>-</v>
      </c>
      <c r="D82" s="35" t="str">
        <f>IFERROR(IF(VLOOKUP($B82,casostestes[#Data],2)=0,"-",VLOOKUP($B82,casostestes[#Data],2)), "-")</f>
        <v>-</v>
      </c>
      <c r="E82" s="35" t="str">
        <f>IFERROR(IF(VLOOKUP($B82,casostestes[#Data],3)=0,"-",VLOOKUP($B82,casostestes[#Data],3)), "-")</f>
        <v>-</v>
      </c>
      <c r="F82" s="35" t="str">
        <f>IFERROR(IF(VLOOKUP($B82,casostestes[#Data],4)=0,"-",VLOOKUP($B82,casostestes[#Data],4)),"-")</f>
        <v>-</v>
      </c>
      <c r="G82" s="35" t="str">
        <f>IFERROR(IF(VLOOKUP($B82,casostestes[#Data],5)=0,"-",VLOOKUP($B82,casostestes[#Data],5)),"-")</f>
        <v>-</v>
      </c>
      <c r="H82" s="35" t="str">
        <f>IFERROR(IF(VLOOKUP($B82,casostestes[#Data],6)=0,"-",VLOOKUP($B82,casostestes[#Data],6)),"-")</f>
        <v>-</v>
      </c>
      <c r="I82" s="35" t="str">
        <f>IFERROR(IF(VLOOKUP($B82,casostestes[#Data],8)=0,"-",VLOOKUP($B82,casostestes[#Data],8)),"-")</f>
        <v>-</v>
      </c>
      <c r="J82" s="35" t="str">
        <f>IFERROR(IF(VLOOKUP($B82,casostestes[#Data],9)=0,"-",VLOOKUP($B82,casostestes[#Data],9)),"-")</f>
        <v>-</v>
      </c>
      <c r="K82" s="36"/>
      <c r="L82" s="45"/>
      <c r="M82" s="37"/>
      <c r="N82" s="38"/>
      <c r="O82" s="38"/>
      <c r="P82" s="39"/>
    </row>
    <row r="83" spans="2:16">
      <c r="B83" s="40" t="str">
        <f>IF(ISERR(casostestes[[#This Row],[ID]]),"-",casostestes[[#This Row],[ID]])</f>
        <v>-</v>
      </c>
      <c r="C83" s="34" t="str">
        <f>IFERROR(IF(VLOOKUP($B83,casostestes[#Data],10)=0,"Não",VLOOKUP($B83,casostestes[#Data],10)), "-")</f>
        <v>-</v>
      </c>
      <c r="D83" s="35" t="str">
        <f>IFERROR(IF(VLOOKUP($B83,casostestes[#Data],2)=0,"-",VLOOKUP($B83,casostestes[#Data],2)), "-")</f>
        <v>-</v>
      </c>
      <c r="E83" s="35" t="str">
        <f>IFERROR(IF(VLOOKUP($B83,casostestes[#Data],3)=0,"-",VLOOKUP($B83,casostestes[#Data],3)), "-")</f>
        <v>-</v>
      </c>
      <c r="F83" s="35" t="str">
        <f>IFERROR(IF(VLOOKUP($B83,casostestes[#Data],4)=0,"-",VLOOKUP($B83,casostestes[#Data],4)),"-")</f>
        <v>-</v>
      </c>
      <c r="G83" s="35" t="str">
        <f>IFERROR(IF(VLOOKUP($B83,casostestes[#Data],5)=0,"-",VLOOKUP($B83,casostestes[#Data],5)),"-")</f>
        <v>-</v>
      </c>
      <c r="H83" s="35" t="str">
        <f>IFERROR(IF(VLOOKUP($B83,casostestes[#Data],6)=0,"-",VLOOKUP($B83,casostestes[#Data],6)),"-")</f>
        <v>-</v>
      </c>
      <c r="I83" s="35" t="str">
        <f>IFERROR(IF(VLOOKUP($B83,casostestes[#Data],8)=0,"-",VLOOKUP($B83,casostestes[#Data],8)),"-")</f>
        <v>-</v>
      </c>
      <c r="J83" s="35" t="str">
        <f>IFERROR(IF(VLOOKUP($B83,casostestes[#Data],9)=0,"-",VLOOKUP($B83,casostestes[#Data],9)),"-")</f>
        <v>-</v>
      </c>
      <c r="K83" s="36"/>
      <c r="L83" s="45"/>
      <c r="M83" s="37"/>
      <c r="N83" s="38"/>
      <c r="O83" s="38"/>
      <c r="P83" s="39"/>
    </row>
    <row r="84" spans="2:16">
      <c r="B84" s="40" t="str">
        <f>IF(ISERR(casostestes[[#This Row],[ID]]),"-",casostestes[[#This Row],[ID]])</f>
        <v>-</v>
      </c>
      <c r="C84" s="34" t="str">
        <f>IFERROR(IF(VLOOKUP($B84,casostestes[#Data],10)=0,"Não",VLOOKUP($B84,casostestes[#Data],10)), "-")</f>
        <v>-</v>
      </c>
      <c r="D84" s="35" t="str">
        <f>IFERROR(IF(VLOOKUP($B84,casostestes[#Data],2)=0,"-",VLOOKUP($B84,casostestes[#Data],2)), "-")</f>
        <v>-</v>
      </c>
      <c r="E84" s="35" t="str">
        <f>IFERROR(IF(VLOOKUP($B84,casostestes[#Data],3)=0,"-",VLOOKUP($B84,casostestes[#Data],3)), "-")</f>
        <v>-</v>
      </c>
      <c r="F84" s="35" t="str">
        <f>IFERROR(IF(VLOOKUP($B84,casostestes[#Data],4)=0,"-",VLOOKUP($B84,casostestes[#Data],4)),"-")</f>
        <v>-</v>
      </c>
      <c r="G84" s="35" t="str">
        <f>IFERROR(IF(VLOOKUP($B84,casostestes[#Data],5)=0,"-",VLOOKUP($B84,casostestes[#Data],5)),"-")</f>
        <v>-</v>
      </c>
      <c r="H84" s="35" t="str">
        <f>IFERROR(IF(VLOOKUP($B84,casostestes[#Data],6)=0,"-",VLOOKUP($B84,casostestes[#Data],6)),"-")</f>
        <v>-</v>
      </c>
      <c r="I84" s="35" t="str">
        <f>IFERROR(IF(VLOOKUP($B84,casostestes[#Data],8)=0,"-",VLOOKUP($B84,casostestes[#Data],8)),"-")</f>
        <v>-</v>
      </c>
      <c r="J84" s="35" t="str">
        <f>IFERROR(IF(VLOOKUP($B84,casostestes[#Data],9)=0,"-",VLOOKUP($B84,casostestes[#Data],9)),"-")</f>
        <v>-</v>
      </c>
      <c r="K84" s="36"/>
      <c r="L84" s="45"/>
      <c r="M84" s="37"/>
      <c r="N84" s="38"/>
      <c r="O84" s="38"/>
      <c r="P84" s="39"/>
    </row>
    <row r="85" spans="2:16">
      <c r="B85" s="40" t="str">
        <f>IF(ISERR(casostestes[[#This Row],[ID]]),"-",casostestes[[#This Row],[ID]])</f>
        <v>-</v>
      </c>
      <c r="C85" s="34" t="str">
        <f>IFERROR(IF(VLOOKUP($B85,casostestes[#Data],10)=0,"Não",VLOOKUP($B85,casostestes[#Data],10)), "-")</f>
        <v>-</v>
      </c>
      <c r="D85" s="35" t="str">
        <f>IFERROR(IF(VLOOKUP($B85,casostestes[#Data],2)=0,"-",VLOOKUP($B85,casostestes[#Data],2)), "-")</f>
        <v>-</v>
      </c>
      <c r="E85" s="35" t="str">
        <f>IFERROR(IF(VLOOKUP($B85,casostestes[#Data],3)=0,"-",VLOOKUP($B85,casostestes[#Data],3)), "-")</f>
        <v>-</v>
      </c>
      <c r="F85" s="35" t="str">
        <f>IFERROR(IF(VLOOKUP($B85,casostestes[#Data],4)=0,"-",VLOOKUP($B85,casostestes[#Data],4)),"-")</f>
        <v>-</v>
      </c>
      <c r="G85" s="35" t="str">
        <f>IFERROR(IF(VLOOKUP($B85,casostestes[#Data],5)=0,"-",VLOOKUP($B85,casostestes[#Data],5)),"-")</f>
        <v>-</v>
      </c>
      <c r="H85" s="35" t="str">
        <f>IFERROR(IF(VLOOKUP($B85,casostestes[#Data],6)=0,"-",VLOOKUP($B85,casostestes[#Data],6)),"-")</f>
        <v>-</v>
      </c>
      <c r="I85" s="35" t="str">
        <f>IFERROR(IF(VLOOKUP($B85,casostestes[#Data],8)=0,"-",VLOOKUP($B85,casostestes[#Data],8)),"-")</f>
        <v>-</v>
      </c>
      <c r="J85" s="35" t="str">
        <f>IFERROR(IF(VLOOKUP($B85,casostestes[#Data],9)=0,"-",VLOOKUP($B85,casostestes[#Data],9)),"-")</f>
        <v>-</v>
      </c>
      <c r="K85" s="36"/>
      <c r="L85" s="45"/>
      <c r="M85" s="37"/>
      <c r="N85" s="38"/>
      <c r="O85" s="38"/>
      <c r="P85" s="39"/>
    </row>
    <row r="86" spans="2:16">
      <c r="B86" s="40" t="str">
        <f>IF(ISERR(casostestes[[#This Row],[ID]]),"-",casostestes[[#This Row],[ID]])</f>
        <v>-</v>
      </c>
      <c r="C86" s="34" t="str">
        <f>IFERROR(IF(VLOOKUP($B86,casostestes[#Data],10)=0,"Não",VLOOKUP($B86,casostestes[#Data],10)), "-")</f>
        <v>-</v>
      </c>
      <c r="D86" s="35" t="str">
        <f>IFERROR(IF(VLOOKUP($B86,casostestes[#Data],2)=0,"-",VLOOKUP($B86,casostestes[#Data],2)), "-")</f>
        <v>-</v>
      </c>
      <c r="E86" s="35" t="str">
        <f>IFERROR(IF(VLOOKUP($B86,casostestes[#Data],3)=0,"-",VLOOKUP($B86,casostestes[#Data],3)), "-")</f>
        <v>-</v>
      </c>
      <c r="F86" s="35" t="str">
        <f>IFERROR(IF(VLOOKUP($B86,casostestes[#Data],4)=0,"-",VLOOKUP($B86,casostestes[#Data],4)),"-")</f>
        <v>-</v>
      </c>
      <c r="G86" s="35" t="str">
        <f>IFERROR(IF(VLOOKUP($B86,casostestes[#Data],5)=0,"-",VLOOKUP($B86,casostestes[#Data],5)),"-")</f>
        <v>-</v>
      </c>
      <c r="H86" s="35" t="str">
        <f>IFERROR(IF(VLOOKUP($B86,casostestes[#Data],6)=0,"-",VLOOKUP($B86,casostestes[#Data],6)),"-")</f>
        <v>-</v>
      </c>
      <c r="I86" s="35" t="str">
        <f>IFERROR(IF(VLOOKUP($B86,casostestes[#Data],8)=0,"-",VLOOKUP($B86,casostestes[#Data],8)),"-")</f>
        <v>-</v>
      </c>
      <c r="J86" s="35" t="str">
        <f>IFERROR(IF(VLOOKUP($B86,casostestes[#Data],9)=0,"-",VLOOKUP($B86,casostestes[#Data],9)),"-")</f>
        <v>-</v>
      </c>
      <c r="K86" s="36"/>
      <c r="L86" s="45"/>
      <c r="M86" s="37"/>
      <c r="N86" s="38"/>
      <c r="O86" s="38"/>
      <c r="P86" s="39"/>
    </row>
    <row r="87" spans="2:16">
      <c r="B87" s="40" t="str">
        <f>IF(ISERR(casostestes[[#This Row],[ID]]),"-",casostestes[[#This Row],[ID]])</f>
        <v>-</v>
      </c>
      <c r="C87" s="34" t="str">
        <f>IFERROR(IF(VLOOKUP($B87,casostestes[#Data],10)=0,"Não",VLOOKUP($B87,casostestes[#Data],10)), "-")</f>
        <v>-</v>
      </c>
      <c r="D87" s="35" t="str">
        <f>IFERROR(IF(VLOOKUP($B87,casostestes[#Data],2)=0,"-",VLOOKUP($B87,casostestes[#Data],2)), "-")</f>
        <v>-</v>
      </c>
      <c r="E87" s="35" t="str">
        <f>IFERROR(IF(VLOOKUP($B87,casostestes[#Data],3)=0,"-",VLOOKUP($B87,casostestes[#Data],3)), "-")</f>
        <v>-</v>
      </c>
      <c r="F87" s="35" t="str">
        <f>IFERROR(IF(VLOOKUP($B87,casostestes[#Data],4)=0,"-",VLOOKUP($B87,casostestes[#Data],4)),"-")</f>
        <v>-</v>
      </c>
      <c r="G87" s="35" t="str">
        <f>IFERROR(IF(VLOOKUP($B87,casostestes[#Data],5)=0,"-",VLOOKUP($B87,casostestes[#Data],5)),"-")</f>
        <v>-</v>
      </c>
      <c r="H87" s="35" t="str">
        <f>IFERROR(IF(VLOOKUP($B87,casostestes[#Data],6)=0,"-",VLOOKUP($B87,casostestes[#Data],6)),"-")</f>
        <v>-</v>
      </c>
      <c r="I87" s="35" t="str">
        <f>IFERROR(IF(VLOOKUP($B87,casostestes[#Data],8)=0,"-",VLOOKUP($B87,casostestes[#Data],8)),"-")</f>
        <v>-</v>
      </c>
      <c r="J87" s="35" t="str">
        <f>IFERROR(IF(VLOOKUP($B87,casostestes[#Data],9)=0,"-",VLOOKUP($B87,casostestes[#Data],9)),"-")</f>
        <v>-</v>
      </c>
      <c r="K87" s="36"/>
      <c r="L87" s="45"/>
      <c r="M87" s="37"/>
      <c r="N87" s="38"/>
      <c r="O87" s="38"/>
      <c r="P87" s="39"/>
    </row>
    <row r="88" spans="2:16">
      <c r="B88" s="40" t="str">
        <f>IF(ISERR(casostestes[[#This Row],[ID]]),"-",casostestes[[#This Row],[ID]])</f>
        <v>-</v>
      </c>
      <c r="C88" s="34" t="str">
        <f>IFERROR(IF(VLOOKUP($B88,casostestes[#Data],10)=0,"Não",VLOOKUP($B88,casostestes[#Data],10)), "-")</f>
        <v>-</v>
      </c>
      <c r="D88" s="35" t="str">
        <f>IFERROR(IF(VLOOKUP($B88,casostestes[#Data],2)=0,"-",VLOOKUP($B88,casostestes[#Data],2)), "-")</f>
        <v>-</v>
      </c>
      <c r="E88" s="35" t="str">
        <f>IFERROR(IF(VLOOKUP($B88,casostestes[#Data],3)=0,"-",VLOOKUP($B88,casostestes[#Data],3)), "-")</f>
        <v>-</v>
      </c>
      <c r="F88" s="35" t="str">
        <f>IFERROR(IF(VLOOKUP($B88,casostestes[#Data],4)=0,"-",VLOOKUP($B88,casostestes[#Data],4)),"-")</f>
        <v>-</v>
      </c>
      <c r="G88" s="35" t="str">
        <f>IFERROR(IF(VLOOKUP($B88,casostestes[#Data],5)=0,"-",VLOOKUP($B88,casostestes[#Data],5)),"-")</f>
        <v>-</v>
      </c>
      <c r="H88" s="35" t="str">
        <f>IFERROR(IF(VLOOKUP($B88,casostestes[#Data],6)=0,"-",VLOOKUP($B88,casostestes[#Data],6)),"-")</f>
        <v>-</v>
      </c>
      <c r="I88" s="35" t="str">
        <f>IFERROR(IF(VLOOKUP($B88,casostestes[#Data],8)=0,"-",VLOOKUP($B88,casostestes[#Data],8)),"-")</f>
        <v>-</v>
      </c>
      <c r="J88" s="35" t="str">
        <f>IFERROR(IF(VLOOKUP($B88,casostestes[#Data],9)=0,"-",VLOOKUP($B88,casostestes[#Data],9)),"-")</f>
        <v>-</v>
      </c>
      <c r="K88" s="36"/>
      <c r="L88" s="45"/>
      <c r="M88" s="37"/>
      <c r="N88" s="38"/>
      <c r="O88" s="38"/>
      <c r="P88" s="39"/>
    </row>
    <row r="89" spans="2:16">
      <c r="B89" s="40" t="str">
        <f>IF(ISERR(casostestes[[#This Row],[ID]]),"-",casostestes[[#This Row],[ID]])</f>
        <v>-</v>
      </c>
      <c r="C89" s="34" t="str">
        <f>IFERROR(IF(VLOOKUP($B89,casostestes[#Data],10)=0,"Não",VLOOKUP($B89,casostestes[#Data],10)), "-")</f>
        <v>-</v>
      </c>
      <c r="D89" s="35" t="str">
        <f>IFERROR(IF(VLOOKUP($B89,casostestes[#Data],2)=0,"-",VLOOKUP($B89,casostestes[#Data],2)), "-")</f>
        <v>-</v>
      </c>
      <c r="E89" s="35" t="str">
        <f>IFERROR(IF(VLOOKUP($B89,casostestes[#Data],3)=0,"-",VLOOKUP($B89,casostestes[#Data],3)), "-")</f>
        <v>-</v>
      </c>
      <c r="F89" s="35" t="str">
        <f>IFERROR(IF(VLOOKUP($B89,casostestes[#Data],4)=0,"-",VLOOKUP($B89,casostestes[#Data],4)),"-")</f>
        <v>-</v>
      </c>
      <c r="G89" s="35" t="str">
        <f>IFERROR(IF(VLOOKUP($B89,casostestes[#Data],5)=0,"-",VLOOKUP($B89,casostestes[#Data],5)),"-")</f>
        <v>-</v>
      </c>
      <c r="H89" s="35" t="str">
        <f>IFERROR(IF(VLOOKUP($B89,casostestes[#Data],6)=0,"-",VLOOKUP($B89,casostestes[#Data],6)),"-")</f>
        <v>-</v>
      </c>
      <c r="I89" s="35" t="str">
        <f>IFERROR(IF(VLOOKUP($B89,casostestes[#Data],8)=0,"-",VLOOKUP($B89,casostestes[#Data],8)),"-")</f>
        <v>-</v>
      </c>
      <c r="J89" s="35" t="str">
        <f>IFERROR(IF(VLOOKUP($B89,casostestes[#Data],9)=0,"-",VLOOKUP($B89,casostestes[#Data],9)),"-")</f>
        <v>-</v>
      </c>
      <c r="K89" s="36"/>
      <c r="L89" s="45"/>
      <c r="M89" s="37"/>
      <c r="N89" s="38"/>
      <c r="O89" s="38"/>
      <c r="P89" s="39"/>
    </row>
    <row r="90" spans="2:16">
      <c r="B90" s="40" t="str">
        <f>IF(ISERR(casostestes[[#This Row],[ID]]),"-",casostestes[[#This Row],[ID]])</f>
        <v>-</v>
      </c>
      <c r="C90" s="34" t="str">
        <f>IFERROR(IF(VLOOKUP($B90,casostestes[#Data],10)=0,"Não",VLOOKUP($B90,casostestes[#Data],10)), "-")</f>
        <v>-</v>
      </c>
      <c r="D90" s="35" t="str">
        <f>IFERROR(IF(VLOOKUP($B90,casostestes[#Data],2)=0,"-",VLOOKUP($B90,casostestes[#Data],2)), "-")</f>
        <v>-</v>
      </c>
      <c r="E90" s="35" t="str">
        <f>IFERROR(IF(VLOOKUP($B90,casostestes[#Data],3)=0,"-",VLOOKUP($B90,casostestes[#Data],3)), "-")</f>
        <v>-</v>
      </c>
      <c r="F90" s="35" t="str">
        <f>IFERROR(IF(VLOOKUP($B90,casostestes[#Data],4)=0,"-",VLOOKUP($B90,casostestes[#Data],4)),"-")</f>
        <v>-</v>
      </c>
      <c r="G90" s="35" t="str">
        <f>IFERROR(IF(VLOOKUP($B90,casostestes[#Data],5)=0,"-",VLOOKUP($B90,casostestes[#Data],5)),"-")</f>
        <v>-</v>
      </c>
      <c r="H90" s="35" t="str">
        <f>IFERROR(IF(VLOOKUP($B90,casostestes[#Data],6)=0,"-",VLOOKUP($B90,casostestes[#Data],6)),"-")</f>
        <v>-</v>
      </c>
      <c r="I90" s="35" t="str">
        <f>IFERROR(IF(VLOOKUP($B90,casostestes[#Data],8)=0,"-",VLOOKUP($B90,casostestes[#Data],8)),"-")</f>
        <v>-</v>
      </c>
      <c r="J90" s="35" t="str">
        <f>IFERROR(IF(VLOOKUP($B90,casostestes[#Data],9)=0,"-",VLOOKUP($B90,casostestes[#Data],9)),"-")</f>
        <v>-</v>
      </c>
      <c r="K90" s="36"/>
      <c r="L90" s="45"/>
      <c r="M90" s="37"/>
      <c r="N90" s="38"/>
      <c r="O90" s="38"/>
      <c r="P90" s="39"/>
    </row>
    <row r="91" spans="2:16">
      <c r="B91" s="40" t="str">
        <f>IF(ISERR(casostestes[[#This Row],[ID]]),"-",casostestes[[#This Row],[ID]])</f>
        <v>-</v>
      </c>
      <c r="C91" s="34" t="str">
        <f>IFERROR(IF(VLOOKUP($B91,casostestes[#Data],10)=0,"Não",VLOOKUP($B91,casostestes[#Data],10)), "-")</f>
        <v>-</v>
      </c>
      <c r="D91" s="35" t="str">
        <f>IFERROR(IF(VLOOKUP($B91,casostestes[#Data],2)=0,"-",VLOOKUP($B91,casostestes[#Data],2)), "-")</f>
        <v>-</v>
      </c>
      <c r="E91" s="35" t="str">
        <f>IFERROR(IF(VLOOKUP($B91,casostestes[#Data],3)=0,"-",VLOOKUP($B91,casostestes[#Data],3)), "-")</f>
        <v>-</v>
      </c>
      <c r="F91" s="35" t="str">
        <f>IFERROR(IF(VLOOKUP($B91,casostestes[#Data],4)=0,"-",VLOOKUP($B91,casostestes[#Data],4)),"-")</f>
        <v>-</v>
      </c>
      <c r="G91" s="35" t="str">
        <f>IFERROR(IF(VLOOKUP($B91,casostestes[#Data],5)=0,"-",VLOOKUP($B91,casostestes[#Data],5)),"-")</f>
        <v>-</v>
      </c>
      <c r="H91" s="35" t="str">
        <f>IFERROR(IF(VLOOKUP($B91,casostestes[#Data],6)=0,"-",VLOOKUP($B91,casostestes[#Data],6)),"-")</f>
        <v>-</v>
      </c>
      <c r="I91" s="35" t="str">
        <f>IFERROR(IF(VLOOKUP($B91,casostestes[#Data],8)=0,"-",VLOOKUP($B91,casostestes[#Data],8)),"-")</f>
        <v>-</v>
      </c>
      <c r="J91" s="35" t="str">
        <f>IFERROR(IF(VLOOKUP($B91,casostestes[#Data],9)=0,"-",VLOOKUP($B91,casostestes[#Data],9)),"-")</f>
        <v>-</v>
      </c>
      <c r="K91" s="36"/>
      <c r="L91" s="45"/>
      <c r="M91" s="37"/>
      <c r="N91" s="38"/>
      <c r="O91" s="38"/>
      <c r="P91" s="39"/>
    </row>
    <row r="92" spans="2:16">
      <c r="B92" s="40" t="str">
        <f>IF(ISERR(casostestes[[#This Row],[ID]]),"-",casostestes[[#This Row],[ID]])</f>
        <v>-</v>
      </c>
      <c r="C92" s="34" t="str">
        <f>IFERROR(IF(VLOOKUP($B92,casostestes[#Data],10)=0,"Não",VLOOKUP($B92,casostestes[#Data],10)), "-")</f>
        <v>-</v>
      </c>
      <c r="D92" s="35" t="str">
        <f>IFERROR(IF(VLOOKUP($B92,casostestes[#Data],2)=0,"-",VLOOKUP($B92,casostestes[#Data],2)), "-")</f>
        <v>-</v>
      </c>
      <c r="E92" s="35" t="str">
        <f>IFERROR(IF(VLOOKUP($B92,casostestes[#Data],3)=0,"-",VLOOKUP($B92,casostestes[#Data],3)), "-")</f>
        <v>-</v>
      </c>
      <c r="F92" s="35" t="str">
        <f>IFERROR(IF(VLOOKUP($B92,casostestes[#Data],4)=0,"-",VLOOKUP($B92,casostestes[#Data],4)),"-")</f>
        <v>-</v>
      </c>
      <c r="G92" s="35" t="str">
        <f>IFERROR(IF(VLOOKUP($B92,casostestes[#Data],5)=0,"-",VLOOKUP($B92,casostestes[#Data],5)),"-")</f>
        <v>-</v>
      </c>
      <c r="H92" s="35" t="str">
        <f>IFERROR(IF(VLOOKUP($B92,casostestes[#Data],6)=0,"-",VLOOKUP($B92,casostestes[#Data],6)),"-")</f>
        <v>-</v>
      </c>
      <c r="I92" s="35" t="str">
        <f>IFERROR(IF(VLOOKUP($B92,casostestes[#Data],8)=0,"-",VLOOKUP($B92,casostestes[#Data],8)),"-")</f>
        <v>-</v>
      </c>
      <c r="J92" s="35" t="str">
        <f>IFERROR(IF(VLOOKUP($B92,casostestes[#Data],9)=0,"-",VLOOKUP($B92,casostestes[#Data],9)),"-")</f>
        <v>-</v>
      </c>
      <c r="K92" s="36"/>
      <c r="L92" s="45"/>
      <c r="M92" s="37"/>
      <c r="N92" s="38"/>
      <c r="O92" s="38"/>
      <c r="P92" s="39"/>
    </row>
    <row r="93" spans="2:16">
      <c r="B93" s="40" t="str">
        <f>IF(ISERR(casostestes[[#This Row],[ID]]),"-",casostestes[[#This Row],[ID]])</f>
        <v>-</v>
      </c>
      <c r="C93" s="34" t="str">
        <f>IFERROR(IF(VLOOKUP($B93,casostestes[#Data],10)=0,"Não",VLOOKUP($B93,casostestes[#Data],10)), "-")</f>
        <v>-</v>
      </c>
      <c r="D93" s="35" t="str">
        <f>IFERROR(IF(VLOOKUP($B93,casostestes[#Data],2)=0,"-",VLOOKUP($B93,casostestes[#Data],2)), "-")</f>
        <v>-</v>
      </c>
      <c r="E93" s="35" t="str">
        <f>IFERROR(IF(VLOOKUP($B93,casostestes[#Data],3)=0,"-",VLOOKUP($B93,casostestes[#Data],3)), "-")</f>
        <v>-</v>
      </c>
      <c r="F93" s="35" t="str">
        <f>IFERROR(IF(VLOOKUP($B93,casostestes[#Data],4)=0,"-",VLOOKUP($B93,casostestes[#Data],4)),"-")</f>
        <v>-</v>
      </c>
      <c r="G93" s="35" t="str">
        <f>IFERROR(IF(VLOOKUP($B93,casostestes[#Data],5)=0,"-",VLOOKUP($B93,casostestes[#Data],5)),"-")</f>
        <v>-</v>
      </c>
      <c r="H93" s="35" t="str">
        <f>IFERROR(IF(VLOOKUP($B93,casostestes[#Data],6)=0,"-",VLOOKUP($B93,casostestes[#Data],6)),"-")</f>
        <v>-</v>
      </c>
      <c r="I93" s="35" t="str">
        <f>IFERROR(IF(VLOOKUP($B93,casostestes[#Data],8)=0,"-",VLOOKUP($B93,casostestes[#Data],8)),"-")</f>
        <v>-</v>
      </c>
      <c r="J93" s="35" t="str">
        <f>IFERROR(IF(VLOOKUP($B93,casostestes[#Data],9)=0,"-",VLOOKUP($B93,casostestes[#Data],9)),"-")</f>
        <v>-</v>
      </c>
      <c r="K93" s="36"/>
      <c r="L93" s="45"/>
      <c r="M93" s="37"/>
      <c r="N93" s="38"/>
      <c r="O93" s="38"/>
      <c r="P93" s="39"/>
    </row>
    <row r="94" spans="2:16">
      <c r="B94" s="40" t="str">
        <f>IF(ISERR(casostestes[[#This Row],[ID]]),"-",casostestes[[#This Row],[ID]])</f>
        <v>-</v>
      </c>
      <c r="C94" s="34" t="str">
        <f>IFERROR(IF(VLOOKUP($B94,casostestes[#Data],10)=0,"Não",VLOOKUP($B94,casostestes[#Data],10)), "-")</f>
        <v>-</v>
      </c>
      <c r="D94" s="35" t="str">
        <f>IFERROR(IF(VLOOKUP($B94,casostestes[#Data],2)=0,"-",VLOOKUP($B94,casostestes[#Data],2)), "-")</f>
        <v>-</v>
      </c>
      <c r="E94" s="35" t="str">
        <f>IFERROR(IF(VLOOKUP($B94,casostestes[#Data],3)=0,"-",VLOOKUP($B94,casostestes[#Data],3)), "-")</f>
        <v>-</v>
      </c>
      <c r="F94" s="35" t="str">
        <f>IFERROR(IF(VLOOKUP($B94,casostestes[#Data],4)=0,"-",VLOOKUP($B94,casostestes[#Data],4)),"-")</f>
        <v>-</v>
      </c>
      <c r="G94" s="35" t="str">
        <f>IFERROR(IF(VLOOKUP($B94,casostestes[#Data],5)=0,"-",VLOOKUP($B94,casostestes[#Data],5)),"-")</f>
        <v>-</v>
      </c>
      <c r="H94" s="35" t="str">
        <f>IFERROR(IF(VLOOKUP($B94,casostestes[#Data],6)=0,"-",VLOOKUP($B94,casostestes[#Data],6)),"-")</f>
        <v>-</v>
      </c>
      <c r="I94" s="35" t="str">
        <f>IFERROR(IF(VLOOKUP($B94,casostestes[#Data],8)=0,"-",VLOOKUP($B94,casostestes[#Data],8)),"-")</f>
        <v>-</v>
      </c>
      <c r="J94" s="35" t="str">
        <f>IFERROR(IF(VLOOKUP($B94,casostestes[#Data],9)=0,"-",VLOOKUP($B94,casostestes[#Data],9)),"-")</f>
        <v>-</v>
      </c>
      <c r="K94" s="36"/>
      <c r="L94" s="45"/>
      <c r="M94" s="37"/>
      <c r="N94" s="38"/>
      <c r="O94" s="38"/>
      <c r="P94" s="39"/>
    </row>
    <row r="95" spans="2:16">
      <c r="B95" s="40" t="str">
        <f>IF(ISERR(casostestes[[#This Row],[ID]]),"-",casostestes[[#This Row],[ID]])</f>
        <v>-</v>
      </c>
      <c r="C95" s="34" t="str">
        <f>IFERROR(IF(VLOOKUP($B95,casostestes[#Data],10)=0,"Não",VLOOKUP($B95,casostestes[#Data],10)), "-")</f>
        <v>-</v>
      </c>
      <c r="D95" s="35" t="str">
        <f>IFERROR(IF(VLOOKUP($B95,casostestes[#Data],2)=0,"-",VLOOKUP($B95,casostestes[#Data],2)), "-")</f>
        <v>-</v>
      </c>
      <c r="E95" s="35" t="str">
        <f>IFERROR(IF(VLOOKUP($B95,casostestes[#Data],3)=0,"-",VLOOKUP($B95,casostestes[#Data],3)), "-")</f>
        <v>-</v>
      </c>
      <c r="F95" s="35" t="str">
        <f>IFERROR(IF(VLOOKUP($B95,casostestes[#Data],4)=0,"-",VLOOKUP($B95,casostestes[#Data],4)),"-")</f>
        <v>-</v>
      </c>
      <c r="G95" s="35" t="str">
        <f>IFERROR(IF(VLOOKUP($B95,casostestes[#Data],5)=0,"-",VLOOKUP($B95,casostestes[#Data],5)),"-")</f>
        <v>-</v>
      </c>
      <c r="H95" s="35" t="str">
        <f>IFERROR(IF(VLOOKUP($B95,casostestes[#Data],6)=0,"-",VLOOKUP($B95,casostestes[#Data],6)),"-")</f>
        <v>-</v>
      </c>
      <c r="I95" s="35" t="str">
        <f>IFERROR(IF(VLOOKUP($B95,casostestes[#Data],8)=0,"-",VLOOKUP($B95,casostestes[#Data],8)),"-")</f>
        <v>-</v>
      </c>
      <c r="J95" s="35" t="str">
        <f>IFERROR(IF(VLOOKUP($B95,casostestes[#Data],9)=0,"-",VLOOKUP($B95,casostestes[#Data],9)),"-")</f>
        <v>-</v>
      </c>
      <c r="K95" s="36"/>
      <c r="L95" s="45"/>
      <c r="M95" s="37"/>
      <c r="N95" s="38"/>
      <c r="O95" s="38"/>
      <c r="P95" s="39"/>
    </row>
    <row r="96" spans="2:16">
      <c r="B96" s="40" t="str">
        <f>IF(ISERR(casostestes[[#This Row],[ID]]),"-",casostestes[[#This Row],[ID]])</f>
        <v>-</v>
      </c>
      <c r="C96" s="34" t="str">
        <f>IFERROR(IF(VLOOKUP($B96,casostestes[#Data],10)=0,"Não",VLOOKUP($B96,casostestes[#Data],10)), "-")</f>
        <v>-</v>
      </c>
      <c r="D96" s="35" t="str">
        <f>IFERROR(IF(VLOOKUP($B96,casostestes[#Data],2)=0,"-",VLOOKUP($B96,casostestes[#Data],2)), "-")</f>
        <v>-</v>
      </c>
      <c r="E96" s="35" t="str">
        <f>IFERROR(IF(VLOOKUP($B96,casostestes[#Data],3)=0,"-",VLOOKUP($B96,casostestes[#Data],3)), "-")</f>
        <v>-</v>
      </c>
      <c r="F96" s="35" t="str">
        <f>IFERROR(IF(VLOOKUP($B96,casostestes[#Data],4)=0,"-",VLOOKUP($B96,casostestes[#Data],4)),"-")</f>
        <v>-</v>
      </c>
      <c r="G96" s="35" t="str">
        <f>IFERROR(IF(VLOOKUP($B96,casostestes[#Data],5)=0,"-",VLOOKUP($B96,casostestes[#Data],5)),"-")</f>
        <v>-</v>
      </c>
      <c r="H96" s="35" t="str">
        <f>IFERROR(IF(VLOOKUP($B96,casostestes[#Data],6)=0,"-",VLOOKUP($B96,casostestes[#Data],6)),"-")</f>
        <v>-</v>
      </c>
      <c r="I96" s="35" t="str">
        <f>IFERROR(IF(VLOOKUP($B96,casostestes[#Data],8)=0,"-",VLOOKUP($B96,casostestes[#Data],8)),"-")</f>
        <v>-</v>
      </c>
      <c r="J96" s="35" t="str">
        <f>IFERROR(IF(VLOOKUP($B96,casostestes[#Data],9)=0,"-",VLOOKUP($B96,casostestes[#Data],9)),"-")</f>
        <v>-</v>
      </c>
      <c r="K96" s="36"/>
      <c r="L96" s="45"/>
      <c r="M96" s="37"/>
      <c r="N96" s="38"/>
      <c r="O96" s="38"/>
      <c r="P96" s="39"/>
    </row>
    <row r="97" spans="2:16">
      <c r="B97" s="40" t="str">
        <f>IF(ISERR(casostestes[[#This Row],[ID]]),"-",casostestes[[#This Row],[ID]])</f>
        <v>-</v>
      </c>
      <c r="C97" s="34" t="str">
        <f>IFERROR(IF(VLOOKUP($B97,casostestes[#Data],10)=0,"Não",VLOOKUP($B97,casostestes[#Data],10)), "-")</f>
        <v>-</v>
      </c>
      <c r="D97" s="35" t="str">
        <f>IFERROR(IF(VLOOKUP($B97,casostestes[#Data],2)=0,"-",VLOOKUP($B97,casostestes[#Data],2)), "-")</f>
        <v>-</v>
      </c>
      <c r="E97" s="35" t="str">
        <f>IFERROR(IF(VLOOKUP($B97,casostestes[#Data],3)=0,"-",VLOOKUP($B97,casostestes[#Data],3)), "-")</f>
        <v>-</v>
      </c>
      <c r="F97" s="35" t="str">
        <f>IFERROR(IF(VLOOKUP($B97,casostestes[#Data],4)=0,"-",VLOOKUP($B97,casostestes[#Data],4)),"-")</f>
        <v>-</v>
      </c>
      <c r="G97" s="35" t="str">
        <f>IFERROR(IF(VLOOKUP($B97,casostestes[#Data],5)=0,"-",VLOOKUP($B97,casostestes[#Data],5)),"-")</f>
        <v>-</v>
      </c>
      <c r="H97" s="35" t="str">
        <f>IFERROR(IF(VLOOKUP($B97,casostestes[#Data],6)=0,"-",VLOOKUP($B97,casostestes[#Data],6)),"-")</f>
        <v>-</v>
      </c>
      <c r="I97" s="35" t="str">
        <f>IFERROR(IF(VLOOKUP($B97,casostestes[#Data],8)=0,"-",VLOOKUP($B97,casostestes[#Data],8)),"-")</f>
        <v>-</v>
      </c>
      <c r="J97" s="35" t="str">
        <f>IFERROR(IF(VLOOKUP($B97,casostestes[#Data],9)=0,"-",VLOOKUP($B97,casostestes[#Data],9)),"-")</f>
        <v>-</v>
      </c>
      <c r="K97" s="36"/>
      <c r="L97" s="45"/>
      <c r="M97" s="37"/>
      <c r="N97" s="38"/>
      <c r="O97" s="38"/>
      <c r="P97" s="39"/>
    </row>
    <row r="98" spans="2:16">
      <c r="B98" s="40" t="str">
        <f>IF(ISERR(casostestes[[#This Row],[ID]]),"-",casostestes[[#This Row],[ID]])</f>
        <v>-</v>
      </c>
      <c r="C98" s="34" t="str">
        <f>IFERROR(IF(VLOOKUP($B98,casostestes[#Data],10)=0,"Não",VLOOKUP($B98,casostestes[#Data],10)), "-")</f>
        <v>-</v>
      </c>
      <c r="D98" s="35" t="str">
        <f>IFERROR(IF(VLOOKUP($B98,casostestes[#Data],2)=0,"-",VLOOKUP($B98,casostestes[#Data],2)), "-")</f>
        <v>-</v>
      </c>
      <c r="E98" s="35" t="str">
        <f>IFERROR(IF(VLOOKUP($B98,casostestes[#Data],3)=0,"-",VLOOKUP($B98,casostestes[#Data],3)), "-")</f>
        <v>-</v>
      </c>
      <c r="F98" s="35" t="str">
        <f>IFERROR(IF(VLOOKUP($B98,casostestes[#Data],4)=0,"-",VLOOKUP($B98,casostestes[#Data],4)),"-")</f>
        <v>-</v>
      </c>
      <c r="G98" s="35" t="str">
        <f>IFERROR(IF(VLOOKUP($B98,casostestes[#Data],5)=0,"-",VLOOKUP($B98,casostestes[#Data],5)),"-")</f>
        <v>-</v>
      </c>
      <c r="H98" s="35" t="str">
        <f>IFERROR(IF(VLOOKUP($B98,casostestes[#Data],6)=0,"-",VLOOKUP($B98,casostestes[#Data],6)),"-")</f>
        <v>-</v>
      </c>
      <c r="I98" s="35" t="str">
        <f>IFERROR(IF(VLOOKUP($B98,casostestes[#Data],8)=0,"-",VLOOKUP($B98,casostestes[#Data],8)),"-")</f>
        <v>-</v>
      </c>
      <c r="J98" s="35" t="str">
        <f>IFERROR(IF(VLOOKUP($B98,casostestes[#Data],9)=0,"-",VLOOKUP($B98,casostestes[#Data],9)),"-")</f>
        <v>-</v>
      </c>
      <c r="K98" s="36"/>
      <c r="L98" s="45"/>
      <c r="M98" s="37"/>
      <c r="N98" s="38"/>
      <c r="O98" s="38"/>
      <c r="P98" s="39"/>
    </row>
    <row r="99" spans="2:16">
      <c r="B99" s="40" t="str">
        <f>IF(ISERR(casostestes[[#This Row],[ID]]),"-",casostestes[[#This Row],[ID]])</f>
        <v>-</v>
      </c>
      <c r="C99" s="34" t="str">
        <f>IFERROR(IF(VLOOKUP($B99,casostestes[#Data],10)=0,"Não",VLOOKUP($B99,casostestes[#Data],10)), "-")</f>
        <v>-</v>
      </c>
      <c r="D99" s="35" t="str">
        <f>IFERROR(IF(VLOOKUP($B99,casostestes[#Data],2)=0,"-",VLOOKUP($B99,casostestes[#Data],2)), "-")</f>
        <v>-</v>
      </c>
      <c r="E99" s="35" t="str">
        <f>IFERROR(IF(VLOOKUP($B99,casostestes[#Data],3)=0,"-",VLOOKUP($B99,casostestes[#Data],3)), "-")</f>
        <v>-</v>
      </c>
      <c r="F99" s="35" t="str">
        <f>IFERROR(IF(VLOOKUP($B99,casostestes[#Data],4)=0,"-",VLOOKUP($B99,casostestes[#Data],4)),"-")</f>
        <v>-</v>
      </c>
      <c r="G99" s="35" t="str">
        <f>IFERROR(IF(VLOOKUP($B99,casostestes[#Data],5)=0,"-",VLOOKUP($B99,casostestes[#Data],5)),"-")</f>
        <v>-</v>
      </c>
      <c r="H99" s="35" t="str">
        <f>IFERROR(IF(VLOOKUP($B99,casostestes[#Data],6)=0,"-",VLOOKUP($B99,casostestes[#Data],6)),"-")</f>
        <v>-</v>
      </c>
      <c r="I99" s="35" t="str">
        <f>IFERROR(IF(VLOOKUP($B99,casostestes[#Data],8)=0,"-",VLOOKUP($B99,casostestes[#Data],8)),"-")</f>
        <v>-</v>
      </c>
      <c r="J99" s="35" t="str">
        <f>IFERROR(IF(VLOOKUP($B99,casostestes[#Data],9)=0,"-",VLOOKUP($B99,casostestes[#Data],9)),"-")</f>
        <v>-</v>
      </c>
      <c r="K99" s="36"/>
      <c r="L99" s="45"/>
      <c r="M99" s="37"/>
      <c r="N99" s="38"/>
      <c r="O99" s="38"/>
      <c r="P99" s="39"/>
    </row>
    <row r="100" spans="2:16">
      <c r="B100" s="40" t="str">
        <f>IF(ISERR(casostestes[[#This Row],[ID]]),"-",casostestes[[#This Row],[ID]])</f>
        <v>-</v>
      </c>
      <c r="C100" s="41" t="str">
        <f>IFERROR(IF(VLOOKUP($B100,casostestes[#Data],10)=0,"Não",VLOOKUP($B100,casostestes[#Data],10)), "-")</f>
        <v>-</v>
      </c>
      <c r="D100" s="42" t="str">
        <f>IFERROR(IF(VLOOKUP($B100,casostestes[#Data],2)=0,"-",VLOOKUP($B100,casostestes[#Data],2)), "-")</f>
        <v>-</v>
      </c>
      <c r="E100" s="42" t="str">
        <f>IFERROR(IF(VLOOKUP($B100,casostestes[#Data],3)=0,"-",VLOOKUP($B100,casostestes[#Data],3)), "-")</f>
        <v>-</v>
      </c>
      <c r="F100" s="42" t="str">
        <f>IFERROR(IF(VLOOKUP($B100,casostestes[#Data],4)=0,"-",VLOOKUP($B100,casostestes[#Data],4)),"-")</f>
        <v>-</v>
      </c>
      <c r="G100" s="42" t="str">
        <f>IFERROR(IF(VLOOKUP($B100,casostestes[#Data],5)=0,"-",VLOOKUP($B100,casostestes[#Data],5)),"-")</f>
        <v>-</v>
      </c>
      <c r="H100" s="42" t="str">
        <f>IFERROR(IF(VLOOKUP($B100,casostestes[#Data],6)=0,"-",VLOOKUP($B100,casostestes[#Data],6)),"-")</f>
        <v>-</v>
      </c>
      <c r="I100" s="42" t="str">
        <f>IFERROR(IF(VLOOKUP($B100,casostestes[#Data],8)=0,"-",VLOOKUP($B100,casostestes[#Data],8)),"-")</f>
        <v>-</v>
      </c>
      <c r="J100" s="42" t="str">
        <f>IFERROR(IF(VLOOKUP($B100,casostestes[#Data],9)=0,"-",VLOOKUP($B100,casostestes[#Data],9)),"-")</f>
        <v>-</v>
      </c>
      <c r="K100" s="43"/>
      <c r="L100" s="45"/>
      <c r="M100" s="44"/>
      <c r="N100" s="45"/>
      <c r="O100" s="45"/>
      <c r="P100" s="46"/>
    </row>
    <row r="101" spans="2:16">
      <c r="B101" s="40" t="str">
        <f>IF(ISERR(casostestes[[#This Row],[ID]]),"-",casostestes[[#This Row],[ID]])</f>
        <v>-</v>
      </c>
      <c r="C101" s="34" t="str">
        <f>IFERROR(IF(VLOOKUP($B101,casostestes[#Data],10)=0,"Não",VLOOKUP($B101,casostestes[#Data],10)), "-")</f>
        <v>-</v>
      </c>
      <c r="D101" s="35" t="str">
        <f>IFERROR(IF(VLOOKUP($B101,casostestes[#Data],2)=0,"-",VLOOKUP($B101,casostestes[#Data],2)), "-")</f>
        <v>-</v>
      </c>
      <c r="E101" s="35" t="str">
        <f>IFERROR(IF(VLOOKUP($B101,casostestes[#Data],3)=0,"-",VLOOKUP($B101,casostestes[#Data],3)), "-")</f>
        <v>-</v>
      </c>
      <c r="F101" s="35" t="str">
        <f>IFERROR(IF(VLOOKUP($B101,casostestes[#Data],4)=0,"-",VLOOKUP($B101,casostestes[#Data],4)),"-")</f>
        <v>-</v>
      </c>
      <c r="G101" s="35" t="str">
        <f>IFERROR(IF(VLOOKUP($B101,casostestes[#Data],5)=0,"-",VLOOKUP($B101,casostestes[#Data],5)),"-")</f>
        <v>-</v>
      </c>
      <c r="H101" s="35" t="str">
        <f>IFERROR(IF(VLOOKUP($B101,casostestes[#Data],6)=0,"-",VLOOKUP($B101,casostestes[#Data],6)),"-")</f>
        <v>-</v>
      </c>
      <c r="I101" s="35" t="str">
        <f>IFERROR(IF(VLOOKUP($B101,casostestes[#Data],8)=0,"-",VLOOKUP($B101,casostestes[#Data],8)),"-")</f>
        <v>-</v>
      </c>
      <c r="J101" s="35" t="str">
        <f>IFERROR(IF(VLOOKUP($B101,casostestes[#Data],9)=0,"-",VLOOKUP($B101,casostestes[#Data],9)),"-")</f>
        <v>-</v>
      </c>
      <c r="K101" s="36"/>
      <c r="L101" s="45"/>
      <c r="M101" s="37"/>
      <c r="N101" s="38"/>
      <c r="O101" s="38"/>
      <c r="P101" s="39"/>
    </row>
    <row r="102" spans="2:16">
      <c r="B102" s="40" t="str">
        <f>IF(ISERR(casostestes[[#This Row],[ID]]),"-",casostestes[[#This Row],[ID]])</f>
        <v>-</v>
      </c>
      <c r="C102" s="34" t="str">
        <f>IFERROR(IF(VLOOKUP($B102,casostestes[#Data],10)=0,"Não",VLOOKUP($B102,casostestes[#Data],10)), "-")</f>
        <v>-</v>
      </c>
      <c r="D102" s="35" t="str">
        <f>IFERROR(IF(VLOOKUP($B102,casostestes[#Data],2)=0,"-",VLOOKUP($B102,casostestes[#Data],2)), "-")</f>
        <v>-</v>
      </c>
      <c r="E102" s="35" t="str">
        <f>IFERROR(IF(VLOOKUP($B102,casostestes[#Data],3)=0,"-",VLOOKUP($B102,casostestes[#Data],3)), "-")</f>
        <v>-</v>
      </c>
      <c r="F102" s="35" t="str">
        <f>IFERROR(IF(VLOOKUP($B102,casostestes[#Data],4)=0,"-",VLOOKUP($B102,casostestes[#Data],4)),"-")</f>
        <v>-</v>
      </c>
      <c r="G102" s="35" t="str">
        <f>IFERROR(IF(VLOOKUP($B102,casostestes[#Data],5)=0,"-",VLOOKUP($B102,casostestes[#Data],5)),"-")</f>
        <v>-</v>
      </c>
      <c r="H102" s="35" t="str">
        <f>IFERROR(IF(VLOOKUP($B102,casostestes[#Data],6)=0,"-",VLOOKUP($B102,casostestes[#Data],6)),"-")</f>
        <v>-</v>
      </c>
      <c r="I102" s="35" t="str">
        <f>IFERROR(IF(VLOOKUP($B102,casostestes[#Data],8)=0,"-",VLOOKUP($B102,casostestes[#Data],8)),"-")</f>
        <v>-</v>
      </c>
      <c r="J102" s="35" t="str">
        <f>IFERROR(IF(VLOOKUP($B102,casostestes[#Data],9)=0,"-",VLOOKUP($B102,casostestes[#Data],9)),"-")</f>
        <v>-</v>
      </c>
      <c r="K102" s="36"/>
      <c r="L102" s="45"/>
      <c r="M102" s="37"/>
      <c r="N102" s="38"/>
      <c r="O102" s="38"/>
      <c r="P102" s="39"/>
    </row>
    <row r="103" spans="2:16">
      <c r="B103" s="40" t="str">
        <f>IF(ISERR(casostestes[[#This Row],[ID]]),"-",casostestes[[#This Row],[ID]])</f>
        <v>-</v>
      </c>
      <c r="C103" s="34" t="str">
        <f>IFERROR(IF(VLOOKUP($B103,casostestes[#Data],10)=0,"Não",VLOOKUP($B103,casostestes[#Data],10)), "-")</f>
        <v>-</v>
      </c>
      <c r="D103" s="35" t="str">
        <f>IFERROR(IF(VLOOKUP($B103,casostestes[#Data],2)=0,"-",VLOOKUP($B103,casostestes[#Data],2)), "-")</f>
        <v>-</v>
      </c>
      <c r="E103" s="35" t="str">
        <f>IFERROR(IF(VLOOKUP($B103,casostestes[#Data],3)=0,"-",VLOOKUP($B103,casostestes[#Data],3)), "-")</f>
        <v>-</v>
      </c>
      <c r="F103" s="35" t="str">
        <f>IFERROR(IF(VLOOKUP($B103,casostestes[#Data],4)=0,"-",VLOOKUP($B103,casostestes[#Data],4)),"-")</f>
        <v>-</v>
      </c>
      <c r="G103" s="35" t="str">
        <f>IFERROR(IF(VLOOKUP($B103,casostestes[#Data],5)=0,"-",VLOOKUP($B103,casostestes[#Data],5)),"-")</f>
        <v>-</v>
      </c>
      <c r="H103" s="35" t="str">
        <f>IFERROR(IF(VLOOKUP($B103,casostestes[#Data],6)=0,"-",VLOOKUP($B103,casostestes[#Data],6)),"-")</f>
        <v>-</v>
      </c>
      <c r="I103" s="35" t="str">
        <f>IFERROR(IF(VLOOKUP($B103,casostestes[#Data],8)=0,"-",VLOOKUP($B103,casostestes[#Data],8)),"-")</f>
        <v>-</v>
      </c>
      <c r="J103" s="35" t="str">
        <f>IFERROR(IF(VLOOKUP($B103,casostestes[#Data],9)=0,"-",VLOOKUP($B103,casostestes[#Data],9)),"-")</f>
        <v>-</v>
      </c>
      <c r="K103" s="36"/>
      <c r="L103" s="45"/>
      <c r="M103" s="37"/>
      <c r="N103" s="38"/>
      <c r="O103" s="38"/>
      <c r="P103" s="39"/>
    </row>
    <row r="104" spans="2:16">
      <c r="B104" s="40" t="str">
        <f>IF(ISERR(casostestes[[#This Row],[ID]]),"-",casostestes[[#This Row],[ID]])</f>
        <v>-</v>
      </c>
      <c r="C104" s="34" t="str">
        <f>IFERROR(IF(VLOOKUP($B104,casostestes[#Data],10)=0,"Não",VLOOKUP($B104,casostestes[#Data],10)), "-")</f>
        <v>-</v>
      </c>
      <c r="D104" s="35" t="str">
        <f>IFERROR(IF(VLOOKUP($B104,casostestes[#Data],2)=0,"-",VLOOKUP($B104,casostestes[#Data],2)), "-")</f>
        <v>-</v>
      </c>
      <c r="E104" s="35" t="str">
        <f>IFERROR(IF(VLOOKUP($B104,casostestes[#Data],3)=0,"-",VLOOKUP($B104,casostestes[#Data],3)), "-")</f>
        <v>-</v>
      </c>
      <c r="F104" s="35" t="str">
        <f>IFERROR(IF(VLOOKUP($B104,casostestes[#Data],4)=0,"-",VLOOKUP($B104,casostestes[#Data],4)),"-")</f>
        <v>-</v>
      </c>
      <c r="G104" s="35" t="str">
        <f>IFERROR(IF(VLOOKUP($B104,casostestes[#Data],5)=0,"-",VLOOKUP($B104,casostestes[#Data],5)),"-")</f>
        <v>-</v>
      </c>
      <c r="H104" s="35" t="str">
        <f>IFERROR(IF(VLOOKUP($B104,casostestes[#Data],6)=0,"-",VLOOKUP($B104,casostestes[#Data],6)),"-")</f>
        <v>-</v>
      </c>
      <c r="I104" s="35" t="str">
        <f>IFERROR(IF(VLOOKUP($B104,casostestes[#Data],8)=0,"-",VLOOKUP($B104,casostestes[#Data],8)),"-")</f>
        <v>-</v>
      </c>
      <c r="J104" s="35" t="str">
        <f>IFERROR(IF(VLOOKUP($B104,casostestes[#Data],9)=0,"-",VLOOKUP($B104,casostestes[#Data],9)),"-")</f>
        <v>-</v>
      </c>
      <c r="K104" s="36"/>
      <c r="L104" s="45"/>
      <c r="M104" s="37"/>
      <c r="N104" s="38"/>
      <c r="O104" s="38"/>
      <c r="P104" s="39"/>
    </row>
    <row r="105" spans="2:16">
      <c r="B105" s="40" t="str">
        <f>IF(ISERR(casostestes[[#This Row],[ID]]),"-",casostestes[[#This Row],[ID]])</f>
        <v>-</v>
      </c>
      <c r="C105" s="34" t="str">
        <f>IFERROR(IF(VLOOKUP($B105,casostestes[#Data],10)=0,"Não",VLOOKUP($B105,casostestes[#Data],10)), "-")</f>
        <v>-</v>
      </c>
      <c r="D105" s="35" t="str">
        <f>IFERROR(IF(VLOOKUP($B105,casostestes[#Data],2)=0,"-",VLOOKUP($B105,casostestes[#Data],2)), "-")</f>
        <v>-</v>
      </c>
      <c r="E105" s="35" t="str">
        <f>IFERROR(IF(VLOOKUP($B105,casostestes[#Data],3)=0,"-",VLOOKUP($B105,casostestes[#Data],3)), "-")</f>
        <v>-</v>
      </c>
      <c r="F105" s="35" t="str">
        <f>IFERROR(IF(VLOOKUP($B105,casostestes[#Data],4)=0,"-",VLOOKUP($B105,casostestes[#Data],4)),"-")</f>
        <v>-</v>
      </c>
      <c r="G105" s="35" t="str">
        <f>IFERROR(IF(VLOOKUP($B105,casostestes[#Data],5)=0,"-",VLOOKUP($B105,casostestes[#Data],5)),"-")</f>
        <v>-</v>
      </c>
      <c r="H105" s="35" t="str">
        <f>IFERROR(IF(VLOOKUP($B105,casostestes[#Data],6)=0,"-",VLOOKUP($B105,casostestes[#Data],6)),"-")</f>
        <v>-</v>
      </c>
      <c r="I105" s="35" t="str">
        <f>IFERROR(IF(VLOOKUP($B105,casostestes[#Data],8)=0,"-",VLOOKUP($B105,casostestes[#Data],8)),"-")</f>
        <v>-</v>
      </c>
      <c r="J105" s="35" t="str">
        <f>IFERROR(IF(VLOOKUP($B105,casostestes[#Data],9)=0,"-",VLOOKUP($B105,casostestes[#Data],9)),"-")</f>
        <v>-</v>
      </c>
      <c r="K105" s="36"/>
      <c r="L105" s="45"/>
      <c r="M105" s="37"/>
      <c r="N105" s="38"/>
      <c r="O105" s="38"/>
      <c r="P105" s="39"/>
    </row>
    <row r="106" spans="2:16">
      <c r="B106" s="40" t="str">
        <f>IF(ISERR(casostestes[[#This Row],[ID]]),"-",casostestes[[#This Row],[ID]])</f>
        <v>-</v>
      </c>
      <c r="C106" s="34" t="str">
        <f>IFERROR(IF(VLOOKUP($B106,casostestes[#Data],10)=0,"Não",VLOOKUP($B106,casostestes[#Data],10)), "-")</f>
        <v>-</v>
      </c>
      <c r="D106" s="35" t="str">
        <f>IFERROR(IF(VLOOKUP($B106,casostestes[#Data],2)=0,"-",VLOOKUP($B106,casostestes[#Data],2)), "-")</f>
        <v>-</v>
      </c>
      <c r="E106" s="35" t="str">
        <f>IFERROR(IF(VLOOKUP($B106,casostestes[#Data],3)=0,"-",VLOOKUP($B106,casostestes[#Data],3)), "-")</f>
        <v>-</v>
      </c>
      <c r="F106" s="35" t="str">
        <f>IFERROR(IF(VLOOKUP($B106,casostestes[#Data],4)=0,"-",VLOOKUP($B106,casostestes[#Data],4)),"-")</f>
        <v>-</v>
      </c>
      <c r="G106" s="35" t="str">
        <f>IFERROR(IF(VLOOKUP($B106,casostestes[#Data],5)=0,"-",VLOOKUP($B106,casostestes[#Data],5)),"-")</f>
        <v>-</v>
      </c>
      <c r="H106" s="35" t="str">
        <f>IFERROR(IF(VLOOKUP($B106,casostestes[#Data],6)=0,"-",VLOOKUP($B106,casostestes[#Data],6)),"-")</f>
        <v>-</v>
      </c>
      <c r="I106" s="35" t="str">
        <f>IFERROR(IF(VLOOKUP($B106,casostestes[#Data],8)=0,"-",VLOOKUP($B106,casostestes[#Data],8)),"-")</f>
        <v>-</v>
      </c>
      <c r="J106" s="35" t="str">
        <f>IFERROR(IF(VLOOKUP($B106,casostestes[#Data],9)=0,"-",VLOOKUP($B106,casostestes[#Data],9)),"-")</f>
        <v>-</v>
      </c>
      <c r="K106" s="36"/>
      <c r="L106" s="45"/>
      <c r="M106" s="37"/>
      <c r="N106" s="38"/>
      <c r="O106" s="38"/>
      <c r="P106" s="39"/>
    </row>
    <row r="107" spans="2:16">
      <c r="B107" s="40" t="str">
        <f>IF(ISERR(casostestes[[#This Row],[ID]]),"-",casostestes[[#This Row],[ID]])</f>
        <v>-</v>
      </c>
      <c r="C107" s="34" t="str">
        <f>IFERROR(IF(VLOOKUP($B107,casostestes[#Data],10)=0,"Não",VLOOKUP($B107,casostestes[#Data],10)), "-")</f>
        <v>-</v>
      </c>
      <c r="D107" s="35" t="str">
        <f>IFERROR(IF(VLOOKUP($B107,casostestes[#Data],2)=0,"-",VLOOKUP($B107,casostestes[#Data],2)), "-")</f>
        <v>-</v>
      </c>
      <c r="E107" s="35" t="str">
        <f>IFERROR(IF(VLOOKUP($B107,casostestes[#Data],3)=0,"-",VLOOKUP($B107,casostestes[#Data],3)), "-")</f>
        <v>-</v>
      </c>
      <c r="F107" s="35" t="str">
        <f>IFERROR(IF(VLOOKUP($B107,casostestes[#Data],4)=0,"-",VLOOKUP($B107,casostestes[#Data],4)),"-")</f>
        <v>-</v>
      </c>
      <c r="G107" s="35" t="str">
        <f>IFERROR(IF(VLOOKUP($B107,casostestes[#Data],5)=0,"-",VLOOKUP($B107,casostestes[#Data],5)),"-")</f>
        <v>-</v>
      </c>
      <c r="H107" s="35" t="str">
        <f>IFERROR(IF(VLOOKUP($B107,casostestes[#Data],6)=0,"-",VLOOKUP($B107,casostestes[#Data],6)),"-")</f>
        <v>-</v>
      </c>
      <c r="I107" s="35" t="str">
        <f>IFERROR(IF(VLOOKUP($B107,casostestes[#Data],8)=0,"-",VLOOKUP($B107,casostestes[#Data],8)),"-")</f>
        <v>-</v>
      </c>
      <c r="J107" s="35" t="str">
        <f>IFERROR(IF(VLOOKUP($B107,casostestes[#Data],9)=0,"-",VLOOKUP($B107,casostestes[#Data],9)),"-")</f>
        <v>-</v>
      </c>
      <c r="K107" s="36"/>
      <c r="L107" s="45"/>
      <c r="M107" s="37"/>
      <c r="N107" s="38"/>
      <c r="O107" s="38"/>
      <c r="P107" s="39"/>
    </row>
    <row r="108" spans="2:16">
      <c r="B108" s="40" t="str">
        <f>IF(ISERR(casostestes[[#This Row],[ID]]),"-",casostestes[[#This Row],[ID]])</f>
        <v>-</v>
      </c>
      <c r="C108" s="34" t="str">
        <f>IFERROR(IF(VLOOKUP($B108,casostestes[#Data],10)=0,"Não",VLOOKUP($B108,casostestes[#Data],10)), "-")</f>
        <v>-</v>
      </c>
      <c r="D108" s="35" t="str">
        <f>IFERROR(IF(VLOOKUP($B108,casostestes[#Data],2)=0,"-",VLOOKUP($B108,casostestes[#Data],2)), "-")</f>
        <v>-</v>
      </c>
      <c r="E108" s="35" t="str">
        <f>IFERROR(IF(VLOOKUP($B108,casostestes[#Data],3)=0,"-",VLOOKUP($B108,casostestes[#Data],3)), "-")</f>
        <v>-</v>
      </c>
      <c r="F108" s="35" t="str">
        <f>IFERROR(IF(VLOOKUP($B108,casostestes[#Data],4)=0,"-",VLOOKUP($B108,casostestes[#Data],4)),"-")</f>
        <v>-</v>
      </c>
      <c r="G108" s="35" t="str">
        <f>IFERROR(IF(VLOOKUP($B108,casostestes[#Data],5)=0,"-",VLOOKUP($B108,casostestes[#Data],5)),"-")</f>
        <v>-</v>
      </c>
      <c r="H108" s="35" t="str">
        <f>IFERROR(IF(VLOOKUP($B108,casostestes[#Data],6)=0,"-",VLOOKUP($B108,casostestes[#Data],6)),"-")</f>
        <v>-</v>
      </c>
      <c r="I108" s="35" t="str">
        <f>IFERROR(IF(VLOOKUP($B108,casostestes[#Data],8)=0,"-",VLOOKUP($B108,casostestes[#Data],8)),"-")</f>
        <v>-</v>
      </c>
      <c r="J108" s="35" t="str">
        <f>IFERROR(IF(VLOOKUP($B108,casostestes[#Data],9)=0,"-",VLOOKUP($B108,casostestes[#Data],9)),"-")</f>
        <v>-</v>
      </c>
      <c r="K108" s="36"/>
      <c r="L108" s="45"/>
      <c r="M108" s="37"/>
      <c r="N108" s="38"/>
      <c r="O108" s="38"/>
      <c r="P108" s="39"/>
    </row>
    <row r="109" spans="2:16">
      <c r="B109" s="40" t="str">
        <f>IF(ISERR(casostestes[[#This Row],[ID]]),"-",casostestes[[#This Row],[ID]])</f>
        <v>-</v>
      </c>
      <c r="C109" s="34" t="str">
        <f>IFERROR(IF(VLOOKUP($B109,casostestes[#Data],10)=0,"Não",VLOOKUP($B109,casostestes[#Data],10)), "-")</f>
        <v>-</v>
      </c>
      <c r="D109" s="35" t="str">
        <f>IFERROR(IF(VLOOKUP($B109,casostestes[#Data],2)=0,"-",VLOOKUP($B109,casostestes[#Data],2)), "-")</f>
        <v>-</v>
      </c>
      <c r="E109" s="35" t="str">
        <f>IFERROR(IF(VLOOKUP($B109,casostestes[#Data],3)=0,"-",VLOOKUP($B109,casostestes[#Data],3)), "-")</f>
        <v>-</v>
      </c>
      <c r="F109" s="35" t="str">
        <f>IFERROR(IF(VLOOKUP($B109,casostestes[#Data],4)=0,"-",VLOOKUP($B109,casostestes[#Data],4)),"-")</f>
        <v>-</v>
      </c>
      <c r="G109" s="35" t="str">
        <f>IFERROR(IF(VLOOKUP($B109,casostestes[#Data],5)=0,"-",VLOOKUP($B109,casostestes[#Data],5)),"-")</f>
        <v>-</v>
      </c>
      <c r="H109" s="35" t="str">
        <f>IFERROR(IF(VLOOKUP($B109,casostestes[#Data],6)=0,"-",VLOOKUP($B109,casostestes[#Data],6)),"-")</f>
        <v>-</v>
      </c>
      <c r="I109" s="35" t="str">
        <f>IFERROR(IF(VLOOKUP($B109,casostestes[#Data],8)=0,"-",VLOOKUP($B109,casostestes[#Data],8)),"-")</f>
        <v>-</v>
      </c>
      <c r="J109" s="35" t="str">
        <f>IFERROR(IF(VLOOKUP($B109,casostestes[#Data],9)=0,"-",VLOOKUP($B109,casostestes[#Data],9)),"-")</f>
        <v>-</v>
      </c>
      <c r="K109" s="36"/>
      <c r="L109" s="45"/>
      <c r="M109" s="37"/>
      <c r="N109" s="38"/>
      <c r="O109" s="38"/>
      <c r="P109" s="39"/>
    </row>
    <row r="110" spans="2:16">
      <c r="B110" s="40" t="str">
        <f>IF(ISERR(casostestes[[#This Row],[ID]]),"-",casostestes[[#This Row],[ID]])</f>
        <v>-</v>
      </c>
      <c r="C110" s="34" t="str">
        <f>IFERROR(IF(VLOOKUP($B110,casostestes[#Data],10)=0,"Não",VLOOKUP($B110,casostestes[#Data],10)), "-")</f>
        <v>-</v>
      </c>
      <c r="D110" s="35" t="str">
        <f>IFERROR(IF(VLOOKUP($B110,casostestes[#Data],2)=0,"-",VLOOKUP($B110,casostestes[#Data],2)), "-")</f>
        <v>-</v>
      </c>
      <c r="E110" s="35" t="str">
        <f>IFERROR(IF(VLOOKUP($B110,casostestes[#Data],3)=0,"-",VLOOKUP($B110,casostestes[#Data],3)), "-")</f>
        <v>-</v>
      </c>
      <c r="F110" s="35" t="str">
        <f>IFERROR(IF(VLOOKUP($B110,casostestes[#Data],4)=0,"-",VLOOKUP($B110,casostestes[#Data],4)),"-")</f>
        <v>-</v>
      </c>
      <c r="G110" s="35" t="str">
        <f>IFERROR(IF(VLOOKUP($B110,casostestes[#Data],5)=0,"-",VLOOKUP($B110,casostestes[#Data],5)),"-")</f>
        <v>-</v>
      </c>
      <c r="H110" s="35" t="str">
        <f>IFERROR(IF(VLOOKUP($B110,casostestes[#Data],6)=0,"-",VLOOKUP($B110,casostestes[#Data],6)),"-")</f>
        <v>-</v>
      </c>
      <c r="I110" s="35" t="str">
        <f>IFERROR(IF(VLOOKUP($B110,casostestes[#Data],8)=0,"-",VLOOKUP($B110,casostestes[#Data],8)),"-")</f>
        <v>-</v>
      </c>
      <c r="J110" s="35" t="str">
        <f>IFERROR(IF(VLOOKUP($B110,casostestes[#Data],9)=0,"-",VLOOKUP($B110,casostestes[#Data],9)),"-")</f>
        <v>-</v>
      </c>
      <c r="K110" s="36"/>
      <c r="L110" s="45"/>
      <c r="M110" s="37"/>
      <c r="N110" s="38"/>
      <c r="O110" s="38"/>
      <c r="P110" s="39"/>
    </row>
    <row r="111" spans="2:16">
      <c r="B111" s="40" t="str">
        <f>IF(ISERR(casostestes[[#This Row],[ID]]),"-",casostestes[[#This Row],[ID]])</f>
        <v>-</v>
      </c>
      <c r="C111" s="34" t="str">
        <f>IFERROR(IF(VLOOKUP($B111,casostestes[#Data],10)=0,"Não",VLOOKUP($B111,casostestes[#Data],10)), "-")</f>
        <v>-</v>
      </c>
      <c r="D111" s="35" t="str">
        <f>IFERROR(IF(VLOOKUP($B111,casostestes[#Data],2)=0,"-",VLOOKUP($B111,casostestes[#Data],2)), "-")</f>
        <v>-</v>
      </c>
      <c r="E111" s="35" t="str">
        <f>IFERROR(IF(VLOOKUP($B111,casostestes[#Data],3)=0,"-",VLOOKUP($B111,casostestes[#Data],3)), "-")</f>
        <v>-</v>
      </c>
      <c r="F111" s="35" t="str">
        <f>IFERROR(IF(VLOOKUP($B111,casostestes[#Data],4)=0,"-",VLOOKUP($B111,casostestes[#Data],4)),"-")</f>
        <v>-</v>
      </c>
      <c r="G111" s="35" t="str">
        <f>IFERROR(IF(VLOOKUP($B111,casostestes[#Data],5)=0,"-",VLOOKUP($B111,casostestes[#Data],5)),"-")</f>
        <v>-</v>
      </c>
      <c r="H111" s="35" t="str">
        <f>IFERROR(IF(VLOOKUP($B111,casostestes[#Data],6)=0,"-",VLOOKUP($B111,casostestes[#Data],6)),"-")</f>
        <v>-</v>
      </c>
      <c r="I111" s="35" t="str">
        <f>IFERROR(IF(VLOOKUP($B111,casostestes[#Data],8)=0,"-",VLOOKUP($B111,casostestes[#Data],8)),"-")</f>
        <v>-</v>
      </c>
      <c r="J111" s="35" t="str">
        <f>IFERROR(IF(VLOOKUP($B111,casostestes[#Data],9)=0,"-",VLOOKUP($B111,casostestes[#Data],9)),"-")</f>
        <v>-</v>
      </c>
      <c r="K111" s="36"/>
      <c r="L111" s="45"/>
      <c r="M111" s="37"/>
      <c r="N111" s="38"/>
      <c r="O111" s="38"/>
      <c r="P111" s="39"/>
    </row>
    <row r="112" spans="2:16">
      <c r="B112" s="40" t="str">
        <f>IF(ISERR(casostestes[[#This Row],[ID]]),"-",casostestes[[#This Row],[ID]])</f>
        <v>-</v>
      </c>
      <c r="C112" s="34" t="str">
        <f>IFERROR(IF(VLOOKUP($B112,casostestes[#Data],10)=0,"Não",VLOOKUP($B112,casostestes[#Data],10)), "-")</f>
        <v>-</v>
      </c>
      <c r="D112" s="35" t="str">
        <f>IFERROR(IF(VLOOKUP($B112,casostestes[#Data],2)=0,"-",VLOOKUP($B112,casostestes[#Data],2)), "-")</f>
        <v>-</v>
      </c>
      <c r="E112" s="35" t="str">
        <f>IFERROR(IF(VLOOKUP($B112,casostestes[#Data],3)=0,"-",VLOOKUP($B112,casostestes[#Data],3)), "-")</f>
        <v>-</v>
      </c>
      <c r="F112" s="35" t="str">
        <f>IFERROR(IF(VLOOKUP($B112,casostestes[#Data],4)=0,"-",VLOOKUP($B112,casostestes[#Data],4)),"-")</f>
        <v>-</v>
      </c>
      <c r="G112" s="35" t="str">
        <f>IFERROR(IF(VLOOKUP($B112,casostestes[#Data],5)=0,"-",VLOOKUP($B112,casostestes[#Data],5)),"-")</f>
        <v>-</v>
      </c>
      <c r="H112" s="35" t="str">
        <f>IFERROR(IF(VLOOKUP($B112,casostestes[#Data],6)=0,"-",VLOOKUP($B112,casostestes[#Data],6)),"-")</f>
        <v>-</v>
      </c>
      <c r="I112" s="35" t="str">
        <f>IFERROR(IF(VLOOKUP($B112,casostestes[#Data],8)=0,"-",VLOOKUP($B112,casostestes[#Data],8)),"-")</f>
        <v>-</v>
      </c>
      <c r="J112" s="35" t="str">
        <f>IFERROR(IF(VLOOKUP($B112,casostestes[#Data],9)=0,"-",VLOOKUP($B112,casostestes[#Data],9)),"-")</f>
        <v>-</v>
      </c>
      <c r="K112" s="36"/>
      <c r="L112" s="45"/>
      <c r="M112" s="37"/>
      <c r="N112" s="38"/>
      <c r="O112" s="38"/>
      <c r="P112" s="39"/>
    </row>
    <row r="113" spans="2:16">
      <c r="B113" s="40" t="str">
        <f>IF(ISERR(casostestes[[#This Row],[ID]]),"-",casostestes[[#This Row],[ID]])</f>
        <v>-</v>
      </c>
      <c r="C113" s="34" t="str">
        <f>IFERROR(IF(VLOOKUP($B113,casostestes[#Data],10)=0,"Não",VLOOKUP($B113,casostestes[#Data],10)), "-")</f>
        <v>-</v>
      </c>
      <c r="D113" s="35" t="str">
        <f>IFERROR(IF(VLOOKUP($B113,casostestes[#Data],2)=0,"-",VLOOKUP($B113,casostestes[#Data],2)), "-")</f>
        <v>-</v>
      </c>
      <c r="E113" s="35" t="str">
        <f>IFERROR(IF(VLOOKUP($B113,casostestes[#Data],3)=0,"-",VLOOKUP($B113,casostestes[#Data],3)), "-")</f>
        <v>-</v>
      </c>
      <c r="F113" s="35" t="str">
        <f>IFERROR(IF(VLOOKUP($B113,casostestes[#Data],4)=0,"-",VLOOKUP($B113,casostestes[#Data],4)),"-")</f>
        <v>-</v>
      </c>
      <c r="G113" s="35" t="str">
        <f>IFERROR(IF(VLOOKUP($B113,casostestes[#Data],5)=0,"-",VLOOKUP($B113,casostestes[#Data],5)),"-")</f>
        <v>-</v>
      </c>
      <c r="H113" s="35" t="str">
        <f>IFERROR(IF(VLOOKUP($B113,casostestes[#Data],6)=0,"-",VLOOKUP($B113,casostestes[#Data],6)),"-")</f>
        <v>-</v>
      </c>
      <c r="I113" s="35" t="str">
        <f>IFERROR(IF(VLOOKUP($B113,casostestes[#Data],8)=0,"-",VLOOKUP($B113,casostestes[#Data],8)),"-")</f>
        <v>-</v>
      </c>
      <c r="J113" s="35" t="str">
        <f>IFERROR(IF(VLOOKUP($B113,casostestes[#Data],9)=0,"-",VLOOKUP($B113,casostestes[#Data],9)),"-")</f>
        <v>-</v>
      </c>
      <c r="K113" s="36"/>
      <c r="L113" s="45"/>
      <c r="M113" s="37"/>
      <c r="N113" s="38"/>
      <c r="O113" s="38"/>
      <c r="P113" s="39"/>
    </row>
    <row r="114" spans="2:16">
      <c r="B114" s="40" t="str">
        <f>IF(ISERR(casostestes[[#This Row],[ID]]),"-",casostestes[[#This Row],[ID]])</f>
        <v>-</v>
      </c>
      <c r="C114" s="34" t="str">
        <f>IFERROR(IF(VLOOKUP($B114,casostestes[#Data],10)=0,"Não",VLOOKUP($B114,casostestes[#Data],10)), "-")</f>
        <v>-</v>
      </c>
      <c r="D114" s="35" t="str">
        <f>IFERROR(IF(VLOOKUP($B114,casostestes[#Data],2)=0,"-",VLOOKUP($B114,casostestes[#Data],2)), "-")</f>
        <v>-</v>
      </c>
      <c r="E114" s="35" t="str">
        <f>IFERROR(IF(VLOOKUP($B114,casostestes[#Data],3)=0,"-",VLOOKUP($B114,casostestes[#Data],3)), "-")</f>
        <v>-</v>
      </c>
      <c r="F114" s="35" t="str">
        <f>IFERROR(IF(VLOOKUP($B114,casostestes[#Data],4)=0,"-",VLOOKUP($B114,casostestes[#Data],4)),"-")</f>
        <v>-</v>
      </c>
      <c r="G114" s="35" t="str">
        <f>IFERROR(IF(VLOOKUP($B114,casostestes[#Data],5)=0,"-",VLOOKUP($B114,casostestes[#Data],5)),"-")</f>
        <v>-</v>
      </c>
      <c r="H114" s="35" t="str">
        <f>IFERROR(IF(VLOOKUP($B114,casostestes[#Data],6)=0,"-",VLOOKUP($B114,casostestes[#Data],6)),"-")</f>
        <v>-</v>
      </c>
      <c r="I114" s="35" t="str">
        <f>IFERROR(IF(VLOOKUP($B114,casostestes[#Data],8)=0,"-",VLOOKUP($B114,casostestes[#Data],8)),"-")</f>
        <v>-</v>
      </c>
      <c r="J114" s="35" t="str">
        <f>IFERROR(IF(VLOOKUP($B114,casostestes[#Data],9)=0,"-",VLOOKUP($B114,casostestes[#Data],9)),"-")</f>
        <v>-</v>
      </c>
      <c r="K114" s="36"/>
      <c r="L114" s="45"/>
      <c r="M114" s="37"/>
      <c r="N114" s="38"/>
      <c r="O114" s="38"/>
      <c r="P114" s="39"/>
    </row>
    <row r="115" spans="2:16">
      <c r="B115" s="40" t="str">
        <f>IF(ISERR(casostestes[[#This Row],[ID]]),"-",casostestes[[#This Row],[ID]])</f>
        <v>-</v>
      </c>
      <c r="C115" s="34" t="str">
        <f>IFERROR(IF(VLOOKUP($B115,casostestes[#Data],10)=0,"Não",VLOOKUP($B115,casostestes[#Data],10)), "-")</f>
        <v>-</v>
      </c>
      <c r="D115" s="35" t="str">
        <f>IFERROR(IF(VLOOKUP($B115,casostestes[#Data],2)=0,"-",VLOOKUP($B115,casostestes[#Data],2)), "-")</f>
        <v>-</v>
      </c>
      <c r="E115" s="35" t="str">
        <f>IFERROR(IF(VLOOKUP($B115,casostestes[#Data],3)=0,"-",VLOOKUP($B115,casostestes[#Data],3)), "-")</f>
        <v>-</v>
      </c>
      <c r="F115" s="35" t="str">
        <f>IFERROR(IF(VLOOKUP($B115,casostestes[#Data],4)=0,"-",VLOOKUP($B115,casostestes[#Data],4)),"-")</f>
        <v>-</v>
      </c>
      <c r="G115" s="35" t="str">
        <f>IFERROR(IF(VLOOKUP($B115,casostestes[#Data],5)=0,"-",VLOOKUP($B115,casostestes[#Data],5)),"-")</f>
        <v>-</v>
      </c>
      <c r="H115" s="35" t="str">
        <f>IFERROR(IF(VLOOKUP($B115,casostestes[#Data],6)=0,"-",VLOOKUP($B115,casostestes[#Data],6)),"-")</f>
        <v>-</v>
      </c>
      <c r="I115" s="35" t="str">
        <f>IFERROR(IF(VLOOKUP($B115,casostestes[#Data],8)=0,"-",VLOOKUP($B115,casostestes[#Data],8)),"-")</f>
        <v>-</v>
      </c>
      <c r="J115" s="35" t="str">
        <f>IFERROR(IF(VLOOKUP($B115,casostestes[#Data],9)=0,"-",VLOOKUP($B115,casostestes[#Data],9)),"-")</f>
        <v>-</v>
      </c>
      <c r="K115" s="36"/>
      <c r="L115" s="45"/>
      <c r="M115" s="37"/>
      <c r="N115" s="38"/>
      <c r="O115" s="38"/>
      <c r="P115" s="39"/>
    </row>
    <row r="116" spans="2:16">
      <c r="B116" s="40" t="str">
        <f>IF(ISERR(casostestes[[#This Row],[ID]]),"-",casostestes[[#This Row],[ID]])</f>
        <v>-</v>
      </c>
      <c r="C116" s="34" t="str">
        <f>IFERROR(IF(VLOOKUP($B116,casostestes[#Data],10)=0,"Não",VLOOKUP($B116,casostestes[#Data],10)), "-")</f>
        <v>-</v>
      </c>
      <c r="D116" s="35" t="str">
        <f>IFERROR(IF(VLOOKUP($B116,casostestes[#Data],2)=0,"-",VLOOKUP($B116,casostestes[#Data],2)), "-")</f>
        <v>-</v>
      </c>
      <c r="E116" s="35" t="str">
        <f>IFERROR(IF(VLOOKUP($B116,casostestes[#Data],3)=0,"-",VLOOKUP($B116,casostestes[#Data],3)), "-")</f>
        <v>-</v>
      </c>
      <c r="F116" s="35" t="str">
        <f>IFERROR(IF(VLOOKUP($B116,casostestes[#Data],4)=0,"-",VLOOKUP($B116,casostestes[#Data],4)),"-")</f>
        <v>-</v>
      </c>
      <c r="G116" s="35" t="str">
        <f>IFERROR(IF(VLOOKUP($B116,casostestes[#Data],5)=0,"-",VLOOKUP($B116,casostestes[#Data],5)),"-")</f>
        <v>-</v>
      </c>
      <c r="H116" s="35" t="str">
        <f>IFERROR(IF(VLOOKUP($B116,casostestes[#Data],6)=0,"-",VLOOKUP($B116,casostestes[#Data],6)),"-")</f>
        <v>-</v>
      </c>
      <c r="I116" s="35" t="str">
        <f>IFERROR(IF(VLOOKUP($B116,casostestes[#Data],8)=0,"-",VLOOKUP($B116,casostestes[#Data],8)),"-")</f>
        <v>-</v>
      </c>
      <c r="J116" s="35" t="str">
        <f>IFERROR(IF(VLOOKUP($B116,casostestes[#Data],9)=0,"-",VLOOKUP($B116,casostestes[#Data],9)),"-")</f>
        <v>-</v>
      </c>
      <c r="K116" s="36"/>
      <c r="L116" s="45"/>
      <c r="M116" s="37"/>
      <c r="N116" s="38"/>
      <c r="O116" s="38"/>
      <c r="P116" s="39"/>
    </row>
    <row r="117" spans="2:16">
      <c r="B117" s="40" t="str">
        <f>IF(ISERR(casostestes[[#This Row],[ID]]),"-",casostestes[[#This Row],[ID]])</f>
        <v>-</v>
      </c>
      <c r="C117" s="34" t="str">
        <f>IFERROR(IF(VLOOKUP($B117,casostestes[#Data],10)=0,"Não",VLOOKUP($B117,casostestes[#Data],10)), "-")</f>
        <v>-</v>
      </c>
      <c r="D117" s="35" t="str">
        <f>IFERROR(IF(VLOOKUP($B117,casostestes[#Data],2)=0,"-",VLOOKUP($B117,casostestes[#Data],2)), "-")</f>
        <v>-</v>
      </c>
      <c r="E117" s="35" t="str">
        <f>IFERROR(IF(VLOOKUP($B117,casostestes[#Data],3)=0,"-",VLOOKUP($B117,casostestes[#Data],3)), "-")</f>
        <v>-</v>
      </c>
      <c r="F117" s="35" t="str">
        <f>IFERROR(IF(VLOOKUP($B117,casostestes[#Data],4)=0,"-",VLOOKUP($B117,casostestes[#Data],4)),"-")</f>
        <v>-</v>
      </c>
      <c r="G117" s="35" t="str">
        <f>IFERROR(IF(VLOOKUP($B117,casostestes[#Data],5)=0,"-",VLOOKUP($B117,casostestes[#Data],5)),"-")</f>
        <v>-</v>
      </c>
      <c r="H117" s="35" t="str">
        <f>IFERROR(IF(VLOOKUP($B117,casostestes[#Data],6)=0,"-",VLOOKUP($B117,casostestes[#Data],6)),"-")</f>
        <v>-</v>
      </c>
      <c r="I117" s="35" t="str">
        <f>IFERROR(IF(VLOOKUP($B117,casostestes[#Data],8)=0,"-",VLOOKUP($B117,casostestes[#Data],8)),"-")</f>
        <v>-</v>
      </c>
      <c r="J117" s="35" t="str">
        <f>IFERROR(IF(VLOOKUP($B117,casostestes[#Data],9)=0,"-",VLOOKUP($B117,casostestes[#Data],9)),"-")</f>
        <v>-</v>
      </c>
      <c r="K117" s="36"/>
      <c r="L117" s="45"/>
      <c r="M117" s="37"/>
      <c r="N117" s="38"/>
      <c r="O117" s="38"/>
      <c r="P117" s="39"/>
    </row>
    <row r="118" spans="2:16">
      <c r="B118" s="40" t="str">
        <f>IF(ISERR(casostestes[[#This Row],[ID]]),"-",casostestes[[#This Row],[ID]])</f>
        <v>-</v>
      </c>
      <c r="C118" s="34" t="str">
        <f>IFERROR(IF(VLOOKUP($B118,casostestes[#Data],10)=0,"Não",VLOOKUP($B118,casostestes[#Data],10)), "-")</f>
        <v>-</v>
      </c>
      <c r="D118" s="35" t="str">
        <f>IFERROR(IF(VLOOKUP($B118,casostestes[#Data],2)=0,"-",VLOOKUP($B118,casostestes[#Data],2)), "-")</f>
        <v>-</v>
      </c>
      <c r="E118" s="35" t="str">
        <f>IFERROR(IF(VLOOKUP($B118,casostestes[#Data],3)=0,"-",VLOOKUP($B118,casostestes[#Data],3)), "-")</f>
        <v>-</v>
      </c>
      <c r="F118" s="35" t="str">
        <f>IFERROR(IF(VLOOKUP($B118,casostestes[#Data],4)=0,"-",VLOOKUP($B118,casostestes[#Data],4)),"-")</f>
        <v>-</v>
      </c>
      <c r="G118" s="35" t="str">
        <f>IFERROR(IF(VLOOKUP($B118,casostestes[#Data],5)=0,"-",VLOOKUP($B118,casostestes[#Data],5)),"-")</f>
        <v>-</v>
      </c>
      <c r="H118" s="35" t="str">
        <f>IFERROR(IF(VLOOKUP($B118,casostestes[#Data],6)=0,"-",VLOOKUP($B118,casostestes[#Data],6)),"-")</f>
        <v>-</v>
      </c>
      <c r="I118" s="35" t="str">
        <f>IFERROR(IF(VLOOKUP($B118,casostestes[#Data],8)=0,"-",VLOOKUP($B118,casostestes[#Data],8)),"-")</f>
        <v>-</v>
      </c>
      <c r="J118" s="35" t="str">
        <f>IFERROR(IF(VLOOKUP($B118,casostestes[#Data],9)=0,"-",VLOOKUP($B118,casostestes[#Data],9)),"-")</f>
        <v>-</v>
      </c>
      <c r="K118" s="36"/>
      <c r="L118" s="45"/>
      <c r="M118" s="37"/>
      <c r="N118" s="38"/>
      <c r="O118" s="38"/>
      <c r="P118" s="39"/>
    </row>
    <row r="119" spans="2:16">
      <c r="B119" s="40" t="str">
        <f>IF(ISERR(casostestes[[#This Row],[ID]]),"-",casostestes[[#This Row],[ID]])</f>
        <v>-</v>
      </c>
      <c r="C119" s="34" t="str">
        <f>IFERROR(IF(VLOOKUP($B119,casostestes[#Data],10)=0,"Não",VLOOKUP($B119,casostestes[#Data],10)), "-")</f>
        <v>-</v>
      </c>
      <c r="D119" s="35" t="str">
        <f>IFERROR(IF(VLOOKUP($B119,casostestes[#Data],2)=0,"-",VLOOKUP($B119,casostestes[#Data],2)), "-")</f>
        <v>-</v>
      </c>
      <c r="E119" s="35" t="str">
        <f>IFERROR(IF(VLOOKUP($B119,casostestes[#Data],3)=0,"-",VLOOKUP($B119,casostestes[#Data],3)), "-")</f>
        <v>-</v>
      </c>
      <c r="F119" s="35" t="str">
        <f>IFERROR(IF(VLOOKUP($B119,casostestes[#Data],4)=0,"-",VLOOKUP($B119,casostestes[#Data],4)),"-")</f>
        <v>-</v>
      </c>
      <c r="G119" s="35" t="str">
        <f>IFERROR(IF(VLOOKUP($B119,casostestes[#Data],5)=0,"-",VLOOKUP($B119,casostestes[#Data],5)),"-")</f>
        <v>-</v>
      </c>
      <c r="H119" s="35" t="str">
        <f>IFERROR(IF(VLOOKUP($B119,casostestes[#Data],6)=0,"-",VLOOKUP($B119,casostestes[#Data],6)),"-")</f>
        <v>-</v>
      </c>
      <c r="I119" s="35" t="str">
        <f>IFERROR(IF(VLOOKUP($B119,casostestes[#Data],8)=0,"-",VLOOKUP($B119,casostestes[#Data],8)),"-")</f>
        <v>-</v>
      </c>
      <c r="J119" s="35" t="str">
        <f>IFERROR(IF(VLOOKUP($B119,casostestes[#Data],9)=0,"-",VLOOKUP($B119,casostestes[#Data],9)),"-")</f>
        <v>-</v>
      </c>
      <c r="K119" s="36"/>
      <c r="L119" s="45"/>
      <c r="M119" s="37"/>
      <c r="N119" s="38"/>
      <c r="O119" s="38"/>
      <c r="P119" s="39"/>
    </row>
    <row r="120" spans="2:16">
      <c r="B120" s="40" t="str">
        <f>IF(ISERR(casostestes[[#This Row],[ID]]),"-",casostestes[[#This Row],[ID]])</f>
        <v>-</v>
      </c>
      <c r="C120" s="34" t="str">
        <f>IFERROR(IF(VLOOKUP($B120,casostestes[#Data],10)=0,"Não",VLOOKUP($B120,casostestes[#Data],10)), "-")</f>
        <v>-</v>
      </c>
      <c r="D120" s="35" t="str">
        <f>IFERROR(IF(VLOOKUP($B120,casostestes[#Data],2)=0,"-",VLOOKUP($B120,casostestes[#Data],2)), "-")</f>
        <v>-</v>
      </c>
      <c r="E120" s="35" t="str">
        <f>IFERROR(IF(VLOOKUP($B120,casostestes[#Data],3)=0,"-",VLOOKUP($B120,casostestes[#Data],3)), "-")</f>
        <v>-</v>
      </c>
      <c r="F120" s="35" t="str">
        <f>IFERROR(IF(VLOOKUP($B120,casostestes[#Data],4)=0,"-",VLOOKUP($B120,casostestes[#Data],4)),"-")</f>
        <v>-</v>
      </c>
      <c r="G120" s="35" t="str">
        <f>IFERROR(IF(VLOOKUP($B120,casostestes[#Data],5)=0,"-",VLOOKUP($B120,casostestes[#Data],5)),"-")</f>
        <v>-</v>
      </c>
      <c r="H120" s="35" t="str">
        <f>IFERROR(IF(VLOOKUP($B120,casostestes[#Data],6)=0,"-",VLOOKUP($B120,casostestes[#Data],6)),"-")</f>
        <v>-</v>
      </c>
      <c r="I120" s="35" t="str">
        <f>IFERROR(IF(VLOOKUP($B120,casostestes[#Data],8)=0,"-",VLOOKUP($B120,casostestes[#Data],8)),"-")</f>
        <v>-</v>
      </c>
      <c r="J120" s="35" t="str">
        <f>IFERROR(IF(VLOOKUP($B120,casostestes[#Data],9)=0,"-",VLOOKUP($B120,casostestes[#Data],9)),"-")</f>
        <v>-</v>
      </c>
      <c r="K120" s="36"/>
      <c r="L120" s="45"/>
      <c r="M120" s="37"/>
      <c r="N120" s="38"/>
      <c r="O120" s="38"/>
      <c r="P120" s="39"/>
    </row>
    <row r="121" spans="2:16">
      <c r="B121" s="40" t="str">
        <f>IF(ISERR(casostestes[[#This Row],[ID]]),"-",casostestes[[#This Row],[ID]])</f>
        <v>-</v>
      </c>
      <c r="C121" s="34" t="str">
        <f>IFERROR(IF(VLOOKUP($B121,casostestes[#Data],10)=0,"Não",VLOOKUP($B121,casostestes[#Data],10)), "-")</f>
        <v>-</v>
      </c>
      <c r="D121" s="35" t="str">
        <f>IFERROR(IF(VLOOKUP($B121,casostestes[#Data],2)=0,"-",VLOOKUP($B121,casostestes[#Data],2)), "-")</f>
        <v>-</v>
      </c>
      <c r="E121" s="35" t="str">
        <f>IFERROR(IF(VLOOKUP($B121,casostestes[#Data],3)=0,"-",VLOOKUP($B121,casostestes[#Data],3)), "-")</f>
        <v>-</v>
      </c>
      <c r="F121" s="35" t="str">
        <f>IFERROR(IF(VLOOKUP($B121,casostestes[#Data],4)=0,"-",VLOOKUP($B121,casostestes[#Data],4)),"-")</f>
        <v>-</v>
      </c>
      <c r="G121" s="35" t="str">
        <f>IFERROR(IF(VLOOKUP($B121,casostestes[#Data],5)=0,"-",VLOOKUP($B121,casostestes[#Data],5)),"-")</f>
        <v>-</v>
      </c>
      <c r="H121" s="35" t="str">
        <f>IFERROR(IF(VLOOKUP($B121,casostestes[#Data],6)=0,"-",VLOOKUP($B121,casostestes[#Data],6)),"-")</f>
        <v>-</v>
      </c>
      <c r="I121" s="35" t="str">
        <f>IFERROR(IF(VLOOKUP($B121,casostestes[#Data],8)=0,"-",VLOOKUP($B121,casostestes[#Data],8)),"-")</f>
        <v>-</v>
      </c>
      <c r="J121" s="35" t="str">
        <f>IFERROR(IF(VLOOKUP($B121,casostestes[#Data],9)=0,"-",VLOOKUP($B121,casostestes[#Data],9)),"-")</f>
        <v>-</v>
      </c>
      <c r="K121" s="36"/>
      <c r="L121" s="45"/>
      <c r="M121" s="37"/>
      <c r="N121" s="38"/>
      <c r="O121" s="38"/>
      <c r="P121" s="39"/>
    </row>
    <row r="122" spans="2:16">
      <c r="B122" s="40" t="str">
        <f>IF(ISERR(casostestes[[#This Row],[ID]]),"-",casostestes[[#This Row],[ID]])</f>
        <v>-</v>
      </c>
      <c r="C122" s="34" t="str">
        <f>IFERROR(IF(VLOOKUP($B122,casostestes[#Data],10)=0,"Não",VLOOKUP($B122,casostestes[#Data],10)), "-")</f>
        <v>-</v>
      </c>
      <c r="D122" s="35" t="str">
        <f>IFERROR(IF(VLOOKUP($B122,casostestes[#Data],2)=0,"-",VLOOKUP($B122,casostestes[#Data],2)), "-")</f>
        <v>-</v>
      </c>
      <c r="E122" s="35" t="str">
        <f>IFERROR(IF(VLOOKUP($B122,casostestes[#Data],3)=0,"-",VLOOKUP($B122,casostestes[#Data],3)), "-")</f>
        <v>-</v>
      </c>
      <c r="F122" s="35" t="str">
        <f>IFERROR(IF(VLOOKUP($B122,casostestes[#Data],4)=0,"-",VLOOKUP($B122,casostestes[#Data],4)),"-")</f>
        <v>-</v>
      </c>
      <c r="G122" s="35" t="str">
        <f>IFERROR(IF(VLOOKUP($B122,casostestes[#Data],5)=0,"-",VLOOKUP($B122,casostestes[#Data],5)),"-")</f>
        <v>-</v>
      </c>
      <c r="H122" s="35" t="str">
        <f>IFERROR(IF(VLOOKUP($B122,casostestes[#Data],6)=0,"-",VLOOKUP($B122,casostestes[#Data],6)),"-")</f>
        <v>-</v>
      </c>
      <c r="I122" s="35" t="str">
        <f>IFERROR(IF(VLOOKUP($B122,casostestes[#Data],8)=0,"-",VLOOKUP($B122,casostestes[#Data],8)),"-")</f>
        <v>-</v>
      </c>
      <c r="J122" s="35" t="str">
        <f>IFERROR(IF(VLOOKUP($B122,casostestes[#Data],9)=0,"-",VLOOKUP($B122,casostestes[#Data],9)),"-")</f>
        <v>-</v>
      </c>
      <c r="K122" s="36"/>
      <c r="L122" s="45"/>
      <c r="M122" s="37"/>
      <c r="N122" s="38"/>
      <c r="O122" s="38"/>
      <c r="P122" s="39"/>
    </row>
    <row r="123" spans="2:16">
      <c r="B123" s="40" t="str">
        <f>IF(ISERR(casostestes[[#This Row],[ID]]),"-",casostestes[[#This Row],[ID]])</f>
        <v>-</v>
      </c>
      <c r="C123" s="34" t="str">
        <f>IFERROR(IF(VLOOKUP($B123,casostestes[#Data],10)=0,"Não",VLOOKUP($B123,casostestes[#Data],10)), "-")</f>
        <v>-</v>
      </c>
      <c r="D123" s="35" t="str">
        <f>IFERROR(IF(VLOOKUP($B123,casostestes[#Data],2)=0,"-",VLOOKUP($B123,casostestes[#Data],2)), "-")</f>
        <v>-</v>
      </c>
      <c r="E123" s="35" t="str">
        <f>IFERROR(IF(VLOOKUP($B123,casostestes[#Data],3)=0,"-",VLOOKUP($B123,casostestes[#Data],3)), "-")</f>
        <v>-</v>
      </c>
      <c r="F123" s="35" t="str">
        <f>IFERROR(IF(VLOOKUP($B123,casostestes[#Data],4)=0,"-",VLOOKUP($B123,casostestes[#Data],4)),"-")</f>
        <v>-</v>
      </c>
      <c r="G123" s="35" t="str">
        <f>IFERROR(IF(VLOOKUP($B123,casostestes[#Data],5)=0,"-",VLOOKUP($B123,casostestes[#Data],5)),"-")</f>
        <v>-</v>
      </c>
      <c r="H123" s="35" t="str">
        <f>IFERROR(IF(VLOOKUP($B123,casostestes[#Data],6)=0,"-",VLOOKUP($B123,casostestes[#Data],6)),"-")</f>
        <v>-</v>
      </c>
      <c r="I123" s="35" t="str">
        <f>IFERROR(IF(VLOOKUP($B123,casostestes[#Data],8)=0,"-",VLOOKUP($B123,casostestes[#Data],8)),"-")</f>
        <v>-</v>
      </c>
      <c r="J123" s="35" t="str">
        <f>IFERROR(IF(VLOOKUP($B123,casostestes[#Data],9)=0,"-",VLOOKUP($B123,casostestes[#Data],9)),"-")</f>
        <v>-</v>
      </c>
      <c r="K123" s="36"/>
      <c r="L123" s="45"/>
      <c r="M123" s="37"/>
      <c r="N123" s="38"/>
      <c r="O123" s="38"/>
      <c r="P123" s="39"/>
    </row>
    <row r="124" spans="2:16">
      <c r="B124" s="40" t="str">
        <f>IF(ISERR(casostestes[[#This Row],[ID]]),"-",casostestes[[#This Row],[ID]])</f>
        <v>-</v>
      </c>
      <c r="C124" s="34" t="str">
        <f>IFERROR(IF(VLOOKUP($B124,casostestes[#Data],10)=0,"Não",VLOOKUP($B124,casostestes[#Data],10)), "-")</f>
        <v>-</v>
      </c>
      <c r="D124" s="35" t="str">
        <f>IFERROR(IF(VLOOKUP($B124,casostestes[#Data],2)=0,"-",VLOOKUP($B124,casostestes[#Data],2)), "-")</f>
        <v>-</v>
      </c>
      <c r="E124" s="35" t="str">
        <f>IFERROR(IF(VLOOKUP($B124,casostestes[#Data],3)=0,"-",VLOOKUP($B124,casostestes[#Data],3)), "-")</f>
        <v>-</v>
      </c>
      <c r="F124" s="35" t="str">
        <f>IFERROR(IF(VLOOKUP($B124,casostestes[#Data],4)=0,"-",VLOOKUP($B124,casostestes[#Data],4)),"-")</f>
        <v>-</v>
      </c>
      <c r="G124" s="35" t="str">
        <f>IFERROR(IF(VLOOKUP($B124,casostestes[#Data],5)=0,"-",VLOOKUP($B124,casostestes[#Data],5)),"-")</f>
        <v>-</v>
      </c>
      <c r="H124" s="35" t="str">
        <f>IFERROR(IF(VLOOKUP($B124,casostestes[#Data],6)=0,"-",VLOOKUP($B124,casostestes[#Data],6)),"-")</f>
        <v>-</v>
      </c>
      <c r="I124" s="35" t="str">
        <f>IFERROR(IF(VLOOKUP($B124,casostestes[#Data],8)=0,"-",VLOOKUP($B124,casostestes[#Data],8)),"-")</f>
        <v>-</v>
      </c>
      <c r="J124" s="35" t="str">
        <f>IFERROR(IF(VLOOKUP($B124,casostestes[#Data],9)=0,"-",VLOOKUP($B124,casostestes[#Data],9)),"-")</f>
        <v>-</v>
      </c>
      <c r="K124" s="36"/>
      <c r="L124" s="45"/>
      <c r="M124" s="37"/>
      <c r="N124" s="38"/>
      <c r="O124" s="38"/>
      <c r="P124" s="39"/>
    </row>
    <row r="125" spans="2:16">
      <c r="B125" s="40" t="str">
        <f>IF(ISERR(casostestes[[#This Row],[ID]]),"-",casostestes[[#This Row],[ID]])</f>
        <v>-</v>
      </c>
      <c r="C125" s="34" t="str">
        <f>IFERROR(IF(VLOOKUP($B125,casostestes[#Data],10)=0,"Não",VLOOKUP($B125,casostestes[#Data],10)), "-")</f>
        <v>-</v>
      </c>
      <c r="D125" s="35" t="str">
        <f>IFERROR(IF(VLOOKUP($B125,casostestes[#Data],2)=0,"-",VLOOKUP($B125,casostestes[#Data],2)), "-")</f>
        <v>-</v>
      </c>
      <c r="E125" s="35" t="str">
        <f>IFERROR(IF(VLOOKUP($B125,casostestes[#Data],3)=0,"-",VLOOKUP($B125,casostestes[#Data],3)), "-")</f>
        <v>-</v>
      </c>
      <c r="F125" s="35" t="str">
        <f>IFERROR(IF(VLOOKUP($B125,casostestes[#Data],4)=0,"-",VLOOKUP($B125,casostestes[#Data],4)),"-")</f>
        <v>-</v>
      </c>
      <c r="G125" s="35" t="str">
        <f>IFERROR(IF(VLOOKUP($B125,casostestes[#Data],5)=0,"-",VLOOKUP($B125,casostestes[#Data],5)),"-")</f>
        <v>-</v>
      </c>
      <c r="H125" s="35" t="str">
        <f>IFERROR(IF(VLOOKUP($B125,casostestes[#Data],6)=0,"-",VLOOKUP($B125,casostestes[#Data],6)),"-")</f>
        <v>-</v>
      </c>
      <c r="I125" s="35" t="str">
        <f>IFERROR(IF(VLOOKUP($B125,casostestes[#Data],8)=0,"-",VLOOKUP($B125,casostestes[#Data],8)),"-")</f>
        <v>-</v>
      </c>
      <c r="J125" s="35" t="str">
        <f>IFERROR(IF(VLOOKUP($B125,casostestes[#Data],9)=0,"-",VLOOKUP($B125,casostestes[#Data],9)),"-")</f>
        <v>-</v>
      </c>
      <c r="K125" s="36"/>
      <c r="L125" s="45"/>
      <c r="M125" s="37"/>
      <c r="N125" s="38"/>
      <c r="O125" s="38"/>
      <c r="P125" s="39"/>
    </row>
    <row r="126" spans="2:16">
      <c r="B126" s="40" t="str">
        <f>IF(ISERR(casostestes[[#This Row],[ID]]),"-",casostestes[[#This Row],[ID]])</f>
        <v>-</v>
      </c>
      <c r="C126" s="34" t="str">
        <f>IFERROR(IF(VLOOKUP($B126,casostestes[#Data],10)=0,"Não",VLOOKUP($B126,casostestes[#Data],10)), "-")</f>
        <v>-</v>
      </c>
      <c r="D126" s="35" t="str">
        <f>IFERROR(IF(VLOOKUP($B126,casostestes[#Data],2)=0,"-",VLOOKUP($B126,casostestes[#Data],2)), "-")</f>
        <v>-</v>
      </c>
      <c r="E126" s="35" t="str">
        <f>IFERROR(IF(VLOOKUP($B126,casostestes[#Data],3)=0,"-",VLOOKUP($B126,casostestes[#Data],3)), "-")</f>
        <v>-</v>
      </c>
      <c r="F126" s="35" t="str">
        <f>IFERROR(IF(VLOOKUP($B126,casostestes[#Data],4)=0,"-",VLOOKUP($B126,casostestes[#Data],4)),"-")</f>
        <v>-</v>
      </c>
      <c r="G126" s="35" t="str">
        <f>IFERROR(IF(VLOOKUP($B126,casostestes[#Data],5)=0,"-",VLOOKUP($B126,casostestes[#Data],5)),"-")</f>
        <v>-</v>
      </c>
      <c r="H126" s="35" t="str">
        <f>IFERROR(IF(VLOOKUP($B126,casostestes[#Data],6)=0,"-",VLOOKUP($B126,casostestes[#Data],6)),"-")</f>
        <v>-</v>
      </c>
      <c r="I126" s="35" t="str">
        <f>IFERROR(IF(VLOOKUP($B126,casostestes[#Data],8)=0,"-",VLOOKUP($B126,casostestes[#Data],8)),"-")</f>
        <v>-</v>
      </c>
      <c r="J126" s="35" t="str">
        <f>IFERROR(IF(VLOOKUP($B126,casostestes[#Data],9)=0,"-",VLOOKUP($B126,casostestes[#Data],9)),"-")</f>
        <v>-</v>
      </c>
      <c r="K126" s="36"/>
      <c r="L126" s="45"/>
      <c r="M126" s="37"/>
      <c r="N126" s="38"/>
      <c r="O126" s="38"/>
      <c r="P126" s="39"/>
    </row>
    <row r="127" spans="2:16">
      <c r="B127" s="40" t="str">
        <f>IF(ISERR(casostestes[[#This Row],[ID]]),"-",casostestes[[#This Row],[ID]])</f>
        <v>-</v>
      </c>
      <c r="C127" s="34" t="str">
        <f>IFERROR(IF(VLOOKUP($B127,casostestes[#Data],10)=0,"Não",VLOOKUP($B127,casostestes[#Data],10)), "-")</f>
        <v>-</v>
      </c>
      <c r="D127" s="35" t="str">
        <f>IFERROR(IF(VLOOKUP($B127,casostestes[#Data],2)=0,"-",VLOOKUP($B127,casostestes[#Data],2)), "-")</f>
        <v>-</v>
      </c>
      <c r="E127" s="35" t="str">
        <f>IFERROR(IF(VLOOKUP($B127,casostestes[#Data],3)=0,"-",VLOOKUP($B127,casostestes[#Data],3)), "-")</f>
        <v>-</v>
      </c>
      <c r="F127" s="35" t="str">
        <f>IFERROR(IF(VLOOKUP($B127,casostestes[#Data],4)=0,"-",VLOOKUP($B127,casostestes[#Data],4)),"-")</f>
        <v>-</v>
      </c>
      <c r="G127" s="35" t="str">
        <f>IFERROR(IF(VLOOKUP($B127,casostestes[#Data],5)=0,"-",VLOOKUP($B127,casostestes[#Data],5)),"-")</f>
        <v>-</v>
      </c>
      <c r="H127" s="35" t="str">
        <f>IFERROR(IF(VLOOKUP($B127,casostestes[#Data],6)=0,"-",VLOOKUP($B127,casostestes[#Data],6)),"-")</f>
        <v>-</v>
      </c>
      <c r="I127" s="35" t="str">
        <f>IFERROR(IF(VLOOKUP($B127,casostestes[#Data],8)=0,"-",VLOOKUP($B127,casostestes[#Data],8)),"-")</f>
        <v>-</v>
      </c>
      <c r="J127" s="35" t="str">
        <f>IFERROR(IF(VLOOKUP($B127,casostestes[#Data],9)=0,"-",VLOOKUP($B127,casostestes[#Data],9)),"-")</f>
        <v>-</v>
      </c>
      <c r="K127" s="36"/>
      <c r="L127" s="45"/>
      <c r="M127" s="37"/>
      <c r="N127" s="38"/>
      <c r="O127" s="38"/>
      <c r="P127" s="39"/>
    </row>
    <row r="128" spans="2:16">
      <c r="B128" s="40" t="str">
        <f>IF(ISERR(casostestes[[#This Row],[ID]]),"-",casostestes[[#This Row],[ID]])</f>
        <v>-</v>
      </c>
      <c r="C128" s="34" t="str">
        <f>IFERROR(IF(VLOOKUP($B128,casostestes[#Data],10)=0,"Não",VLOOKUP($B128,casostestes[#Data],10)), "-")</f>
        <v>-</v>
      </c>
      <c r="D128" s="35" t="str">
        <f>IFERROR(IF(VLOOKUP($B128,casostestes[#Data],2)=0,"-",VLOOKUP($B128,casostestes[#Data],2)), "-")</f>
        <v>-</v>
      </c>
      <c r="E128" s="35" t="str">
        <f>IFERROR(IF(VLOOKUP($B128,casostestes[#Data],3)=0,"-",VLOOKUP($B128,casostestes[#Data],3)), "-")</f>
        <v>-</v>
      </c>
      <c r="F128" s="35" t="str">
        <f>IFERROR(IF(VLOOKUP($B128,casostestes[#Data],4)=0,"-",VLOOKUP($B128,casostestes[#Data],4)),"-")</f>
        <v>-</v>
      </c>
      <c r="G128" s="35" t="str">
        <f>IFERROR(IF(VLOOKUP($B128,casostestes[#Data],5)=0,"-",VLOOKUP($B128,casostestes[#Data],5)),"-")</f>
        <v>-</v>
      </c>
      <c r="H128" s="35" t="str">
        <f>IFERROR(IF(VLOOKUP($B128,casostestes[#Data],6)=0,"-",VLOOKUP($B128,casostestes[#Data],6)),"-")</f>
        <v>-</v>
      </c>
      <c r="I128" s="35" t="str">
        <f>IFERROR(IF(VLOOKUP($B128,casostestes[#Data],8)=0,"-",VLOOKUP($B128,casostestes[#Data],8)),"-")</f>
        <v>-</v>
      </c>
      <c r="J128" s="35" t="str">
        <f>IFERROR(IF(VLOOKUP($B128,casostestes[#Data],9)=0,"-",VLOOKUP($B128,casostestes[#Data],9)),"-")</f>
        <v>-</v>
      </c>
      <c r="K128" s="36"/>
      <c r="L128" s="45"/>
      <c r="M128" s="37"/>
      <c r="N128" s="38"/>
      <c r="O128" s="38"/>
      <c r="P128" s="39"/>
    </row>
    <row r="129" spans="2:16">
      <c r="B129" s="40" t="str">
        <f>IF(ISERR(casostestes[[#This Row],[ID]]),"-",casostestes[[#This Row],[ID]])</f>
        <v>-</v>
      </c>
      <c r="C129" s="34" t="str">
        <f>IFERROR(IF(VLOOKUP($B129,casostestes[#Data],10)=0,"Não",VLOOKUP($B129,casostestes[#Data],10)), "-")</f>
        <v>-</v>
      </c>
      <c r="D129" s="35" t="str">
        <f>IFERROR(IF(VLOOKUP($B129,casostestes[#Data],2)=0,"-",VLOOKUP($B129,casostestes[#Data],2)), "-")</f>
        <v>-</v>
      </c>
      <c r="E129" s="35" t="str">
        <f>IFERROR(IF(VLOOKUP($B129,casostestes[#Data],3)=0,"-",VLOOKUP($B129,casostestes[#Data],3)), "-")</f>
        <v>-</v>
      </c>
      <c r="F129" s="35" t="str">
        <f>IFERROR(IF(VLOOKUP($B129,casostestes[#Data],4)=0,"-",VLOOKUP($B129,casostestes[#Data],4)),"-")</f>
        <v>-</v>
      </c>
      <c r="G129" s="35" t="str">
        <f>IFERROR(IF(VLOOKUP($B129,casostestes[#Data],5)=0,"-",VLOOKUP($B129,casostestes[#Data],5)),"-")</f>
        <v>-</v>
      </c>
      <c r="H129" s="35" t="str">
        <f>IFERROR(IF(VLOOKUP($B129,casostestes[#Data],6)=0,"-",VLOOKUP($B129,casostestes[#Data],6)),"-")</f>
        <v>-</v>
      </c>
      <c r="I129" s="35" t="str">
        <f>IFERROR(IF(VLOOKUP($B129,casostestes[#Data],8)=0,"-",VLOOKUP($B129,casostestes[#Data],8)),"-")</f>
        <v>-</v>
      </c>
      <c r="J129" s="35" t="str">
        <f>IFERROR(IF(VLOOKUP($B129,casostestes[#Data],9)=0,"-",VLOOKUP($B129,casostestes[#Data],9)),"-")</f>
        <v>-</v>
      </c>
      <c r="K129" s="36"/>
      <c r="L129" s="45"/>
      <c r="M129" s="37"/>
      <c r="N129" s="38"/>
      <c r="O129" s="38"/>
      <c r="P129" s="39"/>
    </row>
    <row r="130" spans="2:16">
      <c r="B130" s="40" t="str">
        <f>IF(ISERR(casostestes[[#This Row],[ID]]),"-",casostestes[[#This Row],[ID]])</f>
        <v>-</v>
      </c>
      <c r="C130" s="34" t="str">
        <f>IFERROR(IF(VLOOKUP($B130,casostestes[#Data],10)=0,"Não",VLOOKUP($B130,casostestes[#Data],10)), "-")</f>
        <v>-</v>
      </c>
      <c r="D130" s="35" t="str">
        <f>IFERROR(IF(VLOOKUP($B130,casostestes[#Data],2)=0,"-",VLOOKUP($B130,casostestes[#Data],2)), "-")</f>
        <v>-</v>
      </c>
      <c r="E130" s="35" t="str">
        <f>IFERROR(IF(VLOOKUP($B130,casostestes[#Data],3)=0,"-",VLOOKUP($B130,casostestes[#Data],3)), "-")</f>
        <v>-</v>
      </c>
      <c r="F130" s="35" t="str">
        <f>IFERROR(IF(VLOOKUP($B130,casostestes[#Data],4)=0,"-",VLOOKUP($B130,casostestes[#Data],4)),"-")</f>
        <v>-</v>
      </c>
      <c r="G130" s="35" t="str">
        <f>IFERROR(IF(VLOOKUP($B130,casostestes[#Data],5)=0,"-",VLOOKUP($B130,casostestes[#Data],5)),"-")</f>
        <v>-</v>
      </c>
      <c r="H130" s="35" t="str">
        <f>IFERROR(IF(VLOOKUP($B130,casostestes[#Data],6)=0,"-",VLOOKUP($B130,casostestes[#Data],6)),"-")</f>
        <v>-</v>
      </c>
      <c r="I130" s="35" t="str">
        <f>IFERROR(IF(VLOOKUP($B130,casostestes[#Data],8)=0,"-",VLOOKUP($B130,casostestes[#Data],8)),"-")</f>
        <v>-</v>
      </c>
      <c r="J130" s="35" t="str">
        <f>IFERROR(IF(VLOOKUP($B130,casostestes[#Data],9)=0,"-",VLOOKUP($B130,casostestes[#Data],9)),"-")</f>
        <v>-</v>
      </c>
      <c r="K130" s="36"/>
      <c r="L130" s="45"/>
      <c r="M130" s="37"/>
      <c r="N130" s="38"/>
      <c r="O130" s="38"/>
      <c r="P130" s="39"/>
    </row>
    <row r="131" spans="2:16">
      <c r="B131" s="40" t="str">
        <f>IF(ISERR(casostestes[[#This Row],[ID]]),"-",casostestes[[#This Row],[ID]])</f>
        <v>-</v>
      </c>
      <c r="C131" s="34" t="str">
        <f>IFERROR(IF(VLOOKUP($B131,casostestes[#Data],10)=0,"Não",VLOOKUP($B131,casostestes[#Data],10)), "-")</f>
        <v>-</v>
      </c>
      <c r="D131" s="35" t="str">
        <f>IFERROR(IF(VLOOKUP($B131,casostestes[#Data],2)=0,"-",VLOOKUP($B131,casostestes[#Data],2)), "-")</f>
        <v>-</v>
      </c>
      <c r="E131" s="35" t="str">
        <f>IFERROR(IF(VLOOKUP($B131,casostestes[#Data],3)=0,"-",VLOOKUP($B131,casostestes[#Data],3)), "-")</f>
        <v>-</v>
      </c>
      <c r="F131" s="35" t="str">
        <f>IFERROR(IF(VLOOKUP($B131,casostestes[#Data],4)=0,"-",VLOOKUP($B131,casostestes[#Data],4)),"-")</f>
        <v>-</v>
      </c>
      <c r="G131" s="35" t="str">
        <f>IFERROR(IF(VLOOKUP($B131,casostestes[#Data],5)=0,"-",VLOOKUP($B131,casostestes[#Data],5)),"-")</f>
        <v>-</v>
      </c>
      <c r="H131" s="35" t="str">
        <f>IFERROR(IF(VLOOKUP($B131,casostestes[#Data],6)=0,"-",VLOOKUP($B131,casostestes[#Data],6)),"-")</f>
        <v>-</v>
      </c>
      <c r="I131" s="35" t="str">
        <f>IFERROR(IF(VLOOKUP($B131,casostestes[#Data],8)=0,"-",VLOOKUP($B131,casostestes[#Data],8)),"-")</f>
        <v>-</v>
      </c>
      <c r="J131" s="35" t="str">
        <f>IFERROR(IF(VLOOKUP($B131,casostestes[#Data],9)=0,"-",VLOOKUP($B131,casostestes[#Data],9)),"-")</f>
        <v>-</v>
      </c>
      <c r="K131" s="36"/>
      <c r="L131" s="45"/>
      <c r="M131" s="37"/>
      <c r="N131" s="38"/>
      <c r="O131" s="38"/>
      <c r="P131" s="39"/>
    </row>
    <row r="132" spans="2:16">
      <c r="B132" s="40" t="str">
        <f>IF(ISERR(casostestes[[#This Row],[ID]]),"-",casostestes[[#This Row],[ID]])</f>
        <v>-</v>
      </c>
      <c r="C132" s="34" t="str">
        <f>IFERROR(IF(VLOOKUP($B132,casostestes[#Data],10)=0,"Não",VLOOKUP($B132,casostestes[#Data],10)), "-")</f>
        <v>-</v>
      </c>
      <c r="D132" s="35" t="str">
        <f>IFERROR(IF(VLOOKUP($B132,casostestes[#Data],2)=0,"-",VLOOKUP($B132,casostestes[#Data],2)), "-")</f>
        <v>-</v>
      </c>
      <c r="E132" s="35" t="str">
        <f>IFERROR(IF(VLOOKUP($B132,casostestes[#Data],3)=0,"-",VLOOKUP($B132,casostestes[#Data],3)), "-")</f>
        <v>-</v>
      </c>
      <c r="F132" s="35" t="str">
        <f>IFERROR(IF(VLOOKUP($B132,casostestes[#Data],4)=0,"-",VLOOKUP($B132,casostestes[#Data],4)),"-")</f>
        <v>-</v>
      </c>
      <c r="G132" s="35" t="str">
        <f>IFERROR(IF(VLOOKUP($B132,casostestes[#Data],5)=0,"-",VLOOKUP($B132,casostestes[#Data],5)),"-")</f>
        <v>-</v>
      </c>
      <c r="H132" s="35" t="str">
        <f>IFERROR(IF(VLOOKUP($B132,casostestes[#Data],6)=0,"-",VLOOKUP($B132,casostestes[#Data],6)),"-")</f>
        <v>-</v>
      </c>
      <c r="I132" s="35" t="str">
        <f>IFERROR(IF(VLOOKUP($B132,casostestes[#Data],8)=0,"-",VLOOKUP($B132,casostestes[#Data],8)),"-")</f>
        <v>-</v>
      </c>
      <c r="J132" s="35" t="str">
        <f>IFERROR(IF(VLOOKUP($B132,casostestes[#Data],9)=0,"-",VLOOKUP($B132,casostestes[#Data],9)),"-")</f>
        <v>-</v>
      </c>
      <c r="K132" s="36"/>
      <c r="L132" s="45"/>
      <c r="M132" s="37"/>
      <c r="N132" s="38"/>
      <c r="O132" s="38"/>
      <c r="P132" s="39"/>
    </row>
    <row r="133" spans="2:16">
      <c r="B133" s="40" t="str">
        <f>IF(ISERR(casostestes[[#This Row],[ID]]),"-",casostestes[[#This Row],[ID]])</f>
        <v>-</v>
      </c>
      <c r="C133" s="34" t="str">
        <f>IFERROR(IF(VLOOKUP($B133,casostestes[#Data],10)=0,"Não",VLOOKUP($B133,casostestes[#Data],10)), "-")</f>
        <v>-</v>
      </c>
      <c r="D133" s="35" t="str">
        <f>IFERROR(IF(VLOOKUP($B133,casostestes[#Data],2)=0,"-",VLOOKUP($B133,casostestes[#Data],2)), "-")</f>
        <v>-</v>
      </c>
      <c r="E133" s="35" t="str">
        <f>IFERROR(IF(VLOOKUP($B133,casostestes[#Data],3)=0,"-",VLOOKUP($B133,casostestes[#Data],3)), "-")</f>
        <v>-</v>
      </c>
      <c r="F133" s="35" t="str">
        <f>IFERROR(IF(VLOOKUP($B133,casostestes[#Data],4)=0,"-",VLOOKUP($B133,casostestes[#Data],4)),"-")</f>
        <v>-</v>
      </c>
      <c r="G133" s="35" t="str">
        <f>IFERROR(IF(VLOOKUP($B133,casostestes[#Data],5)=0,"-",VLOOKUP($B133,casostestes[#Data],5)),"-")</f>
        <v>-</v>
      </c>
      <c r="H133" s="35" t="str">
        <f>IFERROR(IF(VLOOKUP($B133,casostestes[#Data],6)=0,"-",VLOOKUP($B133,casostestes[#Data],6)),"-")</f>
        <v>-</v>
      </c>
      <c r="I133" s="35" t="str">
        <f>IFERROR(IF(VLOOKUP($B133,casostestes[#Data],8)=0,"-",VLOOKUP($B133,casostestes[#Data],8)),"-")</f>
        <v>-</v>
      </c>
      <c r="J133" s="35" t="str">
        <f>IFERROR(IF(VLOOKUP($B133,casostestes[#Data],9)=0,"-",VLOOKUP($B133,casostestes[#Data],9)),"-")</f>
        <v>-</v>
      </c>
      <c r="K133" s="36"/>
      <c r="L133" s="45"/>
      <c r="M133" s="37"/>
      <c r="N133" s="38"/>
      <c r="O133" s="38"/>
      <c r="P133" s="39"/>
    </row>
    <row r="134" spans="2:16">
      <c r="B134" s="40" t="str">
        <f>IF(ISERR(casostestes[[#This Row],[ID]]),"-",casostestes[[#This Row],[ID]])</f>
        <v>-</v>
      </c>
      <c r="C134" s="34" t="str">
        <f>IFERROR(IF(VLOOKUP($B134,casostestes[#Data],10)=0,"Não",VLOOKUP($B134,casostestes[#Data],10)), "-")</f>
        <v>-</v>
      </c>
      <c r="D134" s="35" t="str">
        <f>IFERROR(IF(VLOOKUP($B134,casostestes[#Data],2)=0,"-",VLOOKUP($B134,casostestes[#Data],2)), "-")</f>
        <v>-</v>
      </c>
      <c r="E134" s="35" t="str">
        <f>IFERROR(IF(VLOOKUP($B134,casostestes[#Data],3)=0,"-",VLOOKUP($B134,casostestes[#Data],3)), "-")</f>
        <v>-</v>
      </c>
      <c r="F134" s="35" t="str">
        <f>IFERROR(IF(VLOOKUP($B134,casostestes[#Data],4)=0,"-",VLOOKUP($B134,casostestes[#Data],4)),"-")</f>
        <v>-</v>
      </c>
      <c r="G134" s="35" t="str">
        <f>IFERROR(IF(VLOOKUP($B134,casostestes[#Data],5)=0,"-",VLOOKUP($B134,casostestes[#Data],5)),"-")</f>
        <v>-</v>
      </c>
      <c r="H134" s="35" t="str">
        <f>IFERROR(IF(VLOOKUP($B134,casostestes[#Data],6)=0,"-",VLOOKUP($B134,casostestes[#Data],6)),"-")</f>
        <v>-</v>
      </c>
      <c r="I134" s="35" t="str">
        <f>IFERROR(IF(VLOOKUP($B134,casostestes[#Data],8)=0,"-",VLOOKUP($B134,casostestes[#Data],8)),"-")</f>
        <v>-</v>
      </c>
      <c r="J134" s="35" t="str">
        <f>IFERROR(IF(VLOOKUP($B134,casostestes[#Data],9)=0,"-",VLOOKUP($B134,casostestes[#Data],9)),"-")</f>
        <v>-</v>
      </c>
      <c r="K134" s="36"/>
      <c r="L134" s="45"/>
      <c r="M134" s="37"/>
      <c r="N134" s="38"/>
      <c r="O134" s="38"/>
      <c r="P134" s="39"/>
    </row>
    <row r="135" spans="2:16">
      <c r="B135" s="40" t="str">
        <f>IF(ISERR(casostestes[[#This Row],[ID]]),"-",casostestes[[#This Row],[ID]])</f>
        <v>-</v>
      </c>
      <c r="C135" s="34" t="str">
        <f>IFERROR(IF(VLOOKUP($B135,casostestes[#Data],10)=0,"Não",VLOOKUP($B135,casostestes[#Data],10)), "-")</f>
        <v>-</v>
      </c>
      <c r="D135" s="35" t="str">
        <f>IFERROR(IF(VLOOKUP($B135,casostestes[#Data],2)=0,"-",VLOOKUP($B135,casostestes[#Data],2)), "-")</f>
        <v>-</v>
      </c>
      <c r="E135" s="35" t="str">
        <f>IFERROR(IF(VLOOKUP($B135,casostestes[#Data],3)=0,"-",VLOOKUP($B135,casostestes[#Data],3)), "-")</f>
        <v>-</v>
      </c>
      <c r="F135" s="35" t="str">
        <f>IFERROR(IF(VLOOKUP($B135,casostestes[#Data],4)=0,"-",VLOOKUP($B135,casostestes[#Data],4)),"-")</f>
        <v>-</v>
      </c>
      <c r="G135" s="35" t="str">
        <f>IFERROR(IF(VLOOKUP($B135,casostestes[#Data],5)=0,"-",VLOOKUP($B135,casostestes[#Data],5)),"-")</f>
        <v>-</v>
      </c>
      <c r="H135" s="35" t="str">
        <f>IFERROR(IF(VLOOKUP($B135,casostestes[#Data],6)=0,"-",VLOOKUP($B135,casostestes[#Data],6)),"-")</f>
        <v>-</v>
      </c>
      <c r="I135" s="35" t="str">
        <f>IFERROR(IF(VLOOKUP($B135,casostestes[#Data],8)=0,"-",VLOOKUP($B135,casostestes[#Data],8)),"-")</f>
        <v>-</v>
      </c>
      <c r="J135" s="35" t="str">
        <f>IFERROR(IF(VLOOKUP($B135,casostestes[#Data],9)=0,"-",VLOOKUP($B135,casostestes[#Data],9)),"-")</f>
        <v>-</v>
      </c>
      <c r="K135" s="36"/>
      <c r="L135" s="45"/>
      <c r="M135" s="37"/>
      <c r="N135" s="38"/>
      <c r="O135" s="38"/>
      <c r="P135" s="39"/>
    </row>
    <row r="136" spans="2:16">
      <c r="B136" s="40" t="str">
        <f>IF(ISERR(casostestes[[#This Row],[ID]]),"-",casostestes[[#This Row],[ID]])</f>
        <v>-</v>
      </c>
      <c r="C136" s="34" t="str">
        <f>IFERROR(IF(VLOOKUP($B136,casostestes[#Data],10)=0,"Não",VLOOKUP($B136,casostestes[#Data],10)), "-")</f>
        <v>-</v>
      </c>
      <c r="D136" s="35" t="str">
        <f>IFERROR(IF(VLOOKUP($B136,casostestes[#Data],2)=0,"-",VLOOKUP($B136,casostestes[#Data],2)), "-")</f>
        <v>-</v>
      </c>
      <c r="E136" s="35" t="str">
        <f>IFERROR(IF(VLOOKUP($B136,casostestes[#Data],3)=0,"-",VLOOKUP($B136,casostestes[#Data],3)), "-")</f>
        <v>-</v>
      </c>
      <c r="F136" s="35" t="str">
        <f>IFERROR(IF(VLOOKUP($B136,casostestes[#Data],4)=0,"-",VLOOKUP($B136,casostestes[#Data],4)),"-")</f>
        <v>-</v>
      </c>
      <c r="G136" s="35" t="str">
        <f>IFERROR(IF(VLOOKUP($B136,casostestes[#Data],5)=0,"-",VLOOKUP($B136,casostestes[#Data],5)),"-")</f>
        <v>-</v>
      </c>
      <c r="H136" s="35" t="str">
        <f>IFERROR(IF(VLOOKUP($B136,casostestes[#Data],6)=0,"-",VLOOKUP($B136,casostestes[#Data],6)),"-")</f>
        <v>-</v>
      </c>
      <c r="I136" s="35" t="str">
        <f>IFERROR(IF(VLOOKUP($B136,casostestes[#Data],8)=0,"-",VLOOKUP($B136,casostestes[#Data],8)),"-")</f>
        <v>-</v>
      </c>
      <c r="J136" s="35" t="str">
        <f>IFERROR(IF(VLOOKUP($B136,casostestes[#Data],9)=0,"-",VLOOKUP($B136,casostestes[#Data],9)),"-")</f>
        <v>-</v>
      </c>
      <c r="K136" s="36"/>
      <c r="L136" s="45"/>
      <c r="M136" s="37"/>
      <c r="N136" s="38"/>
      <c r="O136" s="38"/>
      <c r="P136" s="39"/>
    </row>
    <row r="137" spans="2:16">
      <c r="B137" s="40" t="str">
        <f>IF(ISERR(casostestes[[#This Row],[ID]]),"-",casostestes[[#This Row],[ID]])</f>
        <v>-</v>
      </c>
      <c r="C137" s="34" t="str">
        <f>IFERROR(IF(VLOOKUP($B137,casostestes[#Data],10)=0,"Não",VLOOKUP($B137,casostestes[#Data],10)), "-")</f>
        <v>-</v>
      </c>
      <c r="D137" s="35" t="str">
        <f>IFERROR(IF(VLOOKUP($B137,casostestes[#Data],2)=0,"-",VLOOKUP($B137,casostestes[#Data],2)), "-")</f>
        <v>-</v>
      </c>
      <c r="E137" s="35" t="str">
        <f>IFERROR(IF(VLOOKUP($B137,casostestes[#Data],3)=0,"-",VLOOKUP($B137,casostestes[#Data],3)), "-")</f>
        <v>-</v>
      </c>
      <c r="F137" s="35" t="str">
        <f>IFERROR(IF(VLOOKUP($B137,casostestes[#Data],4)=0,"-",VLOOKUP($B137,casostestes[#Data],4)),"-")</f>
        <v>-</v>
      </c>
      <c r="G137" s="35" t="str">
        <f>IFERROR(IF(VLOOKUP($B137,casostestes[#Data],5)=0,"-",VLOOKUP($B137,casostestes[#Data],5)),"-")</f>
        <v>-</v>
      </c>
      <c r="H137" s="35" t="str">
        <f>IFERROR(IF(VLOOKUP($B137,casostestes[#Data],6)=0,"-",VLOOKUP($B137,casostestes[#Data],6)),"-")</f>
        <v>-</v>
      </c>
      <c r="I137" s="35" t="str">
        <f>IFERROR(IF(VLOOKUP($B137,casostestes[#Data],8)=0,"-",VLOOKUP($B137,casostestes[#Data],8)),"-")</f>
        <v>-</v>
      </c>
      <c r="J137" s="35" t="str">
        <f>IFERROR(IF(VLOOKUP($B137,casostestes[#Data],9)=0,"-",VLOOKUP($B137,casostestes[#Data],9)),"-")</f>
        <v>-</v>
      </c>
      <c r="K137" s="36"/>
      <c r="L137" s="45"/>
      <c r="M137" s="37"/>
      <c r="N137" s="38"/>
      <c r="O137" s="38"/>
      <c r="P137" s="39"/>
    </row>
    <row r="138" spans="2:16">
      <c r="B138" s="40" t="str">
        <f>IF(ISERR(casostestes[[#This Row],[ID]]),"-",casostestes[[#This Row],[ID]])</f>
        <v>-</v>
      </c>
      <c r="C138" s="34" t="str">
        <f>IFERROR(IF(VLOOKUP($B138,casostestes[#Data],10)=0,"Não",VLOOKUP($B138,casostestes[#Data],10)), "-")</f>
        <v>-</v>
      </c>
      <c r="D138" s="35" t="str">
        <f>IFERROR(IF(VLOOKUP($B138,casostestes[#Data],2)=0,"-",VLOOKUP($B138,casostestes[#Data],2)), "-")</f>
        <v>-</v>
      </c>
      <c r="E138" s="35" t="str">
        <f>IFERROR(IF(VLOOKUP($B138,casostestes[#Data],3)=0,"-",VLOOKUP($B138,casostestes[#Data],3)), "-")</f>
        <v>-</v>
      </c>
      <c r="F138" s="35" t="str">
        <f>IFERROR(IF(VLOOKUP($B138,casostestes[#Data],4)=0,"-",VLOOKUP($B138,casostestes[#Data],4)),"-")</f>
        <v>-</v>
      </c>
      <c r="G138" s="35" t="str">
        <f>IFERROR(IF(VLOOKUP($B138,casostestes[#Data],5)=0,"-",VLOOKUP($B138,casostestes[#Data],5)),"-")</f>
        <v>-</v>
      </c>
      <c r="H138" s="35" t="str">
        <f>IFERROR(IF(VLOOKUP($B138,casostestes[#Data],6)=0,"-",VLOOKUP($B138,casostestes[#Data],6)),"-")</f>
        <v>-</v>
      </c>
      <c r="I138" s="35" t="str">
        <f>IFERROR(IF(VLOOKUP($B138,casostestes[#Data],8)=0,"-",VLOOKUP($B138,casostestes[#Data],8)),"-")</f>
        <v>-</v>
      </c>
      <c r="J138" s="35" t="str">
        <f>IFERROR(IF(VLOOKUP($B138,casostestes[#Data],9)=0,"-",VLOOKUP($B138,casostestes[#Data],9)),"-")</f>
        <v>-</v>
      </c>
      <c r="K138" s="36"/>
      <c r="L138" s="45"/>
      <c r="M138" s="37"/>
      <c r="N138" s="38"/>
      <c r="O138" s="38"/>
      <c r="P138" s="39"/>
    </row>
    <row r="139" spans="2:16">
      <c r="B139" s="40" t="str">
        <f>IF(ISERR(casostestes[[#This Row],[ID]]),"-",casostestes[[#This Row],[ID]])</f>
        <v>-</v>
      </c>
      <c r="C139" s="34" t="str">
        <f>IFERROR(IF(VLOOKUP($B139,casostestes[#Data],10)=0,"Não",VLOOKUP($B139,casostestes[#Data],10)), "-")</f>
        <v>-</v>
      </c>
      <c r="D139" s="35" t="str">
        <f>IFERROR(IF(VLOOKUP($B139,casostestes[#Data],2)=0,"-",VLOOKUP($B139,casostestes[#Data],2)), "-")</f>
        <v>-</v>
      </c>
      <c r="E139" s="35" t="str">
        <f>IFERROR(IF(VLOOKUP($B139,casostestes[#Data],3)=0,"-",VLOOKUP($B139,casostestes[#Data],3)), "-")</f>
        <v>-</v>
      </c>
      <c r="F139" s="35" t="str">
        <f>IFERROR(IF(VLOOKUP($B139,casostestes[#Data],4)=0,"-",VLOOKUP($B139,casostestes[#Data],4)),"-")</f>
        <v>-</v>
      </c>
      <c r="G139" s="35" t="str">
        <f>IFERROR(IF(VLOOKUP($B139,casostestes[#Data],5)=0,"-",VLOOKUP($B139,casostestes[#Data],5)),"-")</f>
        <v>-</v>
      </c>
      <c r="H139" s="35" t="str">
        <f>IFERROR(IF(VLOOKUP($B139,casostestes[#Data],6)=0,"-",VLOOKUP($B139,casostestes[#Data],6)),"-")</f>
        <v>-</v>
      </c>
      <c r="I139" s="35" t="str">
        <f>IFERROR(IF(VLOOKUP($B139,casostestes[#Data],8)=0,"-",VLOOKUP($B139,casostestes[#Data],8)),"-")</f>
        <v>-</v>
      </c>
      <c r="J139" s="35" t="str">
        <f>IFERROR(IF(VLOOKUP($B139,casostestes[#Data],9)=0,"-",VLOOKUP($B139,casostestes[#Data],9)),"-")</f>
        <v>-</v>
      </c>
      <c r="K139" s="36"/>
      <c r="L139" s="45"/>
      <c r="M139" s="37"/>
      <c r="N139" s="38"/>
      <c r="O139" s="38"/>
      <c r="P139" s="39"/>
    </row>
    <row r="140" spans="2:16">
      <c r="B140" s="40" t="str">
        <f>IF(ISERR(casostestes[[#This Row],[ID]]),"-",casostestes[[#This Row],[ID]])</f>
        <v>-</v>
      </c>
      <c r="C140" s="34" t="str">
        <f>IFERROR(IF(VLOOKUP($B140,casostestes[#Data],10)=0,"Não",VLOOKUP($B140,casostestes[#Data],10)), "-")</f>
        <v>-</v>
      </c>
      <c r="D140" s="35" t="str">
        <f>IFERROR(IF(VLOOKUP($B140,casostestes[#Data],2)=0,"-",VLOOKUP($B140,casostestes[#Data],2)), "-")</f>
        <v>-</v>
      </c>
      <c r="E140" s="35" t="str">
        <f>IFERROR(IF(VLOOKUP($B140,casostestes[#Data],3)=0,"-",VLOOKUP($B140,casostestes[#Data],3)), "-")</f>
        <v>-</v>
      </c>
      <c r="F140" s="35" t="str">
        <f>IFERROR(IF(VLOOKUP($B140,casostestes[#Data],4)=0,"-",VLOOKUP($B140,casostestes[#Data],4)),"-")</f>
        <v>-</v>
      </c>
      <c r="G140" s="35" t="str">
        <f>IFERROR(IF(VLOOKUP($B140,casostestes[#Data],5)=0,"-",VLOOKUP($B140,casostestes[#Data],5)),"-")</f>
        <v>-</v>
      </c>
      <c r="H140" s="35" t="str">
        <f>IFERROR(IF(VLOOKUP($B140,casostestes[#Data],6)=0,"-",VLOOKUP($B140,casostestes[#Data],6)),"-")</f>
        <v>-</v>
      </c>
      <c r="I140" s="35" t="str">
        <f>IFERROR(IF(VLOOKUP($B140,casostestes[#Data],8)=0,"-",VLOOKUP($B140,casostestes[#Data],8)),"-")</f>
        <v>-</v>
      </c>
      <c r="J140" s="35" t="str">
        <f>IFERROR(IF(VLOOKUP($B140,casostestes[#Data],9)=0,"-",VLOOKUP($B140,casostestes[#Data],9)),"-")</f>
        <v>-</v>
      </c>
      <c r="K140" s="36"/>
      <c r="L140" s="45"/>
      <c r="M140" s="37"/>
      <c r="N140" s="38"/>
      <c r="O140" s="38"/>
      <c r="P140" s="39"/>
    </row>
    <row r="141" spans="2:16">
      <c r="B141" s="40" t="str">
        <f>IF(ISERR(casostestes[[#This Row],[ID]]),"-",casostestes[[#This Row],[ID]])</f>
        <v>-</v>
      </c>
      <c r="C141" s="34" t="str">
        <f>IFERROR(IF(VLOOKUP($B141,casostestes[#Data],10)=0,"Não",VLOOKUP($B141,casostestes[#Data],10)), "-")</f>
        <v>-</v>
      </c>
      <c r="D141" s="35" t="str">
        <f>IFERROR(IF(VLOOKUP($B141,casostestes[#Data],2)=0,"-",VLOOKUP($B141,casostestes[#Data],2)), "-")</f>
        <v>-</v>
      </c>
      <c r="E141" s="35" t="str">
        <f>IFERROR(IF(VLOOKUP($B141,casostestes[#Data],3)=0,"-",VLOOKUP($B141,casostestes[#Data],3)), "-")</f>
        <v>-</v>
      </c>
      <c r="F141" s="35" t="str">
        <f>IFERROR(IF(VLOOKUP($B141,casostestes[#Data],4)=0,"-",VLOOKUP($B141,casostestes[#Data],4)),"-")</f>
        <v>-</v>
      </c>
      <c r="G141" s="35" t="str">
        <f>IFERROR(IF(VLOOKUP($B141,casostestes[#Data],5)=0,"-",VLOOKUP($B141,casostestes[#Data],5)),"-")</f>
        <v>-</v>
      </c>
      <c r="H141" s="35" t="str">
        <f>IFERROR(IF(VLOOKUP($B141,casostestes[#Data],6)=0,"-",VLOOKUP($B141,casostestes[#Data],6)),"-")</f>
        <v>-</v>
      </c>
      <c r="I141" s="35" t="str">
        <f>IFERROR(IF(VLOOKUP($B141,casostestes[#Data],8)=0,"-",VLOOKUP($B141,casostestes[#Data],8)),"-")</f>
        <v>-</v>
      </c>
      <c r="J141" s="35" t="str">
        <f>IFERROR(IF(VLOOKUP($B141,casostestes[#Data],9)=0,"-",VLOOKUP($B141,casostestes[#Data],9)),"-")</f>
        <v>-</v>
      </c>
      <c r="K141" s="36"/>
      <c r="L141" s="45"/>
      <c r="M141" s="37"/>
      <c r="N141" s="38"/>
      <c r="O141" s="38"/>
      <c r="P141" s="39"/>
    </row>
    <row r="142" spans="2:16">
      <c r="B142" s="40" t="str">
        <f>IF(ISERR(casostestes[[#This Row],[ID]]),"-",casostestes[[#This Row],[ID]])</f>
        <v>-</v>
      </c>
      <c r="C142" s="34" t="str">
        <f>IFERROR(IF(VLOOKUP($B142,casostestes[#Data],10)=0,"Não",VLOOKUP($B142,casostestes[#Data],10)), "-")</f>
        <v>-</v>
      </c>
      <c r="D142" s="35" t="str">
        <f>IFERROR(IF(VLOOKUP($B142,casostestes[#Data],2)=0,"-",VLOOKUP($B142,casostestes[#Data],2)), "-")</f>
        <v>-</v>
      </c>
      <c r="E142" s="35" t="str">
        <f>IFERROR(IF(VLOOKUP($B142,casostestes[#Data],3)=0,"-",VLOOKUP($B142,casostestes[#Data],3)), "-")</f>
        <v>-</v>
      </c>
      <c r="F142" s="35" t="str">
        <f>IFERROR(IF(VLOOKUP($B142,casostestes[#Data],4)=0,"-",VLOOKUP($B142,casostestes[#Data],4)),"-")</f>
        <v>-</v>
      </c>
      <c r="G142" s="35" t="str">
        <f>IFERROR(IF(VLOOKUP($B142,casostestes[#Data],5)=0,"-",VLOOKUP($B142,casostestes[#Data],5)),"-")</f>
        <v>-</v>
      </c>
      <c r="H142" s="35" t="str">
        <f>IFERROR(IF(VLOOKUP($B142,casostestes[#Data],6)=0,"-",VLOOKUP($B142,casostestes[#Data],6)),"-")</f>
        <v>-</v>
      </c>
      <c r="I142" s="35" t="str">
        <f>IFERROR(IF(VLOOKUP($B142,casostestes[#Data],8)=0,"-",VLOOKUP($B142,casostestes[#Data],8)),"-")</f>
        <v>-</v>
      </c>
      <c r="J142" s="35" t="str">
        <f>IFERROR(IF(VLOOKUP($B142,casostestes[#Data],9)=0,"-",VLOOKUP($B142,casostestes[#Data],9)),"-")</f>
        <v>-</v>
      </c>
      <c r="K142" s="36"/>
      <c r="L142" s="45"/>
      <c r="M142" s="37"/>
      <c r="N142" s="38"/>
      <c r="O142" s="38"/>
      <c r="P142" s="39"/>
    </row>
    <row r="143" spans="2:16">
      <c r="B143" s="40" t="str">
        <f>IF(ISERR(casostestes[[#This Row],[ID]]),"-",casostestes[[#This Row],[ID]])</f>
        <v>-</v>
      </c>
      <c r="C143" s="34" t="str">
        <f>IFERROR(IF(VLOOKUP($B143,casostestes[#Data],10)=0,"Não",VLOOKUP($B143,casostestes[#Data],10)), "-")</f>
        <v>-</v>
      </c>
      <c r="D143" s="35" t="str">
        <f>IFERROR(IF(VLOOKUP($B143,casostestes[#Data],2)=0,"-",VLOOKUP($B143,casostestes[#Data],2)), "-")</f>
        <v>-</v>
      </c>
      <c r="E143" s="35" t="str">
        <f>IFERROR(IF(VLOOKUP($B143,casostestes[#Data],3)=0,"-",VLOOKUP($B143,casostestes[#Data],3)), "-")</f>
        <v>-</v>
      </c>
      <c r="F143" s="35" t="str">
        <f>IFERROR(IF(VLOOKUP($B143,casostestes[#Data],4)=0,"-",VLOOKUP($B143,casostestes[#Data],4)),"-")</f>
        <v>-</v>
      </c>
      <c r="G143" s="35" t="str">
        <f>IFERROR(IF(VLOOKUP($B143,casostestes[#Data],5)=0,"-",VLOOKUP($B143,casostestes[#Data],5)),"-")</f>
        <v>-</v>
      </c>
      <c r="H143" s="35" t="str">
        <f>IFERROR(IF(VLOOKUP($B143,casostestes[#Data],6)=0,"-",VLOOKUP($B143,casostestes[#Data],6)),"-")</f>
        <v>-</v>
      </c>
      <c r="I143" s="35" t="str">
        <f>IFERROR(IF(VLOOKUP($B143,casostestes[#Data],8)=0,"-",VLOOKUP($B143,casostestes[#Data],8)),"-")</f>
        <v>-</v>
      </c>
      <c r="J143" s="35" t="str">
        <f>IFERROR(IF(VLOOKUP($B143,casostestes[#Data],9)=0,"-",VLOOKUP($B143,casostestes[#Data],9)),"-")</f>
        <v>-</v>
      </c>
      <c r="K143" s="36"/>
      <c r="L143" s="45"/>
      <c r="M143" s="37"/>
      <c r="N143" s="38"/>
      <c r="O143" s="38"/>
      <c r="P143" s="39"/>
    </row>
    <row r="144" spans="2:16">
      <c r="B144" s="40" t="str">
        <f>IF(ISERR(casostestes[[#This Row],[ID]]),"-",casostestes[[#This Row],[ID]])</f>
        <v>-</v>
      </c>
      <c r="C144" s="34" t="str">
        <f>IFERROR(IF(VLOOKUP($B144,casostestes[#Data],10)=0,"Não",VLOOKUP($B144,casostestes[#Data],10)), "-")</f>
        <v>-</v>
      </c>
      <c r="D144" s="35" t="str">
        <f>IFERROR(IF(VLOOKUP($B144,casostestes[#Data],2)=0,"-",VLOOKUP($B144,casostestes[#Data],2)), "-")</f>
        <v>-</v>
      </c>
      <c r="E144" s="35" t="str">
        <f>IFERROR(IF(VLOOKUP($B144,casostestes[#Data],3)=0,"-",VLOOKUP($B144,casostestes[#Data],3)), "-")</f>
        <v>-</v>
      </c>
      <c r="F144" s="35" t="str">
        <f>IFERROR(IF(VLOOKUP($B144,casostestes[#Data],4)=0,"-",VLOOKUP($B144,casostestes[#Data],4)),"-")</f>
        <v>-</v>
      </c>
      <c r="G144" s="35" t="str">
        <f>IFERROR(IF(VLOOKUP($B144,casostestes[#Data],5)=0,"-",VLOOKUP($B144,casostestes[#Data],5)),"-")</f>
        <v>-</v>
      </c>
      <c r="H144" s="35" t="str">
        <f>IFERROR(IF(VLOOKUP($B144,casostestes[#Data],6)=0,"-",VLOOKUP($B144,casostestes[#Data],6)),"-")</f>
        <v>-</v>
      </c>
      <c r="I144" s="35" t="str">
        <f>IFERROR(IF(VLOOKUP($B144,casostestes[#Data],8)=0,"-",VLOOKUP($B144,casostestes[#Data],8)),"-")</f>
        <v>-</v>
      </c>
      <c r="J144" s="35" t="str">
        <f>IFERROR(IF(VLOOKUP($B144,casostestes[#Data],9)=0,"-",VLOOKUP($B144,casostestes[#Data],9)),"-")</f>
        <v>-</v>
      </c>
      <c r="K144" s="36"/>
      <c r="L144" s="45"/>
      <c r="M144" s="37"/>
      <c r="N144" s="38"/>
      <c r="O144" s="38"/>
      <c r="P144" s="39"/>
    </row>
    <row r="145" spans="2:16">
      <c r="B145" s="40" t="str">
        <f>IF(ISERR(casostestes[[#This Row],[ID]]),"-",casostestes[[#This Row],[ID]])</f>
        <v>-</v>
      </c>
      <c r="C145" s="34" t="str">
        <f>IFERROR(IF(VLOOKUP($B145,casostestes[#Data],10)=0,"Não",VLOOKUP($B145,casostestes[#Data],10)), "-")</f>
        <v>-</v>
      </c>
      <c r="D145" s="35" t="str">
        <f>IFERROR(IF(VLOOKUP($B145,casostestes[#Data],2)=0,"-",VLOOKUP($B145,casostestes[#Data],2)), "-")</f>
        <v>-</v>
      </c>
      <c r="E145" s="35" t="str">
        <f>IFERROR(IF(VLOOKUP($B145,casostestes[#Data],3)=0,"-",VLOOKUP($B145,casostestes[#Data],3)), "-")</f>
        <v>-</v>
      </c>
      <c r="F145" s="35" t="str">
        <f>IFERROR(IF(VLOOKUP($B145,casostestes[#Data],4)=0,"-",VLOOKUP($B145,casostestes[#Data],4)),"-")</f>
        <v>-</v>
      </c>
      <c r="G145" s="35" t="str">
        <f>IFERROR(IF(VLOOKUP($B145,casostestes[#Data],5)=0,"-",VLOOKUP($B145,casostestes[#Data],5)),"-")</f>
        <v>-</v>
      </c>
      <c r="H145" s="35" t="str">
        <f>IFERROR(IF(VLOOKUP($B145,casostestes[#Data],6)=0,"-",VLOOKUP($B145,casostestes[#Data],6)),"-")</f>
        <v>-</v>
      </c>
      <c r="I145" s="35" t="str">
        <f>IFERROR(IF(VLOOKUP($B145,casostestes[#Data],8)=0,"-",VLOOKUP($B145,casostestes[#Data],8)),"-")</f>
        <v>-</v>
      </c>
      <c r="J145" s="35" t="str">
        <f>IFERROR(IF(VLOOKUP($B145,casostestes[#Data],9)=0,"-",VLOOKUP($B145,casostestes[#Data],9)),"-")</f>
        <v>-</v>
      </c>
      <c r="K145" s="36"/>
      <c r="L145" s="45"/>
      <c r="M145" s="37"/>
      <c r="N145" s="38"/>
      <c r="O145" s="38"/>
      <c r="P145" s="39"/>
    </row>
    <row r="146" spans="2:16">
      <c r="B146" s="40" t="str">
        <f>IF(ISERR(casostestes[[#This Row],[ID]]),"-",casostestes[[#This Row],[ID]])</f>
        <v>-</v>
      </c>
      <c r="C146" s="34" t="str">
        <f>IFERROR(IF(VLOOKUP($B146,casostestes[#Data],10)=0,"Não",VLOOKUP($B146,casostestes[#Data],10)), "-")</f>
        <v>-</v>
      </c>
      <c r="D146" s="35" t="str">
        <f>IFERROR(IF(VLOOKUP($B146,casostestes[#Data],2)=0,"-",VLOOKUP($B146,casostestes[#Data],2)), "-")</f>
        <v>-</v>
      </c>
      <c r="E146" s="35" t="str">
        <f>IFERROR(IF(VLOOKUP($B146,casostestes[#Data],3)=0,"-",VLOOKUP($B146,casostestes[#Data],3)), "-")</f>
        <v>-</v>
      </c>
      <c r="F146" s="35" t="str">
        <f>IFERROR(IF(VLOOKUP($B146,casostestes[#Data],4)=0,"-",VLOOKUP($B146,casostestes[#Data],4)),"-")</f>
        <v>-</v>
      </c>
      <c r="G146" s="35" t="str">
        <f>IFERROR(IF(VLOOKUP($B146,casostestes[#Data],5)=0,"-",VLOOKUP($B146,casostestes[#Data],5)),"-")</f>
        <v>-</v>
      </c>
      <c r="H146" s="35" t="str">
        <f>IFERROR(IF(VLOOKUP($B146,casostestes[#Data],6)=0,"-",VLOOKUP($B146,casostestes[#Data],6)),"-")</f>
        <v>-</v>
      </c>
      <c r="I146" s="35" t="str">
        <f>IFERROR(IF(VLOOKUP($B146,casostestes[#Data],8)=0,"-",VLOOKUP($B146,casostestes[#Data],8)),"-")</f>
        <v>-</v>
      </c>
      <c r="J146" s="35" t="str">
        <f>IFERROR(IF(VLOOKUP($B146,casostestes[#Data],9)=0,"-",VLOOKUP($B146,casostestes[#Data],9)),"-")</f>
        <v>-</v>
      </c>
      <c r="K146" s="36"/>
      <c r="L146" s="45"/>
      <c r="M146" s="37"/>
      <c r="N146" s="38"/>
      <c r="O146" s="38"/>
      <c r="P146" s="39"/>
    </row>
    <row r="147" spans="2:16">
      <c r="B147" s="40" t="str">
        <f>IF(ISERR(casostestes[[#This Row],[ID]]),"-",casostestes[[#This Row],[ID]])</f>
        <v>-</v>
      </c>
      <c r="C147" s="34" t="str">
        <f>IFERROR(IF(VLOOKUP($B147,casostestes[#Data],10)=0,"Não",VLOOKUP($B147,casostestes[#Data],10)), "-")</f>
        <v>-</v>
      </c>
      <c r="D147" s="35" t="str">
        <f>IFERROR(IF(VLOOKUP($B147,casostestes[#Data],2)=0,"-",VLOOKUP($B147,casostestes[#Data],2)), "-")</f>
        <v>-</v>
      </c>
      <c r="E147" s="35" t="str">
        <f>IFERROR(IF(VLOOKUP($B147,casostestes[#Data],3)=0,"-",VLOOKUP($B147,casostestes[#Data],3)), "-")</f>
        <v>-</v>
      </c>
      <c r="F147" s="35" t="str">
        <f>IFERROR(IF(VLOOKUP($B147,casostestes[#Data],4)=0,"-",VLOOKUP($B147,casostestes[#Data],4)),"-")</f>
        <v>-</v>
      </c>
      <c r="G147" s="35" t="str">
        <f>IFERROR(IF(VLOOKUP($B147,casostestes[#Data],5)=0,"-",VLOOKUP($B147,casostestes[#Data],5)),"-")</f>
        <v>-</v>
      </c>
      <c r="H147" s="35" t="str">
        <f>IFERROR(IF(VLOOKUP($B147,casostestes[#Data],6)=0,"-",VLOOKUP($B147,casostestes[#Data],6)),"-")</f>
        <v>-</v>
      </c>
      <c r="I147" s="35" t="str">
        <f>IFERROR(IF(VLOOKUP($B147,casostestes[#Data],8)=0,"-",VLOOKUP($B147,casostestes[#Data],8)),"-")</f>
        <v>-</v>
      </c>
      <c r="J147" s="35" t="str">
        <f>IFERROR(IF(VLOOKUP($B147,casostestes[#Data],9)=0,"-",VLOOKUP($B147,casostestes[#Data],9)),"-")</f>
        <v>-</v>
      </c>
      <c r="K147" s="36"/>
      <c r="L147" s="45"/>
      <c r="M147" s="37"/>
      <c r="N147" s="38"/>
      <c r="O147" s="38"/>
      <c r="P147" s="39"/>
    </row>
    <row r="148" spans="2:16">
      <c r="B148" s="40" t="str">
        <f>IF(ISERR(casostestes[[#This Row],[ID]]),"-",casostestes[[#This Row],[ID]])</f>
        <v>-</v>
      </c>
      <c r="C148" s="34" t="str">
        <f>IFERROR(IF(VLOOKUP($B148,casostestes[#Data],10)=0,"Não",VLOOKUP($B148,casostestes[#Data],10)), "-")</f>
        <v>-</v>
      </c>
      <c r="D148" s="35" t="str">
        <f>IFERROR(IF(VLOOKUP($B148,casostestes[#Data],2)=0,"-",VLOOKUP($B148,casostestes[#Data],2)), "-")</f>
        <v>-</v>
      </c>
      <c r="E148" s="35" t="str">
        <f>IFERROR(IF(VLOOKUP($B148,casostestes[#Data],3)=0,"-",VLOOKUP($B148,casostestes[#Data],3)), "-")</f>
        <v>-</v>
      </c>
      <c r="F148" s="35" t="str">
        <f>IFERROR(IF(VLOOKUP($B148,casostestes[#Data],4)=0,"-",VLOOKUP($B148,casostestes[#Data],4)),"-")</f>
        <v>-</v>
      </c>
      <c r="G148" s="35" t="str">
        <f>IFERROR(IF(VLOOKUP($B148,casostestes[#Data],5)=0,"-",VLOOKUP($B148,casostestes[#Data],5)),"-")</f>
        <v>-</v>
      </c>
      <c r="H148" s="35" t="str">
        <f>IFERROR(IF(VLOOKUP($B148,casostestes[#Data],6)=0,"-",VLOOKUP($B148,casostestes[#Data],6)),"-")</f>
        <v>-</v>
      </c>
      <c r="I148" s="35" t="str">
        <f>IFERROR(IF(VLOOKUP($B148,casostestes[#Data],8)=0,"-",VLOOKUP($B148,casostestes[#Data],8)),"-")</f>
        <v>-</v>
      </c>
      <c r="J148" s="35" t="str">
        <f>IFERROR(IF(VLOOKUP($B148,casostestes[#Data],9)=0,"-",VLOOKUP($B148,casostestes[#Data],9)),"-")</f>
        <v>-</v>
      </c>
      <c r="K148" s="36"/>
      <c r="L148" s="45"/>
      <c r="M148" s="37"/>
      <c r="N148" s="38"/>
      <c r="O148" s="38"/>
      <c r="P148" s="39"/>
    </row>
    <row r="149" spans="2:16">
      <c r="B149" s="40" t="str">
        <f>IF(ISERR(casostestes[[#This Row],[ID]]),"-",casostestes[[#This Row],[ID]])</f>
        <v>-</v>
      </c>
      <c r="C149" s="34" t="str">
        <f>IFERROR(IF(VLOOKUP($B149,casostestes[#Data],10)=0,"Não",VLOOKUP($B149,casostestes[#Data],10)), "-")</f>
        <v>-</v>
      </c>
      <c r="D149" s="35" t="str">
        <f>IFERROR(IF(VLOOKUP($B149,casostestes[#Data],2)=0,"-",VLOOKUP($B149,casostestes[#Data],2)), "-")</f>
        <v>-</v>
      </c>
      <c r="E149" s="35" t="str">
        <f>IFERROR(IF(VLOOKUP($B149,casostestes[#Data],3)=0,"-",VLOOKUP($B149,casostestes[#Data],3)), "-")</f>
        <v>-</v>
      </c>
      <c r="F149" s="35" t="str">
        <f>IFERROR(IF(VLOOKUP($B149,casostestes[#Data],4)=0,"-",VLOOKUP($B149,casostestes[#Data],4)),"-")</f>
        <v>-</v>
      </c>
      <c r="G149" s="35" t="str">
        <f>IFERROR(IF(VLOOKUP($B149,casostestes[#Data],5)=0,"-",VLOOKUP($B149,casostestes[#Data],5)),"-")</f>
        <v>-</v>
      </c>
      <c r="H149" s="35" t="str">
        <f>IFERROR(IF(VLOOKUP($B149,casostestes[#Data],6)=0,"-",VLOOKUP($B149,casostestes[#Data],6)),"-")</f>
        <v>-</v>
      </c>
      <c r="I149" s="35" t="str">
        <f>IFERROR(IF(VLOOKUP($B149,casostestes[#Data],8)=0,"-",VLOOKUP($B149,casostestes[#Data],8)),"-")</f>
        <v>-</v>
      </c>
      <c r="J149" s="35" t="str">
        <f>IFERROR(IF(VLOOKUP($B149,casostestes[#Data],9)=0,"-",VLOOKUP($B149,casostestes[#Data],9)),"-")</f>
        <v>-</v>
      </c>
      <c r="K149" s="36"/>
      <c r="L149" s="45"/>
      <c r="M149" s="37"/>
      <c r="N149" s="38"/>
      <c r="O149" s="38"/>
      <c r="P149" s="39"/>
    </row>
    <row r="150" spans="2:16">
      <c r="B150" s="40" t="str">
        <f>IF(ISERR(casostestes[[#This Row],[ID]]),"-",casostestes[[#This Row],[ID]])</f>
        <v>-</v>
      </c>
      <c r="C150" s="34" t="str">
        <f>IFERROR(IF(VLOOKUP($B150,casostestes[#Data],10)=0,"Não",VLOOKUP($B150,casostestes[#Data],10)), "-")</f>
        <v>-</v>
      </c>
      <c r="D150" s="35" t="str">
        <f>IFERROR(IF(VLOOKUP($B150,casostestes[#Data],2)=0,"-",VLOOKUP($B150,casostestes[#Data],2)), "-")</f>
        <v>-</v>
      </c>
      <c r="E150" s="35" t="str">
        <f>IFERROR(IF(VLOOKUP($B150,casostestes[#Data],3)=0,"-",VLOOKUP($B150,casostestes[#Data],3)), "-")</f>
        <v>-</v>
      </c>
      <c r="F150" s="35" t="str">
        <f>IFERROR(IF(VLOOKUP($B150,casostestes[#Data],4)=0,"-",VLOOKUP($B150,casostestes[#Data],4)),"-")</f>
        <v>-</v>
      </c>
      <c r="G150" s="35" t="str">
        <f>IFERROR(IF(VLOOKUP($B150,casostestes[#Data],5)=0,"-",VLOOKUP($B150,casostestes[#Data],5)),"-")</f>
        <v>-</v>
      </c>
      <c r="H150" s="35" t="str">
        <f>IFERROR(IF(VLOOKUP($B150,casostestes[#Data],6)=0,"-",VLOOKUP($B150,casostestes[#Data],6)),"-")</f>
        <v>-</v>
      </c>
      <c r="I150" s="35" t="str">
        <f>IFERROR(IF(VLOOKUP($B150,casostestes[#Data],8)=0,"-",VLOOKUP($B150,casostestes[#Data],8)),"-")</f>
        <v>-</v>
      </c>
      <c r="J150" s="35" t="str">
        <f>IFERROR(IF(VLOOKUP($B150,casostestes[#Data],9)=0,"-",VLOOKUP($B150,casostestes[#Data],9)),"-")</f>
        <v>-</v>
      </c>
      <c r="K150" s="36"/>
      <c r="L150" s="45"/>
      <c r="M150" s="37"/>
      <c r="N150" s="38"/>
      <c r="O150" s="38"/>
      <c r="P150" s="39"/>
    </row>
    <row r="151" spans="2:16">
      <c r="B151" s="40" t="str">
        <f>IF(ISERR(casostestes[[#This Row],[ID]]),"-",casostestes[[#This Row],[ID]])</f>
        <v>-</v>
      </c>
      <c r="C151" s="34" t="str">
        <f>IFERROR(IF(VLOOKUP($B151,casostestes[#Data],10)=0,"Não",VLOOKUP($B151,casostestes[#Data],10)), "-")</f>
        <v>-</v>
      </c>
      <c r="D151" s="35" t="str">
        <f>IFERROR(IF(VLOOKUP($B151,casostestes[#Data],2)=0,"-",VLOOKUP($B151,casostestes[#Data],2)), "-")</f>
        <v>-</v>
      </c>
      <c r="E151" s="35" t="str">
        <f>IFERROR(IF(VLOOKUP($B151,casostestes[#Data],3)=0,"-",VLOOKUP($B151,casostestes[#Data],3)), "-")</f>
        <v>-</v>
      </c>
      <c r="F151" s="35" t="str">
        <f>IFERROR(IF(VLOOKUP($B151,casostestes[#Data],4)=0,"-",VLOOKUP($B151,casostestes[#Data],4)),"-")</f>
        <v>-</v>
      </c>
      <c r="G151" s="35" t="str">
        <f>IFERROR(IF(VLOOKUP($B151,casostestes[#Data],5)=0,"-",VLOOKUP($B151,casostestes[#Data],5)),"-")</f>
        <v>-</v>
      </c>
      <c r="H151" s="35" t="str">
        <f>IFERROR(IF(VLOOKUP($B151,casostestes[#Data],6)=0,"-",VLOOKUP($B151,casostestes[#Data],6)),"-")</f>
        <v>-</v>
      </c>
      <c r="I151" s="35" t="str">
        <f>IFERROR(IF(VLOOKUP($B151,casostestes[#Data],8)=0,"-",VLOOKUP($B151,casostestes[#Data],8)),"-")</f>
        <v>-</v>
      </c>
      <c r="J151" s="35" t="str">
        <f>IFERROR(IF(VLOOKUP($B151,casostestes[#Data],9)=0,"-",VLOOKUP($B151,casostestes[#Data],9)),"-")</f>
        <v>-</v>
      </c>
      <c r="K151" s="36"/>
      <c r="L151" s="45"/>
      <c r="M151" s="37"/>
      <c r="N151" s="38"/>
      <c r="O151" s="38"/>
      <c r="P151" s="39"/>
    </row>
    <row r="152" spans="2:16">
      <c r="B152" s="40" t="str">
        <f>IF(ISERR(casostestes[[#This Row],[ID]]),"-",casostestes[[#This Row],[ID]])</f>
        <v>-</v>
      </c>
      <c r="C152" s="34" t="str">
        <f>IFERROR(IF(VLOOKUP($B152,casostestes[#Data],10)=0,"Não",VLOOKUP($B152,casostestes[#Data],10)), "-")</f>
        <v>-</v>
      </c>
      <c r="D152" s="35" t="str">
        <f>IFERROR(IF(VLOOKUP($B152,casostestes[#Data],2)=0,"-",VLOOKUP($B152,casostestes[#Data],2)), "-")</f>
        <v>-</v>
      </c>
      <c r="E152" s="35" t="str">
        <f>IFERROR(IF(VLOOKUP($B152,casostestes[#Data],3)=0,"-",VLOOKUP($B152,casostestes[#Data],3)), "-")</f>
        <v>-</v>
      </c>
      <c r="F152" s="35" t="str">
        <f>IFERROR(IF(VLOOKUP($B152,casostestes[#Data],4)=0,"-",VLOOKUP($B152,casostestes[#Data],4)),"-")</f>
        <v>-</v>
      </c>
      <c r="G152" s="35" t="str">
        <f>IFERROR(IF(VLOOKUP($B152,casostestes[#Data],5)=0,"-",VLOOKUP($B152,casostestes[#Data],5)),"-")</f>
        <v>-</v>
      </c>
      <c r="H152" s="35" t="str">
        <f>IFERROR(IF(VLOOKUP($B152,casostestes[#Data],6)=0,"-",VLOOKUP($B152,casostestes[#Data],6)),"-")</f>
        <v>-</v>
      </c>
      <c r="I152" s="35" t="str">
        <f>IFERROR(IF(VLOOKUP($B152,casostestes[#Data],8)=0,"-",VLOOKUP($B152,casostestes[#Data],8)),"-")</f>
        <v>-</v>
      </c>
      <c r="J152" s="35" t="str">
        <f>IFERROR(IF(VLOOKUP($B152,casostestes[#Data],9)=0,"-",VLOOKUP($B152,casostestes[#Data],9)),"-")</f>
        <v>-</v>
      </c>
      <c r="K152" s="36"/>
      <c r="L152" s="45"/>
      <c r="M152" s="37"/>
      <c r="N152" s="38"/>
      <c r="O152" s="38"/>
      <c r="P152" s="39"/>
    </row>
    <row r="153" spans="2:16">
      <c r="B153" s="40" t="str">
        <f>IF(ISERR(casostestes[[#This Row],[ID]]),"-",casostestes[[#This Row],[ID]])</f>
        <v>-</v>
      </c>
      <c r="C153" s="34" t="str">
        <f>IFERROR(IF(VLOOKUP($B153,casostestes[#Data],10)=0,"Não",VLOOKUP($B153,casostestes[#Data],10)), "-")</f>
        <v>-</v>
      </c>
      <c r="D153" s="35" t="str">
        <f>IFERROR(IF(VLOOKUP($B153,casostestes[#Data],2)=0,"-",VLOOKUP($B153,casostestes[#Data],2)), "-")</f>
        <v>-</v>
      </c>
      <c r="E153" s="35" t="str">
        <f>IFERROR(IF(VLOOKUP($B153,casostestes[#Data],3)=0,"-",VLOOKUP($B153,casostestes[#Data],3)), "-")</f>
        <v>-</v>
      </c>
      <c r="F153" s="35" t="str">
        <f>IFERROR(IF(VLOOKUP($B153,casostestes[#Data],4)=0,"-",VLOOKUP($B153,casostestes[#Data],4)),"-")</f>
        <v>-</v>
      </c>
      <c r="G153" s="35" t="str">
        <f>IFERROR(IF(VLOOKUP($B153,casostestes[#Data],5)=0,"-",VLOOKUP($B153,casostestes[#Data],5)),"-")</f>
        <v>-</v>
      </c>
      <c r="H153" s="35" t="str">
        <f>IFERROR(IF(VLOOKUP($B153,casostestes[#Data],6)=0,"-",VLOOKUP($B153,casostestes[#Data],6)),"-")</f>
        <v>-</v>
      </c>
      <c r="I153" s="35" t="str">
        <f>IFERROR(IF(VLOOKUP($B153,casostestes[#Data],8)=0,"-",VLOOKUP($B153,casostestes[#Data],8)),"-")</f>
        <v>-</v>
      </c>
      <c r="J153" s="35" t="str">
        <f>IFERROR(IF(VLOOKUP($B153,casostestes[#Data],9)=0,"-",VLOOKUP($B153,casostestes[#Data],9)),"-")</f>
        <v>-</v>
      </c>
      <c r="K153" s="36"/>
      <c r="L153" s="45"/>
      <c r="M153" s="37"/>
      <c r="N153" s="38"/>
      <c r="O153" s="38"/>
      <c r="P153" s="39"/>
    </row>
    <row r="154" spans="2:16">
      <c r="B154" s="40" t="str">
        <f>IF(ISERR(casostestes[[#This Row],[ID]]),"-",casostestes[[#This Row],[ID]])</f>
        <v>-</v>
      </c>
      <c r="C154" s="34" t="str">
        <f>IFERROR(IF(VLOOKUP($B154,casostestes[#Data],10)=0,"Não",VLOOKUP($B154,casostestes[#Data],10)), "-")</f>
        <v>-</v>
      </c>
      <c r="D154" s="35" t="str">
        <f>IFERROR(IF(VLOOKUP($B154,casostestes[#Data],2)=0,"-",VLOOKUP($B154,casostestes[#Data],2)), "-")</f>
        <v>-</v>
      </c>
      <c r="E154" s="35" t="str">
        <f>IFERROR(IF(VLOOKUP($B154,casostestes[#Data],3)=0,"-",VLOOKUP($B154,casostestes[#Data],3)), "-")</f>
        <v>-</v>
      </c>
      <c r="F154" s="35" t="str">
        <f>IFERROR(IF(VLOOKUP($B154,casostestes[#Data],4)=0,"-",VLOOKUP($B154,casostestes[#Data],4)),"-")</f>
        <v>-</v>
      </c>
      <c r="G154" s="35" t="str">
        <f>IFERROR(IF(VLOOKUP($B154,casostestes[#Data],5)=0,"-",VLOOKUP($B154,casostestes[#Data],5)),"-")</f>
        <v>-</v>
      </c>
      <c r="H154" s="35" t="str">
        <f>IFERROR(IF(VLOOKUP($B154,casostestes[#Data],6)=0,"-",VLOOKUP($B154,casostestes[#Data],6)),"-")</f>
        <v>-</v>
      </c>
      <c r="I154" s="35" t="str">
        <f>IFERROR(IF(VLOOKUP($B154,casostestes[#Data],8)=0,"-",VLOOKUP($B154,casostestes[#Data],8)),"-")</f>
        <v>-</v>
      </c>
      <c r="J154" s="35" t="str">
        <f>IFERROR(IF(VLOOKUP($B154,casostestes[#Data],9)=0,"-",VLOOKUP($B154,casostestes[#Data],9)),"-")</f>
        <v>-</v>
      </c>
      <c r="K154" s="36"/>
      <c r="L154" s="45"/>
      <c r="M154" s="37"/>
      <c r="N154" s="38"/>
      <c r="O154" s="38"/>
      <c r="P154" s="39"/>
    </row>
    <row r="155" spans="2:16">
      <c r="B155" s="40" t="str">
        <f>IF(ISERR(casostestes[[#This Row],[ID]]),"-",casostestes[[#This Row],[ID]])</f>
        <v>-</v>
      </c>
      <c r="C155" s="34" t="str">
        <f>IFERROR(IF(VLOOKUP($B155,casostestes[#Data],10)=0,"Não",VLOOKUP($B155,casostestes[#Data],10)), "-")</f>
        <v>-</v>
      </c>
      <c r="D155" s="35" t="str">
        <f>IFERROR(IF(VLOOKUP($B155,casostestes[#Data],2)=0,"-",VLOOKUP($B155,casostestes[#Data],2)), "-")</f>
        <v>-</v>
      </c>
      <c r="E155" s="35" t="str">
        <f>IFERROR(IF(VLOOKUP($B155,casostestes[#Data],3)=0,"-",VLOOKUP($B155,casostestes[#Data],3)), "-")</f>
        <v>-</v>
      </c>
      <c r="F155" s="35" t="str">
        <f>IFERROR(IF(VLOOKUP($B155,casostestes[#Data],4)=0,"-",VLOOKUP($B155,casostestes[#Data],4)),"-")</f>
        <v>-</v>
      </c>
      <c r="G155" s="35" t="str">
        <f>IFERROR(IF(VLOOKUP($B155,casostestes[#Data],5)=0,"-",VLOOKUP($B155,casostestes[#Data],5)),"-")</f>
        <v>-</v>
      </c>
      <c r="H155" s="35" t="str">
        <f>IFERROR(IF(VLOOKUP($B155,casostestes[#Data],6)=0,"-",VLOOKUP($B155,casostestes[#Data],6)),"-")</f>
        <v>-</v>
      </c>
      <c r="I155" s="35" t="str">
        <f>IFERROR(IF(VLOOKUP($B155,casostestes[#Data],8)=0,"-",VLOOKUP($B155,casostestes[#Data],8)),"-")</f>
        <v>-</v>
      </c>
      <c r="J155" s="35" t="str">
        <f>IFERROR(IF(VLOOKUP($B155,casostestes[#Data],9)=0,"-",VLOOKUP($B155,casostestes[#Data],9)),"-")</f>
        <v>-</v>
      </c>
      <c r="K155" s="36"/>
      <c r="L155" s="45"/>
      <c r="M155" s="37"/>
      <c r="N155" s="38"/>
      <c r="O155" s="38"/>
      <c r="P155" s="39"/>
    </row>
    <row r="156" spans="2:16">
      <c r="B156" s="40" t="str">
        <f>IF(ISERR(casostestes[[#This Row],[ID]]),"-",casostestes[[#This Row],[ID]])</f>
        <v>-</v>
      </c>
      <c r="C156" s="34" t="str">
        <f>IFERROR(IF(VLOOKUP($B156,casostestes[#Data],10)=0,"Não",VLOOKUP($B156,casostestes[#Data],10)), "-")</f>
        <v>-</v>
      </c>
      <c r="D156" s="35" t="str">
        <f>IFERROR(IF(VLOOKUP($B156,casostestes[#Data],2)=0,"-",VLOOKUP($B156,casostestes[#Data],2)), "-")</f>
        <v>-</v>
      </c>
      <c r="E156" s="35" t="str">
        <f>IFERROR(IF(VLOOKUP($B156,casostestes[#Data],3)=0,"-",VLOOKUP($B156,casostestes[#Data],3)), "-")</f>
        <v>-</v>
      </c>
      <c r="F156" s="35" t="str">
        <f>IFERROR(IF(VLOOKUP($B156,casostestes[#Data],4)=0,"-",VLOOKUP($B156,casostestes[#Data],4)),"-")</f>
        <v>-</v>
      </c>
      <c r="G156" s="35" t="str">
        <f>IFERROR(IF(VLOOKUP($B156,casostestes[#Data],5)=0,"-",VLOOKUP($B156,casostestes[#Data],5)),"-")</f>
        <v>-</v>
      </c>
      <c r="H156" s="35" t="str">
        <f>IFERROR(IF(VLOOKUP($B156,casostestes[#Data],6)=0,"-",VLOOKUP($B156,casostestes[#Data],6)),"-")</f>
        <v>-</v>
      </c>
      <c r="I156" s="35" t="str">
        <f>IFERROR(IF(VLOOKUP($B156,casostestes[#Data],8)=0,"-",VLOOKUP($B156,casostestes[#Data],8)),"-")</f>
        <v>-</v>
      </c>
      <c r="J156" s="35" t="str">
        <f>IFERROR(IF(VLOOKUP($B156,casostestes[#Data],9)=0,"-",VLOOKUP($B156,casostestes[#Data],9)),"-")</f>
        <v>-</v>
      </c>
      <c r="K156" s="36"/>
      <c r="L156" s="45"/>
      <c r="M156" s="37"/>
      <c r="N156" s="38"/>
      <c r="O156" s="38"/>
      <c r="P156" s="39"/>
    </row>
    <row r="157" spans="2:16">
      <c r="B157" s="40" t="str">
        <f>IF(ISERR(casostestes[[#This Row],[ID]]),"-",casostestes[[#This Row],[ID]])</f>
        <v>-</v>
      </c>
      <c r="C157" s="34" t="str">
        <f>IFERROR(IF(VLOOKUP($B157,casostestes[#Data],10)=0,"Não",VLOOKUP($B157,casostestes[#Data],10)), "-")</f>
        <v>-</v>
      </c>
      <c r="D157" s="35" t="str">
        <f>IFERROR(IF(VLOOKUP($B157,casostestes[#Data],2)=0,"-",VLOOKUP($B157,casostestes[#Data],2)), "-")</f>
        <v>-</v>
      </c>
      <c r="E157" s="35" t="str">
        <f>IFERROR(IF(VLOOKUP($B157,casostestes[#Data],3)=0,"-",VLOOKUP($B157,casostestes[#Data],3)), "-")</f>
        <v>-</v>
      </c>
      <c r="F157" s="35" t="str">
        <f>IFERROR(IF(VLOOKUP($B157,casostestes[#Data],4)=0,"-",VLOOKUP($B157,casostestes[#Data],4)),"-")</f>
        <v>-</v>
      </c>
      <c r="G157" s="35" t="str">
        <f>IFERROR(IF(VLOOKUP($B157,casostestes[#Data],5)=0,"-",VLOOKUP($B157,casostestes[#Data],5)),"-")</f>
        <v>-</v>
      </c>
      <c r="H157" s="35" t="str">
        <f>IFERROR(IF(VLOOKUP($B157,casostestes[#Data],6)=0,"-",VLOOKUP($B157,casostestes[#Data],6)),"-")</f>
        <v>-</v>
      </c>
      <c r="I157" s="35" t="str">
        <f>IFERROR(IF(VLOOKUP($B157,casostestes[#Data],8)=0,"-",VLOOKUP($B157,casostestes[#Data],8)),"-")</f>
        <v>-</v>
      </c>
      <c r="J157" s="35" t="str">
        <f>IFERROR(IF(VLOOKUP($B157,casostestes[#Data],9)=0,"-",VLOOKUP($B157,casostestes[#Data],9)),"-")</f>
        <v>-</v>
      </c>
      <c r="K157" s="36"/>
      <c r="L157" s="45"/>
      <c r="M157" s="37"/>
      <c r="N157" s="38"/>
      <c r="O157" s="38"/>
      <c r="P157" s="39"/>
    </row>
    <row r="158" spans="2:16">
      <c r="B158" s="40" t="str">
        <f>IF(ISERR(casostestes[[#This Row],[ID]]),"-",casostestes[[#This Row],[ID]])</f>
        <v>-</v>
      </c>
      <c r="C158" s="34" t="str">
        <f>IFERROR(IF(VLOOKUP($B158,casostestes[#Data],10)=0,"Não",VLOOKUP($B158,casostestes[#Data],10)), "-")</f>
        <v>-</v>
      </c>
      <c r="D158" s="35" t="str">
        <f>IFERROR(IF(VLOOKUP($B158,casostestes[#Data],2)=0,"-",VLOOKUP($B158,casostestes[#Data],2)), "-")</f>
        <v>-</v>
      </c>
      <c r="E158" s="35" t="str">
        <f>IFERROR(IF(VLOOKUP($B158,casostestes[#Data],3)=0,"-",VLOOKUP($B158,casostestes[#Data],3)), "-")</f>
        <v>-</v>
      </c>
      <c r="F158" s="35" t="str">
        <f>IFERROR(IF(VLOOKUP($B158,casostestes[#Data],4)=0,"-",VLOOKUP($B158,casostestes[#Data],4)),"-")</f>
        <v>-</v>
      </c>
      <c r="G158" s="35" t="str">
        <f>IFERROR(IF(VLOOKUP($B158,casostestes[#Data],5)=0,"-",VLOOKUP($B158,casostestes[#Data],5)),"-")</f>
        <v>-</v>
      </c>
      <c r="H158" s="35" t="str">
        <f>IFERROR(IF(VLOOKUP($B158,casostestes[#Data],6)=0,"-",VLOOKUP($B158,casostestes[#Data],6)),"-")</f>
        <v>-</v>
      </c>
      <c r="I158" s="35" t="str">
        <f>IFERROR(IF(VLOOKUP($B158,casostestes[#Data],8)=0,"-",VLOOKUP($B158,casostestes[#Data],8)),"-")</f>
        <v>-</v>
      </c>
      <c r="J158" s="35" t="str">
        <f>IFERROR(IF(VLOOKUP($B158,casostestes[#Data],9)=0,"-",VLOOKUP($B158,casostestes[#Data],9)),"-")</f>
        <v>-</v>
      </c>
      <c r="K158" s="36"/>
      <c r="L158" s="45"/>
      <c r="M158" s="37"/>
      <c r="N158" s="38"/>
      <c r="O158" s="38"/>
      <c r="P158" s="39"/>
    </row>
    <row r="159" spans="2:16">
      <c r="B159" s="40" t="str">
        <f>IF(ISERR(casostestes[[#This Row],[ID]]),"-",casostestes[[#This Row],[ID]])</f>
        <v>-</v>
      </c>
      <c r="C159" s="34" t="str">
        <f>IFERROR(IF(VLOOKUP($B159,casostestes[#Data],10)=0,"Não",VLOOKUP($B159,casostestes[#Data],10)), "-")</f>
        <v>-</v>
      </c>
      <c r="D159" s="35" t="str">
        <f>IFERROR(IF(VLOOKUP($B159,casostestes[#Data],2)=0,"-",VLOOKUP($B159,casostestes[#Data],2)), "-")</f>
        <v>-</v>
      </c>
      <c r="E159" s="35" t="str">
        <f>IFERROR(IF(VLOOKUP($B159,casostestes[#Data],3)=0,"-",VLOOKUP($B159,casostestes[#Data],3)), "-")</f>
        <v>-</v>
      </c>
      <c r="F159" s="35" t="str">
        <f>IFERROR(IF(VLOOKUP($B159,casostestes[#Data],4)=0,"-",VLOOKUP($B159,casostestes[#Data],4)),"-")</f>
        <v>-</v>
      </c>
      <c r="G159" s="35" t="str">
        <f>IFERROR(IF(VLOOKUP($B159,casostestes[#Data],5)=0,"-",VLOOKUP($B159,casostestes[#Data],5)),"-")</f>
        <v>-</v>
      </c>
      <c r="H159" s="35" t="str">
        <f>IFERROR(IF(VLOOKUP($B159,casostestes[#Data],6)=0,"-",VLOOKUP($B159,casostestes[#Data],6)),"-")</f>
        <v>-</v>
      </c>
      <c r="I159" s="35" t="str">
        <f>IFERROR(IF(VLOOKUP($B159,casostestes[#Data],8)=0,"-",VLOOKUP($B159,casostestes[#Data],8)),"-")</f>
        <v>-</v>
      </c>
      <c r="J159" s="35" t="str">
        <f>IFERROR(IF(VLOOKUP($B159,casostestes[#Data],9)=0,"-",VLOOKUP($B159,casostestes[#Data],9)),"-")</f>
        <v>-</v>
      </c>
      <c r="K159" s="36"/>
      <c r="L159" s="45"/>
      <c r="M159" s="37"/>
      <c r="N159" s="38"/>
      <c r="O159" s="38"/>
      <c r="P159" s="39"/>
    </row>
    <row r="160" spans="2:16">
      <c r="B160" s="40" t="str">
        <f>IF(ISERR(casostestes[[#This Row],[ID]]),"-",casostestes[[#This Row],[ID]])</f>
        <v>-</v>
      </c>
      <c r="C160" s="34" t="str">
        <f>IFERROR(IF(VLOOKUP($B160,casostestes[#Data],10)=0,"Não",VLOOKUP($B160,casostestes[#Data],10)), "-")</f>
        <v>-</v>
      </c>
      <c r="D160" s="35" t="str">
        <f>IFERROR(IF(VLOOKUP($B160,casostestes[#Data],2)=0,"-",VLOOKUP($B160,casostestes[#Data],2)), "-")</f>
        <v>-</v>
      </c>
      <c r="E160" s="35" t="str">
        <f>IFERROR(IF(VLOOKUP($B160,casostestes[#Data],3)=0,"-",VLOOKUP($B160,casostestes[#Data],3)), "-")</f>
        <v>-</v>
      </c>
      <c r="F160" s="35" t="str">
        <f>IFERROR(IF(VLOOKUP($B160,casostestes[#Data],4)=0,"-",VLOOKUP($B160,casostestes[#Data],4)),"-")</f>
        <v>-</v>
      </c>
      <c r="G160" s="35" t="str">
        <f>IFERROR(IF(VLOOKUP($B160,casostestes[#Data],5)=0,"-",VLOOKUP($B160,casostestes[#Data],5)),"-")</f>
        <v>-</v>
      </c>
      <c r="H160" s="35" t="str">
        <f>IFERROR(IF(VLOOKUP($B160,casostestes[#Data],6)=0,"-",VLOOKUP($B160,casostestes[#Data],6)),"-")</f>
        <v>-</v>
      </c>
      <c r="I160" s="35" t="str">
        <f>IFERROR(IF(VLOOKUP($B160,casostestes[#Data],8)=0,"-",VLOOKUP($B160,casostestes[#Data],8)),"-")</f>
        <v>-</v>
      </c>
      <c r="J160" s="35" t="str">
        <f>IFERROR(IF(VLOOKUP($B160,casostestes[#Data],9)=0,"-",VLOOKUP($B160,casostestes[#Data],9)),"-")</f>
        <v>-</v>
      </c>
      <c r="K160" s="36"/>
      <c r="L160" s="45"/>
      <c r="M160" s="37"/>
      <c r="N160" s="38"/>
      <c r="O160" s="38"/>
      <c r="P160" s="39"/>
    </row>
    <row r="161" spans="2:16">
      <c r="B161" s="40" t="str">
        <f>IF(ISERR(casostestes[[#This Row],[ID]]),"-",casostestes[[#This Row],[ID]])</f>
        <v>-</v>
      </c>
      <c r="C161" s="34" t="str">
        <f>IFERROR(IF(VLOOKUP($B161,casostestes[#Data],10)=0,"Não",VLOOKUP($B161,casostestes[#Data],10)), "-")</f>
        <v>-</v>
      </c>
      <c r="D161" s="35" t="str">
        <f>IFERROR(IF(VLOOKUP($B161,casostestes[#Data],2)=0,"-",VLOOKUP($B161,casostestes[#Data],2)), "-")</f>
        <v>-</v>
      </c>
      <c r="E161" s="35" t="str">
        <f>IFERROR(IF(VLOOKUP($B161,casostestes[#Data],3)=0,"-",VLOOKUP($B161,casostestes[#Data],3)), "-")</f>
        <v>-</v>
      </c>
      <c r="F161" s="35" t="str">
        <f>IFERROR(IF(VLOOKUP($B161,casostestes[#Data],4)=0,"-",VLOOKUP($B161,casostestes[#Data],4)),"-")</f>
        <v>-</v>
      </c>
      <c r="G161" s="35" t="str">
        <f>IFERROR(IF(VLOOKUP($B161,casostestes[#Data],5)=0,"-",VLOOKUP($B161,casostestes[#Data],5)),"-")</f>
        <v>-</v>
      </c>
      <c r="H161" s="35" t="str">
        <f>IFERROR(IF(VLOOKUP($B161,casostestes[#Data],6)=0,"-",VLOOKUP($B161,casostestes[#Data],6)),"-")</f>
        <v>-</v>
      </c>
      <c r="I161" s="35" t="str">
        <f>IFERROR(IF(VLOOKUP($B161,casostestes[#Data],8)=0,"-",VLOOKUP($B161,casostestes[#Data],8)),"-")</f>
        <v>-</v>
      </c>
      <c r="J161" s="35" t="str">
        <f>IFERROR(IF(VLOOKUP($B161,casostestes[#Data],9)=0,"-",VLOOKUP($B161,casostestes[#Data],9)),"-")</f>
        <v>-</v>
      </c>
      <c r="K161" s="36"/>
      <c r="L161" s="45"/>
      <c r="M161" s="37"/>
      <c r="N161" s="38"/>
      <c r="O161" s="38"/>
      <c r="P161" s="39"/>
    </row>
    <row r="162" spans="2:16">
      <c r="B162" s="40" t="str">
        <f>IF(ISERR(casostestes[[#This Row],[ID]]),"-",casostestes[[#This Row],[ID]])</f>
        <v>-</v>
      </c>
      <c r="C162" s="34" t="str">
        <f>IFERROR(IF(VLOOKUP($B162,casostestes[#Data],10)=0,"Não",VLOOKUP($B162,casostestes[#Data],10)), "-")</f>
        <v>-</v>
      </c>
      <c r="D162" s="35" t="str">
        <f>IFERROR(IF(VLOOKUP($B162,casostestes[#Data],2)=0,"-",VLOOKUP($B162,casostestes[#Data],2)), "-")</f>
        <v>-</v>
      </c>
      <c r="E162" s="35" t="str">
        <f>IFERROR(IF(VLOOKUP($B162,casostestes[#Data],3)=0,"-",VLOOKUP($B162,casostestes[#Data],3)), "-")</f>
        <v>-</v>
      </c>
      <c r="F162" s="35" t="str">
        <f>IFERROR(IF(VLOOKUP($B162,casostestes[#Data],4)=0,"-",VLOOKUP($B162,casostestes[#Data],4)),"-")</f>
        <v>-</v>
      </c>
      <c r="G162" s="35" t="str">
        <f>IFERROR(IF(VLOOKUP($B162,casostestes[#Data],5)=0,"-",VLOOKUP($B162,casostestes[#Data],5)),"-")</f>
        <v>-</v>
      </c>
      <c r="H162" s="35" t="str">
        <f>IFERROR(IF(VLOOKUP($B162,casostestes[#Data],6)=0,"-",VLOOKUP($B162,casostestes[#Data],6)),"-")</f>
        <v>-</v>
      </c>
      <c r="I162" s="35" t="str">
        <f>IFERROR(IF(VLOOKUP($B162,casostestes[#Data],8)=0,"-",VLOOKUP($B162,casostestes[#Data],8)),"-")</f>
        <v>-</v>
      </c>
      <c r="J162" s="35" t="str">
        <f>IFERROR(IF(VLOOKUP($B162,casostestes[#Data],9)=0,"-",VLOOKUP($B162,casostestes[#Data],9)),"-")</f>
        <v>-</v>
      </c>
      <c r="K162" s="36"/>
      <c r="L162" s="45"/>
      <c r="M162" s="37"/>
      <c r="N162" s="38"/>
      <c r="O162" s="38"/>
      <c r="P162" s="39"/>
    </row>
    <row r="163" spans="2:16">
      <c r="B163" s="40" t="str">
        <f>IF(ISERR(casostestes[[#This Row],[ID]]),"-",casostestes[[#This Row],[ID]])</f>
        <v>-</v>
      </c>
      <c r="C163" s="34" t="str">
        <f>IFERROR(IF(VLOOKUP($B163,casostestes[#Data],10)=0,"Não",VLOOKUP($B163,casostestes[#Data],10)), "-")</f>
        <v>-</v>
      </c>
      <c r="D163" s="35" t="str">
        <f>IFERROR(IF(VLOOKUP($B163,casostestes[#Data],2)=0,"-",VLOOKUP($B163,casostestes[#Data],2)), "-")</f>
        <v>-</v>
      </c>
      <c r="E163" s="35" t="str">
        <f>IFERROR(IF(VLOOKUP($B163,casostestes[#Data],3)=0,"-",VLOOKUP($B163,casostestes[#Data],3)), "-")</f>
        <v>-</v>
      </c>
      <c r="F163" s="35" t="str">
        <f>IFERROR(IF(VLOOKUP($B163,casostestes[#Data],4)=0,"-",VLOOKUP($B163,casostestes[#Data],4)),"-")</f>
        <v>-</v>
      </c>
      <c r="G163" s="35" t="str">
        <f>IFERROR(IF(VLOOKUP($B163,casostestes[#Data],5)=0,"-",VLOOKUP($B163,casostestes[#Data],5)),"-")</f>
        <v>-</v>
      </c>
      <c r="H163" s="35" t="str">
        <f>IFERROR(IF(VLOOKUP($B163,casostestes[#Data],6)=0,"-",VLOOKUP($B163,casostestes[#Data],6)),"-")</f>
        <v>-</v>
      </c>
      <c r="I163" s="35" t="str">
        <f>IFERROR(IF(VLOOKUP($B163,casostestes[#Data],8)=0,"-",VLOOKUP($B163,casostestes[#Data],8)),"-")</f>
        <v>-</v>
      </c>
      <c r="J163" s="35" t="str">
        <f>IFERROR(IF(VLOOKUP($B163,casostestes[#Data],9)=0,"-",VLOOKUP($B163,casostestes[#Data],9)),"-")</f>
        <v>-</v>
      </c>
      <c r="K163" s="36"/>
      <c r="L163" s="45"/>
      <c r="M163" s="37"/>
      <c r="N163" s="38"/>
      <c r="O163" s="38"/>
      <c r="P163" s="39"/>
    </row>
    <row r="164" spans="2:16">
      <c r="B164" s="40" t="str">
        <f>IF(ISERR(casostestes[[#This Row],[ID]]),"-",casostestes[[#This Row],[ID]])</f>
        <v>-</v>
      </c>
      <c r="C164" s="34" t="str">
        <f>IFERROR(IF(VLOOKUP($B164,casostestes[#Data],10)=0,"Não",VLOOKUP($B164,casostestes[#Data],10)), "-")</f>
        <v>-</v>
      </c>
      <c r="D164" s="35" t="str">
        <f>IFERROR(IF(VLOOKUP($B164,casostestes[#Data],2)=0,"-",VLOOKUP($B164,casostestes[#Data],2)), "-")</f>
        <v>-</v>
      </c>
      <c r="E164" s="35" t="str">
        <f>IFERROR(IF(VLOOKUP($B164,casostestes[#Data],3)=0,"-",VLOOKUP($B164,casostestes[#Data],3)), "-")</f>
        <v>-</v>
      </c>
      <c r="F164" s="35" t="str">
        <f>IFERROR(IF(VLOOKUP($B164,casostestes[#Data],4)=0,"-",VLOOKUP($B164,casostestes[#Data],4)),"-")</f>
        <v>-</v>
      </c>
      <c r="G164" s="35" t="str">
        <f>IFERROR(IF(VLOOKUP($B164,casostestes[#Data],5)=0,"-",VLOOKUP($B164,casostestes[#Data],5)),"-")</f>
        <v>-</v>
      </c>
      <c r="H164" s="35" t="str">
        <f>IFERROR(IF(VLOOKUP($B164,casostestes[#Data],6)=0,"-",VLOOKUP($B164,casostestes[#Data],6)),"-")</f>
        <v>-</v>
      </c>
      <c r="I164" s="35" t="str">
        <f>IFERROR(IF(VLOOKUP($B164,casostestes[#Data],8)=0,"-",VLOOKUP($B164,casostestes[#Data],8)),"-")</f>
        <v>-</v>
      </c>
      <c r="J164" s="35" t="str">
        <f>IFERROR(IF(VLOOKUP($B164,casostestes[#Data],9)=0,"-",VLOOKUP($B164,casostestes[#Data],9)),"-")</f>
        <v>-</v>
      </c>
      <c r="K164" s="36"/>
      <c r="L164" s="45"/>
      <c r="M164" s="37"/>
      <c r="N164" s="38"/>
      <c r="O164" s="38"/>
      <c r="P164" s="39"/>
    </row>
    <row r="165" spans="2:16">
      <c r="B165" s="40" t="str">
        <f>IF(ISERR(casostestes[[#This Row],[ID]]),"-",casostestes[[#This Row],[ID]])</f>
        <v>-</v>
      </c>
      <c r="C165" s="34" t="str">
        <f>IFERROR(IF(VLOOKUP($B165,casostestes[#Data],10)=0,"Não",VLOOKUP($B165,casostestes[#Data],10)), "-")</f>
        <v>-</v>
      </c>
      <c r="D165" s="35" t="str">
        <f>IFERROR(IF(VLOOKUP($B165,casostestes[#Data],2)=0,"-",VLOOKUP($B165,casostestes[#Data],2)), "-")</f>
        <v>-</v>
      </c>
      <c r="E165" s="35" t="str">
        <f>IFERROR(IF(VLOOKUP($B165,casostestes[#Data],3)=0,"-",VLOOKUP($B165,casostestes[#Data],3)), "-")</f>
        <v>-</v>
      </c>
      <c r="F165" s="35" t="str">
        <f>IFERROR(IF(VLOOKUP($B165,casostestes[#Data],4)=0,"-",VLOOKUP($B165,casostestes[#Data],4)),"-")</f>
        <v>-</v>
      </c>
      <c r="G165" s="35" t="str">
        <f>IFERROR(IF(VLOOKUP($B165,casostestes[#Data],5)=0,"-",VLOOKUP($B165,casostestes[#Data],5)),"-")</f>
        <v>-</v>
      </c>
      <c r="H165" s="35" t="str">
        <f>IFERROR(IF(VLOOKUP($B165,casostestes[#Data],6)=0,"-",VLOOKUP($B165,casostestes[#Data],6)),"-")</f>
        <v>-</v>
      </c>
      <c r="I165" s="35" t="str">
        <f>IFERROR(IF(VLOOKUP($B165,casostestes[#Data],8)=0,"-",VLOOKUP($B165,casostestes[#Data],8)),"-")</f>
        <v>-</v>
      </c>
      <c r="J165" s="35" t="str">
        <f>IFERROR(IF(VLOOKUP($B165,casostestes[#Data],9)=0,"-",VLOOKUP($B165,casostestes[#Data],9)),"-")</f>
        <v>-</v>
      </c>
      <c r="K165" s="36"/>
      <c r="L165" s="45"/>
      <c r="M165" s="37"/>
      <c r="N165" s="38"/>
      <c r="O165" s="38"/>
      <c r="P165" s="39"/>
    </row>
    <row r="166" spans="2:16">
      <c r="B166" s="40" t="str">
        <f>IF(ISERR(casostestes[[#This Row],[ID]]),"-",casostestes[[#This Row],[ID]])</f>
        <v>-</v>
      </c>
      <c r="C166" s="34" t="str">
        <f>IFERROR(IF(VLOOKUP($B166,casostestes[#Data],10)=0,"Não",VLOOKUP($B166,casostestes[#Data],10)), "-")</f>
        <v>-</v>
      </c>
      <c r="D166" s="35" t="str">
        <f>IFERROR(IF(VLOOKUP($B166,casostestes[#Data],2)=0,"-",VLOOKUP($B166,casostestes[#Data],2)), "-")</f>
        <v>-</v>
      </c>
      <c r="E166" s="35" t="str">
        <f>IFERROR(IF(VLOOKUP($B166,casostestes[#Data],3)=0,"-",VLOOKUP($B166,casostestes[#Data],3)), "-")</f>
        <v>-</v>
      </c>
      <c r="F166" s="35" t="str">
        <f>IFERROR(IF(VLOOKUP($B166,casostestes[#Data],4)=0,"-",VLOOKUP($B166,casostestes[#Data],4)),"-")</f>
        <v>-</v>
      </c>
      <c r="G166" s="35" t="str">
        <f>IFERROR(IF(VLOOKUP($B166,casostestes[#Data],5)=0,"-",VLOOKUP($B166,casostestes[#Data],5)),"-")</f>
        <v>-</v>
      </c>
      <c r="H166" s="35" t="str">
        <f>IFERROR(IF(VLOOKUP($B166,casostestes[#Data],6)=0,"-",VLOOKUP($B166,casostestes[#Data],6)),"-")</f>
        <v>-</v>
      </c>
      <c r="I166" s="35" t="str">
        <f>IFERROR(IF(VLOOKUP($B166,casostestes[#Data],8)=0,"-",VLOOKUP($B166,casostestes[#Data],8)),"-")</f>
        <v>-</v>
      </c>
      <c r="J166" s="35" t="str">
        <f>IFERROR(IF(VLOOKUP($B166,casostestes[#Data],9)=0,"-",VLOOKUP($B166,casostestes[#Data],9)),"-")</f>
        <v>-</v>
      </c>
      <c r="K166" s="36"/>
      <c r="L166" s="45"/>
      <c r="M166" s="37"/>
      <c r="N166" s="38"/>
      <c r="O166" s="38"/>
      <c r="P166" s="39"/>
    </row>
    <row r="167" spans="2:16">
      <c r="B167" s="40" t="str">
        <f>IF(ISERR(casostestes[[#This Row],[ID]]),"-",casostestes[[#This Row],[ID]])</f>
        <v>-</v>
      </c>
      <c r="C167" s="34" t="str">
        <f>IFERROR(IF(VLOOKUP($B167,casostestes[#Data],10)=0,"Não",VLOOKUP($B167,casostestes[#Data],10)), "-")</f>
        <v>-</v>
      </c>
      <c r="D167" s="35" t="str">
        <f>IFERROR(IF(VLOOKUP($B167,casostestes[#Data],2)=0,"-",VLOOKUP($B167,casostestes[#Data],2)), "-")</f>
        <v>-</v>
      </c>
      <c r="E167" s="35" t="str">
        <f>IFERROR(IF(VLOOKUP($B167,casostestes[#Data],3)=0,"-",VLOOKUP($B167,casostestes[#Data],3)), "-")</f>
        <v>-</v>
      </c>
      <c r="F167" s="35" t="str">
        <f>IFERROR(IF(VLOOKUP($B167,casostestes[#Data],4)=0,"-",VLOOKUP($B167,casostestes[#Data],4)),"-")</f>
        <v>-</v>
      </c>
      <c r="G167" s="35" t="str">
        <f>IFERROR(IF(VLOOKUP($B167,casostestes[#Data],5)=0,"-",VLOOKUP($B167,casostestes[#Data],5)),"-")</f>
        <v>-</v>
      </c>
      <c r="H167" s="35" t="str">
        <f>IFERROR(IF(VLOOKUP($B167,casostestes[#Data],6)=0,"-",VLOOKUP($B167,casostestes[#Data],6)),"-")</f>
        <v>-</v>
      </c>
      <c r="I167" s="35" t="str">
        <f>IFERROR(IF(VLOOKUP($B167,casostestes[#Data],8)=0,"-",VLOOKUP($B167,casostestes[#Data],8)),"-")</f>
        <v>-</v>
      </c>
      <c r="J167" s="35" t="str">
        <f>IFERROR(IF(VLOOKUP($B167,casostestes[#Data],9)=0,"-",VLOOKUP($B167,casostestes[#Data],9)),"-")</f>
        <v>-</v>
      </c>
      <c r="K167" s="36"/>
      <c r="L167" s="45"/>
      <c r="M167" s="37"/>
      <c r="N167" s="38"/>
      <c r="O167" s="38"/>
      <c r="P167" s="39"/>
    </row>
    <row r="168" spans="2:16">
      <c r="B168" s="40" t="str">
        <f>IF(ISERR(casostestes[[#This Row],[ID]]),"-",casostestes[[#This Row],[ID]])</f>
        <v>-</v>
      </c>
      <c r="C168" s="34" t="str">
        <f>IFERROR(IF(VLOOKUP($B168,casostestes[#Data],10)=0,"Não",VLOOKUP($B168,casostestes[#Data],10)), "-")</f>
        <v>-</v>
      </c>
      <c r="D168" s="35" t="str">
        <f>IFERROR(IF(VLOOKUP($B168,casostestes[#Data],2)=0,"-",VLOOKUP($B168,casostestes[#Data],2)), "-")</f>
        <v>-</v>
      </c>
      <c r="E168" s="35" t="str">
        <f>IFERROR(IF(VLOOKUP($B168,casostestes[#Data],3)=0,"-",VLOOKUP($B168,casostestes[#Data],3)), "-")</f>
        <v>-</v>
      </c>
      <c r="F168" s="35" t="str">
        <f>IFERROR(IF(VLOOKUP($B168,casostestes[#Data],4)=0,"-",VLOOKUP($B168,casostestes[#Data],4)),"-")</f>
        <v>-</v>
      </c>
      <c r="G168" s="35" t="str">
        <f>IFERROR(IF(VLOOKUP($B168,casostestes[#Data],5)=0,"-",VLOOKUP($B168,casostestes[#Data],5)),"-")</f>
        <v>-</v>
      </c>
      <c r="H168" s="35" t="str">
        <f>IFERROR(IF(VLOOKUP($B168,casostestes[#Data],6)=0,"-",VLOOKUP($B168,casostestes[#Data],6)),"-")</f>
        <v>-</v>
      </c>
      <c r="I168" s="35" t="str">
        <f>IFERROR(IF(VLOOKUP($B168,casostestes[#Data],8)=0,"-",VLOOKUP($B168,casostestes[#Data],8)),"-")</f>
        <v>-</v>
      </c>
      <c r="J168" s="35" t="str">
        <f>IFERROR(IF(VLOOKUP($B168,casostestes[#Data],9)=0,"-",VLOOKUP($B168,casostestes[#Data],9)),"-")</f>
        <v>-</v>
      </c>
      <c r="K168" s="36"/>
      <c r="L168" s="45"/>
      <c r="M168" s="37"/>
      <c r="N168" s="38"/>
      <c r="O168" s="38"/>
      <c r="P168" s="39"/>
    </row>
    <row r="169" spans="2:16">
      <c r="B169" s="40" t="str">
        <f>IF(ISERR(casostestes[[#This Row],[ID]]),"-",casostestes[[#This Row],[ID]])</f>
        <v>-</v>
      </c>
      <c r="C169" s="34" t="str">
        <f>IFERROR(IF(VLOOKUP($B169,casostestes[#Data],10)=0,"Não",VLOOKUP($B169,casostestes[#Data],10)), "-")</f>
        <v>-</v>
      </c>
      <c r="D169" s="35" t="str">
        <f>IFERROR(IF(VLOOKUP($B169,casostestes[#Data],2)=0,"-",VLOOKUP($B169,casostestes[#Data],2)), "-")</f>
        <v>-</v>
      </c>
      <c r="E169" s="35" t="str">
        <f>IFERROR(IF(VLOOKUP($B169,casostestes[#Data],3)=0,"-",VLOOKUP($B169,casostestes[#Data],3)), "-")</f>
        <v>-</v>
      </c>
      <c r="F169" s="35" t="str">
        <f>IFERROR(IF(VLOOKUP($B169,casostestes[#Data],4)=0,"-",VLOOKUP($B169,casostestes[#Data],4)),"-")</f>
        <v>-</v>
      </c>
      <c r="G169" s="35" t="str">
        <f>IFERROR(IF(VLOOKUP($B169,casostestes[#Data],5)=0,"-",VLOOKUP($B169,casostestes[#Data],5)),"-")</f>
        <v>-</v>
      </c>
      <c r="H169" s="35" t="str">
        <f>IFERROR(IF(VLOOKUP($B169,casostestes[#Data],6)=0,"-",VLOOKUP($B169,casostestes[#Data],6)),"-")</f>
        <v>-</v>
      </c>
      <c r="I169" s="35" t="str">
        <f>IFERROR(IF(VLOOKUP($B169,casostestes[#Data],8)=0,"-",VLOOKUP($B169,casostestes[#Data],8)),"-")</f>
        <v>-</v>
      </c>
      <c r="J169" s="35" t="str">
        <f>IFERROR(IF(VLOOKUP($B169,casostestes[#Data],9)=0,"-",VLOOKUP($B169,casostestes[#Data],9)),"-")</f>
        <v>-</v>
      </c>
      <c r="K169" s="36"/>
      <c r="L169" s="45"/>
      <c r="M169" s="37"/>
      <c r="N169" s="38"/>
      <c r="O169" s="38"/>
      <c r="P169" s="39"/>
    </row>
    <row r="170" spans="2:16">
      <c r="B170" s="40" t="str">
        <f>IF(ISERR(casostestes[[#This Row],[ID]]),"-",casostestes[[#This Row],[ID]])</f>
        <v>-</v>
      </c>
      <c r="C170" s="34" t="str">
        <f>IFERROR(IF(VLOOKUP($B170,casostestes[#Data],10)=0,"Não",VLOOKUP($B170,casostestes[#Data],10)), "-")</f>
        <v>-</v>
      </c>
      <c r="D170" s="35" t="str">
        <f>IFERROR(IF(VLOOKUP($B170,casostestes[#Data],2)=0,"-",VLOOKUP($B170,casostestes[#Data],2)), "-")</f>
        <v>-</v>
      </c>
      <c r="E170" s="35" t="str">
        <f>IFERROR(IF(VLOOKUP($B170,casostestes[#Data],3)=0,"-",VLOOKUP($B170,casostestes[#Data],3)), "-")</f>
        <v>-</v>
      </c>
      <c r="F170" s="35" t="str">
        <f>IFERROR(IF(VLOOKUP($B170,casostestes[#Data],4)=0,"-",VLOOKUP($B170,casostestes[#Data],4)),"-")</f>
        <v>-</v>
      </c>
      <c r="G170" s="35" t="str">
        <f>IFERROR(IF(VLOOKUP($B170,casostestes[#Data],5)=0,"-",VLOOKUP($B170,casostestes[#Data],5)),"-")</f>
        <v>-</v>
      </c>
      <c r="H170" s="35" t="str">
        <f>IFERROR(IF(VLOOKUP($B170,casostestes[#Data],6)=0,"-",VLOOKUP($B170,casostestes[#Data],6)),"-")</f>
        <v>-</v>
      </c>
      <c r="I170" s="35" t="str">
        <f>IFERROR(IF(VLOOKUP($B170,casostestes[#Data],8)=0,"-",VLOOKUP($B170,casostestes[#Data],8)),"-")</f>
        <v>-</v>
      </c>
      <c r="J170" s="35" t="str">
        <f>IFERROR(IF(VLOOKUP($B170,casostestes[#Data],9)=0,"-",VLOOKUP($B170,casostestes[#Data],9)),"-")</f>
        <v>-</v>
      </c>
      <c r="K170" s="36"/>
      <c r="L170" s="45"/>
      <c r="M170" s="37"/>
      <c r="N170" s="38"/>
      <c r="O170" s="38"/>
      <c r="P170" s="39"/>
    </row>
    <row r="171" spans="2:16">
      <c r="B171" s="40" t="str">
        <f>IF(ISERR(casostestes[[#This Row],[ID]]),"-",casostestes[[#This Row],[ID]])</f>
        <v>-</v>
      </c>
      <c r="C171" s="34" t="str">
        <f>IFERROR(IF(VLOOKUP($B171,casostestes[#Data],10)=0,"Não",VLOOKUP($B171,casostestes[#Data],10)), "-")</f>
        <v>-</v>
      </c>
      <c r="D171" s="35" t="str">
        <f>IFERROR(IF(VLOOKUP($B171,casostestes[#Data],2)=0,"-",VLOOKUP($B171,casostestes[#Data],2)), "-")</f>
        <v>-</v>
      </c>
      <c r="E171" s="35" t="str">
        <f>IFERROR(IF(VLOOKUP($B171,casostestes[#Data],3)=0,"-",VLOOKUP($B171,casostestes[#Data],3)), "-")</f>
        <v>-</v>
      </c>
      <c r="F171" s="35" t="str">
        <f>IFERROR(IF(VLOOKUP($B171,casostestes[#Data],4)=0,"-",VLOOKUP($B171,casostestes[#Data],4)),"-")</f>
        <v>-</v>
      </c>
      <c r="G171" s="35" t="str">
        <f>IFERROR(IF(VLOOKUP($B171,casostestes[#Data],5)=0,"-",VLOOKUP($B171,casostestes[#Data],5)),"-")</f>
        <v>-</v>
      </c>
      <c r="H171" s="35" t="str">
        <f>IFERROR(IF(VLOOKUP($B171,casostestes[#Data],6)=0,"-",VLOOKUP($B171,casostestes[#Data],6)),"-")</f>
        <v>-</v>
      </c>
      <c r="I171" s="35" t="str">
        <f>IFERROR(IF(VLOOKUP($B171,casostestes[#Data],8)=0,"-",VLOOKUP($B171,casostestes[#Data],8)),"-")</f>
        <v>-</v>
      </c>
      <c r="J171" s="35" t="str">
        <f>IFERROR(IF(VLOOKUP($B171,casostestes[#Data],9)=0,"-",VLOOKUP($B171,casostestes[#Data],9)),"-")</f>
        <v>-</v>
      </c>
      <c r="K171" s="36"/>
      <c r="L171" s="45"/>
      <c r="M171" s="37"/>
      <c r="N171" s="38"/>
      <c r="O171" s="38"/>
      <c r="P171" s="39"/>
    </row>
    <row r="172" spans="2:16">
      <c r="B172" s="40" t="str">
        <f>IF(ISERR(casostestes[[#This Row],[ID]]),"-",casostestes[[#This Row],[ID]])</f>
        <v>-</v>
      </c>
      <c r="C172" s="34" t="str">
        <f>IFERROR(IF(VLOOKUP($B172,casostestes[#Data],10)=0,"Não",VLOOKUP($B172,casostestes[#Data],10)), "-")</f>
        <v>-</v>
      </c>
      <c r="D172" s="35" t="str">
        <f>IFERROR(IF(VLOOKUP($B172,casostestes[#Data],2)=0,"-",VLOOKUP($B172,casostestes[#Data],2)), "-")</f>
        <v>-</v>
      </c>
      <c r="E172" s="35" t="str">
        <f>IFERROR(IF(VLOOKUP($B172,casostestes[#Data],3)=0,"-",VLOOKUP($B172,casostestes[#Data],3)), "-")</f>
        <v>-</v>
      </c>
      <c r="F172" s="35" t="str">
        <f>IFERROR(IF(VLOOKUP($B172,casostestes[#Data],4)=0,"-",VLOOKUP($B172,casostestes[#Data],4)),"-")</f>
        <v>-</v>
      </c>
      <c r="G172" s="35" t="str">
        <f>IFERROR(IF(VLOOKUP($B172,casostestes[#Data],5)=0,"-",VLOOKUP($B172,casostestes[#Data],5)),"-")</f>
        <v>-</v>
      </c>
      <c r="H172" s="35" t="str">
        <f>IFERROR(IF(VLOOKUP($B172,casostestes[#Data],6)=0,"-",VLOOKUP($B172,casostestes[#Data],6)),"-")</f>
        <v>-</v>
      </c>
      <c r="I172" s="35" t="str">
        <f>IFERROR(IF(VLOOKUP($B172,casostestes[#Data],8)=0,"-",VLOOKUP($B172,casostestes[#Data],8)),"-")</f>
        <v>-</v>
      </c>
      <c r="J172" s="35" t="str">
        <f>IFERROR(IF(VLOOKUP($B172,casostestes[#Data],9)=0,"-",VLOOKUP($B172,casostestes[#Data],9)),"-")</f>
        <v>-</v>
      </c>
      <c r="K172" s="36"/>
      <c r="L172" s="45"/>
      <c r="M172" s="37"/>
      <c r="N172" s="38"/>
      <c r="O172" s="38"/>
      <c r="P172" s="39"/>
    </row>
    <row r="173" spans="2:16">
      <c r="B173" s="40" t="str">
        <f>IF(ISERR(casostestes[[#This Row],[ID]]),"-",casostestes[[#This Row],[ID]])</f>
        <v>-</v>
      </c>
      <c r="C173" s="34" t="str">
        <f>IFERROR(IF(VLOOKUP($B173,casostestes[#Data],10)=0,"Não",VLOOKUP($B173,casostestes[#Data],10)), "-")</f>
        <v>-</v>
      </c>
      <c r="D173" s="35" t="str">
        <f>IFERROR(IF(VLOOKUP($B173,casostestes[#Data],2)=0,"-",VLOOKUP($B173,casostestes[#Data],2)), "-")</f>
        <v>-</v>
      </c>
      <c r="E173" s="35" t="str">
        <f>IFERROR(IF(VLOOKUP($B173,casostestes[#Data],3)=0,"-",VLOOKUP($B173,casostestes[#Data],3)), "-")</f>
        <v>-</v>
      </c>
      <c r="F173" s="35" t="str">
        <f>IFERROR(IF(VLOOKUP($B173,casostestes[#Data],4)=0,"-",VLOOKUP($B173,casostestes[#Data],4)),"-")</f>
        <v>-</v>
      </c>
      <c r="G173" s="35" t="str">
        <f>IFERROR(IF(VLOOKUP($B173,casostestes[#Data],5)=0,"-",VLOOKUP($B173,casostestes[#Data],5)),"-")</f>
        <v>-</v>
      </c>
      <c r="H173" s="35" t="str">
        <f>IFERROR(IF(VLOOKUP($B173,casostestes[#Data],6)=0,"-",VLOOKUP($B173,casostestes[#Data],6)),"-")</f>
        <v>-</v>
      </c>
      <c r="I173" s="35" t="str">
        <f>IFERROR(IF(VLOOKUP($B173,casostestes[#Data],8)=0,"-",VLOOKUP($B173,casostestes[#Data],8)),"-")</f>
        <v>-</v>
      </c>
      <c r="J173" s="35" t="str">
        <f>IFERROR(IF(VLOOKUP($B173,casostestes[#Data],9)=0,"-",VLOOKUP($B173,casostestes[#Data],9)),"-")</f>
        <v>-</v>
      </c>
      <c r="K173" s="36"/>
      <c r="L173" s="45"/>
      <c r="M173" s="37"/>
      <c r="N173" s="38"/>
      <c r="O173" s="38"/>
      <c r="P173" s="39"/>
    </row>
    <row r="174" spans="2:16">
      <c r="B174" s="40" t="str">
        <f>IF(ISERR(casostestes[[#This Row],[ID]]),"-",casostestes[[#This Row],[ID]])</f>
        <v>-</v>
      </c>
      <c r="C174" s="34" t="str">
        <f>IFERROR(IF(VLOOKUP($B174,casostestes[#Data],10)=0,"Não",VLOOKUP($B174,casostestes[#Data],10)), "-")</f>
        <v>-</v>
      </c>
      <c r="D174" s="35" t="str">
        <f>IFERROR(IF(VLOOKUP($B174,casostestes[#Data],2)=0,"-",VLOOKUP($B174,casostestes[#Data],2)), "-")</f>
        <v>-</v>
      </c>
      <c r="E174" s="35" t="str">
        <f>IFERROR(IF(VLOOKUP($B174,casostestes[#Data],3)=0,"-",VLOOKUP($B174,casostestes[#Data],3)), "-")</f>
        <v>-</v>
      </c>
      <c r="F174" s="35" t="str">
        <f>IFERROR(IF(VLOOKUP($B174,casostestes[#Data],4)=0,"-",VLOOKUP($B174,casostestes[#Data],4)),"-")</f>
        <v>-</v>
      </c>
      <c r="G174" s="35" t="str">
        <f>IFERROR(IF(VLOOKUP($B174,casostestes[#Data],5)=0,"-",VLOOKUP($B174,casostestes[#Data],5)),"-")</f>
        <v>-</v>
      </c>
      <c r="H174" s="35" t="str">
        <f>IFERROR(IF(VLOOKUP($B174,casostestes[#Data],6)=0,"-",VLOOKUP($B174,casostestes[#Data],6)),"-")</f>
        <v>-</v>
      </c>
      <c r="I174" s="35" t="str">
        <f>IFERROR(IF(VLOOKUP($B174,casostestes[#Data],8)=0,"-",VLOOKUP($B174,casostestes[#Data],8)),"-")</f>
        <v>-</v>
      </c>
      <c r="J174" s="35" t="str">
        <f>IFERROR(IF(VLOOKUP($B174,casostestes[#Data],9)=0,"-",VLOOKUP($B174,casostestes[#Data],9)),"-")</f>
        <v>-</v>
      </c>
      <c r="K174" s="36"/>
      <c r="L174" s="45"/>
      <c r="M174" s="37"/>
      <c r="N174" s="38"/>
      <c r="O174" s="38"/>
      <c r="P174" s="39"/>
    </row>
    <row r="175" spans="2:16">
      <c r="B175" s="40" t="str">
        <f>IF(ISERR(casostestes[[#This Row],[ID]]),"-",casostestes[[#This Row],[ID]])</f>
        <v>-</v>
      </c>
      <c r="C175" s="34" t="str">
        <f>IFERROR(IF(VLOOKUP($B175,casostestes[#Data],10)=0,"Não",VLOOKUP($B175,casostestes[#Data],10)), "-")</f>
        <v>-</v>
      </c>
      <c r="D175" s="35" t="str">
        <f>IFERROR(IF(VLOOKUP($B175,casostestes[#Data],2)=0,"-",VLOOKUP($B175,casostestes[#Data],2)), "-")</f>
        <v>-</v>
      </c>
      <c r="E175" s="35" t="str">
        <f>IFERROR(IF(VLOOKUP($B175,casostestes[#Data],3)=0,"-",VLOOKUP($B175,casostestes[#Data],3)), "-")</f>
        <v>-</v>
      </c>
      <c r="F175" s="35" t="str">
        <f>IFERROR(IF(VLOOKUP($B175,casostestes[#Data],4)=0,"-",VLOOKUP($B175,casostestes[#Data],4)),"-")</f>
        <v>-</v>
      </c>
      <c r="G175" s="35" t="str">
        <f>IFERROR(IF(VLOOKUP($B175,casostestes[#Data],5)=0,"-",VLOOKUP($B175,casostestes[#Data],5)),"-")</f>
        <v>-</v>
      </c>
      <c r="H175" s="35" t="str">
        <f>IFERROR(IF(VLOOKUP($B175,casostestes[#Data],6)=0,"-",VLOOKUP($B175,casostestes[#Data],6)),"-")</f>
        <v>-</v>
      </c>
      <c r="I175" s="35" t="str">
        <f>IFERROR(IF(VLOOKUP($B175,casostestes[#Data],8)=0,"-",VLOOKUP($B175,casostestes[#Data],8)),"-")</f>
        <v>-</v>
      </c>
      <c r="J175" s="35" t="str">
        <f>IFERROR(IF(VLOOKUP($B175,casostestes[#Data],9)=0,"-",VLOOKUP($B175,casostestes[#Data],9)),"-")</f>
        <v>-</v>
      </c>
      <c r="K175" s="36"/>
      <c r="L175" s="45"/>
      <c r="M175" s="37"/>
      <c r="N175" s="38"/>
      <c r="O175" s="38"/>
      <c r="P175" s="39"/>
    </row>
    <row r="176" spans="2:16">
      <c r="B176" s="40" t="str">
        <f>IF(ISERR(casostestes[[#This Row],[ID]]),"-",casostestes[[#This Row],[ID]])</f>
        <v>-</v>
      </c>
      <c r="C176" s="34" t="str">
        <f>IFERROR(IF(VLOOKUP($B176,casostestes[#Data],10)=0,"Não",VLOOKUP($B176,casostestes[#Data],10)), "-")</f>
        <v>-</v>
      </c>
      <c r="D176" s="35" t="str">
        <f>IFERROR(IF(VLOOKUP($B176,casostestes[#Data],2)=0,"-",VLOOKUP($B176,casostestes[#Data],2)), "-")</f>
        <v>-</v>
      </c>
      <c r="E176" s="35" t="str">
        <f>IFERROR(IF(VLOOKUP($B176,casostestes[#Data],3)=0,"-",VLOOKUP($B176,casostestes[#Data],3)), "-")</f>
        <v>-</v>
      </c>
      <c r="F176" s="35" t="str">
        <f>IFERROR(IF(VLOOKUP($B176,casostestes[#Data],4)=0,"-",VLOOKUP($B176,casostestes[#Data],4)),"-")</f>
        <v>-</v>
      </c>
      <c r="G176" s="35" t="str">
        <f>IFERROR(IF(VLOOKUP($B176,casostestes[#Data],5)=0,"-",VLOOKUP($B176,casostestes[#Data],5)),"-")</f>
        <v>-</v>
      </c>
      <c r="H176" s="35" t="str">
        <f>IFERROR(IF(VLOOKUP($B176,casostestes[#Data],6)=0,"-",VLOOKUP($B176,casostestes[#Data],6)),"-")</f>
        <v>-</v>
      </c>
      <c r="I176" s="35" t="str">
        <f>IFERROR(IF(VLOOKUP($B176,casostestes[#Data],8)=0,"-",VLOOKUP($B176,casostestes[#Data],8)),"-")</f>
        <v>-</v>
      </c>
      <c r="J176" s="35" t="str">
        <f>IFERROR(IF(VLOOKUP($B176,casostestes[#Data],9)=0,"-",VLOOKUP($B176,casostestes[#Data],9)),"-")</f>
        <v>-</v>
      </c>
      <c r="K176" s="36"/>
      <c r="L176" s="45"/>
      <c r="M176" s="37"/>
      <c r="N176" s="38"/>
      <c r="O176" s="38"/>
      <c r="P176" s="39"/>
    </row>
    <row r="177" spans="2:16">
      <c r="B177" s="40" t="str">
        <f>IF(ISERR(casostestes[[#This Row],[ID]]),"-",casostestes[[#This Row],[ID]])</f>
        <v>-</v>
      </c>
      <c r="C177" s="34" t="str">
        <f>IFERROR(IF(VLOOKUP($B177,casostestes[#Data],10)=0,"Não",VLOOKUP($B177,casostestes[#Data],10)), "-")</f>
        <v>-</v>
      </c>
      <c r="D177" s="35" t="str">
        <f>IFERROR(IF(VLOOKUP($B177,casostestes[#Data],2)=0,"-",VLOOKUP($B177,casostestes[#Data],2)), "-")</f>
        <v>-</v>
      </c>
      <c r="E177" s="35" t="str">
        <f>IFERROR(IF(VLOOKUP($B177,casostestes[#Data],3)=0,"-",VLOOKUP($B177,casostestes[#Data],3)), "-")</f>
        <v>-</v>
      </c>
      <c r="F177" s="35" t="str">
        <f>IFERROR(IF(VLOOKUP($B177,casostestes[#Data],4)=0,"-",VLOOKUP($B177,casostestes[#Data],4)),"-")</f>
        <v>-</v>
      </c>
      <c r="G177" s="35" t="str">
        <f>IFERROR(IF(VLOOKUP($B177,casostestes[#Data],5)=0,"-",VLOOKUP($B177,casostestes[#Data],5)),"-")</f>
        <v>-</v>
      </c>
      <c r="H177" s="35" t="str">
        <f>IFERROR(IF(VLOOKUP($B177,casostestes[#Data],6)=0,"-",VLOOKUP($B177,casostestes[#Data],6)),"-")</f>
        <v>-</v>
      </c>
      <c r="I177" s="35" t="str">
        <f>IFERROR(IF(VLOOKUP($B177,casostestes[#Data],8)=0,"-",VLOOKUP($B177,casostestes[#Data],8)),"-")</f>
        <v>-</v>
      </c>
      <c r="J177" s="35" t="str">
        <f>IFERROR(IF(VLOOKUP($B177,casostestes[#Data],9)=0,"-",VLOOKUP($B177,casostestes[#Data],9)),"-")</f>
        <v>-</v>
      </c>
      <c r="K177" s="36"/>
      <c r="L177" s="45"/>
      <c r="M177" s="37"/>
      <c r="N177" s="38"/>
      <c r="O177" s="38"/>
      <c r="P177" s="39"/>
    </row>
    <row r="178" spans="2:16">
      <c r="B178" s="40" t="str">
        <f>IF(ISERR(casostestes[[#This Row],[ID]]),"-",casostestes[[#This Row],[ID]])</f>
        <v>-</v>
      </c>
      <c r="C178" s="34" t="str">
        <f>IFERROR(IF(VLOOKUP($B178,casostestes[#Data],10)=0,"Não",VLOOKUP($B178,casostestes[#Data],10)), "-")</f>
        <v>-</v>
      </c>
      <c r="D178" s="35" t="str">
        <f>IFERROR(IF(VLOOKUP($B178,casostestes[#Data],2)=0,"-",VLOOKUP($B178,casostestes[#Data],2)), "-")</f>
        <v>-</v>
      </c>
      <c r="E178" s="35" t="str">
        <f>IFERROR(IF(VLOOKUP($B178,casostestes[#Data],3)=0,"-",VLOOKUP($B178,casostestes[#Data],3)), "-")</f>
        <v>-</v>
      </c>
      <c r="F178" s="35" t="str">
        <f>IFERROR(IF(VLOOKUP($B178,casostestes[#Data],4)=0,"-",VLOOKUP($B178,casostestes[#Data],4)),"-")</f>
        <v>-</v>
      </c>
      <c r="G178" s="35" t="str">
        <f>IFERROR(IF(VLOOKUP($B178,casostestes[#Data],5)=0,"-",VLOOKUP($B178,casostestes[#Data],5)),"-")</f>
        <v>-</v>
      </c>
      <c r="H178" s="35" t="str">
        <f>IFERROR(IF(VLOOKUP($B178,casostestes[#Data],6)=0,"-",VLOOKUP($B178,casostestes[#Data],6)),"-")</f>
        <v>-</v>
      </c>
      <c r="I178" s="35" t="str">
        <f>IFERROR(IF(VLOOKUP($B178,casostestes[#Data],8)=0,"-",VLOOKUP($B178,casostestes[#Data],8)),"-")</f>
        <v>-</v>
      </c>
      <c r="J178" s="35" t="str">
        <f>IFERROR(IF(VLOOKUP($B178,casostestes[#Data],9)=0,"-",VLOOKUP($B178,casostestes[#Data],9)),"-")</f>
        <v>-</v>
      </c>
      <c r="K178" s="36"/>
      <c r="L178" s="45"/>
      <c r="M178" s="37"/>
      <c r="N178" s="38"/>
      <c r="O178" s="38"/>
      <c r="P178" s="39"/>
    </row>
    <row r="179" spans="2:16">
      <c r="B179" s="40" t="str">
        <f>IF(ISERR(casostestes[[#This Row],[ID]]),"-",casostestes[[#This Row],[ID]])</f>
        <v>-</v>
      </c>
      <c r="C179" s="34" t="str">
        <f>IFERROR(IF(VLOOKUP($B179,casostestes[#Data],10)=0,"Não",VLOOKUP($B179,casostestes[#Data],10)), "-")</f>
        <v>-</v>
      </c>
      <c r="D179" s="35" t="str">
        <f>IFERROR(IF(VLOOKUP($B179,casostestes[#Data],2)=0,"-",VLOOKUP($B179,casostestes[#Data],2)), "-")</f>
        <v>-</v>
      </c>
      <c r="E179" s="35" t="str">
        <f>IFERROR(IF(VLOOKUP($B179,casostestes[#Data],3)=0,"-",VLOOKUP($B179,casostestes[#Data],3)), "-")</f>
        <v>-</v>
      </c>
      <c r="F179" s="35" t="str">
        <f>IFERROR(IF(VLOOKUP($B179,casostestes[#Data],4)=0,"-",VLOOKUP($B179,casostestes[#Data],4)),"-")</f>
        <v>-</v>
      </c>
      <c r="G179" s="35" t="str">
        <f>IFERROR(IF(VLOOKUP($B179,casostestes[#Data],5)=0,"-",VLOOKUP($B179,casostestes[#Data],5)),"-")</f>
        <v>-</v>
      </c>
      <c r="H179" s="35" t="str">
        <f>IFERROR(IF(VLOOKUP($B179,casostestes[#Data],6)=0,"-",VLOOKUP($B179,casostestes[#Data],6)),"-")</f>
        <v>-</v>
      </c>
      <c r="I179" s="35" t="str">
        <f>IFERROR(IF(VLOOKUP($B179,casostestes[#Data],8)=0,"-",VLOOKUP($B179,casostestes[#Data],8)),"-")</f>
        <v>-</v>
      </c>
      <c r="J179" s="35" t="str">
        <f>IFERROR(IF(VLOOKUP($B179,casostestes[#Data],9)=0,"-",VLOOKUP($B179,casostestes[#Data],9)),"-")</f>
        <v>-</v>
      </c>
      <c r="K179" s="36"/>
      <c r="L179" s="45"/>
      <c r="M179" s="37"/>
      <c r="N179" s="38"/>
      <c r="O179" s="38"/>
      <c r="P179" s="39"/>
    </row>
    <row r="180" spans="2:16">
      <c r="B180" s="40" t="str">
        <f>IF(ISERR(casostestes[[#This Row],[ID]]),"-",casostestes[[#This Row],[ID]])</f>
        <v>-</v>
      </c>
      <c r="C180" s="34" t="str">
        <f>IFERROR(IF(VLOOKUP($B180,casostestes[#Data],10)=0,"Não",VLOOKUP($B180,casostestes[#Data],10)), "-")</f>
        <v>-</v>
      </c>
      <c r="D180" s="35" t="str">
        <f>IFERROR(IF(VLOOKUP($B180,casostestes[#Data],2)=0,"-",VLOOKUP($B180,casostestes[#Data],2)), "-")</f>
        <v>-</v>
      </c>
      <c r="E180" s="35" t="str">
        <f>IFERROR(IF(VLOOKUP($B180,casostestes[#Data],3)=0,"-",VLOOKUP($B180,casostestes[#Data],3)), "-")</f>
        <v>-</v>
      </c>
      <c r="F180" s="35" t="str">
        <f>IFERROR(IF(VLOOKUP($B180,casostestes[#Data],4)=0,"-",VLOOKUP($B180,casostestes[#Data],4)),"-")</f>
        <v>-</v>
      </c>
      <c r="G180" s="35" t="str">
        <f>IFERROR(IF(VLOOKUP($B180,casostestes[#Data],5)=0,"-",VLOOKUP($B180,casostestes[#Data],5)),"-")</f>
        <v>-</v>
      </c>
      <c r="H180" s="35" t="str">
        <f>IFERROR(IF(VLOOKUP($B180,casostestes[#Data],6)=0,"-",VLOOKUP($B180,casostestes[#Data],6)),"-")</f>
        <v>-</v>
      </c>
      <c r="I180" s="35" t="str">
        <f>IFERROR(IF(VLOOKUP($B180,casostestes[#Data],8)=0,"-",VLOOKUP($B180,casostestes[#Data],8)),"-")</f>
        <v>-</v>
      </c>
      <c r="J180" s="35" t="str">
        <f>IFERROR(IF(VLOOKUP($B180,casostestes[#Data],9)=0,"-",VLOOKUP($B180,casostestes[#Data],9)),"-")</f>
        <v>-</v>
      </c>
      <c r="K180" s="36"/>
      <c r="L180" s="45"/>
      <c r="M180" s="37"/>
      <c r="N180" s="38"/>
      <c r="O180" s="38"/>
      <c r="P180" s="39"/>
    </row>
    <row r="181" spans="2:16">
      <c r="B181" s="40" t="str">
        <f>IF(ISERR(casostestes[[#This Row],[ID]]),"-",casostestes[[#This Row],[ID]])</f>
        <v>-</v>
      </c>
      <c r="C181" s="34" t="str">
        <f>IFERROR(IF(VLOOKUP($B181,casostestes[#Data],10)=0,"Não",VLOOKUP($B181,casostestes[#Data],10)), "-")</f>
        <v>-</v>
      </c>
      <c r="D181" s="35" t="str">
        <f>IFERROR(IF(VLOOKUP($B181,casostestes[#Data],2)=0,"-",VLOOKUP($B181,casostestes[#Data],2)), "-")</f>
        <v>-</v>
      </c>
      <c r="E181" s="35" t="str">
        <f>IFERROR(IF(VLOOKUP($B181,casostestes[#Data],3)=0,"-",VLOOKUP($B181,casostestes[#Data],3)), "-")</f>
        <v>-</v>
      </c>
      <c r="F181" s="35" t="str">
        <f>IFERROR(IF(VLOOKUP($B181,casostestes[#Data],4)=0,"-",VLOOKUP($B181,casostestes[#Data],4)),"-")</f>
        <v>-</v>
      </c>
      <c r="G181" s="35" t="str">
        <f>IFERROR(IF(VLOOKUP($B181,casostestes[#Data],5)=0,"-",VLOOKUP($B181,casostestes[#Data],5)),"-")</f>
        <v>-</v>
      </c>
      <c r="H181" s="35" t="str">
        <f>IFERROR(IF(VLOOKUP($B181,casostestes[#Data],6)=0,"-",VLOOKUP($B181,casostestes[#Data],6)),"-")</f>
        <v>-</v>
      </c>
      <c r="I181" s="35" t="str">
        <f>IFERROR(IF(VLOOKUP($B181,casostestes[#Data],8)=0,"-",VLOOKUP($B181,casostestes[#Data],8)),"-")</f>
        <v>-</v>
      </c>
      <c r="J181" s="35" t="str">
        <f>IFERROR(IF(VLOOKUP($B181,casostestes[#Data],9)=0,"-",VLOOKUP($B181,casostestes[#Data],9)),"-")</f>
        <v>-</v>
      </c>
      <c r="K181" s="36"/>
      <c r="L181" s="45"/>
      <c r="M181" s="37"/>
      <c r="N181" s="38"/>
      <c r="O181" s="38"/>
      <c r="P181" s="39"/>
    </row>
    <row r="182" spans="2:16">
      <c r="B182" s="40" t="str">
        <f>IF(ISERR(casostestes[[#This Row],[ID]]),"-",casostestes[[#This Row],[ID]])</f>
        <v>-</v>
      </c>
      <c r="C182" s="34" t="str">
        <f>IFERROR(IF(VLOOKUP($B182,casostestes[#Data],10)=0,"Não",VLOOKUP($B182,casostestes[#Data],10)), "-")</f>
        <v>-</v>
      </c>
      <c r="D182" s="35" t="str">
        <f>IFERROR(IF(VLOOKUP($B182,casostestes[#Data],2)=0,"-",VLOOKUP($B182,casostestes[#Data],2)), "-")</f>
        <v>-</v>
      </c>
      <c r="E182" s="35" t="str">
        <f>IFERROR(IF(VLOOKUP($B182,casostestes[#Data],3)=0,"-",VLOOKUP($B182,casostestes[#Data],3)), "-")</f>
        <v>-</v>
      </c>
      <c r="F182" s="35" t="str">
        <f>IFERROR(IF(VLOOKUP($B182,casostestes[#Data],4)=0,"-",VLOOKUP($B182,casostestes[#Data],4)),"-")</f>
        <v>-</v>
      </c>
      <c r="G182" s="35" t="str">
        <f>IFERROR(IF(VLOOKUP($B182,casostestes[#Data],5)=0,"-",VLOOKUP($B182,casostestes[#Data],5)),"-")</f>
        <v>-</v>
      </c>
      <c r="H182" s="35" t="str">
        <f>IFERROR(IF(VLOOKUP($B182,casostestes[#Data],6)=0,"-",VLOOKUP($B182,casostestes[#Data],6)),"-")</f>
        <v>-</v>
      </c>
      <c r="I182" s="35" t="str">
        <f>IFERROR(IF(VLOOKUP($B182,casostestes[#Data],8)=0,"-",VLOOKUP($B182,casostestes[#Data],8)),"-")</f>
        <v>-</v>
      </c>
      <c r="J182" s="35" t="str">
        <f>IFERROR(IF(VLOOKUP($B182,casostestes[#Data],9)=0,"-",VLOOKUP($B182,casostestes[#Data],9)),"-")</f>
        <v>-</v>
      </c>
      <c r="K182" s="36"/>
      <c r="L182" s="45"/>
      <c r="M182" s="37"/>
      <c r="N182" s="38"/>
      <c r="O182" s="38"/>
      <c r="P182" s="39"/>
    </row>
    <row r="183" spans="2:16">
      <c r="B183" s="40" t="str">
        <f>IF(ISERR(casostestes[[#This Row],[ID]]),"-",casostestes[[#This Row],[ID]])</f>
        <v>-</v>
      </c>
      <c r="C183" s="34" t="str">
        <f>IFERROR(IF(VLOOKUP($B183,casostestes[#Data],10)=0,"Não",VLOOKUP($B183,casostestes[#Data],10)), "-")</f>
        <v>-</v>
      </c>
      <c r="D183" s="35" t="str">
        <f>IFERROR(IF(VLOOKUP($B183,casostestes[#Data],2)=0,"-",VLOOKUP($B183,casostestes[#Data],2)), "-")</f>
        <v>-</v>
      </c>
      <c r="E183" s="35" t="str">
        <f>IFERROR(IF(VLOOKUP($B183,casostestes[#Data],3)=0,"-",VLOOKUP($B183,casostestes[#Data],3)), "-")</f>
        <v>-</v>
      </c>
      <c r="F183" s="35" t="str">
        <f>IFERROR(IF(VLOOKUP($B183,casostestes[#Data],4)=0,"-",VLOOKUP($B183,casostestes[#Data],4)),"-")</f>
        <v>-</v>
      </c>
      <c r="G183" s="35" t="str">
        <f>IFERROR(IF(VLOOKUP($B183,casostestes[#Data],5)=0,"-",VLOOKUP($B183,casostestes[#Data],5)),"-")</f>
        <v>-</v>
      </c>
      <c r="H183" s="35" t="str">
        <f>IFERROR(IF(VLOOKUP($B183,casostestes[#Data],6)=0,"-",VLOOKUP($B183,casostestes[#Data],6)),"-")</f>
        <v>-</v>
      </c>
      <c r="I183" s="35" t="str">
        <f>IFERROR(IF(VLOOKUP($B183,casostestes[#Data],8)=0,"-",VLOOKUP($B183,casostestes[#Data],8)),"-")</f>
        <v>-</v>
      </c>
      <c r="J183" s="35" t="str">
        <f>IFERROR(IF(VLOOKUP($B183,casostestes[#Data],9)=0,"-",VLOOKUP($B183,casostestes[#Data],9)),"-")</f>
        <v>-</v>
      </c>
      <c r="K183" s="36"/>
      <c r="L183" s="45"/>
      <c r="M183" s="37"/>
      <c r="N183" s="38"/>
      <c r="O183" s="38"/>
      <c r="P183" s="39"/>
    </row>
    <row r="184" spans="2:16">
      <c r="B184" s="40" t="str">
        <f>IF(ISERR(casostestes[[#This Row],[ID]]),"-",casostestes[[#This Row],[ID]])</f>
        <v>-</v>
      </c>
      <c r="C184" s="34" t="str">
        <f>IFERROR(IF(VLOOKUP($B184,casostestes[#Data],10)=0,"Não",VLOOKUP($B184,casostestes[#Data],10)), "-")</f>
        <v>-</v>
      </c>
      <c r="D184" s="35" t="str">
        <f>IFERROR(IF(VLOOKUP($B184,casostestes[#Data],2)=0,"-",VLOOKUP($B184,casostestes[#Data],2)), "-")</f>
        <v>-</v>
      </c>
      <c r="E184" s="35" t="str">
        <f>IFERROR(IF(VLOOKUP($B184,casostestes[#Data],3)=0,"-",VLOOKUP($B184,casostestes[#Data],3)), "-")</f>
        <v>-</v>
      </c>
      <c r="F184" s="35" t="str">
        <f>IFERROR(IF(VLOOKUP($B184,casostestes[#Data],4)=0,"-",VLOOKUP($B184,casostestes[#Data],4)),"-")</f>
        <v>-</v>
      </c>
      <c r="G184" s="35" t="str">
        <f>IFERROR(IF(VLOOKUP($B184,casostestes[#Data],5)=0,"-",VLOOKUP($B184,casostestes[#Data],5)),"-")</f>
        <v>-</v>
      </c>
      <c r="H184" s="35" t="str">
        <f>IFERROR(IF(VLOOKUP($B184,casostestes[#Data],6)=0,"-",VLOOKUP($B184,casostestes[#Data],6)),"-")</f>
        <v>-</v>
      </c>
      <c r="I184" s="35" t="str">
        <f>IFERROR(IF(VLOOKUP($B184,casostestes[#Data],8)=0,"-",VLOOKUP($B184,casostestes[#Data],8)),"-")</f>
        <v>-</v>
      </c>
      <c r="J184" s="35" t="str">
        <f>IFERROR(IF(VLOOKUP($B184,casostestes[#Data],9)=0,"-",VLOOKUP($B184,casostestes[#Data],9)),"-")</f>
        <v>-</v>
      </c>
      <c r="K184" s="36"/>
      <c r="L184" s="45"/>
      <c r="M184" s="37"/>
      <c r="N184" s="38"/>
      <c r="O184" s="38"/>
      <c r="P184" s="39"/>
    </row>
    <row r="185" spans="2:16">
      <c r="B185" s="40" t="str">
        <f>IF(ISERR(casostestes[[#This Row],[ID]]),"-",casostestes[[#This Row],[ID]])</f>
        <v>-</v>
      </c>
      <c r="C185" s="34" t="str">
        <f>IFERROR(IF(VLOOKUP($B185,casostestes[#Data],10)=0,"Não",VLOOKUP($B185,casostestes[#Data],10)), "-")</f>
        <v>-</v>
      </c>
      <c r="D185" s="35" t="str">
        <f>IFERROR(IF(VLOOKUP($B185,casostestes[#Data],2)=0,"-",VLOOKUP($B185,casostestes[#Data],2)), "-")</f>
        <v>-</v>
      </c>
      <c r="E185" s="35" t="str">
        <f>IFERROR(IF(VLOOKUP($B185,casostestes[#Data],3)=0,"-",VLOOKUP($B185,casostestes[#Data],3)), "-")</f>
        <v>-</v>
      </c>
      <c r="F185" s="35" t="str">
        <f>IFERROR(IF(VLOOKUP($B185,casostestes[#Data],4)=0,"-",VLOOKUP($B185,casostestes[#Data],4)),"-")</f>
        <v>-</v>
      </c>
      <c r="G185" s="35" t="str">
        <f>IFERROR(IF(VLOOKUP($B185,casostestes[#Data],5)=0,"-",VLOOKUP($B185,casostestes[#Data],5)),"-")</f>
        <v>-</v>
      </c>
      <c r="H185" s="35" t="str">
        <f>IFERROR(IF(VLOOKUP($B185,casostestes[#Data],6)=0,"-",VLOOKUP($B185,casostestes[#Data],6)),"-")</f>
        <v>-</v>
      </c>
      <c r="I185" s="35" t="str">
        <f>IFERROR(IF(VLOOKUP($B185,casostestes[#Data],8)=0,"-",VLOOKUP($B185,casostestes[#Data],8)),"-")</f>
        <v>-</v>
      </c>
      <c r="J185" s="35" t="str">
        <f>IFERROR(IF(VLOOKUP($B185,casostestes[#Data],9)=0,"-",VLOOKUP($B185,casostestes[#Data],9)),"-")</f>
        <v>-</v>
      </c>
      <c r="K185" s="36"/>
      <c r="L185" s="45"/>
      <c r="M185" s="37"/>
      <c r="N185" s="38"/>
      <c r="O185" s="38"/>
      <c r="P185" s="39"/>
    </row>
    <row r="186" spans="2:16">
      <c r="B186" s="40" t="str">
        <f>IF(ISERR(casostestes[[#This Row],[ID]]),"-",casostestes[[#This Row],[ID]])</f>
        <v>-</v>
      </c>
      <c r="C186" s="34" t="str">
        <f>IFERROR(IF(VLOOKUP($B186,casostestes[#Data],10)=0,"Não",VLOOKUP($B186,casostestes[#Data],10)), "-")</f>
        <v>-</v>
      </c>
      <c r="D186" s="35" t="str">
        <f>IFERROR(IF(VLOOKUP($B186,casostestes[#Data],2)=0,"-",VLOOKUP($B186,casostestes[#Data],2)), "-")</f>
        <v>-</v>
      </c>
      <c r="E186" s="35" t="str">
        <f>IFERROR(IF(VLOOKUP($B186,casostestes[#Data],3)=0,"-",VLOOKUP($B186,casostestes[#Data],3)), "-")</f>
        <v>-</v>
      </c>
      <c r="F186" s="35" t="str">
        <f>IFERROR(IF(VLOOKUP($B186,casostestes[#Data],4)=0,"-",VLOOKUP($B186,casostestes[#Data],4)),"-")</f>
        <v>-</v>
      </c>
      <c r="G186" s="35" t="str">
        <f>IFERROR(IF(VLOOKUP($B186,casostestes[#Data],5)=0,"-",VLOOKUP($B186,casostestes[#Data],5)),"-")</f>
        <v>-</v>
      </c>
      <c r="H186" s="35" t="str">
        <f>IFERROR(IF(VLOOKUP($B186,casostestes[#Data],6)=0,"-",VLOOKUP($B186,casostestes[#Data],6)),"-")</f>
        <v>-</v>
      </c>
      <c r="I186" s="35" t="str">
        <f>IFERROR(IF(VLOOKUP($B186,casostestes[#Data],8)=0,"-",VLOOKUP($B186,casostestes[#Data],8)),"-")</f>
        <v>-</v>
      </c>
      <c r="J186" s="35" t="str">
        <f>IFERROR(IF(VLOOKUP($B186,casostestes[#Data],9)=0,"-",VLOOKUP($B186,casostestes[#Data],9)),"-")</f>
        <v>-</v>
      </c>
      <c r="K186" s="36"/>
      <c r="L186" s="45"/>
      <c r="M186" s="37"/>
      <c r="N186" s="38"/>
      <c r="O186" s="38"/>
      <c r="P186" s="39"/>
    </row>
    <row r="187" spans="2:16">
      <c r="B187" s="40" t="str">
        <f>IF(ISERR(casostestes[[#This Row],[ID]]),"-",casostestes[[#This Row],[ID]])</f>
        <v>-</v>
      </c>
      <c r="C187" s="34" t="str">
        <f>IFERROR(IF(VLOOKUP($B187,casostestes[#Data],10)=0,"Não",VLOOKUP($B187,casostestes[#Data],10)), "-")</f>
        <v>-</v>
      </c>
      <c r="D187" s="35" t="str">
        <f>IFERROR(IF(VLOOKUP($B187,casostestes[#Data],2)=0,"-",VLOOKUP($B187,casostestes[#Data],2)), "-")</f>
        <v>-</v>
      </c>
      <c r="E187" s="35" t="str">
        <f>IFERROR(IF(VLOOKUP($B187,casostestes[#Data],3)=0,"-",VLOOKUP($B187,casostestes[#Data],3)), "-")</f>
        <v>-</v>
      </c>
      <c r="F187" s="35" t="str">
        <f>IFERROR(IF(VLOOKUP($B187,casostestes[#Data],4)=0,"-",VLOOKUP($B187,casostestes[#Data],4)),"-")</f>
        <v>-</v>
      </c>
      <c r="G187" s="35" t="str">
        <f>IFERROR(IF(VLOOKUP($B187,casostestes[#Data],5)=0,"-",VLOOKUP($B187,casostestes[#Data],5)),"-")</f>
        <v>-</v>
      </c>
      <c r="H187" s="35" t="str">
        <f>IFERROR(IF(VLOOKUP($B187,casostestes[#Data],6)=0,"-",VLOOKUP($B187,casostestes[#Data],6)),"-")</f>
        <v>-</v>
      </c>
      <c r="I187" s="35" t="str">
        <f>IFERROR(IF(VLOOKUP($B187,casostestes[#Data],8)=0,"-",VLOOKUP($B187,casostestes[#Data],8)),"-")</f>
        <v>-</v>
      </c>
      <c r="J187" s="35" t="str">
        <f>IFERROR(IF(VLOOKUP($B187,casostestes[#Data],9)=0,"-",VLOOKUP($B187,casostestes[#Data],9)),"-")</f>
        <v>-</v>
      </c>
      <c r="K187" s="36"/>
      <c r="L187" s="45"/>
      <c r="M187" s="37"/>
      <c r="N187" s="38"/>
      <c r="O187" s="38"/>
      <c r="P187" s="39"/>
    </row>
    <row r="188" spans="2:16">
      <c r="B188" s="40" t="str">
        <f>IF(ISERR(casostestes[[#This Row],[ID]]),"-",casostestes[[#This Row],[ID]])</f>
        <v>-</v>
      </c>
      <c r="C188" s="34" t="str">
        <f>IFERROR(IF(VLOOKUP($B188,casostestes[#Data],10)=0,"Não",VLOOKUP($B188,casostestes[#Data],10)), "-")</f>
        <v>-</v>
      </c>
      <c r="D188" s="35" t="str">
        <f>IFERROR(IF(VLOOKUP($B188,casostestes[#Data],2)=0,"-",VLOOKUP($B188,casostestes[#Data],2)), "-")</f>
        <v>-</v>
      </c>
      <c r="E188" s="35" t="str">
        <f>IFERROR(IF(VLOOKUP($B188,casostestes[#Data],3)=0,"-",VLOOKUP($B188,casostestes[#Data],3)), "-")</f>
        <v>-</v>
      </c>
      <c r="F188" s="35" t="str">
        <f>IFERROR(IF(VLOOKUP($B188,casostestes[#Data],4)=0,"-",VLOOKUP($B188,casostestes[#Data],4)),"-")</f>
        <v>-</v>
      </c>
      <c r="G188" s="35" t="str">
        <f>IFERROR(IF(VLOOKUP($B188,casostestes[#Data],5)=0,"-",VLOOKUP($B188,casostestes[#Data],5)),"-")</f>
        <v>-</v>
      </c>
      <c r="H188" s="35" t="str">
        <f>IFERROR(IF(VLOOKUP($B188,casostestes[#Data],6)=0,"-",VLOOKUP($B188,casostestes[#Data],6)),"-")</f>
        <v>-</v>
      </c>
      <c r="I188" s="35" t="str">
        <f>IFERROR(IF(VLOOKUP($B188,casostestes[#Data],8)=0,"-",VLOOKUP($B188,casostestes[#Data],8)),"-")</f>
        <v>-</v>
      </c>
      <c r="J188" s="35" t="str">
        <f>IFERROR(IF(VLOOKUP($B188,casostestes[#Data],9)=0,"-",VLOOKUP($B188,casostestes[#Data],9)),"-")</f>
        <v>-</v>
      </c>
      <c r="K188" s="36"/>
      <c r="L188" s="45"/>
      <c r="M188" s="37"/>
      <c r="N188" s="38"/>
      <c r="O188" s="38"/>
      <c r="P188" s="39"/>
    </row>
    <row r="189" spans="2:16">
      <c r="B189" s="40" t="str">
        <f>IF(ISERR(casostestes[[#This Row],[ID]]),"-",casostestes[[#This Row],[ID]])</f>
        <v>-</v>
      </c>
      <c r="C189" s="34" t="str">
        <f>IFERROR(IF(VLOOKUP($B189,casostestes[#Data],10)=0,"Não",VLOOKUP($B189,casostestes[#Data],10)), "-")</f>
        <v>-</v>
      </c>
      <c r="D189" s="35" t="str">
        <f>IFERROR(IF(VLOOKUP($B189,casostestes[#Data],2)=0,"-",VLOOKUP($B189,casostestes[#Data],2)), "-")</f>
        <v>-</v>
      </c>
      <c r="E189" s="35" t="str">
        <f>IFERROR(IF(VLOOKUP($B189,casostestes[#Data],3)=0,"-",VLOOKUP($B189,casostestes[#Data],3)), "-")</f>
        <v>-</v>
      </c>
      <c r="F189" s="35" t="str">
        <f>IFERROR(IF(VLOOKUP($B189,casostestes[#Data],4)=0,"-",VLOOKUP($B189,casostestes[#Data],4)),"-")</f>
        <v>-</v>
      </c>
      <c r="G189" s="35" t="str">
        <f>IFERROR(IF(VLOOKUP($B189,casostestes[#Data],5)=0,"-",VLOOKUP($B189,casostestes[#Data],5)),"-")</f>
        <v>-</v>
      </c>
      <c r="H189" s="35" t="str">
        <f>IFERROR(IF(VLOOKUP($B189,casostestes[#Data],6)=0,"-",VLOOKUP($B189,casostestes[#Data],6)),"-")</f>
        <v>-</v>
      </c>
      <c r="I189" s="35" t="str">
        <f>IFERROR(IF(VLOOKUP($B189,casostestes[#Data],8)=0,"-",VLOOKUP($B189,casostestes[#Data],8)),"-")</f>
        <v>-</v>
      </c>
      <c r="J189" s="35" t="str">
        <f>IFERROR(IF(VLOOKUP($B189,casostestes[#Data],9)=0,"-",VLOOKUP($B189,casostestes[#Data],9)),"-")</f>
        <v>-</v>
      </c>
      <c r="K189" s="36"/>
      <c r="L189" s="45"/>
      <c r="M189" s="37"/>
      <c r="N189" s="38"/>
      <c r="O189" s="38"/>
      <c r="P189" s="39"/>
    </row>
    <row r="190" spans="2:16">
      <c r="B190" s="40" t="str">
        <f>IF(ISERR(casostestes[[#This Row],[ID]]),"-",casostestes[[#This Row],[ID]])</f>
        <v>-</v>
      </c>
      <c r="C190" s="34" t="str">
        <f>IFERROR(IF(VLOOKUP($B190,casostestes[#Data],10)=0,"Não",VLOOKUP($B190,casostestes[#Data],10)), "-")</f>
        <v>-</v>
      </c>
      <c r="D190" s="35" t="str">
        <f>IFERROR(IF(VLOOKUP($B190,casostestes[#Data],2)=0,"-",VLOOKUP($B190,casostestes[#Data],2)), "-")</f>
        <v>-</v>
      </c>
      <c r="E190" s="35" t="str">
        <f>IFERROR(IF(VLOOKUP($B190,casostestes[#Data],3)=0,"-",VLOOKUP($B190,casostestes[#Data],3)), "-")</f>
        <v>-</v>
      </c>
      <c r="F190" s="35" t="str">
        <f>IFERROR(IF(VLOOKUP($B190,casostestes[#Data],4)=0,"-",VLOOKUP($B190,casostestes[#Data],4)),"-")</f>
        <v>-</v>
      </c>
      <c r="G190" s="35" t="str">
        <f>IFERROR(IF(VLOOKUP($B190,casostestes[#Data],5)=0,"-",VLOOKUP($B190,casostestes[#Data],5)),"-")</f>
        <v>-</v>
      </c>
      <c r="H190" s="35" t="str">
        <f>IFERROR(IF(VLOOKUP($B190,casostestes[#Data],6)=0,"-",VLOOKUP($B190,casostestes[#Data],6)),"-")</f>
        <v>-</v>
      </c>
      <c r="I190" s="35" t="str">
        <f>IFERROR(IF(VLOOKUP($B190,casostestes[#Data],8)=0,"-",VLOOKUP($B190,casostestes[#Data],8)),"-")</f>
        <v>-</v>
      </c>
      <c r="J190" s="35" t="str">
        <f>IFERROR(IF(VLOOKUP($B190,casostestes[#Data],9)=0,"-",VLOOKUP($B190,casostestes[#Data],9)),"-")</f>
        <v>-</v>
      </c>
      <c r="K190" s="36"/>
      <c r="L190" s="45"/>
      <c r="M190" s="37"/>
      <c r="N190" s="38"/>
      <c r="O190" s="38"/>
      <c r="P190" s="39"/>
    </row>
    <row r="191" spans="2:16">
      <c r="B191" s="40" t="str">
        <f>IF(ISERR(casostestes[[#This Row],[ID]]),"-",casostestes[[#This Row],[ID]])</f>
        <v>-</v>
      </c>
      <c r="C191" s="34" t="str">
        <f>IFERROR(IF(VLOOKUP($B191,casostestes[#Data],10)=0,"Não",VLOOKUP($B191,casostestes[#Data],10)), "-")</f>
        <v>-</v>
      </c>
      <c r="D191" s="35" t="str">
        <f>IFERROR(IF(VLOOKUP($B191,casostestes[#Data],2)=0,"-",VLOOKUP($B191,casostestes[#Data],2)), "-")</f>
        <v>-</v>
      </c>
      <c r="E191" s="35" t="str">
        <f>IFERROR(IF(VLOOKUP($B191,casostestes[#Data],3)=0,"-",VLOOKUP($B191,casostestes[#Data],3)), "-")</f>
        <v>-</v>
      </c>
      <c r="F191" s="35" t="str">
        <f>IFERROR(IF(VLOOKUP($B191,casostestes[#Data],4)=0,"-",VLOOKUP($B191,casostestes[#Data],4)),"-")</f>
        <v>-</v>
      </c>
      <c r="G191" s="35" t="str">
        <f>IFERROR(IF(VLOOKUP($B191,casostestes[#Data],5)=0,"-",VLOOKUP($B191,casostestes[#Data],5)),"-")</f>
        <v>-</v>
      </c>
      <c r="H191" s="35" t="str">
        <f>IFERROR(IF(VLOOKUP($B191,casostestes[#Data],6)=0,"-",VLOOKUP($B191,casostestes[#Data],6)),"-")</f>
        <v>-</v>
      </c>
      <c r="I191" s="35" t="str">
        <f>IFERROR(IF(VLOOKUP($B191,casostestes[#Data],8)=0,"-",VLOOKUP($B191,casostestes[#Data],8)),"-")</f>
        <v>-</v>
      </c>
      <c r="J191" s="35" t="str">
        <f>IFERROR(IF(VLOOKUP($B191,casostestes[#Data],9)=0,"-",VLOOKUP($B191,casostestes[#Data],9)),"-")</f>
        <v>-</v>
      </c>
      <c r="K191" s="36"/>
      <c r="L191" s="45"/>
      <c r="M191" s="37"/>
      <c r="N191" s="38"/>
      <c r="O191" s="38"/>
      <c r="P191" s="39"/>
    </row>
    <row r="192" spans="2:16">
      <c r="B192" s="40" t="str">
        <f>IF(ISERR(casostestes[[#This Row],[ID]]),"-",casostestes[[#This Row],[ID]])</f>
        <v>-</v>
      </c>
      <c r="C192" s="34" t="str">
        <f>IFERROR(IF(VLOOKUP($B192,casostestes[#Data],10)=0,"Não",VLOOKUP($B192,casostestes[#Data],10)), "-")</f>
        <v>-</v>
      </c>
      <c r="D192" s="35" t="str">
        <f>IFERROR(IF(VLOOKUP($B192,casostestes[#Data],2)=0,"-",VLOOKUP($B192,casostestes[#Data],2)), "-")</f>
        <v>-</v>
      </c>
      <c r="E192" s="35" t="str">
        <f>IFERROR(IF(VLOOKUP($B192,casostestes[#Data],3)=0,"-",VLOOKUP($B192,casostestes[#Data],3)), "-")</f>
        <v>-</v>
      </c>
      <c r="F192" s="35" t="str">
        <f>IFERROR(IF(VLOOKUP($B192,casostestes[#Data],4)=0,"-",VLOOKUP($B192,casostestes[#Data],4)),"-")</f>
        <v>-</v>
      </c>
      <c r="G192" s="35" t="str">
        <f>IFERROR(IF(VLOOKUP($B192,casostestes[#Data],5)=0,"-",VLOOKUP($B192,casostestes[#Data],5)),"-")</f>
        <v>-</v>
      </c>
      <c r="H192" s="35" t="str">
        <f>IFERROR(IF(VLOOKUP($B192,casostestes[#Data],6)=0,"-",VLOOKUP($B192,casostestes[#Data],6)),"-")</f>
        <v>-</v>
      </c>
      <c r="I192" s="35" t="str">
        <f>IFERROR(IF(VLOOKUP($B192,casostestes[#Data],8)=0,"-",VLOOKUP($B192,casostestes[#Data],8)),"-")</f>
        <v>-</v>
      </c>
      <c r="J192" s="35" t="str">
        <f>IFERROR(IF(VLOOKUP($B192,casostestes[#Data],9)=0,"-",VLOOKUP($B192,casostestes[#Data],9)),"-")</f>
        <v>-</v>
      </c>
      <c r="K192" s="36"/>
      <c r="L192" s="45"/>
      <c r="M192" s="37"/>
      <c r="N192" s="38"/>
      <c r="O192" s="38"/>
      <c r="P192" s="39"/>
    </row>
    <row r="193" spans="2:16">
      <c r="B193" s="40" t="str">
        <f>IF(ISERR(casostestes[[#This Row],[ID]]),"-",casostestes[[#This Row],[ID]])</f>
        <v>-</v>
      </c>
      <c r="C193" s="34" t="str">
        <f>IFERROR(IF(VLOOKUP($B193,casostestes[#Data],10)=0,"Não",VLOOKUP($B193,casostestes[#Data],10)), "-")</f>
        <v>-</v>
      </c>
      <c r="D193" s="35" t="str">
        <f>IFERROR(IF(VLOOKUP($B193,casostestes[#Data],2)=0,"-",VLOOKUP($B193,casostestes[#Data],2)), "-")</f>
        <v>-</v>
      </c>
      <c r="E193" s="35" t="str">
        <f>IFERROR(IF(VLOOKUP($B193,casostestes[#Data],3)=0,"-",VLOOKUP($B193,casostestes[#Data],3)), "-")</f>
        <v>-</v>
      </c>
      <c r="F193" s="35" t="str">
        <f>IFERROR(IF(VLOOKUP($B193,casostestes[#Data],4)=0,"-",VLOOKUP($B193,casostestes[#Data],4)),"-")</f>
        <v>-</v>
      </c>
      <c r="G193" s="35" t="str">
        <f>IFERROR(IF(VLOOKUP($B193,casostestes[#Data],5)=0,"-",VLOOKUP($B193,casostestes[#Data],5)),"-")</f>
        <v>-</v>
      </c>
      <c r="H193" s="35" t="str">
        <f>IFERROR(IF(VLOOKUP($B193,casostestes[#Data],6)=0,"-",VLOOKUP($B193,casostestes[#Data],6)),"-")</f>
        <v>-</v>
      </c>
      <c r="I193" s="35" t="str">
        <f>IFERROR(IF(VLOOKUP($B193,casostestes[#Data],8)=0,"-",VLOOKUP($B193,casostestes[#Data],8)),"-")</f>
        <v>-</v>
      </c>
      <c r="J193" s="35" t="str">
        <f>IFERROR(IF(VLOOKUP($B193,casostestes[#Data],9)=0,"-",VLOOKUP($B193,casostestes[#Data],9)),"-")</f>
        <v>-</v>
      </c>
      <c r="K193" s="36"/>
      <c r="L193" s="45"/>
      <c r="M193" s="37"/>
      <c r="N193" s="38"/>
      <c r="O193" s="38"/>
      <c r="P193" s="39"/>
    </row>
    <row r="194" spans="2:16">
      <c r="B194" s="40" t="str">
        <f>IF(ISERR(casostestes[[#This Row],[ID]]),"-",casostestes[[#This Row],[ID]])</f>
        <v>-</v>
      </c>
      <c r="C194" s="34" t="str">
        <f>IFERROR(IF(VLOOKUP($B194,casostestes[#Data],10)=0,"Não",VLOOKUP($B194,casostestes[#Data],10)), "-")</f>
        <v>-</v>
      </c>
      <c r="D194" s="35" t="str">
        <f>IFERROR(IF(VLOOKUP($B194,casostestes[#Data],2)=0,"-",VLOOKUP($B194,casostestes[#Data],2)), "-")</f>
        <v>-</v>
      </c>
      <c r="E194" s="35" t="str">
        <f>IFERROR(IF(VLOOKUP($B194,casostestes[#Data],3)=0,"-",VLOOKUP($B194,casostestes[#Data],3)), "-")</f>
        <v>-</v>
      </c>
      <c r="F194" s="35" t="str">
        <f>IFERROR(IF(VLOOKUP($B194,casostestes[#Data],4)=0,"-",VLOOKUP($B194,casostestes[#Data],4)),"-")</f>
        <v>-</v>
      </c>
      <c r="G194" s="35" t="str">
        <f>IFERROR(IF(VLOOKUP($B194,casostestes[#Data],5)=0,"-",VLOOKUP($B194,casostestes[#Data],5)),"-")</f>
        <v>-</v>
      </c>
      <c r="H194" s="35" t="str">
        <f>IFERROR(IF(VLOOKUP($B194,casostestes[#Data],6)=0,"-",VLOOKUP($B194,casostestes[#Data],6)),"-")</f>
        <v>-</v>
      </c>
      <c r="I194" s="35" t="str">
        <f>IFERROR(IF(VLOOKUP($B194,casostestes[#Data],8)=0,"-",VLOOKUP($B194,casostestes[#Data],8)),"-")</f>
        <v>-</v>
      </c>
      <c r="J194" s="35" t="str">
        <f>IFERROR(IF(VLOOKUP($B194,casostestes[#Data],9)=0,"-",VLOOKUP($B194,casostestes[#Data],9)),"-")</f>
        <v>-</v>
      </c>
      <c r="K194" s="36"/>
      <c r="L194" s="45"/>
      <c r="M194" s="37"/>
      <c r="N194" s="38"/>
      <c r="O194" s="38"/>
      <c r="P194" s="39"/>
    </row>
    <row r="195" spans="2:16">
      <c r="B195" s="40" t="str">
        <f>IF(ISERR(casostestes[[#This Row],[ID]]),"-",casostestes[[#This Row],[ID]])</f>
        <v>-</v>
      </c>
      <c r="C195" s="34" t="str">
        <f>IFERROR(IF(VLOOKUP($B195,casostestes[#Data],10)=0,"Não",VLOOKUP($B195,casostestes[#Data],10)), "-")</f>
        <v>-</v>
      </c>
      <c r="D195" s="35" t="str">
        <f>IFERROR(IF(VLOOKUP($B195,casostestes[#Data],2)=0,"-",VLOOKUP($B195,casostestes[#Data],2)), "-")</f>
        <v>-</v>
      </c>
      <c r="E195" s="35" t="str">
        <f>IFERROR(IF(VLOOKUP($B195,casostestes[#Data],3)=0,"-",VLOOKUP($B195,casostestes[#Data],3)), "-")</f>
        <v>-</v>
      </c>
      <c r="F195" s="35" t="str">
        <f>IFERROR(IF(VLOOKUP($B195,casostestes[#Data],4)=0,"-",VLOOKUP($B195,casostestes[#Data],4)),"-")</f>
        <v>-</v>
      </c>
      <c r="G195" s="35" t="str">
        <f>IFERROR(IF(VLOOKUP($B195,casostestes[#Data],5)=0,"-",VLOOKUP($B195,casostestes[#Data],5)),"-")</f>
        <v>-</v>
      </c>
      <c r="H195" s="35" t="str">
        <f>IFERROR(IF(VLOOKUP($B195,casostestes[#Data],6)=0,"-",VLOOKUP($B195,casostestes[#Data],6)),"-")</f>
        <v>-</v>
      </c>
      <c r="I195" s="35" t="str">
        <f>IFERROR(IF(VLOOKUP($B195,casostestes[#Data],8)=0,"-",VLOOKUP($B195,casostestes[#Data],8)),"-")</f>
        <v>-</v>
      </c>
      <c r="J195" s="35" t="str">
        <f>IFERROR(IF(VLOOKUP($B195,casostestes[#Data],9)=0,"-",VLOOKUP($B195,casostestes[#Data],9)),"-")</f>
        <v>-</v>
      </c>
      <c r="K195" s="36"/>
      <c r="L195" s="45"/>
      <c r="M195" s="37"/>
      <c r="N195" s="38"/>
      <c r="O195" s="38"/>
      <c r="P195" s="39"/>
    </row>
    <row r="196" spans="2:16">
      <c r="B196" s="40" t="str">
        <f>IF(ISERR(casostestes[[#This Row],[ID]]),"-",casostestes[[#This Row],[ID]])</f>
        <v>-</v>
      </c>
      <c r="C196" s="34" t="str">
        <f>IFERROR(IF(VLOOKUP($B196,casostestes[#Data],10)=0,"Não",VLOOKUP($B196,casostestes[#Data],10)), "-")</f>
        <v>-</v>
      </c>
      <c r="D196" s="35" t="str">
        <f>IFERROR(IF(VLOOKUP($B196,casostestes[#Data],2)=0,"-",VLOOKUP($B196,casostestes[#Data],2)), "-")</f>
        <v>-</v>
      </c>
      <c r="E196" s="35" t="str">
        <f>IFERROR(IF(VLOOKUP($B196,casostestes[#Data],3)=0,"-",VLOOKUP($B196,casostestes[#Data],3)), "-")</f>
        <v>-</v>
      </c>
      <c r="F196" s="35" t="str">
        <f>IFERROR(IF(VLOOKUP($B196,casostestes[#Data],4)=0,"-",VLOOKUP($B196,casostestes[#Data],4)),"-")</f>
        <v>-</v>
      </c>
      <c r="G196" s="35" t="str">
        <f>IFERROR(IF(VLOOKUP($B196,casostestes[#Data],5)=0,"-",VLOOKUP($B196,casostestes[#Data],5)),"-")</f>
        <v>-</v>
      </c>
      <c r="H196" s="35" t="str">
        <f>IFERROR(IF(VLOOKUP($B196,casostestes[#Data],6)=0,"-",VLOOKUP($B196,casostestes[#Data],6)),"-")</f>
        <v>-</v>
      </c>
      <c r="I196" s="35" t="str">
        <f>IFERROR(IF(VLOOKUP($B196,casostestes[#Data],8)=0,"-",VLOOKUP($B196,casostestes[#Data],8)),"-")</f>
        <v>-</v>
      </c>
      <c r="J196" s="35" t="str">
        <f>IFERROR(IF(VLOOKUP($B196,casostestes[#Data],9)=0,"-",VLOOKUP($B196,casostestes[#Data],9)),"-")</f>
        <v>-</v>
      </c>
      <c r="K196" s="36"/>
      <c r="L196" s="45"/>
      <c r="M196" s="37"/>
      <c r="N196" s="38"/>
      <c r="O196" s="38"/>
      <c r="P196" s="39"/>
    </row>
    <row r="197" spans="2:16">
      <c r="B197" s="40" t="str">
        <f>IF(ISERR(casostestes[[#This Row],[ID]]),"-",casostestes[[#This Row],[ID]])</f>
        <v>-</v>
      </c>
      <c r="C197" s="34" t="str">
        <f>IFERROR(IF(VLOOKUP($B197,casostestes[#Data],10)=0,"Não",VLOOKUP($B197,casostestes[#Data],10)), "-")</f>
        <v>-</v>
      </c>
      <c r="D197" s="35" t="str">
        <f>IFERROR(IF(VLOOKUP($B197,casostestes[#Data],2)=0,"-",VLOOKUP($B197,casostestes[#Data],2)), "-")</f>
        <v>-</v>
      </c>
      <c r="E197" s="35" t="str">
        <f>IFERROR(IF(VLOOKUP($B197,casostestes[#Data],3)=0,"-",VLOOKUP($B197,casostestes[#Data],3)), "-")</f>
        <v>-</v>
      </c>
      <c r="F197" s="35" t="str">
        <f>IFERROR(IF(VLOOKUP($B197,casostestes[#Data],4)=0,"-",VLOOKUP($B197,casostestes[#Data],4)),"-")</f>
        <v>-</v>
      </c>
      <c r="G197" s="35" t="str">
        <f>IFERROR(IF(VLOOKUP($B197,casostestes[#Data],5)=0,"-",VLOOKUP($B197,casostestes[#Data],5)),"-")</f>
        <v>-</v>
      </c>
      <c r="H197" s="35" t="str">
        <f>IFERROR(IF(VLOOKUP($B197,casostestes[#Data],6)=0,"-",VLOOKUP($B197,casostestes[#Data],6)),"-")</f>
        <v>-</v>
      </c>
      <c r="I197" s="35" t="str">
        <f>IFERROR(IF(VLOOKUP($B197,casostestes[#Data],8)=0,"-",VLOOKUP($B197,casostestes[#Data],8)),"-")</f>
        <v>-</v>
      </c>
      <c r="J197" s="35" t="str">
        <f>IFERROR(IF(VLOOKUP($B197,casostestes[#Data],9)=0,"-",VLOOKUP($B197,casostestes[#Data],9)),"-")</f>
        <v>-</v>
      </c>
      <c r="K197" s="36"/>
      <c r="L197" s="45"/>
      <c r="M197" s="37"/>
      <c r="N197" s="38"/>
      <c r="O197" s="38"/>
      <c r="P197" s="39"/>
    </row>
    <row r="198" spans="2:16">
      <c r="B198" s="40" t="str">
        <f>IF(ISERR(casostestes[[#This Row],[ID]]),"-",casostestes[[#This Row],[ID]])</f>
        <v>-</v>
      </c>
      <c r="C198" s="34" t="str">
        <f>IFERROR(IF(VLOOKUP($B198,casostestes[#Data],10)=0,"Não",VLOOKUP($B198,casostestes[#Data],10)), "-")</f>
        <v>-</v>
      </c>
      <c r="D198" s="35" t="str">
        <f>IFERROR(IF(VLOOKUP($B198,casostestes[#Data],2)=0,"-",VLOOKUP($B198,casostestes[#Data],2)), "-")</f>
        <v>-</v>
      </c>
      <c r="E198" s="35" t="str">
        <f>IFERROR(IF(VLOOKUP($B198,casostestes[#Data],3)=0,"-",VLOOKUP($B198,casostestes[#Data],3)), "-")</f>
        <v>-</v>
      </c>
      <c r="F198" s="35" t="str">
        <f>IFERROR(IF(VLOOKUP($B198,casostestes[#Data],4)=0,"-",VLOOKUP($B198,casostestes[#Data],4)),"-")</f>
        <v>-</v>
      </c>
      <c r="G198" s="35" t="str">
        <f>IFERROR(IF(VLOOKUP($B198,casostestes[#Data],5)=0,"-",VLOOKUP($B198,casostestes[#Data],5)),"-")</f>
        <v>-</v>
      </c>
      <c r="H198" s="35" t="str">
        <f>IFERROR(IF(VLOOKUP($B198,casostestes[#Data],6)=0,"-",VLOOKUP($B198,casostestes[#Data],6)),"-")</f>
        <v>-</v>
      </c>
      <c r="I198" s="35" t="str">
        <f>IFERROR(IF(VLOOKUP($B198,casostestes[#Data],8)=0,"-",VLOOKUP($B198,casostestes[#Data],8)),"-")</f>
        <v>-</v>
      </c>
      <c r="J198" s="35" t="str">
        <f>IFERROR(IF(VLOOKUP($B198,casostestes[#Data],9)=0,"-",VLOOKUP($B198,casostestes[#Data],9)),"-")</f>
        <v>-</v>
      </c>
      <c r="K198" s="36"/>
      <c r="L198" s="45"/>
      <c r="M198" s="37"/>
      <c r="N198" s="38"/>
      <c r="O198" s="38"/>
      <c r="P198" s="39"/>
    </row>
    <row r="199" spans="2:16">
      <c r="B199" s="40" t="str">
        <f>IF(ISERR(casostestes[[#This Row],[ID]]),"-",casostestes[[#This Row],[ID]])</f>
        <v>-</v>
      </c>
      <c r="C199" s="34" t="str">
        <f>IFERROR(IF(VLOOKUP($B199,casostestes[#Data],10)=0,"Não",VLOOKUP($B199,casostestes[#Data],10)), "-")</f>
        <v>-</v>
      </c>
      <c r="D199" s="35" t="str">
        <f>IFERROR(IF(VLOOKUP($B199,casostestes[#Data],2)=0,"-",VLOOKUP($B199,casostestes[#Data],2)), "-")</f>
        <v>-</v>
      </c>
      <c r="E199" s="35" t="str">
        <f>IFERROR(IF(VLOOKUP($B199,casostestes[#Data],3)=0,"-",VLOOKUP($B199,casostestes[#Data],3)), "-")</f>
        <v>-</v>
      </c>
      <c r="F199" s="35" t="str">
        <f>IFERROR(IF(VLOOKUP($B199,casostestes[#Data],4)=0,"-",VLOOKUP($B199,casostestes[#Data],4)),"-")</f>
        <v>-</v>
      </c>
      <c r="G199" s="35" t="str">
        <f>IFERROR(IF(VLOOKUP($B199,casostestes[#Data],5)=0,"-",VLOOKUP($B199,casostestes[#Data],5)),"-")</f>
        <v>-</v>
      </c>
      <c r="H199" s="35" t="str">
        <f>IFERROR(IF(VLOOKUP($B199,casostestes[#Data],6)=0,"-",VLOOKUP($B199,casostestes[#Data],6)),"-")</f>
        <v>-</v>
      </c>
      <c r="I199" s="35" t="str">
        <f>IFERROR(IF(VLOOKUP($B199,casostestes[#Data],8)=0,"-",VLOOKUP($B199,casostestes[#Data],8)),"-")</f>
        <v>-</v>
      </c>
      <c r="J199" s="35" t="str">
        <f>IFERROR(IF(VLOOKUP($B199,casostestes[#Data],9)=0,"-",VLOOKUP($B199,casostestes[#Data],9)),"-")</f>
        <v>-</v>
      </c>
      <c r="K199" s="36"/>
      <c r="L199" s="45"/>
      <c r="M199" s="37"/>
      <c r="N199" s="38"/>
      <c r="O199" s="38"/>
      <c r="P199" s="39"/>
    </row>
    <row r="200" spans="2:16">
      <c r="B200" s="40" t="str">
        <f>IF(ISERR(casostestes[[#This Row],[ID]]),"-",casostestes[[#This Row],[ID]])</f>
        <v>-</v>
      </c>
      <c r="C200" s="41" t="str">
        <f>IFERROR(IF(VLOOKUP($B200,casostestes[#Data],10)=0,"Não",VLOOKUP($B200,casostestes[#Data],10)), "-")</f>
        <v>-</v>
      </c>
      <c r="D200" s="42" t="str">
        <f>IFERROR(IF(VLOOKUP($B200,casostestes[#Data],2)=0,"-",VLOOKUP($B200,casostestes[#Data],2)), "-")</f>
        <v>-</v>
      </c>
      <c r="E200" s="42" t="str">
        <f>IFERROR(IF(VLOOKUP($B200,casostestes[#Data],3)=0,"-",VLOOKUP($B200,casostestes[#Data],3)), "-")</f>
        <v>-</v>
      </c>
      <c r="F200" s="42" t="str">
        <f>IFERROR(IF(VLOOKUP($B200,casostestes[#Data],4)=0,"-",VLOOKUP($B200,casostestes[#Data],4)),"-")</f>
        <v>-</v>
      </c>
      <c r="G200" s="42" t="str">
        <f>IFERROR(IF(VLOOKUP($B200,casostestes[#Data],5)=0,"-",VLOOKUP($B200,casostestes[#Data],5)),"-")</f>
        <v>-</v>
      </c>
      <c r="H200" s="42" t="str">
        <f>IFERROR(IF(VLOOKUP($B200,casostestes[#Data],6)=0,"-",VLOOKUP($B200,casostestes[#Data],6)),"-")</f>
        <v>-</v>
      </c>
      <c r="I200" s="42" t="str">
        <f>IFERROR(IF(VLOOKUP($B200,casostestes[#Data],8)=0,"-",VLOOKUP($B200,casostestes[#Data],8)),"-")</f>
        <v>-</v>
      </c>
      <c r="J200" s="42" t="str">
        <f>IFERROR(IF(VLOOKUP($B200,casostestes[#Data],9)=0,"-",VLOOKUP($B200,casostestes[#Data],9)),"-")</f>
        <v>-</v>
      </c>
      <c r="K200" s="43"/>
      <c r="L200" s="45"/>
      <c r="M200" s="44"/>
      <c r="N200" s="45"/>
      <c r="O200" s="45"/>
      <c r="P200" s="46"/>
    </row>
  </sheetData>
  <mergeCells count="3">
    <mergeCell ref="B1:J1"/>
    <mergeCell ref="B2:J2"/>
    <mergeCell ref="B3:J3"/>
  </mergeCells>
  <conditionalFormatting sqref="C8:C200 C201:D1048576">
    <cfRule type="cellIs" dxfId="128" priority="6" operator="equal">
      <formula>"Sim"</formula>
    </cfRule>
    <cfRule type="cellIs" dxfId="127" priority="7" operator="equal">
      <formula>"Não"</formula>
    </cfRule>
  </conditionalFormatting>
  <conditionalFormatting sqref="M8:M200">
    <cfRule type="cellIs" dxfId="126" priority="1" operator="equal">
      <formula>"Sem massa"</formula>
    </cfRule>
    <cfRule type="cellIs" dxfId="125" priority="2" operator="equal">
      <formula>"Pendência Externa"</formula>
    </cfRule>
    <cfRule type="cellIs" dxfId="124" priority="3" operator="equal">
      <formula>"Disponível para reteste"</formula>
    </cfRule>
    <cfRule type="cellIs" dxfId="123" priority="4" operator="equal">
      <formula>"Reprovado"</formula>
    </cfRule>
    <cfRule type="cellIs" dxfId="122" priority="5" operator="equal">
      <formula>"Aprovado"</formula>
    </cfRule>
  </conditionalFormatting>
  <dataValidations count="1">
    <dataValidation type="list" allowBlank="1" showInputMessage="1" showErrorMessage="1" sqref="M8:M200" xr:uid="{13F2B0CC-FB51-4820-A7B9-692FA09211BB}">
      <formula1>INDIRECT("status[status]")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9D7FB-4DA0-4EFC-B01A-C46AEC48F83E}">
  <sheetPr>
    <tabColor theme="9" tint="0.79998168889431442"/>
  </sheetPr>
  <dimension ref="B1:P200"/>
  <sheetViews>
    <sheetView showGridLines="0" zoomScaleNormal="100" workbookViewId="0">
      <pane xSplit="5" ySplit="7" topLeftCell="K8" activePane="bottomRight" state="frozen"/>
      <selection pane="bottomRight" activeCell="O9" sqref="O9"/>
      <selection pane="bottomLeft" activeCell="E11" sqref="E11"/>
      <selection pane="topRight" activeCell="E11" sqref="E11"/>
    </sheetView>
  </sheetViews>
  <sheetFormatPr defaultColWidth="9.140625" defaultRowHeight="15"/>
  <cols>
    <col min="1" max="1" width="2.7109375" style="14" customWidth="1"/>
    <col min="2" max="2" width="7.7109375" style="14" customWidth="1"/>
    <col min="3" max="3" width="15.42578125" style="14" customWidth="1"/>
    <col min="4" max="4" width="26" style="14" customWidth="1"/>
    <col min="5" max="5" width="57.42578125" style="14" customWidth="1"/>
    <col min="6" max="6" width="17.7109375" style="14" customWidth="1"/>
    <col min="7" max="7" width="24.42578125" style="14" customWidth="1"/>
    <col min="8" max="8" width="57.42578125" style="14" customWidth="1"/>
    <col min="9" max="9" width="16.7109375" style="14" customWidth="1"/>
    <col min="10" max="10" width="104.7109375" style="14" customWidth="1"/>
    <col min="11" max="11" width="18" style="14" customWidth="1"/>
    <col min="12" max="12" width="20.5703125" style="14" customWidth="1"/>
    <col min="13" max="13" width="21.85546875" style="14" customWidth="1"/>
    <col min="14" max="14" width="31.5703125" style="14" customWidth="1"/>
    <col min="15" max="15" width="24.85546875" style="14" customWidth="1"/>
    <col min="16" max="16" width="22.42578125" style="14" customWidth="1"/>
    <col min="17" max="16384" width="9.140625" style="14"/>
  </cols>
  <sheetData>
    <row r="1" spans="2:16" ht="26.25">
      <c r="B1" s="106" t="s">
        <v>0</v>
      </c>
      <c r="C1" s="106"/>
      <c r="D1" s="106"/>
      <c r="E1" s="106"/>
      <c r="F1" s="106"/>
      <c r="G1" s="106"/>
      <c r="H1" s="106"/>
      <c r="I1" s="106"/>
      <c r="J1" s="106"/>
      <c r="K1" s="19"/>
      <c r="L1" s="19"/>
    </row>
    <row r="2" spans="2:16" s="21" customFormat="1" ht="23.25">
      <c r="B2" s="107" t="s">
        <v>1</v>
      </c>
      <c r="C2" s="107"/>
      <c r="D2" s="107"/>
      <c r="E2" s="107"/>
      <c r="F2" s="107"/>
      <c r="G2" s="107"/>
      <c r="H2" s="107"/>
      <c r="I2" s="107"/>
      <c r="J2" s="107"/>
      <c r="K2" s="20"/>
      <c r="L2" s="20"/>
    </row>
    <row r="3" spans="2:16" s="21" customFormat="1" ht="23.25">
      <c r="B3" s="107" t="s">
        <v>2</v>
      </c>
      <c r="C3" s="107"/>
      <c r="D3" s="107"/>
      <c r="E3" s="107"/>
      <c r="F3" s="107"/>
      <c r="G3" s="107"/>
      <c r="H3" s="107"/>
      <c r="I3" s="107"/>
      <c r="J3" s="107"/>
      <c r="K3" s="20"/>
      <c r="L3" s="20"/>
    </row>
    <row r="5" spans="2:16">
      <c r="B5" s="3"/>
      <c r="E5" s="3"/>
    </row>
    <row r="7" spans="2:16" s="3" customFormat="1">
      <c r="B7" s="15" t="s">
        <v>3</v>
      </c>
      <c r="C7" s="16" t="s">
        <v>4</v>
      </c>
      <c r="D7" s="16" t="s">
        <v>5</v>
      </c>
      <c r="E7" s="17" t="s">
        <v>6</v>
      </c>
      <c r="F7" s="17" t="s">
        <v>7</v>
      </c>
      <c r="G7" s="17" t="s">
        <v>8</v>
      </c>
      <c r="H7" s="17" t="s">
        <v>9</v>
      </c>
      <c r="I7" s="17" t="s">
        <v>10</v>
      </c>
      <c r="J7" s="17" t="s">
        <v>11</v>
      </c>
      <c r="K7" s="17" t="s">
        <v>12</v>
      </c>
      <c r="L7" s="17" t="s">
        <v>13</v>
      </c>
      <c r="M7" s="17" t="s">
        <v>14</v>
      </c>
      <c r="N7" s="17" t="s">
        <v>15</v>
      </c>
      <c r="O7" s="17" t="s">
        <v>16</v>
      </c>
      <c r="P7" s="18" t="s">
        <v>17</v>
      </c>
    </row>
    <row r="8" spans="2:16" s="13" customFormat="1" ht="105">
      <c r="B8" s="34">
        <f>IF(ISERR(casostestes[[#This Row],[ID]]),"-",casostestes[[#This Row],[ID]])</f>
        <v>1</v>
      </c>
      <c r="C8" s="34" t="str">
        <f>IFERROR(IF(VLOOKUP($B8,casostestes[#Data],10)=0,"Não",VLOOKUP($B8,casostestes[#Data],10)), "-")</f>
        <v>Sim</v>
      </c>
      <c r="D8" s="35" t="str">
        <f>IFERROR(IF(VLOOKUP($B8,casostestes[#Data],2)=0,"-",VLOOKUP($B8,casostestes[#Data],2)), "-")</f>
        <v>Requerimento Inicial de BI</v>
      </c>
      <c r="E8" s="35" t="str">
        <f>IFERROR(IF(VLOOKUP($B8,casostestes[#Data],3)=0,"-",VLOOKUP($B8,casostestes[#Data],3)), "-")</f>
        <v>6
Criação de tarefa de BI inicial com fluxo ATESTMED para categoria DIFERENTE de Segurado Especial COM exigência de preenchimento da AD.
Premissas:
Catálogo: Exige autodeclaração = ATIVADO
Parâmetro:  144 - Fluxo ATESTMED = LIGADO</v>
      </c>
      <c r="F8" s="35" t="str">
        <f>IFERROR(IF(VLOOKUP($B8,casostestes[#Data],4)=0,"-",VLOOKUP($B8,casostestes[#Data],4)),"-")</f>
        <v>Central 135</v>
      </c>
      <c r="G8" s="35" t="str">
        <f>IFERROR(IF(VLOOKUP($B8,casostestes[#Data],5)=0,"-",VLOOKUP($B8,casostestes[#Data],5)),"-")</f>
        <v>ATENDENTE_CENTRAL_135</v>
      </c>
      <c r="H8" s="35" t="str">
        <f>IFERROR(IF(VLOOKUP($B8,casostestes[#Data],6)=0,"-",VLOOKUP($B8,casostestes[#Data],6)),"-")</f>
        <v>1. Logar no Portal do Atendimento INSS com o perfil do caso de teste
2. Criar tarefa de BI informando:
- Tipo de Incapacidade? "Temporário"
- A pessoa está presa?  "Não"
- Categoria do trabalhador "Desempregado" ...
- A pessoa ficou sem trabalhar? "Sim"</v>
      </c>
      <c r="I8" s="35" t="str">
        <f>IFERROR(IF(VLOOKUP($B8,casostestes[#Data],8)=0,"-",VLOOKUP($B8,casostestes[#Data],8)),"-")</f>
        <v>-</v>
      </c>
      <c r="J8" s="35" t="str">
        <f>IFERROR(IF(VLOOKUP($B8,casostestes[#Data],9)=0,"-",VLOOKUP($B8,casostestes[#Data],9)),"-")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8" s="36">
        <v>46251</v>
      </c>
      <c r="L8" s="38" t="s">
        <v>244</v>
      </c>
      <c r="M8" s="37" t="s">
        <v>22</v>
      </c>
      <c r="N8" s="38" t="s">
        <v>245</v>
      </c>
      <c r="O8" s="38"/>
      <c r="P8" s="39"/>
    </row>
    <row r="9" spans="2:16" ht="244.5">
      <c r="B9" s="40">
        <f>IF(ISERR(casostestes[[#This Row],[ID]]),"-",casostestes[[#This Row],[ID]])</f>
        <v>2</v>
      </c>
      <c r="C9" s="41" t="str">
        <f>IFERROR(IF(VLOOKUP($B9,casostestes[#Data],10)=0,"Não",VLOOKUP($B9,casostestes[#Data],10)), "-")</f>
        <v>Sim</v>
      </c>
      <c r="D9" s="42" t="str">
        <f>IFERROR(IF(VLOOKUP($B9,casostestes[#Data],2)=0,"-",VLOOKUP($B9,casostestes[#Data],2)), "-")</f>
        <v>Integração</v>
      </c>
      <c r="E9" s="42" t="str">
        <f>IFERROR(IF(VLOOKUP($B9,casostestes[#Data],3)=0,"-",VLOOKUP($B9,casostestes[#Data],3)), "-")</f>
        <v>12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9" s="42" t="str">
        <f>IFERROR(IF(VLOOKUP($B9,casostestes[#Data],4)=0,"-",VLOOKUP($B9,casostestes[#Data],4)),"-")</f>
        <v>PAT</v>
      </c>
      <c r="G9" s="42" t="str">
        <f>IFERROR(IF(VLOOKUP($B9,casostestes[#Data],5)=0,"-",VLOOKUP($B9,casostestes[#Data],5)),"-")</f>
        <v>SERVIDOR</v>
      </c>
      <c r="H9" s="42" t="str">
        <f>IFERROR(IF(VLOOKUP($B9,casostestes[#Data],6)=0,"-",VLOOKUP($B9,casostestes[#Data],6)),"-")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9" s="42" t="str">
        <f>IFERROR(IF(VLOOKUP($B9,casostestes[#Data],8)=0,"-",VLOOKUP($B9,casostestes[#Data],8)),"-")</f>
        <v>-</v>
      </c>
      <c r="J9" s="42" t="str">
        <f>IFERROR(IF(VLOOKUP($B9,casostestes[#Data],9)=0,"-",VLOOKUP($B9,casostestes[#Data],9)),"-")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9" s="43">
        <v>46251</v>
      </c>
      <c r="L9" s="45" t="s">
        <v>246</v>
      </c>
      <c r="M9" s="44" t="s">
        <v>27</v>
      </c>
      <c r="N9" s="45" t="s">
        <v>247</v>
      </c>
      <c r="O9" s="45" t="s">
        <v>248</v>
      </c>
      <c r="P9" s="46"/>
    </row>
    <row r="10" spans="2:16" ht="216.75" customHeight="1">
      <c r="B10" s="40">
        <f>IF(ISERR(casostestes[[#This Row],[ID]]),"-",casostestes[[#This Row],[ID]])</f>
        <v>3</v>
      </c>
      <c r="C10" s="34" t="str">
        <f>IFERROR(IF(VLOOKUP($B10,casostestes[#Data],10)=0,"Não",VLOOKUP($B10,casostestes[#Data],10)), "-")</f>
        <v>Sim</v>
      </c>
      <c r="D10" s="35" t="str">
        <f>IFERROR(IF(VLOOKUP($B10,casostestes[#Data],2)=0,"-",VLOOKUP($B10,casostestes[#Data],2)), "-")</f>
        <v>Integração</v>
      </c>
      <c r="E10" s="35" t="str">
        <f>IFERROR(IF(VLOOKUP($B10,casostestes[#Data],3)=0,"-",VLOOKUP($B10,casostestes[#Data],3)), "-")</f>
        <v>13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10" s="35" t="str">
        <f>IFERROR(IF(VLOOKUP($B10,casostestes[#Data],4)=0,"-",VLOOKUP($B10,casostestes[#Data],4)),"-")</f>
        <v>PAT</v>
      </c>
      <c r="G10" s="35" t="str">
        <f>IFERROR(IF(VLOOKUP($B10,casostestes[#Data],5)=0,"-",VLOOKUP($B10,casostestes[#Data],5)),"-")</f>
        <v>SERVIDOR</v>
      </c>
      <c r="H10" s="35" t="str">
        <f>IFERROR(IF(VLOOKUP($B10,casostestes[#Data],6)=0,"-",VLOOKUP($B10,casostestes[#Data],6)),"-")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10" s="35" t="str">
        <f>IFERROR(IF(VLOOKUP($B10,casostestes[#Data],8)=0,"-",VLOOKUP($B10,casostestes[#Data],8)),"-")</f>
        <v>-</v>
      </c>
      <c r="J10" s="35" t="str">
        <f>IFERROR(IF(VLOOKUP($B10,casostestes[#Data],9)=0,"-",VLOOKUP($B10,casostestes[#Data],9)),"-")</f>
        <v>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</v>
      </c>
      <c r="K10" s="36">
        <v>46252</v>
      </c>
      <c r="L10" s="45" t="s">
        <v>249</v>
      </c>
      <c r="M10" s="37" t="s">
        <v>27</v>
      </c>
      <c r="N10" s="38" t="s">
        <v>250</v>
      </c>
      <c r="O10" s="38" t="s">
        <v>251</v>
      </c>
      <c r="P10" s="39"/>
    </row>
    <row r="11" spans="2:16" ht="229.5">
      <c r="B11" s="40">
        <f>IF(ISERR(casostestes[[#This Row],[ID]]),"-",casostestes[[#This Row],[ID]])</f>
        <v>4</v>
      </c>
      <c r="C11" s="34" t="str">
        <f>IFERROR(IF(VLOOKUP($B11,casostestes[#Data],10)=0,"Não",VLOOKUP($B11,casostestes[#Data],10)), "-")</f>
        <v>Sim</v>
      </c>
      <c r="D11" s="35" t="str">
        <f>IFERROR(IF(VLOOKUP($B11,casostestes[#Data],2)=0,"-",VLOOKUP($B11,casostestes[#Data],2)), "-")</f>
        <v>Integração</v>
      </c>
      <c r="E11" s="35" t="str">
        <f>IFERROR(IF(VLOOKUP($B11,casostestes[#Data],3)=0,"-",VLOOKUP($B11,casostestes[#Data],3)), "-")</f>
        <v>16
Cumprir a exigência de autodeclaração</v>
      </c>
      <c r="F11" s="35" t="str">
        <f>IFERROR(IF(VLOOKUP($B11,casostestes[#Data],4)=0,"-",VLOOKUP($B11,casostestes[#Data],4)),"-")</f>
        <v>PAT</v>
      </c>
      <c r="G11" s="35" t="str">
        <f>IFERROR(IF(VLOOKUP($B11,casostestes[#Data],5)=0,"-",VLOOKUP($B11,casostestes[#Data],5)),"-")</f>
        <v>SERVIDOR</v>
      </c>
      <c r="H11" s="35" t="str">
        <f>IFERROR(IF(VLOOKUP($B11,casostestes[#Data],6)=0,"-",VLOOKUP($B11,casostestes[#Data],6)),"-")</f>
        <v>1. Logar no Portal do Atendimento INSS com o perfil Servidor
2.Consultar uma tarefa em exigência de autodeclaração e acionar Cumprir Exigência  
3. Responder o formulário de autodeclaração até o final</v>
      </c>
      <c r="I11" s="35" t="str">
        <f>IFERROR(IF(VLOOKUP($B11,casostestes[#Data],8)=0,"-",VLOOKUP($B11,casostestes[#Data],8)),"-")</f>
        <v>-</v>
      </c>
      <c r="J11" s="35" t="str">
        <f>IFERROR(IF(VLOOKUP($B11,casostestes[#Data],9)=0,"-",VLOOKUP($B11,casostestes[#Data],9)),"-")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11" s="36">
        <v>46253</v>
      </c>
      <c r="L11" s="45" t="s">
        <v>252</v>
      </c>
      <c r="M11" s="37" t="s">
        <v>22</v>
      </c>
      <c r="N11" s="38" t="s">
        <v>253</v>
      </c>
      <c r="O11" s="38"/>
      <c r="P11" s="39"/>
    </row>
    <row r="12" spans="2:16" ht="167.25">
      <c r="B12" s="40">
        <f>IF(ISERR(casostestes[[#This Row],[ID]]),"-",casostestes[[#This Row],[ID]])</f>
        <v>5</v>
      </c>
      <c r="C12" s="34" t="str">
        <f>IFERROR(IF(VLOOKUP($B12,casostestes[#Data],10)=0,"Não",VLOOKUP($B12,casostestes[#Data],10)), "-")</f>
        <v>Sim</v>
      </c>
      <c r="D12" s="35" t="str">
        <f>IFERROR(IF(VLOOKUP($B12,casostestes[#Data],2)=0,"-",VLOOKUP($B12,casostestes[#Data],2)), "-")</f>
        <v>Integração</v>
      </c>
      <c r="E12" s="35" t="str">
        <f>IFERROR(IF(VLOOKUP($B12,casostestes[#Data],3)=0,"-",VLOOKUP($B12,casostestes[#Data],3)), "-")</f>
        <v>17
Responder o formulário de autodeclaração acessando diretamente a aba segurado especial ao detalhar a tarefa, onde a tarefa encontra-se em exigência de autodeclaração</v>
      </c>
      <c r="F12" s="35" t="str">
        <f>IFERROR(IF(VLOOKUP($B12,casostestes[#Data],4)=0,"-",VLOOKUP($B12,casostestes[#Data],4)),"-")</f>
        <v>PAT</v>
      </c>
      <c r="G12" s="35" t="str">
        <f>IFERROR(IF(VLOOKUP($B12,casostestes[#Data],5)=0,"-",VLOOKUP($B12,casostestes[#Data],5)),"-")</f>
        <v>SERVIDOR</v>
      </c>
      <c r="H12" s="35" t="str">
        <f>IFERROR(IF(VLOOKUP($B12,casostestes[#Data],6)=0,"-",VLOOKUP($B12,casostestes[#Data],6)),"-")</f>
        <v>1. Logar no Portal do Atendimento INSS com o perfil Servidor
2.Consultar uma tarefa em exigência de autodeclaração 
3. Acionar a aba Segurado especial
3. Responder o formulário de autodeclaração até o final</v>
      </c>
      <c r="I12" s="35" t="str">
        <f>IFERROR(IF(VLOOKUP($B12,casostestes[#Data],8)=0,"-",VLOOKUP($B12,casostestes[#Data],8)),"-")</f>
        <v>-</v>
      </c>
      <c r="J12" s="35" t="str">
        <f>IFERROR(IF(VLOOKUP($B12,casostestes[#Data],9)=0,"-",VLOOKUP($B12,casostestes[#Data],9)),"-")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12" s="36">
        <v>46253</v>
      </c>
      <c r="L12" s="45" t="s">
        <v>254</v>
      </c>
      <c r="M12" s="37" t="s">
        <v>22</v>
      </c>
      <c r="N12" s="38" t="s">
        <v>253</v>
      </c>
      <c r="O12" s="38"/>
      <c r="P12" s="39"/>
    </row>
    <row r="13" spans="2:16" ht="105">
      <c r="B13" s="40">
        <f>IF(ISERR(casostestes[[#This Row],[ID]]),"-",casostestes[[#This Row],[ID]])</f>
        <v>6</v>
      </c>
      <c r="C13" s="34" t="str">
        <f>IFERROR(IF(VLOOKUP($B13,casostestes[#Data],10)=0,"Não",VLOOKUP($B13,casostestes[#Data],10)), "-")</f>
        <v>Sim</v>
      </c>
      <c r="D13" s="35" t="str">
        <f>IFERROR(IF(VLOOKUP($B13,casostestes[#Data],2)=0,"-",VLOOKUP($B13,casostestes[#Data],2)), "-")</f>
        <v>Integração</v>
      </c>
      <c r="E13" s="35" t="str">
        <f>IFERROR(IF(VLOOKUP($B13,casostestes[#Data],3)=0,"-",VLOOKUP($B13,casostestes[#Data],3)), "-")</f>
        <v>18
Responder o formulário de autodeclaração acessando diretamente a aba segurado especial ao detalhar a tarefa, onde a tarefa encontra-se em exigência de documento médico</v>
      </c>
      <c r="F13" s="35" t="str">
        <f>IFERROR(IF(VLOOKUP($B13,casostestes[#Data],4)=0,"-",VLOOKUP($B13,casostestes[#Data],4)),"-")</f>
        <v>PAT</v>
      </c>
      <c r="G13" s="35" t="str">
        <f>IFERROR(IF(VLOOKUP($B13,casostestes[#Data],5)=0,"-",VLOOKUP($B13,casostestes[#Data],5)),"-")</f>
        <v>SERVIDOR</v>
      </c>
      <c r="H13" s="35" t="str">
        <f>IFERROR(IF(VLOOKUP($B13,casostestes[#Data],6)=0,"-",VLOOKUP($B13,casostestes[#Data],6)),"-")</f>
        <v>1. Logar no Portal do Atendimento INSS com o perfil Servidor
2.Consultar uma tarefa em exigência de documento médico
3. Acionar a aba Segurado especial
3. Responder o formulário de autodeclaração até o final</v>
      </c>
      <c r="I13" s="35" t="str">
        <f>IFERROR(IF(VLOOKUP($B13,casostestes[#Data],8)=0,"-",VLOOKUP($B13,casostestes[#Data],8)),"-")</f>
        <v>-</v>
      </c>
      <c r="J13" s="35" t="str">
        <f>IFERROR(IF(VLOOKUP($B13,casostestes[#Data],9)=0,"-",VLOOKUP($B13,casostestes[#Data],9)),"-")</f>
        <v xml:space="preserve">
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13" s="36">
        <v>46253</v>
      </c>
      <c r="L13" s="45" t="s">
        <v>255</v>
      </c>
      <c r="M13" s="37" t="s">
        <v>22</v>
      </c>
      <c r="N13" s="38" t="s">
        <v>256</v>
      </c>
      <c r="O13" s="38"/>
      <c r="P13" s="39"/>
    </row>
    <row r="14" spans="2:16" ht="240">
      <c r="B14" s="40">
        <f>IF(ISERR(casostestes[[#This Row],[ID]]),"-",casostestes[[#This Row],[ID]])</f>
        <v>7</v>
      </c>
      <c r="C14" s="34" t="str">
        <f>IFERROR(IF(VLOOKUP($B14,casostestes[#Data],10)=0,"Não",VLOOKUP($B14,casostestes[#Data],10)), "-")</f>
        <v>Sim</v>
      </c>
      <c r="D14" s="35" t="str">
        <f>IFERROR(IF(VLOOKUP($B14,casostestes[#Data],2)=0,"-",VLOOKUP($B14,casostestes[#Data],2)), "-")</f>
        <v>Integração</v>
      </c>
      <c r="E14" s="35" t="str">
        <f>IFERROR(IF(VLOOKUP($B14,casostestes[#Data],3)=0,"-",VLOOKUP($B14,casostestes[#Data],3)), "-")</f>
        <v>19
Criar tarefa de BI inicial fluxo ATESTMEDQ para categoria "Segurado especial" onde o parâmetro "Exige Autodeclaração" no Catálogo está ATIVADO,  NÃO foi respondida a autodeclaração, NÃO foi incluído o anexo detalhado de AD e cidadão está preso
**Parâmetro PAT ligado: 144 - Fluxo ATESTMEDQ</v>
      </c>
      <c r="F14" s="35" t="str">
        <f>IFERROR(IF(VLOOKUP($B14,casostestes[#Data],4)=0,"-",VLOOKUP($B14,casostestes[#Data],4)),"-")</f>
        <v>PAT</v>
      </c>
      <c r="G14" s="35" t="str">
        <f>IFERROR(IF(VLOOKUP($B14,casostestes[#Data],5)=0,"-",VLOOKUP($B14,casostestes[#Data],5)),"-")</f>
        <v>SERVIDOR</v>
      </c>
      <c r="H14" s="35" t="str">
        <f>IFERROR(IF(VLOOKUP($B14,casostestes[#Data],6)=0,"-",VLOOKUP($B14,casostestes[#Data],6)),"-")</f>
        <v xml:space="preserve">1. Logar no Portal do Atendimento INSS com o perfil do caso de teste
2.Criar tarefa de BI informando:
Tipo de Incapacidade? "Temporária "
A pessoa está presa?  Sim
Categoria do trabalhador "Segurado Especial"
A pessoa ficou sem trabalhar? Sim
3. NÃO Informar anexo detalhado de autodeclaração
4. NÃO responder o formulário de autodeclaração
</v>
      </c>
      <c r="I14" s="35" t="str">
        <f>IFERROR(IF(VLOOKUP($B14,casostestes[#Data],8)=0,"-",VLOOKUP($B14,casostestes[#Data],8)),"-")</f>
        <v>-</v>
      </c>
      <c r="J14" s="35" t="str">
        <f>IFERROR(IF(VLOOKUP($B14,casostestes[#Data],9)=0,"-",VLOOKUP($B14,casostestes[#Data],9)),"-")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14" s="36">
        <v>46253</v>
      </c>
      <c r="L14" s="45" t="s">
        <v>257</v>
      </c>
      <c r="M14" s="37" t="s">
        <v>22</v>
      </c>
      <c r="N14" s="38" t="s">
        <v>258</v>
      </c>
      <c r="O14" s="38"/>
      <c r="P14" s="39"/>
    </row>
    <row r="15" spans="2:16" ht="240">
      <c r="B15" s="40">
        <f>IF(ISERR(casostestes[[#This Row],[ID]]),"-",casostestes[[#This Row],[ID]])</f>
        <v>8</v>
      </c>
      <c r="C15" s="34" t="str">
        <f>IFERROR(IF(VLOOKUP($B15,casostestes[#Data],10)=0,"Não",VLOOKUP($B15,casostestes[#Data],10)), "-")</f>
        <v>Sim</v>
      </c>
      <c r="D15" s="35" t="str">
        <f>IFERROR(IF(VLOOKUP($B15,casostestes[#Data],2)=0,"-",VLOOKUP($B15,casostestes[#Data],2)), "-")</f>
        <v>Integração</v>
      </c>
      <c r="E15" s="35" t="str">
        <f>IFERROR(IF(VLOOKUP($B15,casostestes[#Data],3)=0,"-",VLOOKUP($B15,casostestes[#Data],3)), "-")</f>
        <v>20
Criar tarefa de BI inicial fluxo ATESTMEDQ para categoria "Segurado especial" onde o parâmetro "Exige Autodeclaração" no Catálogo está ATIVADO,  NÃO foi respondida a autodeclaração, NÃO foi incluído o anexo detalhado de AD e cidadão ficou sem trabalhar
**Parâmetro PAT ligado: 144 - Fluxo ATESTMEDQ</v>
      </c>
      <c r="F15" s="35" t="str">
        <f>IFERROR(IF(VLOOKUP($B15,casostestes[#Data],4)=0,"-",VLOOKUP($B15,casostestes[#Data],4)),"-")</f>
        <v>PAT</v>
      </c>
      <c r="G15" s="35" t="str">
        <f>IFERROR(IF(VLOOKUP($B15,casostestes[#Data],5)=0,"-",VLOOKUP($B15,casostestes[#Data],5)),"-")</f>
        <v>SERVIDOR</v>
      </c>
      <c r="H15" s="35" t="str">
        <f>IFERROR(IF(VLOOKUP($B15,casostestes[#Data],6)=0,"-",VLOOKUP($B15,casostestes[#Data],6)),"-")</f>
        <v xml:space="preserve">1. Logar no Portal do Atendimento INSS com o perfil do caso de teste
2.Criar tarefa de BI informando:
Tipo de Incapacidade? "Temporária "
A pessoa está presa?  Não
Categoria do trabalhador "Segurado Especial"
A pessoa ficou sem trabalhar? Não
3. Informar anexo detalhado de autodeclaração
4. NÃO responder o formulário de autodeclaração
</v>
      </c>
      <c r="I15" s="35" t="str">
        <f>IFERROR(IF(VLOOKUP($B15,casostestes[#Data],8)=0,"-",VLOOKUP($B15,casostestes[#Data],8)),"-")</f>
        <v>-</v>
      </c>
      <c r="J15" s="35" t="str">
        <f>IFERROR(IF(VLOOKUP($B15,casostestes[#Data],9)=0,"-",VLOOKUP($B15,casostestes[#Data],9)),"-")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15" s="36">
        <v>46253</v>
      </c>
      <c r="L15" s="45" t="s">
        <v>259</v>
      </c>
      <c r="M15" s="37" t="s">
        <v>22</v>
      </c>
      <c r="N15" s="38" t="s">
        <v>260</v>
      </c>
      <c r="O15" s="38"/>
      <c r="P15" s="39"/>
    </row>
    <row r="16" spans="2:16" ht="321">
      <c r="B16" s="40">
        <f>IF(ISERR(casostestes[[#This Row],[ID]]),"-",casostestes[[#This Row],[ID]])</f>
        <v>9</v>
      </c>
      <c r="C16" s="34" t="str">
        <f>IFERROR(IF(VLOOKUP($B16,casostestes[#Data],10)=0,"Não",VLOOKUP($B16,casostestes[#Data],10)), "-")</f>
        <v>Sim</v>
      </c>
      <c r="D16" s="35" t="str">
        <f>IFERROR(IF(VLOOKUP($B16,casostestes[#Data],2)=0,"-",VLOOKUP($B16,casostestes[#Data],2)), "-")</f>
        <v>Integração</v>
      </c>
      <c r="E16" s="35" t="str">
        <f>IFERROR(IF(VLOOKUP($B16,casostestes[#Data],3)=0,"-",VLOOKUP($B16,casostestes[#Data],3)), "-")</f>
        <v>21
Criar tarefa de BI inicial fluxo ATESTMEDQ para categoria "Segurado especial" onde o parâmetro "Exige Autodeclaração" no Catálogo está ATIVADO,  NÃO foi respondida a autodeclaração e foi incluído o anexo detalhado de AD
**Parâmetro PAT ligado: 144 - Fluxo ATESTMEDQ</v>
      </c>
      <c r="F16" s="35" t="str">
        <f>IFERROR(IF(VLOOKUP($B16,casostestes[#Data],4)=0,"-",VLOOKUP($B16,casostestes[#Data],4)),"-")</f>
        <v>PAT</v>
      </c>
      <c r="G16" s="35" t="str">
        <f>IFERROR(IF(VLOOKUP($B16,casostestes[#Data],5)=0,"-",VLOOKUP($B16,casostestes[#Data],5)),"-")</f>
        <v>SERVIDOR</v>
      </c>
      <c r="H16" s="35" t="str">
        <f>IFERROR(IF(VLOOKUP($B16,casostestes[#Data],6)=0,"-",VLOOKUP($B16,casostestes[#Data],6)),"-")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Informar anexo detalhado de autodeclaração
4. NÃO responder o formulário de autodeclaração
Resultado 1
5.Alterar via banco de dados a data da exigência para (data atual - 36 dias)
Resultado 2</v>
      </c>
      <c r="I16" s="35" t="str">
        <f>IFERROR(IF(VLOOKUP($B16,casostestes[#Data],8)=0,"-",VLOOKUP($B16,casostestes[#Data],8)),"-")</f>
        <v>-</v>
      </c>
      <c r="J16" s="35" t="str">
        <f>IFERROR(IF(VLOOKUP($B16,casostestes[#Data],9)=0,"-",VLOOKUP($B16,casostestes[#Data],9)),"-")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2
Resultado 2 - Após alguns minutos:
Tarefa de BI com situação alterada para Pendente
Despacho incluído informando a operação ( fragmento de sigla  XXXXXXXXXX )
Divergência de autodeclaração (116) EXCLUÍDA da tarefa
Alguns minutos depois:
Status SIBE igual a AGUARDANDO ATESTADO 
Na opção  "Lista de Ocorrências", o json de integração com o SIBE deverá conter o campo "periodosPendentesSegEsp" com valor true.
</v>
      </c>
      <c r="K16" s="36">
        <v>46253</v>
      </c>
      <c r="L16" s="45" t="s">
        <v>261</v>
      </c>
      <c r="M16" s="37" t="s">
        <v>22</v>
      </c>
      <c r="N16" s="38"/>
      <c r="O16" s="38"/>
      <c r="P16" s="39"/>
    </row>
    <row r="17" spans="2:16" ht="305.25">
      <c r="B17" s="40">
        <f>IF(ISERR(casostestes[[#This Row],[ID]]),"-",casostestes[[#This Row],[ID]])</f>
        <v>10</v>
      </c>
      <c r="C17" s="34" t="str">
        <f>IFERROR(IF(VLOOKUP($B17,casostestes[#Data],10)=0,"Não",VLOOKUP($B17,casostestes[#Data],10)), "-")</f>
        <v>Sim</v>
      </c>
      <c r="D17" s="35" t="str">
        <f>IFERROR(IF(VLOOKUP($B17,casostestes[#Data],2)=0,"-",VLOOKUP($B17,casostestes[#Data],2)), "-")</f>
        <v>Integração</v>
      </c>
      <c r="E17" s="35" t="str">
        <f>IFERROR(IF(VLOOKUP($B17,casostestes[#Data],3)=0,"-",VLOOKUP($B17,casostestes[#Data],3)), "-")</f>
        <v>22
Criar tarefa de BI inicial fluxo PRESENCIAL para categoria "Segurado especial" onde o parâmetro "Exige Autodeclaração" no Catálogo está ATIVADO, NÃO foi respondida a autodeclaração e NÃO foi incluído o anexo detalhado de AD
**Parâmetro PAT ligado: 144 - Fluxo ATESTMEDQ
**Parâmetro PAT ligado: 109 -Tipo de Incapacidade Permanente leva à Fluxo Presencial do Novo BI</v>
      </c>
      <c r="F17" s="35" t="str">
        <f>IFERROR(IF(VLOOKUP($B17,casostestes[#Data],4)=0,"-",VLOOKUP($B17,casostestes[#Data],4)),"-")</f>
        <v>PAT</v>
      </c>
      <c r="G17" s="35" t="str">
        <f>IFERROR(IF(VLOOKUP($B17,casostestes[#Data],5)=0,"-",VLOOKUP($B17,casostestes[#Data],5)),"-")</f>
        <v>SERVIDOR</v>
      </c>
      <c r="H17" s="35" t="str">
        <f>IFERROR(IF(VLOOKUP($B17,casostestes[#Data],6)=0,"-",VLOOKUP($B17,casostestes[#Data],6)),"-")</f>
        <v>1. Logar no Portal do Atendimento INSS com o perfil do caso de teste
2.Criar tarefa de BI informando:
Tipo de Incapacidade? "Permanente"
A pessoa está presa?  Não
Houve acidente de trabalho?  Não
Categoria do trabalhador "Segurado Especial"
A pessoa ficou sem trabalhar? Sim
3. NÃO informar anexo detalhado de autodeclaração
5. Realizar agendamento
6. NÃO responder o formulário de autodeclaração
Resultado 1 
7.Alterar via banco de dados a data da exigência para (data atual - 36 dias)
Resulado 2</v>
      </c>
      <c r="I17" s="35" t="str">
        <f>IFERROR(IF(VLOOKUP($B17,casostestes[#Data],8)=0,"-",VLOOKUP($B17,casostestes[#Data],8)),"-")</f>
        <v>-</v>
      </c>
      <c r="J17" s="35" t="str">
        <f>IFERROR(IF(VLOOKUP($B17,casostestes[#Data],9)=0,"-",VLOOKUP($B17,casostestes[#Data],9)),"-")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1
Resultado 2 - Após alguns minutos:
Tarefa de BI com situação alterada para Pendente
Despacho incluído informando a operação ( fragmento de sigla  XXXXXXXXXX )
Divergência de autodeclaração (116) EXCLUÍDA da tarefa
Alguns minutos depois:
Status SIBE igual a AGUARDANDO PERÍCIA
Na opção  "Lista de Ocorrências", o json de integração com o SIBE deverá conter o campo "periodosPendentesSegEsp" com valor null.
</v>
      </c>
      <c r="K17" s="36">
        <v>46253</v>
      </c>
      <c r="L17" s="45" t="s">
        <v>262</v>
      </c>
      <c r="M17" s="37" t="s">
        <v>22</v>
      </c>
      <c r="N17" s="38"/>
      <c r="O17" s="38"/>
      <c r="P17" s="39"/>
    </row>
    <row r="18" spans="2:16" ht="105">
      <c r="B18" s="40">
        <f>IF(ISERR(casostestes[[#This Row],[ID]]),"-",casostestes[[#This Row],[ID]])</f>
        <v>11</v>
      </c>
      <c r="C18" s="34" t="str">
        <f>IFERROR(IF(VLOOKUP($B18,casostestes[#Data],10)=0,"Não",VLOOKUP($B18,casostestes[#Data],10)), "-")</f>
        <v>Sim</v>
      </c>
      <c r="D18" s="35" t="str">
        <f>IFERROR(IF(VLOOKUP($B18,casostestes[#Data],2)=0,"-",VLOOKUP($B18,casostestes[#Data],2)), "-")</f>
        <v>Requerimento Inicial de BI</v>
      </c>
      <c r="E18" s="35" t="str">
        <f>IFERROR(IF(VLOOKUP($B18,casostestes[#Data],3)=0,"-",VLOOKUP($B18,casostestes[#Data],3)), "-")</f>
        <v>24
Criar tarefa de BI inicial fluxo ATESTMEDQ para categoria diferente de "Segurado especial" onde o parâmetro "Exige Autodeclaração" no Catálogo está ATIVADO
**Parâmetro PAT ligado: 144 - Fluxo ATESTMEDQ</v>
      </c>
      <c r="F18" s="35" t="str">
        <f>IFERROR(IF(VLOOKUP($B18,casostestes[#Data],4)=0,"-",VLOOKUP($B18,casostestes[#Data],4)),"-")</f>
        <v>EC</v>
      </c>
      <c r="G18" s="35" t="str">
        <f>IFERROR(IF(VLOOKUP($B18,casostestes[#Data],5)=0,"-",VLOOKUP($B18,casostestes[#Data],5)),"-")</f>
        <v>ENTIDADE_CONVENIADA</v>
      </c>
      <c r="H18" s="35" t="str">
        <f>IFERROR(IF(VLOOKUP($B18,casostestes[#Data],6)=0,"-",VLOOKUP($B18,casostestes[#Data],6)),"-")</f>
        <v xml:space="preserve">1. Logar no Portal do Atendimento INSS com o perfil do caso de teste
2.Criar tarefa de BI informando:
Tipo de Incapacidade? "Temporária "
A pessoa está presa?  Não
Categoria do trabalhador diferente de "Segurado Especial"
</v>
      </c>
      <c r="I18" s="35" t="str">
        <f>IFERROR(IF(VLOOKUP($B18,casostestes[#Data],8)=0,"-",VLOOKUP($B18,casostestes[#Data],8)),"-")</f>
        <v>-</v>
      </c>
      <c r="J18" s="35" t="str">
        <f>IFERROR(IF(VLOOKUP($B18,casostestes[#Data],9)=0,"-",VLOOKUP($B18,casostestes[#Data],9)),"-")</f>
        <v>Tarefa de BI criada com situação Pendente.
Tarefa SEM Divergência de autodeclaração (116)
Status SIBE igual a FLUXO NÃO INICIADO 
DPT: Tarefa.Exige_autodeclaração = 0</v>
      </c>
      <c r="K18" s="36">
        <v>46253</v>
      </c>
      <c r="L18" s="45" t="s">
        <v>263</v>
      </c>
      <c r="M18" s="37" t="s">
        <v>40</v>
      </c>
      <c r="N18" s="38"/>
      <c r="O18" s="38"/>
      <c r="P18" s="39"/>
    </row>
    <row r="19" spans="2:16" ht="240">
      <c r="B19" s="40">
        <f>IF(ISERR(casostestes[[#This Row],[ID]]),"-",casostestes[[#This Row],[ID]])</f>
        <v>12</v>
      </c>
      <c r="C19" s="34" t="str">
        <f>IFERROR(IF(VLOOKUP($B19,casostestes[#Data],10)=0,"Não",VLOOKUP($B19,casostestes[#Data],10)), "-")</f>
        <v>Sim</v>
      </c>
      <c r="D19" s="35" t="str">
        <f>IFERROR(IF(VLOOKUP($B19,casostestes[#Data],2)=0,"-",VLOOKUP($B19,casostestes[#Data],2)), "-")</f>
        <v>Integração</v>
      </c>
      <c r="E19" s="35" t="str">
        <f>IFERROR(IF(VLOOKUP($B19,casostestes[#Data],3)=0,"-",VLOOKUP($B19,casostestes[#Data],3)), "-")</f>
        <v>26
Criar tarefa de BI inicial fluxo ATESTMEDQ para categoria "Segurado especial" onde o parâmetro "Exige Autodeclaração" no Catálogo está ATIVADO e a autodeclaração tem período pendente
**Parâmetro PAT ligado: 144 - Fluxo ATESTMEDQ</v>
      </c>
      <c r="F19" s="35" t="str">
        <f>IFERROR(IF(VLOOKUP($B19,casostestes[#Data],4)=0,"-",VLOOKUP($B19,casostestes[#Data],4)),"-")</f>
        <v>EC</v>
      </c>
      <c r="G19" s="35" t="str">
        <f>IFERROR(IF(VLOOKUP($B19,casostestes[#Data],5)=0,"-",VLOOKUP($B19,casostestes[#Data],5)),"-")</f>
        <v>ENTIDADE_CONVENIADA</v>
      </c>
      <c r="H19" s="35" t="str">
        <f>IFERROR(IF(VLOOKUP($B19,casostestes[#Data],6)=0,"-",VLOOKUP($B19,casostestes[#Data],6)),"-")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Cumprir exigência de documentos obrigatórios
4. Responder formulário da autodeclaração</v>
      </c>
      <c r="I19" s="35" t="str">
        <f>IFERROR(IF(VLOOKUP($B19,casostestes[#Data],8)=0,"-",VLOOKUP($B19,casostestes[#Data],8)),"-")</f>
        <v>-</v>
      </c>
      <c r="J19" s="35" t="str">
        <f>IFERROR(IF(VLOOKUP($B19,casostestes[#Data],9)=0,"-",VLOOKUP($B19,casostestes[#Data],9)),"-")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19" s="36">
        <v>46253</v>
      </c>
      <c r="L19" s="45" t="s">
        <v>264</v>
      </c>
      <c r="M19" s="37" t="s">
        <v>40</v>
      </c>
      <c r="N19" s="38"/>
      <c r="O19" s="38"/>
      <c r="P19" s="39"/>
    </row>
    <row r="20" spans="2:16" ht="240">
      <c r="B20" s="40">
        <f>IF(ISERR(casostestes[[#This Row],[ID]]),"-",casostestes[[#This Row],[ID]])</f>
        <v>13</v>
      </c>
      <c r="C20" s="34" t="str">
        <f>IFERROR(IF(VLOOKUP($B20,casostestes[#Data],10)=0,"Não",VLOOKUP($B20,casostestes[#Data],10)), "-")</f>
        <v>Sim</v>
      </c>
      <c r="D20" s="35" t="str">
        <f>IFERROR(IF(VLOOKUP($B20,casostestes[#Data],2)=0,"-",VLOOKUP($B20,casostestes[#Data],2)), "-")</f>
        <v>Integração</v>
      </c>
      <c r="E20" s="35" t="str">
        <f>IFERROR(IF(VLOOKUP($B20,casostestes[#Data],3)=0,"-",VLOOKUP($B20,casostestes[#Data],3)), "-")</f>
        <v>27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0" s="35" t="str">
        <f>IFERROR(IF(VLOOKUP($B20,casostestes[#Data],4)=0,"-",VLOOKUP($B20,casostestes[#Data],4)),"-")</f>
        <v>EC</v>
      </c>
      <c r="G20" s="35" t="str">
        <f>IFERROR(IF(VLOOKUP($B20,casostestes[#Data],5)=0,"-",VLOOKUP($B20,casostestes[#Data],5)),"-")</f>
        <v>ENTIDADE_CONVENIADA</v>
      </c>
      <c r="H20" s="35" t="str">
        <f>IFERROR(IF(VLOOKUP($B20,casostestes[#Data],6)=0,"-",VLOOKUP($B20,casostestes[#Data],6)),"-")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Cumprir exigência de documentos obrigatórios
4. Responder formulário da autodeclaração</v>
      </c>
      <c r="I20" s="35" t="str">
        <f>IFERROR(IF(VLOOKUP($B20,casostestes[#Data],8)=0,"-",VLOOKUP($B20,casostestes[#Data],8)),"-")</f>
        <v>-</v>
      </c>
      <c r="J20" s="35" t="str">
        <f>IFERROR(IF(VLOOKUP($B20,casostestes[#Data],9)=0,"-",VLOOKUP($B20,casostestes[#Data],9)),"-")</f>
        <v xml:space="preserve">
Tarefa de BI criada com situação Pendente.
Tarefa SEM Divergência de autodeclaração (116).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20" s="36">
        <v>46161</v>
      </c>
      <c r="L20" s="45" t="s">
        <v>265</v>
      </c>
      <c r="M20" s="37" t="s">
        <v>40</v>
      </c>
      <c r="N20" s="38"/>
      <c r="O20" s="38"/>
      <c r="P20" s="39"/>
    </row>
    <row r="21" spans="2:16" ht="213">
      <c r="B21" s="40">
        <f>IF(ISERR(casostestes[[#This Row],[ID]]),"-",casostestes[[#This Row],[ID]])</f>
        <v>14</v>
      </c>
      <c r="C21" s="34" t="str">
        <f>IFERROR(IF(VLOOKUP($B21,casostestes[#Data],10)=0,"Não",VLOOKUP($B21,casostestes[#Data],10)), "-")</f>
        <v>Sim</v>
      </c>
      <c r="D21" s="35" t="str">
        <f>IFERROR(IF(VLOOKUP($B21,casostestes[#Data],2)=0,"-",VLOOKUP($B21,casostestes[#Data],2)), "-")</f>
        <v>Integração</v>
      </c>
      <c r="E21" s="35" t="str">
        <f>IFERROR(IF(VLOOKUP($B21,casostestes[#Data],3)=0,"-",VLOOKUP($B21,casostestes[#Data],3)), "-")</f>
        <v>29
Cumprir a exigência de autodeclaração</v>
      </c>
      <c r="F21" s="35" t="str">
        <f>IFERROR(IF(VLOOKUP($B21,casostestes[#Data],4)=0,"-",VLOOKUP($B21,casostestes[#Data],4)),"-")</f>
        <v>PAT</v>
      </c>
      <c r="G21" s="35" t="str">
        <f>IFERROR(IF(VLOOKUP($B21,casostestes[#Data],5)=0,"-",VLOOKUP($B21,casostestes[#Data],5)),"-")</f>
        <v>ENTIDADE_CONVENIADA</v>
      </c>
      <c r="H21" s="35" t="str">
        <f>IFERROR(IF(VLOOKUP($B21,casostestes[#Data],6)=0,"-",VLOOKUP($B21,casostestes[#Data],6)),"-")</f>
        <v>1. Logar no Portal do Atendimento INSS com o perfil do caso de teste
2.Consultar uma tarefa em exigência de autodeclaração, detalhar e em seguida e acionar  a aba Cumprir Exigência  
3. Responder o formulário de autodeclaração até o final</v>
      </c>
      <c r="I21" s="35" t="str">
        <f>IFERROR(IF(VLOOKUP($B21,casostestes[#Data],8)=0,"-",VLOOKUP($B21,casostestes[#Data],8)),"-")</f>
        <v>-</v>
      </c>
      <c r="J21" s="35" t="str">
        <f>IFERROR(IF(VLOOKUP($B21,casostestes[#Data],9)=0,"-",VLOOKUP($B21,casostestes[#Data],9)),"-")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1" s="36">
        <v>46161</v>
      </c>
      <c r="L21" s="45" t="s">
        <v>266</v>
      </c>
      <c r="M21" s="37"/>
      <c r="N21" s="38"/>
      <c r="O21" s="38"/>
      <c r="P21" s="39"/>
    </row>
    <row r="22" spans="2:16" ht="210">
      <c r="B22" s="40">
        <f>IF(ISERR(casostestes[[#This Row],[ID]]),"-",casostestes[[#This Row],[ID]])</f>
        <v>15</v>
      </c>
      <c r="C22" s="34" t="str">
        <f>IFERROR(IF(VLOOKUP($B22,casostestes[#Data],10)=0,"Não",VLOOKUP($B22,casostestes[#Data],10)), "-")</f>
        <v>Sim</v>
      </c>
      <c r="D22" s="35" t="str">
        <f>IFERROR(IF(VLOOKUP($B22,casostestes[#Data],2)=0,"-",VLOOKUP($B22,casostestes[#Data],2)), "-")</f>
        <v>Integração</v>
      </c>
      <c r="E22" s="35" t="str">
        <f>IFERROR(IF(VLOOKUP($B22,casostestes[#Data],3)=0,"-",VLOOKUP($B22,casostestes[#Data],3)), "-")</f>
        <v>30
Cumprir a exigência de autodeclaração</v>
      </c>
      <c r="F22" s="35" t="str">
        <f>IFERROR(IF(VLOOKUP($B22,casostestes[#Data],4)=0,"-",VLOOKUP($B22,casostestes[#Data],4)),"-")</f>
        <v>PAT</v>
      </c>
      <c r="G22" s="35" t="str">
        <f>IFERROR(IF(VLOOKUP($B22,casostestes[#Data],5)=0,"-",VLOOKUP($B22,casostestes[#Data],5)),"-")</f>
        <v>ENTIDADE_CONVENIADA_CORREIOS</v>
      </c>
      <c r="H22" s="35" t="str">
        <f>IFERROR(IF(VLOOKUP($B22,casostestes[#Data],6)=0,"-",VLOOKUP($B22,casostestes[#Data],6)),"-")</f>
        <v>1. Logar no Portal do Atendimento INSS com o perfil EC - CORREIOS
2. Acionar a aba Exigências e consultar uma tarefa em exigência de autodeclaração
3. Detalhar a tarefa e em seguida acionar  a opção Cumprir Exigência  
3. Responder o formulário de autodeclaração até o final</v>
      </c>
      <c r="I22" s="35" t="str">
        <f>IFERROR(IF(VLOOKUP($B22,casostestes[#Data],8)=0,"-",VLOOKUP($B22,casostestes[#Data],8)),"-")</f>
        <v>-</v>
      </c>
      <c r="J22" s="35" t="str">
        <f>IFERROR(IF(VLOOKUP($B22,casostestes[#Data],9)=0,"-",VLOOKUP($B22,casostestes[#Data],9)),"-")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2" s="36"/>
      <c r="L22" s="45"/>
      <c r="M22" s="37"/>
      <c r="N22" s="38"/>
      <c r="O22" s="38"/>
      <c r="P22" s="39"/>
    </row>
    <row r="23" spans="2:16" ht="180">
      <c r="B23" s="40">
        <f>IF(ISERR(casostestes[[#This Row],[ID]]),"-",casostestes[[#This Row],[ID]])</f>
        <v>16</v>
      </c>
      <c r="C23" s="34" t="str">
        <f>IFERROR(IF(VLOOKUP($B23,casostestes[#Data],10)=0,"Não",VLOOKUP($B23,casostestes[#Data],10)), "-")</f>
        <v>Sim</v>
      </c>
      <c r="D23" s="35" t="str">
        <f>IFERROR(IF(VLOOKUP($B23,casostestes[#Data],2)=0,"-",VLOOKUP($B23,casostestes[#Data],2)), "-")</f>
        <v>Integração</v>
      </c>
      <c r="E23" s="35" t="str">
        <f>IFERROR(IF(VLOOKUP($B23,casostestes[#Data],3)=0,"-",VLOOKUP($B23,casostestes[#Data],3)), "-")</f>
        <v>31
Responder o formulário de autodeclaração acessando diretamente a aba segurado especial ao detalhar a tarefa, onde a tarefa encontra-se em exigência de documento médico
Será posível acessar diretamente a autodeclaração logado como EC?</v>
      </c>
      <c r="F23" s="35" t="str">
        <f>IFERROR(IF(VLOOKUP($B23,casostestes[#Data],4)=0,"-",VLOOKUP($B23,casostestes[#Data],4)),"-")</f>
        <v>PAT</v>
      </c>
      <c r="G23" s="35" t="str">
        <f>IFERROR(IF(VLOOKUP($B23,casostestes[#Data],5)=0,"-",VLOOKUP($B23,casostestes[#Data],5)),"-")</f>
        <v>ENTIDADE_CONVENIADA</v>
      </c>
      <c r="H23" s="35" t="str">
        <f>IFERROR(IF(VLOOKUP($B23,casostestes[#Data],6)=0,"-",VLOOKUP($B23,casostestes[#Data],6)),"-")</f>
        <v>1. Logar no Portal do Atendimento INSS com o perfil do caso se teste
2.Consultar uma tarefa em exigência de dautodeclaração
3. Acionar a aba Segurado especial
3. Responder o formulário de autodeclaração até o final</v>
      </c>
      <c r="I23" s="35" t="str">
        <f>IFERROR(IF(VLOOKUP($B23,casostestes[#Data],8)=0,"-",VLOOKUP($B23,casostestes[#Data],8)),"-")</f>
        <v>-</v>
      </c>
      <c r="J23" s="35" t="str">
        <f>IFERROR(IF(VLOOKUP($B23,casostestes[#Data],9)=0,"-",VLOOKUP($B23,casostestes[#Data],9)),"-")</f>
        <v xml:space="preserve">
Tarefa de BI com situação alterada para Pendente 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3" s="36"/>
      <c r="L23" s="45"/>
      <c r="M23" s="37"/>
      <c r="N23" s="38"/>
      <c r="O23" s="38"/>
      <c r="P23" s="39"/>
    </row>
    <row r="24" spans="2:16" ht="105">
      <c r="B24" s="40">
        <f>IF(ISERR(casostestes[[#This Row],[ID]]),"-",casostestes[[#This Row],[ID]])</f>
        <v>17</v>
      </c>
      <c r="C24" s="34" t="str">
        <f>IFERROR(IF(VLOOKUP($B24,casostestes[#Data],10)=0,"Não",VLOOKUP($B24,casostestes[#Data],10)), "-")</f>
        <v>Sim</v>
      </c>
      <c r="D24" s="35" t="str">
        <f>IFERROR(IF(VLOOKUP($B24,casostestes[#Data],2)=0,"-",VLOOKUP($B24,casostestes[#Data],2)), "-")</f>
        <v>Integração</v>
      </c>
      <c r="E24" s="35" t="str">
        <f>IFERROR(IF(VLOOKUP($B24,casostestes[#Data],3)=0,"-",VLOOKUP($B24,casostestes[#Data],3)), "-")</f>
        <v xml:space="preserve">32
Responder o formulário de autodeclaração acessando diretamente a aba segurado especial ao detalhar a tarefa, onde a tarefa encontra-se em exigência de documento médico
</v>
      </c>
      <c r="F24" s="35" t="str">
        <f>IFERROR(IF(VLOOKUP($B24,casostestes[#Data],4)=0,"-",VLOOKUP($B24,casostestes[#Data],4)),"-")</f>
        <v>PAT</v>
      </c>
      <c r="G24" s="35" t="str">
        <f>IFERROR(IF(VLOOKUP($B24,casostestes[#Data],5)=0,"-",VLOOKUP($B24,casostestes[#Data],5)),"-")</f>
        <v>ENTIDADE_CONVENIADA</v>
      </c>
      <c r="H24" s="35" t="str">
        <f>IFERROR(IF(VLOOKUP($B24,casostestes[#Data],6)=0,"-",VLOOKUP($B24,casostestes[#Data],6)),"-")</f>
        <v>1. Logar no Portal do Atendimento INSS com o perfil do caso se teste
2.Consultar uma tarefa em exigência de documento médico
3. Acionar a aba Segurado especial
3. Responder o formulário de autodeclaração até o final</v>
      </c>
      <c r="I24" s="35" t="str">
        <f>IFERROR(IF(VLOOKUP($B24,casostestes[#Data],8)=0,"-",VLOOKUP($B24,casostestes[#Data],8)),"-")</f>
        <v>-</v>
      </c>
      <c r="J24" s="35" t="str">
        <f>IFERROR(IF(VLOOKUP($B24,casostestes[#Data],9)=0,"-",VLOOKUP($B24,casostestes[#Data],9)),"-")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24" s="36"/>
      <c r="L24" s="45"/>
      <c r="M24" s="37"/>
      <c r="N24" s="38"/>
      <c r="O24" s="38"/>
      <c r="P24" s="39"/>
    </row>
    <row r="25" spans="2:16" ht="135">
      <c r="B25" s="40">
        <f>IF(ISERR(casostestes[[#This Row],[ID]]),"-",casostestes[[#This Row],[ID]])</f>
        <v>18</v>
      </c>
      <c r="C25" s="34" t="str">
        <f>IFERROR(IF(VLOOKUP($B25,casostestes[#Data],10)=0,"Não",VLOOKUP($B25,casostestes[#Data],10)), "-")</f>
        <v>Sim</v>
      </c>
      <c r="D25" s="35" t="str">
        <f>IFERROR(IF(VLOOKUP($B25,casostestes[#Data],2)=0,"-",VLOOKUP($B25,casostestes[#Data],2)), "-")</f>
        <v>Requerimento Inicial de BI</v>
      </c>
      <c r="E25" s="35" t="str">
        <f>IFERROR(IF(VLOOKUP($B25,casostestes[#Data],3)=0,"-",VLOOKUP($B25,casostestes[#Data],3)), "-")</f>
        <v>34
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25" s="35" t="str">
        <f>IFERROR(IF(VLOOKUP($B25,casostestes[#Data],4)=0,"-",VLOOKUP($B25,casostestes[#Data],4)),"-")</f>
        <v>Meu INSS</v>
      </c>
      <c r="G25" s="35" t="str">
        <f>IFERROR(IF(VLOOKUP($B25,casostestes[#Data],5)=0,"-",VLOOKUP($B25,casostestes[#Data],5)),"-")</f>
        <v>INTERESSADO</v>
      </c>
      <c r="H25" s="35" t="str">
        <f>IFERROR(IF(VLOOKUP($B25,casostestes[#Data],6)=0,"-",VLOOKUP($B25,casostestes[#Data],6)),"-")</f>
        <v>1. Logar no  Meu INSS
2.Criar tarefa de BI informando:
Tipo de Incapacidade? "Permanente"
A pessoa está presa?  Não
Categoria do trabalhador diferente de "Segurado Especial"
3. Criar o agendamento da perícia</v>
      </c>
      <c r="I25" s="35" t="str">
        <f>IFERROR(IF(VLOOKUP($B25,casostestes[#Data],8)=0,"-",VLOOKUP($B25,casostestes[#Data],8)),"-")</f>
        <v>-</v>
      </c>
      <c r="J25" s="35" t="str">
        <f>IFERROR(IF(VLOOKUP($B25,casostestes[#Data],9)=0,"-",VLOOKUP($B25,casostestes[#Data],9)),"-")</f>
        <v>Tarefa de BI criada com situação Pendente.
Tarefa SEM Divergência de autodeclaração (116)
Status SIBE igual a  AGUARDANDO PERÍCIA
Tarefa.Exige_autodeclaração = 0</v>
      </c>
      <c r="K25" s="36"/>
      <c r="L25" s="45"/>
      <c r="M25" s="37"/>
      <c r="N25" s="38"/>
      <c r="O25" s="38"/>
      <c r="P25" s="39"/>
    </row>
    <row r="26" spans="2:16" ht="255">
      <c r="B26" s="40">
        <f>IF(ISERR(casostestes[[#This Row],[ID]]),"-",casostestes[[#This Row],[ID]])</f>
        <v>19</v>
      </c>
      <c r="C26" s="34" t="str">
        <f>IFERROR(IF(VLOOKUP($B26,casostestes[#Data],10)=0,"Não",VLOOKUP($B26,casostestes[#Data],10)), "-")</f>
        <v>Sim</v>
      </c>
      <c r="D26" s="35" t="str">
        <f>IFERROR(IF(VLOOKUP($B26,casostestes[#Data],2)=0,"-",VLOOKUP($B26,casostestes[#Data],2)), "-")</f>
        <v>Integração</v>
      </c>
      <c r="E26" s="35" t="str">
        <f>IFERROR(IF(VLOOKUP($B26,casostestes[#Data],3)=0,"-",VLOOKUP($B26,casostestes[#Data],3)), "-")</f>
        <v>35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26" s="35" t="str">
        <f>IFERROR(IF(VLOOKUP($B26,casostestes[#Data],4)=0,"-",VLOOKUP($B26,casostestes[#Data],4)),"-")</f>
        <v>Meu INSS</v>
      </c>
      <c r="G26" s="35" t="str">
        <f>IFERROR(IF(VLOOKUP($B26,casostestes[#Data],5)=0,"-",VLOOKUP($B26,casostestes[#Data],5)),"-")</f>
        <v>INTERESSADO</v>
      </c>
      <c r="H26" s="35" t="str">
        <f>IFERROR(IF(VLOOKUP($B26,casostestes[#Data],6)=0,"-",VLOOKUP($B26,casostestes[#Data],6)),"-")</f>
        <v>1. Logar no  Meu INSS
2.Criar tarefa de BI informando:
Tipo de Incapacidade? "Temporária "
A pessoa está presa?  Não
Categoria do trabalhador "Segurado Especial"
A pessoa ficou sem trabalhar? Sim
3. Responder formulário da autodeclaração</v>
      </c>
      <c r="I26" s="35" t="str">
        <f>IFERROR(IF(VLOOKUP($B26,casostestes[#Data],8)=0,"-",VLOOKUP($B26,casostestes[#Data],8)),"-")</f>
        <v>-</v>
      </c>
      <c r="J26" s="35" t="str">
        <f>IFERROR(IF(VLOOKUP($B26,casostestes[#Data],9)=0,"-",VLOOKUP($B26,casostestes[#Data],9)),"-")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26" s="36"/>
      <c r="L26" s="45"/>
      <c r="M26" s="37"/>
      <c r="N26" s="38"/>
      <c r="O26" s="38"/>
      <c r="P26" s="39"/>
    </row>
    <row r="27" spans="2:16" ht="255">
      <c r="B27" s="40">
        <f>IF(ISERR(casostestes[[#This Row],[ID]]),"-",casostestes[[#This Row],[ID]])</f>
        <v>20</v>
      </c>
      <c r="C27" s="34" t="str">
        <f>IFERROR(IF(VLOOKUP($B27,casostestes[#Data],10)=0,"Não",VLOOKUP($B27,casostestes[#Data],10)), "-")</f>
        <v>Sim</v>
      </c>
      <c r="D27" s="35" t="str">
        <f>IFERROR(IF(VLOOKUP($B27,casostestes[#Data],2)=0,"-",VLOOKUP($B27,casostestes[#Data],2)), "-")</f>
        <v>Integração</v>
      </c>
      <c r="E27" s="35" t="str">
        <f>IFERROR(IF(VLOOKUP($B27,casostestes[#Data],3)=0,"-",VLOOKUP($B27,casostestes[#Data],3)), "-")</f>
        <v>36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7" s="35" t="str">
        <f>IFERROR(IF(VLOOKUP($B27,casostestes[#Data],4)=0,"-",VLOOKUP($B27,casostestes[#Data],4)),"-")</f>
        <v>Meu INSS</v>
      </c>
      <c r="G27" s="35" t="str">
        <f>IFERROR(IF(VLOOKUP($B27,casostestes[#Data],5)=0,"-",VLOOKUP($B27,casostestes[#Data],5)),"-")</f>
        <v>INTERESSADO</v>
      </c>
      <c r="H27" s="35" t="str">
        <f>IFERROR(IF(VLOOKUP($B27,casostestes[#Data],6)=0,"-",VLOOKUP($B27,casostestes[#Data],6)),"-")</f>
        <v>1. Logar no  Meu INSS
2.Criar tarefa de BI informando:
Tipo de Incapacidade? "Temporária "
A pessoa está presa?  Não
Categoria do trabalhador "Segurado Especial"
A pessoa ficou sem trabalhar? Sim
3. Responder a autodeclaração</v>
      </c>
      <c r="I27" s="35" t="str">
        <f>IFERROR(IF(VLOOKUP($B27,casostestes[#Data],8)=0,"-",VLOOKUP($B27,casostestes[#Data],8)),"-")</f>
        <v>-</v>
      </c>
      <c r="J27" s="35" t="str">
        <f>IFERROR(IF(VLOOKUP($B27,casostestes[#Data],9)=0,"-",VLOOKUP($B27,casostestes[#Data],9)),"-")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27" s="36"/>
      <c r="L27" s="45"/>
      <c r="M27" s="37"/>
      <c r="N27" s="38"/>
      <c r="O27" s="38"/>
      <c r="P27" s="39"/>
    </row>
    <row r="28" spans="2:16" ht="180">
      <c r="B28" s="40">
        <f>IF(ISERR(casostestes[[#This Row],[ID]]),"-",casostestes[[#This Row],[ID]])</f>
        <v>21</v>
      </c>
      <c r="C28" s="34" t="str">
        <f>IFERROR(IF(VLOOKUP($B28,casostestes[#Data],10)=0,"Não",VLOOKUP($B28,casostestes[#Data],10)), "-")</f>
        <v>Sim</v>
      </c>
      <c r="D28" s="35" t="str">
        <f>IFERROR(IF(VLOOKUP($B28,casostestes[#Data],2)=0,"-",VLOOKUP($B28,casostestes[#Data],2)), "-")</f>
        <v>Requerimento Inicial de BI</v>
      </c>
      <c r="E28" s="35" t="str">
        <f>IFERROR(IF(VLOOKUP($B28,casostestes[#Data],3)=0,"-",VLOOKUP($B28,casostestes[#Data],3)), "-")</f>
        <v>37
Criar tarefa de BI inicial fluxo ATESTMEDQ para categoria "Segurado especial" onde o parâmetro "Exige Autodeclaração" no Catálogo está ATIVADO e  NÃO foi respondida a autodeclaração
**Parâmetro PAT ligado: 144 - Fluxo ATESTMEDQ</v>
      </c>
      <c r="F28" s="35" t="str">
        <f>IFERROR(IF(VLOOKUP($B28,casostestes[#Data],4)=0,"-",VLOOKUP($B28,casostestes[#Data],4)),"-")</f>
        <v>Meu INSS</v>
      </c>
      <c r="G28" s="35" t="str">
        <f>IFERROR(IF(VLOOKUP($B28,casostestes[#Data],5)=0,"-",VLOOKUP($B28,casostestes[#Data],5)),"-")</f>
        <v>INTERESSADO</v>
      </c>
      <c r="H28" s="35" t="str">
        <f>IFERROR(IF(VLOOKUP($B28,casostestes[#Data],6)=0,"-",VLOOKUP($B28,casostestes[#Data],6)),"-")</f>
        <v>1. Logar no  Meu INSS
2.Criar tarefa de BI informando:
Tipo de Incapacidade? "Temporária "
A pessoa está presa?  Não
Categoria do trabalhador "Segurado Especial"
A pessoa ficou sem trabalhar? Não
3. NÃO Responder a autodeclaração</v>
      </c>
      <c r="I28" s="35" t="str">
        <f>IFERROR(IF(VLOOKUP($B28,casostestes[#Data],8)=0,"-",VLOOKUP($B28,casostestes[#Data],8)),"-")</f>
        <v>-</v>
      </c>
      <c r="J28" s="35" t="str">
        <f>IFERROR(IF(VLOOKUP($B28,casostestes[#Data],9)=0,"-",VLOOKUP($B28,casostestes[#Data],9)),"-")</f>
        <v xml:space="preserve">
"Tarefa de BI criada com situação Pendente.
Status SIBE igual a  FLUXO NÃO INICIADO
Divergência de autodeclaração (116) incluída na tarefa
Após execução workflow:
Tarefa de BI com situação alterada para Exigência .
DTP:
Campo Exige_autodeclaração = 1"
</v>
      </c>
      <c r="K28" s="36"/>
      <c r="L28" s="45"/>
      <c r="M28" s="37"/>
      <c r="N28" s="38"/>
      <c r="O28" s="38"/>
      <c r="P28" s="39"/>
    </row>
    <row r="29" spans="2:16" ht="225">
      <c r="B29" s="40">
        <f>IF(ISERR(casostestes[[#This Row],[ID]]),"-",casostestes[[#This Row],[ID]])</f>
        <v>22</v>
      </c>
      <c r="C29" s="34" t="str">
        <f>IFERROR(IF(VLOOKUP($B29,casostestes[#Data],10)=0,"Não",VLOOKUP($B29,casostestes[#Data],10)), "-")</f>
        <v>Sim</v>
      </c>
      <c r="D29" s="35" t="str">
        <f>IFERROR(IF(VLOOKUP($B29,casostestes[#Data],2)=0,"-",VLOOKUP($B29,casostestes[#Data],2)), "-")</f>
        <v>Integração</v>
      </c>
      <c r="E29" s="35" t="str">
        <f>IFERROR(IF(VLOOKUP($B29,casostestes[#Data],3)=0,"-",VLOOKUP($B29,casostestes[#Data],3)), "-")</f>
        <v>38
Cumprir a exigência de autodeclaração</v>
      </c>
      <c r="F29" s="35" t="str">
        <f>IFERROR(IF(VLOOKUP($B29,casostestes[#Data],4)=0,"-",VLOOKUP($B29,casostestes[#Data],4)),"-")</f>
        <v>Meu INSS</v>
      </c>
      <c r="G29" s="35" t="str">
        <f>IFERROR(IF(VLOOKUP($B29,casostestes[#Data],5)=0,"-",VLOOKUP($B29,casostestes[#Data],5)),"-")</f>
        <v>INTERESSADO</v>
      </c>
      <c r="H29" s="35" t="str">
        <f>IFERROR(IF(VLOOKUP($B29,casostestes[#Data],6)=0,"-",VLOOKUP($B29,casostestes[#Data],6)),"-")</f>
        <v>1. Logar no  Meu INSS
2.Consultar uma tarefa em exigência de autodeclaração e acionar Cumprir Exigência  
3. Responder o formulário de autodeclaração</v>
      </c>
      <c r="I29" s="35" t="str">
        <f>IFERROR(IF(VLOOKUP($B29,casostestes[#Data],8)=0,"-",VLOOKUP($B29,casostestes[#Data],8)),"-")</f>
        <v>-</v>
      </c>
      <c r="J29" s="35" t="str">
        <f>IFERROR(IF(VLOOKUP($B29,casostestes[#Data],9)=0,"-",VLOOKUP($B29,casostestes[#Data],9)),"-")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9" s="36"/>
      <c r="L29" s="45"/>
      <c r="M29" s="37"/>
      <c r="N29" s="38"/>
      <c r="O29" s="38"/>
      <c r="P29" s="39"/>
    </row>
    <row r="30" spans="2:16" ht="180">
      <c r="B30" s="40">
        <f>IF(ISERR(casostestes[[#This Row],[ID]]),"-",casostestes[[#This Row],[ID]])</f>
        <v>23</v>
      </c>
      <c r="C30" s="34" t="str">
        <f>IFERROR(IF(VLOOKUP($B30,casostestes[#Data],10)=0,"Não",VLOOKUP($B30,casostestes[#Data],10)), "-")</f>
        <v>Sim</v>
      </c>
      <c r="D30" s="35" t="str">
        <f>IFERROR(IF(VLOOKUP($B30,casostestes[#Data],2)=0,"-",VLOOKUP($B30,casostestes[#Data],2)), "-")</f>
        <v>Integração</v>
      </c>
      <c r="E30" s="35" t="str">
        <f>IFERROR(IF(VLOOKUP($B30,casostestes[#Data],3)=0,"-",VLOOKUP($B30,casostestes[#Data],3)), "-")</f>
        <v>39
Responder o formulário de autodeclaração acionando a opção de autodeclaração no card do pedido onde a tarefa encontra-se em exigência de autodeclaração
Será posível acessar diretamente a autodeclaração logado no Meu INSS?</v>
      </c>
      <c r="F30" s="35" t="str">
        <f>IFERROR(IF(VLOOKUP($B30,casostestes[#Data],4)=0,"-",VLOOKUP($B30,casostestes[#Data],4)),"-")</f>
        <v>Meu INSS</v>
      </c>
      <c r="G30" s="35" t="str">
        <f>IFERROR(IF(VLOOKUP($B30,casostestes[#Data],5)=0,"-",VLOOKUP($B30,casostestes[#Data],5)),"-")</f>
        <v>INTERESSADO</v>
      </c>
      <c r="H30" s="35" t="str">
        <f>IFERROR(IF(VLOOKUP($B30,casostestes[#Data],6)=0,"-",VLOOKUP($B30,casostestes[#Data],6)),"-")</f>
        <v>1. Logar no  Meu INSS
2.Consultar uma tarefa em exigência de autodeclaração
3. Acionar no card do pedido a opção de Autodeclaração   
3. Responder o formulário de autodeclaração</v>
      </c>
      <c r="I30" s="35" t="str">
        <f>IFERROR(IF(VLOOKUP($B30,casostestes[#Data],8)=0,"-",VLOOKUP($B30,casostestes[#Data],8)),"-")</f>
        <v>-</v>
      </c>
      <c r="J30" s="35" t="str">
        <f>IFERROR(IF(VLOOKUP($B30,casostestes[#Data],9)=0,"-",VLOOKUP($B30,casostestes[#Data],9)),"-")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0" s="36"/>
      <c r="L30" s="45"/>
      <c r="M30" s="37"/>
      <c r="N30" s="38"/>
      <c r="O30" s="38"/>
      <c r="P30" s="39"/>
    </row>
    <row r="31" spans="2:16" ht="105">
      <c r="B31" s="40">
        <f>IF(ISERR(casostestes[[#This Row],[ID]]),"-",casostestes[[#This Row],[ID]])</f>
        <v>24</v>
      </c>
      <c r="C31" s="34" t="str">
        <f>IFERROR(IF(VLOOKUP($B31,casostestes[#Data],10)=0,"Não",VLOOKUP($B31,casostestes[#Data],10)), "-")</f>
        <v>Sim</v>
      </c>
      <c r="D31" s="35" t="str">
        <f>IFERROR(IF(VLOOKUP($B31,casostestes[#Data],2)=0,"-",VLOOKUP($B31,casostestes[#Data],2)), "-")</f>
        <v>Integração</v>
      </c>
      <c r="E31" s="35" t="str">
        <f>IFERROR(IF(VLOOKUP($B31,casostestes[#Data],3)=0,"-",VLOOKUP($B31,casostestes[#Data],3)), "-")</f>
        <v>40
Responder o formulário de autodeclaração acionando a opção de autodeclaração no card do pedido onde a tarefa encontra-se em exigência de documento médico
Será posível acessar diretamente a autodeclaração logado no Meu INSS?</v>
      </c>
      <c r="F31" s="35" t="str">
        <f>IFERROR(IF(VLOOKUP($B31,casostestes[#Data],4)=0,"-",VLOOKUP($B31,casostestes[#Data],4)),"-")</f>
        <v>Meu INSS</v>
      </c>
      <c r="G31" s="35" t="str">
        <f>IFERROR(IF(VLOOKUP($B31,casostestes[#Data],5)=0,"-",VLOOKUP($B31,casostestes[#Data],5)),"-")</f>
        <v>INTERESSADO</v>
      </c>
      <c r="H31" s="35" t="str">
        <f>IFERROR(IF(VLOOKUP($B31,casostestes[#Data],6)=0,"-",VLOOKUP($B31,casostestes[#Data],6)),"-")</f>
        <v>1. Logar no  Meu INSS
2.Consultar uma tarefa em exigência de documento médico 
3. Acionar no card do pedido a opção de Autodeclaração   
3. Responder o formulário de autodeclaração</v>
      </c>
      <c r="I31" s="35" t="str">
        <f>IFERROR(IF(VLOOKUP($B31,casostestes[#Data],8)=0,"-",VLOOKUP($B31,casostestes[#Data],8)),"-")</f>
        <v>-</v>
      </c>
      <c r="J31" s="35" t="str">
        <f>IFERROR(IF(VLOOKUP($B31,casostestes[#Data],9)=0,"-",VLOOKUP($B31,casostestes[#Data],9)),"-")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31" s="36"/>
      <c r="L31" s="45"/>
      <c r="M31" s="37"/>
      <c r="N31" s="38"/>
      <c r="O31" s="38"/>
      <c r="P31" s="39"/>
    </row>
    <row r="32" spans="2:16" ht="409.6">
      <c r="B32" s="40">
        <f>IF(ISERR(casostestes[[#This Row],[ID]]),"-",casostestes[[#This Row],[ID]])</f>
        <v>25</v>
      </c>
      <c r="C32" s="34" t="str">
        <f>IFERROR(IF(VLOOKUP($B32,casostestes[#Data],10)=0,"Não",VLOOKUP($B32,casostestes[#Data],10)), "-")</f>
        <v>Sim</v>
      </c>
      <c r="D32" s="35" t="str">
        <f>IFERROR(IF(VLOOKUP($B32,casostestes[#Data],2)=0,"-",VLOOKUP($B32,casostestes[#Data],2)), "-")</f>
        <v>Integração</v>
      </c>
      <c r="E32" s="35" t="str">
        <f>IFERROR(IF(VLOOKUP($B32,casostestes[#Data],3)=0,"-",VLOOKUP($B32,casostestes[#Data],3)), "-")</f>
        <v xml:space="preserve">
41
'Criar tarefa de BI inicial fluxo ATESTMEDQ para categoria "Segurado especial" onde o parâmetro "Exige Autodeclaração" no Catálogo está ATIVADO, 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2" s="35" t="str">
        <f>IFERROR(IF(VLOOKUP($B32,casostestes[#Data],4)=0,"-",VLOOKUP($B32,casostestes[#Data],4)),"-")</f>
        <v>PAT</v>
      </c>
      <c r="G32" s="35" t="str">
        <f>IFERROR(IF(VLOOKUP($B32,casostestes[#Data],5)=0,"-",VLOOKUP($B32,casostestes[#Data],5)),"-")</f>
        <v>SERVIDOR</v>
      </c>
      <c r="H32" s="35" t="str">
        <f>IFERROR(IF(VLOOKUP($B32,casostestes[#Data],6)=0,"-",VLOOKUP($B32,casostestes[#Data],6)),"-")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Responder o formulário de autodeclaração
Resultado 1
5. Executar o serviço do STD simulando enquadramento na regra da análise de risco
- Inclusão da divergência 202 (ORIENTAÇÕES NA ABA MASSA)   
Resultado 2
</v>
      </c>
      <c r="I32" s="35" t="str">
        <f>IFERROR(IF(VLOOKUP($B32,casostestes[#Data],8)=0,"-",VLOOKUP($B32,casostestes[#Data],8)),"-")</f>
        <v>-</v>
      </c>
      <c r="J32" s="35" t="str">
        <f>IFERROR(IF(VLOOKUP($B32,casostestes[#Data],9)=0,"-",VLOOKUP($B32,casostestes[#Data],9)),"-")</f>
        <v xml:space="preserve">Resultado 1:
Tarefa de BI criada com situação Pendente.
Tarefa SEM a Divergência de autodeclaração (116)  
Status SIBE igual a  FLUXO NÃO INICIADO
Seção campos adicionais:
"Fluxo Inicial e final do BI" deve ter o valor  "ATESTMEDQ"
DTP:  Campo Exige_autodeclaração = 1
Aguardar alguns minutos após a geração automática do PDF da autodeclaração:
Status SIBE continua igual a  FLUXO NÃO INICIADO
Resultado 2 - Após a execução do serviço do STD:  
- Cerca de 5 minutos depois, será exibida a divergência da Análise de Risco (202) no requerimento
- Alguns minutos depois:
Status SIBE igual a AGUARDANDO PERÍCIA
- Ocorrências de integração (com SIBE)
 "tipoInformacaoMedica":0
 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 Seção "Agendamentos (Perícia)":
- A etapa_pericia apresentará o valor AGUARDANDO AGENDAMENTO 
Aba Despachos:
-Inclusão do despacho de exigência de agendamento
</v>
      </c>
      <c r="K32" s="36"/>
      <c r="L32" s="45" t="s">
        <v>266</v>
      </c>
      <c r="M32" s="37"/>
      <c r="N32" s="38"/>
      <c r="O32" s="38"/>
      <c r="P32" s="39"/>
    </row>
    <row r="33" spans="2:16" ht="409.5">
      <c r="B33" s="40">
        <f>IF(ISERR(casostestes[[#This Row],[ID]]),"-",casostestes[[#This Row],[ID]])</f>
        <v>26</v>
      </c>
      <c r="C33" s="34" t="str">
        <f>IFERROR(IF(VLOOKUP($B33,casostestes[#Data],10)=0,"Não",VLOOKUP($B33,casostestes[#Data],10)), "-")</f>
        <v>Sim</v>
      </c>
      <c r="D33" s="35" t="str">
        <f>IFERROR(IF(VLOOKUP($B33,casostestes[#Data],2)=0,"-",VLOOKUP($B33,casostestes[#Data],2)), "-")</f>
        <v>Integração</v>
      </c>
      <c r="E33" s="35" t="str">
        <f>IFERROR(IF(VLOOKUP($B33,casostestes[#Data],3)=0,"-",VLOOKUP($B33,casostestes[#Data],3)), "-")</f>
        <v xml:space="preserve">42'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3" s="35" t="str">
        <f>IFERROR(IF(VLOOKUP($B33,casostestes[#Data],4)=0,"-",VLOOKUP($B33,casostestes[#Data],4)),"-")</f>
        <v>PAT</v>
      </c>
      <c r="G33" s="35" t="str">
        <f>IFERROR(IF(VLOOKUP($B33,casostestes[#Data],5)=0,"-",VLOOKUP($B33,casostestes[#Data],5)),"-")</f>
        <v>SERVIDOR</v>
      </c>
      <c r="H33" s="35" t="str">
        <f>IFERROR(IF(VLOOKUP($B33,casostestes[#Data],6)=0,"-",VLOOKUP($B33,casostestes[#Data],6)),"-")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33" s="35" t="str">
        <f>IFERROR(IF(VLOOKUP($B33,casostestes[#Data],8)=0,"-",VLOOKUP($B33,casostestes[#Data],8)),"-")</f>
        <v>-</v>
      </c>
      <c r="J33" s="35" t="str">
        <f>IFERROR(IF(VLOOKUP($B33,casostestes[#Data],9)=0,"-",VLOOKUP($B33,casostestes[#Data],9)),"-")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33" s="36"/>
      <c r="L33" s="45"/>
      <c r="M33" s="37"/>
      <c r="N33" s="38"/>
      <c r="O33" s="38"/>
      <c r="P33" s="39"/>
    </row>
    <row r="34" spans="2:16" ht="409.5">
      <c r="B34" s="40">
        <f>IF(ISERR(casostestes[[#This Row],[ID]]),"-",casostestes[[#This Row],[ID]])</f>
        <v>27</v>
      </c>
      <c r="C34" s="34" t="str">
        <f>IFERROR(IF(VLOOKUP($B34,casostestes[#Data],10)=0,"Não",VLOOKUP($B34,casostestes[#Data],10)), "-")</f>
        <v>Sim</v>
      </c>
      <c r="D34" s="35" t="str">
        <f>IFERROR(IF(VLOOKUP($B34,casostestes[#Data],2)=0,"-",VLOOKUP($B34,casostestes[#Data],2)), "-")</f>
        <v>Integração</v>
      </c>
      <c r="E34" s="35" t="str">
        <f>IFERROR(IF(VLOOKUP($B34,casostestes[#Data],3)=0,"-",VLOOKUP($B34,casostestes[#Data],3)), "-")</f>
        <v xml:space="preserve">43'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4" s="35" t="str">
        <f>IFERROR(IF(VLOOKUP($B34,casostestes[#Data],4)=0,"-",VLOOKUP($B34,casostestes[#Data],4)),"-")</f>
        <v>PAT</v>
      </c>
      <c r="G34" s="35" t="str">
        <f>IFERROR(IF(VLOOKUP($B34,casostestes[#Data],5)=0,"-",VLOOKUP($B34,casostestes[#Data],5)),"-")</f>
        <v>SERVIDOR</v>
      </c>
      <c r="H34" s="35" t="str">
        <f>IFERROR(IF(VLOOKUP($B34,casostestes[#Data],6)=0,"-",VLOOKUP($B34,casostestes[#Data],6)),"-")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34" s="35" t="str">
        <f>IFERROR(IF(VLOOKUP($B34,casostestes[#Data],8)=0,"-",VLOOKUP($B34,casostestes[#Data],8)),"-")</f>
        <v>-</v>
      </c>
      <c r="J34" s="35" t="str">
        <f>IFERROR(IF(VLOOKUP($B34,casostestes[#Data],9)=0,"-",VLOOKUP($B34,casostestes[#Data],9)),"-")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34" s="36"/>
      <c r="L34" s="45"/>
      <c r="M34" s="37"/>
      <c r="N34" s="38"/>
      <c r="O34" s="38"/>
      <c r="P34" s="39"/>
    </row>
    <row r="35" spans="2:16">
      <c r="B35" s="40" t="str">
        <f>IF(ISERR(casostestes[[#This Row],[ID]]),"-",casostestes[[#This Row],[ID]])</f>
        <v>-</v>
      </c>
      <c r="C35" s="34" t="str">
        <f>IFERROR(IF(VLOOKUP($B35,casostestes[#Data],10)=0,"Não",VLOOKUP($B35,casostestes[#Data],10)), "-")</f>
        <v>-</v>
      </c>
      <c r="D35" s="35" t="str">
        <f>IFERROR(IF(VLOOKUP($B35,casostestes[#Data],2)=0,"-",VLOOKUP($B35,casostestes[#Data],2)), "-")</f>
        <v>-</v>
      </c>
      <c r="E35" s="35" t="str">
        <f>IFERROR(IF(VLOOKUP($B35,casostestes[#Data],3)=0,"-",VLOOKUP($B35,casostestes[#Data],3)), "-")</f>
        <v>-</v>
      </c>
      <c r="F35" s="35" t="str">
        <f>IFERROR(IF(VLOOKUP($B35,casostestes[#Data],4)=0,"-",VLOOKUP($B35,casostestes[#Data],4)),"-")</f>
        <v>-</v>
      </c>
      <c r="G35" s="35" t="str">
        <f>IFERROR(IF(VLOOKUP($B35,casostestes[#Data],5)=0,"-",VLOOKUP($B35,casostestes[#Data],5)),"-")</f>
        <v>-</v>
      </c>
      <c r="H35" s="35" t="str">
        <f>IFERROR(IF(VLOOKUP($B35,casostestes[#Data],6)=0,"-",VLOOKUP($B35,casostestes[#Data],6)),"-")</f>
        <v>-</v>
      </c>
      <c r="I35" s="35" t="str">
        <f>IFERROR(IF(VLOOKUP($B35,casostestes[#Data],8)=0,"-",VLOOKUP($B35,casostestes[#Data],8)),"-")</f>
        <v>-</v>
      </c>
      <c r="J35" s="35" t="str">
        <f>IFERROR(IF(VLOOKUP($B35,casostestes[#Data],9)=0,"-",VLOOKUP($B35,casostestes[#Data],9)),"-")</f>
        <v>-</v>
      </c>
      <c r="K35" s="36"/>
      <c r="L35" s="45"/>
      <c r="M35" s="37"/>
      <c r="N35" s="38"/>
      <c r="O35" s="38"/>
      <c r="P35" s="39"/>
    </row>
    <row r="36" spans="2:16">
      <c r="B36" s="40" t="str">
        <f>IF(ISERR(casostestes[[#This Row],[ID]]),"-",casostestes[[#This Row],[ID]])</f>
        <v>-</v>
      </c>
      <c r="C36" s="34" t="str">
        <f>IFERROR(IF(VLOOKUP($B36,casostestes[#Data],10)=0,"Não",VLOOKUP($B36,casostestes[#Data],10)), "-")</f>
        <v>-</v>
      </c>
      <c r="D36" s="35" t="str">
        <f>IFERROR(IF(VLOOKUP($B36,casostestes[#Data],2)=0,"-",VLOOKUP($B36,casostestes[#Data],2)), "-")</f>
        <v>-</v>
      </c>
      <c r="E36" s="35" t="str">
        <f>IFERROR(IF(VLOOKUP($B36,casostestes[#Data],3)=0,"-",VLOOKUP($B36,casostestes[#Data],3)), "-")</f>
        <v>-</v>
      </c>
      <c r="F36" s="35" t="str">
        <f>IFERROR(IF(VLOOKUP($B36,casostestes[#Data],4)=0,"-",VLOOKUP($B36,casostestes[#Data],4)),"-")</f>
        <v>-</v>
      </c>
      <c r="G36" s="35" t="str">
        <f>IFERROR(IF(VLOOKUP($B36,casostestes[#Data],5)=0,"-",VLOOKUP($B36,casostestes[#Data],5)),"-")</f>
        <v>-</v>
      </c>
      <c r="H36" s="35" t="str">
        <f>IFERROR(IF(VLOOKUP($B36,casostestes[#Data],6)=0,"-",VLOOKUP($B36,casostestes[#Data],6)),"-")</f>
        <v>-</v>
      </c>
      <c r="I36" s="35" t="str">
        <f>IFERROR(IF(VLOOKUP($B36,casostestes[#Data],8)=0,"-",VLOOKUP($B36,casostestes[#Data],8)),"-")</f>
        <v>-</v>
      </c>
      <c r="J36" s="35" t="str">
        <f>IFERROR(IF(VLOOKUP($B36,casostestes[#Data],9)=0,"-",VLOOKUP($B36,casostestes[#Data],9)),"-")</f>
        <v>-</v>
      </c>
      <c r="K36" s="36"/>
      <c r="L36" s="45"/>
      <c r="M36" s="37"/>
      <c r="N36" s="38"/>
      <c r="O36" s="38"/>
      <c r="P36" s="39"/>
    </row>
    <row r="37" spans="2:16">
      <c r="B37" s="40" t="str">
        <f>IF(ISERR(casostestes[[#This Row],[ID]]),"-",casostestes[[#This Row],[ID]])</f>
        <v>-</v>
      </c>
      <c r="C37" s="34" t="str">
        <f>IFERROR(IF(VLOOKUP($B37,casostestes[#Data],10)=0,"Não",VLOOKUP($B37,casostestes[#Data],10)), "-")</f>
        <v>-</v>
      </c>
      <c r="D37" s="35" t="str">
        <f>IFERROR(IF(VLOOKUP($B37,casostestes[#Data],2)=0,"-",VLOOKUP($B37,casostestes[#Data],2)), "-")</f>
        <v>-</v>
      </c>
      <c r="E37" s="35" t="str">
        <f>IFERROR(IF(VLOOKUP($B37,casostestes[#Data],3)=0,"-",VLOOKUP($B37,casostestes[#Data],3)), "-")</f>
        <v>-</v>
      </c>
      <c r="F37" s="35" t="str">
        <f>IFERROR(IF(VLOOKUP($B37,casostestes[#Data],4)=0,"-",VLOOKUP($B37,casostestes[#Data],4)),"-")</f>
        <v>-</v>
      </c>
      <c r="G37" s="35" t="str">
        <f>IFERROR(IF(VLOOKUP($B37,casostestes[#Data],5)=0,"-",VLOOKUP($B37,casostestes[#Data],5)),"-")</f>
        <v>-</v>
      </c>
      <c r="H37" s="35" t="str">
        <f>IFERROR(IF(VLOOKUP($B37,casostestes[#Data],6)=0,"-",VLOOKUP($B37,casostestes[#Data],6)),"-")</f>
        <v>-</v>
      </c>
      <c r="I37" s="35" t="str">
        <f>IFERROR(IF(VLOOKUP($B37,casostestes[#Data],8)=0,"-",VLOOKUP($B37,casostestes[#Data],8)),"-")</f>
        <v>-</v>
      </c>
      <c r="J37" s="35" t="str">
        <f>IFERROR(IF(VLOOKUP($B37,casostestes[#Data],9)=0,"-",VLOOKUP($B37,casostestes[#Data],9)),"-")</f>
        <v>-</v>
      </c>
      <c r="K37" s="36"/>
      <c r="L37" s="45"/>
      <c r="M37" s="37"/>
      <c r="N37" s="38"/>
      <c r="O37" s="38"/>
      <c r="P37" s="39"/>
    </row>
    <row r="38" spans="2:16">
      <c r="B38" s="40" t="str">
        <f>IF(ISERR(casostestes[[#This Row],[ID]]),"-",casostestes[[#This Row],[ID]])</f>
        <v>-</v>
      </c>
      <c r="C38" s="34" t="str">
        <f>IFERROR(IF(VLOOKUP($B38,casostestes[#Data],10)=0,"Não",VLOOKUP($B38,casostestes[#Data],10)), "-")</f>
        <v>-</v>
      </c>
      <c r="D38" s="35" t="str">
        <f>IFERROR(IF(VLOOKUP($B38,casostestes[#Data],2)=0,"-",VLOOKUP($B38,casostestes[#Data],2)), "-")</f>
        <v>-</v>
      </c>
      <c r="E38" s="35" t="str">
        <f>IFERROR(IF(VLOOKUP($B38,casostestes[#Data],3)=0,"-",VLOOKUP($B38,casostestes[#Data],3)), "-")</f>
        <v>-</v>
      </c>
      <c r="F38" s="35" t="str">
        <f>IFERROR(IF(VLOOKUP($B38,casostestes[#Data],4)=0,"-",VLOOKUP($B38,casostestes[#Data],4)),"-")</f>
        <v>-</v>
      </c>
      <c r="G38" s="35" t="str">
        <f>IFERROR(IF(VLOOKUP($B38,casostestes[#Data],5)=0,"-",VLOOKUP($B38,casostestes[#Data],5)),"-")</f>
        <v>-</v>
      </c>
      <c r="H38" s="35" t="str">
        <f>IFERROR(IF(VLOOKUP($B38,casostestes[#Data],6)=0,"-",VLOOKUP($B38,casostestes[#Data],6)),"-")</f>
        <v>-</v>
      </c>
      <c r="I38" s="35" t="str">
        <f>IFERROR(IF(VLOOKUP($B38,casostestes[#Data],8)=0,"-",VLOOKUP($B38,casostestes[#Data],8)),"-")</f>
        <v>-</v>
      </c>
      <c r="J38" s="35" t="str">
        <f>IFERROR(IF(VLOOKUP($B38,casostestes[#Data],9)=0,"-",VLOOKUP($B38,casostestes[#Data],9)),"-")</f>
        <v>-</v>
      </c>
      <c r="K38" s="36"/>
      <c r="L38" s="45"/>
      <c r="M38" s="37"/>
      <c r="N38" s="38"/>
      <c r="O38" s="38"/>
      <c r="P38" s="39"/>
    </row>
    <row r="39" spans="2:16">
      <c r="B39" s="40" t="str">
        <f>IF(ISERR(casostestes[[#This Row],[ID]]),"-",casostestes[[#This Row],[ID]])</f>
        <v>-</v>
      </c>
      <c r="C39" s="34" t="str">
        <f>IFERROR(IF(VLOOKUP($B39,casostestes[#Data],10)=0,"Não",VLOOKUP($B39,casostestes[#Data],10)), "-")</f>
        <v>-</v>
      </c>
      <c r="D39" s="35" t="str">
        <f>IFERROR(IF(VLOOKUP($B39,casostestes[#Data],2)=0,"-",VLOOKUP($B39,casostestes[#Data],2)), "-")</f>
        <v>-</v>
      </c>
      <c r="E39" s="35" t="str">
        <f>IFERROR(IF(VLOOKUP($B39,casostestes[#Data],3)=0,"-",VLOOKUP($B39,casostestes[#Data],3)), "-")</f>
        <v>-</v>
      </c>
      <c r="F39" s="35" t="str">
        <f>IFERROR(IF(VLOOKUP($B39,casostestes[#Data],4)=0,"-",VLOOKUP($B39,casostestes[#Data],4)),"-")</f>
        <v>-</v>
      </c>
      <c r="G39" s="35" t="str">
        <f>IFERROR(IF(VLOOKUP($B39,casostestes[#Data],5)=0,"-",VLOOKUP($B39,casostestes[#Data],5)),"-")</f>
        <v>-</v>
      </c>
      <c r="H39" s="35" t="str">
        <f>IFERROR(IF(VLOOKUP($B39,casostestes[#Data],6)=0,"-",VLOOKUP($B39,casostestes[#Data],6)),"-")</f>
        <v>-</v>
      </c>
      <c r="I39" s="35" t="str">
        <f>IFERROR(IF(VLOOKUP($B39,casostestes[#Data],8)=0,"-",VLOOKUP($B39,casostestes[#Data],8)),"-")</f>
        <v>-</v>
      </c>
      <c r="J39" s="35" t="str">
        <f>IFERROR(IF(VLOOKUP($B39,casostestes[#Data],9)=0,"-",VLOOKUP($B39,casostestes[#Data],9)),"-")</f>
        <v>-</v>
      </c>
      <c r="K39" s="36"/>
      <c r="L39" s="45"/>
      <c r="M39" s="37"/>
      <c r="N39" s="38"/>
      <c r="O39" s="38"/>
      <c r="P39" s="39"/>
    </row>
    <row r="40" spans="2:16">
      <c r="B40" s="40" t="str">
        <f>IF(ISERR(casostestes[[#This Row],[ID]]),"-",casostestes[[#This Row],[ID]])</f>
        <v>-</v>
      </c>
      <c r="C40" s="34" t="str">
        <f>IFERROR(IF(VLOOKUP($B40,casostestes[#Data],10)=0,"Não",VLOOKUP($B40,casostestes[#Data],10)), "-")</f>
        <v>-</v>
      </c>
      <c r="D40" s="35" t="str">
        <f>IFERROR(IF(VLOOKUP($B40,casostestes[#Data],2)=0,"-",VLOOKUP($B40,casostestes[#Data],2)), "-")</f>
        <v>-</v>
      </c>
      <c r="E40" s="35" t="str">
        <f>IFERROR(IF(VLOOKUP($B40,casostestes[#Data],3)=0,"-",VLOOKUP($B40,casostestes[#Data],3)), "-")</f>
        <v>-</v>
      </c>
      <c r="F40" s="35" t="str">
        <f>IFERROR(IF(VLOOKUP($B40,casostestes[#Data],4)=0,"-",VLOOKUP($B40,casostestes[#Data],4)),"-")</f>
        <v>-</v>
      </c>
      <c r="G40" s="35" t="str">
        <f>IFERROR(IF(VLOOKUP($B40,casostestes[#Data],5)=0,"-",VLOOKUP($B40,casostestes[#Data],5)),"-")</f>
        <v>-</v>
      </c>
      <c r="H40" s="35" t="str">
        <f>IFERROR(IF(VLOOKUP($B40,casostestes[#Data],6)=0,"-",VLOOKUP($B40,casostestes[#Data],6)),"-")</f>
        <v>-</v>
      </c>
      <c r="I40" s="35" t="str">
        <f>IFERROR(IF(VLOOKUP($B40,casostestes[#Data],8)=0,"-",VLOOKUP($B40,casostestes[#Data],8)),"-")</f>
        <v>-</v>
      </c>
      <c r="J40" s="35" t="str">
        <f>IFERROR(IF(VLOOKUP($B40,casostestes[#Data],9)=0,"-",VLOOKUP($B40,casostestes[#Data],9)),"-")</f>
        <v>-</v>
      </c>
      <c r="K40" s="36"/>
      <c r="L40" s="45"/>
      <c r="M40" s="37"/>
      <c r="N40" s="38"/>
      <c r="O40" s="38"/>
      <c r="P40" s="39"/>
    </row>
    <row r="41" spans="2:16">
      <c r="B41" s="40" t="str">
        <f>IF(ISERR(casostestes[[#This Row],[ID]]),"-",casostestes[[#This Row],[ID]])</f>
        <v>-</v>
      </c>
      <c r="C41" s="34" t="str">
        <f>IFERROR(IF(VLOOKUP($B41,casostestes[#Data],10)=0,"Não",VLOOKUP($B41,casostestes[#Data],10)), "-")</f>
        <v>-</v>
      </c>
      <c r="D41" s="35" t="str">
        <f>IFERROR(IF(VLOOKUP($B41,casostestes[#Data],2)=0,"-",VLOOKUP($B41,casostestes[#Data],2)), "-")</f>
        <v>-</v>
      </c>
      <c r="E41" s="35" t="str">
        <f>IFERROR(IF(VLOOKUP($B41,casostestes[#Data],3)=0,"-",VLOOKUP($B41,casostestes[#Data],3)), "-")</f>
        <v>-</v>
      </c>
      <c r="F41" s="35" t="str">
        <f>IFERROR(IF(VLOOKUP($B41,casostestes[#Data],4)=0,"-",VLOOKUP($B41,casostestes[#Data],4)),"-")</f>
        <v>-</v>
      </c>
      <c r="G41" s="35" t="str">
        <f>IFERROR(IF(VLOOKUP($B41,casostestes[#Data],5)=0,"-",VLOOKUP($B41,casostestes[#Data],5)),"-")</f>
        <v>-</v>
      </c>
      <c r="H41" s="35" t="str">
        <f>IFERROR(IF(VLOOKUP($B41,casostestes[#Data],6)=0,"-",VLOOKUP($B41,casostestes[#Data],6)),"-")</f>
        <v>-</v>
      </c>
      <c r="I41" s="35" t="str">
        <f>IFERROR(IF(VLOOKUP($B41,casostestes[#Data],8)=0,"-",VLOOKUP($B41,casostestes[#Data],8)),"-")</f>
        <v>-</v>
      </c>
      <c r="J41" s="35" t="str">
        <f>IFERROR(IF(VLOOKUP($B41,casostestes[#Data],9)=0,"-",VLOOKUP($B41,casostestes[#Data],9)),"-")</f>
        <v>-</v>
      </c>
      <c r="K41" s="36"/>
      <c r="L41" s="45"/>
      <c r="M41" s="37"/>
      <c r="N41" s="38"/>
      <c r="O41" s="38"/>
      <c r="P41" s="39"/>
    </row>
    <row r="42" spans="2:16">
      <c r="B42" s="40" t="str">
        <f>IF(ISERR(casostestes[[#This Row],[ID]]),"-",casostestes[[#This Row],[ID]])</f>
        <v>-</v>
      </c>
      <c r="C42" s="34" t="str">
        <f>IFERROR(IF(VLOOKUP($B42,casostestes[#Data],10)=0,"Não",VLOOKUP($B42,casostestes[#Data],10)), "-")</f>
        <v>-</v>
      </c>
      <c r="D42" s="35" t="str">
        <f>IFERROR(IF(VLOOKUP($B42,casostestes[#Data],2)=0,"-",VLOOKUP($B42,casostestes[#Data],2)), "-")</f>
        <v>-</v>
      </c>
      <c r="E42" s="35" t="str">
        <f>IFERROR(IF(VLOOKUP($B42,casostestes[#Data],3)=0,"-",VLOOKUP($B42,casostestes[#Data],3)), "-")</f>
        <v>-</v>
      </c>
      <c r="F42" s="35" t="str">
        <f>IFERROR(IF(VLOOKUP($B42,casostestes[#Data],4)=0,"-",VLOOKUP($B42,casostestes[#Data],4)),"-")</f>
        <v>-</v>
      </c>
      <c r="G42" s="35" t="str">
        <f>IFERROR(IF(VLOOKUP($B42,casostestes[#Data],5)=0,"-",VLOOKUP($B42,casostestes[#Data],5)),"-")</f>
        <v>-</v>
      </c>
      <c r="H42" s="35" t="str">
        <f>IFERROR(IF(VLOOKUP($B42,casostestes[#Data],6)=0,"-",VLOOKUP($B42,casostestes[#Data],6)),"-")</f>
        <v>-</v>
      </c>
      <c r="I42" s="35" t="str">
        <f>IFERROR(IF(VLOOKUP($B42,casostestes[#Data],8)=0,"-",VLOOKUP($B42,casostestes[#Data],8)),"-")</f>
        <v>-</v>
      </c>
      <c r="J42" s="35" t="str">
        <f>IFERROR(IF(VLOOKUP($B42,casostestes[#Data],9)=0,"-",VLOOKUP($B42,casostestes[#Data],9)),"-")</f>
        <v>-</v>
      </c>
      <c r="K42" s="36"/>
      <c r="L42" s="45"/>
      <c r="M42" s="37"/>
      <c r="N42" s="38"/>
      <c r="O42" s="38"/>
      <c r="P42" s="39"/>
    </row>
    <row r="43" spans="2:16">
      <c r="B43" s="40" t="str">
        <f>IF(ISERR(casostestes[[#This Row],[ID]]),"-",casostestes[[#This Row],[ID]])</f>
        <v>-</v>
      </c>
      <c r="C43" s="34" t="str">
        <f>IFERROR(IF(VLOOKUP($B43,casostestes[#Data],10)=0,"Não",VLOOKUP($B43,casostestes[#Data],10)), "-")</f>
        <v>-</v>
      </c>
      <c r="D43" s="35" t="str">
        <f>IFERROR(IF(VLOOKUP($B43,casostestes[#Data],2)=0,"-",VLOOKUP($B43,casostestes[#Data],2)), "-")</f>
        <v>-</v>
      </c>
      <c r="E43" s="35" t="str">
        <f>IFERROR(IF(VLOOKUP($B43,casostestes[#Data],3)=0,"-",VLOOKUP($B43,casostestes[#Data],3)), "-")</f>
        <v>-</v>
      </c>
      <c r="F43" s="35" t="str">
        <f>IFERROR(IF(VLOOKUP($B43,casostestes[#Data],4)=0,"-",VLOOKUP($B43,casostestes[#Data],4)),"-")</f>
        <v>-</v>
      </c>
      <c r="G43" s="35" t="str">
        <f>IFERROR(IF(VLOOKUP($B43,casostestes[#Data],5)=0,"-",VLOOKUP($B43,casostestes[#Data],5)),"-")</f>
        <v>-</v>
      </c>
      <c r="H43" s="35" t="str">
        <f>IFERROR(IF(VLOOKUP($B43,casostestes[#Data],6)=0,"-",VLOOKUP($B43,casostestes[#Data],6)),"-")</f>
        <v>-</v>
      </c>
      <c r="I43" s="35" t="str">
        <f>IFERROR(IF(VLOOKUP($B43,casostestes[#Data],8)=0,"-",VLOOKUP($B43,casostestes[#Data],8)),"-")</f>
        <v>-</v>
      </c>
      <c r="J43" s="35" t="str">
        <f>IFERROR(IF(VLOOKUP($B43,casostestes[#Data],9)=0,"-",VLOOKUP($B43,casostestes[#Data],9)),"-")</f>
        <v>-</v>
      </c>
      <c r="K43" s="36"/>
      <c r="L43" s="45"/>
      <c r="M43" s="37"/>
      <c r="N43" s="38"/>
      <c r="O43" s="38"/>
      <c r="P43" s="39"/>
    </row>
    <row r="44" spans="2:16">
      <c r="B44" s="40" t="str">
        <f>IF(ISERR(casostestes[[#This Row],[ID]]),"-",casostestes[[#This Row],[ID]])</f>
        <v>-</v>
      </c>
      <c r="C44" s="34" t="str">
        <f>IFERROR(IF(VLOOKUP($B44,casostestes[#Data],10)=0,"Não",VLOOKUP($B44,casostestes[#Data],10)), "-")</f>
        <v>-</v>
      </c>
      <c r="D44" s="35" t="str">
        <f>IFERROR(IF(VLOOKUP($B44,casostestes[#Data],2)=0,"-",VLOOKUP($B44,casostestes[#Data],2)), "-")</f>
        <v>-</v>
      </c>
      <c r="E44" s="35" t="str">
        <f>IFERROR(IF(VLOOKUP($B44,casostestes[#Data],3)=0,"-",VLOOKUP($B44,casostestes[#Data],3)), "-")</f>
        <v>-</v>
      </c>
      <c r="F44" s="35" t="str">
        <f>IFERROR(IF(VLOOKUP($B44,casostestes[#Data],4)=0,"-",VLOOKUP($B44,casostestes[#Data],4)),"-")</f>
        <v>-</v>
      </c>
      <c r="G44" s="35" t="str">
        <f>IFERROR(IF(VLOOKUP($B44,casostestes[#Data],5)=0,"-",VLOOKUP($B44,casostestes[#Data],5)),"-")</f>
        <v>-</v>
      </c>
      <c r="H44" s="35" t="str">
        <f>IFERROR(IF(VLOOKUP($B44,casostestes[#Data],6)=0,"-",VLOOKUP($B44,casostestes[#Data],6)),"-")</f>
        <v>-</v>
      </c>
      <c r="I44" s="35" t="str">
        <f>IFERROR(IF(VLOOKUP($B44,casostestes[#Data],8)=0,"-",VLOOKUP($B44,casostestes[#Data],8)),"-")</f>
        <v>-</v>
      </c>
      <c r="J44" s="35" t="str">
        <f>IFERROR(IF(VLOOKUP($B44,casostestes[#Data],9)=0,"-",VLOOKUP($B44,casostestes[#Data],9)),"-")</f>
        <v>-</v>
      </c>
      <c r="K44" s="36"/>
      <c r="L44" s="45"/>
      <c r="M44" s="37"/>
      <c r="N44" s="38"/>
      <c r="O44" s="38"/>
      <c r="P44" s="39"/>
    </row>
    <row r="45" spans="2:16">
      <c r="B45" s="40" t="str">
        <f>IF(ISERR(casostestes[[#This Row],[ID]]),"-",casostestes[[#This Row],[ID]])</f>
        <v>-</v>
      </c>
      <c r="C45" s="34" t="str">
        <f>IFERROR(IF(VLOOKUP($B45,casostestes[#Data],10)=0,"Não",VLOOKUP($B45,casostestes[#Data],10)), "-")</f>
        <v>-</v>
      </c>
      <c r="D45" s="35" t="str">
        <f>IFERROR(IF(VLOOKUP($B45,casostestes[#Data],2)=0,"-",VLOOKUP($B45,casostestes[#Data],2)), "-")</f>
        <v>-</v>
      </c>
      <c r="E45" s="35" t="str">
        <f>IFERROR(IF(VLOOKUP($B45,casostestes[#Data],3)=0,"-",VLOOKUP($B45,casostestes[#Data],3)), "-")</f>
        <v>-</v>
      </c>
      <c r="F45" s="35" t="str">
        <f>IFERROR(IF(VLOOKUP($B45,casostestes[#Data],4)=0,"-",VLOOKUP($B45,casostestes[#Data],4)),"-")</f>
        <v>-</v>
      </c>
      <c r="G45" s="35" t="str">
        <f>IFERROR(IF(VLOOKUP($B45,casostestes[#Data],5)=0,"-",VLOOKUP($B45,casostestes[#Data],5)),"-")</f>
        <v>-</v>
      </c>
      <c r="H45" s="35" t="str">
        <f>IFERROR(IF(VLOOKUP($B45,casostestes[#Data],6)=0,"-",VLOOKUP($B45,casostestes[#Data],6)),"-")</f>
        <v>-</v>
      </c>
      <c r="I45" s="35" t="str">
        <f>IFERROR(IF(VLOOKUP($B45,casostestes[#Data],8)=0,"-",VLOOKUP($B45,casostestes[#Data],8)),"-")</f>
        <v>-</v>
      </c>
      <c r="J45" s="35" t="str">
        <f>IFERROR(IF(VLOOKUP($B45,casostestes[#Data],9)=0,"-",VLOOKUP($B45,casostestes[#Data],9)),"-")</f>
        <v>-</v>
      </c>
      <c r="K45" s="36"/>
      <c r="L45" s="45"/>
      <c r="M45" s="37"/>
      <c r="N45" s="38"/>
      <c r="O45" s="38"/>
      <c r="P45" s="39"/>
    </row>
    <row r="46" spans="2:16">
      <c r="B46" s="40" t="str">
        <f>IF(ISERR(casostestes[[#This Row],[ID]]),"-",casostestes[[#This Row],[ID]])</f>
        <v>-</v>
      </c>
      <c r="C46" s="34" t="str">
        <f>IFERROR(IF(VLOOKUP($B46,casostestes[#Data],10)=0,"Não",VLOOKUP($B46,casostestes[#Data],10)), "-")</f>
        <v>-</v>
      </c>
      <c r="D46" s="35" t="str">
        <f>IFERROR(IF(VLOOKUP($B46,casostestes[#Data],2)=0,"-",VLOOKUP($B46,casostestes[#Data],2)), "-")</f>
        <v>-</v>
      </c>
      <c r="E46" s="35" t="str">
        <f>IFERROR(IF(VLOOKUP($B46,casostestes[#Data],3)=0,"-",VLOOKUP($B46,casostestes[#Data],3)), "-")</f>
        <v>-</v>
      </c>
      <c r="F46" s="35" t="str">
        <f>IFERROR(IF(VLOOKUP($B46,casostestes[#Data],4)=0,"-",VLOOKUP($B46,casostestes[#Data],4)),"-")</f>
        <v>-</v>
      </c>
      <c r="G46" s="35" t="str">
        <f>IFERROR(IF(VLOOKUP($B46,casostestes[#Data],5)=0,"-",VLOOKUP($B46,casostestes[#Data],5)),"-")</f>
        <v>-</v>
      </c>
      <c r="H46" s="35" t="str">
        <f>IFERROR(IF(VLOOKUP($B46,casostestes[#Data],6)=0,"-",VLOOKUP($B46,casostestes[#Data],6)),"-")</f>
        <v>-</v>
      </c>
      <c r="I46" s="35" t="str">
        <f>IFERROR(IF(VLOOKUP($B46,casostestes[#Data],8)=0,"-",VLOOKUP($B46,casostestes[#Data],8)),"-")</f>
        <v>-</v>
      </c>
      <c r="J46" s="35" t="str">
        <f>IFERROR(IF(VLOOKUP($B46,casostestes[#Data],9)=0,"-",VLOOKUP($B46,casostestes[#Data],9)),"-")</f>
        <v>-</v>
      </c>
      <c r="K46" s="36"/>
      <c r="L46" s="45"/>
      <c r="M46" s="37"/>
      <c r="N46" s="38"/>
      <c r="O46" s="38"/>
      <c r="P46" s="39"/>
    </row>
    <row r="47" spans="2:16">
      <c r="B47" s="40" t="str">
        <f>IF(ISERR(casostestes[[#This Row],[ID]]),"-",casostestes[[#This Row],[ID]])</f>
        <v>-</v>
      </c>
      <c r="C47" s="34" t="str">
        <f>IFERROR(IF(VLOOKUP($B47,casostestes[#Data],10)=0,"Não",VLOOKUP($B47,casostestes[#Data],10)), "-")</f>
        <v>-</v>
      </c>
      <c r="D47" s="35" t="str">
        <f>IFERROR(IF(VLOOKUP($B47,casostestes[#Data],2)=0,"-",VLOOKUP($B47,casostestes[#Data],2)), "-")</f>
        <v>-</v>
      </c>
      <c r="E47" s="35" t="str">
        <f>IFERROR(IF(VLOOKUP($B47,casostestes[#Data],3)=0,"-",VLOOKUP($B47,casostestes[#Data],3)), "-")</f>
        <v>-</v>
      </c>
      <c r="F47" s="35" t="str">
        <f>IFERROR(IF(VLOOKUP($B47,casostestes[#Data],4)=0,"-",VLOOKUP($B47,casostestes[#Data],4)),"-")</f>
        <v>-</v>
      </c>
      <c r="G47" s="35" t="str">
        <f>IFERROR(IF(VLOOKUP($B47,casostestes[#Data],5)=0,"-",VLOOKUP($B47,casostestes[#Data],5)),"-")</f>
        <v>-</v>
      </c>
      <c r="H47" s="35" t="str">
        <f>IFERROR(IF(VLOOKUP($B47,casostestes[#Data],6)=0,"-",VLOOKUP($B47,casostestes[#Data],6)),"-")</f>
        <v>-</v>
      </c>
      <c r="I47" s="35" t="str">
        <f>IFERROR(IF(VLOOKUP($B47,casostestes[#Data],8)=0,"-",VLOOKUP($B47,casostestes[#Data],8)),"-")</f>
        <v>-</v>
      </c>
      <c r="J47" s="35" t="str">
        <f>IFERROR(IF(VLOOKUP($B47,casostestes[#Data],9)=0,"-",VLOOKUP($B47,casostestes[#Data],9)),"-")</f>
        <v>-</v>
      </c>
      <c r="K47" s="36"/>
      <c r="L47" s="45"/>
      <c r="M47" s="37"/>
      <c r="N47" s="38"/>
      <c r="O47" s="38"/>
      <c r="P47" s="39"/>
    </row>
    <row r="48" spans="2:16">
      <c r="B48" s="40" t="str">
        <f>IF(ISERR(casostestes[[#This Row],[ID]]),"-",casostestes[[#This Row],[ID]])</f>
        <v>-</v>
      </c>
      <c r="C48" s="34" t="str">
        <f>IFERROR(IF(VLOOKUP($B48,casostestes[#Data],10)=0,"Não",VLOOKUP($B48,casostestes[#Data],10)), "-")</f>
        <v>-</v>
      </c>
      <c r="D48" s="35" t="str">
        <f>IFERROR(IF(VLOOKUP($B48,casostestes[#Data],2)=0,"-",VLOOKUP($B48,casostestes[#Data],2)), "-")</f>
        <v>-</v>
      </c>
      <c r="E48" s="35" t="str">
        <f>IFERROR(IF(VLOOKUP($B48,casostestes[#Data],3)=0,"-",VLOOKUP($B48,casostestes[#Data],3)), "-")</f>
        <v>-</v>
      </c>
      <c r="F48" s="35" t="str">
        <f>IFERROR(IF(VLOOKUP($B48,casostestes[#Data],4)=0,"-",VLOOKUP($B48,casostestes[#Data],4)),"-")</f>
        <v>-</v>
      </c>
      <c r="G48" s="35" t="str">
        <f>IFERROR(IF(VLOOKUP($B48,casostestes[#Data],5)=0,"-",VLOOKUP($B48,casostestes[#Data],5)),"-")</f>
        <v>-</v>
      </c>
      <c r="H48" s="35" t="str">
        <f>IFERROR(IF(VLOOKUP($B48,casostestes[#Data],6)=0,"-",VLOOKUP($B48,casostestes[#Data],6)),"-")</f>
        <v>-</v>
      </c>
      <c r="I48" s="35" t="str">
        <f>IFERROR(IF(VLOOKUP($B48,casostestes[#Data],8)=0,"-",VLOOKUP($B48,casostestes[#Data],8)),"-")</f>
        <v>-</v>
      </c>
      <c r="J48" s="35" t="str">
        <f>IFERROR(IF(VLOOKUP($B48,casostestes[#Data],9)=0,"-",VLOOKUP($B48,casostestes[#Data],9)),"-")</f>
        <v>-</v>
      </c>
      <c r="K48" s="36"/>
      <c r="L48" s="45"/>
      <c r="M48" s="37"/>
      <c r="N48" s="38"/>
      <c r="O48" s="38"/>
      <c r="P48" s="39"/>
    </row>
    <row r="49" spans="2:16">
      <c r="B49" s="40" t="str">
        <f>IF(ISERR(casostestes[[#This Row],[ID]]),"-",casostestes[[#This Row],[ID]])</f>
        <v>-</v>
      </c>
      <c r="C49" s="34" t="str">
        <f>IFERROR(IF(VLOOKUP($B49,casostestes[#Data],10)=0,"Não",VLOOKUP($B49,casostestes[#Data],10)), "-")</f>
        <v>-</v>
      </c>
      <c r="D49" s="35" t="str">
        <f>IFERROR(IF(VLOOKUP($B49,casostestes[#Data],2)=0,"-",VLOOKUP($B49,casostestes[#Data],2)), "-")</f>
        <v>-</v>
      </c>
      <c r="E49" s="35" t="str">
        <f>IFERROR(IF(VLOOKUP($B49,casostestes[#Data],3)=0,"-",VLOOKUP($B49,casostestes[#Data],3)), "-")</f>
        <v>-</v>
      </c>
      <c r="F49" s="35" t="str">
        <f>IFERROR(IF(VLOOKUP($B49,casostestes[#Data],4)=0,"-",VLOOKUP($B49,casostestes[#Data],4)),"-")</f>
        <v>-</v>
      </c>
      <c r="G49" s="35" t="str">
        <f>IFERROR(IF(VLOOKUP($B49,casostestes[#Data],5)=0,"-",VLOOKUP($B49,casostestes[#Data],5)),"-")</f>
        <v>-</v>
      </c>
      <c r="H49" s="35" t="str">
        <f>IFERROR(IF(VLOOKUP($B49,casostestes[#Data],6)=0,"-",VLOOKUP($B49,casostestes[#Data],6)),"-")</f>
        <v>-</v>
      </c>
      <c r="I49" s="35" t="str">
        <f>IFERROR(IF(VLOOKUP($B49,casostestes[#Data],8)=0,"-",VLOOKUP($B49,casostestes[#Data],8)),"-")</f>
        <v>-</v>
      </c>
      <c r="J49" s="35" t="str">
        <f>IFERROR(IF(VLOOKUP($B49,casostestes[#Data],9)=0,"-",VLOOKUP($B49,casostestes[#Data],9)),"-")</f>
        <v>-</v>
      </c>
      <c r="K49" s="36"/>
      <c r="L49" s="45"/>
      <c r="M49" s="37"/>
      <c r="N49" s="38"/>
      <c r="O49" s="38"/>
      <c r="P49" s="39"/>
    </row>
    <row r="50" spans="2:16">
      <c r="B50" s="40" t="str">
        <f>IF(ISERR(casostestes[[#This Row],[ID]]),"-",casostestes[[#This Row],[ID]])</f>
        <v>-</v>
      </c>
      <c r="C50" s="34" t="str">
        <f>IFERROR(IF(VLOOKUP($B50,casostestes[#Data],10)=0,"Não",VLOOKUP($B50,casostestes[#Data],10)), "-")</f>
        <v>-</v>
      </c>
      <c r="D50" s="35" t="str">
        <f>IFERROR(IF(VLOOKUP($B50,casostestes[#Data],2)=0,"-",VLOOKUP($B50,casostestes[#Data],2)), "-")</f>
        <v>-</v>
      </c>
      <c r="E50" s="35" t="str">
        <f>IFERROR(IF(VLOOKUP($B50,casostestes[#Data],3)=0,"-",VLOOKUP($B50,casostestes[#Data],3)), "-")</f>
        <v>-</v>
      </c>
      <c r="F50" s="35" t="str">
        <f>IFERROR(IF(VLOOKUP($B50,casostestes[#Data],4)=0,"-",VLOOKUP($B50,casostestes[#Data],4)),"-")</f>
        <v>-</v>
      </c>
      <c r="G50" s="35" t="str">
        <f>IFERROR(IF(VLOOKUP($B50,casostestes[#Data],5)=0,"-",VLOOKUP($B50,casostestes[#Data],5)),"-")</f>
        <v>-</v>
      </c>
      <c r="H50" s="35" t="str">
        <f>IFERROR(IF(VLOOKUP($B50,casostestes[#Data],6)=0,"-",VLOOKUP($B50,casostestes[#Data],6)),"-")</f>
        <v>-</v>
      </c>
      <c r="I50" s="35" t="str">
        <f>IFERROR(IF(VLOOKUP($B50,casostestes[#Data],8)=0,"-",VLOOKUP($B50,casostestes[#Data],8)),"-")</f>
        <v>-</v>
      </c>
      <c r="J50" s="35" t="str">
        <f>IFERROR(IF(VLOOKUP($B50,casostestes[#Data],9)=0,"-",VLOOKUP($B50,casostestes[#Data],9)),"-")</f>
        <v>-</v>
      </c>
      <c r="K50" s="36"/>
      <c r="L50" s="45"/>
      <c r="M50" s="37"/>
      <c r="N50" s="38"/>
      <c r="O50" s="38"/>
      <c r="P50" s="39"/>
    </row>
    <row r="51" spans="2:16">
      <c r="B51" s="40" t="str">
        <f>IF(ISERR(casostestes[[#This Row],[ID]]),"-",casostestes[[#This Row],[ID]])</f>
        <v>-</v>
      </c>
      <c r="C51" s="34" t="str">
        <f>IFERROR(IF(VLOOKUP($B51,casostestes[#Data],10)=0,"Não",VLOOKUP($B51,casostestes[#Data],10)), "-")</f>
        <v>-</v>
      </c>
      <c r="D51" s="35" t="str">
        <f>IFERROR(IF(VLOOKUP($B51,casostestes[#Data],2)=0,"-",VLOOKUP($B51,casostestes[#Data],2)), "-")</f>
        <v>-</v>
      </c>
      <c r="E51" s="35" t="str">
        <f>IFERROR(IF(VLOOKUP($B51,casostestes[#Data],3)=0,"-",VLOOKUP($B51,casostestes[#Data],3)), "-")</f>
        <v>-</v>
      </c>
      <c r="F51" s="35" t="str">
        <f>IFERROR(IF(VLOOKUP($B51,casostestes[#Data],4)=0,"-",VLOOKUP($B51,casostestes[#Data],4)),"-")</f>
        <v>-</v>
      </c>
      <c r="G51" s="35" t="str">
        <f>IFERROR(IF(VLOOKUP($B51,casostestes[#Data],5)=0,"-",VLOOKUP($B51,casostestes[#Data],5)),"-")</f>
        <v>-</v>
      </c>
      <c r="H51" s="35" t="str">
        <f>IFERROR(IF(VLOOKUP($B51,casostestes[#Data],6)=0,"-",VLOOKUP($B51,casostestes[#Data],6)),"-")</f>
        <v>-</v>
      </c>
      <c r="I51" s="35" t="str">
        <f>IFERROR(IF(VLOOKUP($B51,casostestes[#Data],8)=0,"-",VLOOKUP($B51,casostestes[#Data],8)),"-")</f>
        <v>-</v>
      </c>
      <c r="J51" s="35" t="str">
        <f>IFERROR(IF(VLOOKUP($B51,casostestes[#Data],9)=0,"-",VLOOKUP($B51,casostestes[#Data],9)),"-")</f>
        <v>-</v>
      </c>
      <c r="K51" s="36"/>
      <c r="L51" s="45"/>
      <c r="M51" s="37"/>
      <c r="N51" s="38"/>
      <c r="O51" s="38"/>
      <c r="P51" s="39"/>
    </row>
    <row r="52" spans="2:16">
      <c r="B52" s="40" t="str">
        <f>IF(ISERR(casostestes[[#This Row],[ID]]),"-",casostestes[[#This Row],[ID]])</f>
        <v>-</v>
      </c>
      <c r="C52" s="34" t="str">
        <f>IFERROR(IF(VLOOKUP($B52,casostestes[#Data],10)=0,"Não",VLOOKUP($B52,casostestes[#Data],10)), "-")</f>
        <v>-</v>
      </c>
      <c r="D52" s="35" t="str">
        <f>IFERROR(IF(VLOOKUP($B52,casostestes[#Data],2)=0,"-",VLOOKUP($B52,casostestes[#Data],2)), "-")</f>
        <v>-</v>
      </c>
      <c r="E52" s="35" t="str">
        <f>IFERROR(IF(VLOOKUP($B52,casostestes[#Data],3)=0,"-",VLOOKUP($B52,casostestes[#Data],3)), "-")</f>
        <v>-</v>
      </c>
      <c r="F52" s="35" t="str">
        <f>IFERROR(IF(VLOOKUP($B52,casostestes[#Data],4)=0,"-",VLOOKUP($B52,casostestes[#Data],4)),"-")</f>
        <v>-</v>
      </c>
      <c r="G52" s="35" t="str">
        <f>IFERROR(IF(VLOOKUP($B52,casostestes[#Data],5)=0,"-",VLOOKUP($B52,casostestes[#Data],5)),"-")</f>
        <v>-</v>
      </c>
      <c r="H52" s="35" t="str">
        <f>IFERROR(IF(VLOOKUP($B52,casostestes[#Data],6)=0,"-",VLOOKUP($B52,casostestes[#Data],6)),"-")</f>
        <v>-</v>
      </c>
      <c r="I52" s="35" t="str">
        <f>IFERROR(IF(VLOOKUP($B52,casostestes[#Data],8)=0,"-",VLOOKUP($B52,casostestes[#Data],8)),"-")</f>
        <v>-</v>
      </c>
      <c r="J52" s="35" t="str">
        <f>IFERROR(IF(VLOOKUP($B52,casostestes[#Data],9)=0,"-",VLOOKUP($B52,casostestes[#Data],9)),"-")</f>
        <v>-</v>
      </c>
      <c r="K52" s="36"/>
      <c r="L52" s="45"/>
      <c r="M52" s="37"/>
      <c r="N52" s="38"/>
      <c r="O52" s="38"/>
      <c r="P52" s="39"/>
    </row>
    <row r="53" spans="2:16">
      <c r="B53" s="40" t="str">
        <f>IF(ISERR(casostestes[[#This Row],[ID]]),"-",casostestes[[#This Row],[ID]])</f>
        <v>-</v>
      </c>
      <c r="C53" s="34" t="str">
        <f>IFERROR(IF(VLOOKUP($B53,casostestes[#Data],10)=0,"Não",VLOOKUP($B53,casostestes[#Data],10)), "-")</f>
        <v>-</v>
      </c>
      <c r="D53" s="35" t="str">
        <f>IFERROR(IF(VLOOKUP($B53,casostestes[#Data],2)=0,"-",VLOOKUP($B53,casostestes[#Data],2)), "-")</f>
        <v>-</v>
      </c>
      <c r="E53" s="35" t="str">
        <f>IFERROR(IF(VLOOKUP($B53,casostestes[#Data],3)=0,"-",VLOOKUP($B53,casostestes[#Data],3)), "-")</f>
        <v>-</v>
      </c>
      <c r="F53" s="35" t="str">
        <f>IFERROR(IF(VLOOKUP($B53,casostestes[#Data],4)=0,"-",VLOOKUP($B53,casostestes[#Data],4)),"-")</f>
        <v>-</v>
      </c>
      <c r="G53" s="35" t="str">
        <f>IFERROR(IF(VLOOKUP($B53,casostestes[#Data],5)=0,"-",VLOOKUP($B53,casostestes[#Data],5)),"-")</f>
        <v>-</v>
      </c>
      <c r="H53" s="35" t="str">
        <f>IFERROR(IF(VLOOKUP($B53,casostestes[#Data],6)=0,"-",VLOOKUP($B53,casostestes[#Data],6)),"-")</f>
        <v>-</v>
      </c>
      <c r="I53" s="35" t="str">
        <f>IFERROR(IF(VLOOKUP($B53,casostestes[#Data],8)=0,"-",VLOOKUP($B53,casostestes[#Data],8)),"-")</f>
        <v>-</v>
      </c>
      <c r="J53" s="35" t="str">
        <f>IFERROR(IF(VLOOKUP($B53,casostestes[#Data],9)=0,"-",VLOOKUP($B53,casostestes[#Data],9)),"-")</f>
        <v>-</v>
      </c>
      <c r="K53" s="36"/>
      <c r="L53" s="45"/>
      <c r="M53" s="37"/>
      <c r="N53" s="38"/>
      <c r="O53" s="38"/>
      <c r="P53" s="39"/>
    </row>
    <row r="54" spans="2:16">
      <c r="B54" s="40" t="str">
        <f>IF(ISERR(casostestes[[#This Row],[ID]]),"-",casostestes[[#This Row],[ID]])</f>
        <v>-</v>
      </c>
      <c r="C54" s="34" t="str">
        <f>IFERROR(IF(VLOOKUP($B54,casostestes[#Data],10)=0,"Não",VLOOKUP($B54,casostestes[#Data],10)), "-")</f>
        <v>-</v>
      </c>
      <c r="D54" s="35" t="str">
        <f>IFERROR(IF(VLOOKUP($B54,casostestes[#Data],2)=0,"-",VLOOKUP($B54,casostestes[#Data],2)), "-")</f>
        <v>-</v>
      </c>
      <c r="E54" s="35" t="str">
        <f>IFERROR(IF(VLOOKUP($B54,casostestes[#Data],3)=0,"-",VLOOKUP($B54,casostestes[#Data],3)), "-")</f>
        <v>-</v>
      </c>
      <c r="F54" s="35" t="str">
        <f>IFERROR(IF(VLOOKUP($B54,casostestes[#Data],4)=0,"-",VLOOKUP($B54,casostestes[#Data],4)),"-")</f>
        <v>-</v>
      </c>
      <c r="G54" s="35" t="str">
        <f>IFERROR(IF(VLOOKUP($B54,casostestes[#Data],5)=0,"-",VLOOKUP($B54,casostestes[#Data],5)),"-")</f>
        <v>-</v>
      </c>
      <c r="H54" s="35" t="str">
        <f>IFERROR(IF(VLOOKUP($B54,casostestes[#Data],6)=0,"-",VLOOKUP($B54,casostestes[#Data],6)),"-")</f>
        <v>-</v>
      </c>
      <c r="I54" s="35" t="str">
        <f>IFERROR(IF(VLOOKUP($B54,casostestes[#Data],8)=0,"-",VLOOKUP($B54,casostestes[#Data],8)),"-")</f>
        <v>-</v>
      </c>
      <c r="J54" s="35" t="str">
        <f>IFERROR(IF(VLOOKUP($B54,casostestes[#Data],9)=0,"-",VLOOKUP($B54,casostestes[#Data],9)),"-")</f>
        <v>-</v>
      </c>
      <c r="K54" s="36"/>
      <c r="L54" s="45"/>
      <c r="M54" s="37"/>
      <c r="N54" s="38"/>
      <c r="O54" s="38"/>
      <c r="P54" s="39"/>
    </row>
    <row r="55" spans="2:16">
      <c r="B55" s="40" t="str">
        <f>IF(ISERR(casostestes[[#This Row],[ID]]),"-",casostestes[[#This Row],[ID]])</f>
        <v>-</v>
      </c>
      <c r="C55" s="34" t="str">
        <f>IFERROR(IF(VLOOKUP($B55,casostestes[#Data],10)=0,"Não",VLOOKUP($B55,casostestes[#Data],10)), "-")</f>
        <v>-</v>
      </c>
      <c r="D55" s="35" t="str">
        <f>IFERROR(IF(VLOOKUP($B55,casostestes[#Data],2)=0,"-",VLOOKUP($B55,casostestes[#Data],2)), "-")</f>
        <v>-</v>
      </c>
      <c r="E55" s="35" t="str">
        <f>IFERROR(IF(VLOOKUP($B55,casostestes[#Data],3)=0,"-",VLOOKUP($B55,casostestes[#Data],3)), "-")</f>
        <v>-</v>
      </c>
      <c r="F55" s="35" t="str">
        <f>IFERROR(IF(VLOOKUP($B55,casostestes[#Data],4)=0,"-",VLOOKUP($B55,casostestes[#Data],4)),"-")</f>
        <v>-</v>
      </c>
      <c r="G55" s="35" t="str">
        <f>IFERROR(IF(VLOOKUP($B55,casostestes[#Data],5)=0,"-",VLOOKUP($B55,casostestes[#Data],5)),"-")</f>
        <v>-</v>
      </c>
      <c r="H55" s="35" t="str">
        <f>IFERROR(IF(VLOOKUP($B55,casostestes[#Data],6)=0,"-",VLOOKUP($B55,casostestes[#Data],6)),"-")</f>
        <v>-</v>
      </c>
      <c r="I55" s="35" t="str">
        <f>IFERROR(IF(VLOOKUP($B55,casostestes[#Data],8)=0,"-",VLOOKUP($B55,casostestes[#Data],8)),"-")</f>
        <v>-</v>
      </c>
      <c r="J55" s="35" t="str">
        <f>IFERROR(IF(VLOOKUP($B55,casostestes[#Data],9)=0,"-",VLOOKUP($B55,casostestes[#Data],9)),"-")</f>
        <v>-</v>
      </c>
      <c r="K55" s="36"/>
      <c r="L55" s="45"/>
      <c r="M55" s="37"/>
      <c r="N55" s="38"/>
      <c r="O55" s="38"/>
      <c r="P55" s="39"/>
    </row>
    <row r="56" spans="2:16">
      <c r="B56" s="40" t="str">
        <f>IF(ISERR(casostestes[[#This Row],[ID]]),"-",casostestes[[#This Row],[ID]])</f>
        <v>-</v>
      </c>
      <c r="C56" s="34" t="str">
        <f>IFERROR(IF(VLOOKUP($B56,casostestes[#Data],10)=0,"Não",VLOOKUP($B56,casostestes[#Data],10)), "-")</f>
        <v>-</v>
      </c>
      <c r="D56" s="35" t="str">
        <f>IFERROR(IF(VLOOKUP($B56,casostestes[#Data],2)=0,"-",VLOOKUP($B56,casostestes[#Data],2)), "-")</f>
        <v>-</v>
      </c>
      <c r="E56" s="35" t="str">
        <f>IFERROR(IF(VLOOKUP($B56,casostestes[#Data],3)=0,"-",VLOOKUP($B56,casostestes[#Data],3)), "-")</f>
        <v>-</v>
      </c>
      <c r="F56" s="35" t="str">
        <f>IFERROR(IF(VLOOKUP($B56,casostestes[#Data],4)=0,"-",VLOOKUP($B56,casostestes[#Data],4)),"-")</f>
        <v>-</v>
      </c>
      <c r="G56" s="35" t="str">
        <f>IFERROR(IF(VLOOKUP($B56,casostestes[#Data],5)=0,"-",VLOOKUP($B56,casostestes[#Data],5)),"-")</f>
        <v>-</v>
      </c>
      <c r="H56" s="35" t="str">
        <f>IFERROR(IF(VLOOKUP($B56,casostestes[#Data],6)=0,"-",VLOOKUP($B56,casostestes[#Data],6)),"-")</f>
        <v>-</v>
      </c>
      <c r="I56" s="35" t="str">
        <f>IFERROR(IF(VLOOKUP($B56,casostestes[#Data],8)=0,"-",VLOOKUP($B56,casostestes[#Data],8)),"-")</f>
        <v>-</v>
      </c>
      <c r="J56" s="35" t="str">
        <f>IFERROR(IF(VLOOKUP($B56,casostestes[#Data],9)=0,"-",VLOOKUP($B56,casostestes[#Data],9)),"-")</f>
        <v>-</v>
      </c>
      <c r="K56" s="36"/>
      <c r="L56" s="45"/>
      <c r="M56" s="37"/>
      <c r="N56" s="38"/>
      <c r="O56" s="38"/>
      <c r="P56" s="39"/>
    </row>
    <row r="57" spans="2:16">
      <c r="B57" s="40" t="str">
        <f>IF(ISERR(casostestes[[#This Row],[ID]]),"-",casostestes[[#This Row],[ID]])</f>
        <v>-</v>
      </c>
      <c r="C57" s="34" t="str">
        <f>IFERROR(IF(VLOOKUP($B57,casostestes[#Data],10)=0,"Não",VLOOKUP($B57,casostestes[#Data],10)), "-")</f>
        <v>-</v>
      </c>
      <c r="D57" s="35" t="str">
        <f>IFERROR(IF(VLOOKUP($B57,casostestes[#Data],2)=0,"-",VLOOKUP($B57,casostestes[#Data],2)), "-")</f>
        <v>-</v>
      </c>
      <c r="E57" s="35" t="str">
        <f>IFERROR(IF(VLOOKUP($B57,casostestes[#Data],3)=0,"-",VLOOKUP($B57,casostestes[#Data],3)), "-")</f>
        <v>-</v>
      </c>
      <c r="F57" s="35" t="str">
        <f>IFERROR(IF(VLOOKUP($B57,casostestes[#Data],4)=0,"-",VLOOKUP($B57,casostestes[#Data],4)),"-")</f>
        <v>-</v>
      </c>
      <c r="G57" s="35" t="str">
        <f>IFERROR(IF(VLOOKUP($B57,casostestes[#Data],5)=0,"-",VLOOKUP($B57,casostestes[#Data],5)),"-")</f>
        <v>-</v>
      </c>
      <c r="H57" s="35" t="str">
        <f>IFERROR(IF(VLOOKUP($B57,casostestes[#Data],6)=0,"-",VLOOKUP($B57,casostestes[#Data],6)),"-")</f>
        <v>-</v>
      </c>
      <c r="I57" s="35" t="str">
        <f>IFERROR(IF(VLOOKUP($B57,casostestes[#Data],8)=0,"-",VLOOKUP($B57,casostestes[#Data],8)),"-")</f>
        <v>-</v>
      </c>
      <c r="J57" s="35" t="str">
        <f>IFERROR(IF(VLOOKUP($B57,casostestes[#Data],9)=0,"-",VLOOKUP($B57,casostestes[#Data],9)),"-")</f>
        <v>-</v>
      </c>
      <c r="K57" s="36"/>
      <c r="L57" s="45"/>
      <c r="M57" s="37"/>
      <c r="N57" s="38"/>
      <c r="O57" s="38"/>
      <c r="P57" s="39"/>
    </row>
    <row r="58" spans="2:16">
      <c r="B58" s="40" t="str">
        <f>IF(ISERR(casostestes[[#This Row],[ID]]),"-",casostestes[[#This Row],[ID]])</f>
        <v>-</v>
      </c>
      <c r="C58" s="34" t="str">
        <f>IFERROR(IF(VLOOKUP($B58,casostestes[#Data],10)=0,"Não",VLOOKUP($B58,casostestes[#Data],10)), "-")</f>
        <v>-</v>
      </c>
      <c r="D58" s="35" t="str">
        <f>IFERROR(IF(VLOOKUP($B58,casostestes[#Data],2)=0,"-",VLOOKUP($B58,casostestes[#Data],2)), "-")</f>
        <v>-</v>
      </c>
      <c r="E58" s="35" t="str">
        <f>IFERROR(IF(VLOOKUP($B58,casostestes[#Data],3)=0,"-",VLOOKUP($B58,casostestes[#Data],3)), "-")</f>
        <v>-</v>
      </c>
      <c r="F58" s="35" t="str">
        <f>IFERROR(IF(VLOOKUP($B58,casostestes[#Data],4)=0,"-",VLOOKUP($B58,casostestes[#Data],4)),"-")</f>
        <v>-</v>
      </c>
      <c r="G58" s="35" t="str">
        <f>IFERROR(IF(VLOOKUP($B58,casostestes[#Data],5)=0,"-",VLOOKUP($B58,casostestes[#Data],5)),"-")</f>
        <v>-</v>
      </c>
      <c r="H58" s="35" t="str">
        <f>IFERROR(IF(VLOOKUP($B58,casostestes[#Data],6)=0,"-",VLOOKUP($B58,casostestes[#Data],6)),"-")</f>
        <v>-</v>
      </c>
      <c r="I58" s="35" t="str">
        <f>IFERROR(IF(VLOOKUP($B58,casostestes[#Data],8)=0,"-",VLOOKUP($B58,casostestes[#Data],8)),"-")</f>
        <v>-</v>
      </c>
      <c r="J58" s="35" t="str">
        <f>IFERROR(IF(VLOOKUP($B58,casostestes[#Data],9)=0,"-",VLOOKUP($B58,casostestes[#Data],9)),"-")</f>
        <v>-</v>
      </c>
      <c r="K58" s="36"/>
      <c r="L58" s="45"/>
      <c r="M58" s="37"/>
      <c r="N58" s="38"/>
      <c r="O58" s="38"/>
      <c r="P58" s="39"/>
    </row>
    <row r="59" spans="2:16">
      <c r="B59" s="40" t="str">
        <f>IF(ISERR(casostestes[[#This Row],[ID]]),"-",casostestes[[#This Row],[ID]])</f>
        <v>-</v>
      </c>
      <c r="C59" s="34" t="str">
        <f>IFERROR(IF(VLOOKUP($B59,casostestes[#Data],10)=0,"Não",VLOOKUP($B59,casostestes[#Data],10)), "-")</f>
        <v>-</v>
      </c>
      <c r="D59" s="35" t="str">
        <f>IFERROR(IF(VLOOKUP($B59,casostestes[#Data],2)=0,"-",VLOOKUP($B59,casostestes[#Data],2)), "-")</f>
        <v>-</v>
      </c>
      <c r="E59" s="35" t="str">
        <f>IFERROR(IF(VLOOKUP($B59,casostestes[#Data],3)=0,"-",VLOOKUP($B59,casostestes[#Data],3)), "-")</f>
        <v>-</v>
      </c>
      <c r="F59" s="35" t="str">
        <f>IFERROR(IF(VLOOKUP($B59,casostestes[#Data],4)=0,"-",VLOOKUP($B59,casostestes[#Data],4)),"-")</f>
        <v>-</v>
      </c>
      <c r="G59" s="35" t="str">
        <f>IFERROR(IF(VLOOKUP($B59,casostestes[#Data],5)=0,"-",VLOOKUP($B59,casostestes[#Data],5)),"-")</f>
        <v>-</v>
      </c>
      <c r="H59" s="35" t="str">
        <f>IFERROR(IF(VLOOKUP($B59,casostestes[#Data],6)=0,"-",VLOOKUP($B59,casostestes[#Data],6)),"-")</f>
        <v>-</v>
      </c>
      <c r="I59" s="35" t="str">
        <f>IFERROR(IF(VLOOKUP($B59,casostestes[#Data],8)=0,"-",VLOOKUP($B59,casostestes[#Data],8)),"-")</f>
        <v>-</v>
      </c>
      <c r="J59" s="35" t="str">
        <f>IFERROR(IF(VLOOKUP($B59,casostestes[#Data],9)=0,"-",VLOOKUP($B59,casostestes[#Data],9)),"-")</f>
        <v>-</v>
      </c>
      <c r="K59" s="36"/>
      <c r="L59" s="45"/>
      <c r="M59" s="37"/>
      <c r="N59" s="38"/>
      <c r="O59" s="38"/>
      <c r="P59" s="39"/>
    </row>
    <row r="60" spans="2:16">
      <c r="B60" s="40" t="str">
        <f>IF(ISERR(casostestes[[#This Row],[ID]]),"-",casostestes[[#This Row],[ID]])</f>
        <v>-</v>
      </c>
      <c r="C60" s="34" t="str">
        <f>IFERROR(IF(VLOOKUP($B60,casostestes[#Data],10)=0,"Não",VLOOKUP($B60,casostestes[#Data],10)), "-")</f>
        <v>-</v>
      </c>
      <c r="D60" s="35" t="str">
        <f>IFERROR(IF(VLOOKUP($B60,casostestes[#Data],2)=0,"-",VLOOKUP($B60,casostestes[#Data],2)), "-")</f>
        <v>-</v>
      </c>
      <c r="E60" s="35" t="str">
        <f>IFERROR(IF(VLOOKUP($B60,casostestes[#Data],3)=0,"-",VLOOKUP($B60,casostestes[#Data],3)), "-")</f>
        <v>-</v>
      </c>
      <c r="F60" s="35" t="str">
        <f>IFERROR(IF(VLOOKUP($B60,casostestes[#Data],4)=0,"-",VLOOKUP($B60,casostestes[#Data],4)),"-")</f>
        <v>-</v>
      </c>
      <c r="G60" s="35" t="str">
        <f>IFERROR(IF(VLOOKUP($B60,casostestes[#Data],5)=0,"-",VLOOKUP($B60,casostestes[#Data],5)),"-")</f>
        <v>-</v>
      </c>
      <c r="H60" s="35" t="str">
        <f>IFERROR(IF(VLOOKUP($B60,casostestes[#Data],6)=0,"-",VLOOKUP($B60,casostestes[#Data],6)),"-")</f>
        <v>-</v>
      </c>
      <c r="I60" s="35" t="str">
        <f>IFERROR(IF(VLOOKUP($B60,casostestes[#Data],8)=0,"-",VLOOKUP($B60,casostestes[#Data],8)),"-")</f>
        <v>-</v>
      </c>
      <c r="J60" s="35" t="str">
        <f>IFERROR(IF(VLOOKUP($B60,casostestes[#Data],9)=0,"-",VLOOKUP($B60,casostestes[#Data],9)),"-")</f>
        <v>-</v>
      </c>
      <c r="K60" s="36"/>
      <c r="L60" s="45"/>
      <c r="M60" s="37"/>
      <c r="N60" s="38"/>
      <c r="O60" s="38"/>
      <c r="P60" s="39"/>
    </row>
    <row r="61" spans="2:16">
      <c r="B61" s="40" t="str">
        <f>IF(ISERR(casostestes[[#This Row],[ID]]),"-",casostestes[[#This Row],[ID]])</f>
        <v>-</v>
      </c>
      <c r="C61" s="34" t="str">
        <f>IFERROR(IF(VLOOKUP($B61,casostestes[#Data],10)=0,"Não",VLOOKUP($B61,casostestes[#Data],10)), "-")</f>
        <v>-</v>
      </c>
      <c r="D61" s="35" t="str">
        <f>IFERROR(IF(VLOOKUP($B61,casostestes[#Data],2)=0,"-",VLOOKUP($B61,casostestes[#Data],2)), "-")</f>
        <v>-</v>
      </c>
      <c r="E61" s="35" t="str">
        <f>IFERROR(IF(VLOOKUP($B61,casostestes[#Data],3)=0,"-",VLOOKUP($B61,casostestes[#Data],3)), "-")</f>
        <v>-</v>
      </c>
      <c r="F61" s="35" t="str">
        <f>IFERROR(IF(VLOOKUP($B61,casostestes[#Data],4)=0,"-",VLOOKUP($B61,casostestes[#Data],4)),"-")</f>
        <v>-</v>
      </c>
      <c r="G61" s="35" t="str">
        <f>IFERROR(IF(VLOOKUP($B61,casostestes[#Data],5)=0,"-",VLOOKUP($B61,casostestes[#Data],5)),"-")</f>
        <v>-</v>
      </c>
      <c r="H61" s="35" t="str">
        <f>IFERROR(IF(VLOOKUP($B61,casostestes[#Data],6)=0,"-",VLOOKUP($B61,casostestes[#Data],6)),"-")</f>
        <v>-</v>
      </c>
      <c r="I61" s="35" t="str">
        <f>IFERROR(IF(VLOOKUP($B61,casostestes[#Data],8)=0,"-",VLOOKUP($B61,casostestes[#Data],8)),"-")</f>
        <v>-</v>
      </c>
      <c r="J61" s="35" t="str">
        <f>IFERROR(IF(VLOOKUP($B61,casostestes[#Data],9)=0,"-",VLOOKUP($B61,casostestes[#Data],9)),"-")</f>
        <v>-</v>
      </c>
      <c r="K61" s="36"/>
      <c r="L61" s="45"/>
      <c r="M61" s="37"/>
      <c r="N61" s="38"/>
      <c r="O61" s="38"/>
      <c r="P61" s="39"/>
    </row>
    <row r="62" spans="2:16">
      <c r="B62" s="40" t="str">
        <f>IF(ISERR(casostestes[[#This Row],[ID]]),"-",casostestes[[#This Row],[ID]])</f>
        <v>-</v>
      </c>
      <c r="C62" s="34" t="str">
        <f>IFERROR(IF(VLOOKUP($B62,casostestes[#Data],10)=0,"Não",VLOOKUP($B62,casostestes[#Data],10)), "-")</f>
        <v>-</v>
      </c>
      <c r="D62" s="35" t="str">
        <f>IFERROR(IF(VLOOKUP($B62,casostestes[#Data],2)=0,"-",VLOOKUP($B62,casostestes[#Data],2)), "-")</f>
        <v>-</v>
      </c>
      <c r="E62" s="35" t="str">
        <f>IFERROR(IF(VLOOKUP($B62,casostestes[#Data],3)=0,"-",VLOOKUP($B62,casostestes[#Data],3)), "-")</f>
        <v>-</v>
      </c>
      <c r="F62" s="35" t="str">
        <f>IFERROR(IF(VLOOKUP($B62,casostestes[#Data],4)=0,"-",VLOOKUP($B62,casostestes[#Data],4)),"-")</f>
        <v>-</v>
      </c>
      <c r="G62" s="35" t="str">
        <f>IFERROR(IF(VLOOKUP($B62,casostestes[#Data],5)=0,"-",VLOOKUP($B62,casostestes[#Data],5)),"-")</f>
        <v>-</v>
      </c>
      <c r="H62" s="35" t="str">
        <f>IFERROR(IF(VLOOKUP($B62,casostestes[#Data],6)=0,"-",VLOOKUP($B62,casostestes[#Data],6)),"-")</f>
        <v>-</v>
      </c>
      <c r="I62" s="35" t="str">
        <f>IFERROR(IF(VLOOKUP($B62,casostestes[#Data],8)=0,"-",VLOOKUP($B62,casostestes[#Data],8)),"-")</f>
        <v>-</v>
      </c>
      <c r="J62" s="35" t="str">
        <f>IFERROR(IF(VLOOKUP($B62,casostestes[#Data],9)=0,"-",VLOOKUP($B62,casostestes[#Data],9)),"-")</f>
        <v>-</v>
      </c>
      <c r="K62" s="36"/>
      <c r="L62" s="45"/>
      <c r="M62" s="37"/>
      <c r="N62" s="38"/>
      <c r="O62" s="38"/>
      <c r="P62" s="39"/>
    </row>
    <row r="63" spans="2:16">
      <c r="B63" s="40" t="str">
        <f>IF(ISERR(casostestes[[#This Row],[ID]]),"-",casostestes[[#This Row],[ID]])</f>
        <v>-</v>
      </c>
      <c r="C63" s="34" t="str">
        <f>IFERROR(IF(VLOOKUP($B63,casostestes[#Data],10)=0,"Não",VLOOKUP($B63,casostestes[#Data],10)), "-")</f>
        <v>-</v>
      </c>
      <c r="D63" s="35" t="str">
        <f>IFERROR(IF(VLOOKUP($B63,casostestes[#Data],2)=0,"-",VLOOKUP($B63,casostestes[#Data],2)), "-")</f>
        <v>-</v>
      </c>
      <c r="E63" s="35" t="str">
        <f>IFERROR(IF(VLOOKUP($B63,casostestes[#Data],3)=0,"-",VLOOKUP($B63,casostestes[#Data],3)), "-")</f>
        <v>-</v>
      </c>
      <c r="F63" s="35" t="str">
        <f>IFERROR(IF(VLOOKUP($B63,casostestes[#Data],4)=0,"-",VLOOKUP($B63,casostestes[#Data],4)),"-")</f>
        <v>-</v>
      </c>
      <c r="G63" s="35" t="str">
        <f>IFERROR(IF(VLOOKUP($B63,casostestes[#Data],5)=0,"-",VLOOKUP($B63,casostestes[#Data],5)),"-")</f>
        <v>-</v>
      </c>
      <c r="H63" s="35" t="str">
        <f>IFERROR(IF(VLOOKUP($B63,casostestes[#Data],6)=0,"-",VLOOKUP($B63,casostestes[#Data],6)),"-")</f>
        <v>-</v>
      </c>
      <c r="I63" s="35" t="str">
        <f>IFERROR(IF(VLOOKUP($B63,casostestes[#Data],8)=0,"-",VLOOKUP($B63,casostestes[#Data],8)),"-")</f>
        <v>-</v>
      </c>
      <c r="J63" s="35" t="str">
        <f>IFERROR(IF(VLOOKUP($B63,casostestes[#Data],9)=0,"-",VLOOKUP($B63,casostestes[#Data],9)),"-")</f>
        <v>-</v>
      </c>
      <c r="K63" s="36"/>
      <c r="L63" s="45"/>
      <c r="M63" s="37"/>
      <c r="N63" s="38"/>
      <c r="O63" s="38"/>
      <c r="P63" s="39"/>
    </row>
    <row r="64" spans="2:16">
      <c r="B64" s="40" t="str">
        <f>IF(ISERR(casostestes[[#This Row],[ID]]),"-",casostestes[[#This Row],[ID]])</f>
        <v>-</v>
      </c>
      <c r="C64" s="34" t="str">
        <f>IFERROR(IF(VLOOKUP($B64,casostestes[#Data],10)=0,"Não",VLOOKUP($B64,casostestes[#Data],10)), "-")</f>
        <v>-</v>
      </c>
      <c r="D64" s="35" t="str">
        <f>IFERROR(IF(VLOOKUP($B64,casostestes[#Data],2)=0,"-",VLOOKUP($B64,casostestes[#Data],2)), "-")</f>
        <v>-</v>
      </c>
      <c r="E64" s="35" t="str">
        <f>IFERROR(IF(VLOOKUP($B64,casostestes[#Data],3)=0,"-",VLOOKUP($B64,casostestes[#Data],3)), "-")</f>
        <v>-</v>
      </c>
      <c r="F64" s="35" t="str">
        <f>IFERROR(IF(VLOOKUP($B64,casostestes[#Data],4)=0,"-",VLOOKUP($B64,casostestes[#Data],4)),"-")</f>
        <v>-</v>
      </c>
      <c r="G64" s="35" t="str">
        <f>IFERROR(IF(VLOOKUP($B64,casostestes[#Data],5)=0,"-",VLOOKUP($B64,casostestes[#Data],5)),"-")</f>
        <v>-</v>
      </c>
      <c r="H64" s="35" t="str">
        <f>IFERROR(IF(VLOOKUP($B64,casostestes[#Data],6)=0,"-",VLOOKUP($B64,casostestes[#Data],6)),"-")</f>
        <v>-</v>
      </c>
      <c r="I64" s="35" t="str">
        <f>IFERROR(IF(VLOOKUP($B64,casostestes[#Data],8)=0,"-",VLOOKUP($B64,casostestes[#Data],8)),"-")</f>
        <v>-</v>
      </c>
      <c r="J64" s="35" t="str">
        <f>IFERROR(IF(VLOOKUP($B64,casostestes[#Data],9)=0,"-",VLOOKUP($B64,casostestes[#Data],9)),"-")</f>
        <v>-</v>
      </c>
      <c r="K64" s="36"/>
      <c r="L64" s="45"/>
      <c r="M64" s="37"/>
      <c r="N64" s="38"/>
      <c r="O64" s="38"/>
      <c r="P64" s="39"/>
    </row>
    <row r="65" spans="2:16">
      <c r="B65" s="40" t="str">
        <f>IF(ISERR(casostestes[[#This Row],[ID]]),"-",casostestes[[#This Row],[ID]])</f>
        <v>-</v>
      </c>
      <c r="C65" s="34" t="str">
        <f>IFERROR(IF(VLOOKUP($B65,casostestes[#Data],10)=0,"Não",VLOOKUP($B65,casostestes[#Data],10)), "-")</f>
        <v>-</v>
      </c>
      <c r="D65" s="35" t="str">
        <f>IFERROR(IF(VLOOKUP($B65,casostestes[#Data],2)=0,"-",VLOOKUP($B65,casostestes[#Data],2)), "-")</f>
        <v>-</v>
      </c>
      <c r="E65" s="35" t="str">
        <f>IFERROR(IF(VLOOKUP($B65,casostestes[#Data],3)=0,"-",VLOOKUP($B65,casostestes[#Data],3)), "-")</f>
        <v>-</v>
      </c>
      <c r="F65" s="35" t="str">
        <f>IFERROR(IF(VLOOKUP($B65,casostestes[#Data],4)=0,"-",VLOOKUP($B65,casostestes[#Data],4)),"-")</f>
        <v>-</v>
      </c>
      <c r="G65" s="35" t="str">
        <f>IFERROR(IF(VLOOKUP($B65,casostestes[#Data],5)=0,"-",VLOOKUP($B65,casostestes[#Data],5)),"-")</f>
        <v>-</v>
      </c>
      <c r="H65" s="35" t="str">
        <f>IFERROR(IF(VLOOKUP($B65,casostestes[#Data],6)=0,"-",VLOOKUP($B65,casostestes[#Data],6)),"-")</f>
        <v>-</v>
      </c>
      <c r="I65" s="35" t="str">
        <f>IFERROR(IF(VLOOKUP($B65,casostestes[#Data],8)=0,"-",VLOOKUP($B65,casostestes[#Data],8)),"-")</f>
        <v>-</v>
      </c>
      <c r="J65" s="35" t="str">
        <f>IFERROR(IF(VLOOKUP($B65,casostestes[#Data],9)=0,"-",VLOOKUP($B65,casostestes[#Data],9)),"-")</f>
        <v>-</v>
      </c>
      <c r="K65" s="36"/>
      <c r="L65" s="45"/>
      <c r="M65" s="37"/>
      <c r="N65" s="38"/>
      <c r="O65" s="38"/>
      <c r="P65" s="39"/>
    </row>
    <row r="66" spans="2:16">
      <c r="B66" s="40" t="str">
        <f>IF(ISERR(casostestes[[#This Row],[ID]]),"-",casostestes[[#This Row],[ID]])</f>
        <v>-</v>
      </c>
      <c r="C66" s="34" t="str">
        <f>IFERROR(IF(VLOOKUP($B66,casostestes[#Data],10)=0,"Não",VLOOKUP($B66,casostestes[#Data],10)), "-")</f>
        <v>-</v>
      </c>
      <c r="D66" s="35" t="str">
        <f>IFERROR(IF(VLOOKUP($B66,casostestes[#Data],2)=0,"-",VLOOKUP($B66,casostestes[#Data],2)), "-")</f>
        <v>-</v>
      </c>
      <c r="E66" s="35" t="str">
        <f>IFERROR(IF(VLOOKUP($B66,casostestes[#Data],3)=0,"-",VLOOKUP($B66,casostestes[#Data],3)), "-")</f>
        <v>-</v>
      </c>
      <c r="F66" s="35" t="str">
        <f>IFERROR(IF(VLOOKUP($B66,casostestes[#Data],4)=0,"-",VLOOKUP($B66,casostestes[#Data],4)),"-")</f>
        <v>-</v>
      </c>
      <c r="G66" s="35" t="str">
        <f>IFERROR(IF(VLOOKUP($B66,casostestes[#Data],5)=0,"-",VLOOKUP($B66,casostestes[#Data],5)),"-")</f>
        <v>-</v>
      </c>
      <c r="H66" s="35" t="str">
        <f>IFERROR(IF(VLOOKUP($B66,casostestes[#Data],6)=0,"-",VLOOKUP($B66,casostestes[#Data],6)),"-")</f>
        <v>-</v>
      </c>
      <c r="I66" s="35" t="str">
        <f>IFERROR(IF(VLOOKUP($B66,casostestes[#Data],8)=0,"-",VLOOKUP($B66,casostestes[#Data],8)),"-")</f>
        <v>-</v>
      </c>
      <c r="J66" s="35" t="str">
        <f>IFERROR(IF(VLOOKUP($B66,casostestes[#Data],9)=0,"-",VLOOKUP($B66,casostestes[#Data],9)),"-")</f>
        <v>-</v>
      </c>
      <c r="K66" s="36"/>
      <c r="L66" s="45"/>
      <c r="M66" s="37"/>
      <c r="N66" s="38"/>
      <c r="O66" s="38"/>
      <c r="P66" s="39"/>
    </row>
    <row r="67" spans="2:16">
      <c r="B67" s="40" t="str">
        <f>IF(ISERR(casostestes[[#This Row],[ID]]),"-",casostestes[[#This Row],[ID]])</f>
        <v>-</v>
      </c>
      <c r="C67" s="34" t="str">
        <f>IFERROR(IF(VLOOKUP($B67,casostestes[#Data],10)=0,"Não",VLOOKUP($B67,casostestes[#Data],10)), "-")</f>
        <v>-</v>
      </c>
      <c r="D67" s="35" t="str">
        <f>IFERROR(IF(VLOOKUP($B67,casostestes[#Data],2)=0,"-",VLOOKUP($B67,casostestes[#Data],2)), "-")</f>
        <v>-</v>
      </c>
      <c r="E67" s="35" t="str">
        <f>IFERROR(IF(VLOOKUP($B67,casostestes[#Data],3)=0,"-",VLOOKUP($B67,casostestes[#Data],3)), "-")</f>
        <v>-</v>
      </c>
      <c r="F67" s="35" t="str">
        <f>IFERROR(IF(VLOOKUP($B67,casostestes[#Data],4)=0,"-",VLOOKUP($B67,casostestes[#Data],4)),"-")</f>
        <v>-</v>
      </c>
      <c r="G67" s="35" t="str">
        <f>IFERROR(IF(VLOOKUP($B67,casostestes[#Data],5)=0,"-",VLOOKUP($B67,casostestes[#Data],5)),"-")</f>
        <v>-</v>
      </c>
      <c r="H67" s="35" t="str">
        <f>IFERROR(IF(VLOOKUP($B67,casostestes[#Data],6)=0,"-",VLOOKUP($B67,casostestes[#Data],6)),"-")</f>
        <v>-</v>
      </c>
      <c r="I67" s="35" t="str">
        <f>IFERROR(IF(VLOOKUP($B67,casostestes[#Data],8)=0,"-",VLOOKUP($B67,casostestes[#Data],8)),"-")</f>
        <v>-</v>
      </c>
      <c r="J67" s="35" t="str">
        <f>IFERROR(IF(VLOOKUP($B67,casostestes[#Data],9)=0,"-",VLOOKUP($B67,casostestes[#Data],9)),"-")</f>
        <v>-</v>
      </c>
      <c r="K67" s="36"/>
      <c r="L67" s="45"/>
      <c r="M67" s="37"/>
      <c r="N67" s="38"/>
      <c r="O67" s="38"/>
      <c r="P67" s="39"/>
    </row>
    <row r="68" spans="2:16">
      <c r="B68" s="40" t="str">
        <f>IF(ISERR(casostestes[[#This Row],[ID]]),"-",casostestes[[#This Row],[ID]])</f>
        <v>-</v>
      </c>
      <c r="C68" s="34" t="str">
        <f>IFERROR(IF(VLOOKUP($B68,casostestes[#Data],10)=0,"Não",VLOOKUP($B68,casostestes[#Data],10)), "-")</f>
        <v>-</v>
      </c>
      <c r="D68" s="35" t="str">
        <f>IFERROR(IF(VLOOKUP($B68,casostestes[#Data],2)=0,"-",VLOOKUP($B68,casostestes[#Data],2)), "-")</f>
        <v>-</v>
      </c>
      <c r="E68" s="35" t="str">
        <f>IFERROR(IF(VLOOKUP($B68,casostestes[#Data],3)=0,"-",VLOOKUP($B68,casostestes[#Data],3)), "-")</f>
        <v>-</v>
      </c>
      <c r="F68" s="35" t="str">
        <f>IFERROR(IF(VLOOKUP($B68,casostestes[#Data],4)=0,"-",VLOOKUP($B68,casostestes[#Data],4)),"-")</f>
        <v>-</v>
      </c>
      <c r="G68" s="35" t="str">
        <f>IFERROR(IF(VLOOKUP($B68,casostestes[#Data],5)=0,"-",VLOOKUP($B68,casostestes[#Data],5)),"-")</f>
        <v>-</v>
      </c>
      <c r="H68" s="35" t="str">
        <f>IFERROR(IF(VLOOKUP($B68,casostestes[#Data],6)=0,"-",VLOOKUP($B68,casostestes[#Data],6)),"-")</f>
        <v>-</v>
      </c>
      <c r="I68" s="35" t="str">
        <f>IFERROR(IF(VLOOKUP($B68,casostestes[#Data],8)=0,"-",VLOOKUP($B68,casostestes[#Data],8)),"-")</f>
        <v>-</v>
      </c>
      <c r="J68" s="35" t="str">
        <f>IFERROR(IF(VLOOKUP($B68,casostestes[#Data],9)=0,"-",VLOOKUP($B68,casostestes[#Data],9)),"-")</f>
        <v>-</v>
      </c>
      <c r="K68" s="36"/>
      <c r="L68" s="45"/>
      <c r="M68" s="37"/>
      <c r="N68" s="38"/>
      <c r="O68" s="38"/>
      <c r="P68" s="39"/>
    </row>
    <row r="69" spans="2:16">
      <c r="B69" s="40" t="str">
        <f>IF(ISERR(casostestes[[#This Row],[ID]]),"-",casostestes[[#This Row],[ID]])</f>
        <v>-</v>
      </c>
      <c r="C69" s="34" t="str">
        <f>IFERROR(IF(VLOOKUP($B69,casostestes[#Data],10)=0,"Não",VLOOKUP($B69,casostestes[#Data],10)), "-")</f>
        <v>-</v>
      </c>
      <c r="D69" s="35" t="str">
        <f>IFERROR(IF(VLOOKUP($B69,casostestes[#Data],2)=0,"-",VLOOKUP($B69,casostestes[#Data],2)), "-")</f>
        <v>-</v>
      </c>
      <c r="E69" s="35" t="str">
        <f>IFERROR(IF(VLOOKUP($B69,casostestes[#Data],3)=0,"-",VLOOKUP($B69,casostestes[#Data],3)), "-")</f>
        <v>-</v>
      </c>
      <c r="F69" s="35" t="str">
        <f>IFERROR(IF(VLOOKUP($B69,casostestes[#Data],4)=0,"-",VLOOKUP($B69,casostestes[#Data],4)),"-")</f>
        <v>-</v>
      </c>
      <c r="G69" s="35" t="str">
        <f>IFERROR(IF(VLOOKUP($B69,casostestes[#Data],5)=0,"-",VLOOKUP($B69,casostestes[#Data],5)),"-")</f>
        <v>-</v>
      </c>
      <c r="H69" s="35" t="str">
        <f>IFERROR(IF(VLOOKUP($B69,casostestes[#Data],6)=0,"-",VLOOKUP($B69,casostestes[#Data],6)),"-")</f>
        <v>-</v>
      </c>
      <c r="I69" s="35" t="str">
        <f>IFERROR(IF(VLOOKUP($B69,casostestes[#Data],8)=0,"-",VLOOKUP($B69,casostestes[#Data],8)),"-")</f>
        <v>-</v>
      </c>
      <c r="J69" s="35" t="str">
        <f>IFERROR(IF(VLOOKUP($B69,casostestes[#Data],9)=0,"-",VLOOKUP($B69,casostestes[#Data],9)),"-")</f>
        <v>-</v>
      </c>
      <c r="K69" s="36"/>
      <c r="L69" s="45"/>
      <c r="M69" s="37"/>
      <c r="N69" s="38"/>
      <c r="O69" s="38"/>
      <c r="P69" s="39"/>
    </row>
    <row r="70" spans="2:16">
      <c r="B70" s="40" t="str">
        <f>IF(ISERR(casostestes[[#This Row],[ID]]),"-",casostestes[[#This Row],[ID]])</f>
        <v>-</v>
      </c>
      <c r="C70" s="34" t="str">
        <f>IFERROR(IF(VLOOKUP($B70,casostestes[#Data],10)=0,"Não",VLOOKUP($B70,casostestes[#Data],10)), "-")</f>
        <v>-</v>
      </c>
      <c r="D70" s="35" t="str">
        <f>IFERROR(IF(VLOOKUP($B70,casostestes[#Data],2)=0,"-",VLOOKUP($B70,casostestes[#Data],2)), "-")</f>
        <v>-</v>
      </c>
      <c r="E70" s="35" t="str">
        <f>IFERROR(IF(VLOOKUP($B70,casostestes[#Data],3)=0,"-",VLOOKUP($B70,casostestes[#Data],3)), "-")</f>
        <v>-</v>
      </c>
      <c r="F70" s="35" t="str">
        <f>IFERROR(IF(VLOOKUP($B70,casostestes[#Data],4)=0,"-",VLOOKUP($B70,casostestes[#Data],4)),"-")</f>
        <v>-</v>
      </c>
      <c r="G70" s="35" t="str">
        <f>IFERROR(IF(VLOOKUP($B70,casostestes[#Data],5)=0,"-",VLOOKUP($B70,casostestes[#Data],5)),"-")</f>
        <v>-</v>
      </c>
      <c r="H70" s="35" t="str">
        <f>IFERROR(IF(VLOOKUP($B70,casostestes[#Data],6)=0,"-",VLOOKUP($B70,casostestes[#Data],6)),"-")</f>
        <v>-</v>
      </c>
      <c r="I70" s="35" t="str">
        <f>IFERROR(IF(VLOOKUP($B70,casostestes[#Data],8)=0,"-",VLOOKUP($B70,casostestes[#Data],8)),"-")</f>
        <v>-</v>
      </c>
      <c r="J70" s="35" t="str">
        <f>IFERROR(IF(VLOOKUP($B70,casostestes[#Data],9)=0,"-",VLOOKUP($B70,casostestes[#Data],9)),"-")</f>
        <v>-</v>
      </c>
      <c r="K70" s="36"/>
      <c r="L70" s="45"/>
      <c r="M70" s="37"/>
      <c r="N70" s="38"/>
      <c r="O70" s="38"/>
      <c r="P70" s="39"/>
    </row>
    <row r="71" spans="2:16">
      <c r="B71" s="40" t="str">
        <f>IF(ISERR(casostestes[[#This Row],[ID]]),"-",casostestes[[#This Row],[ID]])</f>
        <v>-</v>
      </c>
      <c r="C71" s="34" t="str">
        <f>IFERROR(IF(VLOOKUP($B71,casostestes[#Data],10)=0,"Não",VLOOKUP($B71,casostestes[#Data],10)), "-")</f>
        <v>-</v>
      </c>
      <c r="D71" s="35" t="str">
        <f>IFERROR(IF(VLOOKUP($B71,casostestes[#Data],2)=0,"-",VLOOKUP($B71,casostestes[#Data],2)), "-")</f>
        <v>-</v>
      </c>
      <c r="E71" s="35" t="str">
        <f>IFERROR(IF(VLOOKUP($B71,casostestes[#Data],3)=0,"-",VLOOKUP($B71,casostestes[#Data],3)), "-")</f>
        <v>-</v>
      </c>
      <c r="F71" s="35" t="str">
        <f>IFERROR(IF(VLOOKUP($B71,casostestes[#Data],4)=0,"-",VLOOKUP($B71,casostestes[#Data],4)),"-")</f>
        <v>-</v>
      </c>
      <c r="G71" s="35" t="str">
        <f>IFERROR(IF(VLOOKUP($B71,casostestes[#Data],5)=0,"-",VLOOKUP($B71,casostestes[#Data],5)),"-")</f>
        <v>-</v>
      </c>
      <c r="H71" s="35" t="str">
        <f>IFERROR(IF(VLOOKUP($B71,casostestes[#Data],6)=0,"-",VLOOKUP($B71,casostestes[#Data],6)),"-")</f>
        <v>-</v>
      </c>
      <c r="I71" s="35" t="str">
        <f>IFERROR(IF(VLOOKUP($B71,casostestes[#Data],8)=0,"-",VLOOKUP($B71,casostestes[#Data],8)),"-")</f>
        <v>-</v>
      </c>
      <c r="J71" s="35" t="str">
        <f>IFERROR(IF(VLOOKUP($B71,casostestes[#Data],9)=0,"-",VLOOKUP($B71,casostestes[#Data],9)),"-")</f>
        <v>-</v>
      </c>
      <c r="K71" s="36"/>
      <c r="L71" s="45"/>
      <c r="M71" s="37"/>
      <c r="N71" s="38"/>
      <c r="O71" s="38"/>
      <c r="P71" s="39"/>
    </row>
    <row r="72" spans="2:16">
      <c r="B72" s="40" t="str">
        <f>IF(ISERR(casostestes[[#This Row],[ID]]),"-",casostestes[[#This Row],[ID]])</f>
        <v>-</v>
      </c>
      <c r="C72" s="34" t="str">
        <f>IFERROR(IF(VLOOKUP($B72,casostestes[#Data],10)=0,"Não",VLOOKUP($B72,casostestes[#Data],10)), "-")</f>
        <v>-</v>
      </c>
      <c r="D72" s="35" t="str">
        <f>IFERROR(IF(VLOOKUP($B72,casostestes[#Data],2)=0,"-",VLOOKUP($B72,casostestes[#Data],2)), "-")</f>
        <v>-</v>
      </c>
      <c r="E72" s="35" t="str">
        <f>IFERROR(IF(VLOOKUP($B72,casostestes[#Data],3)=0,"-",VLOOKUP($B72,casostestes[#Data],3)), "-")</f>
        <v>-</v>
      </c>
      <c r="F72" s="35" t="str">
        <f>IFERROR(IF(VLOOKUP($B72,casostestes[#Data],4)=0,"-",VLOOKUP($B72,casostestes[#Data],4)),"-")</f>
        <v>-</v>
      </c>
      <c r="G72" s="35" t="str">
        <f>IFERROR(IF(VLOOKUP($B72,casostestes[#Data],5)=0,"-",VLOOKUP($B72,casostestes[#Data],5)),"-")</f>
        <v>-</v>
      </c>
      <c r="H72" s="35" t="str">
        <f>IFERROR(IF(VLOOKUP($B72,casostestes[#Data],6)=0,"-",VLOOKUP($B72,casostestes[#Data],6)),"-")</f>
        <v>-</v>
      </c>
      <c r="I72" s="35" t="str">
        <f>IFERROR(IF(VLOOKUP($B72,casostestes[#Data],8)=0,"-",VLOOKUP($B72,casostestes[#Data],8)),"-")</f>
        <v>-</v>
      </c>
      <c r="J72" s="35" t="str">
        <f>IFERROR(IF(VLOOKUP($B72,casostestes[#Data],9)=0,"-",VLOOKUP($B72,casostestes[#Data],9)),"-")</f>
        <v>-</v>
      </c>
      <c r="K72" s="36"/>
      <c r="L72" s="45"/>
      <c r="M72" s="37"/>
      <c r="N72" s="38"/>
      <c r="O72" s="38"/>
      <c r="P72" s="39"/>
    </row>
    <row r="73" spans="2:16">
      <c r="B73" s="40" t="str">
        <f>IF(ISERR(casostestes[[#This Row],[ID]]),"-",casostestes[[#This Row],[ID]])</f>
        <v>-</v>
      </c>
      <c r="C73" s="34" t="str">
        <f>IFERROR(IF(VLOOKUP($B73,casostestes[#Data],10)=0,"Não",VLOOKUP($B73,casostestes[#Data],10)), "-")</f>
        <v>-</v>
      </c>
      <c r="D73" s="35" t="str">
        <f>IFERROR(IF(VLOOKUP($B73,casostestes[#Data],2)=0,"-",VLOOKUP($B73,casostestes[#Data],2)), "-")</f>
        <v>-</v>
      </c>
      <c r="E73" s="35" t="str">
        <f>IFERROR(IF(VLOOKUP($B73,casostestes[#Data],3)=0,"-",VLOOKUP($B73,casostestes[#Data],3)), "-")</f>
        <v>-</v>
      </c>
      <c r="F73" s="35" t="str">
        <f>IFERROR(IF(VLOOKUP($B73,casostestes[#Data],4)=0,"-",VLOOKUP($B73,casostestes[#Data],4)),"-")</f>
        <v>-</v>
      </c>
      <c r="G73" s="35" t="str">
        <f>IFERROR(IF(VLOOKUP($B73,casostestes[#Data],5)=0,"-",VLOOKUP($B73,casostestes[#Data],5)),"-")</f>
        <v>-</v>
      </c>
      <c r="H73" s="35" t="str">
        <f>IFERROR(IF(VLOOKUP($B73,casostestes[#Data],6)=0,"-",VLOOKUP($B73,casostestes[#Data],6)),"-")</f>
        <v>-</v>
      </c>
      <c r="I73" s="35" t="str">
        <f>IFERROR(IF(VLOOKUP($B73,casostestes[#Data],8)=0,"-",VLOOKUP($B73,casostestes[#Data],8)),"-")</f>
        <v>-</v>
      </c>
      <c r="J73" s="35" t="str">
        <f>IFERROR(IF(VLOOKUP($B73,casostestes[#Data],9)=0,"-",VLOOKUP($B73,casostestes[#Data],9)),"-")</f>
        <v>-</v>
      </c>
      <c r="K73" s="36"/>
      <c r="L73" s="45"/>
      <c r="M73" s="37"/>
      <c r="N73" s="38"/>
      <c r="O73" s="38"/>
      <c r="P73" s="39"/>
    </row>
    <row r="74" spans="2:16">
      <c r="B74" s="40" t="str">
        <f>IF(ISERR(casostestes[[#This Row],[ID]]),"-",casostestes[[#This Row],[ID]])</f>
        <v>-</v>
      </c>
      <c r="C74" s="34" t="str">
        <f>IFERROR(IF(VLOOKUP($B74,casostestes[#Data],10)=0,"Não",VLOOKUP($B74,casostestes[#Data],10)), "-")</f>
        <v>-</v>
      </c>
      <c r="D74" s="35" t="str">
        <f>IFERROR(IF(VLOOKUP($B74,casostestes[#Data],2)=0,"-",VLOOKUP($B74,casostestes[#Data],2)), "-")</f>
        <v>-</v>
      </c>
      <c r="E74" s="35" t="str">
        <f>IFERROR(IF(VLOOKUP($B74,casostestes[#Data],3)=0,"-",VLOOKUP($B74,casostestes[#Data],3)), "-")</f>
        <v>-</v>
      </c>
      <c r="F74" s="35" t="str">
        <f>IFERROR(IF(VLOOKUP($B74,casostestes[#Data],4)=0,"-",VLOOKUP($B74,casostestes[#Data],4)),"-")</f>
        <v>-</v>
      </c>
      <c r="G74" s="35" t="str">
        <f>IFERROR(IF(VLOOKUP($B74,casostestes[#Data],5)=0,"-",VLOOKUP($B74,casostestes[#Data],5)),"-")</f>
        <v>-</v>
      </c>
      <c r="H74" s="35" t="str">
        <f>IFERROR(IF(VLOOKUP($B74,casostestes[#Data],6)=0,"-",VLOOKUP($B74,casostestes[#Data],6)),"-")</f>
        <v>-</v>
      </c>
      <c r="I74" s="35" t="str">
        <f>IFERROR(IF(VLOOKUP($B74,casostestes[#Data],8)=0,"-",VLOOKUP($B74,casostestes[#Data],8)),"-")</f>
        <v>-</v>
      </c>
      <c r="J74" s="35" t="str">
        <f>IFERROR(IF(VLOOKUP($B74,casostestes[#Data],9)=0,"-",VLOOKUP($B74,casostestes[#Data],9)),"-")</f>
        <v>-</v>
      </c>
      <c r="K74" s="36"/>
      <c r="L74" s="45"/>
      <c r="M74" s="37"/>
      <c r="N74" s="38"/>
      <c r="O74" s="38"/>
      <c r="P74" s="39"/>
    </row>
    <row r="75" spans="2:16">
      <c r="B75" s="40" t="str">
        <f>IF(ISERR(casostestes[[#This Row],[ID]]),"-",casostestes[[#This Row],[ID]])</f>
        <v>-</v>
      </c>
      <c r="C75" s="34" t="str">
        <f>IFERROR(IF(VLOOKUP($B75,casostestes[#Data],10)=0,"Não",VLOOKUP($B75,casostestes[#Data],10)), "-")</f>
        <v>-</v>
      </c>
      <c r="D75" s="35" t="str">
        <f>IFERROR(IF(VLOOKUP($B75,casostestes[#Data],2)=0,"-",VLOOKUP($B75,casostestes[#Data],2)), "-")</f>
        <v>-</v>
      </c>
      <c r="E75" s="35" t="str">
        <f>IFERROR(IF(VLOOKUP($B75,casostestes[#Data],3)=0,"-",VLOOKUP($B75,casostestes[#Data],3)), "-")</f>
        <v>-</v>
      </c>
      <c r="F75" s="35" t="str">
        <f>IFERROR(IF(VLOOKUP($B75,casostestes[#Data],4)=0,"-",VLOOKUP($B75,casostestes[#Data],4)),"-")</f>
        <v>-</v>
      </c>
      <c r="G75" s="35" t="str">
        <f>IFERROR(IF(VLOOKUP($B75,casostestes[#Data],5)=0,"-",VLOOKUP($B75,casostestes[#Data],5)),"-")</f>
        <v>-</v>
      </c>
      <c r="H75" s="35" t="str">
        <f>IFERROR(IF(VLOOKUP($B75,casostestes[#Data],6)=0,"-",VLOOKUP($B75,casostestes[#Data],6)),"-")</f>
        <v>-</v>
      </c>
      <c r="I75" s="35" t="str">
        <f>IFERROR(IF(VLOOKUP($B75,casostestes[#Data],8)=0,"-",VLOOKUP($B75,casostestes[#Data],8)),"-")</f>
        <v>-</v>
      </c>
      <c r="J75" s="35" t="str">
        <f>IFERROR(IF(VLOOKUP($B75,casostestes[#Data],9)=0,"-",VLOOKUP($B75,casostestes[#Data],9)),"-")</f>
        <v>-</v>
      </c>
      <c r="K75" s="36"/>
      <c r="L75" s="45"/>
      <c r="M75" s="37"/>
      <c r="N75" s="38"/>
      <c r="O75" s="38"/>
      <c r="P75" s="39"/>
    </row>
    <row r="76" spans="2:16">
      <c r="B76" s="40" t="str">
        <f>IF(ISERR(casostestes[[#This Row],[ID]]),"-",casostestes[[#This Row],[ID]])</f>
        <v>-</v>
      </c>
      <c r="C76" s="34" t="str">
        <f>IFERROR(IF(VLOOKUP($B76,casostestes[#Data],10)=0,"Não",VLOOKUP($B76,casostestes[#Data],10)), "-")</f>
        <v>-</v>
      </c>
      <c r="D76" s="35" t="str">
        <f>IFERROR(IF(VLOOKUP($B76,casostestes[#Data],2)=0,"-",VLOOKUP($B76,casostestes[#Data],2)), "-")</f>
        <v>-</v>
      </c>
      <c r="E76" s="35" t="str">
        <f>IFERROR(IF(VLOOKUP($B76,casostestes[#Data],3)=0,"-",VLOOKUP($B76,casostestes[#Data],3)), "-")</f>
        <v>-</v>
      </c>
      <c r="F76" s="35" t="str">
        <f>IFERROR(IF(VLOOKUP($B76,casostestes[#Data],4)=0,"-",VLOOKUP($B76,casostestes[#Data],4)),"-")</f>
        <v>-</v>
      </c>
      <c r="G76" s="35" t="str">
        <f>IFERROR(IF(VLOOKUP($B76,casostestes[#Data],5)=0,"-",VLOOKUP($B76,casostestes[#Data],5)),"-")</f>
        <v>-</v>
      </c>
      <c r="H76" s="35" t="str">
        <f>IFERROR(IF(VLOOKUP($B76,casostestes[#Data],6)=0,"-",VLOOKUP($B76,casostestes[#Data],6)),"-")</f>
        <v>-</v>
      </c>
      <c r="I76" s="35" t="str">
        <f>IFERROR(IF(VLOOKUP($B76,casostestes[#Data],8)=0,"-",VLOOKUP($B76,casostestes[#Data],8)),"-")</f>
        <v>-</v>
      </c>
      <c r="J76" s="35" t="str">
        <f>IFERROR(IF(VLOOKUP($B76,casostestes[#Data],9)=0,"-",VLOOKUP($B76,casostestes[#Data],9)),"-")</f>
        <v>-</v>
      </c>
      <c r="K76" s="36"/>
      <c r="L76" s="45"/>
      <c r="M76" s="37"/>
      <c r="N76" s="38"/>
      <c r="O76" s="38"/>
      <c r="P76" s="39"/>
    </row>
    <row r="77" spans="2:16">
      <c r="B77" s="40" t="str">
        <f>IF(ISERR(casostestes[[#This Row],[ID]]),"-",casostestes[[#This Row],[ID]])</f>
        <v>-</v>
      </c>
      <c r="C77" s="34" t="str">
        <f>IFERROR(IF(VLOOKUP($B77,casostestes[#Data],10)=0,"Não",VLOOKUP($B77,casostestes[#Data],10)), "-")</f>
        <v>-</v>
      </c>
      <c r="D77" s="35" t="str">
        <f>IFERROR(IF(VLOOKUP($B77,casostestes[#Data],2)=0,"-",VLOOKUP($B77,casostestes[#Data],2)), "-")</f>
        <v>-</v>
      </c>
      <c r="E77" s="35" t="str">
        <f>IFERROR(IF(VLOOKUP($B77,casostestes[#Data],3)=0,"-",VLOOKUP($B77,casostestes[#Data],3)), "-")</f>
        <v>-</v>
      </c>
      <c r="F77" s="35" t="str">
        <f>IFERROR(IF(VLOOKUP($B77,casostestes[#Data],4)=0,"-",VLOOKUP($B77,casostestes[#Data],4)),"-")</f>
        <v>-</v>
      </c>
      <c r="G77" s="35" t="str">
        <f>IFERROR(IF(VLOOKUP($B77,casostestes[#Data],5)=0,"-",VLOOKUP($B77,casostestes[#Data],5)),"-")</f>
        <v>-</v>
      </c>
      <c r="H77" s="35" t="str">
        <f>IFERROR(IF(VLOOKUP($B77,casostestes[#Data],6)=0,"-",VLOOKUP($B77,casostestes[#Data],6)),"-")</f>
        <v>-</v>
      </c>
      <c r="I77" s="35" t="str">
        <f>IFERROR(IF(VLOOKUP($B77,casostestes[#Data],8)=0,"-",VLOOKUP($B77,casostestes[#Data],8)),"-")</f>
        <v>-</v>
      </c>
      <c r="J77" s="35" t="str">
        <f>IFERROR(IF(VLOOKUP($B77,casostestes[#Data],9)=0,"-",VLOOKUP($B77,casostestes[#Data],9)),"-")</f>
        <v>-</v>
      </c>
      <c r="K77" s="36"/>
      <c r="L77" s="45"/>
      <c r="M77" s="37"/>
      <c r="N77" s="38"/>
      <c r="O77" s="38"/>
      <c r="P77" s="39"/>
    </row>
    <row r="78" spans="2:16">
      <c r="B78" s="40" t="str">
        <f>IF(ISERR(casostestes[[#This Row],[ID]]),"-",casostestes[[#This Row],[ID]])</f>
        <v>-</v>
      </c>
      <c r="C78" s="34" t="str">
        <f>IFERROR(IF(VLOOKUP($B78,casostestes[#Data],10)=0,"Não",VLOOKUP($B78,casostestes[#Data],10)), "-")</f>
        <v>-</v>
      </c>
      <c r="D78" s="35" t="str">
        <f>IFERROR(IF(VLOOKUP($B78,casostestes[#Data],2)=0,"-",VLOOKUP($B78,casostestes[#Data],2)), "-")</f>
        <v>-</v>
      </c>
      <c r="E78" s="35" t="str">
        <f>IFERROR(IF(VLOOKUP($B78,casostestes[#Data],3)=0,"-",VLOOKUP($B78,casostestes[#Data],3)), "-")</f>
        <v>-</v>
      </c>
      <c r="F78" s="35" t="str">
        <f>IFERROR(IF(VLOOKUP($B78,casostestes[#Data],4)=0,"-",VLOOKUP($B78,casostestes[#Data],4)),"-")</f>
        <v>-</v>
      </c>
      <c r="G78" s="35" t="str">
        <f>IFERROR(IF(VLOOKUP($B78,casostestes[#Data],5)=0,"-",VLOOKUP($B78,casostestes[#Data],5)),"-")</f>
        <v>-</v>
      </c>
      <c r="H78" s="35" t="str">
        <f>IFERROR(IF(VLOOKUP($B78,casostestes[#Data],6)=0,"-",VLOOKUP($B78,casostestes[#Data],6)),"-")</f>
        <v>-</v>
      </c>
      <c r="I78" s="35" t="str">
        <f>IFERROR(IF(VLOOKUP($B78,casostestes[#Data],8)=0,"-",VLOOKUP($B78,casostestes[#Data],8)),"-")</f>
        <v>-</v>
      </c>
      <c r="J78" s="35" t="str">
        <f>IFERROR(IF(VLOOKUP($B78,casostestes[#Data],9)=0,"-",VLOOKUP($B78,casostestes[#Data],9)),"-")</f>
        <v>-</v>
      </c>
      <c r="K78" s="36"/>
      <c r="L78" s="45"/>
      <c r="M78" s="37"/>
      <c r="N78" s="38"/>
      <c r="O78" s="38"/>
      <c r="P78" s="39"/>
    </row>
    <row r="79" spans="2:16">
      <c r="B79" s="40" t="str">
        <f>IF(ISERR(casostestes[[#This Row],[ID]]),"-",casostestes[[#This Row],[ID]])</f>
        <v>-</v>
      </c>
      <c r="C79" s="34" t="str">
        <f>IFERROR(IF(VLOOKUP($B79,casostestes[#Data],10)=0,"Não",VLOOKUP($B79,casostestes[#Data],10)), "-")</f>
        <v>-</v>
      </c>
      <c r="D79" s="35" t="str">
        <f>IFERROR(IF(VLOOKUP($B79,casostestes[#Data],2)=0,"-",VLOOKUP($B79,casostestes[#Data],2)), "-")</f>
        <v>-</v>
      </c>
      <c r="E79" s="35" t="str">
        <f>IFERROR(IF(VLOOKUP($B79,casostestes[#Data],3)=0,"-",VLOOKUP($B79,casostestes[#Data],3)), "-")</f>
        <v>-</v>
      </c>
      <c r="F79" s="35" t="str">
        <f>IFERROR(IF(VLOOKUP($B79,casostestes[#Data],4)=0,"-",VLOOKUP($B79,casostestes[#Data],4)),"-")</f>
        <v>-</v>
      </c>
      <c r="G79" s="35" t="str">
        <f>IFERROR(IF(VLOOKUP($B79,casostestes[#Data],5)=0,"-",VLOOKUP($B79,casostestes[#Data],5)),"-")</f>
        <v>-</v>
      </c>
      <c r="H79" s="35" t="str">
        <f>IFERROR(IF(VLOOKUP($B79,casostestes[#Data],6)=0,"-",VLOOKUP($B79,casostestes[#Data],6)),"-")</f>
        <v>-</v>
      </c>
      <c r="I79" s="35" t="str">
        <f>IFERROR(IF(VLOOKUP($B79,casostestes[#Data],8)=0,"-",VLOOKUP($B79,casostestes[#Data],8)),"-")</f>
        <v>-</v>
      </c>
      <c r="J79" s="35" t="str">
        <f>IFERROR(IF(VLOOKUP($B79,casostestes[#Data],9)=0,"-",VLOOKUP($B79,casostestes[#Data],9)),"-")</f>
        <v>-</v>
      </c>
      <c r="K79" s="36"/>
      <c r="L79" s="45"/>
      <c r="M79" s="37"/>
      <c r="N79" s="38"/>
      <c r="O79" s="38"/>
      <c r="P79" s="39"/>
    </row>
    <row r="80" spans="2:16">
      <c r="B80" s="40" t="str">
        <f>IF(ISERR(casostestes[[#This Row],[ID]]),"-",casostestes[[#This Row],[ID]])</f>
        <v>-</v>
      </c>
      <c r="C80" s="34" t="str">
        <f>IFERROR(IF(VLOOKUP($B80,casostestes[#Data],10)=0,"Não",VLOOKUP($B80,casostestes[#Data],10)), "-")</f>
        <v>-</v>
      </c>
      <c r="D80" s="35" t="str">
        <f>IFERROR(IF(VLOOKUP($B80,casostestes[#Data],2)=0,"-",VLOOKUP($B80,casostestes[#Data],2)), "-")</f>
        <v>-</v>
      </c>
      <c r="E80" s="35" t="str">
        <f>IFERROR(IF(VLOOKUP($B80,casostestes[#Data],3)=0,"-",VLOOKUP($B80,casostestes[#Data],3)), "-")</f>
        <v>-</v>
      </c>
      <c r="F80" s="35" t="str">
        <f>IFERROR(IF(VLOOKUP($B80,casostestes[#Data],4)=0,"-",VLOOKUP($B80,casostestes[#Data],4)),"-")</f>
        <v>-</v>
      </c>
      <c r="G80" s="35" t="str">
        <f>IFERROR(IF(VLOOKUP($B80,casostestes[#Data],5)=0,"-",VLOOKUP($B80,casostestes[#Data],5)),"-")</f>
        <v>-</v>
      </c>
      <c r="H80" s="35" t="str">
        <f>IFERROR(IF(VLOOKUP($B80,casostestes[#Data],6)=0,"-",VLOOKUP($B80,casostestes[#Data],6)),"-")</f>
        <v>-</v>
      </c>
      <c r="I80" s="35" t="str">
        <f>IFERROR(IF(VLOOKUP($B80,casostestes[#Data],8)=0,"-",VLOOKUP($B80,casostestes[#Data],8)),"-")</f>
        <v>-</v>
      </c>
      <c r="J80" s="35" t="str">
        <f>IFERROR(IF(VLOOKUP($B80,casostestes[#Data],9)=0,"-",VLOOKUP($B80,casostestes[#Data],9)),"-")</f>
        <v>-</v>
      </c>
      <c r="K80" s="36"/>
      <c r="L80" s="45"/>
      <c r="M80" s="37"/>
      <c r="N80" s="38"/>
      <c r="O80" s="38"/>
      <c r="P80" s="39"/>
    </row>
    <row r="81" spans="2:16">
      <c r="B81" s="40" t="str">
        <f>IF(ISERR(casostestes[[#This Row],[ID]]),"-",casostestes[[#This Row],[ID]])</f>
        <v>-</v>
      </c>
      <c r="C81" s="34" t="str">
        <f>IFERROR(IF(VLOOKUP($B81,casostestes[#Data],10)=0,"Não",VLOOKUP($B81,casostestes[#Data],10)), "-")</f>
        <v>-</v>
      </c>
      <c r="D81" s="35" t="str">
        <f>IFERROR(IF(VLOOKUP($B81,casostestes[#Data],2)=0,"-",VLOOKUP($B81,casostestes[#Data],2)), "-")</f>
        <v>-</v>
      </c>
      <c r="E81" s="35" t="str">
        <f>IFERROR(IF(VLOOKUP($B81,casostestes[#Data],3)=0,"-",VLOOKUP($B81,casostestes[#Data],3)), "-")</f>
        <v>-</v>
      </c>
      <c r="F81" s="35" t="str">
        <f>IFERROR(IF(VLOOKUP($B81,casostestes[#Data],4)=0,"-",VLOOKUP($B81,casostestes[#Data],4)),"-")</f>
        <v>-</v>
      </c>
      <c r="G81" s="35" t="str">
        <f>IFERROR(IF(VLOOKUP($B81,casostestes[#Data],5)=0,"-",VLOOKUP($B81,casostestes[#Data],5)),"-")</f>
        <v>-</v>
      </c>
      <c r="H81" s="35" t="str">
        <f>IFERROR(IF(VLOOKUP($B81,casostestes[#Data],6)=0,"-",VLOOKUP($B81,casostestes[#Data],6)),"-")</f>
        <v>-</v>
      </c>
      <c r="I81" s="35" t="str">
        <f>IFERROR(IF(VLOOKUP($B81,casostestes[#Data],8)=0,"-",VLOOKUP($B81,casostestes[#Data],8)),"-")</f>
        <v>-</v>
      </c>
      <c r="J81" s="35" t="str">
        <f>IFERROR(IF(VLOOKUP($B81,casostestes[#Data],9)=0,"-",VLOOKUP($B81,casostestes[#Data],9)),"-")</f>
        <v>-</v>
      </c>
      <c r="K81" s="36"/>
      <c r="L81" s="45"/>
      <c r="M81" s="37"/>
      <c r="N81" s="38"/>
      <c r="O81" s="38"/>
      <c r="P81" s="39"/>
    </row>
    <row r="82" spans="2:16">
      <c r="B82" s="40" t="str">
        <f>IF(ISERR(casostestes[[#This Row],[ID]]),"-",casostestes[[#This Row],[ID]])</f>
        <v>-</v>
      </c>
      <c r="C82" s="34" t="str">
        <f>IFERROR(IF(VLOOKUP($B82,casostestes[#Data],10)=0,"Não",VLOOKUP($B82,casostestes[#Data],10)), "-")</f>
        <v>-</v>
      </c>
      <c r="D82" s="35" t="str">
        <f>IFERROR(IF(VLOOKUP($B82,casostestes[#Data],2)=0,"-",VLOOKUP($B82,casostestes[#Data],2)), "-")</f>
        <v>-</v>
      </c>
      <c r="E82" s="35" t="str">
        <f>IFERROR(IF(VLOOKUP($B82,casostestes[#Data],3)=0,"-",VLOOKUP($B82,casostestes[#Data],3)), "-")</f>
        <v>-</v>
      </c>
      <c r="F82" s="35" t="str">
        <f>IFERROR(IF(VLOOKUP($B82,casostestes[#Data],4)=0,"-",VLOOKUP($B82,casostestes[#Data],4)),"-")</f>
        <v>-</v>
      </c>
      <c r="G82" s="35" t="str">
        <f>IFERROR(IF(VLOOKUP($B82,casostestes[#Data],5)=0,"-",VLOOKUP($B82,casostestes[#Data],5)),"-")</f>
        <v>-</v>
      </c>
      <c r="H82" s="35" t="str">
        <f>IFERROR(IF(VLOOKUP($B82,casostestes[#Data],6)=0,"-",VLOOKUP($B82,casostestes[#Data],6)),"-")</f>
        <v>-</v>
      </c>
      <c r="I82" s="35" t="str">
        <f>IFERROR(IF(VLOOKUP($B82,casostestes[#Data],8)=0,"-",VLOOKUP($B82,casostestes[#Data],8)),"-")</f>
        <v>-</v>
      </c>
      <c r="J82" s="35" t="str">
        <f>IFERROR(IF(VLOOKUP($B82,casostestes[#Data],9)=0,"-",VLOOKUP($B82,casostestes[#Data],9)),"-")</f>
        <v>-</v>
      </c>
      <c r="K82" s="36"/>
      <c r="L82" s="45"/>
      <c r="M82" s="37"/>
      <c r="N82" s="38"/>
      <c r="O82" s="38"/>
      <c r="P82" s="39"/>
    </row>
    <row r="83" spans="2:16">
      <c r="B83" s="40" t="str">
        <f>IF(ISERR(casostestes[[#This Row],[ID]]),"-",casostestes[[#This Row],[ID]])</f>
        <v>-</v>
      </c>
      <c r="C83" s="34" t="str">
        <f>IFERROR(IF(VLOOKUP($B83,casostestes[#Data],10)=0,"Não",VLOOKUP($B83,casostestes[#Data],10)), "-")</f>
        <v>-</v>
      </c>
      <c r="D83" s="35" t="str">
        <f>IFERROR(IF(VLOOKUP($B83,casostestes[#Data],2)=0,"-",VLOOKUP($B83,casostestes[#Data],2)), "-")</f>
        <v>-</v>
      </c>
      <c r="E83" s="35" t="str">
        <f>IFERROR(IF(VLOOKUP($B83,casostestes[#Data],3)=0,"-",VLOOKUP($B83,casostestes[#Data],3)), "-")</f>
        <v>-</v>
      </c>
      <c r="F83" s="35" t="str">
        <f>IFERROR(IF(VLOOKUP($B83,casostestes[#Data],4)=0,"-",VLOOKUP($B83,casostestes[#Data],4)),"-")</f>
        <v>-</v>
      </c>
      <c r="G83" s="35" t="str">
        <f>IFERROR(IF(VLOOKUP($B83,casostestes[#Data],5)=0,"-",VLOOKUP($B83,casostestes[#Data],5)),"-")</f>
        <v>-</v>
      </c>
      <c r="H83" s="35" t="str">
        <f>IFERROR(IF(VLOOKUP($B83,casostestes[#Data],6)=0,"-",VLOOKUP($B83,casostestes[#Data],6)),"-")</f>
        <v>-</v>
      </c>
      <c r="I83" s="35" t="str">
        <f>IFERROR(IF(VLOOKUP($B83,casostestes[#Data],8)=0,"-",VLOOKUP($B83,casostestes[#Data],8)),"-")</f>
        <v>-</v>
      </c>
      <c r="J83" s="35" t="str">
        <f>IFERROR(IF(VLOOKUP($B83,casostestes[#Data],9)=0,"-",VLOOKUP($B83,casostestes[#Data],9)),"-")</f>
        <v>-</v>
      </c>
      <c r="K83" s="36"/>
      <c r="L83" s="45"/>
      <c r="M83" s="37"/>
      <c r="N83" s="38"/>
      <c r="O83" s="38"/>
      <c r="P83" s="39"/>
    </row>
    <row r="84" spans="2:16">
      <c r="B84" s="40" t="str">
        <f>IF(ISERR(casostestes[[#This Row],[ID]]),"-",casostestes[[#This Row],[ID]])</f>
        <v>-</v>
      </c>
      <c r="C84" s="34" t="str">
        <f>IFERROR(IF(VLOOKUP($B84,casostestes[#Data],10)=0,"Não",VLOOKUP($B84,casostestes[#Data],10)), "-")</f>
        <v>-</v>
      </c>
      <c r="D84" s="35" t="str">
        <f>IFERROR(IF(VLOOKUP($B84,casostestes[#Data],2)=0,"-",VLOOKUP($B84,casostestes[#Data],2)), "-")</f>
        <v>-</v>
      </c>
      <c r="E84" s="35" t="str">
        <f>IFERROR(IF(VLOOKUP($B84,casostestes[#Data],3)=0,"-",VLOOKUP($B84,casostestes[#Data],3)), "-")</f>
        <v>-</v>
      </c>
      <c r="F84" s="35" t="str">
        <f>IFERROR(IF(VLOOKUP($B84,casostestes[#Data],4)=0,"-",VLOOKUP($B84,casostestes[#Data],4)),"-")</f>
        <v>-</v>
      </c>
      <c r="G84" s="35" t="str">
        <f>IFERROR(IF(VLOOKUP($B84,casostestes[#Data],5)=0,"-",VLOOKUP($B84,casostestes[#Data],5)),"-")</f>
        <v>-</v>
      </c>
      <c r="H84" s="35" t="str">
        <f>IFERROR(IF(VLOOKUP($B84,casostestes[#Data],6)=0,"-",VLOOKUP($B84,casostestes[#Data],6)),"-")</f>
        <v>-</v>
      </c>
      <c r="I84" s="35" t="str">
        <f>IFERROR(IF(VLOOKUP($B84,casostestes[#Data],8)=0,"-",VLOOKUP($B84,casostestes[#Data],8)),"-")</f>
        <v>-</v>
      </c>
      <c r="J84" s="35" t="str">
        <f>IFERROR(IF(VLOOKUP($B84,casostestes[#Data],9)=0,"-",VLOOKUP($B84,casostestes[#Data],9)),"-")</f>
        <v>-</v>
      </c>
      <c r="K84" s="36"/>
      <c r="L84" s="45"/>
      <c r="M84" s="37"/>
      <c r="N84" s="38"/>
      <c r="O84" s="38"/>
      <c r="P84" s="39"/>
    </row>
    <row r="85" spans="2:16">
      <c r="B85" s="40" t="str">
        <f>IF(ISERR(casostestes[[#This Row],[ID]]),"-",casostestes[[#This Row],[ID]])</f>
        <v>-</v>
      </c>
      <c r="C85" s="34" t="str">
        <f>IFERROR(IF(VLOOKUP($B85,casostestes[#Data],10)=0,"Não",VLOOKUP($B85,casostestes[#Data],10)), "-")</f>
        <v>-</v>
      </c>
      <c r="D85" s="35" t="str">
        <f>IFERROR(IF(VLOOKUP($B85,casostestes[#Data],2)=0,"-",VLOOKUP($B85,casostestes[#Data],2)), "-")</f>
        <v>-</v>
      </c>
      <c r="E85" s="35" t="str">
        <f>IFERROR(IF(VLOOKUP($B85,casostestes[#Data],3)=0,"-",VLOOKUP($B85,casostestes[#Data],3)), "-")</f>
        <v>-</v>
      </c>
      <c r="F85" s="35" t="str">
        <f>IFERROR(IF(VLOOKUP($B85,casostestes[#Data],4)=0,"-",VLOOKUP($B85,casostestes[#Data],4)),"-")</f>
        <v>-</v>
      </c>
      <c r="G85" s="35" t="str">
        <f>IFERROR(IF(VLOOKUP($B85,casostestes[#Data],5)=0,"-",VLOOKUP($B85,casostestes[#Data],5)),"-")</f>
        <v>-</v>
      </c>
      <c r="H85" s="35" t="str">
        <f>IFERROR(IF(VLOOKUP($B85,casostestes[#Data],6)=0,"-",VLOOKUP($B85,casostestes[#Data],6)),"-")</f>
        <v>-</v>
      </c>
      <c r="I85" s="35" t="str">
        <f>IFERROR(IF(VLOOKUP($B85,casostestes[#Data],8)=0,"-",VLOOKUP($B85,casostestes[#Data],8)),"-")</f>
        <v>-</v>
      </c>
      <c r="J85" s="35" t="str">
        <f>IFERROR(IF(VLOOKUP($B85,casostestes[#Data],9)=0,"-",VLOOKUP($B85,casostestes[#Data],9)),"-")</f>
        <v>-</v>
      </c>
      <c r="K85" s="36"/>
      <c r="L85" s="45"/>
      <c r="M85" s="37"/>
      <c r="N85" s="38"/>
      <c r="O85" s="38"/>
      <c r="P85" s="39"/>
    </row>
    <row r="86" spans="2:16">
      <c r="B86" s="40" t="str">
        <f>IF(ISERR(casostestes[[#This Row],[ID]]),"-",casostestes[[#This Row],[ID]])</f>
        <v>-</v>
      </c>
      <c r="C86" s="34" t="str">
        <f>IFERROR(IF(VLOOKUP($B86,casostestes[#Data],10)=0,"Não",VLOOKUP($B86,casostestes[#Data],10)), "-")</f>
        <v>-</v>
      </c>
      <c r="D86" s="35" t="str">
        <f>IFERROR(IF(VLOOKUP($B86,casostestes[#Data],2)=0,"-",VLOOKUP($B86,casostestes[#Data],2)), "-")</f>
        <v>-</v>
      </c>
      <c r="E86" s="35" t="str">
        <f>IFERROR(IF(VLOOKUP($B86,casostestes[#Data],3)=0,"-",VLOOKUP($B86,casostestes[#Data],3)), "-")</f>
        <v>-</v>
      </c>
      <c r="F86" s="35" t="str">
        <f>IFERROR(IF(VLOOKUP($B86,casostestes[#Data],4)=0,"-",VLOOKUP($B86,casostestes[#Data],4)),"-")</f>
        <v>-</v>
      </c>
      <c r="G86" s="35" t="str">
        <f>IFERROR(IF(VLOOKUP($B86,casostestes[#Data],5)=0,"-",VLOOKUP($B86,casostestes[#Data],5)),"-")</f>
        <v>-</v>
      </c>
      <c r="H86" s="35" t="str">
        <f>IFERROR(IF(VLOOKUP($B86,casostestes[#Data],6)=0,"-",VLOOKUP($B86,casostestes[#Data],6)),"-")</f>
        <v>-</v>
      </c>
      <c r="I86" s="35" t="str">
        <f>IFERROR(IF(VLOOKUP($B86,casostestes[#Data],8)=0,"-",VLOOKUP($B86,casostestes[#Data],8)),"-")</f>
        <v>-</v>
      </c>
      <c r="J86" s="35" t="str">
        <f>IFERROR(IF(VLOOKUP($B86,casostestes[#Data],9)=0,"-",VLOOKUP($B86,casostestes[#Data],9)),"-")</f>
        <v>-</v>
      </c>
      <c r="K86" s="36"/>
      <c r="L86" s="45"/>
      <c r="M86" s="37"/>
      <c r="N86" s="38"/>
      <c r="O86" s="38"/>
      <c r="P86" s="39"/>
    </row>
    <row r="87" spans="2:16">
      <c r="B87" s="40" t="str">
        <f>IF(ISERR(casostestes[[#This Row],[ID]]),"-",casostestes[[#This Row],[ID]])</f>
        <v>-</v>
      </c>
      <c r="C87" s="34" t="str">
        <f>IFERROR(IF(VLOOKUP($B87,casostestes[#Data],10)=0,"Não",VLOOKUP($B87,casostestes[#Data],10)), "-")</f>
        <v>-</v>
      </c>
      <c r="D87" s="35" t="str">
        <f>IFERROR(IF(VLOOKUP($B87,casostestes[#Data],2)=0,"-",VLOOKUP($B87,casostestes[#Data],2)), "-")</f>
        <v>-</v>
      </c>
      <c r="E87" s="35" t="str">
        <f>IFERROR(IF(VLOOKUP($B87,casostestes[#Data],3)=0,"-",VLOOKUP($B87,casostestes[#Data],3)), "-")</f>
        <v>-</v>
      </c>
      <c r="F87" s="35" t="str">
        <f>IFERROR(IF(VLOOKUP($B87,casostestes[#Data],4)=0,"-",VLOOKUP($B87,casostestes[#Data],4)),"-")</f>
        <v>-</v>
      </c>
      <c r="G87" s="35" t="str">
        <f>IFERROR(IF(VLOOKUP($B87,casostestes[#Data],5)=0,"-",VLOOKUP($B87,casostestes[#Data],5)),"-")</f>
        <v>-</v>
      </c>
      <c r="H87" s="35" t="str">
        <f>IFERROR(IF(VLOOKUP($B87,casostestes[#Data],6)=0,"-",VLOOKUP($B87,casostestes[#Data],6)),"-")</f>
        <v>-</v>
      </c>
      <c r="I87" s="35" t="str">
        <f>IFERROR(IF(VLOOKUP($B87,casostestes[#Data],8)=0,"-",VLOOKUP($B87,casostestes[#Data],8)),"-")</f>
        <v>-</v>
      </c>
      <c r="J87" s="35" t="str">
        <f>IFERROR(IF(VLOOKUP($B87,casostestes[#Data],9)=0,"-",VLOOKUP($B87,casostestes[#Data],9)),"-")</f>
        <v>-</v>
      </c>
      <c r="K87" s="36"/>
      <c r="L87" s="45"/>
      <c r="M87" s="37"/>
      <c r="N87" s="38"/>
      <c r="O87" s="38"/>
      <c r="P87" s="39"/>
    </row>
    <row r="88" spans="2:16">
      <c r="B88" s="40" t="str">
        <f>IF(ISERR(casostestes[[#This Row],[ID]]),"-",casostestes[[#This Row],[ID]])</f>
        <v>-</v>
      </c>
      <c r="C88" s="34" t="str">
        <f>IFERROR(IF(VLOOKUP($B88,casostestes[#Data],10)=0,"Não",VLOOKUP($B88,casostestes[#Data],10)), "-")</f>
        <v>-</v>
      </c>
      <c r="D88" s="35" t="str">
        <f>IFERROR(IF(VLOOKUP($B88,casostestes[#Data],2)=0,"-",VLOOKUP($B88,casostestes[#Data],2)), "-")</f>
        <v>-</v>
      </c>
      <c r="E88" s="35" t="str">
        <f>IFERROR(IF(VLOOKUP($B88,casostestes[#Data],3)=0,"-",VLOOKUP($B88,casostestes[#Data],3)), "-")</f>
        <v>-</v>
      </c>
      <c r="F88" s="35" t="str">
        <f>IFERROR(IF(VLOOKUP($B88,casostestes[#Data],4)=0,"-",VLOOKUP($B88,casostestes[#Data],4)),"-")</f>
        <v>-</v>
      </c>
      <c r="G88" s="35" t="str">
        <f>IFERROR(IF(VLOOKUP($B88,casostestes[#Data],5)=0,"-",VLOOKUP($B88,casostestes[#Data],5)),"-")</f>
        <v>-</v>
      </c>
      <c r="H88" s="35" t="str">
        <f>IFERROR(IF(VLOOKUP($B88,casostestes[#Data],6)=0,"-",VLOOKUP($B88,casostestes[#Data],6)),"-")</f>
        <v>-</v>
      </c>
      <c r="I88" s="35" t="str">
        <f>IFERROR(IF(VLOOKUP($B88,casostestes[#Data],8)=0,"-",VLOOKUP($B88,casostestes[#Data],8)),"-")</f>
        <v>-</v>
      </c>
      <c r="J88" s="35" t="str">
        <f>IFERROR(IF(VLOOKUP($B88,casostestes[#Data],9)=0,"-",VLOOKUP($B88,casostestes[#Data],9)),"-")</f>
        <v>-</v>
      </c>
      <c r="K88" s="36"/>
      <c r="L88" s="45"/>
      <c r="M88" s="37"/>
      <c r="N88" s="38"/>
      <c r="O88" s="38"/>
      <c r="P88" s="39"/>
    </row>
    <row r="89" spans="2:16">
      <c r="B89" s="40" t="str">
        <f>IF(ISERR(casostestes[[#This Row],[ID]]),"-",casostestes[[#This Row],[ID]])</f>
        <v>-</v>
      </c>
      <c r="C89" s="34" t="str">
        <f>IFERROR(IF(VLOOKUP($B89,casostestes[#Data],10)=0,"Não",VLOOKUP($B89,casostestes[#Data],10)), "-")</f>
        <v>-</v>
      </c>
      <c r="D89" s="35" t="str">
        <f>IFERROR(IF(VLOOKUP($B89,casostestes[#Data],2)=0,"-",VLOOKUP($B89,casostestes[#Data],2)), "-")</f>
        <v>-</v>
      </c>
      <c r="E89" s="35" t="str">
        <f>IFERROR(IF(VLOOKUP($B89,casostestes[#Data],3)=0,"-",VLOOKUP($B89,casostestes[#Data],3)), "-")</f>
        <v>-</v>
      </c>
      <c r="F89" s="35" t="str">
        <f>IFERROR(IF(VLOOKUP($B89,casostestes[#Data],4)=0,"-",VLOOKUP($B89,casostestes[#Data],4)),"-")</f>
        <v>-</v>
      </c>
      <c r="G89" s="35" t="str">
        <f>IFERROR(IF(VLOOKUP($B89,casostestes[#Data],5)=0,"-",VLOOKUP($B89,casostestes[#Data],5)),"-")</f>
        <v>-</v>
      </c>
      <c r="H89" s="35" t="str">
        <f>IFERROR(IF(VLOOKUP($B89,casostestes[#Data],6)=0,"-",VLOOKUP($B89,casostestes[#Data],6)),"-")</f>
        <v>-</v>
      </c>
      <c r="I89" s="35" t="str">
        <f>IFERROR(IF(VLOOKUP($B89,casostestes[#Data],8)=0,"-",VLOOKUP($B89,casostestes[#Data],8)),"-")</f>
        <v>-</v>
      </c>
      <c r="J89" s="35" t="str">
        <f>IFERROR(IF(VLOOKUP($B89,casostestes[#Data],9)=0,"-",VLOOKUP($B89,casostestes[#Data],9)),"-")</f>
        <v>-</v>
      </c>
      <c r="K89" s="36"/>
      <c r="L89" s="45"/>
      <c r="M89" s="37"/>
      <c r="N89" s="38"/>
      <c r="O89" s="38"/>
      <c r="P89" s="39"/>
    </row>
    <row r="90" spans="2:16">
      <c r="B90" s="40" t="str">
        <f>IF(ISERR(casostestes[[#This Row],[ID]]),"-",casostestes[[#This Row],[ID]])</f>
        <v>-</v>
      </c>
      <c r="C90" s="34" t="str">
        <f>IFERROR(IF(VLOOKUP($B90,casostestes[#Data],10)=0,"Não",VLOOKUP($B90,casostestes[#Data],10)), "-")</f>
        <v>-</v>
      </c>
      <c r="D90" s="35" t="str">
        <f>IFERROR(IF(VLOOKUP($B90,casostestes[#Data],2)=0,"-",VLOOKUP($B90,casostestes[#Data],2)), "-")</f>
        <v>-</v>
      </c>
      <c r="E90" s="35" t="str">
        <f>IFERROR(IF(VLOOKUP($B90,casostestes[#Data],3)=0,"-",VLOOKUP($B90,casostestes[#Data],3)), "-")</f>
        <v>-</v>
      </c>
      <c r="F90" s="35" t="str">
        <f>IFERROR(IF(VLOOKUP($B90,casostestes[#Data],4)=0,"-",VLOOKUP($B90,casostestes[#Data],4)),"-")</f>
        <v>-</v>
      </c>
      <c r="G90" s="35" t="str">
        <f>IFERROR(IF(VLOOKUP($B90,casostestes[#Data],5)=0,"-",VLOOKUP($B90,casostestes[#Data],5)),"-")</f>
        <v>-</v>
      </c>
      <c r="H90" s="35" t="str">
        <f>IFERROR(IF(VLOOKUP($B90,casostestes[#Data],6)=0,"-",VLOOKUP($B90,casostestes[#Data],6)),"-")</f>
        <v>-</v>
      </c>
      <c r="I90" s="35" t="str">
        <f>IFERROR(IF(VLOOKUP($B90,casostestes[#Data],8)=0,"-",VLOOKUP($B90,casostestes[#Data],8)),"-")</f>
        <v>-</v>
      </c>
      <c r="J90" s="35" t="str">
        <f>IFERROR(IF(VLOOKUP($B90,casostestes[#Data],9)=0,"-",VLOOKUP($B90,casostestes[#Data],9)),"-")</f>
        <v>-</v>
      </c>
      <c r="K90" s="36"/>
      <c r="L90" s="45"/>
      <c r="M90" s="37"/>
      <c r="N90" s="38"/>
      <c r="O90" s="38"/>
      <c r="P90" s="39"/>
    </row>
    <row r="91" spans="2:16">
      <c r="B91" s="40" t="str">
        <f>IF(ISERR(casostestes[[#This Row],[ID]]),"-",casostestes[[#This Row],[ID]])</f>
        <v>-</v>
      </c>
      <c r="C91" s="34" t="str">
        <f>IFERROR(IF(VLOOKUP($B91,casostestes[#Data],10)=0,"Não",VLOOKUP($B91,casostestes[#Data],10)), "-")</f>
        <v>-</v>
      </c>
      <c r="D91" s="35" t="str">
        <f>IFERROR(IF(VLOOKUP($B91,casostestes[#Data],2)=0,"-",VLOOKUP($B91,casostestes[#Data],2)), "-")</f>
        <v>-</v>
      </c>
      <c r="E91" s="35" t="str">
        <f>IFERROR(IF(VLOOKUP($B91,casostestes[#Data],3)=0,"-",VLOOKUP($B91,casostestes[#Data],3)), "-")</f>
        <v>-</v>
      </c>
      <c r="F91" s="35" t="str">
        <f>IFERROR(IF(VLOOKUP($B91,casostestes[#Data],4)=0,"-",VLOOKUP($B91,casostestes[#Data],4)),"-")</f>
        <v>-</v>
      </c>
      <c r="G91" s="35" t="str">
        <f>IFERROR(IF(VLOOKUP($B91,casostestes[#Data],5)=0,"-",VLOOKUP($B91,casostestes[#Data],5)),"-")</f>
        <v>-</v>
      </c>
      <c r="H91" s="35" t="str">
        <f>IFERROR(IF(VLOOKUP($B91,casostestes[#Data],6)=0,"-",VLOOKUP($B91,casostestes[#Data],6)),"-")</f>
        <v>-</v>
      </c>
      <c r="I91" s="35" t="str">
        <f>IFERROR(IF(VLOOKUP($B91,casostestes[#Data],8)=0,"-",VLOOKUP($B91,casostestes[#Data],8)),"-")</f>
        <v>-</v>
      </c>
      <c r="J91" s="35" t="str">
        <f>IFERROR(IF(VLOOKUP($B91,casostestes[#Data],9)=0,"-",VLOOKUP($B91,casostestes[#Data],9)),"-")</f>
        <v>-</v>
      </c>
      <c r="K91" s="36"/>
      <c r="L91" s="45"/>
      <c r="M91" s="37"/>
      <c r="N91" s="38"/>
      <c r="O91" s="38"/>
      <c r="P91" s="39"/>
    </row>
    <row r="92" spans="2:16">
      <c r="B92" s="40" t="str">
        <f>IF(ISERR(casostestes[[#This Row],[ID]]),"-",casostestes[[#This Row],[ID]])</f>
        <v>-</v>
      </c>
      <c r="C92" s="34" t="str">
        <f>IFERROR(IF(VLOOKUP($B92,casostestes[#Data],10)=0,"Não",VLOOKUP($B92,casostestes[#Data],10)), "-")</f>
        <v>-</v>
      </c>
      <c r="D92" s="35" t="str">
        <f>IFERROR(IF(VLOOKUP($B92,casostestes[#Data],2)=0,"-",VLOOKUP($B92,casostestes[#Data],2)), "-")</f>
        <v>-</v>
      </c>
      <c r="E92" s="35" t="str">
        <f>IFERROR(IF(VLOOKUP($B92,casostestes[#Data],3)=0,"-",VLOOKUP($B92,casostestes[#Data],3)), "-")</f>
        <v>-</v>
      </c>
      <c r="F92" s="35" t="str">
        <f>IFERROR(IF(VLOOKUP($B92,casostestes[#Data],4)=0,"-",VLOOKUP($B92,casostestes[#Data],4)),"-")</f>
        <v>-</v>
      </c>
      <c r="G92" s="35" t="str">
        <f>IFERROR(IF(VLOOKUP($B92,casostestes[#Data],5)=0,"-",VLOOKUP($B92,casostestes[#Data],5)),"-")</f>
        <v>-</v>
      </c>
      <c r="H92" s="35" t="str">
        <f>IFERROR(IF(VLOOKUP($B92,casostestes[#Data],6)=0,"-",VLOOKUP($B92,casostestes[#Data],6)),"-")</f>
        <v>-</v>
      </c>
      <c r="I92" s="35" t="str">
        <f>IFERROR(IF(VLOOKUP($B92,casostestes[#Data],8)=0,"-",VLOOKUP($B92,casostestes[#Data],8)),"-")</f>
        <v>-</v>
      </c>
      <c r="J92" s="35" t="str">
        <f>IFERROR(IF(VLOOKUP($B92,casostestes[#Data],9)=0,"-",VLOOKUP($B92,casostestes[#Data],9)),"-")</f>
        <v>-</v>
      </c>
      <c r="K92" s="36"/>
      <c r="L92" s="45"/>
      <c r="M92" s="37"/>
      <c r="N92" s="38"/>
      <c r="O92" s="38"/>
      <c r="P92" s="39"/>
    </row>
    <row r="93" spans="2:16">
      <c r="B93" s="40" t="str">
        <f>IF(ISERR(casostestes[[#This Row],[ID]]),"-",casostestes[[#This Row],[ID]])</f>
        <v>-</v>
      </c>
      <c r="C93" s="34" t="str">
        <f>IFERROR(IF(VLOOKUP($B93,casostestes[#Data],10)=0,"Não",VLOOKUP($B93,casostestes[#Data],10)), "-")</f>
        <v>-</v>
      </c>
      <c r="D93" s="35" t="str">
        <f>IFERROR(IF(VLOOKUP($B93,casostestes[#Data],2)=0,"-",VLOOKUP($B93,casostestes[#Data],2)), "-")</f>
        <v>-</v>
      </c>
      <c r="E93" s="35" t="str">
        <f>IFERROR(IF(VLOOKUP($B93,casostestes[#Data],3)=0,"-",VLOOKUP($B93,casostestes[#Data],3)), "-")</f>
        <v>-</v>
      </c>
      <c r="F93" s="35" t="str">
        <f>IFERROR(IF(VLOOKUP($B93,casostestes[#Data],4)=0,"-",VLOOKUP($B93,casostestes[#Data],4)),"-")</f>
        <v>-</v>
      </c>
      <c r="G93" s="35" t="str">
        <f>IFERROR(IF(VLOOKUP($B93,casostestes[#Data],5)=0,"-",VLOOKUP($B93,casostestes[#Data],5)),"-")</f>
        <v>-</v>
      </c>
      <c r="H93" s="35" t="str">
        <f>IFERROR(IF(VLOOKUP($B93,casostestes[#Data],6)=0,"-",VLOOKUP($B93,casostestes[#Data],6)),"-")</f>
        <v>-</v>
      </c>
      <c r="I93" s="35" t="str">
        <f>IFERROR(IF(VLOOKUP($B93,casostestes[#Data],8)=0,"-",VLOOKUP($B93,casostestes[#Data],8)),"-")</f>
        <v>-</v>
      </c>
      <c r="J93" s="35" t="str">
        <f>IFERROR(IF(VLOOKUP($B93,casostestes[#Data],9)=0,"-",VLOOKUP($B93,casostestes[#Data],9)),"-")</f>
        <v>-</v>
      </c>
      <c r="K93" s="36"/>
      <c r="L93" s="45"/>
      <c r="M93" s="37"/>
      <c r="N93" s="38"/>
      <c r="O93" s="38"/>
      <c r="P93" s="39"/>
    </row>
    <row r="94" spans="2:16">
      <c r="B94" s="40" t="str">
        <f>IF(ISERR(casostestes[[#This Row],[ID]]),"-",casostestes[[#This Row],[ID]])</f>
        <v>-</v>
      </c>
      <c r="C94" s="34" t="str">
        <f>IFERROR(IF(VLOOKUP($B94,casostestes[#Data],10)=0,"Não",VLOOKUP($B94,casostestes[#Data],10)), "-")</f>
        <v>-</v>
      </c>
      <c r="D94" s="35" t="str">
        <f>IFERROR(IF(VLOOKUP($B94,casostestes[#Data],2)=0,"-",VLOOKUP($B94,casostestes[#Data],2)), "-")</f>
        <v>-</v>
      </c>
      <c r="E94" s="35" t="str">
        <f>IFERROR(IF(VLOOKUP($B94,casostestes[#Data],3)=0,"-",VLOOKUP($B94,casostestes[#Data],3)), "-")</f>
        <v>-</v>
      </c>
      <c r="F94" s="35" t="str">
        <f>IFERROR(IF(VLOOKUP($B94,casostestes[#Data],4)=0,"-",VLOOKUP($B94,casostestes[#Data],4)),"-")</f>
        <v>-</v>
      </c>
      <c r="G94" s="35" t="str">
        <f>IFERROR(IF(VLOOKUP($B94,casostestes[#Data],5)=0,"-",VLOOKUP($B94,casostestes[#Data],5)),"-")</f>
        <v>-</v>
      </c>
      <c r="H94" s="35" t="str">
        <f>IFERROR(IF(VLOOKUP($B94,casostestes[#Data],6)=0,"-",VLOOKUP($B94,casostestes[#Data],6)),"-")</f>
        <v>-</v>
      </c>
      <c r="I94" s="35" t="str">
        <f>IFERROR(IF(VLOOKUP($B94,casostestes[#Data],8)=0,"-",VLOOKUP($B94,casostestes[#Data],8)),"-")</f>
        <v>-</v>
      </c>
      <c r="J94" s="35" t="str">
        <f>IFERROR(IF(VLOOKUP($B94,casostestes[#Data],9)=0,"-",VLOOKUP($B94,casostestes[#Data],9)),"-")</f>
        <v>-</v>
      </c>
      <c r="K94" s="36"/>
      <c r="L94" s="45"/>
      <c r="M94" s="37"/>
      <c r="N94" s="38"/>
      <c r="O94" s="38"/>
      <c r="P94" s="39"/>
    </row>
    <row r="95" spans="2:16">
      <c r="B95" s="40" t="str">
        <f>IF(ISERR(casostestes[[#This Row],[ID]]),"-",casostestes[[#This Row],[ID]])</f>
        <v>-</v>
      </c>
      <c r="C95" s="34" t="str">
        <f>IFERROR(IF(VLOOKUP($B95,casostestes[#Data],10)=0,"Não",VLOOKUP($B95,casostestes[#Data],10)), "-")</f>
        <v>-</v>
      </c>
      <c r="D95" s="35" t="str">
        <f>IFERROR(IF(VLOOKUP($B95,casostestes[#Data],2)=0,"-",VLOOKUP($B95,casostestes[#Data],2)), "-")</f>
        <v>-</v>
      </c>
      <c r="E95" s="35" t="str">
        <f>IFERROR(IF(VLOOKUP($B95,casostestes[#Data],3)=0,"-",VLOOKUP($B95,casostestes[#Data],3)), "-")</f>
        <v>-</v>
      </c>
      <c r="F95" s="35" t="str">
        <f>IFERROR(IF(VLOOKUP($B95,casostestes[#Data],4)=0,"-",VLOOKUP($B95,casostestes[#Data],4)),"-")</f>
        <v>-</v>
      </c>
      <c r="G95" s="35" t="str">
        <f>IFERROR(IF(VLOOKUP($B95,casostestes[#Data],5)=0,"-",VLOOKUP($B95,casostestes[#Data],5)),"-")</f>
        <v>-</v>
      </c>
      <c r="H95" s="35" t="str">
        <f>IFERROR(IF(VLOOKUP($B95,casostestes[#Data],6)=0,"-",VLOOKUP($B95,casostestes[#Data],6)),"-")</f>
        <v>-</v>
      </c>
      <c r="I95" s="35" t="str">
        <f>IFERROR(IF(VLOOKUP($B95,casostestes[#Data],8)=0,"-",VLOOKUP($B95,casostestes[#Data],8)),"-")</f>
        <v>-</v>
      </c>
      <c r="J95" s="35" t="str">
        <f>IFERROR(IF(VLOOKUP($B95,casostestes[#Data],9)=0,"-",VLOOKUP($B95,casostestes[#Data],9)),"-")</f>
        <v>-</v>
      </c>
      <c r="K95" s="36"/>
      <c r="L95" s="45"/>
      <c r="M95" s="37"/>
      <c r="N95" s="38"/>
      <c r="O95" s="38"/>
      <c r="P95" s="39"/>
    </row>
    <row r="96" spans="2:16">
      <c r="B96" s="40" t="str">
        <f>IF(ISERR(casostestes[[#This Row],[ID]]),"-",casostestes[[#This Row],[ID]])</f>
        <v>-</v>
      </c>
      <c r="C96" s="34" t="str">
        <f>IFERROR(IF(VLOOKUP($B96,casostestes[#Data],10)=0,"Não",VLOOKUP($B96,casostestes[#Data],10)), "-")</f>
        <v>-</v>
      </c>
      <c r="D96" s="35" t="str">
        <f>IFERROR(IF(VLOOKUP($B96,casostestes[#Data],2)=0,"-",VLOOKUP($B96,casostestes[#Data],2)), "-")</f>
        <v>-</v>
      </c>
      <c r="E96" s="35" t="str">
        <f>IFERROR(IF(VLOOKUP($B96,casostestes[#Data],3)=0,"-",VLOOKUP($B96,casostestes[#Data],3)), "-")</f>
        <v>-</v>
      </c>
      <c r="F96" s="35" t="str">
        <f>IFERROR(IF(VLOOKUP($B96,casostestes[#Data],4)=0,"-",VLOOKUP($B96,casostestes[#Data],4)),"-")</f>
        <v>-</v>
      </c>
      <c r="G96" s="35" t="str">
        <f>IFERROR(IF(VLOOKUP($B96,casostestes[#Data],5)=0,"-",VLOOKUP($B96,casostestes[#Data],5)),"-")</f>
        <v>-</v>
      </c>
      <c r="H96" s="35" t="str">
        <f>IFERROR(IF(VLOOKUP($B96,casostestes[#Data],6)=0,"-",VLOOKUP($B96,casostestes[#Data],6)),"-")</f>
        <v>-</v>
      </c>
      <c r="I96" s="35" t="str">
        <f>IFERROR(IF(VLOOKUP($B96,casostestes[#Data],8)=0,"-",VLOOKUP($B96,casostestes[#Data],8)),"-")</f>
        <v>-</v>
      </c>
      <c r="J96" s="35" t="str">
        <f>IFERROR(IF(VLOOKUP($B96,casostestes[#Data],9)=0,"-",VLOOKUP($B96,casostestes[#Data],9)),"-")</f>
        <v>-</v>
      </c>
      <c r="K96" s="36"/>
      <c r="L96" s="45"/>
      <c r="M96" s="37"/>
      <c r="N96" s="38"/>
      <c r="O96" s="38"/>
      <c r="P96" s="39"/>
    </row>
    <row r="97" spans="2:16">
      <c r="B97" s="40" t="str">
        <f>IF(ISERR(casostestes[[#This Row],[ID]]),"-",casostestes[[#This Row],[ID]])</f>
        <v>-</v>
      </c>
      <c r="C97" s="34" t="str">
        <f>IFERROR(IF(VLOOKUP($B97,casostestes[#Data],10)=0,"Não",VLOOKUP($B97,casostestes[#Data],10)), "-")</f>
        <v>-</v>
      </c>
      <c r="D97" s="35" t="str">
        <f>IFERROR(IF(VLOOKUP($B97,casostestes[#Data],2)=0,"-",VLOOKUP($B97,casostestes[#Data],2)), "-")</f>
        <v>-</v>
      </c>
      <c r="E97" s="35" t="str">
        <f>IFERROR(IF(VLOOKUP($B97,casostestes[#Data],3)=0,"-",VLOOKUP($B97,casostestes[#Data],3)), "-")</f>
        <v>-</v>
      </c>
      <c r="F97" s="35" t="str">
        <f>IFERROR(IF(VLOOKUP($B97,casostestes[#Data],4)=0,"-",VLOOKUP($B97,casostestes[#Data],4)),"-")</f>
        <v>-</v>
      </c>
      <c r="G97" s="35" t="str">
        <f>IFERROR(IF(VLOOKUP($B97,casostestes[#Data],5)=0,"-",VLOOKUP($B97,casostestes[#Data],5)),"-")</f>
        <v>-</v>
      </c>
      <c r="H97" s="35" t="str">
        <f>IFERROR(IF(VLOOKUP($B97,casostestes[#Data],6)=0,"-",VLOOKUP($B97,casostestes[#Data],6)),"-")</f>
        <v>-</v>
      </c>
      <c r="I97" s="35" t="str">
        <f>IFERROR(IF(VLOOKUP($B97,casostestes[#Data],8)=0,"-",VLOOKUP($B97,casostestes[#Data],8)),"-")</f>
        <v>-</v>
      </c>
      <c r="J97" s="35" t="str">
        <f>IFERROR(IF(VLOOKUP($B97,casostestes[#Data],9)=0,"-",VLOOKUP($B97,casostestes[#Data],9)),"-")</f>
        <v>-</v>
      </c>
      <c r="K97" s="36"/>
      <c r="L97" s="45"/>
      <c r="M97" s="37"/>
      <c r="N97" s="38"/>
      <c r="O97" s="38"/>
      <c r="P97" s="39"/>
    </row>
    <row r="98" spans="2:16">
      <c r="B98" s="40" t="str">
        <f>IF(ISERR(casostestes[[#This Row],[ID]]),"-",casostestes[[#This Row],[ID]])</f>
        <v>-</v>
      </c>
      <c r="C98" s="34" t="str">
        <f>IFERROR(IF(VLOOKUP($B98,casostestes[#Data],10)=0,"Não",VLOOKUP($B98,casostestes[#Data],10)), "-")</f>
        <v>-</v>
      </c>
      <c r="D98" s="35" t="str">
        <f>IFERROR(IF(VLOOKUP($B98,casostestes[#Data],2)=0,"-",VLOOKUP($B98,casostestes[#Data],2)), "-")</f>
        <v>-</v>
      </c>
      <c r="E98" s="35" t="str">
        <f>IFERROR(IF(VLOOKUP($B98,casostestes[#Data],3)=0,"-",VLOOKUP($B98,casostestes[#Data],3)), "-")</f>
        <v>-</v>
      </c>
      <c r="F98" s="35" t="str">
        <f>IFERROR(IF(VLOOKUP($B98,casostestes[#Data],4)=0,"-",VLOOKUP($B98,casostestes[#Data],4)),"-")</f>
        <v>-</v>
      </c>
      <c r="G98" s="35" t="str">
        <f>IFERROR(IF(VLOOKUP($B98,casostestes[#Data],5)=0,"-",VLOOKUP($B98,casostestes[#Data],5)),"-")</f>
        <v>-</v>
      </c>
      <c r="H98" s="35" t="str">
        <f>IFERROR(IF(VLOOKUP($B98,casostestes[#Data],6)=0,"-",VLOOKUP($B98,casostestes[#Data],6)),"-")</f>
        <v>-</v>
      </c>
      <c r="I98" s="35" t="str">
        <f>IFERROR(IF(VLOOKUP($B98,casostestes[#Data],8)=0,"-",VLOOKUP($B98,casostestes[#Data],8)),"-")</f>
        <v>-</v>
      </c>
      <c r="J98" s="35" t="str">
        <f>IFERROR(IF(VLOOKUP($B98,casostestes[#Data],9)=0,"-",VLOOKUP($B98,casostestes[#Data],9)),"-")</f>
        <v>-</v>
      </c>
      <c r="K98" s="36"/>
      <c r="L98" s="45"/>
      <c r="M98" s="37"/>
      <c r="N98" s="38"/>
      <c r="O98" s="38"/>
      <c r="P98" s="39"/>
    </row>
    <row r="99" spans="2:16">
      <c r="B99" s="40" t="str">
        <f>IF(ISERR(casostestes[[#This Row],[ID]]),"-",casostestes[[#This Row],[ID]])</f>
        <v>-</v>
      </c>
      <c r="C99" s="34" t="str">
        <f>IFERROR(IF(VLOOKUP($B99,casostestes[#Data],10)=0,"Não",VLOOKUP($B99,casostestes[#Data],10)), "-")</f>
        <v>-</v>
      </c>
      <c r="D99" s="35" t="str">
        <f>IFERROR(IF(VLOOKUP($B99,casostestes[#Data],2)=0,"-",VLOOKUP($B99,casostestes[#Data],2)), "-")</f>
        <v>-</v>
      </c>
      <c r="E99" s="35" t="str">
        <f>IFERROR(IF(VLOOKUP($B99,casostestes[#Data],3)=0,"-",VLOOKUP($B99,casostestes[#Data],3)), "-")</f>
        <v>-</v>
      </c>
      <c r="F99" s="35" t="str">
        <f>IFERROR(IF(VLOOKUP($B99,casostestes[#Data],4)=0,"-",VLOOKUP($B99,casostestes[#Data],4)),"-")</f>
        <v>-</v>
      </c>
      <c r="G99" s="35" t="str">
        <f>IFERROR(IF(VLOOKUP($B99,casostestes[#Data],5)=0,"-",VLOOKUP($B99,casostestes[#Data],5)),"-")</f>
        <v>-</v>
      </c>
      <c r="H99" s="35" t="str">
        <f>IFERROR(IF(VLOOKUP($B99,casostestes[#Data],6)=0,"-",VLOOKUP($B99,casostestes[#Data],6)),"-")</f>
        <v>-</v>
      </c>
      <c r="I99" s="35" t="str">
        <f>IFERROR(IF(VLOOKUP($B99,casostestes[#Data],8)=0,"-",VLOOKUP($B99,casostestes[#Data],8)),"-")</f>
        <v>-</v>
      </c>
      <c r="J99" s="35" t="str">
        <f>IFERROR(IF(VLOOKUP($B99,casostestes[#Data],9)=0,"-",VLOOKUP($B99,casostestes[#Data],9)),"-")</f>
        <v>-</v>
      </c>
      <c r="K99" s="36"/>
      <c r="L99" s="45"/>
      <c r="M99" s="37"/>
      <c r="N99" s="38"/>
      <c r="O99" s="38"/>
      <c r="P99" s="39"/>
    </row>
    <row r="100" spans="2:16">
      <c r="B100" s="40" t="str">
        <f>IF(ISERR(casostestes[[#This Row],[ID]]),"-",casostestes[[#This Row],[ID]])</f>
        <v>-</v>
      </c>
      <c r="C100" s="41" t="str">
        <f>IFERROR(IF(VLOOKUP($B100,casostestes[#Data],10)=0,"Não",VLOOKUP($B100,casostestes[#Data],10)), "-")</f>
        <v>-</v>
      </c>
      <c r="D100" s="42" t="str">
        <f>IFERROR(IF(VLOOKUP($B100,casostestes[#Data],2)=0,"-",VLOOKUP($B100,casostestes[#Data],2)), "-")</f>
        <v>-</v>
      </c>
      <c r="E100" s="42" t="str">
        <f>IFERROR(IF(VLOOKUP($B100,casostestes[#Data],3)=0,"-",VLOOKUP($B100,casostestes[#Data],3)), "-")</f>
        <v>-</v>
      </c>
      <c r="F100" s="42" t="str">
        <f>IFERROR(IF(VLOOKUP($B100,casostestes[#Data],4)=0,"-",VLOOKUP($B100,casostestes[#Data],4)),"-")</f>
        <v>-</v>
      </c>
      <c r="G100" s="42" t="str">
        <f>IFERROR(IF(VLOOKUP($B100,casostestes[#Data],5)=0,"-",VLOOKUP($B100,casostestes[#Data],5)),"-")</f>
        <v>-</v>
      </c>
      <c r="H100" s="42" t="str">
        <f>IFERROR(IF(VLOOKUP($B100,casostestes[#Data],6)=0,"-",VLOOKUP($B100,casostestes[#Data],6)),"-")</f>
        <v>-</v>
      </c>
      <c r="I100" s="42" t="str">
        <f>IFERROR(IF(VLOOKUP($B100,casostestes[#Data],8)=0,"-",VLOOKUP($B100,casostestes[#Data],8)),"-")</f>
        <v>-</v>
      </c>
      <c r="J100" s="42" t="str">
        <f>IFERROR(IF(VLOOKUP($B100,casostestes[#Data],9)=0,"-",VLOOKUP($B100,casostestes[#Data],9)),"-")</f>
        <v>-</v>
      </c>
      <c r="K100" s="43"/>
      <c r="L100" s="45"/>
      <c r="M100" s="44"/>
      <c r="N100" s="45"/>
      <c r="O100" s="45"/>
      <c r="P100" s="46"/>
    </row>
    <row r="101" spans="2:16">
      <c r="B101" s="40" t="str">
        <f>IF(ISERR(casostestes[[#This Row],[ID]]),"-",casostestes[[#This Row],[ID]])</f>
        <v>-</v>
      </c>
      <c r="C101" s="34" t="str">
        <f>IFERROR(IF(VLOOKUP($B101,casostestes[#Data],10)=0,"Não",VLOOKUP($B101,casostestes[#Data],10)), "-")</f>
        <v>-</v>
      </c>
      <c r="D101" s="35" t="str">
        <f>IFERROR(IF(VLOOKUP($B101,casostestes[#Data],2)=0,"-",VLOOKUP($B101,casostestes[#Data],2)), "-")</f>
        <v>-</v>
      </c>
      <c r="E101" s="35" t="str">
        <f>IFERROR(IF(VLOOKUP($B101,casostestes[#Data],3)=0,"-",VLOOKUP($B101,casostestes[#Data],3)), "-")</f>
        <v>-</v>
      </c>
      <c r="F101" s="35" t="str">
        <f>IFERROR(IF(VLOOKUP($B101,casostestes[#Data],4)=0,"-",VLOOKUP($B101,casostestes[#Data],4)),"-")</f>
        <v>-</v>
      </c>
      <c r="G101" s="35" t="str">
        <f>IFERROR(IF(VLOOKUP($B101,casostestes[#Data],5)=0,"-",VLOOKUP($B101,casostestes[#Data],5)),"-")</f>
        <v>-</v>
      </c>
      <c r="H101" s="35" t="str">
        <f>IFERROR(IF(VLOOKUP($B101,casostestes[#Data],6)=0,"-",VLOOKUP($B101,casostestes[#Data],6)),"-")</f>
        <v>-</v>
      </c>
      <c r="I101" s="35" t="str">
        <f>IFERROR(IF(VLOOKUP($B101,casostestes[#Data],8)=0,"-",VLOOKUP($B101,casostestes[#Data],8)),"-")</f>
        <v>-</v>
      </c>
      <c r="J101" s="35" t="str">
        <f>IFERROR(IF(VLOOKUP($B101,casostestes[#Data],9)=0,"-",VLOOKUP($B101,casostestes[#Data],9)),"-")</f>
        <v>-</v>
      </c>
      <c r="K101" s="36"/>
      <c r="L101" s="45"/>
      <c r="M101" s="37"/>
      <c r="N101" s="38"/>
      <c r="O101" s="38"/>
      <c r="P101" s="39"/>
    </row>
    <row r="102" spans="2:16">
      <c r="B102" s="40" t="str">
        <f>IF(ISERR(casostestes[[#This Row],[ID]]),"-",casostestes[[#This Row],[ID]])</f>
        <v>-</v>
      </c>
      <c r="C102" s="34" t="str">
        <f>IFERROR(IF(VLOOKUP($B102,casostestes[#Data],10)=0,"Não",VLOOKUP($B102,casostestes[#Data],10)), "-")</f>
        <v>-</v>
      </c>
      <c r="D102" s="35" t="str">
        <f>IFERROR(IF(VLOOKUP($B102,casostestes[#Data],2)=0,"-",VLOOKUP($B102,casostestes[#Data],2)), "-")</f>
        <v>-</v>
      </c>
      <c r="E102" s="35" t="str">
        <f>IFERROR(IF(VLOOKUP($B102,casostestes[#Data],3)=0,"-",VLOOKUP($B102,casostestes[#Data],3)), "-")</f>
        <v>-</v>
      </c>
      <c r="F102" s="35" t="str">
        <f>IFERROR(IF(VLOOKUP($B102,casostestes[#Data],4)=0,"-",VLOOKUP($B102,casostestes[#Data],4)),"-")</f>
        <v>-</v>
      </c>
      <c r="G102" s="35" t="str">
        <f>IFERROR(IF(VLOOKUP($B102,casostestes[#Data],5)=0,"-",VLOOKUP($B102,casostestes[#Data],5)),"-")</f>
        <v>-</v>
      </c>
      <c r="H102" s="35" t="str">
        <f>IFERROR(IF(VLOOKUP($B102,casostestes[#Data],6)=0,"-",VLOOKUP($B102,casostestes[#Data],6)),"-")</f>
        <v>-</v>
      </c>
      <c r="I102" s="35" t="str">
        <f>IFERROR(IF(VLOOKUP($B102,casostestes[#Data],8)=0,"-",VLOOKUP($B102,casostestes[#Data],8)),"-")</f>
        <v>-</v>
      </c>
      <c r="J102" s="35" t="str">
        <f>IFERROR(IF(VLOOKUP($B102,casostestes[#Data],9)=0,"-",VLOOKUP($B102,casostestes[#Data],9)),"-")</f>
        <v>-</v>
      </c>
      <c r="K102" s="36"/>
      <c r="L102" s="45"/>
      <c r="M102" s="37"/>
      <c r="N102" s="38"/>
      <c r="O102" s="38"/>
      <c r="P102" s="39"/>
    </row>
    <row r="103" spans="2:16">
      <c r="B103" s="40" t="str">
        <f>IF(ISERR(casostestes[[#This Row],[ID]]),"-",casostestes[[#This Row],[ID]])</f>
        <v>-</v>
      </c>
      <c r="C103" s="34" t="str">
        <f>IFERROR(IF(VLOOKUP($B103,casostestes[#Data],10)=0,"Não",VLOOKUP($B103,casostestes[#Data],10)), "-")</f>
        <v>-</v>
      </c>
      <c r="D103" s="35" t="str">
        <f>IFERROR(IF(VLOOKUP($B103,casostestes[#Data],2)=0,"-",VLOOKUP($B103,casostestes[#Data],2)), "-")</f>
        <v>-</v>
      </c>
      <c r="E103" s="35" t="str">
        <f>IFERROR(IF(VLOOKUP($B103,casostestes[#Data],3)=0,"-",VLOOKUP($B103,casostestes[#Data],3)), "-")</f>
        <v>-</v>
      </c>
      <c r="F103" s="35" t="str">
        <f>IFERROR(IF(VLOOKUP($B103,casostestes[#Data],4)=0,"-",VLOOKUP($B103,casostestes[#Data],4)),"-")</f>
        <v>-</v>
      </c>
      <c r="G103" s="35" t="str">
        <f>IFERROR(IF(VLOOKUP($B103,casostestes[#Data],5)=0,"-",VLOOKUP($B103,casostestes[#Data],5)),"-")</f>
        <v>-</v>
      </c>
      <c r="H103" s="35" t="str">
        <f>IFERROR(IF(VLOOKUP($B103,casostestes[#Data],6)=0,"-",VLOOKUP($B103,casostestes[#Data],6)),"-")</f>
        <v>-</v>
      </c>
      <c r="I103" s="35" t="str">
        <f>IFERROR(IF(VLOOKUP($B103,casostestes[#Data],8)=0,"-",VLOOKUP($B103,casostestes[#Data],8)),"-")</f>
        <v>-</v>
      </c>
      <c r="J103" s="35" t="str">
        <f>IFERROR(IF(VLOOKUP($B103,casostestes[#Data],9)=0,"-",VLOOKUP($B103,casostestes[#Data],9)),"-")</f>
        <v>-</v>
      </c>
      <c r="K103" s="36"/>
      <c r="L103" s="45"/>
      <c r="M103" s="37"/>
      <c r="N103" s="38"/>
      <c r="O103" s="38"/>
      <c r="P103" s="39"/>
    </row>
    <row r="104" spans="2:16">
      <c r="B104" s="40" t="str">
        <f>IF(ISERR(casostestes[[#This Row],[ID]]),"-",casostestes[[#This Row],[ID]])</f>
        <v>-</v>
      </c>
      <c r="C104" s="34" t="str">
        <f>IFERROR(IF(VLOOKUP($B104,casostestes[#Data],10)=0,"Não",VLOOKUP($B104,casostestes[#Data],10)), "-")</f>
        <v>-</v>
      </c>
      <c r="D104" s="35" t="str">
        <f>IFERROR(IF(VLOOKUP($B104,casostestes[#Data],2)=0,"-",VLOOKUP($B104,casostestes[#Data],2)), "-")</f>
        <v>-</v>
      </c>
      <c r="E104" s="35" t="str">
        <f>IFERROR(IF(VLOOKUP($B104,casostestes[#Data],3)=0,"-",VLOOKUP($B104,casostestes[#Data],3)), "-")</f>
        <v>-</v>
      </c>
      <c r="F104" s="35" t="str">
        <f>IFERROR(IF(VLOOKUP($B104,casostestes[#Data],4)=0,"-",VLOOKUP($B104,casostestes[#Data],4)),"-")</f>
        <v>-</v>
      </c>
      <c r="G104" s="35" t="str">
        <f>IFERROR(IF(VLOOKUP($B104,casostestes[#Data],5)=0,"-",VLOOKUP($B104,casostestes[#Data],5)),"-")</f>
        <v>-</v>
      </c>
      <c r="H104" s="35" t="str">
        <f>IFERROR(IF(VLOOKUP($B104,casostestes[#Data],6)=0,"-",VLOOKUP($B104,casostestes[#Data],6)),"-")</f>
        <v>-</v>
      </c>
      <c r="I104" s="35" t="str">
        <f>IFERROR(IF(VLOOKUP($B104,casostestes[#Data],8)=0,"-",VLOOKUP($B104,casostestes[#Data],8)),"-")</f>
        <v>-</v>
      </c>
      <c r="J104" s="35" t="str">
        <f>IFERROR(IF(VLOOKUP($B104,casostestes[#Data],9)=0,"-",VLOOKUP($B104,casostestes[#Data],9)),"-")</f>
        <v>-</v>
      </c>
      <c r="K104" s="36"/>
      <c r="L104" s="45"/>
      <c r="M104" s="37"/>
      <c r="N104" s="38"/>
      <c r="O104" s="38"/>
      <c r="P104" s="39"/>
    </row>
    <row r="105" spans="2:16">
      <c r="B105" s="40" t="str">
        <f>IF(ISERR(casostestes[[#This Row],[ID]]),"-",casostestes[[#This Row],[ID]])</f>
        <v>-</v>
      </c>
      <c r="C105" s="34" t="str">
        <f>IFERROR(IF(VLOOKUP($B105,casostestes[#Data],10)=0,"Não",VLOOKUP($B105,casostestes[#Data],10)), "-")</f>
        <v>-</v>
      </c>
      <c r="D105" s="35" t="str">
        <f>IFERROR(IF(VLOOKUP($B105,casostestes[#Data],2)=0,"-",VLOOKUP($B105,casostestes[#Data],2)), "-")</f>
        <v>-</v>
      </c>
      <c r="E105" s="35" t="str">
        <f>IFERROR(IF(VLOOKUP($B105,casostestes[#Data],3)=0,"-",VLOOKUP($B105,casostestes[#Data],3)), "-")</f>
        <v>-</v>
      </c>
      <c r="F105" s="35" t="str">
        <f>IFERROR(IF(VLOOKUP($B105,casostestes[#Data],4)=0,"-",VLOOKUP($B105,casostestes[#Data],4)),"-")</f>
        <v>-</v>
      </c>
      <c r="G105" s="35" t="str">
        <f>IFERROR(IF(VLOOKUP($B105,casostestes[#Data],5)=0,"-",VLOOKUP($B105,casostestes[#Data],5)),"-")</f>
        <v>-</v>
      </c>
      <c r="H105" s="35" t="str">
        <f>IFERROR(IF(VLOOKUP($B105,casostestes[#Data],6)=0,"-",VLOOKUP($B105,casostestes[#Data],6)),"-")</f>
        <v>-</v>
      </c>
      <c r="I105" s="35" t="str">
        <f>IFERROR(IF(VLOOKUP($B105,casostestes[#Data],8)=0,"-",VLOOKUP($B105,casostestes[#Data],8)),"-")</f>
        <v>-</v>
      </c>
      <c r="J105" s="35" t="str">
        <f>IFERROR(IF(VLOOKUP($B105,casostestes[#Data],9)=0,"-",VLOOKUP($B105,casostestes[#Data],9)),"-")</f>
        <v>-</v>
      </c>
      <c r="K105" s="36"/>
      <c r="L105" s="45"/>
      <c r="M105" s="37"/>
      <c r="N105" s="38"/>
      <c r="O105" s="38"/>
      <c r="P105" s="39"/>
    </row>
    <row r="106" spans="2:16">
      <c r="B106" s="40" t="str">
        <f>IF(ISERR(casostestes[[#This Row],[ID]]),"-",casostestes[[#This Row],[ID]])</f>
        <v>-</v>
      </c>
      <c r="C106" s="34" t="str">
        <f>IFERROR(IF(VLOOKUP($B106,casostestes[#Data],10)=0,"Não",VLOOKUP($B106,casostestes[#Data],10)), "-")</f>
        <v>-</v>
      </c>
      <c r="D106" s="35" t="str">
        <f>IFERROR(IF(VLOOKUP($B106,casostestes[#Data],2)=0,"-",VLOOKUP($B106,casostestes[#Data],2)), "-")</f>
        <v>-</v>
      </c>
      <c r="E106" s="35" t="str">
        <f>IFERROR(IF(VLOOKUP($B106,casostestes[#Data],3)=0,"-",VLOOKUP($B106,casostestes[#Data],3)), "-")</f>
        <v>-</v>
      </c>
      <c r="F106" s="35" t="str">
        <f>IFERROR(IF(VLOOKUP($B106,casostestes[#Data],4)=0,"-",VLOOKUP($B106,casostestes[#Data],4)),"-")</f>
        <v>-</v>
      </c>
      <c r="G106" s="35" t="str">
        <f>IFERROR(IF(VLOOKUP($B106,casostestes[#Data],5)=0,"-",VLOOKUP($B106,casostestes[#Data],5)),"-")</f>
        <v>-</v>
      </c>
      <c r="H106" s="35" t="str">
        <f>IFERROR(IF(VLOOKUP($B106,casostestes[#Data],6)=0,"-",VLOOKUP($B106,casostestes[#Data],6)),"-")</f>
        <v>-</v>
      </c>
      <c r="I106" s="35" t="str">
        <f>IFERROR(IF(VLOOKUP($B106,casostestes[#Data],8)=0,"-",VLOOKUP($B106,casostestes[#Data],8)),"-")</f>
        <v>-</v>
      </c>
      <c r="J106" s="35" t="str">
        <f>IFERROR(IF(VLOOKUP($B106,casostestes[#Data],9)=0,"-",VLOOKUP($B106,casostestes[#Data],9)),"-")</f>
        <v>-</v>
      </c>
      <c r="K106" s="36"/>
      <c r="L106" s="45"/>
      <c r="M106" s="37"/>
      <c r="N106" s="38"/>
      <c r="O106" s="38"/>
      <c r="P106" s="39"/>
    </row>
    <row r="107" spans="2:16">
      <c r="B107" s="40" t="str">
        <f>IF(ISERR(casostestes[[#This Row],[ID]]),"-",casostestes[[#This Row],[ID]])</f>
        <v>-</v>
      </c>
      <c r="C107" s="34" t="str">
        <f>IFERROR(IF(VLOOKUP($B107,casostestes[#Data],10)=0,"Não",VLOOKUP($B107,casostestes[#Data],10)), "-")</f>
        <v>-</v>
      </c>
      <c r="D107" s="35" t="str">
        <f>IFERROR(IF(VLOOKUP($B107,casostestes[#Data],2)=0,"-",VLOOKUP($B107,casostestes[#Data],2)), "-")</f>
        <v>-</v>
      </c>
      <c r="E107" s="35" t="str">
        <f>IFERROR(IF(VLOOKUP($B107,casostestes[#Data],3)=0,"-",VLOOKUP($B107,casostestes[#Data],3)), "-")</f>
        <v>-</v>
      </c>
      <c r="F107" s="35" t="str">
        <f>IFERROR(IF(VLOOKUP($B107,casostestes[#Data],4)=0,"-",VLOOKUP($B107,casostestes[#Data],4)),"-")</f>
        <v>-</v>
      </c>
      <c r="G107" s="35" t="str">
        <f>IFERROR(IF(VLOOKUP($B107,casostestes[#Data],5)=0,"-",VLOOKUP($B107,casostestes[#Data],5)),"-")</f>
        <v>-</v>
      </c>
      <c r="H107" s="35" t="str">
        <f>IFERROR(IF(VLOOKUP($B107,casostestes[#Data],6)=0,"-",VLOOKUP($B107,casostestes[#Data],6)),"-")</f>
        <v>-</v>
      </c>
      <c r="I107" s="35" t="str">
        <f>IFERROR(IF(VLOOKUP($B107,casostestes[#Data],8)=0,"-",VLOOKUP($B107,casostestes[#Data],8)),"-")</f>
        <v>-</v>
      </c>
      <c r="J107" s="35" t="str">
        <f>IFERROR(IF(VLOOKUP($B107,casostestes[#Data],9)=0,"-",VLOOKUP($B107,casostestes[#Data],9)),"-")</f>
        <v>-</v>
      </c>
      <c r="K107" s="36"/>
      <c r="L107" s="45"/>
      <c r="M107" s="37"/>
      <c r="N107" s="38"/>
      <c r="O107" s="38"/>
      <c r="P107" s="39"/>
    </row>
    <row r="108" spans="2:16">
      <c r="B108" s="40" t="str">
        <f>IF(ISERR(casostestes[[#This Row],[ID]]),"-",casostestes[[#This Row],[ID]])</f>
        <v>-</v>
      </c>
      <c r="C108" s="34" t="str">
        <f>IFERROR(IF(VLOOKUP($B108,casostestes[#Data],10)=0,"Não",VLOOKUP($B108,casostestes[#Data],10)), "-")</f>
        <v>-</v>
      </c>
      <c r="D108" s="35" t="str">
        <f>IFERROR(IF(VLOOKUP($B108,casostestes[#Data],2)=0,"-",VLOOKUP($B108,casostestes[#Data],2)), "-")</f>
        <v>-</v>
      </c>
      <c r="E108" s="35" t="str">
        <f>IFERROR(IF(VLOOKUP($B108,casostestes[#Data],3)=0,"-",VLOOKUP($B108,casostestes[#Data],3)), "-")</f>
        <v>-</v>
      </c>
      <c r="F108" s="35" t="str">
        <f>IFERROR(IF(VLOOKUP($B108,casostestes[#Data],4)=0,"-",VLOOKUP($B108,casostestes[#Data],4)),"-")</f>
        <v>-</v>
      </c>
      <c r="G108" s="35" t="str">
        <f>IFERROR(IF(VLOOKUP($B108,casostestes[#Data],5)=0,"-",VLOOKUP($B108,casostestes[#Data],5)),"-")</f>
        <v>-</v>
      </c>
      <c r="H108" s="35" t="str">
        <f>IFERROR(IF(VLOOKUP($B108,casostestes[#Data],6)=0,"-",VLOOKUP($B108,casostestes[#Data],6)),"-")</f>
        <v>-</v>
      </c>
      <c r="I108" s="35" t="str">
        <f>IFERROR(IF(VLOOKUP($B108,casostestes[#Data],8)=0,"-",VLOOKUP($B108,casostestes[#Data],8)),"-")</f>
        <v>-</v>
      </c>
      <c r="J108" s="35" t="str">
        <f>IFERROR(IF(VLOOKUP($B108,casostestes[#Data],9)=0,"-",VLOOKUP($B108,casostestes[#Data],9)),"-")</f>
        <v>-</v>
      </c>
      <c r="K108" s="36"/>
      <c r="L108" s="45"/>
      <c r="M108" s="37"/>
      <c r="N108" s="38"/>
      <c r="O108" s="38"/>
      <c r="P108" s="39"/>
    </row>
    <row r="109" spans="2:16">
      <c r="B109" s="40" t="str">
        <f>IF(ISERR(casostestes[[#This Row],[ID]]),"-",casostestes[[#This Row],[ID]])</f>
        <v>-</v>
      </c>
      <c r="C109" s="34" t="str">
        <f>IFERROR(IF(VLOOKUP($B109,casostestes[#Data],10)=0,"Não",VLOOKUP($B109,casostestes[#Data],10)), "-")</f>
        <v>-</v>
      </c>
      <c r="D109" s="35" t="str">
        <f>IFERROR(IF(VLOOKUP($B109,casostestes[#Data],2)=0,"-",VLOOKUP($B109,casostestes[#Data],2)), "-")</f>
        <v>-</v>
      </c>
      <c r="E109" s="35" t="str">
        <f>IFERROR(IF(VLOOKUP($B109,casostestes[#Data],3)=0,"-",VLOOKUP($B109,casostestes[#Data],3)), "-")</f>
        <v>-</v>
      </c>
      <c r="F109" s="35" t="str">
        <f>IFERROR(IF(VLOOKUP($B109,casostestes[#Data],4)=0,"-",VLOOKUP($B109,casostestes[#Data],4)),"-")</f>
        <v>-</v>
      </c>
      <c r="G109" s="35" t="str">
        <f>IFERROR(IF(VLOOKUP($B109,casostestes[#Data],5)=0,"-",VLOOKUP($B109,casostestes[#Data],5)),"-")</f>
        <v>-</v>
      </c>
      <c r="H109" s="35" t="str">
        <f>IFERROR(IF(VLOOKUP($B109,casostestes[#Data],6)=0,"-",VLOOKUP($B109,casostestes[#Data],6)),"-")</f>
        <v>-</v>
      </c>
      <c r="I109" s="35" t="str">
        <f>IFERROR(IF(VLOOKUP($B109,casostestes[#Data],8)=0,"-",VLOOKUP($B109,casostestes[#Data],8)),"-")</f>
        <v>-</v>
      </c>
      <c r="J109" s="35" t="str">
        <f>IFERROR(IF(VLOOKUP($B109,casostestes[#Data],9)=0,"-",VLOOKUP($B109,casostestes[#Data],9)),"-")</f>
        <v>-</v>
      </c>
      <c r="K109" s="36"/>
      <c r="L109" s="45"/>
      <c r="M109" s="37"/>
      <c r="N109" s="38"/>
      <c r="O109" s="38"/>
      <c r="P109" s="39"/>
    </row>
    <row r="110" spans="2:16">
      <c r="B110" s="40" t="str">
        <f>IF(ISERR(casostestes[[#This Row],[ID]]),"-",casostestes[[#This Row],[ID]])</f>
        <v>-</v>
      </c>
      <c r="C110" s="34" t="str">
        <f>IFERROR(IF(VLOOKUP($B110,casostestes[#Data],10)=0,"Não",VLOOKUP($B110,casostestes[#Data],10)), "-")</f>
        <v>-</v>
      </c>
      <c r="D110" s="35" t="str">
        <f>IFERROR(IF(VLOOKUP($B110,casostestes[#Data],2)=0,"-",VLOOKUP($B110,casostestes[#Data],2)), "-")</f>
        <v>-</v>
      </c>
      <c r="E110" s="35" t="str">
        <f>IFERROR(IF(VLOOKUP($B110,casostestes[#Data],3)=0,"-",VLOOKUP($B110,casostestes[#Data],3)), "-")</f>
        <v>-</v>
      </c>
      <c r="F110" s="35" t="str">
        <f>IFERROR(IF(VLOOKUP($B110,casostestes[#Data],4)=0,"-",VLOOKUP($B110,casostestes[#Data],4)),"-")</f>
        <v>-</v>
      </c>
      <c r="G110" s="35" t="str">
        <f>IFERROR(IF(VLOOKUP($B110,casostestes[#Data],5)=0,"-",VLOOKUP($B110,casostestes[#Data],5)),"-")</f>
        <v>-</v>
      </c>
      <c r="H110" s="35" t="str">
        <f>IFERROR(IF(VLOOKUP($B110,casostestes[#Data],6)=0,"-",VLOOKUP($B110,casostestes[#Data],6)),"-")</f>
        <v>-</v>
      </c>
      <c r="I110" s="35" t="str">
        <f>IFERROR(IF(VLOOKUP($B110,casostestes[#Data],8)=0,"-",VLOOKUP($B110,casostestes[#Data],8)),"-")</f>
        <v>-</v>
      </c>
      <c r="J110" s="35" t="str">
        <f>IFERROR(IF(VLOOKUP($B110,casostestes[#Data],9)=0,"-",VLOOKUP($B110,casostestes[#Data],9)),"-")</f>
        <v>-</v>
      </c>
      <c r="K110" s="36"/>
      <c r="L110" s="45"/>
      <c r="M110" s="37"/>
      <c r="N110" s="38"/>
      <c r="O110" s="38"/>
      <c r="P110" s="39"/>
    </row>
    <row r="111" spans="2:16">
      <c r="B111" s="40" t="str">
        <f>IF(ISERR(casostestes[[#This Row],[ID]]),"-",casostestes[[#This Row],[ID]])</f>
        <v>-</v>
      </c>
      <c r="C111" s="34" t="str">
        <f>IFERROR(IF(VLOOKUP($B111,casostestes[#Data],10)=0,"Não",VLOOKUP($B111,casostestes[#Data],10)), "-")</f>
        <v>-</v>
      </c>
      <c r="D111" s="35" t="str">
        <f>IFERROR(IF(VLOOKUP($B111,casostestes[#Data],2)=0,"-",VLOOKUP($B111,casostestes[#Data],2)), "-")</f>
        <v>-</v>
      </c>
      <c r="E111" s="35" t="str">
        <f>IFERROR(IF(VLOOKUP($B111,casostestes[#Data],3)=0,"-",VLOOKUP($B111,casostestes[#Data],3)), "-")</f>
        <v>-</v>
      </c>
      <c r="F111" s="35" t="str">
        <f>IFERROR(IF(VLOOKUP($B111,casostestes[#Data],4)=0,"-",VLOOKUP($B111,casostestes[#Data],4)),"-")</f>
        <v>-</v>
      </c>
      <c r="G111" s="35" t="str">
        <f>IFERROR(IF(VLOOKUP($B111,casostestes[#Data],5)=0,"-",VLOOKUP($B111,casostestes[#Data],5)),"-")</f>
        <v>-</v>
      </c>
      <c r="H111" s="35" t="str">
        <f>IFERROR(IF(VLOOKUP($B111,casostestes[#Data],6)=0,"-",VLOOKUP($B111,casostestes[#Data],6)),"-")</f>
        <v>-</v>
      </c>
      <c r="I111" s="35" t="str">
        <f>IFERROR(IF(VLOOKUP($B111,casostestes[#Data],8)=0,"-",VLOOKUP($B111,casostestes[#Data],8)),"-")</f>
        <v>-</v>
      </c>
      <c r="J111" s="35" t="str">
        <f>IFERROR(IF(VLOOKUP($B111,casostestes[#Data],9)=0,"-",VLOOKUP($B111,casostestes[#Data],9)),"-")</f>
        <v>-</v>
      </c>
      <c r="K111" s="36"/>
      <c r="L111" s="45"/>
      <c r="M111" s="37"/>
      <c r="N111" s="38"/>
      <c r="O111" s="38"/>
      <c r="P111" s="39"/>
    </row>
    <row r="112" spans="2:16">
      <c r="B112" s="40" t="str">
        <f>IF(ISERR(casostestes[[#This Row],[ID]]),"-",casostestes[[#This Row],[ID]])</f>
        <v>-</v>
      </c>
      <c r="C112" s="34" t="str">
        <f>IFERROR(IF(VLOOKUP($B112,casostestes[#Data],10)=0,"Não",VLOOKUP($B112,casostestes[#Data],10)), "-")</f>
        <v>-</v>
      </c>
      <c r="D112" s="35" t="str">
        <f>IFERROR(IF(VLOOKUP($B112,casostestes[#Data],2)=0,"-",VLOOKUP($B112,casostestes[#Data],2)), "-")</f>
        <v>-</v>
      </c>
      <c r="E112" s="35" t="str">
        <f>IFERROR(IF(VLOOKUP($B112,casostestes[#Data],3)=0,"-",VLOOKUP($B112,casostestes[#Data],3)), "-")</f>
        <v>-</v>
      </c>
      <c r="F112" s="35" t="str">
        <f>IFERROR(IF(VLOOKUP($B112,casostestes[#Data],4)=0,"-",VLOOKUP($B112,casostestes[#Data],4)),"-")</f>
        <v>-</v>
      </c>
      <c r="G112" s="35" t="str">
        <f>IFERROR(IF(VLOOKUP($B112,casostestes[#Data],5)=0,"-",VLOOKUP($B112,casostestes[#Data],5)),"-")</f>
        <v>-</v>
      </c>
      <c r="H112" s="35" t="str">
        <f>IFERROR(IF(VLOOKUP($B112,casostestes[#Data],6)=0,"-",VLOOKUP($B112,casostestes[#Data],6)),"-")</f>
        <v>-</v>
      </c>
      <c r="I112" s="35" t="str">
        <f>IFERROR(IF(VLOOKUP($B112,casostestes[#Data],8)=0,"-",VLOOKUP($B112,casostestes[#Data],8)),"-")</f>
        <v>-</v>
      </c>
      <c r="J112" s="35" t="str">
        <f>IFERROR(IF(VLOOKUP($B112,casostestes[#Data],9)=0,"-",VLOOKUP($B112,casostestes[#Data],9)),"-")</f>
        <v>-</v>
      </c>
      <c r="K112" s="36"/>
      <c r="L112" s="45"/>
      <c r="M112" s="37"/>
      <c r="N112" s="38"/>
      <c r="O112" s="38"/>
      <c r="P112" s="39"/>
    </row>
    <row r="113" spans="2:16">
      <c r="B113" s="40" t="str">
        <f>IF(ISERR(casostestes[[#This Row],[ID]]),"-",casostestes[[#This Row],[ID]])</f>
        <v>-</v>
      </c>
      <c r="C113" s="34" t="str">
        <f>IFERROR(IF(VLOOKUP($B113,casostestes[#Data],10)=0,"Não",VLOOKUP($B113,casostestes[#Data],10)), "-")</f>
        <v>-</v>
      </c>
      <c r="D113" s="35" t="str">
        <f>IFERROR(IF(VLOOKUP($B113,casostestes[#Data],2)=0,"-",VLOOKUP($B113,casostestes[#Data],2)), "-")</f>
        <v>-</v>
      </c>
      <c r="E113" s="35" t="str">
        <f>IFERROR(IF(VLOOKUP($B113,casostestes[#Data],3)=0,"-",VLOOKUP($B113,casostestes[#Data],3)), "-")</f>
        <v>-</v>
      </c>
      <c r="F113" s="35" t="str">
        <f>IFERROR(IF(VLOOKUP($B113,casostestes[#Data],4)=0,"-",VLOOKUP($B113,casostestes[#Data],4)),"-")</f>
        <v>-</v>
      </c>
      <c r="G113" s="35" t="str">
        <f>IFERROR(IF(VLOOKUP($B113,casostestes[#Data],5)=0,"-",VLOOKUP($B113,casostestes[#Data],5)),"-")</f>
        <v>-</v>
      </c>
      <c r="H113" s="35" t="str">
        <f>IFERROR(IF(VLOOKUP($B113,casostestes[#Data],6)=0,"-",VLOOKUP($B113,casostestes[#Data],6)),"-")</f>
        <v>-</v>
      </c>
      <c r="I113" s="35" t="str">
        <f>IFERROR(IF(VLOOKUP($B113,casostestes[#Data],8)=0,"-",VLOOKUP($B113,casostestes[#Data],8)),"-")</f>
        <v>-</v>
      </c>
      <c r="J113" s="35" t="str">
        <f>IFERROR(IF(VLOOKUP($B113,casostestes[#Data],9)=0,"-",VLOOKUP($B113,casostestes[#Data],9)),"-")</f>
        <v>-</v>
      </c>
      <c r="K113" s="36"/>
      <c r="L113" s="45"/>
      <c r="M113" s="37"/>
      <c r="N113" s="38"/>
      <c r="O113" s="38"/>
      <c r="P113" s="39"/>
    </row>
    <row r="114" spans="2:16">
      <c r="B114" s="40" t="str">
        <f>IF(ISERR(casostestes[[#This Row],[ID]]),"-",casostestes[[#This Row],[ID]])</f>
        <v>-</v>
      </c>
      <c r="C114" s="34" t="str">
        <f>IFERROR(IF(VLOOKUP($B114,casostestes[#Data],10)=0,"Não",VLOOKUP($B114,casostestes[#Data],10)), "-")</f>
        <v>-</v>
      </c>
      <c r="D114" s="35" t="str">
        <f>IFERROR(IF(VLOOKUP($B114,casostestes[#Data],2)=0,"-",VLOOKUP($B114,casostestes[#Data],2)), "-")</f>
        <v>-</v>
      </c>
      <c r="E114" s="35" t="str">
        <f>IFERROR(IF(VLOOKUP($B114,casostestes[#Data],3)=0,"-",VLOOKUP($B114,casostestes[#Data],3)), "-")</f>
        <v>-</v>
      </c>
      <c r="F114" s="35" t="str">
        <f>IFERROR(IF(VLOOKUP($B114,casostestes[#Data],4)=0,"-",VLOOKUP($B114,casostestes[#Data],4)),"-")</f>
        <v>-</v>
      </c>
      <c r="G114" s="35" t="str">
        <f>IFERROR(IF(VLOOKUP($B114,casostestes[#Data],5)=0,"-",VLOOKUP($B114,casostestes[#Data],5)),"-")</f>
        <v>-</v>
      </c>
      <c r="H114" s="35" t="str">
        <f>IFERROR(IF(VLOOKUP($B114,casostestes[#Data],6)=0,"-",VLOOKUP($B114,casostestes[#Data],6)),"-")</f>
        <v>-</v>
      </c>
      <c r="I114" s="35" t="str">
        <f>IFERROR(IF(VLOOKUP($B114,casostestes[#Data],8)=0,"-",VLOOKUP($B114,casostestes[#Data],8)),"-")</f>
        <v>-</v>
      </c>
      <c r="J114" s="35" t="str">
        <f>IFERROR(IF(VLOOKUP($B114,casostestes[#Data],9)=0,"-",VLOOKUP($B114,casostestes[#Data],9)),"-")</f>
        <v>-</v>
      </c>
      <c r="K114" s="36"/>
      <c r="L114" s="45"/>
      <c r="M114" s="37"/>
      <c r="N114" s="38"/>
      <c r="O114" s="38"/>
      <c r="P114" s="39"/>
    </row>
    <row r="115" spans="2:16">
      <c r="B115" s="40" t="str">
        <f>IF(ISERR(casostestes[[#This Row],[ID]]),"-",casostestes[[#This Row],[ID]])</f>
        <v>-</v>
      </c>
      <c r="C115" s="34" t="str">
        <f>IFERROR(IF(VLOOKUP($B115,casostestes[#Data],10)=0,"Não",VLOOKUP($B115,casostestes[#Data],10)), "-")</f>
        <v>-</v>
      </c>
      <c r="D115" s="35" t="str">
        <f>IFERROR(IF(VLOOKUP($B115,casostestes[#Data],2)=0,"-",VLOOKUP($B115,casostestes[#Data],2)), "-")</f>
        <v>-</v>
      </c>
      <c r="E115" s="35" t="str">
        <f>IFERROR(IF(VLOOKUP($B115,casostestes[#Data],3)=0,"-",VLOOKUP($B115,casostestes[#Data],3)), "-")</f>
        <v>-</v>
      </c>
      <c r="F115" s="35" t="str">
        <f>IFERROR(IF(VLOOKUP($B115,casostestes[#Data],4)=0,"-",VLOOKUP($B115,casostestes[#Data],4)),"-")</f>
        <v>-</v>
      </c>
      <c r="G115" s="35" t="str">
        <f>IFERROR(IF(VLOOKUP($B115,casostestes[#Data],5)=0,"-",VLOOKUP($B115,casostestes[#Data],5)),"-")</f>
        <v>-</v>
      </c>
      <c r="H115" s="35" t="str">
        <f>IFERROR(IF(VLOOKUP($B115,casostestes[#Data],6)=0,"-",VLOOKUP($B115,casostestes[#Data],6)),"-")</f>
        <v>-</v>
      </c>
      <c r="I115" s="35" t="str">
        <f>IFERROR(IF(VLOOKUP($B115,casostestes[#Data],8)=0,"-",VLOOKUP($B115,casostestes[#Data],8)),"-")</f>
        <v>-</v>
      </c>
      <c r="J115" s="35" t="str">
        <f>IFERROR(IF(VLOOKUP($B115,casostestes[#Data],9)=0,"-",VLOOKUP($B115,casostestes[#Data],9)),"-")</f>
        <v>-</v>
      </c>
      <c r="K115" s="36"/>
      <c r="L115" s="45"/>
      <c r="M115" s="37"/>
      <c r="N115" s="38"/>
      <c r="O115" s="38"/>
      <c r="P115" s="39"/>
    </row>
    <row r="116" spans="2:16">
      <c r="B116" s="40" t="str">
        <f>IF(ISERR(casostestes[[#This Row],[ID]]),"-",casostestes[[#This Row],[ID]])</f>
        <v>-</v>
      </c>
      <c r="C116" s="34" t="str">
        <f>IFERROR(IF(VLOOKUP($B116,casostestes[#Data],10)=0,"Não",VLOOKUP($B116,casostestes[#Data],10)), "-")</f>
        <v>-</v>
      </c>
      <c r="D116" s="35" t="str">
        <f>IFERROR(IF(VLOOKUP($B116,casostestes[#Data],2)=0,"-",VLOOKUP($B116,casostestes[#Data],2)), "-")</f>
        <v>-</v>
      </c>
      <c r="E116" s="35" t="str">
        <f>IFERROR(IF(VLOOKUP($B116,casostestes[#Data],3)=0,"-",VLOOKUP($B116,casostestes[#Data],3)), "-")</f>
        <v>-</v>
      </c>
      <c r="F116" s="35" t="str">
        <f>IFERROR(IF(VLOOKUP($B116,casostestes[#Data],4)=0,"-",VLOOKUP($B116,casostestes[#Data],4)),"-")</f>
        <v>-</v>
      </c>
      <c r="G116" s="35" t="str">
        <f>IFERROR(IF(VLOOKUP($B116,casostestes[#Data],5)=0,"-",VLOOKUP($B116,casostestes[#Data],5)),"-")</f>
        <v>-</v>
      </c>
      <c r="H116" s="35" t="str">
        <f>IFERROR(IF(VLOOKUP($B116,casostestes[#Data],6)=0,"-",VLOOKUP($B116,casostestes[#Data],6)),"-")</f>
        <v>-</v>
      </c>
      <c r="I116" s="35" t="str">
        <f>IFERROR(IF(VLOOKUP($B116,casostestes[#Data],8)=0,"-",VLOOKUP($B116,casostestes[#Data],8)),"-")</f>
        <v>-</v>
      </c>
      <c r="J116" s="35" t="str">
        <f>IFERROR(IF(VLOOKUP($B116,casostestes[#Data],9)=0,"-",VLOOKUP($B116,casostestes[#Data],9)),"-")</f>
        <v>-</v>
      </c>
      <c r="K116" s="36"/>
      <c r="L116" s="45"/>
      <c r="M116" s="37"/>
      <c r="N116" s="38"/>
      <c r="O116" s="38"/>
      <c r="P116" s="39"/>
    </row>
    <row r="117" spans="2:16">
      <c r="B117" s="40" t="str">
        <f>IF(ISERR(casostestes[[#This Row],[ID]]),"-",casostestes[[#This Row],[ID]])</f>
        <v>-</v>
      </c>
      <c r="C117" s="34" t="str">
        <f>IFERROR(IF(VLOOKUP($B117,casostestes[#Data],10)=0,"Não",VLOOKUP($B117,casostestes[#Data],10)), "-")</f>
        <v>-</v>
      </c>
      <c r="D117" s="35" t="str">
        <f>IFERROR(IF(VLOOKUP($B117,casostestes[#Data],2)=0,"-",VLOOKUP($B117,casostestes[#Data],2)), "-")</f>
        <v>-</v>
      </c>
      <c r="E117" s="35" t="str">
        <f>IFERROR(IF(VLOOKUP($B117,casostestes[#Data],3)=0,"-",VLOOKUP($B117,casostestes[#Data],3)), "-")</f>
        <v>-</v>
      </c>
      <c r="F117" s="35" t="str">
        <f>IFERROR(IF(VLOOKUP($B117,casostestes[#Data],4)=0,"-",VLOOKUP($B117,casostestes[#Data],4)),"-")</f>
        <v>-</v>
      </c>
      <c r="G117" s="35" t="str">
        <f>IFERROR(IF(VLOOKUP($B117,casostestes[#Data],5)=0,"-",VLOOKUP($B117,casostestes[#Data],5)),"-")</f>
        <v>-</v>
      </c>
      <c r="H117" s="35" t="str">
        <f>IFERROR(IF(VLOOKUP($B117,casostestes[#Data],6)=0,"-",VLOOKUP($B117,casostestes[#Data],6)),"-")</f>
        <v>-</v>
      </c>
      <c r="I117" s="35" t="str">
        <f>IFERROR(IF(VLOOKUP($B117,casostestes[#Data],8)=0,"-",VLOOKUP($B117,casostestes[#Data],8)),"-")</f>
        <v>-</v>
      </c>
      <c r="J117" s="35" t="str">
        <f>IFERROR(IF(VLOOKUP($B117,casostestes[#Data],9)=0,"-",VLOOKUP($B117,casostestes[#Data],9)),"-")</f>
        <v>-</v>
      </c>
      <c r="K117" s="36"/>
      <c r="L117" s="45"/>
      <c r="M117" s="37"/>
      <c r="N117" s="38"/>
      <c r="O117" s="38"/>
      <c r="P117" s="39"/>
    </row>
    <row r="118" spans="2:16">
      <c r="B118" s="40" t="str">
        <f>IF(ISERR(casostestes[[#This Row],[ID]]),"-",casostestes[[#This Row],[ID]])</f>
        <v>-</v>
      </c>
      <c r="C118" s="34" t="str">
        <f>IFERROR(IF(VLOOKUP($B118,casostestes[#Data],10)=0,"Não",VLOOKUP($B118,casostestes[#Data],10)), "-")</f>
        <v>-</v>
      </c>
      <c r="D118" s="35" t="str">
        <f>IFERROR(IF(VLOOKUP($B118,casostestes[#Data],2)=0,"-",VLOOKUP($B118,casostestes[#Data],2)), "-")</f>
        <v>-</v>
      </c>
      <c r="E118" s="35" t="str">
        <f>IFERROR(IF(VLOOKUP($B118,casostestes[#Data],3)=0,"-",VLOOKUP($B118,casostestes[#Data],3)), "-")</f>
        <v>-</v>
      </c>
      <c r="F118" s="35" t="str">
        <f>IFERROR(IF(VLOOKUP($B118,casostestes[#Data],4)=0,"-",VLOOKUP($B118,casostestes[#Data],4)),"-")</f>
        <v>-</v>
      </c>
      <c r="G118" s="35" t="str">
        <f>IFERROR(IF(VLOOKUP($B118,casostestes[#Data],5)=0,"-",VLOOKUP($B118,casostestes[#Data],5)),"-")</f>
        <v>-</v>
      </c>
      <c r="H118" s="35" t="str">
        <f>IFERROR(IF(VLOOKUP($B118,casostestes[#Data],6)=0,"-",VLOOKUP($B118,casostestes[#Data],6)),"-")</f>
        <v>-</v>
      </c>
      <c r="I118" s="35" t="str">
        <f>IFERROR(IF(VLOOKUP($B118,casostestes[#Data],8)=0,"-",VLOOKUP($B118,casostestes[#Data],8)),"-")</f>
        <v>-</v>
      </c>
      <c r="J118" s="35" t="str">
        <f>IFERROR(IF(VLOOKUP($B118,casostestes[#Data],9)=0,"-",VLOOKUP($B118,casostestes[#Data],9)),"-")</f>
        <v>-</v>
      </c>
      <c r="K118" s="36"/>
      <c r="L118" s="45"/>
      <c r="M118" s="37"/>
      <c r="N118" s="38"/>
      <c r="O118" s="38"/>
      <c r="P118" s="39"/>
    </row>
    <row r="119" spans="2:16">
      <c r="B119" s="40" t="str">
        <f>IF(ISERR(casostestes[[#This Row],[ID]]),"-",casostestes[[#This Row],[ID]])</f>
        <v>-</v>
      </c>
      <c r="C119" s="34" t="str">
        <f>IFERROR(IF(VLOOKUP($B119,casostestes[#Data],10)=0,"Não",VLOOKUP($B119,casostestes[#Data],10)), "-")</f>
        <v>-</v>
      </c>
      <c r="D119" s="35" t="str">
        <f>IFERROR(IF(VLOOKUP($B119,casostestes[#Data],2)=0,"-",VLOOKUP($B119,casostestes[#Data],2)), "-")</f>
        <v>-</v>
      </c>
      <c r="E119" s="35" t="str">
        <f>IFERROR(IF(VLOOKUP($B119,casostestes[#Data],3)=0,"-",VLOOKUP($B119,casostestes[#Data],3)), "-")</f>
        <v>-</v>
      </c>
      <c r="F119" s="35" t="str">
        <f>IFERROR(IF(VLOOKUP($B119,casostestes[#Data],4)=0,"-",VLOOKUP($B119,casostestes[#Data],4)),"-")</f>
        <v>-</v>
      </c>
      <c r="G119" s="35" t="str">
        <f>IFERROR(IF(VLOOKUP($B119,casostestes[#Data],5)=0,"-",VLOOKUP($B119,casostestes[#Data],5)),"-")</f>
        <v>-</v>
      </c>
      <c r="H119" s="35" t="str">
        <f>IFERROR(IF(VLOOKUP($B119,casostestes[#Data],6)=0,"-",VLOOKUP($B119,casostestes[#Data],6)),"-")</f>
        <v>-</v>
      </c>
      <c r="I119" s="35" t="str">
        <f>IFERROR(IF(VLOOKUP($B119,casostestes[#Data],8)=0,"-",VLOOKUP($B119,casostestes[#Data],8)),"-")</f>
        <v>-</v>
      </c>
      <c r="J119" s="35" t="str">
        <f>IFERROR(IF(VLOOKUP($B119,casostestes[#Data],9)=0,"-",VLOOKUP($B119,casostestes[#Data],9)),"-")</f>
        <v>-</v>
      </c>
      <c r="K119" s="36"/>
      <c r="L119" s="45"/>
      <c r="M119" s="37"/>
      <c r="N119" s="38"/>
      <c r="O119" s="38"/>
      <c r="P119" s="39"/>
    </row>
    <row r="120" spans="2:16">
      <c r="B120" s="40" t="str">
        <f>IF(ISERR(casostestes[[#This Row],[ID]]),"-",casostestes[[#This Row],[ID]])</f>
        <v>-</v>
      </c>
      <c r="C120" s="34" t="str">
        <f>IFERROR(IF(VLOOKUP($B120,casostestes[#Data],10)=0,"Não",VLOOKUP($B120,casostestes[#Data],10)), "-")</f>
        <v>-</v>
      </c>
      <c r="D120" s="35" t="str">
        <f>IFERROR(IF(VLOOKUP($B120,casostestes[#Data],2)=0,"-",VLOOKUP($B120,casostestes[#Data],2)), "-")</f>
        <v>-</v>
      </c>
      <c r="E120" s="35" t="str">
        <f>IFERROR(IF(VLOOKUP($B120,casostestes[#Data],3)=0,"-",VLOOKUP($B120,casostestes[#Data],3)), "-")</f>
        <v>-</v>
      </c>
      <c r="F120" s="35" t="str">
        <f>IFERROR(IF(VLOOKUP($B120,casostestes[#Data],4)=0,"-",VLOOKUP($B120,casostestes[#Data],4)),"-")</f>
        <v>-</v>
      </c>
      <c r="G120" s="35" t="str">
        <f>IFERROR(IF(VLOOKUP($B120,casostestes[#Data],5)=0,"-",VLOOKUP($B120,casostestes[#Data],5)),"-")</f>
        <v>-</v>
      </c>
      <c r="H120" s="35" t="str">
        <f>IFERROR(IF(VLOOKUP($B120,casostestes[#Data],6)=0,"-",VLOOKUP($B120,casostestes[#Data],6)),"-")</f>
        <v>-</v>
      </c>
      <c r="I120" s="35" t="str">
        <f>IFERROR(IF(VLOOKUP($B120,casostestes[#Data],8)=0,"-",VLOOKUP($B120,casostestes[#Data],8)),"-")</f>
        <v>-</v>
      </c>
      <c r="J120" s="35" t="str">
        <f>IFERROR(IF(VLOOKUP($B120,casostestes[#Data],9)=0,"-",VLOOKUP($B120,casostestes[#Data],9)),"-")</f>
        <v>-</v>
      </c>
      <c r="K120" s="36"/>
      <c r="L120" s="45"/>
      <c r="M120" s="37"/>
      <c r="N120" s="38"/>
      <c r="O120" s="38"/>
      <c r="P120" s="39"/>
    </row>
    <row r="121" spans="2:16">
      <c r="B121" s="40" t="str">
        <f>IF(ISERR(casostestes[[#This Row],[ID]]),"-",casostestes[[#This Row],[ID]])</f>
        <v>-</v>
      </c>
      <c r="C121" s="34" t="str">
        <f>IFERROR(IF(VLOOKUP($B121,casostestes[#Data],10)=0,"Não",VLOOKUP($B121,casostestes[#Data],10)), "-")</f>
        <v>-</v>
      </c>
      <c r="D121" s="35" t="str">
        <f>IFERROR(IF(VLOOKUP($B121,casostestes[#Data],2)=0,"-",VLOOKUP($B121,casostestes[#Data],2)), "-")</f>
        <v>-</v>
      </c>
      <c r="E121" s="35" t="str">
        <f>IFERROR(IF(VLOOKUP($B121,casostestes[#Data],3)=0,"-",VLOOKUP($B121,casostestes[#Data],3)), "-")</f>
        <v>-</v>
      </c>
      <c r="F121" s="35" t="str">
        <f>IFERROR(IF(VLOOKUP($B121,casostestes[#Data],4)=0,"-",VLOOKUP($B121,casostestes[#Data],4)),"-")</f>
        <v>-</v>
      </c>
      <c r="G121" s="35" t="str">
        <f>IFERROR(IF(VLOOKUP($B121,casostestes[#Data],5)=0,"-",VLOOKUP($B121,casostestes[#Data],5)),"-")</f>
        <v>-</v>
      </c>
      <c r="H121" s="35" t="str">
        <f>IFERROR(IF(VLOOKUP($B121,casostestes[#Data],6)=0,"-",VLOOKUP($B121,casostestes[#Data],6)),"-")</f>
        <v>-</v>
      </c>
      <c r="I121" s="35" t="str">
        <f>IFERROR(IF(VLOOKUP($B121,casostestes[#Data],8)=0,"-",VLOOKUP($B121,casostestes[#Data],8)),"-")</f>
        <v>-</v>
      </c>
      <c r="J121" s="35" t="str">
        <f>IFERROR(IF(VLOOKUP($B121,casostestes[#Data],9)=0,"-",VLOOKUP($B121,casostestes[#Data],9)),"-")</f>
        <v>-</v>
      </c>
      <c r="K121" s="36"/>
      <c r="L121" s="45"/>
      <c r="M121" s="37"/>
      <c r="N121" s="38"/>
      <c r="O121" s="38"/>
      <c r="P121" s="39"/>
    </row>
    <row r="122" spans="2:16">
      <c r="B122" s="40" t="str">
        <f>IF(ISERR(casostestes[[#This Row],[ID]]),"-",casostestes[[#This Row],[ID]])</f>
        <v>-</v>
      </c>
      <c r="C122" s="34" t="str">
        <f>IFERROR(IF(VLOOKUP($B122,casostestes[#Data],10)=0,"Não",VLOOKUP($B122,casostestes[#Data],10)), "-")</f>
        <v>-</v>
      </c>
      <c r="D122" s="35" t="str">
        <f>IFERROR(IF(VLOOKUP($B122,casostestes[#Data],2)=0,"-",VLOOKUP($B122,casostestes[#Data],2)), "-")</f>
        <v>-</v>
      </c>
      <c r="E122" s="35" t="str">
        <f>IFERROR(IF(VLOOKUP($B122,casostestes[#Data],3)=0,"-",VLOOKUP($B122,casostestes[#Data],3)), "-")</f>
        <v>-</v>
      </c>
      <c r="F122" s="35" t="str">
        <f>IFERROR(IF(VLOOKUP($B122,casostestes[#Data],4)=0,"-",VLOOKUP($B122,casostestes[#Data],4)),"-")</f>
        <v>-</v>
      </c>
      <c r="G122" s="35" t="str">
        <f>IFERROR(IF(VLOOKUP($B122,casostestes[#Data],5)=0,"-",VLOOKUP($B122,casostestes[#Data],5)),"-")</f>
        <v>-</v>
      </c>
      <c r="H122" s="35" t="str">
        <f>IFERROR(IF(VLOOKUP($B122,casostestes[#Data],6)=0,"-",VLOOKUP($B122,casostestes[#Data],6)),"-")</f>
        <v>-</v>
      </c>
      <c r="I122" s="35" t="str">
        <f>IFERROR(IF(VLOOKUP($B122,casostestes[#Data],8)=0,"-",VLOOKUP($B122,casostestes[#Data],8)),"-")</f>
        <v>-</v>
      </c>
      <c r="J122" s="35" t="str">
        <f>IFERROR(IF(VLOOKUP($B122,casostestes[#Data],9)=0,"-",VLOOKUP($B122,casostestes[#Data],9)),"-")</f>
        <v>-</v>
      </c>
      <c r="K122" s="36"/>
      <c r="L122" s="45"/>
      <c r="M122" s="37"/>
      <c r="N122" s="38"/>
      <c r="O122" s="38"/>
      <c r="P122" s="39"/>
    </row>
    <row r="123" spans="2:16">
      <c r="B123" s="40" t="str">
        <f>IF(ISERR(casostestes[[#This Row],[ID]]),"-",casostestes[[#This Row],[ID]])</f>
        <v>-</v>
      </c>
      <c r="C123" s="34" t="str">
        <f>IFERROR(IF(VLOOKUP($B123,casostestes[#Data],10)=0,"Não",VLOOKUP($B123,casostestes[#Data],10)), "-")</f>
        <v>-</v>
      </c>
      <c r="D123" s="35" t="str">
        <f>IFERROR(IF(VLOOKUP($B123,casostestes[#Data],2)=0,"-",VLOOKUP($B123,casostestes[#Data],2)), "-")</f>
        <v>-</v>
      </c>
      <c r="E123" s="35" t="str">
        <f>IFERROR(IF(VLOOKUP($B123,casostestes[#Data],3)=0,"-",VLOOKUP($B123,casostestes[#Data],3)), "-")</f>
        <v>-</v>
      </c>
      <c r="F123" s="35" t="str">
        <f>IFERROR(IF(VLOOKUP($B123,casostestes[#Data],4)=0,"-",VLOOKUP($B123,casostestes[#Data],4)),"-")</f>
        <v>-</v>
      </c>
      <c r="G123" s="35" t="str">
        <f>IFERROR(IF(VLOOKUP($B123,casostestes[#Data],5)=0,"-",VLOOKUP($B123,casostestes[#Data],5)),"-")</f>
        <v>-</v>
      </c>
      <c r="H123" s="35" t="str">
        <f>IFERROR(IF(VLOOKUP($B123,casostestes[#Data],6)=0,"-",VLOOKUP($B123,casostestes[#Data],6)),"-")</f>
        <v>-</v>
      </c>
      <c r="I123" s="35" t="str">
        <f>IFERROR(IF(VLOOKUP($B123,casostestes[#Data],8)=0,"-",VLOOKUP($B123,casostestes[#Data],8)),"-")</f>
        <v>-</v>
      </c>
      <c r="J123" s="35" t="str">
        <f>IFERROR(IF(VLOOKUP($B123,casostestes[#Data],9)=0,"-",VLOOKUP($B123,casostestes[#Data],9)),"-")</f>
        <v>-</v>
      </c>
      <c r="K123" s="36"/>
      <c r="L123" s="45"/>
      <c r="M123" s="37"/>
      <c r="N123" s="38"/>
      <c r="O123" s="38"/>
      <c r="P123" s="39"/>
    </row>
    <row r="124" spans="2:16">
      <c r="B124" s="40" t="str">
        <f>IF(ISERR(casostestes[[#This Row],[ID]]),"-",casostestes[[#This Row],[ID]])</f>
        <v>-</v>
      </c>
      <c r="C124" s="34" t="str">
        <f>IFERROR(IF(VLOOKUP($B124,casostestes[#Data],10)=0,"Não",VLOOKUP($B124,casostestes[#Data],10)), "-")</f>
        <v>-</v>
      </c>
      <c r="D124" s="35" t="str">
        <f>IFERROR(IF(VLOOKUP($B124,casostestes[#Data],2)=0,"-",VLOOKUP($B124,casostestes[#Data],2)), "-")</f>
        <v>-</v>
      </c>
      <c r="E124" s="35" t="str">
        <f>IFERROR(IF(VLOOKUP($B124,casostestes[#Data],3)=0,"-",VLOOKUP($B124,casostestes[#Data],3)), "-")</f>
        <v>-</v>
      </c>
      <c r="F124" s="35" t="str">
        <f>IFERROR(IF(VLOOKUP($B124,casostestes[#Data],4)=0,"-",VLOOKUP($B124,casostestes[#Data],4)),"-")</f>
        <v>-</v>
      </c>
      <c r="G124" s="35" t="str">
        <f>IFERROR(IF(VLOOKUP($B124,casostestes[#Data],5)=0,"-",VLOOKUP($B124,casostestes[#Data],5)),"-")</f>
        <v>-</v>
      </c>
      <c r="H124" s="35" t="str">
        <f>IFERROR(IF(VLOOKUP($B124,casostestes[#Data],6)=0,"-",VLOOKUP($B124,casostestes[#Data],6)),"-")</f>
        <v>-</v>
      </c>
      <c r="I124" s="35" t="str">
        <f>IFERROR(IF(VLOOKUP($B124,casostestes[#Data],8)=0,"-",VLOOKUP($B124,casostestes[#Data],8)),"-")</f>
        <v>-</v>
      </c>
      <c r="J124" s="35" t="str">
        <f>IFERROR(IF(VLOOKUP($B124,casostestes[#Data],9)=0,"-",VLOOKUP($B124,casostestes[#Data],9)),"-")</f>
        <v>-</v>
      </c>
      <c r="K124" s="36"/>
      <c r="L124" s="45"/>
      <c r="M124" s="37"/>
      <c r="N124" s="38"/>
      <c r="O124" s="38"/>
      <c r="P124" s="39"/>
    </row>
    <row r="125" spans="2:16">
      <c r="B125" s="40" t="str">
        <f>IF(ISERR(casostestes[[#This Row],[ID]]),"-",casostestes[[#This Row],[ID]])</f>
        <v>-</v>
      </c>
      <c r="C125" s="34" t="str">
        <f>IFERROR(IF(VLOOKUP($B125,casostestes[#Data],10)=0,"Não",VLOOKUP($B125,casostestes[#Data],10)), "-")</f>
        <v>-</v>
      </c>
      <c r="D125" s="35" t="str">
        <f>IFERROR(IF(VLOOKUP($B125,casostestes[#Data],2)=0,"-",VLOOKUP($B125,casostestes[#Data],2)), "-")</f>
        <v>-</v>
      </c>
      <c r="E125" s="35" t="str">
        <f>IFERROR(IF(VLOOKUP($B125,casostestes[#Data],3)=0,"-",VLOOKUP($B125,casostestes[#Data],3)), "-")</f>
        <v>-</v>
      </c>
      <c r="F125" s="35" t="str">
        <f>IFERROR(IF(VLOOKUP($B125,casostestes[#Data],4)=0,"-",VLOOKUP($B125,casostestes[#Data],4)),"-")</f>
        <v>-</v>
      </c>
      <c r="G125" s="35" t="str">
        <f>IFERROR(IF(VLOOKUP($B125,casostestes[#Data],5)=0,"-",VLOOKUP($B125,casostestes[#Data],5)),"-")</f>
        <v>-</v>
      </c>
      <c r="H125" s="35" t="str">
        <f>IFERROR(IF(VLOOKUP($B125,casostestes[#Data],6)=0,"-",VLOOKUP($B125,casostestes[#Data],6)),"-")</f>
        <v>-</v>
      </c>
      <c r="I125" s="35" t="str">
        <f>IFERROR(IF(VLOOKUP($B125,casostestes[#Data],8)=0,"-",VLOOKUP($B125,casostestes[#Data],8)),"-")</f>
        <v>-</v>
      </c>
      <c r="J125" s="35" t="str">
        <f>IFERROR(IF(VLOOKUP($B125,casostestes[#Data],9)=0,"-",VLOOKUP($B125,casostestes[#Data],9)),"-")</f>
        <v>-</v>
      </c>
      <c r="K125" s="36"/>
      <c r="L125" s="45"/>
      <c r="M125" s="37"/>
      <c r="N125" s="38"/>
      <c r="O125" s="38"/>
      <c r="P125" s="39"/>
    </row>
    <row r="126" spans="2:16">
      <c r="B126" s="40" t="str">
        <f>IF(ISERR(casostestes[[#This Row],[ID]]),"-",casostestes[[#This Row],[ID]])</f>
        <v>-</v>
      </c>
      <c r="C126" s="34" t="str">
        <f>IFERROR(IF(VLOOKUP($B126,casostestes[#Data],10)=0,"Não",VLOOKUP($B126,casostestes[#Data],10)), "-")</f>
        <v>-</v>
      </c>
      <c r="D126" s="35" t="str">
        <f>IFERROR(IF(VLOOKUP($B126,casostestes[#Data],2)=0,"-",VLOOKUP($B126,casostestes[#Data],2)), "-")</f>
        <v>-</v>
      </c>
      <c r="E126" s="35" t="str">
        <f>IFERROR(IF(VLOOKUP($B126,casostestes[#Data],3)=0,"-",VLOOKUP($B126,casostestes[#Data],3)), "-")</f>
        <v>-</v>
      </c>
      <c r="F126" s="35" t="str">
        <f>IFERROR(IF(VLOOKUP($B126,casostestes[#Data],4)=0,"-",VLOOKUP($B126,casostestes[#Data],4)),"-")</f>
        <v>-</v>
      </c>
      <c r="G126" s="35" t="str">
        <f>IFERROR(IF(VLOOKUP($B126,casostestes[#Data],5)=0,"-",VLOOKUP($B126,casostestes[#Data],5)),"-")</f>
        <v>-</v>
      </c>
      <c r="H126" s="35" t="str">
        <f>IFERROR(IF(VLOOKUP($B126,casostestes[#Data],6)=0,"-",VLOOKUP($B126,casostestes[#Data],6)),"-")</f>
        <v>-</v>
      </c>
      <c r="I126" s="35" t="str">
        <f>IFERROR(IF(VLOOKUP($B126,casostestes[#Data],8)=0,"-",VLOOKUP($B126,casostestes[#Data],8)),"-")</f>
        <v>-</v>
      </c>
      <c r="J126" s="35" t="str">
        <f>IFERROR(IF(VLOOKUP($B126,casostestes[#Data],9)=0,"-",VLOOKUP($B126,casostestes[#Data],9)),"-")</f>
        <v>-</v>
      </c>
      <c r="K126" s="36"/>
      <c r="L126" s="45"/>
      <c r="M126" s="37"/>
      <c r="N126" s="38"/>
      <c r="O126" s="38"/>
      <c r="P126" s="39"/>
    </row>
    <row r="127" spans="2:16">
      <c r="B127" s="40" t="str">
        <f>IF(ISERR(casostestes[[#This Row],[ID]]),"-",casostestes[[#This Row],[ID]])</f>
        <v>-</v>
      </c>
      <c r="C127" s="34" t="str">
        <f>IFERROR(IF(VLOOKUP($B127,casostestes[#Data],10)=0,"Não",VLOOKUP($B127,casostestes[#Data],10)), "-")</f>
        <v>-</v>
      </c>
      <c r="D127" s="35" t="str">
        <f>IFERROR(IF(VLOOKUP($B127,casostestes[#Data],2)=0,"-",VLOOKUP($B127,casostestes[#Data],2)), "-")</f>
        <v>-</v>
      </c>
      <c r="E127" s="35" t="str">
        <f>IFERROR(IF(VLOOKUP($B127,casostestes[#Data],3)=0,"-",VLOOKUP($B127,casostestes[#Data],3)), "-")</f>
        <v>-</v>
      </c>
      <c r="F127" s="35" t="str">
        <f>IFERROR(IF(VLOOKUP($B127,casostestes[#Data],4)=0,"-",VLOOKUP($B127,casostestes[#Data],4)),"-")</f>
        <v>-</v>
      </c>
      <c r="G127" s="35" t="str">
        <f>IFERROR(IF(VLOOKUP($B127,casostestes[#Data],5)=0,"-",VLOOKUP($B127,casostestes[#Data],5)),"-")</f>
        <v>-</v>
      </c>
      <c r="H127" s="35" t="str">
        <f>IFERROR(IF(VLOOKUP($B127,casostestes[#Data],6)=0,"-",VLOOKUP($B127,casostestes[#Data],6)),"-")</f>
        <v>-</v>
      </c>
      <c r="I127" s="35" t="str">
        <f>IFERROR(IF(VLOOKUP($B127,casostestes[#Data],8)=0,"-",VLOOKUP($B127,casostestes[#Data],8)),"-")</f>
        <v>-</v>
      </c>
      <c r="J127" s="35" t="str">
        <f>IFERROR(IF(VLOOKUP($B127,casostestes[#Data],9)=0,"-",VLOOKUP($B127,casostestes[#Data],9)),"-")</f>
        <v>-</v>
      </c>
      <c r="K127" s="36"/>
      <c r="L127" s="45"/>
      <c r="M127" s="37"/>
      <c r="N127" s="38"/>
      <c r="O127" s="38"/>
      <c r="P127" s="39"/>
    </row>
    <row r="128" spans="2:16">
      <c r="B128" s="40" t="str">
        <f>IF(ISERR(casostestes[[#This Row],[ID]]),"-",casostestes[[#This Row],[ID]])</f>
        <v>-</v>
      </c>
      <c r="C128" s="34" t="str">
        <f>IFERROR(IF(VLOOKUP($B128,casostestes[#Data],10)=0,"Não",VLOOKUP($B128,casostestes[#Data],10)), "-")</f>
        <v>-</v>
      </c>
      <c r="D128" s="35" t="str">
        <f>IFERROR(IF(VLOOKUP($B128,casostestes[#Data],2)=0,"-",VLOOKUP($B128,casostestes[#Data],2)), "-")</f>
        <v>-</v>
      </c>
      <c r="E128" s="35" t="str">
        <f>IFERROR(IF(VLOOKUP($B128,casostestes[#Data],3)=0,"-",VLOOKUP($B128,casostestes[#Data],3)), "-")</f>
        <v>-</v>
      </c>
      <c r="F128" s="35" t="str">
        <f>IFERROR(IF(VLOOKUP($B128,casostestes[#Data],4)=0,"-",VLOOKUP($B128,casostestes[#Data],4)),"-")</f>
        <v>-</v>
      </c>
      <c r="G128" s="35" t="str">
        <f>IFERROR(IF(VLOOKUP($B128,casostestes[#Data],5)=0,"-",VLOOKUP($B128,casostestes[#Data],5)),"-")</f>
        <v>-</v>
      </c>
      <c r="H128" s="35" t="str">
        <f>IFERROR(IF(VLOOKUP($B128,casostestes[#Data],6)=0,"-",VLOOKUP($B128,casostestes[#Data],6)),"-")</f>
        <v>-</v>
      </c>
      <c r="I128" s="35" t="str">
        <f>IFERROR(IF(VLOOKUP($B128,casostestes[#Data],8)=0,"-",VLOOKUP($B128,casostestes[#Data],8)),"-")</f>
        <v>-</v>
      </c>
      <c r="J128" s="35" t="str">
        <f>IFERROR(IF(VLOOKUP($B128,casostestes[#Data],9)=0,"-",VLOOKUP($B128,casostestes[#Data],9)),"-")</f>
        <v>-</v>
      </c>
      <c r="K128" s="36"/>
      <c r="L128" s="45"/>
      <c r="M128" s="37"/>
      <c r="N128" s="38"/>
      <c r="O128" s="38"/>
      <c r="P128" s="39"/>
    </row>
    <row r="129" spans="2:16">
      <c r="B129" s="40" t="str">
        <f>IF(ISERR(casostestes[[#This Row],[ID]]),"-",casostestes[[#This Row],[ID]])</f>
        <v>-</v>
      </c>
      <c r="C129" s="34" t="str">
        <f>IFERROR(IF(VLOOKUP($B129,casostestes[#Data],10)=0,"Não",VLOOKUP($B129,casostestes[#Data],10)), "-")</f>
        <v>-</v>
      </c>
      <c r="D129" s="35" t="str">
        <f>IFERROR(IF(VLOOKUP($B129,casostestes[#Data],2)=0,"-",VLOOKUP($B129,casostestes[#Data],2)), "-")</f>
        <v>-</v>
      </c>
      <c r="E129" s="35" t="str">
        <f>IFERROR(IF(VLOOKUP($B129,casostestes[#Data],3)=0,"-",VLOOKUP($B129,casostestes[#Data],3)), "-")</f>
        <v>-</v>
      </c>
      <c r="F129" s="35" t="str">
        <f>IFERROR(IF(VLOOKUP($B129,casostestes[#Data],4)=0,"-",VLOOKUP($B129,casostestes[#Data],4)),"-")</f>
        <v>-</v>
      </c>
      <c r="G129" s="35" t="str">
        <f>IFERROR(IF(VLOOKUP($B129,casostestes[#Data],5)=0,"-",VLOOKUP($B129,casostestes[#Data],5)),"-")</f>
        <v>-</v>
      </c>
      <c r="H129" s="35" t="str">
        <f>IFERROR(IF(VLOOKUP($B129,casostestes[#Data],6)=0,"-",VLOOKUP($B129,casostestes[#Data],6)),"-")</f>
        <v>-</v>
      </c>
      <c r="I129" s="35" t="str">
        <f>IFERROR(IF(VLOOKUP($B129,casostestes[#Data],8)=0,"-",VLOOKUP($B129,casostestes[#Data],8)),"-")</f>
        <v>-</v>
      </c>
      <c r="J129" s="35" t="str">
        <f>IFERROR(IF(VLOOKUP($B129,casostestes[#Data],9)=0,"-",VLOOKUP($B129,casostestes[#Data],9)),"-")</f>
        <v>-</v>
      </c>
      <c r="K129" s="36"/>
      <c r="L129" s="45"/>
      <c r="M129" s="37"/>
      <c r="N129" s="38"/>
      <c r="O129" s="38"/>
      <c r="P129" s="39"/>
    </row>
    <row r="130" spans="2:16">
      <c r="B130" s="40" t="str">
        <f>IF(ISERR(casostestes[[#This Row],[ID]]),"-",casostestes[[#This Row],[ID]])</f>
        <v>-</v>
      </c>
      <c r="C130" s="34" t="str">
        <f>IFERROR(IF(VLOOKUP($B130,casostestes[#Data],10)=0,"Não",VLOOKUP($B130,casostestes[#Data],10)), "-")</f>
        <v>-</v>
      </c>
      <c r="D130" s="35" t="str">
        <f>IFERROR(IF(VLOOKUP($B130,casostestes[#Data],2)=0,"-",VLOOKUP($B130,casostestes[#Data],2)), "-")</f>
        <v>-</v>
      </c>
      <c r="E130" s="35" t="str">
        <f>IFERROR(IF(VLOOKUP($B130,casostestes[#Data],3)=0,"-",VLOOKUP($B130,casostestes[#Data],3)), "-")</f>
        <v>-</v>
      </c>
      <c r="F130" s="35" t="str">
        <f>IFERROR(IF(VLOOKUP($B130,casostestes[#Data],4)=0,"-",VLOOKUP($B130,casostestes[#Data],4)),"-")</f>
        <v>-</v>
      </c>
      <c r="G130" s="35" t="str">
        <f>IFERROR(IF(VLOOKUP($B130,casostestes[#Data],5)=0,"-",VLOOKUP($B130,casostestes[#Data],5)),"-")</f>
        <v>-</v>
      </c>
      <c r="H130" s="35" t="str">
        <f>IFERROR(IF(VLOOKUP($B130,casostestes[#Data],6)=0,"-",VLOOKUP($B130,casostestes[#Data],6)),"-")</f>
        <v>-</v>
      </c>
      <c r="I130" s="35" t="str">
        <f>IFERROR(IF(VLOOKUP($B130,casostestes[#Data],8)=0,"-",VLOOKUP($B130,casostestes[#Data],8)),"-")</f>
        <v>-</v>
      </c>
      <c r="J130" s="35" t="str">
        <f>IFERROR(IF(VLOOKUP($B130,casostestes[#Data],9)=0,"-",VLOOKUP($B130,casostestes[#Data],9)),"-")</f>
        <v>-</v>
      </c>
      <c r="K130" s="36"/>
      <c r="L130" s="45"/>
      <c r="M130" s="37"/>
      <c r="N130" s="38"/>
      <c r="O130" s="38"/>
      <c r="P130" s="39"/>
    </row>
    <row r="131" spans="2:16">
      <c r="B131" s="40" t="str">
        <f>IF(ISERR(casostestes[[#This Row],[ID]]),"-",casostestes[[#This Row],[ID]])</f>
        <v>-</v>
      </c>
      <c r="C131" s="34" t="str">
        <f>IFERROR(IF(VLOOKUP($B131,casostestes[#Data],10)=0,"Não",VLOOKUP($B131,casostestes[#Data],10)), "-")</f>
        <v>-</v>
      </c>
      <c r="D131" s="35" t="str">
        <f>IFERROR(IF(VLOOKUP($B131,casostestes[#Data],2)=0,"-",VLOOKUP($B131,casostestes[#Data],2)), "-")</f>
        <v>-</v>
      </c>
      <c r="E131" s="35" t="str">
        <f>IFERROR(IF(VLOOKUP($B131,casostestes[#Data],3)=0,"-",VLOOKUP($B131,casostestes[#Data],3)), "-")</f>
        <v>-</v>
      </c>
      <c r="F131" s="35" t="str">
        <f>IFERROR(IF(VLOOKUP($B131,casostestes[#Data],4)=0,"-",VLOOKUP($B131,casostestes[#Data],4)),"-")</f>
        <v>-</v>
      </c>
      <c r="G131" s="35" t="str">
        <f>IFERROR(IF(VLOOKUP($B131,casostestes[#Data],5)=0,"-",VLOOKUP($B131,casostestes[#Data],5)),"-")</f>
        <v>-</v>
      </c>
      <c r="H131" s="35" t="str">
        <f>IFERROR(IF(VLOOKUP($B131,casostestes[#Data],6)=0,"-",VLOOKUP($B131,casostestes[#Data],6)),"-")</f>
        <v>-</v>
      </c>
      <c r="I131" s="35" t="str">
        <f>IFERROR(IF(VLOOKUP($B131,casostestes[#Data],8)=0,"-",VLOOKUP($B131,casostestes[#Data],8)),"-")</f>
        <v>-</v>
      </c>
      <c r="J131" s="35" t="str">
        <f>IFERROR(IF(VLOOKUP($B131,casostestes[#Data],9)=0,"-",VLOOKUP($B131,casostestes[#Data],9)),"-")</f>
        <v>-</v>
      </c>
      <c r="K131" s="36"/>
      <c r="L131" s="45"/>
      <c r="M131" s="37"/>
      <c r="N131" s="38"/>
      <c r="O131" s="38"/>
      <c r="P131" s="39"/>
    </row>
    <row r="132" spans="2:16">
      <c r="B132" s="40" t="str">
        <f>IF(ISERR(casostestes[[#This Row],[ID]]),"-",casostestes[[#This Row],[ID]])</f>
        <v>-</v>
      </c>
      <c r="C132" s="34" t="str">
        <f>IFERROR(IF(VLOOKUP($B132,casostestes[#Data],10)=0,"Não",VLOOKUP($B132,casostestes[#Data],10)), "-")</f>
        <v>-</v>
      </c>
      <c r="D132" s="35" t="str">
        <f>IFERROR(IF(VLOOKUP($B132,casostestes[#Data],2)=0,"-",VLOOKUP($B132,casostestes[#Data],2)), "-")</f>
        <v>-</v>
      </c>
      <c r="E132" s="35" t="str">
        <f>IFERROR(IF(VLOOKUP($B132,casostestes[#Data],3)=0,"-",VLOOKUP($B132,casostestes[#Data],3)), "-")</f>
        <v>-</v>
      </c>
      <c r="F132" s="35" t="str">
        <f>IFERROR(IF(VLOOKUP($B132,casostestes[#Data],4)=0,"-",VLOOKUP($B132,casostestes[#Data],4)),"-")</f>
        <v>-</v>
      </c>
      <c r="G132" s="35" t="str">
        <f>IFERROR(IF(VLOOKUP($B132,casostestes[#Data],5)=0,"-",VLOOKUP($B132,casostestes[#Data],5)),"-")</f>
        <v>-</v>
      </c>
      <c r="H132" s="35" t="str">
        <f>IFERROR(IF(VLOOKUP($B132,casostestes[#Data],6)=0,"-",VLOOKUP($B132,casostestes[#Data],6)),"-")</f>
        <v>-</v>
      </c>
      <c r="I132" s="35" t="str">
        <f>IFERROR(IF(VLOOKUP($B132,casostestes[#Data],8)=0,"-",VLOOKUP($B132,casostestes[#Data],8)),"-")</f>
        <v>-</v>
      </c>
      <c r="J132" s="35" t="str">
        <f>IFERROR(IF(VLOOKUP($B132,casostestes[#Data],9)=0,"-",VLOOKUP($B132,casostestes[#Data],9)),"-")</f>
        <v>-</v>
      </c>
      <c r="K132" s="36"/>
      <c r="L132" s="45"/>
      <c r="M132" s="37"/>
      <c r="N132" s="38"/>
      <c r="O132" s="38"/>
      <c r="P132" s="39"/>
    </row>
    <row r="133" spans="2:16">
      <c r="B133" s="40" t="str">
        <f>IF(ISERR(casostestes[[#This Row],[ID]]),"-",casostestes[[#This Row],[ID]])</f>
        <v>-</v>
      </c>
      <c r="C133" s="34" t="str">
        <f>IFERROR(IF(VLOOKUP($B133,casostestes[#Data],10)=0,"Não",VLOOKUP($B133,casostestes[#Data],10)), "-")</f>
        <v>-</v>
      </c>
      <c r="D133" s="35" t="str">
        <f>IFERROR(IF(VLOOKUP($B133,casostestes[#Data],2)=0,"-",VLOOKUP($B133,casostestes[#Data],2)), "-")</f>
        <v>-</v>
      </c>
      <c r="E133" s="35" t="str">
        <f>IFERROR(IF(VLOOKUP($B133,casostestes[#Data],3)=0,"-",VLOOKUP($B133,casostestes[#Data],3)), "-")</f>
        <v>-</v>
      </c>
      <c r="F133" s="35" t="str">
        <f>IFERROR(IF(VLOOKUP($B133,casostestes[#Data],4)=0,"-",VLOOKUP($B133,casostestes[#Data],4)),"-")</f>
        <v>-</v>
      </c>
      <c r="G133" s="35" t="str">
        <f>IFERROR(IF(VLOOKUP($B133,casostestes[#Data],5)=0,"-",VLOOKUP($B133,casostestes[#Data],5)),"-")</f>
        <v>-</v>
      </c>
      <c r="H133" s="35" t="str">
        <f>IFERROR(IF(VLOOKUP($B133,casostestes[#Data],6)=0,"-",VLOOKUP($B133,casostestes[#Data],6)),"-")</f>
        <v>-</v>
      </c>
      <c r="I133" s="35" t="str">
        <f>IFERROR(IF(VLOOKUP($B133,casostestes[#Data],8)=0,"-",VLOOKUP($B133,casostestes[#Data],8)),"-")</f>
        <v>-</v>
      </c>
      <c r="J133" s="35" t="str">
        <f>IFERROR(IF(VLOOKUP($B133,casostestes[#Data],9)=0,"-",VLOOKUP($B133,casostestes[#Data],9)),"-")</f>
        <v>-</v>
      </c>
      <c r="K133" s="36"/>
      <c r="L133" s="45"/>
      <c r="M133" s="37"/>
      <c r="N133" s="38"/>
      <c r="O133" s="38"/>
      <c r="P133" s="39"/>
    </row>
    <row r="134" spans="2:16">
      <c r="B134" s="40" t="str">
        <f>IF(ISERR(casostestes[[#This Row],[ID]]),"-",casostestes[[#This Row],[ID]])</f>
        <v>-</v>
      </c>
      <c r="C134" s="34" t="str">
        <f>IFERROR(IF(VLOOKUP($B134,casostestes[#Data],10)=0,"Não",VLOOKUP($B134,casostestes[#Data],10)), "-")</f>
        <v>-</v>
      </c>
      <c r="D134" s="35" t="str">
        <f>IFERROR(IF(VLOOKUP($B134,casostestes[#Data],2)=0,"-",VLOOKUP($B134,casostestes[#Data],2)), "-")</f>
        <v>-</v>
      </c>
      <c r="E134" s="35" t="str">
        <f>IFERROR(IF(VLOOKUP($B134,casostestes[#Data],3)=0,"-",VLOOKUP($B134,casostestes[#Data],3)), "-")</f>
        <v>-</v>
      </c>
      <c r="F134" s="35" t="str">
        <f>IFERROR(IF(VLOOKUP($B134,casostestes[#Data],4)=0,"-",VLOOKUP($B134,casostestes[#Data],4)),"-")</f>
        <v>-</v>
      </c>
      <c r="G134" s="35" t="str">
        <f>IFERROR(IF(VLOOKUP($B134,casostestes[#Data],5)=0,"-",VLOOKUP($B134,casostestes[#Data],5)),"-")</f>
        <v>-</v>
      </c>
      <c r="H134" s="35" t="str">
        <f>IFERROR(IF(VLOOKUP($B134,casostestes[#Data],6)=0,"-",VLOOKUP($B134,casostestes[#Data],6)),"-")</f>
        <v>-</v>
      </c>
      <c r="I134" s="35" t="str">
        <f>IFERROR(IF(VLOOKUP($B134,casostestes[#Data],8)=0,"-",VLOOKUP($B134,casostestes[#Data],8)),"-")</f>
        <v>-</v>
      </c>
      <c r="J134" s="35" t="str">
        <f>IFERROR(IF(VLOOKUP($B134,casostestes[#Data],9)=0,"-",VLOOKUP($B134,casostestes[#Data],9)),"-")</f>
        <v>-</v>
      </c>
      <c r="K134" s="36"/>
      <c r="L134" s="45"/>
      <c r="M134" s="37"/>
      <c r="N134" s="38"/>
      <c r="O134" s="38"/>
      <c r="P134" s="39"/>
    </row>
    <row r="135" spans="2:16">
      <c r="B135" s="40" t="str">
        <f>IF(ISERR(casostestes[[#This Row],[ID]]),"-",casostestes[[#This Row],[ID]])</f>
        <v>-</v>
      </c>
      <c r="C135" s="34" t="str">
        <f>IFERROR(IF(VLOOKUP($B135,casostestes[#Data],10)=0,"Não",VLOOKUP($B135,casostestes[#Data],10)), "-")</f>
        <v>-</v>
      </c>
      <c r="D135" s="35" t="str">
        <f>IFERROR(IF(VLOOKUP($B135,casostestes[#Data],2)=0,"-",VLOOKUP($B135,casostestes[#Data],2)), "-")</f>
        <v>-</v>
      </c>
      <c r="E135" s="35" t="str">
        <f>IFERROR(IF(VLOOKUP($B135,casostestes[#Data],3)=0,"-",VLOOKUP($B135,casostestes[#Data],3)), "-")</f>
        <v>-</v>
      </c>
      <c r="F135" s="35" t="str">
        <f>IFERROR(IF(VLOOKUP($B135,casostestes[#Data],4)=0,"-",VLOOKUP($B135,casostestes[#Data],4)),"-")</f>
        <v>-</v>
      </c>
      <c r="G135" s="35" t="str">
        <f>IFERROR(IF(VLOOKUP($B135,casostestes[#Data],5)=0,"-",VLOOKUP($B135,casostestes[#Data],5)),"-")</f>
        <v>-</v>
      </c>
      <c r="H135" s="35" t="str">
        <f>IFERROR(IF(VLOOKUP($B135,casostestes[#Data],6)=0,"-",VLOOKUP($B135,casostestes[#Data],6)),"-")</f>
        <v>-</v>
      </c>
      <c r="I135" s="35" t="str">
        <f>IFERROR(IF(VLOOKUP($B135,casostestes[#Data],8)=0,"-",VLOOKUP($B135,casostestes[#Data],8)),"-")</f>
        <v>-</v>
      </c>
      <c r="J135" s="35" t="str">
        <f>IFERROR(IF(VLOOKUP($B135,casostestes[#Data],9)=0,"-",VLOOKUP($B135,casostestes[#Data],9)),"-")</f>
        <v>-</v>
      </c>
      <c r="K135" s="36"/>
      <c r="L135" s="45"/>
      <c r="M135" s="37"/>
      <c r="N135" s="38"/>
      <c r="O135" s="38"/>
      <c r="P135" s="39"/>
    </row>
    <row r="136" spans="2:16">
      <c r="B136" s="40" t="str">
        <f>IF(ISERR(casostestes[[#This Row],[ID]]),"-",casostestes[[#This Row],[ID]])</f>
        <v>-</v>
      </c>
      <c r="C136" s="34" t="str">
        <f>IFERROR(IF(VLOOKUP($B136,casostestes[#Data],10)=0,"Não",VLOOKUP($B136,casostestes[#Data],10)), "-")</f>
        <v>-</v>
      </c>
      <c r="D136" s="35" t="str">
        <f>IFERROR(IF(VLOOKUP($B136,casostestes[#Data],2)=0,"-",VLOOKUP($B136,casostestes[#Data],2)), "-")</f>
        <v>-</v>
      </c>
      <c r="E136" s="35" t="str">
        <f>IFERROR(IF(VLOOKUP($B136,casostestes[#Data],3)=0,"-",VLOOKUP($B136,casostestes[#Data],3)), "-")</f>
        <v>-</v>
      </c>
      <c r="F136" s="35" t="str">
        <f>IFERROR(IF(VLOOKUP($B136,casostestes[#Data],4)=0,"-",VLOOKUP($B136,casostestes[#Data],4)),"-")</f>
        <v>-</v>
      </c>
      <c r="G136" s="35" t="str">
        <f>IFERROR(IF(VLOOKUP($B136,casostestes[#Data],5)=0,"-",VLOOKUP($B136,casostestes[#Data],5)),"-")</f>
        <v>-</v>
      </c>
      <c r="H136" s="35" t="str">
        <f>IFERROR(IF(VLOOKUP($B136,casostestes[#Data],6)=0,"-",VLOOKUP($B136,casostestes[#Data],6)),"-")</f>
        <v>-</v>
      </c>
      <c r="I136" s="35" t="str">
        <f>IFERROR(IF(VLOOKUP($B136,casostestes[#Data],8)=0,"-",VLOOKUP($B136,casostestes[#Data],8)),"-")</f>
        <v>-</v>
      </c>
      <c r="J136" s="35" t="str">
        <f>IFERROR(IF(VLOOKUP($B136,casostestes[#Data],9)=0,"-",VLOOKUP($B136,casostestes[#Data],9)),"-")</f>
        <v>-</v>
      </c>
      <c r="K136" s="36"/>
      <c r="L136" s="45"/>
      <c r="M136" s="37"/>
      <c r="N136" s="38"/>
      <c r="O136" s="38"/>
      <c r="P136" s="39"/>
    </row>
    <row r="137" spans="2:16">
      <c r="B137" s="40" t="str">
        <f>IF(ISERR(casostestes[[#This Row],[ID]]),"-",casostestes[[#This Row],[ID]])</f>
        <v>-</v>
      </c>
      <c r="C137" s="34" t="str">
        <f>IFERROR(IF(VLOOKUP($B137,casostestes[#Data],10)=0,"Não",VLOOKUP($B137,casostestes[#Data],10)), "-")</f>
        <v>-</v>
      </c>
      <c r="D137" s="35" t="str">
        <f>IFERROR(IF(VLOOKUP($B137,casostestes[#Data],2)=0,"-",VLOOKUP($B137,casostestes[#Data],2)), "-")</f>
        <v>-</v>
      </c>
      <c r="E137" s="35" t="str">
        <f>IFERROR(IF(VLOOKUP($B137,casostestes[#Data],3)=0,"-",VLOOKUP($B137,casostestes[#Data],3)), "-")</f>
        <v>-</v>
      </c>
      <c r="F137" s="35" t="str">
        <f>IFERROR(IF(VLOOKUP($B137,casostestes[#Data],4)=0,"-",VLOOKUP($B137,casostestes[#Data],4)),"-")</f>
        <v>-</v>
      </c>
      <c r="G137" s="35" t="str">
        <f>IFERROR(IF(VLOOKUP($B137,casostestes[#Data],5)=0,"-",VLOOKUP($B137,casostestes[#Data],5)),"-")</f>
        <v>-</v>
      </c>
      <c r="H137" s="35" t="str">
        <f>IFERROR(IF(VLOOKUP($B137,casostestes[#Data],6)=0,"-",VLOOKUP($B137,casostestes[#Data],6)),"-")</f>
        <v>-</v>
      </c>
      <c r="I137" s="35" t="str">
        <f>IFERROR(IF(VLOOKUP($B137,casostestes[#Data],8)=0,"-",VLOOKUP($B137,casostestes[#Data],8)),"-")</f>
        <v>-</v>
      </c>
      <c r="J137" s="35" t="str">
        <f>IFERROR(IF(VLOOKUP($B137,casostestes[#Data],9)=0,"-",VLOOKUP($B137,casostestes[#Data],9)),"-")</f>
        <v>-</v>
      </c>
      <c r="K137" s="36"/>
      <c r="L137" s="45"/>
      <c r="M137" s="37"/>
      <c r="N137" s="38"/>
      <c r="O137" s="38"/>
      <c r="P137" s="39"/>
    </row>
    <row r="138" spans="2:16">
      <c r="B138" s="40" t="str">
        <f>IF(ISERR(casostestes[[#This Row],[ID]]),"-",casostestes[[#This Row],[ID]])</f>
        <v>-</v>
      </c>
      <c r="C138" s="34" t="str">
        <f>IFERROR(IF(VLOOKUP($B138,casostestes[#Data],10)=0,"Não",VLOOKUP($B138,casostestes[#Data],10)), "-")</f>
        <v>-</v>
      </c>
      <c r="D138" s="35" t="str">
        <f>IFERROR(IF(VLOOKUP($B138,casostestes[#Data],2)=0,"-",VLOOKUP($B138,casostestes[#Data],2)), "-")</f>
        <v>-</v>
      </c>
      <c r="E138" s="35" t="str">
        <f>IFERROR(IF(VLOOKUP($B138,casostestes[#Data],3)=0,"-",VLOOKUP($B138,casostestes[#Data],3)), "-")</f>
        <v>-</v>
      </c>
      <c r="F138" s="35" t="str">
        <f>IFERROR(IF(VLOOKUP($B138,casostestes[#Data],4)=0,"-",VLOOKUP($B138,casostestes[#Data],4)),"-")</f>
        <v>-</v>
      </c>
      <c r="G138" s="35" t="str">
        <f>IFERROR(IF(VLOOKUP($B138,casostestes[#Data],5)=0,"-",VLOOKUP($B138,casostestes[#Data],5)),"-")</f>
        <v>-</v>
      </c>
      <c r="H138" s="35" t="str">
        <f>IFERROR(IF(VLOOKUP($B138,casostestes[#Data],6)=0,"-",VLOOKUP($B138,casostestes[#Data],6)),"-")</f>
        <v>-</v>
      </c>
      <c r="I138" s="35" t="str">
        <f>IFERROR(IF(VLOOKUP($B138,casostestes[#Data],8)=0,"-",VLOOKUP($B138,casostestes[#Data],8)),"-")</f>
        <v>-</v>
      </c>
      <c r="J138" s="35" t="str">
        <f>IFERROR(IF(VLOOKUP($B138,casostestes[#Data],9)=0,"-",VLOOKUP($B138,casostestes[#Data],9)),"-")</f>
        <v>-</v>
      </c>
      <c r="K138" s="36"/>
      <c r="L138" s="45"/>
      <c r="M138" s="37"/>
      <c r="N138" s="38"/>
      <c r="O138" s="38"/>
      <c r="P138" s="39"/>
    </row>
    <row r="139" spans="2:16">
      <c r="B139" s="40" t="str">
        <f>IF(ISERR(casostestes[[#This Row],[ID]]),"-",casostestes[[#This Row],[ID]])</f>
        <v>-</v>
      </c>
      <c r="C139" s="34" t="str">
        <f>IFERROR(IF(VLOOKUP($B139,casostestes[#Data],10)=0,"Não",VLOOKUP($B139,casostestes[#Data],10)), "-")</f>
        <v>-</v>
      </c>
      <c r="D139" s="35" t="str">
        <f>IFERROR(IF(VLOOKUP($B139,casostestes[#Data],2)=0,"-",VLOOKUP($B139,casostestes[#Data],2)), "-")</f>
        <v>-</v>
      </c>
      <c r="E139" s="35" t="str">
        <f>IFERROR(IF(VLOOKUP($B139,casostestes[#Data],3)=0,"-",VLOOKUP($B139,casostestes[#Data],3)), "-")</f>
        <v>-</v>
      </c>
      <c r="F139" s="35" t="str">
        <f>IFERROR(IF(VLOOKUP($B139,casostestes[#Data],4)=0,"-",VLOOKUP($B139,casostestes[#Data],4)),"-")</f>
        <v>-</v>
      </c>
      <c r="G139" s="35" t="str">
        <f>IFERROR(IF(VLOOKUP($B139,casostestes[#Data],5)=0,"-",VLOOKUP($B139,casostestes[#Data],5)),"-")</f>
        <v>-</v>
      </c>
      <c r="H139" s="35" t="str">
        <f>IFERROR(IF(VLOOKUP($B139,casostestes[#Data],6)=0,"-",VLOOKUP($B139,casostestes[#Data],6)),"-")</f>
        <v>-</v>
      </c>
      <c r="I139" s="35" t="str">
        <f>IFERROR(IF(VLOOKUP($B139,casostestes[#Data],8)=0,"-",VLOOKUP($B139,casostestes[#Data],8)),"-")</f>
        <v>-</v>
      </c>
      <c r="J139" s="35" t="str">
        <f>IFERROR(IF(VLOOKUP($B139,casostestes[#Data],9)=0,"-",VLOOKUP($B139,casostestes[#Data],9)),"-")</f>
        <v>-</v>
      </c>
      <c r="K139" s="36"/>
      <c r="L139" s="45"/>
      <c r="M139" s="37"/>
      <c r="N139" s="38"/>
      <c r="O139" s="38"/>
      <c r="P139" s="39"/>
    </row>
    <row r="140" spans="2:16">
      <c r="B140" s="40" t="str">
        <f>IF(ISERR(casostestes[[#This Row],[ID]]),"-",casostestes[[#This Row],[ID]])</f>
        <v>-</v>
      </c>
      <c r="C140" s="34" t="str">
        <f>IFERROR(IF(VLOOKUP($B140,casostestes[#Data],10)=0,"Não",VLOOKUP($B140,casostestes[#Data],10)), "-")</f>
        <v>-</v>
      </c>
      <c r="D140" s="35" t="str">
        <f>IFERROR(IF(VLOOKUP($B140,casostestes[#Data],2)=0,"-",VLOOKUP($B140,casostestes[#Data],2)), "-")</f>
        <v>-</v>
      </c>
      <c r="E140" s="35" t="str">
        <f>IFERROR(IF(VLOOKUP($B140,casostestes[#Data],3)=0,"-",VLOOKUP($B140,casostestes[#Data],3)), "-")</f>
        <v>-</v>
      </c>
      <c r="F140" s="35" t="str">
        <f>IFERROR(IF(VLOOKUP($B140,casostestes[#Data],4)=0,"-",VLOOKUP($B140,casostestes[#Data],4)),"-")</f>
        <v>-</v>
      </c>
      <c r="G140" s="35" t="str">
        <f>IFERROR(IF(VLOOKUP($B140,casostestes[#Data],5)=0,"-",VLOOKUP($B140,casostestes[#Data],5)),"-")</f>
        <v>-</v>
      </c>
      <c r="H140" s="35" t="str">
        <f>IFERROR(IF(VLOOKUP($B140,casostestes[#Data],6)=0,"-",VLOOKUP($B140,casostestes[#Data],6)),"-")</f>
        <v>-</v>
      </c>
      <c r="I140" s="35" t="str">
        <f>IFERROR(IF(VLOOKUP($B140,casostestes[#Data],8)=0,"-",VLOOKUP($B140,casostestes[#Data],8)),"-")</f>
        <v>-</v>
      </c>
      <c r="J140" s="35" t="str">
        <f>IFERROR(IF(VLOOKUP($B140,casostestes[#Data],9)=0,"-",VLOOKUP($B140,casostestes[#Data],9)),"-")</f>
        <v>-</v>
      </c>
      <c r="K140" s="36"/>
      <c r="L140" s="45"/>
      <c r="M140" s="37"/>
      <c r="N140" s="38"/>
      <c r="O140" s="38"/>
      <c r="P140" s="39"/>
    </row>
    <row r="141" spans="2:16">
      <c r="B141" s="40" t="str">
        <f>IF(ISERR(casostestes[[#This Row],[ID]]),"-",casostestes[[#This Row],[ID]])</f>
        <v>-</v>
      </c>
      <c r="C141" s="34" t="str">
        <f>IFERROR(IF(VLOOKUP($B141,casostestes[#Data],10)=0,"Não",VLOOKUP($B141,casostestes[#Data],10)), "-")</f>
        <v>-</v>
      </c>
      <c r="D141" s="35" t="str">
        <f>IFERROR(IF(VLOOKUP($B141,casostestes[#Data],2)=0,"-",VLOOKUP($B141,casostestes[#Data],2)), "-")</f>
        <v>-</v>
      </c>
      <c r="E141" s="35" t="str">
        <f>IFERROR(IF(VLOOKUP($B141,casostestes[#Data],3)=0,"-",VLOOKUP($B141,casostestes[#Data],3)), "-")</f>
        <v>-</v>
      </c>
      <c r="F141" s="35" t="str">
        <f>IFERROR(IF(VLOOKUP($B141,casostestes[#Data],4)=0,"-",VLOOKUP($B141,casostestes[#Data],4)),"-")</f>
        <v>-</v>
      </c>
      <c r="G141" s="35" t="str">
        <f>IFERROR(IF(VLOOKUP($B141,casostestes[#Data],5)=0,"-",VLOOKUP($B141,casostestes[#Data],5)),"-")</f>
        <v>-</v>
      </c>
      <c r="H141" s="35" t="str">
        <f>IFERROR(IF(VLOOKUP($B141,casostestes[#Data],6)=0,"-",VLOOKUP($B141,casostestes[#Data],6)),"-")</f>
        <v>-</v>
      </c>
      <c r="I141" s="35" t="str">
        <f>IFERROR(IF(VLOOKUP($B141,casostestes[#Data],8)=0,"-",VLOOKUP($B141,casostestes[#Data],8)),"-")</f>
        <v>-</v>
      </c>
      <c r="J141" s="35" t="str">
        <f>IFERROR(IF(VLOOKUP($B141,casostestes[#Data],9)=0,"-",VLOOKUP($B141,casostestes[#Data],9)),"-")</f>
        <v>-</v>
      </c>
      <c r="K141" s="36"/>
      <c r="L141" s="45"/>
      <c r="M141" s="37"/>
      <c r="N141" s="38"/>
      <c r="O141" s="38"/>
      <c r="P141" s="39"/>
    </row>
    <row r="142" spans="2:16">
      <c r="B142" s="40" t="str">
        <f>IF(ISERR(casostestes[[#This Row],[ID]]),"-",casostestes[[#This Row],[ID]])</f>
        <v>-</v>
      </c>
      <c r="C142" s="34" t="str">
        <f>IFERROR(IF(VLOOKUP($B142,casostestes[#Data],10)=0,"Não",VLOOKUP($B142,casostestes[#Data],10)), "-")</f>
        <v>-</v>
      </c>
      <c r="D142" s="35" t="str">
        <f>IFERROR(IF(VLOOKUP($B142,casostestes[#Data],2)=0,"-",VLOOKUP($B142,casostestes[#Data],2)), "-")</f>
        <v>-</v>
      </c>
      <c r="E142" s="35" t="str">
        <f>IFERROR(IF(VLOOKUP($B142,casostestes[#Data],3)=0,"-",VLOOKUP($B142,casostestes[#Data],3)), "-")</f>
        <v>-</v>
      </c>
      <c r="F142" s="35" t="str">
        <f>IFERROR(IF(VLOOKUP($B142,casostestes[#Data],4)=0,"-",VLOOKUP($B142,casostestes[#Data],4)),"-")</f>
        <v>-</v>
      </c>
      <c r="G142" s="35" t="str">
        <f>IFERROR(IF(VLOOKUP($B142,casostestes[#Data],5)=0,"-",VLOOKUP($B142,casostestes[#Data],5)),"-")</f>
        <v>-</v>
      </c>
      <c r="H142" s="35" t="str">
        <f>IFERROR(IF(VLOOKUP($B142,casostestes[#Data],6)=0,"-",VLOOKUP($B142,casostestes[#Data],6)),"-")</f>
        <v>-</v>
      </c>
      <c r="I142" s="35" t="str">
        <f>IFERROR(IF(VLOOKUP($B142,casostestes[#Data],8)=0,"-",VLOOKUP($B142,casostestes[#Data],8)),"-")</f>
        <v>-</v>
      </c>
      <c r="J142" s="35" t="str">
        <f>IFERROR(IF(VLOOKUP($B142,casostestes[#Data],9)=0,"-",VLOOKUP($B142,casostestes[#Data],9)),"-")</f>
        <v>-</v>
      </c>
      <c r="K142" s="36"/>
      <c r="L142" s="45"/>
      <c r="M142" s="37"/>
      <c r="N142" s="38"/>
      <c r="O142" s="38"/>
      <c r="P142" s="39"/>
    </row>
    <row r="143" spans="2:16">
      <c r="B143" s="40" t="str">
        <f>IF(ISERR(casostestes[[#This Row],[ID]]),"-",casostestes[[#This Row],[ID]])</f>
        <v>-</v>
      </c>
      <c r="C143" s="34" t="str">
        <f>IFERROR(IF(VLOOKUP($B143,casostestes[#Data],10)=0,"Não",VLOOKUP($B143,casostestes[#Data],10)), "-")</f>
        <v>-</v>
      </c>
      <c r="D143" s="35" t="str">
        <f>IFERROR(IF(VLOOKUP($B143,casostestes[#Data],2)=0,"-",VLOOKUP($B143,casostestes[#Data],2)), "-")</f>
        <v>-</v>
      </c>
      <c r="E143" s="35" t="str">
        <f>IFERROR(IF(VLOOKUP($B143,casostestes[#Data],3)=0,"-",VLOOKUP($B143,casostestes[#Data],3)), "-")</f>
        <v>-</v>
      </c>
      <c r="F143" s="35" t="str">
        <f>IFERROR(IF(VLOOKUP($B143,casostestes[#Data],4)=0,"-",VLOOKUP($B143,casostestes[#Data],4)),"-")</f>
        <v>-</v>
      </c>
      <c r="G143" s="35" t="str">
        <f>IFERROR(IF(VLOOKUP($B143,casostestes[#Data],5)=0,"-",VLOOKUP($B143,casostestes[#Data],5)),"-")</f>
        <v>-</v>
      </c>
      <c r="H143" s="35" t="str">
        <f>IFERROR(IF(VLOOKUP($B143,casostestes[#Data],6)=0,"-",VLOOKUP($B143,casostestes[#Data],6)),"-")</f>
        <v>-</v>
      </c>
      <c r="I143" s="35" t="str">
        <f>IFERROR(IF(VLOOKUP($B143,casostestes[#Data],8)=0,"-",VLOOKUP($B143,casostestes[#Data],8)),"-")</f>
        <v>-</v>
      </c>
      <c r="J143" s="35" t="str">
        <f>IFERROR(IF(VLOOKUP($B143,casostestes[#Data],9)=0,"-",VLOOKUP($B143,casostestes[#Data],9)),"-")</f>
        <v>-</v>
      </c>
      <c r="K143" s="36"/>
      <c r="L143" s="45"/>
      <c r="M143" s="37"/>
      <c r="N143" s="38"/>
      <c r="O143" s="38"/>
      <c r="P143" s="39"/>
    </row>
    <row r="144" spans="2:16">
      <c r="B144" s="40" t="str">
        <f>IF(ISERR(casostestes[[#This Row],[ID]]),"-",casostestes[[#This Row],[ID]])</f>
        <v>-</v>
      </c>
      <c r="C144" s="34" t="str">
        <f>IFERROR(IF(VLOOKUP($B144,casostestes[#Data],10)=0,"Não",VLOOKUP($B144,casostestes[#Data],10)), "-")</f>
        <v>-</v>
      </c>
      <c r="D144" s="35" t="str">
        <f>IFERROR(IF(VLOOKUP($B144,casostestes[#Data],2)=0,"-",VLOOKUP($B144,casostestes[#Data],2)), "-")</f>
        <v>-</v>
      </c>
      <c r="E144" s="35" t="str">
        <f>IFERROR(IF(VLOOKUP($B144,casostestes[#Data],3)=0,"-",VLOOKUP($B144,casostestes[#Data],3)), "-")</f>
        <v>-</v>
      </c>
      <c r="F144" s="35" t="str">
        <f>IFERROR(IF(VLOOKUP($B144,casostestes[#Data],4)=0,"-",VLOOKUP($B144,casostestes[#Data],4)),"-")</f>
        <v>-</v>
      </c>
      <c r="G144" s="35" t="str">
        <f>IFERROR(IF(VLOOKUP($B144,casostestes[#Data],5)=0,"-",VLOOKUP($B144,casostestes[#Data],5)),"-")</f>
        <v>-</v>
      </c>
      <c r="H144" s="35" t="str">
        <f>IFERROR(IF(VLOOKUP($B144,casostestes[#Data],6)=0,"-",VLOOKUP($B144,casostestes[#Data],6)),"-")</f>
        <v>-</v>
      </c>
      <c r="I144" s="35" t="str">
        <f>IFERROR(IF(VLOOKUP($B144,casostestes[#Data],8)=0,"-",VLOOKUP($B144,casostestes[#Data],8)),"-")</f>
        <v>-</v>
      </c>
      <c r="J144" s="35" t="str">
        <f>IFERROR(IF(VLOOKUP($B144,casostestes[#Data],9)=0,"-",VLOOKUP($B144,casostestes[#Data],9)),"-")</f>
        <v>-</v>
      </c>
      <c r="K144" s="36"/>
      <c r="L144" s="45"/>
      <c r="M144" s="37"/>
      <c r="N144" s="38"/>
      <c r="O144" s="38"/>
      <c r="P144" s="39"/>
    </row>
    <row r="145" spans="2:16">
      <c r="B145" s="40" t="str">
        <f>IF(ISERR(casostestes[[#This Row],[ID]]),"-",casostestes[[#This Row],[ID]])</f>
        <v>-</v>
      </c>
      <c r="C145" s="34" t="str">
        <f>IFERROR(IF(VLOOKUP($B145,casostestes[#Data],10)=0,"Não",VLOOKUP($B145,casostestes[#Data],10)), "-")</f>
        <v>-</v>
      </c>
      <c r="D145" s="35" t="str">
        <f>IFERROR(IF(VLOOKUP($B145,casostestes[#Data],2)=0,"-",VLOOKUP($B145,casostestes[#Data],2)), "-")</f>
        <v>-</v>
      </c>
      <c r="E145" s="35" t="str">
        <f>IFERROR(IF(VLOOKUP($B145,casostestes[#Data],3)=0,"-",VLOOKUP($B145,casostestes[#Data],3)), "-")</f>
        <v>-</v>
      </c>
      <c r="F145" s="35" t="str">
        <f>IFERROR(IF(VLOOKUP($B145,casostestes[#Data],4)=0,"-",VLOOKUP($B145,casostestes[#Data],4)),"-")</f>
        <v>-</v>
      </c>
      <c r="G145" s="35" t="str">
        <f>IFERROR(IF(VLOOKUP($B145,casostestes[#Data],5)=0,"-",VLOOKUP($B145,casostestes[#Data],5)),"-")</f>
        <v>-</v>
      </c>
      <c r="H145" s="35" t="str">
        <f>IFERROR(IF(VLOOKUP($B145,casostestes[#Data],6)=0,"-",VLOOKUP($B145,casostestes[#Data],6)),"-")</f>
        <v>-</v>
      </c>
      <c r="I145" s="35" t="str">
        <f>IFERROR(IF(VLOOKUP($B145,casostestes[#Data],8)=0,"-",VLOOKUP($B145,casostestes[#Data],8)),"-")</f>
        <v>-</v>
      </c>
      <c r="J145" s="35" t="str">
        <f>IFERROR(IF(VLOOKUP($B145,casostestes[#Data],9)=0,"-",VLOOKUP($B145,casostestes[#Data],9)),"-")</f>
        <v>-</v>
      </c>
      <c r="K145" s="36"/>
      <c r="L145" s="45"/>
      <c r="M145" s="37"/>
      <c r="N145" s="38"/>
      <c r="O145" s="38"/>
      <c r="P145" s="39"/>
    </row>
    <row r="146" spans="2:16">
      <c r="B146" s="40" t="str">
        <f>IF(ISERR(casostestes[[#This Row],[ID]]),"-",casostestes[[#This Row],[ID]])</f>
        <v>-</v>
      </c>
      <c r="C146" s="34" t="str">
        <f>IFERROR(IF(VLOOKUP($B146,casostestes[#Data],10)=0,"Não",VLOOKUP($B146,casostestes[#Data],10)), "-")</f>
        <v>-</v>
      </c>
      <c r="D146" s="35" t="str">
        <f>IFERROR(IF(VLOOKUP($B146,casostestes[#Data],2)=0,"-",VLOOKUP($B146,casostestes[#Data],2)), "-")</f>
        <v>-</v>
      </c>
      <c r="E146" s="35" t="str">
        <f>IFERROR(IF(VLOOKUP($B146,casostestes[#Data],3)=0,"-",VLOOKUP($B146,casostestes[#Data],3)), "-")</f>
        <v>-</v>
      </c>
      <c r="F146" s="35" t="str">
        <f>IFERROR(IF(VLOOKUP($B146,casostestes[#Data],4)=0,"-",VLOOKUP($B146,casostestes[#Data],4)),"-")</f>
        <v>-</v>
      </c>
      <c r="G146" s="35" t="str">
        <f>IFERROR(IF(VLOOKUP($B146,casostestes[#Data],5)=0,"-",VLOOKUP($B146,casostestes[#Data],5)),"-")</f>
        <v>-</v>
      </c>
      <c r="H146" s="35" t="str">
        <f>IFERROR(IF(VLOOKUP($B146,casostestes[#Data],6)=0,"-",VLOOKUP($B146,casostestes[#Data],6)),"-")</f>
        <v>-</v>
      </c>
      <c r="I146" s="35" t="str">
        <f>IFERROR(IF(VLOOKUP($B146,casostestes[#Data],8)=0,"-",VLOOKUP($B146,casostestes[#Data],8)),"-")</f>
        <v>-</v>
      </c>
      <c r="J146" s="35" t="str">
        <f>IFERROR(IF(VLOOKUP($B146,casostestes[#Data],9)=0,"-",VLOOKUP($B146,casostestes[#Data],9)),"-")</f>
        <v>-</v>
      </c>
      <c r="K146" s="36"/>
      <c r="L146" s="45"/>
      <c r="M146" s="37"/>
      <c r="N146" s="38"/>
      <c r="O146" s="38"/>
      <c r="P146" s="39"/>
    </row>
    <row r="147" spans="2:16">
      <c r="B147" s="40" t="str">
        <f>IF(ISERR(casostestes[[#This Row],[ID]]),"-",casostestes[[#This Row],[ID]])</f>
        <v>-</v>
      </c>
      <c r="C147" s="34" t="str">
        <f>IFERROR(IF(VLOOKUP($B147,casostestes[#Data],10)=0,"Não",VLOOKUP($B147,casostestes[#Data],10)), "-")</f>
        <v>-</v>
      </c>
      <c r="D147" s="35" t="str">
        <f>IFERROR(IF(VLOOKUP($B147,casostestes[#Data],2)=0,"-",VLOOKUP($B147,casostestes[#Data],2)), "-")</f>
        <v>-</v>
      </c>
      <c r="E147" s="35" t="str">
        <f>IFERROR(IF(VLOOKUP($B147,casostestes[#Data],3)=0,"-",VLOOKUP($B147,casostestes[#Data],3)), "-")</f>
        <v>-</v>
      </c>
      <c r="F147" s="35" t="str">
        <f>IFERROR(IF(VLOOKUP($B147,casostestes[#Data],4)=0,"-",VLOOKUP($B147,casostestes[#Data],4)),"-")</f>
        <v>-</v>
      </c>
      <c r="G147" s="35" t="str">
        <f>IFERROR(IF(VLOOKUP($B147,casostestes[#Data],5)=0,"-",VLOOKUP($B147,casostestes[#Data],5)),"-")</f>
        <v>-</v>
      </c>
      <c r="H147" s="35" t="str">
        <f>IFERROR(IF(VLOOKUP($B147,casostestes[#Data],6)=0,"-",VLOOKUP($B147,casostestes[#Data],6)),"-")</f>
        <v>-</v>
      </c>
      <c r="I147" s="35" t="str">
        <f>IFERROR(IF(VLOOKUP($B147,casostestes[#Data],8)=0,"-",VLOOKUP($B147,casostestes[#Data],8)),"-")</f>
        <v>-</v>
      </c>
      <c r="J147" s="35" t="str">
        <f>IFERROR(IF(VLOOKUP($B147,casostestes[#Data],9)=0,"-",VLOOKUP($B147,casostestes[#Data],9)),"-")</f>
        <v>-</v>
      </c>
      <c r="K147" s="36"/>
      <c r="L147" s="45"/>
      <c r="M147" s="37"/>
      <c r="N147" s="38"/>
      <c r="O147" s="38"/>
      <c r="P147" s="39"/>
    </row>
    <row r="148" spans="2:16">
      <c r="B148" s="40" t="str">
        <f>IF(ISERR(casostestes[[#This Row],[ID]]),"-",casostestes[[#This Row],[ID]])</f>
        <v>-</v>
      </c>
      <c r="C148" s="34" t="str">
        <f>IFERROR(IF(VLOOKUP($B148,casostestes[#Data],10)=0,"Não",VLOOKUP($B148,casostestes[#Data],10)), "-")</f>
        <v>-</v>
      </c>
      <c r="D148" s="35" t="str">
        <f>IFERROR(IF(VLOOKUP($B148,casostestes[#Data],2)=0,"-",VLOOKUP($B148,casostestes[#Data],2)), "-")</f>
        <v>-</v>
      </c>
      <c r="E148" s="35" t="str">
        <f>IFERROR(IF(VLOOKUP($B148,casostestes[#Data],3)=0,"-",VLOOKUP($B148,casostestes[#Data],3)), "-")</f>
        <v>-</v>
      </c>
      <c r="F148" s="35" t="str">
        <f>IFERROR(IF(VLOOKUP($B148,casostestes[#Data],4)=0,"-",VLOOKUP($B148,casostestes[#Data],4)),"-")</f>
        <v>-</v>
      </c>
      <c r="G148" s="35" t="str">
        <f>IFERROR(IF(VLOOKUP($B148,casostestes[#Data],5)=0,"-",VLOOKUP($B148,casostestes[#Data],5)),"-")</f>
        <v>-</v>
      </c>
      <c r="H148" s="35" t="str">
        <f>IFERROR(IF(VLOOKUP($B148,casostestes[#Data],6)=0,"-",VLOOKUP($B148,casostestes[#Data],6)),"-")</f>
        <v>-</v>
      </c>
      <c r="I148" s="35" t="str">
        <f>IFERROR(IF(VLOOKUP($B148,casostestes[#Data],8)=0,"-",VLOOKUP($B148,casostestes[#Data],8)),"-")</f>
        <v>-</v>
      </c>
      <c r="J148" s="35" t="str">
        <f>IFERROR(IF(VLOOKUP($B148,casostestes[#Data],9)=0,"-",VLOOKUP($B148,casostestes[#Data],9)),"-")</f>
        <v>-</v>
      </c>
      <c r="K148" s="36"/>
      <c r="L148" s="45"/>
      <c r="M148" s="37"/>
      <c r="N148" s="38"/>
      <c r="O148" s="38"/>
      <c r="P148" s="39"/>
    </row>
    <row r="149" spans="2:16">
      <c r="B149" s="40" t="str">
        <f>IF(ISERR(casostestes[[#This Row],[ID]]),"-",casostestes[[#This Row],[ID]])</f>
        <v>-</v>
      </c>
      <c r="C149" s="34" t="str">
        <f>IFERROR(IF(VLOOKUP($B149,casostestes[#Data],10)=0,"Não",VLOOKUP($B149,casostestes[#Data],10)), "-")</f>
        <v>-</v>
      </c>
      <c r="D149" s="35" t="str">
        <f>IFERROR(IF(VLOOKUP($B149,casostestes[#Data],2)=0,"-",VLOOKUP($B149,casostestes[#Data],2)), "-")</f>
        <v>-</v>
      </c>
      <c r="E149" s="35" t="str">
        <f>IFERROR(IF(VLOOKUP($B149,casostestes[#Data],3)=0,"-",VLOOKUP($B149,casostestes[#Data],3)), "-")</f>
        <v>-</v>
      </c>
      <c r="F149" s="35" t="str">
        <f>IFERROR(IF(VLOOKUP($B149,casostestes[#Data],4)=0,"-",VLOOKUP($B149,casostestes[#Data],4)),"-")</f>
        <v>-</v>
      </c>
      <c r="G149" s="35" t="str">
        <f>IFERROR(IF(VLOOKUP($B149,casostestes[#Data],5)=0,"-",VLOOKUP($B149,casostestes[#Data],5)),"-")</f>
        <v>-</v>
      </c>
      <c r="H149" s="35" t="str">
        <f>IFERROR(IF(VLOOKUP($B149,casostestes[#Data],6)=0,"-",VLOOKUP($B149,casostestes[#Data],6)),"-")</f>
        <v>-</v>
      </c>
      <c r="I149" s="35" t="str">
        <f>IFERROR(IF(VLOOKUP($B149,casostestes[#Data],8)=0,"-",VLOOKUP($B149,casostestes[#Data],8)),"-")</f>
        <v>-</v>
      </c>
      <c r="J149" s="35" t="str">
        <f>IFERROR(IF(VLOOKUP($B149,casostestes[#Data],9)=0,"-",VLOOKUP($B149,casostestes[#Data],9)),"-")</f>
        <v>-</v>
      </c>
      <c r="K149" s="36"/>
      <c r="L149" s="45"/>
      <c r="M149" s="37"/>
      <c r="N149" s="38"/>
      <c r="O149" s="38"/>
      <c r="P149" s="39"/>
    </row>
    <row r="150" spans="2:16">
      <c r="B150" s="40" t="str">
        <f>IF(ISERR(casostestes[[#This Row],[ID]]),"-",casostestes[[#This Row],[ID]])</f>
        <v>-</v>
      </c>
      <c r="C150" s="34" t="str">
        <f>IFERROR(IF(VLOOKUP($B150,casostestes[#Data],10)=0,"Não",VLOOKUP($B150,casostestes[#Data],10)), "-")</f>
        <v>-</v>
      </c>
      <c r="D150" s="35" t="str">
        <f>IFERROR(IF(VLOOKUP($B150,casostestes[#Data],2)=0,"-",VLOOKUP($B150,casostestes[#Data],2)), "-")</f>
        <v>-</v>
      </c>
      <c r="E150" s="35" t="str">
        <f>IFERROR(IF(VLOOKUP($B150,casostestes[#Data],3)=0,"-",VLOOKUP($B150,casostestes[#Data],3)), "-")</f>
        <v>-</v>
      </c>
      <c r="F150" s="35" t="str">
        <f>IFERROR(IF(VLOOKUP($B150,casostestes[#Data],4)=0,"-",VLOOKUP($B150,casostestes[#Data],4)),"-")</f>
        <v>-</v>
      </c>
      <c r="G150" s="35" t="str">
        <f>IFERROR(IF(VLOOKUP($B150,casostestes[#Data],5)=0,"-",VLOOKUP($B150,casostestes[#Data],5)),"-")</f>
        <v>-</v>
      </c>
      <c r="H150" s="35" t="str">
        <f>IFERROR(IF(VLOOKUP($B150,casostestes[#Data],6)=0,"-",VLOOKUP($B150,casostestes[#Data],6)),"-")</f>
        <v>-</v>
      </c>
      <c r="I150" s="35" t="str">
        <f>IFERROR(IF(VLOOKUP($B150,casostestes[#Data],8)=0,"-",VLOOKUP($B150,casostestes[#Data],8)),"-")</f>
        <v>-</v>
      </c>
      <c r="J150" s="35" t="str">
        <f>IFERROR(IF(VLOOKUP($B150,casostestes[#Data],9)=0,"-",VLOOKUP($B150,casostestes[#Data],9)),"-")</f>
        <v>-</v>
      </c>
      <c r="K150" s="36"/>
      <c r="L150" s="45"/>
      <c r="M150" s="37"/>
      <c r="N150" s="38"/>
      <c r="O150" s="38"/>
      <c r="P150" s="39"/>
    </row>
    <row r="151" spans="2:16">
      <c r="B151" s="40" t="str">
        <f>IF(ISERR(casostestes[[#This Row],[ID]]),"-",casostestes[[#This Row],[ID]])</f>
        <v>-</v>
      </c>
      <c r="C151" s="34" t="str">
        <f>IFERROR(IF(VLOOKUP($B151,casostestes[#Data],10)=0,"Não",VLOOKUP($B151,casostestes[#Data],10)), "-")</f>
        <v>-</v>
      </c>
      <c r="D151" s="35" t="str">
        <f>IFERROR(IF(VLOOKUP($B151,casostestes[#Data],2)=0,"-",VLOOKUP($B151,casostestes[#Data],2)), "-")</f>
        <v>-</v>
      </c>
      <c r="E151" s="35" t="str">
        <f>IFERROR(IF(VLOOKUP($B151,casostestes[#Data],3)=0,"-",VLOOKUP($B151,casostestes[#Data],3)), "-")</f>
        <v>-</v>
      </c>
      <c r="F151" s="35" t="str">
        <f>IFERROR(IF(VLOOKUP($B151,casostestes[#Data],4)=0,"-",VLOOKUP($B151,casostestes[#Data],4)),"-")</f>
        <v>-</v>
      </c>
      <c r="G151" s="35" t="str">
        <f>IFERROR(IF(VLOOKUP($B151,casostestes[#Data],5)=0,"-",VLOOKUP($B151,casostestes[#Data],5)),"-")</f>
        <v>-</v>
      </c>
      <c r="H151" s="35" t="str">
        <f>IFERROR(IF(VLOOKUP($B151,casostestes[#Data],6)=0,"-",VLOOKUP($B151,casostestes[#Data],6)),"-")</f>
        <v>-</v>
      </c>
      <c r="I151" s="35" t="str">
        <f>IFERROR(IF(VLOOKUP($B151,casostestes[#Data],8)=0,"-",VLOOKUP($B151,casostestes[#Data],8)),"-")</f>
        <v>-</v>
      </c>
      <c r="J151" s="35" t="str">
        <f>IFERROR(IF(VLOOKUP($B151,casostestes[#Data],9)=0,"-",VLOOKUP($B151,casostestes[#Data],9)),"-")</f>
        <v>-</v>
      </c>
      <c r="K151" s="36"/>
      <c r="L151" s="45"/>
      <c r="M151" s="37"/>
      <c r="N151" s="38"/>
      <c r="O151" s="38"/>
      <c r="P151" s="39"/>
    </row>
    <row r="152" spans="2:16">
      <c r="B152" s="40" t="str">
        <f>IF(ISERR(casostestes[[#This Row],[ID]]),"-",casostestes[[#This Row],[ID]])</f>
        <v>-</v>
      </c>
      <c r="C152" s="34" t="str">
        <f>IFERROR(IF(VLOOKUP($B152,casostestes[#Data],10)=0,"Não",VLOOKUP($B152,casostestes[#Data],10)), "-")</f>
        <v>-</v>
      </c>
      <c r="D152" s="35" t="str">
        <f>IFERROR(IF(VLOOKUP($B152,casostestes[#Data],2)=0,"-",VLOOKUP($B152,casostestes[#Data],2)), "-")</f>
        <v>-</v>
      </c>
      <c r="E152" s="35" t="str">
        <f>IFERROR(IF(VLOOKUP($B152,casostestes[#Data],3)=0,"-",VLOOKUP($B152,casostestes[#Data],3)), "-")</f>
        <v>-</v>
      </c>
      <c r="F152" s="35" t="str">
        <f>IFERROR(IF(VLOOKUP($B152,casostestes[#Data],4)=0,"-",VLOOKUP($B152,casostestes[#Data],4)),"-")</f>
        <v>-</v>
      </c>
      <c r="G152" s="35" t="str">
        <f>IFERROR(IF(VLOOKUP($B152,casostestes[#Data],5)=0,"-",VLOOKUP($B152,casostestes[#Data],5)),"-")</f>
        <v>-</v>
      </c>
      <c r="H152" s="35" t="str">
        <f>IFERROR(IF(VLOOKUP($B152,casostestes[#Data],6)=0,"-",VLOOKUP($B152,casostestes[#Data],6)),"-")</f>
        <v>-</v>
      </c>
      <c r="I152" s="35" t="str">
        <f>IFERROR(IF(VLOOKUP($B152,casostestes[#Data],8)=0,"-",VLOOKUP($B152,casostestes[#Data],8)),"-")</f>
        <v>-</v>
      </c>
      <c r="J152" s="35" t="str">
        <f>IFERROR(IF(VLOOKUP($B152,casostestes[#Data],9)=0,"-",VLOOKUP($B152,casostestes[#Data],9)),"-")</f>
        <v>-</v>
      </c>
      <c r="K152" s="36"/>
      <c r="L152" s="45"/>
      <c r="M152" s="37"/>
      <c r="N152" s="38"/>
      <c r="O152" s="38"/>
      <c r="P152" s="39"/>
    </row>
    <row r="153" spans="2:16">
      <c r="B153" s="40" t="str">
        <f>IF(ISERR(casostestes[[#This Row],[ID]]),"-",casostestes[[#This Row],[ID]])</f>
        <v>-</v>
      </c>
      <c r="C153" s="34" t="str">
        <f>IFERROR(IF(VLOOKUP($B153,casostestes[#Data],10)=0,"Não",VLOOKUP($B153,casostestes[#Data],10)), "-")</f>
        <v>-</v>
      </c>
      <c r="D153" s="35" t="str">
        <f>IFERROR(IF(VLOOKUP($B153,casostestes[#Data],2)=0,"-",VLOOKUP($B153,casostestes[#Data],2)), "-")</f>
        <v>-</v>
      </c>
      <c r="E153" s="35" t="str">
        <f>IFERROR(IF(VLOOKUP($B153,casostestes[#Data],3)=0,"-",VLOOKUP($B153,casostestes[#Data],3)), "-")</f>
        <v>-</v>
      </c>
      <c r="F153" s="35" t="str">
        <f>IFERROR(IF(VLOOKUP($B153,casostestes[#Data],4)=0,"-",VLOOKUP($B153,casostestes[#Data],4)),"-")</f>
        <v>-</v>
      </c>
      <c r="G153" s="35" t="str">
        <f>IFERROR(IF(VLOOKUP($B153,casostestes[#Data],5)=0,"-",VLOOKUP($B153,casostestes[#Data],5)),"-")</f>
        <v>-</v>
      </c>
      <c r="H153" s="35" t="str">
        <f>IFERROR(IF(VLOOKUP($B153,casostestes[#Data],6)=0,"-",VLOOKUP($B153,casostestes[#Data],6)),"-")</f>
        <v>-</v>
      </c>
      <c r="I153" s="35" t="str">
        <f>IFERROR(IF(VLOOKUP($B153,casostestes[#Data],8)=0,"-",VLOOKUP($B153,casostestes[#Data],8)),"-")</f>
        <v>-</v>
      </c>
      <c r="J153" s="35" t="str">
        <f>IFERROR(IF(VLOOKUP($B153,casostestes[#Data],9)=0,"-",VLOOKUP($B153,casostestes[#Data],9)),"-")</f>
        <v>-</v>
      </c>
      <c r="K153" s="36"/>
      <c r="L153" s="45"/>
      <c r="M153" s="37"/>
      <c r="N153" s="38"/>
      <c r="O153" s="38"/>
      <c r="P153" s="39"/>
    </row>
    <row r="154" spans="2:16">
      <c r="B154" s="40" t="str">
        <f>IF(ISERR(casostestes[[#This Row],[ID]]),"-",casostestes[[#This Row],[ID]])</f>
        <v>-</v>
      </c>
      <c r="C154" s="34" t="str">
        <f>IFERROR(IF(VLOOKUP($B154,casostestes[#Data],10)=0,"Não",VLOOKUP($B154,casostestes[#Data],10)), "-")</f>
        <v>-</v>
      </c>
      <c r="D154" s="35" t="str">
        <f>IFERROR(IF(VLOOKUP($B154,casostestes[#Data],2)=0,"-",VLOOKUP($B154,casostestes[#Data],2)), "-")</f>
        <v>-</v>
      </c>
      <c r="E154" s="35" t="str">
        <f>IFERROR(IF(VLOOKUP($B154,casostestes[#Data],3)=0,"-",VLOOKUP($B154,casostestes[#Data],3)), "-")</f>
        <v>-</v>
      </c>
      <c r="F154" s="35" t="str">
        <f>IFERROR(IF(VLOOKUP($B154,casostestes[#Data],4)=0,"-",VLOOKUP($B154,casostestes[#Data],4)),"-")</f>
        <v>-</v>
      </c>
      <c r="G154" s="35" t="str">
        <f>IFERROR(IF(VLOOKUP($B154,casostestes[#Data],5)=0,"-",VLOOKUP($B154,casostestes[#Data],5)),"-")</f>
        <v>-</v>
      </c>
      <c r="H154" s="35" t="str">
        <f>IFERROR(IF(VLOOKUP($B154,casostestes[#Data],6)=0,"-",VLOOKUP($B154,casostestes[#Data],6)),"-")</f>
        <v>-</v>
      </c>
      <c r="I154" s="35" t="str">
        <f>IFERROR(IF(VLOOKUP($B154,casostestes[#Data],8)=0,"-",VLOOKUP($B154,casostestes[#Data],8)),"-")</f>
        <v>-</v>
      </c>
      <c r="J154" s="35" t="str">
        <f>IFERROR(IF(VLOOKUP($B154,casostestes[#Data],9)=0,"-",VLOOKUP($B154,casostestes[#Data],9)),"-")</f>
        <v>-</v>
      </c>
      <c r="K154" s="36"/>
      <c r="L154" s="45"/>
      <c r="M154" s="37"/>
      <c r="N154" s="38"/>
      <c r="O154" s="38"/>
      <c r="P154" s="39"/>
    </row>
    <row r="155" spans="2:16">
      <c r="B155" s="40" t="str">
        <f>IF(ISERR(casostestes[[#This Row],[ID]]),"-",casostestes[[#This Row],[ID]])</f>
        <v>-</v>
      </c>
      <c r="C155" s="34" t="str">
        <f>IFERROR(IF(VLOOKUP($B155,casostestes[#Data],10)=0,"Não",VLOOKUP($B155,casostestes[#Data],10)), "-")</f>
        <v>-</v>
      </c>
      <c r="D155" s="35" t="str">
        <f>IFERROR(IF(VLOOKUP($B155,casostestes[#Data],2)=0,"-",VLOOKUP($B155,casostestes[#Data],2)), "-")</f>
        <v>-</v>
      </c>
      <c r="E155" s="35" t="str">
        <f>IFERROR(IF(VLOOKUP($B155,casostestes[#Data],3)=0,"-",VLOOKUP($B155,casostestes[#Data],3)), "-")</f>
        <v>-</v>
      </c>
      <c r="F155" s="35" t="str">
        <f>IFERROR(IF(VLOOKUP($B155,casostestes[#Data],4)=0,"-",VLOOKUP($B155,casostestes[#Data],4)),"-")</f>
        <v>-</v>
      </c>
      <c r="G155" s="35" t="str">
        <f>IFERROR(IF(VLOOKUP($B155,casostestes[#Data],5)=0,"-",VLOOKUP($B155,casostestes[#Data],5)),"-")</f>
        <v>-</v>
      </c>
      <c r="H155" s="35" t="str">
        <f>IFERROR(IF(VLOOKUP($B155,casostestes[#Data],6)=0,"-",VLOOKUP($B155,casostestes[#Data],6)),"-")</f>
        <v>-</v>
      </c>
      <c r="I155" s="35" t="str">
        <f>IFERROR(IF(VLOOKUP($B155,casostestes[#Data],8)=0,"-",VLOOKUP($B155,casostestes[#Data],8)),"-")</f>
        <v>-</v>
      </c>
      <c r="J155" s="35" t="str">
        <f>IFERROR(IF(VLOOKUP($B155,casostestes[#Data],9)=0,"-",VLOOKUP($B155,casostestes[#Data],9)),"-")</f>
        <v>-</v>
      </c>
      <c r="K155" s="36"/>
      <c r="L155" s="45"/>
      <c r="M155" s="37"/>
      <c r="N155" s="38"/>
      <c r="O155" s="38"/>
      <c r="P155" s="39"/>
    </row>
    <row r="156" spans="2:16">
      <c r="B156" s="40" t="str">
        <f>IF(ISERR(casostestes[[#This Row],[ID]]),"-",casostestes[[#This Row],[ID]])</f>
        <v>-</v>
      </c>
      <c r="C156" s="34" t="str">
        <f>IFERROR(IF(VLOOKUP($B156,casostestes[#Data],10)=0,"Não",VLOOKUP($B156,casostestes[#Data],10)), "-")</f>
        <v>-</v>
      </c>
      <c r="D156" s="35" t="str">
        <f>IFERROR(IF(VLOOKUP($B156,casostestes[#Data],2)=0,"-",VLOOKUP($B156,casostestes[#Data],2)), "-")</f>
        <v>-</v>
      </c>
      <c r="E156" s="35" t="str">
        <f>IFERROR(IF(VLOOKUP($B156,casostestes[#Data],3)=0,"-",VLOOKUP($B156,casostestes[#Data],3)), "-")</f>
        <v>-</v>
      </c>
      <c r="F156" s="35" t="str">
        <f>IFERROR(IF(VLOOKUP($B156,casostestes[#Data],4)=0,"-",VLOOKUP($B156,casostestes[#Data],4)),"-")</f>
        <v>-</v>
      </c>
      <c r="G156" s="35" t="str">
        <f>IFERROR(IF(VLOOKUP($B156,casostestes[#Data],5)=0,"-",VLOOKUP($B156,casostestes[#Data],5)),"-")</f>
        <v>-</v>
      </c>
      <c r="H156" s="35" t="str">
        <f>IFERROR(IF(VLOOKUP($B156,casostestes[#Data],6)=0,"-",VLOOKUP($B156,casostestes[#Data],6)),"-")</f>
        <v>-</v>
      </c>
      <c r="I156" s="35" t="str">
        <f>IFERROR(IF(VLOOKUP($B156,casostestes[#Data],8)=0,"-",VLOOKUP($B156,casostestes[#Data],8)),"-")</f>
        <v>-</v>
      </c>
      <c r="J156" s="35" t="str">
        <f>IFERROR(IF(VLOOKUP($B156,casostestes[#Data],9)=0,"-",VLOOKUP($B156,casostestes[#Data],9)),"-")</f>
        <v>-</v>
      </c>
      <c r="K156" s="36"/>
      <c r="L156" s="45"/>
      <c r="M156" s="37"/>
      <c r="N156" s="38"/>
      <c r="O156" s="38"/>
      <c r="P156" s="39"/>
    </row>
    <row r="157" spans="2:16">
      <c r="B157" s="40" t="str">
        <f>IF(ISERR(casostestes[[#This Row],[ID]]),"-",casostestes[[#This Row],[ID]])</f>
        <v>-</v>
      </c>
      <c r="C157" s="34" t="str">
        <f>IFERROR(IF(VLOOKUP($B157,casostestes[#Data],10)=0,"Não",VLOOKUP($B157,casostestes[#Data],10)), "-")</f>
        <v>-</v>
      </c>
      <c r="D157" s="35" t="str">
        <f>IFERROR(IF(VLOOKUP($B157,casostestes[#Data],2)=0,"-",VLOOKUP($B157,casostestes[#Data],2)), "-")</f>
        <v>-</v>
      </c>
      <c r="E157" s="35" t="str">
        <f>IFERROR(IF(VLOOKUP($B157,casostestes[#Data],3)=0,"-",VLOOKUP($B157,casostestes[#Data],3)), "-")</f>
        <v>-</v>
      </c>
      <c r="F157" s="35" t="str">
        <f>IFERROR(IF(VLOOKUP($B157,casostestes[#Data],4)=0,"-",VLOOKUP($B157,casostestes[#Data],4)),"-")</f>
        <v>-</v>
      </c>
      <c r="G157" s="35" t="str">
        <f>IFERROR(IF(VLOOKUP($B157,casostestes[#Data],5)=0,"-",VLOOKUP($B157,casostestes[#Data],5)),"-")</f>
        <v>-</v>
      </c>
      <c r="H157" s="35" t="str">
        <f>IFERROR(IF(VLOOKUP($B157,casostestes[#Data],6)=0,"-",VLOOKUP($B157,casostestes[#Data],6)),"-")</f>
        <v>-</v>
      </c>
      <c r="I157" s="35" t="str">
        <f>IFERROR(IF(VLOOKUP($B157,casostestes[#Data],8)=0,"-",VLOOKUP($B157,casostestes[#Data],8)),"-")</f>
        <v>-</v>
      </c>
      <c r="J157" s="35" t="str">
        <f>IFERROR(IF(VLOOKUP($B157,casostestes[#Data],9)=0,"-",VLOOKUP($B157,casostestes[#Data],9)),"-")</f>
        <v>-</v>
      </c>
      <c r="K157" s="36"/>
      <c r="L157" s="45"/>
      <c r="M157" s="37"/>
      <c r="N157" s="38"/>
      <c r="O157" s="38"/>
      <c r="P157" s="39"/>
    </row>
    <row r="158" spans="2:16">
      <c r="B158" s="40" t="str">
        <f>IF(ISERR(casostestes[[#This Row],[ID]]),"-",casostestes[[#This Row],[ID]])</f>
        <v>-</v>
      </c>
      <c r="C158" s="34" t="str">
        <f>IFERROR(IF(VLOOKUP($B158,casostestes[#Data],10)=0,"Não",VLOOKUP($B158,casostestes[#Data],10)), "-")</f>
        <v>-</v>
      </c>
      <c r="D158" s="35" t="str">
        <f>IFERROR(IF(VLOOKUP($B158,casostestes[#Data],2)=0,"-",VLOOKUP($B158,casostestes[#Data],2)), "-")</f>
        <v>-</v>
      </c>
      <c r="E158" s="35" t="str">
        <f>IFERROR(IF(VLOOKUP($B158,casostestes[#Data],3)=0,"-",VLOOKUP($B158,casostestes[#Data],3)), "-")</f>
        <v>-</v>
      </c>
      <c r="F158" s="35" t="str">
        <f>IFERROR(IF(VLOOKUP($B158,casostestes[#Data],4)=0,"-",VLOOKUP($B158,casostestes[#Data],4)),"-")</f>
        <v>-</v>
      </c>
      <c r="G158" s="35" t="str">
        <f>IFERROR(IF(VLOOKUP($B158,casostestes[#Data],5)=0,"-",VLOOKUP($B158,casostestes[#Data],5)),"-")</f>
        <v>-</v>
      </c>
      <c r="H158" s="35" t="str">
        <f>IFERROR(IF(VLOOKUP($B158,casostestes[#Data],6)=0,"-",VLOOKUP($B158,casostestes[#Data],6)),"-")</f>
        <v>-</v>
      </c>
      <c r="I158" s="35" t="str">
        <f>IFERROR(IF(VLOOKUP($B158,casostestes[#Data],8)=0,"-",VLOOKUP($B158,casostestes[#Data],8)),"-")</f>
        <v>-</v>
      </c>
      <c r="J158" s="35" t="str">
        <f>IFERROR(IF(VLOOKUP($B158,casostestes[#Data],9)=0,"-",VLOOKUP($B158,casostestes[#Data],9)),"-")</f>
        <v>-</v>
      </c>
      <c r="K158" s="36"/>
      <c r="L158" s="45"/>
      <c r="M158" s="37"/>
      <c r="N158" s="38"/>
      <c r="O158" s="38"/>
      <c r="P158" s="39"/>
    </row>
    <row r="159" spans="2:16">
      <c r="B159" s="40" t="str">
        <f>IF(ISERR(casostestes[[#This Row],[ID]]),"-",casostestes[[#This Row],[ID]])</f>
        <v>-</v>
      </c>
      <c r="C159" s="34" t="str">
        <f>IFERROR(IF(VLOOKUP($B159,casostestes[#Data],10)=0,"Não",VLOOKUP($B159,casostestes[#Data],10)), "-")</f>
        <v>-</v>
      </c>
      <c r="D159" s="35" t="str">
        <f>IFERROR(IF(VLOOKUP($B159,casostestes[#Data],2)=0,"-",VLOOKUP($B159,casostestes[#Data],2)), "-")</f>
        <v>-</v>
      </c>
      <c r="E159" s="35" t="str">
        <f>IFERROR(IF(VLOOKUP($B159,casostestes[#Data],3)=0,"-",VLOOKUP($B159,casostestes[#Data],3)), "-")</f>
        <v>-</v>
      </c>
      <c r="F159" s="35" t="str">
        <f>IFERROR(IF(VLOOKUP($B159,casostestes[#Data],4)=0,"-",VLOOKUP($B159,casostestes[#Data],4)),"-")</f>
        <v>-</v>
      </c>
      <c r="G159" s="35" t="str">
        <f>IFERROR(IF(VLOOKUP($B159,casostestes[#Data],5)=0,"-",VLOOKUP($B159,casostestes[#Data],5)),"-")</f>
        <v>-</v>
      </c>
      <c r="H159" s="35" t="str">
        <f>IFERROR(IF(VLOOKUP($B159,casostestes[#Data],6)=0,"-",VLOOKUP($B159,casostestes[#Data],6)),"-")</f>
        <v>-</v>
      </c>
      <c r="I159" s="35" t="str">
        <f>IFERROR(IF(VLOOKUP($B159,casostestes[#Data],8)=0,"-",VLOOKUP($B159,casostestes[#Data],8)),"-")</f>
        <v>-</v>
      </c>
      <c r="J159" s="35" t="str">
        <f>IFERROR(IF(VLOOKUP($B159,casostestes[#Data],9)=0,"-",VLOOKUP($B159,casostestes[#Data],9)),"-")</f>
        <v>-</v>
      </c>
      <c r="K159" s="36"/>
      <c r="L159" s="45"/>
      <c r="M159" s="37"/>
      <c r="N159" s="38"/>
      <c r="O159" s="38"/>
      <c r="P159" s="39"/>
    </row>
    <row r="160" spans="2:16">
      <c r="B160" s="40" t="str">
        <f>IF(ISERR(casostestes[[#This Row],[ID]]),"-",casostestes[[#This Row],[ID]])</f>
        <v>-</v>
      </c>
      <c r="C160" s="34" t="str">
        <f>IFERROR(IF(VLOOKUP($B160,casostestes[#Data],10)=0,"Não",VLOOKUP($B160,casostestes[#Data],10)), "-")</f>
        <v>-</v>
      </c>
      <c r="D160" s="35" t="str">
        <f>IFERROR(IF(VLOOKUP($B160,casostestes[#Data],2)=0,"-",VLOOKUP($B160,casostestes[#Data],2)), "-")</f>
        <v>-</v>
      </c>
      <c r="E160" s="35" t="str">
        <f>IFERROR(IF(VLOOKUP($B160,casostestes[#Data],3)=0,"-",VLOOKUP($B160,casostestes[#Data],3)), "-")</f>
        <v>-</v>
      </c>
      <c r="F160" s="35" t="str">
        <f>IFERROR(IF(VLOOKUP($B160,casostestes[#Data],4)=0,"-",VLOOKUP($B160,casostestes[#Data],4)),"-")</f>
        <v>-</v>
      </c>
      <c r="G160" s="35" t="str">
        <f>IFERROR(IF(VLOOKUP($B160,casostestes[#Data],5)=0,"-",VLOOKUP($B160,casostestes[#Data],5)),"-")</f>
        <v>-</v>
      </c>
      <c r="H160" s="35" t="str">
        <f>IFERROR(IF(VLOOKUP($B160,casostestes[#Data],6)=0,"-",VLOOKUP($B160,casostestes[#Data],6)),"-")</f>
        <v>-</v>
      </c>
      <c r="I160" s="35" t="str">
        <f>IFERROR(IF(VLOOKUP($B160,casostestes[#Data],8)=0,"-",VLOOKUP($B160,casostestes[#Data],8)),"-")</f>
        <v>-</v>
      </c>
      <c r="J160" s="35" t="str">
        <f>IFERROR(IF(VLOOKUP($B160,casostestes[#Data],9)=0,"-",VLOOKUP($B160,casostestes[#Data],9)),"-")</f>
        <v>-</v>
      </c>
      <c r="K160" s="36"/>
      <c r="L160" s="45"/>
      <c r="M160" s="37"/>
      <c r="N160" s="38"/>
      <c r="O160" s="38"/>
      <c r="P160" s="39"/>
    </row>
    <row r="161" spans="2:16">
      <c r="B161" s="40" t="str">
        <f>IF(ISERR(casostestes[[#This Row],[ID]]),"-",casostestes[[#This Row],[ID]])</f>
        <v>-</v>
      </c>
      <c r="C161" s="34" t="str">
        <f>IFERROR(IF(VLOOKUP($B161,casostestes[#Data],10)=0,"Não",VLOOKUP($B161,casostestes[#Data],10)), "-")</f>
        <v>-</v>
      </c>
      <c r="D161" s="35" t="str">
        <f>IFERROR(IF(VLOOKUP($B161,casostestes[#Data],2)=0,"-",VLOOKUP($B161,casostestes[#Data],2)), "-")</f>
        <v>-</v>
      </c>
      <c r="E161" s="35" t="str">
        <f>IFERROR(IF(VLOOKUP($B161,casostestes[#Data],3)=0,"-",VLOOKUP($B161,casostestes[#Data],3)), "-")</f>
        <v>-</v>
      </c>
      <c r="F161" s="35" t="str">
        <f>IFERROR(IF(VLOOKUP($B161,casostestes[#Data],4)=0,"-",VLOOKUP($B161,casostestes[#Data],4)),"-")</f>
        <v>-</v>
      </c>
      <c r="G161" s="35" t="str">
        <f>IFERROR(IF(VLOOKUP($B161,casostestes[#Data],5)=0,"-",VLOOKUP($B161,casostestes[#Data],5)),"-")</f>
        <v>-</v>
      </c>
      <c r="H161" s="35" t="str">
        <f>IFERROR(IF(VLOOKUP($B161,casostestes[#Data],6)=0,"-",VLOOKUP($B161,casostestes[#Data],6)),"-")</f>
        <v>-</v>
      </c>
      <c r="I161" s="35" t="str">
        <f>IFERROR(IF(VLOOKUP($B161,casostestes[#Data],8)=0,"-",VLOOKUP($B161,casostestes[#Data],8)),"-")</f>
        <v>-</v>
      </c>
      <c r="J161" s="35" t="str">
        <f>IFERROR(IF(VLOOKUP($B161,casostestes[#Data],9)=0,"-",VLOOKUP($B161,casostestes[#Data],9)),"-")</f>
        <v>-</v>
      </c>
      <c r="K161" s="36"/>
      <c r="L161" s="45"/>
      <c r="M161" s="37"/>
      <c r="N161" s="38"/>
      <c r="O161" s="38"/>
      <c r="P161" s="39"/>
    </row>
    <row r="162" spans="2:16">
      <c r="B162" s="40" t="str">
        <f>IF(ISERR(casostestes[[#This Row],[ID]]),"-",casostestes[[#This Row],[ID]])</f>
        <v>-</v>
      </c>
      <c r="C162" s="34" t="str">
        <f>IFERROR(IF(VLOOKUP($B162,casostestes[#Data],10)=0,"Não",VLOOKUP($B162,casostestes[#Data],10)), "-")</f>
        <v>-</v>
      </c>
      <c r="D162" s="35" t="str">
        <f>IFERROR(IF(VLOOKUP($B162,casostestes[#Data],2)=0,"-",VLOOKUP($B162,casostestes[#Data],2)), "-")</f>
        <v>-</v>
      </c>
      <c r="E162" s="35" t="str">
        <f>IFERROR(IF(VLOOKUP($B162,casostestes[#Data],3)=0,"-",VLOOKUP($B162,casostestes[#Data],3)), "-")</f>
        <v>-</v>
      </c>
      <c r="F162" s="35" t="str">
        <f>IFERROR(IF(VLOOKUP($B162,casostestes[#Data],4)=0,"-",VLOOKUP($B162,casostestes[#Data],4)),"-")</f>
        <v>-</v>
      </c>
      <c r="G162" s="35" t="str">
        <f>IFERROR(IF(VLOOKUP($B162,casostestes[#Data],5)=0,"-",VLOOKUP($B162,casostestes[#Data],5)),"-")</f>
        <v>-</v>
      </c>
      <c r="H162" s="35" t="str">
        <f>IFERROR(IF(VLOOKUP($B162,casostestes[#Data],6)=0,"-",VLOOKUP($B162,casostestes[#Data],6)),"-")</f>
        <v>-</v>
      </c>
      <c r="I162" s="35" t="str">
        <f>IFERROR(IF(VLOOKUP($B162,casostestes[#Data],8)=0,"-",VLOOKUP($B162,casostestes[#Data],8)),"-")</f>
        <v>-</v>
      </c>
      <c r="J162" s="35" t="str">
        <f>IFERROR(IF(VLOOKUP($B162,casostestes[#Data],9)=0,"-",VLOOKUP($B162,casostestes[#Data],9)),"-")</f>
        <v>-</v>
      </c>
      <c r="K162" s="36"/>
      <c r="L162" s="45"/>
      <c r="M162" s="37"/>
      <c r="N162" s="38"/>
      <c r="O162" s="38"/>
      <c r="P162" s="39"/>
    </row>
    <row r="163" spans="2:16">
      <c r="B163" s="40" t="str">
        <f>IF(ISERR(casostestes[[#This Row],[ID]]),"-",casostestes[[#This Row],[ID]])</f>
        <v>-</v>
      </c>
      <c r="C163" s="34" t="str">
        <f>IFERROR(IF(VLOOKUP($B163,casostestes[#Data],10)=0,"Não",VLOOKUP($B163,casostestes[#Data],10)), "-")</f>
        <v>-</v>
      </c>
      <c r="D163" s="35" t="str">
        <f>IFERROR(IF(VLOOKUP($B163,casostestes[#Data],2)=0,"-",VLOOKUP($B163,casostestes[#Data],2)), "-")</f>
        <v>-</v>
      </c>
      <c r="E163" s="35" t="str">
        <f>IFERROR(IF(VLOOKUP($B163,casostestes[#Data],3)=0,"-",VLOOKUP($B163,casostestes[#Data],3)), "-")</f>
        <v>-</v>
      </c>
      <c r="F163" s="35" t="str">
        <f>IFERROR(IF(VLOOKUP($B163,casostestes[#Data],4)=0,"-",VLOOKUP($B163,casostestes[#Data],4)),"-")</f>
        <v>-</v>
      </c>
      <c r="G163" s="35" t="str">
        <f>IFERROR(IF(VLOOKUP($B163,casostestes[#Data],5)=0,"-",VLOOKUP($B163,casostestes[#Data],5)),"-")</f>
        <v>-</v>
      </c>
      <c r="H163" s="35" t="str">
        <f>IFERROR(IF(VLOOKUP($B163,casostestes[#Data],6)=0,"-",VLOOKUP($B163,casostestes[#Data],6)),"-")</f>
        <v>-</v>
      </c>
      <c r="I163" s="35" t="str">
        <f>IFERROR(IF(VLOOKUP($B163,casostestes[#Data],8)=0,"-",VLOOKUP($B163,casostestes[#Data],8)),"-")</f>
        <v>-</v>
      </c>
      <c r="J163" s="35" t="str">
        <f>IFERROR(IF(VLOOKUP($B163,casostestes[#Data],9)=0,"-",VLOOKUP($B163,casostestes[#Data],9)),"-")</f>
        <v>-</v>
      </c>
      <c r="K163" s="36"/>
      <c r="L163" s="45"/>
      <c r="M163" s="37"/>
      <c r="N163" s="38"/>
      <c r="O163" s="38"/>
      <c r="P163" s="39"/>
    </row>
    <row r="164" spans="2:16">
      <c r="B164" s="40" t="str">
        <f>IF(ISERR(casostestes[[#This Row],[ID]]),"-",casostestes[[#This Row],[ID]])</f>
        <v>-</v>
      </c>
      <c r="C164" s="34" t="str">
        <f>IFERROR(IF(VLOOKUP($B164,casostestes[#Data],10)=0,"Não",VLOOKUP($B164,casostestes[#Data],10)), "-")</f>
        <v>-</v>
      </c>
      <c r="D164" s="35" t="str">
        <f>IFERROR(IF(VLOOKUP($B164,casostestes[#Data],2)=0,"-",VLOOKUP($B164,casostestes[#Data],2)), "-")</f>
        <v>-</v>
      </c>
      <c r="E164" s="35" t="str">
        <f>IFERROR(IF(VLOOKUP($B164,casostestes[#Data],3)=0,"-",VLOOKUP($B164,casostestes[#Data],3)), "-")</f>
        <v>-</v>
      </c>
      <c r="F164" s="35" t="str">
        <f>IFERROR(IF(VLOOKUP($B164,casostestes[#Data],4)=0,"-",VLOOKUP($B164,casostestes[#Data],4)),"-")</f>
        <v>-</v>
      </c>
      <c r="G164" s="35" t="str">
        <f>IFERROR(IF(VLOOKUP($B164,casostestes[#Data],5)=0,"-",VLOOKUP($B164,casostestes[#Data],5)),"-")</f>
        <v>-</v>
      </c>
      <c r="H164" s="35" t="str">
        <f>IFERROR(IF(VLOOKUP($B164,casostestes[#Data],6)=0,"-",VLOOKUP($B164,casostestes[#Data],6)),"-")</f>
        <v>-</v>
      </c>
      <c r="I164" s="35" t="str">
        <f>IFERROR(IF(VLOOKUP($B164,casostestes[#Data],8)=0,"-",VLOOKUP($B164,casostestes[#Data],8)),"-")</f>
        <v>-</v>
      </c>
      <c r="J164" s="35" t="str">
        <f>IFERROR(IF(VLOOKUP($B164,casostestes[#Data],9)=0,"-",VLOOKUP($B164,casostestes[#Data],9)),"-")</f>
        <v>-</v>
      </c>
      <c r="K164" s="36"/>
      <c r="L164" s="45"/>
      <c r="M164" s="37"/>
      <c r="N164" s="38"/>
      <c r="O164" s="38"/>
      <c r="P164" s="39"/>
    </row>
    <row r="165" spans="2:16">
      <c r="B165" s="40" t="str">
        <f>IF(ISERR(casostestes[[#This Row],[ID]]),"-",casostestes[[#This Row],[ID]])</f>
        <v>-</v>
      </c>
      <c r="C165" s="34" t="str">
        <f>IFERROR(IF(VLOOKUP($B165,casostestes[#Data],10)=0,"Não",VLOOKUP($B165,casostestes[#Data],10)), "-")</f>
        <v>-</v>
      </c>
      <c r="D165" s="35" t="str">
        <f>IFERROR(IF(VLOOKUP($B165,casostestes[#Data],2)=0,"-",VLOOKUP($B165,casostestes[#Data],2)), "-")</f>
        <v>-</v>
      </c>
      <c r="E165" s="35" t="str">
        <f>IFERROR(IF(VLOOKUP($B165,casostestes[#Data],3)=0,"-",VLOOKUP($B165,casostestes[#Data],3)), "-")</f>
        <v>-</v>
      </c>
      <c r="F165" s="35" t="str">
        <f>IFERROR(IF(VLOOKUP($B165,casostestes[#Data],4)=0,"-",VLOOKUP($B165,casostestes[#Data],4)),"-")</f>
        <v>-</v>
      </c>
      <c r="G165" s="35" t="str">
        <f>IFERROR(IF(VLOOKUP($B165,casostestes[#Data],5)=0,"-",VLOOKUP($B165,casostestes[#Data],5)),"-")</f>
        <v>-</v>
      </c>
      <c r="H165" s="35" t="str">
        <f>IFERROR(IF(VLOOKUP($B165,casostestes[#Data],6)=0,"-",VLOOKUP($B165,casostestes[#Data],6)),"-")</f>
        <v>-</v>
      </c>
      <c r="I165" s="35" t="str">
        <f>IFERROR(IF(VLOOKUP($B165,casostestes[#Data],8)=0,"-",VLOOKUP($B165,casostestes[#Data],8)),"-")</f>
        <v>-</v>
      </c>
      <c r="J165" s="35" t="str">
        <f>IFERROR(IF(VLOOKUP($B165,casostestes[#Data],9)=0,"-",VLOOKUP($B165,casostestes[#Data],9)),"-")</f>
        <v>-</v>
      </c>
      <c r="K165" s="36"/>
      <c r="L165" s="45"/>
      <c r="M165" s="37"/>
      <c r="N165" s="38"/>
      <c r="O165" s="38"/>
      <c r="P165" s="39"/>
    </row>
    <row r="166" spans="2:16">
      <c r="B166" s="40" t="str">
        <f>IF(ISERR(casostestes[[#This Row],[ID]]),"-",casostestes[[#This Row],[ID]])</f>
        <v>-</v>
      </c>
      <c r="C166" s="34" t="str">
        <f>IFERROR(IF(VLOOKUP($B166,casostestes[#Data],10)=0,"Não",VLOOKUP($B166,casostestes[#Data],10)), "-")</f>
        <v>-</v>
      </c>
      <c r="D166" s="35" t="str">
        <f>IFERROR(IF(VLOOKUP($B166,casostestes[#Data],2)=0,"-",VLOOKUP($B166,casostestes[#Data],2)), "-")</f>
        <v>-</v>
      </c>
      <c r="E166" s="35" t="str">
        <f>IFERROR(IF(VLOOKUP($B166,casostestes[#Data],3)=0,"-",VLOOKUP($B166,casostestes[#Data],3)), "-")</f>
        <v>-</v>
      </c>
      <c r="F166" s="35" t="str">
        <f>IFERROR(IF(VLOOKUP($B166,casostestes[#Data],4)=0,"-",VLOOKUP($B166,casostestes[#Data],4)),"-")</f>
        <v>-</v>
      </c>
      <c r="G166" s="35" t="str">
        <f>IFERROR(IF(VLOOKUP($B166,casostestes[#Data],5)=0,"-",VLOOKUP($B166,casostestes[#Data],5)),"-")</f>
        <v>-</v>
      </c>
      <c r="H166" s="35" t="str">
        <f>IFERROR(IF(VLOOKUP($B166,casostestes[#Data],6)=0,"-",VLOOKUP($B166,casostestes[#Data],6)),"-")</f>
        <v>-</v>
      </c>
      <c r="I166" s="35" t="str">
        <f>IFERROR(IF(VLOOKUP($B166,casostestes[#Data],8)=0,"-",VLOOKUP($B166,casostestes[#Data],8)),"-")</f>
        <v>-</v>
      </c>
      <c r="J166" s="35" t="str">
        <f>IFERROR(IF(VLOOKUP($B166,casostestes[#Data],9)=0,"-",VLOOKUP($B166,casostestes[#Data],9)),"-")</f>
        <v>-</v>
      </c>
      <c r="K166" s="36"/>
      <c r="L166" s="45"/>
      <c r="M166" s="37"/>
      <c r="N166" s="38"/>
      <c r="O166" s="38"/>
      <c r="P166" s="39"/>
    </row>
    <row r="167" spans="2:16">
      <c r="B167" s="40" t="str">
        <f>IF(ISERR(casostestes[[#This Row],[ID]]),"-",casostestes[[#This Row],[ID]])</f>
        <v>-</v>
      </c>
      <c r="C167" s="34" t="str">
        <f>IFERROR(IF(VLOOKUP($B167,casostestes[#Data],10)=0,"Não",VLOOKUP($B167,casostestes[#Data],10)), "-")</f>
        <v>-</v>
      </c>
      <c r="D167" s="35" t="str">
        <f>IFERROR(IF(VLOOKUP($B167,casostestes[#Data],2)=0,"-",VLOOKUP($B167,casostestes[#Data],2)), "-")</f>
        <v>-</v>
      </c>
      <c r="E167" s="35" t="str">
        <f>IFERROR(IF(VLOOKUP($B167,casostestes[#Data],3)=0,"-",VLOOKUP($B167,casostestes[#Data],3)), "-")</f>
        <v>-</v>
      </c>
      <c r="F167" s="35" t="str">
        <f>IFERROR(IF(VLOOKUP($B167,casostestes[#Data],4)=0,"-",VLOOKUP($B167,casostestes[#Data],4)),"-")</f>
        <v>-</v>
      </c>
      <c r="G167" s="35" t="str">
        <f>IFERROR(IF(VLOOKUP($B167,casostestes[#Data],5)=0,"-",VLOOKUP($B167,casostestes[#Data],5)),"-")</f>
        <v>-</v>
      </c>
      <c r="H167" s="35" t="str">
        <f>IFERROR(IF(VLOOKUP($B167,casostestes[#Data],6)=0,"-",VLOOKUP($B167,casostestes[#Data],6)),"-")</f>
        <v>-</v>
      </c>
      <c r="I167" s="35" t="str">
        <f>IFERROR(IF(VLOOKUP($B167,casostestes[#Data],8)=0,"-",VLOOKUP($B167,casostestes[#Data],8)),"-")</f>
        <v>-</v>
      </c>
      <c r="J167" s="35" t="str">
        <f>IFERROR(IF(VLOOKUP($B167,casostestes[#Data],9)=0,"-",VLOOKUP($B167,casostestes[#Data],9)),"-")</f>
        <v>-</v>
      </c>
      <c r="K167" s="36"/>
      <c r="L167" s="45"/>
      <c r="M167" s="37"/>
      <c r="N167" s="38"/>
      <c r="O167" s="38"/>
      <c r="P167" s="39"/>
    </row>
    <row r="168" spans="2:16">
      <c r="B168" s="40" t="str">
        <f>IF(ISERR(casostestes[[#This Row],[ID]]),"-",casostestes[[#This Row],[ID]])</f>
        <v>-</v>
      </c>
      <c r="C168" s="34" t="str">
        <f>IFERROR(IF(VLOOKUP($B168,casostestes[#Data],10)=0,"Não",VLOOKUP($B168,casostestes[#Data],10)), "-")</f>
        <v>-</v>
      </c>
      <c r="D168" s="35" t="str">
        <f>IFERROR(IF(VLOOKUP($B168,casostestes[#Data],2)=0,"-",VLOOKUP($B168,casostestes[#Data],2)), "-")</f>
        <v>-</v>
      </c>
      <c r="E168" s="35" t="str">
        <f>IFERROR(IF(VLOOKUP($B168,casostestes[#Data],3)=0,"-",VLOOKUP($B168,casostestes[#Data],3)), "-")</f>
        <v>-</v>
      </c>
      <c r="F168" s="35" t="str">
        <f>IFERROR(IF(VLOOKUP($B168,casostestes[#Data],4)=0,"-",VLOOKUP($B168,casostestes[#Data],4)),"-")</f>
        <v>-</v>
      </c>
      <c r="G168" s="35" t="str">
        <f>IFERROR(IF(VLOOKUP($B168,casostestes[#Data],5)=0,"-",VLOOKUP($B168,casostestes[#Data],5)),"-")</f>
        <v>-</v>
      </c>
      <c r="H168" s="35" t="str">
        <f>IFERROR(IF(VLOOKUP($B168,casostestes[#Data],6)=0,"-",VLOOKUP($B168,casostestes[#Data],6)),"-")</f>
        <v>-</v>
      </c>
      <c r="I168" s="35" t="str">
        <f>IFERROR(IF(VLOOKUP($B168,casostestes[#Data],8)=0,"-",VLOOKUP($B168,casostestes[#Data],8)),"-")</f>
        <v>-</v>
      </c>
      <c r="J168" s="35" t="str">
        <f>IFERROR(IF(VLOOKUP($B168,casostestes[#Data],9)=0,"-",VLOOKUP($B168,casostestes[#Data],9)),"-")</f>
        <v>-</v>
      </c>
      <c r="K168" s="36"/>
      <c r="L168" s="45"/>
      <c r="M168" s="37"/>
      <c r="N168" s="38"/>
      <c r="O168" s="38"/>
      <c r="P168" s="39"/>
    </row>
    <row r="169" spans="2:16">
      <c r="B169" s="40" t="str">
        <f>IF(ISERR(casostestes[[#This Row],[ID]]),"-",casostestes[[#This Row],[ID]])</f>
        <v>-</v>
      </c>
      <c r="C169" s="34" t="str">
        <f>IFERROR(IF(VLOOKUP($B169,casostestes[#Data],10)=0,"Não",VLOOKUP($B169,casostestes[#Data],10)), "-")</f>
        <v>-</v>
      </c>
      <c r="D169" s="35" t="str">
        <f>IFERROR(IF(VLOOKUP($B169,casostestes[#Data],2)=0,"-",VLOOKUP($B169,casostestes[#Data],2)), "-")</f>
        <v>-</v>
      </c>
      <c r="E169" s="35" t="str">
        <f>IFERROR(IF(VLOOKUP($B169,casostestes[#Data],3)=0,"-",VLOOKUP($B169,casostestes[#Data],3)), "-")</f>
        <v>-</v>
      </c>
      <c r="F169" s="35" t="str">
        <f>IFERROR(IF(VLOOKUP($B169,casostestes[#Data],4)=0,"-",VLOOKUP($B169,casostestes[#Data],4)),"-")</f>
        <v>-</v>
      </c>
      <c r="G169" s="35" t="str">
        <f>IFERROR(IF(VLOOKUP($B169,casostestes[#Data],5)=0,"-",VLOOKUP($B169,casostestes[#Data],5)),"-")</f>
        <v>-</v>
      </c>
      <c r="H169" s="35" t="str">
        <f>IFERROR(IF(VLOOKUP($B169,casostestes[#Data],6)=0,"-",VLOOKUP($B169,casostestes[#Data],6)),"-")</f>
        <v>-</v>
      </c>
      <c r="I169" s="35" t="str">
        <f>IFERROR(IF(VLOOKUP($B169,casostestes[#Data],8)=0,"-",VLOOKUP($B169,casostestes[#Data],8)),"-")</f>
        <v>-</v>
      </c>
      <c r="J169" s="35" t="str">
        <f>IFERROR(IF(VLOOKUP($B169,casostestes[#Data],9)=0,"-",VLOOKUP($B169,casostestes[#Data],9)),"-")</f>
        <v>-</v>
      </c>
      <c r="K169" s="36"/>
      <c r="L169" s="45"/>
      <c r="M169" s="37"/>
      <c r="N169" s="38"/>
      <c r="O169" s="38"/>
      <c r="P169" s="39"/>
    </row>
    <row r="170" spans="2:16">
      <c r="B170" s="40" t="str">
        <f>IF(ISERR(casostestes[[#This Row],[ID]]),"-",casostestes[[#This Row],[ID]])</f>
        <v>-</v>
      </c>
      <c r="C170" s="34" t="str">
        <f>IFERROR(IF(VLOOKUP($B170,casostestes[#Data],10)=0,"Não",VLOOKUP($B170,casostestes[#Data],10)), "-")</f>
        <v>-</v>
      </c>
      <c r="D170" s="35" t="str">
        <f>IFERROR(IF(VLOOKUP($B170,casostestes[#Data],2)=0,"-",VLOOKUP($B170,casostestes[#Data],2)), "-")</f>
        <v>-</v>
      </c>
      <c r="E170" s="35" t="str">
        <f>IFERROR(IF(VLOOKUP($B170,casostestes[#Data],3)=0,"-",VLOOKUP($B170,casostestes[#Data],3)), "-")</f>
        <v>-</v>
      </c>
      <c r="F170" s="35" t="str">
        <f>IFERROR(IF(VLOOKUP($B170,casostestes[#Data],4)=0,"-",VLOOKUP($B170,casostestes[#Data],4)),"-")</f>
        <v>-</v>
      </c>
      <c r="G170" s="35" t="str">
        <f>IFERROR(IF(VLOOKUP($B170,casostestes[#Data],5)=0,"-",VLOOKUP($B170,casostestes[#Data],5)),"-")</f>
        <v>-</v>
      </c>
      <c r="H170" s="35" t="str">
        <f>IFERROR(IF(VLOOKUP($B170,casostestes[#Data],6)=0,"-",VLOOKUP($B170,casostestes[#Data],6)),"-")</f>
        <v>-</v>
      </c>
      <c r="I170" s="35" t="str">
        <f>IFERROR(IF(VLOOKUP($B170,casostestes[#Data],8)=0,"-",VLOOKUP($B170,casostestes[#Data],8)),"-")</f>
        <v>-</v>
      </c>
      <c r="J170" s="35" t="str">
        <f>IFERROR(IF(VLOOKUP($B170,casostestes[#Data],9)=0,"-",VLOOKUP($B170,casostestes[#Data],9)),"-")</f>
        <v>-</v>
      </c>
      <c r="K170" s="36"/>
      <c r="L170" s="45"/>
      <c r="M170" s="37"/>
      <c r="N170" s="38"/>
      <c r="O170" s="38"/>
      <c r="P170" s="39"/>
    </row>
    <row r="171" spans="2:16">
      <c r="B171" s="40" t="str">
        <f>IF(ISERR(casostestes[[#This Row],[ID]]),"-",casostestes[[#This Row],[ID]])</f>
        <v>-</v>
      </c>
      <c r="C171" s="34" t="str">
        <f>IFERROR(IF(VLOOKUP($B171,casostestes[#Data],10)=0,"Não",VLOOKUP($B171,casostestes[#Data],10)), "-")</f>
        <v>-</v>
      </c>
      <c r="D171" s="35" t="str">
        <f>IFERROR(IF(VLOOKUP($B171,casostestes[#Data],2)=0,"-",VLOOKUP($B171,casostestes[#Data],2)), "-")</f>
        <v>-</v>
      </c>
      <c r="E171" s="35" t="str">
        <f>IFERROR(IF(VLOOKUP($B171,casostestes[#Data],3)=0,"-",VLOOKUP($B171,casostestes[#Data],3)), "-")</f>
        <v>-</v>
      </c>
      <c r="F171" s="35" t="str">
        <f>IFERROR(IF(VLOOKUP($B171,casostestes[#Data],4)=0,"-",VLOOKUP($B171,casostestes[#Data],4)),"-")</f>
        <v>-</v>
      </c>
      <c r="G171" s="35" t="str">
        <f>IFERROR(IF(VLOOKUP($B171,casostestes[#Data],5)=0,"-",VLOOKUP($B171,casostestes[#Data],5)),"-")</f>
        <v>-</v>
      </c>
      <c r="H171" s="35" t="str">
        <f>IFERROR(IF(VLOOKUP($B171,casostestes[#Data],6)=0,"-",VLOOKUP($B171,casostestes[#Data],6)),"-")</f>
        <v>-</v>
      </c>
      <c r="I171" s="35" t="str">
        <f>IFERROR(IF(VLOOKUP($B171,casostestes[#Data],8)=0,"-",VLOOKUP($B171,casostestes[#Data],8)),"-")</f>
        <v>-</v>
      </c>
      <c r="J171" s="35" t="str">
        <f>IFERROR(IF(VLOOKUP($B171,casostestes[#Data],9)=0,"-",VLOOKUP($B171,casostestes[#Data],9)),"-")</f>
        <v>-</v>
      </c>
      <c r="K171" s="36"/>
      <c r="L171" s="45"/>
      <c r="M171" s="37"/>
      <c r="N171" s="38"/>
      <c r="O171" s="38"/>
      <c r="P171" s="39"/>
    </row>
    <row r="172" spans="2:16">
      <c r="B172" s="40" t="str">
        <f>IF(ISERR(casostestes[[#This Row],[ID]]),"-",casostestes[[#This Row],[ID]])</f>
        <v>-</v>
      </c>
      <c r="C172" s="34" t="str">
        <f>IFERROR(IF(VLOOKUP($B172,casostestes[#Data],10)=0,"Não",VLOOKUP($B172,casostestes[#Data],10)), "-")</f>
        <v>-</v>
      </c>
      <c r="D172" s="35" t="str">
        <f>IFERROR(IF(VLOOKUP($B172,casostestes[#Data],2)=0,"-",VLOOKUP($B172,casostestes[#Data],2)), "-")</f>
        <v>-</v>
      </c>
      <c r="E172" s="35" t="str">
        <f>IFERROR(IF(VLOOKUP($B172,casostestes[#Data],3)=0,"-",VLOOKUP($B172,casostestes[#Data],3)), "-")</f>
        <v>-</v>
      </c>
      <c r="F172" s="35" t="str">
        <f>IFERROR(IF(VLOOKUP($B172,casostestes[#Data],4)=0,"-",VLOOKUP($B172,casostestes[#Data],4)),"-")</f>
        <v>-</v>
      </c>
      <c r="G172" s="35" t="str">
        <f>IFERROR(IF(VLOOKUP($B172,casostestes[#Data],5)=0,"-",VLOOKUP($B172,casostestes[#Data],5)),"-")</f>
        <v>-</v>
      </c>
      <c r="H172" s="35" t="str">
        <f>IFERROR(IF(VLOOKUP($B172,casostestes[#Data],6)=0,"-",VLOOKUP($B172,casostestes[#Data],6)),"-")</f>
        <v>-</v>
      </c>
      <c r="I172" s="35" t="str">
        <f>IFERROR(IF(VLOOKUP($B172,casostestes[#Data],8)=0,"-",VLOOKUP($B172,casostestes[#Data],8)),"-")</f>
        <v>-</v>
      </c>
      <c r="J172" s="35" t="str">
        <f>IFERROR(IF(VLOOKUP($B172,casostestes[#Data],9)=0,"-",VLOOKUP($B172,casostestes[#Data],9)),"-")</f>
        <v>-</v>
      </c>
      <c r="K172" s="36"/>
      <c r="L172" s="45"/>
      <c r="M172" s="37"/>
      <c r="N172" s="38"/>
      <c r="O172" s="38"/>
      <c r="P172" s="39"/>
    </row>
    <row r="173" spans="2:16">
      <c r="B173" s="40" t="str">
        <f>IF(ISERR(casostestes[[#This Row],[ID]]),"-",casostestes[[#This Row],[ID]])</f>
        <v>-</v>
      </c>
      <c r="C173" s="34" t="str">
        <f>IFERROR(IF(VLOOKUP($B173,casostestes[#Data],10)=0,"Não",VLOOKUP($B173,casostestes[#Data],10)), "-")</f>
        <v>-</v>
      </c>
      <c r="D173" s="35" t="str">
        <f>IFERROR(IF(VLOOKUP($B173,casostestes[#Data],2)=0,"-",VLOOKUP($B173,casostestes[#Data],2)), "-")</f>
        <v>-</v>
      </c>
      <c r="E173" s="35" t="str">
        <f>IFERROR(IF(VLOOKUP($B173,casostestes[#Data],3)=0,"-",VLOOKUP($B173,casostestes[#Data],3)), "-")</f>
        <v>-</v>
      </c>
      <c r="F173" s="35" t="str">
        <f>IFERROR(IF(VLOOKUP($B173,casostestes[#Data],4)=0,"-",VLOOKUP($B173,casostestes[#Data],4)),"-")</f>
        <v>-</v>
      </c>
      <c r="G173" s="35" t="str">
        <f>IFERROR(IF(VLOOKUP($B173,casostestes[#Data],5)=0,"-",VLOOKUP($B173,casostestes[#Data],5)),"-")</f>
        <v>-</v>
      </c>
      <c r="H173" s="35" t="str">
        <f>IFERROR(IF(VLOOKUP($B173,casostestes[#Data],6)=0,"-",VLOOKUP($B173,casostestes[#Data],6)),"-")</f>
        <v>-</v>
      </c>
      <c r="I173" s="35" t="str">
        <f>IFERROR(IF(VLOOKUP($B173,casostestes[#Data],8)=0,"-",VLOOKUP($B173,casostestes[#Data],8)),"-")</f>
        <v>-</v>
      </c>
      <c r="J173" s="35" t="str">
        <f>IFERROR(IF(VLOOKUP($B173,casostestes[#Data],9)=0,"-",VLOOKUP($B173,casostestes[#Data],9)),"-")</f>
        <v>-</v>
      </c>
      <c r="K173" s="36"/>
      <c r="L173" s="45"/>
      <c r="M173" s="37"/>
      <c r="N173" s="38"/>
      <c r="O173" s="38"/>
      <c r="P173" s="39"/>
    </row>
    <row r="174" spans="2:16">
      <c r="B174" s="40" t="str">
        <f>IF(ISERR(casostestes[[#This Row],[ID]]),"-",casostestes[[#This Row],[ID]])</f>
        <v>-</v>
      </c>
      <c r="C174" s="34" t="str">
        <f>IFERROR(IF(VLOOKUP($B174,casostestes[#Data],10)=0,"Não",VLOOKUP($B174,casostestes[#Data],10)), "-")</f>
        <v>-</v>
      </c>
      <c r="D174" s="35" t="str">
        <f>IFERROR(IF(VLOOKUP($B174,casostestes[#Data],2)=0,"-",VLOOKUP($B174,casostestes[#Data],2)), "-")</f>
        <v>-</v>
      </c>
      <c r="E174" s="35" t="str">
        <f>IFERROR(IF(VLOOKUP($B174,casostestes[#Data],3)=0,"-",VLOOKUP($B174,casostestes[#Data],3)), "-")</f>
        <v>-</v>
      </c>
      <c r="F174" s="35" t="str">
        <f>IFERROR(IF(VLOOKUP($B174,casostestes[#Data],4)=0,"-",VLOOKUP($B174,casostestes[#Data],4)),"-")</f>
        <v>-</v>
      </c>
      <c r="G174" s="35" t="str">
        <f>IFERROR(IF(VLOOKUP($B174,casostestes[#Data],5)=0,"-",VLOOKUP($B174,casostestes[#Data],5)),"-")</f>
        <v>-</v>
      </c>
      <c r="H174" s="35" t="str">
        <f>IFERROR(IF(VLOOKUP($B174,casostestes[#Data],6)=0,"-",VLOOKUP($B174,casostestes[#Data],6)),"-")</f>
        <v>-</v>
      </c>
      <c r="I174" s="35" t="str">
        <f>IFERROR(IF(VLOOKUP($B174,casostestes[#Data],8)=0,"-",VLOOKUP($B174,casostestes[#Data],8)),"-")</f>
        <v>-</v>
      </c>
      <c r="J174" s="35" t="str">
        <f>IFERROR(IF(VLOOKUP($B174,casostestes[#Data],9)=0,"-",VLOOKUP($B174,casostestes[#Data],9)),"-")</f>
        <v>-</v>
      </c>
      <c r="K174" s="36"/>
      <c r="L174" s="45"/>
      <c r="M174" s="37"/>
      <c r="N174" s="38"/>
      <c r="O174" s="38"/>
      <c r="P174" s="39"/>
    </row>
    <row r="175" spans="2:16">
      <c r="B175" s="40" t="str">
        <f>IF(ISERR(casostestes[[#This Row],[ID]]),"-",casostestes[[#This Row],[ID]])</f>
        <v>-</v>
      </c>
      <c r="C175" s="34" t="str">
        <f>IFERROR(IF(VLOOKUP($B175,casostestes[#Data],10)=0,"Não",VLOOKUP($B175,casostestes[#Data],10)), "-")</f>
        <v>-</v>
      </c>
      <c r="D175" s="35" t="str">
        <f>IFERROR(IF(VLOOKUP($B175,casostestes[#Data],2)=0,"-",VLOOKUP($B175,casostestes[#Data],2)), "-")</f>
        <v>-</v>
      </c>
      <c r="E175" s="35" t="str">
        <f>IFERROR(IF(VLOOKUP($B175,casostestes[#Data],3)=0,"-",VLOOKUP($B175,casostestes[#Data],3)), "-")</f>
        <v>-</v>
      </c>
      <c r="F175" s="35" t="str">
        <f>IFERROR(IF(VLOOKUP($B175,casostestes[#Data],4)=0,"-",VLOOKUP($B175,casostestes[#Data],4)),"-")</f>
        <v>-</v>
      </c>
      <c r="G175" s="35" t="str">
        <f>IFERROR(IF(VLOOKUP($B175,casostestes[#Data],5)=0,"-",VLOOKUP($B175,casostestes[#Data],5)),"-")</f>
        <v>-</v>
      </c>
      <c r="H175" s="35" t="str">
        <f>IFERROR(IF(VLOOKUP($B175,casostestes[#Data],6)=0,"-",VLOOKUP($B175,casostestes[#Data],6)),"-")</f>
        <v>-</v>
      </c>
      <c r="I175" s="35" t="str">
        <f>IFERROR(IF(VLOOKUP($B175,casostestes[#Data],8)=0,"-",VLOOKUP($B175,casostestes[#Data],8)),"-")</f>
        <v>-</v>
      </c>
      <c r="J175" s="35" t="str">
        <f>IFERROR(IF(VLOOKUP($B175,casostestes[#Data],9)=0,"-",VLOOKUP($B175,casostestes[#Data],9)),"-")</f>
        <v>-</v>
      </c>
      <c r="K175" s="36"/>
      <c r="L175" s="45"/>
      <c r="M175" s="37"/>
      <c r="N175" s="38"/>
      <c r="O175" s="38"/>
      <c r="P175" s="39"/>
    </row>
    <row r="176" spans="2:16">
      <c r="B176" s="40" t="str">
        <f>IF(ISERR(casostestes[[#This Row],[ID]]),"-",casostestes[[#This Row],[ID]])</f>
        <v>-</v>
      </c>
      <c r="C176" s="34" t="str">
        <f>IFERROR(IF(VLOOKUP($B176,casostestes[#Data],10)=0,"Não",VLOOKUP($B176,casostestes[#Data],10)), "-")</f>
        <v>-</v>
      </c>
      <c r="D176" s="35" t="str">
        <f>IFERROR(IF(VLOOKUP($B176,casostestes[#Data],2)=0,"-",VLOOKUP($B176,casostestes[#Data],2)), "-")</f>
        <v>-</v>
      </c>
      <c r="E176" s="35" t="str">
        <f>IFERROR(IF(VLOOKUP($B176,casostestes[#Data],3)=0,"-",VLOOKUP($B176,casostestes[#Data],3)), "-")</f>
        <v>-</v>
      </c>
      <c r="F176" s="35" t="str">
        <f>IFERROR(IF(VLOOKUP($B176,casostestes[#Data],4)=0,"-",VLOOKUP($B176,casostestes[#Data],4)),"-")</f>
        <v>-</v>
      </c>
      <c r="G176" s="35" t="str">
        <f>IFERROR(IF(VLOOKUP($B176,casostestes[#Data],5)=0,"-",VLOOKUP($B176,casostestes[#Data],5)),"-")</f>
        <v>-</v>
      </c>
      <c r="H176" s="35" t="str">
        <f>IFERROR(IF(VLOOKUP($B176,casostestes[#Data],6)=0,"-",VLOOKUP($B176,casostestes[#Data],6)),"-")</f>
        <v>-</v>
      </c>
      <c r="I176" s="35" t="str">
        <f>IFERROR(IF(VLOOKUP($B176,casostestes[#Data],8)=0,"-",VLOOKUP($B176,casostestes[#Data],8)),"-")</f>
        <v>-</v>
      </c>
      <c r="J176" s="35" t="str">
        <f>IFERROR(IF(VLOOKUP($B176,casostestes[#Data],9)=0,"-",VLOOKUP($B176,casostestes[#Data],9)),"-")</f>
        <v>-</v>
      </c>
      <c r="K176" s="36"/>
      <c r="L176" s="45"/>
      <c r="M176" s="37"/>
      <c r="N176" s="38"/>
      <c r="O176" s="38"/>
      <c r="P176" s="39"/>
    </row>
    <row r="177" spans="2:16">
      <c r="B177" s="40" t="str">
        <f>IF(ISERR(casostestes[[#This Row],[ID]]),"-",casostestes[[#This Row],[ID]])</f>
        <v>-</v>
      </c>
      <c r="C177" s="34" t="str">
        <f>IFERROR(IF(VLOOKUP($B177,casostestes[#Data],10)=0,"Não",VLOOKUP($B177,casostestes[#Data],10)), "-")</f>
        <v>-</v>
      </c>
      <c r="D177" s="35" t="str">
        <f>IFERROR(IF(VLOOKUP($B177,casostestes[#Data],2)=0,"-",VLOOKUP($B177,casostestes[#Data],2)), "-")</f>
        <v>-</v>
      </c>
      <c r="E177" s="35" t="str">
        <f>IFERROR(IF(VLOOKUP($B177,casostestes[#Data],3)=0,"-",VLOOKUP($B177,casostestes[#Data],3)), "-")</f>
        <v>-</v>
      </c>
      <c r="F177" s="35" t="str">
        <f>IFERROR(IF(VLOOKUP($B177,casostestes[#Data],4)=0,"-",VLOOKUP($B177,casostestes[#Data],4)),"-")</f>
        <v>-</v>
      </c>
      <c r="G177" s="35" t="str">
        <f>IFERROR(IF(VLOOKUP($B177,casostestes[#Data],5)=0,"-",VLOOKUP($B177,casostestes[#Data],5)),"-")</f>
        <v>-</v>
      </c>
      <c r="H177" s="35" t="str">
        <f>IFERROR(IF(VLOOKUP($B177,casostestes[#Data],6)=0,"-",VLOOKUP($B177,casostestes[#Data],6)),"-")</f>
        <v>-</v>
      </c>
      <c r="I177" s="35" t="str">
        <f>IFERROR(IF(VLOOKUP($B177,casostestes[#Data],8)=0,"-",VLOOKUP($B177,casostestes[#Data],8)),"-")</f>
        <v>-</v>
      </c>
      <c r="J177" s="35" t="str">
        <f>IFERROR(IF(VLOOKUP($B177,casostestes[#Data],9)=0,"-",VLOOKUP($B177,casostestes[#Data],9)),"-")</f>
        <v>-</v>
      </c>
      <c r="K177" s="36"/>
      <c r="L177" s="45"/>
      <c r="M177" s="37"/>
      <c r="N177" s="38"/>
      <c r="O177" s="38"/>
      <c r="P177" s="39"/>
    </row>
    <row r="178" spans="2:16">
      <c r="B178" s="40" t="str">
        <f>IF(ISERR(casostestes[[#This Row],[ID]]),"-",casostestes[[#This Row],[ID]])</f>
        <v>-</v>
      </c>
      <c r="C178" s="34" t="str">
        <f>IFERROR(IF(VLOOKUP($B178,casostestes[#Data],10)=0,"Não",VLOOKUP($B178,casostestes[#Data],10)), "-")</f>
        <v>-</v>
      </c>
      <c r="D178" s="35" t="str">
        <f>IFERROR(IF(VLOOKUP($B178,casostestes[#Data],2)=0,"-",VLOOKUP($B178,casostestes[#Data],2)), "-")</f>
        <v>-</v>
      </c>
      <c r="E178" s="35" t="str">
        <f>IFERROR(IF(VLOOKUP($B178,casostestes[#Data],3)=0,"-",VLOOKUP($B178,casostestes[#Data],3)), "-")</f>
        <v>-</v>
      </c>
      <c r="F178" s="35" t="str">
        <f>IFERROR(IF(VLOOKUP($B178,casostestes[#Data],4)=0,"-",VLOOKUP($B178,casostestes[#Data],4)),"-")</f>
        <v>-</v>
      </c>
      <c r="G178" s="35" t="str">
        <f>IFERROR(IF(VLOOKUP($B178,casostestes[#Data],5)=0,"-",VLOOKUP($B178,casostestes[#Data],5)),"-")</f>
        <v>-</v>
      </c>
      <c r="H178" s="35" t="str">
        <f>IFERROR(IF(VLOOKUP($B178,casostestes[#Data],6)=0,"-",VLOOKUP($B178,casostestes[#Data],6)),"-")</f>
        <v>-</v>
      </c>
      <c r="I178" s="35" t="str">
        <f>IFERROR(IF(VLOOKUP($B178,casostestes[#Data],8)=0,"-",VLOOKUP($B178,casostestes[#Data],8)),"-")</f>
        <v>-</v>
      </c>
      <c r="J178" s="35" t="str">
        <f>IFERROR(IF(VLOOKUP($B178,casostestes[#Data],9)=0,"-",VLOOKUP($B178,casostestes[#Data],9)),"-")</f>
        <v>-</v>
      </c>
      <c r="K178" s="36"/>
      <c r="L178" s="45"/>
      <c r="M178" s="37"/>
      <c r="N178" s="38"/>
      <c r="O178" s="38"/>
      <c r="P178" s="39"/>
    </row>
    <row r="179" spans="2:16">
      <c r="B179" s="40" t="str">
        <f>IF(ISERR(casostestes[[#This Row],[ID]]),"-",casostestes[[#This Row],[ID]])</f>
        <v>-</v>
      </c>
      <c r="C179" s="34" t="str">
        <f>IFERROR(IF(VLOOKUP($B179,casostestes[#Data],10)=0,"Não",VLOOKUP($B179,casostestes[#Data],10)), "-")</f>
        <v>-</v>
      </c>
      <c r="D179" s="35" t="str">
        <f>IFERROR(IF(VLOOKUP($B179,casostestes[#Data],2)=0,"-",VLOOKUP($B179,casostestes[#Data],2)), "-")</f>
        <v>-</v>
      </c>
      <c r="E179" s="35" t="str">
        <f>IFERROR(IF(VLOOKUP($B179,casostestes[#Data],3)=0,"-",VLOOKUP($B179,casostestes[#Data],3)), "-")</f>
        <v>-</v>
      </c>
      <c r="F179" s="35" t="str">
        <f>IFERROR(IF(VLOOKUP($B179,casostestes[#Data],4)=0,"-",VLOOKUP($B179,casostestes[#Data],4)),"-")</f>
        <v>-</v>
      </c>
      <c r="G179" s="35" t="str">
        <f>IFERROR(IF(VLOOKUP($B179,casostestes[#Data],5)=0,"-",VLOOKUP($B179,casostestes[#Data],5)),"-")</f>
        <v>-</v>
      </c>
      <c r="H179" s="35" t="str">
        <f>IFERROR(IF(VLOOKUP($B179,casostestes[#Data],6)=0,"-",VLOOKUP($B179,casostestes[#Data],6)),"-")</f>
        <v>-</v>
      </c>
      <c r="I179" s="35" t="str">
        <f>IFERROR(IF(VLOOKUP($B179,casostestes[#Data],8)=0,"-",VLOOKUP($B179,casostestes[#Data],8)),"-")</f>
        <v>-</v>
      </c>
      <c r="J179" s="35" t="str">
        <f>IFERROR(IF(VLOOKUP($B179,casostestes[#Data],9)=0,"-",VLOOKUP($B179,casostestes[#Data],9)),"-")</f>
        <v>-</v>
      </c>
      <c r="K179" s="36"/>
      <c r="L179" s="45"/>
      <c r="M179" s="37"/>
      <c r="N179" s="38"/>
      <c r="O179" s="38"/>
      <c r="P179" s="39"/>
    </row>
    <row r="180" spans="2:16">
      <c r="B180" s="40" t="str">
        <f>IF(ISERR(casostestes[[#This Row],[ID]]),"-",casostestes[[#This Row],[ID]])</f>
        <v>-</v>
      </c>
      <c r="C180" s="34" t="str">
        <f>IFERROR(IF(VLOOKUP($B180,casostestes[#Data],10)=0,"Não",VLOOKUP($B180,casostestes[#Data],10)), "-")</f>
        <v>-</v>
      </c>
      <c r="D180" s="35" t="str">
        <f>IFERROR(IF(VLOOKUP($B180,casostestes[#Data],2)=0,"-",VLOOKUP($B180,casostestes[#Data],2)), "-")</f>
        <v>-</v>
      </c>
      <c r="E180" s="35" t="str">
        <f>IFERROR(IF(VLOOKUP($B180,casostestes[#Data],3)=0,"-",VLOOKUP($B180,casostestes[#Data],3)), "-")</f>
        <v>-</v>
      </c>
      <c r="F180" s="35" t="str">
        <f>IFERROR(IF(VLOOKUP($B180,casostestes[#Data],4)=0,"-",VLOOKUP($B180,casostestes[#Data],4)),"-")</f>
        <v>-</v>
      </c>
      <c r="G180" s="35" t="str">
        <f>IFERROR(IF(VLOOKUP($B180,casostestes[#Data],5)=0,"-",VLOOKUP($B180,casostestes[#Data],5)),"-")</f>
        <v>-</v>
      </c>
      <c r="H180" s="35" t="str">
        <f>IFERROR(IF(VLOOKUP($B180,casostestes[#Data],6)=0,"-",VLOOKUP($B180,casostestes[#Data],6)),"-")</f>
        <v>-</v>
      </c>
      <c r="I180" s="35" t="str">
        <f>IFERROR(IF(VLOOKUP($B180,casostestes[#Data],8)=0,"-",VLOOKUP($B180,casostestes[#Data],8)),"-")</f>
        <v>-</v>
      </c>
      <c r="J180" s="35" t="str">
        <f>IFERROR(IF(VLOOKUP($B180,casostestes[#Data],9)=0,"-",VLOOKUP($B180,casostestes[#Data],9)),"-")</f>
        <v>-</v>
      </c>
      <c r="K180" s="36"/>
      <c r="L180" s="45"/>
      <c r="M180" s="37"/>
      <c r="N180" s="38"/>
      <c r="O180" s="38"/>
      <c r="P180" s="39"/>
    </row>
    <row r="181" spans="2:16">
      <c r="B181" s="40" t="str">
        <f>IF(ISERR(casostestes[[#This Row],[ID]]),"-",casostestes[[#This Row],[ID]])</f>
        <v>-</v>
      </c>
      <c r="C181" s="34" t="str">
        <f>IFERROR(IF(VLOOKUP($B181,casostestes[#Data],10)=0,"Não",VLOOKUP($B181,casostestes[#Data],10)), "-")</f>
        <v>-</v>
      </c>
      <c r="D181" s="35" t="str">
        <f>IFERROR(IF(VLOOKUP($B181,casostestes[#Data],2)=0,"-",VLOOKUP($B181,casostestes[#Data],2)), "-")</f>
        <v>-</v>
      </c>
      <c r="E181" s="35" t="str">
        <f>IFERROR(IF(VLOOKUP($B181,casostestes[#Data],3)=0,"-",VLOOKUP($B181,casostestes[#Data],3)), "-")</f>
        <v>-</v>
      </c>
      <c r="F181" s="35" t="str">
        <f>IFERROR(IF(VLOOKUP($B181,casostestes[#Data],4)=0,"-",VLOOKUP($B181,casostestes[#Data],4)),"-")</f>
        <v>-</v>
      </c>
      <c r="G181" s="35" t="str">
        <f>IFERROR(IF(VLOOKUP($B181,casostestes[#Data],5)=0,"-",VLOOKUP($B181,casostestes[#Data],5)),"-")</f>
        <v>-</v>
      </c>
      <c r="H181" s="35" t="str">
        <f>IFERROR(IF(VLOOKUP($B181,casostestes[#Data],6)=0,"-",VLOOKUP($B181,casostestes[#Data],6)),"-")</f>
        <v>-</v>
      </c>
      <c r="I181" s="35" t="str">
        <f>IFERROR(IF(VLOOKUP($B181,casostestes[#Data],8)=0,"-",VLOOKUP($B181,casostestes[#Data],8)),"-")</f>
        <v>-</v>
      </c>
      <c r="J181" s="35" t="str">
        <f>IFERROR(IF(VLOOKUP($B181,casostestes[#Data],9)=0,"-",VLOOKUP($B181,casostestes[#Data],9)),"-")</f>
        <v>-</v>
      </c>
      <c r="K181" s="36"/>
      <c r="L181" s="45"/>
      <c r="M181" s="37"/>
      <c r="N181" s="38"/>
      <c r="O181" s="38"/>
      <c r="P181" s="39"/>
    </row>
    <row r="182" spans="2:16">
      <c r="B182" s="40" t="str">
        <f>IF(ISERR(casostestes[[#This Row],[ID]]),"-",casostestes[[#This Row],[ID]])</f>
        <v>-</v>
      </c>
      <c r="C182" s="34" t="str">
        <f>IFERROR(IF(VLOOKUP($B182,casostestes[#Data],10)=0,"Não",VLOOKUP($B182,casostestes[#Data],10)), "-")</f>
        <v>-</v>
      </c>
      <c r="D182" s="35" t="str">
        <f>IFERROR(IF(VLOOKUP($B182,casostestes[#Data],2)=0,"-",VLOOKUP($B182,casostestes[#Data],2)), "-")</f>
        <v>-</v>
      </c>
      <c r="E182" s="35" t="str">
        <f>IFERROR(IF(VLOOKUP($B182,casostestes[#Data],3)=0,"-",VLOOKUP($B182,casostestes[#Data],3)), "-")</f>
        <v>-</v>
      </c>
      <c r="F182" s="35" t="str">
        <f>IFERROR(IF(VLOOKUP($B182,casostestes[#Data],4)=0,"-",VLOOKUP($B182,casostestes[#Data],4)),"-")</f>
        <v>-</v>
      </c>
      <c r="G182" s="35" t="str">
        <f>IFERROR(IF(VLOOKUP($B182,casostestes[#Data],5)=0,"-",VLOOKUP($B182,casostestes[#Data],5)),"-")</f>
        <v>-</v>
      </c>
      <c r="H182" s="35" t="str">
        <f>IFERROR(IF(VLOOKUP($B182,casostestes[#Data],6)=0,"-",VLOOKUP($B182,casostestes[#Data],6)),"-")</f>
        <v>-</v>
      </c>
      <c r="I182" s="35" t="str">
        <f>IFERROR(IF(VLOOKUP($B182,casostestes[#Data],8)=0,"-",VLOOKUP($B182,casostestes[#Data],8)),"-")</f>
        <v>-</v>
      </c>
      <c r="J182" s="35" t="str">
        <f>IFERROR(IF(VLOOKUP($B182,casostestes[#Data],9)=0,"-",VLOOKUP($B182,casostestes[#Data],9)),"-")</f>
        <v>-</v>
      </c>
      <c r="K182" s="36"/>
      <c r="L182" s="45"/>
      <c r="M182" s="37"/>
      <c r="N182" s="38"/>
      <c r="O182" s="38"/>
      <c r="P182" s="39"/>
    </row>
    <row r="183" spans="2:16">
      <c r="B183" s="40" t="str">
        <f>IF(ISERR(casostestes[[#This Row],[ID]]),"-",casostestes[[#This Row],[ID]])</f>
        <v>-</v>
      </c>
      <c r="C183" s="34" t="str">
        <f>IFERROR(IF(VLOOKUP($B183,casostestes[#Data],10)=0,"Não",VLOOKUP($B183,casostestes[#Data],10)), "-")</f>
        <v>-</v>
      </c>
      <c r="D183" s="35" t="str">
        <f>IFERROR(IF(VLOOKUP($B183,casostestes[#Data],2)=0,"-",VLOOKUP($B183,casostestes[#Data],2)), "-")</f>
        <v>-</v>
      </c>
      <c r="E183" s="35" t="str">
        <f>IFERROR(IF(VLOOKUP($B183,casostestes[#Data],3)=0,"-",VLOOKUP($B183,casostestes[#Data],3)), "-")</f>
        <v>-</v>
      </c>
      <c r="F183" s="35" t="str">
        <f>IFERROR(IF(VLOOKUP($B183,casostestes[#Data],4)=0,"-",VLOOKUP($B183,casostestes[#Data],4)),"-")</f>
        <v>-</v>
      </c>
      <c r="G183" s="35" t="str">
        <f>IFERROR(IF(VLOOKUP($B183,casostestes[#Data],5)=0,"-",VLOOKUP($B183,casostestes[#Data],5)),"-")</f>
        <v>-</v>
      </c>
      <c r="H183" s="35" t="str">
        <f>IFERROR(IF(VLOOKUP($B183,casostestes[#Data],6)=0,"-",VLOOKUP($B183,casostestes[#Data],6)),"-")</f>
        <v>-</v>
      </c>
      <c r="I183" s="35" t="str">
        <f>IFERROR(IF(VLOOKUP($B183,casostestes[#Data],8)=0,"-",VLOOKUP($B183,casostestes[#Data],8)),"-")</f>
        <v>-</v>
      </c>
      <c r="J183" s="35" t="str">
        <f>IFERROR(IF(VLOOKUP($B183,casostestes[#Data],9)=0,"-",VLOOKUP($B183,casostestes[#Data],9)),"-")</f>
        <v>-</v>
      </c>
      <c r="K183" s="36"/>
      <c r="L183" s="45"/>
      <c r="M183" s="37"/>
      <c r="N183" s="38"/>
      <c r="O183" s="38"/>
      <c r="P183" s="39"/>
    </row>
    <row r="184" spans="2:16">
      <c r="B184" s="40" t="str">
        <f>IF(ISERR(casostestes[[#This Row],[ID]]),"-",casostestes[[#This Row],[ID]])</f>
        <v>-</v>
      </c>
      <c r="C184" s="34" t="str">
        <f>IFERROR(IF(VLOOKUP($B184,casostestes[#Data],10)=0,"Não",VLOOKUP($B184,casostestes[#Data],10)), "-")</f>
        <v>-</v>
      </c>
      <c r="D184" s="35" t="str">
        <f>IFERROR(IF(VLOOKUP($B184,casostestes[#Data],2)=0,"-",VLOOKUP($B184,casostestes[#Data],2)), "-")</f>
        <v>-</v>
      </c>
      <c r="E184" s="35" t="str">
        <f>IFERROR(IF(VLOOKUP($B184,casostestes[#Data],3)=0,"-",VLOOKUP($B184,casostestes[#Data],3)), "-")</f>
        <v>-</v>
      </c>
      <c r="F184" s="35" t="str">
        <f>IFERROR(IF(VLOOKUP($B184,casostestes[#Data],4)=0,"-",VLOOKUP($B184,casostestes[#Data],4)),"-")</f>
        <v>-</v>
      </c>
      <c r="G184" s="35" t="str">
        <f>IFERROR(IF(VLOOKUP($B184,casostestes[#Data],5)=0,"-",VLOOKUP($B184,casostestes[#Data],5)),"-")</f>
        <v>-</v>
      </c>
      <c r="H184" s="35" t="str">
        <f>IFERROR(IF(VLOOKUP($B184,casostestes[#Data],6)=0,"-",VLOOKUP($B184,casostestes[#Data],6)),"-")</f>
        <v>-</v>
      </c>
      <c r="I184" s="35" t="str">
        <f>IFERROR(IF(VLOOKUP($B184,casostestes[#Data],8)=0,"-",VLOOKUP($B184,casostestes[#Data],8)),"-")</f>
        <v>-</v>
      </c>
      <c r="J184" s="35" t="str">
        <f>IFERROR(IF(VLOOKUP($B184,casostestes[#Data],9)=0,"-",VLOOKUP($B184,casostestes[#Data],9)),"-")</f>
        <v>-</v>
      </c>
      <c r="K184" s="36"/>
      <c r="L184" s="45"/>
      <c r="M184" s="37"/>
      <c r="N184" s="38"/>
      <c r="O184" s="38"/>
      <c r="P184" s="39"/>
    </row>
    <row r="185" spans="2:16">
      <c r="B185" s="40" t="str">
        <f>IF(ISERR(casostestes[[#This Row],[ID]]),"-",casostestes[[#This Row],[ID]])</f>
        <v>-</v>
      </c>
      <c r="C185" s="34" t="str">
        <f>IFERROR(IF(VLOOKUP($B185,casostestes[#Data],10)=0,"Não",VLOOKUP($B185,casostestes[#Data],10)), "-")</f>
        <v>-</v>
      </c>
      <c r="D185" s="35" t="str">
        <f>IFERROR(IF(VLOOKUP($B185,casostestes[#Data],2)=0,"-",VLOOKUP($B185,casostestes[#Data],2)), "-")</f>
        <v>-</v>
      </c>
      <c r="E185" s="35" t="str">
        <f>IFERROR(IF(VLOOKUP($B185,casostestes[#Data],3)=0,"-",VLOOKUP($B185,casostestes[#Data],3)), "-")</f>
        <v>-</v>
      </c>
      <c r="F185" s="35" t="str">
        <f>IFERROR(IF(VLOOKUP($B185,casostestes[#Data],4)=0,"-",VLOOKUP($B185,casostestes[#Data],4)),"-")</f>
        <v>-</v>
      </c>
      <c r="G185" s="35" t="str">
        <f>IFERROR(IF(VLOOKUP($B185,casostestes[#Data],5)=0,"-",VLOOKUP($B185,casostestes[#Data],5)),"-")</f>
        <v>-</v>
      </c>
      <c r="H185" s="35" t="str">
        <f>IFERROR(IF(VLOOKUP($B185,casostestes[#Data],6)=0,"-",VLOOKUP($B185,casostestes[#Data],6)),"-")</f>
        <v>-</v>
      </c>
      <c r="I185" s="35" t="str">
        <f>IFERROR(IF(VLOOKUP($B185,casostestes[#Data],8)=0,"-",VLOOKUP($B185,casostestes[#Data],8)),"-")</f>
        <v>-</v>
      </c>
      <c r="J185" s="35" t="str">
        <f>IFERROR(IF(VLOOKUP($B185,casostestes[#Data],9)=0,"-",VLOOKUP($B185,casostestes[#Data],9)),"-")</f>
        <v>-</v>
      </c>
      <c r="K185" s="36"/>
      <c r="L185" s="45"/>
      <c r="M185" s="37"/>
      <c r="N185" s="38"/>
      <c r="O185" s="38"/>
      <c r="P185" s="39"/>
    </row>
    <row r="186" spans="2:16">
      <c r="B186" s="40" t="str">
        <f>IF(ISERR(casostestes[[#This Row],[ID]]),"-",casostestes[[#This Row],[ID]])</f>
        <v>-</v>
      </c>
      <c r="C186" s="34" t="str">
        <f>IFERROR(IF(VLOOKUP($B186,casostestes[#Data],10)=0,"Não",VLOOKUP($B186,casostestes[#Data],10)), "-")</f>
        <v>-</v>
      </c>
      <c r="D186" s="35" t="str">
        <f>IFERROR(IF(VLOOKUP($B186,casostestes[#Data],2)=0,"-",VLOOKUP($B186,casostestes[#Data],2)), "-")</f>
        <v>-</v>
      </c>
      <c r="E186" s="35" t="str">
        <f>IFERROR(IF(VLOOKUP($B186,casostestes[#Data],3)=0,"-",VLOOKUP($B186,casostestes[#Data],3)), "-")</f>
        <v>-</v>
      </c>
      <c r="F186" s="35" t="str">
        <f>IFERROR(IF(VLOOKUP($B186,casostestes[#Data],4)=0,"-",VLOOKUP($B186,casostestes[#Data],4)),"-")</f>
        <v>-</v>
      </c>
      <c r="G186" s="35" t="str">
        <f>IFERROR(IF(VLOOKUP($B186,casostestes[#Data],5)=0,"-",VLOOKUP($B186,casostestes[#Data],5)),"-")</f>
        <v>-</v>
      </c>
      <c r="H186" s="35" t="str">
        <f>IFERROR(IF(VLOOKUP($B186,casostestes[#Data],6)=0,"-",VLOOKUP($B186,casostestes[#Data],6)),"-")</f>
        <v>-</v>
      </c>
      <c r="I186" s="35" t="str">
        <f>IFERROR(IF(VLOOKUP($B186,casostestes[#Data],8)=0,"-",VLOOKUP($B186,casostestes[#Data],8)),"-")</f>
        <v>-</v>
      </c>
      <c r="J186" s="35" t="str">
        <f>IFERROR(IF(VLOOKUP($B186,casostestes[#Data],9)=0,"-",VLOOKUP($B186,casostestes[#Data],9)),"-")</f>
        <v>-</v>
      </c>
      <c r="K186" s="36"/>
      <c r="L186" s="45"/>
      <c r="M186" s="37"/>
      <c r="N186" s="38"/>
      <c r="O186" s="38"/>
      <c r="P186" s="39"/>
    </row>
    <row r="187" spans="2:16">
      <c r="B187" s="40" t="str">
        <f>IF(ISERR(casostestes[[#This Row],[ID]]),"-",casostestes[[#This Row],[ID]])</f>
        <v>-</v>
      </c>
      <c r="C187" s="34" t="str">
        <f>IFERROR(IF(VLOOKUP($B187,casostestes[#Data],10)=0,"Não",VLOOKUP($B187,casostestes[#Data],10)), "-")</f>
        <v>-</v>
      </c>
      <c r="D187" s="35" t="str">
        <f>IFERROR(IF(VLOOKUP($B187,casostestes[#Data],2)=0,"-",VLOOKUP($B187,casostestes[#Data],2)), "-")</f>
        <v>-</v>
      </c>
      <c r="E187" s="35" t="str">
        <f>IFERROR(IF(VLOOKUP($B187,casostestes[#Data],3)=0,"-",VLOOKUP($B187,casostestes[#Data],3)), "-")</f>
        <v>-</v>
      </c>
      <c r="F187" s="35" t="str">
        <f>IFERROR(IF(VLOOKUP($B187,casostestes[#Data],4)=0,"-",VLOOKUP($B187,casostestes[#Data],4)),"-")</f>
        <v>-</v>
      </c>
      <c r="G187" s="35" t="str">
        <f>IFERROR(IF(VLOOKUP($B187,casostestes[#Data],5)=0,"-",VLOOKUP($B187,casostestes[#Data],5)),"-")</f>
        <v>-</v>
      </c>
      <c r="H187" s="35" t="str">
        <f>IFERROR(IF(VLOOKUP($B187,casostestes[#Data],6)=0,"-",VLOOKUP($B187,casostestes[#Data],6)),"-")</f>
        <v>-</v>
      </c>
      <c r="I187" s="35" t="str">
        <f>IFERROR(IF(VLOOKUP($B187,casostestes[#Data],8)=0,"-",VLOOKUP($B187,casostestes[#Data],8)),"-")</f>
        <v>-</v>
      </c>
      <c r="J187" s="35" t="str">
        <f>IFERROR(IF(VLOOKUP($B187,casostestes[#Data],9)=0,"-",VLOOKUP($B187,casostestes[#Data],9)),"-")</f>
        <v>-</v>
      </c>
      <c r="K187" s="36"/>
      <c r="L187" s="45"/>
      <c r="M187" s="37"/>
      <c r="N187" s="38"/>
      <c r="O187" s="38"/>
      <c r="P187" s="39"/>
    </row>
    <row r="188" spans="2:16">
      <c r="B188" s="40" t="str">
        <f>IF(ISERR(casostestes[[#This Row],[ID]]),"-",casostestes[[#This Row],[ID]])</f>
        <v>-</v>
      </c>
      <c r="C188" s="34" t="str">
        <f>IFERROR(IF(VLOOKUP($B188,casostestes[#Data],10)=0,"Não",VLOOKUP($B188,casostestes[#Data],10)), "-")</f>
        <v>-</v>
      </c>
      <c r="D188" s="35" t="str">
        <f>IFERROR(IF(VLOOKUP($B188,casostestes[#Data],2)=0,"-",VLOOKUP($B188,casostestes[#Data],2)), "-")</f>
        <v>-</v>
      </c>
      <c r="E188" s="35" t="str">
        <f>IFERROR(IF(VLOOKUP($B188,casostestes[#Data],3)=0,"-",VLOOKUP($B188,casostestes[#Data],3)), "-")</f>
        <v>-</v>
      </c>
      <c r="F188" s="35" t="str">
        <f>IFERROR(IF(VLOOKUP($B188,casostestes[#Data],4)=0,"-",VLOOKUP($B188,casostestes[#Data],4)),"-")</f>
        <v>-</v>
      </c>
      <c r="G188" s="35" t="str">
        <f>IFERROR(IF(VLOOKUP($B188,casostestes[#Data],5)=0,"-",VLOOKUP($B188,casostestes[#Data],5)),"-")</f>
        <v>-</v>
      </c>
      <c r="H188" s="35" t="str">
        <f>IFERROR(IF(VLOOKUP($B188,casostestes[#Data],6)=0,"-",VLOOKUP($B188,casostestes[#Data],6)),"-")</f>
        <v>-</v>
      </c>
      <c r="I188" s="35" t="str">
        <f>IFERROR(IF(VLOOKUP($B188,casostestes[#Data],8)=0,"-",VLOOKUP($B188,casostestes[#Data],8)),"-")</f>
        <v>-</v>
      </c>
      <c r="J188" s="35" t="str">
        <f>IFERROR(IF(VLOOKUP($B188,casostestes[#Data],9)=0,"-",VLOOKUP($B188,casostestes[#Data],9)),"-")</f>
        <v>-</v>
      </c>
      <c r="K188" s="36"/>
      <c r="L188" s="45"/>
      <c r="M188" s="37"/>
      <c r="N188" s="38"/>
      <c r="O188" s="38"/>
      <c r="P188" s="39"/>
    </row>
    <row r="189" spans="2:16">
      <c r="B189" s="40" t="str">
        <f>IF(ISERR(casostestes[[#This Row],[ID]]),"-",casostestes[[#This Row],[ID]])</f>
        <v>-</v>
      </c>
      <c r="C189" s="34" t="str">
        <f>IFERROR(IF(VLOOKUP($B189,casostestes[#Data],10)=0,"Não",VLOOKUP($B189,casostestes[#Data],10)), "-")</f>
        <v>-</v>
      </c>
      <c r="D189" s="35" t="str">
        <f>IFERROR(IF(VLOOKUP($B189,casostestes[#Data],2)=0,"-",VLOOKUP($B189,casostestes[#Data],2)), "-")</f>
        <v>-</v>
      </c>
      <c r="E189" s="35" t="str">
        <f>IFERROR(IF(VLOOKUP($B189,casostestes[#Data],3)=0,"-",VLOOKUP($B189,casostestes[#Data],3)), "-")</f>
        <v>-</v>
      </c>
      <c r="F189" s="35" t="str">
        <f>IFERROR(IF(VLOOKUP($B189,casostestes[#Data],4)=0,"-",VLOOKUP($B189,casostestes[#Data],4)),"-")</f>
        <v>-</v>
      </c>
      <c r="G189" s="35" t="str">
        <f>IFERROR(IF(VLOOKUP($B189,casostestes[#Data],5)=0,"-",VLOOKUP($B189,casostestes[#Data],5)),"-")</f>
        <v>-</v>
      </c>
      <c r="H189" s="35" t="str">
        <f>IFERROR(IF(VLOOKUP($B189,casostestes[#Data],6)=0,"-",VLOOKUP($B189,casostestes[#Data],6)),"-")</f>
        <v>-</v>
      </c>
      <c r="I189" s="35" t="str">
        <f>IFERROR(IF(VLOOKUP($B189,casostestes[#Data],8)=0,"-",VLOOKUP($B189,casostestes[#Data],8)),"-")</f>
        <v>-</v>
      </c>
      <c r="J189" s="35" t="str">
        <f>IFERROR(IF(VLOOKUP($B189,casostestes[#Data],9)=0,"-",VLOOKUP($B189,casostestes[#Data],9)),"-")</f>
        <v>-</v>
      </c>
      <c r="K189" s="36"/>
      <c r="L189" s="45"/>
      <c r="M189" s="37"/>
      <c r="N189" s="38"/>
      <c r="O189" s="38"/>
      <c r="P189" s="39"/>
    </row>
    <row r="190" spans="2:16">
      <c r="B190" s="40" t="str">
        <f>IF(ISERR(casostestes[[#This Row],[ID]]),"-",casostestes[[#This Row],[ID]])</f>
        <v>-</v>
      </c>
      <c r="C190" s="34" t="str">
        <f>IFERROR(IF(VLOOKUP($B190,casostestes[#Data],10)=0,"Não",VLOOKUP($B190,casostestes[#Data],10)), "-")</f>
        <v>-</v>
      </c>
      <c r="D190" s="35" t="str">
        <f>IFERROR(IF(VLOOKUP($B190,casostestes[#Data],2)=0,"-",VLOOKUP($B190,casostestes[#Data],2)), "-")</f>
        <v>-</v>
      </c>
      <c r="E190" s="35" t="str">
        <f>IFERROR(IF(VLOOKUP($B190,casostestes[#Data],3)=0,"-",VLOOKUP($B190,casostestes[#Data],3)), "-")</f>
        <v>-</v>
      </c>
      <c r="F190" s="35" t="str">
        <f>IFERROR(IF(VLOOKUP($B190,casostestes[#Data],4)=0,"-",VLOOKUP($B190,casostestes[#Data],4)),"-")</f>
        <v>-</v>
      </c>
      <c r="G190" s="35" t="str">
        <f>IFERROR(IF(VLOOKUP($B190,casostestes[#Data],5)=0,"-",VLOOKUP($B190,casostestes[#Data],5)),"-")</f>
        <v>-</v>
      </c>
      <c r="H190" s="35" t="str">
        <f>IFERROR(IF(VLOOKUP($B190,casostestes[#Data],6)=0,"-",VLOOKUP($B190,casostestes[#Data],6)),"-")</f>
        <v>-</v>
      </c>
      <c r="I190" s="35" t="str">
        <f>IFERROR(IF(VLOOKUP($B190,casostestes[#Data],8)=0,"-",VLOOKUP($B190,casostestes[#Data],8)),"-")</f>
        <v>-</v>
      </c>
      <c r="J190" s="35" t="str">
        <f>IFERROR(IF(VLOOKUP($B190,casostestes[#Data],9)=0,"-",VLOOKUP($B190,casostestes[#Data],9)),"-")</f>
        <v>-</v>
      </c>
      <c r="K190" s="36"/>
      <c r="L190" s="45"/>
      <c r="M190" s="37"/>
      <c r="N190" s="38"/>
      <c r="O190" s="38"/>
      <c r="P190" s="39"/>
    </row>
    <row r="191" spans="2:16">
      <c r="B191" s="40" t="str">
        <f>IF(ISERR(casostestes[[#This Row],[ID]]),"-",casostestes[[#This Row],[ID]])</f>
        <v>-</v>
      </c>
      <c r="C191" s="34" t="str">
        <f>IFERROR(IF(VLOOKUP($B191,casostestes[#Data],10)=0,"Não",VLOOKUP($B191,casostestes[#Data],10)), "-")</f>
        <v>-</v>
      </c>
      <c r="D191" s="35" t="str">
        <f>IFERROR(IF(VLOOKUP($B191,casostestes[#Data],2)=0,"-",VLOOKUP($B191,casostestes[#Data],2)), "-")</f>
        <v>-</v>
      </c>
      <c r="E191" s="35" t="str">
        <f>IFERROR(IF(VLOOKUP($B191,casostestes[#Data],3)=0,"-",VLOOKUP($B191,casostestes[#Data],3)), "-")</f>
        <v>-</v>
      </c>
      <c r="F191" s="35" t="str">
        <f>IFERROR(IF(VLOOKUP($B191,casostestes[#Data],4)=0,"-",VLOOKUP($B191,casostestes[#Data],4)),"-")</f>
        <v>-</v>
      </c>
      <c r="G191" s="35" t="str">
        <f>IFERROR(IF(VLOOKUP($B191,casostestes[#Data],5)=0,"-",VLOOKUP($B191,casostestes[#Data],5)),"-")</f>
        <v>-</v>
      </c>
      <c r="H191" s="35" t="str">
        <f>IFERROR(IF(VLOOKUP($B191,casostestes[#Data],6)=0,"-",VLOOKUP($B191,casostestes[#Data],6)),"-")</f>
        <v>-</v>
      </c>
      <c r="I191" s="35" t="str">
        <f>IFERROR(IF(VLOOKUP($B191,casostestes[#Data],8)=0,"-",VLOOKUP($B191,casostestes[#Data],8)),"-")</f>
        <v>-</v>
      </c>
      <c r="J191" s="35" t="str">
        <f>IFERROR(IF(VLOOKUP($B191,casostestes[#Data],9)=0,"-",VLOOKUP($B191,casostestes[#Data],9)),"-")</f>
        <v>-</v>
      </c>
      <c r="K191" s="36"/>
      <c r="L191" s="45"/>
      <c r="M191" s="37"/>
      <c r="N191" s="38"/>
      <c r="O191" s="38"/>
      <c r="P191" s="39"/>
    </row>
    <row r="192" spans="2:16">
      <c r="B192" s="40" t="str">
        <f>IF(ISERR(casostestes[[#This Row],[ID]]),"-",casostestes[[#This Row],[ID]])</f>
        <v>-</v>
      </c>
      <c r="C192" s="34" t="str">
        <f>IFERROR(IF(VLOOKUP($B192,casostestes[#Data],10)=0,"Não",VLOOKUP($B192,casostestes[#Data],10)), "-")</f>
        <v>-</v>
      </c>
      <c r="D192" s="35" t="str">
        <f>IFERROR(IF(VLOOKUP($B192,casostestes[#Data],2)=0,"-",VLOOKUP($B192,casostestes[#Data],2)), "-")</f>
        <v>-</v>
      </c>
      <c r="E192" s="35" t="str">
        <f>IFERROR(IF(VLOOKUP($B192,casostestes[#Data],3)=0,"-",VLOOKUP($B192,casostestes[#Data],3)), "-")</f>
        <v>-</v>
      </c>
      <c r="F192" s="35" t="str">
        <f>IFERROR(IF(VLOOKUP($B192,casostestes[#Data],4)=0,"-",VLOOKUP($B192,casostestes[#Data],4)),"-")</f>
        <v>-</v>
      </c>
      <c r="G192" s="35" t="str">
        <f>IFERROR(IF(VLOOKUP($B192,casostestes[#Data],5)=0,"-",VLOOKUP($B192,casostestes[#Data],5)),"-")</f>
        <v>-</v>
      </c>
      <c r="H192" s="35" t="str">
        <f>IFERROR(IF(VLOOKUP($B192,casostestes[#Data],6)=0,"-",VLOOKUP($B192,casostestes[#Data],6)),"-")</f>
        <v>-</v>
      </c>
      <c r="I192" s="35" t="str">
        <f>IFERROR(IF(VLOOKUP($B192,casostestes[#Data],8)=0,"-",VLOOKUP($B192,casostestes[#Data],8)),"-")</f>
        <v>-</v>
      </c>
      <c r="J192" s="35" t="str">
        <f>IFERROR(IF(VLOOKUP($B192,casostestes[#Data],9)=0,"-",VLOOKUP($B192,casostestes[#Data],9)),"-")</f>
        <v>-</v>
      </c>
      <c r="K192" s="36"/>
      <c r="L192" s="45"/>
      <c r="M192" s="37"/>
      <c r="N192" s="38"/>
      <c r="O192" s="38"/>
      <c r="P192" s="39"/>
    </row>
    <row r="193" spans="2:16">
      <c r="B193" s="40" t="str">
        <f>IF(ISERR(casostestes[[#This Row],[ID]]),"-",casostestes[[#This Row],[ID]])</f>
        <v>-</v>
      </c>
      <c r="C193" s="34" t="str">
        <f>IFERROR(IF(VLOOKUP($B193,casostestes[#Data],10)=0,"Não",VLOOKUP($B193,casostestes[#Data],10)), "-")</f>
        <v>-</v>
      </c>
      <c r="D193" s="35" t="str">
        <f>IFERROR(IF(VLOOKUP($B193,casostestes[#Data],2)=0,"-",VLOOKUP($B193,casostestes[#Data],2)), "-")</f>
        <v>-</v>
      </c>
      <c r="E193" s="35" t="str">
        <f>IFERROR(IF(VLOOKUP($B193,casostestes[#Data],3)=0,"-",VLOOKUP($B193,casostestes[#Data],3)), "-")</f>
        <v>-</v>
      </c>
      <c r="F193" s="35" t="str">
        <f>IFERROR(IF(VLOOKUP($B193,casostestes[#Data],4)=0,"-",VLOOKUP($B193,casostestes[#Data],4)),"-")</f>
        <v>-</v>
      </c>
      <c r="G193" s="35" t="str">
        <f>IFERROR(IF(VLOOKUP($B193,casostestes[#Data],5)=0,"-",VLOOKUP($B193,casostestes[#Data],5)),"-")</f>
        <v>-</v>
      </c>
      <c r="H193" s="35" t="str">
        <f>IFERROR(IF(VLOOKUP($B193,casostestes[#Data],6)=0,"-",VLOOKUP($B193,casostestes[#Data],6)),"-")</f>
        <v>-</v>
      </c>
      <c r="I193" s="35" t="str">
        <f>IFERROR(IF(VLOOKUP($B193,casostestes[#Data],8)=0,"-",VLOOKUP($B193,casostestes[#Data],8)),"-")</f>
        <v>-</v>
      </c>
      <c r="J193" s="35" t="str">
        <f>IFERROR(IF(VLOOKUP($B193,casostestes[#Data],9)=0,"-",VLOOKUP($B193,casostestes[#Data],9)),"-")</f>
        <v>-</v>
      </c>
      <c r="K193" s="36"/>
      <c r="L193" s="45"/>
      <c r="M193" s="37"/>
      <c r="N193" s="38"/>
      <c r="O193" s="38"/>
      <c r="P193" s="39"/>
    </row>
    <row r="194" spans="2:16">
      <c r="B194" s="40" t="str">
        <f>IF(ISERR(casostestes[[#This Row],[ID]]),"-",casostestes[[#This Row],[ID]])</f>
        <v>-</v>
      </c>
      <c r="C194" s="34" t="str">
        <f>IFERROR(IF(VLOOKUP($B194,casostestes[#Data],10)=0,"Não",VLOOKUP($B194,casostestes[#Data],10)), "-")</f>
        <v>-</v>
      </c>
      <c r="D194" s="35" t="str">
        <f>IFERROR(IF(VLOOKUP($B194,casostestes[#Data],2)=0,"-",VLOOKUP($B194,casostestes[#Data],2)), "-")</f>
        <v>-</v>
      </c>
      <c r="E194" s="35" t="str">
        <f>IFERROR(IF(VLOOKUP($B194,casostestes[#Data],3)=0,"-",VLOOKUP($B194,casostestes[#Data],3)), "-")</f>
        <v>-</v>
      </c>
      <c r="F194" s="35" t="str">
        <f>IFERROR(IF(VLOOKUP($B194,casostestes[#Data],4)=0,"-",VLOOKUP($B194,casostestes[#Data],4)),"-")</f>
        <v>-</v>
      </c>
      <c r="G194" s="35" t="str">
        <f>IFERROR(IF(VLOOKUP($B194,casostestes[#Data],5)=0,"-",VLOOKUP($B194,casostestes[#Data],5)),"-")</f>
        <v>-</v>
      </c>
      <c r="H194" s="35" t="str">
        <f>IFERROR(IF(VLOOKUP($B194,casostestes[#Data],6)=0,"-",VLOOKUP($B194,casostestes[#Data],6)),"-")</f>
        <v>-</v>
      </c>
      <c r="I194" s="35" t="str">
        <f>IFERROR(IF(VLOOKUP($B194,casostestes[#Data],8)=0,"-",VLOOKUP($B194,casostestes[#Data],8)),"-")</f>
        <v>-</v>
      </c>
      <c r="J194" s="35" t="str">
        <f>IFERROR(IF(VLOOKUP($B194,casostestes[#Data],9)=0,"-",VLOOKUP($B194,casostestes[#Data],9)),"-")</f>
        <v>-</v>
      </c>
      <c r="K194" s="36"/>
      <c r="L194" s="45"/>
      <c r="M194" s="37"/>
      <c r="N194" s="38"/>
      <c r="O194" s="38"/>
      <c r="P194" s="39"/>
    </row>
    <row r="195" spans="2:16">
      <c r="B195" s="40" t="str">
        <f>IF(ISERR(casostestes[[#This Row],[ID]]),"-",casostestes[[#This Row],[ID]])</f>
        <v>-</v>
      </c>
      <c r="C195" s="34" t="str">
        <f>IFERROR(IF(VLOOKUP($B195,casostestes[#Data],10)=0,"Não",VLOOKUP($B195,casostestes[#Data],10)), "-")</f>
        <v>-</v>
      </c>
      <c r="D195" s="35" t="str">
        <f>IFERROR(IF(VLOOKUP($B195,casostestes[#Data],2)=0,"-",VLOOKUP($B195,casostestes[#Data],2)), "-")</f>
        <v>-</v>
      </c>
      <c r="E195" s="35" t="str">
        <f>IFERROR(IF(VLOOKUP($B195,casostestes[#Data],3)=0,"-",VLOOKUP($B195,casostestes[#Data],3)), "-")</f>
        <v>-</v>
      </c>
      <c r="F195" s="35" t="str">
        <f>IFERROR(IF(VLOOKUP($B195,casostestes[#Data],4)=0,"-",VLOOKUP($B195,casostestes[#Data],4)),"-")</f>
        <v>-</v>
      </c>
      <c r="G195" s="35" t="str">
        <f>IFERROR(IF(VLOOKUP($B195,casostestes[#Data],5)=0,"-",VLOOKUP($B195,casostestes[#Data],5)),"-")</f>
        <v>-</v>
      </c>
      <c r="H195" s="35" t="str">
        <f>IFERROR(IF(VLOOKUP($B195,casostestes[#Data],6)=0,"-",VLOOKUP($B195,casostestes[#Data],6)),"-")</f>
        <v>-</v>
      </c>
      <c r="I195" s="35" t="str">
        <f>IFERROR(IF(VLOOKUP($B195,casostestes[#Data],8)=0,"-",VLOOKUP($B195,casostestes[#Data],8)),"-")</f>
        <v>-</v>
      </c>
      <c r="J195" s="35" t="str">
        <f>IFERROR(IF(VLOOKUP($B195,casostestes[#Data],9)=0,"-",VLOOKUP($B195,casostestes[#Data],9)),"-")</f>
        <v>-</v>
      </c>
      <c r="K195" s="36"/>
      <c r="L195" s="45"/>
      <c r="M195" s="37"/>
      <c r="N195" s="38"/>
      <c r="O195" s="38"/>
      <c r="P195" s="39"/>
    </row>
    <row r="196" spans="2:16">
      <c r="B196" s="40" t="str">
        <f>IF(ISERR(casostestes[[#This Row],[ID]]),"-",casostestes[[#This Row],[ID]])</f>
        <v>-</v>
      </c>
      <c r="C196" s="34" t="str">
        <f>IFERROR(IF(VLOOKUP($B196,casostestes[#Data],10)=0,"Não",VLOOKUP($B196,casostestes[#Data],10)), "-")</f>
        <v>-</v>
      </c>
      <c r="D196" s="35" t="str">
        <f>IFERROR(IF(VLOOKUP($B196,casostestes[#Data],2)=0,"-",VLOOKUP($B196,casostestes[#Data],2)), "-")</f>
        <v>-</v>
      </c>
      <c r="E196" s="35" t="str">
        <f>IFERROR(IF(VLOOKUP($B196,casostestes[#Data],3)=0,"-",VLOOKUP($B196,casostestes[#Data],3)), "-")</f>
        <v>-</v>
      </c>
      <c r="F196" s="35" t="str">
        <f>IFERROR(IF(VLOOKUP($B196,casostestes[#Data],4)=0,"-",VLOOKUP($B196,casostestes[#Data],4)),"-")</f>
        <v>-</v>
      </c>
      <c r="G196" s="35" t="str">
        <f>IFERROR(IF(VLOOKUP($B196,casostestes[#Data],5)=0,"-",VLOOKUP($B196,casostestes[#Data],5)),"-")</f>
        <v>-</v>
      </c>
      <c r="H196" s="35" t="str">
        <f>IFERROR(IF(VLOOKUP($B196,casostestes[#Data],6)=0,"-",VLOOKUP($B196,casostestes[#Data],6)),"-")</f>
        <v>-</v>
      </c>
      <c r="I196" s="35" t="str">
        <f>IFERROR(IF(VLOOKUP($B196,casostestes[#Data],8)=0,"-",VLOOKUP($B196,casostestes[#Data],8)),"-")</f>
        <v>-</v>
      </c>
      <c r="J196" s="35" t="str">
        <f>IFERROR(IF(VLOOKUP($B196,casostestes[#Data],9)=0,"-",VLOOKUP($B196,casostestes[#Data],9)),"-")</f>
        <v>-</v>
      </c>
      <c r="K196" s="36"/>
      <c r="L196" s="45"/>
      <c r="M196" s="37"/>
      <c r="N196" s="38"/>
      <c r="O196" s="38"/>
      <c r="P196" s="39"/>
    </row>
    <row r="197" spans="2:16">
      <c r="B197" s="40" t="str">
        <f>IF(ISERR(casostestes[[#This Row],[ID]]),"-",casostestes[[#This Row],[ID]])</f>
        <v>-</v>
      </c>
      <c r="C197" s="34" t="str">
        <f>IFERROR(IF(VLOOKUP($B197,casostestes[#Data],10)=0,"Não",VLOOKUP($B197,casostestes[#Data],10)), "-")</f>
        <v>-</v>
      </c>
      <c r="D197" s="35" t="str">
        <f>IFERROR(IF(VLOOKUP($B197,casostestes[#Data],2)=0,"-",VLOOKUP($B197,casostestes[#Data],2)), "-")</f>
        <v>-</v>
      </c>
      <c r="E197" s="35" t="str">
        <f>IFERROR(IF(VLOOKUP($B197,casostestes[#Data],3)=0,"-",VLOOKUP($B197,casostestes[#Data],3)), "-")</f>
        <v>-</v>
      </c>
      <c r="F197" s="35" t="str">
        <f>IFERROR(IF(VLOOKUP($B197,casostestes[#Data],4)=0,"-",VLOOKUP($B197,casostestes[#Data],4)),"-")</f>
        <v>-</v>
      </c>
      <c r="G197" s="35" t="str">
        <f>IFERROR(IF(VLOOKUP($B197,casostestes[#Data],5)=0,"-",VLOOKUP($B197,casostestes[#Data],5)),"-")</f>
        <v>-</v>
      </c>
      <c r="H197" s="35" t="str">
        <f>IFERROR(IF(VLOOKUP($B197,casostestes[#Data],6)=0,"-",VLOOKUP($B197,casostestes[#Data],6)),"-")</f>
        <v>-</v>
      </c>
      <c r="I197" s="35" t="str">
        <f>IFERROR(IF(VLOOKUP($B197,casostestes[#Data],8)=0,"-",VLOOKUP($B197,casostestes[#Data],8)),"-")</f>
        <v>-</v>
      </c>
      <c r="J197" s="35" t="str">
        <f>IFERROR(IF(VLOOKUP($B197,casostestes[#Data],9)=0,"-",VLOOKUP($B197,casostestes[#Data],9)),"-")</f>
        <v>-</v>
      </c>
      <c r="K197" s="36"/>
      <c r="L197" s="45"/>
      <c r="M197" s="37"/>
      <c r="N197" s="38"/>
      <c r="O197" s="38"/>
      <c r="P197" s="39"/>
    </row>
    <row r="198" spans="2:16">
      <c r="B198" s="40" t="str">
        <f>IF(ISERR(casostestes[[#This Row],[ID]]),"-",casostestes[[#This Row],[ID]])</f>
        <v>-</v>
      </c>
      <c r="C198" s="34" t="str">
        <f>IFERROR(IF(VLOOKUP($B198,casostestes[#Data],10)=0,"Não",VLOOKUP($B198,casostestes[#Data],10)), "-")</f>
        <v>-</v>
      </c>
      <c r="D198" s="35" t="str">
        <f>IFERROR(IF(VLOOKUP($B198,casostestes[#Data],2)=0,"-",VLOOKUP($B198,casostestes[#Data],2)), "-")</f>
        <v>-</v>
      </c>
      <c r="E198" s="35" t="str">
        <f>IFERROR(IF(VLOOKUP($B198,casostestes[#Data],3)=0,"-",VLOOKUP($B198,casostestes[#Data],3)), "-")</f>
        <v>-</v>
      </c>
      <c r="F198" s="35" t="str">
        <f>IFERROR(IF(VLOOKUP($B198,casostestes[#Data],4)=0,"-",VLOOKUP($B198,casostestes[#Data],4)),"-")</f>
        <v>-</v>
      </c>
      <c r="G198" s="35" t="str">
        <f>IFERROR(IF(VLOOKUP($B198,casostestes[#Data],5)=0,"-",VLOOKUP($B198,casostestes[#Data],5)),"-")</f>
        <v>-</v>
      </c>
      <c r="H198" s="35" t="str">
        <f>IFERROR(IF(VLOOKUP($B198,casostestes[#Data],6)=0,"-",VLOOKUP($B198,casostestes[#Data],6)),"-")</f>
        <v>-</v>
      </c>
      <c r="I198" s="35" t="str">
        <f>IFERROR(IF(VLOOKUP($B198,casostestes[#Data],8)=0,"-",VLOOKUP($B198,casostestes[#Data],8)),"-")</f>
        <v>-</v>
      </c>
      <c r="J198" s="35" t="str">
        <f>IFERROR(IF(VLOOKUP($B198,casostestes[#Data],9)=0,"-",VLOOKUP($B198,casostestes[#Data],9)),"-")</f>
        <v>-</v>
      </c>
      <c r="K198" s="36"/>
      <c r="L198" s="45"/>
      <c r="M198" s="37"/>
      <c r="N198" s="38"/>
      <c r="O198" s="38"/>
      <c r="P198" s="39"/>
    </row>
    <row r="199" spans="2:16">
      <c r="B199" s="40" t="str">
        <f>IF(ISERR(casostestes[[#This Row],[ID]]),"-",casostestes[[#This Row],[ID]])</f>
        <v>-</v>
      </c>
      <c r="C199" s="34" t="str">
        <f>IFERROR(IF(VLOOKUP($B199,casostestes[#Data],10)=0,"Não",VLOOKUP($B199,casostestes[#Data],10)), "-")</f>
        <v>-</v>
      </c>
      <c r="D199" s="35" t="str">
        <f>IFERROR(IF(VLOOKUP($B199,casostestes[#Data],2)=0,"-",VLOOKUP($B199,casostestes[#Data],2)), "-")</f>
        <v>-</v>
      </c>
      <c r="E199" s="35" t="str">
        <f>IFERROR(IF(VLOOKUP($B199,casostestes[#Data],3)=0,"-",VLOOKUP($B199,casostestes[#Data],3)), "-")</f>
        <v>-</v>
      </c>
      <c r="F199" s="35" t="str">
        <f>IFERROR(IF(VLOOKUP($B199,casostestes[#Data],4)=0,"-",VLOOKUP($B199,casostestes[#Data],4)),"-")</f>
        <v>-</v>
      </c>
      <c r="G199" s="35" t="str">
        <f>IFERROR(IF(VLOOKUP($B199,casostestes[#Data],5)=0,"-",VLOOKUP($B199,casostestes[#Data],5)),"-")</f>
        <v>-</v>
      </c>
      <c r="H199" s="35" t="str">
        <f>IFERROR(IF(VLOOKUP($B199,casostestes[#Data],6)=0,"-",VLOOKUP($B199,casostestes[#Data],6)),"-")</f>
        <v>-</v>
      </c>
      <c r="I199" s="35" t="str">
        <f>IFERROR(IF(VLOOKUP($B199,casostestes[#Data],8)=0,"-",VLOOKUP($B199,casostestes[#Data],8)),"-")</f>
        <v>-</v>
      </c>
      <c r="J199" s="35" t="str">
        <f>IFERROR(IF(VLOOKUP($B199,casostestes[#Data],9)=0,"-",VLOOKUP($B199,casostestes[#Data],9)),"-")</f>
        <v>-</v>
      </c>
      <c r="K199" s="36"/>
      <c r="L199" s="45"/>
      <c r="M199" s="37"/>
      <c r="N199" s="38"/>
      <c r="O199" s="38"/>
      <c r="P199" s="39"/>
    </row>
    <row r="200" spans="2:16">
      <c r="B200" s="40" t="str">
        <f>IF(ISERR(casostestes[[#This Row],[ID]]),"-",casostestes[[#This Row],[ID]])</f>
        <v>-</v>
      </c>
      <c r="C200" s="41" t="str">
        <f>IFERROR(IF(VLOOKUP($B200,casostestes[#Data],10)=0,"Não",VLOOKUP($B200,casostestes[#Data],10)), "-")</f>
        <v>-</v>
      </c>
      <c r="D200" s="42" t="str">
        <f>IFERROR(IF(VLOOKUP($B200,casostestes[#Data],2)=0,"-",VLOOKUP($B200,casostestes[#Data],2)), "-")</f>
        <v>-</v>
      </c>
      <c r="E200" s="42" t="str">
        <f>IFERROR(IF(VLOOKUP($B200,casostestes[#Data],3)=0,"-",VLOOKUP($B200,casostestes[#Data],3)), "-")</f>
        <v>-</v>
      </c>
      <c r="F200" s="42" t="str">
        <f>IFERROR(IF(VLOOKUP($B200,casostestes[#Data],4)=0,"-",VLOOKUP($B200,casostestes[#Data],4)),"-")</f>
        <v>-</v>
      </c>
      <c r="G200" s="42" t="str">
        <f>IFERROR(IF(VLOOKUP($B200,casostestes[#Data],5)=0,"-",VLOOKUP($B200,casostestes[#Data],5)),"-")</f>
        <v>-</v>
      </c>
      <c r="H200" s="42" t="str">
        <f>IFERROR(IF(VLOOKUP($B200,casostestes[#Data],6)=0,"-",VLOOKUP($B200,casostestes[#Data],6)),"-")</f>
        <v>-</v>
      </c>
      <c r="I200" s="42" t="str">
        <f>IFERROR(IF(VLOOKUP($B200,casostestes[#Data],8)=0,"-",VLOOKUP($B200,casostestes[#Data],8)),"-")</f>
        <v>-</v>
      </c>
      <c r="J200" s="42" t="str">
        <f>IFERROR(IF(VLOOKUP($B200,casostestes[#Data],9)=0,"-",VLOOKUP($B200,casostestes[#Data],9)),"-")</f>
        <v>-</v>
      </c>
      <c r="K200" s="43"/>
      <c r="L200" s="45"/>
      <c r="M200" s="44"/>
      <c r="N200" s="45"/>
      <c r="O200" s="45"/>
      <c r="P200" s="46"/>
    </row>
  </sheetData>
  <mergeCells count="3">
    <mergeCell ref="B1:J1"/>
    <mergeCell ref="B2:J2"/>
    <mergeCell ref="B3:J3"/>
  </mergeCells>
  <conditionalFormatting sqref="C8:C200 C201:D1048576">
    <cfRule type="cellIs" dxfId="101" priority="6" operator="equal">
      <formula>"Sim"</formula>
    </cfRule>
    <cfRule type="cellIs" dxfId="100" priority="7" operator="equal">
      <formula>"Não"</formula>
    </cfRule>
  </conditionalFormatting>
  <conditionalFormatting sqref="M8:M200">
    <cfRule type="cellIs" dxfId="99" priority="1" operator="equal">
      <formula>"Sem massa"</formula>
    </cfRule>
    <cfRule type="cellIs" dxfId="98" priority="2" operator="equal">
      <formula>"Pendência Externa"</formula>
    </cfRule>
    <cfRule type="cellIs" dxfId="97" priority="3" operator="equal">
      <formula>"Disponível para reteste"</formula>
    </cfRule>
    <cfRule type="cellIs" dxfId="96" priority="4" operator="equal">
      <formula>"Reprovado"</formula>
    </cfRule>
    <cfRule type="cellIs" dxfId="95" priority="5" operator="equal">
      <formula>"Aprovado"</formula>
    </cfRule>
  </conditionalFormatting>
  <dataValidations count="1">
    <dataValidation type="list" allowBlank="1" showInputMessage="1" showErrorMessage="1" sqref="M8:M200" xr:uid="{0C603CE7-EFD4-48FD-8111-1C85C5D03D9E}">
      <formula1>INDIRECT("status[status]")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E8E30-D985-43C6-8E97-8178342B3641}">
  <sheetPr>
    <tabColor theme="9" tint="0.79998168889431442"/>
  </sheetPr>
  <dimension ref="B1:P201"/>
  <sheetViews>
    <sheetView showGridLines="0" zoomScaleNormal="100" workbookViewId="0">
      <pane xSplit="5" ySplit="7" topLeftCell="J23" activePane="bottomRight" state="frozen"/>
      <selection pane="bottomRight" activeCell="O24" sqref="O24"/>
      <selection pane="bottomLeft" activeCell="E11" sqref="E11"/>
      <selection pane="topRight" activeCell="E11" sqref="E11"/>
    </sheetView>
  </sheetViews>
  <sheetFormatPr defaultColWidth="9.140625" defaultRowHeight="15"/>
  <cols>
    <col min="1" max="1" width="2.7109375" style="14" customWidth="1"/>
    <col min="2" max="2" width="7.7109375" style="14" customWidth="1"/>
    <col min="3" max="3" width="15.42578125" style="14" customWidth="1"/>
    <col min="4" max="4" width="26" style="14" customWidth="1"/>
    <col min="5" max="5" width="48.42578125" style="14" customWidth="1"/>
    <col min="6" max="6" width="17.7109375" style="14" customWidth="1"/>
    <col min="7" max="7" width="24.42578125" style="14" customWidth="1"/>
    <col min="8" max="8" width="99.85546875" style="88" customWidth="1"/>
    <col min="9" max="9" width="33.85546875" style="14" customWidth="1"/>
    <col min="10" max="10" width="104.7109375" style="14" customWidth="1"/>
    <col min="11" max="11" width="18" style="14" customWidth="1"/>
    <col min="12" max="12" width="20.5703125" style="14" customWidth="1"/>
    <col min="13" max="13" width="21.85546875" style="14" customWidth="1"/>
    <col min="14" max="14" width="31.5703125" style="14" customWidth="1"/>
    <col min="15" max="15" width="24.85546875" style="14" customWidth="1"/>
    <col min="16" max="16" width="22.42578125" style="14" customWidth="1"/>
    <col min="17" max="16384" width="9.140625" style="14"/>
  </cols>
  <sheetData>
    <row r="1" spans="2:16" ht="26.25">
      <c r="B1" s="106" t="s">
        <v>0</v>
      </c>
      <c r="C1" s="106"/>
      <c r="D1" s="106"/>
      <c r="E1" s="106"/>
      <c r="F1" s="106"/>
      <c r="G1" s="106"/>
      <c r="H1" s="106"/>
      <c r="I1" s="106"/>
      <c r="J1" s="106"/>
      <c r="K1" s="19"/>
      <c r="L1" s="19"/>
    </row>
    <row r="2" spans="2:16" s="21" customFormat="1" ht="23.25">
      <c r="B2" s="107" t="s">
        <v>1</v>
      </c>
      <c r="C2" s="107"/>
      <c r="D2" s="107"/>
      <c r="E2" s="107"/>
      <c r="F2" s="107"/>
      <c r="G2" s="107"/>
      <c r="H2" s="107"/>
      <c r="I2" s="107"/>
      <c r="J2" s="107"/>
      <c r="K2" s="20"/>
      <c r="L2" s="20"/>
    </row>
    <row r="3" spans="2:16" s="21" customFormat="1" ht="23.25">
      <c r="B3" s="107" t="s">
        <v>2</v>
      </c>
      <c r="C3" s="107"/>
      <c r="D3" s="107"/>
      <c r="E3" s="107"/>
      <c r="F3" s="107"/>
      <c r="G3" s="107"/>
      <c r="H3" s="107"/>
      <c r="I3" s="107"/>
      <c r="J3" s="107"/>
      <c r="K3" s="20"/>
      <c r="L3" s="20"/>
    </row>
    <row r="5" spans="2:16">
      <c r="B5" s="3"/>
      <c r="E5" s="3"/>
    </row>
    <row r="7" spans="2:16" s="3" customFormat="1">
      <c r="B7" s="15" t="s">
        <v>3</v>
      </c>
      <c r="C7" s="16" t="s">
        <v>4</v>
      </c>
      <c r="D7" s="16" t="s">
        <v>5</v>
      </c>
      <c r="E7" s="17" t="s">
        <v>6</v>
      </c>
      <c r="F7" s="17" t="s">
        <v>7</v>
      </c>
      <c r="G7" s="17" t="s">
        <v>8</v>
      </c>
      <c r="H7" s="89" t="s">
        <v>9</v>
      </c>
      <c r="I7" s="17" t="s">
        <v>10</v>
      </c>
      <c r="J7" s="17" t="s">
        <v>11</v>
      </c>
      <c r="K7" s="17" t="s">
        <v>12</v>
      </c>
      <c r="L7" s="17" t="s">
        <v>13</v>
      </c>
      <c r="M7" s="17" t="s">
        <v>14</v>
      </c>
      <c r="N7" s="17" t="s">
        <v>15</v>
      </c>
      <c r="O7" s="17" t="s">
        <v>16</v>
      </c>
      <c r="P7" s="18" t="s">
        <v>17</v>
      </c>
    </row>
    <row r="8" spans="2:16" s="13" customFormat="1" ht="126" customHeight="1">
      <c r="B8" s="34">
        <f>IF(ISERR(casostestes[[#This Row],[ID]]),"-",casostestes[[#This Row],[ID]])</f>
        <v>1</v>
      </c>
      <c r="C8" s="34" t="str">
        <f>IFERROR(IF(VLOOKUP($B8,casostestes[#Data],10)=0,"Não",VLOOKUP($B8,casostestes[#Data],10)), "-")</f>
        <v>Sim</v>
      </c>
      <c r="D8" s="35" t="str">
        <f>IFERROR(IF(VLOOKUP($B8,casostestes[#Data],2)=0,"-",VLOOKUP($B8,casostestes[#Data],2)), "-")</f>
        <v>Requerimento Inicial de BI</v>
      </c>
      <c r="E8" s="35" t="str">
        <f>IFERROR(IF(VLOOKUP($B8,casostestes[#Data],3)=0,"-",VLOOKUP($B8,casostestes[#Data],3)), "-")</f>
        <v>6
Criação de tarefa de BI inicial com fluxo ATESTMED para categoria DIFERENTE de Segurado Especial COM exigência de preenchimento da AD.
Premissas:
Catálogo: Exige autodeclaração = ATIVADO
Parâmetro:  144 - Fluxo ATESTMED = LIGADO</v>
      </c>
      <c r="F8" s="35" t="str">
        <f>IFERROR(IF(VLOOKUP($B8,casostestes[#Data],4)=0,"-",VLOOKUP($B8,casostestes[#Data],4)),"-")</f>
        <v>Central 135</v>
      </c>
      <c r="G8" s="35" t="str">
        <f>IFERROR(IF(VLOOKUP($B8,casostestes[#Data],5)=0,"-",VLOOKUP($B8,casostestes[#Data],5)),"-")</f>
        <v>ATENDENTE_CENTRAL_135</v>
      </c>
      <c r="H8" s="87" t="str">
        <f>IFERROR(IF(VLOOKUP($B8,casostestes[#Data],6)=0,"-",VLOOKUP($B8,casostestes[#Data],6)),"-")</f>
        <v>1. Logar no Portal do Atendimento INSS com o perfil do caso de teste
2. Criar tarefa de BI informando:
- Tipo de Incapacidade? "Temporário"
- A pessoa está presa?  "Não"
- Categoria do trabalhador "Desempregado" ...
- A pessoa ficou sem trabalhar? "Sim"</v>
      </c>
      <c r="I8" s="35" t="str">
        <f>IFERROR(IF(VLOOKUP($B8,casostestes[#Data],8)=0,"-",VLOOKUP($B8,casostestes[#Data],8)),"-")</f>
        <v>-</v>
      </c>
      <c r="J8" s="35" t="str">
        <f>IFERROR(IF(VLOOKUP($B8,casostestes[#Data],9)=0,"-",VLOOKUP($B8,casostestes[#Data],9)),"-")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8" s="36">
        <v>46251</v>
      </c>
      <c r="L8" s="38" t="s">
        <v>267</v>
      </c>
      <c r="M8" s="37" t="s">
        <v>22</v>
      </c>
      <c r="N8" s="38"/>
      <c r="O8" s="38"/>
      <c r="P8" s="39"/>
    </row>
    <row r="9" spans="2:16" ht="321">
      <c r="B9" s="40">
        <f>IF(ISERR(casostestes[[#This Row],[ID]]),"-",casostestes[[#This Row],[ID]])</f>
        <v>2</v>
      </c>
      <c r="C9" s="41" t="str">
        <f>IFERROR(IF(VLOOKUP($B9,casostestes[#Data],10)=0,"Não",VLOOKUP($B9,casostestes[#Data],10)), "-")</f>
        <v>Sim</v>
      </c>
      <c r="D9" s="42" t="str">
        <f>IFERROR(IF(VLOOKUP($B9,casostestes[#Data],2)=0,"-",VLOOKUP($B9,casostestes[#Data],2)), "-")</f>
        <v>Integração</v>
      </c>
      <c r="E9" s="42" t="str">
        <f>IFERROR(IF(VLOOKUP($B9,casostestes[#Data],3)=0,"-",VLOOKUP($B9,casostestes[#Data],3)), "-")</f>
        <v>12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9" s="42" t="str">
        <f>IFERROR(IF(VLOOKUP($B9,casostestes[#Data],4)=0,"-",VLOOKUP($B9,casostestes[#Data],4)),"-")</f>
        <v>PAT</v>
      </c>
      <c r="G9" s="42" t="str">
        <f>IFERROR(IF(VLOOKUP($B9,casostestes[#Data],5)=0,"-",VLOOKUP($B9,casostestes[#Data],5)),"-")</f>
        <v>SERVIDOR</v>
      </c>
      <c r="H9" s="90" t="str">
        <f>IFERROR(IF(VLOOKUP($B9,casostestes[#Data],6)=0,"-",VLOOKUP($B9,casostestes[#Data],6)),"-")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9" s="35" t="str">
        <f>IFERROR(IF(VLOOKUP($B9,casostestes[#Data],8)=0,"-",VLOOKUP($B9,casostestes[#Data],8)),"-")</f>
        <v>-</v>
      </c>
      <c r="J9" s="42" t="str">
        <f>IFERROR(IF(VLOOKUP($B9,casostestes[#Data],9)=0,"-",VLOOKUP($B9,casostestes[#Data],9)),"-")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9" s="43"/>
      <c r="L9" s="45" t="s">
        <v>268</v>
      </c>
      <c r="M9" s="44" t="s">
        <v>22</v>
      </c>
      <c r="N9" s="45"/>
      <c r="O9" s="45" t="s">
        <v>269</v>
      </c>
      <c r="P9" s="46"/>
    </row>
    <row r="10" spans="2:16" ht="189" customHeight="1">
      <c r="B10" s="40">
        <f>IF(ISERR(casostestes[[#This Row],[ID]]),"-",casostestes[[#This Row],[ID]])</f>
        <v>3</v>
      </c>
      <c r="C10" s="34" t="str">
        <f>IFERROR(IF(VLOOKUP($B10,casostestes[#Data],10)=0,"Não",VLOOKUP($B10,casostestes[#Data],10)), "-")</f>
        <v>Sim</v>
      </c>
      <c r="D10" s="35" t="str">
        <f>IFERROR(IF(VLOOKUP($B10,casostestes[#Data],2)=0,"-",VLOOKUP($B10,casostestes[#Data],2)), "-")</f>
        <v>Integração</v>
      </c>
      <c r="E10" s="35" t="str">
        <f>IFERROR(IF(VLOOKUP($B10,casostestes[#Data],3)=0,"-",VLOOKUP($B10,casostestes[#Data],3)), "-")</f>
        <v>13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10" s="35" t="str">
        <f>IFERROR(IF(VLOOKUP($B10,casostestes[#Data],4)=0,"-",VLOOKUP($B10,casostestes[#Data],4)),"-")</f>
        <v>PAT</v>
      </c>
      <c r="G10" s="35" t="str">
        <f>IFERROR(IF(VLOOKUP($B10,casostestes[#Data],5)=0,"-",VLOOKUP($B10,casostestes[#Data],5)),"-")</f>
        <v>SERVIDOR</v>
      </c>
      <c r="H10" s="87" t="str">
        <f>IFERROR(IF(VLOOKUP($B10,casostestes[#Data],6)=0,"-",VLOOKUP($B10,casostestes[#Data],6)),"-")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10" s="35" t="str">
        <f>IFERROR(IF(VLOOKUP($B10,casostestes[#Data],8)=0,"-",VLOOKUP($B10,casostestes[#Data],8)),"-")</f>
        <v>-</v>
      </c>
      <c r="J10" s="35" t="str">
        <f>IFERROR(IF(VLOOKUP($B10,casostestes[#Data],9)=0,"-",VLOOKUP($B10,casostestes[#Data],9)),"-")</f>
        <v>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</v>
      </c>
      <c r="K10" s="36"/>
      <c r="L10" s="117" t="s">
        <v>270</v>
      </c>
      <c r="M10" s="37" t="s">
        <v>22</v>
      </c>
      <c r="N10" s="38" t="s">
        <v>271</v>
      </c>
      <c r="O10" s="38" t="s">
        <v>269</v>
      </c>
      <c r="P10" s="39"/>
    </row>
    <row r="11" spans="2:16" ht="225">
      <c r="B11" s="40">
        <f>IF(ISERR(casostestes[[#This Row],[ID]]),"-",casostestes[[#This Row],[ID]])</f>
        <v>4</v>
      </c>
      <c r="C11" s="34" t="str">
        <f>IFERROR(IF(VLOOKUP($B11,casostestes[#Data],10)=0,"Não",VLOOKUP($B11,casostestes[#Data],10)), "-")</f>
        <v>Sim</v>
      </c>
      <c r="D11" s="35" t="str">
        <f>IFERROR(IF(VLOOKUP($B11,casostestes[#Data],2)=0,"-",VLOOKUP($B11,casostestes[#Data],2)), "-")</f>
        <v>Integração</v>
      </c>
      <c r="E11" s="35" t="str">
        <f>IFERROR(IF(VLOOKUP($B11,casostestes[#Data],3)=0,"-",VLOOKUP($B11,casostestes[#Data],3)), "-")</f>
        <v>16
Cumprir a exigência de autodeclaração</v>
      </c>
      <c r="F11" s="35" t="str">
        <f>IFERROR(IF(VLOOKUP($B11,casostestes[#Data],4)=0,"-",VLOOKUP($B11,casostestes[#Data],4)),"-")</f>
        <v>PAT</v>
      </c>
      <c r="G11" s="35" t="str">
        <f>IFERROR(IF(VLOOKUP($B11,casostestes[#Data],5)=0,"-",VLOOKUP($B11,casostestes[#Data],5)),"-")</f>
        <v>SERVIDOR</v>
      </c>
      <c r="H11" s="87" t="str">
        <f>IFERROR(IF(VLOOKUP($B11,casostestes[#Data],6)=0,"-",VLOOKUP($B11,casostestes[#Data],6)),"-")</f>
        <v>1. Logar no Portal do Atendimento INSS com o perfil Servidor
2.Consultar uma tarefa em exigência de autodeclaração e acionar Cumprir Exigência  
3. Responder o formulário de autodeclaração até o final</v>
      </c>
      <c r="I11" s="35" t="str">
        <f>IFERROR(IF(VLOOKUP($B11,casostestes[#Data],8)=0,"-",VLOOKUP($B11,casostestes[#Data],8)),"-")</f>
        <v>-</v>
      </c>
      <c r="J11" s="35" t="str">
        <f>IFERROR(IF(VLOOKUP($B11,casostestes[#Data],9)=0,"-",VLOOKUP($B11,casostestes[#Data],9)),"-")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11" s="36">
        <v>46252</v>
      </c>
      <c r="L11" s="45" t="s">
        <v>272</v>
      </c>
      <c r="M11" s="37" t="s">
        <v>22</v>
      </c>
      <c r="N11" s="38"/>
      <c r="O11" s="38"/>
      <c r="P11" s="39"/>
    </row>
    <row r="12" spans="2:16" ht="315">
      <c r="B12" s="40">
        <f>IF(ISERR(casostestes[[#This Row],[ID]]),"-",casostestes[[#This Row],[ID]])</f>
        <v>5</v>
      </c>
      <c r="C12" s="34" t="str">
        <f>IFERROR(IF(VLOOKUP($B12,casostestes[#Data],10)=0,"Não",VLOOKUP($B12,casostestes[#Data],10)), "-")</f>
        <v>Sim</v>
      </c>
      <c r="D12" s="35" t="str">
        <f>IFERROR(IF(VLOOKUP($B12,casostestes[#Data],2)=0,"-",VLOOKUP($B12,casostestes[#Data],2)), "-")</f>
        <v>Integração</v>
      </c>
      <c r="E12" s="35" t="str">
        <f>IFERROR(IF(VLOOKUP($B12,casostestes[#Data],3)=0,"-",VLOOKUP($B12,casostestes[#Data],3)), "-")</f>
        <v>17
Responder o formulário de autodeclaração acessando diretamente a aba segurado especial ao detalhar a tarefa, onde a tarefa encontra-se em exigência de autodeclaração</v>
      </c>
      <c r="F12" s="35" t="str">
        <f>IFERROR(IF(VLOOKUP($B12,casostestes[#Data],4)=0,"-",VLOOKUP($B12,casostestes[#Data],4)),"-")</f>
        <v>PAT</v>
      </c>
      <c r="G12" s="35" t="str">
        <f>IFERROR(IF(VLOOKUP($B12,casostestes[#Data],5)=0,"-",VLOOKUP($B12,casostestes[#Data],5)),"-")</f>
        <v>SERVIDOR</v>
      </c>
      <c r="H12" s="87" t="str">
        <f>IFERROR(IF(VLOOKUP($B12,casostestes[#Data],6)=0,"-",VLOOKUP($B12,casostestes[#Data],6)),"-")</f>
        <v>1. Logar no Portal do Atendimento INSS com o perfil Servidor
2.Consultar uma tarefa em exigência de autodeclaração 
3. Acionar a aba Segurado especial
3. Responder o formulário de autodeclaração até o final</v>
      </c>
      <c r="I12" s="35" t="str">
        <f>IFERROR(IF(VLOOKUP($B12,casostestes[#Data],8)=0,"-",VLOOKUP($B12,casostestes[#Data],8)),"-")</f>
        <v>-</v>
      </c>
      <c r="J12" s="35" t="str">
        <f>IFERROR(IF(VLOOKUP($B12,casostestes[#Data],9)=0,"-",VLOOKUP($B12,casostestes[#Data],9)),"-")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12" s="36">
        <v>46252</v>
      </c>
      <c r="L12" s="45" t="s">
        <v>273</v>
      </c>
      <c r="M12" s="37" t="s">
        <v>22</v>
      </c>
      <c r="N12" s="38"/>
      <c r="O12" s="38"/>
      <c r="P12" s="39"/>
    </row>
    <row r="13" spans="2:16" ht="105">
      <c r="B13" s="40">
        <f>IF(ISERR(casostestes[[#This Row],[ID]]),"-",casostestes[[#This Row],[ID]])</f>
        <v>6</v>
      </c>
      <c r="C13" s="34" t="str">
        <f>IFERROR(IF(VLOOKUP($B13,casostestes[#Data],10)=0,"Não",VLOOKUP($B13,casostestes[#Data],10)), "-")</f>
        <v>Sim</v>
      </c>
      <c r="D13" s="35" t="str">
        <f>IFERROR(IF(VLOOKUP($B13,casostestes[#Data],2)=0,"-",VLOOKUP($B13,casostestes[#Data],2)), "-")</f>
        <v>Integração</v>
      </c>
      <c r="E13" s="35" t="str">
        <f>IFERROR(IF(VLOOKUP($B13,casostestes[#Data],3)=0,"-",VLOOKUP($B13,casostestes[#Data],3)), "-")</f>
        <v>18
Responder o formulário de autodeclaração acessando diretamente a aba segurado especial ao detalhar a tarefa, onde a tarefa encontra-se em exigência de documento médico</v>
      </c>
      <c r="F13" s="35" t="str">
        <f>IFERROR(IF(VLOOKUP($B13,casostestes[#Data],4)=0,"-",VLOOKUP($B13,casostestes[#Data],4)),"-")</f>
        <v>PAT</v>
      </c>
      <c r="G13" s="35" t="str">
        <f>IFERROR(IF(VLOOKUP($B13,casostestes[#Data],5)=0,"-",VLOOKUP($B13,casostestes[#Data],5)),"-")</f>
        <v>SERVIDOR</v>
      </c>
      <c r="H13" s="87" t="str">
        <f>IFERROR(IF(VLOOKUP($B13,casostestes[#Data],6)=0,"-",VLOOKUP($B13,casostestes[#Data],6)),"-")</f>
        <v>1. Logar no Portal do Atendimento INSS com o perfil Servidor
2.Consultar uma tarefa em exigência de documento médico
3. Acionar a aba Segurado especial
3. Responder o formulário de autodeclaração até o final</v>
      </c>
      <c r="I13" s="35" t="str">
        <f>IFERROR(IF(VLOOKUP($B13,casostestes[#Data],8)=0,"-",VLOOKUP($B13,casostestes[#Data],8)),"-")</f>
        <v>-</v>
      </c>
      <c r="J13" s="35" t="str">
        <f>IFERROR(IF(VLOOKUP($B13,casostestes[#Data],9)=0,"-",VLOOKUP($B13,casostestes[#Data],9)),"-")</f>
        <v xml:space="preserve">
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13" s="36"/>
      <c r="L13" s="45"/>
      <c r="M13" s="37"/>
      <c r="N13" s="38"/>
      <c r="O13" s="38"/>
      <c r="P13" s="39"/>
    </row>
    <row r="14" spans="2:16" ht="240">
      <c r="B14" s="40">
        <f>IF(ISERR(casostestes[[#This Row],[ID]]),"-",casostestes[[#This Row],[ID]])</f>
        <v>7</v>
      </c>
      <c r="C14" s="34" t="str">
        <f>IFERROR(IF(VLOOKUP($B14,casostestes[#Data],10)=0,"Não",VLOOKUP($B14,casostestes[#Data],10)), "-")</f>
        <v>Sim</v>
      </c>
      <c r="D14" s="35" t="str">
        <f>IFERROR(IF(VLOOKUP($B14,casostestes[#Data],2)=0,"-",VLOOKUP($B14,casostestes[#Data],2)), "-")</f>
        <v>Integração</v>
      </c>
      <c r="E14" s="35" t="str">
        <f>IFERROR(IF(VLOOKUP($B14,casostestes[#Data],3)=0,"-",VLOOKUP($B14,casostestes[#Data],3)), "-")</f>
        <v>19
Criar tarefa de BI inicial fluxo ATESTMEDQ para categoria "Segurado especial" onde o parâmetro "Exige Autodeclaração" no Catálogo está ATIVADO,  NÃO foi respondida a autodeclaração, NÃO foi incluído o anexo detalhado de AD e cidadão está preso
**Parâmetro PAT ligado: 144 - Fluxo ATESTMEDQ</v>
      </c>
      <c r="F14" s="35" t="str">
        <f>IFERROR(IF(VLOOKUP($B14,casostestes[#Data],4)=0,"-",VLOOKUP($B14,casostestes[#Data],4)),"-")</f>
        <v>PAT</v>
      </c>
      <c r="G14" s="35" t="str">
        <f>IFERROR(IF(VLOOKUP($B14,casostestes[#Data],5)=0,"-",VLOOKUP($B14,casostestes[#Data],5)),"-")</f>
        <v>SERVIDOR</v>
      </c>
      <c r="H14" s="87" t="str">
        <f>IFERROR(IF(VLOOKUP($B14,casostestes[#Data],6)=0,"-",VLOOKUP($B14,casostestes[#Data],6)),"-")</f>
        <v xml:space="preserve">1. Logar no Portal do Atendimento INSS com o perfil do caso de teste
2.Criar tarefa de BI informando:
Tipo de Incapacidade? "Temporária "
A pessoa está presa?  Sim
Categoria do trabalhador "Segurado Especial"
A pessoa ficou sem trabalhar? Sim
3. NÃO Informar anexo detalhado de autodeclaração
4. NÃO responder o formulário de autodeclaração
</v>
      </c>
      <c r="I14" s="35" t="str">
        <f>IFERROR(IF(VLOOKUP($B14,casostestes[#Data],8)=0,"-",VLOOKUP($B14,casostestes[#Data],8)),"-")</f>
        <v>-</v>
      </c>
      <c r="J14" s="35" t="str">
        <f>IFERROR(IF(VLOOKUP($B14,casostestes[#Data],9)=0,"-",VLOOKUP($B14,casostestes[#Data],9)),"-")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14" s="36">
        <v>46252</v>
      </c>
      <c r="L14" s="45" t="s">
        <v>274</v>
      </c>
      <c r="M14" s="37" t="s">
        <v>22</v>
      </c>
      <c r="N14" s="38"/>
      <c r="O14" s="38"/>
      <c r="P14" s="39"/>
    </row>
    <row r="15" spans="2:16" ht="240">
      <c r="B15" s="40">
        <f>IF(ISERR(casostestes[[#This Row],[ID]]),"-",casostestes[[#This Row],[ID]])</f>
        <v>8</v>
      </c>
      <c r="C15" s="34" t="str">
        <f>IFERROR(IF(VLOOKUP($B15,casostestes[#Data],10)=0,"Não",VLOOKUP($B15,casostestes[#Data],10)), "-")</f>
        <v>Sim</v>
      </c>
      <c r="D15" s="35" t="str">
        <f>IFERROR(IF(VLOOKUP($B15,casostestes[#Data],2)=0,"-",VLOOKUP($B15,casostestes[#Data],2)), "-")</f>
        <v>Integração</v>
      </c>
      <c r="E15" s="35" t="str">
        <f>IFERROR(IF(VLOOKUP($B15,casostestes[#Data],3)=0,"-",VLOOKUP($B15,casostestes[#Data],3)), "-")</f>
        <v>20
Criar tarefa de BI inicial fluxo ATESTMEDQ para categoria "Segurado especial" onde o parâmetro "Exige Autodeclaração" no Catálogo está ATIVADO,  NÃO foi respondida a autodeclaração, NÃO foi incluído o anexo detalhado de AD e cidadão ficou sem trabalhar
**Parâmetro PAT ligado: 144 - Fluxo ATESTMEDQ</v>
      </c>
      <c r="F15" s="35" t="str">
        <f>IFERROR(IF(VLOOKUP($B15,casostestes[#Data],4)=0,"-",VLOOKUP($B15,casostestes[#Data],4)),"-")</f>
        <v>PAT</v>
      </c>
      <c r="G15" s="35" t="str">
        <f>IFERROR(IF(VLOOKUP($B15,casostestes[#Data],5)=0,"-",VLOOKUP($B15,casostestes[#Data],5)),"-")</f>
        <v>SERVIDOR</v>
      </c>
      <c r="H15" s="87" t="str">
        <f>IFERROR(IF(VLOOKUP($B15,casostestes[#Data],6)=0,"-",VLOOKUP($B15,casostestes[#Data],6)),"-")</f>
        <v xml:space="preserve">1. Logar no Portal do Atendimento INSS com o perfil do caso de teste
2.Criar tarefa de BI informando:
Tipo de Incapacidade? "Temporária "
A pessoa está presa?  Não
Categoria do trabalhador "Segurado Especial"
A pessoa ficou sem trabalhar? Não
3. Informar anexo detalhado de autodeclaração
4. NÃO responder o formulário de autodeclaração
</v>
      </c>
      <c r="I15" s="35" t="str">
        <f>IFERROR(IF(VLOOKUP($B15,casostestes[#Data],8)=0,"-",VLOOKUP($B15,casostestes[#Data],8)),"-")</f>
        <v>-</v>
      </c>
      <c r="J15" s="35" t="str">
        <f>IFERROR(IF(VLOOKUP($B15,casostestes[#Data],9)=0,"-",VLOOKUP($B15,casostestes[#Data],9)),"-")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15" s="36"/>
      <c r="L15" s="45" t="s">
        <v>275</v>
      </c>
      <c r="M15" s="37" t="s">
        <v>22</v>
      </c>
      <c r="N15" s="38"/>
      <c r="O15" s="38"/>
      <c r="P15" s="39"/>
    </row>
    <row r="16" spans="2:16" ht="321">
      <c r="B16" s="40">
        <f>IF(ISERR(casostestes[[#This Row],[ID]]),"-",casostestes[[#This Row],[ID]])</f>
        <v>9</v>
      </c>
      <c r="C16" s="34" t="str">
        <f>IFERROR(IF(VLOOKUP($B16,casostestes[#Data],10)=0,"Não",VLOOKUP($B16,casostestes[#Data],10)), "-")</f>
        <v>Sim</v>
      </c>
      <c r="D16" s="35" t="str">
        <f>IFERROR(IF(VLOOKUP($B16,casostestes[#Data],2)=0,"-",VLOOKUP($B16,casostestes[#Data],2)), "-")</f>
        <v>Integração</v>
      </c>
      <c r="E16" s="35" t="str">
        <f>IFERROR(IF(VLOOKUP($B16,casostestes[#Data],3)=0,"-",VLOOKUP($B16,casostestes[#Data],3)), "-")</f>
        <v>21
Criar tarefa de BI inicial fluxo ATESTMEDQ para categoria "Segurado especial" onde o parâmetro "Exige Autodeclaração" no Catálogo está ATIVADO,  NÃO foi respondida a autodeclaração e foi incluído o anexo detalhado de AD
**Parâmetro PAT ligado: 144 - Fluxo ATESTMEDQ</v>
      </c>
      <c r="F16" s="35" t="str">
        <f>IFERROR(IF(VLOOKUP($B16,casostestes[#Data],4)=0,"-",VLOOKUP($B16,casostestes[#Data],4)),"-")</f>
        <v>PAT</v>
      </c>
      <c r="G16" s="35" t="str">
        <f>IFERROR(IF(VLOOKUP($B16,casostestes[#Data],5)=0,"-",VLOOKUP($B16,casostestes[#Data],5)),"-")</f>
        <v>SERVIDOR</v>
      </c>
      <c r="H16" s="87" t="str">
        <f>IFERROR(IF(VLOOKUP($B16,casostestes[#Data],6)=0,"-",VLOOKUP($B16,casostestes[#Data],6)),"-")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Informar anexo detalhado de autodeclaração
4. NÃO responder o formulário de autodeclaração
Resultado 1
5.Alterar via banco de dados a data da exigência para (data atual - 36 dias)
Resultado 2</v>
      </c>
      <c r="I16" s="35" t="str">
        <f>IFERROR(IF(VLOOKUP($B16,casostestes[#Data],8)=0,"-",VLOOKUP($B16,casostestes[#Data],8)),"-")</f>
        <v>-</v>
      </c>
      <c r="J16" s="35" t="str">
        <f>IFERROR(IF(VLOOKUP($B16,casostestes[#Data],9)=0,"-",VLOOKUP($B16,casostestes[#Data],9)),"-")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2
Resultado 2 - Após alguns minutos:
Tarefa de BI com situação alterada para Pendente
Despacho incluído informando a operação ( fragmento de sigla  XXXXXXXXXX )
Divergência de autodeclaração (116) EXCLUÍDA da tarefa
Alguns minutos depois:
Status SIBE igual a AGUARDANDO ATESTADO 
Na opção  "Lista de Ocorrências", o json de integração com o SIBE deverá conter o campo "periodosPendentesSegEsp" com valor true.
</v>
      </c>
      <c r="K16" s="36"/>
      <c r="L16" s="45" t="s">
        <v>276</v>
      </c>
      <c r="M16" s="37" t="s">
        <v>22</v>
      </c>
      <c r="N16" s="38"/>
      <c r="O16" s="38" t="s">
        <v>277</v>
      </c>
      <c r="P16" s="39"/>
    </row>
    <row r="17" spans="2:16" ht="243" customHeight="1">
      <c r="B17" s="40">
        <f>IF(ISERR(casostestes[[#This Row],[ID]]),"-",casostestes[[#This Row],[ID]])</f>
        <v>10</v>
      </c>
      <c r="C17" s="34" t="str">
        <f>IFERROR(IF(VLOOKUP($B17,casostestes[#Data],10)=0,"Não",VLOOKUP($B17,casostestes[#Data],10)), "-")</f>
        <v>Sim</v>
      </c>
      <c r="D17" s="35" t="str">
        <f>IFERROR(IF(VLOOKUP($B17,casostestes[#Data],2)=0,"-",VLOOKUP($B17,casostestes[#Data],2)), "-")</f>
        <v>Integração</v>
      </c>
      <c r="E17" s="35" t="str">
        <f>IFERROR(IF(VLOOKUP($B17,casostestes[#Data],3)=0,"-",VLOOKUP($B17,casostestes[#Data],3)), "-")</f>
        <v>22
Criar tarefa de BI inicial fluxo PRESENCIAL para categoria "Segurado especial" onde o parâmetro "Exige Autodeclaração" no Catálogo está ATIVADO, NÃO foi respondida a autodeclaração e NÃO foi incluído o anexo detalhado de AD
**Parâmetro PAT ligado: 144 - Fluxo ATESTMEDQ
**Parâmetro PAT ligado: 109 -Tipo de Incapacidade Permanente leva à Fluxo Presencial do Novo BI</v>
      </c>
      <c r="F17" s="35" t="str">
        <f>IFERROR(IF(VLOOKUP($B17,casostestes[#Data],4)=0,"-",VLOOKUP($B17,casostestes[#Data],4)),"-")</f>
        <v>PAT</v>
      </c>
      <c r="G17" s="35" t="str">
        <f>IFERROR(IF(VLOOKUP($B17,casostestes[#Data],5)=0,"-",VLOOKUP($B17,casostestes[#Data],5)),"-")</f>
        <v>SERVIDOR</v>
      </c>
      <c r="H17" s="87" t="str">
        <f>IFERROR(IF(VLOOKUP($B17,casostestes[#Data],6)=0,"-",VLOOKUP($B17,casostestes[#Data],6)),"-")</f>
        <v>1. Logar no Portal do Atendimento INSS com o perfil do caso de teste
2.Criar tarefa de BI informando:
Tipo de Incapacidade? "Permanente"
A pessoa está presa?  Não
Houve acidente de trabalho?  Não
Categoria do trabalhador "Segurado Especial"
A pessoa ficou sem trabalhar? Sim
3. NÃO informar anexo detalhado de autodeclaração
5. Realizar agendamento
6. NÃO responder o formulário de autodeclaração
Resultado 1 
7.Alterar via banco de dados a data da exigência para (data atual - 36 dias)
Resulado 2</v>
      </c>
      <c r="I17" s="35" t="str">
        <f>IFERROR(IF(VLOOKUP($B17,casostestes[#Data],8)=0,"-",VLOOKUP($B17,casostestes[#Data],8)),"-")</f>
        <v>-</v>
      </c>
      <c r="J17" s="35" t="str">
        <f>IFERROR(IF(VLOOKUP($B17,casostestes[#Data],9)=0,"-",VLOOKUP($B17,casostestes[#Data],9)),"-")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1
Resultado 2 - Após alguns minutos:
Tarefa de BI com situação alterada para Pendente
Despacho incluído informando a operação ( fragmento de sigla  XXXXXXXXXX )
Divergência de autodeclaração (116) EXCLUÍDA da tarefa
Alguns minutos depois:
Status SIBE igual a AGUARDANDO PERÍCIA
Na opção  "Lista de Ocorrências", o json de integração com o SIBE deverá conter o campo "periodosPendentesSegEsp" com valor null.
</v>
      </c>
      <c r="K17" s="36"/>
      <c r="L17" s="45" t="s">
        <v>278</v>
      </c>
      <c r="M17" s="37" t="s">
        <v>27</v>
      </c>
      <c r="N17" s="38"/>
      <c r="O17" s="38" t="s">
        <v>279</v>
      </c>
      <c r="P17" s="39"/>
    </row>
    <row r="18" spans="2:16" ht="144" customHeight="1">
      <c r="B18" s="40">
        <f>IF(ISERR(casostestes[[#This Row],[ID]]),"-",casostestes[[#This Row],[ID]])</f>
        <v>11</v>
      </c>
      <c r="C18" s="34" t="str">
        <f>IFERROR(IF(VLOOKUP($B18,casostestes[#Data],10)=0,"Não",VLOOKUP($B18,casostestes[#Data],10)), "-")</f>
        <v>Sim</v>
      </c>
      <c r="D18" s="35" t="str">
        <f>IFERROR(IF(VLOOKUP($B18,casostestes[#Data],2)=0,"-",VLOOKUP($B18,casostestes[#Data],2)), "-")</f>
        <v>Requerimento Inicial de BI</v>
      </c>
      <c r="E18" s="35" t="str">
        <f>IFERROR(IF(VLOOKUP($B18,casostestes[#Data],3)=0,"-",VLOOKUP($B18,casostestes[#Data],3)), "-")</f>
        <v>24
Criar tarefa de BI inicial fluxo ATESTMEDQ para categoria diferente de "Segurado especial" onde o parâmetro "Exige Autodeclaração" no Catálogo está ATIVADO
**Parâmetro PAT ligado: 144 - Fluxo ATESTMEDQ</v>
      </c>
      <c r="F18" s="35" t="str">
        <f>IFERROR(IF(VLOOKUP($B18,casostestes[#Data],4)=0,"-",VLOOKUP($B18,casostestes[#Data],4)),"-")</f>
        <v>EC</v>
      </c>
      <c r="G18" s="35" t="str">
        <f>IFERROR(IF(VLOOKUP($B18,casostestes[#Data],5)=0,"-",VLOOKUP($B18,casostestes[#Data],5)),"-")</f>
        <v>ENTIDADE_CONVENIADA</v>
      </c>
      <c r="H18" s="87" t="str">
        <f>IFERROR(IF(VLOOKUP($B18,casostestes[#Data],6)=0,"-",VLOOKUP($B18,casostestes[#Data],6)),"-")</f>
        <v xml:space="preserve">1. Logar no Portal do Atendimento INSS com o perfil do caso de teste
2.Criar tarefa de BI informando:
Tipo de Incapacidade? "Temporária "
A pessoa está presa?  Não
Categoria do trabalhador diferente de "Segurado Especial"
</v>
      </c>
      <c r="I18" s="35" t="str">
        <f>IFERROR(IF(VLOOKUP($B18,casostestes[#Data],8)=0,"-",VLOOKUP($B18,casostestes[#Data],8)),"-")</f>
        <v>-</v>
      </c>
      <c r="J18" s="35" t="str">
        <f>IFERROR(IF(VLOOKUP($B18,casostestes[#Data],9)=0,"-",VLOOKUP($B18,casostestes[#Data],9)),"-")</f>
        <v>Tarefa de BI criada com situação Pendente.
Tarefa SEM Divergência de autodeclaração (116)
Status SIBE igual a FLUXO NÃO INICIADO 
DPT: Tarefa.Exige_autodeclaração = 0</v>
      </c>
      <c r="K18" s="36">
        <v>46252</v>
      </c>
      <c r="L18" s="45" t="s">
        <v>280</v>
      </c>
      <c r="M18" s="37" t="s">
        <v>22</v>
      </c>
      <c r="N18" s="38"/>
      <c r="O18" s="38"/>
      <c r="P18" s="39"/>
    </row>
    <row r="19" spans="2:16" ht="240">
      <c r="B19" s="40">
        <f>IF(ISERR(casostestes[[#This Row],[ID]]),"-",casostestes[[#This Row],[ID]])</f>
        <v>12</v>
      </c>
      <c r="C19" s="34" t="str">
        <f>IFERROR(IF(VLOOKUP($B19,casostestes[#Data],10)=0,"Não",VLOOKUP($B19,casostestes[#Data],10)), "-")</f>
        <v>Sim</v>
      </c>
      <c r="D19" s="35" t="str">
        <f>IFERROR(IF(VLOOKUP($B19,casostestes[#Data],2)=0,"-",VLOOKUP($B19,casostestes[#Data],2)), "-")</f>
        <v>Integração</v>
      </c>
      <c r="E19" s="35" t="str">
        <f>IFERROR(IF(VLOOKUP($B19,casostestes[#Data],3)=0,"-",VLOOKUP($B19,casostestes[#Data],3)), "-")</f>
        <v>26
Criar tarefa de BI inicial fluxo ATESTMEDQ para categoria "Segurado especial" onde o parâmetro "Exige Autodeclaração" no Catálogo está ATIVADO e a autodeclaração tem período pendente
**Parâmetro PAT ligado: 144 - Fluxo ATESTMEDQ</v>
      </c>
      <c r="F19" s="35" t="str">
        <f>IFERROR(IF(VLOOKUP($B19,casostestes[#Data],4)=0,"-",VLOOKUP($B19,casostestes[#Data],4)),"-")</f>
        <v>EC</v>
      </c>
      <c r="G19" s="35" t="str">
        <f>IFERROR(IF(VLOOKUP($B19,casostestes[#Data],5)=0,"-",VLOOKUP($B19,casostestes[#Data],5)),"-")</f>
        <v>ENTIDADE_CONVENIADA</v>
      </c>
      <c r="H19" s="87" t="str">
        <f>IFERROR(IF(VLOOKUP($B19,casostestes[#Data],6)=0,"-",VLOOKUP($B19,casostestes[#Data],6)),"-")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Cumprir exigência de documentos obrigatórios
4. Responder formulário da autodeclaração</v>
      </c>
      <c r="I19" s="35" t="str">
        <f>IFERROR(IF(VLOOKUP($B19,casostestes[#Data],8)=0,"-",VLOOKUP($B19,casostestes[#Data],8)),"-")</f>
        <v>-</v>
      </c>
      <c r="J19" s="35" t="str">
        <f>IFERROR(IF(VLOOKUP($B19,casostestes[#Data],9)=0,"-",VLOOKUP($B19,casostestes[#Data],9)),"-")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19" s="36">
        <v>46252</v>
      </c>
      <c r="L19" s="45" t="s">
        <v>281</v>
      </c>
      <c r="M19" s="37" t="s">
        <v>22</v>
      </c>
      <c r="N19" s="38"/>
      <c r="O19" s="38"/>
      <c r="P19" s="39"/>
    </row>
    <row r="20" spans="2:16" ht="240">
      <c r="B20" s="40">
        <f>IF(ISERR(casostestes[[#This Row],[ID]]),"-",casostestes[[#This Row],[ID]])</f>
        <v>13</v>
      </c>
      <c r="C20" s="34" t="str">
        <f>IFERROR(IF(VLOOKUP($B20,casostestes[#Data],10)=0,"Não",VLOOKUP($B20,casostestes[#Data],10)), "-")</f>
        <v>Sim</v>
      </c>
      <c r="D20" s="35" t="str">
        <f>IFERROR(IF(VLOOKUP($B20,casostestes[#Data],2)=0,"-",VLOOKUP($B20,casostestes[#Data],2)), "-")</f>
        <v>Integração</v>
      </c>
      <c r="E20" s="35" t="str">
        <f>IFERROR(IF(VLOOKUP($B20,casostestes[#Data],3)=0,"-",VLOOKUP($B20,casostestes[#Data],3)), "-")</f>
        <v>27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0" s="35" t="str">
        <f>IFERROR(IF(VLOOKUP($B20,casostestes[#Data],4)=0,"-",VLOOKUP($B20,casostestes[#Data],4)),"-")</f>
        <v>EC</v>
      </c>
      <c r="G20" s="35" t="str">
        <f>IFERROR(IF(VLOOKUP($B20,casostestes[#Data],5)=0,"-",VLOOKUP($B20,casostestes[#Data],5)),"-")</f>
        <v>ENTIDADE_CONVENIADA</v>
      </c>
      <c r="H20" s="87" t="str">
        <f>IFERROR(IF(VLOOKUP($B20,casostestes[#Data],6)=0,"-",VLOOKUP($B20,casostestes[#Data],6)),"-")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Cumprir exigência de documentos obrigatórios
4. Responder formulário da autodeclaração</v>
      </c>
      <c r="I20" s="35" t="str">
        <f>IFERROR(IF(VLOOKUP($B20,casostestes[#Data],8)=0,"-",VLOOKUP($B20,casostestes[#Data],8)),"-")</f>
        <v>-</v>
      </c>
      <c r="J20" s="35" t="str">
        <f>IFERROR(IF(VLOOKUP($B20,casostestes[#Data],9)=0,"-",VLOOKUP($B20,casostestes[#Data],9)),"-")</f>
        <v xml:space="preserve">
Tarefa de BI criada com situação Pendente.
Tarefa SEM Divergência de autodeclaração (116).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20" s="36"/>
      <c r="L20" s="45" t="s">
        <v>282</v>
      </c>
      <c r="M20" s="37" t="s">
        <v>22</v>
      </c>
      <c r="N20" s="38"/>
      <c r="O20" s="38"/>
      <c r="P20" s="39"/>
    </row>
    <row r="21" spans="2:16" ht="210">
      <c r="B21" s="40">
        <f>IF(ISERR(casostestes[[#This Row],[ID]]),"-",casostestes[[#This Row],[ID]])</f>
        <v>14</v>
      </c>
      <c r="C21" s="34" t="str">
        <f>IFERROR(IF(VLOOKUP($B21,casostestes[#Data],10)=0,"Não",VLOOKUP($B21,casostestes[#Data],10)), "-")</f>
        <v>Sim</v>
      </c>
      <c r="D21" s="35" t="str">
        <f>IFERROR(IF(VLOOKUP($B21,casostestes[#Data],2)=0,"-",VLOOKUP($B21,casostestes[#Data],2)), "-")</f>
        <v>Integração</v>
      </c>
      <c r="E21" s="35" t="str">
        <f>IFERROR(IF(VLOOKUP($B21,casostestes[#Data],3)=0,"-",VLOOKUP($B21,casostestes[#Data],3)), "-")</f>
        <v>29
Cumprir a exigência de autodeclaração</v>
      </c>
      <c r="F21" s="35" t="str">
        <f>IFERROR(IF(VLOOKUP($B21,casostestes[#Data],4)=0,"-",VLOOKUP($B21,casostestes[#Data],4)),"-")</f>
        <v>PAT</v>
      </c>
      <c r="G21" s="35" t="str">
        <f>IFERROR(IF(VLOOKUP($B21,casostestes[#Data],5)=0,"-",VLOOKUP($B21,casostestes[#Data],5)),"-")</f>
        <v>ENTIDADE_CONVENIADA</v>
      </c>
      <c r="H21" s="87" t="str">
        <f>IFERROR(IF(VLOOKUP($B21,casostestes[#Data],6)=0,"-",VLOOKUP($B21,casostestes[#Data],6)),"-")</f>
        <v>1. Logar no Portal do Atendimento INSS com o perfil do caso de teste
2.Consultar uma tarefa em exigência de autodeclaração, detalhar e em seguida e acionar  a aba Cumprir Exigência  
3. Responder o formulário de autodeclaração até o final</v>
      </c>
      <c r="I21" s="35" t="str">
        <f>IFERROR(IF(VLOOKUP($B21,casostestes[#Data],8)=0,"-",VLOOKUP($B21,casostestes[#Data],8)),"-")</f>
        <v>-</v>
      </c>
      <c r="J21" s="35" t="str">
        <f>IFERROR(IF(VLOOKUP($B21,casostestes[#Data],9)=0,"-",VLOOKUP($B21,casostestes[#Data],9)),"-")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1" s="36"/>
      <c r="L21" s="45" t="s">
        <v>283</v>
      </c>
      <c r="M21" s="37" t="s">
        <v>22</v>
      </c>
      <c r="N21" s="38"/>
      <c r="O21" s="38"/>
      <c r="P21" s="39"/>
    </row>
    <row r="22" spans="2:16" ht="213">
      <c r="B22" s="40">
        <f>IF(ISERR(casostestes[[#This Row],[ID]]),"-",casostestes[[#This Row],[ID]])</f>
        <v>15</v>
      </c>
      <c r="C22" s="34" t="str">
        <f>IFERROR(IF(VLOOKUP($B22,casostestes[#Data],10)=0,"Não",VLOOKUP($B22,casostestes[#Data],10)), "-")</f>
        <v>Sim</v>
      </c>
      <c r="D22" s="35" t="str">
        <f>IFERROR(IF(VLOOKUP($B22,casostestes[#Data],2)=0,"-",VLOOKUP($B22,casostestes[#Data],2)), "-")</f>
        <v>Integração</v>
      </c>
      <c r="E22" s="35" t="str">
        <f>IFERROR(IF(VLOOKUP($B22,casostestes[#Data],3)=0,"-",VLOOKUP($B22,casostestes[#Data],3)), "-")</f>
        <v>30
Cumprir a exigência de autodeclaração</v>
      </c>
      <c r="F22" s="35" t="str">
        <f>IFERROR(IF(VLOOKUP($B22,casostestes[#Data],4)=0,"-",VLOOKUP($B22,casostestes[#Data],4)),"-")</f>
        <v>PAT</v>
      </c>
      <c r="G22" s="35" t="str">
        <f>IFERROR(IF(VLOOKUP($B22,casostestes[#Data],5)=0,"-",VLOOKUP($B22,casostestes[#Data],5)),"-")</f>
        <v>ENTIDADE_CONVENIADA_CORREIOS</v>
      </c>
      <c r="H22" s="87" t="str">
        <f>IFERROR(IF(VLOOKUP($B22,casostestes[#Data],6)=0,"-",VLOOKUP($B22,casostestes[#Data],6)),"-")</f>
        <v>1. Logar no Portal do Atendimento INSS com o perfil EC - CORREIOS
2. Acionar a aba Exigências e consultar uma tarefa em exigência de autodeclaração
3. Detalhar a tarefa e em seguida acionar  a opção Cumprir Exigência  
3. Responder o formulário de autodeclaração até o final</v>
      </c>
      <c r="I22" s="35" t="str">
        <f>IFERROR(IF(VLOOKUP($B22,casostestes[#Data],8)=0,"-",VLOOKUP($B22,casostestes[#Data],8)),"-")</f>
        <v>-</v>
      </c>
      <c r="J22" s="35" t="str">
        <f>IFERROR(IF(VLOOKUP($B22,casostestes[#Data],9)=0,"-",VLOOKUP($B22,casostestes[#Data],9)),"-")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2" s="36"/>
      <c r="L22" s="86" t="s">
        <v>284</v>
      </c>
      <c r="M22" s="37" t="s">
        <v>32</v>
      </c>
      <c r="N22" s="38"/>
      <c r="O22" s="38" t="s">
        <v>285</v>
      </c>
      <c r="P22" s="39"/>
    </row>
    <row r="23" spans="2:16" ht="180">
      <c r="B23" s="40">
        <f>IF(ISERR(casostestes[[#This Row],[ID]]),"-",casostestes[[#This Row],[ID]])</f>
        <v>16</v>
      </c>
      <c r="C23" s="34" t="str">
        <f>IFERROR(IF(VLOOKUP($B23,casostestes[#Data],10)=0,"Não",VLOOKUP($B23,casostestes[#Data],10)), "-")</f>
        <v>Sim</v>
      </c>
      <c r="D23" s="35" t="str">
        <f>IFERROR(IF(VLOOKUP($B23,casostestes[#Data],2)=0,"-",VLOOKUP($B23,casostestes[#Data],2)), "-")</f>
        <v>Integração</v>
      </c>
      <c r="E23" s="35" t="str">
        <f>IFERROR(IF(VLOOKUP($B23,casostestes[#Data],3)=0,"-",VLOOKUP($B23,casostestes[#Data],3)), "-")</f>
        <v>31
Responder o formulário de autodeclaração acessando diretamente a aba segurado especial ao detalhar a tarefa, onde a tarefa encontra-se em exigência de documento médico
Será posível acessar diretamente a autodeclaração logado como EC?</v>
      </c>
      <c r="F23" s="35" t="str">
        <f>IFERROR(IF(VLOOKUP($B23,casostestes[#Data],4)=0,"-",VLOOKUP($B23,casostestes[#Data],4)),"-")</f>
        <v>PAT</v>
      </c>
      <c r="G23" s="35" t="str">
        <f>IFERROR(IF(VLOOKUP($B23,casostestes[#Data],5)=0,"-",VLOOKUP($B23,casostestes[#Data],5)),"-")</f>
        <v>ENTIDADE_CONVENIADA</v>
      </c>
      <c r="H23" s="87" t="str">
        <f>IFERROR(IF(VLOOKUP($B23,casostestes[#Data],6)=0,"-",VLOOKUP($B23,casostestes[#Data],6)),"-")</f>
        <v>1. Logar no Portal do Atendimento INSS com o perfil do caso se teste
2.Consultar uma tarefa em exigência de dautodeclaração
3. Acionar a aba Segurado especial
3. Responder o formulário de autodeclaração até o final</v>
      </c>
      <c r="I23" s="35" t="str">
        <f>IFERROR(IF(VLOOKUP($B23,casostestes[#Data],8)=0,"-",VLOOKUP($B23,casostestes[#Data],8)),"-")</f>
        <v>-</v>
      </c>
      <c r="J23" s="35" t="str">
        <f>IFERROR(IF(VLOOKUP($B23,casostestes[#Data],9)=0,"-",VLOOKUP($B23,casostestes[#Data],9)),"-")</f>
        <v xml:space="preserve">
Tarefa de BI com situação alterada para Pendente 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3" s="36"/>
      <c r="L23" s="45"/>
      <c r="M23" s="37"/>
      <c r="N23" s="38"/>
      <c r="O23" s="38"/>
      <c r="P23" s="39"/>
    </row>
    <row r="24" spans="2:16" ht="167.25">
      <c r="B24" s="40">
        <f>IF(ISERR(casostestes[[#This Row],[ID]]),"-",casostestes[[#This Row],[ID]])</f>
        <v>17</v>
      </c>
      <c r="C24" s="34" t="str">
        <f>IFERROR(IF(VLOOKUP($B24,casostestes[#Data],10)=0,"Não",VLOOKUP($B24,casostestes[#Data],10)), "-")</f>
        <v>Sim</v>
      </c>
      <c r="D24" s="35" t="str">
        <f>IFERROR(IF(VLOOKUP($B24,casostestes[#Data],2)=0,"-",VLOOKUP($B24,casostestes[#Data],2)), "-")</f>
        <v>Integração</v>
      </c>
      <c r="E24" s="35" t="str">
        <f>IFERROR(IF(VLOOKUP($B24,casostestes[#Data],3)=0,"-",VLOOKUP($B24,casostestes[#Data],3)), "-")</f>
        <v xml:space="preserve">32
Responder o formulário de autodeclaração acessando diretamente a aba segurado especial ao detalhar a tarefa, onde a tarefa encontra-se em exigência de documento médico
</v>
      </c>
      <c r="F24" s="35" t="str">
        <f>IFERROR(IF(VLOOKUP($B24,casostestes[#Data],4)=0,"-",VLOOKUP($B24,casostestes[#Data],4)),"-")</f>
        <v>PAT</v>
      </c>
      <c r="G24" s="35" t="str">
        <f>IFERROR(IF(VLOOKUP($B24,casostestes[#Data],5)=0,"-",VLOOKUP($B24,casostestes[#Data],5)),"-")</f>
        <v>ENTIDADE_CONVENIADA</v>
      </c>
      <c r="H24" s="87" t="str">
        <f>IFERROR(IF(VLOOKUP($B24,casostestes[#Data],6)=0,"-",VLOOKUP($B24,casostestes[#Data],6)),"-")</f>
        <v>1. Logar no Portal do Atendimento INSS com o perfil do caso se teste
2.Consultar uma tarefa em exigência de documento médico
3. Acionar a aba Segurado especial
3. Responder o formulário de autodeclaração até o final</v>
      </c>
      <c r="I24" s="35" t="str">
        <f>IFERROR(IF(VLOOKUP($B24,casostestes[#Data],8)=0,"-",VLOOKUP($B24,casostestes[#Data],8)),"-")</f>
        <v>-</v>
      </c>
      <c r="J24" s="35" t="str">
        <f>IFERROR(IF(VLOOKUP($B24,casostestes[#Data],9)=0,"-",VLOOKUP($B24,casostestes[#Data],9)),"-")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24" s="36"/>
      <c r="L24" s="45" t="s">
        <v>286</v>
      </c>
      <c r="M24" s="37" t="s">
        <v>27</v>
      </c>
      <c r="N24" s="38"/>
      <c r="O24" s="38" t="s">
        <v>287</v>
      </c>
      <c r="P24" s="39"/>
    </row>
    <row r="25" spans="2:16" ht="167.25">
      <c r="B25" s="40">
        <f>IF(ISERR(casostestes[[#This Row],[ID]]),"-",casostestes[[#This Row],[ID]])</f>
        <v>18</v>
      </c>
      <c r="C25" s="34" t="str">
        <f>IFERROR(IF(VLOOKUP($B25,casostestes[#Data],10)=0,"Não",VLOOKUP($B25,casostestes[#Data],10)), "-")</f>
        <v>Sim</v>
      </c>
      <c r="D25" s="35" t="str">
        <f>IFERROR(IF(VLOOKUP($B25,casostestes[#Data],2)=0,"-",VLOOKUP($B25,casostestes[#Data],2)), "-")</f>
        <v>Requerimento Inicial de BI</v>
      </c>
      <c r="E25" s="35" t="str">
        <f>IFERROR(IF(VLOOKUP($B25,casostestes[#Data],3)=0,"-",VLOOKUP($B25,casostestes[#Data],3)), "-")</f>
        <v>34
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25" s="35" t="str">
        <f>IFERROR(IF(VLOOKUP($B25,casostestes[#Data],4)=0,"-",VLOOKUP($B25,casostestes[#Data],4)),"-")</f>
        <v>Meu INSS</v>
      </c>
      <c r="G25" s="35" t="str">
        <f>IFERROR(IF(VLOOKUP($B25,casostestes[#Data],5)=0,"-",VLOOKUP($B25,casostestes[#Data],5)),"-")</f>
        <v>INTERESSADO</v>
      </c>
      <c r="H25" s="87" t="str">
        <f>IFERROR(IF(VLOOKUP($B25,casostestes[#Data],6)=0,"-",VLOOKUP($B25,casostestes[#Data],6)),"-")</f>
        <v>1. Logar no  Meu INSS
2.Criar tarefa de BI informando:
Tipo de Incapacidade? "Permanente"
A pessoa está presa?  Não
Categoria do trabalhador diferente de "Segurado Especial"
3. Criar o agendamento da perícia</v>
      </c>
      <c r="I25" s="35" t="str">
        <f>IFERROR(IF(VLOOKUP($B25,casostestes[#Data],8)=0,"-",VLOOKUP($B25,casostestes[#Data],8)),"-")</f>
        <v>-</v>
      </c>
      <c r="J25" s="35" t="str">
        <f>IFERROR(IF(VLOOKUP($B25,casostestes[#Data],9)=0,"-",VLOOKUP($B25,casostestes[#Data],9)),"-")</f>
        <v>Tarefa de BI criada com situação Pendente.
Tarefa SEM Divergência de autodeclaração (116)
Status SIBE igual a  AGUARDANDO PERÍCIA
Tarefa.Exige_autodeclaração = 0</v>
      </c>
      <c r="K25" s="36"/>
      <c r="L25" s="45" t="s">
        <v>288</v>
      </c>
      <c r="M25" s="37" t="s">
        <v>27</v>
      </c>
      <c r="N25" s="38"/>
      <c r="O25" s="38" t="s">
        <v>287</v>
      </c>
      <c r="P25" s="39"/>
    </row>
    <row r="26" spans="2:16" ht="255">
      <c r="B26" s="40">
        <f>IF(ISERR(casostestes[[#This Row],[ID]]),"-",casostestes[[#This Row],[ID]])</f>
        <v>19</v>
      </c>
      <c r="C26" s="34" t="str">
        <f>IFERROR(IF(VLOOKUP($B26,casostestes[#Data],10)=0,"Não",VLOOKUP($B26,casostestes[#Data],10)), "-")</f>
        <v>Sim</v>
      </c>
      <c r="D26" s="35" t="str">
        <f>IFERROR(IF(VLOOKUP($B26,casostestes[#Data],2)=0,"-",VLOOKUP($B26,casostestes[#Data],2)), "-")</f>
        <v>Integração</v>
      </c>
      <c r="E26" s="35" t="str">
        <f>IFERROR(IF(VLOOKUP($B26,casostestes[#Data],3)=0,"-",VLOOKUP($B26,casostestes[#Data],3)), "-")</f>
        <v>35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26" s="35" t="str">
        <f>IFERROR(IF(VLOOKUP($B26,casostestes[#Data],4)=0,"-",VLOOKUP($B26,casostestes[#Data],4)),"-")</f>
        <v>Meu INSS</v>
      </c>
      <c r="G26" s="35" t="str">
        <f>IFERROR(IF(VLOOKUP($B26,casostestes[#Data],5)=0,"-",VLOOKUP($B26,casostestes[#Data],5)),"-")</f>
        <v>INTERESSADO</v>
      </c>
      <c r="H26" s="87" t="str">
        <f>IFERROR(IF(VLOOKUP($B26,casostestes[#Data],6)=0,"-",VLOOKUP($B26,casostestes[#Data],6)),"-")</f>
        <v>1. Logar no  Meu INSS
2.Criar tarefa de BI informando:
Tipo de Incapacidade? "Temporária "
A pessoa está presa?  Não
Categoria do trabalhador "Segurado Especial"
A pessoa ficou sem trabalhar? Sim
3. Responder formulário da autodeclaração</v>
      </c>
      <c r="I26" s="35" t="str">
        <f>IFERROR(IF(VLOOKUP($B26,casostestes[#Data],8)=0,"-",VLOOKUP($B26,casostestes[#Data],8)),"-")</f>
        <v>-</v>
      </c>
      <c r="J26" s="35" t="str">
        <f>IFERROR(IF(VLOOKUP($B26,casostestes[#Data],9)=0,"-",VLOOKUP($B26,casostestes[#Data],9)),"-")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26" s="36"/>
      <c r="L26" s="45"/>
      <c r="M26" s="37"/>
      <c r="N26" s="38"/>
      <c r="O26" s="38"/>
      <c r="P26" s="39"/>
    </row>
    <row r="27" spans="2:16" ht="255">
      <c r="B27" s="40">
        <f>IF(ISERR(casostestes[[#This Row],[ID]]),"-",casostestes[[#This Row],[ID]])</f>
        <v>20</v>
      </c>
      <c r="C27" s="34" t="str">
        <f>IFERROR(IF(VLOOKUP($B27,casostestes[#Data],10)=0,"Não",VLOOKUP($B27,casostestes[#Data],10)), "-")</f>
        <v>Sim</v>
      </c>
      <c r="D27" s="35" t="str">
        <f>IFERROR(IF(VLOOKUP($B27,casostestes[#Data],2)=0,"-",VLOOKUP($B27,casostestes[#Data],2)), "-")</f>
        <v>Integração</v>
      </c>
      <c r="E27" s="35" t="str">
        <f>IFERROR(IF(VLOOKUP($B27,casostestes[#Data],3)=0,"-",VLOOKUP($B27,casostestes[#Data],3)), "-")</f>
        <v>36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7" s="35" t="str">
        <f>IFERROR(IF(VLOOKUP($B27,casostestes[#Data],4)=0,"-",VLOOKUP($B27,casostestes[#Data],4)),"-")</f>
        <v>Meu INSS</v>
      </c>
      <c r="G27" s="35" t="str">
        <f>IFERROR(IF(VLOOKUP($B27,casostestes[#Data],5)=0,"-",VLOOKUP($B27,casostestes[#Data],5)),"-")</f>
        <v>INTERESSADO</v>
      </c>
      <c r="H27" s="87" t="str">
        <f>IFERROR(IF(VLOOKUP($B27,casostestes[#Data],6)=0,"-",VLOOKUP($B27,casostestes[#Data],6)),"-")</f>
        <v>1. Logar no  Meu INSS
2.Criar tarefa de BI informando:
Tipo de Incapacidade? "Temporária "
A pessoa está presa?  Não
Categoria do trabalhador "Segurado Especial"
A pessoa ficou sem trabalhar? Sim
3. Responder a autodeclaração</v>
      </c>
      <c r="I27" s="35" t="str">
        <f>IFERROR(IF(VLOOKUP($B27,casostestes[#Data],8)=0,"-",VLOOKUP($B27,casostestes[#Data],8)),"-")</f>
        <v>-</v>
      </c>
      <c r="J27" s="35" t="str">
        <f>IFERROR(IF(VLOOKUP($B27,casostestes[#Data],9)=0,"-",VLOOKUP($B27,casostestes[#Data],9)),"-")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27" s="36"/>
      <c r="L27" s="45"/>
      <c r="M27" s="37"/>
      <c r="N27" s="38"/>
      <c r="O27" s="38"/>
      <c r="P27" s="39"/>
    </row>
    <row r="28" spans="2:16" ht="180">
      <c r="B28" s="40">
        <f>IF(ISERR(casostestes[[#This Row],[ID]]),"-",casostestes[[#This Row],[ID]])</f>
        <v>21</v>
      </c>
      <c r="C28" s="34" t="str">
        <f>IFERROR(IF(VLOOKUP($B28,casostestes[#Data],10)=0,"Não",VLOOKUP($B28,casostestes[#Data],10)), "-")</f>
        <v>Sim</v>
      </c>
      <c r="D28" s="35" t="str">
        <f>IFERROR(IF(VLOOKUP($B28,casostestes[#Data],2)=0,"-",VLOOKUP($B28,casostestes[#Data],2)), "-")</f>
        <v>Requerimento Inicial de BI</v>
      </c>
      <c r="E28" s="35" t="str">
        <f>IFERROR(IF(VLOOKUP($B28,casostestes[#Data],3)=0,"-",VLOOKUP($B28,casostestes[#Data],3)), "-")</f>
        <v>37
Criar tarefa de BI inicial fluxo ATESTMEDQ para categoria "Segurado especial" onde o parâmetro "Exige Autodeclaração" no Catálogo está ATIVADO e  NÃO foi respondida a autodeclaração
**Parâmetro PAT ligado: 144 - Fluxo ATESTMEDQ</v>
      </c>
      <c r="F28" s="35" t="str">
        <f>IFERROR(IF(VLOOKUP($B28,casostestes[#Data],4)=0,"-",VLOOKUP($B28,casostestes[#Data],4)),"-")</f>
        <v>Meu INSS</v>
      </c>
      <c r="G28" s="35" t="str">
        <f>IFERROR(IF(VLOOKUP($B28,casostestes[#Data],5)=0,"-",VLOOKUP($B28,casostestes[#Data],5)),"-")</f>
        <v>INTERESSADO</v>
      </c>
      <c r="H28" s="87" t="str">
        <f>IFERROR(IF(VLOOKUP($B28,casostestes[#Data],6)=0,"-",VLOOKUP($B28,casostestes[#Data],6)),"-")</f>
        <v>1. Logar no  Meu INSS
2.Criar tarefa de BI informando:
Tipo de Incapacidade? "Temporária "
A pessoa está presa?  Não
Categoria do trabalhador "Segurado Especial"
A pessoa ficou sem trabalhar? Não
3. NÃO Responder a autodeclaração</v>
      </c>
      <c r="I28" s="35" t="str">
        <f>IFERROR(IF(VLOOKUP($B28,casostestes[#Data],8)=0,"-",VLOOKUP($B28,casostestes[#Data],8)),"-")</f>
        <v>-</v>
      </c>
      <c r="J28" s="35" t="str">
        <f>IFERROR(IF(VLOOKUP($B28,casostestes[#Data],9)=0,"-",VLOOKUP($B28,casostestes[#Data],9)),"-")</f>
        <v xml:space="preserve">
"Tarefa de BI criada com situação Pendente.
Status SIBE igual a  FLUXO NÃO INICIADO
Divergência de autodeclaração (116) incluída na tarefa
Após execução workflow:
Tarefa de BI com situação alterada para Exigência .
DTP:
Campo Exige_autodeclaração = 1"
</v>
      </c>
      <c r="K28" s="36"/>
      <c r="L28" s="45" t="s">
        <v>289</v>
      </c>
      <c r="M28" s="37"/>
      <c r="N28" s="38"/>
      <c r="O28" s="38"/>
      <c r="P28" s="39"/>
    </row>
    <row r="29" spans="2:16" ht="225">
      <c r="B29" s="40">
        <f>IF(ISERR(casostestes[[#This Row],[ID]]),"-",casostestes[[#This Row],[ID]])</f>
        <v>22</v>
      </c>
      <c r="C29" s="34" t="str">
        <f>IFERROR(IF(VLOOKUP($B29,casostestes[#Data],10)=0,"Não",VLOOKUP($B29,casostestes[#Data],10)), "-")</f>
        <v>Sim</v>
      </c>
      <c r="D29" s="35" t="str">
        <f>IFERROR(IF(VLOOKUP($B29,casostestes[#Data],2)=0,"-",VLOOKUP($B29,casostestes[#Data],2)), "-")</f>
        <v>Integração</v>
      </c>
      <c r="E29" s="35" t="str">
        <f>IFERROR(IF(VLOOKUP($B29,casostestes[#Data],3)=0,"-",VLOOKUP($B29,casostestes[#Data],3)), "-")</f>
        <v>38
Cumprir a exigência de autodeclaração</v>
      </c>
      <c r="F29" s="35" t="str">
        <f>IFERROR(IF(VLOOKUP($B29,casostestes[#Data],4)=0,"-",VLOOKUP($B29,casostestes[#Data],4)),"-")</f>
        <v>Meu INSS</v>
      </c>
      <c r="G29" s="35" t="str">
        <f>IFERROR(IF(VLOOKUP($B29,casostestes[#Data],5)=0,"-",VLOOKUP($B29,casostestes[#Data],5)),"-")</f>
        <v>INTERESSADO</v>
      </c>
      <c r="H29" s="87" t="str">
        <f>IFERROR(IF(VLOOKUP($B29,casostestes[#Data],6)=0,"-",VLOOKUP($B29,casostestes[#Data],6)),"-")</f>
        <v>1. Logar no  Meu INSS
2.Consultar uma tarefa em exigência de autodeclaração e acionar Cumprir Exigência  
3. Responder o formulário de autodeclaração</v>
      </c>
      <c r="I29" s="35" t="str">
        <f>IFERROR(IF(VLOOKUP($B29,casostestes[#Data],8)=0,"-",VLOOKUP($B29,casostestes[#Data],8)),"-")</f>
        <v>-</v>
      </c>
      <c r="J29" s="35" t="str">
        <f>IFERROR(IF(VLOOKUP($B29,casostestes[#Data],9)=0,"-",VLOOKUP($B29,casostestes[#Data],9)),"-")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9" s="36"/>
      <c r="L29" s="45"/>
      <c r="M29" s="37"/>
      <c r="N29" s="38"/>
      <c r="O29" s="38"/>
      <c r="P29" s="39"/>
    </row>
    <row r="30" spans="2:16" ht="180">
      <c r="B30" s="40">
        <f>IF(ISERR(casostestes[[#This Row],[ID]]),"-",casostestes[[#This Row],[ID]])</f>
        <v>23</v>
      </c>
      <c r="C30" s="34" t="str">
        <f>IFERROR(IF(VLOOKUP($B30,casostestes[#Data],10)=0,"Não",VLOOKUP($B30,casostestes[#Data],10)), "-")</f>
        <v>Sim</v>
      </c>
      <c r="D30" s="35" t="str">
        <f>IFERROR(IF(VLOOKUP($B30,casostestes[#Data],2)=0,"-",VLOOKUP($B30,casostestes[#Data],2)), "-")</f>
        <v>Integração</v>
      </c>
      <c r="E30" s="35" t="str">
        <f>IFERROR(IF(VLOOKUP($B30,casostestes[#Data],3)=0,"-",VLOOKUP($B30,casostestes[#Data],3)), "-")</f>
        <v>39
Responder o formulário de autodeclaração acionando a opção de autodeclaração no card do pedido onde a tarefa encontra-se em exigência de autodeclaração
Será posível acessar diretamente a autodeclaração logado no Meu INSS?</v>
      </c>
      <c r="F30" s="35" t="str">
        <f>IFERROR(IF(VLOOKUP($B30,casostestes[#Data],4)=0,"-",VLOOKUP($B30,casostestes[#Data],4)),"-")</f>
        <v>Meu INSS</v>
      </c>
      <c r="G30" s="35" t="str">
        <f>IFERROR(IF(VLOOKUP($B30,casostestes[#Data],5)=0,"-",VLOOKUP($B30,casostestes[#Data],5)),"-")</f>
        <v>INTERESSADO</v>
      </c>
      <c r="H30" s="87" t="str">
        <f>IFERROR(IF(VLOOKUP($B30,casostestes[#Data],6)=0,"-",VLOOKUP($B30,casostestes[#Data],6)),"-")</f>
        <v>1. Logar no  Meu INSS
2.Consultar uma tarefa em exigência de autodeclaração
3. Acionar no card do pedido a opção de Autodeclaração   
3. Responder o formulário de autodeclaração</v>
      </c>
      <c r="I30" s="35" t="str">
        <f>IFERROR(IF(VLOOKUP($B30,casostestes[#Data],8)=0,"-",VLOOKUP($B30,casostestes[#Data],8)),"-")</f>
        <v>-</v>
      </c>
      <c r="J30" s="35" t="str">
        <f>IFERROR(IF(VLOOKUP($B30,casostestes[#Data],9)=0,"-",VLOOKUP($B30,casostestes[#Data],9)),"-")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0" s="36"/>
      <c r="L30" s="45"/>
      <c r="M30" s="37"/>
      <c r="N30" s="38"/>
      <c r="O30" s="38"/>
      <c r="P30" s="39"/>
    </row>
    <row r="31" spans="2:16" ht="120">
      <c r="B31" s="40">
        <f>IF(ISERR(casostestes[[#This Row],[ID]]),"-",casostestes[[#This Row],[ID]])</f>
        <v>24</v>
      </c>
      <c r="C31" s="34" t="str">
        <f>IFERROR(IF(VLOOKUP($B31,casostestes[#Data],10)=0,"Não",VLOOKUP($B31,casostestes[#Data],10)), "-")</f>
        <v>Sim</v>
      </c>
      <c r="D31" s="35" t="str">
        <f>IFERROR(IF(VLOOKUP($B31,casostestes[#Data],2)=0,"-",VLOOKUP($B31,casostestes[#Data],2)), "-")</f>
        <v>Integração</v>
      </c>
      <c r="E31" s="35" t="str">
        <f>IFERROR(IF(VLOOKUP($B31,casostestes[#Data],3)=0,"-",VLOOKUP($B31,casostestes[#Data],3)), "-")</f>
        <v>40
Responder o formulário de autodeclaração acionando a opção de autodeclaração no card do pedido onde a tarefa encontra-se em exigência de documento médico
Será posível acessar diretamente a autodeclaração logado no Meu INSS?</v>
      </c>
      <c r="F31" s="35" t="str">
        <f>IFERROR(IF(VLOOKUP($B31,casostestes[#Data],4)=0,"-",VLOOKUP($B31,casostestes[#Data],4)),"-")</f>
        <v>Meu INSS</v>
      </c>
      <c r="G31" s="35" t="str">
        <f>IFERROR(IF(VLOOKUP($B31,casostestes[#Data],5)=0,"-",VLOOKUP($B31,casostestes[#Data],5)),"-")</f>
        <v>INTERESSADO</v>
      </c>
      <c r="H31" s="87" t="str">
        <f>IFERROR(IF(VLOOKUP($B31,casostestes[#Data],6)=0,"-",VLOOKUP($B31,casostestes[#Data],6)),"-")</f>
        <v>1. Logar no  Meu INSS
2.Consultar uma tarefa em exigência de documento médico 
3. Acionar no card do pedido a opção de Autodeclaração   
3. Responder o formulário de autodeclaração</v>
      </c>
      <c r="I31" s="35" t="str">
        <f>IFERROR(IF(VLOOKUP($B31,casostestes[#Data],8)=0,"-",VLOOKUP($B31,casostestes[#Data],8)),"-")</f>
        <v>-</v>
      </c>
      <c r="J31" s="35" t="str">
        <f>IFERROR(IF(VLOOKUP($B31,casostestes[#Data],9)=0,"-",VLOOKUP($B31,casostestes[#Data],9)),"-")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31" s="36"/>
      <c r="L31" s="45"/>
      <c r="M31" s="37"/>
      <c r="N31" s="38"/>
      <c r="O31" s="38"/>
      <c r="P31" s="39"/>
    </row>
    <row r="32" spans="2:16" ht="409.5">
      <c r="B32" s="40">
        <f>IF(ISERR(casostestes[[#This Row],[ID]]),"-",casostestes[[#This Row],[ID]])</f>
        <v>25</v>
      </c>
      <c r="C32" s="34" t="str">
        <f>IFERROR(IF(VLOOKUP($B32,casostestes[#Data],10)=0,"Não",VLOOKUP($B32,casostestes[#Data],10)), "-")</f>
        <v>Sim</v>
      </c>
      <c r="D32" s="35" t="str">
        <f>IFERROR(IF(VLOOKUP($B32,casostestes[#Data],2)=0,"-",VLOOKUP($B32,casostestes[#Data],2)), "-")</f>
        <v>Integração</v>
      </c>
      <c r="E32" s="35" t="str">
        <f>IFERROR(IF(VLOOKUP($B32,casostestes[#Data],3)=0,"-",VLOOKUP($B32,casostestes[#Data],3)), "-")</f>
        <v xml:space="preserve">
41
'Criar tarefa de BI inicial fluxo ATESTMEDQ para categoria "Segurado especial" onde o parâmetro "Exige Autodeclaração" no Catálogo está ATIVADO, 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2" s="35" t="str">
        <f>IFERROR(IF(VLOOKUP($B32,casostestes[#Data],4)=0,"-",VLOOKUP($B32,casostestes[#Data],4)),"-")</f>
        <v>PAT</v>
      </c>
      <c r="G32" s="35" t="str">
        <f>IFERROR(IF(VLOOKUP($B32,casostestes[#Data],5)=0,"-",VLOOKUP($B32,casostestes[#Data],5)),"-")</f>
        <v>SERVIDOR</v>
      </c>
      <c r="H32" s="87" t="str">
        <f>IFERROR(IF(VLOOKUP($B32,casostestes[#Data],6)=0,"-",VLOOKUP($B32,casostestes[#Data],6)),"-")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Responder o formulário de autodeclaração
Resultado 1
5. Executar o serviço do STD simulando enquadramento na regra da análise de risco
- Inclusão da divergência 202 (ORIENTAÇÕES NA ABA MASSA)   
Resultado 2
</v>
      </c>
      <c r="I32" s="35" t="str">
        <f>IFERROR(IF(VLOOKUP($B32,casostestes[#Data],8)=0,"-",VLOOKUP($B32,casostestes[#Data],8)),"-")</f>
        <v>-</v>
      </c>
      <c r="J32" s="35" t="str">
        <f>IFERROR(IF(VLOOKUP($B32,casostestes[#Data],9)=0,"-",VLOOKUP($B32,casostestes[#Data],9)),"-")</f>
        <v xml:space="preserve">Resultado 1:
Tarefa de BI criada com situação Pendente.
Tarefa SEM a Divergência de autodeclaração (116)  
Status SIBE igual a  FLUXO NÃO INICIADO
Seção campos adicionais:
"Fluxo Inicial e final do BI" deve ter o valor  "ATESTMEDQ"
DTP:  Campo Exige_autodeclaração = 1
Aguardar alguns minutos após a geração automática do PDF da autodeclaração:
Status SIBE continua igual a  FLUXO NÃO INICIADO
Resultado 2 - Após a execução do serviço do STD:  
- Cerca de 5 minutos depois, será exibida a divergência da Análise de Risco (202) no requerimento
- Alguns minutos depois:
Status SIBE igual a AGUARDANDO PERÍCIA
- Ocorrências de integração (com SIBE)
 "tipoInformacaoMedica":0
 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 Seção "Agendamentos (Perícia)":
- A etapa_pericia apresentará o valor AGUARDANDO AGENDAMENTO 
Aba Despachos:
-Inclusão do despacho de exigência de agendamento
</v>
      </c>
      <c r="K32" s="36"/>
      <c r="L32" s="45"/>
      <c r="M32" s="37"/>
      <c r="N32" s="38"/>
      <c r="O32" s="38"/>
      <c r="P32" s="39"/>
    </row>
    <row r="33" spans="2:16" ht="409.5">
      <c r="B33" s="40">
        <f>IF(ISERR(casostestes[[#This Row],[ID]]),"-",casostestes[[#This Row],[ID]])</f>
        <v>26</v>
      </c>
      <c r="C33" s="34" t="str">
        <f>IFERROR(IF(VLOOKUP($B33,casostestes[#Data],10)=0,"Não",VLOOKUP($B33,casostestes[#Data],10)), "-")</f>
        <v>Sim</v>
      </c>
      <c r="D33" s="35" t="str">
        <f>IFERROR(IF(VLOOKUP($B33,casostestes[#Data],2)=0,"-",VLOOKUP($B33,casostestes[#Data],2)), "-")</f>
        <v>Integração</v>
      </c>
      <c r="E33" s="35" t="str">
        <f>IFERROR(IF(VLOOKUP($B33,casostestes[#Data],3)=0,"-",VLOOKUP($B33,casostestes[#Data],3)), "-")</f>
        <v xml:space="preserve">42'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3" s="35" t="str">
        <f>IFERROR(IF(VLOOKUP($B33,casostestes[#Data],4)=0,"-",VLOOKUP($B33,casostestes[#Data],4)),"-")</f>
        <v>PAT</v>
      </c>
      <c r="G33" s="35" t="str">
        <f>IFERROR(IF(VLOOKUP($B33,casostestes[#Data],5)=0,"-",VLOOKUP($B33,casostestes[#Data],5)),"-")</f>
        <v>SERVIDOR</v>
      </c>
      <c r="H33" s="87" t="str">
        <f>IFERROR(IF(VLOOKUP($B33,casostestes[#Data],6)=0,"-",VLOOKUP($B33,casostestes[#Data],6)),"-")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33" s="35" t="str">
        <f>IFERROR(IF(VLOOKUP($B33,casostestes[#Data],8)=0,"-",VLOOKUP($B33,casostestes[#Data],8)),"-")</f>
        <v>-</v>
      </c>
      <c r="J33" s="35" t="str">
        <f>IFERROR(IF(VLOOKUP($B33,casostestes[#Data],9)=0,"-",VLOOKUP($B33,casostestes[#Data],9)),"-")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33" s="36"/>
      <c r="L33" s="45"/>
      <c r="M33" s="37"/>
      <c r="N33" s="38"/>
      <c r="O33" s="38"/>
      <c r="P33" s="39"/>
    </row>
    <row r="34" spans="2:16" ht="409.5">
      <c r="B34" s="40">
        <f>IF(ISERR(casostestes[[#This Row],[ID]]),"-",casostestes[[#This Row],[ID]])</f>
        <v>27</v>
      </c>
      <c r="C34" s="34" t="str">
        <f>IFERROR(IF(VLOOKUP($B34,casostestes[#Data],10)=0,"Não",VLOOKUP($B34,casostestes[#Data],10)), "-")</f>
        <v>Sim</v>
      </c>
      <c r="D34" s="35" t="str">
        <f>IFERROR(IF(VLOOKUP($B34,casostestes[#Data],2)=0,"-",VLOOKUP($B34,casostestes[#Data],2)), "-")</f>
        <v>Integração</v>
      </c>
      <c r="E34" s="35" t="str">
        <f>IFERROR(IF(VLOOKUP($B34,casostestes[#Data],3)=0,"-",VLOOKUP($B34,casostestes[#Data],3)), "-")</f>
        <v xml:space="preserve">43'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4" s="35" t="str">
        <f>IFERROR(IF(VLOOKUP($B34,casostestes[#Data],4)=0,"-",VLOOKUP($B34,casostestes[#Data],4)),"-")</f>
        <v>PAT</v>
      </c>
      <c r="G34" s="35" t="str">
        <f>IFERROR(IF(VLOOKUP($B34,casostestes[#Data],5)=0,"-",VLOOKUP($B34,casostestes[#Data],5)),"-")</f>
        <v>SERVIDOR</v>
      </c>
      <c r="H34" s="87" t="str">
        <f>IFERROR(IF(VLOOKUP($B34,casostestes[#Data],6)=0,"-",VLOOKUP($B34,casostestes[#Data],6)),"-")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34" s="35" t="str">
        <f>IFERROR(IF(VLOOKUP($B34,casostestes[#Data],8)=0,"-",VLOOKUP($B34,casostestes[#Data],8)),"-")</f>
        <v>-</v>
      </c>
      <c r="J34" s="35" t="str">
        <f>IFERROR(IF(VLOOKUP($B34,casostestes[#Data],9)=0,"-",VLOOKUP($B34,casostestes[#Data],9)),"-")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34" s="36"/>
      <c r="L34" s="45"/>
      <c r="M34" s="37"/>
      <c r="N34" s="38"/>
      <c r="O34" s="38"/>
      <c r="P34" s="39"/>
    </row>
    <row r="35" spans="2:16">
      <c r="B35" s="40" t="str">
        <f>IF(ISERR(casostestes[[#This Row],[ID]]),"-",casostestes[[#This Row],[ID]])</f>
        <v>-</v>
      </c>
      <c r="C35" s="34" t="str">
        <f>IFERROR(IF(VLOOKUP($B35,casostestes[#Data],10)=0,"Não",VLOOKUP($B35,casostestes[#Data],10)), "-")</f>
        <v>-</v>
      </c>
      <c r="D35" s="35" t="str">
        <f>IFERROR(IF(VLOOKUP($B35,casostestes[#Data],2)=0,"-",VLOOKUP($B35,casostestes[#Data],2)), "-")</f>
        <v>-</v>
      </c>
      <c r="E35" s="35" t="str">
        <f>IFERROR(IF(VLOOKUP($B35,casostestes[#Data],3)=0,"-",VLOOKUP($B35,casostestes[#Data],3)), "-")</f>
        <v>-</v>
      </c>
      <c r="F35" s="35" t="str">
        <f>IFERROR(IF(VLOOKUP($B35,casostestes[#Data],4)=0,"-",VLOOKUP($B35,casostestes[#Data],4)),"-")</f>
        <v>-</v>
      </c>
      <c r="G35" s="35" t="str">
        <f>IFERROR(IF(VLOOKUP($B35,casostestes[#Data],5)=0,"-",VLOOKUP($B35,casostestes[#Data],5)),"-")</f>
        <v>-</v>
      </c>
      <c r="H35" s="87" t="str">
        <f>IFERROR(IF(VLOOKUP($B35,casostestes[#Data],6)=0,"-",VLOOKUP($B35,casostestes[#Data],6)),"-")</f>
        <v>-</v>
      </c>
      <c r="I35" s="35" t="str">
        <f>IFERROR(IF(VLOOKUP($B35,casostestes[#Data],8)=0,"-",VLOOKUP($B35,casostestes[#Data],8)),"-")</f>
        <v>-</v>
      </c>
      <c r="J35" s="35" t="str">
        <f>IFERROR(IF(VLOOKUP($B35,casostestes[#Data],9)=0,"-",VLOOKUP($B35,casostestes[#Data],9)),"-")</f>
        <v>-</v>
      </c>
      <c r="K35" s="36"/>
      <c r="L35" s="45"/>
      <c r="M35" s="37"/>
      <c r="N35" s="38"/>
      <c r="O35" s="38"/>
      <c r="P35" s="39"/>
    </row>
    <row r="36" spans="2:16">
      <c r="B36" s="40" t="str">
        <f>IF(ISERR(casostestes[[#This Row],[ID]]),"-",casostestes[[#This Row],[ID]])</f>
        <v>-</v>
      </c>
      <c r="C36" s="34" t="str">
        <f>IFERROR(IF(VLOOKUP($B36,casostestes[#Data],10)=0,"Não",VLOOKUP($B36,casostestes[#Data],10)), "-")</f>
        <v>-</v>
      </c>
      <c r="D36" s="35" t="str">
        <f>IFERROR(IF(VLOOKUP($B36,casostestes[#Data],2)=0,"-",VLOOKUP($B36,casostestes[#Data],2)), "-")</f>
        <v>-</v>
      </c>
      <c r="E36" s="35" t="str">
        <f>IFERROR(IF(VLOOKUP($B36,casostestes[#Data],3)=0,"-",VLOOKUP($B36,casostestes[#Data],3)), "-")</f>
        <v>-</v>
      </c>
      <c r="F36" s="35" t="str">
        <f>IFERROR(IF(VLOOKUP($B36,casostestes[#Data],4)=0,"-",VLOOKUP($B36,casostestes[#Data],4)),"-")</f>
        <v>-</v>
      </c>
      <c r="G36" s="35" t="str">
        <f>IFERROR(IF(VLOOKUP($B36,casostestes[#Data],5)=0,"-",VLOOKUP($B36,casostestes[#Data],5)),"-")</f>
        <v>-</v>
      </c>
      <c r="H36" s="87" t="str">
        <f>IFERROR(IF(VLOOKUP($B36,casostestes[#Data],6)=0,"-",VLOOKUP($B36,casostestes[#Data],6)),"-")</f>
        <v>-</v>
      </c>
      <c r="I36" s="35" t="str">
        <f>IFERROR(IF(VLOOKUP($B36,casostestes[#Data],8)=0,"-",VLOOKUP($B36,casostestes[#Data],8)),"-")</f>
        <v>-</v>
      </c>
      <c r="J36" s="35" t="str">
        <f>IFERROR(IF(VLOOKUP($B36,casostestes[#Data],9)=0,"-",VLOOKUP($B36,casostestes[#Data],9)),"-")</f>
        <v>-</v>
      </c>
      <c r="K36" s="36"/>
      <c r="L36" s="45"/>
      <c r="M36" s="37"/>
      <c r="N36" s="38"/>
      <c r="O36" s="38"/>
      <c r="P36" s="39"/>
    </row>
    <row r="37" spans="2:16">
      <c r="B37" s="40" t="str">
        <f>IF(ISERR(casostestes[[#This Row],[ID]]),"-",casostestes[[#This Row],[ID]])</f>
        <v>-</v>
      </c>
      <c r="C37" s="34" t="str">
        <f>IFERROR(IF(VLOOKUP($B37,casostestes[#Data],10)=0,"Não",VLOOKUP($B37,casostestes[#Data],10)), "-")</f>
        <v>-</v>
      </c>
      <c r="D37" s="35" t="str">
        <f>IFERROR(IF(VLOOKUP($B37,casostestes[#Data],2)=0,"-",VLOOKUP($B37,casostestes[#Data],2)), "-")</f>
        <v>-</v>
      </c>
      <c r="E37" s="35" t="str">
        <f>IFERROR(IF(VLOOKUP($B37,casostestes[#Data],3)=0,"-",VLOOKUP($B37,casostestes[#Data],3)), "-")</f>
        <v>-</v>
      </c>
      <c r="F37" s="35" t="str">
        <f>IFERROR(IF(VLOOKUP($B37,casostestes[#Data],4)=0,"-",VLOOKUP($B37,casostestes[#Data],4)),"-")</f>
        <v>-</v>
      </c>
      <c r="G37" s="35" t="str">
        <f>IFERROR(IF(VLOOKUP($B37,casostestes[#Data],5)=0,"-",VLOOKUP($B37,casostestes[#Data],5)),"-")</f>
        <v>-</v>
      </c>
      <c r="H37" s="87" t="str">
        <f>IFERROR(IF(VLOOKUP($B37,casostestes[#Data],6)=0,"-",VLOOKUP($B37,casostestes[#Data],6)),"-")</f>
        <v>-</v>
      </c>
      <c r="I37" s="35" t="str">
        <f>IFERROR(IF(VLOOKUP($B37,casostestes[#Data],8)=0,"-",VLOOKUP($B37,casostestes[#Data],8)),"-")</f>
        <v>-</v>
      </c>
      <c r="J37" s="35" t="str">
        <f>IFERROR(IF(VLOOKUP($B37,casostestes[#Data],9)=0,"-",VLOOKUP($B37,casostestes[#Data],9)),"-")</f>
        <v>-</v>
      </c>
      <c r="K37" s="36"/>
      <c r="L37" s="45"/>
      <c r="M37" s="37"/>
      <c r="N37" s="38"/>
      <c r="O37" s="38"/>
      <c r="P37" s="39"/>
    </row>
    <row r="38" spans="2:16">
      <c r="B38" s="40" t="str">
        <f>IF(ISERR(casostestes[[#This Row],[ID]]),"-",casostestes[[#This Row],[ID]])</f>
        <v>-</v>
      </c>
      <c r="C38" s="34" t="str">
        <f>IFERROR(IF(VLOOKUP($B38,casostestes[#Data],10)=0,"Não",VLOOKUP($B38,casostestes[#Data],10)), "-")</f>
        <v>-</v>
      </c>
      <c r="D38" s="35" t="str">
        <f>IFERROR(IF(VLOOKUP($B38,casostestes[#Data],2)=0,"-",VLOOKUP($B38,casostestes[#Data],2)), "-")</f>
        <v>-</v>
      </c>
      <c r="E38" s="35" t="str">
        <f>IFERROR(IF(VLOOKUP($B38,casostestes[#Data],3)=0,"-",VLOOKUP($B38,casostestes[#Data],3)), "-")</f>
        <v>-</v>
      </c>
      <c r="F38" s="35" t="str">
        <f>IFERROR(IF(VLOOKUP($B38,casostestes[#Data],4)=0,"-",VLOOKUP($B38,casostestes[#Data],4)),"-")</f>
        <v>-</v>
      </c>
      <c r="G38" s="35" t="str">
        <f>IFERROR(IF(VLOOKUP($B38,casostestes[#Data],5)=0,"-",VLOOKUP($B38,casostestes[#Data],5)),"-")</f>
        <v>-</v>
      </c>
      <c r="H38" s="87" t="str">
        <f>IFERROR(IF(VLOOKUP($B38,casostestes[#Data],6)=0,"-",VLOOKUP($B38,casostestes[#Data],6)),"-")</f>
        <v>-</v>
      </c>
      <c r="I38" s="35" t="str">
        <f>IFERROR(IF(VLOOKUP($B38,casostestes[#Data],8)=0,"-",VLOOKUP($B38,casostestes[#Data],8)),"-")</f>
        <v>-</v>
      </c>
      <c r="J38" s="35" t="str">
        <f>IFERROR(IF(VLOOKUP($B38,casostestes[#Data],9)=0,"-",VLOOKUP($B38,casostestes[#Data],9)),"-")</f>
        <v>-</v>
      </c>
      <c r="K38" s="36"/>
      <c r="L38" s="45"/>
      <c r="M38" s="37"/>
      <c r="N38" s="38"/>
      <c r="O38" s="38"/>
      <c r="P38" s="39"/>
    </row>
    <row r="39" spans="2:16">
      <c r="B39" s="40" t="str">
        <f>IF(ISERR(casostestes[[#This Row],[ID]]),"-",casostestes[[#This Row],[ID]])</f>
        <v>-</v>
      </c>
      <c r="C39" s="34" t="str">
        <f>IFERROR(IF(VLOOKUP($B39,casostestes[#Data],10)=0,"Não",VLOOKUP($B39,casostestes[#Data],10)), "-")</f>
        <v>-</v>
      </c>
      <c r="D39" s="35" t="str">
        <f>IFERROR(IF(VLOOKUP($B39,casostestes[#Data],2)=0,"-",VLOOKUP($B39,casostestes[#Data],2)), "-")</f>
        <v>-</v>
      </c>
      <c r="E39" s="35" t="str">
        <f>IFERROR(IF(VLOOKUP($B39,casostestes[#Data],3)=0,"-",VLOOKUP($B39,casostestes[#Data],3)), "-")</f>
        <v>-</v>
      </c>
      <c r="F39" s="35" t="str">
        <f>IFERROR(IF(VLOOKUP($B39,casostestes[#Data],4)=0,"-",VLOOKUP($B39,casostestes[#Data],4)),"-")</f>
        <v>-</v>
      </c>
      <c r="G39" s="35" t="str">
        <f>IFERROR(IF(VLOOKUP($B39,casostestes[#Data],5)=0,"-",VLOOKUP($B39,casostestes[#Data],5)),"-")</f>
        <v>-</v>
      </c>
      <c r="H39" s="87" t="str">
        <f>IFERROR(IF(VLOOKUP($B39,casostestes[#Data],6)=0,"-",VLOOKUP($B39,casostestes[#Data],6)),"-")</f>
        <v>-</v>
      </c>
      <c r="I39" s="35" t="str">
        <f>IFERROR(IF(VLOOKUP($B39,casostestes[#Data],8)=0,"-",VLOOKUP($B39,casostestes[#Data],8)),"-")</f>
        <v>-</v>
      </c>
      <c r="J39" s="35" t="str">
        <f>IFERROR(IF(VLOOKUP($B39,casostestes[#Data],9)=0,"-",VLOOKUP($B39,casostestes[#Data],9)),"-")</f>
        <v>-</v>
      </c>
      <c r="K39" s="36"/>
      <c r="L39" s="45"/>
      <c r="M39" s="37"/>
      <c r="N39" s="38"/>
      <c r="O39" s="38"/>
      <c r="P39" s="39"/>
    </row>
    <row r="40" spans="2:16">
      <c r="B40" s="40" t="str">
        <f>IF(ISERR(casostestes[[#This Row],[ID]]),"-",casostestes[[#This Row],[ID]])</f>
        <v>-</v>
      </c>
      <c r="C40" s="34" t="str">
        <f>IFERROR(IF(VLOOKUP($B40,casostestes[#Data],10)=0,"Não",VLOOKUP($B40,casostestes[#Data],10)), "-")</f>
        <v>-</v>
      </c>
      <c r="D40" s="35" t="str">
        <f>IFERROR(IF(VLOOKUP($B40,casostestes[#Data],2)=0,"-",VLOOKUP($B40,casostestes[#Data],2)), "-")</f>
        <v>-</v>
      </c>
      <c r="E40" s="35" t="str">
        <f>IFERROR(IF(VLOOKUP($B40,casostestes[#Data],3)=0,"-",VLOOKUP($B40,casostestes[#Data],3)), "-")</f>
        <v>-</v>
      </c>
      <c r="F40" s="35" t="str">
        <f>IFERROR(IF(VLOOKUP($B40,casostestes[#Data],4)=0,"-",VLOOKUP($B40,casostestes[#Data],4)),"-")</f>
        <v>-</v>
      </c>
      <c r="G40" s="35" t="str">
        <f>IFERROR(IF(VLOOKUP($B40,casostestes[#Data],5)=0,"-",VLOOKUP($B40,casostestes[#Data],5)),"-")</f>
        <v>-</v>
      </c>
      <c r="H40" s="87" t="str">
        <f>IFERROR(IF(VLOOKUP($B40,casostestes[#Data],6)=0,"-",VLOOKUP($B40,casostestes[#Data],6)),"-")</f>
        <v>-</v>
      </c>
      <c r="I40" s="35" t="str">
        <f>IFERROR(IF(VLOOKUP($B40,casostestes[#Data],8)=0,"-",VLOOKUP($B40,casostestes[#Data],8)),"-")</f>
        <v>-</v>
      </c>
      <c r="J40" s="35" t="str">
        <f>IFERROR(IF(VLOOKUP($B40,casostestes[#Data],9)=0,"-",VLOOKUP($B40,casostestes[#Data],9)),"-")</f>
        <v>-</v>
      </c>
      <c r="K40" s="36"/>
      <c r="L40" s="45"/>
      <c r="M40" s="37"/>
      <c r="N40" s="38"/>
      <c r="O40" s="38"/>
      <c r="P40" s="39"/>
    </row>
    <row r="41" spans="2:16">
      <c r="B41" s="40" t="str">
        <f>IF(ISERR(casostestes[[#This Row],[ID]]),"-",casostestes[[#This Row],[ID]])</f>
        <v>-</v>
      </c>
      <c r="C41" s="34" t="str">
        <f>IFERROR(IF(VLOOKUP($B41,casostestes[#Data],10)=0,"Não",VLOOKUP($B41,casostestes[#Data],10)), "-")</f>
        <v>-</v>
      </c>
      <c r="D41" s="35" t="str">
        <f>IFERROR(IF(VLOOKUP($B41,casostestes[#Data],2)=0,"-",VLOOKUP($B41,casostestes[#Data],2)), "-")</f>
        <v>-</v>
      </c>
      <c r="E41" s="35" t="str">
        <f>IFERROR(IF(VLOOKUP($B41,casostestes[#Data],3)=0,"-",VLOOKUP($B41,casostestes[#Data],3)), "-")</f>
        <v>-</v>
      </c>
      <c r="F41" s="35" t="str">
        <f>IFERROR(IF(VLOOKUP($B41,casostestes[#Data],4)=0,"-",VLOOKUP($B41,casostestes[#Data],4)),"-")</f>
        <v>-</v>
      </c>
      <c r="G41" s="35" t="str">
        <f>IFERROR(IF(VLOOKUP($B41,casostestes[#Data],5)=0,"-",VLOOKUP($B41,casostestes[#Data],5)),"-")</f>
        <v>-</v>
      </c>
      <c r="H41" s="87" t="str">
        <f>IFERROR(IF(VLOOKUP($B41,casostestes[#Data],6)=0,"-",VLOOKUP($B41,casostestes[#Data],6)),"-")</f>
        <v>-</v>
      </c>
      <c r="I41" s="35" t="str">
        <f>IFERROR(IF(VLOOKUP($B41,casostestes[#Data],8)=0,"-",VLOOKUP($B41,casostestes[#Data],8)),"-")</f>
        <v>-</v>
      </c>
      <c r="J41" s="35" t="str">
        <f>IFERROR(IF(VLOOKUP($B41,casostestes[#Data],9)=0,"-",VLOOKUP($B41,casostestes[#Data],9)),"-")</f>
        <v>-</v>
      </c>
      <c r="K41" s="36"/>
      <c r="L41" s="45"/>
      <c r="M41" s="37"/>
      <c r="N41" s="38"/>
      <c r="O41" s="38"/>
      <c r="P41" s="39"/>
    </row>
    <row r="42" spans="2:16">
      <c r="B42" s="40" t="str">
        <f>IF(ISERR(casostestes[[#This Row],[ID]]),"-",casostestes[[#This Row],[ID]])</f>
        <v>-</v>
      </c>
      <c r="C42" s="34" t="str">
        <f>IFERROR(IF(VLOOKUP($B42,casostestes[#Data],10)=0,"Não",VLOOKUP($B42,casostestes[#Data],10)), "-")</f>
        <v>-</v>
      </c>
      <c r="D42" s="35" t="str">
        <f>IFERROR(IF(VLOOKUP($B42,casostestes[#Data],2)=0,"-",VLOOKUP($B42,casostestes[#Data],2)), "-")</f>
        <v>-</v>
      </c>
      <c r="E42" s="35" t="str">
        <f>IFERROR(IF(VLOOKUP($B42,casostestes[#Data],3)=0,"-",VLOOKUP($B42,casostestes[#Data],3)), "-")</f>
        <v>-</v>
      </c>
      <c r="F42" s="35" t="str">
        <f>IFERROR(IF(VLOOKUP($B42,casostestes[#Data],4)=0,"-",VLOOKUP($B42,casostestes[#Data],4)),"-")</f>
        <v>-</v>
      </c>
      <c r="G42" s="35" t="str">
        <f>IFERROR(IF(VLOOKUP($B42,casostestes[#Data],5)=0,"-",VLOOKUP($B42,casostestes[#Data],5)),"-")</f>
        <v>-</v>
      </c>
      <c r="H42" s="87" t="str">
        <f>IFERROR(IF(VLOOKUP($B42,casostestes[#Data],6)=0,"-",VLOOKUP($B42,casostestes[#Data],6)),"-")</f>
        <v>-</v>
      </c>
      <c r="I42" s="35" t="str">
        <f>IFERROR(IF(VLOOKUP($B42,casostestes[#Data],8)=0,"-",VLOOKUP($B42,casostestes[#Data],8)),"-")</f>
        <v>-</v>
      </c>
      <c r="J42" s="35" t="str">
        <f>IFERROR(IF(VLOOKUP($B42,casostestes[#Data],9)=0,"-",VLOOKUP($B42,casostestes[#Data],9)),"-")</f>
        <v>-</v>
      </c>
      <c r="K42" s="36"/>
      <c r="L42" s="45"/>
      <c r="M42" s="37"/>
      <c r="N42" s="38"/>
      <c r="O42" s="38"/>
      <c r="P42" s="39"/>
    </row>
    <row r="43" spans="2:16">
      <c r="B43" s="40" t="str">
        <f>IF(ISERR(casostestes[[#This Row],[ID]]),"-",casostestes[[#This Row],[ID]])</f>
        <v>-</v>
      </c>
      <c r="C43" s="34" t="str">
        <f>IFERROR(IF(VLOOKUP($B43,casostestes[#Data],10)=0,"Não",VLOOKUP($B43,casostestes[#Data],10)), "-")</f>
        <v>-</v>
      </c>
      <c r="D43" s="35" t="str">
        <f>IFERROR(IF(VLOOKUP($B43,casostestes[#Data],2)=0,"-",VLOOKUP($B43,casostestes[#Data],2)), "-")</f>
        <v>-</v>
      </c>
      <c r="E43" s="35" t="str">
        <f>IFERROR(IF(VLOOKUP($B43,casostestes[#Data],3)=0,"-",VLOOKUP($B43,casostestes[#Data],3)), "-")</f>
        <v>-</v>
      </c>
      <c r="F43" s="35" t="str">
        <f>IFERROR(IF(VLOOKUP($B43,casostestes[#Data],4)=0,"-",VLOOKUP($B43,casostestes[#Data],4)),"-")</f>
        <v>-</v>
      </c>
      <c r="G43" s="35" t="str">
        <f>IFERROR(IF(VLOOKUP($B43,casostestes[#Data],5)=0,"-",VLOOKUP($B43,casostestes[#Data],5)),"-")</f>
        <v>-</v>
      </c>
      <c r="H43" s="87" t="str">
        <f>IFERROR(IF(VLOOKUP($B43,casostestes[#Data],6)=0,"-",VLOOKUP($B43,casostestes[#Data],6)),"-")</f>
        <v>-</v>
      </c>
      <c r="I43" s="35" t="str">
        <f>IFERROR(IF(VLOOKUP($B43,casostestes[#Data],8)=0,"-",VLOOKUP($B43,casostestes[#Data],8)),"-")</f>
        <v>-</v>
      </c>
      <c r="J43" s="35" t="str">
        <f>IFERROR(IF(VLOOKUP($B43,casostestes[#Data],9)=0,"-",VLOOKUP($B43,casostestes[#Data],9)),"-")</f>
        <v>-</v>
      </c>
      <c r="K43" s="36"/>
      <c r="L43" s="45"/>
      <c r="M43" s="37"/>
      <c r="N43" s="38"/>
      <c r="O43" s="38"/>
      <c r="P43" s="39"/>
    </row>
    <row r="44" spans="2:16">
      <c r="B44" s="40" t="str">
        <f>IF(ISERR(casostestes[[#This Row],[ID]]),"-",casostestes[[#This Row],[ID]])</f>
        <v>-</v>
      </c>
      <c r="C44" s="34" t="str">
        <f>IFERROR(IF(VLOOKUP($B44,casostestes[#Data],10)=0,"Não",VLOOKUP($B44,casostestes[#Data],10)), "-")</f>
        <v>-</v>
      </c>
      <c r="D44" s="35" t="str">
        <f>IFERROR(IF(VLOOKUP($B44,casostestes[#Data],2)=0,"-",VLOOKUP($B44,casostestes[#Data],2)), "-")</f>
        <v>-</v>
      </c>
      <c r="E44" s="35" t="str">
        <f>IFERROR(IF(VLOOKUP($B44,casostestes[#Data],3)=0,"-",VLOOKUP($B44,casostestes[#Data],3)), "-")</f>
        <v>-</v>
      </c>
      <c r="F44" s="35" t="str">
        <f>IFERROR(IF(VLOOKUP($B44,casostestes[#Data],4)=0,"-",VLOOKUP($B44,casostestes[#Data],4)),"-")</f>
        <v>-</v>
      </c>
      <c r="G44" s="35" t="str">
        <f>IFERROR(IF(VLOOKUP($B44,casostestes[#Data],5)=0,"-",VLOOKUP($B44,casostestes[#Data],5)),"-")</f>
        <v>-</v>
      </c>
      <c r="H44" s="87" t="str">
        <f>IFERROR(IF(VLOOKUP($B44,casostestes[#Data],6)=0,"-",VLOOKUP($B44,casostestes[#Data],6)),"-")</f>
        <v>-</v>
      </c>
      <c r="I44" s="35" t="str">
        <f>IFERROR(IF(VLOOKUP($B44,casostestes[#Data],8)=0,"-",VLOOKUP($B44,casostestes[#Data],8)),"-")</f>
        <v>-</v>
      </c>
      <c r="J44" s="35" t="str">
        <f>IFERROR(IF(VLOOKUP($B44,casostestes[#Data],9)=0,"-",VLOOKUP($B44,casostestes[#Data],9)),"-")</f>
        <v>-</v>
      </c>
      <c r="K44" s="36"/>
      <c r="L44" s="45"/>
      <c r="M44" s="37"/>
      <c r="N44" s="38"/>
      <c r="O44" s="38"/>
      <c r="P44" s="39"/>
    </row>
    <row r="45" spans="2:16">
      <c r="B45" s="40" t="str">
        <f>IF(ISERR(casostestes[[#This Row],[ID]]),"-",casostestes[[#This Row],[ID]])</f>
        <v>-</v>
      </c>
      <c r="C45" s="34" t="str">
        <f>IFERROR(IF(VLOOKUP($B45,casostestes[#Data],10)=0,"Não",VLOOKUP($B45,casostestes[#Data],10)), "-")</f>
        <v>-</v>
      </c>
      <c r="D45" s="35" t="str">
        <f>IFERROR(IF(VLOOKUP($B45,casostestes[#Data],2)=0,"-",VLOOKUP($B45,casostestes[#Data],2)), "-")</f>
        <v>-</v>
      </c>
      <c r="E45" s="35" t="str">
        <f>IFERROR(IF(VLOOKUP($B45,casostestes[#Data],3)=0,"-",VLOOKUP($B45,casostestes[#Data],3)), "-")</f>
        <v>-</v>
      </c>
      <c r="F45" s="35" t="str">
        <f>IFERROR(IF(VLOOKUP($B45,casostestes[#Data],4)=0,"-",VLOOKUP($B45,casostestes[#Data],4)),"-")</f>
        <v>-</v>
      </c>
      <c r="G45" s="35" t="str">
        <f>IFERROR(IF(VLOOKUP($B45,casostestes[#Data],5)=0,"-",VLOOKUP($B45,casostestes[#Data],5)),"-")</f>
        <v>-</v>
      </c>
      <c r="H45" s="87" t="str">
        <f>IFERROR(IF(VLOOKUP($B45,casostestes[#Data],6)=0,"-",VLOOKUP($B45,casostestes[#Data],6)),"-")</f>
        <v>-</v>
      </c>
      <c r="I45" s="35" t="str">
        <f>IFERROR(IF(VLOOKUP($B45,casostestes[#Data],8)=0,"-",VLOOKUP($B45,casostestes[#Data],8)),"-")</f>
        <v>-</v>
      </c>
      <c r="J45" s="35" t="str">
        <f>IFERROR(IF(VLOOKUP($B45,casostestes[#Data],9)=0,"-",VLOOKUP($B45,casostestes[#Data],9)),"-")</f>
        <v>-</v>
      </c>
      <c r="K45" s="36"/>
      <c r="L45" s="45"/>
      <c r="M45" s="37"/>
      <c r="N45" s="38"/>
      <c r="O45" s="38"/>
      <c r="P45" s="39"/>
    </row>
    <row r="46" spans="2:16">
      <c r="B46" s="40" t="str">
        <f>IF(ISERR(casostestes[[#This Row],[ID]]),"-",casostestes[[#This Row],[ID]])</f>
        <v>-</v>
      </c>
      <c r="C46" s="34" t="str">
        <f>IFERROR(IF(VLOOKUP($B46,casostestes[#Data],10)=0,"Não",VLOOKUP($B46,casostestes[#Data],10)), "-")</f>
        <v>-</v>
      </c>
      <c r="D46" s="35" t="str">
        <f>IFERROR(IF(VLOOKUP($B46,casostestes[#Data],2)=0,"-",VLOOKUP($B46,casostestes[#Data],2)), "-")</f>
        <v>-</v>
      </c>
      <c r="E46" s="35" t="str">
        <f>IFERROR(IF(VLOOKUP($B46,casostestes[#Data],3)=0,"-",VLOOKUP($B46,casostestes[#Data],3)), "-")</f>
        <v>-</v>
      </c>
      <c r="F46" s="35" t="str">
        <f>IFERROR(IF(VLOOKUP($B46,casostestes[#Data],4)=0,"-",VLOOKUP($B46,casostestes[#Data],4)),"-")</f>
        <v>-</v>
      </c>
      <c r="G46" s="35" t="str">
        <f>IFERROR(IF(VLOOKUP($B46,casostestes[#Data],5)=0,"-",VLOOKUP($B46,casostestes[#Data],5)),"-")</f>
        <v>-</v>
      </c>
      <c r="H46" s="87" t="str">
        <f>IFERROR(IF(VLOOKUP($B46,casostestes[#Data],6)=0,"-",VLOOKUP($B46,casostestes[#Data],6)),"-")</f>
        <v>-</v>
      </c>
      <c r="I46" s="35" t="str">
        <f>IFERROR(IF(VLOOKUP($B46,casostestes[#Data],8)=0,"-",VLOOKUP($B46,casostestes[#Data],8)),"-")</f>
        <v>-</v>
      </c>
      <c r="J46" s="35" t="str">
        <f>IFERROR(IF(VLOOKUP($B46,casostestes[#Data],9)=0,"-",VLOOKUP($B46,casostestes[#Data],9)),"-")</f>
        <v>-</v>
      </c>
      <c r="K46" s="36"/>
      <c r="L46" s="45"/>
      <c r="M46" s="37"/>
      <c r="N46" s="38"/>
      <c r="O46" s="38"/>
      <c r="P46" s="39"/>
    </row>
    <row r="47" spans="2:16">
      <c r="B47" s="40" t="str">
        <f>IF(ISERR(casostestes[[#This Row],[ID]]),"-",casostestes[[#This Row],[ID]])</f>
        <v>-</v>
      </c>
      <c r="C47" s="34" t="str">
        <f>IFERROR(IF(VLOOKUP($B47,casostestes[#Data],10)=0,"Não",VLOOKUP($B47,casostestes[#Data],10)), "-")</f>
        <v>-</v>
      </c>
      <c r="D47" s="35" t="str">
        <f>IFERROR(IF(VLOOKUP($B47,casostestes[#Data],2)=0,"-",VLOOKUP($B47,casostestes[#Data],2)), "-")</f>
        <v>-</v>
      </c>
      <c r="E47" s="35" t="str">
        <f>IFERROR(IF(VLOOKUP($B47,casostestes[#Data],3)=0,"-",VLOOKUP($B47,casostestes[#Data],3)), "-")</f>
        <v>-</v>
      </c>
      <c r="F47" s="35" t="str">
        <f>IFERROR(IF(VLOOKUP($B47,casostestes[#Data],4)=0,"-",VLOOKUP($B47,casostestes[#Data],4)),"-")</f>
        <v>-</v>
      </c>
      <c r="G47" s="35" t="str">
        <f>IFERROR(IF(VLOOKUP($B47,casostestes[#Data],5)=0,"-",VLOOKUP($B47,casostestes[#Data],5)),"-")</f>
        <v>-</v>
      </c>
      <c r="H47" s="87" t="str">
        <f>IFERROR(IF(VLOOKUP($B47,casostestes[#Data],6)=0,"-",VLOOKUP($B47,casostestes[#Data],6)),"-")</f>
        <v>-</v>
      </c>
      <c r="I47" s="35" t="str">
        <f>IFERROR(IF(VLOOKUP($B47,casostestes[#Data],8)=0,"-",VLOOKUP($B47,casostestes[#Data],8)),"-")</f>
        <v>-</v>
      </c>
      <c r="J47" s="35" t="str">
        <f>IFERROR(IF(VLOOKUP($B47,casostestes[#Data],9)=0,"-",VLOOKUP($B47,casostestes[#Data],9)),"-")</f>
        <v>-</v>
      </c>
      <c r="K47" s="36"/>
      <c r="L47" s="45"/>
      <c r="M47" s="37"/>
      <c r="N47" s="38"/>
      <c r="O47" s="38"/>
      <c r="P47" s="39"/>
    </row>
    <row r="48" spans="2:16">
      <c r="B48" s="40" t="str">
        <f>IF(ISERR(casostestes[[#This Row],[ID]]),"-",casostestes[[#This Row],[ID]])</f>
        <v>-</v>
      </c>
      <c r="C48" s="34" t="str">
        <f>IFERROR(IF(VLOOKUP($B48,casostestes[#Data],10)=0,"Não",VLOOKUP($B48,casostestes[#Data],10)), "-")</f>
        <v>-</v>
      </c>
      <c r="D48" s="35" t="str">
        <f>IFERROR(IF(VLOOKUP($B48,casostestes[#Data],2)=0,"-",VLOOKUP($B48,casostestes[#Data],2)), "-")</f>
        <v>-</v>
      </c>
      <c r="E48" s="35" t="str">
        <f>IFERROR(IF(VLOOKUP($B48,casostestes[#Data],3)=0,"-",VLOOKUP($B48,casostestes[#Data],3)), "-")</f>
        <v>-</v>
      </c>
      <c r="F48" s="35" t="str">
        <f>IFERROR(IF(VLOOKUP($B48,casostestes[#Data],4)=0,"-",VLOOKUP($B48,casostestes[#Data],4)),"-")</f>
        <v>-</v>
      </c>
      <c r="G48" s="35" t="str">
        <f>IFERROR(IF(VLOOKUP($B48,casostestes[#Data],5)=0,"-",VLOOKUP($B48,casostestes[#Data],5)),"-")</f>
        <v>-</v>
      </c>
      <c r="H48" s="87" t="str">
        <f>IFERROR(IF(VLOOKUP($B48,casostestes[#Data],6)=0,"-",VLOOKUP($B48,casostestes[#Data],6)),"-")</f>
        <v>-</v>
      </c>
      <c r="I48" s="35" t="str">
        <f>IFERROR(IF(VLOOKUP($B48,casostestes[#Data],8)=0,"-",VLOOKUP($B48,casostestes[#Data],8)),"-")</f>
        <v>-</v>
      </c>
      <c r="J48" s="35" t="str">
        <f>IFERROR(IF(VLOOKUP($B48,casostestes[#Data],9)=0,"-",VLOOKUP($B48,casostestes[#Data],9)),"-")</f>
        <v>-</v>
      </c>
      <c r="K48" s="36"/>
      <c r="L48" s="45"/>
      <c r="M48" s="37"/>
      <c r="N48" s="38"/>
      <c r="O48" s="38"/>
      <c r="P48" s="39"/>
    </row>
    <row r="49" spans="2:16">
      <c r="B49" s="40" t="str">
        <f>IF(ISERR(casostestes[[#This Row],[ID]]),"-",casostestes[[#This Row],[ID]])</f>
        <v>-</v>
      </c>
      <c r="C49" s="34" t="str">
        <f>IFERROR(IF(VLOOKUP($B49,casostestes[#Data],10)=0,"Não",VLOOKUP($B49,casostestes[#Data],10)), "-")</f>
        <v>-</v>
      </c>
      <c r="D49" s="35" t="str">
        <f>IFERROR(IF(VLOOKUP($B49,casostestes[#Data],2)=0,"-",VLOOKUP($B49,casostestes[#Data],2)), "-")</f>
        <v>-</v>
      </c>
      <c r="E49" s="35" t="str">
        <f>IFERROR(IF(VLOOKUP($B49,casostestes[#Data],3)=0,"-",VLOOKUP($B49,casostestes[#Data],3)), "-")</f>
        <v>-</v>
      </c>
      <c r="F49" s="35" t="str">
        <f>IFERROR(IF(VLOOKUP($B49,casostestes[#Data],4)=0,"-",VLOOKUP($B49,casostestes[#Data],4)),"-")</f>
        <v>-</v>
      </c>
      <c r="G49" s="35" t="str">
        <f>IFERROR(IF(VLOOKUP($B49,casostestes[#Data],5)=0,"-",VLOOKUP($B49,casostestes[#Data],5)),"-")</f>
        <v>-</v>
      </c>
      <c r="H49" s="87" t="str">
        <f>IFERROR(IF(VLOOKUP($B49,casostestes[#Data],6)=0,"-",VLOOKUP($B49,casostestes[#Data],6)),"-")</f>
        <v>-</v>
      </c>
      <c r="I49" s="35" t="str">
        <f>IFERROR(IF(VLOOKUP($B49,casostestes[#Data],8)=0,"-",VLOOKUP($B49,casostestes[#Data],8)),"-")</f>
        <v>-</v>
      </c>
      <c r="J49" s="35" t="str">
        <f>IFERROR(IF(VLOOKUP($B49,casostestes[#Data],9)=0,"-",VLOOKUP($B49,casostestes[#Data],9)),"-")</f>
        <v>-</v>
      </c>
      <c r="K49" s="36"/>
      <c r="L49" s="45"/>
      <c r="M49" s="37"/>
      <c r="N49" s="38"/>
      <c r="O49" s="38"/>
      <c r="P49" s="39"/>
    </row>
    <row r="50" spans="2:16">
      <c r="B50" s="40" t="str">
        <f>IF(ISERR(casostestes[[#This Row],[ID]]),"-",casostestes[[#This Row],[ID]])</f>
        <v>-</v>
      </c>
      <c r="C50" s="34" t="str">
        <f>IFERROR(IF(VLOOKUP($B50,casostestes[#Data],10)=0,"Não",VLOOKUP($B50,casostestes[#Data],10)), "-")</f>
        <v>-</v>
      </c>
      <c r="D50" s="35" t="str">
        <f>IFERROR(IF(VLOOKUP($B50,casostestes[#Data],2)=0,"-",VLOOKUP($B50,casostestes[#Data],2)), "-")</f>
        <v>-</v>
      </c>
      <c r="E50" s="35" t="str">
        <f>IFERROR(IF(VLOOKUP($B50,casostestes[#Data],3)=0,"-",VLOOKUP($B50,casostestes[#Data],3)), "-")</f>
        <v>-</v>
      </c>
      <c r="F50" s="35" t="str">
        <f>IFERROR(IF(VLOOKUP($B50,casostestes[#Data],4)=0,"-",VLOOKUP($B50,casostestes[#Data],4)),"-")</f>
        <v>-</v>
      </c>
      <c r="G50" s="35" t="str">
        <f>IFERROR(IF(VLOOKUP($B50,casostestes[#Data],5)=0,"-",VLOOKUP($B50,casostestes[#Data],5)),"-")</f>
        <v>-</v>
      </c>
      <c r="H50" s="87" t="str">
        <f>IFERROR(IF(VLOOKUP($B50,casostestes[#Data],6)=0,"-",VLOOKUP($B50,casostestes[#Data],6)),"-")</f>
        <v>-</v>
      </c>
      <c r="I50" s="35" t="str">
        <f>IFERROR(IF(VLOOKUP($B50,casostestes[#Data],8)=0,"-",VLOOKUP($B50,casostestes[#Data],8)),"-")</f>
        <v>-</v>
      </c>
      <c r="J50" s="35" t="str">
        <f>IFERROR(IF(VLOOKUP($B50,casostestes[#Data],9)=0,"-",VLOOKUP($B50,casostestes[#Data],9)),"-")</f>
        <v>-</v>
      </c>
      <c r="K50" s="36"/>
      <c r="L50" s="45"/>
      <c r="M50" s="37"/>
      <c r="N50" s="38"/>
      <c r="O50" s="38"/>
      <c r="P50" s="39"/>
    </row>
    <row r="51" spans="2:16">
      <c r="B51" s="40" t="str">
        <f>IF(ISERR(casostestes[[#This Row],[ID]]),"-",casostestes[[#This Row],[ID]])</f>
        <v>-</v>
      </c>
      <c r="C51" s="34" t="str">
        <f>IFERROR(IF(VLOOKUP($B51,casostestes[#Data],10)=0,"Não",VLOOKUP($B51,casostestes[#Data],10)), "-")</f>
        <v>-</v>
      </c>
      <c r="D51" s="35" t="str">
        <f>IFERROR(IF(VLOOKUP($B51,casostestes[#Data],2)=0,"-",VLOOKUP($B51,casostestes[#Data],2)), "-")</f>
        <v>-</v>
      </c>
      <c r="E51" s="35" t="str">
        <f>IFERROR(IF(VLOOKUP($B51,casostestes[#Data],3)=0,"-",VLOOKUP($B51,casostestes[#Data],3)), "-")</f>
        <v>-</v>
      </c>
      <c r="F51" s="35" t="str">
        <f>IFERROR(IF(VLOOKUP($B51,casostestes[#Data],4)=0,"-",VLOOKUP($B51,casostestes[#Data],4)),"-")</f>
        <v>-</v>
      </c>
      <c r="G51" s="35" t="str">
        <f>IFERROR(IF(VLOOKUP($B51,casostestes[#Data],5)=0,"-",VLOOKUP($B51,casostestes[#Data],5)),"-")</f>
        <v>-</v>
      </c>
      <c r="H51" s="87" t="str">
        <f>IFERROR(IF(VLOOKUP($B51,casostestes[#Data],6)=0,"-",VLOOKUP($B51,casostestes[#Data],6)),"-")</f>
        <v>-</v>
      </c>
      <c r="I51" s="35" t="str">
        <f>IFERROR(IF(VLOOKUP($B51,casostestes[#Data],8)=0,"-",VLOOKUP($B51,casostestes[#Data],8)),"-")</f>
        <v>-</v>
      </c>
      <c r="J51" s="35" t="str">
        <f>IFERROR(IF(VLOOKUP($B51,casostestes[#Data],9)=0,"-",VLOOKUP($B51,casostestes[#Data],9)),"-")</f>
        <v>-</v>
      </c>
      <c r="K51" s="36"/>
      <c r="L51" s="45"/>
      <c r="M51" s="37"/>
      <c r="N51" s="38"/>
      <c r="O51" s="38"/>
      <c r="P51" s="39"/>
    </row>
    <row r="52" spans="2:16">
      <c r="B52" s="40" t="str">
        <f>IF(ISERR(casostestes[[#This Row],[ID]]),"-",casostestes[[#This Row],[ID]])</f>
        <v>-</v>
      </c>
      <c r="C52" s="34" t="str">
        <f>IFERROR(IF(VLOOKUP($B52,casostestes[#Data],10)=0,"Não",VLOOKUP($B52,casostestes[#Data],10)), "-")</f>
        <v>-</v>
      </c>
      <c r="D52" s="35" t="str">
        <f>IFERROR(IF(VLOOKUP($B52,casostestes[#Data],2)=0,"-",VLOOKUP($B52,casostestes[#Data],2)), "-")</f>
        <v>-</v>
      </c>
      <c r="E52" s="35" t="str">
        <f>IFERROR(IF(VLOOKUP($B52,casostestes[#Data],3)=0,"-",VLOOKUP($B52,casostestes[#Data],3)), "-")</f>
        <v>-</v>
      </c>
      <c r="F52" s="35" t="str">
        <f>IFERROR(IF(VLOOKUP($B52,casostestes[#Data],4)=0,"-",VLOOKUP($B52,casostestes[#Data],4)),"-")</f>
        <v>-</v>
      </c>
      <c r="G52" s="35" t="str">
        <f>IFERROR(IF(VLOOKUP($B52,casostestes[#Data],5)=0,"-",VLOOKUP($B52,casostestes[#Data],5)),"-")</f>
        <v>-</v>
      </c>
      <c r="H52" s="87" t="str">
        <f>IFERROR(IF(VLOOKUP($B52,casostestes[#Data],6)=0,"-",VLOOKUP($B52,casostestes[#Data],6)),"-")</f>
        <v>-</v>
      </c>
      <c r="I52" s="35" t="str">
        <f>IFERROR(IF(VLOOKUP($B52,casostestes[#Data],8)=0,"-",VLOOKUP($B52,casostestes[#Data],8)),"-")</f>
        <v>-</v>
      </c>
      <c r="J52" s="35" t="str">
        <f>IFERROR(IF(VLOOKUP($B52,casostestes[#Data],9)=0,"-",VLOOKUP($B52,casostestes[#Data],9)),"-")</f>
        <v>-</v>
      </c>
      <c r="K52" s="36"/>
      <c r="L52" s="45"/>
      <c r="M52" s="37"/>
      <c r="N52" s="38"/>
      <c r="O52" s="38"/>
      <c r="P52" s="39"/>
    </row>
    <row r="53" spans="2:16">
      <c r="B53" s="40" t="str">
        <f>IF(ISERR(casostestes[[#This Row],[ID]]),"-",casostestes[[#This Row],[ID]])</f>
        <v>-</v>
      </c>
      <c r="C53" s="34" t="str">
        <f>IFERROR(IF(VLOOKUP($B53,casostestes[#Data],10)=0,"Não",VLOOKUP($B53,casostestes[#Data],10)), "-")</f>
        <v>-</v>
      </c>
      <c r="D53" s="35" t="str">
        <f>IFERROR(IF(VLOOKUP($B53,casostestes[#Data],2)=0,"-",VLOOKUP($B53,casostestes[#Data],2)), "-")</f>
        <v>-</v>
      </c>
      <c r="E53" s="35" t="str">
        <f>IFERROR(IF(VLOOKUP($B53,casostestes[#Data],3)=0,"-",VLOOKUP($B53,casostestes[#Data],3)), "-")</f>
        <v>-</v>
      </c>
      <c r="F53" s="35" t="str">
        <f>IFERROR(IF(VLOOKUP($B53,casostestes[#Data],4)=0,"-",VLOOKUP($B53,casostestes[#Data],4)),"-")</f>
        <v>-</v>
      </c>
      <c r="G53" s="35" t="str">
        <f>IFERROR(IF(VLOOKUP($B53,casostestes[#Data],5)=0,"-",VLOOKUP($B53,casostestes[#Data],5)),"-")</f>
        <v>-</v>
      </c>
      <c r="H53" s="87" t="str">
        <f>IFERROR(IF(VLOOKUP($B53,casostestes[#Data],6)=0,"-",VLOOKUP($B53,casostestes[#Data],6)),"-")</f>
        <v>-</v>
      </c>
      <c r="I53" s="35" t="str">
        <f>IFERROR(IF(VLOOKUP($B53,casostestes[#Data],8)=0,"-",VLOOKUP($B53,casostestes[#Data],8)),"-")</f>
        <v>-</v>
      </c>
      <c r="J53" s="35" t="str">
        <f>IFERROR(IF(VLOOKUP($B53,casostestes[#Data],9)=0,"-",VLOOKUP($B53,casostestes[#Data],9)),"-")</f>
        <v>-</v>
      </c>
      <c r="K53" s="36"/>
      <c r="L53" s="45"/>
      <c r="M53" s="37"/>
      <c r="N53" s="38"/>
      <c r="O53" s="38"/>
      <c r="P53" s="39"/>
    </row>
    <row r="54" spans="2:16">
      <c r="B54" s="40" t="str">
        <f>IF(ISERR(casostestes[[#This Row],[ID]]),"-",casostestes[[#This Row],[ID]])</f>
        <v>-</v>
      </c>
      <c r="C54" s="34" t="str">
        <f>IFERROR(IF(VLOOKUP($B54,casostestes[#Data],10)=0,"Não",VLOOKUP($B54,casostestes[#Data],10)), "-")</f>
        <v>-</v>
      </c>
      <c r="D54" s="35" t="str">
        <f>IFERROR(IF(VLOOKUP($B54,casostestes[#Data],2)=0,"-",VLOOKUP($B54,casostestes[#Data],2)), "-")</f>
        <v>-</v>
      </c>
      <c r="E54" s="35" t="str">
        <f>IFERROR(IF(VLOOKUP($B54,casostestes[#Data],3)=0,"-",VLOOKUP($B54,casostestes[#Data],3)), "-")</f>
        <v>-</v>
      </c>
      <c r="F54" s="35" t="str">
        <f>IFERROR(IF(VLOOKUP($B54,casostestes[#Data],4)=0,"-",VLOOKUP($B54,casostestes[#Data],4)),"-")</f>
        <v>-</v>
      </c>
      <c r="G54" s="35" t="str">
        <f>IFERROR(IF(VLOOKUP($B54,casostestes[#Data],5)=0,"-",VLOOKUP($B54,casostestes[#Data],5)),"-")</f>
        <v>-</v>
      </c>
      <c r="H54" s="87" t="str">
        <f>IFERROR(IF(VLOOKUP($B54,casostestes[#Data],6)=0,"-",VLOOKUP($B54,casostestes[#Data],6)),"-")</f>
        <v>-</v>
      </c>
      <c r="I54" s="35" t="str">
        <f>IFERROR(IF(VLOOKUP($B54,casostestes[#Data],8)=0,"-",VLOOKUP($B54,casostestes[#Data],8)),"-")</f>
        <v>-</v>
      </c>
      <c r="J54" s="35" t="str">
        <f>IFERROR(IF(VLOOKUP($B54,casostestes[#Data],9)=0,"-",VLOOKUP($B54,casostestes[#Data],9)),"-")</f>
        <v>-</v>
      </c>
      <c r="K54" s="36"/>
      <c r="L54" s="45"/>
      <c r="M54" s="37"/>
      <c r="N54" s="38"/>
      <c r="O54" s="38"/>
      <c r="P54" s="39"/>
    </row>
    <row r="55" spans="2:16">
      <c r="B55" s="40" t="str">
        <f>IF(ISERR(casostestes[[#This Row],[ID]]),"-",casostestes[[#This Row],[ID]])</f>
        <v>-</v>
      </c>
      <c r="C55" s="34" t="str">
        <f>IFERROR(IF(VLOOKUP($B55,casostestes[#Data],10)=0,"Não",VLOOKUP($B55,casostestes[#Data],10)), "-")</f>
        <v>-</v>
      </c>
      <c r="D55" s="35" t="str">
        <f>IFERROR(IF(VLOOKUP($B55,casostestes[#Data],2)=0,"-",VLOOKUP($B55,casostestes[#Data],2)), "-")</f>
        <v>-</v>
      </c>
      <c r="E55" s="35" t="str">
        <f>IFERROR(IF(VLOOKUP($B55,casostestes[#Data],3)=0,"-",VLOOKUP($B55,casostestes[#Data],3)), "-")</f>
        <v>-</v>
      </c>
      <c r="F55" s="35" t="str">
        <f>IFERROR(IF(VLOOKUP($B55,casostestes[#Data],4)=0,"-",VLOOKUP($B55,casostestes[#Data],4)),"-")</f>
        <v>-</v>
      </c>
      <c r="G55" s="35" t="str">
        <f>IFERROR(IF(VLOOKUP($B55,casostestes[#Data],5)=0,"-",VLOOKUP($B55,casostestes[#Data],5)),"-")</f>
        <v>-</v>
      </c>
      <c r="H55" s="87" t="str">
        <f>IFERROR(IF(VLOOKUP($B55,casostestes[#Data],6)=0,"-",VLOOKUP($B55,casostestes[#Data],6)),"-")</f>
        <v>-</v>
      </c>
      <c r="I55" s="35" t="str">
        <f>IFERROR(IF(VLOOKUP($B55,casostestes[#Data],8)=0,"-",VLOOKUP($B55,casostestes[#Data],8)),"-")</f>
        <v>-</v>
      </c>
      <c r="J55" s="35" t="str">
        <f>IFERROR(IF(VLOOKUP($B55,casostestes[#Data],9)=0,"-",VLOOKUP($B55,casostestes[#Data],9)),"-")</f>
        <v>-</v>
      </c>
      <c r="K55" s="36"/>
      <c r="L55" s="45"/>
      <c r="M55" s="37"/>
      <c r="N55" s="38"/>
      <c r="O55" s="38"/>
      <c r="P55" s="39"/>
    </row>
    <row r="56" spans="2:16">
      <c r="B56" s="40" t="str">
        <f>IF(ISERR(casostestes[[#This Row],[ID]]),"-",casostestes[[#This Row],[ID]])</f>
        <v>-</v>
      </c>
      <c r="C56" s="34" t="str">
        <f>IFERROR(IF(VLOOKUP($B56,casostestes[#Data],10)=0,"Não",VLOOKUP($B56,casostestes[#Data],10)), "-")</f>
        <v>-</v>
      </c>
      <c r="D56" s="35" t="str">
        <f>IFERROR(IF(VLOOKUP($B56,casostestes[#Data],2)=0,"-",VLOOKUP($B56,casostestes[#Data],2)), "-")</f>
        <v>-</v>
      </c>
      <c r="E56" s="35" t="str">
        <f>IFERROR(IF(VLOOKUP($B56,casostestes[#Data],3)=0,"-",VLOOKUP($B56,casostestes[#Data],3)), "-")</f>
        <v>-</v>
      </c>
      <c r="F56" s="35" t="str">
        <f>IFERROR(IF(VLOOKUP($B56,casostestes[#Data],4)=0,"-",VLOOKUP($B56,casostestes[#Data],4)),"-")</f>
        <v>-</v>
      </c>
      <c r="G56" s="35" t="str">
        <f>IFERROR(IF(VLOOKUP($B56,casostestes[#Data],5)=0,"-",VLOOKUP($B56,casostestes[#Data],5)),"-")</f>
        <v>-</v>
      </c>
      <c r="H56" s="87" t="str">
        <f>IFERROR(IF(VLOOKUP($B56,casostestes[#Data],6)=0,"-",VLOOKUP($B56,casostestes[#Data],6)),"-")</f>
        <v>-</v>
      </c>
      <c r="I56" s="35" t="str">
        <f>IFERROR(IF(VLOOKUP($B56,casostestes[#Data],8)=0,"-",VLOOKUP($B56,casostestes[#Data],8)),"-")</f>
        <v>-</v>
      </c>
      <c r="J56" s="35" t="str">
        <f>IFERROR(IF(VLOOKUP($B56,casostestes[#Data],9)=0,"-",VLOOKUP($B56,casostestes[#Data],9)),"-")</f>
        <v>-</v>
      </c>
      <c r="K56" s="36"/>
      <c r="L56" s="45"/>
      <c r="M56" s="37"/>
      <c r="N56" s="38"/>
      <c r="O56" s="38"/>
      <c r="P56" s="39"/>
    </row>
    <row r="57" spans="2:16">
      <c r="B57" s="40" t="str">
        <f>IF(ISERR(casostestes[[#This Row],[ID]]),"-",casostestes[[#This Row],[ID]])</f>
        <v>-</v>
      </c>
      <c r="C57" s="34" t="str">
        <f>IFERROR(IF(VLOOKUP($B57,casostestes[#Data],10)=0,"Não",VLOOKUP($B57,casostestes[#Data],10)), "-")</f>
        <v>-</v>
      </c>
      <c r="D57" s="35" t="str">
        <f>IFERROR(IF(VLOOKUP($B57,casostestes[#Data],2)=0,"-",VLOOKUP($B57,casostestes[#Data],2)), "-")</f>
        <v>-</v>
      </c>
      <c r="E57" s="35" t="str">
        <f>IFERROR(IF(VLOOKUP($B57,casostestes[#Data],3)=0,"-",VLOOKUP($B57,casostestes[#Data],3)), "-")</f>
        <v>-</v>
      </c>
      <c r="F57" s="35" t="str">
        <f>IFERROR(IF(VLOOKUP($B57,casostestes[#Data],4)=0,"-",VLOOKUP($B57,casostestes[#Data],4)),"-")</f>
        <v>-</v>
      </c>
      <c r="G57" s="35" t="str">
        <f>IFERROR(IF(VLOOKUP($B57,casostestes[#Data],5)=0,"-",VLOOKUP($B57,casostestes[#Data],5)),"-")</f>
        <v>-</v>
      </c>
      <c r="H57" s="87" t="str">
        <f>IFERROR(IF(VLOOKUP($B57,casostestes[#Data],6)=0,"-",VLOOKUP($B57,casostestes[#Data],6)),"-")</f>
        <v>-</v>
      </c>
      <c r="I57" s="35" t="str">
        <f>IFERROR(IF(VLOOKUP($B57,casostestes[#Data],8)=0,"-",VLOOKUP($B57,casostestes[#Data],8)),"-")</f>
        <v>-</v>
      </c>
      <c r="J57" s="35" t="str">
        <f>IFERROR(IF(VLOOKUP($B57,casostestes[#Data],9)=0,"-",VLOOKUP($B57,casostestes[#Data],9)),"-")</f>
        <v>-</v>
      </c>
      <c r="K57" s="36"/>
      <c r="L57" s="45"/>
      <c r="M57" s="37"/>
      <c r="N57" s="38"/>
      <c r="O57" s="38"/>
      <c r="P57" s="39"/>
    </row>
    <row r="58" spans="2:16">
      <c r="B58" s="40" t="str">
        <f>IF(ISERR(casostestes[[#This Row],[ID]]),"-",casostestes[[#This Row],[ID]])</f>
        <v>-</v>
      </c>
      <c r="C58" s="34" t="str">
        <f>IFERROR(IF(VLOOKUP($B58,casostestes[#Data],10)=0,"Não",VLOOKUP($B58,casostestes[#Data],10)), "-")</f>
        <v>-</v>
      </c>
      <c r="D58" s="35" t="str">
        <f>IFERROR(IF(VLOOKUP($B58,casostestes[#Data],2)=0,"-",VLOOKUP($B58,casostestes[#Data],2)), "-")</f>
        <v>-</v>
      </c>
      <c r="E58" s="35" t="str">
        <f>IFERROR(IF(VLOOKUP($B58,casostestes[#Data],3)=0,"-",VLOOKUP($B58,casostestes[#Data],3)), "-")</f>
        <v>-</v>
      </c>
      <c r="F58" s="35" t="str">
        <f>IFERROR(IF(VLOOKUP($B58,casostestes[#Data],4)=0,"-",VLOOKUP($B58,casostestes[#Data],4)),"-")</f>
        <v>-</v>
      </c>
      <c r="G58" s="35" t="str">
        <f>IFERROR(IF(VLOOKUP($B58,casostestes[#Data],5)=0,"-",VLOOKUP($B58,casostestes[#Data],5)),"-")</f>
        <v>-</v>
      </c>
      <c r="H58" s="87" t="str">
        <f>IFERROR(IF(VLOOKUP($B58,casostestes[#Data],6)=0,"-",VLOOKUP($B58,casostestes[#Data],6)),"-")</f>
        <v>-</v>
      </c>
      <c r="I58" s="35" t="str">
        <f>IFERROR(IF(VLOOKUP($B58,casostestes[#Data],8)=0,"-",VLOOKUP($B58,casostestes[#Data],8)),"-")</f>
        <v>-</v>
      </c>
      <c r="J58" s="35" t="str">
        <f>IFERROR(IF(VLOOKUP($B58,casostestes[#Data],9)=0,"-",VLOOKUP($B58,casostestes[#Data],9)),"-")</f>
        <v>-</v>
      </c>
      <c r="K58" s="36"/>
      <c r="L58" s="45"/>
      <c r="M58" s="37"/>
      <c r="N58" s="38"/>
      <c r="O58" s="38"/>
      <c r="P58" s="39"/>
    </row>
    <row r="59" spans="2:16">
      <c r="B59" s="40" t="str">
        <f>IF(ISERR(casostestes[[#This Row],[ID]]),"-",casostestes[[#This Row],[ID]])</f>
        <v>-</v>
      </c>
      <c r="C59" s="34" t="str">
        <f>IFERROR(IF(VLOOKUP($B59,casostestes[#Data],10)=0,"Não",VLOOKUP($B59,casostestes[#Data],10)), "-")</f>
        <v>-</v>
      </c>
      <c r="D59" s="35" t="str">
        <f>IFERROR(IF(VLOOKUP($B59,casostestes[#Data],2)=0,"-",VLOOKUP($B59,casostestes[#Data],2)), "-")</f>
        <v>-</v>
      </c>
      <c r="E59" s="35" t="str">
        <f>IFERROR(IF(VLOOKUP($B59,casostestes[#Data],3)=0,"-",VLOOKUP($B59,casostestes[#Data],3)), "-")</f>
        <v>-</v>
      </c>
      <c r="F59" s="35" t="str">
        <f>IFERROR(IF(VLOOKUP($B59,casostestes[#Data],4)=0,"-",VLOOKUP($B59,casostestes[#Data],4)),"-")</f>
        <v>-</v>
      </c>
      <c r="G59" s="35" t="str">
        <f>IFERROR(IF(VLOOKUP($B59,casostestes[#Data],5)=0,"-",VLOOKUP($B59,casostestes[#Data],5)),"-")</f>
        <v>-</v>
      </c>
      <c r="H59" s="87" t="str">
        <f>IFERROR(IF(VLOOKUP($B59,casostestes[#Data],6)=0,"-",VLOOKUP($B59,casostestes[#Data],6)),"-")</f>
        <v>-</v>
      </c>
      <c r="I59" s="35" t="str">
        <f>IFERROR(IF(VLOOKUP($B59,casostestes[#Data],8)=0,"-",VLOOKUP($B59,casostestes[#Data],8)),"-")</f>
        <v>-</v>
      </c>
      <c r="J59" s="35" t="str">
        <f>IFERROR(IF(VLOOKUP($B59,casostestes[#Data],9)=0,"-",VLOOKUP($B59,casostestes[#Data],9)),"-")</f>
        <v>-</v>
      </c>
      <c r="K59" s="36"/>
      <c r="L59" s="45"/>
      <c r="M59" s="37"/>
      <c r="N59" s="38"/>
      <c r="O59" s="38"/>
      <c r="P59" s="39"/>
    </row>
    <row r="60" spans="2:16">
      <c r="B60" s="40" t="str">
        <f>IF(ISERR(casostestes[[#This Row],[ID]]),"-",casostestes[[#This Row],[ID]])</f>
        <v>-</v>
      </c>
      <c r="C60" s="34" t="str">
        <f>IFERROR(IF(VLOOKUP($B60,casostestes[#Data],10)=0,"Não",VLOOKUP($B60,casostestes[#Data],10)), "-")</f>
        <v>-</v>
      </c>
      <c r="D60" s="35" t="str">
        <f>IFERROR(IF(VLOOKUP($B60,casostestes[#Data],2)=0,"-",VLOOKUP($B60,casostestes[#Data],2)), "-")</f>
        <v>-</v>
      </c>
      <c r="E60" s="35" t="str">
        <f>IFERROR(IF(VLOOKUP($B60,casostestes[#Data],3)=0,"-",VLOOKUP($B60,casostestes[#Data],3)), "-")</f>
        <v>-</v>
      </c>
      <c r="F60" s="35" t="str">
        <f>IFERROR(IF(VLOOKUP($B60,casostestes[#Data],4)=0,"-",VLOOKUP($B60,casostestes[#Data],4)),"-")</f>
        <v>-</v>
      </c>
      <c r="G60" s="35" t="str">
        <f>IFERROR(IF(VLOOKUP($B60,casostestes[#Data],5)=0,"-",VLOOKUP($B60,casostestes[#Data],5)),"-")</f>
        <v>-</v>
      </c>
      <c r="H60" s="87" t="str">
        <f>IFERROR(IF(VLOOKUP($B60,casostestes[#Data],6)=0,"-",VLOOKUP($B60,casostestes[#Data],6)),"-")</f>
        <v>-</v>
      </c>
      <c r="I60" s="35" t="str">
        <f>IFERROR(IF(VLOOKUP($B60,casostestes[#Data],8)=0,"-",VLOOKUP($B60,casostestes[#Data],8)),"-")</f>
        <v>-</v>
      </c>
      <c r="J60" s="35" t="str">
        <f>IFERROR(IF(VLOOKUP($B60,casostestes[#Data],9)=0,"-",VLOOKUP($B60,casostestes[#Data],9)),"-")</f>
        <v>-</v>
      </c>
      <c r="K60" s="36"/>
      <c r="L60" s="45"/>
      <c r="M60" s="37"/>
      <c r="N60" s="38"/>
      <c r="O60" s="38"/>
      <c r="P60" s="39"/>
    </row>
    <row r="61" spans="2:16">
      <c r="B61" s="40" t="str">
        <f>IF(ISERR(casostestes[[#This Row],[ID]]),"-",casostestes[[#This Row],[ID]])</f>
        <v>-</v>
      </c>
      <c r="C61" s="34" t="str">
        <f>IFERROR(IF(VLOOKUP($B61,casostestes[#Data],10)=0,"Não",VLOOKUP($B61,casostestes[#Data],10)), "-")</f>
        <v>-</v>
      </c>
      <c r="D61" s="35" t="str">
        <f>IFERROR(IF(VLOOKUP($B61,casostestes[#Data],2)=0,"-",VLOOKUP($B61,casostestes[#Data],2)), "-")</f>
        <v>-</v>
      </c>
      <c r="E61" s="35" t="str">
        <f>IFERROR(IF(VLOOKUP($B61,casostestes[#Data],3)=0,"-",VLOOKUP($B61,casostestes[#Data],3)), "-")</f>
        <v>-</v>
      </c>
      <c r="F61" s="35" t="str">
        <f>IFERROR(IF(VLOOKUP($B61,casostestes[#Data],4)=0,"-",VLOOKUP($B61,casostestes[#Data],4)),"-")</f>
        <v>-</v>
      </c>
      <c r="G61" s="35" t="str">
        <f>IFERROR(IF(VLOOKUP($B61,casostestes[#Data],5)=0,"-",VLOOKUP($B61,casostestes[#Data],5)),"-")</f>
        <v>-</v>
      </c>
      <c r="H61" s="87" t="str">
        <f>IFERROR(IF(VLOOKUP($B61,casostestes[#Data],6)=0,"-",VLOOKUP($B61,casostestes[#Data],6)),"-")</f>
        <v>-</v>
      </c>
      <c r="I61" s="35" t="str">
        <f>IFERROR(IF(VLOOKUP($B61,casostestes[#Data],8)=0,"-",VLOOKUP($B61,casostestes[#Data],8)),"-")</f>
        <v>-</v>
      </c>
      <c r="J61" s="35" t="str">
        <f>IFERROR(IF(VLOOKUP($B61,casostestes[#Data],9)=0,"-",VLOOKUP($B61,casostestes[#Data],9)),"-")</f>
        <v>-</v>
      </c>
      <c r="K61" s="36"/>
      <c r="L61" s="45"/>
      <c r="M61" s="37"/>
      <c r="N61" s="38"/>
      <c r="O61" s="38"/>
      <c r="P61" s="39"/>
    </row>
    <row r="62" spans="2:16">
      <c r="B62" s="40" t="str">
        <f>IF(ISERR(casostestes[[#This Row],[ID]]),"-",casostestes[[#This Row],[ID]])</f>
        <v>-</v>
      </c>
      <c r="C62" s="34" t="str">
        <f>IFERROR(IF(VLOOKUP($B62,casostestes[#Data],10)=0,"Não",VLOOKUP($B62,casostestes[#Data],10)), "-")</f>
        <v>-</v>
      </c>
      <c r="D62" s="35" t="str">
        <f>IFERROR(IF(VLOOKUP($B62,casostestes[#Data],2)=0,"-",VLOOKUP($B62,casostestes[#Data],2)), "-")</f>
        <v>-</v>
      </c>
      <c r="E62" s="35" t="str">
        <f>IFERROR(IF(VLOOKUP($B62,casostestes[#Data],3)=0,"-",VLOOKUP($B62,casostestes[#Data],3)), "-")</f>
        <v>-</v>
      </c>
      <c r="F62" s="35" t="str">
        <f>IFERROR(IF(VLOOKUP($B62,casostestes[#Data],4)=0,"-",VLOOKUP($B62,casostestes[#Data],4)),"-")</f>
        <v>-</v>
      </c>
      <c r="G62" s="35" t="str">
        <f>IFERROR(IF(VLOOKUP($B62,casostestes[#Data],5)=0,"-",VLOOKUP($B62,casostestes[#Data],5)),"-")</f>
        <v>-</v>
      </c>
      <c r="H62" s="87" t="str">
        <f>IFERROR(IF(VLOOKUP($B62,casostestes[#Data],6)=0,"-",VLOOKUP($B62,casostestes[#Data],6)),"-")</f>
        <v>-</v>
      </c>
      <c r="I62" s="35" t="str">
        <f>IFERROR(IF(VLOOKUP($B62,casostestes[#Data],8)=0,"-",VLOOKUP($B62,casostestes[#Data],8)),"-")</f>
        <v>-</v>
      </c>
      <c r="J62" s="35" t="str">
        <f>IFERROR(IF(VLOOKUP($B62,casostestes[#Data],9)=0,"-",VLOOKUP($B62,casostestes[#Data],9)),"-")</f>
        <v>-</v>
      </c>
      <c r="K62" s="36"/>
      <c r="L62" s="45"/>
      <c r="M62" s="37"/>
      <c r="N62" s="38"/>
      <c r="O62" s="38"/>
      <c r="P62" s="39"/>
    </row>
    <row r="63" spans="2:16">
      <c r="B63" s="40" t="str">
        <f>IF(ISERR(casostestes[[#This Row],[ID]]),"-",casostestes[[#This Row],[ID]])</f>
        <v>-</v>
      </c>
      <c r="C63" s="34" t="str">
        <f>IFERROR(IF(VLOOKUP($B63,casostestes[#Data],10)=0,"Não",VLOOKUP($B63,casostestes[#Data],10)), "-")</f>
        <v>-</v>
      </c>
      <c r="D63" s="35" t="str">
        <f>IFERROR(IF(VLOOKUP($B63,casostestes[#Data],2)=0,"-",VLOOKUP($B63,casostestes[#Data],2)), "-")</f>
        <v>-</v>
      </c>
      <c r="E63" s="35" t="str">
        <f>IFERROR(IF(VLOOKUP($B63,casostestes[#Data],3)=0,"-",VLOOKUP($B63,casostestes[#Data],3)), "-")</f>
        <v>-</v>
      </c>
      <c r="F63" s="35" t="str">
        <f>IFERROR(IF(VLOOKUP($B63,casostestes[#Data],4)=0,"-",VLOOKUP($B63,casostestes[#Data],4)),"-")</f>
        <v>-</v>
      </c>
      <c r="G63" s="35" t="str">
        <f>IFERROR(IF(VLOOKUP($B63,casostestes[#Data],5)=0,"-",VLOOKUP($B63,casostestes[#Data],5)),"-")</f>
        <v>-</v>
      </c>
      <c r="H63" s="87" t="str">
        <f>IFERROR(IF(VLOOKUP($B63,casostestes[#Data],6)=0,"-",VLOOKUP($B63,casostestes[#Data],6)),"-")</f>
        <v>-</v>
      </c>
      <c r="I63" s="35" t="str">
        <f>IFERROR(IF(VLOOKUP($B63,casostestes[#Data],8)=0,"-",VLOOKUP($B63,casostestes[#Data],8)),"-")</f>
        <v>-</v>
      </c>
      <c r="J63" s="35" t="str">
        <f>IFERROR(IF(VLOOKUP($B63,casostestes[#Data],9)=0,"-",VLOOKUP($B63,casostestes[#Data],9)),"-")</f>
        <v>-</v>
      </c>
      <c r="K63" s="36"/>
      <c r="L63" s="45"/>
      <c r="M63" s="37"/>
      <c r="N63" s="38"/>
      <c r="O63" s="38"/>
      <c r="P63" s="39"/>
    </row>
    <row r="64" spans="2:16">
      <c r="B64" s="40" t="str">
        <f>IF(ISERR(casostestes[[#This Row],[ID]]),"-",casostestes[[#This Row],[ID]])</f>
        <v>-</v>
      </c>
      <c r="C64" s="34" t="str">
        <f>IFERROR(IF(VLOOKUP($B64,casostestes[#Data],10)=0,"Não",VLOOKUP($B64,casostestes[#Data],10)), "-")</f>
        <v>-</v>
      </c>
      <c r="D64" s="35" t="str">
        <f>IFERROR(IF(VLOOKUP($B64,casostestes[#Data],2)=0,"-",VLOOKUP($B64,casostestes[#Data],2)), "-")</f>
        <v>-</v>
      </c>
      <c r="E64" s="35" t="str">
        <f>IFERROR(IF(VLOOKUP($B64,casostestes[#Data],3)=0,"-",VLOOKUP($B64,casostestes[#Data],3)), "-")</f>
        <v>-</v>
      </c>
      <c r="F64" s="35" t="str">
        <f>IFERROR(IF(VLOOKUP($B64,casostestes[#Data],4)=0,"-",VLOOKUP($B64,casostestes[#Data],4)),"-")</f>
        <v>-</v>
      </c>
      <c r="G64" s="35" t="str">
        <f>IFERROR(IF(VLOOKUP($B64,casostestes[#Data],5)=0,"-",VLOOKUP($B64,casostestes[#Data],5)),"-")</f>
        <v>-</v>
      </c>
      <c r="H64" s="87" t="str">
        <f>IFERROR(IF(VLOOKUP($B64,casostestes[#Data],6)=0,"-",VLOOKUP($B64,casostestes[#Data],6)),"-")</f>
        <v>-</v>
      </c>
      <c r="I64" s="35" t="str">
        <f>IFERROR(IF(VLOOKUP($B64,casostestes[#Data],8)=0,"-",VLOOKUP($B64,casostestes[#Data],8)),"-")</f>
        <v>-</v>
      </c>
      <c r="J64" s="35" t="str">
        <f>IFERROR(IF(VLOOKUP($B64,casostestes[#Data],9)=0,"-",VLOOKUP($B64,casostestes[#Data],9)),"-")</f>
        <v>-</v>
      </c>
      <c r="K64" s="36"/>
      <c r="L64" s="45"/>
      <c r="M64" s="37"/>
      <c r="N64" s="38"/>
      <c r="O64" s="38"/>
      <c r="P64" s="39"/>
    </row>
    <row r="65" spans="2:16">
      <c r="B65" s="40" t="str">
        <f>IF(ISERR(casostestes[[#This Row],[ID]]),"-",casostestes[[#This Row],[ID]])</f>
        <v>-</v>
      </c>
      <c r="C65" s="34" t="str">
        <f>IFERROR(IF(VLOOKUP($B65,casostestes[#Data],10)=0,"Não",VLOOKUP($B65,casostestes[#Data],10)), "-")</f>
        <v>-</v>
      </c>
      <c r="D65" s="35" t="str">
        <f>IFERROR(IF(VLOOKUP($B65,casostestes[#Data],2)=0,"-",VLOOKUP($B65,casostestes[#Data],2)), "-")</f>
        <v>-</v>
      </c>
      <c r="E65" s="35" t="str">
        <f>IFERROR(IF(VLOOKUP($B65,casostestes[#Data],3)=0,"-",VLOOKUP($B65,casostestes[#Data],3)), "-")</f>
        <v>-</v>
      </c>
      <c r="F65" s="35" t="str">
        <f>IFERROR(IF(VLOOKUP($B65,casostestes[#Data],4)=0,"-",VLOOKUP($B65,casostestes[#Data],4)),"-")</f>
        <v>-</v>
      </c>
      <c r="G65" s="35" t="str">
        <f>IFERROR(IF(VLOOKUP($B65,casostestes[#Data],5)=0,"-",VLOOKUP($B65,casostestes[#Data],5)),"-")</f>
        <v>-</v>
      </c>
      <c r="H65" s="87" t="str">
        <f>IFERROR(IF(VLOOKUP($B65,casostestes[#Data],6)=0,"-",VLOOKUP($B65,casostestes[#Data],6)),"-")</f>
        <v>-</v>
      </c>
      <c r="I65" s="35" t="str">
        <f>IFERROR(IF(VLOOKUP($B65,casostestes[#Data],8)=0,"-",VLOOKUP($B65,casostestes[#Data],8)),"-")</f>
        <v>-</v>
      </c>
      <c r="J65" s="35" t="str">
        <f>IFERROR(IF(VLOOKUP($B65,casostestes[#Data],9)=0,"-",VLOOKUP($B65,casostestes[#Data],9)),"-")</f>
        <v>-</v>
      </c>
      <c r="K65" s="36"/>
      <c r="L65" s="45"/>
      <c r="M65" s="37"/>
      <c r="N65" s="38"/>
      <c r="O65" s="38"/>
      <c r="P65" s="39"/>
    </row>
    <row r="66" spans="2:16">
      <c r="B66" s="40" t="str">
        <f>IF(ISERR(casostestes[[#This Row],[ID]]),"-",casostestes[[#This Row],[ID]])</f>
        <v>-</v>
      </c>
      <c r="C66" s="34" t="str">
        <f>IFERROR(IF(VLOOKUP($B66,casostestes[#Data],10)=0,"Não",VLOOKUP($B66,casostestes[#Data],10)), "-")</f>
        <v>-</v>
      </c>
      <c r="D66" s="35" t="str">
        <f>IFERROR(IF(VLOOKUP($B66,casostestes[#Data],2)=0,"-",VLOOKUP($B66,casostestes[#Data],2)), "-")</f>
        <v>-</v>
      </c>
      <c r="E66" s="35" t="str">
        <f>IFERROR(IF(VLOOKUP($B66,casostestes[#Data],3)=0,"-",VLOOKUP($B66,casostestes[#Data],3)), "-")</f>
        <v>-</v>
      </c>
      <c r="F66" s="35" t="str">
        <f>IFERROR(IF(VLOOKUP($B66,casostestes[#Data],4)=0,"-",VLOOKUP($B66,casostestes[#Data],4)),"-")</f>
        <v>-</v>
      </c>
      <c r="G66" s="35" t="str">
        <f>IFERROR(IF(VLOOKUP($B66,casostestes[#Data],5)=0,"-",VLOOKUP($B66,casostestes[#Data],5)),"-")</f>
        <v>-</v>
      </c>
      <c r="H66" s="87" t="str">
        <f>IFERROR(IF(VLOOKUP($B66,casostestes[#Data],6)=0,"-",VLOOKUP($B66,casostestes[#Data],6)),"-")</f>
        <v>-</v>
      </c>
      <c r="I66" s="35" t="str">
        <f>IFERROR(IF(VLOOKUP($B66,casostestes[#Data],8)=0,"-",VLOOKUP($B66,casostestes[#Data],8)),"-")</f>
        <v>-</v>
      </c>
      <c r="J66" s="35" t="str">
        <f>IFERROR(IF(VLOOKUP($B66,casostestes[#Data],9)=0,"-",VLOOKUP($B66,casostestes[#Data],9)),"-")</f>
        <v>-</v>
      </c>
      <c r="K66" s="36"/>
      <c r="L66" s="45"/>
      <c r="M66" s="37"/>
      <c r="N66" s="38"/>
      <c r="O66" s="38"/>
      <c r="P66" s="39"/>
    </row>
    <row r="67" spans="2:16">
      <c r="B67" s="40" t="str">
        <f>IF(ISERR(casostestes[[#This Row],[ID]]),"-",casostestes[[#This Row],[ID]])</f>
        <v>-</v>
      </c>
      <c r="C67" s="34" t="str">
        <f>IFERROR(IF(VLOOKUP($B67,casostestes[#Data],10)=0,"Não",VLOOKUP($B67,casostestes[#Data],10)), "-")</f>
        <v>-</v>
      </c>
      <c r="D67" s="35" t="str">
        <f>IFERROR(IF(VLOOKUP($B67,casostestes[#Data],2)=0,"-",VLOOKUP($B67,casostestes[#Data],2)), "-")</f>
        <v>-</v>
      </c>
      <c r="E67" s="35" t="str">
        <f>IFERROR(IF(VLOOKUP($B67,casostestes[#Data],3)=0,"-",VLOOKUP($B67,casostestes[#Data],3)), "-")</f>
        <v>-</v>
      </c>
      <c r="F67" s="35" t="str">
        <f>IFERROR(IF(VLOOKUP($B67,casostestes[#Data],4)=0,"-",VLOOKUP($B67,casostestes[#Data],4)),"-")</f>
        <v>-</v>
      </c>
      <c r="G67" s="35" t="str">
        <f>IFERROR(IF(VLOOKUP($B67,casostestes[#Data],5)=0,"-",VLOOKUP($B67,casostestes[#Data],5)),"-")</f>
        <v>-</v>
      </c>
      <c r="H67" s="87" t="str">
        <f>IFERROR(IF(VLOOKUP($B67,casostestes[#Data],6)=0,"-",VLOOKUP($B67,casostestes[#Data],6)),"-")</f>
        <v>-</v>
      </c>
      <c r="I67" s="35" t="str">
        <f>IFERROR(IF(VLOOKUP($B67,casostestes[#Data],8)=0,"-",VLOOKUP($B67,casostestes[#Data],8)),"-")</f>
        <v>-</v>
      </c>
      <c r="J67" s="35" t="str">
        <f>IFERROR(IF(VLOOKUP($B67,casostestes[#Data],9)=0,"-",VLOOKUP($B67,casostestes[#Data],9)),"-")</f>
        <v>-</v>
      </c>
      <c r="K67" s="36"/>
      <c r="L67" s="45"/>
      <c r="M67" s="37"/>
      <c r="N67" s="38"/>
      <c r="O67" s="38"/>
      <c r="P67" s="39"/>
    </row>
    <row r="68" spans="2:16">
      <c r="B68" s="40" t="str">
        <f>IF(ISERR(casostestes[[#This Row],[ID]]),"-",casostestes[[#This Row],[ID]])</f>
        <v>-</v>
      </c>
      <c r="C68" s="34" t="str">
        <f>IFERROR(IF(VLOOKUP($B68,casostestes[#Data],10)=0,"Não",VLOOKUP($B68,casostestes[#Data],10)), "-")</f>
        <v>-</v>
      </c>
      <c r="D68" s="35" t="str">
        <f>IFERROR(IF(VLOOKUP($B68,casostestes[#Data],2)=0,"-",VLOOKUP($B68,casostestes[#Data],2)), "-")</f>
        <v>-</v>
      </c>
      <c r="E68" s="35" t="str">
        <f>IFERROR(IF(VLOOKUP($B68,casostestes[#Data],3)=0,"-",VLOOKUP($B68,casostestes[#Data],3)), "-")</f>
        <v>-</v>
      </c>
      <c r="F68" s="35" t="str">
        <f>IFERROR(IF(VLOOKUP($B68,casostestes[#Data],4)=0,"-",VLOOKUP($B68,casostestes[#Data],4)),"-")</f>
        <v>-</v>
      </c>
      <c r="G68" s="35" t="str">
        <f>IFERROR(IF(VLOOKUP($B68,casostestes[#Data],5)=0,"-",VLOOKUP($B68,casostestes[#Data],5)),"-")</f>
        <v>-</v>
      </c>
      <c r="H68" s="87" t="str">
        <f>IFERROR(IF(VLOOKUP($B68,casostestes[#Data],6)=0,"-",VLOOKUP($B68,casostestes[#Data],6)),"-")</f>
        <v>-</v>
      </c>
      <c r="I68" s="35" t="str">
        <f>IFERROR(IF(VLOOKUP($B68,casostestes[#Data],8)=0,"-",VLOOKUP($B68,casostestes[#Data],8)),"-")</f>
        <v>-</v>
      </c>
      <c r="J68" s="35" t="str">
        <f>IFERROR(IF(VLOOKUP($B68,casostestes[#Data],9)=0,"-",VLOOKUP($B68,casostestes[#Data],9)),"-")</f>
        <v>-</v>
      </c>
      <c r="K68" s="36"/>
      <c r="L68" s="45"/>
      <c r="M68" s="37"/>
      <c r="N68" s="38"/>
      <c r="O68" s="38"/>
      <c r="P68" s="39"/>
    </row>
    <row r="69" spans="2:16">
      <c r="B69" s="40" t="str">
        <f>IF(ISERR(casostestes[[#This Row],[ID]]),"-",casostestes[[#This Row],[ID]])</f>
        <v>-</v>
      </c>
      <c r="C69" s="34" t="str">
        <f>IFERROR(IF(VLOOKUP($B69,casostestes[#Data],10)=0,"Não",VLOOKUP($B69,casostestes[#Data],10)), "-")</f>
        <v>-</v>
      </c>
      <c r="D69" s="35" t="str">
        <f>IFERROR(IF(VLOOKUP($B69,casostestes[#Data],2)=0,"-",VLOOKUP($B69,casostestes[#Data],2)), "-")</f>
        <v>-</v>
      </c>
      <c r="E69" s="35" t="str">
        <f>IFERROR(IF(VLOOKUP($B69,casostestes[#Data],3)=0,"-",VLOOKUP($B69,casostestes[#Data],3)), "-")</f>
        <v>-</v>
      </c>
      <c r="F69" s="35" t="str">
        <f>IFERROR(IF(VLOOKUP($B69,casostestes[#Data],4)=0,"-",VLOOKUP($B69,casostestes[#Data],4)),"-")</f>
        <v>-</v>
      </c>
      <c r="G69" s="35" t="str">
        <f>IFERROR(IF(VLOOKUP($B69,casostestes[#Data],5)=0,"-",VLOOKUP($B69,casostestes[#Data],5)),"-")</f>
        <v>-</v>
      </c>
      <c r="H69" s="87" t="str">
        <f>IFERROR(IF(VLOOKUP($B69,casostestes[#Data],6)=0,"-",VLOOKUP($B69,casostestes[#Data],6)),"-")</f>
        <v>-</v>
      </c>
      <c r="I69" s="35" t="str">
        <f>IFERROR(IF(VLOOKUP($B69,casostestes[#Data],8)=0,"-",VLOOKUP($B69,casostestes[#Data],8)),"-")</f>
        <v>-</v>
      </c>
      <c r="J69" s="35" t="str">
        <f>IFERROR(IF(VLOOKUP($B69,casostestes[#Data],9)=0,"-",VLOOKUP($B69,casostestes[#Data],9)),"-")</f>
        <v>-</v>
      </c>
      <c r="K69" s="36"/>
      <c r="L69" s="45"/>
      <c r="M69" s="37"/>
      <c r="N69" s="38"/>
      <c r="O69" s="38"/>
      <c r="P69" s="39"/>
    </row>
    <row r="70" spans="2:16">
      <c r="B70" s="40" t="str">
        <f>IF(ISERR(casostestes[[#This Row],[ID]]),"-",casostestes[[#This Row],[ID]])</f>
        <v>-</v>
      </c>
      <c r="C70" s="34" t="str">
        <f>IFERROR(IF(VLOOKUP($B70,casostestes[#Data],10)=0,"Não",VLOOKUP($B70,casostestes[#Data],10)), "-")</f>
        <v>-</v>
      </c>
      <c r="D70" s="35" t="str">
        <f>IFERROR(IF(VLOOKUP($B70,casostestes[#Data],2)=0,"-",VLOOKUP($B70,casostestes[#Data],2)), "-")</f>
        <v>-</v>
      </c>
      <c r="E70" s="35" t="str">
        <f>IFERROR(IF(VLOOKUP($B70,casostestes[#Data],3)=0,"-",VLOOKUP($B70,casostestes[#Data],3)), "-")</f>
        <v>-</v>
      </c>
      <c r="F70" s="35" t="str">
        <f>IFERROR(IF(VLOOKUP($B70,casostestes[#Data],4)=0,"-",VLOOKUP($B70,casostestes[#Data],4)),"-")</f>
        <v>-</v>
      </c>
      <c r="G70" s="35" t="str">
        <f>IFERROR(IF(VLOOKUP($B70,casostestes[#Data],5)=0,"-",VLOOKUP($B70,casostestes[#Data],5)),"-")</f>
        <v>-</v>
      </c>
      <c r="H70" s="87" t="str">
        <f>IFERROR(IF(VLOOKUP($B70,casostestes[#Data],6)=0,"-",VLOOKUP($B70,casostestes[#Data],6)),"-")</f>
        <v>-</v>
      </c>
      <c r="I70" s="35" t="str">
        <f>IFERROR(IF(VLOOKUP($B70,casostestes[#Data],8)=0,"-",VLOOKUP($B70,casostestes[#Data],8)),"-")</f>
        <v>-</v>
      </c>
      <c r="J70" s="35" t="str">
        <f>IFERROR(IF(VLOOKUP($B70,casostestes[#Data],9)=0,"-",VLOOKUP($B70,casostestes[#Data],9)),"-")</f>
        <v>-</v>
      </c>
      <c r="K70" s="36"/>
      <c r="L70" s="45"/>
      <c r="M70" s="37"/>
      <c r="N70" s="38"/>
      <c r="O70" s="38"/>
      <c r="P70" s="39"/>
    </row>
    <row r="71" spans="2:16">
      <c r="B71" s="40" t="str">
        <f>IF(ISERR(casostestes[[#This Row],[ID]]),"-",casostestes[[#This Row],[ID]])</f>
        <v>-</v>
      </c>
      <c r="C71" s="34" t="str">
        <f>IFERROR(IF(VLOOKUP($B71,casostestes[#Data],10)=0,"Não",VLOOKUP($B71,casostestes[#Data],10)), "-")</f>
        <v>-</v>
      </c>
      <c r="D71" s="35" t="str">
        <f>IFERROR(IF(VLOOKUP($B71,casostestes[#Data],2)=0,"-",VLOOKUP($B71,casostestes[#Data],2)), "-")</f>
        <v>-</v>
      </c>
      <c r="E71" s="35" t="str">
        <f>IFERROR(IF(VLOOKUP($B71,casostestes[#Data],3)=0,"-",VLOOKUP($B71,casostestes[#Data],3)), "-")</f>
        <v>-</v>
      </c>
      <c r="F71" s="35" t="str">
        <f>IFERROR(IF(VLOOKUP($B71,casostestes[#Data],4)=0,"-",VLOOKUP($B71,casostestes[#Data],4)),"-")</f>
        <v>-</v>
      </c>
      <c r="G71" s="35" t="str">
        <f>IFERROR(IF(VLOOKUP($B71,casostestes[#Data],5)=0,"-",VLOOKUP($B71,casostestes[#Data],5)),"-")</f>
        <v>-</v>
      </c>
      <c r="H71" s="87" t="str">
        <f>IFERROR(IF(VLOOKUP($B71,casostestes[#Data],6)=0,"-",VLOOKUP($B71,casostestes[#Data],6)),"-")</f>
        <v>-</v>
      </c>
      <c r="I71" s="35" t="str">
        <f>IFERROR(IF(VLOOKUP($B71,casostestes[#Data],8)=0,"-",VLOOKUP($B71,casostestes[#Data],8)),"-")</f>
        <v>-</v>
      </c>
      <c r="J71" s="35" t="str">
        <f>IFERROR(IF(VLOOKUP($B71,casostestes[#Data],9)=0,"-",VLOOKUP($B71,casostestes[#Data],9)),"-")</f>
        <v>-</v>
      </c>
      <c r="K71" s="36"/>
      <c r="L71" s="45"/>
      <c r="M71" s="37"/>
      <c r="N71" s="38"/>
      <c r="O71" s="38"/>
      <c r="P71" s="39"/>
    </row>
    <row r="72" spans="2:16">
      <c r="B72" s="40" t="str">
        <f>IF(ISERR(casostestes[[#This Row],[ID]]),"-",casostestes[[#This Row],[ID]])</f>
        <v>-</v>
      </c>
      <c r="C72" s="34" t="str">
        <f>IFERROR(IF(VLOOKUP($B72,casostestes[#Data],10)=0,"Não",VLOOKUP($B72,casostestes[#Data],10)), "-")</f>
        <v>-</v>
      </c>
      <c r="D72" s="35" t="str">
        <f>IFERROR(IF(VLOOKUP($B72,casostestes[#Data],2)=0,"-",VLOOKUP($B72,casostestes[#Data],2)), "-")</f>
        <v>-</v>
      </c>
      <c r="E72" s="35" t="str">
        <f>IFERROR(IF(VLOOKUP($B72,casostestes[#Data],3)=0,"-",VLOOKUP($B72,casostestes[#Data],3)), "-")</f>
        <v>-</v>
      </c>
      <c r="F72" s="35" t="str">
        <f>IFERROR(IF(VLOOKUP($B72,casostestes[#Data],4)=0,"-",VLOOKUP($B72,casostestes[#Data],4)),"-")</f>
        <v>-</v>
      </c>
      <c r="G72" s="35" t="str">
        <f>IFERROR(IF(VLOOKUP($B72,casostestes[#Data],5)=0,"-",VLOOKUP($B72,casostestes[#Data],5)),"-")</f>
        <v>-</v>
      </c>
      <c r="H72" s="87" t="str">
        <f>IFERROR(IF(VLOOKUP($B72,casostestes[#Data],6)=0,"-",VLOOKUP($B72,casostestes[#Data],6)),"-")</f>
        <v>-</v>
      </c>
      <c r="I72" s="35" t="str">
        <f>IFERROR(IF(VLOOKUP($B72,casostestes[#Data],8)=0,"-",VLOOKUP($B72,casostestes[#Data],8)),"-")</f>
        <v>-</v>
      </c>
      <c r="J72" s="35" t="str">
        <f>IFERROR(IF(VLOOKUP($B72,casostestes[#Data],9)=0,"-",VLOOKUP($B72,casostestes[#Data],9)),"-")</f>
        <v>-</v>
      </c>
      <c r="K72" s="36"/>
      <c r="L72" s="45"/>
      <c r="M72" s="37"/>
      <c r="N72" s="38"/>
      <c r="O72" s="38"/>
      <c r="P72" s="39"/>
    </row>
    <row r="73" spans="2:16">
      <c r="B73" s="40" t="str">
        <f>IF(ISERR(casostestes[[#This Row],[ID]]),"-",casostestes[[#This Row],[ID]])</f>
        <v>-</v>
      </c>
      <c r="C73" s="34" t="str">
        <f>IFERROR(IF(VLOOKUP($B73,casostestes[#Data],10)=0,"Não",VLOOKUP($B73,casostestes[#Data],10)), "-")</f>
        <v>-</v>
      </c>
      <c r="D73" s="35" t="str">
        <f>IFERROR(IF(VLOOKUP($B73,casostestes[#Data],2)=0,"-",VLOOKUP($B73,casostestes[#Data],2)), "-")</f>
        <v>-</v>
      </c>
      <c r="E73" s="35" t="str">
        <f>IFERROR(IF(VLOOKUP($B73,casostestes[#Data],3)=0,"-",VLOOKUP($B73,casostestes[#Data],3)), "-")</f>
        <v>-</v>
      </c>
      <c r="F73" s="35" t="str">
        <f>IFERROR(IF(VLOOKUP($B73,casostestes[#Data],4)=0,"-",VLOOKUP($B73,casostestes[#Data],4)),"-")</f>
        <v>-</v>
      </c>
      <c r="G73" s="35" t="str">
        <f>IFERROR(IF(VLOOKUP($B73,casostestes[#Data],5)=0,"-",VLOOKUP($B73,casostestes[#Data],5)),"-")</f>
        <v>-</v>
      </c>
      <c r="H73" s="87" t="str">
        <f>IFERROR(IF(VLOOKUP($B73,casostestes[#Data],6)=0,"-",VLOOKUP($B73,casostestes[#Data],6)),"-")</f>
        <v>-</v>
      </c>
      <c r="I73" s="35" t="str">
        <f>IFERROR(IF(VLOOKUP($B73,casostestes[#Data],8)=0,"-",VLOOKUP($B73,casostestes[#Data],8)),"-")</f>
        <v>-</v>
      </c>
      <c r="J73" s="35" t="str">
        <f>IFERROR(IF(VLOOKUP($B73,casostestes[#Data],9)=0,"-",VLOOKUP($B73,casostestes[#Data],9)),"-")</f>
        <v>-</v>
      </c>
      <c r="K73" s="36"/>
      <c r="L73" s="45"/>
      <c r="M73" s="37"/>
      <c r="N73" s="38"/>
      <c r="O73" s="38"/>
      <c r="P73" s="39"/>
    </row>
    <row r="74" spans="2:16">
      <c r="B74" s="40" t="str">
        <f>IF(ISERR(casostestes[[#This Row],[ID]]),"-",casostestes[[#This Row],[ID]])</f>
        <v>-</v>
      </c>
      <c r="C74" s="34" t="str">
        <f>IFERROR(IF(VLOOKUP($B74,casostestes[#Data],10)=0,"Não",VLOOKUP($B74,casostestes[#Data],10)), "-")</f>
        <v>-</v>
      </c>
      <c r="D74" s="35" t="str">
        <f>IFERROR(IF(VLOOKUP($B74,casostestes[#Data],2)=0,"-",VLOOKUP($B74,casostestes[#Data],2)), "-")</f>
        <v>-</v>
      </c>
      <c r="E74" s="35" t="str">
        <f>IFERROR(IF(VLOOKUP($B74,casostestes[#Data],3)=0,"-",VLOOKUP($B74,casostestes[#Data],3)), "-")</f>
        <v>-</v>
      </c>
      <c r="F74" s="35" t="str">
        <f>IFERROR(IF(VLOOKUP($B74,casostestes[#Data],4)=0,"-",VLOOKUP($B74,casostestes[#Data],4)),"-")</f>
        <v>-</v>
      </c>
      <c r="G74" s="35" t="str">
        <f>IFERROR(IF(VLOOKUP($B74,casostestes[#Data],5)=0,"-",VLOOKUP($B74,casostestes[#Data],5)),"-")</f>
        <v>-</v>
      </c>
      <c r="H74" s="87" t="str">
        <f>IFERROR(IF(VLOOKUP($B74,casostestes[#Data],6)=0,"-",VLOOKUP($B74,casostestes[#Data],6)),"-")</f>
        <v>-</v>
      </c>
      <c r="I74" s="35" t="str">
        <f>IFERROR(IF(VLOOKUP($B74,casostestes[#Data],8)=0,"-",VLOOKUP($B74,casostestes[#Data],8)),"-")</f>
        <v>-</v>
      </c>
      <c r="J74" s="35" t="str">
        <f>IFERROR(IF(VLOOKUP($B74,casostestes[#Data],9)=0,"-",VLOOKUP($B74,casostestes[#Data],9)),"-")</f>
        <v>-</v>
      </c>
      <c r="K74" s="36"/>
      <c r="L74" s="45"/>
      <c r="M74" s="37"/>
      <c r="N74" s="38"/>
      <c r="O74" s="38"/>
      <c r="P74" s="39"/>
    </row>
    <row r="75" spans="2:16">
      <c r="B75" s="40" t="str">
        <f>IF(ISERR(casostestes[[#This Row],[ID]]),"-",casostestes[[#This Row],[ID]])</f>
        <v>-</v>
      </c>
      <c r="C75" s="34" t="str">
        <f>IFERROR(IF(VLOOKUP($B75,casostestes[#Data],10)=0,"Não",VLOOKUP($B75,casostestes[#Data],10)), "-")</f>
        <v>-</v>
      </c>
      <c r="D75" s="35" t="str">
        <f>IFERROR(IF(VLOOKUP($B75,casostestes[#Data],2)=0,"-",VLOOKUP($B75,casostestes[#Data],2)), "-")</f>
        <v>-</v>
      </c>
      <c r="E75" s="35" t="str">
        <f>IFERROR(IF(VLOOKUP($B75,casostestes[#Data],3)=0,"-",VLOOKUP($B75,casostestes[#Data],3)), "-")</f>
        <v>-</v>
      </c>
      <c r="F75" s="35" t="str">
        <f>IFERROR(IF(VLOOKUP($B75,casostestes[#Data],4)=0,"-",VLOOKUP($B75,casostestes[#Data],4)),"-")</f>
        <v>-</v>
      </c>
      <c r="G75" s="35" t="str">
        <f>IFERROR(IF(VLOOKUP($B75,casostestes[#Data],5)=0,"-",VLOOKUP($B75,casostestes[#Data],5)),"-")</f>
        <v>-</v>
      </c>
      <c r="H75" s="87" t="str">
        <f>IFERROR(IF(VLOOKUP($B75,casostestes[#Data],6)=0,"-",VLOOKUP($B75,casostestes[#Data],6)),"-")</f>
        <v>-</v>
      </c>
      <c r="I75" s="35" t="str">
        <f>IFERROR(IF(VLOOKUP($B75,casostestes[#Data],8)=0,"-",VLOOKUP($B75,casostestes[#Data],8)),"-")</f>
        <v>-</v>
      </c>
      <c r="J75" s="35" t="str">
        <f>IFERROR(IF(VLOOKUP($B75,casostestes[#Data],9)=0,"-",VLOOKUP($B75,casostestes[#Data],9)),"-")</f>
        <v>-</v>
      </c>
      <c r="K75" s="36"/>
      <c r="L75" s="45"/>
      <c r="M75" s="37"/>
      <c r="N75" s="38"/>
      <c r="O75" s="38"/>
      <c r="P75" s="39"/>
    </row>
    <row r="76" spans="2:16">
      <c r="B76" s="40" t="str">
        <f>IF(ISERR(casostestes[[#This Row],[ID]]),"-",casostestes[[#This Row],[ID]])</f>
        <v>-</v>
      </c>
      <c r="C76" s="34" t="str">
        <f>IFERROR(IF(VLOOKUP($B76,casostestes[#Data],10)=0,"Não",VLOOKUP($B76,casostestes[#Data],10)), "-")</f>
        <v>-</v>
      </c>
      <c r="D76" s="35" t="str">
        <f>IFERROR(IF(VLOOKUP($B76,casostestes[#Data],2)=0,"-",VLOOKUP($B76,casostestes[#Data],2)), "-")</f>
        <v>-</v>
      </c>
      <c r="E76" s="35" t="str">
        <f>IFERROR(IF(VLOOKUP($B76,casostestes[#Data],3)=0,"-",VLOOKUP($B76,casostestes[#Data],3)), "-")</f>
        <v>-</v>
      </c>
      <c r="F76" s="35" t="str">
        <f>IFERROR(IF(VLOOKUP($B76,casostestes[#Data],4)=0,"-",VLOOKUP($B76,casostestes[#Data],4)),"-")</f>
        <v>-</v>
      </c>
      <c r="G76" s="35" t="str">
        <f>IFERROR(IF(VLOOKUP($B76,casostestes[#Data],5)=0,"-",VLOOKUP($B76,casostestes[#Data],5)),"-")</f>
        <v>-</v>
      </c>
      <c r="H76" s="87" t="str">
        <f>IFERROR(IF(VLOOKUP($B76,casostestes[#Data],6)=0,"-",VLOOKUP($B76,casostestes[#Data],6)),"-")</f>
        <v>-</v>
      </c>
      <c r="I76" s="35" t="str">
        <f>IFERROR(IF(VLOOKUP($B76,casostestes[#Data],8)=0,"-",VLOOKUP($B76,casostestes[#Data],8)),"-")</f>
        <v>-</v>
      </c>
      <c r="J76" s="35" t="str">
        <f>IFERROR(IF(VLOOKUP($B76,casostestes[#Data],9)=0,"-",VLOOKUP($B76,casostestes[#Data],9)),"-")</f>
        <v>-</v>
      </c>
      <c r="K76" s="36"/>
      <c r="L76" s="45"/>
      <c r="M76" s="37"/>
      <c r="N76" s="38"/>
      <c r="O76" s="38"/>
      <c r="P76" s="39"/>
    </row>
    <row r="77" spans="2:16">
      <c r="B77" s="40" t="str">
        <f>IF(ISERR(casostestes[[#This Row],[ID]]),"-",casostestes[[#This Row],[ID]])</f>
        <v>-</v>
      </c>
      <c r="C77" s="34" t="str">
        <f>IFERROR(IF(VLOOKUP($B77,casostestes[#Data],10)=0,"Não",VLOOKUP($B77,casostestes[#Data],10)), "-")</f>
        <v>-</v>
      </c>
      <c r="D77" s="35" t="str">
        <f>IFERROR(IF(VLOOKUP($B77,casostestes[#Data],2)=0,"-",VLOOKUP($B77,casostestes[#Data],2)), "-")</f>
        <v>-</v>
      </c>
      <c r="E77" s="35" t="str">
        <f>IFERROR(IF(VLOOKUP($B77,casostestes[#Data],3)=0,"-",VLOOKUP($B77,casostestes[#Data],3)), "-")</f>
        <v>-</v>
      </c>
      <c r="F77" s="35" t="str">
        <f>IFERROR(IF(VLOOKUP($B77,casostestes[#Data],4)=0,"-",VLOOKUP($B77,casostestes[#Data],4)),"-")</f>
        <v>-</v>
      </c>
      <c r="G77" s="35" t="str">
        <f>IFERROR(IF(VLOOKUP($B77,casostestes[#Data],5)=0,"-",VLOOKUP($B77,casostestes[#Data],5)),"-")</f>
        <v>-</v>
      </c>
      <c r="H77" s="87" t="str">
        <f>IFERROR(IF(VLOOKUP($B77,casostestes[#Data],6)=0,"-",VLOOKUP($B77,casostestes[#Data],6)),"-")</f>
        <v>-</v>
      </c>
      <c r="I77" s="35" t="str">
        <f>IFERROR(IF(VLOOKUP($B77,casostestes[#Data],8)=0,"-",VLOOKUP($B77,casostestes[#Data],8)),"-")</f>
        <v>-</v>
      </c>
      <c r="J77" s="35" t="str">
        <f>IFERROR(IF(VLOOKUP($B77,casostestes[#Data],9)=0,"-",VLOOKUP($B77,casostestes[#Data],9)),"-")</f>
        <v>-</v>
      </c>
      <c r="K77" s="36"/>
      <c r="L77" s="45"/>
      <c r="M77" s="37"/>
      <c r="N77" s="38"/>
      <c r="O77" s="38"/>
      <c r="P77" s="39"/>
    </row>
    <row r="78" spans="2:16">
      <c r="B78" s="40" t="str">
        <f>IF(ISERR(casostestes[[#This Row],[ID]]),"-",casostestes[[#This Row],[ID]])</f>
        <v>-</v>
      </c>
      <c r="C78" s="34" t="str">
        <f>IFERROR(IF(VLOOKUP($B78,casostestes[#Data],10)=0,"Não",VLOOKUP($B78,casostestes[#Data],10)), "-")</f>
        <v>-</v>
      </c>
      <c r="D78" s="35" t="str">
        <f>IFERROR(IF(VLOOKUP($B78,casostestes[#Data],2)=0,"-",VLOOKUP($B78,casostestes[#Data],2)), "-")</f>
        <v>-</v>
      </c>
      <c r="E78" s="35" t="str">
        <f>IFERROR(IF(VLOOKUP($B78,casostestes[#Data],3)=0,"-",VLOOKUP($B78,casostestes[#Data],3)), "-")</f>
        <v>-</v>
      </c>
      <c r="F78" s="35" t="str">
        <f>IFERROR(IF(VLOOKUP($B78,casostestes[#Data],4)=0,"-",VLOOKUP($B78,casostestes[#Data],4)),"-")</f>
        <v>-</v>
      </c>
      <c r="G78" s="35" t="str">
        <f>IFERROR(IF(VLOOKUP($B78,casostestes[#Data],5)=0,"-",VLOOKUP($B78,casostestes[#Data],5)),"-")</f>
        <v>-</v>
      </c>
      <c r="H78" s="87" t="str">
        <f>IFERROR(IF(VLOOKUP($B78,casostestes[#Data],6)=0,"-",VLOOKUP($B78,casostestes[#Data],6)),"-")</f>
        <v>-</v>
      </c>
      <c r="I78" s="35" t="str">
        <f>IFERROR(IF(VLOOKUP($B78,casostestes[#Data],8)=0,"-",VLOOKUP($B78,casostestes[#Data],8)),"-")</f>
        <v>-</v>
      </c>
      <c r="J78" s="35" t="str">
        <f>IFERROR(IF(VLOOKUP($B78,casostestes[#Data],9)=0,"-",VLOOKUP($B78,casostestes[#Data],9)),"-")</f>
        <v>-</v>
      </c>
      <c r="K78" s="36"/>
      <c r="L78" s="45"/>
      <c r="M78" s="37"/>
      <c r="N78" s="38"/>
      <c r="O78" s="38"/>
      <c r="P78" s="39"/>
    </row>
    <row r="79" spans="2:16">
      <c r="B79" s="40" t="str">
        <f>IF(ISERR(casostestes[[#This Row],[ID]]),"-",casostestes[[#This Row],[ID]])</f>
        <v>-</v>
      </c>
      <c r="C79" s="34" t="str">
        <f>IFERROR(IF(VLOOKUP($B79,casostestes[#Data],10)=0,"Não",VLOOKUP($B79,casostestes[#Data],10)), "-")</f>
        <v>-</v>
      </c>
      <c r="D79" s="35" t="str">
        <f>IFERROR(IF(VLOOKUP($B79,casostestes[#Data],2)=0,"-",VLOOKUP($B79,casostestes[#Data],2)), "-")</f>
        <v>-</v>
      </c>
      <c r="E79" s="35" t="str">
        <f>IFERROR(IF(VLOOKUP($B79,casostestes[#Data],3)=0,"-",VLOOKUP($B79,casostestes[#Data],3)), "-")</f>
        <v>-</v>
      </c>
      <c r="F79" s="35" t="str">
        <f>IFERROR(IF(VLOOKUP($B79,casostestes[#Data],4)=0,"-",VLOOKUP($B79,casostestes[#Data],4)),"-")</f>
        <v>-</v>
      </c>
      <c r="G79" s="35" t="str">
        <f>IFERROR(IF(VLOOKUP($B79,casostestes[#Data],5)=0,"-",VLOOKUP($B79,casostestes[#Data],5)),"-")</f>
        <v>-</v>
      </c>
      <c r="H79" s="87" t="str">
        <f>IFERROR(IF(VLOOKUP($B79,casostestes[#Data],6)=0,"-",VLOOKUP($B79,casostestes[#Data],6)),"-")</f>
        <v>-</v>
      </c>
      <c r="I79" s="35" t="str">
        <f>IFERROR(IF(VLOOKUP($B79,casostestes[#Data],8)=0,"-",VLOOKUP($B79,casostestes[#Data],8)),"-")</f>
        <v>-</v>
      </c>
      <c r="J79" s="35" t="str">
        <f>IFERROR(IF(VLOOKUP($B79,casostestes[#Data],9)=0,"-",VLOOKUP($B79,casostestes[#Data],9)),"-")</f>
        <v>-</v>
      </c>
      <c r="K79" s="36"/>
      <c r="L79" s="45"/>
      <c r="M79" s="37"/>
      <c r="N79" s="38"/>
      <c r="O79" s="38"/>
      <c r="P79" s="39"/>
    </row>
    <row r="80" spans="2:16">
      <c r="B80" s="40" t="str">
        <f>IF(ISERR(casostestes[[#This Row],[ID]]),"-",casostestes[[#This Row],[ID]])</f>
        <v>-</v>
      </c>
      <c r="C80" s="34" t="str">
        <f>IFERROR(IF(VLOOKUP($B80,casostestes[#Data],10)=0,"Não",VLOOKUP($B80,casostestes[#Data],10)), "-")</f>
        <v>-</v>
      </c>
      <c r="D80" s="35" t="str">
        <f>IFERROR(IF(VLOOKUP($B80,casostestes[#Data],2)=0,"-",VLOOKUP($B80,casostestes[#Data],2)), "-")</f>
        <v>-</v>
      </c>
      <c r="E80" s="35" t="str">
        <f>IFERROR(IF(VLOOKUP($B80,casostestes[#Data],3)=0,"-",VLOOKUP($B80,casostestes[#Data],3)), "-")</f>
        <v>-</v>
      </c>
      <c r="F80" s="35" t="str">
        <f>IFERROR(IF(VLOOKUP($B80,casostestes[#Data],4)=0,"-",VLOOKUP($B80,casostestes[#Data],4)),"-")</f>
        <v>-</v>
      </c>
      <c r="G80" s="35" t="str">
        <f>IFERROR(IF(VLOOKUP($B80,casostestes[#Data],5)=0,"-",VLOOKUP($B80,casostestes[#Data],5)),"-")</f>
        <v>-</v>
      </c>
      <c r="H80" s="87" t="str">
        <f>IFERROR(IF(VLOOKUP($B80,casostestes[#Data],6)=0,"-",VLOOKUP($B80,casostestes[#Data],6)),"-")</f>
        <v>-</v>
      </c>
      <c r="I80" s="35" t="str">
        <f>IFERROR(IF(VLOOKUP($B80,casostestes[#Data],8)=0,"-",VLOOKUP($B80,casostestes[#Data],8)),"-")</f>
        <v>-</v>
      </c>
      <c r="J80" s="35" t="str">
        <f>IFERROR(IF(VLOOKUP($B80,casostestes[#Data],9)=0,"-",VLOOKUP($B80,casostestes[#Data],9)),"-")</f>
        <v>-</v>
      </c>
      <c r="K80" s="36"/>
      <c r="L80" s="45"/>
      <c r="M80" s="37"/>
      <c r="N80" s="38"/>
      <c r="O80" s="38"/>
      <c r="P80" s="39"/>
    </row>
    <row r="81" spans="2:16">
      <c r="B81" s="40" t="str">
        <f>IF(ISERR(casostestes[[#This Row],[ID]]),"-",casostestes[[#This Row],[ID]])</f>
        <v>-</v>
      </c>
      <c r="C81" s="34" t="str">
        <f>IFERROR(IF(VLOOKUP($B81,casostestes[#Data],10)=0,"Não",VLOOKUP($B81,casostestes[#Data],10)), "-")</f>
        <v>-</v>
      </c>
      <c r="D81" s="35" t="str">
        <f>IFERROR(IF(VLOOKUP($B81,casostestes[#Data],2)=0,"-",VLOOKUP($B81,casostestes[#Data],2)), "-")</f>
        <v>-</v>
      </c>
      <c r="E81" s="35" t="str">
        <f>IFERROR(IF(VLOOKUP($B81,casostestes[#Data],3)=0,"-",VLOOKUP($B81,casostestes[#Data],3)), "-")</f>
        <v>-</v>
      </c>
      <c r="F81" s="35" t="str">
        <f>IFERROR(IF(VLOOKUP($B81,casostestes[#Data],4)=0,"-",VLOOKUP($B81,casostestes[#Data],4)),"-")</f>
        <v>-</v>
      </c>
      <c r="G81" s="35" t="str">
        <f>IFERROR(IF(VLOOKUP($B81,casostestes[#Data],5)=0,"-",VLOOKUP($B81,casostestes[#Data],5)),"-")</f>
        <v>-</v>
      </c>
      <c r="H81" s="87" t="str">
        <f>IFERROR(IF(VLOOKUP($B81,casostestes[#Data],6)=0,"-",VLOOKUP($B81,casostestes[#Data],6)),"-")</f>
        <v>-</v>
      </c>
      <c r="I81" s="35" t="str">
        <f>IFERROR(IF(VLOOKUP($B81,casostestes[#Data],8)=0,"-",VLOOKUP($B81,casostestes[#Data],8)),"-")</f>
        <v>-</v>
      </c>
      <c r="J81" s="35" t="str">
        <f>IFERROR(IF(VLOOKUP($B81,casostestes[#Data],9)=0,"-",VLOOKUP($B81,casostestes[#Data],9)),"-")</f>
        <v>-</v>
      </c>
      <c r="K81" s="36"/>
      <c r="L81" s="45"/>
      <c r="M81" s="37"/>
      <c r="N81" s="38"/>
      <c r="O81" s="38"/>
      <c r="P81" s="39"/>
    </row>
    <row r="82" spans="2:16">
      <c r="B82" s="40" t="str">
        <f>IF(ISERR(casostestes[[#This Row],[ID]]),"-",casostestes[[#This Row],[ID]])</f>
        <v>-</v>
      </c>
      <c r="C82" s="34" t="str">
        <f>IFERROR(IF(VLOOKUP($B82,casostestes[#Data],10)=0,"Não",VLOOKUP($B82,casostestes[#Data],10)), "-")</f>
        <v>-</v>
      </c>
      <c r="D82" s="35" t="str">
        <f>IFERROR(IF(VLOOKUP($B82,casostestes[#Data],2)=0,"-",VLOOKUP($B82,casostestes[#Data],2)), "-")</f>
        <v>-</v>
      </c>
      <c r="E82" s="35" t="str">
        <f>IFERROR(IF(VLOOKUP($B82,casostestes[#Data],3)=0,"-",VLOOKUP($B82,casostestes[#Data],3)), "-")</f>
        <v>-</v>
      </c>
      <c r="F82" s="35" t="str">
        <f>IFERROR(IF(VLOOKUP($B82,casostestes[#Data],4)=0,"-",VLOOKUP($B82,casostestes[#Data],4)),"-")</f>
        <v>-</v>
      </c>
      <c r="G82" s="35" t="str">
        <f>IFERROR(IF(VLOOKUP($B82,casostestes[#Data],5)=0,"-",VLOOKUP($B82,casostestes[#Data],5)),"-")</f>
        <v>-</v>
      </c>
      <c r="H82" s="87" t="str">
        <f>IFERROR(IF(VLOOKUP($B82,casostestes[#Data],6)=0,"-",VLOOKUP($B82,casostestes[#Data],6)),"-")</f>
        <v>-</v>
      </c>
      <c r="I82" s="35" t="str">
        <f>IFERROR(IF(VLOOKUP($B82,casostestes[#Data],8)=0,"-",VLOOKUP($B82,casostestes[#Data],8)),"-")</f>
        <v>-</v>
      </c>
      <c r="J82" s="35" t="str">
        <f>IFERROR(IF(VLOOKUP($B82,casostestes[#Data],9)=0,"-",VLOOKUP($B82,casostestes[#Data],9)),"-")</f>
        <v>-</v>
      </c>
      <c r="K82" s="36"/>
      <c r="L82" s="45"/>
      <c r="M82" s="37"/>
      <c r="N82" s="38"/>
      <c r="O82" s="38"/>
      <c r="P82" s="39"/>
    </row>
    <row r="83" spans="2:16">
      <c r="B83" s="40" t="str">
        <f>IF(ISERR(casostestes[[#This Row],[ID]]),"-",casostestes[[#This Row],[ID]])</f>
        <v>-</v>
      </c>
      <c r="C83" s="34" t="str">
        <f>IFERROR(IF(VLOOKUP($B83,casostestes[#Data],10)=0,"Não",VLOOKUP($B83,casostestes[#Data],10)), "-")</f>
        <v>-</v>
      </c>
      <c r="D83" s="35" t="str">
        <f>IFERROR(IF(VLOOKUP($B83,casostestes[#Data],2)=0,"-",VLOOKUP($B83,casostestes[#Data],2)), "-")</f>
        <v>-</v>
      </c>
      <c r="E83" s="35" t="str">
        <f>IFERROR(IF(VLOOKUP($B83,casostestes[#Data],3)=0,"-",VLOOKUP($B83,casostestes[#Data],3)), "-")</f>
        <v>-</v>
      </c>
      <c r="F83" s="35" t="str">
        <f>IFERROR(IF(VLOOKUP($B83,casostestes[#Data],4)=0,"-",VLOOKUP($B83,casostestes[#Data],4)),"-")</f>
        <v>-</v>
      </c>
      <c r="G83" s="35" t="str">
        <f>IFERROR(IF(VLOOKUP($B83,casostestes[#Data],5)=0,"-",VLOOKUP($B83,casostestes[#Data],5)),"-")</f>
        <v>-</v>
      </c>
      <c r="H83" s="87" t="str">
        <f>IFERROR(IF(VLOOKUP($B83,casostestes[#Data],6)=0,"-",VLOOKUP($B83,casostestes[#Data],6)),"-")</f>
        <v>-</v>
      </c>
      <c r="I83" s="35" t="str">
        <f>IFERROR(IF(VLOOKUP($B83,casostestes[#Data],8)=0,"-",VLOOKUP($B83,casostestes[#Data],8)),"-")</f>
        <v>-</v>
      </c>
      <c r="J83" s="35" t="str">
        <f>IFERROR(IF(VLOOKUP($B83,casostestes[#Data],9)=0,"-",VLOOKUP($B83,casostestes[#Data],9)),"-")</f>
        <v>-</v>
      </c>
      <c r="K83" s="36"/>
      <c r="L83" s="45"/>
      <c r="M83" s="37"/>
      <c r="N83" s="38"/>
      <c r="O83" s="38"/>
      <c r="P83" s="39"/>
    </row>
    <row r="84" spans="2:16">
      <c r="B84" s="40" t="str">
        <f>IF(ISERR(casostestes[[#This Row],[ID]]),"-",casostestes[[#This Row],[ID]])</f>
        <v>-</v>
      </c>
      <c r="C84" s="34" t="str">
        <f>IFERROR(IF(VLOOKUP($B84,casostestes[#Data],10)=0,"Não",VLOOKUP($B84,casostestes[#Data],10)), "-")</f>
        <v>-</v>
      </c>
      <c r="D84" s="35" t="str">
        <f>IFERROR(IF(VLOOKUP($B84,casostestes[#Data],2)=0,"-",VLOOKUP($B84,casostestes[#Data],2)), "-")</f>
        <v>-</v>
      </c>
      <c r="E84" s="35" t="str">
        <f>IFERROR(IF(VLOOKUP($B84,casostestes[#Data],3)=0,"-",VLOOKUP($B84,casostestes[#Data],3)), "-")</f>
        <v>-</v>
      </c>
      <c r="F84" s="35" t="str">
        <f>IFERROR(IF(VLOOKUP($B84,casostestes[#Data],4)=0,"-",VLOOKUP($B84,casostestes[#Data],4)),"-")</f>
        <v>-</v>
      </c>
      <c r="G84" s="35" t="str">
        <f>IFERROR(IF(VLOOKUP($B84,casostestes[#Data],5)=0,"-",VLOOKUP($B84,casostestes[#Data],5)),"-")</f>
        <v>-</v>
      </c>
      <c r="H84" s="87" t="str">
        <f>IFERROR(IF(VLOOKUP($B84,casostestes[#Data],6)=0,"-",VLOOKUP($B84,casostestes[#Data],6)),"-")</f>
        <v>-</v>
      </c>
      <c r="I84" s="35" t="str">
        <f>IFERROR(IF(VLOOKUP($B84,casostestes[#Data],8)=0,"-",VLOOKUP($B84,casostestes[#Data],8)),"-")</f>
        <v>-</v>
      </c>
      <c r="J84" s="35" t="str">
        <f>IFERROR(IF(VLOOKUP($B84,casostestes[#Data],9)=0,"-",VLOOKUP($B84,casostestes[#Data],9)),"-")</f>
        <v>-</v>
      </c>
      <c r="K84" s="36"/>
      <c r="L84" s="45"/>
      <c r="M84" s="37"/>
      <c r="N84" s="38"/>
      <c r="O84" s="38"/>
      <c r="P84" s="39"/>
    </row>
    <row r="85" spans="2:16">
      <c r="B85" s="40" t="str">
        <f>IF(ISERR(casostestes[[#This Row],[ID]]),"-",casostestes[[#This Row],[ID]])</f>
        <v>-</v>
      </c>
      <c r="C85" s="34" t="str">
        <f>IFERROR(IF(VLOOKUP($B85,casostestes[#Data],10)=0,"Não",VLOOKUP($B85,casostestes[#Data],10)), "-")</f>
        <v>-</v>
      </c>
      <c r="D85" s="35" t="str">
        <f>IFERROR(IF(VLOOKUP($B85,casostestes[#Data],2)=0,"-",VLOOKUP($B85,casostestes[#Data],2)), "-")</f>
        <v>-</v>
      </c>
      <c r="E85" s="35" t="str">
        <f>IFERROR(IF(VLOOKUP($B85,casostestes[#Data],3)=0,"-",VLOOKUP($B85,casostestes[#Data],3)), "-")</f>
        <v>-</v>
      </c>
      <c r="F85" s="35" t="str">
        <f>IFERROR(IF(VLOOKUP($B85,casostestes[#Data],4)=0,"-",VLOOKUP($B85,casostestes[#Data],4)),"-")</f>
        <v>-</v>
      </c>
      <c r="G85" s="35" t="str">
        <f>IFERROR(IF(VLOOKUP($B85,casostestes[#Data],5)=0,"-",VLOOKUP($B85,casostestes[#Data],5)),"-")</f>
        <v>-</v>
      </c>
      <c r="H85" s="87" t="str">
        <f>IFERROR(IF(VLOOKUP($B85,casostestes[#Data],6)=0,"-",VLOOKUP($B85,casostestes[#Data],6)),"-")</f>
        <v>-</v>
      </c>
      <c r="I85" s="35" t="str">
        <f>IFERROR(IF(VLOOKUP($B85,casostestes[#Data],8)=0,"-",VLOOKUP($B85,casostestes[#Data],8)),"-")</f>
        <v>-</v>
      </c>
      <c r="J85" s="35" t="str">
        <f>IFERROR(IF(VLOOKUP($B85,casostestes[#Data],9)=0,"-",VLOOKUP($B85,casostestes[#Data],9)),"-")</f>
        <v>-</v>
      </c>
      <c r="K85" s="36"/>
      <c r="L85" s="45"/>
      <c r="M85" s="37"/>
      <c r="N85" s="38"/>
      <c r="O85" s="38"/>
      <c r="P85" s="39"/>
    </row>
    <row r="86" spans="2:16">
      <c r="B86" s="40" t="str">
        <f>IF(ISERR(casostestes[[#This Row],[ID]]),"-",casostestes[[#This Row],[ID]])</f>
        <v>-</v>
      </c>
      <c r="C86" s="34" t="str">
        <f>IFERROR(IF(VLOOKUP($B86,casostestes[#Data],10)=0,"Não",VLOOKUP($B86,casostestes[#Data],10)), "-")</f>
        <v>-</v>
      </c>
      <c r="D86" s="35" t="str">
        <f>IFERROR(IF(VLOOKUP($B86,casostestes[#Data],2)=0,"-",VLOOKUP($B86,casostestes[#Data],2)), "-")</f>
        <v>-</v>
      </c>
      <c r="E86" s="35" t="str">
        <f>IFERROR(IF(VLOOKUP($B86,casostestes[#Data],3)=0,"-",VLOOKUP($B86,casostestes[#Data],3)), "-")</f>
        <v>-</v>
      </c>
      <c r="F86" s="35" t="str">
        <f>IFERROR(IF(VLOOKUP($B86,casostestes[#Data],4)=0,"-",VLOOKUP($B86,casostestes[#Data],4)),"-")</f>
        <v>-</v>
      </c>
      <c r="G86" s="35" t="str">
        <f>IFERROR(IF(VLOOKUP($B86,casostestes[#Data],5)=0,"-",VLOOKUP($B86,casostestes[#Data],5)),"-")</f>
        <v>-</v>
      </c>
      <c r="H86" s="87" t="str">
        <f>IFERROR(IF(VLOOKUP($B86,casostestes[#Data],6)=0,"-",VLOOKUP($B86,casostestes[#Data],6)),"-")</f>
        <v>-</v>
      </c>
      <c r="I86" s="35" t="str">
        <f>IFERROR(IF(VLOOKUP($B86,casostestes[#Data],8)=0,"-",VLOOKUP($B86,casostestes[#Data],8)),"-")</f>
        <v>-</v>
      </c>
      <c r="J86" s="35" t="str">
        <f>IFERROR(IF(VLOOKUP($B86,casostestes[#Data],9)=0,"-",VLOOKUP($B86,casostestes[#Data],9)),"-")</f>
        <v>-</v>
      </c>
      <c r="K86" s="36"/>
      <c r="L86" s="45"/>
      <c r="M86" s="37"/>
      <c r="N86" s="38"/>
      <c r="O86" s="38"/>
      <c r="P86" s="39"/>
    </row>
    <row r="87" spans="2:16">
      <c r="B87" s="40" t="str">
        <f>IF(ISERR(casostestes[[#This Row],[ID]]),"-",casostestes[[#This Row],[ID]])</f>
        <v>-</v>
      </c>
      <c r="C87" s="34" t="str">
        <f>IFERROR(IF(VLOOKUP($B87,casostestes[#Data],10)=0,"Não",VLOOKUP($B87,casostestes[#Data],10)), "-")</f>
        <v>-</v>
      </c>
      <c r="D87" s="35" t="str">
        <f>IFERROR(IF(VLOOKUP($B87,casostestes[#Data],2)=0,"-",VLOOKUP($B87,casostestes[#Data],2)), "-")</f>
        <v>-</v>
      </c>
      <c r="E87" s="35" t="str">
        <f>IFERROR(IF(VLOOKUP($B87,casostestes[#Data],3)=0,"-",VLOOKUP($B87,casostestes[#Data],3)), "-")</f>
        <v>-</v>
      </c>
      <c r="F87" s="35" t="str">
        <f>IFERROR(IF(VLOOKUP($B87,casostestes[#Data],4)=0,"-",VLOOKUP($B87,casostestes[#Data],4)),"-")</f>
        <v>-</v>
      </c>
      <c r="G87" s="35" t="str">
        <f>IFERROR(IF(VLOOKUP($B87,casostestes[#Data],5)=0,"-",VLOOKUP($B87,casostestes[#Data],5)),"-")</f>
        <v>-</v>
      </c>
      <c r="H87" s="87" t="str">
        <f>IFERROR(IF(VLOOKUP($B87,casostestes[#Data],6)=0,"-",VLOOKUP($B87,casostestes[#Data],6)),"-")</f>
        <v>-</v>
      </c>
      <c r="I87" s="35" t="str">
        <f>IFERROR(IF(VLOOKUP($B87,casostestes[#Data],8)=0,"-",VLOOKUP($B87,casostestes[#Data],8)),"-")</f>
        <v>-</v>
      </c>
      <c r="J87" s="35" t="str">
        <f>IFERROR(IF(VLOOKUP($B87,casostestes[#Data],9)=0,"-",VLOOKUP($B87,casostestes[#Data],9)),"-")</f>
        <v>-</v>
      </c>
      <c r="K87" s="36"/>
      <c r="L87" s="45"/>
      <c r="M87" s="37"/>
      <c r="N87" s="38"/>
      <c r="O87" s="38"/>
      <c r="P87" s="39"/>
    </row>
    <row r="88" spans="2:16">
      <c r="B88" s="40" t="str">
        <f>IF(ISERR(casostestes[[#This Row],[ID]]),"-",casostestes[[#This Row],[ID]])</f>
        <v>-</v>
      </c>
      <c r="C88" s="34" t="str">
        <f>IFERROR(IF(VLOOKUP($B88,casostestes[#Data],10)=0,"Não",VLOOKUP($B88,casostestes[#Data],10)), "-")</f>
        <v>-</v>
      </c>
      <c r="D88" s="35" t="str">
        <f>IFERROR(IF(VLOOKUP($B88,casostestes[#Data],2)=0,"-",VLOOKUP($B88,casostestes[#Data],2)), "-")</f>
        <v>-</v>
      </c>
      <c r="E88" s="35" t="str">
        <f>IFERROR(IF(VLOOKUP($B88,casostestes[#Data],3)=0,"-",VLOOKUP($B88,casostestes[#Data],3)), "-")</f>
        <v>-</v>
      </c>
      <c r="F88" s="35" t="str">
        <f>IFERROR(IF(VLOOKUP($B88,casostestes[#Data],4)=0,"-",VLOOKUP($B88,casostestes[#Data],4)),"-")</f>
        <v>-</v>
      </c>
      <c r="G88" s="35" t="str">
        <f>IFERROR(IF(VLOOKUP($B88,casostestes[#Data],5)=0,"-",VLOOKUP($B88,casostestes[#Data],5)),"-")</f>
        <v>-</v>
      </c>
      <c r="H88" s="87" t="str">
        <f>IFERROR(IF(VLOOKUP($B88,casostestes[#Data],6)=0,"-",VLOOKUP($B88,casostestes[#Data],6)),"-")</f>
        <v>-</v>
      </c>
      <c r="I88" s="35" t="str">
        <f>IFERROR(IF(VLOOKUP($B88,casostestes[#Data],8)=0,"-",VLOOKUP($B88,casostestes[#Data],8)),"-")</f>
        <v>-</v>
      </c>
      <c r="J88" s="35" t="str">
        <f>IFERROR(IF(VLOOKUP($B88,casostestes[#Data],9)=0,"-",VLOOKUP($B88,casostestes[#Data],9)),"-")</f>
        <v>-</v>
      </c>
      <c r="K88" s="36"/>
      <c r="L88" s="45"/>
      <c r="M88" s="37"/>
      <c r="N88" s="38"/>
      <c r="O88" s="38"/>
      <c r="P88" s="39"/>
    </row>
    <row r="89" spans="2:16">
      <c r="B89" s="40" t="str">
        <f>IF(ISERR(casostestes[[#This Row],[ID]]),"-",casostestes[[#This Row],[ID]])</f>
        <v>-</v>
      </c>
      <c r="C89" s="34" t="str">
        <f>IFERROR(IF(VLOOKUP($B89,casostestes[#Data],10)=0,"Não",VLOOKUP($B89,casostestes[#Data],10)), "-")</f>
        <v>-</v>
      </c>
      <c r="D89" s="35" t="str">
        <f>IFERROR(IF(VLOOKUP($B89,casostestes[#Data],2)=0,"-",VLOOKUP($B89,casostestes[#Data],2)), "-")</f>
        <v>-</v>
      </c>
      <c r="E89" s="35" t="str">
        <f>IFERROR(IF(VLOOKUP($B89,casostestes[#Data],3)=0,"-",VLOOKUP($B89,casostestes[#Data],3)), "-")</f>
        <v>-</v>
      </c>
      <c r="F89" s="35" t="str">
        <f>IFERROR(IF(VLOOKUP($B89,casostestes[#Data],4)=0,"-",VLOOKUP($B89,casostestes[#Data],4)),"-")</f>
        <v>-</v>
      </c>
      <c r="G89" s="35" t="str">
        <f>IFERROR(IF(VLOOKUP($B89,casostestes[#Data],5)=0,"-",VLOOKUP($B89,casostestes[#Data],5)),"-")</f>
        <v>-</v>
      </c>
      <c r="H89" s="87" t="str">
        <f>IFERROR(IF(VLOOKUP($B89,casostestes[#Data],6)=0,"-",VLOOKUP($B89,casostestes[#Data],6)),"-")</f>
        <v>-</v>
      </c>
      <c r="I89" s="35" t="str">
        <f>IFERROR(IF(VLOOKUP($B89,casostestes[#Data],8)=0,"-",VLOOKUP($B89,casostestes[#Data],8)),"-")</f>
        <v>-</v>
      </c>
      <c r="J89" s="35" t="str">
        <f>IFERROR(IF(VLOOKUP($B89,casostestes[#Data],9)=0,"-",VLOOKUP($B89,casostestes[#Data],9)),"-")</f>
        <v>-</v>
      </c>
      <c r="K89" s="36"/>
      <c r="L89" s="45"/>
      <c r="M89" s="37"/>
      <c r="N89" s="38"/>
      <c r="O89" s="38"/>
      <c r="P89" s="39"/>
    </row>
    <row r="90" spans="2:16">
      <c r="B90" s="40" t="str">
        <f>IF(ISERR(casostestes[[#This Row],[ID]]),"-",casostestes[[#This Row],[ID]])</f>
        <v>-</v>
      </c>
      <c r="C90" s="34" t="str">
        <f>IFERROR(IF(VLOOKUP($B90,casostestes[#Data],10)=0,"Não",VLOOKUP($B90,casostestes[#Data],10)), "-")</f>
        <v>-</v>
      </c>
      <c r="D90" s="35" t="str">
        <f>IFERROR(IF(VLOOKUP($B90,casostestes[#Data],2)=0,"-",VLOOKUP($B90,casostestes[#Data],2)), "-")</f>
        <v>-</v>
      </c>
      <c r="E90" s="35" t="str">
        <f>IFERROR(IF(VLOOKUP($B90,casostestes[#Data],3)=0,"-",VLOOKUP($B90,casostestes[#Data],3)), "-")</f>
        <v>-</v>
      </c>
      <c r="F90" s="35" t="str">
        <f>IFERROR(IF(VLOOKUP($B90,casostestes[#Data],4)=0,"-",VLOOKUP($B90,casostestes[#Data],4)),"-")</f>
        <v>-</v>
      </c>
      <c r="G90" s="35" t="str">
        <f>IFERROR(IF(VLOOKUP($B90,casostestes[#Data],5)=0,"-",VLOOKUP($B90,casostestes[#Data],5)),"-")</f>
        <v>-</v>
      </c>
      <c r="H90" s="87" t="str">
        <f>IFERROR(IF(VLOOKUP($B90,casostestes[#Data],6)=0,"-",VLOOKUP($B90,casostestes[#Data],6)),"-")</f>
        <v>-</v>
      </c>
      <c r="I90" s="35" t="str">
        <f>IFERROR(IF(VLOOKUP($B90,casostestes[#Data],8)=0,"-",VLOOKUP($B90,casostestes[#Data],8)),"-")</f>
        <v>-</v>
      </c>
      <c r="J90" s="35" t="str">
        <f>IFERROR(IF(VLOOKUP($B90,casostestes[#Data],9)=0,"-",VLOOKUP($B90,casostestes[#Data],9)),"-")</f>
        <v>-</v>
      </c>
      <c r="K90" s="36"/>
      <c r="L90" s="45"/>
      <c r="M90" s="37"/>
      <c r="N90" s="38"/>
      <c r="O90" s="38"/>
      <c r="P90" s="39"/>
    </row>
    <row r="91" spans="2:16">
      <c r="B91" s="40" t="str">
        <f>IF(ISERR(casostestes[[#This Row],[ID]]),"-",casostestes[[#This Row],[ID]])</f>
        <v>-</v>
      </c>
      <c r="C91" s="34" t="str">
        <f>IFERROR(IF(VLOOKUP($B91,casostestes[#Data],10)=0,"Não",VLOOKUP($B91,casostestes[#Data],10)), "-")</f>
        <v>-</v>
      </c>
      <c r="D91" s="35" t="str">
        <f>IFERROR(IF(VLOOKUP($B91,casostestes[#Data],2)=0,"-",VLOOKUP($B91,casostestes[#Data],2)), "-")</f>
        <v>-</v>
      </c>
      <c r="E91" s="35" t="str">
        <f>IFERROR(IF(VLOOKUP($B91,casostestes[#Data],3)=0,"-",VLOOKUP($B91,casostestes[#Data],3)), "-")</f>
        <v>-</v>
      </c>
      <c r="F91" s="35" t="str">
        <f>IFERROR(IF(VLOOKUP($B91,casostestes[#Data],4)=0,"-",VLOOKUP($B91,casostestes[#Data],4)),"-")</f>
        <v>-</v>
      </c>
      <c r="G91" s="35" t="str">
        <f>IFERROR(IF(VLOOKUP($B91,casostestes[#Data],5)=0,"-",VLOOKUP($B91,casostestes[#Data],5)),"-")</f>
        <v>-</v>
      </c>
      <c r="H91" s="87" t="str">
        <f>IFERROR(IF(VLOOKUP($B91,casostestes[#Data],6)=0,"-",VLOOKUP($B91,casostestes[#Data],6)),"-")</f>
        <v>-</v>
      </c>
      <c r="I91" s="35" t="str">
        <f>IFERROR(IF(VLOOKUP($B91,casostestes[#Data],8)=0,"-",VLOOKUP($B91,casostestes[#Data],8)),"-")</f>
        <v>-</v>
      </c>
      <c r="J91" s="35" t="str">
        <f>IFERROR(IF(VLOOKUP($B91,casostestes[#Data],9)=0,"-",VLOOKUP($B91,casostestes[#Data],9)),"-")</f>
        <v>-</v>
      </c>
      <c r="K91" s="36"/>
      <c r="L91" s="45"/>
      <c r="M91" s="37"/>
      <c r="N91" s="38"/>
      <c r="O91" s="38"/>
      <c r="P91" s="39"/>
    </row>
    <row r="92" spans="2:16">
      <c r="B92" s="40" t="str">
        <f>IF(ISERR(casostestes[[#This Row],[ID]]),"-",casostestes[[#This Row],[ID]])</f>
        <v>-</v>
      </c>
      <c r="C92" s="34" t="str">
        <f>IFERROR(IF(VLOOKUP($B92,casostestes[#Data],10)=0,"Não",VLOOKUP($B92,casostestes[#Data],10)), "-")</f>
        <v>-</v>
      </c>
      <c r="D92" s="35" t="str">
        <f>IFERROR(IF(VLOOKUP($B92,casostestes[#Data],2)=0,"-",VLOOKUP($B92,casostestes[#Data],2)), "-")</f>
        <v>-</v>
      </c>
      <c r="E92" s="35" t="str">
        <f>IFERROR(IF(VLOOKUP($B92,casostestes[#Data],3)=0,"-",VLOOKUP($B92,casostestes[#Data],3)), "-")</f>
        <v>-</v>
      </c>
      <c r="F92" s="35" t="str">
        <f>IFERROR(IF(VLOOKUP($B92,casostestes[#Data],4)=0,"-",VLOOKUP($B92,casostestes[#Data],4)),"-")</f>
        <v>-</v>
      </c>
      <c r="G92" s="35" t="str">
        <f>IFERROR(IF(VLOOKUP($B92,casostestes[#Data],5)=0,"-",VLOOKUP($B92,casostestes[#Data],5)),"-")</f>
        <v>-</v>
      </c>
      <c r="H92" s="87" t="str">
        <f>IFERROR(IF(VLOOKUP($B92,casostestes[#Data],6)=0,"-",VLOOKUP($B92,casostestes[#Data],6)),"-")</f>
        <v>-</v>
      </c>
      <c r="I92" s="35" t="str">
        <f>IFERROR(IF(VLOOKUP($B92,casostestes[#Data],8)=0,"-",VLOOKUP($B92,casostestes[#Data],8)),"-")</f>
        <v>-</v>
      </c>
      <c r="J92" s="35" t="str">
        <f>IFERROR(IF(VLOOKUP($B92,casostestes[#Data],9)=0,"-",VLOOKUP($B92,casostestes[#Data],9)),"-")</f>
        <v>-</v>
      </c>
      <c r="K92" s="36"/>
      <c r="L92" s="45"/>
      <c r="M92" s="37"/>
      <c r="N92" s="38"/>
      <c r="O92" s="38"/>
      <c r="P92" s="39"/>
    </row>
    <row r="93" spans="2:16">
      <c r="B93" s="40" t="str">
        <f>IF(ISERR(casostestes[[#This Row],[ID]]),"-",casostestes[[#This Row],[ID]])</f>
        <v>-</v>
      </c>
      <c r="C93" s="34" t="str">
        <f>IFERROR(IF(VLOOKUP($B93,casostestes[#Data],10)=0,"Não",VLOOKUP($B93,casostestes[#Data],10)), "-")</f>
        <v>-</v>
      </c>
      <c r="D93" s="35" t="str">
        <f>IFERROR(IF(VLOOKUP($B93,casostestes[#Data],2)=0,"-",VLOOKUP($B93,casostestes[#Data],2)), "-")</f>
        <v>-</v>
      </c>
      <c r="E93" s="35" t="str">
        <f>IFERROR(IF(VLOOKUP($B93,casostestes[#Data],3)=0,"-",VLOOKUP($B93,casostestes[#Data],3)), "-")</f>
        <v>-</v>
      </c>
      <c r="F93" s="35" t="str">
        <f>IFERROR(IF(VLOOKUP($B93,casostestes[#Data],4)=0,"-",VLOOKUP($B93,casostestes[#Data],4)),"-")</f>
        <v>-</v>
      </c>
      <c r="G93" s="35" t="str">
        <f>IFERROR(IF(VLOOKUP($B93,casostestes[#Data],5)=0,"-",VLOOKUP($B93,casostestes[#Data],5)),"-")</f>
        <v>-</v>
      </c>
      <c r="H93" s="87" t="str">
        <f>IFERROR(IF(VLOOKUP($B93,casostestes[#Data],6)=0,"-",VLOOKUP($B93,casostestes[#Data],6)),"-")</f>
        <v>-</v>
      </c>
      <c r="I93" s="35" t="str">
        <f>IFERROR(IF(VLOOKUP($B93,casostestes[#Data],8)=0,"-",VLOOKUP($B93,casostestes[#Data],8)),"-")</f>
        <v>-</v>
      </c>
      <c r="J93" s="35" t="str">
        <f>IFERROR(IF(VLOOKUP($B93,casostestes[#Data],9)=0,"-",VLOOKUP($B93,casostestes[#Data],9)),"-")</f>
        <v>-</v>
      </c>
      <c r="K93" s="36"/>
      <c r="L93" s="45"/>
      <c r="M93" s="37"/>
      <c r="N93" s="38"/>
      <c r="O93" s="38"/>
      <c r="P93" s="39"/>
    </row>
    <row r="94" spans="2:16">
      <c r="B94" s="40" t="str">
        <f>IF(ISERR(casostestes[[#This Row],[ID]]),"-",casostestes[[#This Row],[ID]])</f>
        <v>-</v>
      </c>
      <c r="C94" s="34" t="str">
        <f>IFERROR(IF(VLOOKUP($B94,casostestes[#Data],10)=0,"Não",VLOOKUP($B94,casostestes[#Data],10)), "-")</f>
        <v>-</v>
      </c>
      <c r="D94" s="35" t="str">
        <f>IFERROR(IF(VLOOKUP($B94,casostestes[#Data],2)=0,"-",VLOOKUP($B94,casostestes[#Data],2)), "-")</f>
        <v>-</v>
      </c>
      <c r="E94" s="35" t="str">
        <f>IFERROR(IF(VLOOKUP($B94,casostestes[#Data],3)=0,"-",VLOOKUP($B94,casostestes[#Data],3)), "-")</f>
        <v>-</v>
      </c>
      <c r="F94" s="35" t="str">
        <f>IFERROR(IF(VLOOKUP($B94,casostestes[#Data],4)=0,"-",VLOOKUP($B94,casostestes[#Data],4)),"-")</f>
        <v>-</v>
      </c>
      <c r="G94" s="35" t="str">
        <f>IFERROR(IF(VLOOKUP($B94,casostestes[#Data],5)=0,"-",VLOOKUP($B94,casostestes[#Data],5)),"-")</f>
        <v>-</v>
      </c>
      <c r="H94" s="87" t="str">
        <f>IFERROR(IF(VLOOKUP($B94,casostestes[#Data],6)=0,"-",VLOOKUP($B94,casostestes[#Data],6)),"-")</f>
        <v>-</v>
      </c>
      <c r="I94" s="35" t="str">
        <f>IFERROR(IF(VLOOKUP($B94,casostestes[#Data],8)=0,"-",VLOOKUP($B94,casostestes[#Data],8)),"-")</f>
        <v>-</v>
      </c>
      <c r="J94" s="35" t="str">
        <f>IFERROR(IF(VLOOKUP($B94,casostestes[#Data],9)=0,"-",VLOOKUP($B94,casostestes[#Data],9)),"-")</f>
        <v>-</v>
      </c>
      <c r="K94" s="36"/>
      <c r="L94" s="45"/>
      <c r="M94" s="37"/>
      <c r="N94" s="38"/>
      <c r="O94" s="38"/>
      <c r="P94" s="39"/>
    </row>
    <row r="95" spans="2:16">
      <c r="B95" s="40" t="str">
        <f>IF(ISERR(casostestes[[#This Row],[ID]]),"-",casostestes[[#This Row],[ID]])</f>
        <v>-</v>
      </c>
      <c r="C95" s="34" t="str">
        <f>IFERROR(IF(VLOOKUP($B95,casostestes[#Data],10)=0,"Não",VLOOKUP($B95,casostestes[#Data],10)), "-")</f>
        <v>-</v>
      </c>
      <c r="D95" s="35" t="str">
        <f>IFERROR(IF(VLOOKUP($B95,casostestes[#Data],2)=0,"-",VLOOKUP($B95,casostestes[#Data],2)), "-")</f>
        <v>-</v>
      </c>
      <c r="E95" s="35" t="str">
        <f>IFERROR(IF(VLOOKUP($B95,casostestes[#Data],3)=0,"-",VLOOKUP($B95,casostestes[#Data],3)), "-")</f>
        <v>-</v>
      </c>
      <c r="F95" s="35" t="str">
        <f>IFERROR(IF(VLOOKUP($B95,casostestes[#Data],4)=0,"-",VLOOKUP($B95,casostestes[#Data],4)),"-")</f>
        <v>-</v>
      </c>
      <c r="G95" s="35" t="str">
        <f>IFERROR(IF(VLOOKUP($B95,casostestes[#Data],5)=0,"-",VLOOKUP($B95,casostestes[#Data],5)),"-")</f>
        <v>-</v>
      </c>
      <c r="H95" s="87" t="str">
        <f>IFERROR(IF(VLOOKUP($B95,casostestes[#Data],6)=0,"-",VLOOKUP($B95,casostestes[#Data],6)),"-")</f>
        <v>-</v>
      </c>
      <c r="I95" s="35" t="str">
        <f>IFERROR(IF(VLOOKUP($B95,casostestes[#Data],8)=0,"-",VLOOKUP($B95,casostestes[#Data],8)),"-")</f>
        <v>-</v>
      </c>
      <c r="J95" s="35" t="str">
        <f>IFERROR(IF(VLOOKUP($B95,casostestes[#Data],9)=0,"-",VLOOKUP($B95,casostestes[#Data],9)),"-")</f>
        <v>-</v>
      </c>
      <c r="K95" s="36"/>
      <c r="L95" s="45"/>
      <c r="M95" s="37"/>
      <c r="N95" s="38"/>
      <c r="O95" s="38"/>
      <c r="P95" s="39"/>
    </row>
    <row r="96" spans="2:16">
      <c r="B96" s="40" t="str">
        <f>IF(ISERR(casostestes[[#This Row],[ID]]),"-",casostestes[[#This Row],[ID]])</f>
        <v>-</v>
      </c>
      <c r="C96" s="34" t="str">
        <f>IFERROR(IF(VLOOKUP($B96,casostestes[#Data],10)=0,"Não",VLOOKUP($B96,casostestes[#Data],10)), "-")</f>
        <v>-</v>
      </c>
      <c r="D96" s="35" t="str">
        <f>IFERROR(IF(VLOOKUP($B96,casostestes[#Data],2)=0,"-",VLOOKUP($B96,casostestes[#Data],2)), "-")</f>
        <v>-</v>
      </c>
      <c r="E96" s="35" t="str">
        <f>IFERROR(IF(VLOOKUP($B96,casostestes[#Data],3)=0,"-",VLOOKUP($B96,casostestes[#Data],3)), "-")</f>
        <v>-</v>
      </c>
      <c r="F96" s="35" t="str">
        <f>IFERROR(IF(VLOOKUP($B96,casostestes[#Data],4)=0,"-",VLOOKUP($B96,casostestes[#Data],4)),"-")</f>
        <v>-</v>
      </c>
      <c r="G96" s="35" t="str">
        <f>IFERROR(IF(VLOOKUP($B96,casostestes[#Data],5)=0,"-",VLOOKUP($B96,casostestes[#Data],5)),"-")</f>
        <v>-</v>
      </c>
      <c r="H96" s="87" t="str">
        <f>IFERROR(IF(VLOOKUP($B96,casostestes[#Data],6)=0,"-",VLOOKUP($B96,casostestes[#Data],6)),"-")</f>
        <v>-</v>
      </c>
      <c r="I96" s="35" t="str">
        <f>IFERROR(IF(VLOOKUP($B96,casostestes[#Data],8)=0,"-",VLOOKUP($B96,casostestes[#Data],8)),"-")</f>
        <v>-</v>
      </c>
      <c r="J96" s="35" t="str">
        <f>IFERROR(IF(VLOOKUP($B96,casostestes[#Data],9)=0,"-",VLOOKUP($B96,casostestes[#Data],9)),"-")</f>
        <v>-</v>
      </c>
      <c r="K96" s="36"/>
      <c r="L96" s="45"/>
      <c r="M96" s="37"/>
      <c r="N96" s="38"/>
      <c r="O96" s="38"/>
      <c r="P96" s="39"/>
    </row>
    <row r="97" spans="2:16">
      <c r="B97" s="40" t="str">
        <f>IF(ISERR(casostestes[[#This Row],[ID]]),"-",casostestes[[#This Row],[ID]])</f>
        <v>-</v>
      </c>
      <c r="C97" s="34" t="str">
        <f>IFERROR(IF(VLOOKUP($B97,casostestes[#Data],10)=0,"Não",VLOOKUP($B97,casostestes[#Data],10)), "-")</f>
        <v>-</v>
      </c>
      <c r="D97" s="35" t="str">
        <f>IFERROR(IF(VLOOKUP($B97,casostestes[#Data],2)=0,"-",VLOOKUP($B97,casostestes[#Data],2)), "-")</f>
        <v>-</v>
      </c>
      <c r="E97" s="35" t="str">
        <f>IFERROR(IF(VLOOKUP($B97,casostestes[#Data],3)=0,"-",VLOOKUP($B97,casostestes[#Data],3)), "-")</f>
        <v>-</v>
      </c>
      <c r="F97" s="35" t="str">
        <f>IFERROR(IF(VLOOKUP($B97,casostestes[#Data],4)=0,"-",VLOOKUP($B97,casostestes[#Data],4)),"-")</f>
        <v>-</v>
      </c>
      <c r="G97" s="35" t="str">
        <f>IFERROR(IF(VLOOKUP($B97,casostestes[#Data],5)=0,"-",VLOOKUP($B97,casostestes[#Data],5)),"-")</f>
        <v>-</v>
      </c>
      <c r="H97" s="87" t="str">
        <f>IFERROR(IF(VLOOKUP($B97,casostestes[#Data],6)=0,"-",VLOOKUP($B97,casostestes[#Data],6)),"-")</f>
        <v>-</v>
      </c>
      <c r="I97" s="35" t="str">
        <f>IFERROR(IF(VLOOKUP($B97,casostestes[#Data],8)=0,"-",VLOOKUP($B97,casostestes[#Data],8)),"-")</f>
        <v>-</v>
      </c>
      <c r="J97" s="35" t="str">
        <f>IFERROR(IF(VLOOKUP($B97,casostestes[#Data],9)=0,"-",VLOOKUP($B97,casostestes[#Data],9)),"-")</f>
        <v>-</v>
      </c>
      <c r="K97" s="36"/>
      <c r="L97" s="45"/>
      <c r="M97" s="37"/>
      <c r="N97" s="38"/>
      <c r="O97" s="38"/>
      <c r="P97" s="39"/>
    </row>
    <row r="98" spans="2:16">
      <c r="B98" s="40" t="str">
        <f>IF(ISERR(casostestes[[#This Row],[ID]]),"-",casostestes[[#This Row],[ID]])</f>
        <v>-</v>
      </c>
      <c r="C98" s="34" t="str">
        <f>IFERROR(IF(VLOOKUP($B98,casostestes[#Data],10)=0,"Não",VLOOKUP($B98,casostestes[#Data],10)), "-")</f>
        <v>-</v>
      </c>
      <c r="D98" s="35" t="str">
        <f>IFERROR(IF(VLOOKUP($B98,casostestes[#Data],2)=0,"-",VLOOKUP($B98,casostestes[#Data],2)), "-")</f>
        <v>-</v>
      </c>
      <c r="E98" s="35" t="str">
        <f>IFERROR(IF(VLOOKUP($B98,casostestes[#Data],3)=0,"-",VLOOKUP($B98,casostestes[#Data],3)), "-")</f>
        <v>-</v>
      </c>
      <c r="F98" s="35" t="str">
        <f>IFERROR(IF(VLOOKUP($B98,casostestes[#Data],4)=0,"-",VLOOKUP($B98,casostestes[#Data],4)),"-")</f>
        <v>-</v>
      </c>
      <c r="G98" s="35" t="str">
        <f>IFERROR(IF(VLOOKUP($B98,casostestes[#Data],5)=0,"-",VLOOKUP($B98,casostestes[#Data],5)),"-")</f>
        <v>-</v>
      </c>
      <c r="H98" s="87" t="str">
        <f>IFERROR(IF(VLOOKUP($B98,casostestes[#Data],6)=0,"-",VLOOKUP($B98,casostestes[#Data],6)),"-")</f>
        <v>-</v>
      </c>
      <c r="I98" s="35" t="str">
        <f>IFERROR(IF(VLOOKUP($B98,casostestes[#Data],8)=0,"-",VLOOKUP($B98,casostestes[#Data],8)),"-")</f>
        <v>-</v>
      </c>
      <c r="J98" s="35" t="str">
        <f>IFERROR(IF(VLOOKUP($B98,casostestes[#Data],9)=0,"-",VLOOKUP($B98,casostestes[#Data],9)),"-")</f>
        <v>-</v>
      </c>
      <c r="K98" s="36"/>
      <c r="L98" s="45"/>
      <c r="M98" s="37"/>
      <c r="N98" s="38"/>
      <c r="O98" s="38"/>
      <c r="P98" s="39"/>
    </row>
    <row r="99" spans="2:16">
      <c r="B99" s="40" t="str">
        <f>IF(ISERR(casostestes[[#This Row],[ID]]),"-",casostestes[[#This Row],[ID]])</f>
        <v>-</v>
      </c>
      <c r="C99" s="34" t="str">
        <f>IFERROR(IF(VLOOKUP($B99,casostestes[#Data],10)=0,"Não",VLOOKUP($B99,casostestes[#Data],10)), "-")</f>
        <v>-</v>
      </c>
      <c r="D99" s="35" t="str">
        <f>IFERROR(IF(VLOOKUP($B99,casostestes[#Data],2)=0,"-",VLOOKUP($B99,casostestes[#Data],2)), "-")</f>
        <v>-</v>
      </c>
      <c r="E99" s="35" t="str">
        <f>IFERROR(IF(VLOOKUP($B99,casostestes[#Data],3)=0,"-",VLOOKUP($B99,casostestes[#Data],3)), "-")</f>
        <v>-</v>
      </c>
      <c r="F99" s="35" t="str">
        <f>IFERROR(IF(VLOOKUP($B99,casostestes[#Data],4)=0,"-",VLOOKUP($B99,casostestes[#Data],4)),"-")</f>
        <v>-</v>
      </c>
      <c r="G99" s="35" t="str">
        <f>IFERROR(IF(VLOOKUP($B99,casostestes[#Data],5)=0,"-",VLOOKUP($B99,casostestes[#Data],5)),"-")</f>
        <v>-</v>
      </c>
      <c r="H99" s="87" t="str">
        <f>IFERROR(IF(VLOOKUP($B99,casostestes[#Data],6)=0,"-",VLOOKUP($B99,casostestes[#Data],6)),"-")</f>
        <v>-</v>
      </c>
      <c r="I99" s="35" t="str">
        <f>IFERROR(IF(VLOOKUP($B99,casostestes[#Data],8)=0,"-",VLOOKUP($B99,casostestes[#Data],8)),"-")</f>
        <v>-</v>
      </c>
      <c r="J99" s="35" t="str">
        <f>IFERROR(IF(VLOOKUP($B99,casostestes[#Data],9)=0,"-",VLOOKUP($B99,casostestes[#Data],9)),"-")</f>
        <v>-</v>
      </c>
      <c r="K99" s="36"/>
      <c r="L99" s="45"/>
      <c r="M99" s="37"/>
      <c r="N99" s="38"/>
      <c r="O99" s="38"/>
      <c r="P99" s="39"/>
    </row>
    <row r="100" spans="2:16">
      <c r="B100" s="40" t="str">
        <f>IF(ISERR(casostestes[[#This Row],[ID]]),"-",casostestes[[#This Row],[ID]])</f>
        <v>-</v>
      </c>
      <c r="C100" s="41" t="str">
        <f>IFERROR(IF(VLOOKUP($B100,casostestes[#Data],10)=0,"Não",VLOOKUP($B100,casostestes[#Data],10)), "-")</f>
        <v>-</v>
      </c>
      <c r="D100" s="42" t="str">
        <f>IFERROR(IF(VLOOKUP($B100,casostestes[#Data],2)=0,"-",VLOOKUP($B100,casostestes[#Data],2)), "-")</f>
        <v>-</v>
      </c>
      <c r="E100" s="42" t="str">
        <f>IFERROR(IF(VLOOKUP($B100,casostestes[#Data],3)=0,"-",VLOOKUP($B100,casostestes[#Data],3)), "-")</f>
        <v>-</v>
      </c>
      <c r="F100" s="42" t="str">
        <f>IFERROR(IF(VLOOKUP($B100,casostestes[#Data],4)=0,"-",VLOOKUP($B100,casostestes[#Data],4)),"-")</f>
        <v>-</v>
      </c>
      <c r="G100" s="42" t="str">
        <f>IFERROR(IF(VLOOKUP($B100,casostestes[#Data],5)=0,"-",VLOOKUP($B100,casostestes[#Data],5)),"-")</f>
        <v>-</v>
      </c>
      <c r="H100" s="90" t="str">
        <f>IFERROR(IF(VLOOKUP($B100,casostestes[#Data],6)=0,"-",VLOOKUP($B100,casostestes[#Data],6)),"-")</f>
        <v>-</v>
      </c>
      <c r="I100" s="42" t="str">
        <f>IFERROR(IF(VLOOKUP($B100,casostestes[#Data],8)=0,"-",VLOOKUP($B100,casostestes[#Data],8)),"-")</f>
        <v>-</v>
      </c>
      <c r="J100" s="42" t="str">
        <f>IFERROR(IF(VLOOKUP($B100,casostestes[#Data],9)=0,"-",VLOOKUP($B100,casostestes[#Data],9)),"-")</f>
        <v>-</v>
      </c>
      <c r="K100" s="43"/>
      <c r="L100" s="45"/>
      <c r="M100" s="44"/>
      <c r="N100" s="45"/>
      <c r="O100" s="45"/>
      <c r="P100" s="46"/>
    </row>
    <row r="101" spans="2:16">
      <c r="B101" s="40" t="str">
        <f>IF(ISERR(casostestes[[#This Row],[ID]]),"-",casostestes[[#This Row],[ID]])</f>
        <v>-</v>
      </c>
      <c r="C101" s="34" t="str">
        <f>IFERROR(IF(VLOOKUP($B101,casostestes[#Data],10)=0,"Não",VLOOKUP($B101,casostestes[#Data],10)), "-")</f>
        <v>-</v>
      </c>
      <c r="D101" s="35" t="str">
        <f>IFERROR(IF(VLOOKUP($B101,casostestes[#Data],2)=0,"-",VLOOKUP($B101,casostestes[#Data],2)), "-")</f>
        <v>-</v>
      </c>
      <c r="E101" s="35" t="str">
        <f>IFERROR(IF(VLOOKUP($B101,casostestes[#Data],3)=0,"-",VLOOKUP($B101,casostestes[#Data],3)), "-")</f>
        <v>-</v>
      </c>
      <c r="F101" s="35" t="str">
        <f>IFERROR(IF(VLOOKUP($B101,casostestes[#Data],4)=0,"-",VLOOKUP($B101,casostestes[#Data],4)),"-")</f>
        <v>-</v>
      </c>
      <c r="G101" s="35" t="str">
        <f>IFERROR(IF(VLOOKUP($B101,casostestes[#Data],5)=0,"-",VLOOKUP($B101,casostestes[#Data],5)),"-")</f>
        <v>-</v>
      </c>
      <c r="H101" s="87" t="str">
        <f>IFERROR(IF(VLOOKUP($B101,casostestes[#Data],6)=0,"-",VLOOKUP($B101,casostestes[#Data],6)),"-")</f>
        <v>-</v>
      </c>
      <c r="I101" s="35" t="str">
        <f>IFERROR(IF(VLOOKUP($B101,casostestes[#Data],8)=0,"-",VLOOKUP($B101,casostestes[#Data],8)),"-")</f>
        <v>-</v>
      </c>
      <c r="J101" s="35" t="str">
        <f>IFERROR(IF(VLOOKUP($B101,casostestes[#Data],9)=0,"-",VLOOKUP($B101,casostestes[#Data],9)),"-")</f>
        <v>-</v>
      </c>
      <c r="K101" s="36"/>
      <c r="L101" s="45"/>
      <c r="M101" s="37"/>
      <c r="N101" s="38"/>
      <c r="O101" s="38"/>
      <c r="P101" s="39"/>
    </row>
    <row r="102" spans="2:16">
      <c r="B102" s="40" t="str">
        <f>IF(ISERR(casostestes[[#This Row],[ID]]),"-",casostestes[[#This Row],[ID]])</f>
        <v>-</v>
      </c>
      <c r="C102" s="34" t="str">
        <f>IFERROR(IF(VLOOKUP($B102,casostestes[#Data],10)=0,"Não",VLOOKUP($B102,casostestes[#Data],10)), "-")</f>
        <v>-</v>
      </c>
      <c r="D102" s="35" t="str">
        <f>IFERROR(IF(VLOOKUP($B102,casostestes[#Data],2)=0,"-",VLOOKUP($B102,casostestes[#Data],2)), "-")</f>
        <v>-</v>
      </c>
      <c r="E102" s="35" t="str">
        <f>IFERROR(IF(VLOOKUP($B102,casostestes[#Data],3)=0,"-",VLOOKUP($B102,casostestes[#Data],3)), "-")</f>
        <v>-</v>
      </c>
      <c r="F102" s="35" t="str">
        <f>IFERROR(IF(VLOOKUP($B102,casostestes[#Data],4)=0,"-",VLOOKUP($B102,casostestes[#Data],4)),"-")</f>
        <v>-</v>
      </c>
      <c r="G102" s="35" t="str">
        <f>IFERROR(IF(VLOOKUP($B102,casostestes[#Data],5)=0,"-",VLOOKUP($B102,casostestes[#Data],5)),"-")</f>
        <v>-</v>
      </c>
      <c r="H102" s="87" t="str">
        <f>IFERROR(IF(VLOOKUP($B102,casostestes[#Data],6)=0,"-",VLOOKUP($B102,casostestes[#Data],6)),"-")</f>
        <v>-</v>
      </c>
      <c r="I102" s="35" t="str">
        <f>IFERROR(IF(VLOOKUP($B102,casostestes[#Data],8)=0,"-",VLOOKUP($B102,casostestes[#Data],8)),"-")</f>
        <v>-</v>
      </c>
      <c r="J102" s="35" t="str">
        <f>IFERROR(IF(VLOOKUP($B102,casostestes[#Data],9)=0,"-",VLOOKUP($B102,casostestes[#Data],9)),"-")</f>
        <v>-</v>
      </c>
      <c r="K102" s="36"/>
      <c r="L102" s="45"/>
      <c r="M102" s="37"/>
      <c r="N102" s="38"/>
      <c r="O102" s="38"/>
      <c r="P102" s="39"/>
    </row>
    <row r="103" spans="2:16">
      <c r="B103" s="40" t="str">
        <f>IF(ISERR(casostestes[[#This Row],[ID]]),"-",casostestes[[#This Row],[ID]])</f>
        <v>-</v>
      </c>
      <c r="C103" s="34" t="str">
        <f>IFERROR(IF(VLOOKUP($B103,casostestes[#Data],10)=0,"Não",VLOOKUP($B103,casostestes[#Data],10)), "-")</f>
        <v>-</v>
      </c>
      <c r="D103" s="35" t="str">
        <f>IFERROR(IF(VLOOKUP($B103,casostestes[#Data],2)=0,"-",VLOOKUP($B103,casostestes[#Data],2)), "-")</f>
        <v>-</v>
      </c>
      <c r="E103" s="35" t="str">
        <f>IFERROR(IF(VLOOKUP($B103,casostestes[#Data],3)=0,"-",VLOOKUP($B103,casostestes[#Data],3)), "-")</f>
        <v>-</v>
      </c>
      <c r="F103" s="35" t="str">
        <f>IFERROR(IF(VLOOKUP($B103,casostestes[#Data],4)=0,"-",VLOOKUP($B103,casostestes[#Data],4)),"-")</f>
        <v>-</v>
      </c>
      <c r="G103" s="35" t="str">
        <f>IFERROR(IF(VLOOKUP($B103,casostestes[#Data],5)=0,"-",VLOOKUP($B103,casostestes[#Data],5)),"-")</f>
        <v>-</v>
      </c>
      <c r="H103" s="87" t="str">
        <f>IFERROR(IF(VLOOKUP($B103,casostestes[#Data],6)=0,"-",VLOOKUP($B103,casostestes[#Data],6)),"-")</f>
        <v>-</v>
      </c>
      <c r="I103" s="35" t="str">
        <f>IFERROR(IF(VLOOKUP($B103,casostestes[#Data],8)=0,"-",VLOOKUP($B103,casostestes[#Data],8)),"-")</f>
        <v>-</v>
      </c>
      <c r="J103" s="35" t="str">
        <f>IFERROR(IF(VLOOKUP($B103,casostestes[#Data],9)=0,"-",VLOOKUP($B103,casostestes[#Data],9)),"-")</f>
        <v>-</v>
      </c>
      <c r="K103" s="36"/>
      <c r="L103" s="45"/>
      <c r="M103" s="37"/>
      <c r="N103" s="38"/>
      <c r="O103" s="38"/>
      <c r="P103" s="39"/>
    </row>
    <row r="104" spans="2:16">
      <c r="B104" s="40" t="str">
        <f>IF(ISERR(casostestes[[#This Row],[ID]]),"-",casostestes[[#This Row],[ID]])</f>
        <v>-</v>
      </c>
      <c r="C104" s="34" t="str">
        <f>IFERROR(IF(VLOOKUP($B104,casostestes[#Data],10)=0,"Não",VLOOKUP($B104,casostestes[#Data],10)), "-")</f>
        <v>-</v>
      </c>
      <c r="D104" s="35" t="str">
        <f>IFERROR(IF(VLOOKUP($B104,casostestes[#Data],2)=0,"-",VLOOKUP($B104,casostestes[#Data],2)), "-")</f>
        <v>-</v>
      </c>
      <c r="E104" s="35" t="str">
        <f>IFERROR(IF(VLOOKUP($B104,casostestes[#Data],3)=0,"-",VLOOKUP($B104,casostestes[#Data],3)), "-")</f>
        <v>-</v>
      </c>
      <c r="F104" s="35" t="str">
        <f>IFERROR(IF(VLOOKUP($B104,casostestes[#Data],4)=0,"-",VLOOKUP($B104,casostestes[#Data],4)),"-")</f>
        <v>-</v>
      </c>
      <c r="G104" s="35" t="str">
        <f>IFERROR(IF(VLOOKUP($B104,casostestes[#Data],5)=0,"-",VLOOKUP($B104,casostestes[#Data],5)),"-")</f>
        <v>-</v>
      </c>
      <c r="H104" s="87" t="str">
        <f>IFERROR(IF(VLOOKUP($B104,casostestes[#Data],6)=0,"-",VLOOKUP($B104,casostestes[#Data],6)),"-")</f>
        <v>-</v>
      </c>
      <c r="I104" s="35" t="str">
        <f>IFERROR(IF(VLOOKUP($B104,casostestes[#Data],8)=0,"-",VLOOKUP($B104,casostestes[#Data],8)),"-")</f>
        <v>-</v>
      </c>
      <c r="J104" s="35" t="str">
        <f>IFERROR(IF(VLOOKUP($B104,casostestes[#Data],9)=0,"-",VLOOKUP($B104,casostestes[#Data],9)),"-")</f>
        <v>-</v>
      </c>
      <c r="K104" s="36"/>
      <c r="L104" s="45"/>
      <c r="M104" s="37"/>
      <c r="N104" s="38"/>
      <c r="O104" s="38"/>
      <c r="P104" s="39"/>
    </row>
    <row r="105" spans="2:16">
      <c r="B105" s="40" t="str">
        <f>IF(ISERR(casostestes[[#This Row],[ID]]),"-",casostestes[[#This Row],[ID]])</f>
        <v>-</v>
      </c>
      <c r="C105" s="34" t="str">
        <f>IFERROR(IF(VLOOKUP($B105,casostestes[#Data],10)=0,"Não",VLOOKUP($B105,casostestes[#Data],10)), "-")</f>
        <v>-</v>
      </c>
      <c r="D105" s="35" t="str">
        <f>IFERROR(IF(VLOOKUP($B105,casostestes[#Data],2)=0,"-",VLOOKUP($B105,casostestes[#Data],2)), "-")</f>
        <v>-</v>
      </c>
      <c r="E105" s="35" t="str">
        <f>IFERROR(IF(VLOOKUP($B105,casostestes[#Data],3)=0,"-",VLOOKUP($B105,casostestes[#Data],3)), "-")</f>
        <v>-</v>
      </c>
      <c r="F105" s="35" t="str">
        <f>IFERROR(IF(VLOOKUP($B105,casostestes[#Data],4)=0,"-",VLOOKUP($B105,casostestes[#Data],4)),"-")</f>
        <v>-</v>
      </c>
      <c r="G105" s="35" t="str">
        <f>IFERROR(IF(VLOOKUP($B105,casostestes[#Data],5)=0,"-",VLOOKUP($B105,casostestes[#Data],5)),"-")</f>
        <v>-</v>
      </c>
      <c r="H105" s="87" t="str">
        <f>IFERROR(IF(VLOOKUP($B105,casostestes[#Data],6)=0,"-",VLOOKUP($B105,casostestes[#Data],6)),"-")</f>
        <v>-</v>
      </c>
      <c r="I105" s="35" t="str">
        <f>IFERROR(IF(VLOOKUP($B105,casostestes[#Data],8)=0,"-",VLOOKUP($B105,casostestes[#Data],8)),"-")</f>
        <v>-</v>
      </c>
      <c r="J105" s="35" t="str">
        <f>IFERROR(IF(VLOOKUP($B105,casostestes[#Data],9)=0,"-",VLOOKUP($B105,casostestes[#Data],9)),"-")</f>
        <v>-</v>
      </c>
      <c r="K105" s="36"/>
      <c r="L105" s="45"/>
      <c r="M105" s="37"/>
      <c r="N105" s="38"/>
      <c r="O105" s="38"/>
      <c r="P105" s="39"/>
    </row>
    <row r="106" spans="2:16">
      <c r="B106" s="40" t="str">
        <f>IF(ISERR(casostestes[[#This Row],[ID]]),"-",casostestes[[#This Row],[ID]])</f>
        <v>-</v>
      </c>
      <c r="C106" s="34" t="str">
        <f>IFERROR(IF(VLOOKUP($B106,casostestes[#Data],10)=0,"Não",VLOOKUP($B106,casostestes[#Data],10)), "-")</f>
        <v>-</v>
      </c>
      <c r="D106" s="35" t="str">
        <f>IFERROR(IF(VLOOKUP($B106,casostestes[#Data],2)=0,"-",VLOOKUP($B106,casostestes[#Data],2)), "-")</f>
        <v>-</v>
      </c>
      <c r="E106" s="35" t="str">
        <f>IFERROR(IF(VLOOKUP($B106,casostestes[#Data],3)=0,"-",VLOOKUP($B106,casostestes[#Data],3)), "-")</f>
        <v>-</v>
      </c>
      <c r="F106" s="35" t="str">
        <f>IFERROR(IF(VLOOKUP($B106,casostestes[#Data],4)=0,"-",VLOOKUP($B106,casostestes[#Data],4)),"-")</f>
        <v>-</v>
      </c>
      <c r="G106" s="35" t="str">
        <f>IFERROR(IF(VLOOKUP($B106,casostestes[#Data],5)=0,"-",VLOOKUP($B106,casostestes[#Data],5)),"-")</f>
        <v>-</v>
      </c>
      <c r="H106" s="87" t="str">
        <f>IFERROR(IF(VLOOKUP($B106,casostestes[#Data],6)=0,"-",VLOOKUP($B106,casostestes[#Data],6)),"-")</f>
        <v>-</v>
      </c>
      <c r="I106" s="35" t="str">
        <f>IFERROR(IF(VLOOKUP($B106,casostestes[#Data],8)=0,"-",VLOOKUP($B106,casostestes[#Data],8)),"-")</f>
        <v>-</v>
      </c>
      <c r="J106" s="35" t="str">
        <f>IFERROR(IF(VLOOKUP($B106,casostestes[#Data],9)=0,"-",VLOOKUP($B106,casostestes[#Data],9)),"-")</f>
        <v>-</v>
      </c>
      <c r="K106" s="36"/>
      <c r="L106" s="45"/>
      <c r="M106" s="37"/>
      <c r="N106" s="38"/>
      <c r="O106" s="38"/>
      <c r="P106" s="39"/>
    </row>
    <row r="107" spans="2:16">
      <c r="B107" s="40" t="str">
        <f>IF(ISERR(casostestes[[#This Row],[ID]]),"-",casostestes[[#This Row],[ID]])</f>
        <v>-</v>
      </c>
      <c r="C107" s="34" t="str">
        <f>IFERROR(IF(VLOOKUP($B107,casostestes[#Data],10)=0,"Não",VLOOKUP($B107,casostestes[#Data],10)), "-")</f>
        <v>-</v>
      </c>
      <c r="D107" s="35" t="str">
        <f>IFERROR(IF(VLOOKUP($B107,casostestes[#Data],2)=0,"-",VLOOKUP($B107,casostestes[#Data],2)), "-")</f>
        <v>-</v>
      </c>
      <c r="E107" s="35" t="str">
        <f>IFERROR(IF(VLOOKUP($B107,casostestes[#Data],3)=0,"-",VLOOKUP($B107,casostestes[#Data],3)), "-")</f>
        <v>-</v>
      </c>
      <c r="F107" s="35" t="str">
        <f>IFERROR(IF(VLOOKUP($B107,casostestes[#Data],4)=0,"-",VLOOKUP($B107,casostestes[#Data],4)),"-")</f>
        <v>-</v>
      </c>
      <c r="G107" s="35" t="str">
        <f>IFERROR(IF(VLOOKUP($B107,casostestes[#Data],5)=0,"-",VLOOKUP($B107,casostestes[#Data],5)),"-")</f>
        <v>-</v>
      </c>
      <c r="H107" s="87" t="str">
        <f>IFERROR(IF(VLOOKUP($B107,casostestes[#Data],6)=0,"-",VLOOKUP($B107,casostestes[#Data],6)),"-")</f>
        <v>-</v>
      </c>
      <c r="I107" s="35" t="str">
        <f>IFERROR(IF(VLOOKUP($B107,casostestes[#Data],8)=0,"-",VLOOKUP($B107,casostestes[#Data],8)),"-")</f>
        <v>-</v>
      </c>
      <c r="J107" s="35" t="str">
        <f>IFERROR(IF(VLOOKUP($B107,casostestes[#Data],9)=0,"-",VLOOKUP($B107,casostestes[#Data],9)),"-")</f>
        <v>-</v>
      </c>
      <c r="K107" s="36"/>
      <c r="L107" s="45"/>
      <c r="M107" s="37"/>
      <c r="N107" s="38"/>
      <c r="O107" s="38"/>
      <c r="P107" s="39"/>
    </row>
    <row r="108" spans="2:16">
      <c r="B108" s="40" t="str">
        <f>IF(ISERR(casostestes[[#This Row],[ID]]),"-",casostestes[[#This Row],[ID]])</f>
        <v>-</v>
      </c>
      <c r="C108" s="34" t="str">
        <f>IFERROR(IF(VLOOKUP($B108,casostestes[#Data],10)=0,"Não",VLOOKUP($B108,casostestes[#Data],10)), "-")</f>
        <v>-</v>
      </c>
      <c r="D108" s="35" t="str">
        <f>IFERROR(IF(VLOOKUP($B108,casostestes[#Data],2)=0,"-",VLOOKUP($B108,casostestes[#Data],2)), "-")</f>
        <v>-</v>
      </c>
      <c r="E108" s="35" t="str">
        <f>IFERROR(IF(VLOOKUP($B108,casostestes[#Data],3)=0,"-",VLOOKUP($B108,casostestes[#Data],3)), "-")</f>
        <v>-</v>
      </c>
      <c r="F108" s="35" t="str">
        <f>IFERROR(IF(VLOOKUP($B108,casostestes[#Data],4)=0,"-",VLOOKUP($B108,casostestes[#Data],4)),"-")</f>
        <v>-</v>
      </c>
      <c r="G108" s="35" t="str">
        <f>IFERROR(IF(VLOOKUP($B108,casostestes[#Data],5)=0,"-",VLOOKUP($B108,casostestes[#Data],5)),"-")</f>
        <v>-</v>
      </c>
      <c r="H108" s="87" t="str">
        <f>IFERROR(IF(VLOOKUP($B108,casostestes[#Data],6)=0,"-",VLOOKUP($B108,casostestes[#Data],6)),"-")</f>
        <v>-</v>
      </c>
      <c r="I108" s="35" t="str">
        <f>IFERROR(IF(VLOOKUP($B108,casostestes[#Data],8)=0,"-",VLOOKUP($B108,casostestes[#Data],8)),"-")</f>
        <v>-</v>
      </c>
      <c r="J108" s="35" t="str">
        <f>IFERROR(IF(VLOOKUP($B108,casostestes[#Data],9)=0,"-",VLOOKUP($B108,casostestes[#Data],9)),"-")</f>
        <v>-</v>
      </c>
      <c r="K108" s="36"/>
      <c r="L108" s="45"/>
      <c r="M108" s="37"/>
      <c r="N108" s="38"/>
      <c r="O108" s="38"/>
      <c r="P108" s="39"/>
    </row>
    <row r="109" spans="2:16">
      <c r="B109" s="40" t="str">
        <f>IF(ISERR(casostestes[[#This Row],[ID]]),"-",casostestes[[#This Row],[ID]])</f>
        <v>-</v>
      </c>
      <c r="C109" s="34" t="str">
        <f>IFERROR(IF(VLOOKUP($B109,casostestes[#Data],10)=0,"Não",VLOOKUP($B109,casostestes[#Data],10)), "-")</f>
        <v>-</v>
      </c>
      <c r="D109" s="35" t="str">
        <f>IFERROR(IF(VLOOKUP($B109,casostestes[#Data],2)=0,"-",VLOOKUP($B109,casostestes[#Data],2)), "-")</f>
        <v>-</v>
      </c>
      <c r="E109" s="35" t="str">
        <f>IFERROR(IF(VLOOKUP($B109,casostestes[#Data],3)=0,"-",VLOOKUP($B109,casostestes[#Data],3)), "-")</f>
        <v>-</v>
      </c>
      <c r="F109" s="35" t="str">
        <f>IFERROR(IF(VLOOKUP($B109,casostestes[#Data],4)=0,"-",VLOOKUP($B109,casostestes[#Data],4)),"-")</f>
        <v>-</v>
      </c>
      <c r="G109" s="35" t="str">
        <f>IFERROR(IF(VLOOKUP($B109,casostestes[#Data],5)=0,"-",VLOOKUP($B109,casostestes[#Data],5)),"-")</f>
        <v>-</v>
      </c>
      <c r="H109" s="87" t="str">
        <f>IFERROR(IF(VLOOKUP($B109,casostestes[#Data],6)=0,"-",VLOOKUP($B109,casostestes[#Data],6)),"-")</f>
        <v>-</v>
      </c>
      <c r="I109" s="35" t="str">
        <f>IFERROR(IF(VLOOKUP($B109,casostestes[#Data],8)=0,"-",VLOOKUP($B109,casostestes[#Data],8)),"-")</f>
        <v>-</v>
      </c>
      <c r="J109" s="35" t="str">
        <f>IFERROR(IF(VLOOKUP($B109,casostestes[#Data],9)=0,"-",VLOOKUP($B109,casostestes[#Data],9)),"-")</f>
        <v>-</v>
      </c>
      <c r="K109" s="36"/>
      <c r="L109" s="45"/>
      <c r="M109" s="37"/>
      <c r="N109" s="38"/>
      <c r="O109" s="38"/>
      <c r="P109" s="39"/>
    </row>
    <row r="110" spans="2:16">
      <c r="B110" s="40" t="str">
        <f>IF(ISERR(casostestes[[#This Row],[ID]]),"-",casostestes[[#This Row],[ID]])</f>
        <v>-</v>
      </c>
      <c r="C110" s="34" t="str">
        <f>IFERROR(IF(VLOOKUP($B110,casostestes[#Data],10)=0,"Não",VLOOKUP($B110,casostestes[#Data],10)), "-")</f>
        <v>-</v>
      </c>
      <c r="D110" s="35" t="str">
        <f>IFERROR(IF(VLOOKUP($B110,casostestes[#Data],2)=0,"-",VLOOKUP($B110,casostestes[#Data],2)), "-")</f>
        <v>-</v>
      </c>
      <c r="E110" s="35" t="str">
        <f>IFERROR(IF(VLOOKUP($B110,casostestes[#Data],3)=0,"-",VLOOKUP($B110,casostestes[#Data],3)), "-")</f>
        <v>-</v>
      </c>
      <c r="F110" s="35" t="str">
        <f>IFERROR(IF(VLOOKUP($B110,casostestes[#Data],4)=0,"-",VLOOKUP($B110,casostestes[#Data],4)),"-")</f>
        <v>-</v>
      </c>
      <c r="G110" s="35" t="str">
        <f>IFERROR(IF(VLOOKUP($B110,casostestes[#Data],5)=0,"-",VLOOKUP($B110,casostestes[#Data],5)),"-")</f>
        <v>-</v>
      </c>
      <c r="H110" s="87" t="str">
        <f>IFERROR(IF(VLOOKUP($B110,casostestes[#Data],6)=0,"-",VLOOKUP($B110,casostestes[#Data],6)),"-")</f>
        <v>-</v>
      </c>
      <c r="I110" s="35" t="str">
        <f>IFERROR(IF(VLOOKUP($B110,casostestes[#Data],8)=0,"-",VLOOKUP($B110,casostestes[#Data],8)),"-")</f>
        <v>-</v>
      </c>
      <c r="J110" s="35" t="str">
        <f>IFERROR(IF(VLOOKUP($B110,casostestes[#Data],9)=0,"-",VLOOKUP($B110,casostestes[#Data],9)),"-")</f>
        <v>-</v>
      </c>
      <c r="K110" s="36"/>
      <c r="L110" s="45"/>
      <c r="M110" s="37"/>
      <c r="N110" s="38"/>
      <c r="O110" s="38"/>
      <c r="P110" s="39"/>
    </row>
    <row r="111" spans="2:16">
      <c r="B111" s="40" t="str">
        <f>IF(ISERR(casostestes[[#This Row],[ID]]),"-",casostestes[[#This Row],[ID]])</f>
        <v>-</v>
      </c>
      <c r="C111" s="34" t="str">
        <f>IFERROR(IF(VLOOKUP($B111,casostestes[#Data],10)=0,"Não",VLOOKUP($B111,casostestes[#Data],10)), "-")</f>
        <v>-</v>
      </c>
      <c r="D111" s="35" t="str">
        <f>IFERROR(IF(VLOOKUP($B111,casostestes[#Data],2)=0,"-",VLOOKUP($B111,casostestes[#Data],2)), "-")</f>
        <v>-</v>
      </c>
      <c r="E111" s="35" t="str">
        <f>IFERROR(IF(VLOOKUP($B111,casostestes[#Data],3)=0,"-",VLOOKUP($B111,casostestes[#Data],3)), "-")</f>
        <v>-</v>
      </c>
      <c r="F111" s="35" t="str">
        <f>IFERROR(IF(VLOOKUP($B111,casostestes[#Data],4)=0,"-",VLOOKUP($B111,casostestes[#Data],4)),"-")</f>
        <v>-</v>
      </c>
      <c r="G111" s="35" t="str">
        <f>IFERROR(IF(VLOOKUP($B111,casostestes[#Data],5)=0,"-",VLOOKUP($B111,casostestes[#Data],5)),"-")</f>
        <v>-</v>
      </c>
      <c r="H111" s="87" t="str">
        <f>IFERROR(IF(VLOOKUP($B111,casostestes[#Data],6)=0,"-",VLOOKUP($B111,casostestes[#Data],6)),"-")</f>
        <v>-</v>
      </c>
      <c r="I111" s="35" t="str">
        <f>IFERROR(IF(VLOOKUP($B111,casostestes[#Data],8)=0,"-",VLOOKUP($B111,casostestes[#Data],8)),"-")</f>
        <v>-</v>
      </c>
      <c r="J111" s="35" t="str">
        <f>IFERROR(IF(VLOOKUP($B111,casostestes[#Data],9)=0,"-",VLOOKUP($B111,casostestes[#Data],9)),"-")</f>
        <v>-</v>
      </c>
      <c r="K111" s="36"/>
      <c r="L111" s="45"/>
      <c r="M111" s="37"/>
      <c r="N111" s="38"/>
      <c r="O111" s="38"/>
      <c r="P111" s="39"/>
    </row>
    <row r="112" spans="2:16">
      <c r="B112" s="40" t="str">
        <f>IF(ISERR(casostestes[[#This Row],[ID]]),"-",casostestes[[#This Row],[ID]])</f>
        <v>-</v>
      </c>
      <c r="C112" s="34" t="str">
        <f>IFERROR(IF(VLOOKUP($B112,casostestes[#Data],10)=0,"Não",VLOOKUP($B112,casostestes[#Data],10)), "-")</f>
        <v>-</v>
      </c>
      <c r="D112" s="35" t="str">
        <f>IFERROR(IF(VLOOKUP($B112,casostestes[#Data],2)=0,"-",VLOOKUP($B112,casostestes[#Data],2)), "-")</f>
        <v>-</v>
      </c>
      <c r="E112" s="35" t="str">
        <f>IFERROR(IF(VLOOKUP($B112,casostestes[#Data],3)=0,"-",VLOOKUP($B112,casostestes[#Data],3)), "-")</f>
        <v>-</v>
      </c>
      <c r="F112" s="35" t="str">
        <f>IFERROR(IF(VLOOKUP($B112,casostestes[#Data],4)=0,"-",VLOOKUP($B112,casostestes[#Data],4)),"-")</f>
        <v>-</v>
      </c>
      <c r="G112" s="35" t="str">
        <f>IFERROR(IF(VLOOKUP($B112,casostestes[#Data],5)=0,"-",VLOOKUP($B112,casostestes[#Data],5)),"-")</f>
        <v>-</v>
      </c>
      <c r="H112" s="87" t="str">
        <f>IFERROR(IF(VLOOKUP($B112,casostestes[#Data],6)=0,"-",VLOOKUP($B112,casostestes[#Data],6)),"-")</f>
        <v>-</v>
      </c>
      <c r="I112" s="35" t="str">
        <f>IFERROR(IF(VLOOKUP($B112,casostestes[#Data],8)=0,"-",VLOOKUP($B112,casostestes[#Data],8)),"-")</f>
        <v>-</v>
      </c>
      <c r="J112" s="35" t="str">
        <f>IFERROR(IF(VLOOKUP($B112,casostestes[#Data],9)=0,"-",VLOOKUP($B112,casostestes[#Data],9)),"-")</f>
        <v>-</v>
      </c>
      <c r="K112" s="36"/>
      <c r="L112" s="45"/>
      <c r="M112" s="37"/>
      <c r="N112" s="38"/>
      <c r="O112" s="38"/>
      <c r="P112" s="39"/>
    </row>
    <row r="113" spans="2:16">
      <c r="B113" s="40" t="str">
        <f>IF(ISERR(casostestes[[#This Row],[ID]]),"-",casostestes[[#This Row],[ID]])</f>
        <v>-</v>
      </c>
      <c r="C113" s="34" t="str">
        <f>IFERROR(IF(VLOOKUP($B113,casostestes[#Data],10)=0,"Não",VLOOKUP($B113,casostestes[#Data],10)), "-")</f>
        <v>-</v>
      </c>
      <c r="D113" s="35" t="str">
        <f>IFERROR(IF(VLOOKUP($B113,casostestes[#Data],2)=0,"-",VLOOKUP($B113,casostestes[#Data],2)), "-")</f>
        <v>-</v>
      </c>
      <c r="E113" s="35" t="str">
        <f>IFERROR(IF(VLOOKUP($B113,casostestes[#Data],3)=0,"-",VLOOKUP($B113,casostestes[#Data],3)), "-")</f>
        <v>-</v>
      </c>
      <c r="F113" s="35" t="str">
        <f>IFERROR(IF(VLOOKUP($B113,casostestes[#Data],4)=0,"-",VLOOKUP($B113,casostestes[#Data],4)),"-")</f>
        <v>-</v>
      </c>
      <c r="G113" s="35" t="str">
        <f>IFERROR(IF(VLOOKUP($B113,casostestes[#Data],5)=0,"-",VLOOKUP($B113,casostestes[#Data],5)),"-")</f>
        <v>-</v>
      </c>
      <c r="H113" s="87" t="str">
        <f>IFERROR(IF(VLOOKUP($B113,casostestes[#Data],6)=0,"-",VLOOKUP($B113,casostestes[#Data],6)),"-")</f>
        <v>-</v>
      </c>
      <c r="I113" s="35" t="str">
        <f>IFERROR(IF(VLOOKUP($B113,casostestes[#Data],8)=0,"-",VLOOKUP($B113,casostestes[#Data],8)),"-")</f>
        <v>-</v>
      </c>
      <c r="J113" s="35" t="str">
        <f>IFERROR(IF(VLOOKUP($B113,casostestes[#Data],9)=0,"-",VLOOKUP($B113,casostestes[#Data],9)),"-")</f>
        <v>-</v>
      </c>
      <c r="K113" s="36"/>
      <c r="L113" s="45"/>
      <c r="M113" s="37"/>
      <c r="N113" s="38"/>
      <c r="O113" s="38"/>
      <c r="P113" s="39"/>
    </row>
    <row r="114" spans="2:16">
      <c r="B114" s="40" t="str">
        <f>IF(ISERR(casostestes[[#This Row],[ID]]),"-",casostestes[[#This Row],[ID]])</f>
        <v>-</v>
      </c>
      <c r="C114" s="34" t="str">
        <f>IFERROR(IF(VLOOKUP($B114,casostestes[#Data],10)=0,"Não",VLOOKUP($B114,casostestes[#Data],10)), "-")</f>
        <v>-</v>
      </c>
      <c r="D114" s="35" t="str">
        <f>IFERROR(IF(VLOOKUP($B114,casostestes[#Data],2)=0,"-",VLOOKUP($B114,casostestes[#Data],2)), "-")</f>
        <v>-</v>
      </c>
      <c r="E114" s="35" t="str">
        <f>IFERROR(IF(VLOOKUP($B114,casostestes[#Data],3)=0,"-",VLOOKUP($B114,casostestes[#Data],3)), "-")</f>
        <v>-</v>
      </c>
      <c r="F114" s="35" t="str">
        <f>IFERROR(IF(VLOOKUP($B114,casostestes[#Data],4)=0,"-",VLOOKUP($B114,casostestes[#Data],4)),"-")</f>
        <v>-</v>
      </c>
      <c r="G114" s="35" t="str">
        <f>IFERROR(IF(VLOOKUP($B114,casostestes[#Data],5)=0,"-",VLOOKUP($B114,casostestes[#Data],5)),"-")</f>
        <v>-</v>
      </c>
      <c r="H114" s="87" t="str">
        <f>IFERROR(IF(VLOOKUP($B114,casostestes[#Data],6)=0,"-",VLOOKUP($B114,casostestes[#Data],6)),"-")</f>
        <v>-</v>
      </c>
      <c r="I114" s="35" t="str">
        <f>IFERROR(IF(VLOOKUP($B114,casostestes[#Data],8)=0,"-",VLOOKUP($B114,casostestes[#Data],8)),"-")</f>
        <v>-</v>
      </c>
      <c r="J114" s="35" t="str">
        <f>IFERROR(IF(VLOOKUP($B114,casostestes[#Data],9)=0,"-",VLOOKUP($B114,casostestes[#Data],9)),"-")</f>
        <v>-</v>
      </c>
      <c r="K114" s="36"/>
      <c r="L114" s="45"/>
      <c r="M114" s="37"/>
      <c r="N114" s="38"/>
      <c r="O114" s="38"/>
      <c r="P114" s="39"/>
    </row>
    <row r="115" spans="2:16">
      <c r="B115" s="40" t="str">
        <f>IF(ISERR(casostestes[[#This Row],[ID]]),"-",casostestes[[#This Row],[ID]])</f>
        <v>-</v>
      </c>
      <c r="C115" s="34" t="str">
        <f>IFERROR(IF(VLOOKUP($B115,casostestes[#Data],10)=0,"Não",VLOOKUP($B115,casostestes[#Data],10)), "-")</f>
        <v>-</v>
      </c>
      <c r="D115" s="35" t="str">
        <f>IFERROR(IF(VLOOKUP($B115,casostestes[#Data],2)=0,"-",VLOOKUP($B115,casostestes[#Data],2)), "-")</f>
        <v>-</v>
      </c>
      <c r="E115" s="35" t="str">
        <f>IFERROR(IF(VLOOKUP($B115,casostestes[#Data],3)=0,"-",VLOOKUP($B115,casostestes[#Data],3)), "-")</f>
        <v>-</v>
      </c>
      <c r="F115" s="35" t="str">
        <f>IFERROR(IF(VLOOKUP($B115,casostestes[#Data],4)=0,"-",VLOOKUP($B115,casostestes[#Data],4)),"-")</f>
        <v>-</v>
      </c>
      <c r="G115" s="35" t="str">
        <f>IFERROR(IF(VLOOKUP($B115,casostestes[#Data],5)=0,"-",VLOOKUP($B115,casostestes[#Data],5)),"-")</f>
        <v>-</v>
      </c>
      <c r="H115" s="87" t="str">
        <f>IFERROR(IF(VLOOKUP($B115,casostestes[#Data],6)=0,"-",VLOOKUP($B115,casostestes[#Data],6)),"-")</f>
        <v>-</v>
      </c>
      <c r="I115" s="35" t="str">
        <f>IFERROR(IF(VLOOKUP($B115,casostestes[#Data],8)=0,"-",VLOOKUP($B115,casostestes[#Data],8)),"-")</f>
        <v>-</v>
      </c>
      <c r="J115" s="35" t="str">
        <f>IFERROR(IF(VLOOKUP($B115,casostestes[#Data],9)=0,"-",VLOOKUP($B115,casostestes[#Data],9)),"-")</f>
        <v>-</v>
      </c>
      <c r="K115" s="36"/>
      <c r="L115" s="45"/>
      <c r="M115" s="37"/>
      <c r="N115" s="38"/>
      <c r="O115" s="38"/>
      <c r="P115" s="39"/>
    </row>
    <row r="116" spans="2:16">
      <c r="B116" s="40" t="str">
        <f>IF(ISERR(casostestes[[#This Row],[ID]]),"-",casostestes[[#This Row],[ID]])</f>
        <v>-</v>
      </c>
      <c r="C116" s="34" t="str">
        <f>IFERROR(IF(VLOOKUP($B116,casostestes[#Data],10)=0,"Não",VLOOKUP($B116,casostestes[#Data],10)), "-")</f>
        <v>-</v>
      </c>
      <c r="D116" s="35" t="str">
        <f>IFERROR(IF(VLOOKUP($B116,casostestes[#Data],2)=0,"-",VLOOKUP($B116,casostestes[#Data],2)), "-")</f>
        <v>-</v>
      </c>
      <c r="E116" s="35" t="str">
        <f>IFERROR(IF(VLOOKUP($B116,casostestes[#Data],3)=0,"-",VLOOKUP($B116,casostestes[#Data],3)), "-")</f>
        <v>-</v>
      </c>
      <c r="F116" s="35" t="str">
        <f>IFERROR(IF(VLOOKUP($B116,casostestes[#Data],4)=0,"-",VLOOKUP($B116,casostestes[#Data],4)),"-")</f>
        <v>-</v>
      </c>
      <c r="G116" s="35" t="str">
        <f>IFERROR(IF(VLOOKUP($B116,casostestes[#Data],5)=0,"-",VLOOKUP($B116,casostestes[#Data],5)),"-")</f>
        <v>-</v>
      </c>
      <c r="H116" s="87" t="str">
        <f>IFERROR(IF(VLOOKUP($B116,casostestes[#Data],6)=0,"-",VLOOKUP($B116,casostestes[#Data],6)),"-")</f>
        <v>-</v>
      </c>
      <c r="I116" s="35" t="str">
        <f>IFERROR(IF(VLOOKUP($B116,casostestes[#Data],8)=0,"-",VLOOKUP($B116,casostestes[#Data],8)),"-")</f>
        <v>-</v>
      </c>
      <c r="J116" s="35" t="str">
        <f>IFERROR(IF(VLOOKUP($B116,casostestes[#Data],9)=0,"-",VLOOKUP($B116,casostestes[#Data],9)),"-")</f>
        <v>-</v>
      </c>
      <c r="K116" s="36"/>
      <c r="L116" s="45"/>
      <c r="M116" s="37"/>
      <c r="N116" s="38"/>
      <c r="O116" s="38"/>
      <c r="P116" s="39"/>
    </row>
    <row r="117" spans="2:16">
      <c r="B117" s="40" t="str">
        <f>IF(ISERR(casostestes[[#This Row],[ID]]),"-",casostestes[[#This Row],[ID]])</f>
        <v>-</v>
      </c>
      <c r="C117" s="34" t="str">
        <f>IFERROR(IF(VLOOKUP($B117,casostestes[#Data],10)=0,"Não",VLOOKUP($B117,casostestes[#Data],10)), "-")</f>
        <v>-</v>
      </c>
      <c r="D117" s="35" t="str">
        <f>IFERROR(IF(VLOOKUP($B117,casostestes[#Data],2)=0,"-",VLOOKUP($B117,casostestes[#Data],2)), "-")</f>
        <v>-</v>
      </c>
      <c r="E117" s="35" t="str">
        <f>IFERROR(IF(VLOOKUP($B117,casostestes[#Data],3)=0,"-",VLOOKUP($B117,casostestes[#Data],3)), "-")</f>
        <v>-</v>
      </c>
      <c r="F117" s="35" t="str">
        <f>IFERROR(IF(VLOOKUP($B117,casostestes[#Data],4)=0,"-",VLOOKUP($B117,casostestes[#Data],4)),"-")</f>
        <v>-</v>
      </c>
      <c r="G117" s="35" t="str">
        <f>IFERROR(IF(VLOOKUP($B117,casostestes[#Data],5)=0,"-",VLOOKUP($B117,casostestes[#Data],5)),"-")</f>
        <v>-</v>
      </c>
      <c r="H117" s="87" t="str">
        <f>IFERROR(IF(VLOOKUP($B117,casostestes[#Data],6)=0,"-",VLOOKUP($B117,casostestes[#Data],6)),"-")</f>
        <v>-</v>
      </c>
      <c r="I117" s="35" t="str">
        <f>IFERROR(IF(VLOOKUP($B117,casostestes[#Data],8)=0,"-",VLOOKUP($B117,casostestes[#Data],8)),"-")</f>
        <v>-</v>
      </c>
      <c r="J117" s="35" t="str">
        <f>IFERROR(IF(VLOOKUP($B117,casostestes[#Data],9)=0,"-",VLOOKUP($B117,casostestes[#Data],9)),"-")</f>
        <v>-</v>
      </c>
      <c r="K117" s="36"/>
      <c r="L117" s="45"/>
      <c r="M117" s="37"/>
      <c r="N117" s="38"/>
      <c r="O117" s="38"/>
      <c r="P117" s="39"/>
    </row>
    <row r="118" spans="2:16">
      <c r="B118" s="40" t="str">
        <f>IF(ISERR(casostestes[[#This Row],[ID]]),"-",casostestes[[#This Row],[ID]])</f>
        <v>-</v>
      </c>
      <c r="C118" s="34" t="str">
        <f>IFERROR(IF(VLOOKUP($B118,casostestes[#Data],10)=0,"Não",VLOOKUP($B118,casostestes[#Data],10)), "-")</f>
        <v>-</v>
      </c>
      <c r="D118" s="35" t="str">
        <f>IFERROR(IF(VLOOKUP($B118,casostestes[#Data],2)=0,"-",VLOOKUP($B118,casostestes[#Data],2)), "-")</f>
        <v>-</v>
      </c>
      <c r="E118" s="35" t="str">
        <f>IFERROR(IF(VLOOKUP($B118,casostestes[#Data],3)=0,"-",VLOOKUP($B118,casostestes[#Data],3)), "-")</f>
        <v>-</v>
      </c>
      <c r="F118" s="35" t="str">
        <f>IFERROR(IF(VLOOKUP($B118,casostestes[#Data],4)=0,"-",VLOOKUP($B118,casostestes[#Data],4)),"-")</f>
        <v>-</v>
      </c>
      <c r="G118" s="35" t="str">
        <f>IFERROR(IF(VLOOKUP($B118,casostestes[#Data],5)=0,"-",VLOOKUP($B118,casostestes[#Data],5)),"-")</f>
        <v>-</v>
      </c>
      <c r="H118" s="87" t="str">
        <f>IFERROR(IF(VLOOKUP($B118,casostestes[#Data],6)=0,"-",VLOOKUP($B118,casostestes[#Data],6)),"-")</f>
        <v>-</v>
      </c>
      <c r="I118" s="35" t="str">
        <f>IFERROR(IF(VLOOKUP($B118,casostestes[#Data],8)=0,"-",VLOOKUP($B118,casostestes[#Data],8)),"-")</f>
        <v>-</v>
      </c>
      <c r="J118" s="35" t="str">
        <f>IFERROR(IF(VLOOKUP($B118,casostestes[#Data],9)=0,"-",VLOOKUP($B118,casostestes[#Data],9)),"-")</f>
        <v>-</v>
      </c>
      <c r="K118" s="36"/>
      <c r="L118" s="45"/>
      <c r="M118" s="37"/>
      <c r="N118" s="38"/>
      <c r="O118" s="38"/>
      <c r="P118" s="39"/>
    </row>
    <row r="119" spans="2:16">
      <c r="B119" s="40" t="str">
        <f>IF(ISERR(casostestes[[#This Row],[ID]]),"-",casostestes[[#This Row],[ID]])</f>
        <v>-</v>
      </c>
      <c r="C119" s="34" t="str">
        <f>IFERROR(IF(VLOOKUP($B119,casostestes[#Data],10)=0,"Não",VLOOKUP($B119,casostestes[#Data],10)), "-")</f>
        <v>-</v>
      </c>
      <c r="D119" s="35" t="str">
        <f>IFERROR(IF(VLOOKUP($B119,casostestes[#Data],2)=0,"-",VLOOKUP($B119,casostestes[#Data],2)), "-")</f>
        <v>-</v>
      </c>
      <c r="E119" s="35" t="str">
        <f>IFERROR(IF(VLOOKUP($B119,casostestes[#Data],3)=0,"-",VLOOKUP($B119,casostestes[#Data],3)), "-")</f>
        <v>-</v>
      </c>
      <c r="F119" s="35" t="str">
        <f>IFERROR(IF(VLOOKUP($B119,casostestes[#Data],4)=0,"-",VLOOKUP($B119,casostestes[#Data],4)),"-")</f>
        <v>-</v>
      </c>
      <c r="G119" s="35" t="str">
        <f>IFERROR(IF(VLOOKUP($B119,casostestes[#Data],5)=0,"-",VLOOKUP($B119,casostestes[#Data],5)),"-")</f>
        <v>-</v>
      </c>
      <c r="H119" s="87" t="str">
        <f>IFERROR(IF(VLOOKUP($B119,casostestes[#Data],6)=0,"-",VLOOKUP($B119,casostestes[#Data],6)),"-")</f>
        <v>-</v>
      </c>
      <c r="I119" s="35" t="str">
        <f>IFERROR(IF(VLOOKUP($B119,casostestes[#Data],8)=0,"-",VLOOKUP($B119,casostestes[#Data],8)),"-")</f>
        <v>-</v>
      </c>
      <c r="J119" s="35" t="str">
        <f>IFERROR(IF(VLOOKUP($B119,casostestes[#Data],9)=0,"-",VLOOKUP($B119,casostestes[#Data],9)),"-")</f>
        <v>-</v>
      </c>
      <c r="K119" s="36"/>
      <c r="L119" s="45"/>
      <c r="M119" s="37"/>
      <c r="N119" s="38"/>
      <c r="O119" s="38"/>
      <c r="P119" s="39"/>
    </row>
    <row r="120" spans="2:16">
      <c r="B120" s="40" t="str">
        <f>IF(ISERR(casostestes[[#This Row],[ID]]),"-",casostestes[[#This Row],[ID]])</f>
        <v>-</v>
      </c>
      <c r="C120" s="34" t="str">
        <f>IFERROR(IF(VLOOKUP($B120,casostestes[#Data],10)=0,"Não",VLOOKUP($B120,casostestes[#Data],10)), "-")</f>
        <v>-</v>
      </c>
      <c r="D120" s="35" t="str">
        <f>IFERROR(IF(VLOOKUP($B120,casostestes[#Data],2)=0,"-",VLOOKUP($B120,casostestes[#Data],2)), "-")</f>
        <v>-</v>
      </c>
      <c r="E120" s="35" t="str">
        <f>IFERROR(IF(VLOOKUP($B120,casostestes[#Data],3)=0,"-",VLOOKUP($B120,casostestes[#Data],3)), "-")</f>
        <v>-</v>
      </c>
      <c r="F120" s="35" t="str">
        <f>IFERROR(IF(VLOOKUP($B120,casostestes[#Data],4)=0,"-",VLOOKUP($B120,casostestes[#Data],4)),"-")</f>
        <v>-</v>
      </c>
      <c r="G120" s="35" t="str">
        <f>IFERROR(IF(VLOOKUP($B120,casostestes[#Data],5)=0,"-",VLOOKUP($B120,casostestes[#Data],5)),"-")</f>
        <v>-</v>
      </c>
      <c r="H120" s="87" t="str">
        <f>IFERROR(IF(VLOOKUP($B120,casostestes[#Data],6)=0,"-",VLOOKUP($B120,casostestes[#Data],6)),"-")</f>
        <v>-</v>
      </c>
      <c r="I120" s="35" t="str">
        <f>IFERROR(IF(VLOOKUP($B120,casostestes[#Data],8)=0,"-",VLOOKUP($B120,casostestes[#Data],8)),"-")</f>
        <v>-</v>
      </c>
      <c r="J120" s="35" t="str">
        <f>IFERROR(IF(VLOOKUP($B120,casostestes[#Data],9)=0,"-",VLOOKUP($B120,casostestes[#Data],9)),"-")</f>
        <v>-</v>
      </c>
      <c r="K120" s="36"/>
      <c r="L120" s="45"/>
      <c r="M120" s="37"/>
      <c r="N120" s="38"/>
      <c r="O120" s="38"/>
      <c r="P120" s="39"/>
    </row>
    <row r="121" spans="2:16">
      <c r="B121" s="40" t="str">
        <f>IF(ISERR(casostestes[[#This Row],[ID]]),"-",casostestes[[#This Row],[ID]])</f>
        <v>-</v>
      </c>
      <c r="C121" s="34" t="str">
        <f>IFERROR(IF(VLOOKUP($B121,casostestes[#Data],10)=0,"Não",VLOOKUP($B121,casostestes[#Data],10)), "-")</f>
        <v>-</v>
      </c>
      <c r="D121" s="35" t="str">
        <f>IFERROR(IF(VLOOKUP($B121,casostestes[#Data],2)=0,"-",VLOOKUP($B121,casostestes[#Data],2)), "-")</f>
        <v>-</v>
      </c>
      <c r="E121" s="35" t="str">
        <f>IFERROR(IF(VLOOKUP($B121,casostestes[#Data],3)=0,"-",VLOOKUP($B121,casostestes[#Data],3)), "-")</f>
        <v>-</v>
      </c>
      <c r="F121" s="35" t="str">
        <f>IFERROR(IF(VLOOKUP($B121,casostestes[#Data],4)=0,"-",VLOOKUP($B121,casostestes[#Data],4)),"-")</f>
        <v>-</v>
      </c>
      <c r="G121" s="35" t="str">
        <f>IFERROR(IF(VLOOKUP($B121,casostestes[#Data],5)=0,"-",VLOOKUP($B121,casostestes[#Data],5)),"-")</f>
        <v>-</v>
      </c>
      <c r="H121" s="87" t="str">
        <f>IFERROR(IF(VLOOKUP($B121,casostestes[#Data],6)=0,"-",VLOOKUP($B121,casostestes[#Data],6)),"-")</f>
        <v>-</v>
      </c>
      <c r="I121" s="35" t="str">
        <f>IFERROR(IF(VLOOKUP($B121,casostestes[#Data],8)=0,"-",VLOOKUP($B121,casostestes[#Data],8)),"-")</f>
        <v>-</v>
      </c>
      <c r="J121" s="35" t="str">
        <f>IFERROR(IF(VLOOKUP($B121,casostestes[#Data],9)=0,"-",VLOOKUP($B121,casostestes[#Data],9)),"-")</f>
        <v>-</v>
      </c>
      <c r="K121" s="36"/>
      <c r="L121" s="45"/>
      <c r="M121" s="37"/>
      <c r="N121" s="38"/>
      <c r="O121" s="38"/>
      <c r="P121" s="39"/>
    </row>
    <row r="122" spans="2:16">
      <c r="B122" s="40" t="str">
        <f>IF(ISERR(casostestes[[#This Row],[ID]]),"-",casostestes[[#This Row],[ID]])</f>
        <v>-</v>
      </c>
      <c r="C122" s="34" t="str">
        <f>IFERROR(IF(VLOOKUP($B122,casostestes[#Data],10)=0,"Não",VLOOKUP($B122,casostestes[#Data],10)), "-")</f>
        <v>-</v>
      </c>
      <c r="D122" s="35" t="str">
        <f>IFERROR(IF(VLOOKUP($B122,casostestes[#Data],2)=0,"-",VLOOKUP($B122,casostestes[#Data],2)), "-")</f>
        <v>-</v>
      </c>
      <c r="E122" s="35" t="str">
        <f>IFERROR(IF(VLOOKUP($B122,casostestes[#Data],3)=0,"-",VLOOKUP($B122,casostestes[#Data],3)), "-")</f>
        <v>-</v>
      </c>
      <c r="F122" s="35" t="str">
        <f>IFERROR(IF(VLOOKUP($B122,casostestes[#Data],4)=0,"-",VLOOKUP($B122,casostestes[#Data],4)),"-")</f>
        <v>-</v>
      </c>
      <c r="G122" s="35" t="str">
        <f>IFERROR(IF(VLOOKUP($B122,casostestes[#Data],5)=0,"-",VLOOKUP($B122,casostestes[#Data],5)),"-")</f>
        <v>-</v>
      </c>
      <c r="H122" s="87" t="str">
        <f>IFERROR(IF(VLOOKUP($B122,casostestes[#Data],6)=0,"-",VLOOKUP($B122,casostestes[#Data],6)),"-")</f>
        <v>-</v>
      </c>
      <c r="I122" s="35" t="str">
        <f>IFERROR(IF(VLOOKUP($B122,casostestes[#Data],8)=0,"-",VLOOKUP($B122,casostestes[#Data],8)),"-")</f>
        <v>-</v>
      </c>
      <c r="J122" s="35" t="str">
        <f>IFERROR(IF(VLOOKUP($B122,casostestes[#Data],9)=0,"-",VLOOKUP($B122,casostestes[#Data],9)),"-")</f>
        <v>-</v>
      </c>
      <c r="K122" s="36"/>
      <c r="L122" s="45"/>
      <c r="M122" s="37"/>
      <c r="N122" s="38"/>
      <c r="O122" s="38"/>
      <c r="P122" s="39"/>
    </row>
    <row r="123" spans="2:16">
      <c r="B123" s="40" t="str">
        <f>IF(ISERR(casostestes[[#This Row],[ID]]),"-",casostestes[[#This Row],[ID]])</f>
        <v>-</v>
      </c>
      <c r="C123" s="34" t="str">
        <f>IFERROR(IF(VLOOKUP($B123,casostestes[#Data],10)=0,"Não",VLOOKUP($B123,casostestes[#Data],10)), "-")</f>
        <v>-</v>
      </c>
      <c r="D123" s="35" t="str">
        <f>IFERROR(IF(VLOOKUP($B123,casostestes[#Data],2)=0,"-",VLOOKUP($B123,casostestes[#Data],2)), "-")</f>
        <v>-</v>
      </c>
      <c r="E123" s="35" t="str">
        <f>IFERROR(IF(VLOOKUP($B123,casostestes[#Data],3)=0,"-",VLOOKUP($B123,casostestes[#Data],3)), "-")</f>
        <v>-</v>
      </c>
      <c r="F123" s="35" t="str">
        <f>IFERROR(IF(VLOOKUP($B123,casostestes[#Data],4)=0,"-",VLOOKUP($B123,casostestes[#Data],4)),"-")</f>
        <v>-</v>
      </c>
      <c r="G123" s="35" t="str">
        <f>IFERROR(IF(VLOOKUP($B123,casostestes[#Data],5)=0,"-",VLOOKUP($B123,casostestes[#Data],5)),"-")</f>
        <v>-</v>
      </c>
      <c r="H123" s="87" t="str">
        <f>IFERROR(IF(VLOOKUP($B123,casostestes[#Data],6)=0,"-",VLOOKUP($B123,casostestes[#Data],6)),"-")</f>
        <v>-</v>
      </c>
      <c r="I123" s="35" t="str">
        <f>IFERROR(IF(VLOOKUP($B123,casostestes[#Data],8)=0,"-",VLOOKUP($B123,casostestes[#Data],8)),"-")</f>
        <v>-</v>
      </c>
      <c r="J123" s="35" t="str">
        <f>IFERROR(IF(VLOOKUP($B123,casostestes[#Data],9)=0,"-",VLOOKUP($B123,casostestes[#Data],9)),"-")</f>
        <v>-</v>
      </c>
      <c r="K123" s="36"/>
      <c r="L123" s="45"/>
      <c r="M123" s="37"/>
      <c r="N123" s="38"/>
      <c r="O123" s="38"/>
      <c r="P123" s="39"/>
    </row>
    <row r="124" spans="2:16">
      <c r="B124" s="40" t="str">
        <f>IF(ISERR(casostestes[[#This Row],[ID]]),"-",casostestes[[#This Row],[ID]])</f>
        <v>-</v>
      </c>
      <c r="C124" s="34" t="str">
        <f>IFERROR(IF(VLOOKUP($B124,casostestes[#Data],10)=0,"Não",VLOOKUP($B124,casostestes[#Data],10)), "-")</f>
        <v>-</v>
      </c>
      <c r="D124" s="35" t="str">
        <f>IFERROR(IF(VLOOKUP($B124,casostestes[#Data],2)=0,"-",VLOOKUP($B124,casostestes[#Data],2)), "-")</f>
        <v>-</v>
      </c>
      <c r="E124" s="35" t="str">
        <f>IFERROR(IF(VLOOKUP($B124,casostestes[#Data],3)=0,"-",VLOOKUP($B124,casostestes[#Data],3)), "-")</f>
        <v>-</v>
      </c>
      <c r="F124" s="35" t="str">
        <f>IFERROR(IF(VLOOKUP($B124,casostestes[#Data],4)=0,"-",VLOOKUP($B124,casostestes[#Data],4)),"-")</f>
        <v>-</v>
      </c>
      <c r="G124" s="35" t="str">
        <f>IFERROR(IF(VLOOKUP($B124,casostestes[#Data],5)=0,"-",VLOOKUP($B124,casostestes[#Data],5)),"-")</f>
        <v>-</v>
      </c>
      <c r="H124" s="87" t="str">
        <f>IFERROR(IF(VLOOKUP($B124,casostestes[#Data],6)=0,"-",VLOOKUP($B124,casostestes[#Data],6)),"-")</f>
        <v>-</v>
      </c>
      <c r="I124" s="35" t="str">
        <f>IFERROR(IF(VLOOKUP($B124,casostestes[#Data],8)=0,"-",VLOOKUP($B124,casostestes[#Data],8)),"-")</f>
        <v>-</v>
      </c>
      <c r="J124" s="35" t="str">
        <f>IFERROR(IF(VLOOKUP($B124,casostestes[#Data],9)=0,"-",VLOOKUP($B124,casostestes[#Data],9)),"-")</f>
        <v>-</v>
      </c>
      <c r="K124" s="36"/>
      <c r="L124" s="45"/>
      <c r="M124" s="37"/>
      <c r="N124" s="38"/>
      <c r="O124" s="38"/>
      <c r="P124" s="39"/>
    </row>
    <row r="125" spans="2:16">
      <c r="B125" s="40" t="str">
        <f>IF(ISERR(casostestes[[#This Row],[ID]]),"-",casostestes[[#This Row],[ID]])</f>
        <v>-</v>
      </c>
      <c r="C125" s="34" t="str">
        <f>IFERROR(IF(VLOOKUP($B125,casostestes[#Data],10)=0,"Não",VLOOKUP($B125,casostestes[#Data],10)), "-")</f>
        <v>-</v>
      </c>
      <c r="D125" s="35" t="str">
        <f>IFERROR(IF(VLOOKUP($B125,casostestes[#Data],2)=0,"-",VLOOKUP($B125,casostestes[#Data],2)), "-")</f>
        <v>-</v>
      </c>
      <c r="E125" s="35" t="str">
        <f>IFERROR(IF(VLOOKUP($B125,casostestes[#Data],3)=0,"-",VLOOKUP($B125,casostestes[#Data],3)), "-")</f>
        <v>-</v>
      </c>
      <c r="F125" s="35" t="str">
        <f>IFERROR(IF(VLOOKUP($B125,casostestes[#Data],4)=0,"-",VLOOKUP($B125,casostestes[#Data],4)),"-")</f>
        <v>-</v>
      </c>
      <c r="G125" s="35" t="str">
        <f>IFERROR(IF(VLOOKUP($B125,casostestes[#Data],5)=0,"-",VLOOKUP($B125,casostestes[#Data],5)),"-")</f>
        <v>-</v>
      </c>
      <c r="H125" s="87" t="str">
        <f>IFERROR(IF(VLOOKUP($B125,casostestes[#Data],6)=0,"-",VLOOKUP($B125,casostestes[#Data],6)),"-")</f>
        <v>-</v>
      </c>
      <c r="I125" s="35" t="str">
        <f>IFERROR(IF(VLOOKUP($B125,casostestes[#Data],8)=0,"-",VLOOKUP($B125,casostestes[#Data],8)),"-")</f>
        <v>-</v>
      </c>
      <c r="J125" s="35" t="str">
        <f>IFERROR(IF(VLOOKUP($B125,casostestes[#Data],9)=0,"-",VLOOKUP($B125,casostestes[#Data],9)),"-")</f>
        <v>-</v>
      </c>
      <c r="K125" s="36"/>
      <c r="L125" s="45"/>
      <c r="M125" s="37"/>
      <c r="N125" s="38"/>
      <c r="O125" s="38"/>
      <c r="P125" s="39"/>
    </row>
    <row r="126" spans="2:16">
      <c r="B126" s="40" t="str">
        <f>IF(ISERR(casostestes[[#This Row],[ID]]),"-",casostestes[[#This Row],[ID]])</f>
        <v>-</v>
      </c>
      <c r="C126" s="34" t="str">
        <f>IFERROR(IF(VLOOKUP($B126,casostestes[#Data],10)=0,"Não",VLOOKUP($B126,casostestes[#Data],10)), "-")</f>
        <v>-</v>
      </c>
      <c r="D126" s="35" t="str">
        <f>IFERROR(IF(VLOOKUP($B126,casostestes[#Data],2)=0,"-",VLOOKUP($B126,casostestes[#Data],2)), "-")</f>
        <v>-</v>
      </c>
      <c r="E126" s="35" t="str">
        <f>IFERROR(IF(VLOOKUP($B126,casostestes[#Data],3)=0,"-",VLOOKUP($B126,casostestes[#Data],3)), "-")</f>
        <v>-</v>
      </c>
      <c r="F126" s="35" t="str">
        <f>IFERROR(IF(VLOOKUP($B126,casostestes[#Data],4)=0,"-",VLOOKUP($B126,casostestes[#Data],4)),"-")</f>
        <v>-</v>
      </c>
      <c r="G126" s="35" t="str">
        <f>IFERROR(IF(VLOOKUP($B126,casostestes[#Data],5)=0,"-",VLOOKUP($B126,casostestes[#Data],5)),"-")</f>
        <v>-</v>
      </c>
      <c r="H126" s="87" t="str">
        <f>IFERROR(IF(VLOOKUP($B126,casostestes[#Data],6)=0,"-",VLOOKUP($B126,casostestes[#Data],6)),"-")</f>
        <v>-</v>
      </c>
      <c r="I126" s="35" t="str">
        <f>IFERROR(IF(VLOOKUP($B126,casostestes[#Data],8)=0,"-",VLOOKUP($B126,casostestes[#Data],8)),"-")</f>
        <v>-</v>
      </c>
      <c r="J126" s="35" t="str">
        <f>IFERROR(IF(VLOOKUP($B126,casostestes[#Data],9)=0,"-",VLOOKUP($B126,casostestes[#Data],9)),"-")</f>
        <v>-</v>
      </c>
      <c r="K126" s="36"/>
      <c r="L126" s="45"/>
      <c r="M126" s="37"/>
      <c r="N126" s="38"/>
      <c r="O126" s="38"/>
      <c r="P126" s="39"/>
    </row>
    <row r="127" spans="2:16">
      <c r="B127" s="40" t="str">
        <f>IF(ISERR(casostestes[[#This Row],[ID]]),"-",casostestes[[#This Row],[ID]])</f>
        <v>-</v>
      </c>
      <c r="C127" s="34" t="str">
        <f>IFERROR(IF(VLOOKUP($B127,casostestes[#Data],10)=0,"Não",VLOOKUP($B127,casostestes[#Data],10)), "-")</f>
        <v>-</v>
      </c>
      <c r="D127" s="35" t="str">
        <f>IFERROR(IF(VLOOKUP($B127,casostestes[#Data],2)=0,"-",VLOOKUP($B127,casostestes[#Data],2)), "-")</f>
        <v>-</v>
      </c>
      <c r="E127" s="35" t="str">
        <f>IFERROR(IF(VLOOKUP($B127,casostestes[#Data],3)=0,"-",VLOOKUP($B127,casostestes[#Data],3)), "-")</f>
        <v>-</v>
      </c>
      <c r="F127" s="35" t="str">
        <f>IFERROR(IF(VLOOKUP($B127,casostestes[#Data],4)=0,"-",VLOOKUP($B127,casostestes[#Data],4)),"-")</f>
        <v>-</v>
      </c>
      <c r="G127" s="35" t="str">
        <f>IFERROR(IF(VLOOKUP($B127,casostestes[#Data],5)=0,"-",VLOOKUP($B127,casostestes[#Data],5)),"-")</f>
        <v>-</v>
      </c>
      <c r="H127" s="87" t="str">
        <f>IFERROR(IF(VLOOKUP($B127,casostestes[#Data],6)=0,"-",VLOOKUP($B127,casostestes[#Data],6)),"-")</f>
        <v>-</v>
      </c>
      <c r="I127" s="35" t="str">
        <f>IFERROR(IF(VLOOKUP($B127,casostestes[#Data],8)=0,"-",VLOOKUP($B127,casostestes[#Data],8)),"-")</f>
        <v>-</v>
      </c>
      <c r="J127" s="35" t="str">
        <f>IFERROR(IF(VLOOKUP($B127,casostestes[#Data],9)=0,"-",VLOOKUP($B127,casostestes[#Data],9)),"-")</f>
        <v>-</v>
      </c>
      <c r="K127" s="36"/>
      <c r="L127" s="45"/>
      <c r="M127" s="37"/>
      <c r="N127" s="38"/>
      <c r="O127" s="38"/>
      <c r="P127" s="39"/>
    </row>
    <row r="128" spans="2:16">
      <c r="B128" s="40" t="str">
        <f>IF(ISERR(casostestes[[#This Row],[ID]]),"-",casostestes[[#This Row],[ID]])</f>
        <v>-</v>
      </c>
      <c r="C128" s="34" t="str">
        <f>IFERROR(IF(VLOOKUP($B128,casostestes[#Data],10)=0,"Não",VLOOKUP($B128,casostestes[#Data],10)), "-")</f>
        <v>-</v>
      </c>
      <c r="D128" s="35" t="str">
        <f>IFERROR(IF(VLOOKUP($B128,casostestes[#Data],2)=0,"-",VLOOKUP($B128,casostestes[#Data],2)), "-")</f>
        <v>-</v>
      </c>
      <c r="E128" s="35" t="str">
        <f>IFERROR(IF(VLOOKUP($B128,casostestes[#Data],3)=0,"-",VLOOKUP($B128,casostestes[#Data],3)), "-")</f>
        <v>-</v>
      </c>
      <c r="F128" s="35" t="str">
        <f>IFERROR(IF(VLOOKUP($B128,casostestes[#Data],4)=0,"-",VLOOKUP($B128,casostestes[#Data],4)),"-")</f>
        <v>-</v>
      </c>
      <c r="G128" s="35" t="str">
        <f>IFERROR(IF(VLOOKUP($B128,casostestes[#Data],5)=0,"-",VLOOKUP($B128,casostestes[#Data],5)),"-")</f>
        <v>-</v>
      </c>
      <c r="H128" s="87" t="str">
        <f>IFERROR(IF(VLOOKUP($B128,casostestes[#Data],6)=0,"-",VLOOKUP($B128,casostestes[#Data],6)),"-")</f>
        <v>-</v>
      </c>
      <c r="I128" s="35" t="str">
        <f>IFERROR(IF(VLOOKUP($B128,casostestes[#Data],8)=0,"-",VLOOKUP($B128,casostestes[#Data],8)),"-")</f>
        <v>-</v>
      </c>
      <c r="J128" s="35" t="str">
        <f>IFERROR(IF(VLOOKUP($B128,casostestes[#Data],9)=0,"-",VLOOKUP($B128,casostestes[#Data],9)),"-")</f>
        <v>-</v>
      </c>
      <c r="K128" s="36"/>
      <c r="L128" s="45"/>
      <c r="M128" s="37"/>
      <c r="N128" s="38"/>
      <c r="O128" s="38"/>
      <c r="P128" s="39"/>
    </row>
    <row r="129" spans="2:16">
      <c r="B129" s="40" t="str">
        <f>IF(ISERR(casostestes[[#This Row],[ID]]),"-",casostestes[[#This Row],[ID]])</f>
        <v>-</v>
      </c>
      <c r="C129" s="34" t="str">
        <f>IFERROR(IF(VLOOKUP($B129,casostestes[#Data],10)=0,"Não",VLOOKUP($B129,casostestes[#Data],10)), "-")</f>
        <v>-</v>
      </c>
      <c r="D129" s="35" t="str">
        <f>IFERROR(IF(VLOOKUP($B129,casostestes[#Data],2)=0,"-",VLOOKUP($B129,casostestes[#Data],2)), "-")</f>
        <v>-</v>
      </c>
      <c r="E129" s="35" t="str">
        <f>IFERROR(IF(VLOOKUP($B129,casostestes[#Data],3)=0,"-",VLOOKUP($B129,casostestes[#Data],3)), "-")</f>
        <v>-</v>
      </c>
      <c r="F129" s="35" t="str">
        <f>IFERROR(IF(VLOOKUP($B129,casostestes[#Data],4)=0,"-",VLOOKUP($B129,casostestes[#Data],4)),"-")</f>
        <v>-</v>
      </c>
      <c r="G129" s="35" t="str">
        <f>IFERROR(IF(VLOOKUP($B129,casostestes[#Data],5)=0,"-",VLOOKUP($B129,casostestes[#Data],5)),"-")</f>
        <v>-</v>
      </c>
      <c r="H129" s="87" t="str">
        <f>IFERROR(IF(VLOOKUP($B129,casostestes[#Data],6)=0,"-",VLOOKUP($B129,casostestes[#Data],6)),"-")</f>
        <v>-</v>
      </c>
      <c r="I129" s="35" t="str">
        <f>IFERROR(IF(VLOOKUP($B129,casostestes[#Data],8)=0,"-",VLOOKUP($B129,casostestes[#Data],8)),"-")</f>
        <v>-</v>
      </c>
      <c r="J129" s="35" t="str">
        <f>IFERROR(IF(VLOOKUP($B129,casostestes[#Data],9)=0,"-",VLOOKUP($B129,casostestes[#Data],9)),"-")</f>
        <v>-</v>
      </c>
      <c r="K129" s="36"/>
      <c r="L129" s="45"/>
      <c r="M129" s="37"/>
      <c r="N129" s="38"/>
      <c r="O129" s="38"/>
      <c r="P129" s="39"/>
    </row>
    <row r="130" spans="2:16">
      <c r="B130" s="40" t="str">
        <f>IF(ISERR(casostestes[[#This Row],[ID]]),"-",casostestes[[#This Row],[ID]])</f>
        <v>-</v>
      </c>
      <c r="C130" s="34" t="str">
        <f>IFERROR(IF(VLOOKUP($B130,casostestes[#Data],10)=0,"Não",VLOOKUP($B130,casostestes[#Data],10)), "-")</f>
        <v>-</v>
      </c>
      <c r="D130" s="35" t="str">
        <f>IFERROR(IF(VLOOKUP($B130,casostestes[#Data],2)=0,"-",VLOOKUP($B130,casostestes[#Data],2)), "-")</f>
        <v>-</v>
      </c>
      <c r="E130" s="35" t="str">
        <f>IFERROR(IF(VLOOKUP($B130,casostestes[#Data],3)=0,"-",VLOOKUP($B130,casostestes[#Data],3)), "-")</f>
        <v>-</v>
      </c>
      <c r="F130" s="35" t="str">
        <f>IFERROR(IF(VLOOKUP($B130,casostestes[#Data],4)=0,"-",VLOOKUP($B130,casostestes[#Data],4)),"-")</f>
        <v>-</v>
      </c>
      <c r="G130" s="35" t="str">
        <f>IFERROR(IF(VLOOKUP($B130,casostestes[#Data],5)=0,"-",VLOOKUP($B130,casostestes[#Data],5)),"-")</f>
        <v>-</v>
      </c>
      <c r="H130" s="87" t="str">
        <f>IFERROR(IF(VLOOKUP($B130,casostestes[#Data],6)=0,"-",VLOOKUP($B130,casostestes[#Data],6)),"-")</f>
        <v>-</v>
      </c>
      <c r="I130" s="35" t="str">
        <f>IFERROR(IF(VLOOKUP($B130,casostestes[#Data],8)=0,"-",VLOOKUP($B130,casostestes[#Data],8)),"-")</f>
        <v>-</v>
      </c>
      <c r="J130" s="35" t="str">
        <f>IFERROR(IF(VLOOKUP($B130,casostestes[#Data],9)=0,"-",VLOOKUP($B130,casostestes[#Data],9)),"-")</f>
        <v>-</v>
      </c>
      <c r="K130" s="36"/>
      <c r="L130" s="45"/>
      <c r="M130" s="37"/>
      <c r="N130" s="38"/>
      <c r="O130" s="38"/>
      <c r="P130" s="39"/>
    </row>
    <row r="131" spans="2:16">
      <c r="B131" s="40" t="str">
        <f>IF(ISERR(casostestes[[#This Row],[ID]]),"-",casostestes[[#This Row],[ID]])</f>
        <v>-</v>
      </c>
      <c r="C131" s="34" t="str">
        <f>IFERROR(IF(VLOOKUP($B131,casostestes[#Data],10)=0,"Não",VLOOKUP($B131,casostestes[#Data],10)), "-")</f>
        <v>-</v>
      </c>
      <c r="D131" s="35" t="str">
        <f>IFERROR(IF(VLOOKUP($B131,casostestes[#Data],2)=0,"-",VLOOKUP($B131,casostestes[#Data],2)), "-")</f>
        <v>-</v>
      </c>
      <c r="E131" s="35" t="str">
        <f>IFERROR(IF(VLOOKUP($B131,casostestes[#Data],3)=0,"-",VLOOKUP($B131,casostestes[#Data],3)), "-")</f>
        <v>-</v>
      </c>
      <c r="F131" s="35" t="str">
        <f>IFERROR(IF(VLOOKUP($B131,casostestes[#Data],4)=0,"-",VLOOKUP($B131,casostestes[#Data],4)),"-")</f>
        <v>-</v>
      </c>
      <c r="G131" s="35" t="str">
        <f>IFERROR(IF(VLOOKUP($B131,casostestes[#Data],5)=0,"-",VLOOKUP($B131,casostestes[#Data],5)),"-")</f>
        <v>-</v>
      </c>
      <c r="H131" s="87" t="str">
        <f>IFERROR(IF(VLOOKUP($B131,casostestes[#Data],6)=0,"-",VLOOKUP($B131,casostestes[#Data],6)),"-")</f>
        <v>-</v>
      </c>
      <c r="I131" s="35" t="str">
        <f>IFERROR(IF(VLOOKUP($B131,casostestes[#Data],8)=0,"-",VLOOKUP($B131,casostestes[#Data],8)),"-")</f>
        <v>-</v>
      </c>
      <c r="J131" s="35" t="str">
        <f>IFERROR(IF(VLOOKUP($B131,casostestes[#Data],9)=0,"-",VLOOKUP($B131,casostestes[#Data],9)),"-")</f>
        <v>-</v>
      </c>
      <c r="K131" s="36"/>
      <c r="L131" s="45"/>
      <c r="M131" s="37"/>
      <c r="N131" s="38"/>
      <c r="O131" s="38"/>
      <c r="P131" s="39"/>
    </row>
    <row r="132" spans="2:16">
      <c r="B132" s="40" t="str">
        <f>IF(ISERR(casostestes[[#This Row],[ID]]),"-",casostestes[[#This Row],[ID]])</f>
        <v>-</v>
      </c>
      <c r="C132" s="34" t="str">
        <f>IFERROR(IF(VLOOKUP($B132,casostestes[#Data],10)=0,"Não",VLOOKUP($B132,casostestes[#Data],10)), "-")</f>
        <v>-</v>
      </c>
      <c r="D132" s="35" t="str">
        <f>IFERROR(IF(VLOOKUP($B132,casostestes[#Data],2)=0,"-",VLOOKUP($B132,casostestes[#Data],2)), "-")</f>
        <v>-</v>
      </c>
      <c r="E132" s="35" t="str">
        <f>IFERROR(IF(VLOOKUP($B132,casostestes[#Data],3)=0,"-",VLOOKUP($B132,casostestes[#Data],3)), "-")</f>
        <v>-</v>
      </c>
      <c r="F132" s="35" t="str">
        <f>IFERROR(IF(VLOOKUP($B132,casostestes[#Data],4)=0,"-",VLOOKUP($B132,casostestes[#Data],4)),"-")</f>
        <v>-</v>
      </c>
      <c r="G132" s="35" t="str">
        <f>IFERROR(IF(VLOOKUP($B132,casostestes[#Data],5)=0,"-",VLOOKUP($B132,casostestes[#Data],5)),"-")</f>
        <v>-</v>
      </c>
      <c r="H132" s="87" t="str">
        <f>IFERROR(IF(VLOOKUP($B132,casostestes[#Data],6)=0,"-",VLOOKUP($B132,casostestes[#Data],6)),"-")</f>
        <v>-</v>
      </c>
      <c r="I132" s="35" t="str">
        <f>IFERROR(IF(VLOOKUP($B132,casostestes[#Data],8)=0,"-",VLOOKUP($B132,casostestes[#Data],8)),"-")</f>
        <v>-</v>
      </c>
      <c r="J132" s="35" t="str">
        <f>IFERROR(IF(VLOOKUP($B132,casostestes[#Data],9)=0,"-",VLOOKUP($B132,casostestes[#Data],9)),"-")</f>
        <v>-</v>
      </c>
      <c r="K132" s="36"/>
      <c r="L132" s="45"/>
      <c r="M132" s="37"/>
      <c r="N132" s="38"/>
      <c r="O132" s="38"/>
      <c r="P132" s="39"/>
    </row>
    <row r="133" spans="2:16">
      <c r="B133" s="40" t="str">
        <f>IF(ISERR(casostestes[[#This Row],[ID]]),"-",casostestes[[#This Row],[ID]])</f>
        <v>-</v>
      </c>
      <c r="C133" s="34" t="str">
        <f>IFERROR(IF(VLOOKUP($B133,casostestes[#Data],10)=0,"Não",VLOOKUP($B133,casostestes[#Data],10)), "-")</f>
        <v>-</v>
      </c>
      <c r="D133" s="35" t="str">
        <f>IFERROR(IF(VLOOKUP($B133,casostestes[#Data],2)=0,"-",VLOOKUP($B133,casostestes[#Data],2)), "-")</f>
        <v>-</v>
      </c>
      <c r="E133" s="35" t="str">
        <f>IFERROR(IF(VLOOKUP($B133,casostestes[#Data],3)=0,"-",VLOOKUP($B133,casostestes[#Data],3)), "-")</f>
        <v>-</v>
      </c>
      <c r="F133" s="35" t="str">
        <f>IFERROR(IF(VLOOKUP($B133,casostestes[#Data],4)=0,"-",VLOOKUP($B133,casostestes[#Data],4)),"-")</f>
        <v>-</v>
      </c>
      <c r="G133" s="35" t="str">
        <f>IFERROR(IF(VLOOKUP($B133,casostestes[#Data],5)=0,"-",VLOOKUP($B133,casostestes[#Data],5)),"-")</f>
        <v>-</v>
      </c>
      <c r="H133" s="87" t="str">
        <f>IFERROR(IF(VLOOKUP($B133,casostestes[#Data],6)=0,"-",VLOOKUP($B133,casostestes[#Data],6)),"-")</f>
        <v>-</v>
      </c>
      <c r="I133" s="35" t="str">
        <f>IFERROR(IF(VLOOKUP($B133,casostestes[#Data],8)=0,"-",VLOOKUP($B133,casostestes[#Data],8)),"-")</f>
        <v>-</v>
      </c>
      <c r="J133" s="35" t="str">
        <f>IFERROR(IF(VLOOKUP($B133,casostestes[#Data],9)=0,"-",VLOOKUP($B133,casostestes[#Data],9)),"-")</f>
        <v>-</v>
      </c>
      <c r="K133" s="36"/>
      <c r="L133" s="45"/>
      <c r="M133" s="37"/>
      <c r="N133" s="38"/>
      <c r="O133" s="38"/>
      <c r="P133" s="39"/>
    </row>
    <row r="134" spans="2:16">
      <c r="B134" s="40" t="str">
        <f>IF(ISERR(casostestes[[#This Row],[ID]]),"-",casostestes[[#This Row],[ID]])</f>
        <v>-</v>
      </c>
      <c r="C134" s="34" t="str">
        <f>IFERROR(IF(VLOOKUP($B134,casostestes[#Data],10)=0,"Não",VLOOKUP($B134,casostestes[#Data],10)), "-")</f>
        <v>-</v>
      </c>
      <c r="D134" s="35" t="str">
        <f>IFERROR(IF(VLOOKUP($B134,casostestes[#Data],2)=0,"-",VLOOKUP($B134,casostestes[#Data],2)), "-")</f>
        <v>-</v>
      </c>
      <c r="E134" s="35" t="str">
        <f>IFERROR(IF(VLOOKUP($B134,casostestes[#Data],3)=0,"-",VLOOKUP($B134,casostestes[#Data],3)), "-")</f>
        <v>-</v>
      </c>
      <c r="F134" s="35" t="str">
        <f>IFERROR(IF(VLOOKUP($B134,casostestes[#Data],4)=0,"-",VLOOKUP($B134,casostestes[#Data],4)),"-")</f>
        <v>-</v>
      </c>
      <c r="G134" s="35" t="str">
        <f>IFERROR(IF(VLOOKUP($B134,casostestes[#Data],5)=0,"-",VLOOKUP($B134,casostestes[#Data],5)),"-")</f>
        <v>-</v>
      </c>
      <c r="H134" s="87" t="str">
        <f>IFERROR(IF(VLOOKUP($B134,casostestes[#Data],6)=0,"-",VLOOKUP($B134,casostestes[#Data],6)),"-")</f>
        <v>-</v>
      </c>
      <c r="I134" s="35" t="str">
        <f>IFERROR(IF(VLOOKUP($B134,casostestes[#Data],8)=0,"-",VLOOKUP($B134,casostestes[#Data],8)),"-")</f>
        <v>-</v>
      </c>
      <c r="J134" s="35" t="str">
        <f>IFERROR(IF(VLOOKUP($B134,casostestes[#Data],9)=0,"-",VLOOKUP($B134,casostestes[#Data],9)),"-")</f>
        <v>-</v>
      </c>
      <c r="K134" s="36"/>
      <c r="L134" s="45"/>
      <c r="M134" s="37"/>
      <c r="N134" s="38"/>
      <c r="O134" s="38"/>
      <c r="P134" s="39"/>
    </row>
    <row r="135" spans="2:16">
      <c r="B135" s="40" t="str">
        <f>IF(ISERR(casostestes[[#This Row],[ID]]),"-",casostestes[[#This Row],[ID]])</f>
        <v>-</v>
      </c>
      <c r="C135" s="34" t="str">
        <f>IFERROR(IF(VLOOKUP($B135,casostestes[#Data],10)=0,"Não",VLOOKUP($B135,casostestes[#Data],10)), "-")</f>
        <v>-</v>
      </c>
      <c r="D135" s="35" t="str">
        <f>IFERROR(IF(VLOOKUP($B135,casostestes[#Data],2)=0,"-",VLOOKUP($B135,casostestes[#Data],2)), "-")</f>
        <v>-</v>
      </c>
      <c r="E135" s="35" t="str">
        <f>IFERROR(IF(VLOOKUP($B135,casostestes[#Data],3)=0,"-",VLOOKUP($B135,casostestes[#Data],3)), "-")</f>
        <v>-</v>
      </c>
      <c r="F135" s="35" t="str">
        <f>IFERROR(IF(VLOOKUP($B135,casostestes[#Data],4)=0,"-",VLOOKUP($B135,casostestes[#Data],4)),"-")</f>
        <v>-</v>
      </c>
      <c r="G135" s="35" t="str">
        <f>IFERROR(IF(VLOOKUP($B135,casostestes[#Data],5)=0,"-",VLOOKUP($B135,casostestes[#Data],5)),"-")</f>
        <v>-</v>
      </c>
      <c r="H135" s="87" t="str">
        <f>IFERROR(IF(VLOOKUP($B135,casostestes[#Data],6)=0,"-",VLOOKUP($B135,casostestes[#Data],6)),"-")</f>
        <v>-</v>
      </c>
      <c r="I135" s="35" t="str">
        <f>IFERROR(IF(VLOOKUP($B135,casostestes[#Data],8)=0,"-",VLOOKUP($B135,casostestes[#Data],8)),"-")</f>
        <v>-</v>
      </c>
      <c r="J135" s="35" t="str">
        <f>IFERROR(IF(VLOOKUP($B135,casostestes[#Data],9)=0,"-",VLOOKUP($B135,casostestes[#Data],9)),"-")</f>
        <v>-</v>
      </c>
      <c r="K135" s="36"/>
      <c r="L135" s="45"/>
      <c r="M135" s="37"/>
      <c r="N135" s="38"/>
      <c r="O135" s="38"/>
      <c r="P135" s="39"/>
    </row>
    <row r="136" spans="2:16">
      <c r="B136" s="40" t="str">
        <f>IF(ISERR(casostestes[[#This Row],[ID]]),"-",casostestes[[#This Row],[ID]])</f>
        <v>-</v>
      </c>
      <c r="C136" s="34" t="str">
        <f>IFERROR(IF(VLOOKUP($B136,casostestes[#Data],10)=0,"Não",VLOOKUP($B136,casostestes[#Data],10)), "-")</f>
        <v>-</v>
      </c>
      <c r="D136" s="35" t="str">
        <f>IFERROR(IF(VLOOKUP($B136,casostestes[#Data],2)=0,"-",VLOOKUP($B136,casostestes[#Data],2)), "-")</f>
        <v>-</v>
      </c>
      <c r="E136" s="35" t="str">
        <f>IFERROR(IF(VLOOKUP($B136,casostestes[#Data],3)=0,"-",VLOOKUP($B136,casostestes[#Data],3)), "-")</f>
        <v>-</v>
      </c>
      <c r="F136" s="35" t="str">
        <f>IFERROR(IF(VLOOKUP($B136,casostestes[#Data],4)=0,"-",VLOOKUP($B136,casostestes[#Data],4)),"-")</f>
        <v>-</v>
      </c>
      <c r="G136" s="35" t="str">
        <f>IFERROR(IF(VLOOKUP($B136,casostestes[#Data],5)=0,"-",VLOOKUP($B136,casostestes[#Data],5)),"-")</f>
        <v>-</v>
      </c>
      <c r="H136" s="87" t="str">
        <f>IFERROR(IF(VLOOKUP($B136,casostestes[#Data],6)=0,"-",VLOOKUP($B136,casostestes[#Data],6)),"-")</f>
        <v>-</v>
      </c>
      <c r="I136" s="35" t="str">
        <f>IFERROR(IF(VLOOKUP($B136,casostestes[#Data],8)=0,"-",VLOOKUP($B136,casostestes[#Data],8)),"-")</f>
        <v>-</v>
      </c>
      <c r="J136" s="35" t="str">
        <f>IFERROR(IF(VLOOKUP($B136,casostestes[#Data],9)=0,"-",VLOOKUP($B136,casostestes[#Data],9)),"-")</f>
        <v>-</v>
      </c>
      <c r="K136" s="36"/>
      <c r="L136" s="45"/>
      <c r="M136" s="37"/>
      <c r="N136" s="38"/>
      <c r="O136" s="38"/>
      <c r="P136" s="39"/>
    </row>
    <row r="137" spans="2:16">
      <c r="B137" s="40" t="str">
        <f>IF(ISERR(casostestes[[#This Row],[ID]]),"-",casostestes[[#This Row],[ID]])</f>
        <v>-</v>
      </c>
      <c r="C137" s="34" t="str">
        <f>IFERROR(IF(VLOOKUP($B137,casostestes[#Data],10)=0,"Não",VLOOKUP($B137,casostestes[#Data],10)), "-")</f>
        <v>-</v>
      </c>
      <c r="D137" s="35" t="str">
        <f>IFERROR(IF(VLOOKUP($B137,casostestes[#Data],2)=0,"-",VLOOKUP($B137,casostestes[#Data],2)), "-")</f>
        <v>-</v>
      </c>
      <c r="E137" s="35" t="str">
        <f>IFERROR(IF(VLOOKUP($B137,casostestes[#Data],3)=0,"-",VLOOKUP($B137,casostestes[#Data],3)), "-")</f>
        <v>-</v>
      </c>
      <c r="F137" s="35" t="str">
        <f>IFERROR(IF(VLOOKUP($B137,casostestes[#Data],4)=0,"-",VLOOKUP($B137,casostestes[#Data],4)),"-")</f>
        <v>-</v>
      </c>
      <c r="G137" s="35" t="str">
        <f>IFERROR(IF(VLOOKUP($B137,casostestes[#Data],5)=0,"-",VLOOKUP($B137,casostestes[#Data],5)),"-")</f>
        <v>-</v>
      </c>
      <c r="H137" s="87" t="str">
        <f>IFERROR(IF(VLOOKUP($B137,casostestes[#Data],6)=0,"-",VLOOKUP($B137,casostestes[#Data],6)),"-")</f>
        <v>-</v>
      </c>
      <c r="I137" s="35" t="str">
        <f>IFERROR(IF(VLOOKUP($B137,casostestes[#Data],8)=0,"-",VLOOKUP($B137,casostestes[#Data],8)),"-")</f>
        <v>-</v>
      </c>
      <c r="J137" s="35" t="str">
        <f>IFERROR(IF(VLOOKUP($B137,casostestes[#Data],9)=0,"-",VLOOKUP($B137,casostestes[#Data],9)),"-")</f>
        <v>-</v>
      </c>
      <c r="K137" s="36"/>
      <c r="L137" s="45"/>
      <c r="M137" s="37"/>
      <c r="N137" s="38"/>
      <c r="O137" s="38"/>
      <c r="P137" s="39"/>
    </row>
    <row r="138" spans="2:16">
      <c r="B138" s="40" t="str">
        <f>IF(ISERR(casostestes[[#This Row],[ID]]),"-",casostestes[[#This Row],[ID]])</f>
        <v>-</v>
      </c>
      <c r="C138" s="34" t="str">
        <f>IFERROR(IF(VLOOKUP($B138,casostestes[#Data],10)=0,"Não",VLOOKUP($B138,casostestes[#Data],10)), "-")</f>
        <v>-</v>
      </c>
      <c r="D138" s="35" t="str">
        <f>IFERROR(IF(VLOOKUP($B138,casostestes[#Data],2)=0,"-",VLOOKUP($B138,casostestes[#Data],2)), "-")</f>
        <v>-</v>
      </c>
      <c r="E138" s="35" t="str">
        <f>IFERROR(IF(VLOOKUP($B138,casostestes[#Data],3)=0,"-",VLOOKUP($B138,casostestes[#Data],3)), "-")</f>
        <v>-</v>
      </c>
      <c r="F138" s="35" t="str">
        <f>IFERROR(IF(VLOOKUP($B138,casostestes[#Data],4)=0,"-",VLOOKUP($B138,casostestes[#Data],4)),"-")</f>
        <v>-</v>
      </c>
      <c r="G138" s="35" t="str">
        <f>IFERROR(IF(VLOOKUP($B138,casostestes[#Data],5)=0,"-",VLOOKUP($B138,casostestes[#Data],5)),"-")</f>
        <v>-</v>
      </c>
      <c r="H138" s="87" t="str">
        <f>IFERROR(IF(VLOOKUP($B138,casostestes[#Data],6)=0,"-",VLOOKUP($B138,casostestes[#Data],6)),"-")</f>
        <v>-</v>
      </c>
      <c r="I138" s="35" t="str">
        <f>IFERROR(IF(VLOOKUP($B138,casostestes[#Data],8)=0,"-",VLOOKUP($B138,casostestes[#Data],8)),"-")</f>
        <v>-</v>
      </c>
      <c r="J138" s="35" t="str">
        <f>IFERROR(IF(VLOOKUP($B138,casostestes[#Data],9)=0,"-",VLOOKUP($B138,casostestes[#Data],9)),"-")</f>
        <v>-</v>
      </c>
      <c r="K138" s="36"/>
      <c r="L138" s="45"/>
      <c r="M138" s="37"/>
      <c r="N138" s="38"/>
      <c r="O138" s="38"/>
      <c r="P138" s="39"/>
    </row>
    <row r="139" spans="2:16">
      <c r="B139" s="40" t="str">
        <f>IF(ISERR(casostestes[[#This Row],[ID]]),"-",casostestes[[#This Row],[ID]])</f>
        <v>-</v>
      </c>
      <c r="C139" s="34" t="str">
        <f>IFERROR(IF(VLOOKUP($B139,casostestes[#Data],10)=0,"Não",VLOOKUP($B139,casostestes[#Data],10)), "-")</f>
        <v>-</v>
      </c>
      <c r="D139" s="35" t="str">
        <f>IFERROR(IF(VLOOKUP($B139,casostestes[#Data],2)=0,"-",VLOOKUP($B139,casostestes[#Data],2)), "-")</f>
        <v>-</v>
      </c>
      <c r="E139" s="35" t="str">
        <f>IFERROR(IF(VLOOKUP($B139,casostestes[#Data],3)=0,"-",VLOOKUP($B139,casostestes[#Data],3)), "-")</f>
        <v>-</v>
      </c>
      <c r="F139" s="35" t="str">
        <f>IFERROR(IF(VLOOKUP($B139,casostestes[#Data],4)=0,"-",VLOOKUP($B139,casostestes[#Data],4)),"-")</f>
        <v>-</v>
      </c>
      <c r="G139" s="35" t="str">
        <f>IFERROR(IF(VLOOKUP($B139,casostestes[#Data],5)=0,"-",VLOOKUP($B139,casostestes[#Data],5)),"-")</f>
        <v>-</v>
      </c>
      <c r="H139" s="87" t="str">
        <f>IFERROR(IF(VLOOKUP($B139,casostestes[#Data],6)=0,"-",VLOOKUP($B139,casostestes[#Data],6)),"-")</f>
        <v>-</v>
      </c>
      <c r="I139" s="35" t="str">
        <f>IFERROR(IF(VLOOKUP($B139,casostestes[#Data],8)=0,"-",VLOOKUP($B139,casostestes[#Data],8)),"-")</f>
        <v>-</v>
      </c>
      <c r="J139" s="35" t="str">
        <f>IFERROR(IF(VLOOKUP($B139,casostestes[#Data],9)=0,"-",VLOOKUP($B139,casostestes[#Data],9)),"-")</f>
        <v>-</v>
      </c>
      <c r="K139" s="36"/>
      <c r="L139" s="45"/>
      <c r="M139" s="37"/>
      <c r="N139" s="38"/>
      <c r="O139" s="38"/>
      <c r="P139" s="39"/>
    </row>
    <row r="140" spans="2:16">
      <c r="B140" s="40" t="str">
        <f>IF(ISERR(casostestes[[#This Row],[ID]]),"-",casostestes[[#This Row],[ID]])</f>
        <v>-</v>
      </c>
      <c r="C140" s="34" t="str">
        <f>IFERROR(IF(VLOOKUP($B140,casostestes[#Data],10)=0,"Não",VLOOKUP($B140,casostestes[#Data],10)), "-")</f>
        <v>-</v>
      </c>
      <c r="D140" s="35" t="str">
        <f>IFERROR(IF(VLOOKUP($B140,casostestes[#Data],2)=0,"-",VLOOKUP($B140,casostestes[#Data],2)), "-")</f>
        <v>-</v>
      </c>
      <c r="E140" s="35" t="str">
        <f>IFERROR(IF(VLOOKUP($B140,casostestes[#Data],3)=0,"-",VLOOKUP($B140,casostestes[#Data],3)), "-")</f>
        <v>-</v>
      </c>
      <c r="F140" s="35" t="str">
        <f>IFERROR(IF(VLOOKUP($B140,casostestes[#Data],4)=0,"-",VLOOKUP($B140,casostestes[#Data],4)),"-")</f>
        <v>-</v>
      </c>
      <c r="G140" s="35" t="str">
        <f>IFERROR(IF(VLOOKUP($B140,casostestes[#Data],5)=0,"-",VLOOKUP($B140,casostestes[#Data],5)),"-")</f>
        <v>-</v>
      </c>
      <c r="H140" s="87" t="str">
        <f>IFERROR(IF(VLOOKUP($B140,casostestes[#Data],6)=0,"-",VLOOKUP($B140,casostestes[#Data],6)),"-")</f>
        <v>-</v>
      </c>
      <c r="I140" s="35" t="str">
        <f>IFERROR(IF(VLOOKUP($B140,casostestes[#Data],8)=0,"-",VLOOKUP($B140,casostestes[#Data],8)),"-")</f>
        <v>-</v>
      </c>
      <c r="J140" s="35" t="str">
        <f>IFERROR(IF(VLOOKUP($B140,casostestes[#Data],9)=0,"-",VLOOKUP($B140,casostestes[#Data],9)),"-")</f>
        <v>-</v>
      </c>
      <c r="K140" s="36"/>
      <c r="L140" s="45"/>
      <c r="M140" s="37"/>
      <c r="N140" s="38"/>
      <c r="O140" s="38"/>
      <c r="P140" s="39"/>
    </row>
    <row r="141" spans="2:16">
      <c r="B141" s="40" t="str">
        <f>IF(ISERR(casostestes[[#This Row],[ID]]),"-",casostestes[[#This Row],[ID]])</f>
        <v>-</v>
      </c>
      <c r="C141" s="34" t="str">
        <f>IFERROR(IF(VLOOKUP($B141,casostestes[#Data],10)=0,"Não",VLOOKUP($B141,casostestes[#Data],10)), "-")</f>
        <v>-</v>
      </c>
      <c r="D141" s="35" t="str">
        <f>IFERROR(IF(VLOOKUP($B141,casostestes[#Data],2)=0,"-",VLOOKUP($B141,casostestes[#Data],2)), "-")</f>
        <v>-</v>
      </c>
      <c r="E141" s="35" t="str">
        <f>IFERROR(IF(VLOOKUP($B141,casostestes[#Data],3)=0,"-",VLOOKUP($B141,casostestes[#Data],3)), "-")</f>
        <v>-</v>
      </c>
      <c r="F141" s="35" t="str">
        <f>IFERROR(IF(VLOOKUP($B141,casostestes[#Data],4)=0,"-",VLOOKUP($B141,casostestes[#Data],4)),"-")</f>
        <v>-</v>
      </c>
      <c r="G141" s="35" t="str">
        <f>IFERROR(IF(VLOOKUP($B141,casostestes[#Data],5)=0,"-",VLOOKUP($B141,casostestes[#Data],5)),"-")</f>
        <v>-</v>
      </c>
      <c r="H141" s="87" t="str">
        <f>IFERROR(IF(VLOOKUP($B141,casostestes[#Data],6)=0,"-",VLOOKUP($B141,casostestes[#Data],6)),"-")</f>
        <v>-</v>
      </c>
      <c r="I141" s="35" t="str">
        <f>IFERROR(IF(VLOOKUP($B141,casostestes[#Data],8)=0,"-",VLOOKUP($B141,casostestes[#Data],8)),"-")</f>
        <v>-</v>
      </c>
      <c r="J141" s="35" t="str">
        <f>IFERROR(IF(VLOOKUP($B141,casostestes[#Data],9)=0,"-",VLOOKUP($B141,casostestes[#Data],9)),"-")</f>
        <v>-</v>
      </c>
      <c r="K141" s="36"/>
      <c r="L141" s="45"/>
      <c r="M141" s="37"/>
      <c r="N141" s="38"/>
      <c r="O141" s="38"/>
      <c r="P141" s="39"/>
    </row>
    <row r="142" spans="2:16">
      <c r="B142" s="40" t="str">
        <f>IF(ISERR(casostestes[[#This Row],[ID]]),"-",casostestes[[#This Row],[ID]])</f>
        <v>-</v>
      </c>
      <c r="C142" s="34" t="str">
        <f>IFERROR(IF(VLOOKUP($B142,casostestes[#Data],10)=0,"Não",VLOOKUP($B142,casostestes[#Data],10)), "-")</f>
        <v>-</v>
      </c>
      <c r="D142" s="35" t="str">
        <f>IFERROR(IF(VLOOKUP($B142,casostestes[#Data],2)=0,"-",VLOOKUP($B142,casostestes[#Data],2)), "-")</f>
        <v>-</v>
      </c>
      <c r="E142" s="35" t="str">
        <f>IFERROR(IF(VLOOKUP($B142,casostestes[#Data],3)=0,"-",VLOOKUP($B142,casostestes[#Data],3)), "-")</f>
        <v>-</v>
      </c>
      <c r="F142" s="35" t="str">
        <f>IFERROR(IF(VLOOKUP($B142,casostestes[#Data],4)=0,"-",VLOOKUP($B142,casostestes[#Data],4)),"-")</f>
        <v>-</v>
      </c>
      <c r="G142" s="35" t="str">
        <f>IFERROR(IF(VLOOKUP($B142,casostestes[#Data],5)=0,"-",VLOOKUP($B142,casostestes[#Data],5)),"-")</f>
        <v>-</v>
      </c>
      <c r="H142" s="87" t="str">
        <f>IFERROR(IF(VLOOKUP($B142,casostestes[#Data],6)=0,"-",VLOOKUP($B142,casostestes[#Data],6)),"-")</f>
        <v>-</v>
      </c>
      <c r="I142" s="35" t="str">
        <f>IFERROR(IF(VLOOKUP($B142,casostestes[#Data],8)=0,"-",VLOOKUP($B142,casostestes[#Data],8)),"-")</f>
        <v>-</v>
      </c>
      <c r="J142" s="35" t="str">
        <f>IFERROR(IF(VLOOKUP($B142,casostestes[#Data],9)=0,"-",VLOOKUP($B142,casostestes[#Data],9)),"-")</f>
        <v>-</v>
      </c>
      <c r="K142" s="36"/>
      <c r="L142" s="45"/>
      <c r="M142" s="37"/>
      <c r="N142" s="38"/>
      <c r="O142" s="38"/>
      <c r="P142" s="39"/>
    </row>
    <row r="143" spans="2:16">
      <c r="B143" s="40" t="str">
        <f>IF(ISERR(casostestes[[#This Row],[ID]]),"-",casostestes[[#This Row],[ID]])</f>
        <v>-</v>
      </c>
      <c r="C143" s="34" t="str">
        <f>IFERROR(IF(VLOOKUP($B143,casostestes[#Data],10)=0,"Não",VLOOKUP($B143,casostestes[#Data],10)), "-")</f>
        <v>-</v>
      </c>
      <c r="D143" s="35" t="str">
        <f>IFERROR(IF(VLOOKUP($B143,casostestes[#Data],2)=0,"-",VLOOKUP($B143,casostestes[#Data],2)), "-")</f>
        <v>-</v>
      </c>
      <c r="E143" s="35" t="str">
        <f>IFERROR(IF(VLOOKUP($B143,casostestes[#Data],3)=0,"-",VLOOKUP($B143,casostestes[#Data],3)), "-")</f>
        <v>-</v>
      </c>
      <c r="F143" s="35" t="str">
        <f>IFERROR(IF(VLOOKUP($B143,casostestes[#Data],4)=0,"-",VLOOKUP($B143,casostestes[#Data],4)),"-")</f>
        <v>-</v>
      </c>
      <c r="G143" s="35" t="str">
        <f>IFERROR(IF(VLOOKUP($B143,casostestes[#Data],5)=0,"-",VLOOKUP($B143,casostestes[#Data],5)),"-")</f>
        <v>-</v>
      </c>
      <c r="H143" s="87" t="str">
        <f>IFERROR(IF(VLOOKUP($B143,casostestes[#Data],6)=0,"-",VLOOKUP($B143,casostestes[#Data],6)),"-")</f>
        <v>-</v>
      </c>
      <c r="I143" s="35" t="str">
        <f>IFERROR(IF(VLOOKUP($B143,casostestes[#Data],8)=0,"-",VLOOKUP($B143,casostestes[#Data],8)),"-")</f>
        <v>-</v>
      </c>
      <c r="J143" s="35" t="str">
        <f>IFERROR(IF(VLOOKUP($B143,casostestes[#Data],9)=0,"-",VLOOKUP($B143,casostestes[#Data],9)),"-")</f>
        <v>-</v>
      </c>
      <c r="K143" s="36"/>
      <c r="L143" s="45"/>
      <c r="M143" s="37"/>
      <c r="N143" s="38"/>
      <c r="O143" s="38"/>
      <c r="P143" s="39"/>
    </row>
    <row r="144" spans="2:16">
      <c r="B144" s="40" t="str">
        <f>IF(ISERR(casostestes[[#This Row],[ID]]),"-",casostestes[[#This Row],[ID]])</f>
        <v>-</v>
      </c>
      <c r="C144" s="34" t="str">
        <f>IFERROR(IF(VLOOKUP($B144,casostestes[#Data],10)=0,"Não",VLOOKUP($B144,casostestes[#Data],10)), "-")</f>
        <v>-</v>
      </c>
      <c r="D144" s="35" t="str">
        <f>IFERROR(IF(VLOOKUP($B144,casostestes[#Data],2)=0,"-",VLOOKUP($B144,casostestes[#Data],2)), "-")</f>
        <v>-</v>
      </c>
      <c r="E144" s="35" t="str">
        <f>IFERROR(IF(VLOOKUP($B144,casostestes[#Data],3)=0,"-",VLOOKUP($B144,casostestes[#Data],3)), "-")</f>
        <v>-</v>
      </c>
      <c r="F144" s="35" t="str">
        <f>IFERROR(IF(VLOOKUP($B144,casostestes[#Data],4)=0,"-",VLOOKUP($B144,casostestes[#Data],4)),"-")</f>
        <v>-</v>
      </c>
      <c r="G144" s="35" t="str">
        <f>IFERROR(IF(VLOOKUP($B144,casostestes[#Data],5)=0,"-",VLOOKUP($B144,casostestes[#Data],5)),"-")</f>
        <v>-</v>
      </c>
      <c r="H144" s="87" t="str">
        <f>IFERROR(IF(VLOOKUP($B144,casostestes[#Data],6)=0,"-",VLOOKUP($B144,casostestes[#Data],6)),"-")</f>
        <v>-</v>
      </c>
      <c r="I144" s="35" t="str">
        <f>IFERROR(IF(VLOOKUP($B144,casostestes[#Data],8)=0,"-",VLOOKUP($B144,casostestes[#Data],8)),"-")</f>
        <v>-</v>
      </c>
      <c r="J144" s="35" t="str">
        <f>IFERROR(IF(VLOOKUP($B144,casostestes[#Data],9)=0,"-",VLOOKUP($B144,casostestes[#Data],9)),"-")</f>
        <v>-</v>
      </c>
      <c r="K144" s="36"/>
      <c r="L144" s="45"/>
      <c r="M144" s="37"/>
      <c r="N144" s="38"/>
      <c r="O144" s="38"/>
      <c r="P144" s="39"/>
    </row>
    <row r="145" spans="2:16">
      <c r="B145" s="40" t="str">
        <f>IF(ISERR(casostestes[[#This Row],[ID]]),"-",casostestes[[#This Row],[ID]])</f>
        <v>-</v>
      </c>
      <c r="C145" s="34" t="str">
        <f>IFERROR(IF(VLOOKUP($B145,casostestes[#Data],10)=0,"Não",VLOOKUP($B145,casostestes[#Data],10)), "-")</f>
        <v>-</v>
      </c>
      <c r="D145" s="35" t="str">
        <f>IFERROR(IF(VLOOKUP($B145,casostestes[#Data],2)=0,"-",VLOOKUP($B145,casostestes[#Data],2)), "-")</f>
        <v>-</v>
      </c>
      <c r="E145" s="35" t="str">
        <f>IFERROR(IF(VLOOKUP($B145,casostestes[#Data],3)=0,"-",VLOOKUP($B145,casostestes[#Data],3)), "-")</f>
        <v>-</v>
      </c>
      <c r="F145" s="35" t="str">
        <f>IFERROR(IF(VLOOKUP($B145,casostestes[#Data],4)=0,"-",VLOOKUP($B145,casostestes[#Data],4)),"-")</f>
        <v>-</v>
      </c>
      <c r="G145" s="35" t="str">
        <f>IFERROR(IF(VLOOKUP($B145,casostestes[#Data],5)=0,"-",VLOOKUP($B145,casostestes[#Data],5)),"-")</f>
        <v>-</v>
      </c>
      <c r="H145" s="87" t="str">
        <f>IFERROR(IF(VLOOKUP($B145,casostestes[#Data],6)=0,"-",VLOOKUP($B145,casostestes[#Data],6)),"-")</f>
        <v>-</v>
      </c>
      <c r="I145" s="35" t="str">
        <f>IFERROR(IF(VLOOKUP($B145,casostestes[#Data],8)=0,"-",VLOOKUP($B145,casostestes[#Data],8)),"-")</f>
        <v>-</v>
      </c>
      <c r="J145" s="35" t="str">
        <f>IFERROR(IF(VLOOKUP($B145,casostestes[#Data],9)=0,"-",VLOOKUP($B145,casostestes[#Data],9)),"-")</f>
        <v>-</v>
      </c>
      <c r="K145" s="36"/>
      <c r="L145" s="45"/>
      <c r="M145" s="37"/>
      <c r="N145" s="38"/>
      <c r="O145" s="38"/>
      <c r="P145" s="39"/>
    </row>
    <row r="146" spans="2:16">
      <c r="B146" s="40" t="str">
        <f>IF(ISERR(casostestes[[#This Row],[ID]]),"-",casostestes[[#This Row],[ID]])</f>
        <v>-</v>
      </c>
      <c r="C146" s="34" t="str">
        <f>IFERROR(IF(VLOOKUP($B146,casostestes[#Data],10)=0,"Não",VLOOKUP($B146,casostestes[#Data],10)), "-")</f>
        <v>-</v>
      </c>
      <c r="D146" s="35" t="str">
        <f>IFERROR(IF(VLOOKUP($B146,casostestes[#Data],2)=0,"-",VLOOKUP($B146,casostestes[#Data],2)), "-")</f>
        <v>-</v>
      </c>
      <c r="E146" s="35" t="str">
        <f>IFERROR(IF(VLOOKUP($B146,casostestes[#Data],3)=0,"-",VLOOKUP($B146,casostestes[#Data],3)), "-")</f>
        <v>-</v>
      </c>
      <c r="F146" s="35" t="str">
        <f>IFERROR(IF(VLOOKUP($B146,casostestes[#Data],4)=0,"-",VLOOKUP($B146,casostestes[#Data],4)),"-")</f>
        <v>-</v>
      </c>
      <c r="G146" s="35" t="str">
        <f>IFERROR(IF(VLOOKUP($B146,casostestes[#Data],5)=0,"-",VLOOKUP($B146,casostestes[#Data],5)),"-")</f>
        <v>-</v>
      </c>
      <c r="H146" s="87" t="str">
        <f>IFERROR(IF(VLOOKUP($B146,casostestes[#Data],6)=0,"-",VLOOKUP($B146,casostestes[#Data],6)),"-")</f>
        <v>-</v>
      </c>
      <c r="I146" s="35" t="str">
        <f>IFERROR(IF(VLOOKUP($B146,casostestes[#Data],8)=0,"-",VLOOKUP($B146,casostestes[#Data],8)),"-")</f>
        <v>-</v>
      </c>
      <c r="J146" s="35" t="str">
        <f>IFERROR(IF(VLOOKUP($B146,casostestes[#Data],9)=0,"-",VLOOKUP($B146,casostestes[#Data],9)),"-")</f>
        <v>-</v>
      </c>
      <c r="K146" s="36"/>
      <c r="L146" s="45"/>
      <c r="M146" s="37"/>
      <c r="N146" s="38"/>
      <c r="O146" s="38"/>
      <c r="P146" s="39"/>
    </row>
    <row r="147" spans="2:16">
      <c r="B147" s="40" t="str">
        <f>IF(ISERR(casostestes[[#This Row],[ID]]),"-",casostestes[[#This Row],[ID]])</f>
        <v>-</v>
      </c>
      <c r="C147" s="34" t="str">
        <f>IFERROR(IF(VLOOKUP($B147,casostestes[#Data],10)=0,"Não",VLOOKUP($B147,casostestes[#Data],10)), "-")</f>
        <v>-</v>
      </c>
      <c r="D147" s="35" t="str">
        <f>IFERROR(IF(VLOOKUP($B147,casostestes[#Data],2)=0,"-",VLOOKUP($B147,casostestes[#Data],2)), "-")</f>
        <v>-</v>
      </c>
      <c r="E147" s="35" t="str">
        <f>IFERROR(IF(VLOOKUP($B147,casostestes[#Data],3)=0,"-",VLOOKUP($B147,casostestes[#Data],3)), "-")</f>
        <v>-</v>
      </c>
      <c r="F147" s="35" t="str">
        <f>IFERROR(IF(VLOOKUP($B147,casostestes[#Data],4)=0,"-",VLOOKUP($B147,casostestes[#Data],4)),"-")</f>
        <v>-</v>
      </c>
      <c r="G147" s="35" t="str">
        <f>IFERROR(IF(VLOOKUP($B147,casostestes[#Data],5)=0,"-",VLOOKUP($B147,casostestes[#Data],5)),"-")</f>
        <v>-</v>
      </c>
      <c r="H147" s="87" t="str">
        <f>IFERROR(IF(VLOOKUP($B147,casostestes[#Data],6)=0,"-",VLOOKUP($B147,casostestes[#Data],6)),"-")</f>
        <v>-</v>
      </c>
      <c r="I147" s="35" t="str">
        <f>IFERROR(IF(VLOOKUP($B147,casostestes[#Data],8)=0,"-",VLOOKUP($B147,casostestes[#Data],8)),"-")</f>
        <v>-</v>
      </c>
      <c r="J147" s="35" t="str">
        <f>IFERROR(IF(VLOOKUP($B147,casostestes[#Data],9)=0,"-",VLOOKUP($B147,casostestes[#Data],9)),"-")</f>
        <v>-</v>
      </c>
      <c r="K147" s="36"/>
      <c r="L147" s="45"/>
      <c r="M147" s="37"/>
      <c r="N147" s="38"/>
      <c r="O147" s="38"/>
      <c r="P147" s="39"/>
    </row>
    <row r="148" spans="2:16">
      <c r="B148" s="40" t="str">
        <f>IF(ISERR(casostestes[[#This Row],[ID]]),"-",casostestes[[#This Row],[ID]])</f>
        <v>-</v>
      </c>
      <c r="C148" s="34" t="str">
        <f>IFERROR(IF(VLOOKUP($B148,casostestes[#Data],10)=0,"Não",VLOOKUP($B148,casostestes[#Data],10)), "-")</f>
        <v>-</v>
      </c>
      <c r="D148" s="35" t="str">
        <f>IFERROR(IF(VLOOKUP($B148,casostestes[#Data],2)=0,"-",VLOOKUP($B148,casostestes[#Data],2)), "-")</f>
        <v>-</v>
      </c>
      <c r="E148" s="35" t="str">
        <f>IFERROR(IF(VLOOKUP($B148,casostestes[#Data],3)=0,"-",VLOOKUP($B148,casostestes[#Data],3)), "-")</f>
        <v>-</v>
      </c>
      <c r="F148" s="35" t="str">
        <f>IFERROR(IF(VLOOKUP($B148,casostestes[#Data],4)=0,"-",VLOOKUP($B148,casostestes[#Data],4)),"-")</f>
        <v>-</v>
      </c>
      <c r="G148" s="35" t="str">
        <f>IFERROR(IF(VLOOKUP($B148,casostestes[#Data],5)=0,"-",VLOOKUP($B148,casostestes[#Data],5)),"-")</f>
        <v>-</v>
      </c>
      <c r="H148" s="87" t="str">
        <f>IFERROR(IF(VLOOKUP($B148,casostestes[#Data],6)=0,"-",VLOOKUP($B148,casostestes[#Data],6)),"-")</f>
        <v>-</v>
      </c>
      <c r="I148" s="35" t="str">
        <f>IFERROR(IF(VLOOKUP($B148,casostestes[#Data],8)=0,"-",VLOOKUP($B148,casostestes[#Data],8)),"-")</f>
        <v>-</v>
      </c>
      <c r="J148" s="35" t="str">
        <f>IFERROR(IF(VLOOKUP($B148,casostestes[#Data],9)=0,"-",VLOOKUP($B148,casostestes[#Data],9)),"-")</f>
        <v>-</v>
      </c>
      <c r="K148" s="36"/>
      <c r="L148" s="45"/>
      <c r="M148" s="37"/>
      <c r="N148" s="38"/>
      <c r="O148" s="38"/>
      <c r="P148" s="39"/>
    </row>
    <row r="149" spans="2:16">
      <c r="B149" s="40" t="str">
        <f>IF(ISERR(casostestes[[#This Row],[ID]]),"-",casostestes[[#This Row],[ID]])</f>
        <v>-</v>
      </c>
      <c r="C149" s="34" t="str">
        <f>IFERROR(IF(VLOOKUP($B149,casostestes[#Data],10)=0,"Não",VLOOKUP($B149,casostestes[#Data],10)), "-")</f>
        <v>-</v>
      </c>
      <c r="D149" s="35" t="str">
        <f>IFERROR(IF(VLOOKUP($B149,casostestes[#Data],2)=0,"-",VLOOKUP($B149,casostestes[#Data],2)), "-")</f>
        <v>-</v>
      </c>
      <c r="E149" s="35" t="str">
        <f>IFERROR(IF(VLOOKUP($B149,casostestes[#Data],3)=0,"-",VLOOKUP($B149,casostestes[#Data],3)), "-")</f>
        <v>-</v>
      </c>
      <c r="F149" s="35" t="str">
        <f>IFERROR(IF(VLOOKUP($B149,casostestes[#Data],4)=0,"-",VLOOKUP($B149,casostestes[#Data],4)),"-")</f>
        <v>-</v>
      </c>
      <c r="G149" s="35" t="str">
        <f>IFERROR(IF(VLOOKUP($B149,casostestes[#Data],5)=0,"-",VLOOKUP($B149,casostestes[#Data],5)),"-")</f>
        <v>-</v>
      </c>
      <c r="H149" s="87" t="str">
        <f>IFERROR(IF(VLOOKUP($B149,casostestes[#Data],6)=0,"-",VLOOKUP($B149,casostestes[#Data],6)),"-")</f>
        <v>-</v>
      </c>
      <c r="I149" s="35" t="str">
        <f>IFERROR(IF(VLOOKUP($B149,casostestes[#Data],8)=0,"-",VLOOKUP($B149,casostestes[#Data],8)),"-")</f>
        <v>-</v>
      </c>
      <c r="J149" s="35" t="str">
        <f>IFERROR(IF(VLOOKUP($B149,casostestes[#Data],9)=0,"-",VLOOKUP($B149,casostestes[#Data],9)),"-")</f>
        <v>-</v>
      </c>
      <c r="K149" s="36"/>
      <c r="L149" s="45"/>
      <c r="M149" s="37"/>
      <c r="N149" s="38"/>
      <c r="O149" s="38"/>
      <c r="P149" s="39"/>
    </row>
    <row r="150" spans="2:16">
      <c r="B150" s="40" t="str">
        <f>IF(ISERR(casostestes[[#This Row],[ID]]),"-",casostestes[[#This Row],[ID]])</f>
        <v>-</v>
      </c>
      <c r="C150" s="34" t="str">
        <f>IFERROR(IF(VLOOKUP($B150,casostestes[#Data],10)=0,"Não",VLOOKUP($B150,casostestes[#Data],10)), "-")</f>
        <v>-</v>
      </c>
      <c r="D150" s="35" t="str">
        <f>IFERROR(IF(VLOOKUP($B150,casostestes[#Data],2)=0,"-",VLOOKUP($B150,casostestes[#Data],2)), "-")</f>
        <v>-</v>
      </c>
      <c r="E150" s="35" t="str">
        <f>IFERROR(IF(VLOOKUP($B150,casostestes[#Data],3)=0,"-",VLOOKUP($B150,casostestes[#Data],3)), "-")</f>
        <v>-</v>
      </c>
      <c r="F150" s="35" t="str">
        <f>IFERROR(IF(VLOOKUP($B150,casostestes[#Data],4)=0,"-",VLOOKUP($B150,casostestes[#Data],4)),"-")</f>
        <v>-</v>
      </c>
      <c r="G150" s="35" t="str">
        <f>IFERROR(IF(VLOOKUP($B150,casostestes[#Data],5)=0,"-",VLOOKUP($B150,casostestes[#Data],5)),"-")</f>
        <v>-</v>
      </c>
      <c r="H150" s="87" t="str">
        <f>IFERROR(IF(VLOOKUP($B150,casostestes[#Data],6)=0,"-",VLOOKUP($B150,casostestes[#Data],6)),"-")</f>
        <v>-</v>
      </c>
      <c r="I150" s="35" t="str">
        <f>IFERROR(IF(VLOOKUP($B150,casostestes[#Data],8)=0,"-",VLOOKUP($B150,casostestes[#Data],8)),"-")</f>
        <v>-</v>
      </c>
      <c r="J150" s="35" t="str">
        <f>IFERROR(IF(VLOOKUP($B150,casostestes[#Data],9)=0,"-",VLOOKUP($B150,casostestes[#Data],9)),"-")</f>
        <v>-</v>
      </c>
      <c r="K150" s="36"/>
      <c r="L150" s="45"/>
      <c r="M150" s="37"/>
      <c r="N150" s="38"/>
      <c r="O150" s="38"/>
      <c r="P150" s="39"/>
    </row>
    <row r="151" spans="2:16">
      <c r="B151" s="40" t="str">
        <f>IF(ISERR(casostestes[[#This Row],[ID]]),"-",casostestes[[#This Row],[ID]])</f>
        <v>-</v>
      </c>
      <c r="C151" s="34" t="str">
        <f>IFERROR(IF(VLOOKUP($B151,casostestes[#Data],10)=0,"Não",VLOOKUP($B151,casostestes[#Data],10)), "-")</f>
        <v>-</v>
      </c>
      <c r="D151" s="35" t="str">
        <f>IFERROR(IF(VLOOKUP($B151,casostestes[#Data],2)=0,"-",VLOOKUP($B151,casostestes[#Data],2)), "-")</f>
        <v>-</v>
      </c>
      <c r="E151" s="35" t="str">
        <f>IFERROR(IF(VLOOKUP($B151,casostestes[#Data],3)=0,"-",VLOOKUP($B151,casostestes[#Data],3)), "-")</f>
        <v>-</v>
      </c>
      <c r="F151" s="35" t="str">
        <f>IFERROR(IF(VLOOKUP($B151,casostestes[#Data],4)=0,"-",VLOOKUP($B151,casostestes[#Data],4)),"-")</f>
        <v>-</v>
      </c>
      <c r="G151" s="35" t="str">
        <f>IFERROR(IF(VLOOKUP($B151,casostestes[#Data],5)=0,"-",VLOOKUP($B151,casostestes[#Data],5)),"-")</f>
        <v>-</v>
      </c>
      <c r="H151" s="87" t="str">
        <f>IFERROR(IF(VLOOKUP($B151,casostestes[#Data],6)=0,"-",VLOOKUP($B151,casostestes[#Data],6)),"-")</f>
        <v>-</v>
      </c>
      <c r="I151" s="35" t="str">
        <f>IFERROR(IF(VLOOKUP($B151,casostestes[#Data],8)=0,"-",VLOOKUP($B151,casostestes[#Data],8)),"-")</f>
        <v>-</v>
      </c>
      <c r="J151" s="35" t="str">
        <f>IFERROR(IF(VLOOKUP($B151,casostestes[#Data],9)=0,"-",VLOOKUP($B151,casostestes[#Data],9)),"-")</f>
        <v>-</v>
      </c>
      <c r="K151" s="36"/>
      <c r="L151" s="45"/>
      <c r="M151" s="37"/>
      <c r="N151" s="38"/>
      <c r="O151" s="38"/>
      <c r="P151" s="39"/>
    </row>
    <row r="152" spans="2:16">
      <c r="B152" s="40" t="str">
        <f>IF(ISERR(casostestes[[#This Row],[ID]]),"-",casostestes[[#This Row],[ID]])</f>
        <v>-</v>
      </c>
      <c r="C152" s="34" t="str">
        <f>IFERROR(IF(VLOOKUP($B152,casostestes[#Data],10)=0,"Não",VLOOKUP($B152,casostestes[#Data],10)), "-")</f>
        <v>-</v>
      </c>
      <c r="D152" s="35" t="str">
        <f>IFERROR(IF(VLOOKUP($B152,casostestes[#Data],2)=0,"-",VLOOKUP($B152,casostestes[#Data],2)), "-")</f>
        <v>-</v>
      </c>
      <c r="E152" s="35" t="str">
        <f>IFERROR(IF(VLOOKUP($B152,casostestes[#Data],3)=0,"-",VLOOKUP($B152,casostestes[#Data],3)), "-")</f>
        <v>-</v>
      </c>
      <c r="F152" s="35" t="str">
        <f>IFERROR(IF(VLOOKUP($B152,casostestes[#Data],4)=0,"-",VLOOKUP($B152,casostestes[#Data],4)),"-")</f>
        <v>-</v>
      </c>
      <c r="G152" s="35" t="str">
        <f>IFERROR(IF(VLOOKUP($B152,casostestes[#Data],5)=0,"-",VLOOKUP($B152,casostestes[#Data],5)),"-")</f>
        <v>-</v>
      </c>
      <c r="H152" s="87" t="str">
        <f>IFERROR(IF(VLOOKUP($B152,casostestes[#Data],6)=0,"-",VLOOKUP($B152,casostestes[#Data],6)),"-")</f>
        <v>-</v>
      </c>
      <c r="I152" s="35" t="str">
        <f>IFERROR(IF(VLOOKUP($B152,casostestes[#Data],8)=0,"-",VLOOKUP($B152,casostestes[#Data],8)),"-")</f>
        <v>-</v>
      </c>
      <c r="J152" s="35" t="str">
        <f>IFERROR(IF(VLOOKUP($B152,casostestes[#Data],9)=0,"-",VLOOKUP($B152,casostestes[#Data],9)),"-")</f>
        <v>-</v>
      </c>
      <c r="K152" s="36"/>
      <c r="L152" s="45"/>
      <c r="M152" s="37"/>
      <c r="N152" s="38"/>
      <c r="O152" s="38"/>
      <c r="P152" s="39"/>
    </row>
    <row r="153" spans="2:16">
      <c r="B153" s="40" t="str">
        <f>IF(ISERR(casostestes[[#This Row],[ID]]),"-",casostestes[[#This Row],[ID]])</f>
        <v>-</v>
      </c>
      <c r="C153" s="34" t="str">
        <f>IFERROR(IF(VLOOKUP($B153,casostestes[#Data],10)=0,"Não",VLOOKUP($B153,casostestes[#Data],10)), "-")</f>
        <v>-</v>
      </c>
      <c r="D153" s="35" t="str">
        <f>IFERROR(IF(VLOOKUP($B153,casostestes[#Data],2)=0,"-",VLOOKUP($B153,casostestes[#Data],2)), "-")</f>
        <v>-</v>
      </c>
      <c r="E153" s="35" t="str">
        <f>IFERROR(IF(VLOOKUP($B153,casostestes[#Data],3)=0,"-",VLOOKUP($B153,casostestes[#Data],3)), "-")</f>
        <v>-</v>
      </c>
      <c r="F153" s="35" t="str">
        <f>IFERROR(IF(VLOOKUP($B153,casostestes[#Data],4)=0,"-",VLOOKUP($B153,casostestes[#Data],4)),"-")</f>
        <v>-</v>
      </c>
      <c r="G153" s="35" t="str">
        <f>IFERROR(IF(VLOOKUP($B153,casostestes[#Data],5)=0,"-",VLOOKUP($B153,casostestes[#Data],5)),"-")</f>
        <v>-</v>
      </c>
      <c r="H153" s="87" t="str">
        <f>IFERROR(IF(VLOOKUP($B153,casostestes[#Data],6)=0,"-",VLOOKUP($B153,casostestes[#Data],6)),"-")</f>
        <v>-</v>
      </c>
      <c r="I153" s="35" t="str">
        <f>IFERROR(IF(VLOOKUP($B153,casostestes[#Data],8)=0,"-",VLOOKUP($B153,casostestes[#Data],8)),"-")</f>
        <v>-</v>
      </c>
      <c r="J153" s="35" t="str">
        <f>IFERROR(IF(VLOOKUP($B153,casostestes[#Data],9)=0,"-",VLOOKUP($B153,casostestes[#Data],9)),"-")</f>
        <v>-</v>
      </c>
      <c r="K153" s="36"/>
      <c r="L153" s="45"/>
      <c r="M153" s="37"/>
      <c r="N153" s="38"/>
      <c r="O153" s="38"/>
      <c r="P153" s="39"/>
    </row>
    <row r="154" spans="2:16">
      <c r="B154" s="40" t="str">
        <f>IF(ISERR(casostestes[[#This Row],[ID]]),"-",casostestes[[#This Row],[ID]])</f>
        <v>-</v>
      </c>
      <c r="C154" s="34" t="str">
        <f>IFERROR(IF(VLOOKUP($B154,casostestes[#Data],10)=0,"Não",VLOOKUP($B154,casostestes[#Data],10)), "-")</f>
        <v>-</v>
      </c>
      <c r="D154" s="35" t="str">
        <f>IFERROR(IF(VLOOKUP($B154,casostestes[#Data],2)=0,"-",VLOOKUP($B154,casostestes[#Data],2)), "-")</f>
        <v>-</v>
      </c>
      <c r="E154" s="35" t="str">
        <f>IFERROR(IF(VLOOKUP($B154,casostestes[#Data],3)=0,"-",VLOOKUP($B154,casostestes[#Data],3)), "-")</f>
        <v>-</v>
      </c>
      <c r="F154" s="35" t="str">
        <f>IFERROR(IF(VLOOKUP($B154,casostestes[#Data],4)=0,"-",VLOOKUP($B154,casostestes[#Data],4)),"-")</f>
        <v>-</v>
      </c>
      <c r="G154" s="35" t="str">
        <f>IFERROR(IF(VLOOKUP($B154,casostestes[#Data],5)=0,"-",VLOOKUP($B154,casostestes[#Data],5)),"-")</f>
        <v>-</v>
      </c>
      <c r="H154" s="87" t="str">
        <f>IFERROR(IF(VLOOKUP($B154,casostestes[#Data],6)=0,"-",VLOOKUP($B154,casostestes[#Data],6)),"-")</f>
        <v>-</v>
      </c>
      <c r="I154" s="35" t="str">
        <f>IFERROR(IF(VLOOKUP($B154,casostestes[#Data],8)=0,"-",VLOOKUP($B154,casostestes[#Data],8)),"-")</f>
        <v>-</v>
      </c>
      <c r="J154" s="35" t="str">
        <f>IFERROR(IF(VLOOKUP($B154,casostestes[#Data],9)=0,"-",VLOOKUP($B154,casostestes[#Data],9)),"-")</f>
        <v>-</v>
      </c>
      <c r="K154" s="36"/>
      <c r="L154" s="45"/>
      <c r="M154" s="37"/>
      <c r="N154" s="38"/>
      <c r="O154" s="38"/>
      <c r="P154" s="39"/>
    </row>
    <row r="155" spans="2:16">
      <c r="B155" s="40" t="str">
        <f>IF(ISERR(casostestes[[#This Row],[ID]]),"-",casostestes[[#This Row],[ID]])</f>
        <v>-</v>
      </c>
      <c r="C155" s="34" t="str">
        <f>IFERROR(IF(VLOOKUP($B155,casostestes[#Data],10)=0,"Não",VLOOKUP($B155,casostestes[#Data],10)), "-")</f>
        <v>-</v>
      </c>
      <c r="D155" s="35" t="str">
        <f>IFERROR(IF(VLOOKUP($B155,casostestes[#Data],2)=0,"-",VLOOKUP($B155,casostestes[#Data],2)), "-")</f>
        <v>-</v>
      </c>
      <c r="E155" s="35" t="str">
        <f>IFERROR(IF(VLOOKUP($B155,casostestes[#Data],3)=0,"-",VLOOKUP($B155,casostestes[#Data],3)), "-")</f>
        <v>-</v>
      </c>
      <c r="F155" s="35" t="str">
        <f>IFERROR(IF(VLOOKUP($B155,casostestes[#Data],4)=0,"-",VLOOKUP($B155,casostestes[#Data],4)),"-")</f>
        <v>-</v>
      </c>
      <c r="G155" s="35" t="str">
        <f>IFERROR(IF(VLOOKUP($B155,casostestes[#Data],5)=0,"-",VLOOKUP($B155,casostestes[#Data],5)),"-")</f>
        <v>-</v>
      </c>
      <c r="H155" s="87" t="str">
        <f>IFERROR(IF(VLOOKUP($B155,casostestes[#Data],6)=0,"-",VLOOKUP($B155,casostestes[#Data],6)),"-")</f>
        <v>-</v>
      </c>
      <c r="I155" s="35" t="str">
        <f>IFERROR(IF(VLOOKUP($B155,casostestes[#Data],8)=0,"-",VLOOKUP($B155,casostestes[#Data],8)),"-")</f>
        <v>-</v>
      </c>
      <c r="J155" s="35" t="str">
        <f>IFERROR(IF(VLOOKUP($B155,casostestes[#Data],9)=0,"-",VLOOKUP($B155,casostestes[#Data],9)),"-")</f>
        <v>-</v>
      </c>
      <c r="K155" s="36"/>
      <c r="L155" s="45"/>
      <c r="M155" s="37"/>
      <c r="N155" s="38"/>
      <c r="O155" s="38"/>
      <c r="P155" s="39"/>
    </row>
    <row r="156" spans="2:16">
      <c r="B156" s="40" t="str">
        <f>IF(ISERR(casostestes[[#This Row],[ID]]),"-",casostestes[[#This Row],[ID]])</f>
        <v>-</v>
      </c>
      <c r="C156" s="34" t="str">
        <f>IFERROR(IF(VLOOKUP($B156,casostestes[#Data],10)=0,"Não",VLOOKUP($B156,casostestes[#Data],10)), "-")</f>
        <v>-</v>
      </c>
      <c r="D156" s="35" t="str">
        <f>IFERROR(IF(VLOOKUP($B156,casostestes[#Data],2)=0,"-",VLOOKUP($B156,casostestes[#Data],2)), "-")</f>
        <v>-</v>
      </c>
      <c r="E156" s="35" t="str">
        <f>IFERROR(IF(VLOOKUP($B156,casostestes[#Data],3)=0,"-",VLOOKUP($B156,casostestes[#Data],3)), "-")</f>
        <v>-</v>
      </c>
      <c r="F156" s="35" t="str">
        <f>IFERROR(IF(VLOOKUP($B156,casostestes[#Data],4)=0,"-",VLOOKUP($B156,casostestes[#Data],4)),"-")</f>
        <v>-</v>
      </c>
      <c r="G156" s="35" t="str">
        <f>IFERROR(IF(VLOOKUP($B156,casostestes[#Data],5)=0,"-",VLOOKUP($B156,casostestes[#Data],5)),"-")</f>
        <v>-</v>
      </c>
      <c r="H156" s="87" t="str">
        <f>IFERROR(IF(VLOOKUP($B156,casostestes[#Data],6)=0,"-",VLOOKUP($B156,casostestes[#Data],6)),"-")</f>
        <v>-</v>
      </c>
      <c r="I156" s="35" t="str">
        <f>IFERROR(IF(VLOOKUP($B156,casostestes[#Data],8)=0,"-",VLOOKUP($B156,casostestes[#Data],8)),"-")</f>
        <v>-</v>
      </c>
      <c r="J156" s="35" t="str">
        <f>IFERROR(IF(VLOOKUP($B156,casostestes[#Data],9)=0,"-",VLOOKUP($B156,casostestes[#Data],9)),"-")</f>
        <v>-</v>
      </c>
      <c r="K156" s="36"/>
      <c r="L156" s="45"/>
      <c r="M156" s="37"/>
      <c r="N156" s="38"/>
      <c r="O156" s="38"/>
      <c r="P156" s="39"/>
    </row>
    <row r="157" spans="2:16">
      <c r="B157" s="40" t="str">
        <f>IF(ISERR(casostestes[[#This Row],[ID]]),"-",casostestes[[#This Row],[ID]])</f>
        <v>-</v>
      </c>
      <c r="C157" s="34" t="str">
        <f>IFERROR(IF(VLOOKUP($B157,casostestes[#Data],10)=0,"Não",VLOOKUP($B157,casostestes[#Data],10)), "-")</f>
        <v>-</v>
      </c>
      <c r="D157" s="35" t="str">
        <f>IFERROR(IF(VLOOKUP($B157,casostestes[#Data],2)=0,"-",VLOOKUP($B157,casostestes[#Data],2)), "-")</f>
        <v>-</v>
      </c>
      <c r="E157" s="35" t="str">
        <f>IFERROR(IF(VLOOKUP($B157,casostestes[#Data],3)=0,"-",VLOOKUP($B157,casostestes[#Data],3)), "-")</f>
        <v>-</v>
      </c>
      <c r="F157" s="35" t="str">
        <f>IFERROR(IF(VLOOKUP($B157,casostestes[#Data],4)=0,"-",VLOOKUP($B157,casostestes[#Data],4)),"-")</f>
        <v>-</v>
      </c>
      <c r="G157" s="35" t="str">
        <f>IFERROR(IF(VLOOKUP($B157,casostestes[#Data],5)=0,"-",VLOOKUP($B157,casostestes[#Data],5)),"-")</f>
        <v>-</v>
      </c>
      <c r="H157" s="87" t="str">
        <f>IFERROR(IF(VLOOKUP($B157,casostestes[#Data],6)=0,"-",VLOOKUP($B157,casostestes[#Data],6)),"-")</f>
        <v>-</v>
      </c>
      <c r="I157" s="35" t="str">
        <f>IFERROR(IF(VLOOKUP($B157,casostestes[#Data],8)=0,"-",VLOOKUP($B157,casostestes[#Data],8)),"-")</f>
        <v>-</v>
      </c>
      <c r="J157" s="35" t="str">
        <f>IFERROR(IF(VLOOKUP($B157,casostestes[#Data],9)=0,"-",VLOOKUP($B157,casostestes[#Data],9)),"-")</f>
        <v>-</v>
      </c>
      <c r="K157" s="36"/>
      <c r="L157" s="45"/>
      <c r="M157" s="37"/>
      <c r="N157" s="38"/>
      <c r="O157" s="38"/>
      <c r="P157" s="39"/>
    </row>
    <row r="158" spans="2:16">
      <c r="B158" s="40" t="str">
        <f>IF(ISERR(casostestes[[#This Row],[ID]]),"-",casostestes[[#This Row],[ID]])</f>
        <v>-</v>
      </c>
      <c r="C158" s="34" t="str">
        <f>IFERROR(IF(VLOOKUP($B158,casostestes[#Data],10)=0,"Não",VLOOKUP($B158,casostestes[#Data],10)), "-")</f>
        <v>-</v>
      </c>
      <c r="D158" s="35" t="str">
        <f>IFERROR(IF(VLOOKUP($B158,casostestes[#Data],2)=0,"-",VLOOKUP($B158,casostestes[#Data],2)), "-")</f>
        <v>-</v>
      </c>
      <c r="E158" s="35" t="str">
        <f>IFERROR(IF(VLOOKUP($B158,casostestes[#Data],3)=0,"-",VLOOKUP($B158,casostestes[#Data],3)), "-")</f>
        <v>-</v>
      </c>
      <c r="F158" s="35" t="str">
        <f>IFERROR(IF(VLOOKUP($B158,casostestes[#Data],4)=0,"-",VLOOKUP($B158,casostestes[#Data],4)),"-")</f>
        <v>-</v>
      </c>
      <c r="G158" s="35" t="str">
        <f>IFERROR(IF(VLOOKUP($B158,casostestes[#Data],5)=0,"-",VLOOKUP($B158,casostestes[#Data],5)),"-")</f>
        <v>-</v>
      </c>
      <c r="H158" s="87" t="str">
        <f>IFERROR(IF(VLOOKUP($B158,casostestes[#Data],6)=0,"-",VLOOKUP($B158,casostestes[#Data],6)),"-")</f>
        <v>-</v>
      </c>
      <c r="I158" s="35" t="str">
        <f>IFERROR(IF(VLOOKUP($B158,casostestes[#Data],8)=0,"-",VLOOKUP($B158,casostestes[#Data],8)),"-")</f>
        <v>-</v>
      </c>
      <c r="J158" s="35" t="str">
        <f>IFERROR(IF(VLOOKUP($B158,casostestes[#Data],9)=0,"-",VLOOKUP($B158,casostestes[#Data],9)),"-")</f>
        <v>-</v>
      </c>
      <c r="K158" s="36"/>
      <c r="L158" s="45"/>
      <c r="M158" s="37"/>
      <c r="N158" s="38"/>
      <c r="O158" s="38"/>
      <c r="P158" s="39"/>
    </row>
    <row r="159" spans="2:16">
      <c r="B159" s="40" t="str">
        <f>IF(ISERR(casostestes[[#This Row],[ID]]),"-",casostestes[[#This Row],[ID]])</f>
        <v>-</v>
      </c>
      <c r="C159" s="34" t="str">
        <f>IFERROR(IF(VLOOKUP($B159,casostestes[#Data],10)=0,"Não",VLOOKUP($B159,casostestes[#Data],10)), "-")</f>
        <v>-</v>
      </c>
      <c r="D159" s="35" t="str">
        <f>IFERROR(IF(VLOOKUP($B159,casostestes[#Data],2)=0,"-",VLOOKUP($B159,casostestes[#Data],2)), "-")</f>
        <v>-</v>
      </c>
      <c r="E159" s="35" t="str">
        <f>IFERROR(IF(VLOOKUP($B159,casostestes[#Data],3)=0,"-",VLOOKUP($B159,casostestes[#Data],3)), "-")</f>
        <v>-</v>
      </c>
      <c r="F159" s="35" t="str">
        <f>IFERROR(IF(VLOOKUP($B159,casostestes[#Data],4)=0,"-",VLOOKUP($B159,casostestes[#Data],4)),"-")</f>
        <v>-</v>
      </c>
      <c r="G159" s="35" t="str">
        <f>IFERROR(IF(VLOOKUP($B159,casostestes[#Data],5)=0,"-",VLOOKUP($B159,casostestes[#Data],5)),"-")</f>
        <v>-</v>
      </c>
      <c r="H159" s="87" t="str">
        <f>IFERROR(IF(VLOOKUP($B159,casostestes[#Data],6)=0,"-",VLOOKUP($B159,casostestes[#Data],6)),"-")</f>
        <v>-</v>
      </c>
      <c r="I159" s="35" t="str">
        <f>IFERROR(IF(VLOOKUP($B159,casostestes[#Data],8)=0,"-",VLOOKUP($B159,casostestes[#Data],8)),"-")</f>
        <v>-</v>
      </c>
      <c r="J159" s="35" t="str">
        <f>IFERROR(IF(VLOOKUP($B159,casostestes[#Data],9)=0,"-",VLOOKUP($B159,casostestes[#Data],9)),"-")</f>
        <v>-</v>
      </c>
      <c r="K159" s="36"/>
      <c r="L159" s="45"/>
      <c r="M159" s="37"/>
      <c r="N159" s="38"/>
      <c r="O159" s="38"/>
      <c r="P159" s="39"/>
    </row>
    <row r="160" spans="2:16">
      <c r="B160" s="40" t="str">
        <f>IF(ISERR(casostestes[[#This Row],[ID]]),"-",casostestes[[#This Row],[ID]])</f>
        <v>-</v>
      </c>
      <c r="C160" s="34" t="str">
        <f>IFERROR(IF(VLOOKUP($B160,casostestes[#Data],10)=0,"Não",VLOOKUP($B160,casostestes[#Data],10)), "-")</f>
        <v>-</v>
      </c>
      <c r="D160" s="35" t="str">
        <f>IFERROR(IF(VLOOKUP($B160,casostestes[#Data],2)=0,"-",VLOOKUP($B160,casostestes[#Data],2)), "-")</f>
        <v>-</v>
      </c>
      <c r="E160" s="35" t="str">
        <f>IFERROR(IF(VLOOKUP($B160,casostestes[#Data],3)=0,"-",VLOOKUP($B160,casostestes[#Data],3)), "-")</f>
        <v>-</v>
      </c>
      <c r="F160" s="35" t="str">
        <f>IFERROR(IF(VLOOKUP($B160,casostestes[#Data],4)=0,"-",VLOOKUP($B160,casostestes[#Data],4)),"-")</f>
        <v>-</v>
      </c>
      <c r="G160" s="35" t="str">
        <f>IFERROR(IF(VLOOKUP($B160,casostestes[#Data],5)=0,"-",VLOOKUP($B160,casostestes[#Data],5)),"-")</f>
        <v>-</v>
      </c>
      <c r="H160" s="87" t="str">
        <f>IFERROR(IF(VLOOKUP($B160,casostestes[#Data],6)=0,"-",VLOOKUP($B160,casostestes[#Data],6)),"-")</f>
        <v>-</v>
      </c>
      <c r="I160" s="35" t="str">
        <f>IFERROR(IF(VLOOKUP($B160,casostestes[#Data],8)=0,"-",VLOOKUP($B160,casostestes[#Data],8)),"-")</f>
        <v>-</v>
      </c>
      <c r="J160" s="35" t="str">
        <f>IFERROR(IF(VLOOKUP($B160,casostestes[#Data],9)=0,"-",VLOOKUP($B160,casostestes[#Data],9)),"-")</f>
        <v>-</v>
      </c>
      <c r="K160" s="36"/>
      <c r="L160" s="45"/>
      <c r="M160" s="37"/>
      <c r="N160" s="38"/>
      <c r="O160" s="38"/>
      <c r="P160" s="39"/>
    </row>
    <row r="161" spans="2:16">
      <c r="B161" s="40" t="str">
        <f>IF(ISERR(casostestes[[#This Row],[ID]]),"-",casostestes[[#This Row],[ID]])</f>
        <v>-</v>
      </c>
      <c r="C161" s="34" t="str">
        <f>IFERROR(IF(VLOOKUP($B161,casostestes[#Data],10)=0,"Não",VLOOKUP($B161,casostestes[#Data],10)), "-")</f>
        <v>-</v>
      </c>
      <c r="D161" s="35" t="str">
        <f>IFERROR(IF(VLOOKUP($B161,casostestes[#Data],2)=0,"-",VLOOKUP($B161,casostestes[#Data],2)), "-")</f>
        <v>-</v>
      </c>
      <c r="E161" s="35" t="str">
        <f>IFERROR(IF(VLOOKUP($B161,casostestes[#Data],3)=0,"-",VLOOKUP($B161,casostestes[#Data],3)), "-")</f>
        <v>-</v>
      </c>
      <c r="F161" s="35" t="str">
        <f>IFERROR(IF(VLOOKUP($B161,casostestes[#Data],4)=0,"-",VLOOKUP($B161,casostestes[#Data],4)),"-")</f>
        <v>-</v>
      </c>
      <c r="G161" s="35" t="str">
        <f>IFERROR(IF(VLOOKUP($B161,casostestes[#Data],5)=0,"-",VLOOKUP($B161,casostestes[#Data],5)),"-")</f>
        <v>-</v>
      </c>
      <c r="H161" s="87" t="str">
        <f>IFERROR(IF(VLOOKUP($B161,casostestes[#Data],6)=0,"-",VLOOKUP($B161,casostestes[#Data],6)),"-")</f>
        <v>-</v>
      </c>
      <c r="I161" s="35" t="str">
        <f>IFERROR(IF(VLOOKUP($B161,casostestes[#Data],8)=0,"-",VLOOKUP($B161,casostestes[#Data],8)),"-")</f>
        <v>-</v>
      </c>
      <c r="J161" s="35" t="str">
        <f>IFERROR(IF(VLOOKUP($B161,casostestes[#Data],9)=0,"-",VLOOKUP($B161,casostestes[#Data],9)),"-")</f>
        <v>-</v>
      </c>
      <c r="K161" s="36"/>
      <c r="L161" s="45"/>
      <c r="M161" s="37"/>
      <c r="N161" s="38"/>
      <c r="O161" s="38"/>
      <c r="P161" s="39"/>
    </row>
    <row r="162" spans="2:16">
      <c r="B162" s="40" t="str">
        <f>IF(ISERR(casostestes[[#This Row],[ID]]),"-",casostestes[[#This Row],[ID]])</f>
        <v>-</v>
      </c>
      <c r="C162" s="34" t="str">
        <f>IFERROR(IF(VLOOKUP($B162,casostestes[#Data],10)=0,"Não",VLOOKUP($B162,casostestes[#Data],10)), "-")</f>
        <v>-</v>
      </c>
      <c r="D162" s="35" t="str">
        <f>IFERROR(IF(VLOOKUP($B162,casostestes[#Data],2)=0,"-",VLOOKUP($B162,casostestes[#Data],2)), "-")</f>
        <v>-</v>
      </c>
      <c r="E162" s="35" t="str">
        <f>IFERROR(IF(VLOOKUP($B162,casostestes[#Data],3)=0,"-",VLOOKUP($B162,casostestes[#Data],3)), "-")</f>
        <v>-</v>
      </c>
      <c r="F162" s="35" t="str">
        <f>IFERROR(IF(VLOOKUP($B162,casostestes[#Data],4)=0,"-",VLOOKUP($B162,casostestes[#Data],4)),"-")</f>
        <v>-</v>
      </c>
      <c r="G162" s="35" t="str">
        <f>IFERROR(IF(VLOOKUP($B162,casostestes[#Data],5)=0,"-",VLOOKUP($B162,casostestes[#Data],5)),"-")</f>
        <v>-</v>
      </c>
      <c r="H162" s="87" t="str">
        <f>IFERROR(IF(VLOOKUP($B162,casostestes[#Data],6)=0,"-",VLOOKUP($B162,casostestes[#Data],6)),"-")</f>
        <v>-</v>
      </c>
      <c r="I162" s="35" t="str">
        <f>IFERROR(IF(VLOOKUP($B162,casostestes[#Data],8)=0,"-",VLOOKUP($B162,casostestes[#Data],8)),"-")</f>
        <v>-</v>
      </c>
      <c r="J162" s="35" t="str">
        <f>IFERROR(IF(VLOOKUP($B162,casostestes[#Data],9)=0,"-",VLOOKUP($B162,casostestes[#Data],9)),"-")</f>
        <v>-</v>
      </c>
      <c r="K162" s="36"/>
      <c r="L162" s="45"/>
      <c r="M162" s="37"/>
      <c r="N162" s="38"/>
      <c r="O162" s="38"/>
      <c r="P162" s="39"/>
    </row>
    <row r="163" spans="2:16">
      <c r="B163" s="40" t="str">
        <f>IF(ISERR(casostestes[[#This Row],[ID]]),"-",casostestes[[#This Row],[ID]])</f>
        <v>-</v>
      </c>
      <c r="C163" s="34" t="str">
        <f>IFERROR(IF(VLOOKUP($B163,casostestes[#Data],10)=0,"Não",VLOOKUP($B163,casostestes[#Data],10)), "-")</f>
        <v>-</v>
      </c>
      <c r="D163" s="35" t="str">
        <f>IFERROR(IF(VLOOKUP($B163,casostestes[#Data],2)=0,"-",VLOOKUP($B163,casostestes[#Data],2)), "-")</f>
        <v>-</v>
      </c>
      <c r="E163" s="35" t="str">
        <f>IFERROR(IF(VLOOKUP($B163,casostestes[#Data],3)=0,"-",VLOOKUP($B163,casostestes[#Data],3)), "-")</f>
        <v>-</v>
      </c>
      <c r="F163" s="35" t="str">
        <f>IFERROR(IF(VLOOKUP($B163,casostestes[#Data],4)=0,"-",VLOOKUP($B163,casostestes[#Data],4)),"-")</f>
        <v>-</v>
      </c>
      <c r="G163" s="35" t="str">
        <f>IFERROR(IF(VLOOKUP($B163,casostestes[#Data],5)=0,"-",VLOOKUP($B163,casostestes[#Data],5)),"-")</f>
        <v>-</v>
      </c>
      <c r="H163" s="87" t="str">
        <f>IFERROR(IF(VLOOKUP($B163,casostestes[#Data],6)=0,"-",VLOOKUP($B163,casostestes[#Data],6)),"-")</f>
        <v>-</v>
      </c>
      <c r="I163" s="35" t="str">
        <f>IFERROR(IF(VLOOKUP($B163,casostestes[#Data],8)=0,"-",VLOOKUP($B163,casostestes[#Data],8)),"-")</f>
        <v>-</v>
      </c>
      <c r="J163" s="35" t="str">
        <f>IFERROR(IF(VLOOKUP($B163,casostestes[#Data],9)=0,"-",VLOOKUP($B163,casostestes[#Data],9)),"-")</f>
        <v>-</v>
      </c>
      <c r="K163" s="36"/>
      <c r="L163" s="45"/>
      <c r="M163" s="37"/>
      <c r="N163" s="38"/>
      <c r="O163" s="38"/>
      <c r="P163" s="39"/>
    </row>
    <row r="164" spans="2:16">
      <c r="B164" s="40" t="str">
        <f>IF(ISERR(casostestes[[#This Row],[ID]]),"-",casostestes[[#This Row],[ID]])</f>
        <v>-</v>
      </c>
      <c r="C164" s="34" t="str">
        <f>IFERROR(IF(VLOOKUP($B164,casostestes[#Data],10)=0,"Não",VLOOKUP($B164,casostestes[#Data],10)), "-")</f>
        <v>-</v>
      </c>
      <c r="D164" s="35" t="str">
        <f>IFERROR(IF(VLOOKUP($B164,casostestes[#Data],2)=0,"-",VLOOKUP($B164,casostestes[#Data],2)), "-")</f>
        <v>-</v>
      </c>
      <c r="E164" s="35" t="str">
        <f>IFERROR(IF(VLOOKUP($B164,casostestes[#Data],3)=0,"-",VLOOKUP($B164,casostestes[#Data],3)), "-")</f>
        <v>-</v>
      </c>
      <c r="F164" s="35" t="str">
        <f>IFERROR(IF(VLOOKUP($B164,casostestes[#Data],4)=0,"-",VLOOKUP($B164,casostestes[#Data],4)),"-")</f>
        <v>-</v>
      </c>
      <c r="G164" s="35" t="str">
        <f>IFERROR(IF(VLOOKUP($B164,casostestes[#Data],5)=0,"-",VLOOKUP($B164,casostestes[#Data],5)),"-")</f>
        <v>-</v>
      </c>
      <c r="H164" s="87" t="str">
        <f>IFERROR(IF(VLOOKUP($B164,casostestes[#Data],6)=0,"-",VLOOKUP($B164,casostestes[#Data],6)),"-")</f>
        <v>-</v>
      </c>
      <c r="I164" s="35" t="str">
        <f>IFERROR(IF(VLOOKUP($B164,casostestes[#Data],8)=0,"-",VLOOKUP($B164,casostestes[#Data],8)),"-")</f>
        <v>-</v>
      </c>
      <c r="J164" s="35" t="str">
        <f>IFERROR(IF(VLOOKUP($B164,casostestes[#Data],9)=0,"-",VLOOKUP($B164,casostestes[#Data],9)),"-")</f>
        <v>-</v>
      </c>
      <c r="K164" s="36"/>
      <c r="L164" s="45"/>
      <c r="M164" s="37"/>
      <c r="N164" s="38"/>
      <c r="O164" s="38"/>
      <c r="P164" s="39"/>
    </row>
    <row r="165" spans="2:16">
      <c r="B165" s="40" t="str">
        <f>IF(ISERR(casostestes[[#This Row],[ID]]),"-",casostestes[[#This Row],[ID]])</f>
        <v>-</v>
      </c>
      <c r="C165" s="34" t="str">
        <f>IFERROR(IF(VLOOKUP($B165,casostestes[#Data],10)=0,"Não",VLOOKUP($B165,casostestes[#Data],10)), "-")</f>
        <v>-</v>
      </c>
      <c r="D165" s="35" t="str">
        <f>IFERROR(IF(VLOOKUP($B165,casostestes[#Data],2)=0,"-",VLOOKUP($B165,casostestes[#Data],2)), "-")</f>
        <v>-</v>
      </c>
      <c r="E165" s="35" t="str">
        <f>IFERROR(IF(VLOOKUP($B165,casostestes[#Data],3)=0,"-",VLOOKUP($B165,casostestes[#Data],3)), "-")</f>
        <v>-</v>
      </c>
      <c r="F165" s="35" t="str">
        <f>IFERROR(IF(VLOOKUP($B165,casostestes[#Data],4)=0,"-",VLOOKUP($B165,casostestes[#Data],4)),"-")</f>
        <v>-</v>
      </c>
      <c r="G165" s="35" t="str">
        <f>IFERROR(IF(VLOOKUP($B165,casostestes[#Data],5)=0,"-",VLOOKUP($B165,casostestes[#Data],5)),"-")</f>
        <v>-</v>
      </c>
      <c r="H165" s="87" t="str">
        <f>IFERROR(IF(VLOOKUP($B165,casostestes[#Data],6)=0,"-",VLOOKUP($B165,casostestes[#Data],6)),"-")</f>
        <v>-</v>
      </c>
      <c r="I165" s="35" t="str">
        <f>IFERROR(IF(VLOOKUP($B165,casostestes[#Data],8)=0,"-",VLOOKUP($B165,casostestes[#Data],8)),"-")</f>
        <v>-</v>
      </c>
      <c r="J165" s="35" t="str">
        <f>IFERROR(IF(VLOOKUP($B165,casostestes[#Data],9)=0,"-",VLOOKUP($B165,casostestes[#Data],9)),"-")</f>
        <v>-</v>
      </c>
      <c r="K165" s="36"/>
      <c r="L165" s="45"/>
      <c r="M165" s="37"/>
      <c r="N165" s="38"/>
      <c r="O165" s="38"/>
      <c r="P165" s="39"/>
    </row>
    <row r="166" spans="2:16">
      <c r="B166" s="40" t="str">
        <f>IF(ISERR(casostestes[[#This Row],[ID]]),"-",casostestes[[#This Row],[ID]])</f>
        <v>-</v>
      </c>
      <c r="C166" s="34" t="str">
        <f>IFERROR(IF(VLOOKUP($B166,casostestes[#Data],10)=0,"Não",VLOOKUP($B166,casostestes[#Data],10)), "-")</f>
        <v>-</v>
      </c>
      <c r="D166" s="35" t="str">
        <f>IFERROR(IF(VLOOKUP($B166,casostestes[#Data],2)=0,"-",VLOOKUP($B166,casostestes[#Data],2)), "-")</f>
        <v>-</v>
      </c>
      <c r="E166" s="35" t="str">
        <f>IFERROR(IF(VLOOKUP($B166,casostestes[#Data],3)=0,"-",VLOOKUP($B166,casostestes[#Data],3)), "-")</f>
        <v>-</v>
      </c>
      <c r="F166" s="35" t="str">
        <f>IFERROR(IF(VLOOKUP($B166,casostestes[#Data],4)=0,"-",VLOOKUP($B166,casostestes[#Data],4)),"-")</f>
        <v>-</v>
      </c>
      <c r="G166" s="35" t="str">
        <f>IFERROR(IF(VLOOKUP($B166,casostestes[#Data],5)=0,"-",VLOOKUP($B166,casostestes[#Data],5)),"-")</f>
        <v>-</v>
      </c>
      <c r="H166" s="87" t="str">
        <f>IFERROR(IF(VLOOKUP($B166,casostestes[#Data],6)=0,"-",VLOOKUP($B166,casostestes[#Data],6)),"-")</f>
        <v>-</v>
      </c>
      <c r="I166" s="35" t="str">
        <f>IFERROR(IF(VLOOKUP($B166,casostestes[#Data],8)=0,"-",VLOOKUP($B166,casostestes[#Data],8)),"-")</f>
        <v>-</v>
      </c>
      <c r="J166" s="35" t="str">
        <f>IFERROR(IF(VLOOKUP($B166,casostestes[#Data],9)=0,"-",VLOOKUP($B166,casostestes[#Data],9)),"-")</f>
        <v>-</v>
      </c>
      <c r="K166" s="36"/>
      <c r="L166" s="45"/>
      <c r="M166" s="37"/>
      <c r="N166" s="38"/>
      <c r="O166" s="38"/>
      <c r="P166" s="39"/>
    </row>
    <row r="167" spans="2:16">
      <c r="B167" s="40" t="str">
        <f>IF(ISERR(casostestes[[#This Row],[ID]]),"-",casostestes[[#This Row],[ID]])</f>
        <v>-</v>
      </c>
      <c r="C167" s="34" t="str">
        <f>IFERROR(IF(VLOOKUP($B167,casostestes[#Data],10)=0,"Não",VLOOKUP($B167,casostestes[#Data],10)), "-")</f>
        <v>-</v>
      </c>
      <c r="D167" s="35" t="str">
        <f>IFERROR(IF(VLOOKUP($B167,casostestes[#Data],2)=0,"-",VLOOKUP($B167,casostestes[#Data],2)), "-")</f>
        <v>-</v>
      </c>
      <c r="E167" s="35" t="str">
        <f>IFERROR(IF(VLOOKUP($B167,casostestes[#Data],3)=0,"-",VLOOKUP($B167,casostestes[#Data],3)), "-")</f>
        <v>-</v>
      </c>
      <c r="F167" s="35" t="str">
        <f>IFERROR(IF(VLOOKUP($B167,casostestes[#Data],4)=0,"-",VLOOKUP($B167,casostestes[#Data],4)),"-")</f>
        <v>-</v>
      </c>
      <c r="G167" s="35" t="str">
        <f>IFERROR(IF(VLOOKUP($B167,casostestes[#Data],5)=0,"-",VLOOKUP($B167,casostestes[#Data],5)),"-")</f>
        <v>-</v>
      </c>
      <c r="H167" s="87" t="str">
        <f>IFERROR(IF(VLOOKUP($B167,casostestes[#Data],6)=0,"-",VLOOKUP($B167,casostestes[#Data],6)),"-")</f>
        <v>-</v>
      </c>
      <c r="I167" s="35" t="str">
        <f>IFERROR(IF(VLOOKUP($B167,casostestes[#Data],8)=0,"-",VLOOKUP($B167,casostestes[#Data],8)),"-")</f>
        <v>-</v>
      </c>
      <c r="J167" s="35" t="str">
        <f>IFERROR(IF(VLOOKUP($B167,casostestes[#Data],9)=0,"-",VLOOKUP($B167,casostestes[#Data],9)),"-")</f>
        <v>-</v>
      </c>
      <c r="K167" s="36"/>
      <c r="L167" s="45"/>
      <c r="M167" s="37"/>
      <c r="N167" s="38"/>
      <c r="O167" s="38"/>
      <c r="P167" s="39"/>
    </row>
    <row r="168" spans="2:16">
      <c r="B168" s="40" t="str">
        <f>IF(ISERR(casostestes[[#This Row],[ID]]),"-",casostestes[[#This Row],[ID]])</f>
        <v>-</v>
      </c>
      <c r="C168" s="34" t="str">
        <f>IFERROR(IF(VLOOKUP($B168,casostestes[#Data],10)=0,"Não",VLOOKUP($B168,casostestes[#Data],10)), "-")</f>
        <v>-</v>
      </c>
      <c r="D168" s="35" t="str">
        <f>IFERROR(IF(VLOOKUP($B168,casostestes[#Data],2)=0,"-",VLOOKUP($B168,casostestes[#Data],2)), "-")</f>
        <v>-</v>
      </c>
      <c r="E168" s="35" t="str">
        <f>IFERROR(IF(VLOOKUP($B168,casostestes[#Data],3)=0,"-",VLOOKUP($B168,casostestes[#Data],3)), "-")</f>
        <v>-</v>
      </c>
      <c r="F168" s="35" t="str">
        <f>IFERROR(IF(VLOOKUP($B168,casostestes[#Data],4)=0,"-",VLOOKUP($B168,casostestes[#Data],4)),"-")</f>
        <v>-</v>
      </c>
      <c r="G168" s="35" t="str">
        <f>IFERROR(IF(VLOOKUP($B168,casostestes[#Data],5)=0,"-",VLOOKUP($B168,casostestes[#Data],5)),"-")</f>
        <v>-</v>
      </c>
      <c r="H168" s="87" t="str">
        <f>IFERROR(IF(VLOOKUP($B168,casostestes[#Data],6)=0,"-",VLOOKUP($B168,casostestes[#Data],6)),"-")</f>
        <v>-</v>
      </c>
      <c r="I168" s="35" t="str">
        <f>IFERROR(IF(VLOOKUP($B168,casostestes[#Data],8)=0,"-",VLOOKUP($B168,casostestes[#Data],8)),"-")</f>
        <v>-</v>
      </c>
      <c r="J168" s="35" t="str">
        <f>IFERROR(IF(VLOOKUP($B168,casostestes[#Data],9)=0,"-",VLOOKUP($B168,casostestes[#Data],9)),"-")</f>
        <v>-</v>
      </c>
      <c r="K168" s="36"/>
      <c r="L168" s="45"/>
      <c r="M168" s="37"/>
      <c r="N168" s="38"/>
      <c r="O168" s="38"/>
      <c r="P168" s="39"/>
    </row>
    <row r="169" spans="2:16">
      <c r="B169" s="40" t="str">
        <f>IF(ISERR(casostestes[[#This Row],[ID]]),"-",casostestes[[#This Row],[ID]])</f>
        <v>-</v>
      </c>
      <c r="C169" s="34" t="str">
        <f>IFERROR(IF(VLOOKUP($B169,casostestes[#Data],10)=0,"Não",VLOOKUP($B169,casostestes[#Data],10)), "-")</f>
        <v>-</v>
      </c>
      <c r="D169" s="35" t="str">
        <f>IFERROR(IF(VLOOKUP($B169,casostestes[#Data],2)=0,"-",VLOOKUP($B169,casostestes[#Data],2)), "-")</f>
        <v>-</v>
      </c>
      <c r="E169" s="35" t="str">
        <f>IFERROR(IF(VLOOKUP($B169,casostestes[#Data],3)=0,"-",VLOOKUP($B169,casostestes[#Data],3)), "-")</f>
        <v>-</v>
      </c>
      <c r="F169" s="35" t="str">
        <f>IFERROR(IF(VLOOKUP($B169,casostestes[#Data],4)=0,"-",VLOOKUP($B169,casostestes[#Data],4)),"-")</f>
        <v>-</v>
      </c>
      <c r="G169" s="35" t="str">
        <f>IFERROR(IF(VLOOKUP($B169,casostestes[#Data],5)=0,"-",VLOOKUP($B169,casostestes[#Data],5)),"-")</f>
        <v>-</v>
      </c>
      <c r="H169" s="87" t="str">
        <f>IFERROR(IF(VLOOKUP($B169,casostestes[#Data],6)=0,"-",VLOOKUP($B169,casostestes[#Data],6)),"-")</f>
        <v>-</v>
      </c>
      <c r="I169" s="35" t="str">
        <f>IFERROR(IF(VLOOKUP($B169,casostestes[#Data],8)=0,"-",VLOOKUP($B169,casostestes[#Data],8)),"-")</f>
        <v>-</v>
      </c>
      <c r="J169" s="35" t="str">
        <f>IFERROR(IF(VLOOKUP($B169,casostestes[#Data],9)=0,"-",VLOOKUP($B169,casostestes[#Data],9)),"-")</f>
        <v>-</v>
      </c>
      <c r="K169" s="36"/>
      <c r="L169" s="45"/>
      <c r="M169" s="37"/>
      <c r="N169" s="38"/>
      <c r="O169" s="38"/>
      <c r="P169" s="39"/>
    </row>
    <row r="170" spans="2:16">
      <c r="B170" s="40" t="str">
        <f>IF(ISERR(casostestes[[#This Row],[ID]]),"-",casostestes[[#This Row],[ID]])</f>
        <v>-</v>
      </c>
      <c r="C170" s="34" t="str">
        <f>IFERROR(IF(VLOOKUP($B170,casostestes[#Data],10)=0,"Não",VLOOKUP($B170,casostestes[#Data],10)), "-")</f>
        <v>-</v>
      </c>
      <c r="D170" s="35" t="str">
        <f>IFERROR(IF(VLOOKUP($B170,casostestes[#Data],2)=0,"-",VLOOKUP($B170,casostestes[#Data],2)), "-")</f>
        <v>-</v>
      </c>
      <c r="E170" s="35" t="str">
        <f>IFERROR(IF(VLOOKUP($B170,casostestes[#Data],3)=0,"-",VLOOKUP($B170,casostestes[#Data],3)), "-")</f>
        <v>-</v>
      </c>
      <c r="F170" s="35" t="str">
        <f>IFERROR(IF(VLOOKUP($B170,casostestes[#Data],4)=0,"-",VLOOKUP($B170,casostestes[#Data],4)),"-")</f>
        <v>-</v>
      </c>
      <c r="G170" s="35" t="str">
        <f>IFERROR(IF(VLOOKUP($B170,casostestes[#Data],5)=0,"-",VLOOKUP($B170,casostestes[#Data],5)),"-")</f>
        <v>-</v>
      </c>
      <c r="H170" s="87" t="str">
        <f>IFERROR(IF(VLOOKUP($B170,casostestes[#Data],6)=0,"-",VLOOKUP($B170,casostestes[#Data],6)),"-")</f>
        <v>-</v>
      </c>
      <c r="I170" s="35" t="str">
        <f>IFERROR(IF(VLOOKUP($B170,casostestes[#Data],8)=0,"-",VLOOKUP($B170,casostestes[#Data],8)),"-")</f>
        <v>-</v>
      </c>
      <c r="J170" s="35" t="str">
        <f>IFERROR(IF(VLOOKUP($B170,casostestes[#Data],9)=0,"-",VLOOKUP($B170,casostestes[#Data],9)),"-")</f>
        <v>-</v>
      </c>
      <c r="K170" s="36"/>
      <c r="L170" s="45"/>
      <c r="M170" s="37"/>
      <c r="N170" s="38"/>
      <c r="O170" s="38"/>
      <c r="P170" s="39"/>
    </row>
    <row r="171" spans="2:16">
      <c r="B171" s="40" t="str">
        <f>IF(ISERR(casostestes[[#This Row],[ID]]),"-",casostestes[[#This Row],[ID]])</f>
        <v>-</v>
      </c>
      <c r="C171" s="34" t="str">
        <f>IFERROR(IF(VLOOKUP($B171,casostestes[#Data],10)=0,"Não",VLOOKUP($B171,casostestes[#Data],10)), "-")</f>
        <v>-</v>
      </c>
      <c r="D171" s="35" t="str">
        <f>IFERROR(IF(VLOOKUP($B171,casostestes[#Data],2)=0,"-",VLOOKUP($B171,casostestes[#Data],2)), "-")</f>
        <v>-</v>
      </c>
      <c r="E171" s="35" t="str">
        <f>IFERROR(IF(VLOOKUP($B171,casostestes[#Data],3)=0,"-",VLOOKUP($B171,casostestes[#Data],3)), "-")</f>
        <v>-</v>
      </c>
      <c r="F171" s="35" t="str">
        <f>IFERROR(IF(VLOOKUP($B171,casostestes[#Data],4)=0,"-",VLOOKUP($B171,casostestes[#Data],4)),"-")</f>
        <v>-</v>
      </c>
      <c r="G171" s="35" t="str">
        <f>IFERROR(IF(VLOOKUP($B171,casostestes[#Data],5)=0,"-",VLOOKUP($B171,casostestes[#Data],5)),"-")</f>
        <v>-</v>
      </c>
      <c r="H171" s="87" t="str">
        <f>IFERROR(IF(VLOOKUP($B171,casostestes[#Data],6)=0,"-",VLOOKUP($B171,casostestes[#Data],6)),"-")</f>
        <v>-</v>
      </c>
      <c r="I171" s="35" t="str">
        <f>IFERROR(IF(VLOOKUP($B171,casostestes[#Data],8)=0,"-",VLOOKUP($B171,casostestes[#Data],8)),"-")</f>
        <v>-</v>
      </c>
      <c r="J171" s="35" t="str">
        <f>IFERROR(IF(VLOOKUP($B171,casostestes[#Data],9)=0,"-",VLOOKUP($B171,casostestes[#Data],9)),"-")</f>
        <v>-</v>
      </c>
      <c r="K171" s="36"/>
      <c r="L171" s="45"/>
      <c r="M171" s="37"/>
      <c r="N171" s="38"/>
      <c r="O171" s="38"/>
      <c r="P171" s="39"/>
    </row>
    <row r="172" spans="2:16">
      <c r="B172" s="40" t="str">
        <f>IF(ISERR(casostestes[[#This Row],[ID]]),"-",casostestes[[#This Row],[ID]])</f>
        <v>-</v>
      </c>
      <c r="C172" s="34" t="str">
        <f>IFERROR(IF(VLOOKUP($B172,casostestes[#Data],10)=0,"Não",VLOOKUP($B172,casostestes[#Data],10)), "-")</f>
        <v>-</v>
      </c>
      <c r="D172" s="35" t="str">
        <f>IFERROR(IF(VLOOKUP($B172,casostestes[#Data],2)=0,"-",VLOOKUP($B172,casostestes[#Data],2)), "-")</f>
        <v>-</v>
      </c>
      <c r="E172" s="35" t="str">
        <f>IFERROR(IF(VLOOKUP($B172,casostestes[#Data],3)=0,"-",VLOOKUP($B172,casostestes[#Data],3)), "-")</f>
        <v>-</v>
      </c>
      <c r="F172" s="35" t="str">
        <f>IFERROR(IF(VLOOKUP($B172,casostestes[#Data],4)=0,"-",VLOOKUP($B172,casostestes[#Data],4)),"-")</f>
        <v>-</v>
      </c>
      <c r="G172" s="35" t="str">
        <f>IFERROR(IF(VLOOKUP($B172,casostestes[#Data],5)=0,"-",VLOOKUP($B172,casostestes[#Data],5)),"-")</f>
        <v>-</v>
      </c>
      <c r="H172" s="87" t="str">
        <f>IFERROR(IF(VLOOKUP($B172,casostestes[#Data],6)=0,"-",VLOOKUP($B172,casostestes[#Data],6)),"-")</f>
        <v>-</v>
      </c>
      <c r="I172" s="35" t="str">
        <f>IFERROR(IF(VLOOKUP($B172,casostestes[#Data],8)=0,"-",VLOOKUP($B172,casostestes[#Data],8)),"-")</f>
        <v>-</v>
      </c>
      <c r="J172" s="35" t="str">
        <f>IFERROR(IF(VLOOKUP($B172,casostestes[#Data],9)=0,"-",VLOOKUP($B172,casostestes[#Data],9)),"-")</f>
        <v>-</v>
      </c>
      <c r="K172" s="36"/>
      <c r="L172" s="45"/>
      <c r="M172" s="37"/>
      <c r="N172" s="38"/>
      <c r="O172" s="38"/>
      <c r="P172" s="39"/>
    </row>
    <row r="173" spans="2:16">
      <c r="B173" s="40" t="str">
        <f>IF(ISERR(casostestes[[#This Row],[ID]]),"-",casostestes[[#This Row],[ID]])</f>
        <v>-</v>
      </c>
      <c r="C173" s="34" t="str">
        <f>IFERROR(IF(VLOOKUP($B173,casostestes[#Data],10)=0,"Não",VLOOKUP($B173,casostestes[#Data],10)), "-")</f>
        <v>-</v>
      </c>
      <c r="D173" s="35" t="str">
        <f>IFERROR(IF(VLOOKUP($B173,casostestes[#Data],2)=0,"-",VLOOKUP($B173,casostestes[#Data],2)), "-")</f>
        <v>-</v>
      </c>
      <c r="E173" s="35" t="str">
        <f>IFERROR(IF(VLOOKUP($B173,casostestes[#Data],3)=0,"-",VLOOKUP($B173,casostestes[#Data],3)), "-")</f>
        <v>-</v>
      </c>
      <c r="F173" s="35" t="str">
        <f>IFERROR(IF(VLOOKUP($B173,casostestes[#Data],4)=0,"-",VLOOKUP($B173,casostestes[#Data],4)),"-")</f>
        <v>-</v>
      </c>
      <c r="G173" s="35" t="str">
        <f>IFERROR(IF(VLOOKUP($B173,casostestes[#Data],5)=0,"-",VLOOKUP($B173,casostestes[#Data],5)),"-")</f>
        <v>-</v>
      </c>
      <c r="H173" s="87" t="str">
        <f>IFERROR(IF(VLOOKUP($B173,casostestes[#Data],6)=0,"-",VLOOKUP($B173,casostestes[#Data],6)),"-")</f>
        <v>-</v>
      </c>
      <c r="I173" s="35" t="str">
        <f>IFERROR(IF(VLOOKUP($B173,casostestes[#Data],8)=0,"-",VLOOKUP($B173,casostestes[#Data],8)),"-")</f>
        <v>-</v>
      </c>
      <c r="J173" s="35" t="str">
        <f>IFERROR(IF(VLOOKUP($B173,casostestes[#Data],9)=0,"-",VLOOKUP($B173,casostestes[#Data],9)),"-")</f>
        <v>-</v>
      </c>
      <c r="K173" s="36"/>
      <c r="L173" s="45"/>
      <c r="M173" s="37"/>
      <c r="N173" s="38"/>
      <c r="O173" s="38"/>
      <c r="P173" s="39"/>
    </row>
    <row r="174" spans="2:16">
      <c r="B174" s="40" t="str">
        <f>IF(ISERR(casostestes[[#This Row],[ID]]),"-",casostestes[[#This Row],[ID]])</f>
        <v>-</v>
      </c>
      <c r="C174" s="34" t="str">
        <f>IFERROR(IF(VLOOKUP($B174,casostestes[#Data],10)=0,"Não",VLOOKUP($B174,casostestes[#Data],10)), "-")</f>
        <v>-</v>
      </c>
      <c r="D174" s="35" t="str">
        <f>IFERROR(IF(VLOOKUP($B174,casostestes[#Data],2)=0,"-",VLOOKUP($B174,casostestes[#Data],2)), "-")</f>
        <v>-</v>
      </c>
      <c r="E174" s="35" t="str">
        <f>IFERROR(IF(VLOOKUP($B174,casostestes[#Data],3)=0,"-",VLOOKUP($B174,casostestes[#Data],3)), "-")</f>
        <v>-</v>
      </c>
      <c r="F174" s="35" t="str">
        <f>IFERROR(IF(VLOOKUP($B174,casostestes[#Data],4)=0,"-",VLOOKUP($B174,casostestes[#Data],4)),"-")</f>
        <v>-</v>
      </c>
      <c r="G174" s="35" t="str">
        <f>IFERROR(IF(VLOOKUP($B174,casostestes[#Data],5)=0,"-",VLOOKUP($B174,casostestes[#Data],5)),"-")</f>
        <v>-</v>
      </c>
      <c r="H174" s="87" t="str">
        <f>IFERROR(IF(VLOOKUP($B174,casostestes[#Data],6)=0,"-",VLOOKUP($B174,casostestes[#Data],6)),"-")</f>
        <v>-</v>
      </c>
      <c r="I174" s="35" t="str">
        <f>IFERROR(IF(VLOOKUP($B174,casostestes[#Data],8)=0,"-",VLOOKUP($B174,casostestes[#Data],8)),"-")</f>
        <v>-</v>
      </c>
      <c r="J174" s="35" t="str">
        <f>IFERROR(IF(VLOOKUP($B174,casostestes[#Data],9)=0,"-",VLOOKUP($B174,casostestes[#Data],9)),"-")</f>
        <v>-</v>
      </c>
      <c r="K174" s="36"/>
      <c r="L174" s="45"/>
      <c r="M174" s="37"/>
      <c r="N174" s="38"/>
      <c r="O174" s="38"/>
      <c r="P174" s="39"/>
    </row>
    <row r="175" spans="2:16">
      <c r="B175" s="40" t="str">
        <f>IF(ISERR(casostestes[[#This Row],[ID]]),"-",casostestes[[#This Row],[ID]])</f>
        <v>-</v>
      </c>
      <c r="C175" s="34" t="str">
        <f>IFERROR(IF(VLOOKUP($B175,casostestes[#Data],10)=0,"Não",VLOOKUP($B175,casostestes[#Data],10)), "-")</f>
        <v>-</v>
      </c>
      <c r="D175" s="35" t="str">
        <f>IFERROR(IF(VLOOKUP($B175,casostestes[#Data],2)=0,"-",VLOOKUP($B175,casostestes[#Data],2)), "-")</f>
        <v>-</v>
      </c>
      <c r="E175" s="35" t="str">
        <f>IFERROR(IF(VLOOKUP($B175,casostestes[#Data],3)=0,"-",VLOOKUP($B175,casostestes[#Data],3)), "-")</f>
        <v>-</v>
      </c>
      <c r="F175" s="35" t="str">
        <f>IFERROR(IF(VLOOKUP($B175,casostestes[#Data],4)=0,"-",VLOOKUP($B175,casostestes[#Data],4)),"-")</f>
        <v>-</v>
      </c>
      <c r="G175" s="35" t="str">
        <f>IFERROR(IF(VLOOKUP($B175,casostestes[#Data],5)=0,"-",VLOOKUP($B175,casostestes[#Data],5)),"-")</f>
        <v>-</v>
      </c>
      <c r="H175" s="87" t="str">
        <f>IFERROR(IF(VLOOKUP($B175,casostestes[#Data],6)=0,"-",VLOOKUP($B175,casostestes[#Data],6)),"-")</f>
        <v>-</v>
      </c>
      <c r="I175" s="35" t="str">
        <f>IFERROR(IF(VLOOKUP($B175,casostestes[#Data],8)=0,"-",VLOOKUP($B175,casostestes[#Data],8)),"-")</f>
        <v>-</v>
      </c>
      <c r="J175" s="35" t="str">
        <f>IFERROR(IF(VLOOKUP($B175,casostestes[#Data],9)=0,"-",VLOOKUP($B175,casostestes[#Data],9)),"-")</f>
        <v>-</v>
      </c>
      <c r="K175" s="36"/>
      <c r="L175" s="45"/>
      <c r="M175" s="37"/>
      <c r="N175" s="38"/>
      <c r="O175" s="38"/>
      <c r="P175" s="39"/>
    </row>
    <row r="176" spans="2:16">
      <c r="B176" s="40" t="str">
        <f>IF(ISERR(casostestes[[#This Row],[ID]]),"-",casostestes[[#This Row],[ID]])</f>
        <v>-</v>
      </c>
      <c r="C176" s="34" t="str">
        <f>IFERROR(IF(VLOOKUP($B176,casostestes[#Data],10)=0,"Não",VLOOKUP($B176,casostestes[#Data],10)), "-")</f>
        <v>-</v>
      </c>
      <c r="D176" s="35" t="str">
        <f>IFERROR(IF(VLOOKUP($B176,casostestes[#Data],2)=0,"-",VLOOKUP($B176,casostestes[#Data],2)), "-")</f>
        <v>-</v>
      </c>
      <c r="E176" s="35" t="str">
        <f>IFERROR(IF(VLOOKUP($B176,casostestes[#Data],3)=0,"-",VLOOKUP($B176,casostestes[#Data],3)), "-")</f>
        <v>-</v>
      </c>
      <c r="F176" s="35" t="str">
        <f>IFERROR(IF(VLOOKUP($B176,casostestes[#Data],4)=0,"-",VLOOKUP($B176,casostestes[#Data],4)),"-")</f>
        <v>-</v>
      </c>
      <c r="G176" s="35" t="str">
        <f>IFERROR(IF(VLOOKUP($B176,casostestes[#Data],5)=0,"-",VLOOKUP($B176,casostestes[#Data],5)),"-")</f>
        <v>-</v>
      </c>
      <c r="H176" s="87" t="str">
        <f>IFERROR(IF(VLOOKUP($B176,casostestes[#Data],6)=0,"-",VLOOKUP($B176,casostestes[#Data],6)),"-")</f>
        <v>-</v>
      </c>
      <c r="I176" s="35" t="str">
        <f>IFERROR(IF(VLOOKUP($B176,casostestes[#Data],8)=0,"-",VLOOKUP($B176,casostestes[#Data],8)),"-")</f>
        <v>-</v>
      </c>
      <c r="J176" s="35" t="str">
        <f>IFERROR(IF(VLOOKUP($B176,casostestes[#Data],9)=0,"-",VLOOKUP($B176,casostestes[#Data],9)),"-")</f>
        <v>-</v>
      </c>
      <c r="K176" s="36"/>
      <c r="L176" s="45"/>
      <c r="M176" s="37"/>
      <c r="N176" s="38"/>
      <c r="O176" s="38"/>
      <c r="P176" s="39"/>
    </row>
    <row r="177" spans="2:16">
      <c r="B177" s="40" t="str">
        <f>IF(ISERR(casostestes[[#This Row],[ID]]),"-",casostestes[[#This Row],[ID]])</f>
        <v>-</v>
      </c>
      <c r="C177" s="34" t="str">
        <f>IFERROR(IF(VLOOKUP($B177,casostestes[#Data],10)=0,"Não",VLOOKUP($B177,casostestes[#Data],10)), "-")</f>
        <v>-</v>
      </c>
      <c r="D177" s="35" t="str">
        <f>IFERROR(IF(VLOOKUP($B177,casostestes[#Data],2)=0,"-",VLOOKUP($B177,casostestes[#Data],2)), "-")</f>
        <v>-</v>
      </c>
      <c r="E177" s="35" t="str">
        <f>IFERROR(IF(VLOOKUP($B177,casostestes[#Data],3)=0,"-",VLOOKUP($B177,casostestes[#Data],3)), "-")</f>
        <v>-</v>
      </c>
      <c r="F177" s="35" t="str">
        <f>IFERROR(IF(VLOOKUP($B177,casostestes[#Data],4)=0,"-",VLOOKUP($B177,casostestes[#Data],4)),"-")</f>
        <v>-</v>
      </c>
      <c r="G177" s="35" t="str">
        <f>IFERROR(IF(VLOOKUP($B177,casostestes[#Data],5)=0,"-",VLOOKUP($B177,casostestes[#Data],5)),"-")</f>
        <v>-</v>
      </c>
      <c r="H177" s="87" t="str">
        <f>IFERROR(IF(VLOOKUP($B177,casostestes[#Data],6)=0,"-",VLOOKUP($B177,casostestes[#Data],6)),"-")</f>
        <v>-</v>
      </c>
      <c r="I177" s="35" t="str">
        <f>IFERROR(IF(VLOOKUP($B177,casostestes[#Data],8)=0,"-",VLOOKUP($B177,casostestes[#Data],8)),"-")</f>
        <v>-</v>
      </c>
      <c r="J177" s="35" t="str">
        <f>IFERROR(IF(VLOOKUP($B177,casostestes[#Data],9)=0,"-",VLOOKUP($B177,casostestes[#Data],9)),"-")</f>
        <v>-</v>
      </c>
      <c r="K177" s="36"/>
      <c r="L177" s="45"/>
      <c r="M177" s="37"/>
      <c r="N177" s="38"/>
      <c r="O177" s="38"/>
      <c r="P177" s="39"/>
    </row>
    <row r="178" spans="2:16">
      <c r="B178" s="40" t="str">
        <f>IF(ISERR(casostestes[[#This Row],[ID]]),"-",casostestes[[#This Row],[ID]])</f>
        <v>-</v>
      </c>
      <c r="C178" s="34" t="str">
        <f>IFERROR(IF(VLOOKUP($B178,casostestes[#Data],10)=0,"Não",VLOOKUP($B178,casostestes[#Data],10)), "-")</f>
        <v>-</v>
      </c>
      <c r="D178" s="35" t="str">
        <f>IFERROR(IF(VLOOKUP($B178,casostestes[#Data],2)=0,"-",VLOOKUP($B178,casostestes[#Data],2)), "-")</f>
        <v>-</v>
      </c>
      <c r="E178" s="35" t="str">
        <f>IFERROR(IF(VLOOKUP($B178,casostestes[#Data],3)=0,"-",VLOOKUP($B178,casostestes[#Data],3)), "-")</f>
        <v>-</v>
      </c>
      <c r="F178" s="35" t="str">
        <f>IFERROR(IF(VLOOKUP($B178,casostestes[#Data],4)=0,"-",VLOOKUP($B178,casostestes[#Data],4)),"-")</f>
        <v>-</v>
      </c>
      <c r="G178" s="35" t="str">
        <f>IFERROR(IF(VLOOKUP($B178,casostestes[#Data],5)=0,"-",VLOOKUP($B178,casostestes[#Data],5)),"-")</f>
        <v>-</v>
      </c>
      <c r="H178" s="87" t="str">
        <f>IFERROR(IF(VLOOKUP($B178,casostestes[#Data],6)=0,"-",VLOOKUP($B178,casostestes[#Data],6)),"-")</f>
        <v>-</v>
      </c>
      <c r="I178" s="35" t="str">
        <f>IFERROR(IF(VLOOKUP($B178,casostestes[#Data],8)=0,"-",VLOOKUP($B178,casostestes[#Data],8)),"-")</f>
        <v>-</v>
      </c>
      <c r="J178" s="35" t="str">
        <f>IFERROR(IF(VLOOKUP($B178,casostestes[#Data],9)=0,"-",VLOOKUP($B178,casostestes[#Data],9)),"-")</f>
        <v>-</v>
      </c>
      <c r="K178" s="36"/>
      <c r="L178" s="45"/>
      <c r="M178" s="37"/>
      <c r="N178" s="38"/>
      <c r="O178" s="38"/>
      <c r="P178" s="39"/>
    </row>
    <row r="179" spans="2:16">
      <c r="B179" s="40" t="str">
        <f>IF(ISERR(casostestes[[#This Row],[ID]]),"-",casostestes[[#This Row],[ID]])</f>
        <v>-</v>
      </c>
      <c r="C179" s="34" t="str">
        <f>IFERROR(IF(VLOOKUP($B179,casostestes[#Data],10)=0,"Não",VLOOKUP($B179,casostestes[#Data],10)), "-")</f>
        <v>-</v>
      </c>
      <c r="D179" s="35" t="str">
        <f>IFERROR(IF(VLOOKUP($B179,casostestes[#Data],2)=0,"-",VLOOKUP($B179,casostestes[#Data],2)), "-")</f>
        <v>-</v>
      </c>
      <c r="E179" s="35" t="str">
        <f>IFERROR(IF(VLOOKUP($B179,casostestes[#Data],3)=0,"-",VLOOKUP($B179,casostestes[#Data],3)), "-")</f>
        <v>-</v>
      </c>
      <c r="F179" s="35" t="str">
        <f>IFERROR(IF(VLOOKUP($B179,casostestes[#Data],4)=0,"-",VLOOKUP($B179,casostestes[#Data],4)),"-")</f>
        <v>-</v>
      </c>
      <c r="G179" s="35" t="str">
        <f>IFERROR(IF(VLOOKUP($B179,casostestes[#Data],5)=0,"-",VLOOKUP($B179,casostestes[#Data],5)),"-")</f>
        <v>-</v>
      </c>
      <c r="H179" s="87" t="str">
        <f>IFERROR(IF(VLOOKUP($B179,casostestes[#Data],6)=0,"-",VLOOKUP($B179,casostestes[#Data],6)),"-")</f>
        <v>-</v>
      </c>
      <c r="I179" s="35" t="str">
        <f>IFERROR(IF(VLOOKUP($B179,casostestes[#Data],8)=0,"-",VLOOKUP($B179,casostestes[#Data],8)),"-")</f>
        <v>-</v>
      </c>
      <c r="J179" s="35" t="str">
        <f>IFERROR(IF(VLOOKUP($B179,casostestes[#Data],9)=0,"-",VLOOKUP($B179,casostestes[#Data],9)),"-")</f>
        <v>-</v>
      </c>
      <c r="K179" s="36"/>
      <c r="L179" s="45"/>
      <c r="M179" s="37"/>
      <c r="N179" s="38"/>
      <c r="O179" s="38"/>
      <c r="P179" s="39"/>
    </row>
    <row r="180" spans="2:16">
      <c r="B180" s="40" t="str">
        <f>IF(ISERR(casostestes[[#This Row],[ID]]),"-",casostestes[[#This Row],[ID]])</f>
        <v>-</v>
      </c>
      <c r="C180" s="34" t="str">
        <f>IFERROR(IF(VLOOKUP($B180,casostestes[#Data],10)=0,"Não",VLOOKUP($B180,casostestes[#Data],10)), "-")</f>
        <v>-</v>
      </c>
      <c r="D180" s="35" t="str">
        <f>IFERROR(IF(VLOOKUP($B180,casostestes[#Data],2)=0,"-",VLOOKUP($B180,casostestes[#Data],2)), "-")</f>
        <v>-</v>
      </c>
      <c r="E180" s="35" t="str">
        <f>IFERROR(IF(VLOOKUP($B180,casostestes[#Data],3)=0,"-",VLOOKUP($B180,casostestes[#Data],3)), "-")</f>
        <v>-</v>
      </c>
      <c r="F180" s="35" t="str">
        <f>IFERROR(IF(VLOOKUP($B180,casostestes[#Data],4)=0,"-",VLOOKUP($B180,casostestes[#Data],4)),"-")</f>
        <v>-</v>
      </c>
      <c r="G180" s="35" t="str">
        <f>IFERROR(IF(VLOOKUP($B180,casostestes[#Data],5)=0,"-",VLOOKUP($B180,casostestes[#Data],5)),"-")</f>
        <v>-</v>
      </c>
      <c r="H180" s="87" t="str">
        <f>IFERROR(IF(VLOOKUP($B180,casostestes[#Data],6)=0,"-",VLOOKUP($B180,casostestes[#Data],6)),"-")</f>
        <v>-</v>
      </c>
      <c r="I180" s="35" t="str">
        <f>IFERROR(IF(VLOOKUP($B180,casostestes[#Data],8)=0,"-",VLOOKUP($B180,casostestes[#Data],8)),"-")</f>
        <v>-</v>
      </c>
      <c r="J180" s="35" t="str">
        <f>IFERROR(IF(VLOOKUP($B180,casostestes[#Data],9)=0,"-",VLOOKUP($B180,casostestes[#Data],9)),"-")</f>
        <v>-</v>
      </c>
      <c r="K180" s="36"/>
      <c r="L180" s="45"/>
      <c r="M180" s="37"/>
      <c r="N180" s="38"/>
      <c r="O180" s="38"/>
      <c r="P180" s="39"/>
    </row>
    <row r="181" spans="2:16">
      <c r="B181" s="40" t="str">
        <f>IF(ISERR(casostestes[[#This Row],[ID]]),"-",casostestes[[#This Row],[ID]])</f>
        <v>-</v>
      </c>
      <c r="C181" s="34" t="str">
        <f>IFERROR(IF(VLOOKUP($B181,casostestes[#Data],10)=0,"Não",VLOOKUP($B181,casostestes[#Data],10)), "-")</f>
        <v>-</v>
      </c>
      <c r="D181" s="35" t="str">
        <f>IFERROR(IF(VLOOKUP($B181,casostestes[#Data],2)=0,"-",VLOOKUP($B181,casostestes[#Data],2)), "-")</f>
        <v>-</v>
      </c>
      <c r="E181" s="35" t="str">
        <f>IFERROR(IF(VLOOKUP($B181,casostestes[#Data],3)=0,"-",VLOOKUP($B181,casostestes[#Data],3)), "-")</f>
        <v>-</v>
      </c>
      <c r="F181" s="35" t="str">
        <f>IFERROR(IF(VLOOKUP($B181,casostestes[#Data],4)=0,"-",VLOOKUP($B181,casostestes[#Data],4)),"-")</f>
        <v>-</v>
      </c>
      <c r="G181" s="35" t="str">
        <f>IFERROR(IF(VLOOKUP($B181,casostestes[#Data],5)=0,"-",VLOOKUP($B181,casostestes[#Data],5)),"-")</f>
        <v>-</v>
      </c>
      <c r="H181" s="87" t="str">
        <f>IFERROR(IF(VLOOKUP($B181,casostestes[#Data],6)=0,"-",VLOOKUP($B181,casostestes[#Data],6)),"-")</f>
        <v>-</v>
      </c>
      <c r="I181" s="35" t="str">
        <f>IFERROR(IF(VLOOKUP($B181,casostestes[#Data],8)=0,"-",VLOOKUP($B181,casostestes[#Data],8)),"-")</f>
        <v>-</v>
      </c>
      <c r="J181" s="35" t="str">
        <f>IFERROR(IF(VLOOKUP($B181,casostestes[#Data],9)=0,"-",VLOOKUP($B181,casostestes[#Data],9)),"-")</f>
        <v>-</v>
      </c>
      <c r="K181" s="36"/>
      <c r="L181" s="45"/>
      <c r="M181" s="37"/>
      <c r="N181" s="38"/>
      <c r="O181" s="38"/>
      <c r="P181" s="39"/>
    </row>
    <row r="182" spans="2:16">
      <c r="B182" s="40" t="str">
        <f>IF(ISERR(casostestes[[#This Row],[ID]]),"-",casostestes[[#This Row],[ID]])</f>
        <v>-</v>
      </c>
      <c r="C182" s="34" t="str">
        <f>IFERROR(IF(VLOOKUP($B182,casostestes[#Data],10)=0,"Não",VLOOKUP($B182,casostestes[#Data],10)), "-")</f>
        <v>-</v>
      </c>
      <c r="D182" s="35" t="str">
        <f>IFERROR(IF(VLOOKUP($B182,casostestes[#Data],2)=0,"-",VLOOKUP($B182,casostestes[#Data],2)), "-")</f>
        <v>-</v>
      </c>
      <c r="E182" s="35" t="str">
        <f>IFERROR(IF(VLOOKUP($B182,casostestes[#Data],3)=0,"-",VLOOKUP($B182,casostestes[#Data],3)), "-")</f>
        <v>-</v>
      </c>
      <c r="F182" s="35" t="str">
        <f>IFERROR(IF(VLOOKUP($B182,casostestes[#Data],4)=0,"-",VLOOKUP($B182,casostestes[#Data],4)),"-")</f>
        <v>-</v>
      </c>
      <c r="G182" s="35" t="str">
        <f>IFERROR(IF(VLOOKUP($B182,casostestes[#Data],5)=0,"-",VLOOKUP($B182,casostestes[#Data],5)),"-")</f>
        <v>-</v>
      </c>
      <c r="H182" s="87" t="str">
        <f>IFERROR(IF(VLOOKUP($B182,casostestes[#Data],6)=0,"-",VLOOKUP($B182,casostestes[#Data],6)),"-")</f>
        <v>-</v>
      </c>
      <c r="I182" s="35" t="str">
        <f>IFERROR(IF(VLOOKUP($B182,casostestes[#Data],8)=0,"-",VLOOKUP($B182,casostestes[#Data],8)),"-")</f>
        <v>-</v>
      </c>
      <c r="J182" s="35" t="str">
        <f>IFERROR(IF(VLOOKUP($B182,casostestes[#Data],9)=0,"-",VLOOKUP($B182,casostestes[#Data],9)),"-")</f>
        <v>-</v>
      </c>
      <c r="K182" s="36"/>
      <c r="L182" s="45"/>
      <c r="M182" s="37"/>
      <c r="N182" s="38"/>
      <c r="O182" s="38"/>
      <c r="P182" s="39"/>
    </row>
    <row r="183" spans="2:16">
      <c r="B183" s="40" t="str">
        <f>IF(ISERR(casostestes[[#This Row],[ID]]),"-",casostestes[[#This Row],[ID]])</f>
        <v>-</v>
      </c>
      <c r="C183" s="34" t="str">
        <f>IFERROR(IF(VLOOKUP($B183,casostestes[#Data],10)=0,"Não",VLOOKUP($B183,casostestes[#Data],10)), "-")</f>
        <v>-</v>
      </c>
      <c r="D183" s="35" t="str">
        <f>IFERROR(IF(VLOOKUP($B183,casostestes[#Data],2)=0,"-",VLOOKUP($B183,casostestes[#Data],2)), "-")</f>
        <v>-</v>
      </c>
      <c r="E183" s="35" t="str">
        <f>IFERROR(IF(VLOOKUP($B183,casostestes[#Data],3)=0,"-",VLOOKUP($B183,casostestes[#Data],3)), "-")</f>
        <v>-</v>
      </c>
      <c r="F183" s="35" t="str">
        <f>IFERROR(IF(VLOOKUP($B183,casostestes[#Data],4)=0,"-",VLOOKUP($B183,casostestes[#Data],4)),"-")</f>
        <v>-</v>
      </c>
      <c r="G183" s="35" t="str">
        <f>IFERROR(IF(VLOOKUP($B183,casostestes[#Data],5)=0,"-",VLOOKUP($B183,casostestes[#Data],5)),"-")</f>
        <v>-</v>
      </c>
      <c r="H183" s="87" t="str">
        <f>IFERROR(IF(VLOOKUP($B183,casostestes[#Data],6)=0,"-",VLOOKUP($B183,casostestes[#Data],6)),"-")</f>
        <v>-</v>
      </c>
      <c r="I183" s="35" t="str">
        <f>IFERROR(IF(VLOOKUP($B183,casostestes[#Data],8)=0,"-",VLOOKUP($B183,casostestes[#Data],8)),"-")</f>
        <v>-</v>
      </c>
      <c r="J183" s="35" t="str">
        <f>IFERROR(IF(VLOOKUP($B183,casostestes[#Data],9)=0,"-",VLOOKUP($B183,casostestes[#Data],9)),"-")</f>
        <v>-</v>
      </c>
      <c r="K183" s="36"/>
      <c r="L183" s="45"/>
      <c r="M183" s="37"/>
      <c r="N183" s="38"/>
      <c r="O183" s="38"/>
      <c r="P183" s="39"/>
    </row>
    <row r="184" spans="2:16">
      <c r="B184" s="40" t="str">
        <f>IF(ISERR(casostestes[[#This Row],[ID]]),"-",casostestes[[#This Row],[ID]])</f>
        <v>-</v>
      </c>
      <c r="C184" s="34" t="str">
        <f>IFERROR(IF(VLOOKUP($B184,casostestes[#Data],10)=0,"Não",VLOOKUP($B184,casostestes[#Data],10)), "-")</f>
        <v>-</v>
      </c>
      <c r="D184" s="35" t="str">
        <f>IFERROR(IF(VLOOKUP($B184,casostestes[#Data],2)=0,"-",VLOOKUP($B184,casostestes[#Data],2)), "-")</f>
        <v>-</v>
      </c>
      <c r="E184" s="35" t="str">
        <f>IFERROR(IF(VLOOKUP($B184,casostestes[#Data],3)=0,"-",VLOOKUP($B184,casostestes[#Data],3)), "-")</f>
        <v>-</v>
      </c>
      <c r="F184" s="35" t="str">
        <f>IFERROR(IF(VLOOKUP($B184,casostestes[#Data],4)=0,"-",VLOOKUP($B184,casostestes[#Data],4)),"-")</f>
        <v>-</v>
      </c>
      <c r="G184" s="35" t="str">
        <f>IFERROR(IF(VLOOKUP($B184,casostestes[#Data],5)=0,"-",VLOOKUP($B184,casostestes[#Data],5)),"-")</f>
        <v>-</v>
      </c>
      <c r="H184" s="87" t="str">
        <f>IFERROR(IF(VLOOKUP($B184,casostestes[#Data],6)=0,"-",VLOOKUP($B184,casostestes[#Data],6)),"-")</f>
        <v>-</v>
      </c>
      <c r="I184" s="35" t="str">
        <f>IFERROR(IF(VLOOKUP($B184,casostestes[#Data],8)=0,"-",VLOOKUP($B184,casostestes[#Data],8)),"-")</f>
        <v>-</v>
      </c>
      <c r="J184" s="35" t="str">
        <f>IFERROR(IF(VLOOKUP($B184,casostestes[#Data],9)=0,"-",VLOOKUP($B184,casostestes[#Data],9)),"-")</f>
        <v>-</v>
      </c>
      <c r="K184" s="36"/>
      <c r="L184" s="45"/>
      <c r="M184" s="37"/>
      <c r="N184" s="38"/>
      <c r="O184" s="38"/>
      <c r="P184" s="39"/>
    </row>
    <row r="185" spans="2:16">
      <c r="B185" s="40" t="str">
        <f>IF(ISERR(casostestes[[#This Row],[ID]]),"-",casostestes[[#This Row],[ID]])</f>
        <v>-</v>
      </c>
      <c r="C185" s="34" t="str">
        <f>IFERROR(IF(VLOOKUP($B185,casostestes[#Data],10)=0,"Não",VLOOKUP($B185,casostestes[#Data],10)), "-")</f>
        <v>-</v>
      </c>
      <c r="D185" s="35" t="str">
        <f>IFERROR(IF(VLOOKUP($B185,casostestes[#Data],2)=0,"-",VLOOKUP($B185,casostestes[#Data],2)), "-")</f>
        <v>-</v>
      </c>
      <c r="E185" s="35" t="str">
        <f>IFERROR(IF(VLOOKUP($B185,casostestes[#Data],3)=0,"-",VLOOKUP($B185,casostestes[#Data],3)), "-")</f>
        <v>-</v>
      </c>
      <c r="F185" s="35" t="str">
        <f>IFERROR(IF(VLOOKUP($B185,casostestes[#Data],4)=0,"-",VLOOKUP($B185,casostestes[#Data],4)),"-")</f>
        <v>-</v>
      </c>
      <c r="G185" s="35" t="str">
        <f>IFERROR(IF(VLOOKUP($B185,casostestes[#Data],5)=0,"-",VLOOKUP($B185,casostestes[#Data],5)),"-")</f>
        <v>-</v>
      </c>
      <c r="H185" s="87" t="str">
        <f>IFERROR(IF(VLOOKUP($B185,casostestes[#Data],6)=0,"-",VLOOKUP($B185,casostestes[#Data],6)),"-")</f>
        <v>-</v>
      </c>
      <c r="I185" s="35" t="str">
        <f>IFERROR(IF(VLOOKUP($B185,casostestes[#Data],8)=0,"-",VLOOKUP($B185,casostestes[#Data],8)),"-")</f>
        <v>-</v>
      </c>
      <c r="J185" s="35" t="str">
        <f>IFERROR(IF(VLOOKUP($B185,casostestes[#Data],9)=0,"-",VLOOKUP($B185,casostestes[#Data],9)),"-")</f>
        <v>-</v>
      </c>
      <c r="K185" s="36"/>
      <c r="L185" s="45"/>
      <c r="M185" s="37"/>
      <c r="N185" s="38"/>
      <c r="O185" s="38"/>
      <c r="P185" s="39"/>
    </row>
    <row r="186" spans="2:16">
      <c r="B186" s="40" t="str">
        <f>IF(ISERR(casostestes[[#This Row],[ID]]),"-",casostestes[[#This Row],[ID]])</f>
        <v>-</v>
      </c>
      <c r="C186" s="34" t="str">
        <f>IFERROR(IF(VLOOKUP($B186,casostestes[#Data],10)=0,"Não",VLOOKUP($B186,casostestes[#Data],10)), "-")</f>
        <v>-</v>
      </c>
      <c r="D186" s="35" t="str">
        <f>IFERROR(IF(VLOOKUP($B186,casostestes[#Data],2)=0,"-",VLOOKUP($B186,casostestes[#Data],2)), "-")</f>
        <v>-</v>
      </c>
      <c r="E186" s="35" t="str">
        <f>IFERROR(IF(VLOOKUP($B186,casostestes[#Data],3)=0,"-",VLOOKUP($B186,casostestes[#Data],3)), "-")</f>
        <v>-</v>
      </c>
      <c r="F186" s="35" t="str">
        <f>IFERROR(IF(VLOOKUP($B186,casostestes[#Data],4)=0,"-",VLOOKUP($B186,casostestes[#Data],4)),"-")</f>
        <v>-</v>
      </c>
      <c r="G186" s="35" t="str">
        <f>IFERROR(IF(VLOOKUP($B186,casostestes[#Data],5)=0,"-",VLOOKUP($B186,casostestes[#Data],5)),"-")</f>
        <v>-</v>
      </c>
      <c r="H186" s="87" t="str">
        <f>IFERROR(IF(VLOOKUP($B186,casostestes[#Data],6)=0,"-",VLOOKUP($B186,casostestes[#Data],6)),"-")</f>
        <v>-</v>
      </c>
      <c r="I186" s="35" t="str">
        <f>IFERROR(IF(VLOOKUP($B186,casostestes[#Data],8)=0,"-",VLOOKUP($B186,casostestes[#Data],8)),"-")</f>
        <v>-</v>
      </c>
      <c r="J186" s="35" t="str">
        <f>IFERROR(IF(VLOOKUP($B186,casostestes[#Data],9)=0,"-",VLOOKUP($B186,casostestes[#Data],9)),"-")</f>
        <v>-</v>
      </c>
      <c r="K186" s="36"/>
      <c r="L186" s="45"/>
      <c r="M186" s="37"/>
      <c r="N186" s="38"/>
      <c r="O186" s="38"/>
      <c r="P186" s="39"/>
    </row>
    <row r="187" spans="2:16">
      <c r="B187" s="40" t="str">
        <f>IF(ISERR(casostestes[[#This Row],[ID]]),"-",casostestes[[#This Row],[ID]])</f>
        <v>-</v>
      </c>
      <c r="C187" s="34" t="str">
        <f>IFERROR(IF(VLOOKUP($B187,casostestes[#Data],10)=0,"Não",VLOOKUP($B187,casostestes[#Data],10)), "-")</f>
        <v>-</v>
      </c>
      <c r="D187" s="35" t="str">
        <f>IFERROR(IF(VLOOKUP($B187,casostestes[#Data],2)=0,"-",VLOOKUP($B187,casostestes[#Data],2)), "-")</f>
        <v>-</v>
      </c>
      <c r="E187" s="35" t="str">
        <f>IFERROR(IF(VLOOKUP($B187,casostestes[#Data],3)=0,"-",VLOOKUP($B187,casostestes[#Data],3)), "-")</f>
        <v>-</v>
      </c>
      <c r="F187" s="35" t="str">
        <f>IFERROR(IF(VLOOKUP($B187,casostestes[#Data],4)=0,"-",VLOOKUP($B187,casostestes[#Data],4)),"-")</f>
        <v>-</v>
      </c>
      <c r="G187" s="35" t="str">
        <f>IFERROR(IF(VLOOKUP($B187,casostestes[#Data],5)=0,"-",VLOOKUP($B187,casostestes[#Data],5)),"-")</f>
        <v>-</v>
      </c>
      <c r="H187" s="87" t="str">
        <f>IFERROR(IF(VLOOKUP($B187,casostestes[#Data],6)=0,"-",VLOOKUP($B187,casostestes[#Data],6)),"-")</f>
        <v>-</v>
      </c>
      <c r="I187" s="35" t="str">
        <f>IFERROR(IF(VLOOKUP($B187,casostestes[#Data],8)=0,"-",VLOOKUP($B187,casostestes[#Data],8)),"-")</f>
        <v>-</v>
      </c>
      <c r="J187" s="35" t="str">
        <f>IFERROR(IF(VLOOKUP($B187,casostestes[#Data],9)=0,"-",VLOOKUP($B187,casostestes[#Data],9)),"-")</f>
        <v>-</v>
      </c>
      <c r="K187" s="36"/>
      <c r="L187" s="45"/>
      <c r="M187" s="37"/>
      <c r="N187" s="38"/>
      <c r="O187" s="38"/>
      <c r="P187" s="39"/>
    </row>
    <row r="188" spans="2:16">
      <c r="B188" s="40" t="str">
        <f>IF(ISERR(casostestes[[#This Row],[ID]]),"-",casostestes[[#This Row],[ID]])</f>
        <v>-</v>
      </c>
      <c r="C188" s="34" t="str">
        <f>IFERROR(IF(VLOOKUP($B188,casostestes[#Data],10)=0,"Não",VLOOKUP($B188,casostestes[#Data],10)), "-")</f>
        <v>-</v>
      </c>
      <c r="D188" s="35" t="str">
        <f>IFERROR(IF(VLOOKUP($B188,casostestes[#Data],2)=0,"-",VLOOKUP($B188,casostestes[#Data],2)), "-")</f>
        <v>-</v>
      </c>
      <c r="E188" s="35" t="str">
        <f>IFERROR(IF(VLOOKUP($B188,casostestes[#Data],3)=0,"-",VLOOKUP($B188,casostestes[#Data],3)), "-")</f>
        <v>-</v>
      </c>
      <c r="F188" s="35" t="str">
        <f>IFERROR(IF(VLOOKUP($B188,casostestes[#Data],4)=0,"-",VLOOKUP($B188,casostestes[#Data],4)),"-")</f>
        <v>-</v>
      </c>
      <c r="G188" s="35" t="str">
        <f>IFERROR(IF(VLOOKUP($B188,casostestes[#Data],5)=0,"-",VLOOKUP($B188,casostestes[#Data],5)),"-")</f>
        <v>-</v>
      </c>
      <c r="H188" s="87" t="str">
        <f>IFERROR(IF(VLOOKUP($B188,casostestes[#Data],6)=0,"-",VLOOKUP($B188,casostestes[#Data],6)),"-")</f>
        <v>-</v>
      </c>
      <c r="I188" s="35" t="str">
        <f>IFERROR(IF(VLOOKUP($B188,casostestes[#Data],8)=0,"-",VLOOKUP($B188,casostestes[#Data],8)),"-")</f>
        <v>-</v>
      </c>
      <c r="J188" s="35" t="str">
        <f>IFERROR(IF(VLOOKUP($B188,casostestes[#Data],9)=0,"-",VLOOKUP($B188,casostestes[#Data],9)),"-")</f>
        <v>-</v>
      </c>
      <c r="K188" s="36"/>
      <c r="L188" s="45"/>
      <c r="M188" s="37"/>
      <c r="N188" s="38"/>
      <c r="O188" s="38"/>
      <c r="P188" s="39"/>
    </row>
    <row r="189" spans="2:16">
      <c r="B189" s="40" t="str">
        <f>IF(ISERR(casostestes[[#This Row],[ID]]),"-",casostestes[[#This Row],[ID]])</f>
        <v>-</v>
      </c>
      <c r="C189" s="34" t="str">
        <f>IFERROR(IF(VLOOKUP($B189,casostestes[#Data],10)=0,"Não",VLOOKUP($B189,casostestes[#Data],10)), "-")</f>
        <v>-</v>
      </c>
      <c r="D189" s="35" t="str">
        <f>IFERROR(IF(VLOOKUP($B189,casostestes[#Data],2)=0,"-",VLOOKUP($B189,casostestes[#Data],2)), "-")</f>
        <v>-</v>
      </c>
      <c r="E189" s="35" t="str">
        <f>IFERROR(IF(VLOOKUP($B189,casostestes[#Data],3)=0,"-",VLOOKUP($B189,casostestes[#Data],3)), "-")</f>
        <v>-</v>
      </c>
      <c r="F189" s="35" t="str">
        <f>IFERROR(IF(VLOOKUP($B189,casostestes[#Data],4)=0,"-",VLOOKUP($B189,casostestes[#Data],4)),"-")</f>
        <v>-</v>
      </c>
      <c r="G189" s="35" t="str">
        <f>IFERROR(IF(VLOOKUP($B189,casostestes[#Data],5)=0,"-",VLOOKUP($B189,casostestes[#Data],5)),"-")</f>
        <v>-</v>
      </c>
      <c r="H189" s="87" t="str">
        <f>IFERROR(IF(VLOOKUP($B189,casostestes[#Data],6)=0,"-",VLOOKUP($B189,casostestes[#Data],6)),"-")</f>
        <v>-</v>
      </c>
      <c r="I189" s="35" t="str">
        <f>IFERROR(IF(VLOOKUP($B189,casostestes[#Data],8)=0,"-",VLOOKUP($B189,casostestes[#Data],8)),"-")</f>
        <v>-</v>
      </c>
      <c r="J189" s="35" t="str">
        <f>IFERROR(IF(VLOOKUP($B189,casostestes[#Data],9)=0,"-",VLOOKUP($B189,casostestes[#Data],9)),"-")</f>
        <v>-</v>
      </c>
      <c r="K189" s="36"/>
      <c r="L189" s="45"/>
      <c r="M189" s="37"/>
      <c r="N189" s="38"/>
      <c r="O189" s="38"/>
      <c r="P189" s="39"/>
    </row>
    <row r="190" spans="2:16">
      <c r="B190" s="40" t="str">
        <f>IF(ISERR(casostestes[[#This Row],[ID]]),"-",casostestes[[#This Row],[ID]])</f>
        <v>-</v>
      </c>
      <c r="C190" s="34" t="str">
        <f>IFERROR(IF(VLOOKUP($B190,casostestes[#Data],10)=0,"Não",VLOOKUP($B190,casostestes[#Data],10)), "-")</f>
        <v>-</v>
      </c>
      <c r="D190" s="35" t="str">
        <f>IFERROR(IF(VLOOKUP($B190,casostestes[#Data],2)=0,"-",VLOOKUP($B190,casostestes[#Data],2)), "-")</f>
        <v>-</v>
      </c>
      <c r="E190" s="35" t="str">
        <f>IFERROR(IF(VLOOKUP($B190,casostestes[#Data],3)=0,"-",VLOOKUP($B190,casostestes[#Data],3)), "-")</f>
        <v>-</v>
      </c>
      <c r="F190" s="35" t="str">
        <f>IFERROR(IF(VLOOKUP($B190,casostestes[#Data],4)=0,"-",VLOOKUP($B190,casostestes[#Data],4)),"-")</f>
        <v>-</v>
      </c>
      <c r="G190" s="35" t="str">
        <f>IFERROR(IF(VLOOKUP($B190,casostestes[#Data],5)=0,"-",VLOOKUP($B190,casostestes[#Data],5)),"-")</f>
        <v>-</v>
      </c>
      <c r="H190" s="87" t="str">
        <f>IFERROR(IF(VLOOKUP($B190,casostestes[#Data],6)=0,"-",VLOOKUP($B190,casostestes[#Data],6)),"-")</f>
        <v>-</v>
      </c>
      <c r="I190" s="35" t="str">
        <f>IFERROR(IF(VLOOKUP($B190,casostestes[#Data],8)=0,"-",VLOOKUP($B190,casostestes[#Data],8)),"-")</f>
        <v>-</v>
      </c>
      <c r="J190" s="35" t="str">
        <f>IFERROR(IF(VLOOKUP($B190,casostestes[#Data],9)=0,"-",VLOOKUP($B190,casostestes[#Data],9)),"-")</f>
        <v>-</v>
      </c>
      <c r="K190" s="36"/>
      <c r="L190" s="45"/>
      <c r="M190" s="37"/>
      <c r="N190" s="38"/>
      <c r="O190" s="38"/>
      <c r="P190" s="39"/>
    </row>
    <row r="191" spans="2:16">
      <c r="B191" s="40" t="str">
        <f>IF(ISERR(casostestes[[#This Row],[ID]]),"-",casostestes[[#This Row],[ID]])</f>
        <v>-</v>
      </c>
      <c r="C191" s="34" t="str">
        <f>IFERROR(IF(VLOOKUP($B191,casostestes[#Data],10)=0,"Não",VLOOKUP($B191,casostestes[#Data],10)), "-")</f>
        <v>-</v>
      </c>
      <c r="D191" s="35" t="str">
        <f>IFERROR(IF(VLOOKUP($B191,casostestes[#Data],2)=0,"-",VLOOKUP($B191,casostestes[#Data],2)), "-")</f>
        <v>-</v>
      </c>
      <c r="E191" s="35" t="str">
        <f>IFERROR(IF(VLOOKUP($B191,casostestes[#Data],3)=0,"-",VLOOKUP($B191,casostestes[#Data],3)), "-")</f>
        <v>-</v>
      </c>
      <c r="F191" s="35" t="str">
        <f>IFERROR(IF(VLOOKUP($B191,casostestes[#Data],4)=0,"-",VLOOKUP($B191,casostestes[#Data],4)),"-")</f>
        <v>-</v>
      </c>
      <c r="G191" s="35" t="str">
        <f>IFERROR(IF(VLOOKUP($B191,casostestes[#Data],5)=0,"-",VLOOKUP($B191,casostestes[#Data],5)),"-")</f>
        <v>-</v>
      </c>
      <c r="H191" s="87" t="str">
        <f>IFERROR(IF(VLOOKUP($B191,casostestes[#Data],6)=0,"-",VLOOKUP($B191,casostestes[#Data],6)),"-")</f>
        <v>-</v>
      </c>
      <c r="I191" s="35" t="str">
        <f>IFERROR(IF(VLOOKUP($B191,casostestes[#Data],8)=0,"-",VLOOKUP($B191,casostestes[#Data],8)),"-")</f>
        <v>-</v>
      </c>
      <c r="J191" s="35" t="str">
        <f>IFERROR(IF(VLOOKUP($B191,casostestes[#Data],9)=0,"-",VLOOKUP($B191,casostestes[#Data],9)),"-")</f>
        <v>-</v>
      </c>
      <c r="K191" s="36"/>
      <c r="L191" s="45"/>
      <c r="M191" s="37"/>
      <c r="N191" s="38"/>
      <c r="O191" s="38"/>
      <c r="P191" s="39"/>
    </row>
    <row r="192" spans="2:16">
      <c r="B192" s="40" t="str">
        <f>IF(ISERR(casostestes[[#This Row],[ID]]),"-",casostestes[[#This Row],[ID]])</f>
        <v>-</v>
      </c>
      <c r="C192" s="34" t="str">
        <f>IFERROR(IF(VLOOKUP($B192,casostestes[#Data],10)=0,"Não",VLOOKUP($B192,casostestes[#Data],10)), "-")</f>
        <v>-</v>
      </c>
      <c r="D192" s="35" t="str">
        <f>IFERROR(IF(VLOOKUP($B192,casostestes[#Data],2)=0,"-",VLOOKUP($B192,casostestes[#Data],2)), "-")</f>
        <v>-</v>
      </c>
      <c r="E192" s="35" t="str">
        <f>IFERROR(IF(VLOOKUP($B192,casostestes[#Data],3)=0,"-",VLOOKUP($B192,casostestes[#Data],3)), "-")</f>
        <v>-</v>
      </c>
      <c r="F192" s="35" t="str">
        <f>IFERROR(IF(VLOOKUP($B192,casostestes[#Data],4)=0,"-",VLOOKUP($B192,casostestes[#Data],4)),"-")</f>
        <v>-</v>
      </c>
      <c r="G192" s="35" t="str">
        <f>IFERROR(IF(VLOOKUP($B192,casostestes[#Data],5)=0,"-",VLOOKUP($B192,casostestes[#Data],5)),"-")</f>
        <v>-</v>
      </c>
      <c r="H192" s="87" t="str">
        <f>IFERROR(IF(VLOOKUP($B192,casostestes[#Data],6)=0,"-",VLOOKUP($B192,casostestes[#Data],6)),"-")</f>
        <v>-</v>
      </c>
      <c r="I192" s="35" t="str">
        <f>IFERROR(IF(VLOOKUP($B192,casostestes[#Data],8)=0,"-",VLOOKUP($B192,casostestes[#Data],8)),"-")</f>
        <v>-</v>
      </c>
      <c r="J192" s="35" t="str">
        <f>IFERROR(IF(VLOOKUP($B192,casostestes[#Data],9)=0,"-",VLOOKUP($B192,casostestes[#Data],9)),"-")</f>
        <v>-</v>
      </c>
      <c r="K192" s="36"/>
      <c r="L192" s="45"/>
      <c r="M192" s="37"/>
      <c r="N192" s="38"/>
      <c r="O192" s="38"/>
      <c r="P192" s="39"/>
    </row>
    <row r="193" spans="2:16">
      <c r="B193" s="40" t="str">
        <f>IF(ISERR(casostestes[[#This Row],[ID]]),"-",casostestes[[#This Row],[ID]])</f>
        <v>-</v>
      </c>
      <c r="C193" s="34" t="str">
        <f>IFERROR(IF(VLOOKUP($B193,casostestes[#Data],10)=0,"Não",VLOOKUP($B193,casostestes[#Data],10)), "-")</f>
        <v>-</v>
      </c>
      <c r="D193" s="35" t="str">
        <f>IFERROR(IF(VLOOKUP($B193,casostestes[#Data],2)=0,"-",VLOOKUP($B193,casostestes[#Data],2)), "-")</f>
        <v>-</v>
      </c>
      <c r="E193" s="35" t="str">
        <f>IFERROR(IF(VLOOKUP($B193,casostestes[#Data],3)=0,"-",VLOOKUP($B193,casostestes[#Data],3)), "-")</f>
        <v>-</v>
      </c>
      <c r="F193" s="35" t="str">
        <f>IFERROR(IF(VLOOKUP($B193,casostestes[#Data],4)=0,"-",VLOOKUP($B193,casostestes[#Data],4)),"-")</f>
        <v>-</v>
      </c>
      <c r="G193" s="35" t="str">
        <f>IFERROR(IF(VLOOKUP($B193,casostestes[#Data],5)=0,"-",VLOOKUP($B193,casostestes[#Data],5)),"-")</f>
        <v>-</v>
      </c>
      <c r="H193" s="87" t="str">
        <f>IFERROR(IF(VLOOKUP($B193,casostestes[#Data],6)=0,"-",VLOOKUP($B193,casostestes[#Data],6)),"-")</f>
        <v>-</v>
      </c>
      <c r="I193" s="35" t="str">
        <f>IFERROR(IF(VLOOKUP($B193,casostestes[#Data],8)=0,"-",VLOOKUP($B193,casostestes[#Data],8)),"-")</f>
        <v>-</v>
      </c>
      <c r="J193" s="35" t="str">
        <f>IFERROR(IF(VLOOKUP($B193,casostestes[#Data],9)=0,"-",VLOOKUP($B193,casostestes[#Data],9)),"-")</f>
        <v>-</v>
      </c>
      <c r="K193" s="36"/>
      <c r="L193" s="45"/>
      <c r="M193" s="37"/>
      <c r="N193" s="38"/>
      <c r="O193" s="38"/>
      <c r="P193" s="39"/>
    </row>
    <row r="194" spans="2:16">
      <c r="B194" s="40" t="str">
        <f>IF(ISERR(casostestes[[#This Row],[ID]]),"-",casostestes[[#This Row],[ID]])</f>
        <v>-</v>
      </c>
      <c r="C194" s="34" t="str">
        <f>IFERROR(IF(VLOOKUP($B194,casostestes[#Data],10)=0,"Não",VLOOKUP($B194,casostestes[#Data],10)), "-")</f>
        <v>-</v>
      </c>
      <c r="D194" s="35" t="str">
        <f>IFERROR(IF(VLOOKUP($B194,casostestes[#Data],2)=0,"-",VLOOKUP($B194,casostestes[#Data],2)), "-")</f>
        <v>-</v>
      </c>
      <c r="E194" s="35" t="str">
        <f>IFERROR(IF(VLOOKUP($B194,casostestes[#Data],3)=0,"-",VLOOKUP($B194,casostestes[#Data],3)), "-")</f>
        <v>-</v>
      </c>
      <c r="F194" s="35" t="str">
        <f>IFERROR(IF(VLOOKUP($B194,casostestes[#Data],4)=0,"-",VLOOKUP($B194,casostestes[#Data],4)),"-")</f>
        <v>-</v>
      </c>
      <c r="G194" s="35" t="str">
        <f>IFERROR(IF(VLOOKUP($B194,casostestes[#Data],5)=0,"-",VLOOKUP($B194,casostestes[#Data],5)),"-")</f>
        <v>-</v>
      </c>
      <c r="H194" s="87" t="str">
        <f>IFERROR(IF(VLOOKUP($B194,casostestes[#Data],6)=0,"-",VLOOKUP($B194,casostestes[#Data],6)),"-")</f>
        <v>-</v>
      </c>
      <c r="I194" s="35" t="str">
        <f>IFERROR(IF(VLOOKUP($B194,casostestes[#Data],8)=0,"-",VLOOKUP($B194,casostestes[#Data],8)),"-")</f>
        <v>-</v>
      </c>
      <c r="J194" s="35" t="str">
        <f>IFERROR(IF(VLOOKUP($B194,casostestes[#Data],9)=0,"-",VLOOKUP($B194,casostestes[#Data],9)),"-")</f>
        <v>-</v>
      </c>
      <c r="K194" s="36"/>
      <c r="L194" s="45"/>
      <c r="M194" s="37"/>
      <c r="N194" s="38"/>
      <c r="O194" s="38"/>
      <c r="P194" s="39"/>
    </row>
    <row r="195" spans="2:16">
      <c r="B195" s="40" t="str">
        <f>IF(ISERR(casostestes[[#This Row],[ID]]),"-",casostestes[[#This Row],[ID]])</f>
        <v>-</v>
      </c>
      <c r="C195" s="34" t="str">
        <f>IFERROR(IF(VLOOKUP($B195,casostestes[#Data],10)=0,"Não",VLOOKUP($B195,casostestes[#Data],10)), "-")</f>
        <v>-</v>
      </c>
      <c r="D195" s="35" t="str">
        <f>IFERROR(IF(VLOOKUP($B195,casostestes[#Data],2)=0,"-",VLOOKUP($B195,casostestes[#Data],2)), "-")</f>
        <v>-</v>
      </c>
      <c r="E195" s="35" t="str">
        <f>IFERROR(IF(VLOOKUP($B195,casostestes[#Data],3)=0,"-",VLOOKUP($B195,casostestes[#Data],3)), "-")</f>
        <v>-</v>
      </c>
      <c r="F195" s="35" t="str">
        <f>IFERROR(IF(VLOOKUP($B195,casostestes[#Data],4)=0,"-",VLOOKUP($B195,casostestes[#Data],4)),"-")</f>
        <v>-</v>
      </c>
      <c r="G195" s="35" t="str">
        <f>IFERROR(IF(VLOOKUP($B195,casostestes[#Data],5)=0,"-",VLOOKUP($B195,casostestes[#Data],5)),"-")</f>
        <v>-</v>
      </c>
      <c r="H195" s="87" t="str">
        <f>IFERROR(IF(VLOOKUP($B195,casostestes[#Data],6)=0,"-",VLOOKUP($B195,casostestes[#Data],6)),"-")</f>
        <v>-</v>
      </c>
      <c r="I195" s="35" t="str">
        <f>IFERROR(IF(VLOOKUP($B195,casostestes[#Data],8)=0,"-",VLOOKUP($B195,casostestes[#Data],8)),"-")</f>
        <v>-</v>
      </c>
      <c r="J195" s="35" t="str">
        <f>IFERROR(IF(VLOOKUP($B195,casostestes[#Data],9)=0,"-",VLOOKUP($B195,casostestes[#Data],9)),"-")</f>
        <v>-</v>
      </c>
      <c r="K195" s="36"/>
      <c r="L195" s="45"/>
      <c r="M195" s="37"/>
      <c r="N195" s="38"/>
      <c r="O195" s="38"/>
      <c r="P195" s="39"/>
    </row>
    <row r="196" spans="2:16">
      <c r="B196" s="40" t="str">
        <f>IF(ISERR(casostestes[[#This Row],[ID]]),"-",casostestes[[#This Row],[ID]])</f>
        <v>-</v>
      </c>
      <c r="C196" s="34" t="str">
        <f>IFERROR(IF(VLOOKUP($B196,casostestes[#Data],10)=0,"Não",VLOOKUP($B196,casostestes[#Data],10)), "-")</f>
        <v>-</v>
      </c>
      <c r="D196" s="35" t="str">
        <f>IFERROR(IF(VLOOKUP($B196,casostestes[#Data],2)=0,"-",VLOOKUP($B196,casostestes[#Data],2)), "-")</f>
        <v>-</v>
      </c>
      <c r="E196" s="35" t="str">
        <f>IFERROR(IF(VLOOKUP($B196,casostestes[#Data],3)=0,"-",VLOOKUP($B196,casostestes[#Data],3)), "-")</f>
        <v>-</v>
      </c>
      <c r="F196" s="35" t="str">
        <f>IFERROR(IF(VLOOKUP($B196,casostestes[#Data],4)=0,"-",VLOOKUP($B196,casostestes[#Data],4)),"-")</f>
        <v>-</v>
      </c>
      <c r="G196" s="35" t="str">
        <f>IFERROR(IF(VLOOKUP($B196,casostestes[#Data],5)=0,"-",VLOOKUP($B196,casostestes[#Data],5)),"-")</f>
        <v>-</v>
      </c>
      <c r="H196" s="87" t="str">
        <f>IFERROR(IF(VLOOKUP($B196,casostestes[#Data],6)=0,"-",VLOOKUP($B196,casostestes[#Data],6)),"-")</f>
        <v>-</v>
      </c>
      <c r="I196" s="35" t="str">
        <f>IFERROR(IF(VLOOKUP($B196,casostestes[#Data],8)=0,"-",VLOOKUP($B196,casostestes[#Data],8)),"-")</f>
        <v>-</v>
      </c>
      <c r="J196" s="35" t="str">
        <f>IFERROR(IF(VLOOKUP($B196,casostestes[#Data],9)=0,"-",VLOOKUP($B196,casostestes[#Data],9)),"-")</f>
        <v>-</v>
      </c>
      <c r="K196" s="36"/>
      <c r="L196" s="45"/>
      <c r="M196" s="37"/>
      <c r="N196" s="38"/>
      <c r="O196" s="38"/>
      <c r="P196" s="39"/>
    </row>
    <row r="197" spans="2:16">
      <c r="B197" s="40" t="str">
        <f>IF(ISERR(casostestes[[#This Row],[ID]]),"-",casostestes[[#This Row],[ID]])</f>
        <v>-</v>
      </c>
      <c r="C197" s="34" t="str">
        <f>IFERROR(IF(VLOOKUP($B197,casostestes[#Data],10)=0,"Não",VLOOKUP($B197,casostestes[#Data],10)), "-")</f>
        <v>-</v>
      </c>
      <c r="D197" s="35" t="str">
        <f>IFERROR(IF(VLOOKUP($B197,casostestes[#Data],2)=0,"-",VLOOKUP($B197,casostestes[#Data],2)), "-")</f>
        <v>-</v>
      </c>
      <c r="E197" s="35" t="str">
        <f>IFERROR(IF(VLOOKUP($B197,casostestes[#Data],3)=0,"-",VLOOKUP($B197,casostestes[#Data],3)), "-")</f>
        <v>-</v>
      </c>
      <c r="F197" s="35" t="str">
        <f>IFERROR(IF(VLOOKUP($B197,casostestes[#Data],4)=0,"-",VLOOKUP($B197,casostestes[#Data],4)),"-")</f>
        <v>-</v>
      </c>
      <c r="G197" s="35" t="str">
        <f>IFERROR(IF(VLOOKUP($B197,casostestes[#Data],5)=0,"-",VLOOKUP($B197,casostestes[#Data],5)),"-")</f>
        <v>-</v>
      </c>
      <c r="H197" s="87" t="str">
        <f>IFERROR(IF(VLOOKUP($B197,casostestes[#Data],6)=0,"-",VLOOKUP($B197,casostestes[#Data],6)),"-")</f>
        <v>-</v>
      </c>
      <c r="I197" s="35" t="str">
        <f>IFERROR(IF(VLOOKUP($B197,casostestes[#Data],8)=0,"-",VLOOKUP($B197,casostestes[#Data],8)),"-")</f>
        <v>-</v>
      </c>
      <c r="J197" s="35" t="str">
        <f>IFERROR(IF(VLOOKUP($B197,casostestes[#Data],9)=0,"-",VLOOKUP($B197,casostestes[#Data],9)),"-")</f>
        <v>-</v>
      </c>
      <c r="K197" s="36"/>
      <c r="L197" s="45"/>
      <c r="M197" s="37"/>
      <c r="N197" s="38"/>
      <c r="O197" s="38"/>
      <c r="P197" s="39"/>
    </row>
    <row r="198" spans="2:16">
      <c r="B198" s="40" t="str">
        <f>IF(ISERR(casostestes[[#This Row],[ID]]),"-",casostestes[[#This Row],[ID]])</f>
        <v>-</v>
      </c>
      <c r="C198" s="34" t="str">
        <f>IFERROR(IF(VLOOKUP($B198,casostestes[#Data],10)=0,"Não",VLOOKUP($B198,casostestes[#Data],10)), "-")</f>
        <v>-</v>
      </c>
      <c r="D198" s="35" t="str">
        <f>IFERROR(IF(VLOOKUP($B198,casostestes[#Data],2)=0,"-",VLOOKUP($B198,casostestes[#Data],2)), "-")</f>
        <v>-</v>
      </c>
      <c r="E198" s="35" t="str">
        <f>IFERROR(IF(VLOOKUP($B198,casostestes[#Data],3)=0,"-",VLOOKUP($B198,casostestes[#Data],3)), "-")</f>
        <v>-</v>
      </c>
      <c r="F198" s="35" t="str">
        <f>IFERROR(IF(VLOOKUP($B198,casostestes[#Data],4)=0,"-",VLOOKUP($B198,casostestes[#Data],4)),"-")</f>
        <v>-</v>
      </c>
      <c r="G198" s="35" t="str">
        <f>IFERROR(IF(VLOOKUP($B198,casostestes[#Data],5)=0,"-",VLOOKUP($B198,casostestes[#Data],5)),"-")</f>
        <v>-</v>
      </c>
      <c r="H198" s="87" t="str">
        <f>IFERROR(IF(VLOOKUP($B198,casostestes[#Data],6)=0,"-",VLOOKUP($B198,casostestes[#Data],6)),"-")</f>
        <v>-</v>
      </c>
      <c r="I198" s="35" t="str">
        <f>IFERROR(IF(VLOOKUP($B198,casostestes[#Data],8)=0,"-",VLOOKUP($B198,casostestes[#Data],8)),"-")</f>
        <v>-</v>
      </c>
      <c r="J198" s="35" t="str">
        <f>IFERROR(IF(VLOOKUP($B198,casostestes[#Data],9)=0,"-",VLOOKUP($B198,casostestes[#Data],9)),"-")</f>
        <v>-</v>
      </c>
      <c r="K198" s="36"/>
      <c r="L198" s="45"/>
      <c r="M198" s="37"/>
      <c r="N198" s="38"/>
      <c r="O198" s="38"/>
      <c r="P198" s="39"/>
    </row>
    <row r="199" spans="2:16">
      <c r="B199" s="40" t="str">
        <f>IF(ISERR(casostestes[[#This Row],[ID]]),"-",casostestes[[#This Row],[ID]])</f>
        <v>-</v>
      </c>
      <c r="C199" s="34" t="str">
        <f>IFERROR(IF(VLOOKUP($B199,casostestes[#Data],10)=0,"Não",VLOOKUP($B199,casostestes[#Data],10)), "-")</f>
        <v>-</v>
      </c>
      <c r="D199" s="35" t="str">
        <f>IFERROR(IF(VLOOKUP($B199,casostestes[#Data],2)=0,"-",VLOOKUP($B199,casostestes[#Data],2)), "-")</f>
        <v>-</v>
      </c>
      <c r="E199" s="35" t="str">
        <f>IFERROR(IF(VLOOKUP($B199,casostestes[#Data],3)=0,"-",VLOOKUP($B199,casostestes[#Data],3)), "-")</f>
        <v>-</v>
      </c>
      <c r="F199" s="35" t="str">
        <f>IFERROR(IF(VLOOKUP($B199,casostestes[#Data],4)=0,"-",VLOOKUP($B199,casostestes[#Data],4)),"-")</f>
        <v>-</v>
      </c>
      <c r="G199" s="35" t="str">
        <f>IFERROR(IF(VLOOKUP($B199,casostestes[#Data],5)=0,"-",VLOOKUP($B199,casostestes[#Data],5)),"-")</f>
        <v>-</v>
      </c>
      <c r="H199" s="87" t="str">
        <f>IFERROR(IF(VLOOKUP($B199,casostestes[#Data],6)=0,"-",VLOOKUP($B199,casostestes[#Data],6)),"-")</f>
        <v>-</v>
      </c>
      <c r="I199" s="35" t="str">
        <f>IFERROR(IF(VLOOKUP($B199,casostestes[#Data],8)=0,"-",VLOOKUP($B199,casostestes[#Data],8)),"-")</f>
        <v>-</v>
      </c>
      <c r="J199" s="35" t="str">
        <f>IFERROR(IF(VLOOKUP($B199,casostestes[#Data],9)=0,"-",VLOOKUP($B199,casostestes[#Data],9)),"-")</f>
        <v>-</v>
      </c>
      <c r="K199" s="36"/>
      <c r="L199" s="45"/>
      <c r="M199" s="37"/>
      <c r="N199" s="38"/>
      <c r="O199" s="38"/>
      <c r="P199" s="39"/>
    </row>
    <row r="200" spans="2:16">
      <c r="B200" s="40" t="str">
        <f>IF(ISERR(casostestes[[#This Row],[ID]]),"-",casostestes[[#This Row],[ID]])</f>
        <v>-</v>
      </c>
      <c r="C200" s="41" t="str">
        <f>IFERROR(IF(VLOOKUP($B200,casostestes[#Data],10)=0,"Não",VLOOKUP($B200,casostestes[#Data],10)), "-")</f>
        <v>-</v>
      </c>
      <c r="D200" s="42" t="str">
        <f>IFERROR(IF(VLOOKUP($B200,casostestes[#Data],2)=0,"-",VLOOKUP($B200,casostestes[#Data],2)), "-")</f>
        <v>-</v>
      </c>
      <c r="E200" s="42" t="str">
        <f>IFERROR(IF(VLOOKUP($B200,casostestes[#Data],3)=0,"-",VLOOKUP($B200,casostestes[#Data],3)), "-")</f>
        <v>-</v>
      </c>
      <c r="F200" s="42" t="str">
        <f>IFERROR(IF(VLOOKUP($B200,casostestes[#Data],4)=0,"-",VLOOKUP($B200,casostestes[#Data],4)),"-")</f>
        <v>-</v>
      </c>
      <c r="G200" s="42" t="str">
        <f>IFERROR(IF(VLOOKUP($B200,casostestes[#Data],5)=0,"-",VLOOKUP($B200,casostestes[#Data],5)),"-")</f>
        <v>-</v>
      </c>
      <c r="H200" s="90" t="str">
        <f>IFERROR(IF(VLOOKUP($B200,casostestes[#Data],6)=0,"-",VLOOKUP($B200,casostestes[#Data],6)),"-")</f>
        <v>-</v>
      </c>
      <c r="I200" s="42" t="str">
        <f>IFERROR(IF(VLOOKUP($B200,casostestes[#Data],8)=0,"-",VLOOKUP($B200,casostestes[#Data],8)),"-")</f>
        <v>-</v>
      </c>
      <c r="J200" s="42" t="str">
        <f>IFERROR(IF(VLOOKUP($B200,casostestes[#Data],9)=0,"-",VLOOKUP($B200,casostestes[#Data],9)),"-")</f>
        <v>-</v>
      </c>
      <c r="K200" s="43"/>
      <c r="L200" s="45"/>
      <c r="M200" s="44"/>
      <c r="N200" s="45"/>
      <c r="O200" s="45"/>
      <c r="P200" s="46"/>
    </row>
    <row r="201" spans="2:16" ht="120">
      <c r="B201" s="40" t="str">
        <f>IF(ISERR(casostestes[[#This Row],[ID]]),"-",casostestes[[#This Row],[ID]])</f>
        <v>-</v>
      </c>
      <c r="C201" s="41" t="str">
        <f>IFERROR(IF(VLOOKUP($B201,casostestes[#Data],10)=0,"Não",VLOOKUP($B201,casostestes[#Data],10)), "-")</f>
        <v>-</v>
      </c>
      <c r="D201" s="42" t="str">
        <f>IFERROR(IF(VLOOKUP($B201,casostestes[#Data],2)=0,"-",VLOOKUP($B201,casostestes[#Data],2)), "-")</f>
        <v>-</v>
      </c>
      <c r="E201" s="42" t="s">
        <v>290</v>
      </c>
      <c r="F201" s="42" t="str">
        <f>IFERROR(IF(VLOOKUP($B201,casostestes[#Data],4)=0,"-",VLOOKUP($B201,casostestes[#Data],4)),"-")</f>
        <v>-</v>
      </c>
      <c r="G201" s="42" t="str">
        <f>IFERROR(IF(VLOOKUP($B201,casostestes[#Data],5)=0,"-",VLOOKUP($B201,casostestes[#Data],5)),"-")</f>
        <v>-</v>
      </c>
      <c r="H201" s="90" t="str">
        <f>IFERROR(IF(VLOOKUP($B201,casostestes[#Data],6)=0,"-",VLOOKUP($B201,casostestes[#Data],6)),"-")</f>
        <v>-</v>
      </c>
      <c r="I201" s="42" t="str">
        <f>IFERROR(IF(VLOOKUP($B201,casostestes[#Data],8)=0,"-",VLOOKUP($B201,casostestes[#Data],8)),"-")</f>
        <v>-</v>
      </c>
      <c r="J201" s="42" t="str">
        <f>IFERROR(IF(VLOOKUP($B201,casostestes[#Data],9)=0,"-",VLOOKUP($B201,casostestes[#Data],9)),"-")</f>
        <v>-</v>
      </c>
      <c r="K201" s="43"/>
      <c r="L201" s="45"/>
      <c r="M201" s="44"/>
      <c r="N201" s="45"/>
      <c r="O201" s="45"/>
      <c r="P201" s="46"/>
    </row>
  </sheetData>
  <mergeCells count="3">
    <mergeCell ref="B1:J1"/>
    <mergeCell ref="B2:J2"/>
    <mergeCell ref="B3:J3"/>
  </mergeCells>
  <conditionalFormatting sqref="C201:D1048576 C8:C201">
    <cfRule type="cellIs" dxfId="74" priority="6" operator="equal">
      <formula>"Sim"</formula>
    </cfRule>
    <cfRule type="cellIs" dxfId="73" priority="7" operator="equal">
      <formula>"Não"</formula>
    </cfRule>
  </conditionalFormatting>
  <conditionalFormatting sqref="M8:M201">
    <cfRule type="cellIs" dxfId="72" priority="1" operator="equal">
      <formula>"Sem massa"</formula>
    </cfRule>
    <cfRule type="cellIs" dxfId="71" priority="2" operator="equal">
      <formula>"Pendência Externa"</formula>
    </cfRule>
    <cfRule type="cellIs" dxfId="70" priority="3" operator="equal">
      <formula>"Disponível para reteste"</formula>
    </cfRule>
    <cfRule type="cellIs" dxfId="69" priority="4" operator="equal">
      <formula>"Reprovado"</formula>
    </cfRule>
    <cfRule type="cellIs" dxfId="68" priority="5" operator="equal">
      <formula>"Aprovado"</formula>
    </cfRule>
  </conditionalFormatting>
  <dataValidations disablePrompts="1" count="1">
    <dataValidation type="list" allowBlank="1" showInputMessage="1" showErrorMessage="1" sqref="M8:M201" xr:uid="{BD821A48-B81D-4BA3-9BC4-55EEE688D0A8}">
      <formula1>INDIRECT("status[status]")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DCCC8-092D-4A5A-94CB-B587EACF8F09}">
  <sheetPr>
    <tabColor theme="9" tint="0.79998168889431442"/>
  </sheetPr>
  <dimension ref="B1:P200"/>
  <sheetViews>
    <sheetView showGridLines="0" zoomScaleNormal="100" workbookViewId="0">
      <pane xSplit="5" ySplit="7" topLeftCell="F8" activePane="bottomRight" state="frozen"/>
      <selection pane="bottomRight" activeCell="F8" sqref="F8"/>
      <selection pane="bottomLeft"/>
      <selection pane="topRight"/>
    </sheetView>
  </sheetViews>
  <sheetFormatPr defaultColWidth="9.140625" defaultRowHeight="15"/>
  <cols>
    <col min="1" max="1" width="2.7109375" style="14" customWidth="1"/>
    <col min="2" max="2" width="7.7109375" style="14" customWidth="1"/>
    <col min="3" max="3" width="15.42578125" style="14" customWidth="1"/>
    <col min="4" max="4" width="26" style="14" customWidth="1"/>
    <col min="5" max="5" width="57.42578125" style="14" customWidth="1"/>
    <col min="6" max="6" width="17.7109375" style="14" customWidth="1"/>
    <col min="7" max="7" width="24.42578125" style="14" customWidth="1"/>
    <col min="8" max="8" width="57.42578125" style="14" customWidth="1"/>
    <col min="9" max="9" width="16.7109375" style="14" customWidth="1"/>
    <col min="10" max="10" width="104.7109375" style="14" customWidth="1"/>
    <col min="11" max="11" width="18" style="14" customWidth="1"/>
    <col min="12" max="12" width="20.5703125" style="14" customWidth="1"/>
    <col min="13" max="13" width="21.85546875" style="14" customWidth="1"/>
    <col min="14" max="14" width="31.5703125" style="14" customWidth="1"/>
    <col min="15" max="15" width="24.85546875" style="14" customWidth="1"/>
    <col min="16" max="16" width="22.42578125" style="14" customWidth="1"/>
    <col min="17" max="16384" width="9.140625" style="14"/>
  </cols>
  <sheetData>
    <row r="1" spans="2:16" ht="26.25">
      <c r="B1" s="106" t="s">
        <v>0</v>
      </c>
      <c r="C1" s="106"/>
      <c r="D1" s="106"/>
      <c r="E1" s="106"/>
      <c r="F1" s="106"/>
      <c r="G1" s="106"/>
      <c r="H1" s="106"/>
      <c r="I1" s="106"/>
      <c r="J1" s="106"/>
      <c r="K1" s="19"/>
      <c r="L1" s="19"/>
    </row>
    <row r="2" spans="2:16" s="21" customFormat="1" ht="23.25">
      <c r="B2" s="107" t="s">
        <v>1</v>
      </c>
      <c r="C2" s="107"/>
      <c r="D2" s="107"/>
      <c r="E2" s="107"/>
      <c r="F2" s="107"/>
      <c r="G2" s="107"/>
      <c r="H2" s="107"/>
      <c r="I2" s="107"/>
      <c r="J2" s="107"/>
      <c r="K2" s="20"/>
      <c r="L2" s="20"/>
    </row>
    <row r="3" spans="2:16" s="21" customFormat="1" ht="23.25">
      <c r="B3" s="107" t="s">
        <v>2</v>
      </c>
      <c r="C3" s="107"/>
      <c r="D3" s="107"/>
      <c r="E3" s="107"/>
      <c r="F3" s="107"/>
      <c r="G3" s="107"/>
      <c r="H3" s="107"/>
      <c r="I3" s="107"/>
      <c r="J3" s="107"/>
      <c r="K3" s="20"/>
      <c r="L3" s="20"/>
    </row>
    <row r="5" spans="2:16">
      <c r="B5" s="3"/>
      <c r="E5" s="3"/>
    </row>
    <row r="7" spans="2:16" s="3" customFormat="1">
      <c r="B7" s="15" t="s">
        <v>3</v>
      </c>
      <c r="C7" s="16" t="s">
        <v>4</v>
      </c>
      <c r="D7" s="16" t="s">
        <v>5</v>
      </c>
      <c r="E7" s="17" t="s">
        <v>6</v>
      </c>
      <c r="F7" s="17" t="s">
        <v>7</v>
      </c>
      <c r="G7" s="17" t="s">
        <v>8</v>
      </c>
      <c r="H7" s="17" t="s">
        <v>9</v>
      </c>
      <c r="I7" s="17" t="s">
        <v>10</v>
      </c>
      <c r="J7" s="17" t="s">
        <v>11</v>
      </c>
      <c r="K7" s="17" t="s">
        <v>12</v>
      </c>
      <c r="L7" s="17" t="s">
        <v>13</v>
      </c>
      <c r="M7" s="17" t="s">
        <v>14</v>
      </c>
      <c r="N7" s="17" t="s">
        <v>15</v>
      </c>
      <c r="O7" s="17" t="s">
        <v>16</v>
      </c>
      <c r="P7" s="18" t="s">
        <v>17</v>
      </c>
    </row>
    <row r="8" spans="2:16" s="13" customFormat="1" ht="105">
      <c r="B8" s="34">
        <f>IF(ISERR(casostestes[[#This Row],[ID]]),"-",casostestes[[#This Row],[ID]])</f>
        <v>1</v>
      </c>
      <c r="C8" s="34" t="str">
        <f>IFERROR(IF(VLOOKUP($B8,casostestes[#Data],10)=0,"Não",VLOOKUP($B8,casostestes[#Data],10)), "-")</f>
        <v>Sim</v>
      </c>
      <c r="D8" s="35" t="str">
        <f>IFERROR(IF(VLOOKUP($B8,casostestes[#Data],2)=0,"-",VLOOKUP($B8,casostestes[#Data],2)), "-")</f>
        <v>Requerimento Inicial de BI</v>
      </c>
      <c r="E8" s="35" t="str">
        <f>IFERROR(IF(VLOOKUP($B8,casostestes[#Data],3)=0,"-",VLOOKUP($B8,casostestes[#Data],3)), "-")</f>
        <v>6
Criação de tarefa de BI inicial com fluxo ATESTMED para categoria DIFERENTE de Segurado Especial COM exigência de preenchimento da AD.
Premissas:
Catálogo: Exige autodeclaração = ATIVADO
Parâmetro:  144 - Fluxo ATESTMED = LIGADO</v>
      </c>
      <c r="F8" s="35" t="str">
        <f>IFERROR(IF(VLOOKUP($B8,casostestes[#Data],4)=0,"-",VLOOKUP($B8,casostestes[#Data],4)),"-")</f>
        <v>Central 135</v>
      </c>
      <c r="G8" s="35" t="str">
        <f>IFERROR(IF(VLOOKUP($B8,casostestes[#Data],5)=0,"-",VLOOKUP($B8,casostestes[#Data],5)),"-")</f>
        <v>ATENDENTE_CENTRAL_135</v>
      </c>
      <c r="H8" s="35" t="str">
        <f>IFERROR(IF(VLOOKUP($B8,casostestes[#Data],6)=0,"-",VLOOKUP($B8,casostestes[#Data],6)),"-")</f>
        <v>1. Logar no Portal do Atendimento INSS com o perfil do caso de teste
2. Criar tarefa de BI informando:
- Tipo de Incapacidade? "Temporário"
- A pessoa está presa?  "Não"
- Categoria do trabalhador "Desempregado" ...
- A pessoa ficou sem trabalhar? "Sim"</v>
      </c>
      <c r="I8" s="35" t="str">
        <f>IFERROR(IF(VLOOKUP($B8,casostestes[#Data],8)=0,"-",VLOOKUP($B8,casostestes[#Data],8)),"-")</f>
        <v>-</v>
      </c>
      <c r="J8" s="35" t="str">
        <f>IFERROR(IF(VLOOKUP($B8,casostestes[#Data],9)=0,"-",VLOOKUP($B8,casostestes[#Data],9)),"-")</f>
        <v>1. Na conclusão do requerimento é emitido o aviso: "É necessário apresentar os documentos no prazo de 5 dias. Caso não apresente, o pedido será cancelado."
2. A tarefa de BI criada com STATUS: EM EXIGÊNCIA
3. Status SIBE: Fluxo não iniciado
4. Tarefa COM as divergências:
- 174 Ausência do atestado médico</v>
      </c>
      <c r="K8" s="36"/>
      <c r="L8" s="38"/>
      <c r="M8" s="37"/>
      <c r="N8" s="38"/>
      <c r="O8" s="38"/>
      <c r="P8" s="39"/>
    </row>
    <row r="9" spans="2:16" ht="240">
      <c r="B9" s="40">
        <f>IF(ISERR(casostestes[[#This Row],[ID]]),"-",casostestes[[#This Row],[ID]])</f>
        <v>2</v>
      </c>
      <c r="C9" s="41" t="str">
        <f>IFERROR(IF(VLOOKUP($B9,casostestes[#Data],10)=0,"Não",VLOOKUP($B9,casostestes[#Data],10)), "-")</f>
        <v>Sim</v>
      </c>
      <c r="D9" s="42" t="str">
        <f>IFERROR(IF(VLOOKUP($B9,casostestes[#Data],2)=0,"-",VLOOKUP($B9,casostestes[#Data],2)), "-")</f>
        <v>Integração</v>
      </c>
      <c r="E9" s="42" t="str">
        <f>IFERROR(IF(VLOOKUP($B9,casostestes[#Data],3)=0,"-",VLOOKUP($B9,casostestes[#Data],3)), "-")</f>
        <v>12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9" s="42" t="str">
        <f>IFERROR(IF(VLOOKUP($B9,casostestes[#Data],4)=0,"-",VLOOKUP($B9,casostestes[#Data],4)),"-")</f>
        <v>PAT</v>
      </c>
      <c r="G9" s="42" t="str">
        <f>IFERROR(IF(VLOOKUP($B9,casostestes[#Data],5)=0,"-",VLOOKUP($B9,casostestes[#Data],5)),"-")</f>
        <v>SERVIDOR</v>
      </c>
      <c r="H9" s="42" t="str">
        <f>IFERROR(IF(VLOOKUP($B9,casostestes[#Data],6)=0,"-",VLOOKUP($B9,casostestes[#Data],6)),"-")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formulário da autodeclaração</v>
      </c>
      <c r="I9" s="42" t="str">
        <f>IFERROR(IF(VLOOKUP($B9,casostestes[#Data],8)=0,"-",VLOOKUP($B9,casostestes[#Data],8)),"-")</f>
        <v>-</v>
      </c>
      <c r="J9" s="42" t="str">
        <f>IFERROR(IF(VLOOKUP($B9,casostestes[#Data],9)=0,"-",VLOOKUP($B9,casostestes[#Data],9)),"-")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9" s="43"/>
      <c r="L9" s="45"/>
      <c r="M9" s="44"/>
      <c r="N9" s="45"/>
      <c r="O9" s="45"/>
      <c r="P9" s="46"/>
    </row>
    <row r="10" spans="2:16" ht="210">
      <c r="B10" s="40">
        <f>IF(ISERR(casostestes[[#This Row],[ID]]),"-",casostestes[[#This Row],[ID]])</f>
        <v>3</v>
      </c>
      <c r="C10" s="34" t="str">
        <f>IFERROR(IF(VLOOKUP($B10,casostestes[#Data],10)=0,"Não",VLOOKUP($B10,casostestes[#Data],10)), "-")</f>
        <v>Sim</v>
      </c>
      <c r="D10" s="35" t="str">
        <f>IFERROR(IF(VLOOKUP($B10,casostestes[#Data],2)=0,"-",VLOOKUP($B10,casostestes[#Data],2)), "-")</f>
        <v>Integração</v>
      </c>
      <c r="E10" s="35" t="str">
        <f>IFERROR(IF(VLOOKUP($B10,casostestes[#Data],3)=0,"-",VLOOKUP($B10,casostestes[#Data],3)), "-")</f>
        <v>13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10" s="35" t="str">
        <f>IFERROR(IF(VLOOKUP($B10,casostestes[#Data],4)=0,"-",VLOOKUP($B10,casostestes[#Data],4)),"-")</f>
        <v>PAT</v>
      </c>
      <c r="G10" s="35" t="str">
        <f>IFERROR(IF(VLOOKUP($B10,casostestes[#Data],5)=0,"-",VLOOKUP($B10,casostestes[#Data],5)),"-")</f>
        <v>SERVIDOR</v>
      </c>
      <c r="H10" s="35" t="str">
        <f>IFERROR(IF(VLOOKUP($B10,casostestes[#Data],6)=0,"-",VLOOKUP($B10,casostestes[#Data],6)),"-")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Responder a autodeclaração</v>
      </c>
      <c r="I10" s="35" t="str">
        <f>IFERROR(IF(VLOOKUP($B10,casostestes[#Data],8)=0,"-",VLOOKUP($B10,casostestes[#Data],8)),"-")</f>
        <v>-</v>
      </c>
      <c r="J10" s="35" t="str">
        <f>IFERROR(IF(VLOOKUP($B10,casostestes[#Data],9)=0,"-",VLOOKUP($B10,casostestes[#Data],9)),"-")</f>
        <v>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</v>
      </c>
      <c r="K10" s="36"/>
      <c r="L10" s="45"/>
      <c r="M10" s="37"/>
      <c r="N10" s="38"/>
      <c r="O10" s="38"/>
      <c r="P10" s="39"/>
    </row>
    <row r="11" spans="2:16" ht="225">
      <c r="B11" s="40">
        <f>IF(ISERR(casostestes[[#This Row],[ID]]),"-",casostestes[[#This Row],[ID]])</f>
        <v>4</v>
      </c>
      <c r="C11" s="34" t="str">
        <f>IFERROR(IF(VLOOKUP($B11,casostestes[#Data],10)=0,"Não",VLOOKUP($B11,casostestes[#Data],10)), "-")</f>
        <v>Sim</v>
      </c>
      <c r="D11" s="35" t="str">
        <f>IFERROR(IF(VLOOKUP($B11,casostestes[#Data],2)=0,"-",VLOOKUP($B11,casostestes[#Data],2)), "-")</f>
        <v>Integração</v>
      </c>
      <c r="E11" s="35" t="str">
        <f>IFERROR(IF(VLOOKUP($B11,casostestes[#Data],3)=0,"-",VLOOKUP($B11,casostestes[#Data],3)), "-")</f>
        <v>16
Cumprir a exigência de autodeclaração</v>
      </c>
      <c r="F11" s="35" t="str">
        <f>IFERROR(IF(VLOOKUP($B11,casostestes[#Data],4)=0,"-",VLOOKUP($B11,casostestes[#Data],4)),"-")</f>
        <v>PAT</v>
      </c>
      <c r="G11" s="35" t="str">
        <f>IFERROR(IF(VLOOKUP($B11,casostestes[#Data],5)=0,"-",VLOOKUP($B11,casostestes[#Data],5)),"-")</f>
        <v>SERVIDOR</v>
      </c>
      <c r="H11" s="35" t="str">
        <f>IFERROR(IF(VLOOKUP($B11,casostestes[#Data],6)=0,"-",VLOOKUP($B11,casostestes[#Data],6)),"-")</f>
        <v>1. Logar no Portal do Atendimento INSS com o perfil Servidor
2.Consultar uma tarefa em exigência de autodeclaração e acionar Cumprir Exigência  
3. Responder o formulário de autodeclaração até o final</v>
      </c>
      <c r="I11" s="35" t="str">
        <f>IFERROR(IF(VLOOKUP($B11,casostestes[#Data],8)=0,"-",VLOOKUP($B11,casostestes[#Data],8)),"-")</f>
        <v>-</v>
      </c>
      <c r="J11" s="35" t="str">
        <f>IFERROR(IF(VLOOKUP($B11,casostestes[#Data],9)=0,"-",VLOOKUP($B11,casostestes[#Data],9)),"-")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11" s="36"/>
      <c r="L11" s="45"/>
      <c r="M11" s="37"/>
      <c r="N11" s="38"/>
      <c r="O11" s="38"/>
      <c r="P11" s="39"/>
    </row>
    <row r="12" spans="2:16" ht="165">
      <c r="B12" s="40">
        <f>IF(ISERR(casostestes[[#This Row],[ID]]),"-",casostestes[[#This Row],[ID]])</f>
        <v>5</v>
      </c>
      <c r="C12" s="34" t="str">
        <f>IFERROR(IF(VLOOKUP($B12,casostestes[#Data],10)=0,"Não",VLOOKUP($B12,casostestes[#Data],10)), "-")</f>
        <v>Sim</v>
      </c>
      <c r="D12" s="35" t="str">
        <f>IFERROR(IF(VLOOKUP($B12,casostestes[#Data],2)=0,"-",VLOOKUP($B12,casostestes[#Data],2)), "-")</f>
        <v>Integração</v>
      </c>
      <c r="E12" s="35" t="str">
        <f>IFERROR(IF(VLOOKUP($B12,casostestes[#Data],3)=0,"-",VLOOKUP($B12,casostestes[#Data],3)), "-")</f>
        <v>17
Responder o formulário de autodeclaração acessando diretamente a aba segurado especial ao detalhar a tarefa, onde a tarefa encontra-se em exigência de autodeclaração</v>
      </c>
      <c r="F12" s="35" t="str">
        <f>IFERROR(IF(VLOOKUP($B12,casostestes[#Data],4)=0,"-",VLOOKUP($B12,casostestes[#Data],4)),"-")</f>
        <v>PAT</v>
      </c>
      <c r="G12" s="35" t="str">
        <f>IFERROR(IF(VLOOKUP($B12,casostestes[#Data],5)=0,"-",VLOOKUP($B12,casostestes[#Data],5)),"-")</f>
        <v>SERVIDOR</v>
      </c>
      <c r="H12" s="35" t="str">
        <f>IFERROR(IF(VLOOKUP($B12,casostestes[#Data],6)=0,"-",VLOOKUP($B12,casostestes[#Data],6)),"-")</f>
        <v>1. Logar no Portal do Atendimento INSS com o perfil Servidor
2.Consultar uma tarefa em exigência de autodeclaração 
3. Acionar a aba Segurado especial
3. Responder o formulário de autodeclaração até o final</v>
      </c>
      <c r="I12" s="35" t="str">
        <f>IFERROR(IF(VLOOKUP($B12,casostestes[#Data],8)=0,"-",VLOOKUP($B12,casostestes[#Data],8)),"-")</f>
        <v>-</v>
      </c>
      <c r="J12" s="35" t="str">
        <f>IFERROR(IF(VLOOKUP($B12,casostestes[#Data],9)=0,"-",VLOOKUP($B12,casostestes[#Data],9)),"-")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12" s="36"/>
      <c r="L12" s="45"/>
      <c r="M12" s="37"/>
      <c r="N12" s="38"/>
      <c r="O12" s="38"/>
      <c r="P12" s="39"/>
    </row>
    <row r="13" spans="2:16" ht="105">
      <c r="B13" s="40">
        <f>IF(ISERR(casostestes[[#This Row],[ID]]),"-",casostestes[[#This Row],[ID]])</f>
        <v>6</v>
      </c>
      <c r="C13" s="34" t="str">
        <f>IFERROR(IF(VLOOKUP($B13,casostestes[#Data],10)=0,"Não",VLOOKUP($B13,casostestes[#Data],10)), "-")</f>
        <v>Sim</v>
      </c>
      <c r="D13" s="35" t="str">
        <f>IFERROR(IF(VLOOKUP($B13,casostestes[#Data],2)=0,"-",VLOOKUP($B13,casostestes[#Data],2)), "-")</f>
        <v>Integração</v>
      </c>
      <c r="E13" s="35" t="str">
        <f>IFERROR(IF(VLOOKUP($B13,casostestes[#Data],3)=0,"-",VLOOKUP($B13,casostestes[#Data],3)), "-")</f>
        <v>18
Responder o formulário de autodeclaração acessando diretamente a aba segurado especial ao detalhar a tarefa, onde a tarefa encontra-se em exigência de documento médico</v>
      </c>
      <c r="F13" s="35" t="str">
        <f>IFERROR(IF(VLOOKUP($B13,casostestes[#Data],4)=0,"-",VLOOKUP($B13,casostestes[#Data],4)),"-")</f>
        <v>PAT</v>
      </c>
      <c r="G13" s="35" t="str">
        <f>IFERROR(IF(VLOOKUP($B13,casostestes[#Data],5)=0,"-",VLOOKUP($B13,casostestes[#Data],5)),"-")</f>
        <v>SERVIDOR</v>
      </c>
      <c r="H13" s="35" t="str">
        <f>IFERROR(IF(VLOOKUP($B13,casostestes[#Data],6)=0,"-",VLOOKUP($B13,casostestes[#Data],6)),"-")</f>
        <v>1. Logar no Portal do Atendimento INSS com o perfil Servidor
2.Consultar uma tarefa em exigência de documento médico
3. Acionar a aba Segurado especial
3. Responder o formulário de autodeclaração até o final</v>
      </c>
      <c r="I13" s="35" t="str">
        <f>IFERROR(IF(VLOOKUP($B13,casostestes[#Data],8)=0,"-",VLOOKUP($B13,casostestes[#Data],8)),"-")</f>
        <v>-</v>
      </c>
      <c r="J13" s="35" t="str">
        <f>IFERROR(IF(VLOOKUP($B13,casostestes[#Data],9)=0,"-",VLOOKUP($B13,casostestes[#Data],9)),"-")</f>
        <v xml:space="preserve">
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13" s="36"/>
      <c r="L13" s="45"/>
      <c r="M13" s="37"/>
      <c r="N13" s="38"/>
      <c r="O13" s="38"/>
      <c r="P13" s="39"/>
    </row>
    <row r="14" spans="2:16" ht="240">
      <c r="B14" s="40">
        <f>IF(ISERR(casostestes[[#This Row],[ID]]),"-",casostestes[[#This Row],[ID]])</f>
        <v>7</v>
      </c>
      <c r="C14" s="34" t="str">
        <f>IFERROR(IF(VLOOKUP($B14,casostestes[#Data],10)=0,"Não",VLOOKUP($B14,casostestes[#Data],10)), "-")</f>
        <v>Sim</v>
      </c>
      <c r="D14" s="35" t="str">
        <f>IFERROR(IF(VLOOKUP($B14,casostestes[#Data],2)=0,"-",VLOOKUP($B14,casostestes[#Data],2)), "-")</f>
        <v>Integração</v>
      </c>
      <c r="E14" s="35" t="str">
        <f>IFERROR(IF(VLOOKUP($B14,casostestes[#Data],3)=0,"-",VLOOKUP($B14,casostestes[#Data],3)), "-")</f>
        <v>19
Criar tarefa de BI inicial fluxo ATESTMEDQ para categoria "Segurado especial" onde o parâmetro "Exige Autodeclaração" no Catálogo está ATIVADO,  NÃO foi respondida a autodeclaração, NÃO foi incluído o anexo detalhado de AD e cidadão está preso
**Parâmetro PAT ligado: 144 - Fluxo ATESTMEDQ</v>
      </c>
      <c r="F14" s="35" t="str">
        <f>IFERROR(IF(VLOOKUP($B14,casostestes[#Data],4)=0,"-",VLOOKUP($B14,casostestes[#Data],4)),"-")</f>
        <v>PAT</v>
      </c>
      <c r="G14" s="35" t="str">
        <f>IFERROR(IF(VLOOKUP($B14,casostestes[#Data],5)=0,"-",VLOOKUP($B14,casostestes[#Data],5)),"-")</f>
        <v>SERVIDOR</v>
      </c>
      <c r="H14" s="35" t="str">
        <f>IFERROR(IF(VLOOKUP($B14,casostestes[#Data],6)=0,"-",VLOOKUP($B14,casostestes[#Data],6)),"-")</f>
        <v xml:space="preserve">1. Logar no Portal do Atendimento INSS com o perfil do caso de teste
2.Criar tarefa de BI informando:
Tipo de Incapacidade? "Temporária "
A pessoa está presa?  Sim
Categoria do trabalhador "Segurado Especial"
A pessoa ficou sem trabalhar? Sim
3. NÃO Informar anexo detalhado de autodeclaração
4. NÃO responder o formulário de autodeclaração
</v>
      </c>
      <c r="I14" s="35" t="str">
        <f>IFERROR(IF(VLOOKUP($B14,casostestes[#Data],8)=0,"-",VLOOKUP($B14,casostestes[#Data],8)),"-")</f>
        <v>-</v>
      </c>
      <c r="J14" s="35" t="str">
        <f>IFERROR(IF(VLOOKUP($B14,casostestes[#Data],9)=0,"-",VLOOKUP($B14,casostestes[#Data],9)),"-")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14" s="36"/>
      <c r="L14" s="45"/>
      <c r="M14" s="37"/>
      <c r="N14" s="38"/>
      <c r="O14" s="38"/>
      <c r="P14" s="39"/>
    </row>
    <row r="15" spans="2:16" ht="240">
      <c r="B15" s="40">
        <f>IF(ISERR(casostestes[[#This Row],[ID]]),"-",casostestes[[#This Row],[ID]])</f>
        <v>8</v>
      </c>
      <c r="C15" s="34" t="str">
        <f>IFERROR(IF(VLOOKUP($B15,casostestes[#Data],10)=0,"Não",VLOOKUP($B15,casostestes[#Data],10)), "-")</f>
        <v>Sim</v>
      </c>
      <c r="D15" s="35" t="str">
        <f>IFERROR(IF(VLOOKUP($B15,casostestes[#Data],2)=0,"-",VLOOKUP($B15,casostestes[#Data],2)), "-")</f>
        <v>Integração</v>
      </c>
      <c r="E15" s="35" t="str">
        <f>IFERROR(IF(VLOOKUP($B15,casostestes[#Data],3)=0,"-",VLOOKUP($B15,casostestes[#Data],3)), "-")</f>
        <v>20
Criar tarefa de BI inicial fluxo ATESTMEDQ para categoria "Segurado especial" onde o parâmetro "Exige Autodeclaração" no Catálogo está ATIVADO,  NÃO foi respondida a autodeclaração, NÃO foi incluído o anexo detalhado de AD e cidadão ficou sem trabalhar
**Parâmetro PAT ligado: 144 - Fluxo ATESTMEDQ</v>
      </c>
      <c r="F15" s="35" t="str">
        <f>IFERROR(IF(VLOOKUP($B15,casostestes[#Data],4)=0,"-",VLOOKUP($B15,casostestes[#Data],4)),"-")</f>
        <v>PAT</v>
      </c>
      <c r="G15" s="35" t="str">
        <f>IFERROR(IF(VLOOKUP($B15,casostestes[#Data],5)=0,"-",VLOOKUP($B15,casostestes[#Data],5)),"-")</f>
        <v>SERVIDOR</v>
      </c>
      <c r="H15" s="35" t="str">
        <f>IFERROR(IF(VLOOKUP($B15,casostestes[#Data],6)=0,"-",VLOOKUP($B15,casostestes[#Data],6)),"-")</f>
        <v xml:space="preserve">1. Logar no Portal do Atendimento INSS com o perfil do caso de teste
2.Criar tarefa de BI informando:
Tipo de Incapacidade? "Temporária "
A pessoa está presa?  Não
Categoria do trabalhador "Segurado Especial"
A pessoa ficou sem trabalhar? Não
3. Informar anexo detalhado de autodeclaração
4. NÃO responder o formulário de autodeclaração
</v>
      </c>
      <c r="I15" s="35" t="str">
        <f>IFERROR(IF(VLOOKUP($B15,casostestes[#Data],8)=0,"-",VLOOKUP($B15,casostestes[#Data],8)),"-")</f>
        <v>-</v>
      </c>
      <c r="J15" s="35" t="str">
        <f>IFERROR(IF(VLOOKUP($B15,casostestes[#Data],9)=0,"-",VLOOKUP($B15,casostestes[#Data],9)),"-")</f>
        <v xml:space="preserve">
Tarefa de BI criada com situação Pendente.
Divergência de autodeclaração (116) incluída na tarefa
Após execução workflow:
Tarefa de BI com situação alterada para Exigência .
Após alguns minutos:
Tarefa de BI com situação Concluída.
Status SIBE igual a  INDEFERIDO
Na opção  "Lista de Ocorrências", o json de integração com o SIBE deverá conter o campo "periodosPendentesSegEsp" com valor NULL
DTP:
Campo Exige_autodeclaração = 0
</v>
      </c>
      <c r="K15" s="36"/>
      <c r="L15" s="45"/>
      <c r="M15" s="37"/>
      <c r="N15" s="38"/>
      <c r="O15" s="38"/>
      <c r="P15" s="39"/>
    </row>
    <row r="16" spans="2:16" ht="315">
      <c r="B16" s="40">
        <f>IF(ISERR(casostestes[[#This Row],[ID]]),"-",casostestes[[#This Row],[ID]])</f>
        <v>9</v>
      </c>
      <c r="C16" s="34" t="str">
        <f>IFERROR(IF(VLOOKUP($B16,casostestes[#Data],10)=0,"Não",VLOOKUP($B16,casostestes[#Data],10)), "-")</f>
        <v>Sim</v>
      </c>
      <c r="D16" s="35" t="str">
        <f>IFERROR(IF(VLOOKUP($B16,casostestes[#Data],2)=0,"-",VLOOKUP($B16,casostestes[#Data],2)), "-")</f>
        <v>Integração</v>
      </c>
      <c r="E16" s="35" t="str">
        <f>IFERROR(IF(VLOOKUP($B16,casostestes[#Data],3)=0,"-",VLOOKUP($B16,casostestes[#Data],3)), "-")</f>
        <v>21
Criar tarefa de BI inicial fluxo ATESTMEDQ para categoria "Segurado especial" onde o parâmetro "Exige Autodeclaração" no Catálogo está ATIVADO,  NÃO foi respondida a autodeclaração e foi incluído o anexo detalhado de AD
**Parâmetro PAT ligado: 144 - Fluxo ATESTMEDQ</v>
      </c>
      <c r="F16" s="35" t="str">
        <f>IFERROR(IF(VLOOKUP($B16,casostestes[#Data],4)=0,"-",VLOOKUP($B16,casostestes[#Data],4)),"-")</f>
        <v>PAT</v>
      </c>
      <c r="G16" s="35" t="str">
        <f>IFERROR(IF(VLOOKUP($B16,casostestes[#Data],5)=0,"-",VLOOKUP($B16,casostestes[#Data],5)),"-")</f>
        <v>SERVIDOR</v>
      </c>
      <c r="H16" s="35" t="str">
        <f>IFERROR(IF(VLOOKUP($B16,casostestes[#Data],6)=0,"-",VLOOKUP($B16,casostestes[#Data],6)),"-")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Informar anexo detalhado de autodeclaração
4. NÃO responder o formulário de autodeclaração
Resultado 1
5.Alterar via banco de dados a data da exigência para (data atual - 36 dias)
Resultado 2</v>
      </c>
      <c r="I16" s="35" t="str">
        <f>IFERROR(IF(VLOOKUP($B16,casostestes[#Data],8)=0,"-",VLOOKUP($B16,casostestes[#Data],8)),"-")</f>
        <v>-</v>
      </c>
      <c r="J16" s="35" t="str">
        <f>IFERROR(IF(VLOOKUP($B16,casostestes[#Data],9)=0,"-",VLOOKUP($B16,casostestes[#Data],9)),"-")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2
Resultado 2 - Após alguns minutos:
Tarefa de BI com situação alterada para Pendente
Despacho incluído informando a operação ( fragmento de sigla  XXXXXXXXXX )
Divergência de autodeclaração (116) EXCLUÍDA da tarefa
Alguns minutos depois:
Status SIBE igual a AGUARDANDO ATESTADO 
Na opção  "Lista de Ocorrências", o json de integração com o SIBE deverá conter o campo "periodosPendentesSegEsp" com valor true.
</v>
      </c>
      <c r="K16" s="36"/>
      <c r="L16" s="45"/>
      <c r="M16" s="37"/>
      <c r="N16" s="38"/>
      <c r="O16" s="38"/>
      <c r="P16" s="39"/>
    </row>
    <row r="17" spans="2:16" ht="300">
      <c r="B17" s="40">
        <f>IF(ISERR(casostestes[[#This Row],[ID]]),"-",casostestes[[#This Row],[ID]])</f>
        <v>10</v>
      </c>
      <c r="C17" s="34" t="str">
        <f>IFERROR(IF(VLOOKUP($B17,casostestes[#Data],10)=0,"Não",VLOOKUP($B17,casostestes[#Data],10)), "-")</f>
        <v>Sim</v>
      </c>
      <c r="D17" s="35" t="str">
        <f>IFERROR(IF(VLOOKUP($B17,casostestes[#Data],2)=0,"-",VLOOKUP($B17,casostestes[#Data],2)), "-")</f>
        <v>Integração</v>
      </c>
      <c r="E17" s="35" t="str">
        <f>IFERROR(IF(VLOOKUP($B17,casostestes[#Data],3)=0,"-",VLOOKUP($B17,casostestes[#Data],3)), "-")</f>
        <v>22
Criar tarefa de BI inicial fluxo PRESENCIAL para categoria "Segurado especial" onde o parâmetro "Exige Autodeclaração" no Catálogo está ATIVADO, NÃO foi respondida a autodeclaração e NÃO foi incluído o anexo detalhado de AD
**Parâmetro PAT ligado: 144 - Fluxo ATESTMEDQ
**Parâmetro PAT ligado: 109 -Tipo de Incapacidade Permanente leva à Fluxo Presencial do Novo BI</v>
      </c>
      <c r="F17" s="35" t="str">
        <f>IFERROR(IF(VLOOKUP($B17,casostestes[#Data],4)=0,"-",VLOOKUP($B17,casostestes[#Data],4)),"-")</f>
        <v>PAT</v>
      </c>
      <c r="G17" s="35" t="str">
        <f>IFERROR(IF(VLOOKUP($B17,casostestes[#Data],5)=0,"-",VLOOKUP($B17,casostestes[#Data],5)),"-")</f>
        <v>SERVIDOR</v>
      </c>
      <c r="H17" s="35" t="str">
        <f>IFERROR(IF(VLOOKUP($B17,casostestes[#Data],6)=0,"-",VLOOKUP($B17,casostestes[#Data],6)),"-")</f>
        <v>1. Logar no Portal do Atendimento INSS com o perfil do caso de teste
2.Criar tarefa de BI informando:
Tipo de Incapacidade? "Permanente"
A pessoa está presa?  Não
Houve acidente de trabalho?  Não
Categoria do trabalhador "Segurado Especial"
A pessoa ficou sem trabalhar? Sim
3. NÃO informar anexo detalhado de autodeclaração
5. Realizar agendamento
6. NÃO responder o formulário de autodeclaração
Resultado 1 
7.Alterar via banco de dados a data da exigência para (data atual - 36 dias)
Resulado 2</v>
      </c>
      <c r="I17" s="35" t="str">
        <f>IFERROR(IF(VLOOKUP($B17,casostestes[#Data],8)=0,"-",VLOOKUP($B17,casostestes[#Data],8)),"-")</f>
        <v>-</v>
      </c>
      <c r="J17" s="35" t="str">
        <f>IFERROR(IF(VLOOKUP($B17,casostestes[#Data],9)=0,"-",VLOOKUP($B17,casostestes[#Data],9)),"-")</f>
        <v xml:space="preserve">
Resultado 1:'
Tarefa de BI criada com situação Pendente.
Divergência de autodeclaração (116) incluída na tarefa
Após execução workflow:
Tarefa de BI com situação alterada para Exigência .
Status SIBE igual a  FLUXO NÃO INICIADO
DTP:  Campo Exige_autodeclaração = 1
Resultado 2 - Após alguns minutos:
Tarefa de BI com situação alterada para Pendente
Despacho incluído informando a operação ( fragmento de sigla  XXXXXXXXXX )
Divergência de autodeclaração (116) EXCLUÍDA da tarefa
Alguns minutos depois:
Status SIBE igual a AGUARDANDO PERÍCIA
Na opção  "Lista de Ocorrências", o json de integração com o SIBE deverá conter o campo "periodosPendentesSegEsp" com valor null.
</v>
      </c>
      <c r="K17" s="36"/>
      <c r="L17" s="45"/>
      <c r="M17" s="37"/>
      <c r="N17" s="38"/>
      <c r="O17" s="38"/>
      <c r="P17" s="39"/>
    </row>
    <row r="18" spans="2:16" ht="105">
      <c r="B18" s="40">
        <f>IF(ISERR(casostestes[[#This Row],[ID]]),"-",casostestes[[#This Row],[ID]])</f>
        <v>11</v>
      </c>
      <c r="C18" s="34" t="str">
        <f>IFERROR(IF(VLOOKUP($B18,casostestes[#Data],10)=0,"Não",VLOOKUP($B18,casostestes[#Data],10)), "-")</f>
        <v>Sim</v>
      </c>
      <c r="D18" s="35" t="str">
        <f>IFERROR(IF(VLOOKUP($B18,casostestes[#Data],2)=0,"-",VLOOKUP($B18,casostestes[#Data],2)), "-")</f>
        <v>Requerimento Inicial de BI</v>
      </c>
      <c r="E18" s="35" t="str">
        <f>IFERROR(IF(VLOOKUP($B18,casostestes[#Data],3)=0,"-",VLOOKUP($B18,casostestes[#Data],3)), "-")</f>
        <v>24
Criar tarefa de BI inicial fluxo ATESTMEDQ para categoria diferente de "Segurado especial" onde o parâmetro "Exige Autodeclaração" no Catálogo está ATIVADO
**Parâmetro PAT ligado: 144 - Fluxo ATESTMEDQ</v>
      </c>
      <c r="F18" s="35" t="str">
        <f>IFERROR(IF(VLOOKUP($B18,casostestes[#Data],4)=0,"-",VLOOKUP($B18,casostestes[#Data],4)),"-")</f>
        <v>EC</v>
      </c>
      <c r="G18" s="35" t="str">
        <f>IFERROR(IF(VLOOKUP($B18,casostestes[#Data],5)=0,"-",VLOOKUP($B18,casostestes[#Data],5)),"-")</f>
        <v>ENTIDADE_CONVENIADA</v>
      </c>
      <c r="H18" s="35" t="str">
        <f>IFERROR(IF(VLOOKUP($B18,casostestes[#Data],6)=0,"-",VLOOKUP($B18,casostestes[#Data],6)),"-")</f>
        <v xml:space="preserve">1. Logar no Portal do Atendimento INSS com o perfil do caso de teste
2.Criar tarefa de BI informando:
Tipo de Incapacidade? "Temporária "
A pessoa está presa?  Não
Categoria do trabalhador diferente de "Segurado Especial"
</v>
      </c>
      <c r="I18" s="35" t="str">
        <f>IFERROR(IF(VLOOKUP($B18,casostestes[#Data],8)=0,"-",VLOOKUP($B18,casostestes[#Data],8)),"-")</f>
        <v>-</v>
      </c>
      <c r="J18" s="35" t="str">
        <f>IFERROR(IF(VLOOKUP($B18,casostestes[#Data],9)=0,"-",VLOOKUP($B18,casostestes[#Data],9)),"-")</f>
        <v>Tarefa de BI criada com situação Pendente.
Tarefa SEM Divergência de autodeclaração (116)
Status SIBE igual a FLUXO NÃO INICIADO 
DPT: Tarefa.Exige_autodeclaração = 0</v>
      </c>
      <c r="K18" s="36"/>
      <c r="L18" s="45"/>
      <c r="M18" s="37"/>
      <c r="N18" s="38"/>
      <c r="O18" s="38"/>
      <c r="P18" s="39"/>
    </row>
    <row r="19" spans="2:16" ht="240">
      <c r="B19" s="40">
        <f>IF(ISERR(casostestes[[#This Row],[ID]]),"-",casostestes[[#This Row],[ID]])</f>
        <v>12</v>
      </c>
      <c r="C19" s="34" t="str">
        <f>IFERROR(IF(VLOOKUP($B19,casostestes[#Data],10)=0,"Não",VLOOKUP($B19,casostestes[#Data],10)), "-")</f>
        <v>Sim</v>
      </c>
      <c r="D19" s="35" t="str">
        <f>IFERROR(IF(VLOOKUP($B19,casostestes[#Data],2)=0,"-",VLOOKUP($B19,casostestes[#Data],2)), "-")</f>
        <v>Integração</v>
      </c>
      <c r="E19" s="35" t="str">
        <f>IFERROR(IF(VLOOKUP($B19,casostestes[#Data],3)=0,"-",VLOOKUP($B19,casostestes[#Data],3)), "-")</f>
        <v>26
Criar tarefa de BI inicial fluxo ATESTMEDQ para categoria "Segurado especial" onde o parâmetro "Exige Autodeclaração" no Catálogo está ATIVADO e a autodeclaração tem período pendente
**Parâmetro PAT ligado: 144 - Fluxo ATESTMEDQ</v>
      </c>
      <c r="F19" s="35" t="str">
        <f>IFERROR(IF(VLOOKUP($B19,casostestes[#Data],4)=0,"-",VLOOKUP($B19,casostestes[#Data],4)),"-")</f>
        <v>EC</v>
      </c>
      <c r="G19" s="35" t="str">
        <f>IFERROR(IF(VLOOKUP($B19,casostestes[#Data],5)=0,"-",VLOOKUP($B19,casostestes[#Data],5)),"-")</f>
        <v>ENTIDADE_CONVENIADA</v>
      </c>
      <c r="H19" s="35" t="str">
        <f>IFERROR(IF(VLOOKUP($B19,casostestes[#Data],6)=0,"-",VLOOKUP($B19,casostestes[#Data],6)),"-")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Cumprir exigência de documentos obrigatórios
4. Responder formulário da autodeclaração</v>
      </c>
      <c r="I19" s="35" t="str">
        <f>IFERROR(IF(VLOOKUP($B19,casostestes[#Data],8)=0,"-",VLOOKUP($B19,casostestes[#Data],8)),"-")</f>
        <v>-</v>
      </c>
      <c r="J19" s="35" t="str">
        <f>IFERROR(IF(VLOOKUP($B19,casostestes[#Data],9)=0,"-",VLOOKUP($B19,casostestes[#Data],9)),"-")</f>
        <v xml:space="preserve">
Tarefa de BI criada com situação Pendente.
Tarefa SEM Divergência de autodeclaração (116)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19" s="36"/>
      <c r="L19" s="45"/>
      <c r="M19" s="37"/>
      <c r="N19" s="38"/>
      <c r="O19" s="38"/>
      <c r="P19" s="39"/>
    </row>
    <row r="20" spans="2:16" ht="240">
      <c r="B20" s="40">
        <f>IF(ISERR(casostestes[[#This Row],[ID]]),"-",casostestes[[#This Row],[ID]])</f>
        <v>13</v>
      </c>
      <c r="C20" s="34" t="str">
        <f>IFERROR(IF(VLOOKUP($B20,casostestes[#Data],10)=0,"Não",VLOOKUP($B20,casostestes[#Data],10)), "-")</f>
        <v>Sim</v>
      </c>
      <c r="D20" s="35" t="str">
        <f>IFERROR(IF(VLOOKUP($B20,casostestes[#Data],2)=0,"-",VLOOKUP($B20,casostestes[#Data],2)), "-")</f>
        <v>Integração</v>
      </c>
      <c r="E20" s="35" t="str">
        <f>IFERROR(IF(VLOOKUP($B20,casostestes[#Data],3)=0,"-",VLOOKUP($B20,casostestes[#Data],3)), "-")</f>
        <v>27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0" s="35" t="str">
        <f>IFERROR(IF(VLOOKUP($B20,casostestes[#Data],4)=0,"-",VLOOKUP($B20,casostestes[#Data],4)),"-")</f>
        <v>EC</v>
      </c>
      <c r="G20" s="35" t="str">
        <f>IFERROR(IF(VLOOKUP($B20,casostestes[#Data],5)=0,"-",VLOOKUP($B20,casostestes[#Data],5)),"-")</f>
        <v>ENTIDADE_CONVENIADA</v>
      </c>
      <c r="H20" s="35" t="str">
        <f>IFERROR(IF(VLOOKUP($B20,casostestes[#Data],6)=0,"-",VLOOKUP($B20,casostestes[#Data],6)),"-")</f>
        <v>1. Logar no Portal do Atendimento INSS com o perfil do caso de teste
2.Criar tarefa de BI informando:
Tipo de Incapacidade? "Temporária "
A pessoa está presa?  Não
Categoria do trabalhador "Segurado Especial"
A pessoa ficou sem trabalhar? Sim
3. Cumprir exigência de documentos obrigatórios
4. Responder formulário da autodeclaração</v>
      </c>
      <c r="I20" s="35" t="str">
        <f>IFERROR(IF(VLOOKUP($B20,casostestes[#Data],8)=0,"-",VLOOKUP($B20,casostestes[#Data],8)),"-")</f>
        <v>-</v>
      </c>
      <c r="J20" s="35" t="str">
        <f>IFERROR(IF(VLOOKUP($B20,casostestes[#Data],9)=0,"-",VLOOKUP($B20,casostestes[#Data],9)),"-")</f>
        <v xml:space="preserve">
Tarefa de BI criada com situação Pendente.
Tarefa SEM Divergência de autodeclaração (116).
Status SIBE igual a  FLUXO NÃO INICIADO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20" s="36"/>
      <c r="L20" s="45"/>
      <c r="M20" s="37"/>
      <c r="N20" s="38"/>
      <c r="O20" s="38"/>
      <c r="P20" s="39"/>
    </row>
    <row r="21" spans="2:16" ht="210">
      <c r="B21" s="40">
        <f>IF(ISERR(casostestes[[#This Row],[ID]]),"-",casostestes[[#This Row],[ID]])</f>
        <v>14</v>
      </c>
      <c r="C21" s="34" t="str">
        <f>IFERROR(IF(VLOOKUP($B21,casostestes[#Data],10)=0,"Não",VLOOKUP($B21,casostestes[#Data],10)), "-")</f>
        <v>Sim</v>
      </c>
      <c r="D21" s="35" t="str">
        <f>IFERROR(IF(VLOOKUP($B21,casostestes[#Data],2)=0,"-",VLOOKUP($B21,casostestes[#Data],2)), "-")</f>
        <v>Integração</v>
      </c>
      <c r="E21" s="35" t="str">
        <f>IFERROR(IF(VLOOKUP($B21,casostestes[#Data],3)=0,"-",VLOOKUP($B21,casostestes[#Data],3)), "-")</f>
        <v>29
Cumprir a exigência de autodeclaração</v>
      </c>
      <c r="F21" s="35" t="str">
        <f>IFERROR(IF(VLOOKUP($B21,casostestes[#Data],4)=0,"-",VLOOKUP($B21,casostestes[#Data],4)),"-")</f>
        <v>PAT</v>
      </c>
      <c r="G21" s="35" t="str">
        <f>IFERROR(IF(VLOOKUP($B21,casostestes[#Data],5)=0,"-",VLOOKUP($B21,casostestes[#Data],5)),"-")</f>
        <v>ENTIDADE_CONVENIADA</v>
      </c>
      <c r="H21" s="35" t="str">
        <f>IFERROR(IF(VLOOKUP($B21,casostestes[#Data],6)=0,"-",VLOOKUP($B21,casostestes[#Data],6)),"-")</f>
        <v>1. Logar no Portal do Atendimento INSS com o perfil do caso de teste
2.Consultar uma tarefa em exigência de autodeclaração, detalhar e em seguida e acionar  a aba Cumprir Exigência  
3. Responder o formulário de autodeclaração até o final</v>
      </c>
      <c r="I21" s="35" t="str">
        <f>IFERROR(IF(VLOOKUP($B21,casostestes[#Data],8)=0,"-",VLOOKUP($B21,casostestes[#Data],8)),"-")</f>
        <v>-</v>
      </c>
      <c r="J21" s="35" t="str">
        <f>IFERROR(IF(VLOOKUP($B21,casostestes[#Data],9)=0,"-",VLOOKUP($B21,casostestes[#Data],9)),"-")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1" s="36"/>
      <c r="L21" s="45"/>
      <c r="M21" s="37"/>
      <c r="N21" s="38"/>
      <c r="O21" s="38"/>
      <c r="P21" s="39"/>
    </row>
    <row r="22" spans="2:16" ht="210">
      <c r="B22" s="40">
        <f>IF(ISERR(casostestes[[#This Row],[ID]]),"-",casostestes[[#This Row],[ID]])</f>
        <v>15</v>
      </c>
      <c r="C22" s="34" t="str">
        <f>IFERROR(IF(VLOOKUP($B22,casostestes[#Data],10)=0,"Não",VLOOKUP($B22,casostestes[#Data],10)), "-")</f>
        <v>Sim</v>
      </c>
      <c r="D22" s="35" t="str">
        <f>IFERROR(IF(VLOOKUP($B22,casostestes[#Data],2)=0,"-",VLOOKUP($B22,casostestes[#Data],2)), "-")</f>
        <v>Integração</v>
      </c>
      <c r="E22" s="35" t="str">
        <f>IFERROR(IF(VLOOKUP($B22,casostestes[#Data],3)=0,"-",VLOOKUP($B22,casostestes[#Data],3)), "-")</f>
        <v>30
Cumprir a exigência de autodeclaração</v>
      </c>
      <c r="F22" s="35" t="str">
        <f>IFERROR(IF(VLOOKUP($B22,casostestes[#Data],4)=0,"-",VLOOKUP($B22,casostestes[#Data],4)),"-")</f>
        <v>PAT</v>
      </c>
      <c r="G22" s="35" t="str">
        <f>IFERROR(IF(VLOOKUP($B22,casostestes[#Data],5)=0,"-",VLOOKUP($B22,casostestes[#Data],5)),"-")</f>
        <v>ENTIDADE_CONVENIADA_CORREIOS</v>
      </c>
      <c r="H22" s="35" t="str">
        <f>IFERROR(IF(VLOOKUP($B22,casostestes[#Data],6)=0,"-",VLOOKUP($B22,casostestes[#Data],6)),"-")</f>
        <v>1. Logar no Portal do Atendimento INSS com o perfil EC - CORREIOS
2. Acionar a aba Exigências e consultar uma tarefa em exigência de autodeclaração
3. Detalhar a tarefa e em seguida acionar  a opção Cumprir Exigência  
3. Responder o formulário de autodeclaração até o final</v>
      </c>
      <c r="I22" s="35" t="str">
        <f>IFERROR(IF(VLOOKUP($B22,casostestes[#Data],8)=0,"-",VLOOKUP($B22,casostestes[#Data],8)),"-")</f>
        <v>-</v>
      </c>
      <c r="J22" s="35" t="str">
        <f>IFERROR(IF(VLOOKUP($B22,casostestes[#Data],9)=0,"-",VLOOKUP($B22,casostestes[#Data],9)),"-")</f>
        <v xml:space="preserve">
Tarefa de BI com situação Pendente
Divergência de autodeclaração (116)  EXCLUÍDA da tarefa
Aguardar até a geração automática do PDF da autodeclaração:
Campo DT_RETORNO_SES_CNIS deverá estar preenchido (Descritivo preenchido pelo CNIS)
Campo xxxxxxx deverá estar preenchido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2" s="36"/>
      <c r="L22" s="45"/>
      <c r="M22" s="37"/>
      <c r="N22" s="38"/>
      <c r="O22" s="38"/>
      <c r="P22" s="39"/>
    </row>
    <row r="23" spans="2:16" ht="180">
      <c r="B23" s="40">
        <f>IF(ISERR(casostestes[[#This Row],[ID]]),"-",casostestes[[#This Row],[ID]])</f>
        <v>16</v>
      </c>
      <c r="C23" s="34" t="str">
        <f>IFERROR(IF(VLOOKUP($B23,casostestes[#Data],10)=0,"Não",VLOOKUP($B23,casostestes[#Data],10)), "-")</f>
        <v>Sim</v>
      </c>
      <c r="D23" s="35" t="str">
        <f>IFERROR(IF(VLOOKUP($B23,casostestes[#Data],2)=0,"-",VLOOKUP($B23,casostestes[#Data],2)), "-")</f>
        <v>Integração</v>
      </c>
      <c r="E23" s="35" t="str">
        <f>IFERROR(IF(VLOOKUP($B23,casostestes[#Data],3)=0,"-",VLOOKUP($B23,casostestes[#Data],3)), "-")</f>
        <v>31
Responder o formulário de autodeclaração acessando diretamente a aba segurado especial ao detalhar a tarefa, onde a tarefa encontra-se em exigência de documento médico
Será posível acessar diretamente a autodeclaração logado como EC?</v>
      </c>
      <c r="F23" s="35" t="str">
        <f>IFERROR(IF(VLOOKUP($B23,casostestes[#Data],4)=0,"-",VLOOKUP($B23,casostestes[#Data],4)),"-")</f>
        <v>PAT</v>
      </c>
      <c r="G23" s="35" t="str">
        <f>IFERROR(IF(VLOOKUP($B23,casostestes[#Data],5)=0,"-",VLOOKUP($B23,casostestes[#Data],5)),"-")</f>
        <v>ENTIDADE_CONVENIADA</v>
      </c>
      <c r="H23" s="35" t="str">
        <f>IFERROR(IF(VLOOKUP($B23,casostestes[#Data],6)=0,"-",VLOOKUP($B23,casostestes[#Data],6)),"-")</f>
        <v>1. Logar no Portal do Atendimento INSS com o perfil do caso se teste
2.Consultar uma tarefa em exigência de dautodeclaração
3. Acionar a aba Segurado especial
3. Responder o formulário de autodeclaração até o final</v>
      </c>
      <c r="I23" s="35" t="str">
        <f>IFERROR(IF(VLOOKUP($B23,casostestes[#Data],8)=0,"-",VLOOKUP($B23,casostestes[#Data],8)),"-")</f>
        <v>-</v>
      </c>
      <c r="J23" s="35" t="str">
        <f>IFERROR(IF(VLOOKUP($B23,casostestes[#Data],9)=0,"-",VLOOKUP($B23,casostestes[#Data],9)),"-")</f>
        <v xml:space="preserve">
Tarefa de BI com situação alterada para Pendente 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3" s="36"/>
      <c r="L23" s="45"/>
      <c r="M23" s="37"/>
      <c r="N23" s="38"/>
      <c r="O23" s="38"/>
      <c r="P23" s="39"/>
    </row>
    <row r="24" spans="2:16" ht="105">
      <c r="B24" s="40">
        <f>IF(ISERR(casostestes[[#This Row],[ID]]),"-",casostestes[[#This Row],[ID]])</f>
        <v>17</v>
      </c>
      <c r="C24" s="34" t="str">
        <f>IFERROR(IF(VLOOKUP($B24,casostestes[#Data],10)=0,"Não",VLOOKUP($B24,casostestes[#Data],10)), "-")</f>
        <v>Sim</v>
      </c>
      <c r="D24" s="35" t="str">
        <f>IFERROR(IF(VLOOKUP($B24,casostestes[#Data],2)=0,"-",VLOOKUP($B24,casostestes[#Data],2)), "-")</f>
        <v>Integração</v>
      </c>
      <c r="E24" s="35" t="str">
        <f>IFERROR(IF(VLOOKUP($B24,casostestes[#Data],3)=0,"-",VLOOKUP($B24,casostestes[#Data],3)), "-")</f>
        <v xml:space="preserve">32
Responder o formulário de autodeclaração acessando diretamente a aba segurado especial ao detalhar a tarefa, onde a tarefa encontra-se em exigência de documento médico
</v>
      </c>
      <c r="F24" s="35" t="str">
        <f>IFERROR(IF(VLOOKUP($B24,casostestes[#Data],4)=0,"-",VLOOKUP($B24,casostestes[#Data],4)),"-")</f>
        <v>PAT</v>
      </c>
      <c r="G24" s="35" t="str">
        <f>IFERROR(IF(VLOOKUP($B24,casostestes[#Data],5)=0,"-",VLOOKUP($B24,casostestes[#Data],5)),"-")</f>
        <v>ENTIDADE_CONVENIADA</v>
      </c>
      <c r="H24" s="35" t="str">
        <f>IFERROR(IF(VLOOKUP($B24,casostestes[#Data],6)=0,"-",VLOOKUP($B24,casostestes[#Data],6)),"-")</f>
        <v>1. Logar no Portal do Atendimento INSS com o perfil do caso se teste
2.Consultar uma tarefa em exigência de documento médico
3. Acionar a aba Segurado especial
3. Responder o formulário de autodeclaração até o final</v>
      </c>
      <c r="I24" s="35" t="str">
        <f>IFERROR(IF(VLOOKUP($B24,casostestes[#Data],8)=0,"-",VLOOKUP($B24,casostestes[#Data],8)),"-")</f>
        <v>-</v>
      </c>
      <c r="J24" s="35" t="str">
        <f>IFERROR(IF(VLOOKUP($B24,casostestes[#Data],9)=0,"-",VLOOKUP($B24,casostestes[#Data],9)),"-")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24" s="36"/>
      <c r="L24" s="45"/>
      <c r="M24" s="37"/>
      <c r="N24" s="38"/>
      <c r="O24" s="38"/>
      <c r="P24" s="39"/>
    </row>
    <row r="25" spans="2:16" ht="135">
      <c r="B25" s="40">
        <f>IF(ISERR(casostestes[[#This Row],[ID]]),"-",casostestes[[#This Row],[ID]])</f>
        <v>18</v>
      </c>
      <c r="C25" s="34" t="str">
        <f>IFERROR(IF(VLOOKUP($B25,casostestes[#Data],10)=0,"Não",VLOOKUP($B25,casostestes[#Data],10)), "-")</f>
        <v>Sim</v>
      </c>
      <c r="D25" s="35" t="str">
        <f>IFERROR(IF(VLOOKUP($B25,casostestes[#Data],2)=0,"-",VLOOKUP($B25,casostestes[#Data],2)), "-")</f>
        <v>Requerimento Inicial de BI</v>
      </c>
      <c r="E25" s="35" t="str">
        <f>IFERROR(IF(VLOOKUP($B25,casostestes[#Data],3)=0,"-",VLOOKUP($B25,casostestes[#Data],3)), "-")</f>
        <v>34
Criar tarefa de BI inicial fluxo PRESENCIAL para categoria diferente de "Segurado especial" onde o parâmetro "Exige Autodeclaração" no Catálogo está ATIVADO
**Parâmetro PAT ligado: 144 - Fluxo ATESTMEDQ
**Parâmetro PAT ligado: 109 -Tipo de Incapacidade Permanente leva à Fluxo Presencial do Novo BI</v>
      </c>
      <c r="F25" s="35" t="str">
        <f>IFERROR(IF(VLOOKUP($B25,casostestes[#Data],4)=0,"-",VLOOKUP($B25,casostestes[#Data],4)),"-")</f>
        <v>Meu INSS</v>
      </c>
      <c r="G25" s="35" t="str">
        <f>IFERROR(IF(VLOOKUP($B25,casostestes[#Data],5)=0,"-",VLOOKUP($B25,casostestes[#Data],5)),"-")</f>
        <v>INTERESSADO</v>
      </c>
      <c r="H25" s="35" t="str">
        <f>IFERROR(IF(VLOOKUP($B25,casostestes[#Data],6)=0,"-",VLOOKUP($B25,casostestes[#Data],6)),"-")</f>
        <v>1. Logar no  Meu INSS
2.Criar tarefa de BI informando:
Tipo de Incapacidade? "Permanente"
A pessoa está presa?  Não
Categoria do trabalhador diferente de "Segurado Especial"
3. Criar o agendamento da perícia</v>
      </c>
      <c r="I25" s="35" t="str">
        <f>IFERROR(IF(VLOOKUP($B25,casostestes[#Data],8)=0,"-",VLOOKUP($B25,casostestes[#Data],8)),"-")</f>
        <v>-</v>
      </c>
      <c r="J25" s="35" t="str">
        <f>IFERROR(IF(VLOOKUP($B25,casostestes[#Data],9)=0,"-",VLOOKUP($B25,casostestes[#Data],9)),"-")</f>
        <v>Tarefa de BI criada com situação Pendente.
Tarefa SEM Divergência de autodeclaração (116)
Status SIBE igual a  AGUARDANDO PERÍCIA
Tarefa.Exige_autodeclaração = 0</v>
      </c>
      <c r="K25" s="36"/>
      <c r="L25" s="45"/>
      <c r="M25" s="37"/>
      <c r="N25" s="38"/>
      <c r="O25" s="38"/>
      <c r="P25" s="39"/>
    </row>
    <row r="26" spans="2:16" ht="255">
      <c r="B26" s="40">
        <f>IF(ISERR(casostestes[[#This Row],[ID]]),"-",casostestes[[#This Row],[ID]])</f>
        <v>19</v>
      </c>
      <c r="C26" s="34" t="str">
        <f>IFERROR(IF(VLOOKUP($B26,casostestes[#Data],10)=0,"Não",VLOOKUP($B26,casostestes[#Data],10)), "-")</f>
        <v>Sim</v>
      </c>
      <c r="D26" s="35" t="str">
        <f>IFERROR(IF(VLOOKUP($B26,casostestes[#Data],2)=0,"-",VLOOKUP($B26,casostestes[#Data],2)), "-")</f>
        <v>Integração</v>
      </c>
      <c r="E26" s="35" t="str">
        <f>IFERROR(IF(VLOOKUP($B26,casostestes[#Data],3)=0,"-",VLOOKUP($B26,casostestes[#Data],3)), "-")</f>
        <v>35
Criar tarefa de BI inicial fluxo ATESTMEDQ para categoria "Segurado especial" onde o parâmetro "Exige Autodeclaração" no Catálogo está ATIVADO e foi respondida a autodeclaração com período pendente
**Parâmetro PAT ligado: 144 - Fluxo ATESTMEDQ</v>
      </c>
      <c r="F26" s="35" t="str">
        <f>IFERROR(IF(VLOOKUP($B26,casostestes[#Data],4)=0,"-",VLOOKUP($B26,casostestes[#Data],4)),"-")</f>
        <v>Meu INSS</v>
      </c>
      <c r="G26" s="35" t="str">
        <f>IFERROR(IF(VLOOKUP($B26,casostestes[#Data],5)=0,"-",VLOOKUP($B26,casostestes[#Data],5)),"-")</f>
        <v>INTERESSADO</v>
      </c>
      <c r="H26" s="35" t="str">
        <f>IFERROR(IF(VLOOKUP($B26,casostestes[#Data],6)=0,"-",VLOOKUP($B26,casostestes[#Data],6)),"-")</f>
        <v>1. Logar no  Meu INSS
2.Criar tarefa de BI informando:
Tipo de Incapacidade? "Temporária "
A pessoa está presa?  Não
Categoria do trabalhador "Segurado Especial"
A pessoa ficou sem trabalhar? Sim
3. Responder formulário da autodeclaração</v>
      </c>
      <c r="I26" s="35" t="str">
        <f>IFERROR(IF(VLOOKUP($B26,casostestes[#Data],8)=0,"-",VLOOKUP($B26,casostestes[#Data],8)),"-")</f>
        <v>-</v>
      </c>
      <c r="J26" s="35" t="str">
        <f>IFERROR(IF(VLOOKUP($B26,casostestes[#Data],9)=0,"-",VLOOKUP($B26,casostestes[#Data],9)),"-")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true.
</v>
      </c>
      <c r="K26" s="36"/>
      <c r="L26" s="45"/>
      <c r="M26" s="37"/>
      <c r="N26" s="38"/>
      <c r="O26" s="38"/>
      <c r="P26" s="39"/>
    </row>
    <row r="27" spans="2:16" ht="255">
      <c r="B27" s="40">
        <f>IF(ISERR(casostestes[[#This Row],[ID]]),"-",casostestes[[#This Row],[ID]])</f>
        <v>20</v>
      </c>
      <c r="C27" s="34" t="str">
        <f>IFERROR(IF(VLOOKUP($B27,casostestes[#Data],10)=0,"Não",VLOOKUP($B27,casostestes[#Data],10)), "-")</f>
        <v>Sim</v>
      </c>
      <c r="D27" s="35" t="str">
        <f>IFERROR(IF(VLOOKUP($B27,casostestes[#Data],2)=0,"-",VLOOKUP($B27,casostestes[#Data],2)), "-")</f>
        <v>Integração</v>
      </c>
      <c r="E27" s="35" t="str">
        <f>IFERROR(IF(VLOOKUP($B27,casostestes[#Data],3)=0,"-",VLOOKUP($B27,casostestes[#Data],3)), "-")</f>
        <v>36
Criar tarefa de BI inicial fluxo ATESTMEDQ para categoria "Segurado especial" onde o parâmetro "Exige Autodeclaração" no Catálogo está ATIVADO e foi respondida a autodeclaração sem período pendente
**Parâmetro PAT ligado: 144 - Fluxo ATESTMEDQ</v>
      </c>
      <c r="F27" s="35" t="str">
        <f>IFERROR(IF(VLOOKUP($B27,casostestes[#Data],4)=0,"-",VLOOKUP($B27,casostestes[#Data],4)),"-")</f>
        <v>Meu INSS</v>
      </c>
      <c r="G27" s="35" t="str">
        <f>IFERROR(IF(VLOOKUP($B27,casostestes[#Data],5)=0,"-",VLOOKUP($B27,casostestes[#Data],5)),"-")</f>
        <v>INTERESSADO</v>
      </c>
      <c r="H27" s="35" t="str">
        <f>IFERROR(IF(VLOOKUP($B27,casostestes[#Data],6)=0,"-",VLOOKUP($B27,casostestes[#Data],6)),"-")</f>
        <v>1. Logar no  Meu INSS
2.Criar tarefa de BI informando:
Tipo de Incapacidade? "Temporária "
A pessoa está presa?  Não
Categoria do trabalhador "Segurado Especial"
A pessoa ficou sem trabalhar? Sim
3. Responder a autodeclaração</v>
      </c>
      <c r="I27" s="35" t="str">
        <f>IFERROR(IF(VLOOKUP($B27,casostestes[#Data],8)=0,"-",VLOOKUP($B27,casostestes[#Data],8)),"-")</f>
        <v>-</v>
      </c>
      <c r="J27" s="35" t="str">
        <f>IFERROR(IF(VLOOKUP($B27,casostestes[#Data],9)=0,"-",VLOOKUP($B27,casostestes[#Data],9)),"-")</f>
        <v xml:space="preserve">
Tarefa de BI criada com situação Pendente.
Status SIBE igual a  FLUXO NÃO INICIADO
Divergência de autodeclaração (116) incluída na tarefa
Aguardar até a geração automática do PDF da autodeclaração:
DTP:
Campo Exige_autodeclaração = 1
Campo DT_RETORNO_SES_CNIS deverá estar preenchido (Descritivo preenchido pelo CNIS)
Tabela SES_CNIS_ANALISES (Indica a existência ou não de períodos pendentes)
Status SIBE igual a AGUARDANDO ATESTADO 
Na opção  "Lista de Ocorrências", o json de integração com o SIBE deverá conter o campo "periodosPendentesSegEsp" com valor false.
</v>
      </c>
      <c r="K27" s="36"/>
      <c r="L27" s="45"/>
      <c r="M27" s="37"/>
      <c r="N27" s="38"/>
      <c r="O27" s="38"/>
      <c r="P27" s="39"/>
    </row>
    <row r="28" spans="2:16" ht="180">
      <c r="B28" s="40">
        <f>IF(ISERR(casostestes[[#This Row],[ID]]),"-",casostestes[[#This Row],[ID]])</f>
        <v>21</v>
      </c>
      <c r="C28" s="34" t="str">
        <f>IFERROR(IF(VLOOKUP($B28,casostestes[#Data],10)=0,"Não",VLOOKUP($B28,casostestes[#Data],10)), "-")</f>
        <v>Sim</v>
      </c>
      <c r="D28" s="35" t="str">
        <f>IFERROR(IF(VLOOKUP($B28,casostestes[#Data],2)=0,"-",VLOOKUP($B28,casostestes[#Data],2)), "-")</f>
        <v>Requerimento Inicial de BI</v>
      </c>
      <c r="E28" s="35" t="str">
        <f>IFERROR(IF(VLOOKUP($B28,casostestes[#Data],3)=0,"-",VLOOKUP($B28,casostestes[#Data],3)), "-")</f>
        <v>37
Criar tarefa de BI inicial fluxo ATESTMEDQ para categoria "Segurado especial" onde o parâmetro "Exige Autodeclaração" no Catálogo está ATIVADO e  NÃO foi respondida a autodeclaração
**Parâmetro PAT ligado: 144 - Fluxo ATESTMEDQ</v>
      </c>
      <c r="F28" s="35" t="str">
        <f>IFERROR(IF(VLOOKUP($B28,casostestes[#Data],4)=0,"-",VLOOKUP($B28,casostestes[#Data],4)),"-")</f>
        <v>Meu INSS</v>
      </c>
      <c r="G28" s="35" t="str">
        <f>IFERROR(IF(VLOOKUP($B28,casostestes[#Data],5)=0,"-",VLOOKUP($B28,casostestes[#Data],5)),"-")</f>
        <v>INTERESSADO</v>
      </c>
      <c r="H28" s="35" t="str">
        <f>IFERROR(IF(VLOOKUP($B28,casostestes[#Data],6)=0,"-",VLOOKUP($B28,casostestes[#Data],6)),"-")</f>
        <v>1. Logar no  Meu INSS
2.Criar tarefa de BI informando:
Tipo de Incapacidade? "Temporária "
A pessoa está presa?  Não
Categoria do trabalhador "Segurado Especial"
A pessoa ficou sem trabalhar? Não
3. NÃO Responder a autodeclaração</v>
      </c>
      <c r="I28" s="35" t="str">
        <f>IFERROR(IF(VLOOKUP($B28,casostestes[#Data],8)=0,"-",VLOOKUP($B28,casostestes[#Data],8)),"-")</f>
        <v>-</v>
      </c>
      <c r="J28" s="35" t="str">
        <f>IFERROR(IF(VLOOKUP($B28,casostestes[#Data],9)=0,"-",VLOOKUP($B28,casostestes[#Data],9)),"-")</f>
        <v xml:space="preserve">
"Tarefa de BI criada com situação Pendente.
Status SIBE igual a  FLUXO NÃO INICIADO
Divergência de autodeclaração (116) incluída na tarefa
Após execução workflow:
Tarefa de BI com situação alterada para Exigência .
DTP:
Campo Exige_autodeclaração = 1"
</v>
      </c>
      <c r="K28" s="36"/>
      <c r="L28" s="45"/>
      <c r="M28" s="37"/>
      <c r="N28" s="38"/>
      <c r="O28" s="38"/>
      <c r="P28" s="39"/>
    </row>
    <row r="29" spans="2:16" ht="225">
      <c r="B29" s="40">
        <f>IF(ISERR(casostestes[[#This Row],[ID]]),"-",casostestes[[#This Row],[ID]])</f>
        <v>22</v>
      </c>
      <c r="C29" s="34" t="str">
        <f>IFERROR(IF(VLOOKUP($B29,casostestes[#Data],10)=0,"Não",VLOOKUP($B29,casostestes[#Data],10)), "-")</f>
        <v>Sim</v>
      </c>
      <c r="D29" s="35" t="str">
        <f>IFERROR(IF(VLOOKUP($B29,casostestes[#Data],2)=0,"-",VLOOKUP($B29,casostestes[#Data],2)), "-")</f>
        <v>Integração</v>
      </c>
      <c r="E29" s="35" t="str">
        <f>IFERROR(IF(VLOOKUP($B29,casostestes[#Data],3)=0,"-",VLOOKUP($B29,casostestes[#Data],3)), "-")</f>
        <v>38
Cumprir a exigência de autodeclaração</v>
      </c>
      <c r="F29" s="35" t="str">
        <f>IFERROR(IF(VLOOKUP($B29,casostestes[#Data],4)=0,"-",VLOOKUP($B29,casostestes[#Data],4)),"-")</f>
        <v>Meu INSS</v>
      </c>
      <c r="G29" s="35" t="str">
        <f>IFERROR(IF(VLOOKUP($B29,casostestes[#Data],5)=0,"-",VLOOKUP($B29,casostestes[#Data],5)),"-")</f>
        <v>INTERESSADO</v>
      </c>
      <c r="H29" s="35" t="str">
        <f>IFERROR(IF(VLOOKUP($B29,casostestes[#Data],6)=0,"-",VLOOKUP($B29,casostestes[#Data],6)),"-")</f>
        <v>1. Logar no  Meu INSS
2.Consultar uma tarefa em exigência de autodeclaração e acionar Cumprir Exigência  
3. Responder o formulário de autodeclaração</v>
      </c>
      <c r="I29" s="35" t="str">
        <f>IFERROR(IF(VLOOKUP($B29,casostestes[#Data],8)=0,"-",VLOOKUP($B29,casostestes[#Data],8)),"-")</f>
        <v>-</v>
      </c>
      <c r="J29" s="35" t="str">
        <f>IFERROR(IF(VLOOKUP($B29,casostestes[#Data],9)=0,"-",VLOOKUP($B29,casostestes[#Data],9)),"-")</f>
        <v xml:space="preserve">
Tarefa de BI com situação alterada para  Pendente
Divergência de autodeclaração (116)  EXCLUÍDA da tarefa
Aguardar até a geração automática do PDF da autodeclaração:
DTP:
Campo DT_RETORNO_SES_CNIS deverá estar preenchido (Descritivo preenchido pelo CNIS)
Tabela SES_CNIS_ANALISES (Indica a existência ou não de períodos pendentes)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29" s="36"/>
      <c r="L29" s="45"/>
      <c r="M29" s="37"/>
      <c r="N29" s="38"/>
      <c r="O29" s="38"/>
      <c r="P29" s="39"/>
    </row>
    <row r="30" spans="2:16" ht="180">
      <c r="B30" s="40">
        <f>IF(ISERR(casostestes[[#This Row],[ID]]),"-",casostestes[[#This Row],[ID]])</f>
        <v>23</v>
      </c>
      <c r="C30" s="34" t="str">
        <f>IFERROR(IF(VLOOKUP($B30,casostestes[#Data],10)=0,"Não",VLOOKUP($B30,casostestes[#Data],10)), "-")</f>
        <v>Sim</v>
      </c>
      <c r="D30" s="35" t="str">
        <f>IFERROR(IF(VLOOKUP($B30,casostestes[#Data],2)=0,"-",VLOOKUP($B30,casostestes[#Data],2)), "-")</f>
        <v>Integração</v>
      </c>
      <c r="E30" s="35" t="str">
        <f>IFERROR(IF(VLOOKUP($B30,casostestes[#Data],3)=0,"-",VLOOKUP($B30,casostestes[#Data],3)), "-")</f>
        <v>39
Responder o formulário de autodeclaração acionando a opção de autodeclaração no card do pedido onde a tarefa encontra-se em exigência de autodeclaração
Será posível acessar diretamente a autodeclaração logado no Meu INSS?</v>
      </c>
      <c r="F30" s="35" t="str">
        <f>IFERROR(IF(VLOOKUP($B30,casostestes[#Data],4)=0,"-",VLOOKUP($B30,casostestes[#Data],4)),"-")</f>
        <v>Meu INSS</v>
      </c>
      <c r="G30" s="35" t="str">
        <f>IFERROR(IF(VLOOKUP($B30,casostestes[#Data],5)=0,"-",VLOOKUP($B30,casostestes[#Data],5)),"-")</f>
        <v>INTERESSADO</v>
      </c>
      <c r="H30" s="35" t="str">
        <f>IFERROR(IF(VLOOKUP($B30,casostestes[#Data],6)=0,"-",VLOOKUP($B30,casostestes[#Data],6)),"-")</f>
        <v>1. Logar no  Meu INSS
2.Consultar uma tarefa em exigência de autodeclaração
3. Acionar no card do pedido a opção de Autodeclaração   
3. Responder o formulário de autodeclaração</v>
      </c>
      <c r="I30" s="35" t="str">
        <f>IFERROR(IF(VLOOKUP($B30,casostestes[#Data],8)=0,"-",VLOOKUP($B30,casostestes[#Data],8)),"-")</f>
        <v>-</v>
      </c>
      <c r="J30" s="35" t="str">
        <f>IFERROR(IF(VLOOKUP($B30,casostestes[#Data],9)=0,"-",VLOOKUP($B30,casostestes[#Data],9)),"-")</f>
        <v xml:space="preserve">
Tarefa de BI com situação alterada para  Pendente
Divergência de autodeclaração (116)  EXCLUÍDA da tarefa
Aguardar até a geração automática do PDF da autodeclaração:
Status SIBE igual a AGUARDANDO ATESTADO ou AGUARDANDO PERÍCIA (conforme a tarefa seja do fluxo ATESTMEDQ ou PRESENCIAL)
Na opção  "Lista de Ocorrências", o json de integração com o SIBE deverá conter o campo "periodosPendentesSegEsp" com valor true ou false, conforme tenha ou não períodos pendentes.
</v>
      </c>
      <c r="K30" s="36"/>
      <c r="L30" s="45"/>
      <c r="M30" s="37"/>
      <c r="N30" s="38"/>
      <c r="O30" s="38"/>
      <c r="P30" s="39"/>
    </row>
    <row r="31" spans="2:16" ht="105">
      <c r="B31" s="40">
        <f>IF(ISERR(casostestes[[#This Row],[ID]]),"-",casostestes[[#This Row],[ID]])</f>
        <v>24</v>
      </c>
      <c r="C31" s="34" t="str">
        <f>IFERROR(IF(VLOOKUP($B31,casostestes[#Data],10)=0,"Não",VLOOKUP($B31,casostestes[#Data],10)), "-")</f>
        <v>Sim</v>
      </c>
      <c r="D31" s="35" t="str">
        <f>IFERROR(IF(VLOOKUP($B31,casostestes[#Data],2)=0,"-",VLOOKUP($B31,casostestes[#Data],2)), "-")</f>
        <v>Integração</v>
      </c>
      <c r="E31" s="35" t="str">
        <f>IFERROR(IF(VLOOKUP($B31,casostestes[#Data],3)=0,"-",VLOOKUP($B31,casostestes[#Data],3)), "-")</f>
        <v>40
Responder o formulário de autodeclaração acionando a opção de autodeclaração no card do pedido onde a tarefa encontra-se em exigência de documento médico
Será posível acessar diretamente a autodeclaração logado no Meu INSS?</v>
      </c>
      <c r="F31" s="35" t="str">
        <f>IFERROR(IF(VLOOKUP($B31,casostestes[#Data],4)=0,"-",VLOOKUP($B31,casostestes[#Data],4)),"-")</f>
        <v>Meu INSS</v>
      </c>
      <c r="G31" s="35" t="str">
        <f>IFERROR(IF(VLOOKUP($B31,casostestes[#Data],5)=0,"-",VLOOKUP($B31,casostestes[#Data],5)),"-")</f>
        <v>INTERESSADO</v>
      </c>
      <c r="H31" s="35" t="str">
        <f>IFERROR(IF(VLOOKUP($B31,casostestes[#Data],6)=0,"-",VLOOKUP($B31,casostestes[#Data],6)),"-")</f>
        <v>1. Logar no  Meu INSS
2.Consultar uma tarefa em exigência de documento médico 
3. Acionar no card do pedido a opção de Autodeclaração   
3. Responder o formulário de autodeclaração</v>
      </c>
      <c r="I31" s="35" t="str">
        <f>IFERROR(IF(VLOOKUP($B31,casostestes[#Data],8)=0,"-",VLOOKUP($B31,casostestes[#Data],8)),"-")</f>
        <v>-</v>
      </c>
      <c r="J31" s="35" t="str">
        <f>IFERROR(IF(VLOOKUP($B31,casostestes[#Data],9)=0,"-",VLOOKUP($B31,casostestes[#Data],9)),"-")</f>
        <v xml:space="preserve">Tarefa de BI permanece em  tarefa em exigência de documento médico 
Divergência de autodeclaração (116)  EXCLUÍDA da tarefa
Aguardar até a geração automática do PDF da autodeclaração:
Status SIBE continua igual a  FLUXO NÃO INICIADO, pois a tarefa encontra-se em exigência de documento médico 
</v>
      </c>
      <c r="K31" s="36"/>
      <c r="L31" s="45"/>
      <c r="M31" s="37"/>
      <c r="N31" s="38"/>
      <c r="O31" s="38"/>
      <c r="P31" s="39"/>
    </row>
    <row r="32" spans="2:16" ht="409.5">
      <c r="B32" s="40">
        <f>IF(ISERR(casostestes[[#This Row],[ID]]),"-",casostestes[[#This Row],[ID]])</f>
        <v>25</v>
      </c>
      <c r="C32" s="34" t="str">
        <f>IFERROR(IF(VLOOKUP($B32,casostestes[#Data],10)=0,"Não",VLOOKUP($B32,casostestes[#Data],10)), "-")</f>
        <v>Sim</v>
      </c>
      <c r="D32" s="35" t="str">
        <f>IFERROR(IF(VLOOKUP($B32,casostestes[#Data],2)=0,"-",VLOOKUP($B32,casostestes[#Data],2)), "-")</f>
        <v>Integração</v>
      </c>
      <c r="E32" s="35" t="str">
        <f>IFERROR(IF(VLOOKUP($B32,casostestes[#Data],3)=0,"-",VLOOKUP($B32,casostestes[#Data],3)), "-")</f>
        <v xml:space="preserve">
41
'Criar tarefa de BI inicial fluxo ATESTMEDQ para categoria "Segurado especial" onde o parâmetro "Exige Autodeclaração" no Catálogo está ATIVADO, 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2" s="35" t="str">
        <f>IFERROR(IF(VLOOKUP($B32,casostestes[#Data],4)=0,"-",VLOOKUP($B32,casostestes[#Data],4)),"-")</f>
        <v>PAT</v>
      </c>
      <c r="G32" s="35" t="str">
        <f>IFERROR(IF(VLOOKUP($B32,casostestes[#Data],5)=0,"-",VLOOKUP($B32,casostestes[#Data],5)),"-")</f>
        <v>SERVIDOR</v>
      </c>
      <c r="H32" s="35" t="str">
        <f>IFERROR(IF(VLOOKUP($B32,casostestes[#Data],6)=0,"-",VLOOKUP($B32,casostestes[#Data],6)),"-")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Responder o formulário de autodeclaração
Resultado 1
5. Executar o serviço do STD simulando enquadramento na regra da análise de risco
- Inclusão da divergência 202 (ORIENTAÇÕES NA ABA MASSA)   
Resultado 2
</v>
      </c>
      <c r="I32" s="35" t="str">
        <f>IFERROR(IF(VLOOKUP($B32,casostestes[#Data],8)=0,"-",VLOOKUP($B32,casostestes[#Data],8)),"-")</f>
        <v>-</v>
      </c>
      <c r="J32" s="35" t="str">
        <f>IFERROR(IF(VLOOKUP($B32,casostestes[#Data],9)=0,"-",VLOOKUP($B32,casostestes[#Data],9)),"-")</f>
        <v xml:space="preserve">Resultado 1:
Tarefa de BI criada com situação Pendente.
Tarefa SEM a Divergência de autodeclaração (116)  
Status SIBE igual a  FLUXO NÃO INICIADO
Seção campos adicionais:
"Fluxo Inicial e final do BI" deve ter o valor  "ATESTMEDQ"
DTP:  Campo Exige_autodeclaração = 1
Aguardar alguns minutos após a geração automática do PDF da autodeclaração:
Status SIBE continua igual a  FLUXO NÃO INICIADO
Resultado 2 - Após a execução do serviço do STD:  
- Cerca de 5 minutos depois, será exibida a divergência da Análise de Risco (202) no requerimento
- Alguns minutos depois:
Status SIBE igual a AGUARDANDO PERÍCIA
- Ocorrências de integração (com SIBE)
 "tipoInformacaoMedica":0
 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 Seção "Agendamentos (Perícia)":
- A etapa_pericia apresentará o valor AGUARDANDO AGENDAMENTO 
Aba Despachos:
-Inclusão do despacho de exigência de agendamento
</v>
      </c>
      <c r="K32" s="36"/>
      <c r="L32" s="45"/>
      <c r="M32" s="37"/>
      <c r="N32" s="38"/>
      <c r="O32" s="38"/>
      <c r="P32" s="39"/>
    </row>
    <row r="33" spans="2:16" ht="409.5">
      <c r="B33" s="40">
        <f>IF(ISERR(casostestes[[#This Row],[ID]]),"-",casostestes[[#This Row],[ID]])</f>
        <v>26</v>
      </c>
      <c r="C33" s="34" t="str">
        <f>IFERROR(IF(VLOOKUP($B33,casostestes[#Data],10)=0,"Não",VLOOKUP($B33,casostestes[#Data],10)), "-")</f>
        <v>Sim</v>
      </c>
      <c r="D33" s="35" t="str">
        <f>IFERROR(IF(VLOOKUP($B33,casostestes[#Data],2)=0,"-",VLOOKUP($B33,casostestes[#Data],2)), "-")</f>
        <v>Integração</v>
      </c>
      <c r="E33" s="35" t="str">
        <f>IFERROR(IF(VLOOKUP($B33,casostestes[#Data],3)=0,"-",VLOOKUP($B33,casostestes[#Data],3)), "-")</f>
        <v xml:space="preserve">42'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3" s="35" t="str">
        <f>IFERROR(IF(VLOOKUP($B33,casostestes[#Data],4)=0,"-",VLOOKUP($B33,casostestes[#Data],4)),"-")</f>
        <v>PAT</v>
      </c>
      <c r="G33" s="35" t="str">
        <f>IFERROR(IF(VLOOKUP($B33,casostestes[#Data],5)=0,"-",VLOOKUP($B33,casostestes[#Data],5)),"-")</f>
        <v>SERVIDOR</v>
      </c>
      <c r="H33" s="35" t="str">
        <f>IFERROR(IF(VLOOKUP($B33,casostestes[#Data],6)=0,"-",VLOOKUP($B33,casostestes[#Data],6)),"-")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33" s="35" t="str">
        <f>IFERROR(IF(VLOOKUP($B33,casostestes[#Data],8)=0,"-",VLOOKUP($B33,casostestes[#Data],8)),"-")</f>
        <v>-</v>
      </c>
      <c r="J33" s="35" t="str">
        <f>IFERROR(IF(VLOOKUP($B33,casostestes[#Data],9)=0,"-",VLOOKUP($B33,casostestes[#Data],9)),"-")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33" s="36"/>
      <c r="L33" s="45"/>
      <c r="M33" s="37"/>
      <c r="N33" s="38"/>
      <c r="O33" s="38"/>
      <c r="P33" s="39"/>
    </row>
    <row r="34" spans="2:16" ht="409.5">
      <c r="B34" s="40">
        <f>IF(ISERR(casostestes[[#This Row],[ID]]),"-",casostestes[[#This Row],[ID]])</f>
        <v>27</v>
      </c>
      <c r="C34" s="34" t="str">
        <f>IFERROR(IF(VLOOKUP($B34,casostestes[#Data],10)=0,"Não",VLOOKUP($B34,casostestes[#Data],10)), "-")</f>
        <v>Sim</v>
      </c>
      <c r="D34" s="35" t="str">
        <f>IFERROR(IF(VLOOKUP($B34,casostestes[#Data],2)=0,"-",VLOOKUP($B34,casostestes[#Data],2)), "-")</f>
        <v>Integração</v>
      </c>
      <c r="E34" s="35" t="str">
        <f>IFERROR(IF(VLOOKUP($B34,casostestes[#Data],3)=0,"-",VLOOKUP($B34,casostestes[#Data],3)), "-")</f>
        <v xml:space="preserve">43' 
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**Parâmetro PAT ligado: 144 - Fluxo ATESTMEDQ
**Parâmetro PAT ligado: 119 - Habilitar fluxo de Análise de Risco no Novo BI
</v>
      </c>
      <c r="F34" s="35" t="str">
        <f>IFERROR(IF(VLOOKUP($B34,casostestes[#Data],4)=0,"-",VLOOKUP($B34,casostestes[#Data],4)),"-")</f>
        <v>PAT</v>
      </c>
      <c r="G34" s="35" t="str">
        <f>IFERROR(IF(VLOOKUP($B34,casostestes[#Data],5)=0,"-",VLOOKUP($B34,casostestes[#Data],5)),"-")</f>
        <v>SERVIDOR</v>
      </c>
      <c r="H34" s="35" t="str">
        <f>IFERROR(IF(VLOOKUP($B34,casostestes[#Data],6)=0,"-",VLOOKUP($B34,casostestes[#Data],6)),"-")</f>
        <v xml:space="preserve">
1. Logar no Portal do Atendimento INSS com o perfil do caso de teste
2.Criar tarefa de BI informando:
Tipo de Incapacidade? "Temporária "
A pessoa está presa?  Não
Categoria do trabalhador "Segurado Especial"
A pessoa ficou sem trabalhar? Sim
3. NÃO informar anexo detalhado de autodeclaração
4. NÃO responder o formulário de autodeclaração
Resultado 1
5. Executar o serviço do STD simulando enquadramento na regra da análise de risco
- Inclusão da divergência 202 (ORIENTAÇÕES NA ABA MASSA) 
Resultado 2   
6. Cumprir a exigência, respondendo o formulário de autodeclaração
Resultado 3
</v>
      </c>
      <c r="I34" s="35" t="str">
        <f>IFERROR(IF(VLOOKUP($B34,casostestes[#Data],8)=0,"-",VLOOKUP($B34,casostestes[#Data],8)),"-")</f>
        <v>-</v>
      </c>
      <c r="J34" s="35" t="str">
        <f>IFERROR(IF(VLOOKUP($B34,casostestes[#Data],9)=0,"-",VLOOKUP($B34,casostestes[#Data],9)),"-")</f>
        <v xml:space="preserve">
'Resultado 1:
Tarefa de BI criada com situação Pendente e 
COM  Divergência de autodeclaração (116)  
Após alguns minutos, tarefa de BI alterada para Exigência .
Status SIBE igual a  FLUXO NÃO INICIADO
"Fluxo Inicial do BI" deve ter o valor  "ATESTMEDQ"
"Fluxo Final do BI" deve ter o valor  "ATESTMEDQ"
DTP:  Campo Exige_autodeclaração = 1
Resultado 2 - Após a execução do serviço do STD:  
-Cerca de 5 minutos depois, será exibida a divergência da Análise de Risco (202) no requerimento
Status SIBE continua igual a  FLUXO NÃO INICIADO
Resultado 3 - após cumpris exigência de AD:
Tarefa de BI com situação Pendente
Divergência de falta de autodeclaração (116) excluída da tarefa
Aguardar até a geração automática do PDF da autodeclaração:
-Alguns minutos depois:
Status SIBE igual a AGUARDANDO PERÍCIA
-Ocorrências de integração (com SIBE)
"tipoInformacaoMedica":0
"periodosPendentesSegEsp" com valor true ou false, conforme tenha ou não períodos pendentes.
Seção campos adicionais:
"Fluxo Inicial do BI" deve ter o valor  "ATESTMEDQ"
"Fluxo Final do BI" deve ter o valor  "PRESENCIAL"
-Alguns minutos depois, o requerimento entrará em exigência de agendamento:
Seção "Agendamentos (Perícia)":
- A etapa_pericia apresentará o valor  AGUARDANDO AGENDAMENTO 
Aba Despachos:
-Inclusão do despacho de exigência de agendamento
</v>
      </c>
      <c r="K34" s="36"/>
      <c r="L34" s="45"/>
      <c r="M34" s="37"/>
      <c r="N34" s="38"/>
      <c r="O34" s="38"/>
      <c r="P34" s="39"/>
    </row>
    <row r="35" spans="2:16">
      <c r="B35" s="40" t="str">
        <f>IF(ISERR(casostestes[[#This Row],[ID]]),"-",casostestes[[#This Row],[ID]])</f>
        <v>-</v>
      </c>
      <c r="C35" s="34" t="str">
        <f>IFERROR(IF(VLOOKUP($B35,casostestes[#Data],10)=0,"Não",VLOOKUP($B35,casostestes[#Data],10)), "-")</f>
        <v>-</v>
      </c>
      <c r="D35" s="35" t="str">
        <f>IFERROR(IF(VLOOKUP($B35,casostestes[#Data],2)=0,"-",VLOOKUP($B35,casostestes[#Data],2)), "-")</f>
        <v>-</v>
      </c>
      <c r="E35" s="35" t="str">
        <f>IFERROR(IF(VLOOKUP($B35,casostestes[#Data],3)=0,"-",VLOOKUP($B35,casostestes[#Data],3)), "-")</f>
        <v>-</v>
      </c>
      <c r="F35" s="35" t="str">
        <f>IFERROR(IF(VLOOKUP($B35,casostestes[#Data],4)=0,"-",VLOOKUP($B35,casostestes[#Data],4)),"-")</f>
        <v>-</v>
      </c>
      <c r="G35" s="35" t="str">
        <f>IFERROR(IF(VLOOKUP($B35,casostestes[#Data],5)=0,"-",VLOOKUP($B35,casostestes[#Data],5)),"-")</f>
        <v>-</v>
      </c>
      <c r="H35" s="35" t="str">
        <f>IFERROR(IF(VLOOKUP($B35,casostestes[#Data],6)=0,"-",VLOOKUP($B35,casostestes[#Data],6)),"-")</f>
        <v>-</v>
      </c>
      <c r="I35" s="35" t="str">
        <f>IFERROR(IF(VLOOKUP($B35,casostestes[#Data],8)=0,"-",VLOOKUP($B35,casostestes[#Data],8)),"-")</f>
        <v>-</v>
      </c>
      <c r="J35" s="35" t="str">
        <f>IFERROR(IF(VLOOKUP($B35,casostestes[#Data],9)=0,"-",VLOOKUP($B35,casostestes[#Data],9)),"-")</f>
        <v>-</v>
      </c>
      <c r="K35" s="36"/>
      <c r="L35" s="45"/>
      <c r="M35" s="37"/>
      <c r="N35" s="38"/>
      <c r="O35" s="38"/>
      <c r="P35" s="39"/>
    </row>
    <row r="36" spans="2:16">
      <c r="B36" s="40" t="str">
        <f>IF(ISERR(casostestes[[#This Row],[ID]]),"-",casostestes[[#This Row],[ID]])</f>
        <v>-</v>
      </c>
      <c r="C36" s="34" t="str">
        <f>IFERROR(IF(VLOOKUP($B36,casostestes[#Data],10)=0,"Não",VLOOKUP($B36,casostestes[#Data],10)), "-")</f>
        <v>-</v>
      </c>
      <c r="D36" s="35" t="str">
        <f>IFERROR(IF(VLOOKUP($B36,casostestes[#Data],2)=0,"-",VLOOKUP($B36,casostestes[#Data],2)), "-")</f>
        <v>-</v>
      </c>
      <c r="E36" s="35" t="str">
        <f>IFERROR(IF(VLOOKUP($B36,casostestes[#Data],3)=0,"-",VLOOKUP($B36,casostestes[#Data],3)), "-")</f>
        <v>-</v>
      </c>
      <c r="F36" s="35" t="str">
        <f>IFERROR(IF(VLOOKUP($B36,casostestes[#Data],4)=0,"-",VLOOKUP($B36,casostestes[#Data],4)),"-")</f>
        <v>-</v>
      </c>
      <c r="G36" s="35" t="str">
        <f>IFERROR(IF(VLOOKUP($B36,casostestes[#Data],5)=0,"-",VLOOKUP($B36,casostestes[#Data],5)),"-")</f>
        <v>-</v>
      </c>
      <c r="H36" s="35" t="str">
        <f>IFERROR(IF(VLOOKUP($B36,casostestes[#Data],6)=0,"-",VLOOKUP($B36,casostestes[#Data],6)),"-")</f>
        <v>-</v>
      </c>
      <c r="I36" s="35" t="str">
        <f>IFERROR(IF(VLOOKUP($B36,casostestes[#Data],8)=0,"-",VLOOKUP($B36,casostestes[#Data],8)),"-")</f>
        <v>-</v>
      </c>
      <c r="J36" s="35" t="str">
        <f>IFERROR(IF(VLOOKUP($B36,casostestes[#Data],9)=0,"-",VLOOKUP($B36,casostestes[#Data],9)),"-")</f>
        <v>-</v>
      </c>
      <c r="K36" s="36"/>
      <c r="L36" s="45"/>
      <c r="M36" s="37"/>
      <c r="N36" s="38"/>
      <c r="O36" s="38"/>
      <c r="P36" s="39"/>
    </row>
    <row r="37" spans="2:16">
      <c r="B37" s="40" t="str">
        <f>IF(ISERR(casostestes[[#This Row],[ID]]),"-",casostestes[[#This Row],[ID]])</f>
        <v>-</v>
      </c>
      <c r="C37" s="34" t="str">
        <f>IFERROR(IF(VLOOKUP($B37,casostestes[#Data],10)=0,"Não",VLOOKUP($B37,casostestes[#Data],10)), "-")</f>
        <v>-</v>
      </c>
      <c r="D37" s="35" t="str">
        <f>IFERROR(IF(VLOOKUP($B37,casostestes[#Data],2)=0,"-",VLOOKUP($B37,casostestes[#Data],2)), "-")</f>
        <v>-</v>
      </c>
      <c r="E37" s="35" t="str">
        <f>IFERROR(IF(VLOOKUP($B37,casostestes[#Data],3)=0,"-",VLOOKUP($B37,casostestes[#Data],3)), "-")</f>
        <v>-</v>
      </c>
      <c r="F37" s="35" t="str">
        <f>IFERROR(IF(VLOOKUP($B37,casostestes[#Data],4)=0,"-",VLOOKUP($B37,casostestes[#Data],4)),"-")</f>
        <v>-</v>
      </c>
      <c r="G37" s="35" t="str">
        <f>IFERROR(IF(VLOOKUP($B37,casostestes[#Data],5)=0,"-",VLOOKUP($B37,casostestes[#Data],5)),"-")</f>
        <v>-</v>
      </c>
      <c r="H37" s="35" t="str">
        <f>IFERROR(IF(VLOOKUP($B37,casostestes[#Data],6)=0,"-",VLOOKUP($B37,casostestes[#Data],6)),"-")</f>
        <v>-</v>
      </c>
      <c r="I37" s="35" t="str">
        <f>IFERROR(IF(VLOOKUP($B37,casostestes[#Data],8)=0,"-",VLOOKUP($B37,casostestes[#Data],8)),"-")</f>
        <v>-</v>
      </c>
      <c r="J37" s="35" t="str">
        <f>IFERROR(IF(VLOOKUP($B37,casostestes[#Data],9)=0,"-",VLOOKUP($B37,casostestes[#Data],9)),"-")</f>
        <v>-</v>
      </c>
      <c r="K37" s="36"/>
      <c r="L37" s="45"/>
      <c r="M37" s="37"/>
      <c r="N37" s="38"/>
      <c r="O37" s="38"/>
      <c r="P37" s="39"/>
    </row>
    <row r="38" spans="2:16">
      <c r="B38" s="40" t="str">
        <f>IF(ISERR(casostestes[[#This Row],[ID]]),"-",casostestes[[#This Row],[ID]])</f>
        <v>-</v>
      </c>
      <c r="C38" s="34" t="str">
        <f>IFERROR(IF(VLOOKUP($B38,casostestes[#Data],10)=0,"Não",VLOOKUP($B38,casostestes[#Data],10)), "-")</f>
        <v>-</v>
      </c>
      <c r="D38" s="35" t="str">
        <f>IFERROR(IF(VLOOKUP($B38,casostestes[#Data],2)=0,"-",VLOOKUP($B38,casostestes[#Data],2)), "-")</f>
        <v>-</v>
      </c>
      <c r="E38" s="35" t="str">
        <f>IFERROR(IF(VLOOKUP($B38,casostestes[#Data],3)=0,"-",VLOOKUP($B38,casostestes[#Data],3)), "-")</f>
        <v>-</v>
      </c>
      <c r="F38" s="35" t="str">
        <f>IFERROR(IF(VLOOKUP($B38,casostestes[#Data],4)=0,"-",VLOOKUP($B38,casostestes[#Data],4)),"-")</f>
        <v>-</v>
      </c>
      <c r="G38" s="35" t="str">
        <f>IFERROR(IF(VLOOKUP($B38,casostestes[#Data],5)=0,"-",VLOOKUP($B38,casostestes[#Data],5)),"-")</f>
        <v>-</v>
      </c>
      <c r="H38" s="35" t="str">
        <f>IFERROR(IF(VLOOKUP($B38,casostestes[#Data],6)=0,"-",VLOOKUP($B38,casostestes[#Data],6)),"-")</f>
        <v>-</v>
      </c>
      <c r="I38" s="35" t="str">
        <f>IFERROR(IF(VLOOKUP($B38,casostestes[#Data],8)=0,"-",VLOOKUP($B38,casostestes[#Data],8)),"-")</f>
        <v>-</v>
      </c>
      <c r="J38" s="35" t="str">
        <f>IFERROR(IF(VLOOKUP($B38,casostestes[#Data],9)=0,"-",VLOOKUP($B38,casostestes[#Data],9)),"-")</f>
        <v>-</v>
      </c>
      <c r="K38" s="36"/>
      <c r="L38" s="45"/>
      <c r="M38" s="37"/>
      <c r="N38" s="38"/>
      <c r="O38" s="38"/>
      <c r="P38" s="39"/>
    </row>
    <row r="39" spans="2:16">
      <c r="B39" s="40" t="str">
        <f>IF(ISERR(casostestes[[#This Row],[ID]]),"-",casostestes[[#This Row],[ID]])</f>
        <v>-</v>
      </c>
      <c r="C39" s="34" t="str">
        <f>IFERROR(IF(VLOOKUP($B39,casostestes[#Data],10)=0,"Não",VLOOKUP($B39,casostestes[#Data],10)), "-")</f>
        <v>-</v>
      </c>
      <c r="D39" s="35" t="str">
        <f>IFERROR(IF(VLOOKUP($B39,casostestes[#Data],2)=0,"-",VLOOKUP($B39,casostestes[#Data],2)), "-")</f>
        <v>-</v>
      </c>
      <c r="E39" s="35" t="str">
        <f>IFERROR(IF(VLOOKUP($B39,casostestes[#Data],3)=0,"-",VLOOKUP($B39,casostestes[#Data],3)), "-")</f>
        <v>-</v>
      </c>
      <c r="F39" s="35" t="str">
        <f>IFERROR(IF(VLOOKUP($B39,casostestes[#Data],4)=0,"-",VLOOKUP($B39,casostestes[#Data],4)),"-")</f>
        <v>-</v>
      </c>
      <c r="G39" s="35" t="str">
        <f>IFERROR(IF(VLOOKUP($B39,casostestes[#Data],5)=0,"-",VLOOKUP($B39,casostestes[#Data],5)),"-")</f>
        <v>-</v>
      </c>
      <c r="H39" s="35" t="str">
        <f>IFERROR(IF(VLOOKUP($B39,casostestes[#Data],6)=0,"-",VLOOKUP($B39,casostestes[#Data],6)),"-")</f>
        <v>-</v>
      </c>
      <c r="I39" s="35" t="str">
        <f>IFERROR(IF(VLOOKUP($B39,casostestes[#Data],8)=0,"-",VLOOKUP($B39,casostestes[#Data],8)),"-")</f>
        <v>-</v>
      </c>
      <c r="J39" s="35" t="str">
        <f>IFERROR(IF(VLOOKUP($B39,casostestes[#Data],9)=0,"-",VLOOKUP($B39,casostestes[#Data],9)),"-")</f>
        <v>-</v>
      </c>
      <c r="K39" s="36"/>
      <c r="L39" s="45"/>
      <c r="M39" s="37"/>
      <c r="N39" s="38"/>
      <c r="O39" s="38"/>
      <c r="P39" s="39"/>
    </row>
    <row r="40" spans="2:16">
      <c r="B40" s="40" t="str">
        <f>IF(ISERR(casostestes[[#This Row],[ID]]),"-",casostestes[[#This Row],[ID]])</f>
        <v>-</v>
      </c>
      <c r="C40" s="34" t="str">
        <f>IFERROR(IF(VLOOKUP($B40,casostestes[#Data],10)=0,"Não",VLOOKUP($B40,casostestes[#Data],10)), "-")</f>
        <v>-</v>
      </c>
      <c r="D40" s="35" t="str">
        <f>IFERROR(IF(VLOOKUP($B40,casostestes[#Data],2)=0,"-",VLOOKUP($B40,casostestes[#Data],2)), "-")</f>
        <v>-</v>
      </c>
      <c r="E40" s="35" t="str">
        <f>IFERROR(IF(VLOOKUP($B40,casostestes[#Data],3)=0,"-",VLOOKUP($B40,casostestes[#Data],3)), "-")</f>
        <v>-</v>
      </c>
      <c r="F40" s="35" t="str">
        <f>IFERROR(IF(VLOOKUP($B40,casostestes[#Data],4)=0,"-",VLOOKUP($B40,casostestes[#Data],4)),"-")</f>
        <v>-</v>
      </c>
      <c r="G40" s="35" t="str">
        <f>IFERROR(IF(VLOOKUP($B40,casostestes[#Data],5)=0,"-",VLOOKUP($B40,casostestes[#Data],5)),"-")</f>
        <v>-</v>
      </c>
      <c r="H40" s="35" t="str">
        <f>IFERROR(IF(VLOOKUP($B40,casostestes[#Data],6)=0,"-",VLOOKUP($B40,casostestes[#Data],6)),"-")</f>
        <v>-</v>
      </c>
      <c r="I40" s="35" t="str">
        <f>IFERROR(IF(VLOOKUP($B40,casostestes[#Data],8)=0,"-",VLOOKUP($B40,casostestes[#Data],8)),"-")</f>
        <v>-</v>
      </c>
      <c r="J40" s="35" t="str">
        <f>IFERROR(IF(VLOOKUP($B40,casostestes[#Data],9)=0,"-",VLOOKUP($B40,casostestes[#Data],9)),"-")</f>
        <v>-</v>
      </c>
      <c r="K40" s="36"/>
      <c r="L40" s="45"/>
      <c r="M40" s="37"/>
      <c r="N40" s="38"/>
      <c r="O40" s="38"/>
      <c r="P40" s="39"/>
    </row>
    <row r="41" spans="2:16">
      <c r="B41" s="40" t="str">
        <f>IF(ISERR(casostestes[[#This Row],[ID]]),"-",casostestes[[#This Row],[ID]])</f>
        <v>-</v>
      </c>
      <c r="C41" s="34" t="str">
        <f>IFERROR(IF(VLOOKUP($B41,casostestes[#Data],10)=0,"Não",VLOOKUP($B41,casostestes[#Data],10)), "-")</f>
        <v>-</v>
      </c>
      <c r="D41" s="35" t="str">
        <f>IFERROR(IF(VLOOKUP($B41,casostestes[#Data],2)=0,"-",VLOOKUP($B41,casostestes[#Data],2)), "-")</f>
        <v>-</v>
      </c>
      <c r="E41" s="35" t="str">
        <f>IFERROR(IF(VLOOKUP($B41,casostestes[#Data],3)=0,"-",VLOOKUP($B41,casostestes[#Data],3)), "-")</f>
        <v>-</v>
      </c>
      <c r="F41" s="35" t="str">
        <f>IFERROR(IF(VLOOKUP($B41,casostestes[#Data],4)=0,"-",VLOOKUP($B41,casostestes[#Data],4)),"-")</f>
        <v>-</v>
      </c>
      <c r="G41" s="35" t="str">
        <f>IFERROR(IF(VLOOKUP($B41,casostestes[#Data],5)=0,"-",VLOOKUP($B41,casostestes[#Data],5)),"-")</f>
        <v>-</v>
      </c>
      <c r="H41" s="35" t="str">
        <f>IFERROR(IF(VLOOKUP($B41,casostestes[#Data],6)=0,"-",VLOOKUP($B41,casostestes[#Data],6)),"-")</f>
        <v>-</v>
      </c>
      <c r="I41" s="35" t="str">
        <f>IFERROR(IF(VLOOKUP($B41,casostestes[#Data],8)=0,"-",VLOOKUP($B41,casostestes[#Data],8)),"-")</f>
        <v>-</v>
      </c>
      <c r="J41" s="35" t="str">
        <f>IFERROR(IF(VLOOKUP($B41,casostestes[#Data],9)=0,"-",VLOOKUP($B41,casostestes[#Data],9)),"-")</f>
        <v>-</v>
      </c>
      <c r="K41" s="36"/>
      <c r="L41" s="45"/>
      <c r="M41" s="37"/>
      <c r="N41" s="38"/>
      <c r="O41" s="38"/>
      <c r="P41" s="39"/>
    </row>
    <row r="42" spans="2:16">
      <c r="B42" s="40" t="str">
        <f>IF(ISERR(casostestes[[#This Row],[ID]]),"-",casostestes[[#This Row],[ID]])</f>
        <v>-</v>
      </c>
      <c r="C42" s="34" t="str">
        <f>IFERROR(IF(VLOOKUP($B42,casostestes[#Data],10)=0,"Não",VLOOKUP($B42,casostestes[#Data],10)), "-")</f>
        <v>-</v>
      </c>
      <c r="D42" s="35" t="str">
        <f>IFERROR(IF(VLOOKUP($B42,casostestes[#Data],2)=0,"-",VLOOKUP($B42,casostestes[#Data],2)), "-")</f>
        <v>-</v>
      </c>
      <c r="E42" s="35" t="str">
        <f>IFERROR(IF(VLOOKUP($B42,casostestes[#Data],3)=0,"-",VLOOKUP($B42,casostestes[#Data],3)), "-")</f>
        <v>-</v>
      </c>
      <c r="F42" s="35" t="str">
        <f>IFERROR(IF(VLOOKUP($B42,casostestes[#Data],4)=0,"-",VLOOKUP($B42,casostestes[#Data],4)),"-")</f>
        <v>-</v>
      </c>
      <c r="G42" s="35" t="str">
        <f>IFERROR(IF(VLOOKUP($B42,casostestes[#Data],5)=0,"-",VLOOKUP($B42,casostestes[#Data],5)),"-")</f>
        <v>-</v>
      </c>
      <c r="H42" s="35" t="str">
        <f>IFERROR(IF(VLOOKUP($B42,casostestes[#Data],6)=0,"-",VLOOKUP($B42,casostestes[#Data],6)),"-")</f>
        <v>-</v>
      </c>
      <c r="I42" s="35" t="str">
        <f>IFERROR(IF(VLOOKUP($B42,casostestes[#Data],8)=0,"-",VLOOKUP($B42,casostestes[#Data],8)),"-")</f>
        <v>-</v>
      </c>
      <c r="J42" s="35" t="str">
        <f>IFERROR(IF(VLOOKUP($B42,casostestes[#Data],9)=0,"-",VLOOKUP($B42,casostestes[#Data],9)),"-")</f>
        <v>-</v>
      </c>
      <c r="K42" s="36"/>
      <c r="L42" s="45"/>
      <c r="M42" s="37"/>
      <c r="N42" s="38"/>
      <c r="O42" s="38"/>
      <c r="P42" s="39"/>
    </row>
    <row r="43" spans="2:16">
      <c r="B43" s="40" t="str">
        <f>IF(ISERR(casostestes[[#This Row],[ID]]),"-",casostestes[[#This Row],[ID]])</f>
        <v>-</v>
      </c>
      <c r="C43" s="34" t="str">
        <f>IFERROR(IF(VLOOKUP($B43,casostestes[#Data],10)=0,"Não",VLOOKUP($B43,casostestes[#Data],10)), "-")</f>
        <v>-</v>
      </c>
      <c r="D43" s="35" t="str">
        <f>IFERROR(IF(VLOOKUP($B43,casostestes[#Data],2)=0,"-",VLOOKUP($B43,casostestes[#Data],2)), "-")</f>
        <v>-</v>
      </c>
      <c r="E43" s="35" t="str">
        <f>IFERROR(IF(VLOOKUP($B43,casostestes[#Data],3)=0,"-",VLOOKUP($B43,casostestes[#Data],3)), "-")</f>
        <v>-</v>
      </c>
      <c r="F43" s="35" t="str">
        <f>IFERROR(IF(VLOOKUP($B43,casostestes[#Data],4)=0,"-",VLOOKUP($B43,casostestes[#Data],4)),"-")</f>
        <v>-</v>
      </c>
      <c r="G43" s="35" t="str">
        <f>IFERROR(IF(VLOOKUP($B43,casostestes[#Data],5)=0,"-",VLOOKUP($B43,casostestes[#Data],5)),"-")</f>
        <v>-</v>
      </c>
      <c r="H43" s="35" t="str">
        <f>IFERROR(IF(VLOOKUP($B43,casostestes[#Data],6)=0,"-",VLOOKUP($B43,casostestes[#Data],6)),"-")</f>
        <v>-</v>
      </c>
      <c r="I43" s="35" t="str">
        <f>IFERROR(IF(VLOOKUP($B43,casostestes[#Data],8)=0,"-",VLOOKUP($B43,casostestes[#Data],8)),"-")</f>
        <v>-</v>
      </c>
      <c r="J43" s="35" t="str">
        <f>IFERROR(IF(VLOOKUP($B43,casostestes[#Data],9)=0,"-",VLOOKUP($B43,casostestes[#Data],9)),"-")</f>
        <v>-</v>
      </c>
      <c r="K43" s="36"/>
      <c r="L43" s="45"/>
      <c r="M43" s="37"/>
      <c r="N43" s="38"/>
      <c r="O43" s="38"/>
      <c r="P43" s="39"/>
    </row>
    <row r="44" spans="2:16">
      <c r="B44" s="40" t="str">
        <f>IF(ISERR(casostestes[[#This Row],[ID]]),"-",casostestes[[#This Row],[ID]])</f>
        <v>-</v>
      </c>
      <c r="C44" s="34" t="str">
        <f>IFERROR(IF(VLOOKUP($B44,casostestes[#Data],10)=0,"Não",VLOOKUP($B44,casostestes[#Data],10)), "-")</f>
        <v>-</v>
      </c>
      <c r="D44" s="35" t="str">
        <f>IFERROR(IF(VLOOKUP($B44,casostestes[#Data],2)=0,"-",VLOOKUP($B44,casostestes[#Data],2)), "-")</f>
        <v>-</v>
      </c>
      <c r="E44" s="35" t="str">
        <f>IFERROR(IF(VLOOKUP($B44,casostestes[#Data],3)=0,"-",VLOOKUP($B44,casostestes[#Data],3)), "-")</f>
        <v>-</v>
      </c>
      <c r="F44" s="35" t="str">
        <f>IFERROR(IF(VLOOKUP($B44,casostestes[#Data],4)=0,"-",VLOOKUP($B44,casostestes[#Data],4)),"-")</f>
        <v>-</v>
      </c>
      <c r="G44" s="35" t="str">
        <f>IFERROR(IF(VLOOKUP($B44,casostestes[#Data],5)=0,"-",VLOOKUP($B44,casostestes[#Data],5)),"-")</f>
        <v>-</v>
      </c>
      <c r="H44" s="35" t="str">
        <f>IFERROR(IF(VLOOKUP($B44,casostestes[#Data],6)=0,"-",VLOOKUP($B44,casostestes[#Data],6)),"-")</f>
        <v>-</v>
      </c>
      <c r="I44" s="35" t="str">
        <f>IFERROR(IF(VLOOKUP($B44,casostestes[#Data],8)=0,"-",VLOOKUP($B44,casostestes[#Data],8)),"-")</f>
        <v>-</v>
      </c>
      <c r="J44" s="35" t="str">
        <f>IFERROR(IF(VLOOKUP($B44,casostestes[#Data],9)=0,"-",VLOOKUP($B44,casostestes[#Data],9)),"-")</f>
        <v>-</v>
      </c>
      <c r="K44" s="36"/>
      <c r="L44" s="45"/>
      <c r="M44" s="37"/>
      <c r="N44" s="38"/>
      <c r="O44" s="38"/>
      <c r="P44" s="39"/>
    </row>
    <row r="45" spans="2:16">
      <c r="B45" s="40" t="str">
        <f>IF(ISERR(casostestes[[#This Row],[ID]]),"-",casostestes[[#This Row],[ID]])</f>
        <v>-</v>
      </c>
      <c r="C45" s="34" t="str">
        <f>IFERROR(IF(VLOOKUP($B45,casostestes[#Data],10)=0,"Não",VLOOKUP($B45,casostestes[#Data],10)), "-")</f>
        <v>-</v>
      </c>
      <c r="D45" s="35" t="str">
        <f>IFERROR(IF(VLOOKUP($B45,casostestes[#Data],2)=0,"-",VLOOKUP($B45,casostestes[#Data],2)), "-")</f>
        <v>-</v>
      </c>
      <c r="E45" s="35" t="str">
        <f>IFERROR(IF(VLOOKUP($B45,casostestes[#Data],3)=0,"-",VLOOKUP($B45,casostestes[#Data],3)), "-")</f>
        <v>-</v>
      </c>
      <c r="F45" s="35" t="str">
        <f>IFERROR(IF(VLOOKUP($B45,casostestes[#Data],4)=0,"-",VLOOKUP($B45,casostestes[#Data],4)),"-")</f>
        <v>-</v>
      </c>
      <c r="G45" s="35" t="str">
        <f>IFERROR(IF(VLOOKUP($B45,casostestes[#Data],5)=0,"-",VLOOKUP($B45,casostestes[#Data],5)),"-")</f>
        <v>-</v>
      </c>
      <c r="H45" s="35" t="str">
        <f>IFERROR(IF(VLOOKUP($B45,casostestes[#Data],6)=0,"-",VLOOKUP($B45,casostestes[#Data],6)),"-")</f>
        <v>-</v>
      </c>
      <c r="I45" s="35" t="str">
        <f>IFERROR(IF(VLOOKUP($B45,casostestes[#Data],8)=0,"-",VLOOKUP($B45,casostestes[#Data],8)),"-")</f>
        <v>-</v>
      </c>
      <c r="J45" s="35" t="str">
        <f>IFERROR(IF(VLOOKUP($B45,casostestes[#Data],9)=0,"-",VLOOKUP($B45,casostestes[#Data],9)),"-")</f>
        <v>-</v>
      </c>
      <c r="K45" s="36"/>
      <c r="L45" s="45"/>
      <c r="M45" s="37"/>
      <c r="N45" s="38"/>
      <c r="O45" s="38"/>
      <c r="P45" s="39"/>
    </row>
    <row r="46" spans="2:16">
      <c r="B46" s="40" t="str">
        <f>IF(ISERR(casostestes[[#This Row],[ID]]),"-",casostestes[[#This Row],[ID]])</f>
        <v>-</v>
      </c>
      <c r="C46" s="34" t="str">
        <f>IFERROR(IF(VLOOKUP($B46,casostestes[#Data],10)=0,"Não",VLOOKUP($B46,casostestes[#Data],10)), "-")</f>
        <v>-</v>
      </c>
      <c r="D46" s="35" t="str">
        <f>IFERROR(IF(VLOOKUP($B46,casostestes[#Data],2)=0,"-",VLOOKUP($B46,casostestes[#Data],2)), "-")</f>
        <v>-</v>
      </c>
      <c r="E46" s="35" t="str">
        <f>IFERROR(IF(VLOOKUP($B46,casostestes[#Data],3)=0,"-",VLOOKUP($B46,casostestes[#Data],3)), "-")</f>
        <v>-</v>
      </c>
      <c r="F46" s="35" t="str">
        <f>IFERROR(IF(VLOOKUP($B46,casostestes[#Data],4)=0,"-",VLOOKUP($B46,casostestes[#Data],4)),"-")</f>
        <v>-</v>
      </c>
      <c r="G46" s="35" t="str">
        <f>IFERROR(IF(VLOOKUP($B46,casostestes[#Data],5)=0,"-",VLOOKUP($B46,casostestes[#Data],5)),"-")</f>
        <v>-</v>
      </c>
      <c r="H46" s="35" t="str">
        <f>IFERROR(IF(VLOOKUP($B46,casostestes[#Data],6)=0,"-",VLOOKUP($B46,casostestes[#Data],6)),"-")</f>
        <v>-</v>
      </c>
      <c r="I46" s="35" t="str">
        <f>IFERROR(IF(VLOOKUP($B46,casostestes[#Data],8)=0,"-",VLOOKUP($B46,casostestes[#Data],8)),"-")</f>
        <v>-</v>
      </c>
      <c r="J46" s="35" t="str">
        <f>IFERROR(IF(VLOOKUP($B46,casostestes[#Data],9)=0,"-",VLOOKUP($B46,casostestes[#Data],9)),"-")</f>
        <v>-</v>
      </c>
      <c r="K46" s="36"/>
      <c r="L46" s="45"/>
      <c r="M46" s="37"/>
      <c r="N46" s="38"/>
      <c r="O46" s="38"/>
      <c r="P46" s="39"/>
    </row>
    <row r="47" spans="2:16">
      <c r="B47" s="40" t="str">
        <f>IF(ISERR(casostestes[[#This Row],[ID]]),"-",casostestes[[#This Row],[ID]])</f>
        <v>-</v>
      </c>
      <c r="C47" s="34" t="str">
        <f>IFERROR(IF(VLOOKUP($B47,casostestes[#Data],10)=0,"Não",VLOOKUP($B47,casostestes[#Data],10)), "-")</f>
        <v>-</v>
      </c>
      <c r="D47" s="35" t="str">
        <f>IFERROR(IF(VLOOKUP($B47,casostestes[#Data],2)=0,"-",VLOOKUP($B47,casostestes[#Data],2)), "-")</f>
        <v>-</v>
      </c>
      <c r="E47" s="35" t="str">
        <f>IFERROR(IF(VLOOKUP($B47,casostestes[#Data],3)=0,"-",VLOOKUP($B47,casostestes[#Data],3)), "-")</f>
        <v>-</v>
      </c>
      <c r="F47" s="35" t="str">
        <f>IFERROR(IF(VLOOKUP($B47,casostestes[#Data],4)=0,"-",VLOOKUP($B47,casostestes[#Data],4)),"-")</f>
        <v>-</v>
      </c>
      <c r="G47" s="35" t="str">
        <f>IFERROR(IF(VLOOKUP($B47,casostestes[#Data],5)=0,"-",VLOOKUP($B47,casostestes[#Data],5)),"-")</f>
        <v>-</v>
      </c>
      <c r="H47" s="35" t="str">
        <f>IFERROR(IF(VLOOKUP($B47,casostestes[#Data],6)=0,"-",VLOOKUP($B47,casostestes[#Data],6)),"-")</f>
        <v>-</v>
      </c>
      <c r="I47" s="35" t="str">
        <f>IFERROR(IF(VLOOKUP($B47,casostestes[#Data],8)=0,"-",VLOOKUP($B47,casostestes[#Data],8)),"-")</f>
        <v>-</v>
      </c>
      <c r="J47" s="35" t="str">
        <f>IFERROR(IF(VLOOKUP($B47,casostestes[#Data],9)=0,"-",VLOOKUP($B47,casostestes[#Data],9)),"-")</f>
        <v>-</v>
      </c>
      <c r="K47" s="36"/>
      <c r="L47" s="45"/>
      <c r="M47" s="37"/>
      <c r="N47" s="38"/>
      <c r="O47" s="38"/>
      <c r="P47" s="39"/>
    </row>
    <row r="48" spans="2:16">
      <c r="B48" s="40" t="str">
        <f>IF(ISERR(casostestes[[#This Row],[ID]]),"-",casostestes[[#This Row],[ID]])</f>
        <v>-</v>
      </c>
      <c r="C48" s="34" t="str">
        <f>IFERROR(IF(VLOOKUP($B48,casostestes[#Data],10)=0,"Não",VLOOKUP($B48,casostestes[#Data],10)), "-")</f>
        <v>-</v>
      </c>
      <c r="D48" s="35" t="str">
        <f>IFERROR(IF(VLOOKUP($B48,casostestes[#Data],2)=0,"-",VLOOKUP($B48,casostestes[#Data],2)), "-")</f>
        <v>-</v>
      </c>
      <c r="E48" s="35" t="str">
        <f>IFERROR(IF(VLOOKUP($B48,casostestes[#Data],3)=0,"-",VLOOKUP($B48,casostestes[#Data],3)), "-")</f>
        <v>-</v>
      </c>
      <c r="F48" s="35" t="str">
        <f>IFERROR(IF(VLOOKUP($B48,casostestes[#Data],4)=0,"-",VLOOKUP($B48,casostestes[#Data],4)),"-")</f>
        <v>-</v>
      </c>
      <c r="G48" s="35" t="str">
        <f>IFERROR(IF(VLOOKUP($B48,casostestes[#Data],5)=0,"-",VLOOKUP($B48,casostestes[#Data],5)),"-")</f>
        <v>-</v>
      </c>
      <c r="H48" s="35" t="str">
        <f>IFERROR(IF(VLOOKUP($B48,casostestes[#Data],6)=0,"-",VLOOKUP($B48,casostestes[#Data],6)),"-")</f>
        <v>-</v>
      </c>
      <c r="I48" s="35" t="str">
        <f>IFERROR(IF(VLOOKUP($B48,casostestes[#Data],8)=0,"-",VLOOKUP($B48,casostestes[#Data],8)),"-")</f>
        <v>-</v>
      </c>
      <c r="J48" s="35" t="str">
        <f>IFERROR(IF(VLOOKUP($B48,casostestes[#Data],9)=0,"-",VLOOKUP($B48,casostestes[#Data],9)),"-")</f>
        <v>-</v>
      </c>
      <c r="K48" s="36"/>
      <c r="L48" s="45"/>
      <c r="M48" s="37"/>
      <c r="N48" s="38"/>
      <c r="O48" s="38"/>
      <c r="P48" s="39"/>
    </row>
    <row r="49" spans="2:16">
      <c r="B49" s="40" t="str">
        <f>IF(ISERR(casostestes[[#This Row],[ID]]),"-",casostestes[[#This Row],[ID]])</f>
        <v>-</v>
      </c>
      <c r="C49" s="34" t="str">
        <f>IFERROR(IF(VLOOKUP($B49,casostestes[#Data],10)=0,"Não",VLOOKUP($B49,casostestes[#Data],10)), "-")</f>
        <v>-</v>
      </c>
      <c r="D49" s="35" t="str">
        <f>IFERROR(IF(VLOOKUP($B49,casostestes[#Data],2)=0,"-",VLOOKUP($B49,casostestes[#Data],2)), "-")</f>
        <v>-</v>
      </c>
      <c r="E49" s="35" t="str">
        <f>IFERROR(IF(VLOOKUP($B49,casostestes[#Data],3)=0,"-",VLOOKUP($B49,casostestes[#Data],3)), "-")</f>
        <v>-</v>
      </c>
      <c r="F49" s="35" t="str">
        <f>IFERROR(IF(VLOOKUP($B49,casostestes[#Data],4)=0,"-",VLOOKUP($B49,casostestes[#Data],4)),"-")</f>
        <v>-</v>
      </c>
      <c r="G49" s="35" t="str">
        <f>IFERROR(IF(VLOOKUP($B49,casostestes[#Data],5)=0,"-",VLOOKUP($B49,casostestes[#Data],5)),"-")</f>
        <v>-</v>
      </c>
      <c r="H49" s="35" t="str">
        <f>IFERROR(IF(VLOOKUP($B49,casostestes[#Data],6)=0,"-",VLOOKUP($B49,casostestes[#Data],6)),"-")</f>
        <v>-</v>
      </c>
      <c r="I49" s="35" t="str">
        <f>IFERROR(IF(VLOOKUP($B49,casostestes[#Data],8)=0,"-",VLOOKUP($B49,casostestes[#Data],8)),"-")</f>
        <v>-</v>
      </c>
      <c r="J49" s="35" t="str">
        <f>IFERROR(IF(VLOOKUP($B49,casostestes[#Data],9)=0,"-",VLOOKUP($B49,casostestes[#Data],9)),"-")</f>
        <v>-</v>
      </c>
      <c r="K49" s="36"/>
      <c r="L49" s="45"/>
      <c r="M49" s="37"/>
      <c r="N49" s="38"/>
      <c r="O49" s="38"/>
      <c r="P49" s="39"/>
    </row>
    <row r="50" spans="2:16">
      <c r="B50" s="40" t="str">
        <f>IF(ISERR(casostestes[[#This Row],[ID]]),"-",casostestes[[#This Row],[ID]])</f>
        <v>-</v>
      </c>
      <c r="C50" s="34" t="str">
        <f>IFERROR(IF(VLOOKUP($B50,casostestes[#Data],10)=0,"Não",VLOOKUP($B50,casostestes[#Data],10)), "-")</f>
        <v>-</v>
      </c>
      <c r="D50" s="35" t="str">
        <f>IFERROR(IF(VLOOKUP($B50,casostestes[#Data],2)=0,"-",VLOOKUP($B50,casostestes[#Data],2)), "-")</f>
        <v>-</v>
      </c>
      <c r="E50" s="35" t="str">
        <f>IFERROR(IF(VLOOKUP($B50,casostestes[#Data],3)=0,"-",VLOOKUP($B50,casostestes[#Data],3)), "-")</f>
        <v>-</v>
      </c>
      <c r="F50" s="35" t="str">
        <f>IFERROR(IF(VLOOKUP($B50,casostestes[#Data],4)=0,"-",VLOOKUP($B50,casostestes[#Data],4)),"-")</f>
        <v>-</v>
      </c>
      <c r="G50" s="35" t="str">
        <f>IFERROR(IF(VLOOKUP($B50,casostestes[#Data],5)=0,"-",VLOOKUP($B50,casostestes[#Data],5)),"-")</f>
        <v>-</v>
      </c>
      <c r="H50" s="35" t="str">
        <f>IFERROR(IF(VLOOKUP($B50,casostestes[#Data],6)=0,"-",VLOOKUP($B50,casostestes[#Data],6)),"-")</f>
        <v>-</v>
      </c>
      <c r="I50" s="35" t="str">
        <f>IFERROR(IF(VLOOKUP($B50,casostestes[#Data],8)=0,"-",VLOOKUP($B50,casostestes[#Data],8)),"-")</f>
        <v>-</v>
      </c>
      <c r="J50" s="35" t="str">
        <f>IFERROR(IF(VLOOKUP($B50,casostestes[#Data],9)=0,"-",VLOOKUP($B50,casostestes[#Data],9)),"-")</f>
        <v>-</v>
      </c>
      <c r="K50" s="36"/>
      <c r="L50" s="45"/>
      <c r="M50" s="37"/>
      <c r="N50" s="38"/>
      <c r="O50" s="38"/>
      <c r="P50" s="39"/>
    </row>
    <row r="51" spans="2:16">
      <c r="B51" s="40" t="str">
        <f>IF(ISERR(casostestes[[#This Row],[ID]]),"-",casostestes[[#This Row],[ID]])</f>
        <v>-</v>
      </c>
      <c r="C51" s="34" t="str">
        <f>IFERROR(IF(VLOOKUP($B51,casostestes[#Data],10)=0,"Não",VLOOKUP($B51,casostestes[#Data],10)), "-")</f>
        <v>-</v>
      </c>
      <c r="D51" s="35" t="str">
        <f>IFERROR(IF(VLOOKUP($B51,casostestes[#Data],2)=0,"-",VLOOKUP($B51,casostestes[#Data],2)), "-")</f>
        <v>-</v>
      </c>
      <c r="E51" s="35" t="str">
        <f>IFERROR(IF(VLOOKUP($B51,casostestes[#Data],3)=0,"-",VLOOKUP($B51,casostestes[#Data],3)), "-")</f>
        <v>-</v>
      </c>
      <c r="F51" s="35" t="str">
        <f>IFERROR(IF(VLOOKUP($B51,casostestes[#Data],4)=0,"-",VLOOKUP($B51,casostestes[#Data],4)),"-")</f>
        <v>-</v>
      </c>
      <c r="G51" s="35" t="str">
        <f>IFERROR(IF(VLOOKUP($B51,casostestes[#Data],5)=0,"-",VLOOKUP($B51,casostestes[#Data],5)),"-")</f>
        <v>-</v>
      </c>
      <c r="H51" s="35" t="str">
        <f>IFERROR(IF(VLOOKUP($B51,casostestes[#Data],6)=0,"-",VLOOKUP($B51,casostestes[#Data],6)),"-")</f>
        <v>-</v>
      </c>
      <c r="I51" s="35" t="str">
        <f>IFERROR(IF(VLOOKUP($B51,casostestes[#Data],8)=0,"-",VLOOKUP($B51,casostestes[#Data],8)),"-")</f>
        <v>-</v>
      </c>
      <c r="J51" s="35" t="str">
        <f>IFERROR(IF(VLOOKUP($B51,casostestes[#Data],9)=0,"-",VLOOKUP($B51,casostestes[#Data],9)),"-")</f>
        <v>-</v>
      </c>
      <c r="K51" s="36"/>
      <c r="L51" s="45"/>
      <c r="M51" s="37"/>
      <c r="N51" s="38"/>
      <c r="O51" s="38"/>
      <c r="P51" s="39"/>
    </row>
    <row r="52" spans="2:16">
      <c r="B52" s="40" t="str">
        <f>IF(ISERR(casostestes[[#This Row],[ID]]),"-",casostestes[[#This Row],[ID]])</f>
        <v>-</v>
      </c>
      <c r="C52" s="34" t="str">
        <f>IFERROR(IF(VLOOKUP($B52,casostestes[#Data],10)=0,"Não",VLOOKUP($B52,casostestes[#Data],10)), "-")</f>
        <v>-</v>
      </c>
      <c r="D52" s="35" t="str">
        <f>IFERROR(IF(VLOOKUP($B52,casostestes[#Data],2)=0,"-",VLOOKUP($B52,casostestes[#Data],2)), "-")</f>
        <v>-</v>
      </c>
      <c r="E52" s="35" t="str">
        <f>IFERROR(IF(VLOOKUP($B52,casostestes[#Data],3)=0,"-",VLOOKUP($B52,casostestes[#Data],3)), "-")</f>
        <v>-</v>
      </c>
      <c r="F52" s="35" t="str">
        <f>IFERROR(IF(VLOOKUP($B52,casostestes[#Data],4)=0,"-",VLOOKUP($B52,casostestes[#Data],4)),"-")</f>
        <v>-</v>
      </c>
      <c r="G52" s="35" t="str">
        <f>IFERROR(IF(VLOOKUP($B52,casostestes[#Data],5)=0,"-",VLOOKUP($B52,casostestes[#Data],5)),"-")</f>
        <v>-</v>
      </c>
      <c r="H52" s="35" t="str">
        <f>IFERROR(IF(VLOOKUP($B52,casostestes[#Data],6)=0,"-",VLOOKUP($B52,casostestes[#Data],6)),"-")</f>
        <v>-</v>
      </c>
      <c r="I52" s="35" t="str">
        <f>IFERROR(IF(VLOOKUP($B52,casostestes[#Data],8)=0,"-",VLOOKUP($B52,casostestes[#Data],8)),"-")</f>
        <v>-</v>
      </c>
      <c r="J52" s="35" t="str">
        <f>IFERROR(IF(VLOOKUP($B52,casostestes[#Data],9)=0,"-",VLOOKUP($B52,casostestes[#Data],9)),"-")</f>
        <v>-</v>
      </c>
      <c r="K52" s="36"/>
      <c r="L52" s="45"/>
      <c r="M52" s="37"/>
      <c r="N52" s="38"/>
      <c r="O52" s="38"/>
      <c r="P52" s="39"/>
    </row>
    <row r="53" spans="2:16">
      <c r="B53" s="40" t="str">
        <f>IF(ISERR(casostestes[[#This Row],[ID]]),"-",casostestes[[#This Row],[ID]])</f>
        <v>-</v>
      </c>
      <c r="C53" s="34" t="str">
        <f>IFERROR(IF(VLOOKUP($B53,casostestes[#Data],10)=0,"Não",VLOOKUP($B53,casostestes[#Data],10)), "-")</f>
        <v>-</v>
      </c>
      <c r="D53" s="35" t="str">
        <f>IFERROR(IF(VLOOKUP($B53,casostestes[#Data],2)=0,"-",VLOOKUP($B53,casostestes[#Data],2)), "-")</f>
        <v>-</v>
      </c>
      <c r="E53" s="35" t="str">
        <f>IFERROR(IF(VLOOKUP($B53,casostestes[#Data],3)=0,"-",VLOOKUP($B53,casostestes[#Data],3)), "-")</f>
        <v>-</v>
      </c>
      <c r="F53" s="35" t="str">
        <f>IFERROR(IF(VLOOKUP($B53,casostestes[#Data],4)=0,"-",VLOOKUP($B53,casostestes[#Data],4)),"-")</f>
        <v>-</v>
      </c>
      <c r="G53" s="35" t="str">
        <f>IFERROR(IF(VLOOKUP($B53,casostestes[#Data],5)=0,"-",VLOOKUP($B53,casostestes[#Data],5)),"-")</f>
        <v>-</v>
      </c>
      <c r="H53" s="35" t="str">
        <f>IFERROR(IF(VLOOKUP($B53,casostestes[#Data],6)=0,"-",VLOOKUP($B53,casostestes[#Data],6)),"-")</f>
        <v>-</v>
      </c>
      <c r="I53" s="35" t="str">
        <f>IFERROR(IF(VLOOKUP($B53,casostestes[#Data],8)=0,"-",VLOOKUP($B53,casostestes[#Data],8)),"-")</f>
        <v>-</v>
      </c>
      <c r="J53" s="35" t="str">
        <f>IFERROR(IF(VLOOKUP($B53,casostestes[#Data],9)=0,"-",VLOOKUP($B53,casostestes[#Data],9)),"-")</f>
        <v>-</v>
      </c>
      <c r="K53" s="36"/>
      <c r="L53" s="45"/>
      <c r="M53" s="37"/>
      <c r="N53" s="38"/>
      <c r="O53" s="38"/>
      <c r="P53" s="39"/>
    </row>
    <row r="54" spans="2:16">
      <c r="B54" s="40" t="str">
        <f>IF(ISERR(casostestes[[#This Row],[ID]]),"-",casostestes[[#This Row],[ID]])</f>
        <v>-</v>
      </c>
      <c r="C54" s="34" t="str">
        <f>IFERROR(IF(VLOOKUP($B54,casostestes[#Data],10)=0,"Não",VLOOKUP($B54,casostestes[#Data],10)), "-")</f>
        <v>-</v>
      </c>
      <c r="D54" s="35" t="str">
        <f>IFERROR(IF(VLOOKUP($B54,casostestes[#Data],2)=0,"-",VLOOKUP($B54,casostestes[#Data],2)), "-")</f>
        <v>-</v>
      </c>
      <c r="E54" s="35" t="str">
        <f>IFERROR(IF(VLOOKUP($B54,casostestes[#Data],3)=0,"-",VLOOKUP($B54,casostestes[#Data],3)), "-")</f>
        <v>-</v>
      </c>
      <c r="F54" s="35" t="str">
        <f>IFERROR(IF(VLOOKUP($B54,casostestes[#Data],4)=0,"-",VLOOKUP($B54,casostestes[#Data],4)),"-")</f>
        <v>-</v>
      </c>
      <c r="G54" s="35" t="str">
        <f>IFERROR(IF(VLOOKUP($B54,casostestes[#Data],5)=0,"-",VLOOKUP($B54,casostestes[#Data],5)),"-")</f>
        <v>-</v>
      </c>
      <c r="H54" s="35" t="str">
        <f>IFERROR(IF(VLOOKUP($B54,casostestes[#Data],6)=0,"-",VLOOKUP($B54,casostestes[#Data],6)),"-")</f>
        <v>-</v>
      </c>
      <c r="I54" s="35" t="str">
        <f>IFERROR(IF(VLOOKUP($B54,casostestes[#Data],8)=0,"-",VLOOKUP($B54,casostestes[#Data],8)),"-")</f>
        <v>-</v>
      </c>
      <c r="J54" s="35" t="str">
        <f>IFERROR(IF(VLOOKUP($B54,casostestes[#Data],9)=0,"-",VLOOKUP($B54,casostestes[#Data],9)),"-")</f>
        <v>-</v>
      </c>
      <c r="K54" s="36"/>
      <c r="L54" s="45"/>
      <c r="M54" s="37"/>
      <c r="N54" s="38"/>
      <c r="O54" s="38"/>
      <c r="P54" s="39"/>
    </row>
    <row r="55" spans="2:16">
      <c r="B55" s="40" t="str">
        <f>IF(ISERR(casostestes[[#This Row],[ID]]),"-",casostestes[[#This Row],[ID]])</f>
        <v>-</v>
      </c>
      <c r="C55" s="34" t="str">
        <f>IFERROR(IF(VLOOKUP($B55,casostestes[#Data],10)=0,"Não",VLOOKUP($B55,casostestes[#Data],10)), "-")</f>
        <v>-</v>
      </c>
      <c r="D55" s="35" t="str">
        <f>IFERROR(IF(VLOOKUP($B55,casostestes[#Data],2)=0,"-",VLOOKUP($B55,casostestes[#Data],2)), "-")</f>
        <v>-</v>
      </c>
      <c r="E55" s="35" t="str">
        <f>IFERROR(IF(VLOOKUP($B55,casostestes[#Data],3)=0,"-",VLOOKUP($B55,casostestes[#Data],3)), "-")</f>
        <v>-</v>
      </c>
      <c r="F55" s="35" t="str">
        <f>IFERROR(IF(VLOOKUP($B55,casostestes[#Data],4)=0,"-",VLOOKUP($B55,casostestes[#Data],4)),"-")</f>
        <v>-</v>
      </c>
      <c r="G55" s="35" t="str">
        <f>IFERROR(IF(VLOOKUP($B55,casostestes[#Data],5)=0,"-",VLOOKUP($B55,casostestes[#Data],5)),"-")</f>
        <v>-</v>
      </c>
      <c r="H55" s="35" t="str">
        <f>IFERROR(IF(VLOOKUP($B55,casostestes[#Data],6)=0,"-",VLOOKUP($B55,casostestes[#Data],6)),"-")</f>
        <v>-</v>
      </c>
      <c r="I55" s="35" t="str">
        <f>IFERROR(IF(VLOOKUP($B55,casostestes[#Data],8)=0,"-",VLOOKUP($B55,casostestes[#Data],8)),"-")</f>
        <v>-</v>
      </c>
      <c r="J55" s="35" t="str">
        <f>IFERROR(IF(VLOOKUP($B55,casostestes[#Data],9)=0,"-",VLOOKUP($B55,casostestes[#Data],9)),"-")</f>
        <v>-</v>
      </c>
      <c r="K55" s="36"/>
      <c r="L55" s="45"/>
      <c r="M55" s="37"/>
      <c r="N55" s="38"/>
      <c r="O55" s="38"/>
      <c r="P55" s="39"/>
    </row>
    <row r="56" spans="2:16">
      <c r="B56" s="40" t="str">
        <f>IF(ISERR(casostestes[[#This Row],[ID]]),"-",casostestes[[#This Row],[ID]])</f>
        <v>-</v>
      </c>
      <c r="C56" s="34" t="str">
        <f>IFERROR(IF(VLOOKUP($B56,casostestes[#Data],10)=0,"Não",VLOOKUP($B56,casostestes[#Data],10)), "-")</f>
        <v>-</v>
      </c>
      <c r="D56" s="35" t="str">
        <f>IFERROR(IF(VLOOKUP($B56,casostestes[#Data],2)=0,"-",VLOOKUP($B56,casostestes[#Data],2)), "-")</f>
        <v>-</v>
      </c>
      <c r="E56" s="35" t="str">
        <f>IFERROR(IF(VLOOKUP($B56,casostestes[#Data],3)=0,"-",VLOOKUP($B56,casostestes[#Data],3)), "-")</f>
        <v>-</v>
      </c>
      <c r="F56" s="35" t="str">
        <f>IFERROR(IF(VLOOKUP($B56,casostestes[#Data],4)=0,"-",VLOOKUP($B56,casostestes[#Data],4)),"-")</f>
        <v>-</v>
      </c>
      <c r="G56" s="35" t="str">
        <f>IFERROR(IF(VLOOKUP($B56,casostestes[#Data],5)=0,"-",VLOOKUP($B56,casostestes[#Data],5)),"-")</f>
        <v>-</v>
      </c>
      <c r="H56" s="35" t="str">
        <f>IFERROR(IF(VLOOKUP($B56,casostestes[#Data],6)=0,"-",VLOOKUP($B56,casostestes[#Data],6)),"-")</f>
        <v>-</v>
      </c>
      <c r="I56" s="35" t="str">
        <f>IFERROR(IF(VLOOKUP($B56,casostestes[#Data],8)=0,"-",VLOOKUP($B56,casostestes[#Data],8)),"-")</f>
        <v>-</v>
      </c>
      <c r="J56" s="35" t="str">
        <f>IFERROR(IF(VLOOKUP($B56,casostestes[#Data],9)=0,"-",VLOOKUP($B56,casostestes[#Data],9)),"-")</f>
        <v>-</v>
      </c>
      <c r="K56" s="36"/>
      <c r="L56" s="45"/>
      <c r="M56" s="37"/>
      <c r="N56" s="38"/>
      <c r="O56" s="38"/>
      <c r="P56" s="39"/>
    </row>
    <row r="57" spans="2:16">
      <c r="B57" s="40" t="str">
        <f>IF(ISERR(casostestes[[#This Row],[ID]]),"-",casostestes[[#This Row],[ID]])</f>
        <v>-</v>
      </c>
      <c r="C57" s="34" t="str">
        <f>IFERROR(IF(VLOOKUP($B57,casostestes[#Data],10)=0,"Não",VLOOKUP($B57,casostestes[#Data],10)), "-")</f>
        <v>-</v>
      </c>
      <c r="D57" s="35" t="str">
        <f>IFERROR(IF(VLOOKUP($B57,casostestes[#Data],2)=0,"-",VLOOKUP($B57,casostestes[#Data],2)), "-")</f>
        <v>-</v>
      </c>
      <c r="E57" s="35" t="str">
        <f>IFERROR(IF(VLOOKUP($B57,casostestes[#Data],3)=0,"-",VLOOKUP($B57,casostestes[#Data],3)), "-")</f>
        <v>-</v>
      </c>
      <c r="F57" s="35" t="str">
        <f>IFERROR(IF(VLOOKUP($B57,casostestes[#Data],4)=0,"-",VLOOKUP($B57,casostestes[#Data],4)),"-")</f>
        <v>-</v>
      </c>
      <c r="G57" s="35" t="str">
        <f>IFERROR(IF(VLOOKUP($B57,casostestes[#Data],5)=0,"-",VLOOKUP($B57,casostestes[#Data],5)),"-")</f>
        <v>-</v>
      </c>
      <c r="H57" s="35" t="str">
        <f>IFERROR(IF(VLOOKUP($B57,casostestes[#Data],6)=0,"-",VLOOKUP($B57,casostestes[#Data],6)),"-")</f>
        <v>-</v>
      </c>
      <c r="I57" s="35" t="str">
        <f>IFERROR(IF(VLOOKUP($B57,casostestes[#Data],8)=0,"-",VLOOKUP($B57,casostestes[#Data],8)),"-")</f>
        <v>-</v>
      </c>
      <c r="J57" s="35" t="str">
        <f>IFERROR(IF(VLOOKUP($B57,casostestes[#Data],9)=0,"-",VLOOKUP($B57,casostestes[#Data],9)),"-")</f>
        <v>-</v>
      </c>
      <c r="K57" s="36"/>
      <c r="L57" s="45"/>
      <c r="M57" s="37"/>
      <c r="N57" s="38"/>
      <c r="O57" s="38"/>
      <c r="P57" s="39"/>
    </row>
    <row r="58" spans="2:16">
      <c r="B58" s="40" t="str">
        <f>IF(ISERR(casostestes[[#This Row],[ID]]),"-",casostestes[[#This Row],[ID]])</f>
        <v>-</v>
      </c>
      <c r="C58" s="34" t="str">
        <f>IFERROR(IF(VLOOKUP($B58,casostestes[#Data],10)=0,"Não",VLOOKUP($B58,casostestes[#Data],10)), "-")</f>
        <v>-</v>
      </c>
      <c r="D58" s="35" t="str">
        <f>IFERROR(IF(VLOOKUP($B58,casostestes[#Data],2)=0,"-",VLOOKUP($B58,casostestes[#Data],2)), "-")</f>
        <v>-</v>
      </c>
      <c r="E58" s="35" t="str">
        <f>IFERROR(IF(VLOOKUP($B58,casostestes[#Data],3)=0,"-",VLOOKUP($B58,casostestes[#Data],3)), "-")</f>
        <v>-</v>
      </c>
      <c r="F58" s="35" t="str">
        <f>IFERROR(IF(VLOOKUP($B58,casostestes[#Data],4)=0,"-",VLOOKUP($B58,casostestes[#Data],4)),"-")</f>
        <v>-</v>
      </c>
      <c r="G58" s="35" t="str">
        <f>IFERROR(IF(VLOOKUP($B58,casostestes[#Data],5)=0,"-",VLOOKUP($B58,casostestes[#Data],5)),"-")</f>
        <v>-</v>
      </c>
      <c r="H58" s="35" t="str">
        <f>IFERROR(IF(VLOOKUP($B58,casostestes[#Data],6)=0,"-",VLOOKUP($B58,casostestes[#Data],6)),"-")</f>
        <v>-</v>
      </c>
      <c r="I58" s="35" t="str">
        <f>IFERROR(IF(VLOOKUP($B58,casostestes[#Data],8)=0,"-",VLOOKUP($B58,casostestes[#Data],8)),"-")</f>
        <v>-</v>
      </c>
      <c r="J58" s="35" t="str">
        <f>IFERROR(IF(VLOOKUP($B58,casostestes[#Data],9)=0,"-",VLOOKUP($B58,casostestes[#Data],9)),"-")</f>
        <v>-</v>
      </c>
      <c r="K58" s="36"/>
      <c r="L58" s="45"/>
      <c r="M58" s="37"/>
      <c r="N58" s="38"/>
      <c r="O58" s="38"/>
      <c r="P58" s="39"/>
    </row>
    <row r="59" spans="2:16">
      <c r="B59" s="40" t="str">
        <f>IF(ISERR(casostestes[[#This Row],[ID]]),"-",casostestes[[#This Row],[ID]])</f>
        <v>-</v>
      </c>
      <c r="C59" s="34" t="str">
        <f>IFERROR(IF(VLOOKUP($B59,casostestes[#Data],10)=0,"Não",VLOOKUP($B59,casostestes[#Data],10)), "-")</f>
        <v>-</v>
      </c>
      <c r="D59" s="35" t="str">
        <f>IFERROR(IF(VLOOKUP($B59,casostestes[#Data],2)=0,"-",VLOOKUP($B59,casostestes[#Data],2)), "-")</f>
        <v>-</v>
      </c>
      <c r="E59" s="35" t="str">
        <f>IFERROR(IF(VLOOKUP($B59,casostestes[#Data],3)=0,"-",VLOOKUP($B59,casostestes[#Data],3)), "-")</f>
        <v>-</v>
      </c>
      <c r="F59" s="35" t="str">
        <f>IFERROR(IF(VLOOKUP($B59,casostestes[#Data],4)=0,"-",VLOOKUP($B59,casostestes[#Data],4)),"-")</f>
        <v>-</v>
      </c>
      <c r="G59" s="35" t="str">
        <f>IFERROR(IF(VLOOKUP($B59,casostestes[#Data],5)=0,"-",VLOOKUP($B59,casostestes[#Data],5)),"-")</f>
        <v>-</v>
      </c>
      <c r="H59" s="35" t="str">
        <f>IFERROR(IF(VLOOKUP($B59,casostestes[#Data],6)=0,"-",VLOOKUP($B59,casostestes[#Data],6)),"-")</f>
        <v>-</v>
      </c>
      <c r="I59" s="35" t="str">
        <f>IFERROR(IF(VLOOKUP($B59,casostestes[#Data],8)=0,"-",VLOOKUP($B59,casostestes[#Data],8)),"-")</f>
        <v>-</v>
      </c>
      <c r="J59" s="35" t="str">
        <f>IFERROR(IF(VLOOKUP($B59,casostestes[#Data],9)=0,"-",VLOOKUP($B59,casostestes[#Data],9)),"-")</f>
        <v>-</v>
      </c>
      <c r="K59" s="36"/>
      <c r="L59" s="45"/>
      <c r="M59" s="37"/>
      <c r="N59" s="38"/>
      <c r="O59" s="38"/>
      <c r="P59" s="39"/>
    </row>
    <row r="60" spans="2:16">
      <c r="B60" s="40" t="str">
        <f>IF(ISERR(casostestes[[#This Row],[ID]]),"-",casostestes[[#This Row],[ID]])</f>
        <v>-</v>
      </c>
      <c r="C60" s="34" t="str">
        <f>IFERROR(IF(VLOOKUP($B60,casostestes[#Data],10)=0,"Não",VLOOKUP($B60,casostestes[#Data],10)), "-")</f>
        <v>-</v>
      </c>
      <c r="D60" s="35" t="str">
        <f>IFERROR(IF(VLOOKUP($B60,casostestes[#Data],2)=0,"-",VLOOKUP($B60,casostestes[#Data],2)), "-")</f>
        <v>-</v>
      </c>
      <c r="E60" s="35" t="str">
        <f>IFERROR(IF(VLOOKUP($B60,casostestes[#Data],3)=0,"-",VLOOKUP($B60,casostestes[#Data],3)), "-")</f>
        <v>-</v>
      </c>
      <c r="F60" s="35" t="str">
        <f>IFERROR(IF(VLOOKUP($B60,casostestes[#Data],4)=0,"-",VLOOKUP($B60,casostestes[#Data],4)),"-")</f>
        <v>-</v>
      </c>
      <c r="G60" s="35" t="str">
        <f>IFERROR(IF(VLOOKUP($B60,casostestes[#Data],5)=0,"-",VLOOKUP($B60,casostestes[#Data],5)),"-")</f>
        <v>-</v>
      </c>
      <c r="H60" s="35" t="str">
        <f>IFERROR(IF(VLOOKUP($B60,casostestes[#Data],6)=0,"-",VLOOKUP($B60,casostestes[#Data],6)),"-")</f>
        <v>-</v>
      </c>
      <c r="I60" s="35" t="str">
        <f>IFERROR(IF(VLOOKUP($B60,casostestes[#Data],8)=0,"-",VLOOKUP($B60,casostestes[#Data],8)),"-")</f>
        <v>-</v>
      </c>
      <c r="J60" s="35" t="str">
        <f>IFERROR(IF(VLOOKUP($B60,casostestes[#Data],9)=0,"-",VLOOKUP($B60,casostestes[#Data],9)),"-")</f>
        <v>-</v>
      </c>
      <c r="K60" s="36"/>
      <c r="L60" s="45"/>
      <c r="M60" s="37"/>
      <c r="N60" s="38"/>
      <c r="O60" s="38"/>
      <c r="P60" s="39"/>
    </row>
    <row r="61" spans="2:16">
      <c r="B61" s="40" t="str">
        <f>IF(ISERR(casostestes[[#This Row],[ID]]),"-",casostestes[[#This Row],[ID]])</f>
        <v>-</v>
      </c>
      <c r="C61" s="34" t="str">
        <f>IFERROR(IF(VLOOKUP($B61,casostestes[#Data],10)=0,"Não",VLOOKUP($B61,casostestes[#Data],10)), "-")</f>
        <v>-</v>
      </c>
      <c r="D61" s="35" t="str">
        <f>IFERROR(IF(VLOOKUP($B61,casostestes[#Data],2)=0,"-",VLOOKUP($B61,casostestes[#Data],2)), "-")</f>
        <v>-</v>
      </c>
      <c r="E61" s="35" t="str">
        <f>IFERROR(IF(VLOOKUP($B61,casostestes[#Data],3)=0,"-",VLOOKUP($B61,casostestes[#Data],3)), "-")</f>
        <v>-</v>
      </c>
      <c r="F61" s="35" t="str">
        <f>IFERROR(IF(VLOOKUP($B61,casostestes[#Data],4)=0,"-",VLOOKUP($B61,casostestes[#Data],4)),"-")</f>
        <v>-</v>
      </c>
      <c r="G61" s="35" t="str">
        <f>IFERROR(IF(VLOOKUP($B61,casostestes[#Data],5)=0,"-",VLOOKUP($B61,casostestes[#Data],5)),"-")</f>
        <v>-</v>
      </c>
      <c r="H61" s="35" t="str">
        <f>IFERROR(IF(VLOOKUP($B61,casostestes[#Data],6)=0,"-",VLOOKUP($B61,casostestes[#Data],6)),"-")</f>
        <v>-</v>
      </c>
      <c r="I61" s="35" t="str">
        <f>IFERROR(IF(VLOOKUP($B61,casostestes[#Data],8)=0,"-",VLOOKUP($B61,casostestes[#Data],8)),"-")</f>
        <v>-</v>
      </c>
      <c r="J61" s="35" t="str">
        <f>IFERROR(IF(VLOOKUP($B61,casostestes[#Data],9)=0,"-",VLOOKUP($B61,casostestes[#Data],9)),"-")</f>
        <v>-</v>
      </c>
      <c r="K61" s="36"/>
      <c r="L61" s="45"/>
      <c r="M61" s="37"/>
      <c r="N61" s="38"/>
      <c r="O61" s="38"/>
      <c r="P61" s="39"/>
    </row>
    <row r="62" spans="2:16">
      <c r="B62" s="40" t="str">
        <f>IF(ISERR(casostestes[[#This Row],[ID]]),"-",casostestes[[#This Row],[ID]])</f>
        <v>-</v>
      </c>
      <c r="C62" s="34" t="str">
        <f>IFERROR(IF(VLOOKUP($B62,casostestes[#Data],10)=0,"Não",VLOOKUP($B62,casostestes[#Data],10)), "-")</f>
        <v>-</v>
      </c>
      <c r="D62" s="35" t="str">
        <f>IFERROR(IF(VLOOKUP($B62,casostestes[#Data],2)=0,"-",VLOOKUP($B62,casostestes[#Data],2)), "-")</f>
        <v>-</v>
      </c>
      <c r="E62" s="35" t="str">
        <f>IFERROR(IF(VLOOKUP($B62,casostestes[#Data],3)=0,"-",VLOOKUP($B62,casostestes[#Data],3)), "-")</f>
        <v>-</v>
      </c>
      <c r="F62" s="35" t="str">
        <f>IFERROR(IF(VLOOKUP($B62,casostestes[#Data],4)=0,"-",VLOOKUP($B62,casostestes[#Data],4)),"-")</f>
        <v>-</v>
      </c>
      <c r="G62" s="35" t="str">
        <f>IFERROR(IF(VLOOKUP($B62,casostestes[#Data],5)=0,"-",VLOOKUP($B62,casostestes[#Data],5)),"-")</f>
        <v>-</v>
      </c>
      <c r="H62" s="35" t="str">
        <f>IFERROR(IF(VLOOKUP($B62,casostestes[#Data],6)=0,"-",VLOOKUP($B62,casostestes[#Data],6)),"-")</f>
        <v>-</v>
      </c>
      <c r="I62" s="35" t="str">
        <f>IFERROR(IF(VLOOKUP($B62,casostestes[#Data],8)=0,"-",VLOOKUP($B62,casostestes[#Data],8)),"-")</f>
        <v>-</v>
      </c>
      <c r="J62" s="35" t="str">
        <f>IFERROR(IF(VLOOKUP($B62,casostestes[#Data],9)=0,"-",VLOOKUP($B62,casostestes[#Data],9)),"-")</f>
        <v>-</v>
      </c>
      <c r="K62" s="36"/>
      <c r="L62" s="45"/>
      <c r="M62" s="37"/>
      <c r="N62" s="38"/>
      <c r="O62" s="38"/>
      <c r="P62" s="39"/>
    </row>
    <row r="63" spans="2:16">
      <c r="B63" s="40" t="str">
        <f>IF(ISERR(casostestes[[#This Row],[ID]]),"-",casostestes[[#This Row],[ID]])</f>
        <v>-</v>
      </c>
      <c r="C63" s="34" t="str">
        <f>IFERROR(IF(VLOOKUP($B63,casostestes[#Data],10)=0,"Não",VLOOKUP($B63,casostestes[#Data],10)), "-")</f>
        <v>-</v>
      </c>
      <c r="D63" s="35" t="str">
        <f>IFERROR(IF(VLOOKUP($B63,casostestes[#Data],2)=0,"-",VLOOKUP($B63,casostestes[#Data],2)), "-")</f>
        <v>-</v>
      </c>
      <c r="E63" s="35" t="str">
        <f>IFERROR(IF(VLOOKUP($B63,casostestes[#Data],3)=0,"-",VLOOKUP($B63,casostestes[#Data],3)), "-")</f>
        <v>-</v>
      </c>
      <c r="F63" s="35" t="str">
        <f>IFERROR(IF(VLOOKUP($B63,casostestes[#Data],4)=0,"-",VLOOKUP($B63,casostestes[#Data],4)),"-")</f>
        <v>-</v>
      </c>
      <c r="G63" s="35" t="str">
        <f>IFERROR(IF(VLOOKUP($B63,casostestes[#Data],5)=0,"-",VLOOKUP($B63,casostestes[#Data],5)),"-")</f>
        <v>-</v>
      </c>
      <c r="H63" s="35" t="str">
        <f>IFERROR(IF(VLOOKUP($B63,casostestes[#Data],6)=0,"-",VLOOKUP($B63,casostestes[#Data],6)),"-")</f>
        <v>-</v>
      </c>
      <c r="I63" s="35" t="str">
        <f>IFERROR(IF(VLOOKUP($B63,casostestes[#Data],8)=0,"-",VLOOKUP($B63,casostestes[#Data],8)),"-")</f>
        <v>-</v>
      </c>
      <c r="J63" s="35" t="str">
        <f>IFERROR(IF(VLOOKUP($B63,casostestes[#Data],9)=0,"-",VLOOKUP($B63,casostestes[#Data],9)),"-")</f>
        <v>-</v>
      </c>
      <c r="K63" s="36"/>
      <c r="L63" s="45"/>
      <c r="M63" s="37"/>
      <c r="N63" s="38"/>
      <c r="O63" s="38"/>
      <c r="P63" s="39"/>
    </row>
    <row r="64" spans="2:16">
      <c r="B64" s="40" t="str">
        <f>IF(ISERR(casostestes[[#This Row],[ID]]),"-",casostestes[[#This Row],[ID]])</f>
        <v>-</v>
      </c>
      <c r="C64" s="34" t="str">
        <f>IFERROR(IF(VLOOKUP($B64,casostestes[#Data],10)=0,"Não",VLOOKUP($B64,casostestes[#Data],10)), "-")</f>
        <v>-</v>
      </c>
      <c r="D64" s="35" t="str">
        <f>IFERROR(IF(VLOOKUP($B64,casostestes[#Data],2)=0,"-",VLOOKUP($B64,casostestes[#Data],2)), "-")</f>
        <v>-</v>
      </c>
      <c r="E64" s="35" t="str">
        <f>IFERROR(IF(VLOOKUP($B64,casostestes[#Data],3)=0,"-",VLOOKUP($B64,casostestes[#Data],3)), "-")</f>
        <v>-</v>
      </c>
      <c r="F64" s="35" t="str">
        <f>IFERROR(IF(VLOOKUP($B64,casostestes[#Data],4)=0,"-",VLOOKUP($B64,casostestes[#Data],4)),"-")</f>
        <v>-</v>
      </c>
      <c r="G64" s="35" t="str">
        <f>IFERROR(IF(VLOOKUP($B64,casostestes[#Data],5)=0,"-",VLOOKUP($B64,casostestes[#Data],5)),"-")</f>
        <v>-</v>
      </c>
      <c r="H64" s="35" t="str">
        <f>IFERROR(IF(VLOOKUP($B64,casostestes[#Data],6)=0,"-",VLOOKUP($B64,casostestes[#Data],6)),"-")</f>
        <v>-</v>
      </c>
      <c r="I64" s="35" t="str">
        <f>IFERROR(IF(VLOOKUP($B64,casostestes[#Data],8)=0,"-",VLOOKUP($B64,casostestes[#Data],8)),"-")</f>
        <v>-</v>
      </c>
      <c r="J64" s="35" t="str">
        <f>IFERROR(IF(VLOOKUP($B64,casostestes[#Data],9)=0,"-",VLOOKUP($B64,casostestes[#Data],9)),"-")</f>
        <v>-</v>
      </c>
      <c r="K64" s="36"/>
      <c r="L64" s="45"/>
      <c r="M64" s="37"/>
      <c r="N64" s="38"/>
      <c r="O64" s="38"/>
      <c r="P64" s="39"/>
    </row>
    <row r="65" spans="2:16">
      <c r="B65" s="40" t="str">
        <f>IF(ISERR(casostestes[[#This Row],[ID]]),"-",casostestes[[#This Row],[ID]])</f>
        <v>-</v>
      </c>
      <c r="C65" s="34" t="str">
        <f>IFERROR(IF(VLOOKUP($B65,casostestes[#Data],10)=0,"Não",VLOOKUP($B65,casostestes[#Data],10)), "-")</f>
        <v>-</v>
      </c>
      <c r="D65" s="35" t="str">
        <f>IFERROR(IF(VLOOKUP($B65,casostestes[#Data],2)=0,"-",VLOOKUP($B65,casostestes[#Data],2)), "-")</f>
        <v>-</v>
      </c>
      <c r="E65" s="35" t="str">
        <f>IFERROR(IF(VLOOKUP($B65,casostestes[#Data],3)=0,"-",VLOOKUP($B65,casostestes[#Data],3)), "-")</f>
        <v>-</v>
      </c>
      <c r="F65" s="35" t="str">
        <f>IFERROR(IF(VLOOKUP($B65,casostestes[#Data],4)=0,"-",VLOOKUP($B65,casostestes[#Data],4)),"-")</f>
        <v>-</v>
      </c>
      <c r="G65" s="35" t="str">
        <f>IFERROR(IF(VLOOKUP($B65,casostestes[#Data],5)=0,"-",VLOOKUP($B65,casostestes[#Data],5)),"-")</f>
        <v>-</v>
      </c>
      <c r="H65" s="35" t="str">
        <f>IFERROR(IF(VLOOKUP($B65,casostestes[#Data],6)=0,"-",VLOOKUP($B65,casostestes[#Data],6)),"-")</f>
        <v>-</v>
      </c>
      <c r="I65" s="35" t="str">
        <f>IFERROR(IF(VLOOKUP($B65,casostestes[#Data],8)=0,"-",VLOOKUP($B65,casostestes[#Data],8)),"-")</f>
        <v>-</v>
      </c>
      <c r="J65" s="35" t="str">
        <f>IFERROR(IF(VLOOKUP($B65,casostestes[#Data],9)=0,"-",VLOOKUP($B65,casostestes[#Data],9)),"-")</f>
        <v>-</v>
      </c>
      <c r="K65" s="36"/>
      <c r="L65" s="45"/>
      <c r="M65" s="37"/>
      <c r="N65" s="38"/>
      <c r="O65" s="38"/>
      <c r="P65" s="39"/>
    </row>
    <row r="66" spans="2:16">
      <c r="B66" s="40" t="str">
        <f>IF(ISERR(casostestes[[#This Row],[ID]]),"-",casostestes[[#This Row],[ID]])</f>
        <v>-</v>
      </c>
      <c r="C66" s="34" t="str">
        <f>IFERROR(IF(VLOOKUP($B66,casostestes[#Data],10)=0,"Não",VLOOKUP($B66,casostestes[#Data],10)), "-")</f>
        <v>-</v>
      </c>
      <c r="D66" s="35" t="str">
        <f>IFERROR(IF(VLOOKUP($B66,casostestes[#Data],2)=0,"-",VLOOKUP($B66,casostestes[#Data],2)), "-")</f>
        <v>-</v>
      </c>
      <c r="E66" s="35" t="str">
        <f>IFERROR(IF(VLOOKUP($B66,casostestes[#Data],3)=0,"-",VLOOKUP($B66,casostestes[#Data],3)), "-")</f>
        <v>-</v>
      </c>
      <c r="F66" s="35" t="str">
        <f>IFERROR(IF(VLOOKUP($B66,casostestes[#Data],4)=0,"-",VLOOKUP($B66,casostestes[#Data],4)),"-")</f>
        <v>-</v>
      </c>
      <c r="G66" s="35" t="str">
        <f>IFERROR(IF(VLOOKUP($B66,casostestes[#Data],5)=0,"-",VLOOKUP($B66,casostestes[#Data],5)),"-")</f>
        <v>-</v>
      </c>
      <c r="H66" s="35" t="str">
        <f>IFERROR(IF(VLOOKUP($B66,casostestes[#Data],6)=0,"-",VLOOKUP($B66,casostestes[#Data],6)),"-")</f>
        <v>-</v>
      </c>
      <c r="I66" s="35" t="str">
        <f>IFERROR(IF(VLOOKUP($B66,casostestes[#Data],8)=0,"-",VLOOKUP($B66,casostestes[#Data],8)),"-")</f>
        <v>-</v>
      </c>
      <c r="J66" s="35" t="str">
        <f>IFERROR(IF(VLOOKUP($B66,casostestes[#Data],9)=0,"-",VLOOKUP($B66,casostestes[#Data],9)),"-")</f>
        <v>-</v>
      </c>
      <c r="K66" s="36"/>
      <c r="L66" s="45"/>
      <c r="M66" s="37"/>
      <c r="N66" s="38"/>
      <c r="O66" s="38"/>
      <c r="P66" s="39"/>
    </row>
    <row r="67" spans="2:16">
      <c r="B67" s="40" t="str">
        <f>IF(ISERR(casostestes[[#This Row],[ID]]),"-",casostestes[[#This Row],[ID]])</f>
        <v>-</v>
      </c>
      <c r="C67" s="34" t="str">
        <f>IFERROR(IF(VLOOKUP($B67,casostestes[#Data],10)=0,"Não",VLOOKUP($B67,casostestes[#Data],10)), "-")</f>
        <v>-</v>
      </c>
      <c r="D67" s="35" t="str">
        <f>IFERROR(IF(VLOOKUP($B67,casostestes[#Data],2)=0,"-",VLOOKUP($B67,casostestes[#Data],2)), "-")</f>
        <v>-</v>
      </c>
      <c r="E67" s="35" t="str">
        <f>IFERROR(IF(VLOOKUP($B67,casostestes[#Data],3)=0,"-",VLOOKUP($B67,casostestes[#Data],3)), "-")</f>
        <v>-</v>
      </c>
      <c r="F67" s="35" t="str">
        <f>IFERROR(IF(VLOOKUP($B67,casostestes[#Data],4)=0,"-",VLOOKUP($B67,casostestes[#Data],4)),"-")</f>
        <v>-</v>
      </c>
      <c r="G67" s="35" t="str">
        <f>IFERROR(IF(VLOOKUP($B67,casostestes[#Data],5)=0,"-",VLOOKUP($B67,casostestes[#Data],5)),"-")</f>
        <v>-</v>
      </c>
      <c r="H67" s="35" t="str">
        <f>IFERROR(IF(VLOOKUP($B67,casostestes[#Data],6)=0,"-",VLOOKUP($B67,casostestes[#Data],6)),"-")</f>
        <v>-</v>
      </c>
      <c r="I67" s="35" t="str">
        <f>IFERROR(IF(VLOOKUP($B67,casostestes[#Data],8)=0,"-",VLOOKUP($B67,casostestes[#Data],8)),"-")</f>
        <v>-</v>
      </c>
      <c r="J67" s="35" t="str">
        <f>IFERROR(IF(VLOOKUP($B67,casostestes[#Data],9)=0,"-",VLOOKUP($B67,casostestes[#Data],9)),"-")</f>
        <v>-</v>
      </c>
      <c r="K67" s="36"/>
      <c r="L67" s="45"/>
      <c r="M67" s="37"/>
      <c r="N67" s="38"/>
      <c r="O67" s="38"/>
      <c r="P67" s="39"/>
    </row>
    <row r="68" spans="2:16">
      <c r="B68" s="40" t="str">
        <f>IF(ISERR(casostestes[[#This Row],[ID]]),"-",casostestes[[#This Row],[ID]])</f>
        <v>-</v>
      </c>
      <c r="C68" s="34" t="str">
        <f>IFERROR(IF(VLOOKUP($B68,casostestes[#Data],10)=0,"Não",VLOOKUP($B68,casostestes[#Data],10)), "-")</f>
        <v>-</v>
      </c>
      <c r="D68" s="35" t="str">
        <f>IFERROR(IF(VLOOKUP($B68,casostestes[#Data],2)=0,"-",VLOOKUP($B68,casostestes[#Data],2)), "-")</f>
        <v>-</v>
      </c>
      <c r="E68" s="35" t="str">
        <f>IFERROR(IF(VLOOKUP($B68,casostestes[#Data],3)=0,"-",VLOOKUP($B68,casostestes[#Data],3)), "-")</f>
        <v>-</v>
      </c>
      <c r="F68" s="35" t="str">
        <f>IFERROR(IF(VLOOKUP($B68,casostestes[#Data],4)=0,"-",VLOOKUP($B68,casostestes[#Data],4)),"-")</f>
        <v>-</v>
      </c>
      <c r="G68" s="35" t="str">
        <f>IFERROR(IF(VLOOKUP($B68,casostestes[#Data],5)=0,"-",VLOOKUP($B68,casostestes[#Data],5)),"-")</f>
        <v>-</v>
      </c>
      <c r="H68" s="35" t="str">
        <f>IFERROR(IF(VLOOKUP($B68,casostestes[#Data],6)=0,"-",VLOOKUP($B68,casostestes[#Data],6)),"-")</f>
        <v>-</v>
      </c>
      <c r="I68" s="35" t="str">
        <f>IFERROR(IF(VLOOKUP($B68,casostestes[#Data],8)=0,"-",VLOOKUP($B68,casostestes[#Data],8)),"-")</f>
        <v>-</v>
      </c>
      <c r="J68" s="35" t="str">
        <f>IFERROR(IF(VLOOKUP($B68,casostestes[#Data],9)=0,"-",VLOOKUP($B68,casostestes[#Data],9)),"-")</f>
        <v>-</v>
      </c>
      <c r="K68" s="36"/>
      <c r="L68" s="45"/>
      <c r="M68" s="37"/>
      <c r="N68" s="38"/>
      <c r="O68" s="38"/>
      <c r="P68" s="39"/>
    </row>
    <row r="69" spans="2:16">
      <c r="B69" s="40" t="str">
        <f>IF(ISERR(casostestes[[#This Row],[ID]]),"-",casostestes[[#This Row],[ID]])</f>
        <v>-</v>
      </c>
      <c r="C69" s="34" t="str">
        <f>IFERROR(IF(VLOOKUP($B69,casostestes[#Data],10)=0,"Não",VLOOKUP($B69,casostestes[#Data],10)), "-")</f>
        <v>-</v>
      </c>
      <c r="D69" s="35" t="str">
        <f>IFERROR(IF(VLOOKUP($B69,casostestes[#Data],2)=0,"-",VLOOKUP($B69,casostestes[#Data],2)), "-")</f>
        <v>-</v>
      </c>
      <c r="E69" s="35" t="str">
        <f>IFERROR(IF(VLOOKUP($B69,casostestes[#Data],3)=0,"-",VLOOKUP($B69,casostestes[#Data],3)), "-")</f>
        <v>-</v>
      </c>
      <c r="F69" s="35" t="str">
        <f>IFERROR(IF(VLOOKUP($B69,casostestes[#Data],4)=0,"-",VLOOKUP($B69,casostestes[#Data],4)),"-")</f>
        <v>-</v>
      </c>
      <c r="G69" s="35" t="str">
        <f>IFERROR(IF(VLOOKUP($B69,casostestes[#Data],5)=0,"-",VLOOKUP($B69,casostestes[#Data],5)),"-")</f>
        <v>-</v>
      </c>
      <c r="H69" s="35" t="str">
        <f>IFERROR(IF(VLOOKUP($B69,casostestes[#Data],6)=0,"-",VLOOKUP($B69,casostestes[#Data],6)),"-")</f>
        <v>-</v>
      </c>
      <c r="I69" s="35" t="str">
        <f>IFERROR(IF(VLOOKUP($B69,casostestes[#Data],8)=0,"-",VLOOKUP($B69,casostestes[#Data],8)),"-")</f>
        <v>-</v>
      </c>
      <c r="J69" s="35" t="str">
        <f>IFERROR(IF(VLOOKUP($B69,casostestes[#Data],9)=0,"-",VLOOKUP($B69,casostestes[#Data],9)),"-")</f>
        <v>-</v>
      </c>
      <c r="K69" s="36"/>
      <c r="L69" s="45"/>
      <c r="M69" s="37"/>
      <c r="N69" s="38"/>
      <c r="O69" s="38"/>
      <c r="P69" s="39"/>
    </row>
    <row r="70" spans="2:16">
      <c r="B70" s="40" t="str">
        <f>IF(ISERR(casostestes[[#This Row],[ID]]),"-",casostestes[[#This Row],[ID]])</f>
        <v>-</v>
      </c>
      <c r="C70" s="34" t="str">
        <f>IFERROR(IF(VLOOKUP($B70,casostestes[#Data],10)=0,"Não",VLOOKUP($B70,casostestes[#Data],10)), "-")</f>
        <v>-</v>
      </c>
      <c r="D70" s="35" t="str">
        <f>IFERROR(IF(VLOOKUP($B70,casostestes[#Data],2)=0,"-",VLOOKUP($B70,casostestes[#Data],2)), "-")</f>
        <v>-</v>
      </c>
      <c r="E70" s="35" t="str">
        <f>IFERROR(IF(VLOOKUP($B70,casostestes[#Data],3)=0,"-",VLOOKUP($B70,casostestes[#Data],3)), "-")</f>
        <v>-</v>
      </c>
      <c r="F70" s="35" t="str">
        <f>IFERROR(IF(VLOOKUP($B70,casostestes[#Data],4)=0,"-",VLOOKUP($B70,casostestes[#Data],4)),"-")</f>
        <v>-</v>
      </c>
      <c r="G70" s="35" t="str">
        <f>IFERROR(IF(VLOOKUP($B70,casostestes[#Data],5)=0,"-",VLOOKUP($B70,casostestes[#Data],5)),"-")</f>
        <v>-</v>
      </c>
      <c r="H70" s="35" t="str">
        <f>IFERROR(IF(VLOOKUP($B70,casostestes[#Data],6)=0,"-",VLOOKUP($B70,casostestes[#Data],6)),"-")</f>
        <v>-</v>
      </c>
      <c r="I70" s="35" t="str">
        <f>IFERROR(IF(VLOOKUP($B70,casostestes[#Data],8)=0,"-",VLOOKUP($B70,casostestes[#Data],8)),"-")</f>
        <v>-</v>
      </c>
      <c r="J70" s="35" t="str">
        <f>IFERROR(IF(VLOOKUP($B70,casostestes[#Data],9)=0,"-",VLOOKUP($B70,casostestes[#Data],9)),"-")</f>
        <v>-</v>
      </c>
      <c r="K70" s="36"/>
      <c r="L70" s="45"/>
      <c r="M70" s="37"/>
      <c r="N70" s="38"/>
      <c r="O70" s="38"/>
      <c r="P70" s="39"/>
    </row>
    <row r="71" spans="2:16">
      <c r="B71" s="40" t="str">
        <f>IF(ISERR(casostestes[[#This Row],[ID]]),"-",casostestes[[#This Row],[ID]])</f>
        <v>-</v>
      </c>
      <c r="C71" s="34" t="str">
        <f>IFERROR(IF(VLOOKUP($B71,casostestes[#Data],10)=0,"Não",VLOOKUP($B71,casostestes[#Data],10)), "-")</f>
        <v>-</v>
      </c>
      <c r="D71" s="35" t="str">
        <f>IFERROR(IF(VLOOKUP($B71,casostestes[#Data],2)=0,"-",VLOOKUP($B71,casostestes[#Data],2)), "-")</f>
        <v>-</v>
      </c>
      <c r="E71" s="35" t="str">
        <f>IFERROR(IF(VLOOKUP($B71,casostestes[#Data],3)=0,"-",VLOOKUP($B71,casostestes[#Data],3)), "-")</f>
        <v>-</v>
      </c>
      <c r="F71" s="35" t="str">
        <f>IFERROR(IF(VLOOKUP($B71,casostestes[#Data],4)=0,"-",VLOOKUP($B71,casostestes[#Data],4)),"-")</f>
        <v>-</v>
      </c>
      <c r="G71" s="35" t="str">
        <f>IFERROR(IF(VLOOKUP($B71,casostestes[#Data],5)=0,"-",VLOOKUP($B71,casostestes[#Data],5)),"-")</f>
        <v>-</v>
      </c>
      <c r="H71" s="35" t="str">
        <f>IFERROR(IF(VLOOKUP($B71,casostestes[#Data],6)=0,"-",VLOOKUP($B71,casostestes[#Data],6)),"-")</f>
        <v>-</v>
      </c>
      <c r="I71" s="35" t="str">
        <f>IFERROR(IF(VLOOKUP($B71,casostestes[#Data],8)=0,"-",VLOOKUP($B71,casostestes[#Data],8)),"-")</f>
        <v>-</v>
      </c>
      <c r="J71" s="35" t="str">
        <f>IFERROR(IF(VLOOKUP($B71,casostestes[#Data],9)=0,"-",VLOOKUP($B71,casostestes[#Data],9)),"-")</f>
        <v>-</v>
      </c>
      <c r="K71" s="36"/>
      <c r="L71" s="45"/>
      <c r="M71" s="37"/>
      <c r="N71" s="38"/>
      <c r="O71" s="38"/>
      <c r="P71" s="39"/>
    </row>
    <row r="72" spans="2:16">
      <c r="B72" s="40" t="str">
        <f>IF(ISERR(casostestes[[#This Row],[ID]]),"-",casostestes[[#This Row],[ID]])</f>
        <v>-</v>
      </c>
      <c r="C72" s="34" t="str">
        <f>IFERROR(IF(VLOOKUP($B72,casostestes[#Data],10)=0,"Não",VLOOKUP($B72,casostestes[#Data],10)), "-")</f>
        <v>-</v>
      </c>
      <c r="D72" s="35" t="str">
        <f>IFERROR(IF(VLOOKUP($B72,casostestes[#Data],2)=0,"-",VLOOKUP($B72,casostestes[#Data],2)), "-")</f>
        <v>-</v>
      </c>
      <c r="E72" s="35" t="str">
        <f>IFERROR(IF(VLOOKUP($B72,casostestes[#Data],3)=0,"-",VLOOKUP($B72,casostestes[#Data],3)), "-")</f>
        <v>-</v>
      </c>
      <c r="F72" s="35" t="str">
        <f>IFERROR(IF(VLOOKUP($B72,casostestes[#Data],4)=0,"-",VLOOKUP($B72,casostestes[#Data],4)),"-")</f>
        <v>-</v>
      </c>
      <c r="G72" s="35" t="str">
        <f>IFERROR(IF(VLOOKUP($B72,casostestes[#Data],5)=0,"-",VLOOKUP($B72,casostestes[#Data],5)),"-")</f>
        <v>-</v>
      </c>
      <c r="H72" s="35" t="str">
        <f>IFERROR(IF(VLOOKUP($B72,casostestes[#Data],6)=0,"-",VLOOKUP($B72,casostestes[#Data],6)),"-")</f>
        <v>-</v>
      </c>
      <c r="I72" s="35" t="str">
        <f>IFERROR(IF(VLOOKUP($B72,casostestes[#Data],8)=0,"-",VLOOKUP($B72,casostestes[#Data],8)),"-")</f>
        <v>-</v>
      </c>
      <c r="J72" s="35" t="str">
        <f>IFERROR(IF(VLOOKUP($B72,casostestes[#Data],9)=0,"-",VLOOKUP($B72,casostestes[#Data],9)),"-")</f>
        <v>-</v>
      </c>
      <c r="K72" s="36"/>
      <c r="L72" s="45"/>
      <c r="M72" s="37"/>
      <c r="N72" s="38"/>
      <c r="O72" s="38"/>
      <c r="P72" s="39"/>
    </row>
    <row r="73" spans="2:16">
      <c r="B73" s="40" t="str">
        <f>IF(ISERR(casostestes[[#This Row],[ID]]),"-",casostestes[[#This Row],[ID]])</f>
        <v>-</v>
      </c>
      <c r="C73" s="34" t="str">
        <f>IFERROR(IF(VLOOKUP($B73,casostestes[#Data],10)=0,"Não",VLOOKUP($B73,casostestes[#Data],10)), "-")</f>
        <v>-</v>
      </c>
      <c r="D73" s="35" t="str">
        <f>IFERROR(IF(VLOOKUP($B73,casostestes[#Data],2)=0,"-",VLOOKUP($B73,casostestes[#Data],2)), "-")</f>
        <v>-</v>
      </c>
      <c r="E73" s="35" t="str">
        <f>IFERROR(IF(VLOOKUP($B73,casostestes[#Data],3)=0,"-",VLOOKUP($B73,casostestes[#Data],3)), "-")</f>
        <v>-</v>
      </c>
      <c r="F73" s="35" t="str">
        <f>IFERROR(IF(VLOOKUP($B73,casostestes[#Data],4)=0,"-",VLOOKUP($B73,casostestes[#Data],4)),"-")</f>
        <v>-</v>
      </c>
      <c r="G73" s="35" t="str">
        <f>IFERROR(IF(VLOOKUP($B73,casostestes[#Data],5)=0,"-",VLOOKUP($B73,casostestes[#Data],5)),"-")</f>
        <v>-</v>
      </c>
      <c r="H73" s="35" t="str">
        <f>IFERROR(IF(VLOOKUP($B73,casostestes[#Data],6)=0,"-",VLOOKUP($B73,casostestes[#Data],6)),"-")</f>
        <v>-</v>
      </c>
      <c r="I73" s="35" t="str">
        <f>IFERROR(IF(VLOOKUP($B73,casostestes[#Data],8)=0,"-",VLOOKUP($B73,casostestes[#Data],8)),"-")</f>
        <v>-</v>
      </c>
      <c r="J73" s="35" t="str">
        <f>IFERROR(IF(VLOOKUP($B73,casostestes[#Data],9)=0,"-",VLOOKUP($B73,casostestes[#Data],9)),"-")</f>
        <v>-</v>
      </c>
      <c r="K73" s="36"/>
      <c r="L73" s="45"/>
      <c r="M73" s="37"/>
      <c r="N73" s="38"/>
      <c r="O73" s="38"/>
      <c r="P73" s="39"/>
    </row>
    <row r="74" spans="2:16">
      <c r="B74" s="40" t="str">
        <f>IF(ISERR(casostestes[[#This Row],[ID]]),"-",casostestes[[#This Row],[ID]])</f>
        <v>-</v>
      </c>
      <c r="C74" s="34" t="str">
        <f>IFERROR(IF(VLOOKUP($B74,casostestes[#Data],10)=0,"Não",VLOOKUP($B74,casostestes[#Data],10)), "-")</f>
        <v>-</v>
      </c>
      <c r="D74" s="35" t="str">
        <f>IFERROR(IF(VLOOKUP($B74,casostestes[#Data],2)=0,"-",VLOOKUP($B74,casostestes[#Data],2)), "-")</f>
        <v>-</v>
      </c>
      <c r="E74" s="35" t="str">
        <f>IFERROR(IF(VLOOKUP($B74,casostestes[#Data],3)=0,"-",VLOOKUP($B74,casostestes[#Data],3)), "-")</f>
        <v>-</v>
      </c>
      <c r="F74" s="35" t="str">
        <f>IFERROR(IF(VLOOKUP($B74,casostestes[#Data],4)=0,"-",VLOOKUP($B74,casostestes[#Data],4)),"-")</f>
        <v>-</v>
      </c>
      <c r="G74" s="35" t="str">
        <f>IFERROR(IF(VLOOKUP($B74,casostestes[#Data],5)=0,"-",VLOOKUP($B74,casostestes[#Data],5)),"-")</f>
        <v>-</v>
      </c>
      <c r="H74" s="35" t="str">
        <f>IFERROR(IF(VLOOKUP($B74,casostestes[#Data],6)=0,"-",VLOOKUP($B74,casostestes[#Data],6)),"-")</f>
        <v>-</v>
      </c>
      <c r="I74" s="35" t="str">
        <f>IFERROR(IF(VLOOKUP($B74,casostestes[#Data],8)=0,"-",VLOOKUP($B74,casostestes[#Data],8)),"-")</f>
        <v>-</v>
      </c>
      <c r="J74" s="35" t="str">
        <f>IFERROR(IF(VLOOKUP($B74,casostestes[#Data],9)=0,"-",VLOOKUP($B74,casostestes[#Data],9)),"-")</f>
        <v>-</v>
      </c>
      <c r="K74" s="36"/>
      <c r="L74" s="45"/>
      <c r="M74" s="37"/>
      <c r="N74" s="38"/>
      <c r="O74" s="38"/>
      <c r="P74" s="39"/>
    </row>
    <row r="75" spans="2:16">
      <c r="B75" s="40" t="str">
        <f>IF(ISERR(casostestes[[#This Row],[ID]]),"-",casostestes[[#This Row],[ID]])</f>
        <v>-</v>
      </c>
      <c r="C75" s="34" t="str">
        <f>IFERROR(IF(VLOOKUP($B75,casostestes[#Data],10)=0,"Não",VLOOKUP($B75,casostestes[#Data],10)), "-")</f>
        <v>-</v>
      </c>
      <c r="D75" s="35" t="str">
        <f>IFERROR(IF(VLOOKUP($B75,casostestes[#Data],2)=0,"-",VLOOKUP($B75,casostestes[#Data],2)), "-")</f>
        <v>-</v>
      </c>
      <c r="E75" s="35" t="str">
        <f>IFERROR(IF(VLOOKUP($B75,casostestes[#Data],3)=0,"-",VLOOKUP($B75,casostestes[#Data],3)), "-")</f>
        <v>-</v>
      </c>
      <c r="F75" s="35" t="str">
        <f>IFERROR(IF(VLOOKUP($B75,casostestes[#Data],4)=0,"-",VLOOKUP($B75,casostestes[#Data],4)),"-")</f>
        <v>-</v>
      </c>
      <c r="G75" s="35" t="str">
        <f>IFERROR(IF(VLOOKUP($B75,casostestes[#Data],5)=0,"-",VLOOKUP($B75,casostestes[#Data],5)),"-")</f>
        <v>-</v>
      </c>
      <c r="H75" s="35" t="str">
        <f>IFERROR(IF(VLOOKUP($B75,casostestes[#Data],6)=0,"-",VLOOKUP($B75,casostestes[#Data],6)),"-")</f>
        <v>-</v>
      </c>
      <c r="I75" s="35" t="str">
        <f>IFERROR(IF(VLOOKUP($B75,casostestes[#Data],8)=0,"-",VLOOKUP($B75,casostestes[#Data],8)),"-")</f>
        <v>-</v>
      </c>
      <c r="J75" s="35" t="str">
        <f>IFERROR(IF(VLOOKUP($B75,casostestes[#Data],9)=0,"-",VLOOKUP($B75,casostestes[#Data],9)),"-")</f>
        <v>-</v>
      </c>
      <c r="K75" s="36"/>
      <c r="L75" s="45"/>
      <c r="M75" s="37"/>
      <c r="N75" s="38"/>
      <c r="O75" s="38"/>
      <c r="P75" s="39"/>
    </row>
    <row r="76" spans="2:16">
      <c r="B76" s="40" t="str">
        <f>IF(ISERR(casostestes[[#This Row],[ID]]),"-",casostestes[[#This Row],[ID]])</f>
        <v>-</v>
      </c>
      <c r="C76" s="34" t="str">
        <f>IFERROR(IF(VLOOKUP($B76,casostestes[#Data],10)=0,"Não",VLOOKUP($B76,casostestes[#Data],10)), "-")</f>
        <v>-</v>
      </c>
      <c r="D76" s="35" t="str">
        <f>IFERROR(IF(VLOOKUP($B76,casostestes[#Data],2)=0,"-",VLOOKUP($B76,casostestes[#Data],2)), "-")</f>
        <v>-</v>
      </c>
      <c r="E76" s="35" t="str">
        <f>IFERROR(IF(VLOOKUP($B76,casostestes[#Data],3)=0,"-",VLOOKUP($B76,casostestes[#Data],3)), "-")</f>
        <v>-</v>
      </c>
      <c r="F76" s="35" t="str">
        <f>IFERROR(IF(VLOOKUP($B76,casostestes[#Data],4)=0,"-",VLOOKUP($B76,casostestes[#Data],4)),"-")</f>
        <v>-</v>
      </c>
      <c r="G76" s="35" t="str">
        <f>IFERROR(IF(VLOOKUP($B76,casostestes[#Data],5)=0,"-",VLOOKUP($B76,casostestes[#Data],5)),"-")</f>
        <v>-</v>
      </c>
      <c r="H76" s="35" t="str">
        <f>IFERROR(IF(VLOOKUP($B76,casostestes[#Data],6)=0,"-",VLOOKUP($B76,casostestes[#Data],6)),"-")</f>
        <v>-</v>
      </c>
      <c r="I76" s="35" t="str">
        <f>IFERROR(IF(VLOOKUP($B76,casostestes[#Data],8)=0,"-",VLOOKUP($B76,casostestes[#Data],8)),"-")</f>
        <v>-</v>
      </c>
      <c r="J76" s="35" t="str">
        <f>IFERROR(IF(VLOOKUP($B76,casostestes[#Data],9)=0,"-",VLOOKUP($B76,casostestes[#Data],9)),"-")</f>
        <v>-</v>
      </c>
      <c r="K76" s="36"/>
      <c r="L76" s="45"/>
      <c r="M76" s="37"/>
      <c r="N76" s="38"/>
      <c r="O76" s="38"/>
      <c r="P76" s="39"/>
    </row>
    <row r="77" spans="2:16">
      <c r="B77" s="40" t="str">
        <f>IF(ISERR(casostestes[[#This Row],[ID]]),"-",casostestes[[#This Row],[ID]])</f>
        <v>-</v>
      </c>
      <c r="C77" s="34" t="str">
        <f>IFERROR(IF(VLOOKUP($B77,casostestes[#Data],10)=0,"Não",VLOOKUP($B77,casostestes[#Data],10)), "-")</f>
        <v>-</v>
      </c>
      <c r="D77" s="35" t="str">
        <f>IFERROR(IF(VLOOKUP($B77,casostestes[#Data],2)=0,"-",VLOOKUP($B77,casostestes[#Data],2)), "-")</f>
        <v>-</v>
      </c>
      <c r="E77" s="35" t="str">
        <f>IFERROR(IF(VLOOKUP($B77,casostestes[#Data],3)=0,"-",VLOOKUP($B77,casostestes[#Data],3)), "-")</f>
        <v>-</v>
      </c>
      <c r="F77" s="35" t="str">
        <f>IFERROR(IF(VLOOKUP($B77,casostestes[#Data],4)=0,"-",VLOOKUP($B77,casostestes[#Data],4)),"-")</f>
        <v>-</v>
      </c>
      <c r="G77" s="35" t="str">
        <f>IFERROR(IF(VLOOKUP($B77,casostestes[#Data],5)=0,"-",VLOOKUP($B77,casostestes[#Data],5)),"-")</f>
        <v>-</v>
      </c>
      <c r="H77" s="35" t="str">
        <f>IFERROR(IF(VLOOKUP($B77,casostestes[#Data],6)=0,"-",VLOOKUP($B77,casostestes[#Data],6)),"-")</f>
        <v>-</v>
      </c>
      <c r="I77" s="35" t="str">
        <f>IFERROR(IF(VLOOKUP($B77,casostestes[#Data],8)=0,"-",VLOOKUP($B77,casostestes[#Data],8)),"-")</f>
        <v>-</v>
      </c>
      <c r="J77" s="35" t="str">
        <f>IFERROR(IF(VLOOKUP($B77,casostestes[#Data],9)=0,"-",VLOOKUP($B77,casostestes[#Data],9)),"-")</f>
        <v>-</v>
      </c>
      <c r="K77" s="36"/>
      <c r="L77" s="45"/>
      <c r="M77" s="37"/>
      <c r="N77" s="38"/>
      <c r="O77" s="38"/>
      <c r="P77" s="39"/>
    </row>
    <row r="78" spans="2:16">
      <c r="B78" s="40" t="str">
        <f>IF(ISERR(casostestes[[#This Row],[ID]]),"-",casostestes[[#This Row],[ID]])</f>
        <v>-</v>
      </c>
      <c r="C78" s="34" t="str">
        <f>IFERROR(IF(VLOOKUP($B78,casostestes[#Data],10)=0,"Não",VLOOKUP($B78,casostestes[#Data],10)), "-")</f>
        <v>-</v>
      </c>
      <c r="D78" s="35" t="str">
        <f>IFERROR(IF(VLOOKUP($B78,casostestes[#Data],2)=0,"-",VLOOKUP($B78,casostestes[#Data],2)), "-")</f>
        <v>-</v>
      </c>
      <c r="E78" s="35" t="str">
        <f>IFERROR(IF(VLOOKUP($B78,casostestes[#Data],3)=0,"-",VLOOKUP($B78,casostestes[#Data],3)), "-")</f>
        <v>-</v>
      </c>
      <c r="F78" s="35" t="str">
        <f>IFERROR(IF(VLOOKUP($B78,casostestes[#Data],4)=0,"-",VLOOKUP($B78,casostestes[#Data],4)),"-")</f>
        <v>-</v>
      </c>
      <c r="G78" s="35" t="str">
        <f>IFERROR(IF(VLOOKUP($B78,casostestes[#Data],5)=0,"-",VLOOKUP($B78,casostestes[#Data],5)),"-")</f>
        <v>-</v>
      </c>
      <c r="H78" s="35" t="str">
        <f>IFERROR(IF(VLOOKUP($B78,casostestes[#Data],6)=0,"-",VLOOKUP($B78,casostestes[#Data],6)),"-")</f>
        <v>-</v>
      </c>
      <c r="I78" s="35" t="str">
        <f>IFERROR(IF(VLOOKUP($B78,casostestes[#Data],8)=0,"-",VLOOKUP($B78,casostestes[#Data],8)),"-")</f>
        <v>-</v>
      </c>
      <c r="J78" s="35" t="str">
        <f>IFERROR(IF(VLOOKUP($B78,casostestes[#Data],9)=0,"-",VLOOKUP($B78,casostestes[#Data],9)),"-")</f>
        <v>-</v>
      </c>
      <c r="K78" s="36"/>
      <c r="L78" s="45"/>
      <c r="M78" s="37"/>
      <c r="N78" s="38"/>
      <c r="O78" s="38"/>
      <c r="P78" s="39"/>
    </row>
    <row r="79" spans="2:16">
      <c r="B79" s="40" t="str">
        <f>IF(ISERR(casostestes[[#This Row],[ID]]),"-",casostestes[[#This Row],[ID]])</f>
        <v>-</v>
      </c>
      <c r="C79" s="34" t="str">
        <f>IFERROR(IF(VLOOKUP($B79,casostestes[#Data],10)=0,"Não",VLOOKUP($B79,casostestes[#Data],10)), "-")</f>
        <v>-</v>
      </c>
      <c r="D79" s="35" t="str">
        <f>IFERROR(IF(VLOOKUP($B79,casostestes[#Data],2)=0,"-",VLOOKUP($B79,casostestes[#Data],2)), "-")</f>
        <v>-</v>
      </c>
      <c r="E79" s="35" t="str">
        <f>IFERROR(IF(VLOOKUP($B79,casostestes[#Data],3)=0,"-",VLOOKUP($B79,casostestes[#Data],3)), "-")</f>
        <v>-</v>
      </c>
      <c r="F79" s="35" t="str">
        <f>IFERROR(IF(VLOOKUP($B79,casostestes[#Data],4)=0,"-",VLOOKUP($B79,casostestes[#Data],4)),"-")</f>
        <v>-</v>
      </c>
      <c r="G79" s="35" t="str">
        <f>IFERROR(IF(VLOOKUP($B79,casostestes[#Data],5)=0,"-",VLOOKUP($B79,casostestes[#Data],5)),"-")</f>
        <v>-</v>
      </c>
      <c r="H79" s="35" t="str">
        <f>IFERROR(IF(VLOOKUP($B79,casostestes[#Data],6)=0,"-",VLOOKUP($B79,casostestes[#Data],6)),"-")</f>
        <v>-</v>
      </c>
      <c r="I79" s="35" t="str">
        <f>IFERROR(IF(VLOOKUP($B79,casostestes[#Data],8)=0,"-",VLOOKUP($B79,casostestes[#Data],8)),"-")</f>
        <v>-</v>
      </c>
      <c r="J79" s="35" t="str">
        <f>IFERROR(IF(VLOOKUP($B79,casostestes[#Data],9)=0,"-",VLOOKUP($B79,casostestes[#Data],9)),"-")</f>
        <v>-</v>
      </c>
      <c r="K79" s="36"/>
      <c r="L79" s="45"/>
      <c r="M79" s="37"/>
      <c r="N79" s="38"/>
      <c r="O79" s="38"/>
      <c r="P79" s="39"/>
    </row>
    <row r="80" spans="2:16">
      <c r="B80" s="40" t="str">
        <f>IF(ISERR(casostestes[[#This Row],[ID]]),"-",casostestes[[#This Row],[ID]])</f>
        <v>-</v>
      </c>
      <c r="C80" s="34" t="str">
        <f>IFERROR(IF(VLOOKUP($B80,casostestes[#Data],10)=0,"Não",VLOOKUP($B80,casostestes[#Data],10)), "-")</f>
        <v>-</v>
      </c>
      <c r="D80" s="35" t="str">
        <f>IFERROR(IF(VLOOKUP($B80,casostestes[#Data],2)=0,"-",VLOOKUP($B80,casostestes[#Data],2)), "-")</f>
        <v>-</v>
      </c>
      <c r="E80" s="35" t="str">
        <f>IFERROR(IF(VLOOKUP($B80,casostestes[#Data],3)=0,"-",VLOOKUP($B80,casostestes[#Data],3)), "-")</f>
        <v>-</v>
      </c>
      <c r="F80" s="35" t="str">
        <f>IFERROR(IF(VLOOKUP($B80,casostestes[#Data],4)=0,"-",VLOOKUP($B80,casostestes[#Data],4)),"-")</f>
        <v>-</v>
      </c>
      <c r="G80" s="35" t="str">
        <f>IFERROR(IF(VLOOKUP($B80,casostestes[#Data],5)=0,"-",VLOOKUP($B80,casostestes[#Data],5)),"-")</f>
        <v>-</v>
      </c>
      <c r="H80" s="35" t="str">
        <f>IFERROR(IF(VLOOKUP($B80,casostestes[#Data],6)=0,"-",VLOOKUP($B80,casostestes[#Data],6)),"-")</f>
        <v>-</v>
      </c>
      <c r="I80" s="35" t="str">
        <f>IFERROR(IF(VLOOKUP($B80,casostestes[#Data],8)=0,"-",VLOOKUP($B80,casostestes[#Data],8)),"-")</f>
        <v>-</v>
      </c>
      <c r="J80" s="35" t="str">
        <f>IFERROR(IF(VLOOKUP($B80,casostestes[#Data],9)=0,"-",VLOOKUP($B80,casostestes[#Data],9)),"-")</f>
        <v>-</v>
      </c>
      <c r="K80" s="36"/>
      <c r="L80" s="45"/>
      <c r="M80" s="37"/>
      <c r="N80" s="38"/>
      <c r="O80" s="38"/>
      <c r="P80" s="39"/>
    </row>
    <row r="81" spans="2:16">
      <c r="B81" s="40" t="str">
        <f>IF(ISERR(casostestes[[#This Row],[ID]]),"-",casostestes[[#This Row],[ID]])</f>
        <v>-</v>
      </c>
      <c r="C81" s="34" t="str">
        <f>IFERROR(IF(VLOOKUP($B81,casostestes[#Data],10)=0,"Não",VLOOKUP($B81,casostestes[#Data],10)), "-")</f>
        <v>-</v>
      </c>
      <c r="D81" s="35" t="str">
        <f>IFERROR(IF(VLOOKUP($B81,casostestes[#Data],2)=0,"-",VLOOKUP($B81,casostestes[#Data],2)), "-")</f>
        <v>-</v>
      </c>
      <c r="E81" s="35" t="str">
        <f>IFERROR(IF(VLOOKUP($B81,casostestes[#Data],3)=0,"-",VLOOKUP($B81,casostestes[#Data],3)), "-")</f>
        <v>-</v>
      </c>
      <c r="F81" s="35" t="str">
        <f>IFERROR(IF(VLOOKUP($B81,casostestes[#Data],4)=0,"-",VLOOKUP($B81,casostestes[#Data],4)),"-")</f>
        <v>-</v>
      </c>
      <c r="G81" s="35" t="str">
        <f>IFERROR(IF(VLOOKUP($B81,casostestes[#Data],5)=0,"-",VLOOKUP($B81,casostestes[#Data],5)),"-")</f>
        <v>-</v>
      </c>
      <c r="H81" s="35" t="str">
        <f>IFERROR(IF(VLOOKUP($B81,casostestes[#Data],6)=0,"-",VLOOKUP($B81,casostestes[#Data],6)),"-")</f>
        <v>-</v>
      </c>
      <c r="I81" s="35" t="str">
        <f>IFERROR(IF(VLOOKUP($B81,casostestes[#Data],8)=0,"-",VLOOKUP($B81,casostestes[#Data],8)),"-")</f>
        <v>-</v>
      </c>
      <c r="J81" s="35" t="str">
        <f>IFERROR(IF(VLOOKUP($B81,casostestes[#Data],9)=0,"-",VLOOKUP($B81,casostestes[#Data],9)),"-")</f>
        <v>-</v>
      </c>
      <c r="K81" s="36"/>
      <c r="L81" s="45"/>
      <c r="M81" s="37"/>
      <c r="N81" s="38"/>
      <c r="O81" s="38"/>
      <c r="P81" s="39"/>
    </row>
    <row r="82" spans="2:16">
      <c r="B82" s="40" t="str">
        <f>IF(ISERR(casostestes[[#This Row],[ID]]),"-",casostestes[[#This Row],[ID]])</f>
        <v>-</v>
      </c>
      <c r="C82" s="34" t="str">
        <f>IFERROR(IF(VLOOKUP($B82,casostestes[#Data],10)=0,"Não",VLOOKUP($B82,casostestes[#Data],10)), "-")</f>
        <v>-</v>
      </c>
      <c r="D82" s="35" t="str">
        <f>IFERROR(IF(VLOOKUP($B82,casostestes[#Data],2)=0,"-",VLOOKUP($B82,casostestes[#Data],2)), "-")</f>
        <v>-</v>
      </c>
      <c r="E82" s="35" t="str">
        <f>IFERROR(IF(VLOOKUP($B82,casostestes[#Data],3)=0,"-",VLOOKUP($B82,casostestes[#Data],3)), "-")</f>
        <v>-</v>
      </c>
      <c r="F82" s="35" t="str">
        <f>IFERROR(IF(VLOOKUP($B82,casostestes[#Data],4)=0,"-",VLOOKUP($B82,casostestes[#Data],4)),"-")</f>
        <v>-</v>
      </c>
      <c r="G82" s="35" t="str">
        <f>IFERROR(IF(VLOOKUP($B82,casostestes[#Data],5)=0,"-",VLOOKUP($B82,casostestes[#Data],5)),"-")</f>
        <v>-</v>
      </c>
      <c r="H82" s="35" t="str">
        <f>IFERROR(IF(VLOOKUP($B82,casostestes[#Data],6)=0,"-",VLOOKUP($B82,casostestes[#Data],6)),"-")</f>
        <v>-</v>
      </c>
      <c r="I82" s="35" t="str">
        <f>IFERROR(IF(VLOOKUP($B82,casostestes[#Data],8)=0,"-",VLOOKUP($B82,casostestes[#Data],8)),"-")</f>
        <v>-</v>
      </c>
      <c r="J82" s="35" t="str">
        <f>IFERROR(IF(VLOOKUP($B82,casostestes[#Data],9)=0,"-",VLOOKUP($B82,casostestes[#Data],9)),"-")</f>
        <v>-</v>
      </c>
      <c r="K82" s="36"/>
      <c r="L82" s="45"/>
      <c r="M82" s="37"/>
      <c r="N82" s="38"/>
      <c r="O82" s="38"/>
      <c r="P82" s="39"/>
    </row>
    <row r="83" spans="2:16">
      <c r="B83" s="40" t="str">
        <f>IF(ISERR(casostestes[[#This Row],[ID]]),"-",casostestes[[#This Row],[ID]])</f>
        <v>-</v>
      </c>
      <c r="C83" s="34" t="str">
        <f>IFERROR(IF(VLOOKUP($B83,casostestes[#Data],10)=0,"Não",VLOOKUP($B83,casostestes[#Data],10)), "-")</f>
        <v>-</v>
      </c>
      <c r="D83" s="35" t="str">
        <f>IFERROR(IF(VLOOKUP($B83,casostestes[#Data],2)=0,"-",VLOOKUP($B83,casostestes[#Data],2)), "-")</f>
        <v>-</v>
      </c>
      <c r="E83" s="35" t="str">
        <f>IFERROR(IF(VLOOKUP($B83,casostestes[#Data],3)=0,"-",VLOOKUP($B83,casostestes[#Data],3)), "-")</f>
        <v>-</v>
      </c>
      <c r="F83" s="35" t="str">
        <f>IFERROR(IF(VLOOKUP($B83,casostestes[#Data],4)=0,"-",VLOOKUP($B83,casostestes[#Data],4)),"-")</f>
        <v>-</v>
      </c>
      <c r="G83" s="35" t="str">
        <f>IFERROR(IF(VLOOKUP($B83,casostestes[#Data],5)=0,"-",VLOOKUP($B83,casostestes[#Data],5)),"-")</f>
        <v>-</v>
      </c>
      <c r="H83" s="35" t="str">
        <f>IFERROR(IF(VLOOKUP($B83,casostestes[#Data],6)=0,"-",VLOOKUP($B83,casostestes[#Data],6)),"-")</f>
        <v>-</v>
      </c>
      <c r="I83" s="35" t="str">
        <f>IFERROR(IF(VLOOKUP($B83,casostestes[#Data],8)=0,"-",VLOOKUP($B83,casostestes[#Data],8)),"-")</f>
        <v>-</v>
      </c>
      <c r="J83" s="35" t="str">
        <f>IFERROR(IF(VLOOKUP($B83,casostestes[#Data],9)=0,"-",VLOOKUP($B83,casostestes[#Data],9)),"-")</f>
        <v>-</v>
      </c>
      <c r="K83" s="36"/>
      <c r="L83" s="45"/>
      <c r="M83" s="37"/>
      <c r="N83" s="38"/>
      <c r="O83" s="38"/>
      <c r="P83" s="39"/>
    </row>
    <row r="84" spans="2:16">
      <c r="B84" s="40" t="str">
        <f>IF(ISERR(casostestes[[#This Row],[ID]]),"-",casostestes[[#This Row],[ID]])</f>
        <v>-</v>
      </c>
      <c r="C84" s="34" t="str">
        <f>IFERROR(IF(VLOOKUP($B84,casostestes[#Data],10)=0,"Não",VLOOKUP($B84,casostestes[#Data],10)), "-")</f>
        <v>-</v>
      </c>
      <c r="D84" s="35" t="str">
        <f>IFERROR(IF(VLOOKUP($B84,casostestes[#Data],2)=0,"-",VLOOKUP($B84,casostestes[#Data],2)), "-")</f>
        <v>-</v>
      </c>
      <c r="E84" s="35" t="str">
        <f>IFERROR(IF(VLOOKUP($B84,casostestes[#Data],3)=0,"-",VLOOKUP($B84,casostestes[#Data],3)), "-")</f>
        <v>-</v>
      </c>
      <c r="F84" s="35" t="str">
        <f>IFERROR(IF(VLOOKUP($B84,casostestes[#Data],4)=0,"-",VLOOKUP($B84,casostestes[#Data],4)),"-")</f>
        <v>-</v>
      </c>
      <c r="G84" s="35" t="str">
        <f>IFERROR(IF(VLOOKUP($B84,casostestes[#Data],5)=0,"-",VLOOKUP($B84,casostestes[#Data],5)),"-")</f>
        <v>-</v>
      </c>
      <c r="H84" s="35" t="str">
        <f>IFERROR(IF(VLOOKUP($B84,casostestes[#Data],6)=0,"-",VLOOKUP($B84,casostestes[#Data],6)),"-")</f>
        <v>-</v>
      </c>
      <c r="I84" s="35" t="str">
        <f>IFERROR(IF(VLOOKUP($B84,casostestes[#Data],8)=0,"-",VLOOKUP($B84,casostestes[#Data],8)),"-")</f>
        <v>-</v>
      </c>
      <c r="J84" s="35" t="str">
        <f>IFERROR(IF(VLOOKUP($B84,casostestes[#Data],9)=0,"-",VLOOKUP($B84,casostestes[#Data],9)),"-")</f>
        <v>-</v>
      </c>
      <c r="K84" s="36"/>
      <c r="L84" s="45"/>
      <c r="M84" s="37"/>
      <c r="N84" s="38"/>
      <c r="O84" s="38"/>
      <c r="P84" s="39"/>
    </row>
    <row r="85" spans="2:16">
      <c r="B85" s="40" t="str">
        <f>IF(ISERR(casostestes[[#This Row],[ID]]),"-",casostestes[[#This Row],[ID]])</f>
        <v>-</v>
      </c>
      <c r="C85" s="34" t="str">
        <f>IFERROR(IF(VLOOKUP($B85,casostestes[#Data],10)=0,"Não",VLOOKUP($B85,casostestes[#Data],10)), "-")</f>
        <v>-</v>
      </c>
      <c r="D85" s="35" t="str">
        <f>IFERROR(IF(VLOOKUP($B85,casostestes[#Data],2)=0,"-",VLOOKUP($B85,casostestes[#Data],2)), "-")</f>
        <v>-</v>
      </c>
      <c r="E85" s="35" t="str">
        <f>IFERROR(IF(VLOOKUP($B85,casostestes[#Data],3)=0,"-",VLOOKUP($B85,casostestes[#Data],3)), "-")</f>
        <v>-</v>
      </c>
      <c r="F85" s="35" t="str">
        <f>IFERROR(IF(VLOOKUP($B85,casostestes[#Data],4)=0,"-",VLOOKUP($B85,casostestes[#Data],4)),"-")</f>
        <v>-</v>
      </c>
      <c r="G85" s="35" t="str">
        <f>IFERROR(IF(VLOOKUP($B85,casostestes[#Data],5)=0,"-",VLOOKUP($B85,casostestes[#Data],5)),"-")</f>
        <v>-</v>
      </c>
      <c r="H85" s="35" t="str">
        <f>IFERROR(IF(VLOOKUP($B85,casostestes[#Data],6)=0,"-",VLOOKUP($B85,casostestes[#Data],6)),"-")</f>
        <v>-</v>
      </c>
      <c r="I85" s="35" t="str">
        <f>IFERROR(IF(VLOOKUP($B85,casostestes[#Data],8)=0,"-",VLOOKUP($B85,casostestes[#Data],8)),"-")</f>
        <v>-</v>
      </c>
      <c r="J85" s="35" t="str">
        <f>IFERROR(IF(VLOOKUP($B85,casostestes[#Data],9)=0,"-",VLOOKUP($B85,casostestes[#Data],9)),"-")</f>
        <v>-</v>
      </c>
      <c r="K85" s="36"/>
      <c r="L85" s="45"/>
      <c r="M85" s="37"/>
      <c r="N85" s="38"/>
      <c r="O85" s="38"/>
      <c r="P85" s="39"/>
    </row>
    <row r="86" spans="2:16">
      <c r="B86" s="40" t="str">
        <f>IF(ISERR(casostestes[[#This Row],[ID]]),"-",casostestes[[#This Row],[ID]])</f>
        <v>-</v>
      </c>
      <c r="C86" s="34" t="str">
        <f>IFERROR(IF(VLOOKUP($B86,casostestes[#Data],10)=0,"Não",VLOOKUP($B86,casostestes[#Data],10)), "-")</f>
        <v>-</v>
      </c>
      <c r="D86" s="35" t="str">
        <f>IFERROR(IF(VLOOKUP($B86,casostestes[#Data],2)=0,"-",VLOOKUP($B86,casostestes[#Data],2)), "-")</f>
        <v>-</v>
      </c>
      <c r="E86" s="35" t="str">
        <f>IFERROR(IF(VLOOKUP($B86,casostestes[#Data],3)=0,"-",VLOOKUP($B86,casostestes[#Data],3)), "-")</f>
        <v>-</v>
      </c>
      <c r="F86" s="35" t="str">
        <f>IFERROR(IF(VLOOKUP($B86,casostestes[#Data],4)=0,"-",VLOOKUP($B86,casostestes[#Data],4)),"-")</f>
        <v>-</v>
      </c>
      <c r="G86" s="35" t="str">
        <f>IFERROR(IF(VLOOKUP($B86,casostestes[#Data],5)=0,"-",VLOOKUP($B86,casostestes[#Data],5)),"-")</f>
        <v>-</v>
      </c>
      <c r="H86" s="35" t="str">
        <f>IFERROR(IF(VLOOKUP($B86,casostestes[#Data],6)=0,"-",VLOOKUP($B86,casostestes[#Data],6)),"-")</f>
        <v>-</v>
      </c>
      <c r="I86" s="35" t="str">
        <f>IFERROR(IF(VLOOKUP($B86,casostestes[#Data],8)=0,"-",VLOOKUP($B86,casostestes[#Data],8)),"-")</f>
        <v>-</v>
      </c>
      <c r="J86" s="35" t="str">
        <f>IFERROR(IF(VLOOKUP($B86,casostestes[#Data],9)=0,"-",VLOOKUP($B86,casostestes[#Data],9)),"-")</f>
        <v>-</v>
      </c>
      <c r="K86" s="36"/>
      <c r="L86" s="45"/>
      <c r="M86" s="37"/>
      <c r="N86" s="38"/>
      <c r="O86" s="38"/>
      <c r="P86" s="39"/>
    </row>
    <row r="87" spans="2:16">
      <c r="B87" s="40" t="str">
        <f>IF(ISERR(casostestes[[#This Row],[ID]]),"-",casostestes[[#This Row],[ID]])</f>
        <v>-</v>
      </c>
      <c r="C87" s="34" t="str">
        <f>IFERROR(IF(VLOOKUP($B87,casostestes[#Data],10)=0,"Não",VLOOKUP($B87,casostestes[#Data],10)), "-")</f>
        <v>-</v>
      </c>
      <c r="D87" s="35" t="str">
        <f>IFERROR(IF(VLOOKUP($B87,casostestes[#Data],2)=0,"-",VLOOKUP($B87,casostestes[#Data],2)), "-")</f>
        <v>-</v>
      </c>
      <c r="E87" s="35" t="str">
        <f>IFERROR(IF(VLOOKUP($B87,casostestes[#Data],3)=0,"-",VLOOKUP($B87,casostestes[#Data],3)), "-")</f>
        <v>-</v>
      </c>
      <c r="F87" s="35" t="str">
        <f>IFERROR(IF(VLOOKUP($B87,casostestes[#Data],4)=0,"-",VLOOKUP($B87,casostestes[#Data],4)),"-")</f>
        <v>-</v>
      </c>
      <c r="G87" s="35" t="str">
        <f>IFERROR(IF(VLOOKUP($B87,casostestes[#Data],5)=0,"-",VLOOKUP($B87,casostestes[#Data],5)),"-")</f>
        <v>-</v>
      </c>
      <c r="H87" s="35" t="str">
        <f>IFERROR(IF(VLOOKUP($B87,casostestes[#Data],6)=0,"-",VLOOKUP($B87,casostestes[#Data],6)),"-")</f>
        <v>-</v>
      </c>
      <c r="I87" s="35" t="str">
        <f>IFERROR(IF(VLOOKUP($B87,casostestes[#Data],8)=0,"-",VLOOKUP($B87,casostestes[#Data],8)),"-")</f>
        <v>-</v>
      </c>
      <c r="J87" s="35" t="str">
        <f>IFERROR(IF(VLOOKUP($B87,casostestes[#Data],9)=0,"-",VLOOKUP($B87,casostestes[#Data],9)),"-")</f>
        <v>-</v>
      </c>
      <c r="K87" s="36"/>
      <c r="L87" s="45"/>
      <c r="M87" s="37"/>
      <c r="N87" s="38"/>
      <c r="O87" s="38"/>
      <c r="P87" s="39"/>
    </row>
    <row r="88" spans="2:16">
      <c r="B88" s="40" t="str">
        <f>IF(ISERR(casostestes[[#This Row],[ID]]),"-",casostestes[[#This Row],[ID]])</f>
        <v>-</v>
      </c>
      <c r="C88" s="34" t="str">
        <f>IFERROR(IF(VLOOKUP($B88,casostestes[#Data],10)=0,"Não",VLOOKUP($B88,casostestes[#Data],10)), "-")</f>
        <v>-</v>
      </c>
      <c r="D88" s="35" t="str">
        <f>IFERROR(IF(VLOOKUP($B88,casostestes[#Data],2)=0,"-",VLOOKUP($B88,casostestes[#Data],2)), "-")</f>
        <v>-</v>
      </c>
      <c r="E88" s="35" t="str">
        <f>IFERROR(IF(VLOOKUP($B88,casostestes[#Data],3)=0,"-",VLOOKUP($B88,casostestes[#Data],3)), "-")</f>
        <v>-</v>
      </c>
      <c r="F88" s="35" t="str">
        <f>IFERROR(IF(VLOOKUP($B88,casostestes[#Data],4)=0,"-",VLOOKUP($B88,casostestes[#Data],4)),"-")</f>
        <v>-</v>
      </c>
      <c r="G88" s="35" t="str">
        <f>IFERROR(IF(VLOOKUP($B88,casostestes[#Data],5)=0,"-",VLOOKUP($B88,casostestes[#Data],5)),"-")</f>
        <v>-</v>
      </c>
      <c r="H88" s="35" t="str">
        <f>IFERROR(IF(VLOOKUP($B88,casostestes[#Data],6)=0,"-",VLOOKUP($B88,casostestes[#Data],6)),"-")</f>
        <v>-</v>
      </c>
      <c r="I88" s="35" t="str">
        <f>IFERROR(IF(VLOOKUP($B88,casostestes[#Data],8)=0,"-",VLOOKUP($B88,casostestes[#Data],8)),"-")</f>
        <v>-</v>
      </c>
      <c r="J88" s="35" t="str">
        <f>IFERROR(IF(VLOOKUP($B88,casostestes[#Data],9)=0,"-",VLOOKUP($B88,casostestes[#Data],9)),"-")</f>
        <v>-</v>
      </c>
      <c r="K88" s="36"/>
      <c r="L88" s="45"/>
      <c r="M88" s="37"/>
      <c r="N88" s="38"/>
      <c r="O88" s="38"/>
      <c r="P88" s="39"/>
    </row>
    <row r="89" spans="2:16">
      <c r="B89" s="40" t="str">
        <f>IF(ISERR(casostestes[[#This Row],[ID]]),"-",casostestes[[#This Row],[ID]])</f>
        <v>-</v>
      </c>
      <c r="C89" s="34" t="str">
        <f>IFERROR(IF(VLOOKUP($B89,casostestes[#Data],10)=0,"Não",VLOOKUP($B89,casostestes[#Data],10)), "-")</f>
        <v>-</v>
      </c>
      <c r="D89" s="35" t="str">
        <f>IFERROR(IF(VLOOKUP($B89,casostestes[#Data],2)=0,"-",VLOOKUP($B89,casostestes[#Data],2)), "-")</f>
        <v>-</v>
      </c>
      <c r="E89" s="35" t="str">
        <f>IFERROR(IF(VLOOKUP($B89,casostestes[#Data],3)=0,"-",VLOOKUP($B89,casostestes[#Data],3)), "-")</f>
        <v>-</v>
      </c>
      <c r="F89" s="35" t="str">
        <f>IFERROR(IF(VLOOKUP($B89,casostestes[#Data],4)=0,"-",VLOOKUP($B89,casostestes[#Data],4)),"-")</f>
        <v>-</v>
      </c>
      <c r="G89" s="35" t="str">
        <f>IFERROR(IF(VLOOKUP($B89,casostestes[#Data],5)=0,"-",VLOOKUP($B89,casostestes[#Data],5)),"-")</f>
        <v>-</v>
      </c>
      <c r="H89" s="35" t="str">
        <f>IFERROR(IF(VLOOKUP($B89,casostestes[#Data],6)=0,"-",VLOOKUP($B89,casostestes[#Data],6)),"-")</f>
        <v>-</v>
      </c>
      <c r="I89" s="35" t="str">
        <f>IFERROR(IF(VLOOKUP($B89,casostestes[#Data],8)=0,"-",VLOOKUP($B89,casostestes[#Data],8)),"-")</f>
        <v>-</v>
      </c>
      <c r="J89" s="35" t="str">
        <f>IFERROR(IF(VLOOKUP($B89,casostestes[#Data],9)=0,"-",VLOOKUP($B89,casostestes[#Data],9)),"-")</f>
        <v>-</v>
      </c>
      <c r="K89" s="36"/>
      <c r="L89" s="45"/>
      <c r="M89" s="37"/>
      <c r="N89" s="38"/>
      <c r="O89" s="38"/>
      <c r="P89" s="39"/>
    </row>
    <row r="90" spans="2:16">
      <c r="B90" s="40" t="str">
        <f>IF(ISERR(casostestes[[#This Row],[ID]]),"-",casostestes[[#This Row],[ID]])</f>
        <v>-</v>
      </c>
      <c r="C90" s="34" t="str">
        <f>IFERROR(IF(VLOOKUP($B90,casostestes[#Data],10)=0,"Não",VLOOKUP($B90,casostestes[#Data],10)), "-")</f>
        <v>-</v>
      </c>
      <c r="D90" s="35" t="str">
        <f>IFERROR(IF(VLOOKUP($B90,casostestes[#Data],2)=0,"-",VLOOKUP($B90,casostestes[#Data],2)), "-")</f>
        <v>-</v>
      </c>
      <c r="E90" s="35" t="str">
        <f>IFERROR(IF(VLOOKUP($B90,casostestes[#Data],3)=0,"-",VLOOKUP($B90,casostestes[#Data],3)), "-")</f>
        <v>-</v>
      </c>
      <c r="F90" s="35" t="str">
        <f>IFERROR(IF(VLOOKUP($B90,casostestes[#Data],4)=0,"-",VLOOKUP($B90,casostestes[#Data],4)),"-")</f>
        <v>-</v>
      </c>
      <c r="G90" s="35" t="str">
        <f>IFERROR(IF(VLOOKUP($B90,casostestes[#Data],5)=0,"-",VLOOKUP($B90,casostestes[#Data],5)),"-")</f>
        <v>-</v>
      </c>
      <c r="H90" s="35" t="str">
        <f>IFERROR(IF(VLOOKUP($B90,casostestes[#Data],6)=0,"-",VLOOKUP($B90,casostestes[#Data],6)),"-")</f>
        <v>-</v>
      </c>
      <c r="I90" s="35" t="str">
        <f>IFERROR(IF(VLOOKUP($B90,casostestes[#Data],8)=0,"-",VLOOKUP($B90,casostestes[#Data],8)),"-")</f>
        <v>-</v>
      </c>
      <c r="J90" s="35" t="str">
        <f>IFERROR(IF(VLOOKUP($B90,casostestes[#Data],9)=0,"-",VLOOKUP($B90,casostestes[#Data],9)),"-")</f>
        <v>-</v>
      </c>
      <c r="K90" s="36"/>
      <c r="L90" s="45"/>
      <c r="M90" s="37"/>
      <c r="N90" s="38"/>
      <c r="O90" s="38"/>
      <c r="P90" s="39"/>
    </row>
    <row r="91" spans="2:16">
      <c r="B91" s="40" t="str">
        <f>IF(ISERR(casostestes[[#This Row],[ID]]),"-",casostestes[[#This Row],[ID]])</f>
        <v>-</v>
      </c>
      <c r="C91" s="34" t="str">
        <f>IFERROR(IF(VLOOKUP($B91,casostestes[#Data],10)=0,"Não",VLOOKUP($B91,casostestes[#Data],10)), "-")</f>
        <v>-</v>
      </c>
      <c r="D91" s="35" t="str">
        <f>IFERROR(IF(VLOOKUP($B91,casostestes[#Data],2)=0,"-",VLOOKUP($B91,casostestes[#Data],2)), "-")</f>
        <v>-</v>
      </c>
      <c r="E91" s="35" t="str">
        <f>IFERROR(IF(VLOOKUP($B91,casostestes[#Data],3)=0,"-",VLOOKUP($B91,casostestes[#Data],3)), "-")</f>
        <v>-</v>
      </c>
      <c r="F91" s="35" t="str">
        <f>IFERROR(IF(VLOOKUP($B91,casostestes[#Data],4)=0,"-",VLOOKUP($B91,casostestes[#Data],4)),"-")</f>
        <v>-</v>
      </c>
      <c r="G91" s="35" t="str">
        <f>IFERROR(IF(VLOOKUP($B91,casostestes[#Data],5)=0,"-",VLOOKUP($B91,casostestes[#Data],5)),"-")</f>
        <v>-</v>
      </c>
      <c r="H91" s="35" t="str">
        <f>IFERROR(IF(VLOOKUP($B91,casostestes[#Data],6)=0,"-",VLOOKUP($B91,casostestes[#Data],6)),"-")</f>
        <v>-</v>
      </c>
      <c r="I91" s="35" t="str">
        <f>IFERROR(IF(VLOOKUP($B91,casostestes[#Data],8)=0,"-",VLOOKUP($B91,casostestes[#Data],8)),"-")</f>
        <v>-</v>
      </c>
      <c r="J91" s="35" t="str">
        <f>IFERROR(IF(VLOOKUP($B91,casostestes[#Data],9)=0,"-",VLOOKUP($B91,casostestes[#Data],9)),"-")</f>
        <v>-</v>
      </c>
      <c r="K91" s="36"/>
      <c r="L91" s="45"/>
      <c r="M91" s="37"/>
      <c r="N91" s="38"/>
      <c r="O91" s="38"/>
      <c r="P91" s="39"/>
    </row>
    <row r="92" spans="2:16">
      <c r="B92" s="40" t="str">
        <f>IF(ISERR(casostestes[[#This Row],[ID]]),"-",casostestes[[#This Row],[ID]])</f>
        <v>-</v>
      </c>
      <c r="C92" s="34" t="str">
        <f>IFERROR(IF(VLOOKUP($B92,casostestes[#Data],10)=0,"Não",VLOOKUP($B92,casostestes[#Data],10)), "-")</f>
        <v>-</v>
      </c>
      <c r="D92" s="35" t="str">
        <f>IFERROR(IF(VLOOKUP($B92,casostestes[#Data],2)=0,"-",VLOOKUP($B92,casostestes[#Data],2)), "-")</f>
        <v>-</v>
      </c>
      <c r="E92" s="35" t="str">
        <f>IFERROR(IF(VLOOKUP($B92,casostestes[#Data],3)=0,"-",VLOOKUP($B92,casostestes[#Data],3)), "-")</f>
        <v>-</v>
      </c>
      <c r="F92" s="35" t="str">
        <f>IFERROR(IF(VLOOKUP($B92,casostestes[#Data],4)=0,"-",VLOOKUP($B92,casostestes[#Data],4)),"-")</f>
        <v>-</v>
      </c>
      <c r="G92" s="35" t="str">
        <f>IFERROR(IF(VLOOKUP($B92,casostestes[#Data],5)=0,"-",VLOOKUP($B92,casostestes[#Data],5)),"-")</f>
        <v>-</v>
      </c>
      <c r="H92" s="35" t="str">
        <f>IFERROR(IF(VLOOKUP($B92,casostestes[#Data],6)=0,"-",VLOOKUP($B92,casostestes[#Data],6)),"-")</f>
        <v>-</v>
      </c>
      <c r="I92" s="35" t="str">
        <f>IFERROR(IF(VLOOKUP($B92,casostestes[#Data],8)=0,"-",VLOOKUP($B92,casostestes[#Data],8)),"-")</f>
        <v>-</v>
      </c>
      <c r="J92" s="35" t="str">
        <f>IFERROR(IF(VLOOKUP($B92,casostestes[#Data],9)=0,"-",VLOOKUP($B92,casostestes[#Data],9)),"-")</f>
        <v>-</v>
      </c>
      <c r="K92" s="36"/>
      <c r="L92" s="45"/>
      <c r="M92" s="37"/>
      <c r="N92" s="38"/>
      <c r="O92" s="38"/>
      <c r="P92" s="39"/>
    </row>
    <row r="93" spans="2:16">
      <c r="B93" s="40" t="str">
        <f>IF(ISERR(casostestes[[#This Row],[ID]]),"-",casostestes[[#This Row],[ID]])</f>
        <v>-</v>
      </c>
      <c r="C93" s="34" t="str">
        <f>IFERROR(IF(VLOOKUP($B93,casostestes[#Data],10)=0,"Não",VLOOKUP($B93,casostestes[#Data],10)), "-")</f>
        <v>-</v>
      </c>
      <c r="D93" s="35" t="str">
        <f>IFERROR(IF(VLOOKUP($B93,casostestes[#Data],2)=0,"-",VLOOKUP($B93,casostestes[#Data],2)), "-")</f>
        <v>-</v>
      </c>
      <c r="E93" s="35" t="str">
        <f>IFERROR(IF(VLOOKUP($B93,casostestes[#Data],3)=0,"-",VLOOKUP($B93,casostestes[#Data],3)), "-")</f>
        <v>-</v>
      </c>
      <c r="F93" s="35" t="str">
        <f>IFERROR(IF(VLOOKUP($B93,casostestes[#Data],4)=0,"-",VLOOKUP($B93,casostestes[#Data],4)),"-")</f>
        <v>-</v>
      </c>
      <c r="G93" s="35" t="str">
        <f>IFERROR(IF(VLOOKUP($B93,casostestes[#Data],5)=0,"-",VLOOKUP($B93,casostestes[#Data],5)),"-")</f>
        <v>-</v>
      </c>
      <c r="H93" s="35" t="str">
        <f>IFERROR(IF(VLOOKUP($B93,casostestes[#Data],6)=0,"-",VLOOKUP($B93,casostestes[#Data],6)),"-")</f>
        <v>-</v>
      </c>
      <c r="I93" s="35" t="str">
        <f>IFERROR(IF(VLOOKUP($B93,casostestes[#Data],8)=0,"-",VLOOKUP($B93,casostestes[#Data],8)),"-")</f>
        <v>-</v>
      </c>
      <c r="J93" s="35" t="str">
        <f>IFERROR(IF(VLOOKUP($B93,casostestes[#Data],9)=0,"-",VLOOKUP($B93,casostestes[#Data],9)),"-")</f>
        <v>-</v>
      </c>
      <c r="K93" s="36"/>
      <c r="L93" s="45"/>
      <c r="M93" s="37"/>
      <c r="N93" s="38"/>
      <c r="O93" s="38"/>
      <c r="P93" s="39"/>
    </row>
    <row r="94" spans="2:16">
      <c r="B94" s="40" t="str">
        <f>IF(ISERR(casostestes[[#This Row],[ID]]),"-",casostestes[[#This Row],[ID]])</f>
        <v>-</v>
      </c>
      <c r="C94" s="34" t="str">
        <f>IFERROR(IF(VLOOKUP($B94,casostestes[#Data],10)=0,"Não",VLOOKUP($B94,casostestes[#Data],10)), "-")</f>
        <v>-</v>
      </c>
      <c r="D94" s="35" t="str">
        <f>IFERROR(IF(VLOOKUP($B94,casostestes[#Data],2)=0,"-",VLOOKUP($B94,casostestes[#Data],2)), "-")</f>
        <v>-</v>
      </c>
      <c r="E94" s="35" t="str">
        <f>IFERROR(IF(VLOOKUP($B94,casostestes[#Data],3)=0,"-",VLOOKUP($B94,casostestes[#Data],3)), "-")</f>
        <v>-</v>
      </c>
      <c r="F94" s="35" t="str">
        <f>IFERROR(IF(VLOOKUP($B94,casostestes[#Data],4)=0,"-",VLOOKUP($B94,casostestes[#Data],4)),"-")</f>
        <v>-</v>
      </c>
      <c r="G94" s="35" t="str">
        <f>IFERROR(IF(VLOOKUP($B94,casostestes[#Data],5)=0,"-",VLOOKUP($B94,casostestes[#Data],5)),"-")</f>
        <v>-</v>
      </c>
      <c r="H94" s="35" t="str">
        <f>IFERROR(IF(VLOOKUP($B94,casostestes[#Data],6)=0,"-",VLOOKUP($B94,casostestes[#Data],6)),"-")</f>
        <v>-</v>
      </c>
      <c r="I94" s="35" t="str">
        <f>IFERROR(IF(VLOOKUP($B94,casostestes[#Data],8)=0,"-",VLOOKUP($B94,casostestes[#Data],8)),"-")</f>
        <v>-</v>
      </c>
      <c r="J94" s="35" t="str">
        <f>IFERROR(IF(VLOOKUP($B94,casostestes[#Data],9)=0,"-",VLOOKUP($B94,casostestes[#Data],9)),"-")</f>
        <v>-</v>
      </c>
      <c r="K94" s="36"/>
      <c r="L94" s="45"/>
      <c r="M94" s="37"/>
      <c r="N94" s="38"/>
      <c r="O94" s="38"/>
      <c r="P94" s="39"/>
    </row>
    <row r="95" spans="2:16">
      <c r="B95" s="40" t="str">
        <f>IF(ISERR(casostestes[[#This Row],[ID]]),"-",casostestes[[#This Row],[ID]])</f>
        <v>-</v>
      </c>
      <c r="C95" s="34" t="str">
        <f>IFERROR(IF(VLOOKUP($B95,casostestes[#Data],10)=0,"Não",VLOOKUP($B95,casostestes[#Data],10)), "-")</f>
        <v>-</v>
      </c>
      <c r="D95" s="35" t="str">
        <f>IFERROR(IF(VLOOKUP($B95,casostestes[#Data],2)=0,"-",VLOOKUP($B95,casostestes[#Data],2)), "-")</f>
        <v>-</v>
      </c>
      <c r="E95" s="35" t="str">
        <f>IFERROR(IF(VLOOKUP($B95,casostestes[#Data],3)=0,"-",VLOOKUP($B95,casostestes[#Data],3)), "-")</f>
        <v>-</v>
      </c>
      <c r="F95" s="35" t="str">
        <f>IFERROR(IF(VLOOKUP($B95,casostestes[#Data],4)=0,"-",VLOOKUP($B95,casostestes[#Data],4)),"-")</f>
        <v>-</v>
      </c>
      <c r="G95" s="35" t="str">
        <f>IFERROR(IF(VLOOKUP($B95,casostestes[#Data],5)=0,"-",VLOOKUP($B95,casostestes[#Data],5)),"-")</f>
        <v>-</v>
      </c>
      <c r="H95" s="35" t="str">
        <f>IFERROR(IF(VLOOKUP($B95,casostestes[#Data],6)=0,"-",VLOOKUP($B95,casostestes[#Data],6)),"-")</f>
        <v>-</v>
      </c>
      <c r="I95" s="35" t="str">
        <f>IFERROR(IF(VLOOKUP($B95,casostestes[#Data],8)=0,"-",VLOOKUP($B95,casostestes[#Data],8)),"-")</f>
        <v>-</v>
      </c>
      <c r="J95" s="35" t="str">
        <f>IFERROR(IF(VLOOKUP($B95,casostestes[#Data],9)=0,"-",VLOOKUP($B95,casostestes[#Data],9)),"-")</f>
        <v>-</v>
      </c>
      <c r="K95" s="36"/>
      <c r="L95" s="45"/>
      <c r="M95" s="37"/>
      <c r="N95" s="38"/>
      <c r="O95" s="38"/>
      <c r="P95" s="39"/>
    </row>
    <row r="96" spans="2:16">
      <c r="B96" s="40" t="str">
        <f>IF(ISERR(casostestes[[#This Row],[ID]]),"-",casostestes[[#This Row],[ID]])</f>
        <v>-</v>
      </c>
      <c r="C96" s="34" t="str">
        <f>IFERROR(IF(VLOOKUP($B96,casostestes[#Data],10)=0,"Não",VLOOKUP($B96,casostestes[#Data],10)), "-")</f>
        <v>-</v>
      </c>
      <c r="D96" s="35" t="str">
        <f>IFERROR(IF(VLOOKUP($B96,casostestes[#Data],2)=0,"-",VLOOKUP($B96,casostestes[#Data],2)), "-")</f>
        <v>-</v>
      </c>
      <c r="E96" s="35" t="str">
        <f>IFERROR(IF(VLOOKUP($B96,casostestes[#Data],3)=0,"-",VLOOKUP($B96,casostestes[#Data],3)), "-")</f>
        <v>-</v>
      </c>
      <c r="F96" s="35" t="str">
        <f>IFERROR(IF(VLOOKUP($B96,casostestes[#Data],4)=0,"-",VLOOKUP($B96,casostestes[#Data],4)),"-")</f>
        <v>-</v>
      </c>
      <c r="G96" s="35" t="str">
        <f>IFERROR(IF(VLOOKUP($B96,casostestes[#Data],5)=0,"-",VLOOKUP($B96,casostestes[#Data],5)),"-")</f>
        <v>-</v>
      </c>
      <c r="H96" s="35" t="str">
        <f>IFERROR(IF(VLOOKUP($B96,casostestes[#Data],6)=0,"-",VLOOKUP($B96,casostestes[#Data],6)),"-")</f>
        <v>-</v>
      </c>
      <c r="I96" s="35" t="str">
        <f>IFERROR(IF(VLOOKUP($B96,casostestes[#Data],8)=0,"-",VLOOKUP($B96,casostestes[#Data],8)),"-")</f>
        <v>-</v>
      </c>
      <c r="J96" s="35" t="str">
        <f>IFERROR(IF(VLOOKUP($B96,casostestes[#Data],9)=0,"-",VLOOKUP($B96,casostestes[#Data],9)),"-")</f>
        <v>-</v>
      </c>
      <c r="K96" s="36"/>
      <c r="L96" s="45"/>
      <c r="M96" s="37"/>
      <c r="N96" s="38"/>
      <c r="O96" s="38"/>
      <c r="P96" s="39"/>
    </row>
    <row r="97" spans="2:16">
      <c r="B97" s="40" t="str">
        <f>IF(ISERR(casostestes[[#This Row],[ID]]),"-",casostestes[[#This Row],[ID]])</f>
        <v>-</v>
      </c>
      <c r="C97" s="34" t="str">
        <f>IFERROR(IF(VLOOKUP($B97,casostestes[#Data],10)=0,"Não",VLOOKUP($B97,casostestes[#Data],10)), "-")</f>
        <v>-</v>
      </c>
      <c r="D97" s="35" t="str">
        <f>IFERROR(IF(VLOOKUP($B97,casostestes[#Data],2)=0,"-",VLOOKUP($B97,casostestes[#Data],2)), "-")</f>
        <v>-</v>
      </c>
      <c r="E97" s="35" t="str">
        <f>IFERROR(IF(VLOOKUP($B97,casostestes[#Data],3)=0,"-",VLOOKUP($B97,casostestes[#Data],3)), "-")</f>
        <v>-</v>
      </c>
      <c r="F97" s="35" t="str">
        <f>IFERROR(IF(VLOOKUP($B97,casostestes[#Data],4)=0,"-",VLOOKUP($B97,casostestes[#Data],4)),"-")</f>
        <v>-</v>
      </c>
      <c r="G97" s="35" t="str">
        <f>IFERROR(IF(VLOOKUP($B97,casostestes[#Data],5)=0,"-",VLOOKUP($B97,casostestes[#Data],5)),"-")</f>
        <v>-</v>
      </c>
      <c r="H97" s="35" t="str">
        <f>IFERROR(IF(VLOOKUP($B97,casostestes[#Data],6)=0,"-",VLOOKUP($B97,casostestes[#Data],6)),"-")</f>
        <v>-</v>
      </c>
      <c r="I97" s="35" t="str">
        <f>IFERROR(IF(VLOOKUP($B97,casostestes[#Data],8)=0,"-",VLOOKUP($B97,casostestes[#Data],8)),"-")</f>
        <v>-</v>
      </c>
      <c r="J97" s="35" t="str">
        <f>IFERROR(IF(VLOOKUP($B97,casostestes[#Data],9)=0,"-",VLOOKUP($B97,casostestes[#Data],9)),"-")</f>
        <v>-</v>
      </c>
      <c r="K97" s="36"/>
      <c r="L97" s="45"/>
      <c r="M97" s="37"/>
      <c r="N97" s="38"/>
      <c r="O97" s="38"/>
      <c r="P97" s="39"/>
    </row>
    <row r="98" spans="2:16">
      <c r="B98" s="40" t="str">
        <f>IF(ISERR(casostestes[[#This Row],[ID]]),"-",casostestes[[#This Row],[ID]])</f>
        <v>-</v>
      </c>
      <c r="C98" s="34" t="str">
        <f>IFERROR(IF(VLOOKUP($B98,casostestes[#Data],10)=0,"Não",VLOOKUP($B98,casostestes[#Data],10)), "-")</f>
        <v>-</v>
      </c>
      <c r="D98" s="35" t="str">
        <f>IFERROR(IF(VLOOKUP($B98,casostestes[#Data],2)=0,"-",VLOOKUP($B98,casostestes[#Data],2)), "-")</f>
        <v>-</v>
      </c>
      <c r="E98" s="35" t="str">
        <f>IFERROR(IF(VLOOKUP($B98,casostestes[#Data],3)=0,"-",VLOOKUP($B98,casostestes[#Data],3)), "-")</f>
        <v>-</v>
      </c>
      <c r="F98" s="35" t="str">
        <f>IFERROR(IF(VLOOKUP($B98,casostestes[#Data],4)=0,"-",VLOOKUP($B98,casostestes[#Data],4)),"-")</f>
        <v>-</v>
      </c>
      <c r="G98" s="35" t="str">
        <f>IFERROR(IF(VLOOKUP($B98,casostestes[#Data],5)=0,"-",VLOOKUP($B98,casostestes[#Data],5)),"-")</f>
        <v>-</v>
      </c>
      <c r="H98" s="35" t="str">
        <f>IFERROR(IF(VLOOKUP($B98,casostestes[#Data],6)=0,"-",VLOOKUP($B98,casostestes[#Data],6)),"-")</f>
        <v>-</v>
      </c>
      <c r="I98" s="35" t="str">
        <f>IFERROR(IF(VLOOKUP($B98,casostestes[#Data],8)=0,"-",VLOOKUP($B98,casostestes[#Data],8)),"-")</f>
        <v>-</v>
      </c>
      <c r="J98" s="35" t="str">
        <f>IFERROR(IF(VLOOKUP($B98,casostestes[#Data],9)=0,"-",VLOOKUP($B98,casostestes[#Data],9)),"-")</f>
        <v>-</v>
      </c>
      <c r="K98" s="36"/>
      <c r="L98" s="45"/>
      <c r="M98" s="37"/>
      <c r="N98" s="38"/>
      <c r="O98" s="38"/>
      <c r="P98" s="39"/>
    </row>
    <row r="99" spans="2:16">
      <c r="B99" s="40" t="str">
        <f>IF(ISERR(casostestes[[#This Row],[ID]]),"-",casostestes[[#This Row],[ID]])</f>
        <v>-</v>
      </c>
      <c r="C99" s="34" t="str">
        <f>IFERROR(IF(VLOOKUP($B99,casostestes[#Data],10)=0,"Não",VLOOKUP($B99,casostestes[#Data],10)), "-")</f>
        <v>-</v>
      </c>
      <c r="D99" s="35" t="str">
        <f>IFERROR(IF(VLOOKUP($B99,casostestes[#Data],2)=0,"-",VLOOKUP($B99,casostestes[#Data],2)), "-")</f>
        <v>-</v>
      </c>
      <c r="E99" s="35" t="str">
        <f>IFERROR(IF(VLOOKUP($B99,casostestes[#Data],3)=0,"-",VLOOKUP($B99,casostestes[#Data],3)), "-")</f>
        <v>-</v>
      </c>
      <c r="F99" s="35" t="str">
        <f>IFERROR(IF(VLOOKUP($B99,casostestes[#Data],4)=0,"-",VLOOKUP($B99,casostestes[#Data],4)),"-")</f>
        <v>-</v>
      </c>
      <c r="G99" s="35" t="str">
        <f>IFERROR(IF(VLOOKUP($B99,casostestes[#Data],5)=0,"-",VLOOKUP($B99,casostestes[#Data],5)),"-")</f>
        <v>-</v>
      </c>
      <c r="H99" s="35" t="str">
        <f>IFERROR(IF(VLOOKUP($B99,casostestes[#Data],6)=0,"-",VLOOKUP($B99,casostestes[#Data],6)),"-")</f>
        <v>-</v>
      </c>
      <c r="I99" s="35" t="str">
        <f>IFERROR(IF(VLOOKUP($B99,casostestes[#Data],8)=0,"-",VLOOKUP($B99,casostestes[#Data],8)),"-")</f>
        <v>-</v>
      </c>
      <c r="J99" s="35" t="str">
        <f>IFERROR(IF(VLOOKUP($B99,casostestes[#Data],9)=0,"-",VLOOKUP($B99,casostestes[#Data],9)),"-")</f>
        <v>-</v>
      </c>
      <c r="K99" s="36"/>
      <c r="L99" s="45"/>
      <c r="M99" s="37"/>
      <c r="N99" s="38"/>
      <c r="O99" s="38"/>
      <c r="P99" s="39"/>
    </row>
    <row r="100" spans="2:16">
      <c r="B100" s="40" t="str">
        <f>IF(ISERR(casostestes[[#This Row],[ID]]),"-",casostestes[[#This Row],[ID]])</f>
        <v>-</v>
      </c>
      <c r="C100" s="41" t="str">
        <f>IFERROR(IF(VLOOKUP($B100,casostestes[#Data],10)=0,"Não",VLOOKUP($B100,casostestes[#Data],10)), "-")</f>
        <v>-</v>
      </c>
      <c r="D100" s="42" t="str">
        <f>IFERROR(IF(VLOOKUP($B100,casostestes[#Data],2)=0,"-",VLOOKUP($B100,casostestes[#Data],2)), "-")</f>
        <v>-</v>
      </c>
      <c r="E100" s="42" t="str">
        <f>IFERROR(IF(VLOOKUP($B100,casostestes[#Data],3)=0,"-",VLOOKUP($B100,casostestes[#Data],3)), "-")</f>
        <v>-</v>
      </c>
      <c r="F100" s="42" t="str">
        <f>IFERROR(IF(VLOOKUP($B100,casostestes[#Data],4)=0,"-",VLOOKUP($B100,casostestes[#Data],4)),"-")</f>
        <v>-</v>
      </c>
      <c r="G100" s="42" t="str">
        <f>IFERROR(IF(VLOOKUP($B100,casostestes[#Data],5)=0,"-",VLOOKUP($B100,casostestes[#Data],5)),"-")</f>
        <v>-</v>
      </c>
      <c r="H100" s="42" t="str">
        <f>IFERROR(IF(VLOOKUP($B100,casostestes[#Data],6)=0,"-",VLOOKUP($B100,casostestes[#Data],6)),"-")</f>
        <v>-</v>
      </c>
      <c r="I100" s="42" t="str">
        <f>IFERROR(IF(VLOOKUP($B100,casostestes[#Data],8)=0,"-",VLOOKUP($B100,casostestes[#Data],8)),"-")</f>
        <v>-</v>
      </c>
      <c r="J100" s="42" t="str">
        <f>IFERROR(IF(VLOOKUP($B100,casostestes[#Data],9)=0,"-",VLOOKUP($B100,casostestes[#Data],9)),"-")</f>
        <v>-</v>
      </c>
      <c r="K100" s="43"/>
      <c r="L100" s="45"/>
      <c r="M100" s="44"/>
      <c r="N100" s="45"/>
      <c r="O100" s="45"/>
      <c r="P100" s="46"/>
    </row>
    <row r="101" spans="2:16">
      <c r="B101" s="40" t="str">
        <f>IF(ISERR(casostestes[[#This Row],[ID]]),"-",casostestes[[#This Row],[ID]])</f>
        <v>-</v>
      </c>
      <c r="C101" s="34" t="str">
        <f>IFERROR(IF(VLOOKUP($B101,casostestes[#Data],10)=0,"Não",VLOOKUP($B101,casostestes[#Data],10)), "-")</f>
        <v>-</v>
      </c>
      <c r="D101" s="35" t="str">
        <f>IFERROR(IF(VLOOKUP($B101,casostestes[#Data],2)=0,"-",VLOOKUP($B101,casostestes[#Data],2)), "-")</f>
        <v>-</v>
      </c>
      <c r="E101" s="35" t="str">
        <f>IFERROR(IF(VLOOKUP($B101,casostestes[#Data],3)=0,"-",VLOOKUP($B101,casostestes[#Data],3)), "-")</f>
        <v>-</v>
      </c>
      <c r="F101" s="35" t="str">
        <f>IFERROR(IF(VLOOKUP($B101,casostestes[#Data],4)=0,"-",VLOOKUP($B101,casostestes[#Data],4)),"-")</f>
        <v>-</v>
      </c>
      <c r="G101" s="35" t="str">
        <f>IFERROR(IF(VLOOKUP($B101,casostestes[#Data],5)=0,"-",VLOOKUP($B101,casostestes[#Data],5)),"-")</f>
        <v>-</v>
      </c>
      <c r="H101" s="35" t="str">
        <f>IFERROR(IF(VLOOKUP($B101,casostestes[#Data],6)=0,"-",VLOOKUP($B101,casostestes[#Data],6)),"-")</f>
        <v>-</v>
      </c>
      <c r="I101" s="35" t="str">
        <f>IFERROR(IF(VLOOKUP($B101,casostestes[#Data],8)=0,"-",VLOOKUP($B101,casostestes[#Data],8)),"-")</f>
        <v>-</v>
      </c>
      <c r="J101" s="35" t="str">
        <f>IFERROR(IF(VLOOKUP($B101,casostestes[#Data],9)=0,"-",VLOOKUP($B101,casostestes[#Data],9)),"-")</f>
        <v>-</v>
      </c>
      <c r="K101" s="36"/>
      <c r="L101" s="45"/>
      <c r="M101" s="37"/>
      <c r="N101" s="38"/>
      <c r="O101" s="38"/>
      <c r="P101" s="39"/>
    </row>
    <row r="102" spans="2:16">
      <c r="B102" s="40" t="str">
        <f>IF(ISERR(casostestes[[#This Row],[ID]]),"-",casostestes[[#This Row],[ID]])</f>
        <v>-</v>
      </c>
      <c r="C102" s="34" t="str">
        <f>IFERROR(IF(VLOOKUP($B102,casostestes[#Data],10)=0,"Não",VLOOKUP($B102,casostestes[#Data],10)), "-")</f>
        <v>-</v>
      </c>
      <c r="D102" s="35" t="str">
        <f>IFERROR(IF(VLOOKUP($B102,casostestes[#Data],2)=0,"-",VLOOKUP($B102,casostestes[#Data],2)), "-")</f>
        <v>-</v>
      </c>
      <c r="E102" s="35" t="str">
        <f>IFERROR(IF(VLOOKUP($B102,casostestes[#Data],3)=0,"-",VLOOKUP($B102,casostestes[#Data],3)), "-")</f>
        <v>-</v>
      </c>
      <c r="F102" s="35" t="str">
        <f>IFERROR(IF(VLOOKUP($B102,casostestes[#Data],4)=0,"-",VLOOKUP($B102,casostestes[#Data],4)),"-")</f>
        <v>-</v>
      </c>
      <c r="G102" s="35" t="str">
        <f>IFERROR(IF(VLOOKUP($B102,casostestes[#Data],5)=0,"-",VLOOKUP($B102,casostestes[#Data],5)),"-")</f>
        <v>-</v>
      </c>
      <c r="H102" s="35" t="str">
        <f>IFERROR(IF(VLOOKUP($B102,casostestes[#Data],6)=0,"-",VLOOKUP($B102,casostestes[#Data],6)),"-")</f>
        <v>-</v>
      </c>
      <c r="I102" s="35" t="str">
        <f>IFERROR(IF(VLOOKUP($B102,casostestes[#Data],8)=0,"-",VLOOKUP($B102,casostestes[#Data],8)),"-")</f>
        <v>-</v>
      </c>
      <c r="J102" s="35" t="str">
        <f>IFERROR(IF(VLOOKUP($B102,casostestes[#Data],9)=0,"-",VLOOKUP($B102,casostestes[#Data],9)),"-")</f>
        <v>-</v>
      </c>
      <c r="K102" s="36"/>
      <c r="L102" s="45"/>
      <c r="M102" s="37"/>
      <c r="N102" s="38"/>
      <c r="O102" s="38"/>
      <c r="P102" s="39"/>
    </row>
    <row r="103" spans="2:16">
      <c r="B103" s="40" t="str">
        <f>IF(ISERR(casostestes[[#This Row],[ID]]),"-",casostestes[[#This Row],[ID]])</f>
        <v>-</v>
      </c>
      <c r="C103" s="34" t="str">
        <f>IFERROR(IF(VLOOKUP($B103,casostestes[#Data],10)=0,"Não",VLOOKUP($B103,casostestes[#Data],10)), "-")</f>
        <v>-</v>
      </c>
      <c r="D103" s="35" t="str">
        <f>IFERROR(IF(VLOOKUP($B103,casostestes[#Data],2)=0,"-",VLOOKUP($B103,casostestes[#Data],2)), "-")</f>
        <v>-</v>
      </c>
      <c r="E103" s="35" t="str">
        <f>IFERROR(IF(VLOOKUP($B103,casostestes[#Data],3)=0,"-",VLOOKUP($B103,casostestes[#Data],3)), "-")</f>
        <v>-</v>
      </c>
      <c r="F103" s="35" t="str">
        <f>IFERROR(IF(VLOOKUP($B103,casostestes[#Data],4)=0,"-",VLOOKUP($B103,casostestes[#Data],4)),"-")</f>
        <v>-</v>
      </c>
      <c r="G103" s="35" t="str">
        <f>IFERROR(IF(VLOOKUP($B103,casostestes[#Data],5)=0,"-",VLOOKUP($B103,casostestes[#Data],5)),"-")</f>
        <v>-</v>
      </c>
      <c r="H103" s="35" t="str">
        <f>IFERROR(IF(VLOOKUP($B103,casostestes[#Data],6)=0,"-",VLOOKUP($B103,casostestes[#Data],6)),"-")</f>
        <v>-</v>
      </c>
      <c r="I103" s="35" t="str">
        <f>IFERROR(IF(VLOOKUP($B103,casostestes[#Data],8)=0,"-",VLOOKUP($B103,casostestes[#Data],8)),"-")</f>
        <v>-</v>
      </c>
      <c r="J103" s="35" t="str">
        <f>IFERROR(IF(VLOOKUP($B103,casostestes[#Data],9)=0,"-",VLOOKUP($B103,casostestes[#Data],9)),"-")</f>
        <v>-</v>
      </c>
      <c r="K103" s="36"/>
      <c r="L103" s="45"/>
      <c r="M103" s="37"/>
      <c r="N103" s="38"/>
      <c r="O103" s="38"/>
      <c r="P103" s="39"/>
    </row>
    <row r="104" spans="2:16">
      <c r="B104" s="40" t="str">
        <f>IF(ISERR(casostestes[[#This Row],[ID]]),"-",casostestes[[#This Row],[ID]])</f>
        <v>-</v>
      </c>
      <c r="C104" s="34" t="str">
        <f>IFERROR(IF(VLOOKUP($B104,casostestes[#Data],10)=0,"Não",VLOOKUP($B104,casostestes[#Data],10)), "-")</f>
        <v>-</v>
      </c>
      <c r="D104" s="35" t="str">
        <f>IFERROR(IF(VLOOKUP($B104,casostestes[#Data],2)=0,"-",VLOOKUP($B104,casostestes[#Data],2)), "-")</f>
        <v>-</v>
      </c>
      <c r="E104" s="35" t="str">
        <f>IFERROR(IF(VLOOKUP($B104,casostestes[#Data],3)=0,"-",VLOOKUP($B104,casostestes[#Data],3)), "-")</f>
        <v>-</v>
      </c>
      <c r="F104" s="35" t="str">
        <f>IFERROR(IF(VLOOKUP($B104,casostestes[#Data],4)=0,"-",VLOOKUP($B104,casostestes[#Data],4)),"-")</f>
        <v>-</v>
      </c>
      <c r="G104" s="35" t="str">
        <f>IFERROR(IF(VLOOKUP($B104,casostestes[#Data],5)=0,"-",VLOOKUP($B104,casostestes[#Data],5)),"-")</f>
        <v>-</v>
      </c>
      <c r="H104" s="35" t="str">
        <f>IFERROR(IF(VLOOKUP($B104,casostestes[#Data],6)=0,"-",VLOOKUP($B104,casostestes[#Data],6)),"-")</f>
        <v>-</v>
      </c>
      <c r="I104" s="35" t="str">
        <f>IFERROR(IF(VLOOKUP($B104,casostestes[#Data],8)=0,"-",VLOOKUP($B104,casostestes[#Data],8)),"-")</f>
        <v>-</v>
      </c>
      <c r="J104" s="35" t="str">
        <f>IFERROR(IF(VLOOKUP($B104,casostestes[#Data],9)=0,"-",VLOOKUP($B104,casostestes[#Data],9)),"-")</f>
        <v>-</v>
      </c>
      <c r="K104" s="36"/>
      <c r="L104" s="45"/>
      <c r="M104" s="37"/>
      <c r="N104" s="38"/>
      <c r="O104" s="38"/>
      <c r="P104" s="39"/>
    </row>
    <row r="105" spans="2:16">
      <c r="B105" s="40" t="str">
        <f>IF(ISERR(casostestes[[#This Row],[ID]]),"-",casostestes[[#This Row],[ID]])</f>
        <v>-</v>
      </c>
      <c r="C105" s="34" t="str">
        <f>IFERROR(IF(VLOOKUP($B105,casostestes[#Data],10)=0,"Não",VLOOKUP($B105,casostestes[#Data],10)), "-")</f>
        <v>-</v>
      </c>
      <c r="D105" s="35" t="str">
        <f>IFERROR(IF(VLOOKUP($B105,casostestes[#Data],2)=0,"-",VLOOKUP($B105,casostestes[#Data],2)), "-")</f>
        <v>-</v>
      </c>
      <c r="E105" s="35" t="str">
        <f>IFERROR(IF(VLOOKUP($B105,casostestes[#Data],3)=0,"-",VLOOKUP($B105,casostestes[#Data],3)), "-")</f>
        <v>-</v>
      </c>
      <c r="F105" s="35" t="str">
        <f>IFERROR(IF(VLOOKUP($B105,casostestes[#Data],4)=0,"-",VLOOKUP($B105,casostestes[#Data],4)),"-")</f>
        <v>-</v>
      </c>
      <c r="G105" s="35" t="str">
        <f>IFERROR(IF(VLOOKUP($B105,casostestes[#Data],5)=0,"-",VLOOKUP($B105,casostestes[#Data],5)),"-")</f>
        <v>-</v>
      </c>
      <c r="H105" s="35" t="str">
        <f>IFERROR(IF(VLOOKUP($B105,casostestes[#Data],6)=0,"-",VLOOKUP($B105,casostestes[#Data],6)),"-")</f>
        <v>-</v>
      </c>
      <c r="I105" s="35" t="str">
        <f>IFERROR(IF(VLOOKUP($B105,casostestes[#Data],8)=0,"-",VLOOKUP($B105,casostestes[#Data],8)),"-")</f>
        <v>-</v>
      </c>
      <c r="J105" s="35" t="str">
        <f>IFERROR(IF(VLOOKUP($B105,casostestes[#Data],9)=0,"-",VLOOKUP($B105,casostestes[#Data],9)),"-")</f>
        <v>-</v>
      </c>
      <c r="K105" s="36"/>
      <c r="L105" s="45"/>
      <c r="M105" s="37"/>
      <c r="N105" s="38"/>
      <c r="O105" s="38"/>
      <c r="P105" s="39"/>
    </row>
    <row r="106" spans="2:16">
      <c r="B106" s="40" t="str">
        <f>IF(ISERR(casostestes[[#This Row],[ID]]),"-",casostestes[[#This Row],[ID]])</f>
        <v>-</v>
      </c>
      <c r="C106" s="34" t="str">
        <f>IFERROR(IF(VLOOKUP($B106,casostestes[#Data],10)=0,"Não",VLOOKUP($B106,casostestes[#Data],10)), "-")</f>
        <v>-</v>
      </c>
      <c r="D106" s="35" t="str">
        <f>IFERROR(IF(VLOOKUP($B106,casostestes[#Data],2)=0,"-",VLOOKUP($B106,casostestes[#Data],2)), "-")</f>
        <v>-</v>
      </c>
      <c r="E106" s="35" t="str">
        <f>IFERROR(IF(VLOOKUP($B106,casostestes[#Data],3)=0,"-",VLOOKUP($B106,casostestes[#Data],3)), "-")</f>
        <v>-</v>
      </c>
      <c r="F106" s="35" t="str">
        <f>IFERROR(IF(VLOOKUP($B106,casostestes[#Data],4)=0,"-",VLOOKUP($B106,casostestes[#Data],4)),"-")</f>
        <v>-</v>
      </c>
      <c r="G106" s="35" t="str">
        <f>IFERROR(IF(VLOOKUP($B106,casostestes[#Data],5)=0,"-",VLOOKUP($B106,casostestes[#Data],5)),"-")</f>
        <v>-</v>
      </c>
      <c r="H106" s="35" t="str">
        <f>IFERROR(IF(VLOOKUP($B106,casostestes[#Data],6)=0,"-",VLOOKUP($B106,casostestes[#Data],6)),"-")</f>
        <v>-</v>
      </c>
      <c r="I106" s="35" t="str">
        <f>IFERROR(IF(VLOOKUP($B106,casostestes[#Data],8)=0,"-",VLOOKUP($B106,casostestes[#Data],8)),"-")</f>
        <v>-</v>
      </c>
      <c r="J106" s="35" t="str">
        <f>IFERROR(IF(VLOOKUP($B106,casostestes[#Data],9)=0,"-",VLOOKUP($B106,casostestes[#Data],9)),"-")</f>
        <v>-</v>
      </c>
      <c r="K106" s="36"/>
      <c r="L106" s="45"/>
      <c r="M106" s="37"/>
      <c r="N106" s="38"/>
      <c r="O106" s="38"/>
      <c r="P106" s="39"/>
    </row>
    <row r="107" spans="2:16">
      <c r="B107" s="40" t="str">
        <f>IF(ISERR(casostestes[[#This Row],[ID]]),"-",casostestes[[#This Row],[ID]])</f>
        <v>-</v>
      </c>
      <c r="C107" s="34" t="str">
        <f>IFERROR(IF(VLOOKUP($B107,casostestes[#Data],10)=0,"Não",VLOOKUP($B107,casostestes[#Data],10)), "-")</f>
        <v>-</v>
      </c>
      <c r="D107" s="35" t="str">
        <f>IFERROR(IF(VLOOKUP($B107,casostestes[#Data],2)=0,"-",VLOOKUP($B107,casostestes[#Data],2)), "-")</f>
        <v>-</v>
      </c>
      <c r="E107" s="35" t="str">
        <f>IFERROR(IF(VLOOKUP($B107,casostestes[#Data],3)=0,"-",VLOOKUP($B107,casostestes[#Data],3)), "-")</f>
        <v>-</v>
      </c>
      <c r="F107" s="35" t="str">
        <f>IFERROR(IF(VLOOKUP($B107,casostestes[#Data],4)=0,"-",VLOOKUP($B107,casostestes[#Data],4)),"-")</f>
        <v>-</v>
      </c>
      <c r="G107" s="35" t="str">
        <f>IFERROR(IF(VLOOKUP($B107,casostestes[#Data],5)=0,"-",VLOOKUP($B107,casostestes[#Data],5)),"-")</f>
        <v>-</v>
      </c>
      <c r="H107" s="35" t="str">
        <f>IFERROR(IF(VLOOKUP($B107,casostestes[#Data],6)=0,"-",VLOOKUP($B107,casostestes[#Data],6)),"-")</f>
        <v>-</v>
      </c>
      <c r="I107" s="35" t="str">
        <f>IFERROR(IF(VLOOKUP($B107,casostestes[#Data],8)=0,"-",VLOOKUP($B107,casostestes[#Data],8)),"-")</f>
        <v>-</v>
      </c>
      <c r="J107" s="35" t="str">
        <f>IFERROR(IF(VLOOKUP($B107,casostestes[#Data],9)=0,"-",VLOOKUP($B107,casostestes[#Data],9)),"-")</f>
        <v>-</v>
      </c>
      <c r="K107" s="36"/>
      <c r="L107" s="45"/>
      <c r="M107" s="37"/>
      <c r="N107" s="38"/>
      <c r="O107" s="38"/>
      <c r="P107" s="39"/>
    </row>
    <row r="108" spans="2:16">
      <c r="B108" s="40" t="str">
        <f>IF(ISERR(casostestes[[#This Row],[ID]]),"-",casostestes[[#This Row],[ID]])</f>
        <v>-</v>
      </c>
      <c r="C108" s="34" t="str">
        <f>IFERROR(IF(VLOOKUP($B108,casostestes[#Data],10)=0,"Não",VLOOKUP($B108,casostestes[#Data],10)), "-")</f>
        <v>-</v>
      </c>
      <c r="D108" s="35" t="str">
        <f>IFERROR(IF(VLOOKUP($B108,casostestes[#Data],2)=0,"-",VLOOKUP($B108,casostestes[#Data],2)), "-")</f>
        <v>-</v>
      </c>
      <c r="E108" s="35" t="str">
        <f>IFERROR(IF(VLOOKUP($B108,casostestes[#Data],3)=0,"-",VLOOKUP($B108,casostestes[#Data],3)), "-")</f>
        <v>-</v>
      </c>
      <c r="F108" s="35" t="str">
        <f>IFERROR(IF(VLOOKUP($B108,casostestes[#Data],4)=0,"-",VLOOKUP($B108,casostestes[#Data],4)),"-")</f>
        <v>-</v>
      </c>
      <c r="G108" s="35" t="str">
        <f>IFERROR(IF(VLOOKUP($B108,casostestes[#Data],5)=0,"-",VLOOKUP($B108,casostestes[#Data],5)),"-")</f>
        <v>-</v>
      </c>
      <c r="H108" s="35" t="str">
        <f>IFERROR(IF(VLOOKUP($B108,casostestes[#Data],6)=0,"-",VLOOKUP($B108,casostestes[#Data],6)),"-")</f>
        <v>-</v>
      </c>
      <c r="I108" s="35" t="str">
        <f>IFERROR(IF(VLOOKUP($B108,casostestes[#Data],8)=0,"-",VLOOKUP($B108,casostestes[#Data],8)),"-")</f>
        <v>-</v>
      </c>
      <c r="J108" s="35" t="str">
        <f>IFERROR(IF(VLOOKUP($B108,casostestes[#Data],9)=0,"-",VLOOKUP($B108,casostestes[#Data],9)),"-")</f>
        <v>-</v>
      </c>
      <c r="K108" s="36"/>
      <c r="L108" s="45"/>
      <c r="M108" s="37"/>
      <c r="N108" s="38"/>
      <c r="O108" s="38"/>
      <c r="P108" s="39"/>
    </row>
    <row r="109" spans="2:16">
      <c r="B109" s="40" t="str">
        <f>IF(ISERR(casostestes[[#This Row],[ID]]),"-",casostestes[[#This Row],[ID]])</f>
        <v>-</v>
      </c>
      <c r="C109" s="34" t="str">
        <f>IFERROR(IF(VLOOKUP($B109,casostestes[#Data],10)=0,"Não",VLOOKUP($B109,casostestes[#Data],10)), "-")</f>
        <v>-</v>
      </c>
      <c r="D109" s="35" t="str">
        <f>IFERROR(IF(VLOOKUP($B109,casostestes[#Data],2)=0,"-",VLOOKUP($B109,casostestes[#Data],2)), "-")</f>
        <v>-</v>
      </c>
      <c r="E109" s="35" t="str">
        <f>IFERROR(IF(VLOOKUP($B109,casostestes[#Data],3)=0,"-",VLOOKUP($B109,casostestes[#Data],3)), "-")</f>
        <v>-</v>
      </c>
      <c r="F109" s="35" t="str">
        <f>IFERROR(IF(VLOOKUP($B109,casostestes[#Data],4)=0,"-",VLOOKUP($B109,casostestes[#Data],4)),"-")</f>
        <v>-</v>
      </c>
      <c r="G109" s="35" t="str">
        <f>IFERROR(IF(VLOOKUP($B109,casostestes[#Data],5)=0,"-",VLOOKUP($B109,casostestes[#Data],5)),"-")</f>
        <v>-</v>
      </c>
      <c r="H109" s="35" t="str">
        <f>IFERROR(IF(VLOOKUP($B109,casostestes[#Data],6)=0,"-",VLOOKUP($B109,casostestes[#Data],6)),"-")</f>
        <v>-</v>
      </c>
      <c r="I109" s="35" t="str">
        <f>IFERROR(IF(VLOOKUP($B109,casostestes[#Data],8)=0,"-",VLOOKUP($B109,casostestes[#Data],8)),"-")</f>
        <v>-</v>
      </c>
      <c r="J109" s="35" t="str">
        <f>IFERROR(IF(VLOOKUP($B109,casostestes[#Data],9)=0,"-",VLOOKUP($B109,casostestes[#Data],9)),"-")</f>
        <v>-</v>
      </c>
      <c r="K109" s="36"/>
      <c r="L109" s="45"/>
      <c r="M109" s="37"/>
      <c r="N109" s="38"/>
      <c r="O109" s="38"/>
      <c r="P109" s="39"/>
    </row>
    <row r="110" spans="2:16">
      <c r="B110" s="40" t="str">
        <f>IF(ISERR(casostestes[[#This Row],[ID]]),"-",casostestes[[#This Row],[ID]])</f>
        <v>-</v>
      </c>
      <c r="C110" s="34" t="str">
        <f>IFERROR(IF(VLOOKUP($B110,casostestes[#Data],10)=0,"Não",VLOOKUP($B110,casostestes[#Data],10)), "-")</f>
        <v>-</v>
      </c>
      <c r="D110" s="35" t="str">
        <f>IFERROR(IF(VLOOKUP($B110,casostestes[#Data],2)=0,"-",VLOOKUP($B110,casostestes[#Data],2)), "-")</f>
        <v>-</v>
      </c>
      <c r="E110" s="35" t="str">
        <f>IFERROR(IF(VLOOKUP($B110,casostestes[#Data],3)=0,"-",VLOOKUP($B110,casostestes[#Data],3)), "-")</f>
        <v>-</v>
      </c>
      <c r="F110" s="35" t="str">
        <f>IFERROR(IF(VLOOKUP($B110,casostestes[#Data],4)=0,"-",VLOOKUP($B110,casostestes[#Data],4)),"-")</f>
        <v>-</v>
      </c>
      <c r="G110" s="35" t="str">
        <f>IFERROR(IF(VLOOKUP($B110,casostestes[#Data],5)=0,"-",VLOOKUP($B110,casostestes[#Data],5)),"-")</f>
        <v>-</v>
      </c>
      <c r="H110" s="35" t="str">
        <f>IFERROR(IF(VLOOKUP($B110,casostestes[#Data],6)=0,"-",VLOOKUP($B110,casostestes[#Data],6)),"-")</f>
        <v>-</v>
      </c>
      <c r="I110" s="35" t="str">
        <f>IFERROR(IF(VLOOKUP($B110,casostestes[#Data],8)=0,"-",VLOOKUP($B110,casostestes[#Data],8)),"-")</f>
        <v>-</v>
      </c>
      <c r="J110" s="35" t="str">
        <f>IFERROR(IF(VLOOKUP($B110,casostestes[#Data],9)=0,"-",VLOOKUP($B110,casostestes[#Data],9)),"-")</f>
        <v>-</v>
      </c>
      <c r="K110" s="36"/>
      <c r="L110" s="45"/>
      <c r="M110" s="37"/>
      <c r="N110" s="38"/>
      <c r="O110" s="38"/>
      <c r="P110" s="39"/>
    </row>
    <row r="111" spans="2:16">
      <c r="B111" s="40" t="str">
        <f>IF(ISERR(casostestes[[#This Row],[ID]]),"-",casostestes[[#This Row],[ID]])</f>
        <v>-</v>
      </c>
      <c r="C111" s="34" t="str">
        <f>IFERROR(IF(VLOOKUP($B111,casostestes[#Data],10)=0,"Não",VLOOKUP($B111,casostestes[#Data],10)), "-")</f>
        <v>-</v>
      </c>
      <c r="D111" s="35" t="str">
        <f>IFERROR(IF(VLOOKUP($B111,casostestes[#Data],2)=0,"-",VLOOKUP($B111,casostestes[#Data],2)), "-")</f>
        <v>-</v>
      </c>
      <c r="E111" s="35" t="str">
        <f>IFERROR(IF(VLOOKUP($B111,casostestes[#Data],3)=0,"-",VLOOKUP($B111,casostestes[#Data],3)), "-")</f>
        <v>-</v>
      </c>
      <c r="F111" s="35" t="str">
        <f>IFERROR(IF(VLOOKUP($B111,casostestes[#Data],4)=0,"-",VLOOKUP($B111,casostestes[#Data],4)),"-")</f>
        <v>-</v>
      </c>
      <c r="G111" s="35" t="str">
        <f>IFERROR(IF(VLOOKUP($B111,casostestes[#Data],5)=0,"-",VLOOKUP($B111,casostestes[#Data],5)),"-")</f>
        <v>-</v>
      </c>
      <c r="H111" s="35" t="str">
        <f>IFERROR(IF(VLOOKUP($B111,casostestes[#Data],6)=0,"-",VLOOKUP($B111,casostestes[#Data],6)),"-")</f>
        <v>-</v>
      </c>
      <c r="I111" s="35" t="str">
        <f>IFERROR(IF(VLOOKUP($B111,casostestes[#Data],8)=0,"-",VLOOKUP($B111,casostestes[#Data],8)),"-")</f>
        <v>-</v>
      </c>
      <c r="J111" s="35" t="str">
        <f>IFERROR(IF(VLOOKUP($B111,casostestes[#Data],9)=0,"-",VLOOKUP($B111,casostestes[#Data],9)),"-")</f>
        <v>-</v>
      </c>
      <c r="K111" s="36"/>
      <c r="L111" s="45"/>
      <c r="M111" s="37"/>
      <c r="N111" s="38"/>
      <c r="O111" s="38"/>
      <c r="P111" s="39"/>
    </row>
    <row r="112" spans="2:16">
      <c r="B112" s="40" t="str">
        <f>IF(ISERR(casostestes[[#This Row],[ID]]),"-",casostestes[[#This Row],[ID]])</f>
        <v>-</v>
      </c>
      <c r="C112" s="34" t="str">
        <f>IFERROR(IF(VLOOKUP($B112,casostestes[#Data],10)=0,"Não",VLOOKUP($B112,casostestes[#Data],10)), "-")</f>
        <v>-</v>
      </c>
      <c r="D112" s="35" t="str">
        <f>IFERROR(IF(VLOOKUP($B112,casostestes[#Data],2)=0,"-",VLOOKUP($B112,casostestes[#Data],2)), "-")</f>
        <v>-</v>
      </c>
      <c r="E112" s="35" t="str">
        <f>IFERROR(IF(VLOOKUP($B112,casostestes[#Data],3)=0,"-",VLOOKUP($B112,casostestes[#Data],3)), "-")</f>
        <v>-</v>
      </c>
      <c r="F112" s="35" t="str">
        <f>IFERROR(IF(VLOOKUP($B112,casostestes[#Data],4)=0,"-",VLOOKUP($B112,casostestes[#Data],4)),"-")</f>
        <v>-</v>
      </c>
      <c r="G112" s="35" t="str">
        <f>IFERROR(IF(VLOOKUP($B112,casostestes[#Data],5)=0,"-",VLOOKUP($B112,casostestes[#Data],5)),"-")</f>
        <v>-</v>
      </c>
      <c r="H112" s="35" t="str">
        <f>IFERROR(IF(VLOOKUP($B112,casostestes[#Data],6)=0,"-",VLOOKUP($B112,casostestes[#Data],6)),"-")</f>
        <v>-</v>
      </c>
      <c r="I112" s="35" t="str">
        <f>IFERROR(IF(VLOOKUP($B112,casostestes[#Data],8)=0,"-",VLOOKUP($B112,casostestes[#Data],8)),"-")</f>
        <v>-</v>
      </c>
      <c r="J112" s="35" t="str">
        <f>IFERROR(IF(VLOOKUP($B112,casostestes[#Data],9)=0,"-",VLOOKUP($B112,casostestes[#Data],9)),"-")</f>
        <v>-</v>
      </c>
      <c r="K112" s="36"/>
      <c r="L112" s="45"/>
      <c r="M112" s="37"/>
      <c r="N112" s="38"/>
      <c r="O112" s="38"/>
      <c r="P112" s="39"/>
    </row>
    <row r="113" spans="2:16">
      <c r="B113" s="40" t="str">
        <f>IF(ISERR(casostestes[[#This Row],[ID]]),"-",casostestes[[#This Row],[ID]])</f>
        <v>-</v>
      </c>
      <c r="C113" s="34" t="str">
        <f>IFERROR(IF(VLOOKUP($B113,casostestes[#Data],10)=0,"Não",VLOOKUP($B113,casostestes[#Data],10)), "-")</f>
        <v>-</v>
      </c>
      <c r="D113" s="35" t="str">
        <f>IFERROR(IF(VLOOKUP($B113,casostestes[#Data],2)=0,"-",VLOOKUP($B113,casostestes[#Data],2)), "-")</f>
        <v>-</v>
      </c>
      <c r="E113" s="35" t="str">
        <f>IFERROR(IF(VLOOKUP($B113,casostestes[#Data],3)=0,"-",VLOOKUP($B113,casostestes[#Data],3)), "-")</f>
        <v>-</v>
      </c>
      <c r="F113" s="35" t="str">
        <f>IFERROR(IF(VLOOKUP($B113,casostestes[#Data],4)=0,"-",VLOOKUP($B113,casostestes[#Data],4)),"-")</f>
        <v>-</v>
      </c>
      <c r="G113" s="35" t="str">
        <f>IFERROR(IF(VLOOKUP($B113,casostestes[#Data],5)=0,"-",VLOOKUP($B113,casostestes[#Data],5)),"-")</f>
        <v>-</v>
      </c>
      <c r="H113" s="35" t="str">
        <f>IFERROR(IF(VLOOKUP($B113,casostestes[#Data],6)=0,"-",VLOOKUP($B113,casostestes[#Data],6)),"-")</f>
        <v>-</v>
      </c>
      <c r="I113" s="35" t="str">
        <f>IFERROR(IF(VLOOKUP($B113,casostestes[#Data],8)=0,"-",VLOOKUP($B113,casostestes[#Data],8)),"-")</f>
        <v>-</v>
      </c>
      <c r="J113" s="35" t="str">
        <f>IFERROR(IF(VLOOKUP($B113,casostestes[#Data],9)=0,"-",VLOOKUP($B113,casostestes[#Data],9)),"-")</f>
        <v>-</v>
      </c>
      <c r="K113" s="36"/>
      <c r="L113" s="45"/>
      <c r="M113" s="37"/>
      <c r="N113" s="38"/>
      <c r="O113" s="38"/>
      <c r="P113" s="39"/>
    </row>
    <row r="114" spans="2:16">
      <c r="B114" s="40" t="str">
        <f>IF(ISERR(casostestes[[#This Row],[ID]]),"-",casostestes[[#This Row],[ID]])</f>
        <v>-</v>
      </c>
      <c r="C114" s="34" t="str">
        <f>IFERROR(IF(VLOOKUP($B114,casostestes[#Data],10)=0,"Não",VLOOKUP($B114,casostestes[#Data],10)), "-")</f>
        <v>-</v>
      </c>
      <c r="D114" s="35" t="str">
        <f>IFERROR(IF(VLOOKUP($B114,casostestes[#Data],2)=0,"-",VLOOKUP($B114,casostestes[#Data],2)), "-")</f>
        <v>-</v>
      </c>
      <c r="E114" s="35" t="str">
        <f>IFERROR(IF(VLOOKUP($B114,casostestes[#Data],3)=0,"-",VLOOKUP($B114,casostestes[#Data],3)), "-")</f>
        <v>-</v>
      </c>
      <c r="F114" s="35" t="str">
        <f>IFERROR(IF(VLOOKUP($B114,casostestes[#Data],4)=0,"-",VLOOKUP($B114,casostestes[#Data],4)),"-")</f>
        <v>-</v>
      </c>
      <c r="G114" s="35" t="str">
        <f>IFERROR(IF(VLOOKUP($B114,casostestes[#Data],5)=0,"-",VLOOKUP($B114,casostestes[#Data],5)),"-")</f>
        <v>-</v>
      </c>
      <c r="H114" s="35" t="str">
        <f>IFERROR(IF(VLOOKUP($B114,casostestes[#Data],6)=0,"-",VLOOKUP($B114,casostestes[#Data],6)),"-")</f>
        <v>-</v>
      </c>
      <c r="I114" s="35" t="str">
        <f>IFERROR(IF(VLOOKUP($B114,casostestes[#Data],8)=0,"-",VLOOKUP($B114,casostestes[#Data],8)),"-")</f>
        <v>-</v>
      </c>
      <c r="J114" s="35" t="str">
        <f>IFERROR(IF(VLOOKUP($B114,casostestes[#Data],9)=0,"-",VLOOKUP($B114,casostestes[#Data],9)),"-")</f>
        <v>-</v>
      </c>
      <c r="K114" s="36"/>
      <c r="L114" s="45"/>
      <c r="M114" s="37"/>
      <c r="N114" s="38"/>
      <c r="O114" s="38"/>
      <c r="P114" s="39"/>
    </row>
    <row r="115" spans="2:16">
      <c r="B115" s="40" t="str">
        <f>IF(ISERR(casostestes[[#This Row],[ID]]),"-",casostestes[[#This Row],[ID]])</f>
        <v>-</v>
      </c>
      <c r="C115" s="34" t="str">
        <f>IFERROR(IF(VLOOKUP($B115,casostestes[#Data],10)=0,"Não",VLOOKUP($B115,casostestes[#Data],10)), "-")</f>
        <v>-</v>
      </c>
      <c r="D115" s="35" t="str">
        <f>IFERROR(IF(VLOOKUP($B115,casostestes[#Data],2)=0,"-",VLOOKUP($B115,casostestes[#Data],2)), "-")</f>
        <v>-</v>
      </c>
      <c r="E115" s="35" t="str">
        <f>IFERROR(IF(VLOOKUP($B115,casostestes[#Data],3)=0,"-",VLOOKUP($B115,casostestes[#Data],3)), "-")</f>
        <v>-</v>
      </c>
      <c r="F115" s="35" t="str">
        <f>IFERROR(IF(VLOOKUP($B115,casostestes[#Data],4)=0,"-",VLOOKUP($B115,casostestes[#Data],4)),"-")</f>
        <v>-</v>
      </c>
      <c r="G115" s="35" t="str">
        <f>IFERROR(IF(VLOOKUP($B115,casostestes[#Data],5)=0,"-",VLOOKUP($B115,casostestes[#Data],5)),"-")</f>
        <v>-</v>
      </c>
      <c r="H115" s="35" t="str">
        <f>IFERROR(IF(VLOOKUP($B115,casostestes[#Data],6)=0,"-",VLOOKUP($B115,casostestes[#Data],6)),"-")</f>
        <v>-</v>
      </c>
      <c r="I115" s="35" t="str">
        <f>IFERROR(IF(VLOOKUP($B115,casostestes[#Data],8)=0,"-",VLOOKUP($B115,casostestes[#Data],8)),"-")</f>
        <v>-</v>
      </c>
      <c r="J115" s="35" t="str">
        <f>IFERROR(IF(VLOOKUP($B115,casostestes[#Data],9)=0,"-",VLOOKUP($B115,casostestes[#Data],9)),"-")</f>
        <v>-</v>
      </c>
      <c r="K115" s="36"/>
      <c r="L115" s="45"/>
      <c r="M115" s="37"/>
      <c r="N115" s="38"/>
      <c r="O115" s="38"/>
      <c r="P115" s="39"/>
    </row>
    <row r="116" spans="2:16">
      <c r="B116" s="40" t="str">
        <f>IF(ISERR(casostestes[[#This Row],[ID]]),"-",casostestes[[#This Row],[ID]])</f>
        <v>-</v>
      </c>
      <c r="C116" s="34" t="str">
        <f>IFERROR(IF(VLOOKUP($B116,casostestes[#Data],10)=0,"Não",VLOOKUP($B116,casostestes[#Data],10)), "-")</f>
        <v>-</v>
      </c>
      <c r="D116" s="35" t="str">
        <f>IFERROR(IF(VLOOKUP($B116,casostestes[#Data],2)=0,"-",VLOOKUP($B116,casostestes[#Data],2)), "-")</f>
        <v>-</v>
      </c>
      <c r="E116" s="35" t="str">
        <f>IFERROR(IF(VLOOKUP($B116,casostestes[#Data],3)=0,"-",VLOOKUP($B116,casostestes[#Data],3)), "-")</f>
        <v>-</v>
      </c>
      <c r="F116" s="35" t="str">
        <f>IFERROR(IF(VLOOKUP($B116,casostestes[#Data],4)=0,"-",VLOOKUP($B116,casostestes[#Data],4)),"-")</f>
        <v>-</v>
      </c>
      <c r="G116" s="35" t="str">
        <f>IFERROR(IF(VLOOKUP($B116,casostestes[#Data],5)=0,"-",VLOOKUP($B116,casostestes[#Data],5)),"-")</f>
        <v>-</v>
      </c>
      <c r="H116" s="35" t="str">
        <f>IFERROR(IF(VLOOKUP($B116,casostestes[#Data],6)=0,"-",VLOOKUP($B116,casostestes[#Data],6)),"-")</f>
        <v>-</v>
      </c>
      <c r="I116" s="35" t="str">
        <f>IFERROR(IF(VLOOKUP($B116,casostestes[#Data],8)=0,"-",VLOOKUP($B116,casostestes[#Data],8)),"-")</f>
        <v>-</v>
      </c>
      <c r="J116" s="35" t="str">
        <f>IFERROR(IF(VLOOKUP($B116,casostestes[#Data],9)=0,"-",VLOOKUP($B116,casostestes[#Data],9)),"-")</f>
        <v>-</v>
      </c>
      <c r="K116" s="36"/>
      <c r="L116" s="45"/>
      <c r="M116" s="37"/>
      <c r="N116" s="38"/>
      <c r="O116" s="38"/>
      <c r="P116" s="39"/>
    </row>
    <row r="117" spans="2:16">
      <c r="B117" s="40" t="str">
        <f>IF(ISERR(casostestes[[#This Row],[ID]]),"-",casostestes[[#This Row],[ID]])</f>
        <v>-</v>
      </c>
      <c r="C117" s="34" t="str">
        <f>IFERROR(IF(VLOOKUP($B117,casostestes[#Data],10)=0,"Não",VLOOKUP($B117,casostestes[#Data],10)), "-")</f>
        <v>-</v>
      </c>
      <c r="D117" s="35" t="str">
        <f>IFERROR(IF(VLOOKUP($B117,casostestes[#Data],2)=0,"-",VLOOKUP($B117,casostestes[#Data],2)), "-")</f>
        <v>-</v>
      </c>
      <c r="E117" s="35" t="str">
        <f>IFERROR(IF(VLOOKUP($B117,casostestes[#Data],3)=0,"-",VLOOKUP($B117,casostestes[#Data],3)), "-")</f>
        <v>-</v>
      </c>
      <c r="F117" s="35" t="str">
        <f>IFERROR(IF(VLOOKUP($B117,casostestes[#Data],4)=0,"-",VLOOKUP($B117,casostestes[#Data],4)),"-")</f>
        <v>-</v>
      </c>
      <c r="G117" s="35" t="str">
        <f>IFERROR(IF(VLOOKUP($B117,casostestes[#Data],5)=0,"-",VLOOKUP($B117,casostestes[#Data],5)),"-")</f>
        <v>-</v>
      </c>
      <c r="H117" s="35" t="str">
        <f>IFERROR(IF(VLOOKUP($B117,casostestes[#Data],6)=0,"-",VLOOKUP($B117,casostestes[#Data],6)),"-")</f>
        <v>-</v>
      </c>
      <c r="I117" s="35" t="str">
        <f>IFERROR(IF(VLOOKUP($B117,casostestes[#Data],8)=0,"-",VLOOKUP($B117,casostestes[#Data],8)),"-")</f>
        <v>-</v>
      </c>
      <c r="J117" s="35" t="str">
        <f>IFERROR(IF(VLOOKUP($B117,casostestes[#Data],9)=0,"-",VLOOKUP($B117,casostestes[#Data],9)),"-")</f>
        <v>-</v>
      </c>
      <c r="K117" s="36"/>
      <c r="L117" s="45"/>
      <c r="M117" s="37"/>
      <c r="N117" s="38"/>
      <c r="O117" s="38"/>
      <c r="P117" s="39"/>
    </row>
    <row r="118" spans="2:16">
      <c r="B118" s="40" t="str">
        <f>IF(ISERR(casostestes[[#This Row],[ID]]),"-",casostestes[[#This Row],[ID]])</f>
        <v>-</v>
      </c>
      <c r="C118" s="34" t="str">
        <f>IFERROR(IF(VLOOKUP($B118,casostestes[#Data],10)=0,"Não",VLOOKUP($B118,casostestes[#Data],10)), "-")</f>
        <v>-</v>
      </c>
      <c r="D118" s="35" t="str">
        <f>IFERROR(IF(VLOOKUP($B118,casostestes[#Data],2)=0,"-",VLOOKUP($B118,casostestes[#Data],2)), "-")</f>
        <v>-</v>
      </c>
      <c r="E118" s="35" t="str">
        <f>IFERROR(IF(VLOOKUP($B118,casostestes[#Data],3)=0,"-",VLOOKUP($B118,casostestes[#Data],3)), "-")</f>
        <v>-</v>
      </c>
      <c r="F118" s="35" t="str">
        <f>IFERROR(IF(VLOOKUP($B118,casostestes[#Data],4)=0,"-",VLOOKUP($B118,casostestes[#Data],4)),"-")</f>
        <v>-</v>
      </c>
      <c r="G118" s="35" t="str">
        <f>IFERROR(IF(VLOOKUP($B118,casostestes[#Data],5)=0,"-",VLOOKUP($B118,casostestes[#Data],5)),"-")</f>
        <v>-</v>
      </c>
      <c r="H118" s="35" t="str">
        <f>IFERROR(IF(VLOOKUP($B118,casostestes[#Data],6)=0,"-",VLOOKUP($B118,casostestes[#Data],6)),"-")</f>
        <v>-</v>
      </c>
      <c r="I118" s="35" t="str">
        <f>IFERROR(IF(VLOOKUP($B118,casostestes[#Data],8)=0,"-",VLOOKUP($B118,casostestes[#Data],8)),"-")</f>
        <v>-</v>
      </c>
      <c r="J118" s="35" t="str">
        <f>IFERROR(IF(VLOOKUP($B118,casostestes[#Data],9)=0,"-",VLOOKUP($B118,casostestes[#Data],9)),"-")</f>
        <v>-</v>
      </c>
      <c r="K118" s="36"/>
      <c r="L118" s="45"/>
      <c r="M118" s="37"/>
      <c r="N118" s="38"/>
      <c r="O118" s="38"/>
      <c r="P118" s="39"/>
    </row>
    <row r="119" spans="2:16">
      <c r="B119" s="40" t="str">
        <f>IF(ISERR(casostestes[[#This Row],[ID]]),"-",casostestes[[#This Row],[ID]])</f>
        <v>-</v>
      </c>
      <c r="C119" s="34" t="str">
        <f>IFERROR(IF(VLOOKUP($B119,casostestes[#Data],10)=0,"Não",VLOOKUP($B119,casostestes[#Data],10)), "-")</f>
        <v>-</v>
      </c>
      <c r="D119" s="35" t="str">
        <f>IFERROR(IF(VLOOKUP($B119,casostestes[#Data],2)=0,"-",VLOOKUP($B119,casostestes[#Data],2)), "-")</f>
        <v>-</v>
      </c>
      <c r="E119" s="35" t="str">
        <f>IFERROR(IF(VLOOKUP($B119,casostestes[#Data],3)=0,"-",VLOOKUP($B119,casostestes[#Data],3)), "-")</f>
        <v>-</v>
      </c>
      <c r="F119" s="35" t="str">
        <f>IFERROR(IF(VLOOKUP($B119,casostestes[#Data],4)=0,"-",VLOOKUP($B119,casostestes[#Data],4)),"-")</f>
        <v>-</v>
      </c>
      <c r="G119" s="35" t="str">
        <f>IFERROR(IF(VLOOKUP($B119,casostestes[#Data],5)=0,"-",VLOOKUP($B119,casostestes[#Data],5)),"-")</f>
        <v>-</v>
      </c>
      <c r="H119" s="35" t="str">
        <f>IFERROR(IF(VLOOKUP($B119,casostestes[#Data],6)=0,"-",VLOOKUP($B119,casostestes[#Data],6)),"-")</f>
        <v>-</v>
      </c>
      <c r="I119" s="35" t="str">
        <f>IFERROR(IF(VLOOKUP($B119,casostestes[#Data],8)=0,"-",VLOOKUP($B119,casostestes[#Data],8)),"-")</f>
        <v>-</v>
      </c>
      <c r="J119" s="35" t="str">
        <f>IFERROR(IF(VLOOKUP($B119,casostestes[#Data],9)=0,"-",VLOOKUP($B119,casostestes[#Data],9)),"-")</f>
        <v>-</v>
      </c>
      <c r="K119" s="36"/>
      <c r="L119" s="45"/>
      <c r="M119" s="37"/>
      <c r="N119" s="38"/>
      <c r="O119" s="38"/>
      <c r="P119" s="39"/>
    </row>
    <row r="120" spans="2:16">
      <c r="B120" s="40" t="str">
        <f>IF(ISERR(casostestes[[#This Row],[ID]]),"-",casostestes[[#This Row],[ID]])</f>
        <v>-</v>
      </c>
      <c r="C120" s="34" t="str">
        <f>IFERROR(IF(VLOOKUP($B120,casostestes[#Data],10)=0,"Não",VLOOKUP($B120,casostestes[#Data],10)), "-")</f>
        <v>-</v>
      </c>
      <c r="D120" s="35" t="str">
        <f>IFERROR(IF(VLOOKUP($B120,casostestes[#Data],2)=0,"-",VLOOKUP($B120,casostestes[#Data],2)), "-")</f>
        <v>-</v>
      </c>
      <c r="E120" s="35" t="str">
        <f>IFERROR(IF(VLOOKUP($B120,casostestes[#Data],3)=0,"-",VLOOKUP($B120,casostestes[#Data],3)), "-")</f>
        <v>-</v>
      </c>
      <c r="F120" s="35" t="str">
        <f>IFERROR(IF(VLOOKUP($B120,casostestes[#Data],4)=0,"-",VLOOKUP($B120,casostestes[#Data],4)),"-")</f>
        <v>-</v>
      </c>
      <c r="G120" s="35" t="str">
        <f>IFERROR(IF(VLOOKUP($B120,casostestes[#Data],5)=0,"-",VLOOKUP($B120,casostestes[#Data],5)),"-")</f>
        <v>-</v>
      </c>
      <c r="H120" s="35" t="str">
        <f>IFERROR(IF(VLOOKUP($B120,casostestes[#Data],6)=0,"-",VLOOKUP($B120,casostestes[#Data],6)),"-")</f>
        <v>-</v>
      </c>
      <c r="I120" s="35" t="str">
        <f>IFERROR(IF(VLOOKUP($B120,casostestes[#Data],8)=0,"-",VLOOKUP($B120,casostestes[#Data],8)),"-")</f>
        <v>-</v>
      </c>
      <c r="J120" s="35" t="str">
        <f>IFERROR(IF(VLOOKUP($B120,casostestes[#Data],9)=0,"-",VLOOKUP($B120,casostestes[#Data],9)),"-")</f>
        <v>-</v>
      </c>
      <c r="K120" s="36"/>
      <c r="L120" s="45"/>
      <c r="M120" s="37"/>
      <c r="N120" s="38"/>
      <c r="O120" s="38"/>
      <c r="P120" s="39"/>
    </row>
    <row r="121" spans="2:16">
      <c r="B121" s="40" t="str">
        <f>IF(ISERR(casostestes[[#This Row],[ID]]),"-",casostestes[[#This Row],[ID]])</f>
        <v>-</v>
      </c>
      <c r="C121" s="34" t="str">
        <f>IFERROR(IF(VLOOKUP($B121,casostestes[#Data],10)=0,"Não",VLOOKUP($B121,casostestes[#Data],10)), "-")</f>
        <v>-</v>
      </c>
      <c r="D121" s="35" t="str">
        <f>IFERROR(IF(VLOOKUP($B121,casostestes[#Data],2)=0,"-",VLOOKUP($B121,casostestes[#Data],2)), "-")</f>
        <v>-</v>
      </c>
      <c r="E121" s="35" t="str">
        <f>IFERROR(IF(VLOOKUP($B121,casostestes[#Data],3)=0,"-",VLOOKUP($B121,casostestes[#Data],3)), "-")</f>
        <v>-</v>
      </c>
      <c r="F121" s="35" t="str">
        <f>IFERROR(IF(VLOOKUP($B121,casostestes[#Data],4)=0,"-",VLOOKUP($B121,casostestes[#Data],4)),"-")</f>
        <v>-</v>
      </c>
      <c r="G121" s="35" t="str">
        <f>IFERROR(IF(VLOOKUP($B121,casostestes[#Data],5)=0,"-",VLOOKUP($B121,casostestes[#Data],5)),"-")</f>
        <v>-</v>
      </c>
      <c r="H121" s="35" t="str">
        <f>IFERROR(IF(VLOOKUP($B121,casostestes[#Data],6)=0,"-",VLOOKUP($B121,casostestes[#Data],6)),"-")</f>
        <v>-</v>
      </c>
      <c r="I121" s="35" t="str">
        <f>IFERROR(IF(VLOOKUP($B121,casostestes[#Data],8)=0,"-",VLOOKUP($B121,casostestes[#Data],8)),"-")</f>
        <v>-</v>
      </c>
      <c r="J121" s="35" t="str">
        <f>IFERROR(IF(VLOOKUP($B121,casostestes[#Data],9)=0,"-",VLOOKUP($B121,casostestes[#Data],9)),"-")</f>
        <v>-</v>
      </c>
      <c r="K121" s="36"/>
      <c r="L121" s="45"/>
      <c r="M121" s="37"/>
      <c r="N121" s="38"/>
      <c r="O121" s="38"/>
      <c r="P121" s="39"/>
    </row>
    <row r="122" spans="2:16">
      <c r="B122" s="40" t="str">
        <f>IF(ISERR(casostestes[[#This Row],[ID]]),"-",casostestes[[#This Row],[ID]])</f>
        <v>-</v>
      </c>
      <c r="C122" s="34" t="str">
        <f>IFERROR(IF(VLOOKUP($B122,casostestes[#Data],10)=0,"Não",VLOOKUP($B122,casostestes[#Data],10)), "-")</f>
        <v>-</v>
      </c>
      <c r="D122" s="35" t="str">
        <f>IFERROR(IF(VLOOKUP($B122,casostestes[#Data],2)=0,"-",VLOOKUP($B122,casostestes[#Data],2)), "-")</f>
        <v>-</v>
      </c>
      <c r="E122" s="35" t="str">
        <f>IFERROR(IF(VLOOKUP($B122,casostestes[#Data],3)=0,"-",VLOOKUP($B122,casostestes[#Data],3)), "-")</f>
        <v>-</v>
      </c>
      <c r="F122" s="35" t="str">
        <f>IFERROR(IF(VLOOKUP($B122,casostestes[#Data],4)=0,"-",VLOOKUP($B122,casostestes[#Data],4)),"-")</f>
        <v>-</v>
      </c>
      <c r="G122" s="35" t="str">
        <f>IFERROR(IF(VLOOKUP($B122,casostestes[#Data],5)=0,"-",VLOOKUP($B122,casostestes[#Data],5)),"-")</f>
        <v>-</v>
      </c>
      <c r="H122" s="35" t="str">
        <f>IFERROR(IF(VLOOKUP($B122,casostestes[#Data],6)=0,"-",VLOOKUP($B122,casostestes[#Data],6)),"-")</f>
        <v>-</v>
      </c>
      <c r="I122" s="35" t="str">
        <f>IFERROR(IF(VLOOKUP($B122,casostestes[#Data],8)=0,"-",VLOOKUP($B122,casostestes[#Data],8)),"-")</f>
        <v>-</v>
      </c>
      <c r="J122" s="35" t="str">
        <f>IFERROR(IF(VLOOKUP($B122,casostestes[#Data],9)=0,"-",VLOOKUP($B122,casostestes[#Data],9)),"-")</f>
        <v>-</v>
      </c>
      <c r="K122" s="36"/>
      <c r="L122" s="45"/>
      <c r="M122" s="37"/>
      <c r="N122" s="38"/>
      <c r="O122" s="38"/>
      <c r="P122" s="39"/>
    </row>
    <row r="123" spans="2:16">
      <c r="B123" s="40" t="str">
        <f>IF(ISERR(casostestes[[#This Row],[ID]]),"-",casostestes[[#This Row],[ID]])</f>
        <v>-</v>
      </c>
      <c r="C123" s="34" t="str">
        <f>IFERROR(IF(VLOOKUP($B123,casostestes[#Data],10)=0,"Não",VLOOKUP($B123,casostestes[#Data],10)), "-")</f>
        <v>-</v>
      </c>
      <c r="D123" s="35" t="str">
        <f>IFERROR(IF(VLOOKUP($B123,casostestes[#Data],2)=0,"-",VLOOKUP($B123,casostestes[#Data],2)), "-")</f>
        <v>-</v>
      </c>
      <c r="E123" s="35" t="str">
        <f>IFERROR(IF(VLOOKUP($B123,casostestes[#Data],3)=0,"-",VLOOKUP($B123,casostestes[#Data],3)), "-")</f>
        <v>-</v>
      </c>
      <c r="F123" s="35" t="str">
        <f>IFERROR(IF(VLOOKUP($B123,casostestes[#Data],4)=0,"-",VLOOKUP($B123,casostestes[#Data],4)),"-")</f>
        <v>-</v>
      </c>
      <c r="G123" s="35" t="str">
        <f>IFERROR(IF(VLOOKUP($B123,casostestes[#Data],5)=0,"-",VLOOKUP($B123,casostestes[#Data],5)),"-")</f>
        <v>-</v>
      </c>
      <c r="H123" s="35" t="str">
        <f>IFERROR(IF(VLOOKUP($B123,casostestes[#Data],6)=0,"-",VLOOKUP($B123,casostestes[#Data],6)),"-")</f>
        <v>-</v>
      </c>
      <c r="I123" s="35" t="str">
        <f>IFERROR(IF(VLOOKUP($B123,casostestes[#Data],8)=0,"-",VLOOKUP($B123,casostestes[#Data],8)),"-")</f>
        <v>-</v>
      </c>
      <c r="J123" s="35" t="str">
        <f>IFERROR(IF(VLOOKUP($B123,casostestes[#Data],9)=0,"-",VLOOKUP($B123,casostestes[#Data],9)),"-")</f>
        <v>-</v>
      </c>
      <c r="K123" s="36"/>
      <c r="L123" s="45"/>
      <c r="M123" s="37"/>
      <c r="N123" s="38"/>
      <c r="O123" s="38"/>
      <c r="P123" s="39"/>
    </row>
    <row r="124" spans="2:16">
      <c r="B124" s="40" t="str">
        <f>IF(ISERR(casostestes[[#This Row],[ID]]),"-",casostestes[[#This Row],[ID]])</f>
        <v>-</v>
      </c>
      <c r="C124" s="34" t="str">
        <f>IFERROR(IF(VLOOKUP($B124,casostestes[#Data],10)=0,"Não",VLOOKUP($B124,casostestes[#Data],10)), "-")</f>
        <v>-</v>
      </c>
      <c r="D124" s="35" t="str">
        <f>IFERROR(IF(VLOOKUP($B124,casostestes[#Data],2)=0,"-",VLOOKUP($B124,casostestes[#Data],2)), "-")</f>
        <v>-</v>
      </c>
      <c r="E124" s="35" t="str">
        <f>IFERROR(IF(VLOOKUP($B124,casostestes[#Data],3)=0,"-",VLOOKUP($B124,casostestes[#Data],3)), "-")</f>
        <v>-</v>
      </c>
      <c r="F124" s="35" t="str">
        <f>IFERROR(IF(VLOOKUP($B124,casostestes[#Data],4)=0,"-",VLOOKUP($B124,casostestes[#Data],4)),"-")</f>
        <v>-</v>
      </c>
      <c r="G124" s="35" t="str">
        <f>IFERROR(IF(VLOOKUP($B124,casostestes[#Data],5)=0,"-",VLOOKUP($B124,casostestes[#Data],5)),"-")</f>
        <v>-</v>
      </c>
      <c r="H124" s="35" t="str">
        <f>IFERROR(IF(VLOOKUP($B124,casostestes[#Data],6)=0,"-",VLOOKUP($B124,casostestes[#Data],6)),"-")</f>
        <v>-</v>
      </c>
      <c r="I124" s="35" t="str">
        <f>IFERROR(IF(VLOOKUP($B124,casostestes[#Data],8)=0,"-",VLOOKUP($B124,casostestes[#Data],8)),"-")</f>
        <v>-</v>
      </c>
      <c r="J124" s="35" t="str">
        <f>IFERROR(IF(VLOOKUP($B124,casostestes[#Data],9)=0,"-",VLOOKUP($B124,casostestes[#Data],9)),"-")</f>
        <v>-</v>
      </c>
      <c r="K124" s="36"/>
      <c r="L124" s="45"/>
      <c r="M124" s="37"/>
      <c r="N124" s="38"/>
      <c r="O124" s="38"/>
      <c r="P124" s="39"/>
    </row>
    <row r="125" spans="2:16">
      <c r="B125" s="40" t="str">
        <f>IF(ISERR(casostestes[[#This Row],[ID]]),"-",casostestes[[#This Row],[ID]])</f>
        <v>-</v>
      </c>
      <c r="C125" s="34" t="str">
        <f>IFERROR(IF(VLOOKUP($B125,casostestes[#Data],10)=0,"Não",VLOOKUP($B125,casostestes[#Data],10)), "-")</f>
        <v>-</v>
      </c>
      <c r="D125" s="35" t="str">
        <f>IFERROR(IF(VLOOKUP($B125,casostestes[#Data],2)=0,"-",VLOOKUP($B125,casostestes[#Data],2)), "-")</f>
        <v>-</v>
      </c>
      <c r="E125" s="35" t="str">
        <f>IFERROR(IF(VLOOKUP($B125,casostestes[#Data],3)=0,"-",VLOOKUP($B125,casostestes[#Data],3)), "-")</f>
        <v>-</v>
      </c>
      <c r="F125" s="35" t="str">
        <f>IFERROR(IF(VLOOKUP($B125,casostestes[#Data],4)=0,"-",VLOOKUP($B125,casostestes[#Data],4)),"-")</f>
        <v>-</v>
      </c>
      <c r="G125" s="35" t="str">
        <f>IFERROR(IF(VLOOKUP($B125,casostestes[#Data],5)=0,"-",VLOOKUP($B125,casostestes[#Data],5)),"-")</f>
        <v>-</v>
      </c>
      <c r="H125" s="35" t="str">
        <f>IFERROR(IF(VLOOKUP($B125,casostestes[#Data],6)=0,"-",VLOOKUP($B125,casostestes[#Data],6)),"-")</f>
        <v>-</v>
      </c>
      <c r="I125" s="35" t="str">
        <f>IFERROR(IF(VLOOKUP($B125,casostestes[#Data],8)=0,"-",VLOOKUP($B125,casostestes[#Data],8)),"-")</f>
        <v>-</v>
      </c>
      <c r="J125" s="35" t="str">
        <f>IFERROR(IF(VLOOKUP($B125,casostestes[#Data],9)=0,"-",VLOOKUP($B125,casostestes[#Data],9)),"-")</f>
        <v>-</v>
      </c>
      <c r="K125" s="36"/>
      <c r="L125" s="45"/>
      <c r="M125" s="37"/>
      <c r="N125" s="38"/>
      <c r="O125" s="38"/>
      <c r="P125" s="39"/>
    </row>
    <row r="126" spans="2:16">
      <c r="B126" s="40" t="str">
        <f>IF(ISERR(casostestes[[#This Row],[ID]]),"-",casostestes[[#This Row],[ID]])</f>
        <v>-</v>
      </c>
      <c r="C126" s="34" t="str">
        <f>IFERROR(IF(VLOOKUP($B126,casostestes[#Data],10)=0,"Não",VLOOKUP($B126,casostestes[#Data],10)), "-")</f>
        <v>-</v>
      </c>
      <c r="D126" s="35" t="str">
        <f>IFERROR(IF(VLOOKUP($B126,casostestes[#Data],2)=0,"-",VLOOKUP($B126,casostestes[#Data],2)), "-")</f>
        <v>-</v>
      </c>
      <c r="E126" s="35" t="str">
        <f>IFERROR(IF(VLOOKUP($B126,casostestes[#Data],3)=0,"-",VLOOKUP($B126,casostestes[#Data],3)), "-")</f>
        <v>-</v>
      </c>
      <c r="F126" s="35" t="str">
        <f>IFERROR(IF(VLOOKUP($B126,casostestes[#Data],4)=0,"-",VLOOKUP($B126,casostestes[#Data],4)),"-")</f>
        <v>-</v>
      </c>
      <c r="G126" s="35" t="str">
        <f>IFERROR(IF(VLOOKUP($B126,casostestes[#Data],5)=0,"-",VLOOKUP($B126,casostestes[#Data],5)),"-")</f>
        <v>-</v>
      </c>
      <c r="H126" s="35" t="str">
        <f>IFERROR(IF(VLOOKUP($B126,casostestes[#Data],6)=0,"-",VLOOKUP($B126,casostestes[#Data],6)),"-")</f>
        <v>-</v>
      </c>
      <c r="I126" s="35" t="str">
        <f>IFERROR(IF(VLOOKUP($B126,casostestes[#Data],8)=0,"-",VLOOKUP($B126,casostestes[#Data],8)),"-")</f>
        <v>-</v>
      </c>
      <c r="J126" s="35" t="str">
        <f>IFERROR(IF(VLOOKUP($B126,casostestes[#Data],9)=0,"-",VLOOKUP($B126,casostestes[#Data],9)),"-")</f>
        <v>-</v>
      </c>
      <c r="K126" s="36"/>
      <c r="L126" s="45"/>
      <c r="M126" s="37"/>
      <c r="N126" s="38"/>
      <c r="O126" s="38"/>
      <c r="P126" s="39"/>
    </row>
    <row r="127" spans="2:16">
      <c r="B127" s="40" t="str">
        <f>IF(ISERR(casostestes[[#This Row],[ID]]),"-",casostestes[[#This Row],[ID]])</f>
        <v>-</v>
      </c>
      <c r="C127" s="34" t="str">
        <f>IFERROR(IF(VLOOKUP($B127,casostestes[#Data],10)=0,"Não",VLOOKUP($B127,casostestes[#Data],10)), "-")</f>
        <v>-</v>
      </c>
      <c r="D127" s="35" t="str">
        <f>IFERROR(IF(VLOOKUP($B127,casostestes[#Data],2)=0,"-",VLOOKUP($B127,casostestes[#Data],2)), "-")</f>
        <v>-</v>
      </c>
      <c r="E127" s="35" t="str">
        <f>IFERROR(IF(VLOOKUP($B127,casostestes[#Data],3)=0,"-",VLOOKUP($B127,casostestes[#Data],3)), "-")</f>
        <v>-</v>
      </c>
      <c r="F127" s="35" t="str">
        <f>IFERROR(IF(VLOOKUP($B127,casostestes[#Data],4)=0,"-",VLOOKUP($B127,casostestes[#Data],4)),"-")</f>
        <v>-</v>
      </c>
      <c r="G127" s="35" t="str">
        <f>IFERROR(IF(VLOOKUP($B127,casostestes[#Data],5)=0,"-",VLOOKUP($B127,casostestes[#Data],5)),"-")</f>
        <v>-</v>
      </c>
      <c r="H127" s="35" t="str">
        <f>IFERROR(IF(VLOOKUP($B127,casostestes[#Data],6)=0,"-",VLOOKUP($B127,casostestes[#Data],6)),"-")</f>
        <v>-</v>
      </c>
      <c r="I127" s="35" t="str">
        <f>IFERROR(IF(VLOOKUP($B127,casostestes[#Data],8)=0,"-",VLOOKUP($B127,casostestes[#Data],8)),"-")</f>
        <v>-</v>
      </c>
      <c r="J127" s="35" t="str">
        <f>IFERROR(IF(VLOOKUP($B127,casostestes[#Data],9)=0,"-",VLOOKUP($B127,casostestes[#Data],9)),"-")</f>
        <v>-</v>
      </c>
      <c r="K127" s="36"/>
      <c r="L127" s="45"/>
      <c r="M127" s="37"/>
      <c r="N127" s="38"/>
      <c r="O127" s="38"/>
      <c r="P127" s="39"/>
    </row>
    <row r="128" spans="2:16">
      <c r="B128" s="40" t="str">
        <f>IF(ISERR(casostestes[[#This Row],[ID]]),"-",casostestes[[#This Row],[ID]])</f>
        <v>-</v>
      </c>
      <c r="C128" s="34" t="str">
        <f>IFERROR(IF(VLOOKUP($B128,casostestes[#Data],10)=0,"Não",VLOOKUP($B128,casostestes[#Data],10)), "-")</f>
        <v>-</v>
      </c>
      <c r="D128" s="35" t="str">
        <f>IFERROR(IF(VLOOKUP($B128,casostestes[#Data],2)=0,"-",VLOOKUP($B128,casostestes[#Data],2)), "-")</f>
        <v>-</v>
      </c>
      <c r="E128" s="35" t="str">
        <f>IFERROR(IF(VLOOKUP($B128,casostestes[#Data],3)=0,"-",VLOOKUP($B128,casostestes[#Data],3)), "-")</f>
        <v>-</v>
      </c>
      <c r="F128" s="35" t="str">
        <f>IFERROR(IF(VLOOKUP($B128,casostestes[#Data],4)=0,"-",VLOOKUP($B128,casostestes[#Data],4)),"-")</f>
        <v>-</v>
      </c>
      <c r="G128" s="35" t="str">
        <f>IFERROR(IF(VLOOKUP($B128,casostestes[#Data],5)=0,"-",VLOOKUP($B128,casostestes[#Data],5)),"-")</f>
        <v>-</v>
      </c>
      <c r="H128" s="35" t="str">
        <f>IFERROR(IF(VLOOKUP($B128,casostestes[#Data],6)=0,"-",VLOOKUP($B128,casostestes[#Data],6)),"-")</f>
        <v>-</v>
      </c>
      <c r="I128" s="35" t="str">
        <f>IFERROR(IF(VLOOKUP($B128,casostestes[#Data],8)=0,"-",VLOOKUP($B128,casostestes[#Data],8)),"-")</f>
        <v>-</v>
      </c>
      <c r="J128" s="35" t="str">
        <f>IFERROR(IF(VLOOKUP($B128,casostestes[#Data],9)=0,"-",VLOOKUP($B128,casostestes[#Data],9)),"-")</f>
        <v>-</v>
      </c>
      <c r="K128" s="36"/>
      <c r="L128" s="45"/>
      <c r="M128" s="37"/>
      <c r="N128" s="38"/>
      <c r="O128" s="38"/>
      <c r="P128" s="39"/>
    </row>
    <row r="129" spans="2:16">
      <c r="B129" s="40" t="str">
        <f>IF(ISERR(casostestes[[#This Row],[ID]]),"-",casostestes[[#This Row],[ID]])</f>
        <v>-</v>
      </c>
      <c r="C129" s="34" t="str">
        <f>IFERROR(IF(VLOOKUP($B129,casostestes[#Data],10)=0,"Não",VLOOKUP($B129,casostestes[#Data],10)), "-")</f>
        <v>-</v>
      </c>
      <c r="D129" s="35" t="str">
        <f>IFERROR(IF(VLOOKUP($B129,casostestes[#Data],2)=0,"-",VLOOKUP($B129,casostestes[#Data],2)), "-")</f>
        <v>-</v>
      </c>
      <c r="E129" s="35" t="str">
        <f>IFERROR(IF(VLOOKUP($B129,casostestes[#Data],3)=0,"-",VLOOKUP($B129,casostestes[#Data],3)), "-")</f>
        <v>-</v>
      </c>
      <c r="F129" s="35" t="str">
        <f>IFERROR(IF(VLOOKUP($B129,casostestes[#Data],4)=0,"-",VLOOKUP($B129,casostestes[#Data],4)),"-")</f>
        <v>-</v>
      </c>
      <c r="G129" s="35" t="str">
        <f>IFERROR(IF(VLOOKUP($B129,casostestes[#Data],5)=0,"-",VLOOKUP($B129,casostestes[#Data],5)),"-")</f>
        <v>-</v>
      </c>
      <c r="H129" s="35" t="str">
        <f>IFERROR(IF(VLOOKUP($B129,casostestes[#Data],6)=0,"-",VLOOKUP($B129,casostestes[#Data],6)),"-")</f>
        <v>-</v>
      </c>
      <c r="I129" s="35" t="str">
        <f>IFERROR(IF(VLOOKUP($B129,casostestes[#Data],8)=0,"-",VLOOKUP($B129,casostestes[#Data],8)),"-")</f>
        <v>-</v>
      </c>
      <c r="J129" s="35" t="str">
        <f>IFERROR(IF(VLOOKUP($B129,casostestes[#Data],9)=0,"-",VLOOKUP($B129,casostestes[#Data],9)),"-")</f>
        <v>-</v>
      </c>
      <c r="K129" s="36"/>
      <c r="L129" s="45"/>
      <c r="M129" s="37"/>
      <c r="N129" s="38"/>
      <c r="O129" s="38"/>
      <c r="P129" s="39"/>
    </row>
    <row r="130" spans="2:16">
      <c r="B130" s="40" t="str">
        <f>IF(ISERR(casostestes[[#This Row],[ID]]),"-",casostestes[[#This Row],[ID]])</f>
        <v>-</v>
      </c>
      <c r="C130" s="34" t="str">
        <f>IFERROR(IF(VLOOKUP($B130,casostestes[#Data],10)=0,"Não",VLOOKUP($B130,casostestes[#Data],10)), "-")</f>
        <v>-</v>
      </c>
      <c r="D130" s="35" t="str">
        <f>IFERROR(IF(VLOOKUP($B130,casostestes[#Data],2)=0,"-",VLOOKUP($B130,casostestes[#Data],2)), "-")</f>
        <v>-</v>
      </c>
      <c r="E130" s="35" t="str">
        <f>IFERROR(IF(VLOOKUP($B130,casostestes[#Data],3)=0,"-",VLOOKUP($B130,casostestes[#Data],3)), "-")</f>
        <v>-</v>
      </c>
      <c r="F130" s="35" t="str">
        <f>IFERROR(IF(VLOOKUP($B130,casostestes[#Data],4)=0,"-",VLOOKUP($B130,casostestes[#Data],4)),"-")</f>
        <v>-</v>
      </c>
      <c r="G130" s="35" t="str">
        <f>IFERROR(IF(VLOOKUP($B130,casostestes[#Data],5)=0,"-",VLOOKUP($B130,casostestes[#Data],5)),"-")</f>
        <v>-</v>
      </c>
      <c r="H130" s="35" t="str">
        <f>IFERROR(IF(VLOOKUP($B130,casostestes[#Data],6)=0,"-",VLOOKUP($B130,casostestes[#Data],6)),"-")</f>
        <v>-</v>
      </c>
      <c r="I130" s="35" t="str">
        <f>IFERROR(IF(VLOOKUP($B130,casostestes[#Data],8)=0,"-",VLOOKUP($B130,casostestes[#Data],8)),"-")</f>
        <v>-</v>
      </c>
      <c r="J130" s="35" t="str">
        <f>IFERROR(IF(VLOOKUP($B130,casostestes[#Data],9)=0,"-",VLOOKUP($B130,casostestes[#Data],9)),"-")</f>
        <v>-</v>
      </c>
      <c r="K130" s="36"/>
      <c r="L130" s="45"/>
      <c r="M130" s="37"/>
      <c r="N130" s="38"/>
      <c r="O130" s="38"/>
      <c r="P130" s="39"/>
    </row>
    <row r="131" spans="2:16">
      <c r="B131" s="40" t="str">
        <f>IF(ISERR(casostestes[[#This Row],[ID]]),"-",casostestes[[#This Row],[ID]])</f>
        <v>-</v>
      </c>
      <c r="C131" s="34" t="str">
        <f>IFERROR(IF(VLOOKUP($B131,casostestes[#Data],10)=0,"Não",VLOOKUP($B131,casostestes[#Data],10)), "-")</f>
        <v>-</v>
      </c>
      <c r="D131" s="35" t="str">
        <f>IFERROR(IF(VLOOKUP($B131,casostestes[#Data],2)=0,"-",VLOOKUP($B131,casostestes[#Data],2)), "-")</f>
        <v>-</v>
      </c>
      <c r="E131" s="35" t="str">
        <f>IFERROR(IF(VLOOKUP($B131,casostestes[#Data],3)=0,"-",VLOOKUP($B131,casostestes[#Data],3)), "-")</f>
        <v>-</v>
      </c>
      <c r="F131" s="35" t="str">
        <f>IFERROR(IF(VLOOKUP($B131,casostestes[#Data],4)=0,"-",VLOOKUP($B131,casostestes[#Data],4)),"-")</f>
        <v>-</v>
      </c>
      <c r="G131" s="35" t="str">
        <f>IFERROR(IF(VLOOKUP($B131,casostestes[#Data],5)=0,"-",VLOOKUP($B131,casostestes[#Data],5)),"-")</f>
        <v>-</v>
      </c>
      <c r="H131" s="35" t="str">
        <f>IFERROR(IF(VLOOKUP($B131,casostestes[#Data],6)=0,"-",VLOOKUP($B131,casostestes[#Data],6)),"-")</f>
        <v>-</v>
      </c>
      <c r="I131" s="35" t="str">
        <f>IFERROR(IF(VLOOKUP($B131,casostestes[#Data],8)=0,"-",VLOOKUP($B131,casostestes[#Data],8)),"-")</f>
        <v>-</v>
      </c>
      <c r="J131" s="35" t="str">
        <f>IFERROR(IF(VLOOKUP($B131,casostestes[#Data],9)=0,"-",VLOOKUP($B131,casostestes[#Data],9)),"-")</f>
        <v>-</v>
      </c>
      <c r="K131" s="36"/>
      <c r="L131" s="45"/>
      <c r="M131" s="37"/>
      <c r="N131" s="38"/>
      <c r="O131" s="38"/>
      <c r="P131" s="39"/>
    </row>
    <row r="132" spans="2:16">
      <c r="B132" s="40" t="str">
        <f>IF(ISERR(casostestes[[#This Row],[ID]]),"-",casostestes[[#This Row],[ID]])</f>
        <v>-</v>
      </c>
      <c r="C132" s="34" t="str">
        <f>IFERROR(IF(VLOOKUP($B132,casostestes[#Data],10)=0,"Não",VLOOKUP($B132,casostestes[#Data],10)), "-")</f>
        <v>-</v>
      </c>
      <c r="D132" s="35" t="str">
        <f>IFERROR(IF(VLOOKUP($B132,casostestes[#Data],2)=0,"-",VLOOKUP($B132,casostestes[#Data],2)), "-")</f>
        <v>-</v>
      </c>
      <c r="E132" s="35" t="str">
        <f>IFERROR(IF(VLOOKUP($B132,casostestes[#Data],3)=0,"-",VLOOKUP($B132,casostestes[#Data],3)), "-")</f>
        <v>-</v>
      </c>
      <c r="F132" s="35" t="str">
        <f>IFERROR(IF(VLOOKUP($B132,casostestes[#Data],4)=0,"-",VLOOKUP($B132,casostestes[#Data],4)),"-")</f>
        <v>-</v>
      </c>
      <c r="G132" s="35" t="str">
        <f>IFERROR(IF(VLOOKUP($B132,casostestes[#Data],5)=0,"-",VLOOKUP($B132,casostestes[#Data],5)),"-")</f>
        <v>-</v>
      </c>
      <c r="H132" s="35" t="str">
        <f>IFERROR(IF(VLOOKUP($B132,casostestes[#Data],6)=0,"-",VLOOKUP($B132,casostestes[#Data],6)),"-")</f>
        <v>-</v>
      </c>
      <c r="I132" s="35" t="str">
        <f>IFERROR(IF(VLOOKUP($B132,casostestes[#Data],8)=0,"-",VLOOKUP($B132,casostestes[#Data],8)),"-")</f>
        <v>-</v>
      </c>
      <c r="J132" s="35" t="str">
        <f>IFERROR(IF(VLOOKUP($B132,casostestes[#Data],9)=0,"-",VLOOKUP($B132,casostestes[#Data],9)),"-")</f>
        <v>-</v>
      </c>
      <c r="K132" s="36"/>
      <c r="L132" s="45"/>
      <c r="M132" s="37"/>
      <c r="N132" s="38"/>
      <c r="O132" s="38"/>
      <c r="P132" s="39"/>
    </row>
    <row r="133" spans="2:16">
      <c r="B133" s="40" t="str">
        <f>IF(ISERR(casostestes[[#This Row],[ID]]),"-",casostestes[[#This Row],[ID]])</f>
        <v>-</v>
      </c>
      <c r="C133" s="34" t="str">
        <f>IFERROR(IF(VLOOKUP($B133,casostestes[#Data],10)=0,"Não",VLOOKUP($B133,casostestes[#Data],10)), "-")</f>
        <v>-</v>
      </c>
      <c r="D133" s="35" t="str">
        <f>IFERROR(IF(VLOOKUP($B133,casostestes[#Data],2)=0,"-",VLOOKUP($B133,casostestes[#Data],2)), "-")</f>
        <v>-</v>
      </c>
      <c r="E133" s="35" t="str">
        <f>IFERROR(IF(VLOOKUP($B133,casostestes[#Data],3)=0,"-",VLOOKUP($B133,casostestes[#Data],3)), "-")</f>
        <v>-</v>
      </c>
      <c r="F133" s="35" t="str">
        <f>IFERROR(IF(VLOOKUP($B133,casostestes[#Data],4)=0,"-",VLOOKUP($B133,casostestes[#Data],4)),"-")</f>
        <v>-</v>
      </c>
      <c r="G133" s="35" t="str">
        <f>IFERROR(IF(VLOOKUP($B133,casostestes[#Data],5)=0,"-",VLOOKUP($B133,casostestes[#Data],5)),"-")</f>
        <v>-</v>
      </c>
      <c r="H133" s="35" t="str">
        <f>IFERROR(IF(VLOOKUP($B133,casostestes[#Data],6)=0,"-",VLOOKUP($B133,casostestes[#Data],6)),"-")</f>
        <v>-</v>
      </c>
      <c r="I133" s="35" t="str">
        <f>IFERROR(IF(VLOOKUP($B133,casostestes[#Data],8)=0,"-",VLOOKUP($B133,casostestes[#Data],8)),"-")</f>
        <v>-</v>
      </c>
      <c r="J133" s="35" t="str">
        <f>IFERROR(IF(VLOOKUP($B133,casostestes[#Data],9)=0,"-",VLOOKUP($B133,casostestes[#Data],9)),"-")</f>
        <v>-</v>
      </c>
      <c r="K133" s="36"/>
      <c r="L133" s="45"/>
      <c r="M133" s="37"/>
      <c r="N133" s="38"/>
      <c r="O133" s="38"/>
      <c r="P133" s="39"/>
    </row>
    <row r="134" spans="2:16">
      <c r="B134" s="40" t="str">
        <f>IF(ISERR(casostestes[[#This Row],[ID]]),"-",casostestes[[#This Row],[ID]])</f>
        <v>-</v>
      </c>
      <c r="C134" s="34" t="str">
        <f>IFERROR(IF(VLOOKUP($B134,casostestes[#Data],10)=0,"Não",VLOOKUP($B134,casostestes[#Data],10)), "-")</f>
        <v>-</v>
      </c>
      <c r="D134" s="35" t="str">
        <f>IFERROR(IF(VLOOKUP($B134,casostestes[#Data],2)=0,"-",VLOOKUP($B134,casostestes[#Data],2)), "-")</f>
        <v>-</v>
      </c>
      <c r="E134" s="35" t="str">
        <f>IFERROR(IF(VLOOKUP($B134,casostestes[#Data],3)=0,"-",VLOOKUP($B134,casostestes[#Data],3)), "-")</f>
        <v>-</v>
      </c>
      <c r="F134" s="35" t="str">
        <f>IFERROR(IF(VLOOKUP($B134,casostestes[#Data],4)=0,"-",VLOOKUP($B134,casostestes[#Data],4)),"-")</f>
        <v>-</v>
      </c>
      <c r="G134" s="35" t="str">
        <f>IFERROR(IF(VLOOKUP($B134,casostestes[#Data],5)=0,"-",VLOOKUP($B134,casostestes[#Data],5)),"-")</f>
        <v>-</v>
      </c>
      <c r="H134" s="35" t="str">
        <f>IFERROR(IF(VLOOKUP($B134,casostestes[#Data],6)=0,"-",VLOOKUP($B134,casostestes[#Data],6)),"-")</f>
        <v>-</v>
      </c>
      <c r="I134" s="35" t="str">
        <f>IFERROR(IF(VLOOKUP($B134,casostestes[#Data],8)=0,"-",VLOOKUP($B134,casostestes[#Data],8)),"-")</f>
        <v>-</v>
      </c>
      <c r="J134" s="35" t="str">
        <f>IFERROR(IF(VLOOKUP($B134,casostestes[#Data],9)=0,"-",VLOOKUP($B134,casostestes[#Data],9)),"-")</f>
        <v>-</v>
      </c>
      <c r="K134" s="36"/>
      <c r="L134" s="45"/>
      <c r="M134" s="37"/>
      <c r="N134" s="38"/>
      <c r="O134" s="38"/>
      <c r="P134" s="39"/>
    </row>
    <row r="135" spans="2:16">
      <c r="B135" s="40" t="str">
        <f>IF(ISERR(casostestes[[#This Row],[ID]]),"-",casostestes[[#This Row],[ID]])</f>
        <v>-</v>
      </c>
      <c r="C135" s="34" t="str">
        <f>IFERROR(IF(VLOOKUP($B135,casostestes[#Data],10)=0,"Não",VLOOKUP($B135,casostestes[#Data],10)), "-")</f>
        <v>-</v>
      </c>
      <c r="D135" s="35" t="str">
        <f>IFERROR(IF(VLOOKUP($B135,casostestes[#Data],2)=0,"-",VLOOKUP($B135,casostestes[#Data],2)), "-")</f>
        <v>-</v>
      </c>
      <c r="E135" s="35" t="str">
        <f>IFERROR(IF(VLOOKUP($B135,casostestes[#Data],3)=0,"-",VLOOKUP($B135,casostestes[#Data],3)), "-")</f>
        <v>-</v>
      </c>
      <c r="F135" s="35" t="str">
        <f>IFERROR(IF(VLOOKUP($B135,casostestes[#Data],4)=0,"-",VLOOKUP($B135,casostestes[#Data],4)),"-")</f>
        <v>-</v>
      </c>
      <c r="G135" s="35" t="str">
        <f>IFERROR(IF(VLOOKUP($B135,casostestes[#Data],5)=0,"-",VLOOKUP($B135,casostestes[#Data],5)),"-")</f>
        <v>-</v>
      </c>
      <c r="H135" s="35" t="str">
        <f>IFERROR(IF(VLOOKUP($B135,casostestes[#Data],6)=0,"-",VLOOKUP($B135,casostestes[#Data],6)),"-")</f>
        <v>-</v>
      </c>
      <c r="I135" s="35" t="str">
        <f>IFERROR(IF(VLOOKUP($B135,casostestes[#Data],8)=0,"-",VLOOKUP($B135,casostestes[#Data],8)),"-")</f>
        <v>-</v>
      </c>
      <c r="J135" s="35" t="str">
        <f>IFERROR(IF(VLOOKUP($B135,casostestes[#Data],9)=0,"-",VLOOKUP($B135,casostestes[#Data],9)),"-")</f>
        <v>-</v>
      </c>
      <c r="K135" s="36"/>
      <c r="L135" s="45"/>
      <c r="M135" s="37"/>
      <c r="N135" s="38"/>
      <c r="O135" s="38"/>
      <c r="P135" s="39"/>
    </row>
    <row r="136" spans="2:16">
      <c r="B136" s="40" t="str">
        <f>IF(ISERR(casostestes[[#This Row],[ID]]),"-",casostestes[[#This Row],[ID]])</f>
        <v>-</v>
      </c>
      <c r="C136" s="34" t="str">
        <f>IFERROR(IF(VLOOKUP($B136,casostestes[#Data],10)=0,"Não",VLOOKUP($B136,casostestes[#Data],10)), "-")</f>
        <v>-</v>
      </c>
      <c r="D136" s="35" t="str">
        <f>IFERROR(IF(VLOOKUP($B136,casostestes[#Data],2)=0,"-",VLOOKUP($B136,casostestes[#Data],2)), "-")</f>
        <v>-</v>
      </c>
      <c r="E136" s="35" t="str">
        <f>IFERROR(IF(VLOOKUP($B136,casostestes[#Data],3)=0,"-",VLOOKUP($B136,casostestes[#Data],3)), "-")</f>
        <v>-</v>
      </c>
      <c r="F136" s="35" t="str">
        <f>IFERROR(IF(VLOOKUP($B136,casostestes[#Data],4)=0,"-",VLOOKUP($B136,casostestes[#Data],4)),"-")</f>
        <v>-</v>
      </c>
      <c r="G136" s="35" t="str">
        <f>IFERROR(IF(VLOOKUP($B136,casostestes[#Data],5)=0,"-",VLOOKUP($B136,casostestes[#Data],5)),"-")</f>
        <v>-</v>
      </c>
      <c r="H136" s="35" t="str">
        <f>IFERROR(IF(VLOOKUP($B136,casostestes[#Data],6)=0,"-",VLOOKUP($B136,casostestes[#Data],6)),"-")</f>
        <v>-</v>
      </c>
      <c r="I136" s="35" t="str">
        <f>IFERROR(IF(VLOOKUP($B136,casostestes[#Data],8)=0,"-",VLOOKUP($B136,casostestes[#Data],8)),"-")</f>
        <v>-</v>
      </c>
      <c r="J136" s="35" t="str">
        <f>IFERROR(IF(VLOOKUP($B136,casostestes[#Data],9)=0,"-",VLOOKUP($B136,casostestes[#Data],9)),"-")</f>
        <v>-</v>
      </c>
      <c r="K136" s="36"/>
      <c r="L136" s="45"/>
      <c r="M136" s="37"/>
      <c r="N136" s="38"/>
      <c r="O136" s="38"/>
      <c r="P136" s="39"/>
    </row>
    <row r="137" spans="2:16">
      <c r="B137" s="40" t="str">
        <f>IF(ISERR(casostestes[[#This Row],[ID]]),"-",casostestes[[#This Row],[ID]])</f>
        <v>-</v>
      </c>
      <c r="C137" s="34" t="str">
        <f>IFERROR(IF(VLOOKUP($B137,casostestes[#Data],10)=0,"Não",VLOOKUP($B137,casostestes[#Data],10)), "-")</f>
        <v>-</v>
      </c>
      <c r="D137" s="35" t="str">
        <f>IFERROR(IF(VLOOKUP($B137,casostestes[#Data],2)=0,"-",VLOOKUP($B137,casostestes[#Data],2)), "-")</f>
        <v>-</v>
      </c>
      <c r="E137" s="35" t="str">
        <f>IFERROR(IF(VLOOKUP($B137,casostestes[#Data],3)=0,"-",VLOOKUP($B137,casostestes[#Data],3)), "-")</f>
        <v>-</v>
      </c>
      <c r="F137" s="35" t="str">
        <f>IFERROR(IF(VLOOKUP($B137,casostestes[#Data],4)=0,"-",VLOOKUP($B137,casostestes[#Data],4)),"-")</f>
        <v>-</v>
      </c>
      <c r="G137" s="35" t="str">
        <f>IFERROR(IF(VLOOKUP($B137,casostestes[#Data],5)=0,"-",VLOOKUP($B137,casostestes[#Data],5)),"-")</f>
        <v>-</v>
      </c>
      <c r="H137" s="35" t="str">
        <f>IFERROR(IF(VLOOKUP($B137,casostestes[#Data],6)=0,"-",VLOOKUP($B137,casostestes[#Data],6)),"-")</f>
        <v>-</v>
      </c>
      <c r="I137" s="35" t="str">
        <f>IFERROR(IF(VLOOKUP($B137,casostestes[#Data],8)=0,"-",VLOOKUP($B137,casostestes[#Data],8)),"-")</f>
        <v>-</v>
      </c>
      <c r="J137" s="35" t="str">
        <f>IFERROR(IF(VLOOKUP($B137,casostestes[#Data],9)=0,"-",VLOOKUP($B137,casostestes[#Data],9)),"-")</f>
        <v>-</v>
      </c>
      <c r="K137" s="36"/>
      <c r="L137" s="45"/>
      <c r="M137" s="37"/>
      <c r="N137" s="38"/>
      <c r="O137" s="38"/>
      <c r="P137" s="39"/>
    </row>
    <row r="138" spans="2:16">
      <c r="B138" s="40" t="str">
        <f>IF(ISERR(casostestes[[#This Row],[ID]]),"-",casostestes[[#This Row],[ID]])</f>
        <v>-</v>
      </c>
      <c r="C138" s="34" t="str">
        <f>IFERROR(IF(VLOOKUP($B138,casostestes[#Data],10)=0,"Não",VLOOKUP($B138,casostestes[#Data],10)), "-")</f>
        <v>-</v>
      </c>
      <c r="D138" s="35" t="str">
        <f>IFERROR(IF(VLOOKUP($B138,casostestes[#Data],2)=0,"-",VLOOKUP($B138,casostestes[#Data],2)), "-")</f>
        <v>-</v>
      </c>
      <c r="E138" s="35" t="str">
        <f>IFERROR(IF(VLOOKUP($B138,casostestes[#Data],3)=0,"-",VLOOKUP($B138,casostestes[#Data],3)), "-")</f>
        <v>-</v>
      </c>
      <c r="F138" s="35" t="str">
        <f>IFERROR(IF(VLOOKUP($B138,casostestes[#Data],4)=0,"-",VLOOKUP($B138,casostestes[#Data],4)),"-")</f>
        <v>-</v>
      </c>
      <c r="G138" s="35" t="str">
        <f>IFERROR(IF(VLOOKUP($B138,casostestes[#Data],5)=0,"-",VLOOKUP($B138,casostestes[#Data],5)),"-")</f>
        <v>-</v>
      </c>
      <c r="H138" s="35" t="str">
        <f>IFERROR(IF(VLOOKUP($B138,casostestes[#Data],6)=0,"-",VLOOKUP($B138,casostestes[#Data],6)),"-")</f>
        <v>-</v>
      </c>
      <c r="I138" s="35" t="str">
        <f>IFERROR(IF(VLOOKUP($B138,casostestes[#Data],8)=0,"-",VLOOKUP($B138,casostestes[#Data],8)),"-")</f>
        <v>-</v>
      </c>
      <c r="J138" s="35" t="str">
        <f>IFERROR(IF(VLOOKUP($B138,casostestes[#Data],9)=0,"-",VLOOKUP($B138,casostestes[#Data],9)),"-")</f>
        <v>-</v>
      </c>
      <c r="K138" s="36"/>
      <c r="L138" s="45"/>
      <c r="M138" s="37"/>
      <c r="N138" s="38"/>
      <c r="O138" s="38"/>
      <c r="P138" s="39"/>
    </row>
    <row r="139" spans="2:16">
      <c r="B139" s="40" t="str">
        <f>IF(ISERR(casostestes[[#This Row],[ID]]),"-",casostestes[[#This Row],[ID]])</f>
        <v>-</v>
      </c>
      <c r="C139" s="34" t="str">
        <f>IFERROR(IF(VLOOKUP($B139,casostestes[#Data],10)=0,"Não",VLOOKUP($B139,casostestes[#Data],10)), "-")</f>
        <v>-</v>
      </c>
      <c r="D139" s="35" t="str">
        <f>IFERROR(IF(VLOOKUP($B139,casostestes[#Data],2)=0,"-",VLOOKUP($B139,casostestes[#Data],2)), "-")</f>
        <v>-</v>
      </c>
      <c r="E139" s="35" t="str">
        <f>IFERROR(IF(VLOOKUP($B139,casostestes[#Data],3)=0,"-",VLOOKUP($B139,casostestes[#Data],3)), "-")</f>
        <v>-</v>
      </c>
      <c r="F139" s="35" t="str">
        <f>IFERROR(IF(VLOOKUP($B139,casostestes[#Data],4)=0,"-",VLOOKUP($B139,casostestes[#Data],4)),"-")</f>
        <v>-</v>
      </c>
      <c r="G139" s="35" t="str">
        <f>IFERROR(IF(VLOOKUP($B139,casostestes[#Data],5)=0,"-",VLOOKUP($B139,casostestes[#Data],5)),"-")</f>
        <v>-</v>
      </c>
      <c r="H139" s="35" t="str">
        <f>IFERROR(IF(VLOOKUP($B139,casostestes[#Data],6)=0,"-",VLOOKUP($B139,casostestes[#Data],6)),"-")</f>
        <v>-</v>
      </c>
      <c r="I139" s="35" t="str">
        <f>IFERROR(IF(VLOOKUP($B139,casostestes[#Data],8)=0,"-",VLOOKUP($B139,casostestes[#Data],8)),"-")</f>
        <v>-</v>
      </c>
      <c r="J139" s="35" t="str">
        <f>IFERROR(IF(VLOOKUP($B139,casostestes[#Data],9)=0,"-",VLOOKUP($B139,casostestes[#Data],9)),"-")</f>
        <v>-</v>
      </c>
      <c r="K139" s="36"/>
      <c r="L139" s="45"/>
      <c r="M139" s="37"/>
      <c r="N139" s="38"/>
      <c r="O139" s="38"/>
      <c r="P139" s="39"/>
    </row>
    <row r="140" spans="2:16">
      <c r="B140" s="40" t="str">
        <f>IF(ISERR(casostestes[[#This Row],[ID]]),"-",casostestes[[#This Row],[ID]])</f>
        <v>-</v>
      </c>
      <c r="C140" s="34" t="str">
        <f>IFERROR(IF(VLOOKUP($B140,casostestes[#Data],10)=0,"Não",VLOOKUP($B140,casostestes[#Data],10)), "-")</f>
        <v>-</v>
      </c>
      <c r="D140" s="35" t="str">
        <f>IFERROR(IF(VLOOKUP($B140,casostestes[#Data],2)=0,"-",VLOOKUP($B140,casostestes[#Data],2)), "-")</f>
        <v>-</v>
      </c>
      <c r="E140" s="35" t="str">
        <f>IFERROR(IF(VLOOKUP($B140,casostestes[#Data],3)=0,"-",VLOOKUP($B140,casostestes[#Data],3)), "-")</f>
        <v>-</v>
      </c>
      <c r="F140" s="35" t="str">
        <f>IFERROR(IF(VLOOKUP($B140,casostestes[#Data],4)=0,"-",VLOOKUP($B140,casostestes[#Data],4)),"-")</f>
        <v>-</v>
      </c>
      <c r="G140" s="35" t="str">
        <f>IFERROR(IF(VLOOKUP($B140,casostestes[#Data],5)=0,"-",VLOOKUP($B140,casostestes[#Data],5)),"-")</f>
        <v>-</v>
      </c>
      <c r="H140" s="35" t="str">
        <f>IFERROR(IF(VLOOKUP($B140,casostestes[#Data],6)=0,"-",VLOOKUP($B140,casostestes[#Data],6)),"-")</f>
        <v>-</v>
      </c>
      <c r="I140" s="35" t="str">
        <f>IFERROR(IF(VLOOKUP($B140,casostestes[#Data],8)=0,"-",VLOOKUP($B140,casostestes[#Data],8)),"-")</f>
        <v>-</v>
      </c>
      <c r="J140" s="35" t="str">
        <f>IFERROR(IF(VLOOKUP($B140,casostestes[#Data],9)=0,"-",VLOOKUP($B140,casostestes[#Data],9)),"-")</f>
        <v>-</v>
      </c>
      <c r="K140" s="36"/>
      <c r="L140" s="45"/>
      <c r="M140" s="37"/>
      <c r="N140" s="38"/>
      <c r="O140" s="38"/>
      <c r="P140" s="39"/>
    </row>
    <row r="141" spans="2:16">
      <c r="B141" s="40" t="str">
        <f>IF(ISERR(casostestes[[#This Row],[ID]]),"-",casostestes[[#This Row],[ID]])</f>
        <v>-</v>
      </c>
      <c r="C141" s="34" t="str">
        <f>IFERROR(IF(VLOOKUP($B141,casostestes[#Data],10)=0,"Não",VLOOKUP($B141,casostestes[#Data],10)), "-")</f>
        <v>-</v>
      </c>
      <c r="D141" s="35" t="str">
        <f>IFERROR(IF(VLOOKUP($B141,casostestes[#Data],2)=0,"-",VLOOKUP($B141,casostestes[#Data],2)), "-")</f>
        <v>-</v>
      </c>
      <c r="E141" s="35" t="str">
        <f>IFERROR(IF(VLOOKUP($B141,casostestes[#Data],3)=0,"-",VLOOKUP($B141,casostestes[#Data],3)), "-")</f>
        <v>-</v>
      </c>
      <c r="F141" s="35" t="str">
        <f>IFERROR(IF(VLOOKUP($B141,casostestes[#Data],4)=0,"-",VLOOKUP($B141,casostestes[#Data],4)),"-")</f>
        <v>-</v>
      </c>
      <c r="G141" s="35" t="str">
        <f>IFERROR(IF(VLOOKUP($B141,casostestes[#Data],5)=0,"-",VLOOKUP($B141,casostestes[#Data],5)),"-")</f>
        <v>-</v>
      </c>
      <c r="H141" s="35" t="str">
        <f>IFERROR(IF(VLOOKUP($B141,casostestes[#Data],6)=0,"-",VLOOKUP($B141,casostestes[#Data],6)),"-")</f>
        <v>-</v>
      </c>
      <c r="I141" s="35" t="str">
        <f>IFERROR(IF(VLOOKUP($B141,casostestes[#Data],8)=0,"-",VLOOKUP($B141,casostestes[#Data],8)),"-")</f>
        <v>-</v>
      </c>
      <c r="J141" s="35" t="str">
        <f>IFERROR(IF(VLOOKUP($B141,casostestes[#Data],9)=0,"-",VLOOKUP($B141,casostestes[#Data],9)),"-")</f>
        <v>-</v>
      </c>
      <c r="K141" s="36"/>
      <c r="L141" s="45"/>
      <c r="M141" s="37"/>
      <c r="N141" s="38"/>
      <c r="O141" s="38"/>
      <c r="P141" s="39"/>
    </row>
    <row r="142" spans="2:16">
      <c r="B142" s="40" t="str">
        <f>IF(ISERR(casostestes[[#This Row],[ID]]),"-",casostestes[[#This Row],[ID]])</f>
        <v>-</v>
      </c>
      <c r="C142" s="34" t="str">
        <f>IFERROR(IF(VLOOKUP($B142,casostestes[#Data],10)=0,"Não",VLOOKUP($B142,casostestes[#Data],10)), "-")</f>
        <v>-</v>
      </c>
      <c r="D142" s="35" t="str">
        <f>IFERROR(IF(VLOOKUP($B142,casostestes[#Data],2)=0,"-",VLOOKUP($B142,casostestes[#Data],2)), "-")</f>
        <v>-</v>
      </c>
      <c r="E142" s="35" t="str">
        <f>IFERROR(IF(VLOOKUP($B142,casostestes[#Data],3)=0,"-",VLOOKUP($B142,casostestes[#Data],3)), "-")</f>
        <v>-</v>
      </c>
      <c r="F142" s="35" t="str">
        <f>IFERROR(IF(VLOOKUP($B142,casostestes[#Data],4)=0,"-",VLOOKUP($B142,casostestes[#Data],4)),"-")</f>
        <v>-</v>
      </c>
      <c r="G142" s="35" t="str">
        <f>IFERROR(IF(VLOOKUP($B142,casostestes[#Data],5)=0,"-",VLOOKUP($B142,casostestes[#Data],5)),"-")</f>
        <v>-</v>
      </c>
      <c r="H142" s="35" t="str">
        <f>IFERROR(IF(VLOOKUP($B142,casostestes[#Data],6)=0,"-",VLOOKUP($B142,casostestes[#Data],6)),"-")</f>
        <v>-</v>
      </c>
      <c r="I142" s="35" t="str">
        <f>IFERROR(IF(VLOOKUP($B142,casostestes[#Data],8)=0,"-",VLOOKUP($B142,casostestes[#Data],8)),"-")</f>
        <v>-</v>
      </c>
      <c r="J142" s="35" t="str">
        <f>IFERROR(IF(VLOOKUP($B142,casostestes[#Data],9)=0,"-",VLOOKUP($B142,casostestes[#Data],9)),"-")</f>
        <v>-</v>
      </c>
      <c r="K142" s="36"/>
      <c r="L142" s="45"/>
      <c r="M142" s="37"/>
      <c r="N142" s="38"/>
      <c r="O142" s="38"/>
      <c r="P142" s="39"/>
    </row>
    <row r="143" spans="2:16">
      <c r="B143" s="40" t="str">
        <f>IF(ISERR(casostestes[[#This Row],[ID]]),"-",casostestes[[#This Row],[ID]])</f>
        <v>-</v>
      </c>
      <c r="C143" s="34" t="str">
        <f>IFERROR(IF(VLOOKUP($B143,casostestes[#Data],10)=0,"Não",VLOOKUP($B143,casostestes[#Data],10)), "-")</f>
        <v>-</v>
      </c>
      <c r="D143" s="35" t="str">
        <f>IFERROR(IF(VLOOKUP($B143,casostestes[#Data],2)=0,"-",VLOOKUP($B143,casostestes[#Data],2)), "-")</f>
        <v>-</v>
      </c>
      <c r="E143" s="35" t="str">
        <f>IFERROR(IF(VLOOKUP($B143,casostestes[#Data],3)=0,"-",VLOOKUP($B143,casostestes[#Data],3)), "-")</f>
        <v>-</v>
      </c>
      <c r="F143" s="35" t="str">
        <f>IFERROR(IF(VLOOKUP($B143,casostestes[#Data],4)=0,"-",VLOOKUP($B143,casostestes[#Data],4)),"-")</f>
        <v>-</v>
      </c>
      <c r="G143" s="35" t="str">
        <f>IFERROR(IF(VLOOKUP($B143,casostestes[#Data],5)=0,"-",VLOOKUP($B143,casostestes[#Data],5)),"-")</f>
        <v>-</v>
      </c>
      <c r="H143" s="35" t="str">
        <f>IFERROR(IF(VLOOKUP($B143,casostestes[#Data],6)=0,"-",VLOOKUP($B143,casostestes[#Data],6)),"-")</f>
        <v>-</v>
      </c>
      <c r="I143" s="35" t="str">
        <f>IFERROR(IF(VLOOKUP($B143,casostestes[#Data],8)=0,"-",VLOOKUP($B143,casostestes[#Data],8)),"-")</f>
        <v>-</v>
      </c>
      <c r="J143" s="35" t="str">
        <f>IFERROR(IF(VLOOKUP($B143,casostestes[#Data],9)=0,"-",VLOOKUP($B143,casostestes[#Data],9)),"-")</f>
        <v>-</v>
      </c>
      <c r="K143" s="36"/>
      <c r="L143" s="45"/>
      <c r="M143" s="37"/>
      <c r="N143" s="38"/>
      <c r="O143" s="38"/>
      <c r="P143" s="39"/>
    </row>
    <row r="144" spans="2:16">
      <c r="B144" s="40" t="str">
        <f>IF(ISERR(casostestes[[#This Row],[ID]]),"-",casostestes[[#This Row],[ID]])</f>
        <v>-</v>
      </c>
      <c r="C144" s="34" t="str">
        <f>IFERROR(IF(VLOOKUP($B144,casostestes[#Data],10)=0,"Não",VLOOKUP($B144,casostestes[#Data],10)), "-")</f>
        <v>-</v>
      </c>
      <c r="D144" s="35" t="str">
        <f>IFERROR(IF(VLOOKUP($B144,casostestes[#Data],2)=0,"-",VLOOKUP($B144,casostestes[#Data],2)), "-")</f>
        <v>-</v>
      </c>
      <c r="E144" s="35" t="str">
        <f>IFERROR(IF(VLOOKUP($B144,casostestes[#Data],3)=0,"-",VLOOKUP($B144,casostestes[#Data],3)), "-")</f>
        <v>-</v>
      </c>
      <c r="F144" s="35" t="str">
        <f>IFERROR(IF(VLOOKUP($B144,casostestes[#Data],4)=0,"-",VLOOKUP($B144,casostestes[#Data],4)),"-")</f>
        <v>-</v>
      </c>
      <c r="G144" s="35" t="str">
        <f>IFERROR(IF(VLOOKUP($B144,casostestes[#Data],5)=0,"-",VLOOKUP($B144,casostestes[#Data],5)),"-")</f>
        <v>-</v>
      </c>
      <c r="H144" s="35" t="str">
        <f>IFERROR(IF(VLOOKUP($B144,casostestes[#Data],6)=0,"-",VLOOKUP($B144,casostestes[#Data],6)),"-")</f>
        <v>-</v>
      </c>
      <c r="I144" s="35" t="str">
        <f>IFERROR(IF(VLOOKUP($B144,casostestes[#Data],8)=0,"-",VLOOKUP($B144,casostestes[#Data],8)),"-")</f>
        <v>-</v>
      </c>
      <c r="J144" s="35" t="str">
        <f>IFERROR(IF(VLOOKUP($B144,casostestes[#Data],9)=0,"-",VLOOKUP($B144,casostestes[#Data],9)),"-")</f>
        <v>-</v>
      </c>
      <c r="K144" s="36"/>
      <c r="L144" s="45"/>
      <c r="M144" s="37"/>
      <c r="N144" s="38"/>
      <c r="O144" s="38"/>
      <c r="P144" s="39"/>
    </row>
    <row r="145" spans="2:16">
      <c r="B145" s="40" t="str">
        <f>IF(ISERR(casostestes[[#This Row],[ID]]),"-",casostestes[[#This Row],[ID]])</f>
        <v>-</v>
      </c>
      <c r="C145" s="34" t="str">
        <f>IFERROR(IF(VLOOKUP($B145,casostestes[#Data],10)=0,"Não",VLOOKUP($B145,casostestes[#Data],10)), "-")</f>
        <v>-</v>
      </c>
      <c r="D145" s="35" t="str">
        <f>IFERROR(IF(VLOOKUP($B145,casostestes[#Data],2)=0,"-",VLOOKUP($B145,casostestes[#Data],2)), "-")</f>
        <v>-</v>
      </c>
      <c r="E145" s="35" t="str">
        <f>IFERROR(IF(VLOOKUP($B145,casostestes[#Data],3)=0,"-",VLOOKUP($B145,casostestes[#Data],3)), "-")</f>
        <v>-</v>
      </c>
      <c r="F145" s="35" t="str">
        <f>IFERROR(IF(VLOOKUP($B145,casostestes[#Data],4)=0,"-",VLOOKUP($B145,casostestes[#Data],4)),"-")</f>
        <v>-</v>
      </c>
      <c r="G145" s="35" t="str">
        <f>IFERROR(IF(VLOOKUP($B145,casostestes[#Data],5)=0,"-",VLOOKUP($B145,casostestes[#Data],5)),"-")</f>
        <v>-</v>
      </c>
      <c r="H145" s="35" t="str">
        <f>IFERROR(IF(VLOOKUP($B145,casostestes[#Data],6)=0,"-",VLOOKUP($B145,casostestes[#Data],6)),"-")</f>
        <v>-</v>
      </c>
      <c r="I145" s="35" t="str">
        <f>IFERROR(IF(VLOOKUP($B145,casostestes[#Data],8)=0,"-",VLOOKUP($B145,casostestes[#Data],8)),"-")</f>
        <v>-</v>
      </c>
      <c r="J145" s="35" t="str">
        <f>IFERROR(IF(VLOOKUP($B145,casostestes[#Data],9)=0,"-",VLOOKUP($B145,casostestes[#Data],9)),"-")</f>
        <v>-</v>
      </c>
      <c r="K145" s="36"/>
      <c r="L145" s="45"/>
      <c r="M145" s="37"/>
      <c r="N145" s="38"/>
      <c r="O145" s="38"/>
      <c r="P145" s="39"/>
    </row>
    <row r="146" spans="2:16">
      <c r="B146" s="40" t="str">
        <f>IF(ISERR(casostestes[[#This Row],[ID]]),"-",casostestes[[#This Row],[ID]])</f>
        <v>-</v>
      </c>
      <c r="C146" s="34" t="str">
        <f>IFERROR(IF(VLOOKUP($B146,casostestes[#Data],10)=0,"Não",VLOOKUP($B146,casostestes[#Data],10)), "-")</f>
        <v>-</v>
      </c>
      <c r="D146" s="35" t="str">
        <f>IFERROR(IF(VLOOKUP($B146,casostestes[#Data],2)=0,"-",VLOOKUP($B146,casostestes[#Data],2)), "-")</f>
        <v>-</v>
      </c>
      <c r="E146" s="35" t="str">
        <f>IFERROR(IF(VLOOKUP($B146,casostestes[#Data],3)=0,"-",VLOOKUP($B146,casostestes[#Data],3)), "-")</f>
        <v>-</v>
      </c>
      <c r="F146" s="35" t="str">
        <f>IFERROR(IF(VLOOKUP($B146,casostestes[#Data],4)=0,"-",VLOOKUP($B146,casostestes[#Data],4)),"-")</f>
        <v>-</v>
      </c>
      <c r="G146" s="35" t="str">
        <f>IFERROR(IF(VLOOKUP($B146,casostestes[#Data],5)=0,"-",VLOOKUP($B146,casostestes[#Data],5)),"-")</f>
        <v>-</v>
      </c>
      <c r="H146" s="35" t="str">
        <f>IFERROR(IF(VLOOKUP($B146,casostestes[#Data],6)=0,"-",VLOOKUP($B146,casostestes[#Data],6)),"-")</f>
        <v>-</v>
      </c>
      <c r="I146" s="35" t="str">
        <f>IFERROR(IF(VLOOKUP($B146,casostestes[#Data],8)=0,"-",VLOOKUP($B146,casostestes[#Data],8)),"-")</f>
        <v>-</v>
      </c>
      <c r="J146" s="35" t="str">
        <f>IFERROR(IF(VLOOKUP($B146,casostestes[#Data],9)=0,"-",VLOOKUP($B146,casostestes[#Data],9)),"-")</f>
        <v>-</v>
      </c>
      <c r="K146" s="36"/>
      <c r="L146" s="45"/>
      <c r="M146" s="37"/>
      <c r="N146" s="38"/>
      <c r="O146" s="38"/>
      <c r="P146" s="39"/>
    </row>
    <row r="147" spans="2:16">
      <c r="B147" s="40" t="str">
        <f>IF(ISERR(casostestes[[#This Row],[ID]]),"-",casostestes[[#This Row],[ID]])</f>
        <v>-</v>
      </c>
      <c r="C147" s="34" t="str">
        <f>IFERROR(IF(VLOOKUP($B147,casostestes[#Data],10)=0,"Não",VLOOKUP($B147,casostestes[#Data],10)), "-")</f>
        <v>-</v>
      </c>
      <c r="D147" s="35" t="str">
        <f>IFERROR(IF(VLOOKUP($B147,casostestes[#Data],2)=0,"-",VLOOKUP($B147,casostestes[#Data],2)), "-")</f>
        <v>-</v>
      </c>
      <c r="E147" s="35" t="str">
        <f>IFERROR(IF(VLOOKUP($B147,casostestes[#Data],3)=0,"-",VLOOKUP($B147,casostestes[#Data],3)), "-")</f>
        <v>-</v>
      </c>
      <c r="F147" s="35" t="str">
        <f>IFERROR(IF(VLOOKUP($B147,casostestes[#Data],4)=0,"-",VLOOKUP($B147,casostestes[#Data],4)),"-")</f>
        <v>-</v>
      </c>
      <c r="G147" s="35" t="str">
        <f>IFERROR(IF(VLOOKUP($B147,casostestes[#Data],5)=0,"-",VLOOKUP($B147,casostestes[#Data],5)),"-")</f>
        <v>-</v>
      </c>
      <c r="H147" s="35" t="str">
        <f>IFERROR(IF(VLOOKUP($B147,casostestes[#Data],6)=0,"-",VLOOKUP($B147,casostestes[#Data],6)),"-")</f>
        <v>-</v>
      </c>
      <c r="I147" s="35" t="str">
        <f>IFERROR(IF(VLOOKUP($B147,casostestes[#Data],8)=0,"-",VLOOKUP($B147,casostestes[#Data],8)),"-")</f>
        <v>-</v>
      </c>
      <c r="J147" s="35" t="str">
        <f>IFERROR(IF(VLOOKUP($B147,casostestes[#Data],9)=0,"-",VLOOKUP($B147,casostestes[#Data],9)),"-")</f>
        <v>-</v>
      </c>
      <c r="K147" s="36"/>
      <c r="L147" s="45"/>
      <c r="M147" s="37"/>
      <c r="N147" s="38"/>
      <c r="O147" s="38"/>
      <c r="P147" s="39"/>
    </row>
    <row r="148" spans="2:16">
      <c r="B148" s="40" t="str">
        <f>IF(ISERR(casostestes[[#This Row],[ID]]),"-",casostestes[[#This Row],[ID]])</f>
        <v>-</v>
      </c>
      <c r="C148" s="34" t="str">
        <f>IFERROR(IF(VLOOKUP($B148,casostestes[#Data],10)=0,"Não",VLOOKUP($B148,casostestes[#Data],10)), "-")</f>
        <v>-</v>
      </c>
      <c r="D148" s="35" t="str">
        <f>IFERROR(IF(VLOOKUP($B148,casostestes[#Data],2)=0,"-",VLOOKUP($B148,casostestes[#Data],2)), "-")</f>
        <v>-</v>
      </c>
      <c r="E148" s="35" t="str">
        <f>IFERROR(IF(VLOOKUP($B148,casostestes[#Data],3)=0,"-",VLOOKUP($B148,casostestes[#Data],3)), "-")</f>
        <v>-</v>
      </c>
      <c r="F148" s="35" t="str">
        <f>IFERROR(IF(VLOOKUP($B148,casostestes[#Data],4)=0,"-",VLOOKUP($B148,casostestes[#Data],4)),"-")</f>
        <v>-</v>
      </c>
      <c r="G148" s="35" t="str">
        <f>IFERROR(IF(VLOOKUP($B148,casostestes[#Data],5)=0,"-",VLOOKUP($B148,casostestes[#Data],5)),"-")</f>
        <v>-</v>
      </c>
      <c r="H148" s="35" t="str">
        <f>IFERROR(IF(VLOOKUP($B148,casostestes[#Data],6)=0,"-",VLOOKUP($B148,casostestes[#Data],6)),"-")</f>
        <v>-</v>
      </c>
      <c r="I148" s="35" t="str">
        <f>IFERROR(IF(VLOOKUP($B148,casostestes[#Data],8)=0,"-",VLOOKUP($B148,casostestes[#Data],8)),"-")</f>
        <v>-</v>
      </c>
      <c r="J148" s="35" t="str">
        <f>IFERROR(IF(VLOOKUP($B148,casostestes[#Data],9)=0,"-",VLOOKUP($B148,casostestes[#Data],9)),"-")</f>
        <v>-</v>
      </c>
      <c r="K148" s="36"/>
      <c r="L148" s="45"/>
      <c r="M148" s="37"/>
      <c r="N148" s="38"/>
      <c r="O148" s="38"/>
      <c r="P148" s="39"/>
    </row>
    <row r="149" spans="2:16">
      <c r="B149" s="40" t="str">
        <f>IF(ISERR(casostestes[[#This Row],[ID]]),"-",casostestes[[#This Row],[ID]])</f>
        <v>-</v>
      </c>
      <c r="C149" s="34" t="str">
        <f>IFERROR(IF(VLOOKUP($B149,casostestes[#Data],10)=0,"Não",VLOOKUP($B149,casostestes[#Data],10)), "-")</f>
        <v>-</v>
      </c>
      <c r="D149" s="35" t="str">
        <f>IFERROR(IF(VLOOKUP($B149,casostestes[#Data],2)=0,"-",VLOOKUP($B149,casostestes[#Data],2)), "-")</f>
        <v>-</v>
      </c>
      <c r="E149" s="35" t="str">
        <f>IFERROR(IF(VLOOKUP($B149,casostestes[#Data],3)=0,"-",VLOOKUP($B149,casostestes[#Data],3)), "-")</f>
        <v>-</v>
      </c>
      <c r="F149" s="35" t="str">
        <f>IFERROR(IF(VLOOKUP($B149,casostestes[#Data],4)=0,"-",VLOOKUP($B149,casostestes[#Data],4)),"-")</f>
        <v>-</v>
      </c>
      <c r="G149" s="35" t="str">
        <f>IFERROR(IF(VLOOKUP($B149,casostestes[#Data],5)=0,"-",VLOOKUP($B149,casostestes[#Data],5)),"-")</f>
        <v>-</v>
      </c>
      <c r="H149" s="35" t="str">
        <f>IFERROR(IF(VLOOKUP($B149,casostestes[#Data],6)=0,"-",VLOOKUP($B149,casostestes[#Data],6)),"-")</f>
        <v>-</v>
      </c>
      <c r="I149" s="35" t="str">
        <f>IFERROR(IF(VLOOKUP($B149,casostestes[#Data],8)=0,"-",VLOOKUP($B149,casostestes[#Data],8)),"-")</f>
        <v>-</v>
      </c>
      <c r="J149" s="35" t="str">
        <f>IFERROR(IF(VLOOKUP($B149,casostestes[#Data],9)=0,"-",VLOOKUP($B149,casostestes[#Data],9)),"-")</f>
        <v>-</v>
      </c>
      <c r="K149" s="36"/>
      <c r="L149" s="45"/>
      <c r="M149" s="37"/>
      <c r="N149" s="38"/>
      <c r="O149" s="38"/>
      <c r="P149" s="39"/>
    </row>
    <row r="150" spans="2:16">
      <c r="B150" s="40" t="str">
        <f>IF(ISERR(casostestes[[#This Row],[ID]]),"-",casostestes[[#This Row],[ID]])</f>
        <v>-</v>
      </c>
      <c r="C150" s="34" t="str">
        <f>IFERROR(IF(VLOOKUP($B150,casostestes[#Data],10)=0,"Não",VLOOKUP($B150,casostestes[#Data],10)), "-")</f>
        <v>-</v>
      </c>
      <c r="D150" s="35" t="str">
        <f>IFERROR(IF(VLOOKUP($B150,casostestes[#Data],2)=0,"-",VLOOKUP($B150,casostestes[#Data],2)), "-")</f>
        <v>-</v>
      </c>
      <c r="E150" s="35" t="str">
        <f>IFERROR(IF(VLOOKUP($B150,casostestes[#Data],3)=0,"-",VLOOKUP($B150,casostestes[#Data],3)), "-")</f>
        <v>-</v>
      </c>
      <c r="F150" s="35" t="str">
        <f>IFERROR(IF(VLOOKUP($B150,casostestes[#Data],4)=0,"-",VLOOKUP($B150,casostestes[#Data],4)),"-")</f>
        <v>-</v>
      </c>
      <c r="G150" s="35" t="str">
        <f>IFERROR(IF(VLOOKUP($B150,casostestes[#Data],5)=0,"-",VLOOKUP($B150,casostestes[#Data],5)),"-")</f>
        <v>-</v>
      </c>
      <c r="H150" s="35" t="str">
        <f>IFERROR(IF(VLOOKUP($B150,casostestes[#Data],6)=0,"-",VLOOKUP($B150,casostestes[#Data],6)),"-")</f>
        <v>-</v>
      </c>
      <c r="I150" s="35" t="str">
        <f>IFERROR(IF(VLOOKUP($B150,casostestes[#Data],8)=0,"-",VLOOKUP($B150,casostestes[#Data],8)),"-")</f>
        <v>-</v>
      </c>
      <c r="J150" s="35" t="str">
        <f>IFERROR(IF(VLOOKUP($B150,casostestes[#Data],9)=0,"-",VLOOKUP($B150,casostestes[#Data],9)),"-")</f>
        <v>-</v>
      </c>
      <c r="K150" s="36"/>
      <c r="L150" s="45"/>
      <c r="M150" s="37"/>
      <c r="N150" s="38"/>
      <c r="O150" s="38"/>
      <c r="P150" s="39"/>
    </row>
    <row r="151" spans="2:16">
      <c r="B151" s="40" t="str">
        <f>IF(ISERR(casostestes[[#This Row],[ID]]),"-",casostestes[[#This Row],[ID]])</f>
        <v>-</v>
      </c>
      <c r="C151" s="34" t="str">
        <f>IFERROR(IF(VLOOKUP($B151,casostestes[#Data],10)=0,"Não",VLOOKUP($B151,casostestes[#Data],10)), "-")</f>
        <v>-</v>
      </c>
      <c r="D151" s="35" t="str">
        <f>IFERROR(IF(VLOOKUP($B151,casostestes[#Data],2)=0,"-",VLOOKUP($B151,casostestes[#Data],2)), "-")</f>
        <v>-</v>
      </c>
      <c r="E151" s="35" t="str">
        <f>IFERROR(IF(VLOOKUP($B151,casostestes[#Data],3)=0,"-",VLOOKUP($B151,casostestes[#Data],3)), "-")</f>
        <v>-</v>
      </c>
      <c r="F151" s="35" t="str">
        <f>IFERROR(IF(VLOOKUP($B151,casostestes[#Data],4)=0,"-",VLOOKUP($B151,casostestes[#Data],4)),"-")</f>
        <v>-</v>
      </c>
      <c r="G151" s="35" t="str">
        <f>IFERROR(IF(VLOOKUP($B151,casostestes[#Data],5)=0,"-",VLOOKUP($B151,casostestes[#Data],5)),"-")</f>
        <v>-</v>
      </c>
      <c r="H151" s="35" t="str">
        <f>IFERROR(IF(VLOOKUP($B151,casostestes[#Data],6)=0,"-",VLOOKUP($B151,casostestes[#Data],6)),"-")</f>
        <v>-</v>
      </c>
      <c r="I151" s="35" t="str">
        <f>IFERROR(IF(VLOOKUP($B151,casostestes[#Data],8)=0,"-",VLOOKUP($B151,casostestes[#Data],8)),"-")</f>
        <v>-</v>
      </c>
      <c r="J151" s="35" t="str">
        <f>IFERROR(IF(VLOOKUP($B151,casostestes[#Data],9)=0,"-",VLOOKUP($B151,casostestes[#Data],9)),"-")</f>
        <v>-</v>
      </c>
      <c r="K151" s="36"/>
      <c r="L151" s="45"/>
      <c r="M151" s="37"/>
      <c r="N151" s="38"/>
      <c r="O151" s="38"/>
      <c r="P151" s="39"/>
    </row>
    <row r="152" spans="2:16">
      <c r="B152" s="40" t="str">
        <f>IF(ISERR(casostestes[[#This Row],[ID]]),"-",casostestes[[#This Row],[ID]])</f>
        <v>-</v>
      </c>
      <c r="C152" s="34" t="str">
        <f>IFERROR(IF(VLOOKUP($B152,casostestes[#Data],10)=0,"Não",VLOOKUP($B152,casostestes[#Data],10)), "-")</f>
        <v>-</v>
      </c>
      <c r="D152" s="35" t="str">
        <f>IFERROR(IF(VLOOKUP($B152,casostestes[#Data],2)=0,"-",VLOOKUP($B152,casostestes[#Data],2)), "-")</f>
        <v>-</v>
      </c>
      <c r="E152" s="35" t="str">
        <f>IFERROR(IF(VLOOKUP($B152,casostestes[#Data],3)=0,"-",VLOOKUP($B152,casostestes[#Data],3)), "-")</f>
        <v>-</v>
      </c>
      <c r="F152" s="35" t="str">
        <f>IFERROR(IF(VLOOKUP($B152,casostestes[#Data],4)=0,"-",VLOOKUP($B152,casostestes[#Data],4)),"-")</f>
        <v>-</v>
      </c>
      <c r="G152" s="35" t="str">
        <f>IFERROR(IF(VLOOKUP($B152,casostestes[#Data],5)=0,"-",VLOOKUP($B152,casostestes[#Data],5)),"-")</f>
        <v>-</v>
      </c>
      <c r="H152" s="35" t="str">
        <f>IFERROR(IF(VLOOKUP($B152,casostestes[#Data],6)=0,"-",VLOOKUP($B152,casostestes[#Data],6)),"-")</f>
        <v>-</v>
      </c>
      <c r="I152" s="35" t="str">
        <f>IFERROR(IF(VLOOKUP($B152,casostestes[#Data],8)=0,"-",VLOOKUP($B152,casostestes[#Data],8)),"-")</f>
        <v>-</v>
      </c>
      <c r="J152" s="35" t="str">
        <f>IFERROR(IF(VLOOKUP($B152,casostestes[#Data],9)=0,"-",VLOOKUP($B152,casostestes[#Data],9)),"-")</f>
        <v>-</v>
      </c>
      <c r="K152" s="36"/>
      <c r="L152" s="45"/>
      <c r="M152" s="37"/>
      <c r="N152" s="38"/>
      <c r="O152" s="38"/>
      <c r="P152" s="39"/>
    </row>
    <row r="153" spans="2:16">
      <c r="B153" s="40" t="str">
        <f>IF(ISERR(casostestes[[#This Row],[ID]]),"-",casostestes[[#This Row],[ID]])</f>
        <v>-</v>
      </c>
      <c r="C153" s="34" t="str">
        <f>IFERROR(IF(VLOOKUP($B153,casostestes[#Data],10)=0,"Não",VLOOKUP($B153,casostestes[#Data],10)), "-")</f>
        <v>-</v>
      </c>
      <c r="D153" s="35" t="str">
        <f>IFERROR(IF(VLOOKUP($B153,casostestes[#Data],2)=0,"-",VLOOKUP($B153,casostestes[#Data],2)), "-")</f>
        <v>-</v>
      </c>
      <c r="E153" s="35" t="str">
        <f>IFERROR(IF(VLOOKUP($B153,casostestes[#Data],3)=0,"-",VLOOKUP($B153,casostestes[#Data],3)), "-")</f>
        <v>-</v>
      </c>
      <c r="F153" s="35" t="str">
        <f>IFERROR(IF(VLOOKUP($B153,casostestes[#Data],4)=0,"-",VLOOKUP($B153,casostestes[#Data],4)),"-")</f>
        <v>-</v>
      </c>
      <c r="G153" s="35" t="str">
        <f>IFERROR(IF(VLOOKUP($B153,casostestes[#Data],5)=0,"-",VLOOKUP($B153,casostestes[#Data],5)),"-")</f>
        <v>-</v>
      </c>
      <c r="H153" s="35" t="str">
        <f>IFERROR(IF(VLOOKUP($B153,casostestes[#Data],6)=0,"-",VLOOKUP($B153,casostestes[#Data],6)),"-")</f>
        <v>-</v>
      </c>
      <c r="I153" s="35" t="str">
        <f>IFERROR(IF(VLOOKUP($B153,casostestes[#Data],8)=0,"-",VLOOKUP($B153,casostestes[#Data],8)),"-")</f>
        <v>-</v>
      </c>
      <c r="J153" s="35" t="str">
        <f>IFERROR(IF(VLOOKUP($B153,casostestes[#Data],9)=0,"-",VLOOKUP($B153,casostestes[#Data],9)),"-")</f>
        <v>-</v>
      </c>
      <c r="K153" s="36"/>
      <c r="L153" s="45"/>
      <c r="M153" s="37"/>
      <c r="N153" s="38"/>
      <c r="O153" s="38"/>
      <c r="P153" s="39"/>
    </row>
    <row r="154" spans="2:16">
      <c r="B154" s="40" t="str">
        <f>IF(ISERR(casostestes[[#This Row],[ID]]),"-",casostestes[[#This Row],[ID]])</f>
        <v>-</v>
      </c>
      <c r="C154" s="34" t="str">
        <f>IFERROR(IF(VLOOKUP($B154,casostestes[#Data],10)=0,"Não",VLOOKUP($B154,casostestes[#Data],10)), "-")</f>
        <v>-</v>
      </c>
      <c r="D154" s="35" t="str">
        <f>IFERROR(IF(VLOOKUP($B154,casostestes[#Data],2)=0,"-",VLOOKUP($B154,casostestes[#Data],2)), "-")</f>
        <v>-</v>
      </c>
      <c r="E154" s="35" t="str">
        <f>IFERROR(IF(VLOOKUP($B154,casostestes[#Data],3)=0,"-",VLOOKUP($B154,casostestes[#Data],3)), "-")</f>
        <v>-</v>
      </c>
      <c r="F154" s="35" t="str">
        <f>IFERROR(IF(VLOOKUP($B154,casostestes[#Data],4)=0,"-",VLOOKUP($B154,casostestes[#Data],4)),"-")</f>
        <v>-</v>
      </c>
      <c r="G154" s="35" t="str">
        <f>IFERROR(IF(VLOOKUP($B154,casostestes[#Data],5)=0,"-",VLOOKUP($B154,casostestes[#Data],5)),"-")</f>
        <v>-</v>
      </c>
      <c r="H154" s="35" t="str">
        <f>IFERROR(IF(VLOOKUP($B154,casostestes[#Data],6)=0,"-",VLOOKUP($B154,casostestes[#Data],6)),"-")</f>
        <v>-</v>
      </c>
      <c r="I154" s="35" t="str">
        <f>IFERROR(IF(VLOOKUP($B154,casostestes[#Data],8)=0,"-",VLOOKUP($B154,casostestes[#Data],8)),"-")</f>
        <v>-</v>
      </c>
      <c r="J154" s="35" t="str">
        <f>IFERROR(IF(VLOOKUP($B154,casostestes[#Data],9)=0,"-",VLOOKUP($B154,casostestes[#Data],9)),"-")</f>
        <v>-</v>
      </c>
      <c r="K154" s="36"/>
      <c r="L154" s="45"/>
      <c r="M154" s="37"/>
      <c r="N154" s="38"/>
      <c r="O154" s="38"/>
      <c r="P154" s="39"/>
    </row>
    <row r="155" spans="2:16">
      <c r="B155" s="40" t="str">
        <f>IF(ISERR(casostestes[[#This Row],[ID]]),"-",casostestes[[#This Row],[ID]])</f>
        <v>-</v>
      </c>
      <c r="C155" s="34" t="str">
        <f>IFERROR(IF(VLOOKUP($B155,casostestes[#Data],10)=0,"Não",VLOOKUP($B155,casostestes[#Data],10)), "-")</f>
        <v>-</v>
      </c>
      <c r="D155" s="35" t="str">
        <f>IFERROR(IF(VLOOKUP($B155,casostestes[#Data],2)=0,"-",VLOOKUP($B155,casostestes[#Data],2)), "-")</f>
        <v>-</v>
      </c>
      <c r="E155" s="35" t="str">
        <f>IFERROR(IF(VLOOKUP($B155,casostestes[#Data],3)=0,"-",VLOOKUP($B155,casostestes[#Data],3)), "-")</f>
        <v>-</v>
      </c>
      <c r="F155" s="35" t="str">
        <f>IFERROR(IF(VLOOKUP($B155,casostestes[#Data],4)=0,"-",VLOOKUP($B155,casostestes[#Data],4)),"-")</f>
        <v>-</v>
      </c>
      <c r="G155" s="35" t="str">
        <f>IFERROR(IF(VLOOKUP($B155,casostestes[#Data],5)=0,"-",VLOOKUP($B155,casostestes[#Data],5)),"-")</f>
        <v>-</v>
      </c>
      <c r="H155" s="35" t="str">
        <f>IFERROR(IF(VLOOKUP($B155,casostestes[#Data],6)=0,"-",VLOOKUP($B155,casostestes[#Data],6)),"-")</f>
        <v>-</v>
      </c>
      <c r="I155" s="35" t="str">
        <f>IFERROR(IF(VLOOKUP($B155,casostestes[#Data],8)=0,"-",VLOOKUP($B155,casostestes[#Data],8)),"-")</f>
        <v>-</v>
      </c>
      <c r="J155" s="35" t="str">
        <f>IFERROR(IF(VLOOKUP($B155,casostestes[#Data],9)=0,"-",VLOOKUP($B155,casostestes[#Data],9)),"-")</f>
        <v>-</v>
      </c>
      <c r="K155" s="36"/>
      <c r="L155" s="45"/>
      <c r="M155" s="37"/>
      <c r="N155" s="38"/>
      <c r="O155" s="38"/>
      <c r="P155" s="39"/>
    </row>
    <row r="156" spans="2:16">
      <c r="B156" s="40" t="str">
        <f>IF(ISERR(casostestes[[#This Row],[ID]]),"-",casostestes[[#This Row],[ID]])</f>
        <v>-</v>
      </c>
      <c r="C156" s="34" t="str">
        <f>IFERROR(IF(VLOOKUP($B156,casostestes[#Data],10)=0,"Não",VLOOKUP($B156,casostestes[#Data],10)), "-")</f>
        <v>-</v>
      </c>
      <c r="D156" s="35" t="str">
        <f>IFERROR(IF(VLOOKUP($B156,casostestes[#Data],2)=0,"-",VLOOKUP($B156,casostestes[#Data],2)), "-")</f>
        <v>-</v>
      </c>
      <c r="E156" s="35" t="str">
        <f>IFERROR(IF(VLOOKUP($B156,casostestes[#Data],3)=0,"-",VLOOKUP($B156,casostestes[#Data],3)), "-")</f>
        <v>-</v>
      </c>
      <c r="F156" s="35" t="str">
        <f>IFERROR(IF(VLOOKUP($B156,casostestes[#Data],4)=0,"-",VLOOKUP($B156,casostestes[#Data],4)),"-")</f>
        <v>-</v>
      </c>
      <c r="G156" s="35" t="str">
        <f>IFERROR(IF(VLOOKUP($B156,casostestes[#Data],5)=0,"-",VLOOKUP($B156,casostestes[#Data],5)),"-")</f>
        <v>-</v>
      </c>
      <c r="H156" s="35" t="str">
        <f>IFERROR(IF(VLOOKUP($B156,casostestes[#Data],6)=0,"-",VLOOKUP($B156,casostestes[#Data],6)),"-")</f>
        <v>-</v>
      </c>
      <c r="I156" s="35" t="str">
        <f>IFERROR(IF(VLOOKUP($B156,casostestes[#Data],8)=0,"-",VLOOKUP($B156,casostestes[#Data],8)),"-")</f>
        <v>-</v>
      </c>
      <c r="J156" s="35" t="str">
        <f>IFERROR(IF(VLOOKUP($B156,casostestes[#Data],9)=0,"-",VLOOKUP($B156,casostestes[#Data],9)),"-")</f>
        <v>-</v>
      </c>
      <c r="K156" s="36"/>
      <c r="L156" s="45"/>
      <c r="M156" s="37"/>
      <c r="N156" s="38"/>
      <c r="O156" s="38"/>
      <c r="P156" s="39"/>
    </row>
    <row r="157" spans="2:16">
      <c r="B157" s="40" t="str">
        <f>IF(ISERR(casostestes[[#This Row],[ID]]),"-",casostestes[[#This Row],[ID]])</f>
        <v>-</v>
      </c>
      <c r="C157" s="34" t="str">
        <f>IFERROR(IF(VLOOKUP($B157,casostestes[#Data],10)=0,"Não",VLOOKUP($B157,casostestes[#Data],10)), "-")</f>
        <v>-</v>
      </c>
      <c r="D157" s="35" t="str">
        <f>IFERROR(IF(VLOOKUP($B157,casostestes[#Data],2)=0,"-",VLOOKUP($B157,casostestes[#Data],2)), "-")</f>
        <v>-</v>
      </c>
      <c r="E157" s="35" t="str">
        <f>IFERROR(IF(VLOOKUP($B157,casostestes[#Data],3)=0,"-",VLOOKUP($B157,casostestes[#Data],3)), "-")</f>
        <v>-</v>
      </c>
      <c r="F157" s="35" t="str">
        <f>IFERROR(IF(VLOOKUP($B157,casostestes[#Data],4)=0,"-",VLOOKUP($B157,casostestes[#Data],4)),"-")</f>
        <v>-</v>
      </c>
      <c r="G157" s="35" t="str">
        <f>IFERROR(IF(VLOOKUP($B157,casostestes[#Data],5)=0,"-",VLOOKUP($B157,casostestes[#Data],5)),"-")</f>
        <v>-</v>
      </c>
      <c r="H157" s="35" t="str">
        <f>IFERROR(IF(VLOOKUP($B157,casostestes[#Data],6)=0,"-",VLOOKUP($B157,casostestes[#Data],6)),"-")</f>
        <v>-</v>
      </c>
      <c r="I157" s="35" t="str">
        <f>IFERROR(IF(VLOOKUP($B157,casostestes[#Data],8)=0,"-",VLOOKUP($B157,casostestes[#Data],8)),"-")</f>
        <v>-</v>
      </c>
      <c r="J157" s="35" t="str">
        <f>IFERROR(IF(VLOOKUP($B157,casostestes[#Data],9)=0,"-",VLOOKUP($B157,casostestes[#Data],9)),"-")</f>
        <v>-</v>
      </c>
      <c r="K157" s="36"/>
      <c r="L157" s="45"/>
      <c r="M157" s="37"/>
      <c r="N157" s="38"/>
      <c r="O157" s="38"/>
      <c r="P157" s="39"/>
    </row>
    <row r="158" spans="2:16">
      <c r="B158" s="40" t="str">
        <f>IF(ISERR(casostestes[[#This Row],[ID]]),"-",casostestes[[#This Row],[ID]])</f>
        <v>-</v>
      </c>
      <c r="C158" s="34" t="str">
        <f>IFERROR(IF(VLOOKUP($B158,casostestes[#Data],10)=0,"Não",VLOOKUP($B158,casostestes[#Data],10)), "-")</f>
        <v>-</v>
      </c>
      <c r="D158" s="35" t="str">
        <f>IFERROR(IF(VLOOKUP($B158,casostestes[#Data],2)=0,"-",VLOOKUP($B158,casostestes[#Data],2)), "-")</f>
        <v>-</v>
      </c>
      <c r="E158" s="35" t="str">
        <f>IFERROR(IF(VLOOKUP($B158,casostestes[#Data],3)=0,"-",VLOOKUP($B158,casostestes[#Data],3)), "-")</f>
        <v>-</v>
      </c>
      <c r="F158" s="35" t="str">
        <f>IFERROR(IF(VLOOKUP($B158,casostestes[#Data],4)=0,"-",VLOOKUP($B158,casostestes[#Data],4)),"-")</f>
        <v>-</v>
      </c>
      <c r="G158" s="35" t="str">
        <f>IFERROR(IF(VLOOKUP($B158,casostestes[#Data],5)=0,"-",VLOOKUP($B158,casostestes[#Data],5)),"-")</f>
        <v>-</v>
      </c>
      <c r="H158" s="35" t="str">
        <f>IFERROR(IF(VLOOKUP($B158,casostestes[#Data],6)=0,"-",VLOOKUP($B158,casostestes[#Data],6)),"-")</f>
        <v>-</v>
      </c>
      <c r="I158" s="35" t="str">
        <f>IFERROR(IF(VLOOKUP($B158,casostestes[#Data],8)=0,"-",VLOOKUP($B158,casostestes[#Data],8)),"-")</f>
        <v>-</v>
      </c>
      <c r="J158" s="35" t="str">
        <f>IFERROR(IF(VLOOKUP($B158,casostestes[#Data],9)=0,"-",VLOOKUP($B158,casostestes[#Data],9)),"-")</f>
        <v>-</v>
      </c>
      <c r="K158" s="36"/>
      <c r="L158" s="45"/>
      <c r="M158" s="37"/>
      <c r="N158" s="38"/>
      <c r="O158" s="38"/>
      <c r="P158" s="39"/>
    </row>
    <row r="159" spans="2:16">
      <c r="B159" s="40" t="str">
        <f>IF(ISERR(casostestes[[#This Row],[ID]]),"-",casostestes[[#This Row],[ID]])</f>
        <v>-</v>
      </c>
      <c r="C159" s="34" t="str">
        <f>IFERROR(IF(VLOOKUP($B159,casostestes[#Data],10)=0,"Não",VLOOKUP($B159,casostestes[#Data],10)), "-")</f>
        <v>-</v>
      </c>
      <c r="D159" s="35" t="str">
        <f>IFERROR(IF(VLOOKUP($B159,casostestes[#Data],2)=0,"-",VLOOKUP($B159,casostestes[#Data],2)), "-")</f>
        <v>-</v>
      </c>
      <c r="E159" s="35" t="str">
        <f>IFERROR(IF(VLOOKUP($B159,casostestes[#Data],3)=0,"-",VLOOKUP($B159,casostestes[#Data],3)), "-")</f>
        <v>-</v>
      </c>
      <c r="F159" s="35" t="str">
        <f>IFERROR(IF(VLOOKUP($B159,casostestes[#Data],4)=0,"-",VLOOKUP($B159,casostestes[#Data],4)),"-")</f>
        <v>-</v>
      </c>
      <c r="G159" s="35" t="str">
        <f>IFERROR(IF(VLOOKUP($B159,casostestes[#Data],5)=0,"-",VLOOKUP($B159,casostestes[#Data],5)),"-")</f>
        <v>-</v>
      </c>
      <c r="H159" s="35" t="str">
        <f>IFERROR(IF(VLOOKUP($B159,casostestes[#Data],6)=0,"-",VLOOKUP($B159,casostestes[#Data],6)),"-")</f>
        <v>-</v>
      </c>
      <c r="I159" s="35" t="str">
        <f>IFERROR(IF(VLOOKUP($B159,casostestes[#Data],8)=0,"-",VLOOKUP($B159,casostestes[#Data],8)),"-")</f>
        <v>-</v>
      </c>
      <c r="J159" s="35" t="str">
        <f>IFERROR(IF(VLOOKUP($B159,casostestes[#Data],9)=0,"-",VLOOKUP($B159,casostestes[#Data],9)),"-")</f>
        <v>-</v>
      </c>
      <c r="K159" s="36"/>
      <c r="L159" s="45"/>
      <c r="M159" s="37"/>
      <c r="N159" s="38"/>
      <c r="O159" s="38"/>
      <c r="P159" s="39"/>
    </row>
    <row r="160" spans="2:16">
      <c r="B160" s="40" t="str">
        <f>IF(ISERR(casostestes[[#This Row],[ID]]),"-",casostestes[[#This Row],[ID]])</f>
        <v>-</v>
      </c>
      <c r="C160" s="34" t="str">
        <f>IFERROR(IF(VLOOKUP($B160,casostestes[#Data],10)=0,"Não",VLOOKUP($B160,casostestes[#Data],10)), "-")</f>
        <v>-</v>
      </c>
      <c r="D160" s="35" t="str">
        <f>IFERROR(IF(VLOOKUP($B160,casostestes[#Data],2)=0,"-",VLOOKUP($B160,casostestes[#Data],2)), "-")</f>
        <v>-</v>
      </c>
      <c r="E160" s="35" t="str">
        <f>IFERROR(IF(VLOOKUP($B160,casostestes[#Data],3)=0,"-",VLOOKUP($B160,casostestes[#Data],3)), "-")</f>
        <v>-</v>
      </c>
      <c r="F160" s="35" t="str">
        <f>IFERROR(IF(VLOOKUP($B160,casostestes[#Data],4)=0,"-",VLOOKUP($B160,casostestes[#Data],4)),"-")</f>
        <v>-</v>
      </c>
      <c r="G160" s="35" t="str">
        <f>IFERROR(IF(VLOOKUP($B160,casostestes[#Data],5)=0,"-",VLOOKUP($B160,casostestes[#Data],5)),"-")</f>
        <v>-</v>
      </c>
      <c r="H160" s="35" t="str">
        <f>IFERROR(IF(VLOOKUP($B160,casostestes[#Data],6)=0,"-",VLOOKUP($B160,casostestes[#Data],6)),"-")</f>
        <v>-</v>
      </c>
      <c r="I160" s="35" t="str">
        <f>IFERROR(IF(VLOOKUP($B160,casostestes[#Data],8)=0,"-",VLOOKUP($B160,casostestes[#Data],8)),"-")</f>
        <v>-</v>
      </c>
      <c r="J160" s="35" t="str">
        <f>IFERROR(IF(VLOOKUP($B160,casostestes[#Data],9)=0,"-",VLOOKUP($B160,casostestes[#Data],9)),"-")</f>
        <v>-</v>
      </c>
      <c r="K160" s="36"/>
      <c r="L160" s="45"/>
      <c r="M160" s="37"/>
      <c r="N160" s="38"/>
      <c r="O160" s="38"/>
      <c r="P160" s="39"/>
    </row>
    <row r="161" spans="2:16">
      <c r="B161" s="40" t="str">
        <f>IF(ISERR(casostestes[[#This Row],[ID]]),"-",casostestes[[#This Row],[ID]])</f>
        <v>-</v>
      </c>
      <c r="C161" s="34" t="str">
        <f>IFERROR(IF(VLOOKUP($B161,casostestes[#Data],10)=0,"Não",VLOOKUP($B161,casostestes[#Data],10)), "-")</f>
        <v>-</v>
      </c>
      <c r="D161" s="35" t="str">
        <f>IFERROR(IF(VLOOKUP($B161,casostestes[#Data],2)=0,"-",VLOOKUP($B161,casostestes[#Data],2)), "-")</f>
        <v>-</v>
      </c>
      <c r="E161" s="35" t="str">
        <f>IFERROR(IF(VLOOKUP($B161,casostestes[#Data],3)=0,"-",VLOOKUP($B161,casostestes[#Data],3)), "-")</f>
        <v>-</v>
      </c>
      <c r="F161" s="35" t="str">
        <f>IFERROR(IF(VLOOKUP($B161,casostestes[#Data],4)=0,"-",VLOOKUP($B161,casostestes[#Data],4)),"-")</f>
        <v>-</v>
      </c>
      <c r="G161" s="35" t="str">
        <f>IFERROR(IF(VLOOKUP($B161,casostestes[#Data],5)=0,"-",VLOOKUP($B161,casostestes[#Data],5)),"-")</f>
        <v>-</v>
      </c>
      <c r="H161" s="35" t="str">
        <f>IFERROR(IF(VLOOKUP($B161,casostestes[#Data],6)=0,"-",VLOOKUP($B161,casostestes[#Data],6)),"-")</f>
        <v>-</v>
      </c>
      <c r="I161" s="35" t="str">
        <f>IFERROR(IF(VLOOKUP($B161,casostestes[#Data],8)=0,"-",VLOOKUP($B161,casostestes[#Data],8)),"-")</f>
        <v>-</v>
      </c>
      <c r="J161" s="35" t="str">
        <f>IFERROR(IF(VLOOKUP($B161,casostestes[#Data],9)=0,"-",VLOOKUP($B161,casostestes[#Data],9)),"-")</f>
        <v>-</v>
      </c>
      <c r="K161" s="36"/>
      <c r="L161" s="45"/>
      <c r="M161" s="37"/>
      <c r="N161" s="38"/>
      <c r="O161" s="38"/>
      <c r="P161" s="39"/>
    </row>
    <row r="162" spans="2:16">
      <c r="B162" s="40" t="str">
        <f>IF(ISERR(casostestes[[#This Row],[ID]]),"-",casostestes[[#This Row],[ID]])</f>
        <v>-</v>
      </c>
      <c r="C162" s="34" t="str">
        <f>IFERROR(IF(VLOOKUP($B162,casostestes[#Data],10)=0,"Não",VLOOKUP($B162,casostestes[#Data],10)), "-")</f>
        <v>-</v>
      </c>
      <c r="D162" s="35" t="str">
        <f>IFERROR(IF(VLOOKUP($B162,casostestes[#Data],2)=0,"-",VLOOKUP($B162,casostestes[#Data],2)), "-")</f>
        <v>-</v>
      </c>
      <c r="E162" s="35" t="str">
        <f>IFERROR(IF(VLOOKUP($B162,casostestes[#Data],3)=0,"-",VLOOKUP($B162,casostestes[#Data],3)), "-")</f>
        <v>-</v>
      </c>
      <c r="F162" s="35" t="str">
        <f>IFERROR(IF(VLOOKUP($B162,casostestes[#Data],4)=0,"-",VLOOKUP($B162,casostestes[#Data],4)),"-")</f>
        <v>-</v>
      </c>
      <c r="G162" s="35" t="str">
        <f>IFERROR(IF(VLOOKUP($B162,casostestes[#Data],5)=0,"-",VLOOKUP($B162,casostestes[#Data],5)),"-")</f>
        <v>-</v>
      </c>
      <c r="H162" s="35" t="str">
        <f>IFERROR(IF(VLOOKUP($B162,casostestes[#Data],6)=0,"-",VLOOKUP($B162,casostestes[#Data],6)),"-")</f>
        <v>-</v>
      </c>
      <c r="I162" s="35" t="str">
        <f>IFERROR(IF(VLOOKUP($B162,casostestes[#Data],8)=0,"-",VLOOKUP($B162,casostestes[#Data],8)),"-")</f>
        <v>-</v>
      </c>
      <c r="J162" s="35" t="str">
        <f>IFERROR(IF(VLOOKUP($B162,casostestes[#Data],9)=0,"-",VLOOKUP($B162,casostestes[#Data],9)),"-")</f>
        <v>-</v>
      </c>
      <c r="K162" s="36"/>
      <c r="L162" s="45"/>
      <c r="M162" s="37"/>
      <c r="N162" s="38"/>
      <c r="O162" s="38"/>
      <c r="P162" s="39"/>
    </row>
    <row r="163" spans="2:16">
      <c r="B163" s="40" t="str">
        <f>IF(ISERR(casostestes[[#This Row],[ID]]),"-",casostestes[[#This Row],[ID]])</f>
        <v>-</v>
      </c>
      <c r="C163" s="34" t="str">
        <f>IFERROR(IF(VLOOKUP($B163,casostestes[#Data],10)=0,"Não",VLOOKUP($B163,casostestes[#Data],10)), "-")</f>
        <v>-</v>
      </c>
      <c r="D163" s="35" t="str">
        <f>IFERROR(IF(VLOOKUP($B163,casostestes[#Data],2)=0,"-",VLOOKUP($B163,casostestes[#Data],2)), "-")</f>
        <v>-</v>
      </c>
      <c r="E163" s="35" t="str">
        <f>IFERROR(IF(VLOOKUP($B163,casostestes[#Data],3)=0,"-",VLOOKUP($B163,casostestes[#Data],3)), "-")</f>
        <v>-</v>
      </c>
      <c r="F163" s="35" t="str">
        <f>IFERROR(IF(VLOOKUP($B163,casostestes[#Data],4)=0,"-",VLOOKUP($B163,casostestes[#Data],4)),"-")</f>
        <v>-</v>
      </c>
      <c r="G163" s="35" t="str">
        <f>IFERROR(IF(VLOOKUP($B163,casostestes[#Data],5)=0,"-",VLOOKUP($B163,casostestes[#Data],5)),"-")</f>
        <v>-</v>
      </c>
      <c r="H163" s="35" t="str">
        <f>IFERROR(IF(VLOOKUP($B163,casostestes[#Data],6)=0,"-",VLOOKUP($B163,casostestes[#Data],6)),"-")</f>
        <v>-</v>
      </c>
      <c r="I163" s="35" t="str">
        <f>IFERROR(IF(VLOOKUP($B163,casostestes[#Data],8)=0,"-",VLOOKUP($B163,casostestes[#Data],8)),"-")</f>
        <v>-</v>
      </c>
      <c r="J163" s="35" t="str">
        <f>IFERROR(IF(VLOOKUP($B163,casostestes[#Data],9)=0,"-",VLOOKUP($B163,casostestes[#Data],9)),"-")</f>
        <v>-</v>
      </c>
      <c r="K163" s="36"/>
      <c r="L163" s="45"/>
      <c r="M163" s="37"/>
      <c r="N163" s="38"/>
      <c r="O163" s="38"/>
      <c r="P163" s="39"/>
    </row>
    <row r="164" spans="2:16">
      <c r="B164" s="40" t="str">
        <f>IF(ISERR(casostestes[[#This Row],[ID]]),"-",casostestes[[#This Row],[ID]])</f>
        <v>-</v>
      </c>
      <c r="C164" s="34" t="str">
        <f>IFERROR(IF(VLOOKUP($B164,casostestes[#Data],10)=0,"Não",VLOOKUP($B164,casostestes[#Data],10)), "-")</f>
        <v>-</v>
      </c>
      <c r="D164" s="35" t="str">
        <f>IFERROR(IF(VLOOKUP($B164,casostestes[#Data],2)=0,"-",VLOOKUP($B164,casostestes[#Data],2)), "-")</f>
        <v>-</v>
      </c>
      <c r="E164" s="35" t="str">
        <f>IFERROR(IF(VLOOKUP($B164,casostestes[#Data],3)=0,"-",VLOOKUP($B164,casostestes[#Data],3)), "-")</f>
        <v>-</v>
      </c>
      <c r="F164" s="35" t="str">
        <f>IFERROR(IF(VLOOKUP($B164,casostestes[#Data],4)=0,"-",VLOOKUP($B164,casostestes[#Data],4)),"-")</f>
        <v>-</v>
      </c>
      <c r="G164" s="35" t="str">
        <f>IFERROR(IF(VLOOKUP($B164,casostestes[#Data],5)=0,"-",VLOOKUP($B164,casostestes[#Data],5)),"-")</f>
        <v>-</v>
      </c>
      <c r="H164" s="35" t="str">
        <f>IFERROR(IF(VLOOKUP($B164,casostestes[#Data],6)=0,"-",VLOOKUP($B164,casostestes[#Data],6)),"-")</f>
        <v>-</v>
      </c>
      <c r="I164" s="35" t="str">
        <f>IFERROR(IF(VLOOKUP($B164,casostestes[#Data],8)=0,"-",VLOOKUP($B164,casostestes[#Data],8)),"-")</f>
        <v>-</v>
      </c>
      <c r="J164" s="35" t="str">
        <f>IFERROR(IF(VLOOKUP($B164,casostestes[#Data],9)=0,"-",VLOOKUP($B164,casostestes[#Data],9)),"-")</f>
        <v>-</v>
      </c>
      <c r="K164" s="36"/>
      <c r="L164" s="45"/>
      <c r="M164" s="37"/>
      <c r="N164" s="38"/>
      <c r="O164" s="38"/>
      <c r="P164" s="39"/>
    </row>
    <row r="165" spans="2:16">
      <c r="B165" s="40" t="str">
        <f>IF(ISERR(casostestes[[#This Row],[ID]]),"-",casostestes[[#This Row],[ID]])</f>
        <v>-</v>
      </c>
      <c r="C165" s="34" t="str">
        <f>IFERROR(IF(VLOOKUP($B165,casostestes[#Data],10)=0,"Não",VLOOKUP($B165,casostestes[#Data],10)), "-")</f>
        <v>-</v>
      </c>
      <c r="D165" s="35" t="str">
        <f>IFERROR(IF(VLOOKUP($B165,casostestes[#Data],2)=0,"-",VLOOKUP($B165,casostestes[#Data],2)), "-")</f>
        <v>-</v>
      </c>
      <c r="E165" s="35" t="str">
        <f>IFERROR(IF(VLOOKUP($B165,casostestes[#Data],3)=0,"-",VLOOKUP($B165,casostestes[#Data],3)), "-")</f>
        <v>-</v>
      </c>
      <c r="F165" s="35" t="str">
        <f>IFERROR(IF(VLOOKUP($B165,casostestes[#Data],4)=0,"-",VLOOKUP($B165,casostestes[#Data],4)),"-")</f>
        <v>-</v>
      </c>
      <c r="G165" s="35" t="str">
        <f>IFERROR(IF(VLOOKUP($B165,casostestes[#Data],5)=0,"-",VLOOKUP($B165,casostestes[#Data],5)),"-")</f>
        <v>-</v>
      </c>
      <c r="H165" s="35" t="str">
        <f>IFERROR(IF(VLOOKUP($B165,casostestes[#Data],6)=0,"-",VLOOKUP($B165,casostestes[#Data],6)),"-")</f>
        <v>-</v>
      </c>
      <c r="I165" s="35" t="str">
        <f>IFERROR(IF(VLOOKUP($B165,casostestes[#Data],8)=0,"-",VLOOKUP($B165,casostestes[#Data],8)),"-")</f>
        <v>-</v>
      </c>
      <c r="J165" s="35" t="str">
        <f>IFERROR(IF(VLOOKUP($B165,casostestes[#Data],9)=0,"-",VLOOKUP($B165,casostestes[#Data],9)),"-")</f>
        <v>-</v>
      </c>
      <c r="K165" s="36"/>
      <c r="L165" s="45"/>
      <c r="M165" s="37"/>
      <c r="N165" s="38"/>
      <c r="O165" s="38"/>
      <c r="P165" s="39"/>
    </row>
    <row r="166" spans="2:16">
      <c r="B166" s="40" t="str">
        <f>IF(ISERR(casostestes[[#This Row],[ID]]),"-",casostestes[[#This Row],[ID]])</f>
        <v>-</v>
      </c>
      <c r="C166" s="34" t="str">
        <f>IFERROR(IF(VLOOKUP($B166,casostestes[#Data],10)=0,"Não",VLOOKUP($B166,casostestes[#Data],10)), "-")</f>
        <v>-</v>
      </c>
      <c r="D166" s="35" t="str">
        <f>IFERROR(IF(VLOOKUP($B166,casostestes[#Data],2)=0,"-",VLOOKUP($B166,casostestes[#Data],2)), "-")</f>
        <v>-</v>
      </c>
      <c r="E166" s="35" t="str">
        <f>IFERROR(IF(VLOOKUP($B166,casostestes[#Data],3)=0,"-",VLOOKUP($B166,casostestes[#Data],3)), "-")</f>
        <v>-</v>
      </c>
      <c r="F166" s="35" t="str">
        <f>IFERROR(IF(VLOOKUP($B166,casostestes[#Data],4)=0,"-",VLOOKUP($B166,casostestes[#Data],4)),"-")</f>
        <v>-</v>
      </c>
      <c r="G166" s="35" t="str">
        <f>IFERROR(IF(VLOOKUP($B166,casostestes[#Data],5)=0,"-",VLOOKUP($B166,casostestes[#Data],5)),"-")</f>
        <v>-</v>
      </c>
      <c r="H166" s="35" t="str">
        <f>IFERROR(IF(VLOOKUP($B166,casostestes[#Data],6)=0,"-",VLOOKUP($B166,casostestes[#Data],6)),"-")</f>
        <v>-</v>
      </c>
      <c r="I166" s="35" t="str">
        <f>IFERROR(IF(VLOOKUP($B166,casostestes[#Data],8)=0,"-",VLOOKUP($B166,casostestes[#Data],8)),"-")</f>
        <v>-</v>
      </c>
      <c r="J166" s="35" t="str">
        <f>IFERROR(IF(VLOOKUP($B166,casostestes[#Data],9)=0,"-",VLOOKUP($B166,casostestes[#Data],9)),"-")</f>
        <v>-</v>
      </c>
      <c r="K166" s="36"/>
      <c r="L166" s="45"/>
      <c r="M166" s="37"/>
      <c r="N166" s="38"/>
      <c r="O166" s="38"/>
      <c r="P166" s="39"/>
    </row>
    <row r="167" spans="2:16">
      <c r="B167" s="40" t="str">
        <f>IF(ISERR(casostestes[[#This Row],[ID]]),"-",casostestes[[#This Row],[ID]])</f>
        <v>-</v>
      </c>
      <c r="C167" s="34" t="str">
        <f>IFERROR(IF(VLOOKUP($B167,casostestes[#Data],10)=0,"Não",VLOOKUP($B167,casostestes[#Data],10)), "-")</f>
        <v>-</v>
      </c>
      <c r="D167" s="35" t="str">
        <f>IFERROR(IF(VLOOKUP($B167,casostestes[#Data],2)=0,"-",VLOOKUP($B167,casostestes[#Data],2)), "-")</f>
        <v>-</v>
      </c>
      <c r="E167" s="35" t="str">
        <f>IFERROR(IF(VLOOKUP($B167,casostestes[#Data],3)=0,"-",VLOOKUP($B167,casostestes[#Data],3)), "-")</f>
        <v>-</v>
      </c>
      <c r="F167" s="35" t="str">
        <f>IFERROR(IF(VLOOKUP($B167,casostestes[#Data],4)=0,"-",VLOOKUP($B167,casostestes[#Data],4)),"-")</f>
        <v>-</v>
      </c>
      <c r="G167" s="35" t="str">
        <f>IFERROR(IF(VLOOKUP($B167,casostestes[#Data],5)=0,"-",VLOOKUP($B167,casostestes[#Data],5)),"-")</f>
        <v>-</v>
      </c>
      <c r="H167" s="35" t="str">
        <f>IFERROR(IF(VLOOKUP($B167,casostestes[#Data],6)=0,"-",VLOOKUP($B167,casostestes[#Data],6)),"-")</f>
        <v>-</v>
      </c>
      <c r="I167" s="35" t="str">
        <f>IFERROR(IF(VLOOKUP($B167,casostestes[#Data],8)=0,"-",VLOOKUP($B167,casostestes[#Data],8)),"-")</f>
        <v>-</v>
      </c>
      <c r="J167" s="35" t="str">
        <f>IFERROR(IF(VLOOKUP($B167,casostestes[#Data],9)=0,"-",VLOOKUP($B167,casostestes[#Data],9)),"-")</f>
        <v>-</v>
      </c>
      <c r="K167" s="36"/>
      <c r="L167" s="45"/>
      <c r="M167" s="37"/>
      <c r="N167" s="38"/>
      <c r="O167" s="38"/>
      <c r="P167" s="39"/>
    </row>
    <row r="168" spans="2:16">
      <c r="B168" s="40" t="str">
        <f>IF(ISERR(casostestes[[#This Row],[ID]]),"-",casostestes[[#This Row],[ID]])</f>
        <v>-</v>
      </c>
      <c r="C168" s="34" t="str">
        <f>IFERROR(IF(VLOOKUP($B168,casostestes[#Data],10)=0,"Não",VLOOKUP($B168,casostestes[#Data],10)), "-")</f>
        <v>-</v>
      </c>
      <c r="D168" s="35" t="str">
        <f>IFERROR(IF(VLOOKUP($B168,casostestes[#Data],2)=0,"-",VLOOKUP($B168,casostestes[#Data],2)), "-")</f>
        <v>-</v>
      </c>
      <c r="E168" s="35" t="str">
        <f>IFERROR(IF(VLOOKUP($B168,casostestes[#Data],3)=0,"-",VLOOKUP($B168,casostestes[#Data],3)), "-")</f>
        <v>-</v>
      </c>
      <c r="F168" s="35" t="str">
        <f>IFERROR(IF(VLOOKUP($B168,casostestes[#Data],4)=0,"-",VLOOKUP($B168,casostestes[#Data],4)),"-")</f>
        <v>-</v>
      </c>
      <c r="G168" s="35" t="str">
        <f>IFERROR(IF(VLOOKUP($B168,casostestes[#Data],5)=0,"-",VLOOKUP($B168,casostestes[#Data],5)),"-")</f>
        <v>-</v>
      </c>
      <c r="H168" s="35" t="str">
        <f>IFERROR(IF(VLOOKUP($B168,casostestes[#Data],6)=0,"-",VLOOKUP($B168,casostestes[#Data],6)),"-")</f>
        <v>-</v>
      </c>
      <c r="I168" s="35" t="str">
        <f>IFERROR(IF(VLOOKUP($B168,casostestes[#Data],8)=0,"-",VLOOKUP($B168,casostestes[#Data],8)),"-")</f>
        <v>-</v>
      </c>
      <c r="J168" s="35" t="str">
        <f>IFERROR(IF(VLOOKUP($B168,casostestes[#Data],9)=0,"-",VLOOKUP($B168,casostestes[#Data],9)),"-")</f>
        <v>-</v>
      </c>
      <c r="K168" s="36"/>
      <c r="L168" s="45"/>
      <c r="M168" s="37"/>
      <c r="N168" s="38"/>
      <c r="O168" s="38"/>
      <c r="P168" s="39"/>
    </row>
    <row r="169" spans="2:16">
      <c r="B169" s="40" t="str">
        <f>IF(ISERR(casostestes[[#This Row],[ID]]),"-",casostestes[[#This Row],[ID]])</f>
        <v>-</v>
      </c>
      <c r="C169" s="34" t="str">
        <f>IFERROR(IF(VLOOKUP($B169,casostestes[#Data],10)=0,"Não",VLOOKUP($B169,casostestes[#Data],10)), "-")</f>
        <v>-</v>
      </c>
      <c r="D169" s="35" t="str">
        <f>IFERROR(IF(VLOOKUP($B169,casostestes[#Data],2)=0,"-",VLOOKUP($B169,casostestes[#Data],2)), "-")</f>
        <v>-</v>
      </c>
      <c r="E169" s="35" t="str">
        <f>IFERROR(IF(VLOOKUP($B169,casostestes[#Data],3)=0,"-",VLOOKUP($B169,casostestes[#Data],3)), "-")</f>
        <v>-</v>
      </c>
      <c r="F169" s="35" t="str">
        <f>IFERROR(IF(VLOOKUP($B169,casostestes[#Data],4)=0,"-",VLOOKUP($B169,casostestes[#Data],4)),"-")</f>
        <v>-</v>
      </c>
      <c r="G169" s="35" t="str">
        <f>IFERROR(IF(VLOOKUP($B169,casostestes[#Data],5)=0,"-",VLOOKUP($B169,casostestes[#Data],5)),"-")</f>
        <v>-</v>
      </c>
      <c r="H169" s="35" t="str">
        <f>IFERROR(IF(VLOOKUP($B169,casostestes[#Data],6)=0,"-",VLOOKUP($B169,casostestes[#Data],6)),"-")</f>
        <v>-</v>
      </c>
      <c r="I169" s="35" t="str">
        <f>IFERROR(IF(VLOOKUP($B169,casostestes[#Data],8)=0,"-",VLOOKUP($B169,casostestes[#Data],8)),"-")</f>
        <v>-</v>
      </c>
      <c r="J169" s="35" t="str">
        <f>IFERROR(IF(VLOOKUP($B169,casostestes[#Data],9)=0,"-",VLOOKUP($B169,casostestes[#Data],9)),"-")</f>
        <v>-</v>
      </c>
      <c r="K169" s="36"/>
      <c r="L169" s="45"/>
      <c r="M169" s="37"/>
      <c r="N169" s="38"/>
      <c r="O169" s="38"/>
      <c r="P169" s="39"/>
    </row>
    <row r="170" spans="2:16">
      <c r="B170" s="40" t="str">
        <f>IF(ISERR(casostestes[[#This Row],[ID]]),"-",casostestes[[#This Row],[ID]])</f>
        <v>-</v>
      </c>
      <c r="C170" s="34" t="str">
        <f>IFERROR(IF(VLOOKUP($B170,casostestes[#Data],10)=0,"Não",VLOOKUP($B170,casostestes[#Data],10)), "-")</f>
        <v>-</v>
      </c>
      <c r="D170" s="35" t="str">
        <f>IFERROR(IF(VLOOKUP($B170,casostestes[#Data],2)=0,"-",VLOOKUP($B170,casostestes[#Data],2)), "-")</f>
        <v>-</v>
      </c>
      <c r="E170" s="35" t="str">
        <f>IFERROR(IF(VLOOKUP($B170,casostestes[#Data],3)=0,"-",VLOOKUP($B170,casostestes[#Data],3)), "-")</f>
        <v>-</v>
      </c>
      <c r="F170" s="35" t="str">
        <f>IFERROR(IF(VLOOKUP($B170,casostestes[#Data],4)=0,"-",VLOOKUP($B170,casostestes[#Data],4)),"-")</f>
        <v>-</v>
      </c>
      <c r="G170" s="35" t="str">
        <f>IFERROR(IF(VLOOKUP($B170,casostestes[#Data],5)=0,"-",VLOOKUP($B170,casostestes[#Data],5)),"-")</f>
        <v>-</v>
      </c>
      <c r="H170" s="35" t="str">
        <f>IFERROR(IF(VLOOKUP($B170,casostestes[#Data],6)=0,"-",VLOOKUP($B170,casostestes[#Data],6)),"-")</f>
        <v>-</v>
      </c>
      <c r="I170" s="35" t="str">
        <f>IFERROR(IF(VLOOKUP($B170,casostestes[#Data],8)=0,"-",VLOOKUP($B170,casostestes[#Data],8)),"-")</f>
        <v>-</v>
      </c>
      <c r="J170" s="35" t="str">
        <f>IFERROR(IF(VLOOKUP($B170,casostestes[#Data],9)=0,"-",VLOOKUP($B170,casostestes[#Data],9)),"-")</f>
        <v>-</v>
      </c>
      <c r="K170" s="36"/>
      <c r="L170" s="45"/>
      <c r="M170" s="37"/>
      <c r="N170" s="38"/>
      <c r="O170" s="38"/>
      <c r="P170" s="39"/>
    </row>
    <row r="171" spans="2:16">
      <c r="B171" s="40" t="str">
        <f>IF(ISERR(casostestes[[#This Row],[ID]]),"-",casostestes[[#This Row],[ID]])</f>
        <v>-</v>
      </c>
      <c r="C171" s="34" t="str">
        <f>IFERROR(IF(VLOOKUP($B171,casostestes[#Data],10)=0,"Não",VLOOKUP($B171,casostestes[#Data],10)), "-")</f>
        <v>-</v>
      </c>
      <c r="D171" s="35" t="str">
        <f>IFERROR(IF(VLOOKUP($B171,casostestes[#Data],2)=0,"-",VLOOKUP($B171,casostestes[#Data],2)), "-")</f>
        <v>-</v>
      </c>
      <c r="E171" s="35" t="str">
        <f>IFERROR(IF(VLOOKUP($B171,casostestes[#Data],3)=0,"-",VLOOKUP($B171,casostestes[#Data],3)), "-")</f>
        <v>-</v>
      </c>
      <c r="F171" s="35" t="str">
        <f>IFERROR(IF(VLOOKUP($B171,casostestes[#Data],4)=0,"-",VLOOKUP($B171,casostestes[#Data],4)),"-")</f>
        <v>-</v>
      </c>
      <c r="G171" s="35" t="str">
        <f>IFERROR(IF(VLOOKUP($B171,casostestes[#Data],5)=0,"-",VLOOKUP($B171,casostestes[#Data],5)),"-")</f>
        <v>-</v>
      </c>
      <c r="H171" s="35" t="str">
        <f>IFERROR(IF(VLOOKUP($B171,casostestes[#Data],6)=0,"-",VLOOKUP($B171,casostestes[#Data],6)),"-")</f>
        <v>-</v>
      </c>
      <c r="I171" s="35" t="str">
        <f>IFERROR(IF(VLOOKUP($B171,casostestes[#Data],8)=0,"-",VLOOKUP($B171,casostestes[#Data],8)),"-")</f>
        <v>-</v>
      </c>
      <c r="J171" s="35" t="str">
        <f>IFERROR(IF(VLOOKUP($B171,casostestes[#Data],9)=0,"-",VLOOKUP($B171,casostestes[#Data],9)),"-")</f>
        <v>-</v>
      </c>
      <c r="K171" s="36"/>
      <c r="L171" s="45"/>
      <c r="M171" s="37"/>
      <c r="N171" s="38"/>
      <c r="O171" s="38"/>
      <c r="P171" s="39"/>
    </row>
    <row r="172" spans="2:16">
      <c r="B172" s="40" t="str">
        <f>IF(ISERR(casostestes[[#This Row],[ID]]),"-",casostestes[[#This Row],[ID]])</f>
        <v>-</v>
      </c>
      <c r="C172" s="34" t="str">
        <f>IFERROR(IF(VLOOKUP($B172,casostestes[#Data],10)=0,"Não",VLOOKUP($B172,casostestes[#Data],10)), "-")</f>
        <v>-</v>
      </c>
      <c r="D172" s="35" t="str">
        <f>IFERROR(IF(VLOOKUP($B172,casostestes[#Data],2)=0,"-",VLOOKUP($B172,casostestes[#Data],2)), "-")</f>
        <v>-</v>
      </c>
      <c r="E172" s="35" t="str">
        <f>IFERROR(IF(VLOOKUP($B172,casostestes[#Data],3)=0,"-",VLOOKUP($B172,casostestes[#Data],3)), "-")</f>
        <v>-</v>
      </c>
      <c r="F172" s="35" t="str">
        <f>IFERROR(IF(VLOOKUP($B172,casostestes[#Data],4)=0,"-",VLOOKUP($B172,casostestes[#Data],4)),"-")</f>
        <v>-</v>
      </c>
      <c r="G172" s="35" t="str">
        <f>IFERROR(IF(VLOOKUP($B172,casostestes[#Data],5)=0,"-",VLOOKUP($B172,casostestes[#Data],5)),"-")</f>
        <v>-</v>
      </c>
      <c r="H172" s="35" t="str">
        <f>IFERROR(IF(VLOOKUP($B172,casostestes[#Data],6)=0,"-",VLOOKUP($B172,casostestes[#Data],6)),"-")</f>
        <v>-</v>
      </c>
      <c r="I172" s="35" t="str">
        <f>IFERROR(IF(VLOOKUP($B172,casostestes[#Data],8)=0,"-",VLOOKUP($B172,casostestes[#Data],8)),"-")</f>
        <v>-</v>
      </c>
      <c r="J172" s="35" t="str">
        <f>IFERROR(IF(VLOOKUP($B172,casostestes[#Data],9)=0,"-",VLOOKUP($B172,casostestes[#Data],9)),"-")</f>
        <v>-</v>
      </c>
      <c r="K172" s="36"/>
      <c r="L172" s="45"/>
      <c r="M172" s="37"/>
      <c r="N172" s="38"/>
      <c r="O172" s="38"/>
      <c r="P172" s="39"/>
    </row>
    <row r="173" spans="2:16">
      <c r="B173" s="40" t="str">
        <f>IF(ISERR(casostestes[[#This Row],[ID]]),"-",casostestes[[#This Row],[ID]])</f>
        <v>-</v>
      </c>
      <c r="C173" s="34" t="str">
        <f>IFERROR(IF(VLOOKUP($B173,casostestes[#Data],10)=0,"Não",VLOOKUP($B173,casostestes[#Data],10)), "-")</f>
        <v>-</v>
      </c>
      <c r="D173" s="35" t="str">
        <f>IFERROR(IF(VLOOKUP($B173,casostestes[#Data],2)=0,"-",VLOOKUP($B173,casostestes[#Data],2)), "-")</f>
        <v>-</v>
      </c>
      <c r="E173" s="35" t="str">
        <f>IFERROR(IF(VLOOKUP($B173,casostestes[#Data],3)=0,"-",VLOOKUP($B173,casostestes[#Data],3)), "-")</f>
        <v>-</v>
      </c>
      <c r="F173" s="35" t="str">
        <f>IFERROR(IF(VLOOKUP($B173,casostestes[#Data],4)=0,"-",VLOOKUP($B173,casostestes[#Data],4)),"-")</f>
        <v>-</v>
      </c>
      <c r="G173" s="35" t="str">
        <f>IFERROR(IF(VLOOKUP($B173,casostestes[#Data],5)=0,"-",VLOOKUP($B173,casostestes[#Data],5)),"-")</f>
        <v>-</v>
      </c>
      <c r="H173" s="35" t="str">
        <f>IFERROR(IF(VLOOKUP($B173,casostestes[#Data],6)=0,"-",VLOOKUP($B173,casostestes[#Data],6)),"-")</f>
        <v>-</v>
      </c>
      <c r="I173" s="35" t="str">
        <f>IFERROR(IF(VLOOKUP($B173,casostestes[#Data],8)=0,"-",VLOOKUP($B173,casostestes[#Data],8)),"-")</f>
        <v>-</v>
      </c>
      <c r="J173" s="35" t="str">
        <f>IFERROR(IF(VLOOKUP($B173,casostestes[#Data],9)=0,"-",VLOOKUP($B173,casostestes[#Data],9)),"-")</f>
        <v>-</v>
      </c>
      <c r="K173" s="36"/>
      <c r="L173" s="45"/>
      <c r="M173" s="37"/>
      <c r="N173" s="38"/>
      <c r="O173" s="38"/>
      <c r="P173" s="39"/>
    </row>
    <row r="174" spans="2:16">
      <c r="B174" s="40" t="str">
        <f>IF(ISERR(casostestes[[#This Row],[ID]]),"-",casostestes[[#This Row],[ID]])</f>
        <v>-</v>
      </c>
      <c r="C174" s="34" t="str">
        <f>IFERROR(IF(VLOOKUP($B174,casostestes[#Data],10)=0,"Não",VLOOKUP($B174,casostestes[#Data],10)), "-")</f>
        <v>-</v>
      </c>
      <c r="D174" s="35" t="str">
        <f>IFERROR(IF(VLOOKUP($B174,casostestes[#Data],2)=0,"-",VLOOKUP($B174,casostestes[#Data],2)), "-")</f>
        <v>-</v>
      </c>
      <c r="E174" s="35" t="str">
        <f>IFERROR(IF(VLOOKUP($B174,casostestes[#Data],3)=0,"-",VLOOKUP($B174,casostestes[#Data],3)), "-")</f>
        <v>-</v>
      </c>
      <c r="F174" s="35" t="str">
        <f>IFERROR(IF(VLOOKUP($B174,casostestes[#Data],4)=0,"-",VLOOKUP($B174,casostestes[#Data],4)),"-")</f>
        <v>-</v>
      </c>
      <c r="G174" s="35" t="str">
        <f>IFERROR(IF(VLOOKUP($B174,casostestes[#Data],5)=0,"-",VLOOKUP($B174,casostestes[#Data],5)),"-")</f>
        <v>-</v>
      </c>
      <c r="H174" s="35" t="str">
        <f>IFERROR(IF(VLOOKUP($B174,casostestes[#Data],6)=0,"-",VLOOKUP($B174,casostestes[#Data],6)),"-")</f>
        <v>-</v>
      </c>
      <c r="I174" s="35" t="str">
        <f>IFERROR(IF(VLOOKUP($B174,casostestes[#Data],8)=0,"-",VLOOKUP($B174,casostestes[#Data],8)),"-")</f>
        <v>-</v>
      </c>
      <c r="J174" s="35" t="str">
        <f>IFERROR(IF(VLOOKUP($B174,casostestes[#Data],9)=0,"-",VLOOKUP($B174,casostestes[#Data],9)),"-")</f>
        <v>-</v>
      </c>
      <c r="K174" s="36"/>
      <c r="L174" s="45"/>
      <c r="M174" s="37"/>
      <c r="N174" s="38"/>
      <c r="O174" s="38"/>
      <c r="P174" s="39"/>
    </row>
    <row r="175" spans="2:16">
      <c r="B175" s="40" t="str">
        <f>IF(ISERR(casostestes[[#This Row],[ID]]),"-",casostestes[[#This Row],[ID]])</f>
        <v>-</v>
      </c>
      <c r="C175" s="34" t="str">
        <f>IFERROR(IF(VLOOKUP($B175,casostestes[#Data],10)=0,"Não",VLOOKUP($B175,casostestes[#Data],10)), "-")</f>
        <v>-</v>
      </c>
      <c r="D175" s="35" t="str">
        <f>IFERROR(IF(VLOOKUP($B175,casostestes[#Data],2)=0,"-",VLOOKUP($B175,casostestes[#Data],2)), "-")</f>
        <v>-</v>
      </c>
      <c r="E175" s="35" t="str">
        <f>IFERROR(IF(VLOOKUP($B175,casostestes[#Data],3)=0,"-",VLOOKUP($B175,casostestes[#Data],3)), "-")</f>
        <v>-</v>
      </c>
      <c r="F175" s="35" t="str">
        <f>IFERROR(IF(VLOOKUP($B175,casostestes[#Data],4)=0,"-",VLOOKUP($B175,casostestes[#Data],4)),"-")</f>
        <v>-</v>
      </c>
      <c r="G175" s="35" t="str">
        <f>IFERROR(IF(VLOOKUP($B175,casostestes[#Data],5)=0,"-",VLOOKUP($B175,casostestes[#Data],5)),"-")</f>
        <v>-</v>
      </c>
      <c r="H175" s="35" t="str">
        <f>IFERROR(IF(VLOOKUP($B175,casostestes[#Data],6)=0,"-",VLOOKUP($B175,casostestes[#Data],6)),"-")</f>
        <v>-</v>
      </c>
      <c r="I175" s="35" t="str">
        <f>IFERROR(IF(VLOOKUP($B175,casostestes[#Data],8)=0,"-",VLOOKUP($B175,casostestes[#Data],8)),"-")</f>
        <v>-</v>
      </c>
      <c r="J175" s="35" t="str">
        <f>IFERROR(IF(VLOOKUP($B175,casostestes[#Data],9)=0,"-",VLOOKUP($B175,casostestes[#Data],9)),"-")</f>
        <v>-</v>
      </c>
      <c r="K175" s="36"/>
      <c r="L175" s="45"/>
      <c r="M175" s="37"/>
      <c r="N175" s="38"/>
      <c r="O175" s="38"/>
      <c r="P175" s="39"/>
    </row>
    <row r="176" spans="2:16">
      <c r="B176" s="40" t="str">
        <f>IF(ISERR(casostestes[[#This Row],[ID]]),"-",casostestes[[#This Row],[ID]])</f>
        <v>-</v>
      </c>
      <c r="C176" s="34" t="str">
        <f>IFERROR(IF(VLOOKUP($B176,casostestes[#Data],10)=0,"Não",VLOOKUP($B176,casostestes[#Data],10)), "-")</f>
        <v>-</v>
      </c>
      <c r="D176" s="35" t="str">
        <f>IFERROR(IF(VLOOKUP($B176,casostestes[#Data],2)=0,"-",VLOOKUP($B176,casostestes[#Data],2)), "-")</f>
        <v>-</v>
      </c>
      <c r="E176" s="35" t="str">
        <f>IFERROR(IF(VLOOKUP($B176,casostestes[#Data],3)=0,"-",VLOOKUP($B176,casostestes[#Data],3)), "-")</f>
        <v>-</v>
      </c>
      <c r="F176" s="35" t="str">
        <f>IFERROR(IF(VLOOKUP($B176,casostestes[#Data],4)=0,"-",VLOOKUP($B176,casostestes[#Data],4)),"-")</f>
        <v>-</v>
      </c>
      <c r="G176" s="35" t="str">
        <f>IFERROR(IF(VLOOKUP($B176,casostestes[#Data],5)=0,"-",VLOOKUP($B176,casostestes[#Data],5)),"-")</f>
        <v>-</v>
      </c>
      <c r="H176" s="35" t="str">
        <f>IFERROR(IF(VLOOKUP($B176,casostestes[#Data],6)=0,"-",VLOOKUP($B176,casostestes[#Data],6)),"-")</f>
        <v>-</v>
      </c>
      <c r="I176" s="35" t="str">
        <f>IFERROR(IF(VLOOKUP($B176,casostestes[#Data],8)=0,"-",VLOOKUP($B176,casostestes[#Data],8)),"-")</f>
        <v>-</v>
      </c>
      <c r="J176" s="35" t="str">
        <f>IFERROR(IF(VLOOKUP($B176,casostestes[#Data],9)=0,"-",VLOOKUP($B176,casostestes[#Data],9)),"-")</f>
        <v>-</v>
      </c>
      <c r="K176" s="36"/>
      <c r="L176" s="45"/>
      <c r="M176" s="37"/>
      <c r="N176" s="38"/>
      <c r="O176" s="38"/>
      <c r="P176" s="39"/>
    </row>
    <row r="177" spans="2:16">
      <c r="B177" s="40" t="str">
        <f>IF(ISERR(casostestes[[#This Row],[ID]]),"-",casostestes[[#This Row],[ID]])</f>
        <v>-</v>
      </c>
      <c r="C177" s="34" t="str">
        <f>IFERROR(IF(VLOOKUP($B177,casostestes[#Data],10)=0,"Não",VLOOKUP($B177,casostestes[#Data],10)), "-")</f>
        <v>-</v>
      </c>
      <c r="D177" s="35" t="str">
        <f>IFERROR(IF(VLOOKUP($B177,casostestes[#Data],2)=0,"-",VLOOKUP($B177,casostestes[#Data],2)), "-")</f>
        <v>-</v>
      </c>
      <c r="E177" s="35" t="str">
        <f>IFERROR(IF(VLOOKUP($B177,casostestes[#Data],3)=0,"-",VLOOKUP($B177,casostestes[#Data],3)), "-")</f>
        <v>-</v>
      </c>
      <c r="F177" s="35" t="str">
        <f>IFERROR(IF(VLOOKUP($B177,casostestes[#Data],4)=0,"-",VLOOKUP($B177,casostestes[#Data],4)),"-")</f>
        <v>-</v>
      </c>
      <c r="G177" s="35" t="str">
        <f>IFERROR(IF(VLOOKUP($B177,casostestes[#Data],5)=0,"-",VLOOKUP($B177,casostestes[#Data],5)),"-")</f>
        <v>-</v>
      </c>
      <c r="H177" s="35" t="str">
        <f>IFERROR(IF(VLOOKUP($B177,casostestes[#Data],6)=0,"-",VLOOKUP($B177,casostestes[#Data],6)),"-")</f>
        <v>-</v>
      </c>
      <c r="I177" s="35" t="str">
        <f>IFERROR(IF(VLOOKUP($B177,casostestes[#Data],8)=0,"-",VLOOKUP($B177,casostestes[#Data],8)),"-")</f>
        <v>-</v>
      </c>
      <c r="J177" s="35" t="str">
        <f>IFERROR(IF(VLOOKUP($B177,casostestes[#Data],9)=0,"-",VLOOKUP($B177,casostestes[#Data],9)),"-")</f>
        <v>-</v>
      </c>
      <c r="K177" s="36"/>
      <c r="L177" s="45"/>
      <c r="M177" s="37"/>
      <c r="N177" s="38"/>
      <c r="O177" s="38"/>
      <c r="P177" s="39"/>
    </row>
    <row r="178" spans="2:16">
      <c r="B178" s="40" t="str">
        <f>IF(ISERR(casostestes[[#This Row],[ID]]),"-",casostestes[[#This Row],[ID]])</f>
        <v>-</v>
      </c>
      <c r="C178" s="34" t="str">
        <f>IFERROR(IF(VLOOKUP($B178,casostestes[#Data],10)=0,"Não",VLOOKUP($B178,casostestes[#Data],10)), "-")</f>
        <v>-</v>
      </c>
      <c r="D178" s="35" t="str">
        <f>IFERROR(IF(VLOOKUP($B178,casostestes[#Data],2)=0,"-",VLOOKUP($B178,casostestes[#Data],2)), "-")</f>
        <v>-</v>
      </c>
      <c r="E178" s="35" t="str">
        <f>IFERROR(IF(VLOOKUP($B178,casostestes[#Data],3)=0,"-",VLOOKUP($B178,casostestes[#Data],3)), "-")</f>
        <v>-</v>
      </c>
      <c r="F178" s="35" t="str">
        <f>IFERROR(IF(VLOOKUP($B178,casostestes[#Data],4)=0,"-",VLOOKUP($B178,casostestes[#Data],4)),"-")</f>
        <v>-</v>
      </c>
      <c r="G178" s="35" t="str">
        <f>IFERROR(IF(VLOOKUP($B178,casostestes[#Data],5)=0,"-",VLOOKUP($B178,casostestes[#Data],5)),"-")</f>
        <v>-</v>
      </c>
      <c r="H178" s="35" t="str">
        <f>IFERROR(IF(VLOOKUP($B178,casostestes[#Data],6)=0,"-",VLOOKUP($B178,casostestes[#Data],6)),"-")</f>
        <v>-</v>
      </c>
      <c r="I178" s="35" t="str">
        <f>IFERROR(IF(VLOOKUP($B178,casostestes[#Data],8)=0,"-",VLOOKUP($B178,casostestes[#Data],8)),"-")</f>
        <v>-</v>
      </c>
      <c r="J178" s="35" t="str">
        <f>IFERROR(IF(VLOOKUP($B178,casostestes[#Data],9)=0,"-",VLOOKUP($B178,casostestes[#Data],9)),"-")</f>
        <v>-</v>
      </c>
      <c r="K178" s="36"/>
      <c r="L178" s="45"/>
      <c r="M178" s="37"/>
      <c r="N178" s="38"/>
      <c r="O178" s="38"/>
      <c r="P178" s="39"/>
    </row>
    <row r="179" spans="2:16">
      <c r="B179" s="40" t="str">
        <f>IF(ISERR(casostestes[[#This Row],[ID]]),"-",casostestes[[#This Row],[ID]])</f>
        <v>-</v>
      </c>
      <c r="C179" s="34" t="str">
        <f>IFERROR(IF(VLOOKUP($B179,casostestes[#Data],10)=0,"Não",VLOOKUP($B179,casostestes[#Data],10)), "-")</f>
        <v>-</v>
      </c>
      <c r="D179" s="35" t="str">
        <f>IFERROR(IF(VLOOKUP($B179,casostestes[#Data],2)=0,"-",VLOOKUP($B179,casostestes[#Data],2)), "-")</f>
        <v>-</v>
      </c>
      <c r="E179" s="35" t="str">
        <f>IFERROR(IF(VLOOKUP($B179,casostestes[#Data],3)=0,"-",VLOOKUP($B179,casostestes[#Data],3)), "-")</f>
        <v>-</v>
      </c>
      <c r="F179" s="35" t="str">
        <f>IFERROR(IF(VLOOKUP($B179,casostestes[#Data],4)=0,"-",VLOOKUP($B179,casostestes[#Data],4)),"-")</f>
        <v>-</v>
      </c>
      <c r="G179" s="35" t="str">
        <f>IFERROR(IF(VLOOKUP($B179,casostestes[#Data],5)=0,"-",VLOOKUP($B179,casostestes[#Data],5)),"-")</f>
        <v>-</v>
      </c>
      <c r="H179" s="35" t="str">
        <f>IFERROR(IF(VLOOKUP($B179,casostestes[#Data],6)=0,"-",VLOOKUP($B179,casostestes[#Data],6)),"-")</f>
        <v>-</v>
      </c>
      <c r="I179" s="35" t="str">
        <f>IFERROR(IF(VLOOKUP($B179,casostestes[#Data],8)=0,"-",VLOOKUP($B179,casostestes[#Data],8)),"-")</f>
        <v>-</v>
      </c>
      <c r="J179" s="35" t="str">
        <f>IFERROR(IF(VLOOKUP($B179,casostestes[#Data],9)=0,"-",VLOOKUP($B179,casostestes[#Data],9)),"-")</f>
        <v>-</v>
      </c>
      <c r="K179" s="36"/>
      <c r="L179" s="45"/>
      <c r="M179" s="37"/>
      <c r="N179" s="38"/>
      <c r="O179" s="38"/>
      <c r="P179" s="39"/>
    </row>
    <row r="180" spans="2:16">
      <c r="B180" s="40" t="str">
        <f>IF(ISERR(casostestes[[#This Row],[ID]]),"-",casostestes[[#This Row],[ID]])</f>
        <v>-</v>
      </c>
      <c r="C180" s="34" t="str">
        <f>IFERROR(IF(VLOOKUP($B180,casostestes[#Data],10)=0,"Não",VLOOKUP($B180,casostestes[#Data],10)), "-")</f>
        <v>-</v>
      </c>
      <c r="D180" s="35" t="str">
        <f>IFERROR(IF(VLOOKUP($B180,casostestes[#Data],2)=0,"-",VLOOKUP($B180,casostestes[#Data],2)), "-")</f>
        <v>-</v>
      </c>
      <c r="E180" s="35" t="str">
        <f>IFERROR(IF(VLOOKUP($B180,casostestes[#Data],3)=0,"-",VLOOKUP($B180,casostestes[#Data],3)), "-")</f>
        <v>-</v>
      </c>
      <c r="F180" s="35" t="str">
        <f>IFERROR(IF(VLOOKUP($B180,casostestes[#Data],4)=0,"-",VLOOKUP($B180,casostestes[#Data],4)),"-")</f>
        <v>-</v>
      </c>
      <c r="G180" s="35" t="str">
        <f>IFERROR(IF(VLOOKUP($B180,casostestes[#Data],5)=0,"-",VLOOKUP($B180,casostestes[#Data],5)),"-")</f>
        <v>-</v>
      </c>
      <c r="H180" s="35" t="str">
        <f>IFERROR(IF(VLOOKUP($B180,casostestes[#Data],6)=0,"-",VLOOKUP($B180,casostestes[#Data],6)),"-")</f>
        <v>-</v>
      </c>
      <c r="I180" s="35" t="str">
        <f>IFERROR(IF(VLOOKUP($B180,casostestes[#Data],8)=0,"-",VLOOKUP($B180,casostestes[#Data],8)),"-")</f>
        <v>-</v>
      </c>
      <c r="J180" s="35" t="str">
        <f>IFERROR(IF(VLOOKUP($B180,casostestes[#Data],9)=0,"-",VLOOKUP($B180,casostestes[#Data],9)),"-")</f>
        <v>-</v>
      </c>
      <c r="K180" s="36"/>
      <c r="L180" s="45"/>
      <c r="M180" s="37"/>
      <c r="N180" s="38"/>
      <c r="O180" s="38"/>
      <c r="P180" s="39"/>
    </row>
    <row r="181" spans="2:16">
      <c r="B181" s="40" t="str">
        <f>IF(ISERR(casostestes[[#This Row],[ID]]),"-",casostestes[[#This Row],[ID]])</f>
        <v>-</v>
      </c>
      <c r="C181" s="34" t="str">
        <f>IFERROR(IF(VLOOKUP($B181,casostestes[#Data],10)=0,"Não",VLOOKUP($B181,casostestes[#Data],10)), "-")</f>
        <v>-</v>
      </c>
      <c r="D181" s="35" t="str">
        <f>IFERROR(IF(VLOOKUP($B181,casostestes[#Data],2)=0,"-",VLOOKUP($B181,casostestes[#Data],2)), "-")</f>
        <v>-</v>
      </c>
      <c r="E181" s="35" t="str">
        <f>IFERROR(IF(VLOOKUP($B181,casostestes[#Data],3)=0,"-",VLOOKUP($B181,casostestes[#Data],3)), "-")</f>
        <v>-</v>
      </c>
      <c r="F181" s="35" t="str">
        <f>IFERROR(IF(VLOOKUP($B181,casostestes[#Data],4)=0,"-",VLOOKUP($B181,casostestes[#Data],4)),"-")</f>
        <v>-</v>
      </c>
      <c r="G181" s="35" t="str">
        <f>IFERROR(IF(VLOOKUP($B181,casostestes[#Data],5)=0,"-",VLOOKUP($B181,casostestes[#Data],5)),"-")</f>
        <v>-</v>
      </c>
      <c r="H181" s="35" t="str">
        <f>IFERROR(IF(VLOOKUP($B181,casostestes[#Data],6)=0,"-",VLOOKUP($B181,casostestes[#Data],6)),"-")</f>
        <v>-</v>
      </c>
      <c r="I181" s="35" t="str">
        <f>IFERROR(IF(VLOOKUP($B181,casostestes[#Data],8)=0,"-",VLOOKUP($B181,casostestes[#Data],8)),"-")</f>
        <v>-</v>
      </c>
      <c r="J181" s="35" t="str">
        <f>IFERROR(IF(VLOOKUP($B181,casostestes[#Data],9)=0,"-",VLOOKUP($B181,casostestes[#Data],9)),"-")</f>
        <v>-</v>
      </c>
      <c r="K181" s="36"/>
      <c r="L181" s="45"/>
      <c r="M181" s="37"/>
      <c r="N181" s="38"/>
      <c r="O181" s="38"/>
      <c r="P181" s="39"/>
    </row>
    <row r="182" spans="2:16">
      <c r="B182" s="40" t="str">
        <f>IF(ISERR(casostestes[[#This Row],[ID]]),"-",casostestes[[#This Row],[ID]])</f>
        <v>-</v>
      </c>
      <c r="C182" s="34" t="str">
        <f>IFERROR(IF(VLOOKUP($B182,casostestes[#Data],10)=0,"Não",VLOOKUP($B182,casostestes[#Data],10)), "-")</f>
        <v>-</v>
      </c>
      <c r="D182" s="35" t="str">
        <f>IFERROR(IF(VLOOKUP($B182,casostestes[#Data],2)=0,"-",VLOOKUP($B182,casostestes[#Data],2)), "-")</f>
        <v>-</v>
      </c>
      <c r="E182" s="35" t="str">
        <f>IFERROR(IF(VLOOKUP($B182,casostestes[#Data],3)=0,"-",VLOOKUP($B182,casostestes[#Data],3)), "-")</f>
        <v>-</v>
      </c>
      <c r="F182" s="35" t="str">
        <f>IFERROR(IF(VLOOKUP($B182,casostestes[#Data],4)=0,"-",VLOOKUP($B182,casostestes[#Data],4)),"-")</f>
        <v>-</v>
      </c>
      <c r="G182" s="35" t="str">
        <f>IFERROR(IF(VLOOKUP($B182,casostestes[#Data],5)=0,"-",VLOOKUP($B182,casostestes[#Data],5)),"-")</f>
        <v>-</v>
      </c>
      <c r="H182" s="35" t="str">
        <f>IFERROR(IF(VLOOKUP($B182,casostestes[#Data],6)=0,"-",VLOOKUP($B182,casostestes[#Data],6)),"-")</f>
        <v>-</v>
      </c>
      <c r="I182" s="35" t="str">
        <f>IFERROR(IF(VLOOKUP($B182,casostestes[#Data],8)=0,"-",VLOOKUP($B182,casostestes[#Data],8)),"-")</f>
        <v>-</v>
      </c>
      <c r="J182" s="35" t="str">
        <f>IFERROR(IF(VLOOKUP($B182,casostestes[#Data],9)=0,"-",VLOOKUP($B182,casostestes[#Data],9)),"-")</f>
        <v>-</v>
      </c>
      <c r="K182" s="36"/>
      <c r="L182" s="45"/>
      <c r="M182" s="37"/>
      <c r="N182" s="38"/>
      <c r="O182" s="38"/>
      <c r="P182" s="39"/>
    </row>
    <row r="183" spans="2:16">
      <c r="B183" s="40" t="str">
        <f>IF(ISERR(casostestes[[#This Row],[ID]]),"-",casostestes[[#This Row],[ID]])</f>
        <v>-</v>
      </c>
      <c r="C183" s="34" t="str">
        <f>IFERROR(IF(VLOOKUP($B183,casostestes[#Data],10)=0,"Não",VLOOKUP($B183,casostestes[#Data],10)), "-")</f>
        <v>-</v>
      </c>
      <c r="D183" s="35" t="str">
        <f>IFERROR(IF(VLOOKUP($B183,casostestes[#Data],2)=0,"-",VLOOKUP($B183,casostestes[#Data],2)), "-")</f>
        <v>-</v>
      </c>
      <c r="E183" s="35" t="str">
        <f>IFERROR(IF(VLOOKUP($B183,casostestes[#Data],3)=0,"-",VLOOKUP($B183,casostestes[#Data],3)), "-")</f>
        <v>-</v>
      </c>
      <c r="F183" s="35" t="str">
        <f>IFERROR(IF(VLOOKUP($B183,casostestes[#Data],4)=0,"-",VLOOKUP($B183,casostestes[#Data],4)),"-")</f>
        <v>-</v>
      </c>
      <c r="G183" s="35" t="str">
        <f>IFERROR(IF(VLOOKUP($B183,casostestes[#Data],5)=0,"-",VLOOKUP($B183,casostestes[#Data],5)),"-")</f>
        <v>-</v>
      </c>
      <c r="H183" s="35" t="str">
        <f>IFERROR(IF(VLOOKUP($B183,casostestes[#Data],6)=0,"-",VLOOKUP($B183,casostestes[#Data],6)),"-")</f>
        <v>-</v>
      </c>
      <c r="I183" s="35" t="str">
        <f>IFERROR(IF(VLOOKUP($B183,casostestes[#Data],8)=0,"-",VLOOKUP($B183,casostestes[#Data],8)),"-")</f>
        <v>-</v>
      </c>
      <c r="J183" s="35" t="str">
        <f>IFERROR(IF(VLOOKUP($B183,casostestes[#Data],9)=0,"-",VLOOKUP($B183,casostestes[#Data],9)),"-")</f>
        <v>-</v>
      </c>
      <c r="K183" s="36"/>
      <c r="L183" s="45"/>
      <c r="M183" s="37"/>
      <c r="N183" s="38"/>
      <c r="O183" s="38"/>
      <c r="P183" s="39"/>
    </row>
    <row r="184" spans="2:16">
      <c r="B184" s="40" t="str">
        <f>IF(ISERR(casostestes[[#This Row],[ID]]),"-",casostestes[[#This Row],[ID]])</f>
        <v>-</v>
      </c>
      <c r="C184" s="34" t="str">
        <f>IFERROR(IF(VLOOKUP($B184,casostestes[#Data],10)=0,"Não",VLOOKUP($B184,casostestes[#Data],10)), "-")</f>
        <v>-</v>
      </c>
      <c r="D184" s="35" t="str">
        <f>IFERROR(IF(VLOOKUP($B184,casostestes[#Data],2)=0,"-",VLOOKUP($B184,casostestes[#Data],2)), "-")</f>
        <v>-</v>
      </c>
      <c r="E184" s="35" t="str">
        <f>IFERROR(IF(VLOOKUP($B184,casostestes[#Data],3)=0,"-",VLOOKUP($B184,casostestes[#Data],3)), "-")</f>
        <v>-</v>
      </c>
      <c r="F184" s="35" t="str">
        <f>IFERROR(IF(VLOOKUP($B184,casostestes[#Data],4)=0,"-",VLOOKUP($B184,casostestes[#Data],4)),"-")</f>
        <v>-</v>
      </c>
      <c r="G184" s="35" t="str">
        <f>IFERROR(IF(VLOOKUP($B184,casostestes[#Data],5)=0,"-",VLOOKUP($B184,casostestes[#Data],5)),"-")</f>
        <v>-</v>
      </c>
      <c r="H184" s="35" t="str">
        <f>IFERROR(IF(VLOOKUP($B184,casostestes[#Data],6)=0,"-",VLOOKUP($B184,casostestes[#Data],6)),"-")</f>
        <v>-</v>
      </c>
      <c r="I184" s="35" t="str">
        <f>IFERROR(IF(VLOOKUP($B184,casostestes[#Data],8)=0,"-",VLOOKUP($B184,casostestes[#Data],8)),"-")</f>
        <v>-</v>
      </c>
      <c r="J184" s="35" t="str">
        <f>IFERROR(IF(VLOOKUP($B184,casostestes[#Data],9)=0,"-",VLOOKUP($B184,casostestes[#Data],9)),"-")</f>
        <v>-</v>
      </c>
      <c r="K184" s="36"/>
      <c r="L184" s="45"/>
      <c r="M184" s="37"/>
      <c r="N184" s="38"/>
      <c r="O184" s="38"/>
      <c r="P184" s="39"/>
    </row>
    <row r="185" spans="2:16">
      <c r="B185" s="40" t="str">
        <f>IF(ISERR(casostestes[[#This Row],[ID]]),"-",casostestes[[#This Row],[ID]])</f>
        <v>-</v>
      </c>
      <c r="C185" s="34" t="str">
        <f>IFERROR(IF(VLOOKUP($B185,casostestes[#Data],10)=0,"Não",VLOOKUP($B185,casostestes[#Data],10)), "-")</f>
        <v>-</v>
      </c>
      <c r="D185" s="35" t="str">
        <f>IFERROR(IF(VLOOKUP($B185,casostestes[#Data],2)=0,"-",VLOOKUP($B185,casostestes[#Data],2)), "-")</f>
        <v>-</v>
      </c>
      <c r="E185" s="35" t="str">
        <f>IFERROR(IF(VLOOKUP($B185,casostestes[#Data],3)=0,"-",VLOOKUP($B185,casostestes[#Data],3)), "-")</f>
        <v>-</v>
      </c>
      <c r="F185" s="35" t="str">
        <f>IFERROR(IF(VLOOKUP($B185,casostestes[#Data],4)=0,"-",VLOOKUP($B185,casostestes[#Data],4)),"-")</f>
        <v>-</v>
      </c>
      <c r="G185" s="35" t="str">
        <f>IFERROR(IF(VLOOKUP($B185,casostestes[#Data],5)=0,"-",VLOOKUP($B185,casostestes[#Data],5)),"-")</f>
        <v>-</v>
      </c>
      <c r="H185" s="35" t="str">
        <f>IFERROR(IF(VLOOKUP($B185,casostestes[#Data],6)=0,"-",VLOOKUP($B185,casostestes[#Data],6)),"-")</f>
        <v>-</v>
      </c>
      <c r="I185" s="35" t="str">
        <f>IFERROR(IF(VLOOKUP($B185,casostestes[#Data],8)=0,"-",VLOOKUP($B185,casostestes[#Data],8)),"-")</f>
        <v>-</v>
      </c>
      <c r="J185" s="35" t="str">
        <f>IFERROR(IF(VLOOKUP($B185,casostestes[#Data],9)=0,"-",VLOOKUP($B185,casostestes[#Data],9)),"-")</f>
        <v>-</v>
      </c>
      <c r="K185" s="36"/>
      <c r="L185" s="45"/>
      <c r="M185" s="37"/>
      <c r="N185" s="38"/>
      <c r="O185" s="38"/>
      <c r="P185" s="39"/>
    </row>
    <row r="186" spans="2:16">
      <c r="B186" s="40" t="str">
        <f>IF(ISERR(casostestes[[#This Row],[ID]]),"-",casostestes[[#This Row],[ID]])</f>
        <v>-</v>
      </c>
      <c r="C186" s="34" t="str">
        <f>IFERROR(IF(VLOOKUP($B186,casostestes[#Data],10)=0,"Não",VLOOKUP($B186,casostestes[#Data],10)), "-")</f>
        <v>-</v>
      </c>
      <c r="D186" s="35" t="str">
        <f>IFERROR(IF(VLOOKUP($B186,casostestes[#Data],2)=0,"-",VLOOKUP($B186,casostestes[#Data],2)), "-")</f>
        <v>-</v>
      </c>
      <c r="E186" s="35" t="str">
        <f>IFERROR(IF(VLOOKUP($B186,casostestes[#Data],3)=0,"-",VLOOKUP($B186,casostestes[#Data],3)), "-")</f>
        <v>-</v>
      </c>
      <c r="F186" s="35" t="str">
        <f>IFERROR(IF(VLOOKUP($B186,casostestes[#Data],4)=0,"-",VLOOKUP($B186,casostestes[#Data],4)),"-")</f>
        <v>-</v>
      </c>
      <c r="G186" s="35" t="str">
        <f>IFERROR(IF(VLOOKUP($B186,casostestes[#Data],5)=0,"-",VLOOKUP($B186,casostestes[#Data],5)),"-")</f>
        <v>-</v>
      </c>
      <c r="H186" s="35" t="str">
        <f>IFERROR(IF(VLOOKUP($B186,casostestes[#Data],6)=0,"-",VLOOKUP($B186,casostestes[#Data],6)),"-")</f>
        <v>-</v>
      </c>
      <c r="I186" s="35" t="str">
        <f>IFERROR(IF(VLOOKUP($B186,casostestes[#Data],8)=0,"-",VLOOKUP($B186,casostestes[#Data],8)),"-")</f>
        <v>-</v>
      </c>
      <c r="J186" s="35" t="str">
        <f>IFERROR(IF(VLOOKUP($B186,casostestes[#Data],9)=0,"-",VLOOKUP($B186,casostestes[#Data],9)),"-")</f>
        <v>-</v>
      </c>
      <c r="K186" s="36"/>
      <c r="L186" s="45"/>
      <c r="M186" s="37"/>
      <c r="N186" s="38"/>
      <c r="O186" s="38"/>
      <c r="P186" s="39"/>
    </row>
    <row r="187" spans="2:16">
      <c r="B187" s="40" t="str">
        <f>IF(ISERR(casostestes[[#This Row],[ID]]),"-",casostestes[[#This Row],[ID]])</f>
        <v>-</v>
      </c>
      <c r="C187" s="34" t="str">
        <f>IFERROR(IF(VLOOKUP($B187,casostestes[#Data],10)=0,"Não",VLOOKUP($B187,casostestes[#Data],10)), "-")</f>
        <v>-</v>
      </c>
      <c r="D187" s="35" t="str">
        <f>IFERROR(IF(VLOOKUP($B187,casostestes[#Data],2)=0,"-",VLOOKUP($B187,casostestes[#Data],2)), "-")</f>
        <v>-</v>
      </c>
      <c r="E187" s="35" t="str">
        <f>IFERROR(IF(VLOOKUP($B187,casostestes[#Data],3)=0,"-",VLOOKUP($B187,casostestes[#Data],3)), "-")</f>
        <v>-</v>
      </c>
      <c r="F187" s="35" t="str">
        <f>IFERROR(IF(VLOOKUP($B187,casostestes[#Data],4)=0,"-",VLOOKUP($B187,casostestes[#Data],4)),"-")</f>
        <v>-</v>
      </c>
      <c r="G187" s="35" t="str">
        <f>IFERROR(IF(VLOOKUP($B187,casostestes[#Data],5)=0,"-",VLOOKUP($B187,casostestes[#Data],5)),"-")</f>
        <v>-</v>
      </c>
      <c r="H187" s="35" t="str">
        <f>IFERROR(IF(VLOOKUP($B187,casostestes[#Data],6)=0,"-",VLOOKUP($B187,casostestes[#Data],6)),"-")</f>
        <v>-</v>
      </c>
      <c r="I187" s="35" t="str">
        <f>IFERROR(IF(VLOOKUP($B187,casostestes[#Data],8)=0,"-",VLOOKUP($B187,casostestes[#Data],8)),"-")</f>
        <v>-</v>
      </c>
      <c r="J187" s="35" t="str">
        <f>IFERROR(IF(VLOOKUP($B187,casostestes[#Data],9)=0,"-",VLOOKUP($B187,casostestes[#Data],9)),"-")</f>
        <v>-</v>
      </c>
      <c r="K187" s="36"/>
      <c r="L187" s="45"/>
      <c r="M187" s="37"/>
      <c r="N187" s="38"/>
      <c r="O187" s="38"/>
      <c r="P187" s="39"/>
    </row>
    <row r="188" spans="2:16">
      <c r="B188" s="40" t="str">
        <f>IF(ISERR(casostestes[[#This Row],[ID]]),"-",casostestes[[#This Row],[ID]])</f>
        <v>-</v>
      </c>
      <c r="C188" s="34" t="str">
        <f>IFERROR(IF(VLOOKUP($B188,casostestes[#Data],10)=0,"Não",VLOOKUP($B188,casostestes[#Data],10)), "-")</f>
        <v>-</v>
      </c>
      <c r="D188" s="35" t="str">
        <f>IFERROR(IF(VLOOKUP($B188,casostestes[#Data],2)=0,"-",VLOOKUP($B188,casostestes[#Data],2)), "-")</f>
        <v>-</v>
      </c>
      <c r="E188" s="35" t="str">
        <f>IFERROR(IF(VLOOKUP($B188,casostestes[#Data],3)=0,"-",VLOOKUP($B188,casostestes[#Data],3)), "-")</f>
        <v>-</v>
      </c>
      <c r="F188" s="35" t="str">
        <f>IFERROR(IF(VLOOKUP($B188,casostestes[#Data],4)=0,"-",VLOOKUP($B188,casostestes[#Data],4)),"-")</f>
        <v>-</v>
      </c>
      <c r="G188" s="35" t="str">
        <f>IFERROR(IF(VLOOKUP($B188,casostestes[#Data],5)=0,"-",VLOOKUP($B188,casostestes[#Data],5)),"-")</f>
        <v>-</v>
      </c>
      <c r="H188" s="35" t="str">
        <f>IFERROR(IF(VLOOKUP($B188,casostestes[#Data],6)=0,"-",VLOOKUP($B188,casostestes[#Data],6)),"-")</f>
        <v>-</v>
      </c>
      <c r="I188" s="35" t="str">
        <f>IFERROR(IF(VLOOKUP($B188,casostestes[#Data],8)=0,"-",VLOOKUP($B188,casostestes[#Data],8)),"-")</f>
        <v>-</v>
      </c>
      <c r="J188" s="35" t="str">
        <f>IFERROR(IF(VLOOKUP($B188,casostestes[#Data],9)=0,"-",VLOOKUP($B188,casostestes[#Data],9)),"-")</f>
        <v>-</v>
      </c>
      <c r="K188" s="36"/>
      <c r="L188" s="45"/>
      <c r="M188" s="37"/>
      <c r="N188" s="38"/>
      <c r="O188" s="38"/>
      <c r="P188" s="39"/>
    </row>
    <row r="189" spans="2:16">
      <c r="B189" s="40" t="str">
        <f>IF(ISERR(casostestes[[#This Row],[ID]]),"-",casostestes[[#This Row],[ID]])</f>
        <v>-</v>
      </c>
      <c r="C189" s="34" t="str">
        <f>IFERROR(IF(VLOOKUP($B189,casostestes[#Data],10)=0,"Não",VLOOKUP($B189,casostestes[#Data],10)), "-")</f>
        <v>-</v>
      </c>
      <c r="D189" s="35" t="str">
        <f>IFERROR(IF(VLOOKUP($B189,casostestes[#Data],2)=0,"-",VLOOKUP($B189,casostestes[#Data],2)), "-")</f>
        <v>-</v>
      </c>
      <c r="E189" s="35" t="str">
        <f>IFERROR(IF(VLOOKUP($B189,casostestes[#Data],3)=0,"-",VLOOKUP($B189,casostestes[#Data],3)), "-")</f>
        <v>-</v>
      </c>
      <c r="F189" s="35" t="str">
        <f>IFERROR(IF(VLOOKUP($B189,casostestes[#Data],4)=0,"-",VLOOKUP($B189,casostestes[#Data],4)),"-")</f>
        <v>-</v>
      </c>
      <c r="G189" s="35" t="str">
        <f>IFERROR(IF(VLOOKUP($B189,casostestes[#Data],5)=0,"-",VLOOKUP($B189,casostestes[#Data],5)),"-")</f>
        <v>-</v>
      </c>
      <c r="H189" s="35" t="str">
        <f>IFERROR(IF(VLOOKUP($B189,casostestes[#Data],6)=0,"-",VLOOKUP($B189,casostestes[#Data],6)),"-")</f>
        <v>-</v>
      </c>
      <c r="I189" s="35" t="str">
        <f>IFERROR(IF(VLOOKUP($B189,casostestes[#Data],8)=0,"-",VLOOKUP($B189,casostestes[#Data],8)),"-")</f>
        <v>-</v>
      </c>
      <c r="J189" s="35" t="str">
        <f>IFERROR(IF(VLOOKUP($B189,casostestes[#Data],9)=0,"-",VLOOKUP($B189,casostestes[#Data],9)),"-")</f>
        <v>-</v>
      </c>
      <c r="K189" s="36"/>
      <c r="L189" s="45"/>
      <c r="M189" s="37"/>
      <c r="N189" s="38"/>
      <c r="O189" s="38"/>
      <c r="P189" s="39"/>
    </row>
    <row r="190" spans="2:16">
      <c r="B190" s="40" t="str">
        <f>IF(ISERR(casostestes[[#This Row],[ID]]),"-",casostestes[[#This Row],[ID]])</f>
        <v>-</v>
      </c>
      <c r="C190" s="34" t="str">
        <f>IFERROR(IF(VLOOKUP($B190,casostestes[#Data],10)=0,"Não",VLOOKUP($B190,casostestes[#Data],10)), "-")</f>
        <v>-</v>
      </c>
      <c r="D190" s="35" t="str">
        <f>IFERROR(IF(VLOOKUP($B190,casostestes[#Data],2)=0,"-",VLOOKUP($B190,casostestes[#Data],2)), "-")</f>
        <v>-</v>
      </c>
      <c r="E190" s="35" t="str">
        <f>IFERROR(IF(VLOOKUP($B190,casostestes[#Data],3)=0,"-",VLOOKUP($B190,casostestes[#Data],3)), "-")</f>
        <v>-</v>
      </c>
      <c r="F190" s="35" t="str">
        <f>IFERROR(IF(VLOOKUP($B190,casostestes[#Data],4)=0,"-",VLOOKUP($B190,casostestes[#Data],4)),"-")</f>
        <v>-</v>
      </c>
      <c r="G190" s="35" t="str">
        <f>IFERROR(IF(VLOOKUP($B190,casostestes[#Data],5)=0,"-",VLOOKUP($B190,casostestes[#Data],5)),"-")</f>
        <v>-</v>
      </c>
      <c r="H190" s="35" t="str">
        <f>IFERROR(IF(VLOOKUP($B190,casostestes[#Data],6)=0,"-",VLOOKUP($B190,casostestes[#Data],6)),"-")</f>
        <v>-</v>
      </c>
      <c r="I190" s="35" t="str">
        <f>IFERROR(IF(VLOOKUP($B190,casostestes[#Data],8)=0,"-",VLOOKUP($B190,casostestes[#Data],8)),"-")</f>
        <v>-</v>
      </c>
      <c r="J190" s="35" t="str">
        <f>IFERROR(IF(VLOOKUP($B190,casostestes[#Data],9)=0,"-",VLOOKUP($B190,casostestes[#Data],9)),"-")</f>
        <v>-</v>
      </c>
      <c r="K190" s="36"/>
      <c r="L190" s="45"/>
      <c r="M190" s="37"/>
      <c r="N190" s="38"/>
      <c r="O190" s="38"/>
      <c r="P190" s="39"/>
    </row>
    <row r="191" spans="2:16">
      <c r="B191" s="40" t="str">
        <f>IF(ISERR(casostestes[[#This Row],[ID]]),"-",casostestes[[#This Row],[ID]])</f>
        <v>-</v>
      </c>
      <c r="C191" s="34" t="str">
        <f>IFERROR(IF(VLOOKUP($B191,casostestes[#Data],10)=0,"Não",VLOOKUP($B191,casostestes[#Data],10)), "-")</f>
        <v>-</v>
      </c>
      <c r="D191" s="35" t="str">
        <f>IFERROR(IF(VLOOKUP($B191,casostestes[#Data],2)=0,"-",VLOOKUP($B191,casostestes[#Data],2)), "-")</f>
        <v>-</v>
      </c>
      <c r="E191" s="35" t="str">
        <f>IFERROR(IF(VLOOKUP($B191,casostestes[#Data],3)=0,"-",VLOOKUP($B191,casostestes[#Data],3)), "-")</f>
        <v>-</v>
      </c>
      <c r="F191" s="35" t="str">
        <f>IFERROR(IF(VLOOKUP($B191,casostestes[#Data],4)=0,"-",VLOOKUP($B191,casostestes[#Data],4)),"-")</f>
        <v>-</v>
      </c>
      <c r="G191" s="35" t="str">
        <f>IFERROR(IF(VLOOKUP($B191,casostestes[#Data],5)=0,"-",VLOOKUP($B191,casostestes[#Data],5)),"-")</f>
        <v>-</v>
      </c>
      <c r="H191" s="35" t="str">
        <f>IFERROR(IF(VLOOKUP($B191,casostestes[#Data],6)=0,"-",VLOOKUP($B191,casostestes[#Data],6)),"-")</f>
        <v>-</v>
      </c>
      <c r="I191" s="35" t="str">
        <f>IFERROR(IF(VLOOKUP($B191,casostestes[#Data],8)=0,"-",VLOOKUP($B191,casostestes[#Data],8)),"-")</f>
        <v>-</v>
      </c>
      <c r="J191" s="35" t="str">
        <f>IFERROR(IF(VLOOKUP($B191,casostestes[#Data],9)=0,"-",VLOOKUP($B191,casostestes[#Data],9)),"-")</f>
        <v>-</v>
      </c>
      <c r="K191" s="36"/>
      <c r="L191" s="45"/>
      <c r="M191" s="37"/>
      <c r="N191" s="38"/>
      <c r="O191" s="38"/>
      <c r="P191" s="39"/>
    </row>
    <row r="192" spans="2:16">
      <c r="B192" s="40" t="str">
        <f>IF(ISERR(casostestes[[#This Row],[ID]]),"-",casostestes[[#This Row],[ID]])</f>
        <v>-</v>
      </c>
      <c r="C192" s="34" t="str">
        <f>IFERROR(IF(VLOOKUP($B192,casostestes[#Data],10)=0,"Não",VLOOKUP($B192,casostestes[#Data],10)), "-")</f>
        <v>-</v>
      </c>
      <c r="D192" s="35" t="str">
        <f>IFERROR(IF(VLOOKUP($B192,casostestes[#Data],2)=0,"-",VLOOKUP($B192,casostestes[#Data],2)), "-")</f>
        <v>-</v>
      </c>
      <c r="E192" s="35" t="str">
        <f>IFERROR(IF(VLOOKUP($B192,casostestes[#Data],3)=0,"-",VLOOKUP($B192,casostestes[#Data],3)), "-")</f>
        <v>-</v>
      </c>
      <c r="F192" s="35" t="str">
        <f>IFERROR(IF(VLOOKUP($B192,casostestes[#Data],4)=0,"-",VLOOKUP($B192,casostestes[#Data],4)),"-")</f>
        <v>-</v>
      </c>
      <c r="G192" s="35" t="str">
        <f>IFERROR(IF(VLOOKUP($B192,casostestes[#Data],5)=0,"-",VLOOKUP($B192,casostestes[#Data],5)),"-")</f>
        <v>-</v>
      </c>
      <c r="H192" s="35" t="str">
        <f>IFERROR(IF(VLOOKUP($B192,casostestes[#Data],6)=0,"-",VLOOKUP($B192,casostestes[#Data],6)),"-")</f>
        <v>-</v>
      </c>
      <c r="I192" s="35" t="str">
        <f>IFERROR(IF(VLOOKUP($B192,casostestes[#Data],8)=0,"-",VLOOKUP($B192,casostestes[#Data],8)),"-")</f>
        <v>-</v>
      </c>
      <c r="J192" s="35" t="str">
        <f>IFERROR(IF(VLOOKUP($B192,casostestes[#Data],9)=0,"-",VLOOKUP($B192,casostestes[#Data],9)),"-")</f>
        <v>-</v>
      </c>
      <c r="K192" s="36"/>
      <c r="L192" s="45"/>
      <c r="M192" s="37"/>
      <c r="N192" s="38"/>
      <c r="O192" s="38"/>
      <c r="P192" s="39"/>
    </row>
    <row r="193" spans="2:16">
      <c r="B193" s="40" t="str">
        <f>IF(ISERR(casostestes[[#This Row],[ID]]),"-",casostestes[[#This Row],[ID]])</f>
        <v>-</v>
      </c>
      <c r="C193" s="34" t="str">
        <f>IFERROR(IF(VLOOKUP($B193,casostestes[#Data],10)=0,"Não",VLOOKUP($B193,casostestes[#Data],10)), "-")</f>
        <v>-</v>
      </c>
      <c r="D193" s="35" t="str">
        <f>IFERROR(IF(VLOOKUP($B193,casostestes[#Data],2)=0,"-",VLOOKUP($B193,casostestes[#Data],2)), "-")</f>
        <v>-</v>
      </c>
      <c r="E193" s="35" t="str">
        <f>IFERROR(IF(VLOOKUP($B193,casostestes[#Data],3)=0,"-",VLOOKUP($B193,casostestes[#Data],3)), "-")</f>
        <v>-</v>
      </c>
      <c r="F193" s="35" t="str">
        <f>IFERROR(IF(VLOOKUP($B193,casostestes[#Data],4)=0,"-",VLOOKUP($B193,casostestes[#Data],4)),"-")</f>
        <v>-</v>
      </c>
      <c r="G193" s="35" t="str">
        <f>IFERROR(IF(VLOOKUP($B193,casostestes[#Data],5)=0,"-",VLOOKUP($B193,casostestes[#Data],5)),"-")</f>
        <v>-</v>
      </c>
      <c r="H193" s="35" t="str">
        <f>IFERROR(IF(VLOOKUP($B193,casostestes[#Data],6)=0,"-",VLOOKUP($B193,casostestes[#Data],6)),"-")</f>
        <v>-</v>
      </c>
      <c r="I193" s="35" t="str">
        <f>IFERROR(IF(VLOOKUP($B193,casostestes[#Data],8)=0,"-",VLOOKUP($B193,casostestes[#Data],8)),"-")</f>
        <v>-</v>
      </c>
      <c r="J193" s="35" t="str">
        <f>IFERROR(IF(VLOOKUP($B193,casostestes[#Data],9)=0,"-",VLOOKUP($B193,casostestes[#Data],9)),"-")</f>
        <v>-</v>
      </c>
      <c r="K193" s="36"/>
      <c r="L193" s="45"/>
      <c r="M193" s="37"/>
      <c r="N193" s="38"/>
      <c r="O193" s="38"/>
      <c r="P193" s="39"/>
    </row>
    <row r="194" spans="2:16">
      <c r="B194" s="40" t="str">
        <f>IF(ISERR(casostestes[[#This Row],[ID]]),"-",casostestes[[#This Row],[ID]])</f>
        <v>-</v>
      </c>
      <c r="C194" s="34" t="str">
        <f>IFERROR(IF(VLOOKUP($B194,casostestes[#Data],10)=0,"Não",VLOOKUP($B194,casostestes[#Data],10)), "-")</f>
        <v>-</v>
      </c>
      <c r="D194" s="35" t="str">
        <f>IFERROR(IF(VLOOKUP($B194,casostestes[#Data],2)=0,"-",VLOOKUP($B194,casostestes[#Data],2)), "-")</f>
        <v>-</v>
      </c>
      <c r="E194" s="35" t="str">
        <f>IFERROR(IF(VLOOKUP($B194,casostestes[#Data],3)=0,"-",VLOOKUP($B194,casostestes[#Data],3)), "-")</f>
        <v>-</v>
      </c>
      <c r="F194" s="35" t="str">
        <f>IFERROR(IF(VLOOKUP($B194,casostestes[#Data],4)=0,"-",VLOOKUP($B194,casostestes[#Data],4)),"-")</f>
        <v>-</v>
      </c>
      <c r="G194" s="35" t="str">
        <f>IFERROR(IF(VLOOKUP($B194,casostestes[#Data],5)=0,"-",VLOOKUP($B194,casostestes[#Data],5)),"-")</f>
        <v>-</v>
      </c>
      <c r="H194" s="35" t="str">
        <f>IFERROR(IF(VLOOKUP($B194,casostestes[#Data],6)=0,"-",VLOOKUP($B194,casostestes[#Data],6)),"-")</f>
        <v>-</v>
      </c>
      <c r="I194" s="35" t="str">
        <f>IFERROR(IF(VLOOKUP($B194,casostestes[#Data],8)=0,"-",VLOOKUP($B194,casostestes[#Data],8)),"-")</f>
        <v>-</v>
      </c>
      <c r="J194" s="35" t="str">
        <f>IFERROR(IF(VLOOKUP($B194,casostestes[#Data],9)=0,"-",VLOOKUP($B194,casostestes[#Data],9)),"-")</f>
        <v>-</v>
      </c>
      <c r="K194" s="36"/>
      <c r="L194" s="45"/>
      <c r="M194" s="37"/>
      <c r="N194" s="38"/>
      <c r="O194" s="38"/>
      <c r="P194" s="39"/>
    </row>
    <row r="195" spans="2:16">
      <c r="B195" s="40" t="str">
        <f>IF(ISERR(casostestes[[#This Row],[ID]]),"-",casostestes[[#This Row],[ID]])</f>
        <v>-</v>
      </c>
      <c r="C195" s="34" t="str">
        <f>IFERROR(IF(VLOOKUP($B195,casostestes[#Data],10)=0,"Não",VLOOKUP($B195,casostestes[#Data],10)), "-")</f>
        <v>-</v>
      </c>
      <c r="D195" s="35" t="str">
        <f>IFERROR(IF(VLOOKUP($B195,casostestes[#Data],2)=0,"-",VLOOKUP($B195,casostestes[#Data],2)), "-")</f>
        <v>-</v>
      </c>
      <c r="E195" s="35" t="str">
        <f>IFERROR(IF(VLOOKUP($B195,casostestes[#Data],3)=0,"-",VLOOKUP($B195,casostestes[#Data],3)), "-")</f>
        <v>-</v>
      </c>
      <c r="F195" s="35" t="str">
        <f>IFERROR(IF(VLOOKUP($B195,casostestes[#Data],4)=0,"-",VLOOKUP($B195,casostestes[#Data],4)),"-")</f>
        <v>-</v>
      </c>
      <c r="G195" s="35" t="str">
        <f>IFERROR(IF(VLOOKUP($B195,casostestes[#Data],5)=0,"-",VLOOKUP($B195,casostestes[#Data],5)),"-")</f>
        <v>-</v>
      </c>
      <c r="H195" s="35" t="str">
        <f>IFERROR(IF(VLOOKUP($B195,casostestes[#Data],6)=0,"-",VLOOKUP($B195,casostestes[#Data],6)),"-")</f>
        <v>-</v>
      </c>
      <c r="I195" s="35" t="str">
        <f>IFERROR(IF(VLOOKUP($B195,casostestes[#Data],8)=0,"-",VLOOKUP($B195,casostestes[#Data],8)),"-")</f>
        <v>-</v>
      </c>
      <c r="J195" s="35" t="str">
        <f>IFERROR(IF(VLOOKUP($B195,casostestes[#Data],9)=0,"-",VLOOKUP($B195,casostestes[#Data],9)),"-")</f>
        <v>-</v>
      </c>
      <c r="K195" s="36"/>
      <c r="L195" s="45"/>
      <c r="M195" s="37"/>
      <c r="N195" s="38"/>
      <c r="O195" s="38"/>
      <c r="P195" s="39"/>
    </row>
    <row r="196" spans="2:16">
      <c r="B196" s="40" t="str">
        <f>IF(ISERR(casostestes[[#This Row],[ID]]),"-",casostestes[[#This Row],[ID]])</f>
        <v>-</v>
      </c>
      <c r="C196" s="34" t="str">
        <f>IFERROR(IF(VLOOKUP($B196,casostestes[#Data],10)=0,"Não",VLOOKUP($B196,casostestes[#Data],10)), "-")</f>
        <v>-</v>
      </c>
      <c r="D196" s="35" t="str">
        <f>IFERROR(IF(VLOOKUP($B196,casostestes[#Data],2)=0,"-",VLOOKUP($B196,casostestes[#Data],2)), "-")</f>
        <v>-</v>
      </c>
      <c r="E196" s="35" t="str">
        <f>IFERROR(IF(VLOOKUP($B196,casostestes[#Data],3)=0,"-",VLOOKUP($B196,casostestes[#Data],3)), "-")</f>
        <v>-</v>
      </c>
      <c r="F196" s="35" t="str">
        <f>IFERROR(IF(VLOOKUP($B196,casostestes[#Data],4)=0,"-",VLOOKUP($B196,casostestes[#Data],4)),"-")</f>
        <v>-</v>
      </c>
      <c r="G196" s="35" t="str">
        <f>IFERROR(IF(VLOOKUP($B196,casostestes[#Data],5)=0,"-",VLOOKUP($B196,casostestes[#Data],5)),"-")</f>
        <v>-</v>
      </c>
      <c r="H196" s="35" t="str">
        <f>IFERROR(IF(VLOOKUP($B196,casostestes[#Data],6)=0,"-",VLOOKUP($B196,casostestes[#Data],6)),"-")</f>
        <v>-</v>
      </c>
      <c r="I196" s="35" t="str">
        <f>IFERROR(IF(VLOOKUP($B196,casostestes[#Data],8)=0,"-",VLOOKUP($B196,casostestes[#Data],8)),"-")</f>
        <v>-</v>
      </c>
      <c r="J196" s="35" t="str">
        <f>IFERROR(IF(VLOOKUP($B196,casostestes[#Data],9)=0,"-",VLOOKUP($B196,casostestes[#Data],9)),"-")</f>
        <v>-</v>
      </c>
      <c r="K196" s="36"/>
      <c r="L196" s="45"/>
      <c r="M196" s="37"/>
      <c r="N196" s="38"/>
      <c r="O196" s="38"/>
      <c r="P196" s="39"/>
    </row>
    <row r="197" spans="2:16">
      <c r="B197" s="40" t="str">
        <f>IF(ISERR(casostestes[[#This Row],[ID]]),"-",casostestes[[#This Row],[ID]])</f>
        <v>-</v>
      </c>
      <c r="C197" s="34" t="str">
        <f>IFERROR(IF(VLOOKUP($B197,casostestes[#Data],10)=0,"Não",VLOOKUP($B197,casostestes[#Data],10)), "-")</f>
        <v>-</v>
      </c>
      <c r="D197" s="35" t="str">
        <f>IFERROR(IF(VLOOKUP($B197,casostestes[#Data],2)=0,"-",VLOOKUP($B197,casostestes[#Data],2)), "-")</f>
        <v>-</v>
      </c>
      <c r="E197" s="35" t="str">
        <f>IFERROR(IF(VLOOKUP($B197,casostestes[#Data],3)=0,"-",VLOOKUP($B197,casostestes[#Data],3)), "-")</f>
        <v>-</v>
      </c>
      <c r="F197" s="35" t="str">
        <f>IFERROR(IF(VLOOKUP($B197,casostestes[#Data],4)=0,"-",VLOOKUP($B197,casostestes[#Data],4)),"-")</f>
        <v>-</v>
      </c>
      <c r="G197" s="35" t="str">
        <f>IFERROR(IF(VLOOKUP($B197,casostestes[#Data],5)=0,"-",VLOOKUP($B197,casostestes[#Data],5)),"-")</f>
        <v>-</v>
      </c>
      <c r="H197" s="35" t="str">
        <f>IFERROR(IF(VLOOKUP($B197,casostestes[#Data],6)=0,"-",VLOOKUP($B197,casostestes[#Data],6)),"-")</f>
        <v>-</v>
      </c>
      <c r="I197" s="35" t="str">
        <f>IFERROR(IF(VLOOKUP($B197,casostestes[#Data],8)=0,"-",VLOOKUP($B197,casostestes[#Data],8)),"-")</f>
        <v>-</v>
      </c>
      <c r="J197" s="35" t="str">
        <f>IFERROR(IF(VLOOKUP($B197,casostestes[#Data],9)=0,"-",VLOOKUP($B197,casostestes[#Data],9)),"-")</f>
        <v>-</v>
      </c>
      <c r="K197" s="36"/>
      <c r="L197" s="45"/>
      <c r="M197" s="37"/>
      <c r="N197" s="38"/>
      <c r="O197" s="38"/>
      <c r="P197" s="39"/>
    </row>
    <row r="198" spans="2:16">
      <c r="B198" s="40" t="str">
        <f>IF(ISERR(casostestes[[#This Row],[ID]]),"-",casostestes[[#This Row],[ID]])</f>
        <v>-</v>
      </c>
      <c r="C198" s="34" t="str">
        <f>IFERROR(IF(VLOOKUP($B198,casostestes[#Data],10)=0,"Não",VLOOKUP($B198,casostestes[#Data],10)), "-")</f>
        <v>-</v>
      </c>
      <c r="D198" s="35" t="str">
        <f>IFERROR(IF(VLOOKUP($B198,casostestes[#Data],2)=0,"-",VLOOKUP($B198,casostestes[#Data],2)), "-")</f>
        <v>-</v>
      </c>
      <c r="E198" s="35" t="str">
        <f>IFERROR(IF(VLOOKUP($B198,casostestes[#Data],3)=0,"-",VLOOKUP($B198,casostestes[#Data],3)), "-")</f>
        <v>-</v>
      </c>
      <c r="F198" s="35" t="str">
        <f>IFERROR(IF(VLOOKUP($B198,casostestes[#Data],4)=0,"-",VLOOKUP($B198,casostestes[#Data],4)),"-")</f>
        <v>-</v>
      </c>
      <c r="G198" s="35" t="str">
        <f>IFERROR(IF(VLOOKUP($B198,casostestes[#Data],5)=0,"-",VLOOKUP($B198,casostestes[#Data],5)),"-")</f>
        <v>-</v>
      </c>
      <c r="H198" s="35" t="str">
        <f>IFERROR(IF(VLOOKUP($B198,casostestes[#Data],6)=0,"-",VLOOKUP($B198,casostestes[#Data],6)),"-")</f>
        <v>-</v>
      </c>
      <c r="I198" s="35" t="str">
        <f>IFERROR(IF(VLOOKUP($B198,casostestes[#Data],8)=0,"-",VLOOKUP($B198,casostestes[#Data],8)),"-")</f>
        <v>-</v>
      </c>
      <c r="J198" s="35" t="str">
        <f>IFERROR(IF(VLOOKUP($B198,casostestes[#Data],9)=0,"-",VLOOKUP($B198,casostestes[#Data],9)),"-")</f>
        <v>-</v>
      </c>
      <c r="K198" s="36"/>
      <c r="L198" s="45"/>
      <c r="M198" s="37"/>
      <c r="N198" s="38"/>
      <c r="O198" s="38"/>
      <c r="P198" s="39"/>
    </row>
    <row r="199" spans="2:16">
      <c r="B199" s="40" t="str">
        <f>IF(ISERR(casostestes[[#This Row],[ID]]),"-",casostestes[[#This Row],[ID]])</f>
        <v>-</v>
      </c>
      <c r="C199" s="34" t="str">
        <f>IFERROR(IF(VLOOKUP($B199,casostestes[#Data],10)=0,"Não",VLOOKUP($B199,casostestes[#Data],10)), "-")</f>
        <v>-</v>
      </c>
      <c r="D199" s="35" t="str">
        <f>IFERROR(IF(VLOOKUP($B199,casostestes[#Data],2)=0,"-",VLOOKUP($B199,casostestes[#Data],2)), "-")</f>
        <v>-</v>
      </c>
      <c r="E199" s="35" t="str">
        <f>IFERROR(IF(VLOOKUP($B199,casostestes[#Data],3)=0,"-",VLOOKUP($B199,casostestes[#Data],3)), "-")</f>
        <v>-</v>
      </c>
      <c r="F199" s="35" t="str">
        <f>IFERROR(IF(VLOOKUP($B199,casostestes[#Data],4)=0,"-",VLOOKUP($B199,casostestes[#Data],4)),"-")</f>
        <v>-</v>
      </c>
      <c r="G199" s="35" t="str">
        <f>IFERROR(IF(VLOOKUP($B199,casostestes[#Data],5)=0,"-",VLOOKUP($B199,casostestes[#Data],5)),"-")</f>
        <v>-</v>
      </c>
      <c r="H199" s="35" t="str">
        <f>IFERROR(IF(VLOOKUP($B199,casostestes[#Data],6)=0,"-",VLOOKUP($B199,casostestes[#Data],6)),"-")</f>
        <v>-</v>
      </c>
      <c r="I199" s="35" t="str">
        <f>IFERROR(IF(VLOOKUP($B199,casostestes[#Data],8)=0,"-",VLOOKUP($B199,casostestes[#Data],8)),"-")</f>
        <v>-</v>
      </c>
      <c r="J199" s="35" t="str">
        <f>IFERROR(IF(VLOOKUP($B199,casostestes[#Data],9)=0,"-",VLOOKUP($B199,casostestes[#Data],9)),"-")</f>
        <v>-</v>
      </c>
      <c r="K199" s="36"/>
      <c r="L199" s="45"/>
      <c r="M199" s="37"/>
      <c r="N199" s="38"/>
      <c r="O199" s="38"/>
      <c r="P199" s="39"/>
    </row>
    <row r="200" spans="2:16">
      <c r="B200" s="40" t="str">
        <f>IF(ISERR(casostestes[[#This Row],[ID]]),"-",casostestes[[#This Row],[ID]])</f>
        <v>-</v>
      </c>
      <c r="C200" s="41" t="str">
        <f>IFERROR(IF(VLOOKUP($B200,casostestes[#Data],10)=0,"Não",VLOOKUP($B200,casostestes[#Data],10)), "-")</f>
        <v>-</v>
      </c>
      <c r="D200" s="42" t="str">
        <f>IFERROR(IF(VLOOKUP($B200,casostestes[#Data],2)=0,"-",VLOOKUP($B200,casostestes[#Data],2)), "-")</f>
        <v>-</v>
      </c>
      <c r="E200" s="42" t="str">
        <f>IFERROR(IF(VLOOKUP($B200,casostestes[#Data],3)=0,"-",VLOOKUP($B200,casostestes[#Data],3)), "-")</f>
        <v>-</v>
      </c>
      <c r="F200" s="42" t="str">
        <f>IFERROR(IF(VLOOKUP($B200,casostestes[#Data],4)=0,"-",VLOOKUP($B200,casostestes[#Data],4)),"-")</f>
        <v>-</v>
      </c>
      <c r="G200" s="42" t="str">
        <f>IFERROR(IF(VLOOKUP($B200,casostestes[#Data],5)=0,"-",VLOOKUP($B200,casostestes[#Data],5)),"-")</f>
        <v>-</v>
      </c>
      <c r="H200" s="42" t="str">
        <f>IFERROR(IF(VLOOKUP($B200,casostestes[#Data],6)=0,"-",VLOOKUP($B200,casostestes[#Data],6)),"-")</f>
        <v>-</v>
      </c>
      <c r="I200" s="42" t="str">
        <f>IFERROR(IF(VLOOKUP($B200,casostestes[#Data],8)=0,"-",VLOOKUP($B200,casostestes[#Data],8)),"-")</f>
        <v>-</v>
      </c>
      <c r="J200" s="42" t="str">
        <f>IFERROR(IF(VLOOKUP($B200,casostestes[#Data],9)=0,"-",VLOOKUP($B200,casostestes[#Data],9)),"-")</f>
        <v>-</v>
      </c>
      <c r="K200" s="43"/>
      <c r="L200" s="45"/>
      <c r="M200" s="44"/>
      <c r="N200" s="45"/>
      <c r="O200" s="45"/>
      <c r="P200" s="46"/>
    </row>
  </sheetData>
  <mergeCells count="3">
    <mergeCell ref="B1:J1"/>
    <mergeCell ref="B2:J2"/>
    <mergeCell ref="B3:J3"/>
  </mergeCells>
  <conditionalFormatting sqref="C8:C200 C201:D1048576">
    <cfRule type="cellIs" dxfId="47" priority="6" operator="equal">
      <formula>"Sim"</formula>
    </cfRule>
    <cfRule type="cellIs" dxfId="46" priority="7" operator="equal">
      <formula>"Não"</formula>
    </cfRule>
  </conditionalFormatting>
  <conditionalFormatting sqref="M8:M200">
    <cfRule type="cellIs" dxfId="45" priority="1" operator="equal">
      <formula>"Sem massa"</formula>
    </cfRule>
    <cfRule type="cellIs" dxfId="44" priority="2" operator="equal">
      <formula>"Pendência Externa"</formula>
    </cfRule>
    <cfRule type="cellIs" dxfId="43" priority="3" operator="equal">
      <formula>"Disponível para reteste"</formula>
    </cfRule>
    <cfRule type="cellIs" dxfId="42" priority="4" operator="equal">
      <formula>"Reprovado"</formula>
    </cfRule>
    <cfRule type="cellIs" dxfId="41" priority="5" operator="equal">
      <formula>"Aprovado"</formula>
    </cfRule>
  </conditionalFormatting>
  <dataValidations count="1">
    <dataValidation type="list" allowBlank="1" showInputMessage="1" showErrorMessage="1" sqref="M8:M200" xr:uid="{9C29B986-EF05-4ECE-845B-5C7BAF3BEB7B}">
      <formula1>INDIRECT("status[status]")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93C3C-0DC1-4BFF-BB51-4EA92D75C9A4}">
  <dimension ref="A1:P57"/>
  <sheetViews>
    <sheetView showGridLines="0" workbookViewId="0">
      <pane xSplit="1" ySplit="7" topLeftCell="C12" activePane="bottomRight" state="frozen"/>
      <selection pane="bottomRight" activeCell="M14" sqref="M14"/>
      <selection pane="bottomLeft" activeCell="A15" sqref="A15"/>
      <selection pane="topRight" activeCell="B1" sqref="B1"/>
    </sheetView>
  </sheetViews>
  <sheetFormatPr defaultColWidth="8.85546875" defaultRowHeight="15"/>
  <cols>
    <col min="1" max="1" width="2.7109375" style="67" customWidth="1"/>
    <col min="2" max="2" width="9.7109375" style="78" bestFit="1" customWidth="1"/>
    <col min="3" max="3" width="21.28515625" style="67" customWidth="1"/>
    <col min="4" max="4" width="31" style="73" customWidth="1"/>
    <col min="5" max="5" width="63.28515625" style="73" customWidth="1"/>
    <col min="6" max="6" width="23.140625" style="73" customWidth="1"/>
    <col min="7" max="7" width="30" style="67" customWidth="1"/>
    <col min="8" max="8" width="47.28515625" style="67" customWidth="1"/>
    <col min="9" max="9" width="16.7109375" style="67" customWidth="1"/>
    <col min="10" max="10" width="54.7109375" style="73" customWidth="1"/>
    <col min="11" max="11" width="17.28515625" style="74" customWidth="1"/>
    <col min="12" max="12" width="21.85546875" style="101" customWidth="1"/>
    <col min="13" max="13" width="30" style="77" customWidth="1"/>
    <col min="14" max="14" width="53.5703125" style="67" customWidth="1"/>
    <col min="15" max="15" width="23.85546875" style="67" customWidth="1"/>
    <col min="16" max="16" width="16.42578125" style="67" customWidth="1"/>
    <col min="17" max="16384" width="8.85546875" style="67"/>
  </cols>
  <sheetData>
    <row r="1" spans="1:16" ht="26.25">
      <c r="B1" s="110" t="s">
        <v>0</v>
      </c>
      <c r="C1" s="110"/>
      <c r="D1" s="110"/>
      <c r="E1" s="110"/>
      <c r="F1" s="110"/>
      <c r="G1" s="110"/>
      <c r="H1" s="110"/>
      <c r="I1" s="110"/>
      <c r="J1" s="110"/>
      <c r="K1" s="66"/>
      <c r="M1" s="68"/>
    </row>
    <row r="2" spans="1:16" s="70" customFormat="1" ht="23.25">
      <c r="B2" s="107" t="s">
        <v>1</v>
      </c>
      <c r="C2" s="107"/>
      <c r="D2" s="107"/>
      <c r="E2" s="107"/>
      <c r="F2" s="107"/>
      <c r="G2" s="107"/>
      <c r="H2" s="107"/>
      <c r="I2" s="107"/>
      <c r="J2" s="107"/>
      <c r="K2" s="69"/>
      <c r="L2" s="102"/>
      <c r="M2" s="71"/>
    </row>
    <row r="3" spans="1:16" s="70" customFormat="1" ht="23.25">
      <c r="B3" s="111"/>
      <c r="C3" s="111"/>
      <c r="D3" s="111"/>
      <c r="E3" s="111"/>
      <c r="F3" s="111"/>
      <c r="G3" s="111"/>
      <c r="H3" s="111"/>
      <c r="I3" s="111"/>
      <c r="J3" s="111"/>
      <c r="K3" s="69"/>
      <c r="L3" s="102"/>
      <c r="M3" s="71"/>
    </row>
    <row r="4" spans="1:16">
      <c r="B4" s="67"/>
      <c r="M4" s="68"/>
    </row>
    <row r="5" spans="1:16">
      <c r="B5" s="72" t="s">
        <v>43</v>
      </c>
      <c r="C5" s="72"/>
      <c r="M5" s="68"/>
    </row>
    <row r="6" spans="1:16">
      <c r="B6" s="72"/>
      <c r="C6" s="72"/>
      <c r="M6" s="68"/>
    </row>
    <row r="7" spans="1:16" s="75" customFormat="1" ht="19.899999999999999" customHeight="1">
      <c r="B7" s="79" t="s">
        <v>44</v>
      </c>
      <c r="C7" s="80" t="s">
        <v>291</v>
      </c>
      <c r="D7" s="80" t="s">
        <v>5</v>
      </c>
      <c r="E7" s="81" t="s">
        <v>6</v>
      </c>
      <c r="F7" s="81" t="s">
        <v>7</v>
      </c>
      <c r="G7" s="81" t="s">
        <v>8</v>
      </c>
      <c r="H7" s="81" t="s">
        <v>9</v>
      </c>
      <c r="I7" s="81" t="s">
        <v>10</v>
      </c>
      <c r="J7" s="81" t="s">
        <v>11</v>
      </c>
      <c r="K7" s="81" t="s">
        <v>12</v>
      </c>
      <c r="L7" s="103" t="s">
        <v>13</v>
      </c>
      <c r="M7" s="81" t="s">
        <v>14</v>
      </c>
      <c r="N7" s="81" t="s">
        <v>15</v>
      </c>
      <c r="O7" s="81" t="s">
        <v>16</v>
      </c>
      <c r="P7" s="82" t="s">
        <v>17</v>
      </c>
    </row>
    <row r="8" spans="1:16" s="76" customFormat="1" ht="75">
      <c r="B8" s="94">
        <f>IF(B7="ID",1,B7+1)</f>
        <v>1</v>
      </c>
      <c r="C8" s="95" t="s">
        <v>127</v>
      </c>
      <c r="D8" s="95" t="s">
        <v>292</v>
      </c>
      <c r="E8" s="95"/>
      <c r="F8" s="95" t="s">
        <v>36</v>
      </c>
      <c r="G8" s="95" t="s">
        <v>293</v>
      </c>
      <c r="H8" s="95"/>
      <c r="I8" s="95"/>
      <c r="J8" s="95"/>
      <c r="K8" s="96">
        <v>46251</v>
      </c>
      <c r="L8" s="100" t="s">
        <v>294</v>
      </c>
      <c r="M8" s="97"/>
      <c r="N8" s="95" t="s">
        <v>295</v>
      </c>
      <c r="O8" s="95"/>
      <c r="P8" s="98"/>
    </row>
    <row r="9" spans="1:16" ht="75">
      <c r="A9" s="76"/>
      <c r="B9" s="94">
        <f>IF(B8="ID",1,B8+1)</f>
        <v>2</v>
      </c>
      <c r="C9" s="95" t="s">
        <v>127</v>
      </c>
      <c r="D9" s="95" t="s">
        <v>292</v>
      </c>
      <c r="E9" s="95"/>
      <c r="F9" s="95" t="s">
        <v>36</v>
      </c>
      <c r="G9" s="95" t="s">
        <v>293</v>
      </c>
      <c r="H9" s="95"/>
      <c r="I9" s="95"/>
      <c r="J9" s="95"/>
      <c r="K9" s="96">
        <v>46252</v>
      </c>
      <c r="L9" s="100"/>
      <c r="M9" s="97"/>
      <c r="N9" s="95" t="s">
        <v>296</v>
      </c>
      <c r="O9" s="95"/>
      <c r="P9" s="98"/>
    </row>
    <row r="10" spans="1:16" ht="45">
      <c r="B10" s="94">
        <v>3</v>
      </c>
      <c r="C10" s="95" t="s">
        <v>130</v>
      </c>
      <c r="D10" s="95" t="s">
        <v>297</v>
      </c>
      <c r="E10" s="95"/>
      <c r="F10" s="95" t="s">
        <v>298</v>
      </c>
      <c r="G10" s="95"/>
      <c r="H10" s="95"/>
      <c r="I10" s="95"/>
      <c r="J10" s="95"/>
      <c r="K10" s="96">
        <v>46252</v>
      </c>
      <c r="L10" s="100"/>
      <c r="M10" s="97"/>
      <c r="N10" s="95" t="s">
        <v>299</v>
      </c>
      <c r="O10" s="95"/>
      <c r="P10" s="98"/>
    </row>
    <row r="11" spans="1:16" ht="45">
      <c r="B11" s="94">
        <f t="shared" ref="B11:B57" si="0">IF(B10="ID",1,B10+1)</f>
        <v>4</v>
      </c>
      <c r="C11" s="95" t="s">
        <v>127</v>
      </c>
      <c r="D11" s="95" t="s">
        <v>300</v>
      </c>
      <c r="E11" s="95"/>
      <c r="F11" s="95" t="s">
        <v>36</v>
      </c>
      <c r="G11" s="95" t="s">
        <v>301</v>
      </c>
      <c r="H11" s="95"/>
      <c r="I11" s="95"/>
      <c r="J11" s="95"/>
      <c r="K11" s="96">
        <v>46252</v>
      </c>
      <c r="L11" s="100"/>
      <c r="M11" s="97"/>
      <c r="N11" s="95" t="s">
        <v>302</v>
      </c>
      <c r="O11" s="95"/>
      <c r="P11" s="98"/>
    </row>
    <row r="12" spans="1:16" ht="45">
      <c r="B12" s="94">
        <f t="shared" si="0"/>
        <v>5</v>
      </c>
      <c r="C12" s="95" t="s">
        <v>127</v>
      </c>
      <c r="D12" s="95" t="s">
        <v>292</v>
      </c>
      <c r="E12" s="95"/>
      <c r="F12" s="95" t="s">
        <v>36</v>
      </c>
      <c r="G12" s="95" t="s">
        <v>293</v>
      </c>
      <c r="H12" s="95"/>
      <c r="I12" s="95"/>
      <c r="J12" s="95"/>
      <c r="K12" s="96">
        <v>46252</v>
      </c>
      <c r="L12" s="100"/>
      <c r="M12" s="97"/>
      <c r="N12" s="95" t="s">
        <v>303</v>
      </c>
      <c r="O12" s="95"/>
      <c r="P12" s="98"/>
    </row>
    <row r="13" spans="1:16" ht="45">
      <c r="B13" s="94">
        <f t="shared" si="0"/>
        <v>6</v>
      </c>
      <c r="C13" s="95" t="s">
        <v>304</v>
      </c>
      <c r="D13" s="95" t="s">
        <v>305</v>
      </c>
      <c r="E13" s="95"/>
      <c r="F13" s="95" t="s">
        <v>306</v>
      </c>
      <c r="G13" s="95" t="s">
        <v>293</v>
      </c>
      <c r="H13" s="95"/>
      <c r="I13" s="95"/>
      <c r="J13" s="95"/>
      <c r="K13" s="96">
        <v>46252</v>
      </c>
      <c r="L13" s="100"/>
      <c r="M13" s="97"/>
      <c r="N13" s="95" t="s">
        <v>307</v>
      </c>
      <c r="O13" s="95"/>
      <c r="P13" s="98"/>
    </row>
    <row r="14" spans="1:16" ht="45">
      <c r="B14" s="94">
        <f t="shared" si="0"/>
        <v>7</v>
      </c>
      <c r="C14" s="95" t="s">
        <v>130</v>
      </c>
      <c r="D14" s="95" t="s">
        <v>308</v>
      </c>
      <c r="E14" s="95" t="s">
        <v>309</v>
      </c>
      <c r="F14" s="95" t="s">
        <v>310</v>
      </c>
      <c r="G14" s="95" t="s">
        <v>311</v>
      </c>
      <c r="H14" s="95"/>
      <c r="I14" s="95"/>
      <c r="J14" s="95" t="s">
        <v>312</v>
      </c>
      <c r="K14" s="96">
        <v>46252</v>
      </c>
      <c r="L14" s="100">
        <v>3180270626828</v>
      </c>
      <c r="M14" s="97"/>
      <c r="N14" s="95"/>
      <c r="O14" s="95"/>
      <c r="P14" s="98"/>
    </row>
    <row r="15" spans="1:16">
      <c r="B15" s="94">
        <f t="shared" si="0"/>
        <v>8</v>
      </c>
      <c r="C15" s="95"/>
      <c r="D15" s="95"/>
      <c r="E15" s="95"/>
      <c r="F15" s="95"/>
      <c r="G15" s="95"/>
      <c r="H15" s="95"/>
      <c r="I15" s="95"/>
      <c r="J15" s="95"/>
      <c r="K15" s="96"/>
      <c r="L15" s="100"/>
      <c r="M15" s="97"/>
      <c r="N15" s="95"/>
      <c r="O15" s="95"/>
      <c r="P15" s="98"/>
    </row>
    <row r="16" spans="1:16">
      <c r="B16" s="94">
        <f t="shared" si="0"/>
        <v>9</v>
      </c>
      <c r="C16" s="95"/>
      <c r="D16" s="95"/>
      <c r="E16" s="95"/>
      <c r="F16" s="95"/>
      <c r="G16" s="95"/>
      <c r="H16" s="95"/>
      <c r="I16" s="95"/>
      <c r="J16" s="95"/>
      <c r="K16" s="96"/>
      <c r="L16" s="100"/>
      <c r="M16" s="97"/>
      <c r="N16" s="95"/>
      <c r="O16" s="95"/>
      <c r="P16" s="98"/>
    </row>
    <row r="17" spans="2:16">
      <c r="B17" s="94">
        <f t="shared" si="0"/>
        <v>10</v>
      </c>
      <c r="C17" s="95"/>
      <c r="D17" s="95"/>
      <c r="E17" s="95"/>
      <c r="F17" s="95"/>
      <c r="G17" s="95"/>
      <c r="H17" s="95"/>
      <c r="I17" s="95"/>
      <c r="J17" s="95"/>
      <c r="K17" s="96"/>
      <c r="L17" s="100"/>
      <c r="M17" s="97"/>
      <c r="N17" s="95"/>
      <c r="O17" s="95"/>
      <c r="P17" s="98"/>
    </row>
    <row r="18" spans="2:16">
      <c r="B18" s="94">
        <f t="shared" si="0"/>
        <v>11</v>
      </c>
      <c r="C18" s="95"/>
      <c r="D18" s="95"/>
      <c r="E18" s="95"/>
      <c r="F18" s="95"/>
      <c r="G18" s="95"/>
      <c r="H18" s="95"/>
      <c r="I18" s="95"/>
      <c r="J18" s="95"/>
      <c r="K18" s="96"/>
      <c r="L18" s="100"/>
      <c r="M18" s="97"/>
      <c r="N18" s="95"/>
      <c r="O18" s="95"/>
      <c r="P18" s="98"/>
    </row>
    <row r="19" spans="2:16">
      <c r="B19" s="94">
        <f t="shared" si="0"/>
        <v>12</v>
      </c>
      <c r="C19" s="95"/>
      <c r="D19" s="95"/>
      <c r="E19" s="95"/>
      <c r="F19" s="95"/>
      <c r="G19" s="95"/>
      <c r="H19" s="95"/>
      <c r="I19" s="95"/>
      <c r="J19" s="95"/>
      <c r="K19" s="96"/>
      <c r="L19" s="100"/>
      <c r="M19" s="97"/>
      <c r="N19" s="95"/>
      <c r="O19" s="95"/>
      <c r="P19" s="98"/>
    </row>
    <row r="20" spans="2:16">
      <c r="B20" s="94">
        <f t="shared" si="0"/>
        <v>13</v>
      </c>
      <c r="C20" s="95"/>
      <c r="D20" s="95"/>
      <c r="E20" s="95"/>
      <c r="F20" s="95"/>
      <c r="G20" s="95"/>
      <c r="H20" s="95"/>
      <c r="I20" s="95"/>
      <c r="J20" s="95"/>
      <c r="K20" s="96"/>
      <c r="L20" s="100"/>
      <c r="M20" s="97"/>
      <c r="N20" s="95"/>
      <c r="O20" s="95"/>
      <c r="P20" s="98"/>
    </row>
    <row r="21" spans="2:16">
      <c r="B21" s="94">
        <f t="shared" si="0"/>
        <v>14</v>
      </c>
      <c r="C21" s="95"/>
      <c r="D21" s="95"/>
      <c r="E21" s="95"/>
      <c r="F21" s="95"/>
      <c r="G21" s="95"/>
      <c r="H21" s="95"/>
      <c r="I21" s="95"/>
      <c r="J21" s="95"/>
      <c r="K21" s="96"/>
      <c r="L21" s="100"/>
      <c r="M21" s="97"/>
      <c r="N21" s="95"/>
      <c r="O21" s="95"/>
      <c r="P21" s="98"/>
    </row>
    <row r="22" spans="2:16">
      <c r="B22" s="94">
        <f t="shared" si="0"/>
        <v>15</v>
      </c>
      <c r="C22" s="95"/>
      <c r="D22" s="95"/>
      <c r="E22" s="95"/>
      <c r="F22" s="95"/>
      <c r="G22" s="95"/>
      <c r="H22" s="95"/>
      <c r="I22" s="95"/>
      <c r="J22" s="95"/>
      <c r="K22" s="96"/>
      <c r="L22" s="100"/>
      <c r="M22" s="97"/>
      <c r="N22" s="95"/>
      <c r="O22" s="95"/>
      <c r="P22" s="98"/>
    </row>
    <row r="23" spans="2:16">
      <c r="B23" s="94">
        <f t="shared" si="0"/>
        <v>16</v>
      </c>
      <c r="C23" s="95"/>
      <c r="D23" s="95"/>
      <c r="E23" s="95"/>
      <c r="F23" s="95"/>
      <c r="G23" s="95"/>
      <c r="H23" s="95"/>
      <c r="I23" s="95"/>
      <c r="J23" s="95"/>
      <c r="K23" s="96"/>
      <c r="L23" s="100"/>
      <c r="M23" s="97"/>
      <c r="N23" s="95"/>
      <c r="O23" s="95"/>
      <c r="P23" s="98"/>
    </row>
    <row r="24" spans="2:16">
      <c r="B24" s="94">
        <f t="shared" si="0"/>
        <v>17</v>
      </c>
      <c r="C24" s="95"/>
      <c r="D24" s="95"/>
      <c r="E24" s="95"/>
      <c r="F24" s="95"/>
      <c r="G24" s="95"/>
      <c r="H24" s="95"/>
      <c r="I24" s="95"/>
      <c r="J24" s="95"/>
      <c r="K24" s="96"/>
      <c r="L24" s="100"/>
      <c r="M24" s="97"/>
      <c r="N24" s="95"/>
      <c r="O24" s="95"/>
      <c r="P24" s="98"/>
    </row>
    <row r="25" spans="2:16">
      <c r="B25" s="94">
        <f t="shared" si="0"/>
        <v>18</v>
      </c>
      <c r="C25" s="95"/>
      <c r="D25" s="95"/>
      <c r="E25" s="95"/>
      <c r="F25" s="95"/>
      <c r="G25" s="95"/>
      <c r="H25" s="95"/>
      <c r="I25" s="95"/>
      <c r="J25" s="95"/>
      <c r="K25" s="96"/>
      <c r="L25" s="100"/>
      <c r="M25" s="97"/>
      <c r="N25" s="95"/>
      <c r="O25" s="95"/>
      <c r="P25" s="98"/>
    </row>
    <row r="26" spans="2:16">
      <c r="B26" s="94">
        <f t="shared" si="0"/>
        <v>19</v>
      </c>
      <c r="C26" s="95"/>
      <c r="D26" s="95"/>
      <c r="E26" s="95"/>
      <c r="F26" s="95"/>
      <c r="G26" s="95"/>
      <c r="H26" s="95"/>
      <c r="I26" s="95"/>
      <c r="J26" s="95"/>
      <c r="K26" s="96"/>
      <c r="L26" s="100"/>
      <c r="M26" s="97"/>
      <c r="N26" s="95"/>
      <c r="O26" s="95"/>
      <c r="P26" s="98"/>
    </row>
    <row r="27" spans="2:16">
      <c r="B27" s="94">
        <f t="shared" si="0"/>
        <v>20</v>
      </c>
      <c r="C27" s="95"/>
      <c r="D27" s="95"/>
      <c r="E27" s="95"/>
      <c r="F27" s="95"/>
      <c r="G27" s="95"/>
      <c r="H27" s="95"/>
      <c r="I27" s="95"/>
      <c r="J27" s="95"/>
      <c r="K27" s="96"/>
      <c r="L27" s="100"/>
      <c r="M27" s="97"/>
      <c r="N27" s="95"/>
      <c r="O27" s="95"/>
      <c r="P27" s="98"/>
    </row>
    <row r="28" spans="2:16">
      <c r="B28" s="94">
        <f t="shared" si="0"/>
        <v>21</v>
      </c>
      <c r="C28" s="95"/>
      <c r="D28" s="95"/>
      <c r="E28" s="95"/>
      <c r="F28" s="95"/>
      <c r="G28" s="95"/>
      <c r="H28" s="95"/>
      <c r="I28" s="95"/>
      <c r="J28" s="95"/>
      <c r="K28" s="96"/>
      <c r="L28" s="100"/>
      <c r="M28" s="97"/>
      <c r="N28" s="95"/>
      <c r="O28" s="95"/>
      <c r="P28" s="98"/>
    </row>
    <row r="29" spans="2:16">
      <c r="B29" s="94">
        <f t="shared" si="0"/>
        <v>22</v>
      </c>
      <c r="C29" s="95"/>
      <c r="D29" s="95"/>
      <c r="E29" s="95"/>
      <c r="F29" s="95"/>
      <c r="G29" s="95"/>
      <c r="H29" s="95"/>
      <c r="I29" s="95"/>
      <c r="J29" s="95"/>
      <c r="K29" s="96"/>
      <c r="L29" s="100"/>
      <c r="M29" s="97"/>
      <c r="N29" s="95"/>
      <c r="O29" s="95"/>
      <c r="P29" s="98"/>
    </row>
    <row r="30" spans="2:16">
      <c r="B30" s="94">
        <f t="shared" si="0"/>
        <v>23</v>
      </c>
      <c r="C30" s="95"/>
      <c r="D30" s="95"/>
      <c r="E30" s="95"/>
      <c r="F30" s="95"/>
      <c r="G30" s="95"/>
      <c r="H30" s="95"/>
      <c r="I30" s="95"/>
      <c r="J30" s="95"/>
      <c r="K30" s="96"/>
      <c r="L30" s="100"/>
      <c r="M30" s="97"/>
      <c r="N30" s="95"/>
      <c r="O30" s="95"/>
      <c r="P30" s="98"/>
    </row>
    <row r="31" spans="2:16">
      <c r="B31" s="94">
        <f t="shared" si="0"/>
        <v>24</v>
      </c>
      <c r="C31" s="95"/>
      <c r="D31" s="95"/>
      <c r="E31" s="95"/>
      <c r="F31" s="95"/>
      <c r="G31" s="95"/>
      <c r="H31" s="95"/>
      <c r="I31" s="95"/>
      <c r="J31" s="95"/>
      <c r="K31" s="96"/>
      <c r="L31" s="100"/>
      <c r="M31" s="97"/>
      <c r="N31" s="95"/>
      <c r="O31" s="95"/>
      <c r="P31" s="98"/>
    </row>
    <row r="32" spans="2:16">
      <c r="B32" s="94">
        <f t="shared" si="0"/>
        <v>25</v>
      </c>
      <c r="C32" s="95"/>
      <c r="D32" s="95"/>
      <c r="E32" s="95"/>
      <c r="F32" s="95"/>
      <c r="G32" s="95"/>
      <c r="H32" s="95"/>
      <c r="I32" s="95"/>
      <c r="J32" s="95"/>
      <c r="K32" s="96"/>
      <c r="L32" s="100"/>
      <c r="M32" s="97"/>
      <c r="N32" s="95"/>
      <c r="O32" s="95"/>
      <c r="P32" s="98"/>
    </row>
    <row r="33" spans="2:16">
      <c r="B33" s="94">
        <f t="shared" si="0"/>
        <v>26</v>
      </c>
      <c r="C33" s="95"/>
      <c r="D33" s="95"/>
      <c r="E33" s="95"/>
      <c r="F33" s="95"/>
      <c r="G33" s="95"/>
      <c r="H33" s="95"/>
      <c r="I33" s="95"/>
      <c r="J33" s="95"/>
      <c r="K33" s="96"/>
      <c r="L33" s="100"/>
      <c r="M33" s="97"/>
      <c r="N33" s="95"/>
      <c r="O33" s="95"/>
      <c r="P33" s="98"/>
    </row>
    <row r="34" spans="2:16">
      <c r="B34" s="94">
        <f t="shared" si="0"/>
        <v>27</v>
      </c>
      <c r="C34" s="95"/>
      <c r="D34" s="95"/>
      <c r="E34" s="95"/>
      <c r="F34" s="95"/>
      <c r="G34" s="95"/>
      <c r="H34" s="95"/>
      <c r="I34" s="95"/>
      <c r="J34" s="95"/>
      <c r="K34" s="96"/>
      <c r="L34" s="100"/>
      <c r="M34" s="97"/>
      <c r="N34" s="95"/>
      <c r="O34" s="95"/>
      <c r="P34" s="98"/>
    </row>
    <row r="35" spans="2:16">
      <c r="B35" s="94">
        <f t="shared" si="0"/>
        <v>28</v>
      </c>
      <c r="C35" s="95"/>
      <c r="D35" s="95"/>
      <c r="E35" s="95"/>
      <c r="F35" s="95"/>
      <c r="G35" s="95"/>
      <c r="H35" s="95"/>
      <c r="I35" s="95"/>
      <c r="J35" s="95"/>
      <c r="K35" s="96"/>
      <c r="L35" s="100"/>
      <c r="M35" s="97"/>
      <c r="N35" s="95"/>
      <c r="O35" s="95"/>
      <c r="P35" s="98"/>
    </row>
    <row r="36" spans="2:16">
      <c r="B36" s="94">
        <f t="shared" si="0"/>
        <v>29</v>
      </c>
      <c r="C36" s="95"/>
      <c r="D36" s="95"/>
      <c r="E36" s="95"/>
      <c r="F36" s="95"/>
      <c r="G36" s="95"/>
      <c r="H36" s="95"/>
      <c r="I36" s="95"/>
      <c r="J36" s="95"/>
      <c r="K36" s="96"/>
      <c r="L36" s="100"/>
      <c r="M36" s="97"/>
      <c r="N36" s="95"/>
      <c r="O36" s="95"/>
      <c r="P36" s="98"/>
    </row>
    <row r="37" spans="2:16">
      <c r="B37" s="94">
        <f t="shared" si="0"/>
        <v>30</v>
      </c>
      <c r="C37" s="95"/>
      <c r="D37" s="95"/>
      <c r="E37" s="95"/>
      <c r="F37" s="95"/>
      <c r="G37" s="95"/>
      <c r="H37" s="95"/>
      <c r="I37" s="95"/>
      <c r="J37" s="95"/>
      <c r="K37" s="96"/>
      <c r="L37" s="100"/>
      <c r="M37" s="97"/>
      <c r="N37" s="95"/>
      <c r="O37" s="95"/>
      <c r="P37" s="98"/>
    </row>
    <row r="38" spans="2:16">
      <c r="B38" s="94">
        <f t="shared" si="0"/>
        <v>31</v>
      </c>
      <c r="C38" s="95"/>
      <c r="D38" s="95"/>
      <c r="E38" s="95"/>
      <c r="F38" s="95"/>
      <c r="G38" s="95"/>
      <c r="H38" s="95"/>
      <c r="I38" s="95"/>
      <c r="J38" s="95"/>
      <c r="K38" s="96"/>
      <c r="L38" s="100"/>
      <c r="M38" s="97"/>
      <c r="N38" s="95"/>
      <c r="O38" s="95"/>
      <c r="P38" s="98"/>
    </row>
    <row r="39" spans="2:16">
      <c r="B39" s="94">
        <f t="shared" si="0"/>
        <v>32</v>
      </c>
      <c r="C39" s="95"/>
      <c r="D39" s="95"/>
      <c r="E39" s="95"/>
      <c r="F39" s="95"/>
      <c r="G39" s="95"/>
      <c r="H39" s="95"/>
      <c r="I39" s="95"/>
      <c r="J39" s="95"/>
      <c r="K39" s="96"/>
      <c r="L39" s="100"/>
      <c r="M39" s="97"/>
      <c r="N39" s="95"/>
      <c r="O39" s="95"/>
      <c r="P39" s="98"/>
    </row>
    <row r="40" spans="2:16">
      <c r="B40" s="94">
        <f t="shared" si="0"/>
        <v>33</v>
      </c>
      <c r="C40" s="95"/>
      <c r="D40" s="95"/>
      <c r="E40" s="95"/>
      <c r="F40" s="95"/>
      <c r="G40" s="95"/>
      <c r="H40" s="95"/>
      <c r="I40" s="95"/>
      <c r="J40" s="95"/>
      <c r="K40" s="96"/>
      <c r="L40" s="100"/>
      <c r="M40" s="97"/>
      <c r="N40" s="95"/>
      <c r="O40" s="95"/>
      <c r="P40" s="98"/>
    </row>
    <row r="41" spans="2:16">
      <c r="B41" s="94">
        <f t="shared" si="0"/>
        <v>34</v>
      </c>
      <c r="C41" s="95"/>
      <c r="D41" s="95"/>
      <c r="E41" s="95"/>
      <c r="F41" s="95"/>
      <c r="G41" s="95"/>
      <c r="H41" s="95"/>
      <c r="I41" s="95"/>
      <c r="J41" s="95"/>
      <c r="K41" s="96"/>
      <c r="L41" s="100"/>
      <c r="M41" s="97"/>
      <c r="N41" s="95"/>
      <c r="O41" s="95"/>
      <c r="P41" s="98"/>
    </row>
    <row r="42" spans="2:16">
      <c r="B42" s="94">
        <f t="shared" si="0"/>
        <v>35</v>
      </c>
      <c r="C42" s="95"/>
      <c r="D42" s="95"/>
      <c r="E42" s="95"/>
      <c r="F42" s="95"/>
      <c r="G42" s="95"/>
      <c r="H42" s="95"/>
      <c r="I42" s="95"/>
      <c r="J42" s="95"/>
      <c r="K42" s="96"/>
      <c r="L42" s="100"/>
      <c r="M42" s="97"/>
      <c r="N42" s="95"/>
      <c r="O42" s="95"/>
      <c r="P42" s="98"/>
    </row>
    <row r="43" spans="2:16">
      <c r="B43" s="94">
        <f t="shared" si="0"/>
        <v>36</v>
      </c>
      <c r="C43" s="95"/>
      <c r="D43" s="95"/>
      <c r="E43" s="95"/>
      <c r="F43" s="95"/>
      <c r="G43" s="95"/>
      <c r="H43" s="95"/>
      <c r="I43" s="95"/>
      <c r="J43" s="95"/>
      <c r="K43" s="96"/>
      <c r="L43" s="100"/>
      <c r="M43" s="97"/>
      <c r="N43" s="95"/>
      <c r="O43" s="95"/>
      <c r="P43" s="98"/>
    </row>
    <row r="44" spans="2:16">
      <c r="B44" s="94">
        <f t="shared" si="0"/>
        <v>37</v>
      </c>
      <c r="C44" s="95"/>
      <c r="D44" s="95"/>
      <c r="E44" s="95"/>
      <c r="F44" s="95"/>
      <c r="G44" s="95"/>
      <c r="H44" s="95"/>
      <c r="I44" s="95"/>
      <c r="J44" s="95"/>
      <c r="K44" s="96"/>
      <c r="L44" s="100"/>
      <c r="M44" s="97"/>
      <c r="N44" s="95"/>
      <c r="O44" s="95"/>
      <c r="P44" s="98"/>
    </row>
    <row r="45" spans="2:16">
      <c r="B45" s="94">
        <f t="shared" si="0"/>
        <v>38</v>
      </c>
      <c r="C45" s="95"/>
      <c r="D45" s="95"/>
      <c r="E45" s="95"/>
      <c r="F45" s="95"/>
      <c r="G45" s="95"/>
      <c r="H45" s="95"/>
      <c r="I45" s="95"/>
      <c r="J45" s="95"/>
      <c r="K45" s="96"/>
      <c r="L45" s="100"/>
      <c r="M45" s="97"/>
      <c r="N45" s="95"/>
      <c r="O45" s="95"/>
      <c r="P45" s="98"/>
    </row>
    <row r="46" spans="2:16">
      <c r="B46" s="94">
        <f t="shared" si="0"/>
        <v>39</v>
      </c>
      <c r="C46" s="95"/>
      <c r="D46" s="95"/>
      <c r="E46" s="95"/>
      <c r="F46" s="95"/>
      <c r="G46" s="95"/>
      <c r="H46" s="95"/>
      <c r="I46" s="95"/>
      <c r="J46" s="95"/>
      <c r="K46" s="96"/>
      <c r="L46" s="100"/>
      <c r="M46" s="97"/>
      <c r="N46" s="95"/>
      <c r="O46" s="95"/>
      <c r="P46" s="98"/>
    </row>
    <row r="47" spans="2:16">
      <c r="B47" s="94">
        <f t="shared" si="0"/>
        <v>40</v>
      </c>
      <c r="C47" s="95"/>
      <c r="D47" s="95"/>
      <c r="E47" s="95"/>
      <c r="F47" s="95"/>
      <c r="G47" s="95"/>
      <c r="H47" s="95"/>
      <c r="I47" s="95"/>
      <c r="J47" s="95"/>
      <c r="K47" s="96"/>
      <c r="L47" s="100"/>
      <c r="M47" s="97"/>
      <c r="N47" s="95"/>
      <c r="O47" s="95"/>
      <c r="P47" s="98"/>
    </row>
    <row r="48" spans="2:16">
      <c r="B48" s="94">
        <f t="shared" si="0"/>
        <v>41</v>
      </c>
      <c r="C48" s="95"/>
      <c r="D48" s="95"/>
      <c r="E48" s="95"/>
      <c r="F48" s="95"/>
      <c r="G48" s="95"/>
      <c r="H48" s="95"/>
      <c r="I48" s="95"/>
      <c r="J48" s="95"/>
      <c r="K48" s="96"/>
      <c r="L48" s="100"/>
      <c r="M48" s="97"/>
      <c r="N48" s="95"/>
      <c r="O48" s="95"/>
      <c r="P48" s="98"/>
    </row>
    <row r="49" spans="2:16">
      <c r="B49" s="94">
        <f t="shared" si="0"/>
        <v>42</v>
      </c>
      <c r="C49" s="95"/>
      <c r="D49" s="95"/>
      <c r="E49" s="95"/>
      <c r="F49" s="95"/>
      <c r="G49" s="95"/>
      <c r="H49" s="95"/>
      <c r="I49" s="95"/>
      <c r="J49" s="95"/>
      <c r="K49" s="96"/>
      <c r="L49" s="100"/>
      <c r="M49" s="97"/>
      <c r="N49" s="95"/>
      <c r="O49" s="95"/>
      <c r="P49" s="98"/>
    </row>
    <row r="50" spans="2:16">
      <c r="B50" s="94">
        <f t="shared" si="0"/>
        <v>43</v>
      </c>
      <c r="C50" s="95"/>
      <c r="D50" s="95"/>
      <c r="E50" s="95"/>
      <c r="F50" s="95"/>
      <c r="G50" s="95"/>
      <c r="H50" s="95"/>
      <c r="I50" s="95"/>
      <c r="J50" s="95"/>
      <c r="K50" s="96"/>
      <c r="L50" s="100"/>
      <c r="M50" s="97"/>
      <c r="N50" s="95"/>
      <c r="O50" s="95"/>
      <c r="P50" s="98"/>
    </row>
    <row r="51" spans="2:16">
      <c r="B51" s="94">
        <f t="shared" si="0"/>
        <v>44</v>
      </c>
      <c r="C51" s="95"/>
      <c r="D51" s="95"/>
      <c r="E51" s="95"/>
      <c r="F51" s="95"/>
      <c r="G51" s="95"/>
      <c r="H51" s="95"/>
      <c r="I51" s="95"/>
      <c r="J51" s="95"/>
      <c r="K51" s="96"/>
      <c r="L51" s="100"/>
      <c r="M51" s="97"/>
      <c r="N51" s="95"/>
      <c r="O51" s="95"/>
      <c r="P51" s="98"/>
    </row>
    <row r="52" spans="2:16">
      <c r="B52" s="94">
        <f t="shared" si="0"/>
        <v>45</v>
      </c>
      <c r="C52" s="95"/>
      <c r="D52" s="95"/>
      <c r="E52" s="95"/>
      <c r="F52" s="95"/>
      <c r="G52" s="95"/>
      <c r="H52" s="95"/>
      <c r="I52" s="95"/>
      <c r="J52" s="95"/>
      <c r="K52" s="96"/>
      <c r="L52" s="100"/>
      <c r="M52" s="97"/>
      <c r="N52" s="95"/>
      <c r="O52" s="95"/>
      <c r="P52" s="98"/>
    </row>
    <row r="53" spans="2:16">
      <c r="B53" s="94">
        <f t="shared" si="0"/>
        <v>46</v>
      </c>
      <c r="C53" s="95"/>
      <c r="D53" s="95"/>
      <c r="E53" s="95"/>
      <c r="F53" s="95"/>
      <c r="G53" s="95"/>
      <c r="H53" s="95"/>
      <c r="I53" s="95"/>
      <c r="J53" s="95"/>
      <c r="K53" s="96"/>
      <c r="L53" s="100"/>
      <c r="M53" s="97"/>
      <c r="N53" s="95"/>
      <c r="O53" s="95"/>
      <c r="P53" s="98"/>
    </row>
    <row r="54" spans="2:16">
      <c r="B54" s="94">
        <f t="shared" si="0"/>
        <v>47</v>
      </c>
      <c r="C54" s="95"/>
      <c r="D54" s="95"/>
      <c r="E54" s="95"/>
      <c r="F54" s="95"/>
      <c r="G54" s="95"/>
      <c r="H54" s="95"/>
      <c r="I54" s="95"/>
      <c r="J54" s="95"/>
      <c r="K54" s="96"/>
      <c r="L54" s="100"/>
      <c r="M54" s="97"/>
      <c r="N54" s="95"/>
      <c r="O54" s="95"/>
      <c r="P54" s="98"/>
    </row>
    <row r="55" spans="2:16">
      <c r="B55" s="94">
        <f t="shared" si="0"/>
        <v>48</v>
      </c>
      <c r="C55" s="95"/>
      <c r="D55" s="95"/>
      <c r="E55" s="95"/>
      <c r="F55" s="95"/>
      <c r="G55" s="95"/>
      <c r="H55" s="95"/>
      <c r="I55" s="95"/>
      <c r="J55" s="95"/>
      <c r="K55" s="96"/>
      <c r="L55" s="100"/>
      <c r="M55" s="97"/>
      <c r="N55" s="95"/>
      <c r="O55" s="95"/>
      <c r="P55" s="98"/>
    </row>
    <row r="56" spans="2:16">
      <c r="B56" s="94">
        <f t="shared" si="0"/>
        <v>49</v>
      </c>
      <c r="C56" s="95"/>
      <c r="D56" s="95"/>
      <c r="E56" s="95"/>
      <c r="F56" s="95"/>
      <c r="G56" s="95"/>
      <c r="H56" s="95"/>
      <c r="I56" s="95"/>
      <c r="J56" s="95"/>
      <c r="K56" s="96"/>
      <c r="L56" s="100"/>
      <c r="M56" s="97"/>
      <c r="N56" s="95"/>
      <c r="O56" s="95"/>
      <c r="P56" s="98"/>
    </row>
    <row r="57" spans="2:16">
      <c r="B57" s="94">
        <f t="shared" si="0"/>
        <v>50</v>
      </c>
      <c r="C57" s="95"/>
      <c r="D57" s="95"/>
      <c r="E57" s="95"/>
      <c r="F57" s="95"/>
      <c r="G57" s="95"/>
      <c r="H57" s="95"/>
      <c r="I57" s="95"/>
      <c r="J57" s="95"/>
      <c r="K57" s="96"/>
      <c r="L57" s="100"/>
      <c r="M57" s="97"/>
      <c r="N57" s="95"/>
      <c r="O57" s="95"/>
      <c r="P57" s="98"/>
    </row>
  </sheetData>
  <mergeCells count="3">
    <mergeCell ref="B1:J1"/>
    <mergeCell ref="B2:J2"/>
    <mergeCell ref="B3:J3"/>
  </mergeCells>
  <conditionalFormatting sqref="C8:C1048576">
    <cfRule type="cellIs" dxfId="20" priority="1" operator="equal">
      <formula>"Sim"</formula>
    </cfRule>
  </conditionalFormatting>
  <dataValidations count="1">
    <dataValidation type="list" allowBlank="1" showInputMessage="1" showErrorMessage="1" sqref="M8:M57" xr:uid="{77D5CB1E-C5E5-4A6A-8CAC-197BC2A6F982}">
      <formula1>INDIRECT("status[status]")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6DCE0-97B1-47E9-B7A4-BB5A06C86F28}">
  <dimension ref="A1:H397"/>
  <sheetViews>
    <sheetView topLeftCell="A6" workbookViewId="0">
      <selection activeCell="A9" sqref="A9"/>
    </sheetView>
  </sheetViews>
  <sheetFormatPr defaultColWidth="14.42578125" defaultRowHeight="15" outlineLevelCol="1"/>
  <cols>
    <col min="1" max="1" width="48.85546875" customWidth="1"/>
    <col min="2" max="2" width="34.5703125" customWidth="1"/>
    <col min="3" max="3" width="24.5703125" customWidth="1" outlineLevel="1"/>
    <col min="4" max="4" width="20.85546875" customWidth="1" outlineLevel="1"/>
    <col min="5" max="5" width="26.5703125" customWidth="1" outlineLevel="1"/>
    <col min="6" max="6" width="22.85546875" customWidth="1"/>
    <col min="7" max="7" width="39.28515625" customWidth="1"/>
    <col min="8" max="8" width="20.85546875" customWidth="1"/>
    <col min="9" max="9" width="26.5703125" customWidth="1"/>
    <col min="10" max="10" width="24.85546875" customWidth="1"/>
    <col min="11" max="11" width="24.7109375" customWidth="1"/>
    <col min="12" max="12" width="23.85546875" customWidth="1"/>
  </cols>
  <sheetData>
    <row r="1" spans="1:5" ht="15" customHeight="1">
      <c r="A1" s="114" t="s">
        <v>313</v>
      </c>
      <c r="B1" s="114"/>
      <c r="C1" s="115"/>
      <c r="D1" s="115"/>
      <c r="E1" s="47"/>
    </row>
    <row r="2" spans="1:5" ht="15" customHeight="1">
      <c r="A2" s="115"/>
      <c r="B2" s="115"/>
      <c r="C2" s="115"/>
      <c r="D2" s="115"/>
      <c r="E2" s="47"/>
    </row>
    <row r="3" spans="1:5" ht="15" customHeight="1">
      <c r="A3" s="48" t="s">
        <v>314</v>
      </c>
      <c r="B3" s="49" t="s">
        <v>315</v>
      </c>
      <c r="C3" s="50" t="s">
        <v>146</v>
      </c>
    </row>
    <row r="4" spans="1:5" ht="15" customHeight="1">
      <c r="A4" t="s">
        <v>316</v>
      </c>
      <c r="B4" s="51" t="s">
        <v>317</v>
      </c>
      <c r="C4" s="50"/>
    </row>
    <row r="5" spans="1:5" ht="15" customHeight="1">
      <c r="A5" t="s">
        <v>318</v>
      </c>
      <c r="B5" s="51" t="s">
        <v>319</v>
      </c>
      <c r="C5" s="50"/>
    </row>
    <row r="6" spans="1:5" ht="37.5" customHeight="1">
      <c r="A6" s="52" t="s">
        <v>320</v>
      </c>
      <c r="C6" s="50"/>
    </row>
    <row r="7" spans="1:5" ht="15" customHeight="1">
      <c r="A7" s="53"/>
    </row>
    <row r="8" spans="1:5" ht="15" customHeight="1">
      <c r="A8" s="54" t="s">
        <v>321</v>
      </c>
      <c r="B8" s="54"/>
      <c r="C8" s="54"/>
      <c r="D8" s="54"/>
      <c r="E8" s="54"/>
    </row>
    <row r="9" spans="1:5" ht="154.5" customHeight="1">
      <c r="A9" s="55" t="s">
        <v>322</v>
      </c>
      <c r="B9" s="56" t="s">
        <v>323</v>
      </c>
    </row>
    <row r="10" spans="1:5" ht="15" customHeight="1">
      <c r="A10" s="57"/>
      <c r="B10" s="57"/>
    </row>
    <row r="11" spans="1:5" ht="15" customHeight="1">
      <c r="A11" s="54" t="s">
        <v>324</v>
      </c>
      <c r="B11" s="54"/>
      <c r="C11" s="54"/>
      <c r="D11" s="54"/>
      <c r="E11" s="54"/>
    </row>
    <row r="12" spans="1:5" ht="162.75" customHeight="1">
      <c r="A12" s="55" t="s">
        <v>325</v>
      </c>
      <c r="B12" s="56" t="s">
        <v>323</v>
      </c>
    </row>
    <row r="17" spans="1:8" ht="15" customHeight="1">
      <c r="A17" s="58" t="s">
        <v>326</v>
      </c>
      <c r="G17" s="58" t="s">
        <v>327</v>
      </c>
    </row>
    <row r="18" spans="1:8" ht="15" customHeight="1">
      <c r="A18" s="60">
        <v>13071027516</v>
      </c>
      <c r="B18" t="s">
        <v>328</v>
      </c>
      <c r="G18">
        <v>10000001503</v>
      </c>
      <c r="H18" t="s">
        <v>127</v>
      </c>
    </row>
    <row r="19" spans="1:8" ht="15" customHeight="1">
      <c r="A19" s="60" t="s">
        <v>329</v>
      </c>
      <c r="B19" t="s">
        <v>124</v>
      </c>
      <c r="G19">
        <v>10000001767</v>
      </c>
      <c r="H19" t="s">
        <v>127</v>
      </c>
    </row>
    <row r="20" spans="1:8" ht="15" customHeight="1">
      <c r="A20" s="60">
        <v>73565506792</v>
      </c>
      <c r="B20" t="s">
        <v>330</v>
      </c>
      <c r="G20">
        <v>10000001848</v>
      </c>
      <c r="H20" t="s">
        <v>127</v>
      </c>
    </row>
    <row r="21" spans="1:8" ht="15" customHeight="1">
      <c r="A21" s="60" t="s">
        <v>331</v>
      </c>
      <c r="B21" t="s">
        <v>124</v>
      </c>
      <c r="G21">
        <v>10000001929</v>
      </c>
      <c r="H21" t="s">
        <v>127</v>
      </c>
    </row>
    <row r="22" spans="1:8" ht="15" customHeight="1">
      <c r="A22" s="60" t="s">
        <v>332</v>
      </c>
      <c r="B22" t="s">
        <v>333</v>
      </c>
      <c r="G22">
        <v>10000002062</v>
      </c>
      <c r="H22" t="s">
        <v>127</v>
      </c>
    </row>
    <row r="23" spans="1:8" ht="15" customHeight="1">
      <c r="A23" s="60" t="s">
        <v>334</v>
      </c>
      <c r="B23" t="s">
        <v>333</v>
      </c>
      <c r="G23">
        <v>10000002739</v>
      </c>
      <c r="H23" t="s">
        <v>127</v>
      </c>
    </row>
    <row r="24" spans="1:8" ht="15" customHeight="1">
      <c r="A24" s="60" t="s">
        <v>335</v>
      </c>
      <c r="B24" t="s">
        <v>333</v>
      </c>
      <c r="G24">
        <v>10000003115</v>
      </c>
      <c r="H24" t="s">
        <v>127</v>
      </c>
    </row>
    <row r="25" spans="1:8" ht="15" customHeight="1">
      <c r="A25" s="60">
        <v>57275035405</v>
      </c>
      <c r="B25" t="s">
        <v>333</v>
      </c>
      <c r="G25">
        <v>10000003204</v>
      </c>
      <c r="H25" t="s">
        <v>127</v>
      </c>
    </row>
    <row r="26" spans="1:8" ht="15" customHeight="1">
      <c r="A26" s="84">
        <v>5261351073</v>
      </c>
      <c r="B26" t="s">
        <v>126</v>
      </c>
      <c r="G26">
        <v>10000003468</v>
      </c>
      <c r="H26" t="s">
        <v>127</v>
      </c>
    </row>
    <row r="27" spans="1:8" ht="15" customHeight="1">
      <c r="A27" s="84">
        <v>30214287548</v>
      </c>
      <c r="B27" t="s">
        <v>126</v>
      </c>
      <c r="G27">
        <v>10000003620</v>
      </c>
      <c r="H27" t="s">
        <v>127</v>
      </c>
    </row>
    <row r="28" spans="1:8" ht="15" customHeight="1">
      <c r="A28" s="84">
        <v>72668373247</v>
      </c>
      <c r="B28" t="s">
        <v>126</v>
      </c>
      <c r="G28">
        <v>10000004430</v>
      </c>
      <c r="H28" t="s">
        <v>127</v>
      </c>
    </row>
    <row r="29" spans="1:8" ht="15" customHeight="1">
      <c r="A29" s="84">
        <v>82270850670</v>
      </c>
      <c r="B29" t="s">
        <v>126</v>
      </c>
      <c r="G29">
        <v>10000007102</v>
      </c>
      <c r="H29" t="s">
        <v>127</v>
      </c>
    </row>
    <row r="30" spans="1:8" ht="15" customHeight="1">
      <c r="A30" s="60">
        <v>23474665260</v>
      </c>
      <c r="B30" t="s">
        <v>330</v>
      </c>
      <c r="G30">
        <v>10000007293</v>
      </c>
      <c r="H30" t="s">
        <v>127</v>
      </c>
    </row>
    <row r="31" spans="1:8" ht="15" customHeight="1">
      <c r="A31" s="60">
        <v>81517342309</v>
      </c>
      <c r="B31" t="s">
        <v>333</v>
      </c>
      <c r="G31">
        <v>10000007374</v>
      </c>
      <c r="H31" t="s">
        <v>127</v>
      </c>
    </row>
    <row r="32" spans="1:8" ht="15" customHeight="1">
      <c r="A32" s="60">
        <v>85701566005</v>
      </c>
      <c r="G32">
        <v>10000007617</v>
      </c>
      <c r="H32" t="s">
        <v>127</v>
      </c>
    </row>
    <row r="33" spans="1:8" ht="15" customHeight="1">
      <c r="A33" s="60" t="s">
        <v>336</v>
      </c>
      <c r="B33" t="s">
        <v>124</v>
      </c>
      <c r="G33">
        <v>10000008346</v>
      </c>
      <c r="H33" t="s">
        <v>127</v>
      </c>
    </row>
    <row r="34" spans="1:8" ht="15" customHeight="1">
      <c r="A34" s="60" t="s">
        <v>337</v>
      </c>
      <c r="B34" t="s">
        <v>124</v>
      </c>
      <c r="G34">
        <v>10000008427</v>
      </c>
      <c r="H34" t="s">
        <v>127</v>
      </c>
    </row>
    <row r="35" spans="1:8" ht="15" customHeight="1">
      <c r="A35" s="60" t="s">
        <v>338</v>
      </c>
      <c r="B35" t="s">
        <v>339</v>
      </c>
      <c r="G35">
        <v>10000008508</v>
      </c>
      <c r="H35" t="s">
        <v>127</v>
      </c>
    </row>
    <row r="36" spans="1:8" ht="15" customHeight="1">
      <c r="A36" s="60">
        <v>64334488528</v>
      </c>
      <c r="B36" t="s">
        <v>339</v>
      </c>
      <c r="G36">
        <v>10000008699</v>
      </c>
    </row>
    <row r="37" spans="1:8" ht="15" customHeight="1">
      <c r="A37" s="59"/>
      <c r="G37" s="85">
        <v>10000013854</v>
      </c>
    </row>
    <row r="38" spans="1:8" ht="15" customHeight="1">
      <c r="A38" s="60" t="s">
        <v>146</v>
      </c>
      <c r="G38" s="85">
        <v>10000016950</v>
      </c>
    </row>
    <row r="39" spans="1:8" ht="15" customHeight="1">
      <c r="A39" s="60">
        <v>10000053724</v>
      </c>
      <c r="B39" t="s">
        <v>330</v>
      </c>
      <c r="G39" s="85">
        <v>10000026751</v>
      </c>
    </row>
    <row r="40" spans="1:8" ht="15" customHeight="1">
      <c r="A40" s="60">
        <v>10000053805</v>
      </c>
      <c r="B40" t="s">
        <v>124</v>
      </c>
      <c r="G40" s="85">
        <v>10000026832</v>
      </c>
    </row>
    <row r="41" spans="1:8" ht="15" customHeight="1">
      <c r="A41" s="60">
        <v>10000054020</v>
      </c>
      <c r="B41" t="s">
        <v>340</v>
      </c>
      <c r="G41" s="85">
        <v>10000029009</v>
      </c>
    </row>
    <row r="42" spans="1:8" ht="15" customHeight="1">
      <c r="A42" s="60">
        <v>10000054100</v>
      </c>
      <c r="G42" s="85">
        <v>10000051004</v>
      </c>
    </row>
    <row r="43" spans="1:8" ht="15" customHeight="1">
      <c r="A43" s="60">
        <v>10001356240</v>
      </c>
      <c r="B43" t="s">
        <v>333</v>
      </c>
      <c r="G43" s="85">
        <v>10000053309</v>
      </c>
    </row>
    <row r="44" spans="1:8" ht="15" customHeight="1">
      <c r="A44" s="60">
        <v>10001356321</v>
      </c>
      <c r="B44" t="s">
        <v>333</v>
      </c>
      <c r="G44" s="85">
        <v>10000053643</v>
      </c>
    </row>
    <row r="45" spans="1:8" ht="15" customHeight="1">
      <c r="A45" s="60">
        <v>10001356402</v>
      </c>
      <c r="B45" t="s">
        <v>333</v>
      </c>
      <c r="G45" s="85">
        <v>10000053996</v>
      </c>
    </row>
    <row r="46" spans="1:8" ht="15" customHeight="1">
      <c r="A46" s="84">
        <v>10001356593</v>
      </c>
      <c r="G46" s="85">
        <v>10000054020</v>
      </c>
    </row>
    <row r="47" spans="1:8" ht="15" customHeight="1">
      <c r="A47" s="60">
        <v>10001356674</v>
      </c>
      <c r="G47" s="85">
        <v>10000054100</v>
      </c>
    </row>
    <row r="48" spans="1:8" ht="15" customHeight="1">
      <c r="A48" s="60">
        <v>10001356755</v>
      </c>
      <c r="B48" t="s">
        <v>333</v>
      </c>
      <c r="G48" s="83">
        <v>10000054291</v>
      </c>
    </row>
    <row r="49" spans="1:7" ht="15" customHeight="1">
      <c r="A49" s="60">
        <v>10001356836</v>
      </c>
      <c r="B49" t="s">
        <v>333</v>
      </c>
      <c r="G49" s="83">
        <v>10000058602</v>
      </c>
    </row>
    <row r="50" spans="1:7" ht="15" customHeight="1">
      <c r="A50" s="60">
        <v>10001356917</v>
      </c>
      <c r="B50" t="s">
        <v>333</v>
      </c>
      <c r="G50" s="83"/>
    </row>
    <row r="51" spans="1:7" ht="15" customHeight="1">
      <c r="A51" s="60">
        <v>10001357050</v>
      </c>
      <c r="G51">
        <v>10000058793</v>
      </c>
    </row>
    <row r="52" spans="1:7" ht="15" customHeight="1">
      <c r="A52" s="60">
        <v>10001362135</v>
      </c>
      <c r="B52" t="s">
        <v>339</v>
      </c>
      <c r="G52">
        <v>10000058955</v>
      </c>
    </row>
    <row r="53" spans="1:7" ht="15" customHeight="1">
      <c r="A53" s="60">
        <v>10001362216</v>
      </c>
      <c r="B53" t="s">
        <v>330</v>
      </c>
      <c r="G53">
        <v>10000059099</v>
      </c>
    </row>
    <row r="54" spans="1:7" ht="15" customHeight="1">
      <c r="A54" s="59"/>
      <c r="G54">
        <v>10000059170</v>
      </c>
    </row>
    <row r="55" spans="1:7">
      <c r="G55">
        <v>10000059250</v>
      </c>
    </row>
    <row r="56" spans="1:7" ht="15" customHeight="1">
      <c r="A56" s="61" t="s">
        <v>341</v>
      </c>
      <c r="B56" s="61" t="s">
        <v>342</v>
      </c>
      <c r="C56" s="61" t="s">
        <v>343</v>
      </c>
      <c r="G56">
        <v>10000059331</v>
      </c>
    </row>
    <row r="57" spans="1:7" ht="15" customHeight="1">
      <c r="A57" s="60" t="s">
        <v>344</v>
      </c>
      <c r="B57" s="60" t="s">
        <v>345</v>
      </c>
      <c r="C57" s="65">
        <v>45230</v>
      </c>
      <c r="D57" t="s">
        <v>328</v>
      </c>
      <c r="G57">
        <v>10000059846</v>
      </c>
    </row>
    <row r="58" spans="1:7" ht="15" customHeight="1">
      <c r="A58" s="60" t="s">
        <v>346</v>
      </c>
      <c r="B58" s="60" t="s">
        <v>345</v>
      </c>
      <c r="C58" s="65">
        <v>45230</v>
      </c>
      <c r="D58" t="s">
        <v>328</v>
      </c>
      <c r="G58">
        <v>10000060771</v>
      </c>
    </row>
    <row r="59" spans="1:7" ht="15" customHeight="1">
      <c r="A59" s="60" t="s">
        <v>347</v>
      </c>
      <c r="B59" s="60" t="s">
        <v>345</v>
      </c>
      <c r="C59" s="65">
        <v>45230</v>
      </c>
      <c r="G59">
        <v>10000060852</v>
      </c>
    </row>
    <row r="60" spans="1:7" ht="15" customHeight="1">
      <c r="A60" s="60" t="s">
        <v>348</v>
      </c>
      <c r="B60" s="60" t="s">
        <v>345</v>
      </c>
      <c r="C60" s="65">
        <v>45230</v>
      </c>
      <c r="G60">
        <v>10000083470</v>
      </c>
    </row>
    <row r="61" spans="1:7" ht="15" customHeight="1">
      <c r="A61" s="60" t="s">
        <v>349</v>
      </c>
      <c r="B61" s="60" t="s">
        <v>345</v>
      </c>
      <c r="C61" s="65">
        <v>45230</v>
      </c>
      <c r="G61">
        <v>10000083550</v>
      </c>
    </row>
    <row r="62" spans="1:7" ht="15" customHeight="1">
      <c r="A62" s="60" t="s">
        <v>350</v>
      </c>
      <c r="B62" s="60" t="s">
        <v>345</v>
      </c>
      <c r="C62" s="65">
        <v>45230</v>
      </c>
      <c r="G62">
        <v>10000083712</v>
      </c>
    </row>
    <row r="63" spans="1:7" ht="15" customHeight="1">
      <c r="A63" s="60" t="s">
        <v>351</v>
      </c>
      <c r="B63" s="60" t="s">
        <v>345</v>
      </c>
      <c r="C63" s="65">
        <v>45230</v>
      </c>
      <c r="G63">
        <v>10000084956</v>
      </c>
    </row>
    <row r="64" spans="1:7" ht="15" customHeight="1">
      <c r="A64" s="60" t="s">
        <v>352</v>
      </c>
      <c r="B64" s="60" t="s">
        <v>345</v>
      </c>
      <c r="C64" s="65">
        <v>45230</v>
      </c>
      <c r="G64">
        <v>10000085090</v>
      </c>
    </row>
    <row r="65" spans="1:7" ht="15" customHeight="1">
      <c r="A65" s="60" t="s">
        <v>353</v>
      </c>
      <c r="B65" s="60" t="s">
        <v>345</v>
      </c>
      <c r="C65" s="65">
        <v>45230</v>
      </c>
      <c r="G65" s="83">
        <v>10000248061</v>
      </c>
    </row>
    <row r="66" spans="1:7" ht="15" customHeight="1">
      <c r="A66" s="60" t="s">
        <v>354</v>
      </c>
      <c r="B66" s="60" t="s">
        <v>345</v>
      </c>
      <c r="C66" s="65">
        <v>45230</v>
      </c>
      <c r="G66">
        <v>10000261408</v>
      </c>
    </row>
    <row r="67" spans="1:7" ht="15" customHeight="1">
      <c r="A67" s="60" t="s">
        <v>355</v>
      </c>
      <c r="B67" s="60" t="s">
        <v>345</v>
      </c>
      <c r="C67" s="65">
        <v>45230</v>
      </c>
      <c r="G67">
        <v>10000261670</v>
      </c>
    </row>
    <row r="68" spans="1:7">
      <c r="G68">
        <v>10000261750</v>
      </c>
    </row>
    <row r="69" spans="1:7" ht="15" customHeight="1">
      <c r="A69" s="61" t="s">
        <v>356</v>
      </c>
      <c r="B69" s="62" t="s">
        <v>342</v>
      </c>
      <c r="G69">
        <v>10000261831</v>
      </c>
    </row>
    <row r="70" spans="1:7" ht="15" customHeight="1">
      <c r="A70" s="60" t="s">
        <v>357</v>
      </c>
      <c r="B70" s="60" t="s">
        <v>345</v>
      </c>
      <c r="G70">
        <v>10000261912</v>
      </c>
    </row>
    <row r="71" spans="1:7" ht="15" customHeight="1">
      <c r="A71" s="60" t="s">
        <v>358</v>
      </c>
      <c r="B71" s="60" t="s">
        <v>345</v>
      </c>
      <c r="G71">
        <v>10000262218</v>
      </c>
    </row>
    <row r="72" spans="1:7" ht="15" customHeight="1">
      <c r="A72" s="60" t="s">
        <v>359</v>
      </c>
      <c r="B72" s="60" t="s">
        <v>345</v>
      </c>
      <c r="G72">
        <v>10000265314</v>
      </c>
    </row>
    <row r="73" spans="1:7" ht="15" customHeight="1">
      <c r="A73" s="60" t="s">
        <v>360</v>
      </c>
      <c r="B73" s="60" t="s">
        <v>345</v>
      </c>
      <c r="G73">
        <v>10000267015</v>
      </c>
    </row>
    <row r="74" spans="1:7" ht="15" customHeight="1">
      <c r="A74" s="60" t="s">
        <v>361</v>
      </c>
      <c r="B74" s="60" t="s">
        <v>345</v>
      </c>
      <c r="G74">
        <v>10000267104</v>
      </c>
    </row>
    <row r="75" spans="1:7" ht="15" customHeight="1">
      <c r="A75" s="60" t="s">
        <v>362</v>
      </c>
      <c r="B75" s="60" t="s">
        <v>345</v>
      </c>
      <c r="G75">
        <v>10000267449</v>
      </c>
    </row>
    <row r="76" spans="1:7" ht="15" customHeight="1">
      <c r="A76" s="60" t="s">
        <v>363</v>
      </c>
      <c r="B76" s="60" t="s">
        <v>345</v>
      </c>
      <c r="G76">
        <v>10000268844</v>
      </c>
    </row>
    <row r="77" spans="1:7" ht="15" customHeight="1">
      <c r="A77" s="60" t="s">
        <v>364</v>
      </c>
      <c r="B77" s="60" t="s">
        <v>345</v>
      </c>
      <c r="G77">
        <v>10000270822</v>
      </c>
    </row>
    <row r="78" spans="1:7" ht="15" customHeight="1">
      <c r="A78" s="112" t="s">
        <v>365</v>
      </c>
      <c r="B78" s="113"/>
      <c r="C78" s="113"/>
      <c r="G78">
        <v>10000271209</v>
      </c>
    </row>
    <row r="79" spans="1:7" ht="15" customHeight="1">
      <c r="A79" s="63">
        <v>22065810190</v>
      </c>
      <c r="G79">
        <v>10000271985</v>
      </c>
    </row>
    <row r="80" spans="1:7" ht="15" customHeight="1">
      <c r="A80" s="63">
        <v>10000470244</v>
      </c>
      <c r="G80">
        <v>10000272019</v>
      </c>
    </row>
    <row r="81" spans="1:7">
      <c r="G81" s="83">
        <v>10000273333</v>
      </c>
    </row>
    <row r="82" spans="1:7">
      <c r="G82">
        <v>10000326984</v>
      </c>
    </row>
    <row r="83" spans="1:7" ht="15" customHeight="1">
      <c r="A83" s="112" t="s">
        <v>366</v>
      </c>
      <c r="B83" s="113"/>
      <c r="C83" s="113"/>
      <c r="G83" s="83">
        <v>10000327018</v>
      </c>
    </row>
    <row r="84" spans="1:7" ht="15" customHeight="1">
      <c r="A84" s="63">
        <v>10002415054</v>
      </c>
      <c r="G84" s="83">
        <v>10000454559</v>
      </c>
    </row>
    <row r="85" spans="1:7" ht="15" customHeight="1">
      <c r="A85" s="63">
        <v>10002414406</v>
      </c>
      <c r="G85" s="83">
        <v>10000469742</v>
      </c>
    </row>
    <row r="86" spans="1:7" ht="15" customHeight="1">
      <c r="A86" s="63">
        <v>10002414597</v>
      </c>
      <c r="G86" s="83">
        <v>10000479039</v>
      </c>
    </row>
    <row r="87" spans="1:7" ht="15" customHeight="1">
      <c r="A87" s="63">
        <v>10002414759</v>
      </c>
      <c r="G87">
        <v>10000479110</v>
      </c>
    </row>
    <row r="88" spans="1:7" ht="15" customHeight="1">
      <c r="A88" s="63">
        <v>10002414830</v>
      </c>
      <c r="G88" s="83">
        <v>10000488534</v>
      </c>
    </row>
    <row r="89" spans="1:7" ht="15" customHeight="1">
      <c r="A89" s="63">
        <v>10002414325</v>
      </c>
      <c r="G89" s="83">
        <v>10000488615</v>
      </c>
    </row>
    <row r="90" spans="1:7">
      <c r="G90" s="83">
        <v>10000488704</v>
      </c>
    </row>
    <row r="91" spans="1:7">
      <c r="G91" s="83">
        <v>10000488887</v>
      </c>
    </row>
    <row r="92" spans="1:7" ht="15" customHeight="1">
      <c r="A92" s="112" t="s">
        <v>367</v>
      </c>
      <c r="B92" s="113"/>
      <c r="C92" s="113"/>
      <c r="G92" s="83">
        <v>10000489000</v>
      </c>
    </row>
    <row r="93" spans="1:7" ht="15" customHeight="1">
      <c r="A93" s="63">
        <v>10002404958</v>
      </c>
      <c r="G93">
        <v>10000575690</v>
      </c>
    </row>
    <row r="94" spans="1:7" ht="15" customHeight="1">
      <c r="A94" s="63">
        <v>10002405091</v>
      </c>
      <c r="G94">
        <v>10000576077</v>
      </c>
    </row>
    <row r="95" spans="1:7" ht="15" customHeight="1">
      <c r="A95" s="63">
        <v>10002405172</v>
      </c>
      <c r="G95">
        <v>10000601527</v>
      </c>
    </row>
    <row r="96" spans="1:7" ht="15" customHeight="1">
      <c r="A96" s="63">
        <v>10002405253</v>
      </c>
      <c r="G96" s="83">
        <v>10000613614</v>
      </c>
    </row>
    <row r="97" spans="1:7">
      <c r="G97" s="83">
        <v>10000718122</v>
      </c>
    </row>
    <row r="98" spans="1:7">
      <c r="G98" s="83">
        <v>10000719366</v>
      </c>
    </row>
    <row r="99" spans="1:7" ht="15" customHeight="1">
      <c r="A99" s="112" t="s">
        <v>368</v>
      </c>
      <c r="B99" s="113"/>
      <c r="C99" s="113"/>
      <c r="G99" s="83">
        <v>10000719447</v>
      </c>
    </row>
    <row r="100" spans="1:7" ht="15" customHeight="1">
      <c r="A100" s="63">
        <v>20055748210</v>
      </c>
      <c r="G100" s="83">
        <v>10000720615</v>
      </c>
    </row>
    <row r="101" spans="1:7" ht="15" customHeight="1">
      <c r="A101" s="63">
        <v>60775174882</v>
      </c>
      <c r="G101" s="83">
        <v>10000722235</v>
      </c>
    </row>
    <row r="102" spans="1:7" ht="15" customHeight="1">
      <c r="A102" s="63">
        <v>48572278192</v>
      </c>
      <c r="G102" s="83">
        <v>10000722405</v>
      </c>
    </row>
    <row r="103" spans="1:7" ht="15" customHeight="1">
      <c r="A103" s="63">
        <v>23166088091</v>
      </c>
      <c r="G103">
        <v>10000722588</v>
      </c>
    </row>
    <row r="104" spans="1:7">
      <c r="G104">
        <v>10000722669</v>
      </c>
    </row>
    <row r="105" spans="1:7" ht="15.75" customHeight="1">
      <c r="C105" s="64"/>
      <c r="D105" s="64"/>
      <c r="E105" s="64"/>
      <c r="G105">
        <v>10000722740</v>
      </c>
    </row>
    <row r="106" spans="1:7" ht="15.75" customHeight="1">
      <c r="A106" s="114" t="s">
        <v>313</v>
      </c>
      <c r="B106" s="114"/>
      <c r="C106" s="115"/>
      <c r="D106" s="115"/>
      <c r="E106" s="47"/>
      <c r="G106">
        <v>10000722820</v>
      </c>
    </row>
    <row r="107" spans="1:7" ht="15.75" customHeight="1">
      <c r="A107" s="115"/>
      <c r="B107" s="115"/>
      <c r="C107" s="115"/>
      <c r="D107" s="115"/>
      <c r="E107" s="47"/>
      <c r="G107">
        <v>10000722901</v>
      </c>
    </row>
    <row r="108" spans="1:7" ht="29.25" customHeight="1">
      <c r="A108" s="48" t="s">
        <v>314</v>
      </c>
      <c r="B108" s="49" t="s">
        <v>315</v>
      </c>
      <c r="C108" s="50" t="s">
        <v>146</v>
      </c>
      <c r="G108">
        <v>10000723045</v>
      </c>
    </row>
    <row r="109" spans="1:7" ht="29.25" customHeight="1">
      <c r="A109" t="s">
        <v>316</v>
      </c>
      <c r="B109" s="51" t="s">
        <v>317</v>
      </c>
      <c r="C109" s="50"/>
      <c r="G109">
        <v>10000723207</v>
      </c>
    </row>
    <row r="110" spans="1:7" ht="29.25" customHeight="1">
      <c r="A110" t="s">
        <v>318</v>
      </c>
      <c r="B110" s="51" t="s">
        <v>319</v>
      </c>
      <c r="C110" s="50"/>
      <c r="G110">
        <v>10000723398</v>
      </c>
    </row>
    <row r="111" spans="1:7" ht="31.5">
      <c r="A111" s="52" t="s">
        <v>320</v>
      </c>
      <c r="C111" s="50"/>
      <c r="G111">
        <v>10000730173</v>
      </c>
    </row>
    <row r="112" spans="1:7" ht="15.75" customHeight="1">
      <c r="A112" s="53"/>
      <c r="G112">
        <v>10000744719</v>
      </c>
    </row>
    <row r="113" spans="1:7" ht="33" customHeight="1">
      <c r="A113" s="54" t="s">
        <v>321</v>
      </c>
      <c r="B113" s="54"/>
      <c r="C113" s="54"/>
      <c r="D113" s="54"/>
      <c r="E113" s="54"/>
      <c r="G113">
        <v>10000745103</v>
      </c>
    </row>
    <row r="114" spans="1:7" ht="156.75">
      <c r="A114" s="55" t="s">
        <v>322</v>
      </c>
      <c r="B114" s="56" t="s">
        <v>323</v>
      </c>
      <c r="G114">
        <v>10000745367</v>
      </c>
    </row>
    <row r="115" spans="1:7" ht="15.75" customHeight="1">
      <c r="A115" s="57"/>
      <c r="B115" s="57"/>
      <c r="G115">
        <v>10000745448</v>
      </c>
    </row>
    <row r="116" spans="1:7" ht="28.5" customHeight="1">
      <c r="A116" s="54" t="s">
        <v>324</v>
      </c>
      <c r="B116" s="54"/>
      <c r="C116" s="54"/>
      <c r="D116" s="54"/>
      <c r="E116" s="54"/>
      <c r="G116">
        <v>10000745529</v>
      </c>
    </row>
    <row r="117" spans="1:7" ht="156.75">
      <c r="A117" s="55" t="s">
        <v>325</v>
      </c>
      <c r="B117" s="56" t="s">
        <v>323</v>
      </c>
      <c r="G117">
        <v>10000745600</v>
      </c>
    </row>
    <row r="118" spans="1:7" ht="15.75" customHeight="1">
      <c r="G118">
        <v>10000745790</v>
      </c>
    </row>
    <row r="119" spans="1:7" ht="15.75" customHeight="1">
      <c r="A119" s="53"/>
      <c r="G119">
        <v>10000745871</v>
      </c>
    </row>
    <row r="120" spans="1:7" ht="15.75" customHeight="1">
      <c r="A120" s="53"/>
      <c r="G120">
        <v>10000745952</v>
      </c>
    </row>
    <row r="121" spans="1:7" ht="15.75" customHeight="1">
      <c r="A121" s="53"/>
      <c r="G121">
        <v>10000746096</v>
      </c>
    </row>
    <row r="122" spans="1:7" ht="15.75" customHeight="1">
      <c r="A122" s="53"/>
      <c r="G122">
        <v>10000746177</v>
      </c>
    </row>
    <row r="123" spans="1:7" ht="15.75" customHeight="1">
      <c r="A123" s="53"/>
      <c r="G123">
        <v>10000751766</v>
      </c>
    </row>
    <row r="124" spans="1:7" ht="15.75" customHeight="1">
      <c r="A124" s="53"/>
      <c r="G124">
        <v>10000752304</v>
      </c>
    </row>
    <row r="125" spans="1:7" ht="15.75" customHeight="1">
      <c r="A125" s="53"/>
      <c r="G125">
        <v>10000752576</v>
      </c>
    </row>
    <row r="126" spans="1:7" ht="15.75" customHeight="1">
      <c r="A126" s="53"/>
      <c r="G126">
        <v>10000761133</v>
      </c>
    </row>
    <row r="127" spans="1:7" ht="15.75" customHeight="1">
      <c r="A127" s="53"/>
      <c r="G127">
        <v>10000761303</v>
      </c>
    </row>
    <row r="128" spans="1:7" ht="15.75" customHeight="1">
      <c r="A128" s="53"/>
      <c r="G128">
        <v>10000761486</v>
      </c>
    </row>
    <row r="129" spans="1:7" ht="15.75" customHeight="1">
      <c r="A129" s="53"/>
      <c r="G129">
        <v>10000761648</v>
      </c>
    </row>
    <row r="130" spans="1:7" ht="15.75" customHeight="1">
      <c r="A130" s="53"/>
      <c r="G130">
        <v>10000761729</v>
      </c>
    </row>
    <row r="131" spans="1:7" ht="15.75" customHeight="1">
      <c r="A131" s="53"/>
      <c r="G131">
        <v>10000761800</v>
      </c>
    </row>
    <row r="132" spans="1:7" ht="15.75" customHeight="1">
      <c r="A132" s="53"/>
      <c r="G132">
        <v>10000761990</v>
      </c>
    </row>
    <row r="133" spans="1:7" ht="15.75" customHeight="1">
      <c r="A133" s="53"/>
      <c r="G133">
        <v>10000762024</v>
      </c>
    </row>
    <row r="134" spans="1:7" ht="15.75" customHeight="1">
      <c r="A134" s="53"/>
      <c r="G134">
        <v>10000762105</v>
      </c>
    </row>
    <row r="135" spans="1:7" ht="15.75" customHeight="1">
      <c r="A135" s="53"/>
      <c r="G135">
        <v>10000762296</v>
      </c>
    </row>
    <row r="136" spans="1:7" ht="15.75" customHeight="1">
      <c r="A136" s="53"/>
      <c r="G136">
        <v>10000764230</v>
      </c>
    </row>
    <row r="137" spans="1:7" ht="15.75" customHeight="1">
      <c r="A137" s="53"/>
      <c r="G137">
        <v>10000777803</v>
      </c>
    </row>
    <row r="138" spans="1:7" ht="15.75" customHeight="1">
      <c r="A138" s="53"/>
      <c r="G138">
        <v>10000778028</v>
      </c>
    </row>
    <row r="139" spans="1:7" ht="15.75" customHeight="1">
      <c r="A139" s="53"/>
      <c r="G139">
        <v>10000778109</v>
      </c>
    </row>
    <row r="140" spans="1:7" ht="15.75" customHeight="1">
      <c r="A140" s="53"/>
      <c r="G140">
        <v>10000778370</v>
      </c>
    </row>
    <row r="141" spans="1:7" ht="15.75" customHeight="1">
      <c r="A141" s="53"/>
      <c r="G141">
        <v>10000778613</v>
      </c>
    </row>
    <row r="142" spans="1:7" ht="15.75" customHeight="1">
      <c r="A142" s="53"/>
      <c r="G142">
        <v>10000778702</v>
      </c>
    </row>
    <row r="143" spans="1:7" ht="15.75" customHeight="1">
      <c r="A143" s="53"/>
      <c r="G143">
        <v>10000778885</v>
      </c>
    </row>
    <row r="144" spans="1:7" ht="15.75" customHeight="1">
      <c r="A144" s="53"/>
      <c r="G144">
        <v>10000778966</v>
      </c>
    </row>
    <row r="145" spans="1:7" ht="15.75" customHeight="1">
      <c r="A145" s="53"/>
      <c r="G145">
        <v>10000779261</v>
      </c>
    </row>
    <row r="146" spans="1:7" ht="15.75" customHeight="1">
      <c r="A146" s="53"/>
      <c r="G146">
        <v>10000908681</v>
      </c>
    </row>
    <row r="147" spans="1:7" ht="15.75" customHeight="1">
      <c r="A147" s="53"/>
      <c r="G147">
        <v>10000959839</v>
      </c>
    </row>
    <row r="148" spans="1:7" ht="15.75" customHeight="1">
      <c r="A148" s="53"/>
      <c r="G148">
        <v>10000960500</v>
      </c>
    </row>
    <row r="149" spans="1:7" ht="15.75" customHeight="1">
      <c r="A149" s="53"/>
      <c r="G149">
        <v>10000963860</v>
      </c>
    </row>
    <row r="150" spans="1:7" ht="15.75" customHeight="1">
      <c r="A150" s="53"/>
      <c r="G150">
        <v>10000963941</v>
      </c>
    </row>
    <row r="151" spans="1:7" ht="15.75" customHeight="1">
      <c r="A151" s="53"/>
      <c r="G151">
        <v>10000964247</v>
      </c>
    </row>
    <row r="152" spans="1:7" ht="15.75" customHeight="1">
      <c r="A152" s="53"/>
      <c r="G152">
        <v>10001024400</v>
      </c>
    </row>
    <row r="153" spans="1:7" ht="15.75" customHeight="1">
      <c r="A153" s="53"/>
      <c r="G153">
        <v>10001066161</v>
      </c>
    </row>
    <row r="154" spans="1:7" ht="15.75" customHeight="1">
      <c r="A154" s="53"/>
      <c r="G154">
        <v>10001089536</v>
      </c>
    </row>
    <row r="155" spans="1:7" ht="15.75" customHeight="1">
      <c r="A155" s="53"/>
      <c r="G155">
        <v>10001092910</v>
      </c>
    </row>
    <row r="156" spans="1:7" ht="15.75" customHeight="1">
      <c r="A156" s="53"/>
      <c r="G156">
        <v>10001223445</v>
      </c>
    </row>
    <row r="157" spans="1:7" ht="15.75" customHeight="1">
      <c r="A157" s="53"/>
      <c r="G157">
        <v>10001223526</v>
      </c>
    </row>
    <row r="158" spans="1:7" ht="15.75" customHeight="1">
      <c r="A158" s="53"/>
      <c r="G158">
        <v>10001223607</v>
      </c>
    </row>
    <row r="159" spans="1:7" ht="15.75" customHeight="1">
      <c r="A159" s="53"/>
      <c r="G159">
        <v>10001223798</v>
      </c>
    </row>
    <row r="160" spans="1:7" ht="15.75" customHeight="1">
      <c r="A160" s="53"/>
      <c r="G160">
        <v>10001223879</v>
      </c>
    </row>
    <row r="161" spans="1:7" ht="15.75" customHeight="1">
      <c r="A161" s="53"/>
      <c r="G161">
        <v>10001223950</v>
      </c>
    </row>
    <row r="162" spans="1:7" ht="15.75" customHeight="1">
      <c r="A162" s="53"/>
      <c r="G162">
        <v>10001224174</v>
      </c>
    </row>
    <row r="163" spans="1:7" ht="15.75" customHeight="1">
      <c r="A163" s="53"/>
      <c r="G163">
        <v>10001224255</v>
      </c>
    </row>
    <row r="164" spans="1:7" ht="15.75" customHeight="1">
      <c r="A164" s="53"/>
      <c r="G164">
        <v>10001224336</v>
      </c>
    </row>
    <row r="165" spans="1:7" ht="15.75" customHeight="1">
      <c r="A165" s="53"/>
      <c r="G165">
        <v>10001229052</v>
      </c>
    </row>
    <row r="166" spans="1:7" ht="15.75" customHeight="1">
      <c r="A166" s="53"/>
      <c r="G166">
        <v>10001346105</v>
      </c>
    </row>
    <row r="167" spans="1:7" ht="15.75" customHeight="1">
      <c r="A167" s="53"/>
      <c r="G167">
        <v>10001346288</v>
      </c>
    </row>
    <row r="168" spans="1:7" ht="15.75" customHeight="1">
      <c r="A168" s="53"/>
      <c r="G168">
        <v>10001346369</v>
      </c>
    </row>
    <row r="169" spans="1:7" ht="15.75" customHeight="1">
      <c r="A169" s="53"/>
      <c r="G169">
        <v>10001346440</v>
      </c>
    </row>
    <row r="170" spans="1:7" ht="15.75" customHeight="1">
      <c r="A170" s="53"/>
      <c r="G170">
        <v>10001346520</v>
      </c>
    </row>
    <row r="171" spans="1:7" ht="15.75" customHeight="1">
      <c r="A171" s="53"/>
      <c r="G171">
        <v>10001346601</v>
      </c>
    </row>
    <row r="172" spans="1:7" ht="15.75" customHeight="1">
      <c r="A172" s="53"/>
      <c r="G172">
        <v>10001346792</v>
      </c>
    </row>
    <row r="173" spans="1:7" ht="15.75" customHeight="1">
      <c r="A173" s="53"/>
      <c r="G173">
        <v>10001346873</v>
      </c>
    </row>
    <row r="174" spans="1:7" ht="15.75" customHeight="1">
      <c r="A174" s="53"/>
      <c r="G174">
        <v>10001346954</v>
      </c>
    </row>
    <row r="175" spans="1:7" ht="15.75" customHeight="1">
      <c r="A175" s="53"/>
      <c r="G175">
        <v>10001347330</v>
      </c>
    </row>
    <row r="176" spans="1:7" ht="15.75" customHeight="1">
      <c r="A176" s="53"/>
      <c r="G176">
        <v>10001349031</v>
      </c>
    </row>
    <row r="177" spans="1:7" ht="15.75" customHeight="1">
      <c r="A177" s="53"/>
      <c r="G177">
        <v>10001350200</v>
      </c>
    </row>
    <row r="178" spans="1:7" ht="15.75" customHeight="1">
      <c r="A178" s="53"/>
      <c r="G178">
        <v>10001350390</v>
      </c>
    </row>
    <row r="179" spans="1:7" ht="15.75" customHeight="1">
      <c r="A179" s="53"/>
      <c r="G179">
        <v>10001350552</v>
      </c>
    </row>
    <row r="180" spans="1:7" ht="15.75" customHeight="1">
      <c r="A180" s="53"/>
      <c r="G180">
        <v>10001350803</v>
      </c>
    </row>
    <row r="181" spans="1:7" ht="15.75" customHeight="1">
      <c r="A181" s="53"/>
      <c r="G181">
        <v>10001350986</v>
      </c>
    </row>
    <row r="182" spans="1:7" ht="15.75" customHeight="1">
      <c r="A182" s="53"/>
      <c r="G182">
        <v>10001351524</v>
      </c>
    </row>
    <row r="183" spans="1:7" ht="15.75" customHeight="1">
      <c r="A183" s="53"/>
      <c r="G183">
        <v>10001351605</v>
      </c>
    </row>
    <row r="184" spans="1:7" ht="15.75" customHeight="1">
      <c r="A184" s="53"/>
      <c r="G184">
        <v>10001354116</v>
      </c>
    </row>
    <row r="185" spans="1:7" ht="15.75" customHeight="1">
      <c r="A185" s="53"/>
      <c r="G185">
        <v>10001354388</v>
      </c>
    </row>
    <row r="186" spans="1:7" ht="15.75" customHeight="1">
      <c r="A186" s="53"/>
      <c r="G186">
        <v>10001354892</v>
      </c>
    </row>
    <row r="187" spans="1:7" ht="15.75" customHeight="1">
      <c r="A187" s="53"/>
      <c r="G187">
        <v>10001356755</v>
      </c>
    </row>
    <row r="188" spans="1:7" ht="15.75" customHeight="1">
      <c r="A188" s="53"/>
      <c r="G188">
        <v>10001357050</v>
      </c>
    </row>
    <row r="189" spans="1:7" ht="15.75" customHeight="1">
      <c r="A189" s="53"/>
      <c r="G189">
        <v>10001358456</v>
      </c>
    </row>
    <row r="190" spans="1:7" ht="15.75" customHeight="1">
      <c r="A190" s="53"/>
      <c r="G190">
        <v>10001358618</v>
      </c>
    </row>
    <row r="191" spans="1:7" ht="15.75" customHeight="1">
      <c r="A191" s="53"/>
      <c r="G191">
        <v>10001359002</v>
      </c>
    </row>
    <row r="192" spans="1:7" ht="15.75" customHeight="1">
      <c r="A192" s="53"/>
      <c r="G192">
        <v>10001359266</v>
      </c>
    </row>
    <row r="193" spans="1:7" ht="15.75" customHeight="1">
      <c r="A193" s="53"/>
      <c r="G193">
        <v>10001359347</v>
      </c>
    </row>
    <row r="194" spans="1:7" ht="15.75" customHeight="1">
      <c r="A194" s="53"/>
      <c r="G194">
        <v>10001359428</v>
      </c>
    </row>
    <row r="195" spans="1:7" ht="15.75" customHeight="1">
      <c r="A195" s="53"/>
      <c r="G195">
        <v>10001362216</v>
      </c>
    </row>
    <row r="196" spans="1:7" ht="15.75" customHeight="1">
      <c r="A196" s="53"/>
      <c r="G196">
        <v>10001362305</v>
      </c>
    </row>
    <row r="197" spans="1:7" ht="15.75" customHeight="1">
      <c r="A197" s="53"/>
      <c r="G197">
        <v>10001380389</v>
      </c>
    </row>
    <row r="198" spans="1:7" ht="15.75" customHeight="1">
      <c r="A198" s="53"/>
      <c r="G198">
        <v>10001380540</v>
      </c>
    </row>
    <row r="199" spans="1:7" ht="15.75" customHeight="1">
      <c r="A199" s="53"/>
      <c r="G199">
        <v>10001380621</v>
      </c>
    </row>
    <row r="200" spans="1:7" ht="15.75" customHeight="1">
      <c r="A200" s="53"/>
      <c r="G200">
        <v>10001380702</v>
      </c>
    </row>
    <row r="201" spans="1:7" ht="15.75" customHeight="1">
      <c r="A201" s="53"/>
      <c r="G201">
        <v>10001381270</v>
      </c>
    </row>
    <row r="202" spans="1:7" ht="15.75" customHeight="1">
      <c r="A202" s="53"/>
      <c r="G202">
        <v>10001381350</v>
      </c>
    </row>
    <row r="203" spans="1:7" ht="15.75" customHeight="1">
      <c r="A203" s="53"/>
      <c r="G203">
        <v>10001381431</v>
      </c>
    </row>
    <row r="204" spans="1:7" ht="15.75" customHeight="1">
      <c r="A204" s="53"/>
      <c r="G204">
        <v>10001381512</v>
      </c>
    </row>
    <row r="205" spans="1:7" ht="15.75" customHeight="1">
      <c r="A205" s="53"/>
      <c r="G205">
        <v>10001383051</v>
      </c>
    </row>
    <row r="206" spans="1:7" ht="15.75" customHeight="1">
      <c r="A206" s="53"/>
      <c r="G206">
        <v>10002003619</v>
      </c>
    </row>
    <row r="207" spans="1:7" ht="15.75" customHeight="1">
      <c r="A207" s="53"/>
      <c r="G207">
        <v>10002158655</v>
      </c>
    </row>
    <row r="208" spans="1:7" ht="15.75" customHeight="1">
      <c r="A208" s="53"/>
      <c r="G208">
        <v>10002158736</v>
      </c>
    </row>
    <row r="209" spans="1:7" ht="15.75" customHeight="1">
      <c r="A209" s="53"/>
      <c r="G209">
        <v>10002181630</v>
      </c>
    </row>
    <row r="210" spans="1:7" ht="15.75" customHeight="1">
      <c r="A210" s="53"/>
      <c r="G210">
        <v>10002181711</v>
      </c>
    </row>
    <row r="211" spans="1:7" ht="15.75" customHeight="1">
      <c r="A211" s="53"/>
      <c r="G211">
        <v>10002184494</v>
      </c>
    </row>
    <row r="212" spans="1:7" ht="15.75" customHeight="1">
      <c r="A212" s="53"/>
      <c r="G212">
        <v>10002186004</v>
      </c>
    </row>
    <row r="213" spans="1:7" ht="15.75" customHeight="1">
      <c r="A213" s="53"/>
      <c r="G213">
        <v>10002186276</v>
      </c>
    </row>
    <row r="214" spans="1:7" ht="15.75" customHeight="1">
      <c r="A214" s="53"/>
      <c r="G214">
        <v>10002189887</v>
      </c>
    </row>
    <row r="215" spans="1:7" ht="15.75" customHeight="1">
      <c r="A215" s="53"/>
      <c r="G215">
        <v>10002207702</v>
      </c>
    </row>
    <row r="216" spans="1:7" ht="15.75" customHeight="1">
      <c r="A216" s="53"/>
      <c r="G216">
        <v>10002207885</v>
      </c>
    </row>
    <row r="217" spans="1:7" ht="15.75" customHeight="1">
      <c r="A217" s="53"/>
    </row>
    <row r="218" spans="1:7" ht="15.75" customHeight="1">
      <c r="A218" s="53"/>
    </row>
    <row r="219" spans="1:7" ht="15.75" customHeight="1">
      <c r="A219" s="53"/>
    </row>
    <row r="220" spans="1:7" ht="15.75" customHeight="1">
      <c r="A220" s="53"/>
    </row>
    <row r="221" spans="1:7" ht="15.75" customHeight="1">
      <c r="A221" s="53"/>
    </row>
    <row r="222" spans="1:7" ht="15.75" customHeight="1">
      <c r="A222" s="53"/>
    </row>
    <row r="223" spans="1:7" ht="15.75" customHeight="1">
      <c r="A223" s="53"/>
    </row>
    <row r="224" spans="1:7" ht="15.75" customHeight="1">
      <c r="A224" s="53"/>
    </row>
    <row r="225" spans="1:1" ht="15.75" customHeight="1">
      <c r="A225" s="53"/>
    </row>
    <row r="226" spans="1:1" ht="15.75" customHeight="1">
      <c r="A226" s="53"/>
    </row>
    <row r="227" spans="1:1" ht="15.75" customHeight="1">
      <c r="A227" s="53"/>
    </row>
    <row r="228" spans="1:1" ht="15.75" customHeight="1">
      <c r="A228" s="53"/>
    </row>
    <row r="229" spans="1:1" ht="15.75" customHeight="1">
      <c r="A229" s="53"/>
    </row>
    <row r="230" spans="1:1" ht="15.75" customHeight="1">
      <c r="A230" s="53"/>
    </row>
    <row r="231" spans="1:1" ht="15.75" customHeight="1">
      <c r="A231" s="53"/>
    </row>
    <row r="232" spans="1:1" ht="15.75" customHeight="1">
      <c r="A232" s="53"/>
    </row>
    <row r="233" spans="1:1" ht="15.75" customHeight="1">
      <c r="A233" s="53"/>
    </row>
    <row r="234" spans="1:1" ht="15.75" customHeight="1">
      <c r="A234" s="53"/>
    </row>
    <row r="235" spans="1:1" ht="15.75" customHeight="1">
      <c r="A235" s="53"/>
    </row>
    <row r="236" spans="1:1" ht="15.75" customHeight="1">
      <c r="A236" s="53"/>
    </row>
    <row r="237" spans="1:1" ht="15.75" customHeight="1">
      <c r="A237" s="53"/>
    </row>
    <row r="238" spans="1:1" ht="15.75" customHeight="1">
      <c r="A238" s="53"/>
    </row>
    <row r="239" spans="1:1" ht="15.75" customHeight="1">
      <c r="A239" s="53"/>
    </row>
    <row r="240" spans="1:1" ht="15.75" customHeight="1">
      <c r="A240" s="53"/>
    </row>
    <row r="241" spans="1:1" ht="15.75" customHeight="1">
      <c r="A241" s="53"/>
    </row>
    <row r="242" spans="1:1" ht="15.75" customHeight="1">
      <c r="A242" s="53"/>
    </row>
    <row r="243" spans="1:1" ht="15.75" customHeight="1">
      <c r="A243" s="53"/>
    </row>
    <row r="244" spans="1:1" ht="15.75" customHeight="1">
      <c r="A244" s="53"/>
    </row>
    <row r="245" spans="1:1" ht="15.75" customHeight="1">
      <c r="A245" s="53"/>
    </row>
    <row r="246" spans="1:1" ht="15.75" customHeight="1">
      <c r="A246" s="53"/>
    </row>
    <row r="247" spans="1:1" ht="15.75" customHeight="1">
      <c r="A247" s="53"/>
    </row>
    <row r="248" spans="1:1" ht="15.75" customHeight="1">
      <c r="A248" s="53"/>
    </row>
    <row r="249" spans="1:1" ht="15.75" customHeight="1">
      <c r="A249" s="53"/>
    </row>
    <row r="250" spans="1:1" ht="15.75" customHeight="1">
      <c r="A250" s="53"/>
    </row>
    <row r="251" spans="1:1" ht="15.75" customHeight="1">
      <c r="A251" s="53"/>
    </row>
    <row r="252" spans="1:1" ht="15.75" customHeight="1">
      <c r="A252" s="53"/>
    </row>
    <row r="253" spans="1:1" ht="15.75" customHeight="1">
      <c r="A253" s="53"/>
    </row>
    <row r="254" spans="1:1" ht="15.75" customHeight="1">
      <c r="A254" s="53"/>
    </row>
    <row r="255" spans="1:1" ht="15.75" customHeight="1">
      <c r="A255" s="53"/>
    </row>
    <row r="256" spans="1:1" ht="15.75" customHeight="1">
      <c r="A256" s="53"/>
    </row>
    <row r="257" spans="1:1" ht="15.75" customHeight="1">
      <c r="A257" s="53"/>
    </row>
    <row r="258" spans="1:1" ht="15.75" customHeight="1">
      <c r="A258" s="53"/>
    </row>
    <row r="259" spans="1:1" ht="15.75" customHeight="1">
      <c r="A259" s="53"/>
    </row>
    <row r="260" spans="1:1" ht="15.75" customHeight="1">
      <c r="A260" s="53"/>
    </row>
    <row r="261" spans="1:1" ht="15.75" customHeight="1">
      <c r="A261" s="53"/>
    </row>
    <row r="262" spans="1:1" ht="15.75" customHeight="1">
      <c r="A262" s="53"/>
    </row>
    <row r="263" spans="1:1" ht="15.75" customHeight="1">
      <c r="A263" s="53"/>
    </row>
    <row r="264" spans="1:1" ht="15.75" customHeight="1">
      <c r="A264" s="53"/>
    </row>
    <row r="265" spans="1:1" ht="15.75" customHeight="1">
      <c r="A265" s="53"/>
    </row>
    <row r="266" spans="1:1" ht="15.75" customHeight="1">
      <c r="A266" s="53"/>
    </row>
    <row r="267" spans="1:1" ht="15.75" customHeight="1">
      <c r="A267" s="53"/>
    </row>
    <row r="268" spans="1:1" ht="15.75" customHeight="1">
      <c r="A268" s="53"/>
    </row>
    <row r="269" spans="1:1" ht="15.75" customHeight="1">
      <c r="A269" s="53"/>
    </row>
    <row r="270" spans="1:1" ht="15.75" customHeight="1">
      <c r="A270" s="53"/>
    </row>
    <row r="271" spans="1:1" ht="15.75" customHeight="1">
      <c r="A271" s="53"/>
    </row>
    <row r="272" spans="1:1" ht="15.75" customHeight="1">
      <c r="A272" s="53"/>
    </row>
    <row r="273" spans="1:1" ht="15.75" customHeight="1">
      <c r="A273" s="53"/>
    </row>
    <row r="274" spans="1:1" ht="15.75" customHeight="1">
      <c r="A274" s="53"/>
    </row>
    <row r="275" spans="1:1" ht="15.75" customHeight="1">
      <c r="A275" s="53"/>
    </row>
    <row r="276" spans="1:1" ht="15.75" customHeight="1">
      <c r="A276" s="53"/>
    </row>
    <row r="277" spans="1:1" ht="15.75" customHeight="1">
      <c r="A277" s="53"/>
    </row>
    <row r="278" spans="1:1" ht="15.75" customHeight="1">
      <c r="A278" s="53"/>
    </row>
    <row r="279" spans="1:1" ht="15.75" customHeight="1">
      <c r="A279" s="53"/>
    </row>
    <row r="280" spans="1:1" ht="15.75" customHeight="1">
      <c r="A280" s="53"/>
    </row>
    <row r="281" spans="1:1" ht="15.75" customHeight="1">
      <c r="A281" s="53"/>
    </row>
    <row r="282" spans="1:1" ht="15.75" customHeight="1">
      <c r="A282" s="53"/>
    </row>
    <row r="283" spans="1:1" ht="15.75" customHeight="1">
      <c r="A283" s="53"/>
    </row>
    <row r="284" spans="1:1" ht="15.75" customHeight="1">
      <c r="A284" s="53"/>
    </row>
    <row r="285" spans="1:1" ht="15.75" customHeight="1">
      <c r="A285" s="53"/>
    </row>
    <row r="286" spans="1:1" ht="15.75" customHeight="1">
      <c r="A286" s="53"/>
    </row>
    <row r="287" spans="1:1" ht="15.75" customHeight="1">
      <c r="A287" s="53"/>
    </row>
    <row r="288" spans="1:1" ht="15.75" customHeight="1">
      <c r="A288" s="53"/>
    </row>
    <row r="289" spans="1:1" ht="15.75" customHeight="1">
      <c r="A289" s="53"/>
    </row>
    <row r="290" spans="1:1" ht="15.75" customHeight="1">
      <c r="A290" s="53"/>
    </row>
    <row r="291" spans="1:1" ht="15.75" customHeight="1">
      <c r="A291" s="53"/>
    </row>
    <row r="292" spans="1:1" ht="15.75" customHeight="1">
      <c r="A292" s="53"/>
    </row>
    <row r="293" spans="1:1" ht="15.75" customHeight="1">
      <c r="A293" s="53"/>
    </row>
    <row r="294" spans="1:1" ht="15.75" customHeight="1">
      <c r="A294" s="53"/>
    </row>
    <row r="295" spans="1:1" ht="15.75" customHeight="1">
      <c r="A295" s="53"/>
    </row>
    <row r="296" spans="1:1" ht="15.75" customHeight="1">
      <c r="A296" s="53"/>
    </row>
    <row r="297" spans="1:1" ht="15.75" customHeight="1">
      <c r="A297" s="53"/>
    </row>
    <row r="298" spans="1:1" ht="15.75" customHeight="1">
      <c r="A298" s="53"/>
    </row>
    <row r="299" spans="1:1" ht="15.75" customHeight="1">
      <c r="A299" s="53"/>
    </row>
    <row r="300" spans="1:1" ht="15.75" customHeight="1">
      <c r="A300" s="53"/>
    </row>
    <row r="301" spans="1:1" ht="15.75" customHeight="1">
      <c r="A301" s="53"/>
    </row>
    <row r="302" spans="1:1" ht="15.75" customHeight="1">
      <c r="A302" s="53"/>
    </row>
    <row r="303" spans="1:1" ht="15.75" customHeight="1">
      <c r="A303" s="53"/>
    </row>
    <row r="304" spans="1:1" ht="15.75" customHeight="1">
      <c r="A304" s="53"/>
    </row>
    <row r="305" spans="1:1" ht="15.75" customHeight="1">
      <c r="A305" s="53"/>
    </row>
    <row r="306" spans="1:1" ht="15.75" customHeight="1">
      <c r="A306" s="53"/>
    </row>
    <row r="307" spans="1:1" ht="15.75" customHeight="1">
      <c r="A307" s="53"/>
    </row>
    <row r="308" spans="1:1" ht="15.75" customHeight="1">
      <c r="A308" s="53"/>
    </row>
    <row r="309" spans="1:1" ht="15.75" customHeight="1">
      <c r="A309" s="53"/>
    </row>
    <row r="310" spans="1:1" ht="15.75" customHeight="1">
      <c r="A310" s="53"/>
    </row>
    <row r="311" spans="1:1" ht="15.75" customHeight="1">
      <c r="A311" s="53"/>
    </row>
    <row r="312" spans="1:1" ht="15.75" customHeight="1">
      <c r="A312" s="53"/>
    </row>
    <row r="313" spans="1:1" ht="15.75" customHeight="1">
      <c r="A313" s="53"/>
    </row>
    <row r="314" spans="1:1" ht="15.75" customHeight="1">
      <c r="A314" s="53"/>
    </row>
    <row r="315" spans="1:1" ht="15.75" customHeight="1">
      <c r="A315" s="53"/>
    </row>
    <row r="316" spans="1:1" ht="15.75" customHeight="1">
      <c r="A316" s="53"/>
    </row>
    <row r="317" spans="1:1" ht="15.75" customHeight="1">
      <c r="A317" s="53"/>
    </row>
    <row r="318" spans="1:1" ht="15.75" customHeight="1">
      <c r="A318" s="53"/>
    </row>
    <row r="319" spans="1:1" ht="15.75" customHeight="1">
      <c r="A319" s="53"/>
    </row>
    <row r="320" spans="1:1" ht="15.75" customHeight="1">
      <c r="A320" s="53"/>
    </row>
    <row r="321" spans="1:1" ht="15.75" customHeight="1">
      <c r="A321" s="53"/>
    </row>
    <row r="322" spans="1:1" ht="15.75" customHeight="1">
      <c r="A322" s="53"/>
    </row>
    <row r="323" spans="1:1" ht="15.75" customHeight="1">
      <c r="A323" s="53"/>
    </row>
    <row r="324" spans="1:1" ht="15.75" customHeight="1">
      <c r="A324" s="53"/>
    </row>
    <row r="325" spans="1:1" ht="15.75" customHeight="1">
      <c r="A325" s="53"/>
    </row>
    <row r="326" spans="1:1" ht="15.75" customHeight="1">
      <c r="A326" s="53"/>
    </row>
    <row r="327" spans="1:1" ht="15.75" customHeight="1">
      <c r="A327" s="53"/>
    </row>
    <row r="328" spans="1:1" ht="15.75" customHeight="1">
      <c r="A328" s="53"/>
    </row>
    <row r="329" spans="1:1" ht="15.75" customHeight="1">
      <c r="A329" s="53"/>
    </row>
    <row r="330" spans="1:1" ht="15.75" customHeight="1">
      <c r="A330" s="53"/>
    </row>
    <row r="331" spans="1:1" ht="15.75" customHeight="1">
      <c r="A331" s="53"/>
    </row>
    <row r="332" spans="1:1" ht="15.75" customHeight="1">
      <c r="A332" s="53"/>
    </row>
    <row r="333" spans="1:1" ht="15.75" customHeight="1">
      <c r="A333" s="53"/>
    </row>
    <row r="334" spans="1:1" ht="15.75" customHeight="1">
      <c r="A334" s="53"/>
    </row>
    <row r="335" spans="1:1" ht="15.75" customHeight="1">
      <c r="A335" s="53"/>
    </row>
    <row r="336" spans="1:1" ht="15.75" customHeight="1">
      <c r="A336" s="53"/>
    </row>
    <row r="337" spans="1:1" ht="15.75" customHeight="1">
      <c r="A337" s="53"/>
    </row>
    <row r="338" spans="1:1" ht="15.75" customHeight="1">
      <c r="A338" s="53"/>
    </row>
    <row r="339" spans="1:1" ht="15.75" customHeight="1">
      <c r="A339" s="53"/>
    </row>
    <row r="340" spans="1:1" ht="15.75" customHeight="1">
      <c r="A340" s="53"/>
    </row>
    <row r="341" spans="1:1" ht="15.75" customHeight="1">
      <c r="A341" s="53"/>
    </row>
    <row r="342" spans="1:1" ht="15.75" customHeight="1">
      <c r="A342" s="53"/>
    </row>
    <row r="343" spans="1:1" ht="15.75" customHeight="1">
      <c r="A343" s="53"/>
    </row>
    <row r="344" spans="1:1" ht="15.75" customHeight="1">
      <c r="A344" s="53"/>
    </row>
    <row r="345" spans="1:1" ht="15.75" customHeight="1">
      <c r="A345" s="53"/>
    </row>
    <row r="346" spans="1:1" ht="15.75" customHeight="1">
      <c r="A346" s="53"/>
    </row>
    <row r="347" spans="1:1" ht="15.75" customHeight="1">
      <c r="A347" s="53"/>
    </row>
    <row r="348" spans="1:1" ht="15.75" customHeight="1">
      <c r="A348" s="53"/>
    </row>
    <row r="349" spans="1:1" ht="15.75" customHeight="1">
      <c r="A349" s="53"/>
    </row>
    <row r="350" spans="1:1" ht="15.75" customHeight="1">
      <c r="A350" s="53"/>
    </row>
    <row r="351" spans="1:1" ht="15.75" customHeight="1">
      <c r="A351" s="53"/>
    </row>
    <row r="352" spans="1:1" ht="15.75" customHeight="1">
      <c r="A352" s="53"/>
    </row>
    <row r="353" spans="1:1" ht="15.75" customHeight="1">
      <c r="A353" s="53"/>
    </row>
    <row r="354" spans="1:1" ht="15.75" customHeight="1">
      <c r="A354" s="53"/>
    </row>
    <row r="355" spans="1:1" ht="15.75" customHeight="1">
      <c r="A355" s="53"/>
    </row>
    <row r="356" spans="1:1" ht="15.75" customHeight="1">
      <c r="A356" s="53"/>
    </row>
    <row r="357" spans="1:1" ht="15.75" customHeight="1">
      <c r="A357" s="53"/>
    </row>
    <row r="358" spans="1:1" ht="15.75" customHeight="1">
      <c r="A358" s="53"/>
    </row>
    <row r="359" spans="1:1" ht="15.75" customHeight="1">
      <c r="A359" s="53"/>
    </row>
    <row r="360" spans="1:1" ht="15.75" customHeight="1">
      <c r="A360" s="53"/>
    </row>
    <row r="361" spans="1:1" ht="15.75" customHeight="1">
      <c r="A361" s="53"/>
    </row>
    <row r="362" spans="1:1" ht="15.75" customHeight="1">
      <c r="A362" s="53"/>
    </row>
    <row r="363" spans="1:1" ht="15.75" customHeight="1">
      <c r="A363" s="53"/>
    </row>
    <row r="364" spans="1:1" ht="15.75" customHeight="1">
      <c r="A364" s="53"/>
    </row>
    <row r="365" spans="1:1" ht="15.75" customHeight="1">
      <c r="A365" s="53"/>
    </row>
    <row r="366" spans="1:1" ht="15.75" customHeight="1">
      <c r="A366" s="53"/>
    </row>
    <row r="367" spans="1:1" ht="15.75" customHeight="1">
      <c r="A367" s="53"/>
    </row>
    <row r="368" spans="1:1" ht="15.75" customHeight="1">
      <c r="A368" s="53"/>
    </row>
    <row r="369" spans="1:1" ht="15" customHeight="1">
      <c r="A369" s="53"/>
    </row>
    <row r="370" spans="1:1" ht="15" customHeight="1">
      <c r="A370" s="53"/>
    </row>
    <row r="371" spans="1:1" ht="15" customHeight="1">
      <c r="A371" s="53"/>
    </row>
    <row r="372" spans="1:1" ht="15" customHeight="1">
      <c r="A372" s="53"/>
    </row>
    <row r="373" spans="1:1" ht="15" customHeight="1">
      <c r="A373" s="53"/>
    </row>
    <row r="374" spans="1:1" ht="15" customHeight="1">
      <c r="A374" s="53"/>
    </row>
    <row r="375" spans="1:1" ht="15" customHeight="1">
      <c r="A375" s="53"/>
    </row>
    <row r="376" spans="1:1" ht="15" customHeight="1">
      <c r="A376" s="53"/>
    </row>
    <row r="377" spans="1:1" ht="15" customHeight="1">
      <c r="A377" s="53"/>
    </row>
    <row r="378" spans="1:1" ht="15" customHeight="1">
      <c r="A378" s="53"/>
    </row>
    <row r="379" spans="1:1" ht="15" customHeight="1">
      <c r="A379" s="53"/>
    </row>
    <row r="380" spans="1:1" ht="15" customHeight="1">
      <c r="A380" s="53"/>
    </row>
    <row r="381" spans="1:1" ht="15" customHeight="1">
      <c r="A381" s="53"/>
    </row>
    <row r="382" spans="1:1" ht="15" customHeight="1">
      <c r="A382" s="53"/>
    </row>
    <row r="383" spans="1:1" ht="15" customHeight="1">
      <c r="A383" s="53"/>
    </row>
    <row r="384" spans="1:1" ht="15" customHeight="1">
      <c r="A384" s="53"/>
    </row>
    <row r="385" spans="1:1" ht="15" customHeight="1">
      <c r="A385" s="53"/>
    </row>
    <row r="386" spans="1:1" ht="15" customHeight="1">
      <c r="A386" s="53"/>
    </row>
    <row r="387" spans="1:1" ht="15" customHeight="1">
      <c r="A387" s="53"/>
    </row>
    <row r="388" spans="1:1" ht="15" customHeight="1">
      <c r="A388" s="53"/>
    </row>
    <row r="389" spans="1:1" ht="15" customHeight="1">
      <c r="A389" s="53"/>
    </row>
    <row r="390" spans="1:1" ht="15" customHeight="1">
      <c r="A390" s="53"/>
    </row>
    <row r="391" spans="1:1" ht="15" customHeight="1">
      <c r="A391" s="53"/>
    </row>
    <row r="392" spans="1:1" ht="15" customHeight="1">
      <c r="A392" s="53"/>
    </row>
    <row r="393" spans="1:1" ht="15" customHeight="1">
      <c r="A393" s="53"/>
    </row>
    <row r="394" spans="1:1" ht="15" customHeight="1">
      <c r="A394" s="53"/>
    </row>
    <row r="395" spans="1:1" ht="15" customHeight="1">
      <c r="A395" s="53"/>
    </row>
    <row r="396" spans="1:1" ht="15" customHeight="1">
      <c r="A396" s="53"/>
    </row>
    <row r="397" spans="1:1" ht="15" customHeight="1">
      <c r="A397" s="53"/>
    </row>
  </sheetData>
  <mergeCells count="12">
    <mergeCell ref="A83:C83"/>
    <mergeCell ref="A1:B1"/>
    <mergeCell ref="C1:D1"/>
    <mergeCell ref="A2:B2"/>
    <mergeCell ref="C2:D2"/>
    <mergeCell ref="A78:C78"/>
    <mergeCell ref="A92:C92"/>
    <mergeCell ref="A99:C99"/>
    <mergeCell ref="A106:B106"/>
    <mergeCell ref="C106:D106"/>
    <mergeCell ref="A107:B107"/>
    <mergeCell ref="C107:D107"/>
  </mergeCells>
  <hyperlinks>
    <hyperlink ref="A108" r:id="rId1" location="/DivergenciaResource/receberLoteDivergenciaProtocolo" display="https://hsagapr01/GetRestApi/dist/#/DivergenciaResource/receberLoteDivergenciaProtocolo " xr:uid="{8BF2404B-91C4-41F4-A71A-30509157E353}"/>
    <hyperlink ref="B108" r:id="rId2" location="/DivergenciaResource/receberLoteDivergenciaProtocolo" xr:uid="{A622185F-73DE-4B0D-B2B4-70E56ABED036}"/>
    <hyperlink ref="B109" r:id="rId3" location="/DivergenciaResource/receberLoteDivergenciaProtocolo" xr:uid="{68FA89F4-1A16-4C61-B8AF-62A4BFE36820}"/>
    <hyperlink ref="B110" r:id="rId4" location="/DivergenciaResource/receberLoteDivergenciaProtocolo" xr:uid="{CE7F2023-4E91-4590-8CC7-9F0E2B8E43DC}"/>
    <hyperlink ref="A3" r:id="rId5" location="/DivergenciaResource/receberLoteDivergenciaProtocolo" display="https://hsagapr01/GetRestApi/dist/#/DivergenciaResource/receberLoteDivergenciaProtocolo " xr:uid="{FB255209-E190-4BDA-A0B7-18D369C2C678}"/>
    <hyperlink ref="B3" r:id="rId6" location="/DivergenciaResource/receberLoteDivergenciaProtocolo" xr:uid="{2468D090-BE02-4C76-B193-95AFDAC975F5}"/>
    <hyperlink ref="B4" r:id="rId7" location="/DivergenciaResource/receberLoteDivergenciaProtocolo" xr:uid="{BA1C31D3-0304-447B-B528-0B043BFD433B}"/>
    <hyperlink ref="B5" r:id="rId8" location="/DivergenciaResource/receberLoteDivergenciaProtocolo" xr:uid="{BFFA2E2B-F1F4-442D-944D-51F8975AA546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D34BD8-3C40-4714-B25C-26E6B605C2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Alexandre Melo</dc:creator>
  <cp:keywords/>
  <dc:description/>
  <cp:lastModifiedBy/>
  <cp:revision/>
  <dcterms:created xsi:type="dcterms:W3CDTF">2015-06-05T18:19:34Z</dcterms:created>
  <dcterms:modified xsi:type="dcterms:W3CDTF">2026-08-20T19:49:24Z</dcterms:modified>
  <cp:category/>
  <cp:contentStatus/>
</cp:coreProperties>
</file>