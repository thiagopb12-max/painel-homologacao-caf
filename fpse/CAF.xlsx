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.delima\painel_hml_caf\fpse\"/>
    </mc:Choice>
  </mc:AlternateContent>
  <xr:revisionPtr revIDLastSave="0" documentId="13_ncr:1_{92666BBF-9E2E-492E-B54D-9A75CA3F275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enários homologação" sheetId="6" r:id="rId1"/>
    <sheet name="Homologadores" sheetId="8" r:id="rId2"/>
    <sheet name="ResumoDiario" sheetId="9" r:id="rId3"/>
  </sheets>
  <definedNames>
    <definedName name="_xlnm._FilterDatabase" localSheetId="0" hidden="1">'Cenários homologação'!$B$1:$B$44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9" l="1"/>
  <c r="J10" i="9"/>
  <c r="J9" i="9"/>
  <c r="J8" i="9"/>
  <c r="J7" i="9"/>
  <c r="J6" i="9"/>
  <c r="J3" i="9"/>
  <c r="J4" i="9"/>
  <c r="J5" i="9"/>
  <c r="J2" i="9"/>
</calcChain>
</file>

<file path=xl/sharedStrings.xml><?xml version="1.0" encoding="utf-8"?>
<sst xmlns="http://schemas.openxmlformats.org/spreadsheetml/2006/main" count="433" uniqueCount="230">
  <si>
    <t>PENDENTE</t>
  </si>
  <si>
    <t>Homologador</t>
  </si>
  <si>
    <t>Status</t>
  </si>
  <si>
    <t>Número do Cenário</t>
  </si>
  <si>
    <t>Descrição</t>
  </si>
  <si>
    <t>Categoria do Batimento</t>
  </si>
  <si>
    <t>Classificação Esperada</t>
  </si>
  <si>
    <t>Motivo Esperado</t>
  </si>
  <si>
    <t>Grupo Sugerido</t>
  </si>
  <si>
    <t>Justificativa de Inclusão</t>
  </si>
  <si>
    <t>CT-004</t>
  </si>
  <si>
    <t>UFPAs com sobreposicao temporal - periodos de 2 UFPAs se intersectam</t>
  </si>
  <si>
    <t>PossuiCAF</t>
  </si>
  <si>
    <t>CAF_UFPAS_PERIODOS_SOBREPOSTOS</t>
  </si>
  <si>
    <t>Grupo A - Pré-condições</t>
  </si>
  <si>
    <t>Valida regra fundamental: CPF com 2+ UFPAs ativas no mesmo período gera PENDENTE
Segurança para conter inconsistência na base</t>
  </si>
  <si>
    <t>CT-009</t>
  </si>
  <si>
    <t>Município da AD coincide com nuMunicipio de área da UFPA</t>
  </si>
  <si>
    <t>Endereço</t>
  </si>
  <si>
    <t>NAO_IMPEDITIVO_SE</t>
  </si>
  <si>
    <t/>
  </si>
  <si>
    <t>Grupo C - Endereço via Áreas</t>
  </si>
  <si>
    <t>Match alternativo por áreas quando endereço principal diverge</t>
  </si>
  <si>
    <t>CT-010</t>
  </si>
  <si>
    <t>Nenhum município da AD coincide com municípios da UFPA</t>
  </si>
  <si>
    <t>CAF_ENDERECO_DIVERGENTE</t>
  </si>
  <si>
    <t>Grupo D - Divergências</t>
  </si>
  <si>
    <t>Divergência real de endereço - caso prático relevante</t>
  </si>
  <si>
    <t>CT-018</t>
  </si>
  <si>
    <t>Soma MF excede limite (6.0 MF &gt; 4) com periodo cruzando 22/06/2008 - split em 2 sub-periodos</t>
  </si>
  <si>
    <t>Áreas</t>
  </si>
  <si>
    <t>DESCARACTERIZA_SE</t>
  </si>
  <si>
    <t>CAF_AREA_EXCEDE_MODULOS_FISCAIS</t>
  </si>
  <si>
    <t>Grupo E - Áreas/Módulos Fiscais</t>
  </si>
  <si>
    <t>Split temporal no marco legal - engloba CT-016 (pós 2008) e CT-017 (pré 2008) em um único cenário
Descaracteriza a partir de 23/06/2008</t>
  </si>
  <si>
    <t>CT-021</t>
  </si>
  <si>
    <t>Area total zerada com motor PESCADOR - NAO_IMPEDITIVO_SE (area legalmente zero)</t>
  </si>
  <si>
    <t>Regra legal para pescador artesanal com área zero</t>
  </si>
  <si>
    <t>CT-023</t>
  </si>
  <si>
    <t>Situação</t>
  </si>
  <si>
    <t>CAF_ATIVIDADE_INCOMPATIVEL</t>
  </si>
  <si>
    <t>Grupo G - Atividade Incompatível</t>
  </si>
  <si>
    <t>Atividade fora do conjunto {1..5} descaracteriza</t>
  </si>
  <si>
    <t>CT-031</t>
  </si>
  <si>
    <t>Renda: tipo descaracterizante gera DESCARACTERIZA_SE com marco temporal</t>
  </si>
  <si>
    <t>Renda</t>
  </si>
  <si>
    <t>CAF_RENDA_FORA_DESCARACTERIZANTE</t>
  </si>
  <si>
    <t>Grupo H - Rendas</t>
  </si>
  <si>
    <t>Renda fora da UFPA com tipo descaracterizante
Aluguel/Arrendamento</t>
  </si>
  <si>
    <t>CT-032</t>
  </si>
  <si>
    <t>Renda: tipo previdenciaria gera PENDENTE para analise de extrato</t>
  </si>
  <si>
    <t>CAF_RENDA_FORA_PREVIDENCIARIA</t>
  </si>
  <si>
    <t>Renda previdenciária gera pendência para análise de extrato
Artesanato/Turismo</t>
  </si>
  <si>
    <t>CT-041</t>
  </si>
  <si>
    <t>MaoDeObra: 3 empregados simultaneos por 41 dias (123 pessoas/dia &gt; 120)</t>
  </si>
  <si>
    <t>MãoDeObra</t>
  </si>
  <si>
    <t>CAF_MAO_OBRA_EXCEDE_LIMITE</t>
  </si>
  <si>
    <t>Grupo I - Mão-de-Obra Contratada</t>
  </si>
  <si>
    <t>Acúmulo acelerado por simultaneidade - caso prático
Dentro do mesmo ano civil</t>
  </si>
  <si>
    <t>CT-042</t>
  </si>
  <si>
    <t>MaoDeObra: limite excedido no meio do periodo gera split CARACTERIZA + DESCARACTERIZA</t>
  </si>
  <si>
    <t>Split temporal - engloba CT-038 (≤120) e CT-039 (&gt;120) em um único cenário com data de corte
A partir do 1o dia do mês subsequente</t>
  </si>
  <si>
    <t>CT-044</t>
  </si>
  <si>
    <t>MaoDeObra: vinculo CNIS com empregador (membro da UFPA) e usado no calculo de dias
Quando a UFPA declara mão-de-obra contratada e o extrato CNIS do empregado confirma um vínculo com o empregador (CPF do declarante da UFPA), esse vínculo é considerado no cálculo dos 120 dias. No cenário, 1 empregado tem vínculo de 89 dias (≤ 120), então não excede o limite e o resultado final é CARACTERIZA_SE — ou seja, a mão-de-obra contratada não impediu a qualificação.</t>
  </si>
  <si>
    <t>CARACTERIZA_SE</t>
  </si>
  <si>
    <t>CAF_CARACTERIZA_SE</t>
  </si>
  <si>
    <t>Integração CNIS+CAF - vínculo com empregador da UFPA
Abaixo dos 120 dias dentro do mesmo ano civil</t>
  </si>
  <si>
    <t>CT-056</t>
  </si>
  <si>
    <t>Familiar: inTrabalhaUfpa=false gera DESCARACTERIZA_SE independente das datas</t>
  </si>
  <si>
    <t>Familiar</t>
  </si>
  <si>
    <t>CAF_FAMILIAR_SEM_MAO_OBRA</t>
  </si>
  <si>
    <t>Grupo J - Familiar</t>
  </si>
  <si>
    <t>Membro familiar sem mão-de-obra descaracteriza</t>
  </si>
  <si>
    <t>CT-059</t>
  </si>
  <si>
    <t>Familiar: CPF requerente ausente na lista moFamiliar gera PENDENTE</t>
  </si>
  <si>
    <t>CAF_FAMILIAR_SEM_INFORMACAO</t>
  </si>
  <si>
    <t>Requerente não encontrado no grupo familiar</t>
  </si>
  <si>
    <t>CT-060</t>
  </si>
  <si>
    <t>Fluxo completo - todos batimentos OK (CARACTERIZA/NAO_IMPEDITIVO) - resultado APROVADO periodo VALIDADO</t>
  </si>
  <si>
    <t>Integrado</t>
  </si>
  <si>
    <t>Grupo K - Integrados</t>
  </si>
  <si>
    <t>Cenário integrado caminho feliz - todas as validações OK (engloba CT-005, CT-008, CT-015, CT-022, CT-053, CT-073, CT-110)</t>
  </si>
  <si>
    <t>CT-061</t>
  </si>
  <si>
    <t>Fluxo completo - area excede 4 MF (DESCARACTERIZA) prevalece sobre demais batimentos OK</t>
  </si>
  <si>
    <t>Hierarquia de prioridade: DESCARACTERIZA prevalece
Lembrando que é a partir de 23/06/2008</t>
  </si>
  <si>
    <t>CT-062</t>
  </si>
  <si>
    <t>Fluxo completo - endereco divergente gera PENDENTE, sem DESCARACTERIZA - resultado PENDENTE</t>
  </si>
  <si>
    <t>PENDENTE prevalece sobre CARACTERIZA/NAO_IMPEDITIVO</t>
  </si>
  <si>
    <t>CT-063</t>
  </si>
  <si>
    <t>Fluxo completo - 2 UFPAs sem sobreposicao + 2 ADs - eventos independentes por UFPA</t>
  </si>
  <si>
    <t>Múltiplas UFPAs/ADs gerando períodos independentes</t>
  </si>
  <si>
    <t>CT-064</t>
  </si>
  <si>
    <t>Fluxo completo - mao de obra excede 120 dias no meio do periodo - split VALIDADO + DESCARACTERIZADO</t>
  </si>
  <si>
    <t>Split no meio do período por mão-de-obra</t>
  </si>
  <si>
    <t>CT-065</t>
  </si>
  <si>
    <t>Fluxo completo - CPF ausente no moFamiliar gera PENDENTE inconclusivo sem evento caracterizante</t>
  </si>
  <si>
    <t>Sem CARACTERIZA de familiar, período fica PENDENTE</t>
  </si>
  <si>
    <t>CT-066</t>
  </si>
  <si>
    <t>UFPA Cancelado (unica) - situacao invalida excluida pelo filtro</t>
  </si>
  <si>
    <t>SituacaoCAF</t>
  </si>
  <si>
    <t>NAO_AVALIADO</t>
  </si>
  <si>
    <t>CAF_SITUACAO_INVALIDA</t>
  </si>
  <si>
    <t>Grupo L - Pré-condições CAF</t>
  </si>
  <si>
    <t>Filtro de situação do CAF - representante de todas as situações inválidas
Situação inválida = as situações que foram desconsideradas para avaliação</t>
  </si>
  <si>
    <t>CT-072</t>
  </si>
  <si>
    <t>2 UFPAs (1 Suspenso + 1 Ativo) - filtro remove apenas invalida, ativa processada normalmente</t>
  </si>
  <si>
    <t>Filtro seletivo: remove inválida e processa válida - cenário abrangente
Situação inválida = as situações que foram desconsideradas para avaliação</t>
  </si>
  <si>
    <t>CT-074</t>
  </si>
  <si>
    <t>29 dias entre ativacao e inativacao - ativacao insuficiente</t>
  </si>
  <si>
    <t>AtivacaoMinima</t>
  </si>
  <si>
    <t>CAF_ATIVACAO_INSUFICIENTE</t>
  </si>
  <si>
    <t>Grupo M - Ativação Mínima</t>
  </si>
  <si>
    <t>Tempo mínimo de ativação não atingido</t>
  </si>
  <si>
    <t>CT-077</t>
  </si>
  <si>
    <t>dtInativacaoUfpa nula (CAF ativo) - sempre elegivel</t>
  </si>
  <si>
    <t>CAF ainda ativo sem data de inativação - sempre elegível (engloba CT-075)</t>
  </si>
  <si>
    <t>CT-079</t>
  </si>
  <si>
    <t>Somatorio dias contrato menor ou igual a 120 dias - NAO_IMPEDITIVO</t>
  </si>
  <si>
    <t>Contratado</t>
  </si>
  <si>
    <t>CAF_CONTRATADO_EXCEDE_120_DIAS</t>
  </si>
  <si>
    <t>Grupo N - Contratado 120 Dias</t>
  </si>
  <si>
    <t>Regra dos 120 dias - dentro do limite</t>
  </si>
  <si>
    <t>CT-080</t>
  </si>
  <si>
    <t>Somatorio dias contrato maior que 120 dias - DESCARACTERIZA</t>
  </si>
  <si>
    <t>Regra dos 120 dias - excede limite (engloba CT-101)
A partir do 1o dia do mês subsequente
Considerar o ano civil</t>
  </si>
  <si>
    <t>CT-081</t>
  </si>
  <si>
    <t>Vinculo nao-domestico CNIS com concomitancia - merge maior periodo</t>
  </si>
  <si>
    <t>Merge de períodos concomitantes</t>
  </si>
  <si>
    <t>CT-082</t>
  </si>
  <si>
    <t>Vinculo nao-domestico CNIS sem concomitancia - soma 2 periodos distintos</t>
  </si>
  <si>
    <t>Soma de períodos distintos</t>
  </si>
  <si>
    <t>CT-083</t>
  </si>
  <si>
    <t>Vinculo domestico CNIS - ignorado, considera datas do CAF</t>
  </si>
  <si>
    <t>Exceção: vínculo doméstico não conta</t>
  </si>
  <si>
    <t>CT-084</t>
  </si>
  <si>
    <t>Vinculo sem data fim com ultima remuneracao - DESCARACTERIZA</t>
  </si>
  <si>
    <t>Fallback de data fim pelo extrato</t>
  </si>
  <si>
    <t>CT-087</t>
  </si>
  <si>
    <t>Membro em CAF + contratado em outro CAF - regra 120 dias</t>
  </si>
  <si>
    <t>Cenário complexo: membro + contratado em CAFs diferentes</t>
  </si>
  <si>
    <t>CT-088</t>
  </si>
  <si>
    <t>Membro completa 16 durante periodo - DESCARACTERIZA parcial</t>
  </si>
  <si>
    <t>IdadeMinima</t>
  </si>
  <si>
    <t>CAF_MENOR_16_ANOS</t>
  </si>
  <si>
    <t>Grupo O - Idade Mínima</t>
  </si>
  <si>
    <t>Menor completa 16 durante o período - descaracterização parcial</t>
  </si>
  <si>
    <t>CT-089</t>
  </si>
  <si>
    <t>Membro menor de 16 durante todo o periodo - DESCARACTERIZA total</t>
  </si>
  <si>
    <t>Menor de 16 em todo o período</t>
  </si>
  <si>
    <t>CT-090</t>
  </si>
  <si>
    <t>Receita nao retorna nascimento - PENDENTE por impossibilidade de validar idade</t>
  </si>
  <si>
    <t>CAF_MENOR_16_PENDENTE</t>
  </si>
  <si>
    <t>Dependência de serviço externo (Receita) - pode ser testado com mock</t>
  </si>
  <si>
    <t>CT-093</t>
  </si>
  <si>
    <t>Renda turismo + AD exclusiva turismo - NAO_IMPEDITIVO</t>
  </si>
  <si>
    <t>RendaInterna</t>
  </si>
  <si>
    <t>CAF_RENDA_TURISMO_ARTESANATO</t>
  </si>
  <si>
    <t>Grupo P - Renda Interna</t>
  </si>
  <si>
    <t>AD somente turismo - exceção legal</t>
  </si>
  <si>
    <t>CT-094</t>
  </si>
  <si>
    <t>Renda turismo/artesanato excede salario minimo - PENDENTE</t>
  </si>
  <si>
    <t>Valor mensal excede salário mínimo - pendência</t>
  </si>
  <si>
    <t>CT-095</t>
  </si>
  <si>
    <t>Renda turismo/artesanato nao excede salario minimo - NAO_IMPEDITIVO</t>
  </si>
  <si>
    <t>Valor mensal dentro do limite</t>
  </si>
  <si>
    <t>CT-098</t>
  </si>
  <si>
    <t>Verificacao periodo impacto (inicio - 12 meses) - NAO_IMPEDITIVO
A regra de que o período de impacto de uma renda interna (turismo/artesanato) é calculado retroativamente: dataInclusao - 12 meses. No cenário, a renda de "Turismo Rural" foi incluída em 2022-01-15, então o período de impacto inicia em 2021-01-15 (12 meses antes). O valor mensal (10000 ÷ 12 ≈ 833) não excede o salário mínimo (1320), e a AD não é exclusivamente de turismo, então resulta NAO_IMPEDITIVO_SE.</t>
  </si>
  <si>
    <t>Período de impacto retroativo de 12 meses</t>
  </si>
  <si>
    <t>CT-099</t>
  </si>
  <si>
    <t>Auxilio totalmente concorrente - desconto total, somatorio &lt;= 120 dias</t>
  </si>
  <si>
    <t>AuxilioDoenca</t>
  </si>
  <si>
    <t>Grupo Q - Auxílio-Doença</t>
  </si>
  <si>
    <t>Desconto integral de auxílio-doença no somatório</t>
  </si>
  <si>
    <t>CT-100</t>
  </si>
  <si>
    <t>Auxilio parcialmente concorrente - desconto parcial, somatorio &lt;= 120 dias</t>
  </si>
  <si>
    <t>Desconto parcial</t>
  </si>
  <si>
    <t>CT-103</t>
  </si>
  <si>
    <t>Desconto muda resultado de DESCARACTERIZA para NAO_IMPEDITIVO
O cenário crítico em que o requerente é contratado e o somatório bruto de dias excede 120, mas ao descontar os dias de auxílio-doença (que são abatidos do somatório), o total cai para ≤ 120 dias. Isso inverte o resultado: sem o desconto seria DESCARACTERIZA, com o desconto passa a ser NAO_IMPEDITIVO_SE. É o caso de borda mais relevante da regra de auxílio-doença — prova que o desconto efetivamente altera a classificação final.</t>
  </si>
  <si>
    <t>Cenário crítico: auxílio muda o resultado final</t>
  </si>
  <si>
    <t>CT-104</t>
  </si>
  <si>
    <t>dtInativacaoUfpa = dtPrimeiraAtivacaoCaf - membro excluido como inconsistente</t>
  </si>
  <si>
    <t>MembrosInconsistentes</t>
  </si>
  <si>
    <t>CAF_MEMBRO_INCONSISTENTE</t>
  </si>
  <si>
    <t>Grupo R - Membros Inconsistentes</t>
  </si>
  <si>
    <t>Representante da regra de inconsistência de membros</t>
  </si>
  <si>
    <t>CT-108</t>
  </si>
  <si>
    <t>CPF requerente = membro inconsistente - NAO_AVALIADO com motivo especifico
O caso especial em que o próprio requerente é identificado como membro inconsistente na UFPA. Um membro é considerado inconsistente quando suas datas de inclusão/inativação/exclusão se contradizem (ex.: dtInativacaoUfpa = dtPrimeiraAtivacaoCaf, ou dtInclusaoCaf = dtInativacaoUfpa). Se o membro inconsistente for o requerente, o período inteiro fica NAO_AVALIADO com motivo específico CAF_REQUERENTE_INCONSISTENTE — diferente dos CT-104 a CT-107 que testam inconsistência de outros membros.</t>
  </si>
  <si>
    <t>CAF_REQUERENTE_INCONSISTENTE</t>
  </si>
  <si>
    <t>Caso especial: o próprio requerente é inconsistente</t>
  </si>
  <si>
    <t>CT-109</t>
  </si>
  <si>
    <t>Multiplos membros, 1 inconsistente - demais avaliados normalmente</t>
  </si>
  <si>
    <t>Filtro seletivo: exclui inconsistente, processa demais</t>
  </si>
  <si>
    <t>Nome</t>
  </si>
  <si>
    <t>CPF</t>
  </si>
  <si>
    <t>NIT</t>
  </si>
  <si>
    <t>Portal CNIS</t>
  </si>
  <si>
    <t>PAT</t>
  </si>
  <si>
    <t>97399884072</t>
  </si>
  <si>
    <t>11680901995</t>
  </si>
  <si>
    <t>Em Homologação</t>
  </si>
  <si>
    <t>Homologado com sucesso</t>
  </si>
  <si>
    <t>Reprovado</t>
  </si>
  <si>
    <t>93538413568</t>
  </si>
  <si>
    <t>Sem NIT</t>
  </si>
  <si>
    <t>Cenário cancelado</t>
  </si>
  <si>
    <t>08563524623</t>
  </si>
  <si>
    <t>51548569534</t>
  </si>
  <si>
    <t>Homologado com ressalvas</t>
  </si>
  <si>
    <t>Nicole</t>
  </si>
  <si>
    <t>João Renato</t>
  </si>
  <si>
    <t>Marcelo Caetano</t>
  </si>
  <si>
    <t>Graziella</t>
  </si>
  <si>
    <t>Gregorio</t>
  </si>
  <si>
    <t>Walternilson</t>
  </si>
  <si>
    <t>Atividade principal incompatível com SE</t>
  </si>
  <si>
    <t>Em Grupo</t>
  </si>
  <si>
    <t>Disponivel para Reteste</t>
  </si>
  <si>
    <t>Em Reteste</t>
  </si>
  <si>
    <t>Janaina</t>
  </si>
  <si>
    <t>Aguadando cenários</t>
  </si>
  <si>
    <t>Aguardando Correção  (Avaliado)</t>
  </si>
  <si>
    <t xml:space="preserve">Em Correção </t>
  </si>
  <si>
    <t>Pendente de cenário</t>
  </si>
  <si>
    <t>Homologado com ressalva</t>
  </si>
  <si>
    <t>Disponível para reteste</t>
  </si>
  <si>
    <t>Total</t>
  </si>
  <si>
    <t>Em Correção</t>
  </si>
  <si>
    <t>Data</t>
  </si>
  <si>
    <t>Hora</t>
  </si>
  <si>
    <t>Ag Correção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</si>
</sst>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quotePrefix="1"/>
    <xf numFmtId="0" fontId="1" fillId="0" borderId="0" xfId="0" applyFont="1"/>
    <xf numFmtId="0" fontId="1" fillId="3" borderId="1" xfId="0" applyFont="1" applyFill="1" applyBorder="1" applyAlignment="1">
      <alignment horizontal="center"/>
    </xf>
    <xf numFmtId="0" fontId="0" fillId="2" borderId="1" xfId="0" applyFill="1" applyBorder="1"/>
    <xf numFmtId="0" fontId="0" fillId="2" borderId="1" xfId="0" applyFill="1" applyBorder="1" applyAlignment="1">
      <alignment wrapText="1"/>
    </xf>
    <xf numFmtId="0" fontId="0" fillId="2" borderId="0" xfId="0" applyFill="1"/>
    <xf numFmtId="0" fontId="1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20" fontId="0" fillId="0" borderId="1" xfId="0" applyNumberFormat="1" applyBorder="1"/>
    <xf numFmtId="1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1" xfId="0" applyFont="1" applyBorder="1"/>
    <xf numFmtId="14" fontId="0" fillId="0" borderId="1" xfId="0" applyNumberFormat="1" applyBorder="1"/>
    <xf numFmtId="20" fontId="0" fillId="0" borderId="0" xfId="0" applyNumberFormat="1"/>
    <xf numFmtId="14" fontId="0" fillId="0" borderId="0" xfId="0" applyNumberFormat="1"/>
    <xf numFmtId="0" fontId="2" fillId="0" borderId="2" xfId="0" applyFont="1" applyBorder="1" applyAlignment="1">
      <alignment horizontal="right"/>
    </xf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64EC-B305-411B-89CD-90AE48303B1A}">
  <sheetPr filterMode="1"/>
  <dimension ref="A1:K44"/>
  <sheetViews>
    <sheetView zoomScale="70" zoomScaleNormal="70" workbookViewId="0">
      <selection activeCell="A22" sqref="A22:XFD22"/>
    </sheetView>
  </sheetViews>
  <sheetFormatPr defaultRowHeight="14.4" x14ac:dyDescent="0.3"/>
  <cols>
    <col min="1" max="1" width="15.5546875" bestFit="1" customWidth="1"/>
    <col min="2" max="2" width="27.88671875" customWidth="1"/>
    <col min="3" max="3" width="18" bestFit="1" customWidth="1"/>
    <col min="4" max="4" width="103.109375" bestFit="1" customWidth="1"/>
    <col min="5" max="5" width="22.33203125" bestFit="1" customWidth="1"/>
    <col min="6" max="6" width="20.88671875" bestFit="1" customWidth="1"/>
    <col min="7" max="7" width="35.77734375" bestFit="1" customWidth="1"/>
    <col min="8" max="8" width="31.88671875" bestFit="1" customWidth="1"/>
    <col min="9" max="9" width="111.6640625" bestFit="1" customWidth="1"/>
  </cols>
  <sheetData>
    <row r="1" spans="1:11" s="2" customFormat="1" x14ac:dyDescent="0.3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</row>
    <row r="2" spans="1:11" ht="28.8" hidden="1" x14ac:dyDescent="0.3">
      <c r="A2" s="4" t="s">
        <v>215</v>
      </c>
      <c r="B2" s="4" t="s">
        <v>207</v>
      </c>
      <c r="C2" s="4" t="s">
        <v>10</v>
      </c>
      <c r="D2" s="4" t="s">
        <v>11</v>
      </c>
      <c r="E2" s="4" t="s">
        <v>12</v>
      </c>
      <c r="F2" s="4" t="s">
        <v>0</v>
      </c>
      <c r="G2" s="4" t="s">
        <v>13</v>
      </c>
      <c r="H2" s="4" t="s">
        <v>14</v>
      </c>
      <c r="I2" s="5" t="s">
        <v>15</v>
      </c>
      <c r="J2" s="6"/>
      <c r="K2" s="6"/>
    </row>
    <row r="3" spans="1:11" hidden="1" x14ac:dyDescent="0.3">
      <c r="A3" s="4" t="s">
        <v>215</v>
      </c>
      <c r="B3" s="4" t="s">
        <v>200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6"/>
      <c r="K3" s="6"/>
    </row>
    <row r="4" spans="1:11" hidden="1" x14ac:dyDescent="0.3">
      <c r="A4" s="4" t="s">
        <v>215</v>
      </c>
      <c r="B4" s="4" t="s">
        <v>200</v>
      </c>
      <c r="C4" s="4" t="s">
        <v>23</v>
      </c>
      <c r="D4" s="4" t="s">
        <v>24</v>
      </c>
      <c r="E4" s="4" t="s">
        <v>18</v>
      </c>
      <c r="F4" s="4" t="s">
        <v>0</v>
      </c>
      <c r="G4" s="4" t="s">
        <v>25</v>
      </c>
      <c r="H4" s="4" t="s">
        <v>26</v>
      </c>
      <c r="I4" s="4" t="s">
        <v>27</v>
      </c>
      <c r="J4" s="6"/>
      <c r="K4" s="6"/>
    </row>
    <row r="5" spans="1:11" ht="28.8" hidden="1" x14ac:dyDescent="0.3">
      <c r="A5" s="4" t="s">
        <v>215</v>
      </c>
      <c r="B5" s="4" t="s">
        <v>200</v>
      </c>
      <c r="C5" s="4" t="s">
        <v>28</v>
      </c>
      <c r="D5" s="4" t="s">
        <v>29</v>
      </c>
      <c r="E5" s="4" t="s">
        <v>30</v>
      </c>
      <c r="F5" s="4" t="s">
        <v>31</v>
      </c>
      <c r="G5" s="4" t="s">
        <v>32</v>
      </c>
      <c r="H5" s="4" t="s">
        <v>33</v>
      </c>
      <c r="I5" s="5" t="s">
        <v>34</v>
      </c>
      <c r="J5" s="6"/>
      <c r="K5" s="6"/>
    </row>
    <row r="6" spans="1:11" hidden="1" x14ac:dyDescent="0.3">
      <c r="A6" s="4" t="s">
        <v>215</v>
      </c>
      <c r="B6" s="4" t="s">
        <v>200</v>
      </c>
      <c r="C6" s="4" t="s">
        <v>35</v>
      </c>
      <c r="D6" s="4" t="s">
        <v>36</v>
      </c>
      <c r="E6" s="4" t="s">
        <v>30</v>
      </c>
      <c r="F6" s="4" t="s">
        <v>19</v>
      </c>
      <c r="G6" s="4" t="s">
        <v>20</v>
      </c>
      <c r="H6" s="4" t="s">
        <v>33</v>
      </c>
      <c r="I6" s="4" t="s">
        <v>37</v>
      </c>
      <c r="J6" s="6"/>
      <c r="K6" s="6"/>
    </row>
    <row r="7" spans="1:11" x14ac:dyDescent="0.3">
      <c r="A7" s="4" t="s">
        <v>210</v>
      </c>
      <c r="B7" s="4" t="s">
        <v>204</v>
      </c>
      <c r="C7" s="4" t="s">
        <v>38</v>
      </c>
      <c r="D7" s="5" t="s">
        <v>214</v>
      </c>
      <c r="E7" s="4" t="s">
        <v>39</v>
      </c>
      <c r="F7" s="4" t="s">
        <v>31</v>
      </c>
      <c r="G7" s="4" t="s">
        <v>40</v>
      </c>
      <c r="H7" s="4" t="s">
        <v>41</v>
      </c>
      <c r="I7" s="4" t="s">
        <v>42</v>
      </c>
      <c r="J7" s="6"/>
      <c r="K7" s="6"/>
    </row>
    <row r="8" spans="1:11" ht="28.8" hidden="1" x14ac:dyDescent="0.3">
      <c r="A8" s="4" t="s">
        <v>211</v>
      </c>
      <c r="B8" s="4" t="s">
        <v>200</v>
      </c>
      <c r="C8" s="4" t="s">
        <v>43</v>
      </c>
      <c r="D8" s="4" t="s">
        <v>44</v>
      </c>
      <c r="E8" s="4" t="s">
        <v>45</v>
      </c>
      <c r="F8" s="4" t="s">
        <v>31</v>
      </c>
      <c r="G8" s="4" t="s">
        <v>46</v>
      </c>
      <c r="H8" s="4" t="s">
        <v>47</v>
      </c>
      <c r="I8" s="5" t="s">
        <v>48</v>
      </c>
      <c r="J8" s="6"/>
      <c r="K8" s="6"/>
    </row>
    <row r="9" spans="1:11" ht="28.8" hidden="1" x14ac:dyDescent="0.3">
      <c r="A9" s="4" t="s">
        <v>208</v>
      </c>
      <c r="B9" s="4" t="s">
        <v>200</v>
      </c>
      <c r="C9" s="4" t="s">
        <v>49</v>
      </c>
      <c r="D9" s="4" t="s">
        <v>50</v>
      </c>
      <c r="E9" s="4" t="s">
        <v>45</v>
      </c>
      <c r="F9" s="4" t="s">
        <v>0</v>
      </c>
      <c r="G9" s="4" t="s">
        <v>51</v>
      </c>
      <c r="H9" s="4" t="s">
        <v>47</v>
      </c>
      <c r="I9" s="5" t="s">
        <v>52</v>
      </c>
      <c r="J9" s="6"/>
      <c r="K9" s="6"/>
    </row>
    <row r="10" spans="1:11" ht="28.8" hidden="1" x14ac:dyDescent="0.3">
      <c r="A10" s="4" t="s">
        <v>211</v>
      </c>
      <c r="B10" s="4" t="s">
        <v>200</v>
      </c>
      <c r="C10" s="4" t="s">
        <v>53</v>
      </c>
      <c r="D10" s="4" t="s">
        <v>54</v>
      </c>
      <c r="E10" s="4" t="s">
        <v>55</v>
      </c>
      <c r="F10" s="4" t="s">
        <v>31</v>
      </c>
      <c r="G10" s="4" t="s">
        <v>56</v>
      </c>
      <c r="H10" s="4" t="s">
        <v>57</v>
      </c>
      <c r="I10" s="5" t="s">
        <v>58</v>
      </c>
      <c r="J10" s="6"/>
      <c r="K10" s="6"/>
    </row>
    <row r="11" spans="1:11" ht="28.8" hidden="1" x14ac:dyDescent="0.3">
      <c r="A11" s="4" t="s">
        <v>208</v>
      </c>
      <c r="B11" s="4" t="s">
        <v>207</v>
      </c>
      <c r="C11" s="4" t="s">
        <v>59</v>
      </c>
      <c r="D11" s="4" t="s">
        <v>60</v>
      </c>
      <c r="E11" s="4" t="s">
        <v>55</v>
      </c>
      <c r="F11" s="4" t="s">
        <v>31</v>
      </c>
      <c r="G11" s="4" t="s">
        <v>56</v>
      </c>
      <c r="H11" s="4" t="s">
        <v>57</v>
      </c>
      <c r="I11" s="5" t="s">
        <v>61</v>
      </c>
      <c r="J11" s="6"/>
      <c r="K11" s="6"/>
    </row>
    <row r="12" spans="1:11" ht="86.4" hidden="1" x14ac:dyDescent="0.3">
      <c r="A12" s="4" t="s">
        <v>208</v>
      </c>
      <c r="B12" s="4" t="s">
        <v>200</v>
      </c>
      <c r="C12" s="4" t="s">
        <v>62</v>
      </c>
      <c r="D12" s="5" t="s">
        <v>63</v>
      </c>
      <c r="E12" s="4" t="s">
        <v>55</v>
      </c>
      <c r="F12" s="4" t="s">
        <v>64</v>
      </c>
      <c r="G12" s="4" t="s">
        <v>65</v>
      </c>
      <c r="H12" s="4" t="s">
        <v>57</v>
      </c>
      <c r="I12" s="5" t="s">
        <v>66</v>
      </c>
      <c r="J12" s="6"/>
      <c r="K12" s="6"/>
    </row>
    <row r="13" spans="1:11" hidden="1" x14ac:dyDescent="0.3">
      <c r="A13" s="4" t="s">
        <v>215</v>
      </c>
      <c r="B13" s="4" t="s">
        <v>207</v>
      </c>
      <c r="C13" s="4" t="s">
        <v>67</v>
      </c>
      <c r="D13" s="4" t="s">
        <v>68</v>
      </c>
      <c r="E13" s="4" t="s">
        <v>69</v>
      </c>
      <c r="F13" s="4" t="s">
        <v>31</v>
      </c>
      <c r="G13" s="4" t="s">
        <v>70</v>
      </c>
      <c r="H13" s="4" t="s">
        <v>71</v>
      </c>
      <c r="I13" s="4" t="s">
        <v>72</v>
      </c>
      <c r="J13" s="6"/>
      <c r="K13" s="6"/>
    </row>
    <row r="14" spans="1:11" x14ac:dyDescent="0.3">
      <c r="A14" s="4" t="s">
        <v>210</v>
      </c>
      <c r="B14" s="4" t="s">
        <v>204</v>
      </c>
      <c r="C14" s="4" t="s">
        <v>73</v>
      </c>
      <c r="D14" s="4" t="s">
        <v>74</v>
      </c>
      <c r="E14" s="4" t="s">
        <v>69</v>
      </c>
      <c r="F14" s="4" t="s">
        <v>19</v>
      </c>
      <c r="G14" s="4" t="s">
        <v>75</v>
      </c>
      <c r="H14" s="4" t="s">
        <v>71</v>
      </c>
      <c r="I14" s="4" t="s">
        <v>76</v>
      </c>
      <c r="J14" s="6"/>
      <c r="K14" s="6"/>
    </row>
    <row r="15" spans="1:11" hidden="1" x14ac:dyDescent="0.3">
      <c r="A15" s="4" t="s">
        <v>211</v>
      </c>
      <c r="B15" s="4" t="s">
        <v>207</v>
      </c>
      <c r="C15" s="4" t="s">
        <v>77</v>
      </c>
      <c r="D15" s="4" t="s">
        <v>78</v>
      </c>
      <c r="E15" s="4" t="s">
        <v>79</v>
      </c>
      <c r="F15" s="4" t="s">
        <v>64</v>
      </c>
      <c r="G15" s="4" t="s">
        <v>65</v>
      </c>
      <c r="H15" s="4" t="s">
        <v>80</v>
      </c>
      <c r="I15" s="4" t="s">
        <v>81</v>
      </c>
      <c r="J15" s="6"/>
      <c r="K15" s="6"/>
    </row>
    <row r="16" spans="1:11" ht="28.8" hidden="1" x14ac:dyDescent="0.3">
      <c r="A16" s="4" t="s">
        <v>215</v>
      </c>
      <c r="B16" s="4" t="s">
        <v>207</v>
      </c>
      <c r="C16" s="4" t="s">
        <v>82</v>
      </c>
      <c r="D16" s="4" t="s">
        <v>83</v>
      </c>
      <c r="E16" s="4" t="s">
        <v>79</v>
      </c>
      <c r="F16" s="4" t="s">
        <v>31</v>
      </c>
      <c r="G16" s="4" t="s">
        <v>32</v>
      </c>
      <c r="H16" s="4" t="s">
        <v>80</v>
      </c>
      <c r="I16" s="5" t="s">
        <v>84</v>
      </c>
      <c r="J16" s="6"/>
      <c r="K16" s="6"/>
    </row>
    <row r="17" spans="1:11" hidden="1" x14ac:dyDescent="0.3">
      <c r="A17" s="4" t="s">
        <v>215</v>
      </c>
      <c r="B17" s="4" t="s">
        <v>207</v>
      </c>
      <c r="C17" s="4" t="s">
        <v>85</v>
      </c>
      <c r="D17" s="4" t="s">
        <v>86</v>
      </c>
      <c r="E17" s="4" t="s">
        <v>79</v>
      </c>
      <c r="F17" s="4" t="s">
        <v>0</v>
      </c>
      <c r="G17" s="4" t="s">
        <v>25</v>
      </c>
      <c r="H17" s="4" t="s">
        <v>80</v>
      </c>
      <c r="I17" s="4" t="s">
        <v>87</v>
      </c>
      <c r="J17" s="6"/>
      <c r="K17" s="6"/>
    </row>
    <row r="18" spans="1:11" hidden="1" x14ac:dyDescent="0.3">
      <c r="A18" s="4" t="s">
        <v>215</v>
      </c>
      <c r="B18" s="4" t="s">
        <v>207</v>
      </c>
      <c r="C18" s="4" t="s">
        <v>88</v>
      </c>
      <c r="D18" s="4" t="s">
        <v>89</v>
      </c>
      <c r="E18" s="4" t="s">
        <v>79</v>
      </c>
      <c r="F18" s="4" t="s">
        <v>64</v>
      </c>
      <c r="G18" s="4" t="s">
        <v>65</v>
      </c>
      <c r="H18" s="4" t="s">
        <v>80</v>
      </c>
      <c r="I18" s="4" t="s">
        <v>90</v>
      </c>
      <c r="J18" s="6"/>
      <c r="K18" s="6"/>
    </row>
    <row r="19" spans="1:11" hidden="1" x14ac:dyDescent="0.3">
      <c r="A19" s="4" t="s">
        <v>215</v>
      </c>
      <c r="B19" s="4" t="s">
        <v>207</v>
      </c>
      <c r="C19" s="4" t="s">
        <v>91</v>
      </c>
      <c r="D19" s="4" t="s">
        <v>92</v>
      </c>
      <c r="E19" s="4" t="s">
        <v>79</v>
      </c>
      <c r="F19" s="4" t="s">
        <v>31</v>
      </c>
      <c r="G19" s="4" t="s">
        <v>56</v>
      </c>
      <c r="H19" s="4" t="s">
        <v>80</v>
      </c>
      <c r="I19" s="4" t="s">
        <v>93</v>
      </c>
      <c r="J19" s="6"/>
      <c r="K19" s="6"/>
    </row>
    <row r="20" spans="1:11" x14ac:dyDescent="0.3">
      <c r="A20" s="4" t="s">
        <v>215</v>
      </c>
      <c r="B20" s="4" t="s">
        <v>204</v>
      </c>
      <c r="C20" s="4" t="s">
        <v>94</v>
      </c>
      <c r="D20" s="4" t="s">
        <v>95</v>
      </c>
      <c r="E20" s="4" t="s">
        <v>79</v>
      </c>
      <c r="F20" s="4" t="s">
        <v>19</v>
      </c>
      <c r="G20" s="4" t="s">
        <v>75</v>
      </c>
      <c r="H20" s="4" t="s">
        <v>80</v>
      </c>
      <c r="I20" s="4" t="s">
        <v>96</v>
      </c>
      <c r="J20" s="6"/>
      <c r="K20" s="6"/>
    </row>
    <row r="21" spans="1:11" ht="28.8" hidden="1" x14ac:dyDescent="0.3">
      <c r="A21" s="4" t="s">
        <v>215</v>
      </c>
      <c r="B21" s="4" t="s">
        <v>200</v>
      </c>
      <c r="C21" s="4" t="s">
        <v>97</v>
      </c>
      <c r="D21" s="4" t="s">
        <v>98</v>
      </c>
      <c r="E21" s="4" t="s">
        <v>99</v>
      </c>
      <c r="F21" s="4" t="s">
        <v>100</v>
      </c>
      <c r="G21" s="4" t="s">
        <v>101</v>
      </c>
      <c r="H21" s="4" t="s">
        <v>102</v>
      </c>
      <c r="I21" s="5" t="s">
        <v>103</v>
      </c>
      <c r="J21" s="6"/>
      <c r="K21" s="6"/>
    </row>
    <row r="22" spans="1:11" ht="28.8" hidden="1" x14ac:dyDescent="0.3">
      <c r="A22" s="4" t="s">
        <v>215</v>
      </c>
      <c r="B22" s="4" t="s">
        <v>207</v>
      </c>
      <c r="C22" s="4" t="s">
        <v>104</v>
      </c>
      <c r="D22" s="4" t="s">
        <v>105</v>
      </c>
      <c r="E22" s="4" t="s">
        <v>99</v>
      </c>
      <c r="F22" s="4" t="s">
        <v>64</v>
      </c>
      <c r="G22" s="4" t="s">
        <v>65</v>
      </c>
      <c r="H22" s="4" t="s">
        <v>102</v>
      </c>
      <c r="I22" s="5" t="s">
        <v>106</v>
      </c>
      <c r="J22" s="6"/>
      <c r="K22" s="6"/>
    </row>
    <row r="23" spans="1:11" hidden="1" x14ac:dyDescent="0.3">
      <c r="A23" s="4" t="s">
        <v>215</v>
      </c>
      <c r="B23" s="4" t="s">
        <v>200</v>
      </c>
      <c r="C23" s="4" t="s">
        <v>107</v>
      </c>
      <c r="D23" s="4" t="s">
        <v>108</v>
      </c>
      <c r="E23" s="4" t="s">
        <v>109</v>
      </c>
      <c r="F23" s="4" t="s">
        <v>100</v>
      </c>
      <c r="G23" s="4" t="s">
        <v>110</v>
      </c>
      <c r="H23" s="4" t="s">
        <v>111</v>
      </c>
      <c r="I23" s="4" t="s">
        <v>112</v>
      </c>
      <c r="J23" s="6"/>
      <c r="K23" s="6"/>
    </row>
    <row r="24" spans="1:11" hidden="1" x14ac:dyDescent="0.3">
      <c r="A24" s="4" t="s">
        <v>215</v>
      </c>
      <c r="B24" s="4" t="s">
        <v>200</v>
      </c>
      <c r="C24" s="4" t="s">
        <v>113</v>
      </c>
      <c r="D24" s="4" t="s">
        <v>114</v>
      </c>
      <c r="E24" s="4" t="s">
        <v>109</v>
      </c>
      <c r="F24" s="4" t="s">
        <v>64</v>
      </c>
      <c r="G24" s="4" t="s">
        <v>65</v>
      </c>
      <c r="H24" s="4" t="s">
        <v>111</v>
      </c>
      <c r="I24" s="4" t="s">
        <v>115</v>
      </c>
      <c r="J24" s="6"/>
      <c r="K24" s="6"/>
    </row>
    <row r="25" spans="1:11" hidden="1" x14ac:dyDescent="0.3">
      <c r="A25" s="4" t="s">
        <v>215</v>
      </c>
      <c r="B25" s="4" t="s">
        <v>207</v>
      </c>
      <c r="C25" s="4" t="s">
        <v>116</v>
      </c>
      <c r="D25" s="4" t="s">
        <v>117</v>
      </c>
      <c r="E25" s="4" t="s">
        <v>118</v>
      </c>
      <c r="F25" s="4" t="s">
        <v>19</v>
      </c>
      <c r="G25" s="4" t="s">
        <v>119</v>
      </c>
      <c r="H25" s="4" t="s">
        <v>120</v>
      </c>
      <c r="I25" s="4" t="s">
        <v>121</v>
      </c>
      <c r="J25" s="6"/>
      <c r="K25" s="6"/>
    </row>
    <row r="26" spans="1:11" ht="43.2" hidden="1" x14ac:dyDescent="0.3">
      <c r="A26" s="4" t="s">
        <v>215</v>
      </c>
      <c r="B26" s="4" t="s">
        <v>207</v>
      </c>
      <c r="C26" s="4" t="s">
        <v>122</v>
      </c>
      <c r="D26" s="4" t="s">
        <v>123</v>
      </c>
      <c r="E26" s="4" t="s">
        <v>118</v>
      </c>
      <c r="F26" s="4" t="s">
        <v>31</v>
      </c>
      <c r="G26" s="4" t="s">
        <v>119</v>
      </c>
      <c r="H26" s="4" t="s">
        <v>120</v>
      </c>
      <c r="I26" s="5" t="s">
        <v>124</v>
      </c>
      <c r="J26" s="6"/>
      <c r="K26" s="6"/>
    </row>
    <row r="27" spans="1:11" hidden="1" x14ac:dyDescent="0.3">
      <c r="A27" s="4" t="s">
        <v>215</v>
      </c>
      <c r="B27" s="4" t="s">
        <v>200</v>
      </c>
      <c r="C27" s="4" t="s">
        <v>125</v>
      </c>
      <c r="D27" s="4" t="s">
        <v>126</v>
      </c>
      <c r="E27" s="4" t="s">
        <v>118</v>
      </c>
      <c r="F27" s="4" t="s">
        <v>31</v>
      </c>
      <c r="G27" s="4" t="s">
        <v>119</v>
      </c>
      <c r="H27" s="4" t="s">
        <v>120</v>
      </c>
      <c r="I27" s="4" t="s">
        <v>127</v>
      </c>
      <c r="J27" s="6"/>
      <c r="K27" s="6"/>
    </row>
    <row r="28" spans="1:11" hidden="1" x14ac:dyDescent="0.3">
      <c r="A28" s="4" t="s">
        <v>215</v>
      </c>
      <c r="B28" s="4" t="s">
        <v>200</v>
      </c>
      <c r="C28" s="4" t="s">
        <v>128</v>
      </c>
      <c r="D28" s="4" t="s">
        <v>129</v>
      </c>
      <c r="E28" s="4" t="s">
        <v>118</v>
      </c>
      <c r="F28" s="4" t="s">
        <v>31</v>
      </c>
      <c r="G28" s="4" t="s">
        <v>119</v>
      </c>
      <c r="H28" s="4" t="s">
        <v>120</v>
      </c>
      <c r="I28" s="4" t="s">
        <v>130</v>
      </c>
      <c r="J28" s="6"/>
      <c r="K28" s="6"/>
    </row>
    <row r="29" spans="1:11" x14ac:dyDescent="0.3">
      <c r="A29" s="4"/>
      <c r="B29" s="4" t="s">
        <v>204</v>
      </c>
      <c r="C29" s="4" t="s">
        <v>131</v>
      </c>
      <c r="D29" s="4" t="s">
        <v>132</v>
      </c>
      <c r="E29" s="4" t="s">
        <v>118</v>
      </c>
      <c r="F29" s="4" t="s">
        <v>19</v>
      </c>
      <c r="G29" s="4" t="s">
        <v>119</v>
      </c>
      <c r="H29" s="4" t="s">
        <v>120</v>
      </c>
      <c r="I29" s="4" t="s">
        <v>133</v>
      </c>
      <c r="J29" s="6"/>
      <c r="K29" s="6"/>
    </row>
    <row r="30" spans="1:11" hidden="1" x14ac:dyDescent="0.3">
      <c r="A30" s="4" t="s">
        <v>213</v>
      </c>
      <c r="B30" s="4" t="s">
        <v>200</v>
      </c>
      <c r="C30" s="4" t="s">
        <v>134</v>
      </c>
      <c r="D30" s="4" t="s">
        <v>135</v>
      </c>
      <c r="E30" s="4" t="s">
        <v>118</v>
      </c>
      <c r="F30" s="4" t="s">
        <v>31</v>
      </c>
      <c r="G30" s="4" t="s">
        <v>119</v>
      </c>
      <c r="H30" s="4" t="s">
        <v>120</v>
      </c>
      <c r="I30" s="4" t="s">
        <v>136</v>
      </c>
      <c r="J30" s="6"/>
      <c r="K30" s="6"/>
    </row>
    <row r="31" spans="1:11" hidden="1" x14ac:dyDescent="0.3">
      <c r="A31" s="4" t="s">
        <v>215</v>
      </c>
      <c r="B31" s="4" t="s">
        <v>200</v>
      </c>
      <c r="C31" s="4" t="s">
        <v>137</v>
      </c>
      <c r="D31" s="4" t="s">
        <v>138</v>
      </c>
      <c r="E31" s="4" t="s">
        <v>118</v>
      </c>
      <c r="F31" s="4" t="s">
        <v>31</v>
      </c>
      <c r="G31" s="4" t="s">
        <v>119</v>
      </c>
      <c r="H31" s="4" t="s">
        <v>120</v>
      </c>
      <c r="I31" s="4" t="s">
        <v>139</v>
      </c>
      <c r="J31" s="6"/>
      <c r="K31" s="6"/>
    </row>
    <row r="32" spans="1:11" x14ac:dyDescent="0.3">
      <c r="A32" s="4" t="s">
        <v>210</v>
      </c>
      <c r="B32" s="4" t="s">
        <v>204</v>
      </c>
      <c r="C32" s="4" t="s">
        <v>140</v>
      </c>
      <c r="D32" s="4" t="s">
        <v>141</v>
      </c>
      <c r="E32" s="4" t="s">
        <v>142</v>
      </c>
      <c r="F32" s="4" t="s">
        <v>31</v>
      </c>
      <c r="G32" s="4" t="s">
        <v>143</v>
      </c>
      <c r="H32" s="4" t="s">
        <v>144</v>
      </c>
      <c r="I32" s="4" t="s">
        <v>145</v>
      </c>
      <c r="J32" s="6"/>
      <c r="K32" s="6"/>
    </row>
    <row r="33" spans="1:11" x14ac:dyDescent="0.3">
      <c r="A33" s="4" t="s">
        <v>210</v>
      </c>
      <c r="B33" s="4" t="s">
        <v>204</v>
      </c>
      <c r="C33" s="4" t="s">
        <v>146</v>
      </c>
      <c r="D33" s="4" t="s">
        <v>147</v>
      </c>
      <c r="E33" s="4" t="s">
        <v>142</v>
      </c>
      <c r="F33" s="4" t="s">
        <v>31</v>
      </c>
      <c r="G33" s="4" t="s">
        <v>143</v>
      </c>
      <c r="H33" s="4" t="s">
        <v>144</v>
      </c>
      <c r="I33" s="4" t="s">
        <v>148</v>
      </c>
      <c r="J33" s="6"/>
      <c r="K33" s="6"/>
    </row>
    <row r="34" spans="1:11" x14ac:dyDescent="0.3">
      <c r="A34" s="4" t="s">
        <v>210</v>
      </c>
      <c r="B34" s="4" t="s">
        <v>204</v>
      </c>
      <c r="C34" s="4" t="s">
        <v>149</v>
      </c>
      <c r="D34" s="4" t="s">
        <v>150</v>
      </c>
      <c r="E34" s="4" t="s">
        <v>142</v>
      </c>
      <c r="F34" s="4" t="s">
        <v>0</v>
      </c>
      <c r="G34" s="4" t="s">
        <v>151</v>
      </c>
      <c r="H34" s="4" t="s">
        <v>144</v>
      </c>
      <c r="I34" s="4" t="s">
        <v>152</v>
      </c>
      <c r="J34" s="6"/>
      <c r="K34" s="6"/>
    </row>
    <row r="35" spans="1:11" hidden="1" x14ac:dyDescent="0.3">
      <c r="A35" s="4" t="s">
        <v>215</v>
      </c>
      <c r="B35" s="4" t="s">
        <v>200</v>
      </c>
      <c r="C35" s="4" t="s">
        <v>153</v>
      </c>
      <c r="D35" s="4" t="s">
        <v>154</v>
      </c>
      <c r="E35" s="4" t="s">
        <v>155</v>
      </c>
      <c r="F35" s="4" t="s">
        <v>19</v>
      </c>
      <c r="G35" s="4" t="s">
        <v>156</v>
      </c>
      <c r="H35" s="4" t="s">
        <v>157</v>
      </c>
      <c r="I35" s="4" t="s">
        <v>158</v>
      </c>
      <c r="J35" s="6"/>
      <c r="K35" s="6"/>
    </row>
    <row r="36" spans="1:11" hidden="1" x14ac:dyDescent="0.3">
      <c r="A36" s="4" t="s">
        <v>215</v>
      </c>
      <c r="B36" s="4" t="s">
        <v>200</v>
      </c>
      <c r="C36" s="4" t="s">
        <v>159</v>
      </c>
      <c r="D36" s="4" t="s">
        <v>160</v>
      </c>
      <c r="E36" s="4" t="s">
        <v>155</v>
      </c>
      <c r="F36" s="4" t="s">
        <v>0</v>
      </c>
      <c r="G36" s="4" t="s">
        <v>156</v>
      </c>
      <c r="H36" s="4" t="s">
        <v>157</v>
      </c>
      <c r="I36" s="4" t="s">
        <v>161</v>
      </c>
      <c r="J36" s="6"/>
      <c r="K36" s="6"/>
    </row>
    <row r="37" spans="1:11" hidden="1" x14ac:dyDescent="0.3">
      <c r="A37" s="4" t="s">
        <v>215</v>
      </c>
      <c r="B37" s="4" t="s">
        <v>200</v>
      </c>
      <c r="C37" s="4" t="s">
        <v>162</v>
      </c>
      <c r="D37" s="4" t="s">
        <v>163</v>
      </c>
      <c r="E37" s="4" t="s">
        <v>155</v>
      </c>
      <c r="F37" s="4" t="s">
        <v>19</v>
      </c>
      <c r="G37" s="4" t="s">
        <v>156</v>
      </c>
      <c r="H37" s="4" t="s">
        <v>157</v>
      </c>
      <c r="I37" s="4" t="s">
        <v>164</v>
      </c>
      <c r="J37" s="6"/>
      <c r="K37" s="6"/>
    </row>
    <row r="38" spans="1:11" ht="86.4" hidden="1" x14ac:dyDescent="0.3">
      <c r="A38" s="4" t="s">
        <v>215</v>
      </c>
      <c r="B38" s="4" t="s">
        <v>200</v>
      </c>
      <c r="C38" s="4" t="s">
        <v>165</v>
      </c>
      <c r="D38" s="5" t="s">
        <v>166</v>
      </c>
      <c r="E38" s="4" t="s">
        <v>155</v>
      </c>
      <c r="F38" s="4" t="s">
        <v>19</v>
      </c>
      <c r="G38" s="4" t="s">
        <v>156</v>
      </c>
      <c r="H38" s="4" t="s">
        <v>157</v>
      </c>
      <c r="I38" s="4" t="s">
        <v>167</v>
      </c>
      <c r="J38" s="6"/>
      <c r="K38" s="6"/>
    </row>
    <row r="39" spans="1:11" hidden="1" x14ac:dyDescent="0.3">
      <c r="A39" s="4"/>
      <c r="B39" s="4" t="s">
        <v>200</v>
      </c>
      <c r="C39" s="4" t="s">
        <v>168</v>
      </c>
      <c r="D39" s="4" t="s">
        <v>169</v>
      </c>
      <c r="E39" s="4" t="s">
        <v>170</v>
      </c>
      <c r="F39" s="4" t="s">
        <v>19</v>
      </c>
      <c r="G39" s="4" t="s">
        <v>119</v>
      </c>
      <c r="H39" s="4" t="s">
        <v>171</v>
      </c>
      <c r="I39" s="4" t="s">
        <v>172</v>
      </c>
      <c r="J39" s="6"/>
      <c r="K39" s="6"/>
    </row>
    <row r="40" spans="1:11" hidden="1" x14ac:dyDescent="0.3">
      <c r="A40" s="4"/>
      <c r="B40" s="4" t="s">
        <v>200</v>
      </c>
      <c r="C40" s="4" t="s">
        <v>173</v>
      </c>
      <c r="D40" s="4" t="s">
        <v>174</v>
      </c>
      <c r="E40" s="4" t="s">
        <v>170</v>
      </c>
      <c r="F40" s="4" t="s">
        <v>19</v>
      </c>
      <c r="G40" s="4" t="s">
        <v>119</v>
      </c>
      <c r="H40" s="4" t="s">
        <v>171</v>
      </c>
      <c r="I40" s="4" t="s">
        <v>175</v>
      </c>
      <c r="J40" s="6"/>
      <c r="K40" s="6"/>
    </row>
    <row r="41" spans="1:11" ht="86.4" hidden="1" x14ac:dyDescent="0.3">
      <c r="A41" s="4"/>
      <c r="B41" s="4" t="s">
        <v>200</v>
      </c>
      <c r="C41" s="4" t="s">
        <v>176</v>
      </c>
      <c r="D41" s="5" t="s">
        <v>177</v>
      </c>
      <c r="E41" s="4" t="s">
        <v>170</v>
      </c>
      <c r="F41" s="4" t="s">
        <v>19</v>
      </c>
      <c r="G41" s="4" t="s">
        <v>119</v>
      </c>
      <c r="H41" s="4" t="s">
        <v>171</v>
      </c>
      <c r="I41" s="4" t="s">
        <v>178</v>
      </c>
      <c r="J41" s="6"/>
      <c r="K41" s="6"/>
    </row>
    <row r="42" spans="1:11" hidden="1" x14ac:dyDescent="0.3">
      <c r="A42" s="4"/>
      <c r="B42" s="4" t="s">
        <v>200</v>
      </c>
      <c r="C42" s="4" t="s">
        <v>179</v>
      </c>
      <c r="D42" s="4" t="s">
        <v>180</v>
      </c>
      <c r="E42" s="4" t="s">
        <v>181</v>
      </c>
      <c r="F42" s="4" t="s">
        <v>100</v>
      </c>
      <c r="G42" s="4" t="s">
        <v>182</v>
      </c>
      <c r="H42" s="4" t="s">
        <v>183</v>
      </c>
      <c r="I42" s="4" t="s">
        <v>184</v>
      </c>
      <c r="J42" s="6"/>
      <c r="K42" s="6"/>
    </row>
    <row r="43" spans="1:11" ht="100.8" hidden="1" x14ac:dyDescent="0.3">
      <c r="A43" s="4" t="s">
        <v>215</v>
      </c>
      <c r="B43" s="4" t="s">
        <v>200</v>
      </c>
      <c r="C43" s="4" t="s">
        <v>185</v>
      </c>
      <c r="D43" s="5" t="s">
        <v>186</v>
      </c>
      <c r="E43" s="4" t="s">
        <v>181</v>
      </c>
      <c r="F43" s="4" t="s">
        <v>100</v>
      </c>
      <c r="G43" s="4" t="s">
        <v>187</v>
      </c>
      <c r="H43" s="4" t="s">
        <v>183</v>
      </c>
      <c r="I43" s="4" t="s">
        <v>188</v>
      </c>
      <c r="J43" s="6"/>
      <c r="K43" s="6"/>
    </row>
    <row r="44" spans="1:11" hidden="1" x14ac:dyDescent="0.3">
      <c r="A44" s="4" t="s">
        <v>208</v>
      </c>
      <c r="B44" s="4" t="s">
        <v>200</v>
      </c>
      <c r="C44" s="4" t="s">
        <v>189</v>
      </c>
      <c r="D44" s="4" t="s">
        <v>190</v>
      </c>
      <c r="E44" s="4" t="s">
        <v>181</v>
      </c>
      <c r="F44" s="4" t="s">
        <v>64</v>
      </c>
      <c r="G44" s="4" t="s">
        <v>65</v>
      </c>
      <c r="H44" s="4" t="s">
        <v>183</v>
      </c>
      <c r="I44" s="4" t="s">
        <v>191</v>
      </c>
      <c r="J44" s="6"/>
      <c r="K44" s="6"/>
    </row>
  </sheetData>
  <autoFilter ref="B1:B44" xr:uid="{C39B64EC-B305-411B-89CD-90AE48303B1A}">
    <filterColumn colId="0">
      <filters>
        <filter val="Cenário cancelado"/>
      </filters>
    </filterColumn>
  </autoFilter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operator="equal" allowBlank="1" showInputMessage="1" showErrorMessage="1" xr:uid="{2BD639CC-7032-4DDA-83A6-90D67489068F}">
          <x14:formula1>
            <xm:f>Homologadores!$A$19:$A$29</xm:f>
          </x14:formula1>
          <xm:sqref>B2:B44</xm:sqref>
        </x14:dataValidation>
        <x14:dataValidation type="list" allowBlank="1" showInputMessage="1" showErrorMessage="1" xr:uid="{B6186B4D-AC17-43C9-9556-105E02C006A5}">
          <x14:formula1>
            <xm:f>Homologadores!$A$2:$A$9</xm:f>
          </x14:formula1>
          <xm:sqref>A2:A45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D4760-CAB5-44F6-8F8E-F56F7A47BDF9}">
  <dimension ref="A1:E28"/>
  <sheetViews>
    <sheetView workbookViewId="0">
      <selection activeCell="A28" sqref="A28"/>
    </sheetView>
  </sheetViews>
  <sheetFormatPr defaultRowHeight="14.4" x14ac:dyDescent="0.3"/>
  <cols>
    <col min="1" max="1" width="36.109375" bestFit="1" customWidth="1"/>
    <col min="2" max="3" width="13.33203125" bestFit="1" customWidth="1"/>
    <col min="4" max="4" width="10.88671875" bestFit="1" customWidth="1"/>
    <col min="7" max="7" width="25.33203125" bestFit="1" customWidth="1"/>
  </cols>
  <sheetData>
    <row r="1" spans="1:5" x14ac:dyDescent="0.3">
      <c r="A1" t="s">
        <v>192</v>
      </c>
      <c r="B1" t="s">
        <v>193</v>
      </c>
      <c r="C1" t="s">
        <v>194</v>
      </c>
      <c r="D1" t="s">
        <v>195</v>
      </c>
      <c r="E1" t="s">
        <v>196</v>
      </c>
    </row>
    <row r="2" spans="1:5" x14ac:dyDescent="0.3">
      <c r="A2" t="s">
        <v>215</v>
      </c>
    </row>
    <row r="3" spans="1:5" x14ac:dyDescent="0.3">
      <c r="A3" t="s">
        <v>208</v>
      </c>
      <c r="B3" s="1" t="s">
        <v>197</v>
      </c>
      <c r="C3" s="1" t="s">
        <v>198</v>
      </c>
    </row>
    <row r="4" spans="1:5" x14ac:dyDescent="0.3">
      <c r="A4" t="s">
        <v>218</v>
      </c>
      <c r="B4" s="1"/>
      <c r="C4" s="1"/>
    </row>
    <row r="5" spans="1:5" x14ac:dyDescent="0.3">
      <c r="A5" t="s">
        <v>209</v>
      </c>
    </row>
    <row r="6" spans="1:5" x14ac:dyDescent="0.3">
      <c r="A6" t="s">
        <v>210</v>
      </c>
    </row>
    <row r="7" spans="1:5" x14ac:dyDescent="0.3">
      <c r="A7" t="s">
        <v>211</v>
      </c>
      <c r="B7" s="1" t="s">
        <v>202</v>
      </c>
      <c r="C7" t="s">
        <v>203</v>
      </c>
    </row>
    <row r="8" spans="1:5" x14ac:dyDescent="0.3">
      <c r="A8" t="s">
        <v>212</v>
      </c>
      <c r="B8" s="1" t="s">
        <v>205</v>
      </c>
      <c r="C8" t="s">
        <v>203</v>
      </c>
    </row>
    <row r="9" spans="1:5" x14ac:dyDescent="0.3">
      <c r="A9" t="s">
        <v>213</v>
      </c>
      <c r="B9" s="1" t="s">
        <v>206</v>
      </c>
      <c r="C9" t="s">
        <v>203</v>
      </c>
    </row>
    <row r="18" spans="1:1" x14ac:dyDescent="0.3">
      <c r="A18" t="s">
        <v>2</v>
      </c>
    </row>
    <row r="19" spans="1:1" x14ac:dyDescent="0.3">
      <c r="A19" t="s">
        <v>199</v>
      </c>
    </row>
    <row r="20" spans="1:1" x14ac:dyDescent="0.3">
      <c r="A20" t="s">
        <v>216</v>
      </c>
    </row>
    <row r="21" spans="1:1" x14ac:dyDescent="0.3">
      <c r="A21" t="s">
        <v>217</v>
      </c>
    </row>
    <row r="22" spans="1:1" x14ac:dyDescent="0.3">
      <c r="A22" t="s">
        <v>220</v>
      </c>
    </row>
    <row r="23" spans="1:1" x14ac:dyDescent="0.3">
      <c r="A23" t="s">
        <v>219</v>
      </c>
    </row>
    <row r="24" spans="1:1" x14ac:dyDescent="0.3">
      <c r="A24" t="s">
        <v>200</v>
      </c>
    </row>
    <row r="25" spans="1:1" x14ac:dyDescent="0.3">
      <c r="A25" t="s">
        <v>201</v>
      </c>
    </row>
    <row r="26" spans="1:1" x14ac:dyDescent="0.3">
      <c r="A26" t="s">
        <v>204</v>
      </c>
    </row>
    <row r="27" spans="1:1" x14ac:dyDescent="0.3">
      <c r="A27" t="s">
        <v>221</v>
      </c>
    </row>
    <row r="28" spans="1:1" x14ac:dyDescent="0.3">
      <c r="A28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4EB92-949A-4861-8A92-72A5C32EFB43}">
  <dimension ref="A1:J11"/>
  <sheetViews>
    <sheetView tabSelected="1" workbookViewId="0">
      <selection activeCell="I11" sqref="I11"/>
    </sheetView>
  </sheetViews>
  <sheetFormatPr defaultRowHeight="14.4" x14ac:dyDescent="0.3"/>
  <cols>
    <col min="2" max="2" width="21.77734375" customWidth="1"/>
    <col min="3" max="3" width="19" customWidth="1"/>
    <col min="4" max="4" width="11.6640625" bestFit="1" customWidth="1"/>
    <col min="5" max="5" width="18.88671875" customWidth="1"/>
    <col min="6" max="6" width="28.88671875" customWidth="1"/>
    <col min="7" max="7" width="30.6640625" customWidth="1"/>
    <col min="8" max="8" width="22.21875" customWidth="1"/>
    <col min="9" max="9" width="24.88671875" customWidth="1"/>
  </cols>
  <sheetData>
    <row r="1" spans="1:10" x14ac:dyDescent="0.3">
      <c r="A1" s="7" t="s">
        <v>228</v>
      </c>
      <c r="B1" s="8" t="s">
        <v>227</v>
      </c>
      <c r="C1" s="8" t="s">
        <v>222</v>
      </c>
      <c r="D1" s="8" t="s">
        <v>226</v>
      </c>
      <c r="E1" s="8" t="s">
        <v>229</v>
      </c>
      <c r="F1" s="8" t="s">
        <v>200</v>
      </c>
      <c r="G1" s="8" t="s">
        <v>223</v>
      </c>
      <c r="H1" s="8" t="s">
        <v>224</v>
      </c>
      <c r="I1" s="8" t="s">
        <v>201</v>
      </c>
      <c r="J1" s="8" t="s">
        <v>225</v>
      </c>
    </row>
    <row r="2" spans="1:10" x14ac:dyDescent="0.3">
      <c r="A2" s="9">
        <v>0.70833333333333337</v>
      </c>
      <c r="B2" s="10">
        <v>46224</v>
      </c>
      <c r="C2" s="11">
        <v>8</v>
      </c>
      <c r="D2" s="11">
        <v>2</v>
      </c>
      <c r="E2" s="11">
        <v>1</v>
      </c>
      <c r="F2" s="11">
        <v>8</v>
      </c>
      <c r="G2" s="11">
        <v>4</v>
      </c>
      <c r="H2" s="11">
        <v>2</v>
      </c>
      <c r="I2" s="11">
        <v>13</v>
      </c>
      <c r="J2" s="12">
        <f>C2+D2+E2+F2+G2+H2+I2</f>
        <v>38</v>
      </c>
    </row>
    <row r="3" spans="1:10" x14ac:dyDescent="0.3">
      <c r="A3" s="9">
        <v>0.70833333333333337</v>
      </c>
      <c r="B3" s="10">
        <v>46225.375</v>
      </c>
      <c r="C3" s="11">
        <v>6</v>
      </c>
      <c r="D3" s="11">
        <v>1</v>
      </c>
      <c r="E3" s="11">
        <v>3</v>
      </c>
      <c r="F3" s="11">
        <v>10</v>
      </c>
      <c r="G3" s="11">
        <v>5</v>
      </c>
      <c r="H3" s="11">
        <v>3</v>
      </c>
      <c r="I3" s="11">
        <v>10</v>
      </c>
      <c r="J3" s="12">
        <f>C3+D3+E3+F3+G3+H3+I3</f>
        <v>38</v>
      </c>
    </row>
    <row r="4" spans="1:10" x14ac:dyDescent="0.3">
      <c r="A4" s="9">
        <v>0.70833333333333337</v>
      </c>
      <c r="B4" s="10">
        <v>46226</v>
      </c>
      <c r="C4" s="11">
        <v>4</v>
      </c>
      <c r="D4" s="11">
        <v>1</v>
      </c>
      <c r="E4" s="11">
        <v>5</v>
      </c>
      <c r="F4" s="11">
        <v>14</v>
      </c>
      <c r="G4" s="11">
        <v>8</v>
      </c>
      <c r="H4" s="11">
        <v>1</v>
      </c>
      <c r="I4" s="11">
        <v>5</v>
      </c>
      <c r="J4" s="12">
        <f t="shared" ref="J4:J11" si="0">C4+D4+E4+F4+G4+H4+I4</f>
        <v>38</v>
      </c>
    </row>
    <row r="5" spans="1:10" x14ac:dyDescent="0.3">
      <c r="A5" s="9">
        <v>0.64583333333333337</v>
      </c>
      <c r="B5" s="10">
        <v>46227</v>
      </c>
      <c r="C5" s="11">
        <v>1</v>
      </c>
      <c r="D5" s="11">
        <v>2</v>
      </c>
      <c r="E5" s="11">
        <v>5</v>
      </c>
      <c r="F5" s="11">
        <v>15</v>
      </c>
      <c r="G5" s="11">
        <v>11</v>
      </c>
      <c r="H5" s="11">
        <v>1</v>
      </c>
      <c r="I5" s="11">
        <v>3</v>
      </c>
      <c r="J5" s="12">
        <f t="shared" si="0"/>
        <v>38</v>
      </c>
    </row>
    <row r="6" spans="1:10" x14ac:dyDescent="0.3">
      <c r="A6" s="9">
        <v>0.625</v>
      </c>
      <c r="B6" s="13">
        <v>46230</v>
      </c>
      <c r="C6" s="11">
        <v>1</v>
      </c>
      <c r="D6" s="11">
        <v>4</v>
      </c>
      <c r="E6" s="11">
        <v>3</v>
      </c>
      <c r="F6" s="11">
        <v>15</v>
      </c>
      <c r="G6" s="11">
        <v>11</v>
      </c>
      <c r="H6" s="11">
        <v>1</v>
      </c>
      <c r="I6" s="11">
        <v>3</v>
      </c>
      <c r="J6" s="12">
        <f t="shared" si="0"/>
        <v>38</v>
      </c>
    </row>
    <row r="7" spans="1:10" x14ac:dyDescent="0.3">
      <c r="A7" s="9">
        <v>0.70833333333333337</v>
      </c>
      <c r="B7" s="13">
        <v>46231</v>
      </c>
      <c r="C7" s="11">
        <v>1</v>
      </c>
      <c r="D7" s="11">
        <v>5</v>
      </c>
      <c r="E7" s="11">
        <v>4</v>
      </c>
      <c r="F7" s="11">
        <v>15</v>
      </c>
      <c r="G7" s="11">
        <v>11</v>
      </c>
      <c r="H7" s="11">
        <v>2</v>
      </c>
      <c r="I7" s="11">
        <v>0</v>
      </c>
      <c r="J7" s="12">
        <f t="shared" si="0"/>
        <v>38</v>
      </c>
    </row>
    <row r="8" spans="1:10" x14ac:dyDescent="0.3">
      <c r="A8" s="14">
        <v>0.66666666666666663</v>
      </c>
      <c r="B8" s="15">
        <v>46232</v>
      </c>
      <c r="C8" s="16">
        <v>1</v>
      </c>
      <c r="D8" s="16">
        <v>3</v>
      </c>
      <c r="E8" s="16">
        <v>4</v>
      </c>
      <c r="F8" s="16">
        <v>15</v>
      </c>
      <c r="G8" s="16">
        <v>11</v>
      </c>
      <c r="H8" s="16">
        <v>4</v>
      </c>
      <c r="I8" s="16">
        <v>0</v>
      </c>
      <c r="J8" s="17">
        <f t="shared" si="0"/>
        <v>38</v>
      </c>
    </row>
    <row r="9" spans="1:10" x14ac:dyDescent="0.3">
      <c r="A9" s="14">
        <v>0.70138888888888884</v>
      </c>
      <c r="B9" s="15">
        <v>46233</v>
      </c>
      <c r="C9" s="16">
        <v>1</v>
      </c>
      <c r="D9" s="16">
        <v>2</v>
      </c>
      <c r="E9" s="16">
        <v>3</v>
      </c>
      <c r="F9" s="16">
        <v>15</v>
      </c>
      <c r="G9" s="16">
        <v>13</v>
      </c>
      <c r="H9" s="16">
        <v>4</v>
      </c>
      <c r="I9" s="16">
        <v>0</v>
      </c>
      <c r="J9" s="17">
        <f t="shared" si="0"/>
        <v>38</v>
      </c>
    </row>
    <row r="10" spans="1:10" x14ac:dyDescent="0.3">
      <c r="A10" s="14">
        <v>0.70138888888888884</v>
      </c>
      <c r="B10" s="15">
        <v>46238</v>
      </c>
      <c r="C10" s="16">
        <v>1</v>
      </c>
      <c r="D10" s="16">
        <v>1</v>
      </c>
      <c r="E10" s="16">
        <v>1</v>
      </c>
      <c r="F10" s="16">
        <v>18</v>
      </c>
      <c r="G10" s="16">
        <v>15</v>
      </c>
      <c r="H10" s="16">
        <v>2</v>
      </c>
      <c r="I10" s="16">
        <v>0</v>
      </c>
      <c r="J10" s="17">
        <f t="shared" si="0"/>
        <v>38</v>
      </c>
    </row>
    <row r="11" spans="1:10" x14ac:dyDescent="0.3">
      <c r="A11" s="14">
        <v>0.66666666666666663</v>
      </c>
      <c r="B11" s="15">
        <v>46241</v>
      </c>
      <c r="C11" s="16">
        <v>0</v>
      </c>
      <c r="D11" s="16">
        <v>0</v>
      </c>
      <c r="E11" s="16">
        <v>1</v>
      </c>
      <c r="F11" s="16">
        <v>25</v>
      </c>
      <c r="G11" s="16">
        <v>12</v>
      </c>
      <c r="H11" s="16">
        <v>0</v>
      </c>
      <c r="I11" s="16">
        <v>0</v>
      </c>
      <c r="J11" s="17">
        <f t="shared" si="0"/>
        <v>38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Cenários homologação</vt:lpstr>
      <vt:lpstr>Homologadores</vt:lpstr>
      <vt:lpstr>ResumoDiario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Thiago Luiz Luna de Lima</cp:lastModifiedBy>
  <cp:revision/>
  <dcterms:created xsi:type="dcterms:W3CDTF">2026-05-13T13:03:55Z</dcterms:created>
  <dcterms:modified xsi:type="dcterms:W3CDTF">2026-08-07T19:06:25Z</dcterms:modified>
  <cp:category/>
  <cp:contentStatus/>
</cp:coreProperties>
</file>