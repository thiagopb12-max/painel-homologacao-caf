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DM.209196 - DTP.095850 - [PAT] Autodeclaração BI/Homologação Autodeclaração BI/"/>
    </mc:Choice>
  </mc:AlternateContent>
  <xr:revisionPtr revIDLastSave="2481" documentId="120_S{D1E7F36D-3F66-5C01-87F3-33918206C84D}" xr6:coauthVersionLast="47" xr6:coauthVersionMax="47" xr10:uidLastSave="{B26AE386-9EC3-4420-8919-E5A3FD947011}"/>
  <bookViews>
    <workbookView xWindow="-28920" yWindow="-120" windowWidth="29040" windowHeight="15720" tabRatio="699" activeTab="2" xr2:uid="{00000000-000D-0000-FFFF-FFFF00000000}"/>
  </bookViews>
  <sheets>
    <sheet name="Modelo" sheetId="29" r:id="rId1"/>
    <sheet name="CONFIG" sheetId="7" r:id="rId2"/>
    <sheet name="ACOMPANHAMENTO" sheetId="56" r:id="rId3"/>
    <sheet name="MODELO_AD_BI" sheetId="32" r:id="rId4"/>
    <sheet name="CTS" sheetId="5" r:id="rId5"/>
    <sheet name="homologador01" sheetId="53" r:id="rId6"/>
    <sheet name="homologador02" sheetId="57" r:id="rId7"/>
    <sheet name="MASSA" sheetId="51" r:id="rId8"/>
    <sheet name="EXPLORATÓRIOS" sheetId="42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56" l="1"/>
  <c r="K9" i="56"/>
  <c r="K10" i="56"/>
  <c r="K11" i="56"/>
  <c r="K12" i="56"/>
  <c r="K13" i="56"/>
  <c r="K14" i="56"/>
  <c r="K15" i="56"/>
  <c r="K16" i="56"/>
  <c r="K17" i="56"/>
  <c r="K18" i="56"/>
  <c r="K19" i="56"/>
  <c r="K20" i="56"/>
  <c r="K21" i="56"/>
  <c r="K22" i="56"/>
  <c r="K23" i="56"/>
  <c r="K24" i="56"/>
  <c r="K25" i="56"/>
  <c r="K26" i="56"/>
  <c r="K27" i="56"/>
  <c r="K28" i="56"/>
  <c r="K29" i="56"/>
  <c r="K30" i="56"/>
  <c r="K31" i="56"/>
  <c r="K32" i="56"/>
  <c r="K33" i="56"/>
  <c r="K34" i="56"/>
  <c r="K35" i="56"/>
  <c r="K36" i="56"/>
  <c r="K37" i="56"/>
  <c r="K38" i="56"/>
  <c r="K39" i="56"/>
  <c r="K40" i="56"/>
  <c r="K41" i="56"/>
  <c r="K42" i="56"/>
  <c r="K43" i="56"/>
  <c r="K44" i="56"/>
  <c r="K45" i="56"/>
  <c r="K46" i="56"/>
  <c r="K47" i="56"/>
  <c r="K48" i="56"/>
  <c r="K49" i="56"/>
  <c r="K50" i="56"/>
  <c r="K51" i="56"/>
  <c r="K52" i="56"/>
  <c r="K53" i="56"/>
  <c r="K54" i="56"/>
  <c r="K55" i="56"/>
  <c r="K56" i="56"/>
  <c r="K57" i="56"/>
  <c r="K58" i="56"/>
  <c r="K59" i="56"/>
  <c r="K60" i="56"/>
  <c r="K61" i="56"/>
  <c r="K62" i="56"/>
  <c r="K63" i="56"/>
  <c r="K64" i="56"/>
  <c r="K65" i="56"/>
  <c r="K66" i="56"/>
  <c r="K67" i="56"/>
  <c r="K68" i="56"/>
  <c r="K69" i="56"/>
  <c r="K70" i="56"/>
  <c r="K71" i="56"/>
  <c r="K72" i="56"/>
  <c r="K73" i="56"/>
  <c r="K74" i="56"/>
  <c r="K75" i="56"/>
  <c r="K76" i="56"/>
  <c r="K77" i="56"/>
  <c r="K78" i="56"/>
  <c r="K79" i="56"/>
  <c r="K80" i="56"/>
  <c r="K81" i="56"/>
  <c r="K82" i="56"/>
  <c r="K83" i="56"/>
  <c r="K84" i="56"/>
  <c r="K85" i="56"/>
  <c r="K86" i="56"/>
  <c r="K87" i="56"/>
  <c r="K88" i="56"/>
  <c r="K89" i="56"/>
  <c r="K90" i="56"/>
  <c r="K91" i="56"/>
  <c r="K92" i="56"/>
  <c r="K93" i="56"/>
  <c r="K94" i="56"/>
  <c r="K95" i="56"/>
  <c r="K96" i="56"/>
  <c r="K97" i="56"/>
  <c r="K98" i="56"/>
  <c r="K99" i="56"/>
  <c r="K100" i="56"/>
  <c r="K101" i="56"/>
  <c r="K102" i="56"/>
  <c r="K103" i="56"/>
  <c r="K104" i="56"/>
  <c r="K105" i="56"/>
  <c r="K106" i="56"/>
  <c r="K107" i="56"/>
  <c r="K108" i="56"/>
  <c r="K109" i="56"/>
  <c r="K110" i="56"/>
  <c r="K111" i="56"/>
  <c r="K112" i="56"/>
  <c r="K113" i="56"/>
  <c r="K114" i="56"/>
  <c r="K115" i="56"/>
  <c r="K116" i="56"/>
  <c r="K117" i="56"/>
  <c r="K118" i="56"/>
  <c r="K119" i="56"/>
  <c r="K120" i="56"/>
  <c r="K121" i="56"/>
  <c r="K122" i="56"/>
  <c r="K123" i="56"/>
  <c r="K124" i="56"/>
  <c r="K125" i="56"/>
  <c r="K126" i="56"/>
  <c r="K127" i="56"/>
  <c r="K128" i="56"/>
  <c r="K129" i="56"/>
  <c r="K130" i="56"/>
  <c r="K131" i="56"/>
  <c r="K132" i="56"/>
  <c r="K133" i="56"/>
  <c r="K134" i="56"/>
  <c r="K135" i="56"/>
  <c r="K136" i="56"/>
  <c r="K137" i="56"/>
  <c r="K138" i="56"/>
  <c r="K139" i="56"/>
  <c r="K140" i="56"/>
  <c r="K141" i="56"/>
  <c r="K142" i="56"/>
  <c r="K143" i="56"/>
  <c r="K144" i="56"/>
  <c r="K145" i="56"/>
  <c r="K146" i="56"/>
  <c r="K147" i="56"/>
  <c r="K148" i="56"/>
  <c r="K149" i="56"/>
  <c r="K150" i="56"/>
  <c r="K151" i="56"/>
  <c r="K152" i="56"/>
  <c r="K153" i="56"/>
  <c r="K154" i="56"/>
  <c r="K155" i="56"/>
  <c r="K156" i="56"/>
  <c r="K157" i="56"/>
  <c r="K158" i="56"/>
  <c r="K159" i="56"/>
  <c r="K160" i="56"/>
  <c r="K161" i="56"/>
  <c r="K162" i="56"/>
  <c r="K163" i="56"/>
  <c r="K164" i="56"/>
  <c r="K165" i="56"/>
  <c r="K166" i="56"/>
  <c r="K167" i="56"/>
  <c r="K168" i="56"/>
  <c r="K169" i="56"/>
  <c r="K170" i="56"/>
  <c r="K171" i="56"/>
  <c r="K172" i="56"/>
  <c r="K173" i="56"/>
  <c r="K174" i="56"/>
  <c r="K175" i="56"/>
  <c r="K176" i="56"/>
  <c r="K177" i="56"/>
  <c r="K178" i="56"/>
  <c r="K179" i="56"/>
  <c r="K180" i="56"/>
  <c r="K181" i="56"/>
  <c r="K182" i="56"/>
  <c r="K183" i="56"/>
  <c r="K184" i="56"/>
  <c r="K185" i="56"/>
  <c r="K186" i="56"/>
  <c r="K187" i="56"/>
  <c r="K188" i="56"/>
  <c r="K189" i="56"/>
  <c r="K190" i="56"/>
  <c r="K191" i="56"/>
  <c r="K192" i="56"/>
  <c r="K193" i="56"/>
  <c r="K194" i="56"/>
  <c r="K195" i="56"/>
  <c r="K196" i="56"/>
  <c r="K197" i="56"/>
  <c r="K198" i="56"/>
  <c r="K199" i="56"/>
  <c r="K200" i="56"/>
  <c r="L8" i="56"/>
  <c r="L9" i="56"/>
  <c r="L10" i="56"/>
  <c r="L11" i="56"/>
  <c r="L12" i="56"/>
  <c r="L13" i="56"/>
  <c r="L14" i="56"/>
  <c r="L15" i="56"/>
  <c r="L16" i="56"/>
  <c r="L17" i="56"/>
  <c r="L18" i="56"/>
  <c r="L19" i="56"/>
  <c r="L20" i="56"/>
  <c r="L21" i="56"/>
  <c r="L22" i="56"/>
  <c r="L23" i="56"/>
  <c r="L24" i="56"/>
  <c r="L25" i="56"/>
  <c r="L26" i="56"/>
  <c r="L27" i="56"/>
  <c r="L28" i="56"/>
  <c r="L29" i="56"/>
  <c r="L30" i="56"/>
  <c r="L31" i="56"/>
  <c r="L32" i="56"/>
  <c r="L33" i="56"/>
  <c r="L34" i="56"/>
  <c r="L35" i="56"/>
  <c r="L36" i="56"/>
  <c r="L37" i="56"/>
  <c r="L38" i="56"/>
  <c r="L39" i="56"/>
  <c r="L40" i="56"/>
  <c r="L41" i="56"/>
  <c r="L42" i="56"/>
  <c r="L43" i="56"/>
  <c r="L44" i="56"/>
  <c r="L45" i="56"/>
  <c r="L46" i="56"/>
  <c r="L47" i="56"/>
  <c r="L48" i="56"/>
  <c r="L49" i="56"/>
  <c r="L50" i="56"/>
  <c r="L51" i="56"/>
  <c r="L52" i="56"/>
  <c r="L53" i="56"/>
  <c r="L54" i="56"/>
  <c r="L55" i="56"/>
  <c r="L56" i="56"/>
  <c r="L57" i="56"/>
  <c r="L58" i="56"/>
  <c r="L59" i="56"/>
  <c r="L60" i="56"/>
  <c r="L61" i="56"/>
  <c r="L62" i="56"/>
  <c r="L63" i="56"/>
  <c r="L64" i="56"/>
  <c r="L65" i="56"/>
  <c r="L66" i="56"/>
  <c r="L67" i="56"/>
  <c r="L68" i="56"/>
  <c r="L69" i="56"/>
  <c r="L70" i="56"/>
  <c r="L71" i="56"/>
  <c r="L72" i="56"/>
  <c r="L73" i="56"/>
  <c r="L74" i="56"/>
  <c r="L75" i="56"/>
  <c r="L76" i="56"/>
  <c r="L77" i="56"/>
  <c r="L78" i="56"/>
  <c r="L79" i="56"/>
  <c r="L80" i="56"/>
  <c r="L81" i="56"/>
  <c r="L82" i="56"/>
  <c r="L83" i="56"/>
  <c r="L84" i="56"/>
  <c r="L85" i="56"/>
  <c r="L86" i="56"/>
  <c r="L87" i="56"/>
  <c r="L88" i="56"/>
  <c r="L89" i="56"/>
  <c r="L90" i="56"/>
  <c r="L91" i="56"/>
  <c r="L92" i="56"/>
  <c r="L93" i="56"/>
  <c r="L94" i="56"/>
  <c r="L95" i="56"/>
  <c r="L96" i="56"/>
  <c r="L97" i="56"/>
  <c r="L98" i="56"/>
  <c r="L99" i="56"/>
  <c r="L100" i="56"/>
  <c r="L101" i="56"/>
  <c r="L102" i="56"/>
  <c r="L103" i="56"/>
  <c r="L104" i="56"/>
  <c r="L105" i="56"/>
  <c r="L106" i="56"/>
  <c r="L107" i="56"/>
  <c r="L108" i="56"/>
  <c r="L109" i="56"/>
  <c r="L110" i="56"/>
  <c r="L111" i="56"/>
  <c r="L112" i="56"/>
  <c r="L113" i="56"/>
  <c r="L114" i="56"/>
  <c r="L115" i="56"/>
  <c r="L116" i="56"/>
  <c r="L117" i="56"/>
  <c r="L118" i="56"/>
  <c r="L119" i="56"/>
  <c r="L120" i="56"/>
  <c r="L121" i="56"/>
  <c r="L122" i="56"/>
  <c r="L123" i="56"/>
  <c r="L124" i="56"/>
  <c r="L125" i="56"/>
  <c r="L126" i="56"/>
  <c r="L127" i="56"/>
  <c r="L128" i="56"/>
  <c r="L129" i="56"/>
  <c r="L130" i="56"/>
  <c r="L131" i="56"/>
  <c r="L132" i="56"/>
  <c r="L133" i="56"/>
  <c r="L134" i="56"/>
  <c r="L135" i="56"/>
  <c r="L136" i="56"/>
  <c r="L137" i="56"/>
  <c r="L138" i="56"/>
  <c r="L139" i="56"/>
  <c r="L140" i="56"/>
  <c r="L141" i="56"/>
  <c r="L142" i="56"/>
  <c r="L143" i="56"/>
  <c r="L144" i="56"/>
  <c r="L145" i="56"/>
  <c r="L146" i="56"/>
  <c r="L147" i="56"/>
  <c r="L148" i="56"/>
  <c r="L149" i="56"/>
  <c r="L150" i="56"/>
  <c r="L151" i="56"/>
  <c r="L152" i="56"/>
  <c r="L153" i="56"/>
  <c r="L154" i="56"/>
  <c r="L155" i="56"/>
  <c r="L156" i="56"/>
  <c r="L157" i="56"/>
  <c r="L158" i="56"/>
  <c r="L159" i="56"/>
  <c r="L160" i="56"/>
  <c r="L161" i="56"/>
  <c r="L162" i="56"/>
  <c r="L163" i="56"/>
  <c r="L164" i="56"/>
  <c r="L165" i="56"/>
  <c r="L166" i="56"/>
  <c r="L167" i="56"/>
  <c r="L168" i="56"/>
  <c r="L169" i="56"/>
  <c r="L170" i="56"/>
  <c r="L171" i="56"/>
  <c r="L172" i="56"/>
  <c r="L173" i="56"/>
  <c r="L174" i="56"/>
  <c r="L175" i="56"/>
  <c r="L176" i="56"/>
  <c r="L177" i="56"/>
  <c r="L178" i="56"/>
  <c r="L179" i="56"/>
  <c r="L180" i="56"/>
  <c r="L181" i="56"/>
  <c r="L182" i="56"/>
  <c r="L183" i="56"/>
  <c r="L184" i="56"/>
  <c r="L185" i="56"/>
  <c r="L186" i="56"/>
  <c r="L187" i="56"/>
  <c r="L188" i="56"/>
  <c r="L189" i="56"/>
  <c r="L190" i="56"/>
  <c r="L191" i="56"/>
  <c r="L192" i="56"/>
  <c r="L193" i="56"/>
  <c r="L194" i="56"/>
  <c r="L195" i="56"/>
  <c r="L196" i="56"/>
  <c r="L197" i="56"/>
  <c r="L198" i="56"/>
  <c r="L199" i="56"/>
  <c r="L200" i="56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J171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D158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C135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J123" i="57"/>
  <c r="I123" i="57"/>
  <c r="H123" i="57"/>
  <c r="G123" i="57"/>
  <c r="F123" i="57"/>
  <c r="E123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50" i="57"/>
  <c r="B49" i="57"/>
  <c r="B48" i="57"/>
  <c r="B47" i="57"/>
  <c r="B46" i="57"/>
  <c r="J45" i="57"/>
  <c r="I45" i="57"/>
  <c r="H45" i="57"/>
  <c r="B45" i="57"/>
  <c r="B44" i="57"/>
  <c r="B43" i="57"/>
  <c r="B42" i="57"/>
  <c r="B41" i="57"/>
  <c r="B40" i="57"/>
  <c r="B39" i="57"/>
  <c r="B38" i="57"/>
  <c r="B37" i="57"/>
  <c r="B36" i="57"/>
  <c r="B35" i="57"/>
  <c r="B34" i="57"/>
  <c r="B33" i="57"/>
  <c r="B32" i="57"/>
  <c r="B31" i="57"/>
  <c r="B30" i="57"/>
  <c r="B29" i="57"/>
  <c r="B28" i="57"/>
  <c r="B27" i="57"/>
  <c r="B26" i="57"/>
  <c r="B25" i="57"/>
  <c r="B24" i="57"/>
  <c r="B23" i="57"/>
  <c r="B22" i="57"/>
  <c r="B21" i="57"/>
  <c r="B20" i="57"/>
  <c r="B19" i="57"/>
  <c r="B18" i="57"/>
  <c r="B17" i="57"/>
  <c r="B16" i="57"/>
  <c r="B15" i="57"/>
  <c r="B14" i="57"/>
  <c r="B13" i="57"/>
  <c r="B12" i="57"/>
  <c r="B11" i="57"/>
  <c r="B10" i="57"/>
  <c r="B9" i="57"/>
  <c r="B8" i="57"/>
  <c r="B200" i="56"/>
  <c r="B199" i="56"/>
  <c r="B198" i="56"/>
  <c r="B197" i="56"/>
  <c r="B196" i="56"/>
  <c r="B195" i="56"/>
  <c r="B194" i="56"/>
  <c r="B193" i="56"/>
  <c r="B192" i="56"/>
  <c r="B191" i="56"/>
  <c r="B190" i="56"/>
  <c r="B189" i="56"/>
  <c r="B188" i="56"/>
  <c r="B187" i="56"/>
  <c r="B186" i="56"/>
  <c r="B185" i="56"/>
  <c r="B184" i="56"/>
  <c r="B183" i="56"/>
  <c r="B182" i="56"/>
  <c r="B181" i="56"/>
  <c r="B180" i="56"/>
  <c r="B179" i="56"/>
  <c r="B178" i="56"/>
  <c r="B177" i="56"/>
  <c r="B176" i="56"/>
  <c r="B175" i="56"/>
  <c r="B174" i="56"/>
  <c r="B173" i="56"/>
  <c r="B172" i="56"/>
  <c r="B171" i="56"/>
  <c r="B170" i="56"/>
  <c r="B169" i="56"/>
  <c r="B168" i="56"/>
  <c r="B167" i="56"/>
  <c r="B166" i="56"/>
  <c r="B165" i="56"/>
  <c r="B164" i="56"/>
  <c r="B163" i="56"/>
  <c r="B162" i="56"/>
  <c r="B161" i="56"/>
  <c r="B160" i="56"/>
  <c r="B159" i="56"/>
  <c r="B158" i="56"/>
  <c r="B157" i="56"/>
  <c r="B156" i="56"/>
  <c r="B155" i="56"/>
  <c r="B154" i="56"/>
  <c r="B153" i="56"/>
  <c r="B152" i="56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50" i="56"/>
  <c r="B49" i="56"/>
  <c r="B48" i="56"/>
  <c r="B47" i="56"/>
  <c r="B46" i="56"/>
  <c r="B45" i="56"/>
  <c r="B44" i="56"/>
  <c r="B43" i="56"/>
  <c r="B42" i="56"/>
  <c r="B41" i="56"/>
  <c r="B40" i="56"/>
  <c r="B39" i="56"/>
  <c r="B38" i="56"/>
  <c r="B37" i="56"/>
  <c r="B36" i="56"/>
  <c r="B35" i="56"/>
  <c r="B34" i="56"/>
  <c r="B33" i="56"/>
  <c r="B32" i="56"/>
  <c r="B31" i="56"/>
  <c r="B30" i="56"/>
  <c r="B29" i="56"/>
  <c r="B28" i="56"/>
  <c r="B27" i="56"/>
  <c r="B26" i="56"/>
  <c r="B25" i="56"/>
  <c r="B24" i="56"/>
  <c r="B23" i="56"/>
  <c r="B22" i="56"/>
  <c r="B21" i="56"/>
  <c r="B20" i="56"/>
  <c r="B19" i="56"/>
  <c r="B18" i="56"/>
  <c r="B17" i="56"/>
  <c r="B16" i="56"/>
  <c r="B15" i="56"/>
  <c r="B14" i="56"/>
  <c r="B13" i="56"/>
  <c r="B12" i="56"/>
  <c r="B11" i="56"/>
  <c r="B10" i="56"/>
  <c r="B9" i="56"/>
  <c r="B8" i="56"/>
  <c r="B200" i="53"/>
  <c r="B199" i="53"/>
  <c r="B198" i="53"/>
  <c r="B197" i="53"/>
  <c r="B196" i="53"/>
  <c r="G196" i="53" s="1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J179" i="53" s="1"/>
  <c r="B178" i="53"/>
  <c r="B177" i="53"/>
  <c r="B176" i="53"/>
  <c r="C176" i="53" s="1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J162" i="53" s="1"/>
  <c r="B161" i="53"/>
  <c r="B160" i="53"/>
  <c r="B159" i="53"/>
  <c r="B158" i="53"/>
  <c r="J158" i="53" s="1"/>
  <c r="B157" i="53"/>
  <c r="B156" i="53"/>
  <c r="B155" i="53"/>
  <c r="B154" i="53"/>
  <c r="B153" i="53"/>
  <c r="J153" i="53" s="1"/>
  <c r="B152" i="53"/>
  <c r="B151" i="53"/>
  <c r="B150" i="53"/>
  <c r="B149" i="53"/>
  <c r="B148" i="53"/>
  <c r="J148" i="53" s="1"/>
  <c r="B147" i="53"/>
  <c r="B146" i="53"/>
  <c r="B145" i="53"/>
  <c r="B144" i="53"/>
  <c r="B143" i="53"/>
  <c r="B142" i="53"/>
  <c r="B141" i="53"/>
  <c r="B140" i="53"/>
  <c r="B139" i="53"/>
  <c r="J139" i="53" s="1"/>
  <c r="B138" i="53"/>
  <c r="B137" i="53"/>
  <c r="B136" i="53"/>
  <c r="B135" i="53"/>
  <c r="J135" i="53" s="1"/>
  <c r="B134" i="53"/>
  <c r="B133" i="53"/>
  <c r="B132" i="53"/>
  <c r="B131" i="53"/>
  <c r="B130" i="53"/>
  <c r="B129" i="53"/>
  <c r="B128" i="53"/>
  <c r="B127" i="53"/>
  <c r="B126" i="53"/>
  <c r="J126" i="53" s="1"/>
  <c r="B125" i="53"/>
  <c r="B124" i="53"/>
  <c r="D124" i="53" s="1"/>
  <c r="B123" i="53"/>
  <c r="B122" i="53"/>
  <c r="I122" i="53" s="1"/>
  <c r="B121" i="53"/>
  <c r="J121" i="53" s="1"/>
  <c r="B120" i="53"/>
  <c r="B119" i="53"/>
  <c r="B118" i="53"/>
  <c r="B117" i="53"/>
  <c r="B116" i="53"/>
  <c r="B115" i="53"/>
  <c r="B114" i="53"/>
  <c r="J114" i="53" s="1"/>
  <c r="B113" i="53"/>
  <c r="B112" i="53"/>
  <c r="B111" i="53"/>
  <c r="B110" i="53"/>
  <c r="B109" i="53"/>
  <c r="C109" i="53" s="1"/>
  <c r="B108" i="53"/>
  <c r="B107" i="53"/>
  <c r="B106" i="53"/>
  <c r="J106" i="53" s="1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50" i="53"/>
  <c r="B49" i="53"/>
  <c r="B48" i="53"/>
  <c r="B47" i="53"/>
  <c r="B46" i="53"/>
  <c r="B45" i="53"/>
  <c r="B44" i="53"/>
  <c r="B43" i="53"/>
  <c r="B42" i="53"/>
  <c r="B41" i="53"/>
  <c r="I41" i="53" s="1"/>
  <c r="B40" i="53"/>
  <c r="B39" i="53"/>
  <c r="B38" i="53"/>
  <c r="B37" i="53"/>
  <c r="B36" i="53"/>
  <c r="B35" i="53"/>
  <c r="B34" i="53"/>
  <c r="B33" i="53"/>
  <c r="I33" i="53" s="1"/>
  <c r="B32" i="53"/>
  <c r="B31" i="53"/>
  <c r="B30" i="53"/>
  <c r="B29" i="53"/>
  <c r="B28" i="53"/>
  <c r="B27" i="53"/>
  <c r="B26" i="53"/>
  <c r="B25" i="53"/>
  <c r="I25" i="53" s="1"/>
  <c r="B24" i="53"/>
  <c r="B23" i="53"/>
  <c r="B22" i="53"/>
  <c r="B21" i="53"/>
  <c r="B20" i="53"/>
  <c r="B19" i="53"/>
  <c r="B18" i="53"/>
  <c r="B17" i="53"/>
  <c r="I17" i="53" s="1"/>
  <c r="B16" i="53"/>
  <c r="B15" i="53"/>
  <c r="B14" i="53"/>
  <c r="B13" i="53"/>
  <c r="B12" i="53"/>
  <c r="B11" i="53"/>
  <c r="B10" i="53"/>
  <c r="B9" i="53"/>
  <c r="I9" i="53" s="1"/>
  <c r="B8" i="53"/>
  <c r="B200" i="32"/>
  <c r="B199" i="32"/>
  <c r="B198" i="32"/>
  <c r="B197" i="32"/>
  <c r="B196" i="32"/>
  <c r="G196" i="32" s="1"/>
  <c r="B195" i="32"/>
  <c r="B194" i="32"/>
  <c r="B193" i="32"/>
  <c r="B192" i="32"/>
  <c r="B191" i="32"/>
  <c r="B190" i="32"/>
  <c r="B189" i="32"/>
  <c r="B188" i="32"/>
  <c r="B187" i="32"/>
  <c r="B186" i="32"/>
  <c r="C186" i="32" s="1"/>
  <c r="B185" i="32"/>
  <c r="B184" i="32"/>
  <c r="B183" i="32"/>
  <c r="B182" i="32"/>
  <c r="B181" i="32"/>
  <c r="H181" i="32" s="1"/>
  <c r="B180" i="32"/>
  <c r="B179" i="32"/>
  <c r="B178" i="32"/>
  <c r="B177" i="32"/>
  <c r="E177" i="32" s="1"/>
  <c r="B176" i="32"/>
  <c r="B175" i="32"/>
  <c r="B174" i="32"/>
  <c r="B173" i="32"/>
  <c r="B172" i="32"/>
  <c r="B171" i="32"/>
  <c r="B170" i="32"/>
  <c r="B169" i="32"/>
  <c r="J169" i="32" s="1"/>
  <c r="B168" i="32"/>
  <c r="D168" i="32" s="1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I112" i="32" s="1"/>
  <c r="B111" i="32"/>
  <c r="B110" i="32"/>
  <c r="B109" i="32"/>
  <c r="B108" i="32"/>
  <c r="B107" i="32"/>
  <c r="B106" i="32"/>
  <c r="B105" i="32"/>
  <c r="B104" i="32"/>
  <c r="I104" i="32" s="1"/>
  <c r="B103" i="32"/>
  <c r="B102" i="32"/>
  <c r="B101" i="32"/>
  <c r="B13" i="42"/>
  <c r="B12" i="42"/>
  <c r="B11" i="42"/>
  <c r="B10" i="42"/>
  <c r="B9" i="42"/>
  <c r="B8" i="42"/>
  <c r="B100" i="32"/>
  <c r="B99" i="32"/>
  <c r="B98" i="32"/>
  <c r="C98" i="32" s="1"/>
  <c r="B97" i="32"/>
  <c r="E97" i="32" s="1"/>
  <c r="B96" i="32"/>
  <c r="B95" i="32"/>
  <c r="B94" i="32"/>
  <c r="B93" i="32"/>
  <c r="B92" i="32"/>
  <c r="B91" i="32"/>
  <c r="D91" i="32" s="1"/>
  <c r="B90" i="32"/>
  <c r="B89" i="32"/>
  <c r="C89" i="32" s="1"/>
  <c r="B88" i="32"/>
  <c r="F88" i="32" s="1"/>
  <c r="B87" i="32"/>
  <c r="J87" i="32" s="1"/>
  <c r="B86" i="32"/>
  <c r="I86" i="32" s="1"/>
  <c r="B85" i="32"/>
  <c r="B84" i="32"/>
  <c r="B83" i="32"/>
  <c r="B82" i="32"/>
  <c r="B81" i="32"/>
  <c r="J81" i="32" s="1"/>
  <c r="B80" i="32"/>
  <c r="B79" i="32"/>
  <c r="B78" i="32"/>
  <c r="B77" i="32"/>
  <c r="B76" i="32"/>
  <c r="J76" i="32" s="1"/>
  <c r="B75" i="32"/>
  <c r="B74" i="32"/>
  <c r="C74" i="32" s="1"/>
  <c r="B73" i="32"/>
  <c r="B72" i="32"/>
  <c r="B71" i="32"/>
  <c r="B70" i="32"/>
  <c r="J70" i="32" s="1"/>
  <c r="B69" i="32"/>
  <c r="B68" i="32"/>
  <c r="C68" i="32" s="1"/>
  <c r="B67" i="32"/>
  <c r="B66" i="32"/>
  <c r="B65" i="32"/>
  <c r="H65" i="32" s="1"/>
  <c r="B64" i="32"/>
  <c r="B63" i="32"/>
  <c r="B62" i="32"/>
  <c r="B61" i="32"/>
  <c r="J61" i="32" s="1"/>
  <c r="B60" i="32"/>
  <c r="B59" i="32"/>
  <c r="B58" i="32"/>
  <c r="B57" i="32"/>
  <c r="B56" i="32"/>
  <c r="B55" i="32"/>
  <c r="J55" i="32" s="1"/>
  <c r="B54" i="32"/>
  <c r="F54" i="32" s="1"/>
  <c r="B53" i="32"/>
  <c r="I53" i="32" s="1"/>
  <c r="B52" i="32"/>
  <c r="J52" i="32" s="1"/>
  <c r="B51" i="32"/>
  <c r="B50" i="32"/>
  <c r="G50" i="32" s="1"/>
  <c r="B49" i="32"/>
  <c r="B48" i="32"/>
  <c r="C48" i="32" s="1"/>
  <c r="B47" i="32"/>
  <c r="B46" i="32"/>
  <c r="B45" i="32"/>
  <c r="J45" i="32" s="1"/>
  <c r="B44" i="32"/>
  <c r="H44" i="32" s="1"/>
  <c r="B41" i="32"/>
  <c r="B40" i="32"/>
  <c r="J40" i="32" s="1"/>
  <c r="B39" i="32"/>
  <c r="J39" i="32" s="1"/>
  <c r="B34" i="32"/>
  <c r="J34" i="32" s="1"/>
  <c r="B33" i="32"/>
  <c r="J33" i="32" s="1"/>
  <c r="B29" i="32"/>
  <c r="C29" i="32" s="1"/>
  <c r="B28" i="32"/>
  <c r="D28" i="32" s="1"/>
  <c r="B17" i="32"/>
  <c r="G17" i="32" s="1"/>
  <c r="B16" i="32"/>
  <c r="H16" i="32" s="1"/>
  <c r="B15" i="32"/>
  <c r="J15" i="32" s="1"/>
  <c r="B10" i="32"/>
  <c r="F10" i="32" s="1"/>
  <c r="B9" i="32"/>
  <c r="H9" i="32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3" i="32" s="1"/>
  <c r="J43" i="32" s="1"/>
  <c r="J200" i="57" l="1"/>
  <c r="I200" i="57"/>
  <c r="H200" i="57"/>
  <c r="G200" i="57"/>
  <c r="F200" i="57"/>
  <c r="E200" i="57"/>
  <c r="D200" i="57"/>
  <c r="C200" i="57"/>
  <c r="J199" i="57"/>
  <c r="I199" i="57"/>
  <c r="H199" i="57"/>
  <c r="G199" i="57"/>
  <c r="F199" i="57"/>
  <c r="E199" i="57"/>
  <c r="D199" i="57"/>
  <c r="C199" i="57"/>
  <c r="J198" i="57"/>
  <c r="I198" i="57"/>
  <c r="H198" i="57"/>
  <c r="G198" i="57"/>
  <c r="F198" i="57"/>
  <c r="E198" i="57"/>
  <c r="D198" i="57"/>
  <c r="C198" i="57"/>
  <c r="J197" i="57"/>
  <c r="I197" i="57"/>
  <c r="H197" i="57"/>
  <c r="G197" i="57"/>
  <c r="F197" i="57"/>
  <c r="E197" i="57"/>
  <c r="D197" i="57"/>
  <c r="C197" i="57"/>
  <c r="J196" i="57"/>
  <c r="I196" i="57"/>
  <c r="H196" i="57"/>
  <c r="G196" i="57"/>
  <c r="F196" i="57"/>
  <c r="E196" i="57"/>
  <c r="D196" i="57"/>
  <c r="C196" i="57"/>
  <c r="J195" i="57"/>
  <c r="I195" i="57"/>
  <c r="H195" i="57"/>
  <c r="G195" i="57"/>
  <c r="F195" i="57"/>
  <c r="E195" i="57"/>
  <c r="D195" i="57"/>
  <c r="C195" i="57"/>
  <c r="J194" i="57"/>
  <c r="I194" i="57"/>
  <c r="H194" i="57"/>
  <c r="G194" i="57"/>
  <c r="F194" i="57"/>
  <c r="E194" i="57"/>
  <c r="D194" i="57"/>
  <c r="C194" i="57"/>
  <c r="J193" i="57"/>
  <c r="I193" i="57"/>
  <c r="H193" i="57"/>
  <c r="G193" i="57"/>
  <c r="F193" i="57"/>
  <c r="E193" i="57"/>
  <c r="D193" i="57"/>
  <c r="C193" i="57"/>
  <c r="J192" i="57"/>
  <c r="I192" i="57"/>
  <c r="H192" i="57"/>
  <c r="G192" i="57"/>
  <c r="F192" i="57"/>
  <c r="E192" i="57"/>
  <c r="D192" i="57"/>
  <c r="C192" i="57"/>
  <c r="J191" i="57"/>
  <c r="I191" i="57"/>
  <c r="H191" i="57"/>
  <c r="G191" i="57"/>
  <c r="F191" i="57"/>
  <c r="E191" i="57"/>
  <c r="D191" i="57"/>
  <c r="C191" i="57"/>
  <c r="J190" i="57"/>
  <c r="I190" i="57"/>
  <c r="H190" i="57"/>
  <c r="G190" i="57"/>
  <c r="F190" i="57"/>
  <c r="E190" i="57"/>
  <c r="D190" i="57"/>
  <c r="C190" i="57"/>
  <c r="J189" i="57"/>
  <c r="I189" i="57"/>
  <c r="H189" i="57"/>
  <c r="G189" i="57"/>
  <c r="F189" i="57"/>
  <c r="E189" i="57"/>
  <c r="D189" i="57"/>
  <c r="C189" i="57"/>
  <c r="J188" i="57"/>
  <c r="I188" i="57"/>
  <c r="H188" i="57"/>
  <c r="G188" i="57"/>
  <c r="F188" i="57"/>
  <c r="E188" i="57"/>
  <c r="D188" i="57"/>
  <c r="C188" i="57"/>
  <c r="J187" i="57"/>
  <c r="I187" i="57"/>
  <c r="H187" i="57"/>
  <c r="G187" i="57"/>
  <c r="F187" i="57"/>
  <c r="E187" i="57"/>
  <c r="D187" i="57"/>
  <c r="C187" i="57"/>
  <c r="J186" i="57"/>
  <c r="I186" i="57"/>
  <c r="H186" i="57"/>
  <c r="G186" i="57"/>
  <c r="F186" i="57"/>
  <c r="E186" i="57"/>
  <c r="D186" i="57"/>
  <c r="C186" i="57"/>
  <c r="J185" i="57"/>
  <c r="I185" i="57"/>
  <c r="H185" i="57"/>
  <c r="G185" i="57"/>
  <c r="F185" i="57"/>
  <c r="E185" i="57"/>
  <c r="D185" i="57"/>
  <c r="C185" i="57"/>
  <c r="J184" i="57"/>
  <c r="I184" i="57"/>
  <c r="H184" i="57"/>
  <c r="G184" i="57"/>
  <c r="F184" i="57"/>
  <c r="E184" i="57"/>
  <c r="D184" i="57"/>
  <c r="C184" i="57"/>
  <c r="J183" i="57"/>
  <c r="I183" i="57"/>
  <c r="H183" i="57"/>
  <c r="G183" i="57"/>
  <c r="F183" i="57"/>
  <c r="E183" i="57"/>
  <c r="D183" i="57"/>
  <c r="C183" i="57"/>
  <c r="J182" i="57"/>
  <c r="I182" i="57"/>
  <c r="H182" i="57"/>
  <c r="G182" i="57"/>
  <c r="F182" i="57"/>
  <c r="E182" i="57"/>
  <c r="D182" i="57"/>
  <c r="C182" i="57"/>
  <c r="J181" i="57"/>
  <c r="I181" i="57"/>
  <c r="H181" i="57"/>
  <c r="G181" i="57"/>
  <c r="F181" i="57"/>
  <c r="E181" i="57"/>
  <c r="D181" i="57"/>
  <c r="C181" i="57"/>
  <c r="J180" i="57"/>
  <c r="I180" i="57"/>
  <c r="H180" i="57"/>
  <c r="G180" i="57"/>
  <c r="F180" i="57"/>
  <c r="E180" i="57"/>
  <c r="D180" i="57"/>
  <c r="C180" i="57"/>
  <c r="J179" i="57"/>
  <c r="I179" i="57"/>
  <c r="H179" i="57"/>
  <c r="G179" i="57"/>
  <c r="F179" i="57"/>
  <c r="E179" i="57"/>
  <c r="D179" i="57"/>
  <c r="C179" i="57"/>
  <c r="J178" i="57"/>
  <c r="I178" i="57"/>
  <c r="H178" i="57"/>
  <c r="G178" i="57"/>
  <c r="F178" i="57"/>
  <c r="E178" i="57"/>
  <c r="D178" i="57"/>
  <c r="C178" i="57"/>
  <c r="J177" i="57"/>
  <c r="I177" i="57"/>
  <c r="H177" i="57"/>
  <c r="G177" i="57"/>
  <c r="F177" i="57"/>
  <c r="E177" i="57"/>
  <c r="D177" i="57"/>
  <c r="C177" i="57"/>
  <c r="J176" i="57"/>
  <c r="I176" i="57"/>
  <c r="H176" i="57"/>
  <c r="G176" i="57"/>
  <c r="F176" i="57"/>
  <c r="E176" i="57"/>
  <c r="D176" i="57"/>
  <c r="C176" i="57"/>
  <c r="J175" i="57"/>
  <c r="I175" i="57"/>
  <c r="H175" i="57"/>
  <c r="G175" i="57"/>
  <c r="F175" i="57"/>
  <c r="E175" i="57"/>
  <c r="D175" i="57"/>
  <c r="C175" i="57"/>
  <c r="J174" i="57"/>
  <c r="I174" i="57"/>
  <c r="H174" i="57"/>
  <c r="G174" i="57"/>
  <c r="F174" i="57"/>
  <c r="E174" i="57"/>
  <c r="D174" i="57"/>
  <c r="C174" i="57"/>
  <c r="J173" i="57"/>
  <c r="I173" i="57"/>
  <c r="H173" i="57"/>
  <c r="G173" i="57"/>
  <c r="F173" i="57"/>
  <c r="E173" i="57"/>
  <c r="D173" i="57"/>
  <c r="C173" i="57"/>
  <c r="J172" i="57"/>
  <c r="I172" i="57"/>
  <c r="H172" i="57"/>
  <c r="G172" i="57"/>
  <c r="F172" i="57"/>
  <c r="E172" i="57"/>
  <c r="D172" i="57"/>
  <c r="C172" i="57"/>
  <c r="I171" i="57"/>
  <c r="H171" i="57"/>
  <c r="G171" i="57"/>
  <c r="F171" i="57"/>
  <c r="E171" i="57"/>
  <c r="D171" i="57"/>
  <c r="C171" i="57"/>
  <c r="J170" i="57"/>
  <c r="I170" i="57"/>
  <c r="H170" i="57"/>
  <c r="G170" i="57"/>
  <c r="F170" i="57"/>
  <c r="E170" i="57"/>
  <c r="D170" i="57"/>
  <c r="C170" i="57"/>
  <c r="J169" i="57"/>
  <c r="I169" i="57"/>
  <c r="H169" i="57"/>
  <c r="G169" i="57"/>
  <c r="F169" i="57"/>
  <c r="E169" i="57"/>
  <c r="D169" i="57"/>
  <c r="C169" i="57"/>
  <c r="J168" i="57"/>
  <c r="I168" i="57"/>
  <c r="H168" i="57"/>
  <c r="G168" i="57"/>
  <c r="F168" i="57"/>
  <c r="E168" i="57"/>
  <c r="D168" i="57"/>
  <c r="C168" i="57"/>
  <c r="J167" i="57"/>
  <c r="I167" i="57"/>
  <c r="H167" i="57"/>
  <c r="G167" i="57"/>
  <c r="F167" i="57"/>
  <c r="E167" i="57"/>
  <c r="D167" i="57"/>
  <c r="C167" i="57"/>
  <c r="J166" i="57"/>
  <c r="I166" i="57"/>
  <c r="H166" i="57"/>
  <c r="G166" i="57"/>
  <c r="F166" i="57"/>
  <c r="E166" i="57"/>
  <c r="D166" i="57"/>
  <c r="C166" i="57"/>
  <c r="J165" i="57"/>
  <c r="I165" i="57"/>
  <c r="H165" i="57"/>
  <c r="G165" i="57"/>
  <c r="F165" i="57"/>
  <c r="E165" i="57"/>
  <c r="D165" i="57"/>
  <c r="C165" i="57"/>
  <c r="J164" i="57"/>
  <c r="I164" i="57"/>
  <c r="H164" i="57"/>
  <c r="G164" i="57"/>
  <c r="F164" i="57"/>
  <c r="E164" i="57"/>
  <c r="D164" i="57"/>
  <c r="C164" i="57"/>
  <c r="J163" i="57"/>
  <c r="I163" i="57"/>
  <c r="H163" i="57"/>
  <c r="G163" i="57"/>
  <c r="F163" i="57"/>
  <c r="E163" i="57"/>
  <c r="D163" i="57"/>
  <c r="C163" i="57"/>
  <c r="J162" i="57"/>
  <c r="I162" i="57"/>
  <c r="H162" i="57"/>
  <c r="G162" i="57"/>
  <c r="F162" i="57"/>
  <c r="E162" i="57"/>
  <c r="D162" i="57"/>
  <c r="C162" i="57"/>
  <c r="J161" i="57"/>
  <c r="I161" i="57"/>
  <c r="H161" i="57"/>
  <c r="G161" i="57"/>
  <c r="F161" i="57"/>
  <c r="E161" i="57"/>
  <c r="D161" i="57"/>
  <c r="C161" i="57"/>
  <c r="J160" i="57"/>
  <c r="I160" i="57"/>
  <c r="H160" i="57"/>
  <c r="G160" i="57"/>
  <c r="F160" i="57"/>
  <c r="E160" i="57"/>
  <c r="D160" i="57"/>
  <c r="C160" i="57"/>
  <c r="J159" i="57"/>
  <c r="I159" i="57"/>
  <c r="H159" i="57"/>
  <c r="G159" i="57"/>
  <c r="F159" i="57"/>
  <c r="E159" i="57"/>
  <c r="D159" i="57"/>
  <c r="C159" i="57"/>
  <c r="J158" i="57"/>
  <c r="I158" i="57"/>
  <c r="H158" i="57"/>
  <c r="G158" i="57"/>
  <c r="F158" i="57"/>
  <c r="E158" i="57"/>
  <c r="C158" i="57"/>
  <c r="D157" i="57"/>
  <c r="C157" i="57"/>
  <c r="E157" i="57"/>
  <c r="F157" i="57"/>
  <c r="G157" i="57"/>
  <c r="H157" i="57"/>
  <c r="I157" i="57"/>
  <c r="J157" i="57"/>
  <c r="E156" i="57"/>
  <c r="D156" i="57"/>
  <c r="C156" i="57"/>
  <c r="G156" i="57"/>
  <c r="H156" i="57"/>
  <c r="I156" i="57"/>
  <c r="J156" i="57"/>
  <c r="F156" i="57"/>
  <c r="F155" i="57"/>
  <c r="H155" i="57"/>
  <c r="I155" i="57"/>
  <c r="G155" i="57"/>
  <c r="J155" i="57"/>
  <c r="C155" i="57"/>
  <c r="D155" i="57"/>
  <c r="E155" i="57"/>
  <c r="C154" i="57"/>
  <c r="D154" i="57"/>
  <c r="F154" i="57"/>
  <c r="G154" i="57"/>
  <c r="E154" i="57"/>
  <c r="H154" i="57"/>
  <c r="I154" i="57"/>
  <c r="J154" i="57"/>
  <c r="H153" i="57"/>
  <c r="I153" i="57"/>
  <c r="J153" i="57"/>
  <c r="C153" i="57"/>
  <c r="D153" i="57"/>
  <c r="E153" i="57"/>
  <c r="F153" i="57"/>
  <c r="G153" i="57"/>
  <c r="H152" i="57"/>
  <c r="J152" i="57"/>
  <c r="I152" i="57"/>
  <c r="G152" i="57"/>
  <c r="F152" i="57"/>
  <c r="E152" i="57"/>
  <c r="D152" i="57"/>
  <c r="C152" i="57"/>
  <c r="G151" i="57"/>
  <c r="J151" i="57"/>
  <c r="I151" i="57"/>
  <c r="H151" i="57"/>
  <c r="F151" i="57"/>
  <c r="E151" i="57"/>
  <c r="D151" i="57"/>
  <c r="C151" i="57"/>
  <c r="F150" i="57"/>
  <c r="D150" i="57"/>
  <c r="E150" i="57"/>
  <c r="H150" i="57"/>
  <c r="G150" i="57"/>
  <c r="J150" i="57"/>
  <c r="I150" i="57"/>
  <c r="C150" i="57"/>
  <c r="C149" i="57"/>
  <c r="D149" i="57"/>
  <c r="F149" i="57"/>
  <c r="G149" i="57"/>
  <c r="H149" i="57"/>
  <c r="E149" i="57"/>
  <c r="I149" i="57"/>
  <c r="J149" i="57"/>
  <c r="C148" i="57"/>
  <c r="D148" i="57"/>
  <c r="E148" i="57"/>
  <c r="F148" i="57"/>
  <c r="G148" i="57"/>
  <c r="H148" i="57"/>
  <c r="I148" i="57"/>
  <c r="J148" i="57"/>
  <c r="F147" i="57"/>
  <c r="H147" i="57"/>
  <c r="I147" i="57"/>
  <c r="J147" i="57"/>
  <c r="G147" i="57"/>
  <c r="C147" i="57"/>
  <c r="E147" i="57"/>
  <c r="D147" i="57"/>
  <c r="E146" i="57"/>
  <c r="C146" i="57"/>
  <c r="J146" i="57"/>
  <c r="I146" i="57"/>
  <c r="D146" i="57"/>
  <c r="F146" i="57"/>
  <c r="H146" i="57"/>
  <c r="G146" i="57"/>
  <c r="D145" i="57"/>
  <c r="H145" i="57"/>
  <c r="I145" i="57"/>
  <c r="J145" i="57"/>
  <c r="C145" i="57"/>
  <c r="E145" i="57"/>
  <c r="G145" i="57"/>
  <c r="F145" i="57"/>
  <c r="C144" i="57"/>
  <c r="D144" i="57"/>
  <c r="F144" i="57"/>
  <c r="G144" i="57"/>
  <c r="I144" i="57"/>
  <c r="J144" i="57"/>
  <c r="E144" i="57"/>
  <c r="H144" i="57"/>
  <c r="D143" i="57"/>
  <c r="E143" i="57"/>
  <c r="C143" i="57"/>
  <c r="J143" i="57"/>
  <c r="H143" i="57"/>
  <c r="F143" i="57"/>
  <c r="I143" i="57"/>
  <c r="G143" i="57"/>
  <c r="E142" i="57"/>
  <c r="G142" i="57"/>
  <c r="H142" i="57"/>
  <c r="I142" i="57"/>
  <c r="J142" i="57"/>
  <c r="F142" i="57"/>
  <c r="D142" i="57"/>
  <c r="C142" i="57"/>
  <c r="D141" i="57"/>
  <c r="I141" i="57"/>
  <c r="J141" i="57"/>
  <c r="G141" i="57"/>
  <c r="F141" i="57"/>
  <c r="H141" i="57"/>
  <c r="E141" i="57"/>
  <c r="C141" i="57"/>
  <c r="G140" i="57"/>
  <c r="E140" i="57"/>
  <c r="C140" i="57"/>
  <c r="J140" i="57"/>
  <c r="I140" i="57"/>
  <c r="H140" i="57"/>
  <c r="F140" i="57"/>
  <c r="D140" i="57"/>
  <c r="D139" i="57"/>
  <c r="G139" i="57"/>
  <c r="J139" i="57"/>
  <c r="I139" i="57"/>
  <c r="H139" i="57"/>
  <c r="F139" i="57"/>
  <c r="E139" i="57"/>
  <c r="C139" i="57"/>
  <c r="G138" i="57"/>
  <c r="E138" i="57"/>
  <c r="C138" i="57"/>
  <c r="D138" i="57"/>
  <c r="F138" i="57"/>
  <c r="H138" i="57"/>
  <c r="J138" i="57"/>
  <c r="I138" i="57"/>
  <c r="D137" i="57"/>
  <c r="J137" i="57"/>
  <c r="I137" i="57"/>
  <c r="H137" i="57"/>
  <c r="E137" i="57"/>
  <c r="F137" i="57"/>
  <c r="C137" i="57"/>
  <c r="G137" i="57"/>
  <c r="C136" i="57"/>
  <c r="E136" i="57"/>
  <c r="J136" i="57"/>
  <c r="I136" i="57"/>
  <c r="F136" i="57"/>
  <c r="D136" i="57"/>
  <c r="G136" i="57"/>
  <c r="H136" i="57"/>
  <c r="E135" i="57"/>
  <c r="J135" i="57"/>
  <c r="D135" i="57"/>
  <c r="F135" i="57"/>
  <c r="G135" i="57"/>
  <c r="I135" i="57"/>
  <c r="H135" i="57"/>
  <c r="D134" i="57"/>
  <c r="G134" i="57"/>
  <c r="H134" i="57"/>
  <c r="I134" i="57"/>
  <c r="J134" i="57"/>
  <c r="C134" i="57"/>
  <c r="E134" i="57"/>
  <c r="F134" i="57"/>
  <c r="E133" i="57"/>
  <c r="C133" i="57"/>
  <c r="I133" i="57"/>
  <c r="J133" i="57"/>
  <c r="D133" i="57"/>
  <c r="G133" i="57"/>
  <c r="H133" i="57"/>
  <c r="F133" i="57"/>
  <c r="H132" i="57"/>
  <c r="D132" i="57"/>
  <c r="I132" i="57"/>
  <c r="E132" i="57"/>
  <c r="C132" i="57"/>
  <c r="J132" i="57"/>
  <c r="F132" i="57"/>
  <c r="G132" i="57"/>
  <c r="H131" i="57"/>
  <c r="F131" i="57"/>
  <c r="J131" i="57"/>
  <c r="I131" i="57"/>
  <c r="G131" i="57"/>
  <c r="E131" i="57"/>
  <c r="C131" i="57"/>
  <c r="D131" i="57"/>
  <c r="C130" i="57"/>
  <c r="E130" i="57"/>
  <c r="G130" i="57"/>
  <c r="H130" i="57"/>
  <c r="F130" i="57"/>
  <c r="D130" i="57"/>
  <c r="I130" i="57"/>
  <c r="J130" i="57"/>
  <c r="H129" i="57"/>
  <c r="F129" i="57"/>
  <c r="E129" i="57"/>
  <c r="C129" i="57"/>
  <c r="D129" i="57"/>
  <c r="J129" i="57"/>
  <c r="I129" i="57"/>
  <c r="G129" i="57"/>
  <c r="H128" i="57"/>
  <c r="G128" i="57"/>
  <c r="E128" i="57"/>
  <c r="C128" i="57"/>
  <c r="J128" i="57"/>
  <c r="I128" i="57"/>
  <c r="F128" i="57"/>
  <c r="D128" i="57"/>
  <c r="J127" i="57"/>
  <c r="I127" i="57"/>
  <c r="H127" i="57"/>
  <c r="F127" i="57"/>
  <c r="D127" i="57"/>
  <c r="G127" i="57"/>
  <c r="E127" i="57"/>
  <c r="C127" i="57"/>
  <c r="J126" i="57"/>
  <c r="H126" i="57"/>
  <c r="F126" i="57"/>
  <c r="E126" i="57"/>
  <c r="D126" i="57"/>
  <c r="G126" i="57"/>
  <c r="I126" i="57"/>
  <c r="C126" i="57"/>
  <c r="I125" i="57"/>
  <c r="G125" i="57"/>
  <c r="D125" i="57"/>
  <c r="C125" i="57"/>
  <c r="E125" i="57"/>
  <c r="F125" i="57"/>
  <c r="J125" i="57"/>
  <c r="H125" i="57"/>
  <c r="F124" i="57"/>
  <c r="D124" i="57"/>
  <c r="H124" i="57"/>
  <c r="E124" i="57"/>
  <c r="C124" i="57"/>
  <c r="G124" i="57"/>
  <c r="J124" i="57"/>
  <c r="I124" i="57"/>
  <c r="D123" i="57"/>
  <c r="C123" i="57"/>
  <c r="G122" i="57"/>
  <c r="F122" i="57"/>
  <c r="D122" i="57"/>
  <c r="C122" i="57"/>
  <c r="H122" i="57"/>
  <c r="I122" i="57"/>
  <c r="J122" i="57"/>
  <c r="E122" i="57"/>
  <c r="I121" i="57"/>
  <c r="H121" i="57"/>
  <c r="G121" i="57"/>
  <c r="F121" i="57"/>
  <c r="E121" i="57"/>
  <c r="D121" i="57"/>
  <c r="C121" i="57"/>
  <c r="J121" i="57"/>
  <c r="D120" i="57"/>
  <c r="C120" i="57"/>
  <c r="G120" i="57"/>
  <c r="J120" i="57"/>
  <c r="H120" i="57"/>
  <c r="I120" i="57"/>
  <c r="E120" i="57"/>
  <c r="F120" i="57"/>
  <c r="E119" i="57"/>
  <c r="D119" i="57"/>
  <c r="C119" i="57"/>
  <c r="J119" i="57"/>
  <c r="I119" i="57"/>
  <c r="H119" i="57"/>
  <c r="G119" i="57"/>
  <c r="F119" i="57"/>
  <c r="J118" i="57"/>
  <c r="I118" i="57"/>
  <c r="H118" i="57"/>
  <c r="G118" i="57"/>
  <c r="F118" i="57"/>
  <c r="E118" i="57"/>
  <c r="D118" i="57"/>
  <c r="C118" i="57"/>
  <c r="E117" i="57"/>
  <c r="D117" i="57"/>
  <c r="C117" i="57"/>
  <c r="J117" i="57"/>
  <c r="I117" i="57"/>
  <c r="H117" i="57"/>
  <c r="G117" i="57"/>
  <c r="F117" i="57"/>
  <c r="J116" i="57"/>
  <c r="I116" i="57"/>
  <c r="H116" i="57"/>
  <c r="G116" i="57"/>
  <c r="F116" i="57"/>
  <c r="E116" i="57"/>
  <c r="D116" i="57"/>
  <c r="C116" i="57"/>
  <c r="I115" i="57"/>
  <c r="H115" i="57"/>
  <c r="G115" i="57"/>
  <c r="F115" i="57"/>
  <c r="E115" i="57"/>
  <c r="D115" i="57"/>
  <c r="C115" i="57"/>
  <c r="J115" i="57"/>
  <c r="J114" i="57"/>
  <c r="C114" i="57"/>
  <c r="I114" i="57"/>
  <c r="H114" i="57"/>
  <c r="G114" i="57"/>
  <c r="F114" i="57"/>
  <c r="E114" i="57"/>
  <c r="D114" i="57"/>
  <c r="E113" i="57"/>
  <c r="D113" i="57"/>
  <c r="C113" i="57"/>
  <c r="F113" i="57"/>
  <c r="I113" i="57"/>
  <c r="H113" i="57"/>
  <c r="G113" i="57"/>
  <c r="J113" i="57"/>
  <c r="C112" i="57"/>
  <c r="E112" i="57"/>
  <c r="F112" i="57"/>
  <c r="H112" i="57"/>
  <c r="I112" i="57"/>
  <c r="G112" i="57"/>
  <c r="D112" i="57"/>
  <c r="J112" i="57"/>
  <c r="E111" i="57"/>
  <c r="D111" i="57"/>
  <c r="C111" i="57"/>
  <c r="F111" i="57"/>
  <c r="G111" i="57"/>
  <c r="H111" i="57"/>
  <c r="I111" i="57"/>
  <c r="J111" i="57"/>
  <c r="J110" i="57"/>
  <c r="I110" i="57"/>
  <c r="H110" i="57"/>
  <c r="F110" i="57"/>
  <c r="E110" i="57"/>
  <c r="D110" i="57"/>
  <c r="C110" i="57"/>
  <c r="G110" i="57"/>
  <c r="J109" i="57"/>
  <c r="C109" i="57"/>
  <c r="D109" i="57"/>
  <c r="E109" i="57"/>
  <c r="F109" i="57"/>
  <c r="G109" i="57"/>
  <c r="H109" i="57"/>
  <c r="I109" i="57"/>
  <c r="D108" i="57"/>
  <c r="C108" i="57"/>
  <c r="F108" i="57"/>
  <c r="G108" i="57"/>
  <c r="H108" i="57"/>
  <c r="I108" i="57"/>
  <c r="J108" i="57"/>
  <c r="E108" i="57"/>
  <c r="J107" i="57"/>
  <c r="I107" i="57"/>
  <c r="H107" i="57"/>
  <c r="G107" i="57"/>
  <c r="F107" i="57"/>
  <c r="D107" i="57"/>
  <c r="C107" i="57"/>
  <c r="E107" i="57"/>
  <c r="E106" i="57"/>
  <c r="D106" i="57"/>
  <c r="C106" i="57"/>
  <c r="J106" i="57"/>
  <c r="I106" i="57"/>
  <c r="H106" i="57"/>
  <c r="G106" i="57"/>
  <c r="F106" i="57"/>
  <c r="I105" i="57"/>
  <c r="H105" i="57"/>
  <c r="G105" i="57"/>
  <c r="F105" i="57"/>
  <c r="E105" i="57"/>
  <c r="D105" i="57"/>
  <c r="C105" i="57"/>
  <c r="J105" i="57"/>
  <c r="E104" i="57"/>
  <c r="D104" i="57"/>
  <c r="C104" i="57"/>
  <c r="G104" i="57"/>
  <c r="J104" i="57"/>
  <c r="I104" i="57"/>
  <c r="H104" i="57"/>
  <c r="F104" i="57"/>
  <c r="I103" i="57"/>
  <c r="H103" i="57"/>
  <c r="G103" i="57"/>
  <c r="F103" i="57"/>
  <c r="E103" i="57"/>
  <c r="D103" i="57"/>
  <c r="C103" i="57"/>
  <c r="J103" i="57"/>
  <c r="E102" i="57"/>
  <c r="D102" i="57"/>
  <c r="C102" i="57"/>
  <c r="J102" i="57"/>
  <c r="I102" i="57"/>
  <c r="H102" i="57"/>
  <c r="G102" i="57"/>
  <c r="F102" i="57"/>
  <c r="I101" i="57"/>
  <c r="C101" i="57"/>
  <c r="D101" i="57"/>
  <c r="E101" i="57"/>
  <c r="F101" i="57"/>
  <c r="G101" i="57"/>
  <c r="H101" i="57"/>
  <c r="J101" i="57"/>
  <c r="E100" i="57"/>
  <c r="D100" i="57"/>
  <c r="C100" i="57"/>
  <c r="F100" i="57"/>
  <c r="G100" i="57"/>
  <c r="H100" i="57"/>
  <c r="J100" i="57"/>
  <c r="I100" i="57"/>
  <c r="J99" i="57"/>
  <c r="I99" i="57"/>
  <c r="H99" i="57"/>
  <c r="G99" i="57"/>
  <c r="F99" i="57"/>
  <c r="D99" i="57"/>
  <c r="C99" i="57"/>
  <c r="E99" i="57"/>
  <c r="J98" i="57"/>
  <c r="I98" i="57"/>
  <c r="H98" i="57"/>
  <c r="G98" i="57"/>
  <c r="F98" i="57"/>
  <c r="E98" i="57"/>
  <c r="D98" i="57"/>
  <c r="C98" i="57"/>
  <c r="J97" i="57"/>
  <c r="C97" i="57"/>
  <c r="D97" i="57"/>
  <c r="E97" i="57"/>
  <c r="F97" i="57"/>
  <c r="G97" i="57"/>
  <c r="H97" i="57"/>
  <c r="I97" i="57"/>
  <c r="D96" i="57"/>
  <c r="C96" i="57"/>
  <c r="F96" i="57"/>
  <c r="G96" i="57"/>
  <c r="H96" i="57"/>
  <c r="I96" i="57"/>
  <c r="J96" i="57"/>
  <c r="E96" i="57"/>
  <c r="J95" i="57"/>
  <c r="I95" i="57"/>
  <c r="H95" i="57"/>
  <c r="G95" i="57"/>
  <c r="F95" i="57"/>
  <c r="E95" i="57"/>
  <c r="D95" i="57"/>
  <c r="C95" i="57"/>
  <c r="D94" i="57"/>
  <c r="C94" i="57"/>
  <c r="I94" i="57"/>
  <c r="H94" i="57"/>
  <c r="G94" i="57"/>
  <c r="J94" i="57"/>
  <c r="E94" i="57"/>
  <c r="F94" i="57"/>
  <c r="E93" i="57"/>
  <c r="D93" i="57"/>
  <c r="C93" i="57"/>
  <c r="J93" i="57"/>
  <c r="I93" i="57"/>
  <c r="H93" i="57"/>
  <c r="G93" i="57"/>
  <c r="F93" i="57"/>
  <c r="J92" i="57"/>
  <c r="I92" i="57"/>
  <c r="H92" i="57"/>
  <c r="G92" i="57"/>
  <c r="F92" i="57"/>
  <c r="E92" i="57"/>
  <c r="D92" i="57"/>
  <c r="C92" i="57"/>
  <c r="E91" i="57"/>
  <c r="D91" i="57"/>
  <c r="C91" i="57"/>
  <c r="J91" i="57"/>
  <c r="I91" i="57"/>
  <c r="H91" i="57"/>
  <c r="G91" i="57"/>
  <c r="F91" i="57"/>
  <c r="J90" i="57"/>
  <c r="I90" i="57"/>
  <c r="H90" i="57"/>
  <c r="G90" i="57"/>
  <c r="F90" i="57"/>
  <c r="E90" i="57"/>
  <c r="D90" i="57"/>
  <c r="C90" i="57"/>
  <c r="I89" i="57"/>
  <c r="H89" i="57"/>
  <c r="G89" i="57"/>
  <c r="F89" i="57"/>
  <c r="E89" i="57"/>
  <c r="D89" i="57"/>
  <c r="C89" i="57"/>
  <c r="J89" i="57"/>
  <c r="J88" i="57"/>
  <c r="C88" i="57"/>
  <c r="I88" i="57"/>
  <c r="H88" i="57"/>
  <c r="G88" i="57"/>
  <c r="F88" i="57"/>
  <c r="E88" i="57"/>
  <c r="D88" i="57"/>
  <c r="E87" i="57"/>
  <c r="D87" i="57"/>
  <c r="C87" i="57"/>
  <c r="J87" i="57"/>
  <c r="I87" i="57"/>
  <c r="H87" i="57"/>
  <c r="G87" i="57"/>
  <c r="F87" i="57"/>
  <c r="C86" i="57"/>
  <c r="E86" i="57"/>
  <c r="F86" i="57"/>
  <c r="H86" i="57"/>
  <c r="I86" i="57"/>
  <c r="G86" i="57"/>
  <c r="D86" i="57"/>
  <c r="J86" i="57"/>
  <c r="E85" i="57"/>
  <c r="D85" i="57"/>
  <c r="C85" i="57"/>
  <c r="F85" i="57"/>
  <c r="G85" i="57"/>
  <c r="H85" i="57"/>
  <c r="I85" i="57"/>
  <c r="J85" i="57"/>
  <c r="J84" i="57"/>
  <c r="I84" i="57"/>
  <c r="H84" i="57"/>
  <c r="F84" i="57"/>
  <c r="E84" i="57"/>
  <c r="D84" i="57"/>
  <c r="C84" i="57"/>
  <c r="G84" i="57"/>
  <c r="J83" i="57"/>
  <c r="C83" i="57"/>
  <c r="D83" i="57"/>
  <c r="E83" i="57"/>
  <c r="F83" i="57"/>
  <c r="G83" i="57"/>
  <c r="H83" i="57"/>
  <c r="I83" i="57"/>
  <c r="D82" i="57"/>
  <c r="C82" i="57"/>
  <c r="F82" i="57"/>
  <c r="G82" i="57"/>
  <c r="H82" i="57"/>
  <c r="I82" i="57"/>
  <c r="J82" i="57"/>
  <c r="E82" i="57"/>
  <c r="J81" i="57"/>
  <c r="I81" i="57"/>
  <c r="G81" i="57"/>
  <c r="F81" i="57"/>
  <c r="E81" i="57"/>
  <c r="D81" i="57"/>
  <c r="C81" i="57"/>
  <c r="H81" i="57"/>
  <c r="E80" i="57"/>
  <c r="D80" i="57"/>
  <c r="C80" i="57"/>
  <c r="J80" i="57"/>
  <c r="I80" i="57"/>
  <c r="H80" i="57"/>
  <c r="G80" i="57"/>
  <c r="F80" i="57"/>
  <c r="I79" i="57"/>
  <c r="H79" i="57"/>
  <c r="G79" i="57"/>
  <c r="F79" i="57"/>
  <c r="E79" i="57"/>
  <c r="D79" i="57"/>
  <c r="C79" i="57"/>
  <c r="J79" i="57"/>
  <c r="E78" i="57"/>
  <c r="D78" i="57"/>
  <c r="C78" i="57"/>
  <c r="G78" i="57"/>
  <c r="J78" i="57"/>
  <c r="I78" i="57"/>
  <c r="H78" i="57"/>
  <c r="F78" i="57"/>
  <c r="I77" i="57"/>
  <c r="H77" i="57"/>
  <c r="G77" i="57"/>
  <c r="F77" i="57"/>
  <c r="E77" i="57"/>
  <c r="D77" i="57"/>
  <c r="C77" i="57"/>
  <c r="J77" i="57"/>
  <c r="E76" i="57"/>
  <c r="D76" i="57"/>
  <c r="C76" i="57"/>
  <c r="J76" i="57"/>
  <c r="I76" i="57"/>
  <c r="H76" i="57"/>
  <c r="G76" i="57"/>
  <c r="F76" i="57"/>
  <c r="C75" i="57"/>
  <c r="D75" i="57"/>
  <c r="E75" i="57"/>
  <c r="G75" i="57"/>
  <c r="H75" i="57"/>
  <c r="I75" i="57"/>
  <c r="J75" i="57"/>
  <c r="F75" i="57"/>
  <c r="E74" i="57"/>
  <c r="D74" i="57"/>
  <c r="C74" i="57"/>
  <c r="H74" i="57"/>
  <c r="I74" i="57"/>
  <c r="J74" i="57"/>
  <c r="G74" i="57"/>
  <c r="F74" i="57"/>
  <c r="J73" i="57"/>
  <c r="I73" i="57"/>
  <c r="H73" i="57"/>
  <c r="G73" i="57"/>
  <c r="E73" i="57"/>
  <c r="D73" i="57"/>
  <c r="C73" i="57"/>
  <c r="F73" i="57"/>
  <c r="J72" i="57"/>
  <c r="I72" i="57"/>
  <c r="H72" i="57"/>
  <c r="G72" i="57"/>
  <c r="F72" i="57"/>
  <c r="C72" i="57"/>
  <c r="D72" i="57"/>
  <c r="E72" i="57"/>
  <c r="C71" i="57"/>
  <c r="D71" i="57"/>
  <c r="E71" i="57"/>
  <c r="F71" i="57"/>
  <c r="G71" i="57"/>
  <c r="H71" i="57"/>
  <c r="I71" i="57"/>
  <c r="J71" i="57"/>
  <c r="H70" i="57"/>
  <c r="G70" i="57"/>
  <c r="F70" i="57"/>
  <c r="E70" i="57"/>
  <c r="D70" i="57"/>
  <c r="C70" i="57"/>
  <c r="J70" i="57"/>
  <c r="I70" i="57"/>
  <c r="J69" i="57"/>
  <c r="I69" i="57"/>
  <c r="H69" i="57"/>
  <c r="G69" i="57"/>
  <c r="F69" i="57"/>
  <c r="E69" i="57"/>
  <c r="C69" i="57"/>
  <c r="D69" i="57"/>
  <c r="E68" i="57"/>
  <c r="D68" i="57"/>
  <c r="C68" i="57"/>
  <c r="J68" i="57"/>
  <c r="I68" i="57"/>
  <c r="H68" i="57"/>
  <c r="G68" i="57"/>
  <c r="F68" i="57"/>
  <c r="J67" i="57"/>
  <c r="I67" i="57"/>
  <c r="H67" i="57"/>
  <c r="G67" i="57"/>
  <c r="F67" i="57"/>
  <c r="E67" i="57"/>
  <c r="D67" i="57"/>
  <c r="C67" i="57"/>
  <c r="E66" i="57"/>
  <c r="D66" i="57"/>
  <c r="C66" i="57"/>
  <c r="J66" i="57"/>
  <c r="I66" i="57"/>
  <c r="H66" i="57"/>
  <c r="G66" i="57"/>
  <c r="F66" i="57"/>
  <c r="J65" i="57"/>
  <c r="I65" i="57"/>
  <c r="H65" i="57"/>
  <c r="G65" i="57"/>
  <c r="E65" i="57"/>
  <c r="D65" i="57"/>
  <c r="C65" i="57"/>
  <c r="F65" i="57"/>
  <c r="J64" i="57"/>
  <c r="I64" i="57"/>
  <c r="H64" i="57"/>
  <c r="G64" i="57"/>
  <c r="E64" i="57"/>
  <c r="D64" i="57"/>
  <c r="C64" i="57"/>
  <c r="F64" i="57"/>
  <c r="E63" i="57"/>
  <c r="D63" i="57"/>
  <c r="C63" i="57"/>
  <c r="J63" i="57"/>
  <c r="I63" i="57"/>
  <c r="H63" i="57"/>
  <c r="G63" i="57"/>
  <c r="F63" i="57"/>
  <c r="C62" i="57"/>
  <c r="F62" i="57"/>
  <c r="G62" i="57"/>
  <c r="H62" i="57"/>
  <c r="I62" i="57"/>
  <c r="E62" i="57"/>
  <c r="D62" i="57"/>
  <c r="J62" i="57"/>
  <c r="E61" i="57"/>
  <c r="D61" i="57"/>
  <c r="C61" i="57"/>
  <c r="F61" i="57"/>
  <c r="G61" i="57"/>
  <c r="H61" i="57"/>
  <c r="I61" i="57"/>
  <c r="J61" i="57"/>
  <c r="J60" i="57"/>
  <c r="I60" i="57"/>
  <c r="H60" i="57"/>
  <c r="F60" i="57"/>
  <c r="E60" i="57"/>
  <c r="D60" i="57"/>
  <c r="C60" i="57"/>
  <c r="G60" i="57"/>
  <c r="J59" i="57"/>
  <c r="C59" i="57"/>
  <c r="D59" i="57"/>
  <c r="E59" i="57"/>
  <c r="F59" i="57"/>
  <c r="G59" i="57"/>
  <c r="H59" i="57"/>
  <c r="I59" i="57"/>
  <c r="D58" i="57"/>
  <c r="C58" i="57"/>
  <c r="F58" i="57"/>
  <c r="G58" i="57"/>
  <c r="H58" i="57"/>
  <c r="I58" i="57"/>
  <c r="J58" i="57"/>
  <c r="E58" i="57"/>
  <c r="I57" i="57"/>
  <c r="H57" i="57"/>
  <c r="G57" i="57"/>
  <c r="F57" i="57"/>
  <c r="E57" i="57"/>
  <c r="D57" i="57"/>
  <c r="C57" i="57"/>
  <c r="J57" i="57"/>
  <c r="E56" i="57"/>
  <c r="D56" i="57"/>
  <c r="C56" i="57"/>
  <c r="J56" i="57"/>
  <c r="I56" i="57"/>
  <c r="H56" i="57"/>
  <c r="G56" i="57"/>
  <c r="F56" i="57"/>
  <c r="G55" i="57"/>
  <c r="F55" i="57"/>
  <c r="E55" i="57"/>
  <c r="D55" i="57"/>
  <c r="J55" i="57"/>
  <c r="C55" i="57"/>
  <c r="I55" i="57"/>
  <c r="H55" i="57"/>
  <c r="E54" i="57"/>
  <c r="D54" i="57"/>
  <c r="C54" i="57"/>
  <c r="G54" i="57"/>
  <c r="J54" i="57"/>
  <c r="I54" i="57"/>
  <c r="F54" i="57"/>
  <c r="H54" i="57"/>
  <c r="E53" i="57"/>
  <c r="D53" i="57"/>
  <c r="C53" i="57"/>
  <c r="J53" i="57"/>
  <c r="I53" i="57"/>
  <c r="H53" i="57"/>
  <c r="G53" i="57"/>
  <c r="F53" i="57"/>
  <c r="I52" i="57"/>
  <c r="J52" i="57"/>
  <c r="F52" i="57"/>
  <c r="E52" i="57"/>
  <c r="G52" i="57"/>
  <c r="H52" i="57"/>
  <c r="D52" i="57"/>
  <c r="C52" i="57"/>
  <c r="E51" i="57"/>
  <c r="D51" i="57"/>
  <c r="C51" i="57"/>
  <c r="I51" i="57"/>
  <c r="G51" i="57"/>
  <c r="H51" i="57"/>
  <c r="F51" i="57"/>
  <c r="J51" i="57"/>
  <c r="J50" i="57"/>
  <c r="I50" i="57"/>
  <c r="H50" i="57"/>
  <c r="G50" i="57"/>
  <c r="F50" i="57"/>
  <c r="D50" i="57"/>
  <c r="C50" i="57"/>
  <c r="E50" i="57"/>
  <c r="J49" i="57"/>
  <c r="I49" i="57"/>
  <c r="H49" i="57"/>
  <c r="G49" i="57"/>
  <c r="F49" i="57"/>
  <c r="E49" i="57"/>
  <c r="D49" i="57"/>
  <c r="C49" i="57"/>
  <c r="J48" i="57"/>
  <c r="I48" i="57"/>
  <c r="H48" i="57"/>
  <c r="C48" i="57"/>
  <c r="D48" i="57"/>
  <c r="E48" i="57"/>
  <c r="F48" i="57"/>
  <c r="G48" i="57"/>
  <c r="D47" i="57"/>
  <c r="E47" i="57"/>
  <c r="F47" i="57"/>
  <c r="G47" i="57"/>
  <c r="H47" i="57"/>
  <c r="C47" i="57"/>
  <c r="I47" i="57"/>
  <c r="J47" i="57"/>
  <c r="J46" i="57"/>
  <c r="I46" i="57"/>
  <c r="H46" i="57"/>
  <c r="G46" i="57"/>
  <c r="F46" i="57"/>
  <c r="E46" i="57"/>
  <c r="D46" i="57"/>
  <c r="C46" i="57"/>
  <c r="E45" i="57"/>
  <c r="D45" i="57"/>
  <c r="C45" i="57"/>
  <c r="G45" i="57"/>
  <c r="F45" i="57"/>
  <c r="D44" i="57"/>
  <c r="I44" i="57"/>
  <c r="C44" i="57"/>
  <c r="H44" i="57"/>
  <c r="J44" i="57"/>
  <c r="F44" i="57"/>
  <c r="E44" i="57"/>
  <c r="G44" i="57"/>
  <c r="J43" i="57"/>
  <c r="I43" i="57"/>
  <c r="H43" i="57"/>
  <c r="G43" i="57"/>
  <c r="F43" i="57"/>
  <c r="E43" i="57"/>
  <c r="D43" i="57"/>
  <c r="C43" i="57"/>
  <c r="G42" i="57"/>
  <c r="F42" i="57"/>
  <c r="C42" i="57"/>
  <c r="D42" i="57"/>
  <c r="E42" i="57"/>
  <c r="J42" i="57"/>
  <c r="I42" i="57"/>
  <c r="H42" i="57"/>
  <c r="H41" i="57"/>
  <c r="G41" i="57"/>
  <c r="F41" i="57"/>
  <c r="E41" i="57"/>
  <c r="J41" i="57"/>
  <c r="C41" i="57"/>
  <c r="D41" i="57"/>
  <c r="I41" i="57"/>
  <c r="E40" i="57"/>
  <c r="F40" i="57"/>
  <c r="G40" i="57"/>
  <c r="H40" i="57"/>
  <c r="I40" i="57"/>
  <c r="J40" i="57"/>
  <c r="D40" i="57"/>
  <c r="C40" i="57"/>
  <c r="H39" i="57"/>
  <c r="I39" i="57"/>
  <c r="G39" i="57"/>
  <c r="F39" i="57"/>
  <c r="E39" i="57"/>
  <c r="D39" i="57"/>
  <c r="C39" i="57"/>
  <c r="J39" i="57"/>
  <c r="F38" i="57"/>
  <c r="H38" i="57"/>
  <c r="C38" i="57"/>
  <c r="J38" i="57"/>
  <c r="G38" i="57"/>
  <c r="D38" i="57"/>
  <c r="E38" i="57"/>
  <c r="I38" i="57"/>
  <c r="I37" i="57"/>
  <c r="H37" i="57"/>
  <c r="G37" i="57"/>
  <c r="F37" i="57"/>
  <c r="J37" i="57"/>
  <c r="E37" i="57"/>
  <c r="D37" i="57"/>
  <c r="C37" i="57"/>
  <c r="H36" i="57"/>
  <c r="G36" i="57"/>
  <c r="F36" i="57"/>
  <c r="E36" i="57"/>
  <c r="D36" i="57"/>
  <c r="C36" i="57"/>
  <c r="I36" i="57"/>
  <c r="J36" i="57"/>
  <c r="J35" i="57"/>
  <c r="E35" i="57"/>
  <c r="I35" i="57"/>
  <c r="H35" i="57"/>
  <c r="G35" i="57"/>
  <c r="F35" i="57"/>
  <c r="D35" i="57"/>
  <c r="C35" i="57"/>
  <c r="D34" i="57"/>
  <c r="C34" i="57"/>
  <c r="E34" i="57"/>
  <c r="J34" i="57"/>
  <c r="I34" i="57"/>
  <c r="H34" i="57"/>
  <c r="G34" i="57"/>
  <c r="F34" i="57"/>
  <c r="I33" i="57"/>
  <c r="H33" i="57"/>
  <c r="F33" i="57"/>
  <c r="E33" i="57"/>
  <c r="D33" i="57"/>
  <c r="C33" i="57"/>
  <c r="G33" i="57"/>
  <c r="J33" i="57"/>
  <c r="J32" i="57"/>
  <c r="I32" i="57"/>
  <c r="H32" i="57"/>
  <c r="G32" i="57"/>
  <c r="F32" i="57"/>
  <c r="E32" i="57"/>
  <c r="D32" i="57"/>
  <c r="C32" i="57"/>
  <c r="H31" i="57"/>
  <c r="C31" i="57"/>
  <c r="D31" i="57"/>
  <c r="E31" i="57"/>
  <c r="F31" i="57"/>
  <c r="G31" i="57"/>
  <c r="I31" i="57"/>
  <c r="J31" i="57"/>
  <c r="J30" i="57"/>
  <c r="I30" i="57"/>
  <c r="H30" i="57"/>
  <c r="G30" i="57"/>
  <c r="F30" i="57"/>
  <c r="E30" i="57"/>
  <c r="D30" i="57"/>
  <c r="C30" i="57"/>
  <c r="H29" i="57"/>
  <c r="G29" i="57"/>
  <c r="F29" i="57"/>
  <c r="E29" i="57"/>
  <c r="D29" i="57"/>
  <c r="C29" i="57"/>
  <c r="J29" i="57"/>
  <c r="I29" i="57"/>
  <c r="J28" i="57"/>
  <c r="I28" i="57"/>
  <c r="H28" i="57"/>
  <c r="G28" i="57"/>
  <c r="F28" i="57"/>
  <c r="E28" i="57"/>
  <c r="D28" i="57"/>
  <c r="C28" i="57"/>
  <c r="C27" i="57"/>
  <c r="G27" i="57"/>
  <c r="J27" i="57"/>
  <c r="I27" i="57"/>
  <c r="H27" i="57"/>
  <c r="F27" i="57"/>
  <c r="E27" i="57"/>
  <c r="D27" i="57"/>
  <c r="C26" i="57"/>
  <c r="I26" i="57"/>
  <c r="F26" i="57"/>
  <c r="H26" i="57"/>
  <c r="G26" i="57"/>
  <c r="J26" i="57"/>
  <c r="E26" i="57"/>
  <c r="D26" i="57"/>
  <c r="J25" i="57"/>
  <c r="I25" i="57"/>
  <c r="G25" i="57"/>
  <c r="F25" i="57"/>
  <c r="E25" i="57"/>
  <c r="D25" i="57"/>
  <c r="C25" i="57"/>
  <c r="H25" i="57"/>
  <c r="D24" i="57"/>
  <c r="C24" i="57"/>
  <c r="J24" i="57"/>
  <c r="I24" i="57"/>
  <c r="H24" i="57"/>
  <c r="G24" i="57"/>
  <c r="F24" i="57"/>
  <c r="E24" i="57"/>
  <c r="G23" i="57"/>
  <c r="H23" i="57"/>
  <c r="I23" i="57"/>
  <c r="J23" i="57"/>
  <c r="C23" i="57"/>
  <c r="D23" i="57"/>
  <c r="E23" i="57"/>
  <c r="F23" i="57"/>
  <c r="J22" i="57"/>
  <c r="C22" i="57"/>
  <c r="D22" i="57"/>
  <c r="E22" i="57"/>
  <c r="F22" i="57"/>
  <c r="G22" i="57"/>
  <c r="H22" i="57"/>
  <c r="I22" i="57"/>
  <c r="J21" i="57"/>
  <c r="I21" i="57"/>
  <c r="H21" i="57"/>
  <c r="G21" i="57"/>
  <c r="F21" i="57"/>
  <c r="E21" i="57"/>
  <c r="D21" i="57"/>
  <c r="C21" i="57"/>
  <c r="G20" i="57"/>
  <c r="H20" i="57"/>
  <c r="I20" i="57"/>
  <c r="J20" i="57"/>
  <c r="C20" i="57"/>
  <c r="D20" i="57"/>
  <c r="E20" i="57"/>
  <c r="F20" i="57"/>
  <c r="D19" i="57"/>
  <c r="J19" i="57"/>
  <c r="I19" i="57"/>
  <c r="H19" i="57"/>
  <c r="G19" i="57"/>
  <c r="F19" i="57"/>
  <c r="E19" i="57"/>
  <c r="C19" i="57"/>
  <c r="C18" i="57"/>
  <c r="E18" i="57"/>
  <c r="J18" i="57"/>
  <c r="H18" i="57"/>
  <c r="I18" i="57"/>
  <c r="G18" i="57"/>
  <c r="F18" i="57"/>
  <c r="D18" i="57"/>
  <c r="C17" i="57"/>
  <c r="D17" i="57"/>
  <c r="F17" i="57"/>
  <c r="G17" i="57"/>
  <c r="J17" i="57"/>
  <c r="I17" i="57"/>
  <c r="H17" i="57"/>
  <c r="E17" i="57"/>
  <c r="D16" i="57"/>
  <c r="J16" i="57"/>
  <c r="I16" i="57"/>
  <c r="H16" i="57"/>
  <c r="G16" i="57"/>
  <c r="F16" i="57"/>
  <c r="E16" i="57"/>
  <c r="C16" i="57"/>
  <c r="G15" i="57"/>
  <c r="D15" i="57"/>
  <c r="F15" i="57"/>
  <c r="I15" i="57"/>
  <c r="J15" i="57"/>
  <c r="H15" i="57"/>
  <c r="C15" i="57"/>
  <c r="E15" i="57"/>
  <c r="H14" i="57"/>
  <c r="D14" i="57"/>
  <c r="F14" i="57"/>
  <c r="G14" i="57"/>
  <c r="E14" i="57"/>
  <c r="C14" i="57"/>
  <c r="I14" i="57"/>
  <c r="J14" i="57"/>
  <c r="I13" i="57"/>
  <c r="F13" i="57"/>
  <c r="H13" i="57"/>
  <c r="D13" i="57"/>
  <c r="G13" i="57"/>
  <c r="J13" i="57"/>
  <c r="E13" i="57"/>
  <c r="C13" i="57"/>
  <c r="F12" i="57"/>
  <c r="H12" i="57"/>
  <c r="D12" i="57"/>
  <c r="E12" i="57"/>
  <c r="J12" i="57"/>
  <c r="I12" i="57"/>
  <c r="G12" i="57"/>
  <c r="C12" i="57"/>
  <c r="F11" i="57"/>
  <c r="I11" i="57"/>
  <c r="G11" i="57"/>
  <c r="E11" i="57"/>
  <c r="C11" i="57"/>
  <c r="D11" i="57"/>
  <c r="H11" i="57"/>
  <c r="J11" i="57"/>
  <c r="J10" i="57"/>
  <c r="C10" i="57"/>
  <c r="E10" i="57"/>
  <c r="F10" i="57"/>
  <c r="H10" i="57"/>
  <c r="I10" i="57"/>
  <c r="G10" i="57"/>
  <c r="D10" i="57"/>
  <c r="H9" i="57"/>
  <c r="F9" i="57"/>
  <c r="D9" i="57"/>
  <c r="J9" i="57"/>
  <c r="C9" i="57"/>
  <c r="G9" i="57"/>
  <c r="E9" i="57"/>
  <c r="I9" i="57"/>
  <c r="F8" i="57"/>
  <c r="E8" i="57"/>
  <c r="I8" i="57"/>
  <c r="D8" i="57"/>
  <c r="C8" i="57"/>
  <c r="J8" i="57"/>
  <c r="G8" i="57"/>
  <c r="H8" i="57"/>
  <c r="J91" i="53"/>
  <c r="I91" i="53"/>
  <c r="H91" i="53"/>
  <c r="F91" i="53"/>
  <c r="G154" i="56"/>
  <c r="H147" i="56"/>
  <c r="C131" i="56"/>
  <c r="E112" i="56"/>
  <c r="G111" i="56"/>
  <c r="C100" i="56"/>
  <c r="C63" i="56"/>
  <c r="F49" i="56"/>
  <c r="C45" i="56"/>
  <c r="J200" i="53"/>
  <c r="F200" i="53"/>
  <c r="D200" i="53"/>
  <c r="E200" i="53"/>
  <c r="C200" i="53"/>
  <c r="J199" i="53"/>
  <c r="F199" i="53"/>
  <c r="E199" i="53"/>
  <c r="D199" i="53"/>
  <c r="G199" i="53"/>
  <c r="C199" i="53"/>
  <c r="C198" i="53"/>
  <c r="H198" i="53"/>
  <c r="E198" i="53"/>
  <c r="D198" i="53"/>
  <c r="F198" i="53"/>
  <c r="G198" i="53"/>
  <c r="J197" i="53"/>
  <c r="C197" i="53"/>
  <c r="D197" i="53"/>
  <c r="F197" i="53"/>
  <c r="E197" i="53"/>
  <c r="G197" i="53"/>
  <c r="H197" i="53"/>
  <c r="I197" i="53"/>
  <c r="G195" i="53"/>
  <c r="H195" i="53"/>
  <c r="C195" i="53"/>
  <c r="I195" i="53"/>
  <c r="J193" i="53"/>
  <c r="E193" i="53"/>
  <c r="D193" i="53"/>
  <c r="J192" i="53"/>
  <c r="E192" i="53"/>
  <c r="D192" i="53"/>
  <c r="C192" i="53"/>
  <c r="F192" i="53"/>
  <c r="J191" i="53"/>
  <c r="G191" i="53"/>
  <c r="E191" i="53"/>
  <c r="C191" i="53"/>
  <c r="D191" i="53"/>
  <c r="F191" i="53"/>
  <c r="C190" i="53"/>
  <c r="H190" i="53"/>
  <c r="G190" i="53"/>
  <c r="F190" i="53"/>
  <c r="E190" i="53"/>
  <c r="D190" i="53"/>
  <c r="J189" i="53"/>
  <c r="G189" i="53"/>
  <c r="H189" i="53"/>
  <c r="I189" i="53"/>
  <c r="D189" i="53"/>
  <c r="C189" i="53"/>
  <c r="F189" i="53"/>
  <c r="E189" i="53"/>
  <c r="J188" i="53"/>
  <c r="H188" i="53"/>
  <c r="G188" i="53"/>
  <c r="I188" i="53"/>
  <c r="J186" i="53"/>
  <c r="D186" i="53"/>
  <c r="I186" i="53"/>
  <c r="D185" i="53"/>
  <c r="C185" i="53"/>
  <c r="J184" i="53"/>
  <c r="E184" i="53"/>
  <c r="C184" i="53"/>
  <c r="D184" i="53"/>
  <c r="F184" i="53"/>
  <c r="J183" i="53"/>
  <c r="D183" i="53"/>
  <c r="C183" i="53"/>
  <c r="E183" i="53"/>
  <c r="G183" i="53"/>
  <c r="I183" i="53"/>
  <c r="F183" i="53"/>
  <c r="C182" i="53"/>
  <c r="E182" i="53"/>
  <c r="G182" i="53"/>
  <c r="H182" i="53"/>
  <c r="D182" i="53"/>
  <c r="F182" i="53"/>
  <c r="J181" i="53"/>
  <c r="C181" i="53"/>
  <c r="D181" i="53"/>
  <c r="G181" i="53"/>
  <c r="F181" i="53"/>
  <c r="H181" i="53"/>
  <c r="I181" i="53"/>
  <c r="E181" i="53"/>
  <c r="F180" i="53"/>
  <c r="G180" i="53"/>
  <c r="I178" i="53"/>
  <c r="J178" i="53"/>
  <c r="H178" i="53"/>
  <c r="D177" i="53"/>
  <c r="I177" i="53"/>
  <c r="J177" i="53"/>
  <c r="C177" i="53"/>
  <c r="E177" i="53"/>
  <c r="J175" i="53"/>
  <c r="F175" i="53"/>
  <c r="I175" i="53"/>
  <c r="C175" i="53"/>
  <c r="G175" i="53"/>
  <c r="D175" i="53"/>
  <c r="E175" i="53"/>
  <c r="J173" i="53"/>
  <c r="D173" i="53"/>
  <c r="F173" i="53"/>
  <c r="H173" i="53"/>
  <c r="I173" i="53"/>
  <c r="C173" i="53"/>
  <c r="E173" i="53"/>
  <c r="G173" i="53"/>
  <c r="I172" i="53"/>
  <c r="H172" i="53"/>
  <c r="J172" i="53"/>
  <c r="D172" i="53"/>
  <c r="H171" i="53"/>
  <c r="J171" i="53"/>
  <c r="G171" i="53"/>
  <c r="I171" i="53"/>
  <c r="I170" i="53"/>
  <c r="H170" i="53"/>
  <c r="F170" i="53"/>
  <c r="D170" i="53"/>
  <c r="J170" i="53"/>
  <c r="C169" i="53"/>
  <c r="E169" i="53"/>
  <c r="G169" i="53"/>
  <c r="J169" i="53"/>
  <c r="D169" i="53"/>
  <c r="I169" i="53"/>
  <c r="E168" i="53"/>
  <c r="D168" i="53"/>
  <c r="C168" i="53"/>
  <c r="J167" i="53"/>
  <c r="E167" i="53"/>
  <c r="I167" i="53"/>
  <c r="F167" i="53"/>
  <c r="C167" i="53"/>
  <c r="G167" i="53"/>
  <c r="D167" i="53"/>
  <c r="J165" i="53"/>
  <c r="I165" i="53"/>
  <c r="H165" i="53"/>
  <c r="D165" i="53"/>
  <c r="F165" i="53"/>
  <c r="C165" i="53"/>
  <c r="E165" i="53"/>
  <c r="G165" i="53"/>
  <c r="D164" i="53"/>
  <c r="J164" i="53"/>
  <c r="C160" i="53"/>
  <c r="J160" i="53"/>
  <c r="J157" i="53"/>
  <c r="I157" i="53"/>
  <c r="F157" i="53"/>
  <c r="D157" i="53"/>
  <c r="C157" i="53"/>
  <c r="E157" i="53"/>
  <c r="H157" i="53"/>
  <c r="G157" i="53"/>
  <c r="J155" i="53"/>
  <c r="C155" i="53"/>
  <c r="J151" i="53"/>
  <c r="C151" i="53"/>
  <c r="J149" i="53"/>
  <c r="I149" i="53"/>
  <c r="F149" i="53"/>
  <c r="D149" i="53"/>
  <c r="C149" i="53"/>
  <c r="E149" i="53"/>
  <c r="H149" i="53"/>
  <c r="G149" i="53"/>
  <c r="J146" i="53"/>
  <c r="C146" i="53"/>
  <c r="J142" i="53"/>
  <c r="C142" i="53"/>
  <c r="J141" i="53"/>
  <c r="G141" i="53"/>
  <c r="E141" i="53"/>
  <c r="F141" i="53"/>
  <c r="I141" i="53"/>
  <c r="D141" i="53"/>
  <c r="H141" i="53"/>
  <c r="C141" i="53"/>
  <c r="J137" i="53"/>
  <c r="C137" i="53"/>
  <c r="J133" i="53"/>
  <c r="G133" i="53"/>
  <c r="E133" i="53"/>
  <c r="F133" i="53"/>
  <c r="H133" i="53"/>
  <c r="C133" i="53"/>
  <c r="D133" i="53"/>
  <c r="I133" i="53"/>
  <c r="D132" i="53"/>
  <c r="J132" i="53"/>
  <c r="C128" i="53"/>
  <c r="J128" i="53"/>
  <c r="J125" i="53"/>
  <c r="I125" i="53"/>
  <c r="H125" i="53"/>
  <c r="G125" i="53"/>
  <c r="E125" i="53"/>
  <c r="C125" i="53"/>
  <c r="D125" i="53"/>
  <c r="F125" i="53"/>
  <c r="I123" i="53"/>
  <c r="E123" i="53"/>
  <c r="J123" i="53"/>
  <c r="C123" i="53"/>
  <c r="I120" i="53"/>
  <c r="D120" i="53"/>
  <c r="C120" i="53"/>
  <c r="J120" i="53"/>
  <c r="C119" i="53"/>
  <c r="D119" i="53"/>
  <c r="J118" i="53"/>
  <c r="D118" i="53"/>
  <c r="H118" i="53"/>
  <c r="J117" i="53"/>
  <c r="I117" i="53"/>
  <c r="F117" i="53"/>
  <c r="G117" i="53"/>
  <c r="E117" i="53"/>
  <c r="D117" i="53"/>
  <c r="H117" i="53"/>
  <c r="C117" i="53"/>
  <c r="J116" i="53"/>
  <c r="I116" i="53"/>
  <c r="D116" i="53"/>
  <c r="C115" i="53"/>
  <c r="J115" i="53"/>
  <c r="D115" i="53"/>
  <c r="J113" i="53"/>
  <c r="F113" i="53"/>
  <c r="D113" i="53"/>
  <c r="G113" i="53"/>
  <c r="H113" i="53"/>
  <c r="E113" i="53"/>
  <c r="C113" i="53"/>
  <c r="J112" i="53"/>
  <c r="E112" i="53"/>
  <c r="H112" i="53"/>
  <c r="G112" i="53"/>
  <c r="D112" i="53"/>
  <c r="C112" i="53"/>
  <c r="F112" i="53"/>
  <c r="I112" i="53"/>
  <c r="J111" i="53"/>
  <c r="I111" i="53"/>
  <c r="H111" i="53"/>
  <c r="F111" i="53"/>
  <c r="E111" i="53"/>
  <c r="G111" i="53"/>
  <c r="J110" i="53"/>
  <c r="I110" i="53"/>
  <c r="F110" i="53"/>
  <c r="C110" i="53"/>
  <c r="H110" i="53"/>
  <c r="E108" i="53"/>
  <c r="D108" i="53"/>
  <c r="C107" i="53"/>
  <c r="I107" i="53"/>
  <c r="D107" i="53"/>
  <c r="J107" i="53"/>
  <c r="J105" i="53"/>
  <c r="G105" i="53"/>
  <c r="H105" i="53"/>
  <c r="E105" i="53"/>
  <c r="F105" i="53"/>
  <c r="D105" i="53"/>
  <c r="C105" i="53"/>
  <c r="J104" i="53"/>
  <c r="D104" i="53"/>
  <c r="G104" i="53"/>
  <c r="H104" i="53"/>
  <c r="E104" i="53"/>
  <c r="I104" i="53"/>
  <c r="F104" i="53"/>
  <c r="C104" i="53"/>
  <c r="F103" i="53"/>
  <c r="H103" i="53"/>
  <c r="J103" i="53"/>
  <c r="I103" i="53"/>
  <c r="G103" i="53"/>
  <c r="D102" i="53"/>
  <c r="I102" i="53"/>
  <c r="J102" i="53"/>
  <c r="E102" i="53"/>
  <c r="G102" i="53"/>
  <c r="H102" i="53"/>
  <c r="F102" i="53"/>
  <c r="E101" i="53"/>
  <c r="H101" i="53"/>
  <c r="G101" i="53"/>
  <c r="D101" i="53"/>
  <c r="I101" i="53"/>
  <c r="F101" i="53"/>
  <c r="J101" i="53"/>
  <c r="F100" i="53"/>
  <c r="H100" i="53"/>
  <c r="I100" i="53"/>
  <c r="J100" i="53"/>
  <c r="D100" i="53"/>
  <c r="G100" i="53"/>
  <c r="E100" i="53"/>
  <c r="G99" i="53"/>
  <c r="H99" i="53"/>
  <c r="F99" i="53"/>
  <c r="D99" i="53"/>
  <c r="E99" i="53"/>
  <c r="I99" i="53"/>
  <c r="J99" i="53"/>
  <c r="H98" i="53"/>
  <c r="D98" i="53"/>
  <c r="G98" i="53"/>
  <c r="E98" i="53"/>
  <c r="F98" i="53"/>
  <c r="I98" i="53"/>
  <c r="J98" i="53"/>
  <c r="I97" i="53"/>
  <c r="J97" i="53"/>
  <c r="F97" i="53"/>
  <c r="D97" i="53"/>
  <c r="G97" i="53"/>
  <c r="H97" i="53"/>
  <c r="E97" i="53"/>
  <c r="J96" i="53"/>
  <c r="I96" i="53"/>
  <c r="G96" i="53"/>
  <c r="E96" i="53"/>
  <c r="F96" i="53"/>
  <c r="C96" i="53"/>
  <c r="D96" i="53"/>
  <c r="H96" i="53"/>
  <c r="C95" i="53"/>
  <c r="E95" i="53"/>
  <c r="F95" i="53"/>
  <c r="G95" i="53"/>
  <c r="J95" i="53"/>
  <c r="I95" i="53"/>
  <c r="H95" i="53"/>
  <c r="D94" i="53"/>
  <c r="J94" i="53"/>
  <c r="H94" i="53"/>
  <c r="F94" i="53"/>
  <c r="G94" i="53"/>
  <c r="I94" i="53"/>
  <c r="E94" i="53"/>
  <c r="E93" i="53"/>
  <c r="F93" i="53"/>
  <c r="D93" i="53"/>
  <c r="G93" i="53"/>
  <c r="I93" i="53"/>
  <c r="J93" i="53"/>
  <c r="H93" i="53"/>
  <c r="F92" i="53"/>
  <c r="J92" i="53"/>
  <c r="H92" i="53"/>
  <c r="G92" i="53"/>
  <c r="D92" i="53"/>
  <c r="I92" i="53"/>
  <c r="E92" i="53"/>
  <c r="G91" i="53"/>
  <c r="E91" i="53"/>
  <c r="D91" i="53"/>
  <c r="H90" i="53"/>
  <c r="J90" i="53"/>
  <c r="I90" i="53"/>
  <c r="G90" i="53"/>
  <c r="F90" i="53"/>
  <c r="E90" i="53"/>
  <c r="D90" i="53"/>
  <c r="I89" i="53"/>
  <c r="J89" i="53"/>
  <c r="H89" i="53"/>
  <c r="G89" i="53"/>
  <c r="F89" i="53"/>
  <c r="E89" i="53"/>
  <c r="D89" i="53"/>
  <c r="J88" i="53"/>
  <c r="G88" i="53"/>
  <c r="I88" i="53"/>
  <c r="H88" i="53"/>
  <c r="F88" i="53"/>
  <c r="E88" i="53"/>
  <c r="D88" i="53"/>
  <c r="C88" i="53"/>
  <c r="J87" i="53"/>
  <c r="I87" i="53"/>
  <c r="H87" i="53"/>
  <c r="F87" i="53"/>
  <c r="G87" i="53"/>
  <c r="D86" i="53"/>
  <c r="J86" i="53"/>
  <c r="I86" i="53"/>
  <c r="H86" i="53"/>
  <c r="G86" i="53"/>
  <c r="F86" i="53"/>
  <c r="E86" i="53"/>
  <c r="E85" i="53"/>
  <c r="H85" i="53"/>
  <c r="J85" i="53"/>
  <c r="I85" i="53"/>
  <c r="D85" i="53"/>
  <c r="F85" i="53"/>
  <c r="G85" i="53"/>
  <c r="F84" i="53"/>
  <c r="E84" i="53"/>
  <c r="G84" i="53"/>
  <c r="H84" i="53"/>
  <c r="I84" i="53"/>
  <c r="D84" i="53"/>
  <c r="J84" i="53"/>
  <c r="G83" i="53"/>
  <c r="D83" i="53"/>
  <c r="F83" i="53"/>
  <c r="E83" i="53"/>
  <c r="J83" i="53"/>
  <c r="I83" i="53"/>
  <c r="H83" i="53"/>
  <c r="H82" i="53"/>
  <c r="J82" i="53"/>
  <c r="D82" i="53"/>
  <c r="E82" i="53"/>
  <c r="F82" i="53"/>
  <c r="G82" i="53"/>
  <c r="I82" i="53"/>
  <c r="I81" i="53"/>
  <c r="D81" i="53"/>
  <c r="E81" i="53"/>
  <c r="F81" i="53"/>
  <c r="G81" i="53"/>
  <c r="H81" i="53"/>
  <c r="J81" i="53"/>
  <c r="J80" i="53"/>
  <c r="D80" i="53"/>
  <c r="E80" i="53"/>
  <c r="C80" i="53"/>
  <c r="F80" i="53"/>
  <c r="H80" i="53"/>
  <c r="I80" i="53"/>
  <c r="G80" i="53"/>
  <c r="C79" i="53"/>
  <c r="E79" i="53"/>
  <c r="J79" i="53"/>
  <c r="I79" i="53"/>
  <c r="H79" i="53"/>
  <c r="G79" i="53"/>
  <c r="F79" i="53"/>
  <c r="D78" i="53"/>
  <c r="F78" i="53"/>
  <c r="E78" i="53"/>
  <c r="J78" i="53"/>
  <c r="I78" i="53"/>
  <c r="H78" i="53"/>
  <c r="G78" i="53"/>
  <c r="E77" i="53"/>
  <c r="J77" i="53"/>
  <c r="H77" i="53"/>
  <c r="G77" i="53"/>
  <c r="F77" i="53"/>
  <c r="I77" i="53"/>
  <c r="D77" i="53"/>
  <c r="F76" i="53"/>
  <c r="H76" i="53"/>
  <c r="J76" i="53"/>
  <c r="I76" i="53"/>
  <c r="D76" i="53"/>
  <c r="E76" i="53"/>
  <c r="G76" i="53"/>
  <c r="G75" i="53"/>
  <c r="D75" i="53"/>
  <c r="E75" i="53"/>
  <c r="F75" i="53"/>
  <c r="H75" i="53"/>
  <c r="I75" i="53"/>
  <c r="J75" i="53"/>
  <c r="H74" i="53"/>
  <c r="D74" i="53"/>
  <c r="E74" i="53"/>
  <c r="F74" i="53"/>
  <c r="G74" i="53"/>
  <c r="I74" i="53"/>
  <c r="J74" i="53"/>
  <c r="I73" i="53"/>
  <c r="F73" i="53"/>
  <c r="J73" i="53"/>
  <c r="H73" i="53"/>
  <c r="G73" i="53"/>
  <c r="E73" i="53"/>
  <c r="D73" i="53"/>
  <c r="J72" i="53"/>
  <c r="E72" i="53"/>
  <c r="D72" i="53"/>
  <c r="C72" i="53"/>
  <c r="I72" i="53"/>
  <c r="H72" i="53"/>
  <c r="G72" i="53"/>
  <c r="F72" i="53"/>
  <c r="C71" i="53"/>
  <c r="J71" i="53"/>
  <c r="I71" i="53"/>
  <c r="H71" i="53"/>
  <c r="G71" i="53"/>
  <c r="E71" i="53"/>
  <c r="F71" i="53"/>
  <c r="D70" i="53"/>
  <c r="E70" i="53"/>
  <c r="F70" i="53"/>
  <c r="H70" i="53"/>
  <c r="I70" i="53"/>
  <c r="J70" i="53"/>
  <c r="G70" i="53"/>
  <c r="E69" i="53"/>
  <c r="D69" i="53"/>
  <c r="F69" i="53"/>
  <c r="G69" i="53"/>
  <c r="H69" i="53"/>
  <c r="I69" i="53"/>
  <c r="J69" i="53"/>
  <c r="F68" i="53"/>
  <c r="H68" i="53"/>
  <c r="D68" i="53"/>
  <c r="E68" i="53"/>
  <c r="G68" i="53"/>
  <c r="I68" i="53"/>
  <c r="J68" i="53"/>
  <c r="G67" i="53"/>
  <c r="E67" i="53"/>
  <c r="D67" i="53"/>
  <c r="J67" i="53"/>
  <c r="I67" i="53"/>
  <c r="H67" i="53"/>
  <c r="F67" i="53"/>
  <c r="H66" i="53"/>
  <c r="E66" i="53"/>
  <c r="D66" i="53"/>
  <c r="I66" i="53"/>
  <c r="J66" i="53"/>
  <c r="G66" i="53"/>
  <c r="F66" i="53"/>
  <c r="I65" i="53"/>
  <c r="D65" i="53"/>
  <c r="E65" i="53"/>
  <c r="G65" i="53"/>
  <c r="J65" i="53"/>
  <c r="F65" i="53"/>
  <c r="H65" i="53"/>
  <c r="J64" i="53"/>
  <c r="I64" i="53"/>
  <c r="F64" i="53"/>
  <c r="D64" i="53"/>
  <c r="C64" i="53"/>
  <c r="G64" i="53"/>
  <c r="E64" i="53"/>
  <c r="H64" i="53"/>
  <c r="C63" i="53"/>
  <c r="H63" i="53"/>
  <c r="J63" i="53"/>
  <c r="I63" i="53"/>
  <c r="E63" i="53"/>
  <c r="F63" i="53"/>
  <c r="G63" i="53"/>
  <c r="D62" i="53"/>
  <c r="E62" i="53"/>
  <c r="F62" i="53"/>
  <c r="G62" i="53"/>
  <c r="H62" i="53"/>
  <c r="J62" i="53"/>
  <c r="I62" i="53"/>
  <c r="E61" i="53"/>
  <c r="G61" i="53"/>
  <c r="F61" i="53"/>
  <c r="D61" i="53"/>
  <c r="H61" i="53"/>
  <c r="J61" i="53"/>
  <c r="I61" i="53"/>
  <c r="F60" i="53"/>
  <c r="J60" i="53"/>
  <c r="I60" i="53"/>
  <c r="H60" i="53"/>
  <c r="E60" i="53"/>
  <c r="D60" i="53"/>
  <c r="G60" i="53"/>
  <c r="G59" i="53"/>
  <c r="D59" i="53"/>
  <c r="E59" i="53"/>
  <c r="F59" i="53"/>
  <c r="H59" i="53"/>
  <c r="I59" i="53"/>
  <c r="J59" i="53"/>
  <c r="H58" i="53"/>
  <c r="I58" i="53"/>
  <c r="J58" i="53"/>
  <c r="D58" i="53"/>
  <c r="E58" i="53"/>
  <c r="F58" i="53"/>
  <c r="G58" i="53"/>
  <c r="I57" i="53"/>
  <c r="J57" i="53"/>
  <c r="H57" i="53"/>
  <c r="G57" i="53"/>
  <c r="F57" i="53"/>
  <c r="D57" i="53"/>
  <c r="E57" i="53"/>
  <c r="J56" i="53"/>
  <c r="I56" i="53"/>
  <c r="H56" i="53"/>
  <c r="G56" i="53"/>
  <c r="F56" i="53"/>
  <c r="E56" i="53"/>
  <c r="D56" i="53"/>
  <c r="C56" i="53"/>
  <c r="C55" i="53"/>
  <c r="J55" i="53"/>
  <c r="I55" i="53"/>
  <c r="H55" i="53"/>
  <c r="G55" i="53"/>
  <c r="F55" i="53"/>
  <c r="E55" i="53"/>
  <c r="D54" i="53"/>
  <c r="J54" i="53"/>
  <c r="I54" i="53"/>
  <c r="H54" i="53"/>
  <c r="G54" i="53"/>
  <c r="F54" i="53"/>
  <c r="E54" i="53"/>
  <c r="E53" i="53"/>
  <c r="J53" i="53"/>
  <c r="I53" i="53"/>
  <c r="H53" i="53"/>
  <c r="G53" i="53"/>
  <c r="F53" i="53"/>
  <c r="D53" i="53"/>
  <c r="F52" i="53"/>
  <c r="J52" i="53"/>
  <c r="I52" i="53"/>
  <c r="H52" i="53"/>
  <c r="G52" i="53"/>
  <c r="E52" i="53"/>
  <c r="D52" i="53"/>
  <c r="G51" i="53"/>
  <c r="J51" i="53"/>
  <c r="I51" i="53"/>
  <c r="H51" i="53"/>
  <c r="F51" i="53"/>
  <c r="E51" i="53"/>
  <c r="D51" i="53"/>
  <c r="H50" i="53"/>
  <c r="J50" i="53"/>
  <c r="I50" i="53"/>
  <c r="G50" i="53"/>
  <c r="F50" i="53"/>
  <c r="E50" i="53"/>
  <c r="D50" i="53"/>
  <c r="I49" i="53"/>
  <c r="E49" i="53"/>
  <c r="D49" i="53"/>
  <c r="H49" i="53"/>
  <c r="J49" i="53"/>
  <c r="F49" i="53"/>
  <c r="G49" i="53"/>
  <c r="J48" i="53"/>
  <c r="I48" i="53"/>
  <c r="H48" i="53"/>
  <c r="G48" i="53"/>
  <c r="E48" i="53"/>
  <c r="D48" i="53"/>
  <c r="C48" i="53"/>
  <c r="F48" i="53"/>
  <c r="C47" i="53"/>
  <c r="G47" i="53"/>
  <c r="H47" i="53"/>
  <c r="I47" i="53"/>
  <c r="J47" i="53"/>
  <c r="F47" i="53"/>
  <c r="E47" i="53"/>
  <c r="D46" i="53"/>
  <c r="F46" i="53"/>
  <c r="G46" i="53"/>
  <c r="E46" i="53"/>
  <c r="J46" i="53"/>
  <c r="I46" i="53"/>
  <c r="H46" i="53"/>
  <c r="E45" i="53"/>
  <c r="H45" i="53"/>
  <c r="F45" i="53"/>
  <c r="G45" i="53"/>
  <c r="F44" i="53"/>
  <c r="I44" i="53"/>
  <c r="C44" i="53"/>
  <c r="G44" i="53"/>
  <c r="H44" i="53"/>
  <c r="G43" i="53"/>
  <c r="H43" i="53"/>
  <c r="I43" i="53"/>
  <c r="H42" i="53"/>
  <c r="I42" i="53"/>
  <c r="J40" i="53"/>
  <c r="F40" i="53"/>
  <c r="G40" i="53"/>
  <c r="C40" i="53"/>
  <c r="D40" i="53"/>
  <c r="E40" i="53"/>
  <c r="J39" i="53"/>
  <c r="C39" i="53"/>
  <c r="E39" i="53"/>
  <c r="G39" i="53"/>
  <c r="H39" i="53"/>
  <c r="F39" i="53"/>
  <c r="D39" i="53"/>
  <c r="I39" i="53"/>
  <c r="C38" i="53"/>
  <c r="I38" i="53"/>
  <c r="H38" i="53"/>
  <c r="G38" i="53"/>
  <c r="F38" i="53"/>
  <c r="E38" i="53"/>
  <c r="D38" i="53"/>
  <c r="E37" i="53"/>
  <c r="H37" i="53"/>
  <c r="G37" i="53"/>
  <c r="F37" i="53"/>
  <c r="F36" i="53"/>
  <c r="I36" i="53"/>
  <c r="H36" i="53"/>
  <c r="C36" i="53"/>
  <c r="G36" i="53"/>
  <c r="G35" i="53"/>
  <c r="H35" i="53"/>
  <c r="I35" i="53"/>
  <c r="H34" i="53"/>
  <c r="I34" i="53"/>
  <c r="J34" i="53"/>
  <c r="J32" i="53"/>
  <c r="C32" i="53"/>
  <c r="G32" i="53"/>
  <c r="F32" i="53"/>
  <c r="E32" i="53"/>
  <c r="D32" i="53"/>
  <c r="J31" i="53"/>
  <c r="G31" i="53"/>
  <c r="F31" i="53"/>
  <c r="E31" i="53"/>
  <c r="D31" i="53"/>
  <c r="C31" i="53"/>
  <c r="I31" i="53"/>
  <c r="H31" i="53"/>
  <c r="C30" i="53"/>
  <c r="I30" i="53"/>
  <c r="H30" i="53"/>
  <c r="G30" i="53"/>
  <c r="F30" i="53"/>
  <c r="E30" i="53"/>
  <c r="D30" i="53"/>
  <c r="E29" i="53"/>
  <c r="H29" i="53"/>
  <c r="G29" i="53"/>
  <c r="F29" i="53"/>
  <c r="F28" i="53"/>
  <c r="H28" i="53"/>
  <c r="G28" i="53"/>
  <c r="I28" i="53"/>
  <c r="G27" i="53"/>
  <c r="H27" i="53"/>
  <c r="I27" i="53"/>
  <c r="H26" i="53"/>
  <c r="I26" i="53"/>
  <c r="J24" i="53"/>
  <c r="G24" i="53"/>
  <c r="F24" i="53"/>
  <c r="E24" i="53"/>
  <c r="D24" i="53"/>
  <c r="C24" i="53"/>
  <c r="J23" i="53"/>
  <c r="I23" i="53"/>
  <c r="H23" i="53"/>
  <c r="G23" i="53"/>
  <c r="F23" i="53"/>
  <c r="D23" i="53"/>
  <c r="C23" i="53"/>
  <c r="E23" i="53"/>
  <c r="C22" i="53"/>
  <c r="E22" i="53"/>
  <c r="D22" i="53"/>
  <c r="I22" i="53"/>
  <c r="H22" i="53"/>
  <c r="G22" i="53"/>
  <c r="F22" i="53"/>
  <c r="E21" i="53"/>
  <c r="F21" i="53"/>
  <c r="G21" i="53"/>
  <c r="H21" i="53"/>
  <c r="I21" i="53"/>
  <c r="J21" i="53"/>
  <c r="F20" i="53"/>
  <c r="H20" i="53"/>
  <c r="G20" i="53"/>
  <c r="I20" i="53"/>
  <c r="G19" i="53"/>
  <c r="I19" i="53"/>
  <c r="H19" i="53"/>
  <c r="H18" i="53"/>
  <c r="I18" i="53"/>
  <c r="J16" i="53"/>
  <c r="G16" i="53"/>
  <c r="F16" i="53"/>
  <c r="E16" i="53"/>
  <c r="C16" i="53"/>
  <c r="D16" i="53"/>
  <c r="J15" i="53"/>
  <c r="I15" i="53"/>
  <c r="D15" i="53"/>
  <c r="H15" i="53"/>
  <c r="C15" i="53"/>
  <c r="G15" i="53"/>
  <c r="F15" i="53"/>
  <c r="E15" i="53"/>
  <c r="C14" i="53"/>
  <c r="E14" i="53"/>
  <c r="F14" i="53"/>
  <c r="G14" i="53"/>
  <c r="H14" i="53"/>
  <c r="D14" i="53"/>
  <c r="I14" i="53"/>
  <c r="E13" i="53"/>
  <c r="H13" i="53"/>
  <c r="G13" i="53"/>
  <c r="F13" i="53"/>
  <c r="I13" i="53"/>
  <c r="F12" i="53"/>
  <c r="G12" i="53"/>
  <c r="H12" i="53"/>
  <c r="I12" i="53"/>
  <c r="J12" i="53"/>
  <c r="G11" i="53"/>
  <c r="H11" i="53"/>
  <c r="I11" i="53"/>
  <c r="H10" i="53"/>
  <c r="I10" i="53"/>
  <c r="J8" i="53"/>
  <c r="C8" i="53"/>
  <c r="D8" i="53"/>
  <c r="E8" i="53"/>
  <c r="F8" i="53"/>
  <c r="G8" i="53"/>
  <c r="J200" i="32"/>
  <c r="F200" i="32"/>
  <c r="D200" i="32"/>
  <c r="C200" i="32"/>
  <c r="E200" i="32"/>
  <c r="J199" i="32"/>
  <c r="H199" i="32"/>
  <c r="G199" i="32"/>
  <c r="E199" i="32"/>
  <c r="D199" i="32"/>
  <c r="C199" i="32"/>
  <c r="F199" i="32"/>
  <c r="J198" i="32"/>
  <c r="G198" i="32"/>
  <c r="I198" i="32"/>
  <c r="H198" i="32"/>
  <c r="F198" i="32"/>
  <c r="E198" i="32"/>
  <c r="D198" i="32"/>
  <c r="C198" i="32"/>
  <c r="J197" i="32"/>
  <c r="G197" i="32"/>
  <c r="J195" i="32"/>
  <c r="I195" i="32"/>
  <c r="H195" i="32"/>
  <c r="E194" i="32"/>
  <c r="J194" i="32"/>
  <c r="C194" i="32"/>
  <c r="I194" i="32"/>
  <c r="D194" i="32"/>
  <c r="E193" i="32"/>
  <c r="D193" i="32"/>
  <c r="J192" i="32"/>
  <c r="F192" i="32"/>
  <c r="G192" i="32"/>
  <c r="C192" i="32"/>
  <c r="D192" i="32"/>
  <c r="E192" i="32"/>
  <c r="J191" i="32"/>
  <c r="H191" i="32"/>
  <c r="G191" i="32"/>
  <c r="D191" i="32"/>
  <c r="F191" i="32"/>
  <c r="E191" i="32"/>
  <c r="C191" i="32"/>
  <c r="J190" i="32"/>
  <c r="I190" i="32"/>
  <c r="F190" i="32"/>
  <c r="G190" i="32"/>
  <c r="C190" i="32"/>
  <c r="D190" i="32"/>
  <c r="E190" i="32"/>
  <c r="H190" i="32"/>
  <c r="F189" i="32"/>
  <c r="G189" i="32"/>
  <c r="H189" i="32"/>
  <c r="I189" i="32"/>
  <c r="J189" i="32"/>
  <c r="J188" i="32"/>
  <c r="C188" i="32"/>
  <c r="H188" i="32"/>
  <c r="I188" i="32"/>
  <c r="C187" i="32"/>
  <c r="D187" i="32"/>
  <c r="J187" i="32"/>
  <c r="C185" i="32"/>
  <c r="J185" i="32"/>
  <c r="F185" i="32"/>
  <c r="E185" i="32"/>
  <c r="D185" i="32"/>
  <c r="J184" i="32"/>
  <c r="C184" i="32"/>
  <c r="G184" i="32"/>
  <c r="F184" i="32"/>
  <c r="E184" i="32"/>
  <c r="D184" i="32"/>
  <c r="J183" i="32"/>
  <c r="H183" i="32"/>
  <c r="G183" i="32"/>
  <c r="F183" i="32"/>
  <c r="E183" i="32"/>
  <c r="D183" i="32"/>
  <c r="C183" i="32"/>
  <c r="J182" i="32"/>
  <c r="I182" i="32"/>
  <c r="H182" i="32"/>
  <c r="G182" i="32"/>
  <c r="F182" i="32"/>
  <c r="E182" i="32"/>
  <c r="D182" i="32"/>
  <c r="C182" i="32"/>
  <c r="J180" i="32"/>
  <c r="I180" i="32"/>
  <c r="H180" i="32"/>
  <c r="G180" i="32"/>
  <c r="H179" i="32"/>
  <c r="I179" i="32"/>
  <c r="J179" i="32"/>
  <c r="D179" i="32"/>
  <c r="C179" i="32"/>
  <c r="E178" i="32"/>
  <c r="D178" i="32"/>
  <c r="J176" i="32"/>
  <c r="G176" i="32"/>
  <c r="F176" i="32"/>
  <c r="E176" i="32"/>
  <c r="D176" i="32"/>
  <c r="C176" i="32"/>
  <c r="J175" i="32"/>
  <c r="D175" i="32"/>
  <c r="C175" i="32"/>
  <c r="H175" i="32"/>
  <c r="G175" i="32"/>
  <c r="F175" i="32"/>
  <c r="E175" i="32"/>
  <c r="J174" i="32"/>
  <c r="E174" i="32"/>
  <c r="C174" i="32"/>
  <c r="I174" i="32"/>
  <c r="D174" i="32"/>
  <c r="F174" i="32"/>
  <c r="G174" i="32"/>
  <c r="H174" i="32"/>
  <c r="J173" i="32"/>
  <c r="I173" i="32"/>
  <c r="H173" i="32"/>
  <c r="F173" i="32"/>
  <c r="E173" i="32"/>
  <c r="J172" i="32"/>
  <c r="C172" i="32"/>
  <c r="G172" i="32"/>
  <c r="H172" i="32"/>
  <c r="G171" i="32"/>
  <c r="D171" i="32"/>
  <c r="J170" i="32"/>
  <c r="I170" i="32"/>
  <c r="D170" i="32"/>
  <c r="C170" i="32"/>
  <c r="J167" i="32"/>
  <c r="G167" i="32"/>
  <c r="F167" i="32"/>
  <c r="E167" i="32"/>
  <c r="D167" i="32"/>
  <c r="C167" i="32"/>
  <c r="H167" i="32"/>
  <c r="J166" i="32"/>
  <c r="D166" i="32"/>
  <c r="I166" i="32"/>
  <c r="C166" i="32"/>
  <c r="E166" i="32"/>
  <c r="F166" i="32"/>
  <c r="G166" i="32"/>
  <c r="H166" i="32"/>
  <c r="C165" i="32"/>
  <c r="E165" i="32"/>
  <c r="F165" i="32"/>
  <c r="G165" i="32"/>
  <c r="I165" i="32"/>
  <c r="J165" i="32"/>
  <c r="D164" i="32"/>
  <c r="E164" i="32"/>
  <c r="F164" i="32"/>
  <c r="I164" i="32"/>
  <c r="J164" i="32"/>
  <c r="G164" i="32"/>
  <c r="E163" i="32"/>
  <c r="D163" i="32"/>
  <c r="F163" i="32"/>
  <c r="G163" i="32"/>
  <c r="I163" i="32"/>
  <c r="J163" i="32"/>
  <c r="F162" i="32"/>
  <c r="J162" i="32"/>
  <c r="D162" i="32"/>
  <c r="E162" i="32"/>
  <c r="G162" i="32"/>
  <c r="I162" i="32"/>
  <c r="G161" i="32"/>
  <c r="J161" i="32"/>
  <c r="I161" i="32"/>
  <c r="E161" i="32"/>
  <c r="D161" i="32"/>
  <c r="F161" i="32"/>
  <c r="H160" i="32"/>
  <c r="J160" i="32"/>
  <c r="I160" i="32"/>
  <c r="F160" i="32"/>
  <c r="I159" i="32"/>
  <c r="J159" i="32"/>
  <c r="H159" i="32"/>
  <c r="F159" i="32"/>
  <c r="J158" i="32"/>
  <c r="I158" i="32"/>
  <c r="H158" i="32"/>
  <c r="G158" i="32"/>
  <c r="F158" i="32"/>
  <c r="E158" i="32"/>
  <c r="D158" i="32"/>
  <c r="C158" i="32"/>
  <c r="C157" i="32"/>
  <c r="J157" i="32"/>
  <c r="I157" i="32"/>
  <c r="G157" i="32"/>
  <c r="D156" i="32"/>
  <c r="J156" i="32"/>
  <c r="I156" i="32"/>
  <c r="G156" i="32"/>
  <c r="E155" i="32"/>
  <c r="J155" i="32"/>
  <c r="I155" i="32"/>
  <c r="G155" i="32"/>
  <c r="F154" i="32"/>
  <c r="J154" i="32"/>
  <c r="I154" i="32"/>
  <c r="G154" i="32"/>
  <c r="G153" i="32"/>
  <c r="J153" i="32"/>
  <c r="I153" i="32"/>
  <c r="F153" i="32"/>
  <c r="H152" i="32"/>
  <c r="J152" i="32"/>
  <c r="I152" i="32"/>
  <c r="F152" i="32"/>
  <c r="I151" i="32"/>
  <c r="J151" i="32"/>
  <c r="H151" i="32"/>
  <c r="F151" i="32"/>
  <c r="J150" i="32"/>
  <c r="I150" i="32"/>
  <c r="H150" i="32"/>
  <c r="G150" i="32"/>
  <c r="F150" i="32"/>
  <c r="E150" i="32"/>
  <c r="D150" i="32"/>
  <c r="C150" i="32"/>
  <c r="C149" i="32"/>
  <c r="I149" i="32"/>
  <c r="J149" i="32"/>
  <c r="G149" i="32"/>
  <c r="D148" i="32"/>
  <c r="J148" i="32"/>
  <c r="I148" i="32"/>
  <c r="G148" i="32"/>
  <c r="E147" i="32"/>
  <c r="J147" i="32"/>
  <c r="I147" i="32"/>
  <c r="G147" i="32"/>
  <c r="F146" i="32"/>
  <c r="J146" i="32"/>
  <c r="I146" i="32"/>
  <c r="G146" i="32"/>
  <c r="G145" i="32"/>
  <c r="J145" i="32"/>
  <c r="F145" i="32"/>
  <c r="I145" i="32"/>
  <c r="H144" i="32"/>
  <c r="J144" i="32"/>
  <c r="F144" i="32"/>
  <c r="I144" i="32"/>
  <c r="I143" i="32"/>
  <c r="H143" i="32"/>
  <c r="F143" i="32"/>
  <c r="J143" i="32"/>
  <c r="J142" i="32"/>
  <c r="H142" i="32"/>
  <c r="G142" i="32"/>
  <c r="F142" i="32"/>
  <c r="E142" i="32"/>
  <c r="I142" i="32"/>
  <c r="C142" i="32"/>
  <c r="D142" i="32"/>
  <c r="C141" i="32"/>
  <c r="J141" i="32"/>
  <c r="I141" i="32"/>
  <c r="G141" i="32"/>
  <c r="D140" i="32"/>
  <c r="J140" i="32"/>
  <c r="G140" i="32"/>
  <c r="I140" i="32"/>
  <c r="E139" i="32"/>
  <c r="J139" i="32"/>
  <c r="I139" i="32"/>
  <c r="G139" i="32"/>
  <c r="F138" i="32"/>
  <c r="J138" i="32"/>
  <c r="I138" i="32"/>
  <c r="G138" i="32"/>
  <c r="G137" i="32"/>
  <c r="J137" i="32"/>
  <c r="I137" i="32"/>
  <c r="F137" i="32"/>
  <c r="H136" i="32"/>
  <c r="F136" i="32"/>
  <c r="J136" i="32"/>
  <c r="I136" i="32"/>
  <c r="I135" i="32"/>
  <c r="H135" i="32"/>
  <c r="J135" i="32"/>
  <c r="F135" i="32"/>
  <c r="J134" i="32"/>
  <c r="G134" i="32"/>
  <c r="H134" i="32"/>
  <c r="C134" i="32"/>
  <c r="D134" i="32"/>
  <c r="E134" i="32"/>
  <c r="F134" i="32"/>
  <c r="I134" i="32"/>
  <c r="C133" i="32"/>
  <c r="J133" i="32"/>
  <c r="G133" i="32"/>
  <c r="I133" i="32"/>
  <c r="D132" i="32"/>
  <c r="G132" i="32"/>
  <c r="I132" i="32"/>
  <c r="J132" i="32"/>
  <c r="E131" i="32"/>
  <c r="G131" i="32"/>
  <c r="I131" i="32"/>
  <c r="J131" i="32"/>
  <c r="F130" i="32"/>
  <c r="G130" i="32"/>
  <c r="I130" i="32"/>
  <c r="J130" i="32"/>
  <c r="G129" i="32"/>
  <c r="F129" i="32"/>
  <c r="I129" i="32"/>
  <c r="J129" i="32"/>
  <c r="H128" i="32"/>
  <c r="J128" i="32"/>
  <c r="F128" i="32"/>
  <c r="I128" i="32"/>
  <c r="I127" i="32"/>
  <c r="H127" i="32"/>
  <c r="F127" i="32"/>
  <c r="J127" i="32"/>
  <c r="J126" i="32"/>
  <c r="C126" i="32"/>
  <c r="D126" i="32"/>
  <c r="E126" i="32"/>
  <c r="F126" i="32"/>
  <c r="G126" i="32"/>
  <c r="H126" i="32"/>
  <c r="I126" i="32"/>
  <c r="C125" i="32"/>
  <c r="I125" i="32"/>
  <c r="G125" i="32"/>
  <c r="J125" i="32"/>
  <c r="D124" i="32"/>
  <c r="G124" i="32"/>
  <c r="I124" i="32"/>
  <c r="J124" i="32"/>
  <c r="E123" i="32"/>
  <c r="J123" i="32"/>
  <c r="G123" i="32"/>
  <c r="I123" i="32"/>
  <c r="F122" i="32"/>
  <c r="J122" i="32"/>
  <c r="I122" i="32"/>
  <c r="G122" i="32"/>
  <c r="G121" i="32"/>
  <c r="I121" i="32"/>
  <c r="F121" i="32"/>
  <c r="J121" i="32"/>
  <c r="H120" i="32"/>
  <c r="J120" i="32"/>
  <c r="I120" i="32"/>
  <c r="F120" i="32"/>
  <c r="I119" i="32"/>
  <c r="H119" i="32"/>
  <c r="F119" i="32"/>
  <c r="J119" i="32"/>
  <c r="J118" i="32"/>
  <c r="F118" i="32"/>
  <c r="E118" i="32"/>
  <c r="D118" i="32"/>
  <c r="C118" i="32"/>
  <c r="I118" i="32"/>
  <c r="H118" i="32"/>
  <c r="G118" i="32"/>
  <c r="C117" i="32"/>
  <c r="G117" i="32"/>
  <c r="I117" i="32"/>
  <c r="J117" i="32"/>
  <c r="D116" i="32"/>
  <c r="I116" i="32"/>
  <c r="G116" i="32"/>
  <c r="J116" i="32"/>
  <c r="F115" i="32"/>
  <c r="G115" i="32"/>
  <c r="I115" i="32"/>
  <c r="G114" i="32"/>
  <c r="H114" i="32"/>
  <c r="F113" i="32"/>
  <c r="I113" i="32"/>
  <c r="H113" i="32"/>
  <c r="G113" i="32"/>
  <c r="D113" i="32"/>
  <c r="C113" i="32"/>
  <c r="E113" i="32"/>
  <c r="J111" i="32"/>
  <c r="G111" i="32"/>
  <c r="F111" i="32"/>
  <c r="E111" i="32"/>
  <c r="C111" i="32"/>
  <c r="J110" i="32"/>
  <c r="D110" i="32"/>
  <c r="C110" i="32"/>
  <c r="F110" i="32"/>
  <c r="G110" i="32"/>
  <c r="H110" i="32"/>
  <c r="J109" i="32"/>
  <c r="H109" i="32"/>
  <c r="G109" i="32"/>
  <c r="I109" i="32"/>
  <c r="F109" i="32"/>
  <c r="E109" i="32"/>
  <c r="D109" i="32"/>
  <c r="C109" i="32"/>
  <c r="E108" i="32"/>
  <c r="I108" i="32"/>
  <c r="F108" i="32"/>
  <c r="H108" i="32"/>
  <c r="F107" i="32"/>
  <c r="I107" i="32"/>
  <c r="G107" i="32"/>
  <c r="G106" i="32"/>
  <c r="H106" i="32"/>
  <c r="F105" i="32"/>
  <c r="H105" i="32"/>
  <c r="G105" i="32"/>
  <c r="E105" i="32"/>
  <c r="I105" i="32"/>
  <c r="D105" i="32"/>
  <c r="C105" i="32"/>
  <c r="J103" i="32"/>
  <c r="C103" i="32"/>
  <c r="E103" i="32"/>
  <c r="F103" i="32"/>
  <c r="G103" i="32"/>
  <c r="J102" i="32"/>
  <c r="F102" i="32"/>
  <c r="C102" i="32"/>
  <c r="H102" i="32"/>
  <c r="G102" i="32"/>
  <c r="D102" i="32"/>
  <c r="J101" i="32"/>
  <c r="C101" i="32"/>
  <c r="D101" i="32"/>
  <c r="E101" i="32"/>
  <c r="G101" i="32"/>
  <c r="H101" i="32"/>
  <c r="F101" i="32"/>
  <c r="I101" i="32"/>
  <c r="D85" i="32"/>
  <c r="J85" i="32"/>
  <c r="D80" i="32"/>
  <c r="G80" i="32"/>
  <c r="G64" i="32"/>
  <c r="C64" i="32"/>
  <c r="D183" i="56"/>
  <c r="C183" i="56"/>
  <c r="C200" i="56"/>
  <c r="J200" i="56"/>
  <c r="I200" i="56"/>
  <c r="H200" i="56"/>
  <c r="G200" i="56"/>
  <c r="E200" i="56"/>
  <c r="F200" i="56"/>
  <c r="D200" i="56"/>
  <c r="C199" i="56"/>
  <c r="E199" i="56"/>
  <c r="D199" i="56"/>
  <c r="F199" i="56"/>
  <c r="G199" i="56"/>
  <c r="H199" i="56"/>
  <c r="I199" i="56"/>
  <c r="J199" i="56"/>
  <c r="C198" i="56"/>
  <c r="D198" i="56"/>
  <c r="E198" i="56"/>
  <c r="F198" i="56"/>
  <c r="G198" i="56"/>
  <c r="H198" i="56"/>
  <c r="I198" i="56"/>
  <c r="J198" i="56"/>
  <c r="I197" i="56"/>
  <c r="J197" i="56"/>
  <c r="H197" i="56"/>
  <c r="G197" i="56"/>
  <c r="E197" i="56"/>
  <c r="D197" i="56"/>
  <c r="C197" i="56"/>
  <c r="F197" i="56"/>
  <c r="D196" i="56"/>
  <c r="C196" i="56"/>
  <c r="E196" i="56"/>
  <c r="G196" i="56"/>
  <c r="I196" i="56"/>
  <c r="H196" i="56"/>
  <c r="F196" i="56"/>
  <c r="J196" i="56"/>
  <c r="G195" i="56"/>
  <c r="I195" i="56"/>
  <c r="H195" i="56"/>
  <c r="F195" i="56"/>
  <c r="E195" i="56"/>
  <c r="J195" i="56"/>
  <c r="C195" i="56"/>
  <c r="D195" i="56"/>
  <c r="E194" i="56"/>
  <c r="D194" i="56"/>
  <c r="C194" i="56"/>
  <c r="J194" i="56"/>
  <c r="I194" i="56"/>
  <c r="H194" i="56"/>
  <c r="G194" i="56"/>
  <c r="F194" i="56"/>
  <c r="D193" i="56"/>
  <c r="J193" i="56"/>
  <c r="F193" i="56"/>
  <c r="C193" i="56"/>
  <c r="G193" i="56"/>
  <c r="H193" i="56"/>
  <c r="I193" i="56"/>
  <c r="E193" i="56"/>
  <c r="D192" i="56"/>
  <c r="F192" i="56"/>
  <c r="C192" i="56"/>
  <c r="H192" i="56"/>
  <c r="E192" i="56"/>
  <c r="G192" i="56"/>
  <c r="J192" i="56"/>
  <c r="I192" i="56"/>
  <c r="J191" i="56"/>
  <c r="F191" i="56"/>
  <c r="C191" i="56"/>
  <c r="H191" i="56"/>
  <c r="E191" i="56"/>
  <c r="I191" i="56"/>
  <c r="D191" i="56"/>
  <c r="G191" i="56"/>
  <c r="J190" i="56"/>
  <c r="F190" i="56"/>
  <c r="C190" i="56"/>
  <c r="G190" i="56"/>
  <c r="E190" i="56"/>
  <c r="D190" i="56"/>
  <c r="I190" i="56"/>
  <c r="H190" i="56"/>
  <c r="J189" i="56"/>
  <c r="G189" i="56"/>
  <c r="F189" i="56"/>
  <c r="D189" i="56"/>
  <c r="E189" i="56"/>
  <c r="I189" i="56"/>
  <c r="C189" i="56"/>
  <c r="H189" i="56"/>
  <c r="J188" i="56"/>
  <c r="G188" i="56"/>
  <c r="E188" i="56"/>
  <c r="I188" i="56"/>
  <c r="H188" i="56"/>
  <c r="D188" i="56"/>
  <c r="F188" i="56"/>
  <c r="C188" i="56"/>
  <c r="E187" i="56"/>
  <c r="C187" i="56"/>
  <c r="G187" i="56"/>
  <c r="I187" i="56"/>
  <c r="F187" i="56"/>
  <c r="H187" i="56"/>
  <c r="D187" i="56"/>
  <c r="J187" i="56"/>
  <c r="G186" i="56"/>
  <c r="H186" i="56"/>
  <c r="I186" i="56"/>
  <c r="E186" i="56"/>
  <c r="D186" i="56"/>
  <c r="J186" i="56"/>
  <c r="C186" i="56"/>
  <c r="F186" i="56"/>
  <c r="J185" i="56"/>
  <c r="H185" i="56"/>
  <c r="F185" i="56"/>
  <c r="D185" i="56"/>
  <c r="C185" i="56"/>
  <c r="E185" i="56"/>
  <c r="G185" i="56"/>
  <c r="I185" i="56"/>
  <c r="I184" i="56"/>
  <c r="D184" i="56"/>
  <c r="G184" i="56"/>
  <c r="H184" i="56"/>
  <c r="J184" i="56"/>
  <c r="C184" i="56"/>
  <c r="E184" i="56"/>
  <c r="F184" i="56"/>
  <c r="E183" i="56"/>
  <c r="F183" i="56"/>
  <c r="H183" i="56"/>
  <c r="J183" i="56"/>
  <c r="G183" i="56"/>
  <c r="I183" i="56"/>
  <c r="E182" i="56"/>
  <c r="F182" i="56"/>
  <c r="G182" i="56"/>
  <c r="I182" i="56"/>
  <c r="J182" i="56"/>
  <c r="H182" i="56"/>
  <c r="C182" i="56"/>
  <c r="D182" i="56"/>
  <c r="C181" i="56"/>
  <c r="D181" i="56"/>
  <c r="E181" i="56"/>
  <c r="F181" i="56"/>
  <c r="G181" i="56"/>
  <c r="H181" i="56"/>
  <c r="I181" i="56"/>
  <c r="J181" i="56"/>
  <c r="C180" i="56"/>
  <c r="I180" i="56"/>
  <c r="J180" i="56"/>
  <c r="F180" i="56"/>
  <c r="D180" i="56"/>
  <c r="E180" i="56"/>
  <c r="G180" i="56"/>
  <c r="H180" i="56"/>
  <c r="J179" i="56"/>
  <c r="E179" i="56"/>
  <c r="F179" i="56"/>
  <c r="G179" i="56"/>
  <c r="H179" i="56"/>
  <c r="I179" i="56"/>
  <c r="D179" i="56"/>
  <c r="C179" i="56"/>
  <c r="I178" i="56"/>
  <c r="D178" i="56"/>
  <c r="G178" i="56"/>
  <c r="H178" i="56"/>
  <c r="E178" i="56"/>
  <c r="J178" i="56"/>
  <c r="C178" i="56"/>
  <c r="F178" i="56"/>
  <c r="F177" i="56"/>
  <c r="E177" i="56"/>
  <c r="D177" i="56"/>
  <c r="C177" i="56"/>
  <c r="J177" i="56"/>
  <c r="I177" i="56"/>
  <c r="H177" i="56"/>
  <c r="G177" i="56"/>
  <c r="H176" i="56"/>
  <c r="J176" i="56"/>
  <c r="I176" i="56"/>
  <c r="G176" i="56"/>
  <c r="F176" i="56"/>
  <c r="E176" i="56"/>
  <c r="D176" i="56"/>
  <c r="C176" i="56"/>
  <c r="J175" i="56"/>
  <c r="I175" i="56"/>
  <c r="H175" i="56"/>
  <c r="G175" i="56"/>
  <c r="F175" i="56"/>
  <c r="E175" i="56"/>
  <c r="D175" i="56"/>
  <c r="C175" i="56"/>
  <c r="C174" i="56"/>
  <c r="D174" i="56"/>
  <c r="G174" i="56"/>
  <c r="F174" i="56"/>
  <c r="E174" i="56"/>
  <c r="J174" i="56"/>
  <c r="I174" i="56"/>
  <c r="H174" i="56"/>
  <c r="I173" i="56"/>
  <c r="J173" i="56"/>
  <c r="D173" i="56"/>
  <c r="E173" i="56"/>
  <c r="F173" i="56"/>
  <c r="G173" i="56"/>
  <c r="H173" i="56"/>
  <c r="C173" i="56"/>
  <c r="G172" i="56"/>
  <c r="H172" i="56"/>
  <c r="I172" i="56"/>
  <c r="J172" i="56"/>
  <c r="C172" i="56"/>
  <c r="D172" i="56"/>
  <c r="E172" i="56"/>
  <c r="F172" i="56"/>
  <c r="H171" i="56"/>
  <c r="C171" i="56"/>
  <c r="D171" i="56"/>
  <c r="E171" i="56"/>
  <c r="F171" i="56"/>
  <c r="J171" i="56"/>
  <c r="I171" i="56"/>
  <c r="G171" i="56"/>
  <c r="H170" i="56"/>
  <c r="G170" i="56"/>
  <c r="F170" i="56"/>
  <c r="E170" i="56"/>
  <c r="D170" i="56"/>
  <c r="C170" i="56"/>
  <c r="I170" i="56"/>
  <c r="J170" i="56"/>
  <c r="I169" i="56"/>
  <c r="J169" i="56"/>
  <c r="E169" i="56"/>
  <c r="D169" i="56"/>
  <c r="C169" i="56"/>
  <c r="F169" i="56"/>
  <c r="G169" i="56"/>
  <c r="H169" i="56"/>
  <c r="G168" i="56"/>
  <c r="J168" i="56"/>
  <c r="C168" i="56"/>
  <c r="D168" i="56"/>
  <c r="E168" i="56"/>
  <c r="F168" i="56"/>
  <c r="H168" i="56"/>
  <c r="I168" i="56"/>
  <c r="C167" i="56"/>
  <c r="D167" i="56"/>
  <c r="F167" i="56"/>
  <c r="H167" i="56"/>
  <c r="I167" i="56"/>
  <c r="J167" i="56"/>
  <c r="E167" i="56"/>
  <c r="G167" i="56"/>
  <c r="H166" i="56"/>
  <c r="J166" i="56"/>
  <c r="D166" i="56"/>
  <c r="E166" i="56"/>
  <c r="G166" i="56"/>
  <c r="I166" i="56"/>
  <c r="F166" i="56"/>
  <c r="C166" i="56"/>
  <c r="H165" i="56"/>
  <c r="G165" i="56"/>
  <c r="E165" i="56"/>
  <c r="I165" i="56"/>
  <c r="F165" i="56"/>
  <c r="D165" i="56"/>
  <c r="J165" i="56"/>
  <c r="C165" i="56"/>
  <c r="G164" i="56"/>
  <c r="I164" i="56"/>
  <c r="E164" i="56"/>
  <c r="D164" i="56"/>
  <c r="F164" i="56"/>
  <c r="H164" i="56"/>
  <c r="J164" i="56"/>
  <c r="C164" i="56"/>
  <c r="F163" i="56"/>
  <c r="C163" i="56"/>
  <c r="E163" i="56"/>
  <c r="H163" i="56"/>
  <c r="J163" i="56"/>
  <c r="G163" i="56"/>
  <c r="D163" i="56"/>
  <c r="I163" i="56"/>
  <c r="F162" i="56"/>
  <c r="D162" i="56"/>
  <c r="G162" i="56"/>
  <c r="I162" i="56"/>
  <c r="E162" i="56"/>
  <c r="H162" i="56"/>
  <c r="J162" i="56"/>
  <c r="C162" i="56"/>
  <c r="D161" i="56"/>
  <c r="H161" i="56"/>
  <c r="G161" i="56"/>
  <c r="C161" i="56"/>
  <c r="J161" i="56"/>
  <c r="F161" i="56"/>
  <c r="I161" i="56"/>
  <c r="E161" i="56"/>
  <c r="I160" i="56"/>
  <c r="E160" i="56"/>
  <c r="G160" i="56"/>
  <c r="D160" i="56"/>
  <c r="J160" i="56"/>
  <c r="H160" i="56"/>
  <c r="F160" i="56"/>
  <c r="C160" i="56"/>
  <c r="E159" i="56"/>
  <c r="C159" i="56"/>
  <c r="G159" i="56"/>
  <c r="J159" i="56"/>
  <c r="H159" i="56"/>
  <c r="I159" i="56"/>
  <c r="F159" i="56"/>
  <c r="D159" i="56"/>
  <c r="H158" i="56"/>
  <c r="F158" i="56"/>
  <c r="J158" i="56"/>
  <c r="I158" i="56"/>
  <c r="G158" i="56"/>
  <c r="D158" i="56"/>
  <c r="E158" i="56"/>
  <c r="C158" i="56"/>
  <c r="D157" i="56"/>
  <c r="J157" i="56"/>
  <c r="F157" i="56"/>
  <c r="H157" i="56"/>
  <c r="C157" i="56"/>
  <c r="I157" i="56"/>
  <c r="G157" i="56"/>
  <c r="E157" i="56"/>
  <c r="H156" i="56"/>
  <c r="I156" i="56"/>
  <c r="G156" i="56"/>
  <c r="E156" i="56"/>
  <c r="C156" i="56"/>
  <c r="J156" i="56"/>
  <c r="F156" i="56"/>
  <c r="D156" i="56"/>
  <c r="C155" i="56"/>
  <c r="D155" i="56"/>
  <c r="H155" i="56"/>
  <c r="J155" i="56"/>
  <c r="G155" i="56"/>
  <c r="E155" i="56"/>
  <c r="I155" i="56"/>
  <c r="F155" i="56"/>
  <c r="D154" i="56"/>
  <c r="J154" i="56"/>
  <c r="I154" i="56"/>
  <c r="H154" i="56"/>
  <c r="F154" i="56"/>
  <c r="E154" i="56"/>
  <c r="C154" i="56"/>
  <c r="H153" i="56"/>
  <c r="G153" i="56"/>
  <c r="E153" i="56"/>
  <c r="D153" i="56"/>
  <c r="J153" i="56"/>
  <c r="I153" i="56"/>
  <c r="F153" i="56"/>
  <c r="C153" i="56"/>
  <c r="G152" i="56"/>
  <c r="C152" i="56"/>
  <c r="D152" i="56"/>
  <c r="J152" i="56"/>
  <c r="I152" i="56"/>
  <c r="H152" i="56"/>
  <c r="F152" i="56"/>
  <c r="E152" i="56"/>
  <c r="H151" i="56"/>
  <c r="C151" i="56"/>
  <c r="E151" i="56"/>
  <c r="J151" i="56"/>
  <c r="I151" i="56"/>
  <c r="G151" i="56"/>
  <c r="F151" i="56"/>
  <c r="D151" i="56"/>
  <c r="D150" i="56"/>
  <c r="J150" i="56"/>
  <c r="I150" i="56"/>
  <c r="H150" i="56"/>
  <c r="F150" i="56"/>
  <c r="E150" i="56"/>
  <c r="G150" i="56"/>
  <c r="C150" i="56"/>
  <c r="G149" i="56"/>
  <c r="E149" i="56"/>
  <c r="C149" i="56"/>
  <c r="J149" i="56"/>
  <c r="I149" i="56"/>
  <c r="H149" i="56"/>
  <c r="F149" i="56"/>
  <c r="D149" i="56"/>
  <c r="J148" i="56"/>
  <c r="H148" i="56"/>
  <c r="F148" i="56"/>
  <c r="D148" i="56"/>
  <c r="I148" i="56"/>
  <c r="C148" i="56"/>
  <c r="G148" i="56"/>
  <c r="E148" i="56"/>
  <c r="D147" i="56"/>
  <c r="F147" i="56"/>
  <c r="I147" i="56"/>
  <c r="J147" i="56"/>
  <c r="G147" i="56"/>
  <c r="E147" i="56"/>
  <c r="C147" i="56"/>
  <c r="J146" i="56"/>
  <c r="G146" i="56"/>
  <c r="D146" i="56"/>
  <c r="F146" i="56"/>
  <c r="H146" i="56"/>
  <c r="I146" i="56"/>
  <c r="C146" i="56"/>
  <c r="E146" i="56"/>
  <c r="I145" i="56"/>
  <c r="E145" i="56"/>
  <c r="D145" i="56"/>
  <c r="F145" i="56"/>
  <c r="G145" i="56"/>
  <c r="H145" i="56"/>
  <c r="J145" i="56"/>
  <c r="C145" i="56"/>
  <c r="G144" i="56"/>
  <c r="D144" i="56"/>
  <c r="E144" i="56"/>
  <c r="J144" i="56"/>
  <c r="C144" i="56"/>
  <c r="I144" i="56"/>
  <c r="H144" i="56"/>
  <c r="F144" i="56"/>
  <c r="E143" i="56"/>
  <c r="D143" i="56"/>
  <c r="C143" i="56"/>
  <c r="F143" i="56"/>
  <c r="G143" i="56"/>
  <c r="J143" i="56"/>
  <c r="H143" i="56"/>
  <c r="I143" i="56"/>
  <c r="E142" i="56"/>
  <c r="I142" i="56"/>
  <c r="J142" i="56"/>
  <c r="H142" i="56"/>
  <c r="F142" i="56"/>
  <c r="C142" i="56"/>
  <c r="G142" i="56"/>
  <c r="D142" i="56"/>
  <c r="I141" i="56"/>
  <c r="J141" i="56"/>
  <c r="G141" i="56"/>
  <c r="D141" i="56"/>
  <c r="E141" i="56"/>
  <c r="C141" i="56"/>
  <c r="F141" i="56"/>
  <c r="H141" i="56"/>
  <c r="E140" i="56"/>
  <c r="D140" i="56"/>
  <c r="G140" i="56"/>
  <c r="I140" i="56"/>
  <c r="F140" i="56"/>
  <c r="C140" i="56"/>
  <c r="J140" i="56"/>
  <c r="H140" i="56"/>
  <c r="D139" i="56"/>
  <c r="I139" i="56"/>
  <c r="H139" i="56"/>
  <c r="F139" i="56"/>
  <c r="C139" i="56"/>
  <c r="J139" i="56"/>
  <c r="E139" i="56"/>
  <c r="G139" i="56"/>
  <c r="F138" i="56"/>
  <c r="J138" i="56"/>
  <c r="H138" i="56"/>
  <c r="C138" i="56"/>
  <c r="E138" i="56"/>
  <c r="G138" i="56"/>
  <c r="I138" i="56"/>
  <c r="D138" i="56"/>
  <c r="I137" i="56"/>
  <c r="D137" i="56"/>
  <c r="F137" i="56"/>
  <c r="H137" i="56"/>
  <c r="G137" i="56"/>
  <c r="J137" i="56"/>
  <c r="C137" i="56"/>
  <c r="E137" i="56"/>
  <c r="D136" i="56"/>
  <c r="I136" i="56"/>
  <c r="H136" i="56"/>
  <c r="F136" i="56"/>
  <c r="C136" i="56"/>
  <c r="E136" i="56"/>
  <c r="G136" i="56"/>
  <c r="J136" i="56"/>
  <c r="J135" i="56"/>
  <c r="H135" i="56"/>
  <c r="F135" i="56"/>
  <c r="C135" i="56"/>
  <c r="D135" i="56"/>
  <c r="G135" i="56"/>
  <c r="I135" i="56"/>
  <c r="E135" i="56"/>
  <c r="E134" i="56"/>
  <c r="C134" i="56"/>
  <c r="I134" i="56"/>
  <c r="G134" i="56"/>
  <c r="F134" i="56"/>
  <c r="D134" i="56"/>
  <c r="J134" i="56"/>
  <c r="H134" i="56"/>
  <c r="I133" i="56"/>
  <c r="G133" i="56"/>
  <c r="J133" i="56"/>
  <c r="D133" i="56"/>
  <c r="F133" i="56"/>
  <c r="C133" i="56"/>
  <c r="H133" i="56"/>
  <c r="E133" i="56"/>
  <c r="J132" i="56"/>
  <c r="D132" i="56"/>
  <c r="H132" i="56"/>
  <c r="E132" i="56"/>
  <c r="G132" i="56"/>
  <c r="C132" i="56"/>
  <c r="F132" i="56"/>
  <c r="I132" i="56"/>
  <c r="D131" i="56"/>
  <c r="G131" i="56"/>
  <c r="I131" i="56"/>
  <c r="J131" i="56"/>
  <c r="H131" i="56"/>
  <c r="F131" i="56"/>
  <c r="E131" i="56"/>
  <c r="F130" i="56"/>
  <c r="H130" i="56"/>
  <c r="J130" i="56"/>
  <c r="D130" i="56"/>
  <c r="G130" i="56"/>
  <c r="E130" i="56"/>
  <c r="C130" i="56"/>
  <c r="I130" i="56"/>
  <c r="J129" i="56"/>
  <c r="E129" i="56"/>
  <c r="I129" i="56"/>
  <c r="G129" i="56"/>
  <c r="D129" i="56"/>
  <c r="H129" i="56"/>
  <c r="C129" i="56"/>
  <c r="F129" i="56"/>
  <c r="H128" i="56"/>
  <c r="D128" i="56"/>
  <c r="C128" i="56"/>
  <c r="F128" i="56"/>
  <c r="J128" i="56"/>
  <c r="I128" i="56"/>
  <c r="G128" i="56"/>
  <c r="E128" i="56"/>
  <c r="I127" i="56"/>
  <c r="D127" i="56"/>
  <c r="J127" i="56"/>
  <c r="G127" i="56"/>
  <c r="F127" i="56"/>
  <c r="C127" i="56"/>
  <c r="E127" i="56"/>
  <c r="H127" i="56"/>
  <c r="G126" i="56"/>
  <c r="D126" i="56"/>
  <c r="J126" i="56"/>
  <c r="I126" i="56"/>
  <c r="F126" i="56"/>
  <c r="E126" i="56"/>
  <c r="H126" i="56"/>
  <c r="C126" i="56"/>
  <c r="E125" i="56"/>
  <c r="D125" i="56"/>
  <c r="G125" i="56"/>
  <c r="J125" i="56"/>
  <c r="I125" i="56"/>
  <c r="F125" i="56"/>
  <c r="H125" i="56"/>
  <c r="C125" i="56"/>
  <c r="E124" i="56"/>
  <c r="I124" i="56"/>
  <c r="F124" i="56"/>
  <c r="C124" i="56"/>
  <c r="H124" i="56"/>
  <c r="J124" i="56"/>
  <c r="D124" i="56"/>
  <c r="G124" i="56"/>
  <c r="E123" i="56"/>
  <c r="C123" i="56"/>
  <c r="I123" i="56"/>
  <c r="G123" i="56"/>
  <c r="H123" i="56"/>
  <c r="F123" i="56"/>
  <c r="D123" i="56"/>
  <c r="J123" i="56"/>
  <c r="H122" i="56"/>
  <c r="I122" i="56"/>
  <c r="C122" i="56"/>
  <c r="D122" i="56"/>
  <c r="F122" i="56"/>
  <c r="J122" i="56"/>
  <c r="G122" i="56"/>
  <c r="E122" i="56"/>
  <c r="J121" i="56"/>
  <c r="H121" i="56"/>
  <c r="F121" i="56"/>
  <c r="C121" i="56"/>
  <c r="E121" i="56"/>
  <c r="G121" i="56"/>
  <c r="I121" i="56"/>
  <c r="D121" i="56"/>
  <c r="I120" i="56"/>
  <c r="G120" i="56"/>
  <c r="E120" i="56"/>
  <c r="D120" i="56"/>
  <c r="F120" i="56"/>
  <c r="J120" i="56"/>
  <c r="H120" i="56"/>
  <c r="C120" i="56"/>
  <c r="C119" i="56"/>
  <c r="H119" i="56"/>
  <c r="I119" i="56"/>
  <c r="J119" i="56"/>
  <c r="G119" i="56"/>
  <c r="E119" i="56"/>
  <c r="D119" i="56"/>
  <c r="F119" i="56"/>
  <c r="I118" i="56"/>
  <c r="D118" i="56"/>
  <c r="E118" i="56"/>
  <c r="G118" i="56"/>
  <c r="F118" i="56"/>
  <c r="J118" i="56"/>
  <c r="C118" i="56"/>
  <c r="H118" i="56"/>
  <c r="C117" i="56"/>
  <c r="F117" i="56"/>
  <c r="H117" i="56"/>
  <c r="J117" i="56"/>
  <c r="D117" i="56"/>
  <c r="I117" i="56"/>
  <c r="G117" i="56"/>
  <c r="E117" i="56"/>
  <c r="I116" i="56"/>
  <c r="H116" i="56"/>
  <c r="E116" i="56"/>
  <c r="G116" i="56"/>
  <c r="J116" i="56"/>
  <c r="C116" i="56"/>
  <c r="F116" i="56"/>
  <c r="D116" i="56"/>
  <c r="E115" i="56"/>
  <c r="G115" i="56"/>
  <c r="J115" i="56"/>
  <c r="F115" i="56"/>
  <c r="D115" i="56"/>
  <c r="H115" i="56"/>
  <c r="I115" i="56"/>
  <c r="C115" i="56"/>
  <c r="G114" i="56"/>
  <c r="D114" i="56"/>
  <c r="H114" i="56"/>
  <c r="E114" i="56"/>
  <c r="I114" i="56"/>
  <c r="F114" i="56"/>
  <c r="C114" i="56"/>
  <c r="J114" i="56"/>
  <c r="J113" i="56"/>
  <c r="G113" i="56"/>
  <c r="D113" i="56"/>
  <c r="C113" i="56"/>
  <c r="H113" i="56"/>
  <c r="F113" i="56"/>
  <c r="I113" i="56"/>
  <c r="E113" i="56"/>
  <c r="H112" i="56"/>
  <c r="D112" i="56"/>
  <c r="C112" i="56"/>
  <c r="G112" i="56"/>
  <c r="I112" i="56"/>
  <c r="J112" i="56"/>
  <c r="F112" i="56"/>
  <c r="I111" i="56"/>
  <c r="E111" i="56"/>
  <c r="J111" i="56"/>
  <c r="H111" i="56"/>
  <c r="F111" i="56"/>
  <c r="C111" i="56"/>
  <c r="D111" i="56"/>
  <c r="D110" i="56"/>
  <c r="H110" i="56"/>
  <c r="I110" i="56"/>
  <c r="J110" i="56"/>
  <c r="C110" i="56"/>
  <c r="G110" i="56"/>
  <c r="F110" i="56"/>
  <c r="E110" i="56"/>
  <c r="I109" i="56"/>
  <c r="H109" i="56"/>
  <c r="G109" i="56"/>
  <c r="E109" i="56"/>
  <c r="C109" i="56"/>
  <c r="J109" i="56"/>
  <c r="D109" i="56"/>
  <c r="F109" i="56"/>
  <c r="C108" i="56"/>
  <c r="F108" i="56"/>
  <c r="I108" i="56"/>
  <c r="J108" i="56"/>
  <c r="D108" i="56"/>
  <c r="E108" i="56"/>
  <c r="G108" i="56"/>
  <c r="H108" i="56"/>
  <c r="G107" i="56"/>
  <c r="H107" i="56"/>
  <c r="D107" i="56"/>
  <c r="I107" i="56"/>
  <c r="J107" i="56"/>
  <c r="C107" i="56"/>
  <c r="E107" i="56"/>
  <c r="F107" i="56"/>
  <c r="J106" i="56"/>
  <c r="I106" i="56"/>
  <c r="H106" i="56"/>
  <c r="G106" i="56"/>
  <c r="E106" i="56"/>
  <c r="C106" i="56"/>
  <c r="D106" i="56"/>
  <c r="F106" i="56"/>
  <c r="J105" i="56"/>
  <c r="G105" i="56"/>
  <c r="E105" i="56"/>
  <c r="C105" i="56"/>
  <c r="H105" i="56"/>
  <c r="D105" i="56"/>
  <c r="F105" i="56"/>
  <c r="I105" i="56"/>
  <c r="J104" i="56"/>
  <c r="H104" i="56"/>
  <c r="E104" i="56"/>
  <c r="D104" i="56"/>
  <c r="F104" i="56"/>
  <c r="C104" i="56"/>
  <c r="G104" i="56"/>
  <c r="I104" i="56"/>
  <c r="J103" i="56"/>
  <c r="H103" i="56"/>
  <c r="E103" i="56"/>
  <c r="F103" i="56"/>
  <c r="C103" i="56"/>
  <c r="D103" i="56"/>
  <c r="G103" i="56"/>
  <c r="I103" i="56"/>
  <c r="I102" i="56"/>
  <c r="D102" i="56"/>
  <c r="H102" i="56"/>
  <c r="F102" i="56"/>
  <c r="J102" i="56"/>
  <c r="E102" i="56"/>
  <c r="G102" i="56"/>
  <c r="C102" i="56"/>
  <c r="J101" i="56"/>
  <c r="F101" i="56"/>
  <c r="C101" i="56"/>
  <c r="I101" i="56"/>
  <c r="E101" i="56"/>
  <c r="G101" i="56"/>
  <c r="D101" i="56"/>
  <c r="H101" i="56"/>
  <c r="J100" i="56"/>
  <c r="I100" i="56"/>
  <c r="G100" i="56"/>
  <c r="F100" i="56"/>
  <c r="D100" i="56"/>
  <c r="H100" i="56"/>
  <c r="E100" i="56"/>
  <c r="F99" i="56"/>
  <c r="D99" i="56"/>
  <c r="C99" i="56"/>
  <c r="I99" i="56"/>
  <c r="G99" i="56"/>
  <c r="E99" i="56"/>
  <c r="H99" i="56"/>
  <c r="J99" i="56"/>
  <c r="I98" i="56"/>
  <c r="H98" i="56"/>
  <c r="C98" i="56"/>
  <c r="G98" i="56"/>
  <c r="F98" i="56"/>
  <c r="D98" i="56"/>
  <c r="J98" i="56"/>
  <c r="E98" i="56"/>
  <c r="F97" i="56"/>
  <c r="C97" i="56"/>
  <c r="J97" i="56"/>
  <c r="H97" i="56"/>
  <c r="G97" i="56"/>
  <c r="E97" i="56"/>
  <c r="I97" i="56"/>
  <c r="D97" i="56"/>
  <c r="C96" i="56"/>
  <c r="G96" i="56"/>
  <c r="I96" i="56"/>
  <c r="E96" i="56"/>
  <c r="D96" i="56"/>
  <c r="F96" i="56"/>
  <c r="H96" i="56"/>
  <c r="J96" i="56"/>
  <c r="G95" i="56"/>
  <c r="J95" i="56"/>
  <c r="D95" i="56"/>
  <c r="E95" i="56"/>
  <c r="I95" i="56"/>
  <c r="F95" i="56"/>
  <c r="H95" i="56"/>
  <c r="C95" i="56"/>
  <c r="D94" i="56"/>
  <c r="G94" i="56"/>
  <c r="J94" i="56"/>
  <c r="E94" i="56"/>
  <c r="I94" i="56"/>
  <c r="H94" i="56"/>
  <c r="F94" i="56"/>
  <c r="C94" i="56"/>
  <c r="J93" i="56"/>
  <c r="H93" i="56"/>
  <c r="G93" i="56"/>
  <c r="C93" i="56"/>
  <c r="E93" i="56"/>
  <c r="D93" i="56"/>
  <c r="F93" i="56"/>
  <c r="I93" i="56"/>
  <c r="I92" i="56"/>
  <c r="G92" i="56"/>
  <c r="H92" i="56"/>
  <c r="J92" i="56"/>
  <c r="E92" i="56"/>
  <c r="C92" i="56"/>
  <c r="D92" i="56"/>
  <c r="F92" i="56"/>
  <c r="G91" i="56"/>
  <c r="D91" i="56"/>
  <c r="I91" i="56"/>
  <c r="E91" i="56"/>
  <c r="C91" i="56"/>
  <c r="F91" i="56"/>
  <c r="H91" i="56"/>
  <c r="J91" i="56"/>
  <c r="F90" i="56"/>
  <c r="D90" i="56"/>
  <c r="J90" i="56"/>
  <c r="C90" i="56"/>
  <c r="E90" i="56"/>
  <c r="G90" i="56"/>
  <c r="I90" i="56"/>
  <c r="H90" i="56"/>
  <c r="J89" i="56"/>
  <c r="I89" i="56"/>
  <c r="G89" i="56"/>
  <c r="E89" i="56"/>
  <c r="F89" i="56"/>
  <c r="D89" i="56"/>
  <c r="H89" i="56"/>
  <c r="C89" i="56"/>
  <c r="G88" i="56"/>
  <c r="D88" i="56"/>
  <c r="I88" i="56"/>
  <c r="E88" i="56"/>
  <c r="J88" i="56"/>
  <c r="H88" i="56"/>
  <c r="F88" i="56"/>
  <c r="C88" i="56"/>
  <c r="F87" i="56"/>
  <c r="C87" i="56"/>
  <c r="I87" i="56"/>
  <c r="H87" i="56"/>
  <c r="E87" i="56"/>
  <c r="J87" i="56"/>
  <c r="G87" i="56"/>
  <c r="D87" i="56"/>
  <c r="J86" i="56"/>
  <c r="E86" i="56"/>
  <c r="I86" i="56"/>
  <c r="G86" i="56"/>
  <c r="D86" i="56"/>
  <c r="F86" i="56"/>
  <c r="H86" i="56"/>
  <c r="C86" i="56"/>
  <c r="D85" i="56"/>
  <c r="J85" i="56"/>
  <c r="H85" i="56"/>
  <c r="F85" i="56"/>
  <c r="C85" i="56"/>
  <c r="I85" i="56"/>
  <c r="G85" i="56"/>
  <c r="E85" i="56"/>
  <c r="F84" i="56"/>
  <c r="I84" i="56"/>
  <c r="H84" i="56"/>
  <c r="E84" i="56"/>
  <c r="D84" i="56"/>
  <c r="C84" i="56"/>
  <c r="G84" i="56"/>
  <c r="J84" i="56"/>
  <c r="E83" i="56"/>
  <c r="J83" i="56"/>
  <c r="F83" i="56"/>
  <c r="C83" i="56"/>
  <c r="H83" i="56"/>
  <c r="D83" i="56"/>
  <c r="G83" i="56"/>
  <c r="I83" i="56"/>
  <c r="J82" i="56"/>
  <c r="C82" i="56"/>
  <c r="E82" i="56"/>
  <c r="G82" i="56"/>
  <c r="I82" i="56"/>
  <c r="H82" i="56"/>
  <c r="F82" i="56"/>
  <c r="D82" i="56"/>
  <c r="I81" i="56"/>
  <c r="G81" i="56"/>
  <c r="D81" i="56"/>
  <c r="J81" i="56"/>
  <c r="C81" i="56"/>
  <c r="E81" i="56"/>
  <c r="H81" i="56"/>
  <c r="F81" i="56"/>
  <c r="I80" i="56"/>
  <c r="G80" i="56"/>
  <c r="C80" i="56"/>
  <c r="E80" i="56"/>
  <c r="J80" i="56"/>
  <c r="D80" i="56"/>
  <c r="F80" i="56"/>
  <c r="H80" i="56"/>
  <c r="C79" i="56"/>
  <c r="H79" i="56"/>
  <c r="E79" i="56"/>
  <c r="F79" i="56"/>
  <c r="D79" i="56"/>
  <c r="G79" i="56"/>
  <c r="I79" i="56"/>
  <c r="J79" i="56"/>
  <c r="H78" i="56"/>
  <c r="D78" i="56"/>
  <c r="C78" i="56"/>
  <c r="E78" i="56"/>
  <c r="F78" i="56"/>
  <c r="I78" i="56"/>
  <c r="G78" i="56"/>
  <c r="J78" i="56"/>
  <c r="H77" i="56"/>
  <c r="C77" i="56"/>
  <c r="G77" i="56"/>
  <c r="J77" i="56"/>
  <c r="F77" i="56"/>
  <c r="E77" i="56"/>
  <c r="D77" i="56"/>
  <c r="I77" i="56"/>
  <c r="D76" i="56"/>
  <c r="E76" i="56"/>
  <c r="I76" i="56"/>
  <c r="F76" i="56"/>
  <c r="H76" i="56"/>
  <c r="G76" i="56"/>
  <c r="C76" i="56"/>
  <c r="J76" i="56"/>
  <c r="E75" i="56"/>
  <c r="I75" i="56"/>
  <c r="G75" i="56"/>
  <c r="F75" i="56"/>
  <c r="C75" i="56"/>
  <c r="H75" i="56"/>
  <c r="J75" i="56"/>
  <c r="D75" i="56"/>
  <c r="J74" i="56"/>
  <c r="G74" i="56"/>
  <c r="D74" i="56"/>
  <c r="F74" i="56"/>
  <c r="C74" i="56"/>
  <c r="E74" i="56"/>
  <c r="H74" i="56"/>
  <c r="I74" i="56"/>
  <c r="I73" i="56"/>
  <c r="C73" i="56"/>
  <c r="F73" i="56"/>
  <c r="J73" i="56"/>
  <c r="G73" i="56"/>
  <c r="H73" i="56"/>
  <c r="D73" i="56"/>
  <c r="E73" i="56"/>
  <c r="H72" i="56"/>
  <c r="I72" i="56"/>
  <c r="G72" i="56"/>
  <c r="J72" i="56"/>
  <c r="E72" i="56"/>
  <c r="C72" i="56"/>
  <c r="F72" i="56"/>
  <c r="D72" i="56"/>
  <c r="C71" i="56"/>
  <c r="E71" i="56"/>
  <c r="H71" i="56"/>
  <c r="D71" i="56"/>
  <c r="J71" i="56"/>
  <c r="I71" i="56"/>
  <c r="G71" i="56"/>
  <c r="F71" i="56"/>
  <c r="F70" i="56"/>
  <c r="J70" i="56"/>
  <c r="H70" i="56"/>
  <c r="I70" i="56"/>
  <c r="G70" i="56"/>
  <c r="E70" i="56"/>
  <c r="D70" i="56"/>
  <c r="C70" i="56"/>
  <c r="F69" i="56"/>
  <c r="J69" i="56"/>
  <c r="I69" i="56"/>
  <c r="H69" i="56"/>
  <c r="D69" i="56"/>
  <c r="G69" i="56"/>
  <c r="E69" i="56"/>
  <c r="C69" i="56"/>
  <c r="J68" i="56"/>
  <c r="F68" i="56"/>
  <c r="E68" i="56"/>
  <c r="H68" i="56"/>
  <c r="C68" i="56"/>
  <c r="D68" i="56"/>
  <c r="G68" i="56"/>
  <c r="I68" i="56"/>
  <c r="E67" i="56"/>
  <c r="C67" i="56"/>
  <c r="D67" i="56"/>
  <c r="G67" i="56"/>
  <c r="I67" i="56"/>
  <c r="F67" i="56"/>
  <c r="H67" i="56"/>
  <c r="J67" i="56"/>
  <c r="E66" i="56"/>
  <c r="I66" i="56"/>
  <c r="D66" i="56"/>
  <c r="C66" i="56"/>
  <c r="F66" i="56"/>
  <c r="J66" i="56"/>
  <c r="H66" i="56"/>
  <c r="G66" i="56"/>
  <c r="H65" i="56"/>
  <c r="E65" i="56"/>
  <c r="J65" i="56"/>
  <c r="D65" i="56"/>
  <c r="G65" i="56"/>
  <c r="I65" i="56"/>
  <c r="F65" i="56"/>
  <c r="C65" i="56"/>
  <c r="F64" i="56"/>
  <c r="G64" i="56"/>
  <c r="H64" i="56"/>
  <c r="E64" i="56"/>
  <c r="C64" i="56"/>
  <c r="J64" i="56"/>
  <c r="I64" i="56"/>
  <c r="D64" i="56"/>
  <c r="G63" i="56"/>
  <c r="I63" i="56"/>
  <c r="D63" i="56"/>
  <c r="F63" i="56"/>
  <c r="E63" i="56"/>
  <c r="J63" i="56"/>
  <c r="H63" i="56"/>
  <c r="I62" i="56"/>
  <c r="J62" i="56"/>
  <c r="F62" i="56"/>
  <c r="D62" i="56"/>
  <c r="C62" i="56"/>
  <c r="E62" i="56"/>
  <c r="G62" i="56"/>
  <c r="H62" i="56"/>
  <c r="J61" i="56"/>
  <c r="C61" i="56"/>
  <c r="E61" i="56"/>
  <c r="G61" i="56"/>
  <c r="I61" i="56"/>
  <c r="H61" i="56"/>
  <c r="F61" i="56"/>
  <c r="D61" i="56"/>
  <c r="D60" i="56"/>
  <c r="F60" i="56"/>
  <c r="H60" i="56"/>
  <c r="J60" i="56"/>
  <c r="C60" i="56"/>
  <c r="E60" i="56"/>
  <c r="G60" i="56"/>
  <c r="I60" i="56"/>
  <c r="E59" i="56"/>
  <c r="G59" i="56"/>
  <c r="F59" i="56"/>
  <c r="C59" i="56"/>
  <c r="H59" i="56"/>
  <c r="I59" i="56"/>
  <c r="J59" i="56"/>
  <c r="D59" i="56"/>
  <c r="D58" i="56"/>
  <c r="F58" i="56"/>
  <c r="C58" i="56"/>
  <c r="J58" i="56"/>
  <c r="H58" i="56"/>
  <c r="G58" i="56"/>
  <c r="E58" i="56"/>
  <c r="I58" i="56"/>
  <c r="J57" i="56"/>
  <c r="H57" i="56"/>
  <c r="E57" i="56"/>
  <c r="D57" i="56"/>
  <c r="C57" i="56"/>
  <c r="F57" i="56"/>
  <c r="G57" i="56"/>
  <c r="I57" i="56"/>
  <c r="G56" i="56"/>
  <c r="E56" i="56"/>
  <c r="I56" i="56"/>
  <c r="H56" i="56"/>
  <c r="F56" i="56"/>
  <c r="C56" i="56"/>
  <c r="D56" i="56"/>
  <c r="J56" i="56"/>
  <c r="F55" i="56"/>
  <c r="C55" i="56"/>
  <c r="D55" i="56"/>
  <c r="H55" i="56"/>
  <c r="E55" i="56"/>
  <c r="G55" i="56"/>
  <c r="I55" i="56"/>
  <c r="J55" i="56"/>
  <c r="F54" i="56"/>
  <c r="D54" i="56"/>
  <c r="G54" i="56"/>
  <c r="H54" i="56"/>
  <c r="E54" i="56"/>
  <c r="C54" i="56"/>
  <c r="J54" i="56"/>
  <c r="I54" i="56"/>
  <c r="G53" i="56"/>
  <c r="J53" i="56"/>
  <c r="F53" i="56"/>
  <c r="D53" i="56"/>
  <c r="E53" i="56"/>
  <c r="H53" i="56"/>
  <c r="I53" i="56"/>
  <c r="C53" i="56"/>
  <c r="H52" i="56"/>
  <c r="C52" i="56"/>
  <c r="E52" i="56"/>
  <c r="D52" i="56"/>
  <c r="F52" i="56"/>
  <c r="J52" i="56"/>
  <c r="I52" i="56"/>
  <c r="G52" i="56"/>
  <c r="G51" i="56"/>
  <c r="C51" i="56"/>
  <c r="I51" i="56"/>
  <c r="J51" i="56"/>
  <c r="H51" i="56"/>
  <c r="E51" i="56"/>
  <c r="D51" i="56"/>
  <c r="F51" i="56"/>
  <c r="J50" i="56"/>
  <c r="H50" i="56"/>
  <c r="G50" i="56"/>
  <c r="I50" i="56"/>
  <c r="F50" i="56"/>
  <c r="C50" i="56"/>
  <c r="E50" i="56"/>
  <c r="D50" i="56"/>
  <c r="J49" i="56"/>
  <c r="H49" i="56"/>
  <c r="D49" i="56"/>
  <c r="C49" i="56"/>
  <c r="I49" i="56"/>
  <c r="G49" i="56"/>
  <c r="E49" i="56"/>
  <c r="F48" i="56"/>
  <c r="H48" i="56"/>
  <c r="I48" i="56"/>
  <c r="G48" i="56"/>
  <c r="J48" i="56"/>
  <c r="D48" i="56"/>
  <c r="E48" i="56"/>
  <c r="C48" i="56"/>
  <c r="J47" i="56"/>
  <c r="F47" i="56"/>
  <c r="C47" i="56"/>
  <c r="D47" i="56"/>
  <c r="H47" i="56"/>
  <c r="G47" i="56"/>
  <c r="I47" i="56"/>
  <c r="E47" i="56"/>
  <c r="C46" i="56"/>
  <c r="E46" i="56"/>
  <c r="I46" i="56"/>
  <c r="G46" i="56"/>
  <c r="D46" i="56"/>
  <c r="F46" i="56"/>
  <c r="H46" i="56"/>
  <c r="J46" i="56"/>
  <c r="E45" i="56"/>
  <c r="F45" i="56"/>
  <c r="D45" i="56"/>
  <c r="G45" i="56"/>
  <c r="H45" i="56"/>
  <c r="I45" i="56"/>
  <c r="J45" i="56"/>
  <c r="C44" i="56"/>
  <c r="J44" i="56"/>
  <c r="E44" i="56"/>
  <c r="G44" i="56"/>
  <c r="I44" i="56"/>
  <c r="H44" i="56"/>
  <c r="F44" i="56"/>
  <c r="D44" i="56"/>
  <c r="I43" i="56"/>
  <c r="F43" i="56"/>
  <c r="D43" i="56"/>
  <c r="G43" i="56"/>
  <c r="J43" i="56"/>
  <c r="C43" i="56"/>
  <c r="E43" i="56"/>
  <c r="H43" i="56"/>
  <c r="C42" i="56"/>
  <c r="E42" i="56"/>
  <c r="G42" i="56"/>
  <c r="I42" i="56"/>
  <c r="F42" i="56"/>
  <c r="H42" i="56"/>
  <c r="J42" i="56"/>
  <c r="D42" i="56"/>
  <c r="C41" i="56"/>
  <c r="F41" i="56"/>
  <c r="J41" i="56"/>
  <c r="I41" i="56"/>
  <c r="H41" i="56"/>
  <c r="G41" i="56"/>
  <c r="E41" i="56"/>
  <c r="D41" i="56"/>
  <c r="I40" i="56"/>
  <c r="E40" i="56"/>
  <c r="C40" i="56"/>
  <c r="G40" i="56"/>
  <c r="F40" i="56"/>
  <c r="J40" i="56"/>
  <c r="D40" i="56"/>
  <c r="H40" i="56"/>
  <c r="I39" i="56"/>
  <c r="F39" i="56"/>
  <c r="D39" i="56"/>
  <c r="G39" i="56"/>
  <c r="J39" i="56"/>
  <c r="H39" i="56"/>
  <c r="C39" i="56"/>
  <c r="E39" i="56"/>
  <c r="J38" i="56"/>
  <c r="G38" i="56"/>
  <c r="E38" i="56"/>
  <c r="C38" i="56"/>
  <c r="I38" i="56"/>
  <c r="H38" i="56"/>
  <c r="F38" i="56"/>
  <c r="D38" i="56"/>
  <c r="J37" i="56"/>
  <c r="G37" i="56"/>
  <c r="D37" i="56"/>
  <c r="E37" i="56"/>
  <c r="I37" i="56"/>
  <c r="F37" i="56"/>
  <c r="H37" i="56"/>
  <c r="C37" i="56"/>
  <c r="I36" i="56"/>
  <c r="F36" i="56"/>
  <c r="E36" i="56"/>
  <c r="D36" i="56"/>
  <c r="H36" i="56"/>
  <c r="J36" i="56"/>
  <c r="C36" i="56"/>
  <c r="G36" i="56"/>
  <c r="D35" i="56"/>
  <c r="C35" i="56"/>
  <c r="E35" i="56"/>
  <c r="G35" i="56"/>
  <c r="I35" i="56"/>
  <c r="F35" i="56"/>
  <c r="H35" i="56"/>
  <c r="J35" i="56"/>
  <c r="J34" i="56"/>
  <c r="H34" i="56"/>
  <c r="E34" i="56"/>
  <c r="D34" i="56"/>
  <c r="I34" i="56"/>
  <c r="F34" i="56"/>
  <c r="C34" i="56"/>
  <c r="G34" i="56"/>
  <c r="G33" i="56"/>
  <c r="C33" i="56"/>
  <c r="I33" i="56"/>
  <c r="E33" i="56"/>
  <c r="J33" i="56"/>
  <c r="H33" i="56"/>
  <c r="F33" i="56"/>
  <c r="D33" i="56"/>
  <c r="I32" i="56"/>
  <c r="E32" i="56"/>
  <c r="C32" i="56"/>
  <c r="J32" i="56"/>
  <c r="H32" i="56"/>
  <c r="F32" i="56"/>
  <c r="G32" i="56"/>
  <c r="D32" i="56"/>
  <c r="J31" i="56"/>
  <c r="G31" i="56"/>
  <c r="D31" i="56"/>
  <c r="I31" i="56"/>
  <c r="H31" i="56"/>
  <c r="F31" i="56"/>
  <c r="C31" i="56"/>
  <c r="E31" i="56"/>
  <c r="I30" i="56"/>
  <c r="H30" i="56"/>
  <c r="E30" i="56"/>
  <c r="C30" i="56"/>
  <c r="J30" i="56"/>
  <c r="G30" i="56"/>
  <c r="D30" i="56"/>
  <c r="F30" i="56"/>
  <c r="J29" i="56"/>
  <c r="C29" i="56"/>
  <c r="E29" i="56"/>
  <c r="H29" i="56"/>
  <c r="I29" i="56"/>
  <c r="G29" i="56"/>
  <c r="F29" i="56"/>
  <c r="D29" i="56"/>
  <c r="C28" i="56"/>
  <c r="F28" i="56"/>
  <c r="J28" i="56"/>
  <c r="H28" i="56"/>
  <c r="I28" i="56"/>
  <c r="E28" i="56"/>
  <c r="G28" i="56"/>
  <c r="D28" i="56"/>
  <c r="G27" i="56"/>
  <c r="F27" i="56"/>
  <c r="J27" i="56"/>
  <c r="H27" i="56"/>
  <c r="E27" i="56"/>
  <c r="C27" i="56"/>
  <c r="D27" i="56"/>
  <c r="I27" i="56"/>
  <c r="E26" i="56"/>
  <c r="C26" i="56"/>
  <c r="H26" i="56"/>
  <c r="J26" i="56"/>
  <c r="I26" i="56"/>
  <c r="F26" i="56"/>
  <c r="D26" i="56"/>
  <c r="G26" i="56"/>
  <c r="J25" i="56"/>
  <c r="F25" i="56"/>
  <c r="C25" i="56"/>
  <c r="E25" i="56"/>
  <c r="G25" i="56"/>
  <c r="I25" i="56"/>
  <c r="D25" i="56"/>
  <c r="H25" i="56"/>
  <c r="G24" i="56"/>
  <c r="H24" i="56"/>
  <c r="F24" i="56"/>
  <c r="C24" i="56"/>
  <c r="J24" i="56"/>
  <c r="E24" i="56"/>
  <c r="I24" i="56"/>
  <c r="D24" i="56"/>
  <c r="I23" i="56"/>
  <c r="E23" i="56"/>
  <c r="D23" i="56"/>
  <c r="G23" i="56"/>
  <c r="C23" i="56"/>
  <c r="J23" i="56"/>
  <c r="H23" i="56"/>
  <c r="F23" i="56"/>
  <c r="E22" i="56"/>
  <c r="C22" i="56"/>
  <c r="I22" i="56"/>
  <c r="F22" i="56"/>
  <c r="H22" i="56"/>
  <c r="D22" i="56"/>
  <c r="G22" i="56"/>
  <c r="J22" i="56"/>
  <c r="I21" i="56"/>
  <c r="D21" i="56"/>
  <c r="G21" i="56"/>
  <c r="F21" i="56"/>
  <c r="J21" i="56"/>
  <c r="H21" i="56"/>
  <c r="E21" i="56"/>
  <c r="C21" i="56"/>
  <c r="J20" i="56"/>
  <c r="G20" i="56"/>
  <c r="F20" i="56"/>
  <c r="C20" i="56"/>
  <c r="I20" i="56"/>
  <c r="H20" i="56"/>
  <c r="E20" i="56"/>
  <c r="D20" i="56"/>
  <c r="G19" i="56"/>
  <c r="J19" i="56"/>
  <c r="E19" i="56"/>
  <c r="D19" i="56"/>
  <c r="C19" i="56"/>
  <c r="F19" i="56"/>
  <c r="H19" i="56"/>
  <c r="I19" i="56"/>
  <c r="E18" i="56"/>
  <c r="H18" i="56"/>
  <c r="I18" i="56"/>
  <c r="F18" i="56"/>
  <c r="C18" i="56"/>
  <c r="D18" i="56"/>
  <c r="J18" i="56"/>
  <c r="G18" i="56"/>
  <c r="C17" i="56"/>
  <c r="I17" i="56"/>
  <c r="G17" i="56"/>
  <c r="F17" i="56"/>
  <c r="J17" i="56"/>
  <c r="D17" i="56"/>
  <c r="H17" i="56"/>
  <c r="E17" i="56"/>
  <c r="H16" i="56"/>
  <c r="E16" i="56"/>
  <c r="D16" i="56"/>
  <c r="G16" i="56"/>
  <c r="J16" i="56"/>
  <c r="F16" i="56"/>
  <c r="C16" i="56"/>
  <c r="I16" i="56"/>
  <c r="E15" i="56"/>
  <c r="I15" i="56"/>
  <c r="G15" i="56"/>
  <c r="D15" i="56"/>
  <c r="C15" i="56"/>
  <c r="F15" i="56"/>
  <c r="H15" i="56"/>
  <c r="J15" i="56"/>
  <c r="C14" i="56"/>
  <c r="I14" i="56"/>
  <c r="G14" i="56"/>
  <c r="D14" i="56"/>
  <c r="H14" i="56"/>
  <c r="F14" i="56"/>
  <c r="E14" i="56"/>
  <c r="J14" i="56"/>
  <c r="G13" i="56"/>
  <c r="D13" i="56"/>
  <c r="J13" i="56"/>
  <c r="F13" i="56"/>
  <c r="I13" i="56"/>
  <c r="E13" i="56"/>
  <c r="C13" i="56"/>
  <c r="H13" i="56"/>
  <c r="H12" i="56"/>
  <c r="E12" i="56"/>
  <c r="F12" i="56"/>
  <c r="C12" i="56"/>
  <c r="I12" i="56"/>
  <c r="G12" i="56"/>
  <c r="D12" i="56"/>
  <c r="J12" i="56"/>
  <c r="E11" i="56"/>
  <c r="G11" i="56"/>
  <c r="I11" i="56"/>
  <c r="J11" i="56"/>
  <c r="H11" i="56"/>
  <c r="F11" i="56"/>
  <c r="C11" i="56"/>
  <c r="D11" i="56"/>
  <c r="G10" i="56"/>
  <c r="D10" i="56"/>
  <c r="I10" i="56"/>
  <c r="E10" i="56"/>
  <c r="H10" i="56"/>
  <c r="C10" i="56"/>
  <c r="F10" i="56"/>
  <c r="J10" i="56"/>
  <c r="D9" i="56"/>
  <c r="F9" i="56"/>
  <c r="I9" i="56"/>
  <c r="H9" i="56"/>
  <c r="E9" i="56"/>
  <c r="C9" i="56"/>
  <c r="G9" i="56"/>
  <c r="J9" i="56"/>
  <c r="G8" i="56"/>
  <c r="C8" i="56"/>
  <c r="F8" i="56"/>
  <c r="D8" i="56"/>
  <c r="I8" i="56"/>
  <c r="E8" i="56"/>
  <c r="J8" i="56"/>
  <c r="H8" i="56"/>
  <c r="J41" i="53"/>
  <c r="C33" i="53"/>
  <c r="C41" i="53"/>
  <c r="J42" i="53"/>
  <c r="F109" i="53"/>
  <c r="E109" i="53"/>
  <c r="J109" i="53"/>
  <c r="I109" i="53"/>
  <c r="D109" i="53"/>
  <c r="F114" i="53"/>
  <c r="D122" i="53"/>
  <c r="F129" i="53"/>
  <c r="H129" i="53"/>
  <c r="G129" i="53"/>
  <c r="E129" i="53"/>
  <c r="D129" i="53"/>
  <c r="J129" i="53"/>
  <c r="I129" i="53"/>
  <c r="C129" i="53"/>
  <c r="I134" i="53"/>
  <c r="G134" i="53"/>
  <c r="F134" i="53"/>
  <c r="E134" i="53"/>
  <c r="D134" i="53"/>
  <c r="J134" i="53"/>
  <c r="H134" i="53"/>
  <c r="C134" i="53"/>
  <c r="E138" i="53"/>
  <c r="H138" i="53"/>
  <c r="G138" i="53"/>
  <c r="F138" i="53"/>
  <c r="D138" i="53"/>
  <c r="J138" i="53"/>
  <c r="I138" i="53"/>
  <c r="C138" i="53"/>
  <c r="H143" i="53"/>
  <c r="G143" i="53"/>
  <c r="F143" i="53"/>
  <c r="E143" i="53"/>
  <c r="D143" i="53"/>
  <c r="J143" i="53"/>
  <c r="I143" i="53"/>
  <c r="C143" i="53"/>
  <c r="D147" i="53"/>
  <c r="H147" i="53"/>
  <c r="G147" i="53"/>
  <c r="F147" i="53"/>
  <c r="E147" i="53"/>
  <c r="J147" i="53"/>
  <c r="I147" i="53"/>
  <c r="C147" i="53"/>
  <c r="G152" i="53"/>
  <c r="H152" i="53"/>
  <c r="F152" i="53"/>
  <c r="E152" i="53"/>
  <c r="D152" i="53"/>
  <c r="J152" i="53"/>
  <c r="I152" i="53"/>
  <c r="C152" i="53"/>
  <c r="C156" i="53"/>
  <c r="H156" i="53"/>
  <c r="G156" i="53"/>
  <c r="F156" i="53"/>
  <c r="E156" i="53"/>
  <c r="J156" i="53"/>
  <c r="I156" i="53"/>
  <c r="D156" i="53"/>
  <c r="F161" i="53"/>
  <c r="H161" i="53"/>
  <c r="G161" i="53"/>
  <c r="E161" i="53"/>
  <c r="D161" i="53"/>
  <c r="J161" i="53"/>
  <c r="I161" i="53"/>
  <c r="C161" i="53"/>
  <c r="C166" i="53"/>
  <c r="I166" i="53"/>
  <c r="H166" i="53"/>
  <c r="G166" i="53"/>
  <c r="F166" i="53"/>
  <c r="E166" i="53"/>
  <c r="J166" i="53"/>
  <c r="D166" i="53"/>
  <c r="J9" i="53"/>
  <c r="F179" i="53"/>
  <c r="E179" i="53"/>
  <c r="D179" i="53"/>
  <c r="I179" i="53"/>
  <c r="H179" i="53"/>
  <c r="G179" i="53"/>
  <c r="C179" i="53"/>
  <c r="C124" i="53"/>
  <c r="H124" i="53"/>
  <c r="G124" i="53"/>
  <c r="F124" i="53"/>
  <c r="J124" i="53"/>
  <c r="I124" i="53"/>
  <c r="E124" i="53"/>
  <c r="C25" i="53"/>
  <c r="J26" i="53"/>
  <c r="J19" i="53"/>
  <c r="D25" i="53"/>
  <c r="D41" i="53"/>
  <c r="J43" i="53"/>
  <c r="E130" i="53"/>
  <c r="H130" i="53"/>
  <c r="G130" i="53"/>
  <c r="F130" i="53"/>
  <c r="D130" i="53"/>
  <c r="I130" i="53"/>
  <c r="G144" i="53"/>
  <c r="H144" i="53"/>
  <c r="F144" i="53"/>
  <c r="E144" i="53"/>
  <c r="D144" i="53"/>
  <c r="I144" i="53"/>
  <c r="E9" i="53"/>
  <c r="D10" i="53"/>
  <c r="C11" i="53"/>
  <c r="E17" i="53"/>
  <c r="D18" i="53"/>
  <c r="C19" i="53"/>
  <c r="J20" i="53"/>
  <c r="E25" i="53"/>
  <c r="D26" i="53"/>
  <c r="C27" i="53"/>
  <c r="J28" i="53"/>
  <c r="I29" i="53"/>
  <c r="E33" i="53"/>
  <c r="D34" i="53"/>
  <c r="C35" i="53"/>
  <c r="J36" i="53"/>
  <c r="I37" i="53"/>
  <c r="E41" i="53"/>
  <c r="D42" i="53"/>
  <c r="C43" i="53"/>
  <c r="J44" i="53"/>
  <c r="I45" i="53"/>
  <c r="G109" i="53"/>
  <c r="C126" i="53"/>
  <c r="C130" i="53"/>
  <c r="C135" i="53"/>
  <c r="C139" i="53"/>
  <c r="C144" i="53"/>
  <c r="D148" i="53"/>
  <c r="C153" i="53"/>
  <c r="C158" i="53"/>
  <c r="C162" i="53"/>
  <c r="D43" i="53"/>
  <c r="I106" i="53"/>
  <c r="H106" i="53"/>
  <c r="E106" i="53"/>
  <c r="D106" i="53"/>
  <c r="H109" i="53"/>
  <c r="J130" i="53"/>
  <c r="J144" i="53"/>
  <c r="C174" i="53"/>
  <c r="I174" i="53"/>
  <c r="G174" i="53"/>
  <c r="F174" i="53"/>
  <c r="E174" i="53"/>
  <c r="D174" i="53"/>
  <c r="J174" i="53"/>
  <c r="H174" i="53"/>
  <c r="J17" i="53"/>
  <c r="J25" i="53"/>
  <c r="H194" i="53"/>
  <c r="G194" i="53"/>
  <c r="F194" i="53"/>
  <c r="E194" i="53"/>
  <c r="J194" i="53"/>
  <c r="I194" i="53"/>
  <c r="D194" i="53"/>
  <c r="C194" i="53"/>
  <c r="C9" i="53"/>
  <c r="D9" i="53"/>
  <c r="D11" i="53"/>
  <c r="F17" i="53"/>
  <c r="D27" i="53"/>
  <c r="C28" i="53"/>
  <c r="J29" i="53"/>
  <c r="F41" i="53"/>
  <c r="H8" i="53"/>
  <c r="G9" i="53"/>
  <c r="F10" i="53"/>
  <c r="E11" i="53"/>
  <c r="D12" i="53"/>
  <c r="C13" i="53"/>
  <c r="J14" i="53"/>
  <c r="H16" i="53"/>
  <c r="G17" i="53"/>
  <c r="F18" i="53"/>
  <c r="E19" i="53"/>
  <c r="D20" i="53"/>
  <c r="C21" i="53"/>
  <c r="J22" i="53"/>
  <c r="H24" i="53"/>
  <c r="G25" i="53"/>
  <c r="F26" i="53"/>
  <c r="E27" i="53"/>
  <c r="D28" i="53"/>
  <c r="C29" i="53"/>
  <c r="J30" i="53"/>
  <c r="H32" i="53"/>
  <c r="G33" i="53"/>
  <c r="F34" i="53"/>
  <c r="E35" i="53"/>
  <c r="D36" i="53"/>
  <c r="C37" i="53"/>
  <c r="J38" i="53"/>
  <c r="H40" i="53"/>
  <c r="G41" i="53"/>
  <c r="F42" i="53"/>
  <c r="E43" i="53"/>
  <c r="D44" i="53"/>
  <c r="C45" i="53"/>
  <c r="C87" i="53"/>
  <c r="D87" i="53"/>
  <c r="C106" i="53"/>
  <c r="H127" i="53"/>
  <c r="G127" i="53"/>
  <c r="F127" i="53"/>
  <c r="E127" i="53"/>
  <c r="D127" i="53"/>
  <c r="J127" i="53"/>
  <c r="I127" i="53"/>
  <c r="C127" i="53"/>
  <c r="D131" i="53"/>
  <c r="H131" i="53"/>
  <c r="G131" i="53"/>
  <c r="F131" i="53"/>
  <c r="E131" i="53"/>
  <c r="J131" i="53"/>
  <c r="I131" i="53"/>
  <c r="C131" i="53"/>
  <c r="G136" i="53"/>
  <c r="H136" i="53"/>
  <c r="F136" i="53"/>
  <c r="E136" i="53"/>
  <c r="D136" i="53"/>
  <c r="J136" i="53"/>
  <c r="I136" i="53"/>
  <c r="C136" i="53"/>
  <c r="C140" i="53"/>
  <c r="H140" i="53"/>
  <c r="G140" i="53"/>
  <c r="F140" i="53"/>
  <c r="E140" i="53"/>
  <c r="J140" i="53"/>
  <c r="I140" i="53"/>
  <c r="D140" i="53"/>
  <c r="F145" i="53"/>
  <c r="H145" i="53"/>
  <c r="G145" i="53"/>
  <c r="E145" i="53"/>
  <c r="D145" i="53"/>
  <c r="J145" i="53"/>
  <c r="I145" i="53"/>
  <c r="C145" i="53"/>
  <c r="I150" i="53"/>
  <c r="G150" i="53"/>
  <c r="F150" i="53"/>
  <c r="E150" i="53"/>
  <c r="D150" i="53"/>
  <c r="J150" i="53"/>
  <c r="H150" i="53"/>
  <c r="C150" i="53"/>
  <c r="E154" i="53"/>
  <c r="H154" i="53"/>
  <c r="G154" i="53"/>
  <c r="F154" i="53"/>
  <c r="D154" i="53"/>
  <c r="J154" i="53"/>
  <c r="I154" i="53"/>
  <c r="C154" i="53"/>
  <c r="H159" i="53"/>
  <c r="G159" i="53"/>
  <c r="F159" i="53"/>
  <c r="E159" i="53"/>
  <c r="D159" i="53"/>
  <c r="J159" i="53"/>
  <c r="I159" i="53"/>
  <c r="C159" i="53"/>
  <c r="D163" i="53"/>
  <c r="H163" i="53"/>
  <c r="G163" i="53"/>
  <c r="F163" i="53"/>
  <c r="E163" i="53"/>
  <c r="J163" i="53"/>
  <c r="I163" i="53"/>
  <c r="C163" i="53"/>
  <c r="E122" i="53"/>
  <c r="H122" i="53"/>
  <c r="G122" i="53"/>
  <c r="F122" i="53"/>
  <c r="J122" i="53"/>
  <c r="C122" i="53"/>
  <c r="J10" i="53"/>
  <c r="C10" i="53"/>
  <c r="J11" i="53"/>
  <c r="D17" i="53"/>
  <c r="J27" i="53"/>
  <c r="D33" i="53"/>
  <c r="I158" i="53"/>
  <c r="G158" i="53"/>
  <c r="F158" i="53"/>
  <c r="E158" i="53"/>
  <c r="D158" i="53"/>
  <c r="H158" i="53"/>
  <c r="E26" i="53"/>
  <c r="F33" i="53"/>
  <c r="E34" i="53"/>
  <c r="D35" i="53"/>
  <c r="J37" i="53"/>
  <c r="J45" i="53"/>
  <c r="I8" i="53"/>
  <c r="H9" i="53"/>
  <c r="G10" i="53"/>
  <c r="F11" i="53"/>
  <c r="E12" i="53"/>
  <c r="D13" i="53"/>
  <c r="I16" i="53"/>
  <c r="H17" i="53"/>
  <c r="G18" i="53"/>
  <c r="F19" i="53"/>
  <c r="E20" i="53"/>
  <c r="D21" i="53"/>
  <c r="I24" i="53"/>
  <c r="H25" i="53"/>
  <c r="G26" i="53"/>
  <c r="F27" i="53"/>
  <c r="E28" i="53"/>
  <c r="D29" i="53"/>
  <c r="I32" i="53"/>
  <c r="H33" i="53"/>
  <c r="G34" i="53"/>
  <c r="F35" i="53"/>
  <c r="E36" i="53"/>
  <c r="D37" i="53"/>
  <c r="I40" i="53"/>
  <c r="H41" i="53"/>
  <c r="G42" i="53"/>
  <c r="F43" i="53"/>
  <c r="E44" i="53"/>
  <c r="D45" i="53"/>
  <c r="C46" i="53"/>
  <c r="D47" i="53"/>
  <c r="C49" i="53"/>
  <c r="C50" i="53"/>
  <c r="C51" i="53"/>
  <c r="C52" i="53"/>
  <c r="C53" i="53"/>
  <c r="C54" i="53"/>
  <c r="D55" i="53"/>
  <c r="C57" i="53"/>
  <c r="C58" i="53"/>
  <c r="C59" i="53"/>
  <c r="C60" i="53"/>
  <c r="C61" i="53"/>
  <c r="C62" i="53"/>
  <c r="D63" i="53"/>
  <c r="C65" i="53"/>
  <c r="C66" i="53"/>
  <c r="C67" i="53"/>
  <c r="C68" i="53"/>
  <c r="C69" i="53"/>
  <c r="C70" i="53"/>
  <c r="D71" i="53"/>
  <c r="C73" i="53"/>
  <c r="C74" i="53"/>
  <c r="C75" i="53"/>
  <c r="C76" i="53"/>
  <c r="C77" i="53"/>
  <c r="C78" i="53"/>
  <c r="D79" i="53"/>
  <c r="C81" i="53"/>
  <c r="C82" i="53"/>
  <c r="C83" i="53"/>
  <c r="C84" i="53"/>
  <c r="C85" i="53"/>
  <c r="C86" i="53"/>
  <c r="E87" i="53"/>
  <c r="F106" i="53"/>
  <c r="G108" i="53"/>
  <c r="F108" i="53"/>
  <c r="J108" i="53"/>
  <c r="I108" i="53"/>
  <c r="H108" i="53"/>
  <c r="C108" i="53"/>
  <c r="F121" i="53"/>
  <c r="H121" i="53"/>
  <c r="G121" i="53"/>
  <c r="E121" i="53"/>
  <c r="I121" i="53"/>
  <c r="D121" i="53"/>
  <c r="C121" i="53"/>
  <c r="G128" i="53"/>
  <c r="H128" i="53"/>
  <c r="F128" i="53"/>
  <c r="E128" i="53"/>
  <c r="D128" i="53"/>
  <c r="I128" i="53"/>
  <c r="C132" i="53"/>
  <c r="H132" i="53"/>
  <c r="G132" i="53"/>
  <c r="F132" i="53"/>
  <c r="E132" i="53"/>
  <c r="I132" i="53"/>
  <c r="F137" i="53"/>
  <c r="H137" i="53"/>
  <c r="G137" i="53"/>
  <c r="E137" i="53"/>
  <c r="D137" i="53"/>
  <c r="I137" i="53"/>
  <c r="I142" i="53"/>
  <c r="G142" i="53"/>
  <c r="F142" i="53"/>
  <c r="E142" i="53"/>
  <c r="D142" i="53"/>
  <c r="H142" i="53"/>
  <c r="E146" i="53"/>
  <c r="H146" i="53"/>
  <c r="G146" i="53"/>
  <c r="F146" i="53"/>
  <c r="D146" i="53"/>
  <c r="I146" i="53"/>
  <c r="H151" i="53"/>
  <c r="G151" i="53"/>
  <c r="F151" i="53"/>
  <c r="E151" i="53"/>
  <c r="D151" i="53"/>
  <c r="I151" i="53"/>
  <c r="D155" i="53"/>
  <c r="H155" i="53"/>
  <c r="G155" i="53"/>
  <c r="F155" i="53"/>
  <c r="E155" i="53"/>
  <c r="I155" i="53"/>
  <c r="G160" i="53"/>
  <c r="H160" i="53"/>
  <c r="F160" i="53"/>
  <c r="E160" i="53"/>
  <c r="D160" i="53"/>
  <c r="I160" i="53"/>
  <c r="C164" i="53"/>
  <c r="H164" i="53"/>
  <c r="G164" i="53"/>
  <c r="F164" i="53"/>
  <c r="E164" i="53"/>
  <c r="I164" i="53"/>
  <c r="J33" i="53"/>
  <c r="I114" i="53"/>
  <c r="H114" i="53"/>
  <c r="G114" i="53"/>
  <c r="E114" i="53"/>
  <c r="D114" i="53"/>
  <c r="C114" i="53"/>
  <c r="C17" i="53"/>
  <c r="J18" i="53"/>
  <c r="C18" i="53"/>
  <c r="C26" i="53"/>
  <c r="C34" i="53"/>
  <c r="J35" i="53"/>
  <c r="C42" i="53"/>
  <c r="I126" i="53"/>
  <c r="G126" i="53"/>
  <c r="F126" i="53"/>
  <c r="E126" i="53"/>
  <c r="D126" i="53"/>
  <c r="H126" i="53"/>
  <c r="H135" i="53"/>
  <c r="G135" i="53"/>
  <c r="F135" i="53"/>
  <c r="E135" i="53"/>
  <c r="D135" i="53"/>
  <c r="I135" i="53"/>
  <c r="D139" i="53"/>
  <c r="H139" i="53"/>
  <c r="G139" i="53"/>
  <c r="F139" i="53"/>
  <c r="E139" i="53"/>
  <c r="I139" i="53"/>
  <c r="C148" i="53"/>
  <c r="H148" i="53"/>
  <c r="G148" i="53"/>
  <c r="F148" i="53"/>
  <c r="E148" i="53"/>
  <c r="I148" i="53"/>
  <c r="F153" i="53"/>
  <c r="H153" i="53"/>
  <c r="G153" i="53"/>
  <c r="E153" i="53"/>
  <c r="D153" i="53"/>
  <c r="I153" i="53"/>
  <c r="E162" i="53"/>
  <c r="H162" i="53"/>
  <c r="G162" i="53"/>
  <c r="F162" i="53"/>
  <c r="D162" i="53"/>
  <c r="I162" i="53"/>
  <c r="F9" i="53"/>
  <c r="E10" i="53"/>
  <c r="C12" i="53"/>
  <c r="J13" i="53"/>
  <c r="E18" i="53"/>
  <c r="D19" i="53"/>
  <c r="C20" i="53"/>
  <c r="F25" i="53"/>
  <c r="E42" i="53"/>
  <c r="G106" i="53"/>
  <c r="C116" i="53"/>
  <c r="H116" i="53"/>
  <c r="G116" i="53"/>
  <c r="F116" i="53"/>
  <c r="E116" i="53"/>
  <c r="H107" i="53"/>
  <c r="G107" i="53"/>
  <c r="G110" i="53"/>
  <c r="H115" i="53"/>
  <c r="G115" i="53"/>
  <c r="F115" i="53"/>
  <c r="H119" i="53"/>
  <c r="G119" i="53"/>
  <c r="F119" i="53"/>
  <c r="E119" i="53"/>
  <c r="E180" i="53"/>
  <c r="D180" i="53"/>
  <c r="C180" i="53"/>
  <c r="J180" i="53"/>
  <c r="I180" i="53"/>
  <c r="H180" i="53"/>
  <c r="I176" i="53"/>
  <c r="H176" i="53"/>
  <c r="G176" i="53"/>
  <c r="J176" i="53"/>
  <c r="F176" i="53"/>
  <c r="E176" i="53"/>
  <c r="D103" i="53"/>
  <c r="C103" i="53"/>
  <c r="E107" i="53"/>
  <c r="E115" i="53"/>
  <c r="I118" i="53"/>
  <c r="G118" i="53"/>
  <c r="F118" i="53"/>
  <c r="E118" i="53"/>
  <c r="I119" i="53"/>
  <c r="D176" i="53"/>
  <c r="C89" i="53"/>
  <c r="C90" i="53"/>
  <c r="C91" i="53"/>
  <c r="C92" i="53"/>
  <c r="C93" i="53"/>
  <c r="C94" i="53"/>
  <c r="D95" i="53"/>
  <c r="C97" i="53"/>
  <c r="C98" i="53"/>
  <c r="C99" i="53"/>
  <c r="C100" i="53"/>
  <c r="C101" i="53"/>
  <c r="C102" i="53"/>
  <c r="E103" i="53"/>
  <c r="F107" i="53"/>
  <c r="D111" i="53"/>
  <c r="C111" i="53"/>
  <c r="I115" i="53"/>
  <c r="C118" i="53"/>
  <c r="J119" i="53"/>
  <c r="D123" i="53"/>
  <c r="H123" i="53"/>
  <c r="G123" i="53"/>
  <c r="F123" i="53"/>
  <c r="I168" i="53"/>
  <c r="G168" i="53"/>
  <c r="J168" i="53"/>
  <c r="H168" i="53"/>
  <c r="F168" i="53"/>
  <c r="G187" i="53"/>
  <c r="F187" i="53"/>
  <c r="E187" i="53"/>
  <c r="D187" i="53"/>
  <c r="J187" i="53"/>
  <c r="I187" i="53"/>
  <c r="H187" i="53"/>
  <c r="C187" i="53"/>
  <c r="E110" i="53"/>
  <c r="D110" i="53"/>
  <c r="G120" i="53"/>
  <c r="H120" i="53"/>
  <c r="F120" i="53"/>
  <c r="E120" i="53"/>
  <c r="I185" i="53"/>
  <c r="H185" i="53"/>
  <c r="G185" i="53"/>
  <c r="F185" i="53"/>
  <c r="J185" i="53"/>
  <c r="E185" i="53"/>
  <c r="E172" i="53"/>
  <c r="C172" i="53"/>
  <c r="F196" i="53"/>
  <c r="E196" i="53"/>
  <c r="D196" i="53"/>
  <c r="C196" i="53"/>
  <c r="I196" i="53"/>
  <c r="F171" i="53"/>
  <c r="D171" i="53"/>
  <c r="G178" i="53"/>
  <c r="F178" i="53"/>
  <c r="E178" i="53"/>
  <c r="I105" i="53"/>
  <c r="I113" i="53"/>
  <c r="G170" i="53"/>
  <c r="E170" i="53"/>
  <c r="C171" i="53"/>
  <c r="F172" i="53"/>
  <c r="C178" i="53"/>
  <c r="H186" i="53"/>
  <c r="G186" i="53"/>
  <c r="F186" i="53"/>
  <c r="E186" i="53"/>
  <c r="I193" i="53"/>
  <c r="H193" i="53"/>
  <c r="G193" i="53"/>
  <c r="F193" i="53"/>
  <c r="H196" i="53"/>
  <c r="H169" i="53"/>
  <c r="F169" i="53"/>
  <c r="C170" i="53"/>
  <c r="E171" i="53"/>
  <c r="G172" i="53"/>
  <c r="H177" i="53"/>
  <c r="G177" i="53"/>
  <c r="F177" i="53"/>
  <c r="D178" i="53"/>
  <c r="C186" i="53"/>
  <c r="C193" i="53"/>
  <c r="J196" i="53"/>
  <c r="F188" i="53"/>
  <c r="E188" i="53"/>
  <c r="D188" i="53"/>
  <c r="C188" i="53"/>
  <c r="J195" i="53"/>
  <c r="H167" i="53"/>
  <c r="H175" i="53"/>
  <c r="I182" i="53"/>
  <c r="H183" i="53"/>
  <c r="G184" i="53"/>
  <c r="I190" i="53"/>
  <c r="H191" i="53"/>
  <c r="G192" i="53"/>
  <c r="D195" i="53"/>
  <c r="I198" i="53"/>
  <c r="H199" i="53"/>
  <c r="G200" i="53"/>
  <c r="J182" i="53"/>
  <c r="H184" i="53"/>
  <c r="J190" i="53"/>
  <c r="I191" i="53"/>
  <c r="H192" i="53"/>
  <c r="E195" i="53"/>
  <c r="J198" i="53"/>
  <c r="I199" i="53"/>
  <c r="H200" i="53"/>
  <c r="I184" i="53"/>
  <c r="I192" i="53"/>
  <c r="F195" i="53"/>
  <c r="I200" i="53"/>
  <c r="G168" i="32"/>
  <c r="F171" i="32"/>
  <c r="E171" i="32"/>
  <c r="H178" i="32"/>
  <c r="G178" i="32"/>
  <c r="F178" i="32"/>
  <c r="J186" i="32"/>
  <c r="I193" i="32"/>
  <c r="H193" i="32"/>
  <c r="G193" i="32"/>
  <c r="E197" i="32"/>
  <c r="D197" i="32"/>
  <c r="C197" i="32"/>
  <c r="I197" i="32"/>
  <c r="H197" i="32"/>
  <c r="E102" i="32"/>
  <c r="D103" i="32"/>
  <c r="C104" i="32"/>
  <c r="J105" i="32"/>
  <c r="I106" i="32"/>
  <c r="H107" i="32"/>
  <c r="G108" i="32"/>
  <c r="E110" i="32"/>
  <c r="D111" i="32"/>
  <c r="C112" i="32"/>
  <c r="J113" i="32"/>
  <c r="I114" i="32"/>
  <c r="H115" i="32"/>
  <c r="H116" i="32"/>
  <c r="H117" i="32"/>
  <c r="G119" i="32"/>
  <c r="G120" i="32"/>
  <c r="H121" i="32"/>
  <c r="H122" i="32"/>
  <c r="H123" i="32"/>
  <c r="H124" i="32"/>
  <c r="H125" i="32"/>
  <c r="G127" i="32"/>
  <c r="G128" i="32"/>
  <c r="H129" i="32"/>
  <c r="H130" i="32"/>
  <c r="H131" i="32"/>
  <c r="H132" i="32"/>
  <c r="H133" i="32"/>
  <c r="G135" i="32"/>
  <c r="G136" i="32"/>
  <c r="H137" i="32"/>
  <c r="H138" i="32"/>
  <c r="H139" i="32"/>
  <c r="H140" i="32"/>
  <c r="H141" i="32"/>
  <c r="G143" i="32"/>
  <c r="G144" i="32"/>
  <c r="H145" i="32"/>
  <c r="H146" i="32"/>
  <c r="H147" i="32"/>
  <c r="H148" i="32"/>
  <c r="H149" i="32"/>
  <c r="G151" i="32"/>
  <c r="G152" i="32"/>
  <c r="H153" i="32"/>
  <c r="H154" i="32"/>
  <c r="H155" i="32"/>
  <c r="H156" i="32"/>
  <c r="H157" i="32"/>
  <c r="G159" i="32"/>
  <c r="G160" i="32"/>
  <c r="H161" i="32"/>
  <c r="H162" i="32"/>
  <c r="H163" i="32"/>
  <c r="H164" i="32"/>
  <c r="H165" i="32"/>
  <c r="J168" i="32"/>
  <c r="G170" i="32"/>
  <c r="F170" i="32"/>
  <c r="C171" i="32"/>
  <c r="F172" i="32"/>
  <c r="G173" i="32"/>
  <c r="C178" i="32"/>
  <c r="G187" i="32"/>
  <c r="F187" i="32"/>
  <c r="E187" i="32"/>
  <c r="G188" i="32"/>
  <c r="C193" i="32"/>
  <c r="F197" i="32"/>
  <c r="H169" i="32"/>
  <c r="G169" i="32"/>
  <c r="E104" i="32"/>
  <c r="C106" i="32"/>
  <c r="C177" i="32"/>
  <c r="C196" i="32"/>
  <c r="C115" i="32"/>
  <c r="C168" i="32"/>
  <c r="D169" i="32"/>
  <c r="E170" i="32"/>
  <c r="H171" i="32"/>
  <c r="I172" i="32"/>
  <c r="D177" i="32"/>
  <c r="I178" i="32"/>
  <c r="F180" i="32"/>
  <c r="E180" i="32"/>
  <c r="D180" i="32"/>
  <c r="G181" i="32"/>
  <c r="H187" i="32"/>
  <c r="F193" i="32"/>
  <c r="G195" i="32"/>
  <c r="F195" i="32"/>
  <c r="E195" i="32"/>
  <c r="D112" i="32"/>
  <c r="F196" i="32"/>
  <c r="E196" i="32"/>
  <c r="D196" i="32"/>
  <c r="E112" i="32"/>
  <c r="C114" i="32"/>
  <c r="C169" i="32"/>
  <c r="F181" i="32"/>
  <c r="H186" i="32"/>
  <c r="G186" i="32"/>
  <c r="F186" i="32"/>
  <c r="C107" i="32"/>
  <c r="F112" i="32"/>
  <c r="I102" i="32"/>
  <c r="H103" i="32"/>
  <c r="G104" i="32"/>
  <c r="E106" i="32"/>
  <c r="D107" i="32"/>
  <c r="C108" i="32"/>
  <c r="I110" i="32"/>
  <c r="H111" i="32"/>
  <c r="G112" i="32"/>
  <c r="E114" i="32"/>
  <c r="D115" i="32"/>
  <c r="C116" i="32"/>
  <c r="D117" i="32"/>
  <c r="C119" i="32"/>
  <c r="C120" i="32"/>
  <c r="C121" i="32"/>
  <c r="C122" i="32"/>
  <c r="C123" i="32"/>
  <c r="C124" i="32"/>
  <c r="D125" i="32"/>
  <c r="C127" i="32"/>
  <c r="C128" i="32"/>
  <c r="C129" i="32"/>
  <c r="C130" i="32"/>
  <c r="C131" i="32"/>
  <c r="C132" i="32"/>
  <c r="D133" i="32"/>
  <c r="C135" i="32"/>
  <c r="C136" i="32"/>
  <c r="C137" i="32"/>
  <c r="C138" i="32"/>
  <c r="C139" i="32"/>
  <c r="C140" i="32"/>
  <c r="D141" i="32"/>
  <c r="C143" i="32"/>
  <c r="C144" i="32"/>
  <c r="C145" i="32"/>
  <c r="C146" i="32"/>
  <c r="C147" i="32"/>
  <c r="C148" i="32"/>
  <c r="D149" i="32"/>
  <c r="C151" i="32"/>
  <c r="C152" i="32"/>
  <c r="C153" i="32"/>
  <c r="C154" i="32"/>
  <c r="C155" i="32"/>
  <c r="C156" i="32"/>
  <c r="D157" i="32"/>
  <c r="C159" i="32"/>
  <c r="C160" i="32"/>
  <c r="C161" i="32"/>
  <c r="C162" i="32"/>
  <c r="C163" i="32"/>
  <c r="C164" i="32"/>
  <c r="D165" i="32"/>
  <c r="E169" i="32"/>
  <c r="H170" i="32"/>
  <c r="I171" i="32"/>
  <c r="J178" i="32"/>
  <c r="C180" i="32"/>
  <c r="I185" i="32"/>
  <c r="H185" i="32"/>
  <c r="G185" i="32"/>
  <c r="D186" i="32"/>
  <c r="I187" i="32"/>
  <c r="E189" i="32"/>
  <c r="D189" i="32"/>
  <c r="C189" i="32"/>
  <c r="J193" i="32"/>
  <c r="C195" i="32"/>
  <c r="H196" i="32"/>
  <c r="J104" i="32"/>
  <c r="J112" i="32"/>
  <c r="D104" i="32"/>
  <c r="J106" i="32"/>
  <c r="J114" i="32"/>
  <c r="I177" i="32"/>
  <c r="H177" i="32"/>
  <c r="G177" i="32"/>
  <c r="E181" i="32"/>
  <c r="D181" i="32"/>
  <c r="C181" i="32"/>
  <c r="J107" i="32"/>
  <c r="J115" i="32"/>
  <c r="I168" i="32"/>
  <c r="H168" i="32"/>
  <c r="F104" i="32"/>
  <c r="D106" i="32"/>
  <c r="J108" i="32"/>
  <c r="D114" i="32"/>
  <c r="I103" i="32"/>
  <c r="H104" i="32"/>
  <c r="F106" i="32"/>
  <c r="E107" i="32"/>
  <c r="D108" i="32"/>
  <c r="I111" i="32"/>
  <c r="H112" i="32"/>
  <c r="F114" i="32"/>
  <c r="E115" i="32"/>
  <c r="E116" i="32"/>
  <c r="E117" i="32"/>
  <c r="D119" i="32"/>
  <c r="D120" i="32"/>
  <c r="D121" i="32"/>
  <c r="D122" i="32"/>
  <c r="D123" i="32"/>
  <c r="E124" i="32"/>
  <c r="E125" i="32"/>
  <c r="D127" i="32"/>
  <c r="D128" i="32"/>
  <c r="D129" i="32"/>
  <c r="D130" i="32"/>
  <c r="D131" i="32"/>
  <c r="E132" i="32"/>
  <c r="E133" i="32"/>
  <c r="D135" i="32"/>
  <c r="D136" i="32"/>
  <c r="D137" i="32"/>
  <c r="D138" i="32"/>
  <c r="D139" i="32"/>
  <c r="E140" i="32"/>
  <c r="E141" i="32"/>
  <c r="D143" i="32"/>
  <c r="D144" i="32"/>
  <c r="D145" i="32"/>
  <c r="D146" i="32"/>
  <c r="D147" i="32"/>
  <c r="E148" i="32"/>
  <c r="E149" i="32"/>
  <c r="D151" i="32"/>
  <c r="D152" i="32"/>
  <c r="D153" i="32"/>
  <c r="D154" i="32"/>
  <c r="D155" i="32"/>
  <c r="E156" i="32"/>
  <c r="E157" i="32"/>
  <c r="D159" i="32"/>
  <c r="D160" i="32"/>
  <c r="E168" i="32"/>
  <c r="F169" i="32"/>
  <c r="J171" i="32"/>
  <c r="D173" i="32"/>
  <c r="C173" i="32"/>
  <c r="F177" i="32"/>
  <c r="G179" i="32"/>
  <c r="F179" i="32"/>
  <c r="E179" i="32"/>
  <c r="I181" i="32"/>
  <c r="E186" i="32"/>
  <c r="H194" i="32"/>
  <c r="G194" i="32"/>
  <c r="F194" i="32"/>
  <c r="D195" i="32"/>
  <c r="I196" i="32"/>
  <c r="F116" i="32"/>
  <c r="F117" i="32"/>
  <c r="E119" i="32"/>
  <c r="E120" i="32"/>
  <c r="E121" i="32"/>
  <c r="E122" i="32"/>
  <c r="F123" i="32"/>
  <c r="F124" i="32"/>
  <c r="F125" i="32"/>
  <c r="E127" i="32"/>
  <c r="E128" i="32"/>
  <c r="E129" i="32"/>
  <c r="E130" i="32"/>
  <c r="F131" i="32"/>
  <c r="F132" i="32"/>
  <c r="F133" i="32"/>
  <c r="E135" i="32"/>
  <c r="E136" i="32"/>
  <c r="E137" i="32"/>
  <c r="E138" i="32"/>
  <c r="F139" i="32"/>
  <c r="F140" i="32"/>
  <c r="F141" i="32"/>
  <c r="E143" i="32"/>
  <c r="E144" i="32"/>
  <c r="E145" i="32"/>
  <c r="E146" i="32"/>
  <c r="F147" i="32"/>
  <c r="F148" i="32"/>
  <c r="F149" i="32"/>
  <c r="E151" i="32"/>
  <c r="E152" i="32"/>
  <c r="E153" i="32"/>
  <c r="E154" i="32"/>
  <c r="F155" i="32"/>
  <c r="F156" i="32"/>
  <c r="F157" i="32"/>
  <c r="E159" i="32"/>
  <c r="E160" i="32"/>
  <c r="F168" i="32"/>
  <c r="I169" i="32"/>
  <c r="E172" i="32"/>
  <c r="D172" i="32"/>
  <c r="J177" i="32"/>
  <c r="J181" i="32"/>
  <c r="I186" i="32"/>
  <c r="F188" i="32"/>
  <c r="E188" i="32"/>
  <c r="D188" i="32"/>
  <c r="J196" i="32"/>
  <c r="G200" i="32"/>
  <c r="I167" i="32"/>
  <c r="I175" i="32"/>
  <c r="H176" i="32"/>
  <c r="I183" i="32"/>
  <c r="H184" i="32"/>
  <c r="I191" i="32"/>
  <c r="H192" i="32"/>
  <c r="I199" i="32"/>
  <c r="H200" i="32"/>
  <c r="I176" i="32"/>
  <c r="I184" i="32"/>
  <c r="I192" i="32"/>
  <c r="I200" i="32"/>
  <c r="F97" i="32"/>
  <c r="B11" i="32"/>
  <c r="B18" i="32"/>
  <c r="B23" i="32"/>
  <c r="B30" i="32"/>
  <c r="D34" i="32"/>
  <c r="B42" i="32"/>
  <c r="J47" i="32"/>
  <c r="I61" i="32"/>
  <c r="C65" i="32"/>
  <c r="F70" i="32"/>
  <c r="J77" i="32"/>
  <c r="F81" i="32"/>
  <c r="C86" i="32"/>
  <c r="J94" i="32"/>
  <c r="D33" i="32"/>
  <c r="I10" i="32"/>
  <c r="G61" i="32"/>
  <c r="B12" i="32"/>
  <c r="B19" i="32"/>
  <c r="B24" i="32"/>
  <c r="E34" i="32"/>
  <c r="B38" i="32"/>
  <c r="D53" i="32"/>
  <c r="J56" i="32"/>
  <c r="J62" i="32"/>
  <c r="J71" i="32"/>
  <c r="J78" i="32"/>
  <c r="C82" i="32"/>
  <c r="E86" i="32"/>
  <c r="B13" i="32"/>
  <c r="B20" i="32"/>
  <c r="B25" i="32"/>
  <c r="B35" i="32"/>
  <c r="D48" i="32"/>
  <c r="F53" i="32"/>
  <c r="J57" i="32"/>
  <c r="H62" i="32"/>
  <c r="G66" i="32"/>
  <c r="J79" i="32"/>
  <c r="J83" i="32"/>
  <c r="H86" i="32"/>
  <c r="F89" i="32"/>
  <c r="J96" i="32"/>
  <c r="J99" i="32"/>
  <c r="C28" i="32"/>
  <c r="B14" i="32"/>
  <c r="B21" i="32"/>
  <c r="B26" i="32"/>
  <c r="B31" i="32"/>
  <c r="B36" i="32"/>
  <c r="G48" i="32"/>
  <c r="G53" i="32"/>
  <c r="J58" i="32"/>
  <c r="J63" i="32"/>
  <c r="J67" i="32"/>
  <c r="J73" i="32"/>
  <c r="I80" i="32"/>
  <c r="C90" i="32"/>
  <c r="C96" i="32"/>
  <c r="B8" i="32"/>
  <c r="E8" i="32" s="1"/>
  <c r="B22" i="32"/>
  <c r="B27" i="32"/>
  <c r="B32" i="32"/>
  <c r="B37" i="32"/>
  <c r="J44" i="32"/>
  <c r="J64" i="32"/>
  <c r="H73" i="32"/>
  <c r="C80" i="32"/>
  <c r="E96" i="32"/>
  <c r="I62" i="32"/>
  <c r="D64" i="32"/>
  <c r="J66" i="32"/>
  <c r="G70" i="32"/>
  <c r="E74" i="32"/>
  <c r="C78" i="32"/>
  <c r="E80" i="32"/>
  <c r="D82" i="32"/>
  <c r="J86" i="32"/>
  <c r="H89" i="32"/>
  <c r="D94" i="32"/>
  <c r="D96" i="32"/>
  <c r="J98" i="32"/>
  <c r="E11" i="32"/>
  <c r="G39" i="32"/>
  <c r="E36" i="32"/>
  <c r="D43" i="32"/>
  <c r="G78" i="32"/>
  <c r="E94" i="32"/>
  <c r="I11" i="32"/>
  <c r="C24" i="32"/>
  <c r="G36" i="32"/>
  <c r="C40" i="32"/>
  <c r="F43" i="32"/>
  <c r="J46" i="32"/>
  <c r="J51" i="32"/>
  <c r="J54" i="32"/>
  <c r="D58" i="32"/>
  <c r="C62" i="32"/>
  <c r="E63" i="32"/>
  <c r="J65" i="32"/>
  <c r="J68" i="32"/>
  <c r="J72" i="32"/>
  <c r="J75" i="32"/>
  <c r="H78" i="32"/>
  <c r="C83" i="32"/>
  <c r="D86" i="32"/>
  <c r="J88" i="32"/>
  <c r="J91" i="32"/>
  <c r="F94" i="32"/>
  <c r="G96" i="32"/>
  <c r="G98" i="32"/>
  <c r="H11" i="32"/>
  <c r="G74" i="32"/>
  <c r="G63" i="32"/>
  <c r="E28" i="32"/>
  <c r="E14" i="32"/>
  <c r="I45" i="32"/>
  <c r="H36" i="32"/>
  <c r="D62" i="32"/>
  <c r="H94" i="32"/>
  <c r="I96" i="32"/>
  <c r="G10" i="32"/>
  <c r="I12" i="32"/>
  <c r="E15" i="32"/>
  <c r="F30" i="32"/>
  <c r="I36" i="32"/>
  <c r="E44" i="32"/>
  <c r="J48" i="32"/>
  <c r="E52" i="32"/>
  <c r="G54" i="32"/>
  <c r="J59" i="32"/>
  <c r="E62" i="32"/>
  <c r="H63" i="32"/>
  <c r="D65" i="32"/>
  <c r="E68" i="32"/>
  <c r="C73" i="32"/>
  <c r="C76" i="32"/>
  <c r="H79" i="32"/>
  <c r="D81" i="32"/>
  <c r="J84" i="32"/>
  <c r="F86" i="32"/>
  <c r="G88" i="32"/>
  <c r="F91" i="32"/>
  <c r="I94" i="32"/>
  <c r="J97" i="32"/>
  <c r="J100" i="32"/>
  <c r="D14" i="32"/>
  <c r="F45" i="32"/>
  <c r="C19" i="32"/>
  <c r="D40" i="32"/>
  <c r="E58" i="32"/>
  <c r="D83" i="32"/>
  <c r="H10" i="32"/>
  <c r="G44" i="32"/>
  <c r="J53" i="32"/>
  <c r="H55" i="32"/>
  <c r="F62" i="32"/>
  <c r="E65" i="32"/>
  <c r="J69" i="32"/>
  <c r="D73" i="32"/>
  <c r="E76" i="32"/>
  <c r="J80" i="32"/>
  <c r="E81" i="32"/>
  <c r="G86" i="32"/>
  <c r="J89" i="32"/>
  <c r="J92" i="32"/>
  <c r="D97" i="32"/>
  <c r="G62" i="32"/>
  <c r="C46" i="32"/>
  <c r="C72" i="32"/>
  <c r="C99" i="32"/>
  <c r="C16" i="32"/>
  <c r="D47" i="32"/>
  <c r="C51" i="32"/>
  <c r="C57" i="32"/>
  <c r="C12" i="32"/>
  <c r="D13" i="32"/>
  <c r="H22" i="32"/>
  <c r="D29" i="32"/>
  <c r="H30" i="32"/>
  <c r="D35" i="32"/>
  <c r="E40" i="32"/>
  <c r="I44" i="32"/>
  <c r="D46" i="32"/>
  <c r="E47" i="32"/>
  <c r="E48" i="32"/>
  <c r="D51" i="32"/>
  <c r="H53" i="32"/>
  <c r="H54" i="32"/>
  <c r="C56" i="32"/>
  <c r="D57" i="32"/>
  <c r="C59" i="32"/>
  <c r="E64" i="32"/>
  <c r="F65" i="32"/>
  <c r="C67" i="32"/>
  <c r="I69" i="32"/>
  <c r="H70" i="32"/>
  <c r="D72" i="32"/>
  <c r="E73" i="32"/>
  <c r="C75" i="32"/>
  <c r="I78" i="32"/>
  <c r="F80" i="32"/>
  <c r="H81" i="32"/>
  <c r="F83" i="32"/>
  <c r="I88" i="32"/>
  <c r="D90" i="32"/>
  <c r="C92" i="32"/>
  <c r="G94" i="32"/>
  <c r="F96" i="32"/>
  <c r="H97" i="32"/>
  <c r="D99" i="32"/>
  <c r="C17" i="32"/>
  <c r="E29" i="32"/>
  <c r="C33" i="32"/>
  <c r="E39" i="32"/>
  <c r="F40" i="32"/>
  <c r="E46" i="32"/>
  <c r="F47" i="32"/>
  <c r="F48" i="32"/>
  <c r="I54" i="32"/>
  <c r="D56" i="32"/>
  <c r="E57" i="32"/>
  <c r="D59" i="32"/>
  <c r="F64" i="32"/>
  <c r="D67" i="32"/>
  <c r="I70" i="32"/>
  <c r="E72" i="32"/>
  <c r="F73" i="32"/>
  <c r="D75" i="32"/>
  <c r="I83" i="32"/>
  <c r="E90" i="32"/>
  <c r="E92" i="32"/>
  <c r="F99" i="32"/>
  <c r="G40" i="32"/>
  <c r="F46" i="32"/>
  <c r="G47" i="32"/>
  <c r="E56" i="32"/>
  <c r="F57" i="32"/>
  <c r="F59" i="32"/>
  <c r="F67" i="32"/>
  <c r="F72" i="32"/>
  <c r="F75" i="32"/>
  <c r="G90" i="32"/>
  <c r="C15" i="32"/>
  <c r="H39" i="32"/>
  <c r="I40" i="32"/>
  <c r="G45" i="32"/>
  <c r="G46" i="32"/>
  <c r="H47" i="32"/>
  <c r="I48" i="32"/>
  <c r="G52" i="32"/>
  <c r="C54" i="32"/>
  <c r="F55" i="32"/>
  <c r="F56" i="32"/>
  <c r="H57" i="32"/>
  <c r="I59" i="32"/>
  <c r="I64" i="32"/>
  <c r="D66" i="32"/>
  <c r="I67" i="32"/>
  <c r="C70" i="32"/>
  <c r="G71" i="32"/>
  <c r="G72" i="32"/>
  <c r="I75" i="32"/>
  <c r="D78" i="32"/>
  <c r="E82" i="32"/>
  <c r="C84" i="32"/>
  <c r="C88" i="32"/>
  <c r="D89" i="32"/>
  <c r="D98" i="32"/>
  <c r="C100" i="32"/>
  <c r="D15" i="32"/>
  <c r="C44" i="32"/>
  <c r="H45" i="32"/>
  <c r="H46" i="32"/>
  <c r="D54" i="32"/>
  <c r="G55" i="32"/>
  <c r="G56" i="32"/>
  <c r="E66" i="32"/>
  <c r="D70" i="32"/>
  <c r="H71" i="32"/>
  <c r="I72" i="32"/>
  <c r="D74" i="32"/>
  <c r="E78" i="32"/>
  <c r="C81" i="32"/>
  <c r="G82" i="32"/>
  <c r="E84" i="32"/>
  <c r="D88" i="32"/>
  <c r="E89" i="32"/>
  <c r="C91" i="32"/>
  <c r="C94" i="32"/>
  <c r="C97" i="32"/>
  <c r="E98" i="32"/>
  <c r="E100" i="32"/>
  <c r="I46" i="32"/>
  <c r="E54" i="32"/>
  <c r="I56" i="32"/>
  <c r="E70" i="32"/>
  <c r="F78" i="32"/>
  <c r="E88" i="32"/>
  <c r="I41" i="32"/>
  <c r="G41" i="32"/>
  <c r="C41" i="32"/>
  <c r="I49" i="32"/>
  <c r="G49" i="32"/>
  <c r="C50" i="32"/>
  <c r="I60" i="32"/>
  <c r="G60" i="32"/>
  <c r="F60" i="32"/>
  <c r="D60" i="32"/>
  <c r="I93" i="32"/>
  <c r="H93" i="32"/>
  <c r="G93" i="32"/>
  <c r="F93" i="32"/>
  <c r="E93" i="32"/>
  <c r="C93" i="32"/>
  <c r="C10" i="32"/>
  <c r="F15" i="32"/>
  <c r="E16" i="32"/>
  <c r="E17" i="32"/>
  <c r="F28" i="32"/>
  <c r="F29" i="32"/>
  <c r="E33" i="32"/>
  <c r="G34" i="32"/>
  <c r="C39" i="32"/>
  <c r="I39" i="32"/>
  <c r="D41" i="32"/>
  <c r="H43" i="32"/>
  <c r="C49" i="32"/>
  <c r="D50" i="32"/>
  <c r="F51" i="32"/>
  <c r="H52" i="32"/>
  <c r="G58" i="32"/>
  <c r="C60" i="32"/>
  <c r="D93" i="32"/>
  <c r="J10" i="32"/>
  <c r="D16" i="32"/>
  <c r="D17" i="32"/>
  <c r="D10" i="32"/>
  <c r="G15" i="32"/>
  <c r="F16" i="32"/>
  <c r="F17" i="32"/>
  <c r="G28" i="32"/>
  <c r="G29" i="32"/>
  <c r="F33" i="32"/>
  <c r="I34" i="32"/>
  <c r="D39" i="32"/>
  <c r="E41" i="32"/>
  <c r="I43" i="32"/>
  <c r="C47" i="32"/>
  <c r="I47" i="32"/>
  <c r="D49" i="32"/>
  <c r="E50" i="32"/>
  <c r="H51" i="32"/>
  <c r="I52" i="32"/>
  <c r="E60" i="32"/>
  <c r="F63" i="32"/>
  <c r="D63" i="32"/>
  <c r="C63" i="32"/>
  <c r="I63" i="32"/>
  <c r="H69" i="32"/>
  <c r="G69" i="32"/>
  <c r="F69" i="32"/>
  <c r="E69" i="32"/>
  <c r="C69" i="32"/>
  <c r="I85" i="32"/>
  <c r="H85" i="32"/>
  <c r="G85" i="32"/>
  <c r="F85" i="32"/>
  <c r="E85" i="32"/>
  <c r="C85" i="32"/>
  <c r="J93" i="32"/>
  <c r="E10" i="32"/>
  <c r="H15" i="32"/>
  <c r="G16" i="32"/>
  <c r="H17" i="32"/>
  <c r="H28" i="32"/>
  <c r="H29" i="32"/>
  <c r="H33" i="32"/>
  <c r="F41" i="32"/>
  <c r="E45" i="32"/>
  <c r="C45" i="32"/>
  <c r="E49" i="32"/>
  <c r="I51" i="32"/>
  <c r="D55" i="32"/>
  <c r="C55" i="32"/>
  <c r="I55" i="32"/>
  <c r="H60" i="32"/>
  <c r="D69" i="32"/>
  <c r="I77" i="32"/>
  <c r="H77" i="32"/>
  <c r="G77" i="32"/>
  <c r="F77" i="32"/>
  <c r="E77" i="32"/>
  <c r="C77" i="32"/>
  <c r="G95" i="32"/>
  <c r="F95" i="32"/>
  <c r="E95" i="32"/>
  <c r="D95" i="32"/>
  <c r="C95" i="32"/>
  <c r="I95" i="32"/>
  <c r="H50" i="32"/>
  <c r="F50" i="32"/>
  <c r="I15" i="32"/>
  <c r="I16" i="32"/>
  <c r="I17" i="32"/>
  <c r="I28" i="32"/>
  <c r="I29" i="32"/>
  <c r="F39" i="32"/>
  <c r="H41" i="32"/>
  <c r="F44" i="32"/>
  <c r="D44" i="32"/>
  <c r="D45" i="32"/>
  <c r="F49" i="32"/>
  <c r="I50" i="32"/>
  <c r="E53" i="32"/>
  <c r="C53" i="32"/>
  <c r="E55" i="32"/>
  <c r="J60" i="32"/>
  <c r="C66" i="32"/>
  <c r="I66" i="32"/>
  <c r="H66" i="32"/>
  <c r="F66" i="32"/>
  <c r="D77" i="32"/>
  <c r="H95" i="32"/>
  <c r="J16" i="32"/>
  <c r="J17" i="32"/>
  <c r="J28" i="32"/>
  <c r="J29" i="32"/>
  <c r="H34" i="32"/>
  <c r="F34" i="32"/>
  <c r="J41" i="32"/>
  <c r="G43" i="32"/>
  <c r="E43" i="32"/>
  <c r="H49" i="32"/>
  <c r="J50" i="32"/>
  <c r="F52" i="32"/>
  <c r="D52" i="32"/>
  <c r="H61" i="32"/>
  <c r="F61" i="32"/>
  <c r="E61" i="32"/>
  <c r="C61" i="32"/>
  <c r="G87" i="32"/>
  <c r="F87" i="32"/>
  <c r="E87" i="32"/>
  <c r="D87" i="32"/>
  <c r="C87" i="32"/>
  <c r="I87" i="32"/>
  <c r="J95" i="32"/>
  <c r="I33" i="32"/>
  <c r="G33" i="32"/>
  <c r="C34" i="32"/>
  <c r="H42" i="32"/>
  <c r="F42" i="32"/>
  <c r="C43" i="32"/>
  <c r="J49" i="32"/>
  <c r="G51" i="32"/>
  <c r="E51" i="32"/>
  <c r="C52" i="32"/>
  <c r="C58" i="32"/>
  <c r="I58" i="32"/>
  <c r="H58" i="32"/>
  <c r="F58" i="32"/>
  <c r="D61" i="32"/>
  <c r="I68" i="32"/>
  <c r="H68" i="32"/>
  <c r="G68" i="32"/>
  <c r="F68" i="32"/>
  <c r="D68" i="32"/>
  <c r="F71" i="32"/>
  <c r="E71" i="32"/>
  <c r="D71" i="32"/>
  <c r="C71" i="32"/>
  <c r="I71" i="32"/>
  <c r="G79" i="32"/>
  <c r="F79" i="32"/>
  <c r="E79" i="32"/>
  <c r="D79" i="32"/>
  <c r="C79" i="32"/>
  <c r="I79" i="32"/>
  <c r="H87" i="32"/>
  <c r="H40" i="32"/>
  <c r="H48" i="32"/>
  <c r="H56" i="32"/>
  <c r="G57" i="32"/>
  <c r="E59" i="32"/>
  <c r="H64" i="32"/>
  <c r="G65" i="32"/>
  <c r="E67" i="32"/>
  <c r="H72" i="32"/>
  <c r="G73" i="32"/>
  <c r="F74" i="32"/>
  <c r="E75" i="32"/>
  <c r="D76" i="32"/>
  <c r="H80" i="32"/>
  <c r="G81" i="32"/>
  <c r="F82" i="32"/>
  <c r="E83" i="32"/>
  <c r="D84" i="32"/>
  <c r="H88" i="32"/>
  <c r="G89" i="32"/>
  <c r="F90" i="32"/>
  <c r="E91" i="32"/>
  <c r="D92" i="32"/>
  <c r="H96" i="32"/>
  <c r="G97" i="32"/>
  <c r="F98" i="32"/>
  <c r="E99" i="32"/>
  <c r="D100" i="32"/>
  <c r="I57" i="32"/>
  <c r="G59" i="32"/>
  <c r="I65" i="32"/>
  <c r="G67" i="32"/>
  <c r="I73" i="32"/>
  <c r="H74" i="32"/>
  <c r="G75" i="32"/>
  <c r="F76" i="32"/>
  <c r="I81" i="32"/>
  <c r="H82" i="32"/>
  <c r="G83" i="32"/>
  <c r="F84" i="32"/>
  <c r="I89" i="32"/>
  <c r="H90" i="32"/>
  <c r="G91" i="32"/>
  <c r="F92" i="32"/>
  <c r="I97" i="32"/>
  <c r="H98" i="32"/>
  <c r="G99" i="32"/>
  <c r="F100" i="32"/>
  <c r="H59" i="32"/>
  <c r="H67" i="32"/>
  <c r="I74" i="32"/>
  <c r="H75" i="32"/>
  <c r="G76" i="32"/>
  <c r="I82" i="32"/>
  <c r="H83" i="32"/>
  <c r="G84" i="32"/>
  <c r="I90" i="32"/>
  <c r="H91" i="32"/>
  <c r="G92" i="32"/>
  <c r="I98" i="32"/>
  <c r="H99" i="32"/>
  <c r="G100" i="32"/>
  <c r="J74" i="32"/>
  <c r="H76" i="32"/>
  <c r="J82" i="32"/>
  <c r="H84" i="32"/>
  <c r="J90" i="32"/>
  <c r="I91" i="32"/>
  <c r="H92" i="32"/>
  <c r="I99" i="32"/>
  <c r="H100" i="32"/>
  <c r="I76" i="32"/>
  <c r="I84" i="32"/>
  <c r="I92" i="32"/>
  <c r="I100" i="32"/>
  <c r="I9" i="32"/>
  <c r="J9" i="32"/>
  <c r="C9" i="32"/>
  <c r="D9" i="32"/>
  <c r="E9" i="32"/>
  <c r="F9" i="32"/>
  <c r="G9" i="32"/>
  <c r="J8" i="32"/>
  <c r="F8" i="32"/>
  <c r="G8" i="32"/>
  <c r="H8" i="32"/>
  <c r="I8" i="32"/>
  <c r="C8" i="32"/>
  <c r="D8" i="32"/>
  <c r="C11" i="32" l="1"/>
  <c r="D11" i="32"/>
  <c r="J11" i="32"/>
  <c r="F11" i="32"/>
  <c r="G11" i="32"/>
  <c r="F18" i="32"/>
  <c r="H18" i="32"/>
  <c r="E18" i="32"/>
  <c r="C18" i="32"/>
  <c r="G18" i="32"/>
  <c r="D18" i="32"/>
  <c r="I18" i="32"/>
  <c r="J18" i="32"/>
  <c r="I23" i="32"/>
  <c r="D23" i="32"/>
  <c r="G23" i="32"/>
  <c r="H23" i="32"/>
  <c r="E23" i="32"/>
  <c r="C23" i="32"/>
  <c r="F23" i="32"/>
  <c r="J23" i="32"/>
  <c r="I30" i="32"/>
  <c r="C30" i="32"/>
  <c r="D30" i="32"/>
  <c r="J42" i="32"/>
  <c r="E42" i="32"/>
  <c r="G42" i="32"/>
  <c r="I42" i="32"/>
  <c r="J12" i="32"/>
  <c r="D12" i="32"/>
  <c r="G12" i="32"/>
  <c r="E12" i="32"/>
  <c r="F12" i="32"/>
  <c r="H12" i="32"/>
  <c r="E19" i="32"/>
  <c r="H19" i="32"/>
  <c r="G19" i="32"/>
  <c r="I19" i="32"/>
  <c r="D19" i="32"/>
  <c r="J19" i="32"/>
  <c r="F19" i="32"/>
  <c r="H24" i="32"/>
  <c r="F24" i="32"/>
  <c r="E24" i="32"/>
  <c r="G24" i="32"/>
  <c r="I24" i="32"/>
  <c r="D24" i="32"/>
  <c r="J24" i="32"/>
  <c r="C38" i="32"/>
  <c r="F38" i="32"/>
  <c r="E38" i="32"/>
  <c r="C13" i="32"/>
  <c r="I13" i="32"/>
  <c r="E13" i="32"/>
  <c r="G13" i="32"/>
  <c r="F13" i="32"/>
  <c r="J13" i="32"/>
  <c r="H13" i="32"/>
  <c r="D20" i="32"/>
  <c r="F20" i="32"/>
  <c r="G25" i="32"/>
  <c r="D25" i="32"/>
  <c r="J25" i="32"/>
  <c r="J35" i="32"/>
  <c r="E35" i="32"/>
  <c r="C35" i="32"/>
  <c r="F35" i="32"/>
  <c r="H35" i="32"/>
  <c r="I35" i="32"/>
  <c r="G35" i="32"/>
  <c r="I14" i="32"/>
  <c r="G14" i="32"/>
  <c r="H14" i="32"/>
  <c r="C21" i="32"/>
  <c r="D21" i="32"/>
  <c r="F21" i="32"/>
  <c r="I21" i="32"/>
  <c r="F26" i="32"/>
  <c r="H26" i="32"/>
  <c r="J26" i="32"/>
  <c r="I31" i="32"/>
  <c r="E31" i="32"/>
  <c r="G31" i="32"/>
  <c r="D31" i="32"/>
  <c r="H31" i="32"/>
  <c r="J31" i="32"/>
  <c r="C31" i="32"/>
  <c r="F31" i="32"/>
  <c r="J36" i="32"/>
  <c r="F36" i="32"/>
  <c r="D36" i="32"/>
  <c r="C36" i="32"/>
  <c r="I22" i="32"/>
  <c r="D22" i="32"/>
  <c r="C22" i="32"/>
  <c r="E27" i="32"/>
  <c r="F27" i="32"/>
  <c r="H27" i="32"/>
  <c r="D27" i="32"/>
  <c r="I27" i="32"/>
  <c r="C27" i="32"/>
  <c r="G27" i="32"/>
  <c r="J27" i="32"/>
  <c r="H32" i="32"/>
  <c r="I32" i="32"/>
  <c r="F37" i="32"/>
  <c r="C37" i="32"/>
  <c r="I20" i="32"/>
  <c r="H25" i="32"/>
  <c r="E37" i="32"/>
  <c r="G26" i="32"/>
  <c r="J14" i="32"/>
  <c r="C14" i="32"/>
  <c r="J38" i="32"/>
  <c r="I38" i="32"/>
  <c r="H38" i="32"/>
  <c r="D38" i="32"/>
  <c r="D42" i="32"/>
  <c r="C42" i="32"/>
  <c r="F25" i="32"/>
  <c r="E21" i="32"/>
  <c r="D26" i="32"/>
  <c r="D32" i="32"/>
  <c r="J22" i="32"/>
  <c r="E22" i="32"/>
  <c r="G22" i="32"/>
  <c r="F22" i="32"/>
  <c r="G32" i="32"/>
  <c r="E20" i="32"/>
  <c r="E26" i="32"/>
  <c r="J30" i="32"/>
  <c r="G30" i="32"/>
  <c r="E30" i="32"/>
  <c r="J32" i="32"/>
  <c r="I26" i="32"/>
  <c r="H21" i="32"/>
  <c r="F32" i="32"/>
  <c r="E25" i="32"/>
  <c r="F14" i="32"/>
  <c r="J21" i="32"/>
  <c r="I25" i="32"/>
  <c r="H20" i="32"/>
  <c r="G21" i="32"/>
  <c r="C26" i="32"/>
  <c r="C25" i="32"/>
  <c r="G38" i="32"/>
  <c r="C32" i="32"/>
  <c r="J20" i="32"/>
  <c r="G20" i="32"/>
  <c r="E32" i="32"/>
  <c r="C20" i="32"/>
  <c r="G37" i="32"/>
  <c r="I37" i="32"/>
  <c r="H37" i="32"/>
  <c r="D37" i="32"/>
  <c r="J37" i="3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<sst xmlns="http://schemas.openxmlformats.org/spreadsheetml/2006/main" count="456" uniqueCount="198">
  <si>
    <t>Portal de Atendimento do INSS - PAT</t>
  </si>
  <si>
    <t>Requerimento de Reavaliação Documental do Benefício por Incapacidade (RDBI)</t>
  </si>
  <si>
    <t xml:space="preserve">Objetivo: </t>
  </si>
  <si>
    <t>#</t>
  </si>
  <si>
    <t>LIBERADO</t>
  </si>
  <si>
    <t>CASO DE TESTE</t>
  </si>
  <si>
    <t>CANAL</t>
  </si>
  <si>
    <t>PAPEL</t>
  </si>
  <si>
    <t>FLUXO</t>
  </si>
  <si>
    <t>MASSA</t>
  </si>
  <si>
    <t>PARÂMETROS</t>
  </si>
  <si>
    <t>RESULTADO ESPERADO</t>
  </si>
  <si>
    <t>DATA EXECUÇÃO</t>
  </si>
  <si>
    <t>STATUS CT</t>
  </si>
  <si>
    <t>RESULTADO ENCONTRADO</t>
  </si>
  <si>
    <t>ANÁLISE DATAPREV</t>
  </si>
  <si>
    <t>MELHORIAS</t>
  </si>
  <si>
    <t>Homologador</t>
  </si>
  <si>
    <t>SERVIDOR</t>
  </si>
  <si>
    <t>HOMOLOGADORES</t>
  </si>
  <si>
    <t>STATUS</t>
  </si>
  <si>
    <t>Meu INSS</t>
  </si>
  <si>
    <t>ATENDENTE_CENTRAL_135</t>
  </si>
  <si>
    <t>Aprovado</t>
  </si>
  <si>
    <t>PAT</t>
  </si>
  <si>
    <t>ENTIDADE_CONVENIADA</t>
  </si>
  <si>
    <t>Disponível para reteste</t>
  </si>
  <si>
    <t>INTERESSADO</t>
  </si>
  <si>
    <t>Não Executado</t>
  </si>
  <si>
    <t>Pendência Externa</t>
  </si>
  <si>
    <t>Reprovado</t>
  </si>
  <si>
    <t>Sem massa</t>
  </si>
  <si>
    <t>Casos de testes | Cenários</t>
  </si>
  <si>
    <t>PARAMETROS</t>
  </si>
  <si>
    <t>ASSUNTO</t>
  </si>
  <si>
    <t>ID</t>
  </si>
  <si>
    <t>Autodeclaração para o Requerimento de Benefício por Incapacidade</t>
  </si>
  <si>
    <t>Homologador:</t>
  </si>
  <si>
    <t>Autodeclaração do Benefício por Incapacidade</t>
  </si>
  <si>
    <t>MACROPROCESSO</t>
  </si>
  <si>
    <t>Requerimento Inicial de BI</t>
  </si>
  <si>
    <t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</si>
  <si>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</si>
  <si>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t>1. Logar no Portal do Atendimento INSS com o perfil do caso de teste
2.Criar tarefa de BI informando:
Tipo de Incapacidade? "Permanente"
A pessoa está presa?  Não
Categoria do trabalhador diferente de "Segurado Especial"
3. Criar o agendamento da perícia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</si>
  <si>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</si>
  <si>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</si>
  <si>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t>
  </si>
  <si>
    <t>Acionar Cumprimento de exigência de autodeclaração sem finalizar a autodeclaração</t>
  </si>
  <si>
    <t>1. Logar no Portal do Atendimento INSS com o perfil Servidor
2.Consultar uma tarefa em exigência de autodeclaração e acionar Cumprir Exigência
Será exibida a tela de autodeclaração  
3. Responder o formulário de autodeclaração mas não finalizar</t>
  </si>
  <si>
    <t xml:space="preserve">Tarefa de BI com situação Exigência
Divergência de autodeclaraçãonão (116) presente na tarefa
</t>
  </si>
  <si>
    <t>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</si>
  <si>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</si>
  <si>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t>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</si>
  <si>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</si>
  <si>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t>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</si>
  <si>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</si>
  <si>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</si>
  <si>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</si>
  <si>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</si>
  <si>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</si>
  <si>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</si>
  <si>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t xml:space="preserve">
Tarefa de BI criada com situação Pendente.
Divergência de autodeclaração (116) incluída na tarefa
Após execução workflow:
Tarefa de BI com situação alterada para Exigência .
Status SIBE igual a  FLUXO NÃO INICIADO
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</si>
  <si>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</si>
  <si>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</si>
  <si>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</si>
  <si>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</si>
  <si>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</si>
  <si>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1. Logar no Meu INSS
2.Criar tarefa de BI informando:
Tipo de Incapacidade? "Temporária "
A pessoa está presa?  Não
Categoria do trabalhador diferente de "Segurado Especial"
</t>
  </si>
  <si>
    <t>1. Logar no  Meu INSS
2.Criar tarefa de BI informando:
Tipo de Incapacidade? "Permanente"
A pessoa está presa?  Não
Categoria do trabalhador diferente de "Segurado Especial"
3. Criar o agendamento da perícia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</si>
  <si>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</si>
  <si>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</si>
  <si>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</si>
  <si>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t>1. Logar no  Meu INSS
2.Consultar uma tarefa em exigência de autodeclaração e acionar Cumprir Exigência  
3. Responder o formulário de autodeclaração</t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</si>
  <si>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</si>
  <si>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</si>
  <si>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t>1. Logar no  Meu INSS
2.Consultar uma tarefa em exigência de documento médico 
3. Acionar no card do pedido a opção de Autodeclaração   
3. Responder o formulário de autodeclaração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</si>
  <si>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</si>
  <si>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</si>
  <si>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>1. Logar no Portal do Atendimento INSS com o perfil do caso de teste
2.Criar tarefa de BI informando:
Tipo de Incapacidade? "Temporária "
A pessoa está presa?  Não
Categoria do trabalhador  diferente de "Segurado Especial"</t>
  </si>
  <si>
    <t>1. Logar no Portal do Atendimento INSS com o perfil do caso de teste
2.Criar tarefa de BI informando:
Tipo de Incapacidade? "Temporária "
A pessoa está presa?  Não
Categoria do trabalhador diferente de "Segurado Especial"</t>
  </si>
  <si>
    <t>ENTIDADE_CONVENIADA_CORREIOS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</si>
  <si>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</si>
  <si>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</si>
  <si>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Arial"/>
        <family val="2"/>
      </rPr>
      <t>DPT: Tarefa.Exige_autodeclaração = 0</t>
    </r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</si>
  <si>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DPT: Tarefa.Exige_autodeclaração = 0</t>
    </r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</si>
  <si>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Arial"/>
        <family val="2"/>
      </rPr>
      <t xml:space="preserve">
Tarefa.Exige_autodeclaração = 0</t>
    </r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</si>
  <si>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</si>
  <si>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r>
      <t xml:space="preserve">
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</t>
    </r>
    <r>
      <rPr>
        <sz val="10"/>
        <color rgb="FF000000"/>
        <rFont val="Arial"/>
        <family val="2"/>
      </rPr>
      <t xml:space="preserve">
</t>
    </r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</si>
  <si>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</si>
  <si>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</si>
  <si>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</si>
  <si>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</si>
  <si>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</si>
  <si>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</si>
  <si>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</si>
  <si>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t>
  </si>
  <si>
    <r>
      <t xml:space="preserve">
Resultado 1:
Tarefa de BI criada em Exigência de documento médico
Status SIBE igual a  FLUXO NÃO INICIADO
Divergência de falta de autodeclaração incluída na tarefa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t>
    </r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</si>
  <si>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</si>
  <si>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</si>
  <si>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</si>
  <si>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</si>
  <si>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</si>
  <si>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</si>
  <si>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</si>
  <si>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</si>
  <si>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</si>
  <si>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</si>
  <si>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</si>
  <si>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Calibri"/>
        <family val="2"/>
        <scheme val="minor"/>
      </rPr>
      <t>Tarefa.Exige_autodeclaração = 0</t>
    </r>
  </si>
  <si>
    <r>
      <t xml:space="preserve">
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  <r>
      <rPr>
        <sz val="10"/>
        <color theme="1"/>
        <rFont val="Calibri"/>
        <family val="2"/>
        <scheme val="minor"/>
      </rPr>
      <t xml:space="preserve">
</t>
    </r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</si>
  <si>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</t>
  </si>
  <si>
    <t xml:space="preserve">
Criar tarefa de BI inicial fluxo ATESTMEDQ para categoria diferente de "Segurado especial" onde o parâmetro "Exige Autodeclaração" no Catálogo está DESATIVADO
**Parâmetro PAT ligado: 144 - Fluxo ATESTMEDQ
</t>
  </si>
  <si>
    <t>Criar tarefa de BI inicial fluxo ATESTMEDQ para categoria diferente de "Segurado especial" onde o parâmetro "Exige Autodeclaração" no Catálogo está ATIVADO
**Parâmetro PAT ligado: 144 - Fluxo ATESTMEDQ</t>
  </si>
  <si>
    <t>Criar tarefa de BI inicial fluxo ATESTMEDQ para categoria "Segurado especial" onde o parâmetro "Exige Autodeclaração" no Catálogo está DESATIVADO
**Parâmetro PAT ligado: 144 - Fluxo ATESTMEDQ</t>
  </si>
  <si>
    <t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t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</si>
  <si>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</si>
  <si>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</si>
  <si>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</si>
  <si>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t xml:space="preserve">
Criar tarefa de BI inicial fluxo ATESTMEDQ para categoria "Segurado especial" onde o parâmetro "Exige Autodeclaração" no Catálogo está ATIVADO e  NÃO foi respondida a autodeclaração
**Parâmetro PAT ligado: 144 - Fluxo ATESTMEDQ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</si>
  <si>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</si>
  <si>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</si>
  <si>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</si>
  <si>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</si>
  <si>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 xml:space="preserve">
Criar tarefa de BI inicial fluxo ATESTMEDQ para categoria diferente de "Segurado especial" onde o parâmetro "Exige Autodeclaração" no Catálogo está ATIVADO
**Parâmetro PAT ligado: 144 - Fluxo ATESTMEDQ</t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</si>
  <si>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</si>
  <si>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 xml:space="preserve">
Criar tarefa de BI inicial fluxo ATESTMEDQ para categoria "Segurado especial" onde o parâmetro "Exige Autodeclaração" no Catálogo está ATIVADO e a autodeclaração tem período pendente
**Parâmetro PAT ligado: 144 - Fluxo ATESTMEDQ</t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</si>
  <si>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</si>
  <si>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t xml:space="preserve">
Criar tarefa de BI inicial fluxo ATESTMEDQ para categoria "Segurado especial" onde o parâmetro "Exige Autodeclaração" no Catálogo está ATIVADO e foi respondida a autodeclaração com período pendente
**Parâmetro PAT ligado: 144 - Fluxo ATESTMEDQ</t>
  </si>
  <si>
    <t xml:space="preserve"> 
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</si>
  <si>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</si>
  <si>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</si>
  <si>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</si>
  <si>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</si>
  <si>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</si>
  <si>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</si>
  <si>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</si>
  <si>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</si>
  <si>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</si>
  <si>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</si>
  <si>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</si>
  <si>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</si>
  <si>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</si>
  <si>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</si>
  <si>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</si>
  <si>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</si>
  <si>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</si>
  <si>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</si>
  <si>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13071027516</t>
  </si>
  <si>
    <t>01565614178</t>
  </si>
  <si>
    <t>73565506792</t>
  </si>
  <si>
    <t>00524207364</t>
  </si>
  <si>
    <t>27112510635</t>
  </si>
  <si>
    <t>04764682303</t>
  </si>
  <si>
    <t>50745214320</t>
  </si>
  <si>
    <t>05261351073</t>
  </si>
  <si>
    <t>82270850670</t>
  </si>
  <si>
    <t>23474665260</t>
  </si>
  <si>
    <t>81517342309</t>
  </si>
  <si>
    <t>85701566005</t>
  </si>
  <si>
    <t>60560100400</t>
  </si>
  <si>
    <t>06176146364</t>
  </si>
  <si>
    <t>83665762804</t>
  </si>
  <si>
    <t>64334488528</t>
  </si>
  <si>
    <t>Requerente Empregado com CNPJ COM DUT</t>
  </si>
  <si>
    <t>CNPJ</t>
  </si>
  <si>
    <t>DUT</t>
  </si>
  <si>
    <t>10000002658</t>
  </si>
  <si>
    <t>11.410.703/0001-04</t>
  </si>
  <si>
    <t>X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</si>
  <si>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</si>
  <si>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</si>
  <si>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</si>
  <si>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</si>
  <si>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</si>
  <si>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</si>
  <si>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</si>
  <si>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</si>
  <si>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</si>
  <si>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</si>
  <si>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</si>
  <si>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</si>
  <si>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</si>
  <si>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</si>
  <si>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</si>
  <si>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</si>
  <si>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</si>
  <si>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</si>
  <si>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</si>
  <si>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</si>
  <si>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</si>
  <si>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</si>
  <si>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</si>
  <si>
    <t>HOMOLOGADOR</t>
  </si>
  <si>
    <t>Alexandre</t>
  </si>
  <si>
    <t>Aciria</t>
  </si>
  <si>
    <t>Coluna1</t>
  </si>
  <si>
    <t>homologador01</t>
  </si>
  <si>
    <t>homologador02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</si>
</sst>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20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8" xfId="0" quotePrefix="1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1" xfId="0" quotePrefix="1" applyFont="1" applyBorder="1" applyAlignment="1">
      <alignment horizontal="left" vertical="center" wrapText="1"/>
    </xf>
    <xf numFmtId="0" fontId="8" fillId="0" borderId="1" xfId="1" applyBorder="1" applyAlignment="1">
      <alignment horizontal="left" vertical="center" wrapText="1"/>
    </xf>
    <xf numFmtId="0" fontId="8" fillId="0" borderId="1" xfId="1" applyFill="1" applyBorder="1" applyAlignment="1">
      <alignment horizontal="left" vertical="center" wrapText="1"/>
    </xf>
    <xf numFmtId="0" fontId="9" fillId="0" borderId="1" xfId="0" quotePrefix="1" applyFont="1" applyBorder="1" applyAlignment="1">
      <alignment horizontal="left" vertical="center" wrapText="1"/>
    </xf>
    <xf numFmtId="0" fontId="0" fillId="0" borderId="8" xfId="0" applyBorder="1" applyAlignment="1" applyProtection="1">
      <alignment horizontal="left" vertical="center" wrapText="1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14" fontId="0" fillId="4" borderId="1" xfId="0" applyNumberFormat="1" applyFill="1" applyBorder="1" applyAlignment="1" applyProtection="1">
      <alignment horizontal="left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5" borderId="10" xfId="0" applyFill="1" applyBorder="1" applyAlignment="1">
      <alignment horizontal="center" vertical="center" wrapText="1"/>
    </xf>
    <xf numFmtId="14" fontId="0" fillId="4" borderId="8" xfId="0" applyNumberFormat="1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left" vertical="center" wrapText="1"/>
    </xf>
    <xf numFmtId="14" fontId="0" fillId="4" borderId="8" xfId="0" applyNumberFormat="1" applyFill="1" applyBorder="1" applyAlignment="1" applyProtection="1">
      <alignment horizontal="center" vertical="center" wrapText="1"/>
      <protection locked="0"/>
    </xf>
    <xf numFmtId="0" fontId="0" fillId="4" borderId="8" xfId="0" applyFill="1" applyBorder="1" applyAlignment="1" applyProtection="1">
      <alignment horizontal="center" vertical="center" wrapText="1"/>
      <protection locked="0"/>
    </xf>
    <xf numFmtId="0" fontId="0" fillId="4" borderId="8" xfId="0" applyFill="1" applyBorder="1" applyAlignment="1" applyProtection="1">
      <alignment horizontal="left" vertical="center" wrapText="1"/>
      <protection locked="0"/>
    </xf>
    <xf numFmtId="0" fontId="0" fillId="4" borderId="9" xfId="0" applyFill="1" applyBorder="1" applyAlignment="1" applyProtection="1">
      <alignment horizontal="left" vertical="center" wrapText="1"/>
      <protection locked="0"/>
    </xf>
    <xf numFmtId="0" fontId="10" fillId="3" borderId="0" xfId="0" applyFont="1" applyFill="1" applyAlignment="1">
      <alignment horizontal="center"/>
    </xf>
    <xf numFmtId="0" fontId="15" fillId="0" borderId="0" xfId="1" applyFont="1"/>
    <xf numFmtId="0" fontId="9" fillId="0" borderId="0" xfId="1" applyFont="1"/>
    <xf numFmtId="0" fontId="10" fillId="0" borderId="0" xfId="1" applyFont="1" applyAlignment="1">
      <alignment wrapText="1"/>
    </xf>
    <xf numFmtId="0" fontId="8" fillId="0" borderId="0" xfId="1"/>
    <xf numFmtId="0" fontId="16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5" fillId="6" borderId="0" xfId="0" applyFont="1" applyFill="1"/>
    <xf numFmtId="0" fontId="18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9" fillId="0" borderId="0" xfId="0" applyFont="1" applyAlignment="1">
      <alignment horizontal="center"/>
    </xf>
    <xf numFmtId="0" fontId="15" fillId="6" borderId="0" xfId="0" applyFont="1" applyFill="1" applyAlignment="1">
      <alignment horizontal="center"/>
    </xf>
    <xf numFmtId="49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5" fillId="6" borderId="0" xfId="0" applyFont="1" applyFill="1" applyAlignment="1">
      <alignment horizontal="left"/>
    </xf>
    <xf numFmtId="0" fontId="15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0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6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vertical="center"/>
      <protection locked="0"/>
    </xf>
    <xf numFmtId="0" fontId="4" fillId="2" borderId="4" xfId="0" applyFont="1" applyFill="1" applyBorder="1" applyAlignment="1" applyProtection="1">
      <alignment vertical="center"/>
      <protection locked="0"/>
    </xf>
    <xf numFmtId="164" fontId="0" fillId="4" borderId="8" xfId="0" applyNumberFormat="1" applyFill="1" applyBorder="1" applyAlignment="1" applyProtection="1">
      <alignment horizontal="center" vertical="center" wrapText="1"/>
      <protection locked="0"/>
    </xf>
    <xf numFmtId="0" fontId="6" fillId="4" borderId="8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5" fillId="6" borderId="0" xfId="0" applyFont="1" applyFill="1" applyAlignment="1">
      <alignment horizontal="left" wrapText="1"/>
    </xf>
    <xf numFmtId="0" fontId="15" fillId="6" borderId="0" xfId="0" applyFont="1" applyFill="1" applyAlignment="1">
      <alignment horizontal="left"/>
    </xf>
    <xf numFmtId="0" fontId="15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left"/>
      <protection locked="0"/>
    </xf>
    <xf numFmtId="0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8" xfId="0" applyNumberFormat="1" applyFill="1" applyBorder="1" applyAlignment="1" applyProtection="1">
      <alignment horizontal="center" vertical="center" wrapText="1"/>
      <protection locked="0"/>
    </xf>
    <xf numFmtId="0" fontId="11" fillId="0" borderId="1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4" fillId="3" borderId="3" xfId="0" applyFont="1" applyFill="1" applyBorder="1" applyAlignment="1">
      <alignment horizontal="center" vertical="center"/>
    </xf>
    <xf numFmtId="0" fontId="0" fillId="4" borderId="1" xfId="0" applyNumberFormat="1" applyFill="1" applyBorder="1" applyAlignment="1" applyProtection="1">
      <alignment horizontal="left" vertical="center" wrapText="1"/>
      <protection locked="0"/>
    </xf>
    <xf numFmtId="0" fontId="0" fillId="4" borderId="8" xfId="0" applyNumberFormat="1" applyFill="1" applyBorder="1" applyAlignment="1" applyProtection="1">
      <alignment horizontal="left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164"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top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64" formatCode="dd/mm/yy;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alignment horizontal="left" vertical="top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alignment horizontal="left" vertical="top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top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top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top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top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top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top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#REF!</fb>
    <v>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9A6787-7B0C-4CC0-B98E-8516F35BBC20}" name="TesteHomologador" displayName="TesteHomologador" ref="B8:O65" totalsRowShown="0" headerRowDxfId="163" dataDxfId="161" headerRowBorderDxfId="162" tableBorderDxfId="160" totalsRowBorderDxfId="159">
  <autoFilter ref="B8:O65" xr:uid="{2A9A6787-7B0C-4CC0-B98E-8516F35BBC20}"/>
  <tableColumns count="14">
    <tableColumn id="1" xr3:uid="{BD20FE28-905E-472B-93B1-D2030E48427F}" name="#" dataDxfId="158"/>
    <tableColumn id="2" xr3:uid="{FF1773CA-9B42-465C-871C-EA95B6DE65EC}" name="LIBERADO" dataDxfId="157"/>
    <tableColumn id="3" xr3:uid="{ADCC4EB6-98A0-495C-90A9-F6638953F500}" name="CASO DE TESTE" dataDxfId="156"/>
    <tableColumn id="4" xr3:uid="{52A293F9-12E8-416D-A2B4-FA58FF1E98CE}" name="CANAL" dataDxfId="155"/>
    <tableColumn id="5" xr3:uid="{BC4E94E4-50A8-4246-AE3A-7F1FD4A1E859}" name="PAPEL" dataDxfId="154"/>
    <tableColumn id="6" xr3:uid="{B81AA01D-4B6E-405A-8B47-CB76BD000447}" name="FLUXO" dataDxfId="153"/>
    <tableColumn id="7" xr3:uid="{7C4AD7C5-322D-4326-B52B-3B318D487ADD}" name="MASSA" dataDxfId="152"/>
    <tableColumn id="8" xr3:uid="{3BBDDABE-7B7A-46CB-8718-A2EDEF5577C3}" name="PARÂMETROS" dataDxfId="151"/>
    <tableColumn id="9" xr3:uid="{184A7504-2FC2-4C06-9DB6-075416B47F97}" name="RESULTADO ESPERADO" dataDxfId="150"/>
    <tableColumn id="10" xr3:uid="{B479B5E2-CF68-4EAD-9818-68A5228893FE}" name="DATA EXECUÇÃO" dataDxfId="149"/>
    <tableColumn id="11" xr3:uid="{248069C5-4CBA-4B18-A3DB-AF656311B941}" name="STATUS CT" dataDxfId="148"/>
    <tableColumn id="12" xr3:uid="{E10B10FF-5987-4A95-BEE6-9EC3603B2499}" name="RESULTADO ENCONTRADO" dataDxfId="147"/>
    <tableColumn id="13" xr3:uid="{ABDC959D-1070-40D9-B423-A4BC4BB7E2F3}" name="ANÁLISE DATAPREV" dataDxfId="146"/>
    <tableColumn id="14" xr3:uid="{0C118CE6-9D6F-4419-93C0-AD2B9A9D3372}" name="MELHORIAS" dataDxfId="1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4" totalsRowShown="0" headerRowDxfId="144">
  <autoFilter ref="B2:B4" xr:uid="{667B9803-20C2-4012-A62D-71A850C42163}"/>
  <sortState xmlns:xlrd2="http://schemas.microsoft.com/office/spreadsheetml/2017/richdata2" ref="B3:B6">
    <sortCondition ref="B5:B6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143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142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3" totalsRowShown="0" headerRowDxfId="141">
  <autoFilter ref="H2:H3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140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L200" totalsRowShown="0" headerRowDxfId="86" dataDxfId="85" headerRowBorderDxfId="83" tableBorderDxfId="84" totalsRowBorderDxfId="82">
  <autoFilter ref="B7:L200" xr:uid="{2A9A6787-7B0C-4CC0-B98E-8516F35BBC20}"/>
  <tableColumns count="11">
    <tableColumn id="1" xr3:uid="{41A2E911-901C-4618-AC32-03DC8F3FD114}" name="#" dataDxfId="81">
      <calculatedColumnFormula>IF(ISERR(casostestes[[#This Row],[ID]]),"-",casostestes[[#This Row],[ID]])</calculatedColumnFormula>
    </tableColumn>
    <tableColumn id="2" xr3:uid="{EC289FC3-E912-4EAA-AF37-AE31E44ECA51}" name="LIBERADO" dataDxfId="80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79">
      <calculatedColumnFormula>IFERROR(IF(VLOOKUP($B8,casostestes[#Data],2)=0,"-",VLOOKUP($B8,casostestes[#Data],2)), "-")</calculatedColumnFormula>
    </tableColumn>
    <tableColumn id="3" xr3:uid="{480D7095-064A-45B2-917B-796363470AC8}" name="CASO DE TESTE" dataDxfId="78">
      <calculatedColumnFormula>IFERROR(IF(VLOOKUP($B8,casostestes[#Data],3)=0,"-",VLOOKUP($B8,casostestes[#Data],3)), "-")</calculatedColumnFormula>
    </tableColumn>
    <tableColumn id="4" xr3:uid="{EDD6B249-6FC5-4799-85E6-E82AF1EC1DF8}" name="CANAL" dataDxfId="77">
      <calculatedColumnFormula>IFERROR(IF(VLOOKUP($B8,casostestes[#Data],4)=0,"-",VLOOKUP($B8,casostestes[#Data],4)),"-")</calculatedColumnFormula>
    </tableColumn>
    <tableColumn id="5" xr3:uid="{78FEB2C6-3C92-47D2-9F3F-C3F72B6C58EE}" name="PAPEL" dataDxfId="76">
      <calculatedColumnFormula>IFERROR(IF(VLOOKUP($B8,casostestes[#Data],5)=0,"-",VLOOKUP($B8,casostestes[#Data],5)),"-")</calculatedColumnFormula>
    </tableColumn>
    <tableColumn id="6" xr3:uid="{B1EA3B9A-7850-4D73-947B-5046E272051B}" name="FLUXO" dataDxfId="75">
      <calculatedColumnFormula>IFERROR(IF(VLOOKUP($B8,casostestes[#Data],6)=0,"-",VLOOKUP($B8,casostestes[#Data],6)),"-")</calculatedColumnFormula>
    </tableColumn>
    <tableColumn id="8" xr3:uid="{7FE963F4-3C65-4A81-AD27-DAD5197227E7}" name="PARÂMETROS" dataDxfId="74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73">
      <calculatedColumnFormula>IFERROR(IF(VLOOKUP($B8,casostestes[#Data],9)=0,"-",VLOOKUP($B8,casostestes[#Data],9)),"-")</calculatedColumnFormula>
    </tableColumn>
    <tableColumn id="10" xr3:uid="{3F661F5F-EC17-4307-BE7F-86912B85CEC1}" name="homologador01" dataDxfId="13">
      <calculatedColumnFormula>IFERROR(IF(VLOOKUP($B8,homologador01[#Data],12)=0,"Não executado",VLOOKUP($B8,homologador01[#Data],12)),"Não executado")</calculatedColumnFormula>
    </tableColumn>
    <tableColumn id="13" xr3:uid="{3AEE7F29-CF7F-4DD0-B1CB-84C2F8F586D9}" name="homologador02" dataDxfId="14">
      <calculatedColumnFormula>IFERROR(IF(VLOOKUP($B8,homologador02[#Data],12)=0,"-",VLOOKUP($B8,homologador02[#Data],12)),"-")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139" dataDxfId="137" headerRowBorderDxfId="138" tableBorderDxfId="136" totalsRowBorderDxfId="135">
  <autoFilter ref="B7:P200" xr:uid="{2A9A6787-7B0C-4CC0-B98E-8516F35BBC20}"/>
  <tableColumns count="15">
    <tableColumn id="1" xr3:uid="{CD6ECAEE-66B3-420F-B518-A6B46751B3A1}" name="#" dataDxfId="134">
      <calculatedColumnFormula>IF(ISERR(casostestes[[#This Row],[ID]]),"-",casostestes[[#This Row],[ID]])</calculatedColumnFormula>
    </tableColumn>
    <tableColumn id="2" xr3:uid="{BB1F65E5-D895-4388-9FEF-11BA8AF13C40}" name="LIBERADO" dataDxfId="133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132">
      <calculatedColumnFormula>IFERROR(IF(VLOOKUP($B8,casostestes[#Data],2)=0,"-",VLOOKUP($B8,casostestes[#Data],2)), "-")</calculatedColumnFormula>
    </tableColumn>
    <tableColumn id="3" xr3:uid="{F0AD07FB-7FC0-478A-8E61-11D7CB6D0F7B}" name="CASO DE TESTE" dataDxfId="131">
      <calculatedColumnFormula>IFERROR(IF(VLOOKUP($B8,casostestes[#Data],3)=0,"-",VLOOKUP($B8,casostestes[#Data],3)), "-")</calculatedColumnFormula>
    </tableColumn>
    <tableColumn id="4" xr3:uid="{E522F20A-CF8F-43F5-BDD8-6D5C17B75A96}" name="CANAL" dataDxfId="130">
      <calculatedColumnFormula>IFERROR(IF(VLOOKUP($B8,casostestes[#Data],4)=0,"-",VLOOKUP($B8,casostestes[#Data],4)),"-")</calculatedColumnFormula>
    </tableColumn>
    <tableColumn id="5" xr3:uid="{CB19B151-6186-4C9B-8391-96DB1E79F332}" name="PAPEL" dataDxfId="129">
      <calculatedColumnFormula>IFERROR(IF(VLOOKUP($B8,casostestes[#Data],5)=0,"-",VLOOKUP($B8,casostestes[#Data],5)),"-")</calculatedColumnFormula>
    </tableColumn>
    <tableColumn id="6" xr3:uid="{14CD8158-101E-4D64-8C31-AA5FEC25F48D}" name="FLUXO" dataDxfId="128">
      <calculatedColumnFormula>IFERROR(IF(VLOOKUP($B8,casostestes[#Data],6)=0,"-",VLOOKUP($B8,casostestes[#Data],6)),"-")</calculatedColumnFormula>
    </tableColumn>
    <tableColumn id="8" xr3:uid="{5AA1DD0C-8F31-4236-A2AB-089CDD8DE3AA}" name="PARÂMETROS" dataDxfId="127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126">
      <calculatedColumnFormula>IFERROR(IF(VLOOKUP($B8,casostestes[#Data],9)=0,"-",VLOOKUP($B8,casostestes[#Data],9)),"-")</calculatedColumnFormula>
    </tableColumn>
    <tableColumn id="10" xr3:uid="{86653CCC-A4F3-4277-A690-E16C8F3E7B75}" name="DATA EXECUÇÃO" dataDxfId="12"/>
    <tableColumn id="16" xr3:uid="{DFB2FB32-E6E4-45EF-B36E-4F7DFD9E754F}" name="MASSA" dataDxfId="10"/>
    <tableColumn id="11" xr3:uid="{7E37877D-16C5-4D3C-AC1C-B0CEE77B8FF2}" name="STATUS CT" dataDxfId="11"/>
    <tableColumn id="12" xr3:uid="{819922A2-32D1-4EF4-952A-CC464AD0B2AF}" name="RESULTADO ENCONTRADO" dataDxfId="125"/>
    <tableColumn id="13" xr3:uid="{F480B946-9132-4D43-8F60-BBCDBE45D259}" name="ANÁLISE DATAPREV" dataDxfId="124"/>
    <tableColumn id="14" xr3:uid="{74B7411B-D1B8-4F2A-BED4-C92ED4E65BD0}" name="MELHORIAS" dataDxfId="12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M43" totalsRowShown="0" headerRowDxfId="72" dataDxfId="71" headerRowBorderDxfId="70">
  <tableColumns count="12">
    <tableColumn id="1" xr3:uid="{D0EB34F0-228A-4DA3-8F50-658F31857596}" name="ID" dataDxfId="69">
      <calculatedColumnFormula>IF(B7="ID",1,B7+1)</calculatedColumnFormula>
    </tableColumn>
    <tableColumn id="2" xr3:uid="{3B7B72C8-9DED-4116-9AD8-068217BA72DD}" name="MACROPROCESSO" dataDxfId="68"/>
    <tableColumn id="11" xr3:uid="{9E29CDB8-0058-4D93-917D-61551EB0CA18}" name="CASO DE TESTE" dataDxfId="67"/>
    <tableColumn id="3" xr3:uid="{472C9E90-65CD-4B11-9A5F-5EB1937E4FFA}" name="CANAL" dataDxfId="66"/>
    <tableColumn id="4" xr3:uid="{59656E50-12E3-46C3-A13A-26951B1820C9}" name="PAPEL" dataDxfId="65"/>
    <tableColumn id="5" xr3:uid="{AEA2FAED-7D2E-4293-BBCA-79ED6EEA32D0}" name="FLUXO" dataDxfId="64"/>
    <tableColumn id="6" xr3:uid="{DC862479-F96A-4489-B754-E460AC31CD87}" name="MASSA" dataDxfId="63" dataCellStyle="Hyperlink"/>
    <tableColumn id="7" xr3:uid="{AEBD9D93-3FD7-4DA9-A8E3-765EAB74169E}" name="PARAMETROS" dataDxfId="62"/>
    <tableColumn id="8" xr3:uid="{E5DC80E1-82D1-44C1-A569-B12CF2AC255A}" name="RESULTADO ESPERADO" dataDxfId="61"/>
    <tableColumn id="9" xr3:uid="{35CD6638-BA69-4411-9508-669D88717D8A}" name="LIBERADO" dataDxfId="60"/>
    <tableColumn id="10" xr3:uid="{FE7FD030-91DD-4BDD-8D25-29CA6181C222}" name="ASSUNTO" dataDxfId="59"/>
    <tableColumn id="12" xr3:uid="{5D4B84F2-4587-46F4-8DEC-9321A11513EF}" name="Coluna1" dataDxfId="5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homologador01" displayName="homologador01" ref="B7:P200" totalsRowShown="0" headerRowDxfId="122" dataDxfId="120" headerRowBorderDxfId="121" tableBorderDxfId="119" totalsRowBorderDxfId="118">
  <autoFilter ref="B7:P200" xr:uid="{2A9A6787-7B0C-4CC0-B98E-8516F35BBC20}"/>
  <tableColumns count="15">
    <tableColumn id="1" xr3:uid="{6874BA9F-6243-4CE8-841F-1096005ABEBA}" name="#" dataDxfId="117">
      <calculatedColumnFormula>IF(ISERR(casostestes[[#This Row],[ID]]),"-",casostestes[[#This Row],[ID]])</calculatedColumnFormula>
    </tableColumn>
    <tableColumn id="2" xr3:uid="{50D763A2-B917-4F2B-A4C5-C664D2D09FD3}" name="LIBERADO" dataDxfId="116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115">
      <calculatedColumnFormula>IFERROR(IF(VLOOKUP($B8,casostestes[#Data],2)=0,"-",VLOOKUP($B8,casostestes[#Data],2)), "-")</calculatedColumnFormula>
    </tableColumn>
    <tableColumn id="3" xr3:uid="{3BF2EA24-FE5F-4AFE-8908-275FE8EDBBB8}" name="CASO DE TESTE" dataDxfId="114">
      <calculatedColumnFormula>IFERROR(IF(VLOOKUP($B8,casostestes[#Data],3)=0,"-",VLOOKUP($B8,casostestes[#Data],3)), "-")</calculatedColumnFormula>
    </tableColumn>
    <tableColumn id="4" xr3:uid="{A117383D-BAE7-426D-A3D3-DE133BAB6457}" name="CANAL" dataDxfId="113">
      <calculatedColumnFormula>IFERROR(IF(VLOOKUP($B8,casostestes[#Data],4)=0,"-",VLOOKUP($B8,casostestes[#Data],4)),"-")</calculatedColumnFormula>
    </tableColumn>
    <tableColumn id="5" xr3:uid="{5099438E-BE34-4E20-BD65-929FAB2F2FF9}" name="PAPEL" dataDxfId="112">
      <calculatedColumnFormula>IFERROR(IF(VLOOKUP($B8,casostestes[#Data],5)=0,"-",VLOOKUP($B8,casostestes[#Data],5)),"-")</calculatedColumnFormula>
    </tableColumn>
    <tableColumn id="6" xr3:uid="{13A45852-2E05-42D8-B3AB-A3DEE9FE2385}" name="FLUXO" dataDxfId="111">
      <calculatedColumnFormula>IFERROR(IF(VLOOKUP($B8,casostestes[#Data],6)=0,"-",VLOOKUP($B8,casostestes[#Data],6)),"-")</calculatedColumnFormula>
    </tableColumn>
    <tableColumn id="8" xr3:uid="{944D2A76-E78D-4D37-9019-EE2105D83FE8}" name="PARÂMETROS" dataDxfId="110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109">
      <calculatedColumnFormula>IFERROR(IF(VLOOKUP($B8,casostestes[#Data],9)=0,"-",VLOOKUP($B8,casostestes[#Data],9)),"-")</calculatedColumnFormula>
    </tableColumn>
    <tableColumn id="10" xr3:uid="{A4F3B7BC-6FAE-498D-954D-81FD5FC02CA2}" name="DATA EXECUÇÃO" dataDxfId="9"/>
    <tableColumn id="16" xr3:uid="{9D9B34A2-1BC9-4F49-A98B-CD5D9A14410C}" name="MASSA" dataDxfId="7"/>
    <tableColumn id="11" xr3:uid="{989C4A1A-FDFA-42D8-A49B-382F973EF677}" name="STATUS CT" dataDxfId="8"/>
    <tableColumn id="12" xr3:uid="{F32AEFB1-307B-4F40-8828-D041D4DBD6F3}" name="RESULTADO ENCONTRADO" dataDxfId="108"/>
    <tableColumn id="13" xr3:uid="{B0C97651-8E92-444B-A56A-FC5F8AB1CB6B}" name="ANÁLISE DATAPREV" dataDxfId="107"/>
    <tableColumn id="14" xr3:uid="{6D67D78C-BE5A-4FAC-A0B1-CE1253809445}" name="MELHORIAS" dataDxfId="10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homologador02" displayName="homologador02" ref="B7:P200" totalsRowShown="0" headerRowDxfId="34" dataDxfId="33" headerRowBorderDxfId="31" tableBorderDxfId="32" totalsRowBorderDxfId="30">
  <autoFilter ref="B7:P200" xr:uid="{2A9A6787-7B0C-4CC0-B98E-8516F35BBC20}"/>
  <tableColumns count="15">
    <tableColumn id="1" xr3:uid="{933F96DE-101C-44F2-B285-505DF845FCAE}" name="#" dataDxfId="29">
      <calculatedColumnFormula>IF(ISERR(casostestes[[#This Row],[ID]]),"-",casostestes[[#This Row],[ID]])</calculatedColumnFormula>
    </tableColumn>
    <tableColumn id="2" xr3:uid="{9AD5BC7C-1F34-4703-AF35-438DBB09545C}" name="LIBERADO" dataDxfId="28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7">
      <calculatedColumnFormula>IFERROR(IF(VLOOKUP($B8,casostestes[#Data],2)=0,"-",VLOOKUP($B8,casostestes[#Data],2)), "-")</calculatedColumnFormula>
    </tableColumn>
    <tableColumn id="3" xr3:uid="{1F9F3311-7E8A-4DA5-AF60-1416AE0866AD}" name="CASO DE TESTE" dataDxfId="26">
      <calculatedColumnFormula>IFERROR(IF(VLOOKUP($B8,casostestes[#Data],3)=0,"-",VLOOKUP($B8,casostestes[#Data],3)), "-")</calculatedColumnFormula>
    </tableColumn>
    <tableColumn id="4" xr3:uid="{5D182E4E-6D88-47B2-892C-A27A1144A8C9}" name="CANAL" dataDxfId="25">
      <calculatedColumnFormula>IFERROR(IF(VLOOKUP($B8,casostestes[#Data],4)=0,"-",VLOOKUP($B8,casostestes[#Data],4)),"-")</calculatedColumnFormula>
    </tableColumn>
    <tableColumn id="5" xr3:uid="{31D75F94-2661-4823-96B3-43DC2889DE1B}" name="PAPEL" dataDxfId="24">
      <calculatedColumnFormula>IFERROR(IF(VLOOKUP($B8,casostestes[#Data],5)=0,"-",VLOOKUP($B8,casostestes[#Data],5)),"-")</calculatedColumnFormula>
    </tableColumn>
    <tableColumn id="6" xr3:uid="{33FB4546-A164-4584-ABE3-EED2153BD32D}" name="FLUXO" dataDxfId="23">
      <calculatedColumnFormula>IFERROR(IF(VLOOKUP($B8,casostestes[#Data],6)=0,"-",VLOOKUP($B8,casostestes[#Data],6)),"-")</calculatedColumnFormula>
    </tableColumn>
    <tableColumn id="8" xr3:uid="{86CA2667-7392-4936-BE0F-9759BCCB26FA}" name="PARÂMETROS" dataDxfId="22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1">
      <calculatedColumnFormula>IFERROR(IF(VLOOKUP($B8,casostestes[#Data],9)=0,"-",VLOOKUP($B8,casostestes[#Data],9)),"-")</calculatedColumnFormula>
    </tableColumn>
    <tableColumn id="10" xr3:uid="{5D211014-81B5-4253-A4FE-6B7452CB3993}" name="DATA EXECUÇÃO" dataDxfId="20"/>
    <tableColumn id="16" xr3:uid="{292163D2-BBE9-4D16-B39F-1F85548161FE}" name="MASSA" dataDxfId="19"/>
    <tableColumn id="11" xr3:uid="{9C020E8B-C034-40F6-BFF8-33B8536547B7}" name="STATUS CT" dataDxfId="18"/>
    <tableColumn id="12" xr3:uid="{D9EB6993-A629-4F2F-B77E-A1320F8387E4}" name="RESULTADO ENCONTRADO" dataDxfId="17"/>
    <tableColumn id="13" xr3:uid="{DDEB9215-032D-4CE8-91D9-BC656D8B06E2}" name="ANÁLISE DATAPREV" dataDxfId="16"/>
    <tableColumn id="14" xr3:uid="{FC3A2A8A-E2DD-4E03-9EF5-1F522CA9D6BF}" name="MELHORIAS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13" totalsRowShown="0" headerRowDxfId="105" headerRowBorderDxfId="104" tableBorderDxfId="103" totalsRowBorderDxfId="102">
  <autoFilter ref="B7:P13" xr:uid="{DBDC2211-FAD1-4649-9288-FEE7CDBCFD35}"/>
  <tableColumns count="15">
    <tableColumn id="1" xr3:uid="{FC06633D-A6E6-48AC-94FD-DDBEE17C581E}" name="ID" dataDxfId="101">
      <calculatedColumnFormula>IF(B7="ID",1,B7+1)</calculatedColumnFormula>
    </tableColumn>
    <tableColumn id="2" xr3:uid="{B6129F89-B8EF-4056-A71A-92B177DCDB51}" name="HOMOLOGADOR" dataDxfId="100"/>
    <tableColumn id="3" xr3:uid="{78FB55F3-CECE-4692-B025-4CEB8EF9F5BA}" name="MACROPROCESSO" dataDxfId="99"/>
    <tableColumn id="4" xr3:uid="{0F7541DE-8C43-408A-B8A8-E00D1E19E631}" name="CASO DE TESTE" dataDxfId="98"/>
    <tableColumn id="5" xr3:uid="{15555F26-BCB4-4D9B-B6B0-1E36EDB0CEFF}" name="CANAL" dataDxfId="97"/>
    <tableColumn id="6" xr3:uid="{B60DD58C-3846-4E42-9ABD-15F850C05008}" name="PAPEL" dataDxfId="96"/>
    <tableColumn id="7" xr3:uid="{D0FB9E81-E89A-45DD-9066-709CB33ADDC0}" name="FLUXO" dataDxfId="95"/>
    <tableColumn id="8" xr3:uid="{7D48D57E-5871-4D7A-A81B-35F64ABAC615}" name="PARÂMETROS" dataDxfId="94"/>
    <tableColumn id="9" xr3:uid="{3925F462-25F7-447C-BADE-5F98D47602AD}" name="RESULTADO ESPERADO" dataDxfId="93"/>
    <tableColumn id="10" xr3:uid="{414FFDB7-2210-4A6A-B1D0-9B6C39AC5E0D}" name="DATA EXECUÇÃO" dataDxfId="92"/>
    <tableColumn id="11" xr3:uid="{05D2DEA6-12EF-4D59-B11C-EEDAF504F26D}" name="MASSA" dataDxfId="91"/>
    <tableColumn id="12" xr3:uid="{09B77979-2E82-4BD5-A25B-0300714ACE38}" name="STATUS CT" dataDxfId="90"/>
    <tableColumn id="13" xr3:uid="{92767E6C-B253-4018-B75F-4BEB47D4A00A}" name="RESULTADO ENCONTRADO" dataDxfId="89"/>
    <tableColumn id="14" xr3:uid="{9442184F-E59B-40A9-BBD2-28A8933BBA5F}" name="ANÁLISE DATAPREV" dataDxfId="88"/>
    <tableColumn id="15" xr3:uid="{5B87B320-E744-4A29-BAE4-15727C123152}" name="MELHORIAS" dataDxfId="8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0DB5B-B938-46A7-AD62-252C77751853}">
  <dimension ref="B1:O65"/>
  <sheetViews>
    <sheetView showGridLines="0" topLeftCell="A10" workbookViewId="0">
      <selection activeCell="B3" sqref="B3:J3"/>
    </sheetView>
  </sheetViews>
  <sheetFormatPr defaultRowHeight="15"/>
  <cols>
    <col min="1" max="1" width="2.7109375" customWidth="1"/>
    <col min="2" max="2" width="9.7109375" bestFit="1" customWidth="1"/>
    <col min="3" max="3" width="11.85546875" customWidth="1"/>
    <col min="4" max="4" width="35.7109375" style="19" customWidth="1"/>
    <col min="5" max="5" width="17.7109375" style="19" customWidth="1"/>
    <col min="6" max="6" width="24.42578125" style="19" customWidth="1"/>
    <col min="7" max="7" width="48.140625" customWidth="1"/>
    <col min="8" max="8" width="25.7109375" customWidth="1"/>
    <col min="9" max="9" width="16.7109375" customWidth="1"/>
    <col min="10" max="10" width="35.7109375" style="19" customWidth="1"/>
    <col min="11" max="11" width="18" customWidth="1"/>
    <col min="12" max="12" width="21.85546875" customWidth="1"/>
    <col min="13" max="15" width="35.7109375" customWidth="1"/>
  </cols>
  <sheetData>
    <row r="1" spans="2:15" ht="26.25">
      <c r="B1" s="102" t="s">
        <v>0</v>
      </c>
      <c r="C1" s="102"/>
      <c r="D1" s="102"/>
      <c r="E1" s="102"/>
      <c r="F1" s="102"/>
      <c r="G1" s="102"/>
      <c r="H1" s="102"/>
      <c r="I1" s="102"/>
      <c r="J1" s="102"/>
      <c r="K1" s="4"/>
    </row>
    <row r="2" spans="2:15" s="1" customFormat="1" ht="23.25">
      <c r="B2" s="103" t="s">
        <v>1</v>
      </c>
      <c r="C2" s="103"/>
      <c r="D2" s="103"/>
      <c r="E2" s="103"/>
      <c r="F2" s="103"/>
      <c r="G2" s="103"/>
      <c r="H2" s="103"/>
      <c r="I2" s="103"/>
      <c r="J2" s="103"/>
      <c r="K2" s="5"/>
    </row>
    <row r="3" spans="2:15" s="1" customFormat="1" ht="23.25">
      <c r="B3" s="103" t="s">
        <v>17</v>
      </c>
      <c r="C3" s="103"/>
      <c r="D3" s="103"/>
      <c r="E3" s="103"/>
      <c r="F3" s="103"/>
      <c r="G3" s="103"/>
      <c r="H3" s="103"/>
      <c r="I3" s="103"/>
      <c r="J3" s="103"/>
      <c r="K3" s="5"/>
    </row>
    <row r="5" spans="2:15">
      <c r="B5" s="2" t="s">
        <v>2</v>
      </c>
      <c r="C5" s="2"/>
    </row>
    <row r="6" spans="2:15">
      <c r="B6" s="2"/>
      <c r="C6" s="2"/>
    </row>
    <row r="8" spans="2:15" s="3" customFormat="1" ht="19.899999999999999" customHeight="1">
      <c r="B8" s="20" t="s">
        <v>3</v>
      </c>
      <c r="C8" s="21" t="s">
        <v>4</v>
      </c>
      <c r="D8" s="22" t="s">
        <v>5</v>
      </c>
      <c r="E8" s="22" t="s">
        <v>6</v>
      </c>
      <c r="F8" s="22" t="s">
        <v>7</v>
      </c>
      <c r="G8" s="22" t="s">
        <v>8</v>
      </c>
      <c r="H8" s="22" t="s">
        <v>9</v>
      </c>
      <c r="I8" s="22" t="s">
        <v>10</v>
      </c>
      <c r="J8" s="22" t="s">
        <v>11</v>
      </c>
      <c r="K8" s="22" t="s">
        <v>12</v>
      </c>
      <c r="L8" s="22" t="s">
        <v>13</v>
      </c>
      <c r="M8" s="22" t="s">
        <v>14</v>
      </c>
      <c r="N8" s="22" t="s">
        <v>15</v>
      </c>
      <c r="O8" s="23" t="s">
        <v>16</v>
      </c>
    </row>
    <row r="9" spans="2:15" s="16" customFormat="1">
      <c r="B9" s="24">
        <v>1</v>
      </c>
      <c r="C9" s="18" t="e" vm="1">
        <v>#REF!</v>
      </c>
      <c r="D9" s="17" t="e" vm="1">
        <v>#REF!</v>
      </c>
      <c r="E9" s="17" t="e" vm="1">
        <v>#REF!</v>
      </c>
      <c r="F9" s="17" t="e" vm="1">
        <v>#REF!</v>
      </c>
      <c r="G9" s="17" t="e" vm="1">
        <v>#REF!</v>
      </c>
      <c r="H9" s="15"/>
      <c r="I9" s="14"/>
      <c r="J9" s="17" t="e" vm="1">
        <v>#REF!</v>
      </c>
      <c r="K9" s="14"/>
      <c r="L9" s="14" t="s">
        <v>23</v>
      </c>
      <c r="M9" s="14"/>
      <c r="N9" s="14"/>
      <c r="O9" s="25"/>
    </row>
    <row r="10" spans="2:15" s="16" customFormat="1">
      <c r="B10" s="24">
        <v>2</v>
      </c>
      <c r="C10" s="18" t="e" vm="1">
        <v>#REF!</v>
      </c>
      <c r="D10" s="17" t="e" vm="1">
        <v>#REF!</v>
      </c>
      <c r="E10" s="17" t="e" vm="1">
        <v>#REF!</v>
      </c>
      <c r="F10" s="17" t="e" vm="1">
        <v>#REF!</v>
      </c>
      <c r="G10" s="17" t="e" vm="1">
        <v>#REF!</v>
      </c>
      <c r="H10" s="15"/>
      <c r="I10" s="14"/>
      <c r="J10" s="17" t="e" vm="1">
        <v>#REF!</v>
      </c>
      <c r="K10" s="14"/>
      <c r="L10" s="14"/>
      <c r="M10" s="14"/>
      <c r="N10" s="14"/>
      <c r="O10" s="25"/>
    </row>
    <row r="11" spans="2:15" s="16" customFormat="1">
      <c r="B11" s="24">
        <v>3</v>
      </c>
      <c r="C11" s="18" t="e" vm="1">
        <v>#REF!</v>
      </c>
      <c r="D11" s="17" t="e" vm="1">
        <v>#REF!</v>
      </c>
      <c r="E11" s="17" t="e" vm="1">
        <v>#REF!</v>
      </c>
      <c r="F11" s="17" t="e" vm="1">
        <v>#REF!</v>
      </c>
      <c r="G11" s="17" t="e" vm="1">
        <v>#REF!</v>
      </c>
      <c r="H11" s="15"/>
      <c r="I11" s="14"/>
      <c r="J11" s="17" t="e" vm="1">
        <v>#REF!</v>
      </c>
      <c r="K11" s="14"/>
      <c r="L11" s="14"/>
      <c r="M11" s="14"/>
      <c r="N11" s="14"/>
      <c r="O11" s="25"/>
    </row>
    <row r="12" spans="2:15" s="16" customFormat="1">
      <c r="B12" s="24">
        <v>4</v>
      </c>
      <c r="C12" s="18" t="e" vm="1">
        <v>#REF!</v>
      </c>
      <c r="D12" s="17" t="e" vm="1">
        <v>#REF!</v>
      </c>
      <c r="E12" s="17" t="e" vm="1">
        <v>#REF!</v>
      </c>
      <c r="F12" s="17" t="e" vm="1">
        <v>#REF!</v>
      </c>
      <c r="G12" s="17" t="e" vm="1">
        <v>#REF!</v>
      </c>
      <c r="H12" s="15"/>
      <c r="I12" s="14"/>
      <c r="J12" s="17" t="e" vm="1">
        <v>#REF!</v>
      </c>
      <c r="K12" s="14"/>
      <c r="L12" s="14"/>
      <c r="M12" s="14"/>
      <c r="N12" s="14"/>
      <c r="O12" s="25"/>
    </row>
    <row r="13" spans="2:15" s="16" customFormat="1">
      <c r="B13" s="24">
        <v>5</v>
      </c>
      <c r="C13" s="18" t="e" vm="1">
        <v>#REF!</v>
      </c>
      <c r="D13" s="17" t="e" vm="1">
        <v>#REF!</v>
      </c>
      <c r="E13" s="17" t="e" vm="1">
        <v>#REF!</v>
      </c>
      <c r="F13" s="17" t="e" vm="1">
        <v>#REF!</v>
      </c>
      <c r="G13" s="17" t="e" vm="1">
        <v>#REF!</v>
      </c>
      <c r="H13" s="15"/>
      <c r="I13" s="14"/>
      <c r="J13" s="17" t="e" vm="1">
        <v>#REF!</v>
      </c>
      <c r="K13" s="14"/>
      <c r="L13" s="14"/>
      <c r="M13" s="14"/>
      <c r="N13" s="14"/>
      <c r="O13" s="25"/>
    </row>
    <row r="14" spans="2:15" s="16" customFormat="1">
      <c r="B14" s="24">
        <v>6</v>
      </c>
      <c r="C14" s="18" t="e" vm="1">
        <v>#REF!</v>
      </c>
      <c r="D14" s="17" t="e" vm="1">
        <v>#REF!</v>
      </c>
      <c r="E14" s="17" t="e" vm="1">
        <v>#REF!</v>
      </c>
      <c r="F14" s="17" t="e" vm="1">
        <v>#REF!</v>
      </c>
      <c r="G14" s="17" t="e" vm="1">
        <v>#REF!</v>
      </c>
      <c r="H14" s="15"/>
      <c r="I14" s="14"/>
      <c r="J14" s="17" t="e" vm="1">
        <v>#REF!</v>
      </c>
      <c r="K14" s="14"/>
      <c r="L14" s="14"/>
      <c r="M14" s="14"/>
      <c r="N14" s="14"/>
      <c r="O14" s="25"/>
    </row>
    <row r="15" spans="2:15" s="16" customFormat="1">
      <c r="B15" s="24">
        <v>7</v>
      </c>
      <c r="C15" s="18" t="e" vm="1">
        <v>#REF!</v>
      </c>
      <c r="D15" s="17" t="e" vm="1">
        <v>#REF!</v>
      </c>
      <c r="E15" s="17" t="e" vm="1">
        <v>#REF!</v>
      </c>
      <c r="F15" s="17" t="e" vm="1">
        <v>#REF!</v>
      </c>
      <c r="G15" s="17" t="e" vm="1">
        <v>#REF!</v>
      </c>
      <c r="H15" s="15"/>
      <c r="I15" s="14"/>
      <c r="J15" s="17" t="e" vm="1">
        <v>#REF!</v>
      </c>
      <c r="K15" s="14"/>
      <c r="L15" s="14"/>
      <c r="M15" s="14"/>
      <c r="N15" s="14"/>
      <c r="O15" s="25"/>
    </row>
    <row r="16" spans="2:15" s="16" customFormat="1">
      <c r="B16" s="24">
        <v>8</v>
      </c>
      <c r="C16" s="18" t="e" vm="1">
        <v>#REF!</v>
      </c>
      <c r="D16" s="17" t="e" vm="1">
        <v>#REF!</v>
      </c>
      <c r="E16" s="17" t="e" vm="1">
        <v>#REF!</v>
      </c>
      <c r="F16" s="17" t="e" vm="1">
        <v>#REF!</v>
      </c>
      <c r="G16" s="17" t="e" vm="1">
        <v>#REF!</v>
      </c>
      <c r="H16" s="15"/>
      <c r="I16" s="14"/>
      <c r="J16" s="17" t="e" vm="1">
        <v>#REF!</v>
      </c>
      <c r="K16" s="14"/>
      <c r="L16" s="14"/>
      <c r="M16" s="14"/>
      <c r="N16" s="14"/>
      <c r="O16" s="25"/>
    </row>
    <row r="17" spans="2:15" s="16" customFormat="1">
      <c r="B17" s="24">
        <v>9</v>
      </c>
      <c r="C17" s="18" t="e" vm="1">
        <v>#REF!</v>
      </c>
      <c r="D17" s="17" t="e" vm="1">
        <v>#REF!</v>
      </c>
      <c r="E17" s="17" t="e" vm="1">
        <v>#REF!</v>
      </c>
      <c r="F17" s="17" t="e" vm="1">
        <v>#REF!</v>
      </c>
      <c r="G17" s="17" t="e" vm="1">
        <v>#REF!</v>
      </c>
      <c r="H17" s="15"/>
      <c r="I17" s="14"/>
      <c r="J17" s="17" t="e" vm="1">
        <v>#REF!</v>
      </c>
      <c r="K17" s="14"/>
      <c r="L17" s="14"/>
      <c r="M17" s="14"/>
      <c r="N17" s="14"/>
      <c r="O17" s="25"/>
    </row>
    <row r="18" spans="2:15" s="16" customFormat="1">
      <c r="B18" s="24">
        <v>10</v>
      </c>
      <c r="C18" s="18" t="e" vm="1">
        <v>#REF!</v>
      </c>
      <c r="D18" s="17" t="e" vm="1">
        <v>#REF!</v>
      </c>
      <c r="E18" s="17" t="e" vm="1">
        <v>#REF!</v>
      </c>
      <c r="F18" s="17" t="e" vm="1">
        <v>#REF!</v>
      </c>
      <c r="G18" s="17" t="e" vm="1">
        <v>#REF!</v>
      </c>
      <c r="H18" s="15"/>
      <c r="I18" s="14"/>
      <c r="J18" s="17" t="e" vm="1">
        <v>#REF!</v>
      </c>
      <c r="K18" s="14"/>
      <c r="L18" s="14"/>
      <c r="M18" s="14"/>
      <c r="N18" s="14"/>
      <c r="O18" s="25"/>
    </row>
    <row r="19" spans="2:15" s="16" customFormat="1">
      <c r="B19" s="24">
        <v>11</v>
      </c>
      <c r="C19" s="18" t="e" vm="1">
        <v>#REF!</v>
      </c>
      <c r="D19" s="17" t="e" vm="1">
        <v>#REF!</v>
      </c>
      <c r="E19" s="17" t="e" vm="1">
        <v>#REF!</v>
      </c>
      <c r="F19" s="17" t="e" vm="1">
        <v>#REF!</v>
      </c>
      <c r="G19" s="17" t="e" vm="1">
        <v>#REF!</v>
      </c>
      <c r="H19" s="15"/>
      <c r="I19" s="14"/>
      <c r="J19" s="17" t="e" vm="1">
        <v>#REF!</v>
      </c>
      <c r="K19" s="14"/>
      <c r="L19" s="14"/>
      <c r="M19" s="14"/>
      <c r="N19" s="14"/>
      <c r="O19" s="25"/>
    </row>
    <row r="20" spans="2:15" s="16" customFormat="1">
      <c r="B20" s="24">
        <v>12</v>
      </c>
      <c r="C20" s="18" t="e" vm="1">
        <v>#REF!</v>
      </c>
      <c r="D20" s="17" t="e" vm="1">
        <v>#REF!</v>
      </c>
      <c r="E20" s="17" t="e" vm="1">
        <v>#REF!</v>
      </c>
      <c r="F20" s="17" t="e" vm="1">
        <v>#REF!</v>
      </c>
      <c r="G20" s="17" t="e" vm="1">
        <v>#REF!</v>
      </c>
      <c r="H20" s="15"/>
      <c r="I20" s="14"/>
      <c r="J20" s="17" t="e" vm="1">
        <v>#REF!</v>
      </c>
      <c r="K20" s="14"/>
      <c r="L20" s="14"/>
      <c r="M20" s="14"/>
      <c r="N20" s="14"/>
      <c r="O20" s="25"/>
    </row>
    <row r="21" spans="2:15" s="16" customFormat="1">
      <c r="B21" s="24">
        <v>13</v>
      </c>
      <c r="C21" s="18" t="e" vm="1">
        <v>#REF!</v>
      </c>
      <c r="D21" s="17" t="e" vm="1">
        <v>#REF!</v>
      </c>
      <c r="E21" s="17" t="e" vm="1">
        <v>#REF!</v>
      </c>
      <c r="F21" s="17" t="e" vm="1">
        <v>#REF!</v>
      </c>
      <c r="G21" s="17" t="e" vm="1">
        <v>#REF!</v>
      </c>
      <c r="H21" s="15"/>
      <c r="I21" s="14"/>
      <c r="J21" s="17" t="e" vm="1">
        <v>#REF!</v>
      </c>
      <c r="K21" s="14"/>
      <c r="L21" s="14"/>
      <c r="M21" s="14"/>
      <c r="N21" s="14"/>
      <c r="O21" s="25"/>
    </row>
    <row r="22" spans="2:15" s="16" customFormat="1">
      <c r="B22" s="24">
        <v>14</v>
      </c>
      <c r="C22" s="18" t="e" vm="1">
        <v>#REF!</v>
      </c>
      <c r="D22" s="17" t="e" vm="1">
        <v>#REF!</v>
      </c>
      <c r="E22" s="17" t="e" vm="1">
        <v>#REF!</v>
      </c>
      <c r="F22" s="17" t="e" vm="1">
        <v>#REF!</v>
      </c>
      <c r="G22" s="17" t="e" vm="1">
        <v>#REF!</v>
      </c>
      <c r="H22" s="15"/>
      <c r="I22" s="14"/>
      <c r="J22" s="17" t="e" vm="1">
        <v>#REF!</v>
      </c>
      <c r="K22" s="14"/>
      <c r="L22" s="14"/>
      <c r="M22" s="14"/>
      <c r="N22" s="14"/>
      <c r="O22" s="25"/>
    </row>
    <row r="23" spans="2:15" s="16" customFormat="1">
      <c r="B23" s="24">
        <v>15</v>
      </c>
      <c r="C23" s="18" t="e" vm="1">
        <v>#REF!</v>
      </c>
      <c r="D23" s="17" t="e" vm="1">
        <v>#REF!</v>
      </c>
      <c r="E23" s="17" t="e" vm="1">
        <v>#REF!</v>
      </c>
      <c r="F23" s="17" t="e" vm="1">
        <v>#REF!</v>
      </c>
      <c r="G23" s="17" t="e" vm="1">
        <v>#REF!</v>
      </c>
      <c r="H23" s="15"/>
      <c r="I23" s="14"/>
      <c r="J23" s="17" t="e" vm="1">
        <v>#REF!</v>
      </c>
      <c r="K23" s="14"/>
      <c r="L23" s="14"/>
      <c r="M23" s="14"/>
      <c r="N23" s="14"/>
      <c r="O23" s="25"/>
    </row>
    <row r="24" spans="2:15" s="16" customFormat="1">
      <c r="B24" s="24">
        <v>16</v>
      </c>
      <c r="C24" s="18" t="e" vm="1">
        <v>#REF!</v>
      </c>
      <c r="D24" s="17" t="e" vm="1">
        <v>#REF!</v>
      </c>
      <c r="E24" s="17" t="e" vm="1">
        <v>#REF!</v>
      </c>
      <c r="F24" s="17" t="e" vm="1">
        <v>#REF!</v>
      </c>
      <c r="G24" s="17" t="e" vm="1">
        <v>#REF!</v>
      </c>
      <c r="H24" s="15"/>
      <c r="I24" s="14"/>
      <c r="J24" s="17" t="e" vm="1">
        <v>#REF!</v>
      </c>
      <c r="K24" s="14"/>
      <c r="L24" s="14"/>
      <c r="M24" s="14"/>
      <c r="N24" s="14"/>
      <c r="O24" s="25"/>
    </row>
    <row r="25" spans="2:15" s="16" customFormat="1">
      <c r="B25" s="24">
        <v>17</v>
      </c>
      <c r="C25" s="18" t="e" vm="1">
        <v>#REF!</v>
      </c>
      <c r="D25" s="17" t="e" vm="1">
        <v>#REF!</v>
      </c>
      <c r="E25" s="17" t="e" vm="1">
        <v>#REF!</v>
      </c>
      <c r="F25" s="17" t="e" vm="1">
        <v>#REF!</v>
      </c>
      <c r="G25" s="17" t="e" vm="1">
        <v>#REF!</v>
      </c>
      <c r="H25" s="15"/>
      <c r="I25" s="14"/>
      <c r="J25" s="17" t="e" vm="1">
        <v>#REF!</v>
      </c>
      <c r="K25" s="14"/>
      <c r="L25" s="14"/>
      <c r="M25" s="14"/>
      <c r="N25" s="14"/>
      <c r="O25" s="25"/>
    </row>
    <row r="26" spans="2:15" s="16" customFormat="1">
      <c r="B26" s="24">
        <v>18</v>
      </c>
      <c r="C26" s="18" t="e" vm="1">
        <v>#REF!</v>
      </c>
      <c r="D26" s="17" t="e" vm="1">
        <v>#REF!</v>
      </c>
      <c r="E26" s="17" t="e" vm="1">
        <v>#REF!</v>
      </c>
      <c r="F26" s="17" t="e" vm="1">
        <v>#REF!</v>
      </c>
      <c r="G26" s="17" t="e" vm="1">
        <v>#REF!</v>
      </c>
      <c r="H26" s="15"/>
      <c r="I26" s="14"/>
      <c r="J26" s="17" t="e" vm="1">
        <v>#REF!</v>
      </c>
      <c r="K26" s="14"/>
      <c r="L26" s="14"/>
      <c r="M26" s="14"/>
      <c r="N26" s="14"/>
      <c r="O26" s="25"/>
    </row>
    <row r="27" spans="2:15" s="16" customFormat="1">
      <c r="B27" s="24">
        <v>19</v>
      </c>
      <c r="C27" s="18" t="e" vm="1">
        <v>#REF!</v>
      </c>
      <c r="D27" s="17" t="e" vm="1">
        <v>#REF!</v>
      </c>
      <c r="E27" s="17" t="e" vm="1">
        <v>#REF!</v>
      </c>
      <c r="F27" s="17" t="e" vm="1">
        <v>#REF!</v>
      </c>
      <c r="G27" s="17" t="e" vm="1">
        <v>#REF!</v>
      </c>
      <c r="H27" s="15"/>
      <c r="I27" s="14"/>
      <c r="J27" s="17" t="e" vm="1">
        <v>#REF!</v>
      </c>
      <c r="K27" s="14"/>
      <c r="L27" s="14"/>
      <c r="M27" s="14"/>
      <c r="N27" s="14"/>
      <c r="O27" s="25"/>
    </row>
    <row r="28" spans="2:15" s="16" customFormat="1">
      <c r="B28" s="24">
        <v>20</v>
      </c>
      <c r="C28" s="18" t="e" vm="1">
        <v>#REF!</v>
      </c>
      <c r="D28" s="17" t="e" vm="1">
        <v>#REF!</v>
      </c>
      <c r="E28" s="17" t="e" vm="1">
        <v>#REF!</v>
      </c>
      <c r="F28" s="17" t="e" vm="1">
        <v>#REF!</v>
      </c>
      <c r="G28" s="17" t="e" vm="1">
        <v>#REF!</v>
      </c>
      <c r="H28" s="15"/>
      <c r="I28" s="14"/>
      <c r="J28" s="17" t="e" vm="1">
        <v>#REF!</v>
      </c>
      <c r="K28" s="14"/>
      <c r="L28" s="14"/>
      <c r="M28" s="14"/>
      <c r="N28" s="14"/>
      <c r="O28" s="25"/>
    </row>
    <row r="29" spans="2:15" s="16" customFormat="1">
      <c r="B29" s="24">
        <v>21</v>
      </c>
      <c r="C29" s="18" t="e" vm="1">
        <v>#REF!</v>
      </c>
      <c r="D29" s="17" t="e" vm="1">
        <v>#REF!</v>
      </c>
      <c r="E29" s="17" t="e" vm="1">
        <v>#REF!</v>
      </c>
      <c r="F29" s="17" t="e" vm="1">
        <v>#REF!</v>
      </c>
      <c r="G29" s="17" t="e" vm="1">
        <v>#REF!</v>
      </c>
      <c r="H29" s="15"/>
      <c r="I29" s="14"/>
      <c r="J29" s="17" t="e" vm="1">
        <v>#REF!</v>
      </c>
      <c r="K29" s="14"/>
      <c r="L29" s="14"/>
      <c r="M29" s="14"/>
      <c r="N29" s="14"/>
      <c r="O29" s="25"/>
    </row>
    <row r="30" spans="2:15">
      <c r="B30" s="24">
        <v>22</v>
      </c>
      <c r="C30" s="18" t="e" vm="1">
        <v>#REF!</v>
      </c>
      <c r="D30" s="17" t="e" vm="1">
        <v>#REF!</v>
      </c>
      <c r="E30" s="17" t="e" vm="1">
        <v>#REF!</v>
      </c>
      <c r="F30" s="17" t="e" vm="1">
        <v>#REF!</v>
      </c>
      <c r="G30" s="17" t="e" vm="1">
        <v>#REF!</v>
      </c>
      <c r="H30" s="15"/>
      <c r="I30" s="14"/>
      <c r="J30" s="17" t="e" vm="1">
        <v>#REF!</v>
      </c>
      <c r="K30" s="14"/>
      <c r="L30" s="14"/>
      <c r="M30" s="14"/>
      <c r="N30" s="14"/>
      <c r="O30" s="25"/>
    </row>
    <row r="31" spans="2:15">
      <c r="B31" s="24">
        <v>23</v>
      </c>
      <c r="C31" s="18" t="e" vm="1">
        <v>#REF!</v>
      </c>
      <c r="D31" s="17" t="e" vm="1">
        <v>#REF!</v>
      </c>
      <c r="E31" s="17" t="e" vm="1">
        <v>#REF!</v>
      </c>
      <c r="F31" s="17" t="e" vm="1">
        <v>#REF!</v>
      </c>
      <c r="G31" s="17" t="e" vm="1">
        <v>#REF!</v>
      </c>
      <c r="H31" s="15"/>
      <c r="I31" s="14"/>
      <c r="J31" s="17" t="e" vm="1">
        <v>#REF!</v>
      </c>
      <c r="K31" s="14"/>
      <c r="L31" s="14"/>
      <c r="M31" s="14"/>
      <c r="N31" s="14"/>
      <c r="O31" s="25"/>
    </row>
    <row r="32" spans="2:15">
      <c r="B32" s="24">
        <v>24</v>
      </c>
      <c r="C32" s="18" t="e" vm="1">
        <v>#REF!</v>
      </c>
      <c r="D32" s="17" t="e" vm="1">
        <v>#REF!</v>
      </c>
      <c r="E32" s="17" t="e" vm="1">
        <v>#REF!</v>
      </c>
      <c r="F32" s="17" t="e" vm="1">
        <v>#REF!</v>
      </c>
      <c r="G32" s="17" t="e" vm="1">
        <v>#REF!</v>
      </c>
      <c r="H32" s="15"/>
      <c r="I32" s="14"/>
      <c r="J32" s="17" t="e" vm="1">
        <v>#REF!</v>
      </c>
      <c r="K32" s="14"/>
      <c r="L32" s="14"/>
      <c r="M32" s="14"/>
      <c r="N32" s="14"/>
      <c r="O32" s="25"/>
    </row>
    <row r="33" spans="2:15">
      <c r="B33" s="24">
        <v>25</v>
      </c>
      <c r="C33" s="18" t="e" vm="1">
        <v>#REF!</v>
      </c>
      <c r="D33" s="17" t="e" vm="1">
        <v>#REF!</v>
      </c>
      <c r="E33" s="17" t="e" vm="1">
        <v>#REF!</v>
      </c>
      <c r="F33" s="17" t="e" vm="1">
        <v>#REF!</v>
      </c>
      <c r="G33" s="17" t="e" vm="1">
        <v>#REF!</v>
      </c>
      <c r="H33" s="15"/>
      <c r="I33" s="14"/>
      <c r="J33" s="17" t="e" vm="1">
        <v>#REF!</v>
      </c>
      <c r="K33" s="14"/>
      <c r="L33" s="14"/>
      <c r="M33" s="14"/>
      <c r="N33" s="14"/>
      <c r="O33" s="25"/>
    </row>
    <row r="34" spans="2:15">
      <c r="B34" s="24">
        <v>26</v>
      </c>
      <c r="C34" s="18" t="e" vm="1">
        <v>#REF!</v>
      </c>
      <c r="D34" s="17" t="e" vm="1">
        <v>#REF!</v>
      </c>
      <c r="E34" s="17" t="e" vm="1">
        <v>#REF!</v>
      </c>
      <c r="F34" s="17" t="e" vm="1">
        <v>#REF!</v>
      </c>
      <c r="G34" s="17" t="e" vm="1">
        <v>#REF!</v>
      </c>
      <c r="H34" s="15"/>
      <c r="I34" s="14"/>
      <c r="J34" s="17" t="e" vm="1">
        <v>#REF!</v>
      </c>
      <c r="K34" s="14"/>
      <c r="L34" s="14"/>
      <c r="M34" s="14"/>
      <c r="N34" s="14"/>
      <c r="O34" s="25"/>
    </row>
    <row r="35" spans="2:15">
      <c r="B35" s="24">
        <v>27</v>
      </c>
      <c r="C35" s="18" t="e" vm="1">
        <v>#REF!</v>
      </c>
      <c r="D35" s="17" t="e" vm="1">
        <v>#REF!</v>
      </c>
      <c r="E35" s="17" t="e" vm="1">
        <v>#REF!</v>
      </c>
      <c r="F35" s="17" t="e" vm="1">
        <v>#REF!</v>
      </c>
      <c r="G35" s="17" t="e" vm="1">
        <v>#REF!</v>
      </c>
      <c r="H35" s="15"/>
      <c r="I35" s="14"/>
      <c r="J35" s="17" t="e" vm="1">
        <v>#REF!</v>
      </c>
      <c r="K35" s="14"/>
      <c r="L35" s="14"/>
      <c r="M35" s="14"/>
      <c r="N35" s="14"/>
      <c r="O35" s="25"/>
    </row>
    <row r="36" spans="2:15">
      <c r="B36" s="24">
        <v>28</v>
      </c>
      <c r="C36" s="18" t="e" vm="1">
        <v>#REF!</v>
      </c>
      <c r="D36" s="17" t="e" vm="1">
        <v>#REF!</v>
      </c>
      <c r="E36" s="17" t="e" vm="1">
        <v>#REF!</v>
      </c>
      <c r="F36" s="17" t="e" vm="1">
        <v>#REF!</v>
      </c>
      <c r="G36" s="17" t="e" vm="1">
        <v>#REF!</v>
      </c>
      <c r="H36" s="15"/>
      <c r="I36" s="14"/>
      <c r="J36" s="17" t="e" vm="1">
        <v>#REF!</v>
      </c>
      <c r="K36" s="14"/>
      <c r="L36" s="14"/>
      <c r="M36" s="14"/>
      <c r="N36" s="14"/>
      <c r="O36" s="25"/>
    </row>
    <row r="37" spans="2:15">
      <c r="B37" s="24">
        <v>29</v>
      </c>
      <c r="C37" s="18" t="e" vm="1">
        <v>#REF!</v>
      </c>
      <c r="D37" s="17" t="e" vm="1">
        <v>#REF!</v>
      </c>
      <c r="E37" s="17" t="e" vm="1">
        <v>#REF!</v>
      </c>
      <c r="F37" s="17" t="e" vm="1">
        <v>#REF!</v>
      </c>
      <c r="G37" s="17" t="e" vm="1">
        <v>#REF!</v>
      </c>
      <c r="H37" s="15"/>
      <c r="I37" s="14"/>
      <c r="J37" s="17" t="e" vm="1">
        <v>#REF!</v>
      </c>
      <c r="K37" s="14"/>
      <c r="L37" s="14"/>
      <c r="M37" s="14"/>
      <c r="N37" s="14"/>
      <c r="O37" s="25"/>
    </row>
    <row r="38" spans="2:15">
      <c r="B38" s="24">
        <v>30</v>
      </c>
      <c r="C38" s="18" t="e" vm="1">
        <v>#REF!</v>
      </c>
      <c r="D38" s="17" t="e" vm="1">
        <v>#REF!</v>
      </c>
      <c r="E38" s="17" t="e" vm="1">
        <v>#REF!</v>
      </c>
      <c r="F38" s="17" t="e" vm="1">
        <v>#REF!</v>
      </c>
      <c r="G38" s="17" t="e" vm="1">
        <v>#REF!</v>
      </c>
      <c r="H38" s="15"/>
      <c r="I38" s="14"/>
      <c r="J38" s="17" t="e" vm="1">
        <v>#REF!</v>
      </c>
      <c r="K38" s="14"/>
      <c r="L38" s="14"/>
      <c r="M38" s="14"/>
      <c r="N38" s="14"/>
      <c r="O38" s="25"/>
    </row>
    <row r="39" spans="2:15">
      <c r="B39" s="24">
        <v>31</v>
      </c>
      <c r="C39" s="18" t="e" vm="1">
        <v>#REF!</v>
      </c>
      <c r="D39" s="17" t="e" vm="1">
        <v>#REF!</v>
      </c>
      <c r="E39" s="17" t="e" vm="1">
        <v>#REF!</v>
      </c>
      <c r="F39" s="17" t="e" vm="1">
        <v>#REF!</v>
      </c>
      <c r="G39" s="17" t="e" vm="1">
        <v>#REF!</v>
      </c>
      <c r="H39" s="15"/>
      <c r="I39" s="14"/>
      <c r="J39" s="17" t="e" vm="1">
        <v>#REF!</v>
      </c>
      <c r="K39" s="14"/>
      <c r="L39" s="14"/>
      <c r="M39" s="14"/>
      <c r="N39" s="14"/>
      <c r="O39" s="25"/>
    </row>
    <row r="40" spans="2:15">
      <c r="B40" s="24">
        <v>32</v>
      </c>
      <c r="C40" s="18" t="e" vm="1">
        <v>#REF!</v>
      </c>
      <c r="D40" s="17" t="e" vm="1">
        <v>#REF!</v>
      </c>
      <c r="E40" s="17" t="e" vm="1">
        <v>#REF!</v>
      </c>
      <c r="F40" s="17" t="e" vm="1">
        <v>#REF!</v>
      </c>
      <c r="G40" s="17" t="e" vm="1">
        <v>#REF!</v>
      </c>
      <c r="H40" s="15"/>
      <c r="I40" s="14"/>
      <c r="J40" s="17" t="e" vm="1">
        <v>#REF!</v>
      </c>
      <c r="K40" s="14"/>
      <c r="L40" s="14"/>
      <c r="M40" s="14"/>
      <c r="N40" s="14"/>
      <c r="O40" s="25"/>
    </row>
    <row r="41" spans="2:15">
      <c r="B41" s="24">
        <v>33</v>
      </c>
      <c r="C41" s="18" t="e" vm="1">
        <v>#REF!</v>
      </c>
      <c r="D41" s="17" t="e" vm="1">
        <v>#REF!</v>
      </c>
      <c r="E41" s="17" t="e" vm="1">
        <v>#REF!</v>
      </c>
      <c r="F41" s="17" t="e" vm="1">
        <v>#REF!</v>
      </c>
      <c r="G41" s="17" t="e" vm="1">
        <v>#REF!</v>
      </c>
      <c r="H41" s="15"/>
      <c r="I41" s="14"/>
      <c r="J41" s="17" t="e" vm="1">
        <v>#REF!</v>
      </c>
      <c r="K41" s="14"/>
      <c r="L41" s="14"/>
      <c r="M41" s="14"/>
      <c r="N41" s="14"/>
      <c r="O41" s="25"/>
    </row>
    <row r="42" spans="2:15">
      <c r="B42" s="24">
        <v>34</v>
      </c>
      <c r="C42" s="18" t="e" vm="1">
        <v>#REF!</v>
      </c>
      <c r="D42" s="17" t="e" vm="1">
        <v>#REF!</v>
      </c>
      <c r="E42" s="17" t="e" vm="1">
        <v>#REF!</v>
      </c>
      <c r="F42" s="17" t="e" vm="1">
        <v>#REF!</v>
      </c>
      <c r="G42" s="17" t="e" vm="1">
        <v>#REF!</v>
      </c>
      <c r="H42" s="15"/>
      <c r="I42" s="14"/>
      <c r="J42" s="17" t="e" vm="1">
        <v>#REF!</v>
      </c>
      <c r="K42" s="14"/>
      <c r="L42" s="14"/>
      <c r="M42" s="14"/>
      <c r="N42" s="14"/>
      <c r="O42" s="25"/>
    </row>
    <row r="43" spans="2:15">
      <c r="B43" s="24">
        <v>35</v>
      </c>
      <c r="C43" s="18" t="e" vm="1">
        <v>#REF!</v>
      </c>
      <c r="D43" s="17" t="e" vm="1">
        <v>#REF!</v>
      </c>
      <c r="E43" s="17" t="e" vm="1">
        <v>#REF!</v>
      </c>
      <c r="F43" s="17" t="e" vm="1">
        <v>#REF!</v>
      </c>
      <c r="G43" s="17" t="e" vm="1">
        <v>#REF!</v>
      </c>
      <c r="H43" s="15"/>
      <c r="I43" s="14"/>
      <c r="J43" s="17" t="e" vm="1">
        <v>#REF!</v>
      </c>
      <c r="K43" s="14"/>
      <c r="L43" s="14"/>
      <c r="M43" s="14"/>
      <c r="N43" s="14"/>
      <c r="O43" s="25"/>
    </row>
    <row r="44" spans="2:15">
      <c r="B44" s="24">
        <v>36</v>
      </c>
      <c r="C44" s="18" t="e" vm="1">
        <v>#REF!</v>
      </c>
      <c r="D44" s="17" t="e" vm="1">
        <v>#REF!</v>
      </c>
      <c r="E44" s="17" t="e" vm="1">
        <v>#REF!</v>
      </c>
      <c r="F44" s="17" t="e" vm="1">
        <v>#REF!</v>
      </c>
      <c r="G44" s="17" t="e" vm="1">
        <v>#REF!</v>
      </c>
      <c r="H44" s="15"/>
      <c r="I44" s="14"/>
      <c r="J44" s="17" t="e" vm="1">
        <v>#REF!</v>
      </c>
      <c r="K44" s="14"/>
      <c r="L44" s="14"/>
      <c r="M44" s="14"/>
      <c r="N44" s="14"/>
      <c r="O44" s="25"/>
    </row>
    <row r="45" spans="2:15">
      <c r="B45" s="24">
        <v>37</v>
      </c>
      <c r="C45" s="18" t="e" vm="1">
        <v>#REF!</v>
      </c>
      <c r="D45" s="17" t="e" vm="1">
        <v>#REF!</v>
      </c>
      <c r="E45" s="17" t="e" vm="1">
        <v>#REF!</v>
      </c>
      <c r="F45" s="17" t="e" vm="1">
        <v>#REF!</v>
      </c>
      <c r="G45" s="17" t="e" vm="1">
        <v>#REF!</v>
      </c>
      <c r="H45" s="15"/>
      <c r="I45" s="14"/>
      <c r="J45" s="17" t="e" vm="1">
        <v>#REF!</v>
      </c>
      <c r="K45" s="14"/>
      <c r="L45" s="14"/>
      <c r="M45" s="14"/>
      <c r="N45" s="14"/>
      <c r="O45" s="25"/>
    </row>
    <row r="46" spans="2:15">
      <c r="B46" s="24">
        <v>38</v>
      </c>
      <c r="C46" s="18" t="e" vm="1">
        <v>#REF!</v>
      </c>
      <c r="D46" s="17" t="e" vm="1">
        <v>#REF!</v>
      </c>
      <c r="E46" s="17" t="e" vm="1">
        <v>#REF!</v>
      </c>
      <c r="F46" s="17" t="e" vm="1">
        <v>#REF!</v>
      </c>
      <c r="G46" s="17" t="e" vm="1">
        <v>#REF!</v>
      </c>
      <c r="H46" s="15"/>
      <c r="I46" s="14"/>
      <c r="J46" s="17" t="e" vm="1">
        <v>#REF!</v>
      </c>
      <c r="K46" s="14"/>
      <c r="L46" s="14"/>
      <c r="M46" s="14"/>
      <c r="N46" s="14"/>
      <c r="O46" s="25"/>
    </row>
    <row r="47" spans="2:15">
      <c r="B47" s="24">
        <v>39</v>
      </c>
      <c r="C47" s="18" t="e" vm="1">
        <v>#REF!</v>
      </c>
      <c r="D47" s="17" t="e" vm="1">
        <v>#REF!</v>
      </c>
      <c r="E47" s="17" t="e" vm="1">
        <v>#REF!</v>
      </c>
      <c r="F47" s="17" t="e" vm="1">
        <v>#REF!</v>
      </c>
      <c r="G47" s="17" t="e" vm="1">
        <v>#REF!</v>
      </c>
      <c r="H47" s="15"/>
      <c r="I47" s="14"/>
      <c r="J47" s="17" t="e" vm="1">
        <v>#REF!</v>
      </c>
      <c r="K47" s="14"/>
      <c r="L47" s="14"/>
      <c r="M47" s="14"/>
      <c r="N47" s="14"/>
      <c r="O47" s="25"/>
    </row>
    <row r="48" spans="2:15">
      <c r="B48" s="24">
        <v>40</v>
      </c>
      <c r="C48" s="18" t="e" vm="1">
        <v>#REF!</v>
      </c>
      <c r="D48" s="17" t="e" vm="1">
        <v>#REF!</v>
      </c>
      <c r="E48" s="17" t="e" vm="1">
        <v>#REF!</v>
      </c>
      <c r="F48" s="17" t="e" vm="1">
        <v>#REF!</v>
      </c>
      <c r="G48" s="17" t="e" vm="1">
        <v>#REF!</v>
      </c>
      <c r="H48" s="15"/>
      <c r="I48" s="14"/>
      <c r="J48" s="17" t="e" vm="1">
        <v>#REF!</v>
      </c>
      <c r="K48" s="14"/>
      <c r="L48" s="14"/>
      <c r="M48" s="14"/>
      <c r="N48" s="14"/>
      <c r="O48" s="25"/>
    </row>
    <row r="49" spans="2:15">
      <c r="B49" s="24">
        <v>41</v>
      </c>
      <c r="C49" s="18" t="e" vm="1">
        <v>#REF!</v>
      </c>
      <c r="D49" s="17" t="e" vm="1">
        <v>#REF!</v>
      </c>
      <c r="E49" s="17" t="e" vm="1">
        <v>#REF!</v>
      </c>
      <c r="F49" s="17" t="e" vm="1">
        <v>#REF!</v>
      </c>
      <c r="G49" s="17" t="e" vm="1">
        <v>#REF!</v>
      </c>
      <c r="H49" s="15"/>
      <c r="I49" s="14"/>
      <c r="J49" s="17" t="e" vm="1">
        <v>#REF!</v>
      </c>
      <c r="K49" s="14"/>
      <c r="L49" s="14"/>
      <c r="M49" s="14"/>
      <c r="N49" s="14"/>
      <c r="O49" s="25"/>
    </row>
    <row r="50" spans="2:15">
      <c r="B50" s="24">
        <v>42</v>
      </c>
      <c r="C50" s="18" t="e" vm="1">
        <v>#REF!</v>
      </c>
      <c r="D50" s="17" t="e" vm="1">
        <v>#REF!</v>
      </c>
      <c r="E50" s="17" t="e" vm="1">
        <v>#REF!</v>
      </c>
      <c r="F50" s="17" t="e" vm="1">
        <v>#REF!</v>
      </c>
      <c r="G50" s="17" t="e" vm="1">
        <v>#REF!</v>
      </c>
      <c r="H50" s="15"/>
      <c r="I50" s="14"/>
      <c r="J50" s="17" t="e" vm="1">
        <v>#REF!</v>
      </c>
      <c r="K50" s="14"/>
      <c r="L50" s="14"/>
      <c r="M50" s="14"/>
      <c r="N50" s="14"/>
      <c r="O50" s="25"/>
    </row>
    <row r="51" spans="2:15">
      <c r="B51" s="24">
        <v>43</v>
      </c>
      <c r="C51" s="18" t="e" vm="1">
        <v>#REF!</v>
      </c>
      <c r="D51" s="17" t="e" vm="1">
        <v>#REF!</v>
      </c>
      <c r="E51" s="17" t="e" vm="1">
        <v>#REF!</v>
      </c>
      <c r="F51" s="17" t="e" vm="1">
        <v>#REF!</v>
      </c>
      <c r="G51" s="17" t="e" vm="1">
        <v>#REF!</v>
      </c>
      <c r="H51" s="15"/>
      <c r="I51" s="14"/>
      <c r="J51" s="17" t="e" vm="1">
        <v>#REF!</v>
      </c>
      <c r="K51" s="14"/>
      <c r="L51" s="14"/>
      <c r="M51" s="14"/>
      <c r="N51" s="14"/>
      <c r="O51" s="25"/>
    </row>
    <row r="52" spans="2:15">
      <c r="B52" s="24">
        <v>44</v>
      </c>
      <c r="C52" s="18" t="e" vm="1">
        <v>#REF!</v>
      </c>
      <c r="D52" s="17" t="e" vm="1">
        <v>#REF!</v>
      </c>
      <c r="E52" s="17" t="e" vm="1">
        <v>#REF!</v>
      </c>
      <c r="F52" s="17" t="e" vm="1">
        <v>#REF!</v>
      </c>
      <c r="G52" s="17" t="e" vm="1">
        <v>#REF!</v>
      </c>
      <c r="H52" s="15"/>
      <c r="I52" s="14"/>
      <c r="J52" s="17" t="e" vm="1">
        <v>#REF!</v>
      </c>
      <c r="K52" s="14"/>
      <c r="L52" s="14"/>
      <c r="M52" s="14"/>
      <c r="N52" s="14"/>
      <c r="O52" s="25"/>
    </row>
    <row r="53" spans="2:15">
      <c r="B53" s="24">
        <v>45</v>
      </c>
      <c r="C53" s="18" t="e" vm="1">
        <v>#REF!</v>
      </c>
      <c r="D53" s="17" t="e" vm="1">
        <v>#REF!</v>
      </c>
      <c r="E53" s="17" t="e" vm="1">
        <v>#REF!</v>
      </c>
      <c r="F53" s="17" t="e" vm="1">
        <v>#REF!</v>
      </c>
      <c r="G53" s="17" t="e" vm="1">
        <v>#REF!</v>
      </c>
      <c r="H53" s="15"/>
      <c r="I53" s="14"/>
      <c r="J53" s="17" t="e" vm="1">
        <v>#REF!</v>
      </c>
      <c r="K53" s="14"/>
      <c r="L53" s="14"/>
      <c r="M53" s="14"/>
      <c r="N53" s="14"/>
      <c r="O53" s="25"/>
    </row>
    <row r="54" spans="2:15">
      <c r="B54" s="24">
        <v>46</v>
      </c>
      <c r="C54" s="18" t="e" vm="1">
        <v>#REF!</v>
      </c>
      <c r="D54" s="17" t="e" vm="1">
        <v>#REF!</v>
      </c>
      <c r="E54" s="17" t="e" vm="1">
        <v>#REF!</v>
      </c>
      <c r="F54" s="17" t="e" vm="1">
        <v>#REF!</v>
      </c>
      <c r="G54" s="17" t="e" vm="1">
        <v>#REF!</v>
      </c>
      <c r="H54" s="15"/>
      <c r="I54" s="14"/>
      <c r="J54" s="17" t="e" vm="1">
        <v>#REF!</v>
      </c>
      <c r="K54" s="14"/>
      <c r="L54" s="14"/>
      <c r="M54" s="14"/>
      <c r="N54" s="14"/>
      <c r="O54" s="25"/>
    </row>
    <row r="55" spans="2:15">
      <c r="B55" s="24">
        <v>47</v>
      </c>
      <c r="C55" s="18" t="e" vm="1">
        <v>#REF!</v>
      </c>
      <c r="D55" s="17" t="e" vm="1">
        <v>#REF!</v>
      </c>
      <c r="E55" s="17" t="e" vm="1">
        <v>#REF!</v>
      </c>
      <c r="F55" s="17" t="e" vm="1">
        <v>#REF!</v>
      </c>
      <c r="G55" s="17" t="e" vm="1">
        <v>#REF!</v>
      </c>
      <c r="H55" s="15"/>
      <c r="I55" s="14"/>
      <c r="J55" s="17" t="e" vm="1">
        <v>#REF!</v>
      </c>
      <c r="K55" s="14"/>
      <c r="L55" s="14"/>
      <c r="M55" s="14"/>
      <c r="N55" s="14"/>
      <c r="O55" s="25"/>
    </row>
    <row r="56" spans="2:15">
      <c r="B56" s="24">
        <v>48</v>
      </c>
      <c r="C56" s="18" t="e" vm="1">
        <v>#REF!</v>
      </c>
      <c r="D56" s="17" t="e" vm="1">
        <v>#REF!</v>
      </c>
      <c r="E56" s="17" t="e" vm="1">
        <v>#REF!</v>
      </c>
      <c r="F56" s="17" t="e" vm="1">
        <v>#REF!</v>
      </c>
      <c r="G56" s="17" t="e" vm="1">
        <v>#REF!</v>
      </c>
      <c r="H56" s="15"/>
      <c r="I56" s="14"/>
      <c r="J56" s="17" t="e" vm="1">
        <v>#REF!</v>
      </c>
      <c r="K56" s="14"/>
      <c r="L56" s="14"/>
      <c r="M56" s="14"/>
      <c r="N56" s="14"/>
      <c r="O56" s="25"/>
    </row>
    <row r="57" spans="2:15">
      <c r="B57" s="24">
        <v>49</v>
      </c>
      <c r="C57" s="18" t="e" vm="1">
        <v>#REF!</v>
      </c>
      <c r="D57" s="17" t="e" vm="1">
        <v>#REF!</v>
      </c>
      <c r="E57" s="17" t="e" vm="1">
        <v>#REF!</v>
      </c>
      <c r="F57" s="17" t="e" vm="1">
        <v>#REF!</v>
      </c>
      <c r="G57" s="17" t="e" vm="1">
        <v>#REF!</v>
      </c>
      <c r="H57" s="15"/>
      <c r="I57" s="14"/>
      <c r="J57" s="17" t="e" vm="1">
        <v>#REF!</v>
      </c>
      <c r="K57" s="14"/>
      <c r="L57" s="14"/>
      <c r="M57" s="14"/>
      <c r="N57" s="14"/>
      <c r="O57" s="25"/>
    </row>
    <row r="58" spans="2:15">
      <c r="B58" s="24">
        <v>50</v>
      </c>
      <c r="C58" s="18" t="e" vm="1">
        <v>#REF!</v>
      </c>
      <c r="D58" s="17" t="e" vm="1">
        <v>#REF!</v>
      </c>
      <c r="E58" s="17" t="e" vm="1">
        <v>#REF!</v>
      </c>
      <c r="F58" s="17" t="e" vm="1">
        <v>#REF!</v>
      </c>
      <c r="G58" s="17" t="e" vm="1">
        <v>#REF!</v>
      </c>
      <c r="H58" s="15"/>
      <c r="I58" s="14"/>
      <c r="J58" s="17" t="e" vm="1">
        <v>#REF!</v>
      </c>
      <c r="K58" s="14"/>
      <c r="L58" s="14"/>
      <c r="M58" s="14"/>
      <c r="N58" s="14"/>
      <c r="O58" s="25"/>
    </row>
    <row r="59" spans="2:15">
      <c r="B59" s="24">
        <v>51</v>
      </c>
      <c r="C59" s="18" t="e" vm="1">
        <v>#REF!</v>
      </c>
      <c r="D59" s="17" t="e" vm="1">
        <v>#REF!</v>
      </c>
      <c r="E59" s="17" t="e" vm="1">
        <v>#REF!</v>
      </c>
      <c r="F59" s="17" t="e" vm="1">
        <v>#REF!</v>
      </c>
      <c r="G59" s="17" t="e" vm="1">
        <v>#REF!</v>
      </c>
      <c r="H59" s="15"/>
      <c r="I59" s="14"/>
      <c r="J59" s="17" t="e" vm="1">
        <v>#REF!</v>
      </c>
      <c r="K59" s="14"/>
      <c r="L59" s="14"/>
      <c r="M59" s="14"/>
      <c r="N59" s="14"/>
      <c r="O59" s="25"/>
    </row>
    <row r="60" spans="2:15">
      <c r="B60" s="24">
        <v>52</v>
      </c>
      <c r="C60" s="18" t="e" vm="1">
        <v>#REF!</v>
      </c>
      <c r="D60" s="17" t="e" vm="1">
        <v>#REF!</v>
      </c>
      <c r="E60" s="17" t="e" vm="1">
        <v>#REF!</v>
      </c>
      <c r="F60" s="17" t="e" vm="1">
        <v>#REF!</v>
      </c>
      <c r="G60" s="17" t="e" vm="1">
        <v>#REF!</v>
      </c>
      <c r="H60" s="15"/>
      <c r="I60" s="14"/>
      <c r="J60" s="17" t="e" vm="1">
        <v>#REF!</v>
      </c>
      <c r="K60" s="14"/>
      <c r="L60" s="14"/>
      <c r="M60" s="14"/>
      <c r="N60" s="14"/>
      <c r="O60" s="25"/>
    </row>
    <row r="61" spans="2:15">
      <c r="B61" s="24">
        <v>53</v>
      </c>
      <c r="C61" s="18" t="e" vm="1">
        <v>#REF!</v>
      </c>
      <c r="D61" s="17" t="e" vm="1">
        <v>#REF!</v>
      </c>
      <c r="E61" s="17" t="e" vm="1">
        <v>#REF!</v>
      </c>
      <c r="F61" s="17" t="e" vm="1">
        <v>#REF!</v>
      </c>
      <c r="G61" s="17" t="e" vm="1">
        <v>#REF!</v>
      </c>
      <c r="H61" s="15"/>
      <c r="I61" s="14"/>
      <c r="J61" s="17" t="e" vm="1">
        <v>#REF!</v>
      </c>
      <c r="K61" s="14"/>
      <c r="L61" s="14"/>
      <c r="M61" s="14"/>
      <c r="N61" s="14"/>
      <c r="O61" s="25"/>
    </row>
    <row r="62" spans="2:15">
      <c r="B62" s="24">
        <v>54</v>
      </c>
      <c r="C62" s="18" t="e" vm="1">
        <v>#REF!</v>
      </c>
      <c r="D62" s="17" t="e" vm="1">
        <v>#REF!</v>
      </c>
      <c r="E62" s="17" t="e" vm="1">
        <v>#REF!</v>
      </c>
      <c r="F62" s="17" t="e" vm="1">
        <v>#REF!</v>
      </c>
      <c r="G62" s="17" t="e" vm="1">
        <v>#REF!</v>
      </c>
      <c r="H62" s="15"/>
      <c r="I62" s="14"/>
      <c r="J62" s="17" t="e" vm="1">
        <v>#REF!</v>
      </c>
      <c r="K62" s="14"/>
      <c r="L62" s="14"/>
      <c r="M62" s="14"/>
      <c r="N62" s="14"/>
      <c r="O62" s="25"/>
    </row>
    <row r="63" spans="2:15">
      <c r="B63" s="24">
        <v>55</v>
      </c>
      <c r="C63" s="18" t="e" vm="1">
        <v>#REF!</v>
      </c>
      <c r="D63" s="17" t="e" vm="1">
        <v>#REF!</v>
      </c>
      <c r="E63" s="17" t="e" vm="1">
        <v>#REF!</v>
      </c>
      <c r="F63" s="17" t="e" vm="1">
        <v>#REF!</v>
      </c>
      <c r="G63" s="17" t="e" vm="1">
        <v>#REF!</v>
      </c>
      <c r="H63" s="15"/>
      <c r="I63" s="14"/>
      <c r="J63" s="17" t="e" vm="1">
        <v>#REF!</v>
      </c>
      <c r="K63" s="14"/>
      <c r="L63" s="14"/>
      <c r="M63" s="14"/>
      <c r="N63" s="14"/>
      <c r="O63" s="25"/>
    </row>
    <row r="64" spans="2:15">
      <c r="B64" s="24">
        <v>56</v>
      </c>
      <c r="C64" s="18" t="e" vm="1">
        <v>#REF!</v>
      </c>
      <c r="D64" s="17" t="e" vm="1">
        <v>#REF!</v>
      </c>
      <c r="E64" s="17" t="e" vm="1">
        <v>#REF!</v>
      </c>
      <c r="F64" s="17" t="e" vm="1">
        <v>#REF!</v>
      </c>
      <c r="G64" s="17" t="e" vm="1">
        <v>#REF!</v>
      </c>
      <c r="H64" s="15"/>
      <c r="I64" s="14"/>
      <c r="J64" s="17" t="e" vm="1">
        <v>#REF!</v>
      </c>
      <c r="K64" s="14"/>
      <c r="L64" s="14"/>
      <c r="M64" s="14"/>
      <c r="N64" s="14"/>
      <c r="O64" s="25"/>
    </row>
    <row r="65" spans="2:15">
      <c r="B65" s="26">
        <v>57</v>
      </c>
      <c r="C65" s="27" t="e" vm="1">
        <v>#REF!</v>
      </c>
      <c r="D65" s="28" t="e" vm="1">
        <v>#REF!</v>
      </c>
      <c r="E65" s="28" t="e" vm="1">
        <v>#REF!</v>
      </c>
      <c r="F65" s="28" t="e" vm="1">
        <v>#REF!</v>
      </c>
      <c r="G65" s="28" t="e" vm="1">
        <v>#REF!</v>
      </c>
      <c r="H65" s="29"/>
      <c r="I65" s="30"/>
      <c r="J65" s="28" t="e" vm="1">
        <v>#REF!</v>
      </c>
      <c r="K65" s="30"/>
      <c r="L65" s="30"/>
      <c r="M65" s="30"/>
      <c r="N65" s="30"/>
      <c r="O65" s="31"/>
    </row>
  </sheetData>
  <mergeCells count="3">
    <mergeCell ref="B1:J1"/>
    <mergeCell ref="B2:J2"/>
    <mergeCell ref="B3:J3"/>
  </mergeCells>
  <conditionalFormatting sqref="C9:C1048576">
    <cfRule type="cellIs" dxfId="57" priority="1" operator="equal">
      <formula>"Sim"</formula>
    </cfRule>
  </conditionalFormatting>
  <dataValidations disablePrompts="1" count="1">
    <dataValidation type="list" allowBlank="1" showInputMessage="1" showErrorMessage="1" sqref="L9:L65" xr:uid="{065FE91D-6A0D-4CD7-8695-F7BFD94C0491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F3" sqref="F3:F8"/>
    </sheetView>
  </sheetViews>
  <sheetFormatPr defaultRowHeight="1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6</v>
      </c>
      <c r="D2" s="6" t="s">
        <v>7</v>
      </c>
      <c r="F2" s="6" t="s">
        <v>20</v>
      </c>
      <c r="H2" s="6" t="s">
        <v>39</v>
      </c>
      <c r="J2" s="6" t="s">
        <v>19</v>
      </c>
    </row>
    <row r="3" spans="2:10">
      <c r="B3" t="s">
        <v>21</v>
      </c>
      <c r="D3" t="s">
        <v>22</v>
      </c>
      <c r="F3" t="s">
        <v>23</v>
      </c>
      <c r="H3" t="s">
        <v>40</v>
      </c>
      <c r="J3" t="s">
        <v>194</v>
      </c>
    </row>
    <row r="4" spans="2:10">
      <c r="B4" t="s">
        <v>24</v>
      </c>
      <c r="D4" t="s">
        <v>25</v>
      </c>
      <c r="F4" t="s">
        <v>26</v>
      </c>
      <c r="J4" t="s">
        <v>193</v>
      </c>
    </row>
    <row r="5" spans="2:10">
      <c r="D5" t="s">
        <v>80</v>
      </c>
      <c r="F5" t="s">
        <v>28</v>
      </c>
    </row>
    <row r="6" spans="2:10">
      <c r="D6" t="s">
        <v>27</v>
      </c>
      <c r="F6" t="s">
        <v>29</v>
      </c>
    </row>
    <row r="7" spans="2:10">
      <c r="D7" t="s">
        <v>18</v>
      </c>
      <c r="F7" t="s">
        <v>30</v>
      </c>
    </row>
    <row r="8" spans="2:10">
      <c r="F8" t="s">
        <v>31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B1:L200"/>
  <sheetViews>
    <sheetView showGridLines="0" tabSelected="1" zoomScaleNormal="100" workbookViewId="0">
      <pane xSplit="5" ySplit="7" topLeftCell="J8" activePane="bottomRight" state="frozen"/>
      <selection pane="topRight"/>
      <selection pane="bottomLeft"/>
      <selection pane="bottomRight" activeCell="J8" sqref="J8"/>
    </sheetView>
  </sheetViews>
  <sheetFormatPr defaultColWidth="9.140625" defaultRowHeight="15"/>
  <cols>
    <col min="1" max="1" width="2.7109375" style="19" customWidth="1"/>
    <col min="2" max="2" width="7.7109375" style="19" customWidth="1"/>
    <col min="3" max="3" width="15.42578125" style="19" customWidth="1"/>
    <col min="4" max="4" width="26" style="19" customWidth="1"/>
    <col min="5" max="5" width="57.42578125" style="19" customWidth="1"/>
    <col min="6" max="6" width="17.7109375" style="19" customWidth="1"/>
    <col min="7" max="7" width="24.42578125" style="19" customWidth="1"/>
    <col min="8" max="8" width="57.42578125" style="19" customWidth="1"/>
    <col min="9" max="9" width="16.7109375" style="19" customWidth="1"/>
    <col min="10" max="10" width="104.7109375" style="19" customWidth="1"/>
    <col min="11" max="11" width="18" style="19" customWidth="1"/>
    <col min="12" max="12" width="17.28515625" style="19" bestFit="1" customWidth="1"/>
    <col min="13" max="16384" width="9.140625" style="19"/>
  </cols>
  <sheetData>
    <row r="1" spans="2:12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32"/>
    </row>
    <row r="2" spans="2:12" s="34" customFormat="1" ht="23.25">
      <c r="B2" s="105" t="s">
        <v>36</v>
      </c>
      <c r="C2" s="105"/>
      <c r="D2" s="105"/>
      <c r="E2" s="105"/>
      <c r="F2" s="105"/>
      <c r="G2" s="105"/>
      <c r="H2" s="105"/>
      <c r="I2" s="105"/>
      <c r="J2" s="105"/>
      <c r="K2" s="33"/>
    </row>
    <row r="3" spans="2:12" s="34" customFormat="1" ht="23.25">
      <c r="B3" s="105" t="s">
        <v>37</v>
      </c>
      <c r="C3" s="105"/>
      <c r="D3" s="105"/>
      <c r="E3" s="105"/>
      <c r="F3" s="105"/>
      <c r="G3" s="105"/>
      <c r="H3" s="105"/>
      <c r="I3" s="105"/>
      <c r="J3" s="105"/>
      <c r="K3" s="33"/>
    </row>
    <row r="5" spans="2:12">
      <c r="B5" s="3"/>
      <c r="E5" s="3"/>
    </row>
    <row r="7" spans="2:12" s="3" customFormat="1">
      <c r="B7" s="20" t="s">
        <v>3</v>
      </c>
      <c r="C7" s="21" t="s">
        <v>4</v>
      </c>
      <c r="D7" s="21" t="s">
        <v>39</v>
      </c>
      <c r="E7" s="22" t="s">
        <v>5</v>
      </c>
      <c r="F7" s="22" t="s">
        <v>6</v>
      </c>
      <c r="G7" s="22" t="s">
        <v>7</v>
      </c>
      <c r="H7" s="22" t="s">
        <v>8</v>
      </c>
      <c r="I7" s="22" t="s">
        <v>10</v>
      </c>
      <c r="J7" s="22" t="s">
        <v>11</v>
      </c>
      <c r="K7" s="22" t="s">
        <v>196</v>
      </c>
      <c r="L7" s="22" t="s">
        <v>197</v>
      </c>
    </row>
    <row r="8" spans="2:12" s="13" customFormat="1" ht="135">
      <c r="B8" s="49">
        <f>IF(ISERR(casostestes[[#This Row],[ID]]),"-",casostestes[[#This Row],[ID]])</f>
        <v>1</v>
      </c>
      <c r="C8" s="49" t="str">
        <f>IFERROR(IF(VLOOKUP($B8,casostestes[#Data],10)=0,"Não",VLOOKUP($B8,casostestes[#Data],10)), "-")</f>
        <v>Não</v>
      </c>
      <c r="D8" s="50" t="str">
        <f>IFERROR(IF(VLOOKUP($B8,casostestes[#Data],2)=0,"-",VLOOKUP($B8,casostestes[#Data],2)), "-")</f>
        <v>Requerimento Inicial de BI</v>
      </c>
      <c r="E8" s="50" t="str">
        <f>IFERROR(IF(VLOOKUP($B8,casostestes[#Data],3)=0,"-",VLOOKUP($B8,casostestes[#Data],3)), "-")</f>
        <v>Criar tarefa de BI inicial fluxo ATESTMEDQ para categoria "Segurado especial" onde o parâmetro "Exige Autodeclaração" no Catálogo está DESATIVADO
**Parâmetro PAT ligado: 144 - Fluxo ATESTMEDQ</v>
      </c>
      <c r="F8" s="50" t="str">
        <f>IFERROR(IF(VLOOKUP($B8,casostestes[#Data],4)=0,"-",VLOOKUP($B8,casostestes[#Data],4)),"-")</f>
        <v>PAT</v>
      </c>
      <c r="G8" s="50" t="str">
        <f>IFERROR(IF(VLOOKUP($B8,casostestes[#Data],5)=0,"-",VLOOKUP($B8,casostestes[#Data],5)),"-")</f>
        <v>SERVIDOR</v>
      </c>
      <c r="H8" s="50" t="str">
        <f>IFERROR(IF(VLOOKUP($B8,casostestes[#Data],6)=0,"-",VLOOKUP($B8,casostestes[#Data],6)),"-")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8" s="50" t="str">
        <f>IFERROR(IF(VLOOKUP($B8,casostestes[#Data],8)=0,"-",VLOOKUP($B8,casostestes[#Data],8)),"-")</f>
        <v>-</v>
      </c>
      <c r="J8" s="50" t="str">
        <f>IFERROR(IF(VLOOKUP($B8,casostestes[#Data],9)=0,"-",VLOOKUP($B8,casostestes[#Data],9)),"-")</f>
        <v>Tarefa de BI criada com situação Pendente.
Tarefa SEM Divergência de autodeclaração (116)
Status SIBE igual a AGUARDANDO ATESTADO 
Tarefa.Exige_autodeclaração = 0</v>
      </c>
      <c r="K8" s="112" t="str">
        <f>IFERROR(IF(VLOOKUP($B8,homologador01[#Data],12)=0,"Não executado",VLOOKUP($B8,homologador01[#Data],12)),"Não executado")</f>
        <v>Aprovado</v>
      </c>
      <c r="L8" s="112" t="str">
        <f>IFERROR(IF(VLOOKUP($B8,homologador02[#Data],12)=0,"-",VLOOKUP($B8,homologador02[#Data],12)),"-")</f>
        <v>Reprovado</v>
      </c>
    </row>
    <row r="9" spans="2:12" ht="150">
      <c r="B9" s="56">
        <f>IF(ISERR(casostestes[[#This Row],[ID]]),"-",casostestes[[#This Row],[ID]])</f>
        <v>2</v>
      </c>
      <c r="C9" s="58" t="str">
        <f>IFERROR(IF(VLOOKUP($B9,casostestes[#Data],10)=0,"Não",VLOOKUP($B9,casostestes[#Data],10)), "-")</f>
        <v>Não</v>
      </c>
      <c r="D9" s="59" t="str">
        <f>IFERROR(IF(VLOOKUP($B9,casostestes[#Data],2)=0,"-",VLOOKUP($B9,casostestes[#Data],2)), "-")</f>
        <v>Requerimento Inicial de BI</v>
      </c>
      <c r="E9" s="59" t="str">
        <f>IFERROR(IF(VLOOKUP($B9,casostestes[#Data],3)=0,"-",VLOOKUP($B9,casostestes[#Data],3)),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9" s="59" t="str">
        <f>IFERROR(IF(VLOOKUP($B9,casostestes[#Data],4)=0,"-",VLOOKUP($B9,casostestes[#Data],4)),"-")</f>
        <v>PAT</v>
      </c>
      <c r="G9" s="59" t="str">
        <f>IFERROR(IF(VLOOKUP($B9,casostestes[#Data],5)=0,"-",VLOOKUP($B9,casostestes[#Data],5)),"-")</f>
        <v>SERVIDOR</v>
      </c>
      <c r="H9" s="59" t="str">
        <f>IFERROR(IF(VLOOKUP($B9,casostestes[#Data],6)=0,"-",VLOOKUP($B9,casostestes[#Data],6)),"-")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9" s="59" t="str">
        <f>IFERROR(IF(VLOOKUP($B9,casostestes[#Data],8)=0,"-",VLOOKUP($B9,casostestes[#Data],8)),"-")</f>
        <v>-</v>
      </c>
      <c r="J9" s="59" t="str">
        <f>IFERROR(IF(VLOOKUP($B9,casostestes[#Data],9)=0,"-",VLOOKUP($B9,casostestes[#Data],9)),"-")</f>
        <v>Tarefa de BI criada com situação Pendente.
Tarefa SEM Divergência de autodeclaração (116)
Status SIBE igual a  AGUARDANDO PERÍCIA
Tarefa.Exige_autodeclaração = 0</v>
      </c>
      <c r="K9" s="113" t="str">
        <f>IFERROR(IF(VLOOKUP($B9,homologador01[#Data],12)=0,"Não executado",VLOOKUP($B9,homologador01[#Data],12)),"Não executado")</f>
        <v>Não Executado</v>
      </c>
      <c r="L9" s="113" t="str">
        <f>IFERROR(IF(VLOOKUP($B9,homologador02[#Data],12)=0,"-",VLOOKUP($B9,homologador02[#Data],12)),"-")</f>
        <v>Aprovado</v>
      </c>
    </row>
    <row r="10" spans="2:12" ht="120">
      <c r="B10" s="56">
        <f>IF(ISERR(casostestes[[#This Row],[ID]]),"-",casostestes[[#This Row],[ID]])</f>
        <v>3</v>
      </c>
      <c r="C10" s="49" t="str">
        <f>IFERROR(IF(VLOOKUP($B10,casostestes[#Data],10)=0,"Não",VLOOKUP($B10,casostestes[#Data],10)), "-")</f>
        <v>Não</v>
      </c>
      <c r="D10" s="50" t="str">
        <f>IFERROR(IF(VLOOKUP($B10,casostestes[#Data],2)=0,"-",VLOOKUP($B10,casostestes[#Data],2)), "-")</f>
        <v>Requerimento Inicial de BI</v>
      </c>
      <c r="E10" s="50" t="str">
        <f>IFERROR(IF(VLOOKUP($B10,casostestes[#Data],3)=0,"-",VLOOKUP($B10,casostestes[#Data],3)),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0" s="50" t="str">
        <f>IFERROR(IF(VLOOKUP($B10,casostestes[#Data],4)=0,"-",VLOOKUP($B10,casostestes[#Data],4)),"-")</f>
        <v>PAT</v>
      </c>
      <c r="G10" s="50" t="str">
        <f>IFERROR(IF(VLOOKUP($B10,casostestes[#Data],5)=0,"-",VLOOKUP($B10,casostestes[#Data],5)),"-")</f>
        <v>SERVIDOR</v>
      </c>
      <c r="H10" s="50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0" s="50" t="str">
        <f>IFERROR(IF(VLOOKUP($B10,casostestes[#Data],8)=0,"-",VLOOKUP($B10,casostestes[#Data],8)),"-")</f>
        <v>-</v>
      </c>
      <c r="J10" s="50" t="str">
        <f>IFERROR(IF(VLOOKUP($B10,casostestes[#Data],9)=0,"-",VLOOKUP($B10,casostestes[#Data],9)),"-")</f>
        <v>Tarefa de BI criada com situação Pendente.
Tarefa SEM Divergência de autodeclaração (116)
Status SIBE igual a AGUARDANDO ATESTADO 
Tarefa.Exige_autodeclaração = 0</v>
      </c>
      <c r="K10" s="112" t="str">
        <f>IFERROR(IF(VLOOKUP($B10,homologador01[#Data],12)=0,"Não executado",VLOOKUP($B10,homologador01[#Data],12)),"Não executado")</f>
        <v>Aprovado</v>
      </c>
      <c r="L10" s="112" t="str">
        <f>IFERROR(IF(VLOOKUP($B10,homologador02[#Data],12)=0,"-",VLOOKUP($B10,homologador02[#Data],12)),"-")</f>
        <v>Disponível para reteste</v>
      </c>
    </row>
    <row r="11" spans="2:12" ht="120">
      <c r="B11" s="56">
        <f>IF(ISERR(casostestes[[#This Row],[ID]]),"-",casostestes[[#This Row],[ID]])</f>
        <v>4</v>
      </c>
      <c r="C11" s="49" t="str">
        <f>IFERROR(IF(VLOOKUP($B11,casostestes[#Data],10)=0,"Não",VLOOKUP($B11,casostestes[#Data],10)), "-")</f>
        <v>Não</v>
      </c>
      <c r="D11" s="50" t="str">
        <f>IFERROR(IF(VLOOKUP($B11,casostestes[#Data],2)=0,"-",VLOOKUP($B11,casostestes[#Data],2)), "-")</f>
        <v>Requerimento Inicial de BI</v>
      </c>
      <c r="E11" s="50" t="str">
        <f>IFERROR(IF(VLOOKUP($B11,casostestes[#Data],3)=0,"-",VLOOKUP($B11,casostestes[#Data],3)),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1" s="50" t="str">
        <f>IFERROR(IF(VLOOKUP($B11,casostestes[#Data],4)=0,"-",VLOOKUP($B11,casostestes[#Data],4)),"-")</f>
        <v>PAT</v>
      </c>
      <c r="G11" s="50" t="str">
        <f>IFERROR(IF(VLOOKUP($B11,casostestes[#Data],5)=0,"-",VLOOKUP($B11,casostestes[#Data],5)),"-")</f>
        <v>SERVIDOR</v>
      </c>
      <c r="H11" s="50" t="str">
        <f>IFERROR(IF(VLOOKUP($B11,casostestes[#Data],6)=0,"-",VLOOKUP($B11,casostestes[#Data],6)),"-")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1" s="50" t="str">
        <f>IFERROR(IF(VLOOKUP($B11,casostestes[#Data],8)=0,"-",VLOOKUP($B11,casostestes[#Data],8)),"-")</f>
        <v>-</v>
      </c>
      <c r="J11" s="50" t="str">
        <f>IFERROR(IF(VLOOKUP($B11,casostestes[#Data],9)=0,"-",VLOOKUP($B11,casostestes[#Data],9)),"-")</f>
        <v xml:space="preserve">
Tarefa de BI criada com situação Pendente.
Tarefa SEM Divergência de autodeclaração (116)
Status SIBE igual a AGUARDANDO ATESTADO 
Tarefa.Exige_autodeclaração = 0
</v>
      </c>
      <c r="K11" s="112" t="str">
        <f>IFERROR(IF(VLOOKUP($B11,homologador01[#Data],12)=0,"Não executado",VLOOKUP($B11,homologador01[#Data],12)),"Não executado")</f>
        <v>Aprovado</v>
      </c>
      <c r="L11" s="112" t="str">
        <f>IFERROR(IF(VLOOKUP($B11,homologador02[#Data],12)=0,"-",VLOOKUP($B11,homologador02[#Data],12)),"-")</f>
        <v>-</v>
      </c>
    </row>
    <row r="12" spans="2:12" ht="120">
      <c r="B12" s="56">
        <f>IF(ISERR(casostestes[[#This Row],[ID]]),"-",casostestes[[#This Row],[ID]])</f>
        <v>5</v>
      </c>
      <c r="C12" s="49" t="str">
        <f>IFERROR(IF(VLOOKUP($B12,casostestes[#Data],10)=0,"Não",VLOOKUP($B12,casostestes[#Data],10)), "-")</f>
        <v>Não</v>
      </c>
      <c r="D12" s="50" t="str">
        <f>IFERROR(IF(VLOOKUP($B12,casostestes[#Data],2)=0,"-",VLOOKUP($B12,casostestes[#Data],2)), "-")</f>
        <v>Requerimento Inicial de BI</v>
      </c>
      <c r="E12" s="50" t="str">
        <f>IFERROR(IF(VLOOKUP($B12,casostestes[#Data],3)=0,"-",VLOOKUP($B12,casostestes[#Data],3)),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2" s="50" t="str">
        <f>IFERROR(IF(VLOOKUP($B12,casostestes[#Data],4)=0,"-",VLOOKUP($B12,casostestes[#Data],4)),"-")</f>
        <v>PAT</v>
      </c>
      <c r="G12" s="50" t="str">
        <f>IFERROR(IF(VLOOKUP($B12,casostestes[#Data],5)=0,"-",VLOOKUP($B12,casostestes[#Data],5)),"-")</f>
        <v>SERVIDOR</v>
      </c>
      <c r="H12" s="50" t="str">
        <f>IFERROR(IF(VLOOKUP($B12,casostestes[#Data],6)=0,"-",VLOOKUP($B12,casostestes[#Data],6)),"-")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2" s="50" t="str">
        <f>IFERROR(IF(VLOOKUP($B12,casostestes[#Data],8)=0,"-",VLOOKUP($B12,casostestes[#Data],8)),"-")</f>
        <v>-</v>
      </c>
      <c r="J12" s="50" t="str">
        <f>IFERROR(IF(VLOOKUP($B12,casostestes[#Data],9)=0,"-",VLOOKUP($B12,casostestes[#Data],9)),"-")</f>
        <v>Tarefa de BI criada com situação Pendente.
Tarefa SEM Divergência de autodeclaração (116)
Status SIBE igual a  AGUARDANDO PERÍCIA
Tarefa.Exige_autodeclaração = 0</v>
      </c>
      <c r="K12" s="112" t="str">
        <f>IFERROR(IF(VLOOKUP($B12,homologador01[#Data],12)=0,"Não executado",VLOOKUP($B12,homologador01[#Data],12)),"Não executado")</f>
        <v>Aprovado</v>
      </c>
      <c r="L12" s="112" t="str">
        <f>IFERROR(IF(VLOOKUP($B12,homologador02[#Data],12)=0,"-",VLOOKUP($B12,homologador02[#Data],12)),"-")</f>
        <v>-</v>
      </c>
    </row>
    <row r="13" spans="2:12" ht="240">
      <c r="B13" s="56">
        <f>IF(ISERR(casostestes[[#This Row],[ID]]),"-",casostestes[[#This Row],[ID]])</f>
        <v>6</v>
      </c>
      <c r="C13" s="49" t="str">
        <f>IFERROR(IF(VLOOKUP($B13,casostestes[#Data],10)=0,"Não",VLOOKUP($B13,casostestes[#Data],10)), "-")</f>
        <v>Não</v>
      </c>
      <c r="D13" s="50" t="str">
        <f>IFERROR(IF(VLOOKUP($B13,casostestes[#Data],2)=0,"-",VLOOKUP($B13,casostestes[#Data],2)), "-")</f>
        <v>Requerimento Inicial de BI</v>
      </c>
      <c r="E13" s="50" t="str">
        <f>IFERROR(IF(VLOOKUP($B13,casostestes[#Data],3)=0,"-",VLOOKUP($B13,casostestes[#Data],3)),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3" s="50" t="str">
        <f>IFERROR(IF(VLOOKUP($B13,casostestes[#Data],4)=0,"-",VLOOKUP($B13,casostestes[#Data],4)),"-")</f>
        <v>PAT</v>
      </c>
      <c r="G13" s="50" t="str">
        <f>IFERROR(IF(VLOOKUP($B13,casostestes[#Data],5)=0,"-",VLOOKUP($B13,casostestes[#Data],5)),"-")</f>
        <v>SERVIDOR</v>
      </c>
      <c r="H13" s="50" t="str">
        <f>IFERROR(IF(VLOOKUP($B13,casostestes[#Data],6)=0,"-",VLOOKUP($B13,casostestes[#Data],6)),"-")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3" s="50" t="str">
        <f>IFERROR(IF(VLOOKUP($B13,casostestes[#Data],8)=0,"-",VLOOKUP($B13,casostestes[#Data],8)),"-")</f>
        <v>-</v>
      </c>
      <c r="J13" s="50" t="str">
        <f>IFERROR(IF(VLOOKUP($B13,casostestes[#Data],9)=0,"-",VLOOKUP($B13,casostestes[#Data],9)),"-")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3" s="112" t="str">
        <f>IFERROR(IF(VLOOKUP($B13,homologador01[#Data],12)=0,"Não executado",VLOOKUP($B13,homologador01[#Data],12)),"Não executado")</f>
        <v>Reprovado</v>
      </c>
      <c r="L13" s="112" t="str">
        <f>IFERROR(IF(VLOOKUP($B13,homologador02[#Data],12)=0,"-",VLOOKUP($B13,homologador02[#Data],12)),"-")</f>
        <v>-</v>
      </c>
    </row>
    <row r="14" spans="2:12" ht="210">
      <c r="B14" s="56">
        <f>IF(ISERR(casostestes[[#This Row],[ID]]),"-",casostestes[[#This Row],[ID]])</f>
        <v>7</v>
      </c>
      <c r="C14" s="49" t="str">
        <f>IFERROR(IF(VLOOKUP($B14,casostestes[#Data],10)=0,"Não",VLOOKUP($B14,casostestes[#Data],10)), "-")</f>
        <v>Não</v>
      </c>
      <c r="D14" s="50" t="str">
        <f>IFERROR(IF(VLOOKUP($B14,casostestes[#Data],2)=0,"-",VLOOKUP($B14,casostestes[#Data],2)), "-")</f>
        <v>Requerimento Inicial de BI</v>
      </c>
      <c r="E14" s="50" t="str">
        <f>IFERROR(IF(VLOOKUP($B14,casostestes[#Data],3)=0,"-",VLOOKUP($B14,casostestes[#Data],3)),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4" s="50" t="str">
        <f>IFERROR(IF(VLOOKUP($B14,casostestes[#Data],4)=0,"-",VLOOKUP($B14,casostestes[#Data],4)),"-")</f>
        <v>PAT</v>
      </c>
      <c r="G14" s="50" t="str">
        <f>IFERROR(IF(VLOOKUP($B14,casostestes[#Data],5)=0,"-",VLOOKUP($B14,casostestes[#Data],5)),"-")</f>
        <v>SERVIDOR</v>
      </c>
      <c r="H14" s="50" t="str">
        <f>IFERROR(IF(VLOOKUP($B14,casostestes[#Data],6)=0,"-",VLOOKUP($B14,casostestes[#Data],6)),"-")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4" s="50" t="str">
        <f>IFERROR(IF(VLOOKUP($B14,casostestes[#Data],8)=0,"-",VLOOKUP($B14,casostestes[#Data],8)),"-")</f>
        <v>-</v>
      </c>
      <c r="J14" s="50" t="str">
        <f>IFERROR(IF(VLOOKUP($B14,casostestes[#Data],9)=0,"-",VLOOKUP($B14,casostestes[#Data],9)),"-")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4" s="112" t="str">
        <f>IFERROR(IF(VLOOKUP($B14,homologador01[#Data],12)=0,"Não executado",VLOOKUP($B14,homologador01[#Data],12)),"Não executado")</f>
        <v>Reprovado</v>
      </c>
      <c r="L14" s="112" t="str">
        <f>IFERROR(IF(VLOOKUP($B14,homologador02[#Data],12)=0,"-",VLOOKUP($B14,homologador02[#Data],12)),"-")</f>
        <v>-</v>
      </c>
    </row>
    <row r="15" spans="2:12" ht="180">
      <c r="B15" s="56">
        <f>IF(ISERR(casostestes[[#This Row],[ID]]),"-",casostestes[[#This Row],[ID]])</f>
        <v>8</v>
      </c>
      <c r="C15" s="49" t="str">
        <f>IFERROR(IF(VLOOKUP($B15,casostestes[#Data],10)=0,"Não",VLOOKUP($B15,casostestes[#Data],10)), "-")</f>
        <v>Não</v>
      </c>
      <c r="D15" s="50" t="str">
        <f>IFERROR(IF(VLOOKUP($B15,casostestes[#Data],2)=0,"-",VLOOKUP($B15,casostestes[#Data],2)), "-")</f>
        <v>Requerimento Inicial de BI</v>
      </c>
      <c r="E15" s="50" t="str">
        <f>IFERROR(IF(VLOOKUP($B15,casostestes[#Data],3)=0,"-",VLOOKUP($B15,casostestes[#Data],3)),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15" s="50" t="str">
        <f>IFERROR(IF(VLOOKUP($B15,casostestes[#Data],4)=0,"-",VLOOKUP($B15,casostestes[#Data],4)),"-")</f>
        <v>PAT</v>
      </c>
      <c r="G15" s="50" t="str">
        <f>IFERROR(IF(VLOOKUP($B15,casostestes[#Data],5)=0,"-",VLOOKUP($B15,casostestes[#Data],5)),"-")</f>
        <v>SERVIDOR</v>
      </c>
      <c r="H15" s="50" t="str">
        <f>IFERROR(IF(VLOOKUP($B15,casostestes[#Data],6)=0,"-",VLOOKUP($B15,casostestes[#Data],6)),"-")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15" s="50" t="str">
        <f>IFERROR(IF(VLOOKUP($B15,casostestes[#Data],8)=0,"-",VLOOKUP($B15,casostestes[#Data],8)),"-")</f>
        <v>-</v>
      </c>
      <c r="J15" s="50" t="str">
        <f>IFERROR(IF(VLOOKUP($B15,casostestes[#Data],9)=0,"-",VLOOKUP($B15,casostestes[#Data],9)),"-")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15" s="112" t="str">
        <f>IFERROR(IF(VLOOKUP($B15,homologador01[#Data],12)=0,"Não executado",VLOOKUP($B15,homologador01[#Data],12)),"Não executado")</f>
        <v>Reprovado</v>
      </c>
      <c r="L15" s="112" t="str">
        <f>IFERROR(IF(VLOOKUP($B15,homologador02[#Data],12)=0,"-",VLOOKUP($B15,homologador02[#Data],12)),"-")</f>
        <v>-</v>
      </c>
    </row>
    <row r="16" spans="2:12" ht="90">
      <c r="B16" s="56">
        <f>IF(ISERR(casostestes[[#This Row],[ID]]),"-",casostestes[[#This Row],[ID]])</f>
        <v>9</v>
      </c>
      <c r="C16" s="49" t="str">
        <f>IFERROR(IF(VLOOKUP($B16,casostestes[#Data],10)=0,"Não",VLOOKUP($B16,casostestes[#Data],10)), "-")</f>
        <v>Não</v>
      </c>
      <c r="D16" s="50" t="str">
        <f>IFERROR(IF(VLOOKUP($B16,casostestes[#Data],2)=0,"-",VLOOKUP($B16,casostestes[#Data],2)), "-")</f>
        <v>-</v>
      </c>
      <c r="E16" s="50" t="str">
        <f>IFERROR(IF(VLOOKUP($B16,casostestes[#Data],3)=0,"-",VLOOKUP($B16,casostestes[#Data],3)), "-")</f>
        <v>Acionar Cumprimento de exigência de autodeclaração sem finalizar a autodeclaração</v>
      </c>
      <c r="F16" s="50" t="str">
        <f>IFERROR(IF(VLOOKUP($B16,casostestes[#Data],4)=0,"-",VLOOKUP($B16,casostestes[#Data],4)),"-")</f>
        <v>PAT</v>
      </c>
      <c r="G16" s="50" t="str">
        <f>IFERROR(IF(VLOOKUP($B16,casostestes[#Data],5)=0,"-",VLOOKUP($B16,casostestes[#Data],5)),"-")</f>
        <v>SERVIDOR</v>
      </c>
      <c r="H16" s="50" t="str">
        <f>IFERROR(IF(VLOOKUP($B16,casostestes[#Data],6)=0,"-",VLOOKUP($B16,casostestes[#Data],6)),"-")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16" s="50" t="str">
        <f>IFERROR(IF(VLOOKUP($B16,casostestes[#Data],8)=0,"-",VLOOKUP($B16,casostestes[#Data],8)),"-")</f>
        <v>-</v>
      </c>
      <c r="J16" s="50" t="str">
        <f>IFERROR(IF(VLOOKUP($B16,casostestes[#Data],9)=0,"-",VLOOKUP($B16,casostestes[#Data],9)),"-")</f>
        <v xml:space="preserve">Tarefa de BI com situação Exigência
Divergência de autodeclaraçãonão (116) presente na tarefa
</v>
      </c>
      <c r="K16" s="112" t="str">
        <f>IFERROR(IF(VLOOKUP($B16,homologador01[#Data],12)=0,"Não executado",VLOOKUP($B16,homologador01[#Data],12)),"Não executado")</f>
        <v>Não executado</v>
      </c>
      <c r="L16" s="112" t="str">
        <f>IFERROR(IF(VLOOKUP($B16,homologador02[#Data],12)=0,"-",VLOOKUP($B16,homologador02[#Data],12)),"-")</f>
        <v>-</v>
      </c>
    </row>
    <row r="17" spans="2:12" ht="225">
      <c r="B17" s="56">
        <f>IF(ISERR(casostestes[[#This Row],[ID]]),"-",casostestes[[#This Row],[ID]])</f>
        <v>10</v>
      </c>
      <c r="C17" s="49" t="str">
        <f>IFERROR(IF(VLOOKUP($B17,casostestes[#Data],10)=0,"Não",VLOOKUP($B17,casostestes[#Data],10)), "-")</f>
        <v>Não</v>
      </c>
      <c r="D17" s="50" t="str">
        <f>IFERROR(IF(VLOOKUP($B17,casostestes[#Data],2)=0,"-",VLOOKUP($B17,casostestes[#Data],2)), "-")</f>
        <v>-</v>
      </c>
      <c r="E17" s="50" t="str">
        <f>IFERROR(IF(VLOOKUP($B17,casostestes[#Data],3)=0,"-",VLOOKUP($B17,casostestes[#Data],3)), "-")</f>
        <v>Cumprir a exigência de autodeclaração</v>
      </c>
      <c r="F17" s="50" t="str">
        <f>IFERROR(IF(VLOOKUP($B17,casostestes[#Data],4)=0,"-",VLOOKUP($B17,casostestes[#Data],4)),"-")</f>
        <v>PAT</v>
      </c>
      <c r="G17" s="50" t="str">
        <f>IFERROR(IF(VLOOKUP($B17,casostestes[#Data],5)=0,"-",VLOOKUP($B17,casostestes[#Data],5)),"-")</f>
        <v>SERVIDOR</v>
      </c>
      <c r="H17" s="50" t="str">
        <f>IFERROR(IF(VLOOKUP($B17,casostestes[#Data],6)=0,"-",VLOOKUP($B17,casostestes[#Data],6)),"-")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7" s="50" t="str">
        <f>IFERROR(IF(VLOOKUP($B17,casostestes[#Data],8)=0,"-",VLOOKUP($B17,casostestes[#Data],8)),"-")</f>
        <v>-</v>
      </c>
      <c r="J17" s="50" t="str">
        <f>IFERROR(IF(VLOOKUP($B17,casostestes[#Data],9)=0,"-",VLOOKUP($B17,casostestes[#Data],9)),"-")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7" s="112" t="str">
        <f>IFERROR(IF(VLOOKUP($B17,homologador01[#Data],12)=0,"Não executado",VLOOKUP($B17,homologador01[#Data],12)),"Não executado")</f>
        <v>Não executado</v>
      </c>
      <c r="L17" s="112" t="str">
        <f>IFERROR(IF(VLOOKUP($B17,homologador02[#Data],12)=0,"-",VLOOKUP($B17,homologador02[#Data],12)),"-")</f>
        <v>-</v>
      </c>
    </row>
    <row r="18" spans="2:12" ht="165">
      <c r="B18" s="56">
        <f>IF(ISERR(casostestes[[#This Row],[ID]]),"-",casostestes[[#This Row],[ID]])</f>
        <v>11</v>
      </c>
      <c r="C18" s="49" t="str">
        <f>IFERROR(IF(VLOOKUP($B18,casostestes[#Data],10)=0,"Não",VLOOKUP($B18,casostestes[#Data],10)), "-")</f>
        <v>Não</v>
      </c>
      <c r="D18" s="50" t="str">
        <f>IFERROR(IF(VLOOKUP($B18,casostestes[#Data],2)=0,"-",VLOOKUP($B18,casostestes[#Data],2)), "-")</f>
        <v>-</v>
      </c>
      <c r="E18" s="50" t="str">
        <f>IFERROR(IF(VLOOKUP($B18,casostestes[#Data],3)=0,"-",VLOOKUP($B18,casostestes[#Data],3)), "-")</f>
        <v>Responder o formulário de autodeclaração acessando diretamente a aba segurado especial ao detalhar a tarefa, onde a tarefa encontra-se em exigência de autodeclaração</v>
      </c>
      <c r="F18" s="50" t="str">
        <f>IFERROR(IF(VLOOKUP($B18,casostestes[#Data],4)=0,"-",VLOOKUP($B18,casostestes[#Data],4)),"-")</f>
        <v>PAT</v>
      </c>
      <c r="G18" s="50" t="str">
        <f>IFERROR(IF(VLOOKUP($B18,casostestes[#Data],5)=0,"-",VLOOKUP($B18,casostestes[#Data],5)),"-")</f>
        <v>SERVIDOR</v>
      </c>
      <c r="H18" s="50" t="str">
        <f>IFERROR(IF(VLOOKUP($B18,casostestes[#Data],6)=0,"-",VLOOKUP($B18,casostestes[#Data],6)),"-")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8" s="50" t="str">
        <f>IFERROR(IF(VLOOKUP($B18,casostestes[#Data],8)=0,"-",VLOOKUP($B18,casostestes[#Data],8)),"-")</f>
        <v>-</v>
      </c>
      <c r="J18" s="50" t="str">
        <f>IFERROR(IF(VLOOKUP($B18,casostestes[#Data],9)=0,"-",VLOOKUP($B18,casostestes[#Data],9)),"-")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8" s="112" t="str">
        <f>IFERROR(IF(VLOOKUP($B18,homologador01[#Data],12)=0,"Não executado",VLOOKUP($B18,homologador01[#Data],12)),"Não executado")</f>
        <v>Não executado</v>
      </c>
      <c r="L18" s="112" t="str">
        <f>IFERROR(IF(VLOOKUP($B18,homologador02[#Data],12)=0,"-",VLOOKUP($B18,homologador02[#Data],12)),"-")</f>
        <v>-</v>
      </c>
    </row>
    <row r="19" spans="2:12" ht="105">
      <c r="B19" s="56">
        <f>IF(ISERR(casostestes[[#This Row],[ID]]),"-",casostestes[[#This Row],[ID]])</f>
        <v>12</v>
      </c>
      <c r="C19" s="49" t="str">
        <f>IFERROR(IF(VLOOKUP($B19,casostestes[#Data],10)=0,"Não",VLOOKUP($B19,casostestes[#Data],10)), "-")</f>
        <v>Não</v>
      </c>
      <c r="D19" s="50" t="str">
        <f>IFERROR(IF(VLOOKUP($B19,casostestes[#Data],2)=0,"-",VLOOKUP($B19,casostestes[#Data],2)), "-")</f>
        <v>-</v>
      </c>
      <c r="E19" s="50" t="str">
        <f>IFERROR(IF(VLOOKUP($B19,casostestes[#Data],3)=0,"-",VLOOKUP($B19,casostestes[#Data],3)), "-")</f>
        <v>Responder o formulário de autodeclaração acessando diretamente a aba segurado especial ao detalhar a tarefa, onde a tarefa encontra-se em exigência de documento médico</v>
      </c>
      <c r="F19" s="50" t="str">
        <f>IFERROR(IF(VLOOKUP($B19,casostestes[#Data],4)=0,"-",VLOOKUP($B19,casostestes[#Data],4)),"-")</f>
        <v>PAT</v>
      </c>
      <c r="G19" s="50" t="str">
        <f>IFERROR(IF(VLOOKUP($B19,casostestes[#Data],5)=0,"-",VLOOKUP($B19,casostestes[#Data],5)),"-")</f>
        <v>SERVIDOR</v>
      </c>
      <c r="H19" s="50" t="str">
        <f>IFERROR(IF(VLOOKUP($B19,casostestes[#Data],6)=0,"-",VLOOKUP($B19,casostestes[#Data],6)),"-")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9" s="50" t="str">
        <f>IFERROR(IF(VLOOKUP($B19,casostestes[#Data],8)=0,"-",VLOOKUP($B19,casostestes[#Data],8)),"-")</f>
        <v>-</v>
      </c>
      <c r="J19" s="50" t="str">
        <f>IFERROR(IF(VLOOKUP($B19,casostestes[#Data],9)=0,"-",VLOOKUP($B19,casostestes[#Data],9)),"-")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9" s="112" t="str">
        <f>IFERROR(IF(VLOOKUP($B19,homologador01[#Data],12)=0,"Não executado",VLOOKUP($B19,homologador01[#Data],12)),"Não executado")</f>
        <v>Não executado</v>
      </c>
      <c r="L19" s="112" t="str">
        <f>IFERROR(IF(VLOOKUP($B19,homologador02[#Data],12)=0,"-",VLOOKUP($B19,homologador02[#Data],12)),"-")</f>
        <v>-</v>
      </c>
    </row>
    <row r="20" spans="2:12" ht="240">
      <c r="B20" s="56">
        <f>IF(ISERR(casostestes[[#This Row],[ID]]),"-",casostestes[[#This Row],[ID]])</f>
        <v>13</v>
      </c>
      <c r="C20" s="49" t="str">
        <f>IFERROR(IF(VLOOKUP($B20,casostestes[#Data],10)=0,"Não",VLOOKUP($B20,casostestes[#Data],10)), "-")</f>
        <v>Não</v>
      </c>
      <c r="D20" s="50" t="str">
        <f>IFERROR(IF(VLOOKUP($B20,casostestes[#Data],2)=0,"-",VLOOKUP($B20,casostestes[#Data],2)), "-")</f>
        <v>Requerimento Inicial de BI</v>
      </c>
      <c r="E20" s="50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0" s="50" t="str">
        <f>IFERROR(IF(VLOOKUP($B20,casostestes[#Data],4)=0,"-",VLOOKUP($B20,casostestes[#Data],4)),"-")</f>
        <v>PAT</v>
      </c>
      <c r="G20" s="50" t="str">
        <f>IFERROR(IF(VLOOKUP($B20,casostestes[#Data],5)=0,"-",VLOOKUP($B20,casostestes[#Data],5)),"-")</f>
        <v>SERVIDOR</v>
      </c>
      <c r="H20" s="50" t="str">
        <f>IFERROR(IF(VLOOKUP($B20,casostestes[#Data],6)=0,"-",VLOOKUP($B20,casostestes[#Data],6)),"-")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0" s="50" t="str">
        <f>IFERROR(IF(VLOOKUP($B20,casostestes[#Data],8)=0,"-",VLOOKUP($B20,casostestes[#Data],8)),"-")</f>
        <v>-</v>
      </c>
      <c r="J20" s="50" t="str">
        <f>IFERROR(IF(VLOOKUP($B20,casostestes[#Data],9)=0,"-",VLOOKUP($B20,casostestes[#Data],9)),"-")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0" s="112" t="str">
        <f>IFERROR(IF(VLOOKUP($B20,homologador01[#Data],12)=0,"Não executado",VLOOKUP($B20,homologador01[#Data],12)),"Não executado")</f>
        <v>Não executado</v>
      </c>
      <c r="L20" s="112" t="str">
        <f>IFERROR(IF(VLOOKUP($B20,homologador02[#Data],12)=0,"-",VLOOKUP($B20,homologador02[#Data],12)),"-")</f>
        <v>-</v>
      </c>
    </row>
    <row r="21" spans="2:12" ht="240">
      <c r="B21" s="56">
        <f>IF(ISERR(casostestes[[#This Row],[ID]]),"-",casostestes[[#This Row],[ID]])</f>
        <v>14</v>
      </c>
      <c r="C21" s="49" t="str">
        <f>IFERROR(IF(VLOOKUP($B21,casostestes[#Data],10)=0,"Não",VLOOKUP($B21,casostestes[#Data],10)), "-")</f>
        <v>Não</v>
      </c>
      <c r="D21" s="50" t="str">
        <f>IFERROR(IF(VLOOKUP($B21,casostestes[#Data],2)=0,"-",VLOOKUP($B21,casostestes[#Data],2)), "-")</f>
        <v>Requerimento Inicial de BI</v>
      </c>
      <c r="E21" s="50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1" s="50" t="str">
        <f>IFERROR(IF(VLOOKUP($B21,casostestes[#Data],4)=0,"-",VLOOKUP($B21,casostestes[#Data],4)),"-")</f>
        <v>PAT</v>
      </c>
      <c r="G21" s="50" t="str">
        <f>IFERROR(IF(VLOOKUP($B21,casostestes[#Data],5)=0,"-",VLOOKUP($B21,casostestes[#Data],5)),"-")</f>
        <v>SERVIDOR</v>
      </c>
      <c r="H21" s="50" t="str">
        <f>IFERROR(IF(VLOOKUP($B21,casostestes[#Data],6)=0,"-",VLOOKUP($B21,casostestes[#Data],6)),"-")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1" s="50" t="str">
        <f>IFERROR(IF(VLOOKUP($B21,casostestes[#Data],8)=0,"-",VLOOKUP($B21,casostestes[#Data],8)),"-")</f>
        <v>-</v>
      </c>
      <c r="J21" s="50" t="str">
        <f>IFERROR(IF(VLOOKUP($B21,casostestes[#Data],9)=0,"-",VLOOKUP($B21,casostestes[#Data],9)),"-")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1" s="112" t="str">
        <f>IFERROR(IF(VLOOKUP($B21,homologador01[#Data],12)=0,"Não executado",VLOOKUP($B21,homologador01[#Data],12)),"Não executado")</f>
        <v>Não executado</v>
      </c>
      <c r="L21" s="112" t="str">
        <f>IFERROR(IF(VLOOKUP($B21,homologador02[#Data],12)=0,"-",VLOOKUP($B21,homologador02[#Data],12)),"-")</f>
        <v>-</v>
      </c>
    </row>
    <row r="22" spans="2:12" ht="315">
      <c r="B22" s="56">
        <f>IF(ISERR(casostestes[[#This Row],[ID]]),"-",casostestes[[#This Row],[ID]])</f>
        <v>15</v>
      </c>
      <c r="C22" s="49" t="str">
        <f>IFERROR(IF(VLOOKUP($B22,casostestes[#Data],10)=0,"Não",VLOOKUP($B22,casostestes[#Data],10)), "-")</f>
        <v>Não</v>
      </c>
      <c r="D22" s="50" t="str">
        <f>IFERROR(IF(VLOOKUP($B22,casostestes[#Data],2)=0,"-",VLOOKUP($B22,casostestes[#Data],2)), "-")</f>
        <v>Requerimento Inicial de BI</v>
      </c>
      <c r="E22" s="50" t="str">
        <f>IFERROR(IF(VLOOKUP($B22,casostestes[#Data],3)=0,"-",VLOOKUP($B22,casostestes[#Data],3)),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2" s="50" t="str">
        <f>IFERROR(IF(VLOOKUP($B22,casostestes[#Data],4)=0,"-",VLOOKUP($B22,casostestes[#Data],4)),"-")</f>
        <v>PAT</v>
      </c>
      <c r="G22" s="50" t="str">
        <f>IFERROR(IF(VLOOKUP($B22,casostestes[#Data],5)=0,"-",VLOOKUP($B22,casostestes[#Data],5)),"-")</f>
        <v>SERVIDOR</v>
      </c>
      <c r="H22" s="50" t="str">
        <f>IFERROR(IF(VLOOKUP($B22,casostestes[#Data],6)=0,"-",VLOOKUP($B22,casostestes[#Data],6)),"-")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2" s="50" t="str">
        <f>IFERROR(IF(VLOOKUP($B22,casostestes[#Data],8)=0,"-",VLOOKUP($B22,casostestes[#Data],8)),"-")</f>
        <v>-</v>
      </c>
      <c r="J22" s="50" t="str">
        <f>IFERROR(IF(VLOOKUP($B22,casostestes[#Data],9)=0,"-",VLOOKUP($B22,casostestes[#Data],9)),"-")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2" s="112" t="str">
        <f>IFERROR(IF(VLOOKUP($B22,homologador01[#Data],12)=0,"Não executado",VLOOKUP($B22,homologador01[#Data],12)),"Não executado")</f>
        <v>Não executado</v>
      </c>
      <c r="L22" s="112" t="str">
        <f>IFERROR(IF(VLOOKUP($B22,homologador02[#Data],12)=0,"-",VLOOKUP($B22,homologador02[#Data],12)),"-")</f>
        <v>-</v>
      </c>
    </row>
    <row r="23" spans="2:12" ht="300">
      <c r="B23" s="56">
        <f>IF(ISERR(casostestes[[#This Row],[ID]]),"-",casostestes[[#This Row],[ID]])</f>
        <v>16</v>
      </c>
      <c r="C23" s="49" t="str">
        <f>IFERROR(IF(VLOOKUP($B23,casostestes[#Data],10)=0,"Não",VLOOKUP($B23,casostestes[#Data],10)), "-")</f>
        <v>Não</v>
      </c>
      <c r="D23" s="50" t="str">
        <f>IFERROR(IF(VLOOKUP($B23,casostestes[#Data],2)=0,"-",VLOOKUP($B23,casostestes[#Data],2)), "-")</f>
        <v>Requerimento Inicial de BI</v>
      </c>
      <c r="E23" s="50" t="str">
        <f>IFERROR(IF(VLOOKUP($B23,casostestes[#Data],3)=0,"-",VLOOKUP($B23,casostestes[#Data],3)),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3" s="50" t="str">
        <f>IFERROR(IF(VLOOKUP($B23,casostestes[#Data],4)=0,"-",VLOOKUP($B23,casostestes[#Data],4)),"-")</f>
        <v>PAT</v>
      </c>
      <c r="G23" s="50" t="str">
        <f>IFERROR(IF(VLOOKUP($B23,casostestes[#Data],5)=0,"-",VLOOKUP($B23,casostestes[#Data],5)),"-")</f>
        <v>SERVIDOR</v>
      </c>
      <c r="H23" s="50" t="str">
        <f>IFERROR(IF(VLOOKUP($B23,casostestes[#Data],6)=0,"-",VLOOKUP($B23,casostestes[#Data],6)),"-")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3" s="50" t="str">
        <f>IFERROR(IF(VLOOKUP($B23,casostestes[#Data],8)=0,"-",VLOOKUP($B23,casostestes[#Data],8)),"-")</f>
        <v>-</v>
      </c>
      <c r="J23" s="50" t="str">
        <f>IFERROR(IF(VLOOKUP($B23,casostestes[#Data],9)=0,"-",VLOOKUP($B23,casostestes[#Data],9)),"-")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3" s="112" t="str">
        <f>IFERROR(IF(VLOOKUP($B23,homologador01[#Data],12)=0,"Não executado",VLOOKUP($B23,homologador01[#Data],12)),"Não executado")</f>
        <v>Não executado</v>
      </c>
      <c r="L23" s="112" t="str">
        <f>IFERROR(IF(VLOOKUP($B23,homologador02[#Data],12)=0,"-",VLOOKUP($B23,homologador02[#Data],12)),"-")</f>
        <v>-</v>
      </c>
    </row>
    <row r="24" spans="2:12" ht="210">
      <c r="B24" s="56">
        <f>IF(ISERR(casostestes[[#This Row],[ID]]),"-",casostestes[[#This Row],[ID]])</f>
        <v>17</v>
      </c>
      <c r="C24" s="49" t="str">
        <f>IFERROR(IF(VLOOKUP($B24,casostestes[#Data],10)=0,"Não",VLOOKUP($B24,casostestes[#Data],10)), "-")</f>
        <v>Não</v>
      </c>
      <c r="D24" s="50" t="str">
        <f>IFERROR(IF(VLOOKUP($B24,casostestes[#Data],2)=0,"-",VLOOKUP($B24,casostestes[#Data],2)), "-")</f>
        <v>Requerimento Inicial de BI</v>
      </c>
      <c r="E24" s="50" t="str">
        <f>IFERROR(IF(VLOOKUP($B24,casostestes[#Data],3)=0,"-",VLOOKUP($B24,casostestes[#Data],3)),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4" s="50" t="str">
        <f>IFERROR(IF(VLOOKUP($B24,casostestes[#Data],4)=0,"-",VLOOKUP($B24,casostestes[#Data],4)),"-")</f>
        <v>PAT</v>
      </c>
      <c r="G24" s="50" t="str">
        <f>IFERROR(IF(VLOOKUP($B24,casostestes[#Data],5)=0,"-",VLOOKUP($B24,casostestes[#Data],5)),"-")</f>
        <v>ATENDENTE_CENTRAL_135</v>
      </c>
      <c r="H24" s="50" t="str">
        <f>IFERROR(IF(VLOOKUP($B24,casostestes[#Data],6)=0,"-",VLOOKUP($B24,casostestes[#Data],6)),"-")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24" s="50" t="str">
        <f>IFERROR(IF(VLOOKUP($B24,casostestes[#Data],8)=0,"-",VLOOKUP($B24,casostestes[#Data],8)),"-")</f>
        <v>-</v>
      </c>
      <c r="J24" s="50" t="str">
        <f>IFERROR(IF(VLOOKUP($B24,casostestes[#Data],9)=0,"-",VLOOKUP($B24,casostestes[#Data],9)),"-")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24" s="112" t="str">
        <f>IFERROR(IF(VLOOKUP($B24,homologador01[#Data],12)=0,"Não executado",VLOOKUP($B24,homologador01[#Data],12)),"Não executado")</f>
        <v>Não executado</v>
      </c>
      <c r="L24" s="112" t="str">
        <f>IFERROR(IF(VLOOKUP($B24,homologador02[#Data],12)=0,"-",VLOOKUP($B24,homologador02[#Data],12)),"-")</f>
        <v>-</v>
      </c>
    </row>
    <row r="25" spans="2:12" ht="105">
      <c r="B25" s="56">
        <f>IF(ISERR(casostestes[[#This Row],[ID]]),"-",casostestes[[#This Row],[ID]])</f>
        <v>18</v>
      </c>
      <c r="C25" s="49" t="str">
        <f>IFERROR(IF(VLOOKUP($B25,casostestes[#Data],10)=0,"Não",VLOOKUP($B25,casostestes[#Data],10)), "-")</f>
        <v>Não</v>
      </c>
      <c r="D25" s="50" t="str">
        <f>IFERROR(IF(VLOOKUP($B25,casostestes[#Data],2)=0,"-",VLOOKUP($B25,casostestes[#Data],2)), "-")</f>
        <v>Requerimento Inicial de BI</v>
      </c>
      <c r="E25" s="50" t="str">
        <f>IFERROR(IF(VLOOKUP($B25,casostestes[#Data],3)=0,"-",VLOOKUP($B25,casostestes[#Data],3)),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25" s="50" t="str">
        <f>IFERROR(IF(VLOOKUP($B25,casostestes[#Data],4)=0,"-",VLOOKUP($B25,casostestes[#Data],4)),"-")</f>
        <v>PAT</v>
      </c>
      <c r="G25" s="50" t="str">
        <f>IFERROR(IF(VLOOKUP($B25,casostestes[#Data],5)=0,"-",VLOOKUP($B25,casostestes[#Data],5)),"-")</f>
        <v>ENTIDADE_CONVENIADA</v>
      </c>
      <c r="H25" s="50" t="str">
        <f>IFERROR(IF(VLOOKUP($B25,casostestes[#Data],6)=0,"-",VLOOKUP($B25,casostestes[#Data],6)),"-")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25" s="50" t="str">
        <f>IFERROR(IF(VLOOKUP($B25,casostestes[#Data],8)=0,"-",VLOOKUP($B25,casostestes[#Data],8)),"-")</f>
        <v>-</v>
      </c>
      <c r="J25" s="50" t="str">
        <f>IFERROR(IF(VLOOKUP($B25,casostestes[#Data],9)=0,"-",VLOOKUP($B25,casostestes[#Data],9)),"-")</f>
        <v>Tarefa de BI criada com situação Pendente.
Tarefa SEM Divergência de autodeclaração (116)
Status SIBE igual a AGUARDANDO ATESTADO 
DPT: Tarefa.Exige_autodeclaração = 0</v>
      </c>
      <c r="K25" s="112" t="str">
        <f>IFERROR(IF(VLOOKUP($B25,homologador01[#Data],12)=0,"Não executado",VLOOKUP($B25,homologador01[#Data],12)),"Não executado")</f>
        <v>Não executado</v>
      </c>
      <c r="L25" s="112" t="str">
        <f>IFERROR(IF(VLOOKUP($B25,homologador02[#Data],12)=0,"-",VLOOKUP($B25,homologador02[#Data],12)),"-")</f>
        <v>-</v>
      </c>
    </row>
    <row r="26" spans="2:12" ht="120">
      <c r="B26" s="56">
        <f>IF(ISERR(casostestes[[#This Row],[ID]]),"-",casostestes[[#This Row],[ID]])</f>
        <v>19</v>
      </c>
      <c r="C26" s="49" t="str">
        <f>IFERROR(IF(VLOOKUP($B26,casostestes[#Data],10)=0,"Não",VLOOKUP($B26,casostestes[#Data],10)), "-")</f>
        <v>Não</v>
      </c>
      <c r="D26" s="50" t="str">
        <f>IFERROR(IF(VLOOKUP($B26,casostestes[#Data],2)=0,"-",VLOOKUP($B26,casostestes[#Data],2)), "-")</f>
        <v>Requerimento Inicial de BI</v>
      </c>
      <c r="E26" s="50" t="str">
        <f>IFERROR(IF(VLOOKUP($B26,casostestes[#Data],3)=0,"-",VLOOKUP($B26,casostestes[#Data],3)),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6" s="50" t="str">
        <f>IFERROR(IF(VLOOKUP($B26,casostestes[#Data],4)=0,"-",VLOOKUP($B26,casostestes[#Data],4)),"-")</f>
        <v>PAT</v>
      </c>
      <c r="G26" s="50" t="str">
        <f>IFERROR(IF(VLOOKUP($B26,casostestes[#Data],5)=0,"-",VLOOKUP($B26,casostestes[#Data],5)),"-")</f>
        <v>ENTIDADE_CONVENIADA</v>
      </c>
      <c r="H26" s="50" t="str">
        <f>IFERROR(IF(VLOOKUP($B26,casostestes[#Data],6)=0,"-",VLOOKUP($B26,casostestes[#Data],6)),"-")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26" s="50" t="str">
        <f>IFERROR(IF(VLOOKUP($B26,casostestes[#Data],8)=0,"-",VLOOKUP($B26,casostestes[#Data],8)),"-")</f>
        <v>-</v>
      </c>
      <c r="J26" s="50" t="str">
        <f>IFERROR(IF(VLOOKUP($B26,casostestes[#Data],9)=0,"-",VLOOKUP($B26,casostestes[#Data],9)),"-")</f>
        <v>Tarefa de BI criada com situação Pendente.
Tarefa SEM Divergência de autodeclaração (116)
Status SIBE igual a  AGUARDANDO PERÍCIA
DPT: Tarefa.Exige_autodeclaração = 0</v>
      </c>
      <c r="K26" s="112" t="str">
        <f>IFERROR(IF(VLOOKUP($B26,homologador01[#Data],12)=0,"Não executado",VLOOKUP($B26,homologador01[#Data],12)),"Não executado")</f>
        <v>Não executado</v>
      </c>
      <c r="L26" s="112" t="str">
        <f>IFERROR(IF(VLOOKUP($B26,homologador02[#Data],12)=0,"-",VLOOKUP($B26,homologador02[#Data],12)),"-")</f>
        <v>-</v>
      </c>
    </row>
    <row r="27" spans="2:12" ht="240">
      <c r="B27" s="56">
        <f>IF(ISERR(casostestes[[#This Row],[ID]]),"-",casostestes[[#This Row],[ID]])</f>
        <v>20</v>
      </c>
      <c r="C27" s="49" t="str">
        <f>IFERROR(IF(VLOOKUP($B27,casostestes[#Data],10)=0,"Não",VLOOKUP($B27,casostestes[#Data],10)), "-")</f>
        <v>Não</v>
      </c>
      <c r="D27" s="50" t="str">
        <f>IFERROR(IF(VLOOKUP($B27,casostestes[#Data],2)=0,"-",VLOOKUP($B27,casostestes[#Data],2)), "-")</f>
        <v>Requerimento Inicial de BI</v>
      </c>
      <c r="E27" s="50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27" s="50" t="str">
        <f>IFERROR(IF(VLOOKUP($B27,casostestes[#Data],4)=0,"-",VLOOKUP($B27,casostestes[#Data],4)),"-")</f>
        <v>PAT</v>
      </c>
      <c r="G27" s="50" t="str">
        <f>IFERROR(IF(VLOOKUP($B27,casostestes[#Data],5)=0,"-",VLOOKUP($B27,casostestes[#Data],5)),"-")</f>
        <v>ENTIDADE_CONVENIADA</v>
      </c>
      <c r="H27" s="50" t="str">
        <f>IFERROR(IF(VLOOKUP($B27,casostestes[#Data],6)=0,"-",VLOOKUP($B27,casostestes[#Data],6)),"-")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27" s="50" t="str">
        <f>IFERROR(IF(VLOOKUP($B27,casostestes[#Data],8)=0,"-",VLOOKUP($B27,casostestes[#Data],8)),"-")</f>
        <v>-</v>
      </c>
      <c r="J27" s="50" t="str">
        <f>IFERROR(IF(VLOOKUP($B27,casostestes[#Data],9)=0,"-",VLOOKUP($B27,casostestes[#Data],9)),"-")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7" s="112" t="str">
        <f>IFERROR(IF(VLOOKUP($B27,homologador01[#Data],12)=0,"Não executado",VLOOKUP($B27,homologador01[#Data],12)),"Não executado")</f>
        <v>Não executado</v>
      </c>
      <c r="L27" s="112" t="str">
        <f>IFERROR(IF(VLOOKUP($B27,homologador02[#Data],12)=0,"-",VLOOKUP($B27,homologador02[#Data],12)),"-")</f>
        <v>-</v>
      </c>
    </row>
    <row r="28" spans="2:12" ht="240">
      <c r="B28" s="56">
        <f>IF(ISERR(casostestes[[#This Row],[ID]]),"-",casostestes[[#This Row],[ID]])</f>
        <v>21</v>
      </c>
      <c r="C28" s="49" t="str">
        <f>IFERROR(IF(VLOOKUP($B28,casostestes[#Data],10)=0,"Não",VLOOKUP($B28,casostestes[#Data],10)), "-")</f>
        <v>Não</v>
      </c>
      <c r="D28" s="50" t="str">
        <f>IFERROR(IF(VLOOKUP($B28,casostestes[#Data],2)=0,"-",VLOOKUP($B28,casostestes[#Data],2)), "-")</f>
        <v>Requerimento Inicial de BI</v>
      </c>
      <c r="E28" s="50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8" s="50" t="str">
        <f>IFERROR(IF(VLOOKUP($B28,casostestes[#Data],4)=0,"-",VLOOKUP($B28,casostestes[#Data],4)),"-")</f>
        <v>PAT</v>
      </c>
      <c r="G28" s="50" t="str">
        <f>IFERROR(IF(VLOOKUP($B28,casostestes[#Data],5)=0,"-",VLOOKUP($B28,casostestes[#Data],5)),"-")</f>
        <v>ENTIDADE_CONVENIADA</v>
      </c>
      <c r="H28" s="50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8" s="50" t="str">
        <f>IFERROR(IF(VLOOKUP($B28,casostestes[#Data],8)=0,"-",VLOOKUP($B28,casostestes[#Data],8)),"-")</f>
        <v>-</v>
      </c>
      <c r="J28" s="50" t="str">
        <f>IFERROR(IF(VLOOKUP($B28,casostestes[#Data],9)=0,"-",VLOOKUP($B28,casostestes[#Data],9)),"-")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8" s="112" t="str">
        <f>IFERROR(IF(VLOOKUP($B28,homologador01[#Data],12)=0,"Não executado",VLOOKUP($B28,homologador01[#Data],12)),"Não executado")</f>
        <v>Não executado</v>
      </c>
      <c r="L28" s="112" t="str">
        <f>IFERROR(IF(VLOOKUP($B28,homologador02[#Data],12)=0,"-",VLOOKUP($B28,homologador02[#Data],12)),"-")</f>
        <v>-</v>
      </c>
    </row>
    <row r="29" spans="2:12" ht="135">
      <c r="B29" s="56">
        <f>IF(ISERR(casostestes[[#This Row],[ID]]),"-",casostestes[[#This Row],[ID]])</f>
        <v>22</v>
      </c>
      <c r="C29" s="49" t="str">
        <f>IFERROR(IF(VLOOKUP($B29,casostestes[#Data],10)=0,"Não",VLOOKUP($B29,casostestes[#Data],10)), "-")</f>
        <v>Não</v>
      </c>
      <c r="D29" s="50" t="str">
        <f>IFERROR(IF(VLOOKUP($B29,casostestes[#Data],2)=0,"-",VLOOKUP($B29,casostestes[#Data],2)), "-")</f>
        <v>Requerimento Inicial de BI</v>
      </c>
      <c r="E29" s="50" t="str">
        <f>IFERROR(IF(VLOOKUP($B29,casostestes[#Data],3)=0,"-",VLOOKUP($B29,casostestes[#Data],3)),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9" s="50" t="str">
        <f>IFERROR(IF(VLOOKUP($B29,casostestes[#Data],4)=0,"-",VLOOKUP($B29,casostestes[#Data],4)),"-")</f>
        <v>PAT</v>
      </c>
      <c r="G29" s="50" t="str">
        <f>IFERROR(IF(VLOOKUP($B29,casostestes[#Data],5)=0,"-",VLOOKUP($B29,casostestes[#Data],5)),"-")</f>
        <v>ENTIDADE_CONVENIADA</v>
      </c>
      <c r="H29" s="50" t="str">
        <f>IFERROR(IF(VLOOKUP($B29,casostestes[#Data],6)=0,"-",VLOOKUP($B29,casostestes[#Data],6)),"-")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9" s="50" t="str">
        <f>IFERROR(IF(VLOOKUP($B29,casostestes[#Data],8)=0,"-",VLOOKUP($B29,casostestes[#Data],8)),"-")</f>
        <v>-</v>
      </c>
      <c r="J29" s="50" t="str">
        <f>IFERROR(IF(VLOOKUP($B29,casostestes[#Data],9)=0,"-",VLOOKUP($B29,casostestes[#Data],9)),"-")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29" s="112" t="str">
        <f>IFERROR(IF(VLOOKUP($B29,homologador01[#Data],12)=0,"Não executado",VLOOKUP($B29,homologador01[#Data],12)),"Não executado")</f>
        <v>Não executado</v>
      </c>
      <c r="L29" s="112" t="str">
        <f>IFERROR(IF(VLOOKUP($B29,homologador02[#Data],12)=0,"-",VLOOKUP($B29,homologador02[#Data],12)),"-")</f>
        <v>-</v>
      </c>
    </row>
    <row r="30" spans="2:12" ht="210">
      <c r="B30" s="56">
        <f>IF(ISERR(casostestes[[#This Row],[ID]]),"-",casostestes[[#This Row],[ID]])</f>
        <v>23</v>
      </c>
      <c r="C30" s="49" t="str">
        <f>IFERROR(IF(VLOOKUP($B30,casostestes[#Data],10)=0,"Não",VLOOKUP($B30,casostestes[#Data],10)), "-")</f>
        <v>Não</v>
      </c>
      <c r="D30" s="50" t="str">
        <f>IFERROR(IF(VLOOKUP($B30,casostestes[#Data],2)=0,"-",VLOOKUP($B30,casostestes[#Data],2)), "-")</f>
        <v>-</v>
      </c>
      <c r="E30" s="50" t="str">
        <f>IFERROR(IF(VLOOKUP($B30,casostestes[#Data],3)=0,"-",VLOOKUP($B30,casostestes[#Data],3)), "-")</f>
        <v>Cumprir a exigência de autodeclaração</v>
      </c>
      <c r="F30" s="50" t="str">
        <f>IFERROR(IF(VLOOKUP($B30,casostestes[#Data],4)=0,"-",VLOOKUP($B30,casostestes[#Data],4)),"-")</f>
        <v>PAT</v>
      </c>
      <c r="G30" s="50" t="str">
        <f>IFERROR(IF(VLOOKUP($B30,casostestes[#Data],5)=0,"-",VLOOKUP($B30,casostestes[#Data],5)),"-")</f>
        <v>ENTIDADE_CONVENIADA</v>
      </c>
      <c r="H30" s="50" t="str">
        <f>IFERROR(IF(VLOOKUP($B30,casostestes[#Data],6)=0,"-",VLOOKUP($B30,casostestes[#Data],6)),"-")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0" s="50" t="str">
        <f>IFERROR(IF(VLOOKUP($B30,casostestes[#Data],8)=0,"-",VLOOKUP($B30,casostestes[#Data],8)),"-")</f>
        <v>-</v>
      </c>
      <c r="J30" s="50" t="str">
        <f>IFERROR(IF(VLOOKUP($B30,casostestes[#Data],9)=0,"-",VLOOKUP($B30,casostestes[#Data],9)),"-")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112" t="str">
        <f>IFERROR(IF(VLOOKUP($B30,homologador01[#Data],12)=0,"Não executado",VLOOKUP($B30,homologador01[#Data],12)),"Não executado")</f>
        <v>Não executado</v>
      </c>
      <c r="L30" s="112" t="str">
        <f>IFERROR(IF(VLOOKUP($B30,homologador02[#Data],12)=0,"-",VLOOKUP($B30,homologador02[#Data],12)),"-")</f>
        <v>-</v>
      </c>
    </row>
    <row r="31" spans="2:12" ht="210">
      <c r="B31" s="56">
        <f>IF(ISERR(casostestes[[#This Row],[ID]]),"-",casostestes[[#This Row],[ID]])</f>
        <v>24</v>
      </c>
      <c r="C31" s="49" t="str">
        <f>IFERROR(IF(VLOOKUP($B31,casostestes[#Data],10)=0,"Não",VLOOKUP($B31,casostestes[#Data],10)), "-")</f>
        <v>Não</v>
      </c>
      <c r="D31" s="50" t="str">
        <f>IFERROR(IF(VLOOKUP($B31,casostestes[#Data],2)=0,"-",VLOOKUP($B31,casostestes[#Data],2)), "-")</f>
        <v>-</v>
      </c>
      <c r="E31" s="50" t="str">
        <f>IFERROR(IF(VLOOKUP($B31,casostestes[#Data],3)=0,"-",VLOOKUP($B31,casostestes[#Data],3)), "-")</f>
        <v>Cumprir a exigência de autodeclaração</v>
      </c>
      <c r="F31" s="50" t="str">
        <f>IFERROR(IF(VLOOKUP($B31,casostestes[#Data],4)=0,"-",VLOOKUP($B31,casostestes[#Data],4)),"-")</f>
        <v>PAT</v>
      </c>
      <c r="G31" s="50" t="str">
        <f>IFERROR(IF(VLOOKUP($B31,casostestes[#Data],5)=0,"-",VLOOKUP($B31,casostestes[#Data],5)),"-")</f>
        <v>ENTIDADE_CONVENIADA_CORREIOS</v>
      </c>
      <c r="H31" s="50" t="str">
        <f>IFERROR(IF(VLOOKUP($B31,casostestes[#Data],6)=0,"-",VLOOKUP($B31,casostestes[#Data],6)),"-")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1" s="50" t="str">
        <f>IFERROR(IF(VLOOKUP($B31,casostestes[#Data],8)=0,"-",VLOOKUP($B31,casostestes[#Data],8)),"-")</f>
        <v>-</v>
      </c>
      <c r="J31" s="50" t="str">
        <f>IFERROR(IF(VLOOKUP($B31,casostestes[#Data],9)=0,"-",VLOOKUP($B31,casostestes[#Data],9)),"-")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1" s="112" t="str">
        <f>IFERROR(IF(VLOOKUP($B31,homologador01[#Data],12)=0,"Não executado",VLOOKUP($B31,homologador01[#Data],12)),"Não executado")</f>
        <v>Não executado</v>
      </c>
      <c r="L31" s="112" t="str">
        <f>IFERROR(IF(VLOOKUP($B31,homologador02[#Data],12)=0,"-",VLOOKUP($B31,homologador02[#Data],12)),"-")</f>
        <v>-</v>
      </c>
    </row>
    <row r="32" spans="2:12" ht="180">
      <c r="B32" s="56">
        <f>IF(ISERR(casostestes[[#This Row],[ID]]),"-",casostestes[[#This Row],[ID]])</f>
        <v>25</v>
      </c>
      <c r="C32" s="49" t="str">
        <f>IFERROR(IF(VLOOKUP($B32,casostestes[#Data],10)=0,"Não",VLOOKUP($B32,casostestes[#Data],10)), "-")</f>
        <v>Não</v>
      </c>
      <c r="D32" s="50" t="str">
        <f>IFERROR(IF(VLOOKUP($B32,casostestes[#Data],2)=0,"-",VLOOKUP($B32,casostestes[#Data],2)), "-")</f>
        <v>-</v>
      </c>
      <c r="E32" s="50" t="str">
        <f>IFERROR(IF(VLOOKUP($B32,casostestes[#Data],3)=0,"-",VLOOKUP($B32,casostestes[#Data],3)),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2" s="50" t="str">
        <f>IFERROR(IF(VLOOKUP($B32,casostestes[#Data],4)=0,"-",VLOOKUP($B32,casostestes[#Data],4)),"-")</f>
        <v>PAT</v>
      </c>
      <c r="G32" s="50" t="str">
        <f>IFERROR(IF(VLOOKUP($B32,casostestes[#Data],5)=0,"-",VLOOKUP($B32,casostestes[#Data],5)),"-")</f>
        <v>ENTIDADE_CONVENIADA</v>
      </c>
      <c r="H32" s="50" t="str">
        <f>IFERROR(IF(VLOOKUP($B32,casostestes[#Data],6)=0,"-",VLOOKUP($B32,casostestes[#Data],6)),"-")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2" s="50" t="str">
        <f>IFERROR(IF(VLOOKUP($B32,casostestes[#Data],8)=0,"-",VLOOKUP($B32,casostestes[#Data],8)),"-")</f>
        <v>-</v>
      </c>
      <c r="J32" s="50" t="str">
        <f>IFERROR(IF(VLOOKUP($B32,casostestes[#Data],9)=0,"-",VLOOKUP($B32,casostestes[#Data],9)),"-")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2" s="112" t="str">
        <f>IFERROR(IF(VLOOKUP($B32,homologador01[#Data],12)=0,"Não executado",VLOOKUP($B32,homologador01[#Data],12)),"Não executado")</f>
        <v>Não executado</v>
      </c>
      <c r="L32" s="112" t="str">
        <f>IFERROR(IF(VLOOKUP($B32,homologador02[#Data],12)=0,"-",VLOOKUP($B32,homologador02[#Data],12)),"-")</f>
        <v>-</v>
      </c>
    </row>
    <row r="33" spans="2:12" ht="120">
      <c r="B33" s="56">
        <f>IF(ISERR(casostestes[[#This Row],[ID]]),"-",casostestes[[#This Row],[ID]])</f>
        <v>26</v>
      </c>
      <c r="C33" s="49" t="str">
        <f>IFERROR(IF(VLOOKUP($B33,casostestes[#Data],10)=0,"Não",VLOOKUP($B33,casostestes[#Data],10)), "-")</f>
        <v>Não</v>
      </c>
      <c r="D33" s="50" t="str">
        <f>IFERROR(IF(VLOOKUP($B33,casostestes[#Data],2)=0,"-",VLOOKUP($B33,casostestes[#Data],2)), "-")</f>
        <v>-</v>
      </c>
      <c r="E33" s="50" t="str">
        <f>IFERROR(IF(VLOOKUP($B33,casostestes[#Data],3)=0,"-",VLOOKUP($B33,casostestes[#Data],3)),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3" s="50" t="str">
        <f>IFERROR(IF(VLOOKUP($B33,casostestes[#Data],4)=0,"-",VLOOKUP($B33,casostestes[#Data],4)),"-")</f>
        <v>PAT</v>
      </c>
      <c r="G33" s="50" t="str">
        <f>IFERROR(IF(VLOOKUP($B33,casostestes[#Data],5)=0,"-",VLOOKUP($B33,casostestes[#Data],5)),"-")</f>
        <v>ENTIDADE_CONVENIADA</v>
      </c>
      <c r="H33" s="50" t="str">
        <f>IFERROR(IF(VLOOKUP($B33,casostestes[#Data],6)=0,"-",VLOOKUP($B33,casostestes[#Data],6)),"-")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3" s="50" t="str">
        <f>IFERROR(IF(VLOOKUP($B33,casostestes[#Data],8)=0,"-",VLOOKUP($B33,casostestes[#Data],8)),"-")</f>
        <v>-</v>
      </c>
      <c r="J33" s="50" t="str">
        <f>IFERROR(IF(VLOOKUP($B33,casostestes[#Data],9)=0,"-",VLOOKUP($B33,casostestes[#Data],9)),"-")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3" s="112" t="str">
        <f>IFERROR(IF(VLOOKUP($B33,homologador01[#Data],12)=0,"Não executado",VLOOKUP($B33,homologador01[#Data],12)),"Não executado")</f>
        <v>Não executado</v>
      </c>
      <c r="L33" s="112" t="str">
        <f>IFERROR(IF(VLOOKUP($B33,homologador02[#Data],12)=0,"-",VLOOKUP($B33,homologador02[#Data],12)),"-")</f>
        <v>-</v>
      </c>
    </row>
    <row r="34" spans="2:12" ht="90">
      <c r="B34" s="56">
        <f>IF(ISERR(casostestes[[#This Row],[ID]]),"-",casostestes[[#This Row],[ID]])</f>
        <v>27</v>
      </c>
      <c r="C34" s="49" t="str">
        <f>IFERROR(IF(VLOOKUP($B34,casostestes[#Data],10)=0,"Não",VLOOKUP($B34,casostestes[#Data],10)), "-")</f>
        <v>Não</v>
      </c>
      <c r="D34" s="50" t="str">
        <f>IFERROR(IF(VLOOKUP($B34,casostestes[#Data],2)=0,"-",VLOOKUP($B34,casostestes[#Data],2)), "-")</f>
        <v>Requerimento Inicial de BI</v>
      </c>
      <c r="E34" s="50" t="str">
        <f>IFERROR(IF(VLOOKUP($B34,casostestes[#Data],3)=0,"-",VLOOKUP($B34,casostestes[#Data],3)),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4" s="50" t="str">
        <f>IFERROR(IF(VLOOKUP($B34,casostestes[#Data],4)=0,"-",VLOOKUP($B34,casostestes[#Data],4)),"-")</f>
        <v>Meu INSS</v>
      </c>
      <c r="G34" s="50" t="str">
        <f>IFERROR(IF(VLOOKUP($B34,casostestes[#Data],5)=0,"-",VLOOKUP($B34,casostestes[#Data],5)),"-")</f>
        <v>INTERESSADO</v>
      </c>
      <c r="H34" s="50" t="str">
        <f>IFERROR(IF(VLOOKUP($B34,casostestes[#Data],6)=0,"-",VLOOKUP($B34,casostestes[#Data],6)),"-")</f>
        <v xml:space="preserve">1. Logar no Meu INSS
2.Criar tarefa de BI informando:
Tipo de Incapacidade? "Temporária "
A pessoa está presa?  Não
Categoria do trabalhador diferente de "Segurado Especial"
</v>
      </c>
      <c r="I34" s="50" t="str">
        <f>IFERROR(IF(VLOOKUP($B34,casostestes[#Data],8)=0,"-",VLOOKUP($B34,casostestes[#Data],8)),"-")</f>
        <v>-</v>
      </c>
      <c r="J34" s="50" t="str">
        <f>IFERROR(IF(VLOOKUP($B34,casostestes[#Data],9)=0,"-",VLOOKUP($B34,casostestes[#Data],9)),"-")</f>
        <v>Tarefa de BI criada com situação Pendente.
Tarefa SEM Divergência de autodeclaração (116)
Status SIBE igual a AGUARDANDO ATESTADO 
Tarefa.Exige_autodeclaração = 0</v>
      </c>
      <c r="K34" s="112" t="str">
        <f>IFERROR(IF(VLOOKUP($B34,homologador01[#Data],12)=0,"Não executado",VLOOKUP($B34,homologador01[#Data],12)),"Não executado")</f>
        <v>Não executado</v>
      </c>
      <c r="L34" s="112" t="str">
        <f>IFERROR(IF(VLOOKUP($B34,homologador02[#Data],12)=0,"-",VLOOKUP($B34,homologador02[#Data],12)),"-")</f>
        <v>-</v>
      </c>
    </row>
    <row r="35" spans="2:12" ht="120">
      <c r="B35" s="56">
        <f>IF(ISERR(casostestes[[#This Row],[ID]]),"-",casostestes[[#This Row],[ID]])</f>
        <v>28</v>
      </c>
      <c r="C35" s="49" t="str">
        <f>IFERROR(IF(VLOOKUP($B35,casostestes[#Data],10)=0,"Não",VLOOKUP($B35,casostestes[#Data],10)), "-")</f>
        <v>Não</v>
      </c>
      <c r="D35" s="50" t="str">
        <f>IFERROR(IF(VLOOKUP($B35,casostestes[#Data],2)=0,"-",VLOOKUP($B35,casostestes[#Data],2)), "-")</f>
        <v>Requerimento Inicial de BI</v>
      </c>
      <c r="E35" s="50" t="str">
        <f>IFERROR(IF(VLOOKUP($B35,casostestes[#Data],3)=0,"-",VLOOKUP($B35,casostestes[#Data],3)),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5" s="50" t="str">
        <f>IFERROR(IF(VLOOKUP($B35,casostestes[#Data],4)=0,"-",VLOOKUP($B35,casostestes[#Data],4)),"-")</f>
        <v>Meu INSS</v>
      </c>
      <c r="G35" s="50" t="str">
        <f>IFERROR(IF(VLOOKUP($B35,casostestes[#Data],5)=0,"-",VLOOKUP($B35,casostestes[#Data],5)),"-")</f>
        <v>INTERESSADO</v>
      </c>
      <c r="H35" s="50" t="str">
        <f>IFERROR(IF(VLOOKUP($B35,casostestes[#Data],6)=0,"-",VLOOKUP($B35,casostestes[#Data],6)),"-")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35" s="50" t="str">
        <f>IFERROR(IF(VLOOKUP($B35,casostestes[#Data],8)=0,"-",VLOOKUP($B35,casostestes[#Data],8)),"-")</f>
        <v>-</v>
      </c>
      <c r="J35" s="50" t="str">
        <f>IFERROR(IF(VLOOKUP($B35,casostestes[#Data],9)=0,"-",VLOOKUP($B35,casostestes[#Data],9)),"-")</f>
        <v>Tarefa de BI criada com situação Pendente.
Tarefa SEM Divergência de autodeclaração (116)
Status SIBE igual a  AGUARDANDO PERÍCIA
Tarefa.Exige_autodeclaração = 0</v>
      </c>
      <c r="K35" s="112" t="str">
        <f>IFERROR(IF(VLOOKUP($B35,homologador01[#Data],12)=0,"Não executado",VLOOKUP($B35,homologador01[#Data],12)),"Não executado")</f>
        <v>Não executado</v>
      </c>
      <c r="L35" s="112" t="str">
        <f>IFERROR(IF(VLOOKUP($B35,homologador02[#Data],12)=0,"-",VLOOKUP($B35,homologador02[#Data],12)),"-")</f>
        <v>-</v>
      </c>
    </row>
    <row r="36" spans="2:12" ht="255">
      <c r="B36" s="56">
        <f>IF(ISERR(casostestes[[#This Row],[ID]]),"-",casostestes[[#This Row],[ID]])</f>
        <v>29</v>
      </c>
      <c r="C36" s="49" t="str">
        <f>IFERROR(IF(VLOOKUP($B36,casostestes[#Data],10)=0,"Não",VLOOKUP($B36,casostestes[#Data],10)), "-")</f>
        <v>Não</v>
      </c>
      <c r="D36" s="50" t="str">
        <f>IFERROR(IF(VLOOKUP($B36,casostestes[#Data],2)=0,"-",VLOOKUP($B36,casostestes[#Data],2)), "-")</f>
        <v>Requerimento Inicial de BI</v>
      </c>
      <c r="E36" s="50" t="str">
        <f>IFERROR(IF(VLOOKUP($B36,casostestes[#Data],3)=0,"-",VLOOKUP($B36,casostestes[#Data],3)),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36" s="50" t="str">
        <f>IFERROR(IF(VLOOKUP($B36,casostestes[#Data],4)=0,"-",VLOOKUP($B36,casostestes[#Data],4)),"-")</f>
        <v>Meu INSS</v>
      </c>
      <c r="G36" s="50" t="str">
        <f>IFERROR(IF(VLOOKUP($B36,casostestes[#Data],5)=0,"-",VLOOKUP($B36,casostestes[#Data],5)),"-")</f>
        <v>INTERESSADO</v>
      </c>
      <c r="H36" s="50" t="str">
        <f>IFERROR(IF(VLOOKUP($B36,casostestes[#Data],6)=0,"-",VLOOKUP($B36,casostestes[#Data],6)),"-")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36" s="50" t="str">
        <f>IFERROR(IF(VLOOKUP($B36,casostestes[#Data],8)=0,"-",VLOOKUP($B36,casostestes[#Data],8)),"-")</f>
        <v>-</v>
      </c>
      <c r="J36" s="50" t="str">
        <f>IFERROR(IF(VLOOKUP($B36,casostestes[#Data],9)=0,"-",VLOOKUP($B36,casostestes[#Data],9)),"-")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6" s="112" t="str">
        <f>IFERROR(IF(VLOOKUP($B36,homologador01[#Data],12)=0,"Não executado",VLOOKUP($B36,homologador01[#Data],12)),"Não executado")</f>
        <v>Não executado</v>
      </c>
      <c r="L36" s="112" t="str">
        <f>IFERROR(IF(VLOOKUP($B36,homologador02[#Data],12)=0,"-",VLOOKUP($B36,homologador02[#Data],12)),"-")</f>
        <v>-</v>
      </c>
    </row>
    <row r="37" spans="2:12" ht="255">
      <c r="B37" s="56">
        <f>IF(ISERR(casostestes[[#This Row],[ID]]),"-",casostestes[[#This Row],[ID]])</f>
        <v>30</v>
      </c>
      <c r="C37" s="49" t="str">
        <f>IFERROR(IF(VLOOKUP($B37,casostestes[#Data],10)=0,"Não",VLOOKUP($B37,casostestes[#Data],10)), "-")</f>
        <v>Não</v>
      </c>
      <c r="D37" s="50" t="str">
        <f>IFERROR(IF(VLOOKUP($B37,casostestes[#Data],2)=0,"-",VLOOKUP($B37,casostestes[#Data],2)), "-")</f>
        <v>Requerimento Inicial de BI</v>
      </c>
      <c r="E37" s="50" t="str">
        <f>IFERROR(IF(VLOOKUP($B37,casostestes[#Data],3)=0,"-",VLOOKUP($B37,casostestes[#Data],3)),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7" s="50" t="str">
        <f>IFERROR(IF(VLOOKUP($B37,casostestes[#Data],4)=0,"-",VLOOKUP($B37,casostestes[#Data],4)),"-")</f>
        <v>Meu INSS</v>
      </c>
      <c r="G37" s="50" t="str">
        <f>IFERROR(IF(VLOOKUP($B37,casostestes[#Data],5)=0,"-",VLOOKUP($B37,casostestes[#Data],5)),"-")</f>
        <v>INTERESSADO</v>
      </c>
      <c r="H37" s="50" t="str">
        <f>IFERROR(IF(VLOOKUP($B37,casostestes[#Data],6)=0,"-",VLOOKUP($B37,casostestes[#Data],6)),"-")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37" s="50" t="str">
        <f>IFERROR(IF(VLOOKUP($B37,casostestes[#Data],8)=0,"-",VLOOKUP($B37,casostestes[#Data],8)),"-")</f>
        <v>-</v>
      </c>
      <c r="J37" s="50" t="str">
        <f>IFERROR(IF(VLOOKUP($B37,casostestes[#Data],9)=0,"-",VLOOKUP($B37,casostestes[#Data],9)),"-")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7" s="112" t="str">
        <f>IFERROR(IF(VLOOKUP($B37,homologador01[#Data],12)=0,"Não executado",VLOOKUP($B37,homologador01[#Data],12)),"Não executado")</f>
        <v>Não executado</v>
      </c>
      <c r="L37" s="112" t="str">
        <f>IFERROR(IF(VLOOKUP($B37,homologador02[#Data],12)=0,"-",VLOOKUP($B37,homologador02[#Data],12)),"-")</f>
        <v>-</v>
      </c>
    </row>
    <row r="38" spans="2:12" ht="180">
      <c r="B38" s="56">
        <f>IF(ISERR(casostestes[[#This Row],[ID]]),"-",casostestes[[#This Row],[ID]])</f>
        <v>31</v>
      </c>
      <c r="C38" s="49" t="str">
        <f>IFERROR(IF(VLOOKUP($B38,casostestes[#Data],10)=0,"Não",VLOOKUP($B38,casostestes[#Data],10)), "-")</f>
        <v>Não</v>
      </c>
      <c r="D38" s="50" t="str">
        <f>IFERROR(IF(VLOOKUP($B38,casostestes[#Data],2)=0,"-",VLOOKUP($B38,casostestes[#Data],2)), "-")</f>
        <v>Requerimento Inicial de BI</v>
      </c>
      <c r="E38" s="50" t="str">
        <f>IFERROR(IF(VLOOKUP($B38,casostestes[#Data],3)=0,"-",VLOOKUP($B38,casostestes[#Data],3)),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8" s="50" t="str">
        <f>IFERROR(IF(VLOOKUP($B38,casostestes[#Data],4)=0,"-",VLOOKUP($B38,casostestes[#Data],4)),"-")</f>
        <v>Meu INSS</v>
      </c>
      <c r="G38" s="50" t="str">
        <f>IFERROR(IF(VLOOKUP($B38,casostestes[#Data],5)=0,"-",VLOOKUP($B38,casostestes[#Data],5)),"-")</f>
        <v>INTERESSADO</v>
      </c>
      <c r="H38" s="50" t="str">
        <f>IFERROR(IF(VLOOKUP($B38,casostestes[#Data],6)=0,"-",VLOOKUP($B38,casostestes[#Data],6)),"-")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38" s="50" t="str">
        <f>IFERROR(IF(VLOOKUP($B38,casostestes[#Data],8)=0,"-",VLOOKUP($B38,casostestes[#Data],8)),"-")</f>
        <v>-</v>
      </c>
      <c r="J38" s="50" t="str">
        <f>IFERROR(IF(VLOOKUP($B38,casostestes[#Data],9)=0,"-",VLOOKUP($B38,casostestes[#Data],9)),"-")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38" s="112" t="str">
        <f>IFERROR(IF(VLOOKUP($B38,homologador01[#Data],12)=0,"Não executado",VLOOKUP($B38,homologador01[#Data],12)),"Não executado")</f>
        <v>Não executado</v>
      </c>
      <c r="L38" s="112" t="str">
        <f>IFERROR(IF(VLOOKUP($B38,homologador02[#Data],12)=0,"-",VLOOKUP($B38,homologador02[#Data],12)),"-")</f>
        <v>-</v>
      </c>
    </row>
    <row r="39" spans="2:12" ht="225">
      <c r="B39" s="56">
        <f>IF(ISERR(casostestes[[#This Row],[ID]]),"-",casostestes[[#This Row],[ID]])</f>
        <v>32</v>
      </c>
      <c r="C39" s="49" t="str">
        <f>IFERROR(IF(VLOOKUP($B39,casostestes[#Data],10)=0,"Não",VLOOKUP($B39,casostestes[#Data],10)), "-")</f>
        <v>Não</v>
      </c>
      <c r="D39" s="50" t="str">
        <f>IFERROR(IF(VLOOKUP($B39,casostestes[#Data],2)=0,"-",VLOOKUP($B39,casostestes[#Data],2)), "-")</f>
        <v>-</v>
      </c>
      <c r="E39" s="50" t="str">
        <f>IFERROR(IF(VLOOKUP($B39,casostestes[#Data],3)=0,"-",VLOOKUP($B39,casostestes[#Data],3)), "-")</f>
        <v>Cumprir a exigência de autodeclaração</v>
      </c>
      <c r="F39" s="50" t="str">
        <f>IFERROR(IF(VLOOKUP($B39,casostestes[#Data],4)=0,"-",VLOOKUP($B39,casostestes[#Data],4)),"-")</f>
        <v>Meu INSS</v>
      </c>
      <c r="G39" s="50" t="str">
        <f>IFERROR(IF(VLOOKUP($B39,casostestes[#Data],5)=0,"-",VLOOKUP($B39,casostestes[#Data],5)),"-")</f>
        <v>INTERESSADO</v>
      </c>
      <c r="H39" s="50" t="str">
        <f>IFERROR(IF(VLOOKUP($B39,casostestes[#Data],6)=0,"-",VLOOKUP($B39,casostestes[#Data],6)),"-")</f>
        <v>1. Logar no  Meu INSS
2.Consultar uma tarefa em exigência de autodeclaração e acionar Cumprir Exigência  
3. Responder o formulário de autodeclaração</v>
      </c>
      <c r="I39" s="50" t="str">
        <f>IFERROR(IF(VLOOKUP($B39,casostestes[#Data],8)=0,"-",VLOOKUP($B39,casostestes[#Data],8)),"-")</f>
        <v>-</v>
      </c>
      <c r="J39" s="50" t="str">
        <f>IFERROR(IF(VLOOKUP($B39,casostestes[#Data],9)=0,"-",VLOOKUP($B39,casostestes[#Data],9)),"-")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9" s="112" t="str">
        <f>IFERROR(IF(VLOOKUP($B39,homologador01[#Data],12)=0,"Não executado",VLOOKUP($B39,homologador01[#Data],12)),"Não executado")</f>
        <v>Não executado</v>
      </c>
      <c r="L39" s="112" t="str">
        <f>IFERROR(IF(VLOOKUP($B39,homologador02[#Data],12)=0,"-",VLOOKUP($B39,homologador02[#Data],12)),"-")</f>
        <v>-</v>
      </c>
    </row>
    <row r="40" spans="2:12" ht="180">
      <c r="B40" s="56">
        <f>IF(ISERR(casostestes[[#This Row],[ID]]),"-",casostestes[[#This Row],[ID]])</f>
        <v>33</v>
      </c>
      <c r="C40" s="49" t="str">
        <f>IFERROR(IF(VLOOKUP($B40,casostestes[#Data],10)=0,"Não",VLOOKUP($B40,casostestes[#Data],10)), "-")</f>
        <v>Não</v>
      </c>
      <c r="D40" s="50" t="str">
        <f>IFERROR(IF(VLOOKUP($B40,casostestes[#Data],2)=0,"-",VLOOKUP($B40,casostestes[#Data],2)), "-")</f>
        <v>-</v>
      </c>
      <c r="E40" s="50" t="str">
        <f>IFERROR(IF(VLOOKUP($B40,casostestes[#Data],3)=0,"-",VLOOKUP($B40,casostestes[#Data],3)),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0" s="50" t="str">
        <f>IFERROR(IF(VLOOKUP($B40,casostestes[#Data],4)=0,"-",VLOOKUP($B40,casostestes[#Data],4)),"-")</f>
        <v>Meu INSS</v>
      </c>
      <c r="G40" s="50" t="str">
        <f>IFERROR(IF(VLOOKUP($B40,casostestes[#Data],5)=0,"-",VLOOKUP($B40,casostestes[#Data],5)),"-")</f>
        <v>INTERESSADO</v>
      </c>
      <c r="H40" s="50" t="str">
        <f>IFERROR(IF(VLOOKUP($B40,casostestes[#Data],6)=0,"-",VLOOKUP($B40,casostestes[#Data],6)),"-")</f>
        <v>1. Logar no  Meu INSS
2.Consultar uma tarefa em exigência de autodeclaração
3. Acionar no card do pedido a opção de Autodeclaração   
3. Responder o formulário de autodeclaração</v>
      </c>
      <c r="I40" s="50" t="str">
        <f>IFERROR(IF(VLOOKUP($B40,casostestes[#Data],8)=0,"-",VLOOKUP($B40,casostestes[#Data],8)),"-")</f>
        <v>-</v>
      </c>
      <c r="J40" s="50" t="str">
        <f>IFERROR(IF(VLOOKUP($B40,casostestes[#Data],9)=0,"-",VLOOKUP($B40,casostestes[#Data],9)),"-")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0" s="112" t="str">
        <f>IFERROR(IF(VLOOKUP($B40,homologador01[#Data],12)=0,"Não executado",VLOOKUP($B40,homologador01[#Data],12)),"Não executado")</f>
        <v>Não executado</v>
      </c>
      <c r="L40" s="112" t="str">
        <f>IFERROR(IF(VLOOKUP($B40,homologador02[#Data],12)=0,"-",VLOOKUP($B40,homologador02[#Data],12)),"-")</f>
        <v>-</v>
      </c>
    </row>
    <row r="41" spans="2:12" ht="90">
      <c r="B41" s="56">
        <f>IF(ISERR(casostestes[[#This Row],[ID]]),"-",casostestes[[#This Row],[ID]])</f>
        <v>34</v>
      </c>
      <c r="C41" s="49" t="str">
        <f>IFERROR(IF(VLOOKUP($B41,casostestes[#Data],10)=0,"Não",VLOOKUP($B41,casostestes[#Data],10)), "-")</f>
        <v>Não</v>
      </c>
      <c r="D41" s="50" t="str">
        <f>IFERROR(IF(VLOOKUP($B41,casostestes[#Data],2)=0,"-",VLOOKUP($B41,casostestes[#Data],2)), "-")</f>
        <v>-</v>
      </c>
      <c r="E41" s="50" t="str">
        <f>IFERROR(IF(VLOOKUP($B41,casostestes[#Data],3)=0,"-",VLOOKUP($B41,casostestes[#Data],3)),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1" s="50" t="str">
        <f>IFERROR(IF(VLOOKUP($B41,casostestes[#Data],4)=0,"-",VLOOKUP($B41,casostestes[#Data],4)),"-")</f>
        <v>Meu INSS</v>
      </c>
      <c r="G41" s="50" t="str">
        <f>IFERROR(IF(VLOOKUP($B41,casostestes[#Data],5)=0,"-",VLOOKUP($B41,casostestes[#Data],5)),"-")</f>
        <v>INTERESSADO</v>
      </c>
      <c r="H41" s="50" t="str">
        <f>IFERROR(IF(VLOOKUP($B41,casostestes[#Data],6)=0,"-",VLOOKUP($B41,casostestes[#Data],6)),"-")</f>
        <v>1. Logar no  Meu INSS
2.Consultar uma tarefa em exigência de documento médico 
3. Acionar no card do pedido a opção de Autodeclaração   
3. Responder o formulário de autodeclaração</v>
      </c>
      <c r="I41" s="50" t="str">
        <f>IFERROR(IF(VLOOKUP($B41,casostestes[#Data],8)=0,"-",VLOOKUP($B41,casostestes[#Data],8)),"-")</f>
        <v>-</v>
      </c>
      <c r="J41" s="50" t="str">
        <f>IFERROR(IF(VLOOKUP($B41,casostestes[#Data],9)=0,"-",VLOOKUP($B41,casostestes[#Data],9)),"-")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1" s="112" t="str">
        <f>IFERROR(IF(VLOOKUP($B41,homologador01[#Data],12)=0,"Não executado",VLOOKUP($B41,homologador01[#Data],12)),"Não executado")</f>
        <v>Não executado</v>
      </c>
      <c r="L41" s="112" t="str">
        <f>IFERROR(IF(VLOOKUP($B41,homologador02[#Data],12)=0,"-",VLOOKUP($B41,homologador02[#Data],12)),"-")</f>
        <v>-</v>
      </c>
    </row>
    <row r="42" spans="2:12" ht="409.5">
      <c r="B42" s="56">
        <f>IF(ISERR(casostestes[[#This Row],[ID]]),"-",casostestes[[#This Row],[ID]])</f>
        <v>35</v>
      </c>
      <c r="C42" s="49" t="str">
        <f>IFERROR(IF(VLOOKUP($B42,casostestes[#Data],10)=0,"Não",VLOOKUP($B42,casostestes[#Data],10)), "-")</f>
        <v>Não</v>
      </c>
      <c r="D42" s="50" t="str">
        <f>IFERROR(IF(VLOOKUP($B42,casostestes[#Data],2)=0,"-",VLOOKUP($B42,casostestes[#Data],2)), "-")</f>
        <v>Requerimento Inicial de BI</v>
      </c>
      <c r="E42" s="50" t="str">
        <f>IFERROR(IF(VLOOKUP($B42,casostestes[#Data],3)=0,"-",VLOOKUP($B42,casostestes[#Data],3)), "-")</f>
        <v xml:space="preserve"> 
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2" s="50" t="str">
        <f>IFERROR(IF(VLOOKUP($B42,casostestes[#Data],4)=0,"-",VLOOKUP($B42,casostestes[#Data],4)),"-")</f>
        <v>PAT</v>
      </c>
      <c r="G42" s="50" t="str">
        <f>IFERROR(IF(VLOOKUP($B42,casostestes[#Data],5)=0,"-",VLOOKUP($B42,casostestes[#Data],5)),"-")</f>
        <v>SERVIDOR</v>
      </c>
      <c r="H42" s="50" t="str">
        <f>IFERROR(IF(VLOOKUP($B42,casostestes[#Data],6)=0,"-",VLOOKUP($B42,casostestes[#Data],6)),"-")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2" s="50" t="str">
        <f>IFERROR(IF(VLOOKUP($B42,casostestes[#Data],8)=0,"-",VLOOKUP($B42,casostestes[#Data],8)),"-")</f>
        <v>-</v>
      </c>
      <c r="J42" s="50" t="str">
        <f>IFERROR(IF(VLOOKUP($B42,casostestes[#Data],9)=0,"-",VLOOKUP($B42,casostestes[#Data],9)),"-")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2" s="112" t="str">
        <f>IFERROR(IF(VLOOKUP($B42,homologador01[#Data],12)=0,"Não executado",VLOOKUP($B42,homologador01[#Data],12)),"Não executado")</f>
        <v>Não executado</v>
      </c>
      <c r="L42" s="112" t="str">
        <f>IFERROR(IF(VLOOKUP($B42,homologador02[#Data],12)=0,"-",VLOOKUP($B42,homologador02[#Data],12)),"-")</f>
        <v>-</v>
      </c>
    </row>
    <row r="43" spans="2:12" ht="409.5">
      <c r="B43" s="56">
        <f>IF(ISERR(casostestes[[#This Row],[ID]]),"-",casostestes[[#This Row],[ID]])</f>
        <v>36</v>
      </c>
      <c r="C43" s="49" t="str">
        <f>IFERROR(IF(VLOOKUP($B43,casostestes[#Data],10)=0,"Não",VLOOKUP($B43,casostestes[#Data],10)), "-")</f>
        <v>Não</v>
      </c>
      <c r="D43" s="50" t="str">
        <f>IFERROR(IF(VLOOKUP($B43,casostestes[#Data],2)=0,"-",VLOOKUP($B43,casostestes[#Data],2)), "-")</f>
        <v>Requerimento Inicial de BI</v>
      </c>
      <c r="E43" s="50" t="str">
        <f>IFERROR(IF(VLOOKUP($B43,casostestes[#Data],3)=0,"-",VLOOKUP($B43,casostestes[#Data],3)),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3" s="50" t="str">
        <f>IFERROR(IF(VLOOKUP($B43,casostestes[#Data],4)=0,"-",VLOOKUP($B43,casostestes[#Data],4)),"-")</f>
        <v>PAT</v>
      </c>
      <c r="G43" s="50" t="str">
        <f>IFERROR(IF(VLOOKUP($B43,casostestes[#Data],5)=0,"-",VLOOKUP($B43,casostestes[#Data],5)),"-")</f>
        <v>SERVIDOR</v>
      </c>
      <c r="H43" s="50" t="str">
        <f>IFERROR(IF(VLOOKUP($B43,casostestes[#Data],6)=0,"-",VLOOKUP($B43,casostestes[#Data],6)),"-")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3" s="50" t="str">
        <f>IFERROR(IF(VLOOKUP($B43,casostestes[#Data],8)=0,"-",VLOOKUP($B43,casostestes[#Data],8)),"-")</f>
        <v>-</v>
      </c>
      <c r="J43" s="50" t="str">
        <f>IFERROR(IF(VLOOKUP($B43,casostestes[#Data],9)=0,"-",VLOOKUP($B43,casostestes[#Data],9)),"-")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3" s="112" t="str">
        <f>IFERROR(IF(VLOOKUP($B43,homologador01[#Data],12)=0,"Não executado",VLOOKUP($B43,homologador01[#Data],12)),"Não executado")</f>
        <v>Não executado</v>
      </c>
      <c r="L43" s="112" t="str">
        <f>IFERROR(IF(VLOOKUP($B43,homologador02[#Data],12)=0,"-",VLOOKUP($B43,homologador02[#Data],12)),"-")</f>
        <v>-</v>
      </c>
    </row>
    <row r="44" spans="2:12">
      <c r="B44" s="56" t="str">
        <f>IF(ISERR(casostestes[[#This Row],[ID]]),"-",casostestes[[#This Row],[ID]])</f>
        <v>-</v>
      </c>
      <c r="C44" s="49" t="str">
        <f>IFERROR(IF(VLOOKUP($B44,casostestes[#Data],10)=0,"Não",VLOOKUP($B44,casostestes[#Data],10)), "-")</f>
        <v>-</v>
      </c>
      <c r="D44" s="50" t="str">
        <f>IFERROR(IF(VLOOKUP($B44,casostestes[#Data],2)=0,"-",VLOOKUP($B44,casostestes[#Data],2)), "-")</f>
        <v>-</v>
      </c>
      <c r="E44" s="50" t="str">
        <f>IFERROR(IF(VLOOKUP($B44,casostestes[#Data],3)=0,"-",VLOOKUP($B44,casostestes[#Data],3)), "-")</f>
        <v>-</v>
      </c>
      <c r="F44" s="50" t="str">
        <f>IFERROR(IF(VLOOKUP($B44,casostestes[#Data],4)=0,"-",VLOOKUP($B44,casostestes[#Data],4)),"-")</f>
        <v>-</v>
      </c>
      <c r="G44" s="50" t="str">
        <f>IFERROR(IF(VLOOKUP($B44,casostestes[#Data],5)=0,"-",VLOOKUP($B44,casostestes[#Data],5)),"-")</f>
        <v>-</v>
      </c>
      <c r="H44" s="50" t="str">
        <f>IFERROR(IF(VLOOKUP($B44,casostestes[#Data],6)=0,"-",VLOOKUP($B44,casostestes[#Data],6)),"-")</f>
        <v>-</v>
      </c>
      <c r="I44" s="50" t="str">
        <f>IFERROR(IF(VLOOKUP($B44,casostestes[#Data],8)=0,"-",VLOOKUP($B44,casostestes[#Data],8)),"-")</f>
        <v>-</v>
      </c>
      <c r="J44" s="50" t="str">
        <f>IFERROR(IF(VLOOKUP($B44,casostestes[#Data],9)=0,"-",VLOOKUP($B44,casostestes[#Data],9)),"-")</f>
        <v>-</v>
      </c>
      <c r="K44" s="112" t="str">
        <f>IFERROR(IF(VLOOKUP($B44,homologador01[#Data],12)=0,"Não executado",VLOOKUP($B44,homologador01[#Data],12)),"Não executado")</f>
        <v>Não executado</v>
      </c>
      <c r="L44" s="112" t="str">
        <f>IFERROR(IF(VLOOKUP($B44,homologador02[#Data],12)=0,"-",VLOOKUP($B44,homologador02[#Data],12)),"-")</f>
        <v>-</v>
      </c>
    </row>
    <row r="45" spans="2:12">
      <c r="B45" s="56" t="str">
        <f>IF(ISERR(casostestes[[#This Row],[ID]]),"-",casostestes[[#This Row],[ID]])</f>
        <v>-</v>
      </c>
      <c r="C45" s="49" t="str">
        <f>IFERROR(IF(VLOOKUP($B45,casostestes[#Data],10)=0,"Não",VLOOKUP($B45,casostestes[#Data],10)), "-")</f>
        <v>-</v>
      </c>
      <c r="D45" s="50" t="str">
        <f>IFERROR(IF(VLOOKUP($B45,casostestes[#Data],2)=0,"-",VLOOKUP($B45,casostestes[#Data],2)), "-")</f>
        <v>-</v>
      </c>
      <c r="E45" s="50" t="str">
        <f>IFERROR(IF(VLOOKUP($B45,casostestes[#Data],3)=0,"-",VLOOKUP($B45,casostestes[#Data],3)), "-")</f>
        <v>-</v>
      </c>
      <c r="F45" s="50" t="str">
        <f>IFERROR(IF(VLOOKUP($B45,casostestes[#Data],4)=0,"-",VLOOKUP($B45,casostestes[#Data],4)),"-")</f>
        <v>-</v>
      </c>
      <c r="G45" s="50" t="str">
        <f>IFERROR(IF(VLOOKUP($B45,casostestes[#Data],5)=0,"-",VLOOKUP($B45,casostestes[#Data],5)),"-")</f>
        <v>-</v>
      </c>
      <c r="H45" s="50" t="str">
        <f>IFERROR(IF(VLOOKUP($B45,casostestes[#Data],6)=0,"-",VLOOKUP($B45,casostestes[#Data],6)),"-")</f>
        <v>-</v>
      </c>
      <c r="I45" s="50" t="str">
        <f>IFERROR(IF(VLOOKUP($B45,casostestes[#Data],8)=0,"-",VLOOKUP($B45,casostestes[#Data],8)),"-")</f>
        <v>-</v>
      </c>
      <c r="J45" s="50" t="str">
        <f>IFERROR(IF(VLOOKUP($B45,casostestes[#Data],9)=0,"-",VLOOKUP($B45,casostestes[#Data],9)),"-")</f>
        <v>-</v>
      </c>
      <c r="K45" s="112" t="str">
        <f>IFERROR(IF(VLOOKUP($B45,homologador01[#Data],12)=0,"Não executado",VLOOKUP($B45,homologador01[#Data],12)),"Não executado")</f>
        <v>Não executado</v>
      </c>
      <c r="L45" s="112" t="str">
        <f>IFERROR(IF(VLOOKUP($B45,homologador02[#Data],12)=0,"-",VLOOKUP($B45,homologador02[#Data],12)),"-")</f>
        <v>-</v>
      </c>
    </row>
    <row r="46" spans="2:12">
      <c r="B46" s="56" t="str">
        <f>IF(ISERR(casostestes[[#This Row],[ID]]),"-",casostestes[[#This Row],[ID]])</f>
        <v>-</v>
      </c>
      <c r="C46" s="49" t="str">
        <f>IFERROR(IF(VLOOKUP($B46,casostestes[#Data],10)=0,"Não",VLOOKUP($B46,casostestes[#Data],10)), "-")</f>
        <v>-</v>
      </c>
      <c r="D46" s="50" t="str">
        <f>IFERROR(IF(VLOOKUP($B46,casostestes[#Data],2)=0,"-",VLOOKUP($B46,casostestes[#Data],2)), "-")</f>
        <v>-</v>
      </c>
      <c r="E46" s="50" t="str">
        <f>IFERROR(IF(VLOOKUP($B46,casostestes[#Data],3)=0,"-",VLOOKUP($B46,casostestes[#Data],3)), "-")</f>
        <v>-</v>
      </c>
      <c r="F46" s="50" t="str">
        <f>IFERROR(IF(VLOOKUP($B46,casostestes[#Data],4)=0,"-",VLOOKUP($B46,casostestes[#Data],4)),"-")</f>
        <v>-</v>
      </c>
      <c r="G46" s="50" t="str">
        <f>IFERROR(IF(VLOOKUP($B46,casostestes[#Data],5)=0,"-",VLOOKUP($B46,casostestes[#Data],5)),"-")</f>
        <v>-</v>
      </c>
      <c r="H46" s="50" t="str">
        <f>IFERROR(IF(VLOOKUP($B46,casostestes[#Data],6)=0,"-",VLOOKUP($B46,casostestes[#Data],6)),"-")</f>
        <v>-</v>
      </c>
      <c r="I46" s="50" t="str">
        <f>IFERROR(IF(VLOOKUP($B46,casostestes[#Data],8)=0,"-",VLOOKUP($B46,casostestes[#Data],8)),"-")</f>
        <v>-</v>
      </c>
      <c r="J46" s="50" t="str">
        <f>IFERROR(IF(VLOOKUP($B46,casostestes[#Data],9)=0,"-",VLOOKUP($B46,casostestes[#Data],9)),"-")</f>
        <v>-</v>
      </c>
      <c r="K46" s="112" t="str">
        <f>IFERROR(IF(VLOOKUP($B46,homologador01[#Data],12)=0,"Não executado",VLOOKUP($B46,homologador01[#Data],12)),"Não executado")</f>
        <v>Não executado</v>
      </c>
      <c r="L46" s="112" t="str">
        <f>IFERROR(IF(VLOOKUP($B46,homologador02[#Data],12)=0,"-",VLOOKUP($B46,homologador02[#Data],12)),"-")</f>
        <v>-</v>
      </c>
    </row>
    <row r="47" spans="2:12">
      <c r="B47" s="56" t="str">
        <f>IF(ISERR(casostestes[[#This Row],[ID]]),"-",casostestes[[#This Row],[ID]])</f>
        <v>-</v>
      </c>
      <c r="C47" s="49" t="str">
        <f>IFERROR(IF(VLOOKUP($B47,casostestes[#Data],10)=0,"Não",VLOOKUP($B47,casostestes[#Data],10)), "-")</f>
        <v>-</v>
      </c>
      <c r="D47" s="50" t="str">
        <f>IFERROR(IF(VLOOKUP($B47,casostestes[#Data],2)=0,"-",VLOOKUP($B47,casostestes[#Data],2)), "-")</f>
        <v>-</v>
      </c>
      <c r="E47" s="50" t="str">
        <f>IFERROR(IF(VLOOKUP($B47,casostestes[#Data],3)=0,"-",VLOOKUP($B47,casostestes[#Data],3)), "-")</f>
        <v>-</v>
      </c>
      <c r="F47" s="50" t="str">
        <f>IFERROR(IF(VLOOKUP($B47,casostestes[#Data],4)=0,"-",VLOOKUP($B47,casostestes[#Data],4)),"-")</f>
        <v>-</v>
      </c>
      <c r="G47" s="50" t="str">
        <f>IFERROR(IF(VLOOKUP($B47,casostestes[#Data],5)=0,"-",VLOOKUP($B47,casostestes[#Data],5)),"-")</f>
        <v>-</v>
      </c>
      <c r="H47" s="50" t="str">
        <f>IFERROR(IF(VLOOKUP($B47,casostestes[#Data],6)=0,"-",VLOOKUP($B47,casostestes[#Data],6)),"-")</f>
        <v>-</v>
      </c>
      <c r="I47" s="50" t="str">
        <f>IFERROR(IF(VLOOKUP($B47,casostestes[#Data],8)=0,"-",VLOOKUP($B47,casostestes[#Data],8)),"-")</f>
        <v>-</v>
      </c>
      <c r="J47" s="50" t="str">
        <f>IFERROR(IF(VLOOKUP($B47,casostestes[#Data],9)=0,"-",VLOOKUP($B47,casostestes[#Data],9)),"-")</f>
        <v>-</v>
      </c>
      <c r="K47" s="112" t="str">
        <f>IFERROR(IF(VLOOKUP($B47,homologador01[#Data],12)=0,"Não executado",VLOOKUP($B47,homologador01[#Data],12)),"Não executado")</f>
        <v>Não executado</v>
      </c>
      <c r="L47" s="112" t="str">
        <f>IFERROR(IF(VLOOKUP($B47,homologador02[#Data],12)=0,"-",VLOOKUP($B47,homologador02[#Data],12)),"-")</f>
        <v>-</v>
      </c>
    </row>
    <row r="48" spans="2:12">
      <c r="B48" s="56" t="str">
        <f>IF(ISERR(casostestes[[#This Row],[ID]]),"-",casostestes[[#This Row],[ID]])</f>
        <v>-</v>
      </c>
      <c r="C48" s="49" t="str">
        <f>IFERROR(IF(VLOOKUP($B48,casostestes[#Data],10)=0,"Não",VLOOKUP($B48,casostestes[#Data],10)), "-")</f>
        <v>-</v>
      </c>
      <c r="D48" s="50" t="str">
        <f>IFERROR(IF(VLOOKUP($B48,casostestes[#Data],2)=0,"-",VLOOKUP($B48,casostestes[#Data],2)), "-")</f>
        <v>-</v>
      </c>
      <c r="E48" s="50" t="str">
        <f>IFERROR(IF(VLOOKUP($B48,casostestes[#Data],3)=0,"-",VLOOKUP($B48,casostestes[#Data],3)), "-")</f>
        <v>-</v>
      </c>
      <c r="F48" s="50" t="str">
        <f>IFERROR(IF(VLOOKUP($B48,casostestes[#Data],4)=0,"-",VLOOKUP($B48,casostestes[#Data],4)),"-")</f>
        <v>-</v>
      </c>
      <c r="G48" s="50" t="str">
        <f>IFERROR(IF(VLOOKUP($B48,casostestes[#Data],5)=0,"-",VLOOKUP($B48,casostestes[#Data],5)),"-")</f>
        <v>-</v>
      </c>
      <c r="H48" s="50" t="str">
        <f>IFERROR(IF(VLOOKUP($B48,casostestes[#Data],6)=0,"-",VLOOKUP($B48,casostestes[#Data],6)),"-")</f>
        <v>-</v>
      </c>
      <c r="I48" s="50" t="str">
        <f>IFERROR(IF(VLOOKUP($B48,casostestes[#Data],8)=0,"-",VLOOKUP($B48,casostestes[#Data],8)),"-")</f>
        <v>-</v>
      </c>
      <c r="J48" s="50" t="str">
        <f>IFERROR(IF(VLOOKUP($B48,casostestes[#Data],9)=0,"-",VLOOKUP($B48,casostestes[#Data],9)),"-")</f>
        <v>-</v>
      </c>
      <c r="K48" s="112" t="str">
        <f>IFERROR(IF(VLOOKUP($B48,homologador01[#Data],12)=0,"Não executado",VLOOKUP($B48,homologador01[#Data],12)),"Não executado")</f>
        <v>Não executado</v>
      </c>
      <c r="L48" s="112" t="str">
        <f>IFERROR(IF(VLOOKUP($B48,homologador02[#Data],12)=0,"-",VLOOKUP($B48,homologador02[#Data],12)),"-")</f>
        <v>-</v>
      </c>
    </row>
    <row r="49" spans="2:12">
      <c r="B49" s="56" t="str">
        <f>IF(ISERR(casostestes[[#This Row],[ID]]),"-",casostestes[[#This Row],[ID]])</f>
        <v>-</v>
      </c>
      <c r="C49" s="49" t="str">
        <f>IFERROR(IF(VLOOKUP($B49,casostestes[#Data],10)=0,"Não",VLOOKUP($B49,casostestes[#Data],10)), "-")</f>
        <v>-</v>
      </c>
      <c r="D49" s="50" t="str">
        <f>IFERROR(IF(VLOOKUP($B49,casostestes[#Data],2)=0,"-",VLOOKUP($B49,casostestes[#Data],2)), "-")</f>
        <v>-</v>
      </c>
      <c r="E49" s="50" t="str">
        <f>IFERROR(IF(VLOOKUP($B49,casostestes[#Data],3)=0,"-",VLOOKUP($B49,casostestes[#Data],3)), "-")</f>
        <v>-</v>
      </c>
      <c r="F49" s="50" t="str">
        <f>IFERROR(IF(VLOOKUP($B49,casostestes[#Data],4)=0,"-",VLOOKUP($B49,casostestes[#Data],4)),"-")</f>
        <v>-</v>
      </c>
      <c r="G49" s="50" t="str">
        <f>IFERROR(IF(VLOOKUP($B49,casostestes[#Data],5)=0,"-",VLOOKUP($B49,casostestes[#Data],5)),"-")</f>
        <v>-</v>
      </c>
      <c r="H49" s="50" t="str">
        <f>IFERROR(IF(VLOOKUP($B49,casostestes[#Data],6)=0,"-",VLOOKUP($B49,casostestes[#Data],6)),"-")</f>
        <v>-</v>
      </c>
      <c r="I49" s="50" t="str">
        <f>IFERROR(IF(VLOOKUP($B49,casostestes[#Data],8)=0,"-",VLOOKUP($B49,casostestes[#Data],8)),"-")</f>
        <v>-</v>
      </c>
      <c r="J49" s="50" t="str">
        <f>IFERROR(IF(VLOOKUP($B49,casostestes[#Data],9)=0,"-",VLOOKUP($B49,casostestes[#Data],9)),"-")</f>
        <v>-</v>
      </c>
      <c r="K49" s="112" t="str">
        <f>IFERROR(IF(VLOOKUP($B49,homologador01[#Data],12)=0,"Não executado",VLOOKUP($B49,homologador01[#Data],12)),"Não executado")</f>
        <v>Não executado</v>
      </c>
      <c r="L49" s="112" t="str">
        <f>IFERROR(IF(VLOOKUP($B49,homologador02[#Data],12)=0,"-",VLOOKUP($B49,homologador02[#Data],12)),"-")</f>
        <v>-</v>
      </c>
    </row>
    <row r="50" spans="2:12">
      <c r="B50" s="56" t="str">
        <f>IF(ISERR(casostestes[[#This Row],[ID]]),"-",casostestes[[#This Row],[ID]])</f>
        <v>-</v>
      </c>
      <c r="C50" s="49" t="str">
        <f>IFERROR(IF(VLOOKUP($B50,casostestes[#Data],10)=0,"Não",VLOOKUP($B50,casostestes[#Data],10)), "-")</f>
        <v>-</v>
      </c>
      <c r="D50" s="50" t="str">
        <f>IFERROR(IF(VLOOKUP($B50,casostestes[#Data],2)=0,"-",VLOOKUP($B50,casostestes[#Data],2)), "-")</f>
        <v>-</v>
      </c>
      <c r="E50" s="50" t="str">
        <f>IFERROR(IF(VLOOKUP($B50,casostestes[#Data],3)=0,"-",VLOOKUP($B50,casostestes[#Data],3)), "-")</f>
        <v>-</v>
      </c>
      <c r="F50" s="50" t="str">
        <f>IFERROR(IF(VLOOKUP($B50,casostestes[#Data],4)=0,"-",VLOOKUP($B50,casostestes[#Data],4)),"-")</f>
        <v>-</v>
      </c>
      <c r="G50" s="50" t="str">
        <f>IFERROR(IF(VLOOKUP($B50,casostestes[#Data],5)=0,"-",VLOOKUP($B50,casostestes[#Data],5)),"-")</f>
        <v>-</v>
      </c>
      <c r="H50" s="50" t="str">
        <f>IFERROR(IF(VLOOKUP($B50,casostestes[#Data],6)=0,"-",VLOOKUP($B50,casostestes[#Data],6)),"-")</f>
        <v>-</v>
      </c>
      <c r="I50" s="50" t="str">
        <f>IFERROR(IF(VLOOKUP($B50,casostestes[#Data],8)=0,"-",VLOOKUP($B50,casostestes[#Data],8)),"-")</f>
        <v>-</v>
      </c>
      <c r="J50" s="50" t="str">
        <f>IFERROR(IF(VLOOKUP($B50,casostestes[#Data],9)=0,"-",VLOOKUP($B50,casostestes[#Data],9)),"-")</f>
        <v>-</v>
      </c>
      <c r="K50" s="112" t="str">
        <f>IFERROR(IF(VLOOKUP($B50,homologador01[#Data],12)=0,"Não executado",VLOOKUP($B50,homologador01[#Data],12)),"Não executado")</f>
        <v>Não executado</v>
      </c>
      <c r="L50" s="112" t="str">
        <f>IFERROR(IF(VLOOKUP($B50,homologador02[#Data],12)=0,"-",VLOOKUP($B50,homologador02[#Data],12)),"-")</f>
        <v>-</v>
      </c>
    </row>
    <row r="51" spans="2:12">
      <c r="B51" s="56" t="str">
        <f>IF(ISERR(casostestes[[#This Row],[ID]]),"-",casostestes[[#This Row],[ID]])</f>
        <v>-</v>
      </c>
      <c r="C51" s="49" t="str">
        <f>IFERROR(IF(VLOOKUP($B51,casostestes[#Data],10)=0,"Não",VLOOKUP($B51,casostestes[#Data],10)), "-")</f>
        <v>-</v>
      </c>
      <c r="D51" s="50" t="str">
        <f>IFERROR(IF(VLOOKUP($B51,casostestes[#Data],2)=0,"-",VLOOKUP($B51,casostestes[#Data],2)), "-")</f>
        <v>-</v>
      </c>
      <c r="E51" s="50" t="str">
        <f>IFERROR(IF(VLOOKUP($B51,casostestes[#Data],3)=0,"-",VLOOKUP($B51,casostestes[#Data],3)), "-")</f>
        <v>-</v>
      </c>
      <c r="F51" s="50" t="str">
        <f>IFERROR(IF(VLOOKUP($B51,casostestes[#Data],4)=0,"-",VLOOKUP($B51,casostestes[#Data],4)),"-")</f>
        <v>-</v>
      </c>
      <c r="G51" s="50" t="str">
        <f>IFERROR(IF(VLOOKUP($B51,casostestes[#Data],5)=0,"-",VLOOKUP($B51,casostestes[#Data],5)),"-")</f>
        <v>-</v>
      </c>
      <c r="H51" s="50" t="str">
        <f>IFERROR(IF(VLOOKUP($B51,casostestes[#Data],6)=0,"-",VLOOKUP($B51,casostestes[#Data],6)),"-")</f>
        <v>-</v>
      </c>
      <c r="I51" s="50" t="str">
        <f>IFERROR(IF(VLOOKUP($B51,casostestes[#Data],8)=0,"-",VLOOKUP($B51,casostestes[#Data],8)),"-")</f>
        <v>-</v>
      </c>
      <c r="J51" s="50" t="str">
        <f>IFERROR(IF(VLOOKUP($B51,casostestes[#Data],9)=0,"-",VLOOKUP($B51,casostestes[#Data],9)),"-")</f>
        <v>-</v>
      </c>
      <c r="K51" s="112" t="str">
        <f>IFERROR(IF(VLOOKUP($B51,homologador01[#Data],12)=0,"Não executado",VLOOKUP($B51,homologador01[#Data],12)),"Não executado")</f>
        <v>Não executado</v>
      </c>
      <c r="L51" s="112" t="str">
        <f>IFERROR(IF(VLOOKUP($B51,homologador02[#Data],12)=0,"-",VLOOKUP($B51,homologador02[#Data],12)),"-")</f>
        <v>-</v>
      </c>
    </row>
    <row r="52" spans="2:12">
      <c r="B52" s="56" t="str">
        <f>IF(ISERR(casostestes[[#This Row],[ID]]),"-",casostestes[[#This Row],[ID]])</f>
        <v>-</v>
      </c>
      <c r="C52" s="49" t="str">
        <f>IFERROR(IF(VLOOKUP($B52,casostestes[#Data],10)=0,"Não",VLOOKUP($B52,casostestes[#Data],10)), "-")</f>
        <v>-</v>
      </c>
      <c r="D52" s="50" t="str">
        <f>IFERROR(IF(VLOOKUP($B52,casostestes[#Data],2)=0,"-",VLOOKUP($B52,casostestes[#Data],2)), "-")</f>
        <v>-</v>
      </c>
      <c r="E52" s="50" t="str">
        <f>IFERROR(IF(VLOOKUP($B52,casostestes[#Data],3)=0,"-",VLOOKUP($B52,casostestes[#Data],3)), "-")</f>
        <v>-</v>
      </c>
      <c r="F52" s="50" t="str">
        <f>IFERROR(IF(VLOOKUP($B52,casostestes[#Data],4)=0,"-",VLOOKUP($B52,casostestes[#Data],4)),"-")</f>
        <v>-</v>
      </c>
      <c r="G52" s="50" t="str">
        <f>IFERROR(IF(VLOOKUP($B52,casostestes[#Data],5)=0,"-",VLOOKUP($B52,casostestes[#Data],5)),"-")</f>
        <v>-</v>
      </c>
      <c r="H52" s="50" t="str">
        <f>IFERROR(IF(VLOOKUP($B52,casostestes[#Data],6)=0,"-",VLOOKUP($B52,casostestes[#Data],6)),"-")</f>
        <v>-</v>
      </c>
      <c r="I52" s="50" t="str">
        <f>IFERROR(IF(VLOOKUP($B52,casostestes[#Data],8)=0,"-",VLOOKUP($B52,casostestes[#Data],8)),"-")</f>
        <v>-</v>
      </c>
      <c r="J52" s="50" t="str">
        <f>IFERROR(IF(VLOOKUP($B52,casostestes[#Data],9)=0,"-",VLOOKUP($B52,casostestes[#Data],9)),"-")</f>
        <v>-</v>
      </c>
      <c r="K52" s="112" t="str">
        <f>IFERROR(IF(VLOOKUP($B52,homologador01[#Data],12)=0,"Não executado",VLOOKUP($B52,homologador01[#Data],12)),"Não executado")</f>
        <v>Não executado</v>
      </c>
      <c r="L52" s="112" t="str">
        <f>IFERROR(IF(VLOOKUP($B52,homologador02[#Data],12)=0,"-",VLOOKUP($B52,homologador02[#Data],12)),"-")</f>
        <v>-</v>
      </c>
    </row>
    <row r="53" spans="2:12">
      <c r="B53" s="56" t="str">
        <f>IF(ISERR(casostestes[[#This Row],[ID]]),"-",casostestes[[#This Row],[ID]])</f>
        <v>-</v>
      </c>
      <c r="C53" s="49" t="str">
        <f>IFERROR(IF(VLOOKUP($B53,casostestes[#Data],10)=0,"Não",VLOOKUP($B53,casostestes[#Data],10)), "-")</f>
        <v>-</v>
      </c>
      <c r="D53" s="50" t="str">
        <f>IFERROR(IF(VLOOKUP($B53,casostestes[#Data],2)=0,"-",VLOOKUP($B53,casostestes[#Data],2)), "-")</f>
        <v>-</v>
      </c>
      <c r="E53" s="50" t="str">
        <f>IFERROR(IF(VLOOKUP($B53,casostestes[#Data],3)=0,"-",VLOOKUP($B53,casostestes[#Data],3)), "-")</f>
        <v>-</v>
      </c>
      <c r="F53" s="50" t="str">
        <f>IFERROR(IF(VLOOKUP($B53,casostestes[#Data],4)=0,"-",VLOOKUP($B53,casostestes[#Data],4)),"-")</f>
        <v>-</v>
      </c>
      <c r="G53" s="50" t="str">
        <f>IFERROR(IF(VLOOKUP($B53,casostestes[#Data],5)=0,"-",VLOOKUP($B53,casostestes[#Data],5)),"-")</f>
        <v>-</v>
      </c>
      <c r="H53" s="50" t="str">
        <f>IFERROR(IF(VLOOKUP($B53,casostestes[#Data],6)=0,"-",VLOOKUP($B53,casostestes[#Data],6)),"-")</f>
        <v>-</v>
      </c>
      <c r="I53" s="50" t="str">
        <f>IFERROR(IF(VLOOKUP($B53,casostestes[#Data],8)=0,"-",VLOOKUP($B53,casostestes[#Data],8)),"-")</f>
        <v>-</v>
      </c>
      <c r="J53" s="50" t="str">
        <f>IFERROR(IF(VLOOKUP($B53,casostestes[#Data],9)=0,"-",VLOOKUP($B53,casostestes[#Data],9)),"-")</f>
        <v>-</v>
      </c>
      <c r="K53" s="112" t="str">
        <f>IFERROR(IF(VLOOKUP($B53,homologador01[#Data],12)=0,"Não executado",VLOOKUP($B53,homologador01[#Data],12)),"Não executado")</f>
        <v>Não executado</v>
      </c>
      <c r="L53" s="112" t="str">
        <f>IFERROR(IF(VLOOKUP($B53,homologador02[#Data],12)=0,"-",VLOOKUP($B53,homologador02[#Data],12)),"-")</f>
        <v>-</v>
      </c>
    </row>
    <row r="54" spans="2:12">
      <c r="B54" s="56" t="str">
        <f>IF(ISERR(casostestes[[#This Row],[ID]]),"-",casostestes[[#This Row],[ID]])</f>
        <v>-</v>
      </c>
      <c r="C54" s="49" t="str">
        <f>IFERROR(IF(VLOOKUP($B54,casostestes[#Data],10)=0,"Não",VLOOKUP($B54,casostestes[#Data],10)), "-")</f>
        <v>-</v>
      </c>
      <c r="D54" s="50" t="str">
        <f>IFERROR(IF(VLOOKUP($B54,casostestes[#Data],2)=0,"-",VLOOKUP($B54,casostestes[#Data],2)), "-")</f>
        <v>-</v>
      </c>
      <c r="E54" s="50" t="str">
        <f>IFERROR(IF(VLOOKUP($B54,casostestes[#Data],3)=0,"-",VLOOKUP($B54,casostestes[#Data],3)), "-")</f>
        <v>-</v>
      </c>
      <c r="F54" s="50" t="str">
        <f>IFERROR(IF(VLOOKUP($B54,casostestes[#Data],4)=0,"-",VLOOKUP($B54,casostestes[#Data],4)),"-")</f>
        <v>-</v>
      </c>
      <c r="G54" s="50" t="str">
        <f>IFERROR(IF(VLOOKUP($B54,casostestes[#Data],5)=0,"-",VLOOKUP($B54,casostestes[#Data],5)),"-")</f>
        <v>-</v>
      </c>
      <c r="H54" s="50" t="str">
        <f>IFERROR(IF(VLOOKUP($B54,casostestes[#Data],6)=0,"-",VLOOKUP($B54,casostestes[#Data],6)),"-")</f>
        <v>-</v>
      </c>
      <c r="I54" s="50" t="str">
        <f>IFERROR(IF(VLOOKUP($B54,casostestes[#Data],8)=0,"-",VLOOKUP($B54,casostestes[#Data],8)),"-")</f>
        <v>-</v>
      </c>
      <c r="J54" s="50" t="str">
        <f>IFERROR(IF(VLOOKUP($B54,casostestes[#Data],9)=0,"-",VLOOKUP($B54,casostestes[#Data],9)),"-")</f>
        <v>-</v>
      </c>
      <c r="K54" s="112" t="str">
        <f>IFERROR(IF(VLOOKUP($B54,homologador01[#Data],12)=0,"Não executado",VLOOKUP($B54,homologador01[#Data],12)),"Não executado")</f>
        <v>Não executado</v>
      </c>
      <c r="L54" s="112" t="str">
        <f>IFERROR(IF(VLOOKUP($B54,homologador02[#Data],12)=0,"-",VLOOKUP($B54,homologador02[#Data],12)),"-")</f>
        <v>-</v>
      </c>
    </row>
    <row r="55" spans="2:12">
      <c r="B55" s="56" t="str">
        <f>IF(ISERR(casostestes[[#This Row],[ID]]),"-",casostestes[[#This Row],[ID]])</f>
        <v>-</v>
      </c>
      <c r="C55" s="49" t="str">
        <f>IFERROR(IF(VLOOKUP($B55,casostestes[#Data],10)=0,"Não",VLOOKUP($B55,casostestes[#Data],10)), "-")</f>
        <v>-</v>
      </c>
      <c r="D55" s="50" t="str">
        <f>IFERROR(IF(VLOOKUP($B55,casostestes[#Data],2)=0,"-",VLOOKUP($B55,casostestes[#Data],2)), "-")</f>
        <v>-</v>
      </c>
      <c r="E55" s="50" t="str">
        <f>IFERROR(IF(VLOOKUP($B55,casostestes[#Data],3)=0,"-",VLOOKUP($B55,casostestes[#Data],3)), "-")</f>
        <v>-</v>
      </c>
      <c r="F55" s="50" t="str">
        <f>IFERROR(IF(VLOOKUP($B55,casostestes[#Data],4)=0,"-",VLOOKUP($B55,casostestes[#Data],4)),"-")</f>
        <v>-</v>
      </c>
      <c r="G55" s="50" t="str">
        <f>IFERROR(IF(VLOOKUP($B55,casostestes[#Data],5)=0,"-",VLOOKUP($B55,casostestes[#Data],5)),"-")</f>
        <v>-</v>
      </c>
      <c r="H55" s="50" t="str">
        <f>IFERROR(IF(VLOOKUP($B55,casostestes[#Data],6)=0,"-",VLOOKUP($B55,casostestes[#Data],6)),"-")</f>
        <v>-</v>
      </c>
      <c r="I55" s="50" t="str">
        <f>IFERROR(IF(VLOOKUP($B55,casostestes[#Data],8)=0,"-",VLOOKUP($B55,casostestes[#Data],8)),"-")</f>
        <v>-</v>
      </c>
      <c r="J55" s="50" t="str">
        <f>IFERROR(IF(VLOOKUP($B55,casostestes[#Data],9)=0,"-",VLOOKUP($B55,casostestes[#Data],9)),"-")</f>
        <v>-</v>
      </c>
      <c r="K55" s="112" t="str">
        <f>IFERROR(IF(VLOOKUP($B55,homologador01[#Data],12)=0,"Não executado",VLOOKUP($B55,homologador01[#Data],12)),"Não executado")</f>
        <v>Não executado</v>
      </c>
      <c r="L55" s="112" t="str">
        <f>IFERROR(IF(VLOOKUP($B55,homologador02[#Data],12)=0,"-",VLOOKUP($B55,homologador02[#Data],12)),"-")</f>
        <v>-</v>
      </c>
    </row>
    <row r="56" spans="2:12">
      <c r="B56" s="56" t="str">
        <f>IF(ISERR(casostestes[[#This Row],[ID]]),"-",casostestes[[#This Row],[ID]])</f>
        <v>-</v>
      </c>
      <c r="C56" s="49" t="str">
        <f>IFERROR(IF(VLOOKUP($B56,casostestes[#Data],10)=0,"Não",VLOOKUP($B56,casostestes[#Data],10)), "-")</f>
        <v>-</v>
      </c>
      <c r="D56" s="50" t="str">
        <f>IFERROR(IF(VLOOKUP($B56,casostestes[#Data],2)=0,"-",VLOOKUP($B56,casostestes[#Data],2)), "-")</f>
        <v>-</v>
      </c>
      <c r="E56" s="50" t="str">
        <f>IFERROR(IF(VLOOKUP($B56,casostestes[#Data],3)=0,"-",VLOOKUP($B56,casostestes[#Data],3)), "-")</f>
        <v>-</v>
      </c>
      <c r="F56" s="50" t="str">
        <f>IFERROR(IF(VLOOKUP($B56,casostestes[#Data],4)=0,"-",VLOOKUP($B56,casostestes[#Data],4)),"-")</f>
        <v>-</v>
      </c>
      <c r="G56" s="50" t="str">
        <f>IFERROR(IF(VLOOKUP($B56,casostestes[#Data],5)=0,"-",VLOOKUP($B56,casostestes[#Data],5)),"-")</f>
        <v>-</v>
      </c>
      <c r="H56" s="50" t="str">
        <f>IFERROR(IF(VLOOKUP($B56,casostestes[#Data],6)=0,"-",VLOOKUP($B56,casostestes[#Data],6)),"-")</f>
        <v>-</v>
      </c>
      <c r="I56" s="50" t="str">
        <f>IFERROR(IF(VLOOKUP($B56,casostestes[#Data],8)=0,"-",VLOOKUP($B56,casostestes[#Data],8)),"-")</f>
        <v>-</v>
      </c>
      <c r="J56" s="50" t="str">
        <f>IFERROR(IF(VLOOKUP($B56,casostestes[#Data],9)=0,"-",VLOOKUP($B56,casostestes[#Data],9)),"-")</f>
        <v>-</v>
      </c>
      <c r="K56" s="112" t="str">
        <f>IFERROR(IF(VLOOKUP($B56,homologador01[#Data],12)=0,"Não executado",VLOOKUP($B56,homologador01[#Data],12)),"Não executado")</f>
        <v>Não executado</v>
      </c>
      <c r="L56" s="112" t="str">
        <f>IFERROR(IF(VLOOKUP($B56,homologador02[#Data],12)=0,"-",VLOOKUP($B56,homologador02[#Data],12)),"-")</f>
        <v>-</v>
      </c>
    </row>
    <row r="57" spans="2:12">
      <c r="B57" s="56" t="str">
        <f>IF(ISERR(casostestes[[#This Row],[ID]]),"-",casostestes[[#This Row],[ID]])</f>
        <v>-</v>
      </c>
      <c r="C57" s="49" t="str">
        <f>IFERROR(IF(VLOOKUP($B57,casostestes[#Data],10)=0,"Não",VLOOKUP($B57,casostestes[#Data],10)), "-")</f>
        <v>-</v>
      </c>
      <c r="D57" s="50" t="str">
        <f>IFERROR(IF(VLOOKUP($B57,casostestes[#Data],2)=0,"-",VLOOKUP($B57,casostestes[#Data],2)), "-")</f>
        <v>-</v>
      </c>
      <c r="E57" s="50" t="str">
        <f>IFERROR(IF(VLOOKUP($B57,casostestes[#Data],3)=0,"-",VLOOKUP($B57,casostestes[#Data],3)), "-")</f>
        <v>-</v>
      </c>
      <c r="F57" s="50" t="str">
        <f>IFERROR(IF(VLOOKUP($B57,casostestes[#Data],4)=0,"-",VLOOKUP($B57,casostestes[#Data],4)),"-")</f>
        <v>-</v>
      </c>
      <c r="G57" s="50" t="str">
        <f>IFERROR(IF(VLOOKUP($B57,casostestes[#Data],5)=0,"-",VLOOKUP($B57,casostestes[#Data],5)),"-")</f>
        <v>-</v>
      </c>
      <c r="H57" s="50" t="str">
        <f>IFERROR(IF(VLOOKUP($B57,casostestes[#Data],6)=0,"-",VLOOKUP($B57,casostestes[#Data],6)),"-")</f>
        <v>-</v>
      </c>
      <c r="I57" s="50" t="str">
        <f>IFERROR(IF(VLOOKUP($B57,casostestes[#Data],8)=0,"-",VLOOKUP($B57,casostestes[#Data],8)),"-")</f>
        <v>-</v>
      </c>
      <c r="J57" s="50" t="str">
        <f>IFERROR(IF(VLOOKUP($B57,casostestes[#Data],9)=0,"-",VLOOKUP($B57,casostestes[#Data],9)),"-")</f>
        <v>-</v>
      </c>
      <c r="K57" s="112" t="str">
        <f>IFERROR(IF(VLOOKUP($B57,homologador01[#Data],12)=0,"Não executado",VLOOKUP($B57,homologador01[#Data],12)),"Não executado")</f>
        <v>Não executado</v>
      </c>
      <c r="L57" s="112" t="str">
        <f>IFERROR(IF(VLOOKUP($B57,homologador02[#Data],12)=0,"-",VLOOKUP($B57,homologador02[#Data],12)),"-")</f>
        <v>-</v>
      </c>
    </row>
    <row r="58" spans="2:12">
      <c r="B58" s="56" t="str">
        <f>IF(ISERR(casostestes[[#This Row],[ID]]),"-",casostestes[[#This Row],[ID]])</f>
        <v>-</v>
      </c>
      <c r="C58" s="49" t="str">
        <f>IFERROR(IF(VLOOKUP($B58,casostestes[#Data],10)=0,"Não",VLOOKUP($B58,casostestes[#Data],10)), "-")</f>
        <v>-</v>
      </c>
      <c r="D58" s="50" t="str">
        <f>IFERROR(IF(VLOOKUP($B58,casostestes[#Data],2)=0,"-",VLOOKUP($B58,casostestes[#Data],2)), "-")</f>
        <v>-</v>
      </c>
      <c r="E58" s="50" t="str">
        <f>IFERROR(IF(VLOOKUP($B58,casostestes[#Data],3)=0,"-",VLOOKUP($B58,casostestes[#Data],3)), "-")</f>
        <v>-</v>
      </c>
      <c r="F58" s="50" t="str">
        <f>IFERROR(IF(VLOOKUP($B58,casostestes[#Data],4)=0,"-",VLOOKUP($B58,casostestes[#Data],4)),"-")</f>
        <v>-</v>
      </c>
      <c r="G58" s="50" t="str">
        <f>IFERROR(IF(VLOOKUP($B58,casostestes[#Data],5)=0,"-",VLOOKUP($B58,casostestes[#Data],5)),"-")</f>
        <v>-</v>
      </c>
      <c r="H58" s="50" t="str">
        <f>IFERROR(IF(VLOOKUP($B58,casostestes[#Data],6)=0,"-",VLOOKUP($B58,casostestes[#Data],6)),"-")</f>
        <v>-</v>
      </c>
      <c r="I58" s="50" t="str">
        <f>IFERROR(IF(VLOOKUP($B58,casostestes[#Data],8)=0,"-",VLOOKUP($B58,casostestes[#Data],8)),"-")</f>
        <v>-</v>
      </c>
      <c r="J58" s="50" t="str">
        <f>IFERROR(IF(VLOOKUP($B58,casostestes[#Data],9)=0,"-",VLOOKUP($B58,casostestes[#Data],9)),"-")</f>
        <v>-</v>
      </c>
      <c r="K58" s="112" t="str">
        <f>IFERROR(IF(VLOOKUP($B58,homologador01[#Data],12)=0,"Não executado",VLOOKUP($B58,homologador01[#Data],12)),"Não executado")</f>
        <v>Não executado</v>
      </c>
      <c r="L58" s="112" t="str">
        <f>IFERROR(IF(VLOOKUP($B58,homologador02[#Data],12)=0,"-",VLOOKUP($B58,homologador02[#Data],12)),"-")</f>
        <v>-</v>
      </c>
    </row>
    <row r="59" spans="2:12">
      <c r="B59" s="56" t="str">
        <f>IF(ISERR(casostestes[[#This Row],[ID]]),"-",casostestes[[#This Row],[ID]])</f>
        <v>-</v>
      </c>
      <c r="C59" s="49" t="str">
        <f>IFERROR(IF(VLOOKUP($B59,casostestes[#Data],10)=0,"Não",VLOOKUP($B59,casostestes[#Data],10)), "-")</f>
        <v>-</v>
      </c>
      <c r="D59" s="50" t="str">
        <f>IFERROR(IF(VLOOKUP($B59,casostestes[#Data],2)=0,"-",VLOOKUP($B59,casostestes[#Data],2)), "-")</f>
        <v>-</v>
      </c>
      <c r="E59" s="50" t="str">
        <f>IFERROR(IF(VLOOKUP($B59,casostestes[#Data],3)=0,"-",VLOOKUP($B59,casostestes[#Data],3)), "-")</f>
        <v>-</v>
      </c>
      <c r="F59" s="50" t="str">
        <f>IFERROR(IF(VLOOKUP($B59,casostestes[#Data],4)=0,"-",VLOOKUP($B59,casostestes[#Data],4)),"-")</f>
        <v>-</v>
      </c>
      <c r="G59" s="50" t="str">
        <f>IFERROR(IF(VLOOKUP($B59,casostestes[#Data],5)=0,"-",VLOOKUP($B59,casostestes[#Data],5)),"-")</f>
        <v>-</v>
      </c>
      <c r="H59" s="50" t="str">
        <f>IFERROR(IF(VLOOKUP($B59,casostestes[#Data],6)=0,"-",VLOOKUP($B59,casostestes[#Data],6)),"-")</f>
        <v>-</v>
      </c>
      <c r="I59" s="50" t="str">
        <f>IFERROR(IF(VLOOKUP($B59,casostestes[#Data],8)=0,"-",VLOOKUP($B59,casostestes[#Data],8)),"-")</f>
        <v>-</v>
      </c>
      <c r="J59" s="50" t="str">
        <f>IFERROR(IF(VLOOKUP($B59,casostestes[#Data],9)=0,"-",VLOOKUP($B59,casostestes[#Data],9)),"-")</f>
        <v>-</v>
      </c>
      <c r="K59" s="112" t="str">
        <f>IFERROR(IF(VLOOKUP($B59,homologador01[#Data],12)=0,"Não executado",VLOOKUP($B59,homologador01[#Data],12)),"Não executado")</f>
        <v>Não executado</v>
      </c>
      <c r="L59" s="112" t="str">
        <f>IFERROR(IF(VLOOKUP($B59,homologador02[#Data],12)=0,"-",VLOOKUP($B59,homologador02[#Data],12)),"-")</f>
        <v>-</v>
      </c>
    </row>
    <row r="60" spans="2:12">
      <c r="B60" s="56" t="str">
        <f>IF(ISERR(casostestes[[#This Row],[ID]]),"-",casostestes[[#This Row],[ID]])</f>
        <v>-</v>
      </c>
      <c r="C60" s="49" t="str">
        <f>IFERROR(IF(VLOOKUP($B60,casostestes[#Data],10)=0,"Não",VLOOKUP($B60,casostestes[#Data],10)), "-")</f>
        <v>-</v>
      </c>
      <c r="D60" s="50" t="str">
        <f>IFERROR(IF(VLOOKUP($B60,casostestes[#Data],2)=0,"-",VLOOKUP($B60,casostestes[#Data],2)), "-")</f>
        <v>-</v>
      </c>
      <c r="E60" s="50" t="str">
        <f>IFERROR(IF(VLOOKUP($B60,casostestes[#Data],3)=0,"-",VLOOKUP($B60,casostestes[#Data],3)), "-")</f>
        <v>-</v>
      </c>
      <c r="F60" s="50" t="str">
        <f>IFERROR(IF(VLOOKUP($B60,casostestes[#Data],4)=0,"-",VLOOKUP($B60,casostestes[#Data],4)),"-")</f>
        <v>-</v>
      </c>
      <c r="G60" s="50" t="str">
        <f>IFERROR(IF(VLOOKUP($B60,casostestes[#Data],5)=0,"-",VLOOKUP($B60,casostestes[#Data],5)),"-")</f>
        <v>-</v>
      </c>
      <c r="H60" s="50" t="str">
        <f>IFERROR(IF(VLOOKUP($B60,casostestes[#Data],6)=0,"-",VLOOKUP($B60,casostestes[#Data],6)),"-")</f>
        <v>-</v>
      </c>
      <c r="I60" s="50" t="str">
        <f>IFERROR(IF(VLOOKUP($B60,casostestes[#Data],8)=0,"-",VLOOKUP($B60,casostestes[#Data],8)),"-")</f>
        <v>-</v>
      </c>
      <c r="J60" s="50" t="str">
        <f>IFERROR(IF(VLOOKUP($B60,casostestes[#Data],9)=0,"-",VLOOKUP($B60,casostestes[#Data],9)),"-")</f>
        <v>-</v>
      </c>
      <c r="K60" s="112" t="str">
        <f>IFERROR(IF(VLOOKUP($B60,homologador01[#Data],12)=0,"Não executado",VLOOKUP($B60,homologador01[#Data],12)),"Não executado")</f>
        <v>Não executado</v>
      </c>
      <c r="L60" s="112" t="str">
        <f>IFERROR(IF(VLOOKUP($B60,homologador02[#Data],12)=0,"-",VLOOKUP($B60,homologador02[#Data],12)),"-")</f>
        <v>-</v>
      </c>
    </row>
    <row r="61" spans="2:12">
      <c r="B61" s="56" t="str">
        <f>IF(ISERR(casostestes[[#This Row],[ID]]),"-",casostestes[[#This Row],[ID]])</f>
        <v>-</v>
      </c>
      <c r="C61" s="49" t="str">
        <f>IFERROR(IF(VLOOKUP($B61,casostestes[#Data],10)=0,"Não",VLOOKUP($B61,casostestes[#Data],10)), "-")</f>
        <v>-</v>
      </c>
      <c r="D61" s="50" t="str">
        <f>IFERROR(IF(VLOOKUP($B61,casostestes[#Data],2)=0,"-",VLOOKUP($B61,casostestes[#Data],2)), "-")</f>
        <v>-</v>
      </c>
      <c r="E61" s="50" t="str">
        <f>IFERROR(IF(VLOOKUP($B61,casostestes[#Data],3)=0,"-",VLOOKUP($B61,casostestes[#Data],3)), "-")</f>
        <v>-</v>
      </c>
      <c r="F61" s="50" t="str">
        <f>IFERROR(IF(VLOOKUP($B61,casostestes[#Data],4)=0,"-",VLOOKUP($B61,casostestes[#Data],4)),"-")</f>
        <v>-</v>
      </c>
      <c r="G61" s="50" t="str">
        <f>IFERROR(IF(VLOOKUP($B61,casostestes[#Data],5)=0,"-",VLOOKUP($B61,casostestes[#Data],5)),"-")</f>
        <v>-</v>
      </c>
      <c r="H61" s="50" t="str">
        <f>IFERROR(IF(VLOOKUP($B61,casostestes[#Data],6)=0,"-",VLOOKUP($B61,casostestes[#Data],6)),"-")</f>
        <v>-</v>
      </c>
      <c r="I61" s="50" t="str">
        <f>IFERROR(IF(VLOOKUP($B61,casostestes[#Data],8)=0,"-",VLOOKUP($B61,casostestes[#Data],8)),"-")</f>
        <v>-</v>
      </c>
      <c r="J61" s="50" t="str">
        <f>IFERROR(IF(VLOOKUP($B61,casostestes[#Data],9)=0,"-",VLOOKUP($B61,casostestes[#Data],9)),"-")</f>
        <v>-</v>
      </c>
      <c r="K61" s="112" t="str">
        <f>IFERROR(IF(VLOOKUP($B61,homologador01[#Data],12)=0,"Não executado",VLOOKUP($B61,homologador01[#Data],12)),"Não executado")</f>
        <v>Não executado</v>
      </c>
      <c r="L61" s="112" t="str">
        <f>IFERROR(IF(VLOOKUP($B61,homologador02[#Data],12)=0,"-",VLOOKUP($B61,homologador02[#Data],12)),"-")</f>
        <v>-</v>
      </c>
    </row>
    <row r="62" spans="2:12">
      <c r="B62" s="56" t="str">
        <f>IF(ISERR(casostestes[[#This Row],[ID]]),"-",casostestes[[#This Row],[ID]])</f>
        <v>-</v>
      </c>
      <c r="C62" s="49" t="str">
        <f>IFERROR(IF(VLOOKUP($B62,casostestes[#Data],10)=0,"Não",VLOOKUP($B62,casostestes[#Data],10)), "-")</f>
        <v>-</v>
      </c>
      <c r="D62" s="50" t="str">
        <f>IFERROR(IF(VLOOKUP($B62,casostestes[#Data],2)=0,"-",VLOOKUP($B62,casostestes[#Data],2)), "-")</f>
        <v>-</v>
      </c>
      <c r="E62" s="50" t="str">
        <f>IFERROR(IF(VLOOKUP($B62,casostestes[#Data],3)=0,"-",VLOOKUP($B62,casostestes[#Data],3)), "-")</f>
        <v>-</v>
      </c>
      <c r="F62" s="50" t="str">
        <f>IFERROR(IF(VLOOKUP($B62,casostestes[#Data],4)=0,"-",VLOOKUP($B62,casostestes[#Data],4)),"-")</f>
        <v>-</v>
      </c>
      <c r="G62" s="50" t="str">
        <f>IFERROR(IF(VLOOKUP($B62,casostestes[#Data],5)=0,"-",VLOOKUP($B62,casostestes[#Data],5)),"-")</f>
        <v>-</v>
      </c>
      <c r="H62" s="50" t="str">
        <f>IFERROR(IF(VLOOKUP($B62,casostestes[#Data],6)=0,"-",VLOOKUP($B62,casostestes[#Data],6)),"-")</f>
        <v>-</v>
      </c>
      <c r="I62" s="50" t="str">
        <f>IFERROR(IF(VLOOKUP($B62,casostestes[#Data],8)=0,"-",VLOOKUP($B62,casostestes[#Data],8)),"-")</f>
        <v>-</v>
      </c>
      <c r="J62" s="50" t="str">
        <f>IFERROR(IF(VLOOKUP($B62,casostestes[#Data],9)=0,"-",VLOOKUP($B62,casostestes[#Data],9)),"-")</f>
        <v>-</v>
      </c>
      <c r="K62" s="112" t="str">
        <f>IFERROR(IF(VLOOKUP($B62,homologador01[#Data],12)=0,"Não executado",VLOOKUP($B62,homologador01[#Data],12)),"Não executado")</f>
        <v>Não executado</v>
      </c>
      <c r="L62" s="112" t="str">
        <f>IFERROR(IF(VLOOKUP($B62,homologador02[#Data],12)=0,"-",VLOOKUP($B62,homologador02[#Data],12)),"-")</f>
        <v>-</v>
      </c>
    </row>
    <row r="63" spans="2:12">
      <c r="B63" s="56" t="str">
        <f>IF(ISERR(casostestes[[#This Row],[ID]]),"-",casostestes[[#This Row],[ID]])</f>
        <v>-</v>
      </c>
      <c r="C63" s="49" t="str">
        <f>IFERROR(IF(VLOOKUP($B63,casostestes[#Data],10)=0,"Não",VLOOKUP($B63,casostestes[#Data],10)), "-")</f>
        <v>-</v>
      </c>
      <c r="D63" s="50" t="str">
        <f>IFERROR(IF(VLOOKUP($B63,casostestes[#Data],2)=0,"-",VLOOKUP($B63,casostestes[#Data],2)), "-")</f>
        <v>-</v>
      </c>
      <c r="E63" s="50" t="str">
        <f>IFERROR(IF(VLOOKUP($B63,casostestes[#Data],3)=0,"-",VLOOKUP($B63,casostestes[#Data],3)), "-")</f>
        <v>-</v>
      </c>
      <c r="F63" s="50" t="str">
        <f>IFERROR(IF(VLOOKUP($B63,casostestes[#Data],4)=0,"-",VLOOKUP($B63,casostestes[#Data],4)),"-")</f>
        <v>-</v>
      </c>
      <c r="G63" s="50" t="str">
        <f>IFERROR(IF(VLOOKUP($B63,casostestes[#Data],5)=0,"-",VLOOKUP($B63,casostestes[#Data],5)),"-")</f>
        <v>-</v>
      </c>
      <c r="H63" s="50" t="str">
        <f>IFERROR(IF(VLOOKUP($B63,casostestes[#Data],6)=0,"-",VLOOKUP($B63,casostestes[#Data],6)),"-")</f>
        <v>-</v>
      </c>
      <c r="I63" s="50" t="str">
        <f>IFERROR(IF(VLOOKUP($B63,casostestes[#Data],8)=0,"-",VLOOKUP($B63,casostestes[#Data],8)),"-")</f>
        <v>-</v>
      </c>
      <c r="J63" s="50" t="str">
        <f>IFERROR(IF(VLOOKUP($B63,casostestes[#Data],9)=0,"-",VLOOKUP($B63,casostestes[#Data],9)),"-")</f>
        <v>-</v>
      </c>
      <c r="K63" s="112" t="str">
        <f>IFERROR(IF(VLOOKUP($B63,homologador01[#Data],12)=0,"Não executado",VLOOKUP($B63,homologador01[#Data],12)),"Não executado")</f>
        <v>Não executado</v>
      </c>
      <c r="L63" s="112" t="str">
        <f>IFERROR(IF(VLOOKUP($B63,homologador02[#Data],12)=0,"-",VLOOKUP($B63,homologador02[#Data],12)),"-")</f>
        <v>-</v>
      </c>
    </row>
    <row r="64" spans="2:12">
      <c r="B64" s="56" t="str">
        <f>IF(ISERR(casostestes[[#This Row],[ID]]),"-",casostestes[[#This Row],[ID]])</f>
        <v>-</v>
      </c>
      <c r="C64" s="49" t="str">
        <f>IFERROR(IF(VLOOKUP($B64,casostestes[#Data],10)=0,"Não",VLOOKUP($B64,casostestes[#Data],10)), "-")</f>
        <v>-</v>
      </c>
      <c r="D64" s="50" t="str">
        <f>IFERROR(IF(VLOOKUP($B64,casostestes[#Data],2)=0,"-",VLOOKUP($B64,casostestes[#Data],2)), "-")</f>
        <v>-</v>
      </c>
      <c r="E64" s="50" t="str">
        <f>IFERROR(IF(VLOOKUP($B64,casostestes[#Data],3)=0,"-",VLOOKUP($B64,casostestes[#Data],3)), "-")</f>
        <v>-</v>
      </c>
      <c r="F64" s="50" t="str">
        <f>IFERROR(IF(VLOOKUP($B64,casostestes[#Data],4)=0,"-",VLOOKUP($B64,casostestes[#Data],4)),"-")</f>
        <v>-</v>
      </c>
      <c r="G64" s="50" t="str">
        <f>IFERROR(IF(VLOOKUP($B64,casostestes[#Data],5)=0,"-",VLOOKUP($B64,casostestes[#Data],5)),"-")</f>
        <v>-</v>
      </c>
      <c r="H64" s="50" t="str">
        <f>IFERROR(IF(VLOOKUP($B64,casostestes[#Data],6)=0,"-",VLOOKUP($B64,casostestes[#Data],6)),"-")</f>
        <v>-</v>
      </c>
      <c r="I64" s="50" t="str">
        <f>IFERROR(IF(VLOOKUP($B64,casostestes[#Data],8)=0,"-",VLOOKUP($B64,casostestes[#Data],8)),"-")</f>
        <v>-</v>
      </c>
      <c r="J64" s="50" t="str">
        <f>IFERROR(IF(VLOOKUP($B64,casostestes[#Data],9)=0,"-",VLOOKUP($B64,casostestes[#Data],9)),"-")</f>
        <v>-</v>
      </c>
      <c r="K64" s="112" t="str">
        <f>IFERROR(IF(VLOOKUP($B64,homologador01[#Data],12)=0,"Não executado",VLOOKUP($B64,homologador01[#Data],12)),"Não executado")</f>
        <v>Não executado</v>
      </c>
      <c r="L64" s="112" t="str">
        <f>IFERROR(IF(VLOOKUP($B64,homologador02[#Data],12)=0,"-",VLOOKUP($B64,homologador02[#Data],12)),"-")</f>
        <v>-</v>
      </c>
    </row>
    <row r="65" spans="2:12">
      <c r="B65" s="56" t="str">
        <f>IF(ISERR(casostestes[[#This Row],[ID]]),"-",casostestes[[#This Row],[ID]])</f>
        <v>-</v>
      </c>
      <c r="C65" s="49" t="str">
        <f>IFERROR(IF(VLOOKUP($B65,casostestes[#Data],10)=0,"Não",VLOOKUP($B65,casostestes[#Data],10)), "-")</f>
        <v>-</v>
      </c>
      <c r="D65" s="50" t="str">
        <f>IFERROR(IF(VLOOKUP($B65,casostestes[#Data],2)=0,"-",VLOOKUP($B65,casostestes[#Data],2)), "-")</f>
        <v>-</v>
      </c>
      <c r="E65" s="50" t="str">
        <f>IFERROR(IF(VLOOKUP($B65,casostestes[#Data],3)=0,"-",VLOOKUP($B65,casostestes[#Data],3)), "-")</f>
        <v>-</v>
      </c>
      <c r="F65" s="50" t="str">
        <f>IFERROR(IF(VLOOKUP($B65,casostestes[#Data],4)=0,"-",VLOOKUP($B65,casostestes[#Data],4)),"-")</f>
        <v>-</v>
      </c>
      <c r="G65" s="50" t="str">
        <f>IFERROR(IF(VLOOKUP($B65,casostestes[#Data],5)=0,"-",VLOOKUP($B65,casostestes[#Data],5)),"-")</f>
        <v>-</v>
      </c>
      <c r="H65" s="50" t="str">
        <f>IFERROR(IF(VLOOKUP($B65,casostestes[#Data],6)=0,"-",VLOOKUP($B65,casostestes[#Data],6)),"-")</f>
        <v>-</v>
      </c>
      <c r="I65" s="50" t="str">
        <f>IFERROR(IF(VLOOKUP($B65,casostestes[#Data],8)=0,"-",VLOOKUP($B65,casostestes[#Data],8)),"-")</f>
        <v>-</v>
      </c>
      <c r="J65" s="50" t="str">
        <f>IFERROR(IF(VLOOKUP($B65,casostestes[#Data],9)=0,"-",VLOOKUP($B65,casostestes[#Data],9)),"-")</f>
        <v>-</v>
      </c>
      <c r="K65" s="112" t="str">
        <f>IFERROR(IF(VLOOKUP($B65,homologador01[#Data],12)=0,"Não executado",VLOOKUP($B65,homologador01[#Data],12)),"Não executado")</f>
        <v>Não executado</v>
      </c>
      <c r="L65" s="112" t="str">
        <f>IFERROR(IF(VLOOKUP($B65,homologador02[#Data],12)=0,"-",VLOOKUP($B65,homologador02[#Data],12)),"-")</f>
        <v>-</v>
      </c>
    </row>
    <row r="66" spans="2:12">
      <c r="B66" s="56" t="str">
        <f>IF(ISERR(casostestes[[#This Row],[ID]]),"-",casostestes[[#This Row],[ID]])</f>
        <v>-</v>
      </c>
      <c r="C66" s="49" t="str">
        <f>IFERROR(IF(VLOOKUP($B66,casostestes[#Data],10)=0,"Não",VLOOKUP($B66,casostestes[#Data],10)), "-")</f>
        <v>-</v>
      </c>
      <c r="D66" s="50" t="str">
        <f>IFERROR(IF(VLOOKUP($B66,casostestes[#Data],2)=0,"-",VLOOKUP($B66,casostestes[#Data],2)), "-")</f>
        <v>-</v>
      </c>
      <c r="E66" s="50" t="str">
        <f>IFERROR(IF(VLOOKUP($B66,casostestes[#Data],3)=0,"-",VLOOKUP($B66,casostestes[#Data],3)), "-")</f>
        <v>-</v>
      </c>
      <c r="F66" s="50" t="str">
        <f>IFERROR(IF(VLOOKUP($B66,casostestes[#Data],4)=0,"-",VLOOKUP($B66,casostestes[#Data],4)),"-")</f>
        <v>-</v>
      </c>
      <c r="G66" s="50" t="str">
        <f>IFERROR(IF(VLOOKUP($B66,casostestes[#Data],5)=0,"-",VLOOKUP($B66,casostestes[#Data],5)),"-")</f>
        <v>-</v>
      </c>
      <c r="H66" s="50" t="str">
        <f>IFERROR(IF(VLOOKUP($B66,casostestes[#Data],6)=0,"-",VLOOKUP($B66,casostestes[#Data],6)),"-")</f>
        <v>-</v>
      </c>
      <c r="I66" s="50" t="str">
        <f>IFERROR(IF(VLOOKUP($B66,casostestes[#Data],8)=0,"-",VLOOKUP($B66,casostestes[#Data],8)),"-")</f>
        <v>-</v>
      </c>
      <c r="J66" s="50" t="str">
        <f>IFERROR(IF(VLOOKUP($B66,casostestes[#Data],9)=0,"-",VLOOKUP($B66,casostestes[#Data],9)),"-")</f>
        <v>-</v>
      </c>
      <c r="K66" s="112" t="str">
        <f>IFERROR(IF(VLOOKUP($B66,homologador01[#Data],12)=0,"Não executado",VLOOKUP($B66,homologador01[#Data],12)),"Não executado")</f>
        <v>Não executado</v>
      </c>
      <c r="L66" s="112" t="str">
        <f>IFERROR(IF(VLOOKUP($B66,homologador02[#Data],12)=0,"-",VLOOKUP($B66,homologador02[#Data],12)),"-")</f>
        <v>-</v>
      </c>
    </row>
    <row r="67" spans="2:12">
      <c r="B67" s="56" t="str">
        <f>IF(ISERR(casostestes[[#This Row],[ID]]),"-",casostestes[[#This Row],[ID]])</f>
        <v>-</v>
      </c>
      <c r="C67" s="49" t="str">
        <f>IFERROR(IF(VLOOKUP($B67,casostestes[#Data],10)=0,"Não",VLOOKUP($B67,casostestes[#Data],10)), "-")</f>
        <v>-</v>
      </c>
      <c r="D67" s="50" t="str">
        <f>IFERROR(IF(VLOOKUP($B67,casostestes[#Data],2)=0,"-",VLOOKUP($B67,casostestes[#Data],2)), "-")</f>
        <v>-</v>
      </c>
      <c r="E67" s="50" t="str">
        <f>IFERROR(IF(VLOOKUP($B67,casostestes[#Data],3)=0,"-",VLOOKUP($B67,casostestes[#Data],3)), "-")</f>
        <v>-</v>
      </c>
      <c r="F67" s="50" t="str">
        <f>IFERROR(IF(VLOOKUP($B67,casostestes[#Data],4)=0,"-",VLOOKUP($B67,casostestes[#Data],4)),"-")</f>
        <v>-</v>
      </c>
      <c r="G67" s="50" t="str">
        <f>IFERROR(IF(VLOOKUP($B67,casostestes[#Data],5)=0,"-",VLOOKUP($B67,casostestes[#Data],5)),"-")</f>
        <v>-</v>
      </c>
      <c r="H67" s="50" t="str">
        <f>IFERROR(IF(VLOOKUP($B67,casostestes[#Data],6)=0,"-",VLOOKUP($B67,casostestes[#Data],6)),"-")</f>
        <v>-</v>
      </c>
      <c r="I67" s="50" t="str">
        <f>IFERROR(IF(VLOOKUP($B67,casostestes[#Data],8)=0,"-",VLOOKUP($B67,casostestes[#Data],8)),"-")</f>
        <v>-</v>
      </c>
      <c r="J67" s="50" t="str">
        <f>IFERROR(IF(VLOOKUP($B67,casostestes[#Data],9)=0,"-",VLOOKUP($B67,casostestes[#Data],9)),"-")</f>
        <v>-</v>
      </c>
      <c r="K67" s="112" t="str">
        <f>IFERROR(IF(VLOOKUP($B67,homologador01[#Data],12)=0,"Não executado",VLOOKUP($B67,homologador01[#Data],12)),"Não executado")</f>
        <v>Não executado</v>
      </c>
      <c r="L67" s="112" t="str">
        <f>IFERROR(IF(VLOOKUP($B67,homologador02[#Data],12)=0,"-",VLOOKUP($B67,homologador02[#Data],12)),"-")</f>
        <v>-</v>
      </c>
    </row>
    <row r="68" spans="2:12">
      <c r="B68" s="56" t="str">
        <f>IF(ISERR(casostestes[[#This Row],[ID]]),"-",casostestes[[#This Row],[ID]])</f>
        <v>-</v>
      </c>
      <c r="C68" s="49" t="str">
        <f>IFERROR(IF(VLOOKUP($B68,casostestes[#Data],10)=0,"Não",VLOOKUP($B68,casostestes[#Data],10)), "-")</f>
        <v>-</v>
      </c>
      <c r="D68" s="50" t="str">
        <f>IFERROR(IF(VLOOKUP($B68,casostestes[#Data],2)=0,"-",VLOOKUP($B68,casostestes[#Data],2)), "-")</f>
        <v>-</v>
      </c>
      <c r="E68" s="50" t="str">
        <f>IFERROR(IF(VLOOKUP($B68,casostestes[#Data],3)=0,"-",VLOOKUP($B68,casostestes[#Data],3)), "-")</f>
        <v>-</v>
      </c>
      <c r="F68" s="50" t="str">
        <f>IFERROR(IF(VLOOKUP($B68,casostestes[#Data],4)=0,"-",VLOOKUP($B68,casostestes[#Data],4)),"-")</f>
        <v>-</v>
      </c>
      <c r="G68" s="50" t="str">
        <f>IFERROR(IF(VLOOKUP($B68,casostestes[#Data],5)=0,"-",VLOOKUP($B68,casostestes[#Data],5)),"-")</f>
        <v>-</v>
      </c>
      <c r="H68" s="50" t="str">
        <f>IFERROR(IF(VLOOKUP($B68,casostestes[#Data],6)=0,"-",VLOOKUP($B68,casostestes[#Data],6)),"-")</f>
        <v>-</v>
      </c>
      <c r="I68" s="50" t="str">
        <f>IFERROR(IF(VLOOKUP($B68,casostestes[#Data],8)=0,"-",VLOOKUP($B68,casostestes[#Data],8)),"-")</f>
        <v>-</v>
      </c>
      <c r="J68" s="50" t="str">
        <f>IFERROR(IF(VLOOKUP($B68,casostestes[#Data],9)=0,"-",VLOOKUP($B68,casostestes[#Data],9)),"-")</f>
        <v>-</v>
      </c>
      <c r="K68" s="112" t="str">
        <f>IFERROR(IF(VLOOKUP($B68,homologador01[#Data],12)=0,"Não executado",VLOOKUP($B68,homologador01[#Data],12)),"Não executado")</f>
        <v>Não executado</v>
      </c>
      <c r="L68" s="112" t="str">
        <f>IFERROR(IF(VLOOKUP($B68,homologador02[#Data],12)=0,"-",VLOOKUP($B68,homologador02[#Data],12)),"-")</f>
        <v>-</v>
      </c>
    </row>
    <row r="69" spans="2:12">
      <c r="B69" s="56" t="str">
        <f>IF(ISERR(casostestes[[#This Row],[ID]]),"-",casostestes[[#This Row],[ID]])</f>
        <v>-</v>
      </c>
      <c r="C69" s="49" t="str">
        <f>IFERROR(IF(VLOOKUP($B69,casostestes[#Data],10)=0,"Não",VLOOKUP($B69,casostestes[#Data],10)), "-")</f>
        <v>-</v>
      </c>
      <c r="D69" s="50" t="str">
        <f>IFERROR(IF(VLOOKUP($B69,casostestes[#Data],2)=0,"-",VLOOKUP($B69,casostestes[#Data],2)), "-")</f>
        <v>-</v>
      </c>
      <c r="E69" s="50" t="str">
        <f>IFERROR(IF(VLOOKUP($B69,casostestes[#Data],3)=0,"-",VLOOKUP($B69,casostestes[#Data],3)), "-")</f>
        <v>-</v>
      </c>
      <c r="F69" s="50" t="str">
        <f>IFERROR(IF(VLOOKUP($B69,casostestes[#Data],4)=0,"-",VLOOKUP($B69,casostestes[#Data],4)),"-")</f>
        <v>-</v>
      </c>
      <c r="G69" s="50" t="str">
        <f>IFERROR(IF(VLOOKUP($B69,casostestes[#Data],5)=0,"-",VLOOKUP($B69,casostestes[#Data],5)),"-")</f>
        <v>-</v>
      </c>
      <c r="H69" s="50" t="str">
        <f>IFERROR(IF(VLOOKUP($B69,casostestes[#Data],6)=0,"-",VLOOKUP($B69,casostestes[#Data],6)),"-")</f>
        <v>-</v>
      </c>
      <c r="I69" s="50" t="str">
        <f>IFERROR(IF(VLOOKUP($B69,casostestes[#Data],8)=0,"-",VLOOKUP($B69,casostestes[#Data],8)),"-")</f>
        <v>-</v>
      </c>
      <c r="J69" s="50" t="str">
        <f>IFERROR(IF(VLOOKUP($B69,casostestes[#Data],9)=0,"-",VLOOKUP($B69,casostestes[#Data],9)),"-")</f>
        <v>-</v>
      </c>
      <c r="K69" s="112" t="str">
        <f>IFERROR(IF(VLOOKUP($B69,homologador01[#Data],12)=0,"Não executado",VLOOKUP($B69,homologador01[#Data],12)),"Não executado")</f>
        <v>Não executado</v>
      </c>
      <c r="L69" s="112" t="str">
        <f>IFERROR(IF(VLOOKUP($B69,homologador02[#Data],12)=0,"-",VLOOKUP($B69,homologador02[#Data],12)),"-")</f>
        <v>-</v>
      </c>
    </row>
    <row r="70" spans="2:12">
      <c r="B70" s="56" t="str">
        <f>IF(ISERR(casostestes[[#This Row],[ID]]),"-",casostestes[[#This Row],[ID]])</f>
        <v>-</v>
      </c>
      <c r="C70" s="49" t="str">
        <f>IFERROR(IF(VLOOKUP($B70,casostestes[#Data],10)=0,"Não",VLOOKUP($B70,casostestes[#Data],10)), "-")</f>
        <v>-</v>
      </c>
      <c r="D70" s="50" t="str">
        <f>IFERROR(IF(VLOOKUP($B70,casostestes[#Data],2)=0,"-",VLOOKUP($B70,casostestes[#Data],2)), "-")</f>
        <v>-</v>
      </c>
      <c r="E70" s="50" t="str">
        <f>IFERROR(IF(VLOOKUP($B70,casostestes[#Data],3)=0,"-",VLOOKUP($B70,casostestes[#Data],3)), "-")</f>
        <v>-</v>
      </c>
      <c r="F70" s="50" t="str">
        <f>IFERROR(IF(VLOOKUP($B70,casostestes[#Data],4)=0,"-",VLOOKUP($B70,casostestes[#Data],4)),"-")</f>
        <v>-</v>
      </c>
      <c r="G70" s="50" t="str">
        <f>IFERROR(IF(VLOOKUP($B70,casostestes[#Data],5)=0,"-",VLOOKUP($B70,casostestes[#Data],5)),"-")</f>
        <v>-</v>
      </c>
      <c r="H70" s="50" t="str">
        <f>IFERROR(IF(VLOOKUP($B70,casostestes[#Data],6)=0,"-",VLOOKUP($B70,casostestes[#Data],6)),"-")</f>
        <v>-</v>
      </c>
      <c r="I70" s="50" t="str">
        <f>IFERROR(IF(VLOOKUP($B70,casostestes[#Data],8)=0,"-",VLOOKUP($B70,casostestes[#Data],8)),"-")</f>
        <v>-</v>
      </c>
      <c r="J70" s="50" t="str">
        <f>IFERROR(IF(VLOOKUP($B70,casostestes[#Data],9)=0,"-",VLOOKUP($B70,casostestes[#Data],9)),"-")</f>
        <v>-</v>
      </c>
      <c r="K70" s="112" t="str">
        <f>IFERROR(IF(VLOOKUP($B70,homologador01[#Data],12)=0,"Não executado",VLOOKUP($B70,homologador01[#Data],12)),"Não executado")</f>
        <v>Não executado</v>
      </c>
      <c r="L70" s="112" t="str">
        <f>IFERROR(IF(VLOOKUP($B70,homologador02[#Data],12)=0,"-",VLOOKUP($B70,homologador02[#Data],12)),"-")</f>
        <v>-</v>
      </c>
    </row>
    <row r="71" spans="2:12">
      <c r="B71" s="56" t="str">
        <f>IF(ISERR(casostestes[[#This Row],[ID]]),"-",casostestes[[#This Row],[ID]])</f>
        <v>-</v>
      </c>
      <c r="C71" s="49" t="str">
        <f>IFERROR(IF(VLOOKUP($B71,casostestes[#Data],10)=0,"Não",VLOOKUP($B71,casostestes[#Data],10)), "-")</f>
        <v>-</v>
      </c>
      <c r="D71" s="50" t="str">
        <f>IFERROR(IF(VLOOKUP($B71,casostestes[#Data],2)=0,"-",VLOOKUP($B71,casostestes[#Data],2)), "-")</f>
        <v>-</v>
      </c>
      <c r="E71" s="50" t="str">
        <f>IFERROR(IF(VLOOKUP($B71,casostestes[#Data],3)=0,"-",VLOOKUP($B71,casostestes[#Data],3)), "-")</f>
        <v>-</v>
      </c>
      <c r="F71" s="50" t="str">
        <f>IFERROR(IF(VLOOKUP($B71,casostestes[#Data],4)=0,"-",VLOOKUP($B71,casostestes[#Data],4)),"-")</f>
        <v>-</v>
      </c>
      <c r="G71" s="50" t="str">
        <f>IFERROR(IF(VLOOKUP($B71,casostestes[#Data],5)=0,"-",VLOOKUP($B71,casostestes[#Data],5)),"-")</f>
        <v>-</v>
      </c>
      <c r="H71" s="50" t="str">
        <f>IFERROR(IF(VLOOKUP($B71,casostestes[#Data],6)=0,"-",VLOOKUP($B71,casostestes[#Data],6)),"-")</f>
        <v>-</v>
      </c>
      <c r="I71" s="50" t="str">
        <f>IFERROR(IF(VLOOKUP($B71,casostestes[#Data],8)=0,"-",VLOOKUP($B71,casostestes[#Data],8)),"-")</f>
        <v>-</v>
      </c>
      <c r="J71" s="50" t="str">
        <f>IFERROR(IF(VLOOKUP($B71,casostestes[#Data],9)=0,"-",VLOOKUP($B71,casostestes[#Data],9)),"-")</f>
        <v>-</v>
      </c>
      <c r="K71" s="112" t="str">
        <f>IFERROR(IF(VLOOKUP($B71,homologador01[#Data],12)=0,"Não executado",VLOOKUP($B71,homologador01[#Data],12)),"Não executado")</f>
        <v>Não executado</v>
      </c>
      <c r="L71" s="112" t="str">
        <f>IFERROR(IF(VLOOKUP($B71,homologador02[#Data],12)=0,"-",VLOOKUP($B71,homologador02[#Data],12)),"-")</f>
        <v>-</v>
      </c>
    </row>
    <row r="72" spans="2:12">
      <c r="B72" s="56" t="str">
        <f>IF(ISERR(casostestes[[#This Row],[ID]]),"-",casostestes[[#This Row],[ID]])</f>
        <v>-</v>
      </c>
      <c r="C72" s="49" t="str">
        <f>IFERROR(IF(VLOOKUP($B72,casostestes[#Data],10)=0,"Não",VLOOKUP($B72,casostestes[#Data],10)), "-")</f>
        <v>-</v>
      </c>
      <c r="D72" s="50" t="str">
        <f>IFERROR(IF(VLOOKUP($B72,casostestes[#Data],2)=0,"-",VLOOKUP($B72,casostestes[#Data],2)), "-")</f>
        <v>-</v>
      </c>
      <c r="E72" s="50" t="str">
        <f>IFERROR(IF(VLOOKUP($B72,casostestes[#Data],3)=0,"-",VLOOKUP($B72,casostestes[#Data],3)), "-")</f>
        <v>-</v>
      </c>
      <c r="F72" s="50" t="str">
        <f>IFERROR(IF(VLOOKUP($B72,casostestes[#Data],4)=0,"-",VLOOKUP($B72,casostestes[#Data],4)),"-")</f>
        <v>-</v>
      </c>
      <c r="G72" s="50" t="str">
        <f>IFERROR(IF(VLOOKUP($B72,casostestes[#Data],5)=0,"-",VLOOKUP($B72,casostestes[#Data],5)),"-")</f>
        <v>-</v>
      </c>
      <c r="H72" s="50" t="str">
        <f>IFERROR(IF(VLOOKUP($B72,casostestes[#Data],6)=0,"-",VLOOKUP($B72,casostestes[#Data],6)),"-")</f>
        <v>-</v>
      </c>
      <c r="I72" s="50" t="str">
        <f>IFERROR(IF(VLOOKUP($B72,casostestes[#Data],8)=0,"-",VLOOKUP($B72,casostestes[#Data],8)),"-")</f>
        <v>-</v>
      </c>
      <c r="J72" s="50" t="str">
        <f>IFERROR(IF(VLOOKUP($B72,casostestes[#Data],9)=0,"-",VLOOKUP($B72,casostestes[#Data],9)),"-")</f>
        <v>-</v>
      </c>
      <c r="K72" s="112" t="str">
        <f>IFERROR(IF(VLOOKUP($B72,homologador01[#Data],12)=0,"Não executado",VLOOKUP($B72,homologador01[#Data],12)),"Não executado")</f>
        <v>Não executado</v>
      </c>
      <c r="L72" s="112" t="str">
        <f>IFERROR(IF(VLOOKUP($B72,homologador02[#Data],12)=0,"-",VLOOKUP($B72,homologador02[#Data],12)),"-")</f>
        <v>-</v>
      </c>
    </row>
    <row r="73" spans="2:12">
      <c r="B73" s="56" t="str">
        <f>IF(ISERR(casostestes[[#This Row],[ID]]),"-",casostestes[[#This Row],[ID]])</f>
        <v>-</v>
      </c>
      <c r="C73" s="49" t="str">
        <f>IFERROR(IF(VLOOKUP($B73,casostestes[#Data],10)=0,"Não",VLOOKUP($B73,casostestes[#Data],10)), "-")</f>
        <v>-</v>
      </c>
      <c r="D73" s="50" t="str">
        <f>IFERROR(IF(VLOOKUP($B73,casostestes[#Data],2)=0,"-",VLOOKUP($B73,casostestes[#Data],2)), "-")</f>
        <v>-</v>
      </c>
      <c r="E73" s="50" t="str">
        <f>IFERROR(IF(VLOOKUP($B73,casostestes[#Data],3)=0,"-",VLOOKUP($B73,casostestes[#Data],3)), "-")</f>
        <v>-</v>
      </c>
      <c r="F73" s="50" t="str">
        <f>IFERROR(IF(VLOOKUP($B73,casostestes[#Data],4)=0,"-",VLOOKUP($B73,casostestes[#Data],4)),"-")</f>
        <v>-</v>
      </c>
      <c r="G73" s="50" t="str">
        <f>IFERROR(IF(VLOOKUP($B73,casostestes[#Data],5)=0,"-",VLOOKUP($B73,casostestes[#Data],5)),"-")</f>
        <v>-</v>
      </c>
      <c r="H73" s="50" t="str">
        <f>IFERROR(IF(VLOOKUP($B73,casostestes[#Data],6)=0,"-",VLOOKUP($B73,casostestes[#Data],6)),"-")</f>
        <v>-</v>
      </c>
      <c r="I73" s="50" t="str">
        <f>IFERROR(IF(VLOOKUP($B73,casostestes[#Data],8)=0,"-",VLOOKUP($B73,casostestes[#Data],8)),"-")</f>
        <v>-</v>
      </c>
      <c r="J73" s="50" t="str">
        <f>IFERROR(IF(VLOOKUP($B73,casostestes[#Data],9)=0,"-",VLOOKUP($B73,casostestes[#Data],9)),"-")</f>
        <v>-</v>
      </c>
      <c r="K73" s="112" t="str">
        <f>IFERROR(IF(VLOOKUP($B73,homologador01[#Data],12)=0,"Não executado",VLOOKUP($B73,homologador01[#Data],12)),"Não executado")</f>
        <v>Não executado</v>
      </c>
      <c r="L73" s="112" t="str">
        <f>IFERROR(IF(VLOOKUP($B73,homologador02[#Data],12)=0,"-",VLOOKUP($B73,homologador02[#Data],12)),"-")</f>
        <v>-</v>
      </c>
    </row>
    <row r="74" spans="2:12">
      <c r="B74" s="56" t="str">
        <f>IF(ISERR(casostestes[[#This Row],[ID]]),"-",casostestes[[#This Row],[ID]])</f>
        <v>-</v>
      </c>
      <c r="C74" s="49" t="str">
        <f>IFERROR(IF(VLOOKUP($B74,casostestes[#Data],10)=0,"Não",VLOOKUP($B74,casostestes[#Data],10)), "-")</f>
        <v>-</v>
      </c>
      <c r="D74" s="50" t="str">
        <f>IFERROR(IF(VLOOKUP($B74,casostestes[#Data],2)=0,"-",VLOOKUP($B74,casostestes[#Data],2)), "-")</f>
        <v>-</v>
      </c>
      <c r="E74" s="50" t="str">
        <f>IFERROR(IF(VLOOKUP($B74,casostestes[#Data],3)=0,"-",VLOOKUP($B74,casostestes[#Data],3)), "-")</f>
        <v>-</v>
      </c>
      <c r="F74" s="50" t="str">
        <f>IFERROR(IF(VLOOKUP($B74,casostestes[#Data],4)=0,"-",VLOOKUP($B74,casostestes[#Data],4)),"-")</f>
        <v>-</v>
      </c>
      <c r="G74" s="50" t="str">
        <f>IFERROR(IF(VLOOKUP($B74,casostestes[#Data],5)=0,"-",VLOOKUP($B74,casostestes[#Data],5)),"-")</f>
        <v>-</v>
      </c>
      <c r="H74" s="50" t="str">
        <f>IFERROR(IF(VLOOKUP($B74,casostestes[#Data],6)=0,"-",VLOOKUP($B74,casostestes[#Data],6)),"-")</f>
        <v>-</v>
      </c>
      <c r="I74" s="50" t="str">
        <f>IFERROR(IF(VLOOKUP($B74,casostestes[#Data],8)=0,"-",VLOOKUP($B74,casostestes[#Data],8)),"-")</f>
        <v>-</v>
      </c>
      <c r="J74" s="50" t="str">
        <f>IFERROR(IF(VLOOKUP($B74,casostestes[#Data],9)=0,"-",VLOOKUP($B74,casostestes[#Data],9)),"-")</f>
        <v>-</v>
      </c>
      <c r="K74" s="112" t="str">
        <f>IFERROR(IF(VLOOKUP($B74,homologador01[#Data],12)=0,"Não executado",VLOOKUP($B74,homologador01[#Data],12)),"Não executado")</f>
        <v>Não executado</v>
      </c>
      <c r="L74" s="112" t="str">
        <f>IFERROR(IF(VLOOKUP($B74,homologador02[#Data],12)=0,"-",VLOOKUP($B74,homologador02[#Data],12)),"-")</f>
        <v>-</v>
      </c>
    </row>
    <row r="75" spans="2:12">
      <c r="B75" s="56" t="str">
        <f>IF(ISERR(casostestes[[#This Row],[ID]]),"-",casostestes[[#This Row],[ID]])</f>
        <v>-</v>
      </c>
      <c r="C75" s="49" t="str">
        <f>IFERROR(IF(VLOOKUP($B75,casostestes[#Data],10)=0,"Não",VLOOKUP($B75,casostestes[#Data],10)), "-")</f>
        <v>-</v>
      </c>
      <c r="D75" s="50" t="str">
        <f>IFERROR(IF(VLOOKUP($B75,casostestes[#Data],2)=0,"-",VLOOKUP($B75,casostestes[#Data],2)), "-")</f>
        <v>-</v>
      </c>
      <c r="E75" s="50" t="str">
        <f>IFERROR(IF(VLOOKUP($B75,casostestes[#Data],3)=0,"-",VLOOKUP($B75,casostestes[#Data],3)), "-")</f>
        <v>-</v>
      </c>
      <c r="F75" s="50" t="str">
        <f>IFERROR(IF(VLOOKUP($B75,casostestes[#Data],4)=0,"-",VLOOKUP($B75,casostestes[#Data],4)),"-")</f>
        <v>-</v>
      </c>
      <c r="G75" s="50" t="str">
        <f>IFERROR(IF(VLOOKUP($B75,casostestes[#Data],5)=0,"-",VLOOKUP($B75,casostestes[#Data],5)),"-")</f>
        <v>-</v>
      </c>
      <c r="H75" s="50" t="str">
        <f>IFERROR(IF(VLOOKUP($B75,casostestes[#Data],6)=0,"-",VLOOKUP($B75,casostestes[#Data],6)),"-")</f>
        <v>-</v>
      </c>
      <c r="I75" s="50" t="str">
        <f>IFERROR(IF(VLOOKUP($B75,casostestes[#Data],8)=0,"-",VLOOKUP($B75,casostestes[#Data],8)),"-")</f>
        <v>-</v>
      </c>
      <c r="J75" s="50" t="str">
        <f>IFERROR(IF(VLOOKUP($B75,casostestes[#Data],9)=0,"-",VLOOKUP($B75,casostestes[#Data],9)),"-")</f>
        <v>-</v>
      </c>
      <c r="K75" s="112" t="str">
        <f>IFERROR(IF(VLOOKUP($B75,homologador01[#Data],12)=0,"Não executado",VLOOKUP($B75,homologador01[#Data],12)),"Não executado")</f>
        <v>Não executado</v>
      </c>
      <c r="L75" s="112" t="str">
        <f>IFERROR(IF(VLOOKUP($B75,homologador02[#Data],12)=0,"-",VLOOKUP($B75,homologador02[#Data],12)),"-")</f>
        <v>-</v>
      </c>
    </row>
    <row r="76" spans="2:12">
      <c r="B76" s="56" t="str">
        <f>IF(ISERR(casostestes[[#This Row],[ID]]),"-",casostestes[[#This Row],[ID]])</f>
        <v>-</v>
      </c>
      <c r="C76" s="49" t="str">
        <f>IFERROR(IF(VLOOKUP($B76,casostestes[#Data],10)=0,"Não",VLOOKUP($B76,casostestes[#Data],10)), "-")</f>
        <v>-</v>
      </c>
      <c r="D76" s="50" t="str">
        <f>IFERROR(IF(VLOOKUP($B76,casostestes[#Data],2)=0,"-",VLOOKUP($B76,casostestes[#Data],2)), "-")</f>
        <v>-</v>
      </c>
      <c r="E76" s="50" t="str">
        <f>IFERROR(IF(VLOOKUP($B76,casostestes[#Data],3)=0,"-",VLOOKUP($B76,casostestes[#Data],3)), "-")</f>
        <v>-</v>
      </c>
      <c r="F76" s="50" t="str">
        <f>IFERROR(IF(VLOOKUP($B76,casostestes[#Data],4)=0,"-",VLOOKUP($B76,casostestes[#Data],4)),"-")</f>
        <v>-</v>
      </c>
      <c r="G76" s="50" t="str">
        <f>IFERROR(IF(VLOOKUP($B76,casostestes[#Data],5)=0,"-",VLOOKUP($B76,casostestes[#Data],5)),"-")</f>
        <v>-</v>
      </c>
      <c r="H76" s="50" t="str">
        <f>IFERROR(IF(VLOOKUP($B76,casostestes[#Data],6)=0,"-",VLOOKUP($B76,casostestes[#Data],6)),"-")</f>
        <v>-</v>
      </c>
      <c r="I76" s="50" t="str">
        <f>IFERROR(IF(VLOOKUP($B76,casostestes[#Data],8)=0,"-",VLOOKUP($B76,casostestes[#Data],8)),"-")</f>
        <v>-</v>
      </c>
      <c r="J76" s="50" t="str">
        <f>IFERROR(IF(VLOOKUP($B76,casostestes[#Data],9)=0,"-",VLOOKUP($B76,casostestes[#Data],9)),"-")</f>
        <v>-</v>
      </c>
      <c r="K76" s="112" t="str">
        <f>IFERROR(IF(VLOOKUP($B76,homologador01[#Data],12)=0,"Não executado",VLOOKUP($B76,homologador01[#Data],12)),"Não executado")</f>
        <v>Não executado</v>
      </c>
      <c r="L76" s="112" t="str">
        <f>IFERROR(IF(VLOOKUP($B76,homologador02[#Data],12)=0,"-",VLOOKUP($B76,homologador02[#Data],12)),"-")</f>
        <v>-</v>
      </c>
    </row>
    <row r="77" spans="2:12">
      <c r="B77" s="56" t="str">
        <f>IF(ISERR(casostestes[[#This Row],[ID]]),"-",casostestes[[#This Row],[ID]])</f>
        <v>-</v>
      </c>
      <c r="C77" s="49" t="str">
        <f>IFERROR(IF(VLOOKUP($B77,casostestes[#Data],10)=0,"Não",VLOOKUP($B77,casostestes[#Data],10)), "-")</f>
        <v>-</v>
      </c>
      <c r="D77" s="50" t="str">
        <f>IFERROR(IF(VLOOKUP($B77,casostestes[#Data],2)=0,"-",VLOOKUP($B77,casostestes[#Data],2)), "-")</f>
        <v>-</v>
      </c>
      <c r="E77" s="50" t="str">
        <f>IFERROR(IF(VLOOKUP($B77,casostestes[#Data],3)=0,"-",VLOOKUP($B77,casostestes[#Data],3)), "-")</f>
        <v>-</v>
      </c>
      <c r="F77" s="50" t="str">
        <f>IFERROR(IF(VLOOKUP($B77,casostestes[#Data],4)=0,"-",VLOOKUP($B77,casostestes[#Data],4)),"-")</f>
        <v>-</v>
      </c>
      <c r="G77" s="50" t="str">
        <f>IFERROR(IF(VLOOKUP($B77,casostestes[#Data],5)=0,"-",VLOOKUP($B77,casostestes[#Data],5)),"-")</f>
        <v>-</v>
      </c>
      <c r="H77" s="50" t="str">
        <f>IFERROR(IF(VLOOKUP($B77,casostestes[#Data],6)=0,"-",VLOOKUP($B77,casostestes[#Data],6)),"-")</f>
        <v>-</v>
      </c>
      <c r="I77" s="50" t="str">
        <f>IFERROR(IF(VLOOKUP($B77,casostestes[#Data],8)=0,"-",VLOOKUP($B77,casostestes[#Data],8)),"-")</f>
        <v>-</v>
      </c>
      <c r="J77" s="50" t="str">
        <f>IFERROR(IF(VLOOKUP($B77,casostestes[#Data],9)=0,"-",VLOOKUP($B77,casostestes[#Data],9)),"-")</f>
        <v>-</v>
      </c>
      <c r="K77" s="112" t="str">
        <f>IFERROR(IF(VLOOKUP($B77,homologador01[#Data],12)=0,"Não executado",VLOOKUP($B77,homologador01[#Data],12)),"Não executado")</f>
        <v>Não executado</v>
      </c>
      <c r="L77" s="112" t="str">
        <f>IFERROR(IF(VLOOKUP($B77,homologador02[#Data],12)=0,"-",VLOOKUP($B77,homologador02[#Data],12)),"-")</f>
        <v>-</v>
      </c>
    </row>
    <row r="78" spans="2:12">
      <c r="B78" s="56" t="str">
        <f>IF(ISERR(casostestes[[#This Row],[ID]]),"-",casostestes[[#This Row],[ID]])</f>
        <v>-</v>
      </c>
      <c r="C78" s="49" t="str">
        <f>IFERROR(IF(VLOOKUP($B78,casostestes[#Data],10)=0,"Não",VLOOKUP($B78,casostestes[#Data],10)), "-")</f>
        <v>-</v>
      </c>
      <c r="D78" s="50" t="str">
        <f>IFERROR(IF(VLOOKUP($B78,casostestes[#Data],2)=0,"-",VLOOKUP($B78,casostestes[#Data],2)), "-")</f>
        <v>-</v>
      </c>
      <c r="E78" s="50" t="str">
        <f>IFERROR(IF(VLOOKUP($B78,casostestes[#Data],3)=0,"-",VLOOKUP($B78,casostestes[#Data],3)), "-")</f>
        <v>-</v>
      </c>
      <c r="F78" s="50" t="str">
        <f>IFERROR(IF(VLOOKUP($B78,casostestes[#Data],4)=0,"-",VLOOKUP($B78,casostestes[#Data],4)),"-")</f>
        <v>-</v>
      </c>
      <c r="G78" s="50" t="str">
        <f>IFERROR(IF(VLOOKUP($B78,casostestes[#Data],5)=0,"-",VLOOKUP($B78,casostestes[#Data],5)),"-")</f>
        <v>-</v>
      </c>
      <c r="H78" s="50" t="str">
        <f>IFERROR(IF(VLOOKUP($B78,casostestes[#Data],6)=0,"-",VLOOKUP($B78,casostestes[#Data],6)),"-")</f>
        <v>-</v>
      </c>
      <c r="I78" s="50" t="str">
        <f>IFERROR(IF(VLOOKUP($B78,casostestes[#Data],8)=0,"-",VLOOKUP($B78,casostestes[#Data],8)),"-")</f>
        <v>-</v>
      </c>
      <c r="J78" s="50" t="str">
        <f>IFERROR(IF(VLOOKUP($B78,casostestes[#Data],9)=0,"-",VLOOKUP($B78,casostestes[#Data],9)),"-")</f>
        <v>-</v>
      </c>
      <c r="K78" s="112" t="str">
        <f>IFERROR(IF(VLOOKUP($B78,homologador01[#Data],12)=0,"Não executado",VLOOKUP($B78,homologador01[#Data],12)),"Não executado")</f>
        <v>Não executado</v>
      </c>
      <c r="L78" s="112" t="str">
        <f>IFERROR(IF(VLOOKUP($B78,homologador02[#Data],12)=0,"-",VLOOKUP($B78,homologador02[#Data],12)),"-")</f>
        <v>-</v>
      </c>
    </row>
    <row r="79" spans="2:12">
      <c r="B79" s="56" t="str">
        <f>IF(ISERR(casostestes[[#This Row],[ID]]),"-",casostestes[[#This Row],[ID]])</f>
        <v>-</v>
      </c>
      <c r="C79" s="49" t="str">
        <f>IFERROR(IF(VLOOKUP($B79,casostestes[#Data],10)=0,"Não",VLOOKUP($B79,casostestes[#Data],10)), "-")</f>
        <v>-</v>
      </c>
      <c r="D79" s="50" t="str">
        <f>IFERROR(IF(VLOOKUP($B79,casostestes[#Data],2)=0,"-",VLOOKUP($B79,casostestes[#Data],2)), "-")</f>
        <v>-</v>
      </c>
      <c r="E79" s="50" t="str">
        <f>IFERROR(IF(VLOOKUP($B79,casostestes[#Data],3)=0,"-",VLOOKUP($B79,casostestes[#Data],3)), "-")</f>
        <v>-</v>
      </c>
      <c r="F79" s="50" t="str">
        <f>IFERROR(IF(VLOOKUP($B79,casostestes[#Data],4)=0,"-",VLOOKUP($B79,casostestes[#Data],4)),"-")</f>
        <v>-</v>
      </c>
      <c r="G79" s="50" t="str">
        <f>IFERROR(IF(VLOOKUP($B79,casostestes[#Data],5)=0,"-",VLOOKUP($B79,casostestes[#Data],5)),"-")</f>
        <v>-</v>
      </c>
      <c r="H79" s="50" t="str">
        <f>IFERROR(IF(VLOOKUP($B79,casostestes[#Data],6)=0,"-",VLOOKUP($B79,casostestes[#Data],6)),"-")</f>
        <v>-</v>
      </c>
      <c r="I79" s="50" t="str">
        <f>IFERROR(IF(VLOOKUP($B79,casostestes[#Data],8)=0,"-",VLOOKUP($B79,casostestes[#Data],8)),"-")</f>
        <v>-</v>
      </c>
      <c r="J79" s="50" t="str">
        <f>IFERROR(IF(VLOOKUP($B79,casostestes[#Data],9)=0,"-",VLOOKUP($B79,casostestes[#Data],9)),"-")</f>
        <v>-</v>
      </c>
      <c r="K79" s="112" t="str">
        <f>IFERROR(IF(VLOOKUP($B79,homologador01[#Data],12)=0,"Não executado",VLOOKUP($B79,homologador01[#Data],12)),"Não executado")</f>
        <v>Não executado</v>
      </c>
      <c r="L79" s="112" t="str">
        <f>IFERROR(IF(VLOOKUP($B79,homologador02[#Data],12)=0,"-",VLOOKUP($B79,homologador02[#Data],12)),"-")</f>
        <v>-</v>
      </c>
    </row>
    <row r="80" spans="2:12">
      <c r="B80" s="56" t="str">
        <f>IF(ISERR(casostestes[[#This Row],[ID]]),"-",casostestes[[#This Row],[ID]])</f>
        <v>-</v>
      </c>
      <c r="C80" s="49" t="str">
        <f>IFERROR(IF(VLOOKUP($B80,casostestes[#Data],10)=0,"Não",VLOOKUP($B80,casostestes[#Data],10)), "-")</f>
        <v>-</v>
      </c>
      <c r="D80" s="50" t="str">
        <f>IFERROR(IF(VLOOKUP($B80,casostestes[#Data],2)=0,"-",VLOOKUP($B80,casostestes[#Data],2)), "-")</f>
        <v>-</v>
      </c>
      <c r="E80" s="50" t="str">
        <f>IFERROR(IF(VLOOKUP($B80,casostestes[#Data],3)=0,"-",VLOOKUP($B80,casostestes[#Data],3)), "-")</f>
        <v>-</v>
      </c>
      <c r="F80" s="50" t="str">
        <f>IFERROR(IF(VLOOKUP($B80,casostestes[#Data],4)=0,"-",VLOOKUP($B80,casostestes[#Data],4)),"-")</f>
        <v>-</v>
      </c>
      <c r="G80" s="50" t="str">
        <f>IFERROR(IF(VLOOKUP($B80,casostestes[#Data],5)=0,"-",VLOOKUP($B80,casostestes[#Data],5)),"-")</f>
        <v>-</v>
      </c>
      <c r="H80" s="50" t="str">
        <f>IFERROR(IF(VLOOKUP($B80,casostestes[#Data],6)=0,"-",VLOOKUP($B80,casostestes[#Data],6)),"-")</f>
        <v>-</v>
      </c>
      <c r="I80" s="50" t="str">
        <f>IFERROR(IF(VLOOKUP($B80,casostestes[#Data],8)=0,"-",VLOOKUP($B80,casostestes[#Data],8)),"-")</f>
        <v>-</v>
      </c>
      <c r="J80" s="50" t="str">
        <f>IFERROR(IF(VLOOKUP($B80,casostestes[#Data],9)=0,"-",VLOOKUP($B80,casostestes[#Data],9)),"-")</f>
        <v>-</v>
      </c>
      <c r="K80" s="112" t="str">
        <f>IFERROR(IF(VLOOKUP($B80,homologador01[#Data],12)=0,"Não executado",VLOOKUP($B80,homologador01[#Data],12)),"Não executado")</f>
        <v>Não executado</v>
      </c>
      <c r="L80" s="112" t="str">
        <f>IFERROR(IF(VLOOKUP($B80,homologador02[#Data],12)=0,"-",VLOOKUP($B80,homologador02[#Data],12)),"-")</f>
        <v>-</v>
      </c>
    </row>
    <row r="81" spans="2:12">
      <c r="B81" s="56" t="str">
        <f>IF(ISERR(casostestes[[#This Row],[ID]]),"-",casostestes[[#This Row],[ID]])</f>
        <v>-</v>
      </c>
      <c r="C81" s="49" t="str">
        <f>IFERROR(IF(VLOOKUP($B81,casostestes[#Data],10)=0,"Não",VLOOKUP($B81,casostestes[#Data],10)), "-")</f>
        <v>-</v>
      </c>
      <c r="D81" s="50" t="str">
        <f>IFERROR(IF(VLOOKUP($B81,casostestes[#Data],2)=0,"-",VLOOKUP($B81,casostestes[#Data],2)), "-")</f>
        <v>-</v>
      </c>
      <c r="E81" s="50" t="str">
        <f>IFERROR(IF(VLOOKUP($B81,casostestes[#Data],3)=0,"-",VLOOKUP($B81,casostestes[#Data],3)), "-")</f>
        <v>-</v>
      </c>
      <c r="F81" s="50" t="str">
        <f>IFERROR(IF(VLOOKUP($B81,casostestes[#Data],4)=0,"-",VLOOKUP($B81,casostestes[#Data],4)),"-")</f>
        <v>-</v>
      </c>
      <c r="G81" s="50" t="str">
        <f>IFERROR(IF(VLOOKUP($B81,casostestes[#Data],5)=0,"-",VLOOKUP($B81,casostestes[#Data],5)),"-")</f>
        <v>-</v>
      </c>
      <c r="H81" s="50" t="str">
        <f>IFERROR(IF(VLOOKUP($B81,casostestes[#Data],6)=0,"-",VLOOKUP($B81,casostestes[#Data],6)),"-")</f>
        <v>-</v>
      </c>
      <c r="I81" s="50" t="str">
        <f>IFERROR(IF(VLOOKUP($B81,casostestes[#Data],8)=0,"-",VLOOKUP($B81,casostestes[#Data],8)),"-")</f>
        <v>-</v>
      </c>
      <c r="J81" s="50" t="str">
        <f>IFERROR(IF(VLOOKUP($B81,casostestes[#Data],9)=0,"-",VLOOKUP($B81,casostestes[#Data],9)),"-")</f>
        <v>-</v>
      </c>
      <c r="K81" s="112" t="str">
        <f>IFERROR(IF(VLOOKUP($B81,homologador01[#Data],12)=0,"Não executado",VLOOKUP($B81,homologador01[#Data],12)),"Não executado")</f>
        <v>Não executado</v>
      </c>
      <c r="L81" s="112" t="str">
        <f>IFERROR(IF(VLOOKUP($B81,homologador02[#Data],12)=0,"-",VLOOKUP($B81,homologador02[#Data],12)),"-")</f>
        <v>-</v>
      </c>
    </row>
    <row r="82" spans="2:12">
      <c r="B82" s="56" t="str">
        <f>IF(ISERR(casostestes[[#This Row],[ID]]),"-",casostestes[[#This Row],[ID]])</f>
        <v>-</v>
      </c>
      <c r="C82" s="49" t="str">
        <f>IFERROR(IF(VLOOKUP($B82,casostestes[#Data],10)=0,"Não",VLOOKUP($B82,casostestes[#Data],10)), "-")</f>
        <v>-</v>
      </c>
      <c r="D82" s="50" t="str">
        <f>IFERROR(IF(VLOOKUP($B82,casostestes[#Data],2)=0,"-",VLOOKUP($B82,casostestes[#Data],2)), "-")</f>
        <v>-</v>
      </c>
      <c r="E82" s="50" t="str">
        <f>IFERROR(IF(VLOOKUP($B82,casostestes[#Data],3)=0,"-",VLOOKUP($B82,casostestes[#Data],3)), "-")</f>
        <v>-</v>
      </c>
      <c r="F82" s="50" t="str">
        <f>IFERROR(IF(VLOOKUP($B82,casostestes[#Data],4)=0,"-",VLOOKUP($B82,casostestes[#Data],4)),"-")</f>
        <v>-</v>
      </c>
      <c r="G82" s="50" t="str">
        <f>IFERROR(IF(VLOOKUP($B82,casostestes[#Data],5)=0,"-",VLOOKUP($B82,casostestes[#Data],5)),"-")</f>
        <v>-</v>
      </c>
      <c r="H82" s="50" t="str">
        <f>IFERROR(IF(VLOOKUP($B82,casostestes[#Data],6)=0,"-",VLOOKUP($B82,casostestes[#Data],6)),"-")</f>
        <v>-</v>
      </c>
      <c r="I82" s="50" t="str">
        <f>IFERROR(IF(VLOOKUP($B82,casostestes[#Data],8)=0,"-",VLOOKUP($B82,casostestes[#Data],8)),"-")</f>
        <v>-</v>
      </c>
      <c r="J82" s="50" t="str">
        <f>IFERROR(IF(VLOOKUP($B82,casostestes[#Data],9)=0,"-",VLOOKUP($B82,casostestes[#Data],9)),"-")</f>
        <v>-</v>
      </c>
      <c r="K82" s="112" t="str">
        <f>IFERROR(IF(VLOOKUP($B82,homologador01[#Data],12)=0,"Não executado",VLOOKUP($B82,homologador01[#Data],12)),"Não executado")</f>
        <v>Não executado</v>
      </c>
      <c r="L82" s="112" t="str">
        <f>IFERROR(IF(VLOOKUP($B82,homologador02[#Data],12)=0,"-",VLOOKUP($B82,homologador02[#Data],12)),"-")</f>
        <v>-</v>
      </c>
    </row>
    <row r="83" spans="2:12">
      <c r="B83" s="56" t="str">
        <f>IF(ISERR(casostestes[[#This Row],[ID]]),"-",casostestes[[#This Row],[ID]])</f>
        <v>-</v>
      </c>
      <c r="C83" s="49" t="str">
        <f>IFERROR(IF(VLOOKUP($B83,casostestes[#Data],10)=0,"Não",VLOOKUP($B83,casostestes[#Data],10)), "-")</f>
        <v>-</v>
      </c>
      <c r="D83" s="50" t="str">
        <f>IFERROR(IF(VLOOKUP($B83,casostestes[#Data],2)=0,"-",VLOOKUP($B83,casostestes[#Data],2)), "-")</f>
        <v>-</v>
      </c>
      <c r="E83" s="50" t="str">
        <f>IFERROR(IF(VLOOKUP($B83,casostestes[#Data],3)=0,"-",VLOOKUP($B83,casostestes[#Data],3)), "-")</f>
        <v>-</v>
      </c>
      <c r="F83" s="50" t="str">
        <f>IFERROR(IF(VLOOKUP($B83,casostestes[#Data],4)=0,"-",VLOOKUP($B83,casostestes[#Data],4)),"-")</f>
        <v>-</v>
      </c>
      <c r="G83" s="50" t="str">
        <f>IFERROR(IF(VLOOKUP($B83,casostestes[#Data],5)=0,"-",VLOOKUP($B83,casostestes[#Data],5)),"-")</f>
        <v>-</v>
      </c>
      <c r="H83" s="50" t="str">
        <f>IFERROR(IF(VLOOKUP($B83,casostestes[#Data],6)=0,"-",VLOOKUP($B83,casostestes[#Data],6)),"-")</f>
        <v>-</v>
      </c>
      <c r="I83" s="50" t="str">
        <f>IFERROR(IF(VLOOKUP($B83,casostestes[#Data],8)=0,"-",VLOOKUP($B83,casostestes[#Data],8)),"-")</f>
        <v>-</v>
      </c>
      <c r="J83" s="50" t="str">
        <f>IFERROR(IF(VLOOKUP($B83,casostestes[#Data],9)=0,"-",VLOOKUP($B83,casostestes[#Data],9)),"-")</f>
        <v>-</v>
      </c>
      <c r="K83" s="112" t="str">
        <f>IFERROR(IF(VLOOKUP($B83,homologador01[#Data],12)=0,"Não executado",VLOOKUP($B83,homologador01[#Data],12)),"Não executado")</f>
        <v>Não executado</v>
      </c>
      <c r="L83" s="112" t="str">
        <f>IFERROR(IF(VLOOKUP($B83,homologador02[#Data],12)=0,"-",VLOOKUP($B83,homologador02[#Data],12)),"-")</f>
        <v>-</v>
      </c>
    </row>
    <row r="84" spans="2:12">
      <c r="B84" s="56" t="str">
        <f>IF(ISERR(casostestes[[#This Row],[ID]]),"-",casostestes[[#This Row],[ID]])</f>
        <v>-</v>
      </c>
      <c r="C84" s="49" t="str">
        <f>IFERROR(IF(VLOOKUP($B84,casostestes[#Data],10)=0,"Não",VLOOKUP($B84,casostestes[#Data],10)), "-")</f>
        <v>-</v>
      </c>
      <c r="D84" s="50" t="str">
        <f>IFERROR(IF(VLOOKUP($B84,casostestes[#Data],2)=0,"-",VLOOKUP($B84,casostestes[#Data],2)), "-")</f>
        <v>-</v>
      </c>
      <c r="E84" s="50" t="str">
        <f>IFERROR(IF(VLOOKUP($B84,casostestes[#Data],3)=0,"-",VLOOKUP($B84,casostestes[#Data],3)), "-")</f>
        <v>-</v>
      </c>
      <c r="F84" s="50" t="str">
        <f>IFERROR(IF(VLOOKUP($B84,casostestes[#Data],4)=0,"-",VLOOKUP($B84,casostestes[#Data],4)),"-")</f>
        <v>-</v>
      </c>
      <c r="G84" s="50" t="str">
        <f>IFERROR(IF(VLOOKUP($B84,casostestes[#Data],5)=0,"-",VLOOKUP($B84,casostestes[#Data],5)),"-")</f>
        <v>-</v>
      </c>
      <c r="H84" s="50" t="str">
        <f>IFERROR(IF(VLOOKUP($B84,casostestes[#Data],6)=0,"-",VLOOKUP($B84,casostestes[#Data],6)),"-")</f>
        <v>-</v>
      </c>
      <c r="I84" s="50" t="str">
        <f>IFERROR(IF(VLOOKUP($B84,casostestes[#Data],8)=0,"-",VLOOKUP($B84,casostestes[#Data],8)),"-")</f>
        <v>-</v>
      </c>
      <c r="J84" s="50" t="str">
        <f>IFERROR(IF(VLOOKUP($B84,casostestes[#Data],9)=0,"-",VLOOKUP($B84,casostestes[#Data],9)),"-")</f>
        <v>-</v>
      </c>
      <c r="K84" s="112" t="str">
        <f>IFERROR(IF(VLOOKUP($B84,homologador01[#Data],12)=0,"Não executado",VLOOKUP($B84,homologador01[#Data],12)),"Não executado")</f>
        <v>Não executado</v>
      </c>
      <c r="L84" s="112" t="str">
        <f>IFERROR(IF(VLOOKUP($B84,homologador02[#Data],12)=0,"-",VLOOKUP($B84,homologador02[#Data],12)),"-")</f>
        <v>-</v>
      </c>
    </row>
    <row r="85" spans="2:12">
      <c r="B85" s="56" t="str">
        <f>IF(ISERR(casostestes[[#This Row],[ID]]),"-",casostestes[[#This Row],[ID]])</f>
        <v>-</v>
      </c>
      <c r="C85" s="49" t="str">
        <f>IFERROR(IF(VLOOKUP($B85,casostestes[#Data],10)=0,"Não",VLOOKUP($B85,casostestes[#Data],10)), "-")</f>
        <v>-</v>
      </c>
      <c r="D85" s="50" t="str">
        <f>IFERROR(IF(VLOOKUP($B85,casostestes[#Data],2)=0,"-",VLOOKUP($B85,casostestes[#Data],2)), "-")</f>
        <v>-</v>
      </c>
      <c r="E85" s="50" t="str">
        <f>IFERROR(IF(VLOOKUP($B85,casostestes[#Data],3)=0,"-",VLOOKUP($B85,casostestes[#Data],3)), "-")</f>
        <v>-</v>
      </c>
      <c r="F85" s="50" t="str">
        <f>IFERROR(IF(VLOOKUP($B85,casostestes[#Data],4)=0,"-",VLOOKUP($B85,casostestes[#Data],4)),"-")</f>
        <v>-</v>
      </c>
      <c r="G85" s="50" t="str">
        <f>IFERROR(IF(VLOOKUP($B85,casostestes[#Data],5)=0,"-",VLOOKUP($B85,casostestes[#Data],5)),"-")</f>
        <v>-</v>
      </c>
      <c r="H85" s="50" t="str">
        <f>IFERROR(IF(VLOOKUP($B85,casostestes[#Data],6)=0,"-",VLOOKUP($B85,casostestes[#Data],6)),"-")</f>
        <v>-</v>
      </c>
      <c r="I85" s="50" t="str">
        <f>IFERROR(IF(VLOOKUP($B85,casostestes[#Data],8)=0,"-",VLOOKUP($B85,casostestes[#Data],8)),"-")</f>
        <v>-</v>
      </c>
      <c r="J85" s="50" t="str">
        <f>IFERROR(IF(VLOOKUP($B85,casostestes[#Data],9)=0,"-",VLOOKUP($B85,casostestes[#Data],9)),"-")</f>
        <v>-</v>
      </c>
      <c r="K85" s="112" t="str">
        <f>IFERROR(IF(VLOOKUP($B85,homologador01[#Data],12)=0,"Não executado",VLOOKUP($B85,homologador01[#Data],12)),"Não executado")</f>
        <v>Não executado</v>
      </c>
      <c r="L85" s="112" t="str">
        <f>IFERROR(IF(VLOOKUP($B85,homologador02[#Data],12)=0,"-",VLOOKUP($B85,homologador02[#Data],12)),"-")</f>
        <v>-</v>
      </c>
    </row>
    <row r="86" spans="2:12">
      <c r="B86" s="56" t="str">
        <f>IF(ISERR(casostestes[[#This Row],[ID]]),"-",casostestes[[#This Row],[ID]])</f>
        <v>-</v>
      </c>
      <c r="C86" s="49" t="str">
        <f>IFERROR(IF(VLOOKUP($B86,casostestes[#Data],10)=0,"Não",VLOOKUP($B86,casostestes[#Data],10)), "-")</f>
        <v>-</v>
      </c>
      <c r="D86" s="50" t="str">
        <f>IFERROR(IF(VLOOKUP($B86,casostestes[#Data],2)=0,"-",VLOOKUP($B86,casostestes[#Data],2)), "-")</f>
        <v>-</v>
      </c>
      <c r="E86" s="50" t="str">
        <f>IFERROR(IF(VLOOKUP($B86,casostestes[#Data],3)=0,"-",VLOOKUP($B86,casostestes[#Data],3)), "-")</f>
        <v>-</v>
      </c>
      <c r="F86" s="50" t="str">
        <f>IFERROR(IF(VLOOKUP($B86,casostestes[#Data],4)=0,"-",VLOOKUP($B86,casostestes[#Data],4)),"-")</f>
        <v>-</v>
      </c>
      <c r="G86" s="50" t="str">
        <f>IFERROR(IF(VLOOKUP($B86,casostestes[#Data],5)=0,"-",VLOOKUP($B86,casostestes[#Data],5)),"-")</f>
        <v>-</v>
      </c>
      <c r="H86" s="50" t="str">
        <f>IFERROR(IF(VLOOKUP($B86,casostestes[#Data],6)=0,"-",VLOOKUP($B86,casostestes[#Data],6)),"-")</f>
        <v>-</v>
      </c>
      <c r="I86" s="50" t="str">
        <f>IFERROR(IF(VLOOKUP($B86,casostestes[#Data],8)=0,"-",VLOOKUP($B86,casostestes[#Data],8)),"-")</f>
        <v>-</v>
      </c>
      <c r="J86" s="50" t="str">
        <f>IFERROR(IF(VLOOKUP($B86,casostestes[#Data],9)=0,"-",VLOOKUP($B86,casostestes[#Data],9)),"-")</f>
        <v>-</v>
      </c>
      <c r="K86" s="112" t="str">
        <f>IFERROR(IF(VLOOKUP($B86,homologador01[#Data],12)=0,"Não executado",VLOOKUP($B86,homologador01[#Data],12)),"Não executado")</f>
        <v>Não executado</v>
      </c>
      <c r="L86" s="112" t="str">
        <f>IFERROR(IF(VLOOKUP($B86,homologador02[#Data],12)=0,"-",VLOOKUP($B86,homologador02[#Data],12)),"-")</f>
        <v>-</v>
      </c>
    </row>
    <row r="87" spans="2:12">
      <c r="B87" s="56" t="str">
        <f>IF(ISERR(casostestes[[#This Row],[ID]]),"-",casostestes[[#This Row],[ID]])</f>
        <v>-</v>
      </c>
      <c r="C87" s="49" t="str">
        <f>IFERROR(IF(VLOOKUP($B87,casostestes[#Data],10)=0,"Não",VLOOKUP($B87,casostestes[#Data],10)), "-")</f>
        <v>-</v>
      </c>
      <c r="D87" s="50" t="str">
        <f>IFERROR(IF(VLOOKUP($B87,casostestes[#Data],2)=0,"-",VLOOKUP($B87,casostestes[#Data],2)), "-")</f>
        <v>-</v>
      </c>
      <c r="E87" s="50" t="str">
        <f>IFERROR(IF(VLOOKUP($B87,casostestes[#Data],3)=0,"-",VLOOKUP($B87,casostestes[#Data],3)), "-")</f>
        <v>-</v>
      </c>
      <c r="F87" s="50" t="str">
        <f>IFERROR(IF(VLOOKUP($B87,casostestes[#Data],4)=0,"-",VLOOKUP($B87,casostestes[#Data],4)),"-")</f>
        <v>-</v>
      </c>
      <c r="G87" s="50" t="str">
        <f>IFERROR(IF(VLOOKUP($B87,casostestes[#Data],5)=0,"-",VLOOKUP($B87,casostestes[#Data],5)),"-")</f>
        <v>-</v>
      </c>
      <c r="H87" s="50" t="str">
        <f>IFERROR(IF(VLOOKUP($B87,casostestes[#Data],6)=0,"-",VLOOKUP($B87,casostestes[#Data],6)),"-")</f>
        <v>-</v>
      </c>
      <c r="I87" s="50" t="str">
        <f>IFERROR(IF(VLOOKUP($B87,casostestes[#Data],8)=0,"-",VLOOKUP($B87,casostestes[#Data],8)),"-")</f>
        <v>-</v>
      </c>
      <c r="J87" s="50" t="str">
        <f>IFERROR(IF(VLOOKUP($B87,casostestes[#Data],9)=0,"-",VLOOKUP($B87,casostestes[#Data],9)),"-")</f>
        <v>-</v>
      </c>
      <c r="K87" s="112" t="str">
        <f>IFERROR(IF(VLOOKUP($B87,homologador01[#Data],12)=0,"Não executado",VLOOKUP($B87,homologador01[#Data],12)),"Não executado")</f>
        <v>Não executado</v>
      </c>
      <c r="L87" s="112" t="str">
        <f>IFERROR(IF(VLOOKUP($B87,homologador02[#Data],12)=0,"-",VLOOKUP($B87,homologador02[#Data],12)),"-")</f>
        <v>-</v>
      </c>
    </row>
    <row r="88" spans="2:12">
      <c r="B88" s="56" t="str">
        <f>IF(ISERR(casostestes[[#This Row],[ID]]),"-",casostestes[[#This Row],[ID]])</f>
        <v>-</v>
      </c>
      <c r="C88" s="49" t="str">
        <f>IFERROR(IF(VLOOKUP($B88,casostestes[#Data],10)=0,"Não",VLOOKUP($B88,casostestes[#Data],10)), "-")</f>
        <v>-</v>
      </c>
      <c r="D88" s="50" t="str">
        <f>IFERROR(IF(VLOOKUP($B88,casostestes[#Data],2)=0,"-",VLOOKUP($B88,casostestes[#Data],2)), "-")</f>
        <v>-</v>
      </c>
      <c r="E88" s="50" t="str">
        <f>IFERROR(IF(VLOOKUP($B88,casostestes[#Data],3)=0,"-",VLOOKUP($B88,casostestes[#Data],3)), "-")</f>
        <v>-</v>
      </c>
      <c r="F88" s="50" t="str">
        <f>IFERROR(IF(VLOOKUP($B88,casostestes[#Data],4)=0,"-",VLOOKUP($B88,casostestes[#Data],4)),"-")</f>
        <v>-</v>
      </c>
      <c r="G88" s="50" t="str">
        <f>IFERROR(IF(VLOOKUP($B88,casostestes[#Data],5)=0,"-",VLOOKUP($B88,casostestes[#Data],5)),"-")</f>
        <v>-</v>
      </c>
      <c r="H88" s="50" t="str">
        <f>IFERROR(IF(VLOOKUP($B88,casostestes[#Data],6)=0,"-",VLOOKUP($B88,casostestes[#Data],6)),"-")</f>
        <v>-</v>
      </c>
      <c r="I88" s="50" t="str">
        <f>IFERROR(IF(VLOOKUP($B88,casostestes[#Data],8)=0,"-",VLOOKUP($B88,casostestes[#Data],8)),"-")</f>
        <v>-</v>
      </c>
      <c r="J88" s="50" t="str">
        <f>IFERROR(IF(VLOOKUP($B88,casostestes[#Data],9)=0,"-",VLOOKUP($B88,casostestes[#Data],9)),"-")</f>
        <v>-</v>
      </c>
      <c r="K88" s="112" t="str">
        <f>IFERROR(IF(VLOOKUP($B88,homologador01[#Data],12)=0,"Não executado",VLOOKUP($B88,homologador01[#Data],12)),"Não executado")</f>
        <v>Não executado</v>
      </c>
      <c r="L88" s="112" t="str">
        <f>IFERROR(IF(VLOOKUP($B88,homologador02[#Data],12)=0,"-",VLOOKUP($B88,homologador02[#Data],12)),"-")</f>
        <v>-</v>
      </c>
    </row>
    <row r="89" spans="2:12">
      <c r="B89" s="56" t="str">
        <f>IF(ISERR(casostestes[[#This Row],[ID]]),"-",casostestes[[#This Row],[ID]])</f>
        <v>-</v>
      </c>
      <c r="C89" s="49" t="str">
        <f>IFERROR(IF(VLOOKUP($B89,casostestes[#Data],10)=0,"Não",VLOOKUP($B89,casostestes[#Data],10)), "-")</f>
        <v>-</v>
      </c>
      <c r="D89" s="50" t="str">
        <f>IFERROR(IF(VLOOKUP($B89,casostestes[#Data],2)=0,"-",VLOOKUP($B89,casostestes[#Data],2)), "-")</f>
        <v>-</v>
      </c>
      <c r="E89" s="50" t="str">
        <f>IFERROR(IF(VLOOKUP($B89,casostestes[#Data],3)=0,"-",VLOOKUP($B89,casostestes[#Data],3)), "-")</f>
        <v>-</v>
      </c>
      <c r="F89" s="50" t="str">
        <f>IFERROR(IF(VLOOKUP($B89,casostestes[#Data],4)=0,"-",VLOOKUP($B89,casostestes[#Data],4)),"-")</f>
        <v>-</v>
      </c>
      <c r="G89" s="50" t="str">
        <f>IFERROR(IF(VLOOKUP($B89,casostestes[#Data],5)=0,"-",VLOOKUP($B89,casostestes[#Data],5)),"-")</f>
        <v>-</v>
      </c>
      <c r="H89" s="50" t="str">
        <f>IFERROR(IF(VLOOKUP($B89,casostestes[#Data],6)=0,"-",VLOOKUP($B89,casostestes[#Data],6)),"-")</f>
        <v>-</v>
      </c>
      <c r="I89" s="50" t="str">
        <f>IFERROR(IF(VLOOKUP($B89,casostestes[#Data],8)=0,"-",VLOOKUP($B89,casostestes[#Data],8)),"-")</f>
        <v>-</v>
      </c>
      <c r="J89" s="50" t="str">
        <f>IFERROR(IF(VLOOKUP($B89,casostestes[#Data],9)=0,"-",VLOOKUP($B89,casostestes[#Data],9)),"-")</f>
        <v>-</v>
      </c>
      <c r="K89" s="112" t="str">
        <f>IFERROR(IF(VLOOKUP($B89,homologador01[#Data],12)=0,"Não executado",VLOOKUP($B89,homologador01[#Data],12)),"Não executado")</f>
        <v>Não executado</v>
      </c>
      <c r="L89" s="112" t="str">
        <f>IFERROR(IF(VLOOKUP($B89,homologador02[#Data],12)=0,"-",VLOOKUP($B89,homologador02[#Data],12)),"-")</f>
        <v>-</v>
      </c>
    </row>
    <row r="90" spans="2:12">
      <c r="B90" s="56" t="str">
        <f>IF(ISERR(casostestes[[#This Row],[ID]]),"-",casostestes[[#This Row],[ID]])</f>
        <v>-</v>
      </c>
      <c r="C90" s="49" t="str">
        <f>IFERROR(IF(VLOOKUP($B90,casostestes[#Data],10)=0,"Não",VLOOKUP($B90,casostestes[#Data],10)), "-")</f>
        <v>-</v>
      </c>
      <c r="D90" s="50" t="str">
        <f>IFERROR(IF(VLOOKUP($B90,casostestes[#Data],2)=0,"-",VLOOKUP($B90,casostestes[#Data],2)), "-")</f>
        <v>-</v>
      </c>
      <c r="E90" s="50" t="str">
        <f>IFERROR(IF(VLOOKUP($B90,casostestes[#Data],3)=0,"-",VLOOKUP($B90,casostestes[#Data],3)), "-")</f>
        <v>-</v>
      </c>
      <c r="F90" s="50" t="str">
        <f>IFERROR(IF(VLOOKUP($B90,casostestes[#Data],4)=0,"-",VLOOKUP($B90,casostestes[#Data],4)),"-")</f>
        <v>-</v>
      </c>
      <c r="G90" s="50" t="str">
        <f>IFERROR(IF(VLOOKUP($B90,casostestes[#Data],5)=0,"-",VLOOKUP($B90,casostestes[#Data],5)),"-")</f>
        <v>-</v>
      </c>
      <c r="H90" s="50" t="str">
        <f>IFERROR(IF(VLOOKUP($B90,casostestes[#Data],6)=0,"-",VLOOKUP($B90,casostestes[#Data],6)),"-")</f>
        <v>-</v>
      </c>
      <c r="I90" s="50" t="str">
        <f>IFERROR(IF(VLOOKUP($B90,casostestes[#Data],8)=0,"-",VLOOKUP($B90,casostestes[#Data],8)),"-")</f>
        <v>-</v>
      </c>
      <c r="J90" s="50" t="str">
        <f>IFERROR(IF(VLOOKUP($B90,casostestes[#Data],9)=0,"-",VLOOKUP($B90,casostestes[#Data],9)),"-")</f>
        <v>-</v>
      </c>
      <c r="K90" s="112" t="str">
        <f>IFERROR(IF(VLOOKUP($B90,homologador01[#Data],12)=0,"Não executado",VLOOKUP($B90,homologador01[#Data],12)),"Não executado")</f>
        <v>Não executado</v>
      </c>
      <c r="L90" s="112" t="str">
        <f>IFERROR(IF(VLOOKUP($B90,homologador02[#Data],12)=0,"-",VLOOKUP($B90,homologador02[#Data],12)),"-")</f>
        <v>-</v>
      </c>
    </row>
    <row r="91" spans="2:12">
      <c r="B91" s="56" t="str">
        <f>IF(ISERR(casostestes[[#This Row],[ID]]),"-",casostestes[[#This Row],[ID]])</f>
        <v>-</v>
      </c>
      <c r="C91" s="49" t="str">
        <f>IFERROR(IF(VLOOKUP($B91,casostestes[#Data],10)=0,"Não",VLOOKUP($B91,casostestes[#Data],10)), "-")</f>
        <v>-</v>
      </c>
      <c r="D91" s="50" t="str">
        <f>IFERROR(IF(VLOOKUP($B91,casostestes[#Data],2)=0,"-",VLOOKUP($B91,casostestes[#Data],2)), "-")</f>
        <v>-</v>
      </c>
      <c r="E91" s="50" t="str">
        <f>IFERROR(IF(VLOOKUP($B91,casostestes[#Data],3)=0,"-",VLOOKUP($B91,casostestes[#Data],3)), "-")</f>
        <v>-</v>
      </c>
      <c r="F91" s="50" t="str">
        <f>IFERROR(IF(VLOOKUP($B91,casostestes[#Data],4)=0,"-",VLOOKUP($B91,casostestes[#Data],4)),"-")</f>
        <v>-</v>
      </c>
      <c r="G91" s="50" t="str">
        <f>IFERROR(IF(VLOOKUP($B91,casostestes[#Data],5)=0,"-",VLOOKUP($B91,casostestes[#Data],5)),"-")</f>
        <v>-</v>
      </c>
      <c r="H91" s="50" t="str">
        <f>IFERROR(IF(VLOOKUP($B91,casostestes[#Data],6)=0,"-",VLOOKUP($B91,casostestes[#Data],6)),"-")</f>
        <v>-</v>
      </c>
      <c r="I91" s="50" t="str">
        <f>IFERROR(IF(VLOOKUP($B91,casostestes[#Data],8)=0,"-",VLOOKUP($B91,casostestes[#Data],8)),"-")</f>
        <v>-</v>
      </c>
      <c r="J91" s="50" t="str">
        <f>IFERROR(IF(VLOOKUP($B91,casostestes[#Data],9)=0,"-",VLOOKUP($B91,casostestes[#Data],9)),"-")</f>
        <v>-</v>
      </c>
      <c r="K91" s="112" t="str">
        <f>IFERROR(IF(VLOOKUP($B91,homologador01[#Data],12)=0,"Não executado",VLOOKUP($B91,homologador01[#Data],12)),"Não executado")</f>
        <v>Não executado</v>
      </c>
      <c r="L91" s="112" t="str">
        <f>IFERROR(IF(VLOOKUP($B91,homologador02[#Data],12)=0,"-",VLOOKUP($B91,homologador02[#Data],12)),"-")</f>
        <v>-</v>
      </c>
    </row>
    <row r="92" spans="2:12">
      <c r="B92" s="56" t="str">
        <f>IF(ISERR(casostestes[[#This Row],[ID]]),"-",casostestes[[#This Row],[ID]])</f>
        <v>-</v>
      </c>
      <c r="C92" s="49" t="str">
        <f>IFERROR(IF(VLOOKUP($B92,casostestes[#Data],10)=0,"Não",VLOOKUP($B92,casostestes[#Data],10)), "-")</f>
        <v>-</v>
      </c>
      <c r="D92" s="50" t="str">
        <f>IFERROR(IF(VLOOKUP($B92,casostestes[#Data],2)=0,"-",VLOOKUP($B92,casostestes[#Data],2)), "-")</f>
        <v>-</v>
      </c>
      <c r="E92" s="50" t="str">
        <f>IFERROR(IF(VLOOKUP($B92,casostestes[#Data],3)=0,"-",VLOOKUP($B92,casostestes[#Data],3)), "-")</f>
        <v>-</v>
      </c>
      <c r="F92" s="50" t="str">
        <f>IFERROR(IF(VLOOKUP($B92,casostestes[#Data],4)=0,"-",VLOOKUP($B92,casostestes[#Data],4)),"-")</f>
        <v>-</v>
      </c>
      <c r="G92" s="50" t="str">
        <f>IFERROR(IF(VLOOKUP($B92,casostestes[#Data],5)=0,"-",VLOOKUP($B92,casostestes[#Data],5)),"-")</f>
        <v>-</v>
      </c>
      <c r="H92" s="50" t="str">
        <f>IFERROR(IF(VLOOKUP($B92,casostestes[#Data],6)=0,"-",VLOOKUP($B92,casostestes[#Data],6)),"-")</f>
        <v>-</v>
      </c>
      <c r="I92" s="50" t="str">
        <f>IFERROR(IF(VLOOKUP($B92,casostestes[#Data],8)=0,"-",VLOOKUP($B92,casostestes[#Data],8)),"-")</f>
        <v>-</v>
      </c>
      <c r="J92" s="50" t="str">
        <f>IFERROR(IF(VLOOKUP($B92,casostestes[#Data],9)=0,"-",VLOOKUP($B92,casostestes[#Data],9)),"-")</f>
        <v>-</v>
      </c>
      <c r="K92" s="112" t="str">
        <f>IFERROR(IF(VLOOKUP($B92,homologador01[#Data],12)=0,"Não executado",VLOOKUP($B92,homologador01[#Data],12)),"Não executado")</f>
        <v>Não executado</v>
      </c>
      <c r="L92" s="112" t="str">
        <f>IFERROR(IF(VLOOKUP($B92,homologador02[#Data],12)=0,"-",VLOOKUP($B92,homologador02[#Data],12)),"-")</f>
        <v>-</v>
      </c>
    </row>
    <row r="93" spans="2:12">
      <c r="B93" s="56" t="str">
        <f>IF(ISERR(casostestes[[#This Row],[ID]]),"-",casostestes[[#This Row],[ID]])</f>
        <v>-</v>
      </c>
      <c r="C93" s="49" t="str">
        <f>IFERROR(IF(VLOOKUP($B93,casostestes[#Data],10)=0,"Não",VLOOKUP($B93,casostestes[#Data],10)), "-")</f>
        <v>-</v>
      </c>
      <c r="D93" s="50" t="str">
        <f>IFERROR(IF(VLOOKUP($B93,casostestes[#Data],2)=0,"-",VLOOKUP($B93,casostestes[#Data],2)), "-")</f>
        <v>-</v>
      </c>
      <c r="E93" s="50" t="str">
        <f>IFERROR(IF(VLOOKUP($B93,casostestes[#Data],3)=0,"-",VLOOKUP($B93,casostestes[#Data],3)), "-")</f>
        <v>-</v>
      </c>
      <c r="F93" s="50" t="str">
        <f>IFERROR(IF(VLOOKUP($B93,casostestes[#Data],4)=0,"-",VLOOKUP($B93,casostestes[#Data],4)),"-")</f>
        <v>-</v>
      </c>
      <c r="G93" s="50" t="str">
        <f>IFERROR(IF(VLOOKUP($B93,casostestes[#Data],5)=0,"-",VLOOKUP($B93,casostestes[#Data],5)),"-")</f>
        <v>-</v>
      </c>
      <c r="H93" s="50" t="str">
        <f>IFERROR(IF(VLOOKUP($B93,casostestes[#Data],6)=0,"-",VLOOKUP($B93,casostestes[#Data],6)),"-")</f>
        <v>-</v>
      </c>
      <c r="I93" s="50" t="str">
        <f>IFERROR(IF(VLOOKUP($B93,casostestes[#Data],8)=0,"-",VLOOKUP($B93,casostestes[#Data],8)),"-")</f>
        <v>-</v>
      </c>
      <c r="J93" s="50" t="str">
        <f>IFERROR(IF(VLOOKUP($B93,casostestes[#Data],9)=0,"-",VLOOKUP($B93,casostestes[#Data],9)),"-")</f>
        <v>-</v>
      </c>
      <c r="K93" s="112" t="str">
        <f>IFERROR(IF(VLOOKUP($B93,homologador01[#Data],12)=0,"Não executado",VLOOKUP($B93,homologador01[#Data],12)),"Não executado")</f>
        <v>Não executado</v>
      </c>
      <c r="L93" s="112" t="str">
        <f>IFERROR(IF(VLOOKUP($B93,homologador02[#Data],12)=0,"-",VLOOKUP($B93,homologador02[#Data],12)),"-")</f>
        <v>-</v>
      </c>
    </row>
    <row r="94" spans="2:12">
      <c r="B94" s="56" t="str">
        <f>IF(ISERR(casostestes[[#This Row],[ID]]),"-",casostestes[[#This Row],[ID]])</f>
        <v>-</v>
      </c>
      <c r="C94" s="49" t="str">
        <f>IFERROR(IF(VLOOKUP($B94,casostestes[#Data],10)=0,"Não",VLOOKUP($B94,casostestes[#Data],10)), "-")</f>
        <v>-</v>
      </c>
      <c r="D94" s="50" t="str">
        <f>IFERROR(IF(VLOOKUP($B94,casostestes[#Data],2)=0,"-",VLOOKUP($B94,casostestes[#Data],2)), "-")</f>
        <v>-</v>
      </c>
      <c r="E94" s="50" t="str">
        <f>IFERROR(IF(VLOOKUP($B94,casostestes[#Data],3)=0,"-",VLOOKUP($B94,casostestes[#Data],3)), "-")</f>
        <v>-</v>
      </c>
      <c r="F94" s="50" t="str">
        <f>IFERROR(IF(VLOOKUP($B94,casostestes[#Data],4)=0,"-",VLOOKUP($B94,casostestes[#Data],4)),"-")</f>
        <v>-</v>
      </c>
      <c r="G94" s="50" t="str">
        <f>IFERROR(IF(VLOOKUP($B94,casostestes[#Data],5)=0,"-",VLOOKUP($B94,casostestes[#Data],5)),"-")</f>
        <v>-</v>
      </c>
      <c r="H94" s="50" t="str">
        <f>IFERROR(IF(VLOOKUP($B94,casostestes[#Data],6)=0,"-",VLOOKUP($B94,casostestes[#Data],6)),"-")</f>
        <v>-</v>
      </c>
      <c r="I94" s="50" t="str">
        <f>IFERROR(IF(VLOOKUP($B94,casostestes[#Data],8)=0,"-",VLOOKUP($B94,casostestes[#Data],8)),"-")</f>
        <v>-</v>
      </c>
      <c r="J94" s="50" t="str">
        <f>IFERROR(IF(VLOOKUP($B94,casostestes[#Data],9)=0,"-",VLOOKUP($B94,casostestes[#Data],9)),"-")</f>
        <v>-</v>
      </c>
      <c r="K94" s="112" t="str">
        <f>IFERROR(IF(VLOOKUP($B94,homologador01[#Data],12)=0,"Não executado",VLOOKUP($B94,homologador01[#Data],12)),"Não executado")</f>
        <v>Não executado</v>
      </c>
      <c r="L94" s="112" t="str">
        <f>IFERROR(IF(VLOOKUP($B94,homologador02[#Data],12)=0,"-",VLOOKUP($B94,homologador02[#Data],12)),"-")</f>
        <v>-</v>
      </c>
    </row>
    <row r="95" spans="2:12">
      <c r="B95" s="56" t="str">
        <f>IF(ISERR(casostestes[[#This Row],[ID]]),"-",casostestes[[#This Row],[ID]])</f>
        <v>-</v>
      </c>
      <c r="C95" s="49" t="str">
        <f>IFERROR(IF(VLOOKUP($B95,casostestes[#Data],10)=0,"Não",VLOOKUP($B95,casostestes[#Data],10)), "-")</f>
        <v>-</v>
      </c>
      <c r="D95" s="50" t="str">
        <f>IFERROR(IF(VLOOKUP($B95,casostestes[#Data],2)=0,"-",VLOOKUP($B95,casostestes[#Data],2)), "-")</f>
        <v>-</v>
      </c>
      <c r="E95" s="50" t="str">
        <f>IFERROR(IF(VLOOKUP($B95,casostestes[#Data],3)=0,"-",VLOOKUP($B95,casostestes[#Data],3)), "-")</f>
        <v>-</v>
      </c>
      <c r="F95" s="50" t="str">
        <f>IFERROR(IF(VLOOKUP($B95,casostestes[#Data],4)=0,"-",VLOOKUP($B95,casostestes[#Data],4)),"-")</f>
        <v>-</v>
      </c>
      <c r="G95" s="50" t="str">
        <f>IFERROR(IF(VLOOKUP($B95,casostestes[#Data],5)=0,"-",VLOOKUP($B95,casostestes[#Data],5)),"-")</f>
        <v>-</v>
      </c>
      <c r="H95" s="50" t="str">
        <f>IFERROR(IF(VLOOKUP($B95,casostestes[#Data],6)=0,"-",VLOOKUP($B95,casostestes[#Data],6)),"-")</f>
        <v>-</v>
      </c>
      <c r="I95" s="50" t="str">
        <f>IFERROR(IF(VLOOKUP($B95,casostestes[#Data],8)=0,"-",VLOOKUP($B95,casostestes[#Data],8)),"-")</f>
        <v>-</v>
      </c>
      <c r="J95" s="50" t="str">
        <f>IFERROR(IF(VLOOKUP($B95,casostestes[#Data],9)=0,"-",VLOOKUP($B95,casostestes[#Data],9)),"-")</f>
        <v>-</v>
      </c>
      <c r="K95" s="112" t="str">
        <f>IFERROR(IF(VLOOKUP($B95,homologador01[#Data],12)=0,"Não executado",VLOOKUP($B95,homologador01[#Data],12)),"Não executado")</f>
        <v>Não executado</v>
      </c>
      <c r="L95" s="112" t="str">
        <f>IFERROR(IF(VLOOKUP($B95,homologador02[#Data],12)=0,"-",VLOOKUP($B95,homologador02[#Data],12)),"-")</f>
        <v>-</v>
      </c>
    </row>
    <row r="96" spans="2:12">
      <c r="B96" s="56" t="str">
        <f>IF(ISERR(casostestes[[#This Row],[ID]]),"-",casostestes[[#This Row],[ID]])</f>
        <v>-</v>
      </c>
      <c r="C96" s="49" t="str">
        <f>IFERROR(IF(VLOOKUP($B96,casostestes[#Data],10)=0,"Não",VLOOKUP($B96,casostestes[#Data],10)), "-")</f>
        <v>-</v>
      </c>
      <c r="D96" s="50" t="str">
        <f>IFERROR(IF(VLOOKUP($B96,casostestes[#Data],2)=0,"-",VLOOKUP($B96,casostestes[#Data],2)), "-")</f>
        <v>-</v>
      </c>
      <c r="E96" s="50" t="str">
        <f>IFERROR(IF(VLOOKUP($B96,casostestes[#Data],3)=0,"-",VLOOKUP($B96,casostestes[#Data],3)), "-")</f>
        <v>-</v>
      </c>
      <c r="F96" s="50" t="str">
        <f>IFERROR(IF(VLOOKUP($B96,casostestes[#Data],4)=0,"-",VLOOKUP($B96,casostestes[#Data],4)),"-")</f>
        <v>-</v>
      </c>
      <c r="G96" s="50" t="str">
        <f>IFERROR(IF(VLOOKUP($B96,casostestes[#Data],5)=0,"-",VLOOKUP($B96,casostestes[#Data],5)),"-")</f>
        <v>-</v>
      </c>
      <c r="H96" s="50" t="str">
        <f>IFERROR(IF(VLOOKUP($B96,casostestes[#Data],6)=0,"-",VLOOKUP($B96,casostestes[#Data],6)),"-")</f>
        <v>-</v>
      </c>
      <c r="I96" s="50" t="str">
        <f>IFERROR(IF(VLOOKUP($B96,casostestes[#Data],8)=0,"-",VLOOKUP($B96,casostestes[#Data],8)),"-")</f>
        <v>-</v>
      </c>
      <c r="J96" s="50" t="str">
        <f>IFERROR(IF(VLOOKUP($B96,casostestes[#Data],9)=0,"-",VLOOKUP($B96,casostestes[#Data],9)),"-")</f>
        <v>-</v>
      </c>
      <c r="K96" s="112" t="str">
        <f>IFERROR(IF(VLOOKUP($B96,homologador01[#Data],12)=0,"Não executado",VLOOKUP($B96,homologador01[#Data],12)),"Não executado")</f>
        <v>Não executado</v>
      </c>
      <c r="L96" s="112" t="str">
        <f>IFERROR(IF(VLOOKUP($B96,homologador02[#Data],12)=0,"-",VLOOKUP($B96,homologador02[#Data],12)),"-")</f>
        <v>-</v>
      </c>
    </row>
    <row r="97" spans="2:12">
      <c r="B97" s="56" t="str">
        <f>IF(ISERR(casostestes[[#This Row],[ID]]),"-",casostestes[[#This Row],[ID]])</f>
        <v>-</v>
      </c>
      <c r="C97" s="49" t="str">
        <f>IFERROR(IF(VLOOKUP($B97,casostestes[#Data],10)=0,"Não",VLOOKUP($B97,casostestes[#Data],10)), "-")</f>
        <v>-</v>
      </c>
      <c r="D97" s="50" t="str">
        <f>IFERROR(IF(VLOOKUP($B97,casostestes[#Data],2)=0,"-",VLOOKUP($B97,casostestes[#Data],2)), "-")</f>
        <v>-</v>
      </c>
      <c r="E97" s="50" t="str">
        <f>IFERROR(IF(VLOOKUP($B97,casostestes[#Data],3)=0,"-",VLOOKUP($B97,casostestes[#Data],3)), "-")</f>
        <v>-</v>
      </c>
      <c r="F97" s="50" t="str">
        <f>IFERROR(IF(VLOOKUP($B97,casostestes[#Data],4)=0,"-",VLOOKUP($B97,casostestes[#Data],4)),"-")</f>
        <v>-</v>
      </c>
      <c r="G97" s="50" t="str">
        <f>IFERROR(IF(VLOOKUP($B97,casostestes[#Data],5)=0,"-",VLOOKUP($B97,casostestes[#Data],5)),"-")</f>
        <v>-</v>
      </c>
      <c r="H97" s="50" t="str">
        <f>IFERROR(IF(VLOOKUP($B97,casostestes[#Data],6)=0,"-",VLOOKUP($B97,casostestes[#Data],6)),"-")</f>
        <v>-</v>
      </c>
      <c r="I97" s="50" t="str">
        <f>IFERROR(IF(VLOOKUP($B97,casostestes[#Data],8)=0,"-",VLOOKUP($B97,casostestes[#Data],8)),"-")</f>
        <v>-</v>
      </c>
      <c r="J97" s="50" t="str">
        <f>IFERROR(IF(VLOOKUP($B97,casostestes[#Data],9)=0,"-",VLOOKUP($B97,casostestes[#Data],9)),"-")</f>
        <v>-</v>
      </c>
      <c r="K97" s="112" t="str">
        <f>IFERROR(IF(VLOOKUP($B97,homologador01[#Data],12)=0,"Não executado",VLOOKUP($B97,homologador01[#Data],12)),"Não executado")</f>
        <v>Não executado</v>
      </c>
      <c r="L97" s="112" t="str">
        <f>IFERROR(IF(VLOOKUP($B97,homologador02[#Data],12)=0,"-",VLOOKUP($B97,homologador02[#Data],12)),"-")</f>
        <v>-</v>
      </c>
    </row>
    <row r="98" spans="2:12">
      <c r="B98" s="56" t="str">
        <f>IF(ISERR(casostestes[[#This Row],[ID]]),"-",casostestes[[#This Row],[ID]])</f>
        <v>-</v>
      </c>
      <c r="C98" s="49" t="str">
        <f>IFERROR(IF(VLOOKUP($B98,casostestes[#Data],10)=0,"Não",VLOOKUP($B98,casostestes[#Data],10)), "-")</f>
        <v>-</v>
      </c>
      <c r="D98" s="50" t="str">
        <f>IFERROR(IF(VLOOKUP($B98,casostestes[#Data],2)=0,"-",VLOOKUP($B98,casostestes[#Data],2)), "-")</f>
        <v>-</v>
      </c>
      <c r="E98" s="50" t="str">
        <f>IFERROR(IF(VLOOKUP($B98,casostestes[#Data],3)=0,"-",VLOOKUP($B98,casostestes[#Data],3)), "-")</f>
        <v>-</v>
      </c>
      <c r="F98" s="50" t="str">
        <f>IFERROR(IF(VLOOKUP($B98,casostestes[#Data],4)=0,"-",VLOOKUP($B98,casostestes[#Data],4)),"-")</f>
        <v>-</v>
      </c>
      <c r="G98" s="50" t="str">
        <f>IFERROR(IF(VLOOKUP($B98,casostestes[#Data],5)=0,"-",VLOOKUP($B98,casostestes[#Data],5)),"-")</f>
        <v>-</v>
      </c>
      <c r="H98" s="50" t="str">
        <f>IFERROR(IF(VLOOKUP($B98,casostestes[#Data],6)=0,"-",VLOOKUP($B98,casostestes[#Data],6)),"-")</f>
        <v>-</v>
      </c>
      <c r="I98" s="50" t="str">
        <f>IFERROR(IF(VLOOKUP($B98,casostestes[#Data],8)=0,"-",VLOOKUP($B98,casostestes[#Data],8)),"-")</f>
        <v>-</v>
      </c>
      <c r="J98" s="50" t="str">
        <f>IFERROR(IF(VLOOKUP($B98,casostestes[#Data],9)=0,"-",VLOOKUP($B98,casostestes[#Data],9)),"-")</f>
        <v>-</v>
      </c>
      <c r="K98" s="112" t="str">
        <f>IFERROR(IF(VLOOKUP($B98,homologador01[#Data],12)=0,"Não executado",VLOOKUP($B98,homologador01[#Data],12)),"Não executado")</f>
        <v>Não executado</v>
      </c>
      <c r="L98" s="112" t="str">
        <f>IFERROR(IF(VLOOKUP($B98,homologador02[#Data],12)=0,"-",VLOOKUP($B98,homologador02[#Data],12)),"-")</f>
        <v>-</v>
      </c>
    </row>
    <row r="99" spans="2:12">
      <c r="B99" s="56" t="str">
        <f>IF(ISERR(casostestes[[#This Row],[ID]]),"-",casostestes[[#This Row],[ID]])</f>
        <v>-</v>
      </c>
      <c r="C99" s="49" t="str">
        <f>IFERROR(IF(VLOOKUP($B99,casostestes[#Data],10)=0,"Não",VLOOKUP($B99,casostestes[#Data],10)), "-")</f>
        <v>-</v>
      </c>
      <c r="D99" s="50" t="str">
        <f>IFERROR(IF(VLOOKUP($B99,casostestes[#Data],2)=0,"-",VLOOKUP($B99,casostestes[#Data],2)), "-")</f>
        <v>-</v>
      </c>
      <c r="E99" s="50" t="str">
        <f>IFERROR(IF(VLOOKUP($B99,casostestes[#Data],3)=0,"-",VLOOKUP($B99,casostestes[#Data],3)), "-")</f>
        <v>-</v>
      </c>
      <c r="F99" s="50" t="str">
        <f>IFERROR(IF(VLOOKUP($B99,casostestes[#Data],4)=0,"-",VLOOKUP($B99,casostestes[#Data],4)),"-")</f>
        <v>-</v>
      </c>
      <c r="G99" s="50" t="str">
        <f>IFERROR(IF(VLOOKUP($B99,casostestes[#Data],5)=0,"-",VLOOKUP($B99,casostestes[#Data],5)),"-")</f>
        <v>-</v>
      </c>
      <c r="H99" s="50" t="str">
        <f>IFERROR(IF(VLOOKUP($B99,casostestes[#Data],6)=0,"-",VLOOKUP($B99,casostestes[#Data],6)),"-")</f>
        <v>-</v>
      </c>
      <c r="I99" s="50" t="str">
        <f>IFERROR(IF(VLOOKUP($B99,casostestes[#Data],8)=0,"-",VLOOKUP($B99,casostestes[#Data],8)),"-")</f>
        <v>-</v>
      </c>
      <c r="J99" s="50" t="str">
        <f>IFERROR(IF(VLOOKUP($B99,casostestes[#Data],9)=0,"-",VLOOKUP($B99,casostestes[#Data],9)),"-")</f>
        <v>-</v>
      </c>
      <c r="K99" s="112" t="str">
        <f>IFERROR(IF(VLOOKUP($B99,homologador01[#Data],12)=0,"Não executado",VLOOKUP($B99,homologador01[#Data],12)),"Não executado")</f>
        <v>Não executado</v>
      </c>
      <c r="L99" s="112" t="str">
        <f>IFERROR(IF(VLOOKUP($B99,homologador02[#Data],12)=0,"-",VLOOKUP($B99,homologador02[#Data],12)),"-")</f>
        <v>-</v>
      </c>
    </row>
    <row r="100" spans="2:12">
      <c r="B100" s="56" t="str">
        <f>IF(ISERR(casostestes[[#This Row],[ID]]),"-",casostestes[[#This Row],[ID]])</f>
        <v>-</v>
      </c>
      <c r="C100" s="58" t="str">
        <f>IFERROR(IF(VLOOKUP($B100,casostestes[#Data],10)=0,"Não",VLOOKUP($B100,casostestes[#Data],10)), "-")</f>
        <v>-</v>
      </c>
      <c r="D100" s="59" t="str">
        <f>IFERROR(IF(VLOOKUP($B100,casostestes[#Data],2)=0,"-",VLOOKUP($B100,casostestes[#Data],2)), "-")</f>
        <v>-</v>
      </c>
      <c r="E100" s="59" t="str">
        <f>IFERROR(IF(VLOOKUP($B100,casostestes[#Data],3)=0,"-",VLOOKUP($B100,casostestes[#Data],3)), "-")</f>
        <v>-</v>
      </c>
      <c r="F100" s="59" t="str">
        <f>IFERROR(IF(VLOOKUP($B100,casostestes[#Data],4)=0,"-",VLOOKUP($B100,casostestes[#Data],4)),"-")</f>
        <v>-</v>
      </c>
      <c r="G100" s="59" t="str">
        <f>IFERROR(IF(VLOOKUP($B100,casostestes[#Data],5)=0,"-",VLOOKUP($B100,casostestes[#Data],5)),"-")</f>
        <v>-</v>
      </c>
      <c r="H100" s="59" t="str">
        <f>IFERROR(IF(VLOOKUP($B100,casostestes[#Data],6)=0,"-",VLOOKUP($B100,casostestes[#Data],6)),"-")</f>
        <v>-</v>
      </c>
      <c r="I100" s="59" t="str">
        <f>IFERROR(IF(VLOOKUP($B100,casostestes[#Data],8)=0,"-",VLOOKUP($B100,casostestes[#Data],8)),"-")</f>
        <v>-</v>
      </c>
      <c r="J100" s="59" t="str">
        <f>IFERROR(IF(VLOOKUP($B100,casostestes[#Data],9)=0,"-",VLOOKUP($B100,casostestes[#Data],9)),"-")</f>
        <v>-</v>
      </c>
      <c r="K100" s="113" t="str">
        <f>IFERROR(IF(VLOOKUP($B100,homologador01[#Data],12)=0,"Não executado",VLOOKUP($B100,homologador01[#Data],12)),"Não executado")</f>
        <v>Não executado</v>
      </c>
      <c r="L100" s="113" t="str">
        <f>IFERROR(IF(VLOOKUP($B100,homologador02[#Data],12)=0,"-",VLOOKUP($B100,homologador02[#Data],12)),"-")</f>
        <v>-</v>
      </c>
    </row>
    <row r="101" spans="2:12">
      <c r="B101" s="56" t="str">
        <f>IF(ISERR(casostestes[[#This Row],[ID]]),"-",casostestes[[#This Row],[ID]])</f>
        <v>-</v>
      </c>
      <c r="C101" s="49" t="str">
        <f>IFERROR(IF(VLOOKUP($B101,casostestes[#Data],10)=0,"Não",VLOOKUP($B101,casostestes[#Data],10)), "-")</f>
        <v>-</v>
      </c>
      <c r="D101" s="50" t="str">
        <f>IFERROR(IF(VLOOKUP($B101,casostestes[#Data],2)=0,"-",VLOOKUP($B101,casostestes[#Data],2)), "-")</f>
        <v>-</v>
      </c>
      <c r="E101" s="50" t="str">
        <f>IFERROR(IF(VLOOKUP($B101,casostestes[#Data],3)=0,"-",VLOOKUP($B101,casostestes[#Data],3)), "-")</f>
        <v>-</v>
      </c>
      <c r="F101" s="50" t="str">
        <f>IFERROR(IF(VLOOKUP($B101,casostestes[#Data],4)=0,"-",VLOOKUP($B101,casostestes[#Data],4)),"-")</f>
        <v>-</v>
      </c>
      <c r="G101" s="50" t="str">
        <f>IFERROR(IF(VLOOKUP($B101,casostestes[#Data],5)=0,"-",VLOOKUP($B101,casostestes[#Data],5)),"-")</f>
        <v>-</v>
      </c>
      <c r="H101" s="50" t="str">
        <f>IFERROR(IF(VLOOKUP($B101,casostestes[#Data],6)=0,"-",VLOOKUP($B101,casostestes[#Data],6)),"-")</f>
        <v>-</v>
      </c>
      <c r="I101" s="50" t="str">
        <f>IFERROR(IF(VLOOKUP($B101,casostestes[#Data],8)=0,"-",VLOOKUP($B101,casostestes[#Data],8)),"-")</f>
        <v>-</v>
      </c>
      <c r="J101" s="50" t="str">
        <f>IFERROR(IF(VLOOKUP($B101,casostestes[#Data],9)=0,"-",VLOOKUP($B101,casostestes[#Data],9)),"-")</f>
        <v>-</v>
      </c>
      <c r="K101" s="112" t="str">
        <f>IFERROR(IF(VLOOKUP($B101,homologador01[#Data],12)=0,"Não executado",VLOOKUP($B101,homologador01[#Data],12)),"Não executado")</f>
        <v>Não executado</v>
      </c>
      <c r="L101" s="112" t="str">
        <f>IFERROR(IF(VLOOKUP($B101,homologador02[#Data],12)=0,"-",VLOOKUP($B101,homologador02[#Data],12)),"-")</f>
        <v>-</v>
      </c>
    </row>
    <row r="102" spans="2:12">
      <c r="B102" s="56" t="str">
        <f>IF(ISERR(casostestes[[#This Row],[ID]]),"-",casostestes[[#This Row],[ID]])</f>
        <v>-</v>
      </c>
      <c r="C102" s="49" t="str">
        <f>IFERROR(IF(VLOOKUP($B102,casostestes[#Data],10)=0,"Não",VLOOKUP($B102,casostestes[#Data],10)), "-")</f>
        <v>-</v>
      </c>
      <c r="D102" s="50" t="str">
        <f>IFERROR(IF(VLOOKUP($B102,casostestes[#Data],2)=0,"-",VLOOKUP($B102,casostestes[#Data],2)), "-")</f>
        <v>-</v>
      </c>
      <c r="E102" s="50" t="str">
        <f>IFERROR(IF(VLOOKUP($B102,casostestes[#Data],3)=0,"-",VLOOKUP($B102,casostestes[#Data],3)), "-")</f>
        <v>-</v>
      </c>
      <c r="F102" s="50" t="str">
        <f>IFERROR(IF(VLOOKUP($B102,casostestes[#Data],4)=0,"-",VLOOKUP($B102,casostestes[#Data],4)),"-")</f>
        <v>-</v>
      </c>
      <c r="G102" s="50" t="str">
        <f>IFERROR(IF(VLOOKUP($B102,casostestes[#Data],5)=0,"-",VLOOKUP($B102,casostestes[#Data],5)),"-")</f>
        <v>-</v>
      </c>
      <c r="H102" s="50" t="str">
        <f>IFERROR(IF(VLOOKUP($B102,casostestes[#Data],6)=0,"-",VLOOKUP($B102,casostestes[#Data],6)),"-")</f>
        <v>-</v>
      </c>
      <c r="I102" s="50" t="str">
        <f>IFERROR(IF(VLOOKUP($B102,casostestes[#Data],8)=0,"-",VLOOKUP($B102,casostestes[#Data],8)),"-")</f>
        <v>-</v>
      </c>
      <c r="J102" s="50" t="str">
        <f>IFERROR(IF(VLOOKUP($B102,casostestes[#Data],9)=0,"-",VLOOKUP($B102,casostestes[#Data],9)),"-")</f>
        <v>-</v>
      </c>
      <c r="K102" s="112" t="str">
        <f>IFERROR(IF(VLOOKUP($B102,homologador01[#Data],12)=0,"Não executado",VLOOKUP($B102,homologador01[#Data],12)),"Não executado")</f>
        <v>Não executado</v>
      </c>
      <c r="L102" s="112" t="str">
        <f>IFERROR(IF(VLOOKUP($B102,homologador02[#Data],12)=0,"-",VLOOKUP($B102,homologador02[#Data],12)),"-")</f>
        <v>-</v>
      </c>
    </row>
    <row r="103" spans="2:12">
      <c r="B103" s="56" t="str">
        <f>IF(ISERR(casostestes[[#This Row],[ID]]),"-",casostestes[[#This Row],[ID]])</f>
        <v>-</v>
      </c>
      <c r="C103" s="49" t="str">
        <f>IFERROR(IF(VLOOKUP($B103,casostestes[#Data],10)=0,"Não",VLOOKUP($B103,casostestes[#Data],10)), "-")</f>
        <v>-</v>
      </c>
      <c r="D103" s="50" t="str">
        <f>IFERROR(IF(VLOOKUP($B103,casostestes[#Data],2)=0,"-",VLOOKUP($B103,casostestes[#Data],2)), "-")</f>
        <v>-</v>
      </c>
      <c r="E103" s="50" t="str">
        <f>IFERROR(IF(VLOOKUP($B103,casostestes[#Data],3)=0,"-",VLOOKUP($B103,casostestes[#Data],3)), "-")</f>
        <v>-</v>
      </c>
      <c r="F103" s="50" t="str">
        <f>IFERROR(IF(VLOOKUP($B103,casostestes[#Data],4)=0,"-",VLOOKUP($B103,casostestes[#Data],4)),"-")</f>
        <v>-</v>
      </c>
      <c r="G103" s="50" t="str">
        <f>IFERROR(IF(VLOOKUP($B103,casostestes[#Data],5)=0,"-",VLOOKUP($B103,casostestes[#Data],5)),"-")</f>
        <v>-</v>
      </c>
      <c r="H103" s="50" t="str">
        <f>IFERROR(IF(VLOOKUP($B103,casostestes[#Data],6)=0,"-",VLOOKUP($B103,casostestes[#Data],6)),"-")</f>
        <v>-</v>
      </c>
      <c r="I103" s="50" t="str">
        <f>IFERROR(IF(VLOOKUP($B103,casostestes[#Data],8)=0,"-",VLOOKUP($B103,casostestes[#Data],8)),"-")</f>
        <v>-</v>
      </c>
      <c r="J103" s="50" t="str">
        <f>IFERROR(IF(VLOOKUP($B103,casostestes[#Data],9)=0,"-",VLOOKUP($B103,casostestes[#Data],9)),"-")</f>
        <v>-</v>
      </c>
      <c r="K103" s="112" t="str">
        <f>IFERROR(IF(VLOOKUP($B103,homologador01[#Data],12)=0,"Não executado",VLOOKUP($B103,homologador01[#Data],12)),"Não executado")</f>
        <v>Não executado</v>
      </c>
      <c r="L103" s="112" t="str">
        <f>IFERROR(IF(VLOOKUP($B103,homologador02[#Data],12)=0,"-",VLOOKUP($B103,homologador02[#Data],12)),"-")</f>
        <v>-</v>
      </c>
    </row>
    <row r="104" spans="2:12">
      <c r="B104" s="56" t="str">
        <f>IF(ISERR(casostestes[[#This Row],[ID]]),"-",casostestes[[#This Row],[ID]])</f>
        <v>-</v>
      </c>
      <c r="C104" s="49" t="str">
        <f>IFERROR(IF(VLOOKUP($B104,casostestes[#Data],10)=0,"Não",VLOOKUP($B104,casostestes[#Data],10)), "-")</f>
        <v>-</v>
      </c>
      <c r="D104" s="50" t="str">
        <f>IFERROR(IF(VLOOKUP($B104,casostestes[#Data],2)=0,"-",VLOOKUP($B104,casostestes[#Data],2)), "-")</f>
        <v>-</v>
      </c>
      <c r="E104" s="50" t="str">
        <f>IFERROR(IF(VLOOKUP($B104,casostestes[#Data],3)=0,"-",VLOOKUP($B104,casostestes[#Data],3)), "-")</f>
        <v>-</v>
      </c>
      <c r="F104" s="50" t="str">
        <f>IFERROR(IF(VLOOKUP($B104,casostestes[#Data],4)=0,"-",VLOOKUP($B104,casostestes[#Data],4)),"-")</f>
        <v>-</v>
      </c>
      <c r="G104" s="50" t="str">
        <f>IFERROR(IF(VLOOKUP($B104,casostestes[#Data],5)=0,"-",VLOOKUP($B104,casostestes[#Data],5)),"-")</f>
        <v>-</v>
      </c>
      <c r="H104" s="50" t="str">
        <f>IFERROR(IF(VLOOKUP($B104,casostestes[#Data],6)=0,"-",VLOOKUP($B104,casostestes[#Data],6)),"-")</f>
        <v>-</v>
      </c>
      <c r="I104" s="50" t="str">
        <f>IFERROR(IF(VLOOKUP($B104,casostestes[#Data],8)=0,"-",VLOOKUP($B104,casostestes[#Data],8)),"-")</f>
        <v>-</v>
      </c>
      <c r="J104" s="50" t="str">
        <f>IFERROR(IF(VLOOKUP($B104,casostestes[#Data],9)=0,"-",VLOOKUP($B104,casostestes[#Data],9)),"-")</f>
        <v>-</v>
      </c>
      <c r="K104" s="112" t="str">
        <f>IFERROR(IF(VLOOKUP($B104,homologador01[#Data],12)=0,"Não executado",VLOOKUP($B104,homologador01[#Data],12)),"Não executado")</f>
        <v>Não executado</v>
      </c>
      <c r="L104" s="112" t="str">
        <f>IFERROR(IF(VLOOKUP($B104,homologador02[#Data],12)=0,"-",VLOOKUP($B104,homologador02[#Data],12)),"-")</f>
        <v>-</v>
      </c>
    </row>
    <row r="105" spans="2:12">
      <c r="B105" s="56" t="str">
        <f>IF(ISERR(casostestes[[#This Row],[ID]]),"-",casostestes[[#This Row],[ID]])</f>
        <v>-</v>
      </c>
      <c r="C105" s="49" t="str">
        <f>IFERROR(IF(VLOOKUP($B105,casostestes[#Data],10)=0,"Não",VLOOKUP($B105,casostestes[#Data],10)), "-")</f>
        <v>-</v>
      </c>
      <c r="D105" s="50" t="str">
        <f>IFERROR(IF(VLOOKUP($B105,casostestes[#Data],2)=0,"-",VLOOKUP($B105,casostestes[#Data],2)), "-")</f>
        <v>-</v>
      </c>
      <c r="E105" s="50" t="str">
        <f>IFERROR(IF(VLOOKUP($B105,casostestes[#Data],3)=0,"-",VLOOKUP($B105,casostestes[#Data],3)), "-")</f>
        <v>-</v>
      </c>
      <c r="F105" s="50" t="str">
        <f>IFERROR(IF(VLOOKUP($B105,casostestes[#Data],4)=0,"-",VLOOKUP($B105,casostestes[#Data],4)),"-")</f>
        <v>-</v>
      </c>
      <c r="G105" s="50" t="str">
        <f>IFERROR(IF(VLOOKUP($B105,casostestes[#Data],5)=0,"-",VLOOKUP($B105,casostestes[#Data],5)),"-")</f>
        <v>-</v>
      </c>
      <c r="H105" s="50" t="str">
        <f>IFERROR(IF(VLOOKUP($B105,casostestes[#Data],6)=0,"-",VLOOKUP($B105,casostestes[#Data],6)),"-")</f>
        <v>-</v>
      </c>
      <c r="I105" s="50" t="str">
        <f>IFERROR(IF(VLOOKUP($B105,casostestes[#Data],8)=0,"-",VLOOKUP($B105,casostestes[#Data],8)),"-")</f>
        <v>-</v>
      </c>
      <c r="J105" s="50" t="str">
        <f>IFERROR(IF(VLOOKUP($B105,casostestes[#Data],9)=0,"-",VLOOKUP($B105,casostestes[#Data],9)),"-")</f>
        <v>-</v>
      </c>
      <c r="K105" s="112" t="str">
        <f>IFERROR(IF(VLOOKUP($B105,homologador01[#Data],12)=0,"Não executado",VLOOKUP($B105,homologador01[#Data],12)),"Não executado")</f>
        <v>Não executado</v>
      </c>
      <c r="L105" s="112" t="str">
        <f>IFERROR(IF(VLOOKUP($B105,homologador02[#Data],12)=0,"-",VLOOKUP($B105,homologador02[#Data],12)),"-")</f>
        <v>-</v>
      </c>
    </row>
    <row r="106" spans="2:12">
      <c r="B106" s="56" t="str">
        <f>IF(ISERR(casostestes[[#This Row],[ID]]),"-",casostestes[[#This Row],[ID]])</f>
        <v>-</v>
      </c>
      <c r="C106" s="49" t="str">
        <f>IFERROR(IF(VLOOKUP($B106,casostestes[#Data],10)=0,"Não",VLOOKUP($B106,casostestes[#Data],10)), "-")</f>
        <v>-</v>
      </c>
      <c r="D106" s="50" t="str">
        <f>IFERROR(IF(VLOOKUP($B106,casostestes[#Data],2)=0,"-",VLOOKUP($B106,casostestes[#Data],2)), "-")</f>
        <v>-</v>
      </c>
      <c r="E106" s="50" t="str">
        <f>IFERROR(IF(VLOOKUP($B106,casostestes[#Data],3)=0,"-",VLOOKUP($B106,casostestes[#Data],3)), "-")</f>
        <v>-</v>
      </c>
      <c r="F106" s="50" t="str">
        <f>IFERROR(IF(VLOOKUP($B106,casostestes[#Data],4)=0,"-",VLOOKUP($B106,casostestes[#Data],4)),"-")</f>
        <v>-</v>
      </c>
      <c r="G106" s="50" t="str">
        <f>IFERROR(IF(VLOOKUP($B106,casostestes[#Data],5)=0,"-",VLOOKUP($B106,casostestes[#Data],5)),"-")</f>
        <v>-</v>
      </c>
      <c r="H106" s="50" t="str">
        <f>IFERROR(IF(VLOOKUP($B106,casostestes[#Data],6)=0,"-",VLOOKUP($B106,casostestes[#Data],6)),"-")</f>
        <v>-</v>
      </c>
      <c r="I106" s="50" t="str">
        <f>IFERROR(IF(VLOOKUP($B106,casostestes[#Data],8)=0,"-",VLOOKUP($B106,casostestes[#Data],8)),"-")</f>
        <v>-</v>
      </c>
      <c r="J106" s="50" t="str">
        <f>IFERROR(IF(VLOOKUP($B106,casostestes[#Data],9)=0,"-",VLOOKUP($B106,casostestes[#Data],9)),"-")</f>
        <v>-</v>
      </c>
      <c r="K106" s="112" t="str">
        <f>IFERROR(IF(VLOOKUP($B106,homologador01[#Data],12)=0,"Não executado",VLOOKUP($B106,homologador01[#Data],12)),"Não executado")</f>
        <v>Não executado</v>
      </c>
      <c r="L106" s="112" t="str">
        <f>IFERROR(IF(VLOOKUP($B106,homologador02[#Data],12)=0,"-",VLOOKUP($B106,homologador02[#Data],12)),"-")</f>
        <v>-</v>
      </c>
    </row>
    <row r="107" spans="2:12">
      <c r="B107" s="56" t="str">
        <f>IF(ISERR(casostestes[[#This Row],[ID]]),"-",casostestes[[#This Row],[ID]])</f>
        <v>-</v>
      </c>
      <c r="C107" s="49" t="str">
        <f>IFERROR(IF(VLOOKUP($B107,casostestes[#Data],10)=0,"Não",VLOOKUP($B107,casostestes[#Data],10)), "-")</f>
        <v>-</v>
      </c>
      <c r="D107" s="50" t="str">
        <f>IFERROR(IF(VLOOKUP($B107,casostestes[#Data],2)=0,"-",VLOOKUP($B107,casostestes[#Data],2)), "-")</f>
        <v>-</v>
      </c>
      <c r="E107" s="50" t="str">
        <f>IFERROR(IF(VLOOKUP($B107,casostestes[#Data],3)=0,"-",VLOOKUP($B107,casostestes[#Data],3)), "-")</f>
        <v>-</v>
      </c>
      <c r="F107" s="50" t="str">
        <f>IFERROR(IF(VLOOKUP($B107,casostestes[#Data],4)=0,"-",VLOOKUP($B107,casostestes[#Data],4)),"-")</f>
        <v>-</v>
      </c>
      <c r="G107" s="50" t="str">
        <f>IFERROR(IF(VLOOKUP($B107,casostestes[#Data],5)=0,"-",VLOOKUP($B107,casostestes[#Data],5)),"-")</f>
        <v>-</v>
      </c>
      <c r="H107" s="50" t="str">
        <f>IFERROR(IF(VLOOKUP($B107,casostestes[#Data],6)=0,"-",VLOOKUP($B107,casostestes[#Data],6)),"-")</f>
        <v>-</v>
      </c>
      <c r="I107" s="50" t="str">
        <f>IFERROR(IF(VLOOKUP($B107,casostestes[#Data],8)=0,"-",VLOOKUP($B107,casostestes[#Data],8)),"-")</f>
        <v>-</v>
      </c>
      <c r="J107" s="50" t="str">
        <f>IFERROR(IF(VLOOKUP($B107,casostestes[#Data],9)=0,"-",VLOOKUP($B107,casostestes[#Data],9)),"-")</f>
        <v>-</v>
      </c>
      <c r="K107" s="112" t="str">
        <f>IFERROR(IF(VLOOKUP($B107,homologador01[#Data],12)=0,"Não executado",VLOOKUP($B107,homologador01[#Data],12)),"Não executado")</f>
        <v>Não executado</v>
      </c>
      <c r="L107" s="112" t="str">
        <f>IFERROR(IF(VLOOKUP($B107,homologador02[#Data],12)=0,"-",VLOOKUP($B107,homologador02[#Data],12)),"-")</f>
        <v>-</v>
      </c>
    </row>
    <row r="108" spans="2:12">
      <c r="B108" s="56" t="str">
        <f>IF(ISERR(casostestes[[#This Row],[ID]]),"-",casostestes[[#This Row],[ID]])</f>
        <v>-</v>
      </c>
      <c r="C108" s="49" t="str">
        <f>IFERROR(IF(VLOOKUP($B108,casostestes[#Data],10)=0,"Não",VLOOKUP($B108,casostestes[#Data],10)), "-")</f>
        <v>-</v>
      </c>
      <c r="D108" s="50" t="str">
        <f>IFERROR(IF(VLOOKUP($B108,casostestes[#Data],2)=0,"-",VLOOKUP($B108,casostestes[#Data],2)), "-")</f>
        <v>-</v>
      </c>
      <c r="E108" s="50" t="str">
        <f>IFERROR(IF(VLOOKUP($B108,casostestes[#Data],3)=0,"-",VLOOKUP($B108,casostestes[#Data],3)), "-")</f>
        <v>-</v>
      </c>
      <c r="F108" s="50" t="str">
        <f>IFERROR(IF(VLOOKUP($B108,casostestes[#Data],4)=0,"-",VLOOKUP($B108,casostestes[#Data],4)),"-")</f>
        <v>-</v>
      </c>
      <c r="G108" s="50" t="str">
        <f>IFERROR(IF(VLOOKUP($B108,casostestes[#Data],5)=0,"-",VLOOKUP($B108,casostestes[#Data],5)),"-")</f>
        <v>-</v>
      </c>
      <c r="H108" s="50" t="str">
        <f>IFERROR(IF(VLOOKUP($B108,casostestes[#Data],6)=0,"-",VLOOKUP($B108,casostestes[#Data],6)),"-")</f>
        <v>-</v>
      </c>
      <c r="I108" s="50" t="str">
        <f>IFERROR(IF(VLOOKUP($B108,casostestes[#Data],8)=0,"-",VLOOKUP($B108,casostestes[#Data],8)),"-")</f>
        <v>-</v>
      </c>
      <c r="J108" s="50" t="str">
        <f>IFERROR(IF(VLOOKUP($B108,casostestes[#Data],9)=0,"-",VLOOKUP($B108,casostestes[#Data],9)),"-")</f>
        <v>-</v>
      </c>
      <c r="K108" s="112" t="str">
        <f>IFERROR(IF(VLOOKUP($B108,homologador01[#Data],12)=0,"Não executado",VLOOKUP($B108,homologador01[#Data],12)),"Não executado")</f>
        <v>Não executado</v>
      </c>
      <c r="L108" s="112" t="str">
        <f>IFERROR(IF(VLOOKUP($B108,homologador02[#Data],12)=0,"-",VLOOKUP($B108,homologador02[#Data],12)),"-")</f>
        <v>-</v>
      </c>
    </row>
    <row r="109" spans="2:12">
      <c r="B109" s="56" t="str">
        <f>IF(ISERR(casostestes[[#This Row],[ID]]),"-",casostestes[[#This Row],[ID]])</f>
        <v>-</v>
      </c>
      <c r="C109" s="49" t="str">
        <f>IFERROR(IF(VLOOKUP($B109,casostestes[#Data],10)=0,"Não",VLOOKUP($B109,casostestes[#Data],10)), "-")</f>
        <v>-</v>
      </c>
      <c r="D109" s="50" t="str">
        <f>IFERROR(IF(VLOOKUP($B109,casostestes[#Data],2)=0,"-",VLOOKUP($B109,casostestes[#Data],2)), "-")</f>
        <v>-</v>
      </c>
      <c r="E109" s="50" t="str">
        <f>IFERROR(IF(VLOOKUP($B109,casostestes[#Data],3)=0,"-",VLOOKUP($B109,casostestes[#Data],3)), "-")</f>
        <v>-</v>
      </c>
      <c r="F109" s="50" t="str">
        <f>IFERROR(IF(VLOOKUP($B109,casostestes[#Data],4)=0,"-",VLOOKUP($B109,casostestes[#Data],4)),"-")</f>
        <v>-</v>
      </c>
      <c r="G109" s="50" t="str">
        <f>IFERROR(IF(VLOOKUP($B109,casostestes[#Data],5)=0,"-",VLOOKUP($B109,casostestes[#Data],5)),"-")</f>
        <v>-</v>
      </c>
      <c r="H109" s="50" t="str">
        <f>IFERROR(IF(VLOOKUP($B109,casostestes[#Data],6)=0,"-",VLOOKUP($B109,casostestes[#Data],6)),"-")</f>
        <v>-</v>
      </c>
      <c r="I109" s="50" t="str">
        <f>IFERROR(IF(VLOOKUP($B109,casostestes[#Data],8)=0,"-",VLOOKUP($B109,casostestes[#Data],8)),"-")</f>
        <v>-</v>
      </c>
      <c r="J109" s="50" t="str">
        <f>IFERROR(IF(VLOOKUP($B109,casostestes[#Data],9)=0,"-",VLOOKUP($B109,casostestes[#Data],9)),"-")</f>
        <v>-</v>
      </c>
      <c r="K109" s="112" t="str">
        <f>IFERROR(IF(VLOOKUP($B109,homologador01[#Data],12)=0,"Não executado",VLOOKUP($B109,homologador01[#Data],12)),"Não executado")</f>
        <v>Não executado</v>
      </c>
      <c r="L109" s="112" t="str">
        <f>IFERROR(IF(VLOOKUP($B109,homologador02[#Data],12)=0,"-",VLOOKUP($B109,homologador02[#Data],12)),"-")</f>
        <v>-</v>
      </c>
    </row>
    <row r="110" spans="2:12">
      <c r="B110" s="56" t="str">
        <f>IF(ISERR(casostestes[[#This Row],[ID]]),"-",casostestes[[#This Row],[ID]])</f>
        <v>-</v>
      </c>
      <c r="C110" s="49" t="str">
        <f>IFERROR(IF(VLOOKUP($B110,casostestes[#Data],10)=0,"Não",VLOOKUP($B110,casostestes[#Data],10)), "-")</f>
        <v>-</v>
      </c>
      <c r="D110" s="50" t="str">
        <f>IFERROR(IF(VLOOKUP($B110,casostestes[#Data],2)=0,"-",VLOOKUP($B110,casostestes[#Data],2)), "-")</f>
        <v>-</v>
      </c>
      <c r="E110" s="50" t="str">
        <f>IFERROR(IF(VLOOKUP($B110,casostestes[#Data],3)=0,"-",VLOOKUP($B110,casostestes[#Data],3)), "-")</f>
        <v>-</v>
      </c>
      <c r="F110" s="50" t="str">
        <f>IFERROR(IF(VLOOKUP($B110,casostestes[#Data],4)=0,"-",VLOOKUP($B110,casostestes[#Data],4)),"-")</f>
        <v>-</v>
      </c>
      <c r="G110" s="50" t="str">
        <f>IFERROR(IF(VLOOKUP($B110,casostestes[#Data],5)=0,"-",VLOOKUP($B110,casostestes[#Data],5)),"-")</f>
        <v>-</v>
      </c>
      <c r="H110" s="50" t="str">
        <f>IFERROR(IF(VLOOKUP($B110,casostestes[#Data],6)=0,"-",VLOOKUP($B110,casostestes[#Data],6)),"-")</f>
        <v>-</v>
      </c>
      <c r="I110" s="50" t="str">
        <f>IFERROR(IF(VLOOKUP($B110,casostestes[#Data],8)=0,"-",VLOOKUP($B110,casostestes[#Data],8)),"-")</f>
        <v>-</v>
      </c>
      <c r="J110" s="50" t="str">
        <f>IFERROR(IF(VLOOKUP($B110,casostestes[#Data],9)=0,"-",VLOOKUP($B110,casostestes[#Data],9)),"-")</f>
        <v>-</v>
      </c>
      <c r="K110" s="112" t="str">
        <f>IFERROR(IF(VLOOKUP($B110,homologador01[#Data],12)=0,"Não executado",VLOOKUP($B110,homologador01[#Data],12)),"Não executado")</f>
        <v>Não executado</v>
      </c>
      <c r="L110" s="112" t="str">
        <f>IFERROR(IF(VLOOKUP($B110,homologador02[#Data],12)=0,"-",VLOOKUP($B110,homologador02[#Data],12)),"-")</f>
        <v>-</v>
      </c>
    </row>
    <row r="111" spans="2:12">
      <c r="B111" s="56" t="str">
        <f>IF(ISERR(casostestes[[#This Row],[ID]]),"-",casostestes[[#This Row],[ID]])</f>
        <v>-</v>
      </c>
      <c r="C111" s="49" t="str">
        <f>IFERROR(IF(VLOOKUP($B111,casostestes[#Data],10)=0,"Não",VLOOKUP($B111,casostestes[#Data],10)), "-")</f>
        <v>-</v>
      </c>
      <c r="D111" s="50" t="str">
        <f>IFERROR(IF(VLOOKUP($B111,casostestes[#Data],2)=0,"-",VLOOKUP($B111,casostestes[#Data],2)), "-")</f>
        <v>-</v>
      </c>
      <c r="E111" s="50" t="str">
        <f>IFERROR(IF(VLOOKUP($B111,casostestes[#Data],3)=0,"-",VLOOKUP($B111,casostestes[#Data],3)), "-")</f>
        <v>-</v>
      </c>
      <c r="F111" s="50" t="str">
        <f>IFERROR(IF(VLOOKUP($B111,casostestes[#Data],4)=0,"-",VLOOKUP($B111,casostestes[#Data],4)),"-")</f>
        <v>-</v>
      </c>
      <c r="G111" s="50" t="str">
        <f>IFERROR(IF(VLOOKUP($B111,casostestes[#Data],5)=0,"-",VLOOKUP($B111,casostestes[#Data],5)),"-")</f>
        <v>-</v>
      </c>
      <c r="H111" s="50" t="str">
        <f>IFERROR(IF(VLOOKUP($B111,casostestes[#Data],6)=0,"-",VLOOKUP($B111,casostestes[#Data],6)),"-")</f>
        <v>-</v>
      </c>
      <c r="I111" s="50" t="str">
        <f>IFERROR(IF(VLOOKUP($B111,casostestes[#Data],8)=0,"-",VLOOKUP($B111,casostestes[#Data],8)),"-")</f>
        <v>-</v>
      </c>
      <c r="J111" s="50" t="str">
        <f>IFERROR(IF(VLOOKUP($B111,casostestes[#Data],9)=0,"-",VLOOKUP($B111,casostestes[#Data],9)),"-")</f>
        <v>-</v>
      </c>
      <c r="K111" s="112" t="str">
        <f>IFERROR(IF(VLOOKUP($B111,homologador01[#Data],12)=0,"Não executado",VLOOKUP($B111,homologador01[#Data],12)),"Não executado")</f>
        <v>Não executado</v>
      </c>
      <c r="L111" s="112" t="str">
        <f>IFERROR(IF(VLOOKUP($B111,homologador02[#Data],12)=0,"-",VLOOKUP($B111,homologador02[#Data],12)),"-")</f>
        <v>-</v>
      </c>
    </row>
    <row r="112" spans="2:12">
      <c r="B112" s="56" t="str">
        <f>IF(ISERR(casostestes[[#This Row],[ID]]),"-",casostestes[[#This Row],[ID]])</f>
        <v>-</v>
      </c>
      <c r="C112" s="49" t="str">
        <f>IFERROR(IF(VLOOKUP($B112,casostestes[#Data],10)=0,"Não",VLOOKUP($B112,casostestes[#Data],10)), "-")</f>
        <v>-</v>
      </c>
      <c r="D112" s="50" t="str">
        <f>IFERROR(IF(VLOOKUP($B112,casostestes[#Data],2)=0,"-",VLOOKUP($B112,casostestes[#Data],2)), "-")</f>
        <v>-</v>
      </c>
      <c r="E112" s="50" t="str">
        <f>IFERROR(IF(VLOOKUP($B112,casostestes[#Data],3)=0,"-",VLOOKUP($B112,casostestes[#Data],3)), "-")</f>
        <v>-</v>
      </c>
      <c r="F112" s="50" t="str">
        <f>IFERROR(IF(VLOOKUP($B112,casostestes[#Data],4)=0,"-",VLOOKUP($B112,casostestes[#Data],4)),"-")</f>
        <v>-</v>
      </c>
      <c r="G112" s="50" t="str">
        <f>IFERROR(IF(VLOOKUP($B112,casostestes[#Data],5)=0,"-",VLOOKUP($B112,casostestes[#Data],5)),"-")</f>
        <v>-</v>
      </c>
      <c r="H112" s="50" t="str">
        <f>IFERROR(IF(VLOOKUP($B112,casostestes[#Data],6)=0,"-",VLOOKUP($B112,casostestes[#Data],6)),"-")</f>
        <v>-</v>
      </c>
      <c r="I112" s="50" t="str">
        <f>IFERROR(IF(VLOOKUP($B112,casostestes[#Data],8)=0,"-",VLOOKUP($B112,casostestes[#Data],8)),"-")</f>
        <v>-</v>
      </c>
      <c r="J112" s="50" t="str">
        <f>IFERROR(IF(VLOOKUP($B112,casostestes[#Data],9)=0,"-",VLOOKUP($B112,casostestes[#Data],9)),"-")</f>
        <v>-</v>
      </c>
      <c r="K112" s="112" t="str">
        <f>IFERROR(IF(VLOOKUP($B112,homologador01[#Data],12)=0,"Não executado",VLOOKUP($B112,homologador01[#Data],12)),"Não executado")</f>
        <v>Não executado</v>
      </c>
      <c r="L112" s="112" t="str">
        <f>IFERROR(IF(VLOOKUP($B112,homologador02[#Data],12)=0,"-",VLOOKUP($B112,homologador02[#Data],12)),"-")</f>
        <v>-</v>
      </c>
    </row>
    <row r="113" spans="2:12">
      <c r="B113" s="56" t="str">
        <f>IF(ISERR(casostestes[[#This Row],[ID]]),"-",casostestes[[#This Row],[ID]])</f>
        <v>-</v>
      </c>
      <c r="C113" s="49" t="str">
        <f>IFERROR(IF(VLOOKUP($B113,casostestes[#Data],10)=0,"Não",VLOOKUP($B113,casostestes[#Data],10)), "-")</f>
        <v>-</v>
      </c>
      <c r="D113" s="50" t="str">
        <f>IFERROR(IF(VLOOKUP($B113,casostestes[#Data],2)=0,"-",VLOOKUP($B113,casostestes[#Data],2)), "-")</f>
        <v>-</v>
      </c>
      <c r="E113" s="50" t="str">
        <f>IFERROR(IF(VLOOKUP($B113,casostestes[#Data],3)=0,"-",VLOOKUP($B113,casostestes[#Data],3)), "-")</f>
        <v>-</v>
      </c>
      <c r="F113" s="50" t="str">
        <f>IFERROR(IF(VLOOKUP($B113,casostestes[#Data],4)=0,"-",VLOOKUP($B113,casostestes[#Data],4)),"-")</f>
        <v>-</v>
      </c>
      <c r="G113" s="50" t="str">
        <f>IFERROR(IF(VLOOKUP($B113,casostestes[#Data],5)=0,"-",VLOOKUP($B113,casostestes[#Data],5)),"-")</f>
        <v>-</v>
      </c>
      <c r="H113" s="50" t="str">
        <f>IFERROR(IF(VLOOKUP($B113,casostestes[#Data],6)=0,"-",VLOOKUP($B113,casostestes[#Data],6)),"-")</f>
        <v>-</v>
      </c>
      <c r="I113" s="50" t="str">
        <f>IFERROR(IF(VLOOKUP($B113,casostestes[#Data],8)=0,"-",VLOOKUP($B113,casostestes[#Data],8)),"-")</f>
        <v>-</v>
      </c>
      <c r="J113" s="50" t="str">
        <f>IFERROR(IF(VLOOKUP($B113,casostestes[#Data],9)=0,"-",VLOOKUP($B113,casostestes[#Data],9)),"-")</f>
        <v>-</v>
      </c>
      <c r="K113" s="112" t="str">
        <f>IFERROR(IF(VLOOKUP($B113,homologador01[#Data],12)=0,"Não executado",VLOOKUP($B113,homologador01[#Data],12)),"Não executado")</f>
        <v>Não executado</v>
      </c>
      <c r="L113" s="112" t="str">
        <f>IFERROR(IF(VLOOKUP($B113,homologador02[#Data],12)=0,"-",VLOOKUP($B113,homologador02[#Data],12)),"-")</f>
        <v>-</v>
      </c>
    </row>
    <row r="114" spans="2:12">
      <c r="B114" s="56" t="str">
        <f>IF(ISERR(casostestes[[#This Row],[ID]]),"-",casostestes[[#This Row],[ID]])</f>
        <v>-</v>
      </c>
      <c r="C114" s="49" t="str">
        <f>IFERROR(IF(VLOOKUP($B114,casostestes[#Data],10)=0,"Não",VLOOKUP($B114,casostestes[#Data],10)), "-")</f>
        <v>-</v>
      </c>
      <c r="D114" s="50" t="str">
        <f>IFERROR(IF(VLOOKUP($B114,casostestes[#Data],2)=0,"-",VLOOKUP($B114,casostestes[#Data],2)), "-")</f>
        <v>-</v>
      </c>
      <c r="E114" s="50" t="str">
        <f>IFERROR(IF(VLOOKUP($B114,casostestes[#Data],3)=0,"-",VLOOKUP($B114,casostestes[#Data],3)), "-")</f>
        <v>-</v>
      </c>
      <c r="F114" s="50" t="str">
        <f>IFERROR(IF(VLOOKUP($B114,casostestes[#Data],4)=0,"-",VLOOKUP($B114,casostestes[#Data],4)),"-")</f>
        <v>-</v>
      </c>
      <c r="G114" s="50" t="str">
        <f>IFERROR(IF(VLOOKUP($B114,casostestes[#Data],5)=0,"-",VLOOKUP($B114,casostestes[#Data],5)),"-")</f>
        <v>-</v>
      </c>
      <c r="H114" s="50" t="str">
        <f>IFERROR(IF(VLOOKUP($B114,casostestes[#Data],6)=0,"-",VLOOKUP($B114,casostestes[#Data],6)),"-")</f>
        <v>-</v>
      </c>
      <c r="I114" s="50" t="str">
        <f>IFERROR(IF(VLOOKUP($B114,casostestes[#Data],8)=0,"-",VLOOKUP($B114,casostestes[#Data],8)),"-")</f>
        <v>-</v>
      </c>
      <c r="J114" s="50" t="str">
        <f>IFERROR(IF(VLOOKUP($B114,casostestes[#Data],9)=0,"-",VLOOKUP($B114,casostestes[#Data],9)),"-")</f>
        <v>-</v>
      </c>
      <c r="K114" s="112" t="str">
        <f>IFERROR(IF(VLOOKUP($B114,homologador01[#Data],12)=0,"Não executado",VLOOKUP($B114,homologador01[#Data],12)),"Não executado")</f>
        <v>Não executado</v>
      </c>
      <c r="L114" s="112" t="str">
        <f>IFERROR(IF(VLOOKUP($B114,homologador02[#Data],12)=0,"-",VLOOKUP($B114,homologador02[#Data],12)),"-")</f>
        <v>-</v>
      </c>
    </row>
    <row r="115" spans="2:12">
      <c r="B115" s="56" t="str">
        <f>IF(ISERR(casostestes[[#This Row],[ID]]),"-",casostestes[[#This Row],[ID]])</f>
        <v>-</v>
      </c>
      <c r="C115" s="49" t="str">
        <f>IFERROR(IF(VLOOKUP($B115,casostestes[#Data],10)=0,"Não",VLOOKUP($B115,casostestes[#Data],10)), "-")</f>
        <v>-</v>
      </c>
      <c r="D115" s="50" t="str">
        <f>IFERROR(IF(VLOOKUP($B115,casostestes[#Data],2)=0,"-",VLOOKUP($B115,casostestes[#Data],2)), "-")</f>
        <v>-</v>
      </c>
      <c r="E115" s="50" t="str">
        <f>IFERROR(IF(VLOOKUP($B115,casostestes[#Data],3)=0,"-",VLOOKUP($B115,casostestes[#Data],3)), "-")</f>
        <v>-</v>
      </c>
      <c r="F115" s="50" t="str">
        <f>IFERROR(IF(VLOOKUP($B115,casostestes[#Data],4)=0,"-",VLOOKUP($B115,casostestes[#Data],4)),"-")</f>
        <v>-</v>
      </c>
      <c r="G115" s="50" t="str">
        <f>IFERROR(IF(VLOOKUP($B115,casostestes[#Data],5)=0,"-",VLOOKUP($B115,casostestes[#Data],5)),"-")</f>
        <v>-</v>
      </c>
      <c r="H115" s="50" t="str">
        <f>IFERROR(IF(VLOOKUP($B115,casostestes[#Data],6)=0,"-",VLOOKUP($B115,casostestes[#Data],6)),"-")</f>
        <v>-</v>
      </c>
      <c r="I115" s="50" t="str">
        <f>IFERROR(IF(VLOOKUP($B115,casostestes[#Data],8)=0,"-",VLOOKUP($B115,casostestes[#Data],8)),"-")</f>
        <v>-</v>
      </c>
      <c r="J115" s="50" t="str">
        <f>IFERROR(IF(VLOOKUP($B115,casostestes[#Data],9)=0,"-",VLOOKUP($B115,casostestes[#Data],9)),"-")</f>
        <v>-</v>
      </c>
      <c r="K115" s="112" t="str">
        <f>IFERROR(IF(VLOOKUP($B115,homologador01[#Data],12)=0,"Não executado",VLOOKUP($B115,homologador01[#Data],12)),"Não executado")</f>
        <v>Não executado</v>
      </c>
      <c r="L115" s="112" t="str">
        <f>IFERROR(IF(VLOOKUP($B115,homologador02[#Data],12)=0,"-",VLOOKUP($B115,homologador02[#Data],12)),"-")</f>
        <v>-</v>
      </c>
    </row>
    <row r="116" spans="2:12">
      <c r="B116" s="56" t="str">
        <f>IF(ISERR(casostestes[[#This Row],[ID]]),"-",casostestes[[#This Row],[ID]])</f>
        <v>-</v>
      </c>
      <c r="C116" s="49" t="str">
        <f>IFERROR(IF(VLOOKUP($B116,casostestes[#Data],10)=0,"Não",VLOOKUP($B116,casostestes[#Data],10)), "-")</f>
        <v>-</v>
      </c>
      <c r="D116" s="50" t="str">
        <f>IFERROR(IF(VLOOKUP($B116,casostestes[#Data],2)=0,"-",VLOOKUP($B116,casostestes[#Data],2)), "-")</f>
        <v>-</v>
      </c>
      <c r="E116" s="50" t="str">
        <f>IFERROR(IF(VLOOKUP($B116,casostestes[#Data],3)=0,"-",VLOOKUP($B116,casostestes[#Data],3)), "-")</f>
        <v>-</v>
      </c>
      <c r="F116" s="50" t="str">
        <f>IFERROR(IF(VLOOKUP($B116,casostestes[#Data],4)=0,"-",VLOOKUP($B116,casostestes[#Data],4)),"-")</f>
        <v>-</v>
      </c>
      <c r="G116" s="50" t="str">
        <f>IFERROR(IF(VLOOKUP($B116,casostestes[#Data],5)=0,"-",VLOOKUP($B116,casostestes[#Data],5)),"-")</f>
        <v>-</v>
      </c>
      <c r="H116" s="50" t="str">
        <f>IFERROR(IF(VLOOKUP($B116,casostestes[#Data],6)=0,"-",VLOOKUP($B116,casostestes[#Data],6)),"-")</f>
        <v>-</v>
      </c>
      <c r="I116" s="50" t="str">
        <f>IFERROR(IF(VLOOKUP($B116,casostestes[#Data],8)=0,"-",VLOOKUP($B116,casostestes[#Data],8)),"-")</f>
        <v>-</v>
      </c>
      <c r="J116" s="50" t="str">
        <f>IFERROR(IF(VLOOKUP($B116,casostestes[#Data],9)=0,"-",VLOOKUP($B116,casostestes[#Data],9)),"-")</f>
        <v>-</v>
      </c>
      <c r="K116" s="112" t="str">
        <f>IFERROR(IF(VLOOKUP($B116,homologador01[#Data],12)=0,"Não executado",VLOOKUP($B116,homologador01[#Data],12)),"Não executado")</f>
        <v>Não executado</v>
      </c>
      <c r="L116" s="112" t="str">
        <f>IFERROR(IF(VLOOKUP($B116,homologador02[#Data],12)=0,"-",VLOOKUP($B116,homologador02[#Data],12)),"-")</f>
        <v>-</v>
      </c>
    </row>
    <row r="117" spans="2:12">
      <c r="B117" s="56" t="str">
        <f>IF(ISERR(casostestes[[#This Row],[ID]]),"-",casostestes[[#This Row],[ID]])</f>
        <v>-</v>
      </c>
      <c r="C117" s="49" t="str">
        <f>IFERROR(IF(VLOOKUP($B117,casostestes[#Data],10)=0,"Não",VLOOKUP($B117,casostestes[#Data],10)), "-")</f>
        <v>-</v>
      </c>
      <c r="D117" s="50" t="str">
        <f>IFERROR(IF(VLOOKUP($B117,casostestes[#Data],2)=0,"-",VLOOKUP($B117,casostestes[#Data],2)), "-")</f>
        <v>-</v>
      </c>
      <c r="E117" s="50" t="str">
        <f>IFERROR(IF(VLOOKUP($B117,casostestes[#Data],3)=0,"-",VLOOKUP($B117,casostestes[#Data],3)), "-")</f>
        <v>-</v>
      </c>
      <c r="F117" s="50" t="str">
        <f>IFERROR(IF(VLOOKUP($B117,casostestes[#Data],4)=0,"-",VLOOKUP($B117,casostestes[#Data],4)),"-")</f>
        <v>-</v>
      </c>
      <c r="G117" s="50" t="str">
        <f>IFERROR(IF(VLOOKUP($B117,casostestes[#Data],5)=0,"-",VLOOKUP($B117,casostestes[#Data],5)),"-")</f>
        <v>-</v>
      </c>
      <c r="H117" s="50" t="str">
        <f>IFERROR(IF(VLOOKUP($B117,casostestes[#Data],6)=0,"-",VLOOKUP($B117,casostestes[#Data],6)),"-")</f>
        <v>-</v>
      </c>
      <c r="I117" s="50" t="str">
        <f>IFERROR(IF(VLOOKUP($B117,casostestes[#Data],8)=0,"-",VLOOKUP($B117,casostestes[#Data],8)),"-")</f>
        <v>-</v>
      </c>
      <c r="J117" s="50" t="str">
        <f>IFERROR(IF(VLOOKUP($B117,casostestes[#Data],9)=0,"-",VLOOKUP($B117,casostestes[#Data],9)),"-")</f>
        <v>-</v>
      </c>
      <c r="K117" s="112" t="str">
        <f>IFERROR(IF(VLOOKUP($B117,homologador01[#Data],12)=0,"Não executado",VLOOKUP($B117,homologador01[#Data],12)),"Não executado")</f>
        <v>Não executado</v>
      </c>
      <c r="L117" s="112" t="str">
        <f>IFERROR(IF(VLOOKUP($B117,homologador02[#Data],12)=0,"-",VLOOKUP($B117,homologador02[#Data],12)),"-")</f>
        <v>-</v>
      </c>
    </row>
    <row r="118" spans="2:12">
      <c r="B118" s="56" t="str">
        <f>IF(ISERR(casostestes[[#This Row],[ID]]),"-",casostestes[[#This Row],[ID]])</f>
        <v>-</v>
      </c>
      <c r="C118" s="49" t="str">
        <f>IFERROR(IF(VLOOKUP($B118,casostestes[#Data],10)=0,"Não",VLOOKUP($B118,casostestes[#Data],10)), "-")</f>
        <v>-</v>
      </c>
      <c r="D118" s="50" t="str">
        <f>IFERROR(IF(VLOOKUP($B118,casostestes[#Data],2)=0,"-",VLOOKUP($B118,casostestes[#Data],2)), "-")</f>
        <v>-</v>
      </c>
      <c r="E118" s="50" t="str">
        <f>IFERROR(IF(VLOOKUP($B118,casostestes[#Data],3)=0,"-",VLOOKUP($B118,casostestes[#Data],3)), "-")</f>
        <v>-</v>
      </c>
      <c r="F118" s="50" t="str">
        <f>IFERROR(IF(VLOOKUP($B118,casostestes[#Data],4)=0,"-",VLOOKUP($B118,casostestes[#Data],4)),"-")</f>
        <v>-</v>
      </c>
      <c r="G118" s="50" t="str">
        <f>IFERROR(IF(VLOOKUP($B118,casostestes[#Data],5)=0,"-",VLOOKUP($B118,casostestes[#Data],5)),"-")</f>
        <v>-</v>
      </c>
      <c r="H118" s="50" t="str">
        <f>IFERROR(IF(VLOOKUP($B118,casostestes[#Data],6)=0,"-",VLOOKUP($B118,casostestes[#Data],6)),"-")</f>
        <v>-</v>
      </c>
      <c r="I118" s="50" t="str">
        <f>IFERROR(IF(VLOOKUP($B118,casostestes[#Data],8)=0,"-",VLOOKUP($B118,casostestes[#Data],8)),"-")</f>
        <v>-</v>
      </c>
      <c r="J118" s="50" t="str">
        <f>IFERROR(IF(VLOOKUP($B118,casostestes[#Data],9)=0,"-",VLOOKUP($B118,casostestes[#Data],9)),"-")</f>
        <v>-</v>
      </c>
      <c r="K118" s="112" t="str">
        <f>IFERROR(IF(VLOOKUP($B118,homologador01[#Data],12)=0,"Não executado",VLOOKUP($B118,homologador01[#Data],12)),"Não executado")</f>
        <v>Não executado</v>
      </c>
      <c r="L118" s="112" t="str">
        <f>IFERROR(IF(VLOOKUP($B118,homologador02[#Data],12)=0,"-",VLOOKUP($B118,homologador02[#Data],12)),"-")</f>
        <v>-</v>
      </c>
    </row>
    <row r="119" spans="2:12">
      <c r="B119" s="56" t="str">
        <f>IF(ISERR(casostestes[[#This Row],[ID]]),"-",casostestes[[#This Row],[ID]])</f>
        <v>-</v>
      </c>
      <c r="C119" s="49" t="str">
        <f>IFERROR(IF(VLOOKUP($B119,casostestes[#Data],10)=0,"Não",VLOOKUP($B119,casostestes[#Data],10)), "-")</f>
        <v>-</v>
      </c>
      <c r="D119" s="50" t="str">
        <f>IFERROR(IF(VLOOKUP($B119,casostestes[#Data],2)=0,"-",VLOOKUP($B119,casostestes[#Data],2)), "-")</f>
        <v>-</v>
      </c>
      <c r="E119" s="50" t="str">
        <f>IFERROR(IF(VLOOKUP($B119,casostestes[#Data],3)=0,"-",VLOOKUP($B119,casostestes[#Data],3)), "-")</f>
        <v>-</v>
      </c>
      <c r="F119" s="50" t="str">
        <f>IFERROR(IF(VLOOKUP($B119,casostestes[#Data],4)=0,"-",VLOOKUP($B119,casostestes[#Data],4)),"-")</f>
        <v>-</v>
      </c>
      <c r="G119" s="50" t="str">
        <f>IFERROR(IF(VLOOKUP($B119,casostestes[#Data],5)=0,"-",VLOOKUP($B119,casostestes[#Data],5)),"-")</f>
        <v>-</v>
      </c>
      <c r="H119" s="50" t="str">
        <f>IFERROR(IF(VLOOKUP($B119,casostestes[#Data],6)=0,"-",VLOOKUP($B119,casostestes[#Data],6)),"-")</f>
        <v>-</v>
      </c>
      <c r="I119" s="50" t="str">
        <f>IFERROR(IF(VLOOKUP($B119,casostestes[#Data],8)=0,"-",VLOOKUP($B119,casostestes[#Data],8)),"-")</f>
        <v>-</v>
      </c>
      <c r="J119" s="50" t="str">
        <f>IFERROR(IF(VLOOKUP($B119,casostestes[#Data],9)=0,"-",VLOOKUP($B119,casostestes[#Data],9)),"-")</f>
        <v>-</v>
      </c>
      <c r="K119" s="112" t="str">
        <f>IFERROR(IF(VLOOKUP($B119,homologador01[#Data],12)=0,"Não executado",VLOOKUP($B119,homologador01[#Data],12)),"Não executado")</f>
        <v>Não executado</v>
      </c>
      <c r="L119" s="112" t="str">
        <f>IFERROR(IF(VLOOKUP($B119,homologador02[#Data],12)=0,"-",VLOOKUP($B119,homologador02[#Data],12)),"-")</f>
        <v>-</v>
      </c>
    </row>
    <row r="120" spans="2:12">
      <c r="B120" s="56" t="str">
        <f>IF(ISERR(casostestes[[#This Row],[ID]]),"-",casostestes[[#This Row],[ID]])</f>
        <v>-</v>
      </c>
      <c r="C120" s="49" t="str">
        <f>IFERROR(IF(VLOOKUP($B120,casostestes[#Data],10)=0,"Não",VLOOKUP($B120,casostestes[#Data],10)), "-")</f>
        <v>-</v>
      </c>
      <c r="D120" s="50" t="str">
        <f>IFERROR(IF(VLOOKUP($B120,casostestes[#Data],2)=0,"-",VLOOKUP($B120,casostestes[#Data],2)), "-")</f>
        <v>-</v>
      </c>
      <c r="E120" s="50" t="str">
        <f>IFERROR(IF(VLOOKUP($B120,casostestes[#Data],3)=0,"-",VLOOKUP($B120,casostestes[#Data],3)), "-")</f>
        <v>-</v>
      </c>
      <c r="F120" s="50" t="str">
        <f>IFERROR(IF(VLOOKUP($B120,casostestes[#Data],4)=0,"-",VLOOKUP($B120,casostestes[#Data],4)),"-")</f>
        <v>-</v>
      </c>
      <c r="G120" s="50" t="str">
        <f>IFERROR(IF(VLOOKUP($B120,casostestes[#Data],5)=0,"-",VLOOKUP($B120,casostestes[#Data],5)),"-")</f>
        <v>-</v>
      </c>
      <c r="H120" s="50" t="str">
        <f>IFERROR(IF(VLOOKUP($B120,casostestes[#Data],6)=0,"-",VLOOKUP($B120,casostestes[#Data],6)),"-")</f>
        <v>-</v>
      </c>
      <c r="I120" s="50" t="str">
        <f>IFERROR(IF(VLOOKUP($B120,casostestes[#Data],8)=0,"-",VLOOKUP($B120,casostestes[#Data],8)),"-")</f>
        <v>-</v>
      </c>
      <c r="J120" s="50" t="str">
        <f>IFERROR(IF(VLOOKUP($B120,casostestes[#Data],9)=0,"-",VLOOKUP($B120,casostestes[#Data],9)),"-")</f>
        <v>-</v>
      </c>
      <c r="K120" s="112" t="str">
        <f>IFERROR(IF(VLOOKUP($B120,homologador01[#Data],12)=0,"Não executado",VLOOKUP($B120,homologador01[#Data],12)),"Não executado")</f>
        <v>Não executado</v>
      </c>
      <c r="L120" s="112" t="str">
        <f>IFERROR(IF(VLOOKUP($B120,homologador02[#Data],12)=0,"-",VLOOKUP($B120,homologador02[#Data],12)),"-")</f>
        <v>-</v>
      </c>
    </row>
    <row r="121" spans="2:12">
      <c r="B121" s="56" t="str">
        <f>IF(ISERR(casostestes[[#This Row],[ID]]),"-",casostestes[[#This Row],[ID]])</f>
        <v>-</v>
      </c>
      <c r="C121" s="49" t="str">
        <f>IFERROR(IF(VLOOKUP($B121,casostestes[#Data],10)=0,"Não",VLOOKUP($B121,casostestes[#Data],10)), "-")</f>
        <v>-</v>
      </c>
      <c r="D121" s="50" t="str">
        <f>IFERROR(IF(VLOOKUP($B121,casostestes[#Data],2)=0,"-",VLOOKUP($B121,casostestes[#Data],2)), "-")</f>
        <v>-</v>
      </c>
      <c r="E121" s="50" t="str">
        <f>IFERROR(IF(VLOOKUP($B121,casostestes[#Data],3)=0,"-",VLOOKUP($B121,casostestes[#Data],3)), "-")</f>
        <v>-</v>
      </c>
      <c r="F121" s="50" t="str">
        <f>IFERROR(IF(VLOOKUP($B121,casostestes[#Data],4)=0,"-",VLOOKUP($B121,casostestes[#Data],4)),"-")</f>
        <v>-</v>
      </c>
      <c r="G121" s="50" t="str">
        <f>IFERROR(IF(VLOOKUP($B121,casostestes[#Data],5)=0,"-",VLOOKUP($B121,casostestes[#Data],5)),"-")</f>
        <v>-</v>
      </c>
      <c r="H121" s="50" t="str">
        <f>IFERROR(IF(VLOOKUP($B121,casostestes[#Data],6)=0,"-",VLOOKUP($B121,casostestes[#Data],6)),"-")</f>
        <v>-</v>
      </c>
      <c r="I121" s="50" t="str">
        <f>IFERROR(IF(VLOOKUP($B121,casostestes[#Data],8)=0,"-",VLOOKUP($B121,casostestes[#Data],8)),"-")</f>
        <v>-</v>
      </c>
      <c r="J121" s="50" t="str">
        <f>IFERROR(IF(VLOOKUP($B121,casostestes[#Data],9)=0,"-",VLOOKUP($B121,casostestes[#Data],9)),"-")</f>
        <v>-</v>
      </c>
      <c r="K121" s="112" t="str">
        <f>IFERROR(IF(VLOOKUP($B121,homologador01[#Data],12)=0,"Não executado",VLOOKUP($B121,homologador01[#Data],12)),"Não executado")</f>
        <v>Não executado</v>
      </c>
      <c r="L121" s="112" t="str">
        <f>IFERROR(IF(VLOOKUP($B121,homologador02[#Data],12)=0,"-",VLOOKUP($B121,homologador02[#Data],12)),"-")</f>
        <v>-</v>
      </c>
    </row>
    <row r="122" spans="2:12">
      <c r="B122" s="56" t="str">
        <f>IF(ISERR(casostestes[[#This Row],[ID]]),"-",casostestes[[#This Row],[ID]])</f>
        <v>-</v>
      </c>
      <c r="C122" s="49" t="str">
        <f>IFERROR(IF(VLOOKUP($B122,casostestes[#Data],10)=0,"Não",VLOOKUP($B122,casostestes[#Data],10)), "-")</f>
        <v>-</v>
      </c>
      <c r="D122" s="50" t="str">
        <f>IFERROR(IF(VLOOKUP($B122,casostestes[#Data],2)=0,"-",VLOOKUP($B122,casostestes[#Data],2)), "-")</f>
        <v>-</v>
      </c>
      <c r="E122" s="50" t="str">
        <f>IFERROR(IF(VLOOKUP($B122,casostestes[#Data],3)=0,"-",VLOOKUP($B122,casostestes[#Data],3)), "-")</f>
        <v>-</v>
      </c>
      <c r="F122" s="50" t="str">
        <f>IFERROR(IF(VLOOKUP($B122,casostestes[#Data],4)=0,"-",VLOOKUP($B122,casostestes[#Data],4)),"-")</f>
        <v>-</v>
      </c>
      <c r="G122" s="50" t="str">
        <f>IFERROR(IF(VLOOKUP($B122,casostestes[#Data],5)=0,"-",VLOOKUP($B122,casostestes[#Data],5)),"-")</f>
        <v>-</v>
      </c>
      <c r="H122" s="50" t="str">
        <f>IFERROR(IF(VLOOKUP($B122,casostestes[#Data],6)=0,"-",VLOOKUP($B122,casostestes[#Data],6)),"-")</f>
        <v>-</v>
      </c>
      <c r="I122" s="50" t="str">
        <f>IFERROR(IF(VLOOKUP($B122,casostestes[#Data],8)=0,"-",VLOOKUP($B122,casostestes[#Data],8)),"-")</f>
        <v>-</v>
      </c>
      <c r="J122" s="50" t="str">
        <f>IFERROR(IF(VLOOKUP($B122,casostestes[#Data],9)=0,"-",VLOOKUP($B122,casostestes[#Data],9)),"-")</f>
        <v>-</v>
      </c>
      <c r="K122" s="112" t="str">
        <f>IFERROR(IF(VLOOKUP($B122,homologador01[#Data],12)=0,"Não executado",VLOOKUP($B122,homologador01[#Data],12)),"Não executado")</f>
        <v>Não executado</v>
      </c>
      <c r="L122" s="112" t="str">
        <f>IFERROR(IF(VLOOKUP($B122,homologador02[#Data],12)=0,"-",VLOOKUP($B122,homologador02[#Data],12)),"-")</f>
        <v>-</v>
      </c>
    </row>
    <row r="123" spans="2:12">
      <c r="B123" s="56" t="str">
        <f>IF(ISERR(casostestes[[#This Row],[ID]]),"-",casostestes[[#This Row],[ID]])</f>
        <v>-</v>
      </c>
      <c r="C123" s="49" t="str">
        <f>IFERROR(IF(VLOOKUP($B123,casostestes[#Data],10)=0,"Não",VLOOKUP($B123,casostestes[#Data],10)), "-")</f>
        <v>-</v>
      </c>
      <c r="D123" s="50" t="str">
        <f>IFERROR(IF(VLOOKUP($B123,casostestes[#Data],2)=0,"-",VLOOKUP($B123,casostestes[#Data],2)), "-")</f>
        <v>-</v>
      </c>
      <c r="E123" s="50" t="str">
        <f>IFERROR(IF(VLOOKUP($B123,casostestes[#Data],3)=0,"-",VLOOKUP($B123,casostestes[#Data],3)), "-")</f>
        <v>-</v>
      </c>
      <c r="F123" s="50" t="str">
        <f>IFERROR(IF(VLOOKUP($B123,casostestes[#Data],4)=0,"-",VLOOKUP($B123,casostestes[#Data],4)),"-")</f>
        <v>-</v>
      </c>
      <c r="G123" s="50" t="str">
        <f>IFERROR(IF(VLOOKUP($B123,casostestes[#Data],5)=0,"-",VLOOKUP($B123,casostestes[#Data],5)),"-")</f>
        <v>-</v>
      </c>
      <c r="H123" s="50" t="str">
        <f>IFERROR(IF(VLOOKUP($B123,casostestes[#Data],6)=0,"-",VLOOKUP($B123,casostestes[#Data],6)),"-")</f>
        <v>-</v>
      </c>
      <c r="I123" s="50" t="str">
        <f>IFERROR(IF(VLOOKUP($B123,casostestes[#Data],8)=0,"-",VLOOKUP($B123,casostestes[#Data],8)),"-")</f>
        <v>-</v>
      </c>
      <c r="J123" s="50" t="str">
        <f>IFERROR(IF(VLOOKUP($B123,casostestes[#Data],9)=0,"-",VLOOKUP($B123,casostestes[#Data],9)),"-")</f>
        <v>-</v>
      </c>
      <c r="K123" s="112" t="str">
        <f>IFERROR(IF(VLOOKUP($B123,homologador01[#Data],12)=0,"Não executado",VLOOKUP($B123,homologador01[#Data],12)),"Não executado")</f>
        <v>Não executado</v>
      </c>
      <c r="L123" s="112" t="str">
        <f>IFERROR(IF(VLOOKUP($B123,homologador02[#Data],12)=0,"-",VLOOKUP($B123,homologador02[#Data],12)),"-")</f>
        <v>-</v>
      </c>
    </row>
    <row r="124" spans="2:12">
      <c r="B124" s="56" t="str">
        <f>IF(ISERR(casostestes[[#This Row],[ID]]),"-",casostestes[[#This Row],[ID]])</f>
        <v>-</v>
      </c>
      <c r="C124" s="49" t="str">
        <f>IFERROR(IF(VLOOKUP($B124,casostestes[#Data],10)=0,"Não",VLOOKUP($B124,casostestes[#Data],10)), "-")</f>
        <v>-</v>
      </c>
      <c r="D124" s="50" t="str">
        <f>IFERROR(IF(VLOOKUP($B124,casostestes[#Data],2)=0,"-",VLOOKUP($B124,casostestes[#Data],2)), "-")</f>
        <v>-</v>
      </c>
      <c r="E124" s="50" t="str">
        <f>IFERROR(IF(VLOOKUP($B124,casostestes[#Data],3)=0,"-",VLOOKUP($B124,casostestes[#Data],3)), "-")</f>
        <v>-</v>
      </c>
      <c r="F124" s="50" t="str">
        <f>IFERROR(IF(VLOOKUP($B124,casostestes[#Data],4)=0,"-",VLOOKUP($B124,casostestes[#Data],4)),"-")</f>
        <v>-</v>
      </c>
      <c r="G124" s="50" t="str">
        <f>IFERROR(IF(VLOOKUP($B124,casostestes[#Data],5)=0,"-",VLOOKUP($B124,casostestes[#Data],5)),"-")</f>
        <v>-</v>
      </c>
      <c r="H124" s="50" t="str">
        <f>IFERROR(IF(VLOOKUP($B124,casostestes[#Data],6)=0,"-",VLOOKUP($B124,casostestes[#Data],6)),"-")</f>
        <v>-</v>
      </c>
      <c r="I124" s="50" t="str">
        <f>IFERROR(IF(VLOOKUP($B124,casostestes[#Data],8)=0,"-",VLOOKUP($B124,casostestes[#Data],8)),"-")</f>
        <v>-</v>
      </c>
      <c r="J124" s="50" t="str">
        <f>IFERROR(IF(VLOOKUP($B124,casostestes[#Data],9)=0,"-",VLOOKUP($B124,casostestes[#Data],9)),"-")</f>
        <v>-</v>
      </c>
      <c r="K124" s="112" t="str">
        <f>IFERROR(IF(VLOOKUP($B124,homologador01[#Data],12)=0,"Não executado",VLOOKUP($B124,homologador01[#Data],12)),"Não executado")</f>
        <v>Não executado</v>
      </c>
      <c r="L124" s="112" t="str">
        <f>IFERROR(IF(VLOOKUP($B124,homologador02[#Data],12)=0,"-",VLOOKUP($B124,homologador02[#Data],12)),"-")</f>
        <v>-</v>
      </c>
    </row>
    <row r="125" spans="2:12">
      <c r="B125" s="56" t="str">
        <f>IF(ISERR(casostestes[[#This Row],[ID]]),"-",casostestes[[#This Row],[ID]])</f>
        <v>-</v>
      </c>
      <c r="C125" s="49" t="str">
        <f>IFERROR(IF(VLOOKUP($B125,casostestes[#Data],10)=0,"Não",VLOOKUP($B125,casostestes[#Data],10)), "-")</f>
        <v>-</v>
      </c>
      <c r="D125" s="50" t="str">
        <f>IFERROR(IF(VLOOKUP($B125,casostestes[#Data],2)=0,"-",VLOOKUP($B125,casostestes[#Data],2)), "-")</f>
        <v>-</v>
      </c>
      <c r="E125" s="50" t="str">
        <f>IFERROR(IF(VLOOKUP($B125,casostestes[#Data],3)=0,"-",VLOOKUP($B125,casostestes[#Data],3)), "-")</f>
        <v>-</v>
      </c>
      <c r="F125" s="50" t="str">
        <f>IFERROR(IF(VLOOKUP($B125,casostestes[#Data],4)=0,"-",VLOOKUP($B125,casostestes[#Data],4)),"-")</f>
        <v>-</v>
      </c>
      <c r="G125" s="50" t="str">
        <f>IFERROR(IF(VLOOKUP($B125,casostestes[#Data],5)=0,"-",VLOOKUP($B125,casostestes[#Data],5)),"-")</f>
        <v>-</v>
      </c>
      <c r="H125" s="50" t="str">
        <f>IFERROR(IF(VLOOKUP($B125,casostestes[#Data],6)=0,"-",VLOOKUP($B125,casostestes[#Data],6)),"-")</f>
        <v>-</v>
      </c>
      <c r="I125" s="50" t="str">
        <f>IFERROR(IF(VLOOKUP($B125,casostestes[#Data],8)=0,"-",VLOOKUP($B125,casostestes[#Data],8)),"-")</f>
        <v>-</v>
      </c>
      <c r="J125" s="50" t="str">
        <f>IFERROR(IF(VLOOKUP($B125,casostestes[#Data],9)=0,"-",VLOOKUP($B125,casostestes[#Data],9)),"-")</f>
        <v>-</v>
      </c>
      <c r="K125" s="112" t="str">
        <f>IFERROR(IF(VLOOKUP($B125,homologador01[#Data],12)=0,"Não executado",VLOOKUP($B125,homologador01[#Data],12)),"Não executado")</f>
        <v>Não executado</v>
      </c>
      <c r="L125" s="112" t="str">
        <f>IFERROR(IF(VLOOKUP($B125,homologador02[#Data],12)=0,"-",VLOOKUP($B125,homologador02[#Data],12)),"-")</f>
        <v>-</v>
      </c>
    </row>
    <row r="126" spans="2:12">
      <c r="B126" s="56" t="str">
        <f>IF(ISERR(casostestes[[#This Row],[ID]]),"-",casostestes[[#This Row],[ID]])</f>
        <v>-</v>
      </c>
      <c r="C126" s="49" t="str">
        <f>IFERROR(IF(VLOOKUP($B126,casostestes[#Data],10)=0,"Não",VLOOKUP($B126,casostestes[#Data],10)), "-")</f>
        <v>-</v>
      </c>
      <c r="D126" s="50" t="str">
        <f>IFERROR(IF(VLOOKUP($B126,casostestes[#Data],2)=0,"-",VLOOKUP($B126,casostestes[#Data],2)), "-")</f>
        <v>-</v>
      </c>
      <c r="E126" s="50" t="str">
        <f>IFERROR(IF(VLOOKUP($B126,casostestes[#Data],3)=0,"-",VLOOKUP($B126,casostestes[#Data],3)), "-")</f>
        <v>-</v>
      </c>
      <c r="F126" s="50" t="str">
        <f>IFERROR(IF(VLOOKUP($B126,casostestes[#Data],4)=0,"-",VLOOKUP($B126,casostestes[#Data],4)),"-")</f>
        <v>-</v>
      </c>
      <c r="G126" s="50" t="str">
        <f>IFERROR(IF(VLOOKUP($B126,casostestes[#Data],5)=0,"-",VLOOKUP($B126,casostestes[#Data],5)),"-")</f>
        <v>-</v>
      </c>
      <c r="H126" s="50" t="str">
        <f>IFERROR(IF(VLOOKUP($B126,casostestes[#Data],6)=0,"-",VLOOKUP($B126,casostestes[#Data],6)),"-")</f>
        <v>-</v>
      </c>
      <c r="I126" s="50" t="str">
        <f>IFERROR(IF(VLOOKUP($B126,casostestes[#Data],8)=0,"-",VLOOKUP($B126,casostestes[#Data],8)),"-")</f>
        <v>-</v>
      </c>
      <c r="J126" s="50" t="str">
        <f>IFERROR(IF(VLOOKUP($B126,casostestes[#Data],9)=0,"-",VLOOKUP($B126,casostestes[#Data],9)),"-")</f>
        <v>-</v>
      </c>
      <c r="K126" s="112" t="str">
        <f>IFERROR(IF(VLOOKUP($B126,homologador01[#Data],12)=0,"Não executado",VLOOKUP($B126,homologador01[#Data],12)),"Não executado")</f>
        <v>Não executado</v>
      </c>
      <c r="L126" s="112" t="str">
        <f>IFERROR(IF(VLOOKUP($B126,homologador02[#Data],12)=0,"-",VLOOKUP($B126,homologador02[#Data],12)),"-")</f>
        <v>-</v>
      </c>
    </row>
    <row r="127" spans="2:12">
      <c r="B127" s="56" t="str">
        <f>IF(ISERR(casostestes[[#This Row],[ID]]),"-",casostestes[[#This Row],[ID]])</f>
        <v>-</v>
      </c>
      <c r="C127" s="49" t="str">
        <f>IFERROR(IF(VLOOKUP($B127,casostestes[#Data],10)=0,"Não",VLOOKUP($B127,casostestes[#Data],10)), "-")</f>
        <v>-</v>
      </c>
      <c r="D127" s="50" t="str">
        <f>IFERROR(IF(VLOOKUP($B127,casostestes[#Data],2)=0,"-",VLOOKUP($B127,casostestes[#Data],2)), "-")</f>
        <v>-</v>
      </c>
      <c r="E127" s="50" t="str">
        <f>IFERROR(IF(VLOOKUP($B127,casostestes[#Data],3)=0,"-",VLOOKUP($B127,casostestes[#Data],3)), "-")</f>
        <v>-</v>
      </c>
      <c r="F127" s="50" t="str">
        <f>IFERROR(IF(VLOOKUP($B127,casostestes[#Data],4)=0,"-",VLOOKUP($B127,casostestes[#Data],4)),"-")</f>
        <v>-</v>
      </c>
      <c r="G127" s="50" t="str">
        <f>IFERROR(IF(VLOOKUP($B127,casostestes[#Data],5)=0,"-",VLOOKUP($B127,casostestes[#Data],5)),"-")</f>
        <v>-</v>
      </c>
      <c r="H127" s="50" t="str">
        <f>IFERROR(IF(VLOOKUP($B127,casostestes[#Data],6)=0,"-",VLOOKUP($B127,casostestes[#Data],6)),"-")</f>
        <v>-</v>
      </c>
      <c r="I127" s="50" t="str">
        <f>IFERROR(IF(VLOOKUP($B127,casostestes[#Data],8)=0,"-",VLOOKUP($B127,casostestes[#Data],8)),"-")</f>
        <v>-</v>
      </c>
      <c r="J127" s="50" t="str">
        <f>IFERROR(IF(VLOOKUP($B127,casostestes[#Data],9)=0,"-",VLOOKUP($B127,casostestes[#Data],9)),"-")</f>
        <v>-</v>
      </c>
      <c r="K127" s="112" t="str">
        <f>IFERROR(IF(VLOOKUP($B127,homologador01[#Data],12)=0,"Não executado",VLOOKUP($B127,homologador01[#Data],12)),"Não executado")</f>
        <v>Não executado</v>
      </c>
      <c r="L127" s="112" t="str">
        <f>IFERROR(IF(VLOOKUP($B127,homologador02[#Data],12)=0,"-",VLOOKUP($B127,homologador02[#Data],12)),"-")</f>
        <v>-</v>
      </c>
    </row>
    <row r="128" spans="2:12">
      <c r="B128" s="56" t="str">
        <f>IF(ISERR(casostestes[[#This Row],[ID]]),"-",casostestes[[#This Row],[ID]])</f>
        <v>-</v>
      </c>
      <c r="C128" s="49" t="str">
        <f>IFERROR(IF(VLOOKUP($B128,casostestes[#Data],10)=0,"Não",VLOOKUP($B128,casostestes[#Data],10)), "-")</f>
        <v>-</v>
      </c>
      <c r="D128" s="50" t="str">
        <f>IFERROR(IF(VLOOKUP($B128,casostestes[#Data],2)=0,"-",VLOOKUP($B128,casostestes[#Data],2)), "-")</f>
        <v>-</v>
      </c>
      <c r="E128" s="50" t="str">
        <f>IFERROR(IF(VLOOKUP($B128,casostestes[#Data],3)=0,"-",VLOOKUP($B128,casostestes[#Data],3)), "-")</f>
        <v>-</v>
      </c>
      <c r="F128" s="50" t="str">
        <f>IFERROR(IF(VLOOKUP($B128,casostestes[#Data],4)=0,"-",VLOOKUP($B128,casostestes[#Data],4)),"-")</f>
        <v>-</v>
      </c>
      <c r="G128" s="50" t="str">
        <f>IFERROR(IF(VLOOKUP($B128,casostestes[#Data],5)=0,"-",VLOOKUP($B128,casostestes[#Data],5)),"-")</f>
        <v>-</v>
      </c>
      <c r="H128" s="50" t="str">
        <f>IFERROR(IF(VLOOKUP($B128,casostestes[#Data],6)=0,"-",VLOOKUP($B128,casostestes[#Data],6)),"-")</f>
        <v>-</v>
      </c>
      <c r="I128" s="50" t="str">
        <f>IFERROR(IF(VLOOKUP($B128,casostestes[#Data],8)=0,"-",VLOOKUP($B128,casostestes[#Data],8)),"-")</f>
        <v>-</v>
      </c>
      <c r="J128" s="50" t="str">
        <f>IFERROR(IF(VLOOKUP($B128,casostestes[#Data],9)=0,"-",VLOOKUP($B128,casostestes[#Data],9)),"-")</f>
        <v>-</v>
      </c>
      <c r="K128" s="112" t="str">
        <f>IFERROR(IF(VLOOKUP($B128,homologador01[#Data],12)=0,"Não executado",VLOOKUP($B128,homologador01[#Data],12)),"Não executado")</f>
        <v>Não executado</v>
      </c>
      <c r="L128" s="112" t="str">
        <f>IFERROR(IF(VLOOKUP($B128,homologador02[#Data],12)=0,"-",VLOOKUP($B128,homologador02[#Data],12)),"-")</f>
        <v>-</v>
      </c>
    </row>
    <row r="129" spans="2:12">
      <c r="B129" s="56" t="str">
        <f>IF(ISERR(casostestes[[#This Row],[ID]]),"-",casostestes[[#This Row],[ID]])</f>
        <v>-</v>
      </c>
      <c r="C129" s="49" t="str">
        <f>IFERROR(IF(VLOOKUP($B129,casostestes[#Data],10)=0,"Não",VLOOKUP($B129,casostestes[#Data],10)), "-")</f>
        <v>-</v>
      </c>
      <c r="D129" s="50" t="str">
        <f>IFERROR(IF(VLOOKUP($B129,casostestes[#Data],2)=0,"-",VLOOKUP($B129,casostestes[#Data],2)), "-")</f>
        <v>-</v>
      </c>
      <c r="E129" s="50" t="str">
        <f>IFERROR(IF(VLOOKUP($B129,casostestes[#Data],3)=0,"-",VLOOKUP($B129,casostestes[#Data],3)), "-")</f>
        <v>-</v>
      </c>
      <c r="F129" s="50" t="str">
        <f>IFERROR(IF(VLOOKUP($B129,casostestes[#Data],4)=0,"-",VLOOKUP($B129,casostestes[#Data],4)),"-")</f>
        <v>-</v>
      </c>
      <c r="G129" s="50" t="str">
        <f>IFERROR(IF(VLOOKUP($B129,casostestes[#Data],5)=0,"-",VLOOKUP($B129,casostestes[#Data],5)),"-")</f>
        <v>-</v>
      </c>
      <c r="H129" s="50" t="str">
        <f>IFERROR(IF(VLOOKUP($B129,casostestes[#Data],6)=0,"-",VLOOKUP($B129,casostestes[#Data],6)),"-")</f>
        <v>-</v>
      </c>
      <c r="I129" s="50" t="str">
        <f>IFERROR(IF(VLOOKUP($B129,casostestes[#Data],8)=0,"-",VLOOKUP($B129,casostestes[#Data],8)),"-")</f>
        <v>-</v>
      </c>
      <c r="J129" s="50" t="str">
        <f>IFERROR(IF(VLOOKUP($B129,casostestes[#Data],9)=0,"-",VLOOKUP($B129,casostestes[#Data],9)),"-")</f>
        <v>-</v>
      </c>
      <c r="K129" s="112" t="str">
        <f>IFERROR(IF(VLOOKUP($B129,homologador01[#Data],12)=0,"Não executado",VLOOKUP($B129,homologador01[#Data],12)),"Não executado")</f>
        <v>Não executado</v>
      </c>
      <c r="L129" s="112" t="str">
        <f>IFERROR(IF(VLOOKUP($B129,homologador02[#Data],12)=0,"-",VLOOKUP($B129,homologador02[#Data],12)),"-")</f>
        <v>-</v>
      </c>
    </row>
    <row r="130" spans="2:12">
      <c r="B130" s="56" t="str">
        <f>IF(ISERR(casostestes[[#This Row],[ID]]),"-",casostestes[[#This Row],[ID]])</f>
        <v>-</v>
      </c>
      <c r="C130" s="49" t="str">
        <f>IFERROR(IF(VLOOKUP($B130,casostestes[#Data],10)=0,"Não",VLOOKUP($B130,casostestes[#Data],10)), "-")</f>
        <v>-</v>
      </c>
      <c r="D130" s="50" t="str">
        <f>IFERROR(IF(VLOOKUP($B130,casostestes[#Data],2)=0,"-",VLOOKUP($B130,casostestes[#Data],2)), "-")</f>
        <v>-</v>
      </c>
      <c r="E130" s="50" t="str">
        <f>IFERROR(IF(VLOOKUP($B130,casostestes[#Data],3)=0,"-",VLOOKUP($B130,casostestes[#Data],3)), "-")</f>
        <v>-</v>
      </c>
      <c r="F130" s="50" t="str">
        <f>IFERROR(IF(VLOOKUP($B130,casostestes[#Data],4)=0,"-",VLOOKUP($B130,casostestes[#Data],4)),"-")</f>
        <v>-</v>
      </c>
      <c r="G130" s="50" t="str">
        <f>IFERROR(IF(VLOOKUP($B130,casostestes[#Data],5)=0,"-",VLOOKUP($B130,casostestes[#Data],5)),"-")</f>
        <v>-</v>
      </c>
      <c r="H130" s="50" t="str">
        <f>IFERROR(IF(VLOOKUP($B130,casostestes[#Data],6)=0,"-",VLOOKUP($B130,casostestes[#Data],6)),"-")</f>
        <v>-</v>
      </c>
      <c r="I130" s="50" t="str">
        <f>IFERROR(IF(VLOOKUP($B130,casostestes[#Data],8)=0,"-",VLOOKUP($B130,casostestes[#Data],8)),"-")</f>
        <v>-</v>
      </c>
      <c r="J130" s="50" t="str">
        <f>IFERROR(IF(VLOOKUP($B130,casostestes[#Data],9)=0,"-",VLOOKUP($B130,casostestes[#Data],9)),"-")</f>
        <v>-</v>
      </c>
      <c r="K130" s="112" t="str">
        <f>IFERROR(IF(VLOOKUP($B130,homologador01[#Data],12)=0,"Não executado",VLOOKUP($B130,homologador01[#Data],12)),"Não executado")</f>
        <v>Não executado</v>
      </c>
      <c r="L130" s="112" t="str">
        <f>IFERROR(IF(VLOOKUP($B130,homologador02[#Data],12)=0,"-",VLOOKUP($B130,homologador02[#Data],12)),"-")</f>
        <v>-</v>
      </c>
    </row>
    <row r="131" spans="2:12">
      <c r="B131" s="56" t="str">
        <f>IF(ISERR(casostestes[[#This Row],[ID]]),"-",casostestes[[#This Row],[ID]])</f>
        <v>-</v>
      </c>
      <c r="C131" s="49" t="str">
        <f>IFERROR(IF(VLOOKUP($B131,casostestes[#Data],10)=0,"Não",VLOOKUP($B131,casostestes[#Data],10)), "-")</f>
        <v>-</v>
      </c>
      <c r="D131" s="50" t="str">
        <f>IFERROR(IF(VLOOKUP($B131,casostestes[#Data],2)=0,"-",VLOOKUP($B131,casostestes[#Data],2)), "-")</f>
        <v>-</v>
      </c>
      <c r="E131" s="50" t="str">
        <f>IFERROR(IF(VLOOKUP($B131,casostestes[#Data],3)=0,"-",VLOOKUP($B131,casostestes[#Data],3)), "-")</f>
        <v>-</v>
      </c>
      <c r="F131" s="50" t="str">
        <f>IFERROR(IF(VLOOKUP($B131,casostestes[#Data],4)=0,"-",VLOOKUP($B131,casostestes[#Data],4)),"-")</f>
        <v>-</v>
      </c>
      <c r="G131" s="50" t="str">
        <f>IFERROR(IF(VLOOKUP($B131,casostestes[#Data],5)=0,"-",VLOOKUP($B131,casostestes[#Data],5)),"-")</f>
        <v>-</v>
      </c>
      <c r="H131" s="50" t="str">
        <f>IFERROR(IF(VLOOKUP($B131,casostestes[#Data],6)=0,"-",VLOOKUP($B131,casostestes[#Data],6)),"-")</f>
        <v>-</v>
      </c>
      <c r="I131" s="50" t="str">
        <f>IFERROR(IF(VLOOKUP($B131,casostestes[#Data],8)=0,"-",VLOOKUP($B131,casostestes[#Data],8)),"-")</f>
        <v>-</v>
      </c>
      <c r="J131" s="50" t="str">
        <f>IFERROR(IF(VLOOKUP($B131,casostestes[#Data],9)=0,"-",VLOOKUP($B131,casostestes[#Data],9)),"-")</f>
        <v>-</v>
      </c>
      <c r="K131" s="112" t="str">
        <f>IFERROR(IF(VLOOKUP($B131,homologador01[#Data],12)=0,"Não executado",VLOOKUP($B131,homologador01[#Data],12)),"Não executado")</f>
        <v>Não executado</v>
      </c>
      <c r="L131" s="112" t="str">
        <f>IFERROR(IF(VLOOKUP($B131,homologador02[#Data],12)=0,"-",VLOOKUP($B131,homologador02[#Data],12)),"-")</f>
        <v>-</v>
      </c>
    </row>
    <row r="132" spans="2:12">
      <c r="B132" s="56" t="str">
        <f>IF(ISERR(casostestes[[#This Row],[ID]]),"-",casostestes[[#This Row],[ID]])</f>
        <v>-</v>
      </c>
      <c r="C132" s="49" t="str">
        <f>IFERROR(IF(VLOOKUP($B132,casostestes[#Data],10)=0,"Não",VLOOKUP($B132,casostestes[#Data],10)), "-")</f>
        <v>-</v>
      </c>
      <c r="D132" s="50" t="str">
        <f>IFERROR(IF(VLOOKUP($B132,casostestes[#Data],2)=0,"-",VLOOKUP($B132,casostestes[#Data],2)), "-")</f>
        <v>-</v>
      </c>
      <c r="E132" s="50" t="str">
        <f>IFERROR(IF(VLOOKUP($B132,casostestes[#Data],3)=0,"-",VLOOKUP($B132,casostestes[#Data],3)), "-")</f>
        <v>-</v>
      </c>
      <c r="F132" s="50" t="str">
        <f>IFERROR(IF(VLOOKUP($B132,casostestes[#Data],4)=0,"-",VLOOKUP($B132,casostestes[#Data],4)),"-")</f>
        <v>-</v>
      </c>
      <c r="G132" s="50" t="str">
        <f>IFERROR(IF(VLOOKUP($B132,casostestes[#Data],5)=0,"-",VLOOKUP($B132,casostestes[#Data],5)),"-")</f>
        <v>-</v>
      </c>
      <c r="H132" s="50" t="str">
        <f>IFERROR(IF(VLOOKUP($B132,casostestes[#Data],6)=0,"-",VLOOKUP($B132,casostestes[#Data],6)),"-")</f>
        <v>-</v>
      </c>
      <c r="I132" s="50" t="str">
        <f>IFERROR(IF(VLOOKUP($B132,casostestes[#Data],8)=0,"-",VLOOKUP($B132,casostestes[#Data],8)),"-")</f>
        <v>-</v>
      </c>
      <c r="J132" s="50" t="str">
        <f>IFERROR(IF(VLOOKUP($B132,casostestes[#Data],9)=0,"-",VLOOKUP($B132,casostestes[#Data],9)),"-")</f>
        <v>-</v>
      </c>
      <c r="K132" s="112" t="str">
        <f>IFERROR(IF(VLOOKUP($B132,homologador01[#Data],12)=0,"Não executado",VLOOKUP($B132,homologador01[#Data],12)),"Não executado")</f>
        <v>Não executado</v>
      </c>
      <c r="L132" s="112" t="str">
        <f>IFERROR(IF(VLOOKUP($B132,homologador02[#Data],12)=0,"-",VLOOKUP($B132,homologador02[#Data],12)),"-")</f>
        <v>-</v>
      </c>
    </row>
    <row r="133" spans="2:12">
      <c r="B133" s="56" t="str">
        <f>IF(ISERR(casostestes[[#This Row],[ID]]),"-",casostestes[[#This Row],[ID]])</f>
        <v>-</v>
      </c>
      <c r="C133" s="49" t="str">
        <f>IFERROR(IF(VLOOKUP($B133,casostestes[#Data],10)=0,"Não",VLOOKUP($B133,casostestes[#Data],10)), "-")</f>
        <v>-</v>
      </c>
      <c r="D133" s="50" t="str">
        <f>IFERROR(IF(VLOOKUP($B133,casostestes[#Data],2)=0,"-",VLOOKUP($B133,casostestes[#Data],2)), "-")</f>
        <v>-</v>
      </c>
      <c r="E133" s="50" t="str">
        <f>IFERROR(IF(VLOOKUP($B133,casostestes[#Data],3)=0,"-",VLOOKUP($B133,casostestes[#Data],3)), "-")</f>
        <v>-</v>
      </c>
      <c r="F133" s="50" t="str">
        <f>IFERROR(IF(VLOOKUP($B133,casostestes[#Data],4)=0,"-",VLOOKUP($B133,casostestes[#Data],4)),"-")</f>
        <v>-</v>
      </c>
      <c r="G133" s="50" t="str">
        <f>IFERROR(IF(VLOOKUP($B133,casostestes[#Data],5)=0,"-",VLOOKUP($B133,casostestes[#Data],5)),"-")</f>
        <v>-</v>
      </c>
      <c r="H133" s="50" t="str">
        <f>IFERROR(IF(VLOOKUP($B133,casostestes[#Data],6)=0,"-",VLOOKUP($B133,casostestes[#Data],6)),"-")</f>
        <v>-</v>
      </c>
      <c r="I133" s="50" t="str">
        <f>IFERROR(IF(VLOOKUP($B133,casostestes[#Data],8)=0,"-",VLOOKUP($B133,casostestes[#Data],8)),"-")</f>
        <v>-</v>
      </c>
      <c r="J133" s="50" t="str">
        <f>IFERROR(IF(VLOOKUP($B133,casostestes[#Data],9)=0,"-",VLOOKUP($B133,casostestes[#Data],9)),"-")</f>
        <v>-</v>
      </c>
      <c r="K133" s="112" t="str">
        <f>IFERROR(IF(VLOOKUP($B133,homologador01[#Data],12)=0,"Não executado",VLOOKUP($B133,homologador01[#Data],12)),"Não executado")</f>
        <v>Não executado</v>
      </c>
      <c r="L133" s="112" t="str">
        <f>IFERROR(IF(VLOOKUP($B133,homologador02[#Data],12)=0,"-",VLOOKUP($B133,homologador02[#Data],12)),"-")</f>
        <v>-</v>
      </c>
    </row>
    <row r="134" spans="2:12">
      <c r="B134" s="56" t="str">
        <f>IF(ISERR(casostestes[[#This Row],[ID]]),"-",casostestes[[#This Row],[ID]])</f>
        <v>-</v>
      </c>
      <c r="C134" s="49" t="str">
        <f>IFERROR(IF(VLOOKUP($B134,casostestes[#Data],10)=0,"Não",VLOOKUP($B134,casostestes[#Data],10)), "-")</f>
        <v>-</v>
      </c>
      <c r="D134" s="50" t="str">
        <f>IFERROR(IF(VLOOKUP($B134,casostestes[#Data],2)=0,"-",VLOOKUP($B134,casostestes[#Data],2)), "-")</f>
        <v>-</v>
      </c>
      <c r="E134" s="50" t="str">
        <f>IFERROR(IF(VLOOKUP($B134,casostestes[#Data],3)=0,"-",VLOOKUP($B134,casostestes[#Data],3)), "-")</f>
        <v>-</v>
      </c>
      <c r="F134" s="50" t="str">
        <f>IFERROR(IF(VLOOKUP($B134,casostestes[#Data],4)=0,"-",VLOOKUP($B134,casostestes[#Data],4)),"-")</f>
        <v>-</v>
      </c>
      <c r="G134" s="50" t="str">
        <f>IFERROR(IF(VLOOKUP($B134,casostestes[#Data],5)=0,"-",VLOOKUP($B134,casostestes[#Data],5)),"-")</f>
        <v>-</v>
      </c>
      <c r="H134" s="50" t="str">
        <f>IFERROR(IF(VLOOKUP($B134,casostestes[#Data],6)=0,"-",VLOOKUP($B134,casostestes[#Data],6)),"-")</f>
        <v>-</v>
      </c>
      <c r="I134" s="50" t="str">
        <f>IFERROR(IF(VLOOKUP($B134,casostestes[#Data],8)=0,"-",VLOOKUP($B134,casostestes[#Data],8)),"-")</f>
        <v>-</v>
      </c>
      <c r="J134" s="50" t="str">
        <f>IFERROR(IF(VLOOKUP($B134,casostestes[#Data],9)=0,"-",VLOOKUP($B134,casostestes[#Data],9)),"-")</f>
        <v>-</v>
      </c>
      <c r="K134" s="112" t="str">
        <f>IFERROR(IF(VLOOKUP($B134,homologador01[#Data],12)=0,"Não executado",VLOOKUP($B134,homologador01[#Data],12)),"Não executado")</f>
        <v>Não executado</v>
      </c>
      <c r="L134" s="112" t="str">
        <f>IFERROR(IF(VLOOKUP($B134,homologador02[#Data],12)=0,"-",VLOOKUP($B134,homologador02[#Data],12)),"-")</f>
        <v>-</v>
      </c>
    </row>
    <row r="135" spans="2:12">
      <c r="B135" s="56" t="str">
        <f>IF(ISERR(casostestes[[#This Row],[ID]]),"-",casostestes[[#This Row],[ID]])</f>
        <v>-</v>
      </c>
      <c r="C135" s="49" t="str">
        <f>IFERROR(IF(VLOOKUP($B135,casostestes[#Data],10)=0,"Não",VLOOKUP($B135,casostestes[#Data],10)), "-")</f>
        <v>-</v>
      </c>
      <c r="D135" s="50" t="str">
        <f>IFERROR(IF(VLOOKUP($B135,casostestes[#Data],2)=0,"-",VLOOKUP($B135,casostestes[#Data],2)), "-")</f>
        <v>-</v>
      </c>
      <c r="E135" s="50" t="str">
        <f>IFERROR(IF(VLOOKUP($B135,casostestes[#Data],3)=0,"-",VLOOKUP($B135,casostestes[#Data],3)), "-")</f>
        <v>-</v>
      </c>
      <c r="F135" s="50" t="str">
        <f>IFERROR(IF(VLOOKUP($B135,casostestes[#Data],4)=0,"-",VLOOKUP($B135,casostestes[#Data],4)),"-")</f>
        <v>-</v>
      </c>
      <c r="G135" s="50" t="str">
        <f>IFERROR(IF(VLOOKUP($B135,casostestes[#Data],5)=0,"-",VLOOKUP($B135,casostestes[#Data],5)),"-")</f>
        <v>-</v>
      </c>
      <c r="H135" s="50" t="str">
        <f>IFERROR(IF(VLOOKUP($B135,casostestes[#Data],6)=0,"-",VLOOKUP($B135,casostestes[#Data],6)),"-")</f>
        <v>-</v>
      </c>
      <c r="I135" s="50" t="str">
        <f>IFERROR(IF(VLOOKUP($B135,casostestes[#Data],8)=0,"-",VLOOKUP($B135,casostestes[#Data],8)),"-")</f>
        <v>-</v>
      </c>
      <c r="J135" s="50" t="str">
        <f>IFERROR(IF(VLOOKUP($B135,casostestes[#Data],9)=0,"-",VLOOKUP($B135,casostestes[#Data],9)),"-")</f>
        <v>-</v>
      </c>
      <c r="K135" s="112" t="str">
        <f>IFERROR(IF(VLOOKUP($B135,homologador01[#Data],12)=0,"Não executado",VLOOKUP($B135,homologador01[#Data],12)),"Não executado")</f>
        <v>Não executado</v>
      </c>
      <c r="L135" s="112" t="str">
        <f>IFERROR(IF(VLOOKUP($B135,homologador02[#Data],12)=0,"-",VLOOKUP($B135,homologador02[#Data],12)),"-")</f>
        <v>-</v>
      </c>
    </row>
    <row r="136" spans="2:12">
      <c r="B136" s="56" t="str">
        <f>IF(ISERR(casostestes[[#This Row],[ID]]),"-",casostestes[[#This Row],[ID]])</f>
        <v>-</v>
      </c>
      <c r="C136" s="49" t="str">
        <f>IFERROR(IF(VLOOKUP($B136,casostestes[#Data],10)=0,"Não",VLOOKUP($B136,casostestes[#Data],10)), "-")</f>
        <v>-</v>
      </c>
      <c r="D136" s="50" t="str">
        <f>IFERROR(IF(VLOOKUP($B136,casostestes[#Data],2)=0,"-",VLOOKUP($B136,casostestes[#Data],2)), "-")</f>
        <v>-</v>
      </c>
      <c r="E136" s="50" t="str">
        <f>IFERROR(IF(VLOOKUP($B136,casostestes[#Data],3)=0,"-",VLOOKUP($B136,casostestes[#Data],3)), "-")</f>
        <v>-</v>
      </c>
      <c r="F136" s="50" t="str">
        <f>IFERROR(IF(VLOOKUP($B136,casostestes[#Data],4)=0,"-",VLOOKUP($B136,casostestes[#Data],4)),"-")</f>
        <v>-</v>
      </c>
      <c r="G136" s="50" t="str">
        <f>IFERROR(IF(VLOOKUP($B136,casostestes[#Data],5)=0,"-",VLOOKUP($B136,casostestes[#Data],5)),"-")</f>
        <v>-</v>
      </c>
      <c r="H136" s="50" t="str">
        <f>IFERROR(IF(VLOOKUP($B136,casostestes[#Data],6)=0,"-",VLOOKUP($B136,casostestes[#Data],6)),"-")</f>
        <v>-</v>
      </c>
      <c r="I136" s="50" t="str">
        <f>IFERROR(IF(VLOOKUP($B136,casostestes[#Data],8)=0,"-",VLOOKUP($B136,casostestes[#Data],8)),"-")</f>
        <v>-</v>
      </c>
      <c r="J136" s="50" t="str">
        <f>IFERROR(IF(VLOOKUP($B136,casostestes[#Data],9)=0,"-",VLOOKUP($B136,casostestes[#Data],9)),"-")</f>
        <v>-</v>
      </c>
      <c r="K136" s="112" t="str">
        <f>IFERROR(IF(VLOOKUP($B136,homologador01[#Data],12)=0,"Não executado",VLOOKUP($B136,homologador01[#Data],12)),"Não executado")</f>
        <v>Não executado</v>
      </c>
      <c r="L136" s="112" t="str">
        <f>IFERROR(IF(VLOOKUP($B136,homologador02[#Data],12)=0,"-",VLOOKUP($B136,homologador02[#Data],12)),"-")</f>
        <v>-</v>
      </c>
    </row>
    <row r="137" spans="2:12">
      <c r="B137" s="56" t="str">
        <f>IF(ISERR(casostestes[[#This Row],[ID]]),"-",casostestes[[#This Row],[ID]])</f>
        <v>-</v>
      </c>
      <c r="C137" s="49" t="str">
        <f>IFERROR(IF(VLOOKUP($B137,casostestes[#Data],10)=0,"Não",VLOOKUP($B137,casostestes[#Data],10)), "-")</f>
        <v>-</v>
      </c>
      <c r="D137" s="50" t="str">
        <f>IFERROR(IF(VLOOKUP($B137,casostestes[#Data],2)=0,"-",VLOOKUP($B137,casostestes[#Data],2)), "-")</f>
        <v>-</v>
      </c>
      <c r="E137" s="50" t="str">
        <f>IFERROR(IF(VLOOKUP($B137,casostestes[#Data],3)=0,"-",VLOOKUP($B137,casostestes[#Data],3)), "-")</f>
        <v>-</v>
      </c>
      <c r="F137" s="50" t="str">
        <f>IFERROR(IF(VLOOKUP($B137,casostestes[#Data],4)=0,"-",VLOOKUP($B137,casostestes[#Data],4)),"-")</f>
        <v>-</v>
      </c>
      <c r="G137" s="50" t="str">
        <f>IFERROR(IF(VLOOKUP($B137,casostestes[#Data],5)=0,"-",VLOOKUP($B137,casostestes[#Data],5)),"-")</f>
        <v>-</v>
      </c>
      <c r="H137" s="50" t="str">
        <f>IFERROR(IF(VLOOKUP($B137,casostestes[#Data],6)=0,"-",VLOOKUP($B137,casostestes[#Data],6)),"-")</f>
        <v>-</v>
      </c>
      <c r="I137" s="50" t="str">
        <f>IFERROR(IF(VLOOKUP($B137,casostestes[#Data],8)=0,"-",VLOOKUP($B137,casostestes[#Data],8)),"-")</f>
        <v>-</v>
      </c>
      <c r="J137" s="50" t="str">
        <f>IFERROR(IF(VLOOKUP($B137,casostestes[#Data],9)=0,"-",VLOOKUP($B137,casostestes[#Data],9)),"-")</f>
        <v>-</v>
      </c>
      <c r="K137" s="112" t="str">
        <f>IFERROR(IF(VLOOKUP($B137,homologador01[#Data],12)=0,"Não executado",VLOOKUP($B137,homologador01[#Data],12)),"Não executado")</f>
        <v>Não executado</v>
      </c>
      <c r="L137" s="112" t="str">
        <f>IFERROR(IF(VLOOKUP($B137,homologador02[#Data],12)=0,"-",VLOOKUP($B137,homologador02[#Data],12)),"-")</f>
        <v>-</v>
      </c>
    </row>
    <row r="138" spans="2:12">
      <c r="B138" s="56" t="str">
        <f>IF(ISERR(casostestes[[#This Row],[ID]]),"-",casostestes[[#This Row],[ID]])</f>
        <v>-</v>
      </c>
      <c r="C138" s="49" t="str">
        <f>IFERROR(IF(VLOOKUP($B138,casostestes[#Data],10)=0,"Não",VLOOKUP($B138,casostestes[#Data],10)), "-")</f>
        <v>-</v>
      </c>
      <c r="D138" s="50" t="str">
        <f>IFERROR(IF(VLOOKUP($B138,casostestes[#Data],2)=0,"-",VLOOKUP($B138,casostestes[#Data],2)), "-")</f>
        <v>-</v>
      </c>
      <c r="E138" s="50" t="str">
        <f>IFERROR(IF(VLOOKUP($B138,casostestes[#Data],3)=0,"-",VLOOKUP($B138,casostestes[#Data],3)), "-")</f>
        <v>-</v>
      </c>
      <c r="F138" s="50" t="str">
        <f>IFERROR(IF(VLOOKUP($B138,casostestes[#Data],4)=0,"-",VLOOKUP($B138,casostestes[#Data],4)),"-")</f>
        <v>-</v>
      </c>
      <c r="G138" s="50" t="str">
        <f>IFERROR(IF(VLOOKUP($B138,casostestes[#Data],5)=0,"-",VLOOKUP($B138,casostestes[#Data],5)),"-")</f>
        <v>-</v>
      </c>
      <c r="H138" s="50" t="str">
        <f>IFERROR(IF(VLOOKUP($B138,casostestes[#Data],6)=0,"-",VLOOKUP($B138,casostestes[#Data],6)),"-")</f>
        <v>-</v>
      </c>
      <c r="I138" s="50" t="str">
        <f>IFERROR(IF(VLOOKUP($B138,casostestes[#Data],8)=0,"-",VLOOKUP($B138,casostestes[#Data],8)),"-")</f>
        <v>-</v>
      </c>
      <c r="J138" s="50" t="str">
        <f>IFERROR(IF(VLOOKUP($B138,casostestes[#Data],9)=0,"-",VLOOKUP($B138,casostestes[#Data],9)),"-")</f>
        <v>-</v>
      </c>
      <c r="K138" s="112" t="str">
        <f>IFERROR(IF(VLOOKUP($B138,homologador01[#Data],12)=0,"Não executado",VLOOKUP($B138,homologador01[#Data],12)),"Não executado")</f>
        <v>Não executado</v>
      </c>
      <c r="L138" s="112" t="str">
        <f>IFERROR(IF(VLOOKUP($B138,homologador02[#Data],12)=0,"-",VLOOKUP($B138,homologador02[#Data],12)),"-")</f>
        <v>-</v>
      </c>
    </row>
    <row r="139" spans="2:12">
      <c r="B139" s="56" t="str">
        <f>IF(ISERR(casostestes[[#This Row],[ID]]),"-",casostestes[[#This Row],[ID]])</f>
        <v>-</v>
      </c>
      <c r="C139" s="49" t="str">
        <f>IFERROR(IF(VLOOKUP($B139,casostestes[#Data],10)=0,"Não",VLOOKUP($B139,casostestes[#Data],10)), "-")</f>
        <v>-</v>
      </c>
      <c r="D139" s="50" t="str">
        <f>IFERROR(IF(VLOOKUP($B139,casostestes[#Data],2)=0,"-",VLOOKUP($B139,casostestes[#Data],2)), "-")</f>
        <v>-</v>
      </c>
      <c r="E139" s="50" t="str">
        <f>IFERROR(IF(VLOOKUP($B139,casostestes[#Data],3)=0,"-",VLOOKUP($B139,casostestes[#Data],3)), "-")</f>
        <v>-</v>
      </c>
      <c r="F139" s="50" t="str">
        <f>IFERROR(IF(VLOOKUP($B139,casostestes[#Data],4)=0,"-",VLOOKUP($B139,casostestes[#Data],4)),"-")</f>
        <v>-</v>
      </c>
      <c r="G139" s="50" t="str">
        <f>IFERROR(IF(VLOOKUP($B139,casostestes[#Data],5)=0,"-",VLOOKUP($B139,casostestes[#Data],5)),"-")</f>
        <v>-</v>
      </c>
      <c r="H139" s="50" t="str">
        <f>IFERROR(IF(VLOOKUP($B139,casostestes[#Data],6)=0,"-",VLOOKUP($B139,casostestes[#Data],6)),"-")</f>
        <v>-</v>
      </c>
      <c r="I139" s="50" t="str">
        <f>IFERROR(IF(VLOOKUP($B139,casostestes[#Data],8)=0,"-",VLOOKUP($B139,casostestes[#Data],8)),"-")</f>
        <v>-</v>
      </c>
      <c r="J139" s="50" t="str">
        <f>IFERROR(IF(VLOOKUP($B139,casostestes[#Data],9)=0,"-",VLOOKUP($B139,casostestes[#Data],9)),"-")</f>
        <v>-</v>
      </c>
      <c r="K139" s="112" t="str">
        <f>IFERROR(IF(VLOOKUP($B139,homologador01[#Data],12)=0,"Não executado",VLOOKUP($B139,homologador01[#Data],12)),"Não executado")</f>
        <v>Não executado</v>
      </c>
      <c r="L139" s="112" t="str">
        <f>IFERROR(IF(VLOOKUP($B139,homologador02[#Data],12)=0,"-",VLOOKUP($B139,homologador02[#Data],12)),"-")</f>
        <v>-</v>
      </c>
    </row>
    <row r="140" spans="2:12">
      <c r="B140" s="56" t="str">
        <f>IF(ISERR(casostestes[[#This Row],[ID]]),"-",casostestes[[#This Row],[ID]])</f>
        <v>-</v>
      </c>
      <c r="C140" s="49" t="str">
        <f>IFERROR(IF(VLOOKUP($B140,casostestes[#Data],10)=0,"Não",VLOOKUP($B140,casostestes[#Data],10)), "-")</f>
        <v>-</v>
      </c>
      <c r="D140" s="50" t="str">
        <f>IFERROR(IF(VLOOKUP($B140,casostestes[#Data],2)=0,"-",VLOOKUP($B140,casostestes[#Data],2)), "-")</f>
        <v>-</v>
      </c>
      <c r="E140" s="50" t="str">
        <f>IFERROR(IF(VLOOKUP($B140,casostestes[#Data],3)=0,"-",VLOOKUP($B140,casostestes[#Data],3)), "-")</f>
        <v>-</v>
      </c>
      <c r="F140" s="50" t="str">
        <f>IFERROR(IF(VLOOKUP($B140,casostestes[#Data],4)=0,"-",VLOOKUP($B140,casostestes[#Data],4)),"-")</f>
        <v>-</v>
      </c>
      <c r="G140" s="50" t="str">
        <f>IFERROR(IF(VLOOKUP($B140,casostestes[#Data],5)=0,"-",VLOOKUP($B140,casostestes[#Data],5)),"-")</f>
        <v>-</v>
      </c>
      <c r="H140" s="50" t="str">
        <f>IFERROR(IF(VLOOKUP($B140,casostestes[#Data],6)=0,"-",VLOOKUP($B140,casostestes[#Data],6)),"-")</f>
        <v>-</v>
      </c>
      <c r="I140" s="50" t="str">
        <f>IFERROR(IF(VLOOKUP($B140,casostestes[#Data],8)=0,"-",VLOOKUP($B140,casostestes[#Data],8)),"-")</f>
        <v>-</v>
      </c>
      <c r="J140" s="50" t="str">
        <f>IFERROR(IF(VLOOKUP($B140,casostestes[#Data],9)=0,"-",VLOOKUP($B140,casostestes[#Data],9)),"-")</f>
        <v>-</v>
      </c>
      <c r="K140" s="112" t="str">
        <f>IFERROR(IF(VLOOKUP($B140,homologador01[#Data],12)=0,"Não executado",VLOOKUP($B140,homologador01[#Data],12)),"Não executado")</f>
        <v>Não executado</v>
      </c>
      <c r="L140" s="112" t="str">
        <f>IFERROR(IF(VLOOKUP($B140,homologador02[#Data],12)=0,"-",VLOOKUP($B140,homologador02[#Data],12)),"-")</f>
        <v>-</v>
      </c>
    </row>
    <row r="141" spans="2:12">
      <c r="B141" s="56" t="str">
        <f>IF(ISERR(casostestes[[#This Row],[ID]]),"-",casostestes[[#This Row],[ID]])</f>
        <v>-</v>
      </c>
      <c r="C141" s="49" t="str">
        <f>IFERROR(IF(VLOOKUP($B141,casostestes[#Data],10)=0,"Não",VLOOKUP($B141,casostestes[#Data],10)), "-")</f>
        <v>-</v>
      </c>
      <c r="D141" s="50" t="str">
        <f>IFERROR(IF(VLOOKUP($B141,casostestes[#Data],2)=0,"-",VLOOKUP($B141,casostestes[#Data],2)), "-")</f>
        <v>-</v>
      </c>
      <c r="E141" s="50" t="str">
        <f>IFERROR(IF(VLOOKUP($B141,casostestes[#Data],3)=0,"-",VLOOKUP($B141,casostestes[#Data],3)), "-")</f>
        <v>-</v>
      </c>
      <c r="F141" s="50" t="str">
        <f>IFERROR(IF(VLOOKUP($B141,casostestes[#Data],4)=0,"-",VLOOKUP($B141,casostestes[#Data],4)),"-")</f>
        <v>-</v>
      </c>
      <c r="G141" s="50" t="str">
        <f>IFERROR(IF(VLOOKUP($B141,casostestes[#Data],5)=0,"-",VLOOKUP($B141,casostestes[#Data],5)),"-")</f>
        <v>-</v>
      </c>
      <c r="H141" s="50" t="str">
        <f>IFERROR(IF(VLOOKUP($B141,casostestes[#Data],6)=0,"-",VLOOKUP($B141,casostestes[#Data],6)),"-")</f>
        <v>-</v>
      </c>
      <c r="I141" s="50" t="str">
        <f>IFERROR(IF(VLOOKUP($B141,casostestes[#Data],8)=0,"-",VLOOKUP($B141,casostestes[#Data],8)),"-")</f>
        <v>-</v>
      </c>
      <c r="J141" s="50" t="str">
        <f>IFERROR(IF(VLOOKUP($B141,casostestes[#Data],9)=0,"-",VLOOKUP($B141,casostestes[#Data],9)),"-")</f>
        <v>-</v>
      </c>
      <c r="K141" s="112" t="str">
        <f>IFERROR(IF(VLOOKUP($B141,homologador01[#Data],12)=0,"Não executado",VLOOKUP($B141,homologador01[#Data],12)),"Não executado")</f>
        <v>Não executado</v>
      </c>
      <c r="L141" s="112" t="str">
        <f>IFERROR(IF(VLOOKUP($B141,homologador02[#Data],12)=0,"-",VLOOKUP($B141,homologador02[#Data],12)),"-")</f>
        <v>-</v>
      </c>
    </row>
    <row r="142" spans="2:12">
      <c r="B142" s="56" t="str">
        <f>IF(ISERR(casostestes[[#This Row],[ID]]),"-",casostestes[[#This Row],[ID]])</f>
        <v>-</v>
      </c>
      <c r="C142" s="49" t="str">
        <f>IFERROR(IF(VLOOKUP($B142,casostestes[#Data],10)=0,"Não",VLOOKUP($B142,casostestes[#Data],10)), "-")</f>
        <v>-</v>
      </c>
      <c r="D142" s="50" t="str">
        <f>IFERROR(IF(VLOOKUP($B142,casostestes[#Data],2)=0,"-",VLOOKUP($B142,casostestes[#Data],2)), "-")</f>
        <v>-</v>
      </c>
      <c r="E142" s="50" t="str">
        <f>IFERROR(IF(VLOOKUP($B142,casostestes[#Data],3)=0,"-",VLOOKUP($B142,casostestes[#Data],3)), "-")</f>
        <v>-</v>
      </c>
      <c r="F142" s="50" t="str">
        <f>IFERROR(IF(VLOOKUP($B142,casostestes[#Data],4)=0,"-",VLOOKUP($B142,casostestes[#Data],4)),"-")</f>
        <v>-</v>
      </c>
      <c r="G142" s="50" t="str">
        <f>IFERROR(IF(VLOOKUP($B142,casostestes[#Data],5)=0,"-",VLOOKUP($B142,casostestes[#Data],5)),"-")</f>
        <v>-</v>
      </c>
      <c r="H142" s="50" t="str">
        <f>IFERROR(IF(VLOOKUP($B142,casostestes[#Data],6)=0,"-",VLOOKUP($B142,casostestes[#Data],6)),"-")</f>
        <v>-</v>
      </c>
      <c r="I142" s="50" t="str">
        <f>IFERROR(IF(VLOOKUP($B142,casostestes[#Data],8)=0,"-",VLOOKUP($B142,casostestes[#Data],8)),"-")</f>
        <v>-</v>
      </c>
      <c r="J142" s="50" t="str">
        <f>IFERROR(IF(VLOOKUP($B142,casostestes[#Data],9)=0,"-",VLOOKUP($B142,casostestes[#Data],9)),"-")</f>
        <v>-</v>
      </c>
      <c r="K142" s="112" t="str">
        <f>IFERROR(IF(VLOOKUP($B142,homologador01[#Data],12)=0,"Não executado",VLOOKUP($B142,homologador01[#Data],12)),"Não executado")</f>
        <v>Não executado</v>
      </c>
      <c r="L142" s="112" t="str">
        <f>IFERROR(IF(VLOOKUP($B142,homologador02[#Data],12)=0,"-",VLOOKUP($B142,homologador02[#Data],12)),"-")</f>
        <v>-</v>
      </c>
    </row>
    <row r="143" spans="2:12">
      <c r="B143" s="56" t="str">
        <f>IF(ISERR(casostestes[[#This Row],[ID]]),"-",casostestes[[#This Row],[ID]])</f>
        <v>-</v>
      </c>
      <c r="C143" s="49" t="str">
        <f>IFERROR(IF(VLOOKUP($B143,casostestes[#Data],10)=0,"Não",VLOOKUP($B143,casostestes[#Data],10)), "-")</f>
        <v>-</v>
      </c>
      <c r="D143" s="50" t="str">
        <f>IFERROR(IF(VLOOKUP($B143,casostestes[#Data],2)=0,"-",VLOOKUP($B143,casostestes[#Data],2)), "-")</f>
        <v>-</v>
      </c>
      <c r="E143" s="50" t="str">
        <f>IFERROR(IF(VLOOKUP($B143,casostestes[#Data],3)=0,"-",VLOOKUP($B143,casostestes[#Data],3)), "-")</f>
        <v>-</v>
      </c>
      <c r="F143" s="50" t="str">
        <f>IFERROR(IF(VLOOKUP($B143,casostestes[#Data],4)=0,"-",VLOOKUP($B143,casostestes[#Data],4)),"-")</f>
        <v>-</v>
      </c>
      <c r="G143" s="50" t="str">
        <f>IFERROR(IF(VLOOKUP($B143,casostestes[#Data],5)=0,"-",VLOOKUP($B143,casostestes[#Data],5)),"-")</f>
        <v>-</v>
      </c>
      <c r="H143" s="50" t="str">
        <f>IFERROR(IF(VLOOKUP($B143,casostestes[#Data],6)=0,"-",VLOOKUP($B143,casostestes[#Data],6)),"-")</f>
        <v>-</v>
      </c>
      <c r="I143" s="50" t="str">
        <f>IFERROR(IF(VLOOKUP($B143,casostestes[#Data],8)=0,"-",VLOOKUP($B143,casostestes[#Data],8)),"-")</f>
        <v>-</v>
      </c>
      <c r="J143" s="50" t="str">
        <f>IFERROR(IF(VLOOKUP($B143,casostestes[#Data],9)=0,"-",VLOOKUP($B143,casostestes[#Data],9)),"-")</f>
        <v>-</v>
      </c>
      <c r="K143" s="112" t="str">
        <f>IFERROR(IF(VLOOKUP($B143,homologador01[#Data],12)=0,"Não executado",VLOOKUP($B143,homologador01[#Data],12)),"Não executado")</f>
        <v>Não executado</v>
      </c>
      <c r="L143" s="112" t="str">
        <f>IFERROR(IF(VLOOKUP($B143,homologador02[#Data],12)=0,"-",VLOOKUP($B143,homologador02[#Data],12)),"-")</f>
        <v>-</v>
      </c>
    </row>
    <row r="144" spans="2:12">
      <c r="B144" s="56" t="str">
        <f>IF(ISERR(casostestes[[#This Row],[ID]]),"-",casostestes[[#This Row],[ID]])</f>
        <v>-</v>
      </c>
      <c r="C144" s="49" t="str">
        <f>IFERROR(IF(VLOOKUP($B144,casostestes[#Data],10)=0,"Não",VLOOKUP($B144,casostestes[#Data],10)), "-")</f>
        <v>-</v>
      </c>
      <c r="D144" s="50" t="str">
        <f>IFERROR(IF(VLOOKUP($B144,casostestes[#Data],2)=0,"-",VLOOKUP($B144,casostestes[#Data],2)), "-")</f>
        <v>-</v>
      </c>
      <c r="E144" s="50" t="str">
        <f>IFERROR(IF(VLOOKUP($B144,casostestes[#Data],3)=0,"-",VLOOKUP($B144,casostestes[#Data],3)), "-")</f>
        <v>-</v>
      </c>
      <c r="F144" s="50" t="str">
        <f>IFERROR(IF(VLOOKUP($B144,casostestes[#Data],4)=0,"-",VLOOKUP($B144,casostestes[#Data],4)),"-")</f>
        <v>-</v>
      </c>
      <c r="G144" s="50" t="str">
        <f>IFERROR(IF(VLOOKUP($B144,casostestes[#Data],5)=0,"-",VLOOKUP($B144,casostestes[#Data],5)),"-")</f>
        <v>-</v>
      </c>
      <c r="H144" s="50" t="str">
        <f>IFERROR(IF(VLOOKUP($B144,casostestes[#Data],6)=0,"-",VLOOKUP($B144,casostestes[#Data],6)),"-")</f>
        <v>-</v>
      </c>
      <c r="I144" s="50" t="str">
        <f>IFERROR(IF(VLOOKUP($B144,casostestes[#Data],8)=0,"-",VLOOKUP($B144,casostestes[#Data],8)),"-")</f>
        <v>-</v>
      </c>
      <c r="J144" s="50" t="str">
        <f>IFERROR(IF(VLOOKUP($B144,casostestes[#Data],9)=0,"-",VLOOKUP($B144,casostestes[#Data],9)),"-")</f>
        <v>-</v>
      </c>
      <c r="K144" s="112" t="str">
        <f>IFERROR(IF(VLOOKUP($B144,homologador01[#Data],12)=0,"Não executado",VLOOKUP($B144,homologador01[#Data],12)),"Não executado")</f>
        <v>Não executado</v>
      </c>
      <c r="L144" s="112" t="str">
        <f>IFERROR(IF(VLOOKUP($B144,homologador02[#Data],12)=0,"-",VLOOKUP($B144,homologador02[#Data],12)),"-")</f>
        <v>-</v>
      </c>
    </row>
    <row r="145" spans="2:12">
      <c r="B145" s="56" t="str">
        <f>IF(ISERR(casostestes[[#This Row],[ID]]),"-",casostestes[[#This Row],[ID]])</f>
        <v>-</v>
      </c>
      <c r="C145" s="49" t="str">
        <f>IFERROR(IF(VLOOKUP($B145,casostestes[#Data],10)=0,"Não",VLOOKUP($B145,casostestes[#Data],10)), "-")</f>
        <v>-</v>
      </c>
      <c r="D145" s="50" t="str">
        <f>IFERROR(IF(VLOOKUP($B145,casostestes[#Data],2)=0,"-",VLOOKUP($B145,casostestes[#Data],2)), "-")</f>
        <v>-</v>
      </c>
      <c r="E145" s="50" t="str">
        <f>IFERROR(IF(VLOOKUP($B145,casostestes[#Data],3)=0,"-",VLOOKUP($B145,casostestes[#Data],3)), "-")</f>
        <v>-</v>
      </c>
      <c r="F145" s="50" t="str">
        <f>IFERROR(IF(VLOOKUP($B145,casostestes[#Data],4)=0,"-",VLOOKUP($B145,casostestes[#Data],4)),"-")</f>
        <v>-</v>
      </c>
      <c r="G145" s="50" t="str">
        <f>IFERROR(IF(VLOOKUP($B145,casostestes[#Data],5)=0,"-",VLOOKUP($B145,casostestes[#Data],5)),"-")</f>
        <v>-</v>
      </c>
      <c r="H145" s="50" t="str">
        <f>IFERROR(IF(VLOOKUP($B145,casostestes[#Data],6)=0,"-",VLOOKUP($B145,casostestes[#Data],6)),"-")</f>
        <v>-</v>
      </c>
      <c r="I145" s="50" t="str">
        <f>IFERROR(IF(VLOOKUP($B145,casostestes[#Data],8)=0,"-",VLOOKUP($B145,casostestes[#Data],8)),"-")</f>
        <v>-</v>
      </c>
      <c r="J145" s="50" t="str">
        <f>IFERROR(IF(VLOOKUP($B145,casostestes[#Data],9)=0,"-",VLOOKUP($B145,casostestes[#Data],9)),"-")</f>
        <v>-</v>
      </c>
      <c r="K145" s="112" t="str">
        <f>IFERROR(IF(VLOOKUP($B145,homologador01[#Data],12)=0,"Não executado",VLOOKUP($B145,homologador01[#Data],12)),"Não executado")</f>
        <v>Não executado</v>
      </c>
      <c r="L145" s="112" t="str">
        <f>IFERROR(IF(VLOOKUP($B145,homologador02[#Data],12)=0,"-",VLOOKUP($B145,homologador02[#Data],12)),"-")</f>
        <v>-</v>
      </c>
    </row>
    <row r="146" spans="2:12">
      <c r="B146" s="56" t="str">
        <f>IF(ISERR(casostestes[[#This Row],[ID]]),"-",casostestes[[#This Row],[ID]])</f>
        <v>-</v>
      </c>
      <c r="C146" s="49" t="str">
        <f>IFERROR(IF(VLOOKUP($B146,casostestes[#Data],10)=0,"Não",VLOOKUP($B146,casostestes[#Data],10)), "-")</f>
        <v>-</v>
      </c>
      <c r="D146" s="50" t="str">
        <f>IFERROR(IF(VLOOKUP($B146,casostestes[#Data],2)=0,"-",VLOOKUP($B146,casostestes[#Data],2)), "-")</f>
        <v>-</v>
      </c>
      <c r="E146" s="50" t="str">
        <f>IFERROR(IF(VLOOKUP($B146,casostestes[#Data],3)=0,"-",VLOOKUP($B146,casostestes[#Data],3)), "-")</f>
        <v>-</v>
      </c>
      <c r="F146" s="50" t="str">
        <f>IFERROR(IF(VLOOKUP($B146,casostestes[#Data],4)=0,"-",VLOOKUP($B146,casostestes[#Data],4)),"-")</f>
        <v>-</v>
      </c>
      <c r="G146" s="50" t="str">
        <f>IFERROR(IF(VLOOKUP($B146,casostestes[#Data],5)=0,"-",VLOOKUP($B146,casostestes[#Data],5)),"-")</f>
        <v>-</v>
      </c>
      <c r="H146" s="50" t="str">
        <f>IFERROR(IF(VLOOKUP($B146,casostestes[#Data],6)=0,"-",VLOOKUP($B146,casostestes[#Data],6)),"-")</f>
        <v>-</v>
      </c>
      <c r="I146" s="50" t="str">
        <f>IFERROR(IF(VLOOKUP($B146,casostestes[#Data],8)=0,"-",VLOOKUP($B146,casostestes[#Data],8)),"-")</f>
        <v>-</v>
      </c>
      <c r="J146" s="50" t="str">
        <f>IFERROR(IF(VLOOKUP($B146,casostestes[#Data],9)=0,"-",VLOOKUP($B146,casostestes[#Data],9)),"-")</f>
        <v>-</v>
      </c>
      <c r="K146" s="112" t="str">
        <f>IFERROR(IF(VLOOKUP($B146,homologador01[#Data],12)=0,"Não executado",VLOOKUP($B146,homologador01[#Data],12)),"Não executado")</f>
        <v>Não executado</v>
      </c>
      <c r="L146" s="112" t="str">
        <f>IFERROR(IF(VLOOKUP($B146,homologador02[#Data],12)=0,"-",VLOOKUP($B146,homologador02[#Data],12)),"-")</f>
        <v>-</v>
      </c>
    </row>
    <row r="147" spans="2:12">
      <c r="B147" s="56" t="str">
        <f>IF(ISERR(casostestes[[#This Row],[ID]]),"-",casostestes[[#This Row],[ID]])</f>
        <v>-</v>
      </c>
      <c r="C147" s="49" t="str">
        <f>IFERROR(IF(VLOOKUP($B147,casostestes[#Data],10)=0,"Não",VLOOKUP($B147,casostestes[#Data],10)), "-")</f>
        <v>-</v>
      </c>
      <c r="D147" s="50" t="str">
        <f>IFERROR(IF(VLOOKUP($B147,casostestes[#Data],2)=0,"-",VLOOKUP($B147,casostestes[#Data],2)), "-")</f>
        <v>-</v>
      </c>
      <c r="E147" s="50" t="str">
        <f>IFERROR(IF(VLOOKUP($B147,casostestes[#Data],3)=0,"-",VLOOKUP($B147,casostestes[#Data],3)), "-")</f>
        <v>-</v>
      </c>
      <c r="F147" s="50" t="str">
        <f>IFERROR(IF(VLOOKUP($B147,casostestes[#Data],4)=0,"-",VLOOKUP($B147,casostestes[#Data],4)),"-")</f>
        <v>-</v>
      </c>
      <c r="G147" s="50" t="str">
        <f>IFERROR(IF(VLOOKUP($B147,casostestes[#Data],5)=0,"-",VLOOKUP($B147,casostestes[#Data],5)),"-")</f>
        <v>-</v>
      </c>
      <c r="H147" s="50" t="str">
        <f>IFERROR(IF(VLOOKUP($B147,casostestes[#Data],6)=0,"-",VLOOKUP($B147,casostestes[#Data],6)),"-")</f>
        <v>-</v>
      </c>
      <c r="I147" s="50" t="str">
        <f>IFERROR(IF(VLOOKUP($B147,casostestes[#Data],8)=0,"-",VLOOKUP($B147,casostestes[#Data],8)),"-")</f>
        <v>-</v>
      </c>
      <c r="J147" s="50" t="str">
        <f>IFERROR(IF(VLOOKUP($B147,casostestes[#Data],9)=0,"-",VLOOKUP($B147,casostestes[#Data],9)),"-")</f>
        <v>-</v>
      </c>
      <c r="K147" s="112" t="str">
        <f>IFERROR(IF(VLOOKUP($B147,homologador01[#Data],12)=0,"Não executado",VLOOKUP($B147,homologador01[#Data],12)),"Não executado")</f>
        <v>Não executado</v>
      </c>
      <c r="L147" s="112" t="str">
        <f>IFERROR(IF(VLOOKUP($B147,homologador02[#Data],12)=0,"-",VLOOKUP($B147,homologador02[#Data],12)),"-")</f>
        <v>-</v>
      </c>
    </row>
    <row r="148" spans="2:12">
      <c r="B148" s="56" t="str">
        <f>IF(ISERR(casostestes[[#This Row],[ID]]),"-",casostestes[[#This Row],[ID]])</f>
        <v>-</v>
      </c>
      <c r="C148" s="49" t="str">
        <f>IFERROR(IF(VLOOKUP($B148,casostestes[#Data],10)=0,"Não",VLOOKUP($B148,casostestes[#Data],10)), "-")</f>
        <v>-</v>
      </c>
      <c r="D148" s="50" t="str">
        <f>IFERROR(IF(VLOOKUP($B148,casostestes[#Data],2)=0,"-",VLOOKUP($B148,casostestes[#Data],2)), "-")</f>
        <v>-</v>
      </c>
      <c r="E148" s="50" t="str">
        <f>IFERROR(IF(VLOOKUP($B148,casostestes[#Data],3)=0,"-",VLOOKUP($B148,casostestes[#Data],3)), "-")</f>
        <v>-</v>
      </c>
      <c r="F148" s="50" t="str">
        <f>IFERROR(IF(VLOOKUP($B148,casostestes[#Data],4)=0,"-",VLOOKUP($B148,casostestes[#Data],4)),"-")</f>
        <v>-</v>
      </c>
      <c r="G148" s="50" t="str">
        <f>IFERROR(IF(VLOOKUP($B148,casostestes[#Data],5)=0,"-",VLOOKUP($B148,casostestes[#Data],5)),"-")</f>
        <v>-</v>
      </c>
      <c r="H148" s="50" t="str">
        <f>IFERROR(IF(VLOOKUP($B148,casostestes[#Data],6)=0,"-",VLOOKUP($B148,casostestes[#Data],6)),"-")</f>
        <v>-</v>
      </c>
      <c r="I148" s="50" t="str">
        <f>IFERROR(IF(VLOOKUP($B148,casostestes[#Data],8)=0,"-",VLOOKUP($B148,casostestes[#Data],8)),"-")</f>
        <v>-</v>
      </c>
      <c r="J148" s="50" t="str">
        <f>IFERROR(IF(VLOOKUP($B148,casostestes[#Data],9)=0,"-",VLOOKUP($B148,casostestes[#Data],9)),"-")</f>
        <v>-</v>
      </c>
      <c r="K148" s="112" t="str">
        <f>IFERROR(IF(VLOOKUP($B148,homologador01[#Data],12)=0,"Não executado",VLOOKUP($B148,homologador01[#Data],12)),"Não executado")</f>
        <v>Não executado</v>
      </c>
      <c r="L148" s="112" t="str">
        <f>IFERROR(IF(VLOOKUP($B148,homologador02[#Data],12)=0,"-",VLOOKUP($B148,homologador02[#Data],12)),"-")</f>
        <v>-</v>
      </c>
    </row>
    <row r="149" spans="2:12">
      <c r="B149" s="56" t="str">
        <f>IF(ISERR(casostestes[[#This Row],[ID]]),"-",casostestes[[#This Row],[ID]])</f>
        <v>-</v>
      </c>
      <c r="C149" s="49" t="str">
        <f>IFERROR(IF(VLOOKUP($B149,casostestes[#Data],10)=0,"Não",VLOOKUP($B149,casostestes[#Data],10)), "-")</f>
        <v>-</v>
      </c>
      <c r="D149" s="50" t="str">
        <f>IFERROR(IF(VLOOKUP($B149,casostestes[#Data],2)=0,"-",VLOOKUP($B149,casostestes[#Data],2)), "-")</f>
        <v>-</v>
      </c>
      <c r="E149" s="50" t="str">
        <f>IFERROR(IF(VLOOKUP($B149,casostestes[#Data],3)=0,"-",VLOOKUP($B149,casostestes[#Data],3)), "-")</f>
        <v>-</v>
      </c>
      <c r="F149" s="50" t="str">
        <f>IFERROR(IF(VLOOKUP($B149,casostestes[#Data],4)=0,"-",VLOOKUP($B149,casostestes[#Data],4)),"-")</f>
        <v>-</v>
      </c>
      <c r="G149" s="50" t="str">
        <f>IFERROR(IF(VLOOKUP($B149,casostestes[#Data],5)=0,"-",VLOOKUP($B149,casostestes[#Data],5)),"-")</f>
        <v>-</v>
      </c>
      <c r="H149" s="50" t="str">
        <f>IFERROR(IF(VLOOKUP($B149,casostestes[#Data],6)=0,"-",VLOOKUP($B149,casostestes[#Data],6)),"-")</f>
        <v>-</v>
      </c>
      <c r="I149" s="50" t="str">
        <f>IFERROR(IF(VLOOKUP($B149,casostestes[#Data],8)=0,"-",VLOOKUP($B149,casostestes[#Data],8)),"-")</f>
        <v>-</v>
      </c>
      <c r="J149" s="50" t="str">
        <f>IFERROR(IF(VLOOKUP($B149,casostestes[#Data],9)=0,"-",VLOOKUP($B149,casostestes[#Data],9)),"-")</f>
        <v>-</v>
      </c>
      <c r="K149" s="112" t="str">
        <f>IFERROR(IF(VLOOKUP($B149,homologador01[#Data],12)=0,"Não executado",VLOOKUP($B149,homologador01[#Data],12)),"Não executado")</f>
        <v>Não executado</v>
      </c>
      <c r="L149" s="112" t="str">
        <f>IFERROR(IF(VLOOKUP($B149,homologador02[#Data],12)=0,"-",VLOOKUP($B149,homologador02[#Data],12)),"-")</f>
        <v>-</v>
      </c>
    </row>
    <row r="150" spans="2:12">
      <c r="B150" s="56" t="str">
        <f>IF(ISERR(casostestes[[#This Row],[ID]]),"-",casostestes[[#This Row],[ID]])</f>
        <v>-</v>
      </c>
      <c r="C150" s="49" t="str">
        <f>IFERROR(IF(VLOOKUP($B150,casostestes[#Data],10)=0,"Não",VLOOKUP($B150,casostestes[#Data],10)), "-")</f>
        <v>-</v>
      </c>
      <c r="D150" s="50" t="str">
        <f>IFERROR(IF(VLOOKUP($B150,casostestes[#Data],2)=0,"-",VLOOKUP($B150,casostestes[#Data],2)), "-")</f>
        <v>-</v>
      </c>
      <c r="E150" s="50" t="str">
        <f>IFERROR(IF(VLOOKUP($B150,casostestes[#Data],3)=0,"-",VLOOKUP($B150,casostestes[#Data],3)), "-")</f>
        <v>-</v>
      </c>
      <c r="F150" s="50" t="str">
        <f>IFERROR(IF(VLOOKUP($B150,casostestes[#Data],4)=0,"-",VLOOKUP($B150,casostestes[#Data],4)),"-")</f>
        <v>-</v>
      </c>
      <c r="G150" s="50" t="str">
        <f>IFERROR(IF(VLOOKUP($B150,casostestes[#Data],5)=0,"-",VLOOKUP($B150,casostestes[#Data],5)),"-")</f>
        <v>-</v>
      </c>
      <c r="H150" s="50" t="str">
        <f>IFERROR(IF(VLOOKUP($B150,casostestes[#Data],6)=0,"-",VLOOKUP($B150,casostestes[#Data],6)),"-")</f>
        <v>-</v>
      </c>
      <c r="I150" s="50" t="str">
        <f>IFERROR(IF(VLOOKUP($B150,casostestes[#Data],8)=0,"-",VLOOKUP($B150,casostestes[#Data],8)),"-")</f>
        <v>-</v>
      </c>
      <c r="J150" s="50" t="str">
        <f>IFERROR(IF(VLOOKUP($B150,casostestes[#Data],9)=0,"-",VLOOKUP($B150,casostestes[#Data],9)),"-")</f>
        <v>-</v>
      </c>
      <c r="K150" s="112" t="str">
        <f>IFERROR(IF(VLOOKUP($B150,homologador01[#Data],12)=0,"Não executado",VLOOKUP($B150,homologador01[#Data],12)),"Não executado")</f>
        <v>Não executado</v>
      </c>
      <c r="L150" s="112" t="str">
        <f>IFERROR(IF(VLOOKUP($B150,homologador02[#Data],12)=0,"-",VLOOKUP($B150,homologador02[#Data],12)),"-")</f>
        <v>-</v>
      </c>
    </row>
    <row r="151" spans="2:12">
      <c r="B151" s="56" t="str">
        <f>IF(ISERR(casostestes[[#This Row],[ID]]),"-",casostestes[[#This Row],[ID]])</f>
        <v>-</v>
      </c>
      <c r="C151" s="49" t="str">
        <f>IFERROR(IF(VLOOKUP($B151,casostestes[#Data],10)=0,"Não",VLOOKUP($B151,casostestes[#Data],10)), "-")</f>
        <v>-</v>
      </c>
      <c r="D151" s="50" t="str">
        <f>IFERROR(IF(VLOOKUP($B151,casostestes[#Data],2)=0,"-",VLOOKUP($B151,casostestes[#Data],2)), "-")</f>
        <v>-</v>
      </c>
      <c r="E151" s="50" t="str">
        <f>IFERROR(IF(VLOOKUP($B151,casostestes[#Data],3)=0,"-",VLOOKUP($B151,casostestes[#Data],3)), "-")</f>
        <v>-</v>
      </c>
      <c r="F151" s="50" t="str">
        <f>IFERROR(IF(VLOOKUP($B151,casostestes[#Data],4)=0,"-",VLOOKUP($B151,casostestes[#Data],4)),"-")</f>
        <v>-</v>
      </c>
      <c r="G151" s="50" t="str">
        <f>IFERROR(IF(VLOOKUP($B151,casostestes[#Data],5)=0,"-",VLOOKUP($B151,casostestes[#Data],5)),"-")</f>
        <v>-</v>
      </c>
      <c r="H151" s="50" t="str">
        <f>IFERROR(IF(VLOOKUP($B151,casostestes[#Data],6)=0,"-",VLOOKUP($B151,casostestes[#Data],6)),"-")</f>
        <v>-</v>
      </c>
      <c r="I151" s="50" t="str">
        <f>IFERROR(IF(VLOOKUP($B151,casostestes[#Data],8)=0,"-",VLOOKUP($B151,casostestes[#Data],8)),"-")</f>
        <v>-</v>
      </c>
      <c r="J151" s="50" t="str">
        <f>IFERROR(IF(VLOOKUP($B151,casostestes[#Data],9)=0,"-",VLOOKUP($B151,casostestes[#Data],9)),"-")</f>
        <v>-</v>
      </c>
      <c r="K151" s="112" t="str">
        <f>IFERROR(IF(VLOOKUP($B151,homologador01[#Data],12)=0,"Não executado",VLOOKUP($B151,homologador01[#Data],12)),"Não executado")</f>
        <v>Não executado</v>
      </c>
      <c r="L151" s="112" t="str">
        <f>IFERROR(IF(VLOOKUP($B151,homologador02[#Data],12)=0,"-",VLOOKUP($B151,homologador02[#Data],12)),"-")</f>
        <v>-</v>
      </c>
    </row>
    <row r="152" spans="2:12">
      <c r="B152" s="56" t="str">
        <f>IF(ISERR(casostestes[[#This Row],[ID]]),"-",casostestes[[#This Row],[ID]])</f>
        <v>-</v>
      </c>
      <c r="C152" s="49" t="str">
        <f>IFERROR(IF(VLOOKUP($B152,casostestes[#Data],10)=0,"Não",VLOOKUP($B152,casostestes[#Data],10)), "-")</f>
        <v>-</v>
      </c>
      <c r="D152" s="50" t="str">
        <f>IFERROR(IF(VLOOKUP($B152,casostestes[#Data],2)=0,"-",VLOOKUP($B152,casostestes[#Data],2)), "-")</f>
        <v>-</v>
      </c>
      <c r="E152" s="50" t="str">
        <f>IFERROR(IF(VLOOKUP($B152,casostestes[#Data],3)=0,"-",VLOOKUP($B152,casostestes[#Data],3)), "-")</f>
        <v>-</v>
      </c>
      <c r="F152" s="50" t="str">
        <f>IFERROR(IF(VLOOKUP($B152,casostestes[#Data],4)=0,"-",VLOOKUP($B152,casostestes[#Data],4)),"-")</f>
        <v>-</v>
      </c>
      <c r="G152" s="50" t="str">
        <f>IFERROR(IF(VLOOKUP($B152,casostestes[#Data],5)=0,"-",VLOOKUP($B152,casostestes[#Data],5)),"-")</f>
        <v>-</v>
      </c>
      <c r="H152" s="50" t="str">
        <f>IFERROR(IF(VLOOKUP($B152,casostestes[#Data],6)=0,"-",VLOOKUP($B152,casostestes[#Data],6)),"-")</f>
        <v>-</v>
      </c>
      <c r="I152" s="50" t="str">
        <f>IFERROR(IF(VLOOKUP($B152,casostestes[#Data],8)=0,"-",VLOOKUP($B152,casostestes[#Data],8)),"-")</f>
        <v>-</v>
      </c>
      <c r="J152" s="50" t="str">
        <f>IFERROR(IF(VLOOKUP($B152,casostestes[#Data],9)=0,"-",VLOOKUP($B152,casostestes[#Data],9)),"-")</f>
        <v>-</v>
      </c>
      <c r="K152" s="112" t="str">
        <f>IFERROR(IF(VLOOKUP($B152,homologador01[#Data],12)=0,"Não executado",VLOOKUP($B152,homologador01[#Data],12)),"Não executado")</f>
        <v>Não executado</v>
      </c>
      <c r="L152" s="112" t="str">
        <f>IFERROR(IF(VLOOKUP($B152,homologador02[#Data],12)=0,"-",VLOOKUP($B152,homologador02[#Data],12)),"-")</f>
        <v>-</v>
      </c>
    </row>
    <row r="153" spans="2:12">
      <c r="B153" s="56" t="str">
        <f>IF(ISERR(casostestes[[#This Row],[ID]]),"-",casostestes[[#This Row],[ID]])</f>
        <v>-</v>
      </c>
      <c r="C153" s="49" t="str">
        <f>IFERROR(IF(VLOOKUP($B153,casostestes[#Data],10)=0,"Não",VLOOKUP($B153,casostestes[#Data],10)), "-")</f>
        <v>-</v>
      </c>
      <c r="D153" s="50" t="str">
        <f>IFERROR(IF(VLOOKUP($B153,casostestes[#Data],2)=0,"-",VLOOKUP($B153,casostestes[#Data],2)), "-")</f>
        <v>-</v>
      </c>
      <c r="E153" s="50" t="str">
        <f>IFERROR(IF(VLOOKUP($B153,casostestes[#Data],3)=0,"-",VLOOKUP($B153,casostestes[#Data],3)), "-")</f>
        <v>-</v>
      </c>
      <c r="F153" s="50" t="str">
        <f>IFERROR(IF(VLOOKUP($B153,casostestes[#Data],4)=0,"-",VLOOKUP($B153,casostestes[#Data],4)),"-")</f>
        <v>-</v>
      </c>
      <c r="G153" s="50" t="str">
        <f>IFERROR(IF(VLOOKUP($B153,casostestes[#Data],5)=0,"-",VLOOKUP($B153,casostestes[#Data],5)),"-")</f>
        <v>-</v>
      </c>
      <c r="H153" s="50" t="str">
        <f>IFERROR(IF(VLOOKUP($B153,casostestes[#Data],6)=0,"-",VLOOKUP($B153,casostestes[#Data],6)),"-")</f>
        <v>-</v>
      </c>
      <c r="I153" s="50" t="str">
        <f>IFERROR(IF(VLOOKUP($B153,casostestes[#Data],8)=0,"-",VLOOKUP($B153,casostestes[#Data],8)),"-")</f>
        <v>-</v>
      </c>
      <c r="J153" s="50" t="str">
        <f>IFERROR(IF(VLOOKUP($B153,casostestes[#Data],9)=0,"-",VLOOKUP($B153,casostestes[#Data],9)),"-")</f>
        <v>-</v>
      </c>
      <c r="K153" s="112" t="str">
        <f>IFERROR(IF(VLOOKUP($B153,homologador01[#Data],12)=0,"Não executado",VLOOKUP($B153,homologador01[#Data],12)),"Não executado")</f>
        <v>Não executado</v>
      </c>
      <c r="L153" s="112" t="str">
        <f>IFERROR(IF(VLOOKUP($B153,homologador02[#Data],12)=0,"-",VLOOKUP($B153,homologador02[#Data],12)),"-")</f>
        <v>-</v>
      </c>
    </row>
    <row r="154" spans="2:12">
      <c r="B154" s="56" t="str">
        <f>IF(ISERR(casostestes[[#This Row],[ID]]),"-",casostestes[[#This Row],[ID]])</f>
        <v>-</v>
      </c>
      <c r="C154" s="49" t="str">
        <f>IFERROR(IF(VLOOKUP($B154,casostestes[#Data],10)=0,"Não",VLOOKUP($B154,casostestes[#Data],10)), "-")</f>
        <v>-</v>
      </c>
      <c r="D154" s="50" t="str">
        <f>IFERROR(IF(VLOOKUP($B154,casostestes[#Data],2)=0,"-",VLOOKUP($B154,casostestes[#Data],2)), "-")</f>
        <v>-</v>
      </c>
      <c r="E154" s="50" t="str">
        <f>IFERROR(IF(VLOOKUP($B154,casostestes[#Data],3)=0,"-",VLOOKUP($B154,casostestes[#Data],3)), "-")</f>
        <v>-</v>
      </c>
      <c r="F154" s="50" t="str">
        <f>IFERROR(IF(VLOOKUP($B154,casostestes[#Data],4)=0,"-",VLOOKUP($B154,casostestes[#Data],4)),"-")</f>
        <v>-</v>
      </c>
      <c r="G154" s="50" t="str">
        <f>IFERROR(IF(VLOOKUP($B154,casostestes[#Data],5)=0,"-",VLOOKUP($B154,casostestes[#Data],5)),"-")</f>
        <v>-</v>
      </c>
      <c r="H154" s="50" t="str">
        <f>IFERROR(IF(VLOOKUP($B154,casostestes[#Data],6)=0,"-",VLOOKUP($B154,casostestes[#Data],6)),"-")</f>
        <v>-</v>
      </c>
      <c r="I154" s="50" t="str">
        <f>IFERROR(IF(VLOOKUP($B154,casostestes[#Data],8)=0,"-",VLOOKUP($B154,casostestes[#Data],8)),"-")</f>
        <v>-</v>
      </c>
      <c r="J154" s="50" t="str">
        <f>IFERROR(IF(VLOOKUP($B154,casostestes[#Data],9)=0,"-",VLOOKUP($B154,casostestes[#Data],9)),"-")</f>
        <v>-</v>
      </c>
      <c r="K154" s="112" t="str">
        <f>IFERROR(IF(VLOOKUP($B154,homologador01[#Data],12)=0,"Não executado",VLOOKUP($B154,homologador01[#Data],12)),"Não executado")</f>
        <v>Não executado</v>
      </c>
      <c r="L154" s="112" t="str">
        <f>IFERROR(IF(VLOOKUP($B154,homologador02[#Data],12)=0,"-",VLOOKUP($B154,homologador02[#Data],12)),"-")</f>
        <v>-</v>
      </c>
    </row>
    <row r="155" spans="2:12">
      <c r="B155" s="56" t="str">
        <f>IF(ISERR(casostestes[[#This Row],[ID]]),"-",casostestes[[#This Row],[ID]])</f>
        <v>-</v>
      </c>
      <c r="C155" s="49" t="str">
        <f>IFERROR(IF(VLOOKUP($B155,casostestes[#Data],10)=0,"Não",VLOOKUP($B155,casostestes[#Data],10)), "-")</f>
        <v>-</v>
      </c>
      <c r="D155" s="50" t="str">
        <f>IFERROR(IF(VLOOKUP($B155,casostestes[#Data],2)=0,"-",VLOOKUP($B155,casostestes[#Data],2)), "-")</f>
        <v>-</v>
      </c>
      <c r="E155" s="50" t="str">
        <f>IFERROR(IF(VLOOKUP($B155,casostestes[#Data],3)=0,"-",VLOOKUP($B155,casostestes[#Data],3)), "-")</f>
        <v>-</v>
      </c>
      <c r="F155" s="50" t="str">
        <f>IFERROR(IF(VLOOKUP($B155,casostestes[#Data],4)=0,"-",VLOOKUP($B155,casostestes[#Data],4)),"-")</f>
        <v>-</v>
      </c>
      <c r="G155" s="50" t="str">
        <f>IFERROR(IF(VLOOKUP($B155,casostestes[#Data],5)=0,"-",VLOOKUP($B155,casostestes[#Data],5)),"-")</f>
        <v>-</v>
      </c>
      <c r="H155" s="50" t="str">
        <f>IFERROR(IF(VLOOKUP($B155,casostestes[#Data],6)=0,"-",VLOOKUP($B155,casostestes[#Data],6)),"-")</f>
        <v>-</v>
      </c>
      <c r="I155" s="50" t="str">
        <f>IFERROR(IF(VLOOKUP($B155,casostestes[#Data],8)=0,"-",VLOOKUP($B155,casostestes[#Data],8)),"-")</f>
        <v>-</v>
      </c>
      <c r="J155" s="50" t="str">
        <f>IFERROR(IF(VLOOKUP($B155,casostestes[#Data],9)=0,"-",VLOOKUP($B155,casostestes[#Data],9)),"-")</f>
        <v>-</v>
      </c>
      <c r="K155" s="112" t="str">
        <f>IFERROR(IF(VLOOKUP($B155,homologador01[#Data],12)=0,"Não executado",VLOOKUP($B155,homologador01[#Data],12)),"Não executado")</f>
        <v>Não executado</v>
      </c>
      <c r="L155" s="112" t="str">
        <f>IFERROR(IF(VLOOKUP($B155,homologador02[#Data],12)=0,"-",VLOOKUP($B155,homologador02[#Data],12)),"-")</f>
        <v>-</v>
      </c>
    </row>
    <row r="156" spans="2:12">
      <c r="B156" s="56" t="str">
        <f>IF(ISERR(casostestes[[#This Row],[ID]]),"-",casostestes[[#This Row],[ID]])</f>
        <v>-</v>
      </c>
      <c r="C156" s="49" t="str">
        <f>IFERROR(IF(VLOOKUP($B156,casostestes[#Data],10)=0,"Não",VLOOKUP($B156,casostestes[#Data],10)), "-")</f>
        <v>-</v>
      </c>
      <c r="D156" s="50" t="str">
        <f>IFERROR(IF(VLOOKUP($B156,casostestes[#Data],2)=0,"-",VLOOKUP($B156,casostestes[#Data],2)), "-")</f>
        <v>-</v>
      </c>
      <c r="E156" s="50" t="str">
        <f>IFERROR(IF(VLOOKUP($B156,casostestes[#Data],3)=0,"-",VLOOKUP($B156,casostestes[#Data],3)), "-")</f>
        <v>-</v>
      </c>
      <c r="F156" s="50" t="str">
        <f>IFERROR(IF(VLOOKUP($B156,casostestes[#Data],4)=0,"-",VLOOKUP($B156,casostestes[#Data],4)),"-")</f>
        <v>-</v>
      </c>
      <c r="G156" s="50" t="str">
        <f>IFERROR(IF(VLOOKUP($B156,casostestes[#Data],5)=0,"-",VLOOKUP($B156,casostestes[#Data],5)),"-")</f>
        <v>-</v>
      </c>
      <c r="H156" s="50" t="str">
        <f>IFERROR(IF(VLOOKUP($B156,casostestes[#Data],6)=0,"-",VLOOKUP($B156,casostestes[#Data],6)),"-")</f>
        <v>-</v>
      </c>
      <c r="I156" s="50" t="str">
        <f>IFERROR(IF(VLOOKUP($B156,casostestes[#Data],8)=0,"-",VLOOKUP($B156,casostestes[#Data],8)),"-")</f>
        <v>-</v>
      </c>
      <c r="J156" s="50" t="str">
        <f>IFERROR(IF(VLOOKUP($B156,casostestes[#Data],9)=0,"-",VLOOKUP($B156,casostestes[#Data],9)),"-")</f>
        <v>-</v>
      </c>
      <c r="K156" s="112" t="str">
        <f>IFERROR(IF(VLOOKUP($B156,homologador01[#Data],12)=0,"Não executado",VLOOKUP($B156,homologador01[#Data],12)),"Não executado")</f>
        <v>Não executado</v>
      </c>
      <c r="L156" s="112" t="str">
        <f>IFERROR(IF(VLOOKUP($B156,homologador02[#Data],12)=0,"-",VLOOKUP($B156,homologador02[#Data],12)),"-")</f>
        <v>-</v>
      </c>
    </row>
    <row r="157" spans="2:12">
      <c r="B157" s="56" t="str">
        <f>IF(ISERR(casostestes[[#This Row],[ID]]),"-",casostestes[[#This Row],[ID]])</f>
        <v>-</v>
      </c>
      <c r="C157" s="49" t="str">
        <f>IFERROR(IF(VLOOKUP($B157,casostestes[#Data],10)=0,"Não",VLOOKUP($B157,casostestes[#Data],10)), "-")</f>
        <v>-</v>
      </c>
      <c r="D157" s="50" t="str">
        <f>IFERROR(IF(VLOOKUP($B157,casostestes[#Data],2)=0,"-",VLOOKUP($B157,casostestes[#Data],2)), "-")</f>
        <v>-</v>
      </c>
      <c r="E157" s="50" t="str">
        <f>IFERROR(IF(VLOOKUP($B157,casostestes[#Data],3)=0,"-",VLOOKUP($B157,casostestes[#Data],3)), "-")</f>
        <v>-</v>
      </c>
      <c r="F157" s="50" t="str">
        <f>IFERROR(IF(VLOOKUP($B157,casostestes[#Data],4)=0,"-",VLOOKUP($B157,casostestes[#Data],4)),"-")</f>
        <v>-</v>
      </c>
      <c r="G157" s="50" t="str">
        <f>IFERROR(IF(VLOOKUP($B157,casostestes[#Data],5)=0,"-",VLOOKUP($B157,casostestes[#Data],5)),"-")</f>
        <v>-</v>
      </c>
      <c r="H157" s="50" t="str">
        <f>IFERROR(IF(VLOOKUP($B157,casostestes[#Data],6)=0,"-",VLOOKUP($B157,casostestes[#Data],6)),"-")</f>
        <v>-</v>
      </c>
      <c r="I157" s="50" t="str">
        <f>IFERROR(IF(VLOOKUP($B157,casostestes[#Data],8)=0,"-",VLOOKUP($B157,casostestes[#Data],8)),"-")</f>
        <v>-</v>
      </c>
      <c r="J157" s="50" t="str">
        <f>IFERROR(IF(VLOOKUP($B157,casostestes[#Data],9)=0,"-",VLOOKUP($B157,casostestes[#Data],9)),"-")</f>
        <v>-</v>
      </c>
      <c r="K157" s="112" t="str">
        <f>IFERROR(IF(VLOOKUP($B157,homologador01[#Data],12)=0,"Não executado",VLOOKUP($B157,homologador01[#Data],12)),"Não executado")</f>
        <v>Não executado</v>
      </c>
      <c r="L157" s="112" t="str">
        <f>IFERROR(IF(VLOOKUP($B157,homologador02[#Data],12)=0,"-",VLOOKUP($B157,homologador02[#Data],12)),"-")</f>
        <v>-</v>
      </c>
    </row>
    <row r="158" spans="2:12">
      <c r="B158" s="56" t="str">
        <f>IF(ISERR(casostestes[[#This Row],[ID]]),"-",casostestes[[#This Row],[ID]])</f>
        <v>-</v>
      </c>
      <c r="C158" s="49" t="str">
        <f>IFERROR(IF(VLOOKUP($B158,casostestes[#Data],10)=0,"Não",VLOOKUP($B158,casostestes[#Data],10)), "-")</f>
        <v>-</v>
      </c>
      <c r="D158" s="50" t="str">
        <f>IFERROR(IF(VLOOKUP($B158,casostestes[#Data],2)=0,"-",VLOOKUP($B158,casostestes[#Data],2)), "-")</f>
        <v>-</v>
      </c>
      <c r="E158" s="50" t="str">
        <f>IFERROR(IF(VLOOKUP($B158,casostestes[#Data],3)=0,"-",VLOOKUP($B158,casostestes[#Data],3)), "-")</f>
        <v>-</v>
      </c>
      <c r="F158" s="50" t="str">
        <f>IFERROR(IF(VLOOKUP($B158,casostestes[#Data],4)=0,"-",VLOOKUP($B158,casostestes[#Data],4)),"-")</f>
        <v>-</v>
      </c>
      <c r="G158" s="50" t="str">
        <f>IFERROR(IF(VLOOKUP($B158,casostestes[#Data],5)=0,"-",VLOOKUP($B158,casostestes[#Data],5)),"-")</f>
        <v>-</v>
      </c>
      <c r="H158" s="50" t="str">
        <f>IFERROR(IF(VLOOKUP($B158,casostestes[#Data],6)=0,"-",VLOOKUP($B158,casostestes[#Data],6)),"-")</f>
        <v>-</v>
      </c>
      <c r="I158" s="50" t="str">
        <f>IFERROR(IF(VLOOKUP($B158,casostestes[#Data],8)=0,"-",VLOOKUP($B158,casostestes[#Data],8)),"-")</f>
        <v>-</v>
      </c>
      <c r="J158" s="50" t="str">
        <f>IFERROR(IF(VLOOKUP($B158,casostestes[#Data],9)=0,"-",VLOOKUP($B158,casostestes[#Data],9)),"-")</f>
        <v>-</v>
      </c>
      <c r="K158" s="112" t="str">
        <f>IFERROR(IF(VLOOKUP($B158,homologador01[#Data],12)=0,"Não executado",VLOOKUP($B158,homologador01[#Data],12)),"Não executado")</f>
        <v>Não executado</v>
      </c>
      <c r="L158" s="112" t="str">
        <f>IFERROR(IF(VLOOKUP($B158,homologador02[#Data],12)=0,"-",VLOOKUP($B158,homologador02[#Data],12)),"-")</f>
        <v>-</v>
      </c>
    </row>
    <row r="159" spans="2:12">
      <c r="B159" s="56" t="str">
        <f>IF(ISERR(casostestes[[#This Row],[ID]]),"-",casostestes[[#This Row],[ID]])</f>
        <v>-</v>
      </c>
      <c r="C159" s="49" t="str">
        <f>IFERROR(IF(VLOOKUP($B159,casostestes[#Data],10)=0,"Não",VLOOKUP($B159,casostestes[#Data],10)), "-")</f>
        <v>-</v>
      </c>
      <c r="D159" s="50" t="str">
        <f>IFERROR(IF(VLOOKUP($B159,casostestes[#Data],2)=0,"-",VLOOKUP($B159,casostestes[#Data],2)), "-")</f>
        <v>-</v>
      </c>
      <c r="E159" s="50" t="str">
        <f>IFERROR(IF(VLOOKUP($B159,casostestes[#Data],3)=0,"-",VLOOKUP($B159,casostestes[#Data],3)), "-")</f>
        <v>-</v>
      </c>
      <c r="F159" s="50" t="str">
        <f>IFERROR(IF(VLOOKUP($B159,casostestes[#Data],4)=0,"-",VLOOKUP($B159,casostestes[#Data],4)),"-")</f>
        <v>-</v>
      </c>
      <c r="G159" s="50" t="str">
        <f>IFERROR(IF(VLOOKUP($B159,casostestes[#Data],5)=0,"-",VLOOKUP($B159,casostestes[#Data],5)),"-")</f>
        <v>-</v>
      </c>
      <c r="H159" s="50" t="str">
        <f>IFERROR(IF(VLOOKUP($B159,casostestes[#Data],6)=0,"-",VLOOKUP($B159,casostestes[#Data],6)),"-")</f>
        <v>-</v>
      </c>
      <c r="I159" s="50" t="str">
        <f>IFERROR(IF(VLOOKUP($B159,casostestes[#Data],8)=0,"-",VLOOKUP($B159,casostestes[#Data],8)),"-")</f>
        <v>-</v>
      </c>
      <c r="J159" s="50" t="str">
        <f>IFERROR(IF(VLOOKUP($B159,casostestes[#Data],9)=0,"-",VLOOKUP($B159,casostestes[#Data],9)),"-")</f>
        <v>-</v>
      </c>
      <c r="K159" s="112" t="str">
        <f>IFERROR(IF(VLOOKUP($B159,homologador01[#Data],12)=0,"Não executado",VLOOKUP($B159,homologador01[#Data],12)),"Não executado")</f>
        <v>Não executado</v>
      </c>
      <c r="L159" s="112" t="str">
        <f>IFERROR(IF(VLOOKUP($B159,homologador02[#Data],12)=0,"-",VLOOKUP($B159,homologador02[#Data],12)),"-")</f>
        <v>-</v>
      </c>
    </row>
    <row r="160" spans="2:12">
      <c r="B160" s="56" t="str">
        <f>IF(ISERR(casostestes[[#This Row],[ID]]),"-",casostestes[[#This Row],[ID]])</f>
        <v>-</v>
      </c>
      <c r="C160" s="49" t="str">
        <f>IFERROR(IF(VLOOKUP($B160,casostestes[#Data],10)=0,"Não",VLOOKUP($B160,casostestes[#Data],10)), "-")</f>
        <v>-</v>
      </c>
      <c r="D160" s="50" t="str">
        <f>IFERROR(IF(VLOOKUP($B160,casostestes[#Data],2)=0,"-",VLOOKUP($B160,casostestes[#Data],2)), "-")</f>
        <v>-</v>
      </c>
      <c r="E160" s="50" t="str">
        <f>IFERROR(IF(VLOOKUP($B160,casostestes[#Data],3)=0,"-",VLOOKUP($B160,casostestes[#Data],3)), "-")</f>
        <v>-</v>
      </c>
      <c r="F160" s="50" t="str">
        <f>IFERROR(IF(VLOOKUP($B160,casostestes[#Data],4)=0,"-",VLOOKUP($B160,casostestes[#Data],4)),"-")</f>
        <v>-</v>
      </c>
      <c r="G160" s="50" t="str">
        <f>IFERROR(IF(VLOOKUP($B160,casostestes[#Data],5)=0,"-",VLOOKUP($B160,casostestes[#Data],5)),"-")</f>
        <v>-</v>
      </c>
      <c r="H160" s="50" t="str">
        <f>IFERROR(IF(VLOOKUP($B160,casostestes[#Data],6)=0,"-",VLOOKUP($B160,casostestes[#Data],6)),"-")</f>
        <v>-</v>
      </c>
      <c r="I160" s="50" t="str">
        <f>IFERROR(IF(VLOOKUP($B160,casostestes[#Data],8)=0,"-",VLOOKUP($B160,casostestes[#Data],8)),"-")</f>
        <v>-</v>
      </c>
      <c r="J160" s="50" t="str">
        <f>IFERROR(IF(VLOOKUP($B160,casostestes[#Data],9)=0,"-",VLOOKUP($B160,casostestes[#Data],9)),"-")</f>
        <v>-</v>
      </c>
      <c r="K160" s="112" t="str">
        <f>IFERROR(IF(VLOOKUP($B160,homologador01[#Data],12)=0,"Não executado",VLOOKUP($B160,homologador01[#Data],12)),"Não executado")</f>
        <v>Não executado</v>
      </c>
      <c r="L160" s="112" t="str">
        <f>IFERROR(IF(VLOOKUP($B160,homologador02[#Data],12)=0,"-",VLOOKUP($B160,homologador02[#Data],12)),"-")</f>
        <v>-</v>
      </c>
    </row>
    <row r="161" spans="2:12">
      <c r="B161" s="56" t="str">
        <f>IF(ISERR(casostestes[[#This Row],[ID]]),"-",casostestes[[#This Row],[ID]])</f>
        <v>-</v>
      </c>
      <c r="C161" s="49" t="str">
        <f>IFERROR(IF(VLOOKUP($B161,casostestes[#Data],10)=0,"Não",VLOOKUP($B161,casostestes[#Data],10)), "-")</f>
        <v>-</v>
      </c>
      <c r="D161" s="50" t="str">
        <f>IFERROR(IF(VLOOKUP($B161,casostestes[#Data],2)=0,"-",VLOOKUP($B161,casostestes[#Data],2)), "-")</f>
        <v>-</v>
      </c>
      <c r="E161" s="50" t="str">
        <f>IFERROR(IF(VLOOKUP($B161,casostestes[#Data],3)=0,"-",VLOOKUP($B161,casostestes[#Data],3)), "-")</f>
        <v>-</v>
      </c>
      <c r="F161" s="50" t="str">
        <f>IFERROR(IF(VLOOKUP($B161,casostestes[#Data],4)=0,"-",VLOOKUP($B161,casostestes[#Data],4)),"-")</f>
        <v>-</v>
      </c>
      <c r="G161" s="50" t="str">
        <f>IFERROR(IF(VLOOKUP($B161,casostestes[#Data],5)=0,"-",VLOOKUP($B161,casostestes[#Data],5)),"-")</f>
        <v>-</v>
      </c>
      <c r="H161" s="50" t="str">
        <f>IFERROR(IF(VLOOKUP($B161,casostestes[#Data],6)=0,"-",VLOOKUP($B161,casostestes[#Data],6)),"-")</f>
        <v>-</v>
      </c>
      <c r="I161" s="50" t="str">
        <f>IFERROR(IF(VLOOKUP($B161,casostestes[#Data],8)=0,"-",VLOOKUP($B161,casostestes[#Data],8)),"-")</f>
        <v>-</v>
      </c>
      <c r="J161" s="50" t="str">
        <f>IFERROR(IF(VLOOKUP($B161,casostestes[#Data],9)=0,"-",VLOOKUP($B161,casostestes[#Data],9)),"-")</f>
        <v>-</v>
      </c>
      <c r="K161" s="112" t="str">
        <f>IFERROR(IF(VLOOKUP($B161,homologador01[#Data],12)=0,"Não executado",VLOOKUP($B161,homologador01[#Data],12)),"Não executado")</f>
        <v>Não executado</v>
      </c>
      <c r="L161" s="112" t="str">
        <f>IFERROR(IF(VLOOKUP($B161,homologador02[#Data],12)=0,"-",VLOOKUP($B161,homologador02[#Data],12)),"-")</f>
        <v>-</v>
      </c>
    </row>
    <row r="162" spans="2:12">
      <c r="B162" s="56" t="str">
        <f>IF(ISERR(casostestes[[#This Row],[ID]]),"-",casostestes[[#This Row],[ID]])</f>
        <v>-</v>
      </c>
      <c r="C162" s="49" t="str">
        <f>IFERROR(IF(VLOOKUP($B162,casostestes[#Data],10)=0,"Não",VLOOKUP($B162,casostestes[#Data],10)), "-")</f>
        <v>-</v>
      </c>
      <c r="D162" s="50" t="str">
        <f>IFERROR(IF(VLOOKUP($B162,casostestes[#Data],2)=0,"-",VLOOKUP($B162,casostestes[#Data],2)), "-")</f>
        <v>-</v>
      </c>
      <c r="E162" s="50" t="str">
        <f>IFERROR(IF(VLOOKUP($B162,casostestes[#Data],3)=0,"-",VLOOKUP($B162,casostestes[#Data],3)), "-")</f>
        <v>-</v>
      </c>
      <c r="F162" s="50" t="str">
        <f>IFERROR(IF(VLOOKUP($B162,casostestes[#Data],4)=0,"-",VLOOKUP($B162,casostestes[#Data],4)),"-")</f>
        <v>-</v>
      </c>
      <c r="G162" s="50" t="str">
        <f>IFERROR(IF(VLOOKUP($B162,casostestes[#Data],5)=0,"-",VLOOKUP($B162,casostestes[#Data],5)),"-")</f>
        <v>-</v>
      </c>
      <c r="H162" s="50" t="str">
        <f>IFERROR(IF(VLOOKUP($B162,casostestes[#Data],6)=0,"-",VLOOKUP($B162,casostestes[#Data],6)),"-")</f>
        <v>-</v>
      </c>
      <c r="I162" s="50" t="str">
        <f>IFERROR(IF(VLOOKUP($B162,casostestes[#Data],8)=0,"-",VLOOKUP($B162,casostestes[#Data],8)),"-")</f>
        <v>-</v>
      </c>
      <c r="J162" s="50" t="str">
        <f>IFERROR(IF(VLOOKUP($B162,casostestes[#Data],9)=0,"-",VLOOKUP($B162,casostestes[#Data],9)),"-")</f>
        <v>-</v>
      </c>
      <c r="K162" s="112" t="str">
        <f>IFERROR(IF(VLOOKUP($B162,homologador01[#Data],12)=0,"Não executado",VLOOKUP($B162,homologador01[#Data],12)),"Não executado")</f>
        <v>Não executado</v>
      </c>
      <c r="L162" s="112" t="str">
        <f>IFERROR(IF(VLOOKUP($B162,homologador02[#Data],12)=0,"-",VLOOKUP($B162,homologador02[#Data],12)),"-")</f>
        <v>-</v>
      </c>
    </row>
    <row r="163" spans="2:12">
      <c r="B163" s="56" t="str">
        <f>IF(ISERR(casostestes[[#This Row],[ID]]),"-",casostestes[[#This Row],[ID]])</f>
        <v>-</v>
      </c>
      <c r="C163" s="49" t="str">
        <f>IFERROR(IF(VLOOKUP($B163,casostestes[#Data],10)=0,"Não",VLOOKUP($B163,casostestes[#Data],10)), "-")</f>
        <v>-</v>
      </c>
      <c r="D163" s="50" t="str">
        <f>IFERROR(IF(VLOOKUP($B163,casostestes[#Data],2)=0,"-",VLOOKUP($B163,casostestes[#Data],2)), "-")</f>
        <v>-</v>
      </c>
      <c r="E163" s="50" t="str">
        <f>IFERROR(IF(VLOOKUP($B163,casostestes[#Data],3)=0,"-",VLOOKUP($B163,casostestes[#Data],3)), "-")</f>
        <v>-</v>
      </c>
      <c r="F163" s="50" t="str">
        <f>IFERROR(IF(VLOOKUP($B163,casostestes[#Data],4)=0,"-",VLOOKUP($B163,casostestes[#Data],4)),"-")</f>
        <v>-</v>
      </c>
      <c r="G163" s="50" t="str">
        <f>IFERROR(IF(VLOOKUP($B163,casostestes[#Data],5)=0,"-",VLOOKUP($B163,casostestes[#Data],5)),"-")</f>
        <v>-</v>
      </c>
      <c r="H163" s="50" t="str">
        <f>IFERROR(IF(VLOOKUP($B163,casostestes[#Data],6)=0,"-",VLOOKUP($B163,casostestes[#Data],6)),"-")</f>
        <v>-</v>
      </c>
      <c r="I163" s="50" t="str">
        <f>IFERROR(IF(VLOOKUP($B163,casostestes[#Data],8)=0,"-",VLOOKUP($B163,casostestes[#Data],8)),"-")</f>
        <v>-</v>
      </c>
      <c r="J163" s="50" t="str">
        <f>IFERROR(IF(VLOOKUP($B163,casostestes[#Data],9)=0,"-",VLOOKUP($B163,casostestes[#Data],9)),"-")</f>
        <v>-</v>
      </c>
      <c r="K163" s="112" t="str">
        <f>IFERROR(IF(VLOOKUP($B163,homologador01[#Data],12)=0,"Não executado",VLOOKUP($B163,homologador01[#Data],12)),"Não executado")</f>
        <v>Não executado</v>
      </c>
      <c r="L163" s="112" t="str">
        <f>IFERROR(IF(VLOOKUP($B163,homologador02[#Data],12)=0,"-",VLOOKUP($B163,homologador02[#Data],12)),"-")</f>
        <v>-</v>
      </c>
    </row>
    <row r="164" spans="2:12">
      <c r="B164" s="56" t="str">
        <f>IF(ISERR(casostestes[[#This Row],[ID]]),"-",casostestes[[#This Row],[ID]])</f>
        <v>-</v>
      </c>
      <c r="C164" s="49" t="str">
        <f>IFERROR(IF(VLOOKUP($B164,casostestes[#Data],10)=0,"Não",VLOOKUP($B164,casostestes[#Data],10)), "-")</f>
        <v>-</v>
      </c>
      <c r="D164" s="50" t="str">
        <f>IFERROR(IF(VLOOKUP($B164,casostestes[#Data],2)=0,"-",VLOOKUP($B164,casostestes[#Data],2)), "-")</f>
        <v>-</v>
      </c>
      <c r="E164" s="50" t="str">
        <f>IFERROR(IF(VLOOKUP($B164,casostestes[#Data],3)=0,"-",VLOOKUP($B164,casostestes[#Data],3)), "-")</f>
        <v>-</v>
      </c>
      <c r="F164" s="50" t="str">
        <f>IFERROR(IF(VLOOKUP($B164,casostestes[#Data],4)=0,"-",VLOOKUP($B164,casostestes[#Data],4)),"-")</f>
        <v>-</v>
      </c>
      <c r="G164" s="50" t="str">
        <f>IFERROR(IF(VLOOKUP($B164,casostestes[#Data],5)=0,"-",VLOOKUP($B164,casostestes[#Data],5)),"-")</f>
        <v>-</v>
      </c>
      <c r="H164" s="50" t="str">
        <f>IFERROR(IF(VLOOKUP($B164,casostestes[#Data],6)=0,"-",VLOOKUP($B164,casostestes[#Data],6)),"-")</f>
        <v>-</v>
      </c>
      <c r="I164" s="50" t="str">
        <f>IFERROR(IF(VLOOKUP($B164,casostestes[#Data],8)=0,"-",VLOOKUP($B164,casostestes[#Data],8)),"-")</f>
        <v>-</v>
      </c>
      <c r="J164" s="50" t="str">
        <f>IFERROR(IF(VLOOKUP($B164,casostestes[#Data],9)=0,"-",VLOOKUP($B164,casostestes[#Data],9)),"-")</f>
        <v>-</v>
      </c>
      <c r="K164" s="112" t="str">
        <f>IFERROR(IF(VLOOKUP($B164,homologador01[#Data],12)=0,"Não executado",VLOOKUP($B164,homologador01[#Data],12)),"Não executado")</f>
        <v>Não executado</v>
      </c>
      <c r="L164" s="112" t="str">
        <f>IFERROR(IF(VLOOKUP($B164,homologador02[#Data],12)=0,"-",VLOOKUP($B164,homologador02[#Data],12)),"-")</f>
        <v>-</v>
      </c>
    </row>
    <row r="165" spans="2:12">
      <c r="B165" s="56" t="str">
        <f>IF(ISERR(casostestes[[#This Row],[ID]]),"-",casostestes[[#This Row],[ID]])</f>
        <v>-</v>
      </c>
      <c r="C165" s="49" t="str">
        <f>IFERROR(IF(VLOOKUP($B165,casostestes[#Data],10)=0,"Não",VLOOKUP($B165,casostestes[#Data],10)), "-")</f>
        <v>-</v>
      </c>
      <c r="D165" s="50" t="str">
        <f>IFERROR(IF(VLOOKUP($B165,casostestes[#Data],2)=0,"-",VLOOKUP($B165,casostestes[#Data],2)), "-")</f>
        <v>-</v>
      </c>
      <c r="E165" s="50" t="str">
        <f>IFERROR(IF(VLOOKUP($B165,casostestes[#Data],3)=0,"-",VLOOKUP($B165,casostestes[#Data],3)), "-")</f>
        <v>-</v>
      </c>
      <c r="F165" s="50" t="str">
        <f>IFERROR(IF(VLOOKUP($B165,casostestes[#Data],4)=0,"-",VLOOKUP($B165,casostestes[#Data],4)),"-")</f>
        <v>-</v>
      </c>
      <c r="G165" s="50" t="str">
        <f>IFERROR(IF(VLOOKUP($B165,casostestes[#Data],5)=0,"-",VLOOKUP($B165,casostestes[#Data],5)),"-")</f>
        <v>-</v>
      </c>
      <c r="H165" s="50" t="str">
        <f>IFERROR(IF(VLOOKUP($B165,casostestes[#Data],6)=0,"-",VLOOKUP($B165,casostestes[#Data],6)),"-")</f>
        <v>-</v>
      </c>
      <c r="I165" s="50" t="str">
        <f>IFERROR(IF(VLOOKUP($B165,casostestes[#Data],8)=0,"-",VLOOKUP($B165,casostestes[#Data],8)),"-")</f>
        <v>-</v>
      </c>
      <c r="J165" s="50" t="str">
        <f>IFERROR(IF(VLOOKUP($B165,casostestes[#Data],9)=0,"-",VLOOKUP($B165,casostestes[#Data],9)),"-")</f>
        <v>-</v>
      </c>
      <c r="K165" s="112" t="str">
        <f>IFERROR(IF(VLOOKUP($B165,homologador01[#Data],12)=0,"Não executado",VLOOKUP($B165,homologador01[#Data],12)),"Não executado")</f>
        <v>Não executado</v>
      </c>
      <c r="L165" s="112" t="str">
        <f>IFERROR(IF(VLOOKUP($B165,homologador02[#Data],12)=0,"-",VLOOKUP($B165,homologador02[#Data],12)),"-")</f>
        <v>-</v>
      </c>
    </row>
    <row r="166" spans="2:12">
      <c r="B166" s="56" t="str">
        <f>IF(ISERR(casostestes[[#This Row],[ID]]),"-",casostestes[[#This Row],[ID]])</f>
        <v>-</v>
      </c>
      <c r="C166" s="49" t="str">
        <f>IFERROR(IF(VLOOKUP($B166,casostestes[#Data],10)=0,"Não",VLOOKUP($B166,casostestes[#Data],10)), "-")</f>
        <v>-</v>
      </c>
      <c r="D166" s="50" t="str">
        <f>IFERROR(IF(VLOOKUP($B166,casostestes[#Data],2)=0,"-",VLOOKUP($B166,casostestes[#Data],2)), "-")</f>
        <v>-</v>
      </c>
      <c r="E166" s="50" t="str">
        <f>IFERROR(IF(VLOOKUP($B166,casostestes[#Data],3)=0,"-",VLOOKUP($B166,casostestes[#Data],3)), "-")</f>
        <v>-</v>
      </c>
      <c r="F166" s="50" t="str">
        <f>IFERROR(IF(VLOOKUP($B166,casostestes[#Data],4)=0,"-",VLOOKUP($B166,casostestes[#Data],4)),"-")</f>
        <v>-</v>
      </c>
      <c r="G166" s="50" t="str">
        <f>IFERROR(IF(VLOOKUP($B166,casostestes[#Data],5)=0,"-",VLOOKUP($B166,casostestes[#Data],5)),"-")</f>
        <v>-</v>
      </c>
      <c r="H166" s="50" t="str">
        <f>IFERROR(IF(VLOOKUP($B166,casostestes[#Data],6)=0,"-",VLOOKUP($B166,casostestes[#Data],6)),"-")</f>
        <v>-</v>
      </c>
      <c r="I166" s="50" t="str">
        <f>IFERROR(IF(VLOOKUP($B166,casostestes[#Data],8)=0,"-",VLOOKUP($B166,casostestes[#Data],8)),"-")</f>
        <v>-</v>
      </c>
      <c r="J166" s="50" t="str">
        <f>IFERROR(IF(VLOOKUP($B166,casostestes[#Data],9)=0,"-",VLOOKUP($B166,casostestes[#Data],9)),"-")</f>
        <v>-</v>
      </c>
      <c r="K166" s="112" t="str">
        <f>IFERROR(IF(VLOOKUP($B166,homologador01[#Data],12)=0,"Não executado",VLOOKUP($B166,homologador01[#Data],12)),"Não executado")</f>
        <v>Não executado</v>
      </c>
      <c r="L166" s="112" t="str">
        <f>IFERROR(IF(VLOOKUP($B166,homologador02[#Data],12)=0,"-",VLOOKUP($B166,homologador02[#Data],12)),"-")</f>
        <v>-</v>
      </c>
    </row>
    <row r="167" spans="2:12">
      <c r="B167" s="56" t="str">
        <f>IF(ISERR(casostestes[[#This Row],[ID]]),"-",casostestes[[#This Row],[ID]])</f>
        <v>-</v>
      </c>
      <c r="C167" s="49" t="str">
        <f>IFERROR(IF(VLOOKUP($B167,casostestes[#Data],10)=0,"Não",VLOOKUP($B167,casostestes[#Data],10)), "-")</f>
        <v>-</v>
      </c>
      <c r="D167" s="50" t="str">
        <f>IFERROR(IF(VLOOKUP($B167,casostestes[#Data],2)=0,"-",VLOOKUP($B167,casostestes[#Data],2)), "-")</f>
        <v>-</v>
      </c>
      <c r="E167" s="50" t="str">
        <f>IFERROR(IF(VLOOKUP($B167,casostestes[#Data],3)=0,"-",VLOOKUP($B167,casostestes[#Data],3)), "-")</f>
        <v>-</v>
      </c>
      <c r="F167" s="50" t="str">
        <f>IFERROR(IF(VLOOKUP($B167,casostestes[#Data],4)=0,"-",VLOOKUP($B167,casostestes[#Data],4)),"-")</f>
        <v>-</v>
      </c>
      <c r="G167" s="50" t="str">
        <f>IFERROR(IF(VLOOKUP($B167,casostestes[#Data],5)=0,"-",VLOOKUP($B167,casostestes[#Data],5)),"-")</f>
        <v>-</v>
      </c>
      <c r="H167" s="50" t="str">
        <f>IFERROR(IF(VLOOKUP($B167,casostestes[#Data],6)=0,"-",VLOOKUP($B167,casostestes[#Data],6)),"-")</f>
        <v>-</v>
      </c>
      <c r="I167" s="50" t="str">
        <f>IFERROR(IF(VLOOKUP($B167,casostestes[#Data],8)=0,"-",VLOOKUP($B167,casostestes[#Data],8)),"-")</f>
        <v>-</v>
      </c>
      <c r="J167" s="50" t="str">
        <f>IFERROR(IF(VLOOKUP($B167,casostestes[#Data],9)=0,"-",VLOOKUP($B167,casostestes[#Data],9)),"-")</f>
        <v>-</v>
      </c>
      <c r="K167" s="112" t="str">
        <f>IFERROR(IF(VLOOKUP($B167,homologador01[#Data],12)=0,"Não executado",VLOOKUP($B167,homologador01[#Data],12)),"Não executado")</f>
        <v>Não executado</v>
      </c>
      <c r="L167" s="112" t="str">
        <f>IFERROR(IF(VLOOKUP($B167,homologador02[#Data],12)=0,"-",VLOOKUP($B167,homologador02[#Data],12)),"-")</f>
        <v>-</v>
      </c>
    </row>
    <row r="168" spans="2:12">
      <c r="B168" s="56" t="str">
        <f>IF(ISERR(casostestes[[#This Row],[ID]]),"-",casostestes[[#This Row],[ID]])</f>
        <v>-</v>
      </c>
      <c r="C168" s="49" t="str">
        <f>IFERROR(IF(VLOOKUP($B168,casostestes[#Data],10)=0,"Não",VLOOKUP($B168,casostestes[#Data],10)), "-")</f>
        <v>-</v>
      </c>
      <c r="D168" s="50" t="str">
        <f>IFERROR(IF(VLOOKUP($B168,casostestes[#Data],2)=0,"-",VLOOKUP($B168,casostestes[#Data],2)), "-")</f>
        <v>-</v>
      </c>
      <c r="E168" s="50" t="str">
        <f>IFERROR(IF(VLOOKUP($B168,casostestes[#Data],3)=0,"-",VLOOKUP($B168,casostestes[#Data],3)), "-")</f>
        <v>-</v>
      </c>
      <c r="F168" s="50" t="str">
        <f>IFERROR(IF(VLOOKUP($B168,casostestes[#Data],4)=0,"-",VLOOKUP($B168,casostestes[#Data],4)),"-")</f>
        <v>-</v>
      </c>
      <c r="G168" s="50" t="str">
        <f>IFERROR(IF(VLOOKUP($B168,casostestes[#Data],5)=0,"-",VLOOKUP($B168,casostestes[#Data],5)),"-")</f>
        <v>-</v>
      </c>
      <c r="H168" s="50" t="str">
        <f>IFERROR(IF(VLOOKUP($B168,casostestes[#Data],6)=0,"-",VLOOKUP($B168,casostestes[#Data],6)),"-")</f>
        <v>-</v>
      </c>
      <c r="I168" s="50" t="str">
        <f>IFERROR(IF(VLOOKUP($B168,casostestes[#Data],8)=0,"-",VLOOKUP($B168,casostestes[#Data],8)),"-")</f>
        <v>-</v>
      </c>
      <c r="J168" s="50" t="str">
        <f>IFERROR(IF(VLOOKUP($B168,casostestes[#Data],9)=0,"-",VLOOKUP($B168,casostestes[#Data],9)),"-")</f>
        <v>-</v>
      </c>
      <c r="K168" s="112" t="str">
        <f>IFERROR(IF(VLOOKUP($B168,homologador01[#Data],12)=0,"Não executado",VLOOKUP($B168,homologador01[#Data],12)),"Não executado")</f>
        <v>Não executado</v>
      </c>
      <c r="L168" s="112" t="str">
        <f>IFERROR(IF(VLOOKUP($B168,homologador02[#Data],12)=0,"-",VLOOKUP($B168,homologador02[#Data],12)),"-")</f>
        <v>-</v>
      </c>
    </row>
    <row r="169" spans="2:12">
      <c r="B169" s="56" t="str">
        <f>IF(ISERR(casostestes[[#This Row],[ID]]),"-",casostestes[[#This Row],[ID]])</f>
        <v>-</v>
      </c>
      <c r="C169" s="49" t="str">
        <f>IFERROR(IF(VLOOKUP($B169,casostestes[#Data],10)=0,"Não",VLOOKUP($B169,casostestes[#Data],10)), "-")</f>
        <v>-</v>
      </c>
      <c r="D169" s="50" t="str">
        <f>IFERROR(IF(VLOOKUP($B169,casostestes[#Data],2)=0,"-",VLOOKUP($B169,casostestes[#Data],2)), "-")</f>
        <v>-</v>
      </c>
      <c r="E169" s="50" t="str">
        <f>IFERROR(IF(VLOOKUP($B169,casostestes[#Data],3)=0,"-",VLOOKUP($B169,casostestes[#Data],3)), "-")</f>
        <v>-</v>
      </c>
      <c r="F169" s="50" t="str">
        <f>IFERROR(IF(VLOOKUP($B169,casostestes[#Data],4)=0,"-",VLOOKUP($B169,casostestes[#Data],4)),"-")</f>
        <v>-</v>
      </c>
      <c r="G169" s="50" t="str">
        <f>IFERROR(IF(VLOOKUP($B169,casostestes[#Data],5)=0,"-",VLOOKUP($B169,casostestes[#Data],5)),"-")</f>
        <v>-</v>
      </c>
      <c r="H169" s="50" t="str">
        <f>IFERROR(IF(VLOOKUP($B169,casostestes[#Data],6)=0,"-",VLOOKUP($B169,casostestes[#Data],6)),"-")</f>
        <v>-</v>
      </c>
      <c r="I169" s="50" t="str">
        <f>IFERROR(IF(VLOOKUP($B169,casostestes[#Data],8)=0,"-",VLOOKUP($B169,casostestes[#Data],8)),"-")</f>
        <v>-</v>
      </c>
      <c r="J169" s="50" t="str">
        <f>IFERROR(IF(VLOOKUP($B169,casostestes[#Data],9)=0,"-",VLOOKUP($B169,casostestes[#Data],9)),"-")</f>
        <v>-</v>
      </c>
      <c r="K169" s="112" t="str">
        <f>IFERROR(IF(VLOOKUP($B169,homologador01[#Data],12)=0,"Não executado",VLOOKUP($B169,homologador01[#Data],12)),"Não executado")</f>
        <v>Não executado</v>
      </c>
      <c r="L169" s="112" t="str">
        <f>IFERROR(IF(VLOOKUP($B169,homologador02[#Data],12)=0,"-",VLOOKUP($B169,homologador02[#Data],12)),"-")</f>
        <v>-</v>
      </c>
    </row>
    <row r="170" spans="2:12">
      <c r="B170" s="56" t="str">
        <f>IF(ISERR(casostestes[[#This Row],[ID]]),"-",casostestes[[#This Row],[ID]])</f>
        <v>-</v>
      </c>
      <c r="C170" s="49" t="str">
        <f>IFERROR(IF(VLOOKUP($B170,casostestes[#Data],10)=0,"Não",VLOOKUP($B170,casostestes[#Data],10)), "-")</f>
        <v>-</v>
      </c>
      <c r="D170" s="50" t="str">
        <f>IFERROR(IF(VLOOKUP($B170,casostestes[#Data],2)=0,"-",VLOOKUP($B170,casostestes[#Data],2)), "-")</f>
        <v>-</v>
      </c>
      <c r="E170" s="50" t="str">
        <f>IFERROR(IF(VLOOKUP($B170,casostestes[#Data],3)=0,"-",VLOOKUP($B170,casostestes[#Data],3)), "-")</f>
        <v>-</v>
      </c>
      <c r="F170" s="50" t="str">
        <f>IFERROR(IF(VLOOKUP($B170,casostestes[#Data],4)=0,"-",VLOOKUP($B170,casostestes[#Data],4)),"-")</f>
        <v>-</v>
      </c>
      <c r="G170" s="50" t="str">
        <f>IFERROR(IF(VLOOKUP($B170,casostestes[#Data],5)=0,"-",VLOOKUP($B170,casostestes[#Data],5)),"-")</f>
        <v>-</v>
      </c>
      <c r="H170" s="50" t="str">
        <f>IFERROR(IF(VLOOKUP($B170,casostestes[#Data],6)=0,"-",VLOOKUP($B170,casostestes[#Data],6)),"-")</f>
        <v>-</v>
      </c>
      <c r="I170" s="50" t="str">
        <f>IFERROR(IF(VLOOKUP($B170,casostestes[#Data],8)=0,"-",VLOOKUP($B170,casostestes[#Data],8)),"-")</f>
        <v>-</v>
      </c>
      <c r="J170" s="50" t="str">
        <f>IFERROR(IF(VLOOKUP($B170,casostestes[#Data],9)=0,"-",VLOOKUP($B170,casostestes[#Data],9)),"-")</f>
        <v>-</v>
      </c>
      <c r="K170" s="112" t="str">
        <f>IFERROR(IF(VLOOKUP($B170,homologador01[#Data],12)=0,"Não executado",VLOOKUP($B170,homologador01[#Data],12)),"Não executado")</f>
        <v>Não executado</v>
      </c>
      <c r="L170" s="112" t="str">
        <f>IFERROR(IF(VLOOKUP($B170,homologador02[#Data],12)=0,"-",VLOOKUP($B170,homologador02[#Data],12)),"-")</f>
        <v>-</v>
      </c>
    </row>
    <row r="171" spans="2:12">
      <c r="B171" s="56" t="str">
        <f>IF(ISERR(casostestes[[#This Row],[ID]]),"-",casostestes[[#This Row],[ID]])</f>
        <v>-</v>
      </c>
      <c r="C171" s="49" t="str">
        <f>IFERROR(IF(VLOOKUP($B171,casostestes[#Data],10)=0,"Não",VLOOKUP($B171,casostestes[#Data],10)), "-")</f>
        <v>-</v>
      </c>
      <c r="D171" s="50" t="str">
        <f>IFERROR(IF(VLOOKUP($B171,casostestes[#Data],2)=0,"-",VLOOKUP($B171,casostestes[#Data],2)), "-")</f>
        <v>-</v>
      </c>
      <c r="E171" s="50" t="str">
        <f>IFERROR(IF(VLOOKUP($B171,casostestes[#Data],3)=0,"-",VLOOKUP($B171,casostestes[#Data],3)), "-")</f>
        <v>-</v>
      </c>
      <c r="F171" s="50" t="str">
        <f>IFERROR(IF(VLOOKUP($B171,casostestes[#Data],4)=0,"-",VLOOKUP($B171,casostestes[#Data],4)),"-")</f>
        <v>-</v>
      </c>
      <c r="G171" s="50" t="str">
        <f>IFERROR(IF(VLOOKUP($B171,casostestes[#Data],5)=0,"-",VLOOKUP($B171,casostestes[#Data],5)),"-")</f>
        <v>-</v>
      </c>
      <c r="H171" s="50" t="str">
        <f>IFERROR(IF(VLOOKUP($B171,casostestes[#Data],6)=0,"-",VLOOKUP($B171,casostestes[#Data],6)),"-")</f>
        <v>-</v>
      </c>
      <c r="I171" s="50" t="str">
        <f>IFERROR(IF(VLOOKUP($B171,casostestes[#Data],8)=0,"-",VLOOKUP($B171,casostestes[#Data],8)),"-")</f>
        <v>-</v>
      </c>
      <c r="J171" s="50" t="str">
        <f>IFERROR(IF(VLOOKUP($B171,casostestes[#Data],9)=0,"-",VLOOKUP($B171,casostestes[#Data],9)),"-")</f>
        <v>-</v>
      </c>
      <c r="K171" s="112" t="str">
        <f>IFERROR(IF(VLOOKUP($B171,homologador01[#Data],12)=0,"Não executado",VLOOKUP($B171,homologador01[#Data],12)),"Não executado")</f>
        <v>Não executado</v>
      </c>
      <c r="L171" s="112" t="str">
        <f>IFERROR(IF(VLOOKUP($B171,homologador02[#Data],12)=0,"-",VLOOKUP($B171,homologador02[#Data],12)),"-")</f>
        <v>-</v>
      </c>
    </row>
    <row r="172" spans="2:12">
      <c r="B172" s="56" t="str">
        <f>IF(ISERR(casostestes[[#This Row],[ID]]),"-",casostestes[[#This Row],[ID]])</f>
        <v>-</v>
      </c>
      <c r="C172" s="49" t="str">
        <f>IFERROR(IF(VLOOKUP($B172,casostestes[#Data],10)=0,"Não",VLOOKUP($B172,casostestes[#Data],10)), "-")</f>
        <v>-</v>
      </c>
      <c r="D172" s="50" t="str">
        <f>IFERROR(IF(VLOOKUP($B172,casostestes[#Data],2)=0,"-",VLOOKUP($B172,casostestes[#Data],2)), "-")</f>
        <v>-</v>
      </c>
      <c r="E172" s="50" t="str">
        <f>IFERROR(IF(VLOOKUP($B172,casostestes[#Data],3)=0,"-",VLOOKUP($B172,casostestes[#Data],3)), "-")</f>
        <v>-</v>
      </c>
      <c r="F172" s="50" t="str">
        <f>IFERROR(IF(VLOOKUP($B172,casostestes[#Data],4)=0,"-",VLOOKUP($B172,casostestes[#Data],4)),"-")</f>
        <v>-</v>
      </c>
      <c r="G172" s="50" t="str">
        <f>IFERROR(IF(VLOOKUP($B172,casostestes[#Data],5)=0,"-",VLOOKUP($B172,casostestes[#Data],5)),"-")</f>
        <v>-</v>
      </c>
      <c r="H172" s="50" t="str">
        <f>IFERROR(IF(VLOOKUP($B172,casostestes[#Data],6)=0,"-",VLOOKUP($B172,casostestes[#Data],6)),"-")</f>
        <v>-</v>
      </c>
      <c r="I172" s="50" t="str">
        <f>IFERROR(IF(VLOOKUP($B172,casostestes[#Data],8)=0,"-",VLOOKUP($B172,casostestes[#Data],8)),"-")</f>
        <v>-</v>
      </c>
      <c r="J172" s="50" t="str">
        <f>IFERROR(IF(VLOOKUP($B172,casostestes[#Data],9)=0,"-",VLOOKUP($B172,casostestes[#Data],9)),"-")</f>
        <v>-</v>
      </c>
      <c r="K172" s="112" t="str">
        <f>IFERROR(IF(VLOOKUP($B172,homologador01[#Data],12)=0,"Não executado",VLOOKUP($B172,homologador01[#Data],12)),"Não executado")</f>
        <v>Não executado</v>
      </c>
      <c r="L172" s="112" t="str">
        <f>IFERROR(IF(VLOOKUP($B172,homologador02[#Data],12)=0,"-",VLOOKUP($B172,homologador02[#Data],12)),"-")</f>
        <v>-</v>
      </c>
    </row>
    <row r="173" spans="2:12">
      <c r="B173" s="56" t="str">
        <f>IF(ISERR(casostestes[[#This Row],[ID]]),"-",casostestes[[#This Row],[ID]])</f>
        <v>-</v>
      </c>
      <c r="C173" s="49" t="str">
        <f>IFERROR(IF(VLOOKUP($B173,casostestes[#Data],10)=0,"Não",VLOOKUP($B173,casostestes[#Data],10)), "-")</f>
        <v>-</v>
      </c>
      <c r="D173" s="50" t="str">
        <f>IFERROR(IF(VLOOKUP($B173,casostestes[#Data],2)=0,"-",VLOOKUP($B173,casostestes[#Data],2)), "-")</f>
        <v>-</v>
      </c>
      <c r="E173" s="50" t="str">
        <f>IFERROR(IF(VLOOKUP($B173,casostestes[#Data],3)=0,"-",VLOOKUP($B173,casostestes[#Data],3)), "-")</f>
        <v>-</v>
      </c>
      <c r="F173" s="50" t="str">
        <f>IFERROR(IF(VLOOKUP($B173,casostestes[#Data],4)=0,"-",VLOOKUP($B173,casostestes[#Data],4)),"-")</f>
        <v>-</v>
      </c>
      <c r="G173" s="50" t="str">
        <f>IFERROR(IF(VLOOKUP($B173,casostestes[#Data],5)=0,"-",VLOOKUP($B173,casostestes[#Data],5)),"-")</f>
        <v>-</v>
      </c>
      <c r="H173" s="50" t="str">
        <f>IFERROR(IF(VLOOKUP($B173,casostestes[#Data],6)=0,"-",VLOOKUP($B173,casostestes[#Data],6)),"-")</f>
        <v>-</v>
      </c>
      <c r="I173" s="50" t="str">
        <f>IFERROR(IF(VLOOKUP($B173,casostestes[#Data],8)=0,"-",VLOOKUP($B173,casostestes[#Data],8)),"-")</f>
        <v>-</v>
      </c>
      <c r="J173" s="50" t="str">
        <f>IFERROR(IF(VLOOKUP($B173,casostestes[#Data],9)=0,"-",VLOOKUP($B173,casostestes[#Data],9)),"-")</f>
        <v>-</v>
      </c>
      <c r="K173" s="112" t="str">
        <f>IFERROR(IF(VLOOKUP($B173,homologador01[#Data],12)=0,"Não executado",VLOOKUP($B173,homologador01[#Data],12)),"Não executado")</f>
        <v>Não executado</v>
      </c>
      <c r="L173" s="112" t="str">
        <f>IFERROR(IF(VLOOKUP($B173,homologador02[#Data],12)=0,"-",VLOOKUP($B173,homologador02[#Data],12)),"-")</f>
        <v>-</v>
      </c>
    </row>
    <row r="174" spans="2:12">
      <c r="B174" s="56" t="str">
        <f>IF(ISERR(casostestes[[#This Row],[ID]]),"-",casostestes[[#This Row],[ID]])</f>
        <v>-</v>
      </c>
      <c r="C174" s="49" t="str">
        <f>IFERROR(IF(VLOOKUP($B174,casostestes[#Data],10)=0,"Não",VLOOKUP($B174,casostestes[#Data],10)), "-")</f>
        <v>-</v>
      </c>
      <c r="D174" s="50" t="str">
        <f>IFERROR(IF(VLOOKUP($B174,casostestes[#Data],2)=0,"-",VLOOKUP($B174,casostestes[#Data],2)), "-")</f>
        <v>-</v>
      </c>
      <c r="E174" s="50" t="str">
        <f>IFERROR(IF(VLOOKUP($B174,casostestes[#Data],3)=0,"-",VLOOKUP($B174,casostestes[#Data],3)), "-")</f>
        <v>-</v>
      </c>
      <c r="F174" s="50" t="str">
        <f>IFERROR(IF(VLOOKUP($B174,casostestes[#Data],4)=0,"-",VLOOKUP($B174,casostestes[#Data],4)),"-")</f>
        <v>-</v>
      </c>
      <c r="G174" s="50" t="str">
        <f>IFERROR(IF(VLOOKUP($B174,casostestes[#Data],5)=0,"-",VLOOKUP($B174,casostestes[#Data],5)),"-")</f>
        <v>-</v>
      </c>
      <c r="H174" s="50" t="str">
        <f>IFERROR(IF(VLOOKUP($B174,casostestes[#Data],6)=0,"-",VLOOKUP($B174,casostestes[#Data],6)),"-")</f>
        <v>-</v>
      </c>
      <c r="I174" s="50" t="str">
        <f>IFERROR(IF(VLOOKUP($B174,casostestes[#Data],8)=0,"-",VLOOKUP($B174,casostestes[#Data],8)),"-")</f>
        <v>-</v>
      </c>
      <c r="J174" s="50" t="str">
        <f>IFERROR(IF(VLOOKUP($B174,casostestes[#Data],9)=0,"-",VLOOKUP($B174,casostestes[#Data],9)),"-")</f>
        <v>-</v>
      </c>
      <c r="K174" s="112" t="str">
        <f>IFERROR(IF(VLOOKUP($B174,homologador01[#Data],12)=0,"Não executado",VLOOKUP($B174,homologador01[#Data],12)),"Não executado")</f>
        <v>Não executado</v>
      </c>
      <c r="L174" s="112" t="str">
        <f>IFERROR(IF(VLOOKUP($B174,homologador02[#Data],12)=0,"-",VLOOKUP($B174,homologador02[#Data],12)),"-")</f>
        <v>-</v>
      </c>
    </row>
    <row r="175" spans="2:12">
      <c r="B175" s="56" t="str">
        <f>IF(ISERR(casostestes[[#This Row],[ID]]),"-",casostestes[[#This Row],[ID]])</f>
        <v>-</v>
      </c>
      <c r="C175" s="49" t="str">
        <f>IFERROR(IF(VLOOKUP($B175,casostestes[#Data],10)=0,"Não",VLOOKUP($B175,casostestes[#Data],10)), "-")</f>
        <v>-</v>
      </c>
      <c r="D175" s="50" t="str">
        <f>IFERROR(IF(VLOOKUP($B175,casostestes[#Data],2)=0,"-",VLOOKUP($B175,casostestes[#Data],2)), "-")</f>
        <v>-</v>
      </c>
      <c r="E175" s="50" t="str">
        <f>IFERROR(IF(VLOOKUP($B175,casostestes[#Data],3)=0,"-",VLOOKUP($B175,casostestes[#Data],3)), "-")</f>
        <v>-</v>
      </c>
      <c r="F175" s="50" t="str">
        <f>IFERROR(IF(VLOOKUP($B175,casostestes[#Data],4)=0,"-",VLOOKUP($B175,casostestes[#Data],4)),"-")</f>
        <v>-</v>
      </c>
      <c r="G175" s="50" t="str">
        <f>IFERROR(IF(VLOOKUP($B175,casostestes[#Data],5)=0,"-",VLOOKUP($B175,casostestes[#Data],5)),"-")</f>
        <v>-</v>
      </c>
      <c r="H175" s="50" t="str">
        <f>IFERROR(IF(VLOOKUP($B175,casostestes[#Data],6)=0,"-",VLOOKUP($B175,casostestes[#Data],6)),"-")</f>
        <v>-</v>
      </c>
      <c r="I175" s="50" t="str">
        <f>IFERROR(IF(VLOOKUP($B175,casostestes[#Data],8)=0,"-",VLOOKUP($B175,casostestes[#Data],8)),"-")</f>
        <v>-</v>
      </c>
      <c r="J175" s="50" t="str">
        <f>IFERROR(IF(VLOOKUP($B175,casostestes[#Data],9)=0,"-",VLOOKUP($B175,casostestes[#Data],9)),"-")</f>
        <v>-</v>
      </c>
      <c r="K175" s="112" t="str">
        <f>IFERROR(IF(VLOOKUP($B175,homologador01[#Data],12)=0,"Não executado",VLOOKUP($B175,homologador01[#Data],12)),"Não executado")</f>
        <v>Não executado</v>
      </c>
      <c r="L175" s="112" t="str">
        <f>IFERROR(IF(VLOOKUP($B175,homologador02[#Data],12)=0,"-",VLOOKUP($B175,homologador02[#Data],12)),"-")</f>
        <v>-</v>
      </c>
    </row>
    <row r="176" spans="2:12">
      <c r="B176" s="56" t="str">
        <f>IF(ISERR(casostestes[[#This Row],[ID]]),"-",casostestes[[#This Row],[ID]])</f>
        <v>-</v>
      </c>
      <c r="C176" s="49" t="str">
        <f>IFERROR(IF(VLOOKUP($B176,casostestes[#Data],10)=0,"Não",VLOOKUP($B176,casostestes[#Data],10)), "-")</f>
        <v>-</v>
      </c>
      <c r="D176" s="50" t="str">
        <f>IFERROR(IF(VLOOKUP($B176,casostestes[#Data],2)=0,"-",VLOOKUP($B176,casostestes[#Data],2)), "-")</f>
        <v>-</v>
      </c>
      <c r="E176" s="50" t="str">
        <f>IFERROR(IF(VLOOKUP($B176,casostestes[#Data],3)=0,"-",VLOOKUP($B176,casostestes[#Data],3)), "-")</f>
        <v>-</v>
      </c>
      <c r="F176" s="50" t="str">
        <f>IFERROR(IF(VLOOKUP($B176,casostestes[#Data],4)=0,"-",VLOOKUP($B176,casostestes[#Data],4)),"-")</f>
        <v>-</v>
      </c>
      <c r="G176" s="50" t="str">
        <f>IFERROR(IF(VLOOKUP($B176,casostestes[#Data],5)=0,"-",VLOOKUP($B176,casostestes[#Data],5)),"-")</f>
        <v>-</v>
      </c>
      <c r="H176" s="50" t="str">
        <f>IFERROR(IF(VLOOKUP($B176,casostestes[#Data],6)=0,"-",VLOOKUP($B176,casostestes[#Data],6)),"-")</f>
        <v>-</v>
      </c>
      <c r="I176" s="50" t="str">
        <f>IFERROR(IF(VLOOKUP($B176,casostestes[#Data],8)=0,"-",VLOOKUP($B176,casostestes[#Data],8)),"-")</f>
        <v>-</v>
      </c>
      <c r="J176" s="50" t="str">
        <f>IFERROR(IF(VLOOKUP($B176,casostestes[#Data],9)=0,"-",VLOOKUP($B176,casostestes[#Data],9)),"-")</f>
        <v>-</v>
      </c>
      <c r="K176" s="112" t="str">
        <f>IFERROR(IF(VLOOKUP($B176,homologador01[#Data],12)=0,"Não executado",VLOOKUP($B176,homologador01[#Data],12)),"Não executado")</f>
        <v>Não executado</v>
      </c>
      <c r="L176" s="112" t="str">
        <f>IFERROR(IF(VLOOKUP($B176,homologador02[#Data],12)=0,"-",VLOOKUP($B176,homologador02[#Data],12)),"-")</f>
        <v>-</v>
      </c>
    </row>
    <row r="177" spans="2:12">
      <c r="B177" s="56" t="str">
        <f>IF(ISERR(casostestes[[#This Row],[ID]]),"-",casostestes[[#This Row],[ID]])</f>
        <v>-</v>
      </c>
      <c r="C177" s="49" t="str">
        <f>IFERROR(IF(VLOOKUP($B177,casostestes[#Data],10)=0,"Não",VLOOKUP($B177,casostestes[#Data],10)), "-")</f>
        <v>-</v>
      </c>
      <c r="D177" s="50" t="str">
        <f>IFERROR(IF(VLOOKUP($B177,casostestes[#Data],2)=0,"-",VLOOKUP($B177,casostestes[#Data],2)), "-")</f>
        <v>-</v>
      </c>
      <c r="E177" s="50" t="str">
        <f>IFERROR(IF(VLOOKUP($B177,casostestes[#Data],3)=0,"-",VLOOKUP($B177,casostestes[#Data],3)), "-")</f>
        <v>-</v>
      </c>
      <c r="F177" s="50" t="str">
        <f>IFERROR(IF(VLOOKUP($B177,casostestes[#Data],4)=0,"-",VLOOKUP($B177,casostestes[#Data],4)),"-")</f>
        <v>-</v>
      </c>
      <c r="G177" s="50" t="str">
        <f>IFERROR(IF(VLOOKUP($B177,casostestes[#Data],5)=0,"-",VLOOKUP($B177,casostestes[#Data],5)),"-")</f>
        <v>-</v>
      </c>
      <c r="H177" s="50" t="str">
        <f>IFERROR(IF(VLOOKUP($B177,casostestes[#Data],6)=0,"-",VLOOKUP($B177,casostestes[#Data],6)),"-")</f>
        <v>-</v>
      </c>
      <c r="I177" s="50" t="str">
        <f>IFERROR(IF(VLOOKUP($B177,casostestes[#Data],8)=0,"-",VLOOKUP($B177,casostestes[#Data],8)),"-")</f>
        <v>-</v>
      </c>
      <c r="J177" s="50" t="str">
        <f>IFERROR(IF(VLOOKUP($B177,casostestes[#Data],9)=0,"-",VLOOKUP($B177,casostestes[#Data],9)),"-")</f>
        <v>-</v>
      </c>
      <c r="K177" s="112" t="str">
        <f>IFERROR(IF(VLOOKUP($B177,homologador01[#Data],12)=0,"Não executado",VLOOKUP($B177,homologador01[#Data],12)),"Não executado")</f>
        <v>Não executado</v>
      </c>
      <c r="L177" s="112" t="str">
        <f>IFERROR(IF(VLOOKUP($B177,homologador02[#Data],12)=0,"-",VLOOKUP($B177,homologador02[#Data],12)),"-")</f>
        <v>-</v>
      </c>
    </row>
    <row r="178" spans="2:12">
      <c r="B178" s="56" t="str">
        <f>IF(ISERR(casostestes[[#This Row],[ID]]),"-",casostestes[[#This Row],[ID]])</f>
        <v>-</v>
      </c>
      <c r="C178" s="49" t="str">
        <f>IFERROR(IF(VLOOKUP($B178,casostestes[#Data],10)=0,"Não",VLOOKUP($B178,casostestes[#Data],10)), "-")</f>
        <v>-</v>
      </c>
      <c r="D178" s="50" t="str">
        <f>IFERROR(IF(VLOOKUP($B178,casostestes[#Data],2)=0,"-",VLOOKUP($B178,casostestes[#Data],2)), "-")</f>
        <v>-</v>
      </c>
      <c r="E178" s="50" t="str">
        <f>IFERROR(IF(VLOOKUP($B178,casostestes[#Data],3)=0,"-",VLOOKUP($B178,casostestes[#Data],3)), "-")</f>
        <v>-</v>
      </c>
      <c r="F178" s="50" t="str">
        <f>IFERROR(IF(VLOOKUP($B178,casostestes[#Data],4)=0,"-",VLOOKUP($B178,casostestes[#Data],4)),"-")</f>
        <v>-</v>
      </c>
      <c r="G178" s="50" t="str">
        <f>IFERROR(IF(VLOOKUP($B178,casostestes[#Data],5)=0,"-",VLOOKUP($B178,casostestes[#Data],5)),"-")</f>
        <v>-</v>
      </c>
      <c r="H178" s="50" t="str">
        <f>IFERROR(IF(VLOOKUP($B178,casostestes[#Data],6)=0,"-",VLOOKUP($B178,casostestes[#Data],6)),"-")</f>
        <v>-</v>
      </c>
      <c r="I178" s="50" t="str">
        <f>IFERROR(IF(VLOOKUP($B178,casostestes[#Data],8)=0,"-",VLOOKUP($B178,casostestes[#Data],8)),"-")</f>
        <v>-</v>
      </c>
      <c r="J178" s="50" t="str">
        <f>IFERROR(IF(VLOOKUP($B178,casostestes[#Data],9)=0,"-",VLOOKUP($B178,casostestes[#Data],9)),"-")</f>
        <v>-</v>
      </c>
      <c r="K178" s="112" t="str">
        <f>IFERROR(IF(VLOOKUP($B178,homologador01[#Data],12)=0,"Não executado",VLOOKUP($B178,homologador01[#Data],12)),"Não executado")</f>
        <v>Não executado</v>
      </c>
      <c r="L178" s="112" t="str">
        <f>IFERROR(IF(VLOOKUP($B178,homologador02[#Data],12)=0,"-",VLOOKUP($B178,homologador02[#Data],12)),"-")</f>
        <v>-</v>
      </c>
    </row>
    <row r="179" spans="2:12">
      <c r="B179" s="56" t="str">
        <f>IF(ISERR(casostestes[[#This Row],[ID]]),"-",casostestes[[#This Row],[ID]])</f>
        <v>-</v>
      </c>
      <c r="C179" s="49" t="str">
        <f>IFERROR(IF(VLOOKUP($B179,casostestes[#Data],10)=0,"Não",VLOOKUP($B179,casostestes[#Data],10)), "-")</f>
        <v>-</v>
      </c>
      <c r="D179" s="50" t="str">
        <f>IFERROR(IF(VLOOKUP($B179,casostestes[#Data],2)=0,"-",VLOOKUP($B179,casostestes[#Data],2)), "-")</f>
        <v>-</v>
      </c>
      <c r="E179" s="50" t="str">
        <f>IFERROR(IF(VLOOKUP($B179,casostestes[#Data],3)=0,"-",VLOOKUP($B179,casostestes[#Data],3)), "-")</f>
        <v>-</v>
      </c>
      <c r="F179" s="50" t="str">
        <f>IFERROR(IF(VLOOKUP($B179,casostestes[#Data],4)=0,"-",VLOOKUP($B179,casostestes[#Data],4)),"-")</f>
        <v>-</v>
      </c>
      <c r="G179" s="50" t="str">
        <f>IFERROR(IF(VLOOKUP($B179,casostestes[#Data],5)=0,"-",VLOOKUP($B179,casostestes[#Data],5)),"-")</f>
        <v>-</v>
      </c>
      <c r="H179" s="50" t="str">
        <f>IFERROR(IF(VLOOKUP($B179,casostestes[#Data],6)=0,"-",VLOOKUP($B179,casostestes[#Data],6)),"-")</f>
        <v>-</v>
      </c>
      <c r="I179" s="50" t="str">
        <f>IFERROR(IF(VLOOKUP($B179,casostestes[#Data],8)=0,"-",VLOOKUP($B179,casostestes[#Data],8)),"-")</f>
        <v>-</v>
      </c>
      <c r="J179" s="50" t="str">
        <f>IFERROR(IF(VLOOKUP($B179,casostestes[#Data],9)=0,"-",VLOOKUP($B179,casostestes[#Data],9)),"-")</f>
        <v>-</v>
      </c>
      <c r="K179" s="112" t="str">
        <f>IFERROR(IF(VLOOKUP($B179,homologador01[#Data],12)=0,"Não executado",VLOOKUP($B179,homologador01[#Data],12)),"Não executado")</f>
        <v>Não executado</v>
      </c>
      <c r="L179" s="112" t="str">
        <f>IFERROR(IF(VLOOKUP($B179,homologador02[#Data],12)=0,"-",VLOOKUP($B179,homologador02[#Data],12)),"-")</f>
        <v>-</v>
      </c>
    </row>
    <row r="180" spans="2:12">
      <c r="B180" s="56" t="str">
        <f>IF(ISERR(casostestes[[#This Row],[ID]]),"-",casostestes[[#This Row],[ID]])</f>
        <v>-</v>
      </c>
      <c r="C180" s="49" t="str">
        <f>IFERROR(IF(VLOOKUP($B180,casostestes[#Data],10)=0,"Não",VLOOKUP($B180,casostestes[#Data],10)), "-")</f>
        <v>-</v>
      </c>
      <c r="D180" s="50" t="str">
        <f>IFERROR(IF(VLOOKUP($B180,casostestes[#Data],2)=0,"-",VLOOKUP($B180,casostestes[#Data],2)), "-")</f>
        <v>-</v>
      </c>
      <c r="E180" s="50" t="str">
        <f>IFERROR(IF(VLOOKUP($B180,casostestes[#Data],3)=0,"-",VLOOKUP($B180,casostestes[#Data],3)), "-")</f>
        <v>-</v>
      </c>
      <c r="F180" s="50" t="str">
        <f>IFERROR(IF(VLOOKUP($B180,casostestes[#Data],4)=0,"-",VLOOKUP($B180,casostestes[#Data],4)),"-")</f>
        <v>-</v>
      </c>
      <c r="G180" s="50" t="str">
        <f>IFERROR(IF(VLOOKUP($B180,casostestes[#Data],5)=0,"-",VLOOKUP($B180,casostestes[#Data],5)),"-")</f>
        <v>-</v>
      </c>
      <c r="H180" s="50" t="str">
        <f>IFERROR(IF(VLOOKUP($B180,casostestes[#Data],6)=0,"-",VLOOKUP($B180,casostestes[#Data],6)),"-")</f>
        <v>-</v>
      </c>
      <c r="I180" s="50" t="str">
        <f>IFERROR(IF(VLOOKUP($B180,casostestes[#Data],8)=0,"-",VLOOKUP($B180,casostestes[#Data],8)),"-")</f>
        <v>-</v>
      </c>
      <c r="J180" s="50" t="str">
        <f>IFERROR(IF(VLOOKUP($B180,casostestes[#Data],9)=0,"-",VLOOKUP($B180,casostestes[#Data],9)),"-")</f>
        <v>-</v>
      </c>
      <c r="K180" s="112" t="str">
        <f>IFERROR(IF(VLOOKUP($B180,homologador01[#Data],12)=0,"Não executado",VLOOKUP($B180,homologador01[#Data],12)),"Não executado")</f>
        <v>Não executado</v>
      </c>
      <c r="L180" s="112" t="str">
        <f>IFERROR(IF(VLOOKUP($B180,homologador02[#Data],12)=0,"-",VLOOKUP($B180,homologador02[#Data],12)),"-")</f>
        <v>-</v>
      </c>
    </row>
    <row r="181" spans="2:12">
      <c r="B181" s="56" t="str">
        <f>IF(ISERR(casostestes[[#This Row],[ID]]),"-",casostestes[[#This Row],[ID]])</f>
        <v>-</v>
      </c>
      <c r="C181" s="49" t="str">
        <f>IFERROR(IF(VLOOKUP($B181,casostestes[#Data],10)=0,"Não",VLOOKUP($B181,casostestes[#Data],10)), "-")</f>
        <v>-</v>
      </c>
      <c r="D181" s="50" t="str">
        <f>IFERROR(IF(VLOOKUP($B181,casostestes[#Data],2)=0,"-",VLOOKUP($B181,casostestes[#Data],2)), "-")</f>
        <v>-</v>
      </c>
      <c r="E181" s="50" t="str">
        <f>IFERROR(IF(VLOOKUP($B181,casostestes[#Data],3)=0,"-",VLOOKUP($B181,casostestes[#Data],3)), "-")</f>
        <v>-</v>
      </c>
      <c r="F181" s="50" t="str">
        <f>IFERROR(IF(VLOOKUP($B181,casostestes[#Data],4)=0,"-",VLOOKUP($B181,casostestes[#Data],4)),"-")</f>
        <v>-</v>
      </c>
      <c r="G181" s="50" t="str">
        <f>IFERROR(IF(VLOOKUP($B181,casostestes[#Data],5)=0,"-",VLOOKUP($B181,casostestes[#Data],5)),"-")</f>
        <v>-</v>
      </c>
      <c r="H181" s="50" t="str">
        <f>IFERROR(IF(VLOOKUP($B181,casostestes[#Data],6)=0,"-",VLOOKUP($B181,casostestes[#Data],6)),"-")</f>
        <v>-</v>
      </c>
      <c r="I181" s="50" t="str">
        <f>IFERROR(IF(VLOOKUP($B181,casostestes[#Data],8)=0,"-",VLOOKUP($B181,casostestes[#Data],8)),"-")</f>
        <v>-</v>
      </c>
      <c r="J181" s="50" t="str">
        <f>IFERROR(IF(VLOOKUP($B181,casostestes[#Data],9)=0,"-",VLOOKUP($B181,casostestes[#Data],9)),"-")</f>
        <v>-</v>
      </c>
      <c r="K181" s="112" t="str">
        <f>IFERROR(IF(VLOOKUP($B181,homologador01[#Data],12)=0,"Não executado",VLOOKUP($B181,homologador01[#Data],12)),"Não executado")</f>
        <v>Não executado</v>
      </c>
      <c r="L181" s="112" t="str">
        <f>IFERROR(IF(VLOOKUP($B181,homologador02[#Data],12)=0,"-",VLOOKUP($B181,homologador02[#Data],12)),"-")</f>
        <v>-</v>
      </c>
    </row>
    <row r="182" spans="2:12">
      <c r="B182" s="56" t="str">
        <f>IF(ISERR(casostestes[[#This Row],[ID]]),"-",casostestes[[#This Row],[ID]])</f>
        <v>-</v>
      </c>
      <c r="C182" s="49" t="str">
        <f>IFERROR(IF(VLOOKUP($B182,casostestes[#Data],10)=0,"Não",VLOOKUP($B182,casostestes[#Data],10)), "-")</f>
        <v>-</v>
      </c>
      <c r="D182" s="50" t="str">
        <f>IFERROR(IF(VLOOKUP($B182,casostestes[#Data],2)=0,"-",VLOOKUP($B182,casostestes[#Data],2)), "-")</f>
        <v>-</v>
      </c>
      <c r="E182" s="50" t="str">
        <f>IFERROR(IF(VLOOKUP($B182,casostestes[#Data],3)=0,"-",VLOOKUP($B182,casostestes[#Data],3)), "-")</f>
        <v>-</v>
      </c>
      <c r="F182" s="50" t="str">
        <f>IFERROR(IF(VLOOKUP($B182,casostestes[#Data],4)=0,"-",VLOOKUP($B182,casostestes[#Data],4)),"-")</f>
        <v>-</v>
      </c>
      <c r="G182" s="50" t="str">
        <f>IFERROR(IF(VLOOKUP($B182,casostestes[#Data],5)=0,"-",VLOOKUP($B182,casostestes[#Data],5)),"-")</f>
        <v>-</v>
      </c>
      <c r="H182" s="50" t="str">
        <f>IFERROR(IF(VLOOKUP($B182,casostestes[#Data],6)=0,"-",VLOOKUP($B182,casostestes[#Data],6)),"-")</f>
        <v>-</v>
      </c>
      <c r="I182" s="50" t="str">
        <f>IFERROR(IF(VLOOKUP($B182,casostestes[#Data],8)=0,"-",VLOOKUP($B182,casostestes[#Data],8)),"-")</f>
        <v>-</v>
      </c>
      <c r="J182" s="50" t="str">
        <f>IFERROR(IF(VLOOKUP($B182,casostestes[#Data],9)=0,"-",VLOOKUP($B182,casostestes[#Data],9)),"-")</f>
        <v>-</v>
      </c>
      <c r="K182" s="112" t="str">
        <f>IFERROR(IF(VLOOKUP($B182,homologador01[#Data],12)=0,"Não executado",VLOOKUP($B182,homologador01[#Data],12)),"Não executado")</f>
        <v>Não executado</v>
      </c>
      <c r="L182" s="112" t="str">
        <f>IFERROR(IF(VLOOKUP($B182,homologador02[#Data],12)=0,"-",VLOOKUP($B182,homologador02[#Data],12)),"-")</f>
        <v>-</v>
      </c>
    </row>
    <row r="183" spans="2:12">
      <c r="B183" s="56" t="str">
        <f>IF(ISERR(casostestes[[#This Row],[ID]]),"-",casostestes[[#This Row],[ID]])</f>
        <v>-</v>
      </c>
      <c r="C183" s="49" t="str">
        <f>IFERROR(IF(VLOOKUP($B183,casostestes[#Data],10)=0,"Não",VLOOKUP($B183,casostestes[#Data],10)), "-")</f>
        <v>-</v>
      </c>
      <c r="D183" s="50" t="str">
        <f>IFERROR(IF(VLOOKUP($B183,casostestes[#Data],2)=0,"-",VLOOKUP($B183,casostestes[#Data],2)), "-")</f>
        <v>-</v>
      </c>
      <c r="E183" s="50" t="str">
        <f>IFERROR(IF(VLOOKUP($B183,casostestes[#Data],3)=0,"-",VLOOKUP($B183,casostestes[#Data],3)), "-")</f>
        <v>-</v>
      </c>
      <c r="F183" s="50" t="str">
        <f>IFERROR(IF(VLOOKUP($B183,casostestes[#Data],4)=0,"-",VLOOKUP($B183,casostestes[#Data],4)),"-")</f>
        <v>-</v>
      </c>
      <c r="G183" s="50" t="str">
        <f>IFERROR(IF(VLOOKUP($B183,casostestes[#Data],5)=0,"-",VLOOKUP($B183,casostestes[#Data],5)),"-")</f>
        <v>-</v>
      </c>
      <c r="H183" s="50" t="str">
        <f>IFERROR(IF(VLOOKUP($B183,casostestes[#Data],6)=0,"-",VLOOKUP($B183,casostestes[#Data],6)),"-")</f>
        <v>-</v>
      </c>
      <c r="I183" s="50" t="str">
        <f>IFERROR(IF(VLOOKUP($B183,casostestes[#Data],8)=0,"-",VLOOKUP($B183,casostestes[#Data],8)),"-")</f>
        <v>-</v>
      </c>
      <c r="J183" s="50" t="str">
        <f>IFERROR(IF(VLOOKUP($B183,casostestes[#Data],9)=0,"-",VLOOKUP($B183,casostestes[#Data],9)),"-")</f>
        <v>-</v>
      </c>
      <c r="K183" s="112" t="str">
        <f>IFERROR(IF(VLOOKUP($B183,homologador01[#Data],12)=0,"Não executado",VLOOKUP($B183,homologador01[#Data],12)),"Não executado")</f>
        <v>Não executado</v>
      </c>
      <c r="L183" s="112" t="str">
        <f>IFERROR(IF(VLOOKUP($B183,homologador02[#Data],12)=0,"-",VLOOKUP($B183,homologador02[#Data],12)),"-")</f>
        <v>-</v>
      </c>
    </row>
    <row r="184" spans="2:12">
      <c r="B184" s="56" t="str">
        <f>IF(ISERR(casostestes[[#This Row],[ID]]),"-",casostestes[[#This Row],[ID]])</f>
        <v>-</v>
      </c>
      <c r="C184" s="49" t="str">
        <f>IFERROR(IF(VLOOKUP($B184,casostestes[#Data],10)=0,"Não",VLOOKUP($B184,casostestes[#Data],10)), "-")</f>
        <v>-</v>
      </c>
      <c r="D184" s="50" t="str">
        <f>IFERROR(IF(VLOOKUP($B184,casostestes[#Data],2)=0,"-",VLOOKUP($B184,casostestes[#Data],2)), "-")</f>
        <v>-</v>
      </c>
      <c r="E184" s="50" t="str">
        <f>IFERROR(IF(VLOOKUP($B184,casostestes[#Data],3)=0,"-",VLOOKUP($B184,casostestes[#Data],3)), "-")</f>
        <v>-</v>
      </c>
      <c r="F184" s="50" t="str">
        <f>IFERROR(IF(VLOOKUP($B184,casostestes[#Data],4)=0,"-",VLOOKUP($B184,casostestes[#Data],4)),"-")</f>
        <v>-</v>
      </c>
      <c r="G184" s="50" t="str">
        <f>IFERROR(IF(VLOOKUP($B184,casostestes[#Data],5)=0,"-",VLOOKUP($B184,casostestes[#Data],5)),"-")</f>
        <v>-</v>
      </c>
      <c r="H184" s="50" t="str">
        <f>IFERROR(IF(VLOOKUP($B184,casostestes[#Data],6)=0,"-",VLOOKUP($B184,casostestes[#Data],6)),"-")</f>
        <v>-</v>
      </c>
      <c r="I184" s="50" t="str">
        <f>IFERROR(IF(VLOOKUP($B184,casostestes[#Data],8)=0,"-",VLOOKUP($B184,casostestes[#Data],8)),"-")</f>
        <v>-</v>
      </c>
      <c r="J184" s="50" t="str">
        <f>IFERROR(IF(VLOOKUP($B184,casostestes[#Data],9)=0,"-",VLOOKUP($B184,casostestes[#Data],9)),"-")</f>
        <v>-</v>
      </c>
      <c r="K184" s="112" t="str">
        <f>IFERROR(IF(VLOOKUP($B184,homologador01[#Data],12)=0,"Não executado",VLOOKUP($B184,homologador01[#Data],12)),"Não executado")</f>
        <v>Não executado</v>
      </c>
      <c r="L184" s="112" t="str">
        <f>IFERROR(IF(VLOOKUP($B184,homologador02[#Data],12)=0,"-",VLOOKUP($B184,homologador02[#Data],12)),"-")</f>
        <v>-</v>
      </c>
    </row>
    <row r="185" spans="2:12">
      <c r="B185" s="56" t="str">
        <f>IF(ISERR(casostestes[[#This Row],[ID]]),"-",casostestes[[#This Row],[ID]])</f>
        <v>-</v>
      </c>
      <c r="C185" s="49" t="str">
        <f>IFERROR(IF(VLOOKUP($B185,casostestes[#Data],10)=0,"Não",VLOOKUP($B185,casostestes[#Data],10)), "-")</f>
        <v>-</v>
      </c>
      <c r="D185" s="50" t="str">
        <f>IFERROR(IF(VLOOKUP($B185,casostestes[#Data],2)=0,"-",VLOOKUP($B185,casostestes[#Data],2)), "-")</f>
        <v>-</v>
      </c>
      <c r="E185" s="50" t="str">
        <f>IFERROR(IF(VLOOKUP($B185,casostestes[#Data],3)=0,"-",VLOOKUP($B185,casostestes[#Data],3)), "-")</f>
        <v>-</v>
      </c>
      <c r="F185" s="50" t="str">
        <f>IFERROR(IF(VLOOKUP($B185,casostestes[#Data],4)=0,"-",VLOOKUP($B185,casostestes[#Data],4)),"-")</f>
        <v>-</v>
      </c>
      <c r="G185" s="50" t="str">
        <f>IFERROR(IF(VLOOKUP($B185,casostestes[#Data],5)=0,"-",VLOOKUP($B185,casostestes[#Data],5)),"-")</f>
        <v>-</v>
      </c>
      <c r="H185" s="50" t="str">
        <f>IFERROR(IF(VLOOKUP($B185,casostestes[#Data],6)=0,"-",VLOOKUP($B185,casostestes[#Data],6)),"-")</f>
        <v>-</v>
      </c>
      <c r="I185" s="50" t="str">
        <f>IFERROR(IF(VLOOKUP($B185,casostestes[#Data],8)=0,"-",VLOOKUP($B185,casostestes[#Data],8)),"-")</f>
        <v>-</v>
      </c>
      <c r="J185" s="50" t="str">
        <f>IFERROR(IF(VLOOKUP($B185,casostestes[#Data],9)=0,"-",VLOOKUP($B185,casostestes[#Data],9)),"-")</f>
        <v>-</v>
      </c>
      <c r="K185" s="112" t="str">
        <f>IFERROR(IF(VLOOKUP($B185,homologador01[#Data],12)=0,"Não executado",VLOOKUP($B185,homologador01[#Data],12)),"Não executado")</f>
        <v>Não executado</v>
      </c>
      <c r="L185" s="112" t="str">
        <f>IFERROR(IF(VLOOKUP($B185,homologador02[#Data],12)=0,"-",VLOOKUP($B185,homologador02[#Data],12)),"-")</f>
        <v>-</v>
      </c>
    </row>
    <row r="186" spans="2:12">
      <c r="B186" s="56" t="str">
        <f>IF(ISERR(casostestes[[#This Row],[ID]]),"-",casostestes[[#This Row],[ID]])</f>
        <v>-</v>
      </c>
      <c r="C186" s="49" t="str">
        <f>IFERROR(IF(VLOOKUP($B186,casostestes[#Data],10)=0,"Não",VLOOKUP($B186,casostestes[#Data],10)), "-")</f>
        <v>-</v>
      </c>
      <c r="D186" s="50" t="str">
        <f>IFERROR(IF(VLOOKUP($B186,casostestes[#Data],2)=0,"-",VLOOKUP($B186,casostestes[#Data],2)), "-")</f>
        <v>-</v>
      </c>
      <c r="E186" s="50" t="str">
        <f>IFERROR(IF(VLOOKUP($B186,casostestes[#Data],3)=0,"-",VLOOKUP($B186,casostestes[#Data],3)), "-")</f>
        <v>-</v>
      </c>
      <c r="F186" s="50" t="str">
        <f>IFERROR(IF(VLOOKUP($B186,casostestes[#Data],4)=0,"-",VLOOKUP($B186,casostestes[#Data],4)),"-")</f>
        <v>-</v>
      </c>
      <c r="G186" s="50" t="str">
        <f>IFERROR(IF(VLOOKUP($B186,casostestes[#Data],5)=0,"-",VLOOKUP($B186,casostestes[#Data],5)),"-")</f>
        <v>-</v>
      </c>
      <c r="H186" s="50" t="str">
        <f>IFERROR(IF(VLOOKUP($B186,casostestes[#Data],6)=0,"-",VLOOKUP($B186,casostestes[#Data],6)),"-")</f>
        <v>-</v>
      </c>
      <c r="I186" s="50" t="str">
        <f>IFERROR(IF(VLOOKUP($B186,casostestes[#Data],8)=0,"-",VLOOKUP($B186,casostestes[#Data],8)),"-")</f>
        <v>-</v>
      </c>
      <c r="J186" s="50" t="str">
        <f>IFERROR(IF(VLOOKUP($B186,casostestes[#Data],9)=0,"-",VLOOKUP($B186,casostestes[#Data],9)),"-")</f>
        <v>-</v>
      </c>
      <c r="K186" s="112" t="str">
        <f>IFERROR(IF(VLOOKUP($B186,homologador01[#Data],12)=0,"Não executado",VLOOKUP($B186,homologador01[#Data],12)),"Não executado")</f>
        <v>Não executado</v>
      </c>
      <c r="L186" s="112" t="str">
        <f>IFERROR(IF(VLOOKUP($B186,homologador02[#Data],12)=0,"-",VLOOKUP($B186,homologador02[#Data],12)),"-")</f>
        <v>-</v>
      </c>
    </row>
    <row r="187" spans="2:12">
      <c r="B187" s="56" t="str">
        <f>IF(ISERR(casostestes[[#This Row],[ID]]),"-",casostestes[[#This Row],[ID]])</f>
        <v>-</v>
      </c>
      <c r="C187" s="49" t="str">
        <f>IFERROR(IF(VLOOKUP($B187,casostestes[#Data],10)=0,"Não",VLOOKUP($B187,casostestes[#Data],10)), "-")</f>
        <v>-</v>
      </c>
      <c r="D187" s="50" t="str">
        <f>IFERROR(IF(VLOOKUP($B187,casostestes[#Data],2)=0,"-",VLOOKUP($B187,casostestes[#Data],2)), "-")</f>
        <v>-</v>
      </c>
      <c r="E187" s="50" t="str">
        <f>IFERROR(IF(VLOOKUP($B187,casostestes[#Data],3)=0,"-",VLOOKUP($B187,casostestes[#Data],3)), "-")</f>
        <v>-</v>
      </c>
      <c r="F187" s="50" t="str">
        <f>IFERROR(IF(VLOOKUP($B187,casostestes[#Data],4)=0,"-",VLOOKUP($B187,casostestes[#Data],4)),"-")</f>
        <v>-</v>
      </c>
      <c r="G187" s="50" t="str">
        <f>IFERROR(IF(VLOOKUP($B187,casostestes[#Data],5)=0,"-",VLOOKUP($B187,casostestes[#Data],5)),"-")</f>
        <v>-</v>
      </c>
      <c r="H187" s="50" t="str">
        <f>IFERROR(IF(VLOOKUP($B187,casostestes[#Data],6)=0,"-",VLOOKUP($B187,casostestes[#Data],6)),"-")</f>
        <v>-</v>
      </c>
      <c r="I187" s="50" t="str">
        <f>IFERROR(IF(VLOOKUP($B187,casostestes[#Data],8)=0,"-",VLOOKUP($B187,casostestes[#Data],8)),"-")</f>
        <v>-</v>
      </c>
      <c r="J187" s="50" t="str">
        <f>IFERROR(IF(VLOOKUP($B187,casostestes[#Data],9)=0,"-",VLOOKUP($B187,casostestes[#Data],9)),"-")</f>
        <v>-</v>
      </c>
      <c r="K187" s="112" t="str">
        <f>IFERROR(IF(VLOOKUP($B187,homologador01[#Data],12)=0,"Não executado",VLOOKUP($B187,homologador01[#Data],12)),"Não executado")</f>
        <v>Não executado</v>
      </c>
      <c r="L187" s="112" t="str">
        <f>IFERROR(IF(VLOOKUP($B187,homologador02[#Data],12)=0,"-",VLOOKUP($B187,homologador02[#Data],12)),"-")</f>
        <v>-</v>
      </c>
    </row>
    <row r="188" spans="2:12">
      <c r="B188" s="56" t="str">
        <f>IF(ISERR(casostestes[[#This Row],[ID]]),"-",casostestes[[#This Row],[ID]])</f>
        <v>-</v>
      </c>
      <c r="C188" s="49" t="str">
        <f>IFERROR(IF(VLOOKUP($B188,casostestes[#Data],10)=0,"Não",VLOOKUP($B188,casostestes[#Data],10)), "-")</f>
        <v>-</v>
      </c>
      <c r="D188" s="50" t="str">
        <f>IFERROR(IF(VLOOKUP($B188,casostestes[#Data],2)=0,"-",VLOOKUP($B188,casostestes[#Data],2)), "-")</f>
        <v>-</v>
      </c>
      <c r="E188" s="50" t="str">
        <f>IFERROR(IF(VLOOKUP($B188,casostestes[#Data],3)=0,"-",VLOOKUP($B188,casostestes[#Data],3)), "-")</f>
        <v>-</v>
      </c>
      <c r="F188" s="50" t="str">
        <f>IFERROR(IF(VLOOKUP($B188,casostestes[#Data],4)=0,"-",VLOOKUP($B188,casostestes[#Data],4)),"-")</f>
        <v>-</v>
      </c>
      <c r="G188" s="50" t="str">
        <f>IFERROR(IF(VLOOKUP($B188,casostestes[#Data],5)=0,"-",VLOOKUP($B188,casostestes[#Data],5)),"-")</f>
        <v>-</v>
      </c>
      <c r="H188" s="50" t="str">
        <f>IFERROR(IF(VLOOKUP($B188,casostestes[#Data],6)=0,"-",VLOOKUP($B188,casostestes[#Data],6)),"-")</f>
        <v>-</v>
      </c>
      <c r="I188" s="50" t="str">
        <f>IFERROR(IF(VLOOKUP($B188,casostestes[#Data],8)=0,"-",VLOOKUP($B188,casostestes[#Data],8)),"-")</f>
        <v>-</v>
      </c>
      <c r="J188" s="50" t="str">
        <f>IFERROR(IF(VLOOKUP($B188,casostestes[#Data],9)=0,"-",VLOOKUP($B188,casostestes[#Data],9)),"-")</f>
        <v>-</v>
      </c>
      <c r="K188" s="112" t="str">
        <f>IFERROR(IF(VLOOKUP($B188,homologador01[#Data],12)=0,"Não executado",VLOOKUP($B188,homologador01[#Data],12)),"Não executado")</f>
        <v>Não executado</v>
      </c>
      <c r="L188" s="112" t="str">
        <f>IFERROR(IF(VLOOKUP($B188,homologador02[#Data],12)=0,"-",VLOOKUP($B188,homologador02[#Data],12)),"-")</f>
        <v>-</v>
      </c>
    </row>
    <row r="189" spans="2:12">
      <c r="B189" s="56" t="str">
        <f>IF(ISERR(casostestes[[#This Row],[ID]]),"-",casostestes[[#This Row],[ID]])</f>
        <v>-</v>
      </c>
      <c r="C189" s="49" t="str">
        <f>IFERROR(IF(VLOOKUP($B189,casostestes[#Data],10)=0,"Não",VLOOKUP($B189,casostestes[#Data],10)), "-")</f>
        <v>-</v>
      </c>
      <c r="D189" s="50" t="str">
        <f>IFERROR(IF(VLOOKUP($B189,casostestes[#Data],2)=0,"-",VLOOKUP($B189,casostestes[#Data],2)), "-")</f>
        <v>-</v>
      </c>
      <c r="E189" s="50" t="str">
        <f>IFERROR(IF(VLOOKUP($B189,casostestes[#Data],3)=0,"-",VLOOKUP($B189,casostestes[#Data],3)), "-")</f>
        <v>-</v>
      </c>
      <c r="F189" s="50" t="str">
        <f>IFERROR(IF(VLOOKUP($B189,casostestes[#Data],4)=0,"-",VLOOKUP($B189,casostestes[#Data],4)),"-")</f>
        <v>-</v>
      </c>
      <c r="G189" s="50" t="str">
        <f>IFERROR(IF(VLOOKUP($B189,casostestes[#Data],5)=0,"-",VLOOKUP($B189,casostestes[#Data],5)),"-")</f>
        <v>-</v>
      </c>
      <c r="H189" s="50" t="str">
        <f>IFERROR(IF(VLOOKUP($B189,casostestes[#Data],6)=0,"-",VLOOKUP($B189,casostestes[#Data],6)),"-")</f>
        <v>-</v>
      </c>
      <c r="I189" s="50" t="str">
        <f>IFERROR(IF(VLOOKUP($B189,casostestes[#Data],8)=0,"-",VLOOKUP($B189,casostestes[#Data],8)),"-")</f>
        <v>-</v>
      </c>
      <c r="J189" s="50" t="str">
        <f>IFERROR(IF(VLOOKUP($B189,casostestes[#Data],9)=0,"-",VLOOKUP($B189,casostestes[#Data],9)),"-")</f>
        <v>-</v>
      </c>
      <c r="K189" s="112" t="str">
        <f>IFERROR(IF(VLOOKUP($B189,homologador01[#Data],12)=0,"Não executado",VLOOKUP($B189,homologador01[#Data],12)),"Não executado")</f>
        <v>Não executado</v>
      </c>
      <c r="L189" s="112" t="str">
        <f>IFERROR(IF(VLOOKUP($B189,homologador02[#Data],12)=0,"-",VLOOKUP($B189,homologador02[#Data],12)),"-")</f>
        <v>-</v>
      </c>
    </row>
    <row r="190" spans="2:12">
      <c r="B190" s="56" t="str">
        <f>IF(ISERR(casostestes[[#This Row],[ID]]),"-",casostestes[[#This Row],[ID]])</f>
        <v>-</v>
      </c>
      <c r="C190" s="49" t="str">
        <f>IFERROR(IF(VLOOKUP($B190,casostestes[#Data],10)=0,"Não",VLOOKUP($B190,casostestes[#Data],10)), "-")</f>
        <v>-</v>
      </c>
      <c r="D190" s="50" t="str">
        <f>IFERROR(IF(VLOOKUP($B190,casostestes[#Data],2)=0,"-",VLOOKUP($B190,casostestes[#Data],2)), "-")</f>
        <v>-</v>
      </c>
      <c r="E190" s="50" t="str">
        <f>IFERROR(IF(VLOOKUP($B190,casostestes[#Data],3)=0,"-",VLOOKUP($B190,casostestes[#Data],3)), "-")</f>
        <v>-</v>
      </c>
      <c r="F190" s="50" t="str">
        <f>IFERROR(IF(VLOOKUP($B190,casostestes[#Data],4)=0,"-",VLOOKUP($B190,casostestes[#Data],4)),"-")</f>
        <v>-</v>
      </c>
      <c r="G190" s="50" t="str">
        <f>IFERROR(IF(VLOOKUP($B190,casostestes[#Data],5)=0,"-",VLOOKUP($B190,casostestes[#Data],5)),"-")</f>
        <v>-</v>
      </c>
      <c r="H190" s="50" t="str">
        <f>IFERROR(IF(VLOOKUP($B190,casostestes[#Data],6)=0,"-",VLOOKUP($B190,casostestes[#Data],6)),"-")</f>
        <v>-</v>
      </c>
      <c r="I190" s="50" t="str">
        <f>IFERROR(IF(VLOOKUP($B190,casostestes[#Data],8)=0,"-",VLOOKUP($B190,casostestes[#Data],8)),"-")</f>
        <v>-</v>
      </c>
      <c r="J190" s="50" t="str">
        <f>IFERROR(IF(VLOOKUP($B190,casostestes[#Data],9)=0,"-",VLOOKUP($B190,casostestes[#Data],9)),"-")</f>
        <v>-</v>
      </c>
      <c r="K190" s="112" t="str">
        <f>IFERROR(IF(VLOOKUP($B190,homologador01[#Data],12)=0,"Não executado",VLOOKUP($B190,homologador01[#Data],12)),"Não executado")</f>
        <v>Não executado</v>
      </c>
      <c r="L190" s="112" t="str">
        <f>IFERROR(IF(VLOOKUP($B190,homologador02[#Data],12)=0,"-",VLOOKUP($B190,homologador02[#Data],12)),"-")</f>
        <v>-</v>
      </c>
    </row>
    <row r="191" spans="2:12">
      <c r="B191" s="56" t="str">
        <f>IF(ISERR(casostestes[[#This Row],[ID]]),"-",casostestes[[#This Row],[ID]])</f>
        <v>-</v>
      </c>
      <c r="C191" s="49" t="str">
        <f>IFERROR(IF(VLOOKUP($B191,casostestes[#Data],10)=0,"Não",VLOOKUP($B191,casostestes[#Data],10)), "-")</f>
        <v>-</v>
      </c>
      <c r="D191" s="50" t="str">
        <f>IFERROR(IF(VLOOKUP($B191,casostestes[#Data],2)=0,"-",VLOOKUP($B191,casostestes[#Data],2)), "-")</f>
        <v>-</v>
      </c>
      <c r="E191" s="50" t="str">
        <f>IFERROR(IF(VLOOKUP($B191,casostestes[#Data],3)=0,"-",VLOOKUP($B191,casostestes[#Data],3)), "-")</f>
        <v>-</v>
      </c>
      <c r="F191" s="50" t="str">
        <f>IFERROR(IF(VLOOKUP($B191,casostestes[#Data],4)=0,"-",VLOOKUP($B191,casostestes[#Data],4)),"-")</f>
        <v>-</v>
      </c>
      <c r="G191" s="50" t="str">
        <f>IFERROR(IF(VLOOKUP($B191,casostestes[#Data],5)=0,"-",VLOOKUP($B191,casostestes[#Data],5)),"-")</f>
        <v>-</v>
      </c>
      <c r="H191" s="50" t="str">
        <f>IFERROR(IF(VLOOKUP($B191,casostestes[#Data],6)=0,"-",VLOOKUP($B191,casostestes[#Data],6)),"-")</f>
        <v>-</v>
      </c>
      <c r="I191" s="50" t="str">
        <f>IFERROR(IF(VLOOKUP($B191,casostestes[#Data],8)=0,"-",VLOOKUP($B191,casostestes[#Data],8)),"-")</f>
        <v>-</v>
      </c>
      <c r="J191" s="50" t="str">
        <f>IFERROR(IF(VLOOKUP($B191,casostestes[#Data],9)=0,"-",VLOOKUP($B191,casostestes[#Data],9)),"-")</f>
        <v>-</v>
      </c>
      <c r="K191" s="112" t="str">
        <f>IFERROR(IF(VLOOKUP($B191,homologador01[#Data],12)=0,"Não executado",VLOOKUP($B191,homologador01[#Data],12)),"Não executado")</f>
        <v>Não executado</v>
      </c>
      <c r="L191" s="112" t="str">
        <f>IFERROR(IF(VLOOKUP($B191,homologador02[#Data],12)=0,"-",VLOOKUP($B191,homologador02[#Data],12)),"-")</f>
        <v>-</v>
      </c>
    </row>
    <row r="192" spans="2:12">
      <c r="B192" s="56" t="str">
        <f>IF(ISERR(casostestes[[#This Row],[ID]]),"-",casostestes[[#This Row],[ID]])</f>
        <v>-</v>
      </c>
      <c r="C192" s="49" t="str">
        <f>IFERROR(IF(VLOOKUP($B192,casostestes[#Data],10)=0,"Não",VLOOKUP($B192,casostestes[#Data],10)), "-")</f>
        <v>-</v>
      </c>
      <c r="D192" s="50" t="str">
        <f>IFERROR(IF(VLOOKUP($B192,casostestes[#Data],2)=0,"-",VLOOKUP($B192,casostestes[#Data],2)), "-")</f>
        <v>-</v>
      </c>
      <c r="E192" s="50" t="str">
        <f>IFERROR(IF(VLOOKUP($B192,casostestes[#Data],3)=0,"-",VLOOKUP($B192,casostestes[#Data],3)), "-")</f>
        <v>-</v>
      </c>
      <c r="F192" s="50" t="str">
        <f>IFERROR(IF(VLOOKUP($B192,casostestes[#Data],4)=0,"-",VLOOKUP($B192,casostestes[#Data],4)),"-")</f>
        <v>-</v>
      </c>
      <c r="G192" s="50" t="str">
        <f>IFERROR(IF(VLOOKUP($B192,casostestes[#Data],5)=0,"-",VLOOKUP($B192,casostestes[#Data],5)),"-")</f>
        <v>-</v>
      </c>
      <c r="H192" s="50" t="str">
        <f>IFERROR(IF(VLOOKUP($B192,casostestes[#Data],6)=0,"-",VLOOKUP($B192,casostestes[#Data],6)),"-")</f>
        <v>-</v>
      </c>
      <c r="I192" s="50" t="str">
        <f>IFERROR(IF(VLOOKUP($B192,casostestes[#Data],8)=0,"-",VLOOKUP($B192,casostestes[#Data],8)),"-")</f>
        <v>-</v>
      </c>
      <c r="J192" s="50" t="str">
        <f>IFERROR(IF(VLOOKUP($B192,casostestes[#Data],9)=0,"-",VLOOKUP($B192,casostestes[#Data],9)),"-")</f>
        <v>-</v>
      </c>
      <c r="K192" s="112" t="str">
        <f>IFERROR(IF(VLOOKUP($B192,homologador01[#Data],12)=0,"Não executado",VLOOKUP($B192,homologador01[#Data],12)),"Não executado")</f>
        <v>Não executado</v>
      </c>
      <c r="L192" s="112" t="str">
        <f>IFERROR(IF(VLOOKUP($B192,homologador02[#Data],12)=0,"-",VLOOKUP($B192,homologador02[#Data],12)),"-")</f>
        <v>-</v>
      </c>
    </row>
    <row r="193" spans="2:12">
      <c r="B193" s="56" t="str">
        <f>IF(ISERR(casostestes[[#This Row],[ID]]),"-",casostestes[[#This Row],[ID]])</f>
        <v>-</v>
      </c>
      <c r="C193" s="49" t="str">
        <f>IFERROR(IF(VLOOKUP($B193,casostestes[#Data],10)=0,"Não",VLOOKUP($B193,casostestes[#Data],10)), "-")</f>
        <v>-</v>
      </c>
      <c r="D193" s="50" t="str">
        <f>IFERROR(IF(VLOOKUP($B193,casostestes[#Data],2)=0,"-",VLOOKUP($B193,casostestes[#Data],2)), "-")</f>
        <v>-</v>
      </c>
      <c r="E193" s="50" t="str">
        <f>IFERROR(IF(VLOOKUP($B193,casostestes[#Data],3)=0,"-",VLOOKUP($B193,casostestes[#Data],3)), "-")</f>
        <v>-</v>
      </c>
      <c r="F193" s="50" t="str">
        <f>IFERROR(IF(VLOOKUP($B193,casostestes[#Data],4)=0,"-",VLOOKUP($B193,casostestes[#Data],4)),"-")</f>
        <v>-</v>
      </c>
      <c r="G193" s="50" t="str">
        <f>IFERROR(IF(VLOOKUP($B193,casostestes[#Data],5)=0,"-",VLOOKUP($B193,casostestes[#Data],5)),"-")</f>
        <v>-</v>
      </c>
      <c r="H193" s="50" t="str">
        <f>IFERROR(IF(VLOOKUP($B193,casostestes[#Data],6)=0,"-",VLOOKUP($B193,casostestes[#Data],6)),"-")</f>
        <v>-</v>
      </c>
      <c r="I193" s="50" t="str">
        <f>IFERROR(IF(VLOOKUP($B193,casostestes[#Data],8)=0,"-",VLOOKUP($B193,casostestes[#Data],8)),"-")</f>
        <v>-</v>
      </c>
      <c r="J193" s="50" t="str">
        <f>IFERROR(IF(VLOOKUP($B193,casostestes[#Data],9)=0,"-",VLOOKUP($B193,casostestes[#Data],9)),"-")</f>
        <v>-</v>
      </c>
      <c r="K193" s="112" t="str">
        <f>IFERROR(IF(VLOOKUP($B193,homologador01[#Data],12)=0,"Não executado",VLOOKUP($B193,homologador01[#Data],12)),"Não executado")</f>
        <v>Não executado</v>
      </c>
      <c r="L193" s="112" t="str">
        <f>IFERROR(IF(VLOOKUP($B193,homologador02[#Data],12)=0,"-",VLOOKUP($B193,homologador02[#Data],12)),"-")</f>
        <v>-</v>
      </c>
    </row>
    <row r="194" spans="2:12">
      <c r="B194" s="56" t="str">
        <f>IF(ISERR(casostestes[[#This Row],[ID]]),"-",casostestes[[#This Row],[ID]])</f>
        <v>-</v>
      </c>
      <c r="C194" s="49" t="str">
        <f>IFERROR(IF(VLOOKUP($B194,casostestes[#Data],10)=0,"Não",VLOOKUP($B194,casostestes[#Data],10)), "-")</f>
        <v>-</v>
      </c>
      <c r="D194" s="50" t="str">
        <f>IFERROR(IF(VLOOKUP($B194,casostestes[#Data],2)=0,"-",VLOOKUP($B194,casostestes[#Data],2)), "-")</f>
        <v>-</v>
      </c>
      <c r="E194" s="50" t="str">
        <f>IFERROR(IF(VLOOKUP($B194,casostestes[#Data],3)=0,"-",VLOOKUP($B194,casostestes[#Data],3)), "-")</f>
        <v>-</v>
      </c>
      <c r="F194" s="50" t="str">
        <f>IFERROR(IF(VLOOKUP($B194,casostestes[#Data],4)=0,"-",VLOOKUP($B194,casostestes[#Data],4)),"-")</f>
        <v>-</v>
      </c>
      <c r="G194" s="50" t="str">
        <f>IFERROR(IF(VLOOKUP($B194,casostestes[#Data],5)=0,"-",VLOOKUP($B194,casostestes[#Data],5)),"-")</f>
        <v>-</v>
      </c>
      <c r="H194" s="50" t="str">
        <f>IFERROR(IF(VLOOKUP($B194,casostestes[#Data],6)=0,"-",VLOOKUP($B194,casostestes[#Data],6)),"-")</f>
        <v>-</v>
      </c>
      <c r="I194" s="50" t="str">
        <f>IFERROR(IF(VLOOKUP($B194,casostestes[#Data],8)=0,"-",VLOOKUP($B194,casostestes[#Data],8)),"-")</f>
        <v>-</v>
      </c>
      <c r="J194" s="50" t="str">
        <f>IFERROR(IF(VLOOKUP($B194,casostestes[#Data],9)=0,"-",VLOOKUP($B194,casostestes[#Data],9)),"-")</f>
        <v>-</v>
      </c>
      <c r="K194" s="112" t="str">
        <f>IFERROR(IF(VLOOKUP($B194,homologador01[#Data],12)=0,"Não executado",VLOOKUP($B194,homologador01[#Data],12)),"Não executado")</f>
        <v>Não executado</v>
      </c>
      <c r="L194" s="112" t="str">
        <f>IFERROR(IF(VLOOKUP($B194,homologador02[#Data],12)=0,"-",VLOOKUP($B194,homologador02[#Data],12)),"-")</f>
        <v>-</v>
      </c>
    </row>
    <row r="195" spans="2:12">
      <c r="B195" s="56" t="str">
        <f>IF(ISERR(casostestes[[#This Row],[ID]]),"-",casostestes[[#This Row],[ID]])</f>
        <v>-</v>
      </c>
      <c r="C195" s="49" t="str">
        <f>IFERROR(IF(VLOOKUP($B195,casostestes[#Data],10)=0,"Não",VLOOKUP($B195,casostestes[#Data],10)), "-")</f>
        <v>-</v>
      </c>
      <c r="D195" s="50" t="str">
        <f>IFERROR(IF(VLOOKUP($B195,casostestes[#Data],2)=0,"-",VLOOKUP($B195,casostestes[#Data],2)), "-")</f>
        <v>-</v>
      </c>
      <c r="E195" s="50" t="str">
        <f>IFERROR(IF(VLOOKUP($B195,casostestes[#Data],3)=0,"-",VLOOKUP($B195,casostestes[#Data],3)), "-")</f>
        <v>-</v>
      </c>
      <c r="F195" s="50" t="str">
        <f>IFERROR(IF(VLOOKUP($B195,casostestes[#Data],4)=0,"-",VLOOKUP($B195,casostestes[#Data],4)),"-")</f>
        <v>-</v>
      </c>
      <c r="G195" s="50" t="str">
        <f>IFERROR(IF(VLOOKUP($B195,casostestes[#Data],5)=0,"-",VLOOKUP($B195,casostestes[#Data],5)),"-")</f>
        <v>-</v>
      </c>
      <c r="H195" s="50" t="str">
        <f>IFERROR(IF(VLOOKUP($B195,casostestes[#Data],6)=0,"-",VLOOKUP($B195,casostestes[#Data],6)),"-")</f>
        <v>-</v>
      </c>
      <c r="I195" s="50" t="str">
        <f>IFERROR(IF(VLOOKUP($B195,casostestes[#Data],8)=0,"-",VLOOKUP($B195,casostestes[#Data],8)),"-")</f>
        <v>-</v>
      </c>
      <c r="J195" s="50" t="str">
        <f>IFERROR(IF(VLOOKUP($B195,casostestes[#Data],9)=0,"-",VLOOKUP($B195,casostestes[#Data],9)),"-")</f>
        <v>-</v>
      </c>
      <c r="K195" s="112" t="str">
        <f>IFERROR(IF(VLOOKUP($B195,homologador01[#Data],12)=0,"Não executado",VLOOKUP($B195,homologador01[#Data],12)),"Não executado")</f>
        <v>Não executado</v>
      </c>
      <c r="L195" s="112" t="str">
        <f>IFERROR(IF(VLOOKUP($B195,homologador02[#Data],12)=0,"-",VLOOKUP($B195,homologador02[#Data],12)),"-")</f>
        <v>-</v>
      </c>
    </row>
    <row r="196" spans="2:12">
      <c r="B196" s="56" t="str">
        <f>IF(ISERR(casostestes[[#This Row],[ID]]),"-",casostestes[[#This Row],[ID]])</f>
        <v>-</v>
      </c>
      <c r="C196" s="49" t="str">
        <f>IFERROR(IF(VLOOKUP($B196,casostestes[#Data],10)=0,"Não",VLOOKUP($B196,casostestes[#Data],10)), "-")</f>
        <v>-</v>
      </c>
      <c r="D196" s="50" t="str">
        <f>IFERROR(IF(VLOOKUP($B196,casostestes[#Data],2)=0,"-",VLOOKUP($B196,casostestes[#Data],2)), "-")</f>
        <v>-</v>
      </c>
      <c r="E196" s="50" t="str">
        <f>IFERROR(IF(VLOOKUP($B196,casostestes[#Data],3)=0,"-",VLOOKUP($B196,casostestes[#Data],3)), "-")</f>
        <v>-</v>
      </c>
      <c r="F196" s="50" t="str">
        <f>IFERROR(IF(VLOOKUP($B196,casostestes[#Data],4)=0,"-",VLOOKUP($B196,casostestes[#Data],4)),"-")</f>
        <v>-</v>
      </c>
      <c r="G196" s="50" t="str">
        <f>IFERROR(IF(VLOOKUP($B196,casostestes[#Data],5)=0,"-",VLOOKUP($B196,casostestes[#Data],5)),"-")</f>
        <v>-</v>
      </c>
      <c r="H196" s="50" t="str">
        <f>IFERROR(IF(VLOOKUP($B196,casostestes[#Data],6)=0,"-",VLOOKUP($B196,casostestes[#Data],6)),"-")</f>
        <v>-</v>
      </c>
      <c r="I196" s="50" t="str">
        <f>IFERROR(IF(VLOOKUP($B196,casostestes[#Data],8)=0,"-",VLOOKUP($B196,casostestes[#Data],8)),"-")</f>
        <v>-</v>
      </c>
      <c r="J196" s="50" t="str">
        <f>IFERROR(IF(VLOOKUP($B196,casostestes[#Data],9)=0,"-",VLOOKUP($B196,casostestes[#Data],9)),"-")</f>
        <v>-</v>
      </c>
      <c r="K196" s="112" t="str">
        <f>IFERROR(IF(VLOOKUP($B196,homologador01[#Data],12)=0,"Não executado",VLOOKUP($B196,homologador01[#Data],12)),"Não executado")</f>
        <v>Não executado</v>
      </c>
      <c r="L196" s="112" t="str">
        <f>IFERROR(IF(VLOOKUP($B196,homologador02[#Data],12)=0,"-",VLOOKUP($B196,homologador02[#Data],12)),"-")</f>
        <v>-</v>
      </c>
    </row>
    <row r="197" spans="2:12">
      <c r="B197" s="56" t="str">
        <f>IF(ISERR(casostestes[[#This Row],[ID]]),"-",casostestes[[#This Row],[ID]])</f>
        <v>-</v>
      </c>
      <c r="C197" s="49" t="str">
        <f>IFERROR(IF(VLOOKUP($B197,casostestes[#Data],10)=0,"Não",VLOOKUP($B197,casostestes[#Data],10)), "-")</f>
        <v>-</v>
      </c>
      <c r="D197" s="50" t="str">
        <f>IFERROR(IF(VLOOKUP($B197,casostestes[#Data],2)=0,"-",VLOOKUP($B197,casostestes[#Data],2)), "-")</f>
        <v>-</v>
      </c>
      <c r="E197" s="50" t="str">
        <f>IFERROR(IF(VLOOKUP($B197,casostestes[#Data],3)=0,"-",VLOOKUP($B197,casostestes[#Data],3)), "-")</f>
        <v>-</v>
      </c>
      <c r="F197" s="50" t="str">
        <f>IFERROR(IF(VLOOKUP($B197,casostestes[#Data],4)=0,"-",VLOOKUP($B197,casostestes[#Data],4)),"-")</f>
        <v>-</v>
      </c>
      <c r="G197" s="50" t="str">
        <f>IFERROR(IF(VLOOKUP($B197,casostestes[#Data],5)=0,"-",VLOOKUP($B197,casostestes[#Data],5)),"-")</f>
        <v>-</v>
      </c>
      <c r="H197" s="50" t="str">
        <f>IFERROR(IF(VLOOKUP($B197,casostestes[#Data],6)=0,"-",VLOOKUP($B197,casostestes[#Data],6)),"-")</f>
        <v>-</v>
      </c>
      <c r="I197" s="50" t="str">
        <f>IFERROR(IF(VLOOKUP($B197,casostestes[#Data],8)=0,"-",VLOOKUP($B197,casostestes[#Data],8)),"-")</f>
        <v>-</v>
      </c>
      <c r="J197" s="50" t="str">
        <f>IFERROR(IF(VLOOKUP($B197,casostestes[#Data],9)=0,"-",VLOOKUP($B197,casostestes[#Data],9)),"-")</f>
        <v>-</v>
      </c>
      <c r="K197" s="112" t="str">
        <f>IFERROR(IF(VLOOKUP($B197,homologador01[#Data],12)=0,"Não executado",VLOOKUP($B197,homologador01[#Data],12)),"Não executado")</f>
        <v>Não executado</v>
      </c>
      <c r="L197" s="112" t="str">
        <f>IFERROR(IF(VLOOKUP($B197,homologador02[#Data],12)=0,"-",VLOOKUP($B197,homologador02[#Data],12)),"-")</f>
        <v>-</v>
      </c>
    </row>
    <row r="198" spans="2:12">
      <c r="B198" s="56" t="str">
        <f>IF(ISERR(casostestes[[#This Row],[ID]]),"-",casostestes[[#This Row],[ID]])</f>
        <v>-</v>
      </c>
      <c r="C198" s="49" t="str">
        <f>IFERROR(IF(VLOOKUP($B198,casostestes[#Data],10)=0,"Não",VLOOKUP($B198,casostestes[#Data],10)), "-")</f>
        <v>-</v>
      </c>
      <c r="D198" s="50" t="str">
        <f>IFERROR(IF(VLOOKUP($B198,casostestes[#Data],2)=0,"-",VLOOKUP($B198,casostestes[#Data],2)), "-")</f>
        <v>-</v>
      </c>
      <c r="E198" s="50" t="str">
        <f>IFERROR(IF(VLOOKUP($B198,casostestes[#Data],3)=0,"-",VLOOKUP($B198,casostestes[#Data],3)), "-")</f>
        <v>-</v>
      </c>
      <c r="F198" s="50" t="str">
        <f>IFERROR(IF(VLOOKUP($B198,casostestes[#Data],4)=0,"-",VLOOKUP($B198,casostestes[#Data],4)),"-")</f>
        <v>-</v>
      </c>
      <c r="G198" s="50" t="str">
        <f>IFERROR(IF(VLOOKUP($B198,casostestes[#Data],5)=0,"-",VLOOKUP($B198,casostestes[#Data],5)),"-")</f>
        <v>-</v>
      </c>
      <c r="H198" s="50" t="str">
        <f>IFERROR(IF(VLOOKUP($B198,casostestes[#Data],6)=0,"-",VLOOKUP($B198,casostestes[#Data],6)),"-")</f>
        <v>-</v>
      </c>
      <c r="I198" s="50" t="str">
        <f>IFERROR(IF(VLOOKUP($B198,casostestes[#Data],8)=0,"-",VLOOKUP($B198,casostestes[#Data],8)),"-")</f>
        <v>-</v>
      </c>
      <c r="J198" s="50" t="str">
        <f>IFERROR(IF(VLOOKUP($B198,casostestes[#Data],9)=0,"-",VLOOKUP($B198,casostestes[#Data],9)),"-")</f>
        <v>-</v>
      </c>
      <c r="K198" s="112" t="str">
        <f>IFERROR(IF(VLOOKUP($B198,homologador01[#Data],12)=0,"Não executado",VLOOKUP($B198,homologador01[#Data],12)),"Não executado")</f>
        <v>Não executado</v>
      </c>
      <c r="L198" s="112" t="str">
        <f>IFERROR(IF(VLOOKUP($B198,homologador02[#Data],12)=0,"-",VLOOKUP($B198,homologador02[#Data],12)),"-")</f>
        <v>-</v>
      </c>
    </row>
    <row r="199" spans="2:12">
      <c r="B199" s="56" t="str">
        <f>IF(ISERR(casostestes[[#This Row],[ID]]),"-",casostestes[[#This Row],[ID]])</f>
        <v>-</v>
      </c>
      <c r="C199" s="49" t="str">
        <f>IFERROR(IF(VLOOKUP($B199,casostestes[#Data],10)=0,"Não",VLOOKUP($B199,casostestes[#Data],10)), "-")</f>
        <v>-</v>
      </c>
      <c r="D199" s="50" t="str">
        <f>IFERROR(IF(VLOOKUP($B199,casostestes[#Data],2)=0,"-",VLOOKUP($B199,casostestes[#Data],2)), "-")</f>
        <v>-</v>
      </c>
      <c r="E199" s="50" t="str">
        <f>IFERROR(IF(VLOOKUP($B199,casostestes[#Data],3)=0,"-",VLOOKUP($B199,casostestes[#Data],3)), "-")</f>
        <v>-</v>
      </c>
      <c r="F199" s="50" t="str">
        <f>IFERROR(IF(VLOOKUP($B199,casostestes[#Data],4)=0,"-",VLOOKUP($B199,casostestes[#Data],4)),"-")</f>
        <v>-</v>
      </c>
      <c r="G199" s="50" t="str">
        <f>IFERROR(IF(VLOOKUP($B199,casostestes[#Data],5)=0,"-",VLOOKUP($B199,casostestes[#Data],5)),"-")</f>
        <v>-</v>
      </c>
      <c r="H199" s="50" t="str">
        <f>IFERROR(IF(VLOOKUP($B199,casostestes[#Data],6)=0,"-",VLOOKUP($B199,casostestes[#Data],6)),"-")</f>
        <v>-</v>
      </c>
      <c r="I199" s="50" t="str">
        <f>IFERROR(IF(VLOOKUP($B199,casostestes[#Data],8)=0,"-",VLOOKUP($B199,casostestes[#Data],8)),"-")</f>
        <v>-</v>
      </c>
      <c r="J199" s="50" t="str">
        <f>IFERROR(IF(VLOOKUP($B199,casostestes[#Data],9)=0,"-",VLOOKUP($B199,casostestes[#Data],9)),"-")</f>
        <v>-</v>
      </c>
      <c r="K199" s="112" t="str">
        <f>IFERROR(IF(VLOOKUP($B199,homologador01[#Data],12)=0,"Não executado",VLOOKUP($B199,homologador01[#Data],12)),"Não executado")</f>
        <v>Não executado</v>
      </c>
      <c r="L199" s="112" t="str">
        <f>IFERROR(IF(VLOOKUP($B199,homologador02[#Data],12)=0,"-",VLOOKUP($B199,homologador02[#Data],12)),"-")</f>
        <v>-</v>
      </c>
    </row>
    <row r="200" spans="2:12">
      <c r="B200" s="56" t="str">
        <f>IF(ISERR(casostestes[[#This Row],[ID]]),"-",casostestes[[#This Row],[ID]])</f>
        <v>-</v>
      </c>
      <c r="C200" s="58" t="str">
        <f>IFERROR(IF(VLOOKUP($B200,casostestes[#Data],10)=0,"Não",VLOOKUP($B200,casostestes[#Data],10)), "-")</f>
        <v>-</v>
      </c>
      <c r="D200" s="59" t="str">
        <f>IFERROR(IF(VLOOKUP($B200,casostestes[#Data],2)=0,"-",VLOOKUP($B200,casostestes[#Data],2)), "-")</f>
        <v>-</v>
      </c>
      <c r="E200" s="59" t="str">
        <f>IFERROR(IF(VLOOKUP($B200,casostestes[#Data],3)=0,"-",VLOOKUP($B200,casostestes[#Data],3)), "-")</f>
        <v>-</v>
      </c>
      <c r="F200" s="59" t="str">
        <f>IFERROR(IF(VLOOKUP($B200,casostestes[#Data],4)=0,"-",VLOOKUP($B200,casostestes[#Data],4)),"-")</f>
        <v>-</v>
      </c>
      <c r="G200" s="59" t="str">
        <f>IFERROR(IF(VLOOKUP($B200,casostestes[#Data],5)=0,"-",VLOOKUP($B200,casostestes[#Data],5)),"-")</f>
        <v>-</v>
      </c>
      <c r="H200" s="59" t="str">
        <f>IFERROR(IF(VLOOKUP($B200,casostestes[#Data],6)=0,"-",VLOOKUP($B200,casostestes[#Data],6)),"-")</f>
        <v>-</v>
      </c>
      <c r="I200" s="59" t="str">
        <f>IFERROR(IF(VLOOKUP($B200,casostestes[#Data],8)=0,"-",VLOOKUP($B200,casostestes[#Data],8)),"-")</f>
        <v>-</v>
      </c>
      <c r="J200" s="59" t="str">
        <f>IFERROR(IF(VLOOKUP($B200,casostestes[#Data],9)=0,"-",VLOOKUP($B200,casostestes[#Data],9)),"-")</f>
        <v>-</v>
      </c>
      <c r="K200" s="113" t="str">
        <f>IFERROR(IF(VLOOKUP($B200,homologador01[#Data],12)=0,"Não executado",VLOOKUP($B200,homologador01[#Data],12)),"Não executado")</f>
        <v>Não executado</v>
      </c>
      <c r="L200" s="113" t="str">
        <f>IFERROR(IF(VLOOKUP($B200,homologador02[#Data],12)=0,"-",VLOOKUP($B200,homologador02[#Data],12)),"-")</f>
        <v>-</v>
      </c>
    </row>
  </sheetData>
  <mergeCells count="3">
    <mergeCell ref="B1:J1"/>
    <mergeCell ref="B2:J2"/>
    <mergeCell ref="B3:J3"/>
  </mergeCells>
  <conditionalFormatting sqref="C8:C200 C201:D1048576">
    <cfRule type="cellIs" dxfId="6" priority="12" operator="equal">
      <formula>"Sim"</formula>
    </cfRule>
    <cfRule type="cellIs" dxfId="5" priority="13" operator="equal">
      <formula>"Não"</formula>
    </cfRule>
  </conditionalFormatting>
  <conditionalFormatting sqref="K7:L200">
    <cfRule type="cellIs" dxfId="4" priority="6" operator="equal">
      <formula>"Aprovado"</formula>
    </cfRule>
    <cfRule type="cellIs" dxfId="3" priority="4" operator="equal">
      <formula>"Reprovado"</formula>
    </cfRule>
    <cfRule type="cellIs" dxfId="2" priority="3" operator="equal">
      <formula>"Disponível para reteste"</formula>
    </cfRule>
    <cfRule type="cellIs" dxfId="1" priority="2" operator="equal">
      <formula>"Sem massa"</formula>
    </cfRule>
    <cfRule type="cellIs" dxfId="0" priority="1" operator="equal">
      <formula>"Pendência Externa"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K8" activePane="bottomRight" state="frozen"/>
      <selection pane="topRight"/>
      <selection pane="bottomLeft"/>
      <selection pane="bottomRight" activeCell="M8" sqref="M8"/>
    </sheetView>
  </sheetViews>
  <sheetFormatPr defaultColWidth="9.140625" defaultRowHeight="15"/>
  <cols>
    <col min="1" max="1" width="2.7109375" style="19" customWidth="1"/>
    <col min="2" max="2" width="7.7109375" style="19" customWidth="1"/>
    <col min="3" max="3" width="15.42578125" style="19" customWidth="1"/>
    <col min="4" max="4" width="26" style="19" customWidth="1"/>
    <col min="5" max="5" width="57.42578125" style="19" customWidth="1"/>
    <col min="6" max="6" width="17.7109375" style="19" customWidth="1"/>
    <col min="7" max="7" width="24.42578125" style="19" customWidth="1"/>
    <col min="8" max="8" width="57.42578125" style="19" customWidth="1"/>
    <col min="9" max="9" width="16.7109375" style="19" customWidth="1"/>
    <col min="10" max="10" width="104.7109375" style="19" customWidth="1"/>
    <col min="11" max="11" width="18" style="19" customWidth="1"/>
    <col min="12" max="12" width="20.5703125" style="19" customWidth="1"/>
    <col min="13" max="13" width="21.85546875" style="19" customWidth="1"/>
    <col min="14" max="14" width="31.5703125" style="19" customWidth="1"/>
    <col min="15" max="15" width="24.85546875" style="19" customWidth="1"/>
    <col min="16" max="16" width="22.42578125" style="19" customWidth="1"/>
    <col min="17" max="16384" width="9.140625" style="19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32"/>
      <c r="L1" s="32"/>
    </row>
    <row r="2" spans="2:16" s="34" customFormat="1" ht="23.25">
      <c r="B2" s="105" t="s">
        <v>36</v>
      </c>
      <c r="C2" s="105"/>
      <c r="D2" s="105"/>
      <c r="E2" s="105"/>
      <c r="F2" s="105"/>
      <c r="G2" s="105"/>
      <c r="H2" s="105"/>
      <c r="I2" s="105"/>
      <c r="J2" s="105"/>
      <c r="K2" s="33"/>
      <c r="L2" s="33"/>
    </row>
    <row r="3" spans="2:16" s="34" customFormat="1" ht="23.25">
      <c r="B3" s="105" t="s">
        <v>37</v>
      </c>
      <c r="C3" s="105"/>
      <c r="D3" s="105"/>
      <c r="E3" s="105"/>
      <c r="F3" s="105"/>
      <c r="G3" s="105"/>
      <c r="H3" s="105"/>
      <c r="I3" s="105"/>
      <c r="J3" s="105"/>
      <c r="K3" s="33"/>
      <c r="L3" s="33"/>
    </row>
    <row r="5" spans="2:16">
      <c r="B5" s="3"/>
      <c r="E5" s="3"/>
    </row>
    <row r="7" spans="2:16" s="3" customFormat="1">
      <c r="B7" s="20" t="s">
        <v>3</v>
      </c>
      <c r="C7" s="21" t="s">
        <v>4</v>
      </c>
      <c r="D7" s="21" t="s">
        <v>39</v>
      </c>
      <c r="E7" s="22" t="s">
        <v>5</v>
      </c>
      <c r="F7" s="22" t="s">
        <v>6</v>
      </c>
      <c r="G7" s="22" t="s">
        <v>7</v>
      </c>
      <c r="H7" s="22" t="s">
        <v>8</v>
      </c>
      <c r="I7" s="22" t="s">
        <v>10</v>
      </c>
      <c r="J7" s="22" t="s">
        <v>11</v>
      </c>
      <c r="K7" s="22" t="s">
        <v>12</v>
      </c>
      <c r="L7" s="22" t="s">
        <v>9</v>
      </c>
      <c r="M7" s="22" t="s">
        <v>13</v>
      </c>
      <c r="N7" s="22" t="s">
        <v>14</v>
      </c>
      <c r="O7" s="22" t="s">
        <v>15</v>
      </c>
      <c r="P7" s="23" t="s">
        <v>16</v>
      </c>
    </row>
    <row r="8" spans="2:16" s="13" customFormat="1" ht="135">
      <c r="B8" s="49">
        <f>IF(ISERR(casostestes[[#This Row],[ID]]),"-",casostestes[[#This Row],[ID]])</f>
        <v>1</v>
      </c>
      <c r="C8" s="49" t="str">
        <f>IFERROR(IF(VLOOKUP($B8,casostestes[#Data],10)=0,"Não",VLOOKUP($B8,casostestes[#Data],10)), "-")</f>
        <v>Não</v>
      </c>
      <c r="D8" s="50" t="str">
        <f>IFERROR(IF(VLOOKUP($B8,casostestes[#Data],2)=0,"-",VLOOKUP($B8,casostestes[#Data],2)), "-")</f>
        <v>Requerimento Inicial de BI</v>
      </c>
      <c r="E8" s="50" t="str">
        <f>IFERROR(IF(VLOOKUP($B8,casostestes[#Data],3)=0,"-",VLOOKUP($B8,casostestes[#Data],3)), "-")</f>
        <v>Criar tarefa de BI inicial fluxo ATESTMEDQ para categoria "Segurado especial" onde o parâmetro "Exige Autodeclaração" no Catálogo está DESATIVADO
**Parâmetro PAT ligado: 144 - Fluxo ATESTMEDQ</v>
      </c>
      <c r="F8" s="50" t="str">
        <f>IFERROR(IF(VLOOKUP($B8,casostestes[#Data],4)=0,"-",VLOOKUP($B8,casostestes[#Data],4)),"-")</f>
        <v>PAT</v>
      </c>
      <c r="G8" s="50" t="str">
        <f>IFERROR(IF(VLOOKUP($B8,casostestes[#Data],5)=0,"-",VLOOKUP($B8,casostestes[#Data],5)),"-")</f>
        <v>SERVIDOR</v>
      </c>
      <c r="H8" s="50" t="str">
        <f>IFERROR(IF(VLOOKUP($B8,casostestes[#Data],6)=0,"-",VLOOKUP($B8,casostestes[#Data],6)),"-")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8" s="50" t="str">
        <f>IFERROR(IF(VLOOKUP($B8,casostestes[#Data],8)=0,"-",VLOOKUP($B8,casostestes[#Data],8)),"-")</f>
        <v>-</v>
      </c>
      <c r="J8" s="50" t="str">
        <f>IFERROR(IF(VLOOKUP($B8,casostestes[#Data],9)=0,"-",VLOOKUP($B8,casostestes[#Data],9)),"-")</f>
        <v>Tarefa de BI criada com situação Pendente.
Tarefa SEM Divergência de autodeclaração (116)
Status SIBE igual a AGUARDANDO ATESTADO 
Tarefa.Exige_autodeclaração = 0</v>
      </c>
      <c r="K8" s="51"/>
      <c r="L8" s="118"/>
      <c r="M8" s="53"/>
      <c r="N8" s="54"/>
      <c r="O8" s="54"/>
      <c r="P8" s="55"/>
    </row>
    <row r="9" spans="2:16" ht="150">
      <c r="B9" s="56">
        <f>IF(ISERR(casostestes[[#This Row],[ID]]),"-",casostestes[[#This Row],[ID]])</f>
        <v>2</v>
      </c>
      <c r="C9" s="58" t="str">
        <f>IFERROR(IF(VLOOKUP($B9,casostestes[#Data],10)=0,"Não",VLOOKUP($B9,casostestes[#Data],10)), "-")</f>
        <v>Não</v>
      </c>
      <c r="D9" s="59" t="str">
        <f>IFERROR(IF(VLOOKUP($B9,casostestes[#Data],2)=0,"-",VLOOKUP($B9,casostestes[#Data],2)), "-")</f>
        <v>Requerimento Inicial de BI</v>
      </c>
      <c r="E9" s="59" t="str">
        <f>IFERROR(IF(VLOOKUP($B9,casostestes[#Data],3)=0,"-",VLOOKUP($B9,casostestes[#Data],3)),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9" s="59" t="str">
        <f>IFERROR(IF(VLOOKUP($B9,casostestes[#Data],4)=0,"-",VLOOKUP($B9,casostestes[#Data],4)),"-")</f>
        <v>PAT</v>
      </c>
      <c r="G9" s="59" t="str">
        <f>IFERROR(IF(VLOOKUP($B9,casostestes[#Data],5)=0,"-",VLOOKUP($B9,casostestes[#Data],5)),"-")</f>
        <v>SERVIDOR</v>
      </c>
      <c r="H9" s="59" t="str">
        <f>IFERROR(IF(VLOOKUP($B9,casostestes[#Data],6)=0,"-",VLOOKUP($B9,casostestes[#Data],6)),"-")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9" s="59" t="str">
        <f>IFERROR(IF(VLOOKUP($B9,casostestes[#Data],8)=0,"-",VLOOKUP($B9,casostestes[#Data],8)),"-")</f>
        <v>-</v>
      </c>
      <c r="J9" s="59" t="str">
        <f>IFERROR(IF(VLOOKUP($B9,casostestes[#Data],9)=0,"-",VLOOKUP($B9,casostestes[#Data],9)),"-")</f>
        <v>Tarefa de BI criada com situação Pendente.
Tarefa SEM Divergência de autodeclaração (116)
Status SIBE igual a  AGUARDANDO PERÍCIA
Tarefa.Exige_autodeclaração = 0</v>
      </c>
      <c r="K9" s="60"/>
      <c r="L9" s="119"/>
      <c r="M9" s="61"/>
      <c r="N9" s="62"/>
      <c r="O9" s="62"/>
      <c r="P9" s="63"/>
    </row>
    <row r="10" spans="2:16" ht="120">
      <c r="B10" s="56">
        <f>IF(ISERR(casostestes[[#This Row],[ID]]),"-",casostestes[[#This Row],[ID]])</f>
        <v>3</v>
      </c>
      <c r="C10" s="49" t="str">
        <f>IFERROR(IF(VLOOKUP($B10,casostestes[#Data],10)=0,"Não",VLOOKUP($B10,casostestes[#Data],10)), "-")</f>
        <v>Não</v>
      </c>
      <c r="D10" s="50" t="str">
        <f>IFERROR(IF(VLOOKUP($B10,casostestes[#Data],2)=0,"-",VLOOKUP($B10,casostestes[#Data],2)), "-")</f>
        <v>Requerimento Inicial de BI</v>
      </c>
      <c r="E10" s="50" t="str">
        <f>IFERROR(IF(VLOOKUP($B10,casostestes[#Data],3)=0,"-",VLOOKUP($B10,casostestes[#Data],3)),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0" s="50" t="str">
        <f>IFERROR(IF(VLOOKUP($B10,casostestes[#Data],4)=0,"-",VLOOKUP($B10,casostestes[#Data],4)),"-")</f>
        <v>PAT</v>
      </c>
      <c r="G10" s="50" t="str">
        <f>IFERROR(IF(VLOOKUP($B10,casostestes[#Data],5)=0,"-",VLOOKUP($B10,casostestes[#Data],5)),"-")</f>
        <v>SERVIDOR</v>
      </c>
      <c r="H10" s="50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0" s="50" t="str">
        <f>IFERROR(IF(VLOOKUP($B10,casostestes[#Data],8)=0,"-",VLOOKUP($B10,casostestes[#Data],8)),"-")</f>
        <v>-</v>
      </c>
      <c r="J10" s="50" t="str">
        <f>IFERROR(IF(VLOOKUP($B10,casostestes[#Data],9)=0,"-",VLOOKUP($B10,casostestes[#Data],9)),"-")</f>
        <v>Tarefa de BI criada com situação Pendente.
Tarefa SEM Divergência de autodeclaração (116)
Status SIBE igual a AGUARDANDO ATESTADO 
Tarefa.Exige_autodeclaração = 0</v>
      </c>
      <c r="K10" s="51"/>
      <c r="L10" s="119"/>
      <c r="M10" s="53"/>
      <c r="N10" s="54"/>
      <c r="O10" s="54"/>
      <c r="P10" s="55"/>
    </row>
    <row r="11" spans="2:16" ht="120">
      <c r="B11" s="56">
        <f>IF(ISERR(casostestes[[#This Row],[ID]]),"-",casostestes[[#This Row],[ID]])</f>
        <v>4</v>
      </c>
      <c r="C11" s="49" t="str">
        <f>IFERROR(IF(VLOOKUP($B11,casostestes[#Data],10)=0,"Não",VLOOKUP($B11,casostestes[#Data],10)), "-")</f>
        <v>Não</v>
      </c>
      <c r="D11" s="50" t="str">
        <f>IFERROR(IF(VLOOKUP($B11,casostestes[#Data],2)=0,"-",VLOOKUP($B11,casostestes[#Data],2)), "-")</f>
        <v>Requerimento Inicial de BI</v>
      </c>
      <c r="E11" s="50" t="str">
        <f>IFERROR(IF(VLOOKUP($B11,casostestes[#Data],3)=0,"-",VLOOKUP($B11,casostestes[#Data],3)),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1" s="50" t="str">
        <f>IFERROR(IF(VLOOKUP($B11,casostestes[#Data],4)=0,"-",VLOOKUP($B11,casostestes[#Data],4)),"-")</f>
        <v>PAT</v>
      </c>
      <c r="G11" s="50" t="str">
        <f>IFERROR(IF(VLOOKUP($B11,casostestes[#Data],5)=0,"-",VLOOKUP($B11,casostestes[#Data],5)),"-")</f>
        <v>SERVIDOR</v>
      </c>
      <c r="H11" s="50" t="str">
        <f>IFERROR(IF(VLOOKUP($B11,casostestes[#Data],6)=0,"-",VLOOKUP($B11,casostestes[#Data],6)),"-")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1" s="50" t="str">
        <f>IFERROR(IF(VLOOKUP($B11,casostestes[#Data],8)=0,"-",VLOOKUP($B11,casostestes[#Data],8)),"-")</f>
        <v>-</v>
      </c>
      <c r="J11" s="50" t="str">
        <f>IFERROR(IF(VLOOKUP($B11,casostestes[#Data],9)=0,"-",VLOOKUP($B11,casostestes[#Data],9)),"-")</f>
        <v xml:space="preserve">
Tarefa de BI criada com situação Pendente.
Tarefa SEM Divergência de autodeclaração (116)
Status SIBE igual a AGUARDANDO ATESTADO 
Tarefa.Exige_autodeclaração = 0
</v>
      </c>
      <c r="K11" s="51"/>
      <c r="L11" s="119"/>
      <c r="M11" s="53"/>
      <c r="N11" s="54"/>
      <c r="O11" s="54"/>
      <c r="P11" s="55"/>
    </row>
    <row r="12" spans="2:16" ht="120">
      <c r="B12" s="56">
        <f>IF(ISERR(casostestes[[#This Row],[ID]]),"-",casostestes[[#This Row],[ID]])</f>
        <v>5</v>
      </c>
      <c r="C12" s="49" t="str">
        <f>IFERROR(IF(VLOOKUP($B12,casostestes[#Data],10)=0,"Não",VLOOKUP($B12,casostestes[#Data],10)), "-")</f>
        <v>Não</v>
      </c>
      <c r="D12" s="50" t="str">
        <f>IFERROR(IF(VLOOKUP($B12,casostestes[#Data],2)=0,"-",VLOOKUP($B12,casostestes[#Data],2)), "-")</f>
        <v>Requerimento Inicial de BI</v>
      </c>
      <c r="E12" s="50" t="str">
        <f>IFERROR(IF(VLOOKUP($B12,casostestes[#Data],3)=0,"-",VLOOKUP($B12,casostestes[#Data],3)),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2" s="50" t="str">
        <f>IFERROR(IF(VLOOKUP($B12,casostestes[#Data],4)=0,"-",VLOOKUP($B12,casostestes[#Data],4)),"-")</f>
        <v>PAT</v>
      </c>
      <c r="G12" s="50" t="str">
        <f>IFERROR(IF(VLOOKUP($B12,casostestes[#Data],5)=0,"-",VLOOKUP($B12,casostestes[#Data],5)),"-")</f>
        <v>SERVIDOR</v>
      </c>
      <c r="H12" s="50" t="str">
        <f>IFERROR(IF(VLOOKUP($B12,casostestes[#Data],6)=0,"-",VLOOKUP($B12,casostestes[#Data],6)),"-")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2" s="50" t="str">
        <f>IFERROR(IF(VLOOKUP($B12,casostestes[#Data],8)=0,"-",VLOOKUP($B12,casostestes[#Data],8)),"-")</f>
        <v>-</v>
      </c>
      <c r="J12" s="50" t="str">
        <f>IFERROR(IF(VLOOKUP($B12,casostestes[#Data],9)=0,"-",VLOOKUP($B12,casostestes[#Data],9)),"-")</f>
        <v>Tarefa de BI criada com situação Pendente.
Tarefa SEM Divergência de autodeclaração (116)
Status SIBE igual a  AGUARDANDO PERÍCIA
Tarefa.Exige_autodeclaração = 0</v>
      </c>
      <c r="K12" s="51"/>
      <c r="L12" s="119"/>
      <c r="M12" s="53"/>
      <c r="N12" s="54"/>
      <c r="O12" s="54"/>
      <c r="P12" s="55"/>
    </row>
    <row r="13" spans="2:16" ht="240">
      <c r="B13" s="56">
        <f>IF(ISERR(casostestes[[#This Row],[ID]]),"-",casostestes[[#This Row],[ID]])</f>
        <v>6</v>
      </c>
      <c r="C13" s="49" t="str">
        <f>IFERROR(IF(VLOOKUP($B13,casostestes[#Data],10)=0,"Não",VLOOKUP($B13,casostestes[#Data],10)), "-")</f>
        <v>Não</v>
      </c>
      <c r="D13" s="50" t="str">
        <f>IFERROR(IF(VLOOKUP($B13,casostestes[#Data],2)=0,"-",VLOOKUP($B13,casostestes[#Data],2)), "-")</f>
        <v>Requerimento Inicial de BI</v>
      </c>
      <c r="E13" s="50" t="str">
        <f>IFERROR(IF(VLOOKUP($B13,casostestes[#Data],3)=0,"-",VLOOKUP($B13,casostestes[#Data],3)),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3" s="50" t="str">
        <f>IFERROR(IF(VLOOKUP($B13,casostestes[#Data],4)=0,"-",VLOOKUP($B13,casostestes[#Data],4)),"-")</f>
        <v>PAT</v>
      </c>
      <c r="G13" s="50" t="str">
        <f>IFERROR(IF(VLOOKUP($B13,casostestes[#Data],5)=0,"-",VLOOKUP($B13,casostestes[#Data],5)),"-")</f>
        <v>SERVIDOR</v>
      </c>
      <c r="H13" s="50" t="str">
        <f>IFERROR(IF(VLOOKUP($B13,casostestes[#Data],6)=0,"-",VLOOKUP($B13,casostestes[#Data],6)),"-")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3" s="50" t="str">
        <f>IFERROR(IF(VLOOKUP($B13,casostestes[#Data],8)=0,"-",VLOOKUP($B13,casostestes[#Data],8)),"-")</f>
        <v>-</v>
      </c>
      <c r="J13" s="50" t="str">
        <f>IFERROR(IF(VLOOKUP($B13,casostestes[#Data],9)=0,"-",VLOOKUP($B13,casostestes[#Data],9)),"-")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3" s="51"/>
      <c r="L13" s="119"/>
      <c r="M13" s="53"/>
      <c r="N13" s="54"/>
      <c r="O13" s="54"/>
      <c r="P13" s="55"/>
    </row>
    <row r="14" spans="2:16" ht="210">
      <c r="B14" s="56">
        <f>IF(ISERR(casostestes[[#This Row],[ID]]),"-",casostestes[[#This Row],[ID]])</f>
        <v>7</v>
      </c>
      <c r="C14" s="49" t="str">
        <f>IFERROR(IF(VLOOKUP($B14,casostestes[#Data],10)=0,"Não",VLOOKUP($B14,casostestes[#Data],10)), "-")</f>
        <v>Não</v>
      </c>
      <c r="D14" s="50" t="str">
        <f>IFERROR(IF(VLOOKUP($B14,casostestes[#Data],2)=0,"-",VLOOKUP($B14,casostestes[#Data],2)), "-")</f>
        <v>Requerimento Inicial de BI</v>
      </c>
      <c r="E14" s="50" t="str">
        <f>IFERROR(IF(VLOOKUP($B14,casostestes[#Data],3)=0,"-",VLOOKUP($B14,casostestes[#Data],3)),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4" s="50" t="str">
        <f>IFERROR(IF(VLOOKUP($B14,casostestes[#Data],4)=0,"-",VLOOKUP($B14,casostestes[#Data],4)),"-")</f>
        <v>PAT</v>
      </c>
      <c r="G14" s="50" t="str">
        <f>IFERROR(IF(VLOOKUP($B14,casostestes[#Data],5)=0,"-",VLOOKUP($B14,casostestes[#Data],5)),"-")</f>
        <v>SERVIDOR</v>
      </c>
      <c r="H14" s="50" t="str">
        <f>IFERROR(IF(VLOOKUP($B14,casostestes[#Data],6)=0,"-",VLOOKUP($B14,casostestes[#Data],6)),"-")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4" s="50" t="str">
        <f>IFERROR(IF(VLOOKUP($B14,casostestes[#Data],8)=0,"-",VLOOKUP($B14,casostestes[#Data],8)),"-")</f>
        <v>-</v>
      </c>
      <c r="J14" s="50" t="str">
        <f>IFERROR(IF(VLOOKUP($B14,casostestes[#Data],9)=0,"-",VLOOKUP($B14,casostestes[#Data],9)),"-")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4" s="51"/>
      <c r="L14" s="119"/>
      <c r="M14" s="53"/>
      <c r="N14" s="54"/>
      <c r="O14" s="54"/>
      <c r="P14" s="55"/>
    </row>
    <row r="15" spans="2:16" ht="180">
      <c r="B15" s="56">
        <f>IF(ISERR(casostestes[[#This Row],[ID]]),"-",casostestes[[#This Row],[ID]])</f>
        <v>8</v>
      </c>
      <c r="C15" s="49" t="str">
        <f>IFERROR(IF(VLOOKUP($B15,casostestes[#Data],10)=0,"Não",VLOOKUP($B15,casostestes[#Data],10)), "-")</f>
        <v>Não</v>
      </c>
      <c r="D15" s="50" t="str">
        <f>IFERROR(IF(VLOOKUP($B15,casostestes[#Data],2)=0,"-",VLOOKUP($B15,casostestes[#Data],2)), "-")</f>
        <v>Requerimento Inicial de BI</v>
      </c>
      <c r="E15" s="50" t="str">
        <f>IFERROR(IF(VLOOKUP($B15,casostestes[#Data],3)=0,"-",VLOOKUP($B15,casostestes[#Data],3)),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15" s="50" t="str">
        <f>IFERROR(IF(VLOOKUP($B15,casostestes[#Data],4)=0,"-",VLOOKUP($B15,casostestes[#Data],4)),"-")</f>
        <v>PAT</v>
      </c>
      <c r="G15" s="50" t="str">
        <f>IFERROR(IF(VLOOKUP($B15,casostestes[#Data],5)=0,"-",VLOOKUP($B15,casostestes[#Data],5)),"-")</f>
        <v>SERVIDOR</v>
      </c>
      <c r="H15" s="50" t="str">
        <f>IFERROR(IF(VLOOKUP($B15,casostestes[#Data],6)=0,"-",VLOOKUP($B15,casostestes[#Data],6)),"-")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15" s="50" t="str">
        <f>IFERROR(IF(VLOOKUP($B15,casostestes[#Data],8)=0,"-",VLOOKUP($B15,casostestes[#Data],8)),"-")</f>
        <v>-</v>
      </c>
      <c r="J15" s="50" t="str">
        <f>IFERROR(IF(VLOOKUP($B15,casostestes[#Data],9)=0,"-",VLOOKUP($B15,casostestes[#Data],9)),"-")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15" s="51"/>
      <c r="L15" s="119"/>
      <c r="M15" s="53"/>
      <c r="N15" s="54"/>
      <c r="O15" s="54"/>
      <c r="P15" s="55"/>
    </row>
    <row r="16" spans="2:16" ht="90">
      <c r="B16" s="56">
        <f>IF(ISERR(casostestes[[#This Row],[ID]]),"-",casostestes[[#This Row],[ID]])</f>
        <v>9</v>
      </c>
      <c r="C16" s="49" t="str">
        <f>IFERROR(IF(VLOOKUP($B16,casostestes[#Data],10)=0,"Não",VLOOKUP($B16,casostestes[#Data],10)), "-")</f>
        <v>Não</v>
      </c>
      <c r="D16" s="50" t="str">
        <f>IFERROR(IF(VLOOKUP($B16,casostestes[#Data],2)=0,"-",VLOOKUP($B16,casostestes[#Data],2)), "-")</f>
        <v>-</v>
      </c>
      <c r="E16" s="50" t="str">
        <f>IFERROR(IF(VLOOKUP($B16,casostestes[#Data],3)=0,"-",VLOOKUP($B16,casostestes[#Data],3)), "-")</f>
        <v>Acionar Cumprimento de exigência de autodeclaração sem finalizar a autodeclaração</v>
      </c>
      <c r="F16" s="50" t="str">
        <f>IFERROR(IF(VLOOKUP($B16,casostestes[#Data],4)=0,"-",VLOOKUP($B16,casostestes[#Data],4)),"-")</f>
        <v>PAT</v>
      </c>
      <c r="G16" s="50" t="str">
        <f>IFERROR(IF(VLOOKUP($B16,casostestes[#Data],5)=0,"-",VLOOKUP($B16,casostestes[#Data],5)),"-")</f>
        <v>SERVIDOR</v>
      </c>
      <c r="H16" s="50" t="str">
        <f>IFERROR(IF(VLOOKUP($B16,casostestes[#Data],6)=0,"-",VLOOKUP($B16,casostestes[#Data],6)),"-")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16" s="50" t="str">
        <f>IFERROR(IF(VLOOKUP($B16,casostestes[#Data],8)=0,"-",VLOOKUP($B16,casostestes[#Data],8)),"-")</f>
        <v>-</v>
      </c>
      <c r="J16" s="50" t="str">
        <f>IFERROR(IF(VLOOKUP($B16,casostestes[#Data],9)=0,"-",VLOOKUP($B16,casostestes[#Data],9)),"-")</f>
        <v xml:space="preserve">Tarefa de BI com situação Exigência
Divergência de autodeclaraçãonão (116) presente na tarefa
</v>
      </c>
      <c r="K16" s="51"/>
      <c r="L16" s="119"/>
      <c r="M16" s="53"/>
      <c r="N16" s="54"/>
      <c r="O16" s="54"/>
      <c r="P16" s="55"/>
    </row>
    <row r="17" spans="2:16" ht="225">
      <c r="B17" s="56">
        <f>IF(ISERR(casostestes[[#This Row],[ID]]),"-",casostestes[[#This Row],[ID]])</f>
        <v>10</v>
      </c>
      <c r="C17" s="49" t="str">
        <f>IFERROR(IF(VLOOKUP($B17,casostestes[#Data],10)=0,"Não",VLOOKUP($B17,casostestes[#Data],10)), "-")</f>
        <v>Não</v>
      </c>
      <c r="D17" s="50" t="str">
        <f>IFERROR(IF(VLOOKUP($B17,casostestes[#Data],2)=0,"-",VLOOKUP($B17,casostestes[#Data],2)), "-")</f>
        <v>-</v>
      </c>
      <c r="E17" s="50" t="str">
        <f>IFERROR(IF(VLOOKUP($B17,casostestes[#Data],3)=0,"-",VLOOKUP($B17,casostestes[#Data],3)), "-")</f>
        <v>Cumprir a exigência de autodeclaração</v>
      </c>
      <c r="F17" s="50" t="str">
        <f>IFERROR(IF(VLOOKUP($B17,casostestes[#Data],4)=0,"-",VLOOKUP($B17,casostestes[#Data],4)),"-")</f>
        <v>PAT</v>
      </c>
      <c r="G17" s="50" t="str">
        <f>IFERROR(IF(VLOOKUP($B17,casostestes[#Data],5)=0,"-",VLOOKUP($B17,casostestes[#Data],5)),"-")</f>
        <v>SERVIDOR</v>
      </c>
      <c r="H17" s="50" t="str">
        <f>IFERROR(IF(VLOOKUP($B17,casostestes[#Data],6)=0,"-",VLOOKUP($B17,casostestes[#Data],6)),"-")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7" s="50" t="str">
        <f>IFERROR(IF(VLOOKUP($B17,casostestes[#Data],8)=0,"-",VLOOKUP($B17,casostestes[#Data],8)),"-")</f>
        <v>-</v>
      </c>
      <c r="J17" s="50" t="str">
        <f>IFERROR(IF(VLOOKUP($B17,casostestes[#Data],9)=0,"-",VLOOKUP($B17,casostestes[#Data],9)),"-")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7" s="51"/>
      <c r="L17" s="119"/>
      <c r="M17" s="53"/>
      <c r="N17" s="54"/>
      <c r="O17" s="54"/>
      <c r="P17" s="55"/>
    </row>
    <row r="18" spans="2:16" ht="165">
      <c r="B18" s="56">
        <f>IF(ISERR(casostestes[[#This Row],[ID]]),"-",casostestes[[#This Row],[ID]])</f>
        <v>11</v>
      </c>
      <c r="C18" s="49" t="str">
        <f>IFERROR(IF(VLOOKUP($B18,casostestes[#Data],10)=0,"Não",VLOOKUP($B18,casostestes[#Data],10)), "-")</f>
        <v>Não</v>
      </c>
      <c r="D18" s="50" t="str">
        <f>IFERROR(IF(VLOOKUP($B18,casostestes[#Data],2)=0,"-",VLOOKUP($B18,casostestes[#Data],2)), "-")</f>
        <v>-</v>
      </c>
      <c r="E18" s="50" t="str">
        <f>IFERROR(IF(VLOOKUP($B18,casostestes[#Data],3)=0,"-",VLOOKUP($B18,casostestes[#Data],3)), "-")</f>
        <v>Responder o formulário de autodeclaração acessando diretamente a aba segurado especial ao detalhar a tarefa, onde a tarefa encontra-se em exigência de autodeclaração</v>
      </c>
      <c r="F18" s="50" t="str">
        <f>IFERROR(IF(VLOOKUP($B18,casostestes[#Data],4)=0,"-",VLOOKUP($B18,casostestes[#Data],4)),"-")</f>
        <v>PAT</v>
      </c>
      <c r="G18" s="50" t="str">
        <f>IFERROR(IF(VLOOKUP($B18,casostestes[#Data],5)=0,"-",VLOOKUP($B18,casostestes[#Data],5)),"-")</f>
        <v>SERVIDOR</v>
      </c>
      <c r="H18" s="50" t="str">
        <f>IFERROR(IF(VLOOKUP($B18,casostestes[#Data],6)=0,"-",VLOOKUP($B18,casostestes[#Data],6)),"-")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8" s="50" t="str">
        <f>IFERROR(IF(VLOOKUP($B18,casostestes[#Data],8)=0,"-",VLOOKUP($B18,casostestes[#Data],8)),"-")</f>
        <v>-</v>
      </c>
      <c r="J18" s="50" t="str">
        <f>IFERROR(IF(VLOOKUP($B18,casostestes[#Data],9)=0,"-",VLOOKUP($B18,casostestes[#Data],9)),"-")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8" s="51"/>
      <c r="L18" s="119"/>
      <c r="M18" s="53"/>
      <c r="N18" s="54"/>
      <c r="O18" s="54"/>
      <c r="P18" s="55"/>
    </row>
    <row r="19" spans="2:16" ht="105">
      <c r="B19" s="56">
        <f>IF(ISERR(casostestes[[#This Row],[ID]]),"-",casostestes[[#This Row],[ID]])</f>
        <v>12</v>
      </c>
      <c r="C19" s="49" t="str">
        <f>IFERROR(IF(VLOOKUP($B19,casostestes[#Data],10)=0,"Não",VLOOKUP($B19,casostestes[#Data],10)), "-")</f>
        <v>Não</v>
      </c>
      <c r="D19" s="50" t="str">
        <f>IFERROR(IF(VLOOKUP($B19,casostestes[#Data],2)=0,"-",VLOOKUP($B19,casostestes[#Data],2)), "-")</f>
        <v>-</v>
      </c>
      <c r="E19" s="50" t="str">
        <f>IFERROR(IF(VLOOKUP($B19,casostestes[#Data],3)=0,"-",VLOOKUP($B19,casostestes[#Data],3)), "-")</f>
        <v>Responder o formulário de autodeclaração acessando diretamente a aba segurado especial ao detalhar a tarefa, onde a tarefa encontra-se em exigência de documento médico</v>
      </c>
      <c r="F19" s="50" t="str">
        <f>IFERROR(IF(VLOOKUP($B19,casostestes[#Data],4)=0,"-",VLOOKUP($B19,casostestes[#Data],4)),"-")</f>
        <v>PAT</v>
      </c>
      <c r="G19" s="50" t="str">
        <f>IFERROR(IF(VLOOKUP($B19,casostestes[#Data],5)=0,"-",VLOOKUP($B19,casostestes[#Data],5)),"-")</f>
        <v>SERVIDOR</v>
      </c>
      <c r="H19" s="50" t="str">
        <f>IFERROR(IF(VLOOKUP($B19,casostestes[#Data],6)=0,"-",VLOOKUP($B19,casostestes[#Data],6)),"-")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9" s="50" t="str">
        <f>IFERROR(IF(VLOOKUP($B19,casostestes[#Data],8)=0,"-",VLOOKUP($B19,casostestes[#Data],8)),"-")</f>
        <v>-</v>
      </c>
      <c r="J19" s="50" t="str">
        <f>IFERROR(IF(VLOOKUP($B19,casostestes[#Data],9)=0,"-",VLOOKUP($B19,casostestes[#Data],9)),"-")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9" s="51"/>
      <c r="L19" s="119"/>
      <c r="M19" s="53"/>
      <c r="N19" s="54"/>
      <c r="O19" s="54"/>
      <c r="P19" s="55"/>
    </row>
    <row r="20" spans="2:16" ht="240">
      <c r="B20" s="56">
        <f>IF(ISERR(casostestes[[#This Row],[ID]]),"-",casostestes[[#This Row],[ID]])</f>
        <v>13</v>
      </c>
      <c r="C20" s="49" t="str">
        <f>IFERROR(IF(VLOOKUP($B20,casostestes[#Data],10)=0,"Não",VLOOKUP($B20,casostestes[#Data],10)), "-")</f>
        <v>Não</v>
      </c>
      <c r="D20" s="50" t="str">
        <f>IFERROR(IF(VLOOKUP($B20,casostestes[#Data],2)=0,"-",VLOOKUP($B20,casostestes[#Data],2)), "-")</f>
        <v>Requerimento Inicial de BI</v>
      </c>
      <c r="E20" s="50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0" s="50" t="str">
        <f>IFERROR(IF(VLOOKUP($B20,casostestes[#Data],4)=0,"-",VLOOKUP($B20,casostestes[#Data],4)),"-")</f>
        <v>PAT</v>
      </c>
      <c r="G20" s="50" t="str">
        <f>IFERROR(IF(VLOOKUP($B20,casostestes[#Data],5)=0,"-",VLOOKUP($B20,casostestes[#Data],5)),"-")</f>
        <v>SERVIDOR</v>
      </c>
      <c r="H20" s="50" t="str">
        <f>IFERROR(IF(VLOOKUP($B20,casostestes[#Data],6)=0,"-",VLOOKUP($B20,casostestes[#Data],6)),"-")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0" s="50" t="str">
        <f>IFERROR(IF(VLOOKUP($B20,casostestes[#Data],8)=0,"-",VLOOKUP($B20,casostestes[#Data],8)),"-")</f>
        <v>-</v>
      </c>
      <c r="J20" s="50" t="str">
        <f>IFERROR(IF(VLOOKUP($B20,casostestes[#Data],9)=0,"-",VLOOKUP($B20,casostestes[#Data],9)),"-")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0" s="51"/>
      <c r="L20" s="119"/>
      <c r="M20" s="53"/>
      <c r="N20" s="54"/>
      <c r="O20" s="54"/>
      <c r="P20" s="55"/>
    </row>
    <row r="21" spans="2:16" ht="240">
      <c r="B21" s="56">
        <f>IF(ISERR(casostestes[[#This Row],[ID]]),"-",casostestes[[#This Row],[ID]])</f>
        <v>14</v>
      </c>
      <c r="C21" s="49" t="str">
        <f>IFERROR(IF(VLOOKUP($B21,casostestes[#Data],10)=0,"Não",VLOOKUP($B21,casostestes[#Data],10)), "-")</f>
        <v>Não</v>
      </c>
      <c r="D21" s="50" t="str">
        <f>IFERROR(IF(VLOOKUP($B21,casostestes[#Data],2)=0,"-",VLOOKUP($B21,casostestes[#Data],2)), "-")</f>
        <v>Requerimento Inicial de BI</v>
      </c>
      <c r="E21" s="50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1" s="50" t="str">
        <f>IFERROR(IF(VLOOKUP($B21,casostestes[#Data],4)=0,"-",VLOOKUP($B21,casostestes[#Data],4)),"-")</f>
        <v>PAT</v>
      </c>
      <c r="G21" s="50" t="str">
        <f>IFERROR(IF(VLOOKUP($B21,casostestes[#Data],5)=0,"-",VLOOKUP($B21,casostestes[#Data],5)),"-")</f>
        <v>SERVIDOR</v>
      </c>
      <c r="H21" s="50" t="str">
        <f>IFERROR(IF(VLOOKUP($B21,casostestes[#Data],6)=0,"-",VLOOKUP($B21,casostestes[#Data],6)),"-")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1" s="50" t="str">
        <f>IFERROR(IF(VLOOKUP($B21,casostestes[#Data],8)=0,"-",VLOOKUP($B21,casostestes[#Data],8)),"-")</f>
        <v>-</v>
      </c>
      <c r="J21" s="50" t="str">
        <f>IFERROR(IF(VLOOKUP($B21,casostestes[#Data],9)=0,"-",VLOOKUP($B21,casostestes[#Data],9)),"-")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1" s="51"/>
      <c r="L21" s="119"/>
      <c r="M21" s="53"/>
      <c r="N21" s="54"/>
      <c r="O21" s="54"/>
      <c r="P21" s="55"/>
    </row>
    <row r="22" spans="2:16" ht="315">
      <c r="B22" s="56">
        <f>IF(ISERR(casostestes[[#This Row],[ID]]),"-",casostestes[[#This Row],[ID]])</f>
        <v>15</v>
      </c>
      <c r="C22" s="49" t="str">
        <f>IFERROR(IF(VLOOKUP($B22,casostestes[#Data],10)=0,"Não",VLOOKUP($B22,casostestes[#Data],10)), "-")</f>
        <v>Não</v>
      </c>
      <c r="D22" s="50" t="str">
        <f>IFERROR(IF(VLOOKUP($B22,casostestes[#Data],2)=0,"-",VLOOKUP($B22,casostestes[#Data],2)), "-")</f>
        <v>Requerimento Inicial de BI</v>
      </c>
      <c r="E22" s="50" t="str">
        <f>IFERROR(IF(VLOOKUP($B22,casostestes[#Data],3)=0,"-",VLOOKUP($B22,casostestes[#Data],3)),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2" s="50" t="str">
        <f>IFERROR(IF(VLOOKUP($B22,casostestes[#Data],4)=0,"-",VLOOKUP($B22,casostestes[#Data],4)),"-")</f>
        <v>PAT</v>
      </c>
      <c r="G22" s="50" t="str">
        <f>IFERROR(IF(VLOOKUP($B22,casostestes[#Data],5)=0,"-",VLOOKUP($B22,casostestes[#Data],5)),"-")</f>
        <v>SERVIDOR</v>
      </c>
      <c r="H22" s="50" t="str">
        <f>IFERROR(IF(VLOOKUP($B22,casostestes[#Data],6)=0,"-",VLOOKUP($B22,casostestes[#Data],6)),"-")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2" s="50" t="str">
        <f>IFERROR(IF(VLOOKUP($B22,casostestes[#Data],8)=0,"-",VLOOKUP($B22,casostestes[#Data],8)),"-")</f>
        <v>-</v>
      </c>
      <c r="J22" s="50" t="str">
        <f>IFERROR(IF(VLOOKUP($B22,casostestes[#Data],9)=0,"-",VLOOKUP($B22,casostestes[#Data],9)),"-")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2" s="51"/>
      <c r="L22" s="119"/>
      <c r="M22" s="53"/>
      <c r="N22" s="54"/>
      <c r="O22" s="54"/>
      <c r="P22" s="55"/>
    </row>
    <row r="23" spans="2:16" ht="300">
      <c r="B23" s="56">
        <f>IF(ISERR(casostestes[[#This Row],[ID]]),"-",casostestes[[#This Row],[ID]])</f>
        <v>16</v>
      </c>
      <c r="C23" s="49" t="str">
        <f>IFERROR(IF(VLOOKUP($B23,casostestes[#Data],10)=0,"Não",VLOOKUP($B23,casostestes[#Data],10)), "-")</f>
        <v>Não</v>
      </c>
      <c r="D23" s="50" t="str">
        <f>IFERROR(IF(VLOOKUP($B23,casostestes[#Data],2)=0,"-",VLOOKUP($B23,casostestes[#Data],2)), "-")</f>
        <v>Requerimento Inicial de BI</v>
      </c>
      <c r="E23" s="50" t="str">
        <f>IFERROR(IF(VLOOKUP($B23,casostestes[#Data],3)=0,"-",VLOOKUP($B23,casostestes[#Data],3)),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3" s="50" t="str">
        <f>IFERROR(IF(VLOOKUP($B23,casostestes[#Data],4)=0,"-",VLOOKUP($B23,casostestes[#Data],4)),"-")</f>
        <v>PAT</v>
      </c>
      <c r="G23" s="50" t="str">
        <f>IFERROR(IF(VLOOKUP($B23,casostestes[#Data],5)=0,"-",VLOOKUP($B23,casostestes[#Data],5)),"-")</f>
        <v>SERVIDOR</v>
      </c>
      <c r="H23" s="50" t="str">
        <f>IFERROR(IF(VLOOKUP($B23,casostestes[#Data],6)=0,"-",VLOOKUP($B23,casostestes[#Data],6)),"-")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3" s="50" t="str">
        <f>IFERROR(IF(VLOOKUP($B23,casostestes[#Data],8)=0,"-",VLOOKUP($B23,casostestes[#Data],8)),"-")</f>
        <v>-</v>
      </c>
      <c r="J23" s="50" t="str">
        <f>IFERROR(IF(VLOOKUP($B23,casostestes[#Data],9)=0,"-",VLOOKUP($B23,casostestes[#Data],9)),"-")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3" s="51"/>
      <c r="L23" s="119"/>
      <c r="M23" s="53"/>
      <c r="N23" s="54"/>
      <c r="O23" s="54"/>
      <c r="P23" s="55"/>
    </row>
    <row r="24" spans="2:16" ht="210">
      <c r="B24" s="56">
        <f>IF(ISERR(casostestes[[#This Row],[ID]]),"-",casostestes[[#This Row],[ID]])</f>
        <v>17</v>
      </c>
      <c r="C24" s="49" t="str">
        <f>IFERROR(IF(VLOOKUP($B24,casostestes[#Data],10)=0,"Não",VLOOKUP($B24,casostestes[#Data],10)), "-")</f>
        <v>Não</v>
      </c>
      <c r="D24" s="50" t="str">
        <f>IFERROR(IF(VLOOKUP($B24,casostestes[#Data],2)=0,"-",VLOOKUP($B24,casostestes[#Data],2)), "-")</f>
        <v>Requerimento Inicial de BI</v>
      </c>
      <c r="E24" s="50" t="str">
        <f>IFERROR(IF(VLOOKUP($B24,casostestes[#Data],3)=0,"-",VLOOKUP($B24,casostestes[#Data],3)),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4" s="50" t="str">
        <f>IFERROR(IF(VLOOKUP($B24,casostestes[#Data],4)=0,"-",VLOOKUP($B24,casostestes[#Data],4)),"-")</f>
        <v>PAT</v>
      </c>
      <c r="G24" s="50" t="str">
        <f>IFERROR(IF(VLOOKUP($B24,casostestes[#Data],5)=0,"-",VLOOKUP($B24,casostestes[#Data],5)),"-")</f>
        <v>ATENDENTE_CENTRAL_135</v>
      </c>
      <c r="H24" s="50" t="str">
        <f>IFERROR(IF(VLOOKUP($B24,casostestes[#Data],6)=0,"-",VLOOKUP($B24,casostestes[#Data],6)),"-")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24" s="50" t="str">
        <f>IFERROR(IF(VLOOKUP($B24,casostestes[#Data],8)=0,"-",VLOOKUP($B24,casostestes[#Data],8)),"-")</f>
        <v>-</v>
      </c>
      <c r="J24" s="50" t="str">
        <f>IFERROR(IF(VLOOKUP($B24,casostestes[#Data],9)=0,"-",VLOOKUP($B24,casostestes[#Data],9)),"-")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24" s="51"/>
      <c r="L24" s="119"/>
      <c r="M24" s="53"/>
      <c r="N24" s="54"/>
      <c r="O24" s="54"/>
      <c r="P24" s="55"/>
    </row>
    <row r="25" spans="2:16" ht="105">
      <c r="B25" s="56">
        <f>IF(ISERR(casostestes[[#This Row],[ID]]),"-",casostestes[[#This Row],[ID]])</f>
        <v>18</v>
      </c>
      <c r="C25" s="49" t="str">
        <f>IFERROR(IF(VLOOKUP($B25,casostestes[#Data],10)=0,"Não",VLOOKUP($B25,casostestes[#Data],10)), "-")</f>
        <v>Não</v>
      </c>
      <c r="D25" s="50" t="str">
        <f>IFERROR(IF(VLOOKUP($B25,casostestes[#Data],2)=0,"-",VLOOKUP($B25,casostestes[#Data],2)), "-")</f>
        <v>Requerimento Inicial de BI</v>
      </c>
      <c r="E25" s="50" t="str">
        <f>IFERROR(IF(VLOOKUP($B25,casostestes[#Data],3)=0,"-",VLOOKUP($B25,casostestes[#Data],3)),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25" s="50" t="str">
        <f>IFERROR(IF(VLOOKUP($B25,casostestes[#Data],4)=0,"-",VLOOKUP($B25,casostestes[#Data],4)),"-")</f>
        <v>PAT</v>
      </c>
      <c r="G25" s="50" t="str">
        <f>IFERROR(IF(VLOOKUP($B25,casostestes[#Data],5)=0,"-",VLOOKUP($B25,casostestes[#Data],5)),"-")</f>
        <v>ENTIDADE_CONVENIADA</v>
      </c>
      <c r="H25" s="50" t="str">
        <f>IFERROR(IF(VLOOKUP($B25,casostestes[#Data],6)=0,"-",VLOOKUP($B25,casostestes[#Data],6)),"-")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25" s="50" t="str">
        <f>IFERROR(IF(VLOOKUP($B25,casostestes[#Data],8)=0,"-",VLOOKUP($B25,casostestes[#Data],8)),"-")</f>
        <v>-</v>
      </c>
      <c r="J25" s="50" t="str">
        <f>IFERROR(IF(VLOOKUP($B25,casostestes[#Data],9)=0,"-",VLOOKUP($B25,casostestes[#Data],9)),"-")</f>
        <v>Tarefa de BI criada com situação Pendente.
Tarefa SEM Divergência de autodeclaração (116)
Status SIBE igual a AGUARDANDO ATESTADO 
DPT: Tarefa.Exige_autodeclaração = 0</v>
      </c>
      <c r="K25" s="51"/>
      <c r="L25" s="119"/>
      <c r="M25" s="53"/>
      <c r="N25" s="54"/>
      <c r="O25" s="54"/>
      <c r="P25" s="55"/>
    </row>
    <row r="26" spans="2:16" ht="120">
      <c r="B26" s="56">
        <f>IF(ISERR(casostestes[[#This Row],[ID]]),"-",casostestes[[#This Row],[ID]])</f>
        <v>19</v>
      </c>
      <c r="C26" s="49" t="str">
        <f>IFERROR(IF(VLOOKUP($B26,casostestes[#Data],10)=0,"Não",VLOOKUP($B26,casostestes[#Data],10)), "-")</f>
        <v>Não</v>
      </c>
      <c r="D26" s="50" t="str">
        <f>IFERROR(IF(VLOOKUP($B26,casostestes[#Data],2)=0,"-",VLOOKUP($B26,casostestes[#Data],2)), "-")</f>
        <v>Requerimento Inicial de BI</v>
      </c>
      <c r="E26" s="50" t="str">
        <f>IFERROR(IF(VLOOKUP($B26,casostestes[#Data],3)=0,"-",VLOOKUP($B26,casostestes[#Data],3)),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6" s="50" t="str">
        <f>IFERROR(IF(VLOOKUP($B26,casostestes[#Data],4)=0,"-",VLOOKUP($B26,casostestes[#Data],4)),"-")</f>
        <v>PAT</v>
      </c>
      <c r="G26" s="50" t="str">
        <f>IFERROR(IF(VLOOKUP($B26,casostestes[#Data],5)=0,"-",VLOOKUP($B26,casostestes[#Data],5)),"-")</f>
        <v>ENTIDADE_CONVENIADA</v>
      </c>
      <c r="H26" s="50" t="str">
        <f>IFERROR(IF(VLOOKUP($B26,casostestes[#Data],6)=0,"-",VLOOKUP($B26,casostestes[#Data],6)),"-")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26" s="50" t="str">
        <f>IFERROR(IF(VLOOKUP($B26,casostestes[#Data],8)=0,"-",VLOOKUP($B26,casostestes[#Data],8)),"-")</f>
        <v>-</v>
      </c>
      <c r="J26" s="50" t="str">
        <f>IFERROR(IF(VLOOKUP($B26,casostestes[#Data],9)=0,"-",VLOOKUP($B26,casostestes[#Data],9)),"-")</f>
        <v>Tarefa de BI criada com situação Pendente.
Tarefa SEM Divergência de autodeclaração (116)
Status SIBE igual a  AGUARDANDO PERÍCIA
DPT: Tarefa.Exige_autodeclaração = 0</v>
      </c>
      <c r="K26" s="51"/>
      <c r="L26" s="119"/>
      <c r="M26" s="53"/>
      <c r="N26" s="54"/>
      <c r="O26" s="54"/>
      <c r="P26" s="55"/>
    </row>
    <row r="27" spans="2:16" ht="240">
      <c r="B27" s="56">
        <f>IF(ISERR(casostestes[[#This Row],[ID]]),"-",casostestes[[#This Row],[ID]])</f>
        <v>20</v>
      </c>
      <c r="C27" s="49" t="str">
        <f>IFERROR(IF(VLOOKUP($B27,casostestes[#Data],10)=0,"Não",VLOOKUP($B27,casostestes[#Data],10)), "-")</f>
        <v>Não</v>
      </c>
      <c r="D27" s="50" t="str">
        <f>IFERROR(IF(VLOOKUP($B27,casostestes[#Data],2)=0,"-",VLOOKUP($B27,casostestes[#Data],2)), "-")</f>
        <v>Requerimento Inicial de BI</v>
      </c>
      <c r="E27" s="50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27" s="50" t="str">
        <f>IFERROR(IF(VLOOKUP($B27,casostestes[#Data],4)=0,"-",VLOOKUP($B27,casostestes[#Data],4)),"-")</f>
        <v>PAT</v>
      </c>
      <c r="G27" s="50" t="str">
        <f>IFERROR(IF(VLOOKUP($B27,casostestes[#Data],5)=0,"-",VLOOKUP($B27,casostestes[#Data],5)),"-")</f>
        <v>ENTIDADE_CONVENIADA</v>
      </c>
      <c r="H27" s="50" t="str">
        <f>IFERROR(IF(VLOOKUP($B27,casostestes[#Data],6)=0,"-",VLOOKUP($B27,casostestes[#Data],6)),"-")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27" s="50" t="str">
        <f>IFERROR(IF(VLOOKUP($B27,casostestes[#Data],8)=0,"-",VLOOKUP($B27,casostestes[#Data],8)),"-")</f>
        <v>-</v>
      </c>
      <c r="J27" s="50" t="str">
        <f>IFERROR(IF(VLOOKUP($B27,casostestes[#Data],9)=0,"-",VLOOKUP($B27,casostestes[#Data],9)),"-")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7" s="51"/>
      <c r="L27" s="119"/>
      <c r="M27" s="53"/>
      <c r="N27" s="54"/>
      <c r="O27" s="54"/>
      <c r="P27" s="55"/>
    </row>
    <row r="28" spans="2:16" ht="240">
      <c r="B28" s="56">
        <f>IF(ISERR(casostestes[[#This Row],[ID]]),"-",casostestes[[#This Row],[ID]])</f>
        <v>21</v>
      </c>
      <c r="C28" s="49" t="str">
        <f>IFERROR(IF(VLOOKUP($B28,casostestes[#Data],10)=0,"Não",VLOOKUP($B28,casostestes[#Data],10)), "-")</f>
        <v>Não</v>
      </c>
      <c r="D28" s="50" t="str">
        <f>IFERROR(IF(VLOOKUP($B28,casostestes[#Data],2)=0,"-",VLOOKUP($B28,casostestes[#Data],2)), "-")</f>
        <v>Requerimento Inicial de BI</v>
      </c>
      <c r="E28" s="50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8" s="50" t="str">
        <f>IFERROR(IF(VLOOKUP($B28,casostestes[#Data],4)=0,"-",VLOOKUP($B28,casostestes[#Data],4)),"-")</f>
        <v>PAT</v>
      </c>
      <c r="G28" s="50" t="str">
        <f>IFERROR(IF(VLOOKUP($B28,casostestes[#Data],5)=0,"-",VLOOKUP($B28,casostestes[#Data],5)),"-")</f>
        <v>ENTIDADE_CONVENIADA</v>
      </c>
      <c r="H28" s="50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8" s="50" t="str">
        <f>IFERROR(IF(VLOOKUP($B28,casostestes[#Data],8)=0,"-",VLOOKUP($B28,casostestes[#Data],8)),"-")</f>
        <v>-</v>
      </c>
      <c r="J28" s="50" t="str">
        <f>IFERROR(IF(VLOOKUP($B28,casostestes[#Data],9)=0,"-",VLOOKUP($B28,casostestes[#Data],9)),"-")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8" s="51"/>
      <c r="L28" s="119"/>
      <c r="M28" s="53"/>
      <c r="N28" s="54"/>
      <c r="O28" s="54"/>
      <c r="P28" s="55"/>
    </row>
    <row r="29" spans="2:16" ht="135">
      <c r="B29" s="56">
        <f>IF(ISERR(casostestes[[#This Row],[ID]]),"-",casostestes[[#This Row],[ID]])</f>
        <v>22</v>
      </c>
      <c r="C29" s="49" t="str">
        <f>IFERROR(IF(VLOOKUP($B29,casostestes[#Data],10)=0,"Não",VLOOKUP($B29,casostestes[#Data],10)), "-")</f>
        <v>Não</v>
      </c>
      <c r="D29" s="50" t="str">
        <f>IFERROR(IF(VLOOKUP($B29,casostestes[#Data],2)=0,"-",VLOOKUP($B29,casostestes[#Data],2)), "-")</f>
        <v>Requerimento Inicial de BI</v>
      </c>
      <c r="E29" s="50" t="str">
        <f>IFERROR(IF(VLOOKUP($B29,casostestes[#Data],3)=0,"-",VLOOKUP($B29,casostestes[#Data],3)),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9" s="50" t="str">
        <f>IFERROR(IF(VLOOKUP($B29,casostestes[#Data],4)=0,"-",VLOOKUP($B29,casostestes[#Data],4)),"-")</f>
        <v>PAT</v>
      </c>
      <c r="G29" s="50" t="str">
        <f>IFERROR(IF(VLOOKUP($B29,casostestes[#Data],5)=0,"-",VLOOKUP($B29,casostestes[#Data],5)),"-")</f>
        <v>ENTIDADE_CONVENIADA</v>
      </c>
      <c r="H29" s="50" t="str">
        <f>IFERROR(IF(VLOOKUP($B29,casostestes[#Data],6)=0,"-",VLOOKUP($B29,casostestes[#Data],6)),"-")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9" s="50" t="str">
        <f>IFERROR(IF(VLOOKUP($B29,casostestes[#Data],8)=0,"-",VLOOKUP($B29,casostestes[#Data],8)),"-")</f>
        <v>-</v>
      </c>
      <c r="J29" s="50" t="str">
        <f>IFERROR(IF(VLOOKUP($B29,casostestes[#Data],9)=0,"-",VLOOKUP($B29,casostestes[#Data],9)),"-")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29" s="51"/>
      <c r="L29" s="119"/>
      <c r="M29" s="53"/>
      <c r="N29" s="54"/>
      <c r="O29" s="54"/>
      <c r="P29" s="55"/>
    </row>
    <row r="30" spans="2:16" ht="210">
      <c r="B30" s="56">
        <f>IF(ISERR(casostestes[[#This Row],[ID]]),"-",casostestes[[#This Row],[ID]])</f>
        <v>23</v>
      </c>
      <c r="C30" s="49" t="str">
        <f>IFERROR(IF(VLOOKUP($B30,casostestes[#Data],10)=0,"Não",VLOOKUP($B30,casostestes[#Data],10)), "-")</f>
        <v>Não</v>
      </c>
      <c r="D30" s="50" t="str">
        <f>IFERROR(IF(VLOOKUP($B30,casostestes[#Data],2)=0,"-",VLOOKUP($B30,casostestes[#Data],2)), "-")</f>
        <v>-</v>
      </c>
      <c r="E30" s="50" t="str">
        <f>IFERROR(IF(VLOOKUP($B30,casostestes[#Data],3)=0,"-",VLOOKUP($B30,casostestes[#Data],3)), "-")</f>
        <v>Cumprir a exigência de autodeclaração</v>
      </c>
      <c r="F30" s="50" t="str">
        <f>IFERROR(IF(VLOOKUP($B30,casostestes[#Data],4)=0,"-",VLOOKUP($B30,casostestes[#Data],4)),"-")</f>
        <v>PAT</v>
      </c>
      <c r="G30" s="50" t="str">
        <f>IFERROR(IF(VLOOKUP($B30,casostestes[#Data],5)=0,"-",VLOOKUP($B30,casostestes[#Data],5)),"-")</f>
        <v>ENTIDADE_CONVENIADA</v>
      </c>
      <c r="H30" s="50" t="str">
        <f>IFERROR(IF(VLOOKUP($B30,casostestes[#Data],6)=0,"-",VLOOKUP($B30,casostestes[#Data],6)),"-")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0" s="50" t="str">
        <f>IFERROR(IF(VLOOKUP($B30,casostestes[#Data],8)=0,"-",VLOOKUP($B30,casostestes[#Data],8)),"-")</f>
        <v>-</v>
      </c>
      <c r="J30" s="50" t="str">
        <f>IFERROR(IF(VLOOKUP($B30,casostestes[#Data],9)=0,"-",VLOOKUP($B30,casostestes[#Data],9)),"-")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51"/>
      <c r="L30" s="119"/>
      <c r="M30" s="53"/>
      <c r="N30" s="54"/>
      <c r="O30" s="54"/>
      <c r="P30" s="55"/>
    </row>
    <row r="31" spans="2:16" ht="210">
      <c r="B31" s="56">
        <f>IF(ISERR(casostestes[[#This Row],[ID]]),"-",casostestes[[#This Row],[ID]])</f>
        <v>24</v>
      </c>
      <c r="C31" s="49" t="str">
        <f>IFERROR(IF(VLOOKUP($B31,casostestes[#Data],10)=0,"Não",VLOOKUP($B31,casostestes[#Data],10)), "-")</f>
        <v>Não</v>
      </c>
      <c r="D31" s="50" t="str">
        <f>IFERROR(IF(VLOOKUP($B31,casostestes[#Data],2)=0,"-",VLOOKUP($B31,casostestes[#Data],2)), "-")</f>
        <v>-</v>
      </c>
      <c r="E31" s="50" t="str">
        <f>IFERROR(IF(VLOOKUP($B31,casostestes[#Data],3)=0,"-",VLOOKUP($B31,casostestes[#Data],3)), "-")</f>
        <v>Cumprir a exigência de autodeclaração</v>
      </c>
      <c r="F31" s="50" t="str">
        <f>IFERROR(IF(VLOOKUP($B31,casostestes[#Data],4)=0,"-",VLOOKUP($B31,casostestes[#Data],4)),"-")</f>
        <v>PAT</v>
      </c>
      <c r="G31" s="50" t="str">
        <f>IFERROR(IF(VLOOKUP($B31,casostestes[#Data],5)=0,"-",VLOOKUP($B31,casostestes[#Data],5)),"-")</f>
        <v>ENTIDADE_CONVENIADA_CORREIOS</v>
      </c>
      <c r="H31" s="50" t="str">
        <f>IFERROR(IF(VLOOKUP($B31,casostestes[#Data],6)=0,"-",VLOOKUP($B31,casostestes[#Data],6)),"-")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1" s="50" t="str">
        <f>IFERROR(IF(VLOOKUP($B31,casostestes[#Data],8)=0,"-",VLOOKUP($B31,casostestes[#Data],8)),"-")</f>
        <v>-</v>
      </c>
      <c r="J31" s="50" t="str">
        <f>IFERROR(IF(VLOOKUP($B31,casostestes[#Data],9)=0,"-",VLOOKUP($B31,casostestes[#Data],9)),"-")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1" s="51"/>
      <c r="L31" s="119"/>
      <c r="M31" s="53"/>
      <c r="N31" s="54"/>
      <c r="O31" s="54"/>
      <c r="P31" s="55"/>
    </row>
    <row r="32" spans="2:16" ht="180">
      <c r="B32" s="56">
        <f>IF(ISERR(casostestes[[#This Row],[ID]]),"-",casostestes[[#This Row],[ID]])</f>
        <v>25</v>
      </c>
      <c r="C32" s="49" t="str">
        <f>IFERROR(IF(VLOOKUP($B32,casostestes[#Data],10)=0,"Não",VLOOKUP($B32,casostestes[#Data],10)), "-")</f>
        <v>Não</v>
      </c>
      <c r="D32" s="50" t="str">
        <f>IFERROR(IF(VLOOKUP($B32,casostestes[#Data],2)=0,"-",VLOOKUP($B32,casostestes[#Data],2)), "-")</f>
        <v>-</v>
      </c>
      <c r="E32" s="50" t="str">
        <f>IFERROR(IF(VLOOKUP($B32,casostestes[#Data],3)=0,"-",VLOOKUP($B32,casostestes[#Data],3)),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2" s="50" t="str">
        <f>IFERROR(IF(VLOOKUP($B32,casostestes[#Data],4)=0,"-",VLOOKUP($B32,casostestes[#Data],4)),"-")</f>
        <v>PAT</v>
      </c>
      <c r="G32" s="50" t="str">
        <f>IFERROR(IF(VLOOKUP($B32,casostestes[#Data],5)=0,"-",VLOOKUP($B32,casostestes[#Data],5)),"-")</f>
        <v>ENTIDADE_CONVENIADA</v>
      </c>
      <c r="H32" s="50" t="str">
        <f>IFERROR(IF(VLOOKUP($B32,casostestes[#Data],6)=0,"-",VLOOKUP($B32,casostestes[#Data],6)),"-")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2" s="50" t="str">
        <f>IFERROR(IF(VLOOKUP($B32,casostestes[#Data],8)=0,"-",VLOOKUP($B32,casostestes[#Data],8)),"-")</f>
        <v>-</v>
      </c>
      <c r="J32" s="50" t="str">
        <f>IFERROR(IF(VLOOKUP($B32,casostestes[#Data],9)=0,"-",VLOOKUP($B32,casostestes[#Data],9)),"-")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2" s="51"/>
      <c r="L32" s="119"/>
      <c r="M32" s="53"/>
      <c r="N32" s="54"/>
      <c r="O32" s="54"/>
      <c r="P32" s="55"/>
    </row>
    <row r="33" spans="2:16" ht="120">
      <c r="B33" s="56">
        <f>IF(ISERR(casostestes[[#This Row],[ID]]),"-",casostestes[[#This Row],[ID]])</f>
        <v>26</v>
      </c>
      <c r="C33" s="49" t="str">
        <f>IFERROR(IF(VLOOKUP($B33,casostestes[#Data],10)=0,"Não",VLOOKUP($B33,casostestes[#Data],10)), "-")</f>
        <v>Não</v>
      </c>
      <c r="D33" s="50" t="str">
        <f>IFERROR(IF(VLOOKUP($B33,casostestes[#Data],2)=0,"-",VLOOKUP($B33,casostestes[#Data],2)), "-")</f>
        <v>-</v>
      </c>
      <c r="E33" s="50" t="str">
        <f>IFERROR(IF(VLOOKUP($B33,casostestes[#Data],3)=0,"-",VLOOKUP($B33,casostestes[#Data],3)),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3" s="50" t="str">
        <f>IFERROR(IF(VLOOKUP($B33,casostestes[#Data],4)=0,"-",VLOOKUP($B33,casostestes[#Data],4)),"-")</f>
        <v>PAT</v>
      </c>
      <c r="G33" s="50" t="str">
        <f>IFERROR(IF(VLOOKUP($B33,casostestes[#Data],5)=0,"-",VLOOKUP($B33,casostestes[#Data],5)),"-")</f>
        <v>ENTIDADE_CONVENIADA</v>
      </c>
      <c r="H33" s="50" t="str">
        <f>IFERROR(IF(VLOOKUP($B33,casostestes[#Data],6)=0,"-",VLOOKUP($B33,casostestes[#Data],6)),"-")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3" s="50" t="str">
        <f>IFERROR(IF(VLOOKUP($B33,casostestes[#Data],8)=0,"-",VLOOKUP($B33,casostestes[#Data],8)),"-")</f>
        <v>-</v>
      </c>
      <c r="J33" s="50" t="str">
        <f>IFERROR(IF(VLOOKUP($B33,casostestes[#Data],9)=0,"-",VLOOKUP($B33,casostestes[#Data],9)),"-")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3" s="51"/>
      <c r="L33" s="119"/>
      <c r="M33" s="53"/>
      <c r="N33" s="54"/>
      <c r="O33" s="54"/>
      <c r="P33" s="55"/>
    </row>
    <row r="34" spans="2:16" ht="90">
      <c r="B34" s="56">
        <f>IF(ISERR(casostestes[[#This Row],[ID]]),"-",casostestes[[#This Row],[ID]])</f>
        <v>27</v>
      </c>
      <c r="C34" s="49" t="str">
        <f>IFERROR(IF(VLOOKUP($B34,casostestes[#Data],10)=0,"Não",VLOOKUP($B34,casostestes[#Data],10)), "-")</f>
        <v>Não</v>
      </c>
      <c r="D34" s="50" t="str">
        <f>IFERROR(IF(VLOOKUP($B34,casostestes[#Data],2)=0,"-",VLOOKUP($B34,casostestes[#Data],2)), "-")</f>
        <v>Requerimento Inicial de BI</v>
      </c>
      <c r="E34" s="50" t="str">
        <f>IFERROR(IF(VLOOKUP($B34,casostestes[#Data],3)=0,"-",VLOOKUP($B34,casostestes[#Data],3)),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4" s="50" t="str">
        <f>IFERROR(IF(VLOOKUP($B34,casostestes[#Data],4)=0,"-",VLOOKUP($B34,casostestes[#Data],4)),"-")</f>
        <v>Meu INSS</v>
      </c>
      <c r="G34" s="50" t="str">
        <f>IFERROR(IF(VLOOKUP($B34,casostestes[#Data],5)=0,"-",VLOOKUP($B34,casostestes[#Data],5)),"-")</f>
        <v>INTERESSADO</v>
      </c>
      <c r="H34" s="50" t="str">
        <f>IFERROR(IF(VLOOKUP($B34,casostestes[#Data],6)=0,"-",VLOOKUP($B34,casostestes[#Data],6)),"-")</f>
        <v xml:space="preserve">1. Logar no Meu INSS
2.Criar tarefa de BI informando:
Tipo de Incapacidade? "Temporária "
A pessoa está presa?  Não
Categoria do trabalhador diferente de "Segurado Especial"
</v>
      </c>
      <c r="I34" s="50" t="str">
        <f>IFERROR(IF(VLOOKUP($B34,casostestes[#Data],8)=0,"-",VLOOKUP($B34,casostestes[#Data],8)),"-")</f>
        <v>-</v>
      </c>
      <c r="J34" s="50" t="str">
        <f>IFERROR(IF(VLOOKUP($B34,casostestes[#Data],9)=0,"-",VLOOKUP($B34,casostestes[#Data],9)),"-")</f>
        <v>Tarefa de BI criada com situação Pendente.
Tarefa SEM Divergência de autodeclaração (116)
Status SIBE igual a AGUARDANDO ATESTADO 
Tarefa.Exige_autodeclaração = 0</v>
      </c>
      <c r="K34" s="51"/>
      <c r="L34" s="119"/>
      <c r="M34" s="53"/>
      <c r="N34" s="54"/>
      <c r="O34" s="54"/>
      <c r="P34" s="55"/>
    </row>
    <row r="35" spans="2:16" ht="120">
      <c r="B35" s="56">
        <f>IF(ISERR(casostestes[[#This Row],[ID]]),"-",casostestes[[#This Row],[ID]])</f>
        <v>28</v>
      </c>
      <c r="C35" s="49" t="str">
        <f>IFERROR(IF(VLOOKUP($B35,casostestes[#Data],10)=0,"Não",VLOOKUP($B35,casostestes[#Data],10)), "-")</f>
        <v>Não</v>
      </c>
      <c r="D35" s="50" t="str">
        <f>IFERROR(IF(VLOOKUP($B35,casostestes[#Data],2)=0,"-",VLOOKUP($B35,casostestes[#Data],2)), "-")</f>
        <v>Requerimento Inicial de BI</v>
      </c>
      <c r="E35" s="50" t="str">
        <f>IFERROR(IF(VLOOKUP($B35,casostestes[#Data],3)=0,"-",VLOOKUP($B35,casostestes[#Data],3)),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5" s="50" t="str">
        <f>IFERROR(IF(VLOOKUP($B35,casostestes[#Data],4)=0,"-",VLOOKUP($B35,casostestes[#Data],4)),"-")</f>
        <v>Meu INSS</v>
      </c>
      <c r="G35" s="50" t="str">
        <f>IFERROR(IF(VLOOKUP($B35,casostestes[#Data],5)=0,"-",VLOOKUP($B35,casostestes[#Data],5)),"-")</f>
        <v>INTERESSADO</v>
      </c>
      <c r="H35" s="50" t="str">
        <f>IFERROR(IF(VLOOKUP($B35,casostestes[#Data],6)=0,"-",VLOOKUP($B35,casostestes[#Data],6)),"-")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35" s="50" t="str">
        <f>IFERROR(IF(VLOOKUP($B35,casostestes[#Data],8)=0,"-",VLOOKUP($B35,casostestes[#Data],8)),"-")</f>
        <v>-</v>
      </c>
      <c r="J35" s="50" t="str">
        <f>IFERROR(IF(VLOOKUP($B35,casostestes[#Data],9)=0,"-",VLOOKUP($B35,casostestes[#Data],9)),"-")</f>
        <v>Tarefa de BI criada com situação Pendente.
Tarefa SEM Divergência de autodeclaração (116)
Status SIBE igual a  AGUARDANDO PERÍCIA
Tarefa.Exige_autodeclaração = 0</v>
      </c>
      <c r="K35" s="51"/>
      <c r="L35" s="119"/>
      <c r="M35" s="53"/>
      <c r="N35" s="54"/>
      <c r="O35" s="54"/>
      <c r="P35" s="55"/>
    </row>
    <row r="36" spans="2:16" ht="255">
      <c r="B36" s="56">
        <f>IF(ISERR(casostestes[[#This Row],[ID]]),"-",casostestes[[#This Row],[ID]])</f>
        <v>29</v>
      </c>
      <c r="C36" s="49" t="str">
        <f>IFERROR(IF(VLOOKUP($B36,casostestes[#Data],10)=0,"Não",VLOOKUP($B36,casostestes[#Data],10)), "-")</f>
        <v>Não</v>
      </c>
      <c r="D36" s="50" t="str">
        <f>IFERROR(IF(VLOOKUP($B36,casostestes[#Data],2)=0,"-",VLOOKUP($B36,casostestes[#Data],2)), "-")</f>
        <v>Requerimento Inicial de BI</v>
      </c>
      <c r="E36" s="50" t="str">
        <f>IFERROR(IF(VLOOKUP($B36,casostestes[#Data],3)=0,"-",VLOOKUP($B36,casostestes[#Data],3)),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36" s="50" t="str">
        <f>IFERROR(IF(VLOOKUP($B36,casostestes[#Data],4)=0,"-",VLOOKUP($B36,casostestes[#Data],4)),"-")</f>
        <v>Meu INSS</v>
      </c>
      <c r="G36" s="50" t="str">
        <f>IFERROR(IF(VLOOKUP($B36,casostestes[#Data],5)=0,"-",VLOOKUP($B36,casostestes[#Data],5)),"-")</f>
        <v>INTERESSADO</v>
      </c>
      <c r="H36" s="50" t="str">
        <f>IFERROR(IF(VLOOKUP($B36,casostestes[#Data],6)=0,"-",VLOOKUP($B36,casostestes[#Data],6)),"-")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36" s="50" t="str">
        <f>IFERROR(IF(VLOOKUP($B36,casostestes[#Data],8)=0,"-",VLOOKUP($B36,casostestes[#Data],8)),"-")</f>
        <v>-</v>
      </c>
      <c r="J36" s="50" t="str">
        <f>IFERROR(IF(VLOOKUP($B36,casostestes[#Data],9)=0,"-",VLOOKUP($B36,casostestes[#Data],9)),"-")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6" s="51"/>
      <c r="L36" s="119"/>
      <c r="M36" s="53"/>
      <c r="N36" s="54"/>
      <c r="O36" s="54"/>
      <c r="P36" s="55"/>
    </row>
    <row r="37" spans="2:16" ht="255">
      <c r="B37" s="56">
        <f>IF(ISERR(casostestes[[#This Row],[ID]]),"-",casostestes[[#This Row],[ID]])</f>
        <v>30</v>
      </c>
      <c r="C37" s="49" t="str">
        <f>IFERROR(IF(VLOOKUP($B37,casostestes[#Data],10)=0,"Não",VLOOKUP($B37,casostestes[#Data],10)), "-")</f>
        <v>Não</v>
      </c>
      <c r="D37" s="50" t="str">
        <f>IFERROR(IF(VLOOKUP($B37,casostestes[#Data],2)=0,"-",VLOOKUP($B37,casostestes[#Data],2)), "-")</f>
        <v>Requerimento Inicial de BI</v>
      </c>
      <c r="E37" s="50" t="str">
        <f>IFERROR(IF(VLOOKUP($B37,casostestes[#Data],3)=0,"-",VLOOKUP($B37,casostestes[#Data],3)),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7" s="50" t="str">
        <f>IFERROR(IF(VLOOKUP($B37,casostestes[#Data],4)=0,"-",VLOOKUP($B37,casostestes[#Data],4)),"-")</f>
        <v>Meu INSS</v>
      </c>
      <c r="G37" s="50" t="str">
        <f>IFERROR(IF(VLOOKUP($B37,casostestes[#Data],5)=0,"-",VLOOKUP($B37,casostestes[#Data],5)),"-")</f>
        <v>INTERESSADO</v>
      </c>
      <c r="H37" s="50" t="str">
        <f>IFERROR(IF(VLOOKUP($B37,casostestes[#Data],6)=0,"-",VLOOKUP($B37,casostestes[#Data],6)),"-")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37" s="50" t="str">
        <f>IFERROR(IF(VLOOKUP($B37,casostestes[#Data],8)=0,"-",VLOOKUP($B37,casostestes[#Data],8)),"-")</f>
        <v>-</v>
      </c>
      <c r="J37" s="50" t="str">
        <f>IFERROR(IF(VLOOKUP($B37,casostestes[#Data],9)=0,"-",VLOOKUP($B37,casostestes[#Data],9)),"-")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7" s="51"/>
      <c r="L37" s="119"/>
      <c r="M37" s="53"/>
      <c r="N37" s="54"/>
      <c r="O37" s="54"/>
      <c r="P37" s="55"/>
    </row>
    <row r="38" spans="2:16" ht="180">
      <c r="B38" s="56">
        <f>IF(ISERR(casostestes[[#This Row],[ID]]),"-",casostestes[[#This Row],[ID]])</f>
        <v>31</v>
      </c>
      <c r="C38" s="49" t="str">
        <f>IFERROR(IF(VLOOKUP($B38,casostestes[#Data],10)=0,"Não",VLOOKUP($B38,casostestes[#Data],10)), "-")</f>
        <v>Não</v>
      </c>
      <c r="D38" s="50" t="str">
        <f>IFERROR(IF(VLOOKUP($B38,casostestes[#Data],2)=0,"-",VLOOKUP($B38,casostestes[#Data],2)), "-")</f>
        <v>Requerimento Inicial de BI</v>
      </c>
      <c r="E38" s="50" t="str">
        <f>IFERROR(IF(VLOOKUP($B38,casostestes[#Data],3)=0,"-",VLOOKUP($B38,casostestes[#Data],3)),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8" s="50" t="str">
        <f>IFERROR(IF(VLOOKUP($B38,casostestes[#Data],4)=0,"-",VLOOKUP($B38,casostestes[#Data],4)),"-")</f>
        <v>Meu INSS</v>
      </c>
      <c r="G38" s="50" t="str">
        <f>IFERROR(IF(VLOOKUP($B38,casostestes[#Data],5)=0,"-",VLOOKUP($B38,casostestes[#Data],5)),"-")</f>
        <v>INTERESSADO</v>
      </c>
      <c r="H38" s="50" t="str">
        <f>IFERROR(IF(VLOOKUP($B38,casostestes[#Data],6)=0,"-",VLOOKUP($B38,casostestes[#Data],6)),"-")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38" s="50" t="str">
        <f>IFERROR(IF(VLOOKUP($B38,casostestes[#Data],8)=0,"-",VLOOKUP($B38,casostestes[#Data],8)),"-")</f>
        <v>-</v>
      </c>
      <c r="J38" s="50" t="str">
        <f>IFERROR(IF(VLOOKUP($B38,casostestes[#Data],9)=0,"-",VLOOKUP($B38,casostestes[#Data],9)),"-")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38" s="51"/>
      <c r="L38" s="119"/>
      <c r="M38" s="53"/>
      <c r="N38" s="54"/>
      <c r="O38" s="54"/>
      <c r="P38" s="55"/>
    </row>
    <row r="39" spans="2:16" ht="225">
      <c r="B39" s="56">
        <f>IF(ISERR(casostestes[[#This Row],[ID]]),"-",casostestes[[#This Row],[ID]])</f>
        <v>32</v>
      </c>
      <c r="C39" s="49" t="str">
        <f>IFERROR(IF(VLOOKUP($B39,casostestes[#Data],10)=0,"Não",VLOOKUP($B39,casostestes[#Data],10)), "-")</f>
        <v>Não</v>
      </c>
      <c r="D39" s="50" t="str">
        <f>IFERROR(IF(VLOOKUP($B39,casostestes[#Data],2)=0,"-",VLOOKUP($B39,casostestes[#Data],2)), "-")</f>
        <v>-</v>
      </c>
      <c r="E39" s="50" t="str">
        <f>IFERROR(IF(VLOOKUP($B39,casostestes[#Data],3)=0,"-",VLOOKUP($B39,casostestes[#Data],3)), "-")</f>
        <v>Cumprir a exigência de autodeclaração</v>
      </c>
      <c r="F39" s="50" t="str">
        <f>IFERROR(IF(VLOOKUP($B39,casostestes[#Data],4)=0,"-",VLOOKUP($B39,casostestes[#Data],4)),"-")</f>
        <v>Meu INSS</v>
      </c>
      <c r="G39" s="50" t="str">
        <f>IFERROR(IF(VLOOKUP($B39,casostestes[#Data],5)=0,"-",VLOOKUP($B39,casostestes[#Data],5)),"-")</f>
        <v>INTERESSADO</v>
      </c>
      <c r="H39" s="50" t="str">
        <f>IFERROR(IF(VLOOKUP($B39,casostestes[#Data],6)=0,"-",VLOOKUP($B39,casostestes[#Data],6)),"-")</f>
        <v>1. Logar no  Meu INSS
2.Consultar uma tarefa em exigência de autodeclaração e acionar Cumprir Exigência  
3. Responder o formulário de autodeclaração</v>
      </c>
      <c r="I39" s="50" t="str">
        <f>IFERROR(IF(VLOOKUP($B39,casostestes[#Data],8)=0,"-",VLOOKUP($B39,casostestes[#Data],8)),"-")</f>
        <v>-</v>
      </c>
      <c r="J39" s="50" t="str">
        <f>IFERROR(IF(VLOOKUP($B39,casostestes[#Data],9)=0,"-",VLOOKUP($B39,casostestes[#Data],9)),"-")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9" s="51"/>
      <c r="L39" s="119"/>
      <c r="M39" s="53"/>
      <c r="N39" s="54"/>
      <c r="O39" s="54"/>
      <c r="P39" s="55"/>
    </row>
    <row r="40" spans="2:16" ht="180">
      <c r="B40" s="56">
        <f>IF(ISERR(casostestes[[#This Row],[ID]]),"-",casostestes[[#This Row],[ID]])</f>
        <v>33</v>
      </c>
      <c r="C40" s="49" t="str">
        <f>IFERROR(IF(VLOOKUP($B40,casostestes[#Data],10)=0,"Não",VLOOKUP($B40,casostestes[#Data],10)), "-")</f>
        <v>Não</v>
      </c>
      <c r="D40" s="50" t="str">
        <f>IFERROR(IF(VLOOKUP($B40,casostestes[#Data],2)=0,"-",VLOOKUP($B40,casostestes[#Data],2)), "-")</f>
        <v>-</v>
      </c>
      <c r="E40" s="50" t="str">
        <f>IFERROR(IF(VLOOKUP($B40,casostestes[#Data],3)=0,"-",VLOOKUP($B40,casostestes[#Data],3)),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0" s="50" t="str">
        <f>IFERROR(IF(VLOOKUP($B40,casostestes[#Data],4)=0,"-",VLOOKUP($B40,casostestes[#Data],4)),"-")</f>
        <v>Meu INSS</v>
      </c>
      <c r="G40" s="50" t="str">
        <f>IFERROR(IF(VLOOKUP($B40,casostestes[#Data],5)=0,"-",VLOOKUP($B40,casostestes[#Data],5)),"-")</f>
        <v>INTERESSADO</v>
      </c>
      <c r="H40" s="50" t="str">
        <f>IFERROR(IF(VLOOKUP($B40,casostestes[#Data],6)=0,"-",VLOOKUP($B40,casostestes[#Data],6)),"-")</f>
        <v>1. Logar no  Meu INSS
2.Consultar uma tarefa em exigência de autodeclaração
3. Acionar no card do pedido a opção de Autodeclaração   
3. Responder o formulário de autodeclaração</v>
      </c>
      <c r="I40" s="50" t="str">
        <f>IFERROR(IF(VLOOKUP($B40,casostestes[#Data],8)=0,"-",VLOOKUP($B40,casostestes[#Data],8)),"-")</f>
        <v>-</v>
      </c>
      <c r="J40" s="50" t="str">
        <f>IFERROR(IF(VLOOKUP($B40,casostestes[#Data],9)=0,"-",VLOOKUP($B40,casostestes[#Data],9)),"-")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0" s="51"/>
      <c r="L40" s="119"/>
      <c r="M40" s="53"/>
      <c r="N40" s="54"/>
      <c r="O40" s="54"/>
      <c r="P40" s="55"/>
    </row>
    <row r="41" spans="2:16" ht="90">
      <c r="B41" s="56">
        <f>IF(ISERR(casostestes[[#This Row],[ID]]),"-",casostestes[[#This Row],[ID]])</f>
        <v>34</v>
      </c>
      <c r="C41" s="49" t="str">
        <f>IFERROR(IF(VLOOKUP($B41,casostestes[#Data],10)=0,"Não",VLOOKUP($B41,casostestes[#Data],10)), "-")</f>
        <v>Não</v>
      </c>
      <c r="D41" s="50" t="str">
        <f>IFERROR(IF(VLOOKUP($B41,casostestes[#Data],2)=0,"-",VLOOKUP($B41,casostestes[#Data],2)), "-")</f>
        <v>-</v>
      </c>
      <c r="E41" s="50" t="str">
        <f>IFERROR(IF(VLOOKUP($B41,casostestes[#Data],3)=0,"-",VLOOKUP($B41,casostestes[#Data],3)),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1" s="50" t="str">
        <f>IFERROR(IF(VLOOKUP($B41,casostestes[#Data],4)=0,"-",VLOOKUP($B41,casostestes[#Data],4)),"-")</f>
        <v>Meu INSS</v>
      </c>
      <c r="G41" s="50" t="str">
        <f>IFERROR(IF(VLOOKUP($B41,casostestes[#Data],5)=0,"-",VLOOKUP($B41,casostestes[#Data],5)),"-")</f>
        <v>INTERESSADO</v>
      </c>
      <c r="H41" s="50" t="str">
        <f>IFERROR(IF(VLOOKUP($B41,casostestes[#Data],6)=0,"-",VLOOKUP($B41,casostestes[#Data],6)),"-")</f>
        <v>1. Logar no  Meu INSS
2.Consultar uma tarefa em exigência de documento médico 
3. Acionar no card do pedido a opção de Autodeclaração   
3. Responder o formulário de autodeclaração</v>
      </c>
      <c r="I41" s="50" t="str">
        <f>IFERROR(IF(VLOOKUP($B41,casostestes[#Data],8)=0,"-",VLOOKUP($B41,casostestes[#Data],8)),"-")</f>
        <v>-</v>
      </c>
      <c r="J41" s="50" t="str">
        <f>IFERROR(IF(VLOOKUP($B41,casostestes[#Data],9)=0,"-",VLOOKUP($B41,casostestes[#Data],9)),"-")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1" s="51"/>
      <c r="L41" s="119"/>
      <c r="M41" s="53"/>
      <c r="N41" s="54"/>
      <c r="O41" s="54"/>
      <c r="P41" s="55"/>
    </row>
    <row r="42" spans="2:16" ht="409.5">
      <c r="B42" s="56">
        <f>IF(ISERR(casostestes[[#This Row],[ID]]),"-",casostestes[[#This Row],[ID]])</f>
        <v>35</v>
      </c>
      <c r="C42" s="49" t="str">
        <f>IFERROR(IF(VLOOKUP($B42,casostestes[#Data],10)=0,"Não",VLOOKUP($B42,casostestes[#Data],10)), "-")</f>
        <v>Não</v>
      </c>
      <c r="D42" s="50" t="str">
        <f>IFERROR(IF(VLOOKUP($B42,casostestes[#Data],2)=0,"-",VLOOKUP($B42,casostestes[#Data],2)), "-")</f>
        <v>Requerimento Inicial de BI</v>
      </c>
      <c r="E42" s="50" t="str">
        <f>IFERROR(IF(VLOOKUP($B42,casostestes[#Data],3)=0,"-",VLOOKUP($B42,casostestes[#Data],3)), "-")</f>
        <v xml:space="preserve"> 
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2" s="50" t="str">
        <f>IFERROR(IF(VLOOKUP($B42,casostestes[#Data],4)=0,"-",VLOOKUP($B42,casostestes[#Data],4)),"-")</f>
        <v>PAT</v>
      </c>
      <c r="G42" s="50" t="str">
        <f>IFERROR(IF(VLOOKUP($B42,casostestes[#Data],5)=0,"-",VLOOKUP($B42,casostestes[#Data],5)),"-")</f>
        <v>SERVIDOR</v>
      </c>
      <c r="H42" s="50" t="str">
        <f>IFERROR(IF(VLOOKUP($B42,casostestes[#Data],6)=0,"-",VLOOKUP($B42,casostestes[#Data],6)),"-")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2" s="50" t="str">
        <f>IFERROR(IF(VLOOKUP($B42,casostestes[#Data],8)=0,"-",VLOOKUP($B42,casostestes[#Data],8)),"-")</f>
        <v>-</v>
      </c>
      <c r="J42" s="50" t="str">
        <f>IFERROR(IF(VLOOKUP($B42,casostestes[#Data],9)=0,"-",VLOOKUP($B42,casostestes[#Data],9)),"-")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2" s="51"/>
      <c r="L42" s="119"/>
      <c r="M42" s="53"/>
      <c r="N42" s="54"/>
      <c r="O42" s="54"/>
      <c r="P42" s="55"/>
    </row>
    <row r="43" spans="2:16" ht="409.5">
      <c r="B43" s="56">
        <f>IF(ISERR(casostestes[[#This Row],[ID]]),"-",casostestes[[#This Row],[ID]])</f>
        <v>36</v>
      </c>
      <c r="C43" s="49" t="str">
        <f>IFERROR(IF(VLOOKUP($B43,casostestes[#Data],10)=0,"Não",VLOOKUP($B43,casostestes[#Data],10)), "-")</f>
        <v>Não</v>
      </c>
      <c r="D43" s="50" t="str">
        <f>IFERROR(IF(VLOOKUP($B43,casostestes[#Data],2)=0,"-",VLOOKUP($B43,casostestes[#Data],2)), "-")</f>
        <v>Requerimento Inicial de BI</v>
      </c>
      <c r="E43" s="50" t="str">
        <f>IFERROR(IF(VLOOKUP($B43,casostestes[#Data],3)=0,"-",VLOOKUP($B43,casostestes[#Data],3)),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3" s="50" t="str">
        <f>IFERROR(IF(VLOOKUP($B43,casostestes[#Data],4)=0,"-",VLOOKUP($B43,casostestes[#Data],4)),"-")</f>
        <v>PAT</v>
      </c>
      <c r="G43" s="50" t="str">
        <f>IFERROR(IF(VLOOKUP($B43,casostestes[#Data],5)=0,"-",VLOOKUP($B43,casostestes[#Data],5)),"-")</f>
        <v>SERVIDOR</v>
      </c>
      <c r="H43" s="50" t="str">
        <f>IFERROR(IF(VLOOKUP($B43,casostestes[#Data],6)=0,"-",VLOOKUP($B43,casostestes[#Data],6)),"-")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3" s="50" t="str">
        <f>IFERROR(IF(VLOOKUP($B43,casostestes[#Data],8)=0,"-",VLOOKUP($B43,casostestes[#Data],8)),"-")</f>
        <v>-</v>
      </c>
      <c r="J43" s="50" t="str">
        <f>IFERROR(IF(VLOOKUP($B43,casostestes[#Data],9)=0,"-",VLOOKUP($B43,casostestes[#Data],9)),"-")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3" s="51"/>
      <c r="L43" s="119"/>
      <c r="M43" s="53"/>
      <c r="N43" s="54"/>
      <c r="O43" s="54"/>
      <c r="P43" s="55"/>
    </row>
    <row r="44" spans="2:16">
      <c r="B44" s="56" t="str">
        <f>IF(ISERR(casostestes[[#This Row],[ID]]),"-",casostestes[[#This Row],[ID]])</f>
        <v>-</v>
      </c>
      <c r="C44" s="49" t="str">
        <f>IFERROR(IF(VLOOKUP($B44,casostestes[#Data],10)=0,"Não",VLOOKUP($B44,casostestes[#Data],10)), "-")</f>
        <v>-</v>
      </c>
      <c r="D44" s="50" t="str">
        <f>IFERROR(IF(VLOOKUP($B44,casostestes[#Data],2)=0,"-",VLOOKUP($B44,casostestes[#Data],2)), "-")</f>
        <v>-</v>
      </c>
      <c r="E44" s="50" t="str">
        <f>IFERROR(IF(VLOOKUP($B44,casostestes[#Data],3)=0,"-",VLOOKUP($B44,casostestes[#Data],3)), "-")</f>
        <v>-</v>
      </c>
      <c r="F44" s="50" t="str">
        <f>IFERROR(IF(VLOOKUP($B44,casostestes[#Data],4)=0,"-",VLOOKUP($B44,casostestes[#Data],4)),"-")</f>
        <v>-</v>
      </c>
      <c r="G44" s="50" t="str">
        <f>IFERROR(IF(VLOOKUP($B44,casostestes[#Data],5)=0,"-",VLOOKUP($B44,casostestes[#Data],5)),"-")</f>
        <v>-</v>
      </c>
      <c r="H44" s="50" t="str">
        <f>IFERROR(IF(VLOOKUP($B44,casostestes[#Data],6)=0,"-",VLOOKUP($B44,casostestes[#Data],6)),"-")</f>
        <v>-</v>
      </c>
      <c r="I44" s="50" t="str">
        <f>IFERROR(IF(VLOOKUP($B44,casostestes[#Data],8)=0,"-",VLOOKUP($B44,casostestes[#Data],8)),"-")</f>
        <v>-</v>
      </c>
      <c r="J44" s="50" t="str">
        <f>IFERROR(IF(VLOOKUP($B44,casostestes[#Data],9)=0,"-",VLOOKUP($B44,casostestes[#Data],9)),"-")</f>
        <v>-</v>
      </c>
      <c r="K44" s="51"/>
      <c r="L44" s="119"/>
      <c r="M44" s="53"/>
      <c r="N44" s="54"/>
      <c r="O44" s="54"/>
      <c r="P44" s="55"/>
    </row>
    <row r="45" spans="2:16">
      <c r="B45" s="56" t="str">
        <f>IF(ISERR(casostestes[[#This Row],[ID]]),"-",casostestes[[#This Row],[ID]])</f>
        <v>-</v>
      </c>
      <c r="C45" s="49" t="str">
        <f>IFERROR(IF(VLOOKUP($B45,casostestes[#Data],10)=0,"Não",VLOOKUP($B45,casostestes[#Data],10)), "-")</f>
        <v>-</v>
      </c>
      <c r="D45" s="50" t="str">
        <f>IFERROR(IF(VLOOKUP($B45,casostestes[#Data],2)=0,"-",VLOOKUP($B45,casostestes[#Data],2)), "-")</f>
        <v>-</v>
      </c>
      <c r="E45" s="50" t="str">
        <f>IFERROR(IF(VLOOKUP($B45,casostestes[#Data],3)=0,"-",VLOOKUP($B45,casostestes[#Data],3)), "-")</f>
        <v>-</v>
      </c>
      <c r="F45" s="50" t="str">
        <f>IFERROR(IF(VLOOKUP($B45,casostestes[#Data],4)=0,"-",VLOOKUP($B45,casostestes[#Data],4)),"-")</f>
        <v>-</v>
      </c>
      <c r="G45" s="50" t="str">
        <f>IFERROR(IF(VLOOKUP($B45,casostestes[#Data],5)=0,"-",VLOOKUP($B45,casostestes[#Data],5)),"-")</f>
        <v>-</v>
      </c>
      <c r="H45" s="50" t="str">
        <f>IFERROR(IF(VLOOKUP($B45,casostestes[#Data],6)=0,"-",VLOOKUP($B45,casostestes[#Data],6)),"-")</f>
        <v>-</v>
      </c>
      <c r="I45" s="50" t="str">
        <f>IFERROR(IF(VLOOKUP($B45,casostestes[#Data],8)=0,"-",VLOOKUP($B45,casostestes[#Data],8)),"-")</f>
        <v>-</v>
      </c>
      <c r="J45" s="50" t="str">
        <f>IFERROR(IF(VLOOKUP($B45,casostestes[#Data],9)=0,"-",VLOOKUP($B45,casostestes[#Data],9)),"-")</f>
        <v>-</v>
      </c>
      <c r="K45" s="51"/>
      <c r="L45" s="119"/>
      <c r="M45" s="53"/>
      <c r="N45" s="54"/>
      <c r="O45" s="54"/>
      <c r="P45" s="55"/>
    </row>
    <row r="46" spans="2:16">
      <c r="B46" s="56" t="str">
        <f>IF(ISERR(casostestes[[#This Row],[ID]]),"-",casostestes[[#This Row],[ID]])</f>
        <v>-</v>
      </c>
      <c r="C46" s="49" t="str">
        <f>IFERROR(IF(VLOOKUP($B46,casostestes[#Data],10)=0,"Não",VLOOKUP($B46,casostestes[#Data],10)), "-")</f>
        <v>-</v>
      </c>
      <c r="D46" s="50" t="str">
        <f>IFERROR(IF(VLOOKUP($B46,casostestes[#Data],2)=0,"-",VLOOKUP($B46,casostestes[#Data],2)), "-")</f>
        <v>-</v>
      </c>
      <c r="E46" s="50" t="str">
        <f>IFERROR(IF(VLOOKUP($B46,casostestes[#Data],3)=0,"-",VLOOKUP($B46,casostestes[#Data],3)), "-")</f>
        <v>-</v>
      </c>
      <c r="F46" s="50" t="str">
        <f>IFERROR(IF(VLOOKUP($B46,casostestes[#Data],4)=0,"-",VLOOKUP($B46,casostestes[#Data],4)),"-")</f>
        <v>-</v>
      </c>
      <c r="G46" s="50" t="str">
        <f>IFERROR(IF(VLOOKUP($B46,casostestes[#Data],5)=0,"-",VLOOKUP($B46,casostestes[#Data],5)),"-")</f>
        <v>-</v>
      </c>
      <c r="H46" s="50" t="str">
        <f>IFERROR(IF(VLOOKUP($B46,casostestes[#Data],6)=0,"-",VLOOKUP($B46,casostestes[#Data],6)),"-")</f>
        <v>-</v>
      </c>
      <c r="I46" s="50" t="str">
        <f>IFERROR(IF(VLOOKUP($B46,casostestes[#Data],8)=0,"-",VLOOKUP($B46,casostestes[#Data],8)),"-")</f>
        <v>-</v>
      </c>
      <c r="J46" s="50" t="str">
        <f>IFERROR(IF(VLOOKUP($B46,casostestes[#Data],9)=0,"-",VLOOKUP($B46,casostestes[#Data],9)),"-")</f>
        <v>-</v>
      </c>
      <c r="K46" s="51"/>
      <c r="L46" s="119"/>
      <c r="M46" s="53"/>
      <c r="N46" s="54"/>
      <c r="O46" s="54"/>
      <c r="P46" s="55"/>
    </row>
    <row r="47" spans="2:16">
      <c r="B47" s="56" t="str">
        <f>IF(ISERR(casostestes[[#This Row],[ID]]),"-",casostestes[[#This Row],[ID]])</f>
        <v>-</v>
      </c>
      <c r="C47" s="49" t="str">
        <f>IFERROR(IF(VLOOKUP($B47,casostestes[#Data],10)=0,"Não",VLOOKUP($B47,casostestes[#Data],10)), "-")</f>
        <v>-</v>
      </c>
      <c r="D47" s="50" t="str">
        <f>IFERROR(IF(VLOOKUP($B47,casostestes[#Data],2)=0,"-",VLOOKUP($B47,casostestes[#Data],2)), "-")</f>
        <v>-</v>
      </c>
      <c r="E47" s="50" t="str">
        <f>IFERROR(IF(VLOOKUP($B47,casostestes[#Data],3)=0,"-",VLOOKUP($B47,casostestes[#Data],3)), "-")</f>
        <v>-</v>
      </c>
      <c r="F47" s="50" t="str">
        <f>IFERROR(IF(VLOOKUP($B47,casostestes[#Data],4)=0,"-",VLOOKUP($B47,casostestes[#Data],4)),"-")</f>
        <v>-</v>
      </c>
      <c r="G47" s="50" t="str">
        <f>IFERROR(IF(VLOOKUP($B47,casostestes[#Data],5)=0,"-",VLOOKUP($B47,casostestes[#Data],5)),"-")</f>
        <v>-</v>
      </c>
      <c r="H47" s="50" t="str">
        <f>IFERROR(IF(VLOOKUP($B47,casostestes[#Data],6)=0,"-",VLOOKUP($B47,casostestes[#Data],6)),"-")</f>
        <v>-</v>
      </c>
      <c r="I47" s="50" t="str">
        <f>IFERROR(IF(VLOOKUP($B47,casostestes[#Data],8)=0,"-",VLOOKUP($B47,casostestes[#Data],8)),"-")</f>
        <v>-</v>
      </c>
      <c r="J47" s="50" t="str">
        <f>IFERROR(IF(VLOOKUP($B47,casostestes[#Data],9)=0,"-",VLOOKUP($B47,casostestes[#Data],9)),"-")</f>
        <v>-</v>
      </c>
      <c r="K47" s="51"/>
      <c r="L47" s="119"/>
      <c r="M47" s="53"/>
      <c r="N47" s="54"/>
      <c r="O47" s="54"/>
      <c r="P47" s="55"/>
    </row>
    <row r="48" spans="2:16">
      <c r="B48" s="56" t="str">
        <f>IF(ISERR(casostestes[[#This Row],[ID]]),"-",casostestes[[#This Row],[ID]])</f>
        <v>-</v>
      </c>
      <c r="C48" s="49" t="str">
        <f>IFERROR(IF(VLOOKUP($B48,casostestes[#Data],10)=0,"Não",VLOOKUP($B48,casostestes[#Data],10)), "-")</f>
        <v>-</v>
      </c>
      <c r="D48" s="50" t="str">
        <f>IFERROR(IF(VLOOKUP($B48,casostestes[#Data],2)=0,"-",VLOOKUP($B48,casostestes[#Data],2)), "-")</f>
        <v>-</v>
      </c>
      <c r="E48" s="50" t="str">
        <f>IFERROR(IF(VLOOKUP($B48,casostestes[#Data],3)=0,"-",VLOOKUP($B48,casostestes[#Data],3)), "-")</f>
        <v>-</v>
      </c>
      <c r="F48" s="50" t="str">
        <f>IFERROR(IF(VLOOKUP($B48,casostestes[#Data],4)=0,"-",VLOOKUP($B48,casostestes[#Data],4)),"-")</f>
        <v>-</v>
      </c>
      <c r="G48" s="50" t="str">
        <f>IFERROR(IF(VLOOKUP($B48,casostestes[#Data],5)=0,"-",VLOOKUP($B48,casostestes[#Data],5)),"-")</f>
        <v>-</v>
      </c>
      <c r="H48" s="50" t="str">
        <f>IFERROR(IF(VLOOKUP($B48,casostestes[#Data],6)=0,"-",VLOOKUP($B48,casostestes[#Data],6)),"-")</f>
        <v>-</v>
      </c>
      <c r="I48" s="50" t="str">
        <f>IFERROR(IF(VLOOKUP($B48,casostestes[#Data],8)=0,"-",VLOOKUP($B48,casostestes[#Data],8)),"-")</f>
        <v>-</v>
      </c>
      <c r="J48" s="50" t="str">
        <f>IFERROR(IF(VLOOKUP($B48,casostestes[#Data],9)=0,"-",VLOOKUP($B48,casostestes[#Data],9)),"-")</f>
        <v>-</v>
      </c>
      <c r="K48" s="51"/>
      <c r="L48" s="119"/>
      <c r="M48" s="53"/>
      <c r="N48" s="54"/>
      <c r="O48" s="54"/>
      <c r="P48" s="55"/>
    </row>
    <row r="49" spans="2:16">
      <c r="B49" s="56" t="str">
        <f>IF(ISERR(casostestes[[#This Row],[ID]]),"-",casostestes[[#This Row],[ID]])</f>
        <v>-</v>
      </c>
      <c r="C49" s="49" t="str">
        <f>IFERROR(IF(VLOOKUP($B49,casostestes[#Data],10)=0,"Não",VLOOKUP($B49,casostestes[#Data],10)), "-")</f>
        <v>-</v>
      </c>
      <c r="D49" s="50" t="str">
        <f>IFERROR(IF(VLOOKUP($B49,casostestes[#Data],2)=0,"-",VLOOKUP($B49,casostestes[#Data],2)), "-")</f>
        <v>-</v>
      </c>
      <c r="E49" s="50" t="str">
        <f>IFERROR(IF(VLOOKUP($B49,casostestes[#Data],3)=0,"-",VLOOKUP($B49,casostestes[#Data],3)), "-")</f>
        <v>-</v>
      </c>
      <c r="F49" s="50" t="str">
        <f>IFERROR(IF(VLOOKUP($B49,casostestes[#Data],4)=0,"-",VLOOKUP($B49,casostestes[#Data],4)),"-")</f>
        <v>-</v>
      </c>
      <c r="G49" s="50" t="str">
        <f>IFERROR(IF(VLOOKUP($B49,casostestes[#Data],5)=0,"-",VLOOKUP($B49,casostestes[#Data],5)),"-")</f>
        <v>-</v>
      </c>
      <c r="H49" s="50" t="str">
        <f>IFERROR(IF(VLOOKUP($B49,casostestes[#Data],6)=0,"-",VLOOKUP($B49,casostestes[#Data],6)),"-")</f>
        <v>-</v>
      </c>
      <c r="I49" s="50" t="str">
        <f>IFERROR(IF(VLOOKUP($B49,casostestes[#Data],8)=0,"-",VLOOKUP($B49,casostestes[#Data],8)),"-")</f>
        <v>-</v>
      </c>
      <c r="J49" s="50" t="str">
        <f>IFERROR(IF(VLOOKUP($B49,casostestes[#Data],9)=0,"-",VLOOKUP($B49,casostestes[#Data],9)),"-")</f>
        <v>-</v>
      </c>
      <c r="K49" s="51"/>
      <c r="L49" s="119"/>
      <c r="M49" s="53"/>
      <c r="N49" s="54"/>
      <c r="O49" s="54"/>
      <c r="P49" s="55"/>
    </row>
    <row r="50" spans="2:16">
      <c r="B50" s="56" t="str">
        <f>IF(ISERR(casostestes[[#This Row],[ID]]),"-",casostestes[[#This Row],[ID]])</f>
        <v>-</v>
      </c>
      <c r="C50" s="49" t="str">
        <f>IFERROR(IF(VLOOKUP($B50,casostestes[#Data],10)=0,"Não",VLOOKUP($B50,casostestes[#Data],10)), "-")</f>
        <v>-</v>
      </c>
      <c r="D50" s="50" t="str">
        <f>IFERROR(IF(VLOOKUP($B50,casostestes[#Data],2)=0,"-",VLOOKUP($B50,casostestes[#Data],2)), "-")</f>
        <v>-</v>
      </c>
      <c r="E50" s="50" t="str">
        <f>IFERROR(IF(VLOOKUP($B50,casostestes[#Data],3)=0,"-",VLOOKUP($B50,casostestes[#Data],3)), "-")</f>
        <v>-</v>
      </c>
      <c r="F50" s="50" t="str">
        <f>IFERROR(IF(VLOOKUP($B50,casostestes[#Data],4)=0,"-",VLOOKUP($B50,casostestes[#Data],4)),"-")</f>
        <v>-</v>
      </c>
      <c r="G50" s="50" t="str">
        <f>IFERROR(IF(VLOOKUP($B50,casostestes[#Data],5)=0,"-",VLOOKUP($B50,casostestes[#Data],5)),"-")</f>
        <v>-</v>
      </c>
      <c r="H50" s="50" t="str">
        <f>IFERROR(IF(VLOOKUP($B50,casostestes[#Data],6)=0,"-",VLOOKUP($B50,casostestes[#Data],6)),"-")</f>
        <v>-</v>
      </c>
      <c r="I50" s="50" t="str">
        <f>IFERROR(IF(VLOOKUP($B50,casostestes[#Data],8)=0,"-",VLOOKUP($B50,casostestes[#Data],8)),"-")</f>
        <v>-</v>
      </c>
      <c r="J50" s="50" t="str">
        <f>IFERROR(IF(VLOOKUP($B50,casostestes[#Data],9)=0,"-",VLOOKUP($B50,casostestes[#Data],9)),"-")</f>
        <v>-</v>
      </c>
      <c r="K50" s="51"/>
      <c r="L50" s="119"/>
      <c r="M50" s="53"/>
      <c r="N50" s="54"/>
      <c r="O50" s="54"/>
      <c r="P50" s="55"/>
    </row>
    <row r="51" spans="2:16">
      <c r="B51" s="56" t="str">
        <f>IF(ISERR(casostestes[[#This Row],[ID]]),"-",casostestes[[#This Row],[ID]])</f>
        <v>-</v>
      </c>
      <c r="C51" s="49" t="str">
        <f>IFERROR(IF(VLOOKUP($B51,casostestes[#Data],10)=0,"Não",VLOOKUP($B51,casostestes[#Data],10)), "-")</f>
        <v>-</v>
      </c>
      <c r="D51" s="50" t="str">
        <f>IFERROR(IF(VLOOKUP($B51,casostestes[#Data],2)=0,"-",VLOOKUP($B51,casostestes[#Data],2)), "-")</f>
        <v>-</v>
      </c>
      <c r="E51" s="50" t="str">
        <f>IFERROR(IF(VLOOKUP($B51,casostestes[#Data],3)=0,"-",VLOOKUP($B51,casostestes[#Data],3)), "-")</f>
        <v>-</v>
      </c>
      <c r="F51" s="50" t="str">
        <f>IFERROR(IF(VLOOKUP($B51,casostestes[#Data],4)=0,"-",VLOOKUP($B51,casostestes[#Data],4)),"-")</f>
        <v>-</v>
      </c>
      <c r="G51" s="50" t="str">
        <f>IFERROR(IF(VLOOKUP($B51,casostestes[#Data],5)=0,"-",VLOOKUP($B51,casostestes[#Data],5)),"-")</f>
        <v>-</v>
      </c>
      <c r="H51" s="50" t="str">
        <f>IFERROR(IF(VLOOKUP($B51,casostestes[#Data],6)=0,"-",VLOOKUP($B51,casostestes[#Data],6)),"-")</f>
        <v>-</v>
      </c>
      <c r="I51" s="50" t="str">
        <f>IFERROR(IF(VLOOKUP($B51,casostestes[#Data],8)=0,"-",VLOOKUP($B51,casostestes[#Data],8)),"-")</f>
        <v>-</v>
      </c>
      <c r="J51" s="50" t="str">
        <f>IFERROR(IF(VLOOKUP($B51,casostestes[#Data],9)=0,"-",VLOOKUP($B51,casostestes[#Data],9)),"-")</f>
        <v>-</v>
      </c>
      <c r="K51" s="51"/>
      <c r="L51" s="119"/>
      <c r="M51" s="53"/>
      <c r="N51" s="54"/>
      <c r="O51" s="54"/>
      <c r="P51" s="55"/>
    </row>
    <row r="52" spans="2:16">
      <c r="B52" s="56" t="str">
        <f>IF(ISERR(casostestes[[#This Row],[ID]]),"-",casostestes[[#This Row],[ID]])</f>
        <v>-</v>
      </c>
      <c r="C52" s="49" t="str">
        <f>IFERROR(IF(VLOOKUP($B52,casostestes[#Data],10)=0,"Não",VLOOKUP($B52,casostestes[#Data],10)), "-")</f>
        <v>-</v>
      </c>
      <c r="D52" s="50" t="str">
        <f>IFERROR(IF(VLOOKUP($B52,casostestes[#Data],2)=0,"-",VLOOKUP($B52,casostestes[#Data],2)), "-")</f>
        <v>-</v>
      </c>
      <c r="E52" s="50" t="str">
        <f>IFERROR(IF(VLOOKUP($B52,casostestes[#Data],3)=0,"-",VLOOKUP($B52,casostestes[#Data],3)), "-")</f>
        <v>-</v>
      </c>
      <c r="F52" s="50" t="str">
        <f>IFERROR(IF(VLOOKUP($B52,casostestes[#Data],4)=0,"-",VLOOKUP($B52,casostestes[#Data],4)),"-")</f>
        <v>-</v>
      </c>
      <c r="G52" s="50" t="str">
        <f>IFERROR(IF(VLOOKUP($B52,casostestes[#Data],5)=0,"-",VLOOKUP($B52,casostestes[#Data],5)),"-")</f>
        <v>-</v>
      </c>
      <c r="H52" s="50" t="str">
        <f>IFERROR(IF(VLOOKUP($B52,casostestes[#Data],6)=0,"-",VLOOKUP($B52,casostestes[#Data],6)),"-")</f>
        <v>-</v>
      </c>
      <c r="I52" s="50" t="str">
        <f>IFERROR(IF(VLOOKUP($B52,casostestes[#Data],8)=0,"-",VLOOKUP($B52,casostestes[#Data],8)),"-")</f>
        <v>-</v>
      </c>
      <c r="J52" s="50" t="str">
        <f>IFERROR(IF(VLOOKUP($B52,casostestes[#Data],9)=0,"-",VLOOKUP($B52,casostestes[#Data],9)),"-")</f>
        <v>-</v>
      </c>
      <c r="K52" s="51"/>
      <c r="L52" s="119"/>
      <c r="M52" s="53"/>
      <c r="N52" s="54"/>
      <c r="O52" s="54"/>
      <c r="P52" s="55"/>
    </row>
    <row r="53" spans="2:16">
      <c r="B53" s="56" t="str">
        <f>IF(ISERR(casostestes[[#This Row],[ID]]),"-",casostestes[[#This Row],[ID]])</f>
        <v>-</v>
      </c>
      <c r="C53" s="49" t="str">
        <f>IFERROR(IF(VLOOKUP($B53,casostestes[#Data],10)=0,"Não",VLOOKUP($B53,casostestes[#Data],10)), "-")</f>
        <v>-</v>
      </c>
      <c r="D53" s="50" t="str">
        <f>IFERROR(IF(VLOOKUP($B53,casostestes[#Data],2)=0,"-",VLOOKUP($B53,casostestes[#Data],2)), "-")</f>
        <v>-</v>
      </c>
      <c r="E53" s="50" t="str">
        <f>IFERROR(IF(VLOOKUP($B53,casostestes[#Data],3)=0,"-",VLOOKUP($B53,casostestes[#Data],3)), "-")</f>
        <v>-</v>
      </c>
      <c r="F53" s="50" t="str">
        <f>IFERROR(IF(VLOOKUP($B53,casostestes[#Data],4)=0,"-",VLOOKUP($B53,casostestes[#Data],4)),"-")</f>
        <v>-</v>
      </c>
      <c r="G53" s="50" t="str">
        <f>IFERROR(IF(VLOOKUP($B53,casostestes[#Data],5)=0,"-",VLOOKUP($B53,casostestes[#Data],5)),"-")</f>
        <v>-</v>
      </c>
      <c r="H53" s="50" t="str">
        <f>IFERROR(IF(VLOOKUP($B53,casostestes[#Data],6)=0,"-",VLOOKUP($B53,casostestes[#Data],6)),"-")</f>
        <v>-</v>
      </c>
      <c r="I53" s="50" t="str">
        <f>IFERROR(IF(VLOOKUP($B53,casostestes[#Data],8)=0,"-",VLOOKUP($B53,casostestes[#Data],8)),"-")</f>
        <v>-</v>
      </c>
      <c r="J53" s="50" t="str">
        <f>IFERROR(IF(VLOOKUP($B53,casostestes[#Data],9)=0,"-",VLOOKUP($B53,casostestes[#Data],9)),"-")</f>
        <v>-</v>
      </c>
      <c r="K53" s="51"/>
      <c r="L53" s="119"/>
      <c r="M53" s="53"/>
      <c r="N53" s="54"/>
      <c r="O53" s="54"/>
      <c r="P53" s="55"/>
    </row>
    <row r="54" spans="2:16">
      <c r="B54" s="56" t="str">
        <f>IF(ISERR(casostestes[[#This Row],[ID]]),"-",casostestes[[#This Row],[ID]])</f>
        <v>-</v>
      </c>
      <c r="C54" s="49" t="str">
        <f>IFERROR(IF(VLOOKUP($B54,casostestes[#Data],10)=0,"Não",VLOOKUP($B54,casostestes[#Data],10)), "-")</f>
        <v>-</v>
      </c>
      <c r="D54" s="50" t="str">
        <f>IFERROR(IF(VLOOKUP($B54,casostestes[#Data],2)=0,"-",VLOOKUP($B54,casostestes[#Data],2)), "-")</f>
        <v>-</v>
      </c>
      <c r="E54" s="50" t="str">
        <f>IFERROR(IF(VLOOKUP($B54,casostestes[#Data],3)=0,"-",VLOOKUP($B54,casostestes[#Data],3)), "-")</f>
        <v>-</v>
      </c>
      <c r="F54" s="50" t="str">
        <f>IFERROR(IF(VLOOKUP($B54,casostestes[#Data],4)=0,"-",VLOOKUP($B54,casostestes[#Data],4)),"-")</f>
        <v>-</v>
      </c>
      <c r="G54" s="50" t="str">
        <f>IFERROR(IF(VLOOKUP($B54,casostestes[#Data],5)=0,"-",VLOOKUP($B54,casostestes[#Data],5)),"-")</f>
        <v>-</v>
      </c>
      <c r="H54" s="50" t="str">
        <f>IFERROR(IF(VLOOKUP($B54,casostestes[#Data],6)=0,"-",VLOOKUP($B54,casostestes[#Data],6)),"-")</f>
        <v>-</v>
      </c>
      <c r="I54" s="50" t="str">
        <f>IFERROR(IF(VLOOKUP($B54,casostestes[#Data],8)=0,"-",VLOOKUP($B54,casostestes[#Data],8)),"-")</f>
        <v>-</v>
      </c>
      <c r="J54" s="50" t="str">
        <f>IFERROR(IF(VLOOKUP($B54,casostestes[#Data],9)=0,"-",VLOOKUP($B54,casostestes[#Data],9)),"-")</f>
        <v>-</v>
      </c>
      <c r="K54" s="51"/>
      <c r="L54" s="119"/>
      <c r="M54" s="53"/>
      <c r="N54" s="54"/>
      <c r="O54" s="54"/>
      <c r="P54" s="55"/>
    </row>
    <row r="55" spans="2:16">
      <c r="B55" s="56" t="str">
        <f>IF(ISERR(casostestes[[#This Row],[ID]]),"-",casostestes[[#This Row],[ID]])</f>
        <v>-</v>
      </c>
      <c r="C55" s="49" t="str">
        <f>IFERROR(IF(VLOOKUP($B55,casostestes[#Data],10)=0,"Não",VLOOKUP($B55,casostestes[#Data],10)), "-")</f>
        <v>-</v>
      </c>
      <c r="D55" s="50" t="str">
        <f>IFERROR(IF(VLOOKUP($B55,casostestes[#Data],2)=0,"-",VLOOKUP($B55,casostestes[#Data],2)), "-")</f>
        <v>-</v>
      </c>
      <c r="E55" s="50" t="str">
        <f>IFERROR(IF(VLOOKUP($B55,casostestes[#Data],3)=0,"-",VLOOKUP($B55,casostestes[#Data],3)), "-")</f>
        <v>-</v>
      </c>
      <c r="F55" s="50" t="str">
        <f>IFERROR(IF(VLOOKUP($B55,casostestes[#Data],4)=0,"-",VLOOKUP($B55,casostestes[#Data],4)),"-")</f>
        <v>-</v>
      </c>
      <c r="G55" s="50" t="str">
        <f>IFERROR(IF(VLOOKUP($B55,casostestes[#Data],5)=0,"-",VLOOKUP($B55,casostestes[#Data],5)),"-")</f>
        <v>-</v>
      </c>
      <c r="H55" s="50" t="str">
        <f>IFERROR(IF(VLOOKUP($B55,casostestes[#Data],6)=0,"-",VLOOKUP($B55,casostestes[#Data],6)),"-")</f>
        <v>-</v>
      </c>
      <c r="I55" s="50" t="str">
        <f>IFERROR(IF(VLOOKUP($B55,casostestes[#Data],8)=0,"-",VLOOKUP($B55,casostestes[#Data],8)),"-")</f>
        <v>-</v>
      </c>
      <c r="J55" s="50" t="str">
        <f>IFERROR(IF(VLOOKUP($B55,casostestes[#Data],9)=0,"-",VLOOKUP($B55,casostestes[#Data],9)),"-")</f>
        <v>-</v>
      </c>
      <c r="K55" s="51"/>
      <c r="L55" s="119"/>
      <c r="M55" s="53"/>
      <c r="N55" s="54"/>
      <c r="O55" s="54"/>
      <c r="P55" s="55"/>
    </row>
    <row r="56" spans="2:16">
      <c r="B56" s="56" t="str">
        <f>IF(ISERR(casostestes[[#This Row],[ID]]),"-",casostestes[[#This Row],[ID]])</f>
        <v>-</v>
      </c>
      <c r="C56" s="49" t="str">
        <f>IFERROR(IF(VLOOKUP($B56,casostestes[#Data],10)=0,"Não",VLOOKUP($B56,casostestes[#Data],10)), "-")</f>
        <v>-</v>
      </c>
      <c r="D56" s="50" t="str">
        <f>IFERROR(IF(VLOOKUP($B56,casostestes[#Data],2)=0,"-",VLOOKUP($B56,casostestes[#Data],2)), "-")</f>
        <v>-</v>
      </c>
      <c r="E56" s="50" t="str">
        <f>IFERROR(IF(VLOOKUP($B56,casostestes[#Data],3)=0,"-",VLOOKUP($B56,casostestes[#Data],3)), "-")</f>
        <v>-</v>
      </c>
      <c r="F56" s="50" t="str">
        <f>IFERROR(IF(VLOOKUP($B56,casostestes[#Data],4)=0,"-",VLOOKUP($B56,casostestes[#Data],4)),"-")</f>
        <v>-</v>
      </c>
      <c r="G56" s="50" t="str">
        <f>IFERROR(IF(VLOOKUP($B56,casostestes[#Data],5)=0,"-",VLOOKUP($B56,casostestes[#Data],5)),"-")</f>
        <v>-</v>
      </c>
      <c r="H56" s="50" t="str">
        <f>IFERROR(IF(VLOOKUP($B56,casostestes[#Data],6)=0,"-",VLOOKUP($B56,casostestes[#Data],6)),"-")</f>
        <v>-</v>
      </c>
      <c r="I56" s="50" t="str">
        <f>IFERROR(IF(VLOOKUP($B56,casostestes[#Data],8)=0,"-",VLOOKUP($B56,casostestes[#Data],8)),"-")</f>
        <v>-</v>
      </c>
      <c r="J56" s="50" t="str">
        <f>IFERROR(IF(VLOOKUP($B56,casostestes[#Data],9)=0,"-",VLOOKUP($B56,casostestes[#Data],9)),"-")</f>
        <v>-</v>
      </c>
      <c r="K56" s="51"/>
      <c r="L56" s="119"/>
      <c r="M56" s="53"/>
      <c r="N56" s="54"/>
      <c r="O56" s="54"/>
      <c r="P56" s="55"/>
    </row>
    <row r="57" spans="2:16">
      <c r="B57" s="56" t="str">
        <f>IF(ISERR(casostestes[[#This Row],[ID]]),"-",casostestes[[#This Row],[ID]])</f>
        <v>-</v>
      </c>
      <c r="C57" s="49" t="str">
        <f>IFERROR(IF(VLOOKUP($B57,casostestes[#Data],10)=0,"Não",VLOOKUP($B57,casostestes[#Data],10)), "-")</f>
        <v>-</v>
      </c>
      <c r="D57" s="50" t="str">
        <f>IFERROR(IF(VLOOKUP($B57,casostestes[#Data],2)=0,"-",VLOOKUP($B57,casostestes[#Data],2)), "-")</f>
        <v>-</v>
      </c>
      <c r="E57" s="50" t="str">
        <f>IFERROR(IF(VLOOKUP($B57,casostestes[#Data],3)=0,"-",VLOOKUP($B57,casostestes[#Data],3)), "-")</f>
        <v>-</v>
      </c>
      <c r="F57" s="50" t="str">
        <f>IFERROR(IF(VLOOKUP($B57,casostestes[#Data],4)=0,"-",VLOOKUP($B57,casostestes[#Data],4)),"-")</f>
        <v>-</v>
      </c>
      <c r="G57" s="50" t="str">
        <f>IFERROR(IF(VLOOKUP($B57,casostestes[#Data],5)=0,"-",VLOOKUP($B57,casostestes[#Data],5)),"-")</f>
        <v>-</v>
      </c>
      <c r="H57" s="50" t="str">
        <f>IFERROR(IF(VLOOKUP($B57,casostestes[#Data],6)=0,"-",VLOOKUP($B57,casostestes[#Data],6)),"-")</f>
        <v>-</v>
      </c>
      <c r="I57" s="50" t="str">
        <f>IFERROR(IF(VLOOKUP($B57,casostestes[#Data],8)=0,"-",VLOOKUP($B57,casostestes[#Data],8)),"-")</f>
        <v>-</v>
      </c>
      <c r="J57" s="50" t="str">
        <f>IFERROR(IF(VLOOKUP($B57,casostestes[#Data],9)=0,"-",VLOOKUP($B57,casostestes[#Data],9)),"-")</f>
        <v>-</v>
      </c>
      <c r="K57" s="51"/>
      <c r="L57" s="119"/>
      <c r="M57" s="53"/>
      <c r="N57" s="54"/>
      <c r="O57" s="54"/>
      <c r="P57" s="55"/>
    </row>
    <row r="58" spans="2:16">
      <c r="B58" s="56" t="str">
        <f>IF(ISERR(casostestes[[#This Row],[ID]]),"-",casostestes[[#This Row],[ID]])</f>
        <v>-</v>
      </c>
      <c r="C58" s="49" t="str">
        <f>IFERROR(IF(VLOOKUP($B58,casostestes[#Data],10)=0,"Não",VLOOKUP($B58,casostestes[#Data],10)), "-")</f>
        <v>-</v>
      </c>
      <c r="D58" s="50" t="str">
        <f>IFERROR(IF(VLOOKUP($B58,casostestes[#Data],2)=0,"-",VLOOKUP($B58,casostestes[#Data],2)), "-")</f>
        <v>-</v>
      </c>
      <c r="E58" s="50" t="str">
        <f>IFERROR(IF(VLOOKUP($B58,casostestes[#Data],3)=0,"-",VLOOKUP($B58,casostestes[#Data],3)), "-")</f>
        <v>-</v>
      </c>
      <c r="F58" s="50" t="str">
        <f>IFERROR(IF(VLOOKUP($B58,casostestes[#Data],4)=0,"-",VLOOKUP($B58,casostestes[#Data],4)),"-")</f>
        <v>-</v>
      </c>
      <c r="G58" s="50" t="str">
        <f>IFERROR(IF(VLOOKUP($B58,casostestes[#Data],5)=0,"-",VLOOKUP($B58,casostestes[#Data],5)),"-")</f>
        <v>-</v>
      </c>
      <c r="H58" s="50" t="str">
        <f>IFERROR(IF(VLOOKUP($B58,casostestes[#Data],6)=0,"-",VLOOKUP($B58,casostestes[#Data],6)),"-")</f>
        <v>-</v>
      </c>
      <c r="I58" s="50" t="str">
        <f>IFERROR(IF(VLOOKUP($B58,casostestes[#Data],8)=0,"-",VLOOKUP($B58,casostestes[#Data],8)),"-")</f>
        <v>-</v>
      </c>
      <c r="J58" s="50" t="str">
        <f>IFERROR(IF(VLOOKUP($B58,casostestes[#Data],9)=0,"-",VLOOKUP($B58,casostestes[#Data],9)),"-")</f>
        <v>-</v>
      </c>
      <c r="K58" s="51"/>
      <c r="L58" s="119"/>
      <c r="M58" s="53"/>
      <c r="N58" s="54"/>
      <c r="O58" s="54"/>
      <c r="P58" s="55"/>
    </row>
    <row r="59" spans="2:16">
      <c r="B59" s="56" t="str">
        <f>IF(ISERR(casostestes[[#This Row],[ID]]),"-",casostestes[[#This Row],[ID]])</f>
        <v>-</v>
      </c>
      <c r="C59" s="49" t="str">
        <f>IFERROR(IF(VLOOKUP($B59,casostestes[#Data],10)=0,"Não",VLOOKUP($B59,casostestes[#Data],10)), "-")</f>
        <v>-</v>
      </c>
      <c r="D59" s="50" t="str">
        <f>IFERROR(IF(VLOOKUP($B59,casostestes[#Data],2)=0,"-",VLOOKUP($B59,casostestes[#Data],2)), "-")</f>
        <v>-</v>
      </c>
      <c r="E59" s="50" t="str">
        <f>IFERROR(IF(VLOOKUP($B59,casostestes[#Data],3)=0,"-",VLOOKUP($B59,casostestes[#Data],3)), "-")</f>
        <v>-</v>
      </c>
      <c r="F59" s="50" t="str">
        <f>IFERROR(IF(VLOOKUP($B59,casostestes[#Data],4)=0,"-",VLOOKUP($B59,casostestes[#Data],4)),"-")</f>
        <v>-</v>
      </c>
      <c r="G59" s="50" t="str">
        <f>IFERROR(IF(VLOOKUP($B59,casostestes[#Data],5)=0,"-",VLOOKUP($B59,casostestes[#Data],5)),"-")</f>
        <v>-</v>
      </c>
      <c r="H59" s="50" t="str">
        <f>IFERROR(IF(VLOOKUP($B59,casostestes[#Data],6)=0,"-",VLOOKUP($B59,casostestes[#Data],6)),"-")</f>
        <v>-</v>
      </c>
      <c r="I59" s="50" t="str">
        <f>IFERROR(IF(VLOOKUP($B59,casostestes[#Data],8)=0,"-",VLOOKUP($B59,casostestes[#Data],8)),"-")</f>
        <v>-</v>
      </c>
      <c r="J59" s="50" t="str">
        <f>IFERROR(IF(VLOOKUP($B59,casostestes[#Data],9)=0,"-",VLOOKUP($B59,casostestes[#Data],9)),"-")</f>
        <v>-</v>
      </c>
      <c r="K59" s="51"/>
      <c r="L59" s="119"/>
      <c r="M59" s="53"/>
      <c r="N59" s="54"/>
      <c r="O59" s="54"/>
      <c r="P59" s="55"/>
    </row>
    <row r="60" spans="2:16">
      <c r="B60" s="56" t="str">
        <f>IF(ISERR(casostestes[[#This Row],[ID]]),"-",casostestes[[#This Row],[ID]])</f>
        <v>-</v>
      </c>
      <c r="C60" s="49" t="str">
        <f>IFERROR(IF(VLOOKUP($B60,casostestes[#Data],10)=0,"Não",VLOOKUP($B60,casostestes[#Data],10)), "-")</f>
        <v>-</v>
      </c>
      <c r="D60" s="50" t="str">
        <f>IFERROR(IF(VLOOKUP($B60,casostestes[#Data],2)=0,"-",VLOOKUP($B60,casostestes[#Data],2)), "-")</f>
        <v>-</v>
      </c>
      <c r="E60" s="50" t="str">
        <f>IFERROR(IF(VLOOKUP($B60,casostestes[#Data],3)=0,"-",VLOOKUP($B60,casostestes[#Data],3)), "-")</f>
        <v>-</v>
      </c>
      <c r="F60" s="50" t="str">
        <f>IFERROR(IF(VLOOKUP($B60,casostestes[#Data],4)=0,"-",VLOOKUP($B60,casostestes[#Data],4)),"-")</f>
        <v>-</v>
      </c>
      <c r="G60" s="50" t="str">
        <f>IFERROR(IF(VLOOKUP($B60,casostestes[#Data],5)=0,"-",VLOOKUP($B60,casostestes[#Data],5)),"-")</f>
        <v>-</v>
      </c>
      <c r="H60" s="50" t="str">
        <f>IFERROR(IF(VLOOKUP($B60,casostestes[#Data],6)=0,"-",VLOOKUP($B60,casostestes[#Data],6)),"-")</f>
        <v>-</v>
      </c>
      <c r="I60" s="50" t="str">
        <f>IFERROR(IF(VLOOKUP($B60,casostestes[#Data],8)=0,"-",VLOOKUP($B60,casostestes[#Data],8)),"-")</f>
        <v>-</v>
      </c>
      <c r="J60" s="50" t="str">
        <f>IFERROR(IF(VLOOKUP($B60,casostestes[#Data],9)=0,"-",VLOOKUP($B60,casostestes[#Data],9)),"-")</f>
        <v>-</v>
      </c>
      <c r="K60" s="51"/>
      <c r="L60" s="119"/>
      <c r="M60" s="53"/>
      <c r="N60" s="54"/>
      <c r="O60" s="54"/>
      <c r="P60" s="55"/>
    </row>
    <row r="61" spans="2:16">
      <c r="B61" s="56" t="str">
        <f>IF(ISERR(casostestes[[#This Row],[ID]]),"-",casostestes[[#This Row],[ID]])</f>
        <v>-</v>
      </c>
      <c r="C61" s="49" t="str">
        <f>IFERROR(IF(VLOOKUP($B61,casostestes[#Data],10)=0,"Não",VLOOKUP($B61,casostestes[#Data],10)), "-")</f>
        <v>-</v>
      </c>
      <c r="D61" s="50" t="str">
        <f>IFERROR(IF(VLOOKUP($B61,casostestes[#Data],2)=0,"-",VLOOKUP($B61,casostestes[#Data],2)), "-")</f>
        <v>-</v>
      </c>
      <c r="E61" s="50" t="str">
        <f>IFERROR(IF(VLOOKUP($B61,casostestes[#Data],3)=0,"-",VLOOKUP($B61,casostestes[#Data],3)), "-")</f>
        <v>-</v>
      </c>
      <c r="F61" s="50" t="str">
        <f>IFERROR(IF(VLOOKUP($B61,casostestes[#Data],4)=0,"-",VLOOKUP($B61,casostestes[#Data],4)),"-")</f>
        <v>-</v>
      </c>
      <c r="G61" s="50" t="str">
        <f>IFERROR(IF(VLOOKUP($B61,casostestes[#Data],5)=0,"-",VLOOKUP($B61,casostestes[#Data],5)),"-")</f>
        <v>-</v>
      </c>
      <c r="H61" s="50" t="str">
        <f>IFERROR(IF(VLOOKUP($B61,casostestes[#Data],6)=0,"-",VLOOKUP($B61,casostestes[#Data],6)),"-")</f>
        <v>-</v>
      </c>
      <c r="I61" s="50" t="str">
        <f>IFERROR(IF(VLOOKUP($B61,casostestes[#Data],8)=0,"-",VLOOKUP($B61,casostestes[#Data],8)),"-")</f>
        <v>-</v>
      </c>
      <c r="J61" s="50" t="str">
        <f>IFERROR(IF(VLOOKUP($B61,casostestes[#Data],9)=0,"-",VLOOKUP($B61,casostestes[#Data],9)),"-")</f>
        <v>-</v>
      </c>
      <c r="K61" s="51"/>
      <c r="L61" s="119"/>
      <c r="M61" s="53"/>
      <c r="N61" s="54"/>
      <c r="O61" s="54"/>
      <c r="P61" s="55"/>
    </row>
    <row r="62" spans="2:16">
      <c r="B62" s="56" t="str">
        <f>IF(ISERR(casostestes[[#This Row],[ID]]),"-",casostestes[[#This Row],[ID]])</f>
        <v>-</v>
      </c>
      <c r="C62" s="49" t="str">
        <f>IFERROR(IF(VLOOKUP($B62,casostestes[#Data],10)=0,"Não",VLOOKUP($B62,casostestes[#Data],10)), "-")</f>
        <v>-</v>
      </c>
      <c r="D62" s="50" t="str">
        <f>IFERROR(IF(VLOOKUP($B62,casostestes[#Data],2)=0,"-",VLOOKUP($B62,casostestes[#Data],2)), "-")</f>
        <v>-</v>
      </c>
      <c r="E62" s="50" t="str">
        <f>IFERROR(IF(VLOOKUP($B62,casostestes[#Data],3)=0,"-",VLOOKUP($B62,casostestes[#Data],3)), "-")</f>
        <v>-</v>
      </c>
      <c r="F62" s="50" t="str">
        <f>IFERROR(IF(VLOOKUP($B62,casostestes[#Data],4)=0,"-",VLOOKUP($B62,casostestes[#Data],4)),"-")</f>
        <v>-</v>
      </c>
      <c r="G62" s="50" t="str">
        <f>IFERROR(IF(VLOOKUP($B62,casostestes[#Data],5)=0,"-",VLOOKUP($B62,casostestes[#Data],5)),"-")</f>
        <v>-</v>
      </c>
      <c r="H62" s="50" t="str">
        <f>IFERROR(IF(VLOOKUP($B62,casostestes[#Data],6)=0,"-",VLOOKUP($B62,casostestes[#Data],6)),"-")</f>
        <v>-</v>
      </c>
      <c r="I62" s="50" t="str">
        <f>IFERROR(IF(VLOOKUP($B62,casostestes[#Data],8)=0,"-",VLOOKUP($B62,casostestes[#Data],8)),"-")</f>
        <v>-</v>
      </c>
      <c r="J62" s="50" t="str">
        <f>IFERROR(IF(VLOOKUP($B62,casostestes[#Data],9)=0,"-",VLOOKUP($B62,casostestes[#Data],9)),"-")</f>
        <v>-</v>
      </c>
      <c r="K62" s="51"/>
      <c r="L62" s="119"/>
      <c r="M62" s="53"/>
      <c r="N62" s="54"/>
      <c r="O62" s="54"/>
      <c r="P62" s="55"/>
    </row>
    <row r="63" spans="2:16">
      <c r="B63" s="56" t="str">
        <f>IF(ISERR(casostestes[[#This Row],[ID]]),"-",casostestes[[#This Row],[ID]])</f>
        <v>-</v>
      </c>
      <c r="C63" s="49" t="str">
        <f>IFERROR(IF(VLOOKUP($B63,casostestes[#Data],10)=0,"Não",VLOOKUP($B63,casostestes[#Data],10)), "-")</f>
        <v>-</v>
      </c>
      <c r="D63" s="50" t="str">
        <f>IFERROR(IF(VLOOKUP($B63,casostestes[#Data],2)=0,"-",VLOOKUP($B63,casostestes[#Data],2)), "-")</f>
        <v>-</v>
      </c>
      <c r="E63" s="50" t="str">
        <f>IFERROR(IF(VLOOKUP($B63,casostestes[#Data],3)=0,"-",VLOOKUP($B63,casostestes[#Data],3)), "-")</f>
        <v>-</v>
      </c>
      <c r="F63" s="50" t="str">
        <f>IFERROR(IF(VLOOKUP($B63,casostestes[#Data],4)=0,"-",VLOOKUP($B63,casostestes[#Data],4)),"-")</f>
        <v>-</v>
      </c>
      <c r="G63" s="50" t="str">
        <f>IFERROR(IF(VLOOKUP($B63,casostestes[#Data],5)=0,"-",VLOOKUP($B63,casostestes[#Data],5)),"-")</f>
        <v>-</v>
      </c>
      <c r="H63" s="50" t="str">
        <f>IFERROR(IF(VLOOKUP($B63,casostestes[#Data],6)=0,"-",VLOOKUP($B63,casostestes[#Data],6)),"-")</f>
        <v>-</v>
      </c>
      <c r="I63" s="50" t="str">
        <f>IFERROR(IF(VLOOKUP($B63,casostestes[#Data],8)=0,"-",VLOOKUP($B63,casostestes[#Data],8)),"-")</f>
        <v>-</v>
      </c>
      <c r="J63" s="50" t="str">
        <f>IFERROR(IF(VLOOKUP($B63,casostestes[#Data],9)=0,"-",VLOOKUP($B63,casostestes[#Data],9)),"-")</f>
        <v>-</v>
      </c>
      <c r="K63" s="51"/>
      <c r="L63" s="119"/>
      <c r="M63" s="53"/>
      <c r="N63" s="54"/>
      <c r="O63" s="54"/>
      <c r="P63" s="55"/>
    </row>
    <row r="64" spans="2:16">
      <c r="B64" s="56" t="str">
        <f>IF(ISERR(casostestes[[#This Row],[ID]]),"-",casostestes[[#This Row],[ID]])</f>
        <v>-</v>
      </c>
      <c r="C64" s="49" t="str">
        <f>IFERROR(IF(VLOOKUP($B64,casostestes[#Data],10)=0,"Não",VLOOKUP($B64,casostestes[#Data],10)), "-")</f>
        <v>-</v>
      </c>
      <c r="D64" s="50" t="str">
        <f>IFERROR(IF(VLOOKUP($B64,casostestes[#Data],2)=0,"-",VLOOKUP($B64,casostestes[#Data],2)), "-")</f>
        <v>-</v>
      </c>
      <c r="E64" s="50" t="str">
        <f>IFERROR(IF(VLOOKUP($B64,casostestes[#Data],3)=0,"-",VLOOKUP($B64,casostestes[#Data],3)), "-")</f>
        <v>-</v>
      </c>
      <c r="F64" s="50" t="str">
        <f>IFERROR(IF(VLOOKUP($B64,casostestes[#Data],4)=0,"-",VLOOKUP($B64,casostestes[#Data],4)),"-")</f>
        <v>-</v>
      </c>
      <c r="G64" s="50" t="str">
        <f>IFERROR(IF(VLOOKUP($B64,casostestes[#Data],5)=0,"-",VLOOKUP($B64,casostestes[#Data],5)),"-")</f>
        <v>-</v>
      </c>
      <c r="H64" s="50" t="str">
        <f>IFERROR(IF(VLOOKUP($B64,casostestes[#Data],6)=0,"-",VLOOKUP($B64,casostestes[#Data],6)),"-")</f>
        <v>-</v>
      </c>
      <c r="I64" s="50" t="str">
        <f>IFERROR(IF(VLOOKUP($B64,casostestes[#Data],8)=0,"-",VLOOKUP($B64,casostestes[#Data],8)),"-")</f>
        <v>-</v>
      </c>
      <c r="J64" s="50" t="str">
        <f>IFERROR(IF(VLOOKUP($B64,casostestes[#Data],9)=0,"-",VLOOKUP($B64,casostestes[#Data],9)),"-")</f>
        <v>-</v>
      </c>
      <c r="K64" s="51"/>
      <c r="L64" s="119"/>
      <c r="M64" s="53"/>
      <c r="N64" s="54"/>
      <c r="O64" s="54"/>
      <c r="P64" s="55"/>
    </row>
    <row r="65" spans="2:16">
      <c r="B65" s="56" t="str">
        <f>IF(ISERR(casostestes[[#This Row],[ID]]),"-",casostestes[[#This Row],[ID]])</f>
        <v>-</v>
      </c>
      <c r="C65" s="49" t="str">
        <f>IFERROR(IF(VLOOKUP($B65,casostestes[#Data],10)=0,"Não",VLOOKUP($B65,casostestes[#Data],10)), "-")</f>
        <v>-</v>
      </c>
      <c r="D65" s="50" t="str">
        <f>IFERROR(IF(VLOOKUP($B65,casostestes[#Data],2)=0,"-",VLOOKUP($B65,casostestes[#Data],2)), "-")</f>
        <v>-</v>
      </c>
      <c r="E65" s="50" t="str">
        <f>IFERROR(IF(VLOOKUP($B65,casostestes[#Data],3)=0,"-",VLOOKUP($B65,casostestes[#Data],3)), "-")</f>
        <v>-</v>
      </c>
      <c r="F65" s="50" t="str">
        <f>IFERROR(IF(VLOOKUP($B65,casostestes[#Data],4)=0,"-",VLOOKUP($B65,casostestes[#Data],4)),"-")</f>
        <v>-</v>
      </c>
      <c r="G65" s="50" t="str">
        <f>IFERROR(IF(VLOOKUP($B65,casostestes[#Data],5)=0,"-",VLOOKUP($B65,casostestes[#Data],5)),"-")</f>
        <v>-</v>
      </c>
      <c r="H65" s="50" t="str">
        <f>IFERROR(IF(VLOOKUP($B65,casostestes[#Data],6)=0,"-",VLOOKUP($B65,casostestes[#Data],6)),"-")</f>
        <v>-</v>
      </c>
      <c r="I65" s="50" t="str">
        <f>IFERROR(IF(VLOOKUP($B65,casostestes[#Data],8)=0,"-",VLOOKUP($B65,casostestes[#Data],8)),"-")</f>
        <v>-</v>
      </c>
      <c r="J65" s="50" t="str">
        <f>IFERROR(IF(VLOOKUP($B65,casostestes[#Data],9)=0,"-",VLOOKUP($B65,casostestes[#Data],9)),"-")</f>
        <v>-</v>
      </c>
      <c r="K65" s="51"/>
      <c r="L65" s="119"/>
      <c r="M65" s="53"/>
      <c r="N65" s="54"/>
      <c r="O65" s="54"/>
      <c r="P65" s="55"/>
    </row>
    <row r="66" spans="2:16">
      <c r="B66" s="56" t="str">
        <f>IF(ISERR(casostestes[[#This Row],[ID]]),"-",casostestes[[#This Row],[ID]])</f>
        <v>-</v>
      </c>
      <c r="C66" s="49" t="str">
        <f>IFERROR(IF(VLOOKUP($B66,casostestes[#Data],10)=0,"Não",VLOOKUP($B66,casostestes[#Data],10)), "-")</f>
        <v>-</v>
      </c>
      <c r="D66" s="50" t="str">
        <f>IFERROR(IF(VLOOKUP($B66,casostestes[#Data],2)=0,"-",VLOOKUP($B66,casostestes[#Data],2)), "-")</f>
        <v>-</v>
      </c>
      <c r="E66" s="50" t="str">
        <f>IFERROR(IF(VLOOKUP($B66,casostestes[#Data],3)=0,"-",VLOOKUP($B66,casostestes[#Data],3)), "-")</f>
        <v>-</v>
      </c>
      <c r="F66" s="50" t="str">
        <f>IFERROR(IF(VLOOKUP($B66,casostestes[#Data],4)=0,"-",VLOOKUP($B66,casostestes[#Data],4)),"-")</f>
        <v>-</v>
      </c>
      <c r="G66" s="50" t="str">
        <f>IFERROR(IF(VLOOKUP($B66,casostestes[#Data],5)=0,"-",VLOOKUP($B66,casostestes[#Data],5)),"-")</f>
        <v>-</v>
      </c>
      <c r="H66" s="50" t="str">
        <f>IFERROR(IF(VLOOKUP($B66,casostestes[#Data],6)=0,"-",VLOOKUP($B66,casostestes[#Data],6)),"-")</f>
        <v>-</v>
      </c>
      <c r="I66" s="50" t="str">
        <f>IFERROR(IF(VLOOKUP($B66,casostestes[#Data],8)=0,"-",VLOOKUP($B66,casostestes[#Data],8)),"-")</f>
        <v>-</v>
      </c>
      <c r="J66" s="50" t="str">
        <f>IFERROR(IF(VLOOKUP($B66,casostestes[#Data],9)=0,"-",VLOOKUP($B66,casostestes[#Data],9)),"-")</f>
        <v>-</v>
      </c>
      <c r="K66" s="51"/>
      <c r="L66" s="119"/>
      <c r="M66" s="53"/>
      <c r="N66" s="54"/>
      <c r="O66" s="54"/>
      <c r="P66" s="55"/>
    </row>
    <row r="67" spans="2:16">
      <c r="B67" s="56" t="str">
        <f>IF(ISERR(casostestes[[#This Row],[ID]]),"-",casostestes[[#This Row],[ID]])</f>
        <v>-</v>
      </c>
      <c r="C67" s="49" t="str">
        <f>IFERROR(IF(VLOOKUP($B67,casostestes[#Data],10)=0,"Não",VLOOKUP($B67,casostestes[#Data],10)), "-")</f>
        <v>-</v>
      </c>
      <c r="D67" s="50" t="str">
        <f>IFERROR(IF(VLOOKUP($B67,casostestes[#Data],2)=0,"-",VLOOKUP($B67,casostestes[#Data],2)), "-")</f>
        <v>-</v>
      </c>
      <c r="E67" s="50" t="str">
        <f>IFERROR(IF(VLOOKUP($B67,casostestes[#Data],3)=0,"-",VLOOKUP($B67,casostestes[#Data],3)), "-")</f>
        <v>-</v>
      </c>
      <c r="F67" s="50" t="str">
        <f>IFERROR(IF(VLOOKUP($B67,casostestes[#Data],4)=0,"-",VLOOKUP($B67,casostestes[#Data],4)),"-")</f>
        <v>-</v>
      </c>
      <c r="G67" s="50" t="str">
        <f>IFERROR(IF(VLOOKUP($B67,casostestes[#Data],5)=0,"-",VLOOKUP($B67,casostestes[#Data],5)),"-")</f>
        <v>-</v>
      </c>
      <c r="H67" s="50" t="str">
        <f>IFERROR(IF(VLOOKUP($B67,casostestes[#Data],6)=0,"-",VLOOKUP($B67,casostestes[#Data],6)),"-")</f>
        <v>-</v>
      </c>
      <c r="I67" s="50" t="str">
        <f>IFERROR(IF(VLOOKUP($B67,casostestes[#Data],8)=0,"-",VLOOKUP($B67,casostestes[#Data],8)),"-")</f>
        <v>-</v>
      </c>
      <c r="J67" s="50" t="str">
        <f>IFERROR(IF(VLOOKUP($B67,casostestes[#Data],9)=0,"-",VLOOKUP($B67,casostestes[#Data],9)),"-")</f>
        <v>-</v>
      </c>
      <c r="K67" s="51"/>
      <c r="L67" s="119"/>
      <c r="M67" s="53"/>
      <c r="N67" s="54"/>
      <c r="O67" s="54"/>
      <c r="P67" s="55"/>
    </row>
    <row r="68" spans="2:16">
      <c r="B68" s="56" t="str">
        <f>IF(ISERR(casostestes[[#This Row],[ID]]),"-",casostestes[[#This Row],[ID]])</f>
        <v>-</v>
      </c>
      <c r="C68" s="49" t="str">
        <f>IFERROR(IF(VLOOKUP($B68,casostestes[#Data],10)=0,"Não",VLOOKUP($B68,casostestes[#Data],10)), "-")</f>
        <v>-</v>
      </c>
      <c r="D68" s="50" t="str">
        <f>IFERROR(IF(VLOOKUP($B68,casostestes[#Data],2)=0,"-",VLOOKUP($B68,casostestes[#Data],2)), "-")</f>
        <v>-</v>
      </c>
      <c r="E68" s="50" t="str">
        <f>IFERROR(IF(VLOOKUP($B68,casostestes[#Data],3)=0,"-",VLOOKUP($B68,casostestes[#Data],3)), "-")</f>
        <v>-</v>
      </c>
      <c r="F68" s="50" t="str">
        <f>IFERROR(IF(VLOOKUP($B68,casostestes[#Data],4)=0,"-",VLOOKUP($B68,casostestes[#Data],4)),"-")</f>
        <v>-</v>
      </c>
      <c r="G68" s="50" t="str">
        <f>IFERROR(IF(VLOOKUP($B68,casostestes[#Data],5)=0,"-",VLOOKUP($B68,casostestes[#Data],5)),"-")</f>
        <v>-</v>
      </c>
      <c r="H68" s="50" t="str">
        <f>IFERROR(IF(VLOOKUP($B68,casostestes[#Data],6)=0,"-",VLOOKUP($B68,casostestes[#Data],6)),"-")</f>
        <v>-</v>
      </c>
      <c r="I68" s="50" t="str">
        <f>IFERROR(IF(VLOOKUP($B68,casostestes[#Data],8)=0,"-",VLOOKUP($B68,casostestes[#Data],8)),"-")</f>
        <v>-</v>
      </c>
      <c r="J68" s="50" t="str">
        <f>IFERROR(IF(VLOOKUP($B68,casostestes[#Data],9)=0,"-",VLOOKUP($B68,casostestes[#Data],9)),"-")</f>
        <v>-</v>
      </c>
      <c r="K68" s="51"/>
      <c r="L68" s="119"/>
      <c r="M68" s="53"/>
      <c r="N68" s="54"/>
      <c r="O68" s="54"/>
      <c r="P68" s="55"/>
    </row>
    <row r="69" spans="2:16">
      <c r="B69" s="56" t="str">
        <f>IF(ISERR(casostestes[[#This Row],[ID]]),"-",casostestes[[#This Row],[ID]])</f>
        <v>-</v>
      </c>
      <c r="C69" s="49" t="str">
        <f>IFERROR(IF(VLOOKUP($B69,casostestes[#Data],10)=0,"Não",VLOOKUP($B69,casostestes[#Data],10)), "-")</f>
        <v>-</v>
      </c>
      <c r="D69" s="50" t="str">
        <f>IFERROR(IF(VLOOKUP($B69,casostestes[#Data],2)=0,"-",VLOOKUP($B69,casostestes[#Data],2)), "-")</f>
        <v>-</v>
      </c>
      <c r="E69" s="50" t="str">
        <f>IFERROR(IF(VLOOKUP($B69,casostestes[#Data],3)=0,"-",VLOOKUP($B69,casostestes[#Data],3)), "-")</f>
        <v>-</v>
      </c>
      <c r="F69" s="50" t="str">
        <f>IFERROR(IF(VLOOKUP($B69,casostestes[#Data],4)=0,"-",VLOOKUP($B69,casostestes[#Data],4)),"-")</f>
        <v>-</v>
      </c>
      <c r="G69" s="50" t="str">
        <f>IFERROR(IF(VLOOKUP($B69,casostestes[#Data],5)=0,"-",VLOOKUP($B69,casostestes[#Data],5)),"-")</f>
        <v>-</v>
      </c>
      <c r="H69" s="50" t="str">
        <f>IFERROR(IF(VLOOKUP($B69,casostestes[#Data],6)=0,"-",VLOOKUP($B69,casostestes[#Data],6)),"-")</f>
        <v>-</v>
      </c>
      <c r="I69" s="50" t="str">
        <f>IFERROR(IF(VLOOKUP($B69,casostestes[#Data],8)=0,"-",VLOOKUP($B69,casostestes[#Data],8)),"-")</f>
        <v>-</v>
      </c>
      <c r="J69" s="50" t="str">
        <f>IFERROR(IF(VLOOKUP($B69,casostestes[#Data],9)=0,"-",VLOOKUP($B69,casostestes[#Data],9)),"-")</f>
        <v>-</v>
      </c>
      <c r="K69" s="51"/>
      <c r="L69" s="119"/>
      <c r="M69" s="53"/>
      <c r="N69" s="54"/>
      <c r="O69" s="54"/>
      <c r="P69" s="55"/>
    </row>
    <row r="70" spans="2:16">
      <c r="B70" s="56" t="str">
        <f>IF(ISERR(casostestes[[#This Row],[ID]]),"-",casostestes[[#This Row],[ID]])</f>
        <v>-</v>
      </c>
      <c r="C70" s="49" t="str">
        <f>IFERROR(IF(VLOOKUP($B70,casostestes[#Data],10)=0,"Não",VLOOKUP($B70,casostestes[#Data],10)), "-")</f>
        <v>-</v>
      </c>
      <c r="D70" s="50" t="str">
        <f>IFERROR(IF(VLOOKUP($B70,casostestes[#Data],2)=0,"-",VLOOKUP($B70,casostestes[#Data],2)), "-")</f>
        <v>-</v>
      </c>
      <c r="E70" s="50" t="str">
        <f>IFERROR(IF(VLOOKUP($B70,casostestes[#Data],3)=0,"-",VLOOKUP($B70,casostestes[#Data],3)), "-")</f>
        <v>-</v>
      </c>
      <c r="F70" s="50" t="str">
        <f>IFERROR(IF(VLOOKUP($B70,casostestes[#Data],4)=0,"-",VLOOKUP($B70,casostestes[#Data],4)),"-")</f>
        <v>-</v>
      </c>
      <c r="G70" s="50" t="str">
        <f>IFERROR(IF(VLOOKUP($B70,casostestes[#Data],5)=0,"-",VLOOKUP($B70,casostestes[#Data],5)),"-")</f>
        <v>-</v>
      </c>
      <c r="H70" s="50" t="str">
        <f>IFERROR(IF(VLOOKUP($B70,casostestes[#Data],6)=0,"-",VLOOKUP($B70,casostestes[#Data],6)),"-")</f>
        <v>-</v>
      </c>
      <c r="I70" s="50" t="str">
        <f>IFERROR(IF(VLOOKUP($B70,casostestes[#Data],8)=0,"-",VLOOKUP($B70,casostestes[#Data],8)),"-")</f>
        <v>-</v>
      </c>
      <c r="J70" s="50" t="str">
        <f>IFERROR(IF(VLOOKUP($B70,casostestes[#Data],9)=0,"-",VLOOKUP($B70,casostestes[#Data],9)),"-")</f>
        <v>-</v>
      </c>
      <c r="K70" s="51"/>
      <c r="L70" s="119"/>
      <c r="M70" s="53"/>
      <c r="N70" s="54"/>
      <c r="O70" s="54"/>
      <c r="P70" s="55"/>
    </row>
    <row r="71" spans="2:16">
      <c r="B71" s="56" t="str">
        <f>IF(ISERR(casostestes[[#This Row],[ID]]),"-",casostestes[[#This Row],[ID]])</f>
        <v>-</v>
      </c>
      <c r="C71" s="49" t="str">
        <f>IFERROR(IF(VLOOKUP($B71,casostestes[#Data],10)=0,"Não",VLOOKUP($B71,casostestes[#Data],10)), "-")</f>
        <v>-</v>
      </c>
      <c r="D71" s="50" t="str">
        <f>IFERROR(IF(VLOOKUP($B71,casostestes[#Data],2)=0,"-",VLOOKUP($B71,casostestes[#Data],2)), "-")</f>
        <v>-</v>
      </c>
      <c r="E71" s="50" t="str">
        <f>IFERROR(IF(VLOOKUP($B71,casostestes[#Data],3)=0,"-",VLOOKUP($B71,casostestes[#Data],3)), "-")</f>
        <v>-</v>
      </c>
      <c r="F71" s="50" t="str">
        <f>IFERROR(IF(VLOOKUP($B71,casostestes[#Data],4)=0,"-",VLOOKUP($B71,casostestes[#Data],4)),"-")</f>
        <v>-</v>
      </c>
      <c r="G71" s="50" t="str">
        <f>IFERROR(IF(VLOOKUP($B71,casostestes[#Data],5)=0,"-",VLOOKUP($B71,casostestes[#Data],5)),"-")</f>
        <v>-</v>
      </c>
      <c r="H71" s="50" t="str">
        <f>IFERROR(IF(VLOOKUP($B71,casostestes[#Data],6)=0,"-",VLOOKUP($B71,casostestes[#Data],6)),"-")</f>
        <v>-</v>
      </c>
      <c r="I71" s="50" t="str">
        <f>IFERROR(IF(VLOOKUP($B71,casostestes[#Data],8)=0,"-",VLOOKUP($B71,casostestes[#Data],8)),"-")</f>
        <v>-</v>
      </c>
      <c r="J71" s="50" t="str">
        <f>IFERROR(IF(VLOOKUP($B71,casostestes[#Data],9)=0,"-",VLOOKUP($B71,casostestes[#Data],9)),"-")</f>
        <v>-</v>
      </c>
      <c r="K71" s="51"/>
      <c r="L71" s="119"/>
      <c r="M71" s="53"/>
      <c r="N71" s="54"/>
      <c r="O71" s="54"/>
      <c r="P71" s="55"/>
    </row>
    <row r="72" spans="2:16">
      <c r="B72" s="56" t="str">
        <f>IF(ISERR(casostestes[[#This Row],[ID]]),"-",casostestes[[#This Row],[ID]])</f>
        <v>-</v>
      </c>
      <c r="C72" s="49" t="str">
        <f>IFERROR(IF(VLOOKUP($B72,casostestes[#Data],10)=0,"Não",VLOOKUP($B72,casostestes[#Data],10)), "-")</f>
        <v>-</v>
      </c>
      <c r="D72" s="50" t="str">
        <f>IFERROR(IF(VLOOKUP($B72,casostestes[#Data],2)=0,"-",VLOOKUP($B72,casostestes[#Data],2)), "-")</f>
        <v>-</v>
      </c>
      <c r="E72" s="50" t="str">
        <f>IFERROR(IF(VLOOKUP($B72,casostestes[#Data],3)=0,"-",VLOOKUP($B72,casostestes[#Data],3)), "-")</f>
        <v>-</v>
      </c>
      <c r="F72" s="50" t="str">
        <f>IFERROR(IF(VLOOKUP($B72,casostestes[#Data],4)=0,"-",VLOOKUP($B72,casostestes[#Data],4)),"-")</f>
        <v>-</v>
      </c>
      <c r="G72" s="50" t="str">
        <f>IFERROR(IF(VLOOKUP($B72,casostestes[#Data],5)=0,"-",VLOOKUP($B72,casostestes[#Data],5)),"-")</f>
        <v>-</v>
      </c>
      <c r="H72" s="50" t="str">
        <f>IFERROR(IF(VLOOKUP($B72,casostestes[#Data],6)=0,"-",VLOOKUP($B72,casostestes[#Data],6)),"-")</f>
        <v>-</v>
      </c>
      <c r="I72" s="50" t="str">
        <f>IFERROR(IF(VLOOKUP($B72,casostestes[#Data],8)=0,"-",VLOOKUP($B72,casostestes[#Data],8)),"-")</f>
        <v>-</v>
      </c>
      <c r="J72" s="50" t="str">
        <f>IFERROR(IF(VLOOKUP($B72,casostestes[#Data],9)=0,"-",VLOOKUP($B72,casostestes[#Data],9)),"-")</f>
        <v>-</v>
      </c>
      <c r="K72" s="51"/>
      <c r="L72" s="119"/>
      <c r="M72" s="53"/>
      <c r="N72" s="54"/>
      <c r="O72" s="54"/>
      <c r="P72" s="55"/>
    </row>
    <row r="73" spans="2:16">
      <c r="B73" s="56" t="str">
        <f>IF(ISERR(casostestes[[#This Row],[ID]]),"-",casostestes[[#This Row],[ID]])</f>
        <v>-</v>
      </c>
      <c r="C73" s="49" t="str">
        <f>IFERROR(IF(VLOOKUP($B73,casostestes[#Data],10)=0,"Não",VLOOKUP($B73,casostestes[#Data],10)), "-")</f>
        <v>-</v>
      </c>
      <c r="D73" s="50" t="str">
        <f>IFERROR(IF(VLOOKUP($B73,casostestes[#Data],2)=0,"-",VLOOKUP($B73,casostestes[#Data],2)), "-")</f>
        <v>-</v>
      </c>
      <c r="E73" s="50" t="str">
        <f>IFERROR(IF(VLOOKUP($B73,casostestes[#Data],3)=0,"-",VLOOKUP($B73,casostestes[#Data],3)), "-")</f>
        <v>-</v>
      </c>
      <c r="F73" s="50" t="str">
        <f>IFERROR(IF(VLOOKUP($B73,casostestes[#Data],4)=0,"-",VLOOKUP($B73,casostestes[#Data],4)),"-")</f>
        <v>-</v>
      </c>
      <c r="G73" s="50" t="str">
        <f>IFERROR(IF(VLOOKUP($B73,casostestes[#Data],5)=0,"-",VLOOKUP($B73,casostestes[#Data],5)),"-")</f>
        <v>-</v>
      </c>
      <c r="H73" s="50" t="str">
        <f>IFERROR(IF(VLOOKUP($B73,casostestes[#Data],6)=0,"-",VLOOKUP($B73,casostestes[#Data],6)),"-")</f>
        <v>-</v>
      </c>
      <c r="I73" s="50" t="str">
        <f>IFERROR(IF(VLOOKUP($B73,casostestes[#Data],8)=0,"-",VLOOKUP($B73,casostestes[#Data],8)),"-")</f>
        <v>-</v>
      </c>
      <c r="J73" s="50" t="str">
        <f>IFERROR(IF(VLOOKUP($B73,casostestes[#Data],9)=0,"-",VLOOKUP($B73,casostestes[#Data],9)),"-")</f>
        <v>-</v>
      </c>
      <c r="K73" s="51"/>
      <c r="L73" s="119"/>
      <c r="M73" s="53"/>
      <c r="N73" s="54"/>
      <c r="O73" s="54"/>
      <c r="P73" s="55"/>
    </row>
    <row r="74" spans="2:16">
      <c r="B74" s="56" t="str">
        <f>IF(ISERR(casostestes[[#This Row],[ID]]),"-",casostestes[[#This Row],[ID]])</f>
        <v>-</v>
      </c>
      <c r="C74" s="49" t="str">
        <f>IFERROR(IF(VLOOKUP($B74,casostestes[#Data],10)=0,"Não",VLOOKUP($B74,casostestes[#Data],10)), "-")</f>
        <v>-</v>
      </c>
      <c r="D74" s="50" t="str">
        <f>IFERROR(IF(VLOOKUP($B74,casostestes[#Data],2)=0,"-",VLOOKUP($B74,casostestes[#Data],2)), "-")</f>
        <v>-</v>
      </c>
      <c r="E74" s="50" t="str">
        <f>IFERROR(IF(VLOOKUP($B74,casostestes[#Data],3)=0,"-",VLOOKUP($B74,casostestes[#Data],3)), "-")</f>
        <v>-</v>
      </c>
      <c r="F74" s="50" t="str">
        <f>IFERROR(IF(VLOOKUP($B74,casostestes[#Data],4)=0,"-",VLOOKUP($B74,casostestes[#Data],4)),"-")</f>
        <v>-</v>
      </c>
      <c r="G74" s="50" t="str">
        <f>IFERROR(IF(VLOOKUP($B74,casostestes[#Data],5)=0,"-",VLOOKUP($B74,casostestes[#Data],5)),"-")</f>
        <v>-</v>
      </c>
      <c r="H74" s="50" t="str">
        <f>IFERROR(IF(VLOOKUP($B74,casostestes[#Data],6)=0,"-",VLOOKUP($B74,casostestes[#Data],6)),"-")</f>
        <v>-</v>
      </c>
      <c r="I74" s="50" t="str">
        <f>IFERROR(IF(VLOOKUP($B74,casostestes[#Data],8)=0,"-",VLOOKUP($B74,casostestes[#Data],8)),"-")</f>
        <v>-</v>
      </c>
      <c r="J74" s="50" t="str">
        <f>IFERROR(IF(VLOOKUP($B74,casostestes[#Data],9)=0,"-",VLOOKUP($B74,casostestes[#Data],9)),"-")</f>
        <v>-</v>
      </c>
      <c r="K74" s="51"/>
      <c r="L74" s="119"/>
      <c r="M74" s="53"/>
      <c r="N74" s="54"/>
      <c r="O74" s="54"/>
      <c r="P74" s="55"/>
    </row>
    <row r="75" spans="2:16">
      <c r="B75" s="56" t="str">
        <f>IF(ISERR(casostestes[[#This Row],[ID]]),"-",casostestes[[#This Row],[ID]])</f>
        <v>-</v>
      </c>
      <c r="C75" s="49" t="str">
        <f>IFERROR(IF(VLOOKUP($B75,casostestes[#Data],10)=0,"Não",VLOOKUP($B75,casostestes[#Data],10)), "-")</f>
        <v>-</v>
      </c>
      <c r="D75" s="50" t="str">
        <f>IFERROR(IF(VLOOKUP($B75,casostestes[#Data],2)=0,"-",VLOOKUP($B75,casostestes[#Data],2)), "-")</f>
        <v>-</v>
      </c>
      <c r="E75" s="50" t="str">
        <f>IFERROR(IF(VLOOKUP($B75,casostestes[#Data],3)=0,"-",VLOOKUP($B75,casostestes[#Data],3)), "-")</f>
        <v>-</v>
      </c>
      <c r="F75" s="50" t="str">
        <f>IFERROR(IF(VLOOKUP($B75,casostestes[#Data],4)=0,"-",VLOOKUP($B75,casostestes[#Data],4)),"-")</f>
        <v>-</v>
      </c>
      <c r="G75" s="50" t="str">
        <f>IFERROR(IF(VLOOKUP($B75,casostestes[#Data],5)=0,"-",VLOOKUP($B75,casostestes[#Data],5)),"-")</f>
        <v>-</v>
      </c>
      <c r="H75" s="50" t="str">
        <f>IFERROR(IF(VLOOKUP($B75,casostestes[#Data],6)=0,"-",VLOOKUP($B75,casostestes[#Data],6)),"-")</f>
        <v>-</v>
      </c>
      <c r="I75" s="50" t="str">
        <f>IFERROR(IF(VLOOKUP($B75,casostestes[#Data],8)=0,"-",VLOOKUP($B75,casostestes[#Data],8)),"-")</f>
        <v>-</v>
      </c>
      <c r="J75" s="50" t="str">
        <f>IFERROR(IF(VLOOKUP($B75,casostestes[#Data],9)=0,"-",VLOOKUP($B75,casostestes[#Data],9)),"-")</f>
        <v>-</v>
      </c>
      <c r="K75" s="51"/>
      <c r="L75" s="119"/>
      <c r="M75" s="53"/>
      <c r="N75" s="54"/>
      <c r="O75" s="54"/>
      <c r="P75" s="55"/>
    </row>
    <row r="76" spans="2:16">
      <c r="B76" s="56" t="str">
        <f>IF(ISERR(casostestes[[#This Row],[ID]]),"-",casostestes[[#This Row],[ID]])</f>
        <v>-</v>
      </c>
      <c r="C76" s="49" t="str">
        <f>IFERROR(IF(VLOOKUP($B76,casostestes[#Data],10)=0,"Não",VLOOKUP($B76,casostestes[#Data],10)), "-")</f>
        <v>-</v>
      </c>
      <c r="D76" s="50" t="str">
        <f>IFERROR(IF(VLOOKUP($B76,casostestes[#Data],2)=0,"-",VLOOKUP($B76,casostestes[#Data],2)), "-")</f>
        <v>-</v>
      </c>
      <c r="E76" s="50" t="str">
        <f>IFERROR(IF(VLOOKUP($B76,casostestes[#Data],3)=0,"-",VLOOKUP($B76,casostestes[#Data],3)), "-")</f>
        <v>-</v>
      </c>
      <c r="F76" s="50" t="str">
        <f>IFERROR(IF(VLOOKUP($B76,casostestes[#Data],4)=0,"-",VLOOKUP($B76,casostestes[#Data],4)),"-")</f>
        <v>-</v>
      </c>
      <c r="G76" s="50" t="str">
        <f>IFERROR(IF(VLOOKUP($B76,casostestes[#Data],5)=0,"-",VLOOKUP($B76,casostestes[#Data],5)),"-")</f>
        <v>-</v>
      </c>
      <c r="H76" s="50" t="str">
        <f>IFERROR(IF(VLOOKUP($B76,casostestes[#Data],6)=0,"-",VLOOKUP($B76,casostestes[#Data],6)),"-")</f>
        <v>-</v>
      </c>
      <c r="I76" s="50" t="str">
        <f>IFERROR(IF(VLOOKUP($B76,casostestes[#Data],8)=0,"-",VLOOKUP($B76,casostestes[#Data],8)),"-")</f>
        <v>-</v>
      </c>
      <c r="J76" s="50" t="str">
        <f>IFERROR(IF(VLOOKUP($B76,casostestes[#Data],9)=0,"-",VLOOKUP($B76,casostestes[#Data],9)),"-")</f>
        <v>-</v>
      </c>
      <c r="K76" s="51"/>
      <c r="L76" s="119"/>
      <c r="M76" s="53"/>
      <c r="N76" s="54"/>
      <c r="O76" s="54"/>
      <c r="P76" s="55"/>
    </row>
    <row r="77" spans="2:16">
      <c r="B77" s="56" t="str">
        <f>IF(ISERR(casostestes[[#This Row],[ID]]),"-",casostestes[[#This Row],[ID]])</f>
        <v>-</v>
      </c>
      <c r="C77" s="49" t="str">
        <f>IFERROR(IF(VLOOKUP($B77,casostestes[#Data],10)=0,"Não",VLOOKUP($B77,casostestes[#Data],10)), "-")</f>
        <v>-</v>
      </c>
      <c r="D77" s="50" t="str">
        <f>IFERROR(IF(VLOOKUP($B77,casostestes[#Data],2)=0,"-",VLOOKUP($B77,casostestes[#Data],2)), "-")</f>
        <v>-</v>
      </c>
      <c r="E77" s="50" t="str">
        <f>IFERROR(IF(VLOOKUP($B77,casostestes[#Data],3)=0,"-",VLOOKUP($B77,casostestes[#Data],3)), "-")</f>
        <v>-</v>
      </c>
      <c r="F77" s="50" t="str">
        <f>IFERROR(IF(VLOOKUP($B77,casostestes[#Data],4)=0,"-",VLOOKUP($B77,casostestes[#Data],4)),"-")</f>
        <v>-</v>
      </c>
      <c r="G77" s="50" t="str">
        <f>IFERROR(IF(VLOOKUP($B77,casostestes[#Data],5)=0,"-",VLOOKUP($B77,casostestes[#Data],5)),"-")</f>
        <v>-</v>
      </c>
      <c r="H77" s="50" t="str">
        <f>IFERROR(IF(VLOOKUP($B77,casostestes[#Data],6)=0,"-",VLOOKUP($B77,casostestes[#Data],6)),"-")</f>
        <v>-</v>
      </c>
      <c r="I77" s="50" t="str">
        <f>IFERROR(IF(VLOOKUP($B77,casostestes[#Data],8)=0,"-",VLOOKUP($B77,casostestes[#Data],8)),"-")</f>
        <v>-</v>
      </c>
      <c r="J77" s="50" t="str">
        <f>IFERROR(IF(VLOOKUP($B77,casostestes[#Data],9)=0,"-",VLOOKUP($B77,casostestes[#Data],9)),"-")</f>
        <v>-</v>
      </c>
      <c r="K77" s="51"/>
      <c r="L77" s="119"/>
      <c r="M77" s="53"/>
      <c r="N77" s="54"/>
      <c r="O77" s="54"/>
      <c r="P77" s="55"/>
    </row>
    <row r="78" spans="2:16">
      <c r="B78" s="56" t="str">
        <f>IF(ISERR(casostestes[[#This Row],[ID]]),"-",casostestes[[#This Row],[ID]])</f>
        <v>-</v>
      </c>
      <c r="C78" s="49" t="str">
        <f>IFERROR(IF(VLOOKUP($B78,casostestes[#Data],10)=0,"Não",VLOOKUP($B78,casostestes[#Data],10)), "-")</f>
        <v>-</v>
      </c>
      <c r="D78" s="50" t="str">
        <f>IFERROR(IF(VLOOKUP($B78,casostestes[#Data],2)=0,"-",VLOOKUP($B78,casostestes[#Data],2)), "-")</f>
        <v>-</v>
      </c>
      <c r="E78" s="50" t="str">
        <f>IFERROR(IF(VLOOKUP($B78,casostestes[#Data],3)=0,"-",VLOOKUP($B78,casostestes[#Data],3)), "-")</f>
        <v>-</v>
      </c>
      <c r="F78" s="50" t="str">
        <f>IFERROR(IF(VLOOKUP($B78,casostestes[#Data],4)=0,"-",VLOOKUP($B78,casostestes[#Data],4)),"-")</f>
        <v>-</v>
      </c>
      <c r="G78" s="50" t="str">
        <f>IFERROR(IF(VLOOKUP($B78,casostestes[#Data],5)=0,"-",VLOOKUP($B78,casostestes[#Data],5)),"-")</f>
        <v>-</v>
      </c>
      <c r="H78" s="50" t="str">
        <f>IFERROR(IF(VLOOKUP($B78,casostestes[#Data],6)=0,"-",VLOOKUP($B78,casostestes[#Data],6)),"-")</f>
        <v>-</v>
      </c>
      <c r="I78" s="50" t="str">
        <f>IFERROR(IF(VLOOKUP($B78,casostestes[#Data],8)=0,"-",VLOOKUP($B78,casostestes[#Data],8)),"-")</f>
        <v>-</v>
      </c>
      <c r="J78" s="50" t="str">
        <f>IFERROR(IF(VLOOKUP($B78,casostestes[#Data],9)=0,"-",VLOOKUP($B78,casostestes[#Data],9)),"-")</f>
        <v>-</v>
      </c>
      <c r="K78" s="51"/>
      <c r="L78" s="119"/>
      <c r="M78" s="53"/>
      <c r="N78" s="54"/>
      <c r="O78" s="54"/>
      <c r="P78" s="55"/>
    </row>
    <row r="79" spans="2:16">
      <c r="B79" s="56" t="str">
        <f>IF(ISERR(casostestes[[#This Row],[ID]]),"-",casostestes[[#This Row],[ID]])</f>
        <v>-</v>
      </c>
      <c r="C79" s="49" t="str">
        <f>IFERROR(IF(VLOOKUP($B79,casostestes[#Data],10)=0,"Não",VLOOKUP($B79,casostestes[#Data],10)), "-")</f>
        <v>-</v>
      </c>
      <c r="D79" s="50" t="str">
        <f>IFERROR(IF(VLOOKUP($B79,casostestes[#Data],2)=0,"-",VLOOKUP($B79,casostestes[#Data],2)), "-")</f>
        <v>-</v>
      </c>
      <c r="E79" s="50" t="str">
        <f>IFERROR(IF(VLOOKUP($B79,casostestes[#Data],3)=0,"-",VLOOKUP($B79,casostestes[#Data],3)), "-")</f>
        <v>-</v>
      </c>
      <c r="F79" s="50" t="str">
        <f>IFERROR(IF(VLOOKUP($B79,casostestes[#Data],4)=0,"-",VLOOKUP($B79,casostestes[#Data],4)),"-")</f>
        <v>-</v>
      </c>
      <c r="G79" s="50" t="str">
        <f>IFERROR(IF(VLOOKUP($B79,casostestes[#Data],5)=0,"-",VLOOKUP($B79,casostestes[#Data],5)),"-")</f>
        <v>-</v>
      </c>
      <c r="H79" s="50" t="str">
        <f>IFERROR(IF(VLOOKUP($B79,casostestes[#Data],6)=0,"-",VLOOKUP($B79,casostestes[#Data],6)),"-")</f>
        <v>-</v>
      </c>
      <c r="I79" s="50" t="str">
        <f>IFERROR(IF(VLOOKUP($B79,casostestes[#Data],8)=0,"-",VLOOKUP($B79,casostestes[#Data],8)),"-")</f>
        <v>-</v>
      </c>
      <c r="J79" s="50" t="str">
        <f>IFERROR(IF(VLOOKUP($B79,casostestes[#Data],9)=0,"-",VLOOKUP($B79,casostestes[#Data],9)),"-")</f>
        <v>-</v>
      </c>
      <c r="K79" s="51"/>
      <c r="L79" s="119"/>
      <c r="M79" s="53"/>
      <c r="N79" s="54"/>
      <c r="O79" s="54"/>
      <c r="P79" s="55"/>
    </row>
    <row r="80" spans="2:16">
      <c r="B80" s="56" t="str">
        <f>IF(ISERR(casostestes[[#This Row],[ID]]),"-",casostestes[[#This Row],[ID]])</f>
        <v>-</v>
      </c>
      <c r="C80" s="49" t="str">
        <f>IFERROR(IF(VLOOKUP($B80,casostestes[#Data],10)=0,"Não",VLOOKUP($B80,casostestes[#Data],10)), "-")</f>
        <v>-</v>
      </c>
      <c r="D80" s="50" t="str">
        <f>IFERROR(IF(VLOOKUP($B80,casostestes[#Data],2)=0,"-",VLOOKUP($B80,casostestes[#Data],2)), "-")</f>
        <v>-</v>
      </c>
      <c r="E80" s="50" t="str">
        <f>IFERROR(IF(VLOOKUP($B80,casostestes[#Data],3)=0,"-",VLOOKUP($B80,casostestes[#Data],3)), "-")</f>
        <v>-</v>
      </c>
      <c r="F80" s="50" t="str">
        <f>IFERROR(IF(VLOOKUP($B80,casostestes[#Data],4)=0,"-",VLOOKUP($B80,casostestes[#Data],4)),"-")</f>
        <v>-</v>
      </c>
      <c r="G80" s="50" t="str">
        <f>IFERROR(IF(VLOOKUP($B80,casostestes[#Data],5)=0,"-",VLOOKUP($B80,casostestes[#Data],5)),"-")</f>
        <v>-</v>
      </c>
      <c r="H80" s="50" t="str">
        <f>IFERROR(IF(VLOOKUP($B80,casostestes[#Data],6)=0,"-",VLOOKUP($B80,casostestes[#Data],6)),"-")</f>
        <v>-</v>
      </c>
      <c r="I80" s="50" t="str">
        <f>IFERROR(IF(VLOOKUP($B80,casostestes[#Data],8)=0,"-",VLOOKUP($B80,casostestes[#Data],8)),"-")</f>
        <v>-</v>
      </c>
      <c r="J80" s="50" t="str">
        <f>IFERROR(IF(VLOOKUP($B80,casostestes[#Data],9)=0,"-",VLOOKUP($B80,casostestes[#Data],9)),"-")</f>
        <v>-</v>
      </c>
      <c r="K80" s="51"/>
      <c r="L80" s="119"/>
      <c r="M80" s="53"/>
      <c r="N80" s="54"/>
      <c r="O80" s="54"/>
      <c r="P80" s="55"/>
    </row>
    <row r="81" spans="2:16">
      <c r="B81" s="56" t="str">
        <f>IF(ISERR(casostestes[[#This Row],[ID]]),"-",casostestes[[#This Row],[ID]])</f>
        <v>-</v>
      </c>
      <c r="C81" s="49" t="str">
        <f>IFERROR(IF(VLOOKUP($B81,casostestes[#Data],10)=0,"Não",VLOOKUP($B81,casostestes[#Data],10)), "-")</f>
        <v>-</v>
      </c>
      <c r="D81" s="50" t="str">
        <f>IFERROR(IF(VLOOKUP($B81,casostestes[#Data],2)=0,"-",VLOOKUP($B81,casostestes[#Data],2)), "-")</f>
        <v>-</v>
      </c>
      <c r="E81" s="50" t="str">
        <f>IFERROR(IF(VLOOKUP($B81,casostestes[#Data],3)=0,"-",VLOOKUP($B81,casostestes[#Data],3)), "-")</f>
        <v>-</v>
      </c>
      <c r="F81" s="50" t="str">
        <f>IFERROR(IF(VLOOKUP($B81,casostestes[#Data],4)=0,"-",VLOOKUP($B81,casostestes[#Data],4)),"-")</f>
        <v>-</v>
      </c>
      <c r="G81" s="50" t="str">
        <f>IFERROR(IF(VLOOKUP($B81,casostestes[#Data],5)=0,"-",VLOOKUP($B81,casostestes[#Data],5)),"-")</f>
        <v>-</v>
      </c>
      <c r="H81" s="50" t="str">
        <f>IFERROR(IF(VLOOKUP($B81,casostestes[#Data],6)=0,"-",VLOOKUP($B81,casostestes[#Data],6)),"-")</f>
        <v>-</v>
      </c>
      <c r="I81" s="50" t="str">
        <f>IFERROR(IF(VLOOKUP($B81,casostestes[#Data],8)=0,"-",VLOOKUP($B81,casostestes[#Data],8)),"-")</f>
        <v>-</v>
      </c>
      <c r="J81" s="50" t="str">
        <f>IFERROR(IF(VLOOKUP($B81,casostestes[#Data],9)=0,"-",VLOOKUP($B81,casostestes[#Data],9)),"-")</f>
        <v>-</v>
      </c>
      <c r="K81" s="51"/>
      <c r="L81" s="119"/>
      <c r="M81" s="53"/>
      <c r="N81" s="54"/>
      <c r="O81" s="54"/>
      <c r="P81" s="55"/>
    </row>
    <row r="82" spans="2:16">
      <c r="B82" s="56" t="str">
        <f>IF(ISERR(casostestes[[#This Row],[ID]]),"-",casostestes[[#This Row],[ID]])</f>
        <v>-</v>
      </c>
      <c r="C82" s="49" t="str">
        <f>IFERROR(IF(VLOOKUP($B82,casostestes[#Data],10)=0,"Não",VLOOKUP($B82,casostestes[#Data],10)), "-")</f>
        <v>-</v>
      </c>
      <c r="D82" s="50" t="str">
        <f>IFERROR(IF(VLOOKUP($B82,casostestes[#Data],2)=0,"-",VLOOKUP($B82,casostestes[#Data],2)), "-")</f>
        <v>-</v>
      </c>
      <c r="E82" s="50" t="str">
        <f>IFERROR(IF(VLOOKUP($B82,casostestes[#Data],3)=0,"-",VLOOKUP($B82,casostestes[#Data],3)), "-")</f>
        <v>-</v>
      </c>
      <c r="F82" s="50" t="str">
        <f>IFERROR(IF(VLOOKUP($B82,casostestes[#Data],4)=0,"-",VLOOKUP($B82,casostestes[#Data],4)),"-")</f>
        <v>-</v>
      </c>
      <c r="G82" s="50" t="str">
        <f>IFERROR(IF(VLOOKUP($B82,casostestes[#Data],5)=0,"-",VLOOKUP($B82,casostestes[#Data],5)),"-")</f>
        <v>-</v>
      </c>
      <c r="H82" s="50" t="str">
        <f>IFERROR(IF(VLOOKUP($B82,casostestes[#Data],6)=0,"-",VLOOKUP($B82,casostestes[#Data],6)),"-")</f>
        <v>-</v>
      </c>
      <c r="I82" s="50" t="str">
        <f>IFERROR(IF(VLOOKUP($B82,casostestes[#Data],8)=0,"-",VLOOKUP($B82,casostestes[#Data],8)),"-")</f>
        <v>-</v>
      </c>
      <c r="J82" s="50" t="str">
        <f>IFERROR(IF(VLOOKUP($B82,casostestes[#Data],9)=0,"-",VLOOKUP($B82,casostestes[#Data],9)),"-")</f>
        <v>-</v>
      </c>
      <c r="K82" s="51"/>
      <c r="L82" s="119"/>
      <c r="M82" s="53"/>
      <c r="N82" s="54"/>
      <c r="O82" s="54"/>
      <c r="P82" s="55"/>
    </row>
    <row r="83" spans="2:16">
      <c r="B83" s="56" t="str">
        <f>IF(ISERR(casostestes[[#This Row],[ID]]),"-",casostestes[[#This Row],[ID]])</f>
        <v>-</v>
      </c>
      <c r="C83" s="49" t="str">
        <f>IFERROR(IF(VLOOKUP($B83,casostestes[#Data],10)=0,"Não",VLOOKUP($B83,casostestes[#Data],10)), "-")</f>
        <v>-</v>
      </c>
      <c r="D83" s="50" t="str">
        <f>IFERROR(IF(VLOOKUP($B83,casostestes[#Data],2)=0,"-",VLOOKUP($B83,casostestes[#Data],2)), "-")</f>
        <v>-</v>
      </c>
      <c r="E83" s="50" t="str">
        <f>IFERROR(IF(VLOOKUP($B83,casostestes[#Data],3)=0,"-",VLOOKUP($B83,casostestes[#Data],3)), "-")</f>
        <v>-</v>
      </c>
      <c r="F83" s="50" t="str">
        <f>IFERROR(IF(VLOOKUP($B83,casostestes[#Data],4)=0,"-",VLOOKUP($B83,casostestes[#Data],4)),"-")</f>
        <v>-</v>
      </c>
      <c r="G83" s="50" t="str">
        <f>IFERROR(IF(VLOOKUP($B83,casostestes[#Data],5)=0,"-",VLOOKUP($B83,casostestes[#Data],5)),"-")</f>
        <v>-</v>
      </c>
      <c r="H83" s="50" t="str">
        <f>IFERROR(IF(VLOOKUP($B83,casostestes[#Data],6)=0,"-",VLOOKUP($B83,casostestes[#Data],6)),"-")</f>
        <v>-</v>
      </c>
      <c r="I83" s="50" t="str">
        <f>IFERROR(IF(VLOOKUP($B83,casostestes[#Data],8)=0,"-",VLOOKUP($B83,casostestes[#Data],8)),"-")</f>
        <v>-</v>
      </c>
      <c r="J83" s="50" t="str">
        <f>IFERROR(IF(VLOOKUP($B83,casostestes[#Data],9)=0,"-",VLOOKUP($B83,casostestes[#Data],9)),"-")</f>
        <v>-</v>
      </c>
      <c r="K83" s="51"/>
      <c r="L83" s="119"/>
      <c r="M83" s="53"/>
      <c r="N83" s="54"/>
      <c r="O83" s="54"/>
      <c r="P83" s="55"/>
    </row>
    <row r="84" spans="2:16">
      <c r="B84" s="56" t="str">
        <f>IF(ISERR(casostestes[[#This Row],[ID]]),"-",casostestes[[#This Row],[ID]])</f>
        <v>-</v>
      </c>
      <c r="C84" s="49" t="str">
        <f>IFERROR(IF(VLOOKUP($B84,casostestes[#Data],10)=0,"Não",VLOOKUP($B84,casostestes[#Data],10)), "-")</f>
        <v>-</v>
      </c>
      <c r="D84" s="50" t="str">
        <f>IFERROR(IF(VLOOKUP($B84,casostestes[#Data],2)=0,"-",VLOOKUP($B84,casostestes[#Data],2)), "-")</f>
        <v>-</v>
      </c>
      <c r="E84" s="50" t="str">
        <f>IFERROR(IF(VLOOKUP($B84,casostestes[#Data],3)=0,"-",VLOOKUP($B84,casostestes[#Data],3)), "-")</f>
        <v>-</v>
      </c>
      <c r="F84" s="50" t="str">
        <f>IFERROR(IF(VLOOKUP($B84,casostestes[#Data],4)=0,"-",VLOOKUP($B84,casostestes[#Data],4)),"-")</f>
        <v>-</v>
      </c>
      <c r="G84" s="50" t="str">
        <f>IFERROR(IF(VLOOKUP($B84,casostestes[#Data],5)=0,"-",VLOOKUP($B84,casostestes[#Data],5)),"-")</f>
        <v>-</v>
      </c>
      <c r="H84" s="50" t="str">
        <f>IFERROR(IF(VLOOKUP($B84,casostestes[#Data],6)=0,"-",VLOOKUP($B84,casostestes[#Data],6)),"-")</f>
        <v>-</v>
      </c>
      <c r="I84" s="50" t="str">
        <f>IFERROR(IF(VLOOKUP($B84,casostestes[#Data],8)=0,"-",VLOOKUP($B84,casostestes[#Data],8)),"-")</f>
        <v>-</v>
      </c>
      <c r="J84" s="50" t="str">
        <f>IFERROR(IF(VLOOKUP($B84,casostestes[#Data],9)=0,"-",VLOOKUP($B84,casostestes[#Data],9)),"-")</f>
        <v>-</v>
      </c>
      <c r="K84" s="51"/>
      <c r="L84" s="119"/>
      <c r="M84" s="53"/>
      <c r="N84" s="54"/>
      <c r="O84" s="54"/>
      <c r="P84" s="55"/>
    </row>
    <row r="85" spans="2:16">
      <c r="B85" s="56" t="str">
        <f>IF(ISERR(casostestes[[#This Row],[ID]]),"-",casostestes[[#This Row],[ID]])</f>
        <v>-</v>
      </c>
      <c r="C85" s="49" t="str">
        <f>IFERROR(IF(VLOOKUP($B85,casostestes[#Data],10)=0,"Não",VLOOKUP($B85,casostestes[#Data],10)), "-")</f>
        <v>-</v>
      </c>
      <c r="D85" s="50" t="str">
        <f>IFERROR(IF(VLOOKUP($B85,casostestes[#Data],2)=0,"-",VLOOKUP($B85,casostestes[#Data],2)), "-")</f>
        <v>-</v>
      </c>
      <c r="E85" s="50" t="str">
        <f>IFERROR(IF(VLOOKUP($B85,casostestes[#Data],3)=0,"-",VLOOKUP($B85,casostestes[#Data],3)), "-")</f>
        <v>-</v>
      </c>
      <c r="F85" s="50" t="str">
        <f>IFERROR(IF(VLOOKUP($B85,casostestes[#Data],4)=0,"-",VLOOKUP($B85,casostestes[#Data],4)),"-")</f>
        <v>-</v>
      </c>
      <c r="G85" s="50" t="str">
        <f>IFERROR(IF(VLOOKUP($B85,casostestes[#Data],5)=0,"-",VLOOKUP($B85,casostestes[#Data],5)),"-")</f>
        <v>-</v>
      </c>
      <c r="H85" s="50" t="str">
        <f>IFERROR(IF(VLOOKUP($B85,casostestes[#Data],6)=0,"-",VLOOKUP($B85,casostestes[#Data],6)),"-")</f>
        <v>-</v>
      </c>
      <c r="I85" s="50" t="str">
        <f>IFERROR(IF(VLOOKUP($B85,casostestes[#Data],8)=0,"-",VLOOKUP($B85,casostestes[#Data],8)),"-")</f>
        <v>-</v>
      </c>
      <c r="J85" s="50" t="str">
        <f>IFERROR(IF(VLOOKUP($B85,casostestes[#Data],9)=0,"-",VLOOKUP($B85,casostestes[#Data],9)),"-")</f>
        <v>-</v>
      </c>
      <c r="K85" s="51"/>
      <c r="L85" s="119"/>
      <c r="M85" s="53"/>
      <c r="N85" s="54"/>
      <c r="O85" s="54"/>
      <c r="P85" s="55"/>
    </row>
    <row r="86" spans="2:16">
      <c r="B86" s="56" t="str">
        <f>IF(ISERR(casostestes[[#This Row],[ID]]),"-",casostestes[[#This Row],[ID]])</f>
        <v>-</v>
      </c>
      <c r="C86" s="49" t="str">
        <f>IFERROR(IF(VLOOKUP($B86,casostestes[#Data],10)=0,"Não",VLOOKUP($B86,casostestes[#Data],10)), "-")</f>
        <v>-</v>
      </c>
      <c r="D86" s="50" t="str">
        <f>IFERROR(IF(VLOOKUP($B86,casostestes[#Data],2)=0,"-",VLOOKUP($B86,casostestes[#Data],2)), "-")</f>
        <v>-</v>
      </c>
      <c r="E86" s="50" t="str">
        <f>IFERROR(IF(VLOOKUP($B86,casostestes[#Data],3)=0,"-",VLOOKUP($B86,casostestes[#Data],3)), "-")</f>
        <v>-</v>
      </c>
      <c r="F86" s="50" t="str">
        <f>IFERROR(IF(VLOOKUP($B86,casostestes[#Data],4)=0,"-",VLOOKUP($B86,casostestes[#Data],4)),"-")</f>
        <v>-</v>
      </c>
      <c r="G86" s="50" t="str">
        <f>IFERROR(IF(VLOOKUP($B86,casostestes[#Data],5)=0,"-",VLOOKUP($B86,casostestes[#Data],5)),"-")</f>
        <v>-</v>
      </c>
      <c r="H86" s="50" t="str">
        <f>IFERROR(IF(VLOOKUP($B86,casostestes[#Data],6)=0,"-",VLOOKUP($B86,casostestes[#Data],6)),"-")</f>
        <v>-</v>
      </c>
      <c r="I86" s="50" t="str">
        <f>IFERROR(IF(VLOOKUP($B86,casostestes[#Data],8)=0,"-",VLOOKUP($B86,casostestes[#Data],8)),"-")</f>
        <v>-</v>
      </c>
      <c r="J86" s="50" t="str">
        <f>IFERROR(IF(VLOOKUP($B86,casostestes[#Data],9)=0,"-",VLOOKUP($B86,casostestes[#Data],9)),"-")</f>
        <v>-</v>
      </c>
      <c r="K86" s="51"/>
      <c r="L86" s="119"/>
      <c r="M86" s="53"/>
      <c r="N86" s="54"/>
      <c r="O86" s="54"/>
      <c r="P86" s="55"/>
    </row>
    <row r="87" spans="2:16">
      <c r="B87" s="56" t="str">
        <f>IF(ISERR(casostestes[[#This Row],[ID]]),"-",casostestes[[#This Row],[ID]])</f>
        <v>-</v>
      </c>
      <c r="C87" s="49" t="str">
        <f>IFERROR(IF(VLOOKUP($B87,casostestes[#Data],10)=0,"Não",VLOOKUP($B87,casostestes[#Data],10)), "-")</f>
        <v>-</v>
      </c>
      <c r="D87" s="50" t="str">
        <f>IFERROR(IF(VLOOKUP($B87,casostestes[#Data],2)=0,"-",VLOOKUP($B87,casostestes[#Data],2)), "-")</f>
        <v>-</v>
      </c>
      <c r="E87" s="50" t="str">
        <f>IFERROR(IF(VLOOKUP($B87,casostestes[#Data],3)=0,"-",VLOOKUP($B87,casostestes[#Data],3)), "-")</f>
        <v>-</v>
      </c>
      <c r="F87" s="50" t="str">
        <f>IFERROR(IF(VLOOKUP($B87,casostestes[#Data],4)=0,"-",VLOOKUP($B87,casostestes[#Data],4)),"-")</f>
        <v>-</v>
      </c>
      <c r="G87" s="50" t="str">
        <f>IFERROR(IF(VLOOKUP($B87,casostestes[#Data],5)=0,"-",VLOOKUP($B87,casostestes[#Data],5)),"-")</f>
        <v>-</v>
      </c>
      <c r="H87" s="50" t="str">
        <f>IFERROR(IF(VLOOKUP($B87,casostestes[#Data],6)=0,"-",VLOOKUP($B87,casostestes[#Data],6)),"-")</f>
        <v>-</v>
      </c>
      <c r="I87" s="50" t="str">
        <f>IFERROR(IF(VLOOKUP($B87,casostestes[#Data],8)=0,"-",VLOOKUP($B87,casostestes[#Data],8)),"-")</f>
        <v>-</v>
      </c>
      <c r="J87" s="50" t="str">
        <f>IFERROR(IF(VLOOKUP($B87,casostestes[#Data],9)=0,"-",VLOOKUP($B87,casostestes[#Data],9)),"-")</f>
        <v>-</v>
      </c>
      <c r="K87" s="51"/>
      <c r="L87" s="119"/>
      <c r="M87" s="53"/>
      <c r="N87" s="54"/>
      <c r="O87" s="54"/>
      <c r="P87" s="55"/>
    </row>
    <row r="88" spans="2:16">
      <c r="B88" s="56" t="str">
        <f>IF(ISERR(casostestes[[#This Row],[ID]]),"-",casostestes[[#This Row],[ID]])</f>
        <v>-</v>
      </c>
      <c r="C88" s="49" t="str">
        <f>IFERROR(IF(VLOOKUP($B88,casostestes[#Data],10)=0,"Não",VLOOKUP($B88,casostestes[#Data],10)), "-")</f>
        <v>-</v>
      </c>
      <c r="D88" s="50" t="str">
        <f>IFERROR(IF(VLOOKUP($B88,casostestes[#Data],2)=0,"-",VLOOKUP($B88,casostestes[#Data],2)), "-")</f>
        <v>-</v>
      </c>
      <c r="E88" s="50" t="str">
        <f>IFERROR(IF(VLOOKUP($B88,casostestes[#Data],3)=0,"-",VLOOKUP($B88,casostestes[#Data],3)), "-")</f>
        <v>-</v>
      </c>
      <c r="F88" s="50" t="str">
        <f>IFERROR(IF(VLOOKUP($B88,casostestes[#Data],4)=0,"-",VLOOKUP($B88,casostestes[#Data],4)),"-")</f>
        <v>-</v>
      </c>
      <c r="G88" s="50" t="str">
        <f>IFERROR(IF(VLOOKUP($B88,casostestes[#Data],5)=0,"-",VLOOKUP($B88,casostestes[#Data],5)),"-")</f>
        <v>-</v>
      </c>
      <c r="H88" s="50" t="str">
        <f>IFERROR(IF(VLOOKUP($B88,casostestes[#Data],6)=0,"-",VLOOKUP($B88,casostestes[#Data],6)),"-")</f>
        <v>-</v>
      </c>
      <c r="I88" s="50" t="str">
        <f>IFERROR(IF(VLOOKUP($B88,casostestes[#Data],8)=0,"-",VLOOKUP($B88,casostestes[#Data],8)),"-")</f>
        <v>-</v>
      </c>
      <c r="J88" s="50" t="str">
        <f>IFERROR(IF(VLOOKUP($B88,casostestes[#Data],9)=0,"-",VLOOKUP($B88,casostestes[#Data],9)),"-")</f>
        <v>-</v>
      </c>
      <c r="K88" s="51"/>
      <c r="L88" s="119"/>
      <c r="M88" s="53"/>
      <c r="N88" s="54"/>
      <c r="O88" s="54"/>
      <c r="P88" s="55"/>
    </row>
    <row r="89" spans="2:16">
      <c r="B89" s="56" t="str">
        <f>IF(ISERR(casostestes[[#This Row],[ID]]),"-",casostestes[[#This Row],[ID]])</f>
        <v>-</v>
      </c>
      <c r="C89" s="49" t="str">
        <f>IFERROR(IF(VLOOKUP($B89,casostestes[#Data],10)=0,"Não",VLOOKUP($B89,casostestes[#Data],10)), "-")</f>
        <v>-</v>
      </c>
      <c r="D89" s="50" t="str">
        <f>IFERROR(IF(VLOOKUP($B89,casostestes[#Data],2)=0,"-",VLOOKUP($B89,casostestes[#Data],2)), "-")</f>
        <v>-</v>
      </c>
      <c r="E89" s="50" t="str">
        <f>IFERROR(IF(VLOOKUP($B89,casostestes[#Data],3)=0,"-",VLOOKUP($B89,casostestes[#Data],3)), "-")</f>
        <v>-</v>
      </c>
      <c r="F89" s="50" t="str">
        <f>IFERROR(IF(VLOOKUP($B89,casostestes[#Data],4)=0,"-",VLOOKUP($B89,casostestes[#Data],4)),"-")</f>
        <v>-</v>
      </c>
      <c r="G89" s="50" t="str">
        <f>IFERROR(IF(VLOOKUP($B89,casostestes[#Data],5)=0,"-",VLOOKUP($B89,casostestes[#Data],5)),"-")</f>
        <v>-</v>
      </c>
      <c r="H89" s="50" t="str">
        <f>IFERROR(IF(VLOOKUP($B89,casostestes[#Data],6)=0,"-",VLOOKUP($B89,casostestes[#Data],6)),"-")</f>
        <v>-</v>
      </c>
      <c r="I89" s="50" t="str">
        <f>IFERROR(IF(VLOOKUP($B89,casostestes[#Data],8)=0,"-",VLOOKUP($B89,casostestes[#Data],8)),"-")</f>
        <v>-</v>
      </c>
      <c r="J89" s="50" t="str">
        <f>IFERROR(IF(VLOOKUP($B89,casostestes[#Data],9)=0,"-",VLOOKUP($B89,casostestes[#Data],9)),"-")</f>
        <v>-</v>
      </c>
      <c r="K89" s="51"/>
      <c r="L89" s="119"/>
      <c r="M89" s="53"/>
      <c r="N89" s="54"/>
      <c r="O89" s="54"/>
      <c r="P89" s="55"/>
    </row>
    <row r="90" spans="2:16">
      <c r="B90" s="56" t="str">
        <f>IF(ISERR(casostestes[[#This Row],[ID]]),"-",casostestes[[#This Row],[ID]])</f>
        <v>-</v>
      </c>
      <c r="C90" s="49" t="str">
        <f>IFERROR(IF(VLOOKUP($B90,casostestes[#Data],10)=0,"Não",VLOOKUP($B90,casostestes[#Data],10)), "-")</f>
        <v>-</v>
      </c>
      <c r="D90" s="50" t="str">
        <f>IFERROR(IF(VLOOKUP($B90,casostestes[#Data],2)=0,"-",VLOOKUP($B90,casostestes[#Data],2)), "-")</f>
        <v>-</v>
      </c>
      <c r="E90" s="50" t="str">
        <f>IFERROR(IF(VLOOKUP($B90,casostestes[#Data],3)=0,"-",VLOOKUP($B90,casostestes[#Data],3)), "-")</f>
        <v>-</v>
      </c>
      <c r="F90" s="50" t="str">
        <f>IFERROR(IF(VLOOKUP($B90,casostestes[#Data],4)=0,"-",VLOOKUP($B90,casostestes[#Data],4)),"-")</f>
        <v>-</v>
      </c>
      <c r="G90" s="50" t="str">
        <f>IFERROR(IF(VLOOKUP($B90,casostestes[#Data],5)=0,"-",VLOOKUP($B90,casostestes[#Data],5)),"-")</f>
        <v>-</v>
      </c>
      <c r="H90" s="50" t="str">
        <f>IFERROR(IF(VLOOKUP($B90,casostestes[#Data],6)=0,"-",VLOOKUP($B90,casostestes[#Data],6)),"-")</f>
        <v>-</v>
      </c>
      <c r="I90" s="50" t="str">
        <f>IFERROR(IF(VLOOKUP($B90,casostestes[#Data],8)=0,"-",VLOOKUP($B90,casostestes[#Data],8)),"-")</f>
        <v>-</v>
      </c>
      <c r="J90" s="50" t="str">
        <f>IFERROR(IF(VLOOKUP($B90,casostestes[#Data],9)=0,"-",VLOOKUP($B90,casostestes[#Data],9)),"-")</f>
        <v>-</v>
      </c>
      <c r="K90" s="51"/>
      <c r="L90" s="119"/>
      <c r="M90" s="53"/>
      <c r="N90" s="54"/>
      <c r="O90" s="54"/>
      <c r="P90" s="55"/>
    </row>
    <row r="91" spans="2:16">
      <c r="B91" s="56" t="str">
        <f>IF(ISERR(casostestes[[#This Row],[ID]]),"-",casostestes[[#This Row],[ID]])</f>
        <v>-</v>
      </c>
      <c r="C91" s="49" t="str">
        <f>IFERROR(IF(VLOOKUP($B91,casostestes[#Data],10)=0,"Não",VLOOKUP($B91,casostestes[#Data],10)), "-")</f>
        <v>-</v>
      </c>
      <c r="D91" s="50" t="str">
        <f>IFERROR(IF(VLOOKUP($B91,casostestes[#Data],2)=0,"-",VLOOKUP($B91,casostestes[#Data],2)), "-")</f>
        <v>-</v>
      </c>
      <c r="E91" s="50" t="str">
        <f>IFERROR(IF(VLOOKUP($B91,casostestes[#Data],3)=0,"-",VLOOKUP($B91,casostestes[#Data],3)), "-")</f>
        <v>-</v>
      </c>
      <c r="F91" s="50" t="str">
        <f>IFERROR(IF(VLOOKUP($B91,casostestes[#Data],4)=0,"-",VLOOKUP($B91,casostestes[#Data],4)),"-")</f>
        <v>-</v>
      </c>
      <c r="G91" s="50" t="str">
        <f>IFERROR(IF(VLOOKUP($B91,casostestes[#Data],5)=0,"-",VLOOKUP($B91,casostestes[#Data],5)),"-")</f>
        <v>-</v>
      </c>
      <c r="H91" s="50" t="str">
        <f>IFERROR(IF(VLOOKUP($B91,casostestes[#Data],6)=0,"-",VLOOKUP($B91,casostestes[#Data],6)),"-")</f>
        <v>-</v>
      </c>
      <c r="I91" s="50" t="str">
        <f>IFERROR(IF(VLOOKUP($B91,casostestes[#Data],8)=0,"-",VLOOKUP($B91,casostestes[#Data],8)),"-")</f>
        <v>-</v>
      </c>
      <c r="J91" s="50" t="str">
        <f>IFERROR(IF(VLOOKUP($B91,casostestes[#Data],9)=0,"-",VLOOKUP($B91,casostestes[#Data],9)),"-")</f>
        <v>-</v>
      </c>
      <c r="K91" s="51"/>
      <c r="L91" s="119"/>
      <c r="M91" s="53"/>
      <c r="N91" s="54"/>
      <c r="O91" s="54"/>
      <c r="P91" s="55"/>
    </row>
    <row r="92" spans="2:16">
      <c r="B92" s="56" t="str">
        <f>IF(ISERR(casostestes[[#This Row],[ID]]),"-",casostestes[[#This Row],[ID]])</f>
        <v>-</v>
      </c>
      <c r="C92" s="49" t="str">
        <f>IFERROR(IF(VLOOKUP($B92,casostestes[#Data],10)=0,"Não",VLOOKUP($B92,casostestes[#Data],10)), "-")</f>
        <v>-</v>
      </c>
      <c r="D92" s="50" t="str">
        <f>IFERROR(IF(VLOOKUP($B92,casostestes[#Data],2)=0,"-",VLOOKUP($B92,casostestes[#Data],2)), "-")</f>
        <v>-</v>
      </c>
      <c r="E92" s="50" t="str">
        <f>IFERROR(IF(VLOOKUP($B92,casostestes[#Data],3)=0,"-",VLOOKUP($B92,casostestes[#Data],3)), "-")</f>
        <v>-</v>
      </c>
      <c r="F92" s="50" t="str">
        <f>IFERROR(IF(VLOOKUP($B92,casostestes[#Data],4)=0,"-",VLOOKUP($B92,casostestes[#Data],4)),"-")</f>
        <v>-</v>
      </c>
      <c r="G92" s="50" t="str">
        <f>IFERROR(IF(VLOOKUP($B92,casostestes[#Data],5)=0,"-",VLOOKUP($B92,casostestes[#Data],5)),"-")</f>
        <v>-</v>
      </c>
      <c r="H92" s="50" t="str">
        <f>IFERROR(IF(VLOOKUP($B92,casostestes[#Data],6)=0,"-",VLOOKUP($B92,casostestes[#Data],6)),"-")</f>
        <v>-</v>
      </c>
      <c r="I92" s="50" t="str">
        <f>IFERROR(IF(VLOOKUP($B92,casostestes[#Data],8)=0,"-",VLOOKUP($B92,casostestes[#Data],8)),"-")</f>
        <v>-</v>
      </c>
      <c r="J92" s="50" t="str">
        <f>IFERROR(IF(VLOOKUP($B92,casostestes[#Data],9)=0,"-",VLOOKUP($B92,casostestes[#Data],9)),"-")</f>
        <v>-</v>
      </c>
      <c r="K92" s="51"/>
      <c r="L92" s="119"/>
      <c r="M92" s="53"/>
      <c r="N92" s="54"/>
      <c r="O92" s="54"/>
      <c r="P92" s="55"/>
    </row>
    <row r="93" spans="2:16">
      <c r="B93" s="56" t="str">
        <f>IF(ISERR(casostestes[[#This Row],[ID]]),"-",casostestes[[#This Row],[ID]])</f>
        <v>-</v>
      </c>
      <c r="C93" s="49" t="str">
        <f>IFERROR(IF(VLOOKUP($B93,casostestes[#Data],10)=0,"Não",VLOOKUP($B93,casostestes[#Data],10)), "-")</f>
        <v>-</v>
      </c>
      <c r="D93" s="50" t="str">
        <f>IFERROR(IF(VLOOKUP($B93,casostestes[#Data],2)=0,"-",VLOOKUP($B93,casostestes[#Data],2)), "-")</f>
        <v>-</v>
      </c>
      <c r="E93" s="50" t="str">
        <f>IFERROR(IF(VLOOKUP($B93,casostestes[#Data],3)=0,"-",VLOOKUP($B93,casostestes[#Data],3)), "-")</f>
        <v>-</v>
      </c>
      <c r="F93" s="50" t="str">
        <f>IFERROR(IF(VLOOKUP($B93,casostestes[#Data],4)=0,"-",VLOOKUP($B93,casostestes[#Data],4)),"-")</f>
        <v>-</v>
      </c>
      <c r="G93" s="50" t="str">
        <f>IFERROR(IF(VLOOKUP($B93,casostestes[#Data],5)=0,"-",VLOOKUP($B93,casostestes[#Data],5)),"-")</f>
        <v>-</v>
      </c>
      <c r="H93" s="50" t="str">
        <f>IFERROR(IF(VLOOKUP($B93,casostestes[#Data],6)=0,"-",VLOOKUP($B93,casostestes[#Data],6)),"-")</f>
        <v>-</v>
      </c>
      <c r="I93" s="50" t="str">
        <f>IFERROR(IF(VLOOKUP($B93,casostestes[#Data],8)=0,"-",VLOOKUP($B93,casostestes[#Data],8)),"-")</f>
        <v>-</v>
      </c>
      <c r="J93" s="50" t="str">
        <f>IFERROR(IF(VLOOKUP($B93,casostestes[#Data],9)=0,"-",VLOOKUP($B93,casostestes[#Data],9)),"-")</f>
        <v>-</v>
      </c>
      <c r="K93" s="51"/>
      <c r="L93" s="119"/>
      <c r="M93" s="53"/>
      <c r="N93" s="54"/>
      <c r="O93" s="54"/>
      <c r="P93" s="55"/>
    </row>
    <row r="94" spans="2:16">
      <c r="B94" s="56" t="str">
        <f>IF(ISERR(casostestes[[#This Row],[ID]]),"-",casostestes[[#This Row],[ID]])</f>
        <v>-</v>
      </c>
      <c r="C94" s="49" t="str">
        <f>IFERROR(IF(VLOOKUP($B94,casostestes[#Data],10)=0,"Não",VLOOKUP($B94,casostestes[#Data],10)), "-")</f>
        <v>-</v>
      </c>
      <c r="D94" s="50" t="str">
        <f>IFERROR(IF(VLOOKUP($B94,casostestes[#Data],2)=0,"-",VLOOKUP($B94,casostestes[#Data],2)), "-")</f>
        <v>-</v>
      </c>
      <c r="E94" s="50" t="str">
        <f>IFERROR(IF(VLOOKUP($B94,casostestes[#Data],3)=0,"-",VLOOKUP($B94,casostestes[#Data],3)), "-")</f>
        <v>-</v>
      </c>
      <c r="F94" s="50" t="str">
        <f>IFERROR(IF(VLOOKUP($B94,casostestes[#Data],4)=0,"-",VLOOKUP($B94,casostestes[#Data],4)),"-")</f>
        <v>-</v>
      </c>
      <c r="G94" s="50" t="str">
        <f>IFERROR(IF(VLOOKUP($B94,casostestes[#Data],5)=0,"-",VLOOKUP($B94,casostestes[#Data],5)),"-")</f>
        <v>-</v>
      </c>
      <c r="H94" s="50" t="str">
        <f>IFERROR(IF(VLOOKUP($B94,casostestes[#Data],6)=0,"-",VLOOKUP($B94,casostestes[#Data],6)),"-")</f>
        <v>-</v>
      </c>
      <c r="I94" s="50" t="str">
        <f>IFERROR(IF(VLOOKUP($B94,casostestes[#Data],8)=0,"-",VLOOKUP($B94,casostestes[#Data],8)),"-")</f>
        <v>-</v>
      </c>
      <c r="J94" s="50" t="str">
        <f>IFERROR(IF(VLOOKUP($B94,casostestes[#Data],9)=0,"-",VLOOKUP($B94,casostestes[#Data],9)),"-")</f>
        <v>-</v>
      </c>
      <c r="K94" s="51"/>
      <c r="L94" s="119"/>
      <c r="M94" s="53"/>
      <c r="N94" s="54"/>
      <c r="O94" s="54"/>
      <c r="P94" s="55"/>
    </row>
    <row r="95" spans="2:16">
      <c r="B95" s="56" t="str">
        <f>IF(ISERR(casostestes[[#This Row],[ID]]),"-",casostestes[[#This Row],[ID]])</f>
        <v>-</v>
      </c>
      <c r="C95" s="49" t="str">
        <f>IFERROR(IF(VLOOKUP($B95,casostestes[#Data],10)=0,"Não",VLOOKUP($B95,casostestes[#Data],10)), "-")</f>
        <v>-</v>
      </c>
      <c r="D95" s="50" t="str">
        <f>IFERROR(IF(VLOOKUP($B95,casostestes[#Data],2)=0,"-",VLOOKUP($B95,casostestes[#Data],2)), "-")</f>
        <v>-</v>
      </c>
      <c r="E95" s="50" t="str">
        <f>IFERROR(IF(VLOOKUP($B95,casostestes[#Data],3)=0,"-",VLOOKUP($B95,casostestes[#Data],3)), "-")</f>
        <v>-</v>
      </c>
      <c r="F95" s="50" t="str">
        <f>IFERROR(IF(VLOOKUP($B95,casostestes[#Data],4)=0,"-",VLOOKUP($B95,casostestes[#Data],4)),"-")</f>
        <v>-</v>
      </c>
      <c r="G95" s="50" t="str">
        <f>IFERROR(IF(VLOOKUP($B95,casostestes[#Data],5)=0,"-",VLOOKUP($B95,casostestes[#Data],5)),"-")</f>
        <v>-</v>
      </c>
      <c r="H95" s="50" t="str">
        <f>IFERROR(IF(VLOOKUP($B95,casostestes[#Data],6)=0,"-",VLOOKUP($B95,casostestes[#Data],6)),"-")</f>
        <v>-</v>
      </c>
      <c r="I95" s="50" t="str">
        <f>IFERROR(IF(VLOOKUP($B95,casostestes[#Data],8)=0,"-",VLOOKUP($B95,casostestes[#Data],8)),"-")</f>
        <v>-</v>
      </c>
      <c r="J95" s="50" t="str">
        <f>IFERROR(IF(VLOOKUP($B95,casostestes[#Data],9)=0,"-",VLOOKUP($B95,casostestes[#Data],9)),"-")</f>
        <v>-</v>
      </c>
      <c r="K95" s="51"/>
      <c r="L95" s="119"/>
      <c r="M95" s="53"/>
      <c r="N95" s="54"/>
      <c r="O95" s="54"/>
      <c r="P95" s="55"/>
    </row>
    <row r="96" spans="2:16">
      <c r="B96" s="56" t="str">
        <f>IF(ISERR(casostestes[[#This Row],[ID]]),"-",casostestes[[#This Row],[ID]])</f>
        <v>-</v>
      </c>
      <c r="C96" s="49" t="str">
        <f>IFERROR(IF(VLOOKUP($B96,casostestes[#Data],10)=0,"Não",VLOOKUP($B96,casostestes[#Data],10)), "-")</f>
        <v>-</v>
      </c>
      <c r="D96" s="50" t="str">
        <f>IFERROR(IF(VLOOKUP($B96,casostestes[#Data],2)=0,"-",VLOOKUP($B96,casostestes[#Data],2)), "-")</f>
        <v>-</v>
      </c>
      <c r="E96" s="50" t="str">
        <f>IFERROR(IF(VLOOKUP($B96,casostestes[#Data],3)=0,"-",VLOOKUP($B96,casostestes[#Data],3)), "-")</f>
        <v>-</v>
      </c>
      <c r="F96" s="50" t="str">
        <f>IFERROR(IF(VLOOKUP($B96,casostestes[#Data],4)=0,"-",VLOOKUP($B96,casostestes[#Data],4)),"-")</f>
        <v>-</v>
      </c>
      <c r="G96" s="50" t="str">
        <f>IFERROR(IF(VLOOKUP($B96,casostestes[#Data],5)=0,"-",VLOOKUP($B96,casostestes[#Data],5)),"-")</f>
        <v>-</v>
      </c>
      <c r="H96" s="50" t="str">
        <f>IFERROR(IF(VLOOKUP($B96,casostestes[#Data],6)=0,"-",VLOOKUP($B96,casostestes[#Data],6)),"-")</f>
        <v>-</v>
      </c>
      <c r="I96" s="50" t="str">
        <f>IFERROR(IF(VLOOKUP($B96,casostestes[#Data],8)=0,"-",VLOOKUP($B96,casostestes[#Data],8)),"-")</f>
        <v>-</v>
      </c>
      <c r="J96" s="50" t="str">
        <f>IFERROR(IF(VLOOKUP($B96,casostestes[#Data],9)=0,"-",VLOOKUP($B96,casostestes[#Data],9)),"-")</f>
        <v>-</v>
      </c>
      <c r="K96" s="51"/>
      <c r="L96" s="119"/>
      <c r="M96" s="53"/>
      <c r="N96" s="54"/>
      <c r="O96" s="54"/>
      <c r="P96" s="55"/>
    </row>
    <row r="97" spans="2:16">
      <c r="B97" s="56" t="str">
        <f>IF(ISERR(casostestes[[#This Row],[ID]]),"-",casostestes[[#This Row],[ID]])</f>
        <v>-</v>
      </c>
      <c r="C97" s="49" t="str">
        <f>IFERROR(IF(VLOOKUP($B97,casostestes[#Data],10)=0,"Não",VLOOKUP($B97,casostestes[#Data],10)), "-")</f>
        <v>-</v>
      </c>
      <c r="D97" s="50" t="str">
        <f>IFERROR(IF(VLOOKUP($B97,casostestes[#Data],2)=0,"-",VLOOKUP($B97,casostestes[#Data],2)), "-")</f>
        <v>-</v>
      </c>
      <c r="E97" s="50" t="str">
        <f>IFERROR(IF(VLOOKUP($B97,casostestes[#Data],3)=0,"-",VLOOKUP($B97,casostestes[#Data],3)), "-")</f>
        <v>-</v>
      </c>
      <c r="F97" s="50" t="str">
        <f>IFERROR(IF(VLOOKUP($B97,casostestes[#Data],4)=0,"-",VLOOKUP($B97,casostestes[#Data],4)),"-")</f>
        <v>-</v>
      </c>
      <c r="G97" s="50" t="str">
        <f>IFERROR(IF(VLOOKUP($B97,casostestes[#Data],5)=0,"-",VLOOKUP($B97,casostestes[#Data],5)),"-")</f>
        <v>-</v>
      </c>
      <c r="H97" s="50" t="str">
        <f>IFERROR(IF(VLOOKUP($B97,casostestes[#Data],6)=0,"-",VLOOKUP($B97,casostestes[#Data],6)),"-")</f>
        <v>-</v>
      </c>
      <c r="I97" s="50" t="str">
        <f>IFERROR(IF(VLOOKUP($B97,casostestes[#Data],8)=0,"-",VLOOKUP($B97,casostestes[#Data],8)),"-")</f>
        <v>-</v>
      </c>
      <c r="J97" s="50" t="str">
        <f>IFERROR(IF(VLOOKUP($B97,casostestes[#Data],9)=0,"-",VLOOKUP($B97,casostestes[#Data],9)),"-")</f>
        <v>-</v>
      </c>
      <c r="K97" s="51"/>
      <c r="L97" s="119"/>
      <c r="M97" s="53"/>
      <c r="N97" s="54"/>
      <c r="O97" s="54"/>
      <c r="P97" s="55"/>
    </row>
    <row r="98" spans="2:16">
      <c r="B98" s="56" t="str">
        <f>IF(ISERR(casostestes[[#This Row],[ID]]),"-",casostestes[[#This Row],[ID]])</f>
        <v>-</v>
      </c>
      <c r="C98" s="49" t="str">
        <f>IFERROR(IF(VLOOKUP($B98,casostestes[#Data],10)=0,"Não",VLOOKUP($B98,casostestes[#Data],10)), "-")</f>
        <v>-</v>
      </c>
      <c r="D98" s="50" t="str">
        <f>IFERROR(IF(VLOOKUP($B98,casostestes[#Data],2)=0,"-",VLOOKUP($B98,casostestes[#Data],2)), "-")</f>
        <v>-</v>
      </c>
      <c r="E98" s="50" t="str">
        <f>IFERROR(IF(VLOOKUP($B98,casostestes[#Data],3)=0,"-",VLOOKUP($B98,casostestes[#Data],3)), "-")</f>
        <v>-</v>
      </c>
      <c r="F98" s="50" t="str">
        <f>IFERROR(IF(VLOOKUP($B98,casostestes[#Data],4)=0,"-",VLOOKUP($B98,casostestes[#Data],4)),"-")</f>
        <v>-</v>
      </c>
      <c r="G98" s="50" t="str">
        <f>IFERROR(IF(VLOOKUP($B98,casostestes[#Data],5)=0,"-",VLOOKUP($B98,casostestes[#Data],5)),"-")</f>
        <v>-</v>
      </c>
      <c r="H98" s="50" t="str">
        <f>IFERROR(IF(VLOOKUP($B98,casostestes[#Data],6)=0,"-",VLOOKUP($B98,casostestes[#Data],6)),"-")</f>
        <v>-</v>
      </c>
      <c r="I98" s="50" t="str">
        <f>IFERROR(IF(VLOOKUP($B98,casostestes[#Data],8)=0,"-",VLOOKUP($B98,casostestes[#Data],8)),"-")</f>
        <v>-</v>
      </c>
      <c r="J98" s="50" t="str">
        <f>IFERROR(IF(VLOOKUP($B98,casostestes[#Data],9)=0,"-",VLOOKUP($B98,casostestes[#Data],9)),"-")</f>
        <v>-</v>
      </c>
      <c r="K98" s="51"/>
      <c r="L98" s="119"/>
      <c r="M98" s="53"/>
      <c r="N98" s="54"/>
      <c r="O98" s="54"/>
      <c r="P98" s="55"/>
    </row>
    <row r="99" spans="2:16">
      <c r="B99" s="56" t="str">
        <f>IF(ISERR(casostestes[[#This Row],[ID]]),"-",casostestes[[#This Row],[ID]])</f>
        <v>-</v>
      </c>
      <c r="C99" s="49" t="str">
        <f>IFERROR(IF(VLOOKUP($B99,casostestes[#Data],10)=0,"Não",VLOOKUP($B99,casostestes[#Data],10)), "-")</f>
        <v>-</v>
      </c>
      <c r="D99" s="50" t="str">
        <f>IFERROR(IF(VLOOKUP($B99,casostestes[#Data],2)=0,"-",VLOOKUP($B99,casostestes[#Data],2)), "-")</f>
        <v>-</v>
      </c>
      <c r="E99" s="50" t="str">
        <f>IFERROR(IF(VLOOKUP($B99,casostestes[#Data],3)=0,"-",VLOOKUP($B99,casostestes[#Data],3)), "-")</f>
        <v>-</v>
      </c>
      <c r="F99" s="50" t="str">
        <f>IFERROR(IF(VLOOKUP($B99,casostestes[#Data],4)=0,"-",VLOOKUP($B99,casostestes[#Data],4)),"-")</f>
        <v>-</v>
      </c>
      <c r="G99" s="50" t="str">
        <f>IFERROR(IF(VLOOKUP($B99,casostestes[#Data],5)=0,"-",VLOOKUP($B99,casostestes[#Data],5)),"-")</f>
        <v>-</v>
      </c>
      <c r="H99" s="50" t="str">
        <f>IFERROR(IF(VLOOKUP($B99,casostestes[#Data],6)=0,"-",VLOOKUP($B99,casostestes[#Data],6)),"-")</f>
        <v>-</v>
      </c>
      <c r="I99" s="50" t="str">
        <f>IFERROR(IF(VLOOKUP($B99,casostestes[#Data],8)=0,"-",VLOOKUP($B99,casostestes[#Data],8)),"-")</f>
        <v>-</v>
      </c>
      <c r="J99" s="50" t="str">
        <f>IFERROR(IF(VLOOKUP($B99,casostestes[#Data],9)=0,"-",VLOOKUP($B99,casostestes[#Data],9)),"-")</f>
        <v>-</v>
      </c>
      <c r="K99" s="51"/>
      <c r="L99" s="119"/>
      <c r="M99" s="53"/>
      <c r="N99" s="54"/>
      <c r="O99" s="54"/>
      <c r="P99" s="55"/>
    </row>
    <row r="100" spans="2:16">
      <c r="B100" s="56" t="str">
        <f>IF(ISERR(casostestes[[#This Row],[ID]]),"-",casostestes[[#This Row],[ID]])</f>
        <v>-</v>
      </c>
      <c r="C100" s="58" t="str">
        <f>IFERROR(IF(VLOOKUP($B100,casostestes[#Data],10)=0,"Não",VLOOKUP($B100,casostestes[#Data],10)), "-")</f>
        <v>-</v>
      </c>
      <c r="D100" s="59" t="str">
        <f>IFERROR(IF(VLOOKUP($B100,casostestes[#Data],2)=0,"-",VLOOKUP($B100,casostestes[#Data],2)), "-")</f>
        <v>-</v>
      </c>
      <c r="E100" s="59" t="str">
        <f>IFERROR(IF(VLOOKUP($B100,casostestes[#Data],3)=0,"-",VLOOKUP($B100,casostestes[#Data],3)), "-")</f>
        <v>-</v>
      </c>
      <c r="F100" s="59" t="str">
        <f>IFERROR(IF(VLOOKUP($B100,casostestes[#Data],4)=0,"-",VLOOKUP($B100,casostestes[#Data],4)),"-")</f>
        <v>-</v>
      </c>
      <c r="G100" s="59" t="str">
        <f>IFERROR(IF(VLOOKUP($B100,casostestes[#Data],5)=0,"-",VLOOKUP($B100,casostestes[#Data],5)),"-")</f>
        <v>-</v>
      </c>
      <c r="H100" s="59" t="str">
        <f>IFERROR(IF(VLOOKUP($B100,casostestes[#Data],6)=0,"-",VLOOKUP($B100,casostestes[#Data],6)),"-")</f>
        <v>-</v>
      </c>
      <c r="I100" s="59" t="str">
        <f>IFERROR(IF(VLOOKUP($B100,casostestes[#Data],8)=0,"-",VLOOKUP($B100,casostestes[#Data],8)),"-")</f>
        <v>-</v>
      </c>
      <c r="J100" s="59" t="str">
        <f>IFERROR(IF(VLOOKUP($B100,casostestes[#Data],9)=0,"-",VLOOKUP($B100,casostestes[#Data],9)),"-")</f>
        <v>-</v>
      </c>
      <c r="K100" s="60"/>
      <c r="L100" s="119"/>
      <c r="M100" s="61"/>
      <c r="N100" s="62"/>
      <c r="O100" s="62"/>
      <c r="P100" s="63"/>
    </row>
    <row r="101" spans="2:16">
      <c r="B101" s="56" t="str">
        <f>IF(ISERR(casostestes[[#This Row],[ID]]),"-",casostestes[[#This Row],[ID]])</f>
        <v>-</v>
      </c>
      <c r="C101" s="49" t="str">
        <f>IFERROR(IF(VLOOKUP($B101,casostestes[#Data],10)=0,"Não",VLOOKUP($B101,casostestes[#Data],10)), "-")</f>
        <v>-</v>
      </c>
      <c r="D101" s="50" t="str">
        <f>IFERROR(IF(VLOOKUP($B101,casostestes[#Data],2)=0,"-",VLOOKUP($B101,casostestes[#Data],2)), "-")</f>
        <v>-</v>
      </c>
      <c r="E101" s="50" t="str">
        <f>IFERROR(IF(VLOOKUP($B101,casostestes[#Data],3)=0,"-",VLOOKUP($B101,casostestes[#Data],3)), "-")</f>
        <v>-</v>
      </c>
      <c r="F101" s="50" t="str">
        <f>IFERROR(IF(VLOOKUP($B101,casostestes[#Data],4)=0,"-",VLOOKUP($B101,casostestes[#Data],4)),"-")</f>
        <v>-</v>
      </c>
      <c r="G101" s="50" t="str">
        <f>IFERROR(IF(VLOOKUP($B101,casostestes[#Data],5)=0,"-",VLOOKUP($B101,casostestes[#Data],5)),"-")</f>
        <v>-</v>
      </c>
      <c r="H101" s="50" t="str">
        <f>IFERROR(IF(VLOOKUP($B101,casostestes[#Data],6)=0,"-",VLOOKUP($B101,casostestes[#Data],6)),"-")</f>
        <v>-</v>
      </c>
      <c r="I101" s="50" t="str">
        <f>IFERROR(IF(VLOOKUP($B101,casostestes[#Data],8)=0,"-",VLOOKUP($B101,casostestes[#Data],8)),"-")</f>
        <v>-</v>
      </c>
      <c r="J101" s="50" t="str">
        <f>IFERROR(IF(VLOOKUP($B101,casostestes[#Data],9)=0,"-",VLOOKUP($B101,casostestes[#Data],9)),"-")</f>
        <v>-</v>
      </c>
      <c r="K101" s="51"/>
      <c r="L101" s="119"/>
      <c r="M101" s="53"/>
      <c r="N101" s="54"/>
      <c r="O101" s="54"/>
      <c r="P101" s="55"/>
    </row>
    <row r="102" spans="2:16">
      <c r="B102" s="56" t="str">
        <f>IF(ISERR(casostestes[[#This Row],[ID]]),"-",casostestes[[#This Row],[ID]])</f>
        <v>-</v>
      </c>
      <c r="C102" s="49" t="str">
        <f>IFERROR(IF(VLOOKUP($B102,casostestes[#Data],10)=0,"Não",VLOOKUP($B102,casostestes[#Data],10)), "-")</f>
        <v>-</v>
      </c>
      <c r="D102" s="50" t="str">
        <f>IFERROR(IF(VLOOKUP($B102,casostestes[#Data],2)=0,"-",VLOOKUP($B102,casostestes[#Data],2)), "-")</f>
        <v>-</v>
      </c>
      <c r="E102" s="50" t="str">
        <f>IFERROR(IF(VLOOKUP($B102,casostestes[#Data],3)=0,"-",VLOOKUP($B102,casostestes[#Data],3)), "-")</f>
        <v>-</v>
      </c>
      <c r="F102" s="50" t="str">
        <f>IFERROR(IF(VLOOKUP($B102,casostestes[#Data],4)=0,"-",VLOOKUP($B102,casostestes[#Data],4)),"-")</f>
        <v>-</v>
      </c>
      <c r="G102" s="50" t="str">
        <f>IFERROR(IF(VLOOKUP($B102,casostestes[#Data],5)=0,"-",VLOOKUP($B102,casostestes[#Data],5)),"-")</f>
        <v>-</v>
      </c>
      <c r="H102" s="50" t="str">
        <f>IFERROR(IF(VLOOKUP($B102,casostestes[#Data],6)=0,"-",VLOOKUP($B102,casostestes[#Data],6)),"-")</f>
        <v>-</v>
      </c>
      <c r="I102" s="50" t="str">
        <f>IFERROR(IF(VLOOKUP($B102,casostestes[#Data],8)=0,"-",VLOOKUP($B102,casostestes[#Data],8)),"-")</f>
        <v>-</v>
      </c>
      <c r="J102" s="50" t="str">
        <f>IFERROR(IF(VLOOKUP($B102,casostestes[#Data],9)=0,"-",VLOOKUP($B102,casostestes[#Data],9)),"-")</f>
        <v>-</v>
      </c>
      <c r="K102" s="51"/>
      <c r="L102" s="119"/>
      <c r="M102" s="53"/>
      <c r="N102" s="54"/>
      <c r="O102" s="54"/>
      <c r="P102" s="55"/>
    </row>
    <row r="103" spans="2:16">
      <c r="B103" s="56" t="str">
        <f>IF(ISERR(casostestes[[#This Row],[ID]]),"-",casostestes[[#This Row],[ID]])</f>
        <v>-</v>
      </c>
      <c r="C103" s="49" t="str">
        <f>IFERROR(IF(VLOOKUP($B103,casostestes[#Data],10)=0,"Não",VLOOKUP($B103,casostestes[#Data],10)), "-")</f>
        <v>-</v>
      </c>
      <c r="D103" s="50" t="str">
        <f>IFERROR(IF(VLOOKUP($B103,casostestes[#Data],2)=0,"-",VLOOKUP($B103,casostestes[#Data],2)), "-")</f>
        <v>-</v>
      </c>
      <c r="E103" s="50" t="str">
        <f>IFERROR(IF(VLOOKUP($B103,casostestes[#Data],3)=0,"-",VLOOKUP($B103,casostestes[#Data],3)), "-")</f>
        <v>-</v>
      </c>
      <c r="F103" s="50" t="str">
        <f>IFERROR(IF(VLOOKUP($B103,casostestes[#Data],4)=0,"-",VLOOKUP($B103,casostestes[#Data],4)),"-")</f>
        <v>-</v>
      </c>
      <c r="G103" s="50" t="str">
        <f>IFERROR(IF(VLOOKUP($B103,casostestes[#Data],5)=0,"-",VLOOKUP($B103,casostestes[#Data],5)),"-")</f>
        <v>-</v>
      </c>
      <c r="H103" s="50" t="str">
        <f>IFERROR(IF(VLOOKUP($B103,casostestes[#Data],6)=0,"-",VLOOKUP($B103,casostestes[#Data],6)),"-")</f>
        <v>-</v>
      </c>
      <c r="I103" s="50" t="str">
        <f>IFERROR(IF(VLOOKUP($B103,casostestes[#Data],8)=0,"-",VLOOKUP($B103,casostestes[#Data],8)),"-")</f>
        <v>-</v>
      </c>
      <c r="J103" s="50" t="str">
        <f>IFERROR(IF(VLOOKUP($B103,casostestes[#Data],9)=0,"-",VLOOKUP($B103,casostestes[#Data],9)),"-")</f>
        <v>-</v>
      </c>
      <c r="K103" s="51"/>
      <c r="L103" s="119"/>
      <c r="M103" s="53"/>
      <c r="N103" s="54"/>
      <c r="O103" s="54"/>
      <c r="P103" s="55"/>
    </row>
    <row r="104" spans="2:16">
      <c r="B104" s="56" t="str">
        <f>IF(ISERR(casostestes[[#This Row],[ID]]),"-",casostestes[[#This Row],[ID]])</f>
        <v>-</v>
      </c>
      <c r="C104" s="49" t="str">
        <f>IFERROR(IF(VLOOKUP($B104,casostestes[#Data],10)=0,"Não",VLOOKUP($B104,casostestes[#Data],10)), "-")</f>
        <v>-</v>
      </c>
      <c r="D104" s="50" t="str">
        <f>IFERROR(IF(VLOOKUP($B104,casostestes[#Data],2)=0,"-",VLOOKUP($B104,casostestes[#Data],2)), "-")</f>
        <v>-</v>
      </c>
      <c r="E104" s="50" t="str">
        <f>IFERROR(IF(VLOOKUP($B104,casostestes[#Data],3)=0,"-",VLOOKUP($B104,casostestes[#Data],3)), "-")</f>
        <v>-</v>
      </c>
      <c r="F104" s="50" t="str">
        <f>IFERROR(IF(VLOOKUP($B104,casostestes[#Data],4)=0,"-",VLOOKUP($B104,casostestes[#Data],4)),"-")</f>
        <v>-</v>
      </c>
      <c r="G104" s="50" t="str">
        <f>IFERROR(IF(VLOOKUP($B104,casostestes[#Data],5)=0,"-",VLOOKUP($B104,casostestes[#Data],5)),"-")</f>
        <v>-</v>
      </c>
      <c r="H104" s="50" t="str">
        <f>IFERROR(IF(VLOOKUP($B104,casostestes[#Data],6)=0,"-",VLOOKUP($B104,casostestes[#Data],6)),"-")</f>
        <v>-</v>
      </c>
      <c r="I104" s="50" t="str">
        <f>IFERROR(IF(VLOOKUP($B104,casostestes[#Data],8)=0,"-",VLOOKUP($B104,casostestes[#Data],8)),"-")</f>
        <v>-</v>
      </c>
      <c r="J104" s="50" t="str">
        <f>IFERROR(IF(VLOOKUP($B104,casostestes[#Data],9)=0,"-",VLOOKUP($B104,casostestes[#Data],9)),"-")</f>
        <v>-</v>
      </c>
      <c r="K104" s="51"/>
      <c r="L104" s="119"/>
      <c r="M104" s="53"/>
      <c r="N104" s="54"/>
      <c r="O104" s="54"/>
      <c r="P104" s="55"/>
    </row>
    <row r="105" spans="2:16">
      <c r="B105" s="56" t="str">
        <f>IF(ISERR(casostestes[[#This Row],[ID]]),"-",casostestes[[#This Row],[ID]])</f>
        <v>-</v>
      </c>
      <c r="C105" s="49" t="str">
        <f>IFERROR(IF(VLOOKUP($B105,casostestes[#Data],10)=0,"Não",VLOOKUP($B105,casostestes[#Data],10)), "-")</f>
        <v>-</v>
      </c>
      <c r="D105" s="50" t="str">
        <f>IFERROR(IF(VLOOKUP($B105,casostestes[#Data],2)=0,"-",VLOOKUP($B105,casostestes[#Data],2)), "-")</f>
        <v>-</v>
      </c>
      <c r="E105" s="50" t="str">
        <f>IFERROR(IF(VLOOKUP($B105,casostestes[#Data],3)=0,"-",VLOOKUP($B105,casostestes[#Data],3)), "-")</f>
        <v>-</v>
      </c>
      <c r="F105" s="50" t="str">
        <f>IFERROR(IF(VLOOKUP($B105,casostestes[#Data],4)=0,"-",VLOOKUP($B105,casostestes[#Data],4)),"-")</f>
        <v>-</v>
      </c>
      <c r="G105" s="50" t="str">
        <f>IFERROR(IF(VLOOKUP($B105,casostestes[#Data],5)=0,"-",VLOOKUP($B105,casostestes[#Data],5)),"-")</f>
        <v>-</v>
      </c>
      <c r="H105" s="50" t="str">
        <f>IFERROR(IF(VLOOKUP($B105,casostestes[#Data],6)=0,"-",VLOOKUP($B105,casostestes[#Data],6)),"-")</f>
        <v>-</v>
      </c>
      <c r="I105" s="50" t="str">
        <f>IFERROR(IF(VLOOKUP($B105,casostestes[#Data],8)=0,"-",VLOOKUP($B105,casostestes[#Data],8)),"-")</f>
        <v>-</v>
      </c>
      <c r="J105" s="50" t="str">
        <f>IFERROR(IF(VLOOKUP($B105,casostestes[#Data],9)=0,"-",VLOOKUP($B105,casostestes[#Data],9)),"-")</f>
        <v>-</v>
      </c>
      <c r="K105" s="51"/>
      <c r="L105" s="119"/>
      <c r="M105" s="53"/>
      <c r="N105" s="54"/>
      <c r="O105" s="54"/>
      <c r="P105" s="55"/>
    </row>
    <row r="106" spans="2:16">
      <c r="B106" s="56" t="str">
        <f>IF(ISERR(casostestes[[#This Row],[ID]]),"-",casostestes[[#This Row],[ID]])</f>
        <v>-</v>
      </c>
      <c r="C106" s="49" t="str">
        <f>IFERROR(IF(VLOOKUP($B106,casostestes[#Data],10)=0,"Não",VLOOKUP($B106,casostestes[#Data],10)), "-")</f>
        <v>-</v>
      </c>
      <c r="D106" s="50" t="str">
        <f>IFERROR(IF(VLOOKUP($B106,casostestes[#Data],2)=0,"-",VLOOKUP($B106,casostestes[#Data],2)), "-")</f>
        <v>-</v>
      </c>
      <c r="E106" s="50" t="str">
        <f>IFERROR(IF(VLOOKUP($B106,casostestes[#Data],3)=0,"-",VLOOKUP($B106,casostestes[#Data],3)), "-")</f>
        <v>-</v>
      </c>
      <c r="F106" s="50" t="str">
        <f>IFERROR(IF(VLOOKUP($B106,casostestes[#Data],4)=0,"-",VLOOKUP($B106,casostestes[#Data],4)),"-")</f>
        <v>-</v>
      </c>
      <c r="G106" s="50" t="str">
        <f>IFERROR(IF(VLOOKUP($B106,casostestes[#Data],5)=0,"-",VLOOKUP($B106,casostestes[#Data],5)),"-")</f>
        <v>-</v>
      </c>
      <c r="H106" s="50" t="str">
        <f>IFERROR(IF(VLOOKUP($B106,casostestes[#Data],6)=0,"-",VLOOKUP($B106,casostestes[#Data],6)),"-")</f>
        <v>-</v>
      </c>
      <c r="I106" s="50" t="str">
        <f>IFERROR(IF(VLOOKUP($B106,casostestes[#Data],8)=0,"-",VLOOKUP($B106,casostestes[#Data],8)),"-")</f>
        <v>-</v>
      </c>
      <c r="J106" s="50" t="str">
        <f>IFERROR(IF(VLOOKUP($B106,casostestes[#Data],9)=0,"-",VLOOKUP($B106,casostestes[#Data],9)),"-")</f>
        <v>-</v>
      </c>
      <c r="K106" s="51"/>
      <c r="L106" s="119"/>
      <c r="M106" s="53"/>
      <c r="N106" s="54"/>
      <c r="O106" s="54"/>
      <c r="P106" s="55"/>
    </row>
    <row r="107" spans="2:16">
      <c r="B107" s="56" t="str">
        <f>IF(ISERR(casostestes[[#This Row],[ID]]),"-",casostestes[[#This Row],[ID]])</f>
        <v>-</v>
      </c>
      <c r="C107" s="49" t="str">
        <f>IFERROR(IF(VLOOKUP($B107,casostestes[#Data],10)=0,"Não",VLOOKUP($B107,casostestes[#Data],10)), "-")</f>
        <v>-</v>
      </c>
      <c r="D107" s="50" t="str">
        <f>IFERROR(IF(VLOOKUP($B107,casostestes[#Data],2)=0,"-",VLOOKUP($B107,casostestes[#Data],2)), "-")</f>
        <v>-</v>
      </c>
      <c r="E107" s="50" t="str">
        <f>IFERROR(IF(VLOOKUP($B107,casostestes[#Data],3)=0,"-",VLOOKUP($B107,casostestes[#Data],3)), "-")</f>
        <v>-</v>
      </c>
      <c r="F107" s="50" t="str">
        <f>IFERROR(IF(VLOOKUP($B107,casostestes[#Data],4)=0,"-",VLOOKUP($B107,casostestes[#Data],4)),"-")</f>
        <v>-</v>
      </c>
      <c r="G107" s="50" t="str">
        <f>IFERROR(IF(VLOOKUP($B107,casostestes[#Data],5)=0,"-",VLOOKUP($B107,casostestes[#Data],5)),"-")</f>
        <v>-</v>
      </c>
      <c r="H107" s="50" t="str">
        <f>IFERROR(IF(VLOOKUP($B107,casostestes[#Data],6)=0,"-",VLOOKUP($B107,casostestes[#Data],6)),"-")</f>
        <v>-</v>
      </c>
      <c r="I107" s="50" t="str">
        <f>IFERROR(IF(VLOOKUP($B107,casostestes[#Data],8)=0,"-",VLOOKUP($B107,casostestes[#Data],8)),"-")</f>
        <v>-</v>
      </c>
      <c r="J107" s="50" t="str">
        <f>IFERROR(IF(VLOOKUP($B107,casostestes[#Data],9)=0,"-",VLOOKUP($B107,casostestes[#Data],9)),"-")</f>
        <v>-</v>
      </c>
      <c r="K107" s="51"/>
      <c r="L107" s="119"/>
      <c r="M107" s="53"/>
      <c r="N107" s="54"/>
      <c r="O107" s="54"/>
      <c r="P107" s="55"/>
    </row>
    <row r="108" spans="2:16">
      <c r="B108" s="56" t="str">
        <f>IF(ISERR(casostestes[[#This Row],[ID]]),"-",casostestes[[#This Row],[ID]])</f>
        <v>-</v>
      </c>
      <c r="C108" s="49" t="str">
        <f>IFERROR(IF(VLOOKUP($B108,casostestes[#Data],10)=0,"Não",VLOOKUP($B108,casostestes[#Data],10)), "-")</f>
        <v>-</v>
      </c>
      <c r="D108" s="50" t="str">
        <f>IFERROR(IF(VLOOKUP($B108,casostestes[#Data],2)=0,"-",VLOOKUP($B108,casostestes[#Data],2)), "-")</f>
        <v>-</v>
      </c>
      <c r="E108" s="50" t="str">
        <f>IFERROR(IF(VLOOKUP($B108,casostestes[#Data],3)=0,"-",VLOOKUP($B108,casostestes[#Data],3)), "-")</f>
        <v>-</v>
      </c>
      <c r="F108" s="50" t="str">
        <f>IFERROR(IF(VLOOKUP($B108,casostestes[#Data],4)=0,"-",VLOOKUP($B108,casostestes[#Data],4)),"-")</f>
        <v>-</v>
      </c>
      <c r="G108" s="50" t="str">
        <f>IFERROR(IF(VLOOKUP($B108,casostestes[#Data],5)=0,"-",VLOOKUP($B108,casostestes[#Data],5)),"-")</f>
        <v>-</v>
      </c>
      <c r="H108" s="50" t="str">
        <f>IFERROR(IF(VLOOKUP($B108,casostestes[#Data],6)=0,"-",VLOOKUP($B108,casostestes[#Data],6)),"-")</f>
        <v>-</v>
      </c>
      <c r="I108" s="50" t="str">
        <f>IFERROR(IF(VLOOKUP($B108,casostestes[#Data],8)=0,"-",VLOOKUP($B108,casostestes[#Data],8)),"-")</f>
        <v>-</v>
      </c>
      <c r="J108" s="50" t="str">
        <f>IFERROR(IF(VLOOKUP($B108,casostestes[#Data],9)=0,"-",VLOOKUP($B108,casostestes[#Data],9)),"-")</f>
        <v>-</v>
      </c>
      <c r="K108" s="51"/>
      <c r="L108" s="119"/>
      <c r="M108" s="53"/>
      <c r="N108" s="54"/>
      <c r="O108" s="54"/>
      <c r="P108" s="55"/>
    </row>
    <row r="109" spans="2:16">
      <c r="B109" s="56" t="str">
        <f>IF(ISERR(casostestes[[#This Row],[ID]]),"-",casostestes[[#This Row],[ID]])</f>
        <v>-</v>
      </c>
      <c r="C109" s="49" t="str">
        <f>IFERROR(IF(VLOOKUP($B109,casostestes[#Data],10)=0,"Não",VLOOKUP($B109,casostestes[#Data],10)), "-")</f>
        <v>-</v>
      </c>
      <c r="D109" s="50" t="str">
        <f>IFERROR(IF(VLOOKUP($B109,casostestes[#Data],2)=0,"-",VLOOKUP($B109,casostestes[#Data],2)), "-")</f>
        <v>-</v>
      </c>
      <c r="E109" s="50" t="str">
        <f>IFERROR(IF(VLOOKUP($B109,casostestes[#Data],3)=0,"-",VLOOKUP($B109,casostestes[#Data],3)), "-")</f>
        <v>-</v>
      </c>
      <c r="F109" s="50" t="str">
        <f>IFERROR(IF(VLOOKUP($B109,casostestes[#Data],4)=0,"-",VLOOKUP($B109,casostestes[#Data],4)),"-")</f>
        <v>-</v>
      </c>
      <c r="G109" s="50" t="str">
        <f>IFERROR(IF(VLOOKUP($B109,casostestes[#Data],5)=0,"-",VLOOKUP($B109,casostestes[#Data],5)),"-")</f>
        <v>-</v>
      </c>
      <c r="H109" s="50" t="str">
        <f>IFERROR(IF(VLOOKUP($B109,casostestes[#Data],6)=0,"-",VLOOKUP($B109,casostestes[#Data],6)),"-")</f>
        <v>-</v>
      </c>
      <c r="I109" s="50" t="str">
        <f>IFERROR(IF(VLOOKUP($B109,casostestes[#Data],8)=0,"-",VLOOKUP($B109,casostestes[#Data],8)),"-")</f>
        <v>-</v>
      </c>
      <c r="J109" s="50" t="str">
        <f>IFERROR(IF(VLOOKUP($B109,casostestes[#Data],9)=0,"-",VLOOKUP($B109,casostestes[#Data],9)),"-")</f>
        <v>-</v>
      </c>
      <c r="K109" s="51"/>
      <c r="L109" s="119"/>
      <c r="M109" s="53"/>
      <c r="N109" s="54"/>
      <c r="O109" s="54"/>
      <c r="P109" s="55"/>
    </row>
    <row r="110" spans="2:16">
      <c r="B110" s="56" t="str">
        <f>IF(ISERR(casostestes[[#This Row],[ID]]),"-",casostestes[[#This Row],[ID]])</f>
        <v>-</v>
      </c>
      <c r="C110" s="49" t="str">
        <f>IFERROR(IF(VLOOKUP($B110,casostestes[#Data],10)=0,"Não",VLOOKUP($B110,casostestes[#Data],10)), "-")</f>
        <v>-</v>
      </c>
      <c r="D110" s="50" t="str">
        <f>IFERROR(IF(VLOOKUP($B110,casostestes[#Data],2)=0,"-",VLOOKUP($B110,casostestes[#Data],2)), "-")</f>
        <v>-</v>
      </c>
      <c r="E110" s="50" t="str">
        <f>IFERROR(IF(VLOOKUP($B110,casostestes[#Data],3)=0,"-",VLOOKUP($B110,casostestes[#Data],3)), "-")</f>
        <v>-</v>
      </c>
      <c r="F110" s="50" t="str">
        <f>IFERROR(IF(VLOOKUP($B110,casostestes[#Data],4)=0,"-",VLOOKUP($B110,casostestes[#Data],4)),"-")</f>
        <v>-</v>
      </c>
      <c r="G110" s="50" t="str">
        <f>IFERROR(IF(VLOOKUP($B110,casostestes[#Data],5)=0,"-",VLOOKUP($B110,casostestes[#Data],5)),"-")</f>
        <v>-</v>
      </c>
      <c r="H110" s="50" t="str">
        <f>IFERROR(IF(VLOOKUP($B110,casostestes[#Data],6)=0,"-",VLOOKUP($B110,casostestes[#Data],6)),"-")</f>
        <v>-</v>
      </c>
      <c r="I110" s="50" t="str">
        <f>IFERROR(IF(VLOOKUP($B110,casostestes[#Data],8)=0,"-",VLOOKUP($B110,casostestes[#Data],8)),"-")</f>
        <v>-</v>
      </c>
      <c r="J110" s="50" t="str">
        <f>IFERROR(IF(VLOOKUP($B110,casostestes[#Data],9)=0,"-",VLOOKUP($B110,casostestes[#Data],9)),"-")</f>
        <v>-</v>
      </c>
      <c r="K110" s="51"/>
      <c r="L110" s="119"/>
      <c r="M110" s="53"/>
      <c r="N110" s="54"/>
      <c r="O110" s="54"/>
      <c r="P110" s="55"/>
    </row>
    <row r="111" spans="2:16">
      <c r="B111" s="56" t="str">
        <f>IF(ISERR(casostestes[[#This Row],[ID]]),"-",casostestes[[#This Row],[ID]])</f>
        <v>-</v>
      </c>
      <c r="C111" s="49" t="str">
        <f>IFERROR(IF(VLOOKUP($B111,casostestes[#Data],10)=0,"Não",VLOOKUP($B111,casostestes[#Data],10)), "-")</f>
        <v>-</v>
      </c>
      <c r="D111" s="50" t="str">
        <f>IFERROR(IF(VLOOKUP($B111,casostestes[#Data],2)=0,"-",VLOOKUP($B111,casostestes[#Data],2)), "-")</f>
        <v>-</v>
      </c>
      <c r="E111" s="50" t="str">
        <f>IFERROR(IF(VLOOKUP($B111,casostestes[#Data],3)=0,"-",VLOOKUP($B111,casostestes[#Data],3)), "-")</f>
        <v>-</v>
      </c>
      <c r="F111" s="50" t="str">
        <f>IFERROR(IF(VLOOKUP($B111,casostestes[#Data],4)=0,"-",VLOOKUP($B111,casostestes[#Data],4)),"-")</f>
        <v>-</v>
      </c>
      <c r="G111" s="50" t="str">
        <f>IFERROR(IF(VLOOKUP($B111,casostestes[#Data],5)=0,"-",VLOOKUP($B111,casostestes[#Data],5)),"-")</f>
        <v>-</v>
      </c>
      <c r="H111" s="50" t="str">
        <f>IFERROR(IF(VLOOKUP($B111,casostestes[#Data],6)=0,"-",VLOOKUP($B111,casostestes[#Data],6)),"-")</f>
        <v>-</v>
      </c>
      <c r="I111" s="50" t="str">
        <f>IFERROR(IF(VLOOKUP($B111,casostestes[#Data],8)=0,"-",VLOOKUP($B111,casostestes[#Data],8)),"-")</f>
        <v>-</v>
      </c>
      <c r="J111" s="50" t="str">
        <f>IFERROR(IF(VLOOKUP($B111,casostestes[#Data],9)=0,"-",VLOOKUP($B111,casostestes[#Data],9)),"-")</f>
        <v>-</v>
      </c>
      <c r="K111" s="51"/>
      <c r="L111" s="119"/>
      <c r="M111" s="53"/>
      <c r="N111" s="54"/>
      <c r="O111" s="54"/>
      <c r="P111" s="55"/>
    </row>
    <row r="112" spans="2:16">
      <c r="B112" s="56" t="str">
        <f>IF(ISERR(casostestes[[#This Row],[ID]]),"-",casostestes[[#This Row],[ID]])</f>
        <v>-</v>
      </c>
      <c r="C112" s="49" t="str">
        <f>IFERROR(IF(VLOOKUP($B112,casostestes[#Data],10)=0,"Não",VLOOKUP($B112,casostestes[#Data],10)), "-")</f>
        <v>-</v>
      </c>
      <c r="D112" s="50" t="str">
        <f>IFERROR(IF(VLOOKUP($B112,casostestes[#Data],2)=0,"-",VLOOKUP($B112,casostestes[#Data],2)), "-")</f>
        <v>-</v>
      </c>
      <c r="E112" s="50" t="str">
        <f>IFERROR(IF(VLOOKUP($B112,casostestes[#Data],3)=0,"-",VLOOKUP($B112,casostestes[#Data],3)), "-")</f>
        <v>-</v>
      </c>
      <c r="F112" s="50" t="str">
        <f>IFERROR(IF(VLOOKUP($B112,casostestes[#Data],4)=0,"-",VLOOKUP($B112,casostestes[#Data],4)),"-")</f>
        <v>-</v>
      </c>
      <c r="G112" s="50" t="str">
        <f>IFERROR(IF(VLOOKUP($B112,casostestes[#Data],5)=0,"-",VLOOKUP($B112,casostestes[#Data],5)),"-")</f>
        <v>-</v>
      </c>
      <c r="H112" s="50" t="str">
        <f>IFERROR(IF(VLOOKUP($B112,casostestes[#Data],6)=0,"-",VLOOKUP($B112,casostestes[#Data],6)),"-")</f>
        <v>-</v>
      </c>
      <c r="I112" s="50" t="str">
        <f>IFERROR(IF(VLOOKUP($B112,casostestes[#Data],8)=0,"-",VLOOKUP($B112,casostestes[#Data],8)),"-")</f>
        <v>-</v>
      </c>
      <c r="J112" s="50" t="str">
        <f>IFERROR(IF(VLOOKUP($B112,casostestes[#Data],9)=0,"-",VLOOKUP($B112,casostestes[#Data],9)),"-")</f>
        <v>-</v>
      </c>
      <c r="K112" s="51"/>
      <c r="L112" s="119"/>
      <c r="M112" s="53"/>
      <c r="N112" s="54"/>
      <c r="O112" s="54"/>
      <c r="P112" s="55"/>
    </row>
    <row r="113" spans="2:16">
      <c r="B113" s="56" t="str">
        <f>IF(ISERR(casostestes[[#This Row],[ID]]),"-",casostestes[[#This Row],[ID]])</f>
        <v>-</v>
      </c>
      <c r="C113" s="49" t="str">
        <f>IFERROR(IF(VLOOKUP($B113,casostestes[#Data],10)=0,"Não",VLOOKUP($B113,casostestes[#Data],10)), "-")</f>
        <v>-</v>
      </c>
      <c r="D113" s="50" t="str">
        <f>IFERROR(IF(VLOOKUP($B113,casostestes[#Data],2)=0,"-",VLOOKUP($B113,casostestes[#Data],2)), "-")</f>
        <v>-</v>
      </c>
      <c r="E113" s="50" t="str">
        <f>IFERROR(IF(VLOOKUP($B113,casostestes[#Data],3)=0,"-",VLOOKUP($B113,casostestes[#Data],3)), "-")</f>
        <v>-</v>
      </c>
      <c r="F113" s="50" t="str">
        <f>IFERROR(IF(VLOOKUP($B113,casostestes[#Data],4)=0,"-",VLOOKUP($B113,casostestes[#Data],4)),"-")</f>
        <v>-</v>
      </c>
      <c r="G113" s="50" t="str">
        <f>IFERROR(IF(VLOOKUP($B113,casostestes[#Data],5)=0,"-",VLOOKUP($B113,casostestes[#Data],5)),"-")</f>
        <v>-</v>
      </c>
      <c r="H113" s="50" t="str">
        <f>IFERROR(IF(VLOOKUP($B113,casostestes[#Data],6)=0,"-",VLOOKUP($B113,casostestes[#Data],6)),"-")</f>
        <v>-</v>
      </c>
      <c r="I113" s="50" t="str">
        <f>IFERROR(IF(VLOOKUP($B113,casostestes[#Data],8)=0,"-",VLOOKUP($B113,casostestes[#Data],8)),"-")</f>
        <v>-</v>
      </c>
      <c r="J113" s="50" t="str">
        <f>IFERROR(IF(VLOOKUP($B113,casostestes[#Data],9)=0,"-",VLOOKUP($B113,casostestes[#Data],9)),"-")</f>
        <v>-</v>
      </c>
      <c r="K113" s="51"/>
      <c r="L113" s="119"/>
      <c r="M113" s="53"/>
      <c r="N113" s="54"/>
      <c r="O113" s="54"/>
      <c r="P113" s="55"/>
    </row>
    <row r="114" spans="2:16">
      <c r="B114" s="56" t="str">
        <f>IF(ISERR(casostestes[[#This Row],[ID]]),"-",casostestes[[#This Row],[ID]])</f>
        <v>-</v>
      </c>
      <c r="C114" s="49" t="str">
        <f>IFERROR(IF(VLOOKUP($B114,casostestes[#Data],10)=0,"Não",VLOOKUP($B114,casostestes[#Data],10)), "-")</f>
        <v>-</v>
      </c>
      <c r="D114" s="50" t="str">
        <f>IFERROR(IF(VLOOKUP($B114,casostestes[#Data],2)=0,"-",VLOOKUP($B114,casostestes[#Data],2)), "-")</f>
        <v>-</v>
      </c>
      <c r="E114" s="50" t="str">
        <f>IFERROR(IF(VLOOKUP($B114,casostestes[#Data],3)=0,"-",VLOOKUP($B114,casostestes[#Data],3)), "-")</f>
        <v>-</v>
      </c>
      <c r="F114" s="50" t="str">
        <f>IFERROR(IF(VLOOKUP($B114,casostestes[#Data],4)=0,"-",VLOOKUP($B114,casostestes[#Data],4)),"-")</f>
        <v>-</v>
      </c>
      <c r="G114" s="50" t="str">
        <f>IFERROR(IF(VLOOKUP($B114,casostestes[#Data],5)=0,"-",VLOOKUP($B114,casostestes[#Data],5)),"-")</f>
        <v>-</v>
      </c>
      <c r="H114" s="50" t="str">
        <f>IFERROR(IF(VLOOKUP($B114,casostestes[#Data],6)=0,"-",VLOOKUP($B114,casostestes[#Data],6)),"-")</f>
        <v>-</v>
      </c>
      <c r="I114" s="50" t="str">
        <f>IFERROR(IF(VLOOKUP($B114,casostestes[#Data],8)=0,"-",VLOOKUP($B114,casostestes[#Data],8)),"-")</f>
        <v>-</v>
      </c>
      <c r="J114" s="50" t="str">
        <f>IFERROR(IF(VLOOKUP($B114,casostestes[#Data],9)=0,"-",VLOOKUP($B114,casostestes[#Data],9)),"-")</f>
        <v>-</v>
      </c>
      <c r="K114" s="51"/>
      <c r="L114" s="119"/>
      <c r="M114" s="53"/>
      <c r="N114" s="54"/>
      <c r="O114" s="54"/>
      <c r="P114" s="55"/>
    </row>
    <row r="115" spans="2:16">
      <c r="B115" s="56" t="str">
        <f>IF(ISERR(casostestes[[#This Row],[ID]]),"-",casostestes[[#This Row],[ID]])</f>
        <v>-</v>
      </c>
      <c r="C115" s="49" t="str">
        <f>IFERROR(IF(VLOOKUP($B115,casostestes[#Data],10)=0,"Não",VLOOKUP($B115,casostestes[#Data],10)), "-")</f>
        <v>-</v>
      </c>
      <c r="D115" s="50" t="str">
        <f>IFERROR(IF(VLOOKUP($B115,casostestes[#Data],2)=0,"-",VLOOKUP($B115,casostestes[#Data],2)), "-")</f>
        <v>-</v>
      </c>
      <c r="E115" s="50" t="str">
        <f>IFERROR(IF(VLOOKUP($B115,casostestes[#Data],3)=0,"-",VLOOKUP($B115,casostestes[#Data],3)), "-")</f>
        <v>-</v>
      </c>
      <c r="F115" s="50" t="str">
        <f>IFERROR(IF(VLOOKUP($B115,casostestes[#Data],4)=0,"-",VLOOKUP($B115,casostestes[#Data],4)),"-")</f>
        <v>-</v>
      </c>
      <c r="G115" s="50" t="str">
        <f>IFERROR(IF(VLOOKUP($B115,casostestes[#Data],5)=0,"-",VLOOKUP($B115,casostestes[#Data],5)),"-")</f>
        <v>-</v>
      </c>
      <c r="H115" s="50" t="str">
        <f>IFERROR(IF(VLOOKUP($B115,casostestes[#Data],6)=0,"-",VLOOKUP($B115,casostestes[#Data],6)),"-")</f>
        <v>-</v>
      </c>
      <c r="I115" s="50" t="str">
        <f>IFERROR(IF(VLOOKUP($B115,casostestes[#Data],8)=0,"-",VLOOKUP($B115,casostestes[#Data],8)),"-")</f>
        <v>-</v>
      </c>
      <c r="J115" s="50" t="str">
        <f>IFERROR(IF(VLOOKUP($B115,casostestes[#Data],9)=0,"-",VLOOKUP($B115,casostestes[#Data],9)),"-")</f>
        <v>-</v>
      </c>
      <c r="K115" s="51"/>
      <c r="L115" s="119"/>
      <c r="M115" s="53"/>
      <c r="N115" s="54"/>
      <c r="O115" s="54"/>
      <c r="P115" s="55"/>
    </row>
    <row r="116" spans="2:16">
      <c r="B116" s="56" t="str">
        <f>IF(ISERR(casostestes[[#This Row],[ID]]),"-",casostestes[[#This Row],[ID]])</f>
        <v>-</v>
      </c>
      <c r="C116" s="49" t="str">
        <f>IFERROR(IF(VLOOKUP($B116,casostestes[#Data],10)=0,"Não",VLOOKUP($B116,casostestes[#Data],10)), "-")</f>
        <v>-</v>
      </c>
      <c r="D116" s="50" t="str">
        <f>IFERROR(IF(VLOOKUP($B116,casostestes[#Data],2)=0,"-",VLOOKUP($B116,casostestes[#Data],2)), "-")</f>
        <v>-</v>
      </c>
      <c r="E116" s="50" t="str">
        <f>IFERROR(IF(VLOOKUP($B116,casostestes[#Data],3)=0,"-",VLOOKUP($B116,casostestes[#Data],3)), "-")</f>
        <v>-</v>
      </c>
      <c r="F116" s="50" t="str">
        <f>IFERROR(IF(VLOOKUP($B116,casostestes[#Data],4)=0,"-",VLOOKUP($B116,casostestes[#Data],4)),"-")</f>
        <v>-</v>
      </c>
      <c r="G116" s="50" t="str">
        <f>IFERROR(IF(VLOOKUP($B116,casostestes[#Data],5)=0,"-",VLOOKUP($B116,casostestes[#Data],5)),"-")</f>
        <v>-</v>
      </c>
      <c r="H116" s="50" t="str">
        <f>IFERROR(IF(VLOOKUP($B116,casostestes[#Data],6)=0,"-",VLOOKUP($B116,casostestes[#Data],6)),"-")</f>
        <v>-</v>
      </c>
      <c r="I116" s="50" t="str">
        <f>IFERROR(IF(VLOOKUP($B116,casostestes[#Data],8)=0,"-",VLOOKUP($B116,casostestes[#Data],8)),"-")</f>
        <v>-</v>
      </c>
      <c r="J116" s="50" t="str">
        <f>IFERROR(IF(VLOOKUP($B116,casostestes[#Data],9)=0,"-",VLOOKUP($B116,casostestes[#Data],9)),"-")</f>
        <v>-</v>
      </c>
      <c r="K116" s="51"/>
      <c r="L116" s="119"/>
      <c r="M116" s="53"/>
      <c r="N116" s="54"/>
      <c r="O116" s="54"/>
      <c r="P116" s="55"/>
    </row>
    <row r="117" spans="2:16">
      <c r="B117" s="56" t="str">
        <f>IF(ISERR(casostestes[[#This Row],[ID]]),"-",casostestes[[#This Row],[ID]])</f>
        <v>-</v>
      </c>
      <c r="C117" s="49" t="str">
        <f>IFERROR(IF(VLOOKUP($B117,casostestes[#Data],10)=0,"Não",VLOOKUP($B117,casostestes[#Data],10)), "-")</f>
        <v>-</v>
      </c>
      <c r="D117" s="50" t="str">
        <f>IFERROR(IF(VLOOKUP($B117,casostestes[#Data],2)=0,"-",VLOOKUP($B117,casostestes[#Data],2)), "-")</f>
        <v>-</v>
      </c>
      <c r="E117" s="50" t="str">
        <f>IFERROR(IF(VLOOKUP($B117,casostestes[#Data],3)=0,"-",VLOOKUP($B117,casostestes[#Data],3)), "-")</f>
        <v>-</v>
      </c>
      <c r="F117" s="50" t="str">
        <f>IFERROR(IF(VLOOKUP($B117,casostestes[#Data],4)=0,"-",VLOOKUP($B117,casostestes[#Data],4)),"-")</f>
        <v>-</v>
      </c>
      <c r="G117" s="50" t="str">
        <f>IFERROR(IF(VLOOKUP($B117,casostestes[#Data],5)=0,"-",VLOOKUP($B117,casostestes[#Data],5)),"-")</f>
        <v>-</v>
      </c>
      <c r="H117" s="50" t="str">
        <f>IFERROR(IF(VLOOKUP($B117,casostestes[#Data],6)=0,"-",VLOOKUP($B117,casostestes[#Data],6)),"-")</f>
        <v>-</v>
      </c>
      <c r="I117" s="50" t="str">
        <f>IFERROR(IF(VLOOKUP($B117,casostestes[#Data],8)=0,"-",VLOOKUP($B117,casostestes[#Data],8)),"-")</f>
        <v>-</v>
      </c>
      <c r="J117" s="50" t="str">
        <f>IFERROR(IF(VLOOKUP($B117,casostestes[#Data],9)=0,"-",VLOOKUP($B117,casostestes[#Data],9)),"-")</f>
        <v>-</v>
      </c>
      <c r="K117" s="51"/>
      <c r="L117" s="119"/>
      <c r="M117" s="53"/>
      <c r="N117" s="54"/>
      <c r="O117" s="54"/>
      <c r="P117" s="55"/>
    </row>
    <row r="118" spans="2:16">
      <c r="B118" s="56" t="str">
        <f>IF(ISERR(casostestes[[#This Row],[ID]]),"-",casostestes[[#This Row],[ID]])</f>
        <v>-</v>
      </c>
      <c r="C118" s="49" t="str">
        <f>IFERROR(IF(VLOOKUP($B118,casostestes[#Data],10)=0,"Não",VLOOKUP($B118,casostestes[#Data],10)), "-")</f>
        <v>-</v>
      </c>
      <c r="D118" s="50" t="str">
        <f>IFERROR(IF(VLOOKUP($B118,casostestes[#Data],2)=0,"-",VLOOKUP($B118,casostestes[#Data],2)), "-")</f>
        <v>-</v>
      </c>
      <c r="E118" s="50" t="str">
        <f>IFERROR(IF(VLOOKUP($B118,casostestes[#Data],3)=0,"-",VLOOKUP($B118,casostestes[#Data],3)), "-")</f>
        <v>-</v>
      </c>
      <c r="F118" s="50" t="str">
        <f>IFERROR(IF(VLOOKUP($B118,casostestes[#Data],4)=0,"-",VLOOKUP($B118,casostestes[#Data],4)),"-")</f>
        <v>-</v>
      </c>
      <c r="G118" s="50" t="str">
        <f>IFERROR(IF(VLOOKUP($B118,casostestes[#Data],5)=0,"-",VLOOKUP($B118,casostestes[#Data],5)),"-")</f>
        <v>-</v>
      </c>
      <c r="H118" s="50" t="str">
        <f>IFERROR(IF(VLOOKUP($B118,casostestes[#Data],6)=0,"-",VLOOKUP($B118,casostestes[#Data],6)),"-")</f>
        <v>-</v>
      </c>
      <c r="I118" s="50" t="str">
        <f>IFERROR(IF(VLOOKUP($B118,casostestes[#Data],8)=0,"-",VLOOKUP($B118,casostestes[#Data],8)),"-")</f>
        <v>-</v>
      </c>
      <c r="J118" s="50" t="str">
        <f>IFERROR(IF(VLOOKUP($B118,casostestes[#Data],9)=0,"-",VLOOKUP($B118,casostestes[#Data],9)),"-")</f>
        <v>-</v>
      </c>
      <c r="K118" s="51"/>
      <c r="L118" s="119"/>
      <c r="M118" s="53"/>
      <c r="N118" s="54"/>
      <c r="O118" s="54"/>
      <c r="P118" s="55"/>
    </row>
    <row r="119" spans="2:16">
      <c r="B119" s="56" t="str">
        <f>IF(ISERR(casostestes[[#This Row],[ID]]),"-",casostestes[[#This Row],[ID]])</f>
        <v>-</v>
      </c>
      <c r="C119" s="49" t="str">
        <f>IFERROR(IF(VLOOKUP($B119,casostestes[#Data],10)=0,"Não",VLOOKUP($B119,casostestes[#Data],10)), "-")</f>
        <v>-</v>
      </c>
      <c r="D119" s="50" t="str">
        <f>IFERROR(IF(VLOOKUP($B119,casostestes[#Data],2)=0,"-",VLOOKUP($B119,casostestes[#Data],2)), "-")</f>
        <v>-</v>
      </c>
      <c r="E119" s="50" t="str">
        <f>IFERROR(IF(VLOOKUP($B119,casostestes[#Data],3)=0,"-",VLOOKUP($B119,casostestes[#Data],3)), "-")</f>
        <v>-</v>
      </c>
      <c r="F119" s="50" t="str">
        <f>IFERROR(IF(VLOOKUP($B119,casostestes[#Data],4)=0,"-",VLOOKUP($B119,casostestes[#Data],4)),"-")</f>
        <v>-</v>
      </c>
      <c r="G119" s="50" t="str">
        <f>IFERROR(IF(VLOOKUP($B119,casostestes[#Data],5)=0,"-",VLOOKUP($B119,casostestes[#Data],5)),"-")</f>
        <v>-</v>
      </c>
      <c r="H119" s="50" t="str">
        <f>IFERROR(IF(VLOOKUP($B119,casostestes[#Data],6)=0,"-",VLOOKUP($B119,casostestes[#Data],6)),"-")</f>
        <v>-</v>
      </c>
      <c r="I119" s="50" t="str">
        <f>IFERROR(IF(VLOOKUP($B119,casostestes[#Data],8)=0,"-",VLOOKUP($B119,casostestes[#Data],8)),"-")</f>
        <v>-</v>
      </c>
      <c r="J119" s="50" t="str">
        <f>IFERROR(IF(VLOOKUP($B119,casostestes[#Data],9)=0,"-",VLOOKUP($B119,casostestes[#Data],9)),"-")</f>
        <v>-</v>
      </c>
      <c r="K119" s="51"/>
      <c r="L119" s="119"/>
      <c r="M119" s="53"/>
      <c r="N119" s="54"/>
      <c r="O119" s="54"/>
      <c r="P119" s="55"/>
    </row>
    <row r="120" spans="2:16">
      <c r="B120" s="56" t="str">
        <f>IF(ISERR(casostestes[[#This Row],[ID]]),"-",casostestes[[#This Row],[ID]])</f>
        <v>-</v>
      </c>
      <c r="C120" s="49" t="str">
        <f>IFERROR(IF(VLOOKUP($B120,casostestes[#Data],10)=0,"Não",VLOOKUP($B120,casostestes[#Data],10)), "-")</f>
        <v>-</v>
      </c>
      <c r="D120" s="50" t="str">
        <f>IFERROR(IF(VLOOKUP($B120,casostestes[#Data],2)=0,"-",VLOOKUP($B120,casostestes[#Data],2)), "-")</f>
        <v>-</v>
      </c>
      <c r="E120" s="50" t="str">
        <f>IFERROR(IF(VLOOKUP($B120,casostestes[#Data],3)=0,"-",VLOOKUP($B120,casostestes[#Data],3)), "-")</f>
        <v>-</v>
      </c>
      <c r="F120" s="50" t="str">
        <f>IFERROR(IF(VLOOKUP($B120,casostestes[#Data],4)=0,"-",VLOOKUP($B120,casostestes[#Data],4)),"-")</f>
        <v>-</v>
      </c>
      <c r="G120" s="50" t="str">
        <f>IFERROR(IF(VLOOKUP($B120,casostestes[#Data],5)=0,"-",VLOOKUP($B120,casostestes[#Data],5)),"-")</f>
        <v>-</v>
      </c>
      <c r="H120" s="50" t="str">
        <f>IFERROR(IF(VLOOKUP($B120,casostestes[#Data],6)=0,"-",VLOOKUP($B120,casostestes[#Data],6)),"-")</f>
        <v>-</v>
      </c>
      <c r="I120" s="50" t="str">
        <f>IFERROR(IF(VLOOKUP($B120,casostestes[#Data],8)=0,"-",VLOOKUP($B120,casostestes[#Data],8)),"-")</f>
        <v>-</v>
      </c>
      <c r="J120" s="50" t="str">
        <f>IFERROR(IF(VLOOKUP($B120,casostestes[#Data],9)=0,"-",VLOOKUP($B120,casostestes[#Data],9)),"-")</f>
        <v>-</v>
      </c>
      <c r="K120" s="51"/>
      <c r="L120" s="119"/>
      <c r="M120" s="53"/>
      <c r="N120" s="54"/>
      <c r="O120" s="54"/>
      <c r="P120" s="55"/>
    </row>
    <row r="121" spans="2:16">
      <c r="B121" s="56" t="str">
        <f>IF(ISERR(casostestes[[#This Row],[ID]]),"-",casostestes[[#This Row],[ID]])</f>
        <v>-</v>
      </c>
      <c r="C121" s="49" t="str">
        <f>IFERROR(IF(VLOOKUP($B121,casostestes[#Data],10)=0,"Não",VLOOKUP($B121,casostestes[#Data],10)), "-")</f>
        <v>-</v>
      </c>
      <c r="D121" s="50" t="str">
        <f>IFERROR(IF(VLOOKUP($B121,casostestes[#Data],2)=0,"-",VLOOKUP($B121,casostestes[#Data],2)), "-")</f>
        <v>-</v>
      </c>
      <c r="E121" s="50" t="str">
        <f>IFERROR(IF(VLOOKUP($B121,casostestes[#Data],3)=0,"-",VLOOKUP($B121,casostestes[#Data],3)), "-")</f>
        <v>-</v>
      </c>
      <c r="F121" s="50" t="str">
        <f>IFERROR(IF(VLOOKUP($B121,casostestes[#Data],4)=0,"-",VLOOKUP($B121,casostestes[#Data],4)),"-")</f>
        <v>-</v>
      </c>
      <c r="G121" s="50" t="str">
        <f>IFERROR(IF(VLOOKUP($B121,casostestes[#Data],5)=0,"-",VLOOKUP($B121,casostestes[#Data],5)),"-")</f>
        <v>-</v>
      </c>
      <c r="H121" s="50" t="str">
        <f>IFERROR(IF(VLOOKUP($B121,casostestes[#Data],6)=0,"-",VLOOKUP($B121,casostestes[#Data],6)),"-")</f>
        <v>-</v>
      </c>
      <c r="I121" s="50" t="str">
        <f>IFERROR(IF(VLOOKUP($B121,casostestes[#Data],8)=0,"-",VLOOKUP($B121,casostestes[#Data],8)),"-")</f>
        <v>-</v>
      </c>
      <c r="J121" s="50" t="str">
        <f>IFERROR(IF(VLOOKUP($B121,casostestes[#Data],9)=0,"-",VLOOKUP($B121,casostestes[#Data],9)),"-")</f>
        <v>-</v>
      </c>
      <c r="K121" s="51"/>
      <c r="L121" s="119"/>
      <c r="M121" s="53"/>
      <c r="N121" s="54"/>
      <c r="O121" s="54"/>
      <c r="P121" s="55"/>
    </row>
    <row r="122" spans="2:16">
      <c r="B122" s="56" t="str">
        <f>IF(ISERR(casostestes[[#This Row],[ID]]),"-",casostestes[[#This Row],[ID]])</f>
        <v>-</v>
      </c>
      <c r="C122" s="49" t="str">
        <f>IFERROR(IF(VLOOKUP($B122,casostestes[#Data],10)=0,"Não",VLOOKUP($B122,casostestes[#Data],10)), "-")</f>
        <v>-</v>
      </c>
      <c r="D122" s="50" t="str">
        <f>IFERROR(IF(VLOOKUP($B122,casostestes[#Data],2)=0,"-",VLOOKUP($B122,casostestes[#Data],2)), "-")</f>
        <v>-</v>
      </c>
      <c r="E122" s="50" t="str">
        <f>IFERROR(IF(VLOOKUP($B122,casostestes[#Data],3)=0,"-",VLOOKUP($B122,casostestes[#Data],3)), "-")</f>
        <v>-</v>
      </c>
      <c r="F122" s="50" t="str">
        <f>IFERROR(IF(VLOOKUP($B122,casostestes[#Data],4)=0,"-",VLOOKUP($B122,casostestes[#Data],4)),"-")</f>
        <v>-</v>
      </c>
      <c r="G122" s="50" t="str">
        <f>IFERROR(IF(VLOOKUP($B122,casostestes[#Data],5)=0,"-",VLOOKUP($B122,casostestes[#Data],5)),"-")</f>
        <v>-</v>
      </c>
      <c r="H122" s="50" t="str">
        <f>IFERROR(IF(VLOOKUP($B122,casostestes[#Data],6)=0,"-",VLOOKUP($B122,casostestes[#Data],6)),"-")</f>
        <v>-</v>
      </c>
      <c r="I122" s="50" t="str">
        <f>IFERROR(IF(VLOOKUP($B122,casostestes[#Data],8)=0,"-",VLOOKUP($B122,casostestes[#Data],8)),"-")</f>
        <v>-</v>
      </c>
      <c r="J122" s="50" t="str">
        <f>IFERROR(IF(VLOOKUP($B122,casostestes[#Data],9)=0,"-",VLOOKUP($B122,casostestes[#Data],9)),"-")</f>
        <v>-</v>
      </c>
      <c r="K122" s="51"/>
      <c r="L122" s="119"/>
      <c r="M122" s="53"/>
      <c r="N122" s="54"/>
      <c r="O122" s="54"/>
      <c r="P122" s="55"/>
    </row>
    <row r="123" spans="2:16">
      <c r="B123" s="56" t="str">
        <f>IF(ISERR(casostestes[[#This Row],[ID]]),"-",casostestes[[#This Row],[ID]])</f>
        <v>-</v>
      </c>
      <c r="C123" s="49" t="str">
        <f>IFERROR(IF(VLOOKUP($B123,casostestes[#Data],10)=0,"Não",VLOOKUP($B123,casostestes[#Data],10)), "-")</f>
        <v>-</v>
      </c>
      <c r="D123" s="50" t="str">
        <f>IFERROR(IF(VLOOKUP($B123,casostestes[#Data],2)=0,"-",VLOOKUP($B123,casostestes[#Data],2)), "-")</f>
        <v>-</v>
      </c>
      <c r="E123" s="50" t="str">
        <f>IFERROR(IF(VLOOKUP($B123,casostestes[#Data],3)=0,"-",VLOOKUP($B123,casostestes[#Data],3)), "-")</f>
        <v>-</v>
      </c>
      <c r="F123" s="50" t="str">
        <f>IFERROR(IF(VLOOKUP($B123,casostestes[#Data],4)=0,"-",VLOOKUP($B123,casostestes[#Data],4)),"-")</f>
        <v>-</v>
      </c>
      <c r="G123" s="50" t="str">
        <f>IFERROR(IF(VLOOKUP($B123,casostestes[#Data],5)=0,"-",VLOOKUP($B123,casostestes[#Data],5)),"-")</f>
        <v>-</v>
      </c>
      <c r="H123" s="50" t="str">
        <f>IFERROR(IF(VLOOKUP($B123,casostestes[#Data],6)=0,"-",VLOOKUP($B123,casostestes[#Data],6)),"-")</f>
        <v>-</v>
      </c>
      <c r="I123" s="50" t="str">
        <f>IFERROR(IF(VLOOKUP($B123,casostestes[#Data],8)=0,"-",VLOOKUP($B123,casostestes[#Data],8)),"-")</f>
        <v>-</v>
      </c>
      <c r="J123" s="50" t="str">
        <f>IFERROR(IF(VLOOKUP($B123,casostestes[#Data],9)=0,"-",VLOOKUP($B123,casostestes[#Data],9)),"-")</f>
        <v>-</v>
      </c>
      <c r="K123" s="51"/>
      <c r="L123" s="119"/>
      <c r="M123" s="53"/>
      <c r="N123" s="54"/>
      <c r="O123" s="54"/>
      <c r="P123" s="55"/>
    </row>
    <row r="124" spans="2:16">
      <c r="B124" s="56" t="str">
        <f>IF(ISERR(casostestes[[#This Row],[ID]]),"-",casostestes[[#This Row],[ID]])</f>
        <v>-</v>
      </c>
      <c r="C124" s="49" t="str">
        <f>IFERROR(IF(VLOOKUP($B124,casostestes[#Data],10)=0,"Não",VLOOKUP($B124,casostestes[#Data],10)), "-")</f>
        <v>-</v>
      </c>
      <c r="D124" s="50" t="str">
        <f>IFERROR(IF(VLOOKUP($B124,casostestes[#Data],2)=0,"-",VLOOKUP($B124,casostestes[#Data],2)), "-")</f>
        <v>-</v>
      </c>
      <c r="E124" s="50" t="str">
        <f>IFERROR(IF(VLOOKUP($B124,casostestes[#Data],3)=0,"-",VLOOKUP($B124,casostestes[#Data],3)), "-")</f>
        <v>-</v>
      </c>
      <c r="F124" s="50" t="str">
        <f>IFERROR(IF(VLOOKUP($B124,casostestes[#Data],4)=0,"-",VLOOKUP($B124,casostestes[#Data],4)),"-")</f>
        <v>-</v>
      </c>
      <c r="G124" s="50" t="str">
        <f>IFERROR(IF(VLOOKUP($B124,casostestes[#Data],5)=0,"-",VLOOKUP($B124,casostestes[#Data],5)),"-")</f>
        <v>-</v>
      </c>
      <c r="H124" s="50" t="str">
        <f>IFERROR(IF(VLOOKUP($B124,casostestes[#Data],6)=0,"-",VLOOKUP($B124,casostestes[#Data],6)),"-")</f>
        <v>-</v>
      </c>
      <c r="I124" s="50" t="str">
        <f>IFERROR(IF(VLOOKUP($B124,casostestes[#Data],8)=0,"-",VLOOKUP($B124,casostestes[#Data],8)),"-")</f>
        <v>-</v>
      </c>
      <c r="J124" s="50" t="str">
        <f>IFERROR(IF(VLOOKUP($B124,casostestes[#Data],9)=0,"-",VLOOKUP($B124,casostestes[#Data],9)),"-")</f>
        <v>-</v>
      </c>
      <c r="K124" s="51"/>
      <c r="L124" s="119"/>
      <c r="M124" s="53"/>
      <c r="N124" s="54"/>
      <c r="O124" s="54"/>
      <c r="P124" s="55"/>
    </row>
    <row r="125" spans="2:16">
      <c r="B125" s="56" t="str">
        <f>IF(ISERR(casostestes[[#This Row],[ID]]),"-",casostestes[[#This Row],[ID]])</f>
        <v>-</v>
      </c>
      <c r="C125" s="49" t="str">
        <f>IFERROR(IF(VLOOKUP($B125,casostestes[#Data],10)=0,"Não",VLOOKUP($B125,casostestes[#Data],10)), "-")</f>
        <v>-</v>
      </c>
      <c r="D125" s="50" t="str">
        <f>IFERROR(IF(VLOOKUP($B125,casostestes[#Data],2)=0,"-",VLOOKUP($B125,casostestes[#Data],2)), "-")</f>
        <v>-</v>
      </c>
      <c r="E125" s="50" t="str">
        <f>IFERROR(IF(VLOOKUP($B125,casostestes[#Data],3)=0,"-",VLOOKUP($B125,casostestes[#Data],3)), "-")</f>
        <v>-</v>
      </c>
      <c r="F125" s="50" t="str">
        <f>IFERROR(IF(VLOOKUP($B125,casostestes[#Data],4)=0,"-",VLOOKUP($B125,casostestes[#Data],4)),"-")</f>
        <v>-</v>
      </c>
      <c r="G125" s="50" t="str">
        <f>IFERROR(IF(VLOOKUP($B125,casostestes[#Data],5)=0,"-",VLOOKUP($B125,casostestes[#Data],5)),"-")</f>
        <v>-</v>
      </c>
      <c r="H125" s="50" t="str">
        <f>IFERROR(IF(VLOOKUP($B125,casostestes[#Data],6)=0,"-",VLOOKUP($B125,casostestes[#Data],6)),"-")</f>
        <v>-</v>
      </c>
      <c r="I125" s="50" t="str">
        <f>IFERROR(IF(VLOOKUP($B125,casostestes[#Data],8)=0,"-",VLOOKUP($B125,casostestes[#Data],8)),"-")</f>
        <v>-</v>
      </c>
      <c r="J125" s="50" t="str">
        <f>IFERROR(IF(VLOOKUP($B125,casostestes[#Data],9)=0,"-",VLOOKUP($B125,casostestes[#Data],9)),"-")</f>
        <v>-</v>
      </c>
      <c r="K125" s="51"/>
      <c r="L125" s="119"/>
      <c r="M125" s="53"/>
      <c r="N125" s="54"/>
      <c r="O125" s="54"/>
      <c r="P125" s="55"/>
    </row>
    <row r="126" spans="2:16">
      <c r="B126" s="56" t="str">
        <f>IF(ISERR(casostestes[[#This Row],[ID]]),"-",casostestes[[#This Row],[ID]])</f>
        <v>-</v>
      </c>
      <c r="C126" s="49" t="str">
        <f>IFERROR(IF(VLOOKUP($B126,casostestes[#Data],10)=0,"Não",VLOOKUP($B126,casostestes[#Data],10)), "-")</f>
        <v>-</v>
      </c>
      <c r="D126" s="50" t="str">
        <f>IFERROR(IF(VLOOKUP($B126,casostestes[#Data],2)=0,"-",VLOOKUP($B126,casostestes[#Data],2)), "-")</f>
        <v>-</v>
      </c>
      <c r="E126" s="50" t="str">
        <f>IFERROR(IF(VLOOKUP($B126,casostestes[#Data],3)=0,"-",VLOOKUP($B126,casostestes[#Data],3)), "-")</f>
        <v>-</v>
      </c>
      <c r="F126" s="50" t="str">
        <f>IFERROR(IF(VLOOKUP($B126,casostestes[#Data],4)=0,"-",VLOOKUP($B126,casostestes[#Data],4)),"-")</f>
        <v>-</v>
      </c>
      <c r="G126" s="50" t="str">
        <f>IFERROR(IF(VLOOKUP($B126,casostestes[#Data],5)=0,"-",VLOOKUP($B126,casostestes[#Data],5)),"-")</f>
        <v>-</v>
      </c>
      <c r="H126" s="50" t="str">
        <f>IFERROR(IF(VLOOKUP($B126,casostestes[#Data],6)=0,"-",VLOOKUP($B126,casostestes[#Data],6)),"-")</f>
        <v>-</v>
      </c>
      <c r="I126" s="50" t="str">
        <f>IFERROR(IF(VLOOKUP($B126,casostestes[#Data],8)=0,"-",VLOOKUP($B126,casostestes[#Data],8)),"-")</f>
        <v>-</v>
      </c>
      <c r="J126" s="50" t="str">
        <f>IFERROR(IF(VLOOKUP($B126,casostestes[#Data],9)=0,"-",VLOOKUP($B126,casostestes[#Data],9)),"-")</f>
        <v>-</v>
      </c>
      <c r="K126" s="51"/>
      <c r="L126" s="119"/>
      <c r="M126" s="53"/>
      <c r="N126" s="54"/>
      <c r="O126" s="54"/>
      <c r="P126" s="55"/>
    </row>
    <row r="127" spans="2:16">
      <c r="B127" s="56" t="str">
        <f>IF(ISERR(casostestes[[#This Row],[ID]]),"-",casostestes[[#This Row],[ID]])</f>
        <v>-</v>
      </c>
      <c r="C127" s="49" t="str">
        <f>IFERROR(IF(VLOOKUP($B127,casostestes[#Data],10)=0,"Não",VLOOKUP($B127,casostestes[#Data],10)), "-")</f>
        <v>-</v>
      </c>
      <c r="D127" s="50" t="str">
        <f>IFERROR(IF(VLOOKUP($B127,casostestes[#Data],2)=0,"-",VLOOKUP($B127,casostestes[#Data],2)), "-")</f>
        <v>-</v>
      </c>
      <c r="E127" s="50" t="str">
        <f>IFERROR(IF(VLOOKUP($B127,casostestes[#Data],3)=0,"-",VLOOKUP($B127,casostestes[#Data],3)), "-")</f>
        <v>-</v>
      </c>
      <c r="F127" s="50" t="str">
        <f>IFERROR(IF(VLOOKUP($B127,casostestes[#Data],4)=0,"-",VLOOKUP($B127,casostestes[#Data],4)),"-")</f>
        <v>-</v>
      </c>
      <c r="G127" s="50" t="str">
        <f>IFERROR(IF(VLOOKUP($B127,casostestes[#Data],5)=0,"-",VLOOKUP($B127,casostestes[#Data],5)),"-")</f>
        <v>-</v>
      </c>
      <c r="H127" s="50" t="str">
        <f>IFERROR(IF(VLOOKUP($B127,casostestes[#Data],6)=0,"-",VLOOKUP($B127,casostestes[#Data],6)),"-")</f>
        <v>-</v>
      </c>
      <c r="I127" s="50" t="str">
        <f>IFERROR(IF(VLOOKUP($B127,casostestes[#Data],8)=0,"-",VLOOKUP($B127,casostestes[#Data],8)),"-")</f>
        <v>-</v>
      </c>
      <c r="J127" s="50" t="str">
        <f>IFERROR(IF(VLOOKUP($B127,casostestes[#Data],9)=0,"-",VLOOKUP($B127,casostestes[#Data],9)),"-")</f>
        <v>-</v>
      </c>
      <c r="K127" s="51"/>
      <c r="L127" s="119"/>
      <c r="M127" s="53"/>
      <c r="N127" s="54"/>
      <c r="O127" s="54"/>
      <c r="P127" s="55"/>
    </row>
    <row r="128" spans="2:16">
      <c r="B128" s="56" t="str">
        <f>IF(ISERR(casostestes[[#This Row],[ID]]),"-",casostestes[[#This Row],[ID]])</f>
        <v>-</v>
      </c>
      <c r="C128" s="49" t="str">
        <f>IFERROR(IF(VLOOKUP($B128,casostestes[#Data],10)=0,"Não",VLOOKUP($B128,casostestes[#Data],10)), "-")</f>
        <v>-</v>
      </c>
      <c r="D128" s="50" t="str">
        <f>IFERROR(IF(VLOOKUP($B128,casostestes[#Data],2)=0,"-",VLOOKUP($B128,casostestes[#Data],2)), "-")</f>
        <v>-</v>
      </c>
      <c r="E128" s="50" t="str">
        <f>IFERROR(IF(VLOOKUP($B128,casostestes[#Data],3)=0,"-",VLOOKUP($B128,casostestes[#Data],3)), "-")</f>
        <v>-</v>
      </c>
      <c r="F128" s="50" t="str">
        <f>IFERROR(IF(VLOOKUP($B128,casostestes[#Data],4)=0,"-",VLOOKUP($B128,casostestes[#Data],4)),"-")</f>
        <v>-</v>
      </c>
      <c r="G128" s="50" t="str">
        <f>IFERROR(IF(VLOOKUP($B128,casostestes[#Data],5)=0,"-",VLOOKUP($B128,casostestes[#Data],5)),"-")</f>
        <v>-</v>
      </c>
      <c r="H128" s="50" t="str">
        <f>IFERROR(IF(VLOOKUP($B128,casostestes[#Data],6)=0,"-",VLOOKUP($B128,casostestes[#Data],6)),"-")</f>
        <v>-</v>
      </c>
      <c r="I128" s="50" t="str">
        <f>IFERROR(IF(VLOOKUP($B128,casostestes[#Data],8)=0,"-",VLOOKUP($B128,casostestes[#Data],8)),"-")</f>
        <v>-</v>
      </c>
      <c r="J128" s="50" t="str">
        <f>IFERROR(IF(VLOOKUP($B128,casostestes[#Data],9)=0,"-",VLOOKUP($B128,casostestes[#Data],9)),"-")</f>
        <v>-</v>
      </c>
      <c r="K128" s="51"/>
      <c r="L128" s="119"/>
      <c r="M128" s="53"/>
      <c r="N128" s="54"/>
      <c r="O128" s="54"/>
      <c r="P128" s="55"/>
    </row>
    <row r="129" spans="2:16">
      <c r="B129" s="56" t="str">
        <f>IF(ISERR(casostestes[[#This Row],[ID]]),"-",casostestes[[#This Row],[ID]])</f>
        <v>-</v>
      </c>
      <c r="C129" s="49" t="str">
        <f>IFERROR(IF(VLOOKUP($B129,casostestes[#Data],10)=0,"Não",VLOOKUP($B129,casostestes[#Data],10)), "-")</f>
        <v>-</v>
      </c>
      <c r="D129" s="50" t="str">
        <f>IFERROR(IF(VLOOKUP($B129,casostestes[#Data],2)=0,"-",VLOOKUP($B129,casostestes[#Data],2)), "-")</f>
        <v>-</v>
      </c>
      <c r="E129" s="50" t="str">
        <f>IFERROR(IF(VLOOKUP($B129,casostestes[#Data],3)=0,"-",VLOOKUP($B129,casostestes[#Data],3)), "-")</f>
        <v>-</v>
      </c>
      <c r="F129" s="50" t="str">
        <f>IFERROR(IF(VLOOKUP($B129,casostestes[#Data],4)=0,"-",VLOOKUP($B129,casostestes[#Data],4)),"-")</f>
        <v>-</v>
      </c>
      <c r="G129" s="50" t="str">
        <f>IFERROR(IF(VLOOKUP($B129,casostestes[#Data],5)=0,"-",VLOOKUP($B129,casostestes[#Data],5)),"-")</f>
        <v>-</v>
      </c>
      <c r="H129" s="50" t="str">
        <f>IFERROR(IF(VLOOKUP($B129,casostestes[#Data],6)=0,"-",VLOOKUP($B129,casostestes[#Data],6)),"-")</f>
        <v>-</v>
      </c>
      <c r="I129" s="50" t="str">
        <f>IFERROR(IF(VLOOKUP($B129,casostestes[#Data],8)=0,"-",VLOOKUP($B129,casostestes[#Data],8)),"-")</f>
        <v>-</v>
      </c>
      <c r="J129" s="50" t="str">
        <f>IFERROR(IF(VLOOKUP($B129,casostestes[#Data],9)=0,"-",VLOOKUP($B129,casostestes[#Data],9)),"-")</f>
        <v>-</v>
      </c>
      <c r="K129" s="51"/>
      <c r="L129" s="119"/>
      <c r="M129" s="53"/>
      <c r="N129" s="54"/>
      <c r="O129" s="54"/>
      <c r="P129" s="55"/>
    </row>
    <row r="130" spans="2:16">
      <c r="B130" s="56" t="str">
        <f>IF(ISERR(casostestes[[#This Row],[ID]]),"-",casostestes[[#This Row],[ID]])</f>
        <v>-</v>
      </c>
      <c r="C130" s="49" t="str">
        <f>IFERROR(IF(VLOOKUP($B130,casostestes[#Data],10)=0,"Não",VLOOKUP($B130,casostestes[#Data],10)), "-")</f>
        <v>-</v>
      </c>
      <c r="D130" s="50" t="str">
        <f>IFERROR(IF(VLOOKUP($B130,casostestes[#Data],2)=0,"-",VLOOKUP($B130,casostestes[#Data],2)), "-")</f>
        <v>-</v>
      </c>
      <c r="E130" s="50" t="str">
        <f>IFERROR(IF(VLOOKUP($B130,casostestes[#Data],3)=0,"-",VLOOKUP($B130,casostestes[#Data],3)), "-")</f>
        <v>-</v>
      </c>
      <c r="F130" s="50" t="str">
        <f>IFERROR(IF(VLOOKUP($B130,casostestes[#Data],4)=0,"-",VLOOKUP($B130,casostestes[#Data],4)),"-")</f>
        <v>-</v>
      </c>
      <c r="G130" s="50" t="str">
        <f>IFERROR(IF(VLOOKUP($B130,casostestes[#Data],5)=0,"-",VLOOKUP($B130,casostestes[#Data],5)),"-")</f>
        <v>-</v>
      </c>
      <c r="H130" s="50" t="str">
        <f>IFERROR(IF(VLOOKUP($B130,casostestes[#Data],6)=0,"-",VLOOKUP($B130,casostestes[#Data],6)),"-")</f>
        <v>-</v>
      </c>
      <c r="I130" s="50" t="str">
        <f>IFERROR(IF(VLOOKUP($B130,casostestes[#Data],8)=0,"-",VLOOKUP($B130,casostestes[#Data],8)),"-")</f>
        <v>-</v>
      </c>
      <c r="J130" s="50" t="str">
        <f>IFERROR(IF(VLOOKUP($B130,casostestes[#Data],9)=0,"-",VLOOKUP($B130,casostestes[#Data],9)),"-")</f>
        <v>-</v>
      </c>
      <c r="K130" s="51"/>
      <c r="L130" s="119"/>
      <c r="M130" s="53"/>
      <c r="N130" s="54"/>
      <c r="O130" s="54"/>
      <c r="P130" s="55"/>
    </row>
    <row r="131" spans="2:16">
      <c r="B131" s="56" t="str">
        <f>IF(ISERR(casostestes[[#This Row],[ID]]),"-",casostestes[[#This Row],[ID]])</f>
        <v>-</v>
      </c>
      <c r="C131" s="49" t="str">
        <f>IFERROR(IF(VLOOKUP($B131,casostestes[#Data],10)=0,"Não",VLOOKUP($B131,casostestes[#Data],10)), "-")</f>
        <v>-</v>
      </c>
      <c r="D131" s="50" t="str">
        <f>IFERROR(IF(VLOOKUP($B131,casostestes[#Data],2)=0,"-",VLOOKUP($B131,casostestes[#Data],2)), "-")</f>
        <v>-</v>
      </c>
      <c r="E131" s="50" t="str">
        <f>IFERROR(IF(VLOOKUP($B131,casostestes[#Data],3)=0,"-",VLOOKUP($B131,casostestes[#Data],3)), "-")</f>
        <v>-</v>
      </c>
      <c r="F131" s="50" t="str">
        <f>IFERROR(IF(VLOOKUP($B131,casostestes[#Data],4)=0,"-",VLOOKUP($B131,casostestes[#Data],4)),"-")</f>
        <v>-</v>
      </c>
      <c r="G131" s="50" t="str">
        <f>IFERROR(IF(VLOOKUP($B131,casostestes[#Data],5)=0,"-",VLOOKUP($B131,casostestes[#Data],5)),"-")</f>
        <v>-</v>
      </c>
      <c r="H131" s="50" t="str">
        <f>IFERROR(IF(VLOOKUP($B131,casostestes[#Data],6)=0,"-",VLOOKUP($B131,casostestes[#Data],6)),"-")</f>
        <v>-</v>
      </c>
      <c r="I131" s="50" t="str">
        <f>IFERROR(IF(VLOOKUP($B131,casostestes[#Data],8)=0,"-",VLOOKUP($B131,casostestes[#Data],8)),"-")</f>
        <v>-</v>
      </c>
      <c r="J131" s="50" t="str">
        <f>IFERROR(IF(VLOOKUP($B131,casostestes[#Data],9)=0,"-",VLOOKUP($B131,casostestes[#Data],9)),"-")</f>
        <v>-</v>
      </c>
      <c r="K131" s="51"/>
      <c r="L131" s="119"/>
      <c r="M131" s="53"/>
      <c r="N131" s="54"/>
      <c r="O131" s="54"/>
      <c r="P131" s="55"/>
    </row>
    <row r="132" spans="2:16">
      <c r="B132" s="56" t="str">
        <f>IF(ISERR(casostestes[[#This Row],[ID]]),"-",casostestes[[#This Row],[ID]])</f>
        <v>-</v>
      </c>
      <c r="C132" s="49" t="str">
        <f>IFERROR(IF(VLOOKUP($B132,casostestes[#Data],10)=0,"Não",VLOOKUP($B132,casostestes[#Data],10)), "-")</f>
        <v>-</v>
      </c>
      <c r="D132" s="50" t="str">
        <f>IFERROR(IF(VLOOKUP($B132,casostestes[#Data],2)=0,"-",VLOOKUP($B132,casostestes[#Data],2)), "-")</f>
        <v>-</v>
      </c>
      <c r="E132" s="50" t="str">
        <f>IFERROR(IF(VLOOKUP($B132,casostestes[#Data],3)=0,"-",VLOOKUP($B132,casostestes[#Data],3)), "-")</f>
        <v>-</v>
      </c>
      <c r="F132" s="50" t="str">
        <f>IFERROR(IF(VLOOKUP($B132,casostestes[#Data],4)=0,"-",VLOOKUP($B132,casostestes[#Data],4)),"-")</f>
        <v>-</v>
      </c>
      <c r="G132" s="50" t="str">
        <f>IFERROR(IF(VLOOKUP($B132,casostestes[#Data],5)=0,"-",VLOOKUP($B132,casostestes[#Data],5)),"-")</f>
        <v>-</v>
      </c>
      <c r="H132" s="50" t="str">
        <f>IFERROR(IF(VLOOKUP($B132,casostestes[#Data],6)=0,"-",VLOOKUP($B132,casostestes[#Data],6)),"-")</f>
        <v>-</v>
      </c>
      <c r="I132" s="50" t="str">
        <f>IFERROR(IF(VLOOKUP($B132,casostestes[#Data],8)=0,"-",VLOOKUP($B132,casostestes[#Data],8)),"-")</f>
        <v>-</v>
      </c>
      <c r="J132" s="50" t="str">
        <f>IFERROR(IF(VLOOKUP($B132,casostestes[#Data],9)=0,"-",VLOOKUP($B132,casostestes[#Data],9)),"-")</f>
        <v>-</v>
      </c>
      <c r="K132" s="51"/>
      <c r="L132" s="119"/>
      <c r="M132" s="53"/>
      <c r="N132" s="54"/>
      <c r="O132" s="54"/>
      <c r="P132" s="55"/>
    </row>
    <row r="133" spans="2:16">
      <c r="B133" s="56" t="str">
        <f>IF(ISERR(casostestes[[#This Row],[ID]]),"-",casostestes[[#This Row],[ID]])</f>
        <v>-</v>
      </c>
      <c r="C133" s="49" t="str">
        <f>IFERROR(IF(VLOOKUP($B133,casostestes[#Data],10)=0,"Não",VLOOKUP($B133,casostestes[#Data],10)), "-")</f>
        <v>-</v>
      </c>
      <c r="D133" s="50" t="str">
        <f>IFERROR(IF(VLOOKUP($B133,casostestes[#Data],2)=0,"-",VLOOKUP($B133,casostestes[#Data],2)), "-")</f>
        <v>-</v>
      </c>
      <c r="E133" s="50" t="str">
        <f>IFERROR(IF(VLOOKUP($B133,casostestes[#Data],3)=0,"-",VLOOKUP($B133,casostestes[#Data],3)), "-")</f>
        <v>-</v>
      </c>
      <c r="F133" s="50" t="str">
        <f>IFERROR(IF(VLOOKUP($B133,casostestes[#Data],4)=0,"-",VLOOKUP($B133,casostestes[#Data],4)),"-")</f>
        <v>-</v>
      </c>
      <c r="G133" s="50" t="str">
        <f>IFERROR(IF(VLOOKUP($B133,casostestes[#Data],5)=0,"-",VLOOKUP($B133,casostestes[#Data],5)),"-")</f>
        <v>-</v>
      </c>
      <c r="H133" s="50" t="str">
        <f>IFERROR(IF(VLOOKUP($B133,casostestes[#Data],6)=0,"-",VLOOKUP($B133,casostestes[#Data],6)),"-")</f>
        <v>-</v>
      </c>
      <c r="I133" s="50" t="str">
        <f>IFERROR(IF(VLOOKUP($B133,casostestes[#Data],8)=0,"-",VLOOKUP($B133,casostestes[#Data],8)),"-")</f>
        <v>-</v>
      </c>
      <c r="J133" s="50" t="str">
        <f>IFERROR(IF(VLOOKUP($B133,casostestes[#Data],9)=0,"-",VLOOKUP($B133,casostestes[#Data],9)),"-")</f>
        <v>-</v>
      </c>
      <c r="K133" s="51"/>
      <c r="L133" s="119"/>
      <c r="M133" s="53"/>
      <c r="N133" s="54"/>
      <c r="O133" s="54"/>
      <c r="P133" s="55"/>
    </row>
    <row r="134" spans="2:16">
      <c r="B134" s="56" t="str">
        <f>IF(ISERR(casostestes[[#This Row],[ID]]),"-",casostestes[[#This Row],[ID]])</f>
        <v>-</v>
      </c>
      <c r="C134" s="49" t="str">
        <f>IFERROR(IF(VLOOKUP($B134,casostestes[#Data],10)=0,"Não",VLOOKUP($B134,casostestes[#Data],10)), "-")</f>
        <v>-</v>
      </c>
      <c r="D134" s="50" t="str">
        <f>IFERROR(IF(VLOOKUP($B134,casostestes[#Data],2)=0,"-",VLOOKUP($B134,casostestes[#Data],2)), "-")</f>
        <v>-</v>
      </c>
      <c r="E134" s="50" t="str">
        <f>IFERROR(IF(VLOOKUP($B134,casostestes[#Data],3)=0,"-",VLOOKUP($B134,casostestes[#Data],3)), "-")</f>
        <v>-</v>
      </c>
      <c r="F134" s="50" t="str">
        <f>IFERROR(IF(VLOOKUP($B134,casostestes[#Data],4)=0,"-",VLOOKUP($B134,casostestes[#Data],4)),"-")</f>
        <v>-</v>
      </c>
      <c r="G134" s="50" t="str">
        <f>IFERROR(IF(VLOOKUP($B134,casostestes[#Data],5)=0,"-",VLOOKUP($B134,casostestes[#Data],5)),"-")</f>
        <v>-</v>
      </c>
      <c r="H134" s="50" t="str">
        <f>IFERROR(IF(VLOOKUP($B134,casostestes[#Data],6)=0,"-",VLOOKUP($B134,casostestes[#Data],6)),"-")</f>
        <v>-</v>
      </c>
      <c r="I134" s="50" t="str">
        <f>IFERROR(IF(VLOOKUP($B134,casostestes[#Data],8)=0,"-",VLOOKUP($B134,casostestes[#Data],8)),"-")</f>
        <v>-</v>
      </c>
      <c r="J134" s="50" t="str">
        <f>IFERROR(IF(VLOOKUP($B134,casostestes[#Data],9)=0,"-",VLOOKUP($B134,casostestes[#Data],9)),"-")</f>
        <v>-</v>
      </c>
      <c r="K134" s="51"/>
      <c r="L134" s="119"/>
      <c r="M134" s="53"/>
      <c r="N134" s="54"/>
      <c r="O134" s="54"/>
      <c r="P134" s="55"/>
    </row>
    <row r="135" spans="2:16">
      <c r="B135" s="56" t="str">
        <f>IF(ISERR(casostestes[[#This Row],[ID]]),"-",casostestes[[#This Row],[ID]])</f>
        <v>-</v>
      </c>
      <c r="C135" s="49" t="str">
        <f>IFERROR(IF(VLOOKUP($B135,casostestes[#Data],10)=0,"Não",VLOOKUP($B135,casostestes[#Data],10)), "-")</f>
        <v>-</v>
      </c>
      <c r="D135" s="50" t="str">
        <f>IFERROR(IF(VLOOKUP($B135,casostestes[#Data],2)=0,"-",VLOOKUP($B135,casostestes[#Data],2)), "-")</f>
        <v>-</v>
      </c>
      <c r="E135" s="50" t="str">
        <f>IFERROR(IF(VLOOKUP($B135,casostestes[#Data],3)=0,"-",VLOOKUP($B135,casostestes[#Data],3)), "-")</f>
        <v>-</v>
      </c>
      <c r="F135" s="50" t="str">
        <f>IFERROR(IF(VLOOKUP($B135,casostestes[#Data],4)=0,"-",VLOOKUP($B135,casostestes[#Data],4)),"-")</f>
        <v>-</v>
      </c>
      <c r="G135" s="50" t="str">
        <f>IFERROR(IF(VLOOKUP($B135,casostestes[#Data],5)=0,"-",VLOOKUP($B135,casostestes[#Data],5)),"-")</f>
        <v>-</v>
      </c>
      <c r="H135" s="50" t="str">
        <f>IFERROR(IF(VLOOKUP($B135,casostestes[#Data],6)=0,"-",VLOOKUP($B135,casostestes[#Data],6)),"-")</f>
        <v>-</v>
      </c>
      <c r="I135" s="50" t="str">
        <f>IFERROR(IF(VLOOKUP($B135,casostestes[#Data],8)=0,"-",VLOOKUP($B135,casostestes[#Data],8)),"-")</f>
        <v>-</v>
      </c>
      <c r="J135" s="50" t="str">
        <f>IFERROR(IF(VLOOKUP($B135,casostestes[#Data],9)=0,"-",VLOOKUP($B135,casostestes[#Data],9)),"-")</f>
        <v>-</v>
      </c>
      <c r="K135" s="51"/>
      <c r="L135" s="119"/>
      <c r="M135" s="53"/>
      <c r="N135" s="54"/>
      <c r="O135" s="54"/>
      <c r="P135" s="55"/>
    </row>
    <row r="136" spans="2:16">
      <c r="B136" s="56" t="str">
        <f>IF(ISERR(casostestes[[#This Row],[ID]]),"-",casostestes[[#This Row],[ID]])</f>
        <v>-</v>
      </c>
      <c r="C136" s="49" t="str">
        <f>IFERROR(IF(VLOOKUP($B136,casostestes[#Data],10)=0,"Não",VLOOKUP($B136,casostestes[#Data],10)), "-")</f>
        <v>-</v>
      </c>
      <c r="D136" s="50" t="str">
        <f>IFERROR(IF(VLOOKUP($B136,casostestes[#Data],2)=0,"-",VLOOKUP($B136,casostestes[#Data],2)), "-")</f>
        <v>-</v>
      </c>
      <c r="E136" s="50" t="str">
        <f>IFERROR(IF(VLOOKUP($B136,casostestes[#Data],3)=0,"-",VLOOKUP($B136,casostestes[#Data],3)), "-")</f>
        <v>-</v>
      </c>
      <c r="F136" s="50" t="str">
        <f>IFERROR(IF(VLOOKUP($B136,casostestes[#Data],4)=0,"-",VLOOKUP($B136,casostestes[#Data],4)),"-")</f>
        <v>-</v>
      </c>
      <c r="G136" s="50" t="str">
        <f>IFERROR(IF(VLOOKUP($B136,casostestes[#Data],5)=0,"-",VLOOKUP($B136,casostestes[#Data],5)),"-")</f>
        <v>-</v>
      </c>
      <c r="H136" s="50" t="str">
        <f>IFERROR(IF(VLOOKUP($B136,casostestes[#Data],6)=0,"-",VLOOKUP($B136,casostestes[#Data],6)),"-")</f>
        <v>-</v>
      </c>
      <c r="I136" s="50" t="str">
        <f>IFERROR(IF(VLOOKUP($B136,casostestes[#Data],8)=0,"-",VLOOKUP($B136,casostestes[#Data],8)),"-")</f>
        <v>-</v>
      </c>
      <c r="J136" s="50" t="str">
        <f>IFERROR(IF(VLOOKUP($B136,casostestes[#Data],9)=0,"-",VLOOKUP($B136,casostestes[#Data],9)),"-")</f>
        <v>-</v>
      </c>
      <c r="K136" s="51"/>
      <c r="L136" s="119"/>
      <c r="M136" s="53"/>
      <c r="N136" s="54"/>
      <c r="O136" s="54"/>
      <c r="P136" s="55"/>
    </row>
    <row r="137" spans="2:16">
      <c r="B137" s="56" t="str">
        <f>IF(ISERR(casostestes[[#This Row],[ID]]),"-",casostestes[[#This Row],[ID]])</f>
        <v>-</v>
      </c>
      <c r="C137" s="49" t="str">
        <f>IFERROR(IF(VLOOKUP($B137,casostestes[#Data],10)=0,"Não",VLOOKUP($B137,casostestes[#Data],10)), "-")</f>
        <v>-</v>
      </c>
      <c r="D137" s="50" t="str">
        <f>IFERROR(IF(VLOOKUP($B137,casostestes[#Data],2)=0,"-",VLOOKUP($B137,casostestes[#Data],2)), "-")</f>
        <v>-</v>
      </c>
      <c r="E137" s="50" t="str">
        <f>IFERROR(IF(VLOOKUP($B137,casostestes[#Data],3)=0,"-",VLOOKUP($B137,casostestes[#Data],3)), "-")</f>
        <v>-</v>
      </c>
      <c r="F137" s="50" t="str">
        <f>IFERROR(IF(VLOOKUP($B137,casostestes[#Data],4)=0,"-",VLOOKUP($B137,casostestes[#Data],4)),"-")</f>
        <v>-</v>
      </c>
      <c r="G137" s="50" t="str">
        <f>IFERROR(IF(VLOOKUP($B137,casostestes[#Data],5)=0,"-",VLOOKUP($B137,casostestes[#Data],5)),"-")</f>
        <v>-</v>
      </c>
      <c r="H137" s="50" t="str">
        <f>IFERROR(IF(VLOOKUP($B137,casostestes[#Data],6)=0,"-",VLOOKUP($B137,casostestes[#Data],6)),"-")</f>
        <v>-</v>
      </c>
      <c r="I137" s="50" t="str">
        <f>IFERROR(IF(VLOOKUP($B137,casostestes[#Data],8)=0,"-",VLOOKUP($B137,casostestes[#Data],8)),"-")</f>
        <v>-</v>
      </c>
      <c r="J137" s="50" t="str">
        <f>IFERROR(IF(VLOOKUP($B137,casostestes[#Data],9)=0,"-",VLOOKUP($B137,casostestes[#Data],9)),"-")</f>
        <v>-</v>
      </c>
      <c r="K137" s="51"/>
      <c r="L137" s="119"/>
      <c r="M137" s="53"/>
      <c r="N137" s="54"/>
      <c r="O137" s="54"/>
      <c r="P137" s="55"/>
    </row>
    <row r="138" spans="2:16">
      <c r="B138" s="56" t="str">
        <f>IF(ISERR(casostestes[[#This Row],[ID]]),"-",casostestes[[#This Row],[ID]])</f>
        <v>-</v>
      </c>
      <c r="C138" s="49" t="str">
        <f>IFERROR(IF(VLOOKUP($B138,casostestes[#Data],10)=0,"Não",VLOOKUP($B138,casostestes[#Data],10)), "-")</f>
        <v>-</v>
      </c>
      <c r="D138" s="50" t="str">
        <f>IFERROR(IF(VLOOKUP($B138,casostestes[#Data],2)=0,"-",VLOOKUP($B138,casostestes[#Data],2)), "-")</f>
        <v>-</v>
      </c>
      <c r="E138" s="50" t="str">
        <f>IFERROR(IF(VLOOKUP($B138,casostestes[#Data],3)=0,"-",VLOOKUP($B138,casostestes[#Data],3)), "-")</f>
        <v>-</v>
      </c>
      <c r="F138" s="50" t="str">
        <f>IFERROR(IF(VLOOKUP($B138,casostestes[#Data],4)=0,"-",VLOOKUP($B138,casostestes[#Data],4)),"-")</f>
        <v>-</v>
      </c>
      <c r="G138" s="50" t="str">
        <f>IFERROR(IF(VLOOKUP($B138,casostestes[#Data],5)=0,"-",VLOOKUP($B138,casostestes[#Data],5)),"-")</f>
        <v>-</v>
      </c>
      <c r="H138" s="50" t="str">
        <f>IFERROR(IF(VLOOKUP($B138,casostestes[#Data],6)=0,"-",VLOOKUP($B138,casostestes[#Data],6)),"-")</f>
        <v>-</v>
      </c>
      <c r="I138" s="50" t="str">
        <f>IFERROR(IF(VLOOKUP($B138,casostestes[#Data],8)=0,"-",VLOOKUP($B138,casostestes[#Data],8)),"-")</f>
        <v>-</v>
      </c>
      <c r="J138" s="50" t="str">
        <f>IFERROR(IF(VLOOKUP($B138,casostestes[#Data],9)=0,"-",VLOOKUP($B138,casostestes[#Data],9)),"-")</f>
        <v>-</v>
      </c>
      <c r="K138" s="51"/>
      <c r="L138" s="119"/>
      <c r="M138" s="53"/>
      <c r="N138" s="54"/>
      <c r="O138" s="54"/>
      <c r="P138" s="55"/>
    </row>
    <row r="139" spans="2:16">
      <c r="B139" s="56" t="str">
        <f>IF(ISERR(casostestes[[#This Row],[ID]]),"-",casostestes[[#This Row],[ID]])</f>
        <v>-</v>
      </c>
      <c r="C139" s="49" t="str">
        <f>IFERROR(IF(VLOOKUP($B139,casostestes[#Data],10)=0,"Não",VLOOKUP($B139,casostestes[#Data],10)), "-")</f>
        <v>-</v>
      </c>
      <c r="D139" s="50" t="str">
        <f>IFERROR(IF(VLOOKUP($B139,casostestes[#Data],2)=0,"-",VLOOKUP($B139,casostestes[#Data],2)), "-")</f>
        <v>-</v>
      </c>
      <c r="E139" s="50" t="str">
        <f>IFERROR(IF(VLOOKUP($B139,casostestes[#Data],3)=0,"-",VLOOKUP($B139,casostestes[#Data],3)), "-")</f>
        <v>-</v>
      </c>
      <c r="F139" s="50" t="str">
        <f>IFERROR(IF(VLOOKUP($B139,casostestes[#Data],4)=0,"-",VLOOKUP($B139,casostestes[#Data],4)),"-")</f>
        <v>-</v>
      </c>
      <c r="G139" s="50" t="str">
        <f>IFERROR(IF(VLOOKUP($B139,casostestes[#Data],5)=0,"-",VLOOKUP($B139,casostestes[#Data],5)),"-")</f>
        <v>-</v>
      </c>
      <c r="H139" s="50" t="str">
        <f>IFERROR(IF(VLOOKUP($B139,casostestes[#Data],6)=0,"-",VLOOKUP($B139,casostestes[#Data],6)),"-")</f>
        <v>-</v>
      </c>
      <c r="I139" s="50" t="str">
        <f>IFERROR(IF(VLOOKUP($B139,casostestes[#Data],8)=0,"-",VLOOKUP($B139,casostestes[#Data],8)),"-")</f>
        <v>-</v>
      </c>
      <c r="J139" s="50" t="str">
        <f>IFERROR(IF(VLOOKUP($B139,casostestes[#Data],9)=0,"-",VLOOKUP($B139,casostestes[#Data],9)),"-")</f>
        <v>-</v>
      </c>
      <c r="K139" s="51"/>
      <c r="L139" s="119"/>
      <c r="M139" s="53"/>
      <c r="N139" s="54"/>
      <c r="O139" s="54"/>
      <c r="P139" s="55"/>
    </row>
    <row r="140" spans="2:16">
      <c r="B140" s="56" t="str">
        <f>IF(ISERR(casostestes[[#This Row],[ID]]),"-",casostestes[[#This Row],[ID]])</f>
        <v>-</v>
      </c>
      <c r="C140" s="49" t="str">
        <f>IFERROR(IF(VLOOKUP($B140,casostestes[#Data],10)=0,"Não",VLOOKUP($B140,casostestes[#Data],10)), "-")</f>
        <v>-</v>
      </c>
      <c r="D140" s="50" t="str">
        <f>IFERROR(IF(VLOOKUP($B140,casostestes[#Data],2)=0,"-",VLOOKUP($B140,casostestes[#Data],2)), "-")</f>
        <v>-</v>
      </c>
      <c r="E140" s="50" t="str">
        <f>IFERROR(IF(VLOOKUP($B140,casostestes[#Data],3)=0,"-",VLOOKUP($B140,casostestes[#Data],3)), "-")</f>
        <v>-</v>
      </c>
      <c r="F140" s="50" t="str">
        <f>IFERROR(IF(VLOOKUP($B140,casostestes[#Data],4)=0,"-",VLOOKUP($B140,casostestes[#Data],4)),"-")</f>
        <v>-</v>
      </c>
      <c r="G140" s="50" t="str">
        <f>IFERROR(IF(VLOOKUP($B140,casostestes[#Data],5)=0,"-",VLOOKUP($B140,casostestes[#Data],5)),"-")</f>
        <v>-</v>
      </c>
      <c r="H140" s="50" t="str">
        <f>IFERROR(IF(VLOOKUP($B140,casostestes[#Data],6)=0,"-",VLOOKUP($B140,casostestes[#Data],6)),"-")</f>
        <v>-</v>
      </c>
      <c r="I140" s="50" t="str">
        <f>IFERROR(IF(VLOOKUP($B140,casostestes[#Data],8)=0,"-",VLOOKUP($B140,casostestes[#Data],8)),"-")</f>
        <v>-</v>
      </c>
      <c r="J140" s="50" t="str">
        <f>IFERROR(IF(VLOOKUP($B140,casostestes[#Data],9)=0,"-",VLOOKUP($B140,casostestes[#Data],9)),"-")</f>
        <v>-</v>
      </c>
      <c r="K140" s="51"/>
      <c r="L140" s="119"/>
      <c r="M140" s="53"/>
      <c r="N140" s="54"/>
      <c r="O140" s="54"/>
      <c r="P140" s="55"/>
    </row>
    <row r="141" spans="2:16">
      <c r="B141" s="56" t="str">
        <f>IF(ISERR(casostestes[[#This Row],[ID]]),"-",casostestes[[#This Row],[ID]])</f>
        <v>-</v>
      </c>
      <c r="C141" s="49" t="str">
        <f>IFERROR(IF(VLOOKUP($B141,casostestes[#Data],10)=0,"Não",VLOOKUP($B141,casostestes[#Data],10)), "-")</f>
        <v>-</v>
      </c>
      <c r="D141" s="50" t="str">
        <f>IFERROR(IF(VLOOKUP($B141,casostestes[#Data],2)=0,"-",VLOOKUP($B141,casostestes[#Data],2)), "-")</f>
        <v>-</v>
      </c>
      <c r="E141" s="50" t="str">
        <f>IFERROR(IF(VLOOKUP($B141,casostestes[#Data],3)=0,"-",VLOOKUP($B141,casostestes[#Data],3)), "-")</f>
        <v>-</v>
      </c>
      <c r="F141" s="50" t="str">
        <f>IFERROR(IF(VLOOKUP($B141,casostestes[#Data],4)=0,"-",VLOOKUP($B141,casostestes[#Data],4)),"-")</f>
        <v>-</v>
      </c>
      <c r="G141" s="50" t="str">
        <f>IFERROR(IF(VLOOKUP($B141,casostestes[#Data],5)=0,"-",VLOOKUP($B141,casostestes[#Data],5)),"-")</f>
        <v>-</v>
      </c>
      <c r="H141" s="50" t="str">
        <f>IFERROR(IF(VLOOKUP($B141,casostestes[#Data],6)=0,"-",VLOOKUP($B141,casostestes[#Data],6)),"-")</f>
        <v>-</v>
      </c>
      <c r="I141" s="50" t="str">
        <f>IFERROR(IF(VLOOKUP($B141,casostestes[#Data],8)=0,"-",VLOOKUP($B141,casostestes[#Data],8)),"-")</f>
        <v>-</v>
      </c>
      <c r="J141" s="50" t="str">
        <f>IFERROR(IF(VLOOKUP($B141,casostestes[#Data],9)=0,"-",VLOOKUP($B141,casostestes[#Data],9)),"-")</f>
        <v>-</v>
      </c>
      <c r="K141" s="51"/>
      <c r="L141" s="119"/>
      <c r="M141" s="53"/>
      <c r="N141" s="54"/>
      <c r="O141" s="54"/>
      <c r="P141" s="55"/>
    </row>
    <row r="142" spans="2:16">
      <c r="B142" s="56" t="str">
        <f>IF(ISERR(casostestes[[#This Row],[ID]]),"-",casostestes[[#This Row],[ID]])</f>
        <v>-</v>
      </c>
      <c r="C142" s="49" t="str">
        <f>IFERROR(IF(VLOOKUP($B142,casostestes[#Data],10)=0,"Não",VLOOKUP($B142,casostestes[#Data],10)), "-")</f>
        <v>-</v>
      </c>
      <c r="D142" s="50" t="str">
        <f>IFERROR(IF(VLOOKUP($B142,casostestes[#Data],2)=0,"-",VLOOKUP($B142,casostestes[#Data],2)), "-")</f>
        <v>-</v>
      </c>
      <c r="E142" s="50" t="str">
        <f>IFERROR(IF(VLOOKUP($B142,casostestes[#Data],3)=0,"-",VLOOKUP($B142,casostestes[#Data],3)), "-")</f>
        <v>-</v>
      </c>
      <c r="F142" s="50" t="str">
        <f>IFERROR(IF(VLOOKUP($B142,casostestes[#Data],4)=0,"-",VLOOKUP($B142,casostestes[#Data],4)),"-")</f>
        <v>-</v>
      </c>
      <c r="G142" s="50" t="str">
        <f>IFERROR(IF(VLOOKUP($B142,casostestes[#Data],5)=0,"-",VLOOKUP($B142,casostestes[#Data],5)),"-")</f>
        <v>-</v>
      </c>
      <c r="H142" s="50" t="str">
        <f>IFERROR(IF(VLOOKUP($B142,casostestes[#Data],6)=0,"-",VLOOKUP($B142,casostestes[#Data],6)),"-")</f>
        <v>-</v>
      </c>
      <c r="I142" s="50" t="str">
        <f>IFERROR(IF(VLOOKUP($B142,casostestes[#Data],8)=0,"-",VLOOKUP($B142,casostestes[#Data],8)),"-")</f>
        <v>-</v>
      </c>
      <c r="J142" s="50" t="str">
        <f>IFERROR(IF(VLOOKUP($B142,casostestes[#Data],9)=0,"-",VLOOKUP($B142,casostestes[#Data],9)),"-")</f>
        <v>-</v>
      </c>
      <c r="K142" s="51"/>
      <c r="L142" s="119"/>
      <c r="M142" s="53"/>
      <c r="N142" s="54"/>
      <c r="O142" s="54"/>
      <c r="P142" s="55"/>
    </row>
    <row r="143" spans="2:16">
      <c r="B143" s="56" t="str">
        <f>IF(ISERR(casostestes[[#This Row],[ID]]),"-",casostestes[[#This Row],[ID]])</f>
        <v>-</v>
      </c>
      <c r="C143" s="49" t="str">
        <f>IFERROR(IF(VLOOKUP($B143,casostestes[#Data],10)=0,"Não",VLOOKUP($B143,casostestes[#Data],10)), "-")</f>
        <v>-</v>
      </c>
      <c r="D143" s="50" t="str">
        <f>IFERROR(IF(VLOOKUP($B143,casostestes[#Data],2)=0,"-",VLOOKUP($B143,casostestes[#Data],2)), "-")</f>
        <v>-</v>
      </c>
      <c r="E143" s="50" t="str">
        <f>IFERROR(IF(VLOOKUP($B143,casostestes[#Data],3)=0,"-",VLOOKUP($B143,casostestes[#Data],3)), "-")</f>
        <v>-</v>
      </c>
      <c r="F143" s="50" t="str">
        <f>IFERROR(IF(VLOOKUP($B143,casostestes[#Data],4)=0,"-",VLOOKUP($B143,casostestes[#Data],4)),"-")</f>
        <v>-</v>
      </c>
      <c r="G143" s="50" t="str">
        <f>IFERROR(IF(VLOOKUP($B143,casostestes[#Data],5)=0,"-",VLOOKUP($B143,casostestes[#Data],5)),"-")</f>
        <v>-</v>
      </c>
      <c r="H143" s="50" t="str">
        <f>IFERROR(IF(VLOOKUP($B143,casostestes[#Data],6)=0,"-",VLOOKUP($B143,casostestes[#Data],6)),"-")</f>
        <v>-</v>
      </c>
      <c r="I143" s="50" t="str">
        <f>IFERROR(IF(VLOOKUP($B143,casostestes[#Data],8)=0,"-",VLOOKUP($B143,casostestes[#Data],8)),"-")</f>
        <v>-</v>
      </c>
      <c r="J143" s="50" t="str">
        <f>IFERROR(IF(VLOOKUP($B143,casostestes[#Data],9)=0,"-",VLOOKUP($B143,casostestes[#Data],9)),"-")</f>
        <v>-</v>
      </c>
      <c r="K143" s="51"/>
      <c r="L143" s="119"/>
      <c r="M143" s="53"/>
      <c r="N143" s="54"/>
      <c r="O143" s="54"/>
      <c r="P143" s="55"/>
    </row>
    <row r="144" spans="2:16">
      <c r="B144" s="56" t="str">
        <f>IF(ISERR(casostestes[[#This Row],[ID]]),"-",casostestes[[#This Row],[ID]])</f>
        <v>-</v>
      </c>
      <c r="C144" s="49" t="str">
        <f>IFERROR(IF(VLOOKUP($B144,casostestes[#Data],10)=0,"Não",VLOOKUP($B144,casostestes[#Data],10)), "-")</f>
        <v>-</v>
      </c>
      <c r="D144" s="50" t="str">
        <f>IFERROR(IF(VLOOKUP($B144,casostestes[#Data],2)=0,"-",VLOOKUP($B144,casostestes[#Data],2)), "-")</f>
        <v>-</v>
      </c>
      <c r="E144" s="50" t="str">
        <f>IFERROR(IF(VLOOKUP($B144,casostestes[#Data],3)=0,"-",VLOOKUP($B144,casostestes[#Data],3)), "-")</f>
        <v>-</v>
      </c>
      <c r="F144" s="50" t="str">
        <f>IFERROR(IF(VLOOKUP($B144,casostestes[#Data],4)=0,"-",VLOOKUP($B144,casostestes[#Data],4)),"-")</f>
        <v>-</v>
      </c>
      <c r="G144" s="50" t="str">
        <f>IFERROR(IF(VLOOKUP($B144,casostestes[#Data],5)=0,"-",VLOOKUP($B144,casostestes[#Data],5)),"-")</f>
        <v>-</v>
      </c>
      <c r="H144" s="50" t="str">
        <f>IFERROR(IF(VLOOKUP($B144,casostestes[#Data],6)=0,"-",VLOOKUP($B144,casostestes[#Data],6)),"-")</f>
        <v>-</v>
      </c>
      <c r="I144" s="50" t="str">
        <f>IFERROR(IF(VLOOKUP($B144,casostestes[#Data],8)=0,"-",VLOOKUP($B144,casostestes[#Data],8)),"-")</f>
        <v>-</v>
      </c>
      <c r="J144" s="50" t="str">
        <f>IFERROR(IF(VLOOKUP($B144,casostestes[#Data],9)=0,"-",VLOOKUP($B144,casostestes[#Data],9)),"-")</f>
        <v>-</v>
      </c>
      <c r="K144" s="51"/>
      <c r="L144" s="119"/>
      <c r="M144" s="53"/>
      <c r="N144" s="54"/>
      <c r="O144" s="54"/>
      <c r="P144" s="55"/>
    </row>
    <row r="145" spans="2:16">
      <c r="B145" s="56" t="str">
        <f>IF(ISERR(casostestes[[#This Row],[ID]]),"-",casostestes[[#This Row],[ID]])</f>
        <v>-</v>
      </c>
      <c r="C145" s="49" t="str">
        <f>IFERROR(IF(VLOOKUP($B145,casostestes[#Data],10)=0,"Não",VLOOKUP($B145,casostestes[#Data],10)), "-")</f>
        <v>-</v>
      </c>
      <c r="D145" s="50" t="str">
        <f>IFERROR(IF(VLOOKUP($B145,casostestes[#Data],2)=0,"-",VLOOKUP($B145,casostestes[#Data],2)), "-")</f>
        <v>-</v>
      </c>
      <c r="E145" s="50" t="str">
        <f>IFERROR(IF(VLOOKUP($B145,casostestes[#Data],3)=0,"-",VLOOKUP($B145,casostestes[#Data],3)), "-")</f>
        <v>-</v>
      </c>
      <c r="F145" s="50" t="str">
        <f>IFERROR(IF(VLOOKUP($B145,casostestes[#Data],4)=0,"-",VLOOKUP($B145,casostestes[#Data],4)),"-")</f>
        <v>-</v>
      </c>
      <c r="G145" s="50" t="str">
        <f>IFERROR(IF(VLOOKUP($B145,casostestes[#Data],5)=0,"-",VLOOKUP($B145,casostestes[#Data],5)),"-")</f>
        <v>-</v>
      </c>
      <c r="H145" s="50" t="str">
        <f>IFERROR(IF(VLOOKUP($B145,casostestes[#Data],6)=0,"-",VLOOKUP($B145,casostestes[#Data],6)),"-")</f>
        <v>-</v>
      </c>
      <c r="I145" s="50" t="str">
        <f>IFERROR(IF(VLOOKUP($B145,casostestes[#Data],8)=0,"-",VLOOKUP($B145,casostestes[#Data],8)),"-")</f>
        <v>-</v>
      </c>
      <c r="J145" s="50" t="str">
        <f>IFERROR(IF(VLOOKUP($B145,casostestes[#Data],9)=0,"-",VLOOKUP($B145,casostestes[#Data],9)),"-")</f>
        <v>-</v>
      </c>
      <c r="K145" s="51"/>
      <c r="L145" s="119"/>
      <c r="M145" s="53"/>
      <c r="N145" s="54"/>
      <c r="O145" s="54"/>
      <c r="P145" s="55"/>
    </row>
    <row r="146" spans="2:16">
      <c r="B146" s="56" t="str">
        <f>IF(ISERR(casostestes[[#This Row],[ID]]),"-",casostestes[[#This Row],[ID]])</f>
        <v>-</v>
      </c>
      <c r="C146" s="49" t="str">
        <f>IFERROR(IF(VLOOKUP($B146,casostestes[#Data],10)=0,"Não",VLOOKUP($B146,casostestes[#Data],10)), "-")</f>
        <v>-</v>
      </c>
      <c r="D146" s="50" t="str">
        <f>IFERROR(IF(VLOOKUP($B146,casostestes[#Data],2)=0,"-",VLOOKUP($B146,casostestes[#Data],2)), "-")</f>
        <v>-</v>
      </c>
      <c r="E146" s="50" t="str">
        <f>IFERROR(IF(VLOOKUP($B146,casostestes[#Data],3)=0,"-",VLOOKUP($B146,casostestes[#Data],3)), "-")</f>
        <v>-</v>
      </c>
      <c r="F146" s="50" t="str">
        <f>IFERROR(IF(VLOOKUP($B146,casostestes[#Data],4)=0,"-",VLOOKUP($B146,casostestes[#Data],4)),"-")</f>
        <v>-</v>
      </c>
      <c r="G146" s="50" t="str">
        <f>IFERROR(IF(VLOOKUP($B146,casostestes[#Data],5)=0,"-",VLOOKUP($B146,casostestes[#Data],5)),"-")</f>
        <v>-</v>
      </c>
      <c r="H146" s="50" t="str">
        <f>IFERROR(IF(VLOOKUP($B146,casostestes[#Data],6)=0,"-",VLOOKUP($B146,casostestes[#Data],6)),"-")</f>
        <v>-</v>
      </c>
      <c r="I146" s="50" t="str">
        <f>IFERROR(IF(VLOOKUP($B146,casostestes[#Data],8)=0,"-",VLOOKUP($B146,casostestes[#Data],8)),"-")</f>
        <v>-</v>
      </c>
      <c r="J146" s="50" t="str">
        <f>IFERROR(IF(VLOOKUP($B146,casostestes[#Data],9)=0,"-",VLOOKUP($B146,casostestes[#Data],9)),"-")</f>
        <v>-</v>
      </c>
      <c r="K146" s="51"/>
      <c r="L146" s="119"/>
      <c r="M146" s="53"/>
      <c r="N146" s="54"/>
      <c r="O146" s="54"/>
      <c r="P146" s="55"/>
    </row>
    <row r="147" spans="2:16">
      <c r="B147" s="56" t="str">
        <f>IF(ISERR(casostestes[[#This Row],[ID]]),"-",casostestes[[#This Row],[ID]])</f>
        <v>-</v>
      </c>
      <c r="C147" s="49" t="str">
        <f>IFERROR(IF(VLOOKUP($B147,casostestes[#Data],10)=0,"Não",VLOOKUP($B147,casostestes[#Data],10)), "-")</f>
        <v>-</v>
      </c>
      <c r="D147" s="50" t="str">
        <f>IFERROR(IF(VLOOKUP($B147,casostestes[#Data],2)=0,"-",VLOOKUP($B147,casostestes[#Data],2)), "-")</f>
        <v>-</v>
      </c>
      <c r="E147" s="50" t="str">
        <f>IFERROR(IF(VLOOKUP($B147,casostestes[#Data],3)=0,"-",VLOOKUP($B147,casostestes[#Data],3)), "-")</f>
        <v>-</v>
      </c>
      <c r="F147" s="50" t="str">
        <f>IFERROR(IF(VLOOKUP($B147,casostestes[#Data],4)=0,"-",VLOOKUP($B147,casostestes[#Data],4)),"-")</f>
        <v>-</v>
      </c>
      <c r="G147" s="50" t="str">
        <f>IFERROR(IF(VLOOKUP($B147,casostestes[#Data],5)=0,"-",VLOOKUP($B147,casostestes[#Data],5)),"-")</f>
        <v>-</v>
      </c>
      <c r="H147" s="50" t="str">
        <f>IFERROR(IF(VLOOKUP($B147,casostestes[#Data],6)=0,"-",VLOOKUP($B147,casostestes[#Data],6)),"-")</f>
        <v>-</v>
      </c>
      <c r="I147" s="50" t="str">
        <f>IFERROR(IF(VLOOKUP($B147,casostestes[#Data],8)=0,"-",VLOOKUP($B147,casostestes[#Data],8)),"-")</f>
        <v>-</v>
      </c>
      <c r="J147" s="50" t="str">
        <f>IFERROR(IF(VLOOKUP($B147,casostestes[#Data],9)=0,"-",VLOOKUP($B147,casostestes[#Data],9)),"-")</f>
        <v>-</v>
      </c>
      <c r="K147" s="51"/>
      <c r="L147" s="119"/>
      <c r="M147" s="53"/>
      <c r="N147" s="54"/>
      <c r="O147" s="54"/>
      <c r="P147" s="55"/>
    </row>
    <row r="148" spans="2:16">
      <c r="B148" s="56" t="str">
        <f>IF(ISERR(casostestes[[#This Row],[ID]]),"-",casostestes[[#This Row],[ID]])</f>
        <v>-</v>
      </c>
      <c r="C148" s="49" t="str">
        <f>IFERROR(IF(VLOOKUP($B148,casostestes[#Data],10)=0,"Não",VLOOKUP($B148,casostestes[#Data],10)), "-")</f>
        <v>-</v>
      </c>
      <c r="D148" s="50" t="str">
        <f>IFERROR(IF(VLOOKUP($B148,casostestes[#Data],2)=0,"-",VLOOKUP($B148,casostestes[#Data],2)), "-")</f>
        <v>-</v>
      </c>
      <c r="E148" s="50" t="str">
        <f>IFERROR(IF(VLOOKUP($B148,casostestes[#Data],3)=0,"-",VLOOKUP($B148,casostestes[#Data],3)), "-")</f>
        <v>-</v>
      </c>
      <c r="F148" s="50" t="str">
        <f>IFERROR(IF(VLOOKUP($B148,casostestes[#Data],4)=0,"-",VLOOKUP($B148,casostestes[#Data],4)),"-")</f>
        <v>-</v>
      </c>
      <c r="G148" s="50" t="str">
        <f>IFERROR(IF(VLOOKUP($B148,casostestes[#Data],5)=0,"-",VLOOKUP($B148,casostestes[#Data],5)),"-")</f>
        <v>-</v>
      </c>
      <c r="H148" s="50" t="str">
        <f>IFERROR(IF(VLOOKUP($B148,casostestes[#Data],6)=0,"-",VLOOKUP($B148,casostestes[#Data],6)),"-")</f>
        <v>-</v>
      </c>
      <c r="I148" s="50" t="str">
        <f>IFERROR(IF(VLOOKUP($B148,casostestes[#Data],8)=0,"-",VLOOKUP($B148,casostestes[#Data],8)),"-")</f>
        <v>-</v>
      </c>
      <c r="J148" s="50" t="str">
        <f>IFERROR(IF(VLOOKUP($B148,casostestes[#Data],9)=0,"-",VLOOKUP($B148,casostestes[#Data],9)),"-")</f>
        <v>-</v>
      </c>
      <c r="K148" s="51"/>
      <c r="L148" s="119"/>
      <c r="M148" s="53"/>
      <c r="N148" s="54"/>
      <c r="O148" s="54"/>
      <c r="P148" s="55"/>
    </row>
    <row r="149" spans="2:16">
      <c r="B149" s="56" t="str">
        <f>IF(ISERR(casostestes[[#This Row],[ID]]),"-",casostestes[[#This Row],[ID]])</f>
        <v>-</v>
      </c>
      <c r="C149" s="49" t="str">
        <f>IFERROR(IF(VLOOKUP($B149,casostestes[#Data],10)=0,"Não",VLOOKUP($B149,casostestes[#Data],10)), "-")</f>
        <v>-</v>
      </c>
      <c r="D149" s="50" t="str">
        <f>IFERROR(IF(VLOOKUP($B149,casostestes[#Data],2)=0,"-",VLOOKUP($B149,casostestes[#Data],2)), "-")</f>
        <v>-</v>
      </c>
      <c r="E149" s="50" t="str">
        <f>IFERROR(IF(VLOOKUP($B149,casostestes[#Data],3)=0,"-",VLOOKUP($B149,casostestes[#Data],3)), "-")</f>
        <v>-</v>
      </c>
      <c r="F149" s="50" t="str">
        <f>IFERROR(IF(VLOOKUP($B149,casostestes[#Data],4)=0,"-",VLOOKUP($B149,casostestes[#Data],4)),"-")</f>
        <v>-</v>
      </c>
      <c r="G149" s="50" t="str">
        <f>IFERROR(IF(VLOOKUP($B149,casostestes[#Data],5)=0,"-",VLOOKUP($B149,casostestes[#Data],5)),"-")</f>
        <v>-</v>
      </c>
      <c r="H149" s="50" t="str">
        <f>IFERROR(IF(VLOOKUP($B149,casostestes[#Data],6)=0,"-",VLOOKUP($B149,casostestes[#Data],6)),"-")</f>
        <v>-</v>
      </c>
      <c r="I149" s="50" t="str">
        <f>IFERROR(IF(VLOOKUP($B149,casostestes[#Data],8)=0,"-",VLOOKUP($B149,casostestes[#Data],8)),"-")</f>
        <v>-</v>
      </c>
      <c r="J149" s="50" t="str">
        <f>IFERROR(IF(VLOOKUP($B149,casostestes[#Data],9)=0,"-",VLOOKUP($B149,casostestes[#Data],9)),"-")</f>
        <v>-</v>
      </c>
      <c r="K149" s="51"/>
      <c r="L149" s="119"/>
      <c r="M149" s="53"/>
      <c r="N149" s="54"/>
      <c r="O149" s="54"/>
      <c r="P149" s="55"/>
    </row>
    <row r="150" spans="2:16">
      <c r="B150" s="56" t="str">
        <f>IF(ISERR(casostestes[[#This Row],[ID]]),"-",casostestes[[#This Row],[ID]])</f>
        <v>-</v>
      </c>
      <c r="C150" s="49" t="str">
        <f>IFERROR(IF(VLOOKUP($B150,casostestes[#Data],10)=0,"Não",VLOOKUP($B150,casostestes[#Data],10)), "-")</f>
        <v>-</v>
      </c>
      <c r="D150" s="50" t="str">
        <f>IFERROR(IF(VLOOKUP($B150,casostestes[#Data],2)=0,"-",VLOOKUP($B150,casostestes[#Data],2)), "-")</f>
        <v>-</v>
      </c>
      <c r="E150" s="50" t="str">
        <f>IFERROR(IF(VLOOKUP($B150,casostestes[#Data],3)=0,"-",VLOOKUP($B150,casostestes[#Data],3)), "-")</f>
        <v>-</v>
      </c>
      <c r="F150" s="50" t="str">
        <f>IFERROR(IF(VLOOKUP($B150,casostestes[#Data],4)=0,"-",VLOOKUP($B150,casostestes[#Data],4)),"-")</f>
        <v>-</v>
      </c>
      <c r="G150" s="50" t="str">
        <f>IFERROR(IF(VLOOKUP($B150,casostestes[#Data],5)=0,"-",VLOOKUP($B150,casostestes[#Data],5)),"-")</f>
        <v>-</v>
      </c>
      <c r="H150" s="50" t="str">
        <f>IFERROR(IF(VLOOKUP($B150,casostestes[#Data],6)=0,"-",VLOOKUP($B150,casostestes[#Data],6)),"-")</f>
        <v>-</v>
      </c>
      <c r="I150" s="50" t="str">
        <f>IFERROR(IF(VLOOKUP($B150,casostestes[#Data],8)=0,"-",VLOOKUP($B150,casostestes[#Data],8)),"-")</f>
        <v>-</v>
      </c>
      <c r="J150" s="50" t="str">
        <f>IFERROR(IF(VLOOKUP($B150,casostestes[#Data],9)=0,"-",VLOOKUP($B150,casostestes[#Data],9)),"-")</f>
        <v>-</v>
      </c>
      <c r="K150" s="51"/>
      <c r="L150" s="119"/>
      <c r="M150" s="53"/>
      <c r="N150" s="54"/>
      <c r="O150" s="54"/>
      <c r="P150" s="55"/>
    </row>
    <row r="151" spans="2:16">
      <c r="B151" s="56" t="str">
        <f>IF(ISERR(casostestes[[#This Row],[ID]]),"-",casostestes[[#This Row],[ID]])</f>
        <v>-</v>
      </c>
      <c r="C151" s="49" t="str">
        <f>IFERROR(IF(VLOOKUP($B151,casostestes[#Data],10)=0,"Não",VLOOKUP($B151,casostestes[#Data],10)), "-")</f>
        <v>-</v>
      </c>
      <c r="D151" s="50" t="str">
        <f>IFERROR(IF(VLOOKUP($B151,casostestes[#Data],2)=0,"-",VLOOKUP($B151,casostestes[#Data],2)), "-")</f>
        <v>-</v>
      </c>
      <c r="E151" s="50" t="str">
        <f>IFERROR(IF(VLOOKUP($B151,casostestes[#Data],3)=0,"-",VLOOKUP($B151,casostestes[#Data],3)), "-")</f>
        <v>-</v>
      </c>
      <c r="F151" s="50" t="str">
        <f>IFERROR(IF(VLOOKUP($B151,casostestes[#Data],4)=0,"-",VLOOKUP($B151,casostestes[#Data],4)),"-")</f>
        <v>-</v>
      </c>
      <c r="G151" s="50" t="str">
        <f>IFERROR(IF(VLOOKUP($B151,casostestes[#Data],5)=0,"-",VLOOKUP($B151,casostestes[#Data],5)),"-")</f>
        <v>-</v>
      </c>
      <c r="H151" s="50" t="str">
        <f>IFERROR(IF(VLOOKUP($B151,casostestes[#Data],6)=0,"-",VLOOKUP($B151,casostestes[#Data],6)),"-")</f>
        <v>-</v>
      </c>
      <c r="I151" s="50" t="str">
        <f>IFERROR(IF(VLOOKUP($B151,casostestes[#Data],8)=0,"-",VLOOKUP($B151,casostestes[#Data],8)),"-")</f>
        <v>-</v>
      </c>
      <c r="J151" s="50" t="str">
        <f>IFERROR(IF(VLOOKUP($B151,casostestes[#Data],9)=0,"-",VLOOKUP($B151,casostestes[#Data],9)),"-")</f>
        <v>-</v>
      </c>
      <c r="K151" s="51"/>
      <c r="L151" s="119"/>
      <c r="M151" s="53"/>
      <c r="N151" s="54"/>
      <c r="O151" s="54"/>
      <c r="P151" s="55"/>
    </row>
    <row r="152" spans="2:16">
      <c r="B152" s="56" t="str">
        <f>IF(ISERR(casostestes[[#This Row],[ID]]),"-",casostestes[[#This Row],[ID]])</f>
        <v>-</v>
      </c>
      <c r="C152" s="49" t="str">
        <f>IFERROR(IF(VLOOKUP($B152,casostestes[#Data],10)=0,"Não",VLOOKUP($B152,casostestes[#Data],10)), "-")</f>
        <v>-</v>
      </c>
      <c r="D152" s="50" t="str">
        <f>IFERROR(IF(VLOOKUP($B152,casostestes[#Data],2)=0,"-",VLOOKUP($B152,casostestes[#Data],2)), "-")</f>
        <v>-</v>
      </c>
      <c r="E152" s="50" t="str">
        <f>IFERROR(IF(VLOOKUP($B152,casostestes[#Data],3)=0,"-",VLOOKUP($B152,casostestes[#Data],3)), "-")</f>
        <v>-</v>
      </c>
      <c r="F152" s="50" t="str">
        <f>IFERROR(IF(VLOOKUP($B152,casostestes[#Data],4)=0,"-",VLOOKUP($B152,casostestes[#Data],4)),"-")</f>
        <v>-</v>
      </c>
      <c r="G152" s="50" t="str">
        <f>IFERROR(IF(VLOOKUP($B152,casostestes[#Data],5)=0,"-",VLOOKUP($B152,casostestes[#Data],5)),"-")</f>
        <v>-</v>
      </c>
      <c r="H152" s="50" t="str">
        <f>IFERROR(IF(VLOOKUP($B152,casostestes[#Data],6)=0,"-",VLOOKUP($B152,casostestes[#Data],6)),"-")</f>
        <v>-</v>
      </c>
      <c r="I152" s="50" t="str">
        <f>IFERROR(IF(VLOOKUP($B152,casostestes[#Data],8)=0,"-",VLOOKUP($B152,casostestes[#Data],8)),"-")</f>
        <v>-</v>
      </c>
      <c r="J152" s="50" t="str">
        <f>IFERROR(IF(VLOOKUP($B152,casostestes[#Data],9)=0,"-",VLOOKUP($B152,casostestes[#Data],9)),"-")</f>
        <v>-</v>
      </c>
      <c r="K152" s="51"/>
      <c r="L152" s="119"/>
      <c r="M152" s="53"/>
      <c r="N152" s="54"/>
      <c r="O152" s="54"/>
      <c r="P152" s="55"/>
    </row>
    <row r="153" spans="2:16">
      <c r="B153" s="56" t="str">
        <f>IF(ISERR(casostestes[[#This Row],[ID]]),"-",casostestes[[#This Row],[ID]])</f>
        <v>-</v>
      </c>
      <c r="C153" s="49" t="str">
        <f>IFERROR(IF(VLOOKUP($B153,casostestes[#Data],10)=0,"Não",VLOOKUP($B153,casostestes[#Data],10)), "-")</f>
        <v>-</v>
      </c>
      <c r="D153" s="50" t="str">
        <f>IFERROR(IF(VLOOKUP($B153,casostestes[#Data],2)=0,"-",VLOOKUP($B153,casostestes[#Data],2)), "-")</f>
        <v>-</v>
      </c>
      <c r="E153" s="50" t="str">
        <f>IFERROR(IF(VLOOKUP($B153,casostestes[#Data],3)=0,"-",VLOOKUP($B153,casostestes[#Data],3)), "-")</f>
        <v>-</v>
      </c>
      <c r="F153" s="50" t="str">
        <f>IFERROR(IF(VLOOKUP($B153,casostestes[#Data],4)=0,"-",VLOOKUP($B153,casostestes[#Data],4)),"-")</f>
        <v>-</v>
      </c>
      <c r="G153" s="50" t="str">
        <f>IFERROR(IF(VLOOKUP($B153,casostestes[#Data],5)=0,"-",VLOOKUP($B153,casostestes[#Data],5)),"-")</f>
        <v>-</v>
      </c>
      <c r="H153" s="50" t="str">
        <f>IFERROR(IF(VLOOKUP($B153,casostestes[#Data],6)=0,"-",VLOOKUP($B153,casostestes[#Data],6)),"-")</f>
        <v>-</v>
      </c>
      <c r="I153" s="50" t="str">
        <f>IFERROR(IF(VLOOKUP($B153,casostestes[#Data],8)=0,"-",VLOOKUP($B153,casostestes[#Data],8)),"-")</f>
        <v>-</v>
      </c>
      <c r="J153" s="50" t="str">
        <f>IFERROR(IF(VLOOKUP($B153,casostestes[#Data],9)=0,"-",VLOOKUP($B153,casostestes[#Data],9)),"-")</f>
        <v>-</v>
      </c>
      <c r="K153" s="51"/>
      <c r="L153" s="119"/>
      <c r="M153" s="53"/>
      <c r="N153" s="54"/>
      <c r="O153" s="54"/>
      <c r="P153" s="55"/>
    </row>
    <row r="154" spans="2:16">
      <c r="B154" s="56" t="str">
        <f>IF(ISERR(casostestes[[#This Row],[ID]]),"-",casostestes[[#This Row],[ID]])</f>
        <v>-</v>
      </c>
      <c r="C154" s="49" t="str">
        <f>IFERROR(IF(VLOOKUP($B154,casostestes[#Data],10)=0,"Não",VLOOKUP($B154,casostestes[#Data],10)), "-")</f>
        <v>-</v>
      </c>
      <c r="D154" s="50" t="str">
        <f>IFERROR(IF(VLOOKUP($B154,casostestes[#Data],2)=0,"-",VLOOKUP($B154,casostestes[#Data],2)), "-")</f>
        <v>-</v>
      </c>
      <c r="E154" s="50" t="str">
        <f>IFERROR(IF(VLOOKUP($B154,casostestes[#Data],3)=0,"-",VLOOKUP($B154,casostestes[#Data],3)), "-")</f>
        <v>-</v>
      </c>
      <c r="F154" s="50" t="str">
        <f>IFERROR(IF(VLOOKUP($B154,casostestes[#Data],4)=0,"-",VLOOKUP($B154,casostestes[#Data],4)),"-")</f>
        <v>-</v>
      </c>
      <c r="G154" s="50" t="str">
        <f>IFERROR(IF(VLOOKUP($B154,casostestes[#Data],5)=0,"-",VLOOKUP($B154,casostestes[#Data],5)),"-")</f>
        <v>-</v>
      </c>
      <c r="H154" s="50" t="str">
        <f>IFERROR(IF(VLOOKUP($B154,casostestes[#Data],6)=0,"-",VLOOKUP($B154,casostestes[#Data],6)),"-")</f>
        <v>-</v>
      </c>
      <c r="I154" s="50" t="str">
        <f>IFERROR(IF(VLOOKUP($B154,casostestes[#Data],8)=0,"-",VLOOKUP($B154,casostestes[#Data],8)),"-")</f>
        <v>-</v>
      </c>
      <c r="J154" s="50" t="str">
        <f>IFERROR(IF(VLOOKUP($B154,casostestes[#Data],9)=0,"-",VLOOKUP($B154,casostestes[#Data],9)),"-")</f>
        <v>-</v>
      </c>
      <c r="K154" s="51"/>
      <c r="L154" s="119"/>
      <c r="M154" s="53"/>
      <c r="N154" s="54"/>
      <c r="O154" s="54"/>
      <c r="P154" s="55"/>
    </row>
    <row r="155" spans="2:16">
      <c r="B155" s="56" t="str">
        <f>IF(ISERR(casostestes[[#This Row],[ID]]),"-",casostestes[[#This Row],[ID]])</f>
        <v>-</v>
      </c>
      <c r="C155" s="49" t="str">
        <f>IFERROR(IF(VLOOKUP($B155,casostestes[#Data],10)=0,"Não",VLOOKUP($B155,casostestes[#Data],10)), "-")</f>
        <v>-</v>
      </c>
      <c r="D155" s="50" t="str">
        <f>IFERROR(IF(VLOOKUP($B155,casostestes[#Data],2)=0,"-",VLOOKUP($B155,casostestes[#Data],2)), "-")</f>
        <v>-</v>
      </c>
      <c r="E155" s="50" t="str">
        <f>IFERROR(IF(VLOOKUP($B155,casostestes[#Data],3)=0,"-",VLOOKUP($B155,casostestes[#Data],3)), "-")</f>
        <v>-</v>
      </c>
      <c r="F155" s="50" t="str">
        <f>IFERROR(IF(VLOOKUP($B155,casostestes[#Data],4)=0,"-",VLOOKUP($B155,casostestes[#Data],4)),"-")</f>
        <v>-</v>
      </c>
      <c r="G155" s="50" t="str">
        <f>IFERROR(IF(VLOOKUP($B155,casostestes[#Data],5)=0,"-",VLOOKUP($B155,casostestes[#Data],5)),"-")</f>
        <v>-</v>
      </c>
      <c r="H155" s="50" t="str">
        <f>IFERROR(IF(VLOOKUP($B155,casostestes[#Data],6)=0,"-",VLOOKUP($B155,casostestes[#Data],6)),"-")</f>
        <v>-</v>
      </c>
      <c r="I155" s="50" t="str">
        <f>IFERROR(IF(VLOOKUP($B155,casostestes[#Data],8)=0,"-",VLOOKUP($B155,casostestes[#Data],8)),"-")</f>
        <v>-</v>
      </c>
      <c r="J155" s="50" t="str">
        <f>IFERROR(IF(VLOOKUP($B155,casostestes[#Data],9)=0,"-",VLOOKUP($B155,casostestes[#Data],9)),"-")</f>
        <v>-</v>
      </c>
      <c r="K155" s="51"/>
      <c r="L155" s="119"/>
      <c r="M155" s="53"/>
      <c r="N155" s="54"/>
      <c r="O155" s="54"/>
      <c r="P155" s="55"/>
    </row>
    <row r="156" spans="2:16">
      <c r="B156" s="56" t="str">
        <f>IF(ISERR(casostestes[[#This Row],[ID]]),"-",casostestes[[#This Row],[ID]])</f>
        <v>-</v>
      </c>
      <c r="C156" s="49" t="str">
        <f>IFERROR(IF(VLOOKUP($B156,casostestes[#Data],10)=0,"Não",VLOOKUP($B156,casostestes[#Data],10)), "-")</f>
        <v>-</v>
      </c>
      <c r="D156" s="50" t="str">
        <f>IFERROR(IF(VLOOKUP($B156,casostestes[#Data],2)=0,"-",VLOOKUP($B156,casostestes[#Data],2)), "-")</f>
        <v>-</v>
      </c>
      <c r="E156" s="50" t="str">
        <f>IFERROR(IF(VLOOKUP($B156,casostestes[#Data],3)=0,"-",VLOOKUP($B156,casostestes[#Data],3)), "-")</f>
        <v>-</v>
      </c>
      <c r="F156" s="50" t="str">
        <f>IFERROR(IF(VLOOKUP($B156,casostestes[#Data],4)=0,"-",VLOOKUP($B156,casostestes[#Data],4)),"-")</f>
        <v>-</v>
      </c>
      <c r="G156" s="50" t="str">
        <f>IFERROR(IF(VLOOKUP($B156,casostestes[#Data],5)=0,"-",VLOOKUP($B156,casostestes[#Data],5)),"-")</f>
        <v>-</v>
      </c>
      <c r="H156" s="50" t="str">
        <f>IFERROR(IF(VLOOKUP($B156,casostestes[#Data],6)=0,"-",VLOOKUP($B156,casostestes[#Data],6)),"-")</f>
        <v>-</v>
      </c>
      <c r="I156" s="50" t="str">
        <f>IFERROR(IF(VLOOKUP($B156,casostestes[#Data],8)=0,"-",VLOOKUP($B156,casostestes[#Data],8)),"-")</f>
        <v>-</v>
      </c>
      <c r="J156" s="50" t="str">
        <f>IFERROR(IF(VLOOKUP($B156,casostestes[#Data],9)=0,"-",VLOOKUP($B156,casostestes[#Data],9)),"-")</f>
        <v>-</v>
      </c>
      <c r="K156" s="51"/>
      <c r="L156" s="119"/>
      <c r="M156" s="53"/>
      <c r="N156" s="54"/>
      <c r="O156" s="54"/>
      <c r="P156" s="55"/>
    </row>
    <row r="157" spans="2:16">
      <c r="B157" s="56" t="str">
        <f>IF(ISERR(casostestes[[#This Row],[ID]]),"-",casostestes[[#This Row],[ID]])</f>
        <v>-</v>
      </c>
      <c r="C157" s="49" t="str">
        <f>IFERROR(IF(VLOOKUP($B157,casostestes[#Data],10)=0,"Não",VLOOKUP($B157,casostestes[#Data],10)), "-")</f>
        <v>-</v>
      </c>
      <c r="D157" s="50" t="str">
        <f>IFERROR(IF(VLOOKUP($B157,casostestes[#Data],2)=0,"-",VLOOKUP($B157,casostestes[#Data],2)), "-")</f>
        <v>-</v>
      </c>
      <c r="E157" s="50" t="str">
        <f>IFERROR(IF(VLOOKUP($B157,casostestes[#Data],3)=0,"-",VLOOKUP($B157,casostestes[#Data],3)), "-")</f>
        <v>-</v>
      </c>
      <c r="F157" s="50" t="str">
        <f>IFERROR(IF(VLOOKUP($B157,casostestes[#Data],4)=0,"-",VLOOKUP($B157,casostestes[#Data],4)),"-")</f>
        <v>-</v>
      </c>
      <c r="G157" s="50" t="str">
        <f>IFERROR(IF(VLOOKUP($B157,casostestes[#Data],5)=0,"-",VLOOKUP($B157,casostestes[#Data],5)),"-")</f>
        <v>-</v>
      </c>
      <c r="H157" s="50" t="str">
        <f>IFERROR(IF(VLOOKUP($B157,casostestes[#Data],6)=0,"-",VLOOKUP($B157,casostestes[#Data],6)),"-")</f>
        <v>-</v>
      </c>
      <c r="I157" s="50" t="str">
        <f>IFERROR(IF(VLOOKUP($B157,casostestes[#Data],8)=0,"-",VLOOKUP($B157,casostestes[#Data],8)),"-")</f>
        <v>-</v>
      </c>
      <c r="J157" s="50" t="str">
        <f>IFERROR(IF(VLOOKUP($B157,casostestes[#Data],9)=0,"-",VLOOKUP($B157,casostestes[#Data],9)),"-")</f>
        <v>-</v>
      </c>
      <c r="K157" s="51"/>
      <c r="L157" s="119"/>
      <c r="M157" s="53"/>
      <c r="N157" s="54"/>
      <c r="O157" s="54"/>
      <c r="P157" s="55"/>
    </row>
    <row r="158" spans="2:16">
      <c r="B158" s="56" t="str">
        <f>IF(ISERR(casostestes[[#This Row],[ID]]),"-",casostestes[[#This Row],[ID]])</f>
        <v>-</v>
      </c>
      <c r="C158" s="49" t="str">
        <f>IFERROR(IF(VLOOKUP($B158,casostestes[#Data],10)=0,"Não",VLOOKUP($B158,casostestes[#Data],10)), "-")</f>
        <v>-</v>
      </c>
      <c r="D158" s="50" t="str">
        <f>IFERROR(IF(VLOOKUP($B158,casostestes[#Data],2)=0,"-",VLOOKUP($B158,casostestes[#Data],2)), "-")</f>
        <v>-</v>
      </c>
      <c r="E158" s="50" t="str">
        <f>IFERROR(IF(VLOOKUP($B158,casostestes[#Data],3)=0,"-",VLOOKUP($B158,casostestes[#Data],3)), "-")</f>
        <v>-</v>
      </c>
      <c r="F158" s="50" t="str">
        <f>IFERROR(IF(VLOOKUP($B158,casostestes[#Data],4)=0,"-",VLOOKUP($B158,casostestes[#Data],4)),"-")</f>
        <v>-</v>
      </c>
      <c r="G158" s="50" t="str">
        <f>IFERROR(IF(VLOOKUP($B158,casostestes[#Data],5)=0,"-",VLOOKUP($B158,casostestes[#Data],5)),"-")</f>
        <v>-</v>
      </c>
      <c r="H158" s="50" t="str">
        <f>IFERROR(IF(VLOOKUP($B158,casostestes[#Data],6)=0,"-",VLOOKUP($B158,casostestes[#Data],6)),"-")</f>
        <v>-</v>
      </c>
      <c r="I158" s="50" t="str">
        <f>IFERROR(IF(VLOOKUP($B158,casostestes[#Data],8)=0,"-",VLOOKUP($B158,casostestes[#Data],8)),"-")</f>
        <v>-</v>
      </c>
      <c r="J158" s="50" t="str">
        <f>IFERROR(IF(VLOOKUP($B158,casostestes[#Data],9)=0,"-",VLOOKUP($B158,casostestes[#Data],9)),"-")</f>
        <v>-</v>
      </c>
      <c r="K158" s="51"/>
      <c r="L158" s="119"/>
      <c r="M158" s="53"/>
      <c r="N158" s="54"/>
      <c r="O158" s="54"/>
      <c r="P158" s="55"/>
    </row>
    <row r="159" spans="2:16">
      <c r="B159" s="56" t="str">
        <f>IF(ISERR(casostestes[[#This Row],[ID]]),"-",casostestes[[#This Row],[ID]])</f>
        <v>-</v>
      </c>
      <c r="C159" s="49" t="str">
        <f>IFERROR(IF(VLOOKUP($B159,casostestes[#Data],10)=0,"Não",VLOOKUP($B159,casostestes[#Data],10)), "-")</f>
        <v>-</v>
      </c>
      <c r="D159" s="50" t="str">
        <f>IFERROR(IF(VLOOKUP($B159,casostestes[#Data],2)=0,"-",VLOOKUP($B159,casostestes[#Data],2)), "-")</f>
        <v>-</v>
      </c>
      <c r="E159" s="50" t="str">
        <f>IFERROR(IF(VLOOKUP($B159,casostestes[#Data],3)=0,"-",VLOOKUP($B159,casostestes[#Data],3)), "-")</f>
        <v>-</v>
      </c>
      <c r="F159" s="50" t="str">
        <f>IFERROR(IF(VLOOKUP($B159,casostestes[#Data],4)=0,"-",VLOOKUP($B159,casostestes[#Data],4)),"-")</f>
        <v>-</v>
      </c>
      <c r="G159" s="50" t="str">
        <f>IFERROR(IF(VLOOKUP($B159,casostestes[#Data],5)=0,"-",VLOOKUP($B159,casostestes[#Data],5)),"-")</f>
        <v>-</v>
      </c>
      <c r="H159" s="50" t="str">
        <f>IFERROR(IF(VLOOKUP($B159,casostestes[#Data],6)=0,"-",VLOOKUP($B159,casostestes[#Data],6)),"-")</f>
        <v>-</v>
      </c>
      <c r="I159" s="50" t="str">
        <f>IFERROR(IF(VLOOKUP($B159,casostestes[#Data],8)=0,"-",VLOOKUP($B159,casostestes[#Data],8)),"-")</f>
        <v>-</v>
      </c>
      <c r="J159" s="50" t="str">
        <f>IFERROR(IF(VLOOKUP($B159,casostestes[#Data],9)=0,"-",VLOOKUP($B159,casostestes[#Data],9)),"-")</f>
        <v>-</v>
      </c>
      <c r="K159" s="51"/>
      <c r="L159" s="119"/>
      <c r="M159" s="53"/>
      <c r="N159" s="54"/>
      <c r="O159" s="54"/>
      <c r="P159" s="55"/>
    </row>
    <row r="160" spans="2:16">
      <c r="B160" s="56" t="str">
        <f>IF(ISERR(casostestes[[#This Row],[ID]]),"-",casostestes[[#This Row],[ID]])</f>
        <v>-</v>
      </c>
      <c r="C160" s="49" t="str">
        <f>IFERROR(IF(VLOOKUP($B160,casostestes[#Data],10)=0,"Não",VLOOKUP($B160,casostestes[#Data],10)), "-")</f>
        <v>-</v>
      </c>
      <c r="D160" s="50" t="str">
        <f>IFERROR(IF(VLOOKUP($B160,casostestes[#Data],2)=0,"-",VLOOKUP($B160,casostestes[#Data],2)), "-")</f>
        <v>-</v>
      </c>
      <c r="E160" s="50" t="str">
        <f>IFERROR(IF(VLOOKUP($B160,casostestes[#Data],3)=0,"-",VLOOKUP($B160,casostestes[#Data],3)), "-")</f>
        <v>-</v>
      </c>
      <c r="F160" s="50" t="str">
        <f>IFERROR(IF(VLOOKUP($B160,casostestes[#Data],4)=0,"-",VLOOKUP($B160,casostestes[#Data],4)),"-")</f>
        <v>-</v>
      </c>
      <c r="G160" s="50" t="str">
        <f>IFERROR(IF(VLOOKUP($B160,casostestes[#Data],5)=0,"-",VLOOKUP($B160,casostestes[#Data],5)),"-")</f>
        <v>-</v>
      </c>
      <c r="H160" s="50" t="str">
        <f>IFERROR(IF(VLOOKUP($B160,casostestes[#Data],6)=0,"-",VLOOKUP($B160,casostestes[#Data],6)),"-")</f>
        <v>-</v>
      </c>
      <c r="I160" s="50" t="str">
        <f>IFERROR(IF(VLOOKUP($B160,casostestes[#Data],8)=0,"-",VLOOKUP($B160,casostestes[#Data],8)),"-")</f>
        <v>-</v>
      </c>
      <c r="J160" s="50" t="str">
        <f>IFERROR(IF(VLOOKUP($B160,casostestes[#Data],9)=0,"-",VLOOKUP($B160,casostestes[#Data],9)),"-")</f>
        <v>-</v>
      </c>
      <c r="K160" s="51"/>
      <c r="L160" s="119"/>
      <c r="M160" s="53"/>
      <c r="N160" s="54"/>
      <c r="O160" s="54"/>
      <c r="P160" s="55"/>
    </row>
    <row r="161" spans="2:16">
      <c r="B161" s="56" t="str">
        <f>IF(ISERR(casostestes[[#This Row],[ID]]),"-",casostestes[[#This Row],[ID]])</f>
        <v>-</v>
      </c>
      <c r="C161" s="49" t="str">
        <f>IFERROR(IF(VLOOKUP($B161,casostestes[#Data],10)=0,"Não",VLOOKUP($B161,casostestes[#Data],10)), "-")</f>
        <v>-</v>
      </c>
      <c r="D161" s="50" t="str">
        <f>IFERROR(IF(VLOOKUP($B161,casostestes[#Data],2)=0,"-",VLOOKUP($B161,casostestes[#Data],2)), "-")</f>
        <v>-</v>
      </c>
      <c r="E161" s="50" t="str">
        <f>IFERROR(IF(VLOOKUP($B161,casostestes[#Data],3)=0,"-",VLOOKUP($B161,casostestes[#Data],3)), "-")</f>
        <v>-</v>
      </c>
      <c r="F161" s="50" t="str">
        <f>IFERROR(IF(VLOOKUP($B161,casostestes[#Data],4)=0,"-",VLOOKUP($B161,casostestes[#Data],4)),"-")</f>
        <v>-</v>
      </c>
      <c r="G161" s="50" t="str">
        <f>IFERROR(IF(VLOOKUP($B161,casostestes[#Data],5)=0,"-",VLOOKUP($B161,casostestes[#Data],5)),"-")</f>
        <v>-</v>
      </c>
      <c r="H161" s="50" t="str">
        <f>IFERROR(IF(VLOOKUP($B161,casostestes[#Data],6)=0,"-",VLOOKUP($B161,casostestes[#Data],6)),"-")</f>
        <v>-</v>
      </c>
      <c r="I161" s="50" t="str">
        <f>IFERROR(IF(VLOOKUP($B161,casostestes[#Data],8)=0,"-",VLOOKUP($B161,casostestes[#Data],8)),"-")</f>
        <v>-</v>
      </c>
      <c r="J161" s="50" t="str">
        <f>IFERROR(IF(VLOOKUP($B161,casostestes[#Data],9)=0,"-",VLOOKUP($B161,casostestes[#Data],9)),"-")</f>
        <v>-</v>
      </c>
      <c r="K161" s="51"/>
      <c r="L161" s="119"/>
      <c r="M161" s="53"/>
      <c r="N161" s="54"/>
      <c r="O161" s="54"/>
      <c r="P161" s="55"/>
    </row>
    <row r="162" spans="2:16">
      <c r="B162" s="56" t="str">
        <f>IF(ISERR(casostestes[[#This Row],[ID]]),"-",casostestes[[#This Row],[ID]])</f>
        <v>-</v>
      </c>
      <c r="C162" s="49" t="str">
        <f>IFERROR(IF(VLOOKUP($B162,casostestes[#Data],10)=0,"Não",VLOOKUP($B162,casostestes[#Data],10)), "-")</f>
        <v>-</v>
      </c>
      <c r="D162" s="50" t="str">
        <f>IFERROR(IF(VLOOKUP($B162,casostestes[#Data],2)=0,"-",VLOOKUP($B162,casostestes[#Data],2)), "-")</f>
        <v>-</v>
      </c>
      <c r="E162" s="50" t="str">
        <f>IFERROR(IF(VLOOKUP($B162,casostestes[#Data],3)=0,"-",VLOOKUP($B162,casostestes[#Data],3)), "-")</f>
        <v>-</v>
      </c>
      <c r="F162" s="50" t="str">
        <f>IFERROR(IF(VLOOKUP($B162,casostestes[#Data],4)=0,"-",VLOOKUP($B162,casostestes[#Data],4)),"-")</f>
        <v>-</v>
      </c>
      <c r="G162" s="50" t="str">
        <f>IFERROR(IF(VLOOKUP($B162,casostestes[#Data],5)=0,"-",VLOOKUP($B162,casostestes[#Data],5)),"-")</f>
        <v>-</v>
      </c>
      <c r="H162" s="50" t="str">
        <f>IFERROR(IF(VLOOKUP($B162,casostestes[#Data],6)=0,"-",VLOOKUP($B162,casostestes[#Data],6)),"-")</f>
        <v>-</v>
      </c>
      <c r="I162" s="50" t="str">
        <f>IFERROR(IF(VLOOKUP($B162,casostestes[#Data],8)=0,"-",VLOOKUP($B162,casostestes[#Data],8)),"-")</f>
        <v>-</v>
      </c>
      <c r="J162" s="50" t="str">
        <f>IFERROR(IF(VLOOKUP($B162,casostestes[#Data],9)=0,"-",VLOOKUP($B162,casostestes[#Data],9)),"-")</f>
        <v>-</v>
      </c>
      <c r="K162" s="51"/>
      <c r="L162" s="119"/>
      <c r="M162" s="53"/>
      <c r="N162" s="54"/>
      <c r="O162" s="54"/>
      <c r="P162" s="55"/>
    </row>
    <row r="163" spans="2:16">
      <c r="B163" s="56" t="str">
        <f>IF(ISERR(casostestes[[#This Row],[ID]]),"-",casostestes[[#This Row],[ID]])</f>
        <v>-</v>
      </c>
      <c r="C163" s="49" t="str">
        <f>IFERROR(IF(VLOOKUP($B163,casostestes[#Data],10)=0,"Não",VLOOKUP($B163,casostestes[#Data],10)), "-")</f>
        <v>-</v>
      </c>
      <c r="D163" s="50" t="str">
        <f>IFERROR(IF(VLOOKUP($B163,casostestes[#Data],2)=0,"-",VLOOKUP($B163,casostestes[#Data],2)), "-")</f>
        <v>-</v>
      </c>
      <c r="E163" s="50" t="str">
        <f>IFERROR(IF(VLOOKUP($B163,casostestes[#Data],3)=0,"-",VLOOKUP($B163,casostestes[#Data],3)), "-")</f>
        <v>-</v>
      </c>
      <c r="F163" s="50" t="str">
        <f>IFERROR(IF(VLOOKUP($B163,casostestes[#Data],4)=0,"-",VLOOKUP($B163,casostestes[#Data],4)),"-")</f>
        <v>-</v>
      </c>
      <c r="G163" s="50" t="str">
        <f>IFERROR(IF(VLOOKUP($B163,casostestes[#Data],5)=0,"-",VLOOKUP($B163,casostestes[#Data],5)),"-")</f>
        <v>-</v>
      </c>
      <c r="H163" s="50" t="str">
        <f>IFERROR(IF(VLOOKUP($B163,casostestes[#Data],6)=0,"-",VLOOKUP($B163,casostestes[#Data],6)),"-")</f>
        <v>-</v>
      </c>
      <c r="I163" s="50" t="str">
        <f>IFERROR(IF(VLOOKUP($B163,casostestes[#Data],8)=0,"-",VLOOKUP($B163,casostestes[#Data],8)),"-")</f>
        <v>-</v>
      </c>
      <c r="J163" s="50" t="str">
        <f>IFERROR(IF(VLOOKUP($B163,casostestes[#Data],9)=0,"-",VLOOKUP($B163,casostestes[#Data],9)),"-")</f>
        <v>-</v>
      </c>
      <c r="K163" s="51"/>
      <c r="L163" s="119"/>
      <c r="M163" s="53"/>
      <c r="N163" s="54"/>
      <c r="O163" s="54"/>
      <c r="P163" s="55"/>
    </row>
    <row r="164" spans="2:16">
      <c r="B164" s="56" t="str">
        <f>IF(ISERR(casostestes[[#This Row],[ID]]),"-",casostestes[[#This Row],[ID]])</f>
        <v>-</v>
      </c>
      <c r="C164" s="49" t="str">
        <f>IFERROR(IF(VLOOKUP($B164,casostestes[#Data],10)=0,"Não",VLOOKUP($B164,casostestes[#Data],10)), "-")</f>
        <v>-</v>
      </c>
      <c r="D164" s="50" t="str">
        <f>IFERROR(IF(VLOOKUP($B164,casostestes[#Data],2)=0,"-",VLOOKUP($B164,casostestes[#Data],2)), "-")</f>
        <v>-</v>
      </c>
      <c r="E164" s="50" t="str">
        <f>IFERROR(IF(VLOOKUP($B164,casostestes[#Data],3)=0,"-",VLOOKUP($B164,casostestes[#Data],3)), "-")</f>
        <v>-</v>
      </c>
      <c r="F164" s="50" t="str">
        <f>IFERROR(IF(VLOOKUP($B164,casostestes[#Data],4)=0,"-",VLOOKUP($B164,casostestes[#Data],4)),"-")</f>
        <v>-</v>
      </c>
      <c r="G164" s="50" t="str">
        <f>IFERROR(IF(VLOOKUP($B164,casostestes[#Data],5)=0,"-",VLOOKUP($B164,casostestes[#Data],5)),"-")</f>
        <v>-</v>
      </c>
      <c r="H164" s="50" t="str">
        <f>IFERROR(IF(VLOOKUP($B164,casostestes[#Data],6)=0,"-",VLOOKUP($B164,casostestes[#Data],6)),"-")</f>
        <v>-</v>
      </c>
      <c r="I164" s="50" t="str">
        <f>IFERROR(IF(VLOOKUP($B164,casostestes[#Data],8)=0,"-",VLOOKUP($B164,casostestes[#Data],8)),"-")</f>
        <v>-</v>
      </c>
      <c r="J164" s="50" t="str">
        <f>IFERROR(IF(VLOOKUP($B164,casostestes[#Data],9)=0,"-",VLOOKUP($B164,casostestes[#Data],9)),"-")</f>
        <v>-</v>
      </c>
      <c r="K164" s="51"/>
      <c r="L164" s="119"/>
      <c r="M164" s="53"/>
      <c r="N164" s="54"/>
      <c r="O164" s="54"/>
      <c r="P164" s="55"/>
    </row>
    <row r="165" spans="2:16">
      <c r="B165" s="56" t="str">
        <f>IF(ISERR(casostestes[[#This Row],[ID]]),"-",casostestes[[#This Row],[ID]])</f>
        <v>-</v>
      </c>
      <c r="C165" s="49" t="str">
        <f>IFERROR(IF(VLOOKUP($B165,casostestes[#Data],10)=0,"Não",VLOOKUP($B165,casostestes[#Data],10)), "-")</f>
        <v>-</v>
      </c>
      <c r="D165" s="50" t="str">
        <f>IFERROR(IF(VLOOKUP($B165,casostestes[#Data],2)=0,"-",VLOOKUP($B165,casostestes[#Data],2)), "-")</f>
        <v>-</v>
      </c>
      <c r="E165" s="50" t="str">
        <f>IFERROR(IF(VLOOKUP($B165,casostestes[#Data],3)=0,"-",VLOOKUP($B165,casostestes[#Data],3)), "-")</f>
        <v>-</v>
      </c>
      <c r="F165" s="50" t="str">
        <f>IFERROR(IF(VLOOKUP($B165,casostestes[#Data],4)=0,"-",VLOOKUP($B165,casostestes[#Data],4)),"-")</f>
        <v>-</v>
      </c>
      <c r="G165" s="50" t="str">
        <f>IFERROR(IF(VLOOKUP($B165,casostestes[#Data],5)=0,"-",VLOOKUP($B165,casostestes[#Data],5)),"-")</f>
        <v>-</v>
      </c>
      <c r="H165" s="50" t="str">
        <f>IFERROR(IF(VLOOKUP($B165,casostestes[#Data],6)=0,"-",VLOOKUP($B165,casostestes[#Data],6)),"-")</f>
        <v>-</v>
      </c>
      <c r="I165" s="50" t="str">
        <f>IFERROR(IF(VLOOKUP($B165,casostestes[#Data],8)=0,"-",VLOOKUP($B165,casostestes[#Data],8)),"-")</f>
        <v>-</v>
      </c>
      <c r="J165" s="50" t="str">
        <f>IFERROR(IF(VLOOKUP($B165,casostestes[#Data],9)=0,"-",VLOOKUP($B165,casostestes[#Data],9)),"-")</f>
        <v>-</v>
      </c>
      <c r="K165" s="51"/>
      <c r="L165" s="119"/>
      <c r="M165" s="53"/>
      <c r="N165" s="54"/>
      <c r="O165" s="54"/>
      <c r="P165" s="55"/>
    </row>
    <row r="166" spans="2:16">
      <c r="B166" s="56" t="str">
        <f>IF(ISERR(casostestes[[#This Row],[ID]]),"-",casostestes[[#This Row],[ID]])</f>
        <v>-</v>
      </c>
      <c r="C166" s="49" t="str">
        <f>IFERROR(IF(VLOOKUP($B166,casostestes[#Data],10)=0,"Não",VLOOKUP($B166,casostestes[#Data],10)), "-")</f>
        <v>-</v>
      </c>
      <c r="D166" s="50" t="str">
        <f>IFERROR(IF(VLOOKUP($B166,casostestes[#Data],2)=0,"-",VLOOKUP($B166,casostestes[#Data],2)), "-")</f>
        <v>-</v>
      </c>
      <c r="E166" s="50" t="str">
        <f>IFERROR(IF(VLOOKUP($B166,casostestes[#Data],3)=0,"-",VLOOKUP($B166,casostestes[#Data],3)), "-")</f>
        <v>-</v>
      </c>
      <c r="F166" s="50" t="str">
        <f>IFERROR(IF(VLOOKUP($B166,casostestes[#Data],4)=0,"-",VLOOKUP($B166,casostestes[#Data],4)),"-")</f>
        <v>-</v>
      </c>
      <c r="G166" s="50" t="str">
        <f>IFERROR(IF(VLOOKUP($B166,casostestes[#Data],5)=0,"-",VLOOKUP($B166,casostestes[#Data],5)),"-")</f>
        <v>-</v>
      </c>
      <c r="H166" s="50" t="str">
        <f>IFERROR(IF(VLOOKUP($B166,casostestes[#Data],6)=0,"-",VLOOKUP($B166,casostestes[#Data],6)),"-")</f>
        <v>-</v>
      </c>
      <c r="I166" s="50" t="str">
        <f>IFERROR(IF(VLOOKUP($B166,casostestes[#Data],8)=0,"-",VLOOKUP($B166,casostestes[#Data],8)),"-")</f>
        <v>-</v>
      </c>
      <c r="J166" s="50" t="str">
        <f>IFERROR(IF(VLOOKUP($B166,casostestes[#Data],9)=0,"-",VLOOKUP($B166,casostestes[#Data],9)),"-")</f>
        <v>-</v>
      </c>
      <c r="K166" s="51"/>
      <c r="L166" s="119"/>
      <c r="M166" s="53"/>
      <c r="N166" s="54"/>
      <c r="O166" s="54"/>
      <c r="P166" s="55"/>
    </row>
    <row r="167" spans="2:16">
      <c r="B167" s="56" t="str">
        <f>IF(ISERR(casostestes[[#This Row],[ID]]),"-",casostestes[[#This Row],[ID]])</f>
        <v>-</v>
      </c>
      <c r="C167" s="49" t="str">
        <f>IFERROR(IF(VLOOKUP($B167,casostestes[#Data],10)=0,"Não",VLOOKUP($B167,casostestes[#Data],10)), "-")</f>
        <v>-</v>
      </c>
      <c r="D167" s="50" t="str">
        <f>IFERROR(IF(VLOOKUP($B167,casostestes[#Data],2)=0,"-",VLOOKUP($B167,casostestes[#Data],2)), "-")</f>
        <v>-</v>
      </c>
      <c r="E167" s="50" t="str">
        <f>IFERROR(IF(VLOOKUP($B167,casostestes[#Data],3)=0,"-",VLOOKUP($B167,casostestes[#Data],3)), "-")</f>
        <v>-</v>
      </c>
      <c r="F167" s="50" t="str">
        <f>IFERROR(IF(VLOOKUP($B167,casostestes[#Data],4)=0,"-",VLOOKUP($B167,casostestes[#Data],4)),"-")</f>
        <v>-</v>
      </c>
      <c r="G167" s="50" t="str">
        <f>IFERROR(IF(VLOOKUP($B167,casostestes[#Data],5)=0,"-",VLOOKUP($B167,casostestes[#Data],5)),"-")</f>
        <v>-</v>
      </c>
      <c r="H167" s="50" t="str">
        <f>IFERROR(IF(VLOOKUP($B167,casostestes[#Data],6)=0,"-",VLOOKUP($B167,casostestes[#Data],6)),"-")</f>
        <v>-</v>
      </c>
      <c r="I167" s="50" t="str">
        <f>IFERROR(IF(VLOOKUP($B167,casostestes[#Data],8)=0,"-",VLOOKUP($B167,casostestes[#Data],8)),"-")</f>
        <v>-</v>
      </c>
      <c r="J167" s="50" t="str">
        <f>IFERROR(IF(VLOOKUP($B167,casostestes[#Data],9)=0,"-",VLOOKUP($B167,casostestes[#Data],9)),"-")</f>
        <v>-</v>
      </c>
      <c r="K167" s="51"/>
      <c r="L167" s="119"/>
      <c r="M167" s="53"/>
      <c r="N167" s="54"/>
      <c r="O167" s="54"/>
      <c r="P167" s="55"/>
    </row>
    <row r="168" spans="2:16">
      <c r="B168" s="56" t="str">
        <f>IF(ISERR(casostestes[[#This Row],[ID]]),"-",casostestes[[#This Row],[ID]])</f>
        <v>-</v>
      </c>
      <c r="C168" s="49" t="str">
        <f>IFERROR(IF(VLOOKUP($B168,casostestes[#Data],10)=0,"Não",VLOOKUP($B168,casostestes[#Data],10)), "-")</f>
        <v>-</v>
      </c>
      <c r="D168" s="50" t="str">
        <f>IFERROR(IF(VLOOKUP($B168,casostestes[#Data],2)=0,"-",VLOOKUP($B168,casostestes[#Data],2)), "-")</f>
        <v>-</v>
      </c>
      <c r="E168" s="50" t="str">
        <f>IFERROR(IF(VLOOKUP($B168,casostestes[#Data],3)=0,"-",VLOOKUP($B168,casostestes[#Data],3)), "-")</f>
        <v>-</v>
      </c>
      <c r="F168" s="50" t="str">
        <f>IFERROR(IF(VLOOKUP($B168,casostestes[#Data],4)=0,"-",VLOOKUP($B168,casostestes[#Data],4)),"-")</f>
        <v>-</v>
      </c>
      <c r="G168" s="50" t="str">
        <f>IFERROR(IF(VLOOKUP($B168,casostestes[#Data],5)=0,"-",VLOOKUP($B168,casostestes[#Data],5)),"-")</f>
        <v>-</v>
      </c>
      <c r="H168" s="50" t="str">
        <f>IFERROR(IF(VLOOKUP($B168,casostestes[#Data],6)=0,"-",VLOOKUP($B168,casostestes[#Data],6)),"-")</f>
        <v>-</v>
      </c>
      <c r="I168" s="50" t="str">
        <f>IFERROR(IF(VLOOKUP($B168,casostestes[#Data],8)=0,"-",VLOOKUP($B168,casostestes[#Data],8)),"-")</f>
        <v>-</v>
      </c>
      <c r="J168" s="50" t="str">
        <f>IFERROR(IF(VLOOKUP($B168,casostestes[#Data],9)=0,"-",VLOOKUP($B168,casostestes[#Data],9)),"-")</f>
        <v>-</v>
      </c>
      <c r="K168" s="51"/>
      <c r="L168" s="119"/>
      <c r="M168" s="53"/>
      <c r="N168" s="54"/>
      <c r="O168" s="54"/>
      <c r="P168" s="55"/>
    </row>
    <row r="169" spans="2:16">
      <c r="B169" s="56" t="str">
        <f>IF(ISERR(casostestes[[#This Row],[ID]]),"-",casostestes[[#This Row],[ID]])</f>
        <v>-</v>
      </c>
      <c r="C169" s="49" t="str">
        <f>IFERROR(IF(VLOOKUP($B169,casostestes[#Data],10)=0,"Não",VLOOKUP($B169,casostestes[#Data],10)), "-")</f>
        <v>-</v>
      </c>
      <c r="D169" s="50" t="str">
        <f>IFERROR(IF(VLOOKUP($B169,casostestes[#Data],2)=0,"-",VLOOKUP($B169,casostestes[#Data],2)), "-")</f>
        <v>-</v>
      </c>
      <c r="E169" s="50" t="str">
        <f>IFERROR(IF(VLOOKUP($B169,casostestes[#Data],3)=0,"-",VLOOKUP($B169,casostestes[#Data],3)), "-")</f>
        <v>-</v>
      </c>
      <c r="F169" s="50" t="str">
        <f>IFERROR(IF(VLOOKUP($B169,casostestes[#Data],4)=0,"-",VLOOKUP($B169,casostestes[#Data],4)),"-")</f>
        <v>-</v>
      </c>
      <c r="G169" s="50" t="str">
        <f>IFERROR(IF(VLOOKUP($B169,casostestes[#Data],5)=0,"-",VLOOKUP($B169,casostestes[#Data],5)),"-")</f>
        <v>-</v>
      </c>
      <c r="H169" s="50" t="str">
        <f>IFERROR(IF(VLOOKUP($B169,casostestes[#Data],6)=0,"-",VLOOKUP($B169,casostestes[#Data],6)),"-")</f>
        <v>-</v>
      </c>
      <c r="I169" s="50" t="str">
        <f>IFERROR(IF(VLOOKUP($B169,casostestes[#Data],8)=0,"-",VLOOKUP($B169,casostestes[#Data],8)),"-")</f>
        <v>-</v>
      </c>
      <c r="J169" s="50" t="str">
        <f>IFERROR(IF(VLOOKUP($B169,casostestes[#Data],9)=0,"-",VLOOKUP($B169,casostestes[#Data],9)),"-")</f>
        <v>-</v>
      </c>
      <c r="K169" s="51"/>
      <c r="L169" s="119"/>
      <c r="M169" s="53"/>
      <c r="N169" s="54"/>
      <c r="O169" s="54"/>
      <c r="P169" s="55"/>
    </row>
    <row r="170" spans="2:16">
      <c r="B170" s="56" t="str">
        <f>IF(ISERR(casostestes[[#This Row],[ID]]),"-",casostestes[[#This Row],[ID]])</f>
        <v>-</v>
      </c>
      <c r="C170" s="49" t="str">
        <f>IFERROR(IF(VLOOKUP($B170,casostestes[#Data],10)=0,"Não",VLOOKUP($B170,casostestes[#Data],10)), "-")</f>
        <v>-</v>
      </c>
      <c r="D170" s="50" t="str">
        <f>IFERROR(IF(VLOOKUP($B170,casostestes[#Data],2)=0,"-",VLOOKUP($B170,casostestes[#Data],2)), "-")</f>
        <v>-</v>
      </c>
      <c r="E170" s="50" t="str">
        <f>IFERROR(IF(VLOOKUP($B170,casostestes[#Data],3)=0,"-",VLOOKUP($B170,casostestes[#Data],3)), "-")</f>
        <v>-</v>
      </c>
      <c r="F170" s="50" t="str">
        <f>IFERROR(IF(VLOOKUP($B170,casostestes[#Data],4)=0,"-",VLOOKUP($B170,casostestes[#Data],4)),"-")</f>
        <v>-</v>
      </c>
      <c r="G170" s="50" t="str">
        <f>IFERROR(IF(VLOOKUP($B170,casostestes[#Data],5)=0,"-",VLOOKUP($B170,casostestes[#Data],5)),"-")</f>
        <v>-</v>
      </c>
      <c r="H170" s="50" t="str">
        <f>IFERROR(IF(VLOOKUP($B170,casostestes[#Data],6)=0,"-",VLOOKUP($B170,casostestes[#Data],6)),"-")</f>
        <v>-</v>
      </c>
      <c r="I170" s="50" t="str">
        <f>IFERROR(IF(VLOOKUP($B170,casostestes[#Data],8)=0,"-",VLOOKUP($B170,casostestes[#Data],8)),"-")</f>
        <v>-</v>
      </c>
      <c r="J170" s="50" t="str">
        <f>IFERROR(IF(VLOOKUP($B170,casostestes[#Data],9)=0,"-",VLOOKUP($B170,casostestes[#Data],9)),"-")</f>
        <v>-</v>
      </c>
      <c r="K170" s="51"/>
      <c r="L170" s="119"/>
      <c r="M170" s="53"/>
      <c r="N170" s="54"/>
      <c r="O170" s="54"/>
      <c r="P170" s="55"/>
    </row>
    <row r="171" spans="2:16">
      <c r="B171" s="56" t="str">
        <f>IF(ISERR(casostestes[[#This Row],[ID]]),"-",casostestes[[#This Row],[ID]])</f>
        <v>-</v>
      </c>
      <c r="C171" s="49" t="str">
        <f>IFERROR(IF(VLOOKUP($B171,casostestes[#Data],10)=0,"Não",VLOOKUP($B171,casostestes[#Data],10)), "-")</f>
        <v>-</v>
      </c>
      <c r="D171" s="50" t="str">
        <f>IFERROR(IF(VLOOKUP($B171,casostestes[#Data],2)=0,"-",VLOOKUP($B171,casostestes[#Data],2)), "-")</f>
        <v>-</v>
      </c>
      <c r="E171" s="50" t="str">
        <f>IFERROR(IF(VLOOKUP($B171,casostestes[#Data],3)=0,"-",VLOOKUP($B171,casostestes[#Data],3)), "-")</f>
        <v>-</v>
      </c>
      <c r="F171" s="50" t="str">
        <f>IFERROR(IF(VLOOKUP($B171,casostestes[#Data],4)=0,"-",VLOOKUP($B171,casostestes[#Data],4)),"-")</f>
        <v>-</v>
      </c>
      <c r="G171" s="50" t="str">
        <f>IFERROR(IF(VLOOKUP($B171,casostestes[#Data],5)=0,"-",VLOOKUP($B171,casostestes[#Data],5)),"-")</f>
        <v>-</v>
      </c>
      <c r="H171" s="50" t="str">
        <f>IFERROR(IF(VLOOKUP($B171,casostestes[#Data],6)=0,"-",VLOOKUP($B171,casostestes[#Data],6)),"-")</f>
        <v>-</v>
      </c>
      <c r="I171" s="50" t="str">
        <f>IFERROR(IF(VLOOKUP($B171,casostestes[#Data],8)=0,"-",VLOOKUP($B171,casostestes[#Data],8)),"-")</f>
        <v>-</v>
      </c>
      <c r="J171" s="50" t="str">
        <f>IFERROR(IF(VLOOKUP($B171,casostestes[#Data],9)=0,"-",VLOOKUP($B171,casostestes[#Data],9)),"-")</f>
        <v>-</v>
      </c>
      <c r="K171" s="51"/>
      <c r="L171" s="119"/>
      <c r="M171" s="53"/>
      <c r="N171" s="54"/>
      <c r="O171" s="54"/>
      <c r="P171" s="55"/>
    </row>
    <row r="172" spans="2:16">
      <c r="B172" s="56" t="str">
        <f>IF(ISERR(casostestes[[#This Row],[ID]]),"-",casostestes[[#This Row],[ID]])</f>
        <v>-</v>
      </c>
      <c r="C172" s="49" t="str">
        <f>IFERROR(IF(VLOOKUP($B172,casostestes[#Data],10)=0,"Não",VLOOKUP($B172,casostestes[#Data],10)), "-")</f>
        <v>-</v>
      </c>
      <c r="D172" s="50" t="str">
        <f>IFERROR(IF(VLOOKUP($B172,casostestes[#Data],2)=0,"-",VLOOKUP($B172,casostestes[#Data],2)), "-")</f>
        <v>-</v>
      </c>
      <c r="E172" s="50" t="str">
        <f>IFERROR(IF(VLOOKUP($B172,casostestes[#Data],3)=0,"-",VLOOKUP($B172,casostestes[#Data],3)), "-")</f>
        <v>-</v>
      </c>
      <c r="F172" s="50" t="str">
        <f>IFERROR(IF(VLOOKUP($B172,casostestes[#Data],4)=0,"-",VLOOKUP($B172,casostestes[#Data],4)),"-")</f>
        <v>-</v>
      </c>
      <c r="G172" s="50" t="str">
        <f>IFERROR(IF(VLOOKUP($B172,casostestes[#Data],5)=0,"-",VLOOKUP($B172,casostestes[#Data],5)),"-")</f>
        <v>-</v>
      </c>
      <c r="H172" s="50" t="str">
        <f>IFERROR(IF(VLOOKUP($B172,casostestes[#Data],6)=0,"-",VLOOKUP($B172,casostestes[#Data],6)),"-")</f>
        <v>-</v>
      </c>
      <c r="I172" s="50" t="str">
        <f>IFERROR(IF(VLOOKUP($B172,casostestes[#Data],8)=0,"-",VLOOKUP($B172,casostestes[#Data],8)),"-")</f>
        <v>-</v>
      </c>
      <c r="J172" s="50" t="str">
        <f>IFERROR(IF(VLOOKUP($B172,casostestes[#Data],9)=0,"-",VLOOKUP($B172,casostestes[#Data],9)),"-")</f>
        <v>-</v>
      </c>
      <c r="K172" s="51"/>
      <c r="L172" s="119"/>
      <c r="M172" s="53"/>
      <c r="N172" s="54"/>
      <c r="O172" s="54"/>
      <c r="P172" s="55"/>
    </row>
    <row r="173" spans="2:16">
      <c r="B173" s="56" t="str">
        <f>IF(ISERR(casostestes[[#This Row],[ID]]),"-",casostestes[[#This Row],[ID]])</f>
        <v>-</v>
      </c>
      <c r="C173" s="49" t="str">
        <f>IFERROR(IF(VLOOKUP($B173,casostestes[#Data],10)=0,"Não",VLOOKUP($B173,casostestes[#Data],10)), "-")</f>
        <v>-</v>
      </c>
      <c r="D173" s="50" t="str">
        <f>IFERROR(IF(VLOOKUP($B173,casostestes[#Data],2)=0,"-",VLOOKUP($B173,casostestes[#Data],2)), "-")</f>
        <v>-</v>
      </c>
      <c r="E173" s="50" t="str">
        <f>IFERROR(IF(VLOOKUP($B173,casostestes[#Data],3)=0,"-",VLOOKUP($B173,casostestes[#Data],3)), "-")</f>
        <v>-</v>
      </c>
      <c r="F173" s="50" t="str">
        <f>IFERROR(IF(VLOOKUP($B173,casostestes[#Data],4)=0,"-",VLOOKUP($B173,casostestes[#Data],4)),"-")</f>
        <v>-</v>
      </c>
      <c r="G173" s="50" t="str">
        <f>IFERROR(IF(VLOOKUP($B173,casostestes[#Data],5)=0,"-",VLOOKUP($B173,casostestes[#Data],5)),"-")</f>
        <v>-</v>
      </c>
      <c r="H173" s="50" t="str">
        <f>IFERROR(IF(VLOOKUP($B173,casostestes[#Data],6)=0,"-",VLOOKUP($B173,casostestes[#Data],6)),"-")</f>
        <v>-</v>
      </c>
      <c r="I173" s="50" t="str">
        <f>IFERROR(IF(VLOOKUP($B173,casostestes[#Data],8)=0,"-",VLOOKUP($B173,casostestes[#Data],8)),"-")</f>
        <v>-</v>
      </c>
      <c r="J173" s="50" t="str">
        <f>IFERROR(IF(VLOOKUP($B173,casostestes[#Data],9)=0,"-",VLOOKUP($B173,casostestes[#Data],9)),"-")</f>
        <v>-</v>
      </c>
      <c r="K173" s="51"/>
      <c r="L173" s="119"/>
      <c r="M173" s="53"/>
      <c r="N173" s="54"/>
      <c r="O173" s="54"/>
      <c r="P173" s="55"/>
    </row>
    <row r="174" spans="2:16">
      <c r="B174" s="56" t="str">
        <f>IF(ISERR(casostestes[[#This Row],[ID]]),"-",casostestes[[#This Row],[ID]])</f>
        <v>-</v>
      </c>
      <c r="C174" s="49" t="str">
        <f>IFERROR(IF(VLOOKUP($B174,casostestes[#Data],10)=0,"Não",VLOOKUP($B174,casostestes[#Data],10)), "-")</f>
        <v>-</v>
      </c>
      <c r="D174" s="50" t="str">
        <f>IFERROR(IF(VLOOKUP($B174,casostestes[#Data],2)=0,"-",VLOOKUP($B174,casostestes[#Data],2)), "-")</f>
        <v>-</v>
      </c>
      <c r="E174" s="50" t="str">
        <f>IFERROR(IF(VLOOKUP($B174,casostestes[#Data],3)=0,"-",VLOOKUP($B174,casostestes[#Data],3)), "-")</f>
        <v>-</v>
      </c>
      <c r="F174" s="50" t="str">
        <f>IFERROR(IF(VLOOKUP($B174,casostestes[#Data],4)=0,"-",VLOOKUP($B174,casostestes[#Data],4)),"-")</f>
        <v>-</v>
      </c>
      <c r="G174" s="50" t="str">
        <f>IFERROR(IF(VLOOKUP($B174,casostestes[#Data],5)=0,"-",VLOOKUP($B174,casostestes[#Data],5)),"-")</f>
        <v>-</v>
      </c>
      <c r="H174" s="50" t="str">
        <f>IFERROR(IF(VLOOKUP($B174,casostestes[#Data],6)=0,"-",VLOOKUP($B174,casostestes[#Data],6)),"-")</f>
        <v>-</v>
      </c>
      <c r="I174" s="50" t="str">
        <f>IFERROR(IF(VLOOKUP($B174,casostestes[#Data],8)=0,"-",VLOOKUP($B174,casostestes[#Data],8)),"-")</f>
        <v>-</v>
      </c>
      <c r="J174" s="50" t="str">
        <f>IFERROR(IF(VLOOKUP($B174,casostestes[#Data],9)=0,"-",VLOOKUP($B174,casostestes[#Data],9)),"-")</f>
        <v>-</v>
      </c>
      <c r="K174" s="51"/>
      <c r="L174" s="119"/>
      <c r="M174" s="53"/>
      <c r="N174" s="54"/>
      <c r="O174" s="54"/>
      <c r="P174" s="55"/>
    </row>
    <row r="175" spans="2:16">
      <c r="B175" s="56" t="str">
        <f>IF(ISERR(casostestes[[#This Row],[ID]]),"-",casostestes[[#This Row],[ID]])</f>
        <v>-</v>
      </c>
      <c r="C175" s="49" t="str">
        <f>IFERROR(IF(VLOOKUP($B175,casostestes[#Data],10)=0,"Não",VLOOKUP($B175,casostestes[#Data],10)), "-")</f>
        <v>-</v>
      </c>
      <c r="D175" s="50" t="str">
        <f>IFERROR(IF(VLOOKUP($B175,casostestes[#Data],2)=0,"-",VLOOKUP($B175,casostestes[#Data],2)), "-")</f>
        <v>-</v>
      </c>
      <c r="E175" s="50" t="str">
        <f>IFERROR(IF(VLOOKUP($B175,casostestes[#Data],3)=0,"-",VLOOKUP($B175,casostestes[#Data],3)), "-")</f>
        <v>-</v>
      </c>
      <c r="F175" s="50" t="str">
        <f>IFERROR(IF(VLOOKUP($B175,casostestes[#Data],4)=0,"-",VLOOKUP($B175,casostestes[#Data],4)),"-")</f>
        <v>-</v>
      </c>
      <c r="G175" s="50" t="str">
        <f>IFERROR(IF(VLOOKUP($B175,casostestes[#Data],5)=0,"-",VLOOKUP($B175,casostestes[#Data],5)),"-")</f>
        <v>-</v>
      </c>
      <c r="H175" s="50" t="str">
        <f>IFERROR(IF(VLOOKUP($B175,casostestes[#Data],6)=0,"-",VLOOKUP($B175,casostestes[#Data],6)),"-")</f>
        <v>-</v>
      </c>
      <c r="I175" s="50" t="str">
        <f>IFERROR(IF(VLOOKUP($B175,casostestes[#Data],8)=0,"-",VLOOKUP($B175,casostestes[#Data],8)),"-")</f>
        <v>-</v>
      </c>
      <c r="J175" s="50" t="str">
        <f>IFERROR(IF(VLOOKUP($B175,casostestes[#Data],9)=0,"-",VLOOKUP($B175,casostestes[#Data],9)),"-")</f>
        <v>-</v>
      </c>
      <c r="K175" s="51"/>
      <c r="L175" s="119"/>
      <c r="M175" s="53"/>
      <c r="N175" s="54"/>
      <c r="O175" s="54"/>
      <c r="P175" s="55"/>
    </row>
    <row r="176" spans="2:16">
      <c r="B176" s="56" t="str">
        <f>IF(ISERR(casostestes[[#This Row],[ID]]),"-",casostestes[[#This Row],[ID]])</f>
        <v>-</v>
      </c>
      <c r="C176" s="49" t="str">
        <f>IFERROR(IF(VLOOKUP($B176,casostestes[#Data],10)=0,"Não",VLOOKUP($B176,casostestes[#Data],10)), "-")</f>
        <v>-</v>
      </c>
      <c r="D176" s="50" t="str">
        <f>IFERROR(IF(VLOOKUP($B176,casostestes[#Data],2)=0,"-",VLOOKUP($B176,casostestes[#Data],2)), "-")</f>
        <v>-</v>
      </c>
      <c r="E176" s="50" t="str">
        <f>IFERROR(IF(VLOOKUP($B176,casostestes[#Data],3)=0,"-",VLOOKUP($B176,casostestes[#Data],3)), "-")</f>
        <v>-</v>
      </c>
      <c r="F176" s="50" t="str">
        <f>IFERROR(IF(VLOOKUP($B176,casostestes[#Data],4)=0,"-",VLOOKUP($B176,casostestes[#Data],4)),"-")</f>
        <v>-</v>
      </c>
      <c r="G176" s="50" t="str">
        <f>IFERROR(IF(VLOOKUP($B176,casostestes[#Data],5)=0,"-",VLOOKUP($B176,casostestes[#Data],5)),"-")</f>
        <v>-</v>
      </c>
      <c r="H176" s="50" t="str">
        <f>IFERROR(IF(VLOOKUP($B176,casostestes[#Data],6)=0,"-",VLOOKUP($B176,casostestes[#Data],6)),"-")</f>
        <v>-</v>
      </c>
      <c r="I176" s="50" t="str">
        <f>IFERROR(IF(VLOOKUP($B176,casostestes[#Data],8)=0,"-",VLOOKUP($B176,casostestes[#Data],8)),"-")</f>
        <v>-</v>
      </c>
      <c r="J176" s="50" t="str">
        <f>IFERROR(IF(VLOOKUP($B176,casostestes[#Data],9)=0,"-",VLOOKUP($B176,casostestes[#Data],9)),"-")</f>
        <v>-</v>
      </c>
      <c r="K176" s="51"/>
      <c r="L176" s="119"/>
      <c r="M176" s="53"/>
      <c r="N176" s="54"/>
      <c r="O176" s="54"/>
      <c r="P176" s="55"/>
    </row>
    <row r="177" spans="2:16">
      <c r="B177" s="56" t="str">
        <f>IF(ISERR(casostestes[[#This Row],[ID]]),"-",casostestes[[#This Row],[ID]])</f>
        <v>-</v>
      </c>
      <c r="C177" s="49" t="str">
        <f>IFERROR(IF(VLOOKUP($B177,casostestes[#Data],10)=0,"Não",VLOOKUP($B177,casostestes[#Data],10)), "-")</f>
        <v>-</v>
      </c>
      <c r="D177" s="50" t="str">
        <f>IFERROR(IF(VLOOKUP($B177,casostestes[#Data],2)=0,"-",VLOOKUP($B177,casostestes[#Data],2)), "-")</f>
        <v>-</v>
      </c>
      <c r="E177" s="50" t="str">
        <f>IFERROR(IF(VLOOKUP($B177,casostestes[#Data],3)=0,"-",VLOOKUP($B177,casostestes[#Data],3)), "-")</f>
        <v>-</v>
      </c>
      <c r="F177" s="50" t="str">
        <f>IFERROR(IF(VLOOKUP($B177,casostestes[#Data],4)=0,"-",VLOOKUP($B177,casostestes[#Data],4)),"-")</f>
        <v>-</v>
      </c>
      <c r="G177" s="50" t="str">
        <f>IFERROR(IF(VLOOKUP($B177,casostestes[#Data],5)=0,"-",VLOOKUP($B177,casostestes[#Data],5)),"-")</f>
        <v>-</v>
      </c>
      <c r="H177" s="50" t="str">
        <f>IFERROR(IF(VLOOKUP($B177,casostestes[#Data],6)=0,"-",VLOOKUP($B177,casostestes[#Data],6)),"-")</f>
        <v>-</v>
      </c>
      <c r="I177" s="50" t="str">
        <f>IFERROR(IF(VLOOKUP($B177,casostestes[#Data],8)=0,"-",VLOOKUP($B177,casostestes[#Data],8)),"-")</f>
        <v>-</v>
      </c>
      <c r="J177" s="50" t="str">
        <f>IFERROR(IF(VLOOKUP($B177,casostestes[#Data],9)=0,"-",VLOOKUP($B177,casostestes[#Data],9)),"-")</f>
        <v>-</v>
      </c>
      <c r="K177" s="51"/>
      <c r="L177" s="119"/>
      <c r="M177" s="53"/>
      <c r="N177" s="54"/>
      <c r="O177" s="54"/>
      <c r="P177" s="55"/>
    </row>
    <row r="178" spans="2:16">
      <c r="B178" s="56" t="str">
        <f>IF(ISERR(casostestes[[#This Row],[ID]]),"-",casostestes[[#This Row],[ID]])</f>
        <v>-</v>
      </c>
      <c r="C178" s="49" t="str">
        <f>IFERROR(IF(VLOOKUP($B178,casostestes[#Data],10)=0,"Não",VLOOKUP($B178,casostestes[#Data],10)), "-")</f>
        <v>-</v>
      </c>
      <c r="D178" s="50" t="str">
        <f>IFERROR(IF(VLOOKUP($B178,casostestes[#Data],2)=0,"-",VLOOKUP($B178,casostestes[#Data],2)), "-")</f>
        <v>-</v>
      </c>
      <c r="E178" s="50" t="str">
        <f>IFERROR(IF(VLOOKUP($B178,casostestes[#Data],3)=0,"-",VLOOKUP($B178,casostestes[#Data],3)), "-")</f>
        <v>-</v>
      </c>
      <c r="F178" s="50" t="str">
        <f>IFERROR(IF(VLOOKUP($B178,casostestes[#Data],4)=0,"-",VLOOKUP($B178,casostestes[#Data],4)),"-")</f>
        <v>-</v>
      </c>
      <c r="G178" s="50" t="str">
        <f>IFERROR(IF(VLOOKUP($B178,casostestes[#Data],5)=0,"-",VLOOKUP($B178,casostestes[#Data],5)),"-")</f>
        <v>-</v>
      </c>
      <c r="H178" s="50" t="str">
        <f>IFERROR(IF(VLOOKUP($B178,casostestes[#Data],6)=0,"-",VLOOKUP($B178,casostestes[#Data],6)),"-")</f>
        <v>-</v>
      </c>
      <c r="I178" s="50" t="str">
        <f>IFERROR(IF(VLOOKUP($B178,casostestes[#Data],8)=0,"-",VLOOKUP($B178,casostestes[#Data],8)),"-")</f>
        <v>-</v>
      </c>
      <c r="J178" s="50" t="str">
        <f>IFERROR(IF(VLOOKUP($B178,casostestes[#Data],9)=0,"-",VLOOKUP($B178,casostestes[#Data],9)),"-")</f>
        <v>-</v>
      </c>
      <c r="K178" s="51"/>
      <c r="L178" s="119"/>
      <c r="M178" s="53"/>
      <c r="N178" s="54"/>
      <c r="O178" s="54"/>
      <c r="P178" s="55"/>
    </row>
    <row r="179" spans="2:16">
      <c r="B179" s="56" t="str">
        <f>IF(ISERR(casostestes[[#This Row],[ID]]),"-",casostestes[[#This Row],[ID]])</f>
        <v>-</v>
      </c>
      <c r="C179" s="49" t="str">
        <f>IFERROR(IF(VLOOKUP($B179,casostestes[#Data],10)=0,"Não",VLOOKUP($B179,casostestes[#Data],10)), "-")</f>
        <v>-</v>
      </c>
      <c r="D179" s="50" t="str">
        <f>IFERROR(IF(VLOOKUP($B179,casostestes[#Data],2)=0,"-",VLOOKUP($B179,casostestes[#Data],2)), "-")</f>
        <v>-</v>
      </c>
      <c r="E179" s="50" t="str">
        <f>IFERROR(IF(VLOOKUP($B179,casostestes[#Data],3)=0,"-",VLOOKUP($B179,casostestes[#Data],3)), "-")</f>
        <v>-</v>
      </c>
      <c r="F179" s="50" t="str">
        <f>IFERROR(IF(VLOOKUP($B179,casostestes[#Data],4)=0,"-",VLOOKUP($B179,casostestes[#Data],4)),"-")</f>
        <v>-</v>
      </c>
      <c r="G179" s="50" t="str">
        <f>IFERROR(IF(VLOOKUP($B179,casostestes[#Data],5)=0,"-",VLOOKUP($B179,casostestes[#Data],5)),"-")</f>
        <v>-</v>
      </c>
      <c r="H179" s="50" t="str">
        <f>IFERROR(IF(VLOOKUP($B179,casostestes[#Data],6)=0,"-",VLOOKUP($B179,casostestes[#Data],6)),"-")</f>
        <v>-</v>
      </c>
      <c r="I179" s="50" t="str">
        <f>IFERROR(IF(VLOOKUP($B179,casostestes[#Data],8)=0,"-",VLOOKUP($B179,casostestes[#Data],8)),"-")</f>
        <v>-</v>
      </c>
      <c r="J179" s="50" t="str">
        <f>IFERROR(IF(VLOOKUP($B179,casostestes[#Data],9)=0,"-",VLOOKUP($B179,casostestes[#Data],9)),"-")</f>
        <v>-</v>
      </c>
      <c r="K179" s="51"/>
      <c r="L179" s="119"/>
      <c r="M179" s="53"/>
      <c r="N179" s="54"/>
      <c r="O179" s="54"/>
      <c r="P179" s="55"/>
    </row>
    <row r="180" spans="2:16">
      <c r="B180" s="56" t="str">
        <f>IF(ISERR(casostestes[[#This Row],[ID]]),"-",casostestes[[#This Row],[ID]])</f>
        <v>-</v>
      </c>
      <c r="C180" s="49" t="str">
        <f>IFERROR(IF(VLOOKUP($B180,casostestes[#Data],10)=0,"Não",VLOOKUP($B180,casostestes[#Data],10)), "-")</f>
        <v>-</v>
      </c>
      <c r="D180" s="50" t="str">
        <f>IFERROR(IF(VLOOKUP($B180,casostestes[#Data],2)=0,"-",VLOOKUP($B180,casostestes[#Data],2)), "-")</f>
        <v>-</v>
      </c>
      <c r="E180" s="50" t="str">
        <f>IFERROR(IF(VLOOKUP($B180,casostestes[#Data],3)=0,"-",VLOOKUP($B180,casostestes[#Data],3)), "-")</f>
        <v>-</v>
      </c>
      <c r="F180" s="50" t="str">
        <f>IFERROR(IF(VLOOKUP($B180,casostestes[#Data],4)=0,"-",VLOOKUP($B180,casostestes[#Data],4)),"-")</f>
        <v>-</v>
      </c>
      <c r="G180" s="50" t="str">
        <f>IFERROR(IF(VLOOKUP($B180,casostestes[#Data],5)=0,"-",VLOOKUP($B180,casostestes[#Data],5)),"-")</f>
        <v>-</v>
      </c>
      <c r="H180" s="50" t="str">
        <f>IFERROR(IF(VLOOKUP($B180,casostestes[#Data],6)=0,"-",VLOOKUP($B180,casostestes[#Data],6)),"-")</f>
        <v>-</v>
      </c>
      <c r="I180" s="50" t="str">
        <f>IFERROR(IF(VLOOKUP($B180,casostestes[#Data],8)=0,"-",VLOOKUP($B180,casostestes[#Data],8)),"-")</f>
        <v>-</v>
      </c>
      <c r="J180" s="50" t="str">
        <f>IFERROR(IF(VLOOKUP($B180,casostestes[#Data],9)=0,"-",VLOOKUP($B180,casostestes[#Data],9)),"-")</f>
        <v>-</v>
      </c>
      <c r="K180" s="51"/>
      <c r="L180" s="119"/>
      <c r="M180" s="53"/>
      <c r="N180" s="54"/>
      <c r="O180" s="54"/>
      <c r="P180" s="55"/>
    </row>
    <row r="181" spans="2:16">
      <c r="B181" s="56" t="str">
        <f>IF(ISERR(casostestes[[#This Row],[ID]]),"-",casostestes[[#This Row],[ID]])</f>
        <v>-</v>
      </c>
      <c r="C181" s="49" t="str">
        <f>IFERROR(IF(VLOOKUP($B181,casostestes[#Data],10)=0,"Não",VLOOKUP($B181,casostestes[#Data],10)), "-")</f>
        <v>-</v>
      </c>
      <c r="D181" s="50" t="str">
        <f>IFERROR(IF(VLOOKUP($B181,casostestes[#Data],2)=0,"-",VLOOKUP($B181,casostestes[#Data],2)), "-")</f>
        <v>-</v>
      </c>
      <c r="E181" s="50" t="str">
        <f>IFERROR(IF(VLOOKUP($B181,casostestes[#Data],3)=0,"-",VLOOKUP($B181,casostestes[#Data],3)), "-")</f>
        <v>-</v>
      </c>
      <c r="F181" s="50" t="str">
        <f>IFERROR(IF(VLOOKUP($B181,casostestes[#Data],4)=0,"-",VLOOKUP($B181,casostestes[#Data],4)),"-")</f>
        <v>-</v>
      </c>
      <c r="G181" s="50" t="str">
        <f>IFERROR(IF(VLOOKUP($B181,casostestes[#Data],5)=0,"-",VLOOKUP($B181,casostestes[#Data],5)),"-")</f>
        <v>-</v>
      </c>
      <c r="H181" s="50" t="str">
        <f>IFERROR(IF(VLOOKUP($B181,casostestes[#Data],6)=0,"-",VLOOKUP($B181,casostestes[#Data],6)),"-")</f>
        <v>-</v>
      </c>
      <c r="I181" s="50" t="str">
        <f>IFERROR(IF(VLOOKUP($B181,casostestes[#Data],8)=0,"-",VLOOKUP($B181,casostestes[#Data],8)),"-")</f>
        <v>-</v>
      </c>
      <c r="J181" s="50" t="str">
        <f>IFERROR(IF(VLOOKUP($B181,casostestes[#Data],9)=0,"-",VLOOKUP($B181,casostestes[#Data],9)),"-")</f>
        <v>-</v>
      </c>
      <c r="K181" s="51"/>
      <c r="L181" s="119"/>
      <c r="M181" s="53"/>
      <c r="N181" s="54"/>
      <c r="O181" s="54"/>
      <c r="P181" s="55"/>
    </row>
    <row r="182" spans="2:16">
      <c r="B182" s="56" t="str">
        <f>IF(ISERR(casostestes[[#This Row],[ID]]),"-",casostestes[[#This Row],[ID]])</f>
        <v>-</v>
      </c>
      <c r="C182" s="49" t="str">
        <f>IFERROR(IF(VLOOKUP($B182,casostestes[#Data],10)=0,"Não",VLOOKUP($B182,casostestes[#Data],10)), "-")</f>
        <v>-</v>
      </c>
      <c r="D182" s="50" t="str">
        <f>IFERROR(IF(VLOOKUP($B182,casostestes[#Data],2)=0,"-",VLOOKUP($B182,casostestes[#Data],2)), "-")</f>
        <v>-</v>
      </c>
      <c r="E182" s="50" t="str">
        <f>IFERROR(IF(VLOOKUP($B182,casostestes[#Data],3)=0,"-",VLOOKUP($B182,casostestes[#Data],3)), "-")</f>
        <v>-</v>
      </c>
      <c r="F182" s="50" t="str">
        <f>IFERROR(IF(VLOOKUP($B182,casostestes[#Data],4)=0,"-",VLOOKUP($B182,casostestes[#Data],4)),"-")</f>
        <v>-</v>
      </c>
      <c r="G182" s="50" t="str">
        <f>IFERROR(IF(VLOOKUP($B182,casostestes[#Data],5)=0,"-",VLOOKUP($B182,casostestes[#Data],5)),"-")</f>
        <v>-</v>
      </c>
      <c r="H182" s="50" t="str">
        <f>IFERROR(IF(VLOOKUP($B182,casostestes[#Data],6)=0,"-",VLOOKUP($B182,casostestes[#Data],6)),"-")</f>
        <v>-</v>
      </c>
      <c r="I182" s="50" t="str">
        <f>IFERROR(IF(VLOOKUP($B182,casostestes[#Data],8)=0,"-",VLOOKUP($B182,casostestes[#Data],8)),"-")</f>
        <v>-</v>
      </c>
      <c r="J182" s="50" t="str">
        <f>IFERROR(IF(VLOOKUP($B182,casostestes[#Data],9)=0,"-",VLOOKUP($B182,casostestes[#Data],9)),"-")</f>
        <v>-</v>
      </c>
      <c r="K182" s="51"/>
      <c r="L182" s="119"/>
      <c r="M182" s="53"/>
      <c r="N182" s="54"/>
      <c r="O182" s="54"/>
      <c r="P182" s="55"/>
    </row>
    <row r="183" spans="2:16">
      <c r="B183" s="56" t="str">
        <f>IF(ISERR(casostestes[[#This Row],[ID]]),"-",casostestes[[#This Row],[ID]])</f>
        <v>-</v>
      </c>
      <c r="C183" s="49" t="str">
        <f>IFERROR(IF(VLOOKUP($B183,casostestes[#Data],10)=0,"Não",VLOOKUP($B183,casostestes[#Data],10)), "-")</f>
        <v>-</v>
      </c>
      <c r="D183" s="50" t="str">
        <f>IFERROR(IF(VLOOKUP($B183,casostestes[#Data],2)=0,"-",VLOOKUP($B183,casostestes[#Data],2)), "-")</f>
        <v>-</v>
      </c>
      <c r="E183" s="50" t="str">
        <f>IFERROR(IF(VLOOKUP($B183,casostestes[#Data],3)=0,"-",VLOOKUP($B183,casostestes[#Data],3)), "-")</f>
        <v>-</v>
      </c>
      <c r="F183" s="50" t="str">
        <f>IFERROR(IF(VLOOKUP($B183,casostestes[#Data],4)=0,"-",VLOOKUP($B183,casostestes[#Data],4)),"-")</f>
        <v>-</v>
      </c>
      <c r="G183" s="50" t="str">
        <f>IFERROR(IF(VLOOKUP($B183,casostestes[#Data],5)=0,"-",VLOOKUP($B183,casostestes[#Data],5)),"-")</f>
        <v>-</v>
      </c>
      <c r="H183" s="50" t="str">
        <f>IFERROR(IF(VLOOKUP($B183,casostestes[#Data],6)=0,"-",VLOOKUP($B183,casostestes[#Data],6)),"-")</f>
        <v>-</v>
      </c>
      <c r="I183" s="50" t="str">
        <f>IFERROR(IF(VLOOKUP($B183,casostestes[#Data],8)=0,"-",VLOOKUP($B183,casostestes[#Data],8)),"-")</f>
        <v>-</v>
      </c>
      <c r="J183" s="50" t="str">
        <f>IFERROR(IF(VLOOKUP($B183,casostestes[#Data],9)=0,"-",VLOOKUP($B183,casostestes[#Data],9)),"-")</f>
        <v>-</v>
      </c>
      <c r="K183" s="51"/>
      <c r="L183" s="119"/>
      <c r="M183" s="53"/>
      <c r="N183" s="54"/>
      <c r="O183" s="54"/>
      <c r="P183" s="55"/>
    </row>
    <row r="184" spans="2:16">
      <c r="B184" s="56" t="str">
        <f>IF(ISERR(casostestes[[#This Row],[ID]]),"-",casostestes[[#This Row],[ID]])</f>
        <v>-</v>
      </c>
      <c r="C184" s="49" t="str">
        <f>IFERROR(IF(VLOOKUP($B184,casostestes[#Data],10)=0,"Não",VLOOKUP($B184,casostestes[#Data],10)), "-")</f>
        <v>-</v>
      </c>
      <c r="D184" s="50" t="str">
        <f>IFERROR(IF(VLOOKUP($B184,casostestes[#Data],2)=0,"-",VLOOKUP($B184,casostestes[#Data],2)), "-")</f>
        <v>-</v>
      </c>
      <c r="E184" s="50" t="str">
        <f>IFERROR(IF(VLOOKUP($B184,casostestes[#Data],3)=0,"-",VLOOKUP($B184,casostestes[#Data],3)), "-")</f>
        <v>-</v>
      </c>
      <c r="F184" s="50" t="str">
        <f>IFERROR(IF(VLOOKUP($B184,casostestes[#Data],4)=0,"-",VLOOKUP($B184,casostestes[#Data],4)),"-")</f>
        <v>-</v>
      </c>
      <c r="G184" s="50" t="str">
        <f>IFERROR(IF(VLOOKUP($B184,casostestes[#Data],5)=0,"-",VLOOKUP($B184,casostestes[#Data],5)),"-")</f>
        <v>-</v>
      </c>
      <c r="H184" s="50" t="str">
        <f>IFERROR(IF(VLOOKUP($B184,casostestes[#Data],6)=0,"-",VLOOKUP($B184,casostestes[#Data],6)),"-")</f>
        <v>-</v>
      </c>
      <c r="I184" s="50" t="str">
        <f>IFERROR(IF(VLOOKUP($B184,casostestes[#Data],8)=0,"-",VLOOKUP($B184,casostestes[#Data],8)),"-")</f>
        <v>-</v>
      </c>
      <c r="J184" s="50" t="str">
        <f>IFERROR(IF(VLOOKUP($B184,casostestes[#Data],9)=0,"-",VLOOKUP($B184,casostestes[#Data],9)),"-")</f>
        <v>-</v>
      </c>
      <c r="K184" s="51"/>
      <c r="L184" s="119"/>
      <c r="M184" s="53"/>
      <c r="N184" s="54"/>
      <c r="O184" s="54"/>
      <c r="P184" s="55"/>
    </row>
    <row r="185" spans="2:16">
      <c r="B185" s="56" t="str">
        <f>IF(ISERR(casostestes[[#This Row],[ID]]),"-",casostestes[[#This Row],[ID]])</f>
        <v>-</v>
      </c>
      <c r="C185" s="49" t="str">
        <f>IFERROR(IF(VLOOKUP($B185,casostestes[#Data],10)=0,"Não",VLOOKUP($B185,casostestes[#Data],10)), "-")</f>
        <v>-</v>
      </c>
      <c r="D185" s="50" t="str">
        <f>IFERROR(IF(VLOOKUP($B185,casostestes[#Data],2)=0,"-",VLOOKUP($B185,casostestes[#Data],2)), "-")</f>
        <v>-</v>
      </c>
      <c r="E185" s="50" t="str">
        <f>IFERROR(IF(VLOOKUP($B185,casostestes[#Data],3)=0,"-",VLOOKUP($B185,casostestes[#Data],3)), "-")</f>
        <v>-</v>
      </c>
      <c r="F185" s="50" t="str">
        <f>IFERROR(IF(VLOOKUP($B185,casostestes[#Data],4)=0,"-",VLOOKUP($B185,casostestes[#Data],4)),"-")</f>
        <v>-</v>
      </c>
      <c r="G185" s="50" t="str">
        <f>IFERROR(IF(VLOOKUP($B185,casostestes[#Data],5)=0,"-",VLOOKUP($B185,casostestes[#Data],5)),"-")</f>
        <v>-</v>
      </c>
      <c r="H185" s="50" t="str">
        <f>IFERROR(IF(VLOOKUP($B185,casostestes[#Data],6)=0,"-",VLOOKUP($B185,casostestes[#Data],6)),"-")</f>
        <v>-</v>
      </c>
      <c r="I185" s="50" t="str">
        <f>IFERROR(IF(VLOOKUP($B185,casostestes[#Data],8)=0,"-",VLOOKUP($B185,casostestes[#Data],8)),"-")</f>
        <v>-</v>
      </c>
      <c r="J185" s="50" t="str">
        <f>IFERROR(IF(VLOOKUP($B185,casostestes[#Data],9)=0,"-",VLOOKUP($B185,casostestes[#Data],9)),"-")</f>
        <v>-</v>
      </c>
      <c r="K185" s="51"/>
      <c r="L185" s="119"/>
      <c r="M185" s="53"/>
      <c r="N185" s="54"/>
      <c r="O185" s="54"/>
      <c r="P185" s="55"/>
    </row>
    <row r="186" spans="2:16">
      <c r="B186" s="56" t="str">
        <f>IF(ISERR(casostestes[[#This Row],[ID]]),"-",casostestes[[#This Row],[ID]])</f>
        <v>-</v>
      </c>
      <c r="C186" s="49" t="str">
        <f>IFERROR(IF(VLOOKUP($B186,casostestes[#Data],10)=0,"Não",VLOOKUP($B186,casostestes[#Data],10)), "-")</f>
        <v>-</v>
      </c>
      <c r="D186" s="50" t="str">
        <f>IFERROR(IF(VLOOKUP($B186,casostestes[#Data],2)=0,"-",VLOOKUP($B186,casostestes[#Data],2)), "-")</f>
        <v>-</v>
      </c>
      <c r="E186" s="50" t="str">
        <f>IFERROR(IF(VLOOKUP($B186,casostestes[#Data],3)=0,"-",VLOOKUP($B186,casostestes[#Data],3)), "-")</f>
        <v>-</v>
      </c>
      <c r="F186" s="50" t="str">
        <f>IFERROR(IF(VLOOKUP($B186,casostestes[#Data],4)=0,"-",VLOOKUP($B186,casostestes[#Data],4)),"-")</f>
        <v>-</v>
      </c>
      <c r="G186" s="50" t="str">
        <f>IFERROR(IF(VLOOKUP($B186,casostestes[#Data],5)=0,"-",VLOOKUP($B186,casostestes[#Data],5)),"-")</f>
        <v>-</v>
      </c>
      <c r="H186" s="50" t="str">
        <f>IFERROR(IF(VLOOKUP($B186,casostestes[#Data],6)=0,"-",VLOOKUP($B186,casostestes[#Data],6)),"-")</f>
        <v>-</v>
      </c>
      <c r="I186" s="50" t="str">
        <f>IFERROR(IF(VLOOKUP($B186,casostestes[#Data],8)=0,"-",VLOOKUP($B186,casostestes[#Data],8)),"-")</f>
        <v>-</v>
      </c>
      <c r="J186" s="50" t="str">
        <f>IFERROR(IF(VLOOKUP($B186,casostestes[#Data],9)=0,"-",VLOOKUP($B186,casostestes[#Data],9)),"-")</f>
        <v>-</v>
      </c>
      <c r="K186" s="51"/>
      <c r="L186" s="119"/>
      <c r="M186" s="53"/>
      <c r="N186" s="54"/>
      <c r="O186" s="54"/>
      <c r="P186" s="55"/>
    </row>
    <row r="187" spans="2:16">
      <c r="B187" s="56" t="str">
        <f>IF(ISERR(casostestes[[#This Row],[ID]]),"-",casostestes[[#This Row],[ID]])</f>
        <v>-</v>
      </c>
      <c r="C187" s="49" t="str">
        <f>IFERROR(IF(VLOOKUP($B187,casostestes[#Data],10)=0,"Não",VLOOKUP($B187,casostestes[#Data],10)), "-")</f>
        <v>-</v>
      </c>
      <c r="D187" s="50" t="str">
        <f>IFERROR(IF(VLOOKUP($B187,casostestes[#Data],2)=0,"-",VLOOKUP($B187,casostestes[#Data],2)), "-")</f>
        <v>-</v>
      </c>
      <c r="E187" s="50" t="str">
        <f>IFERROR(IF(VLOOKUP($B187,casostestes[#Data],3)=0,"-",VLOOKUP($B187,casostestes[#Data],3)), "-")</f>
        <v>-</v>
      </c>
      <c r="F187" s="50" t="str">
        <f>IFERROR(IF(VLOOKUP($B187,casostestes[#Data],4)=0,"-",VLOOKUP($B187,casostestes[#Data],4)),"-")</f>
        <v>-</v>
      </c>
      <c r="G187" s="50" t="str">
        <f>IFERROR(IF(VLOOKUP($B187,casostestes[#Data],5)=0,"-",VLOOKUP($B187,casostestes[#Data],5)),"-")</f>
        <v>-</v>
      </c>
      <c r="H187" s="50" t="str">
        <f>IFERROR(IF(VLOOKUP($B187,casostestes[#Data],6)=0,"-",VLOOKUP($B187,casostestes[#Data],6)),"-")</f>
        <v>-</v>
      </c>
      <c r="I187" s="50" t="str">
        <f>IFERROR(IF(VLOOKUP($B187,casostestes[#Data],8)=0,"-",VLOOKUP($B187,casostestes[#Data],8)),"-")</f>
        <v>-</v>
      </c>
      <c r="J187" s="50" t="str">
        <f>IFERROR(IF(VLOOKUP($B187,casostestes[#Data],9)=0,"-",VLOOKUP($B187,casostestes[#Data],9)),"-")</f>
        <v>-</v>
      </c>
      <c r="K187" s="51"/>
      <c r="L187" s="119"/>
      <c r="M187" s="53"/>
      <c r="N187" s="54"/>
      <c r="O187" s="54"/>
      <c r="P187" s="55"/>
    </row>
    <row r="188" spans="2:16">
      <c r="B188" s="56" t="str">
        <f>IF(ISERR(casostestes[[#This Row],[ID]]),"-",casostestes[[#This Row],[ID]])</f>
        <v>-</v>
      </c>
      <c r="C188" s="49" t="str">
        <f>IFERROR(IF(VLOOKUP($B188,casostestes[#Data],10)=0,"Não",VLOOKUP($B188,casostestes[#Data],10)), "-")</f>
        <v>-</v>
      </c>
      <c r="D188" s="50" t="str">
        <f>IFERROR(IF(VLOOKUP($B188,casostestes[#Data],2)=0,"-",VLOOKUP($B188,casostestes[#Data],2)), "-")</f>
        <v>-</v>
      </c>
      <c r="E188" s="50" t="str">
        <f>IFERROR(IF(VLOOKUP($B188,casostestes[#Data],3)=0,"-",VLOOKUP($B188,casostestes[#Data],3)), "-")</f>
        <v>-</v>
      </c>
      <c r="F188" s="50" t="str">
        <f>IFERROR(IF(VLOOKUP($B188,casostestes[#Data],4)=0,"-",VLOOKUP($B188,casostestes[#Data],4)),"-")</f>
        <v>-</v>
      </c>
      <c r="G188" s="50" t="str">
        <f>IFERROR(IF(VLOOKUP($B188,casostestes[#Data],5)=0,"-",VLOOKUP($B188,casostestes[#Data],5)),"-")</f>
        <v>-</v>
      </c>
      <c r="H188" s="50" t="str">
        <f>IFERROR(IF(VLOOKUP($B188,casostestes[#Data],6)=0,"-",VLOOKUP($B188,casostestes[#Data],6)),"-")</f>
        <v>-</v>
      </c>
      <c r="I188" s="50" t="str">
        <f>IFERROR(IF(VLOOKUP($B188,casostestes[#Data],8)=0,"-",VLOOKUP($B188,casostestes[#Data],8)),"-")</f>
        <v>-</v>
      </c>
      <c r="J188" s="50" t="str">
        <f>IFERROR(IF(VLOOKUP($B188,casostestes[#Data],9)=0,"-",VLOOKUP($B188,casostestes[#Data],9)),"-")</f>
        <v>-</v>
      </c>
      <c r="K188" s="51"/>
      <c r="L188" s="119"/>
      <c r="M188" s="53"/>
      <c r="N188" s="54"/>
      <c r="O188" s="54"/>
      <c r="P188" s="55"/>
    </row>
    <row r="189" spans="2:16">
      <c r="B189" s="56" t="str">
        <f>IF(ISERR(casostestes[[#This Row],[ID]]),"-",casostestes[[#This Row],[ID]])</f>
        <v>-</v>
      </c>
      <c r="C189" s="49" t="str">
        <f>IFERROR(IF(VLOOKUP($B189,casostestes[#Data],10)=0,"Não",VLOOKUP($B189,casostestes[#Data],10)), "-")</f>
        <v>-</v>
      </c>
      <c r="D189" s="50" t="str">
        <f>IFERROR(IF(VLOOKUP($B189,casostestes[#Data],2)=0,"-",VLOOKUP($B189,casostestes[#Data],2)), "-")</f>
        <v>-</v>
      </c>
      <c r="E189" s="50" t="str">
        <f>IFERROR(IF(VLOOKUP($B189,casostestes[#Data],3)=0,"-",VLOOKUP($B189,casostestes[#Data],3)), "-")</f>
        <v>-</v>
      </c>
      <c r="F189" s="50" t="str">
        <f>IFERROR(IF(VLOOKUP($B189,casostestes[#Data],4)=0,"-",VLOOKUP($B189,casostestes[#Data],4)),"-")</f>
        <v>-</v>
      </c>
      <c r="G189" s="50" t="str">
        <f>IFERROR(IF(VLOOKUP($B189,casostestes[#Data],5)=0,"-",VLOOKUP($B189,casostestes[#Data],5)),"-")</f>
        <v>-</v>
      </c>
      <c r="H189" s="50" t="str">
        <f>IFERROR(IF(VLOOKUP($B189,casostestes[#Data],6)=0,"-",VLOOKUP($B189,casostestes[#Data],6)),"-")</f>
        <v>-</v>
      </c>
      <c r="I189" s="50" t="str">
        <f>IFERROR(IF(VLOOKUP($B189,casostestes[#Data],8)=0,"-",VLOOKUP($B189,casostestes[#Data],8)),"-")</f>
        <v>-</v>
      </c>
      <c r="J189" s="50" t="str">
        <f>IFERROR(IF(VLOOKUP($B189,casostestes[#Data],9)=0,"-",VLOOKUP($B189,casostestes[#Data],9)),"-")</f>
        <v>-</v>
      </c>
      <c r="K189" s="51"/>
      <c r="L189" s="119"/>
      <c r="M189" s="53"/>
      <c r="N189" s="54"/>
      <c r="O189" s="54"/>
      <c r="P189" s="55"/>
    </row>
    <row r="190" spans="2:16">
      <c r="B190" s="56" t="str">
        <f>IF(ISERR(casostestes[[#This Row],[ID]]),"-",casostestes[[#This Row],[ID]])</f>
        <v>-</v>
      </c>
      <c r="C190" s="49" t="str">
        <f>IFERROR(IF(VLOOKUP($B190,casostestes[#Data],10)=0,"Não",VLOOKUP($B190,casostestes[#Data],10)), "-")</f>
        <v>-</v>
      </c>
      <c r="D190" s="50" t="str">
        <f>IFERROR(IF(VLOOKUP($B190,casostestes[#Data],2)=0,"-",VLOOKUP($B190,casostestes[#Data],2)), "-")</f>
        <v>-</v>
      </c>
      <c r="E190" s="50" t="str">
        <f>IFERROR(IF(VLOOKUP($B190,casostestes[#Data],3)=0,"-",VLOOKUP($B190,casostestes[#Data],3)), "-")</f>
        <v>-</v>
      </c>
      <c r="F190" s="50" t="str">
        <f>IFERROR(IF(VLOOKUP($B190,casostestes[#Data],4)=0,"-",VLOOKUP($B190,casostestes[#Data],4)),"-")</f>
        <v>-</v>
      </c>
      <c r="G190" s="50" t="str">
        <f>IFERROR(IF(VLOOKUP($B190,casostestes[#Data],5)=0,"-",VLOOKUP($B190,casostestes[#Data],5)),"-")</f>
        <v>-</v>
      </c>
      <c r="H190" s="50" t="str">
        <f>IFERROR(IF(VLOOKUP($B190,casostestes[#Data],6)=0,"-",VLOOKUP($B190,casostestes[#Data],6)),"-")</f>
        <v>-</v>
      </c>
      <c r="I190" s="50" t="str">
        <f>IFERROR(IF(VLOOKUP($B190,casostestes[#Data],8)=0,"-",VLOOKUP($B190,casostestes[#Data],8)),"-")</f>
        <v>-</v>
      </c>
      <c r="J190" s="50" t="str">
        <f>IFERROR(IF(VLOOKUP($B190,casostestes[#Data],9)=0,"-",VLOOKUP($B190,casostestes[#Data],9)),"-")</f>
        <v>-</v>
      </c>
      <c r="K190" s="51"/>
      <c r="L190" s="119"/>
      <c r="M190" s="53"/>
      <c r="N190" s="54"/>
      <c r="O190" s="54"/>
      <c r="P190" s="55"/>
    </row>
    <row r="191" spans="2:16">
      <c r="B191" s="56" t="str">
        <f>IF(ISERR(casostestes[[#This Row],[ID]]),"-",casostestes[[#This Row],[ID]])</f>
        <v>-</v>
      </c>
      <c r="C191" s="49" t="str">
        <f>IFERROR(IF(VLOOKUP($B191,casostestes[#Data],10)=0,"Não",VLOOKUP($B191,casostestes[#Data],10)), "-")</f>
        <v>-</v>
      </c>
      <c r="D191" s="50" t="str">
        <f>IFERROR(IF(VLOOKUP($B191,casostestes[#Data],2)=0,"-",VLOOKUP($B191,casostestes[#Data],2)), "-")</f>
        <v>-</v>
      </c>
      <c r="E191" s="50" t="str">
        <f>IFERROR(IF(VLOOKUP($B191,casostestes[#Data],3)=0,"-",VLOOKUP($B191,casostestes[#Data],3)), "-")</f>
        <v>-</v>
      </c>
      <c r="F191" s="50" t="str">
        <f>IFERROR(IF(VLOOKUP($B191,casostestes[#Data],4)=0,"-",VLOOKUP($B191,casostestes[#Data],4)),"-")</f>
        <v>-</v>
      </c>
      <c r="G191" s="50" t="str">
        <f>IFERROR(IF(VLOOKUP($B191,casostestes[#Data],5)=0,"-",VLOOKUP($B191,casostestes[#Data],5)),"-")</f>
        <v>-</v>
      </c>
      <c r="H191" s="50" t="str">
        <f>IFERROR(IF(VLOOKUP($B191,casostestes[#Data],6)=0,"-",VLOOKUP($B191,casostestes[#Data],6)),"-")</f>
        <v>-</v>
      </c>
      <c r="I191" s="50" t="str">
        <f>IFERROR(IF(VLOOKUP($B191,casostestes[#Data],8)=0,"-",VLOOKUP($B191,casostestes[#Data],8)),"-")</f>
        <v>-</v>
      </c>
      <c r="J191" s="50" t="str">
        <f>IFERROR(IF(VLOOKUP($B191,casostestes[#Data],9)=0,"-",VLOOKUP($B191,casostestes[#Data],9)),"-")</f>
        <v>-</v>
      </c>
      <c r="K191" s="51"/>
      <c r="L191" s="119"/>
      <c r="M191" s="53"/>
      <c r="N191" s="54"/>
      <c r="O191" s="54"/>
      <c r="P191" s="55"/>
    </row>
    <row r="192" spans="2:16">
      <c r="B192" s="56" t="str">
        <f>IF(ISERR(casostestes[[#This Row],[ID]]),"-",casostestes[[#This Row],[ID]])</f>
        <v>-</v>
      </c>
      <c r="C192" s="49" t="str">
        <f>IFERROR(IF(VLOOKUP($B192,casostestes[#Data],10)=0,"Não",VLOOKUP($B192,casostestes[#Data],10)), "-")</f>
        <v>-</v>
      </c>
      <c r="D192" s="50" t="str">
        <f>IFERROR(IF(VLOOKUP($B192,casostestes[#Data],2)=0,"-",VLOOKUP($B192,casostestes[#Data],2)), "-")</f>
        <v>-</v>
      </c>
      <c r="E192" s="50" t="str">
        <f>IFERROR(IF(VLOOKUP($B192,casostestes[#Data],3)=0,"-",VLOOKUP($B192,casostestes[#Data],3)), "-")</f>
        <v>-</v>
      </c>
      <c r="F192" s="50" t="str">
        <f>IFERROR(IF(VLOOKUP($B192,casostestes[#Data],4)=0,"-",VLOOKUP($B192,casostestes[#Data],4)),"-")</f>
        <v>-</v>
      </c>
      <c r="G192" s="50" t="str">
        <f>IFERROR(IF(VLOOKUP($B192,casostestes[#Data],5)=0,"-",VLOOKUP($B192,casostestes[#Data],5)),"-")</f>
        <v>-</v>
      </c>
      <c r="H192" s="50" t="str">
        <f>IFERROR(IF(VLOOKUP($B192,casostestes[#Data],6)=0,"-",VLOOKUP($B192,casostestes[#Data],6)),"-")</f>
        <v>-</v>
      </c>
      <c r="I192" s="50" t="str">
        <f>IFERROR(IF(VLOOKUP($B192,casostestes[#Data],8)=0,"-",VLOOKUP($B192,casostestes[#Data],8)),"-")</f>
        <v>-</v>
      </c>
      <c r="J192" s="50" t="str">
        <f>IFERROR(IF(VLOOKUP($B192,casostestes[#Data],9)=0,"-",VLOOKUP($B192,casostestes[#Data],9)),"-")</f>
        <v>-</v>
      </c>
      <c r="K192" s="51"/>
      <c r="L192" s="119"/>
      <c r="M192" s="53"/>
      <c r="N192" s="54"/>
      <c r="O192" s="54"/>
      <c r="P192" s="55"/>
    </row>
    <row r="193" spans="2:16">
      <c r="B193" s="56" t="str">
        <f>IF(ISERR(casostestes[[#This Row],[ID]]),"-",casostestes[[#This Row],[ID]])</f>
        <v>-</v>
      </c>
      <c r="C193" s="49" t="str">
        <f>IFERROR(IF(VLOOKUP($B193,casostestes[#Data],10)=0,"Não",VLOOKUP($B193,casostestes[#Data],10)), "-")</f>
        <v>-</v>
      </c>
      <c r="D193" s="50" t="str">
        <f>IFERROR(IF(VLOOKUP($B193,casostestes[#Data],2)=0,"-",VLOOKUP($B193,casostestes[#Data],2)), "-")</f>
        <v>-</v>
      </c>
      <c r="E193" s="50" t="str">
        <f>IFERROR(IF(VLOOKUP($B193,casostestes[#Data],3)=0,"-",VLOOKUP($B193,casostestes[#Data],3)), "-")</f>
        <v>-</v>
      </c>
      <c r="F193" s="50" t="str">
        <f>IFERROR(IF(VLOOKUP($B193,casostestes[#Data],4)=0,"-",VLOOKUP($B193,casostestes[#Data],4)),"-")</f>
        <v>-</v>
      </c>
      <c r="G193" s="50" t="str">
        <f>IFERROR(IF(VLOOKUP($B193,casostestes[#Data],5)=0,"-",VLOOKUP($B193,casostestes[#Data],5)),"-")</f>
        <v>-</v>
      </c>
      <c r="H193" s="50" t="str">
        <f>IFERROR(IF(VLOOKUP($B193,casostestes[#Data],6)=0,"-",VLOOKUP($B193,casostestes[#Data],6)),"-")</f>
        <v>-</v>
      </c>
      <c r="I193" s="50" t="str">
        <f>IFERROR(IF(VLOOKUP($B193,casostestes[#Data],8)=0,"-",VLOOKUP($B193,casostestes[#Data],8)),"-")</f>
        <v>-</v>
      </c>
      <c r="J193" s="50" t="str">
        <f>IFERROR(IF(VLOOKUP($B193,casostestes[#Data],9)=0,"-",VLOOKUP($B193,casostestes[#Data],9)),"-")</f>
        <v>-</v>
      </c>
      <c r="K193" s="51"/>
      <c r="L193" s="119"/>
      <c r="M193" s="53"/>
      <c r="N193" s="54"/>
      <c r="O193" s="54"/>
      <c r="P193" s="55"/>
    </row>
    <row r="194" spans="2:16">
      <c r="B194" s="56" t="str">
        <f>IF(ISERR(casostestes[[#This Row],[ID]]),"-",casostestes[[#This Row],[ID]])</f>
        <v>-</v>
      </c>
      <c r="C194" s="49" t="str">
        <f>IFERROR(IF(VLOOKUP($B194,casostestes[#Data],10)=0,"Não",VLOOKUP($B194,casostestes[#Data],10)), "-")</f>
        <v>-</v>
      </c>
      <c r="D194" s="50" t="str">
        <f>IFERROR(IF(VLOOKUP($B194,casostestes[#Data],2)=0,"-",VLOOKUP($B194,casostestes[#Data],2)), "-")</f>
        <v>-</v>
      </c>
      <c r="E194" s="50" t="str">
        <f>IFERROR(IF(VLOOKUP($B194,casostestes[#Data],3)=0,"-",VLOOKUP($B194,casostestes[#Data],3)), "-")</f>
        <v>-</v>
      </c>
      <c r="F194" s="50" t="str">
        <f>IFERROR(IF(VLOOKUP($B194,casostestes[#Data],4)=0,"-",VLOOKUP($B194,casostestes[#Data],4)),"-")</f>
        <v>-</v>
      </c>
      <c r="G194" s="50" t="str">
        <f>IFERROR(IF(VLOOKUP($B194,casostestes[#Data],5)=0,"-",VLOOKUP($B194,casostestes[#Data],5)),"-")</f>
        <v>-</v>
      </c>
      <c r="H194" s="50" t="str">
        <f>IFERROR(IF(VLOOKUP($B194,casostestes[#Data],6)=0,"-",VLOOKUP($B194,casostestes[#Data],6)),"-")</f>
        <v>-</v>
      </c>
      <c r="I194" s="50" t="str">
        <f>IFERROR(IF(VLOOKUP($B194,casostestes[#Data],8)=0,"-",VLOOKUP($B194,casostestes[#Data],8)),"-")</f>
        <v>-</v>
      </c>
      <c r="J194" s="50" t="str">
        <f>IFERROR(IF(VLOOKUP($B194,casostestes[#Data],9)=0,"-",VLOOKUP($B194,casostestes[#Data],9)),"-")</f>
        <v>-</v>
      </c>
      <c r="K194" s="51"/>
      <c r="L194" s="119"/>
      <c r="M194" s="53"/>
      <c r="N194" s="54"/>
      <c r="O194" s="54"/>
      <c r="P194" s="55"/>
    </row>
    <row r="195" spans="2:16">
      <c r="B195" s="56" t="str">
        <f>IF(ISERR(casostestes[[#This Row],[ID]]),"-",casostestes[[#This Row],[ID]])</f>
        <v>-</v>
      </c>
      <c r="C195" s="49" t="str">
        <f>IFERROR(IF(VLOOKUP($B195,casostestes[#Data],10)=0,"Não",VLOOKUP($B195,casostestes[#Data],10)), "-")</f>
        <v>-</v>
      </c>
      <c r="D195" s="50" t="str">
        <f>IFERROR(IF(VLOOKUP($B195,casostestes[#Data],2)=0,"-",VLOOKUP($B195,casostestes[#Data],2)), "-")</f>
        <v>-</v>
      </c>
      <c r="E195" s="50" t="str">
        <f>IFERROR(IF(VLOOKUP($B195,casostestes[#Data],3)=0,"-",VLOOKUP($B195,casostestes[#Data],3)), "-")</f>
        <v>-</v>
      </c>
      <c r="F195" s="50" t="str">
        <f>IFERROR(IF(VLOOKUP($B195,casostestes[#Data],4)=0,"-",VLOOKUP($B195,casostestes[#Data],4)),"-")</f>
        <v>-</v>
      </c>
      <c r="G195" s="50" t="str">
        <f>IFERROR(IF(VLOOKUP($B195,casostestes[#Data],5)=0,"-",VLOOKUP($B195,casostestes[#Data],5)),"-")</f>
        <v>-</v>
      </c>
      <c r="H195" s="50" t="str">
        <f>IFERROR(IF(VLOOKUP($B195,casostestes[#Data],6)=0,"-",VLOOKUP($B195,casostestes[#Data],6)),"-")</f>
        <v>-</v>
      </c>
      <c r="I195" s="50" t="str">
        <f>IFERROR(IF(VLOOKUP($B195,casostestes[#Data],8)=0,"-",VLOOKUP($B195,casostestes[#Data],8)),"-")</f>
        <v>-</v>
      </c>
      <c r="J195" s="50" t="str">
        <f>IFERROR(IF(VLOOKUP($B195,casostestes[#Data],9)=0,"-",VLOOKUP($B195,casostestes[#Data],9)),"-")</f>
        <v>-</v>
      </c>
      <c r="K195" s="51"/>
      <c r="L195" s="119"/>
      <c r="M195" s="53"/>
      <c r="N195" s="54"/>
      <c r="O195" s="54"/>
      <c r="P195" s="55"/>
    </row>
    <row r="196" spans="2:16">
      <c r="B196" s="56" t="str">
        <f>IF(ISERR(casostestes[[#This Row],[ID]]),"-",casostestes[[#This Row],[ID]])</f>
        <v>-</v>
      </c>
      <c r="C196" s="49" t="str">
        <f>IFERROR(IF(VLOOKUP($B196,casostestes[#Data],10)=0,"Não",VLOOKUP($B196,casostestes[#Data],10)), "-")</f>
        <v>-</v>
      </c>
      <c r="D196" s="50" t="str">
        <f>IFERROR(IF(VLOOKUP($B196,casostestes[#Data],2)=0,"-",VLOOKUP($B196,casostestes[#Data],2)), "-")</f>
        <v>-</v>
      </c>
      <c r="E196" s="50" t="str">
        <f>IFERROR(IF(VLOOKUP($B196,casostestes[#Data],3)=0,"-",VLOOKUP($B196,casostestes[#Data],3)), "-")</f>
        <v>-</v>
      </c>
      <c r="F196" s="50" t="str">
        <f>IFERROR(IF(VLOOKUP($B196,casostestes[#Data],4)=0,"-",VLOOKUP($B196,casostestes[#Data],4)),"-")</f>
        <v>-</v>
      </c>
      <c r="G196" s="50" t="str">
        <f>IFERROR(IF(VLOOKUP($B196,casostestes[#Data],5)=0,"-",VLOOKUP($B196,casostestes[#Data],5)),"-")</f>
        <v>-</v>
      </c>
      <c r="H196" s="50" t="str">
        <f>IFERROR(IF(VLOOKUP($B196,casostestes[#Data],6)=0,"-",VLOOKUP($B196,casostestes[#Data],6)),"-")</f>
        <v>-</v>
      </c>
      <c r="I196" s="50" t="str">
        <f>IFERROR(IF(VLOOKUP($B196,casostestes[#Data],8)=0,"-",VLOOKUP($B196,casostestes[#Data],8)),"-")</f>
        <v>-</v>
      </c>
      <c r="J196" s="50" t="str">
        <f>IFERROR(IF(VLOOKUP($B196,casostestes[#Data],9)=0,"-",VLOOKUP($B196,casostestes[#Data],9)),"-")</f>
        <v>-</v>
      </c>
      <c r="K196" s="51"/>
      <c r="L196" s="119"/>
      <c r="M196" s="53"/>
      <c r="N196" s="54"/>
      <c r="O196" s="54"/>
      <c r="P196" s="55"/>
    </row>
    <row r="197" spans="2:16">
      <c r="B197" s="56" t="str">
        <f>IF(ISERR(casostestes[[#This Row],[ID]]),"-",casostestes[[#This Row],[ID]])</f>
        <v>-</v>
      </c>
      <c r="C197" s="49" t="str">
        <f>IFERROR(IF(VLOOKUP($B197,casostestes[#Data],10)=0,"Não",VLOOKUP($B197,casostestes[#Data],10)), "-")</f>
        <v>-</v>
      </c>
      <c r="D197" s="50" t="str">
        <f>IFERROR(IF(VLOOKUP($B197,casostestes[#Data],2)=0,"-",VLOOKUP($B197,casostestes[#Data],2)), "-")</f>
        <v>-</v>
      </c>
      <c r="E197" s="50" t="str">
        <f>IFERROR(IF(VLOOKUP($B197,casostestes[#Data],3)=0,"-",VLOOKUP($B197,casostestes[#Data],3)), "-")</f>
        <v>-</v>
      </c>
      <c r="F197" s="50" t="str">
        <f>IFERROR(IF(VLOOKUP($B197,casostestes[#Data],4)=0,"-",VLOOKUP($B197,casostestes[#Data],4)),"-")</f>
        <v>-</v>
      </c>
      <c r="G197" s="50" t="str">
        <f>IFERROR(IF(VLOOKUP($B197,casostestes[#Data],5)=0,"-",VLOOKUP($B197,casostestes[#Data],5)),"-")</f>
        <v>-</v>
      </c>
      <c r="H197" s="50" t="str">
        <f>IFERROR(IF(VLOOKUP($B197,casostestes[#Data],6)=0,"-",VLOOKUP($B197,casostestes[#Data],6)),"-")</f>
        <v>-</v>
      </c>
      <c r="I197" s="50" t="str">
        <f>IFERROR(IF(VLOOKUP($B197,casostestes[#Data],8)=0,"-",VLOOKUP($B197,casostestes[#Data],8)),"-")</f>
        <v>-</v>
      </c>
      <c r="J197" s="50" t="str">
        <f>IFERROR(IF(VLOOKUP($B197,casostestes[#Data],9)=0,"-",VLOOKUP($B197,casostestes[#Data],9)),"-")</f>
        <v>-</v>
      </c>
      <c r="K197" s="51"/>
      <c r="L197" s="119"/>
      <c r="M197" s="53"/>
      <c r="N197" s="54"/>
      <c r="O197" s="54"/>
      <c r="P197" s="55"/>
    </row>
    <row r="198" spans="2:16">
      <c r="B198" s="56" t="str">
        <f>IF(ISERR(casostestes[[#This Row],[ID]]),"-",casostestes[[#This Row],[ID]])</f>
        <v>-</v>
      </c>
      <c r="C198" s="49" t="str">
        <f>IFERROR(IF(VLOOKUP($B198,casostestes[#Data],10)=0,"Não",VLOOKUP($B198,casostestes[#Data],10)), "-")</f>
        <v>-</v>
      </c>
      <c r="D198" s="50" t="str">
        <f>IFERROR(IF(VLOOKUP($B198,casostestes[#Data],2)=0,"-",VLOOKUP($B198,casostestes[#Data],2)), "-")</f>
        <v>-</v>
      </c>
      <c r="E198" s="50" t="str">
        <f>IFERROR(IF(VLOOKUP($B198,casostestes[#Data],3)=0,"-",VLOOKUP($B198,casostestes[#Data],3)), "-")</f>
        <v>-</v>
      </c>
      <c r="F198" s="50" t="str">
        <f>IFERROR(IF(VLOOKUP($B198,casostestes[#Data],4)=0,"-",VLOOKUP($B198,casostestes[#Data],4)),"-")</f>
        <v>-</v>
      </c>
      <c r="G198" s="50" t="str">
        <f>IFERROR(IF(VLOOKUP($B198,casostestes[#Data],5)=0,"-",VLOOKUP($B198,casostestes[#Data],5)),"-")</f>
        <v>-</v>
      </c>
      <c r="H198" s="50" t="str">
        <f>IFERROR(IF(VLOOKUP($B198,casostestes[#Data],6)=0,"-",VLOOKUP($B198,casostestes[#Data],6)),"-")</f>
        <v>-</v>
      </c>
      <c r="I198" s="50" t="str">
        <f>IFERROR(IF(VLOOKUP($B198,casostestes[#Data],8)=0,"-",VLOOKUP($B198,casostestes[#Data],8)),"-")</f>
        <v>-</v>
      </c>
      <c r="J198" s="50" t="str">
        <f>IFERROR(IF(VLOOKUP($B198,casostestes[#Data],9)=0,"-",VLOOKUP($B198,casostestes[#Data],9)),"-")</f>
        <v>-</v>
      </c>
      <c r="K198" s="51"/>
      <c r="L198" s="119"/>
      <c r="M198" s="53"/>
      <c r="N198" s="54"/>
      <c r="O198" s="54"/>
      <c r="P198" s="55"/>
    </row>
    <row r="199" spans="2:16">
      <c r="B199" s="56" t="str">
        <f>IF(ISERR(casostestes[[#This Row],[ID]]),"-",casostestes[[#This Row],[ID]])</f>
        <v>-</v>
      </c>
      <c r="C199" s="49" t="str">
        <f>IFERROR(IF(VLOOKUP($B199,casostestes[#Data],10)=0,"Não",VLOOKUP($B199,casostestes[#Data],10)), "-")</f>
        <v>-</v>
      </c>
      <c r="D199" s="50" t="str">
        <f>IFERROR(IF(VLOOKUP($B199,casostestes[#Data],2)=0,"-",VLOOKUP($B199,casostestes[#Data],2)), "-")</f>
        <v>-</v>
      </c>
      <c r="E199" s="50" t="str">
        <f>IFERROR(IF(VLOOKUP($B199,casostestes[#Data],3)=0,"-",VLOOKUP($B199,casostestes[#Data],3)), "-")</f>
        <v>-</v>
      </c>
      <c r="F199" s="50" t="str">
        <f>IFERROR(IF(VLOOKUP($B199,casostestes[#Data],4)=0,"-",VLOOKUP($B199,casostestes[#Data],4)),"-")</f>
        <v>-</v>
      </c>
      <c r="G199" s="50" t="str">
        <f>IFERROR(IF(VLOOKUP($B199,casostestes[#Data],5)=0,"-",VLOOKUP($B199,casostestes[#Data],5)),"-")</f>
        <v>-</v>
      </c>
      <c r="H199" s="50" t="str">
        <f>IFERROR(IF(VLOOKUP($B199,casostestes[#Data],6)=0,"-",VLOOKUP($B199,casostestes[#Data],6)),"-")</f>
        <v>-</v>
      </c>
      <c r="I199" s="50" t="str">
        <f>IFERROR(IF(VLOOKUP($B199,casostestes[#Data],8)=0,"-",VLOOKUP($B199,casostestes[#Data],8)),"-")</f>
        <v>-</v>
      </c>
      <c r="J199" s="50" t="str">
        <f>IFERROR(IF(VLOOKUP($B199,casostestes[#Data],9)=0,"-",VLOOKUP($B199,casostestes[#Data],9)),"-")</f>
        <v>-</v>
      </c>
      <c r="K199" s="51"/>
      <c r="L199" s="119"/>
      <c r="M199" s="53"/>
      <c r="N199" s="54"/>
      <c r="O199" s="54"/>
      <c r="P199" s="55"/>
    </row>
    <row r="200" spans="2:16">
      <c r="B200" s="56" t="str">
        <f>IF(ISERR(casostestes[[#This Row],[ID]]),"-",casostestes[[#This Row],[ID]])</f>
        <v>-</v>
      </c>
      <c r="C200" s="58" t="str">
        <f>IFERROR(IF(VLOOKUP($B200,casostestes[#Data],10)=0,"Não",VLOOKUP($B200,casostestes[#Data],10)), "-")</f>
        <v>-</v>
      </c>
      <c r="D200" s="59" t="str">
        <f>IFERROR(IF(VLOOKUP($B200,casostestes[#Data],2)=0,"-",VLOOKUP($B200,casostestes[#Data],2)), "-")</f>
        <v>-</v>
      </c>
      <c r="E200" s="59" t="str">
        <f>IFERROR(IF(VLOOKUP($B200,casostestes[#Data],3)=0,"-",VLOOKUP($B200,casostestes[#Data],3)), "-")</f>
        <v>-</v>
      </c>
      <c r="F200" s="59" t="str">
        <f>IFERROR(IF(VLOOKUP($B200,casostestes[#Data],4)=0,"-",VLOOKUP($B200,casostestes[#Data],4)),"-")</f>
        <v>-</v>
      </c>
      <c r="G200" s="59" t="str">
        <f>IFERROR(IF(VLOOKUP($B200,casostestes[#Data],5)=0,"-",VLOOKUP($B200,casostestes[#Data],5)),"-")</f>
        <v>-</v>
      </c>
      <c r="H200" s="59" t="str">
        <f>IFERROR(IF(VLOOKUP($B200,casostestes[#Data],6)=0,"-",VLOOKUP($B200,casostestes[#Data],6)),"-")</f>
        <v>-</v>
      </c>
      <c r="I200" s="59" t="str">
        <f>IFERROR(IF(VLOOKUP($B200,casostestes[#Data],8)=0,"-",VLOOKUP($B200,casostestes[#Data],8)),"-")</f>
        <v>-</v>
      </c>
      <c r="J200" s="59" t="str">
        <f>IFERROR(IF(VLOOKUP($B200,casostestes[#Data],9)=0,"-",VLOOKUP($B200,casostestes[#Data],9)),"-")</f>
        <v>-</v>
      </c>
      <c r="K200" s="60"/>
      <c r="L200" s="119"/>
      <c r="M200" s="61"/>
      <c r="N200" s="62"/>
      <c r="O200" s="62"/>
      <c r="P200" s="63"/>
    </row>
  </sheetData>
  <mergeCells count="3">
    <mergeCell ref="B1:J1"/>
    <mergeCell ref="B2:J2"/>
    <mergeCell ref="B3:J3"/>
  </mergeCells>
  <conditionalFormatting sqref="C8:C200 C201:D1048576">
    <cfRule type="cellIs" dxfId="56" priority="6" operator="equal">
      <formula>"Sim"</formula>
    </cfRule>
    <cfRule type="cellIs" dxfId="55" priority="7" operator="equal">
      <formula>"Não"</formula>
    </cfRule>
  </conditionalFormatting>
  <conditionalFormatting sqref="M8:M200">
    <cfRule type="cellIs" dxfId="54" priority="1" operator="equal">
      <formula>"Sem massa"</formula>
    </cfRule>
    <cfRule type="cellIs" dxfId="53" priority="2" operator="equal">
      <formula>"Pendência Externa"</formula>
    </cfRule>
    <cfRule type="cellIs" dxfId="52" priority="3" operator="equal">
      <formula>"Disponível para reteste"</formula>
    </cfRule>
    <cfRule type="cellIs" dxfId="51" priority="4" operator="equal">
      <formula>"Reprovado"</formula>
    </cfRule>
    <cfRule type="cellIs" dxfId="50" priority="5" operator="equal">
      <formula>"Aprovado"</formula>
    </cfRule>
  </conditionalFormatting>
  <dataValidations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M43"/>
  <sheetViews>
    <sheetView showGridLines="0" topLeftCell="G1" workbookViewId="0">
      <selection activeCell="N8" sqref="N8"/>
    </sheetView>
  </sheetViews>
  <sheetFormatPr defaultColWidth="8.85546875" defaultRowHeight="1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92.1406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3" customFormat="1" ht="26.25">
      <c r="B1" s="102" t="s">
        <v>0</v>
      </c>
      <c r="C1" s="102"/>
      <c r="D1" s="102"/>
      <c r="E1" s="102"/>
      <c r="F1" s="102"/>
      <c r="G1" s="102"/>
      <c r="H1" s="102"/>
      <c r="I1" s="102"/>
      <c r="J1" s="102"/>
      <c r="K1" s="102"/>
      <c r="L1" s="4"/>
    </row>
    <row r="2" spans="2:13" s="1" customFormat="1" ht="23.25">
      <c r="B2" s="103" t="s">
        <v>38</v>
      </c>
      <c r="C2" s="103"/>
      <c r="D2" s="103"/>
      <c r="E2" s="103"/>
      <c r="F2" s="103"/>
      <c r="G2" s="103"/>
      <c r="H2" s="103"/>
      <c r="I2" s="103"/>
      <c r="J2" s="103"/>
      <c r="K2" s="103"/>
      <c r="L2" s="5"/>
    </row>
    <row r="3" spans="2:13" s="1" customFormat="1" ht="23.25">
      <c r="B3" s="103" t="s">
        <v>32</v>
      </c>
      <c r="C3" s="103"/>
      <c r="D3" s="103"/>
      <c r="E3" s="103"/>
      <c r="F3" s="103"/>
      <c r="G3" s="103"/>
      <c r="H3" s="103"/>
      <c r="I3" s="103"/>
      <c r="J3" s="103"/>
      <c r="K3" s="103"/>
      <c r="L3" s="5"/>
    </row>
    <row r="4" spans="2:13" customFormat="1">
      <c r="C4" s="9"/>
      <c r="D4" s="9"/>
    </row>
    <row r="5" spans="2:13" customFormat="1">
      <c r="B5" s="2" t="s">
        <v>2</v>
      </c>
      <c r="C5" s="10"/>
      <c r="D5" s="10"/>
    </row>
    <row r="6" spans="2:13" customFormat="1">
      <c r="C6" s="9"/>
      <c r="D6" s="9"/>
    </row>
    <row r="7" spans="2:13" s="7" customFormat="1" ht="18" customHeight="1">
      <c r="B7" s="36" t="s">
        <v>35</v>
      </c>
      <c r="C7" s="37" t="s">
        <v>39</v>
      </c>
      <c r="D7" s="37" t="s">
        <v>5</v>
      </c>
      <c r="E7" s="36" t="s">
        <v>6</v>
      </c>
      <c r="F7" s="36" t="s">
        <v>7</v>
      </c>
      <c r="G7" s="36" t="s">
        <v>8</v>
      </c>
      <c r="H7" s="36" t="s">
        <v>9</v>
      </c>
      <c r="I7" s="36" t="s">
        <v>33</v>
      </c>
      <c r="J7" s="36" t="s">
        <v>11</v>
      </c>
      <c r="K7" s="36" t="s">
        <v>4</v>
      </c>
      <c r="L7" s="36" t="s">
        <v>34</v>
      </c>
      <c r="M7" s="117" t="s">
        <v>195</v>
      </c>
    </row>
    <row r="8" spans="2:13" ht="114.75">
      <c r="B8" s="38">
        <f t="shared" ref="B8:B9" si="0">IF(B7="ID",1,B7+1)</f>
        <v>1</v>
      </c>
      <c r="C8" s="39" t="s">
        <v>40</v>
      </c>
      <c r="D8" s="39" t="s">
        <v>113</v>
      </c>
      <c r="E8" s="40" t="s">
        <v>24</v>
      </c>
      <c r="F8" s="41" t="s">
        <v>18</v>
      </c>
      <c r="G8" s="39" t="s">
        <v>110</v>
      </c>
      <c r="H8" s="39"/>
      <c r="I8" s="42"/>
      <c r="J8" s="43" t="s">
        <v>107</v>
      </c>
      <c r="K8" s="42"/>
      <c r="L8" s="42"/>
      <c r="M8" s="115">
        <v>1</v>
      </c>
    </row>
    <row r="9" spans="2:13" ht="140.25">
      <c r="B9" s="38">
        <f t="shared" si="0"/>
        <v>2</v>
      </c>
      <c r="C9" s="39" t="s">
        <v>40</v>
      </c>
      <c r="D9" s="39" t="s">
        <v>114</v>
      </c>
      <c r="E9" s="39" t="s">
        <v>24</v>
      </c>
      <c r="F9" s="42" t="s">
        <v>18</v>
      </c>
      <c r="G9" s="39" t="s">
        <v>41</v>
      </c>
      <c r="H9" s="44"/>
      <c r="I9" s="42"/>
      <c r="J9" s="39" t="s">
        <v>108</v>
      </c>
      <c r="K9" s="42"/>
      <c r="L9" s="42"/>
      <c r="M9" s="114"/>
    </row>
    <row r="10" spans="2:13" ht="114.75">
      <c r="B10" s="38">
        <f>IF(B9="ID",1,B9+1)</f>
        <v>3</v>
      </c>
      <c r="C10" s="39" t="s">
        <v>40</v>
      </c>
      <c r="D10" s="39" t="s">
        <v>111</v>
      </c>
      <c r="E10" s="39" t="s">
        <v>24</v>
      </c>
      <c r="F10" s="42" t="s">
        <v>18</v>
      </c>
      <c r="G10" s="39" t="s">
        <v>78</v>
      </c>
      <c r="H10" s="44"/>
      <c r="I10" s="42"/>
      <c r="J10" s="39" t="s">
        <v>107</v>
      </c>
      <c r="K10" s="42"/>
      <c r="L10" s="42"/>
      <c r="M10" s="114"/>
    </row>
    <row r="11" spans="2:13" ht="102">
      <c r="B11" s="38">
        <f>IF(B10="ID",1,B10+1)</f>
        <v>4</v>
      </c>
      <c r="C11" s="39" t="s">
        <v>40</v>
      </c>
      <c r="D11" s="39" t="s">
        <v>112</v>
      </c>
      <c r="E11" s="39" t="s">
        <v>24</v>
      </c>
      <c r="F11" s="42" t="s">
        <v>18</v>
      </c>
      <c r="G11" s="39" t="s">
        <v>79</v>
      </c>
      <c r="H11" s="44"/>
      <c r="I11" s="42"/>
      <c r="J11" s="39" t="s">
        <v>109</v>
      </c>
      <c r="K11" s="42"/>
      <c r="L11" s="42"/>
      <c r="M11" s="114"/>
    </row>
    <row r="12" spans="2:13" ht="140.25">
      <c r="B12" s="38">
        <f t="shared" ref="B12:B43" si="1">IF(B11="ID",1,B11+1)</f>
        <v>5</v>
      </c>
      <c r="C12" s="39" t="s">
        <v>40</v>
      </c>
      <c r="D12" s="35" t="s">
        <v>115</v>
      </c>
      <c r="E12" s="39" t="s">
        <v>24</v>
      </c>
      <c r="F12" s="42" t="s">
        <v>18</v>
      </c>
      <c r="G12" s="35" t="s">
        <v>43</v>
      </c>
      <c r="H12" s="45"/>
      <c r="I12" s="42"/>
      <c r="J12" s="35" t="s">
        <v>81</v>
      </c>
      <c r="K12" s="42"/>
      <c r="L12" s="42"/>
      <c r="M12" s="114"/>
    </row>
    <row r="13" spans="2:13" ht="204">
      <c r="B13" s="38">
        <f t="shared" si="1"/>
        <v>6</v>
      </c>
      <c r="C13" s="39" t="s">
        <v>40</v>
      </c>
      <c r="D13" s="35" t="s">
        <v>116</v>
      </c>
      <c r="E13" s="39" t="s">
        <v>24</v>
      </c>
      <c r="F13" s="42" t="s">
        <v>18</v>
      </c>
      <c r="G13" s="35" t="s">
        <v>44</v>
      </c>
      <c r="H13" s="45"/>
      <c r="I13" s="42"/>
      <c r="J13" s="35" t="s">
        <v>86</v>
      </c>
      <c r="K13" s="42"/>
      <c r="L13" s="42"/>
      <c r="M13" s="114"/>
    </row>
    <row r="14" spans="2:13" ht="178.5">
      <c r="B14" s="38">
        <f t="shared" si="1"/>
        <v>7</v>
      </c>
      <c r="C14" s="39" t="s">
        <v>40</v>
      </c>
      <c r="D14" s="35" t="s">
        <v>117</v>
      </c>
      <c r="E14" s="39" t="s">
        <v>24</v>
      </c>
      <c r="F14" s="42" t="s">
        <v>18</v>
      </c>
      <c r="G14" s="35" t="s">
        <v>45</v>
      </c>
      <c r="H14" s="45"/>
      <c r="I14" s="42"/>
      <c r="J14" s="35" t="s">
        <v>82</v>
      </c>
      <c r="K14" s="42"/>
      <c r="L14" s="42"/>
      <c r="M14" s="114"/>
    </row>
    <row r="15" spans="2:13" ht="153">
      <c r="B15" s="38">
        <f t="shared" si="1"/>
        <v>8</v>
      </c>
      <c r="C15" s="39" t="s">
        <v>40</v>
      </c>
      <c r="D15" s="39" t="s">
        <v>118</v>
      </c>
      <c r="E15" s="39" t="s">
        <v>24</v>
      </c>
      <c r="F15" s="42" t="s">
        <v>18</v>
      </c>
      <c r="G15" s="35" t="s">
        <v>46</v>
      </c>
      <c r="H15" s="45"/>
      <c r="I15" s="42"/>
      <c r="J15" s="35" t="s">
        <v>87</v>
      </c>
      <c r="K15" s="42"/>
      <c r="L15" s="42"/>
      <c r="M15" s="114"/>
    </row>
    <row r="16" spans="2:13" ht="76.5">
      <c r="B16" s="38">
        <f t="shared" si="1"/>
        <v>9</v>
      </c>
      <c r="C16" s="39"/>
      <c r="D16" s="35" t="s">
        <v>47</v>
      </c>
      <c r="E16" s="39" t="s">
        <v>24</v>
      </c>
      <c r="F16" s="42" t="s">
        <v>18</v>
      </c>
      <c r="G16" s="35" t="s">
        <v>48</v>
      </c>
      <c r="H16" s="45"/>
      <c r="I16" s="42"/>
      <c r="J16" s="35" t="s">
        <v>49</v>
      </c>
      <c r="K16" s="42"/>
      <c r="L16" s="42"/>
      <c r="M16" s="114"/>
    </row>
    <row r="17" spans="2:13" ht="191.25">
      <c r="B17" s="38">
        <f t="shared" si="1"/>
        <v>10</v>
      </c>
      <c r="C17" s="39"/>
      <c r="D17" s="35" t="s">
        <v>50</v>
      </c>
      <c r="E17" s="39" t="s">
        <v>24</v>
      </c>
      <c r="F17" s="42" t="s">
        <v>18</v>
      </c>
      <c r="G17" s="35" t="s">
        <v>51</v>
      </c>
      <c r="H17" s="45"/>
      <c r="I17" s="42"/>
      <c r="J17" s="35" t="s">
        <v>88</v>
      </c>
      <c r="K17" s="42"/>
      <c r="L17" s="42"/>
      <c r="M17" s="114"/>
    </row>
    <row r="18" spans="2:13" ht="140.25">
      <c r="B18" s="38">
        <f t="shared" si="1"/>
        <v>11</v>
      </c>
      <c r="C18" s="39"/>
      <c r="D18" s="35" t="s">
        <v>52</v>
      </c>
      <c r="E18" s="39" t="s">
        <v>24</v>
      </c>
      <c r="F18" s="42" t="s">
        <v>18</v>
      </c>
      <c r="G18" s="35" t="s">
        <v>53</v>
      </c>
      <c r="H18" s="45"/>
      <c r="I18" s="42"/>
      <c r="J18" s="35" t="s">
        <v>89</v>
      </c>
      <c r="K18" s="42"/>
      <c r="L18" s="42"/>
      <c r="M18" s="114"/>
    </row>
    <row r="19" spans="2:13" ht="102">
      <c r="B19" s="38">
        <f t="shared" si="1"/>
        <v>12</v>
      </c>
      <c r="C19" s="39"/>
      <c r="D19" s="35" t="s">
        <v>54</v>
      </c>
      <c r="E19" s="39" t="s">
        <v>24</v>
      </c>
      <c r="F19" s="42" t="s">
        <v>18</v>
      </c>
      <c r="G19" s="35" t="s">
        <v>55</v>
      </c>
      <c r="H19" s="45"/>
      <c r="I19" s="42"/>
      <c r="J19" s="35" t="s">
        <v>90</v>
      </c>
      <c r="K19" s="42"/>
      <c r="L19" s="42"/>
      <c r="M19" s="114"/>
    </row>
    <row r="20" spans="2:13" ht="204">
      <c r="B20" s="38">
        <f t="shared" si="1"/>
        <v>13</v>
      </c>
      <c r="C20" s="39" t="s">
        <v>40</v>
      </c>
      <c r="D20" s="39" t="s">
        <v>119</v>
      </c>
      <c r="E20" s="39" t="s">
        <v>24</v>
      </c>
      <c r="F20" s="42" t="s">
        <v>18</v>
      </c>
      <c r="G20" s="35" t="s">
        <v>57</v>
      </c>
      <c r="H20" s="45"/>
      <c r="I20" s="42"/>
      <c r="J20" s="46" t="s">
        <v>91</v>
      </c>
      <c r="K20" s="42"/>
      <c r="L20" s="42"/>
      <c r="M20" s="114"/>
    </row>
    <row r="21" spans="2:13" ht="204">
      <c r="B21" s="38">
        <f t="shared" si="1"/>
        <v>14</v>
      </c>
      <c r="C21" s="39" t="s">
        <v>40</v>
      </c>
      <c r="D21" s="39" t="s">
        <v>120</v>
      </c>
      <c r="E21" s="39" t="s">
        <v>24</v>
      </c>
      <c r="F21" s="42" t="s">
        <v>18</v>
      </c>
      <c r="G21" s="35" t="s">
        <v>58</v>
      </c>
      <c r="H21" s="45"/>
      <c r="I21" s="42"/>
      <c r="J21" s="46" t="s">
        <v>92</v>
      </c>
      <c r="K21" s="42"/>
      <c r="L21" s="42"/>
      <c r="M21" s="114"/>
    </row>
    <row r="22" spans="2:13" ht="267.75">
      <c r="B22" s="38">
        <f t="shared" si="1"/>
        <v>15</v>
      </c>
      <c r="C22" s="39" t="s">
        <v>40</v>
      </c>
      <c r="D22" s="39" t="s">
        <v>121</v>
      </c>
      <c r="E22" s="39" t="s">
        <v>24</v>
      </c>
      <c r="F22" s="42" t="s">
        <v>18</v>
      </c>
      <c r="G22" s="35" t="s">
        <v>59</v>
      </c>
      <c r="H22" s="45"/>
      <c r="I22" s="42"/>
      <c r="J22" s="35" t="s">
        <v>93</v>
      </c>
      <c r="K22" s="42"/>
      <c r="L22" s="42"/>
      <c r="M22" s="114"/>
    </row>
    <row r="23" spans="2:13" ht="255">
      <c r="B23" s="38">
        <f t="shared" si="1"/>
        <v>16</v>
      </c>
      <c r="C23" s="39" t="s">
        <v>40</v>
      </c>
      <c r="D23" s="39" t="s">
        <v>122</v>
      </c>
      <c r="E23" s="39" t="s">
        <v>24</v>
      </c>
      <c r="F23" s="42" t="s">
        <v>18</v>
      </c>
      <c r="G23" s="35" t="s">
        <v>60</v>
      </c>
      <c r="H23" s="45"/>
      <c r="I23" s="42"/>
      <c r="J23" s="35" t="s">
        <v>94</v>
      </c>
      <c r="K23" s="42"/>
      <c r="L23" s="42"/>
      <c r="M23" s="114"/>
    </row>
    <row r="24" spans="2:13" ht="191.25">
      <c r="B24" s="38">
        <f t="shared" si="1"/>
        <v>17</v>
      </c>
      <c r="C24" s="39" t="s">
        <v>40</v>
      </c>
      <c r="D24" s="39" t="s">
        <v>118</v>
      </c>
      <c r="E24" s="39" t="s">
        <v>24</v>
      </c>
      <c r="F24" s="42" t="s">
        <v>22</v>
      </c>
      <c r="G24" s="35" t="s">
        <v>95</v>
      </c>
      <c r="H24" s="45"/>
      <c r="I24" s="42"/>
      <c r="J24" s="35" t="s">
        <v>96</v>
      </c>
      <c r="K24" s="42"/>
      <c r="L24" s="42"/>
      <c r="M24" s="114"/>
    </row>
    <row r="25" spans="2:13" ht="102">
      <c r="B25" s="38">
        <f t="shared" si="1"/>
        <v>18</v>
      </c>
      <c r="C25" s="39" t="s">
        <v>40</v>
      </c>
      <c r="D25" s="35" t="s">
        <v>123</v>
      </c>
      <c r="E25" s="39" t="s">
        <v>24</v>
      </c>
      <c r="F25" s="42" t="s">
        <v>25</v>
      </c>
      <c r="G25" s="35" t="s">
        <v>42</v>
      </c>
      <c r="H25" s="45"/>
      <c r="I25" s="42"/>
      <c r="J25" s="35" t="s">
        <v>83</v>
      </c>
      <c r="K25" s="42"/>
      <c r="L25" s="42"/>
      <c r="M25" s="114"/>
    </row>
    <row r="26" spans="2:13" ht="140.25">
      <c r="B26" s="38">
        <f t="shared" si="1"/>
        <v>19</v>
      </c>
      <c r="C26" s="39" t="s">
        <v>40</v>
      </c>
      <c r="D26" s="35" t="s">
        <v>124</v>
      </c>
      <c r="E26" s="39" t="s">
        <v>24</v>
      </c>
      <c r="F26" s="42" t="s">
        <v>25</v>
      </c>
      <c r="G26" s="35" t="s">
        <v>43</v>
      </c>
      <c r="H26" s="45"/>
      <c r="I26" s="42"/>
      <c r="J26" s="35" t="s">
        <v>84</v>
      </c>
      <c r="K26" s="42"/>
      <c r="L26" s="42"/>
      <c r="M26" s="114"/>
    </row>
    <row r="27" spans="2:13" ht="204">
      <c r="B27" s="38">
        <f t="shared" si="1"/>
        <v>20</v>
      </c>
      <c r="C27" s="39" t="s">
        <v>40</v>
      </c>
      <c r="D27" s="39" t="s">
        <v>125</v>
      </c>
      <c r="E27" s="39" t="s">
        <v>24</v>
      </c>
      <c r="F27" s="42" t="s">
        <v>25</v>
      </c>
      <c r="G27" s="35" t="s">
        <v>44</v>
      </c>
      <c r="H27" s="45"/>
      <c r="I27" s="42"/>
      <c r="J27" s="35" t="s">
        <v>97</v>
      </c>
      <c r="K27" s="42"/>
      <c r="L27" s="42"/>
      <c r="M27" s="114"/>
    </row>
    <row r="28" spans="2:13" ht="204">
      <c r="B28" s="38">
        <f t="shared" si="1"/>
        <v>21</v>
      </c>
      <c r="C28" s="39" t="s">
        <v>40</v>
      </c>
      <c r="D28" s="39" t="s">
        <v>126</v>
      </c>
      <c r="E28" s="39" t="s">
        <v>24</v>
      </c>
      <c r="F28" s="42" t="s">
        <v>25</v>
      </c>
      <c r="G28" s="35" t="s">
        <v>45</v>
      </c>
      <c r="H28" s="45"/>
      <c r="I28" s="42"/>
      <c r="J28" s="35" t="s">
        <v>98</v>
      </c>
      <c r="K28" s="42"/>
      <c r="L28" s="42"/>
      <c r="M28" s="114"/>
    </row>
    <row r="29" spans="2:13" ht="114.75">
      <c r="B29" s="38">
        <f t="shared" si="1"/>
        <v>22</v>
      </c>
      <c r="C29" s="39" t="s">
        <v>40</v>
      </c>
      <c r="D29" s="39" t="s">
        <v>118</v>
      </c>
      <c r="E29" s="39" t="s">
        <v>24</v>
      </c>
      <c r="F29" s="42" t="s">
        <v>25</v>
      </c>
      <c r="G29" s="35" t="s">
        <v>46</v>
      </c>
      <c r="H29" s="45"/>
      <c r="I29" s="42"/>
      <c r="J29" s="46" t="s">
        <v>61</v>
      </c>
      <c r="K29" s="42"/>
      <c r="L29" s="42"/>
      <c r="M29" s="114"/>
    </row>
    <row r="30" spans="2:13" ht="178.5">
      <c r="B30" s="38">
        <f t="shared" si="1"/>
        <v>23</v>
      </c>
      <c r="C30" s="39"/>
      <c r="D30" s="35" t="s">
        <v>50</v>
      </c>
      <c r="E30" s="39" t="s">
        <v>24</v>
      </c>
      <c r="F30" s="42" t="s">
        <v>25</v>
      </c>
      <c r="G30" s="35" t="s">
        <v>62</v>
      </c>
      <c r="H30" s="45"/>
      <c r="I30" s="42"/>
      <c r="J30" s="35" t="s">
        <v>99</v>
      </c>
      <c r="K30" s="42"/>
      <c r="L30" s="42"/>
      <c r="M30" s="114"/>
    </row>
    <row r="31" spans="2:13" ht="178.5">
      <c r="B31" s="38">
        <f t="shared" si="1"/>
        <v>24</v>
      </c>
      <c r="C31" s="39"/>
      <c r="D31" s="35" t="s">
        <v>50</v>
      </c>
      <c r="E31" s="39" t="s">
        <v>24</v>
      </c>
      <c r="F31" s="42" t="s">
        <v>80</v>
      </c>
      <c r="G31" s="35" t="s">
        <v>63</v>
      </c>
      <c r="H31" s="45"/>
      <c r="I31" s="42"/>
      <c r="J31" s="35" t="s">
        <v>99</v>
      </c>
      <c r="K31" s="42"/>
      <c r="L31" s="42"/>
      <c r="M31" s="114"/>
    </row>
    <row r="32" spans="2:13" ht="153">
      <c r="B32" s="38">
        <f t="shared" si="1"/>
        <v>25</v>
      </c>
      <c r="C32" s="39"/>
      <c r="D32" s="35" t="s">
        <v>64</v>
      </c>
      <c r="E32" s="39" t="s">
        <v>24</v>
      </c>
      <c r="F32" s="42" t="s">
        <v>25</v>
      </c>
      <c r="G32" s="35" t="s">
        <v>65</v>
      </c>
      <c r="H32" s="45"/>
      <c r="I32" s="42"/>
      <c r="J32" s="35" t="s">
        <v>100</v>
      </c>
      <c r="K32" s="42"/>
      <c r="L32" s="42"/>
      <c r="M32" s="114"/>
    </row>
    <row r="33" spans="2:13" ht="102">
      <c r="B33" s="38">
        <f t="shared" si="1"/>
        <v>26</v>
      </c>
      <c r="C33" s="39"/>
      <c r="D33" s="35" t="s">
        <v>64</v>
      </c>
      <c r="E33" s="39" t="s">
        <v>24</v>
      </c>
      <c r="F33" s="42" t="s">
        <v>25</v>
      </c>
      <c r="G33" s="35" t="s">
        <v>66</v>
      </c>
      <c r="H33" s="45"/>
      <c r="I33" s="42"/>
      <c r="J33" s="35" t="s">
        <v>56</v>
      </c>
      <c r="K33" s="42"/>
      <c r="L33" s="42"/>
      <c r="M33" s="114"/>
    </row>
    <row r="34" spans="2:13" ht="102">
      <c r="B34" s="38">
        <f t="shared" si="1"/>
        <v>27</v>
      </c>
      <c r="C34" s="39" t="s">
        <v>40</v>
      </c>
      <c r="D34" s="35" t="s">
        <v>123</v>
      </c>
      <c r="E34" s="39" t="s">
        <v>21</v>
      </c>
      <c r="F34" s="42" t="s">
        <v>27</v>
      </c>
      <c r="G34" s="35" t="s">
        <v>67</v>
      </c>
      <c r="H34" s="45"/>
      <c r="I34" s="42"/>
      <c r="J34" s="35" t="s">
        <v>85</v>
      </c>
      <c r="K34" s="42"/>
      <c r="L34" s="42"/>
      <c r="M34" s="114"/>
    </row>
    <row r="35" spans="2:13" ht="140.25">
      <c r="B35" s="38">
        <f t="shared" si="1"/>
        <v>28</v>
      </c>
      <c r="C35" s="39" t="s">
        <v>40</v>
      </c>
      <c r="D35" s="35" t="s">
        <v>124</v>
      </c>
      <c r="E35" s="39" t="s">
        <v>21</v>
      </c>
      <c r="F35" s="42" t="s">
        <v>27</v>
      </c>
      <c r="G35" s="35" t="s">
        <v>68</v>
      </c>
      <c r="H35" s="45"/>
      <c r="I35" s="42"/>
      <c r="J35" s="35" t="s">
        <v>81</v>
      </c>
      <c r="K35" s="42"/>
      <c r="L35" s="42"/>
      <c r="M35" s="114"/>
    </row>
    <row r="36" spans="2:13" ht="216.75">
      <c r="B36" s="38">
        <f t="shared" si="1"/>
        <v>29</v>
      </c>
      <c r="C36" s="39" t="s">
        <v>40</v>
      </c>
      <c r="D36" s="39" t="s">
        <v>127</v>
      </c>
      <c r="E36" s="39" t="s">
        <v>21</v>
      </c>
      <c r="F36" s="42" t="s">
        <v>27</v>
      </c>
      <c r="G36" s="35" t="s">
        <v>69</v>
      </c>
      <c r="H36" s="45"/>
      <c r="I36" s="42"/>
      <c r="J36" s="35" t="s">
        <v>101</v>
      </c>
      <c r="K36" s="42"/>
      <c r="L36" s="42"/>
      <c r="M36" s="114"/>
    </row>
    <row r="37" spans="2:13" ht="216.75">
      <c r="B37" s="38">
        <f t="shared" si="1"/>
        <v>30</v>
      </c>
      <c r="C37" s="39" t="s">
        <v>40</v>
      </c>
      <c r="D37" s="39" t="s">
        <v>126</v>
      </c>
      <c r="E37" s="39" t="s">
        <v>21</v>
      </c>
      <c r="F37" s="42" t="s">
        <v>27</v>
      </c>
      <c r="G37" s="35" t="s">
        <v>70</v>
      </c>
      <c r="H37" s="45"/>
      <c r="I37" s="42"/>
      <c r="J37" s="35" t="s">
        <v>102</v>
      </c>
      <c r="K37" s="42"/>
      <c r="L37" s="42"/>
      <c r="M37" s="114"/>
    </row>
    <row r="38" spans="2:13" ht="153">
      <c r="B38" s="38">
        <f t="shared" si="1"/>
        <v>31</v>
      </c>
      <c r="C38" s="39" t="s">
        <v>40</v>
      </c>
      <c r="D38" s="39" t="s">
        <v>118</v>
      </c>
      <c r="E38" s="39" t="s">
        <v>21</v>
      </c>
      <c r="F38" s="42" t="s">
        <v>27</v>
      </c>
      <c r="G38" s="35" t="s">
        <v>71</v>
      </c>
      <c r="H38" s="45"/>
      <c r="I38" s="42"/>
      <c r="J38" s="35" t="s">
        <v>103</v>
      </c>
      <c r="K38" s="42"/>
      <c r="L38" s="42"/>
      <c r="M38" s="114"/>
    </row>
    <row r="39" spans="2:13" ht="191.25">
      <c r="B39" s="38">
        <f t="shared" si="1"/>
        <v>32</v>
      </c>
      <c r="C39" s="39"/>
      <c r="D39" s="35" t="s">
        <v>50</v>
      </c>
      <c r="E39" s="39" t="s">
        <v>21</v>
      </c>
      <c r="F39" s="42" t="s">
        <v>27</v>
      </c>
      <c r="G39" s="35" t="s">
        <v>72</v>
      </c>
      <c r="H39" s="45"/>
      <c r="I39" s="42"/>
      <c r="J39" s="35" t="s">
        <v>104</v>
      </c>
      <c r="K39" s="42"/>
      <c r="L39" s="42"/>
      <c r="M39" s="114"/>
    </row>
    <row r="40" spans="2:13" ht="153">
      <c r="B40" s="38">
        <f t="shared" si="1"/>
        <v>33</v>
      </c>
      <c r="C40" s="39"/>
      <c r="D40" s="35" t="s">
        <v>73</v>
      </c>
      <c r="E40" s="39" t="s">
        <v>21</v>
      </c>
      <c r="F40" s="42" t="s">
        <v>27</v>
      </c>
      <c r="G40" s="35" t="s">
        <v>74</v>
      </c>
      <c r="H40" s="45"/>
      <c r="I40" s="42"/>
      <c r="J40" s="35" t="s">
        <v>105</v>
      </c>
      <c r="K40" s="42"/>
      <c r="L40" s="42"/>
      <c r="M40" s="114"/>
    </row>
    <row r="41" spans="2:13" ht="89.25">
      <c r="B41" s="38">
        <f t="shared" si="1"/>
        <v>34</v>
      </c>
      <c r="C41" s="39"/>
      <c r="D41" s="35" t="s">
        <v>130</v>
      </c>
      <c r="E41" s="39" t="s">
        <v>21</v>
      </c>
      <c r="F41" s="42" t="s">
        <v>27</v>
      </c>
      <c r="G41" s="35" t="s">
        <v>75</v>
      </c>
      <c r="H41" s="45"/>
      <c r="I41" s="42"/>
      <c r="J41" s="35" t="s">
        <v>56</v>
      </c>
      <c r="K41" s="42"/>
      <c r="L41" s="42"/>
      <c r="M41" s="114"/>
    </row>
    <row r="42" spans="2:13" ht="408">
      <c r="B42" s="38">
        <f t="shared" si="1"/>
        <v>35</v>
      </c>
      <c r="C42" s="39" t="s">
        <v>40</v>
      </c>
      <c r="D42" s="43" t="s">
        <v>128</v>
      </c>
      <c r="E42" s="39" t="s">
        <v>24</v>
      </c>
      <c r="F42" s="42" t="s">
        <v>18</v>
      </c>
      <c r="G42" s="46" t="s">
        <v>76</v>
      </c>
      <c r="H42" s="45"/>
      <c r="I42" s="42"/>
      <c r="J42" s="46" t="s">
        <v>131</v>
      </c>
      <c r="K42" s="42"/>
      <c r="L42" s="42"/>
      <c r="M42" s="114"/>
    </row>
    <row r="43" spans="2:13" ht="409.5">
      <c r="B43" s="38">
        <f t="shared" si="1"/>
        <v>36</v>
      </c>
      <c r="C43" s="39" t="s">
        <v>40</v>
      </c>
      <c r="D43" s="43" t="s">
        <v>129</v>
      </c>
      <c r="E43" s="39" t="s">
        <v>24</v>
      </c>
      <c r="F43" s="42" t="s">
        <v>18</v>
      </c>
      <c r="G43" s="46" t="s">
        <v>77</v>
      </c>
      <c r="H43" s="45"/>
      <c r="I43" s="42"/>
      <c r="J43" s="46" t="s">
        <v>106</v>
      </c>
      <c r="K43" s="42"/>
      <c r="L43" s="42"/>
      <c r="M43" s="116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43" xr:uid="{5FF4AC30-3481-4AC8-BCA1-58EA7FC9909E}">
      <formula1>"Sim"</formula1>
    </dataValidation>
    <dataValidation type="list" allowBlank="1" showInputMessage="1" showErrorMessage="1" sqref="E8:E43" xr:uid="{2421F22E-A659-4E76-ADF8-FE4522D5363E}">
      <formula1>INDIRECT("canal[canal]")</formula1>
    </dataValidation>
    <dataValidation type="list" allowBlank="1" showInputMessage="1" showErrorMessage="1" sqref="F8:F43" xr:uid="{8C0AB025-060B-4271-9DD7-18AB45ED24D0}">
      <formula1>INDIRECT("papel[papel]")</formula1>
    </dataValidation>
    <dataValidation type="list" allowBlank="1" showInputMessage="1" showErrorMessage="1" sqref="C8:C43" xr:uid="{94E9B7FB-5003-49A4-8C4A-C8E0927F1EAA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M8" sqref="M8"/>
    </sheetView>
  </sheetViews>
  <sheetFormatPr defaultColWidth="9.140625" defaultRowHeight="15"/>
  <cols>
    <col min="1" max="1" width="2.7109375" style="19" customWidth="1"/>
    <col min="2" max="2" width="7.7109375" style="19" customWidth="1"/>
    <col min="3" max="3" width="15.42578125" style="19" customWidth="1"/>
    <col min="4" max="4" width="26" style="19" customWidth="1"/>
    <col min="5" max="5" width="57.42578125" style="19" customWidth="1"/>
    <col min="6" max="6" width="17.7109375" style="19" customWidth="1"/>
    <col min="7" max="7" width="24.42578125" style="19" customWidth="1"/>
    <col min="8" max="8" width="57.42578125" style="19" customWidth="1"/>
    <col min="9" max="9" width="16.7109375" style="19" customWidth="1"/>
    <col min="10" max="10" width="104.7109375" style="19" customWidth="1"/>
    <col min="11" max="11" width="18" style="19" customWidth="1"/>
    <col min="12" max="12" width="20.5703125" style="19" customWidth="1"/>
    <col min="13" max="13" width="21.85546875" style="19" customWidth="1"/>
    <col min="14" max="14" width="31.5703125" style="19" customWidth="1"/>
    <col min="15" max="15" width="24.85546875" style="19" customWidth="1"/>
    <col min="16" max="16" width="22.42578125" style="19" customWidth="1"/>
    <col min="17" max="16384" width="9.140625" style="19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32"/>
      <c r="L1" s="32"/>
    </row>
    <row r="2" spans="2:16" s="34" customFormat="1" ht="23.25">
      <c r="B2" s="105" t="s">
        <v>36</v>
      </c>
      <c r="C2" s="105"/>
      <c r="D2" s="105"/>
      <c r="E2" s="105"/>
      <c r="F2" s="105"/>
      <c r="G2" s="105"/>
      <c r="H2" s="105"/>
      <c r="I2" s="105"/>
      <c r="J2" s="105"/>
      <c r="K2" s="33"/>
      <c r="L2" s="33"/>
    </row>
    <row r="3" spans="2:16" s="34" customFormat="1" ht="23.25">
      <c r="B3" s="105" t="s">
        <v>37</v>
      </c>
      <c r="C3" s="105"/>
      <c r="D3" s="105"/>
      <c r="E3" s="105"/>
      <c r="F3" s="105"/>
      <c r="G3" s="105"/>
      <c r="H3" s="105"/>
      <c r="I3" s="105"/>
      <c r="J3" s="105"/>
      <c r="K3" s="33"/>
      <c r="L3" s="33"/>
    </row>
    <row r="5" spans="2:16">
      <c r="B5" s="3"/>
      <c r="E5" s="3"/>
    </row>
    <row r="7" spans="2:16" s="3" customFormat="1">
      <c r="B7" s="20" t="s">
        <v>3</v>
      </c>
      <c r="C7" s="21" t="s">
        <v>4</v>
      </c>
      <c r="D7" s="21" t="s">
        <v>39</v>
      </c>
      <c r="E7" s="22" t="s">
        <v>5</v>
      </c>
      <c r="F7" s="22" t="s">
        <v>6</v>
      </c>
      <c r="G7" s="22" t="s">
        <v>7</v>
      </c>
      <c r="H7" s="22" t="s">
        <v>8</v>
      </c>
      <c r="I7" s="22" t="s">
        <v>10</v>
      </c>
      <c r="J7" s="22" t="s">
        <v>11</v>
      </c>
      <c r="K7" s="22" t="s">
        <v>12</v>
      </c>
      <c r="L7" s="22" t="s">
        <v>9</v>
      </c>
      <c r="M7" s="22" t="s">
        <v>13</v>
      </c>
      <c r="N7" s="22" t="s">
        <v>14</v>
      </c>
      <c r="O7" s="22" t="s">
        <v>15</v>
      </c>
      <c r="P7" s="23" t="s">
        <v>16</v>
      </c>
    </row>
    <row r="8" spans="2:16" s="13" customFormat="1" ht="135">
      <c r="B8" s="49">
        <f>IF(ISERR(casostestes[[#This Row],[ID]]),"-",casostestes[[#This Row],[ID]])</f>
        <v>1</v>
      </c>
      <c r="C8" s="49" t="str">
        <f>IFERROR(IF(VLOOKUP($B8,casostestes[#Data],10)=0,"Não",VLOOKUP($B8,casostestes[#Data],10)), "-")</f>
        <v>Não</v>
      </c>
      <c r="D8" s="50" t="str">
        <f>IFERROR(IF(VLOOKUP($B8,casostestes[#Data],2)=0,"-",VLOOKUP($B8,casostestes[#Data],2)), "-")</f>
        <v>Requerimento Inicial de BI</v>
      </c>
      <c r="E8" s="50" t="str">
        <f>IFERROR(IF(VLOOKUP($B8,casostestes[#Data],3)=0,"-",VLOOKUP($B8,casostestes[#Data],3)), "-")</f>
        <v>Criar tarefa de BI inicial fluxo ATESTMEDQ para categoria "Segurado especial" onde o parâmetro "Exige Autodeclaração" no Catálogo está DESATIVADO
**Parâmetro PAT ligado: 144 - Fluxo ATESTMEDQ</v>
      </c>
      <c r="F8" s="50" t="str">
        <f>IFERROR(IF(VLOOKUP($B8,casostestes[#Data],4)=0,"-",VLOOKUP($B8,casostestes[#Data],4)),"-")</f>
        <v>PAT</v>
      </c>
      <c r="G8" s="50" t="str">
        <f>IFERROR(IF(VLOOKUP($B8,casostestes[#Data],5)=0,"-",VLOOKUP($B8,casostestes[#Data],5)),"-")</f>
        <v>SERVIDOR</v>
      </c>
      <c r="H8" s="50" t="str">
        <f>IFERROR(IF(VLOOKUP($B8,casostestes[#Data],6)=0,"-",VLOOKUP($B8,casostestes[#Data],6)),"-")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8" s="50" t="str">
        <f>IFERROR(IF(VLOOKUP($B8,casostestes[#Data],8)=0,"-",VLOOKUP($B8,casostestes[#Data],8)),"-")</f>
        <v>-</v>
      </c>
      <c r="J8" s="50" t="str">
        <f>IFERROR(IF(VLOOKUP($B8,casostestes[#Data],9)=0,"-",VLOOKUP($B8,casostestes[#Data],9)),"-")</f>
        <v>Tarefa de BI criada com situação Pendente.
Tarefa SEM Divergência de autodeclaração (116)
Status SIBE igual a AGUARDANDO ATESTADO 
Tarefa.Exige_autodeclaração = 0</v>
      </c>
      <c r="K8" s="51"/>
      <c r="L8" s="118"/>
      <c r="M8" s="53" t="s">
        <v>23</v>
      </c>
      <c r="N8" s="54"/>
      <c r="O8" s="54"/>
      <c r="P8" s="55"/>
    </row>
    <row r="9" spans="2:16" ht="150">
      <c r="B9" s="56">
        <f>IF(ISERR(casostestes[[#This Row],[ID]]),"-",casostestes[[#This Row],[ID]])</f>
        <v>2</v>
      </c>
      <c r="C9" s="58" t="str">
        <f>IFERROR(IF(VLOOKUP($B9,casostestes[#Data],10)=0,"Não",VLOOKUP($B9,casostestes[#Data],10)), "-")</f>
        <v>Não</v>
      </c>
      <c r="D9" s="59" t="str">
        <f>IFERROR(IF(VLOOKUP($B9,casostestes[#Data],2)=0,"-",VLOOKUP($B9,casostestes[#Data],2)), "-")</f>
        <v>Requerimento Inicial de BI</v>
      </c>
      <c r="E9" s="59" t="str">
        <f>IFERROR(IF(VLOOKUP($B9,casostestes[#Data],3)=0,"-",VLOOKUP($B9,casostestes[#Data],3)),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9" s="59" t="str">
        <f>IFERROR(IF(VLOOKUP($B9,casostestes[#Data],4)=0,"-",VLOOKUP($B9,casostestes[#Data],4)),"-")</f>
        <v>PAT</v>
      </c>
      <c r="G9" s="59" t="str">
        <f>IFERROR(IF(VLOOKUP($B9,casostestes[#Data],5)=0,"-",VLOOKUP($B9,casostestes[#Data],5)),"-")</f>
        <v>SERVIDOR</v>
      </c>
      <c r="H9" s="59" t="str">
        <f>IFERROR(IF(VLOOKUP($B9,casostestes[#Data],6)=0,"-",VLOOKUP($B9,casostestes[#Data],6)),"-")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9" s="59" t="str">
        <f>IFERROR(IF(VLOOKUP($B9,casostestes[#Data],8)=0,"-",VLOOKUP($B9,casostestes[#Data],8)),"-")</f>
        <v>-</v>
      </c>
      <c r="J9" s="59" t="str">
        <f>IFERROR(IF(VLOOKUP($B9,casostestes[#Data],9)=0,"-",VLOOKUP($B9,casostestes[#Data],9)),"-")</f>
        <v>Tarefa de BI criada com situação Pendente.
Tarefa SEM Divergência de autodeclaração (116)
Status SIBE igual a  AGUARDANDO PERÍCIA
Tarefa.Exige_autodeclaração = 0</v>
      </c>
      <c r="K9" s="60"/>
      <c r="L9" s="119"/>
      <c r="M9" s="61" t="s">
        <v>28</v>
      </c>
      <c r="N9" s="62"/>
      <c r="O9" s="62"/>
      <c r="P9" s="63"/>
    </row>
    <row r="10" spans="2:16" ht="120">
      <c r="B10" s="56">
        <f>IF(ISERR(casostestes[[#This Row],[ID]]),"-",casostestes[[#This Row],[ID]])</f>
        <v>3</v>
      </c>
      <c r="C10" s="49" t="str">
        <f>IFERROR(IF(VLOOKUP($B10,casostestes[#Data],10)=0,"Não",VLOOKUP($B10,casostestes[#Data],10)), "-")</f>
        <v>Não</v>
      </c>
      <c r="D10" s="50" t="str">
        <f>IFERROR(IF(VLOOKUP($B10,casostestes[#Data],2)=0,"-",VLOOKUP($B10,casostestes[#Data],2)), "-")</f>
        <v>Requerimento Inicial de BI</v>
      </c>
      <c r="E10" s="50" t="str">
        <f>IFERROR(IF(VLOOKUP($B10,casostestes[#Data],3)=0,"-",VLOOKUP($B10,casostestes[#Data],3)),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0" s="50" t="str">
        <f>IFERROR(IF(VLOOKUP($B10,casostestes[#Data],4)=0,"-",VLOOKUP($B10,casostestes[#Data],4)),"-")</f>
        <v>PAT</v>
      </c>
      <c r="G10" s="50" t="str">
        <f>IFERROR(IF(VLOOKUP($B10,casostestes[#Data],5)=0,"-",VLOOKUP($B10,casostestes[#Data],5)),"-")</f>
        <v>SERVIDOR</v>
      </c>
      <c r="H10" s="50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0" s="50" t="str">
        <f>IFERROR(IF(VLOOKUP($B10,casostestes[#Data],8)=0,"-",VLOOKUP($B10,casostestes[#Data],8)),"-")</f>
        <v>-</v>
      </c>
      <c r="J10" s="50" t="str">
        <f>IFERROR(IF(VLOOKUP($B10,casostestes[#Data],9)=0,"-",VLOOKUP($B10,casostestes[#Data],9)),"-")</f>
        <v>Tarefa de BI criada com situação Pendente.
Tarefa SEM Divergência de autodeclaração (116)
Status SIBE igual a AGUARDANDO ATESTADO 
Tarefa.Exige_autodeclaração = 0</v>
      </c>
      <c r="K10" s="51"/>
      <c r="L10" s="119"/>
      <c r="M10" s="53" t="s">
        <v>23</v>
      </c>
      <c r="N10" s="54"/>
      <c r="O10" s="54"/>
      <c r="P10" s="55"/>
    </row>
    <row r="11" spans="2:16" ht="120">
      <c r="B11" s="56">
        <f>IF(ISERR(casostestes[[#This Row],[ID]]),"-",casostestes[[#This Row],[ID]])</f>
        <v>4</v>
      </c>
      <c r="C11" s="49" t="str">
        <f>IFERROR(IF(VLOOKUP($B11,casostestes[#Data],10)=0,"Não",VLOOKUP($B11,casostestes[#Data],10)), "-")</f>
        <v>Não</v>
      </c>
      <c r="D11" s="50" t="str">
        <f>IFERROR(IF(VLOOKUP($B11,casostestes[#Data],2)=0,"-",VLOOKUP($B11,casostestes[#Data],2)), "-")</f>
        <v>Requerimento Inicial de BI</v>
      </c>
      <c r="E11" s="50" t="str">
        <f>IFERROR(IF(VLOOKUP($B11,casostestes[#Data],3)=0,"-",VLOOKUP($B11,casostestes[#Data],3)),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1" s="50" t="str">
        <f>IFERROR(IF(VLOOKUP($B11,casostestes[#Data],4)=0,"-",VLOOKUP($B11,casostestes[#Data],4)),"-")</f>
        <v>PAT</v>
      </c>
      <c r="G11" s="50" t="str">
        <f>IFERROR(IF(VLOOKUP($B11,casostestes[#Data],5)=0,"-",VLOOKUP($B11,casostestes[#Data],5)),"-")</f>
        <v>SERVIDOR</v>
      </c>
      <c r="H11" s="50" t="str">
        <f>IFERROR(IF(VLOOKUP($B11,casostestes[#Data],6)=0,"-",VLOOKUP($B11,casostestes[#Data],6)),"-")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1" s="50" t="str">
        <f>IFERROR(IF(VLOOKUP($B11,casostestes[#Data],8)=0,"-",VLOOKUP($B11,casostestes[#Data],8)),"-")</f>
        <v>-</v>
      </c>
      <c r="J11" s="50" t="str">
        <f>IFERROR(IF(VLOOKUP($B11,casostestes[#Data],9)=0,"-",VLOOKUP($B11,casostestes[#Data],9)),"-")</f>
        <v xml:space="preserve">
Tarefa de BI criada com situação Pendente.
Tarefa SEM Divergência de autodeclaração (116)
Status SIBE igual a AGUARDANDO ATESTADO 
Tarefa.Exige_autodeclaração = 0
</v>
      </c>
      <c r="K11" s="51"/>
      <c r="L11" s="119"/>
      <c r="M11" s="53" t="s">
        <v>23</v>
      </c>
      <c r="N11" s="54"/>
      <c r="O11" s="54"/>
      <c r="P11" s="55"/>
    </row>
    <row r="12" spans="2:16" ht="120">
      <c r="B12" s="56">
        <f>IF(ISERR(casostestes[[#This Row],[ID]]),"-",casostestes[[#This Row],[ID]])</f>
        <v>5</v>
      </c>
      <c r="C12" s="49" t="str">
        <f>IFERROR(IF(VLOOKUP($B12,casostestes[#Data],10)=0,"Não",VLOOKUP($B12,casostestes[#Data],10)), "-")</f>
        <v>Não</v>
      </c>
      <c r="D12" s="50" t="str">
        <f>IFERROR(IF(VLOOKUP($B12,casostestes[#Data],2)=0,"-",VLOOKUP($B12,casostestes[#Data],2)), "-")</f>
        <v>Requerimento Inicial de BI</v>
      </c>
      <c r="E12" s="50" t="str">
        <f>IFERROR(IF(VLOOKUP($B12,casostestes[#Data],3)=0,"-",VLOOKUP($B12,casostestes[#Data],3)),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2" s="50" t="str">
        <f>IFERROR(IF(VLOOKUP($B12,casostestes[#Data],4)=0,"-",VLOOKUP($B12,casostestes[#Data],4)),"-")</f>
        <v>PAT</v>
      </c>
      <c r="G12" s="50" t="str">
        <f>IFERROR(IF(VLOOKUP($B12,casostestes[#Data],5)=0,"-",VLOOKUP($B12,casostestes[#Data],5)),"-")</f>
        <v>SERVIDOR</v>
      </c>
      <c r="H12" s="50" t="str">
        <f>IFERROR(IF(VLOOKUP($B12,casostestes[#Data],6)=0,"-",VLOOKUP($B12,casostestes[#Data],6)),"-")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2" s="50" t="str">
        <f>IFERROR(IF(VLOOKUP($B12,casostestes[#Data],8)=0,"-",VLOOKUP($B12,casostestes[#Data],8)),"-")</f>
        <v>-</v>
      </c>
      <c r="J12" s="50" t="str">
        <f>IFERROR(IF(VLOOKUP($B12,casostestes[#Data],9)=0,"-",VLOOKUP($B12,casostestes[#Data],9)),"-")</f>
        <v>Tarefa de BI criada com situação Pendente.
Tarefa SEM Divergência de autodeclaração (116)
Status SIBE igual a  AGUARDANDO PERÍCIA
Tarefa.Exige_autodeclaração = 0</v>
      </c>
      <c r="K12" s="51"/>
      <c r="L12" s="119"/>
      <c r="M12" s="53" t="s">
        <v>23</v>
      </c>
      <c r="N12" s="54"/>
      <c r="O12" s="54"/>
      <c r="P12" s="55"/>
    </row>
    <row r="13" spans="2:16" ht="240">
      <c r="B13" s="56">
        <f>IF(ISERR(casostestes[[#This Row],[ID]]),"-",casostestes[[#This Row],[ID]])</f>
        <v>6</v>
      </c>
      <c r="C13" s="49" t="str">
        <f>IFERROR(IF(VLOOKUP($B13,casostestes[#Data],10)=0,"Não",VLOOKUP($B13,casostestes[#Data],10)), "-")</f>
        <v>Não</v>
      </c>
      <c r="D13" s="50" t="str">
        <f>IFERROR(IF(VLOOKUP($B13,casostestes[#Data],2)=0,"-",VLOOKUP($B13,casostestes[#Data],2)), "-")</f>
        <v>Requerimento Inicial de BI</v>
      </c>
      <c r="E13" s="50" t="str">
        <f>IFERROR(IF(VLOOKUP($B13,casostestes[#Data],3)=0,"-",VLOOKUP($B13,casostestes[#Data],3)),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3" s="50" t="str">
        <f>IFERROR(IF(VLOOKUP($B13,casostestes[#Data],4)=0,"-",VLOOKUP($B13,casostestes[#Data],4)),"-")</f>
        <v>PAT</v>
      </c>
      <c r="G13" s="50" t="str">
        <f>IFERROR(IF(VLOOKUP($B13,casostestes[#Data],5)=0,"-",VLOOKUP($B13,casostestes[#Data],5)),"-")</f>
        <v>SERVIDOR</v>
      </c>
      <c r="H13" s="50" t="str">
        <f>IFERROR(IF(VLOOKUP($B13,casostestes[#Data],6)=0,"-",VLOOKUP($B13,casostestes[#Data],6)),"-")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3" s="50" t="str">
        <f>IFERROR(IF(VLOOKUP($B13,casostestes[#Data],8)=0,"-",VLOOKUP($B13,casostestes[#Data],8)),"-")</f>
        <v>-</v>
      </c>
      <c r="J13" s="50" t="str">
        <f>IFERROR(IF(VLOOKUP($B13,casostestes[#Data],9)=0,"-",VLOOKUP($B13,casostestes[#Data],9)),"-")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3" s="51"/>
      <c r="L13" s="119"/>
      <c r="M13" s="53" t="s">
        <v>30</v>
      </c>
      <c r="N13" s="54"/>
      <c r="O13" s="54"/>
      <c r="P13" s="55"/>
    </row>
    <row r="14" spans="2:16" ht="210">
      <c r="B14" s="56">
        <f>IF(ISERR(casostestes[[#This Row],[ID]]),"-",casostestes[[#This Row],[ID]])</f>
        <v>7</v>
      </c>
      <c r="C14" s="49" t="str">
        <f>IFERROR(IF(VLOOKUP($B14,casostestes[#Data],10)=0,"Não",VLOOKUP($B14,casostestes[#Data],10)), "-")</f>
        <v>Não</v>
      </c>
      <c r="D14" s="50" t="str">
        <f>IFERROR(IF(VLOOKUP($B14,casostestes[#Data],2)=0,"-",VLOOKUP($B14,casostestes[#Data],2)), "-")</f>
        <v>Requerimento Inicial de BI</v>
      </c>
      <c r="E14" s="50" t="str">
        <f>IFERROR(IF(VLOOKUP($B14,casostestes[#Data],3)=0,"-",VLOOKUP($B14,casostestes[#Data],3)),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4" s="50" t="str">
        <f>IFERROR(IF(VLOOKUP($B14,casostestes[#Data],4)=0,"-",VLOOKUP($B14,casostestes[#Data],4)),"-")</f>
        <v>PAT</v>
      </c>
      <c r="G14" s="50" t="str">
        <f>IFERROR(IF(VLOOKUP($B14,casostestes[#Data],5)=0,"-",VLOOKUP($B14,casostestes[#Data],5)),"-")</f>
        <v>SERVIDOR</v>
      </c>
      <c r="H14" s="50" t="str">
        <f>IFERROR(IF(VLOOKUP($B14,casostestes[#Data],6)=0,"-",VLOOKUP($B14,casostestes[#Data],6)),"-")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4" s="50" t="str">
        <f>IFERROR(IF(VLOOKUP($B14,casostestes[#Data],8)=0,"-",VLOOKUP($B14,casostestes[#Data],8)),"-")</f>
        <v>-</v>
      </c>
      <c r="J14" s="50" t="str">
        <f>IFERROR(IF(VLOOKUP($B14,casostestes[#Data],9)=0,"-",VLOOKUP($B14,casostestes[#Data],9)),"-")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4" s="51"/>
      <c r="L14" s="119"/>
      <c r="M14" s="53" t="s">
        <v>30</v>
      </c>
      <c r="N14" s="54"/>
      <c r="O14" s="54"/>
      <c r="P14" s="55"/>
    </row>
    <row r="15" spans="2:16" ht="180">
      <c r="B15" s="56">
        <f>IF(ISERR(casostestes[[#This Row],[ID]]),"-",casostestes[[#This Row],[ID]])</f>
        <v>8</v>
      </c>
      <c r="C15" s="49" t="str">
        <f>IFERROR(IF(VLOOKUP($B15,casostestes[#Data],10)=0,"Não",VLOOKUP($B15,casostestes[#Data],10)), "-")</f>
        <v>Não</v>
      </c>
      <c r="D15" s="50" t="str">
        <f>IFERROR(IF(VLOOKUP($B15,casostestes[#Data],2)=0,"-",VLOOKUP($B15,casostestes[#Data],2)), "-")</f>
        <v>Requerimento Inicial de BI</v>
      </c>
      <c r="E15" s="50" t="str">
        <f>IFERROR(IF(VLOOKUP($B15,casostestes[#Data],3)=0,"-",VLOOKUP($B15,casostestes[#Data],3)),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15" s="50" t="str">
        <f>IFERROR(IF(VLOOKUP($B15,casostestes[#Data],4)=0,"-",VLOOKUP($B15,casostestes[#Data],4)),"-")</f>
        <v>PAT</v>
      </c>
      <c r="G15" s="50" t="str">
        <f>IFERROR(IF(VLOOKUP($B15,casostestes[#Data],5)=0,"-",VLOOKUP($B15,casostestes[#Data],5)),"-")</f>
        <v>SERVIDOR</v>
      </c>
      <c r="H15" s="50" t="str">
        <f>IFERROR(IF(VLOOKUP($B15,casostestes[#Data],6)=0,"-",VLOOKUP($B15,casostestes[#Data],6)),"-")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15" s="50" t="str">
        <f>IFERROR(IF(VLOOKUP($B15,casostestes[#Data],8)=0,"-",VLOOKUP($B15,casostestes[#Data],8)),"-")</f>
        <v>-</v>
      </c>
      <c r="J15" s="50" t="str">
        <f>IFERROR(IF(VLOOKUP($B15,casostestes[#Data],9)=0,"-",VLOOKUP($B15,casostestes[#Data],9)),"-")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15" s="51"/>
      <c r="L15" s="119"/>
      <c r="M15" s="53" t="s">
        <v>30</v>
      </c>
      <c r="N15" s="54"/>
      <c r="O15" s="54"/>
      <c r="P15" s="55"/>
    </row>
    <row r="16" spans="2:16" ht="90">
      <c r="B16" s="56">
        <f>IF(ISERR(casostestes[[#This Row],[ID]]),"-",casostestes[[#This Row],[ID]])</f>
        <v>9</v>
      </c>
      <c r="C16" s="49" t="str">
        <f>IFERROR(IF(VLOOKUP($B16,casostestes[#Data],10)=0,"Não",VLOOKUP($B16,casostestes[#Data],10)), "-")</f>
        <v>Não</v>
      </c>
      <c r="D16" s="50" t="str">
        <f>IFERROR(IF(VLOOKUP($B16,casostestes[#Data],2)=0,"-",VLOOKUP($B16,casostestes[#Data],2)), "-")</f>
        <v>-</v>
      </c>
      <c r="E16" s="50" t="str">
        <f>IFERROR(IF(VLOOKUP($B16,casostestes[#Data],3)=0,"-",VLOOKUP($B16,casostestes[#Data],3)), "-")</f>
        <v>Acionar Cumprimento de exigência de autodeclaração sem finalizar a autodeclaração</v>
      </c>
      <c r="F16" s="50" t="str">
        <f>IFERROR(IF(VLOOKUP($B16,casostestes[#Data],4)=0,"-",VLOOKUP($B16,casostestes[#Data],4)),"-")</f>
        <v>PAT</v>
      </c>
      <c r="G16" s="50" t="str">
        <f>IFERROR(IF(VLOOKUP($B16,casostestes[#Data],5)=0,"-",VLOOKUP($B16,casostestes[#Data],5)),"-")</f>
        <v>SERVIDOR</v>
      </c>
      <c r="H16" s="50" t="str">
        <f>IFERROR(IF(VLOOKUP($B16,casostestes[#Data],6)=0,"-",VLOOKUP($B16,casostestes[#Data],6)),"-")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16" s="50" t="str">
        <f>IFERROR(IF(VLOOKUP($B16,casostestes[#Data],8)=0,"-",VLOOKUP($B16,casostestes[#Data],8)),"-")</f>
        <v>-</v>
      </c>
      <c r="J16" s="50" t="str">
        <f>IFERROR(IF(VLOOKUP($B16,casostestes[#Data],9)=0,"-",VLOOKUP($B16,casostestes[#Data],9)),"-")</f>
        <v xml:space="preserve">Tarefa de BI com situação Exigência
Divergência de autodeclaraçãonão (116) presente na tarefa
</v>
      </c>
      <c r="K16" s="51"/>
      <c r="L16" s="119"/>
      <c r="M16" s="53"/>
      <c r="N16" s="54"/>
      <c r="O16" s="54"/>
      <c r="P16" s="55"/>
    </row>
    <row r="17" spans="2:16" ht="225">
      <c r="B17" s="56">
        <f>IF(ISERR(casostestes[[#This Row],[ID]]),"-",casostestes[[#This Row],[ID]])</f>
        <v>10</v>
      </c>
      <c r="C17" s="49" t="str">
        <f>IFERROR(IF(VLOOKUP($B17,casostestes[#Data],10)=0,"Não",VLOOKUP($B17,casostestes[#Data],10)), "-")</f>
        <v>Não</v>
      </c>
      <c r="D17" s="50" t="str">
        <f>IFERROR(IF(VLOOKUP($B17,casostestes[#Data],2)=0,"-",VLOOKUP($B17,casostestes[#Data],2)), "-")</f>
        <v>-</v>
      </c>
      <c r="E17" s="50" t="str">
        <f>IFERROR(IF(VLOOKUP($B17,casostestes[#Data],3)=0,"-",VLOOKUP($B17,casostestes[#Data],3)), "-")</f>
        <v>Cumprir a exigência de autodeclaração</v>
      </c>
      <c r="F17" s="50" t="str">
        <f>IFERROR(IF(VLOOKUP($B17,casostestes[#Data],4)=0,"-",VLOOKUP($B17,casostestes[#Data],4)),"-")</f>
        <v>PAT</v>
      </c>
      <c r="G17" s="50" t="str">
        <f>IFERROR(IF(VLOOKUP($B17,casostestes[#Data],5)=0,"-",VLOOKUP($B17,casostestes[#Data],5)),"-")</f>
        <v>SERVIDOR</v>
      </c>
      <c r="H17" s="50" t="str">
        <f>IFERROR(IF(VLOOKUP($B17,casostestes[#Data],6)=0,"-",VLOOKUP($B17,casostestes[#Data],6)),"-")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7" s="50" t="str">
        <f>IFERROR(IF(VLOOKUP($B17,casostestes[#Data],8)=0,"-",VLOOKUP($B17,casostestes[#Data],8)),"-")</f>
        <v>-</v>
      </c>
      <c r="J17" s="50" t="str">
        <f>IFERROR(IF(VLOOKUP($B17,casostestes[#Data],9)=0,"-",VLOOKUP($B17,casostestes[#Data],9)),"-")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7" s="51"/>
      <c r="L17" s="119"/>
      <c r="M17" s="53"/>
      <c r="N17" s="54"/>
      <c r="O17" s="54"/>
      <c r="P17" s="55"/>
    </row>
    <row r="18" spans="2:16" ht="165">
      <c r="B18" s="56">
        <f>IF(ISERR(casostestes[[#This Row],[ID]]),"-",casostestes[[#This Row],[ID]])</f>
        <v>11</v>
      </c>
      <c r="C18" s="49" t="str">
        <f>IFERROR(IF(VLOOKUP($B18,casostestes[#Data],10)=0,"Não",VLOOKUP($B18,casostestes[#Data],10)), "-")</f>
        <v>Não</v>
      </c>
      <c r="D18" s="50" t="str">
        <f>IFERROR(IF(VLOOKUP($B18,casostestes[#Data],2)=0,"-",VLOOKUP($B18,casostestes[#Data],2)), "-")</f>
        <v>-</v>
      </c>
      <c r="E18" s="50" t="str">
        <f>IFERROR(IF(VLOOKUP($B18,casostestes[#Data],3)=0,"-",VLOOKUP($B18,casostestes[#Data],3)), "-")</f>
        <v>Responder o formulário de autodeclaração acessando diretamente a aba segurado especial ao detalhar a tarefa, onde a tarefa encontra-se em exigência de autodeclaração</v>
      </c>
      <c r="F18" s="50" t="str">
        <f>IFERROR(IF(VLOOKUP($B18,casostestes[#Data],4)=0,"-",VLOOKUP($B18,casostestes[#Data],4)),"-")</f>
        <v>PAT</v>
      </c>
      <c r="G18" s="50" t="str">
        <f>IFERROR(IF(VLOOKUP($B18,casostestes[#Data],5)=0,"-",VLOOKUP($B18,casostestes[#Data],5)),"-")</f>
        <v>SERVIDOR</v>
      </c>
      <c r="H18" s="50" t="str">
        <f>IFERROR(IF(VLOOKUP($B18,casostestes[#Data],6)=0,"-",VLOOKUP($B18,casostestes[#Data],6)),"-")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8" s="50" t="str">
        <f>IFERROR(IF(VLOOKUP($B18,casostestes[#Data],8)=0,"-",VLOOKUP($B18,casostestes[#Data],8)),"-")</f>
        <v>-</v>
      </c>
      <c r="J18" s="50" t="str">
        <f>IFERROR(IF(VLOOKUP($B18,casostestes[#Data],9)=0,"-",VLOOKUP($B18,casostestes[#Data],9)),"-")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8" s="51"/>
      <c r="L18" s="119"/>
      <c r="M18" s="53"/>
      <c r="N18" s="54"/>
      <c r="O18" s="54"/>
      <c r="P18" s="55"/>
    </row>
    <row r="19" spans="2:16" ht="105">
      <c r="B19" s="56">
        <f>IF(ISERR(casostestes[[#This Row],[ID]]),"-",casostestes[[#This Row],[ID]])</f>
        <v>12</v>
      </c>
      <c r="C19" s="49" t="str">
        <f>IFERROR(IF(VLOOKUP($B19,casostestes[#Data],10)=0,"Não",VLOOKUP($B19,casostestes[#Data],10)), "-")</f>
        <v>Não</v>
      </c>
      <c r="D19" s="50" t="str">
        <f>IFERROR(IF(VLOOKUP($B19,casostestes[#Data],2)=0,"-",VLOOKUP($B19,casostestes[#Data],2)), "-")</f>
        <v>-</v>
      </c>
      <c r="E19" s="50" t="str">
        <f>IFERROR(IF(VLOOKUP($B19,casostestes[#Data],3)=0,"-",VLOOKUP($B19,casostestes[#Data],3)), "-")</f>
        <v>Responder o formulário de autodeclaração acessando diretamente a aba segurado especial ao detalhar a tarefa, onde a tarefa encontra-se em exigência de documento médico</v>
      </c>
      <c r="F19" s="50" t="str">
        <f>IFERROR(IF(VLOOKUP($B19,casostestes[#Data],4)=0,"-",VLOOKUP($B19,casostestes[#Data],4)),"-")</f>
        <v>PAT</v>
      </c>
      <c r="G19" s="50" t="str">
        <f>IFERROR(IF(VLOOKUP($B19,casostestes[#Data],5)=0,"-",VLOOKUP($B19,casostestes[#Data],5)),"-")</f>
        <v>SERVIDOR</v>
      </c>
      <c r="H19" s="50" t="str">
        <f>IFERROR(IF(VLOOKUP($B19,casostestes[#Data],6)=0,"-",VLOOKUP($B19,casostestes[#Data],6)),"-")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9" s="50" t="str">
        <f>IFERROR(IF(VLOOKUP($B19,casostestes[#Data],8)=0,"-",VLOOKUP($B19,casostestes[#Data],8)),"-")</f>
        <v>-</v>
      </c>
      <c r="J19" s="50" t="str">
        <f>IFERROR(IF(VLOOKUP($B19,casostestes[#Data],9)=0,"-",VLOOKUP($B19,casostestes[#Data],9)),"-")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9" s="51"/>
      <c r="L19" s="119"/>
      <c r="M19" s="53"/>
      <c r="N19" s="54"/>
      <c r="O19" s="54"/>
      <c r="P19" s="55"/>
    </row>
    <row r="20" spans="2:16" ht="240">
      <c r="B20" s="56">
        <f>IF(ISERR(casostestes[[#This Row],[ID]]),"-",casostestes[[#This Row],[ID]])</f>
        <v>13</v>
      </c>
      <c r="C20" s="49" t="str">
        <f>IFERROR(IF(VLOOKUP($B20,casostestes[#Data],10)=0,"Não",VLOOKUP($B20,casostestes[#Data],10)), "-")</f>
        <v>Não</v>
      </c>
      <c r="D20" s="50" t="str">
        <f>IFERROR(IF(VLOOKUP($B20,casostestes[#Data],2)=0,"-",VLOOKUP($B20,casostestes[#Data],2)), "-")</f>
        <v>Requerimento Inicial de BI</v>
      </c>
      <c r="E20" s="50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0" s="50" t="str">
        <f>IFERROR(IF(VLOOKUP($B20,casostestes[#Data],4)=0,"-",VLOOKUP($B20,casostestes[#Data],4)),"-")</f>
        <v>PAT</v>
      </c>
      <c r="G20" s="50" t="str">
        <f>IFERROR(IF(VLOOKUP($B20,casostestes[#Data],5)=0,"-",VLOOKUP($B20,casostestes[#Data],5)),"-")</f>
        <v>SERVIDOR</v>
      </c>
      <c r="H20" s="50" t="str">
        <f>IFERROR(IF(VLOOKUP($B20,casostestes[#Data],6)=0,"-",VLOOKUP($B20,casostestes[#Data],6)),"-")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0" s="50" t="str">
        <f>IFERROR(IF(VLOOKUP($B20,casostestes[#Data],8)=0,"-",VLOOKUP($B20,casostestes[#Data],8)),"-")</f>
        <v>-</v>
      </c>
      <c r="J20" s="50" t="str">
        <f>IFERROR(IF(VLOOKUP($B20,casostestes[#Data],9)=0,"-",VLOOKUP($B20,casostestes[#Data],9)),"-")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0" s="51"/>
      <c r="L20" s="119"/>
      <c r="M20" s="53"/>
      <c r="N20" s="54"/>
      <c r="O20" s="54"/>
      <c r="P20" s="55"/>
    </row>
    <row r="21" spans="2:16" ht="240">
      <c r="B21" s="56">
        <f>IF(ISERR(casostestes[[#This Row],[ID]]),"-",casostestes[[#This Row],[ID]])</f>
        <v>14</v>
      </c>
      <c r="C21" s="49" t="str">
        <f>IFERROR(IF(VLOOKUP($B21,casostestes[#Data],10)=0,"Não",VLOOKUP($B21,casostestes[#Data],10)), "-")</f>
        <v>Não</v>
      </c>
      <c r="D21" s="50" t="str">
        <f>IFERROR(IF(VLOOKUP($B21,casostestes[#Data],2)=0,"-",VLOOKUP($B21,casostestes[#Data],2)), "-")</f>
        <v>Requerimento Inicial de BI</v>
      </c>
      <c r="E21" s="50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1" s="50" t="str">
        <f>IFERROR(IF(VLOOKUP($B21,casostestes[#Data],4)=0,"-",VLOOKUP($B21,casostestes[#Data],4)),"-")</f>
        <v>PAT</v>
      </c>
      <c r="G21" s="50" t="str">
        <f>IFERROR(IF(VLOOKUP($B21,casostestes[#Data],5)=0,"-",VLOOKUP($B21,casostestes[#Data],5)),"-")</f>
        <v>SERVIDOR</v>
      </c>
      <c r="H21" s="50" t="str">
        <f>IFERROR(IF(VLOOKUP($B21,casostestes[#Data],6)=0,"-",VLOOKUP($B21,casostestes[#Data],6)),"-")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1" s="50" t="str">
        <f>IFERROR(IF(VLOOKUP($B21,casostestes[#Data],8)=0,"-",VLOOKUP($B21,casostestes[#Data],8)),"-")</f>
        <v>-</v>
      </c>
      <c r="J21" s="50" t="str">
        <f>IFERROR(IF(VLOOKUP($B21,casostestes[#Data],9)=0,"-",VLOOKUP($B21,casostestes[#Data],9)),"-")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1" s="51"/>
      <c r="L21" s="119"/>
      <c r="M21" s="53"/>
      <c r="N21" s="54"/>
      <c r="O21" s="54"/>
      <c r="P21" s="55"/>
    </row>
    <row r="22" spans="2:16" ht="315">
      <c r="B22" s="56">
        <f>IF(ISERR(casostestes[[#This Row],[ID]]),"-",casostestes[[#This Row],[ID]])</f>
        <v>15</v>
      </c>
      <c r="C22" s="49" t="str">
        <f>IFERROR(IF(VLOOKUP($B22,casostestes[#Data],10)=0,"Não",VLOOKUP($B22,casostestes[#Data],10)), "-")</f>
        <v>Não</v>
      </c>
      <c r="D22" s="50" t="str">
        <f>IFERROR(IF(VLOOKUP($B22,casostestes[#Data],2)=0,"-",VLOOKUP($B22,casostestes[#Data],2)), "-")</f>
        <v>Requerimento Inicial de BI</v>
      </c>
      <c r="E22" s="50" t="str">
        <f>IFERROR(IF(VLOOKUP($B22,casostestes[#Data],3)=0,"-",VLOOKUP($B22,casostestes[#Data],3)),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2" s="50" t="str">
        <f>IFERROR(IF(VLOOKUP($B22,casostestes[#Data],4)=0,"-",VLOOKUP($B22,casostestes[#Data],4)),"-")</f>
        <v>PAT</v>
      </c>
      <c r="G22" s="50" t="str">
        <f>IFERROR(IF(VLOOKUP($B22,casostestes[#Data],5)=0,"-",VLOOKUP($B22,casostestes[#Data],5)),"-")</f>
        <v>SERVIDOR</v>
      </c>
      <c r="H22" s="50" t="str">
        <f>IFERROR(IF(VLOOKUP($B22,casostestes[#Data],6)=0,"-",VLOOKUP($B22,casostestes[#Data],6)),"-")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2" s="50" t="str">
        <f>IFERROR(IF(VLOOKUP($B22,casostestes[#Data],8)=0,"-",VLOOKUP($B22,casostestes[#Data],8)),"-")</f>
        <v>-</v>
      </c>
      <c r="J22" s="50" t="str">
        <f>IFERROR(IF(VLOOKUP($B22,casostestes[#Data],9)=0,"-",VLOOKUP($B22,casostestes[#Data],9)),"-")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2" s="51"/>
      <c r="L22" s="119"/>
      <c r="M22" s="53"/>
      <c r="N22" s="54"/>
      <c r="O22" s="54"/>
      <c r="P22" s="55"/>
    </row>
    <row r="23" spans="2:16" ht="300">
      <c r="B23" s="56">
        <f>IF(ISERR(casostestes[[#This Row],[ID]]),"-",casostestes[[#This Row],[ID]])</f>
        <v>16</v>
      </c>
      <c r="C23" s="49" t="str">
        <f>IFERROR(IF(VLOOKUP($B23,casostestes[#Data],10)=0,"Não",VLOOKUP($B23,casostestes[#Data],10)), "-")</f>
        <v>Não</v>
      </c>
      <c r="D23" s="50" t="str">
        <f>IFERROR(IF(VLOOKUP($B23,casostestes[#Data],2)=0,"-",VLOOKUP($B23,casostestes[#Data],2)), "-")</f>
        <v>Requerimento Inicial de BI</v>
      </c>
      <c r="E23" s="50" t="str">
        <f>IFERROR(IF(VLOOKUP($B23,casostestes[#Data],3)=0,"-",VLOOKUP($B23,casostestes[#Data],3)),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3" s="50" t="str">
        <f>IFERROR(IF(VLOOKUP($B23,casostestes[#Data],4)=0,"-",VLOOKUP($B23,casostestes[#Data],4)),"-")</f>
        <v>PAT</v>
      </c>
      <c r="G23" s="50" t="str">
        <f>IFERROR(IF(VLOOKUP($B23,casostestes[#Data],5)=0,"-",VLOOKUP($B23,casostestes[#Data],5)),"-")</f>
        <v>SERVIDOR</v>
      </c>
      <c r="H23" s="50" t="str">
        <f>IFERROR(IF(VLOOKUP($B23,casostestes[#Data],6)=0,"-",VLOOKUP($B23,casostestes[#Data],6)),"-")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3" s="50" t="str">
        <f>IFERROR(IF(VLOOKUP($B23,casostestes[#Data],8)=0,"-",VLOOKUP($B23,casostestes[#Data],8)),"-")</f>
        <v>-</v>
      </c>
      <c r="J23" s="50" t="str">
        <f>IFERROR(IF(VLOOKUP($B23,casostestes[#Data],9)=0,"-",VLOOKUP($B23,casostestes[#Data],9)),"-")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3" s="51"/>
      <c r="L23" s="119"/>
      <c r="M23" s="53"/>
      <c r="N23" s="54"/>
      <c r="O23" s="54"/>
      <c r="P23" s="55"/>
    </row>
    <row r="24" spans="2:16" ht="210">
      <c r="B24" s="56">
        <f>IF(ISERR(casostestes[[#This Row],[ID]]),"-",casostestes[[#This Row],[ID]])</f>
        <v>17</v>
      </c>
      <c r="C24" s="49" t="str">
        <f>IFERROR(IF(VLOOKUP($B24,casostestes[#Data],10)=0,"Não",VLOOKUP($B24,casostestes[#Data],10)), "-")</f>
        <v>Não</v>
      </c>
      <c r="D24" s="50" t="str">
        <f>IFERROR(IF(VLOOKUP($B24,casostestes[#Data],2)=0,"-",VLOOKUP($B24,casostestes[#Data],2)), "-")</f>
        <v>Requerimento Inicial de BI</v>
      </c>
      <c r="E24" s="50" t="str">
        <f>IFERROR(IF(VLOOKUP($B24,casostestes[#Data],3)=0,"-",VLOOKUP($B24,casostestes[#Data],3)),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4" s="50" t="str">
        <f>IFERROR(IF(VLOOKUP($B24,casostestes[#Data],4)=0,"-",VLOOKUP($B24,casostestes[#Data],4)),"-")</f>
        <v>PAT</v>
      </c>
      <c r="G24" s="50" t="str">
        <f>IFERROR(IF(VLOOKUP($B24,casostestes[#Data],5)=0,"-",VLOOKUP($B24,casostestes[#Data],5)),"-")</f>
        <v>ATENDENTE_CENTRAL_135</v>
      </c>
      <c r="H24" s="50" t="str">
        <f>IFERROR(IF(VLOOKUP($B24,casostestes[#Data],6)=0,"-",VLOOKUP($B24,casostestes[#Data],6)),"-")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24" s="50" t="str">
        <f>IFERROR(IF(VLOOKUP($B24,casostestes[#Data],8)=0,"-",VLOOKUP($B24,casostestes[#Data],8)),"-")</f>
        <v>-</v>
      </c>
      <c r="J24" s="50" t="str">
        <f>IFERROR(IF(VLOOKUP($B24,casostestes[#Data],9)=0,"-",VLOOKUP($B24,casostestes[#Data],9)),"-")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24" s="51"/>
      <c r="L24" s="119"/>
      <c r="M24" s="53"/>
      <c r="N24" s="54"/>
      <c r="O24" s="54"/>
      <c r="P24" s="55"/>
    </row>
    <row r="25" spans="2:16" ht="105">
      <c r="B25" s="56">
        <f>IF(ISERR(casostestes[[#This Row],[ID]]),"-",casostestes[[#This Row],[ID]])</f>
        <v>18</v>
      </c>
      <c r="C25" s="49" t="str">
        <f>IFERROR(IF(VLOOKUP($B25,casostestes[#Data],10)=0,"Não",VLOOKUP($B25,casostestes[#Data],10)), "-")</f>
        <v>Não</v>
      </c>
      <c r="D25" s="50" t="str">
        <f>IFERROR(IF(VLOOKUP($B25,casostestes[#Data],2)=0,"-",VLOOKUP($B25,casostestes[#Data],2)), "-")</f>
        <v>Requerimento Inicial de BI</v>
      </c>
      <c r="E25" s="50" t="str">
        <f>IFERROR(IF(VLOOKUP($B25,casostestes[#Data],3)=0,"-",VLOOKUP($B25,casostestes[#Data],3)),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25" s="50" t="str">
        <f>IFERROR(IF(VLOOKUP($B25,casostestes[#Data],4)=0,"-",VLOOKUP($B25,casostestes[#Data],4)),"-")</f>
        <v>PAT</v>
      </c>
      <c r="G25" s="50" t="str">
        <f>IFERROR(IF(VLOOKUP($B25,casostestes[#Data],5)=0,"-",VLOOKUP($B25,casostestes[#Data],5)),"-")</f>
        <v>ENTIDADE_CONVENIADA</v>
      </c>
      <c r="H25" s="50" t="str">
        <f>IFERROR(IF(VLOOKUP($B25,casostestes[#Data],6)=0,"-",VLOOKUP($B25,casostestes[#Data],6)),"-")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25" s="50" t="str">
        <f>IFERROR(IF(VLOOKUP($B25,casostestes[#Data],8)=0,"-",VLOOKUP($B25,casostestes[#Data],8)),"-")</f>
        <v>-</v>
      </c>
      <c r="J25" s="50" t="str">
        <f>IFERROR(IF(VLOOKUP($B25,casostestes[#Data],9)=0,"-",VLOOKUP($B25,casostestes[#Data],9)),"-")</f>
        <v>Tarefa de BI criada com situação Pendente.
Tarefa SEM Divergência de autodeclaração (116)
Status SIBE igual a AGUARDANDO ATESTADO 
DPT: Tarefa.Exige_autodeclaração = 0</v>
      </c>
      <c r="K25" s="51"/>
      <c r="L25" s="119"/>
      <c r="M25" s="53"/>
      <c r="N25" s="54"/>
      <c r="O25" s="54"/>
      <c r="P25" s="55"/>
    </row>
    <row r="26" spans="2:16" ht="120">
      <c r="B26" s="56">
        <f>IF(ISERR(casostestes[[#This Row],[ID]]),"-",casostestes[[#This Row],[ID]])</f>
        <v>19</v>
      </c>
      <c r="C26" s="49" t="str">
        <f>IFERROR(IF(VLOOKUP($B26,casostestes[#Data],10)=0,"Não",VLOOKUP($B26,casostestes[#Data],10)), "-")</f>
        <v>Não</v>
      </c>
      <c r="D26" s="50" t="str">
        <f>IFERROR(IF(VLOOKUP($B26,casostestes[#Data],2)=0,"-",VLOOKUP($B26,casostestes[#Data],2)), "-")</f>
        <v>Requerimento Inicial de BI</v>
      </c>
      <c r="E26" s="50" t="str">
        <f>IFERROR(IF(VLOOKUP($B26,casostestes[#Data],3)=0,"-",VLOOKUP($B26,casostestes[#Data],3)),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6" s="50" t="str">
        <f>IFERROR(IF(VLOOKUP($B26,casostestes[#Data],4)=0,"-",VLOOKUP($B26,casostestes[#Data],4)),"-")</f>
        <v>PAT</v>
      </c>
      <c r="G26" s="50" t="str">
        <f>IFERROR(IF(VLOOKUP($B26,casostestes[#Data],5)=0,"-",VLOOKUP($B26,casostestes[#Data],5)),"-")</f>
        <v>ENTIDADE_CONVENIADA</v>
      </c>
      <c r="H26" s="50" t="str">
        <f>IFERROR(IF(VLOOKUP($B26,casostestes[#Data],6)=0,"-",VLOOKUP($B26,casostestes[#Data],6)),"-")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26" s="50" t="str">
        <f>IFERROR(IF(VLOOKUP($B26,casostestes[#Data],8)=0,"-",VLOOKUP($B26,casostestes[#Data],8)),"-")</f>
        <v>-</v>
      </c>
      <c r="J26" s="50" t="str">
        <f>IFERROR(IF(VLOOKUP($B26,casostestes[#Data],9)=0,"-",VLOOKUP($B26,casostestes[#Data],9)),"-")</f>
        <v>Tarefa de BI criada com situação Pendente.
Tarefa SEM Divergência de autodeclaração (116)
Status SIBE igual a  AGUARDANDO PERÍCIA
DPT: Tarefa.Exige_autodeclaração = 0</v>
      </c>
      <c r="K26" s="51"/>
      <c r="L26" s="119"/>
      <c r="M26" s="53"/>
      <c r="N26" s="54"/>
      <c r="O26" s="54"/>
      <c r="P26" s="55"/>
    </row>
    <row r="27" spans="2:16" ht="240">
      <c r="B27" s="56">
        <f>IF(ISERR(casostestes[[#This Row],[ID]]),"-",casostestes[[#This Row],[ID]])</f>
        <v>20</v>
      </c>
      <c r="C27" s="49" t="str">
        <f>IFERROR(IF(VLOOKUP($B27,casostestes[#Data],10)=0,"Não",VLOOKUP($B27,casostestes[#Data],10)), "-")</f>
        <v>Não</v>
      </c>
      <c r="D27" s="50" t="str">
        <f>IFERROR(IF(VLOOKUP($B27,casostestes[#Data],2)=0,"-",VLOOKUP($B27,casostestes[#Data],2)), "-")</f>
        <v>Requerimento Inicial de BI</v>
      </c>
      <c r="E27" s="50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27" s="50" t="str">
        <f>IFERROR(IF(VLOOKUP($B27,casostestes[#Data],4)=0,"-",VLOOKUP($B27,casostestes[#Data],4)),"-")</f>
        <v>PAT</v>
      </c>
      <c r="G27" s="50" t="str">
        <f>IFERROR(IF(VLOOKUP($B27,casostestes[#Data],5)=0,"-",VLOOKUP($B27,casostestes[#Data],5)),"-")</f>
        <v>ENTIDADE_CONVENIADA</v>
      </c>
      <c r="H27" s="50" t="str">
        <f>IFERROR(IF(VLOOKUP($B27,casostestes[#Data],6)=0,"-",VLOOKUP($B27,casostestes[#Data],6)),"-")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27" s="50" t="str">
        <f>IFERROR(IF(VLOOKUP($B27,casostestes[#Data],8)=0,"-",VLOOKUP($B27,casostestes[#Data],8)),"-")</f>
        <v>-</v>
      </c>
      <c r="J27" s="50" t="str">
        <f>IFERROR(IF(VLOOKUP($B27,casostestes[#Data],9)=0,"-",VLOOKUP($B27,casostestes[#Data],9)),"-")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7" s="51"/>
      <c r="L27" s="119"/>
      <c r="M27" s="53"/>
      <c r="N27" s="54"/>
      <c r="O27" s="54"/>
      <c r="P27" s="55"/>
    </row>
    <row r="28" spans="2:16" ht="240">
      <c r="B28" s="56">
        <f>IF(ISERR(casostestes[[#This Row],[ID]]),"-",casostestes[[#This Row],[ID]])</f>
        <v>21</v>
      </c>
      <c r="C28" s="49" t="str">
        <f>IFERROR(IF(VLOOKUP($B28,casostestes[#Data],10)=0,"Não",VLOOKUP($B28,casostestes[#Data],10)), "-")</f>
        <v>Não</v>
      </c>
      <c r="D28" s="50" t="str">
        <f>IFERROR(IF(VLOOKUP($B28,casostestes[#Data],2)=0,"-",VLOOKUP($B28,casostestes[#Data],2)), "-")</f>
        <v>Requerimento Inicial de BI</v>
      </c>
      <c r="E28" s="50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8" s="50" t="str">
        <f>IFERROR(IF(VLOOKUP($B28,casostestes[#Data],4)=0,"-",VLOOKUP($B28,casostestes[#Data],4)),"-")</f>
        <v>PAT</v>
      </c>
      <c r="G28" s="50" t="str">
        <f>IFERROR(IF(VLOOKUP($B28,casostestes[#Data],5)=0,"-",VLOOKUP($B28,casostestes[#Data],5)),"-")</f>
        <v>ENTIDADE_CONVENIADA</v>
      </c>
      <c r="H28" s="50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8" s="50" t="str">
        <f>IFERROR(IF(VLOOKUP($B28,casostestes[#Data],8)=0,"-",VLOOKUP($B28,casostestes[#Data],8)),"-")</f>
        <v>-</v>
      </c>
      <c r="J28" s="50" t="str">
        <f>IFERROR(IF(VLOOKUP($B28,casostestes[#Data],9)=0,"-",VLOOKUP($B28,casostestes[#Data],9)),"-")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8" s="51"/>
      <c r="L28" s="119"/>
      <c r="M28" s="53"/>
      <c r="N28" s="54"/>
      <c r="O28" s="54"/>
      <c r="P28" s="55"/>
    </row>
    <row r="29" spans="2:16" ht="135">
      <c r="B29" s="56">
        <f>IF(ISERR(casostestes[[#This Row],[ID]]),"-",casostestes[[#This Row],[ID]])</f>
        <v>22</v>
      </c>
      <c r="C29" s="49" t="str">
        <f>IFERROR(IF(VLOOKUP($B29,casostestes[#Data],10)=0,"Não",VLOOKUP($B29,casostestes[#Data],10)), "-")</f>
        <v>Não</v>
      </c>
      <c r="D29" s="50" t="str">
        <f>IFERROR(IF(VLOOKUP($B29,casostestes[#Data],2)=0,"-",VLOOKUP($B29,casostestes[#Data],2)), "-")</f>
        <v>Requerimento Inicial de BI</v>
      </c>
      <c r="E29" s="50" t="str">
        <f>IFERROR(IF(VLOOKUP($B29,casostestes[#Data],3)=0,"-",VLOOKUP($B29,casostestes[#Data],3)),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9" s="50" t="str">
        <f>IFERROR(IF(VLOOKUP($B29,casostestes[#Data],4)=0,"-",VLOOKUP($B29,casostestes[#Data],4)),"-")</f>
        <v>PAT</v>
      </c>
      <c r="G29" s="50" t="str">
        <f>IFERROR(IF(VLOOKUP($B29,casostestes[#Data],5)=0,"-",VLOOKUP($B29,casostestes[#Data],5)),"-")</f>
        <v>ENTIDADE_CONVENIADA</v>
      </c>
      <c r="H29" s="50" t="str">
        <f>IFERROR(IF(VLOOKUP($B29,casostestes[#Data],6)=0,"-",VLOOKUP($B29,casostestes[#Data],6)),"-")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9" s="50" t="str">
        <f>IFERROR(IF(VLOOKUP($B29,casostestes[#Data],8)=0,"-",VLOOKUP($B29,casostestes[#Data],8)),"-")</f>
        <v>-</v>
      </c>
      <c r="J29" s="50" t="str">
        <f>IFERROR(IF(VLOOKUP($B29,casostestes[#Data],9)=0,"-",VLOOKUP($B29,casostestes[#Data],9)),"-")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29" s="51"/>
      <c r="L29" s="119"/>
      <c r="M29" s="53"/>
      <c r="N29" s="54"/>
      <c r="O29" s="54"/>
      <c r="P29" s="55"/>
    </row>
    <row r="30" spans="2:16" ht="210">
      <c r="B30" s="56">
        <f>IF(ISERR(casostestes[[#This Row],[ID]]),"-",casostestes[[#This Row],[ID]])</f>
        <v>23</v>
      </c>
      <c r="C30" s="49" t="str">
        <f>IFERROR(IF(VLOOKUP($B30,casostestes[#Data],10)=0,"Não",VLOOKUP($B30,casostestes[#Data],10)), "-")</f>
        <v>Não</v>
      </c>
      <c r="D30" s="50" t="str">
        <f>IFERROR(IF(VLOOKUP($B30,casostestes[#Data],2)=0,"-",VLOOKUP($B30,casostestes[#Data],2)), "-")</f>
        <v>-</v>
      </c>
      <c r="E30" s="50" t="str">
        <f>IFERROR(IF(VLOOKUP($B30,casostestes[#Data],3)=0,"-",VLOOKUP($B30,casostestes[#Data],3)), "-")</f>
        <v>Cumprir a exigência de autodeclaração</v>
      </c>
      <c r="F30" s="50" t="str">
        <f>IFERROR(IF(VLOOKUP($B30,casostestes[#Data],4)=0,"-",VLOOKUP($B30,casostestes[#Data],4)),"-")</f>
        <v>PAT</v>
      </c>
      <c r="G30" s="50" t="str">
        <f>IFERROR(IF(VLOOKUP($B30,casostestes[#Data],5)=0,"-",VLOOKUP($B30,casostestes[#Data],5)),"-")</f>
        <v>ENTIDADE_CONVENIADA</v>
      </c>
      <c r="H30" s="50" t="str">
        <f>IFERROR(IF(VLOOKUP($B30,casostestes[#Data],6)=0,"-",VLOOKUP($B30,casostestes[#Data],6)),"-")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0" s="50" t="str">
        <f>IFERROR(IF(VLOOKUP($B30,casostestes[#Data],8)=0,"-",VLOOKUP($B30,casostestes[#Data],8)),"-")</f>
        <v>-</v>
      </c>
      <c r="J30" s="50" t="str">
        <f>IFERROR(IF(VLOOKUP($B30,casostestes[#Data],9)=0,"-",VLOOKUP($B30,casostestes[#Data],9)),"-")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51"/>
      <c r="L30" s="119"/>
      <c r="M30" s="53"/>
      <c r="N30" s="54"/>
      <c r="O30" s="54"/>
      <c r="P30" s="55"/>
    </row>
    <row r="31" spans="2:16" ht="210">
      <c r="B31" s="56">
        <f>IF(ISERR(casostestes[[#This Row],[ID]]),"-",casostestes[[#This Row],[ID]])</f>
        <v>24</v>
      </c>
      <c r="C31" s="49" t="str">
        <f>IFERROR(IF(VLOOKUP($B31,casostestes[#Data],10)=0,"Não",VLOOKUP($B31,casostestes[#Data],10)), "-")</f>
        <v>Não</v>
      </c>
      <c r="D31" s="50" t="str">
        <f>IFERROR(IF(VLOOKUP($B31,casostestes[#Data],2)=0,"-",VLOOKUP($B31,casostestes[#Data],2)), "-")</f>
        <v>-</v>
      </c>
      <c r="E31" s="50" t="str">
        <f>IFERROR(IF(VLOOKUP($B31,casostestes[#Data],3)=0,"-",VLOOKUP($B31,casostestes[#Data],3)), "-")</f>
        <v>Cumprir a exigência de autodeclaração</v>
      </c>
      <c r="F31" s="50" t="str">
        <f>IFERROR(IF(VLOOKUP($B31,casostestes[#Data],4)=0,"-",VLOOKUP($B31,casostestes[#Data],4)),"-")</f>
        <v>PAT</v>
      </c>
      <c r="G31" s="50" t="str">
        <f>IFERROR(IF(VLOOKUP($B31,casostestes[#Data],5)=0,"-",VLOOKUP($B31,casostestes[#Data],5)),"-")</f>
        <v>ENTIDADE_CONVENIADA_CORREIOS</v>
      </c>
      <c r="H31" s="50" t="str">
        <f>IFERROR(IF(VLOOKUP($B31,casostestes[#Data],6)=0,"-",VLOOKUP($B31,casostestes[#Data],6)),"-")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1" s="50" t="str">
        <f>IFERROR(IF(VLOOKUP($B31,casostestes[#Data],8)=0,"-",VLOOKUP($B31,casostestes[#Data],8)),"-")</f>
        <v>-</v>
      </c>
      <c r="J31" s="50" t="str">
        <f>IFERROR(IF(VLOOKUP($B31,casostestes[#Data],9)=0,"-",VLOOKUP($B31,casostestes[#Data],9)),"-")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1" s="51"/>
      <c r="L31" s="119"/>
      <c r="M31" s="53"/>
      <c r="N31" s="54"/>
      <c r="O31" s="54"/>
      <c r="P31" s="55"/>
    </row>
    <row r="32" spans="2:16" ht="180">
      <c r="B32" s="56">
        <f>IF(ISERR(casostestes[[#This Row],[ID]]),"-",casostestes[[#This Row],[ID]])</f>
        <v>25</v>
      </c>
      <c r="C32" s="49" t="str">
        <f>IFERROR(IF(VLOOKUP($B32,casostestes[#Data],10)=0,"Não",VLOOKUP($B32,casostestes[#Data],10)), "-")</f>
        <v>Não</v>
      </c>
      <c r="D32" s="50" t="str">
        <f>IFERROR(IF(VLOOKUP($B32,casostestes[#Data],2)=0,"-",VLOOKUP($B32,casostestes[#Data],2)), "-")</f>
        <v>-</v>
      </c>
      <c r="E32" s="50" t="str">
        <f>IFERROR(IF(VLOOKUP($B32,casostestes[#Data],3)=0,"-",VLOOKUP($B32,casostestes[#Data],3)),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2" s="50" t="str">
        <f>IFERROR(IF(VLOOKUP($B32,casostestes[#Data],4)=0,"-",VLOOKUP($B32,casostestes[#Data],4)),"-")</f>
        <v>PAT</v>
      </c>
      <c r="G32" s="50" t="str">
        <f>IFERROR(IF(VLOOKUP($B32,casostestes[#Data],5)=0,"-",VLOOKUP($B32,casostestes[#Data],5)),"-")</f>
        <v>ENTIDADE_CONVENIADA</v>
      </c>
      <c r="H32" s="50" t="str">
        <f>IFERROR(IF(VLOOKUP($B32,casostestes[#Data],6)=0,"-",VLOOKUP($B32,casostestes[#Data],6)),"-")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2" s="50" t="str">
        <f>IFERROR(IF(VLOOKUP($B32,casostestes[#Data],8)=0,"-",VLOOKUP($B32,casostestes[#Data],8)),"-")</f>
        <v>-</v>
      </c>
      <c r="J32" s="50" t="str">
        <f>IFERROR(IF(VLOOKUP($B32,casostestes[#Data],9)=0,"-",VLOOKUP($B32,casostestes[#Data],9)),"-")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2" s="51"/>
      <c r="L32" s="119"/>
      <c r="M32" s="53"/>
      <c r="N32" s="54"/>
      <c r="O32" s="54"/>
      <c r="P32" s="55"/>
    </row>
    <row r="33" spans="2:16" ht="120">
      <c r="B33" s="56">
        <f>IF(ISERR(casostestes[[#This Row],[ID]]),"-",casostestes[[#This Row],[ID]])</f>
        <v>26</v>
      </c>
      <c r="C33" s="49" t="str">
        <f>IFERROR(IF(VLOOKUP($B33,casostestes[#Data],10)=0,"Não",VLOOKUP($B33,casostestes[#Data],10)), "-")</f>
        <v>Não</v>
      </c>
      <c r="D33" s="50" t="str">
        <f>IFERROR(IF(VLOOKUP($B33,casostestes[#Data],2)=0,"-",VLOOKUP($B33,casostestes[#Data],2)), "-")</f>
        <v>-</v>
      </c>
      <c r="E33" s="50" t="str">
        <f>IFERROR(IF(VLOOKUP($B33,casostestes[#Data],3)=0,"-",VLOOKUP($B33,casostestes[#Data],3)),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3" s="50" t="str">
        <f>IFERROR(IF(VLOOKUP($B33,casostestes[#Data],4)=0,"-",VLOOKUP($B33,casostestes[#Data],4)),"-")</f>
        <v>PAT</v>
      </c>
      <c r="G33" s="50" t="str">
        <f>IFERROR(IF(VLOOKUP($B33,casostestes[#Data],5)=0,"-",VLOOKUP($B33,casostestes[#Data],5)),"-")</f>
        <v>ENTIDADE_CONVENIADA</v>
      </c>
      <c r="H33" s="50" t="str">
        <f>IFERROR(IF(VLOOKUP($B33,casostestes[#Data],6)=0,"-",VLOOKUP($B33,casostestes[#Data],6)),"-")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3" s="50" t="str">
        <f>IFERROR(IF(VLOOKUP($B33,casostestes[#Data],8)=0,"-",VLOOKUP($B33,casostestes[#Data],8)),"-")</f>
        <v>-</v>
      </c>
      <c r="J33" s="50" t="str">
        <f>IFERROR(IF(VLOOKUP($B33,casostestes[#Data],9)=0,"-",VLOOKUP($B33,casostestes[#Data],9)),"-")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3" s="51"/>
      <c r="L33" s="119"/>
      <c r="M33" s="53"/>
      <c r="N33" s="54"/>
      <c r="O33" s="54"/>
      <c r="P33" s="55"/>
    </row>
    <row r="34" spans="2:16" ht="90">
      <c r="B34" s="56">
        <f>IF(ISERR(casostestes[[#This Row],[ID]]),"-",casostestes[[#This Row],[ID]])</f>
        <v>27</v>
      </c>
      <c r="C34" s="49" t="str">
        <f>IFERROR(IF(VLOOKUP($B34,casostestes[#Data],10)=0,"Não",VLOOKUP($B34,casostestes[#Data],10)), "-")</f>
        <v>Não</v>
      </c>
      <c r="D34" s="50" t="str">
        <f>IFERROR(IF(VLOOKUP($B34,casostestes[#Data],2)=0,"-",VLOOKUP($B34,casostestes[#Data],2)), "-")</f>
        <v>Requerimento Inicial de BI</v>
      </c>
      <c r="E34" s="50" t="str">
        <f>IFERROR(IF(VLOOKUP($B34,casostestes[#Data],3)=0,"-",VLOOKUP($B34,casostestes[#Data],3)),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4" s="50" t="str">
        <f>IFERROR(IF(VLOOKUP($B34,casostestes[#Data],4)=0,"-",VLOOKUP($B34,casostestes[#Data],4)),"-")</f>
        <v>Meu INSS</v>
      </c>
      <c r="G34" s="50" t="str">
        <f>IFERROR(IF(VLOOKUP($B34,casostestes[#Data],5)=0,"-",VLOOKUP($B34,casostestes[#Data],5)),"-")</f>
        <v>INTERESSADO</v>
      </c>
      <c r="H34" s="50" t="str">
        <f>IFERROR(IF(VLOOKUP($B34,casostestes[#Data],6)=0,"-",VLOOKUP($B34,casostestes[#Data],6)),"-")</f>
        <v xml:space="preserve">1. Logar no Meu INSS
2.Criar tarefa de BI informando:
Tipo de Incapacidade? "Temporária "
A pessoa está presa?  Não
Categoria do trabalhador diferente de "Segurado Especial"
</v>
      </c>
      <c r="I34" s="50" t="str">
        <f>IFERROR(IF(VLOOKUP($B34,casostestes[#Data],8)=0,"-",VLOOKUP($B34,casostestes[#Data],8)),"-")</f>
        <v>-</v>
      </c>
      <c r="J34" s="50" t="str">
        <f>IFERROR(IF(VLOOKUP($B34,casostestes[#Data],9)=0,"-",VLOOKUP($B34,casostestes[#Data],9)),"-")</f>
        <v>Tarefa de BI criada com situação Pendente.
Tarefa SEM Divergência de autodeclaração (116)
Status SIBE igual a AGUARDANDO ATESTADO 
Tarefa.Exige_autodeclaração = 0</v>
      </c>
      <c r="K34" s="51"/>
      <c r="L34" s="119"/>
      <c r="M34" s="53"/>
      <c r="N34" s="54"/>
      <c r="O34" s="54"/>
      <c r="P34" s="55"/>
    </row>
    <row r="35" spans="2:16" ht="120">
      <c r="B35" s="56">
        <f>IF(ISERR(casostestes[[#This Row],[ID]]),"-",casostestes[[#This Row],[ID]])</f>
        <v>28</v>
      </c>
      <c r="C35" s="49" t="str">
        <f>IFERROR(IF(VLOOKUP($B35,casostestes[#Data],10)=0,"Não",VLOOKUP($B35,casostestes[#Data],10)), "-")</f>
        <v>Não</v>
      </c>
      <c r="D35" s="50" t="str">
        <f>IFERROR(IF(VLOOKUP($B35,casostestes[#Data],2)=0,"-",VLOOKUP($B35,casostestes[#Data],2)), "-")</f>
        <v>Requerimento Inicial de BI</v>
      </c>
      <c r="E35" s="50" t="str">
        <f>IFERROR(IF(VLOOKUP($B35,casostestes[#Data],3)=0,"-",VLOOKUP($B35,casostestes[#Data],3)),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5" s="50" t="str">
        <f>IFERROR(IF(VLOOKUP($B35,casostestes[#Data],4)=0,"-",VLOOKUP($B35,casostestes[#Data],4)),"-")</f>
        <v>Meu INSS</v>
      </c>
      <c r="G35" s="50" t="str">
        <f>IFERROR(IF(VLOOKUP($B35,casostestes[#Data],5)=0,"-",VLOOKUP($B35,casostestes[#Data],5)),"-")</f>
        <v>INTERESSADO</v>
      </c>
      <c r="H35" s="50" t="str">
        <f>IFERROR(IF(VLOOKUP($B35,casostestes[#Data],6)=0,"-",VLOOKUP($B35,casostestes[#Data],6)),"-")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35" s="50" t="str">
        <f>IFERROR(IF(VLOOKUP($B35,casostestes[#Data],8)=0,"-",VLOOKUP($B35,casostestes[#Data],8)),"-")</f>
        <v>-</v>
      </c>
      <c r="J35" s="50" t="str">
        <f>IFERROR(IF(VLOOKUP($B35,casostestes[#Data],9)=0,"-",VLOOKUP($B35,casostestes[#Data],9)),"-")</f>
        <v>Tarefa de BI criada com situação Pendente.
Tarefa SEM Divergência de autodeclaração (116)
Status SIBE igual a  AGUARDANDO PERÍCIA
Tarefa.Exige_autodeclaração = 0</v>
      </c>
      <c r="K35" s="51"/>
      <c r="L35" s="119"/>
      <c r="M35" s="53"/>
      <c r="N35" s="54"/>
      <c r="O35" s="54"/>
      <c r="P35" s="55"/>
    </row>
    <row r="36" spans="2:16" ht="255">
      <c r="B36" s="56">
        <f>IF(ISERR(casostestes[[#This Row],[ID]]),"-",casostestes[[#This Row],[ID]])</f>
        <v>29</v>
      </c>
      <c r="C36" s="49" t="str">
        <f>IFERROR(IF(VLOOKUP($B36,casostestes[#Data],10)=0,"Não",VLOOKUP($B36,casostestes[#Data],10)), "-")</f>
        <v>Não</v>
      </c>
      <c r="D36" s="50" t="str">
        <f>IFERROR(IF(VLOOKUP($B36,casostestes[#Data],2)=0,"-",VLOOKUP($B36,casostestes[#Data],2)), "-")</f>
        <v>Requerimento Inicial de BI</v>
      </c>
      <c r="E36" s="50" t="str">
        <f>IFERROR(IF(VLOOKUP($B36,casostestes[#Data],3)=0,"-",VLOOKUP($B36,casostestes[#Data],3)),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36" s="50" t="str">
        <f>IFERROR(IF(VLOOKUP($B36,casostestes[#Data],4)=0,"-",VLOOKUP($B36,casostestes[#Data],4)),"-")</f>
        <v>Meu INSS</v>
      </c>
      <c r="G36" s="50" t="str">
        <f>IFERROR(IF(VLOOKUP($B36,casostestes[#Data],5)=0,"-",VLOOKUP($B36,casostestes[#Data],5)),"-")</f>
        <v>INTERESSADO</v>
      </c>
      <c r="H36" s="50" t="str">
        <f>IFERROR(IF(VLOOKUP($B36,casostestes[#Data],6)=0,"-",VLOOKUP($B36,casostestes[#Data],6)),"-")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36" s="50" t="str">
        <f>IFERROR(IF(VLOOKUP($B36,casostestes[#Data],8)=0,"-",VLOOKUP($B36,casostestes[#Data],8)),"-")</f>
        <v>-</v>
      </c>
      <c r="J36" s="50" t="str">
        <f>IFERROR(IF(VLOOKUP($B36,casostestes[#Data],9)=0,"-",VLOOKUP($B36,casostestes[#Data],9)),"-")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6" s="51"/>
      <c r="L36" s="119"/>
      <c r="M36" s="53"/>
      <c r="N36" s="54"/>
      <c r="O36" s="54"/>
      <c r="P36" s="55"/>
    </row>
    <row r="37" spans="2:16" ht="255">
      <c r="B37" s="56">
        <f>IF(ISERR(casostestes[[#This Row],[ID]]),"-",casostestes[[#This Row],[ID]])</f>
        <v>30</v>
      </c>
      <c r="C37" s="49" t="str">
        <f>IFERROR(IF(VLOOKUP($B37,casostestes[#Data],10)=0,"Não",VLOOKUP($B37,casostestes[#Data],10)), "-")</f>
        <v>Não</v>
      </c>
      <c r="D37" s="50" t="str">
        <f>IFERROR(IF(VLOOKUP($B37,casostestes[#Data],2)=0,"-",VLOOKUP($B37,casostestes[#Data],2)), "-")</f>
        <v>Requerimento Inicial de BI</v>
      </c>
      <c r="E37" s="50" t="str">
        <f>IFERROR(IF(VLOOKUP($B37,casostestes[#Data],3)=0,"-",VLOOKUP($B37,casostestes[#Data],3)),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7" s="50" t="str">
        <f>IFERROR(IF(VLOOKUP($B37,casostestes[#Data],4)=0,"-",VLOOKUP($B37,casostestes[#Data],4)),"-")</f>
        <v>Meu INSS</v>
      </c>
      <c r="G37" s="50" t="str">
        <f>IFERROR(IF(VLOOKUP($B37,casostestes[#Data],5)=0,"-",VLOOKUP($B37,casostestes[#Data],5)),"-")</f>
        <v>INTERESSADO</v>
      </c>
      <c r="H37" s="50" t="str">
        <f>IFERROR(IF(VLOOKUP($B37,casostestes[#Data],6)=0,"-",VLOOKUP($B37,casostestes[#Data],6)),"-")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37" s="50" t="str">
        <f>IFERROR(IF(VLOOKUP($B37,casostestes[#Data],8)=0,"-",VLOOKUP($B37,casostestes[#Data],8)),"-")</f>
        <v>-</v>
      </c>
      <c r="J37" s="50" t="str">
        <f>IFERROR(IF(VLOOKUP($B37,casostestes[#Data],9)=0,"-",VLOOKUP($B37,casostestes[#Data],9)),"-")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7" s="51"/>
      <c r="L37" s="119"/>
      <c r="M37" s="53"/>
      <c r="N37" s="54"/>
      <c r="O37" s="54"/>
      <c r="P37" s="55"/>
    </row>
    <row r="38" spans="2:16" ht="180">
      <c r="B38" s="56">
        <f>IF(ISERR(casostestes[[#This Row],[ID]]),"-",casostestes[[#This Row],[ID]])</f>
        <v>31</v>
      </c>
      <c r="C38" s="49" t="str">
        <f>IFERROR(IF(VLOOKUP($B38,casostestes[#Data],10)=0,"Não",VLOOKUP($B38,casostestes[#Data],10)), "-")</f>
        <v>Não</v>
      </c>
      <c r="D38" s="50" t="str">
        <f>IFERROR(IF(VLOOKUP($B38,casostestes[#Data],2)=0,"-",VLOOKUP($B38,casostestes[#Data],2)), "-")</f>
        <v>Requerimento Inicial de BI</v>
      </c>
      <c r="E38" s="50" t="str">
        <f>IFERROR(IF(VLOOKUP($B38,casostestes[#Data],3)=0,"-",VLOOKUP($B38,casostestes[#Data],3)),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8" s="50" t="str">
        <f>IFERROR(IF(VLOOKUP($B38,casostestes[#Data],4)=0,"-",VLOOKUP($B38,casostestes[#Data],4)),"-")</f>
        <v>Meu INSS</v>
      </c>
      <c r="G38" s="50" t="str">
        <f>IFERROR(IF(VLOOKUP($B38,casostestes[#Data],5)=0,"-",VLOOKUP($B38,casostestes[#Data],5)),"-")</f>
        <v>INTERESSADO</v>
      </c>
      <c r="H38" s="50" t="str">
        <f>IFERROR(IF(VLOOKUP($B38,casostestes[#Data],6)=0,"-",VLOOKUP($B38,casostestes[#Data],6)),"-")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38" s="50" t="str">
        <f>IFERROR(IF(VLOOKUP($B38,casostestes[#Data],8)=0,"-",VLOOKUP($B38,casostestes[#Data],8)),"-")</f>
        <v>-</v>
      </c>
      <c r="J38" s="50" t="str">
        <f>IFERROR(IF(VLOOKUP($B38,casostestes[#Data],9)=0,"-",VLOOKUP($B38,casostestes[#Data],9)),"-")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38" s="51"/>
      <c r="L38" s="119"/>
      <c r="M38" s="53"/>
      <c r="N38" s="54"/>
      <c r="O38" s="54"/>
      <c r="P38" s="55"/>
    </row>
    <row r="39" spans="2:16" ht="225">
      <c r="B39" s="56">
        <f>IF(ISERR(casostestes[[#This Row],[ID]]),"-",casostestes[[#This Row],[ID]])</f>
        <v>32</v>
      </c>
      <c r="C39" s="49" t="str">
        <f>IFERROR(IF(VLOOKUP($B39,casostestes[#Data],10)=0,"Não",VLOOKUP($B39,casostestes[#Data],10)), "-")</f>
        <v>Não</v>
      </c>
      <c r="D39" s="50" t="str">
        <f>IFERROR(IF(VLOOKUP($B39,casostestes[#Data],2)=0,"-",VLOOKUP($B39,casostestes[#Data],2)), "-")</f>
        <v>-</v>
      </c>
      <c r="E39" s="50" t="str">
        <f>IFERROR(IF(VLOOKUP($B39,casostestes[#Data],3)=0,"-",VLOOKUP($B39,casostestes[#Data],3)), "-")</f>
        <v>Cumprir a exigência de autodeclaração</v>
      </c>
      <c r="F39" s="50" t="str">
        <f>IFERROR(IF(VLOOKUP($B39,casostestes[#Data],4)=0,"-",VLOOKUP($B39,casostestes[#Data],4)),"-")</f>
        <v>Meu INSS</v>
      </c>
      <c r="G39" s="50" t="str">
        <f>IFERROR(IF(VLOOKUP($B39,casostestes[#Data],5)=0,"-",VLOOKUP($B39,casostestes[#Data],5)),"-")</f>
        <v>INTERESSADO</v>
      </c>
      <c r="H39" s="50" t="str">
        <f>IFERROR(IF(VLOOKUP($B39,casostestes[#Data],6)=0,"-",VLOOKUP($B39,casostestes[#Data],6)),"-")</f>
        <v>1. Logar no  Meu INSS
2.Consultar uma tarefa em exigência de autodeclaração e acionar Cumprir Exigência  
3. Responder o formulário de autodeclaração</v>
      </c>
      <c r="I39" s="50" t="str">
        <f>IFERROR(IF(VLOOKUP($B39,casostestes[#Data],8)=0,"-",VLOOKUP($B39,casostestes[#Data],8)),"-")</f>
        <v>-</v>
      </c>
      <c r="J39" s="50" t="str">
        <f>IFERROR(IF(VLOOKUP($B39,casostestes[#Data],9)=0,"-",VLOOKUP($B39,casostestes[#Data],9)),"-")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9" s="51"/>
      <c r="L39" s="119"/>
      <c r="M39" s="53"/>
      <c r="N39" s="54"/>
      <c r="O39" s="54"/>
      <c r="P39" s="55"/>
    </row>
    <row r="40" spans="2:16" ht="180">
      <c r="B40" s="56">
        <f>IF(ISERR(casostestes[[#This Row],[ID]]),"-",casostestes[[#This Row],[ID]])</f>
        <v>33</v>
      </c>
      <c r="C40" s="49" t="str">
        <f>IFERROR(IF(VLOOKUP($B40,casostestes[#Data],10)=0,"Não",VLOOKUP($B40,casostestes[#Data],10)), "-")</f>
        <v>Não</v>
      </c>
      <c r="D40" s="50" t="str">
        <f>IFERROR(IF(VLOOKUP($B40,casostestes[#Data],2)=0,"-",VLOOKUP($B40,casostestes[#Data],2)), "-")</f>
        <v>-</v>
      </c>
      <c r="E40" s="50" t="str">
        <f>IFERROR(IF(VLOOKUP($B40,casostestes[#Data],3)=0,"-",VLOOKUP($B40,casostestes[#Data],3)),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0" s="50" t="str">
        <f>IFERROR(IF(VLOOKUP($B40,casostestes[#Data],4)=0,"-",VLOOKUP($B40,casostestes[#Data],4)),"-")</f>
        <v>Meu INSS</v>
      </c>
      <c r="G40" s="50" t="str">
        <f>IFERROR(IF(VLOOKUP($B40,casostestes[#Data],5)=0,"-",VLOOKUP($B40,casostestes[#Data],5)),"-")</f>
        <v>INTERESSADO</v>
      </c>
      <c r="H40" s="50" t="str">
        <f>IFERROR(IF(VLOOKUP($B40,casostestes[#Data],6)=0,"-",VLOOKUP($B40,casostestes[#Data],6)),"-")</f>
        <v>1. Logar no  Meu INSS
2.Consultar uma tarefa em exigência de autodeclaração
3. Acionar no card do pedido a opção de Autodeclaração   
3. Responder o formulário de autodeclaração</v>
      </c>
      <c r="I40" s="50" t="str">
        <f>IFERROR(IF(VLOOKUP($B40,casostestes[#Data],8)=0,"-",VLOOKUP($B40,casostestes[#Data],8)),"-")</f>
        <v>-</v>
      </c>
      <c r="J40" s="50" t="str">
        <f>IFERROR(IF(VLOOKUP($B40,casostestes[#Data],9)=0,"-",VLOOKUP($B40,casostestes[#Data],9)),"-")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0" s="51"/>
      <c r="L40" s="119"/>
      <c r="M40" s="53"/>
      <c r="N40" s="54"/>
      <c r="O40" s="54"/>
      <c r="P40" s="55"/>
    </row>
    <row r="41" spans="2:16" ht="90">
      <c r="B41" s="56">
        <f>IF(ISERR(casostestes[[#This Row],[ID]]),"-",casostestes[[#This Row],[ID]])</f>
        <v>34</v>
      </c>
      <c r="C41" s="49" t="str">
        <f>IFERROR(IF(VLOOKUP($B41,casostestes[#Data],10)=0,"Não",VLOOKUP($B41,casostestes[#Data],10)), "-")</f>
        <v>Não</v>
      </c>
      <c r="D41" s="50" t="str">
        <f>IFERROR(IF(VLOOKUP($B41,casostestes[#Data],2)=0,"-",VLOOKUP($B41,casostestes[#Data],2)), "-")</f>
        <v>-</v>
      </c>
      <c r="E41" s="50" t="str">
        <f>IFERROR(IF(VLOOKUP($B41,casostestes[#Data],3)=0,"-",VLOOKUP($B41,casostestes[#Data],3)),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1" s="50" t="str">
        <f>IFERROR(IF(VLOOKUP($B41,casostestes[#Data],4)=0,"-",VLOOKUP($B41,casostestes[#Data],4)),"-")</f>
        <v>Meu INSS</v>
      </c>
      <c r="G41" s="50" t="str">
        <f>IFERROR(IF(VLOOKUP($B41,casostestes[#Data],5)=0,"-",VLOOKUP($B41,casostestes[#Data],5)),"-")</f>
        <v>INTERESSADO</v>
      </c>
      <c r="H41" s="50" t="str">
        <f>IFERROR(IF(VLOOKUP($B41,casostestes[#Data],6)=0,"-",VLOOKUP($B41,casostestes[#Data],6)),"-")</f>
        <v>1. Logar no  Meu INSS
2.Consultar uma tarefa em exigência de documento médico 
3. Acionar no card do pedido a opção de Autodeclaração   
3. Responder o formulário de autodeclaração</v>
      </c>
      <c r="I41" s="50" t="str">
        <f>IFERROR(IF(VLOOKUP($B41,casostestes[#Data],8)=0,"-",VLOOKUP($B41,casostestes[#Data],8)),"-")</f>
        <v>-</v>
      </c>
      <c r="J41" s="50" t="str">
        <f>IFERROR(IF(VLOOKUP($B41,casostestes[#Data],9)=0,"-",VLOOKUP($B41,casostestes[#Data],9)),"-")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1" s="51"/>
      <c r="L41" s="119"/>
      <c r="M41" s="53"/>
      <c r="N41" s="54"/>
      <c r="O41" s="54"/>
      <c r="P41" s="55"/>
    </row>
    <row r="42" spans="2:16" ht="409.5">
      <c r="B42" s="56">
        <f>IF(ISERR(casostestes[[#This Row],[ID]]),"-",casostestes[[#This Row],[ID]])</f>
        <v>35</v>
      </c>
      <c r="C42" s="49" t="str">
        <f>IFERROR(IF(VLOOKUP($B42,casostestes[#Data],10)=0,"Não",VLOOKUP($B42,casostestes[#Data],10)), "-")</f>
        <v>Não</v>
      </c>
      <c r="D42" s="50" t="str">
        <f>IFERROR(IF(VLOOKUP($B42,casostestes[#Data],2)=0,"-",VLOOKUP($B42,casostestes[#Data],2)), "-")</f>
        <v>Requerimento Inicial de BI</v>
      </c>
      <c r="E42" s="50" t="str">
        <f>IFERROR(IF(VLOOKUP($B42,casostestes[#Data],3)=0,"-",VLOOKUP($B42,casostestes[#Data],3)), "-")</f>
        <v xml:space="preserve"> 
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2" s="50" t="str">
        <f>IFERROR(IF(VLOOKUP($B42,casostestes[#Data],4)=0,"-",VLOOKUP($B42,casostestes[#Data],4)),"-")</f>
        <v>PAT</v>
      </c>
      <c r="G42" s="50" t="str">
        <f>IFERROR(IF(VLOOKUP($B42,casostestes[#Data],5)=0,"-",VLOOKUP($B42,casostestes[#Data],5)),"-")</f>
        <v>SERVIDOR</v>
      </c>
      <c r="H42" s="50" t="str">
        <f>IFERROR(IF(VLOOKUP($B42,casostestes[#Data],6)=0,"-",VLOOKUP($B42,casostestes[#Data],6)),"-")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2" s="50" t="str">
        <f>IFERROR(IF(VLOOKUP($B42,casostestes[#Data],8)=0,"-",VLOOKUP($B42,casostestes[#Data],8)),"-")</f>
        <v>-</v>
      </c>
      <c r="J42" s="50" t="str">
        <f>IFERROR(IF(VLOOKUP($B42,casostestes[#Data],9)=0,"-",VLOOKUP($B42,casostestes[#Data],9)),"-")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2" s="51"/>
      <c r="L42" s="119"/>
      <c r="M42" s="53"/>
      <c r="N42" s="54"/>
      <c r="O42" s="54"/>
      <c r="P42" s="55"/>
    </row>
    <row r="43" spans="2:16" ht="409.5">
      <c r="B43" s="56">
        <f>IF(ISERR(casostestes[[#This Row],[ID]]),"-",casostestes[[#This Row],[ID]])</f>
        <v>36</v>
      </c>
      <c r="C43" s="49" t="str">
        <f>IFERROR(IF(VLOOKUP($B43,casostestes[#Data],10)=0,"Não",VLOOKUP($B43,casostestes[#Data],10)), "-")</f>
        <v>Não</v>
      </c>
      <c r="D43" s="50" t="str">
        <f>IFERROR(IF(VLOOKUP($B43,casostestes[#Data],2)=0,"-",VLOOKUP($B43,casostestes[#Data],2)), "-")</f>
        <v>Requerimento Inicial de BI</v>
      </c>
      <c r="E43" s="50" t="str">
        <f>IFERROR(IF(VLOOKUP($B43,casostestes[#Data],3)=0,"-",VLOOKUP($B43,casostestes[#Data],3)),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3" s="50" t="str">
        <f>IFERROR(IF(VLOOKUP($B43,casostestes[#Data],4)=0,"-",VLOOKUP($B43,casostestes[#Data],4)),"-")</f>
        <v>PAT</v>
      </c>
      <c r="G43" s="50" t="str">
        <f>IFERROR(IF(VLOOKUP($B43,casostestes[#Data],5)=0,"-",VLOOKUP($B43,casostestes[#Data],5)),"-")</f>
        <v>SERVIDOR</v>
      </c>
      <c r="H43" s="50" t="str">
        <f>IFERROR(IF(VLOOKUP($B43,casostestes[#Data],6)=0,"-",VLOOKUP($B43,casostestes[#Data],6)),"-")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3" s="50" t="str">
        <f>IFERROR(IF(VLOOKUP($B43,casostestes[#Data],8)=0,"-",VLOOKUP($B43,casostestes[#Data],8)),"-")</f>
        <v>-</v>
      </c>
      <c r="J43" s="50" t="str">
        <f>IFERROR(IF(VLOOKUP($B43,casostestes[#Data],9)=0,"-",VLOOKUP($B43,casostestes[#Data],9)),"-")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3" s="51"/>
      <c r="L43" s="119"/>
      <c r="M43" s="53"/>
      <c r="N43" s="54"/>
      <c r="O43" s="54"/>
      <c r="P43" s="55"/>
    </row>
    <row r="44" spans="2:16">
      <c r="B44" s="56" t="str">
        <f>IF(ISERR(casostestes[[#This Row],[ID]]),"-",casostestes[[#This Row],[ID]])</f>
        <v>-</v>
      </c>
      <c r="C44" s="49" t="str">
        <f>IFERROR(IF(VLOOKUP($B44,casostestes[#Data],10)=0,"Não",VLOOKUP($B44,casostestes[#Data],10)), "-")</f>
        <v>-</v>
      </c>
      <c r="D44" s="50" t="str">
        <f>IFERROR(IF(VLOOKUP($B44,casostestes[#Data],2)=0,"-",VLOOKUP($B44,casostestes[#Data],2)), "-")</f>
        <v>-</v>
      </c>
      <c r="E44" s="50" t="str">
        <f>IFERROR(IF(VLOOKUP($B44,casostestes[#Data],3)=0,"-",VLOOKUP($B44,casostestes[#Data],3)), "-")</f>
        <v>-</v>
      </c>
      <c r="F44" s="50" t="str">
        <f>IFERROR(IF(VLOOKUP($B44,casostestes[#Data],4)=0,"-",VLOOKUP($B44,casostestes[#Data],4)),"-")</f>
        <v>-</v>
      </c>
      <c r="G44" s="50" t="str">
        <f>IFERROR(IF(VLOOKUP($B44,casostestes[#Data],5)=0,"-",VLOOKUP($B44,casostestes[#Data],5)),"-")</f>
        <v>-</v>
      </c>
      <c r="H44" s="50" t="str">
        <f>IFERROR(IF(VLOOKUP($B44,casostestes[#Data],6)=0,"-",VLOOKUP($B44,casostestes[#Data],6)),"-")</f>
        <v>-</v>
      </c>
      <c r="I44" s="50" t="str">
        <f>IFERROR(IF(VLOOKUP($B44,casostestes[#Data],8)=0,"-",VLOOKUP($B44,casostestes[#Data],8)),"-")</f>
        <v>-</v>
      </c>
      <c r="J44" s="50" t="str">
        <f>IFERROR(IF(VLOOKUP($B44,casostestes[#Data],9)=0,"-",VLOOKUP($B44,casostestes[#Data],9)),"-")</f>
        <v>-</v>
      </c>
      <c r="K44" s="51"/>
      <c r="L44" s="119"/>
      <c r="M44" s="53"/>
      <c r="N44" s="54"/>
      <c r="O44" s="54"/>
      <c r="P44" s="55"/>
    </row>
    <row r="45" spans="2:16">
      <c r="B45" s="56" t="str">
        <f>IF(ISERR(casostestes[[#This Row],[ID]]),"-",casostestes[[#This Row],[ID]])</f>
        <v>-</v>
      </c>
      <c r="C45" s="49" t="str">
        <f>IFERROR(IF(VLOOKUP($B45,casostestes[#Data],10)=0,"Não",VLOOKUP($B45,casostestes[#Data],10)), "-")</f>
        <v>-</v>
      </c>
      <c r="D45" s="50" t="str">
        <f>IFERROR(IF(VLOOKUP($B45,casostestes[#Data],2)=0,"-",VLOOKUP($B45,casostestes[#Data],2)), "-")</f>
        <v>-</v>
      </c>
      <c r="E45" s="50" t="str">
        <f>IFERROR(IF(VLOOKUP($B45,casostestes[#Data],3)=0,"-",VLOOKUP($B45,casostestes[#Data],3)), "-")</f>
        <v>-</v>
      </c>
      <c r="F45" s="50" t="str">
        <f>IFERROR(IF(VLOOKUP($B45,casostestes[#Data],4)=0,"-",VLOOKUP($B45,casostestes[#Data],4)),"-")</f>
        <v>-</v>
      </c>
      <c r="G45" s="50" t="str">
        <f>IFERROR(IF(VLOOKUP($B45,casostestes[#Data],5)=0,"-",VLOOKUP($B45,casostestes[#Data],5)),"-")</f>
        <v>-</v>
      </c>
      <c r="H45" s="50" t="str">
        <f>IFERROR(IF(VLOOKUP($B45,casostestes[#Data],6)=0,"-",VLOOKUP($B45,casostestes[#Data],6)),"-")</f>
        <v>-</v>
      </c>
      <c r="I45" s="50" t="str">
        <f>IFERROR(IF(VLOOKUP($B45,casostestes[#Data],8)=0,"-",VLOOKUP($B45,casostestes[#Data],8)),"-")</f>
        <v>-</v>
      </c>
      <c r="J45" s="50" t="str">
        <f>IFERROR(IF(VLOOKUP($B45,casostestes[#Data],9)=0,"-",VLOOKUP($B45,casostestes[#Data],9)),"-")</f>
        <v>-</v>
      </c>
      <c r="K45" s="51"/>
      <c r="L45" s="119"/>
      <c r="M45" s="53"/>
      <c r="N45" s="54"/>
      <c r="O45" s="54"/>
      <c r="P45" s="55"/>
    </row>
    <row r="46" spans="2:16">
      <c r="B46" s="56" t="str">
        <f>IF(ISERR(casostestes[[#This Row],[ID]]),"-",casostestes[[#This Row],[ID]])</f>
        <v>-</v>
      </c>
      <c r="C46" s="49" t="str">
        <f>IFERROR(IF(VLOOKUP($B46,casostestes[#Data],10)=0,"Não",VLOOKUP($B46,casostestes[#Data],10)), "-")</f>
        <v>-</v>
      </c>
      <c r="D46" s="50" t="str">
        <f>IFERROR(IF(VLOOKUP($B46,casostestes[#Data],2)=0,"-",VLOOKUP($B46,casostestes[#Data],2)), "-")</f>
        <v>-</v>
      </c>
      <c r="E46" s="50" t="str">
        <f>IFERROR(IF(VLOOKUP($B46,casostestes[#Data],3)=0,"-",VLOOKUP($B46,casostestes[#Data],3)), "-")</f>
        <v>-</v>
      </c>
      <c r="F46" s="50" t="str">
        <f>IFERROR(IF(VLOOKUP($B46,casostestes[#Data],4)=0,"-",VLOOKUP($B46,casostestes[#Data],4)),"-")</f>
        <v>-</v>
      </c>
      <c r="G46" s="50" t="str">
        <f>IFERROR(IF(VLOOKUP($B46,casostestes[#Data],5)=0,"-",VLOOKUP($B46,casostestes[#Data],5)),"-")</f>
        <v>-</v>
      </c>
      <c r="H46" s="50" t="str">
        <f>IFERROR(IF(VLOOKUP($B46,casostestes[#Data],6)=0,"-",VLOOKUP($B46,casostestes[#Data],6)),"-")</f>
        <v>-</v>
      </c>
      <c r="I46" s="50" t="str">
        <f>IFERROR(IF(VLOOKUP($B46,casostestes[#Data],8)=0,"-",VLOOKUP($B46,casostestes[#Data],8)),"-")</f>
        <v>-</v>
      </c>
      <c r="J46" s="50" t="str">
        <f>IFERROR(IF(VLOOKUP($B46,casostestes[#Data],9)=0,"-",VLOOKUP($B46,casostestes[#Data],9)),"-")</f>
        <v>-</v>
      </c>
      <c r="K46" s="51"/>
      <c r="L46" s="119"/>
      <c r="M46" s="53"/>
      <c r="N46" s="54"/>
      <c r="O46" s="54"/>
      <c r="P46" s="55"/>
    </row>
    <row r="47" spans="2:16">
      <c r="B47" s="56" t="str">
        <f>IF(ISERR(casostestes[[#This Row],[ID]]),"-",casostestes[[#This Row],[ID]])</f>
        <v>-</v>
      </c>
      <c r="C47" s="49" t="str">
        <f>IFERROR(IF(VLOOKUP($B47,casostestes[#Data],10)=0,"Não",VLOOKUP($B47,casostestes[#Data],10)), "-")</f>
        <v>-</v>
      </c>
      <c r="D47" s="50" t="str">
        <f>IFERROR(IF(VLOOKUP($B47,casostestes[#Data],2)=0,"-",VLOOKUP($B47,casostestes[#Data],2)), "-")</f>
        <v>-</v>
      </c>
      <c r="E47" s="50" t="str">
        <f>IFERROR(IF(VLOOKUP($B47,casostestes[#Data],3)=0,"-",VLOOKUP($B47,casostestes[#Data],3)), "-")</f>
        <v>-</v>
      </c>
      <c r="F47" s="50" t="str">
        <f>IFERROR(IF(VLOOKUP($B47,casostestes[#Data],4)=0,"-",VLOOKUP($B47,casostestes[#Data],4)),"-")</f>
        <v>-</v>
      </c>
      <c r="G47" s="50" t="str">
        <f>IFERROR(IF(VLOOKUP($B47,casostestes[#Data],5)=0,"-",VLOOKUP($B47,casostestes[#Data],5)),"-")</f>
        <v>-</v>
      </c>
      <c r="H47" s="50" t="str">
        <f>IFERROR(IF(VLOOKUP($B47,casostestes[#Data],6)=0,"-",VLOOKUP($B47,casostestes[#Data],6)),"-")</f>
        <v>-</v>
      </c>
      <c r="I47" s="50" t="str">
        <f>IFERROR(IF(VLOOKUP($B47,casostestes[#Data],8)=0,"-",VLOOKUP($B47,casostestes[#Data],8)),"-")</f>
        <v>-</v>
      </c>
      <c r="J47" s="50" t="str">
        <f>IFERROR(IF(VLOOKUP($B47,casostestes[#Data],9)=0,"-",VLOOKUP($B47,casostestes[#Data],9)),"-")</f>
        <v>-</v>
      </c>
      <c r="K47" s="51"/>
      <c r="L47" s="119"/>
      <c r="M47" s="53"/>
      <c r="N47" s="54"/>
      <c r="O47" s="54"/>
      <c r="P47" s="55"/>
    </row>
    <row r="48" spans="2:16">
      <c r="B48" s="56" t="str">
        <f>IF(ISERR(casostestes[[#This Row],[ID]]),"-",casostestes[[#This Row],[ID]])</f>
        <v>-</v>
      </c>
      <c r="C48" s="49" t="str">
        <f>IFERROR(IF(VLOOKUP($B48,casostestes[#Data],10)=0,"Não",VLOOKUP($B48,casostestes[#Data],10)), "-")</f>
        <v>-</v>
      </c>
      <c r="D48" s="50" t="str">
        <f>IFERROR(IF(VLOOKUP($B48,casostestes[#Data],2)=0,"-",VLOOKUP($B48,casostestes[#Data],2)), "-")</f>
        <v>-</v>
      </c>
      <c r="E48" s="50" t="str">
        <f>IFERROR(IF(VLOOKUP($B48,casostestes[#Data],3)=0,"-",VLOOKUP($B48,casostestes[#Data],3)), "-")</f>
        <v>-</v>
      </c>
      <c r="F48" s="50" t="str">
        <f>IFERROR(IF(VLOOKUP($B48,casostestes[#Data],4)=0,"-",VLOOKUP($B48,casostestes[#Data],4)),"-")</f>
        <v>-</v>
      </c>
      <c r="G48" s="50" t="str">
        <f>IFERROR(IF(VLOOKUP($B48,casostestes[#Data],5)=0,"-",VLOOKUP($B48,casostestes[#Data],5)),"-")</f>
        <v>-</v>
      </c>
      <c r="H48" s="50" t="str">
        <f>IFERROR(IF(VLOOKUP($B48,casostestes[#Data],6)=0,"-",VLOOKUP($B48,casostestes[#Data],6)),"-")</f>
        <v>-</v>
      </c>
      <c r="I48" s="50" t="str">
        <f>IFERROR(IF(VLOOKUP($B48,casostestes[#Data],8)=0,"-",VLOOKUP($B48,casostestes[#Data],8)),"-")</f>
        <v>-</v>
      </c>
      <c r="J48" s="50" t="str">
        <f>IFERROR(IF(VLOOKUP($B48,casostestes[#Data],9)=0,"-",VLOOKUP($B48,casostestes[#Data],9)),"-")</f>
        <v>-</v>
      </c>
      <c r="K48" s="51"/>
      <c r="L48" s="119"/>
      <c r="M48" s="53"/>
      <c r="N48" s="54"/>
      <c r="O48" s="54"/>
      <c r="P48" s="55"/>
    </row>
    <row r="49" spans="2:16">
      <c r="B49" s="56" t="str">
        <f>IF(ISERR(casostestes[[#This Row],[ID]]),"-",casostestes[[#This Row],[ID]])</f>
        <v>-</v>
      </c>
      <c r="C49" s="49" t="str">
        <f>IFERROR(IF(VLOOKUP($B49,casostestes[#Data],10)=0,"Não",VLOOKUP($B49,casostestes[#Data],10)), "-")</f>
        <v>-</v>
      </c>
      <c r="D49" s="50" t="str">
        <f>IFERROR(IF(VLOOKUP($B49,casostestes[#Data],2)=0,"-",VLOOKUP($B49,casostestes[#Data],2)), "-")</f>
        <v>-</v>
      </c>
      <c r="E49" s="50" t="str">
        <f>IFERROR(IF(VLOOKUP($B49,casostestes[#Data],3)=0,"-",VLOOKUP($B49,casostestes[#Data],3)), "-")</f>
        <v>-</v>
      </c>
      <c r="F49" s="50" t="str">
        <f>IFERROR(IF(VLOOKUP($B49,casostestes[#Data],4)=0,"-",VLOOKUP($B49,casostestes[#Data],4)),"-")</f>
        <v>-</v>
      </c>
      <c r="G49" s="50" t="str">
        <f>IFERROR(IF(VLOOKUP($B49,casostestes[#Data],5)=0,"-",VLOOKUP($B49,casostestes[#Data],5)),"-")</f>
        <v>-</v>
      </c>
      <c r="H49" s="50" t="str">
        <f>IFERROR(IF(VLOOKUP($B49,casostestes[#Data],6)=0,"-",VLOOKUP($B49,casostestes[#Data],6)),"-")</f>
        <v>-</v>
      </c>
      <c r="I49" s="50" t="str">
        <f>IFERROR(IF(VLOOKUP($B49,casostestes[#Data],8)=0,"-",VLOOKUP($B49,casostestes[#Data],8)),"-")</f>
        <v>-</v>
      </c>
      <c r="J49" s="50" t="str">
        <f>IFERROR(IF(VLOOKUP($B49,casostestes[#Data],9)=0,"-",VLOOKUP($B49,casostestes[#Data],9)),"-")</f>
        <v>-</v>
      </c>
      <c r="K49" s="51"/>
      <c r="L49" s="119"/>
      <c r="M49" s="53"/>
      <c r="N49" s="54"/>
      <c r="O49" s="54"/>
      <c r="P49" s="55"/>
    </row>
    <row r="50" spans="2:16">
      <c r="B50" s="56" t="str">
        <f>IF(ISERR(casostestes[[#This Row],[ID]]),"-",casostestes[[#This Row],[ID]])</f>
        <v>-</v>
      </c>
      <c r="C50" s="49" t="str">
        <f>IFERROR(IF(VLOOKUP($B50,casostestes[#Data],10)=0,"Não",VLOOKUP($B50,casostestes[#Data],10)), "-")</f>
        <v>-</v>
      </c>
      <c r="D50" s="50" t="str">
        <f>IFERROR(IF(VLOOKUP($B50,casostestes[#Data],2)=0,"-",VLOOKUP($B50,casostestes[#Data],2)), "-")</f>
        <v>-</v>
      </c>
      <c r="E50" s="50" t="str">
        <f>IFERROR(IF(VLOOKUP($B50,casostestes[#Data],3)=0,"-",VLOOKUP($B50,casostestes[#Data],3)), "-")</f>
        <v>-</v>
      </c>
      <c r="F50" s="50" t="str">
        <f>IFERROR(IF(VLOOKUP($B50,casostestes[#Data],4)=0,"-",VLOOKUP($B50,casostestes[#Data],4)),"-")</f>
        <v>-</v>
      </c>
      <c r="G50" s="50" t="str">
        <f>IFERROR(IF(VLOOKUP($B50,casostestes[#Data],5)=0,"-",VLOOKUP($B50,casostestes[#Data],5)),"-")</f>
        <v>-</v>
      </c>
      <c r="H50" s="50" t="str">
        <f>IFERROR(IF(VLOOKUP($B50,casostestes[#Data],6)=0,"-",VLOOKUP($B50,casostestes[#Data],6)),"-")</f>
        <v>-</v>
      </c>
      <c r="I50" s="50" t="str">
        <f>IFERROR(IF(VLOOKUP($B50,casostestes[#Data],8)=0,"-",VLOOKUP($B50,casostestes[#Data],8)),"-")</f>
        <v>-</v>
      </c>
      <c r="J50" s="50" t="str">
        <f>IFERROR(IF(VLOOKUP($B50,casostestes[#Data],9)=0,"-",VLOOKUP($B50,casostestes[#Data],9)),"-")</f>
        <v>-</v>
      </c>
      <c r="K50" s="51"/>
      <c r="L50" s="119"/>
      <c r="M50" s="53"/>
      <c r="N50" s="54"/>
      <c r="O50" s="54"/>
      <c r="P50" s="55"/>
    </row>
    <row r="51" spans="2:16">
      <c r="B51" s="56" t="str">
        <f>IF(ISERR(casostestes[[#This Row],[ID]]),"-",casostestes[[#This Row],[ID]])</f>
        <v>-</v>
      </c>
      <c r="C51" s="49" t="str">
        <f>IFERROR(IF(VLOOKUP($B51,casostestes[#Data],10)=0,"Não",VLOOKUP($B51,casostestes[#Data],10)), "-")</f>
        <v>-</v>
      </c>
      <c r="D51" s="50" t="str">
        <f>IFERROR(IF(VLOOKUP($B51,casostestes[#Data],2)=0,"-",VLOOKUP($B51,casostestes[#Data],2)), "-")</f>
        <v>-</v>
      </c>
      <c r="E51" s="50" t="str">
        <f>IFERROR(IF(VLOOKUP($B51,casostestes[#Data],3)=0,"-",VLOOKUP($B51,casostestes[#Data],3)), "-")</f>
        <v>-</v>
      </c>
      <c r="F51" s="50" t="str">
        <f>IFERROR(IF(VLOOKUP($B51,casostestes[#Data],4)=0,"-",VLOOKUP($B51,casostestes[#Data],4)),"-")</f>
        <v>-</v>
      </c>
      <c r="G51" s="50" t="str">
        <f>IFERROR(IF(VLOOKUP($B51,casostestes[#Data],5)=0,"-",VLOOKUP($B51,casostestes[#Data],5)),"-")</f>
        <v>-</v>
      </c>
      <c r="H51" s="50" t="str">
        <f>IFERROR(IF(VLOOKUP($B51,casostestes[#Data],6)=0,"-",VLOOKUP($B51,casostestes[#Data],6)),"-")</f>
        <v>-</v>
      </c>
      <c r="I51" s="50" t="str">
        <f>IFERROR(IF(VLOOKUP($B51,casostestes[#Data],8)=0,"-",VLOOKUP($B51,casostestes[#Data],8)),"-")</f>
        <v>-</v>
      </c>
      <c r="J51" s="50" t="str">
        <f>IFERROR(IF(VLOOKUP($B51,casostestes[#Data],9)=0,"-",VLOOKUP($B51,casostestes[#Data],9)),"-")</f>
        <v>-</v>
      </c>
      <c r="K51" s="51"/>
      <c r="L51" s="119"/>
      <c r="M51" s="53"/>
      <c r="N51" s="54"/>
      <c r="O51" s="54"/>
      <c r="P51" s="55"/>
    </row>
    <row r="52" spans="2:16">
      <c r="B52" s="56" t="str">
        <f>IF(ISERR(casostestes[[#This Row],[ID]]),"-",casostestes[[#This Row],[ID]])</f>
        <v>-</v>
      </c>
      <c r="C52" s="49" t="str">
        <f>IFERROR(IF(VLOOKUP($B52,casostestes[#Data],10)=0,"Não",VLOOKUP($B52,casostestes[#Data],10)), "-")</f>
        <v>-</v>
      </c>
      <c r="D52" s="50" t="str">
        <f>IFERROR(IF(VLOOKUP($B52,casostestes[#Data],2)=0,"-",VLOOKUP($B52,casostestes[#Data],2)), "-")</f>
        <v>-</v>
      </c>
      <c r="E52" s="50" t="str">
        <f>IFERROR(IF(VLOOKUP($B52,casostestes[#Data],3)=0,"-",VLOOKUP($B52,casostestes[#Data],3)), "-")</f>
        <v>-</v>
      </c>
      <c r="F52" s="50" t="str">
        <f>IFERROR(IF(VLOOKUP($B52,casostestes[#Data],4)=0,"-",VLOOKUP($B52,casostestes[#Data],4)),"-")</f>
        <v>-</v>
      </c>
      <c r="G52" s="50" t="str">
        <f>IFERROR(IF(VLOOKUP($B52,casostestes[#Data],5)=0,"-",VLOOKUP($B52,casostestes[#Data],5)),"-")</f>
        <v>-</v>
      </c>
      <c r="H52" s="50" t="str">
        <f>IFERROR(IF(VLOOKUP($B52,casostestes[#Data],6)=0,"-",VLOOKUP($B52,casostestes[#Data],6)),"-")</f>
        <v>-</v>
      </c>
      <c r="I52" s="50" t="str">
        <f>IFERROR(IF(VLOOKUP($B52,casostestes[#Data],8)=0,"-",VLOOKUP($B52,casostestes[#Data],8)),"-")</f>
        <v>-</v>
      </c>
      <c r="J52" s="50" t="str">
        <f>IFERROR(IF(VLOOKUP($B52,casostestes[#Data],9)=0,"-",VLOOKUP($B52,casostestes[#Data],9)),"-")</f>
        <v>-</v>
      </c>
      <c r="K52" s="51"/>
      <c r="L52" s="119"/>
      <c r="M52" s="53"/>
      <c r="N52" s="54"/>
      <c r="O52" s="54"/>
      <c r="P52" s="55"/>
    </row>
    <row r="53" spans="2:16">
      <c r="B53" s="56" t="str">
        <f>IF(ISERR(casostestes[[#This Row],[ID]]),"-",casostestes[[#This Row],[ID]])</f>
        <v>-</v>
      </c>
      <c r="C53" s="49" t="str">
        <f>IFERROR(IF(VLOOKUP($B53,casostestes[#Data],10)=0,"Não",VLOOKUP($B53,casostestes[#Data],10)), "-")</f>
        <v>-</v>
      </c>
      <c r="D53" s="50" t="str">
        <f>IFERROR(IF(VLOOKUP($B53,casostestes[#Data],2)=0,"-",VLOOKUP($B53,casostestes[#Data],2)), "-")</f>
        <v>-</v>
      </c>
      <c r="E53" s="50" t="str">
        <f>IFERROR(IF(VLOOKUP($B53,casostestes[#Data],3)=0,"-",VLOOKUP($B53,casostestes[#Data],3)), "-")</f>
        <v>-</v>
      </c>
      <c r="F53" s="50" t="str">
        <f>IFERROR(IF(VLOOKUP($B53,casostestes[#Data],4)=0,"-",VLOOKUP($B53,casostestes[#Data],4)),"-")</f>
        <v>-</v>
      </c>
      <c r="G53" s="50" t="str">
        <f>IFERROR(IF(VLOOKUP($B53,casostestes[#Data],5)=0,"-",VLOOKUP($B53,casostestes[#Data],5)),"-")</f>
        <v>-</v>
      </c>
      <c r="H53" s="50" t="str">
        <f>IFERROR(IF(VLOOKUP($B53,casostestes[#Data],6)=0,"-",VLOOKUP($B53,casostestes[#Data],6)),"-")</f>
        <v>-</v>
      </c>
      <c r="I53" s="50" t="str">
        <f>IFERROR(IF(VLOOKUP($B53,casostestes[#Data],8)=0,"-",VLOOKUP($B53,casostestes[#Data],8)),"-")</f>
        <v>-</v>
      </c>
      <c r="J53" s="50" t="str">
        <f>IFERROR(IF(VLOOKUP($B53,casostestes[#Data],9)=0,"-",VLOOKUP($B53,casostestes[#Data],9)),"-")</f>
        <v>-</v>
      </c>
      <c r="K53" s="51"/>
      <c r="L53" s="119"/>
      <c r="M53" s="53"/>
      <c r="N53" s="54"/>
      <c r="O53" s="54"/>
      <c r="P53" s="55"/>
    </row>
    <row r="54" spans="2:16">
      <c r="B54" s="56" t="str">
        <f>IF(ISERR(casostestes[[#This Row],[ID]]),"-",casostestes[[#This Row],[ID]])</f>
        <v>-</v>
      </c>
      <c r="C54" s="49" t="str">
        <f>IFERROR(IF(VLOOKUP($B54,casostestes[#Data],10)=0,"Não",VLOOKUP($B54,casostestes[#Data],10)), "-")</f>
        <v>-</v>
      </c>
      <c r="D54" s="50" t="str">
        <f>IFERROR(IF(VLOOKUP($B54,casostestes[#Data],2)=0,"-",VLOOKUP($B54,casostestes[#Data],2)), "-")</f>
        <v>-</v>
      </c>
      <c r="E54" s="50" t="str">
        <f>IFERROR(IF(VLOOKUP($B54,casostestes[#Data],3)=0,"-",VLOOKUP($B54,casostestes[#Data],3)), "-")</f>
        <v>-</v>
      </c>
      <c r="F54" s="50" t="str">
        <f>IFERROR(IF(VLOOKUP($B54,casostestes[#Data],4)=0,"-",VLOOKUP($B54,casostestes[#Data],4)),"-")</f>
        <v>-</v>
      </c>
      <c r="G54" s="50" t="str">
        <f>IFERROR(IF(VLOOKUP($B54,casostestes[#Data],5)=0,"-",VLOOKUP($B54,casostestes[#Data],5)),"-")</f>
        <v>-</v>
      </c>
      <c r="H54" s="50" t="str">
        <f>IFERROR(IF(VLOOKUP($B54,casostestes[#Data],6)=0,"-",VLOOKUP($B54,casostestes[#Data],6)),"-")</f>
        <v>-</v>
      </c>
      <c r="I54" s="50" t="str">
        <f>IFERROR(IF(VLOOKUP($B54,casostestes[#Data],8)=0,"-",VLOOKUP($B54,casostestes[#Data],8)),"-")</f>
        <v>-</v>
      </c>
      <c r="J54" s="50" t="str">
        <f>IFERROR(IF(VLOOKUP($B54,casostestes[#Data],9)=0,"-",VLOOKUP($B54,casostestes[#Data],9)),"-")</f>
        <v>-</v>
      </c>
      <c r="K54" s="51"/>
      <c r="L54" s="119"/>
      <c r="M54" s="53"/>
      <c r="N54" s="54"/>
      <c r="O54" s="54"/>
      <c r="P54" s="55"/>
    </row>
    <row r="55" spans="2:16">
      <c r="B55" s="56" t="str">
        <f>IF(ISERR(casostestes[[#This Row],[ID]]),"-",casostestes[[#This Row],[ID]])</f>
        <v>-</v>
      </c>
      <c r="C55" s="49" t="str">
        <f>IFERROR(IF(VLOOKUP($B55,casostestes[#Data],10)=0,"Não",VLOOKUP($B55,casostestes[#Data],10)), "-")</f>
        <v>-</v>
      </c>
      <c r="D55" s="50" t="str">
        <f>IFERROR(IF(VLOOKUP($B55,casostestes[#Data],2)=0,"-",VLOOKUP($B55,casostestes[#Data],2)), "-")</f>
        <v>-</v>
      </c>
      <c r="E55" s="50" t="str">
        <f>IFERROR(IF(VLOOKUP($B55,casostestes[#Data],3)=0,"-",VLOOKUP($B55,casostestes[#Data],3)), "-")</f>
        <v>-</v>
      </c>
      <c r="F55" s="50" t="str">
        <f>IFERROR(IF(VLOOKUP($B55,casostestes[#Data],4)=0,"-",VLOOKUP($B55,casostestes[#Data],4)),"-")</f>
        <v>-</v>
      </c>
      <c r="G55" s="50" t="str">
        <f>IFERROR(IF(VLOOKUP($B55,casostestes[#Data],5)=0,"-",VLOOKUP($B55,casostestes[#Data],5)),"-")</f>
        <v>-</v>
      </c>
      <c r="H55" s="50" t="str">
        <f>IFERROR(IF(VLOOKUP($B55,casostestes[#Data],6)=0,"-",VLOOKUP($B55,casostestes[#Data],6)),"-")</f>
        <v>-</v>
      </c>
      <c r="I55" s="50" t="str">
        <f>IFERROR(IF(VLOOKUP($B55,casostestes[#Data],8)=0,"-",VLOOKUP($B55,casostestes[#Data],8)),"-")</f>
        <v>-</v>
      </c>
      <c r="J55" s="50" t="str">
        <f>IFERROR(IF(VLOOKUP($B55,casostestes[#Data],9)=0,"-",VLOOKUP($B55,casostestes[#Data],9)),"-")</f>
        <v>-</v>
      </c>
      <c r="K55" s="51"/>
      <c r="L55" s="119"/>
      <c r="M55" s="53"/>
      <c r="N55" s="54"/>
      <c r="O55" s="54"/>
      <c r="P55" s="55"/>
    </row>
    <row r="56" spans="2:16">
      <c r="B56" s="56" t="str">
        <f>IF(ISERR(casostestes[[#This Row],[ID]]),"-",casostestes[[#This Row],[ID]])</f>
        <v>-</v>
      </c>
      <c r="C56" s="49" t="str">
        <f>IFERROR(IF(VLOOKUP($B56,casostestes[#Data],10)=0,"Não",VLOOKUP($B56,casostestes[#Data],10)), "-")</f>
        <v>-</v>
      </c>
      <c r="D56" s="50" t="str">
        <f>IFERROR(IF(VLOOKUP($B56,casostestes[#Data],2)=0,"-",VLOOKUP($B56,casostestes[#Data],2)), "-")</f>
        <v>-</v>
      </c>
      <c r="E56" s="50" t="str">
        <f>IFERROR(IF(VLOOKUP($B56,casostestes[#Data],3)=0,"-",VLOOKUP($B56,casostestes[#Data],3)), "-")</f>
        <v>-</v>
      </c>
      <c r="F56" s="50" t="str">
        <f>IFERROR(IF(VLOOKUP($B56,casostestes[#Data],4)=0,"-",VLOOKUP($B56,casostestes[#Data],4)),"-")</f>
        <v>-</v>
      </c>
      <c r="G56" s="50" t="str">
        <f>IFERROR(IF(VLOOKUP($B56,casostestes[#Data],5)=0,"-",VLOOKUP($B56,casostestes[#Data],5)),"-")</f>
        <v>-</v>
      </c>
      <c r="H56" s="50" t="str">
        <f>IFERROR(IF(VLOOKUP($B56,casostestes[#Data],6)=0,"-",VLOOKUP($B56,casostestes[#Data],6)),"-")</f>
        <v>-</v>
      </c>
      <c r="I56" s="50" t="str">
        <f>IFERROR(IF(VLOOKUP($B56,casostestes[#Data],8)=0,"-",VLOOKUP($B56,casostestes[#Data],8)),"-")</f>
        <v>-</v>
      </c>
      <c r="J56" s="50" t="str">
        <f>IFERROR(IF(VLOOKUP($B56,casostestes[#Data],9)=0,"-",VLOOKUP($B56,casostestes[#Data],9)),"-")</f>
        <v>-</v>
      </c>
      <c r="K56" s="51"/>
      <c r="L56" s="119"/>
      <c r="M56" s="53"/>
      <c r="N56" s="54"/>
      <c r="O56" s="54"/>
      <c r="P56" s="55"/>
    </row>
    <row r="57" spans="2:16">
      <c r="B57" s="56" t="str">
        <f>IF(ISERR(casostestes[[#This Row],[ID]]),"-",casostestes[[#This Row],[ID]])</f>
        <v>-</v>
      </c>
      <c r="C57" s="49" t="str">
        <f>IFERROR(IF(VLOOKUP($B57,casostestes[#Data],10)=0,"Não",VLOOKUP($B57,casostestes[#Data],10)), "-")</f>
        <v>-</v>
      </c>
      <c r="D57" s="50" t="str">
        <f>IFERROR(IF(VLOOKUP($B57,casostestes[#Data],2)=0,"-",VLOOKUP($B57,casostestes[#Data],2)), "-")</f>
        <v>-</v>
      </c>
      <c r="E57" s="50" t="str">
        <f>IFERROR(IF(VLOOKUP($B57,casostestes[#Data],3)=0,"-",VLOOKUP($B57,casostestes[#Data],3)), "-")</f>
        <v>-</v>
      </c>
      <c r="F57" s="50" t="str">
        <f>IFERROR(IF(VLOOKUP($B57,casostestes[#Data],4)=0,"-",VLOOKUP($B57,casostestes[#Data],4)),"-")</f>
        <v>-</v>
      </c>
      <c r="G57" s="50" t="str">
        <f>IFERROR(IF(VLOOKUP($B57,casostestes[#Data],5)=0,"-",VLOOKUP($B57,casostestes[#Data],5)),"-")</f>
        <v>-</v>
      </c>
      <c r="H57" s="50" t="str">
        <f>IFERROR(IF(VLOOKUP($B57,casostestes[#Data],6)=0,"-",VLOOKUP($B57,casostestes[#Data],6)),"-")</f>
        <v>-</v>
      </c>
      <c r="I57" s="50" t="str">
        <f>IFERROR(IF(VLOOKUP($B57,casostestes[#Data],8)=0,"-",VLOOKUP($B57,casostestes[#Data],8)),"-")</f>
        <v>-</v>
      </c>
      <c r="J57" s="50" t="str">
        <f>IFERROR(IF(VLOOKUP($B57,casostestes[#Data],9)=0,"-",VLOOKUP($B57,casostestes[#Data],9)),"-")</f>
        <v>-</v>
      </c>
      <c r="K57" s="51"/>
      <c r="L57" s="119"/>
      <c r="M57" s="53"/>
      <c r="N57" s="54"/>
      <c r="O57" s="54"/>
      <c r="P57" s="55"/>
    </row>
    <row r="58" spans="2:16">
      <c r="B58" s="56" t="str">
        <f>IF(ISERR(casostestes[[#This Row],[ID]]),"-",casostestes[[#This Row],[ID]])</f>
        <v>-</v>
      </c>
      <c r="C58" s="49" t="str">
        <f>IFERROR(IF(VLOOKUP($B58,casostestes[#Data],10)=0,"Não",VLOOKUP($B58,casostestes[#Data],10)), "-")</f>
        <v>-</v>
      </c>
      <c r="D58" s="50" t="str">
        <f>IFERROR(IF(VLOOKUP($B58,casostestes[#Data],2)=0,"-",VLOOKUP($B58,casostestes[#Data],2)), "-")</f>
        <v>-</v>
      </c>
      <c r="E58" s="50" t="str">
        <f>IFERROR(IF(VLOOKUP($B58,casostestes[#Data],3)=0,"-",VLOOKUP($B58,casostestes[#Data],3)), "-")</f>
        <v>-</v>
      </c>
      <c r="F58" s="50" t="str">
        <f>IFERROR(IF(VLOOKUP($B58,casostestes[#Data],4)=0,"-",VLOOKUP($B58,casostestes[#Data],4)),"-")</f>
        <v>-</v>
      </c>
      <c r="G58" s="50" t="str">
        <f>IFERROR(IF(VLOOKUP($B58,casostestes[#Data],5)=0,"-",VLOOKUP($B58,casostestes[#Data],5)),"-")</f>
        <v>-</v>
      </c>
      <c r="H58" s="50" t="str">
        <f>IFERROR(IF(VLOOKUP($B58,casostestes[#Data],6)=0,"-",VLOOKUP($B58,casostestes[#Data],6)),"-")</f>
        <v>-</v>
      </c>
      <c r="I58" s="50" t="str">
        <f>IFERROR(IF(VLOOKUP($B58,casostestes[#Data],8)=0,"-",VLOOKUP($B58,casostestes[#Data],8)),"-")</f>
        <v>-</v>
      </c>
      <c r="J58" s="50" t="str">
        <f>IFERROR(IF(VLOOKUP($B58,casostestes[#Data],9)=0,"-",VLOOKUP($B58,casostestes[#Data],9)),"-")</f>
        <v>-</v>
      </c>
      <c r="K58" s="51"/>
      <c r="L58" s="119"/>
      <c r="M58" s="53"/>
      <c r="N58" s="54"/>
      <c r="O58" s="54"/>
      <c r="P58" s="55"/>
    </row>
    <row r="59" spans="2:16">
      <c r="B59" s="56" t="str">
        <f>IF(ISERR(casostestes[[#This Row],[ID]]),"-",casostestes[[#This Row],[ID]])</f>
        <v>-</v>
      </c>
      <c r="C59" s="49" t="str">
        <f>IFERROR(IF(VLOOKUP($B59,casostestes[#Data],10)=0,"Não",VLOOKUP($B59,casostestes[#Data],10)), "-")</f>
        <v>-</v>
      </c>
      <c r="D59" s="50" t="str">
        <f>IFERROR(IF(VLOOKUP($B59,casostestes[#Data],2)=0,"-",VLOOKUP($B59,casostestes[#Data],2)), "-")</f>
        <v>-</v>
      </c>
      <c r="E59" s="50" t="str">
        <f>IFERROR(IF(VLOOKUP($B59,casostestes[#Data],3)=0,"-",VLOOKUP($B59,casostestes[#Data],3)), "-")</f>
        <v>-</v>
      </c>
      <c r="F59" s="50" t="str">
        <f>IFERROR(IF(VLOOKUP($B59,casostestes[#Data],4)=0,"-",VLOOKUP($B59,casostestes[#Data],4)),"-")</f>
        <v>-</v>
      </c>
      <c r="G59" s="50" t="str">
        <f>IFERROR(IF(VLOOKUP($B59,casostestes[#Data],5)=0,"-",VLOOKUP($B59,casostestes[#Data],5)),"-")</f>
        <v>-</v>
      </c>
      <c r="H59" s="50" t="str">
        <f>IFERROR(IF(VLOOKUP($B59,casostestes[#Data],6)=0,"-",VLOOKUP($B59,casostestes[#Data],6)),"-")</f>
        <v>-</v>
      </c>
      <c r="I59" s="50" t="str">
        <f>IFERROR(IF(VLOOKUP($B59,casostestes[#Data],8)=0,"-",VLOOKUP($B59,casostestes[#Data],8)),"-")</f>
        <v>-</v>
      </c>
      <c r="J59" s="50" t="str">
        <f>IFERROR(IF(VLOOKUP($B59,casostestes[#Data],9)=0,"-",VLOOKUP($B59,casostestes[#Data],9)),"-")</f>
        <v>-</v>
      </c>
      <c r="K59" s="51"/>
      <c r="L59" s="119"/>
      <c r="M59" s="53"/>
      <c r="N59" s="54"/>
      <c r="O59" s="54"/>
      <c r="P59" s="55"/>
    </row>
    <row r="60" spans="2:16">
      <c r="B60" s="56" t="str">
        <f>IF(ISERR(casostestes[[#This Row],[ID]]),"-",casostestes[[#This Row],[ID]])</f>
        <v>-</v>
      </c>
      <c r="C60" s="49" t="str">
        <f>IFERROR(IF(VLOOKUP($B60,casostestes[#Data],10)=0,"Não",VLOOKUP($B60,casostestes[#Data],10)), "-")</f>
        <v>-</v>
      </c>
      <c r="D60" s="50" t="str">
        <f>IFERROR(IF(VLOOKUP($B60,casostestes[#Data],2)=0,"-",VLOOKUP($B60,casostestes[#Data],2)), "-")</f>
        <v>-</v>
      </c>
      <c r="E60" s="50" t="str">
        <f>IFERROR(IF(VLOOKUP($B60,casostestes[#Data],3)=0,"-",VLOOKUP($B60,casostestes[#Data],3)), "-")</f>
        <v>-</v>
      </c>
      <c r="F60" s="50" t="str">
        <f>IFERROR(IF(VLOOKUP($B60,casostestes[#Data],4)=0,"-",VLOOKUP($B60,casostestes[#Data],4)),"-")</f>
        <v>-</v>
      </c>
      <c r="G60" s="50" t="str">
        <f>IFERROR(IF(VLOOKUP($B60,casostestes[#Data],5)=0,"-",VLOOKUP($B60,casostestes[#Data],5)),"-")</f>
        <v>-</v>
      </c>
      <c r="H60" s="50" t="str">
        <f>IFERROR(IF(VLOOKUP($B60,casostestes[#Data],6)=0,"-",VLOOKUP($B60,casostestes[#Data],6)),"-")</f>
        <v>-</v>
      </c>
      <c r="I60" s="50" t="str">
        <f>IFERROR(IF(VLOOKUP($B60,casostestes[#Data],8)=0,"-",VLOOKUP($B60,casostestes[#Data],8)),"-")</f>
        <v>-</v>
      </c>
      <c r="J60" s="50" t="str">
        <f>IFERROR(IF(VLOOKUP($B60,casostestes[#Data],9)=0,"-",VLOOKUP($B60,casostestes[#Data],9)),"-")</f>
        <v>-</v>
      </c>
      <c r="K60" s="51"/>
      <c r="L60" s="119"/>
      <c r="M60" s="53"/>
      <c r="N60" s="54"/>
      <c r="O60" s="54"/>
      <c r="P60" s="55"/>
    </row>
    <row r="61" spans="2:16">
      <c r="B61" s="56" t="str">
        <f>IF(ISERR(casostestes[[#This Row],[ID]]),"-",casostestes[[#This Row],[ID]])</f>
        <v>-</v>
      </c>
      <c r="C61" s="49" t="str">
        <f>IFERROR(IF(VLOOKUP($B61,casostestes[#Data],10)=0,"Não",VLOOKUP($B61,casostestes[#Data],10)), "-")</f>
        <v>-</v>
      </c>
      <c r="D61" s="50" t="str">
        <f>IFERROR(IF(VLOOKUP($B61,casostestes[#Data],2)=0,"-",VLOOKUP($B61,casostestes[#Data],2)), "-")</f>
        <v>-</v>
      </c>
      <c r="E61" s="50" t="str">
        <f>IFERROR(IF(VLOOKUP($B61,casostestes[#Data],3)=0,"-",VLOOKUP($B61,casostestes[#Data],3)), "-")</f>
        <v>-</v>
      </c>
      <c r="F61" s="50" t="str">
        <f>IFERROR(IF(VLOOKUP($B61,casostestes[#Data],4)=0,"-",VLOOKUP($B61,casostestes[#Data],4)),"-")</f>
        <v>-</v>
      </c>
      <c r="G61" s="50" t="str">
        <f>IFERROR(IF(VLOOKUP($B61,casostestes[#Data],5)=0,"-",VLOOKUP($B61,casostestes[#Data],5)),"-")</f>
        <v>-</v>
      </c>
      <c r="H61" s="50" t="str">
        <f>IFERROR(IF(VLOOKUP($B61,casostestes[#Data],6)=0,"-",VLOOKUP($B61,casostestes[#Data],6)),"-")</f>
        <v>-</v>
      </c>
      <c r="I61" s="50" t="str">
        <f>IFERROR(IF(VLOOKUP($B61,casostestes[#Data],8)=0,"-",VLOOKUP($B61,casostestes[#Data],8)),"-")</f>
        <v>-</v>
      </c>
      <c r="J61" s="50" t="str">
        <f>IFERROR(IF(VLOOKUP($B61,casostestes[#Data],9)=0,"-",VLOOKUP($B61,casostestes[#Data],9)),"-")</f>
        <v>-</v>
      </c>
      <c r="K61" s="51"/>
      <c r="L61" s="119"/>
      <c r="M61" s="53"/>
      <c r="N61" s="54"/>
      <c r="O61" s="54"/>
      <c r="P61" s="55"/>
    </row>
    <row r="62" spans="2:16">
      <c r="B62" s="56" t="str">
        <f>IF(ISERR(casostestes[[#This Row],[ID]]),"-",casostestes[[#This Row],[ID]])</f>
        <v>-</v>
      </c>
      <c r="C62" s="49" t="str">
        <f>IFERROR(IF(VLOOKUP($B62,casostestes[#Data],10)=0,"Não",VLOOKUP($B62,casostestes[#Data],10)), "-")</f>
        <v>-</v>
      </c>
      <c r="D62" s="50" t="str">
        <f>IFERROR(IF(VLOOKUP($B62,casostestes[#Data],2)=0,"-",VLOOKUP($B62,casostestes[#Data],2)), "-")</f>
        <v>-</v>
      </c>
      <c r="E62" s="50" t="str">
        <f>IFERROR(IF(VLOOKUP($B62,casostestes[#Data],3)=0,"-",VLOOKUP($B62,casostestes[#Data],3)), "-")</f>
        <v>-</v>
      </c>
      <c r="F62" s="50" t="str">
        <f>IFERROR(IF(VLOOKUP($B62,casostestes[#Data],4)=0,"-",VLOOKUP($B62,casostestes[#Data],4)),"-")</f>
        <v>-</v>
      </c>
      <c r="G62" s="50" t="str">
        <f>IFERROR(IF(VLOOKUP($B62,casostestes[#Data],5)=0,"-",VLOOKUP($B62,casostestes[#Data],5)),"-")</f>
        <v>-</v>
      </c>
      <c r="H62" s="50" t="str">
        <f>IFERROR(IF(VLOOKUP($B62,casostestes[#Data],6)=0,"-",VLOOKUP($B62,casostestes[#Data],6)),"-")</f>
        <v>-</v>
      </c>
      <c r="I62" s="50" t="str">
        <f>IFERROR(IF(VLOOKUP($B62,casostestes[#Data],8)=0,"-",VLOOKUP($B62,casostestes[#Data],8)),"-")</f>
        <v>-</v>
      </c>
      <c r="J62" s="50" t="str">
        <f>IFERROR(IF(VLOOKUP($B62,casostestes[#Data],9)=0,"-",VLOOKUP($B62,casostestes[#Data],9)),"-")</f>
        <v>-</v>
      </c>
      <c r="K62" s="51"/>
      <c r="L62" s="119"/>
      <c r="M62" s="53"/>
      <c r="N62" s="54"/>
      <c r="O62" s="54"/>
      <c r="P62" s="55"/>
    </row>
    <row r="63" spans="2:16">
      <c r="B63" s="56" t="str">
        <f>IF(ISERR(casostestes[[#This Row],[ID]]),"-",casostestes[[#This Row],[ID]])</f>
        <v>-</v>
      </c>
      <c r="C63" s="49" t="str">
        <f>IFERROR(IF(VLOOKUP($B63,casostestes[#Data],10)=0,"Não",VLOOKUP($B63,casostestes[#Data],10)), "-")</f>
        <v>-</v>
      </c>
      <c r="D63" s="50" t="str">
        <f>IFERROR(IF(VLOOKUP($B63,casostestes[#Data],2)=0,"-",VLOOKUP($B63,casostestes[#Data],2)), "-")</f>
        <v>-</v>
      </c>
      <c r="E63" s="50" t="str">
        <f>IFERROR(IF(VLOOKUP($B63,casostestes[#Data],3)=0,"-",VLOOKUP($B63,casostestes[#Data],3)), "-")</f>
        <v>-</v>
      </c>
      <c r="F63" s="50" t="str">
        <f>IFERROR(IF(VLOOKUP($B63,casostestes[#Data],4)=0,"-",VLOOKUP($B63,casostestes[#Data],4)),"-")</f>
        <v>-</v>
      </c>
      <c r="G63" s="50" t="str">
        <f>IFERROR(IF(VLOOKUP($B63,casostestes[#Data],5)=0,"-",VLOOKUP($B63,casostestes[#Data],5)),"-")</f>
        <v>-</v>
      </c>
      <c r="H63" s="50" t="str">
        <f>IFERROR(IF(VLOOKUP($B63,casostestes[#Data],6)=0,"-",VLOOKUP($B63,casostestes[#Data],6)),"-")</f>
        <v>-</v>
      </c>
      <c r="I63" s="50" t="str">
        <f>IFERROR(IF(VLOOKUP($B63,casostestes[#Data],8)=0,"-",VLOOKUP($B63,casostestes[#Data],8)),"-")</f>
        <v>-</v>
      </c>
      <c r="J63" s="50" t="str">
        <f>IFERROR(IF(VLOOKUP($B63,casostestes[#Data],9)=0,"-",VLOOKUP($B63,casostestes[#Data],9)),"-")</f>
        <v>-</v>
      </c>
      <c r="K63" s="51"/>
      <c r="L63" s="119"/>
      <c r="M63" s="53"/>
      <c r="N63" s="54"/>
      <c r="O63" s="54"/>
      <c r="P63" s="55"/>
    </row>
    <row r="64" spans="2:16">
      <c r="B64" s="56" t="str">
        <f>IF(ISERR(casostestes[[#This Row],[ID]]),"-",casostestes[[#This Row],[ID]])</f>
        <v>-</v>
      </c>
      <c r="C64" s="49" t="str">
        <f>IFERROR(IF(VLOOKUP($B64,casostestes[#Data],10)=0,"Não",VLOOKUP($B64,casostestes[#Data],10)), "-")</f>
        <v>-</v>
      </c>
      <c r="D64" s="50" t="str">
        <f>IFERROR(IF(VLOOKUP($B64,casostestes[#Data],2)=0,"-",VLOOKUP($B64,casostestes[#Data],2)), "-")</f>
        <v>-</v>
      </c>
      <c r="E64" s="50" t="str">
        <f>IFERROR(IF(VLOOKUP($B64,casostestes[#Data],3)=0,"-",VLOOKUP($B64,casostestes[#Data],3)), "-")</f>
        <v>-</v>
      </c>
      <c r="F64" s="50" t="str">
        <f>IFERROR(IF(VLOOKUP($B64,casostestes[#Data],4)=0,"-",VLOOKUP($B64,casostestes[#Data],4)),"-")</f>
        <v>-</v>
      </c>
      <c r="G64" s="50" t="str">
        <f>IFERROR(IF(VLOOKUP($B64,casostestes[#Data],5)=0,"-",VLOOKUP($B64,casostestes[#Data],5)),"-")</f>
        <v>-</v>
      </c>
      <c r="H64" s="50" t="str">
        <f>IFERROR(IF(VLOOKUP($B64,casostestes[#Data],6)=0,"-",VLOOKUP($B64,casostestes[#Data],6)),"-")</f>
        <v>-</v>
      </c>
      <c r="I64" s="50" t="str">
        <f>IFERROR(IF(VLOOKUP($B64,casostestes[#Data],8)=0,"-",VLOOKUP($B64,casostestes[#Data],8)),"-")</f>
        <v>-</v>
      </c>
      <c r="J64" s="50" t="str">
        <f>IFERROR(IF(VLOOKUP($B64,casostestes[#Data],9)=0,"-",VLOOKUP($B64,casostestes[#Data],9)),"-")</f>
        <v>-</v>
      </c>
      <c r="K64" s="51"/>
      <c r="L64" s="119"/>
      <c r="M64" s="53"/>
      <c r="N64" s="54"/>
      <c r="O64" s="54"/>
      <c r="P64" s="55"/>
    </row>
    <row r="65" spans="2:16">
      <c r="B65" s="56" t="str">
        <f>IF(ISERR(casostestes[[#This Row],[ID]]),"-",casostestes[[#This Row],[ID]])</f>
        <v>-</v>
      </c>
      <c r="C65" s="49" t="str">
        <f>IFERROR(IF(VLOOKUP($B65,casostestes[#Data],10)=0,"Não",VLOOKUP($B65,casostestes[#Data],10)), "-")</f>
        <v>-</v>
      </c>
      <c r="D65" s="50" t="str">
        <f>IFERROR(IF(VLOOKUP($B65,casostestes[#Data],2)=0,"-",VLOOKUP($B65,casostestes[#Data],2)), "-")</f>
        <v>-</v>
      </c>
      <c r="E65" s="50" t="str">
        <f>IFERROR(IF(VLOOKUP($B65,casostestes[#Data],3)=0,"-",VLOOKUP($B65,casostestes[#Data],3)), "-")</f>
        <v>-</v>
      </c>
      <c r="F65" s="50" t="str">
        <f>IFERROR(IF(VLOOKUP($B65,casostestes[#Data],4)=0,"-",VLOOKUP($B65,casostestes[#Data],4)),"-")</f>
        <v>-</v>
      </c>
      <c r="G65" s="50" t="str">
        <f>IFERROR(IF(VLOOKUP($B65,casostestes[#Data],5)=0,"-",VLOOKUP($B65,casostestes[#Data],5)),"-")</f>
        <v>-</v>
      </c>
      <c r="H65" s="50" t="str">
        <f>IFERROR(IF(VLOOKUP($B65,casostestes[#Data],6)=0,"-",VLOOKUP($B65,casostestes[#Data],6)),"-")</f>
        <v>-</v>
      </c>
      <c r="I65" s="50" t="str">
        <f>IFERROR(IF(VLOOKUP($B65,casostestes[#Data],8)=0,"-",VLOOKUP($B65,casostestes[#Data],8)),"-")</f>
        <v>-</v>
      </c>
      <c r="J65" s="50" t="str">
        <f>IFERROR(IF(VLOOKUP($B65,casostestes[#Data],9)=0,"-",VLOOKUP($B65,casostestes[#Data],9)),"-")</f>
        <v>-</v>
      </c>
      <c r="K65" s="51"/>
      <c r="L65" s="119"/>
      <c r="M65" s="53"/>
      <c r="N65" s="54"/>
      <c r="O65" s="54"/>
      <c r="P65" s="55"/>
    </row>
    <row r="66" spans="2:16">
      <c r="B66" s="56" t="str">
        <f>IF(ISERR(casostestes[[#This Row],[ID]]),"-",casostestes[[#This Row],[ID]])</f>
        <v>-</v>
      </c>
      <c r="C66" s="49" t="str">
        <f>IFERROR(IF(VLOOKUP($B66,casostestes[#Data],10)=0,"Não",VLOOKUP($B66,casostestes[#Data],10)), "-")</f>
        <v>-</v>
      </c>
      <c r="D66" s="50" t="str">
        <f>IFERROR(IF(VLOOKUP($B66,casostestes[#Data],2)=0,"-",VLOOKUP($B66,casostestes[#Data],2)), "-")</f>
        <v>-</v>
      </c>
      <c r="E66" s="50" t="str">
        <f>IFERROR(IF(VLOOKUP($B66,casostestes[#Data],3)=0,"-",VLOOKUP($B66,casostestes[#Data],3)), "-")</f>
        <v>-</v>
      </c>
      <c r="F66" s="50" t="str">
        <f>IFERROR(IF(VLOOKUP($B66,casostestes[#Data],4)=0,"-",VLOOKUP($B66,casostestes[#Data],4)),"-")</f>
        <v>-</v>
      </c>
      <c r="G66" s="50" t="str">
        <f>IFERROR(IF(VLOOKUP($B66,casostestes[#Data],5)=0,"-",VLOOKUP($B66,casostestes[#Data],5)),"-")</f>
        <v>-</v>
      </c>
      <c r="H66" s="50" t="str">
        <f>IFERROR(IF(VLOOKUP($B66,casostestes[#Data],6)=0,"-",VLOOKUP($B66,casostestes[#Data],6)),"-")</f>
        <v>-</v>
      </c>
      <c r="I66" s="50" t="str">
        <f>IFERROR(IF(VLOOKUP($B66,casostestes[#Data],8)=0,"-",VLOOKUP($B66,casostestes[#Data],8)),"-")</f>
        <v>-</v>
      </c>
      <c r="J66" s="50" t="str">
        <f>IFERROR(IF(VLOOKUP($B66,casostestes[#Data],9)=0,"-",VLOOKUP($B66,casostestes[#Data],9)),"-")</f>
        <v>-</v>
      </c>
      <c r="K66" s="51"/>
      <c r="L66" s="119"/>
      <c r="M66" s="53"/>
      <c r="N66" s="54"/>
      <c r="O66" s="54"/>
      <c r="P66" s="55"/>
    </row>
    <row r="67" spans="2:16">
      <c r="B67" s="56" t="str">
        <f>IF(ISERR(casostestes[[#This Row],[ID]]),"-",casostestes[[#This Row],[ID]])</f>
        <v>-</v>
      </c>
      <c r="C67" s="49" t="str">
        <f>IFERROR(IF(VLOOKUP($B67,casostestes[#Data],10)=0,"Não",VLOOKUP($B67,casostestes[#Data],10)), "-")</f>
        <v>-</v>
      </c>
      <c r="D67" s="50" t="str">
        <f>IFERROR(IF(VLOOKUP($B67,casostestes[#Data],2)=0,"-",VLOOKUP($B67,casostestes[#Data],2)), "-")</f>
        <v>-</v>
      </c>
      <c r="E67" s="50" t="str">
        <f>IFERROR(IF(VLOOKUP($B67,casostestes[#Data],3)=0,"-",VLOOKUP($B67,casostestes[#Data],3)), "-")</f>
        <v>-</v>
      </c>
      <c r="F67" s="50" t="str">
        <f>IFERROR(IF(VLOOKUP($B67,casostestes[#Data],4)=0,"-",VLOOKUP($B67,casostestes[#Data],4)),"-")</f>
        <v>-</v>
      </c>
      <c r="G67" s="50" t="str">
        <f>IFERROR(IF(VLOOKUP($B67,casostestes[#Data],5)=0,"-",VLOOKUP($B67,casostestes[#Data],5)),"-")</f>
        <v>-</v>
      </c>
      <c r="H67" s="50" t="str">
        <f>IFERROR(IF(VLOOKUP($B67,casostestes[#Data],6)=0,"-",VLOOKUP($B67,casostestes[#Data],6)),"-")</f>
        <v>-</v>
      </c>
      <c r="I67" s="50" t="str">
        <f>IFERROR(IF(VLOOKUP($B67,casostestes[#Data],8)=0,"-",VLOOKUP($B67,casostestes[#Data],8)),"-")</f>
        <v>-</v>
      </c>
      <c r="J67" s="50" t="str">
        <f>IFERROR(IF(VLOOKUP($B67,casostestes[#Data],9)=0,"-",VLOOKUP($B67,casostestes[#Data],9)),"-")</f>
        <v>-</v>
      </c>
      <c r="K67" s="51"/>
      <c r="L67" s="119"/>
      <c r="M67" s="53"/>
      <c r="N67" s="54"/>
      <c r="O67" s="54"/>
      <c r="P67" s="55"/>
    </row>
    <row r="68" spans="2:16">
      <c r="B68" s="56" t="str">
        <f>IF(ISERR(casostestes[[#This Row],[ID]]),"-",casostestes[[#This Row],[ID]])</f>
        <v>-</v>
      </c>
      <c r="C68" s="49" t="str">
        <f>IFERROR(IF(VLOOKUP($B68,casostestes[#Data],10)=0,"Não",VLOOKUP($B68,casostestes[#Data],10)), "-")</f>
        <v>-</v>
      </c>
      <c r="D68" s="50" t="str">
        <f>IFERROR(IF(VLOOKUP($B68,casostestes[#Data],2)=0,"-",VLOOKUP($B68,casostestes[#Data],2)), "-")</f>
        <v>-</v>
      </c>
      <c r="E68" s="50" t="str">
        <f>IFERROR(IF(VLOOKUP($B68,casostestes[#Data],3)=0,"-",VLOOKUP($B68,casostestes[#Data],3)), "-")</f>
        <v>-</v>
      </c>
      <c r="F68" s="50" t="str">
        <f>IFERROR(IF(VLOOKUP($B68,casostestes[#Data],4)=0,"-",VLOOKUP($B68,casostestes[#Data],4)),"-")</f>
        <v>-</v>
      </c>
      <c r="G68" s="50" t="str">
        <f>IFERROR(IF(VLOOKUP($B68,casostestes[#Data],5)=0,"-",VLOOKUP($B68,casostestes[#Data],5)),"-")</f>
        <v>-</v>
      </c>
      <c r="H68" s="50" t="str">
        <f>IFERROR(IF(VLOOKUP($B68,casostestes[#Data],6)=0,"-",VLOOKUP($B68,casostestes[#Data],6)),"-")</f>
        <v>-</v>
      </c>
      <c r="I68" s="50" t="str">
        <f>IFERROR(IF(VLOOKUP($B68,casostestes[#Data],8)=0,"-",VLOOKUP($B68,casostestes[#Data],8)),"-")</f>
        <v>-</v>
      </c>
      <c r="J68" s="50" t="str">
        <f>IFERROR(IF(VLOOKUP($B68,casostestes[#Data],9)=0,"-",VLOOKUP($B68,casostestes[#Data],9)),"-")</f>
        <v>-</v>
      </c>
      <c r="K68" s="51"/>
      <c r="L68" s="119"/>
      <c r="M68" s="53"/>
      <c r="N68" s="54"/>
      <c r="O68" s="54"/>
      <c r="P68" s="55"/>
    </row>
    <row r="69" spans="2:16">
      <c r="B69" s="56" t="str">
        <f>IF(ISERR(casostestes[[#This Row],[ID]]),"-",casostestes[[#This Row],[ID]])</f>
        <v>-</v>
      </c>
      <c r="C69" s="49" t="str">
        <f>IFERROR(IF(VLOOKUP($B69,casostestes[#Data],10)=0,"Não",VLOOKUP($B69,casostestes[#Data],10)), "-")</f>
        <v>-</v>
      </c>
      <c r="D69" s="50" t="str">
        <f>IFERROR(IF(VLOOKUP($B69,casostestes[#Data],2)=0,"-",VLOOKUP($B69,casostestes[#Data],2)), "-")</f>
        <v>-</v>
      </c>
      <c r="E69" s="50" t="str">
        <f>IFERROR(IF(VLOOKUP($B69,casostestes[#Data],3)=0,"-",VLOOKUP($B69,casostestes[#Data],3)), "-")</f>
        <v>-</v>
      </c>
      <c r="F69" s="50" t="str">
        <f>IFERROR(IF(VLOOKUP($B69,casostestes[#Data],4)=0,"-",VLOOKUP($B69,casostestes[#Data],4)),"-")</f>
        <v>-</v>
      </c>
      <c r="G69" s="50" t="str">
        <f>IFERROR(IF(VLOOKUP($B69,casostestes[#Data],5)=0,"-",VLOOKUP($B69,casostestes[#Data],5)),"-")</f>
        <v>-</v>
      </c>
      <c r="H69" s="50" t="str">
        <f>IFERROR(IF(VLOOKUP($B69,casostestes[#Data],6)=0,"-",VLOOKUP($B69,casostestes[#Data],6)),"-")</f>
        <v>-</v>
      </c>
      <c r="I69" s="50" t="str">
        <f>IFERROR(IF(VLOOKUP($B69,casostestes[#Data],8)=0,"-",VLOOKUP($B69,casostestes[#Data],8)),"-")</f>
        <v>-</v>
      </c>
      <c r="J69" s="50" t="str">
        <f>IFERROR(IF(VLOOKUP($B69,casostestes[#Data],9)=0,"-",VLOOKUP($B69,casostestes[#Data],9)),"-")</f>
        <v>-</v>
      </c>
      <c r="K69" s="51"/>
      <c r="L69" s="119"/>
      <c r="M69" s="53"/>
      <c r="N69" s="54"/>
      <c r="O69" s="54"/>
      <c r="P69" s="55"/>
    </row>
    <row r="70" spans="2:16">
      <c r="B70" s="56" t="str">
        <f>IF(ISERR(casostestes[[#This Row],[ID]]),"-",casostestes[[#This Row],[ID]])</f>
        <v>-</v>
      </c>
      <c r="C70" s="49" t="str">
        <f>IFERROR(IF(VLOOKUP($B70,casostestes[#Data],10)=0,"Não",VLOOKUP($B70,casostestes[#Data],10)), "-")</f>
        <v>-</v>
      </c>
      <c r="D70" s="50" t="str">
        <f>IFERROR(IF(VLOOKUP($B70,casostestes[#Data],2)=0,"-",VLOOKUP($B70,casostestes[#Data],2)), "-")</f>
        <v>-</v>
      </c>
      <c r="E70" s="50" t="str">
        <f>IFERROR(IF(VLOOKUP($B70,casostestes[#Data],3)=0,"-",VLOOKUP($B70,casostestes[#Data],3)), "-")</f>
        <v>-</v>
      </c>
      <c r="F70" s="50" t="str">
        <f>IFERROR(IF(VLOOKUP($B70,casostestes[#Data],4)=0,"-",VLOOKUP($B70,casostestes[#Data],4)),"-")</f>
        <v>-</v>
      </c>
      <c r="G70" s="50" t="str">
        <f>IFERROR(IF(VLOOKUP($B70,casostestes[#Data],5)=0,"-",VLOOKUP($B70,casostestes[#Data],5)),"-")</f>
        <v>-</v>
      </c>
      <c r="H70" s="50" t="str">
        <f>IFERROR(IF(VLOOKUP($B70,casostestes[#Data],6)=0,"-",VLOOKUP($B70,casostestes[#Data],6)),"-")</f>
        <v>-</v>
      </c>
      <c r="I70" s="50" t="str">
        <f>IFERROR(IF(VLOOKUP($B70,casostestes[#Data],8)=0,"-",VLOOKUP($B70,casostestes[#Data],8)),"-")</f>
        <v>-</v>
      </c>
      <c r="J70" s="50" t="str">
        <f>IFERROR(IF(VLOOKUP($B70,casostestes[#Data],9)=0,"-",VLOOKUP($B70,casostestes[#Data],9)),"-")</f>
        <v>-</v>
      </c>
      <c r="K70" s="51"/>
      <c r="L70" s="119"/>
      <c r="M70" s="53"/>
      <c r="N70" s="54"/>
      <c r="O70" s="54"/>
      <c r="P70" s="55"/>
    </row>
    <row r="71" spans="2:16">
      <c r="B71" s="56" t="str">
        <f>IF(ISERR(casostestes[[#This Row],[ID]]),"-",casostestes[[#This Row],[ID]])</f>
        <v>-</v>
      </c>
      <c r="C71" s="49" t="str">
        <f>IFERROR(IF(VLOOKUP($B71,casostestes[#Data],10)=0,"Não",VLOOKUP($B71,casostestes[#Data],10)), "-")</f>
        <v>-</v>
      </c>
      <c r="D71" s="50" t="str">
        <f>IFERROR(IF(VLOOKUP($B71,casostestes[#Data],2)=0,"-",VLOOKUP($B71,casostestes[#Data],2)), "-")</f>
        <v>-</v>
      </c>
      <c r="E71" s="50" t="str">
        <f>IFERROR(IF(VLOOKUP($B71,casostestes[#Data],3)=0,"-",VLOOKUP($B71,casostestes[#Data],3)), "-")</f>
        <v>-</v>
      </c>
      <c r="F71" s="50" t="str">
        <f>IFERROR(IF(VLOOKUP($B71,casostestes[#Data],4)=0,"-",VLOOKUP($B71,casostestes[#Data],4)),"-")</f>
        <v>-</v>
      </c>
      <c r="G71" s="50" t="str">
        <f>IFERROR(IF(VLOOKUP($B71,casostestes[#Data],5)=0,"-",VLOOKUP($B71,casostestes[#Data],5)),"-")</f>
        <v>-</v>
      </c>
      <c r="H71" s="50" t="str">
        <f>IFERROR(IF(VLOOKUP($B71,casostestes[#Data],6)=0,"-",VLOOKUP($B71,casostestes[#Data],6)),"-")</f>
        <v>-</v>
      </c>
      <c r="I71" s="50" t="str">
        <f>IFERROR(IF(VLOOKUP($B71,casostestes[#Data],8)=0,"-",VLOOKUP($B71,casostestes[#Data],8)),"-")</f>
        <v>-</v>
      </c>
      <c r="J71" s="50" t="str">
        <f>IFERROR(IF(VLOOKUP($B71,casostestes[#Data],9)=0,"-",VLOOKUP($B71,casostestes[#Data],9)),"-")</f>
        <v>-</v>
      </c>
      <c r="K71" s="51"/>
      <c r="L71" s="119"/>
      <c r="M71" s="53"/>
      <c r="N71" s="54"/>
      <c r="O71" s="54"/>
      <c r="P71" s="55"/>
    </row>
    <row r="72" spans="2:16">
      <c r="B72" s="56" t="str">
        <f>IF(ISERR(casostestes[[#This Row],[ID]]),"-",casostestes[[#This Row],[ID]])</f>
        <v>-</v>
      </c>
      <c r="C72" s="49" t="str">
        <f>IFERROR(IF(VLOOKUP($B72,casostestes[#Data],10)=0,"Não",VLOOKUP($B72,casostestes[#Data],10)), "-")</f>
        <v>-</v>
      </c>
      <c r="D72" s="50" t="str">
        <f>IFERROR(IF(VLOOKUP($B72,casostestes[#Data],2)=0,"-",VLOOKUP($B72,casostestes[#Data],2)), "-")</f>
        <v>-</v>
      </c>
      <c r="E72" s="50" t="str">
        <f>IFERROR(IF(VLOOKUP($B72,casostestes[#Data],3)=0,"-",VLOOKUP($B72,casostestes[#Data],3)), "-")</f>
        <v>-</v>
      </c>
      <c r="F72" s="50" t="str">
        <f>IFERROR(IF(VLOOKUP($B72,casostestes[#Data],4)=0,"-",VLOOKUP($B72,casostestes[#Data],4)),"-")</f>
        <v>-</v>
      </c>
      <c r="G72" s="50" t="str">
        <f>IFERROR(IF(VLOOKUP($B72,casostestes[#Data],5)=0,"-",VLOOKUP($B72,casostestes[#Data],5)),"-")</f>
        <v>-</v>
      </c>
      <c r="H72" s="50" t="str">
        <f>IFERROR(IF(VLOOKUP($B72,casostestes[#Data],6)=0,"-",VLOOKUP($B72,casostestes[#Data],6)),"-")</f>
        <v>-</v>
      </c>
      <c r="I72" s="50" t="str">
        <f>IFERROR(IF(VLOOKUP($B72,casostestes[#Data],8)=0,"-",VLOOKUP($B72,casostestes[#Data],8)),"-")</f>
        <v>-</v>
      </c>
      <c r="J72" s="50" t="str">
        <f>IFERROR(IF(VLOOKUP($B72,casostestes[#Data],9)=0,"-",VLOOKUP($B72,casostestes[#Data],9)),"-")</f>
        <v>-</v>
      </c>
      <c r="K72" s="51"/>
      <c r="L72" s="119"/>
      <c r="M72" s="53"/>
      <c r="N72" s="54"/>
      <c r="O72" s="54"/>
      <c r="P72" s="55"/>
    </row>
    <row r="73" spans="2:16">
      <c r="B73" s="56" t="str">
        <f>IF(ISERR(casostestes[[#This Row],[ID]]),"-",casostestes[[#This Row],[ID]])</f>
        <v>-</v>
      </c>
      <c r="C73" s="49" t="str">
        <f>IFERROR(IF(VLOOKUP($B73,casostestes[#Data],10)=0,"Não",VLOOKUP($B73,casostestes[#Data],10)), "-")</f>
        <v>-</v>
      </c>
      <c r="D73" s="50" t="str">
        <f>IFERROR(IF(VLOOKUP($B73,casostestes[#Data],2)=0,"-",VLOOKUP($B73,casostestes[#Data],2)), "-")</f>
        <v>-</v>
      </c>
      <c r="E73" s="50" t="str">
        <f>IFERROR(IF(VLOOKUP($B73,casostestes[#Data],3)=0,"-",VLOOKUP($B73,casostestes[#Data],3)), "-")</f>
        <v>-</v>
      </c>
      <c r="F73" s="50" t="str">
        <f>IFERROR(IF(VLOOKUP($B73,casostestes[#Data],4)=0,"-",VLOOKUP($B73,casostestes[#Data],4)),"-")</f>
        <v>-</v>
      </c>
      <c r="G73" s="50" t="str">
        <f>IFERROR(IF(VLOOKUP($B73,casostestes[#Data],5)=0,"-",VLOOKUP($B73,casostestes[#Data],5)),"-")</f>
        <v>-</v>
      </c>
      <c r="H73" s="50" t="str">
        <f>IFERROR(IF(VLOOKUP($B73,casostestes[#Data],6)=0,"-",VLOOKUP($B73,casostestes[#Data],6)),"-")</f>
        <v>-</v>
      </c>
      <c r="I73" s="50" t="str">
        <f>IFERROR(IF(VLOOKUP($B73,casostestes[#Data],8)=0,"-",VLOOKUP($B73,casostestes[#Data],8)),"-")</f>
        <v>-</v>
      </c>
      <c r="J73" s="50" t="str">
        <f>IFERROR(IF(VLOOKUP($B73,casostestes[#Data],9)=0,"-",VLOOKUP($B73,casostestes[#Data],9)),"-")</f>
        <v>-</v>
      </c>
      <c r="K73" s="51"/>
      <c r="L73" s="119"/>
      <c r="M73" s="53"/>
      <c r="N73" s="54"/>
      <c r="O73" s="54"/>
      <c r="P73" s="55"/>
    </row>
    <row r="74" spans="2:16">
      <c r="B74" s="56" t="str">
        <f>IF(ISERR(casostestes[[#This Row],[ID]]),"-",casostestes[[#This Row],[ID]])</f>
        <v>-</v>
      </c>
      <c r="C74" s="49" t="str">
        <f>IFERROR(IF(VLOOKUP($B74,casostestes[#Data],10)=0,"Não",VLOOKUP($B74,casostestes[#Data],10)), "-")</f>
        <v>-</v>
      </c>
      <c r="D74" s="50" t="str">
        <f>IFERROR(IF(VLOOKUP($B74,casostestes[#Data],2)=0,"-",VLOOKUP($B74,casostestes[#Data],2)), "-")</f>
        <v>-</v>
      </c>
      <c r="E74" s="50" t="str">
        <f>IFERROR(IF(VLOOKUP($B74,casostestes[#Data],3)=0,"-",VLOOKUP($B74,casostestes[#Data],3)), "-")</f>
        <v>-</v>
      </c>
      <c r="F74" s="50" t="str">
        <f>IFERROR(IF(VLOOKUP($B74,casostestes[#Data],4)=0,"-",VLOOKUP($B74,casostestes[#Data],4)),"-")</f>
        <v>-</v>
      </c>
      <c r="G74" s="50" t="str">
        <f>IFERROR(IF(VLOOKUP($B74,casostestes[#Data],5)=0,"-",VLOOKUP($B74,casostestes[#Data],5)),"-")</f>
        <v>-</v>
      </c>
      <c r="H74" s="50" t="str">
        <f>IFERROR(IF(VLOOKUP($B74,casostestes[#Data],6)=0,"-",VLOOKUP($B74,casostestes[#Data],6)),"-")</f>
        <v>-</v>
      </c>
      <c r="I74" s="50" t="str">
        <f>IFERROR(IF(VLOOKUP($B74,casostestes[#Data],8)=0,"-",VLOOKUP($B74,casostestes[#Data],8)),"-")</f>
        <v>-</v>
      </c>
      <c r="J74" s="50" t="str">
        <f>IFERROR(IF(VLOOKUP($B74,casostestes[#Data],9)=0,"-",VLOOKUP($B74,casostestes[#Data],9)),"-")</f>
        <v>-</v>
      </c>
      <c r="K74" s="51"/>
      <c r="L74" s="119"/>
      <c r="M74" s="53"/>
      <c r="N74" s="54"/>
      <c r="O74" s="54"/>
      <c r="P74" s="55"/>
    </row>
    <row r="75" spans="2:16">
      <c r="B75" s="56" t="str">
        <f>IF(ISERR(casostestes[[#This Row],[ID]]),"-",casostestes[[#This Row],[ID]])</f>
        <v>-</v>
      </c>
      <c r="C75" s="49" t="str">
        <f>IFERROR(IF(VLOOKUP($B75,casostestes[#Data],10)=0,"Não",VLOOKUP($B75,casostestes[#Data],10)), "-")</f>
        <v>-</v>
      </c>
      <c r="D75" s="50" t="str">
        <f>IFERROR(IF(VLOOKUP($B75,casostestes[#Data],2)=0,"-",VLOOKUP($B75,casostestes[#Data],2)), "-")</f>
        <v>-</v>
      </c>
      <c r="E75" s="50" t="str">
        <f>IFERROR(IF(VLOOKUP($B75,casostestes[#Data],3)=0,"-",VLOOKUP($B75,casostestes[#Data],3)), "-")</f>
        <v>-</v>
      </c>
      <c r="F75" s="50" t="str">
        <f>IFERROR(IF(VLOOKUP($B75,casostestes[#Data],4)=0,"-",VLOOKUP($B75,casostestes[#Data],4)),"-")</f>
        <v>-</v>
      </c>
      <c r="G75" s="50" t="str">
        <f>IFERROR(IF(VLOOKUP($B75,casostestes[#Data],5)=0,"-",VLOOKUP($B75,casostestes[#Data],5)),"-")</f>
        <v>-</v>
      </c>
      <c r="H75" s="50" t="str">
        <f>IFERROR(IF(VLOOKUP($B75,casostestes[#Data],6)=0,"-",VLOOKUP($B75,casostestes[#Data],6)),"-")</f>
        <v>-</v>
      </c>
      <c r="I75" s="50" t="str">
        <f>IFERROR(IF(VLOOKUP($B75,casostestes[#Data],8)=0,"-",VLOOKUP($B75,casostestes[#Data],8)),"-")</f>
        <v>-</v>
      </c>
      <c r="J75" s="50" t="str">
        <f>IFERROR(IF(VLOOKUP($B75,casostestes[#Data],9)=0,"-",VLOOKUP($B75,casostestes[#Data],9)),"-")</f>
        <v>-</v>
      </c>
      <c r="K75" s="51"/>
      <c r="L75" s="119"/>
      <c r="M75" s="53"/>
      <c r="N75" s="54"/>
      <c r="O75" s="54"/>
      <c r="P75" s="55"/>
    </row>
    <row r="76" spans="2:16">
      <c r="B76" s="56" t="str">
        <f>IF(ISERR(casostestes[[#This Row],[ID]]),"-",casostestes[[#This Row],[ID]])</f>
        <v>-</v>
      </c>
      <c r="C76" s="49" t="str">
        <f>IFERROR(IF(VLOOKUP($B76,casostestes[#Data],10)=0,"Não",VLOOKUP($B76,casostestes[#Data],10)), "-")</f>
        <v>-</v>
      </c>
      <c r="D76" s="50" t="str">
        <f>IFERROR(IF(VLOOKUP($B76,casostestes[#Data],2)=0,"-",VLOOKUP($B76,casostestes[#Data],2)), "-")</f>
        <v>-</v>
      </c>
      <c r="E76" s="50" t="str">
        <f>IFERROR(IF(VLOOKUP($B76,casostestes[#Data],3)=0,"-",VLOOKUP($B76,casostestes[#Data],3)), "-")</f>
        <v>-</v>
      </c>
      <c r="F76" s="50" t="str">
        <f>IFERROR(IF(VLOOKUP($B76,casostestes[#Data],4)=0,"-",VLOOKUP($B76,casostestes[#Data],4)),"-")</f>
        <v>-</v>
      </c>
      <c r="G76" s="50" t="str">
        <f>IFERROR(IF(VLOOKUP($B76,casostestes[#Data],5)=0,"-",VLOOKUP($B76,casostestes[#Data],5)),"-")</f>
        <v>-</v>
      </c>
      <c r="H76" s="50" t="str">
        <f>IFERROR(IF(VLOOKUP($B76,casostestes[#Data],6)=0,"-",VLOOKUP($B76,casostestes[#Data],6)),"-")</f>
        <v>-</v>
      </c>
      <c r="I76" s="50" t="str">
        <f>IFERROR(IF(VLOOKUP($B76,casostestes[#Data],8)=0,"-",VLOOKUP($B76,casostestes[#Data],8)),"-")</f>
        <v>-</v>
      </c>
      <c r="J76" s="50" t="str">
        <f>IFERROR(IF(VLOOKUP($B76,casostestes[#Data],9)=0,"-",VLOOKUP($B76,casostestes[#Data],9)),"-")</f>
        <v>-</v>
      </c>
      <c r="K76" s="51"/>
      <c r="L76" s="119"/>
      <c r="M76" s="53"/>
      <c r="N76" s="54"/>
      <c r="O76" s="54"/>
      <c r="P76" s="55"/>
    </row>
    <row r="77" spans="2:16">
      <c r="B77" s="56" t="str">
        <f>IF(ISERR(casostestes[[#This Row],[ID]]),"-",casostestes[[#This Row],[ID]])</f>
        <v>-</v>
      </c>
      <c r="C77" s="49" t="str">
        <f>IFERROR(IF(VLOOKUP($B77,casostestes[#Data],10)=0,"Não",VLOOKUP($B77,casostestes[#Data],10)), "-")</f>
        <v>-</v>
      </c>
      <c r="D77" s="50" t="str">
        <f>IFERROR(IF(VLOOKUP($B77,casostestes[#Data],2)=0,"-",VLOOKUP($B77,casostestes[#Data],2)), "-")</f>
        <v>-</v>
      </c>
      <c r="E77" s="50" t="str">
        <f>IFERROR(IF(VLOOKUP($B77,casostestes[#Data],3)=0,"-",VLOOKUP($B77,casostestes[#Data],3)), "-")</f>
        <v>-</v>
      </c>
      <c r="F77" s="50" t="str">
        <f>IFERROR(IF(VLOOKUP($B77,casostestes[#Data],4)=0,"-",VLOOKUP($B77,casostestes[#Data],4)),"-")</f>
        <v>-</v>
      </c>
      <c r="G77" s="50" t="str">
        <f>IFERROR(IF(VLOOKUP($B77,casostestes[#Data],5)=0,"-",VLOOKUP($B77,casostestes[#Data],5)),"-")</f>
        <v>-</v>
      </c>
      <c r="H77" s="50" t="str">
        <f>IFERROR(IF(VLOOKUP($B77,casostestes[#Data],6)=0,"-",VLOOKUP($B77,casostestes[#Data],6)),"-")</f>
        <v>-</v>
      </c>
      <c r="I77" s="50" t="str">
        <f>IFERROR(IF(VLOOKUP($B77,casostestes[#Data],8)=0,"-",VLOOKUP($B77,casostestes[#Data],8)),"-")</f>
        <v>-</v>
      </c>
      <c r="J77" s="50" t="str">
        <f>IFERROR(IF(VLOOKUP($B77,casostestes[#Data],9)=0,"-",VLOOKUP($B77,casostestes[#Data],9)),"-")</f>
        <v>-</v>
      </c>
      <c r="K77" s="51"/>
      <c r="L77" s="119"/>
      <c r="M77" s="53"/>
      <c r="N77" s="54"/>
      <c r="O77" s="54"/>
      <c r="P77" s="55"/>
    </row>
    <row r="78" spans="2:16">
      <c r="B78" s="56" t="str">
        <f>IF(ISERR(casostestes[[#This Row],[ID]]),"-",casostestes[[#This Row],[ID]])</f>
        <v>-</v>
      </c>
      <c r="C78" s="49" t="str">
        <f>IFERROR(IF(VLOOKUP($B78,casostestes[#Data],10)=0,"Não",VLOOKUP($B78,casostestes[#Data],10)), "-")</f>
        <v>-</v>
      </c>
      <c r="D78" s="50" t="str">
        <f>IFERROR(IF(VLOOKUP($B78,casostestes[#Data],2)=0,"-",VLOOKUP($B78,casostestes[#Data],2)), "-")</f>
        <v>-</v>
      </c>
      <c r="E78" s="50" t="str">
        <f>IFERROR(IF(VLOOKUP($B78,casostestes[#Data],3)=0,"-",VLOOKUP($B78,casostestes[#Data],3)), "-")</f>
        <v>-</v>
      </c>
      <c r="F78" s="50" t="str">
        <f>IFERROR(IF(VLOOKUP($B78,casostestes[#Data],4)=0,"-",VLOOKUP($B78,casostestes[#Data],4)),"-")</f>
        <v>-</v>
      </c>
      <c r="G78" s="50" t="str">
        <f>IFERROR(IF(VLOOKUP($B78,casostestes[#Data],5)=0,"-",VLOOKUP($B78,casostestes[#Data],5)),"-")</f>
        <v>-</v>
      </c>
      <c r="H78" s="50" t="str">
        <f>IFERROR(IF(VLOOKUP($B78,casostestes[#Data],6)=0,"-",VLOOKUP($B78,casostestes[#Data],6)),"-")</f>
        <v>-</v>
      </c>
      <c r="I78" s="50" t="str">
        <f>IFERROR(IF(VLOOKUP($B78,casostestes[#Data],8)=0,"-",VLOOKUP($B78,casostestes[#Data],8)),"-")</f>
        <v>-</v>
      </c>
      <c r="J78" s="50" t="str">
        <f>IFERROR(IF(VLOOKUP($B78,casostestes[#Data],9)=0,"-",VLOOKUP($B78,casostestes[#Data],9)),"-")</f>
        <v>-</v>
      </c>
      <c r="K78" s="51"/>
      <c r="L78" s="119"/>
      <c r="M78" s="53"/>
      <c r="N78" s="54"/>
      <c r="O78" s="54"/>
      <c r="P78" s="55"/>
    </row>
    <row r="79" spans="2:16">
      <c r="B79" s="56" t="str">
        <f>IF(ISERR(casostestes[[#This Row],[ID]]),"-",casostestes[[#This Row],[ID]])</f>
        <v>-</v>
      </c>
      <c r="C79" s="49" t="str">
        <f>IFERROR(IF(VLOOKUP($B79,casostestes[#Data],10)=0,"Não",VLOOKUP($B79,casostestes[#Data],10)), "-")</f>
        <v>-</v>
      </c>
      <c r="D79" s="50" t="str">
        <f>IFERROR(IF(VLOOKUP($B79,casostestes[#Data],2)=0,"-",VLOOKUP($B79,casostestes[#Data],2)), "-")</f>
        <v>-</v>
      </c>
      <c r="E79" s="50" t="str">
        <f>IFERROR(IF(VLOOKUP($B79,casostestes[#Data],3)=0,"-",VLOOKUP($B79,casostestes[#Data],3)), "-")</f>
        <v>-</v>
      </c>
      <c r="F79" s="50" t="str">
        <f>IFERROR(IF(VLOOKUP($B79,casostestes[#Data],4)=0,"-",VLOOKUP($B79,casostestes[#Data],4)),"-")</f>
        <v>-</v>
      </c>
      <c r="G79" s="50" t="str">
        <f>IFERROR(IF(VLOOKUP($B79,casostestes[#Data],5)=0,"-",VLOOKUP($B79,casostestes[#Data],5)),"-")</f>
        <v>-</v>
      </c>
      <c r="H79" s="50" t="str">
        <f>IFERROR(IF(VLOOKUP($B79,casostestes[#Data],6)=0,"-",VLOOKUP($B79,casostestes[#Data],6)),"-")</f>
        <v>-</v>
      </c>
      <c r="I79" s="50" t="str">
        <f>IFERROR(IF(VLOOKUP($B79,casostestes[#Data],8)=0,"-",VLOOKUP($B79,casostestes[#Data],8)),"-")</f>
        <v>-</v>
      </c>
      <c r="J79" s="50" t="str">
        <f>IFERROR(IF(VLOOKUP($B79,casostestes[#Data],9)=0,"-",VLOOKUP($B79,casostestes[#Data],9)),"-")</f>
        <v>-</v>
      </c>
      <c r="K79" s="51"/>
      <c r="L79" s="119"/>
      <c r="M79" s="53"/>
      <c r="N79" s="54"/>
      <c r="O79" s="54"/>
      <c r="P79" s="55"/>
    </row>
    <row r="80" spans="2:16">
      <c r="B80" s="56" t="str">
        <f>IF(ISERR(casostestes[[#This Row],[ID]]),"-",casostestes[[#This Row],[ID]])</f>
        <v>-</v>
      </c>
      <c r="C80" s="49" t="str">
        <f>IFERROR(IF(VLOOKUP($B80,casostestes[#Data],10)=0,"Não",VLOOKUP($B80,casostestes[#Data],10)), "-")</f>
        <v>-</v>
      </c>
      <c r="D80" s="50" t="str">
        <f>IFERROR(IF(VLOOKUP($B80,casostestes[#Data],2)=0,"-",VLOOKUP($B80,casostestes[#Data],2)), "-")</f>
        <v>-</v>
      </c>
      <c r="E80" s="50" t="str">
        <f>IFERROR(IF(VLOOKUP($B80,casostestes[#Data],3)=0,"-",VLOOKUP($B80,casostestes[#Data],3)), "-")</f>
        <v>-</v>
      </c>
      <c r="F80" s="50" t="str">
        <f>IFERROR(IF(VLOOKUP($B80,casostestes[#Data],4)=0,"-",VLOOKUP($B80,casostestes[#Data],4)),"-")</f>
        <v>-</v>
      </c>
      <c r="G80" s="50" t="str">
        <f>IFERROR(IF(VLOOKUP($B80,casostestes[#Data],5)=0,"-",VLOOKUP($B80,casostestes[#Data],5)),"-")</f>
        <v>-</v>
      </c>
      <c r="H80" s="50" t="str">
        <f>IFERROR(IF(VLOOKUP($B80,casostestes[#Data],6)=0,"-",VLOOKUP($B80,casostestes[#Data],6)),"-")</f>
        <v>-</v>
      </c>
      <c r="I80" s="50" t="str">
        <f>IFERROR(IF(VLOOKUP($B80,casostestes[#Data],8)=0,"-",VLOOKUP($B80,casostestes[#Data],8)),"-")</f>
        <v>-</v>
      </c>
      <c r="J80" s="50" t="str">
        <f>IFERROR(IF(VLOOKUP($B80,casostestes[#Data],9)=0,"-",VLOOKUP($B80,casostestes[#Data],9)),"-")</f>
        <v>-</v>
      </c>
      <c r="K80" s="51"/>
      <c r="L80" s="119"/>
      <c r="M80" s="53"/>
      <c r="N80" s="54"/>
      <c r="O80" s="54"/>
      <c r="P80" s="55"/>
    </row>
    <row r="81" spans="2:16">
      <c r="B81" s="56" t="str">
        <f>IF(ISERR(casostestes[[#This Row],[ID]]),"-",casostestes[[#This Row],[ID]])</f>
        <v>-</v>
      </c>
      <c r="C81" s="49" t="str">
        <f>IFERROR(IF(VLOOKUP($B81,casostestes[#Data],10)=0,"Não",VLOOKUP($B81,casostestes[#Data],10)), "-")</f>
        <v>-</v>
      </c>
      <c r="D81" s="50" t="str">
        <f>IFERROR(IF(VLOOKUP($B81,casostestes[#Data],2)=0,"-",VLOOKUP($B81,casostestes[#Data],2)), "-")</f>
        <v>-</v>
      </c>
      <c r="E81" s="50" t="str">
        <f>IFERROR(IF(VLOOKUP($B81,casostestes[#Data],3)=0,"-",VLOOKUP($B81,casostestes[#Data],3)), "-")</f>
        <v>-</v>
      </c>
      <c r="F81" s="50" t="str">
        <f>IFERROR(IF(VLOOKUP($B81,casostestes[#Data],4)=0,"-",VLOOKUP($B81,casostestes[#Data],4)),"-")</f>
        <v>-</v>
      </c>
      <c r="G81" s="50" t="str">
        <f>IFERROR(IF(VLOOKUP($B81,casostestes[#Data],5)=0,"-",VLOOKUP($B81,casostestes[#Data],5)),"-")</f>
        <v>-</v>
      </c>
      <c r="H81" s="50" t="str">
        <f>IFERROR(IF(VLOOKUP($B81,casostestes[#Data],6)=0,"-",VLOOKUP($B81,casostestes[#Data],6)),"-")</f>
        <v>-</v>
      </c>
      <c r="I81" s="50" t="str">
        <f>IFERROR(IF(VLOOKUP($B81,casostestes[#Data],8)=0,"-",VLOOKUP($B81,casostestes[#Data],8)),"-")</f>
        <v>-</v>
      </c>
      <c r="J81" s="50" t="str">
        <f>IFERROR(IF(VLOOKUP($B81,casostestes[#Data],9)=0,"-",VLOOKUP($B81,casostestes[#Data],9)),"-")</f>
        <v>-</v>
      </c>
      <c r="K81" s="51"/>
      <c r="L81" s="119"/>
      <c r="M81" s="53"/>
      <c r="N81" s="54"/>
      <c r="O81" s="54"/>
      <c r="P81" s="55"/>
    </row>
    <row r="82" spans="2:16">
      <c r="B82" s="56" t="str">
        <f>IF(ISERR(casostestes[[#This Row],[ID]]),"-",casostestes[[#This Row],[ID]])</f>
        <v>-</v>
      </c>
      <c r="C82" s="49" t="str">
        <f>IFERROR(IF(VLOOKUP($B82,casostestes[#Data],10)=0,"Não",VLOOKUP($B82,casostestes[#Data],10)), "-")</f>
        <v>-</v>
      </c>
      <c r="D82" s="50" t="str">
        <f>IFERROR(IF(VLOOKUP($B82,casostestes[#Data],2)=0,"-",VLOOKUP($B82,casostestes[#Data],2)), "-")</f>
        <v>-</v>
      </c>
      <c r="E82" s="50" t="str">
        <f>IFERROR(IF(VLOOKUP($B82,casostestes[#Data],3)=0,"-",VLOOKUP($B82,casostestes[#Data],3)), "-")</f>
        <v>-</v>
      </c>
      <c r="F82" s="50" t="str">
        <f>IFERROR(IF(VLOOKUP($B82,casostestes[#Data],4)=0,"-",VLOOKUP($B82,casostestes[#Data],4)),"-")</f>
        <v>-</v>
      </c>
      <c r="G82" s="50" t="str">
        <f>IFERROR(IF(VLOOKUP($B82,casostestes[#Data],5)=0,"-",VLOOKUP($B82,casostestes[#Data],5)),"-")</f>
        <v>-</v>
      </c>
      <c r="H82" s="50" t="str">
        <f>IFERROR(IF(VLOOKUP($B82,casostestes[#Data],6)=0,"-",VLOOKUP($B82,casostestes[#Data],6)),"-")</f>
        <v>-</v>
      </c>
      <c r="I82" s="50" t="str">
        <f>IFERROR(IF(VLOOKUP($B82,casostestes[#Data],8)=0,"-",VLOOKUP($B82,casostestes[#Data],8)),"-")</f>
        <v>-</v>
      </c>
      <c r="J82" s="50" t="str">
        <f>IFERROR(IF(VLOOKUP($B82,casostestes[#Data],9)=0,"-",VLOOKUP($B82,casostestes[#Data],9)),"-")</f>
        <v>-</v>
      </c>
      <c r="K82" s="51"/>
      <c r="L82" s="119"/>
      <c r="M82" s="53"/>
      <c r="N82" s="54"/>
      <c r="O82" s="54"/>
      <c r="P82" s="55"/>
    </row>
    <row r="83" spans="2:16">
      <c r="B83" s="56" t="str">
        <f>IF(ISERR(casostestes[[#This Row],[ID]]),"-",casostestes[[#This Row],[ID]])</f>
        <v>-</v>
      </c>
      <c r="C83" s="49" t="str">
        <f>IFERROR(IF(VLOOKUP($B83,casostestes[#Data],10)=0,"Não",VLOOKUP($B83,casostestes[#Data],10)), "-")</f>
        <v>-</v>
      </c>
      <c r="D83" s="50" t="str">
        <f>IFERROR(IF(VLOOKUP($B83,casostestes[#Data],2)=0,"-",VLOOKUP($B83,casostestes[#Data],2)), "-")</f>
        <v>-</v>
      </c>
      <c r="E83" s="50" t="str">
        <f>IFERROR(IF(VLOOKUP($B83,casostestes[#Data],3)=0,"-",VLOOKUP($B83,casostestes[#Data],3)), "-")</f>
        <v>-</v>
      </c>
      <c r="F83" s="50" t="str">
        <f>IFERROR(IF(VLOOKUP($B83,casostestes[#Data],4)=0,"-",VLOOKUP($B83,casostestes[#Data],4)),"-")</f>
        <v>-</v>
      </c>
      <c r="G83" s="50" t="str">
        <f>IFERROR(IF(VLOOKUP($B83,casostestes[#Data],5)=0,"-",VLOOKUP($B83,casostestes[#Data],5)),"-")</f>
        <v>-</v>
      </c>
      <c r="H83" s="50" t="str">
        <f>IFERROR(IF(VLOOKUP($B83,casostestes[#Data],6)=0,"-",VLOOKUP($B83,casostestes[#Data],6)),"-")</f>
        <v>-</v>
      </c>
      <c r="I83" s="50" t="str">
        <f>IFERROR(IF(VLOOKUP($B83,casostestes[#Data],8)=0,"-",VLOOKUP($B83,casostestes[#Data],8)),"-")</f>
        <v>-</v>
      </c>
      <c r="J83" s="50" t="str">
        <f>IFERROR(IF(VLOOKUP($B83,casostestes[#Data],9)=0,"-",VLOOKUP($B83,casostestes[#Data],9)),"-")</f>
        <v>-</v>
      </c>
      <c r="K83" s="51"/>
      <c r="L83" s="119"/>
      <c r="M83" s="53"/>
      <c r="N83" s="54"/>
      <c r="O83" s="54"/>
      <c r="P83" s="55"/>
    </row>
    <row r="84" spans="2:16">
      <c r="B84" s="56" t="str">
        <f>IF(ISERR(casostestes[[#This Row],[ID]]),"-",casostestes[[#This Row],[ID]])</f>
        <v>-</v>
      </c>
      <c r="C84" s="49" t="str">
        <f>IFERROR(IF(VLOOKUP($B84,casostestes[#Data],10)=0,"Não",VLOOKUP($B84,casostestes[#Data],10)), "-")</f>
        <v>-</v>
      </c>
      <c r="D84" s="50" t="str">
        <f>IFERROR(IF(VLOOKUP($B84,casostestes[#Data],2)=0,"-",VLOOKUP($B84,casostestes[#Data],2)), "-")</f>
        <v>-</v>
      </c>
      <c r="E84" s="50" t="str">
        <f>IFERROR(IF(VLOOKUP($B84,casostestes[#Data],3)=0,"-",VLOOKUP($B84,casostestes[#Data],3)), "-")</f>
        <v>-</v>
      </c>
      <c r="F84" s="50" t="str">
        <f>IFERROR(IF(VLOOKUP($B84,casostestes[#Data],4)=0,"-",VLOOKUP($B84,casostestes[#Data],4)),"-")</f>
        <v>-</v>
      </c>
      <c r="G84" s="50" t="str">
        <f>IFERROR(IF(VLOOKUP($B84,casostestes[#Data],5)=0,"-",VLOOKUP($B84,casostestes[#Data],5)),"-")</f>
        <v>-</v>
      </c>
      <c r="H84" s="50" t="str">
        <f>IFERROR(IF(VLOOKUP($B84,casostestes[#Data],6)=0,"-",VLOOKUP($B84,casostestes[#Data],6)),"-")</f>
        <v>-</v>
      </c>
      <c r="I84" s="50" t="str">
        <f>IFERROR(IF(VLOOKUP($B84,casostestes[#Data],8)=0,"-",VLOOKUP($B84,casostestes[#Data],8)),"-")</f>
        <v>-</v>
      </c>
      <c r="J84" s="50" t="str">
        <f>IFERROR(IF(VLOOKUP($B84,casostestes[#Data],9)=0,"-",VLOOKUP($B84,casostestes[#Data],9)),"-")</f>
        <v>-</v>
      </c>
      <c r="K84" s="51"/>
      <c r="L84" s="119"/>
      <c r="M84" s="53"/>
      <c r="N84" s="54"/>
      <c r="O84" s="54"/>
      <c r="P84" s="55"/>
    </row>
    <row r="85" spans="2:16">
      <c r="B85" s="56" t="str">
        <f>IF(ISERR(casostestes[[#This Row],[ID]]),"-",casostestes[[#This Row],[ID]])</f>
        <v>-</v>
      </c>
      <c r="C85" s="49" t="str">
        <f>IFERROR(IF(VLOOKUP($B85,casostestes[#Data],10)=0,"Não",VLOOKUP($B85,casostestes[#Data],10)), "-")</f>
        <v>-</v>
      </c>
      <c r="D85" s="50" t="str">
        <f>IFERROR(IF(VLOOKUP($B85,casostestes[#Data],2)=0,"-",VLOOKUP($B85,casostestes[#Data],2)), "-")</f>
        <v>-</v>
      </c>
      <c r="E85" s="50" t="str">
        <f>IFERROR(IF(VLOOKUP($B85,casostestes[#Data],3)=0,"-",VLOOKUP($B85,casostestes[#Data],3)), "-")</f>
        <v>-</v>
      </c>
      <c r="F85" s="50" t="str">
        <f>IFERROR(IF(VLOOKUP($B85,casostestes[#Data],4)=0,"-",VLOOKUP($B85,casostestes[#Data],4)),"-")</f>
        <v>-</v>
      </c>
      <c r="G85" s="50" t="str">
        <f>IFERROR(IF(VLOOKUP($B85,casostestes[#Data],5)=0,"-",VLOOKUP($B85,casostestes[#Data],5)),"-")</f>
        <v>-</v>
      </c>
      <c r="H85" s="50" t="str">
        <f>IFERROR(IF(VLOOKUP($B85,casostestes[#Data],6)=0,"-",VLOOKUP($B85,casostestes[#Data],6)),"-")</f>
        <v>-</v>
      </c>
      <c r="I85" s="50" t="str">
        <f>IFERROR(IF(VLOOKUP($B85,casostestes[#Data],8)=0,"-",VLOOKUP($B85,casostestes[#Data],8)),"-")</f>
        <v>-</v>
      </c>
      <c r="J85" s="50" t="str">
        <f>IFERROR(IF(VLOOKUP($B85,casostestes[#Data],9)=0,"-",VLOOKUP($B85,casostestes[#Data],9)),"-")</f>
        <v>-</v>
      </c>
      <c r="K85" s="51"/>
      <c r="L85" s="119"/>
      <c r="M85" s="53"/>
      <c r="N85" s="54"/>
      <c r="O85" s="54"/>
      <c r="P85" s="55"/>
    </row>
    <row r="86" spans="2:16">
      <c r="B86" s="56" t="str">
        <f>IF(ISERR(casostestes[[#This Row],[ID]]),"-",casostestes[[#This Row],[ID]])</f>
        <v>-</v>
      </c>
      <c r="C86" s="49" t="str">
        <f>IFERROR(IF(VLOOKUP($B86,casostestes[#Data],10)=0,"Não",VLOOKUP($B86,casostestes[#Data],10)), "-")</f>
        <v>-</v>
      </c>
      <c r="D86" s="50" t="str">
        <f>IFERROR(IF(VLOOKUP($B86,casostestes[#Data],2)=0,"-",VLOOKUP($B86,casostestes[#Data],2)), "-")</f>
        <v>-</v>
      </c>
      <c r="E86" s="50" t="str">
        <f>IFERROR(IF(VLOOKUP($B86,casostestes[#Data],3)=0,"-",VLOOKUP($B86,casostestes[#Data],3)), "-")</f>
        <v>-</v>
      </c>
      <c r="F86" s="50" t="str">
        <f>IFERROR(IF(VLOOKUP($B86,casostestes[#Data],4)=0,"-",VLOOKUP($B86,casostestes[#Data],4)),"-")</f>
        <v>-</v>
      </c>
      <c r="G86" s="50" t="str">
        <f>IFERROR(IF(VLOOKUP($B86,casostestes[#Data],5)=0,"-",VLOOKUP($B86,casostestes[#Data],5)),"-")</f>
        <v>-</v>
      </c>
      <c r="H86" s="50" t="str">
        <f>IFERROR(IF(VLOOKUP($B86,casostestes[#Data],6)=0,"-",VLOOKUP($B86,casostestes[#Data],6)),"-")</f>
        <v>-</v>
      </c>
      <c r="I86" s="50" t="str">
        <f>IFERROR(IF(VLOOKUP($B86,casostestes[#Data],8)=0,"-",VLOOKUP($B86,casostestes[#Data],8)),"-")</f>
        <v>-</v>
      </c>
      <c r="J86" s="50" t="str">
        <f>IFERROR(IF(VLOOKUP($B86,casostestes[#Data],9)=0,"-",VLOOKUP($B86,casostestes[#Data],9)),"-")</f>
        <v>-</v>
      </c>
      <c r="K86" s="51"/>
      <c r="L86" s="119"/>
      <c r="M86" s="53"/>
      <c r="N86" s="54"/>
      <c r="O86" s="54"/>
      <c r="P86" s="55"/>
    </row>
    <row r="87" spans="2:16">
      <c r="B87" s="56" t="str">
        <f>IF(ISERR(casostestes[[#This Row],[ID]]),"-",casostestes[[#This Row],[ID]])</f>
        <v>-</v>
      </c>
      <c r="C87" s="49" t="str">
        <f>IFERROR(IF(VLOOKUP($B87,casostestes[#Data],10)=0,"Não",VLOOKUP($B87,casostestes[#Data],10)), "-")</f>
        <v>-</v>
      </c>
      <c r="D87" s="50" t="str">
        <f>IFERROR(IF(VLOOKUP($B87,casostestes[#Data],2)=0,"-",VLOOKUP($B87,casostestes[#Data],2)), "-")</f>
        <v>-</v>
      </c>
      <c r="E87" s="50" t="str">
        <f>IFERROR(IF(VLOOKUP($B87,casostestes[#Data],3)=0,"-",VLOOKUP($B87,casostestes[#Data],3)), "-")</f>
        <v>-</v>
      </c>
      <c r="F87" s="50" t="str">
        <f>IFERROR(IF(VLOOKUP($B87,casostestes[#Data],4)=0,"-",VLOOKUP($B87,casostestes[#Data],4)),"-")</f>
        <v>-</v>
      </c>
      <c r="G87" s="50" t="str">
        <f>IFERROR(IF(VLOOKUP($B87,casostestes[#Data],5)=0,"-",VLOOKUP($B87,casostestes[#Data],5)),"-")</f>
        <v>-</v>
      </c>
      <c r="H87" s="50" t="str">
        <f>IFERROR(IF(VLOOKUP($B87,casostestes[#Data],6)=0,"-",VLOOKUP($B87,casostestes[#Data],6)),"-")</f>
        <v>-</v>
      </c>
      <c r="I87" s="50" t="str">
        <f>IFERROR(IF(VLOOKUP($B87,casostestes[#Data],8)=0,"-",VLOOKUP($B87,casostestes[#Data],8)),"-")</f>
        <v>-</v>
      </c>
      <c r="J87" s="50" t="str">
        <f>IFERROR(IF(VLOOKUP($B87,casostestes[#Data],9)=0,"-",VLOOKUP($B87,casostestes[#Data],9)),"-")</f>
        <v>-</v>
      </c>
      <c r="K87" s="51"/>
      <c r="L87" s="119"/>
      <c r="M87" s="53"/>
      <c r="N87" s="54"/>
      <c r="O87" s="54"/>
      <c r="P87" s="55"/>
    </row>
    <row r="88" spans="2:16">
      <c r="B88" s="56" t="str">
        <f>IF(ISERR(casostestes[[#This Row],[ID]]),"-",casostestes[[#This Row],[ID]])</f>
        <v>-</v>
      </c>
      <c r="C88" s="49" t="str">
        <f>IFERROR(IF(VLOOKUP($B88,casostestes[#Data],10)=0,"Não",VLOOKUP($B88,casostestes[#Data],10)), "-")</f>
        <v>-</v>
      </c>
      <c r="D88" s="50" t="str">
        <f>IFERROR(IF(VLOOKUP($B88,casostestes[#Data],2)=0,"-",VLOOKUP($B88,casostestes[#Data],2)), "-")</f>
        <v>-</v>
      </c>
      <c r="E88" s="50" t="str">
        <f>IFERROR(IF(VLOOKUP($B88,casostestes[#Data],3)=0,"-",VLOOKUP($B88,casostestes[#Data],3)), "-")</f>
        <v>-</v>
      </c>
      <c r="F88" s="50" t="str">
        <f>IFERROR(IF(VLOOKUP($B88,casostestes[#Data],4)=0,"-",VLOOKUP($B88,casostestes[#Data],4)),"-")</f>
        <v>-</v>
      </c>
      <c r="G88" s="50" t="str">
        <f>IFERROR(IF(VLOOKUP($B88,casostestes[#Data],5)=0,"-",VLOOKUP($B88,casostestes[#Data],5)),"-")</f>
        <v>-</v>
      </c>
      <c r="H88" s="50" t="str">
        <f>IFERROR(IF(VLOOKUP($B88,casostestes[#Data],6)=0,"-",VLOOKUP($B88,casostestes[#Data],6)),"-")</f>
        <v>-</v>
      </c>
      <c r="I88" s="50" t="str">
        <f>IFERROR(IF(VLOOKUP($B88,casostestes[#Data],8)=0,"-",VLOOKUP($B88,casostestes[#Data],8)),"-")</f>
        <v>-</v>
      </c>
      <c r="J88" s="50" t="str">
        <f>IFERROR(IF(VLOOKUP($B88,casostestes[#Data],9)=0,"-",VLOOKUP($B88,casostestes[#Data],9)),"-")</f>
        <v>-</v>
      </c>
      <c r="K88" s="51"/>
      <c r="L88" s="119"/>
      <c r="M88" s="53"/>
      <c r="N88" s="54"/>
      <c r="O88" s="54"/>
      <c r="P88" s="55"/>
    </row>
    <row r="89" spans="2:16">
      <c r="B89" s="56" t="str">
        <f>IF(ISERR(casostestes[[#This Row],[ID]]),"-",casostestes[[#This Row],[ID]])</f>
        <v>-</v>
      </c>
      <c r="C89" s="49" t="str">
        <f>IFERROR(IF(VLOOKUP($B89,casostestes[#Data],10)=0,"Não",VLOOKUP($B89,casostestes[#Data],10)), "-")</f>
        <v>-</v>
      </c>
      <c r="D89" s="50" t="str">
        <f>IFERROR(IF(VLOOKUP($B89,casostestes[#Data],2)=0,"-",VLOOKUP($B89,casostestes[#Data],2)), "-")</f>
        <v>-</v>
      </c>
      <c r="E89" s="50" t="str">
        <f>IFERROR(IF(VLOOKUP($B89,casostestes[#Data],3)=0,"-",VLOOKUP($B89,casostestes[#Data],3)), "-")</f>
        <v>-</v>
      </c>
      <c r="F89" s="50" t="str">
        <f>IFERROR(IF(VLOOKUP($B89,casostestes[#Data],4)=0,"-",VLOOKUP($B89,casostestes[#Data],4)),"-")</f>
        <v>-</v>
      </c>
      <c r="G89" s="50" t="str">
        <f>IFERROR(IF(VLOOKUP($B89,casostestes[#Data],5)=0,"-",VLOOKUP($B89,casostestes[#Data],5)),"-")</f>
        <v>-</v>
      </c>
      <c r="H89" s="50" t="str">
        <f>IFERROR(IF(VLOOKUP($B89,casostestes[#Data],6)=0,"-",VLOOKUP($B89,casostestes[#Data],6)),"-")</f>
        <v>-</v>
      </c>
      <c r="I89" s="50" t="str">
        <f>IFERROR(IF(VLOOKUP($B89,casostestes[#Data],8)=0,"-",VLOOKUP($B89,casostestes[#Data],8)),"-")</f>
        <v>-</v>
      </c>
      <c r="J89" s="50" t="str">
        <f>IFERROR(IF(VLOOKUP($B89,casostestes[#Data],9)=0,"-",VLOOKUP($B89,casostestes[#Data],9)),"-")</f>
        <v>-</v>
      </c>
      <c r="K89" s="51"/>
      <c r="L89" s="119"/>
      <c r="M89" s="53"/>
      <c r="N89" s="54"/>
      <c r="O89" s="54"/>
      <c r="P89" s="55"/>
    </row>
    <row r="90" spans="2:16">
      <c r="B90" s="56" t="str">
        <f>IF(ISERR(casostestes[[#This Row],[ID]]),"-",casostestes[[#This Row],[ID]])</f>
        <v>-</v>
      </c>
      <c r="C90" s="49" t="str">
        <f>IFERROR(IF(VLOOKUP($B90,casostestes[#Data],10)=0,"Não",VLOOKUP($B90,casostestes[#Data],10)), "-")</f>
        <v>-</v>
      </c>
      <c r="D90" s="50" t="str">
        <f>IFERROR(IF(VLOOKUP($B90,casostestes[#Data],2)=0,"-",VLOOKUP($B90,casostestes[#Data],2)), "-")</f>
        <v>-</v>
      </c>
      <c r="E90" s="50" t="str">
        <f>IFERROR(IF(VLOOKUP($B90,casostestes[#Data],3)=0,"-",VLOOKUP($B90,casostestes[#Data],3)), "-")</f>
        <v>-</v>
      </c>
      <c r="F90" s="50" t="str">
        <f>IFERROR(IF(VLOOKUP($B90,casostestes[#Data],4)=0,"-",VLOOKUP($B90,casostestes[#Data],4)),"-")</f>
        <v>-</v>
      </c>
      <c r="G90" s="50" t="str">
        <f>IFERROR(IF(VLOOKUP($B90,casostestes[#Data],5)=0,"-",VLOOKUP($B90,casostestes[#Data],5)),"-")</f>
        <v>-</v>
      </c>
      <c r="H90" s="50" t="str">
        <f>IFERROR(IF(VLOOKUP($B90,casostestes[#Data],6)=0,"-",VLOOKUP($B90,casostestes[#Data],6)),"-")</f>
        <v>-</v>
      </c>
      <c r="I90" s="50" t="str">
        <f>IFERROR(IF(VLOOKUP($B90,casostestes[#Data],8)=0,"-",VLOOKUP($B90,casostestes[#Data],8)),"-")</f>
        <v>-</v>
      </c>
      <c r="J90" s="50" t="str">
        <f>IFERROR(IF(VLOOKUP($B90,casostestes[#Data],9)=0,"-",VLOOKUP($B90,casostestes[#Data],9)),"-")</f>
        <v>-</v>
      </c>
      <c r="K90" s="51"/>
      <c r="L90" s="119"/>
      <c r="M90" s="53"/>
      <c r="N90" s="54"/>
      <c r="O90" s="54"/>
      <c r="P90" s="55"/>
    </row>
    <row r="91" spans="2:16">
      <c r="B91" s="56" t="str">
        <f>IF(ISERR(casostestes[[#This Row],[ID]]),"-",casostestes[[#This Row],[ID]])</f>
        <v>-</v>
      </c>
      <c r="C91" s="49" t="str">
        <f>IFERROR(IF(VLOOKUP($B91,casostestes[#Data],10)=0,"Não",VLOOKUP($B91,casostestes[#Data],10)), "-")</f>
        <v>-</v>
      </c>
      <c r="D91" s="50" t="str">
        <f>IFERROR(IF(VLOOKUP($B91,casostestes[#Data],2)=0,"-",VLOOKUP($B91,casostestes[#Data],2)), "-")</f>
        <v>-</v>
      </c>
      <c r="E91" s="50" t="str">
        <f>IFERROR(IF(VLOOKUP($B91,casostestes[#Data],3)=0,"-",VLOOKUP($B91,casostestes[#Data],3)), "-")</f>
        <v>-</v>
      </c>
      <c r="F91" s="50" t="str">
        <f>IFERROR(IF(VLOOKUP($B91,casostestes[#Data],4)=0,"-",VLOOKUP($B91,casostestes[#Data],4)),"-")</f>
        <v>-</v>
      </c>
      <c r="G91" s="50" t="str">
        <f>IFERROR(IF(VLOOKUP($B91,casostestes[#Data],5)=0,"-",VLOOKUP($B91,casostestes[#Data],5)),"-")</f>
        <v>-</v>
      </c>
      <c r="H91" s="50" t="str">
        <f>IFERROR(IF(VLOOKUP($B91,casostestes[#Data],6)=0,"-",VLOOKUP($B91,casostestes[#Data],6)),"-")</f>
        <v>-</v>
      </c>
      <c r="I91" s="50" t="str">
        <f>IFERROR(IF(VLOOKUP($B91,casostestes[#Data],8)=0,"-",VLOOKUP($B91,casostestes[#Data],8)),"-")</f>
        <v>-</v>
      </c>
      <c r="J91" s="50" t="str">
        <f>IFERROR(IF(VLOOKUP($B91,casostestes[#Data],9)=0,"-",VLOOKUP($B91,casostestes[#Data],9)),"-")</f>
        <v>-</v>
      </c>
      <c r="K91" s="51"/>
      <c r="L91" s="119"/>
      <c r="M91" s="53"/>
      <c r="N91" s="54"/>
      <c r="O91" s="54"/>
      <c r="P91" s="55"/>
    </row>
    <row r="92" spans="2:16">
      <c r="B92" s="56" t="str">
        <f>IF(ISERR(casostestes[[#This Row],[ID]]),"-",casostestes[[#This Row],[ID]])</f>
        <v>-</v>
      </c>
      <c r="C92" s="49" t="str">
        <f>IFERROR(IF(VLOOKUP($B92,casostestes[#Data],10)=0,"Não",VLOOKUP($B92,casostestes[#Data],10)), "-")</f>
        <v>-</v>
      </c>
      <c r="D92" s="50" t="str">
        <f>IFERROR(IF(VLOOKUP($B92,casostestes[#Data],2)=0,"-",VLOOKUP($B92,casostestes[#Data],2)), "-")</f>
        <v>-</v>
      </c>
      <c r="E92" s="50" t="str">
        <f>IFERROR(IF(VLOOKUP($B92,casostestes[#Data],3)=0,"-",VLOOKUP($B92,casostestes[#Data],3)), "-")</f>
        <v>-</v>
      </c>
      <c r="F92" s="50" t="str">
        <f>IFERROR(IF(VLOOKUP($B92,casostestes[#Data],4)=0,"-",VLOOKUP($B92,casostestes[#Data],4)),"-")</f>
        <v>-</v>
      </c>
      <c r="G92" s="50" t="str">
        <f>IFERROR(IF(VLOOKUP($B92,casostestes[#Data],5)=0,"-",VLOOKUP($B92,casostestes[#Data],5)),"-")</f>
        <v>-</v>
      </c>
      <c r="H92" s="50" t="str">
        <f>IFERROR(IF(VLOOKUP($B92,casostestes[#Data],6)=0,"-",VLOOKUP($B92,casostestes[#Data],6)),"-")</f>
        <v>-</v>
      </c>
      <c r="I92" s="50" t="str">
        <f>IFERROR(IF(VLOOKUP($B92,casostestes[#Data],8)=0,"-",VLOOKUP($B92,casostestes[#Data],8)),"-")</f>
        <v>-</v>
      </c>
      <c r="J92" s="50" t="str">
        <f>IFERROR(IF(VLOOKUP($B92,casostestes[#Data],9)=0,"-",VLOOKUP($B92,casostestes[#Data],9)),"-")</f>
        <v>-</v>
      </c>
      <c r="K92" s="51"/>
      <c r="L92" s="119"/>
      <c r="M92" s="53"/>
      <c r="N92" s="54"/>
      <c r="O92" s="54"/>
      <c r="P92" s="55"/>
    </row>
    <row r="93" spans="2:16">
      <c r="B93" s="56" t="str">
        <f>IF(ISERR(casostestes[[#This Row],[ID]]),"-",casostestes[[#This Row],[ID]])</f>
        <v>-</v>
      </c>
      <c r="C93" s="49" t="str">
        <f>IFERROR(IF(VLOOKUP($B93,casostestes[#Data],10)=0,"Não",VLOOKUP($B93,casostestes[#Data],10)), "-")</f>
        <v>-</v>
      </c>
      <c r="D93" s="50" t="str">
        <f>IFERROR(IF(VLOOKUP($B93,casostestes[#Data],2)=0,"-",VLOOKUP($B93,casostestes[#Data],2)), "-")</f>
        <v>-</v>
      </c>
      <c r="E93" s="50" t="str">
        <f>IFERROR(IF(VLOOKUP($B93,casostestes[#Data],3)=0,"-",VLOOKUP($B93,casostestes[#Data],3)), "-")</f>
        <v>-</v>
      </c>
      <c r="F93" s="50" t="str">
        <f>IFERROR(IF(VLOOKUP($B93,casostestes[#Data],4)=0,"-",VLOOKUP($B93,casostestes[#Data],4)),"-")</f>
        <v>-</v>
      </c>
      <c r="G93" s="50" t="str">
        <f>IFERROR(IF(VLOOKUP($B93,casostestes[#Data],5)=0,"-",VLOOKUP($B93,casostestes[#Data],5)),"-")</f>
        <v>-</v>
      </c>
      <c r="H93" s="50" t="str">
        <f>IFERROR(IF(VLOOKUP($B93,casostestes[#Data],6)=0,"-",VLOOKUP($B93,casostestes[#Data],6)),"-")</f>
        <v>-</v>
      </c>
      <c r="I93" s="50" t="str">
        <f>IFERROR(IF(VLOOKUP($B93,casostestes[#Data],8)=0,"-",VLOOKUP($B93,casostestes[#Data],8)),"-")</f>
        <v>-</v>
      </c>
      <c r="J93" s="50" t="str">
        <f>IFERROR(IF(VLOOKUP($B93,casostestes[#Data],9)=0,"-",VLOOKUP($B93,casostestes[#Data],9)),"-")</f>
        <v>-</v>
      </c>
      <c r="K93" s="51"/>
      <c r="L93" s="119"/>
      <c r="M93" s="53"/>
      <c r="N93" s="54"/>
      <c r="O93" s="54"/>
      <c r="P93" s="55"/>
    </row>
    <row r="94" spans="2:16">
      <c r="B94" s="56" t="str">
        <f>IF(ISERR(casostestes[[#This Row],[ID]]),"-",casostestes[[#This Row],[ID]])</f>
        <v>-</v>
      </c>
      <c r="C94" s="49" t="str">
        <f>IFERROR(IF(VLOOKUP($B94,casostestes[#Data],10)=0,"Não",VLOOKUP($B94,casostestes[#Data],10)), "-")</f>
        <v>-</v>
      </c>
      <c r="D94" s="50" t="str">
        <f>IFERROR(IF(VLOOKUP($B94,casostestes[#Data],2)=0,"-",VLOOKUP($B94,casostestes[#Data],2)), "-")</f>
        <v>-</v>
      </c>
      <c r="E94" s="50" t="str">
        <f>IFERROR(IF(VLOOKUP($B94,casostestes[#Data],3)=0,"-",VLOOKUP($B94,casostestes[#Data],3)), "-")</f>
        <v>-</v>
      </c>
      <c r="F94" s="50" t="str">
        <f>IFERROR(IF(VLOOKUP($B94,casostestes[#Data],4)=0,"-",VLOOKUP($B94,casostestes[#Data],4)),"-")</f>
        <v>-</v>
      </c>
      <c r="G94" s="50" t="str">
        <f>IFERROR(IF(VLOOKUP($B94,casostestes[#Data],5)=0,"-",VLOOKUP($B94,casostestes[#Data],5)),"-")</f>
        <v>-</v>
      </c>
      <c r="H94" s="50" t="str">
        <f>IFERROR(IF(VLOOKUP($B94,casostestes[#Data],6)=0,"-",VLOOKUP($B94,casostestes[#Data],6)),"-")</f>
        <v>-</v>
      </c>
      <c r="I94" s="50" t="str">
        <f>IFERROR(IF(VLOOKUP($B94,casostestes[#Data],8)=0,"-",VLOOKUP($B94,casostestes[#Data],8)),"-")</f>
        <v>-</v>
      </c>
      <c r="J94" s="50" t="str">
        <f>IFERROR(IF(VLOOKUP($B94,casostestes[#Data],9)=0,"-",VLOOKUP($B94,casostestes[#Data],9)),"-")</f>
        <v>-</v>
      </c>
      <c r="K94" s="51"/>
      <c r="L94" s="119"/>
      <c r="M94" s="53"/>
      <c r="N94" s="54"/>
      <c r="O94" s="54"/>
      <c r="P94" s="55"/>
    </row>
    <row r="95" spans="2:16">
      <c r="B95" s="56" t="str">
        <f>IF(ISERR(casostestes[[#This Row],[ID]]),"-",casostestes[[#This Row],[ID]])</f>
        <v>-</v>
      </c>
      <c r="C95" s="49" t="str">
        <f>IFERROR(IF(VLOOKUP($B95,casostestes[#Data],10)=0,"Não",VLOOKUP($B95,casostestes[#Data],10)), "-")</f>
        <v>-</v>
      </c>
      <c r="D95" s="50" t="str">
        <f>IFERROR(IF(VLOOKUP($B95,casostestes[#Data],2)=0,"-",VLOOKUP($B95,casostestes[#Data],2)), "-")</f>
        <v>-</v>
      </c>
      <c r="E95" s="50" t="str">
        <f>IFERROR(IF(VLOOKUP($B95,casostestes[#Data],3)=0,"-",VLOOKUP($B95,casostestes[#Data],3)), "-")</f>
        <v>-</v>
      </c>
      <c r="F95" s="50" t="str">
        <f>IFERROR(IF(VLOOKUP($B95,casostestes[#Data],4)=0,"-",VLOOKUP($B95,casostestes[#Data],4)),"-")</f>
        <v>-</v>
      </c>
      <c r="G95" s="50" t="str">
        <f>IFERROR(IF(VLOOKUP($B95,casostestes[#Data],5)=0,"-",VLOOKUP($B95,casostestes[#Data],5)),"-")</f>
        <v>-</v>
      </c>
      <c r="H95" s="50" t="str">
        <f>IFERROR(IF(VLOOKUP($B95,casostestes[#Data],6)=0,"-",VLOOKUP($B95,casostestes[#Data],6)),"-")</f>
        <v>-</v>
      </c>
      <c r="I95" s="50" t="str">
        <f>IFERROR(IF(VLOOKUP($B95,casostestes[#Data],8)=0,"-",VLOOKUP($B95,casostestes[#Data],8)),"-")</f>
        <v>-</v>
      </c>
      <c r="J95" s="50" t="str">
        <f>IFERROR(IF(VLOOKUP($B95,casostestes[#Data],9)=0,"-",VLOOKUP($B95,casostestes[#Data],9)),"-")</f>
        <v>-</v>
      </c>
      <c r="K95" s="51"/>
      <c r="L95" s="119"/>
      <c r="M95" s="53"/>
      <c r="N95" s="54"/>
      <c r="O95" s="54"/>
      <c r="P95" s="55"/>
    </row>
    <row r="96" spans="2:16">
      <c r="B96" s="56" t="str">
        <f>IF(ISERR(casostestes[[#This Row],[ID]]),"-",casostestes[[#This Row],[ID]])</f>
        <v>-</v>
      </c>
      <c r="C96" s="49" t="str">
        <f>IFERROR(IF(VLOOKUP($B96,casostestes[#Data],10)=0,"Não",VLOOKUP($B96,casostestes[#Data],10)), "-")</f>
        <v>-</v>
      </c>
      <c r="D96" s="50" t="str">
        <f>IFERROR(IF(VLOOKUP($B96,casostestes[#Data],2)=0,"-",VLOOKUP($B96,casostestes[#Data],2)), "-")</f>
        <v>-</v>
      </c>
      <c r="E96" s="50" t="str">
        <f>IFERROR(IF(VLOOKUP($B96,casostestes[#Data],3)=0,"-",VLOOKUP($B96,casostestes[#Data],3)), "-")</f>
        <v>-</v>
      </c>
      <c r="F96" s="50" t="str">
        <f>IFERROR(IF(VLOOKUP($B96,casostestes[#Data],4)=0,"-",VLOOKUP($B96,casostestes[#Data],4)),"-")</f>
        <v>-</v>
      </c>
      <c r="G96" s="50" t="str">
        <f>IFERROR(IF(VLOOKUP($B96,casostestes[#Data],5)=0,"-",VLOOKUP($B96,casostestes[#Data],5)),"-")</f>
        <v>-</v>
      </c>
      <c r="H96" s="50" t="str">
        <f>IFERROR(IF(VLOOKUP($B96,casostestes[#Data],6)=0,"-",VLOOKUP($B96,casostestes[#Data],6)),"-")</f>
        <v>-</v>
      </c>
      <c r="I96" s="50" t="str">
        <f>IFERROR(IF(VLOOKUP($B96,casostestes[#Data],8)=0,"-",VLOOKUP($B96,casostestes[#Data],8)),"-")</f>
        <v>-</v>
      </c>
      <c r="J96" s="50" t="str">
        <f>IFERROR(IF(VLOOKUP($B96,casostestes[#Data],9)=0,"-",VLOOKUP($B96,casostestes[#Data],9)),"-")</f>
        <v>-</v>
      </c>
      <c r="K96" s="51"/>
      <c r="L96" s="119"/>
      <c r="M96" s="53"/>
      <c r="N96" s="54"/>
      <c r="O96" s="54"/>
      <c r="P96" s="55"/>
    </row>
    <row r="97" spans="2:16">
      <c r="B97" s="56" t="str">
        <f>IF(ISERR(casostestes[[#This Row],[ID]]),"-",casostestes[[#This Row],[ID]])</f>
        <v>-</v>
      </c>
      <c r="C97" s="49" t="str">
        <f>IFERROR(IF(VLOOKUP($B97,casostestes[#Data],10)=0,"Não",VLOOKUP($B97,casostestes[#Data],10)), "-")</f>
        <v>-</v>
      </c>
      <c r="D97" s="50" t="str">
        <f>IFERROR(IF(VLOOKUP($B97,casostestes[#Data],2)=0,"-",VLOOKUP($B97,casostestes[#Data],2)), "-")</f>
        <v>-</v>
      </c>
      <c r="E97" s="50" t="str">
        <f>IFERROR(IF(VLOOKUP($B97,casostestes[#Data],3)=0,"-",VLOOKUP($B97,casostestes[#Data],3)), "-")</f>
        <v>-</v>
      </c>
      <c r="F97" s="50" t="str">
        <f>IFERROR(IF(VLOOKUP($B97,casostestes[#Data],4)=0,"-",VLOOKUP($B97,casostestes[#Data],4)),"-")</f>
        <v>-</v>
      </c>
      <c r="G97" s="50" t="str">
        <f>IFERROR(IF(VLOOKUP($B97,casostestes[#Data],5)=0,"-",VLOOKUP($B97,casostestes[#Data],5)),"-")</f>
        <v>-</v>
      </c>
      <c r="H97" s="50" t="str">
        <f>IFERROR(IF(VLOOKUP($B97,casostestes[#Data],6)=0,"-",VLOOKUP($B97,casostestes[#Data],6)),"-")</f>
        <v>-</v>
      </c>
      <c r="I97" s="50" t="str">
        <f>IFERROR(IF(VLOOKUP($B97,casostestes[#Data],8)=0,"-",VLOOKUP($B97,casostestes[#Data],8)),"-")</f>
        <v>-</v>
      </c>
      <c r="J97" s="50" t="str">
        <f>IFERROR(IF(VLOOKUP($B97,casostestes[#Data],9)=0,"-",VLOOKUP($B97,casostestes[#Data],9)),"-")</f>
        <v>-</v>
      </c>
      <c r="K97" s="51"/>
      <c r="L97" s="119"/>
      <c r="M97" s="53"/>
      <c r="N97" s="54"/>
      <c r="O97" s="54"/>
      <c r="P97" s="55"/>
    </row>
    <row r="98" spans="2:16">
      <c r="B98" s="56" t="str">
        <f>IF(ISERR(casostestes[[#This Row],[ID]]),"-",casostestes[[#This Row],[ID]])</f>
        <v>-</v>
      </c>
      <c r="C98" s="49" t="str">
        <f>IFERROR(IF(VLOOKUP($B98,casostestes[#Data],10)=0,"Não",VLOOKUP($B98,casostestes[#Data],10)), "-")</f>
        <v>-</v>
      </c>
      <c r="D98" s="50" t="str">
        <f>IFERROR(IF(VLOOKUP($B98,casostestes[#Data],2)=0,"-",VLOOKUP($B98,casostestes[#Data],2)), "-")</f>
        <v>-</v>
      </c>
      <c r="E98" s="50" t="str">
        <f>IFERROR(IF(VLOOKUP($B98,casostestes[#Data],3)=0,"-",VLOOKUP($B98,casostestes[#Data],3)), "-")</f>
        <v>-</v>
      </c>
      <c r="F98" s="50" t="str">
        <f>IFERROR(IF(VLOOKUP($B98,casostestes[#Data],4)=0,"-",VLOOKUP($B98,casostestes[#Data],4)),"-")</f>
        <v>-</v>
      </c>
      <c r="G98" s="50" t="str">
        <f>IFERROR(IF(VLOOKUP($B98,casostestes[#Data],5)=0,"-",VLOOKUP($B98,casostestes[#Data],5)),"-")</f>
        <v>-</v>
      </c>
      <c r="H98" s="50" t="str">
        <f>IFERROR(IF(VLOOKUP($B98,casostestes[#Data],6)=0,"-",VLOOKUP($B98,casostestes[#Data],6)),"-")</f>
        <v>-</v>
      </c>
      <c r="I98" s="50" t="str">
        <f>IFERROR(IF(VLOOKUP($B98,casostestes[#Data],8)=0,"-",VLOOKUP($B98,casostestes[#Data],8)),"-")</f>
        <v>-</v>
      </c>
      <c r="J98" s="50" t="str">
        <f>IFERROR(IF(VLOOKUP($B98,casostestes[#Data],9)=0,"-",VLOOKUP($B98,casostestes[#Data],9)),"-")</f>
        <v>-</v>
      </c>
      <c r="K98" s="51"/>
      <c r="L98" s="119"/>
      <c r="M98" s="53"/>
      <c r="N98" s="54"/>
      <c r="O98" s="54"/>
      <c r="P98" s="55"/>
    </row>
    <row r="99" spans="2:16">
      <c r="B99" s="56" t="str">
        <f>IF(ISERR(casostestes[[#This Row],[ID]]),"-",casostestes[[#This Row],[ID]])</f>
        <v>-</v>
      </c>
      <c r="C99" s="49" t="str">
        <f>IFERROR(IF(VLOOKUP($B99,casostestes[#Data],10)=0,"Não",VLOOKUP($B99,casostestes[#Data],10)), "-")</f>
        <v>-</v>
      </c>
      <c r="D99" s="50" t="str">
        <f>IFERROR(IF(VLOOKUP($B99,casostestes[#Data],2)=0,"-",VLOOKUP($B99,casostestes[#Data],2)), "-")</f>
        <v>-</v>
      </c>
      <c r="E99" s="50" t="str">
        <f>IFERROR(IF(VLOOKUP($B99,casostestes[#Data],3)=0,"-",VLOOKUP($B99,casostestes[#Data],3)), "-")</f>
        <v>-</v>
      </c>
      <c r="F99" s="50" t="str">
        <f>IFERROR(IF(VLOOKUP($B99,casostestes[#Data],4)=0,"-",VLOOKUP($B99,casostestes[#Data],4)),"-")</f>
        <v>-</v>
      </c>
      <c r="G99" s="50" t="str">
        <f>IFERROR(IF(VLOOKUP($B99,casostestes[#Data],5)=0,"-",VLOOKUP($B99,casostestes[#Data],5)),"-")</f>
        <v>-</v>
      </c>
      <c r="H99" s="50" t="str">
        <f>IFERROR(IF(VLOOKUP($B99,casostestes[#Data],6)=0,"-",VLOOKUP($B99,casostestes[#Data],6)),"-")</f>
        <v>-</v>
      </c>
      <c r="I99" s="50" t="str">
        <f>IFERROR(IF(VLOOKUP($B99,casostestes[#Data],8)=0,"-",VLOOKUP($B99,casostestes[#Data],8)),"-")</f>
        <v>-</v>
      </c>
      <c r="J99" s="50" t="str">
        <f>IFERROR(IF(VLOOKUP($B99,casostestes[#Data],9)=0,"-",VLOOKUP($B99,casostestes[#Data],9)),"-")</f>
        <v>-</v>
      </c>
      <c r="K99" s="51"/>
      <c r="L99" s="119"/>
      <c r="M99" s="53"/>
      <c r="N99" s="54"/>
      <c r="O99" s="54"/>
      <c r="P99" s="55"/>
    </row>
    <row r="100" spans="2:16">
      <c r="B100" s="56" t="str">
        <f>IF(ISERR(casostestes[[#This Row],[ID]]),"-",casostestes[[#This Row],[ID]])</f>
        <v>-</v>
      </c>
      <c r="C100" s="58" t="str">
        <f>IFERROR(IF(VLOOKUP($B100,casostestes[#Data],10)=0,"Não",VLOOKUP($B100,casostestes[#Data],10)), "-")</f>
        <v>-</v>
      </c>
      <c r="D100" s="59" t="str">
        <f>IFERROR(IF(VLOOKUP($B100,casostestes[#Data],2)=0,"-",VLOOKUP($B100,casostestes[#Data],2)), "-")</f>
        <v>-</v>
      </c>
      <c r="E100" s="59" t="str">
        <f>IFERROR(IF(VLOOKUP($B100,casostestes[#Data],3)=0,"-",VLOOKUP($B100,casostestes[#Data],3)), "-")</f>
        <v>-</v>
      </c>
      <c r="F100" s="59" t="str">
        <f>IFERROR(IF(VLOOKUP($B100,casostestes[#Data],4)=0,"-",VLOOKUP($B100,casostestes[#Data],4)),"-")</f>
        <v>-</v>
      </c>
      <c r="G100" s="59" t="str">
        <f>IFERROR(IF(VLOOKUP($B100,casostestes[#Data],5)=0,"-",VLOOKUP($B100,casostestes[#Data],5)),"-")</f>
        <v>-</v>
      </c>
      <c r="H100" s="59" t="str">
        <f>IFERROR(IF(VLOOKUP($B100,casostestes[#Data],6)=0,"-",VLOOKUP($B100,casostestes[#Data],6)),"-")</f>
        <v>-</v>
      </c>
      <c r="I100" s="59" t="str">
        <f>IFERROR(IF(VLOOKUP($B100,casostestes[#Data],8)=0,"-",VLOOKUP($B100,casostestes[#Data],8)),"-")</f>
        <v>-</v>
      </c>
      <c r="J100" s="59" t="str">
        <f>IFERROR(IF(VLOOKUP($B100,casostestes[#Data],9)=0,"-",VLOOKUP($B100,casostestes[#Data],9)),"-")</f>
        <v>-</v>
      </c>
      <c r="K100" s="60"/>
      <c r="L100" s="119"/>
      <c r="M100" s="61"/>
      <c r="N100" s="62"/>
      <c r="O100" s="62"/>
      <c r="P100" s="63"/>
    </row>
    <row r="101" spans="2:16">
      <c r="B101" s="56" t="str">
        <f>IF(ISERR(casostestes[[#This Row],[ID]]),"-",casostestes[[#This Row],[ID]])</f>
        <v>-</v>
      </c>
      <c r="C101" s="49" t="str">
        <f>IFERROR(IF(VLOOKUP($B101,casostestes[#Data],10)=0,"Não",VLOOKUP($B101,casostestes[#Data],10)), "-")</f>
        <v>-</v>
      </c>
      <c r="D101" s="50" t="str">
        <f>IFERROR(IF(VLOOKUP($B101,casostestes[#Data],2)=0,"-",VLOOKUP($B101,casostestes[#Data],2)), "-")</f>
        <v>-</v>
      </c>
      <c r="E101" s="50" t="str">
        <f>IFERROR(IF(VLOOKUP($B101,casostestes[#Data],3)=0,"-",VLOOKUP($B101,casostestes[#Data],3)), "-")</f>
        <v>-</v>
      </c>
      <c r="F101" s="50" t="str">
        <f>IFERROR(IF(VLOOKUP($B101,casostestes[#Data],4)=0,"-",VLOOKUP($B101,casostestes[#Data],4)),"-")</f>
        <v>-</v>
      </c>
      <c r="G101" s="50" t="str">
        <f>IFERROR(IF(VLOOKUP($B101,casostestes[#Data],5)=0,"-",VLOOKUP($B101,casostestes[#Data],5)),"-")</f>
        <v>-</v>
      </c>
      <c r="H101" s="50" t="str">
        <f>IFERROR(IF(VLOOKUP($B101,casostestes[#Data],6)=0,"-",VLOOKUP($B101,casostestes[#Data],6)),"-")</f>
        <v>-</v>
      </c>
      <c r="I101" s="50" t="str">
        <f>IFERROR(IF(VLOOKUP($B101,casostestes[#Data],8)=0,"-",VLOOKUP($B101,casostestes[#Data],8)),"-")</f>
        <v>-</v>
      </c>
      <c r="J101" s="50" t="str">
        <f>IFERROR(IF(VLOOKUP($B101,casostestes[#Data],9)=0,"-",VLOOKUP($B101,casostestes[#Data],9)),"-")</f>
        <v>-</v>
      </c>
      <c r="K101" s="51"/>
      <c r="L101" s="119"/>
      <c r="M101" s="53"/>
      <c r="N101" s="54"/>
      <c r="O101" s="54"/>
      <c r="P101" s="55"/>
    </row>
    <row r="102" spans="2:16">
      <c r="B102" s="56" t="str">
        <f>IF(ISERR(casostestes[[#This Row],[ID]]),"-",casostestes[[#This Row],[ID]])</f>
        <v>-</v>
      </c>
      <c r="C102" s="49" t="str">
        <f>IFERROR(IF(VLOOKUP($B102,casostestes[#Data],10)=0,"Não",VLOOKUP($B102,casostestes[#Data],10)), "-")</f>
        <v>-</v>
      </c>
      <c r="D102" s="50" t="str">
        <f>IFERROR(IF(VLOOKUP($B102,casostestes[#Data],2)=0,"-",VLOOKUP($B102,casostestes[#Data],2)), "-")</f>
        <v>-</v>
      </c>
      <c r="E102" s="50" t="str">
        <f>IFERROR(IF(VLOOKUP($B102,casostestes[#Data],3)=0,"-",VLOOKUP($B102,casostestes[#Data],3)), "-")</f>
        <v>-</v>
      </c>
      <c r="F102" s="50" t="str">
        <f>IFERROR(IF(VLOOKUP($B102,casostestes[#Data],4)=0,"-",VLOOKUP($B102,casostestes[#Data],4)),"-")</f>
        <v>-</v>
      </c>
      <c r="G102" s="50" t="str">
        <f>IFERROR(IF(VLOOKUP($B102,casostestes[#Data],5)=0,"-",VLOOKUP($B102,casostestes[#Data],5)),"-")</f>
        <v>-</v>
      </c>
      <c r="H102" s="50" t="str">
        <f>IFERROR(IF(VLOOKUP($B102,casostestes[#Data],6)=0,"-",VLOOKUP($B102,casostestes[#Data],6)),"-")</f>
        <v>-</v>
      </c>
      <c r="I102" s="50" t="str">
        <f>IFERROR(IF(VLOOKUP($B102,casostestes[#Data],8)=0,"-",VLOOKUP($B102,casostestes[#Data],8)),"-")</f>
        <v>-</v>
      </c>
      <c r="J102" s="50" t="str">
        <f>IFERROR(IF(VLOOKUP($B102,casostestes[#Data],9)=0,"-",VLOOKUP($B102,casostestes[#Data],9)),"-")</f>
        <v>-</v>
      </c>
      <c r="K102" s="51"/>
      <c r="L102" s="119"/>
      <c r="M102" s="53"/>
      <c r="N102" s="54"/>
      <c r="O102" s="54"/>
      <c r="P102" s="55"/>
    </row>
    <row r="103" spans="2:16">
      <c r="B103" s="56" t="str">
        <f>IF(ISERR(casostestes[[#This Row],[ID]]),"-",casostestes[[#This Row],[ID]])</f>
        <v>-</v>
      </c>
      <c r="C103" s="49" t="str">
        <f>IFERROR(IF(VLOOKUP($B103,casostestes[#Data],10)=0,"Não",VLOOKUP($B103,casostestes[#Data],10)), "-")</f>
        <v>-</v>
      </c>
      <c r="D103" s="50" t="str">
        <f>IFERROR(IF(VLOOKUP($B103,casostestes[#Data],2)=0,"-",VLOOKUP($B103,casostestes[#Data],2)), "-")</f>
        <v>-</v>
      </c>
      <c r="E103" s="50" t="str">
        <f>IFERROR(IF(VLOOKUP($B103,casostestes[#Data],3)=0,"-",VLOOKUP($B103,casostestes[#Data],3)), "-")</f>
        <v>-</v>
      </c>
      <c r="F103" s="50" t="str">
        <f>IFERROR(IF(VLOOKUP($B103,casostestes[#Data],4)=0,"-",VLOOKUP($B103,casostestes[#Data],4)),"-")</f>
        <v>-</v>
      </c>
      <c r="G103" s="50" t="str">
        <f>IFERROR(IF(VLOOKUP($B103,casostestes[#Data],5)=0,"-",VLOOKUP($B103,casostestes[#Data],5)),"-")</f>
        <v>-</v>
      </c>
      <c r="H103" s="50" t="str">
        <f>IFERROR(IF(VLOOKUP($B103,casostestes[#Data],6)=0,"-",VLOOKUP($B103,casostestes[#Data],6)),"-")</f>
        <v>-</v>
      </c>
      <c r="I103" s="50" t="str">
        <f>IFERROR(IF(VLOOKUP($B103,casostestes[#Data],8)=0,"-",VLOOKUP($B103,casostestes[#Data],8)),"-")</f>
        <v>-</v>
      </c>
      <c r="J103" s="50" t="str">
        <f>IFERROR(IF(VLOOKUP($B103,casostestes[#Data],9)=0,"-",VLOOKUP($B103,casostestes[#Data],9)),"-")</f>
        <v>-</v>
      </c>
      <c r="K103" s="51"/>
      <c r="L103" s="119"/>
      <c r="M103" s="53"/>
      <c r="N103" s="54"/>
      <c r="O103" s="54"/>
      <c r="P103" s="55"/>
    </row>
    <row r="104" spans="2:16">
      <c r="B104" s="56" t="str">
        <f>IF(ISERR(casostestes[[#This Row],[ID]]),"-",casostestes[[#This Row],[ID]])</f>
        <v>-</v>
      </c>
      <c r="C104" s="49" t="str">
        <f>IFERROR(IF(VLOOKUP($B104,casostestes[#Data],10)=0,"Não",VLOOKUP($B104,casostestes[#Data],10)), "-")</f>
        <v>-</v>
      </c>
      <c r="D104" s="50" t="str">
        <f>IFERROR(IF(VLOOKUP($B104,casostestes[#Data],2)=0,"-",VLOOKUP($B104,casostestes[#Data],2)), "-")</f>
        <v>-</v>
      </c>
      <c r="E104" s="50" t="str">
        <f>IFERROR(IF(VLOOKUP($B104,casostestes[#Data],3)=0,"-",VLOOKUP($B104,casostestes[#Data],3)), "-")</f>
        <v>-</v>
      </c>
      <c r="F104" s="50" t="str">
        <f>IFERROR(IF(VLOOKUP($B104,casostestes[#Data],4)=0,"-",VLOOKUP($B104,casostestes[#Data],4)),"-")</f>
        <v>-</v>
      </c>
      <c r="G104" s="50" t="str">
        <f>IFERROR(IF(VLOOKUP($B104,casostestes[#Data],5)=0,"-",VLOOKUP($B104,casostestes[#Data],5)),"-")</f>
        <v>-</v>
      </c>
      <c r="H104" s="50" t="str">
        <f>IFERROR(IF(VLOOKUP($B104,casostestes[#Data],6)=0,"-",VLOOKUP($B104,casostestes[#Data],6)),"-")</f>
        <v>-</v>
      </c>
      <c r="I104" s="50" t="str">
        <f>IFERROR(IF(VLOOKUP($B104,casostestes[#Data],8)=0,"-",VLOOKUP($B104,casostestes[#Data],8)),"-")</f>
        <v>-</v>
      </c>
      <c r="J104" s="50" t="str">
        <f>IFERROR(IF(VLOOKUP($B104,casostestes[#Data],9)=0,"-",VLOOKUP($B104,casostestes[#Data],9)),"-")</f>
        <v>-</v>
      </c>
      <c r="K104" s="51"/>
      <c r="L104" s="119"/>
      <c r="M104" s="53"/>
      <c r="N104" s="54"/>
      <c r="O104" s="54"/>
      <c r="P104" s="55"/>
    </row>
    <row r="105" spans="2:16">
      <c r="B105" s="56" t="str">
        <f>IF(ISERR(casostestes[[#This Row],[ID]]),"-",casostestes[[#This Row],[ID]])</f>
        <v>-</v>
      </c>
      <c r="C105" s="49" t="str">
        <f>IFERROR(IF(VLOOKUP($B105,casostestes[#Data],10)=0,"Não",VLOOKUP($B105,casostestes[#Data],10)), "-")</f>
        <v>-</v>
      </c>
      <c r="D105" s="50" t="str">
        <f>IFERROR(IF(VLOOKUP($B105,casostestes[#Data],2)=0,"-",VLOOKUP($B105,casostestes[#Data],2)), "-")</f>
        <v>-</v>
      </c>
      <c r="E105" s="50" t="str">
        <f>IFERROR(IF(VLOOKUP($B105,casostestes[#Data],3)=0,"-",VLOOKUP($B105,casostestes[#Data],3)), "-")</f>
        <v>-</v>
      </c>
      <c r="F105" s="50" t="str">
        <f>IFERROR(IF(VLOOKUP($B105,casostestes[#Data],4)=0,"-",VLOOKUP($B105,casostestes[#Data],4)),"-")</f>
        <v>-</v>
      </c>
      <c r="G105" s="50" t="str">
        <f>IFERROR(IF(VLOOKUP($B105,casostestes[#Data],5)=0,"-",VLOOKUP($B105,casostestes[#Data],5)),"-")</f>
        <v>-</v>
      </c>
      <c r="H105" s="50" t="str">
        <f>IFERROR(IF(VLOOKUP($B105,casostestes[#Data],6)=0,"-",VLOOKUP($B105,casostestes[#Data],6)),"-")</f>
        <v>-</v>
      </c>
      <c r="I105" s="50" t="str">
        <f>IFERROR(IF(VLOOKUP($B105,casostestes[#Data],8)=0,"-",VLOOKUP($B105,casostestes[#Data],8)),"-")</f>
        <v>-</v>
      </c>
      <c r="J105" s="50" t="str">
        <f>IFERROR(IF(VLOOKUP($B105,casostestes[#Data],9)=0,"-",VLOOKUP($B105,casostestes[#Data],9)),"-")</f>
        <v>-</v>
      </c>
      <c r="K105" s="51"/>
      <c r="L105" s="119"/>
      <c r="M105" s="53"/>
      <c r="N105" s="54"/>
      <c r="O105" s="54"/>
      <c r="P105" s="55"/>
    </row>
    <row r="106" spans="2:16">
      <c r="B106" s="56" t="str">
        <f>IF(ISERR(casostestes[[#This Row],[ID]]),"-",casostestes[[#This Row],[ID]])</f>
        <v>-</v>
      </c>
      <c r="C106" s="49" t="str">
        <f>IFERROR(IF(VLOOKUP($B106,casostestes[#Data],10)=0,"Não",VLOOKUP($B106,casostestes[#Data],10)), "-")</f>
        <v>-</v>
      </c>
      <c r="D106" s="50" t="str">
        <f>IFERROR(IF(VLOOKUP($B106,casostestes[#Data],2)=0,"-",VLOOKUP($B106,casostestes[#Data],2)), "-")</f>
        <v>-</v>
      </c>
      <c r="E106" s="50" t="str">
        <f>IFERROR(IF(VLOOKUP($B106,casostestes[#Data],3)=0,"-",VLOOKUP($B106,casostestes[#Data],3)), "-")</f>
        <v>-</v>
      </c>
      <c r="F106" s="50" t="str">
        <f>IFERROR(IF(VLOOKUP($B106,casostestes[#Data],4)=0,"-",VLOOKUP($B106,casostestes[#Data],4)),"-")</f>
        <v>-</v>
      </c>
      <c r="G106" s="50" t="str">
        <f>IFERROR(IF(VLOOKUP($B106,casostestes[#Data],5)=0,"-",VLOOKUP($B106,casostestes[#Data],5)),"-")</f>
        <v>-</v>
      </c>
      <c r="H106" s="50" t="str">
        <f>IFERROR(IF(VLOOKUP($B106,casostestes[#Data],6)=0,"-",VLOOKUP($B106,casostestes[#Data],6)),"-")</f>
        <v>-</v>
      </c>
      <c r="I106" s="50" t="str">
        <f>IFERROR(IF(VLOOKUP($B106,casostestes[#Data],8)=0,"-",VLOOKUP($B106,casostestes[#Data],8)),"-")</f>
        <v>-</v>
      </c>
      <c r="J106" s="50" t="str">
        <f>IFERROR(IF(VLOOKUP($B106,casostestes[#Data],9)=0,"-",VLOOKUP($B106,casostestes[#Data],9)),"-")</f>
        <v>-</v>
      </c>
      <c r="K106" s="51"/>
      <c r="L106" s="119"/>
      <c r="M106" s="53"/>
      <c r="N106" s="54"/>
      <c r="O106" s="54"/>
      <c r="P106" s="55"/>
    </row>
    <row r="107" spans="2:16">
      <c r="B107" s="56" t="str">
        <f>IF(ISERR(casostestes[[#This Row],[ID]]),"-",casostestes[[#This Row],[ID]])</f>
        <v>-</v>
      </c>
      <c r="C107" s="49" t="str">
        <f>IFERROR(IF(VLOOKUP($B107,casostestes[#Data],10)=0,"Não",VLOOKUP($B107,casostestes[#Data],10)), "-")</f>
        <v>-</v>
      </c>
      <c r="D107" s="50" t="str">
        <f>IFERROR(IF(VLOOKUP($B107,casostestes[#Data],2)=0,"-",VLOOKUP($B107,casostestes[#Data],2)), "-")</f>
        <v>-</v>
      </c>
      <c r="E107" s="50" t="str">
        <f>IFERROR(IF(VLOOKUP($B107,casostestes[#Data],3)=0,"-",VLOOKUP($B107,casostestes[#Data],3)), "-")</f>
        <v>-</v>
      </c>
      <c r="F107" s="50" t="str">
        <f>IFERROR(IF(VLOOKUP($B107,casostestes[#Data],4)=0,"-",VLOOKUP($B107,casostestes[#Data],4)),"-")</f>
        <v>-</v>
      </c>
      <c r="G107" s="50" t="str">
        <f>IFERROR(IF(VLOOKUP($B107,casostestes[#Data],5)=0,"-",VLOOKUP($B107,casostestes[#Data],5)),"-")</f>
        <v>-</v>
      </c>
      <c r="H107" s="50" t="str">
        <f>IFERROR(IF(VLOOKUP($B107,casostestes[#Data],6)=0,"-",VLOOKUP($B107,casostestes[#Data],6)),"-")</f>
        <v>-</v>
      </c>
      <c r="I107" s="50" t="str">
        <f>IFERROR(IF(VLOOKUP($B107,casostestes[#Data],8)=0,"-",VLOOKUP($B107,casostestes[#Data],8)),"-")</f>
        <v>-</v>
      </c>
      <c r="J107" s="50" t="str">
        <f>IFERROR(IF(VLOOKUP($B107,casostestes[#Data],9)=0,"-",VLOOKUP($B107,casostestes[#Data],9)),"-")</f>
        <v>-</v>
      </c>
      <c r="K107" s="51"/>
      <c r="L107" s="119"/>
      <c r="M107" s="53"/>
      <c r="N107" s="54"/>
      <c r="O107" s="54"/>
      <c r="P107" s="55"/>
    </row>
    <row r="108" spans="2:16">
      <c r="B108" s="56" t="str">
        <f>IF(ISERR(casostestes[[#This Row],[ID]]),"-",casostestes[[#This Row],[ID]])</f>
        <v>-</v>
      </c>
      <c r="C108" s="49" t="str">
        <f>IFERROR(IF(VLOOKUP($B108,casostestes[#Data],10)=0,"Não",VLOOKUP($B108,casostestes[#Data],10)), "-")</f>
        <v>-</v>
      </c>
      <c r="D108" s="50" t="str">
        <f>IFERROR(IF(VLOOKUP($B108,casostestes[#Data],2)=0,"-",VLOOKUP($B108,casostestes[#Data],2)), "-")</f>
        <v>-</v>
      </c>
      <c r="E108" s="50" t="str">
        <f>IFERROR(IF(VLOOKUP($B108,casostestes[#Data],3)=0,"-",VLOOKUP($B108,casostestes[#Data],3)), "-")</f>
        <v>-</v>
      </c>
      <c r="F108" s="50" t="str">
        <f>IFERROR(IF(VLOOKUP($B108,casostestes[#Data],4)=0,"-",VLOOKUP($B108,casostestes[#Data],4)),"-")</f>
        <v>-</v>
      </c>
      <c r="G108" s="50" t="str">
        <f>IFERROR(IF(VLOOKUP($B108,casostestes[#Data],5)=0,"-",VLOOKUP($B108,casostestes[#Data],5)),"-")</f>
        <v>-</v>
      </c>
      <c r="H108" s="50" t="str">
        <f>IFERROR(IF(VLOOKUP($B108,casostestes[#Data],6)=0,"-",VLOOKUP($B108,casostestes[#Data],6)),"-")</f>
        <v>-</v>
      </c>
      <c r="I108" s="50" t="str">
        <f>IFERROR(IF(VLOOKUP($B108,casostestes[#Data],8)=0,"-",VLOOKUP($B108,casostestes[#Data],8)),"-")</f>
        <v>-</v>
      </c>
      <c r="J108" s="50" t="str">
        <f>IFERROR(IF(VLOOKUP($B108,casostestes[#Data],9)=0,"-",VLOOKUP($B108,casostestes[#Data],9)),"-")</f>
        <v>-</v>
      </c>
      <c r="K108" s="51"/>
      <c r="L108" s="119"/>
      <c r="M108" s="53"/>
      <c r="N108" s="54"/>
      <c r="O108" s="54"/>
      <c r="P108" s="55"/>
    </row>
    <row r="109" spans="2:16">
      <c r="B109" s="56" t="str">
        <f>IF(ISERR(casostestes[[#This Row],[ID]]),"-",casostestes[[#This Row],[ID]])</f>
        <v>-</v>
      </c>
      <c r="C109" s="49" t="str">
        <f>IFERROR(IF(VLOOKUP($B109,casostestes[#Data],10)=0,"Não",VLOOKUP($B109,casostestes[#Data],10)), "-")</f>
        <v>-</v>
      </c>
      <c r="D109" s="50" t="str">
        <f>IFERROR(IF(VLOOKUP($B109,casostestes[#Data],2)=0,"-",VLOOKUP($B109,casostestes[#Data],2)), "-")</f>
        <v>-</v>
      </c>
      <c r="E109" s="50" t="str">
        <f>IFERROR(IF(VLOOKUP($B109,casostestes[#Data],3)=0,"-",VLOOKUP($B109,casostestes[#Data],3)), "-")</f>
        <v>-</v>
      </c>
      <c r="F109" s="50" t="str">
        <f>IFERROR(IF(VLOOKUP($B109,casostestes[#Data],4)=0,"-",VLOOKUP($B109,casostestes[#Data],4)),"-")</f>
        <v>-</v>
      </c>
      <c r="G109" s="50" t="str">
        <f>IFERROR(IF(VLOOKUP($B109,casostestes[#Data],5)=0,"-",VLOOKUP($B109,casostestes[#Data],5)),"-")</f>
        <v>-</v>
      </c>
      <c r="H109" s="50" t="str">
        <f>IFERROR(IF(VLOOKUP($B109,casostestes[#Data],6)=0,"-",VLOOKUP($B109,casostestes[#Data],6)),"-")</f>
        <v>-</v>
      </c>
      <c r="I109" s="50" t="str">
        <f>IFERROR(IF(VLOOKUP($B109,casostestes[#Data],8)=0,"-",VLOOKUP($B109,casostestes[#Data],8)),"-")</f>
        <v>-</v>
      </c>
      <c r="J109" s="50" t="str">
        <f>IFERROR(IF(VLOOKUP($B109,casostestes[#Data],9)=0,"-",VLOOKUP($B109,casostestes[#Data],9)),"-")</f>
        <v>-</v>
      </c>
      <c r="K109" s="51"/>
      <c r="L109" s="119"/>
      <c r="M109" s="53"/>
      <c r="N109" s="54"/>
      <c r="O109" s="54"/>
      <c r="P109" s="55"/>
    </row>
    <row r="110" spans="2:16">
      <c r="B110" s="56" t="str">
        <f>IF(ISERR(casostestes[[#This Row],[ID]]),"-",casostestes[[#This Row],[ID]])</f>
        <v>-</v>
      </c>
      <c r="C110" s="49" t="str">
        <f>IFERROR(IF(VLOOKUP($B110,casostestes[#Data],10)=0,"Não",VLOOKUP($B110,casostestes[#Data],10)), "-")</f>
        <v>-</v>
      </c>
      <c r="D110" s="50" t="str">
        <f>IFERROR(IF(VLOOKUP($B110,casostestes[#Data],2)=0,"-",VLOOKUP($B110,casostestes[#Data],2)), "-")</f>
        <v>-</v>
      </c>
      <c r="E110" s="50" t="str">
        <f>IFERROR(IF(VLOOKUP($B110,casostestes[#Data],3)=0,"-",VLOOKUP($B110,casostestes[#Data],3)), "-")</f>
        <v>-</v>
      </c>
      <c r="F110" s="50" t="str">
        <f>IFERROR(IF(VLOOKUP($B110,casostestes[#Data],4)=0,"-",VLOOKUP($B110,casostestes[#Data],4)),"-")</f>
        <v>-</v>
      </c>
      <c r="G110" s="50" t="str">
        <f>IFERROR(IF(VLOOKUP($B110,casostestes[#Data],5)=0,"-",VLOOKUP($B110,casostestes[#Data],5)),"-")</f>
        <v>-</v>
      </c>
      <c r="H110" s="50" t="str">
        <f>IFERROR(IF(VLOOKUP($B110,casostestes[#Data],6)=0,"-",VLOOKUP($B110,casostestes[#Data],6)),"-")</f>
        <v>-</v>
      </c>
      <c r="I110" s="50" t="str">
        <f>IFERROR(IF(VLOOKUP($B110,casostestes[#Data],8)=0,"-",VLOOKUP($B110,casostestes[#Data],8)),"-")</f>
        <v>-</v>
      </c>
      <c r="J110" s="50" t="str">
        <f>IFERROR(IF(VLOOKUP($B110,casostestes[#Data],9)=0,"-",VLOOKUP($B110,casostestes[#Data],9)),"-")</f>
        <v>-</v>
      </c>
      <c r="K110" s="51"/>
      <c r="L110" s="119"/>
      <c r="M110" s="53"/>
      <c r="N110" s="54"/>
      <c r="O110" s="54"/>
      <c r="P110" s="55"/>
    </row>
    <row r="111" spans="2:16">
      <c r="B111" s="56" t="str">
        <f>IF(ISERR(casostestes[[#This Row],[ID]]),"-",casostestes[[#This Row],[ID]])</f>
        <v>-</v>
      </c>
      <c r="C111" s="49" t="str">
        <f>IFERROR(IF(VLOOKUP($B111,casostestes[#Data],10)=0,"Não",VLOOKUP($B111,casostestes[#Data],10)), "-")</f>
        <v>-</v>
      </c>
      <c r="D111" s="50" t="str">
        <f>IFERROR(IF(VLOOKUP($B111,casostestes[#Data],2)=0,"-",VLOOKUP($B111,casostestes[#Data],2)), "-")</f>
        <v>-</v>
      </c>
      <c r="E111" s="50" t="str">
        <f>IFERROR(IF(VLOOKUP($B111,casostestes[#Data],3)=0,"-",VLOOKUP($B111,casostestes[#Data],3)), "-")</f>
        <v>-</v>
      </c>
      <c r="F111" s="50" t="str">
        <f>IFERROR(IF(VLOOKUP($B111,casostestes[#Data],4)=0,"-",VLOOKUP($B111,casostestes[#Data],4)),"-")</f>
        <v>-</v>
      </c>
      <c r="G111" s="50" t="str">
        <f>IFERROR(IF(VLOOKUP($B111,casostestes[#Data],5)=0,"-",VLOOKUP($B111,casostestes[#Data],5)),"-")</f>
        <v>-</v>
      </c>
      <c r="H111" s="50" t="str">
        <f>IFERROR(IF(VLOOKUP($B111,casostestes[#Data],6)=0,"-",VLOOKUP($B111,casostestes[#Data],6)),"-")</f>
        <v>-</v>
      </c>
      <c r="I111" s="50" t="str">
        <f>IFERROR(IF(VLOOKUP($B111,casostestes[#Data],8)=0,"-",VLOOKUP($B111,casostestes[#Data],8)),"-")</f>
        <v>-</v>
      </c>
      <c r="J111" s="50" t="str">
        <f>IFERROR(IF(VLOOKUP($B111,casostestes[#Data],9)=0,"-",VLOOKUP($B111,casostestes[#Data],9)),"-")</f>
        <v>-</v>
      </c>
      <c r="K111" s="51"/>
      <c r="L111" s="119"/>
      <c r="M111" s="53"/>
      <c r="N111" s="54"/>
      <c r="O111" s="54"/>
      <c r="P111" s="55"/>
    </row>
    <row r="112" spans="2:16">
      <c r="B112" s="56" t="str">
        <f>IF(ISERR(casostestes[[#This Row],[ID]]),"-",casostestes[[#This Row],[ID]])</f>
        <v>-</v>
      </c>
      <c r="C112" s="49" t="str">
        <f>IFERROR(IF(VLOOKUP($B112,casostestes[#Data],10)=0,"Não",VLOOKUP($B112,casostestes[#Data],10)), "-")</f>
        <v>-</v>
      </c>
      <c r="D112" s="50" t="str">
        <f>IFERROR(IF(VLOOKUP($B112,casostestes[#Data],2)=0,"-",VLOOKUP($B112,casostestes[#Data],2)), "-")</f>
        <v>-</v>
      </c>
      <c r="E112" s="50" t="str">
        <f>IFERROR(IF(VLOOKUP($B112,casostestes[#Data],3)=0,"-",VLOOKUP($B112,casostestes[#Data],3)), "-")</f>
        <v>-</v>
      </c>
      <c r="F112" s="50" t="str">
        <f>IFERROR(IF(VLOOKUP($B112,casostestes[#Data],4)=0,"-",VLOOKUP($B112,casostestes[#Data],4)),"-")</f>
        <v>-</v>
      </c>
      <c r="G112" s="50" t="str">
        <f>IFERROR(IF(VLOOKUP($B112,casostestes[#Data],5)=0,"-",VLOOKUP($B112,casostestes[#Data],5)),"-")</f>
        <v>-</v>
      </c>
      <c r="H112" s="50" t="str">
        <f>IFERROR(IF(VLOOKUP($B112,casostestes[#Data],6)=0,"-",VLOOKUP($B112,casostestes[#Data],6)),"-")</f>
        <v>-</v>
      </c>
      <c r="I112" s="50" t="str">
        <f>IFERROR(IF(VLOOKUP($B112,casostestes[#Data],8)=0,"-",VLOOKUP($B112,casostestes[#Data],8)),"-")</f>
        <v>-</v>
      </c>
      <c r="J112" s="50" t="str">
        <f>IFERROR(IF(VLOOKUP($B112,casostestes[#Data],9)=0,"-",VLOOKUP($B112,casostestes[#Data],9)),"-")</f>
        <v>-</v>
      </c>
      <c r="K112" s="51"/>
      <c r="L112" s="119"/>
      <c r="M112" s="53"/>
      <c r="N112" s="54"/>
      <c r="O112" s="54"/>
      <c r="P112" s="55"/>
    </row>
    <row r="113" spans="2:16">
      <c r="B113" s="56" t="str">
        <f>IF(ISERR(casostestes[[#This Row],[ID]]),"-",casostestes[[#This Row],[ID]])</f>
        <v>-</v>
      </c>
      <c r="C113" s="49" t="str">
        <f>IFERROR(IF(VLOOKUP($B113,casostestes[#Data],10)=0,"Não",VLOOKUP($B113,casostestes[#Data],10)), "-")</f>
        <v>-</v>
      </c>
      <c r="D113" s="50" t="str">
        <f>IFERROR(IF(VLOOKUP($B113,casostestes[#Data],2)=0,"-",VLOOKUP($B113,casostestes[#Data],2)), "-")</f>
        <v>-</v>
      </c>
      <c r="E113" s="50" t="str">
        <f>IFERROR(IF(VLOOKUP($B113,casostestes[#Data],3)=0,"-",VLOOKUP($B113,casostestes[#Data],3)), "-")</f>
        <v>-</v>
      </c>
      <c r="F113" s="50" t="str">
        <f>IFERROR(IF(VLOOKUP($B113,casostestes[#Data],4)=0,"-",VLOOKUP($B113,casostestes[#Data],4)),"-")</f>
        <v>-</v>
      </c>
      <c r="G113" s="50" t="str">
        <f>IFERROR(IF(VLOOKUP($B113,casostestes[#Data],5)=0,"-",VLOOKUP($B113,casostestes[#Data],5)),"-")</f>
        <v>-</v>
      </c>
      <c r="H113" s="50" t="str">
        <f>IFERROR(IF(VLOOKUP($B113,casostestes[#Data],6)=0,"-",VLOOKUP($B113,casostestes[#Data],6)),"-")</f>
        <v>-</v>
      </c>
      <c r="I113" s="50" t="str">
        <f>IFERROR(IF(VLOOKUP($B113,casostestes[#Data],8)=0,"-",VLOOKUP($B113,casostestes[#Data],8)),"-")</f>
        <v>-</v>
      </c>
      <c r="J113" s="50" t="str">
        <f>IFERROR(IF(VLOOKUP($B113,casostestes[#Data],9)=0,"-",VLOOKUP($B113,casostestes[#Data],9)),"-")</f>
        <v>-</v>
      </c>
      <c r="K113" s="51"/>
      <c r="L113" s="119"/>
      <c r="M113" s="53"/>
      <c r="N113" s="54"/>
      <c r="O113" s="54"/>
      <c r="P113" s="55"/>
    </row>
    <row r="114" spans="2:16">
      <c r="B114" s="56" t="str">
        <f>IF(ISERR(casostestes[[#This Row],[ID]]),"-",casostestes[[#This Row],[ID]])</f>
        <v>-</v>
      </c>
      <c r="C114" s="49" t="str">
        <f>IFERROR(IF(VLOOKUP($B114,casostestes[#Data],10)=0,"Não",VLOOKUP($B114,casostestes[#Data],10)), "-")</f>
        <v>-</v>
      </c>
      <c r="D114" s="50" t="str">
        <f>IFERROR(IF(VLOOKUP($B114,casostestes[#Data],2)=0,"-",VLOOKUP($B114,casostestes[#Data],2)), "-")</f>
        <v>-</v>
      </c>
      <c r="E114" s="50" t="str">
        <f>IFERROR(IF(VLOOKUP($B114,casostestes[#Data],3)=0,"-",VLOOKUP($B114,casostestes[#Data],3)), "-")</f>
        <v>-</v>
      </c>
      <c r="F114" s="50" t="str">
        <f>IFERROR(IF(VLOOKUP($B114,casostestes[#Data],4)=0,"-",VLOOKUP($B114,casostestes[#Data],4)),"-")</f>
        <v>-</v>
      </c>
      <c r="G114" s="50" t="str">
        <f>IFERROR(IF(VLOOKUP($B114,casostestes[#Data],5)=0,"-",VLOOKUP($B114,casostestes[#Data],5)),"-")</f>
        <v>-</v>
      </c>
      <c r="H114" s="50" t="str">
        <f>IFERROR(IF(VLOOKUP($B114,casostestes[#Data],6)=0,"-",VLOOKUP($B114,casostestes[#Data],6)),"-")</f>
        <v>-</v>
      </c>
      <c r="I114" s="50" t="str">
        <f>IFERROR(IF(VLOOKUP($B114,casostestes[#Data],8)=0,"-",VLOOKUP($B114,casostestes[#Data],8)),"-")</f>
        <v>-</v>
      </c>
      <c r="J114" s="50" t="str">
        <f>IFERROR(IF(VLOOKUP($B114,casostestes[#Data],9)=0,"-",VLOOKUP($B114,casostestes[#Data],9)),"-")</f>
        <v>-</v>
      </c>
      <c r="K114" s="51"/>
      <c r="L114" s="119"/>
      <c r="M114" s="53"/>
      <c r="N114" s="54"/>
      <c r="O114" s="54"/>
      <c r="P114" s="55"/>
    </row>
    <row r="115" spans="2:16">
      <c r="B115" s="56" t="str">
        <f>IF(ISERR(casostestes[[#This Row],[ID]]),"-",casostestes[[#This Row],[ID]])</f>
        <v>-</v>
      </c>
      <c r="C115" s="49" t="str">
        <f>IFERROR(IF(VLOOKUP($B115,casostestes[#Data],10)=0,"Não",VLOOKUP($B115,casostestes[#Data],10)), "-")</f>
        <v>-</v>
      </c>
      <c r="D115" s="50" t="str">
        <f>IFERROR(IF(VLOOKUP($B115,casostestes[#Data],2)=0,"-",VLOOKUP($B115,casostestes[#Data],2)), "-")</f>
        <v>-</v>
      </c>
      <c r="E115" s="50" t="str">
        <f>IFERROR(IF(VLOOKUP($B115,casostestes[#Data],3)=0,"-",VLOOKUP($B115,casostestes[#Data],3)), "-")</f>
        <v>-</v>
      </c>
      <c r="F115" s="50" t="str">
        <f>IFERROR(IF(VLOOKUP($B115,casostestes[#Data],4)=0,"-",VLOOKUP($B115,casostestes[#Data],4)),"-")</f>
        <v>-</v>
      </c>
      <c r="G115" s="50" t="str">
        <f>IFERROR(IF(VLOOKUP($B115,casostestes[#Data],5)=0,"-",VLOOKUP($B115,casostestes[#Data],5)),"-")</f>
        <v>-</v>
      </c>
      <c r="H115" s="50" t="str">
        <f>IFERROR(IF(VLOOKUP($B115,casostestes[#Data],6)=0,"-",VLOOKUP($B115,casostestes[#Data],6)),"-")</f>
        <v>-</v>
      </c>
      <c r="I115" s="50" t="str">
        <f>IFERROR(IF(VLOOKUP($B115,casostestes[#Data],8)=0,"-",VLOOKUP($B115,casostestes[#Data],8)),"-")</f>
        <v>-</v>
      </c>
      <c r="J115" s="50" t="str">
        <f>IFERROR(IF(VLOOKUP($B115,casostestes[#Data],9)=0,"-",VLOOKUP($B115,casostestes[#Data],9)),"-")</f>
        <v>-</v>
      </c>
      <c r="K115" s="51"/>
      <c r="L115" s="119"/>
      <c r="M115" s="53"/>
      <c r="N115" s="54"/>
      <c r="O115" s="54"/>
      <c r="P115" s="55"/>
    </row>
    <row r="116" spans="2:16">
      <c r="B116" s="56" t="str">
        <f>IF(ISERR(casostestes[[#This Row],[ID]]),"-",casostestes[[#This Row],[ID]])</f>
        <v>-</v>
      </c>
      <c r="C116" s="49" t="str">
        <f>IFERROR(IF(VLOOKUP($B116,casostestes[#Data],10)=0,"Não",VLOOKUP($B116,casostestes[#Data],10)), "-")</f>
        <v>-</v>
      </c>
      <c r="D116" s="50" t="str">
        <f>IFERROR(IF(VLOOKUP($B116,casostestes[#Data],2)=0,"-",VLOOKUP($B116,casostestes[#Data],2)), "-")</f>
        <v>-</v>
      </c>
      <c r="E116" s="50" t="str">
        <f>IFERROR(IF(VLOOKUP($B116,casostestes[#Data],3)=0,"-",VLOOKUP($B116,casostestes[#Data],3)), "-")</f>
        <v>-</v>
      </c>
      <c r="F116" s="50" t="str">
        <f>IFERROR(IF(VLOOKUP($B116,casostestes[#Data],4)=0,"-",VLOOKUP($B116,casostestes[#Data],4)),"-")</f>
        <v>-</v>
      </c>
      <c r="G116" s="50" t="str">
        <f>IFERROR(IF(VLOOKUP($B116,casostestes[#Data],5)=0,"-",VLOOKUP($B116,casostestes[#Data],5)),"-")</f>
        <v>-</v>
      </c>
      <c r="H116" s="50" t="str">
        <f>IFERROR(IF(VLOOKUP($B116,casostestes[#Data],6)=0,"-",VLOOKUP($B116,casostestes[#Data],6)),"-")</f>
        <v>-</v>
      </c>
      <c r="I116" s="50" t="str">
        <f>IFERROR(IF(VLOOKUP($B116,casostestes[#Data],8)=0,"-",VLOOKUP($B116,casostestes[#Data],8)),"-")</f>
        <v>-</v>
      </c>
      <c r="J116" s="50" t="str">
        <f>IFERROR(IF(VLOOKUP($B116,casostestes[#Data],9)=0,"-",VLOOKUP($B116,casostestes[#Data],9)),"-")</f>
        <v>-</v>
      </c>
      <c r="K116" s="51"/>
      <c r="L116" s="119"/>
      <c r="M116" s="53"/>
      <c r="N116" s="54"/>
      <c r="O116" s="54"/>
      <c r="P116" s="55"/>
    </row>
    <row r="117" spans="2:16">
      <c r="B117" s="56" t="str">
        <f>IF(ISERR(casostestes[[#This Row],[ID]]),"-",casostestes[[#This Row],[ID]])</f>
        <v>-</v>
      </c>
      <c r="C117" s="49" t="str">
        <f>IFERROR(IF(VLOOKUP($B117,casostestes[#Data],10)=0,"Não",VLOOKUP($B117,casostestes[#Data],10)), "-")</f>
        <v>-</v>
      </c>
      <c r="D117" s="50" t="str">
        <f>IFERROR(IF(VLOOKUP($B117,casostestes[#Data],2)=0,"-",VLOOKUP($B117,casostestes[#Data],2)), "-")</f>
        <v>-</v>
      </c>
      <c r="E117" s="50" t="str">
        <f>IFERROR(IF(VLOOKUP($B117,casostestes[#Data],3)=0,"-",VLOOKUP($B117,casostestes[#Data],3)), "-")</f>
        <v>-</v>
      </c>
      <c r="F117" s="50" t="str">
        <f>IFERROR(IF(VLOOKUP($B117,casostestes[#Data],4)=0,"-",VLOOKUP($B117,casostestes[#Data],4)),"-")</f>
        <v>-</v>
      </c>
      <c r="G117" s="50" t="str">
        <f>IFERROR(IF(VLOOKUP($B117,casostestes[#Data],5)=0,"-",VLOOKUP($B117,casostestes[#Data],5)),"-")</f>
        <v>-</v>
      </c>
      <c r="H117" s="50" t="str">
        <f>IFERROR(IF(VLOOKUP($B117,casostestes[#Data],6)=0,"-",VLOOKUP($B117,casostestes[#Data],6)),"-")</f>
        <v>-</v>
      </c>
      <c r="I117" s="50" t="str">
        <f>IFERROR(IF(VLOOKUP($B117,casostestes[#Data],8)=0,"-",VLOOKUP($B117,casostestes[#Data],8)),"-")</f>
        <v>-</v>
      </c>
      <c r="J117" s="50" t="str">
        <f>IFERROR(IF(VLOOKUP($B117,casostestes[#Data],9)=0,"-",VLOOKUP($B117,casostestes[#Data],9)),"-")</f>
        <v>-</v>
      </c>
      <c r="K117" s="51"/>
      <c r="L117" s="119"/>
      <c r="M117" s="53"/>
      <c r="N117" s="54"/>
      <c r="O117" s="54"/>
      <c r="P117" s="55"/>
    </row>
    <row r="118" spans="2:16">
      <c r="B118" s="56" t="str">
        <f>IF(ISERR(casostestes[[#This Row],[ID]]),"-",casostestes[[#This Row],[ID]])</f>
        <v>-</v>
      </c>
      <c r="C118" s="49" t="str">
        <f>IFERROR(IF(VLOOKUP($B118,casostestes[#Data],10)=0,"Não",VLOOKUP($B118,casostestes[#Data],10)), "-")</f>
        <v>-</v>
      </c>
      <c r="D118" s="50" t="str">
        <f>IFERROR(IF(VLOOKUP($B118,casostestes[#Data],2)=0,"-",VLOOKUP($B118,casostestes[#Data],2)), "-")</f>
        <v>-</v>
      </c>
      <c r="E118" s="50" t="str">
        <f>IFERROR(IF(VLOOKUP($B118,casostestes[#Data],3)=0,"-",VLOOKUP($B118,casostestes[#Data],3)), "-")</f>
        <v>-</v>
      </c>
      <c r="F118" s="50" t="str">
        <f>IFERROR(IF(VLOOKUP($B118,casostestes[#Data],4)=0,"-",VLOOKUP($B118,casostestes[#Data],4)),"-")</f>
        <v>-</v>
      </c>
      <c r="G118" s="50" t="str">
        <f>IFERROR(IF(VLOOKUP($B118,casostestes[#Data],5)=0,"-",VLOOKUP($B118,casostestes[#Data],5)),"-")</f>
        <v>-</v>
      </c>
      <c r="H118" s="50" t="str">
        <f>IFERROR(IF(VLOOKUP($B118,casostestes[#Data],6)=0,"-",VLOOKUP($B118,casostestes[#Data],6)),"-")</f>
        <v>-</v>
      </c>
      <c r="I118" s="50" t="str">
        <f>IFERROR(IF(VLOOKUP($B118,casostestes[#Data],8)=0,"-",VLOOKUP($B118,casostestes[#Data],8)),"-")</f>
        <v>-</v>
      </c>
      <c r="J118" s="50" t="str">
        <f>IFERROR(IF(VLOOKUP($B118,casostestes[#Data],9)=0,"-",VLOOKUP($B118,casostestes[#Data],9)),"-")</f>
        <v>-</v>
      </c>
      <c r="K118" s="51"/>
      <c r="L118" s="119"/>
      <c r="M118" s="53"/>
      <c r="N118" s="54"/>
      <c r="O118" s="54"/>
      <c r="P118" s="55"/>
    </row>
    <row r="119" spans="2:16">
      <c r="B119" s="56" t="str">
        <f>IF(ISERR(casostestes[[#This Row],[ID]]),"-",casostestes[[#This Row],[ID]])</f>
        <v>-</v>
      </c>
      <c r="C119" s="49" t="str">
        <f>IFERROR(IF(VLOOKUP($B119,casostestes[#Data],10)=0,"Não",VLOOKUP($B119,casostestes[#Data],10)), "-")</f>
        <v>-</v>
      </c>
      <c r="D119" s="50" t="str">
        <f>IFERROR(IF(VLOOKUP($B119,casostestes[#Data],2)=0,"-",VLOOKUP($B119,casostestes[#Data],2)), "-")</f>
        <v>-</v>
      </c>
      <c r="E119" s="50" t="str">
        <f>IFERROR(IF(VLOOKUP($B119,casostestes[#Data],3)=0,"-",VLOOKUP($B119,casostestes[#Data],3)), "-")</f>
        <v>-</v>
      </c>
      <c r="F119" s="50" t="str">
        <f>IFERROR(IF(VLOOKUP($B119,casostestes[#Data],4)=0,"-",VLOOKUP($B119,casostestes[#Data],4)),"-")</f>
        <v>-</v>
      </c>
      <c r="G119" s="50" t="str">
        <f>IFERROR(IF(VLOOKUP($B119,casostestes[#Data],5)=0,"-",VLOOKUP($B119,casostestes[#Data],5)),"-")</f>
        <v>-</v>
      </c>
      <c r="H119" s="50" t="str">
        <f>IFERROR(IF(VLOOKUP($B119,casostestes[#Data],6)=0,"-",VLOOKUP($B119,casostestes[#Data],6)),"-")</f>
        <v>-</v>
      </c>
      <c r="I119" s="50" t="str">
        <f>IFERROR(IF(VLOOKUP($B119,casostestes[#Data],8)=0,"-",VLOOKUP($B119,casostestes[#Data],8)),"-")</f>
        <v>-</v>
      </c>
      <c r="J119" s="50" t="str">
        <f>IFERROR(IF(VLOOKUP($B119,casostestes[#Data],9)=0,"-",VLOOKUP($B119,casostestes[#Data],9)),"-")</f>
        <v>-</v>
      </c>
      <c r="K119" s="51"/>
      <c r="L119" s="119"/>
      <c r="M119" s="53"/>
      <c r="N119" s="54"/>
      <c r="O119" s="54"/>
      <c r="P119" s="55"/>
    </row>
    <row r="120" spans="2:16">
      <c r="B120" s="56" t="str">
        <f>IF(ISERR(casostestes[[#This Row],[ID]]),"-",casostestes[[#This Row],[ID]])</f>
        <v>-</v>
      </c>
      <c r="C120" s="49" t="str">
        <f>IFERROR(IF(VLOOKUP($B120,casostestes[#Data],10)=0,"Não",VLOOKUP($B120,casostestes[#Data],10)), "-")</f>
        <v>-</v>
      </c>
      <c r="D120" s="50" t="str">
        <f>IFERROR(IF(VLOOKUP($B120,casostestes[#Data],2)=0,"-",VLOOKUP($B120,casostestes[#Data],2)), "-")</f>
        <v>-</v>
      </c>
      <c r="E120" s="50" t="str">
        <f>IFERROR(IF(VLOOKUP($B120,casostestes[#Data],3)=0,"-",VLOOKUP($B120,casostestes[#Data],3)), "-")</f>
        <v>-</v>
      </c>
      <c r="F120" s="50" t="str">
        <f>IFERROR(IF(VLOOKUP($B120,casostestes[#Data],4)=0,"-",VLOOKUP($B120,casostestes[#Data],4)),"-")</f>
        <v>-</v>
      </c>
      <c r="G120" s="50" t="str">
        <f>IFERROR(IF(VLOOKUP($B120,casostestes[#Data],5)=0,"-",VLOOKUP($B120,casostestes[#Data],5)),"-")</f>
        <v>-</v>
      </c>
      <c r="H120" s="50" t="str">
        <f>IFERROR(IF(VLOOKUP($B120,casostestes[#Data],6)=0,"-",VLOOKUP($B120,casostestes[#Data],6)),"-")</f>
        <v>-</v>
      </c>
      <c r="I120" s="50" t="str">
        <f>IFERROR(IF(VLOOKUP($B120,casostestes[#Data],8)=0,"-",VLOOKUP($B120,casostestes[#Data],8)),"-")</f>
        <v>-</v>
      </c>
      <c r="J120" s="50" t="str">
        <f>IFERROR(IF(VLOOKUP($B120,casostestes[#Data],9)=0,"-",VLOOKUP($B120,casostestes[#Data],9)),"-")</f>
        <v>-</v>
      </c>
      <c r="K120" s="51"/>
      <c r="L120" s="119"/>
      <c r="M120" s="53"/>
      <c r="N120" s="54"/>
      <c r="O120" s="54"/>
      <c r="P120" s="55"/>
    </row>
    <row r="121" spans="2:16">
      <c r="B121" s="56" t="str">
        <f>IF(ISERR(casostestes[[#This Row],[ID]]),"-",casostestes[[#This Row],[ID]])</f>
        <v>-</v>
      </c>
      <c r="C121" s="49" t="str">
        <f>IFERROR(IF(VLOOKUP($B121,casostestes[#Data],10)=0,"Não",VLOOKUP($B121,casostestes[#Data],10)), "-")</f>
        <v>-</v>
      </c>
      <c r="D121" s="50" t="str">
        <f>IFERROR(IF(VLOOKUP($B121,casostestes[#Data],2)=0,"-",VLOOKUP($B121,casostestes[#Data],2)), "-")</f>
        <v>-</v>
      </c>
      <c r="E121" s="50" t="str">
        <f>IFERROR(IF(VLOOKUP($B121,casostestes[#Data],3)=0,"-",VLOOKUP($B121,casostestes[#Data],3)), "-")</f>
        <v>-</v>
      </c>
      <c r="F121" s="50" t="str">
        <f>IFERROR(IF(VLOOKUP($B121,casostestes[#Data],4)=0,"-",VLOOKUP($B121,casostestes[#Data],4)),"-")</f>
        <v>-</v>
      </c>
      <c r="G121" s="50" t="str">
        <f>IFERROR(IF(VLOOKUP($B121,casostestes[#Data],5)=0,"-",VLOOKUP($B121,casostestes[#Data],5)),"-")</f>
        <v>-</v>
      </c>
      <c r="H121" s="50" t="str">
        <f>IFERROR(IF(VLOOKUP($B121,casostestes[#Data],6)=0,"-",VLOOKUP($B121,casostestes[#Data],6)),"-")</f>
        <v>-</v>
      </c>
      <c r="I121" s="50" t="str">
        <f>IFERROR(IF(VLOOKUP($B121,casostestes[#Data],8)=0,"-",VLOOKUP($B121,casostestes[#Data],8)),"-")</f>
        <v>-</v>
      </c>
      <c r="J121" s="50" t="str">
        <f>IFERROR(IF(VLOOKUP($B121,casostestes[#Data],9)=0,"-",VLOOKUP($B121,casostestes[#Data],9)),"-")</f>
        <v>-</v>
      </c>
      <c r="K121" s="51"/>
      <c r="L121" s="119"/>
      <c r="M121" s="53"/>
      <c r="N121" s="54"/>
      <c r="O121" s="54"/>
      <c r="P121" s="55"/>
    </row>
    <row r="122" spans="2:16">
      <c r="B122" s="56" t="str">
        <f>IF(ISERR(casostestes[[#This Row],[ID]]),"-",casostestes[[#This Row],[ID]])</f>
        <v>-</v>
      </c>
      <c r="C122" s="49" t="str">
        <f>IFERROR(IF(VLOOKUP($B122,casostestes[#Data],10)=0,"Não",VLOOKUP($B122,casostestes[#Data],10)), "-")</f>
        <v>-</v>
      </c>
      <c r="D122" s="50" t="str">
        <f>IFERROR(IF(VLOOKUP($B122,casostestes[#Data],2)=0,"-",VLOOKUP($B122,casostestes[#Data],2)), "-")</f>
        <v>-</v>
      </c>
      <c r="E122" s="50" t="str">
        <f>IFERROR(IF(VLOOKUP($B122,casostestes[#Data],3)=0,"-",VLOOKUP($B122,casostestes[#Data],3)), "-")</f>
        <v>-</v>
      </c>
      <c r="F122" s="50" t="str">
        <f>IFERROR(IF(VLOOKUP($B122,casostestes[#Data],4)=0,"-",VLOOKUP($B122,casostestes[#Data],4)),"-")</f>
        <v>-</v>
      </c>
      <c r="G122" s="50" t="str">
        <f>IFERROR(IF(VLOOKUP($B122,casostestes[#Data],5)=0,"-",VLOOKUP($B122,casostestes[#Data],5)),"-")</f>
        <v>-</v>
      </c>
      <c r="H122" s="50" t="str">
        <f>IFERROR(IF(VLOOKUP($B122,casostestes[#Data],6)=0,"-",VLOOKUP($B122,casostestes[#Data],6)),"-")</f>
        <v>-</v>
      </c>
      <c r="I122" s="50" t="str">
        <f>IFERROR(IF(VLOOKUP($B122,casostestes[#Data],8)=0,"-",VLOOKUP($B122,casostestes[#Data],8)),"-")</f>
        <v>-</v>
      </c>
      <c r="J122" s="50" t="str">
        <f>IFERROR(IF(VLOOKUP($B122,casostestes[#Data],9)=0,"-",VLOOKUP($B122,casostestes[#Data],9)),"-")</f>
        <v>-</v>
      </c>
      <c r="K122" s="51"/>
      <c r="L122" s="119"/>
      <c r="M122" s="53"/>
      <c r="N122" s="54"/>
      <c r="O122" s="54"/>
      <c r="P122" s="55"/>
    </row>
    <row r="123" spans="2:16">
      <c r="B123" s="56" t="str">
        <f>IF(ISERR(casostestes[[#This Row],[ID]]),"-",casostestes[[#This Row],[ID]])</f>
        <v>-</v>
      </c>
      <c r="C123" s="49" t="str">
        <f>IFERROR(IF(VLOOKUP($B123,casostestes[#Data],10)=0,"Não",VLOOKUP($B123,casostestes[#Data],10)), "-")</f>
        <v>-</v>
      </c>
      <c r="D123" s="50" t="str">
        <f>IFERROR(IF(VLOOKUP($B123,casostestes[#Data],2)=0,"-",VLOOKUP($B123,casostestes[#Data],2)), "-")</f>
        <v>-</v>
      </c>
      <c r="E123" s="50" t="str">
        <f>IFERROR(IF(VLOOKUP($B123,casostestes[#Data],3)=0,"-",VLOOKUP($B123,casostestes[#Data],3)), "-")</f>
        <v>-</v>
      </c>
      <c r="F123" s="50" t="str">
        <f>IFERROR(IF(VLOOKUP($B123,casostestes[#Data],4)=0,"-",VLOOKUP($B123,casostestes[#Data],4)),"-")</f>
        <v>-</v>
      </c>
      <c r="G123" s="50" t="str">
        <f>IFERROR(IF(VLOOKUP($B123,casostestes[#Data],5)=0,"-",VLOOKUP($B123,casostestes[#Data],5)),"-")</f>
        <v>-</v>
      </c>
      <c r="H123" s="50" t="str">
        <f>IFERROR(IF(VLOOKUP($B123,casostestes[#Data],6)=0,"-",VLOOKUP($B123,casostestes[#Data],6)),"-")</f>
        <v>-</v>
      </c>
      <c r="I123" s="50" t="str">
        <f>IFERROR(IF(VLOOKUP($B123,casostestes[#Data],8)=0,"-",VLOOKUP($B123,casostestes[#Data],8)),"-")</f>
        <v>-</v>
      </c>
      <c r="J123" s="50" t="str">
        <f>IFERROR(IF(VLOOKUP($B123,casostestes[#Data],9)=0,"-",VLOOKUP($B123,casostestes[#Data],9)),"-")</f>
        <v>-</v>
      </c>
      <c r="K123" s="51"/>
      <c r="L123" s="119"/>
      <c r="M123" s="53"/>
      <c r="N123" s="54"/>
      <c r="O123" s="54"/>
      <c r="P123" s="55"/>
    </row>
    <row r="124" spans="2:16">
      <c r="B124" s="56" t="str">
        <f>IF(ISERR(casostestes[[#This Row],[ID]]),"-",casostestes[[#This Row],[ID]])</f>
        <v>-</v>
      </c>
      <c r="C124" s="49" t="str">
        <f>IFERROR(IF(VLOOKUP($B124,casostestes[#Data],10)=0,"Não",VLOOKUP($B124,casostestes[#Data],10)), "-")</f>
        <v>-</v>
      </c>
      <c r="D124" s="50" t="str">
        <f>IFERROR(IF(VLOOKUP($B124,casostestes[#Data],2)=0,"-",VLOOKUP($B124,casostestes[#Data],2)), "-")</f>
        <v>-</v>
      </c>
      <c r="E124" s="50" t="str">
        <f>IFERROR(IF(VLOOKUP($B124,casostestes[#Data],3)=0,"-",VLOOKUP($B124,casostestes[#Data],3)), "-")</f>
        <v>-</v>
      </c>
      <c r="F124" s="50" t="str">
        <f>IFERROR(IF(VLOOKUP($B124,casostestes[#Data],4)=0,"-",VLOOKUP($B124,casostestes[#Data],4)),"-")</f>
        <v>-</v>
      </c>
      <c r="G124" s="50" t="str">
        <f>IFERROR(IF(VLOOKUP($B124,casostestes[#Data],5)=0,"-",VLOOKUP($B124,casostestes[#Data],5)),"-")</f>
        <v>-</v>
      </c>
      <c r="H124" s="50" t="str">
        <f>IFERROR(IF(VLOOKUP($B124,casostestes[#Data],6)=0,"-",VLOOKUP($B124,casostestes[#Data],6)),"-")</f>
        <v>-</v>
      </c>
      <c r="I124" s="50" t="str">
        <f>IFERROR(IF(VLOOKUP($B124,casostestes[#Data],8)=0,"-",VLOOKUP($B124,casostestes[#Data],8)),"-")</f>
        <v>-</v>
      </c>
      <c r="J124" s="50" t="str">
        <f>IFERROR(IF(VLOOKUP($B124,casostestes[#Data],9)=0,"-",VLOOKUP($B124,casostestes[#Data],9)),"-")</f>
        <v>-</v>
      </c>
      <c r="K124" s="51"/>
      <c r="L124" s="119"/>
      <c r="M124" s="53"/>
      <c r="N124" s="54"/>
      <c r="O124" s="54"/>
      <c r="P124" s="55"/>
    </row>
    <row r="125" spans="2:16">
      <c r="B125" s="56" t="str">
        <f>IF(ISERR(casostestes[[#This Row],[ID]]),"-",casostestes[[#This Row],[ID]])</f>
        <v>-</v>
      </c>
      <c r="C125" s="49" t="str">
        <f>IFERROR(IF(VLOOKUP($B125,casostestes[#Data],10)=0,"Não",VLOOKUP($B125,casostestes[#Data],10)), "-")</f>
        <v>-</v>
      </c>
      <c r="D125" s="50" t="str">
        <f>IFERROR(IF(VLOOKUP($B125,casostestes[#Data],2)=0,"-",VLOOKUP($B125,casostestes[#Data],2)), "-")</f>
        <v>-</v>
      </c>
      <c r="E125" s="50" t="str">
        <f>IFERROR(IF(VLOOKUP($B125,casostestes[#Data],3)=0,"-",VLOOKUP($B125,casostestes[#Data],3)), "-")</f>
        <v>-</v>
      </c>
      <c r="F125" s="50" t="str">
        <f>IFERROR(IF(VLOOKUP($B125,casostestes[#Data],4)=0,"-",VLOOKUP($B125,casostestes[#Data],4)),"-")</f>
        <v>-</v>
      </c>
      <c r="G125" s="50" t="str">
        <f>IFERROR(IF(VLOOKUP($B125,casostestes[#Data],5)=0,"-",VLOOKUP($B125,casostestes[#Data],5)),"-")</f>
        <v>-</v>
      </c>
      <c r="H125" s="50" t="str">
        <f>IFERROR(IF(VLOOKUP($B125,casostestes[#Data],6)=0,"-",VLOOKUP($B125,casostestes[#Data],6)),"-")</f>
        <v>-</v>
      </c>
      <c r="I125" s="50" t="str">
        <f>IFERROR(IF(VLOOKUP($B125,casostestes[#Data],8)=0,"-",VLOOKUP($B125,casostestes[#Data],8)),"-")</f>
        <v>-</v>
      </c>
      <c r="J125" s="50" t="str">
        <f>IFERROR(IF(VLOOKUP($B125,casostestes[#Data],9)=0,"-",VLOOKUP($B125,casostestes[#Data],9)),"-")</f>
        <v>-</v>
      </c>
      <c r="K125" s="51"/>
      <c r="L125" s="119"/>
      <c r="M125" s="53"/>
      <c r="N125" s="54"/>
      <c r="O125" s="54"/>
      <c r="P125" s="55"/>
    </row>
    <row r="126" spans="2:16">
      <c r="B126" s="56" t="str">
        <f>IF(ISERR(casostestes[[#This Row],[ID]]),"-",casostestes[[#This Row],[ID]])</f>
        <v>-</v>
      </c>
      <c r="C126" s="49" t="str">
        <f>IFERROR(IF(VLOOKUP($B126,casostestes[#Data],10)=0,"Não",VLOOKUP($B126,casostestes[#Data],10)), "-")</f>
        <v>-</v>
      </c>
      <c r="D126" s="50" t="str">
        <f>IFERROR(IF(VLOOKUP($B126,casostestes[#Data],2)=0,"-",VLOOKUP($B126,casostestes[#Data],2)), "-")</f>
        <v>-</v>
      </c>
      <c r="E126" s="50" t="str">
        <f>IFERROR(IF(VLOOKUP($B126,casostestes[#Data],3)=0,"-",VLOOKUP($B126,casostestes[#Data],3)), "-")</f>
        <v>-</v>
      </c>
      <c r="F126" s="50" t="str">
        <f>IFERROR(IF(VLOOKUP($B126,casostestes[#Data],4)=0,"-",VLOOKUP($B126,casostestes[#Data],4)),"-")</f>
        <v>-</v>
      </c>
      <c r="G126" s="50" t="str">
        <f>IFERROR(IF(VLOOKUP($B126,casostestes[#Data],5)=0,"-",VLOOKUP($B126,casostestes[#Data],5)),"-")</f>
        <v>-</v>
      </c>
      <c r="H126" s="50" t="str">
        <f>IFERROR(IF(VLOOKUP($B126,casostestes[#Data],6)=0,"-",VLOOKUP($B126,casostestes[#Data],6)),"-")</f>
        <v>-</v>
      </c>
      <c r="I126" s="50" t="str">
        <f>IFERROR(IF(VLOOKUP($B126,casostestes[#Data],8)=0,"-",VLOOKUP($B126,casostestes[#Data],8)),"-")</f>
        <v>-</v>
      </c>
      <c r="J126" s="50" t="str">
        <f>IFERROR(IF(VLOOKUP($B126,casostestes[#Data],9)=0,"-",VLOOKUP($B126,casostestes[#Data],9)),"-")</f>
        <v>-</v>
      </c>
      <c r="K126" s="51"/>
      <c r="L126" s="119"/>
      <c r="M126" s="53"/>
      <c r="N126" s="54"/>
      <c r="O126" s="54"/>
      <c r="P126" s="55"/>
    </row>
    <row r="127" spans="2:16">
      <c r="B127" s="56" t="str">
        <f>IF(ISERR(casostestes[[#This Row],[ID]]),"-",casostestes[[#This Row],[ID]])</f>
        <v>-</v>
      </c>
      <c r="C127" s="49" t="str">
        <f>IFERROR(IF(VLOOKUP($B127,casostestes[#Data],10)=0,"Não",VLOOKUP($B127,casostestes[#Data],10)), "-")</f>
        <v>-</v>
      </c>
      <c r="D127" s="50" t="str">
        <f>IFERROR(IF(VLOOKUP($B127,casostestes[#Data],2)=0,"-",VLOOKUP($B127,casostestes[#Data],2)), "-")</f>
        <v>-</v>
      </c>
      <c r="E127" s="50" t="str">
        <f>IFERROR(IF(VLOOKUP($B127,casostestes[#Data],3)=0,"-",VLOOKUP($B127,casostestes[#Data],3)), "-")</f>
        <v>-</v>
      </c>
      <c r="F127" s="50" t="str">
        <f>IFERROR(IF(VLOOKUP($B127,casostestes[#Data],4)=0,"-",VLOOKUP($B127,casostestes[#Data],4)),"-")</f>
        <v>-</v>
      </c>
      <c r="G127" s="50" t="str">
        <f>IFERROR(IF(VLOOKUP($B127,casostestes[#Data],5)=0,"-",VLOOKUP($B127,casostestes[#Data],5)),"-")</f>
        <v>-</v>
      </c>
      <c r="H127" s="50" t="str">
        <f>IFERROR(IF(VLOOKUP($B127,casostestes[#Data],6)=0,"-",VLOOKUP($B127,casostestes[#Data],6)),"-")</f>
        <v>-</v>
      </c>
      <c r="I127" s="50" t="str">
        <f>IFERROR(IF(VLOOKUP($B127,casostestes[#Data],8)=0,"-",VLOOKUP($B127,casostestes[#Data],8)),"-")</f>
        <v>-</v>
      </c>
      <c r="J127" s="50" t="str">
        <f>IFERROR(IF(VLOOKUP($B127,casostestes[#Data],9)=0,"-",VLOOKUP($B127,casostestes[#Data],9)),"-")</f>
        <v>-</v>
      </c>
      <c r="K127" s="51"/>
      <c r="L127" s="119"/>
      <c r="M127" s="53"/>
      <c r="N127" s="54"/>
      <c r="O127" s="54"/>
      <c r="P127" s="55"/>
    </row>
    <row r="128" spans="2:16">
      <c r="B128" s="56" t="str">
        <f>IF(ISERR(casostestes[[#This Row],[ID]]),"-",casostestes[[#This Row],[ID]])</f>
        <v>-</v>
      </c>
      <c r="C128" s="49" t="str">
        <f>IFERROR(IF(VLOOKUP($B128,casostestes[#Data],10)=0,"Não",VLOOKUP($B128,casostestes[#Data],10)), "-")</f>
        <v>-</v>
      </c>
      <c r="D128" s="50" t="str">
        <f>IFERROR(IF(VLOOKUP($B128,casostestes[#Data],2)=0,"-",VLOOKUP($B128,casostestes[#Data],2)), "-")</f>
        <v>-</v>
      </c>
      <c r="E128" s="50" t="str">
        <f>IFERROR(IF(VLOOKUP($B128,casostestes[#Data],3)=0,"-",VLOOKUP($B128,casostestes[#Data],3)), "-")</f>
        <v>-</v>
      </c>
      <c r="F128" s="50" t="str">
        <f>IFERROR(IF(VLOOKUP($B128,casostestes[#Data],4)=0,"-",VLOOKUP($B128,casostestes[#Data],4)),"-")</f>
        <v>-</v>
      </c>
      <c r="G128" s="50" t="str">
        <f>IFERROR(IF(VLOOKUP($B128,casostestes[#Data],5)=0,"-",VLOOKUP($B128,casostestes[#Data],5)),"-")</f>
        <v>-</v>
      </c>
      <c r="H128" s="50" t="str">
        <f>IFERROR(IF(VLOOKUP($B128,casostestes[#Data],6)=0,"-",VLOOKUP($B128,casostestes[#Data],6)),"-")</f>
        <v>-</v>
      </c>
      <c r="I128" s="50" t="str">
        <f>IFERROR(IF(VLOOKUP($B128,casostestes[#Data],8)=0,"-",VLOOKUP($B128,casostestes[#Data],8)),"-")</f>
        <v>-</v>
      </c>
      <c r="J128" s="50" t="str">
        <f>IFERROR(IF(VLOOKUP($B128,casostestes[#Data],9)=0,"-",VLOOKUP($B128,casostestes[#Data],9)),"-")</f>
        <v>-</v>
      </c>
      <c r="K128" s="51"/>
      <c r="L128" s="119"/>
      <c r="M128" s="53"/>
      <c r="N128" s="54"/>
      <c r="O128" s="54"/>
      <c r="P128" s="55"/>
    </row>
    <row r="129" spans="2:16">
      <c r="B129" s="56" t="str">
        <f>IF(ISERR(casostestes[[#This Row],[ID]]),"-",casostestes[[#This Row],[ID]])</f>
        <v>-</v>
      </c>
      <c r="C129" s="49" t="str">
        <f>IFERROR(IF(VLOOKUP($B129,casostestes[#Data],10)=0,"Não",VLOOKUP($B129,casostestes[#Data],10)), "-")</f>
        <v>-</v>
      </c>
      <c r="D129" s="50" t="str">
        <f>IFERROR(IF(VLOOKUP($B129,casostestes[#Data],2)=0,"-",VLOOKUP($B129,casostestes[#Data],2)), "-")</f>
        <v>-</v>
      </c>
      <c r="E129" s="50" t="str">
        <f>IFERROR(IF(VLOOKUP($B129,casostestes[#Data],3)=0,"-",VLOOKUP($B129,casostestes[#Data],3)), "-")</f>
        <v>-</v>
      </c>
      <c r="F129" s="50" t="str">
        <f>IFERROR(IF(VLOOKUP($B129,casostestes[#Data],4)=0,"-",VLOOKUP($B129,casostestes[#Data],4)),"-")</f>
        <v>-</v>
      </c>
      <c r="G129" s="50" t="str">
        <f>IFERROR(IF(VLOOKUP($B129,casostestes[#Data],5)=0,"-",VLOOKUP($B129,casostestes[#Data],5)),"-")</f>
        <v>-</v>
      </c>
      <c r="H129" s="50" t="str">
        <f>IFERROR(IF(VLOOKUP($B129,casostestes[#Data],6)=0,"-",VLOOKUP($B129,casostestes[#Data],6)),"-")</f>
        <v>-</v>
      </c>
      <c r="I129" s="50" t="str">
        <f>IFERROR(IF(VLOOKUP($B129,casostestes[#Data],8)=0,"-",VLOOKUP($B129,casostestes[#Data],8)),"-")</f>
        <v>-</v>
      </c>
      <c r="J129" s="50" t="str">
        <f>IFERROR(IF(VLOOKUP($B129,casostestes[#Data],9)=0,"-",VLOOKUP($B129,casostestes[#Data],9)),"-")</f>
        <v>-</v>
      </c>
      <c r="K129" s="51"/>
      <c r="L129" s="119"/>
      <c r="M129" s="53"/>
      <c r="N129" s="54"/>
      <c r="O129" s="54"/>
      <c r="P129" s="55"/>
    </row>
    <row r="130" spans="2:16">
      <c r="B130" s="56" t="str">
        <f>IF(ISERR(casostestes[[#This Row],[ID]]),"-",casostestes[[#This Row],[ID]])</f>
        <v>-</v>
      </c>
      <c r="C130" s="49" t="str">
        <f>IFERROR(IF(VLOOKUP($B130,casostestes[#Data],10)=0,"Não",VLOOKUP($B130,casostestes[#Data],10)), "-")</f>
        <v>-</v>
      </c>
      <c r="D130" s="50" t="str">
        <f>IFERROR(IF(VLOOKUP($B130,casostestes[#Data],2)=0,"-",VLOOKUP($B130,casostestes[#Data],2)), "-")</f>
        <v>-</v>
      </c>
      <c r="E130" s="50" t="str">
        <f>IFERROR(IF(VLOOKUP($B130,casostestes[#Data],3)=0,"-",VLOOKUP($B130,casostestes[#Data],3)), "-")</f>
        <v>-</v>
      </c>
      <c r="F130" s="50" t="str">
        <f>IFERROR(IF(VLOOKUP($B130,casostestes[#Data],4)=0,"-",VLOOKUP($B130,casostestes[#Data],4)),"-")</f>
        <v>-</v>
      </c>
      <c r="G130" s="50" t="str">
        <f>IFERROR(IF(VLOOKUP($B130,casostestes[#Data],5)=0,"-",VLOOKUP($B130,casostestes[#Data],5)),"-")</f>
        <v>-</v>
      </c>
      <c r="H130" s="50" t="str">
        <f>IFERROR(IF(VLOOKUP($B130,casostestes[#Data],6)=0,"-",VLOOKUP($B130,casostestes[#Data],6)),"-")</f>
        <v>-</v>
      </c>
      <c r="I130" s="50" t="str">
        <f>IFERROR(IF(VLOOKUP($B130,casostestes[#Data],8)=0,"-",VLOOKUP($B130,casostestes[#Data],8)),"-")</f>
        <v>-</v>
      </c>
      <c r="J130" s="50" t="str">
        <f>IFERROR(IF(VLOOKUP($B130,casostestes[#Data],9)=0,"-",VLOOKUP($B130,casostestes[#Data],9)),"-")</f>
        <v>-</v>
      </c>
      <c r="K130" s="51"/>
      <c r="L130" s="119"/>
      <c r="M130" s="53"/>
      <c r="N130" s="54"/>
      <c r="O130" s="54"/>
      <c r="P130" s="55"/>
    </row>
    <row r="131" spans="2:16">
      <c r="B131" s="56" t="str">
        <f>IF(ISERR(casostestes[[#This Row],[ID]]),"-",casostestes[[#This Row],[ID]])</f>
        <v>-</v>
      </c>
      <c r="C131" s="49" t="str">
        <f>IFERROR(IF(VLOOKUP($B131,casostestes[#Data],10)=0,"Não",VLOOKUP($B131,casostestes[#Data],10)), "-")</f>
        <v>-</v>
      </c>
      <c r="D131" s="50" t="str">
        <f>IFERROR(IF(VLOOKUP($B131,casostestes[#Data],2)=0,"-",VLOOKUP($B131,casostestes[#Data],2)), "-")</f>
        <v>-</v>
      </c>
      <c r="E131" s="50" t="str">
        <f>IFERROR(IF(VLOOKUP($B131,casostestes[#Data],3)=0,"-",VLOOKUP($B131,casostestes[#Data],3)), "-")</f>
        <v>-</v>
      </c>
      <c r="F131" s="50" t="str">
        <f>IFERROR(IF(VLOOKUP($B131,casostestes[#Data],4)=0,"-",VLOOKUP($B131,casostestes[#Data],4)),"-")</f>
        <v>-</v>
      </c>
      <c r="G131" s="50" t="str">
        <f>IFERROR(IF(VLOOKUP($B131,casostestes[#Data],5)=0,"-",VLOOKUP($B131,casostestes[#Data],5)),"-")</f>
        <v>-</v>
      </c>
      <c r="H131" s="50" t="str">
        <f>IFERROR(IF(VLOOKUP($B131,casostestes[#Data],6)=0,"-",VLOOKUP($B131,casostestes[#Data],6)),"-")</f>
        <v>-</v>
      </c>
      <c r="I131" s="50" t="str">
        <f>IFERROR(IF(VLOOKUP($B131,casostestes[#Data],8)=0,"-",VLOOKUP($B131,casostestes[#Data],8)),"-")</f>
        <v>-</v>
      </c>
      <c r="J131" s="50" t="str">
        <f>IFERROR(IF(VLOOKUP($B131,casostestes[#Data],9)=0,"-",VLOOKUP($B131,casostestes[#Data],9)),"-")</f>
        <v>-</v>
      </c>
      <c r="K131" s="51"/>
      <c r="L131" s="119"/>
      <c r="M131" s="53"/>
      <c r="N131" s="54"/>
      <c r="O131" s="54"/>
      <c r="P131" s="55"/>
    </row>
    <row r="132" spans="2:16">
      <c r="B132" s="56" t="str">
        <f>IF(ISERR(casostestes[[#This Row],[ID]]),"-",casostestes[[#This Row],[ID]])</f>
        <v>-</v>
      </c>
      <c r="C132" s="49" t="str">
        <f>IFERROR(IF(VLOOKUP($B132,casostestes[#Data],10)=0,"Não",VLOOKUP($B132,casostestes[#Data],10)), "-")</f>
        <v>-</v>
      </c>
      <c r="D132" s="50" t="str">
        <f>IFERROR(IF(VLOOKUP($B132,casostestes[#Data],2)=0,"-",VLOOKUP($B132,casostestes[#Data],2)), "-")</f>
        <v>-</v>
      </c>
      <c r="E132" s="50" t="str">
        <f>IFERROR(IF(VLOOKUP($B132,casostestes[#Data],3)=0,"-",VLOOKUP($B132,casostestes[#Data],3)), "-")</f>
        <v>-</v>
      </c>
      <c r="F132" s="50" t="str">
        <f>IFERROR(IF(VLOOKUP($B132,casostestes[#Data],4)=0,"-",VLOOKUP($B132,casostestes[#Data],4)),"-")</f>
        <v>-</v>
      </c>
      <c r="G132" s="50" t="str">
        <f>IFERROR(IF(VLOOKUP($B132,casostestes[#Data],5)=0,"-",VLOOKUP($B132,casostestes[#Data],5)),"-")</f>
        <v>-</v>
      </c>
      <c r="H132" s="50" t="str">
        <f>IFERROR(IF(VLOOKUP($B132,casostestes[#Data],6)=0,"-",VLOOKUP($B132,casostestes[#Data],6)),"-")</f>
        <v>-</v>
      </c>
      <c r="I132" s="50" t="str">
        <f>IFERROR(IF(VLOOKUP($B132,casostestes[#Data],8)=0,"-",VLOOKUP($B132,casostestes[#Data],8)),"-")</f>
        <v>-</v>
      </c>
      <c r="J132" s="50" t="str">
        <f>IFERROR(IF(VLOOKUP($B132,casostestes[#Data],9)=0,"-",VLOOKUP($B132,casostestes[#Data],9)),"-")</f>
        <v>-</v>
      </c>
      <c r="K132" s="51"/>
      <c r="L132" s="119"/>
      <c r="M132" s="53"/>
      <c r="N132" s="54"/>
      <c r="O132" s="54"/>
      <c r="P132" s="55"/>
    </row>
    <row r="133" spans="2:16">
      <c r="B133" s="56" t="str">
        <f>IF(ISERR(casostestes[[#This Row],[ID]]),"-",casostestes[[#This Row],[ID]])</f>
        <v>-</v>
      </c>
      <c r="C133" s="49" t="str">
        <f>IFERROR(IF(VLOOKUP($B133,casostestes[#Data],10)=0,"Não",VLOOKUP($B133,casostestes[#Data],10)), "-")</f>
        <v>-</v>
      </c>
      <c r="D133" s="50" t="str">
        <f>IFERROR(IF(VLOOKUP($B133,casostestes[#Data],2)=0,"-",VLOOKUP($B133,casostestes[#Data],2)), "-")</f>
        <v>-</v>
      </c>
      <c r="E133" s="50" t="str">
        <f>IFERROR(IF(VLOOKUP($B133,casostestes[#Data],3)=0,"-",VLOOKUP($B133,casostestes[#Data],3)), "-")</f>
        <v>-</v>
      </c>
      <c r="F133" s="50" t="str">
        <f>IFERROR(IF(VLOOKUP($B133,casostestes[#Data],4)=0,"-",VLOOKUP($B133,casostestes[#Data],4)),"-")</f>
        <v>-</v>
      </c>
      <c r="G133" s="50" t="str">
        <f>IFERROR(IF(VLOOKUP($B133,casostestes[#Data],5)=0,"-",VLOOKUP($B133,casostestes[#Data],5)),"-")</f>
        <v>-</v>
      </c>
      <c r="H133" s="50" t="str">
        <f>IFERROR(IF(VLOOKUP($B133,casostestes[#Data],6)=0,"-",VLOOKUP($B133,casostestes[#Data],6)),"-")</f>
        <v>-</v>
      </c>
      <c r="I133" s="50" t="str">
        <f>IFERROR(IF(VLOOKUP($B133,casostestes[#Data],8)=0,"-",VLOOKUP($B133,casostestes[#Data],8)),"-")</f>
        <v>-</v>
      </c>
      <c r="J133" s="50" t="str">
        <f>IFERROR(IF(VLOOKUP($B133,casostestes[#Data],9)=0,"-",VLOOKUP($B133,casostestes[#Data],9)),"-")</f>
        <v>-</v>
      </c>
      <c r="K133" s="51"/>
      <c r="L133" s="119"/>
      <c r="M133" s="53"/>
      <c r="N133" s="54"/>
      <c r="O133" s="54"/>
      <c r="P133" s="55"/>
    </row>
    <row r="134" spans="2:16">
      <c r="B134" s="56" t="str">
        <f>IF(ISERR(casostestes[[#This Row],[ID]]),"-",casostestes[[#This Row],[ID]])</f>
        <v>-</v>
      </c>
      <c r="C134" s="49" t="str">
        <f>IFERROR(IF(VLOOKUP($B134,casostestes[#Data],10)=0,"Não",VLOOKUP($B134,casostestes[#Data],10)), "-")</f>
        <v>-</v>
      </c>
      <c r="D134" s="50" t="str">
        <f>IFERROR(IF(VLOOKUP($B134,casostestes[#Data],2)=0,"-",VLOOKUP($B134,casostestes[#Data],2)), "-")</f>
        <v>-</v>
      </c>
      <c r="E134" s="50" t="str">
        <f>IFERROR(IF(VLOOKUP($B134,casostestes[#Data],3)=0,"-",VLOOKUP($B134,casostestes[#Data],3)), "-")</f>
        <v>-</v>
      </c>
      <c r="F134" s="50" t="str">
        <f>IFERROR(IF(VLOOKUP($B134,casostestes[#Data],4)=0,"-",VLOOKUP($B134,casostestes[#Data],4)),"-")</f>
        <v>-</v>
      </c>
      <c r="G134" s="50" t="str">
        <f>IFERROR(IF(VLOOKUP($B134,casostestes[#Data],5)=0,"-",VLOOKUP($B134,casostestes[#Data],5)),"-")</f>
        <v>-</v>
      </c>
      <c r="H134" s="50" t="str">
        <f>IFERROR(IF(VLOOKUP($B134,casostestes[#Data],6)=0,"-",VLOOKUP($B134,casostestes[#Data],6)),"-")</f>
        <v>-</v>
      </c>
      <c r="I134" s="50" t="str">
        <f>IFERROR(IF(VLOOKUP($B134,casostestes[#Data],8)=0,"-",VLOOKUP($B134,casostestes[#Data],8)),"-")</f>
        <v>-</v>
      </c>
      <c r="J134" s="50" t="str">
        <f>IFERROR(IF(VLOOKUP($B134,casostestes[#Data],9)=0,"-",VLOOKUP($B134,casostestes[#Data],9)),"-")</f>
        <v>-</v>
      </c>
      <c r="K134" s="51"/>
      <c r="L134" s="119"/>
      <c r="M134" s="53"/>
      <c r="N134" s="54"/>
      <c r="O134" s="54"/>
      <c r="P134" s="55"/>
    </row>
    <row r="135" spans="2:16">
      <c r="B135" s="56" t="str">
        <f>IF(ISERR(casostestes[[#This Row],[ID]]),"-",casostestes[[#This Row],[ID]])</f>
        <v>-</v>
      </c>
      <c r="C135" s="49" t="str">
        <f>IFERROR(IF(VLOOKUP($B135,casostestes[#Data],10)=0,"Não",VLOOKUP($B135,casostestes[#Data],10)), "-")</f>
        <v>-</v>
      </c>
      <c r="D135" s="50" t="str">
        <f>IFERROR(IF(VLOOKUP($B135,casostestes[#Data],2)=0,"-",VLOOKUP($B135,casostestes[#Data],2)), "-")</f>
        <v>-</v>
      </c>
      <c r="E135" s="50" t="str">
        <f>IFERROR(IF(VLOOKUP($B135,casostestes[#Data],3)=0,"-",VLOOKUP($B135,casostestes[#Data],3)), "-")</f>
        <v>-</v>
      </c>
      <c r="F135" s="50" t="str">
        <f>IFERROR(IF(VLOOKUP($B135,casostestes[#Data],4)=0,"-",VLOOKUP($B135,casostestes[#Data],4)),"-")</f>
        <v>-</v>
      </c>
      <c r="G135" s="50" t="str">
        <f>IFERROR(IF(VLOOKUP($B135,casostestes[#Data],5)=0,"-",VLOOKUP($B135,casostestes[#Data],5)),"-")</f>
        <v>-</v>
      </c>
      <c r="H135" s="50" t="str">
        <f>IFERROR(IF(VLOOKUP($B135,casostestes[#Data],6)=0,"-",VLOOKUP($B135,casostestes[#Data],6)),"-")</f>
        <v>-</v>
      </c>
      <c r="I135" s="50" t="str">
        <f>IFERROR(IF(VLOOKUP($B135,casostestes[#Data],8)=0,"-",VLOOKUP($B135,casostestes[#Data],8)),"-")</f>
        <v>-</v>
      </c>
      <c r="J135" s="50" t="str">
        <f>IFERROR(IF(VLOOKUP($B135,casostestes[#Data],9)=0,"-",VLOOKUP($B135,casostestes[#Data],9)),"-")</f>
        <v>-</v>
      </c>
      <c r="K135" s="51"/>
      <c r="L135" s="119"/>
      <c r="M135" s="53"/>
      <c r="N135" s="54"/>
      <c r="O135" s="54"/>
      <c r="P135" s="55"/>
    </row>
    <row r="136" spans="2:16">
      <c r="B136" s="56" t="str">
        <f>IF(ISERR(casostestes[[#This Row],[ID]]),"-",casostestes[[#This Row],[ID]])</f>
        <v>-</v>
      </c>
      <c r="C136" s="49" t="str">
        <f>IFERROR(IF(VLOOKUP($B136,casostestes[#Data],10)=0,"Não",VLOOKUP($B136,casostestes[#Data],10)), "-")</f>
        <v>-</v>
      </c>
      <c r="D136" s="50" t="str">
        <f>IFERROR(IF(VLOOKUP($B136,casostestes[#Data],2)=0,"-",VLOOKUP($B136,casostestes[#Data],2)), "-")</f>
        <v>-</v>
      </c>
      <c r="E136" s="50" t="str">
        <f>IFERROR(IF(VLOOKUP($B136,casostestes[#Data],3)=0,"-",VLOOKUP($B136,casostestes[#Data],3)), "-")</f>
        <v>-</v>
      </c>
      <c r="F136" s="50" t="str">
        <f>IFERROR(IF(VLOOKUP($B136,casostestes[#Data],4)=0,"-",VLOOKUP($B136,casostestes[#Data],4)),"-")</f>
        <v>-</v>
      </c>
      <c r="G136" s="50" t="str">
        <f>IFERROR(IF(VLOOKUP($B136,casostestes[#Data],5)=0,"-",VLOOKUP($B136,casostestes[#Data],5)),"-")</f>
        <v>-</v>
      </c>
      <c r="H136" s="50" t="str">
        <f>IFERROR(IF(VLOOKUP($B136,casostestes[#Data],6)=0,"-",VLOOKUP($B136,casostestes[#Data],6)),"-")</f>
        <v>-</v>
      </c>
      <c r="I136" s="50" t="str">
        <f>IFERROR(IF(VLOOKUP($B136,casostestes[#Data],8)=0,"-",VLOOKUP($B136,casostestes[#Data],8)),"-")</f>
        <v>-</v>
      </c>
      <c r="J136" s="50" t="str">
        <f>IFERROR(IF(VLOOKUP($B136,casostestes[#Data],9)=0,"-",VLOOKUP($B136,casostestes[#Data],9)),"-")</f>
        <v>-</v>
      </c>
      <c r="K136" s="51"/>
      <c r="L136" s="119"/>
      <c r="M136" s="53"/>
      <c r="N136" s="54"/>
      <c r="O136" s="54"/>
      <c r="P136" s="55"/>
    </row>
    <row r="137" spans="2:16">
      <c r="B137" s="56" t="str">
        <f>IF(ISERR(casostestes[[#This Row],[ID]]),"-",casostestes[[#This Row],[ID]])</f>
        <v>-</v>
      </c>
      <c r="C137" s="49" t="str">
        <f>IFERROR(IF(VLOOKUP($B137,casostestes[#Data],10)=0,"Não",VLOOKUP($B137,casostestes[#Data],10)), "-")</f>
        <v>-</v>
      </c>
      <c r="D137" s="50" t="str">
        <f>IFERROR(IF(VLOOKUP($B137,casostestes[#Data],2)=0,"-",VLOOKUP($B137,casostestes[#Data],2)), "-")</f>
        <v>-</v>
      </c>
      <c r="E137" s="50" t="str">
        <f>IFERROR(IF(VLOOKUP($B137,casostestes[#Data],3)=0,"-",VLOOKUP($B137,casostestes[#Data],3)), "-")</f>
        <v>-</v>
      </c>
      <c r="F137" s="50" t="str">
        <f>IFERROR(IF(VLOOKUP($B137,casostestes[#Data],4)=0,"-",VLOOKUP($B137,casostestes[#Data],4)),"-")</f>
        <v>-</v>
      </c>
      <c r="G137" s="50" t="str">
        <f>IFERROR(IF(VLOOKUP($B137,casostestes[#Data],5)=0,"-",VLOOKUP($B137,casostestes[#Data],5)),"-")</f>
        <v>-</v>
      </c>
      <c r="H137" s="50" t="str">
        <f>IFERROR(IF(VLOOKUP($B137,casostestes[#Data],6)=0,"-",VLOOKUP($B137,casostestes[#Data],6)),"-")</f>
        <v>-</v>
      </c>
      <c r="I137" s="50" t="str">
        <f>IFERROR(IF(VLOOKUP($B137,casostestes[#Data],8)=0,"-",VLOOKUP($B137,casostestes[#Data],8)),"-")</f>
        <v>-</v>
      </c>
      <c r="J137" s="50" t="str">
        <f>IFERROR(IF(VLOOKUP($B137,casostestes[#Data],9)=0,"-",VLOOKUP($B137,casostestes[#Data],9)),"-")</f>
        <v>-</v>
      </c>
      <c r="K137" s="51"/>
      <c r="L137" s="119"/>
      <c r="M137" s="53"/>
      <c r="N137" s="54"/>
      <c r="O137" s="54"/>
      <c r="P137" s="55"/>
    </row>
    <row r="138" spans="2:16">
      <c r="B138" s="56" t="str">
        <f>IF(ISERR(casostestes[[#This Row],[ID]]),"-",casostestes[[#This Row],[ID]])</f>
        <v>-</v>
      </c>
      <c r="C138" s="49" t="str">
        <f>IFERROR(IF(VLOOKUP($B138,casostestes[#Data],10)=0,"Não",VLOOKUP($B138,casostestes[#Data],10)), "-")</f>
        <v>-</v>
      </c>
      <c r="D138" s="50" t="str">
        <f>IFERROR(IF(VLOOKUP($B138,casostestes[#Data],2)=0,"-",VLOOKUP($B138,casostestes[#Data],2)), "-")</f>
        <v>-</v>
      </c>
      <c r="E138" s="50" t="str">
        <f>IFERROR(IF(VLOOKUP($B138,casostestes[#Data],3)=0,"-",VLOOKUP($B138,casostestes[#Data],3)), "-")</f>
        <v>-</v>
      </c>
      <c r="F138" s="50" t="str">
        <f>IFERROR(IF(VLOOKUP($B138,casostestes[#Data],4)=0,"-",VLOOKUP($B138,casostestes[#Data],4)),"-")</f>
        <v>-</v>
      </c>
      <c r="G138" s="50" t="str">
        <f>IFERROR(IF(VLOOKUP($B138,casostestes[#Data],5)=0,"-",VLOOKUP($B138,casostestes[#Data],5)),"-")</f>
        <v>-</v>
      </c>
      <c r="H138" s="50" t="str">
        <f>IFERROR(IF(VLOOKUP($B138,casostestes[#Data],6)=0,"-",VLOOKUP($B138,casostestes[#Data],6)),"-")</f>
        <v>-</v>
      </c>
      <c r="I138" s="50" t="str">
        <f>IFERROR(IF(VLOOKUP($B138,casostestes[#Data],8)=0,"-",VLOOKUP($B138,casostestes[#Data],8)),"-")</f>
        <v>-</v>
      </c>
      <c r="J138" s="50" t="str">
        <f>IFERROR(IF(VLOOKUP($B138,casostestes[#Data],9)=0,"-",VLOOKUP($B138,casostestes[#Data],9)),"-")</f>
        <v>-</v>
      </c>
      <c r="K138" s="51"/>
      <c r="L138" s="119"/>
      <c r="M138" s="53"/>
      <c r="N138" s="54"/>
      <c r="O138" s="54"/>
      <c r="P138" s="55"/>
    </row>
    <row r="139" spans="2:16">
      <c r="B139" s="56" t="str">
        <f>IF(ISERR(casostestes[[#This Row],[ID]]),"-",casostestes[[#This Row],[ID]])</f>
        <v>-</v>
      </c>
      <c r="C139" s="49" t="str">
        <f>IFERROR(IF(VLOOKUP($B139,casostestes[#Data],10)=0,"Não",VLOOKUP($B139,casostestes[#Data],10)), "-")</f>
        <v>-</v>
      </c>
      <c r="D139" s="50" t="str">
        <f>IFERROR(IF(VLOOKUP($B139,casostestes[#Data],2)=0,"-",VLOOKUP($B139,casostestes[#Data],2)), "-")</f>
        <v>-</v>
      </c>
      <c r="E139" s="50" t="str">
        <f>IFERROR(IF(VLOOKUP($B139,casostestes[#Data],3)=0,"-",VLOOKUP($B139,casostestes[#Data],3)), "-")</f>
        <v>-</v>
      </c>
      <c r="F139" s="50" t="str">
        <f>IFERROR(IF(VLOOKUP($B139,casostestes[#Data],4)=0,"-",VLOOKUP($B139,casostestes[#Data],4)),"-")</f>
        <v>-</v>
      </c>
      <c r="G139" s="50" t="str">
        <f>IFERROR(IF(VLOOKUP($B139,casostestes[#Data],5)=0,"-",VLOOKUP($B139,casostestes[#Data],5)),"-")</f>
        <v>-</v>
      </c>
      <c r="H139" s="50" t="str">
        <f>IFERROR(IF(VLOOKUP($B139,casostestes[#Data],6)=0,"-",VLOOKUP($B139,casostestes[#Data],6)),"-")</f>
        <v>-</v>
      </c>
      <c r="I139" s="50" t="str">
        <f>IFERROR(IF(VLOOKUP($B139,casostestes[#Data],8)=0,"-",VLOOKUP($B139,casostestes[#Data],8)),"-")</f>
        <v>-</v>
      </c>
      <c r="J139" s="50" t="str">
        <f>IFERROR(IF(VLOOKUP($B139,casostestes[#Data],9)=0,"-",VLOOKUP($B139,casostestes[#Data],9)),"-")</f>
        <v>-</v>
      </c>
      <c r="K139" s="51"/>
      <c r="L139" s="119"/>
      <c r="M139" s="53"/>
      <c r="N139" s="54"/>
      <c r="O139" s="54"/>
      <c r="P139" s="55"/>
    </row>
    <row r="140" spans="2:16">
      <c r="B140" s="56" t="str">
        <f>IF(ISERR(casostestes[[#This Row],[ID]]),"-",casostestes[[#This Row],[ID]])</f>
        <v>-</v>
      </c>
      <c r="C140" s="49" t="str">
        <f>IFERROR(IF(VLOOKUP($B140,casostestes[#Data],10)=0,"Não",VLOOKUP($B140,casostestes[#Data],10)), "-")</f>
        <v>-</v>
      </c>
      <c r="D140" s="50" t="str">
        <f>IFERROR(IF(VLOOKUP($B140,casostestes[#Data],2)=0,"-",VLOOKUP($B140,casostestes[#Data],2)), "-")</f>
        <v>-</v>
      </c>
      <c r="E140" s="50" t="str">
        <f>IFERROR(IF(VLOOKUP($B140,casostestes[#Data],3)=0,"-",VLOOKUP($B140,casostestes[#Data],3)), "-")</f>
        <v>-</v>
      </c>
      <c r="F140" s="50" t="str">
        <f>IFERROR(IF(VLOOKUP($B140,casostestes[#Data],4)=0,"-",VLOOKUP($B140,casostestes[#Data],4)),"-")</f>
        <v>-</v>
      </c>
      <c r="G140" s="50" t="str">
        <f>IFERROR(IF(VLOOKUP($B140,casostestes[#Data],5)=0,"-",VLOOKUP($B140,casostestes[#Data],5)),"-")</f>
        <v>-</v>
      </c>
      <c r="H140" s="50" t="str">
        <f>IFERROR(IF(VLOOKUP($B140,casostestes[#Data],6)=0,"-",VLOOKUP($B140,casostestes[#Data],6)),"-")</f>
        <v>-</v>
      </c>
      <c r="I140" s="50" t="str">
        <f>IFERROR(IF(VLOOKUP($B140,casostestes[#Data],8)=0,"-",VLOOKUP($B140,casostestes[#Data],8)),"-")</f>
        <v>-</v>
      </c>
      <c r="J140" s="50" t="str">
        <f>IFERROR(IF(VLOOKUP($B140,casostestes[#Data],9)=0,"-",VLOOKUP($B140,casostestes[#Data],9)),"-")</f>
        <v>-</v>
      </c>
      <c r="K140" s="51"/>
      <c r="L140" s="119"/>
      <c r="M140" s="53"/>
      <c r="N140" s="54"/>
      <c r="O140" s="54"/>
      <c r="P140" s="55"/>
    </row>
    <row r="141" spans="2:16">
      <c r="B141" s="56" t="str">
        <f>IF(ISERR(casostestes[[#This Row],[ID]]),"-",casostestes[[#This Row],[ID]])</f>
        <v>-</v>
      </c>
      <c r="C141" s="49" t="str">
        <f>IFERROR(IF(VLOOKUP($B141,casostestes[#Data],10)=0,"Não",VLOOKUP($B141,casostestes[#Data],10)), "-")</f>
        <v>-</v>
      </c>
      <c r="D141" s="50" t="str">
        <f>IFERROR(IF(VLOOKUP($B141,casostestes[#Data],2)=0,"-",VLOOKUP($B141,casostestes[#Data],2)), "-")</f>
        <v>-</v>
      </c>
      <c r="E141" s="50" t="str">
        <f>IFERROR(IF(VLOOKUP($B141,casostestes[#Data],3)=0,"-",VLOOKUP($B141,casostestes[#Data],3)), "-")</f>
        <v>-</v>
      </c>
      <c r="F141" s="50" t="str">
        <f>IFERROR(IF(VLOOKUP($B141,casostestes[#Data],4)=0,"-",VLOOKUP($B141,casostestes[#Data],4)),"-")</f>
        <v>-</v>
      </c>
      <c r="G141" s="50" t="str">
        <f>IFERROR(IF(VLOOKUP($B141,casostestes[#Data],5)=0,"-",VLOOKUP($B141,casostestes[#Data],5)),"-")</f>
        <v>-</v>
      </c>
      <c r="H141" s="50" t="str">
        <f>IFERROR(IF(VLOOKUP($B141,casostestes[#Data],6)=0,"-",VLOOKUP($B141,casostestes[#Data],6)),"-")</f>
        <v>-</v>
      </c>
      <c r="I141" s="50" t="str">
        <f>IFERROR(IF(VLOOKUP($B141,casostestes[#Data],8)=0,"-",VLOOKUP($B141,casostestes[#Data],8)),"-")</f>
        <v>-</v>
      </c>
      <c r="J141" s="50" t="str">
        <f>IFERROR(IF(VLOOKUP($B141,casostestes[#Data],9)=0,"-",VLOOKUP($B141,casostestes[#Data],9)),"-")</f>
        <v>-</v>
      </c>
      <c r="K141" s="51"/>
      <c r="L141" s="119"/>
      <c r="M141" s="53"/>
      <c r="N141" s="54"/>
      <c r="O141" s="54"/>
      <c r="P141" s="55"/>
    </row>
    <row r="142" spans="2:16">
      <c r="B142" s="56" t="str">
        <f>IF(ISERR(casostestes[[#This Row],[ID]]),"-",casostestes[[#This Row],[ID]])</f>
        <v>-</v>
      </c>
      <c r="C142" s="49" t="str">
        <f>IFERROR(IF(VLOOKUP($B142,casostestes[#Data],10)=0,"Não",VLOOKUP($B142,casostestes[#Data],10)), "-")</f>
        <v>-</v>
      </c>
      <c r="D142" s="50" t="str">
        <f>IFERROR(IF(VLOOKUP($B142,casostestes[#Data],2)=0,"-",VLOOKUP($B142,casostestes[#Data],2)), "-")</f>
        <v>-</v>
      </c>
      <c r="E142" s="50" t="str">
        <f>IFERROR(IF(VLOOKUP($B142,casostestes[#Data],3)=0,"-",VLOOKUP($B142,casostestes[#Data],3)), "-")</f>
        <v>-</v>
      </c>
      <c r="F142" s="50" t="str">
        <f>IFERROR(IF(VLOOKUP($B142,casostestes[#Data],4)=0,"-",VLOOKUP($B142,casostestes[#Data],4)),"-")</f>
        <v>-</v>
      </c>
      <c r="G142" s="50" t="str">
        <f>IFERROR(IF(VLOOKUP($B142,casostestes[#Data],5)=0,"-",VLOOKUP($B142,casostestes[#Data],5)),"-")</f>
        <v>-</v>
      </c>
      <c r="H142" s="50" t="str">
        <f>IFERROR(IF(VLOOKUP($B142,casostestes[#Data],6)=0,"-",VLOOKUP($B142,casostestes[#Data],6)),"-")</f>
        <v>-</v>
      </c>
      <c r="I142" s="50" t="str">
        <f>IFERROR(IF(VLOOKUP($B142,casostestes[#Data],8)=0,"-",VLOOKUP($B142,casostestes[#Data],8)),"-")</f>
        <v>-</v>
      </c>
      <c r="J142" s="50" t="str">
        <f>IFERROR(IF(VLOOKUP($B142,casostestes[#Data],9)=0,"-",VLOOKUP($B142,casostestes[#Data],9)),"-")</f>
        <v>-</v>
      </c>
      <c r="K142" s="51"/>
      <c r="L142" s="119"/>
      <c r="M142" s="53"/>
      <c r="N142" s="54"/>
      <c r="O142" s="54"/>
      <c r="P142" s="55"/>
    </row>
    <row r="143" spans="2:16">
      <c r="B143" s="56" t="str">
        <f>IF(ISERR(casostestes[[#This Row],[ID]]),"-",casostestes[[#This Row],[ID]])</f>
        <v>-</v>
      </c>
      <c r="C143" s="49" t="str">
        <f>IFERROR(IF(VLOOKUP($B143,casostestes[#Data],10)=0,"Não",VLOOKUP($B143,casostestes[#Data],10)), "-")</f>
        <v>-</v>
      </c>
      <c r="D143" s="50" t="str">
        <f>IFERROR(IF(VLOOKUP($B143,casostestes[#Data],2)=0,"-",VLOOKUP($B143,casostestes[#Data],2)), "-")</f>
        <v>-</v>
      </c>
      <c r="E143" s="50" t="str">
        <f>IFERROR(IF(VLOOKUP($B143,casostestes[#Data],3)=0,"-",VLOOKUP($B143,casostestes[#Data],3)), "-")</f>
        <v>-</v>
      </c>
      <c r="F143" s="50" t="str">
        <f>IFERROR(IF(VLOOKUP($B143,casostestes[#Data],4)=0,"-",VLOOKUP($B143,casostestes[#Data],4)),"-")</f>
        <v>-</v>
      </c>
      <c r="G143" s="50" t="str">
        <f>IFERROR(IF(VLOOKUP($B143,casostestes[#Data],5)=0,"-",VLOOKUP($B143,casostestes[#Data],5)),"-")</f>
        <v>-</v>
      </c>
      <c r="H143" s="50" t="str">
        <f>IFERROR(IF(VLOOKUP($B143,casostestes[#Data],6)=0,"-",VLOOKUP($B143,casostestes[#Data],6)),"-")</f>
        <v>-</v>
      </c>
      <c r="I143" s="50" t="str">
        <f>IFERROR(IF(VLOOKUP($B143,casostestes[#Data],8)=0,"-",VLOOKUP($B143,casostestes[#Data],8)),"-")</f>
        <v>-</v>
      </c>
      <c r="J143" s="50" t="str">
        <f>IFERROR(IF(VLOOKUP($B143,casostestes[#Data],9)=0,"-",VLOOKUP($B143,casostestes[#Data],9)),"-")</f>
        <v>-</v>
      </c>
      <c r="K143" s="51"/>
      <c r="L143" s="119"/>
      <c r="M143" s="53"/>
      <c r="N143" s="54"/>
      <c r="O143" s="54"/>
      <c r="P143" s="55"/>
    </row>
    <row r="144" spans="2:16">
      <c r="B144" s="56" t="str">
        <f>IF(ISERR(casostestes[[#This Row],[ID]]),"-",casostestes[[#This Row],[ID]])</f>
        <v>-</v>
      </c>
      <c r="C144" s="49" t="str">
        <f>IFERROR(IF(VLOOKUP($B144,casostestes[#Data],10)=0,"Não",VLOOKUP($B144,casostestes[#Data],10)), "-")</f>
        <v>-</v>
      </c>
      <c r="D144" s="50" t="str">
        <f>IFERROR(IF(VLOOKUP($B144,casostestes[#Data],2)=0,"-",VLOOKUP($B144,casostestes[#Data],2)), "-")</f>
        <v>-</v>
      </c>
      <c r="E144" s="50" t="str">
        <f>IFERROR(IF(VLOOKUP($B144,casostestes[#Data],3)=0,"-",VLOOKUP($B144,casostestes[#Data],3)), "-")</f>
        <v>-</v>
      </c>
      <c r="F144" s="50" t="str">
        <f>IFERROR(IF(VLOOKUP($B144,casostestes[#Data],4)=0,"-",VLOOKUP($B144,casostestes[#Data],4)),"-")</f>
        <v>-</v>
      </c>
      <c r="G144" s="50" t="str">
        <f>IFERROR(IF(VLOOKUP($B144,casostestes[#Data],5)=0,"-",VLOOKUP($B144,casostestes[#Data],5)),"-")</f>
        <v>-</v>
      </c>
      <c r="H144" s="50" t="str">
        <f>IFERROR(IF(VLOOKUP($B144,casostestes[#Data],6)=0,"-",VLOOKUP($B144,casostestes[#Data],6)),"-")</f>
        <v>-</v>
      </c>
      <c r="I144" s="50" t="str">
        <f>IFERROR(IF(VLOOKUP($B144,casostestes[#Data],8)=0,"-",VLOOKUP($B144,casostestes[#Data],8)),"-")</f>
        <v>-</v>
      </c>
      <c r="J144" s="50" t="str">
        <f>IFERROR(IF(VLOOKUP($B144,casostestes[#Data],9)=0,"-",VLOOKUP($B144,casostestes[#Data],9)),"-")</f>
        <v>-</v>
      </c>
      <c r="K144" s="51"/>
      <c r="L144" s="119"/>
      <c r="M144" s="53"/>
      <c r="N144" s="54"/>
      <c r="O144" s="54"/>
      <c r="P144" s="55"/>
    </row>
    <row r="145" spans="2:16">
      <c r="B145" s="56" t="str">
        <f>IF(ISERR(casostestes[[#This Row],[ID]]),"-",casostestes[[#This Row],[ID]])</f>
        <v>-</v>
      </c>
      <c r="C145" s="49" t="str">
        <f>IFERROR(IF(VLOOKUP($B145,casostestes[#Data],10)=0,"Não",VLOOKUP($B145,casostestes[#Data],10)), "-")</f>
        <v>-</v>
      </c>
      <c r="D145" s="50" t="str">
        <f>IFERROR(IF(VLOOKUP($B145,casostestes[#Data],2)=0,"-",VLOOKUP($B145,casostestes[#Data],2)), "-")</f>
        <v>-</v>
      </c>
      <c r="E145" s="50" t="str">
        <f>IFERROR(IF(VLOOKUP($B145,casostestes[#Data],3)=0,"-",VLOOKUP($B145,casostestes[#Data],3)), "-")</f>
        <v>-</v>
      </c>
      <c r="F145" s="50" t="str">
        <f>IFERROR(IF(VLOOKUP($B145,casostestes[#Data],4)=0,"-",VLOOKUP($B145,casostestes[#Data],4)),"-")</f>
        <v>-</v>
      </c>
      <c r="G145" s="50" t="str">
        <f>IFERROR(IF(VLOOKUP($B145,casostestes[#Data],5)=0,"-",VLOOKUP($B145,casostestes[#Data],5)),"-")</f>
        <v>-</v>
      </c>
      <c r="H145" s="50" t="str">
        <f>IFERROR(IF(VLOOKUP($B145,casostestes[#Data],6)=0,"-",VLOOKUP($B145,casostestes[#Data],6)),"-")</f>
        <v>-</v>
      </c>
      <c r="I145" s="50" t="str">
        <f>IFERROR(IF(VLOOKUP($B145,casostestes[#Data],8)=0,"-",VLOOKUP($B145,casostestes[#Data],8)),"-")</f>
        <v>-</v>
      </c>
      <c r="J145" s="50" t="str">
        <f>IFERROR(IF(VLOOKUP($B145,casostestes[#Data],9)=0,"-",VLOOKUP($B145,casostestes[#Data],9)),"-")</f>
        <v>-</v>
      </c>
      <c r="K145" s="51"/>
      <c r="L145" s="119"/>
      <c r="M145" s="53"/>
      <c r="N145" s="54"/>
      <c r="O145" s="54"/>
      <c r="P145" s="55"/>
    </row>
    <row r="146" spans="2:16">
      <c r="B146" s="56" t="str">
        <f>IF(ISERR(casostestes[[#This Row],[ID]]),"-",casostestes[[#This Row],[ID]])</f>
        <v>-</v>
      </c>
      <c r="C146" s="49" t="str">
        <f>IFERROR(IF(VLOOKUP($B146,casostestes[#Data],10)=0,"Não",VLOOKUP($B146,casostestes[#Data],10)), "-")</f>
        <v>-</v>
      </c>
      <c r="D146" s="50" t="str">
        <f>IFERROR(IF(VLOOKUP($B146,casostestes[#Data],2)=0,"-",VLOOKUP($B146,casostestes[#Data],2)), "-")</f>
        <v>-</v>
      </c>
      <c r="E146" s="50" t="str">
        <f>IFERROR(IF(VLOOKUP($B146,casostestes[#Data],3)=0,"-",VLOOKUP($B146,casostestes[#Data],3)), "-")</f>
        <v>-</v>
      </c>
      <c r="F146" s="50" t="str">
        <f>IFERROR(IF(VLOOKUP($B146,casostestes[#Data],4)=0,"-",VLOOKUP($B146,casostestes[#Data],4)),"-")</f>
        <v>-</v>
      </c>
      <c r="G146" s="50" t="str">
        <f>IFERROR(IF(VLOOKUP($B146,casostestes[#Data],5)=0,"-",VLOOKUP($B146,casostestes[#Data],5)),"-")</f>
        <v>-</v>
      </c>
      <c r="H146" s="50" t="str">
        <f>IFERROR(IF(VLOOKUP($B146,casostestes[#Data],6)=0,"-",VLOOKUP($B146,casostestes[#Data],6)),"-")</f>
        <v>-</v>
      </c>
      <c r="I146" s="50" t="str">
        <f>IFERROR(IF(VLOOKUP($B146,casostestes[#Data],8)=0,"-",VLOOKUP($B146,casostestes[#Data],8)),"-")</f>
        <v>-</v>
      </c>
      <c r="J146" s="50" t="str">
        <f>IFERROR(IF(VLOOKUP($B146,casostestes[#Data],9)=0,"-",VLOOKUP($B146,casostestes[#Data],9)),"-")</f>
        <v>-</v>
      </c>
      <c r="K146" s="51"/>
      <c r="L146" s="119"/>
      <c r="M146" s="53"/>
      <c r="N146" s="54"/>
      <c r="O146" s="54"/>
      <c r="P146" s="55"/>
    </row>
    <row r="147" spans="2:16">
      <c r="B147" s="56" t="str">
        <f>IF(ISERR(casostestes[[#This Row],[ID]]),"-",casostestes[[#This Row],[ID]])</f>
        <v>-</v>
      </c>
      <c r="C147" s="49" t="str">
        <f>IFERROR(IF(VLOOKUP($B147,casostestes[#Data],10)=0,"Não",VLOOKUP($B147,casostestes[#Data],10)), "-")</f>
        <v>-</v>
      </c>
      <c r="D147" s="50" t="str">
        <f>IFERROR(IF(VLOOKUP($B147,casostestes[#Data],2)=0,"-",VLOOKUP($B147,casostestes[#Data],2)), "-")</f>
        <v>-</v>
      </c>
      <c r="E147" s="50" t="str">
        <f>IFERROR(IF(VLOOKUP($B147,casostestes[#Data],3)=0,"-",VLOOKUP($B147,casostestes[#Data],3)), "-")</f>
        <v>-</v>
      </c>
      <c r="F147" s="50" t="str">
        <f>IFERROR(IF(VLOOKUP($B147,casostestes[#Data],4)=0,"-",VLOOKUP($B147,casostestes[#Data],4)),"-")</f>
        <v>-</v>
      </c>
      <c r="G147" s="50" t="str">
        <f>IFERROR(IF(VLOOKUP($B147,casostestes[#Data],5)=0,"-",VLOOKUP($B147,casostestes[#Data],5)),"-")</f>
        <v>-</v>
      </c>
      <c r="H147" s="50" t="str">
        <f>IFERROR(IF(VLOOKUP($B147,casostestes[#Data],6)=0,"-",VLOOKUP($B147,casostestes[#Data],6)),"-")</f>
        <v>-</v>
      </c>
      <c r="I147" s="50" t="str">
        <f>IFERROR(IF(VLOOKUP($B147,casostestes[#Data],8)=0,"-",VLOOKUP($B147,casostestes[#Data],8)),"-")</f>
        <v>-</v>
      </c>
      <c r="J147" s="50" t="str">
        <f>IFERROR(IF(VLOOKUP($B147,casostestes[#Data],9)=0,"-",VLOOKUP($B147,casostestes[#Data],9)),"-")</f>
        <v>-</v>
      </c>
      <c r="K147" s="51"/>
      <c r="L147" s="119"/>
      <c r="M147" s="53"/>
      <c r="N147" s="54"/>
      <c r="O147" s="54"/>
      <c r="P147" s="55"/>
    </row>
    <row r="148" spans="2:16">
      <c r="B148" s="56" t="str">
        <f>IF(ISERR(casostestes[[#This Row],[ID]]),"-",casostestes[[#This Row],[ID]])</f>
        <v>-</v>
      </c>
      <c r="C148" s="49" t="str">
        <f>IFERROR(IF(VLOOKUP($B148,casostestes[#Data],10)=0,"Não",VLOOKUP($B148,casostestes[#Data],10)), "-")</f>
        <v>-</v>
      </c>
      <c r="D148" s="50" t="str">
        <f>IFERROR(IF(VLOOKUP($B148,casostestes[#Data],2)=0,"-",VLOOKUP($B148,casostestes[#Data],2)), "-")</f>
        <v>-</v>
      </c>
      <c r="E148" s="50" t="str">
        <f>IFERROR(IF(VLOOKUP($B148,casostestes[#Data],3)=0,"-",VLOOKUP($B148,casostestes[#Data],3)), "-")</f>
        <v>-</v>
      </c>
      <c r="F148" s="50" t="str">
        <f>IFERROR(IF(VLOOKUP($B148,casostestes[#Data],4)=0,"-",VLOOKUP($B148,casostestes[#Data],4)),"-")</f>
        <v>-</v>
      </c>
      <c r="G148" s="50" t="str">
        <f>IFERROR(IF(VLOOKUP($B148,casostestes[#Data],5)=0,"-",VLOOKUP($B148,casostestes[#Data],5)),"-")</f>
        <v>-</v>
      </c>
      <c r="H148" s="50" t="str">
        <f>IFERROR(IF(VLOOKUP($B148,casostestes[#Data],6)=0,"-",VLOOKUP($B148,casostestes[#Data],6)),"-")</f>
        <v>-</v>
      </c>
      <c r="I148" s="50" t="str">
        <f>IFERROR(IF(VLOOKUP($B148,casostestes[#Data],8)=0,"-",VLOOKUP($B148,casostestes[#Data],8)),"-")</f>
        <v>-</v>
      </c>
      <c r="J148" s="50" t="str">
        <f>IFERROR(IF(VLOOKUP($B148,casostestes[#Data],9)=0,"-",VLOOKUP($B148,casostestes[#Data],9)),"-")</f>
        <v>-</v>
      </c>
      <c r="K148" s="51"/>
      <c r="L148" s="119"/>
      <c r="M148" s="53"/>
      <c r="N148" s="54"/>
      <c r="O148" s="54"/>
      <c r="P148" s="55"/>
    </row>
    <row r="149" spans="2:16">
      <c r="B149" s="56" t="str">
        <f>IF(ISERR(casostestes[[#This Row],[ID]]),"-",casostestes[[#This Row],[ID]])</f>
        <v>-</v>
      </c>
      <c r="C149" s="49" t="str">
        <f>IFERROR(IF(VLOOKUP($B149,casostestes[#Data],10)=0,"Não",VLOOKUP($B149,casostestes[#Data],10)), "-")</f>
        <v>-</v>
      </c>
      <c r="D149" s="50" t="str">
        <f>IFERROR(IF(VLOOKUP($B149,casostestes[#Data],2)=0,"-",VLOOKUP($B149,casostestes[#Data],2)), "-")</f>
        <v>-</v>
      </c>
      <c r="E149" s="50" t="str">
        <f>IFERROR(IF(VLOOKUP($B149,casostestes[#Data],3)=0,"-",VLOOKUP($B149,casostestes[#Data],3)), "-")</f>
        <v>-</v>
      </c>
      <c r="F149" s="50" t="str">
        <f>IFERROR(IF(VLOOKUP($B149,casostestes[#Data],4)=0,"-",VLOOKUP($B149,casostestes[#Data],4)),"-")</f>
        <v>-</v>
      </c>
      <c r="G149" s="50" t="str">
        <f>IFERROR(IF(VLOOKUP($B149,casostestes[#Data],5)=0,"-",VLOOKUP($B149,casostestes[#Data],5)),"-")</f>
        <v>-</v>
      </c>
      <c r="H149" s="50" t="str">
        <f>IFERROR(IF(VLOOKUP($B149,casostestes[#Data],6)=0,"-",VLOOKUP($B149,casostestes[#Data],6)),"-")</f>
        <v>-</v>
      </c>
      <c r="I149" s="50" t="str">
        <f>IFERROR(IF(VLOOKUP($B149,casostestes[#Data],8)=0,"-",VLOOKUP($B149,casostestes[#Data],8)),"-")</f>
        <v>-</v>
      </c>
      <c r="J149" s="50" t="str">
        <f>IFERROR(IF(VLOOKUP($B149,casostestes[#Data],9)=0,"-",VLOOKUP($B149,casostestes[#Data],9)),"-")</f>
        <v>-</v>
      </c>
      <c r="K149" s="51"/>
      <c r="L149" s="119"/>
      <c r="M149" s="53"/>
      <c r="N149" s="54"/>
      <c r="O149" s="54"/>
      <c r="P149" s="55"/>
    </row>
    <row r="150" spans="2:16">
      <c r="B150" s="56" t="str">
        <f>IF(ISERR(casostestes[[#This Row],[ID]]),"-",casostestes[[#This Row],[ID]])</f>
        <v>-</v>
      </c>
      <c r="C150" s="49" t="str">
        <f>IFERROR(IF(VLOOKUP($B150,casostestes[#Data],10)=0,"Não",VLOOKUP($B150,casostestes[#Data],10)), "-")</f>
        <v>-</v>
      </c>
      <c r="D150" s="50" t="str">
        <f>IFERROR(IF(VLOOKUP($B150,casostestes[#Data],2)=0,"-",VLOOKUP($B150,casostestes[#Data],2)), "-")</f>
        <v>-</v>
      </c>
      <c r="E150" s="50" t="str">
        <f>IFERROR(IF(VLOOKUP($B150,casostestes[#Data],3)=0,"-",VLOOKUP($B150,casostestes[#Data],3)), "-")</f>
        <v>-</v>
      </c>
      <c r="F150" s="50" t="str">
        <f>IFERROR(IF(VLOOKUP($B150,casostestes[#Data],4)=0,"-",VLOOKUP($B150,casostestes[#Data],4)),"-")</f>
        <v>-</v>
      </c>
      <c r="G150" s="50" t="str">
        <f>IFERROR(IF(VLOOKUP($B150,casostestes[#Data],5)=0,"-",VLOOKUP($B150,casostestes[#Data],5)),"-")</f>
        <v>-</v>
      </c>
      <c r="H150" s="50" t="str">
        <f>IFERROR(IF(VLOOKUP($B150,casostestes[#Data],6)=0,"-",VLOOKUP($B150,casostestes[#Data],6)),"-")</f>
        <v>-</v>
      </c>
      <c r="I150" s="50" t="str">
        <f>IFERROR(IF(VLOOKUP($B150,casostestes[#Data],8)=0,"-",VLOOKUP($B150,casostestes[#Data],8)),"-")</f>
        <v>-</v>
      </c>
      <c r="J150" s="50" t="str">
        <f>IFERROR(IF(VLOOKUP($B150,casostestes[#Data],9)=0,"-",VLOOKUP($B150,casostestes[#Data],9)),"-")</f>
        <v>-</v>
      </c>
      <c r="K150" s="51"/>
      <c r="L150" s="119"/>
      <c r="M150" s="53"/>
      <c r="N150" s="54"/>
      <c r="O150" s="54"/>
      <c r="P150" s="55"/>
    </row>
    <row r="151" spans="2:16">
      <c r="B151" s="56" t="str">
        <f>IF(ISERR(casostestes[[#This Row],[ID]]),"-",casostestes[[#This Row],[ID]])</f>
        <v>-</v>
      </c>
      <c r="C151" s="49" t="str">
        <f>IFERROR(IF(VLOOKUP($B151,casostestes[#Data],10)=0,"Não",VLOOKUP($B151,casostestes[#Data],10)), "-")</f>
        <v>-</v>
      </c>
      <c r="D151" s="50" t="str">
        <f>IFERROR(IF(VLOOKUP($B151,casostestes[#Data],2)=0,"-",VLOOKUP($B151,casostestes[#Data],2)), "-")</f>
        <v>-</v>
      </c>
      <c r="E151" s="50" t="str">
        <f>IFERROR(IF(VLOOKUP($B151,casostestes[#Data],3)=0,"-",VLOOKUP($B151,casostestes[#Data],3)), "-")</f>
        <v>-</v>
      </c>
      <c r="F151" s="50" t="str">
        <f>IFERROR(IF(VLOOKUP($B151,casostestes[#Data],4)=0,"-",VLOOKUP($B151,casostestes[#Data],4)),"-")</f>
        <v>-</v>
      </c>
      <c r="G151" s="50" t="str">
        <f>IFERROR(IF(VLOOKUP($B151,casostestes[#Data],5)=0,"-",VLOOKUP($B151,casostestes[#Data],5)),"-")</f>
        <v>-</v>
      </c>
      <c r="H151" s="50" t="str">
        <f>IFERROR(IF(VLOOKUP($B151,casostestes[#Data],6)=0,"-",VLOOKUP($B151,casostestes[#Data],6)),"-")</f>
        <v>-</v>
      </c>
      <c r="I151" s="50" t="str">
        <f>IFERROR(IF(VLOOKUP($B151,casostestes[#Data],8)=0,"-",VLOOKUP($B151,casostestes[#Data],8)),"-")</f>
        <v>-</v>
      </c>
      <c r="J151" s="50" t="str">
        <f>IFERROR(IF(VLOOKUP($B151,casostestes[#Data],9)=0,"-",VLOOKUP($B151,casostestes[#Data],9)),"-")</f>
        <v>-</v>
      </c>
      <c r="K151" s="51"/>
      <c r="L151" s="119"/>
      <c r="M151" s="53"/>
      <c r="N151" s="54"/>
      <c r="O151" s="54"/>
      <c r="P151" s="55"/>
    </row>
    <row r="152" spans="2:16">
      <c r="B152" s="56" t="str">
        <f>IF(ISERR(casostestes[[#This Row],[ID]]),"-",casostestes[[#This Row],[ID]])</f>
        <v>-</v>
      </c>
      <c r="C152" s="49" t="str">
        <f>IFERROR(IF(VLOOKUP($B152,casostestes[#Data],10)=0,"Não",VLOOKUP($B152,casostestes[#Data],10)), "-")</f>
        <v>-</v>
      </c>
      <c r="D152" s="50" t="str">
        <f>IFERROR(IF(VLOOKUP($B152,casostestes[#Data],2)=0,"-",VLOOKUP($B152,casostestes[#Data],2)), "-")</f>
        <v>-</v>
      </c>
      <c r="E152" s="50" t="str">
        <f>IFERROR(IF(VLOOKUP($B152,casostestes[#Data],3)=0,"-",VLOOKUP($B152,casostestes[#Data],3)), "-")</f>
        <v>-</v>
      </c>
      <c r="F152" s="50" t="str">
        <f>IFERROR(IF(VLOOKUP($B152,casostestes[#Data],4)=0,"-",VLOOKUP($B152,casostestes[#Data],4)),"-")</f>
        <v>-</v>
      </c>
      <c r="G152" s="50" t="str">
        <f>IFERROR(IF(VLOOKUP($B152,casostestes[#Data],5)=0,"-",VLOOKUP($B152,casostestes[#Data],5)),"-")</f>
        <v>-</v>
      </c>
      <c r="H152" s="50" t="str">
        <f>IFERROR(IF(VLOOKUP($B152,casostestes[#Data],6)=0,"-",VLOOKUP($B152,casostestes[#Data],6)),"-")</f>
        <v>-</v>
      </c>
      <c r="I152" s="50" t="str">
        <f>IFERROR(IF(VLOOKUP($B152,casostestes[#Data],8)=0,"-",VLOOKUP($B152,casostestes[#Data],8)),"-")</f>
        <v>-</v>
      </c>
      <c r="J152" s="50" t="str">
        <f>IFERROR(IF(VLOOKUP($B152,casostestes[#Data],9)=0,"-",VLOOKUP($B152,casostestes[#Data],9)),"-")</f>
        <v>-</v>
      </c>
      <c r="K152" s="51"/>
      <c r="L152" s="119"/>
      <c r="M152" s="53"/>
      <c r="N152" s="54"/>
      <c r="O152" s="54"/>
      <c r="P152" s="55"/>
    </row>
    <row r="153" spans="2:16">
      <c r="B153" s="56" t="str">
        <f>IF(ISERR(casostestes[[#This Row],[ID]]),"-",casostestes[[#This Row],[ID]])</f>
        <v>-</v>
      </c>
      <c r="C153" s="49" t="str">
        <f>IFERROR(IF(VLOOKUP($B153,casostestes[#Data],10)=0,"Não",VLOOKUP($B153,casostestes[#Data],10)), "-")</f>
        <v>-</v>
      </c>
      <c r="D153" s="50" t="str">
        <f>IFERROR(IF(VLOOKUP($B153,casostestes[#Data],2)=0,"-",VLOOKUP($B153,casostestes[#Data],2)), "-")</f>
        <v>-</v>
      </c>
      <c r="E153" s="50" t="str">
        <f>IFERROR(IF(VLOOKUP($B153,casostestes[#Data],3)=0,"-",VLOOKUP($B153,casostestes[#Data],3)), "-")</f>
        <v>-</v>
      </c>
      <c r="F153" s="50" t="str">
        <f>IFERROR(IF(VLOOKUP($B153,casostestes[#Data],4)=0,"-",VLOOKUP($B153,casostestes[#Data],4)),"-")</f>
        <v>-</v>
      </c>
      <c r="G153" s="50" t="str">
        <f>IFERROR(IF(VLOOKUP($B153,casostestes[#Data],5)=0,"-",VLOOKUP($B153,casostestes[#Data],5)),"-")</f>
        <v>-</v>
      </c>
      <c r="H153" s="50" t="str">
        <f>IFERROR(IF(VLOOKUP($B153,casostestes[#Data],6)=0,"-",VLOOKUP($B153,casostestes[#Data],6)),"-")</f>
        <v>-</v>
      </c>
      <c r="I153" s="50" t="str">
        <f>IFERROR(IF(VLOOKUP($B153,casostestes[#Data],8)=0,"-",VLOOKUP($B153,casostestes[#Data],8)),"-")</f>
        <v>-</v>
      </c>
      <c r="J153" s="50" t="str">
        <f>IFERROR(IF(VLOOKUP($B153,casostestes[#Data],9)=0,"-",VLOOKUP($B153,casostestes[#Data],9)),"-")</f>
        <v>-</v>
      </c>
      <c r="K153" s="51"/>
      <c r="L153" s="119"/>
      <c r="M153" s="53"/>
      <c r="N153" s="54"/>
      <c r="O153" s="54"/>
      <c r="P153" s="55"/>
    </row>
    <row r="154" spans="2:16">
      <c r="B154" s="56" t="str">
        <f>IF(ISERR(casostestes[[#This Row],[ID]]),"-",casostestes[[#This Row],[ID]])</f>
        <v>-</v>
      </c>
      <c r="C154" s="49" t="str">
        <f>IFERROR(IF(VLOOKUP($B154,casostestes[#Data],10)=0,"Não",VLOOKUP($B154,casostestes[#Data],10)), "-")</f>
        <v>-</v>
      </c>
      <c r="D154" s="50" t="str">
        <f>IFERROR(IF(VLOOKUP($B154,casostestes[#Data],2)=0,"-",VLOOKUP($B154,casostestes[#Data],2)), "-")</f>
        <v>-</v>
      </c>
      <c r="E154" s="50" t="str">
        <f>IFERROR(IF(VLOOKUP($B154,casostestes[#Data],3)=0,"-",VLOOKUP($B154,casostestes[#Data],3)), "-")</f>
        <v>-</v>
      </c>
      <c r="F154" s="50" t="str">
        <f>IFERROR(IF(VLOOKUP($B154,casostestes[#Data],4)=0,"-",VLOOKUP($B154,casostestes[#Data],4)),"-")</f>
        <v>-</v>
      </c>
      <c r="G154" s="50" t="str">
        <f>IFERROR(IF(VLOOKUP($B154,casostestes[#Data],5)=0,"-",VLOOKUP($B154,casostestes[#Data],5)),"-")</f>
        <v>-</v>
      </c>
      <c r="H154" s="50" t="str">
        <f>IFERROR(IF(VLOOKUP($B154,casostestes[#Data],6)=0,"-",VLOOKUP($B154,casostestes[#Data],6)),"-")</f>
        <v>-</v>
      </c>
      <c r="I154" s="50" t="str">
        <f>IFERROR(IF(VLOOKUP($B154,casostestes[#Data],8)=0,"-",VLOOKUP($B154,casostestes[#Data],8)),"-")</f>
        <v>-</v>
      </c>
      <c r="J154" s="50" t="str">
        <f>IFERROR(IF(VLOOKUP($B154,casostestes[#Data],9)=0,"-",VLOOKUP($B154,casostestes[#Data],9)),"-")</f>
        <v>-</v>
      </c>
      <c r="K154" s="51"/>
      <c r="L154" s="119"/>
      <c r="M154" s="53"/>
      <c r="N154" s="54"/>
      <c r="O154" s="54"/>
      <c r="P154" s="55"/>
    </row>
    <row r="155" spans="2:16">
      <c r="B155" s="56" t="str">
        <f>IF(ISERR(casostestes[[#This Row],[ID]]),"-",casostestes[[#This Row],[ID]])</f>
        <v>-</v>
      </c>
      <c r="C155" s="49" t="str">
        <f>IFERROR(IF(VLOOKUP($B155,casostestes[#Data],10)=0,"Não",VLOOKUP($B155,casostestes[#Data],10)), "-")</f>
        <v>-</v>
      </c>
      <c r="D155" s="50" t="str">
        <f>IFERROR(IF(VLOOKUP($B155,casostestes[#Data],2)=0,"-",VLOOKUP($B155,casostestes[#Data],2)), "-")</f>
        <v>-</v>
      </c>
      <c r="E155" s="50" t="str">
        <f>IFERROR(IF(VLOOKUP($B155,casostestes[#Data],3)=0,"-",VLOOKUP($B155,casostestes[#Data],3)), "-")</f>
        <v>-</v>
      </c>
      <c r="F155" s="50" t="str">
        <f>IFERROR(IF(VLOOKUP($B155,casostestes[#Data],4)=0,"-",VLOOKUP($B155,casostestes[#Data],4)),"-")</f>
        <v>-</v>
      </c>
      <c r="G155" s="50" t="str">
        <f>IFERROR(IF(VLOOKUP($B155,casostestes[#Data],5)=0,"-",VLOOKUP($B155,casostestes[#Data],5)),"-")</f>
        <v>-</v>
      </c>
      <c r="H155" s="50" t="str">
        <f>IFERROR(IF(VLOOKUP($B155,casostestes[#Data],6)=0,"-",VLOOKUP($B155,casostestes[#Data],6)),"-")</f>
        <v>-</v>
      </c>
      <c r="I155" s="50" t="str">
        <f>IFERROR(IF(VLOOKUP($B155,casostestes[#Data],8)=0,"-",VLOOKUP($B155,casostestes[#Data],8)),"-")</f>
        <v>-</v>
      </c>
      <c r="J155" s="50" t="str">
        <f>IFERROR(IF(VLOOKUP($B155,casostestes[#Data],9)=0,"-",VLOOKUP($B155,casostestes[#Data],9)),"-")</f>
        <v>-</v>
      </c>
      <c r="K155" s="51"/>
      <c r="L155" s="119"/>
      <c r="M155" s="53"/>
      <c r="N155" s="54"/>
      <c r="O155" s="54"/>
      <c r="P155" s="55"/>
    </row>
    <row r="156" spans="2:16">
      <c r="B156" s="56" t="str">
        <f>IF(ISERR(casostestes[[#This Row],[ID]]),"-",casostestes[[#This Row],[ID]])</f>
        <v>-</v>
      </c>
      <c r="C156" s="49" t="str">
        <f>IFERROR(IF(VLOOKUP($B156,casostestes[#Data],10)=0,"Não",VLOOKUP($B156,casostestes[#Data],10)), "-")</f>
        <v>-</v>
      </c>
      <c r="D156" s="50" t="str">
        <f>IFERROR(IF(VLOOKUP($B156,casostestes[#Data],2)=0,"-",VLOOKUP($B156,casostestes[#Data],2)), "-")</f>
        <v>-</v>
      </c>
      <c r="E156" s="50" t="str">
        <f>IFERROR(IF(VLOOKUP($B156,casostestes[#Data],3)=0,"-",VLOOKUP($B156,casostestes[#Data],3)), "-")</f>
        <v>-</v>
      </c>
      <c r="F156" s="50" t="str">
        <f>IFERROR(IF(VLOOKUP($B156,casostestes[#Data],4)=0,"-",VLOOKUP($B156,casostestes[#Data],4)),"-")</f>
        <v>-</v>
      </c>
      <c r="G156" s="50" t="str">
        <f>IFERROR(IF(VLOOKUP($B156,casostestes[#Data],5)=0,"-",VLOOKUP($B156,casostestes[#Data],5)),"-")</f>
        <v>-</v>
      </c>
      <c r="H156" s="50" t="str">
        <f>IFERROR(IF(VLOOKUP($B156,casostestes[#Data],6)=0,"-",VLOOKUP($B156,casostestes[#Data],6)),"-")</f>
        <v>-</v>
      </c>
      <c r="I156" s="50" t="str">
        <f>IFERROR(IF(VLOOKUP($B156,casostestes[#Data],8)=0,"-",VLOOKUP($B156,casostestes[#Data],8)),"-")</f>
        <v>-</v>
      </c>
      <c r="J156" s="50" t="str">
        <f>IFERROR(IF(VLOOKUP($B156,casostestes[#Data],9)=0,"-",VLOOKUP($B156,casostestes[#Data],9)),"-")</f>
        <v>-</v>
      </c>
      <c r="K156" s="51"/>
      <c r="L156" s="119"/>
      <c r="M156" s="53"/>
      <c r="N156" s="54"/>
      <c r="O156" s="54"/>
      <c r="P156" s="55"/>
    </row>
    <row r="157" spans="2:16">
      <c r="B157" s="56" t="str">
        <f>IF(ISERR(casostestes[[#This Row],[ID]]),"-",casostestes[[#This Row],[ID]])</f>
        <v>-</v>
      </c>
      <c r="C157" s="49" t="str">
        <f>IFERROR(IF(VLOOKUP($B157,casostestes[#Data],10)=0,"Não",VLOOKUP($B157,casostestes[#Data],10)), "-")</f>
        <v>-</v>
      </c>
      <c r="D157" s="50" t="str">
        <f>IFERROR(IF(VLOOKUP($B157,casostestes[#Data],2)=0,"-",VLOOKUP($B157,casostestes[#Data],2)), "-")</f>
        <v>-</v>
      </c>
      <c r="E157" s="50" t="str">
        <f>IFERROR(IF(VLOOKUP($B157,casostestes[#Data],3)=0,"-",VLOOKUP($B157,casostestes[#Data],3)), "-")</f>
        <v>-</v>
      </c>
      <c r="F157" s="50" t="str">
        <f>IFERROR(IF(VLOOKUP($B157,casostestes[#Data],4)=0,"-",VLOOKUP($B157,casostestes[#Data],4)),"-")</f>
        <v>-</v>
      </c>
      <c r="G157" s="50" t="str">
        <f>IFERROR(IF(VLOOKUP($B157,casostestes[#Data],5)=0,"-",VLOOKUP($B157,casostestes[#Data],5)),"-")</f>
        <v>-</v>
      </c>
      <c r="H157" s="50" t="str">
        <f>IFERROR(IF(VLOOKUP($B157,casostestes[#Data],6)=0,"-",VLOOKUP($B157,casostestes[#Data],6)),"-")</f>
        <v>-</v>
      </c>
      <c r="I157" s="50" t="str">
        <f>IFERROR(IF(VLOOKUP($B157,casostestes[#Data],8)=0,"-",VLOOKUP($B157,casostestes[#Data],8)),"-")</f>
        <v>-</v>
      </c>
      <c r="J157" s="50" t="str">
        <f>IFERROR(IF(VLOOKUP($B157,casostestes[#Data],9)=0,"-",VLOOKUP($B157,casostestes[#Data],9)),"-")</f>
        <v>-</v>
      </c>
      <c r="K157" s="51"/>
      <c r="L157" s="119"/>
      <c r="M157" s="53"/>
      <c r="N157" s="54"/>
      <c r="O157" s="54"/>
      <c r="P157" s="55"/>
    </row>
    <row r="158" spans="2:16">
      <c r="B158" s="56" t="str">
        <f>IF(ISERR(casostestes[[#This Row],[ID]]),"-",casostestes[[#This Row],[ID]])</f>
        <v>-</v>
      </c>
      <c r="C158" s="49" t="str">
        <f>IFERROR(IF(VLOOKUP($B158,casostestes[#Data],10)=0,"Não",VLOOKUP($B158,casostestes[#Data],10)), "-")</f>
        <v>-</v>
      </c>
      <c r="D158" s="50" t="str">
        <f>IFERROR(IF(VLOOKUP($B158,casostestes[#Data],2)=0,"-",VLOOKUP($B158,casostestes[#Data],2)), "-")</f>
        <v>-</v>
      </c>
      <c r="E158" s="50" t="str">
        <f>IFERROR(IF(VLOOKUP($B158,casostestes[#Data],3)=0,"-",VLOOKUP($B158,casostestes[#Data],3)), "-")</f>
        <v>-</v>
      </c>
      <c r="F158" s="50" t="str">
        <f>IFERROR(IF(VLOOKUP($B158,casostestes[#Data],4)=0,"-",VLOOKUP($B158,casostestes[#Data],4)),"-")</f>
        <v>-</v>
      </c>
      <c r="G158" s="50" t="str">
        <f>IFERROR(IF(VLOOKUP($B158,casostestes[#Data],5)=0,"-",VLOOKUP($B158,casostestes[#Data],5)),"-")</f>
        <v>-</v>
      </c>
      <c r="H158" s="50" t="str">
        <f>IFERROR(IF(VLOOKUP($B158,casostestes[#Data],6)=0,"-",VLOOKUP($B158,casostestes[#Data],6)),"-")</f>
        <v>-</v>
      </c>
      <c r="I158" s="50" t="str">
        <f>IFERROR(IF(VLOOKUP($B158,casostestes[#Data],8)=0,"-",VLOOKUP($B158,casostestes[#Data],8)),"-")</f>
        <v>-</v>
      </c>
      <c r="J158" s="50" t="str">
        <f>IFERROR(IF(VLOOKUP($B158,casostestes[#Data],9)=0,"-",VLOOKUP($B158,casostestes[#Data],9)),"-")</f>
        <v>-</v>
      </c>
      <c r="K158" s="51"/>
      <c r="L158" s="119"/>
      <c r="M158" s="53"/>
      <c r="N158" s="54"/>
      <c r="O158" s="54"/>
      <c r="P158" s="55"/>
    </row>
    <row r="159" spans="2:16">
      <c r="B159" s="56" t="str">
        <f>IF(ISERR(casostestes[[#This Row],[ID]]),"-",casostestes[[#This Row],[ID]])</f>
        <v>-</v>
      </c>
      <c r="C159" s="49" t="str">
        <f>IFERROR(IF(VLOOKUP($B159,casostestes[#Data],10)=0,"Não",VLOOKUP($B159,casostestes[#Data],10)), "-")</f>
        <v>-</v>
      </c>
      <c r="D159" s="50" t="str">
        <f>IFERROR(IF(VLOOKUP($B159,casostestes[#Data],2)=0,"-",VLOOKUP($B159,casostestes[#Data],2)), "-")</f>
        <v>-</v>
      </c>
      <c r="E159" s="50" t="str">
        <f>IFERROR(IF(VLOOKUP($B159,casostestes[#Data],3)=0,"-",VLOOKUP($B159,casostestes[#Data],3)), "-")</f>
        <v>-</v>
      </c>
      <c r="F159" s="50" t="str">
        <f>IFERROR(IF(VLOOKUP($B159,casostestes[#Data],4)=0,"-",VLOOKUP($B159,casostestes[#Data],4)),"-")</f>
        <v>-</v>
      </c>
      <c r="G159" s="50" t="str">
        <f>IFERROR(IF(VLOOKUP($B159,casostestes[#Data],5)=0,"-",VLOOKUP($B159,casostestes[#Data],5)),"-")</f>
        <v>-</v>
      </c>
      <c r="H159" s="50" t="str">
        <f>IFERROR(IF(VLOOKUP($B159,casostestes[#Data],6)=0,"-",VLOOKUP($B159,casostestes[#Data],6)),"-")</f>
        <v>-</v>
      </c>
      <c r="I159" s="50" t="str">
        <f>IFERROR(IF(VLOOKUP($B159,casostestes[#Data],8)=0,"-",VLOOKUP($B159,casostestes[#Data],8)),"-")</f>
        <v>-</v>
      </c>
      <c r="J159" s="50" t="str">
        <f>IFERROR(IF(VLOOKUP($B159,casostestes[#Data],9)=0,"-",VLOOKUP($B159,casostestes[#Data],9)),"-")</f>
        <v>-</v>
      </c>
      <c r="K159" s="51"/>
      <c r="L159" s="119"/>
      <c r="M159" s="53"/>
      <c r="N159" s="54"/>
      <c r="O159" s="54"/>
      <c r="P159" s="55"/>
    </row>
    <row r="160" spans="2:16">
      <c r="B160" s="56" t="str">
        <f>IF(ISERR(casostestes[[#This Row],[ID]]),"-",casostestes[[#This Row],[ID]])</f>
        <v>-</v>
      </c>
      <c r="C160" s="49" t="str">
        <f>IFERROR(IF(VLOOKUP($B160,casostestes[#Data],10)=0,"Não",VLOOKUP($B160,casostestes[#Data],10)), "-")</f>
        <v>-</v>
      </c>
      <c r="D160" s="50" t="str">
        <f>IFERROR(IF(VLOOKUP($B160,casostestes[#Data],2)=0,"-",VLOOKUP($B160,casostestes[#Data],2)), "-")</f>
        <v>-</v>
      </c>
      <c r="E160" s="50" t="str">
        <f>IFERROR(IF(VLOOKUP($B160,casostestes[#Data],3)=0,"-",VLOOKUP($B160,casostestes[#Data],3)), "-")</f>
        <v>-</v>
      </c>
      <c r="F160" s="50" t="str">
        <f>IFERROR(IF(VLOOKUP($B160,casostestes[#Data],4)=0,"-",VLOOKUP($B160,casostestes[#Data],4)),"-")</f>
        <v>-</v>
      </c>
      <c r="G160" s="50" t="str">
        <f>IFERROR(IF(VLOOKUP($B160,casostestes[#Data],5)=0,"-",VLOOKUP($B160,casostestes[#Data],5)),"-")</f>
        <v>-</v>
      </c>
      <c r="H160" s="50" t="str">
        <f>IFERROR(IF(VLOOKUP($B160,casostestes[#Data],6)=0,"-",VLOOKUP($B160,casostestes[#Data],6)),"-")</f>
        <v>-</v>
      </c>
      <c r="I160" s="50" t="str">
        <f>IFERROR(IF(VLOOKUP($B160,casostestes[#Data],8)=0,"-",VLOOKUP($B160,casostestes[#Data],8)),"-")</f>
        <v>-</v>
      </c>
      <c r="J160" s="50" t="str">
        <f>IFERROR(IF(VLOOKUP($B160,casostestes[#Data],9)=0,"-",VLOOKUP($B160,casostestes[#Data],9)),"-")</f>
        <v>-</v>
      </c>
      <c r="K160" s="51"/>
      <c r="L160" s="119"/>
      <c r="M160" s="53"/>
      <c r="N160" s="54"/>
      <c r="O160" s="54"/>
      <c r="P160" s="55"/>
    </row>
    <row r="161" spans="2:16">
      <c r="B161" s="56" t="str">
        <f>IF(ISERR(casostestes[[#This Row],[ID]]),"-",casostestes[[#This Row],[ID]])</f>
        <v>-</v>
      </c>
      <c r="C161" s="49" t="str">
        <f>IFERROR(IF(VLOOKUP($B161,casostestes[#Data],10)=0,"Não",VLOOKUP($B161,casostestes[#Data],10)), "-")</f>
        <v>-</v>
      </c>
      <c r="D161" s="50" t="str">
        <f>IFERROR(IF(VLOOKUP($B161,casostestes[#Data],2)=0,"-",VLOOKUP($B161,casostestes[#Data],2)), "-")</f>
        <v>-</v>
      </c>
      <c r="E161" s="50" t="str">
        <f>IFERROR(IF(VLOOKUP($B161,casostestes[#Data],3)=0,"-",VLOOKUP($B161,casostestes[#Data],3)), "-")</f>
        <v>-</v>
      </c>
      <c r="F161" s="50" t="str">
        <f>IFERROR(IF(VLOOKUP($B161,casostestes[#Data],4)=0,"-",VLOOKUP($B161,casostestes[#Data],4)),"-")</f>
        <v>-</v>
      </c>
      <c r="G161" s="50" t="str">
        <f>IFERROR(IF(VLOOKUP($B161,casostestes[#Data],5)=0,"-",VLOOKUP($B161,casostestes[#Data],5)),"-")</f>
        <v>-</v>
      </c>
      <c r="H161" s="50" t="str">
        <f>IFERROR(IF(VLOOKUP($B161,casostestes[#Data],6)=0,"-",VLOOKUP($B161,casostestes[#Data],6)),"-")</f>
        <v>-</v>
      </c>
      <c r="I161" s="50" t="str">
        <f>IFERROR(IF(VLOOKUP($B161,casostestes[#Data],8)=0,"-",VLOOKUP($B161,casostestes[#Data],8)),"-")</f>
        <v>-</v>
      </c>
      <c r="J161" s="50" t="str">
        <f>IFERROR(IF(VLOOKUP($B161,casostestes[#Data],9)=0,"-",VLOOKUP($B161,casostestes[#Data],9)),"-")</f>
        <v>-</v>
      </c>
      <c r="K161" s="51"/>
      <c r="L161" s="119"/>
      <c r="M161" s="53"/>
      <c r="N161" s="54"/>
      <c r="O161" s="54"/>
      <c r="P161" s="55"/>
    </row>
    <row r="162" spans="2:16">
      <c r="B162" s="56" t="str">
        <f>IF(ISERR(casostestes[[#This Row],[ID]]),"-",casostestes[[#This Row],[ID]])</f>
        <v>-</v>
      </c>
      <c r="C162" s="49" t="str">
        <f>IFERROR(IF(VLOOKUP($B162,casostestes[#Data],10)=0,"Não",VLOOKUP($B162,casostestes[#Data],10)), "-")</f>
        <v>-</v>
      </c>
      <c r="D162" s="50" t="str">
        <f>IFERROR(IF(VLOOKUP($B162,casostestes[#Data],2)=0,"-",VLOOKUP($B162,casostestes[#Data],2)), "-")</f>
        <v>-</v>
      </c>
      <c r="E162" s="50" t="str">
        <f>IFERROR(IF(VLOOKUP($B162,casostestes[#Data],3)=0,"-",VLOOKUP($B162,casostestes[#Data],3)), "-")</f>
        <v>-</v>
      </c>
      <c r="F162" s="50" t="str">
        <f>IFERROR(IF(VLOOKUP($B162,casostestes[#Data],4)=0,"-",VLOOKUP($B162,casostestes[#Data],4)),"-")</f>
        <v>-</v>
      </c>
      <c r="G162" s="50" t="str">
        <f>IFERROR(IF(VLOOKUP($B162,casostestes[#Data],5)=0,"-",VLOOKUP($B162,casostestes[#Data],5)),"-")</f>
        <v>-</v>
      </c>
      <c r="H162" s="50" t="str">
        <f>IFERROR(IF(VLOOKUP($B162,casostestes[#Data],6)=0,"-",VLOOKUP($B162,casostestes[#Data],6)),"-")</f>
        <v>-</v>
      </c>
      <c r="I162" s="50" t="str">
        <f>IFERROR(IF(VLOOKUP($B162,casostestes[#Data],8)=0,"-",VLOOKUP($B162,casostestes[#Data],8)),"-")</f>
        <v>-</v>
      </c>
      <c r="J162" s="50" t="str">
        <f>IFERROR(IF(VLOOKUP($B162,casostestes[#Data],9)=0,"-",VLOOKUP($B162,casostestes[#Data],9)),"-")</f>
        <v>-</v>
      </c>
      <c r="K162" s="51"/>
      <c r="L162" s="119"/>
      <c r="M162" s="53"/>
      <c r="N162" s="54"/>
      <c r="O162" s="54"/>
      <c r="P162" s="55"/>
    </row>
    <row r="163" spans="2:16">
      <c r="B163" s="56" t="str">
        <f>IF(ISERR(casostestes[[#This Row],[ID]]),"-",casostestes[[#This Row],[ID]])</f>
        <v>-</v>
      </c>
      <c r="C163" s="49" t="str">
        <f>IFERROR(IF(VLOOKUP($B163,casostestes[#Data],10)=0,"Não",VLOOKUP($B163,casostestes[#Data],10)), "-")</f>
        <v>-</v>
      </c>
      <c r="D163" s="50" t="str">
        <f>IFERROR(IF(VLOOKUP($B163,casostestes[#Data],2)=0,"-",VLOOKUP($B163,casostestes[#Data],2)), "-")</f>
        <v>-</v>
      </c>
      <c r="E163" s="50" t="str">
        <f>IFERROR(IF(VLOOKUP($B163,casostestes[#Data],3)=0,"-",VLOOKUP($B163,casostestes[#Data],3)), "-")</f>
        <v>-</v>
      </c>
      <c r="F163" s="50" t="str">
        <f>IFERROR(IF(VLOOKUP($B163,casostestes[#Data],4)=0,"-",VLOOKUP($B163,casostestes[#Data],4)),"-")</f>
        <v>-</v>
      </c>
      <c r="G163" s="50" t="str">
        <f>IFERROR(IF(VLOOKUP($B163,casostestes[#Data],5)=0,"-",VLOOKUP($B163,casostestes[#Data],5)),"-")</f>
        <v>-</v>
      </c>
      <c r="H163" s="50" t="str">
        <f>IFERROR(IF(VLOOKUP($B163,casostestes[#Data],6)=0,"-",VLOOKUP($B163,casostestes[#Data],6)),"-")</f>
        <v>-</v>
      </c>
      <c r="I163" s="50" t="str">
        <f>IFERROR(IF(VLOOKUP($B163,casostestes[#Data],8)=0,"-",VLOOKUP($B163,casostestes[#Data],8)),"-")</f>
        <v>-</v>
      </c>
      <c r="J163" s="50" t="str">
        <f>IFERROR(IF(VLOOKUP($B163,casostestes[#Data],9)=0,"-",VLOOKUP($B163,casostestes[#Data],9)),"-")</f>
        <v>-</v>
      </c>
      <c r="K163" s="51"/>
      <c r="L163" s="119"/>
      <c r="M163" s="53"/>
      <c r="N163" s="54"/>
      <c r="O163" s="54"/>
      <c r="P163" s="55"/>
    </row>
    <row r="164" spans="2:16">
      <c r="B164" s="56" t="str">
        <f>IF(ISERR(casostestes[[#This Row],[ID]]),"-",casostestes[[#This Row],[ID]])</f>
        <v>-</v>
      </c>
      <c r="C164" s="49" t="str">
        <f>IFERROR(IF(VLOOKUP($B164,casostestes[#Data],10)=0,"Não",VLOOKUP($B164,casostestes[#Data],10)), "-")</f>
        <v>-</v>
      </c>
      <c r="D164" s="50" t="str">
        <f>IFERROR(IF(VLOOKUP($B164,casostestes[#Data],2)=0,"-",VLOOKUP($B164,casostestes[#Data],2)), "-")</f>
        <v>-</v>
      </c>
      <c r="E164" s="50" t="str">
        <f>IFERROR(IF(VLOOKUP($B164,casostestes[#Data],3)=0,"-",VLOOKUP($B164,casostestes[#Data],3)), "-")</f>
        <v>-</v>
      </c>
      <c r="F164" s="50" t="str">
        <f>IFERROR(IF(VLOOKUP($B164,casostestes[#Data],4)=0,"-",VLOOKUP($B164,casostestes[#Data],4)),"-")</f>
        <v>-</v>
      </c>
      <c r="G164" s="50" t="str">
        <f>IFERROR(IF(VLOOKUP($B164,casostestes[#Data],5)=0,"-",VLOOKUP($B164,casostestes[#Data],5)),"-")</f>
        <v>-</v>
      </c>
      <c r="H164" s="50" t="str">
        <f>IFERROR(IF(VLOOKUP($B164,casostestes[#Data],6)=0,"-",VLOOKUP($B164,casostestes[#Data],6)),"-")</f>
        <v>-</v>
      </c>
      <c r="I164" s="50" t="str">
        <f>IFERROR(IF(VLOOKUP($B164,casostestes[#Data],8)=0,"-",VLOOKUP($B164,casostestes[#Data],8)),"-")</f>
        <v>-</v>
      </c>
      <c r="J164" s="50" t="str">
        <f>IFERROR(IF(VLOOKUP($B164,casostestes[#Data],9)=0,"-",VLOOKUP($B164,casostestes[#Data],9)),"-")</f>
        <v>-</v>
      </c>
      <c r="K164" s="51"/>
      <c r="L164" s="119"/>
      <c r="M164" s="53"/>
      <c r="N164" s="54"/>
      <c r="O164" s="54"/>
      <c r="P164" s="55"/>
    </row>
    <row r="165" spans="2:16">
      <c r="B165" s="56" t="str">
        <f>IF(ISERR(casostestes[[#This Row],[ID]]),"-",casostestes[[#This Row],[ID]])</f>
        <v>-</v>
      </c>
      <c r="C165" s="49" t="str">
        <f>IFERROR(IF(VLOOKUP($B165,casostestes[#Data],10)=0,"Não",VLOOKUP($B165,casostestes[#Data],10)), "-")</f>
        <v>-</v>
      </c>
      <c r="D165" s="50" t="str">
        <f>IFERROR(IF(VLOOKUP($B165,casostestes[#Data],2)=0,"-",VLOOKUP($B165,casostestes[#Data],2)), "-")</f>
        <v>-</v>
      </c>
      <c r="E165" s="50" t="str">
        <f>IFERROR(IF(VLOOKUP($B165,casostestes[#Data],3)=0,"-",VLOOKUP($B165,casostestes[#Data],3)), "-")</f>
        <v>-</v>
      </c>
      <c r="F165" s="50" t="str">
        <f>IFERROR(IF(VLOOKUP($B165,casostestes[#Data],4)=0,"-",VLOOKUP($B165,casostestes[#Data],4)),"-")</f>
        <v>-</v>
      </c>
      <c r="G165" s="50" t="str">
        <f>IFERROR(IF(VLOOKUP($B165,casostestes[#Data],5)=0,"-",VLOOKUP($B165,casostestes[#Data],5)),"-")</f>
        <v>-</v>
      </c>
      <c r="H165" s="50" t="str">
        <f>IFERROR(IF(VLOOKUP($B165,casostestes[#Data],6)=0,"-",VLOOKUP($B165,casostestes[#Data],6)),"-")</f>
        <v>-</v>
      </c>
      <c r="I165" s="50" t="str">
        <f>IFERROR(IF(VLOOKUP($B165,casostestes[#Data],8)=0,"-",VLOOKUP($B165,casostestes[#Data],8)),"-")</f>
        <v>-</v>
      </c>
      <c r="J165" s="50" t="str">
        <f>IFERROR(IF(VLOOKUP($B165,casostestes[#Data],9)=0,"-",VLOOKUP($B165,casostestes[#Data],9)),"-")</f>
        <v>-</v>
      </c>
      <c r="K165" s="51"/>
      <c r="L165" s="119"/>
      <c r="M165" s="53"/>
      <c r="N165" s="54"/>
      <c r="O165" s="54"/>
      <c r="P165" s="55"/>
    </row>
    <row r="166" spans="2:16">
      <c r="B166" s="56" t="str">
        <f>IF(ISERR(casostestes[[#This Row],[ID]]),"-",casostestes[[#This Row],[ID]])</f>
        <v>-</v>
      </c>
      <c r="C166" s="49" t="str">
        <f>IFERROR(IF(VLOOKUP($B166,casostestes[#Data],10)=0,"Não",VLOOKUP($B166,casostestes[#Data],10)), "-")</f>
        <v>-</v>
      </c>
      <c r="D166" s="50" t="str">
        <f>IFERROR(IF(VLOOKUP($B166,casostestes[#Data],2)=0,"-",VLOOKUP($B166,casostestes[#Data],2)), "-")</f>
        <v>-</v>
      </c>
      <c r="E166" s="50" t="str">
        <f>IFERROR(IF(VLOOKUP($B166,casostestes[#Data],3)=0,"-",VLOOKUP($B166,casostestes[#Data],3)), "-")</f>
        <v>-</v>
      </c>
      <c r="F166" s="50" t="str">
        <f>IFERROR(IF(VLOOKUP($B166,casostestes[#Data],4)=0,"-",VLOOKUP($B166,casostestes[#Data],4)),"-")</f>
        <v>-</v>
      </c>
      <c r="G166" s="50" t="str">
        <f>IFERROR(IF(VLOOKUP($B166,casostestes[#Data],5)=0,"-",VLOOKUP($B166,casostestes[#Data],5)),"-")</f>
        <v>-</v>
      </c>
      <c r="H166" s="50" t="str">
        <f>IFERROR(IF(VLOOKUP($B166,casostestes[#Data],6)=0,"-",VLOOKUP($B166,casostestes[#Data],6)),"-")</f>
        <v>-</v>
      </c>
      <c r="I166" s="50" t="str">
        <f>IFERROR(IF(VLOOKUP($B166,casostestes[#Data],8)=0,"-",VLOOKUP($B166,casostestes[#Data],8)),"-")</f>
        <v>-</v>
      </c>
      <c r="J166" s="50" t="str">
        <f>IFERROR(IF(VLOOKUP($B166,casostestes[#Data],9)=0,"-",VLOOKUP($B166,casostestes[#Data],9)),"-")</f>
        <v>-</v>
      </c>
      <c r="K166" s="51"/>
      <c r="L166" s="119"/>
      <c r="M166" s="53"/>
      <c r="N166" s="54"/>
      <c r="O166" s="54"/>
      <c r="P166" s="55"/>
    </row>
    <row r="167" spans="2:16">
      <c r="B167" s="56" t="str">
        <f>IF(ISERR(casostestes[[#This Row],[ID]]),"-",casostestes[[#This Row],[ID]])</f>
        <v>-</v>
      </c>
      <c r="C167" s="49" t="str">
        <f>IFERROR(IF(VLOOKUP($B167,casostestes[#Data],10)=0,"Não",VLOOKUP($B167,casostestes[#Data],10)), "-")</f>
        <v>-</v>
      </c>
      <c r="D167" s="50" t="str">
        <f>IFERROR(IF(VLOOKUP($B167,casostestes[#Data],2)=0,"-",VLOOKUP($B167,casostestes[#Data],2)), "-")</f>
        <v>-</v>
      </c>
      <c r="E167" s="50" t="str">
        <f>IFERROR(IF(VLOOKUP($B167,casostestes[#Data],3)=0,"-",VLOOKUP($B167,casostestes[#Data],3)), "-")</f>
        <v>-</v>
      </c>
      <c r="F167" s="50" t="str">
        <f>IFERROR(IF(VLOOKUP($B167,casostestes[#Data],4)=0,"-",VLOOKUP($B167,casostestes[#Data],4)),"-")</f>
        <v>-</v>
      </c>
      <c r="G167" s="50" t="str">
        <f>IFERROR(IF(VLOOKUP($B167,casostestes[#Data],5)=0,"-",VLOOKUP($B167,casostestes[#Data],5)),"-")</f>
        <v>-</v>
      </c>
      <c r="H167" s="50" t="str">
        <f>IFERROR(IF(VLOOKUP($B167,casostestes[#Data],6)=0,"-",VLOOKUP($B167,casostestes[#Data],6)),"-")</f>
        <v>-</v>
      </c>
      <c r="I167" s="50" t="str">
        <f>IFERROR(IF(VLOOKUP($B167,casostestes[#Data],8)=0,"-",VLOOKUP($B167,casostestes[#Data],8)),"-")</f>
        <v>-</v>
      </c>
      <c r="J167" s="50" t="str">
        <f>IFERROR(IF(VLOOKUP($B167,casostestes[#Data],9)=0,"-",VLOOKUP($B167,casostestes[#Data],9)),"-")</f>
        <v>-</v>
      </c>
      <c r="K167" s="51"/>
      <c r="L167" s="119"/>
      <c r="M167" s="53"/>
      <c r="N167" s="54"/>
      <c r="O167" s="54"/>
      <c r="P167" s="55"/>
    </row>
    <row r="168" spans="2:16">
      <c r="B168" s="56" t="str">
        <f>IF(ISERR(casostestes[[#This Row],[ID]]),"-",casostestes[[#This Row],[ID]])</f>
        <v>-</v>
      </c>
      <c r="C168" s="49" t="str">
        <f>IFERROR(IF(VLOOKUP($B168,casostestes[#Data],10)=0,"Não",VLOOKUP($B168,casostestes[#Data],10)), "-")</f>
        <v>-</v>
      </c>
      <c r="D168" s="50" t="str">
        <f>IFERROR(IF(VLOOKUP($B168,casostestes[#Data],2)=0,"-",VLOOKUP($B168,casostestes[#Data],2)), "-")</f>
        <v>-</v>
      </c>
      <c r="E168" s="50" t="str">
        <f>IFERROR(IF(VLOOKUP($B168,casostestes[#Data],3)=0,"-",VLOOKUP($B168,casostestes[#Data],3)), "-")</f>
        <v>-</v>
      </c>
      <c r="F168" s="50" t="str">
        <f>IFERROR(IF(VLOOKUP($B168,casostestes[#Data],4)=0,"-",VLOOKUP($B168,casostestes[#Data],4)),"-")</f>
        <v>-</v>
      </c>
      <c r="G168" s="50" t="str">
        <f>IFERROR(IF(VLOOKUP($B168,casostestes[#Data],5)=0,"-",VLOOKUP($B168,casostestes[#Data],5)),"-")</f>
        <v>-</v>
      </c>
      <c r="H168" s="50" t="str">
        <f>IFERROR(IF(VLOOKUP($B168,casostestes[#Data],6)=0,"-",VLOOKUP($B168,casostestes[#Data],6)),"-")</f>
        <v>-</v>
      </c>
      <c r="I168" s="50" t="str">
        <f>IFERROR(IF(VLOOKUP($B168,casostestes[#Data],8)=0,"-",VLOOKUP($B168,casostestes[#Data],8)),"-")</f>
        <v>-</v>
      </c>
      <c r="J168" s="50" t="str">
        <f>IFERROR(IF(VLOOKUP($B168,casostestes[#Data],9)=0,"-",VLOOKUP($B168,casostestes[#Data],9)),"-")</f>
        <v>-</v>
      </c>
      <c r="K168" s="51"/>
      <c r="L168" s="119"/>
      <c r="M168" s="53"/>
      <c r="N168" s="54"/>
      <c r="O168" s="54"/>
      <c r="P168" s="55"/>
    </row>
    <row r="169" spans="2:16">
      <c r="B169" s="56" t="str">
        <f>IF(ISERR(casostestes[[#This Row],[ID]]),"-",casostestes[[#This Row],[ID]])</f>
        <v>-</v>
      </c>
      <c r="C169" s="49" t="str">
        <f>IFERROR(IF(VLOOKUP($B169,casostestes[#Data],10)=0,"Não",VLOOKUP($B169,casostestes[#Data],10)), "-")</f>
        <v>-</v>
      </c>
      <c r="D169" s="50" t="str">
        <f>IFERROR(IF(VLOOKUP($B169,casostestes[#Data],2)=0,"-",VLOOKUP($B169,casostestes[#Data],2)), "-")</f>
        <v>-</v>
      </c>
      <c r="E169" s="50" t="str">
        <f>IFERROR(IF(VLOOKUP($B169,casostestes[#Data],3)=0,"-",VLOOKUP($B169,casostestes[#Data],3)), "-")</f>
        <v>-</v>
      </c>
      <c r="F169" s="50" t="str">
        <f>IFERROR(IF(VLOOKUP($B169,casostestes[#Data],4)=0,"-",VLOOKUP($B169,casostestes[#Data],4)),"-")</f>
        <v>-</v>
      </c>
      <c r="G169" s="50" t="str">
        <f>IFERROR(IF(VLOOKUP($B169,casostestes[#Data],5)=0,"-",VLOOKUP($B169,casostestes[#Data],5)),"-")</f>
        <v>-</v>
      </c>
      <c r="H169" s="50" t="str">
        <f>IFERROR(IF(VLOOKUP($B169,casostestes[#Data],6)=0,"-",VLOOKUP($B169,casostestes[#Data],6)),"-")</f>
        <v>-</v>
      </c>
      <c r="I169" s="50" t="str">
        <f>IFERROR(IF(VLOOKUP($B169,casostestes[#Data],8)=0,"-",VLOOKUP($B169,casostestes[#Data],8)),"-")</f>
        <v>-</v>
      </c>
      <c r="J169" s="50" t="str">
        <f>IFERROR(IF(VLOOKUP($B169,casostestes[#Data],9)=0,"-",VLOOKUP($B169,casostestes[#Data],9)),"-")</f>
        <v>-</v>
      </c>
      <c r="K169" s="51"/>
      <c r="L169" s="119"/>
      <c r="M169" s="53"/>
      <c r="N169" s="54"/>
      <c r="O169" s="54"/>
      <c r="P169" s="55"/>
    </row>
    <row r="170" spans="2:16">
      <c r="B170" s="56" t="str">
        <f>IF(ISERR(casostestes[[#This Row],[ID]]),"-",casostestes[[#This Row],[ID]])</f>
        <v>-</v>
      </c>
      <c r="C170" s="49" t="str">
        <f>IFERROR(IF(VLOOKUP($B170,casostestes[#Data],10)=0,"Não",VLOOKUP($B170,casostestes[#Data],10)), "-")</f>
        <v>-</v>
      </c>
      <c r="D170" s="50" t="str">
        <f>IFERROR(IF(VLOOKUP($B170,casostestes[#Data],2)=0,"-",VLOOKUP($B170,casostestes[#Data],2)), "-")</f>
        <v>-</v>
      </c>
      <c r="E170" s="50" t="str">
        <f>IFERROR(IF(VLOOKUP($B170,casostestes[#Data],3)=0,"-",VLOOKUP($B170,casostestes[#Data],3)), "-")</f>
        <v>-</v>
      </c>
      <c r="F170" s="50" t="str">
        <f>IFERROR(IF(VLOOKUP($B170,casostestes[#Data],4)=0,"-",VLOOKUP($B170,casostestes[#Data],4)),"-")</f>
        <v>-</v>
      </c>
      <c r="G170" s="50" t="str">
        <f>IFERROR(IF(VLOOKUP($B170,casostestes[#Data],5)=0,"-",VLOOKUP($B170,casostestes[#Data],5)),"-")</f>
        <v>-</v>
      </c>
      <c r="H170" s="50" t="str">
        <f>IFERROR(IF(VLOOKUP($B170,casostestes[#Data],6)=0,"-",VLOOKUP($B170,casostestes[#Data],6)),"-")</f>
        <v>-</v>
      </c>
      <c r="I170" s="50" t="str">
        <f>IFERROR(IF(VLOOKUP($B170,casostestes[#Data],8)=0,"-",VLOOKUP($B170,casostestes[#Data],8)),"-")</f>
        <v>-</v>
      </c>
      <c r="J170" s="50" t="str">
        <f>IFERROR(IF(VLOOKUP($B170,casostestes[#Data],9)=0,"-",VLOOKUP($B170,casostestes[#Data],9)),"-")</f>
        <v>-</v>
      </c>
      <c r="K170" s="51"/>
      <c r="L170" s="119"/>
      <c r="M170" s="53"/>
      <c r="N170" s="54"/>
      <c r="O170" s="54"/>
      <c r="P170" s="55"/>
    </row>
    <row r="171" spans="2:16">
      <c r="B171" s="56" t="str">
        <f>IF(ISERR(casostestes[[#This Row],[ID]]),"-",casostestes[[#This Row],[ID]])</f>
        <v>-</v>
      </c>
      <c r="C171" s="49" t="str">
        <f>IFERROR(IF(VLOOKUP($B171,casostestes[#Data],10)=0,"Não",VLOOKUP($B171,casostestes[#Data],10)), "-")</f>
        <v>-</v>
      </c>
      <c r="D171" s="50" t="str">
        <f>IFERROR(IF(VLOOKUP($B171,casostestes[#Data],2)=0,"-",VLOOKUP($B171,casostestes[#Data],2)), "-")</f>
        <v>-</v>
      </c>
      <c r="E171" s="50" t="str">
        <f>IFERROR(IF(VLOOKUP($B171,casostestes[#Data],3)=0,"-",VLOOKUP($B171,casostestes[#Data],3)), "-")</f>
        <v>-</v>
      </c>
      <c r="F171" s="50" t="str">
        <f>IFERROR(IF(VLOOKUP($B171,casostestes[#Data],4)=0,"-",VLOOKUP($B171,casostestes[#Data],4)),"-")</f>
        <v>-</v>
      </c>
      <c r="G171" s="50" t="str">
        <f>IFERROR(IF(VLOOKUP($B171,casostestes[#Data],5)=0,"-",VLOOKUP($B171,casostestes[#Data],5)),"-")</f>
        <v>-</v>
      </c>
      <c r="H171" s="50" t="str">
        <f>IFERROR(IF(VLOOKUP($B171,casostestes[#Data],6)=0,"-",VLOOKUP($B171,casostestes[#Data],6)),"-")</f>
        <v>-</v>
      </c>
      <c r="I171" s="50" t="str">
        <f>IFERROR(IF(VLOOKUP($B171,casostestes[#Data],8)=0,"-",VLOOKUP($B171,casostestes[#Data],8)),"-")</f>
        <v>-</v>
      </c>
      <c r="J171" s="50" t="str">
        <f>IFERROR(IF(VLOOKUP($B171,casostestes[#Data],9)=0,"-",VLOOKUP($B171,casostestes[#Data],9)),"-")</f>
        <v>-</v>
      </c>
      <c r="K171" s="51"/>
      <c r="L171" s="119"/>
      <c r="M171" s="53"/>
      <c r="N171" s="54"/>
      <c r="O171" s="54"/>
      <c r="P171" s="55"/>
    </row>
    <row r="172" spans="2:16">
      <c r="B172" s="56" t="str">
        <f>IF(ISERR(casostestes[[#This Row],[ID]]),"-",casostestes[[#This Row],[ID]])</f>
        <v>-</v>
      </c>
      <c r="C172" s="49" t="str">
        <f>IFERROR(IF(VLOOKUP($B172,casostestes[#Data],10)=0,"Não",VLOOKUP($B172,casostestes[#Data],10)), "-")</f>
        <v>-</v>
      </c>
      <c r="D172" s="50" t="str">
        <f>IFERROR(IF(VLOOKUP($B172,casostestes[#Data],2)=0,"-",VLOOKUP($B172,casostestes[#Data],2)), "-")</f>
        <v>-</v>
      </c>
      <c r="E172" s="50" t="str">
        <f>IFERROR(IF(VLOOKUP($B172,casostestes[#Data],3)=0,"-",VLOOKUP($B172,casostestes[#Data],3)), "-")</f>
        <v>-</v>
      </c>
      <c r="F172" s="50" t="str">
        <f>IFERROR(IF(VLOOKUP($B172,casostestes[#Data],4)=0,"-",VLOOKUP($B172,casostestes[#Data],4)),"-")</f>
        <v>-</v>
      </c>
      <c r="G172" s="50" t="str">
        <f>IFERROR(IF(VLOOKUP($B172,casostestes[#Data],5)=0,"-",VLOOKUP($B172,casostestes[#Data],5)),"-")</f>
        <v>-</v>
      </c>
      <c r="H172" s="50" t="str">
        <f>IFERROR(IF(VLOOKUP($B172,casostestes[#Data],6)=0,"-",VLOOKUP($B172,casostestes[#Data],6)),"-")</f>
        <v>-</v>
      </c>
      <c r="I172" s="50" t="str">
        <f>IFERROR(IF(VLOOKUP($B172,casostestes[#Data],8)=0,"-",VLOOKUP($B172,casostestes[#Data],8)),"-")</f>
        <v>-</v>
      </c>
      <c r="J172" s="50" t="str">
        <f>IFERROR(IF(VLOOKUP($B172,casostestes[#Data],9)=0,"-",VLOOKUP($B172,casostestes[#Data],9)),"-")</f>
        <v>-</v>
      </c>
      <c r="K172" s="51"/>
      <c r="L172" s="119"/>
      <c r="M172" s="53"/>
      <c r="N172" s="54"/>
      <c r="O172" s="54"/>
      <c r="P172" s="55"/>
    </row>
    <row r="173" spans="2:16">
      <c r="B173" s="56" t="str">
        <f>IF(ISERR(casostestes[[#This Row],[ID]]),"-",casostestes[[#This Row],[ID]])</f>
        <v>-</v>
      </c>
      <c r="C173" s="49" t="str">
        <f>IFERROR(IF(VLOOKUP($B173,casostestes[#Data],10)=0,"Não",VLOOKUP($B173,casostestes[#Data],10)), "-")</f>
        <v>-</v>
      </c>
      <c r="D173" s="50" t="str">
        <f>IFERROR(IF(VLOOKUP($B173,casostestes[#Data],2)=0,"-",VLOOKUP($B173,casostestes[#Data],2)), "-")</f>
        <v>-</v>
      </c>
      <c r="E173" s="50" t="str">
        <f>IFERROR(IF(VLOOKUP($B173,casostestes[#Data],3)=0,"-",VLOOKUP($B173,casostestes[#Data],3)), "-")</f>
        <v>-</v>
      </c>
      <c r="F173" s="50" t="str">
        <f>IFERROR(IF(VLOOKUP($B173,casostestes[#Data],4)=0,"-",VLOOKUP($B173,casostestes[#Data],4)),"-")</f>
        <v>-</v>
      </c>
      <c r="G173" s="50" t="str">
        <f>IFERROR(IF(VLOOKUP($B173,casostestes[#Data],5)=0,"-",VLOOKUP($B173,casostestes[#Data],5)),"-")</f>
        <v>-</v>
      </c>
      <c r="H173" s="50" t="str">
        <f>IFERROR(IF(VLOOKUP($B173,casostestes[#Data],6)=0,"-",VLOOKUP($B173,casostestes[#Data],6)),"-")</f>
        <v>-</v>
      </c>
      <c r="I173" s="50" t="str">
        <f>IFERROR(IF(VLOOKUP($B173,casostestes[#Data],8)=0,"-",VLOOKUP($B173,casostestes[#Data],8)),"-")</f>
        <v>-</v>
      </c>
      <c r="J173" s="50" t="str">
        <f>IFERROR(IF(VLOOKUP($B173,casostestes[#Data],9)=0,"-",VLOOKUP($B173,casostestes[#Data],9)),"-")</f>
        <v>-</v>
      </c>
      <c r="K173" s="51"/>
      <c r="L173" s="119"/>
      <c r="M173" s="53"/>
      <c r="N173" s="54"/>
      <c r="O173" s="54"/>
      <c r="P173" s="55"/>
    </row>
    <row r="174" spans="2:16">
      <c r="B174" s="56" t="str">
        <f>IF(ISERR(casostestes[[#This Row],[ID]]),"-",casostestes[[#This Row],[ID]])</f>
        <v>-</v>
      </c>
      <c r="C174" s="49" t="str">
        <f>IFERROR(IF(VLOOKUP($B174,casostestes[#Data],10)=0,"Não",VLOOKUP($B174,casostestes[#Data],10)), "-")</f>
        <v>-</v>
      </c>
      <c r="D174" s="50" t="str">
        <f>IFERROR(IF(VLOOKUP($B174,casostestes[#Data],2)=0,"-",VLOOKUP($B174,casostestes[#Data],2)), "-")</f>
        <v>-</v>
      </c>
      <c r="E174" s="50" t="str">
        <f>IFERROR(IF(VLOOKUP($B174,casostestes[#Data],3)=0,"-",VLOOKUP($B174,casostestes[#Data],3)), "-")</f>
        <v>-</v>
      </c>
      <c r="F174" s="50" t="str">
        <f>IFERROR(IF(VLOOKUP($B174,casostestes[#Data],4)=0,"-",VLOOKUP($B174,casostestes[#Data],4)),"-")</f>
        <v>-</v>
      </c>
      <c r="G174" s="50" t="str">
        <f>IFERROR(IF(VLOOKUP($B174,casostestes[#Data],5)=0,"-",VLOOKUP($B174,casostestes[#Data],5)),"-")</f>
        <v>-</v>
      </c>
      <c r="H174" s="50" t="str">
        <f>IFERROR(IF(VLOOKUP($B174,casostestes[#Data],6)=0,"-",VLOOKUP($B174,casostestes[#Data],6)),"-")</f>
        <v>-</v>
      </c>
      <c r="I174" s="50" t="str">
        <f>IFERROR(IF(VLOOKUP($B174,casostestes[#Data],8)=0,"-",VLOOKUP($B174,casostestes[#Data],8)),"-")</f>
        <v>-</v>
      </c>
      <c r="J174" s="50" t="str">
        <f>IFERROR(IF(VLOOKUP($B174,casostestes[#Data],9)=0,"-",VLOOKUP($B174,casostestes[#Data],9)),"-")</f>
        <v>-</v>
      </c>
      <c r="K174" s="51"/>
      <c r="L174" s="119"/>
      <c r="M174" s="53"/>
      <c r="N174" s="54"/>
      <c r="O174" s="54"/>
      <c r="P174" s="55"/>
    </row>
    <row r="175" spans="2:16">
      <c r="B175" s="56" t="str">
        <f>IF(ISERR(casostestes[[#This Row],[ID]]),"-",casostestes[[#This Row],[ID]])</f>
        <v>-</v>
      </c>
      <c r="C175" s="49" t="str">
        <f>IFERROR(IF(VLOOKUP($B175,casostestes[#Data],10)=0,"Não",VLOOKUP($B175,casostestes[#Data],10)), "-")</f>
        <v>-</v>
      </c>
      <c r="D175" s="50" t="str">
        <f>IFERROR(IF(VLOOKUP($B175,casostestes[#Data],2)=0,"-",VLOOKUP($B175,casostestes[#Data],2)), "-")</f>
        <v>-</v>
      </c>
      <c r="E175" s="50" t="str">
        <f>IFERROR(IF(VLOOKUP($B175,casostestes[#Data],3)=0,"-",VLOOKUP($B175,casostestes[#Data],3)), "-")</f>
        <v>-</v>
      </c>
      <c r="F175" s="50" t="str">
        <f>IFERROR(IF(VLOOKUP($B175,casostestes[#Data],4)=0,"-",VLOOKUP($B175,casostestes[#Data],4)),"-")</f>
        <v>-</v>
      </c>
      <c r="G175" s="50" t="str">
        <f>IFERROR(IF(VLOOKUP($B175,casostestes[#Data],5)=0,"-",VLOOKUP($B175,casostestes[#Data],5)),"-")</f>
        <v>-</v>
      </c>
      <c r="H175" s="50" t="str">
        <f>IFERROR(IF(VLOOKUP($B175,casostestes[#Data],6)=0,"-",VLOOKUP($B175,casostestes[#Data],6)),"-")</f>
        <v>-</v>
      </c>
      <c r="I175" s="50" t="str">
        <f>IFERROR(IF(VLOOKUP($B175,casostestes[#Data],8)=0,"-",VLOOKUP($B175,casostestes[#Data],8)),"-")</f>
        <v>-</v>
      </c>
      <c r="J175" s="50" t="str">
        <f>IFERROR(IF(VLOOKUP($B175,casostestes[#Data],9)=0,"-",VLOOKUP($B175,casostestes[#Data],9)),"-")</f>
        <v>-</v>
      </c>
      <c r="K175" s="51"/>
      <c r="L175" s="119"/>
      <c r="M175" s="53"/>
      <c r="N175" s="54"/>
      <c r="O175" s="54"/>
      <c r="P175" s="55"/>
    </row>
    <row r="176" spans="2:16">
      <c r="B176" s="56" t="str">
        <f>IF(ISERR(casostestes[[#This Row],[ID]]),"-",casostestes[[#This Row],[ID]])</f>
        <v>-</v>
      </c>
      <c r="C176" s="49" t="str">
        <f>IFERROR(IF(VLOOKUP($B176,casostestes[#Data],10)=0,"Não",VLOOKUP($B176,casostestes[#Data],10)), "-")</f>
        <v>-</v>
      </c>
      <c r="D176" s="50" t="str">
        <f>IFERROR(IF(VLOOKUP($B176,casostestes[#Data],2)=0,"-",VLOOKUP($B176,casostestes[#Data],2)), "-")</f>
        <v>-</v>
      </c>
      <c r="E176" s="50" t="str">
        <f>IFERROR(IF(VLOOKUP($B176,casostestes[#Data],3)=0,"-",VLOOKUP($B176,casostestes[#Data],3)), "-")</f>
        <v>-</v>
      </c>
      <c r="F176" s="50" t="str">
        <f>IFERROR(IF(VLOOKUP($B176,casostestes[#Data],4)=0,"-",VLOOKUP($B176,casostestes[#Data],4)),"-")</f>
        <v>-</v>
      </c>
      <c r="G176" s="50" t="str">
        <f>IFERROR(IF(VLOOKUP($B176,casostestes[#Data],5)=0,"-",VLOOKUP($B176,casostestes[#Data],5)),"-")</f>
        <v>-</v>
      </c>
      <c r="H176" s="50" t="str">
        <f>IFERROR(IF(VLOOKUP($B176,casostestes[#Data],6)=0,"-",VLOOKUP($B176,casostestes[#Data],6)),"-")</f>
        <v>-</v>
      </c>
      <c r="I176" s="50" t="str">
        <f>IFERROR(IF(VLOOKUP($B176,casostestes[#Data],8)=0,"-",VLOOKUP($B176,casostestes[#Data],8)),"-")</f>
        <v>-</v>
      </c>
      <c r="J176" s="50" t="str">
        <f>IFERROR(IF(VLOOKUP($B176,casostestes[#Data],9)=0,"-",VLOOKUP($B176,casostestes[#Data],9)),"-")</f>
        <v>-</v>
      </c>
      <c r="K176" s="51"/>
      <c r="L176" s="119"/>
      <c r="M176" s="53"/>
      <c r="N176" s="54"/>
      <c r="O176" s="54"/>
      <c r="P176" s="55"/>
    </row>
    <row r="177" spans="2:16">
      <c r="B177" s="56" t="str">
        <f>IF(ISERR(casostestes[[#This Row],[ID]]),"-",casostestes[[#This Row],[ID]])</f>
        <v>-</v>
      </c>
      <c r="C177" s="49" t="str">
        <f>IFERROR(IF(VLOOKUP($B177,casostestes[#Data],10)=0,"Não",VLOOKUP($B177,casostestes[#Data],10)), "-")</f>
        <v>-</v>
      </c>
      <c r="D177" s="50" t="str">
        <f>IFERROR(IF(VLOOKUP($B177,casostestes[#Data],2)=0,"-",VLOOKUP($B177,casostestes[#Data],2)), "-")</f>
        <v>-</v>
      </c>
      <c r="E177" s="50" t="str">
        <f>IFERROR(IF(VLOOKUP($B177,casostestes[#Data],3)=0,"-",VLOOKUP($B177,casostestes[#Data],3)), "-")</f>
        <v>-</v>
      </c>
      <c r="F177" s="50" t="str">
        <f>IFERROR(IF(VLOOKUP($B177,casostestes[#Data],4)=0,"-",VLOOKUP($B177,casostestes[#Data],4)),"-")</f>
        <v>-</v>
      </c>
      <c r="G177" s="50" t="str">
        <f>IFERROR(IF(VLOOKUP($B177,casostestes[#Data],5)=0,"-",VLOOKUP($B177,casostestes[#Data],5)),"-")</f>
        <v>-</v>
      </c>
      <c r="H177" s="50" t="str">
        <f>IFERROR(IF(VLOOKUP($B177,casostestes[#Data],6)=0,"-",VLOOKUP($B177,casostestes[#Data],6)),"-")</f>
        <v>-</v>
      </c>
      <c r="I177" s="50" t="str">
        <f>IFERROR(IF(VLOOKUP($B177,casostestes[#Data],8)=0,"-",VLOOKUP($B177,casostestes[#Data],8)),"-")</f>
        <v>-</v>
      </c>
      <c r="J177" s="50" t="str">
        <f>IFERROR(IF(VLOOKUP($B177,casostestes[#Data],9)=0,"-",VLOOKUP($B177,casostestes[#Data],9)),"-")</f>
        <v>-</v>
      </c>
      <c r="K177" s="51"/>
      <c r="L177" s="119"/>
      <c r="M177" s="53"/>
      <c r="N177" s="54"/>
      <c r="O177" s="54"/>
      <c r="P177" s="55"/>
    </row>
    <row r="178" spans="2:16">
      <c r="B178" s="56" t="str">
        <f>IF(ISERR(casostestes[[#This Row],[ID]]),"-",casostestes[[#This Row],[ID]])</f>
        <v>-</v>
      </c>
      <c r="C178" s="49" t="str">
        <f>IFERROR(IF(VLOOKUP($B178,casostestes[#Data],10)=0,"Não",VLOOKUP($B178,casostestes[#Data],10)), "-")</f>
        <v>-</v>
      </c>
      <c r="D178" s="50" t="str">
        <f>IFERROR(IF(VLOOKUP($B178,casostestes[#Data],2)=0,"-",VLOOKUP($B178,casostestes[#Data],2)), "-")</f>
        <v>-</v>
      </c>
      <c r="E178" s="50" t="str">
        <f>IFERROR(IF(VLOOKUP($B178,casostestes[#Data],3)=0,"-",VLOOKUP($B178,casostestes[#Data],3)), "-")</f>
        <v>-</v>
      </c>
      <c r="F178" s="50" t="str">
        <f>IFERROR(IF(VLOOKUP($B178,casostestes[#Data],4)=0,"-",VLOOKUP($B178,casostestes[#Data],4)),"-")</f>
        <v>-</v>
      </c>
      <c r="G178" s="50" t="str">
        <f>IFERROR(IF(VLOOKUP($B178,casostestes[#Data],5)=0,"-",VLOOKUP($B178,casostestes[#Data],5)),"-")</f>
        <v>-</v>
      </c>
      <c r="H178" s="50" t="str">
        <f>IFERROR(IF(VLOOKUP($B178,casostestes[#Data],6)=0,"-",VLOOKUP($B178,casostestes[#Data],6)),"-")</f>
        <v>-</v>
      </c>
      <c r="I178" s="50" t="str">
        <f>IFERROR(IF(VLOOKUP($B178,casostestes[#Data],8)=0,"-",VLOOKUP($B178,casostestes[#Data],8)),"-")</f>
        <v>-</v>
      </c>
      <c r="J178" s="50" t="str">
        <f>IFERROR(IF(VLOOKUP($B178,casostestes[#Data],9)=0,"-",VLOOKUP($B178,casostestes[#Data],9)),"-")</f>
        <v>-</v>
      </c>
      <c r="K178" s="51"/>
      <c r="L178" s="119"/>
      <c r="M178" s="53"/>
      <c r="N178" s="54"/>
      <c r="O178" s="54"/>
      <c r="P178" s="55"/>
    </row>
    <row r="179" spans="2:16">
      <c r="B179" s="56" t="str">
        <f>IF(ISERR(casostestes[[#This Row],[ID]]),"-",casostestes[[#This Row],[ID]])</f>
        <v>-</v>
      </c>
      <c r="C179" s="49" t="str">
        <f>IFERROR(IF(VLOOKUP($B179,casostestes[#Data],10)=0,"Não",VLOOKUP($B179,casostestes[#Data],10)), "-")</f>
        <v>-</v>
      </c>
      <c r="D179" s="50" t="str">
        <f>IFERROR(IF(VLOOKUP($B179,casostestes[#Data],2)=0,"-",VLOOKUP($B179,casostestes[#Data],2)), "-")</f>
        <v>-</v>
      </c>
      <c r="E179" s="50" t="str">
        <f>IFERROR(IF(VLOOKUP($B179,casostestes[#Data],3)=0,"-",VLOOKUP($B179,casostestes[#Data],3)), "-")</f>
        <v>-</v>
      </c>
      <c r="F179" s="50" t="str">
        <f>IFERROR(IF(VLOOKUP($B179,casostestes[#Data],4)=0,"-",VLOOKUP($B179,casostestes[#Data],4)),"-")</f>
        <v>-</v>
      </c>
      <c r="G179" s="50" t="str">
        <f>IFERROR(IF(VLOOKUP($B179,casostestes[#Data],5)=0,"-",VLOOKUP($B179,casostestes[#Data],5)),"-")</f>
        <v>-</v>
      </c>
      <c r="H179" s="50" t="str">
        <f>IFERROR(IF(VLOOKUP($B179,casostestes[#Data],6)=0,"-",VLOOKUP($B179,casostestes[#Data],6)),"-")</f>
        <v>-</v>
      </c>
      <c r="I179" s="50" t="str">
        <f>IFERROR(IF(VLOOKUP($B179,casostestes[#Data],8)=0,"-",VLOOKUP($B179,casostestes[#Data],8)),"-")</f>
        <v>-</v>
      </c>
      <c r="J179" s="50" t="str">
        <f>IFERROR(IF(VLOOKUP($B179,casostestes[#Data],9)=0,"-",VLOOKUP($B179,casostestes[#Data],9)),"-")</f>
        <v>-</v>
      </c>
      <c r="K179" s="51"/>
      <c r="L179" s="119"/>
      <c r="M179" s="53"/>
      <c r="N179" s="54"/>
      <c r="O179" s="54"/>
      <c r="P179" s="55"/>
    </row>
    <row r="180" spans="2:16">
      <c r="B180" s="56" t="str">
        <f>IF(ISERR(casostestes[[#This Row],[ID]]),"-",casostestes[[#This Row],[ID]])</f>
        <v>-</v>
      </c>
      <c r="C180" s="49" t="str">
        <f>IFERROR(IF(VLOOKUP($B180,casostestes[#Data],10)=0,"Não",VLOOKUP($B180,casostestes[#Data],10)), "-")</f>
        <v>-</v>
      </c>
      <c r="D180" s="50" t="str">
        <f>IFERROR(IF(VLOOKUP($B180,casostestes[#Data],2)=0,"-",VLOOKUP($B180,casostestes[#Data],2)), "-")</f>
        <v>-</v>
      </c>
      <c r="E180" s="50" t="str">
        <f>IFERROR(IF(VLOOKUP($B180,casostestes[#Data],3)=0,"-",VLOOKUP($B180,casostestes[#Data],3)), "-")</f>
        <v>-</v>
      </c>
      <c r="F180" s="50" t="str">
        <f>IFERROR(IF(VLOOKUP($B180,casostestes[#Data],4)=0,"-",VLOOKUP($B180,casostestes[#Data],4)),"-")</f>
        <v>-</v>
      </c>
      <c r="G180" s="50" t="str">
        <f>IFERROR(IF(VLOOKUP($B180,casostestes[#Data],5)=0,"-",VLOOKUP($B180,casostestes[#Data],5)),"-")</f>
        <v>-</v>
      </c>
      <c r="H180" s="50" t="str">
        <f>IFERROR(IF(VLOOKUP($B180,casostestes[#Data],6)=0,"-",VLOOKUP($B180,casostestes[#Data],6)),"-")</f>
        <v>-</v>
      </c>
      <c r="I180" s="50" t="str">
        <f>IFERROR(IF(VLOOKUP($B180,casostestes[#Data],8)=0,"-",VLOOKUP($B180,casostestes[#Data],8)),"-")</f>
        <v>-</v>
      </c>
      <c r="J180" s="50" t="str">
        <f>IFERROR(IF(VLOOKUP($B180,casostestes[#Data],9)=0,"-",VLOOKUP($B180,casostestes[#Data],9)),"-")</f>
        <v>-</v>
      </c>
      <c r="K180" s="51"/>
      <c r="L180" s="119"/>
      <c r="M180" s="53"/>
      <c r="N180" s="54"/>
      <c r="O180" s="54"/>
      <c r="P180" s="55"/>
    </row>
    <row r="181" spans="2:16">
      <c r="B181" s="56" t="str">
        <f>IF(ISERR(casostestes[[#This Row],[ID]]),"-",casostestes[[#This Row],[ID]])</f>
        <v>-</v>
      </c>
      <c r="C181" s="49" t="str">
        <f>IFERROR(IF(VLOOKUP($B181,casostestes[#Data],10)=0,"Não",VLOOKUP($B181,casostestes[#Data],10)), "-")</f>
        <v>-</v>
      </c>
      <c r="D181" s="50" t="str">
        <f>IFERROR(IF(VLOOKUP($B181,casostestes[#Data],2)=0,"-",VLOOKUP($B181,casostestes[#Data],2)), "-")</f>
        <v>-</v>
      </c>
      <c r="E181" s="50" t="str">
        <f>IFERROR(IF(VLOOKUP($B181,casostestes[#Data],3)=0,"-",VLOOKUP($B181,casostestes[#Data],3)), "-")</f>
        <v>-</v>
      </c>
      <c r="F181" s="50" t="str">
        <f>IFERROR(IF(VLOOKUP($B181,casostestes[#Data],4)=0,"-",VLOOKUP($B181,casostestes[#Data],4)),"-")</f>
        <v>-</v>
      </c>
      <c r="G181" s="50" t="str">
        <f>IFERROR(IF(VLOOKUP($B181,casostestes[#Data],5)=0,"-",VLOOKUP($B181,casostestes[#Data],5)),"-")</f>
        <v>-</v>
      </c>
      <c r="H181" s="50" t="str">
        <f>IFERROR(IF(VLOOKUP($B181,casostestes[#Data],6)=0,"-",VLOOKUP($B181,casostestes[#Data],6)),"-")</f>
        <v>-</v>
      </c>
      <c r="I181" s="50" t="str">
        <f>IFERROR(IF(VLOOKUP($B181,casostestes[#Data],8)=0,"-",VLOOKUP($B181,casostestes[#Data],8)),"-")</f>
        <v>-</v>
      </c>
      <c r="J181" s="50" t="str">
        <f>IFERROR(IF(VLOOKUP($B181,casostestes[#Data],9)=0,"-",VLOOKUP($B181,casostestes[#Data],9)),"-")</f>
        <v>-</v>
      </c>
      <c r="K181" s="51"/>
      <c r="L181" s="119"/>
      <c r="M181" s="53"/>
      <c r="N181" s="54"/>
      <c r="O181" s="54"/>
      <c r="P181" s="55"/>
    </row>
    <row r="182" spans="2:16">
      <c r="B182" s="56" t="str">
        <f>IF(ISERR(casostestes[[#This Row],[ID]]),"-",casostestes[[#This Row],[ID]])</f>
        <v>-</v>
      </c>
      <c r="C182" s="49" t="str">
        <f>IFERROR(IF(VLOOKUP($B182,casostestes[#Data],10)=0,"Não",VLOOKUP($B182,casostestes[#Data],10)), "-")</f>
        <v>-</v>
      </c>
      <c r="D182" s="50" t="str">
        <f>IFERROR(IF(VLOOKUP($B182,casostestes[#Data],2)=0,"-",VLOOKUP($B182,casostestes[#Data],2)), "-")</f>
        <v>-</v>
      </c>
      <c r="E182" s="50" t="str">
        <f>IFERROR(IF(VLOOKUP($B182,casostestes[#Data],3)=0,"-",VLOOKUP($B182,casostestes[#Data],3)), "-")</f>
        <v>-</v>
      </c>
      <c r="F182" s="50" t="str">
        <f>IFERROR(IF(VLOOKUP($B182,casostestes[#Data],4)=0,"-",VLOOKUP($B182,casostestes[#Data],4)),"-")</f>
        <v>-</v>
      </c>
      <c r="G182" s="50" t="str">
        <f>IFERROR(IF(VLOOKUP($B182,casostestes[#Data],5)=0,"-",VLOOKUP($B182,casostestes[#Data],5)),"-")</f>
        <v>-</v>
      </c>
      <c r="H182" s="50" t="str">
        <f>IFERROR(IF(VLOOKUP($B182,casostestes[#Data],6)=0,"-",VLOOKUP($B182,casostestes[#Data],6)),"-")</f>
        <v>-</v>
      </c>
      <c r="I182" s="50" t="str">
        <f>IFERROR(IF(VLOOKUP($B182,casostestes[#Data],8)=0,"-",VLOOKUP($B182,casostestes[#Data],8)),"-")</f>
        <v>-</v>
      </c>
      <c r="J182" s="50" t="str">
        <f>IFERROR(IF(VLOOKUP($B182,casostestes[#Data],9)=0,"-",VLOOKUP($B182,casostestes[#Data],9)),"-")</f>
        <v>-</v>
      </c>
      <c r="K182" s="51"/>
      <c r="L182" s="119"/>
      <c r="M182" s="53"/>
      <c r="N182" s="54"/>
      <c r="O182" s="54"/>
      <c r="P182" s="55"/>
    </row>
    <row r="183" spans="2:16">
      <c r="B183" s="56" t="str">
        <f>IF(ISERR(casostestes[[#This Row],[ID]]),"-",casostestes[[#This Row],[ID]])</f>
        <v>-</v>
      </c>
      <c r="C183" s="49" t="str">
        <f>IFERROR(IF(VLOOKUP($B183,casostestes[#Data],10)=0,"Não",VLOOKUP($B183,casostestes[#Data],10)), "-")</f>
        <v>-</v>
      </c>
      <c r="D183" s="50" t="str">
        <f>IFERROR(IF(VLOOKUP($B183,casostestes[#Data],2)=0,"-",VLOOKUP($B183,casostestes[#Data],2)), "-")</f>
        <v>-</v>
      </c>
      <c r="E183" s="50" t="str">
        <f>IFERROR(IF(VLOOKUP($B183,casostestes[#Data],3)=0,"-",VLOOKUP($B183,casostestes[#Data],3)), "-")</f>
        <v>-</v>
      </c>
      <c r="F183" s="50" t="str">
        <f>IFERROR(IF(VLOOKUP($B183,casostestes[#Data],4)=0,"-",VLOOKUP($B183,casostestes[#Data],4)),"-")</f>
        <v>-</v>
      </c>
      <c r="G183" s="50" t="str">
        <f>IFERROR(IF(VLOOKUP($B183,casostestes[#Data],5)=0,"-",VLOOKUP($B183,casostestes[#Data],5)),"-")</f>
        <v>-</v>
      </c>
      <c r="H183" s="50" t="str">
        <f>IFERROR(IF(VLOOKUP($B183,casostestes[#Data],6)=0,"-",VLOOKUP($B183,casostestes[#Data],6)),"-")</f>
        <v>-</v>
      </c>
      <c r="I183" s="50" t="str">
        <f>IFERROR(IF(VLOOKUP($B183,casostestes[#Data],8)=0,"-",VLOOKUP($B183,casostestes[#Data],8)),"-")</f>
        <v>-</v>
      </c>
      <c r="J183" s="50" t="str">
        <f>IFERROR(IF(VLOOKUP($B183,casostestes[#Data],9)=0,"-",VLOOKUP($B183,casostestes[#Data],9)),"-")</f>
        <v>-</v>
      </c>
      <c r="K183" s="51"/>
      <c r="L183" s="119"/>
      <c r="M183" s="53"/>
      <c r="N183" s="54"/>
      <c r="O183" s="54"/>
      <c r="P183" s="55"/>
    </row>
    <row r="184" spans="2:16">
      <c r="B184" s="56" t="str">
        <f>IF(ISERR(casostestes[[#This Row],[ID]]),"-",casostestes[[#This Row],[ID]])</f>
        <v>-</v>
      </c>
      <c r="C184" s="49" t="str">
        <f>IFERROR(IF(VLOOKUP($B184,casostestes[#Data],10)=0,"Não",VLOOKUP($B184,casostestes[#Data],10)), "-")</f>
        <v>-</v>
      </c>
      <c r="D184" s="50" t="str">
        <f>IFERROR(IF(VLOOKUP($B184,casostestes[#Data],2)=0,"-",VLOOKUP($B184,casostestes[#Data],2)), "-")</f>
        <v>-</v>
      </c>
      <c r="E184" s="50" t="str">
        <f>IFERROR(IF(VLOOKUP($B184,casostestes[#Data],3)=0,"-",VLOOKUP($B184,casostestes[#Data],3)), "-")</f>
        <v>-</v>
      </c>
      <c r="F184" s="50" t="str">
        <f>IFERROR(IF(VLOOKUP($B184,casostestes[#Data],4)=0,"-",VLOOKUP($B184,casostestes[#Data],4)),"-")</f>
        <v>-</v>
      </c>
      <c r="G184" s="50" t="str">
        <f>IFERROR(IF(VLOOKUP($B184,casostestes[#Data],5)=0,"-",VLOOKUP($B184,casostestes[#Data],5)),"-")</f>
        <v>-</v>
      </c>
      <c r="H184" s="50" t="str">
        <f>IFERROR(IF(VLOOKUP($B184,casostestes[#Data],6)=0,"-",VLOOKUP($B184,casostestes[#Data],6)),"-")</f>
        <v>-</v>
      </c>
      <c r="I184" s="50" t="str">
        <f>IFERROR(IF(VLOOKUP($B184,casostestes[#Data],8)=0,"-",VLOOKUP($B184,casostestes[#Data],8)),"-")</f>
        <v>-</v>
      </c>
      <c r="J184" s="50" t="str">
        <f>IFERROR(IF(VLOOKUP($B184,casostestes[#Data],9)=0,"-",VLOOKUP($B184,casostestes[#Data],9)),"-")</f>
        <v>-</v>
      </c>
      <c r="K184" s="51"/>
      <c r="L184" s="119"/>
      <c r="M184" s="53"/>
      <c r="N184" s="54"/>
      <c r="O184" s="54"/>
      <c r="P184" s="55"/>
    </row>
    <row r="185" spans="2:16">
      <c r="B185" s="56" t="str">
        <f>IF(ISERR(casostestes[[#This Row],[ID]]),"-",casostestes[[#This Row],[ID]])</f>
        <v>-</v>
      </c>
      <c r="C185" s="49" t="str">
        <f>IFERROR(IF(VLOOKUP($B185,casostestes[#Data],10)=0,"Não",VLOOKUP($B185,casostestes[#Data],10)), "-")</f>
        <v>-</v>
      </c>
      <c r="D185" s="50" t="str">
        <f>IFERROR(IF(VLOOKUP($B185,casostestes[#Data],2)=0,"-",VLOOKUP($B185,casostestes[#Data],2)), "-")</f>
        <v>-</v>
      </c>
      <c r="E185" s="50" t="str">
        <f>IFERROR(IF(VLOOKUP($B185,casostestes[#Data],3)=0,"-",VLOOKUP($B185,casostestes[#Data],3)), "-")</f>
        <v>-</v>
      </c>
      <c r="F185" s="50" t="str">
        <f>IFERROR(IF(VLOOKUP($B185,casostestes[#Data],4)=0,"-",VLOOKUP($B185,casostestes[#Data],4)),"-")</f>
        <v>-</v>
      </c>
      <c r="G185" s="50" t="str">
        <f>IFERROR(IF(VLOOKUP($B185,casostestes[#Data],5)=0,"-",VLOOKUP($B185,casostestes[#Data],5)),"-")</f>
        <v>-</v>
      </c>
      <c r="H185" s="50" t="str">
        <f>IFERROR(IF(VLOOKUP($B185,casostestes[#Data],6)=0,"-",VLOOKUP($B185,casostestes[#Data],6)),"-")</f>
        <v>-</v>
      </c>
      <c r="I185" s="50" t="str">
        <f>IFERROR(IF(VLOOKUP($B185,casostestes[#Data],8)=0,"-",VLOOKUP($B185,casostestes[#Data],8)),"-")</f>
        <v>-</v>
      </c>
      <c r="J185" s="50" t="str">
        <f>IFERROR(IF(VLOOKUP($B185,casostestes[#Data],9)=0,"-",VLOOKUP($B185,casostestes[#Data],9)),"-")</f>
        <v>-</v>
      </c>
      <c r="K185" s="51"/>
      <c r="L185" s="119"/>
      <c r="M185" s="53"/>
      <c r="N185" s="54"/>
      <c r="O185" s="54"/>
      <c r="P185" s="55"/>
    </row>
    <row r="186" spans="2:16">
      <c r="B186" s="56" t="str">
        <f>IF(ISERR(casostestes[[#This Row],[ID]]),"-",casostestes[[#This Row],[ID]])</f>
        <v>-</v>
      </c>
      <c r="C186" s="49" t="str">
        <f>IFERROR(IF(VLOOKUP($B186,casostestes[#Data],10)=0,"Não",VLOOKUP($B186,casostestes[#Data],10)), "-")</f>
        <v>-</v>
      </c>
      <c r="D186" s="50" t="str">
        <f>IFERROR(IF(VLOOKUP($B186,casostestes[#Data],2)=0,"-",VLOOKUP($B186,casostestes[#Data],2)), "-")</f>
        <v>-</v>
      </c>
      <c r="E186" s="50" t="str">
        <f>IFERROR(IF(VLOOKUP($B186,casostestes[#Data],3)=0,"-",VLOOKUP($B186,casostestes[#Data],3)), "-")</f>
        <v>-</v>
      </c>
      <c r="F186" s="50" t="str">
        <f>IFERROR(IF(VLOOKUP($B186,casostestes[#Data],4)=0,"-",VLOOKUP($B186,casostestes[#Data],4)),"-")</f>
        <v>-</v>
      </c>
      <c r="G186" s="50" t="str">
        <f>IFERROR(IF(VLOOKUP($B186,casostestes[#Data],5)=0,"-",VLOOKUP($B186,casostestes[#Data],5)),"-")</f>
        <v>-</v>
      </c>
      <c r="H186" s="50" t="str">
        <f>IFERROR(IF(VLOOKUP($B186,casostestes[#Data],6)=0,"-",VLOOKUP($B186,casostestes[#Data],6)),"-")</f>
        <v>-</v>
      </c>
      <c r="I186" s="50" t="str">
        <f>IFERROR(IF(VLOOKUP($B186,casostestes[#Data],8)=0,"-",VLOOKUP($B186,casostestes[#Data],8)),"-")</f>
        <v>-</v>
      </c>
      <c r="J186" s="50" t="str">
        <f>IFERROR(IF(VLOOKUP($B186,casostestes[#Data],9)=0,"-",VLOOKUP($B186,casostestes[#Data],9)),"-")</f>
        <v>-</v>
      </c>
      <c r="K186" s="51"/>
      <c r="L186" s="119"/>
      <c r="M186" s="53"/>
      <c r="N186" s="54"/>
      <c r="O186" s="54"/>
      <c r="P186" s="55"/>
    </row>
    <row r="187" spans="2:16">
      <c r="B187" s="56" t="str">
        <f>IF(ISERR(casostestes[[#This Row],[ID]]),"-",casostestes[[#This Row],[ID]])</f>
        <v>-</v>
      </c>
      <c r="C187" s="49" t="str">
        <f>IFERROR(IF(VLOOKUP($B187,casostestes[#Data],10)=0,"Não",VLOOKUP($B187,casostestes[#Data],10)), "-")</f>
        <v>-</v>
      </c>
      <c r="D187" s="50" t="str">
        <f>IFERROR(IF(VLOOKUP($B187,casostestes[#Data],2)=0,"-",VLOOKUP($B187,casostestes[#Data],2)), "-")</f>
        <v>-</v>
      </c>
      <c r="E187" s="50" t="str">
        <f>IFERROR(IF(VLOOKUP($B187,casostestes[#Data],3)=0,"-",VLOOKUP($B187,casostestes[#Data],3)), "-")</f>
        <v>-</v>
      </c>
      <c r="F187" s="50" t="str">
        <f>IFERROR(IF(VLOOKUP($B187,casostestes[#Data],4)=0,"-",VLOOKUP($B187,casostestes[#Data],4)),"-")</f>
        <v>-</v>
      </c>
      <c r="G187" s="50" t="str">
        <f>IFERROR(IF(VLOOKUP($B187,casostestes[#Data],5)=0,"-",VLOOKUP($B187,casostestes[#Data],5)),"-")</f>
        <v>-</v>
      </c>
      <c r="H187" s="50" t="str">
        <f>IFERROR(IF(VLOOKUP($B187,casostestes[#Data],6)=0,"-",VLOOKUP($B187,casostestes[#Data],6)),"-")</f>
        <v>-</v>
      </c>
      <c r="I187" s="50" t="str">
        <f>IFERROR(IF(VLOOKUP($B187,casostestes[#Data],8)=0,"-",VLOOKUP($B187,casostestes[#Data],8)),"-")</f>
        <v>-</v>
      </c>
      <c r="J187" s="50" t="str">
        <f>IFERROR(IF(VLOOKUP($B187,casostestes[#Data],9)=0,"-",VLOOKUP($B187,casostestes[#Data],9)),"-")</f>
        <v>-</v>
      </c>
      <c r="K187" s="51"/>
      <c r="L187" s="119"/>
      <c r="M187" s="53"/>
      <c r="N187" s="54"/>
      <c r="O187" s="54"/>
      <c r="P187" s="55"/>
    </row>
    <row r="188" spans="2:16">
      <c r="B188" s="56" t="str">
        <f>IF(ISERR(casostestes[[#This Row],[ID]]),"-",casostestes[[#This Row],[ID]])</f>
        <v>-</v>
      </c>
      <c r="C188" s="49" t="str">
        <f>IFERROR(IF(VLOOKUP($B188,casostestes[#Data],10)=0,"Não",VLOOKUP($B188,casostestes[#Data],10)), "-")</f>
        <v>-</v>
      </c>
      <c r="D188" s="50" t="str">
        <f>IFERROR(IF(VLOOKUP($B188,casostestes[#Data],2)=0,"-",VLOOKUP($B188,casostestes[#Data],2)), "-")</f>
        <v>-</v>
      </c>
      <c r="E188" s="50" t="str">
        <f>IFERROR(IF(VLOOKUP($B188,casostestes[#Data],3)=0,"-",VLOOKUP($B188,casostestes[#Data],3)), "-")</f>
        <v>-</v>
      </c>
      <c r="F188" s="50" t="str">
        <f>IFERROR(IF(VLOOKUP($B188,casostestes[#Data],4)=0,"-",VLOOKUP($B188,casostestes[#Data],4)),"-")</f>
        <v>-</v>
      </c>
      <c r="G188" s="50" t="str">
        <f>IFERROR(IF(VLOOKUP($B188,casostestes[#Data],5)=0,"-",VLOOKUP($B188,casostestes[#Data],5)),"-")</f>
        <v>-</v>
      </c>
      <c r="H188" s="50" t="str">
        <f>IFERROR(IF(VLOOKUP($B188,casostestes[#Data],6)=0,"-",VLOOKUP($B188,casostestes[#Data],6)),"-")</f>
        <v>-</v>
      </c>
      <c r="I188" s="50" t="str">
        <f>IFERROR(IF(VLOOKUP($B188,casostestes[#Data],8)=0,"-",VLOOKUP($B188,casostestes[#Data],8)),"-")</f>
        <v>-</v>
      </c>
      <c r="J188" s="50" t="str">
        <f>IFERROR(IF(VLOOKUP($B188,casostestes[#Data],9)=0,"-",VLOOKUP($B188,casostestes[#Data],9)),"-")</f>
        <v>-</v>
      </c>
      <c r="K188" s="51"/>
      <c r="L188" s="119"/>
      <c r="M188" s="53"/>
      <c r="N188" s="54"/>
      <c r="O188" s="54"/>
      <c r="P188" s="55"/>
    </row>
    <row r="189" spans="2:16">
      <c r="B189" s="56" t="str">
        <f>IF(ISERR(casostestes[[#This Row],[ID]]),"-",casostestes[[#This Row],[ID]])</f>
        <v>-</v>
      </c>
      <c r="C189" s="49" t="str">
        <f>IFERROR(IF(VLOOKUP($B189,casostestes[#Data],10)=0,"Não",VLOOKUP($B189,casostestes[#Data],10)), "-")</f>
        <v>-</v>
      </c>
      <c r="D189" s="50" t="str">
        <f>IFERROR(IF(VLOOKUP($B189,casostestes[#Data],2)=0,"-",VLOOKUP($B189,casostestes[#Data],2)), "-")</f>
        <v>-</v>
      </c>
      <c r="E189" s="50" t="str">
        <f>IFERROR(IF(VLOOKUP($B189,casostestes[#Data],3)=0,"-",VLOOKUP($B189,casostestes[#Data],3)), "-")</f>
        <v>-</v>
      </c>
      <c r="F189" s="50" t="str">
        <f>IFERROR(IF(VLOOKUP($B189,casostestes[#Data],4)=0,"-",VLOOKUP($B189,casostestes[#Data],4)),"-")</f>
        <v>-</v>
      </c>
      <c r="G189" s="50" t="str">
        <f>IFERROR(IF(VLOOKUP($B189,casostestes[#Data],5)=0,"-",VLOOKUP($B189,casostestes[#Data],5)),"-")</f>
        <v>-</v>
      </c>
      <c r="H189" s="50" t="str">
        <f>IFERROR(IF(VLOOKUP($B189,casostestes[#Data],6)=0,"-",VLOOKUP($B189,casostestes[#Data],6)),"-")</f>
        <v>-</v>
      </c>
      <c r="I189" s="50" t="str">
        <f>IFERROR(IF(VLOOKUP($B189,casostestes[#Data],8)=0,"-",VLOOKUP($B189,casostestes[#Data],8)),"-")</f>
        <v>-</v>
      </c>
      <c r="J189" s="50" t="str">
        <f>IFERROR(IF(VLOOKUP($B189,casostestes[#Data],9)=0,"-",VLOOKUP($B189,casostestes[#Data],9)),"-")</f>
        <v>-</v>
      </c>
      <c r="K189" s="51"/>
      <c r="L189" s="119"/>
      <c r="M189" s="53"/>
      <c r="N189" s="54"/>
      <c r="O189" s="54"/>
      <c r="P189" s="55"/>
    </row>
    <row r="190" spans="2:16">
      <c r="B190" s="56" t="str">
        <f>IF(ISERR(casostestes[[#This Row],[ID]]),"-",casostestes[[#This Row],[ID]])</f>
        <v>-</v>
      </c>
      <c r="C190" s="49" t="str">
        <f>IFERROR(IF(VLOOKUP($B190,casostestes[#Data],10)=0,"Não",VLOOKUP($B190,casostestes[#Data],10)), "-")</f>
        <v>-</v>
      </c>
      <c r="D190" s="50" t="str">
        <f>IFERROR(IF(VLOOKUP($B190,casostestes[#Data],2)=0,"-",VLOOKUP($B190,casostestes[#Data],2)), "-")</f>
        <v>-</v>
      </c>
      <c r="E190" s="50" t="str">
        <f>IFERROR(IF(VLOOKUP($B190,casostestes[#Data],3)=0,"-",VLOOKUP($B190,casostestes[#Data],3)), "-")</f>
        <v>-</v>
      </c>
      <c r="F190" s="50" t="str">
        <f>IFERROR(IF(VLOOKUP($B190,casostestes[#Data],4)=0,"-",VLOOKUP($B190,casostestes[#Data],4)),"-")</f>
        <v>-</v>
      </c>
      <c r="G190" s="50" t="str">
        <f>IFERROR(IF(VLOOKUP($B190,casostestes[#Data],5)=0,"-",VLOOKUP($B190,casostestes[#Data],5)),"-")</f>
        <v>-</v>
      </c>
      <c r="H190" s="50" t="str">
        <f>IFERROR(IF(VLOOKUP($B190,casostestes[#Data],6)=0,"-",VLOOKUP($B190,casostestes[#Data],6)),"-")</f>
        <v>-</v>
      </c>
      <c r="I190" s="50" t="str">
        <f>IFERROR(IF(VLOOKUP($B190,casostestes[#Data],8)=0,"-",VLOOKUP($B190,casostestes[#Data],8)),"-")</f>
        <v>-</v>
      </c>
      <c r="J190" s="50" t="str">
        <f>IFERROR(IF(VLOOKUP($B190,casostestes[#Data],9)=0,"-",VLOOKUP($B190,casostestes[#Data],9)),"-")</f>
        <v>-</v>
      </c>
      <c r="K190" s="51"/>
      <c r="L190" s="119"/>
      <c r="M190" s="53"/>
      <c r="N190" s="54"/>
      <c r="O190" s="54"/>
      <c r="P190" s="55"/>
    </row>
    <row r="191" spans="2:16">
      <c r="B191" s="56" t="str">
        <f>IF(ISERR(casostestes[[#This Row],[ID]]),"-",casostestes[[#This Row],[ID]])</f>
        <v>-</v>
      </c>
      <c r="C191" s="49" t="str">
        <f>IFERROR(IF(VLOOKUP($B191,casostestes[#Data],10)=0,"Não",VLOOKUP($B191,casostestes[#Data],10)), "-")</f>
        <v>-</v>
      </c>
      <c r="D191" s="50" t="str">
        <f>IFERROR(IF(VLOOKUP($B191,casostestes[#Data],2)=0,"-",VLOOKUP($B191,casostestes[#Data],2)), "-")</f>
        <v>-</v>
      </c>
      <c r="E191" s="50" t="str">
        <f>IFERROR(IF(VLOOKUP($B191,casostestes[#Data],3)=0,"-",VLOOKUP($B191,casostestes[#Data],3)), "-")</f>
        <v>-</v>
      </c>
      <c r="F191" s="50" t="str">
        <f>IFERROR(IF(VLOOKUP($B191,casostestes[#Data],4)=0,"-",VLOOKUP($B191,casostestes[#Data],4)),"-")</f>
        <v>-</v>
      </c>
      <c r="G191" s="50" t="str">
        <f>IFERROR(IF(VLOOKUP($B191,casostestes[#Data],5)=0,"-",VLOOKUP($B191,casostestes[#Data],5)),"-")</f>
        <v>-</v>
      </c>
      <c r="H191" s="50" t="str">
        <f>IFERROR(IF(VLOOKUP($B191,casostestes[#Data],6)=0,"-",VLOOKUP($B191,casostestes[#Data],6)),"-")</f>
        <v>-</v>
      </c>
      <c r="I191" s="50" t="str">
        <f>IFERROR(IF(VLOOKUP($B191,casostestes[#Data],8)=0,"-",VLOOKUP($B191,casostestes[#Data],8)),"-")</f>
        <v>-</v>
      </c>
      <c r="J191" s="50" t="str">
        <f>IFERROR(IF(VLOOKUP($B191,casostestes[#Data],9)=0,"-",VLOOKUP($B191,casostestes[#Data],9)),"-")</f>
        <v>-</v>
      </c>
      <c r="K191" s="51"/>
      <c r="L191" s="119"/>
      <c r="M191" s="53"/>
      <c r="N191" s="54"/>
      <c r="O191" s="54"/>
      <c r="P191" s="55"/>
    </row>
    <row r="192" spans="2:16">
      <c r="B192" s="56" t="str">
        <f>IF(ISERR(casostestes[[#This Row],[ID]]),"-",casostestes[[#This Row],[ID]])</f>
        <v>-</v>
      </c>
      <c r="C192" s="49" t="str">
        <f>IFERROR(IF(VLOOKUP($B192,casostestes[#Data],10)=0,"Não",VLOOKUP($B192,casostestes[#Data],10)), "-")</f>
        <v>-</v>
      </c>
      <c r="D192" s="50" t="str">
        <f>IFERROR(IF(VLOOKUP($B192,casostestes[#Data],2)=0,"-",VLOOKUP($B192,casostestes[#Data],2)), "-")</f>
        <v>-</v>
      </c>
      <c r="E192" s="50" t="str">
        <f>IFERROR(IF(VLOOKUP($B192,casostestes[#Data],3)=0,"-",VLOOKUP($B192,casostestes[#Data],3)), "-")</f>
        <v>-</v>
      </c>
      <c r="F192" s="50" t="str">
        <f>IFERROR(IF(VLOOKUP($B192,casostestes[#Data],4)=0,"-",VLOOKUP($B192,casostestes[#Data],4)),"-")</f>
        <v>-</v>
      </c>
      <c r="G192" s="50" t="str">
        <f>IFERROR(IF(VLOOKUP($B192,casostestes[#Data],5)=0,"-",VLOOKUP($B192,casostestes[#Data],5)),"-")</f>
        <v>-</v>
      </c>
      <c r="H192" s="50" t="str">
        <f>IFERROR(IF(VLOOKUP($B192,casostestes[#Data],6)=0,"-",VLOOKUP($B192,casostestes[#Data],6)),"-")</f>
        <v>-</v>
      </c>
      <c r="I192" s="50" t="str">
        <f>IFERROR(IF(VLOOKUP($B192,casostestes[#Data],8)=0,"-",VLOOKUP($B192,casostestes[#Data],8)),"-")</f>
        <v>-</v>
      </c>
      <c r="J192" s="50" t="str">
        <f>IFERROR(IF(VLOOKUP($B192,casostestes[#Data],9)=0,"-",VLOOKUP($B192,casostestes[#Data],9)),"-")</f>
        <v>-</v>
      </c>
      <c r="K192" s="51"/>
      <c r="L192" s="119"/>
      <c r="M192" s="53"/>
      <c r="N192" s="54"/>
      <c r="O192" s="54"/>
      <c r="P192" s="55"/>
    </row>
    <row r="193" spans="2:16">
      <c r="B193" s="56" t="str">
        <f>IF(ISERR(casostestes[[#This Row],[ID]]),"-",casostestes[[#This Row],[ID]])</f>
        <v>-</v>
      </c>
      <c r="C193" s="49" t="str">
        <f>IFERROR(IF(VLOOKUP($B193,casostestes[#Data],10)=0,"Não",VLOOKUP($B193,casostestes[#Data],10)), "-")</f>
        <v>-</v>
      </c>
      <c r="D193" s="50" t="str">
        <f>IFERROR(IF(VLOOKUP($B193,casostestes[#Data],2)=0,"-",VLOOKUP($B193,casostestes[#Data],2)), "-")</f>
        <v>-</v>
      </c>
      <c r="E193" s="50" t="str">
        <f>IFERROR(IF(VLOOKUP($B193,casostestes[#Data],3)=0,"-",VLOOKUP($B193,casostestes[#Data],3)), "-")</f>
        <v>-</v>
      </c>
      <c r="F193" s="50" t="str">
        <f>IFERROR(IF(VLOOKUP($B193,casostestes[#Data],4)=0,"-",VLOOKUP($B193,casostestes[#Data],4)),"-")</f>
        <v>-</v>
      </c>
      <c r="G193" s="50" t="str">
        <f>IFERROR(IF(VLOOKUP($B193,casostestes[#Data],5)=0,"-",VLOOKUP($B193,casostestes[#Data],5)),"-")</f>
        <v>-</v>
      </c>
      <c r="H193" s="50" t="str">
        <f>IFERROR(IF(VLOOKUP($B193,casostestes[#Data],6)=0,"-",VLOOKUP($B193,casostestes[#Data],6)),"-")</f>
        <v>-</v>
      </c>
      <c r="I193" s="50" t="str">
        <f>IFERROR(IF(VLOOKUP($B193,casostestes[#Data],8)=0,"-",VLOOKUP($B193,casostestes[#Data],8)),"-")</f>
        <v>-</v>
      </c>
      <c r="J193" s="50" t="str">
        <f>IFERROR(IF(VLOOKUP($B193,casostestes[#Data],9)=0,"-",VLOOKUP($B193,casostestes[#Data],9)),"-")</f>
        <v>-</v>
      </c>
      <c r="K193" s="51"/>
      <c r="L193" s="119"/>
      <c r="M193" s="53"/>
      <c r="N193" s="54"/>
      <c r="O193" s="54"/>
      <c r="P193" s="55"/>
    </row>
    <row r="194" spans="2:16">
      <c r="B194" s="56" t="str">
        <f>IF(ISERR(casostestes[[#This Row],[ID]]),"-",casostestes[[#This Row],[ID]])</f>
        <v>-</v>
      </c>
      <c r="C194" s="49" t="str">
        <f>IFERROR(IF(VLOOKUP($B194,casostestes[#Data],10)=0,"Não",VLOOKUP($B194,casostestes[#Data],10)), "-")</f>
        <v>-</v>
      </c>
      <c r="D194" s="50" t="str">
        <f>IFERROR(IF(VLOOKUP($B194,casostestes[#Data],2)=0,"-",VLOOKUP($B194,casostestes[#Data],2)), "-")</f>
        <v>-</v>
      </c>
      <c r="E194" s="50" t="str">
        <f>IFERROR(IF(VLOOKUP($B194,casostestes[#Data],3)=0,"-",VLOOKUP($B194,casostestes[#Data],3)), "-")</f>
        <v>-</v>
      </c>
      <c r="F194" s="50" t="str">
        <f>IFERROR(IF(VLOOKUP($B194,casostestes[#Data],4)=0,"-",VLOOKUP($B194,casostestes[#Data],4)),"-")</f>
        <v>-</v>
      </c>
      <c r="G194" s="50" t="str">
        <f>IFERROR(IF(VLOOKUP($B194,casostestes[#Data],5)=0,"-",VLOOKUP($B194,casostestes[#Data],5)),"-")</f>
        <v>-</v>
      </c>
      <c r="H194" s="50" t="str">
        <f>IFERROR(IF(VLOOKUP($B194,casostestes[#Data],6)=0,"-",VLOOKUP($B194,casostestes[#Data],6)),"-")</f>
        <v>-</v>
      </c>
      <c r="I194" s="50" t="str">
        <f>IFERROR(IF(VLOOKUP($B194,casostestes[#Data],8)=0,"-",VLOOKUP($B194,casostestes[#Data],8)),"-")</f>
        <v>-</v>
      </c>
      <c r="J194" s="50" t="str">
        <f>IFERROR(IF(VLOOKUP($B194,casostestes[#Data],9)=0,"-",VLOOKUP($B194,casostestes[#Data],9)),"-")</f>
        <v>-</v>
      </c>
      <c r="K194" s="51"/>
      <c r="L194" s="119"/>
      <c r="M194" s="53"/>
      <c r="N194" s="54"/>
      <c r="O194" s="54"/>
      <c r="P194" s="55"/>
    </row>
    <row r="195" spans="2:16">
      <c r="B195" s="56" t="str">
        <f>IF(ISERR(casostestes[[#This Row],[ID]]),"-",casostestes[[#This Row],[ID]])</f>
        <v>-</v>
      </c>
      <c r="C195" s="49" t="str">
        <f>IFERROR(IF(VLOOKUP($B195,casostestes[#Data],10)=0,"Não",VLOOKUP($B195,casostestes[#Data],10)), "-")</f>
        <v>-</v>
      </c>
      <c r="D195" s="50" t="str">
        <f>IFERROR(IF(VLOOKUP($B195,casostestes[#Data],2)=0,"-",VLOOKUP($B195,casostestes[#Data],2)), "-")</f>
        <v>-</v>
      </c>
      <c r="E195" s="50" t="str">
        <f>IFERROR(IF(VLOOKUP($B195,casostestes[#Data],3)=0,"-",VLOOKUP($B195,casostestes[#Data],3)), "-")</f>
        <v>-</v>
      </c>
      <c r="F195" s="50" t="str">
        <f>IFERROR(IF(VLOOKUP($B195,casostestes[#Data],4)=0,"-",VLOOKUP($B195,casostestes[#Data],4)),"-")</f>
        <v>-</v>
      </c>
      <c r="G195" s="50" t="str">
        <f>IFERROR(IF(VLOOKUP($B195,casostestes[#Data],5)=0,"-",VLOOKUP($B195,casostestes[#Data],5)),"-")</f>
        <v>-</v>
      </c>
      <c r="H195" s="50" t="str">
        <f>IFERROR(IF(VLOOKUP($B195,casostestes[#Data],6)=0,"-",VLOOKUP($B195,casostestes[#Data],6)),"-")</f>
        <v>-</v>
      </c>
      <c r="I195" s="50" t="str">
        <f>IFERROR(IF(VLOOKUP($B195,casostestes[#Data],8)=0,"-",VLOOKUP($B195,casostestes[#Data],8)),"-")</f>
        <v>-</v>
      </c>
      <c r="J195" s="50" t="str">
        <f>IFERROR(IF(VLOOKUP($B195,casostestes[#Data],9)=0,"-",VLOOKUP($B195,casostestes[#Data],9)),"-")</f>
        <v>-</v>
      </c>
      <c r="K195" s="51"/>
      <c r="L195" s="119"/>
      <c r="M195" s="53"/>
      <c r="N195" s="54"/>
      <c r="O195" s="54"/>
      <c r="P195" s="55"/>
    </row>
    <row r="196" spans="2:16">
      <c r="B196" s="56" t="str">
        <f>IF(ISERR(casostestes[[#This Row],[ID]]),"-",casostestes[[#This Row],[ID]])</f>
        <v>-</v>
      </c>
      <c r="C196" s="49" t="str">
        <f>IFERROR(IF(VLOOKUP($B196,casostestes[#Data],10)=0,"Não",VLOOKUP($B196,casostestes[#Data],10)), "-")</f>
        <v>-</v>
      </c>
      <c r="D196" s="50" t="str">
        <f>IFERROR(IF(VLOOKUP($B196,casostestes[#Data],2)=0,"-",VLOOKUP($B196,casostestes[#Data],2)), "-")</f>
        <v>-</v>
      </c>
      <c r="E196" s="50" t="str">
        <f>IFERROR(IF(VLOOKUP($B196,casostestes[#Data],3)=0,"-",VLOOKUP($B196,casostestes[#Data],3)), "-")</f>
        <v>-</v>
      </c>
      <c r="F196" s="50" t="str">
        <f>IFERROR(IF(VLOOKUP($B196,casostestes[#Data],4)=0,"-",VLOOKUP($B196,casostestes[#Data],4)),"-")</f>
        <v>-</v>
      </c>
      <c r="G196" s="50" t="str">
        <f>IFERROR(IF(VLOOKUP($B196,casostestes[#Data],5)=0,"-",VLOOKUP($B196,casostestes[#Data],5)),"-")</f>
        <v>-</v>
      </c>
      <c r="H196" s="50" t="str">
        <f>IFERROR(IF(VLOOKUP($B196,casostestes[#Data],6)=0,"-",VLOOKUP($B196,casostestes[#Data],6)),"-")</f>
        <v>-</v>
      </c>
      <c r="I196" s="50" t="str">
        <f>IFERROR(IF(VLOOKUP($B196,casostestes[#Data],8)=0,"-",VLOOKUP($B196,casostestes[#Data],8)),"-")</f>
        <v>-</v>
      </c>
      <c r="J196" s="50" t="str">
        <f>IFERROR(IF(VLOOKUP($B196,casostestes[#Data],9)=0,"-",VLOOKUP($B196,casostestes[#Data],9)),"-")</f>
        <v>-</v>
      </c>
      <c r="K196" s="51"/>
      <c r="L196" s="119"/>
      <c r="M196" s="53"/>
      <c r="N196" s="54"/>
      <c r="O196" s="54"/>
      <c r="P196" s="55"/>
    </row>
    <row r="197" spans="2:16">
      <c r="B197" s="56" t="str">
        <f>IF(ISERR(casostestes[[#This Row],[ID]]),"-",casostestes[[#This Row],[ID]])</f>
        <v>-</v>
      </c>
      <c r="C197" s="49" t="str">
        <f>IFERROR(IF(VLOOKUP($B197,casostestes[#Data],10)=0,"Não",VLOOKUP($B197,casostestes[#Data],10)), "-")</f>
        <v>-</v>
      </c>
      <c r="D197" s="50" t="str">
        <f>IFERROR(IF(VLOOKUP($B197,casostestes[#Data],2)=0,"-",VLOOKUP($B197,casostestes[#Data],2)), "-")</f>
        <v>-</v>
      </c>
      <c r="E197" s="50" t="str">
        <f>IFERROR(IF(VLOOKUP($B197,casostestes[#Data],3)=0,"-",VLOOKUP($B197,casostestes[#Data],3)), "-")</f>
        <v>-</v>
      </c>
      <c r="F197" s="50" t="str">
        <f>IFERROR(IF(VLOOKUP($B197,casostestes[#Data],4)=0,"-",VLOOKUP($B197,casostestes[#Data],4)),"-")</f>
        <v>-</v>
      </c>
      <c r="G197" s="50" t="str">
        <f>IFERROR(IF(VLOOKUP($B197,casostestes[#Data],5)=0,"-",VLOOKUP($B197,casostestes[#Data],5)),"-")</f>
        <v>-</v>
      </c>
      <c r="H197" s="50" t="str">
        <f>IFERROR(IF(VLOOKUP($B197,casostestes[#Data],6)=0,"-",VLOOKUP($B197,casostestes[#Data],6)),"-")</f>
        <v>-</v>
      </c>
      <c r="I197" s="50" t="str">
        <f>IFERROR(IF(VLOOKUP($B197,casostestes[#Data],8)=0,"-",VLOOKUP($B197,casostestes[#Data],8)),"-")</f>
        <v>-</v>
      </c>
      <c r="J197" s="50" t="str">
        <f>IFERROR(IF(VLOOKUP($B197,casostestes[#Data],9)=0,"-",VLOOKUP($B197,casostestes[#Data],9)),"-")</f>
        <v>-</v>
      </c>
      <c r="K197" s="51"/>
      <c r="L197" s="119"/>
      <c r="M197" s="53"/>
      <c r="N197" s="54"/>
      <c r="O197" s="54"/>
      <c r="P197" s="55"/>
    </row>
    <row r="198" spans="2:16">
      <c r="B198" s="56" t="str">
        <f>IF(ISERR(casostestes[[#This Row],[ID]]),"-",casostestes[[#This Row],[ID]])</f>
        <v>-</v>
      </c>
      <c r="C198" s="49" t="str">
        <f>IFERROR(IF(VLOOKUP($B198,casostestes[#Data],10)=0,"Não",VLOOKUP($B198,casostestes[#Data],10)), "-")</f>
        <v>-</v>
      </c>
      <c r="D198" s="50" t="str">
        <f>IFERROR(IF(VLOOKUP($B198,casostestes[#Data],2)=0,"-",VLOOKUP($B198,casostestes[#Data],2)), "-")</f>
        <v>-</v>
      </c>
      <c r="E198" s="50" t="str">
        <f>IFERROR(IF(VLOOKUP($B198,casostestes[#Data],3)=0,"-",VLOOKUP($B198,casostestes[#Data],3)), "-")</f>
        <v>-</v>
      </c>
      <c r="F198" s="50" t="str">
        <f>IFERROR(IF(VLOOKUP($B198,casostestes[#Data],4)=0,"-",VLOOKUP($B198,casostestes[#Data],4)),"-")</f>
        <v>-</v>
      </c>
      <c r="G198" s="50" t="str">
        <f>IFERROR(IF(VLOOKUP($B198,casostestes[#Data],5)=0,"-",VLOOKUP($B198,casostestes[#Data],5)),"-")</f>
        <v>-</v>
      </c>
      <c r="H198" s="50" t="str">
        <f>IFERROR(IF(VLOOKUP($B198,casostestes[#Data],6)=0,"-",VLOOKUP($B198,casostestes[#Data],6)),"-")</f>
        <v>-</v>
      </c>
      <c r="I198" s="50" t="str">
        <f>IFERROR(IF(VLOOKUP($B198,casostestes[#Data],8)=0,"-",VLOOKUP($B198,casostestes[#Data],8)),"-")</f>
        <v>-</v>
      </c>
      <c r="J198" s="50" t="str">
        <f>IFERROR(IF(VLOOKUP($B198,casostestes[#Data],9)=0,"-",VLOOKUP($B198,casostestes[#Data],9)),"-")</f>
        <v>-</v>
      </c>
      <c r="K198" s="51"/>
      <c r="L198" s="119"/>
      <c r="M198" s="53"/>
      <c r="N198" s="54"/>
      <c r="O198" s="54"/>
      <c r="P198" s="55"/>
    </row>
    <row r="199" spans="2:16">
      <c r="B199" s="56" t="str">
        <f>IF(ISERR(casostestes[[#This Row],[ID]]),"-",casostestes[[#This Row],[ID]])</f>
        <v>-</v>
      </c>
      <c r="C199" s="49" t="str">
        <f>IFERROR(IF(VLOOKUP($B199,casostestes[#Data],10)=0,"Não",VLOOKUP($B199,casostestes[#Data],10)), "-")</f>
        <v>-</v>
      </c>
      <c r="D199" s="50" t="str">
        <f>IFERROR(IF(VLOOKUP($B199,casostestes[#Data],2)=0,"-",VLOOKUP($B199,casostestes[#Data],2)), "-")</f>
        <v>-</v>
      </c>
      <c r="E199" s="50" t="str">
        <f>IFERROR(IF(VLOOKUP($B199,casostestes[#Data],3)=0,"-",VLOOKUP($B199,casostestes[#Data],3)), "-")</f>
        <v>-</v>
      </c>
      <c r="F199" s="50" t="str">
        <f>IFERROR(IF(VLOOKUP($B199,casostestes[#Data],4)=0,"-",VLOOKUP($B199,casostestes[#Data],4)),"-")</f>
        <v>-</v>
      </c>
      <c r="G199" s="50" t="str">
        <f>IFERROR(IF(VLOOKUP($B199,casostestes[#Data],5)=0,"-",VLOOKUP($B199,casostestes[#Data],5)),"-")</f>
        <v>-</v>
      </c>
      <c r="H199" s="50" t="str">
        <f>IFERROR(IF(VLOOKUP($B199,casostestes[#Data],6)=0,"-",VLOOKUP($B199,casostestes[#Data],6)),"-")</f>
        <v>-</v>
      </c>
      <c r="I199" s="50" t="str">
        <f>IFERROR(IF(VLOOKUP($B199,casostestes[#Data],8)=0,"-",VLOOKUP($B199,casostestes[#Data],8)),"-")</f>
        <v>-</v>
      </c>
      <c r="J199" s="50" t="str">
        <f>IFERROR(IF(VLOOKUP($B199,casostestes[#Data],9)=0,"-",VLOOKUP($B199,casostestes[#Data],9)),"-")</f>
        <v>-</v>
      </c>
      <c r="K199" s="51"/>
      <c r="L199" s="119"/>
      <c r="M199" s="53"/>
      <c r="N199" s="54"/>
      <c r="O199" s="54"/>
      <c r="P199" s="55"/>
    </row>
    <row r="200" spans="2:16">
      <c r="B200" s="56" t="str">
        <f>IF(ISERR(casostestes[[#This Row],[ID]]),"-",casostestes[[#This Row],[ID]])</f>
        <v>-</v>
      </c>
      <c r="C200" s="58" t="str">
        <f>IFERROR(IF(VLOOKUP($B200,casostestes[#Data],10)=0,"Não",VLOOKUP($B200,casostestes[#Data],10)), "-")</f>
        <v>-</v>
      </c>
      <c r="D200" s="59" t="str">
        <f>IFERROR(IF(VLOOKUP($B200,casostestes[#Data],2)=0,"-",VLOOKUP($B200,casostestes[#Data],2)), "-")</f>
        <v>-</v>
      </c>
      <c r="E200" s="59" t="str">
        <f>IFERROR(IF(VLOOKUP($B200,casostestes[#Data],3)=0,"-",VLOOKUP($B200,casostestes[#Data],3)), "-")</f>
        <v>-</v>
      </c>
      <c r="F200" s="59" t="str">
        <f>IFERROR(IF(VLOOKUP($B200,casostestes[#Data],4)=0,"-",VLOOKUP($B200,casostestes[#Data],4)),"-")</f>
        <v>-</v>
      </c>
      <c r="G200" s="59" t="str">
        <f>IFERROR(IF(VLOOKUP($B200,casostestes[#Data],5)=0,"-",VLOOKUP($B200,casostestes[#Data],5)),"-")</f>
        <v>-</v>
      </c>
      <c r="H200" s="59" t="str">
        <f>IFERROR(IF(VLOOKUP($B200,casostestes[#Data],6)=0,"-",VLOOKUP($B200,casostestes[#Data],6)),"-")</f>
        <v>-</v>
      </c>
      <c r="I200" s="59" t="str">
        <f>IFERROR(IF(VLOOKUP($B200,casostestes[#Data],8)=0,"-",VLOOKUP($B200,casostestes[#Data],8)),"-")</f>
        <v>-</v>
      </c>
      <c r="J200" s="59" t="str">
        <f>IFERROR(IF(VLOOKUP($B200,casostestes[#Data],9)=0,"-",VLOOKUP($B200,casostestes[#Data],9)),"-")</f>
        <v>-</v>
      </c>
      <c r="K200" s="60"/>
      <c r="L200" s="119"/>
      <c r="M200" s="61"/>
      <c r="N200" s="62"/>
      <c r="O200" s="62"/>
      <c r="P200" s="63"/>
    </row>
  </sheetData>
  <mergeCells count="3">
    <mergeCell ref="B1:J1"/>
    <mergeCell ref="B2:J2"/>
    <mergeCell ref="B3:J3"/>
  </mergeCells>
  <conditionalFormatting sqref="C8:C200 C201:D1048576">
    <cfRule type="cellIs" dxfId="49" priority="6" operator="equal">
      <formula>"Sim"</formula>
    </cfRule>
    <cfRule type="cellIs" dxfId="48" priority="7" operator="equal">
      <formula>"Não"</formula>
    </cfRule>
  </conditionalFormatting>
  <conditionalFormatting sqref="M8:M200">
    <cfRule type="cellIs" dxfId="47" priority="1" operator="equal">
      <formula>"Sem massa"</formula>
    </cfRule>
    <cfRule type="cellIs" dxfId="46" priority="2" operator="equal">
      <formula>"Pendência Externa"</formula>
    </cfRule>
    <cfRule type="cellIs" dxfId="45" priority="3" operator="equal">
      <formula>"Disponível para reteste"</formula>
    </cfRule>
    <cfRule type="cellIs" dxfId="44" priority="4" operator="equal">
      <formula>"Reprovado"</formula>
    </cfRule>
    <cfRule type="cellIs" dxfId="43" priority="5" operator="equal">
      <formula>"Aprovado"</formula>
    </cfRule>
  </conditionalFormatting>
  <dataValidations count="1">
    <dataValidation type="list" allowBlank="1" showInputMessage="1" showErrorMessage="1" sqref="M8:M200" xr:uid="{CEA64567-F0CC-41A2-95B6-19355287FECC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topRight"/>
      <selection pane="bottomLeft"/>
      <selection pane="bottomRight" activeCell="L8" sqref="L8"/>
    </sheetView>
  </sheetViews>
  <sheetFormatPr defaultColWidth="9.140625" defaultRowHeight="15"/>
  <cols>
    <col min="1" max="1" width="2.7109375" style="19" customWidth="1"/>
    <col min="2" max="2" width="7.7109375" style="19" customWidth="1"/>
    <col min="3" max="3" width="15.42578125" style="19" customWidth="1"/>
    <col min="4" max="4" width="26" style="19" customWidth="1"/>
    <col min="5" max="5" width="57.42578125" style="19" customWidth="1"/>
    <col min="6" max="6" width="17.7109375" style="19" customWidth="1"/>
    <col min="7" max="7" width="24.42578125" style="19" customWidth="1"/>
    <col min="8" max="8" width="57.42578125" style="19" customWidth="1"/>
    <col min="9" max="9" width="16.7109375" style="19" customWidth="1"/>
    <col min="10" max="10" width="104.7109375" style="19" customWidth="1"/>
    <col min="11" max="11" width="18" style="19" customWidth="1"/>
    <col min="12" max="12" width="20.5703125" style="19" customWidth="1"/>
    <col min="13" max="13" width="21.85546875" style="19" customWidth="1"/>
    <col min="14" max="14" width="31.5703125" style="19" customWidth="1"/>
    <col min="15" max="15" width="24.85546875" style="19" customWidth="1"/>
    <col min="16" max="16" width="22.42578125" style="19" customWidth="1"/>
    <col min="17" max="16384" width="9.140625" style="19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32"/>
      <c r="L1" s="32"/>
    </row>
    <row r="2" spans="2:16" s="34" customFormat="1" ht="23.25">
      <c r="B2" s="105" t="s">
        <v>36</v>
      </c>
      <c r="C2" s="105"/>
      <c r="D2" s="105"/>
      <c r="E2" s="105"/>
      <c r="F2" s="105"/>
      <c r="G2" s="105"/>
      <c r="H2" s="105"/>
      <c r="I2" s="105"/>
      <c r="J2" s="105"/>
      <c r="K2" s="33"/>
      <c r="L2" s="33"/>
    </row>
    <row r="3" spans="2:16" s="34" customFormat="1" ht="23.25">
      <c r="B3" s="105" t="s">
        <v>37</v>
      </c>
      <c r="C3" s="105"/>
      <c r="D3" s="105"/>
      <c r="E3" s="105"/>
      <c r="F3" s="105"/>
      <c r="G3" s="105"/>
      <c r="H3" s="105"/>
      <c r="I3" s="105"/>
      <c r="J3" s="105"/>
      <c r="K3" s="33"/>
      <c r="L3" s="33"/>
    </row>
    <row r="5" spans="2:16">
      <c r="B5" s="3"/>
      <c r="E5" s="3"/>
    </row>
    <row r="7" spans="2:16" s="3" customFormat="1">
      <c r="B7" s="20" t="s">
        <v>3</v>
      </c>
      <c r="C7" s="21" t="s">
        <v>4</v>
      </c>
      <c r="D7" s="21" t="s">
        <v>39</v>
      </c>
      <c r="E7" s="22" t="s">
        <v>5</v>
      </c>
      <c r="F7" s="22" t="s">
        <v>6</v>
      </c>
      <c r="G7" s="22" t="s">
        <v>7</v>
      </c>
      <c r="H7" s="22" t="s">
        <v>8</v>
      </c>
      <c r="I7" s="22" t="s">
        <v>10</v>
      </c>
      <c r="J7" s="22" t="s">
        <v>11</v>
      </c>
      <c r="K7" s="22" t="s">
        <v>12</v>
      </c>
      <c r="L7" s="22" t="s">
        <v>9</v>
      </c>
      <c r="M7" s="22" t="s">
        <v>13</v>
      </c>
      <c r="N7" s="22" t="s">
        <v>14</v>
      </c>
      <c r="O7" s="22" t="s">
        <v>15</v>
      </c>
      <c r="P7" s="23" t="s">
        <v>16</v>
      </c>
    </row>
    <row r="8" spans="2:16" s="13" customFormat="1" ht="135">
      <c r="B8" s="49">
        <f>IF(ISERR(casostestes[[#This Row],[ID]]),"-",casostestes[[#This Row],[ID]])</f>
        <v>1</v>
      </c>
      <c r="C8" s="49" t="str">
        <f>IFERROR(IF(VLOOKUP($B8,casostestes[#Data],10)=0,"Não",VLOOKUP($B8,casostestes[#Data],10)), "-")</f>
        <v>Não</v>
      </c>
      <c r="D8" s="50" t="str">
        <f>IFERROR(IF(VLOOKUP($B8,casostestes[#Data],2)=0,"-",VLOOKUP($B8,casostestes[#Data],2)), "-")</f>
        <v>Requerimento Inicial de BI</v>
      </c>
      <c r="E8" s="50" t="str">
        <f>IFERROR(IF(VLOOKUP($B8,casostestes[#Data],3)=0,"-",VLOOKUP($B8,casostestes[#Data],3)), "-")</f>
        <v>Criar tarefa de BI inicial fluxo ATESTMEDQ para categoria "Segurado especial" onde o parâmetro "Exige Autodeclaração" no Catálogo está DESATIVADO
**Parâmetro PAT ligado: 144 - Fluxo ATESTMEDQ</v>
      </c>
      <c r="F8" s="50" t="str">
        <f>IFERROR(IF(VLOOKUP($B8,casostestes[#Data],4)=0,"-",VLOOKUP($B8,casostestes[#Data],4)),"-")</f>
        <v>PAT</v>
      </c>
      <c r="G8" s="50" t="str">
        <f>IFERROR(IF(VLOOKUP($B8,casostestes[#Data],5)=0,"-",VLOOKUP($B8,casostestes[#Data],5)),"-")</f>
        <v>SERVIDOR</v>
      </c>
      <c r="H8" s="50" t="str">
        <f>IFERROR(IF(VLOOKUP($B8,casostestes[#Data],6)=0,"-",VLOOKUP($B8,casostestes[#Data],6)),"-")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8" s="50" t="str">
        <f>IFERROR(IF(VLOOKUP($B8,casostestes[#Data],8)=0,"-",VLOOKUP($B8,casostestes[#Data],8)),"-")</f>
        <v>-</v>
      </c>
      <c r="J8" s="50" t="str">
        <f>IFERROR(IF(VLOOKUP($B8,casostestes[#Data],9)=0,"-",VLOOKUP($B8,casostestes[#Data],9)),"-")</f>
        <v>Tarefa de BI criada com situação Pendente.
Tarefa SEM Divergência de autodeclaração (116)
Status SIBE igual a AGUARDANDO ATESTADO 
Tarefa.Exige_autodeclaração = 0</v>
      </c>
      <c r="K8" s="51"/>
      <c r="L8" s="52"/>
      <c r="M8" s="53" t="s">
        <v>30</v>
      </c>
      <c r="N8" s="54"/>
      <c r="O8" s="54"/>
      <c r="P8" s="55"/>
    </row>
    <row r="9" spans="2:16" ht="150">
      <c r="B9" s="56">
        <f>IF(ISERR(casostestes[[#This Row],[ID]]),"-",casostestes[[#This Row],[ID]])</f>
        <v>2</v>
      </c>
      <c r="C9" s="58" t="str">
        <f>IFERROR(IF(VLOOKUP($B9,casostestes[#Data],10)=0,"Não",VLOOKUP($B9,casostestes[#Data],10)), "-")</f>
        <v>Não</v>
      </c>
      <c r="D9" s="59" t="str">
        <f>IFERROR(IF(VLOOKUP($B9,casostestes[#Data],2)=0,"-",VLOOKUP($B9,casostestes[#Data],2)), "-")</f>
        <v>Requerimento Inicial de BI</v>
      </c>
      <c r="E9" s="59" t="str">
        <f>IFERROR(IF(VLOOKUP($B9,casostestes[#Data],3)=0,"-",VLOOKUP($B9,casostestes[#Data],3)),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9" s="59" t="str">
        <f>IFERROR(IF(VLOOKUP($B9,casostestes[#Data],4)=0,"-",VLOOKUP($B9,casostestes[#Data],4)),"-")</f>
        <v>PAT</v>
      </c>
      <c r="G9" s="59" t="str">
        <f>IFERROR(IF(VLOOKUP($B9,casostestes[#Data],5)=0,"-",VLOOKUP($B9,casostestes[#Data],5)),"-")</f>
        <v>SERVIDOR</v>
      </c>
      <c r="H9" s="59" t="str">
        <f>IFERROR(IF(VLOOKUP($B9,casostestes[#Data],6)=0,"-",VLOOKUP($B9,casostestes[#Data],6)),"-")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9" s="59" t="str">
        <f>IFERROR(IF(VLOOKUP($B9,casostestes[#Data],8)=0,"-",VLOOKUP($B9,casostestes[#Data],8)),"-")</f>
        <v>-</v>
      </c>
      <c r="J9" s="59" t="str">
        <f>IFERROR(IF(VLOOKUP($B9,casostestes[#Data],9)=0,"-",VLOOKUP($B9,casostestes[#Data],9)),"-")</f>
        <v>Tarefa de BI criada com situação Pendente.
Tarefa SEM Divergência de autodeclaração (116)
Status SIBE igual a  AGUARDANDO PERÍCIA
Tarefa.Exige_autodeclaração = 0</v>
      </c>
      <c r="K9" s="60"/>
      <c r="L9" s="57"/>
      <c r="M9" s="61" t="s">
        <v>23</v>
      </c>
      <c r="N9" s="62"/>
      <c r="O9" s="62"/>
      <c r="P9" s="63"/>
    </row>
    <row r="10" spans="2:16" ht="120">
      <c r="B10" s="56">
        <f>IF(ISERR(casostestes[[#This Row],[ID]]),"-",casostestes[[#This Row],[ID]])</f>
        <v>3</v>
      </c>
      <c r="C10" s="49" t="str">
        <f>IFERROR(IF(VLOOKUP($B10,casostestes[#Data],10)=0,"Não",VLOOKUP($B10,casostestes[#Data],10)), "-")</f>
        <v>Não</v>
      </c>
      <c r="D10" s="50" t="str">
        <f>IFERROR(IF(VLOOKUP($B10,casostestes[#Data],2)=0,"-",VLOOKUP($B10,casostestes[#Data],2)), "-")</f>
        <v>Requerimento Inicial de BI</v>
      </c>
      <c r="E10" s="50" t="str">
        <f>IFERROR(IF(VLOOKUP($B10,casostestes[#Data],3)=0,"-",VLOOKUP($B10,casostestes[#Data],3)),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0" s="50" t="str">
        <f>IFERROR(IF(VLOOKUP($B10,casostestes[#Data],4)=0,"-",VLOOKUP($B10,casostestes[#Data],4)),"-")</f>
        <v>PAT</v>
      </c>
      <c r="G10" s="50" t="str">
        <f>IFERROR(IF(VLOOKUP($B10,casostestes[#Data],5)=0,"-",VLOOKUP($B10,casostestes[#Data],5)),"-")</f>
        <v>SERVIDOR</v>
      </c>
      <c r="H10" s="50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0" s="50" t="str">
        <f>IFERROR(IF(VLOOKUP($B10,casostestes[#Data],8)=0,"-",VLOOKUP($B10,casostestes[#Data],8)),"-")</f>
        <v>-</v>
      </c>
      <c r="J10" s="50" t="str">
        <f>IFERROR(IF(VLOOKUP($B10,casostestes[#Data],9)=0,"-",VLOOKUP($B10,casostestes[#Data],9)),"-")</f>
        <v>Tarefa de BI criada com situação Pendente.
Tarefa SEM Divergência de autodeclaração (116)
Status SIBE igual a AGUARDANDO ATESTADO 
Tarefa.Exige_autodeclaração = 0</v>
      </c>
      <c r="K10" s="51"/>
      <c r="L10" s="57"/>
      <c r="M10" s="53" t="s">
        <v>26</v>
      </c>
      <c r="N10" s="54"/>
      <c r="O10" s="54"/>
      <c r="P10" s="55"/>
    </row>
    <row r="11" spans="2:16" ht="120">
      <c r="B11" s="56">
        <f>IF(ISERR(casostestes[[#This Row],[ID]]),"-",casostestes[[#This Row],[ID]])</f>
        <v>4</v>
      </c>
      <c r="C11" s="49" t="str">
        <f>IFERROR(IF(VLOOKUP($B11,casostestes[#Data],10)=0,"Não",VLOOKUP($B11,casostestes[#Data],10)), "-")</f>
        <v>Não</v>
      </c>
      <c r="D11" s="50" t="str">
        <f>IFERROR(IF(VLOOKUP($B11,casostestes[#Data],2)=0,"-",VLOOKUP($B11,casostestes[#Data],2)), "-")</f>
        <v>Requerimento Inicial de BI</v>
      </c>
      <c r="E11" s="50" t="str">
        <f>IFERROR(IF(VLOOKUP($B11,casostestes[#Data],3)=0,"-",VLOOKUP($B11,casostestes[#Data],3)),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1" s="50" t="str">
        <f>IFERROR(IF(VLOOKUP($B11,casostestes[#Data],4)=0,"-",VLOOKUP($B11,casostestes[#Data],4)),"-")</f>
        <v>PAT</v>
      </c>
      <c r="G11" s="50" t="str">
        <f>IFERROR(IF(VLOOKUP($B11,casostestes[#Data],5)=0,"-",VLOOKUP($B11,casostestes[#Data],5)),"-")</f>
        <v>SERVIDOR</v>
      </c>
      <c r="H11" s="50" t="str">
        <f>IFERROR(IF(VLOOKUP($B11,casostestes[#Data],6)=0,"-",VLOOKUP($B11,casostestes[#Data],6)),"-")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1" s="50" t="str">
        <f>IFERROR(IF(VLOOKUP($B11,casostestes[#Data],8)=0,"-",VLOOKUP($B11,casostestes[#Data],8)),"-")</f>
        <v>-</v>
      </c>
      <c r="J11" s="50" t="str">
        <f>IFERROR(IF(VLOOKUP($B11,casostestes[#Data],9)=0,"-",VLOOKUP($B11,casostestes[#Data],9)),"-")</f>
        <v xml:space="preserve">
Tarefa de BI criada com situação Pendente.
Tarefa SEM Divergência de autodeclaração (116)
Status SIBE igual a AGUARDANDO ATESTADO 
Tarefa.Exige_autodeclaração = 0
</v>
      </c>
      <c r="K11" s="51"/>
      <c r="L11" s="57"/>
      <c r="M11" s="53"/>
      <c r="N11" s="54"/>
      <c r="O11" s="54"/>
      <c r="P11" s="55"/>
    </row>
    <row r="12" spans="2:16" ht="120">
      <c r="B12" s="56">
        <f>IF(ISERR(casostestes[[#This Row],[ID]]),"-",casostestes[[#This Row],[ID]])</f>
        <v>5</v>
      </c>
      <c r="C12" s="49" t="str">
        <f>IFERROR(IF(VLOOKUP($B12,casostestes[#Data],10)=0,"Não",VLOOKUP($B12,casostestes[#Data],10)), "-")</f>
        <v>Não</v>
      </c>
      <c r="D12" s="50" t="str">
        <f>IFERROR(IF(VLOOKUP($B12,casostestes[#Data],2)=0,"-",VLOOKUP($B12,casostestes[#Data],2)), "-")</f>
        <v>Requerimento Inicial de BI</v>
      </c>
      <c r="E12" s="50" t="str">
        <f>IFERROR(IF(VLOOKUP($B12,casostestes[#Data],3)=0,"-",VLOOKUP($B12,casostestes[#Data],3)),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2" s="50" t="str">
        <f>IFERROR(IF(VLOOKUP($B12,casostestes[#Data],4)=0,"-",VLOOKUP($B12,casostestes[#Data],4)),"-")</f>
        <v>PAT</v>
      </c>
      <c r="G12" s="50" t="str">
        <f>IFERROR(IF(VLOOKUP($B12,casostestes[#Data],5)=0,"-",VLOOKUP($B12,casostestes[#Data],5)),"-")</f>
        <v>SERVIDOR</v>
      </c>
      <c r="H12" s="50" t="str">
        <f>IFERROR(IF(VLOOKUP($B12,casostestes[#Data],6)=0,"-",VLOOKUP($B12,casostestes[#Data],6)),"-")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2" s="50" t="str">
        <f>IFERROR(IF(VLOOKUP($B12,casostestes[#Data],8)=0,"-",VLOOKUP($B12,casostestes[#Data],8)),"-")</f>
        <v>-</v>
      </c>
      <c r="J12" s="50" t="str">
        <f>IFERROR(IF(VLOOKUP($B12,casostestes[#Data],9)=0,"-",VLOOKUP($B12,casostestes[#Data],9)),"-")</f>
        <v>Tarefa de BI criada com situação Pendente.
Tarefa SEM Divergência de autodeclaração (116)
Status SIBE igual a  AGUARDANDO PERÍCIA
Tarefa.Exige_autodeclaração = 0</v>
      </c>
      <c r="K12" s="51"/>
      <c r="L12" s="57"/>
      <c r="M12" s="53"/>
      <c r="N12" s="54"/>
      <c r="O12" s="54"/>
      <c r="P12" s="55"/>
    </row>
    <row r="13" spans="2:16" ht="240">
      <c r="B13" s="56">
        <f>IF(ISERR(casostestes[[#This Row],[ID]]),"-",casostestes[[#This Row],[ID]])</f>
        <v>6</v>
      </c>
      <c r="C13" s="49" t="str">
        <f>IFERROR(IF(VLOOKUP($B13,casostestes[#Data],10)=0,"Não",VLOOKUP($B13,casostestes[#Data],10)), "-")</f>
        <v>Não</v>
      </c>
      <c r="D13" s="50" t="str">
        <f>IFERROR(IF(VLOOKUP($B13,casostestes[#Data],2)=0,"-",VLOOKUP($B13,casostestes[#Data],2)), "-")</f>
        <v>Requerimento Inicial de BI</v>
      </c>
      <c r="E13" s="50" t="str">
        <f>IFERROR(IF(VLOOKUP($B13,casostestes[#Data],3)=0,"-",VLOOKUP($B13,casostestes[#Data],3)),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3" s="50" t="str">
        <f>IFERROR(IF(VLOOKUP($B13,casostestes[#Data],4)=0,"-",VLOOKUP($B13,casostestes[#Data],4)),"-")</f>
        <v>PAT</v>
      </c>
      <c r="G13" s="50" t="str">
        <f>IFERROR(IF(VLOOKUP($B13,casostestes[#Data],5)=0,"-",VLOOKUP($B13,casostestes[#Data],5)),"-")</f>
        <v>SERVIDOR</v>
      </c>
      <c r="H13" s="50" t="str">
        <f>IFERROR(IF(VLOOKUP($B13,casostestes[#Data],6)=0,"-",VLOOKUP($B13,casostestes[#Data],6)),"-")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3" s="50" t="str">
        <f>IFERROR(IF(VLOOKUP($B13,casostestes[#Data],8)=0,"-",VLOOKUP($B13,casostestes[#Data],8)),"-")</f>
        <v>-</v>
      </c>
      <c r="J13" s="50" t="str">
        <f>IFERROR(IF(VLOOKUP($B13,casostestes[#Data],9)=0,"-",VLOOKUP($B13,casostestes[#Data],9)),"-")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3" s="51"/>
      <c r="L13" s="57"/>
      <c r="M13" s="53"/>
      <c r="N13" s="54"/>
      <c r="O13" s="54"/>
      <c r="P13" s="55"/>
    </row>
    <row r="14" spans="2:16" ht="210">
      <c r="B14" s="56">
        <f>IF(ISERR(casostestes[[#This Row],[ID]]),"-",casostestes[[#This Row],[ID]])</f>
        <v>7</v>
      </c>
      <c r="C14" s="49" t="str">
        <f>IFERROR(IF(VLOOKUP($B14,casostestes[#Data],10)=0,"Não",VLOOKUP($B14,casostestes[#Data],10)), "-")</f>
        <v>Não</v>
      </c>
      <c r="D14" s="50" t="str">
        <f>IFERROR(IF(VLOOKUP($B14,casostestes[#Data],2)=0,"-",VLOOKUP($B14,casostestes[#Data],2)), "-")</f>
        <v>Requerimento Inicial de BI</v>
      </c>
      <c r="E14" s="50" t="str">
        <f>IFERROR(IF(VLOOKUP($B14,casostestes[#Data],3)=0,"-",VLOOKUP($B14,casostestes[#Data],3)),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4" s="50" t="str">
        <f>IFERROR(IF(VLOOKUP($B14,casostestes[#Data],4)=0,"-",VLOOKUP($B14,casostestes[#Data],4)),"-")</f>
        <v>PAT</v>
      </c>
      <c r="G14" s="50" t="str">
        <f>IFERROR(IF(VLOOKUP($B14,casostestes[#Data],5)=0,"-",VLOOKUP($B14,casostestes[#Data],5)),"-")</f>
        <v>SERVIDOR</v>
      </c>
      <c r="H14" s="50" t="str">
        <f>IFERROR(IF(VLOOKUP($B14,casostestes[#Data],6)=0,"-",VLOOKUP($B14,casostestes[#Data],6)),"-")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4" s="50" t="str">
        <f>IFERROR(IF(VLOOKUP($B14,casostestes[#Data],8)=0,"-",VLOOKUP($B14,casostestes[#Data],8)),"-")</f>
        <v>-</v>
      </c>
      <c r="J14" s="50" t="str">
        <f>IFERROR(IF(VLOOKUP($B14,casostestes[#Data],9)=0,"-",VLOOKUP($B14,casostestes[#Data],9)),"-")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4" s="51"/>
      <c r="L14" s="57"/>
      <c r="M14" s="53"/>
      <c r="N14" s="54"/>
      <c r="O14" s="54"/>
      <c r="P14" s="55"/>
    </row>
    <row r="15" spans="2:16" ht="180">
      <c r="B15" s="56">
        <f>IF(ISERR(casostestes[[#This Row],[ID]]),"-",casostestes[[#This Row],[ID]])</f>
        <v>8</v>
      </c>
      <c r="C15" s="49" t="str">
        <f>IFERROR(IF(VLOOKUP($B15,casostestes[#Data],10)=0,"Não",VLOOKUP($B15,casostestes[#Data],10)), "-")</f>
        <v>Não</v>
      </c>
      <c r="D15" s="50" t="str">
        <f>IFERROR(IF(VLOOKUP($B15,casostestes[#Data],2)=0,"-",VLOOKUP($B15,casostestes[#Data],2)), "-")</f>
        <v>Requerimento Inicial de BI</v>
      </c>
      <c r="E15" s="50" t="str">
        <f>IFERROR(IF(VLOOKUP($B15,casostestes[#Data],3)=0,"-",VLOOKUP($B15,casostestes[#Data],3)),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15" s="50" t="str">
        <f>IFERROR(IF(VLOOKUP($B15,casostestes[#Data],4)=0,"-",VLOOKUP($B15,casostestes[#Data],4)),"-")</f>
        <v>PAT</v>
      </c>
      <c r="G15" s="50" t="str">
        <f>IFERROR(IF(VLOOKUP($B15,casostestes[#Data],5)=0,"-",VLOOKUP($B15,casostestes[#Data],5)),"-")</f>
        <v>SERVIDOR</v>
      </c>
      <c r="H15" s="50" t="str">
        <f>IFERROR(IF(VLOOKUP($B15,casostestes[#Data],6)=0,"-",VLOOKUP($B15,casostestes[#Data],6)),"-")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15" s="50" t="str">
        <f>IFERROR(IF(VLOOKUP($B15,casostestes[#Data],8)=0,"-",VLOOKUP($B15,casostestes[#Data],8)),"-")</f>
        <v>-</v>
      </c>
      <c r="J15" s="50" t="str">
        <f>IFERROR(IF(VLOOKUP($B15,casostestes[#Data],9)=0,"-",VLOOKUP($B15,casostestes[#Data],9)),"-")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15" s="51"/>
      <c r="L15" s="57"/>
      <c r="M15" s="53"/>
      <c r="N15" s="54"/>
      <c r="O15" s="54"/>
      <c r="P15" s="55"/>
    </row>
    <row r="16" spans="2:16" ht="90">
      <c r="B16" s="56">
        <f>IF(ISERR(casostestes[[#This Row],[ID]]),"-",casostestes[[#This Row],[ID]])</f>
        <v>9</v>
      </c>
      <c r="C16" s="49" t="str">
        <f>IFERROR(IF(VLOOKUP($B16,casostestes[#Data],10)=0,"Não",VLOOKUP($B16,casostestes[#Data],10)), "-")</f>
        <v>Não</v>
      </c>
      <c r="D16" s="50" t="str">
        <f>IFERROR(IF(VLOOKUP($B16,casostestes[#Data],2)=0,"-",VLOOKUP($B16,casostestes[#Data],2)), "-")</f>
        <v>-</v>
      </c>
      <c r="E16" s="50" t="str">
        <f>IFERROR(IF(VLOOKUP($B16,casostestes[#Data],3)=0,"-",VLOOKUP($B16,casostestes[#Data],3)), "-")</f>
        <v>Acionar Cumprimento de exigência de autodeclaração sem finalizar a autodeclaração</v>
      </c>
      <c r="F16" s="50" t="str">
        <f>IFERROR(IF(VLOOKUP($B16,casostestes[#Data],4)=0,"-",VLOOKUP($B16,casostestes[#Data],4)),"-")</f>
        <v>PAT</v>
      </c>
      <c r="G16" s="50" t="str">
        <f>IFERROR(IF(VLOOKUP($B16,casostestes[#Data],5)=0,"-",VLOOKUP($B16,casostestes[#Data],5)),"-")</f>
        <v>SERVIDOR</v>
      </c>
      <c r="H16" s="50" t="str">
        <f>IFERROR(IF(VLOOKUP($B16,casostestes[#Data],6)=0,"-",VLOOKUP($B16,casostestes[#Data],6)),"-")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16" s="50" t="str">
        <f>IFERROR(IF(VLOOKUP($B16,casostestes[#Data],8)=0,"-",VLOOKUP($B16,casostestes[#Data],8)),"-")</f>
        <v>-</v>
      </c>
      <c r="J16" s="50" t="str">
        <f>IFERROR(IF(VLOOKUP($B16,casostestes[#Data],9)=0,"-",VLOOKUP($B16,casostestes[#Data],9)),"-")</f>
        <v xml:space="preserve">Tarefa de BI com situação Exigência
Divergência de autodeclaraçãonão (116) presente na tarefa
</v>
      </c>
      <c r="K16" s="51"/>
      <c r="L16" s="57"/>
      <c r="M16" s="53"/>
      <c r="N16" s="54"/>
      <c r="O16" s="54"/>
      <c r="P16" s="55"/>
    </row>
    <row r="17" spans="2:16" ht="225">
      <c r="B17" s="56">
        <f>IF(ISERR(casostestes[[#This Row],[ID]]),"-",casostestes[[#This Row],[ID]])</f>
        <v>10</v>
      </c>
      <c r="C17" s="49" t="str">
        <f>IFERROR(IF(VLOOKUP($B17,casostestes[#Data],10)=0,"Não",VLOOKUP($B17,casostestes[#Data],10)), "-")</f>
        <v>Não</v>
      </c>
      <c r="D17" s="50" t="str">
        <f>IFERROR(IF(VLOOKUP($B17,casostestes[#Data],2)=0,"-",VLOOKUP($B17,casostestes[#Data],2)), "-")</f>
        <v>-</v>
      </c>
      <c r="E17" s="50" t="str">
        <f>IFERROR(IF(VLOOKUP($B17,casostestes[#Data],3)=0,"-",VLOOKUP($B17,casostestes[#Data],3)), "-")</f>
        <v>Cumprir a exigência de autodeclaração</v>
      </c>
      <c r="F17" s="50" t="str">
        <f>IFERROR(IF(VLOOKUP($B17,casostestes[#Data],4)=0,"-",VLOOKUP($B17,casostestes[#Data],4)),"-")</f>
        <v>PAT</v>
      </c>
      <c r="G17" s="50" t="str">
        <f>IFERROR(IF(VLOOKUP($B17,casostestes[#Data],5)=0,"-",VLOOKUP($B17,casostestes[#Data],5)),"-")</f>
        <v>SERVIDOR</v>
      </c>
      <c r="H17" s="50" t="str">
        <f>IFERROR(IF(VLOOKUP($B17,casostestes[#Data],6)=0,"-",VLOOKUP($B17,casostestes[#Data],6)),"-")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7" s="50" t="str">
        <f>IFERROR(IF(VLOOKUP($B17,casostestes[#Data],8)=0,"-",VLOOKUP($B17,casostestes[#Data],8)),"-")</f>
        <v>-</v>
      </c>
      <c r="J17" s="50" t="str">
        <f>IFERROR(IF(VLOOKUP($B17,casostestes[#Data],9)=0,"-",VLOOKUP($B17,casostestes[#Data],9)),"-")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7" s="51"/>
      <c r="L17" s="57"/>
      <c r="M17" s="53"/>
      <c r="N17" s="54"/>
      <c r="O17" s="54"/>
      <c r="P17" s="55"/>
    </row>
    <row r="18" spans="2:16" ht="165">
      <c r="B18" s="56">
        <f>IF(ISERR(casostestes[[#This Row],[ID]]),"-",casostestes[[#This Row],[ID]])</f>
        <v>11</v>
      </c>
      <c r="C18" s="49" t="str">
        <f>IFERROR(IF(VLOOKUP($B18,casostestes[#Data],10)=0,"Não",VLOOKUP($B18,casostestes[#Data],10)), "-")</f>
        <v>Não</v>
      </c>
      <c r="D18" s="50" t="str">
        <f>IFERROR(IF(VLOOKUP($B18,casostestes[#Data],2)=0,"-",VLOOKUP($B18,casostestes[#Data],2)), "-")</f>
        <v>-</v>
      </c>
      <c r="E18" s="50" t="str">
        <f>IFERROR(IF(VLOOKUP($B18,casostestes[#Data],3)=0,"-",VLOOKUP($B18,casostestes[#Data],3)), "-")</f>
        <v>Responder o formulário de autodeclaração acessando diretamente a aba segurado especial ao detalhar a tarefa, onde a tarefa encontra-se em exigência de autodeclaração</v>
      </c>
      <c r="F18" s="50" t="str">
        <f>IFERROR(IF(VLOOKUP($B18,casostestes[#Data],4)=0,"-",VLOOKUP($B18,casostestes[#Data],4)),"-")</f>
        <v>PAT</v>
      </c>
      <c r="G18" s="50" t="str">
        <f>IFERROR(IF(VLOOKUP($B18,casostestes[#Data],5)=0,"-",VLOOKUP($B18,casostestes[#Data],5)),"-")</f>
        <v>SERVIDOR</v>
      </c>
      <c r="H18" s="50" t="str">
        <f>IFERROR(IF(VLOOKUP($B18,casostestes[#Data],6)=0,"-",VLOOKUP($B18,casostestes[#Data],6)),"-")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8" s="50" t="str">
        <f>IFERROR(IF(VLOOKUP($B18,casostestes[#Data],8)=0,"-",VLOOKUP($B18,casostestes[#Data],8)),"-")</f>
        <v>-</v>
      </c>
      <c r="J18" s="50" t="str">
        <f>IFERROR(IF(VLOOKUP($B18,casostestes[#Data],9)=0,"-",VLOOKUP($B18,casostestes[#Data],9)),"-")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8" s="51"/>
      <c r="L18" s="57"/>
      <c r="M18" s="53"/>
      <c r="N18" s="54"/>
      <c r="O18" s="54"/>
      <c r="P18" s="55"/>
    </row>
    <row r="19" spans="2:16" ht="105">
      <c r="B19" s="56">
        <f>IF(ISERR(casostestes[[#This Row],[ID]]),"-",casostestes[[#This Row],[ID]])</f>
        <v>12</v>
      </c>
      <c r="C19" s="49" t="str">
        <f>IFERROR(IF(VLOOKUP($B19,casostestes[#Data],10)=0,"Não",VLOOKUP($B19,casostestes[#Data],10)), "-")</f>
        <v>Não</v>
      </c>
      <c r="D19" s="50" t="str">
        <f>IFERROR(IF(VLOOKUP($B19,casostestes[#Data],2)=0,"-",VLOOKUP($B19,casostestes[#Data],2)), "-")</f>
        <v>-</v>
      </c>
      <c r="E19" s="50" t="str">
        <f>IFERROR(IF(VLOOKUP($B19,casostestes[#Data],3)=0,"-",VLOOKUP($B19,casostestes[#Data],3)), "-")</f>
        <v>Responder o formulário de autodeclaração acessando diretamente a aba segurado especial ao detalhar a tarefa, onde a tarefa encontra-se em exigência de documento médico</v>
      </c>
      <c r="F19" s="50" t="str">
        <f>IFERROR(IF(VLOOKUP($B19,casostestes[#Data],4)=0,"-",VLOOKUP($B19,casostestes[#Data],4)),"-")</f>
        <v>PAT</v>
      </c>
      <c r="G19" s="50" t="str">
        <f>IFERROR(IF(VLOOKUP($B19,casostestes[#Data],5)=0,"-",VLOOKUP($B19,casostestes[#Data],5)),"-")</f>
        <v>SERVIDOR</v>
      </c>
      <c r="H19" s="50" t="str">
        <f>IFERROR(IF(VLOOKUP($B19,casostestes[#Data],6)=0,"-",VLOOKUP($B19,casostestes[#Data],6)),"-")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9" s="50" t="str">
        <f>IFERROR(IF(VLOOKUP($B19,casostestes[#Data],8)=0,"-",VLOOKUP($B19,casostestes[#Data],8)),"-")</f>
        <v>-</v>
      </c>
      <c r="J19" s="50" t="str">
        <f>IFERROR(IF(VLOOKUP($B19,casostestes[#Data],9)=0,"-",VLOOKUP($B19,casostestes[#Data],9)),"-")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9" s="51"/>
      <c r="L19" s="57"/>
      <c r="M19" s="53"/>
      <c r="N19" s="54"/>
      <c r="O19" s="54"/>
      <c r="P19" s="55"/>
    </row>
    <row r="20" spans="2:16" ht="240">
      <c r="B20" s="56">
        <f>IF(ISERR(casostestes[[#This Row],[ID]]),"-",casostestes[[#This Row],[ID]])</f>
        <v>13</v>
      </c>
      <c r="C20" s="49" t="str">
        <f>IFERROR(IF(VLOOKUP($B20,casostestes[#Data],10)=0,"Não",VLOOKUP($B20,casostestes[#Data],10)), "-")</f>
        <v>Não</v>
      </c>
      <c r="D20" s="50" t="str">
        <f>IFERROR(IF(VLOOKUP($B20,casostestes[#Data],2)=0,"-",VLOOKUP($B20,casostestes[#Data],2)), "-")</f>
        <v>Requerimento Inicial de BI</v>
      </c>
      <c r="E20" s="50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0" s="50" t="str">
        <f>IFERROR(IF(VLOOKUP($B20,casostestes[#Data],4)=0,"-",VLOOKUP($B20,casostestes[#Data],4)),"-")</f>
        <v>PAT</v>
      </c>
      <c r="G20" s="50" t="str">
        <f>IFERROR(IF(VLOOKUP($B20,casostestes[#Data],5)=0,"-",VLOOKUP($B20,casostestes[#Data],5)),"-")</f>
        <v>SERVIDOR</v>
      </c>
      <c r="H20" s="50" t="str">
        <f>IFERROR(IF(VLOOKUP($B20,casostestes[#Data],6)=0,"-",VLOOKUP($B20,casostestes[#Data],6)),"-")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0" s="50" t="str">
        <f>IFERROR(IF(VLOOKUP($B20,casostestes[#Data],8)=0,"-",VLOOKUP($B20,casostestes[#Data],8)),"-")</f>
        <v>-</v>
      </c>
      <c r="J20" s="50" t="str">
        <f>IFERROR(IF(VLOOKUP($B20,casostestes[#Data],9)=0,"-",VLOOKUP($B20,casostestes[#Data],9)),"-")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0" s="51"/>
      <c r="L20" s="57"/>
      <c r="M20" s="53"/>
      <c r="N20" s="54"/>
      <c r="O20" s="54"/>
      <c r="P20" s="55"/>
    </row>
    <row r="21" spans="2:16" ht="240">
      <c r="B21" s="56">
        <f>IF(ISERR(casostestes[[#This Row],[ID]]),"-",casostestes[[#This Row],[ID]])</f>
        <v>14</v>
      </c>
      <c r="C21" s="49" t="str">
        <f>IFERROR(IF(VLOOKUP($B21,casostestes[#Data],10)=0,"Não",VLOOKUP($B21,casostestes[#Data],10)), "-")</f>
        <v>Não</v>
      </c>
      <c r="D21" s="50" t="str">
        <f>IFERROR(IF(VLOOKUP($B21,casostestes[#Data],2)=0,"-",VLOOKUP($B21,casostestes[#Data],2)), "-")</f>
        <v>Requerimento Inicial de BI</v>
      </c>
      <c r="E21" s="50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1" s="50" t="str">
        <f>IFERROR(IF(VLOOKUP($B21,casostestes[#Data],4)=0,"-",VLOOKUP($B21,casostestes[#Data],4)),"-")</f>
        <v>PAT</v>
      </c>
      <c r="G21" s="50" t="str">
        <f>IFERROR(IF(VLOOKUP($B21,casostestes[#Data],5)=0,"-",VLOOKUP($B21,casostestes[#Data],5)),"-")</f>
        <v>SERVIDOR</v>
      </c>
      <c r="H21" s="50" t="str">
        <f>IFERROR(IF(VLOOKUP($B21,casostestes[#Data],6)=0,"-",VLOOKUP($B21,casostestes[#Data],6)),"-")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1" s="50" t="str">
        <f>IFERROR(IF(VLOOKUP($B21,casostestes[#Data],8)=0,"-",VLOOKUP($B21,casostestes[#Data],8)),"-")</f>
        <v>-</v>
      </c>
      <c r="J21" s="50" t="str">
        <f>IFERROR(IF(VLOOKUP($B21,casostestes[#Data],9)=0,"-",VLOOKUP($B21,casostestes[#Data],9)),"-")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1" s="51"/>
      <c r="L21" s="57"/>
      <c r="M21" s="53"/>
      <c r="N21" s="54"/>
      <c r="O21" s="54"/>
      <c r="P21" s="55"/>
    </row>
    <row r="22" spans="2:16" ht="315">
      <c r="B22" s="56">
        <f>IF(ISERR(casostestes[[#This Row],[ID]]),"-",casostestes[[#This Row],[ID]])</f>
        <v>15</v>
      </c>
      <c r="C22" s="49" t="str">
        <f>IFERROR(IF(VLOOKUP($B22,casostestes[#Data],10)=0,"Não",VLOOKUP($B22,casostestes[#Data],10)), "-")</f>
        <v>Não</v>
      </c>
      <c r="D22" s="50" t="str">
        <f>IFERROR(IF(VLOOKUP($B22,casostestes[#Data],2)=0,"-",VLOOKUP($B22,casostestes[#Data],2)), "-")</f>
        <v>Requerimento Inicial de BI</v>
      </c>
      <c r="E22" s="50" t="str">
        <f>IFERROR(IF(VLOOKUP($B22,casostestes[#Data],3)=0,"-",VLOOKUP($B22,casostestes[#Data],3)),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2" s="50" t="str">
        <f>IFERROR(IF(VLOOKUP($B22,casostestes[#Data],4)=0,"-",VLOOKUP($B22,casostestes[#Data],4)),"-")</f>
        <v>PAT</v>
      </c>
      <c r="G22" s="50" t="str">
        <f>IFERROR(IF(VLOOKUP($B22,casostestes[#Data],5)=0,"-",VLOOKUP($B22,casostestes[#Data],5)),"-")</f>
        <v>SERVIDOR</v>
      </c>
      <c r="H22" s="50" t="str">
        <f>IFERROR(IF(VLOOKUP($B22,casostestes[#Data],6)=0,"-",VLOOKUP($B22,casostestes[#Data],6)),"-")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2" s="50" t="str">
        <f>IFERROR(IF(VLOOKUP($B22,casostestes[#Data],8)=0,"-",VLOOKUP($B22,casostestes[#Data],8)),"-")</f>
        <v>-</v>
      </c>
      <c r="J22" s="50" t="str">
        <f>IFERROR(IF(VLOOKUP($B22,casostestes[#Data],9)=0,"-",VLOOKUP($B22,casostestes[#Data],9)),"-")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2" s="51"/>
      <c r="L22" s="57"/>
      <c r="M22" s="53"/>
      <c r="N22" s="54"/>
      <c r="O22" s="54"/>
      <c r="P22" s="55"/>
    </row>
    <row r="23" spans="2:16" ht="300">
      <c r="B23" s="56">
        <f>IF(ISERR(casostestes[[#This Row],[ID]]),"-",casostestes[[#This Row],[ID]])</f>
        <v>16</v>
      </c>
      <c r="C23" s="49" t="str">
        <f>IFERROR(IF(VLOOKUP($B23,casostestes[#Data],10)=0,"Não",VLOOKUP($B23,casostestes[#Data],10)), "-")</f>
        <v>Não</v>
      </c>
      <c r="D23" s="50" t="str">
        <f>IFERROR(IF(VLOOKUP($B23,casostestes[#Data],2)=0,"-",VLOOKUP($B23,casostestes[#Data],2)), "-")</f>
        <v>Requerimento Inicial de BI</v>
      </c>
      <c r="E23" s="50" t="str">
        <f>IFERROR(IF(VLOOKUP($B23,casostestes[#Data],3)=0,"-",VLOOKUP($B23,casostestes[#Data],3)),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3" s="50" t="str">
        <f>IFERROR(IF(VLOOKUP($B23,casostestes[#Data],4)=0,"-",VLOOKUP($B23,casostestes[#Data],4)),"-")</f>
        <v>PAT</v>
      </c>
      <c r="G23" s="50" t="str">
        <f>IFERROR(IF(VLOOKUP($B23,casostestes[#Data],5)=0,"-",VLOOKUP($B23,casostestes[#Data],5)),"-")</f>
        <v>SERVIDOR</v>
      </c>
      <c r="H23" s="50" t="str">
        <f>IFERROR(IF(VLOOKUP($B23,casostestes[#Data],6)=0,"-",VLOOKUP($B23,casostestes[#Data],6)),"-")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3" s="50" t="str">
        <f>IFERROR(IF(VLOOKUP($B23,casostestes[#Data],8)=0,"-",VLOOKUP($B23,casostestes[#Data],8)),"-")</f>
        <v>-</v>
      </c>
      <c r="J23" s="50" t="str">
        <f>IFERROR(IF(VLOOKUP($B23,casostestes[#Data],9)=0,"-",VLOOKUP($B23,casostestes[#Data],9)),"-")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3" s="51"/>
      <c r="L23" s="57"/>
      <c r="M23" s="53"/>
      <c r="N23" s="54"/>
      <c r="O23" s="54"/>
      <c r="P23" s="55"/>
    </row>
    <row r="24" spans="2:16" ht="210">
      <c r="B24" s="56">
        <f>IF(ISERR(casostestes[[#This Row],[ID]]),"-",casostestes[[#This Row],[ID]])</f>
        <v>17</v>
      </c>
      <c r="C24" s="49" t="str">
        <f>IFERROR(IF(VLOOKUP($B24,casostestes[#Data],10)=0,"Não",VLOOKUP($B24,casostestes[#Data],10)), "-")</f>
        <v>Não</v>
      </c>
      <c r="D24" s="50" t="str">
        <f>IFERROR(IF(VLOOKUP($B24,casostestes[#Data],2)=0,"-",VLOOKUP($B24,casostestes[#Data],2)), "-")</f>
        <v>Requerimento Inicial de BI</v>
      </c>
      <c r="E24" s="50" t="str">
        <f>IFERROR(IF(VLOOKUP($B24,casostestes[#Data],3)=0,"-",VLOOKUP($B24,casostestes[#Data],3)),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4" s="50" t="str">
        <f>IFERROR(IF(VLOOKUP($B24,casostestes[#Data],4)=0,"-",VLOOKUP($B24,casostestes[#Data],4)),"-")</f>
        <v>PAT</v>
      </c>
      <c r="G24" s="50" t="str">
        <f>IFERROR(IF(VLOOKUP($B24,casostestes[#Data],5)=0,"-",VLOOKUP($B24,casostestes[#Data],5)),"-")</f>
        <v>ATENDENTE_CENTRAL_135</v>
      </c>
      <c r="H24" s="50" t="str">
        <f>IFERROR(IF(VLOOKUP($B24,casostestes[#Data],6)=0,"-",VLOOKUP($B24,casostestes[#Data],6)),"-")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24" s="50" t="str">
        <f>IFERROR(IF(VLOOKUP($B24,casostestes[#Data],8)=0,"-",VLOOKUP($B24,casostestes[#Data],8)),"-")</f>
        <v>-</v>
      </c>
      <c r="J24" s="50" t="str">
        <f>IFERROR(IF(VLOOKUP($B24,casostestes[#Data],9)=0,"-",VLOOKUP($B24,casostestes[#Data],9)),"-")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24" s="51"/>
      <c r="L24" s="57"/>
      <c r="M24" s="53"/>
      <c r="N24" s="54"/>
      <c r="O24" s="54"/>
      <c r="P24" s="55"/>
    </row>
    <row r="25" spans="2:16" ht="105">
      <c r="B25" s="56">
        <f>IF(ISERR(casostestes[[#This Row],[ID]]),"-",casostestes[[#This Row],[ID]])</f>
        <v>18</v>
      </c>
      <c r="C25" s="49" t="str">
        <f>IFERROR(IF(VLOOKUP($B25,casostestes[#Data],10)=0,"Não",VLOOKUP($B25,casostestes[#Data],10)), "-")</f>
        <v>Não</v>
      </c>
      <c r="D25" s="50" t="str">
        <f>IFERROR(IF(VLOOKUP($B25,casostestes[#Data],2)=0,"-",VLOOKUP($B25,casostestes[#Data],2)), "-")</f>
        <v>Requerimento Inicial de BI</v>
      </c>
      <c r="E25" s="50" t="str">
        <f>IFERROR(IF(VLOOKUP($B25,casostestes[#Data],3)=0,"-",VLOOKUP($B25,casostestes[#Data],3)),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25" s="50" t="str">
        <f>IFERROR(IF(VLOOKUP($B25,casostestes[#Data],4)=0,"-",VLOOKUP($B25,casostestes[#Data],4)),"-")</f>
        <v>PAT</v>
      </c>
      <c r="G25" s="50" t="str">
        <f>IFERROR(IF(VLOOKUP($B25,casostestes[#Data],5)=0,"-",VLOOKUP($B25,casostestes[#Data],5)),"-")</f>
        <v>ENTIDADE_CONVENIADA</v>
      </c>
      <c r="H25" s="50" t="str">
        <f>IFERROR(IF(VLOOKUP($B25,casostestes[#Data],6)=0,"-",VLOOKUP($B25,casostestes[#Data],6)),"-")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25" s="50" t="str">
        <f>IFERROR(IF(VLOOKUP($B25,casostestes[#Data],8)=0,"-",VLOOKUP($B25,casostestes[#Data],8)),"-")</f>
        <v>-</v>
      </c>
      <c r="J25" s="50" t="str">
        <f>IFERROR(IF(VLOOKUP($B25,casostestes[#Data],9)=0,"-",VLOOKUP($B25,casostestes[#Data],9)),"-")</f>
        <v>Tarefa de BI criada com situação Pendente.
Tarefa SEM Divergência de autodeclaração (116)
Status SIBE igual a AGUARDANDO ATESTADO 
DPT: Tarefa.Exige_autodeclaração = 0</v>
      </c>
      <c r="K25" s="51"/>
      <c r="L25" s="57"/>
      <c r="M25" s="53"/>
      <c r="N25" s="54"/>
      <c r="O25" s="54"/>
      <c r="P25" s="55"/>
    </row>
    <row r="26" spans="2:16" ht="120">
      <c r="B26" s="56">
        <f>IF(ISERR(casostestes[[#This Row],[ID]]),"-",casostestes[[#This Row],[ID]])</f>
        <v>19</v>
      </c>
      <c r="C26" s="49" t="str">
        <f>IFERROR(IF(VLOOKUP($B26,casostestes[#Data],10)=0,"Não",VLOOKUP($B26,casostestes[#Data],10)), "-")</f>
        <v>Não</v>
      </c>
      <c r="D26" s="50" t="str">
        <f>IFERROR(IF(VLOOKUP($B26,casostestes[#Data],2)=0,"-",VLOOKUP($B26,casostestes[#Data],2)), "-")</f>
        <v>Requerimento Inicial de BI</v>
      </c>
      <c r="E26" s="50" t="str">
        <f>IFERROR(IF(VLOOKUP($B26,casostestes[#Data],3)=0,"-",VLOOKUP($B26,casostestes[#Data],3)),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6" s="50" t="str">
        <f>IFERROR(IF(VLOOKUP($B26,casostestes[#Data],4)=0,"-",VLOOKUP($B26,casostestes[#Data],4)),"-")</f>
        <v>PAT</v>
      </c>
      <c r="G26" s="50" t="str">
        <f>IFERROR(IF(VLOOKUP($B26,casostestes[#Data],5)=0,"-",VLOOKUP($B26,casostestes[#Data],5)),"-")</f>
        <v>ENTIDADE_CONVENIADA</v>
      </c>
      <c r="H26" s="50" t="str">
        <f>IFERROR(IF(VLOOKUP($B26,casostestes[#Data],6)=0,"-",VLOOKUP($B26,casostestes[#Data],6)),"-")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26" s="50" t="str">
        <f>IFERROR(IF(VLOOKUP($B26,casostestes[#Data],8)=0,"-",VLOOKUP($B26,casostestes[#Data],8)),"-")</f>
        <v>-</v>
      </c>
      <c r="J26" s="50" t="str">
        <f>IFERROR(IF(VLOOKUP($B26,casostestes[#Data],9)=0,"-",VLOOKUP($B26,casostestes[#Data],9)),"-")</f>
        <v>Tarefa de BI criada com situação Pendente.
Tarefa SEM Divergência de autodeclaração (116)
Status SIBE igual a  AGUARDANDO PERÍCIA
DPT: Tarefa.Exige_autodeclaração = 0</v>
      </c>
      <c r="K26" s="51"/>
      <c r="L26" s="57"/>
      <c r="M26" s="53"/>
      <c r="N26" s="54"/>
      <c r="O26" s="54"/>
      <c r="P26" s="55"/>
    </row>
    <row r="27" spans="2:16" ht="240">
      <c r="B27" s="56">
        <f>IF(ISERR(casostestes[[#This Row],[ID]]),"-",casostestes[[#This Row],[ID]])</f>
        <v>20</v>
      </c>
      <c r="C27" s="49" t="str">
        <f>IFERROR(IF(VLOOKUP($B27,casostestes[#Data],10)=0,"Não",VLOOKUP($B27,casostestes[#Data],10)), "-")</f>
        <v>Não</v>
      </c>
      <c r="D27" s="50" t="str">
        <f>IFERROR(IF(VLOOKUP($B27,casostestes[#Data],2)=0,"-",VLOOKUP($B27,casostestes[#Data],2)), "-")</f>
        <v>Requerimento Inicial de BI</v>
      </c>
      <c r="E27" s="50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27" s="50" t="str">
        <f>IFERROR(IF(VLOOKUP($B27,casostestes[#Data],4)=0,"-",VLOOKUP($B27,casostestes[#Data],4)),"-")</f>
        <v>PAT</v>
      </c>
      <c r="G27" s="50" t="str">
        <f>IFERROR(IF(VLOOKUP($B27,casostestes[#Data],5)=0,"-",VLOOKUP($B27,casostestes[#Data],5)),"-")</f>
        <v>ENTIDADE_CONVENIADA</v>
      </c>
      <c r="H27" s="50" t="str">
        <f>IFERROR(IF(VLOOKUP($B27,casostestes[#Data],6)=0,"-",VLOOKUP($B27,casostestes[#Data],6)),"-")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27" s="50" t="str">
        <f>IFERROR(IF(VLOOKUP($B27,casostestes[#Data],8)=0,"-",VLOOKUP($B27,casostestes[#Data],8)),"-")</f>
        <v>-</v>
      </c>
      <c r="J27" s="50" t="str">
        <f>IFERROR(IF(VLOOKUP($B27,casostestes[#Data],9)=0,"-",VLOOKUP($B27,casostestes[#Data],9)),"-")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7" s="51"/>
      <c r="L27" s="57"/>
      <c r="M27" s="53"/>
      <c r="N27" s="54"/>
      <c r="O27" s="54"/>
      <c r="P27" s="55"/>
    </row>
    <row r="28" spans="2:16" ht="240">
      <c r="B28" s="56">
        <f>IF(ISERR(casostestes[[#This Row],[ID]]),"-",casostestes[[#This Row],[ID]])</f>
        <v>21</v>
      </c>
      <c r="C28" s="49" t="str">
        <f>IFERROR(IF(VLOOKUP($B28,casostestes[#Data],10)=0,"Não",VLOOKUP($B28,casostestes[#Data],10)), "-")</f>
        <v>Não</v>
      </c>
      <c r="D28" s="50" t="str">
        <f>IFERROR(IF(VLOOKUP($B28,casostestes[#Data],2)=0,"-",VLOOKUP($B28,casostestes[#Data],2)), "-")</f>
        <v>Requerimento Inicial de BI</v>
      </c>
      <c r="E28" s="50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8" s="50" t="str">
        <f>IFERROR(IF(VLOOKUP($B28,casostestes[#Data],4)=0,"-",VLOOKUP($B28,casostestes[#Data],4)),"-")</f>
        <v>PAT</v>
      </c>
      <c r="G28" s="50" t="str">
        <f>IFERROR(IF(VLOOKUP($B28,casostestes[#Data],5)=0,"-",VLOOKUP($B28,casostestes[#Data],5)),"-")</f>
        <v>ENTIDADE_CONVENIADA</v>
      </c>
      <c r="H28" s="50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8" s="50" t="str">
        <f>IFERROR(IF(VLOOKUP($B28,casostestes[#Data],8)=0,"-",VLOOKUP($B28,casostestes[#Data],8)),"-")</f>
        <v>-</v>
      </c>
      <c r="J28" s="50" t="str">
        <f>IFERROR(IF(VLOOKUP($B28,casostestes[#Data],9)=0,"-",VLOOKUP($B28,casostestes[#Data],9)),"-")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8" s="51"/>
      <c r="L28" s="57"/>
      <c r="M28" s="53"/>
      <c r="N28" s="54"/>
      <c r="O28" s="54"/>
      <c r="P28" s="55"/>
    </row>
    <row r="29" spans="2:16" ht="135">
      <c r="B29" s="56">
        <f>IF(ISERR(casostestes[[#This Row],[ID]]),"-",casostestes[[#This Row],[ID]])</f>
        <v>22</v>
      </c>
      <c r="C29" s="49" t="str">
        <f>IFERROR(IF(VLOOKUP($B29,casostestes[#Data],10)=0,"Não",VLOOKUP($B29,casostestes[#Data],10)), "-")</f>
        <v>Não</v>
      </c>
      <c r="D29" s="50" t="str">
        <f>IFERROR(IF(VLOOKUP($B29,casostestes[#Data],2)=0,"-",VLOOKUP($B29,casostestes[#Data],2)), "-")</f>
        <v>Requerimento Inicial de BI</v>
      </c>
      <c r="E29" s="50" t="str">
        <f>IFERROR(IF(VLOOKUP($B29,casostestes[#Data],3)=0,"-",VLOOKUP($B29,casostestes[#Data],3)),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9" s="50" t="str">
        <f>IFERROR(IF(VLOOKUP($B29,casostestes[#Data],4)=0,"-",VLOOKUP($B29,casostestes[#Data],4)),"-")</f>
        <v>PAT</v>
      </c>
      <c r="G29" s="50" t="str">
        <f>IFERROR(IF(VLOOKUP($B29,casostestes[#Data],5)=0,"-",VLOOKUP($B29,casostestes[#Data],5)),"-")</f>
        <v>ENTIDADE_CONVENIADA</v>
      </c>
      <c r="H29" s="50" t="str">
        <f>IFERROR(IF(VLOOKUP($B29,casostestes[#Data],6)=0,"-",VLOOKUP($B29,casostestes[#Data],6)),"-")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9" s="50" t="str">
        <f>IFERROR(IF(VLOOKUP($B29,casostestes[#Data],8)=0,"-",VLOOKUP($B29,casostestes[#Data],8)),"-")</f>
        <v>-</v>
      </c>
      <c r="J29" s="50" t="str">
        <f>IFERROR(IF(VLOOKUP($B29,casostestes[#Data],9)=0,"-",VLOOKUP($B29,casostestes[#Data],9)),"-")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29" s="51"/>
      <c r="L29" s="57"/>
      <c r="M29" s="53"/>
      <c r="N29" s="54"/>
      <c r="O29" s="54"/>
      <c r="P29" s="55"/>
    </row>
    <row r="30" spans="2:16" ht="210">
      <c r="B30" s="56">
        <f>IF(ISERR(casostestes[[#This Row],[ID]]),"-",casostestes[[#This Row],[ID]])</f>
        <v>23</v>
      </c>
      <c r="C30" s="49" t="str">
        <f>IFERROR(IF(VLOOKUP($B30,casostestes[#Data],10)=0,"Não",VLOOKUP($B30,casostestes[#Data],10)), "-")</f>
        <v>Não</v>
      </c>
      <c r="D30" s="50" t="str">
        <f>IFERROR(IF(VLOOKUP($B30,casostestes[#Data],2)=0,"-",VLOOKUP($B30,casostestes[#Data],2)), "-")</f>
        <v>-</v>
      </c>
      <c r="E30" s="50" t="str">
        <f>IFERROR(IF(VLOOKUP($B30,casostestes[#Data],3)=0,"-",VLOOKUP($B30,casostestes[#Data],3)), "-")</f>
        <v>Cumprir a exigência de autodeclaração</v>
      </c>
      <c r="F30" s="50" t="str">
        <f>IFERROR(IF(VLOOKUP($B30,casostestes[#Data],4)=0,"-",VLOOKUP($B30,casostestes[#Data],4)),"-")</f>
        <v>PAT</v>
      </c>
      <c r="G30" s="50" t="str">
        <f>IFERROR(IF(VLOOKUP($B30,casostestes[#Data],5)=0,"-",VLOOKUP($B30,casostestes[#Data],5)),"-")</f>
        <v>ENTIDADE_CONVENIADA</v>
      </c>
      <c r="H30" s="50" t="str">
        <f>IFERROR(IF(VLOOKUP($B30,casostestes[#Data],6)=0,"-",VLOOKUP($B30,casostestes[#Data],6)),"-")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0" s="50" t="str">
        <f>IFERROR(IF(VLOOKUP($B30,casostestes[#Data],8)=0,"-",VLOOKUP($B30,casostestes[#Data],8)),"-")</f>
        <v>-</v>
      </c>
      <c r="J30" s="50" t="str">
        <f>IFERROR(IF(VLOOKUP($B30,casostestes[#Data],9)=0,"-",VLOOKUP($B30,casostestes[#Data],9)),"-")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51"/>
      <c r="L30" s="57"/>
      <c r="M30" s="53"/>
      <c r="N30" s="54"/>
      <c r="O30" s="54"/>
      <c r="P30" s="55"/>
    </row>
    <row r="31" spans="2:16" ht="210">
      <c r="B31" s="56">
        <f>IF(ISERR(casostestes[[#This Row],[ID]]),"-",casostestes[[#This Row],[ID]])</f>
        <v>24</v>
      </c>
      <c r="C31" s="49" t="str">
        <f>IFERROR(IF(VLOOKUP($B31,casostestes[#Data],10)=0,"Não",VLOOKUP($B31,casostestes[#Data],10)), "-")</f>
        <v>Não</v>
      </c>
      <c r="D31" s="50" t="str">
        <f>IFERROR(IF(VLOOKUP($B31,casostestes[#Data],2)=0,"-",VLOOKUP($B31,casostestes[#Data],2)), "-")</f>
        <v>-</v>
      </c>
      <c r="E31" s="50" t="str">
        <f>IFERROR(IF(VLOOKUP($B31,casostestes[#Data],3)=0,"-",VLOOKUP($B31,casostestes[#Data],3)), "-")</f>
        <v>Cumprir a exigência de autodeclaração</v>
      </c>
      <c r="F31" s="50" t="str">
        <f>IFERROR(IF(VLOOKUP($B31,casostestes[#Data],4)=0,"-",VLOOKUP($B31,casostestes[#Data],4)),"-")</f>
        <v>PAT</v>
      </c>
      <c r="G31" s="50" t="str">
        <f>IFERROR(IF(VLOOKUP($B31,casostestes[#Data],5)=0,"-",VLOOKUP($B31,casostestes[#Data],5)),"-")</f>
        <v>ENTIDADE_CONVENIADA_CORREIOS</v>
      </c>
      <c r="H31" s="50" t="str">
        <f>IFERROR(IF(VLOOKUP($B31,casostestes[#Data],6)=0,"-",VLOOKUP($B31,casostestes[#Data],6)),"-")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1" s="50" t="str">
        <f>IFERROR(IF(VLOOKUP($B31,casostestes[#Data],8)=0,"-",VLOOKUP($B31,casostestes[#Data],8)),"-")</f>
        <v>-</v>
      </c>
      <c r="J31" s="50" t="str">
        <f>IFERROR(IF(VLOOKUP($B31,casostestes[#Data],9)=0,"-",VLOOKUP($B31,casostestes[#Data],9)),"-")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1" s="51"/>
      <c r="L31" s="57"/>
      <c r="M31" s="53"/>
      <c r="N31" s="54"/>
      <c r="O31" s="54"/>
      <c r="P31" s="55"/>
    </row>
    <row r="32" spans="2:16" ht="180">
      <c r="B32" s="56">
        <f>IF(ISERR(casostestes[[#This Row],[ID]]),"-",casostestes[[#This Row],[ID]])</f>
        <v>25</v>
      </c>
      <c r="C32" s="49" t="str">
        <f>IFERROR(IF(VLOOKUP($B32,casostestes[#Data],10)=0,"Não",VLOOKUP($B32,casostestes[#Data],10)), "-")</f>
        <v>Não</v>
      </c>
      <c r="D32" s="50" t="str">
        <f>IFERROR(IF(VLOOKUP($B32,casostestes[#Data],2)=0,"-",VLOOKUP($B32,casostestes[#Data],2)), "-")</f>
        <v>-</v>
      </c>
      <c r="E32" s="50" t="str">
        <f>IFERROR(IF(VLOOKUP($B32,casostestes[#Data],3)=0,"-",VLOOKUP($B32,casostestes[#Data],3)),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2" s="50" t="str">
        <f>IFERROR(IF(VLOOKUP($B32,casostestes[#Data],4)=0,"-",VLOOKUP($B32,casostestes[#Data],4)),"-")</f>
        <v>PAT</v>
      </c>
      <c r="G32" s="50" t="str">
        <f>IFERROR(IF(VLOOKUP($B32,casostestes[#Data],5)=0,"-",VLOOKUP($B32,casostestes[#Data],5)),"-")</f>
        <v>ENTIDADE_CONVENIADA</v>
      </c>
      <c r="H32" s="50" t="str">
        <f>IFERROR(IF(VLOOKUP($B32,casostestes[#Data],6)=0,"-",VLOOKUP($B32,casostestes[#Data],6)),"-")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2" s="50" t="str">
        <f>IFERROR(IF(VLOOKUP($B32,casostestes[#Data],8)=0,"-",VLOOKUP($B32,casostestes[#Data],8)),"-")</f>
        <v>-</v>
      </c>
      <c r="J32" s="50" t="str">
        <f>IFERROR(IF(VLOOKUP($B32,casostestes[#Data],9)=0,"-",VLOOKUP($B32,casostestes[#Data],9)),"-")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2" s="51"/>
      <c r="L32" s="57"/>
      <c r="M32" s="53"/>
      <c r="N32" s="54"/>
      <c r="O32" s="54"/>
      <c r="P32" s="55"/>
    </row>
    <row r="33" spans="2:16" ht="120">
      <c r="B33" s="56">
        <f>IF(ISERR(casostestes[[#This Row],[ID]]),"-",casostestes[[#This Row],[ID]])</f>
        <v>26</v>
      </c>
      <c r="C33" s="49" t="str">
        <f>IFERROR(IF(VLOOKUP($B33,casostestes[#Data],10)=0,"Não",VLOOKUP($B33,casostestes[#Data],10)), "-")</f>
        <v>Não</v>
      </c>
      <c r="D33" s="50" t="str">
        <f>IFERROR(IF(VLOOKUP($B33,casostestes[#Data],2)=0,"-",VLOOKUP($B33,casostestes[#Data],2)), "-")</f>
        <v>-</v>
      </c>
      <c r="E33" s="50" t="str">
        <f>IFERROR(IF(VLOOKUP($B33,casostestes[#Data],3)=0,"-",VLOOKUP($B33,casostestes[#Data],3)),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3" s="50" t="str">
        <f>IFERROR(IF(VLOOKUP($B33,casostestes[#Data],4)=0,"-",VLOOKUP($B33,casostestes[#Data],4)),"-")</f>
        <v>PAT</v>
      </c>
      <c r="G33" s="50" t="str">
        <f>IFERROR(IF(VLOOKUP($B33,casostestes[#Data],5)=0,"-",VLOOKUP($B33,casostestes[#Data],5)),"-")</f>
        <v>ENTIDADE_CONVENIADA</v>
      </c>
      <c r="H33" s="50" t="str">
        <f>IFERROR(IF(VLOOKUP($B33,casostestes[#Data],6)=0,"-",VLOOKUP($B33,casostestes[#Data],6)),"-")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3" s="50" t="str">
        <f>IFERROR(IF(VLOOKUP($B33,casostestes[#Data],8)=0,"-",VLOOKUP($B33,casostestes[#Data],8)),"-")</f>
        <v>-</v>
      </c>
      <c r="J33" s="50" t="str">
        <f>IFERROR(IF(VLOOKUP($B33,casostestes[#Data],9)=0,"-",VLOOKUP($B33,casostestes[#Data],9)),"-")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3" s="51"/>
      <c r="L33" s="57"/>
      <c r="M33" s="53"/>
      <c r="N33" s="54"/>
      <c r="O33" s="54"/>
      <c r="P33" s="55"/>
    </row>
    <row r="34" spans="2:16" ht="90">
      <c r="B34" s="56">
        <f>IF(ISERR(casostestes[[#This Row],[ID]]),"-",casostestes[[#This Row],[ID]])</f>
        <v>27</v>
      </c>
      <c r="C34" s="49" t="str">
        <f>IFERROR(IF(VLOOKUP($B34,casostestes[#Data],10)=0,"Não",VLOOKUP($B34,casostestes[#Data],10)), "-")</f>
        <v>Não</v>
      </c>
      <c r="D34" s="50" t="str">
        <f>IFERROR(IF(VLOOKUP($B34,casostestes[#Data],2)=0,"-",VLOOKUP($B34,casostestes[#Data],2)), "-")</f>
        <v>Requerimento Inicial de BI</v>
      </c>
      <c r="E34" s="50" t="str">
        <f>IFERROR(IF(VLOOKUP($B34,casostestes[#Data],3)=0,"-",VLOOKUP($B34,casostestes[#Data],3)),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4" s="50" t="str">
        <f>IFERROR(IF(VLOOKUP($B34,casostestes[#Data],4)=0,"-",VLOOKUP($B34,casostestes[#Data],4)),"-")</f>
        <v>Meu INSS</v>
      </c>
      <c r="G34" s="50" t="str">
        <f>IFERROR(IF(VLOOKUP($B34,casostestes[#Data],5)=0,"-",VLOOKUP($B34,casostestes[#Data],5)),"-")</f>
        <v>INTERESSADO</v>
      </c>
      <c r="H34" s="50" t="str">
        <f>IFERROR(IF(VLOOKUP($B34,casostestes[#Data],6)=0,"-",VLOOKUP($B34,casostestes[#Data],6)),"-")</f>
        <v xml:space="preserve">1. Logar no Meu INSS
2.Criar tarefa de BI informando:
Tipo de Incapacidade? "Temporária "
A pessoa está presa?  Não
Categoria do trabalhador diferente de "Segurado Especial"
</v>
      </c>
      <c r="I34" s="50" t="str">
        <f>IFERROR(IF(VLOOKUP($B34,casostestes[#Data],8)=0,"-",VLOOKUP($B34,casostestes[#Data],8)),"-")</f>
        <v>-</v>
      </c>
      <c r="J34" s="50" t="str">
        <f>IFERROR(IF(VLOOKUP($B34,casostestes[#Data],9)=0,"-",VLOOKUP($B34,casostestes[#Data],9)),"-")</f>
        <v>Tarefa de BI criada com situação Pendente.
Tarefa SEM Divergência de autodeclaração (116)
Status SIBE igual a AGUARDANDO ATESTADO 
Tarefa.Exige_autodeclaração = 0</v>
      </c>
      <c r="K34" s="51"/>
      <c r="L34" s="57"/>
      <c r="M34" s="53"/>
      <c r="N34" s="54"/>
      <c r="O34" s="54"/>
      <c r="P34" s="55"/>
    </row>
    <row r="35" spans="2:16" ht="120">
      <c r="B35" s="56">
        <f>IF(ISERR(casostestes[[#This Row],[ID]]),"-",casostestes[[#This Row],[ID]])</f>
        <v>28</v>
      </c>
      <c r="C35" s="49" t="str">
        <f>IFERROR(IF(VLOOKUP($B35,casostestes[#Data],10)=0,"Não",VLOOKUP($B35,casostestes[#Data],10)), "-")</f>
        <v>Não</v>
      </c>
      <c r="D35" s="50" t="str">
        <f>IFERROR(IF(VLOOKUP($B35,casostestes[#Data],2)=0,"-",VLOOKUP($B35,casostestes[#Data],2)), "-")</f>
        <v>Requerimento Inicial de BI</v>
      </c>
      <c r="E35" s="50" t="str">
        <f>IFERROR(IF(VLOOKUP($B35,casostestes[#Data],3)=0,"-",VLOOKUP($B35,casostestes[#Data],3)),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5" s="50" t="str">
        <f>IFERROR(IF(VLOOKUP($B35,casostestes[#Data],4)=0,"-",VLOOKUP($B35,casostestes[#Data],4)),"-")</f>
        <v>Meu INSS</v>
      </c>
      <c r="G35" s="50" t="str">
        <f>IFERROR(IF(VLOOKUP($B35,casostestes[#Data],5)=0,"-",VLOOKUP($B35,casostestes[#Data],5)),"-")</f>
        <v>INTERESSADO</v>
      </c>
      <c r="H35" s="50" t="str">
        <f>IFERROR(IF(VLOOKUP($B35,casostestes[#Data],6)=0,"-",VLOOKUP($B35,casostestes[#Data],6)),"-")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35" s="50" t="str">
        <f>IFERROR(IF(VLOOKUP($B35,casostestes[#Data],8)=0,"-",VLOOKUP($B35,casostestes[#Data],8)),"-")</f>
        <v>-</v>
      </c>
      <c r="J35" s="50" t="str">
        <f>IFERROR(IF(VLOOKUP($B35,casostestes[#Data],9)=0,"-",VLOOKUP($B35,casostestes[#Data],9)),"-")</f>
        <v>Tarefa de BI criada com situação Pendente.
Tarefa SEM Divergência de autodeclaração (116)
Status SIBE igual a  AGUARDANDO PERÍCIA
Tarefa.Exige_autodeclaração = 0</v>
      </c>
      <c r="K35" s="51"/>
      <c r="L35" s="57"/>
      <c r="M35" s="53"/>
      <c r="N35" s="54"/>
      <c r="O35" s="54"/>
      <c r="P35" s="55"/>
    </row>
    <row r="36" spans="2:16" ht="255">
      <c r="B36" s="56">
        <f>IF(ISERR(casostestes[[#This Row],[ID]]),"-",casostestes[[#This Row],[ID]])</f>
        <v>29</v>
      </c>
      <c r="C36" s="49" t="str">
        <f>IFERROR(IF(VLOOKUP($B36,casostestes[#Data],10)=0,"Não",VLOOKUP($B36,casostestes[#Data],10)), "-")</f>
        <v>Não</v>
      </c>
      <c r="D36" s="50" t="str">
        <f>IFERROR(IF(VLOOKUP($B36,casostestes[#Data],2)=0,"-",VLOOKUP($B36,casostestes[#Data],2)), "-")</f>
        <v>Requerimento Inicial de BI</v>
      </c>
      <c r="E36" s="50" t="str">
        <f>IFERROR(IF(VLOOKUP($B36,casostestes[#Data],3)=0,"-",VLOOKUP($B36,casostestes[#Data],3)),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36" s="50" t="str">
        <f>IFERROR(IF(VLOOKUP($B36,casostestes[#Data],4)=0,"-",VLOOKUP($B36,casostestes[#Data],4)),"-")</f>
        <v>Meu INSS</v>
      </c>
      <c r="G36" s="50" t="str">
        <f>IFERROR(IF(VLOOKUP($B36,casostestes[#Data],5)=0,"-",VLOOKUP($B36,casostestes[#Data],5)),"-")</f>
        <v>INTERESSADO</v>
      </c>
      <c r="H36" s="50" t="str">
        <f>IFERROR(IF(VLOOKUP($B36,casostestes[#Data],6)=0,"-",VLOOKUP($B36,casostestes[#Data],6)),"-")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36" s="50" t="str">
        <f>IFERROR(IF(VLOOKUP($B36,casostestes[#Data],8)=0,"-",VLOOKUP($B36,casostestes[#Data],8)),"-")</f>
        <v>-</v>
      </c>
      <c r="J36" s="50" t="str">
        <f>IFERROR(IF(VLOOKUP($B36,casostestes[#Data],9)=0,"-",VLOOKUP($B36,casostestes[#Data],9)),"-")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6" s="51"/>
      <c r="L36" s="57"/>
      <c r="M36" s="53"/>
      <c r="N36" s="54"/>
      <c r="O36" s="54"/>
      <c r="P36" s="55"/>
    </row>
    <row r="37" spans="2:16" ht="255">
      <c r="B37" s="56">
        <f>IF(ISERR(casostestes[[#This Row],[ID]]),"-",casostestes[[#This Row],[ID]])</f>
        <v>30</v>
      </c>
      <c r="C37" s="49" t="str">
        <f>IFERROR(IF(VLOOKUP($B37,casostestes[#Data],10)=0,"Não",VLOOKUP($B37,casostestes[#Data],10)), "-")</f>
        <v>Não</v>
      </c>
      <c r="D37" s="50" t="str">
        <f>IFERROR(IF(VLOOKUP($B37,casostestes[#Data],2)=0,"-",VLOOKUP($B37,casostestes[#Data],2)), "-")</f>
        <v>Requerimento Inicial de BI</v>
      </c>
      <c r="E37" s="50" t="str">
        <f>IFERROR(IF(VLOOKUP($B37,casostestes[#Data],3)=0,"-",VLOOKUP($B37,casostestes[#Data],3)),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7" s="50" t="str">
        <f>IFERROR(IF(VLOOKUP($B37,casostestes[#Data],4)=0,"-",VLOOKUP($B37,casostestes[#Data],4)),"-")</f>
        <v>Meu INSS</v>
      </c>
      <c r="G37" s="50" t="str">
        <f>IFERROR(IF(VLOOKUP($B37,casostestes[#Data],5)=0,"-",VLOOKUP($B37,casostestes[#Data],5)),"-")</f>
        <v>INTERESSADO</v>
      </c>
      <c r="H37" s="50" t="str">
        <f>IFERROR(IF(VLOOKUP($B37,casostestes[#Data],6)=0,"-",VLOOKUP($B37,casostestes[#Data],6)),"-")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37" s="50" t="str">
        <f>IFERROR(IF(VLOOKUP($B37,casostestes[#Data],8)=0,"-",VLOOKUP($B37,casostestes[#Data],8)),"-")</f>
        <v>-</v>
      </c>
      <c r="J37" s="50" t="str">
        <f>IFERROR(IF(VLOOKUP($B37,casostestes[#Data],9)=0,"-",VLOOKUP($B37,casostestes[#Data],9)),"-")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7" s="51"/>
      <c r="L37" s="57"/>
      <c r="M37" s="53"/>
      <c r="N37" s="54"/>
      <c r="O37" s="54"/>
      <c r="P37" s="55"/>
    </row>
    <row r="38" spans="2:16" ht="180">
      <c r="B38" s="56">
        <f>IF(ISERR(casostestes[[#This Row],[ID]]),"-",casostestes[[#This Row],[ID]])</f>
        <v>31</v>
      </c>
      <c r="C38" s="49" t="str">
        <f>IFERROR(IF(VLOOKUP($B38,casostestes[#Data],10)=0,"Não",VLOOKUP($B38,casostestes[#Data],10)), "-")</f>
        <v>Não</v>
      </c>
      <c r="D38" s="50" t="str">
        <f>IFERROR(IF(VLOOKUP($B38,casostestes[#Data],2)=0,"-",VLOOKUP($B38,casostestes[#Data],2)), "-")</f>
        <v>Requerimento Inicial de BI</v>
      </c>
      <c r="E38" s="50" t="str">
        <f>IFERROR(IF(VLOOKUP($B38,casostestes[#Data],3)=0,"-",VLOOKUP($B38,casostestes[#Data],3)),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8" s="50" t="str">
        <f>IFERROR(IF(VLOOKUP($B38,casostestes[#Data],4)=0,"-",VLOOKUP($B38,casostestes[#Data],4)),"-")</f>
        <v>Meu INSS</v>
      </c>
      <c r="G38" s="50" t="str">
        <f>IFERROR(IF(VLOOKUP($B38,casostestes[#Data],5)=0,"-",VLOOKUP($B38,casostestes[#Data],5)),"-")</f>
        <v>INTERESSADO</v>
      </c>
      <c r="H38" s="50" t="str">
        <f>IFERROR(IF(VLOOKUP($B38,casostestes[#Data],6)=0,"-",VLOOKUP($B38,casostestes[#Data],6)),"-")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38" s="50" t="str">
        <f>IFERROR(IF(VLOOKUP($B38,casostestes[#Data],8)=0,"-",VLOOKUP($B38,casostestes[#Data],8)),"-")</f>
        <v>-</v>
      </c>
      <c r="J38" s="50" t="str">
        <f>IFERROR(IF(VLOOKUP($B38,casostestes[#Data],9)=0,"-",VLOOKUP($B38,casostestes[#Data],9)),"-")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38" s="51"/>
      <c r="L38" s="57"/>
      <c r="M38" s="53"/>
      <c r="N38" s="54"/>
      <c r="O38" s="54"/>
      <c r="P38" s="55"/>
    </row>
    <row r="39" spans="2:16" ht="225">
      <c r="B39" s="56">
        <f>IF(ISERR(casostestes[[#This Row],[ID]]),"-",casostestes[[#This Row],[ID]])</f>
        <v>32</v>
      </c>
      <c r="C39" s="49" t="str">
        <f>IFERROR(IF(VLOOKUP($B39,casostestes[#Data],10)=0,"Não",VLOOKUP($B39,casostestes[#Data],10)), "-")</f>
        <v>Não</v>
      </c>
      <c r="D39" s="50" t="str">
        <f>IFERROR(IF(VLOOKUP($B39,casostestes[#Data],2)=0,"-",VLOOKUP($B39,casostestes[#Data],2)), "-")</f>
        <v>-</v>
      </c>
      <c r="E39" s="50" t="str">
        <f>IFERROR(IF(VLOOKUP($B39,casostestes[#Data],3)=0,"-",VLOOKUP($B39,casostestes[#Data],3)), "-")</f>
        <v>Cumprir a exigência de autodeclaração</v>
      </c>
      <c r="F39" s="50" t="str">
        <f>IFERROR(IF(VLOOKUP($B39,casostestes[#Data],4)=0,"-",VLOOKUP($B39,casostestes[#Data],4)),"-")</f>
        <v>Meu INSS</v>
      </c>
      <c r="G39" s="50" t="str">
        <f>IFERROR(IF(VLOOKUP($B39,casostestes[#Data],5)=0,"-",VLOOKUP($B39,casostestes[#Data],5)),"-")</f>
        <v>INTERESSADO</v>
      </c>
      <c r="H39" s="50" t="str">
        <f>IFERROR(IF(VLOOKUP($B39,casostestes[#Data],6)=0,"-",VLOOKUP($B39,casostestes[#Data],6)),"-")</f>
        <v>1. Logar no  Meu INSS
2.Consultar uma tarefa em exigência de autodeclaração e acionar Cumprir Exigência  
3. Responder o formulário de autodeclaração</v>
      </c>
      <c r="I39" s="50" t="str">
        <f>IFERROR(IF(VLOOKUP($B39,casostestes[#Data],8)=0,"-",VLOOKUP($B39,casostestes[#Data],8)),"-")</f>
        <v>-</v>
      </c>
      <c r="J39" s="50" t="str">
        <f>IFERROR(IF(VLOOKUP($B39,casostestes[#Data],9)=0,"-",VLOOKUP($B39,casostestes[#Data],9)),"-")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9" s="51"/>
      <c r="L39" s="57"/>
      <c r="M39" s="53"/>
      <c r="N39" s="54"/>
      <c r="O39" s="54"/>
      <c r="P39" s="55"/>
    </row>
    <row r="40" spans="2:16" ht="180">
      <c r="B40" s="56">
        <f>IF(ISERR(casostestes[[#This Row],[ID]]),"-",casostestes[[#This Row],[ID]])</f>
        <v>33</v>
      </c>
      <c r="C40" s="49" t="str">
        <f>IFERROR(IF(VLOOKUP($B40,casostestes[#Data],10)=0,"Não",VLOOKUP($B40,casostestes[#Data],10)), "-")</f>
        <v>Não</v>
      </c>
      <c r="D40" s="50" t="str">
        <f>IFERROR(IF(VLOOKUP($B40,casostestes[#Data],2)=0,"-",VLOOKUP($B40,casostestes[#Data],2)), "-")</f>
        <v>-</v>
      </c>
      <c r="E40" s="50" t="str">
        <f>IFERROR(IF(VLOOKUP($B40,casostestes[#Data],3)=0,"-",VLOOKUP($B40,casostestes[#Data],3)),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0" s="50" t="str">
        <f>IFERROR(IF(VLOOKUP($B40,casostestes[#Data],4)=0,"-",VLOOKUP($B40,casostestes[#Data],4)),"-")</f>
        <v>Meu INSS</v>
      </c>
      <c r="G40" s="50" t="str">
        <f>IFERROR(IF(VLOOKUP($B40,casostestes[#Data],5)=0,"-",VLOOKUP($B40,casostestes[#Data],5)),"-")</f>
        <v>INTERESSADO</v>
      </c>
      <c r="H40" s="50" t="str">
        <f>IFERROR(IF(VLOOKUP($B40,casostestes[#Data],6)=0,"-",VLOOKUP($B40,casostestes[#Data],6)),"-")</f>
        <v>1. Logar no  Meu INSS
2.Consultar uma tarefa em exigência de autodeclaração
3. Acionar no card do pedido a opção de Autodeclaração   
3. Responder o formulário de autodeclaração</v>
      </c>
      <c r="I40" s="50" t="str">
        <f>IFERROR(IF(VLOOKUP($B40,casostestes[#Data],8)=0,"-",VLOOKUP($B40,casostestes[#Data],8)),"-")</f>
        <v>-</v>
      </c>
      <c r="J40" s="50" t="str">
        <f>IFERROR(IF(VLOOKUP($B40,casostestes[#Data],9)=0,"-",VLOOKUP($B40,casostestes[#Data],9)),"-")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0" s="51"/>
      <c r="L40" s="57"/>
      <c r="M40" s="53"/>
      <c r="N40" s="54"/>
      <c r="O40" s="54"/>
      <c r="P40" s="55"/>
    </row>
    <row r="41" spans="2:16" ht="90">
      <c r="B41" s="56">
        <f>IF(ISERR(casostestes[[#This Row],[ID]]),"-",casostestes[[#This Row],[ID]])</f>
        <v>34</v>
      </c>
      <c r="C41" s="49" t="str">
        <f>IFERROR(IF(VLOOKUP($B41,casostestes[#Data],10)=0,"Não",VLOOKUP($B41,casostestes[#Data],10)), "-")</f>
        <v>Não</v>
      </c>
      <c r="D41" s="50" t="str">
        <f>IFERROR(IF(VLOOKUP($B41,casostestes[#Data],2)=0,"-",VLOOKUP($B41,casostestes[#Data],2)), "-")</f>
        <v>-</v>
      </c>
      <c r="E41" s="50" t="str">
        <f>IFERROR(IF(VLOOKUP($B41,casostestes[#Data],3)=0,"-",VLOOKUP($B41,casostestes[#Data],3)),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1" s="50" t="str">
        <f>IFERROR(IF(VLOOKUP($B41,casostestes[#Data],4)=0,"-",VLOOKUP($B41,casostestes[#Data],4)),"-")</f>
        <v>Meu INSS</v>
      </c>
      <c r="G41" s="50" t="str">
        <f>IFERROR(IF(VLOOKUP($B41,casostestes[#Data],5)=0,"-",VLOOKUP($B41,casostestes[#Data],5)),"-")</f>
        <v>INTERESSADO</v>
      </c>
      <c r="H41" s="50" t="str">
        <f>IFERROR(IF(VLOOKUP($B41,casostestes[#Data],6)=0,"-",VLOOKUP($B41,casostestes[#Data],6)),"-")</f>
        <v>1. Logar no  Meu INSS
2.Consultar uma tarefa em exigência de documento médico 
3. Acionar no card do pedido a opção de Autodeclaração   
3. Responder o formulário de autodeclaração</v>
      </c>
      <c r="I41" s="50" t="str">
        <f>IFERROR(IF(VLOOKUP($B41,casostestes[#Data],8)=0,"-",VLOOKUP($B41,casostestes[#Data],8)),"-")</f>
        <v>-</v>
      </c>
      <c r="J41" s="50" t="str">
        <f>IFERROR(IF(VLOOKUP($B41,casostestes[#Data],9)=0,"-",VLOOKUP($B41,casostestes[#Data],9)),"-")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1" s="51"/>
      <c r="L41" s="57"/>
      <c r="M41" s="53"/>
      <c r="N41" s="54"/>
      <c r="O41" s="54"/>
      <c r="P41" s="55"/>
    </row>
    <row r="42" spans="2:16" ht="409.5">
      <c r="B42" s="56">
        <f>IF(ISERR(casostestes[[#This Row],[ID]]),"-",casostestes[[#This Row],[ID]])</f>
        <v>35</v>
      </c>
      <c r="C42" s="49" t="str">
        <f>IFERROR(IF(VLOOKUP($B42,casostestes[#Data],10)=0,"Não",VLOOKUP($B42,casostestes[#Data],10)), "-")</f>
        <v>Não</v>
      </c>
      <c r="D42" s="50" t="str">
        <f>IFERROR(IF(VLOOKUP($B42,casostestes[#Data],2)=0,"-",VLOOKUP($B42,casostestes[#Data],2)), "-")</f>
        <v>Requerimento Inicial de BI</v>
      </c>
      <c r="E42" s="50" t="str">
        <f>IFERROR(IF(VLOOKUP($B42,casostestes[#Data],3)=0,"-",VLOOKUP($B42,casostestes[#Data],3)), "-")</f>
        <v xml:space="preserve"> 
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2" s="50" t="str">
        <f>IFERROR(IF(VLOOKUP($B42,casostestes[#Data],4)=0,"-",VLOOKUP($B42,casostestes[#Data],4)),"-")</f>
        <v>PAT</v>
      </c>
      <c r="G42" s="50" t="str">
        <f>IFERROR(IF(VLOOKUP($B42,casostestes[#Data],5)=0,"-",VLOOKUP($B42,casostestes[#Data],5)),"-")</f>
        <v>SERVIDOR</v>
      </c>
      <c r="H42" s="50" t="str">
        <f>IFERROR(IF(VLOOKUP($B42,casostestes[#Data],6)=0,"-",VLOOKUP($B42,casostestes[#Data],6)),"-")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2" s="50" t="str">
        <f>IFERROR(IF(VLOOKUP($B42,casostestes[#Data],8)=0,"-",VLOOKUP($B42,casostestes[#Data],8)),"-")</f>
        <v>-</v>
      </c>
      <c r="J42" s="50" t="str">
        <f>IFERROR(IF(VLOOKUP($B42,casostestes[#Data],9)=0,"-",VLOOKUP($B42,casostestes[#Data],9)),"-")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2" s="51"/>
      <c r="L42" s="57"/>
      <c r="M42" s="53"/>
      <c r="N42" s="54"/>
      <c r="O42" s="54"/>
      <c r="P42" s="55"/>
    </row>
    <row r="43" spans="2:16" ht="409.5">
      <c r="B43" s="56">
        <f>IF(ISERR(casostestes[[#This Row],[ID]]),"-",casostestes[[#This Row],[ID]])</f>
        <v>36</v>
      </c>
      <c r="C43" s="49" t="str">
        <f>IFERROR(IF(VLOOKUP($B43,casostestes[#Data],10)=0,"Não",VLOOKUP($B43,casostestes[#Data],10)), "-")</f>
        <v>Não</v>
      </c>
      <c r="D43" s="50" t="str">
        <f>IFERROR(IF(VLOOKUP($B43,casostestes[#Data],2)=0,"-",VLOOKUP($B43,casostestes[#Data],2)), "-")</f>
        <v>Requerimento Inicial de BI</v>
      </c>
      <c r="E43" s="50" t="str">
        <f>IFERROR(IF(VLOOKUP($B43,casostestes[#Data],3)=0,"-",VLOOKUP($B43,casostestes[#Data],3)),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3" s="50" t="str">
        <f>IFERROR(IF(VLOOKUP($B43,casostestes[#Data],4)=0,"-",VLOOKUP($B43,casostestes[#Data],4)),"-")</f>
        <v>PAT</v>
      </c>
      <c r="G43" s="50" t="str">
        <f>IFERROR(IF(VLOOKUP($B43,casostestes[#Data],5)=0,"-",VLOOKUP($B43,casostestes[#Data],5)),"-")</f>
        <v>SERVIDOR</v>
      </c>
      <c r="H43" s="50" t="str">
        <f>IFERROR(IF(VLOOKUP($B43,casostestes[#Data],6)=0,"-",VLOOKUP($B43,casostestes[#Data],6)),"-")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3" s="50" t="str">
        <f>IFERROR(IF(VLOOKUP($B43,casostestes[#Data],8)=0,"-",VLOOKUP($B43,casostestes[#Data],8)),"-")</f>
        <v>-</v>
      </c>
      <c r="J43" s="50" t="str">
        <f>IFERROR(IF(VLOOKUP($B43,casostestes[#Data],9)=0,"-",VLOOKUP($B43,casostestes[#Data],9)),"-")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3" s="51"/>
      <c r="L43" s="57"/>
      <c r="M43" s="53"/>
      <c r="N43" s="54"/>
      <c r="O43" s="54"/>
      <c r="P43" s="55"/>
    </row>
    <row r="44" spans="2:16">
      <c r="B44" s="56" t="str">
        <f>IF(ISERR(casostestes[[#This Row],[ID]]),"-",casostestes[[#This Row],[ID]])</f>
        <v>-</v>
      </c>
      <c r="C44" s="49" t="str">
        <f>IFERROR(IF(VLOOKUP($B44,casostestes[#Data],10)=0,"Não",VLOOKUP($B44,casostestes[#Data],10)), "-")</f>
        <v>-</v>
      </c>
      <c r="D44" s="50" t="str">
        <f>IFERROR(IF(VLOOKUP($B44,casostestes[#Data],2)=0,"-",VLOOKUP($B44,casostestes[#Data],2)), "-")</f>
        <v>-</v>
      </c>
      <c r="E44" s="50" t="str">
        <f>IFERROR(IF(VLOOKUP($B44,casostestes[#Data],3)=0,"-",VLOOKUP($B44,casostestes[#Data],3)), "-")</f>
        <v>-</v>
      </c>
      <c r="F44" s="50" t="str">
        <f>IFERROR(IF(VLOOKUP($B44,casostestes[#Data],4)=0,"-",VLOOKUP($B44,casostestes[#Data],4)),"-")</f>
        <v>-</v>
      </c>
      <c r="G44" s="50" t="str">
        <f>IFERROR(IF(VLOOKUP($B44,casostestes[#Data],5)=0,"-",VLOOKUP($B44,casostestes[#Data],5)),"-")</f>
        <v>-</v>
      </c>
      <c r="H44" s="50" t="str">
        <f>IFERROR(IF(VLOOKUP($B44,casostestes[#Data],6)=0,"-",VLOOKUP($B44,casostestes[#Data],6)),"-")</f>
        <v>-</v>
      </c>
      <c r="I44" s="50" t="str">
        <f>IFERROR(IF(VLOOKUP($B44,casostestes[#Data],8)=0,"-",VLOOKUP($B44,casostestes[#Data],8)),"-")</f>
        <v>-</v>
      </c>
      <c r="J44" s="50" t="str">
        <f>IFERROR(IF(VLOOKUP($B44,casostestes[#Data],9)=0,"-",VLOOKUP($B44,casostestes[#Data],9)),"-")</f>
        <v>-</v>
      </c>
      <c r="K44" s="51"/>
      <c r="L44" s="57"/>
      <c r="M44" s="53"/>
      <c r="N44" s="54"/>
      <c r="O44" s="54"/>
      <c r="P44" s="55"/>
    </row>
    <row r="45" spans="2:16">
      <c r="B45" s="56" t="str">
        <f>IF(ISERR(casostestes[[#This Row],[ID]]),"-",casostestes[[#This Row],[ID]])</f>
        <v>-</v>
      </c>
      <c r="C45" s="49" t="str">
        <f>IFERROR(IF(VLOOKUP($B45,casostestes[#Data],10)=0,"Não",VLOOKUP($B45,casostestes[#Data],10)), "-")</f>
        <v>-</v>
      </c>
      <c r="D45" s="50" t="str">
        <f>IFERROR(IF(VLOOKUP($B45,casostestes[#Data],2)=0,"-",VLOOKUP($B45,casostestes[#Data],2)), "-")</f>
        <v>-</v>
      </c>
      <c r="E45" s="50" t="str">
        <f>IFERROR(IF(VLOOKUP($B45,casostestes[#Data],3)=0,"-",VLOOKUP($B45,casostestes[#Data],3)), "-")</f>
        <v>-</v>
      </c>
      <c r="F45" s="50" t="str">
        <f>IFERROR(IF(VLOOKUP($B45,casostestes[#Data],4)=0,"-",VLOOKUP($B45,casostestes[#Data],4)),"-")</f>
        <v>-</v>
      </c>
      <c r="G45" s="50" t="str">
        <f>IFERROR(IF(VLOOKUP($B45,casostestes[#Data],5)=0,"-",VLOOKUP($B45,casostestes[#Data],5)),"-")</f>
        <v>-</v>
      </c>
      <c r="H45" s="50" t="str">
        <f>IFERROR(IF(VLOOKUP($B45,casostestes[#Data],6)=0,"-",VLOOKUP($B45,casostestes[#Data],6)),"-")</f>
        <v>-</v>
      </c>
      <c r="I45" s="50" t="str">
        <f>IFERROR(IF(VLOOKUP($B45,casostestes[#Data],8)=0,"-",VLOOKUP($B45,casostestes[#Data],8)),"-")</f>
        <v>-</v>
      </c>
      <c r="J45" s="50" t="str">
        <f>IFERROR(IF(VLOOKUP($B45,casostestes[#Data],9)=0,"-",VLOOKUP($B45,casostestes[#Data],9)),"-")</f>
        <v>-</v>
      </c>
      <c r="K45" s="51"/>
      <c r="L45" s="57"/>
      <c r="M45" s="53"/>
      <c r="N45" s="54"/>
      <c r="O45" s="54"/>
      <c r="P45" s="55"/>
    </row>
    <row r="46" spans="2:16">
      <c r="B46" s="56" t="str">
        <f>IF(ISERR(casostestes[[#This Row],[ID]]),"-",casostestes[[#This Row],[ID]])</f>
        <v>-</v>
      </c>
      <c r="C46" s="49" t="str">
        <f>IFERROR(IF(VLOOKUP($B46,casostestes[#Data],10)=0,"Não",VLOOKUP($B46,casostestes[#Data],10)), "-")</f>
        <v>-</v>
      </c>
      <c r="D46" s="50" t="str">
        <f>IFERROR(IF(VLOOKUP($B46,casostestes[#Data],2)=0,"-",VLOOKUP($B46,casostestes[#Data],2)), "-")</f>
        <v>-</v>
      </c>
      <c r="E46" s="50" t="str">
        <f>IFERROR(IF(VLOOKUP($B46,casostestes[#Data],3)=0,"-",VLOOKUP($B46,casostestes[#Data],3)), "-")</f>
        <v>-</v>
      </c>
      <c r="F46" s="50" t="str">
        <f>IFERROR(IF(VLOOKUP($B46,casostestes[#Data],4)=0,"-",VLOOKUP($B46,casostestes[#Data],4)),"-")</f>
        <v>-</v>
      </c>
      <c r="G46" s="50" t="str">
        <f>IFERROR(IF(VLOOKUP($B46,casostestes[#Data],5)=0,"-",VLOOKUP($B46,casostestes[#Data],5)),"-")</f>
        <v>-</v>
      </c>
      <c r="H46" s="50" t="str">
        <f>IFERROR(IF(VLOOKUP($B46,casostestes[#Data],6)=0,"-",VLOOKUP($B46,casostestes[#Data],6)),"-")</f>
        <v>-</v>
      </c>
      <c r="I46" s="50" t="str">
        <f>IFERROR(IF(VLOOKUP($B46,casostestes[#Data],8)=0,"-",VLOOKUP($B46,casostestes[#Data],8)),"-")</f>
        <v>-</v>
      </c>
      <c r="J46" s="50" t="str">
        <f>IFERROR(IF(VLOOKUP($B46,casostestes[#Data],9)=0,"-",VLOOKUP($B46,casostestes[#Data],9)),"-")</f>
        <v>-</v>
      </c>
      <c r="K46" s="51"/>
      <c r="L46" s="57"/>
      <c r="M46" s="53"/>
      <c r="N46" s="54"/>
      <c r="O46" s="54"/>
      <c r="P46" s="55"/>
    </row>
    <row r="47" spans="2:16">
      <c r="B47" s="56" t="str">
        <f>IF(ISERR(casostestes[[#This Row],[ID]]),"-",casostestes[[#This Row],[ID]])</f>
        <v>-</v>
      </c>
      <c r="C47" s="49" t="str">
        <f>IFERROR(IF(VLOOKUP($B47,casostestes[#Data],10)=0,"Não",VLOOKUP($B47,casostestes[#Data],10)), "-")</f>
        <v>-</v>
      </c>
      <c r="D47" s="50" t="str">
        <f>IFERROR(IF(VLOOKUP($B47,casostestes[#Data],2)=0,"-",VLOOKUP($B47,casostestes[#Data],2)), "-")</f>
        <v>-</v>
      </c>
      <c r="E47" s="50" t="str">
        <f>IFERROR(IF(VLOOKUP($B47,casostestes[#Data],3)=0,"-",VLOOKUP($B47,casostestes[#Data],3)), "-")</f>
        <v>-</v>
      </c>
      <c r="F47" s="50" t="str">
        <f>IFERROR(IF(VLOOKUP($B47,casostestes[#Data],4)=0,"-",VLOOKUP($B47,casostestes[#Data],4)),"-")</f>
        <v>-</v>
      </c>
      <c r="G47" s="50" t="str">
        <f>IFERROR(IF(VLOOKUP($B47,casostestes[#Data],5)=0,"-",VLOOKUP($B47,casostestes[#Data],5)),"-")</f>
        <v>-</v>
      </c>
      <c r="H47" s="50" t="str">
        <f>IFERROR(IF(VLOOKUP($B47,casostestes[#Data],6)=0,"-",VLOOKUP($B47,casostestes[#Data],6)),"-")</f>
        <v>-</v>
      </c>
      <c r="I47" s="50" t="str">
        <f>IFERROR(IF(VLOOKUP($B47,casostestes[#Data],8)=0,"-",VLOOKUP($B47,casostestes[#Data],8)),"-")</f>
        <v>-</v>
      </c>
      <c r="J47" s="50" t="str">
        <f>IFERROR(IF(VLOOKUP($B47,casostestes[#Data],9)=0,"-",VLOOKUP($B47,casostestes[#Data],9)),"-")</f>
        <v>-</v>
      </c>
      <c r="K47" s="51"/>
      <c r="L47" s="57"/>
      <c r="M47" s="53"/>
      <c r="N47" s="54"/>
      <c r="O47" s="54"/>
      <c r="P47" s="55"/>
    </row>
    <row r="48" spans="2:16">
      <c r="B48" s="56" t="str">
        <f>IF(ISERR(casostestes[[#This Row],[ID]]),"-",casostestes[[#This Row],[ID]])</f>
        <v>-</v>
      </c>
      <c r="C48" s="49" t="str">
        <f>IFERROR(IF(VLOOKUP($B48,casostestes[#Data],10)=0,"Não",VLOOKUP($B48,casostestes[#Data],10)), "-")</f>
        <v>-</v>
      </c>
      <c r="D48" s="50" t="str">
        <f>IFERROR(IF(VLOOKUP($B48,casostestes[#Data],2)=0,"-",VLOOKUP($B48,casostestes[#Data],2)), "-")</f>
        <v>-</v>
      </c>
      <c r="E48" s="50" t="str">
        <f>IFERROR(IF(VLOOKUP($B48,casostestes[#Data],3)=0,"-",VLOOKUP($B48,casostestes[#Data],3)), "-")</f>
        <v>-</v>
      </c>
      <c r="F48" s="50" t="str">
        <f>IFERROR(IF(VLOOKUP($B48,casostestes[#Data],4)=0,"-",VLOOKUP($B48,casostestes[#Data],4)),"-")</f>
        <v>-</v>
      </c>
      <c r="G48" s="50" t="str">
        <f>IFERROR(IF(VLOOKUP($B48,casostestes[#Data],5)=0,"-",VLOOKUP($B48,casostestes[#Data],5)),"-")</f>
        <v>-</v>
      </c>
      <c r="H48" s="50" t="str">
        <f>IFERROR(IF(VLOOKUP($B48,casostestes[#Data],6)=0,"-",VLOOKUP($B48,casostestes[#Data],6)),"-")</f>
        <v>-</v>
      </c>
      <c r="I48" s="50" t="str">
        <f>IFERROR(IF(VLOOKUP($B48,casostestes[#Data],8)=0,"-",VLOOKUP($B48,casostestes[#Data],8)),"-")</f>
        <v>-</v>
      </c>
      <c r="J48" s="50" t="str">
        <f>IFERROR(IF(VLOOKUP($B48,casostestes[#Data],9)=0,"-",VLOOKUP($B48,casostestes[#Data],9)),"-")</f>
        <v>-</v>
      </c>
      <c r="K48" s="51"/>
      <c r="L48" s="57"/>
      <c r="M48" s="53"/>
      <c r="N48" s="54"/>
      <c r="O48" s="54"/>
      <c r="P48" s="55"/>
    </row>
    <row r="49" spans="2:16">
      <c r="B49" s="56" t="str">
        <f>IF(ISERR(casostestes[[#This Row],[ID]]),"-",casostestes[[#This Row],[ID]])</f>
        <v>-</v>
      </c>
      <c r="C49" s="49" t="str">
        <f>IFERROR(IF(VLOOKUP($B49,casostestes[#Data],10)=0,"Não",VLOOKUP($B49,casostestes[#Data],10)), "-")</f>
        <v>-</v>
      </c>
      <c r="D49" s="50" t="str">
        <f>IFERROR(IF(VLOOKUP($B49,casostestes[#Data],2)=0,"-",VLOOKUP($B49,casostestes[#Data],2)), "-")</f>
        <v>-</v>
      </c>
      <c r="E49" s="50" t="str">
        <f>IFERROR(IF(VLOOKUP($B49,casostestes[#Data],3)=0,"-",VLOOKUP($B49,casostestes[#Data],3)), "-")</f>
        <v>-</v>
      </c>
      <c r="F49" s="50" t="str">
        <f>IFERROR(IF(VLOOKUP($B49,casostestes[#Data],4)=0,"-",VLOOKUP($B49,casostestes[#Data],4)),"-")</f>
        <v>-</v>
      </c>
      <c r="G49" s="50" t="str">
        <f>IFERROR(IF(VLOOKUP($B49,casostestes[#Data],5)=0,"-",VLOOKUP($B49,casostestes[#Data],5)),"-")</f>
        <v>-</v>
      </c>
      <c r="H49" s="50" t="str">
        <f>IFERROR(IF(VLOOKUP($B49,casostestes[#Data],6)=0,"-",VLOOKUP($B49,casostestes[#Data],6)),"-")</f>
        <v>-</v>
      </c>
      <c r="I49" s="50" t="str">
        <f>IFERROR(IF(VLOOKUP($B49,casostestes[#Data],8)=0,"-",VLOOKUP($B49,casostestes[#Data],8)),"-")</f>
        <v>-</v>
      </c>
      <c r="J49" s="50" t="str">
        <f>IFERROR(IF(VLOOKUP($B49,casostestes[#Data],9)=0,"-",VLOOKUP($B49,casostestes[#Data],9)),"-")</f>
        <v>-</v>
      </c>
      <c r="K49" s="51"/>
      <c r="L49" s="57"/>
      <c r="M49" s="53"/>
      <c r="N49" s="54"/>
      <c r="O49" s="54"/>
      <c r="P49" s="55"/>
    </row>
    <row r="50" spans="2:16">
      <c r="B50" s="56" t="str">
        <f>IF(ISERR(casostestes[[#This Row],[ID]]),"-",casostestes[[#This Row],[ID]])</f>
        <v>-</v>
      </c>
      <c r="C50" s="49" t="str">
        <f>IFERROR(IF(VLOOKUP($B50,casostestes[#Data],10)=0,"Não",VLOOKUP($B50,casostestes[#Data],10)), "-")</f>
        <v>-</v>
      </c>
      <c r="D50" s="50" t="str">
        <f>IFERROR(IF(VLOOKUP($B50,casostestes[#Data],2)=0,"-",VLOOKUP($B50,casostestes[#Data],2)), "-")</f>
        <v>-</v>
      </c>
      <c r="E50" s="50" t="str">
        <f>IFERROR(IF(VLOOKUP($B50,casostestes[#Data],3)=0,"-",VLOOKUP($B50,casostestes[#Data],3)), "-")</f>
        <v>-</v>
      </c>
      <c r="F50" s="50" t="str">
        <f>IFERROR(IF(VLOOKUP($B50,casostestes[#Data],4)=0,"-",VLOOKUP($B50,casostestes[#Data],4)),"-")</f>
        <v>-</v>
      </c>
      <c r="G50" s="50" t="str">
        <f>IFERROR(IF(VLOOKUP($B50,casostestes[#Data],5)=0,"-",VLOOKUP($B50,casostestes[#Data],5)),"-")</f>
        <v>-</v>
      </c>
      <c r="H50" s="50" t="str">
        <f>IFERROR(IF(VLOOKUP($B50,casostestes[#Data],6)=0,"-",VLOOKUP($B50,casostestes[#Data],6)),"-")</f>
        <v>-</v>
      </c>
      <c r="I50" s="50" t="str">
        <f>IFERROR(IF(VLOOKUP($B50,casostestes[#Data],8)=0,"-",VLOOKUP($B50,casostestes[#Data],8)),"-")</f>
        <v>-</v>
      </c>
      <c r="J50" s="50" t="str">
        <f>IFERROR(IF(VLOOKUP($B50,casostestes[#Data],9)=0,"-",VLOOKUP($B50,casostestes[#Data],9)),"-")</f>
        <v>-</v>
      </c>
      <c r="K50" s="51"/>
      <c r="L50" s="57"/>
      <c r="M50" s="53"/>
      <c r="N50" s="54"/>
      <c r="O50" s="54"/>
      <c r="P50" s="55"/>
    </row>
    <row r="51" spans="2:16">
      <c r="B51" s="56" t="str">
        <f>IF(ISERR(casostestes[[#This Row],[ID]]),"-",casostestes[[#This Row],[ID]])</f>
        <v>-</v>
      </c>
      <c r="C51" s="49" t="str">
        <f>IFERROR(IF(VLOOKUP($B51,casostestes[#Data],10)=0,"Não",VLOOKUP($B51,casostestes[#Data],10)), "-")</f>
        <v>-</v>
      </c>
      <c r="D51" s="50" t="str">
        <f>IFERROR(IF(VLOOKUP($B51,casostestes[#Data],2)=0,"-",VLOOKUP($B51,casostestes[#Data],2)), "-")</f>
        <v>-</v>
      </c>
      <c r="E51" s="50" t="str">
        <f>IFERROR(IF(VLOOKUP($B51,casostestes[#Data],3)=0,"-",VLOOKUP($B51,casostestes[#Data],3)), "-")</f>
        <v>-</v>
      </c>
      <c r="F51" s="50" t="str">
        <f>IFERROR(IF(VLOOKUP($B51,casostestes[#Data],4)=0,"-",VLOOKUP($B51,casostestes[#Data],4)),"-")</f>
        <v>-</v>
      </c>
      <c r="G51" s="50" t="str">
        <f>IFERROR(IF(VLOOKUP($B51,casostestes[#Data],5)=0,"-",VLOOKUP($B51,casostestes[#Data],5)),"-")</f>
        <v>-</v>
      </c>
      <c r="H51" s="50" t="str">
        <f>IFERROR(IF(VLOOKUP($B51,casostestes[#Data],6)=0,"-",VLOOKUP($B51,casostestes[#Data],6)),"-")</f>
        <v>-</v>
      </c>
      <c r="I51" s="50" t="str">
        <f>IFERROR(IF(VLOOKUP($B51,casostestes[#Data],8)=0,"-",VLOOKUP($B51,casostestes[#Data],8)),"-")</f>
        <v>-</v>
      </c>
      <c r="J51" s="50" t="str">
        <f>IFERROR(IF(VLOOKUP($B51,casostestes[#Data],9)=0,"-",VLOOKUP($B51,casostestes[#Data],9)),"-")</f>
        <v>-</v>
      </c>
      <c r="K51" s="51"/>
      <c r="L51" s="57"/>
      <c r="M51" s="53"/>
      <c r="N51" s="54"/>
      <c r="O51" s="54"/>
      <c r="P51" s="55"/>
    </row>
    <row r="52" spans="2:16">
      <c r="B52" s="56" t="str">
        <f>IF(ISERR(casostestes[[#This Row],[ID]]),"-",casostestes[[#This Row],[ID]])</f>
        <v>-</v>
      </c>
      <c r="C52" s="49" t="str">
        <f>IFERROR(IF(VLOOKUP($B52,casostestes[#Data],10)=0,"Não",VLOOKUP($B52,casostestes[#Data],10)), "-")</f>
        <v>-</v>
      </c>
      <c r="D52" s="50" t="str">
        <f>IFERROR(IF(VLOOKUP($B52,casostestes[#Data],2)=0,"-",VLOOKUP($B52,casostestes[#Data],2)), "-")</f>
        <v>-</v>
      </c>
      <c r="E52" s="50" t="str">
        <f>IFERROR(IF(VLOOKUP($B52,casostestes[#Data],3)=0,"-",VLOOKUP($B52,casostestes[#Data],3)), "-")</f>
        <v>-</v>
      </c>
      <c r="F52" s="50" t="str">
        <f>IFERROR(IF(VLOOKUP($B52,casostestes[#Data],4)=0,"-",VLOOKUP($B52,casostestes[#Data],4)),"-")</f>
        <v>-</v>
      </c>
      <c r="G52" s="50" t="str">
        <f>IFERROR(IF(VLOOKUP($B52,casostestes[#Data],5)=0,"-",VLOOKUP($B52,casostestes[#Data],5)),"-")</f>
        <v>-</v>
      </c>
      <c r="H52" s="50" t="str">
        <f>IFERROR(IF(VLOOKUP($B52,casostestes[#Data],6)=0,"-",VLOOKUP($B52,casostestes[#Data],6)),"-")</f>
        <v>-</v>
      </c>
      <c r="I52" s="50" t="str">
        <f>IFERROR(IF(VLOOKUP($B52,casostestes[#Data],8)=0,"-",VLOOKUP($B52,casostestes[#Data],8)),"-")</f>
        <v>-</v>
      </c>
      <c r="J52" s="50" t="str">
        <f>IFERROR(IF(VLOOKUP($B52,casostestes[#Data],9)=0,"-",VLOOKUP($B52,casostestes[#Data],9)),"-")</f>
        <v>-</v>
      </c>
      <c r="K52" s="51"/>
      <c r="L52" s="57"/>
      <c r="M52" s="53"/>
      <c r="N52" s="54"/>
      <c r="O52" s="54"/>
      <c r="P52" s="55"/>
    </row>
    <row r="53" spans="2:16">
      <c r="B53" s="56" t="str">
        <f>IF(ISERR(casostestes[[#This Row],[ID]]),"-",casostestes[[#This Row],[ID]])</f>
        <v>-</v>
      </c>
      <c r="C53" s="49" t="str">
        <f>IFERROR(IF(VLOOKUP($B53,casostestes[#Data],10)=0,"Não",VLOOKUP($B53,casostestes[#Data],10)), "-")</f>
        <v>-</v>
      </c>
      <c r="D53" s="50" t="str">
        <f>IFERROR(IF(VLOOKUP($B53,casostestes[#Data],2)=0,"-",VLOOKUP($B53,casostestes[#Data],2)), "-")</f>
        <v>-</v>
      </c>
      <c r="E53" s="50" t="str">
        <f>IFERROR(IF(VLOOKUP($B53,casostestes[#Data],3)=0,"-",VLOOKUP($B53,casostestes[#Data],3)), "-")</f>
        <v>-</v>
      </c>
      <c r="F53" s="50" t="str">
        <f>IFERROR(IF(VLOOKUP($B53,casostestes[#Data],4)=0,"-",VLOOKUP($B53,casostestes[#Data],4)),"-")</f>
        <v>-</v>
      </c>
      <c r="G53" s="50" t="str">
        <f>IFERROR(IF(VLOOKUP($B53,casostestes[#Data],5)=0,"-",VLOOKUP($B53,casostestes[#Data],5)),"-")</f>
        <v>-</v>
      </c>
      <c r="H53" s="50" t="str">
        <f>IFERROR(IF(VLOOKUP($B53,casostestes[#Data],6)=0,"-",VLOOKUP($B53,casostestes[#Data],6)),"-")</f>
        <v>-</v>
      </c>
      <c r="I53" s="50" t="str">
        <f>IFERROR(IF(VLOOKUP($B53,casostestes[#Data],8)=0,"-",VLOOKUP($B53,casostestes[#Data],8)),"-")</f>
        <v>-</v>
      </c>
      <c r="J53" s="50" t="str">
        <f>IFERROR(IF(VLOOKUP($B53,casostestes[#Data],9)=0,"-",VLOOKUP($B53,casostestes[#Data],9)),"-")</f>
        <v>-</v>
      </c>
      <c r="K53" s="51"/>
      <c r="L53" s="57"/>
      <c r="M53" s="53"/>
      <c r="N53" s="54"/>
      <c r="O53" s="54"/>
      <c r="P53" s="55"/>
    </row>
    <row r="54" spans="2:16">
      <c r="B54" s="56" t="str">
        <f>IF(ISERR(casostestes[[#This Row],[ID]]),"-",casostestes[[#This Row],[ID]])</f>
        <v>-</v>
      </c>
      <c r="C54" s="49" t="str">
        <f>IFERROR(IF(VLOOKUP($B54,casostestes[#Data],10)=0,"Não",VLOOKUP($B54,casostestes[#Data],10)), "-")</f>
        <v>-</v>
      </c>
      <c r="D54" s="50" t="str">
        <f>IFERROR(IF(VLOOKUP($B54,casostestes[#Data],2)=0,"-",VLOOKUP($B54,casostestes[#Data],2)), "-")</f>
        <v>-</v>
      </c>
      <c r="E54" s="50" t="str">
        <f>IFERROR(IF(VLOOKUP($B54,casostestes[#Data],3)=0,"-",VLOOKUP($B54,casostestes[#Data],3)), "-")</f>
        <v>-</v>
      </c>
      <c r="F54" s="50" t="str">
        <f>IFERROR(IF(VLOOKUP($B54,casostestes[#Data],4)=0,"-",VLOOKUP($B54,casostestes[#Data],4)),"-")</f>
        <v>-</v>
      </c>
      <c r="G54" s="50" t="str">
        <f>IFERROR(IF(VLOOKUP($B54,casostestes[#Data],5)=0,"-",VLOOKUP($B54,casostestes[#Data],5)),"-")</f>
        <v>-</v>
      </c>
      <c r="H54" s="50" t="str">
        <f>IFERROR(IF(VLOOKUP($B54,casostestes[#Data],6)=0,"-",VLOOKUP($B54,casostestes[#Data],6)),"-")</f>
        <v>-</v>
      </c>
      <c r="I54" s="50" t="str">
        <f>IFERROR(IF(VLOOKUP($B54,casostestes[#Data],8)=0,"-",VLOOKUP($B54,casostestes[#Data],8)),"-")</f>
        <v>-</v>
      </c>
      <c r="J54" s="50" t="str">
        <f>IFERROR(IF(VLOOKUP($B54,casostestes[#Data],9)=0,"-",VLOOKUP($B54,casostestes[#Data],9)),"-")</f>
        <v>-</v>
      </c>
      <c r="K54" s="51"/>
      <c r="L54" s="57"/>
      <c r="M54" s="53"/>
      <c r="N54" s="54"/>
      <c r="O54" s="54"/>
      <c r="P54" s="55"/>
    </row>
    <row r="55" spans="2:16">
      <c r="B55" s="56" t="str">
        <f>IF(ISERR(casostestes[[#This Row],[ID]]),"-",casostestes[[#This Row],[ID]])</f>
        <v>-</v>
      </c>
      <c r="C55" s="49" t="str">
        <f>IFERROR(IF(VLOOKUP($B55,casostestes[#Data],10)=0,"Não",VLOOKUP($B55,casostestes[#Data],10)), "-")</f>
        <v>-</v>
      </c>
      <c r="D55" s="50" t="str">
        <f>IFERROR(IF(VLOOKUP($B55,casostestes[#Data],2)=0,"-",VLOOKUP($B55,casostestes[#Data],2)), "-")</f>
        <v>-</v>
      </c>
      <c r="E55" s="50" t="str">
        <f>IFERROR(IF(VLOOKUP($B55,casostestes[#Data],3)=0,"-",VLOOKUP($B55,casostestes[#Data],3)), "-")</f>
        <v>-</v>
      </c>
      <c r="F55" s="50" t="str">
        <f>IFERROR(IF(VLOOKUP($B55,casostestes[#Data],4)=0,"-",VLOOKUP($B55,casostestes[#Data],4)),"-")</f>
        <v>-</v>
      </c>
      <c r="G55" s="50" t="str">
        <f>IFERROR(IF(VLOOKUP($B55,casostestes[#Data],5)=0,"-",VLOOKUP($B55,casostestes[#Data],5)),"-")</f>
        <v>-</v>
      </c>
      <c r="H55" s="50" t="str">
        <f>IFERROR(IF(VLOOKUP($B55,casostestes[#Data],6)=0,"-",VLOOKUP($B55,casostestes[#Data],6)),"-")</f>
        <v>-</v>
      </c>
      <c r="I55" s="50" t="str">
        <f>IFERROR(IF(VLOOKUP($B55,casostestes[#Data],8)=0,"-",VLOOKUP($B55,casostestes[#Data],8)),"-")</f>
        <v>-</v>
      </c>
      <c r="J55" s="50" t="str">
        <f>IFERROR(IF(VLOOKUP($B55,casostestes[#Data],9)=0,"-",VLOOKUP($B55,casostestes[#Data],9)),"-")</f>
        <v>-</v>
      </c>
      <c r="K55" s="51"/>
      <c r="L55" s="57"/>
      <c r="M55" s="53"/>
      <c r="N55" s="54"/>
      <c r="O55" s="54"/>
      <c r="P55" s="55"/>
    </row>
    <row r="56" spans="2:16">
      <c r="B56" s="56" t="str">
        <f>IF(ISERR(casostestes[[#This Row],[ID]]),"-",casostestes[[#This Row],[ID]])</f>
        <v>-</v>
      </c>
      <c r="C56" s="49" t="str">
        <f>IFERROR(IF(VLOOKUP($B56,casostestes[#Data],10)=0,"Não",VLOOKUP($B56,casostestes[#Data],10)), "-")</f>
        <v>-</v>
      </c>
      <c r="D56" s="50" t="str">
        <f>IFERROR(IF(VLOOKUP($B56,casostestes[#Data],2)=0,"-",VLOOKUP($B56,casostestes[#Data],2)), "-")</f>
        <v>-</v>
      </c>
      <c r="E56" s="50" t="str">
        <f>IFERROR(IF(VLOOKUP($B56,casostestes[#Data],3)=0,"-",VLOOKUP($B56,casostestes[#Data],3)), "-")</f>
        <v>-</v>
      </c>
      <c r="F56" s="50" t="str">
        <f>IFERROR(IF(VLOOKUP($B56,casostestes[#Data],4)=0,"-",VLOOKUP($B56,casostestes[#Data],4)),"-")</f>
        <v>-</v>
      </c>
      <c r="G56" s="50" t="str">
        <f>IFERROR(IF(VLOOKUP($B56,casostestes[#Data],5)=0,"-",VLOOKUP($B56,casostestes[#Data],5)),"-")</f>
        <v>-</v>
      </c>
      <c r="H56" s="50" t="str">
        <f>IFERROR(IF(VLOOKUP($B56,casostestes[#Data],6)=0,"-",VLOOKUP($B56,casostestes[#Data],6)),"-")</f>
        <v>-</v>
      </c>
      <c r="I56" s="50" t="str">
        <f>IFERROR(IF(VLOOKUP($B56,casostestes[#Data],8)=0,"-",VLOOKUP($B56,casostestes[#Data],8)),"-")</f>
        <v>-</v>
      </c>
      <c r="J56" s="50" t="str">
        <f>IFERROR(IF(VLOOKUP($B56,casostestes[#Data],9)=0,"-",VLOOKUP($B56,casostestes[#Data],9)),"-")</f>
        <v>-</v>
      </c>
      <c r="K56" s="51"/>
      <c r="L56" s="57"/>
      <c r="M56" s="53"/>
      <c r="N56" s="54"/>
      <c r="O56" s="54"/>
      <c r="P56" s="55"/>
    </row>
    <row r="57" spans="2:16">
      <c r="B57" s="56" t="str">
        <f>IF(ISERR(casostestes[[#This Row],[ID]]),"-",casostestes[[#This Row],[ID]])</f>
        <v>-</v>
      </c>
      <c r="C57" s="49" t="str">
        <f>IFERROR(IF(VLOOKUP($B57,casostestes[#Data],10)=0,"Não",VLOOKUP($B57,casostestes[#Data],10)), "-")</f>
        <v>-</v>
      </c>
      <c r="D57" s="50" t="str">
        <f>IFERROR(IF(VLOOKUP($B57,casostestes[#Data],2)=0,"-",VLOOKUP($B57,casostestes[#Data],2)), "-")</f>
        <v>-</v>
      </c>
      <c r="E57" s="50" t="str">
        <f>IFERROR(IF(VLOOKUP($B57,casostestes[#Data],3)=0,"-",VLOOKUP($B57,casostestes[#Data],3)), "-")</f>
        <v>-</v>
      </c>
      <c r="F57" s="50" t="str">
        <f>IFERROR(IF(VLOOKUP($B57,casostestes[#Data],4)=0,"-",VLOOKUP($B57,casostestes[#Data],4)),"-")</f>
        <v>-</v>
      </c>
      <c r="G57" s="50" t="str">
        <f>IFERROR(IF(VLOOKUP($B57,casostestes[#Data],5)=0,"-",VLOOKUP($B57,casostestes[#Data],5)),"-")</f>
        <v>-</v>
      </c>
      <c r="H57" s="50" t="str">
        <f>IFERROR(IF(VLOOKUP($B57,casostestes[#Data],6)=0,"-",VLOOKUP($B57,casostestes[#Data],6)),"-")</f>
        <v>-</v>
      </c>
      <c r="I57" s="50" t="str">
        <f>IFERROR(IF(VLOOKUP($B57,casostestes[#Data],8)=0,"-",VLOOKUP($B57,casostestes[#Data],8)),"-")</f>
        <v>-</v>
      </c>
      <c r="J57" s="50" t="str">
        <f>IFERROR(IF(VLOOKUP($B57,casostestes[#Data],9)=0,"-",VLOOKUP($B57,casostestes[#Data],9)),"-")</f>
        <v>-</v>
      </c>
      <c r="K57" s="51"/>
      <c r="L57" s="57"/>
      <c r="M57" s="53"/>
      <c r="N57" s="54"/>
      <c r="O57" s="54"/>
      <c r="P57" s="55"/>
    </row>
    <row r="58" spans="2:16">
      <c r="B58" s="56" t="str">
        <f>IF(ISERR(casostestes[[#This Row],[ID]]),"-",casostestes[[#This Row],[ID]])</f>
        <v>-</v>
      </c>
      <c r="C58" s="49" t="str">
        <f>IFERROR(IF(VLOOKUP($B58,casostestes[#Data],10)=0,"Não",VLOOKUP($B58,casostestes[#Data],10)), "-")</f>
        <v>-</v>
      </c>
      <c r="D58" s="50" t="str">
        <f>IFERROR(IF(VLOOKUP($B58,casostestes[#Data],2)=0,"-",VLOOKUP($B58,casostestes[#Data],2)), "-")</f>
        <v>-</v>
      </c>
      <c r="E58" s="50" t="str">
        <f>IFERROR(IF(VLOOKUP($B58,casostestes[#Data],3)=0,"-",VLOOKUP($B58,casostestes[#Data],3)), "-")</f>
        <v>-</v>
      </c>
      <c r="F58" s="50" t="str">
        <f>IFERROR(IF(VLOOKUP($B58,casostestes[#Data],4)=0,"-",VLOOKUP($B58,casostestes[#Data],4)),"-")</f>
        <v>-</v>
      </c>
      <c r="G58" s="50" t="str">
        <f>IFERROR(IF(VLOOKUP($B58,casostestes[#Data],5)=0,"-",VLOOKUP($B58,casostestes[#Data],5)),"-")</f>
        <v>-</v>
      </c>
      <c r="H58" s="50" t="str">
        <f>IFERROR(IF(VLOOKUP($B58,casostestes[#Data],6)=0,"-",VLOOKUP($B58,casostestes[#Data],6)),"-")</f>
        <v>-</v>
      </c>
      <c r="I58" s="50" t="str">
        <f>IFERROR(IF(VLOOKUP($B58,casostestes[#Data],8)=0,"-",VLOOKUP($B58,casostestes[#Data],8)),"-")</f>
        <v>-</v>
      </c>
      <c r="J58" s="50" t="str">
        <f>IFERROR(IF(VLOOKUP($B58,casostestes[#Data],9)=0,"-",VLOOKUP($B58,casostestes[#Data],9)),"-")</f>
        <v>-</v>
      </c>
      <c r="K58" s="51"/>
      <c r="L58" s="57"/>
      <c r="M58" s="53"/>
      <c r="N58" s="54"/>
      <c r="O58" s="54"/>
      <c r="P58" s="55"/>
    </row>
    <row r="59" spans="2:16">
      <c r="B59" s="56" t="str">
        <f>IF(ISERR(casostestes[[#This Row],[ID]]),"-",casostestes[[#This Row],[ID]])</f>
        <v>-</v>
      </c>
      <c r="C59" s="49" t="str">
        <f>IFERROR(IF(VLOOKUP($B59,casostestes[#Data],10)=0,"Não",VLOOKUP($B59,casostestes[#Data],10)), "-")</f>
        <v>-</v>
      </c>
      <c r="D59" s="50" t="str">
        <f>IFERROR(IF(VLOOKUP($B59,casostestes[#Data],2)=0,"-",VLOOKUP($B59,casostestes[#Data],2)), "-")</f>
        <v>-</v>
      </c>
      <c r="E59" s="50" t="str">
        <f>IFERROR(IF(VLOOKUP($B59,casostestes[#Data],3)=0,"-",VLOOKUP($B59,casostestes[#Data],3)), "-")</f>
        <v>-</v>
      </c>
      <c r="F59" s="50" t="str">
        <f>IFERROR(IF(VLOOKUP($B59,casostestes[#Data],4)=0,"-",VLOOKUP($B59,casostestes[#Data],4)),"-")</f>
        <v>-</v>
      </c>
      <c r="G59" s="50" t="str">
        <f>IFERROR(IF(VLOOKUP($B59,casostestes[#Data],5)=0,"-",VLOOKUP($B59,casostestes[#Data],5)),"-")</f>
        <v>-</v>
      </c>
      <c r="H59" s="50" t="str">
        <f>IFERROR(IF(VLOOKUP($B59,casostestes[#Data],6)=0,"-",VLOOKUP($B59,casostestes[#Data],6)),"-")</f>
        <v>-</v>
      </c>
      <c r="I59" s="50" t="str">
        <f>IFERROR(IF(VLOOKUP($B59,casostestes[#Data],8)=0,"-",VLOOKUP($B59,casostestes[#Data],8)),"-")</f>
        <v>-</v>
      </c>
      <c r="J59" s="50" t="str">
        <f>IFERROR(IF(VLOOKUP($B59,casostestes[#Data],9)=0,"-",VLOOKUP($B59,casostestes[#Data],9)),"-")</f>
        <v>-</v>
      </c>
      <c r="K59" s="51"/>
      <c r="L59" s="57"/>
      <c r="M59" s="53"/>
      <c r="N59" s="54"/>
      <c r="O59" s="54"/>
      <c r="P59" s="55"/>
    </row>
    <row r="60" spans="2:16">
      <c r="B60" s="56" t="str">
        <f>IF(ISERR(casostestes[[#This Row],[ID]]),"-",casostestes[[#This Row],[ID]])</f>
        <v>-</v>
      </c>
      <c r="C60" s="49" t="str">
        <f>IFERROR(IF(VLOOKUP($B60,casostestes[#Data],10)=0,"Não",VLOOKUP($B60,casostestes[#Data],10)), "-")</f>
        <v>-</v>
      </c>
      <c r="D60" s="50" t="str">
        <f>IFERROR(IF(VLOOKUP($B60,casostestes[#Data],2)=0,"-",VLOOKUP($B60,casostestes[#Data],2)), "-")</f>
        <v>-</v>
      </c>
      <c r="E60" s="50" t="str">
        <f>IFERROR(IF(VLOOKUP($B60,casostestes[#Data],3)=0,"-",VLOOKUP($B60,casostestes[#Data],3)), "-")</f>
        <v>-</v>
      </c>
      <c r="F60" s="50" t="str">
        <f>IFERROR(IF(VLOOKUP($B60,casostestes[#Data],4)=0,"-",VLOOKUP($B60,casostestes[#Data],4)),"-")</f>
        <v>-</v>
      </c>
      <c r="G60" s="50" t="str">
        <f>IFERROR(IF(VLOOKUP($B60,casostestes[#Data],5)=0,"-",VLOOKUP($B60,casostestes[#Data],5)),"-")</f>
        <v>-</v>
      </c>
      <c r="H60" s="50" t="str">
        <f>IFERROR(IF(VLOOKUP($B60,casostestes[#Data],6)=0,"-",VLOOKUP($B60,casostestes[#Data],6)),"-")</f>
        <v>-</v>
      </c>
      <c r="I60" s="50" t="str">
        <f>IFERROR(IF(VLOOKUP($B60,casostestes[#Data],8)=0,"-",VLOOKUP($B60,casostestes[#Data],8)),"-")</f>
        <v>-</v>
      </c>
      <c r="J60" s="50" t="str">
        <f>IFERROR(IF(VLOOKUP($B60,casostestes[#Data],9)=0,"-",VLOOKUP($B60,casostestes[#Data],9)),"-")</f>
        <v>-</v>
      </c>
      <c r="K60" s="51"/>
      <c r="L60" s="57"/>
      <c r="M60" s="53"/>
      <c r="N60" s="54"/>
      <c r="O60" s="54"/>
      <c r="P60" s="55"/>
    </row>
    <row r="61" spans="2:16">
      <c r="B61" s="56" t="str">
        <f>IF(ISERR(casostestes[[#This Row],[ID]]),"-",casostestes[[#This Row],[ID]])</f>
        <v>-</v>
      </c>
      <c r="C61" s="49" t="str">
        <f>IFERROR(IF(VLOOKUP($B61,casostestes[#Data],10)=0,"Não",VLOOKUP($B61,casostestes[#Data],10)), "-")</f>
        <v>-</v>
      </c>
      <c r="D61" s="50" t="str">
        <f>IFERROR(IF(VLOOKUP($B61,casostestes[#Data],2)=0,"-",VLOOKUP($B61,casostestes[#Data],2)), "-")</f>
        <v>-</v>
      </c>
      <c r="E61" s="50" t="str">
        <f>IFERROR(IF(VLOOKUP($B61,casostestes[#Data],3)=0,"-",VLOOKUP($B61,casostestes[#Data],3)), "-")</f>
        <v>-</v>
      </c>
      <c r="F61" s="50" t="str">
        <f>IFERROR(IF(VLOOKUP($B61,casostestes[#Data],4)=0,"-",VLOOKUP($B61,casostestes[#Data],4)),"-")</f>
        <v>-</v>
      </c>
      <c r="G61" s="50" t="str">
        <f>IFERROR(IF(VLOOKUP($B61,casostestes[#Data],5)=0,"-",VLOOKUP($B61,casostestes[#Data],5)),"-")</f>
        <v>-</v>
      </c>
      <c r="H61" s="50" t="str">
        <f>IFERROR(IF(VLOOKUP($B61,casostestes[#Data],6)=0,"-",VLOOKUP($B61,casostestes[#Data],6)),"-")</f>
        <v>-</v>
      </c>
      <c r="I61" s="50" t="str">
        <f>IFERROR(IF(VLOOKUP($B61,casostestes[#Data],8)=0,"-",VLOOKUP($B61,casostestes[#Data],8)),"-")</f>
        <v>-</v>
      </c>
      <c r="J61" s="50" t="str">
        <f>IFERROR(IF(VLOOKUP($B61,casostestes[#Data],9)=0,"-",VLOOKUP($B61,casostestes[#Data],9)),"-")</f>
        <v>-</v>
      </c>
      <c r="K61" s="51"/>
      <c r="L61" s="57"/>
      <c r="M61" s="53"/>
      <c r="N61" s="54"/>
      <c r="O61" s="54"/>
      <c r="P61" s="55"/>
    </row>
    <row r="62" spans="2:16">
      <c r="B62" s="56" t="str">
        <f>IF(ISERR(casostestes[[#This Row],[ID]]),"-",casostestes[[#This Row],[ID]])</f>
        <v>-</v>
      </c>
      <c r="C62" s="49" t="str">
        <f>IFERROR(IF(VLOOKUP($B62,casostestes[#Data],10)=0,"Não",VLOOKUP($B62,casostestes[#Data],10)), "-")</f>
        <v>-</v>
      </c>
      <c r="D62" s="50" t="str">
        <f>IFERROR(IF(VLOOKUP($B62,casostestes[#Data],2)=0,"-",VLOOKUP($B62,casostestes[#Data],2)), "-")</f>
        <v>-</v>
      </c>
      <c r="E62" s="50" t="str">
        <f>IFERROR(IF(VLOOKUP($B62,casostestes[#Data],3)=0,"-",VLOOKUP($B62,casostestes[#Data],3)), "-")</f>
        <v>-</v>
      </c>
      <c r="F62" s="50" t="str">
        <f>IFERROR(IF(VLOOKUP($B62,casostestes[#Data],4)=0,"-",VLOOKUP($B62,casostestes[#Data],4)),"-")</f>
        <v>-</v>
      </c>
      <c r="G62" s="50" t="str">
        <f>IFERROR(IF(VLOOKUP($B62,casostestes[#Data],5)=0,"-",VLOOKUP($B62,casostestes[#Data],5)),"-")</f>
        <v>-</v>
      </c>
      <c r="H62" s="50" t="str">
        <f>IFERROR(IF(VLOOKUP($B62,casostestes[#Data],6)=0,"-",VLOOKUP($B62,casostestes[#Data],6)),"-")</f>
        <v>-</v>
      </c>
      <c r="I62" s="50" t="str">
        <f>IFERROR(IF(VLOOKUP($B62,casostestes[#Data],8)=0,"-",VLOOKUP($B62,casostestes[#Data],8)),"-")</f>
        <v>-</v>
      </c>
      <c r="J62" s="50" t="str">
        <f>IFERROR(IF(VLOOKUP($B62,casostestes[#Data],9)=0,"-",VLOOKUP($B62,casostestes[#Data],9)),"-")</f>
        <v>-</v>
      </c>
      <c r="K62" s="51"/>
      <c r="L62" s="57"/>
      <c r="M62" s="53"/>
      <c r="N62" s="54"/>
      <c r="O62" s="54"/>
      <c r="P62" s="55"/>
    </row>
    <row r="63" spans="2:16">
      <c r="B63" s="56" t="str">
        <f>IF(ISERR(casostestes[[#This Row],[ID]]),"-",casostestes[[#This Row],[ID]])</f>
        <v>-</v>
      </c>
      <c r="C63" s="49" t="str">
        <f>IFERROR(IF(VLOOKUP($B63,casostestes[#Data],10)=0,"Não",VLOOKUP($B63,casostestes[#Data],10)), "-")</f>
        <v>-</v>
      </c>
      <c r="D63" s="50" t="str">
        <f>IFERROR(IF(VLOOKUP($B63,casostestes[#Data],2)=0,"-",VLOOKUP($B63,casostestes[#Data],2)), "-")</f>
        <v>-</v>
      </c>
      <c r="E63" s="50" t="str">
        <f>IFERROR(IF(VLOOKUP($B63,casostestes[#Data],3)=0,"-",VLOOKUP($B63,casostestes[#Data],3)), "-")</f>
        <v>-</v>
      </c>
      <c r="F63" s="50" t="str">
        <f>IFERROR(IF(VLOOKUP($B63,casostestes[#Data],4)=0,"-",VLOOKUP($B63,casostestes[#Data],4)),"-")</f>
        <v>-</v>
      </c>
      <c r="G63" s="50" t="str">
        <f>IFERROR(IF(VLOOKUP($B63,casostestes[#Data],5)=0,"-",VLOOKUP($B63,casostestes[#Data],5)),"-")</f>
        <v>-</v>
      </c>
      <c r="H63" s="50" t="str">
        <f>IFERROR(IF(VLOOKUP($B63,casostestes[#Data],6)=0,"-",VLOOKUP($B63,casostestes[#Data],6)),"-")</f>
        <v>-</v>
      </c>
      <c r="I63" s="50" t="str">
        <f>IFERROR(IF(VLOOKUP($B63,casostestes[#Data],8)=0,"-",VLOOKUP($B63,casostestes[#Data],8)),"-")</f>
        <v>-</v>
      </c>
      <c r="J63" s="50" t="str">
        <f>IFERROR(IF(VLOOKUP($B63,casostestes[#Data],9)=0,"-",VLOOKUP($B63,casostestes[#Data],9)),"-")</f>
        <v>-</v>
      </c>
      <c r="K63" s="51"/>
      <c r="L63" s="57"/>
      <c r="M63" s="53"/>
      <c r="N63" s="54"/>
      <c r="O63" s="54"/>
      <c r="P63" s="55"/>
    </row>
    <row r="64" spans="2:16">
      <c r="B64" s="56" t="str">
        <f>IF(ISERR(casostestes[[#This Row],[ID]]),"-",casostestes[[#This Row],[ID]])</f>
        <v>-</v>
      </c>
      <c r="C64" s="49" t="str">
        <f>IFERROR(IF(VLOOKUP($B64,casostestes[#Data],10)=0,"Não",VLOOKUP($B64,casostestes[#Data],10)), "-")</f>
        <v>-</v>
      </c>
      <c r="D64" s="50" t="str">
        <f>IFERROR(IF(VLOOKUP($B64,casostestes[#Data],2)=0,"-",VLOOKUP($B64,casostestes[#Data],2)), "-")</f>
        <v>-</v>
      </c>
      <c r="E64" s="50" t="str">
        <f>IFERROR(IF(VLOOKUP($B64,casostestes[#Data],3)=0,"-",VLOOKUP($B64,casostestes[#Data],3)), "-")</f>
        <v>-</v>
      </c>
      <c r="F64" s="50" t="str">
        <f>IFERROR(IF(VLOOKUP($B64,casostestes[#Data],4)=0,"-",VLOOKUP($B64,casostestes[#Data],4)),"-")</f>
        <v>-</v>
      </c>
      <c r="G64" s="50" t="str">
        <f>IFERROR(IF(VLOOKUP($B64,casostestes[#Data],5)=0,"-",VLOOKUP($B64,casostestes[#Data],5)),"-")</f>
        <v>-</v>
      </c>
      <c r="H64" s="50" t="str">
        <f>IFERROR(IF(VLOOKUP($B64,casostestes[#Data],6)=0,"-",VLOOKUP($B64,casostestes[#Data],6)),"-")</f>
        <v>-</v>
      </c>
      <c r="I64" s="50" t="str">
        <f>IFERROR(IF(VLOOKUP($B64,casostestes[#Data],8)=0,"-",VLOOKUP($B64,casostestes[#Data],8)),"-")</f>
        <v>-</v>
      </c>
      <c r="J64" s="50" t="str">
        <f>IFERROR(IF(VLOOKUP($B64,casostestes[#Data],9)=0,"-",VLOOKUP($B64,casostestes[#Data],9)),"-")</f>
        <v>-</v>
      </c>
      <c r="K64" s="51"/>
      <c r="L64" s="57"/>
      <c r="M64" s="53"/>
      <c r="N64" s="54"/>
      <c r="O64" s="54"/>
      <c r="P64" s="55"/>
    </row>
    <row r="65" spans="2:16">
      <c r="B65" s="56" t="str">
        <f>IF(ISERR(casostestes[[#This Row],[ID]]),"-",casostestes[[#This Row],[ID]])</f>
        <v>-</v>
      </c>
      <c r="C65" s="49" t="str">
        <f>IFERROR(IF(VLOOKUP($B65,casostestes[#Data],10)=0,"Não",VLOOKUP($B65,casostestes[#Data],10)), "-")</f>
        <v>-</v>
      </c>
      <c r="D65" s="50" t="str">
        <f>IFERROR(IF(VLOOKUP($B65,casostestes[#Data],2)=0,"-",VLOOKUP($B65,casostestes[#Data],2)), "-")</f>
        <v>-</v>
      </c>
      <c r="E65" s="50" t="str">
        <f>IFERROR(IF(VLOOKUP($B65,casostestes[#Data],3)=0,"-",VLOOKUP($B65,casostestes[#Data],3)), "-")</f>
        <v>-</v>
      </c>
      <c r="F65" s="50" t="str">
        <f>IFERROR(IF(VLOOKUP($B65,casostestes[#Data],4)=0,"-",VLOOKUP($B65,casostestes[#Data],4)),"-")</f>
        <v>-</v>
      </c>
      <c r="G65" s="50" t="str">
        <f>IFERROR(IF(VLOOKUP($B65,casostestes[#Data],5)=0,"-",VLOOKUP($B65,casostestes[#Data],5)),"-")</f>
        <v>-</v>
      </c>
      <c r="H65" s="50" t="str">
        <f>IFERROR(IF(VLOOKUP($B65,casostestes[#Data],6)=0,"-",VLOOKUP($B65,casostestes[#Data],6)),"-")</f>
        <v>-</v>
      </c>
      <c r="I65" s="50" t="str">
        <f>IFERROR(IF(VLOOKUP($B65,casostestes[#Data],8)=0,"-",VLOOKUP($B65,casostestes[#Data],8)),"-")</f>
        <v>-</v>
      </c>
      <c r="J65" s="50" t="str">
        <f>IFERROR(IF(VLOOKUP($B65,casostestes[#Data],9)=0,"-",VLOOKUP($B65,casostestes[#Data],9)),"-")</f>
        <v>-</v>
      </c>
      <c r="K65" s="51"/>
      <c r="L65" s="57"/>
      <c r="M65" s="53"/>
      <c r="N65" s="54"/>
      <c r="O65" s="54"/>
      <c r="P65" s="55"/>
    </row>
    <row r="66" spans="2:16">
      <c r="B66" s="56" t="str">
        <f>IF(ISERR(casostestes[[#This Row],[ID]]),"-",casostestes[[#This Row],[ID]])</f>
        <v>-</v>
      </c>
      <c r="C66" s="49" t="str">
        <f>IFERROR(IF(VLOOKUP($B66,casostestes[#Data],10)=0,"Não",VLOOKUP($B66,casostestes[#Data],10)), "-")</f>
        <v>-</v>
      </c>
      <c r="D66" s="50" t="str">
        <f>IFERROR(IF(VLOOKUP($B66,casostestes[#Data],2)=0,"-",VLOOKUP($B66,casostestes[#Data],2)), "-")</f>
        <v>-</v>
      </c>
      <c r="E66" s="50" t="str">
        <f>IFERROR(IF(VLOOKUP($B66,casostestes[#Data],3)=0,"-",VLOOKUP($B66,casostestes[#Data],3)), "-")</f>
        <v>-</v>
      </c>
      <c r="F66" s="50" t="str">
        <f>IFERROR(IF(VLOOKUP($B66,casostestes[#Data],4)=0,"-",VLOOKUP($B66,casostestes[#Data],4)),"-")</f>
        <v>-</v>
      </c>
      <c r="G66" s="50" t="str">
        <f>IFERROR(IF(VLOOKUP($B66,casostestes[#Data],5)=0,"-",VLOOKUP($B66,casostestes[#Data],5)),"-")</f>
        <v>-</v>
      </c>
      <c r="H66" s="50" t="str">
        <f>IFERROR(IF(VLOOKUP($B66,casostestes[#Data],6)=0,"-",VLOOKUP($B66,casostestes[#Data],6)),"-")</f>
        <v>-</v>
      </c>
      <c r="I66" s="50" t="str">
        <f>IFERROR(IF(VLOOKUP($B66,casostestes[#Data],8)=0,"-",VLOOKUP($B66,casostestes[#Data],8)),"-")</f>
        <v>-</v>
      </c>
      <c r="J66" s="50" t="str">
        <f>IFERROR(IF(VLOOKUP($B66,casostestes[#Data],9)=0,"-",VLOOKUP($B66,casostestes[#Data],9)),"-")</f>
        <v>-</v>
      </c>
      <c r="K66" s="51"/>
      <c r="L66" s="57"/>
      <c r="M66" s="53"/>
      <c r="N66" s="54"/>
      <c r="O66" s="54"/>
      <c r="P66" s="55"/>
    </row>
    <row r="67" spans="2:16">
      <c r="B67" s="56" t="str">
        <f>IF(ISERR(casostestes[[#This Row],[ID]]),"-",casostestes[[#This Row],[ID]])</f>
        <v>-</v>
      </c>
      <c r="C67" s="49" t="str">
        <f>IFERROR(IF(VLOOKUP($B67,casostestes[#Data],10)=0,"Não",VLOOKUP($B67,casostestes[#Data],10)), "-")</f>
        <v>-</v>
      </c>
      <c r="D67" s="50" t="str">
        <f>IFERROR(IF(VLOOKUP($B67,casostestes[#Data],2)=0,"-",VLOOKUP($B67,casostestes[#Data],2)), "-")</f>
        <v>-</v>
      </c>
      <c r="E67" s="50" t="str">
        <f>IFERROR(IF(VLOOKUP($B67,casostestes[#Data],3)=0,"-",VLOOKUP($B67,casostestes[#Data],3)), "-")</f>
        <v>-</v>
      </c>
      <c r="F67" s="50" t="str">
        <f>IFERROR(IF(VLOOKUP($B67,casostestes[#Data],4)=0,"-",VLOOKUP($B67,casostestes[#Data],4)),"-")</f>
        <v>-</v>
      </c>
      <c r="G67" s="50" t="str">
        <f>IFERROR(IF(VLOOKUP($B67,casostestes[#Data],5)=0,"-",VLOOKUP($B67,casostestes[#Data],5)),"-")</f>
        <v>-</v>
      </c>
      <c r="H67" s="50" t="str">
        <f>IFERROR(IF(VLOOKUP($B67,casostestes[#Data],6)=0,"-",VLOOKUP($B67,casostestes[#Data],6)),"-")</f>
        <v>-</v>
      </c>
      <c r="I67" s="50" t="str">
        <f>IFERROR(IF(VLOOKUP($B67,casostestes[#Data],8)=0,"-",VLOOKUP($B67,casostestes[#Data],8)),"-")</f>
        <v>-</v>
      </c>
      <c r="J67" s="50" t="str">
        <f>IFERROR(IF(VLOOKUP($B67,casostestes[#Data],9)=0,"-",VLOOKUP($B67,casostestes[#Data],9)),"-")</f>
        <v>-</v>
      </c>
      <c r="K67" s="51"/>
      <c r="L67" s="57"/>
      <c r="M67" s="53"/>
      <c r="N67" s="54"/>
      <c r="O67" s="54"/>
      <c r="P67" s="55"/>
    </row>
    <row r="68" spans="2:16">
      <c r="B68" s="56" t="str">
        <f>IF(ISERR(casostestes[[#This Row],[ID]]),"-",casostestes[[#This Row],[ID]])</f>
        <v>-</v>
      </c>
      <c r="C68" s="49" t="str">
        <f>IFERROR(IF(VLOOKUP($B68,casostestes[#Data],10)=0,"Não",VLOOKUP($B68,casostestes[#Data],10)), "-")</f>
        <v>-</v>
      </c>
      <c r="D68" s="50" t="str">
        <f>IFERROR(IF(VLOOKUP($B68,casostestes[#Data],2)=0,"-",VLOOKUP($B68,casostestes[#Data],2)), "-")</f>
        <v>-</v>
      </c>
      <c r="E68" s="50" t="str">
        <f>IFERROR(IF(VLOOKUP($B68,casostestes[#Data],3)=0,"-",VLOOKUP($B68,casostestes[#Data],3)), "-")</f>
        <v>-</v>
      </c>
      <c r="F68" s="50" t="str">
        <f>IFERROR(IF(VLOOKUP($B68,casostestes[#Data],4)=0,"-",VLOOKUP($B68,casostestes[#Data],4)),"-")</f>
        <v>-</v>
      </c>
      <c r="G68" s="50" t="str">
        <f>IFERROR(IF(VLOOKUP($B68,casostestes[#Data],5)=0,"-",VLOOKUP($B68,casostestes[#Data],5)),"-")</f>
        <v>-</v>
      </c>
      <c r="H68" s="50" t="str">
        <f>IFERROR(IF(VLOOKUP($B68,casostestes[#Data],6)=0,"-",VLOOKUP($B68,casostestes[#Data],6)),"-")</f>
        <v>-</v>
      </c>
      <c r="I68" s="50" t="str">
        <f>IFERROR(IF(VLOOKUP($B68,casostestes[#Data],8)=0,"-",VLOOKUP($B68,casostestes[#Data],8)),"-")</f>
        <v>-</v>
      </c>
      <c r="J68" s="50" t="str">
        <f>IFERROR(IF(VLOOKUP($B68,casostestes[#Data],9)=0,"-",VLOOKUP($B68,casostestes[#Data],9)),"-")</f>
        <v>-</v>
      </c>
      <c r="K68" s="51"/>
      <c r="L68" s="57"/>
      <c r="M68" s="53"/>
      <c r="N68" s="54"/>
      <c r="O68" s="54"/>
      <c r="P68" s="55"/>
    </row>
    <row r="69" spans="2:16">
      <c r="B69" s="56" t="str">
        <f>IF(ISERR(casostestes[[#This Row],[ID]]),"-",casostestes[[#This Row],[ID]])</f>
        <v>-</v>
      </c>
      <c r="C69" s="49" t="str">
        <f>IFERROR(IF(VLOOKUP($B69,casostestes[#Data],10)=0,"Não",VLOOKUP($B69,casostestes[#Data],10)), "-")</f>
        <v>-</v>
      </c>
      <c r="D69" s="50" t="str">
        <f>IFERROR(IF(VLOOKUP($B69,casostestes[#Data],2)=0,"-",VLOOKUP($B69,casostestes[#Data],2)), "-")</f>
        <v>-</v>
      </c>
      <c r="E69" s="50" t="str">
        <f>IFERROR(IF(VLOOKUP($B69,casostestes[#Data],3)=0,"-",VLOOKUP($B69,casostestes[#Data],3)), "-")</f>
        <v>-</v>
      </c>
      <c r="F69" s="50" t="str">
        <f>IFERROR(IF(VLOOKUP($B69,casostestes[#Data],4)=0,"-",VLOOKUP($B69,casostestes[#Data],4)),"-")</f>
        <v>-</v>
      </c>
      <c r="G69" s="50" t="str">
        <f>IFERROR(IF(VLOOKUP($B69,casostestes[#Data],5)=0,"-",VLOOKUP($B69,casostestes[#Data],5)),"-")</f>
        <v>-</v>
      </c>
      <c r="H69" s="50" t="str">
        <f>IFERROR(IF(VLOOKUP($B69,casostestes[#Data],6)=0,"-",VLOOKUP($B69,casostestes[#Data],6)),"-")</f>
        <v>-</v>
      </c>
      <c r="I69" s="50" t="str">
        <f>IFERROR(IF(VLOOKUP($B69,casostestes[#Data],8)=0,"-",VLOOKUP($B69,casostestes[#Data],8)),"-")</f>
        <v>-</v>
      </c>
      <c r="J69" s="50" t="str">
        <f>IFERROR(IF(VLOOKUP($B69,casostestes[#Data],9)=0,"-",VLOOKUP($B69,casostestes[#Data],9)),"-")</f>
        <v>-</v>
      </c>
      <c r="K69" s="51"/>
      <c r="L69" s="57"/>
      <c r="M69" s="53"/>
      <c r="N69" s="54"/>
      <c r="O69" s="54"/>
      <c r="P69" s="55"/>
    </row>
    <row r="70" spans="2:16">
      <c r="B70" s="56" t="str">
        <f>IF(ISERR(casostestes[[#This Row],[ID]]),"-",casostestes[[#This Row],[ID]])</f>
        <v>-</v>
      </c>
      <c r="C70" s="49" t="str">
        <f>IFERROR(IF(VLOOKUP($B70,casostestes[#Data],10)=0,"Não",VLOOKUP($B70,casostestes[#Data],10)), "-")</f>
        <v>-</v>
      </c>
      <c r="D70" s="50" t="str">
        <f>IFERROR(IF(VLOOKUP($B70,casostestes[#Data],2)=0,"-",VLOOKUP($B70,casostestes[#Data],2)), "-")</f>
        <v>-</v>
      </c>
      <c r="E70" s="50" t="str">
        <f>IFERROR(IF(VLOOKUP($B70,casostestes[#Data],3)=0,"-",VLOOKUP($B70,casostestes[#Data],3)), "-")</f>
        <v>-</v>
      </c>
      <c r="F70" s="50" t="str">
        <f>IFERROR(IF(VLOOKUP($B70,casostestes[#Data],4)=0,"-",VLOOKUP($B70,casostestes[#Data],4)),"-")</f>
        <v>-</v>
      </c>
      <c r="G70" s="50" t="str">
        <f>IFERROR(IF(VLOOKUP($B70,casostestes[#Data],5)=0,"-",VLOOKUP($B70,casostestes[#Data],5)),"-")</f>
        <v>-</v>
      </c>
      <c r="H70" s="50" t="str">
        <f>IFERROR(IF(VLOOKUP($B70,casostestes[#Data],6)=0,"-",VLOOKUP($B70,casostestes[#Data],6)),"-")</f>
        <v>-</v>
      </c>
      <c r="I70" s="50" t="str">
        <f>IFERROR(IF(VLOOKUP($B70,casostestes[#Data],8)=0,"-",VLOOKUP($B70,casostestes[#Data],8)),"-")</f>
        <v>-</v>
      </c>
      <c r="J70" s="50" t="str">
        <f>IFERROR(IF(VLOOKUP($B70,casostestes[#Data],9)=0,"-",VLOOKUP($B70,casostestes[#Data],9)),"-")</f>
        <v>-</v>
      </c>
      <c r="K70" s="51"/>
      <c r="L70" s="57"/>
      <c r="M70" s="53"/>
      <c r="N70" s="54"/>
      <c r="O70" s="54"/>
      <c r="P70" s="55"/>
    </row>
    <row r="71" spans="2:16">
      <c r="B71" s="56" t="str">
        <f>IF(ISERR(casostestes[[#This Row],[ID]]),"-",casostestes[[#This Row],[ID]])</f>
        <v>-</v>
      </c>
      <c r="C71" s="49" t="str">
        <f>IFERROR(IF(VLOOKUP($B71,casostestes[#Data],10)=0,"Não",VLOOKUP($B71,casostestes[#Data],10)), "-")</f>
        <v>-</v>
      </c>
      <c r="D71" s="50" t="str">
        <f>IFERROR(IF(VLOOKUP($B71,casostestes[#Data],2)=0,"-",VLOOKUP($B71,casostestes[#Data],2)), "-")</f>
        <v>-</v>
      </c>
      <c r="E71" s="50" t="str">
        <f>IFERROR(IF(VLOOKUP($B71,casostestes[#Data],3)=0,"-",VLOOKUP($B71,casostestes[#Data],3)), "-")</f>
        <v>-</v>
      </c>
      <c r="F71" s="50" t="str">
        <f>IFERROR(IF(VLOOKUP($B71,casostestes[#Data],4)=0,"-",VLOOKUP($B71,casostestes[#Data],4)),"-")</f>
        <v>-</v>
      </c>
      <c r="G71" s="50" t="str">
        <f>IFERROR(IF(VLOOKUP($B71,casostestes[#Data],5)=0,"-",VLOOKUP($B71,casostestes[#Data],5)),"-")</f>
        <v>-</v>
      </c>
      <c r="H71" s="50" t="str">
        <f>IFERROR(IF(VLOOKUP($B71,casostestes[#Data],6)=0,"-",VLOOKUP($B71,casostestes[#Data],6)),"-")</f>
        <v>-</v>
      </c>
      <c r="I71" s="50" t="str">
        <f>IFERROR(IF(VLOOKUP($B71,casostestes[#Data],8)=0,"-",VLOOKUP($B71,casostestes[#Data],8)),"-")</f>
        <v>-</v>
      </c>
      <c r="J71" s="50" t="str">
        <f>IFERROR(IF(VLOOKUP($B71,casostestes[#Data],9)=0,"-",VLOOKUP($B71,casostestes[#Data],9)),"-")</f>
        <v>-</v>
      </c>
      <c r="K71" s="51"/>
      <c r="L71" s="57"/>
      <c r="M71" s="53"/>
      <c r="N71" s="54"/>
      <c r="O71" s="54"/>
      <c r="P71" s="55"/>
    </row>
    <row r="72" spans="2:16">
      <c r="B72" s="56" t="str">
        <f>IF(ISERR(casostestes[[#This Row],[ID]]),"-",casostestes[[#This Row],[ID]])</f>
        <v>-</v>
      </c>
      <c r="C72" s="49" t="str">
        <f>IFERROR(IF(VLOOKUP($B72,casostestes[#Data],10)=0,"Não",VLOOKUP($B72,casostestes[#Data],10)), "-")</f>
        <v>-</v>
      </c>
      <c r="D72" s="50" t="str">
        <f>IFERROR(IF(VLOOKUP($B72,casostestes[#Data],2)=0,"-",VLOOKUP($B72,casostestes[#Data],2)), "-")</f>
        <v>-</v>
      </c>
      <c r="E72" s="50" t="str">
        <f>IFERROR(IF(VLOOKUP($B72,casostestes[#Data],3)=0,"-",VLOOKUP($B72,casostestes[#Data],3)), "-")</f>
        <v>-</v>
      </c>
      <c r="F72" s="50" t="str">
        <f>IFERROR(IF(VLOOKUP($B72,casostestes[#Data],4)=0,"-",VLOOKUP($B72,casostestes[#Data],4)),"-")</f>
        <v>-</v>
      </c>
      <c r="G72" s="50" t="str">
        <f>IFERROR(IF(VLOOKUP($B72,casostestes[#Data],5)=0,"-",VLOOKUP($B72,casostestes[#Data],5)),"-")</f>
        <v>-</v>
      </c>
      <c r="H72" s="50" t="str">
        <f>IFERROR(IF(VLOOKUP($B72,casostestes[#Data],6)=0,"-",VLOOKUP($B72,casostestes[#Data],6)),"-")</f>
        <v>-</v>
      </c>
      <c r="I72" s="50" t="str">
        <f>IFERROR(IF(VLOOKUP($B72,casostestes[#Data],8)=0,"-",VLOOKUP($B72,casostestes[#Data],8)),"-")</f>
        <v>-</v>
      </c>
      <c r="J72" s="50" t="str">
        <f>IFERROR(IF(VLOOKUP($B72,casostestes[#Data],9)=0,"-",VLOOKUP($B72,casostestes[#Data],9)),"-")</f>
        <v>-</v>
      </c>
      <c r="K72" s="51"/>
      <c r="L72" s="57"/>
      <c r="M72" s="53"/>
      <c r="N72" s="54"/>
      <c r="O72" s="54"/>
      <c r="P72" s="55"/>
    </row>
    <row r="73" spans="2:16">
      <c r="B73" s="56" t="str">
        <f>IF(ISERR(casostestes[[#This Row],[ID]]),"-",casostestes[[#This Row],[ID]])</f>
        <v>-</v>
      </c>
      <c r="C73" s="49" t="str">
        <f>IFERROR(IF(VLOOKUP($B73,casostestes[#Data],10)=0,"Não",VLOOKUP($B73,casostestes[#Data],10)), "-")</f>
        <v>-</v>
      </c>
      <c r="D73" s="50" t="str">
        <f>IFERROR(IF(VLOOKUP($B73,casostestes[#Data],2)=0,"-",VLOOKUP($B73,casostestes[#Data],2)), "-")</f>
        <v>-</v>
      </c>
      <c r="E73" s="50" t="str">
        <f>IFERROR(IF(VLOOKUP($B73,casostestes[#Data],3)=0,"-",VLOOKUP($B73,casostestes[#Data],3)), "-")</f>
        <v>-</v>
      </c>
      <c r="F73" s="50" t="str">
        <f>IFERROR(IF(VLOOKUP($B73,casostestes[#Data],4)=0,"-",VLOOKUP($B73,casostestes[#Data],4)),"-")</f>
        <v>-</v>
      </c>
      <c r="G73" s="50" t="str">
        <f>IFERROR(IF(VLOOKUP($B73,casostestes[#Data],5)=0,"-",VLOOKUP($B73,casostestes[#Data],5)),"-")</f>
        <v>-</v>
      </c>
      <c r="H73" s="50" t="str">
        <f>IFERROR(IF(VLOOKUP($B73,casostestes[#Data],6)=0,"-",VLOOKUP($B73,casostestes[#Data],6)),"-")</f>
        <v>-</v>
      </c>
      <c r="I73" s="50" t="str">
        <f>IFERROR(IF(VLOOKUP($B73,casostestes[#Data],8)=0,"-",VLOOKUP($B73,casostestes[#Data],8)),"-")</f>
        <v>-</v>
      </c>
      <c r="J73" s="50" t="str">
        <f>IFERROR(IF(VLOOKUP($B73,casostestes[#Data],9)=0,"-",VLOOKUP($B73,casostestes[#Data],9)),"-")</f>
        <v>-</v>
      </c>
      <c r="K73" s="51"/>
      <c r="L73" s="57"/>
      <c r="M73" s="53"/>
      <c r="N73" s="54"/>
      <c r="O73" s="54"/>
      <c r="P73" s="55"/>
    </row>
    <row r="74" spans="2:16">
      <c r="B74" s="56" t="str">
        <f>IF(ISERR(casostestes[[#This Row],[ID]]),"-",casostestes[[#This Row],[ID]])</f>
        <v>-</v>
      </c>
      <c r="C74" s="49" t="str">
        <f>IFERROR(IF(VLOOKUP($B74,casostestes[#Data],10)=0,"Não",VLOOKUP($B74,casostestes[#Data],10)), "-")</f>
        <v>-</v>
      </c>
      <c r="D74" s="50" t="str">
        <f>IFERROR(IF(VLOOKUP($B74,casostestes[#Data],2)=0,"-",VLOOKUP($B74,casostestes[#Data],2)), "-")</f>
        <v>-</v>
      </c>
      <c r="E74" s="50" t="str">
        <f>IFERROR(IF(VLOOKUP($B74,casostestes[#Data],3)=0,"-",VLOOKUP($B74,casostestes[#Data],3)), "-")</f>
        <v>-</v>
      </c>
      <c r="F74" s="50" t="str">
        <f>IFERROR(IF(VLOOKUP($B74,casostestes[#Data],4)=0,"-",VLOOKUP($B74,casostestes[#Data],4)),"-")</f>
        <v>-</v>
      </c>
      <c r="G74" s="50" t="str">
        <f>IFERROR(IF(VLOOKUP($B74,casostestes[#Data],5)=0,"-",VLOOKUP($B74,casostestes[#Data],5)),"-")</f>
        <v>-</v>
      </c>
      <c r="H74" s="50" t="str">
        <f>IFERROR(IF(VLOOKUP($B74,casostestes[#Data],6)=0,"-",VLOOKUP($B74,casostestes[#Data],6)),"-")</f>
        <v>-</v>
      </c>
      <c r="I74" s="50" t="str">
        <f>IFERROR(IF(VLOOKUP($B74,casostestes[#Data],8)=0,"-",VLOOKUP($B74,casostestes[#Data],8)),"-")</f>
        <v>-</v>
      </c>
      <c r="J74" s="50" t="str">
        <f>IFERROR(IF(VLOOKUP($B74,casostestes[#Data],9)=0,"-",VLOOKUP($B74,casostestes[#Data],9)),"-")</f>
        <v>-</v>
      </c>
      <c r="K74" s="51"/>
      <c r="L74" s="57"/>
      <c r="M74" s="53"/>
      <c r="N74" s="54"/>
      <c r="O74" s="54"/>
      <c r="P74" s="55"/>
    </row>
    <row r="75" spans="2:16">
      <c r="B75" s="56" t="str">
        <f>IF(ISERR(casostestes[[#This Row],[ID]]),"-",casostestes[[#This Row],[ID]])</f>
        <v>-</v>
      </c>
      <c r="C75" s="49" t="str">
        <f>IFERROR(IF(VLOOKUP($B75,casostestes[#Data],10)=0,"Não",VLOOKUP($B75,casostestes[#Data],10)), "-")</f>
        <v>-</v>
      </c>
      <c r="D75" s="50" t="str">
        <f>IFERROR(IF(VLOOKUP($B75,casostestes[#Data],2)=0,"-",VLOOKUP($B75,casostestes[#Data],2)), "-")</f>
        <v>-</v>
      </c>
      <c r="E75" s="50" t="str">
        <f>IFERROR(IF(VLOOKUP($B75,casostestes[#Data],3)=0,"-",VLOOKUP($B75,casostestes[#Data],3)), "-")</f>
        <v>-</v>
      </c>
      <c r="F75" s="50" t="str">
        <f>IFERROR(IF(VLOOKUP($B75,casostestes[#Data],4)=0,"-",VLOOKUP($B75,casostestes[#Data],4)),"-")</f>
        <v>-</v>
      </c>
      <c r="G75" s="50" t="str">
        <f>IFERROR(IF(VLOOKUP($B75,casostestes[#Data],5)=0,"-",VLOOKUP($B75,casostestes[#Data],5)),"-")</f>
        <v>-</v>
      </c>
      <c r="H75" s="50" t="str">
        <f>IFERROR(IF(VLOOKUP($B75,casostestes[#Data],6)=0,"-",VLOOKUP($B75,casostestes[#Data],6)),"-")</f>
        <v>-</v>
      </c>
      <c r="I75" s="50" t="str">
        <f>IFERROR(IF(VLOOKUP($B75,casostestes[#Data],8)=0,"-",VLOOKUP($B75,casostestes[#Data],8)),"-")</f>
        <v>-</v>
      </c>
      <c r="J75" s="50" t="str">
        <f>IFERROR(IF(VLOOKUP($B75,casostestes[#Data],9)=0,"-",VLOOKUP($B75,casostestes[#Data],9)),"-")</f>
        <v>-</v>
      </c>
      <c r="K75" s="51"/>
      <c r="L75" s="57"/>
      <c r="M75" s="53"/>
      <c r="N75" s="54"/>
      <c r="O75" s="54"/>
      <c r="P75" s="55"/>
    </row>
    <row r="76" spans="2:16">
      <c r="B76" s="56" t="str">
        <f>IF(ISERR(casostestes[[#This Row],[ID]]),"-",casostestes[[#This Row],[ID]])</f>
        <v>-</v>
      </c>
      <c r="C76" s="49" t="str">
        <f>IFERROR(IF(VLOOKUP($B76,casostestes[#Data],10)=0,"Não",VLOOKUP($B76,casostestes[#Data],10)), "-")</f>
        <v>-</v>
      </c>
      <c r="D76" s="50" t="str">
        <f>IFERROR(IF(VLOOKUP($B76,casostestes[#Data],2)=0,"-",VLOOKUP($B76,casostestes[#Data],2)), "-")</f>
        <v>-</v>
      </c>
      <c r="E76" s="50" t="str">
        <f>IFERROR(IF(VLOOKUP($B76,casostestes[#Data],3)=0,"-",VLOOKUP($B76,casostestes[#Data],3)), "-")</f>
        <v>-</v>
      </c>
      <c r="F76" s="50" t="str">
        <f>IFERROR(IF(VLOOKUP($B76,casostestes[#Data],4)=0,"-",VLOOKUP($B76,casostestes[#Data],4)),"-")</f>
        <v>-</v>
      </c>
      <c r="G76" s="50" t="str">
        <f>IFERROR(IF(VLOOKUP($B76,casostestes[#Data],5)=0,"-",VLOOKUP($B76,casostestes[#Data],5)),"-")</f>
        <v>-</v>
      </c>
      <c r="H76" s="50" t="str">
        <f>IFERROR(IF(VLOOKUP($B76,casostestes[#Data],6)=0,"-",VLOOKUP($B76,casostestes[#Data],6)),"-")</f>
        <v>-</v>
      </c>
      <c r="I76" s="50" t="str">
        <f>IFERROR(IF(VLOOKUP($B76,casostestes[#Data],8)=0,"-",VLOOKUP($B76,casostestes[#Data],8)),"-")</f>
        <v>-</v>
      </c>
      <c r="J76" s="50" t="str">
        <f>IFERROR(IF(VLOOKUP($B76,casostestes[#Data],9)=0,"-",VLOOKUP($B76,casostestes[#Data],9)),"-")</f>
        <v>-</v>
      </c>
      <c r="K76" s="51"/>
      <c r="L76" s="57"/>
      <c r="M76" s="53"/>
      <c r="N76" s="54"/>
      <c r="O76" s="54"/>
      <c r="P76" s="55"/>
    </row>
    <row r="77" spans="2:16">
      <c r="B77" s="56" t="str">
        <f>IF(ISERR(casostestes[[#This Row],[ID]]),"-",casostestes[[#This Row],[ID]])</f>
        <v>-</v>
      </c>
      <c r="C77" s="49" t="str">
        <f>IFERROR(IF(VLOOKUP($B77,casostestes[#Data],10)=0,"Não",VLOOKUP($B77,casostestes[#Data],10)), "-")</f>
        <v>-</v>
      </c>
      <c r="D77" s="50" t="str">
        <f>IFERROR(IF(VLOOKUP($B77,casostestes[#Data],2)=0,"-",VLOOKUP($B77,casostestes[#Data],2)), "-")</f>
        <v>-</v>
      </c>
      <c r="E77" s="50" t="str">
        <f>IFERROR(IF(VLOOKUP($B77,casostestes[#Data],3)=0,"-",VLOOKUP($B77,casostestes[#Data],3)), "-")</f>
        <v>-</v>
      </c>
      <c r="F77" s="50" t="str">
        <f>IFERROR(IF(VLOOKUP($B77,casostestes[#Data],4)=0,"-",VLOOKUP($B77,casostestes[#Data],4)),"-")</f>
        <v>-</v>
      </c>
      <c r="G77" s="50" t="str">
        <f>IFERROR(IF(VLOOKUP($B77,casostestes[#Data],5)=0,"-",VLOOKUP($B77,casostestes[#Data],5)),"-")</f>
        <v>-</v>
      </c>
      <c r="H77" s="50" t="str">
        <f>IFERROR(IF(VLOOKUP($B77,casostestes[#Data],6)=0,"-",VLOOKUP($B77,casostestes[#Data],6)),"-")</f>
        <v>-</v>
      </c>
      <c r="I77" s="50" t="str">
        <f>IFERROR(IF(VLOOKUP($B77,casostestes[#Data],8)=0,"-",VLOOKUP($B77,casostestes[#Data],8)),"-")</f>
        <v>-</v>
      </c>
      <c r="J77" s="50" t="str">
        <f>IFERROR(IF(VLOOKUP($B77,casostestes[#Data],9)=0,"-",VLOOKUP($B77,casostestes[#Data],9)),"-")</f>
        <v>-</v>
      </c>
      <c r="K77" s="51"/>
      <c r="L77" s="57"/>
      <c r="M77" s="53"/>
      <c r="N77" s="54"/>
      <c r="O77" s="54"/>
      <c r="P77" s="55"/>
    </row>
    <row r="78" spans="2:16">
      <c r="B78" s="56" t="str">
        <f>IF(ISERR(casostestes[[#This Row],[ID]]),"-",casostestes[[#This Row],[ID]])</f>
        <v>-</v>
      </c>
      <c r="C78" s="49" t="str">
        <f>IFERROR(IF(VLOOKUP($B78,casostestes[#Data],10)=0,"Não",VLOOKUP($B78,casostestes[#Data],10)), "-")</f>
        <v>-</v>
      </c>
      <c r="D78" s="50" t="str">
        <f>IFERROR(IF(VLOOKUP($B78,casostestes[#Data],2)=0,"-",VLOOKUP($B78,casostestes[#Data],2)), "-")</f>
        <v>-</v>
      </c>
      <c r="E78" s="50" t="str">
        <f>IFERROR(IF(VLOOKUP($B78,casostestes[#Data],3)=0,"-",VLOOKUP($B78,casostestes[#Data],3)), "-")</f>
        <v>-</v>
      </c>
      <c r="F78" s="50" t="str">
        <f>IFERROR(IF(VLOOKUP($B78,casostestes[#Data],4)=0,"-",VLOOKUP($B78,casostestes[#Data],4)),"-")</f>
        <v>-</v>
      </c>
      <c r="G78" s="50" t="str">
        <f>IFERROR(IF(VLOOKUP($B78,casostestes[#Data],5)=0,"-",VLOOKUP($B78,casostestes[#Data],5)),"-")</f>
        <v>-</v>
      </c>
      <c r="H78" s="50" t="str">
        <f>IFERROR(IF(VLOOKUP($B78,casostestes[#Data],6)=0,"-",VLOOKUP($B78,casostestes[#Data],6)),"-")</f>
        <v>-</v>
      </c>
      <c r="I78" s="50" t="str">
        <f>IFERROR(IF(VLOOKUP($B78,casostestes[#Data],8)=0,"-",VLOOKUP($B78,casostestes[#Data],8)),"-")</f>
        <v>-</v>
      </c>
      <c r="J78" s="50" t="str">
        <f>IFERROR(IF(VLOOKUP($B78,casostestes[#Data],9)=0,"-",VLOOKUP($B78,casostestes[#Data],9)),"-")</f>
        <v>-</v>
      </c>
      <c r="K78" s="51"/>
      <c r="L78" s="57"/>
      <c r="M78" s="53"/>
      <c r="N78" s="54"/>
      <c r="O78" s="54"/>
      <c r="P78" s="55"/>
    </row>
    <row r="79" spans="2:16">
      <c r="B79" s="56" t="str">
        <f>IF(ISERR(casostestes[[#This Row],[ID]]),"-",casostestes[[#This Row],[ID]])</f>
        <v>-</v>
      </c>
      <c r="C79" s="49" t="str">
        <f>IFERROR(IF(VLOOKUP($B79,casostestes[#Data],10)=0,"Não",VLOOKUP($B79,casostestes[#Data],10)), "-")</f>
        <v>-</v>
      </c>
      <c r="D79" s="50" t="str">
        <f>IFERROR(IF(VLOOKUP($B79,casostestes[#Data],2)=0,"-",VLOOKUP($B79,casostestes[#Data],2)), "-")</f>
        <v>-</v>
      </c>
      <c r="E79" s="50" t="str">
        <f>IFERROR(IF(VLOOKUP($B79,casostestes[#Data],3)=0,"-",VLOOKUP($B79,casostestes[#Data],3)), "-")</f>
        <v>-</v>
      </c>
      <c r="F79" s="50" t="str">
        <f>IFERROR(IF(VLOOKUP($B79,casostestes[#Data],4)=0,"-",VLOOKUP($B79,casostestes[#Data],4)),"-")</f>
        <v>-</v>
      </c>
      <c r="G79" s="50" t="str">
        <f>IFERROR(IF(VLOOKUP($B79,casostestes[#Data],5)=0,"-",VLOOKUP($B79,casostestes[#Data],5)),"-")</f>
        <v>-</v>
      </c>
      <c r="H79" s="50" t="str">
        <f>IFERROR(IF(VLOOKUP($B79,casostestes[#Data],6)=0,"-",VLOOKUP($B79,casostestes[#Data],6)),"-")</f>
        <v>-</v>
      </c>
      <c r="I79" s="50" t="str">
        <f>IFERROR(IF(VLOOKUP($B79,casostestes[#Data],8)=0,"-",VLOOKUP($B79,casostestes[#Data],8)),"-")</f>
        <v>-</v>
      </c>
      <c r="J79" s="50" t="str">
        <f>IFERROR(IF(VLOOKUP($B79,casostestes[#Data],9)=0,"-",VLOOKUP($B79,casostestes[#Data],9)),"-")</f>
        <v>-</v>
      </c>
      <c r="K79" s="51"/>
      <c r="L79" s="57"/>
      <c r="M79" s="53"/>
      <c r="N79" s="54"/>
      <c r="O79" s="54"/>
      <c r="P79" s="55"/>
    </row>
    <row r="80" spans="2:16">
      <c r="B80" s="56" t="str">
        <f>IF(ISERR(casostestes[[#This Row],[ID]]),"-",casostestes[[#This Row],[ID]])</f>
        <v>-</v>
      </c>
      <c r="C80" s="49" t="str">
        <f>IFERROR(IF(VLOOKUP($B80,casostestes[#Data],10)=0,"Não",VLOOKUP($B80,casostestes[#Data],10)), "-")</f>
        <v>-</v>
      </c>
      <c r="D80" s="50" t="str">
        <f>IFERROR(IF(VLOOKUP($B80,casostestes[#Data],2)=0,"-",VLOOKUP($B80,casostestes[#Data],2)), "-")</f>
        <v>-</v>
      </c>
      <c r="E80" s="50" t="str">
        <f>IFERROR(IF(VLOOKUP($B80,casostestes[#Data],3)=0,"-",VLOOKUP($B80,casostestes[#Data],3)), "-")</f>
        <v>-</v>
      </c>
      <c r="F80" s="50" t="str">
        <f>IFERROR(IF(VLOOKUP($B80,casostestes[#Data],4)=0,"-",VLOOKUP($B80,casostestes[#Data],4)),"-")</f>
        <v>-</v>
      </c>
      <c r="G80" s="50" t="str">
        <f>IFERROR(IF(VLOOKUP($B80,casostestes[#Data],5)=0,"-",VLOOKUP($B80,casostestes[#Data],5)),"-")</f>
        <v>-</v>
      </c>
      <c r="H80" s="50" t="str">
        <f>IFERROR(IF(VLOOKUP($B80,casostestes[#Data],6)=0,"-",VLOOKUP($B80,casostestes[#Data],6)),"-")</f>
        <v>-</v>
      </c>
      <c r="I80" s="50" t="str">
        <f>IFERROR(IF(VLOOKUP($B80,casostestes[#Data],8)=0,"-",VLOOKUP($B80,casostestes[#Data],8)),"-")</f>
        <v>-</v>
      </c>
      <c r="J80" s="50" t="str">
        <f>IFERROR(IF(VLOOKUP($B80,casostestes[#Data],9)=0,"-",VLOOKUP($B80,casostestes[#Data],9)),"-")</f>
        <v>-</v>
      </c>
      <c r="K80" s="51"/>
      <c r="L80" s="57"/>
      <c r="M80" s="53"/>
      <c r="N80" s="54"/>
      <c r="O80" s="54"/>
      <c r="P80" s="55"/>
    </row>
    <row r="81" spans="2:16">
      <c r="B81" s="56" t="str">
        <f>IF(ISERR(casostestes[[#This Row],[ID]]),"-",casostestes[[#This Row],[ID]])</f>
        <v>-</v>
      </c>
      <c r="C81" s="49" t="str">
        <f>IFERROR(IF(VLOOKUP($B81,casostestes[#Data],10)=0,"Não",VLOOKUP($B81,casostestes[#Data],10)), "-")</f>
        <v>-</v>
      </c>
      <c r="D81" s="50" t="str">
        <f>IFERROR(IF(VLOOKUP($B81,casostestes[#Data],2)=0,"-",VLOOKUP($B81,casostestes[#Data],2)), "-")</f>
        <v>-</v>
      </c>
      <c r="E81" s="50" t="str">
        <f>IFERROR(IF(VLOOKUP($B81,casostestes[#Data],3)=0,"-",VLOOKUP($B81,casostestes[#Data],3)), "-")</f>
        <v>-</v>
      </c>
      <c r="F81" s="50" t="str">
        <f>IFERROR(IF(VLOOKUP($B81,casostestes[#Data],4)=0,"-",VLOOKUP($B81,casostestes[#Data],4)),"-")</f>
        <v>-</v>
      </c>
      <c r="G81" s="50" t="str">
        <f>IFERROR(IF(VLOOKUP($B81,casostestes[#Data],5)=0,"-",VLOOKUP($B81,casostestes[#Data],5)),"-")</f>
        <v>-</v>
      </c>
      <c r="H81" s="50" t="str">
        <f>IFERROR(IF(VLOOKUP($B81,casostestes[#Data],6)=0,"-",VLOOKUP($B81,casostestes[#Data],6)),"-")</f>
        <v>-</v>
      </c>
      <c r="I81" s="50" t="str">
        <f>IFERROR(IF(VLOOKUP($B81,casostestes[#Data],8)=0,"-",VLOOKUP($B81,casostestes[#Data],8)),"-")</f>
        <v>-</v>
      </c>
      <c r="J81" s="50" t="str">
        <f>IFERROR(IF(VLOOKUP($B81,casostestes[#Data],9)=0,"-",VLOOKUP($B81,casostestes[#Data],9)),"-")</f>
        <v>-</v>
      </c>
      <c r="K81" s="51"/>
      <c r="L81" s="57"/>
      <c r="M81" s="53"/>
      <c r="N81" s="54"/>
      <c r="O81" s="54"/>
      <c r="P81" s="55"/>
    </row>
    <row r="82" spans="2:16">
      <c r="B82" s="56" t="str">
        <f>IF(ISERR(casostestes[[#This Row],[ID]]),"-",casostestes[[#This Row],[ID]])</f>
        <v>-</v>
      </c>
      <c r="C82" s="49" t="str">
        <f>IFERROR(IF(VLOOKUP($B82,casostestes[#Data],10)=0,"Não",VLOOKUP($B82,casostestes[#Data],10)), "-")</f>
        <v>-</v>
      </c>
      <c r="D82" s="50" t="str">
        <f>IFERROR(IF(VLOOKUP($B82,casostestes[#Data],2)=0,"-",VLOOKUP($B82,casostestes[#Data],2)), "-")</f>
        <v>-</v>
      </c>
      <c r="E82" s="50" t="str">
        <f>IFERROR(IF(VLOOKUP($B82,casostestes[#Data],3)=0,"-",VLOOKUP($B82,casostestes[#Data],3)), "-")</f>
        <v>-</v>
      </c>
      <c r="F82" s="50" t="str">
        <f>IFERROR(IF(VLOOKUP($B82,casostestes[#Data],4)=0,"-",VLOOKUP($B82,casostestes[#Data],4)),"-")</f>
        <v>-</v>
      </c>
      <c r="G82" s="50" t="str">
        <f>IFERROR(IF(VLOOKUP($B82,casostestes[#Data],5)=0,"-",VLOOKUP($B82,casostestes[#Data],5)),"-")</f>
        <v>-</v>
      </c>
      <c r="H82" s="50" t="str">
        <f>IFERROR(IF(VLOOKUP($B82,casostestes[#Data],6)=0,"-",VLOOKUP($B82,casostestes[#Data],6)),"-")</f>
        <v>-</v>
      </c>
      <c r="I82" s="50" t="str">
        <f>IFERROR(IF(VLOOKUP($B82,casostestes[#Data],8)=0,"-",VLOOKUP($B82,casostestes[#Data],8)),"-")</f>
        <v>-</v>
      </c>
      <c r="J82" s="50" t="str">
        <f>IFERROR(IF(VLOOKUP($B82,casostestes[#Data],9)=0,"-",VLOOKUP($B82,casostestes[#Data],9)),"-")</f>
        <v>-</v>
      </c>
      <c r="K82" s="51"/>
      <c r="L82" s="57"/>
      <c r="M82" s="53"/>
      <c r="N82" s="54"/>
      <c r="O82" s="54"/>
      <c r="P82" s="55"/>
    </row>
    <row r="83" spans="2:16">
      <c r="B83" s="56" t="str">
        <f>IF(ISERR(casostestes[[#This Row],[ID]]),"-",casostestes[[#This Row],[ID]])</f>
        <v>-</v>
      </c>
      <c r="C83" s="49" t="str">
        <f>IFERROR(IF(VLOOKUP($B83,casostestes[#Data],10)=0,"Não",VLOOKUP($B83,casostestes[#Data],10)), "-")</f>
        <v>-</v>
      </c>
      <c r="D83" s="50" t="str">
        <f>IFERROR(IF(VLOOKUP($B83,casostestes[#Data],2)=0,"-",VLOOKUP($B83,casostestes[#Data],2)), "-")</f>
        <v>-</v>
      </c>
      <c r="E83" s="50" t="str">
        <f>IFERROR(IF(VLOOKUP($B83,casostestes[#Data],3)=0,"-",VLOOKUP($B83,casostestes[#Data],3)), "-")</f>
        <v>-</v>
      </c>
      <c r="F83" s="50" t="str">
        <f>IFERROR(IF(VLOOKUP($B83,casostestes[#Data],4)=0,"-",VLOOKUP($B83,casostestes[#Data],4)),"-")</f>
        <v>-</v>
      </c>
      <c r="G83" s="50" t="str">
        <f>IFERROR(IF(VLOOKUP($B83,casostestes[#Data],5)=0,"-",VLOOKUP($B83,casostestes[#Data],5)),"-")</f>
        <v>-</v>
      </c>
      <c r="H83" s="50" t="str">
        <f>IFERROR(IF(VLOOKUP($B83,casostestes[#Data],6)=0,"-",VLOOKUP($B83,casostestes[#Data],6)),"-")</f>
        <v>-</v>
      </c>
      <c r="I83" s="50" t="str">
        <f>IFERROR(IF(VLOOKUP($B83,casostestes[#Data],8)=0,"-",VLOOKUP($B83,casostestes[#Data],8)),"-")</f>
        <v>-</v>
      </c>
      <c r="J83" s="50" t="str">
        <f>IFERROR(IF(VLOOKUP($B83,casostestes[#Data],9)=0,"-",VLOOKUP($B83,casostestes[#Data],9)),"-")</f>
        <v>-</v>
      </c>
      <c r="K83" s="51"/>
      <c r="L83" s="57"/>
      <c r="M83" s="53"/>
      <c r="N83" s="54"/>
      <c r="O83" s="54"/>
      <c r="P83" s="55"/>
    </row>
    <row r="84" spans="2:16">
      <c r="B84" s="56" t="str">
        <f>IF(ISERR(casostestes[[#This Row],[ID]]),"-",casostestes[[#This Row],[ID]])</f>
        <v>-</v>
      </c>
      <c r="C84" s="49" t="str">
        <f>IFERROR(IF(VLOOKUP($B84,casostestes[#Data],10)=0,"Não",VLOOKUP($B84,casostestes[#Data],10)), "-")</f>
        <v>-</v>
      </c>
      <c r="D84" s="50" t="str">
        <f>IFERROR(IF(VLOOKUP($B84,casostestes[#Data],2)=0,"-",VLOOKUP($B84,casostestes[#Data],2)), "-")</f>
        <v>-</v>
      </c>
      <c r="E84" s="50" t="str">
        <f>IFERROR(IF(VLOOKUP($B84,casostestes[#Data],3)=0,"-",VLOOKUP($B84,casostestes[#Data],3)), "-")</f>
        <v>-</v>
      </c>
      <c r="F84" s="50" t="str">
        <f>IFERROR(IF(VLOOKUP($B84,casostestes[#Data],4)=0,"-",VLOOKUP($B84,casostestes[#Data],4)),"-")</f>
        <v>-</v>
      </c>
      <c r="G84" s="50" t="str">
        <f>IFERROR(IF(VLOOKUP($B84,casostestes[#Data],5)=0,"-",VLOOKUP($B84,casostestes[#Data],5)),"-")</f>
        <v>-</v>
      </c>
      <c r="H84" s="50" t="str">
        <f>IFERROR(IF(VLOOKUP($B84,casostestes[#Data],6)=0,"-",VLOOKUP($B84,casostestes[#Data],6)),"-")</f>
        <v>-</v>
      </c>
      <c r="I84" s="50" t="str">
        <f>IFERROR(IF(VLOOKUP($B84,casostestes[#Data],8)=0,"-",VLOOKUP($B84,casostestes[#Data],8)),"-")</f>
        <v>-</v>
      </c>
      <c r="J84" s="50" t="str">
        <f>IFERROR(IF(VLOOKUP($B84,casostestes[#Data],9)=0,"-",VLOOKUP($B84,casostestes[#Data],9)),"-")</f>
        <v>-</v>
      </c>
      <c r="K84" s="51"/>
      <c r="L84" s="57"/>
      <c r="M84" s="53"/>
      <c r="N84" s="54"/>
      <c r="O84" s="54"/>
      <c r="P84" s="55"/>
    </row>
    <row r="85" spans="2:16">
      <c r="B85" s="56" t="str">
        <f>IF(ISERR(casostestes[[#This Row],[ID]]),"-",casostestes[[#This Row],[ID]])</f>
        <v>-</v>
      </c>
      <c r="C85" s="49" t="str">
        <f>IFERROR(IF(VLOOKUP($B85,casostestes[#Data],10)=0,"Não",VLOOKUP($B85,casostestes[#Data],10)), "-")</f>
        <v>-</v>
      </c>
      <c r="D85" s="50" t="str">
        <f>IFERROR(IF(VLOOKUP($B85,casostestes[#Data],2)=0,"-",VLOOKUP($B85,casostestes[#Data],2)), "-")</f>
        <v>-</v>
      </c>
      <c r="E85" s="50" t="str">
        <f>IFERROR(IF(VLOOKUP($B85,casostestes[#Data],3)=0,"-",VLOOKUP($B85,casostestes[#Data],3)), "-")</f>
        <v>-</v>
      </c>
      <c r="F85" s="50" t="str">
        <f>IFERROR(IF(VLOOKUP($B85,casostestes[#Data],4)=0,"-",VLOOKUP($B85,casostestes[#Data],4)),"-")</f>
        <v>-</v>
      </c>
      <c r="G85" s="50" t="str">
        <f>IFERROR(IF(VLOOKUP($B85,casostestes[#Data],5)=0,"-",VLOOKUP($B85,casostestes[#Data],5)),"-")</f>
        <v>-</v>
      </c>
      <c r="H85" s="50" t="str">
        <f>IFERROR(IF(VLOOKUP($B85,casostestes[#Data],6)=0,"-",VLOOKUP($B85,casostestes[#Data],6)),"-")</f>
        <v>-</v>
      </c>
      <c r="I85" s="50" t="str">
        <f>IFERROR(IF(VLOOKUP($B85,casostestes[#Data],8)=0,"-",VLOOKUP($B85,casostestes[#Data],8)),"-")</f>
        <v>-</v>
      </c>
      <c r="J85" s="50" t="str">
        <f>IFERROR(IF(VLOOKUP($B85,casostestes[#Data],9)=0,"-",VLOOKUP($B85,casostestes[#Data],9)),"-")</f>
        <v>-</v>
      </c>
      <c r="K85" s="51"/>
      <c r="L85" s="57"/>
      <c r="M85" s="53"/>
      <c r="N85" s="54"/>
      <c r="O85" s="54"/>
      <c r="P85" s="55"/>
    </row>
    <row r="86" spans="2:16">
      <c r="B86" s="56" t="str">
        <f>IF(ISERR(casostestes[[#This Row],[ID]]),"-",casostestes[[#This Row],[ID]])</f>
        <v>-</v>
      </c>
      <c r="C86" s="49" t="str">
        <f>IFERROR(IF(VLOOKUP($B86,casostestes[#Data],10)=0,"Não",VLOOKUP($B86,casostestes[#Data],10)), "-")</f>
        <v>-</v>
      </c>
      <c r="D86" s="50" t="str">
        <f>IFERROR(IF(VLOOKUP($B86,casostestes[#Data],2)=0,"-",VLOOKUP($B86,casostestes[#Data],2)), "-")</f>
        <v>-</v>
      </c>
      <c r="E86" s="50" t="str">
        <f>IFERROR(IF(VLOOKUP($B86,casostestes[#Data],3)=0,"-",VLOOKUP($B86,casostestes[#Data],3)), "-")</f>
        <v>-</v>
      </c>
      <c r="F86" s="50" t="str">
        <f>IFERROR(IF(VLOOKUP($B86,casostestes[#Data],4)=0,"-",VLOOKUP($B86,casostestes[#Data],4)),"-")</f>
        <v>-</v>
      </c>
      <c r="G86" s="50" t="str">
        <f>IFERROR(IF(VLOOKUP($B86,casostestes[#Data],5)=0,"-",VLOOKUP($B86,casostestes[#Data],5)),"-")</f>
        <v>-</v>
      </c>
      <c r="H86" s="50" t="str">
        <f>IFERROR(IF(VLOOKUP($B86,casostestes[#Data],6)=0,"-",VLOOKUP($B86,casostestes[#Data],6)),"-")</f>
        <v>-</v>
      </c>
      <c r="I86" s="50" t="str">
        <f>IFERROR(IF(VLOOKUP($B86,casostestes[#Data],8)=0,"-",VLOOKUP($B86,casostestes[#Data],8)),"-")</f>
        <v>-</v>
      </c>
      <c r="J86" s="50" t="str">
        <f>IFERROR(IF(VLOOKUP($B86,casostestes[#Data],9)=0,"-",VLOOKUP($B86,casostestes[#Data],9)),"-")</f>
        <v>-</v>
      </c>
      <c r="K86" s="51"/>
      <c r="L86" s="57"/>
      <c r="M86" s="53"/>
      <c r="N86" s="54"/>
      <c r="O86" s="54"/>
      <c r="P86" s="55"/>
    </row>
    <row r="87" spans="2:16">
      <c r="B87" s="56" t="str">
        <f>IF(ISERR(casostestes[[#This Row],[ID]]),"-",casostestes[[#This Row],[ID]])</f>
        <v>-</v>
      </c>
      <c r="C87" s="49" t="str">
        <f>IFERROR(IF(VLOOKUP($B87,casostestes[#Data],10)=0,"Não",VLOOKUP($B87,casostestes[#Data],10)), "-")</f>
        <v>-</v>
      </c>
      <c r="D87" s="50" t="str">
        <f>IFERROR(IF(VLOOKUP($B87,casostestes[#Data],2)=0,"-",VLOOKUP($B87,casostestes[#Data],2)), "-")</f>
        <v>-</v>
      </c>
      <c r="E87" s="50" t="str">
        <f>IFERROR(IF(VLOOKUP($B87,casostestes[#Data],3)=0,"-",VLOOKUP($B87,casostestes[#Data],3)), "-")</f>
        <v>-</v>
      </c>
      <c r="F87" s="50" t="str">
        <f>IFERROR(IF(VLOOKUP($B87,casostestes[#Data],4)=0,"-",VLOOKUP($B87,casostestes[#Data],4)),"-")</f>
        <v>-</v>
      </c>
      <c r="G87" s="50" t="str">
        <f>IFERROR(IF(VLOOKUP($B87,casostestes[#Data],5)=0,"-",VLOOKUP($B87,casostestes[#Data],5)),"-")</f>
        <v>-</v>
      </c>
      <c r="H87" s="50" t="str">
        <f>IFERROR(IF(VLOOKUP($B87,casostestes[#Data],6)=0,"-",VLOOKUP($B87,casostestes[#Data],6)),"-")</f>
        <v>-</v>
      </c>
      <c r="I87" s="50" t="str">
        <f>IFERROR(IF(VLOOKUP($B87,casostestes[#Data],8)=0,"-",VLOOKUP($B87,casostestes[#Data],8)),"-")</f>
        <v>-</v>
      </c>
      <c r="J87" s="50" t="str">
        <f>IFERROR(IF(VLOOKUP($B87,casostestes[#Data],9)=0,"-",VLOOKUP($B87,casostestes[#Data],9)),"-")</f>
        <v>-</v>
      </c>
      <c r="K87" s="51"/>
      <c r="L87" s="57"/>
      <c r="M87" s="53"/>
      <c r="N87" s="54"/>
      <c r="O87" s="54"/>
      <c r="P87" s="55"/>
    </row>
    <row r="88" spans="2:16">
      <c r="B88" s="56" t="str">
        <f>IF(ISERR(casostestes[[#This Row],[ID]]),"-",casostestes[[#This Row],[ID]])</f>
        <v>-</v>
      </c>
      <c r="C88" s="49" t="str">
        <f>IFERROR(IF(VLOOKUP($B88,casostestes[#Data],10)=0,"Não",VLOOKUP($B88,casostestes[#Data],10)), "-")</f>
        <v>-</v>
      </c>
      <c r="D88" s="50" t="str">
        <f>IFERROR(IF(VLOOKUP($B88,casostestes[#Data],2)=0,"-",VLOOKUP($B88,casostestes[#Data],2)), "-")</f>
        <v>-</v>
      </c>
      <c r="E88" s="50" t="str">
        <f>IFERROR(IF(VLOOKUP($B88,casostestes[#Data],3)=0,"-",VLOOKUP($B88,casostestes[#Data],3)), "-")</f>
        <v>-</v>
      </c>
      <c r="F88" s="50" t="str">
        <f>IFERROR(IF(VLOOKUP($B88,casostestes[#Data],4)=0,"-",VLOOKUP($B88,casostestes[#Data],4)),"-")</f>
        <v>-</v>
      </c>
      <c r="G88" s="50" t="str">
        <f>IFERROR(IF(VLOOKUP($B88,casostestes[#Data],5)=0,"-",VLOOKUP($B88,casostestes[#Data],5)),"-")</f>
        <v>-</v>
      </c>
      <c r="H88" s="50" t="str">
        <f>IFERROR(IF(VLOOKUP($B88,casostestes[#Data],6)=0,"-",VLOOKUP($B88,casostestes[#Data],6)),"-")</f>
        <v>-</v>
      </c>
      <c r="I88" s="50" t="str">
        <f>IFERROR(IF(VLOOKUP($B88,casostestes[#Data],8)=0,"-",VLOOKUP($B88,casostestes[#Data],8)),"-")</f>
        <v>-</v>
      </c>
      <c r="J88" s="50" t="str">
        <f>IFERROR(IF(VLOOKUP($B88,casostestes[#Data],9)=0,"-",VLOOKUP($B88,casostestes[#Data],9)),"-")</f>
        <v>-</v>
      </c>
      <c r="K88" s="51"/>
      <c r="L88" s="57"/>
      <c r="M88" s="53"/>
      <c r="N88" s="54"/>
      <c r="O88" s="54"/>
      <c r="P88" s="55"/>
    </row>
    <row r="89" spans="2:16">
      <c r="B89" s="56" t="str">
        <f>IF(ISERR(casostestes[[#This Row],[ID]]),"-",casostestes[[#This Row],[ID]])</f>
        <v>-</v>
      </c>
      <c r="C89" s="49" t="str">
        <f>IFERROR(IF(VLOOKUP($B89,casostestes[#Data],10)=0,"Não",VLOOKUP($B89,casostestes[#Data],10)), "-")</f>
        <v>-</v>
      </c>
      <c r="D89" s="50" t="str">
        <f>IFERROR(IF(VLOOKUP($B89,casostestes[#Data],2)=0,"-",VLOOKUP($B89,casostestes[#Data],2)), "-")</f>
        <v>-</v>
      </c>
      <c r="E89" s="50" t="str">
        <f>IFERROR(IF(VLOOKUP($B89,casostestes[#Data],3)=0,"-",VLOOKUP($B89,casostestes[#Data],3)), "-")</f>
        <v>-</v>
      </c>
      <c r="F89" s="50" t="str">
        <f>IFERROR(IF(VLOOKUP($B89,casostestes[#Data],4)=0,"-",VLOOKUP($B89,casostestes[#Data],4)),"-")</f>
        <v>-</v>
      </c>
      <c r="G89" s="50" t="str">
        <f>IFERROR(IF(VLOOKUP($B89,casostestes[#Data],5)=0,"-",VLOOKUP($B89,casostestes[#Data],5)),"-")</f>
        <v>-</v>
      </c>
      <c r="H89" s="50" t="str">
        <f>IFERROR(IF(VLOOKUP($B89,casostestes[#Data],6)=0,"-",VLOOKUP($B89,casostestes[#Data],6)),"-")</f>
        <v>-</v>
      </c>
      <c r="I89" s="50" t="str">
        <f>IFERROR(IF(VLOOKUP($B89,casostestes[#Data],8)=0,"-",VLOOKUP($B89,casostestes[#Data],8)),"-")</f>
        <v>-</v>
      </c>
      <c r="J89" s="50" t="str">
        <f>IFERROR(IF(VLOOKUP($B89,casostestes[#Data],9)=0,"-",VLOOKUP($B89,casostestes[#Data],9)),"-")</f>
        <v>-</v>
      </c>
      <c r="K89" s="51"/>
      <c r="L89" s="57"/>
      <c r="M89" s="53"/>
      <c r="N89" s="54"/>
      <c r="O89" s="54"/>
      <c r="P89" s="55"/>
    </row>
    <row r="90" spans="2:16">
      <c r="B90" s="56" t="str">
        <f>IF(ISERR(casostestes[[#This Row],[ID]]),"-",casostestes[[#This Row],[ID]])</f>
        <v>-</v>
      </c>
      <c r="C90" s="49" t="str">
        <f>IFERROR(IF(VLOOKUP($B90,casostestes[#Data],10)=0,"Não",VLOOKUP($B90,casostestes[#Data],10)), "-")</f>
        <v>-</v>
      </c>
      <c r="D90" s="50" t="str">
        <f>IFERROR(IF(VLOOKUP($B90,casostestes[#Data],2)=0,"-",VLOOKUP($B90,casostestes[#Data],2)), "-")</f>
        <v>-</v>
      </c>
      <c r="E90" s="50" t="str">
        <f>IFERROR(IF(VLOOKUP($B90,casostestes[#Data],3)=0,"-",VLOOKUP($B90,casostestes[#Data],3)), "-")</f>
        <v>-</v>
      </c>
      <c r="F90" s="50" t="str">
        <f>IFERROR(IF(VLOOKUP($B90,casostestes[#Data],4)=0,"-",VLOOKUP($B90,casostestes[#Data],4)),"-")</f>
        <v>-</v>
      </c>
      <c r="G90" s="50" t="str">
        <f>IFERROR(IF(VLOOKUP($B90,casostestes[#Data],5)=0,"-",VLOOKUP($B90,casostestes[#Data],5)),"-")</f>
        <v>-</v>
      </c>
      <c r="H90" s="50" t="str">
        <f>IFERROR(IF(VLOOKUP($B90,casostestes[#Data],6)=0,"-",VLOOKUP($B90,casostestes[#Data],6)),"-")</f>
        <v>-</v>
      </c>
      <c r="I90" s="50" t="str">
        <f>IFERROR(IF(VLOOKUP($B90,casostestes[#Data],8)=0,"-",VLOOKUP($B90,casostestes[#Data],8)),"-")</f>
        <v>-</v>
      </c>
      <c r="J90" s="50" t="str">
        <f>IFERROR(IF(VLOOKUP($B90,casostestes[#Data],9)=0,"-",VLOOKUP($B90,casostestes[#Data],9)),"-")</f>
        <v>-</v>
      </c>
      <c r="K90" s="51"/>
      <c r="L90" s="57"/>
      <c r="M90" s="53"/>
      <c r="N90" s="54"/>
      <c r="O90" s="54"/>
      <c r="P90" s="55"/>
    </row>
    <row r="91" spans="2:16">
      <c r="B91" s="56" t="str">
        <f>IF(ISERR(casostestes[[#This Row],[ID]]),"-",casostestes[[#This Row],[ID]])</f>
        <v>-</v>
      </c>
      <c r="C91" s="49" t="str">
        <f>IFERROR(IF(VLOOKUP($B91,casostestes[#Data],10)=0,"Não",VLOOKUP($B91,casostestes[#Data],10)), "-")</f>
        <v>-</v>
      </c>
      <c r="D91" s="50" t="str">
        <f>IFERROR(IF(VLOOKUP($B91,casostestes[#Data],2)=0,"-",VLOOKUP($B91,casostestes[#Data],2)), "-")</f>
        <v>-</v>
      </c>
      <c r="E91" s="50" t="str">
        <f>IFERROR(IF(VLOOKUP($B91,casostestes[#Data],3)=0,"-",VLOOKUP($B91,casostestes[#Data],3)), "-")</f>
        <v>-</v>
      </c>
      <c r="F91" s="50" t="str">
        <f>IFERROR(IF(VLOOKUP($B91,casostestes[#Data],4)=0,"-",VLOOKUP($B91,casostestes[#Data],4)),"-")</f>
        <v>-</v>
      </c>
      <c r="G91" s="50" t="str">
        <f>IFERROR(IF(VLOOKUP($B91,casostestes[#Data],5)=0,"-",VLOOKUP($B91,casostestes[#Data],5)),"-")</f>
        <v>-</v>
      </c>
      <c r="H91" s="50" t="str">
        <f>IFERROR(IF(VLOOKUP($B91,casostestes[#Data],6)=0,"-",VLOOKUP($B91,casostestes[#Data],6)),"-")</f>
        <v>-</v>
      </c>
      <c r="I91" s="50" t="str">
        <f>IFERROR(IF(VLOOKUP($B91,casostestes[#Data],8)=0,"-",VLOOKUP($B91,casostestes[#Data],8)),"-")</f>
        <v>-</v>
      </c>
      <c r="J91" s="50" t="str">
        <f>IFERROR(IF(VLOOKUP($B91,casostestes[#Data],9)=0,"-",VLOOKUP($B91,casostestes[#Data],9)),"-")</f>
        <v>-</v>
      </c>
      <c r="K91" s="51"/>
      <c r="L91" s="57"/>
      <c r="M91" s="53"/>
      <c r="N91" s="54"/>
      <c r="O91" s="54"/>
      <c r="P91" s="55"/>
    </row>
    <row r="92" spans="2:16">
      <c r="B92" s="56" t="str">
        <f>IF(ISERR(casostestes[[#This Row],[ID]]),"-",casostestes[[#This Row],[ID]])</f>
        <v>-</v>
      </c>
      <c r="C92" s="49" t="str">
        <f>IFERROR(IF(VLOOKUP($B92,casostestes[#Data],10)=0,"Não",VLOOKUP($B92,casostestes[#Data],10)), "-")</f>
        <v>-</v>
      </c>
      <c r="D92" s="50" t="str">
        <f>IFERROR(IF(VLOOKUP($B92,casostestes[#Data],2)=0,"-",VLOOKUP($B92,casostestes[#Data],2)), "-")</f>
        <v>-</v>
      </c>
      <c r="E92" s="50" t="str">
        <f>IFERROR(IF(VLOOKUP($B92,casostestes[#Data],3)=0,"-",VLOOKUP($B92,casostestes[#Data],3)), "-")</f>
        <v>-</v>
      </c>
      <c r="F92" s="50" t="str">
        <f>IFERROR(IF(VLOOKUP($B92,casostestes[#Data],4)=0,"-",VLOOKUP($B92,casostestes[#Data],4)),"-")</f>
        <v>-</v>
      </c>
      <c r="G92" s="50" t="str">
        <f>IFERROR(IF(VLOOKUP($B92,casostestes[#Data],5)=0,"-",VLOOKUP($B92,casostestes[#Data],5)),"-")</f>
        <v>-</v>
      </c>
      <c r="H92" s="50" t="str">
        <f>IFERROR(IF(VLOOKUP($B92,casostestes[#Data],6)=0,"-",VLOOKUP($B92,casostestes[#Data],6)),"-")</f>
        <v>-</v>
      </c>
      <c r="I92" s="50" t="str">
        <f>IFERROR(IF(VLOOKUP($B92,casostestes[#Data],8)=0,"-",VLOOKUP($B92,casostestes[#Data],8)),"-")</f>
        <v>-</v>
      </c>
      <c r="J92" s="50" t="str">
        <f>IFERROR(IF(VLOOKUP($B92,casostestes[#Data],9)=0,"-",VLOOKUP($B92,casostestes[#Data],9)),"-")</f>
        <v>-</v>
      </c>
      <c r="K92" s="51"/>
      <c r="L92" s="57"/>
      <c r="M92" s="53"/>
      <c r="N92" s="54"/>
      <c r="O92" s="54"/>
      <c r="P92" s="55"/>
    </row>
    <row r="93" spans="2:16">
      <c r="B93" s="56" t="str">
        <f>IF(ISERR(casostestes[[#This Row],[ID]]),"-",casostestes[[#This Row],[ID]])</f>
        <v>-</v>
      </c>
      <c r="C93" s="49" t="str">
        <f>IFERROR(IF(VLOOKUP($B93,casostestes[#Data],10)=0,"Não",VLOOKUP($B93,casostestes[#Data],10)), "-")</f>
        <v>-</v>
      </c>
      <c r="D93" s="50" t="str">
        <f>IFERROR(IF(VLOOKUP($B93,casostestes[#Data],2)=0,"-",VLOOKUP($B93,casostestes[#Data],2)), "-")</f>
        <v>-</v>
      </c>
      <c r="E93" s="50" t="str">
        <f>IFERROR(IF(VLOOKUP($B93,casostestes[#Data],3)=0,"-",VLOOKUP($B93,casostestes[#Data],3)), "-")</f>
        <v>-</v>
      </c>
      <c r="F93" s="50" t="str">
        <f>IFERROR(IF(VLOOKUP($B93,casostestes[#Data],4)=0,"-",VLOOKUP($B93,casostestes[#Data],4)),"-")</f>
        <v>-</v>
      </c>
      <c r="G93" s="50" t="str">
        <f>IFERROR(IF(VLOOKUP($B93,casostestes[#Data],5)=0,"-",VLOOKUP($B93,casostestes[#Data],5)),"-")</f>
        <v>-</v>
      </c>
      <c r="H93" s="50" t="str">
        <f>IFERROR(IF(VLOOKUP($B93,casostestes[#Data],6)=0,"-",VLOOKUP($B93,casostestes[#Data],6)),"-")</f>
        <v>-</v>
      </c>
      <c r="I93" s="50" t="str">
        <f>IFERROR(IF(VLOOKUP($B93,casostestes[#Data],8)=0,"-",VLOOKUP($B93,casostestes[#Data],8)),"-")</f>
        <v>-</v>
      </c>
      <c r="J93" s="50" t="str">
        <f>IFERROR(IF(VLOOKUP($B93,casostestes[#Data],9)=0,"-",VLOOKUP($B93,casostestes[#Data],9)),"-")</f>
        <v>-</v>
      </c>
      <c r="K93" s="51"/>
      <c r="L93" s="57"/>
      <c r="M93" s="53"/>
      <c r="N93" s="54"/>
      <c r="O93" s="54"/>
      <c r="P93" s="55"/>
    </row>
    <row r="94" spans="2:16">
      <c r="B94" s="56" t="str">
        <f>IF(ISERR(casostestes[[#This Row],[ID]]),"-",casostestes[[#This Row],[ID]])</f>
        <v>-</v>
      </c>
      <c r="C94" s="49" t="str">
        <f>IFERROR(IF(VLOOKUP($B94,casostestes[#Data],10)=0,"Não",VLOOKUP($B94,casostestes[#Data],10)), "-")</f>
        <v>-</v>
      </c>
      <c r="D94" s="50" t="str">
        <f>IFERROR(IF(VLOOKUP($B94,casostestes[#Data],2)=0,"-",VLOOKUP($B94,casostestes[#Data],2)), "-")</f>
        <v>-</v>
      </c>
      <c r="E94" s="50" t="str">
        <f>IFERROR(IF(VLOOKUP($B94,casostestes[#Data],3)=0,"-",VLOOKUP($B94,casostestes[#Data],3)), "-")</f>
        <v>-</v>
      </c>
      <c r="F94" s="50" t="str">
        <f>IFERROR(IF(VLOOKUP($B94,casostestes[#Data],4)=0,"-",VLOOKUP($B94,casostestes[#Data],4)),"-")</f>
        <v>-</v>
      </c>
      <c r="G94" s="50" t="str">
        <f>IFERROR(IF(VLOOKUP($B94,casostestes[#Data],5)=0,"-",VLOOKUP($B94,casostestes[#Data],5)),"-")</f>
        <v>-</v>
      </c>
      <c r="H94" s="50" t="str">
        <f>IFERROR(IF(VLOOKUP($B94,casostestes[#Data],6)=0,"-",VLOOKUP($B94,casostestes[#Data],6)),"-")</f>
        <v>-</v>
      </c>
      <c r="I94" s="50" t="str">
        <f>IFERROR(IF(VLOOKUP($B94,casostestes[#Data],8)=0,"-",VLOOKUP($B94,casostestes[#Data],8)),"-")</f>
        <v>-</v>
      </c>
      <c r="J94" s="50" t="str">
        <f>IFERROR(IF(VLOOKUP($B94,casostestes[#Data],9)=0,"-",VLOOKUP($B94,casostestes[#Data],9)),"-")</f>
        <v>-</v>
      </c>
      <c r="K94" s="51"/>
      <c r="L94" s="57"/>
      <c r="M94" s="53"/>
      <c r="N94" s="54"/>
      <c r="O94" s="54"/>
      <c r="P94" s="55"/>
    </row>
    <row r="95" spans="2:16">
      <c r="B95" s="56" t="str">
        <f>IF(ISERR(casostestes[[#This Row],[ID]]),"-",casostestes[[#This Row],[ID]])</f>
        <v>-</v>
      </c>
      <c r="C95" s="49" t="str">
        <f>IFERROR(IF(VLOOKUP($B95,casostestes[#Data],10)=0,"Não",VLOOKUP($B95,casostestes[#Data],10)), "-")</f>
        <v>-</v>
      </c>
      <c r="D95" s="50" t="str">
        <f>IFERROR(IF(VLOOKUP($B95,casostestes[#Data],2)=0,"-",VLOOKUP($B95,casostestes[#Data],2)), "-")</f>
        <v>-</v>
      </c>
      <c r="E95" s="50" t="str">
        <f>IFERROR(IF(VLOOKUP($B95,casostestes[#Data],3)=0,"-",VLOOKUP($B95,casostestes[#Data],3)), "-")</f>
        <v>-</v>
      </c>
      <c r="F95" s="50" t="str">
        <f>IFERROR(IF(VLOOKUP($B95,casostestes[#Data],4)=0,"-",VLOOKUP($B95,casostestes[#Data],4)),"-")</f>
        <v>-</v>
      </c>
      <c r="G95" s="50" t="str">
        <f>IFERROR(IF(VLOOKUP($B95,casostestes[#Data],5)=0,"-",VLOOKUP($B95,casostestes[#Data],5)),"-")</f>
        <v>-</v>
      </c>
      <c r="H95" s="50" t="str">
        <f>IFERROR(IF(VLOOKUP($B95,casostestes[#Data],6)=0,"-",VLOOKUP($B95,casostestes[#Data],6)),"-")</f>
        <v>-</v>
      </c>
      <c r="I95" s="50" t="str">
        <f>IFERROR(IF(VLOOKUP($B95,casostestes[#Data],8)=0,"-",VLOOKUP($B95,casostestes[#Data],8)),"-")</f>
        <v>-</v>
      </c>
      <c r="J95" s="50" t="str">
        <f>IFERROR(IF(VLOOKUP($B95,casostestes[#Data],9)=0,"-",VLOOKUP($B95,casostestes[#Data],9)),"-")</f>
        <v>-</v>
      </c>
      <c r="K95" s="51"/>
      <c r="L95" s="57"/>
      <c r="M95" s="53"/>
      <c r="N95" s="54"/>
      <c r="O95" s="54"/>
      <c r="P95" s="55"/>
    </row>
    <row r="96" spans="2:16">
      <c r="B96" s="56" t="str">
        <f>IF(ISERR(casostestes[[#This Row],[ID]]),"-",casostestes[[#This Row],[ID]])</f>
        <v>-</v>
      </c>
      <c r="C96" s="49" t="str">
        <f>IFERROR(IF(VLOOKUP($B96,casostestes[#Data],10)=0,"Não",VLOOKUP($B96,casostestes[#Data],10)), "-")</f>
        <v>-</v>
      </c>
      <c r="D96" s="50" t="str">
        <f>IFERROR(IF(VLOOKUP($B96,casostestes[#Data],2)=0,"-",VLOOKUP($B96,casostestes[#Data],2)), "-")</f>
        <v>-</v>
      </c>
      <c r="E96" s="50" t="str">
        <f>IFERROR(IF(VLOOKUP($B96,casostestes[#Data],3)=0,"-",VLOOKUP($B96,casostestes[#Data],3)), "-")</f>
        <v>-</v>
      </c>
      <c r="F96" s="50" t="str">
        <f>IFERROR(IF(VLOOKUP($B96,casostestes[#Data],4)=0,"-",VLOOKUP($B96,casostestes[#Data],4)),"-")</f>
        <v>-</v>
      </c>
      <c r="G96" s="50" t="str">
        <f>IFERROR(IF(VLOOKUP($B96,casostestes[#Data],5)=0,"-",VLOOKUP($B96,casostestes[#Data],5)),"-")</f>
        <v>-</v>
      </c>
      <c r="H96" s="50" t="str">
        <f>IFERROR(IF(VLOOKUP($B96,casostestes[#Data],6)=0,"-",VLOOKUP($B96,casostestes[#Data],6)),"-")</f>
        <v>-</v>
      </c>
      <c r="I96" s="50" t="str">
        <f>IFERROR(IF(VLOOKUP($B96,casostestes[#Data],8)=0,"-",VLOOKUP($B96,casostestes[#Data],8)),"-")</f>
        <v>-</v>
      </c>
      <c r="J96" s="50" t="str">
        <f>IFERROR(IF(VLOOKUP($B96,casostestes[#Data],9)=0,"-",VLOOKUP($B96,casostestes[#Data],9)),"-")</f>
        <v>-</v>
      </c>
      <c r="K96" s="51"/>
      <c r="L96" s="57"/>
      <c r="M96" s="53"/>
      <c r="N96" s="54"/>
      <c r="O96" s="54"/>
      <c r="P96" s="55"/>
    </row>
    <row r="97" spans="2:16">
      <c r="B97" s="56" t="str">
        <f>IF(ISERR(casostestes[[#This Row],[ID]]),"-",casostestes[[#This Row],[ID]])</f>
        <v>-</v>
      </c>
      <c r="C97" s="49" t="str">
        <f>IFERROR(IF(VLOOKUP($B97,casostestes[#Data],10)=0,"Não",VLOOKUP($B97,casostestes[#Data],10)), "-")</f>
        <v>-</v>
      </c>
      <c r="D97" s="50" t="str">
        <f>IFERROR(IF(VLOOKUP($B97,casostestes[#Data],2)=0,"-",VLOOKUP($B97,casostestes[#Data],2)), "-")</f>
        <v>-</v>
      </c>
      <c r="E97" s="50" t="str">
        <f>IFERROR(IF(VLOOKUP($B97,casostestes[#Data],3)=0,"-",VLOOKUP($B97,casostestes[#Data],3)), "-")</f>
        <v>-</v>
      </c>
      <c r="F97" s="50" t="str">
        <f>IFERROR(IF(VLOOKUP($B97,casostestes[#Data],4)=0,"-",VLOOKUP($B97,casostestes[#Data],4)),"-")</f>
        <v>-</v>
      </c>
      <c r="G97" s="50" t="str">
        <f>IFERROR(IF(VLOOKUP($B97,casostestes[#Data],5)=0,"-",VLOOKUP($B97,casostestes[#Data],5)),"-")</f>
        <v>-</v>
      </c>
      <c r="H97" s="50" t="str">
        <f>IFERROR(IF(VLOOKUP($B97,casostestes[#Data],6)=0,"-",VLOOKUP($B97,casostestes[#Data],6)),"-")</f>
        <v>-</v>
      </c>
      <c r="I97" s="50" t="str">
        <f>IFERROR(IF(VLOOKUP($B97,casostestes[#Data],8)=0,"-",VLOOKUP($B97,casostestes[#Data],8)),"-")</f>
        <v>-</v>
      </c>
      <c r="J97" s="50" t="str">
        <f>IFERROR(IF(VLOOKUP($B97,casostestes[#Data],9)=0,"-",VLOOKUP($B97,casostestes[#Data],9)),"-")</f>
        <v>-</v>
      </c>
      <c r="K97" s="51"/>
      <c r="L97" s="57"/>
      <c r="M97" s="53"/>
      <c r="N97" s="54"/>
      <c r="O97" s="54"/>
      <c r="P97" s="55"/>
    </row>
    <row r="98" spans="2:16">
      <c r="B98" s="56" t="str">
        <f>IF(ISERR(casostestes[[#This Row],[ID]]),"-",casostestes[[#This Row],[ID]])</f>
        <v>-</v>
      </c>
      <c r="C98" s="49" t="str">
        <f>IFERROR(IF(VLOOKUP($B98,casostestes[#Data],10)=0,"Não",VLOOKUP($B98,casostestes[#Data],10)), "-")</f>
        <v>-</v>
      </c>
      <c r="D98" s="50" t="str">
        <f>IFERROR(IF(VLOOKUP($B98,casostestes[#Data],2)=0,"-",VLOOKUP($B98,casostestes[#Data],2)), "-")</f>
        <v>-</v>
      </c>
      <c r="E98" s="50" t="str">
        <f>IFERROR(IF(VLOOKUP($B98,casostestes[#Data],3)=0,"-",VLOOKUP($B98,casostestes[#Data],3)), "-")</f>
        <v>-</v>
      </c>
      <c r="F98" s="50" t="str">
        <f>IFERROR(IF(VLOOKUP($B98,casostestes[#Data],4)=0,"-",VLOOKUP($B98,casostestes[#Data],4)),"-")</f>
        <v>-</v>
      </c>
      <c r="G98" s="50" t="str">
        <f>IFERROR(IF(VLOOKUP($B98,casostestes[#Data],5)=0,"-",VLOOKUP($B98,casostestes[#Data],5)),"-")</f>
        <v>-</v>
      </c>
      <c r="H98" s="50" t="str">
        <f>IFERROR(IF(VLOOKUP($B98,casostestes[#Data],6)=0,"-",VLOOKUP($B98,casostestes[#Data],6)),"-")</f>
        <v>-</v>
      </c>
      <c r="I98" s="50" t="str">
        <f>IFERROR(IF(VLOOKUP($B98,casostestes[#Data],8)=0,"-",VLOOKUP($B98,casostestes[#Data],8)),"-")</f>
        <v>-</v>
      </c>
      <c r="J98" s="50" t="str">
        <f>IFERROR(IF(VLOOKUP($B98,casostestes[#Data],9)=0,"-",VLOOKUP($B98,casostestes[#Data],9)),"-")</f>
        <v>-</v>
      </c>
      <c r="K98" s="51"/>
      <c r="L98" s="57"/>
      <c r="M98" s="53"/>
      <c r="N98" s="54"/>
      <c r="O98" s="54"/>
      <c r="P98" s="55"/>
    </row>
    <row r="99" spans="2:16">
      <c r="B99" s="56" t="str">
        <f>IF(ISERR(casostestes[[#This Row],[ID]]),"-",casostestes[[#This Row],[ID]])</f>
        <v>-</v>
      </c>
      <c r="C99" s="49" t="str">
        <f>IFERROR(IF(VLOOKUP($B99,casostestes[#Data],10)=0,"Não",VLOOKUP($B99,casostestes[#Data],10)), "-")</f>
        <v>-</v>
      </c>
      <c r="D99" s="50" t="str">
        <f>IFERROR(IF(VLOOKUP($B99,casostestes[#Data],2)=0,"-",VLOOKUP($B99,casostestes[#Data],2)), "-")</f>
        <v>-</v>
      </c>
      <c r="E99" s="50" t="str">
        <f>IFERROR(IF(VLOOKUP($B99,casostestes[#Data],3)=0,"-",VLOOKUP($B99,casostestes[#Data],3)), "-")</f>
        <v>-</v>
      </c>
      <c r="F99" s="50" t="str">
        <f>IFERROR(IF(VLOOKUP($B99,casostestes[#Data],4)=0,"-",VLOOKUP($B99,casostestes[#Data],4)),"-")</f>
        <v>-</v>
      </c>
      <c r="G99" s="50" t="str">
        <f>IFERROR(IF(VLOOKUP($B99,casostestes[#Data],5)=0,"-",VLOOKUP($B99,casostestes[#Data],5)),"-")</f>
        <v>-</v>
      </c>
      <c r="H99" s="50" t="str">
        <f>IFERROR(IF(VLOOKUP($B99,casostestes[#Data],6)=0,"-",VLOOKUP($B99,casostestes[#Data],6)),"-")</f>
        <v>-</v>
      </c>
      <c r="I99" s="50" t="str">
        <f>IFERROR(IF(VLOOKUP($B99,casostestes[#Data],8)=0,"-",VLOOKUP($B99,casostestes[#Data],8)),"-")</f>
        <v>-</v>
      </c>
      <c r="J99" s="50" t="str">
        <f>IFERROR(IF(VLOOKUP($B99,casostestes[#Data],9)=0,"-",VLOOKUP($B99,casostestes[#Data],9)),"-")</f>
        <v>-</v>
      </c>
      <c r="K99" s="51"/>
      <c r="L99" s="57"/>
      <c r="M99" s="53"/>
      <c r="N99" s="54"/>
      <c r="O99" s="54"/>
      <c r="P99" s="55"/>
    </row>
    <row r="100" spans="2:16">
      <c r="B100" s="56" t="str">
        <f>IF(ISERR(casostestes[[#This Row],[ID]]),"-",casostestes[[#This Row],[ID]])</f>
        <v>-</v>
      </c>
      <c r="C100" s="58" t="str">
        <f>IFERROR(IF(VLOOKUP($B100,casostestes[#Data],10)=0,"Não",VLOOKUP($B100,casostestes[#Data],10)), "-")</f>
        <v>-</v>
      </c>
      <c r="D100" s="59" t="str">
        <f>IFERROR(IF(VLOOKUP($B100,casostestes[#Data],2)=0,"-",VLOOKUP($B100,casostestes[#Data],2)), "-")</f>
        <v>-</v>
      </c>
      <c r="E100" s="59" t="str">
        <f>IFERROR(IF(VLOOKUP($B100,casostestes[#Data],3)=0,"-",VLOOKUP($B100,casostestes[#Data],3)), "-")</f>
        <v>-</v>
      </c>
      <c r="F100" s="59" t="str">
        <f>IFERROR(IF(VLOOKUP($B100,casostestes[#Data],4)=0,"-",VLOOKUP($B100,casostestes[#Data],4)),"-")</f>
        <v>-</v>
      </c>
      <c r="G100" s="59" t="str">
        <f>IFERROR(IF(VLOOKUP($B100,casostestes[#Data],5)=0,"-",VLOOKUP($B100,casostestes[#Data],5)),"-")</f>
        <v>-</v>
      </c>
      <c r="H100" s="59" t="str">
        <f>IFERROR(IF(VLOOKUP($B100,casostestes[#Data],6)=0,"-",VLOOKUP($B100,casostestes[#Data],6)),"-")</f>
        <v>-</v>
      </c>
      <c r="I100" s="59" t="str">
        <f>IFERROR(IF(VLOOKUP($B100,casostestes[#Data],8)=0,"-",VLOOKUP($B100,casostestes[#Data],8)),"-")</f>
        <v>-</v>
      </c>
      <c r="J100" s="59" t="str">
        <f>IFERROR(IF(VLOOKUP($B100,casostestes[#Data],9)=0,"-",VLOOKUP($B100,casostestes[#Data],9)),"-")</f>
        <v>-</v>
      </c>
      <c r="K100" s="60"/>
      <c r="L100" s="57"/>
      <c r="M100" s="61"/>
      <c r="N100" s="62"/>
      <c r="O100" s="62"/>
      <c r="P100" s="63"/>
    </row>
    <row r="101" spans="2:16">
      <c r="B101" s="56" t="str">
        <f>IF(ISERR(casostestes[[#This Row],[ID]]),"-",casostestes[[#This Row],[ID]])</f>
        <v>-</v>
      </c>
      <c r="C101" s="49" t="str">
        <f>IFERROR(IF(VLOOKUP($B101,casostestes[#Data],10)=0,"Não",VLOOKUP($B101,casostestes[#Data],10)), "-")</f>
        <v>-</v>
      </c>
      <c r="D101" s="50" t="str">
        <f>IFERROR(IF(VLOOKUP($B101,casostestes[#Data],2)=0,"-",VLOOKUP($B101,casostestes[#Data],2)), "-")</f>
        <v>-</v>
      </c>
      <c r="E101" s="50" t="str">
        <f>IFERROR(IF(VLOOKUP($B101,casostestes[#Data],3)=0,"-",VLOOKUP($B101,casostestes[#Data],3)), "-")</f>
        <v>-</v>
      </c>
      <c r="F101" s="50" t="str">
        <f>IFERROR(IF(VLOOKUP($B101,casostestes[#Data],4)=0,"-",VLOOKUP($B101,casostestes[#Data],4)),"-")</f>
        <v>-</v>
      </c>
      <c r="G101" s="50" t="str">
        <f>IFERROR(IF(VLOOKUP($B101,casostestes[#Data],5)=0,"-",VLOOKUP($B101,casostestes[#Data],5)),"-")</f>
        <v>-</v>
      </c>
      <c r="H101" s="50" t="str">
        <f>IFERROR(IF(VLOOKUP($B101,casostestes[#Data],6)=0,"-",VLOOKUP($B101,casostestes[#Data],6)),"-")</f>
        <v>-</v>
      </c>
      <c r="I101" s="50" t="str">
        <f>IFERROR(IF(VLOOKUP($B101,casostestes[#Data],8)=0,"-",VLOOKUP($B101,casostestes[#Data],8)),"-")</f>
        <v>-</v>
      </c>
      <c r="J101" s="50" t="str">
        <f>IFERROR(IF(VLOOKUP($B101,casostestes[#Data],9)=0,"-",VLOOKUP($B101,casostestes[#Data],9)),"-")</f>
        <v>-</v>
      </c>
      <c r="K101" s="51"/>
      <c r="L101" s="57"/>
      <c r="M101" s="53"/>
      <c r="N101" s="54"/>
      <c r="O101" s="54"/>
      <c r="P101" s="55"/>
    </row>
    <row r="102" spans="2:16">
      <c r="B102" s="56" t="str">
        <f>IF(ISERR(casostestes[[#This Row],[ID]]),"-",casostestes[[#This Row],[ID]])</f>
        <v>-</v>
      </c>
      <c r="C102" s="49" t="str">
        <f>IFERROR(IF(VLOOKUP($B102,casostestes[#Data],10)=0,"Não",VLOOKUP($B102,casostestes[#Data],10)), "-")</f>
        <v>-</v>
      </c>
      <c r="D102" s="50" t="str">
        <f>IFERROR(IF(VLOOKUP($B102,casostestes[#Data],2)=0,"-",VLOOKUP($B102,casostestes[#Data],2)), "-")</f>
        <v>-</v>
      </c>
      <c r="E102" s="50" t="str">
        <f>IFERROR(IF(VLOOKUP($B102,casostestes[#Data],3)=0,"-",VLOOKUP($B102,casostestes[#Data],3)), "-")</f>
        <v>-</v>
      </c>
      <c r="F102" s="50" t="str">
        <f>IFERROR(IF(VLOOKUP($B102,casostestes[#Data],4)=0,"-",VLOOKUP($B102,casostestes[#Data],4)),"-")</f>
        <v>-</v>
      </c>
      <c r="G102" s="50" t="str">
        <f>IFERROR(IF(VLOOKUP($B102,casostestes[#Data],5)=0,"-",VLOOKUP($B102,casostestes[#Data],5)),"-")</f>
        <v>-</v>
      </c>
      <c r="H102" s="50" t="str">
        <f>IFERROR(IF(VLOOKUP($B102,casostestes[#Data],6)=0,"-",VLOOKUP($B102,casostestes[#Data],6)),"-")</f>
        <v>-</v>
      </c>
      <c r="I102" s="50" t="str">
        <f>IFERROR(IF(VLOOKUP($B102,casostestes[#Data],8)=0,"-",VLOOKUP($B102,casostestes[#Data],8)),"-")</f>
        <v>-</v>
      </c>
      <c r="J102" s="50" t="str">
        <f>IFERROR(IF(VLOOKUP($B102,casostestes[#Data],9)=0,"-",VLOOKUP($B102,casostestes[#Data],9)),"-")</f>
        <v>-</v>
      </c>
      <c r="K102" s="51"/>
      <c r="L102" s="57"/>
      <c r="M102" s="53"/>
      <c r="N102" s="54"/>
      <c r="O102" s="54"/>
      <c r="P102" s="55"/>
    </row>
    <row r="103" spans="2:16">
      <c r="B103" s="56" t="str">
        <f>IF(ISERR(casostestes[[#This Row],[ID]]),"-",casostestes[[#This Row],[ID]])</f>
        <v>-</v>
      </c>
      <c r="C103" s="49" t="str">
        <f>IFERROR(IF(VLOOKUP($B103,casostestes[#Data],10)=0,"Não",VLOOKUP($B103,casostestes[#Data],10)), "-")</f>
        <v>-</v>
      </c>
      <c r="D103" s="50" t="str">
        <f>IFERROR(IF(VLOOKUP($B103,casostestes[#Data],2)=0,"-",VLOOKUP($B103,casostestes[#Data],2)), "-")</f>
        <v>-</v>
      </c>
      <c r="E103" s="50" t="str">
        <f>IFERROR(IF(VLOOKUP($B103,casostestes[#Data],3)=0,"-",VLOOKUP($B103,casostestes[#Data],3)), "-")</f>
        <v>-</v>
      </c>
      <c r="F103" s="50" t="str">
        <f>IFERROR(IF(VLOOKUP($B103,casostestes[#Data],4)=0,"-",VLOOKUP($B103,casostestes[#Data],4)),"-")</f>
        <v>-</v>
      </c>
      <c r="G103" s="50" t="str">
        <f>IFERROR(IF(VLOOKUP($B103,casostestes[#Data],5)=0,"-",VLOOKUP($B103,casostestes[#Data],5)),"-")</f>
        <v>-</v>
      </c>
      <c r="H103" s="50" t="str">
        <f>IFERROR(IF(VLOOKUP($B103,casostestes[#Data],6)=0,"-",VLOOKUP($B103,casostestes[#Data],6)),"-")</f>
        <v>-</v>
      </c>
      <c r="I103" s="50" t="str">
        <f>IFERROR(IF(VLOOKUP($B103,casostestes[#Data],8)=0,"-",VLOOKUP($B103,casostestes[#Data],8)),"-")</f>
        <v>-</v>
      </c>
      <c r="J103" s="50" t="str">
        <f>IFERROR(IF(VLOOKUP($B103,casostestes[#Data],9)=0,"-",VLOOKUP($B103,casostestes[#Data],9)),"-")</f>
        <v>-</v>
      </c>
      <c r="K103" s="51"/>
      <c r="L103" s="57"/>
      <c r="M103" s="53"/>
      <c r="N103" s="54"/>
      <c r="O103" s="54"/>
      <c r="P103" s="55"/>
    </row>
    <row r="104" spans="2:16">
      <c r="B104" s="56" t="str">
        <f>IF(ISERR(casostestes[[#This Row],[ID]]),"-",casostestes[[#This Row],[ID]])</f>
        <v>-</v>
      </c>
      <c r="C104" s="49" t="str">
        <f>IFERROR(IF(VLOOKUP($B104,casostestes[#Data],10)=0,"Não",VLOOKUP($B104,casostestes[#Data],10)), "-")</f>
        <v>-</v>
      </c>
      <c r="D104" s="50" t="str">
        <f>IFERROR(IF(VLOOKUP($B104,casostestes[#Data],2)=0,"-",VLOOKUP($B104,casostestes[#Data],2)), "-")</f>
        <v>-</v>
      </c>
      <c r="E104" s="50" t="str">
        <f>IFERROR(IF(VLOOKUP($B104,casostestes[#Data],3)=0,"-",VLOOKUP($B104,casostestes[#Data],3)), "-")</f>
        <v>-</v>
      </c>
      <c r="F104" s="50" t="str">
        <f>IFERROR(IF(VLOOKUP($B104,casostestes[#Data],4)=0,"-",VLOOKUP($B104,casostestes[#Data],4)),"-")</f>
        <v>-</v>
      </c>
      <c r="G104" s="50" t="str">
        <f>IFERROR(IF(VLOOKUP($B104,casostestes[#Data],5)=0,"-",VLOOKUP($B104,casostestes[#Data],5)),"-")</f>
        <v>-</v>
      </c>
      <c r="H104" s="50" t="str">
        <f>IFERROR(IF(VLOOKUP($B104,casostestes[#Data],6)=0,"-",VLOOKUP($B104,casostestes[#Data],6)),"-")</f>
        <v>-</v>
      </c>
      <c r="I104" s="50" t="str">
        <f>IFERROR(IF(VLOOKUP($B104,casostestes[#Data],8)=0,"-",VLOOKUP($B104,casostestes[#Data],8)),"-")</f>
        <v>-</v>
      </c>
      <c r="J104" s="50" t="str">
        <f>IFERROR(IF(VLOOKUP($B104,casostestes[#Data],9)=0,"-",VLOOKUP($B104,casostestes[#Data],9)),"-")</f>
        <v>-</v>
      </c>
      <c r="K104" s="51"/>
      <c r="L104" s="57"/>
      <c r="M104" s="53"/>
      <c r="N104" s="54"/>
      <c r="O104" s="54"/>
      <c r="P104" s="55"/>
    </row>
    <row r="105" spans="2:16">
      <c r="B105" s="56" t="str">
        <f>IF(ISERR(casostestes[[#This Row],[ID]]),"-",casostestes[[#This Row],[ID]])</f>
        <v>-</v>
      </c>
      <c r="C105" s="49" t="str">
        <f>IFERROR(IF(VLOOKUP($B105,casostestes[#Data],10)=0,"Não",VLOOKUP($B105,casostestes[#Data],10)), "-")</f>
        <v>-</v>
      </c>
      <c r="D105" s="50" t="str">
        <f>IFERROR(IF(VLOOKUP($B105,casostestes[#Data],2)=0,"-",VLOOKUP($B105,casostestes[#Data],2)), "-")</f>
        <v>-</v>
      </c>
      <c r="E105" s="50" t="str">
        <f>IFERROR(IF(VLOOKUP($B105,casostestes[#Data],3)=0,"-",VLOOKUP($B105,casostestes[#Data],3)), "-")</f>
        <v>-</v>
      </c>
      <c r="F105" s="50" t="str">
        <f>IFERROR(IF(VLOOKUP($B105,casostestes[#Data],4)=0,"-",VLOOKUP($B105,casostestes[#Data],4)),"-")</f>
        <v>-</v>
      </c>
      <c r="G105" s="50" t="str">
        <f>IFERROR(IF(VLOOKUP($B105,casostestes[#Data],5)=0,"-",VLOOKUP($B105,casostestes[#Data],5)),"-")</f>
        <v>-</v>
      </c>
      <c r="H105" s="50" t="str">
        <f>IFERROR(IF(VLOOKUP($B105,casostestes[#Data],6)=0,"-",VLOOKUP($B105,casostestes[#Data],6)),"-")</f>
        <v>-</v>
      </c>
      <c r="I105" s="50" t="str">
        <f>IFERROR(IF(VLOOKUP($B105,casostestes[#Data],8)=0,"-",VLOOKUP($B105,casostestes[#Data],8)),"-")</f>
        <v>-</v>
      </c>
      <c r="J105" s="50" t="str">
        <f>IFERROR(IF(VLOOKUP($B105,casostestes[#Data],9)=0,"-",VLOOKUP($B105,casostestes[#Data],9)),"-")</f>
        <v>-</v>
      </c>
      <c r="K105" s="51"/>
      <c r="L105" s="57"/>
      <c r="M105" s="53"/>
      <c r="N105" s="54"/>
      <c r="O105" s="54"/>
      <c r="P105" s="55"/>
    </row>
    <row r="106" spans="2:16">
      <c r="B106" s="56" t="str">
        <f>IF(ISERR(casostestes[[#This Row],[ID]]),"-",casostestes[[#This Row],[ID]])</f>
        <v>-</v>
      </c>
      <c r="C106" s="49" t="str">
        <f>IFERROR(IF(VLOOKUP($B106,casostestes[#Data],10)=0,"Não",VLOOKUP($B106,casostestes[#Data],10)), "-")</f>
        <v>-</v>
      </c>
      <c r="D106" s="50" t="str">
        <f>IFERROR(IF(VLOOKUP($B106,casostestes[#Data],2)=0,"-",VLOOKUP($B106,casostestes[#Data],2)), "-")</f>
        <v>-</v>
      </c>
      <c r="E106" s="50" t="str">
        <f>IFERROR(IF(VLOOKUP($B106,casostestes[#Data],3)=0,"-",VLOOKUP($B106,casostestes[#Data],3)), "-")</f>
        <v>-</v>
      </c>
      <c r="F106" s="50" t="str">
        <f>IFERROR(IF(VLOOKUP($B106,casostestes[#Data],4)=0,"-",VLOOKUP($B106,casostestes[#Data],4)),"-")</f>
        <v>-</v>
      </c>
      <c r="G106" s="50" t="str">
        <f>IFERROR(IF(VLOOKUP($B106,casostestes[#Data],5)=0,"-",VLOOKUP($B106,casostestes[#Data],5)),"-")</f>
        <v>-</v>
      </c>
      <c r="H106" s="50" t="str">
        <f>IFERROR(IF(VLOOKUP($B106,casostestes[#Data],6)=0,"-",VLOOKUP($B106,casostestes[#Data],6)),"-")</f>
        <v>-</v>
      </c>
      <c r="I106" s="50" t="str">
        <f>IFERROR(IF(VLOOKUP($B106,casostestes[#Data],8)=0,"-",VLOOKUP($B106,casostestes[#Data],8)),"-")</f>
        <v>-</v>
      </c>
      <c r="J106" s="50" t="str">
        <f>IFERROR(IF(VLOOKUP($B106,casostestes[#Data],9)=0,"-",VLOOKUP($B106,casostestes[#Data],9)),"-")</f>
        <v>-</v>
      </c>
      <c r="K106" s="51"/>
      <c r="L106" s="57"/>
      <c r="M106" s="53"/>
      <c r="N106" s="54"/>
      <c r="O106" s="54"/>
      <c r="P106" s="55"/>
    </row>
    <row r="107" spans="2:16">
      <c r="B107" s="56" t="str">
        <f>IF(ISERR(casostestes[[#This Row],[ID]]),"-",casostestes[[#This Row],[ID]])</f>
        <v>-</v>
      </c>
      <c r="C107" s="49" t="str">
        <f>IFERROR(IF(VLOOKUP($B107,casostestes[#Data],10)=0,"Não",VLOOKUP($B107,casostestes[#Data],10)), "-")</f>
        <v>-</v>
      </c>
      <c r="D107" s="50" t="str">
        <f>IFERROR(IF(VLOOKUP($B107,casostestes[#Data],2)=0,"-",VLOOKUP($B107,casostestes[#Data],2)), "-")</f>
        <v>-</v>
      </c>
      <c r="E107" s="50" t="str">
        <f>IFERROR(IF(VLOOKUP($B107,casostestes[#Data],3)=0,"-",VLOOKUP($B107,casostestes[#Data],3)), "-")</f>
        <v>-</v>
      </c>
      <c r="F107" s="50" t="str">
        <f>IFERROR(IF(VLOOKUP($B107,casostestes[#Data],4)=0,"-",VLOOKUP($B107,casostestes[#Data],4)),"-")</f>
        <v>-</v>
      </c>
      <c r="G107" s="50" t="str">
        <f>IFERROR(IF(VLOOKUP($B107,casostestes[#Data],5)=0,"-",VLOOKUP($B107,casostestes[#Data],5)),"-")</f>
        <v>-</v>
      </c>
      <c r="H107" s="50" t="str">
        <f>IFERROR(IF(VLOOKUP($B107,casostestes[#Data],6)=0,"-",VLOOKUP($B107,casostestes[#Data],6)),"-")</f>
        <v>-</v>
      </c>
      <c r="I107" s="50" t="str">
        <f>IFERROR(IF(VLOOKUP($B107,casostestes[#Data],8)=0,"-",VLOOKUP($B107,casostestes[#Data],8)),"-")</f>
        <v>-</v>
      </c>
      <c r="J107" s="50" t="str">
        <f>IFERROR(IF(VLOOKUP($B107,casostestes[#Data],9)=0,"-",VLOOKUP($B107,casostestes[#Data],9)),"-")</f>
        <v>-</v>
      </c>
      <c r="K107" s="51"/>
      <c r="L107" s="57"/>
      <c r="M107" s="53"/>
      <c r="N107" s="54"/>
      <c r="O107" s="54"/>
      <c r="P107" s="55"/>
    </row>
    <row r="108" spans="2:16">
      <c r="B108" s="56" t="str">
        <f>IF(ISERR(casostestes[[#This Row],[ID]]),"-",casostestes[[#This Row],[ID]])</f>
        <v>-</v>
      </c>
      <c r="C108" s="49" t="str">
        <f>IFERROR(IF(VLOOKUP($B108,casostestes[#Data],10)=0,"Não",VLOOKUP($B108,casostestes[#Data],10)), "-")</f>
        <v>-</v>
      </c>
      <c r="D108" s="50" t="str">
        <f>IFERROR(IF(VLOOKUP($B108,casostestes[#Data],2)=0,"-",VLOOKUP($B108,casostestes[#Data],2)), "-")</f>
        <v>-</v>
      </c>
      <c r="E108" s="50" t="str">
        <f>IFERROR(IF(VLOOKUP($B108,casostestes[#Data],3)=0,"-",VLOOKUP($B108,casostestes[#Data],3)), "-")</f>
        <v>-</v>
      </c>
      <c r="F108" s="50" t="str">
        <f>IFERROR(IF(VLOOKUP($B108,casostestes[#Data],4)=0,"-",VLOOKUP($B108,casostestes[#Data],4)),"-")</f>
        <v>-</v>
      </c>
      <c r="G108" s="50" t="str">
        <f>IFERROR(IF(VLOOKUP($B108,casostestes[#Data],5)=0,"-",VLOOKUP($B108,casostestes[#Data],5)),"-")</f>
        <v>-</v>
      </c>
      <c r="H108" s="50" t="str">
        <f>IFERROR(IF(VLOOKUP($B108,casostestes[#Data],6)=0,"-",VLOOKUP($B108,casostestes[#Data],6)),"-")</f>
        <v>-</v>
      </c>
      <c r="I108" s="50" t="str">
        <f>IFERROR(IF(VLOOKUP($B108,casostestes[#Data],8)=0,"-",VLOOKUP($B108,casostestes[#Data],8)),"-")</f>
        <v>-</v>
      </c>
      <c r="J108" s="50" t="str">
        <f>IFERROR(IF(VLOOKUP($B108,casostestes[#Data],9)=0,"-",VLOOKUP($B108,casostestes[#Data],9)),"-")</f>
        <v>-</v>
      </c>
      <c r="K108" s="51"/>
      <c r="L108" s="57"/>
      <c r="M108" s="53"/>
      <c r="N108" s="54"/>
      <c r="O108" s="54"/>
      <c r="P108" s="55"/>
    </row>
    <row r="109" spans="2:16">
      <c r="B109" s="56" t="str">
        <f>IF(ISERR(casostestes[[#This Row],[ID]]),"-",casostestes[[#This Row],[ID]])</f>
        <v>-</v>
      </c>
      <c r="C109" s="49" t="str">
        <f>IFERROR(IF(VLOOKUP($B109,casostestes[#Data],10)=0,"Não",VLOOKUP($B109,casostestes[#Data],10)), "-")</f>
        <v>-</v>
      </c>
      <c r="D109" s="50" t="str">
        <f>IFERROR(IF(VLOOKUP($B109,casostestes[#Data],2)=0,"-",VLOOKUP($B109,casostestes[#Data],2)), "-")</f>
        <v>-</v>
      </c>
      <c r="E109" s="50" t="str">
        <f>IFERROR(IF(VLOOKUP($B109,casostestes[#Data],3)=0,"-",VLOOKUP($B109,casostestes[#Data],3)), "-")</f>
        <v>-</v>
      </c>
      <c r="F109" s="50" t="str">
        <f>IFERROR(IF(VLOOKUP($B109,casostestes[#Data],4)=0,"-",VLOOKUP($B109,casostestes[#Data],4)),"-")</f>
        <v>-</v>
      </c>
      <c r="G109" s="50" t="str">
        <f>IFERROR(IF(VLOOKUP($B109,casostestes[#Data],5)=0,"-",VLOOKUP($B109,casostestes[#Data],5)),"-")</f>
        <v>-</v>
      </c>
      <c r="H109" s="50" t="str">
        <f>IFERROR(IF(VLOOKUP($B109,casostestes[#Data],6)=0,"-",VLOOKUP($B109,casostestes[#Data],6)),"-")</f>
        <v>-</v>
      </c>
      <c r="I109" s="50" t="str">
        <f>IFERROR(IF(VLOOKUP($B109,casostestes[#Data],8)=0,"-",VLOOKUP($B109,casostestes[#Data],8)),"-")</f>
        <v>-</v>
      </c>
      <c r="J109" s="50" t="str">
        <f>IFERROR(IF(VLOOKUP($B109,casostestes[#Data],9)=0,"-",VLOOKUP($B109,casostestes[#Data],9)),"-")</f>
        <v>-</v>
      </c>
      <c r="K109" s="51"/>
      <c r="L109" s="57"/>
      <c r="M109" s="53"/>
      <c r="N109" s="54"/>
      <c r="O109" s="54"/>
      <c r="P109" s="55"/>
    </row>
    <row r="110" spans="2:16">
      <c r="B110" s="56" t="str">
        <f>IF(ISERR(casostestes[[#This Row],[ID]]),"-",casostestes[[#This Row],[ID]])</f>
        <v>-</v>
      </c>
      <c r="C110" s="49" t="str">
        <f>IFERROR(IF(VLOOKUP($B110,casostestes[#Data],10)=0,"Não",VLOOKUP($B110,casostestes[#Data],10)), "-")</f>
        <v>-</v>
      </c>
      <c r="D110" s="50" t="str">
        <f>IFERROR(IF(VLOOKUP($B110,casostestes[#Data],2)=0,"-",VLOOKUP($B110,casostestes[#Data],2)), "-")</f>
        <v>-</v>
      </c>
      <c r="E110" s="50" t="str">
        <f>IFERROR(IF(VLOOKUP($B110,casostestes[#Data],3)=0,"-",VLOOKUP($B110,casostestes[#Data],3)), "-")</f>
        <v>-</v>
      </c>
      <c r="F110" s="50" t="str">
        <f>IFERROR(IF(VLOOKUP($B110,casostestes[#Data],4)=0,"-",VLOOKUP($B110,casostestes[#Data],4)),"-")</f>
        <v>-</v>
      </c>
      <c r="G110" s="50" t="str">
        <f>IFERROR(IF(VLOOKUP($B110,casostestes[#Data],5)=0,"-",VLOOKUP($B110,casostestes[#Data],5)),"-")</f>
        <v>-</v>
      </c>
      <c r="H110" s="50" t="str">
        <f>IFERROR(IF(VLOOKUP($B110,casostestes[#Data],6)=0,"-",VLOOKUP($B110,casostestes[#Data],6)),"-")</f>
        <v>-</v>
      </c>
      <c r="I110" s="50" t="str">
        <f>IFERROR(IF(VLOOKUP($B110,casostestes[#Data],8)=0,"-",VLOOKUP($B110,casostestes[#Data],8)),"-")</f>
        <v>-</v>
      </c>
      <c r="J110" s="50" t="str">
        <f>IFERROR(IF(VLOOKUP($B110,casostestes[#Data],9)=0,"-",VLOOKUP($B110,casostestes[#Data],9)),"-")</f>
        <v>-</v>
      </c>
      <c r="K110" s="51"/>
      <c r="L110" s="57"/>
      <c r="M110" s="53"/>
      <c r="N110" s="54"/>
      <c r="O110" s="54"/>
      <c r="P110" s="55"/>
    </row>
    <row r="111" spans="2:16">
      <c r="B111" s="56" t="str">
        <f>IF(ISERR(casostestes[[#This Row],[ID]]),"-",casostestes[[#This Row],[ID]])</f>
        <v>-</v>
      </c>
      <c r="C111" s="49" t="str">
        <f>IFERROR(IF(VLOOKUP($B111,casostestes[#Data],10)=0,"Não",VLOOKUP($B111,casostestes[#Data],10)), "-")</f>
        <v>-</v>
      </c>
      <c r="D111" s="50" t="str">
        <f>IFERROR(IF(VLOOKUP($B111,casostestes[#Data],2)=0,"-",VLOOKUP($B111,casostestes[#Data],2)), "-")</f>
        <v>-</v>
      </c>
      <c r="E111" s="50" t="str">
        <f>IFERROR(IF(VLOOKUP($B111,casostestes[#Data],3)=0,"-",VLOOKUP($B111,casostestes[#Data],3)), "-")</f>
        <v>-</v>
      </c>
      <c r="F111" s="50" t="str">
        <f>IFERROR(IF(VLOOKUP($B111,casostestes[#Data],4)=0,"-",VLOOKUP($B111,casostestes[#Data],4)),"-")</f>
        <v>-</v>
      </c>
      <c r="G111" s="50" t="str">
        <f>IFERROR(IF(VLOOKUP($B111,casostestes[#Data],5)=0,"-",VLOOKUP($B111,casostestes[#Data],5)),"-")</f>
        <v>-</v>
      </c>
      <c r="H111" s="50" t="str">
        <f>IFERROR(IF(VLOOKUP($B111,casostestes[#Data],6)=0,"-",VLOOKUP($B111,casostestes[#Data],6)),"-")</f>
        <v>-</v>
      </c>
      <c r="I111" s="50" t="str">
        <f>IFERROR(IF(VLOOKUP($B111,casostestes[#Data],8)=0,"-",VLOOKUP($B111,casostestes[#Data],8)),"-")</f>
        <v>-</v>
      </c>
      <c r="J111" s="50" t="str">
        <f>IFERROR(IF(VLOOKUP($B111,casostestes[#Data],9)=0,"-",VLOOKUP($B111,casostestes[#Data],9)),"-")</f>
        <v>-</v>
      </c>
      <c r="K111" s="51"/>
      <c r="L111" s="57"/>
      <c r="M111" s="53"/>
      <c r="N111" s="54"/>
      <c r="O111" s="54"/>
      <c r="P111" s="55"/>
    </row>
    <row r="112" spans="2:16">
      <c r="B112" s="56" t="str">
        <f>IF(ISERR(casostestes[[#This Row],[ID]]),"-",casostestes[[#This Row],[ID]])</f>
        <v>-</v>
      </c>
      <c r="C112" s="49" t="str">
        <f>IFERROR(IF(VLOOKUP($B112,casostestes[#Data],10)=0,"Não",VLOOKUP($B112,casostestes[#Data],10)), "-")</f>
        <v>-</v>
      </c>
      <c r="D112" s="50" t="str">
        <f>IFERROR(IF(VLOOKUP($B112,casostestes[#Data],2)=0,"-",VLOOKUP($B112,casostestes[#Data],2)), "-")</f>
        <v>-</v>
      </c>
      <c r="E112" s="50" t="str">
        <f>IFERROR(IF(VLOOKUP($B112,casostestes[#Data],3)=0,"-",VLOOKUP($B112,casostestes[#Data],3)), "-")</f>
        <v>-</v>
      </c>
      <c r="F112" s="50" t="str">
        <f>IFERROR(IF(VLOOKUP($B112,casostestes[#Data],4)=0,"-",VLOOKUP($B112,casostestes[#Data],4)),"-")</f>
        <v>-</v>
      </c>
      <c r="G112" s="50" t="str">
        <f>IFERROR(IF(VLOOKUP($B112,casostestes[#Data],5)=0,"-",VLOOKUP($B112,casostestes[#Data],5)),"-")</f>
        <v>-</v>
      </c>
      <c r="H112" s="50" t="str">
        <f>IFERROR(IF(VLOOKUP($B112,casostestes[#Data],6)=0,"-",VLOOKUP($B112,casostestes[#Data],6)),"-")</f>
        <v>-</v>
      </c>
      <c r="I112" s="50" t="str">
        <f>IFERROR(IF(VLOOKUP($B112,casostestes[#Data],8)=0,"-",VLOOKUP($B112,casostestes[#Data],8)),"-")</f>
        <v>-</v>
      </c>
      <c r="J112" s="50" t="str">
        <f>IFERROR(IF(VLOOKUP($B112,casostestes[#Data],9)=0,"-",VLOOKUP($B112,casostestes[#Data],9)),"-")</f>
        <v>-</v>
      </c>
      <c r="K112" s="51"/>
      <c r="L112" s="57"/>
      <c r="M112" s="53"/>
      <c r="N112" s="54"/>
      <c r="O112" s="54"/>
      <c r="P112" s="55"/>
    </row>
    <row r="113" spans="2:16">
      <c r="B113" s="56" t="str">
        <f>IF(ISERR(casostestes[[#This Row],[ID]]),"-",casostestes[[#This Row],[ID]])</f>
        <v>-</v>
      </c>
      <c r="C113" s="49" t="str">
        <f>IFERROR(IF(VLOOKUP($B113,casostestes[#Data],10)=0,"Não",VLOOKUP($B113,casostestes[#Data],10)), "-")</f>
        <v>-</v>
      </c>
      <c r="D113" s="50" t="str">
        <f>IFERROR(IF(VLOOKUP($B113,casostestes[#Data],2)=0,"-",VLOOKUP($B113,casostestes[#Data],2)), "-")</f>
        <v>-</v>
      </c>
      <c r="E113" s="50" t="str">
        <f>IFERROR(IF(VLOOKUP($B113,casostestes[#Data],3)=0,"-",VLOOKUP($B113,casostestes[#Data],3)), "-")</f>
        <v>-</v>
      </c>
      <c r="F113" s="50" t="str">
        <f>IFERROR(IF(VLOOKUP($B113,casostestes[#Data],4)=0,"-",VLOOKUP($B113,casostestes[#Data],4)),"-")</f>
        <v>-</v>
      </c>
      <c r="G113" s="50" t="str">
        <f>IFERROR(IF(VLOOKUP($B113,casostestes[#Data],5)=0,"-",VLOOKUP($B113,casostestes[#Data],5)),"-")</f>
        <v>-</v>
      </c>
      <c r="H113" s="50" t="str">
        <f>IFERROR(IF(VLOOKUP($B113,casostestes[#Data],6)=0,"-",VLOOKUP($B113,casostestes[#Data],6)),"-")</f>
        <v>-</v>
      </c>
      <c r="I113" s="50" t="str">
        <f>IFERROR(IF(VLOOKUP($B113,casostestes[#Data],8)=0,"-",VLOOKUP($B113,casostestes[#Data],8)),"-")</f>
        <v>-</v>
      </c>
      <c r="J113" s="50" t="str">
        <f>IFERROR(IF(VLOOKUP($B113,casostestes[#Data],9)=0,"-",VLOOKUP($B113,casostestes[#Data],9)),"-")</f>
        <v>-</v>
      </c>
      <c r="K113" s="51"/>
      <c r="L113" s="57"/>
      <c r="M113" s="53"/>
      <c r="N113" s="54"/>
      <c r="O113" s="54"/>
      <c r="P113" s="55"/>
    </row>
    <row r="114" spans="2:16">
      <c r="B114" s="56" t="str">
        <f>IF(ISERR(casostestes[[#This Row],[ID]]),"-",casostestes[[#This Row],[ID]])</f>
        <v>-</v>
      </c>
      <c r="C114" s="49" t="str">
        <f>IFERROR(IF(VLOOKUP($B114,casostestes[#Data],10)=0,"Não",VLOOKUP($B114,casostestes[#Data],10)), "-")</f>
        <v>-</v>
      </c>
      <c r="D114" s="50" t="str">
        <f>IFERROR(IF(VLOOKUP($B114,casostestes[#Data],2)=0,"-",VLOOKUP($B114,casostestes[#Data],2)), "-")</f>
        <v>-</v>
      </c>
      <c r="E114" s="50" t="str">
        <f>IFERROR(IF(VLOOKUP($B114,casostestes[#Data],3)=0,"-",VLOOKUP($B114,casostestes[#Data],3)), "-")</f>
        <v>-</v>
      </c>
      <c r="F114" s="50" t="str">
        <f>IFERROR(IF(VLOOKUP($B114,casostestes[#Data],4)=0,"-",VLOOKUP($B114,casostestes[#Data],4)),"-")</f>
        <v>-</v>
      </c>
      <c r="G114" s="50" t="str">
        <f>IFERROR(IF(VLOOKUP($B114,casostestes[#Data],5)=0,"-",VLOOKUP($B114,casostestes[#Data],5)),"-")</f>
        <v>-</v>
      </c>
      <c r="H114" s="50" t="str">
        <f>IFERROR(IF(VLOOKUP($B114,casostestes[#Data],6)=0,"-",VLOOKUP($B114,casostestes[#Data],6)),"-")</f>
        <v>-</v>
      </c>
      <c r="I114" s="50" t="str">
        <f>IFERROR(IF(VLOOKUP($B114,casostestes[#Data],8)=0,"-",VLOOKUP($B114,casostestes[#Data],8)),"-")</f>
        <v>-</v>
      </c>
      <c r="J114" s="50" t="str">
        <f>IFERROR(IF(VLOOKUP($B114,casostestes[#Data],9)=0,"-",VLOOKUP($B114,casostestes[#Data],9)),"-")</f>
        <v>-</v>
      </c>
      <c r="K114" s="51"/>
      <c r="L114" s="57"/>
      <c r="M114" s="53"/>
      <c r="N114" s="54"/>
      <c r="O114" s="54"/>
      <c r="P114" s="55"/>
    </row>
    <row r="115" spans="2:16">
      <c r="B115" s="56" t="str">
        <f>IF(ISERR(casostestes[[#This Row],[ID]]),"-",casostestes[[#This Row],[ID]])</f>
        <v>-</v>
      </c>
      <c r="C115" s="49" t="str">
        <f>IFERROR(IF(VLOOKUP($B115,casostestes[#Data],10)=0,"Não",VLOOKUP($B115,casostestes[#Data],10)), "-")</f>
        <v>-</v>
      </c>
      <c r="D115" s="50" t="str">
        <f>IFERROR(IF(VLOOKUP($B115,casostestes[#Data],2)=0,"-",VLOOKUP($B115,casostestes[#Data],2)), "-")</f>
        <v>-</v>
      </c>
      <c r="E115" s="50" t="str">
        <f>IFERROR(IF(VLOOKUP($B115,casostestes[#Data],3)=0,"-",VLOOKUP($B115,casostestes[#Data],3)), "-")</f>
        <v>-</v>
      </c>
      <c r="F115" s="50" t="str">
        <f>IFERROR(IF(VLOOKUP($B115,casostestes[#Data],4)=0,"-",VLOOKUP($B115,casostestes[#Data],4)),"-")</f>
        <v>-</v>
      </c>
      <c r="G115" s="50" t="str">
        <f>IFERROR(IF(VLOOKUP($B115,casostestes[#Data],5)=0,"-",VLOOKUP($B115,casostestes[#Data],5)),"-")</f>
        <v>-</v>
      </c>
      <c r="H115" s="50" t="str">
        <f>IFERROR(IF(VLOOKUP($B115,casostestes[#Data],6)=0,"-",VLOOKUP($B115,casostestes[#Data],6)),"-")</f>
        <v>-</v>
      </c>
      <c r="I115" s="50" t="str">
        <f>IFERROR(IF(VLOOKUP($B115,casostestes[#Data],8)=0,"-",VLOOKUP($B115,casostestes[#Data],8)),"-")</f>
        <v>-</v>
      </c>
      <c r="J115" s="50" t="str">
        <f>IFERROR(IF(VLOOKUP($B115,casostestes[#Data],9)=0,"-",VLOOKUP($B115,casostestes[#Data],9)),"-")</f>
        <v>-</v>
      </c>
      <c r="K115" s="51"/>
      <c r="L115" s="57"/>
      <c r="M115" s="53"/>
      <c r="N115" s="54"/>
      <c r="O115" s="54"/>
      <c r="P115" s="55"/>
    </row>
    <row r="116" spans="2:16">
      <c r="B116" s="56" t="str">
        <f>IF(ISERR(casostestes[[#This Row],[ID]]),"-",casostestes[[#This Row],[ID]])</f>
        <v>-</v>
      </c>
      <c r="C116" s="49" t="str">
        <f>IFERROR(IF(VLOOKUP($B116,casostestes[#Data],10)=0,"Não",VLOOKUP($B116,casostestes[#Data],10)), "-")</f>
        <v>-</v>
      </c>
      <c r="D116" s="50" t="str">
        <f>IFERROR(IF(VLOOKUP($B116,casostestes[#Data],2)=0,"-",VLOOKUP($B116,casostestes[#Data],2)), "-")</f>
        <v>-</v>
      </c>
      <c r="E116" s="50" t="str">
        <f>IFERROR(IF(VLOOKUP($B116,casostestes[#Data],3)=0,"-",VLOOKUP($B116,casostestes[#Data],3)), "-")</f>
        <v>-</v>
      </c>
      <c r="F116" s="50" t="str">
        <f>IFERROR(IF(VLOOKUP($B116,casostestes[#Data],4)=0,"-",VLOOKUP($B116,casostestes[#Data],4)),"-")</f>
        <v>-</v>
      </c>
      <c r="G116" s="50" t="str">
        <f>IFERROR(IF(VLOOKUP($B116,casostestes[#Data],5)=0,"-",VLOOKUP($B116,casostestes[#Data],5)),"-")</f>
        <v>-</v>
      </c>
      <c r="H116" s="50" t="str">
        <f>IFERROR(IF(VLOOKUP($B116,casostestes[#Data],6)=0,"-",VLOOKUP($B116,casostestes[#Data],6)),"-")</f>
        <v>-</v>
      </c>
      <c r="I116" s="50" t="str">
        <f>IFERROR(IF(VLOOKUP($B116,casostestes[#Data],8)=0,"-",VLOOKUP($B116,casostestes[#Data],8)),"-")</f>
        <v>-</v>
      </c>
      <c r="J116" s="50" t="str">
        <f>IFERROR(IF(VLOOKUP($B116,casostestes[#Data],9)=0,"-",VLOOKUP($B116,casostestes[#Data],9)),"-")</f>
        <v>-</v>
      </c>
      <c r="K116" s="51"/>
      <c r="L116" s="57"/>
      <c r="M116" s="53"/>
      <c r="N116" s="54"/>
      <c r="O116" s="54"/>
      <c r="P116" s="55"/>
    </row>
    <row r="117" spans="2:16">
      <c r="B117" s="56" t="str">
        <f>IF(ISERR(casostestes[[#This Row],[ID]]),"-",casostestes[[#This Row],[ID]])</f>
        <v>-</v>
      </c>
      <c r="C117" s="49" t="str">
        <f>IFERROR(IF(VLOOKUP($B117,casostestes[#Data],10)=0,"Não",VLOOKUP($B117,casostestes[#Data],10)), "-")</f>
        <v>-</v>
      </c>
      <c r="D117" s="50" t="str">
        <f>IFERROR(IF(VLOOKUP($B117,casostestes[#Data],2)=0,"-",VLOOKUP($B117,casostestes[#Data],2)), "-")</f>
        <v>-</v>
      </c>
      <c r="E117" s="50" t="str">
        <f>IFERROR(IF(VLOOKUP($B117,casostestes[#Data],3)=0,"-",VLOOKUP($B117,casostestes[#Data],3)), "-")</f>
        <v>-</v>
      </c>
      <c r="F117" s="50" t="str">
        <f>IFERROR(IF(VLOOKUP($B117,casostestes[#Data],4)=0,"-",VLOOKUP($B117,casostestes[#Data],4)),"-")</f>
        <v>-</v>
      </c>
      <c r="G117" s="50" t="str">
        <f>IFERROR(IF(VLOOKUP($B117,casostestes[#Data],5)=0,"-",VLOOKUP($B117,casostestes[#Data],5)),"-")</f>
        <v>-</v>
      </c>
      <c r="H117" s="50" t="str">
        <f>IFERROR(IF(VLOOKUP($B117,casostestes[#Data],6)=0,"-",VLOOKUP($B117,casostestes[#Data],6)),"-")</f>
        <v>-</v>
      </c>
      <c r="I117" s="50" t="str">
        <f>IFERROR(IF(VLOOKUP($B117,casostestes[#Data],8)=0,"-",VLOOKUP($B117,casostestes[#Data],8)),"-")</f>
        <v>-</v>
      </c>
      <c r="J117" s="50" t="str">
        <f>IFERROR(IF(VLOOKUP($B117,casostestes[#Data],9)=0,"-",VLOOKUP($B117,casostestes[#Data],9)),"-")</f>
        <v>-</v>
      </c>
      <c r="K117" s="51"/>
      <c r="L117" s="57"/>
      <c r="M117" s="53"/>
      <c r="N117" s="54"/>
      <c r="O117" s="54"/>
      <c r="P117" s="55"/>
    </row>
    <row r="118" spans="2:16">
      <c r="B118" s="56" t="str">
        <f>IF(ISERR(casostestes[[#This Row],[ID]]),"-",casostestes[[#This Row],[ID]])</f>
        <v>-</v>
      </c>
      <c r="C118" s="49" t="str">
        <f>IFERROR(IF(VLOOKUP($B118,casostestes[#Data],10)=0,"Não",VLOOKUP($B118,casostestes[#Data],10)), "-")</f>
        <v>-</v>
      </c>
      <c r="D118" s="50" t="str">
        <f>IFERROR(IF(VLOOKUP($B118,casostestes[#Data],2)=0,"-",VLOOKUP($B118,casostestes[#Data],2)), "-")</f>
        <v>-</v>
      </c>
      <c r="E118" s="50" t="str">
        <f>IFERROR(IF(VLOOKUP($B118,casostestes[#Data],3)=0,"-",VLOOKUP($B118,casostestes[#Data],3)), "-")</f>
        <v>-</v>
      </c>
      <c r="F118" s="50" t="str">
        <f>IFERROR(IF(VLOOKUP($B118,casostestes[#Data],4)=0,"-",VLOOKUP($B118,casostestes[#Data],4)),"-")</f>
        <v>-</v>
      </c>
      <c r="G118" s="50" t="str">
        <f>IFERROR(IF(VLOOKUP($B118,casostestes[#Data],5)=0,"-",VLOOKUP($B118,casostestes[#Data],5)),"-")</f>
        <v>-</v>
      </c>
      <c r="H118" s="50" t="str">
        <f>IFERROR(IF(VLOOKUP($B118,casostestes[#Data],6)=0,"-",VLOOKUP($B118,casostestes[#Data],6)),"-")</f>
        <v>-</v>
      </c>
      <c r="I118" s="50" t="str">
        <f>IFERROR(IF(VLOOKUP($B118,casostestes[#Data],8)=0,"-",VLOOKUP($B118,casostestes[#Data],8)),"-")</f>
        <v>-</v>
      </c>
      <c r="J118" s="50" t="str">
        <f>IFERROR(IF(VLOOKUP($B118,casostestes[#Data],9)=0,"-",VLOOKUP($B118,casostestes[#Data],9)),"-")</f>
        <v>-</v>
      </c>
      <c r="K118" s="51"/>
      <c r="L118" s="57"/>
      <c r="M118" s="53"/>
      <c r="N118" s="54"/>
      <c r="O118" s="54"/>
      <c r="P118" s="55"/>
    </row>
    <row r="119" spans="2:16">
      <c r="B119" s="56" t="str">
        <f>IF(ISERR(casostestes[[#This Row],[ID]]),"-",casostestes[[#This Row],[ID]])</f>
        <v>-</v>
      </c>
      <c r="C119" s="49" t="str">
        <f>IFERROR(IF(VLOOKUP($B119,casostestes[#Data],10)=0,"Não",VLOOKUP($B119,casostestes[#Data],10)), "-")</f>
        <v>-</v>
      </c>
      <c r="D119" s="50" t="str">
        <f>IFERROR(IF(VLOOKUP($B119,casostestes[#Data],2)=0,"-",VLOOKUP($B119,casostestes[#Data],2)), "-")</f>
        <v>-</v>
      </c>
      <c r="E119" s="50" t="str">
        <f>IFERROR(IF(VLOOKUP($B119,casostestes[#Data],3)=0,"-",VLOOKUP($B119,casostestes[#Data],3)), "-")</f>
        <v>-</v>
      </c>
      <c r="F119" s="50" t="str">
        <f>IFERROR(IF(VLOOKUP($B119,casostestes[#Data],4)=0,"-",VLOOKUP($B119,casostestes[#Data],4)),"-")</f>
        <v>-</v>
      </c>
      <c r="G119" s="50" t="str">
        <f>IFERROR(IF(VLOOKUP($B119,casostestes[#Data],5)=0,"-",VLOOKUP($B119,casostestes[#Data],5)),"-")</f>
        <v>-</v>
      </c>
      <c r="H119" s="50" t="str">
        <f>IFERROR(IF(VLOOKUP($B119,casostestes[#Data],6)=0,"-",VLOOKUP($B119,casostestes[#Data],6)),"-")</f>
        <v>-</v>
      </c>
      <c r="I119" s="50" t="str">
        <f>IFERROR(IF(VLOOKUP($B119,casostestes[#Data],8)=0,"-",VLOOKUP($B119,casostestes[#Data],8)),"-")</f>
        <v>-</v>
      </c>
      <c r="J119" s="50" t="str">
        <f>IFERROR(IF(VLOOKUP($B119,casostestes[#Data],9)=0,"-",VLOOKUP($B119,casostestes[#Data],9)),"-")</f>
        <v>-</v>
      </c>
      <c r="K119" s="51"/>
      <c r="L119" s="57"/>
      <c r="M119" s="53"/>
      <c r="N119" s="54"/>
      <c r="O119" s="54"/>
      <c r="P119" s="55"/>
    </row>
    <row r="120" spans="2:16">
      <c r="B120" s="56" t="str">
        <f>IF(ISERR(casostestes[[#This Row],[ID]]),"-",casostestes[[#This Row],[ID]])</f>
        <v>-</v>
      </c>
      <c r="C120" s="49" t="str">
        <f>IFERROR(IF(VLOOKUP($B120,casostestes[#Data],10)=0,"Não",VLOOKUP($B120,casostestes[#Data],10)), "-")</f>
        <v>-</v>
      </c>
      <c r="D120" s="50" t="str">
        <f>IFERROR(IF(VLOOKUP($B120,casostestes[#Data],2)=0,"-",VLOOKUP($B120,casostestes[#Data],2)), "-")</f>
        <v>-</v>
      </c>
      <c r="E120" s="50" t="str">
        <f>IFERROR(IF(VLOOKUP($B120,casostestes[#Data],3)=0,"-",VLOOKUP($B120,casostestes[#Data],3)), "-")</f>
        <v>-</v>
      </c>
      <c r="F120" s="50" t="str">
        <f>IFERROR(IF(VLOOKUP($B120,casostestes[#Data],4)=0,"-",VLOOKUP($B120,casostestes[#Data],4)),"-")</f>
        <v>-</v>
      </c>
      <c r="G120" s="50" t="str">
        <f>IFERROR(IF(VLOOKUP($B120,casostestes[#Data],5)=0,"-",VLOOKUP($B120,casostestes[#Data],5)),"-")</f>
        <v>-</v>
      </c>
      <c r="H120" s="50" t="str">
        <f>IFERROR(IF(VLOOKUP($B120,casostestes[#Data],6)=0,"-",VLOOKUP($B120,casostestes[#Data],6)),"-")</f>
        <v>-</v>
      </c>
      <c r="I120" s="50" t="str">
        <f>IFERROR(IF(VLOOKUP($B120,casostestes[#Data],8)=0,"-",VLOOKUP($B120,casostestes[#Data],8)),"-")</f>
        <v>-</v>
      </c>
      <c r="J120" s="50" t="str">
        <f>IFERROR(IF(VLOOKUP($B120,casostestes[#Data],9)=0,"-",VLOOKUP($B120,casostestes[#Data],9)),"-")</f>
        <v>-</v>
      </c>
      <c r="K120" s="51"/>
      <c r="L120" s="57"/>
      <c r="M120" s="53"/>
      <c r="N120" s="54"/>
      <c r="O120" s="54"/>
      <c r="P120" s="55"/>
    </row>
    <row r="121" spans="2:16">
      <c r="B121" s="56" t="str">
        <f>IF(ISERR(casostestes[[#This Row],[ID]]),"-",casostestes[[#This Row],[ID]])</f>
        <v>-</v>
      </c>
      <c r="C121" s="49" t="str">
        <f>IFERROR(IF(VLOOKUP($B121,casostestes[#Data],10)=0,"Não",VLOOKUP($B121,casostestes[#Data],10)), "-")</f>
        <v>-</v>
      </c>
      <c r="D121" s="50" t="str">
        <f>IFERROR(IF(VLOOKUP($B121,casostestes[#Data],2)=0,"-",VLOOKUP($B121,casostestes[#Data],2)), "-")</f>
        <v>-</v>
      </c>
      <c r="E121" s="50" t="str">
        <f>IFERROR(IF(VLOOKUP($B121,casostestes[#Data],3)=0,"-",VLOOKUP($B121,casostestes[#Data],3)), "-")</f>
        <v>-</v>
      </c>
      <c r="F121" s="50" t="str">
        <f>IFERROR(IF(VLOOKUP($B121,casostestes[#Data],4)=0,"-",VLOOKUP($B121,casostestes[#Data],4)),"-")</f>
        <v>-</v>
      </c>
      <c r="G121" s="50" t="str">
        <f>IFERROR(IF(VLOOKUP($B121,casostestes[#Data],5)=0,"-",VLOOKUP($B121,casostestes[#Data],5)),"-")</f>
        <v>-</v>
      </c>
      <c r="H121" s="50" t="str">
        <f>IFERROR(IF(VLOOKUP($B121,casostestes[#Data],6)=0,"-",VLOOKUP($B121,casostestes[#Data],6)),"-")</f>
        <v>-</v>
      </c>
      <c r="I121" s="50" t="str">
        <f>IFERROR(IF(VLOOKUP($B121,casostestes[#Data],8)=0,"-",VLOOKUP($B121,casostestes[#Data],8)),"-")</f>
        <v>-</v>
      </c>
      <c r="J121" s="50" t="str">
        <f>IFERROR(IF(VLOOKUP($B121,casostestes[#Data],9)=0,"-",VLOOKUP($B121,casostestes[#Data],9)),"-")</f>
        <v>-</v>
      </c>
      <c r="K121" s="51"/>
      <c r="L121" s="57"/>
      <c r="M121" s="53"/>
      <c r="N121" s="54"/>
      <c r="O121" s="54"/>
      <c r="P121" s="55"/>
    </row>
    <row r="122" spans="2:16">
      <c r="B122" s="56" t="str">
        <f>IF(ISERR(casostestes[[#This Row],[ID]]),"-",casostestes[[#This Row],[ID]])</f>
        <v>-</v>
      </c>
      <c r="C122" s="49" t="str">
        <f>IFERROR(IF(VLOOKUP($B122,casostestes[#Data],10)=0,"Não",VLOOKUP($B122,casostestes[#Data],10)), "-")</f>
        <v>-</v>
      </c>
      <c r="D122" s="50" t="str">
        <f>IFERROR(IF(VLOOKUP($B122,casostestes[#Data],2)=0,"-",VLOOKUP($B122,casostestes[#Data],2)), "-")</f>
        <v>-</v>
      </c>
      <c r="E122" s="50" t="str">
        <f>IFERROR(IF(VLOOKUP($B122,casostestes[#Data],3)=0,"-",VLOOKUP($B122,casostestes[#Data],3)), "-")</f>
        <v>-</v>
      </c>
      <c r="F122" s="50" t="str">
        <f>IFERROR(IF(VLOOKUP($B122,casostestes[#Data],4)=0,"-",VLOOKUP($B122,casostestes[#Data],4)),"-")</f>
        <v>-</v>
      </c>
      <c r="G122" s="50" t="str">
        <f>IFERROR(IF(VLOOKUP($B122,casostestes[#Data],5)=0,"-",VLOOKUP($B122,casostestes[#Data],5)),"-")</f>
        <v>-</v>
      </c>
      <c r="H122" s="50" t="str">
        <f>IFERROR(IF(VLOOKUP($B122,casostestes[#Data],6)=0,"-",VLOOKUP($B122,casostestes[#Data],6)),"-")</f>
        <v>-</v>
      </c>
      <c r="I122" s="50" t="str">
        <f>IFERROR(IF(VLOOKUP($B122,casostestes[#Data],8)=0,"-",VLOOKUP($B122,casostestes[#Data],8)),"-")</f>
        <v>-</v>
      </c>
      <c r="J122" s="50" t="str">
        <f>IFERROR(IF(VLOOKUP($B122,casostestes[#Data],9)=0,"-",VLOOKUP($B122,casostestes[#Data],9)),"-")</f>
        <v>-</v>
      </c>
      <c r="K122" s="51"/>
      <c r="L122" s="57"/>
      <c r="M122" s="53"/>
      <c r="N122" s="54"/>
      <c r="O122" s="54"/>
      <c r="P122" s="55"/>
    </row>
    <row r="123" spans="2:16">
      <c r="B123" s="56" t="str">
        <f>IF(ISERR(casostestes[[#This Row],[ID]]),"-",casostestes[[#This Row],[ID]])</f>
        <v>-</v>
      </c>
      <c r="C123" s="49" t="str">
        <f>IFERROR(IF(VLOOKUP($B123,casostestes[#Data],10)=0,"Não",VLOOKUP($B123,casostestes[#Data],10)), "-")</f>
        <v>-</v>
      </c>
      <c r="D123" s="50" t="str">
        <f>IFERROR(IF(VLOOKUP($B123,casostestes[#Data],2)=0,"-",VLOOKUP($B123,casostestes[#Data],2)), "-")</f>
        <v>-</v>
      </c>
      <c r="E123" s="50" t="str">
        <f>IFERROR(IF(VLOOKUP($B123,casostestes[#Data],3)=0,"-",VLOOKUP($B123,casostestes[#Data],3)), "-")</f>
        <v>-</v>
      </c>
      <c r="F123" s="50" t="str">
        <f>IFERROR(IF(VLOOKUP($B123,casostestes[#Data],4)=0,"-",VLOOKUP($B123,casostestes[#Data],4)),"-")</f>
        <v>-</v>
      </c>
      <c r="G123" s="50" t="str">
        <f>IFERROR(IF(VLOOKUP($B123,casostestes[#Data],5)=0,"-",VLOOKUP($B123,casostestes[#Data],5)),"-")</f>
        <v>-</v>
      </c>
      <c r="H123" s="50" t="str">
        <f>IFERROR(IF(VLOOKUP($B123,casostestes[#Data],6)=0,"-",VLOOKUP($B123,casostestes[#Data],6)),"-")</f>
        <v>-</v>
      </c>
      <c r="I123" s="50" t="str">
        <f>IFERROR(IF(VLOOKUP($B123,casostestes[#Data],8)=0,"-",VLOOKUP($B123,casostestes[#Data],8)),"-")</f>
        <v>-</v>
      </c>
      <c r="J123" s="50" t="str">
        <f>IFERROR(IF(VLOOKUP($B123,casostestes[#Data],9)=0,"-",VLOOKUP($B123,casostestes[#Data],9)),"-")</f>
        <v>-</v>
      </c>
      <c r="K123" s="51"/>
      <c r="L123" s="57"/>
      <c r="M123" s="53"/>
      <c r="N123" s="54"/>
      <c r="O123" s="54"/>
      <c r="P123" s="55"/>
    </row>
    <row r="124" spans="2:16">
      <c r="B124" s="56" t="str">
        <f>IF(ISERR(casostestes[[#This Row],[ID]]),"-",casostestes[[#This Row],[ID]])</f>
        <v>-</v>
      </c>
      <c r="C124" s="49" t="str">
        <f>IFERROR(IF(VLOOKUP($B124,casostestes[#Data],10)=0,"Não",VLOOKUP($B124,casostestes[#Data],10)), "-")</f>
        <v>-</v>
      </c>
      <c r="D124" s="50" t="str">
        <f>IFERROR(IF(VLOOKUP($B124,casostestes[#Data],2)=0,"-",VLOOKUP($B124,casostestes[#Data],2)), "-")</f>
        <v>-</v>
      </c>
      <c r="E124" s="50" t="str">
        <f>IFERROR(IF(VLOOKUP($B124,casostestes[#Data],3)=0,"-",VLOOKUP($B124,casostestes[#Data],3)), "-")</f>
        <v>-</v>
      </c>
      <c r="F124" s="50" t="str">
        <f>IFERROR(IF(VLOOKUP($B124,casostestes[#Data],4)=0,"-",VLOOKUP($B124,casostestes[#Data],4)),"-")</f>
        <v>-</v>
      </c>
      <c r="G124" s="50" t="str">
        <f>IFERROR(IF(VLOOKUP($B124,casostestes[#Data],5)=0,"-",VLOOKUP($B124,casostestes[#Data],5)),"-")</f>
        <v>-</v>
      </c>
      <c r="H124" s="50" t="str">
        <f>IFERROR(IF(VLOOKUP($B124,casostestes[#Data],6)=0,"-",VLOOKUP($B124,casostestes[#Data],6)),"-")</f>
        <v>-</v>
      </c>
      <c r="I124" s="50" t="str">
        <f>IFERROR(IF(VLOOKUP($B124,casostestes[#Data],8)=0,"-",VLOOKUP($B124,casostestes[#Data],8)),"-")</f>
        <v>-</v>
      </c>
      <c r="J124" s="50" t="str">
        <f>IFERROR(IF(VLOOKUP($B124,casostestes[#Data],9)=0,"-",VLOOKUP($B124,casostestes[#Data],9)),"-")</f>
        <v>-</v>
      </c>
      <c r="K124" s="51"/>
      <c r="L124" s="57"/>
      <c r="M124" s="53"/>
      <c r="N124" s="54"/>
      <c r="O124" s="54"/>
      <c r="P124" s="55"/>
    </row>
    <row r="125" spans="2:16">
      <c r="B125" s="56" t="str">
        <f>IF(ISERR(casostestes[[#This Row],[ID]]),"-",casostestes[[#This Row],[ID]])</f>
        <v>-</v>
      </c>
      <c r="C125" s="49" t="str">
        <f>IFERROR(IF(VLOOKUP($B125,casostestes[#Data],10)=0,"Não",VLOOKUP($B125,casostestes[#Data],10)), "-")</f>
        <v>-</v>
      </c>
      <c r="D125" s="50" t="str">
        <f>IFERROR(IF(VLOOKUP($B125,casostestes[#Data],2)=0,"-",VLOOKUP($B125,casostestes[#Data],2)), "-")</f>
        <v>-</v>
      </c>
      <c r="E125" s="50" t="str">
        <f>IFERROR(IF(VLOOKUP($B125,casostestes[#Data],3)=0,"-",VLOOKUP($B125,casostestes[#Data],3)), "-")</f>
        <v>-</v>
      </c>
      <c r="F125" s="50" t="str">
        <f>IFERROR(IF(VLOOKUP($B125,casostestes[#Data],4)=0,"-",VLOOKUP($B125,casostestes[#Data],4)),"-")</f>
        <v>-</v>
      </c>
      <c r="G125" s="50" t="str">
        <f>IFERROR(IF(VLOOKUP($B125,casostestes[#Data],5)=0,"-",VLOOKUP($B125,casostestes[#Data],5)),"-")</f>
        <v>-</v>
      </c>
      <c r="H125" s="50" t="str">
        <f>IFERROR(IF(VLOOKUP($B125,casostestes[#Data],6)=0,"-",VLOOKUP($B125,casostestes[#Data],6)),"-")</f>
        <v>-</v>
      </c>
      <c r="I125" s="50" t="str">
        <f>IFERROR(IF(VLOOKUP($B125,casostestes[#Data],8)=0,"-",VLOOKUP($B125,casostestes[#Data],8)),"-")</f>
        <v>-</v>
      </c>
      <c r="J125" s="50" t="str">
        <f>IFERROR(IF(VLOOKUP($B125,casostestes[#Data],9)=0,"-",VLOOKUP($B125,casostestes[#Data],9)),"-")</f>
        <v>-</v>
      </c>
      <c r="K125" s="51"/>
      <c r="L125" s="57"/>
      <c r="M125" s="53"/>
      <c r="N125" s="54"/>
      <c r="O125" s="54"/>
      <c r="P125" s="55"/>
    </row>
    <row r="126" spans="2:16">
      <c r="B126" s="56" t="str">
        <f>IF(ISERR(casostestes[[#This Row],[ID]]),"-",casostestes[[#This Row],[ID]])</f>
        <v>-</v>
      </c>
      <c r="C126" s="49" t="str">
        <f>IFERROR(IF(VLOOKUP($B126,casostestes[#Data],10)=0,"Não",VLOOKUP($B126,casostestes[#Data],10)), "-")</f>
        <v>-</v>
      </c>
      <c r="D126" s="50" t="str">
        <f>IFERROR(IF(VLOOKUP($B126,casostestes[#Data],2)=0,"-",VLOOKUP($B126,casostestes[#Data],2)), "-")</f>
        <v>-</v>
      </c>
      <c r="E126" s="50" t="str">
        <f>IFERROR(IF(VLOOKUP($B126,casostestes[#Data],3)=0,"-",VLOOKUP($B126,casostestes[#Data],3)), "-")</f>
        <v>-</v>
      </c>
      <c r="F126" s="50" t="str">
        <f>IFERROR(IF(VLOOKUP($B126,casostestes[#Data],4)=0,"-",VLOOKUP($B126,casostestes[#Data],4)),"-")</f>
        <v>-</v>
      </c>
      <c r="G126" s="50" t="str">
        <f>IFERROR(IF(VLOOKUP($B126,casostestes[#Data],5)=0,"-",VLOOKUP($B126,casostestes[#Data],5)),"-")</f>
        <v>-</v>
      </c>
      <c r="H126" s="50" t="str">
        <f>IFERROR(IF(VLOOKUP($B126,casostestes[#Data],6)=0,"-",VLOOKUP($B126,casostestes[#Data],6)),"-")</f>
        <v>-</v>
      </c>
      <c r="I126" s="50" t="str">
        <f>IFERROR(IF(VLOOKUP($B126,casostestes[#Data],8)=0,"-",VLOOKUP($B126,casostestes[#Data],8)),"-")</f>
        <v>-</v>
      </c>
      <c r="J126" s="50" t="str">
        <f>IFERROR(IF(VLOOKUP($B126,casostestes[#Data],9)=0,"-",VLOOKUP($B126,casostestes[#Data],9)),"-")</f>
        <v>-</v>
      </c>
      <c r="K126" s="51"/>
      <c r="L126" s="57"/>
      <c r="M126" s="53"/>
      <c r="N126" s="54"/>
      <c r="O126" s="54"/>
      <c r="P126" s="55"/>
    </row>
    <row r="127" spans="2:16">
      <c r="B127" s="56" t="str">
        <f>IF(ISERR(casostestes[[#This Row],[ID]]),"-",casostestes[[#This Row],[ID]])</f>
        <v>-</v>
      </c>
      <c r="C127" s="49" t="str">
        <f>IFERROR(IF(VLOOKUP($B127,casostestes[#Data],10)=0,"Não",VLOOKUP($B127,casostestes[#Data],10)), "-")</f>
        <v>-</v>
      </c>
      <c r="D127" s="50" t="str">
        <f>IFERROR(IF(VLOOKUP($B127,casostestes[#Data],2)=0,"-",VLOOKUP($B127,casostestes[#Data],2)), "-")</f>
        <v>-</v>
      </c>
      <c r="E127" s="50" t="str">
        <f>IFERROR(IF(VLOOKUP($B127,casostestes[#Data],3)=0,"-",VLOOKUP($B127,casostestes[#Data],3)), "-")</f>
        <v>-</v>
      </c>
      <c r="F127" s="50" t="str">
        <f>IFERROR(IF(VLOOKUP($B127,casostestes[#Data],4)=0,"-",VLOOKUP($B127,casostestes[#Data],4)),"-")</f>
        <v>-</v>
      </c>
      <c r="G127" s="50" t="str">
        <f>IFERROR(IF(VLOOKUP($B127,casostestes[#Data],5)=0,"-",VLOOKUP($B127,casostestes[#Data],5)),"-")</f>
        <v>-</v>
      </c>
      <c r="H127" s="50" t="str">
        <f>IFERROR(IF(VLOOKUP($B127,casostestes[#Data],6)=0,"-",VLOOKUP($B127,casostestes[#Data],6)),"-")</f>
        <v>-</v>
      </c>
      <c r="I127" s="50" t="str">
        <f>IFERROR(IF(VLOOKUP($B127,casostestes[#Data],8)=0,"-",VLOOKUP($B127,casostestes[#Data],8)),"-")</f>
        <v>-</v>
      </c>
      <c r="J127" s="50" t="str">
        <f>IFERROR(IF(VLOOKUP($B127,casostestes[#Data],9)=0,"-",VLOOKUP($B127,casostestes[#Data],9)),"-")</f>
        <v>-</v>
      </c>
      <c r="K127" s="51"/>
      <c r="L127" s="57"/>
      <c r="M127" s="53"/>
      <c r="N127" s="54"/>
      <c r="O127" s="54"/>
      <c r="P127" s="55"/>
    </row>
    <row r="128" spans="2:16">
      <c r="B128" s="56" t="str">
        <f>IF(ISERR(casostestes[[#This Row],[ID]]),"-",casostestes[[#This Row],[ID]])</f>
        <v>-</v>
      </c>
      <c r="C128" s="49" t="str">
        <f>IFERROR(IF(VLOOKUP($B128,casostestes[#Data],10)=0,"Não",VLOOKUP($B128,casostestes[#Data],10)), "-")</f>
        <v>-</v>
      </c>
      <c r="D128" s="50" t="str">
        <f>IFERROR(IF(VLOOKUP($B128,casostestes[#Data],2)=0,"-",VLOOKUP($B128,casostestes[#Data],2)), "-")</f>
        <v>-</v>
      </c>
      <c r="E128" s="50" t="str">
        <f>IFERROR(IF(VLOOKUP($B128,casostestes[#Data],3)=0,"-",VLOOKUP($B128,casostestes[#Data],3)), "-")</f>
        <v>-</v>
      </c>
      <c r="F128" s="50" t="str">
        <f>IFERROR(IF(VLOOKUP($B128,casostestes[#Data],4)=0,"-",VLOOKUP($B128,casostestes[#Data],4)),"-")</f>
        <v>-</v>
      </c>
      <c r="G128" s="50" t="str">
        <f>IFERROR(IF(VLOOKUP($B128,casostestes[#Data],5)=0,"-",VLOOKUP($B128,casostestes[#Data],5)),"-")</f>
        <v>-</v>
      </c>
      <c r="H128" s="50" t="str">
        <f>IFERROR(IF(VLOOKUP($B128,casostestes[#Data],6)=0,"-",VLOOKUP($B128,casostestes[#Data],6)),"-")</f>
        <v>-</v>
      </c>
      <c r="I128" s="50" t="str">
        <f>IFERROR(IF(VLOOKUP($B128,casostestes[#Data],8)=0,"-",VLOOKUP($B128,casostestes[#Data],8)),"-")</f>
        <v>-</v>
      </c>
      <c r="J128" s="50" t="str">
        <f>IFERROR(IF(VLOOKUP($B128,casostestes[#Data],9)=0,"-",VLOOKUP($B128,casostestes[#Data],9)),"-")</f>
        <v>-</v>
      </c>
      <c r="K128" s="51"/>
      <c r="L128" s="57"/>
      <c r="M128" s="53"/>
      <c r="N128" s="54"/>
      <c r="O128" s="54"/>
      <c r="P128" s="55"/>
    </row>
    <row r="129" spans="2:16">
      <c r="B129" s="56" t="str">
        <f>IF(ISERR(casostestes[[#This Row],[ID]]),"-",casostestes[[#This Row],[ID]])</f>
        <v>-</v>
      </c>
      <c r="C129" s="49" t="str">
        <f>IFERROR(IF(VLOOKUP($B129,casostestes[#Data],10)=0,"Não",VLOOKUP($B129,casostestes[#Data],10)), "-")</f>
        <v>-</v>
      </c>
      <c r="D129" s="50" t="str">
        <f>IFERROR(IF(VLOOKUP($B129,casostestes[#Data],2)=0,"-",VLOOKUP($B129,casostestes[#Data],2)), "-")</f>
        <v>-</v>
      </c>
      <c r="E129" s="50" t="str">
        <f>IFERROR(IF(VLOOKUP($B129,casostestes[#Data],3)=0,"-",VLOOKUP($B129,casostestes[#Data],3)), "-")</f>
        <v>-</v>
      </c>
      <c r="F129" s="50" t="str">
        <f>IFERROR(IF(VLOOKUP($B129,casostestes[#Data],4)=0,"-",VLOOKUP($B129,casostestes[#Data],4)),"-")</f>
        <v>-</v>
      </c>
      <c r="G129" s="50" t="str">
        <f>IFERROR(IF(VLOOKUP($B129,casostestes[#Data],5)=0,"-",VLOOKUP($B129,casostestes[#Data],5)),"-")</f>
        <v>-</v>
      </c>
      <c r="H129" s="50" t="str">
        <f>IFERROR(IF(VLOOKUP($B129,casostestes[#Data],6)=0,"-",VLOOKUP($B129,casostestes[#Data],6)),"-")</f>
        <v>-</v>
      </c>
      <c r="I129" s="50" t="str">
        <f>IFERROR(IF(VLOOKUP($B129,casostestes[#Data],8)=0,"-",VLOOKUP($B129,casostestes[#Data],8)),"-")</f>
        <v>-</v>
      </c>
      <c r="J129" s="50" t="str">
        <f>IFERROR(IF(VLOOKUP($B129,casostestes[#Data],9)=0,"-",VLOOKUP($B129,casostestes[#Data],9)),"-")</f>
        <v>-</v>
      </c>
      <c r="K129" s="51"/>
      <c r="L129" s="57"/>
      <c r="M129" s="53"/>
      <c r="N129" s="54"/>
      <c r="O129" s="54"/>
      <c r="P129" s="55"/>
    </row>
    <row r="130" spans="2:16">
      <c r="B130" s="56" t="str">
        <f>IF(ISERR(casostestes[[#This Row],[ID]]),"-",casostestes[[#This Row],[ID]])</f>
        <v>-</v>
      </c>
      <c r="C130" s="49" t="str">
        <f>IFERROR(IF(VLOOKUP($B130,casostestes[#Data],10)=0,"Não",VLOOKUP($B130,casostestes[#Data],10)), "-")</f>
        <v>-</v>
      </c>
      <c r="D130" s="50" t="str">
        <f>IFERROR(IF(VLOOKUP($B130,casostestes[#Data],2)=0,"-",VLOOKUP($B130,casostestes[#Data],2)), "-")</f>
        <v>-</v>
      </c>
      <c r="E130" s="50" t="str">
        <f>IFERROR(IF(VLOOKUP($B130,casostestes[#Data],3)=0,"-",VLOOKUP($B130,casostestes[#Data],3)), "-")</f>
        <v>-</v>
      </c>
      <c r="F130" s="50" t="str">
        <f>IFERROR(IF(VLOOKUP($B130,casostestes[#Data],4)=0,"-",VLOOKUP($B130,casostestes[#Data],4)),"-")</f>
        <v>-</v>
      </c>
      <c r="G130" s="50" t="str">
        <f>IFERROR(IF(VLOOKUP($B130,casostestes[#Data],5)=0,"-",VLOOKUP($B130,casostestes[#Data],5)),"-")</f>
        <v>-</v>
      </c>
      <c r="H130" s="50" t="str">
        <f>IFERROR(IF(VLOOKUP($B130,casostestes[#Data],6)=0,"-",VLOOKUP($B130,casostestes[#Data],6)),"-")</f>
        <v>-</v>
      </c>
      <c r="I130" s="50" t="str">
        <f>IFERROR(IF(VLOOKUP($B130,casostestes[#Data],8)=0,"-",VLOOKUP($B130,casostestes[#Data],8)),"-")</f>
        <v>-</v>
      </c>
      <c r="J130" s="50" t="str">
        <f>IFERROR(IF(VLOOKUP($B130,casostestes[#Data],9)=0,"-",VLOOKUP($B130,casostestes[#Data],9)),"-")</f>
        <v>-</v>
      </c>
      <c r="K130" s="51"/>
      <c r="L130" s="57"/>
      <c r="M130" s="53"/>
      <c r="N130" s="54"/>
      <c r="O130" s="54"/>
      <c r="P130" s="55"/>
    </row>
    <row r="131" spans="2:16">
      <c r="B131" s="56" t="str">
        <f>IF(ISERR(casostestes[[#This Row],[ID]]),"-",casostestes[[#This Row],[ID]])</f>
        <v>-</v>
      </c>
      <c r="C131" s="49" t="str">
        <f>IFERROR(IF(VLOOKUP($B131,casostestes[#Data],10)=0,"Não",VLOOKUP($B131,casostestes[#Data],10)), "-")</f>
        <v>-</v>
      </c>
      <c r="D131" s="50" t="str">
        <f>IFERROR(IF(VLOOKUP($B131,casostestes[#Data],2)=0,"-",VLOOKUP($B131,casostestes[#Data],2)), "-")</f>
        <v>-</v>
      </c>
      <c r="E131" s="50" t="str">
        <f>IFERROR(IF(VLOOKUP($B131,casostestes[#Data],3)=0,"-",VLOOKUP($B131,casostestes[#Data],3)), "-")</f>
        <v>-</v>
      </c>
      <c r="F131" s="50" t="str">
        <f>IFERROR(IF(VLOOKUP($B131,casostestes[#Data],4)=0,"-",VLOOKUP($B131,casostestes[#Data],4)),"-")</f>
        <v>-</v>
      </c>
      <c r="G131" s="50" t="str">
        <f>IFERROR(IF(VLOOKUP($B131,casostestes[#Data],5)=0,"-",VLOOKUP($B131,casostestes[#Data],5)),"-")</f>
        <v>-</v>
      </c>
      <c r="H131" s="50" t="str">
        <f>IFERROR(IF(VLOOKUP($B131,casostestes[#Data],6)=0,"-",VLOOKUP($B131,casostestes[#Data],6)),"-")</f>
        <v>-</v>
      </c>
      <c r="I131" s="50" t="str">
        <f>IFERROR(IF(VLOOKUP($B131,casostestes[#Data],8)=0,"-",VLOOKUP($B131,casostestes[#Data],8)),"-")</f>
        <v>-</v>
      </c>
      <c r="J131" s="50" t="str">
        <f>IFERROR(IF(VLOOKUP($B131,casostestes[#Data],9)=0,"-",VLOOKUP($B131,casostestes[#Data],9)),"-")</f>
        <v>-</v>
      </c>
      <c r="K131" s="51"/>
      <c r="L131" s="57"/>
      <c r="M131" s="53"/>
      <c r="N131" s="54"/>
      <c r="O131" s="54"/>
      <c r="P131" s="55"/>
    </row>
    <row r="132" spans="2:16">
      <c r="B132" s="56" t="str">
        <f>IF(ISERR(casostestes[[#This Row],[ID]]),"-",casostestes[[#This Row],[ID]])</f>
        <v>-</v>
      </c>
      <c r="C132" s="49" t="str">
        <f>IFERROR(IF(VLOOKUP($B132,casostestes[#Data],10)=0,"Não",VLOOKUP($B132,casostestes[#Data],10)), "-")</f>
        <v>-</v>
      </c>
      <c r="D132" s="50" t="str">
        <f>IFERROR(IF(VLOOKUP($B132,casostestes[#Data],2)=0,"-",VLOOKUP($B132,casostestes[#Data],2)), "-")</f>
        <v>-</v>
      </c>
      <c r="E132" s="50" t="str">
        <f>IFERROR(IF(VLOOKUP($B132,casostestes[#Data],3)=0,"-",VLOOKUP($B132,casostestes[#Data],3)), "-")</f>
        <v>-</v>
      </c>
      <c r="F132" s="50" t="str">
        <f>IFERROR(IF(VLOOKUP($B132,casostestes[#Data],4)=0,"-",VLOOKUP($B132,casostestes[#Data],4)),"-")</f>
        <v>-</v>
      </c>
      <c r="G132" s="50" t="str">
        <f>IFERROR(IF(VLOOKUP($B132,casostestes[#Data],5)=0,"-",VLOOKUP($B132,casostestes[#Data],5)),"-")</f>
        <v>-</v>
      </c>
      <c r="H132" s="50" t="str">
        <f>IFERROR(IF(VLOOKUP($B132,casostestes[#Data],6)=0,"-",VLOOKUP($B132,casostestes[#Data],6)),"-")</f>
        <v>-</v>
      </c>
      <c r="I132" s="50" t="str">
        <f>IFERROR(IF(VLOOKUP($B132,casostestes[#Data],8)=0,"-",VLOOKUP($B132,casostestes[#Data],8)),"-")</f>
        <v>-</v>
      </c>
      <c r="J132" s="50" t="str">
        <f>IFERROR(IF(VLOOKUP($B132,casostestes[#Data],9)=0,"-",VLOOKUP($B132,casostestes[#Data],9)),"-")</f>
        <v>-</v>
      </c>
      <c r="K132" s="51"/>
      <c r="L132" s="57"/>
      <c r="M132" s="53"/>
      <c r="N132" s="54"/>
      <c r="O132" s="54"/>
      <c r="P132" s="55"/>
    </row>
    <row r="133" spans="2:16">
      <c r="B133" s="56" t="str">
        <f>IF(ISERR(casostestes[[#This Row],[ID]]),"-",casostestes[[#This Row],[ID]])</f>
        <v>-</v>
      </c>
      <c r="C133" s="49" t="str">
        <f>IFERROR(IF(VLOOKUP($B133,casostestes[#Data],10)=0,"Não",VLOOKUP($B133,casostestes[#Data],10)), "-")</f>
        <v>-</v>
      </c>
      <c r="D133" s="50" t="str">
        <f>IFERROR(IF(VLOOKUP($B133,casostestes[#Data],2)=0,"-",VLOOKUP($B133,casostestes[#Data],2)), "-")</f>
        <v>-</v>
      </c>
      <c r="E133" s="50" t="str">
        <f>IFERROR(IF(VLOOKUP($B133,casostestes[#Data],3)=0,"-",VLOOKUP($B133,casostestes[#Data],3)), "-")</f>
        <v>-</v>
      </c>
      <c r="F133" s="50" t="str">
        <f>IFERROR(IF(VLOOKUP($B133,casostestes[#Data],4)=0,"-",VLOOKUP($B133,casostestes[#Data],4)),"-")</f>
        <v>-</v>
      </c>
      <c r="G133" s="50" t="str">
        <f>IFERROR(IF(VLOOKUP($B133,casostestes[#Data],5)=0,"-",VLOOKUP($B133,casostestes[#Data],5)),"-")</f>
        <v>-</v>
      </c>
      <c r="H133" s="50" t="str">
        <f>IFERROR(IF(VLOOKUP($B133,casostestes[#Data],6)=0,"-",VLOOKUP($B133,casostestes[#Data],6)),"-")</f>
        <v>-</v>
      </c>
      <c r="I133" s="50" t="str">
        <f>IFERROR(IF(VLOOKUP($B133,casostestes[#Data],8)=0,"-",VLOOKUP($B133,casostestes[#Data],8)),"-")</f>
        <v>-</v>
      </c>
      <c r="J133" s="50" t="str">
        <f>IFERROR(IF(VLOOKUP($B133,casostestes[#Data],9)=0,"-",VLOOKUP($B133,casostestes[#Data],9)),"-")</f>
        <v>-</v>
      </c>
      <c r="K133" s="51"/>
      <c r="L133" s="57"/>
      <c r="M133" s="53"/>
      <c r="N133" s="54"/>
      <c r="O133" s="54"/>
      <c r="P133" s="55"/>
    </row>
    <row r="134" spans="2:16">
      <c r="B134" s="56" t="str">
        <f>IF(ISERR(casostestes[[#This Row],[ID]]),"-",casostestes[[#This Row],[ID]])</f>
        <v>-</v>
      </c>
      <c r="C134" s="49" t="str">
        <f>IFERROR(IF(VLOOKUP($B134,casostestes[#Data],10)=0,"Não",VLOOKUP($B134,casostestes[#Data],10)), "-")</f>
        <v>-</v>
      </c>
      <c r="D134" s="50" t="str">
        <f>IFERROR(IF(VLOOKUP($B134,casostestes[#Data],2)=0,"-",VLOOKUP($B134,casostestes[#Data],2)), "-")</f>
        <v>-</v>
      </c>
      <c r="E134" s="50" t="str">
        <f>IFERROR(IF(VLOOKUP($B134,casostestes[#Data],3)=0,"-",VLOOKUP($B134,casostestes[#Data],3)), "-")</f>
        <v>-</v>
      </c>
      <c r="F134" s="50" t="str">
        <f>IFERROR(IF(VLOOKUP($B134,casostestes[#Data],4)=0,"-",VLOOKUP($B134,casostestes[#Data],4)),"-")</f>
        <v>-</v>
      </c>
      <c r="G134" s="50" t="str">
        <f>IFERROR(IF(VLOOKUP($B134,casostestes[#Data],5)=0,"-",VLOOKUP($B134,casostestes[#Data],5)),"-")</f>
        <v>-</v>
      </c>
      <c r="H134" s="50" t="str">
        <f>IFERROR(IF(VLOOKUP($B134,casostestes[#Data],6)=0,"-",VLOOKUP($B134,casostestes[#Data],6)),"-")</f>
        <v>-</v>
      </c>
      <c r="I134" s="50" t="str">
        <f>IFERROR(IF(VLOOKUP($B134,casostestes[#Data],8)=0,"-",VLOOKUP($B134,casostestes[#Data],8)),"-")</f>
        <v>-</v>
      </c>
      <c r="J134" s="50" t="str">
        <f>IFERROR(IF(VLOOKUP($B134,casostestes[#Data],9)=0,"-",VLOOKUP($B134,casostestes[#Data],9)),"-")</f>
        <v>-</v>
      </c>
      <c r="K134" s="51"/>
      <c r="L134" s="57"/>
      <c r="M134" s="53"/>
      <c r="N134" s="54"/>
      <c r="O134" s="54"/>
      <c r="P134" s="55"/>
    </row>
    <row r="135" spans="2:16">
      <c r="B135" s="56" t="str">
        <f>IF(ISERR(casostestes[[#This Row],[ID]]),"-",casostestes[[#This Row],[ID]])</f>
        <v>-</v>
      </c>
      <c r="C135" s="49" t="str">
        <f>IFERROR(IF(VLOOKUP($B135,casostestes[#Data],10)=0,"Não",VLOOKUP($B135,casostestes[#Data],10)), "-")</f>
        <v>-</v>
      </c>
      <c r="D135" s="50" t="str">
        <f>IFERROR(IF(VLOOKUP($B135,casostestes[#Data],2)=0,"-",VLOOKUP($B135,casostestes[#Data],2)), "-")</f>
        <v>-</v>
      </c>
      <c r="E135" s="50" t="str">
        <f>IFERROR(IF(VLOOKUP($B135,casostestes[#Data],3)=0,"-",VLOOKUP($B135,casostestes[#Data],3)), "-")</f>
        <v>-</v>
      </c>
      <c r="F135" s="50" t="str">
        <f>IFERROR(IF(VLOOKUP($B135,casostestes[#Data],4)=0,"-",VLOOKUP($B135,casostestes[#Data],4)),"-")</f>
        <v>-</v>
      </c>
      <c r="G135" s="50" t="str">
        <f>IFERROR(IF(VLOOKUP($B135,casostestes[#Data],5)=0,"-",VLOOKUP($B135,casostestes[#Data],5)),"-")</f>
        <v>-</v>
      </c>
      <c r="H135" s="50" t="str">
        <f>IFERROR(IF(VLOOKUP($B135,casostestes[#Data],6)=0,"-",VLOOKUP($B135,casostestes[#Data],6)),"-")</f>
        <v>-</v>
      </c>
      <c r="I135" s="50" t="str">
        <f>IFERROR(IF(VLOOKUP($B135,casostestes[#Data],8)=0,"-",VLOOKUP($B135,casostestes[#Data],8)),"-")</f>
        <v>-</v>
      </c>
      <c r="J135" s="50" t="str">
        <f>IFERROR(IF(VLOOKUP($B135,casostestes[#Data],9)=0,"-",VLOOKUP($B135,casostestes[#Data],9)),"-")</f>
        <v>-</v>
      </c>
      <c r="K135" s="51"/>
      <c r="L135" s="57"/>
      <c r="M135" s="53"/>
      <c r="N135" s="54"/>
      <c r="O135" s="54"/>
      <c r="P135" s="55"/>
    </row>
    <row r="136" spans="2:16">
      <c r="B136" s="56" t="str">
        <f>IF(ISERR(casostestes[[#This Row],[ID]]),"-",casostestes[[#This Row],[ID]])</f>
        <v>-</v>
      </c>
      <c r="C136" s="49" t="str">
        <f>IFERROR(IF(VLOOKUP($B136,casostestes[#Data],10)=0,"Não",VLOOKUP($B136,casostestes[#Data],10)), "-")</f>
        <v>-</v>
      </c>
      <c r="D136" s="50" t="str">
        <f>IFERROR(IF(VLOOKUP($B136,casostestes[#Data],2)=0,"-",VLOOKUP($B136,casostestes[#Data],2)), "-")</f>
        <v>-</v>
      </c>
      <c r="E136" s="50" t="str">
        <f>IFERROR(IF(VLOOKUP($B136,casostestes[#Data],3)=0,"-",VLOOKUP($B136,casostestes[#Data],3)), "-")</f>
        <v>-</v>
      </c>
      <c r="F136" s="50" t="str">
        <f>IFERROR(IF(VLOOKUP($B136,casostestes[#Data],4)=0,"-",VLOOKUP($B136,casostestes[#Data],4)),"-")</f>
        <v>-</v>
      </c>
      <c r="G136" s="50" t="str">
        <f>IFERROR(IF(VLOOKUP($B136,casostestes[#Data],5)=0,"-",VLOOKUP($B136,casostestes[#Data],5)),"-")</f>
        <v>-</v>
      </c>
      <c r="H136" s="50" t="str">
        <f>IFERROR(IF(VLOOKUP($B136,casostestes[#Data],6)=0,"-",VLOOKUP($B136,casostestes[#Data],6)),"-")</f>
        <v>-</v>
      </c>
      <c r="I136" s="50" t="str">
        <f>IFERROR(IF(VLOOKUP($B136,casostestes[#Data],8)=0,"-",VLOOKUP($B136,casostestes[#Data],8)),"-")</f>
        <v>-</v>
      </c>
      <c r="J136" s="50" t="str">
        <f>IFERROR(IF(VLOOKUP($B136,casostestes[#Data],9)=0,"-",VLOOKUP($B136,casostestes[#Data],9)),"-")</f>
        <v>-</v>
      </c>
      <c r="K136" s="51"/>
      <c r="L136" s="57"/>
      <c r="M136" s="53"/>
      <c r="N136" s="54"/>
      <c r="O136" s="54"/>
      <c r="P136" s="55"/>
    </row>
    <row r="137" spans="2:16">
      <c r="B137" s="56" t="str">
        <f>IF(ISERR(casostestes[[#This Row],[ID]]),"-",casostestes[[#This Row],[ID]])</f>
        <v>-</v>
      </c>
      <c r="C137" s="49" t="str">
        <f>IFERROR(IF(VLOOKUP($B137,casostestes[#Data],10)=0,"Não",VLOOKUP($B137,casostestes[#Data],10)), "-")</f>
        <v>-</v>
      </c>
      <c r="D137" s="50" t="str">
        <f>IFERROR(IF(VLOOKUP($B137,casostestes[#Data],2)=0,"-",VLOOKUP($B137,casostestes[#Data],2)), "-")</f>
        <v>-</v>
      </c>
      <c r="E137" s="50" t="str">
        <f>IFERROR(IF(VLOOKUP($B137,casostestes[#Data],3)=0,"-",VLOOKUP($B137,casostestes[#Data],3)), "-")</f>
        <v>-</v>
      </c>
      <c r="F137" s="50" t="str">
        <f>IFERROR(IF(VLOOKUP($B137,casostestes[#Data],4)=0,"-",VLOOKUP($B137,casostestes[#Data],4)),"-")</f>
        <v>-</v>
      </c>
      <c r="G137" s="50" t="str">
        <f>IFERROR(IF(VLOOKUP($B137,casostestes[#Data],5)=0,"-",VLOOKUP($B137,casostestes[#Data],5)),"-")</f>
        <v>-</v>
      </c>
      <c r="H137" s="50" t="str">
        <f>IFERROR(IF(VLOOKUP($B137,casostestes[#Data],6)=0,"-",VLOOKUP($B137,casostestes[#Data],6)),"-")</f>
        <v>-</v>
      </c>
      <c r="I137" s="50" t="str">
        <f>IFERROR(IF(VLOOKUP($B137,casostestes[#Data],8)=0,"-",VLOOKUP($B137,casostestes[#Data],8)),"-")</f>
        <v>-</v>
      </c>
      <c r="J137" s="50" t="str">
        <f>IFERROR(IF(VLOOKUP($B137,casostestes[#Data],9)=0,"-",VLOOKUP($B137,casostestes[#Data],9)),"-")</f>
        <v>-</v>
      </c>
      <c r="K137" s="51"/>
      <c r="L137" s="57"/>
      <c r="M137" s="53"/>
      <c r="N137" s="54"/>
      <c r="O137" s="54"/>
      <c r="P137" s="55"/>
    </row>
    <row r="138" spans="2:16">
      <c r="B138" s="56" t="str">
        <f>IF(ISERR(casostestes[[#This Row],[ID]]),"-",casostestes[[#This Row],[ID]])</f>
        <v>-</v>
      </c>
      <c r="C138" s="49" t="str">
        <f>IFERROR(IF(VLOOKUP($B138,casostestes[#Data],10)=0,"Não",VLOOKUP($B138,casostestes[#Data],10)), "-")</f>
        <v>-</v>
      </c>
      <c r="D138" s="50" t="str">
        <f>IFERROR(IF(VLOOKUP($B138,casostestes[#Data],2)=0,"-",VLOOKUP($B138,casostestes[#Data],2)), "-")</f>
        <v>-</v>
      </c>
      <c r="E138" s="50" t="str">
        <f>IFERROR(IF(VLOOKUP($B138,casostestes[#Data],3)=0,"-",VLOOKUP($B138,casostestes[#Data],3)), "-")</f>
        <v>-</v>
      </c>
      <c r="F138" s="50" t="str">
        <f>IFERROR(IF(VLOOKUP($B138,casostestes[#Data],4)=0,"-",VLOOKUP($B138,casostestes[#Data],4)),"-")</f>
        <v>-</v>
      </c>
      <c r="G138" s="50" t="str">
        <f>IFERROR(IF(VLOOKUP($B138,casostestes[#Data],5)=0,"-",VLOOKUP($B138,casostestes[#Data],5)),"-")</f>
        <v>-</v>
      </c>
      <c r="H138" s="50" t="str">
        <f>IFERROR(IF(VLOOKUP($B138,casostestes[#Data],6)=0,"-",VLOOKUP($B138,casostestes[#Data],6)),"-")</f>
        <v>-</v>
      </c>
      <c r="I138" s="50" t="str">
        <f>IFERROR(IF(VLOOKUP($B138,casostestes[#Data],8)=0,"-",VLOOKUP($B138,casostestes[#Data],8)),"-")</f>
        <v>-</v>
      </c>
      <c r="J138" s="50" t="str">
        <f>IFERROR(IF(VLOOKUP($B138,casostestes[#Data],9)=0,"-",VLOOKUP($B138,casostestes[#Data],9)),"-")</f>
        <v>-</v>
      </c>
      <c r="K138" s="51"/>
      <c r="L138" s="57"/>
      <c r="M138" s="53"/>
      <c r="N138" s="54"/>
      <c r="O138" s="54"/>
      <c r="P138" s="55"/>
    </row>
    <row r="139" spans="2:16">
      <c r="B139" s="56" t="str">
        <f>IF(ISERR(casostestes[[#This Row],[ID]]),"-",casostestes[[#This Row],[ID]])</f>
        <v>-</v>
      </c>
      <c r="C139" s="49" t="str">
        <f>IFERROR(IF(VLOOKUP($B139,casostestes[#Data],10)=0,"Não",VLOOKUP($B139,casostestes[#Data],10)), "-")</f>
        <v>-</v>
      </c>
      <c r="D139" s="50" t="str">
        <f>IFERROR(IF(VLOOKUP($B139,casostestes[#Data],2)=0,"-",VLOOKUP($B139,casostestes[#Data],2)), "-")</f>
        <v>-</v>
      </c>
      <c r="E139" s="50" t="str">
        <f>IFERROR(IF(VLOOKUP($B139,casostestes[#Data],3)=0,"-",VLOOKUP($B139,casostestes[#Data],3)), "-")</f>
        <v>-</v>
      </c>
      <c r="F139" s="50" t="str">
        <f>IFERROR(IF(VLOOKUP($B139,casostestes[#Data],4)=0,"-",VLOOKUP($B139,casostestes[#Data],4)),"-")</f>
        <v>-</v>
      </c>
      <c r="G139" s="50" t="str">
        <f>IFERROR(IF(VLOOKUP($B139,casostestes[#Data],5)=0,"-",VLOOKUP($B139,casostestes[#Data],5)),"-")</f>
        <v>-</v>
      </c>
      <c r="H139" s="50" t="str">
        <f>IFERROR(IF(VLOOKUP($B139,casostestes[#Data],6)=0,"-",VLOOKUP($B139,casostestes[#Data],6)),"-")</f>
        <v>-</v>
      </c>
      <c r="I139" s="50" t="str">
        <f>IFERROR(IF(VLOOKUP($B139,casostestes[#Data],8)=0,"-",VLOOKUP($B139,casostestes[#Data],8)),"-")</f>
        <v>-</v>
      </c>
      <c r="J139" s="50" t="str">
        <f>IFERROR(IF(VLOOKUP($B139,casostestes[#Data],9)=0,"-",VLOOKUP($B139,casostestes[#Data],9)),"-")</f>
        <v>-</v>
      </c>
      <c r="K139" s="51"/>
      <c r="L139" s="57"/>
      <c r="M139" s="53"/>
      <c r="N139" s="54"/>
      <c r="O139" s="54"/>
      <c r="P139" s="55"/>
    </row>
    <row r="140" spans="2:16">
      <c r="B140" s="56" t="str">
        <f>IF(ISERR(casostestes[[#This Row],[ID]]),"-",casostestes[[#This Row],[ID]])</f>
        <v>-</v>
      </c>
      <c r="C140" s="49" t="str">
        <f>IFERROR(IF(VLOOKUP($B140,casostestes[#Data],10)=0,"Não",VLOOKUP($B140,casostestes[#Data],10)), "-")</f>
        <v>-</v>
      </c>
      <c r="D140" s="50" t="str">
        <f>IFERROR(IF(VLOOKUP($B140,casostestes[#Data],2)=0,"-",VLOOKUP($B140,casostestes[#Data],2)), "-")</f>
        <v>-</v>
      </c>
      <c r="E140" s="50" t="str">
        <f>IFERROR(IF(VLOOKUP($B140,casostestes[#Data],3)=0,"-",VLOOKUP($B140,casostestes[#Data],3)), "-")</f>
        <v>-</v>
      </c>
      <c r="F140" s="50" t="str">
        <f>IFERROR(IF(VLOOKUP($B140,casostestes[#Data],4)=0,"-",VLOOKUP($B140,casostestes[#Data],4)),"-")</f>
        <v>-</v>
      </c>
      <c r="G140" s="50" t="str">
        <f>IFERROR(IF(VLOOKUP($B140,casostestes[#Data],5)=0,"-",VLOOKUP($B140,casostestes[#Data],5)),"-")</f>
        <v>-</v>
      </c>
      <c r="H140" s="50" t="str">
        <f>IFERROR(IF(VLOOKUP($B140,casostestes[#Data],6)=0,"-",VLOOKUP($B140,casostestes[#Data],6)),"-")</f>
        <v>-</v>
      </c>
      <c r="I140" s="50" t="str">
        <f>IFERROR(IF(VLOOKUP($B140,casostestes[#Data],8)=0,"-",VLOOKUP($B140,casostestes[#Data],8)),"-")</f>
        <v>-</v>
      </c>
      <c r="J140" s="50" t="str">
        <f>IFERROR(IF(VLOOKUP($B140,casostestes[#Data],9)=0,"-",VLOOKUP($B140,casostestes[#Data],9)),"-")</f>
        <v>-</v>
      </c>
      <c r="K140" s="51"/>
      <c r="L140" s="57"/>
      <c r="M140" s="53"/>
      <c r="N140" s="54"/>
      <c r="O140" s="54"/>
      <c r="P140" s="55"/>
    </row>
    <row r="141" spans="2:16">
      <c r="B141" s="56" t="str">
        <f>IF(ISERR(casostestes[[#This Row],[ID]]),"-",casostestes[[#This Row],[ID]])</f>
        <v>-</v>
      </c>
      <c r="C141" s="49" t="str">
        <f>IFERROR(IF(VLOOKUP($B141,casostestes[#Data],10)=0,"Não",VLOOKUP($B141,casostestes[#Data],10)), "-")</f>
        <v>-</v>
      </c>
      <c r="D141" s="50" t="str">
        <f>IFERROR(IF(VLOOKUP($B141,casostestes[#Data],2)=0,"-",VLOOKUP($B141,casostestes[#Data],2)), "-")</f>
        <v>-</v>
      </c>
      <c r="E141" s="50" t="str">
        <f>IFERROR(IF(VLOOKUP($B141,casostestes[#Data],3)=0,"-",VLOOKUP($B141,casostestes[#Data],3)), "-")</f>
        <v>-</v>
      </c>
      <c r="F141" s="50" t="str">
        <f>IFERROR(IF(VLOOKUP($B141,casostestes[#Data],4)=0,"-",VLOOKUP($B141,casostestes[#Data],4)),"-")</f>
        <v>-</v>
      </c>
      <c r="G141" s="50" t="str">
        <f>IFERROR(IF(VLOOKUP($B141,casostestes[#Data],5)=0,"-",VLOOKUP($B141,casostestes[#Data],5)),"-")</f>
        <v>-</v>
      </c>
      <c r="H141" s="50" t="str">
        <f>IFERROR(IF(VLOOKUP($B141,casostestes[#Data],6)=0,"-",VLOOKUP($B141,casostestes[#Data],6)),"-")</f>
        <v>-</v>
      </c>
      <c r="I141" s="50" t="str">
        <f>IFERROR(IF(VLOOKUP($B141,casostestes[#Data],8)=0,"-",VLOOKUP($B141,casostestes[#Data],8)),"-")</f>
        <v>-</v>
      </c>
      <c r="J141" s="50" t="str">
        <f>IFERROR(IF(VLOOKUP($B141,casostestes[#Data],9)=0,"-",VLOOKUP($B141,casostestes[#Data],9)),"-")</f>
        <v>-</v>
      </c>
      <c r="K141" s="51"/>
      <c r="L141" s="57"/>
      <c r="M141" s="53"/>
      <c r="N141" s="54"/>
      <c r="O141" s="54"/>
      <c r="P141" s="55"/>
    </row>
    <row r="142" spans="2:16">
      <c r="B142" s="56" t="str">
        <f>IF(ISERR(casostestes[[#This Row],[ID]]),"-",casostestes[[#This Row],[ID]])</f>
        <v>-</v>
      </c>
      <c r="C142" s="49" t="str">
        <f>IFERROR(IF(VLOOKUP($B142,casostestes[#Data],10)=0,"Não",VLOOKUP($B142,casostestes[#Data],10)), "-")</f>
        <v>-</v>
      </c>
      <c r="D142" s="50" t="str">
        <f>IFERROR(IF(VLOOKUP($B142,casostestes[#Data],2)=0,"-",VLOOKUP($B142,casostestes[#Data],2)), "-")</f>
        <v>-</v>
      </c>
      <c r="E142" s="50" t="str">
        <f>IFERROR(IF(VLOOKUP($B142,casostestes[#Data],3)=0,"-",VLOOKUP($B142,casostestes[#Data],3)), "-")</f>
        <v>-</v>
      </c>
      <c r="F142" s="50" t="str">
        <f>IFERROR(IF(VLOOKUP($B142,casostestes[#Data],4)=0,"-",VLOOKUP($B142,casostestes[#Data],4)),"-")</f>
        <v>-</v>
      </c>
      <c r="G142" s="50" t="str">
        <f>IFERROR(IF(VLOOKUP($B142,casostestes[#Data],5)=0,"-",VLOOKUP($B142,casostestes[#Data],5)),"-")</f>
        <v>-</v>
      </c>
      <c r="H142" s="50" t="str">
        <f>IFERROR(IF(VLOOKUP($B142,casostestes[#Data],6)=0,"-",VLOOKUP($B142,casostestes[#Data],6)),"-")</f>
        <v>-</v>
      </c>
      <c r="I142" s="50" t="str">
        <f>IFERROR(IF(VLOOKUP($B142,casostestes[#Data],8)=0,"-",VLOOKUP($B142,casostestes[#Data],8)),"-")</f>
        <v>-</v>
      </c>
      <c r="J142" s="50" t="str">
        <f>IFERROR(IF(VLOOKUP($B142,casostestes[#Data],9)=0,"-",VLOOKUP($B142,casostestes[#Data],9)),"-")</f>
        <v>-</v>
      </c>
      <c r="K142" s="51"/>
      <c r="L142" s="57"/>
      <c r="M142" s="53"/>
      <c r="N142" s="54"/>
      <c r="O142" s="54"/>
      <c r="P142" s="55"/>
    </row>
    <row r="143" spans="2:16">
      <c r="B143" s="56" t="str">
        <f>IF(ISERR(casostestes[[#This Row],[ID]]),"-",casostestes[[#This Row],[ID]])</f>
        <v>-</v>
      </c>
      <c r="C143" s="49" t="str">
        <f>IFERROR(IF(VLOOKUP($B143,casostestes[#Data],10)=0,"Não",VLOOKUP($B143,casostestes[#Data],10)), "-")</f>
        <v>-</v>
      </c>
      <c r="D143" s="50" t="str">
        <f>IFERROR(IF(VLOOKUP($B143,casostestes[#Data],2)=0,"-",VLOOKUP($B143,casostestes[#Data],2)), "-")</f>
        <v>-</v>
      </c>
      <c r="E143" s="50" t="str">
        <f>IFERROR(IF(VLOOKUP($B143,casostestes[#Data],3)=0,"-",VLOOKUP($B143,casostestes[#Data],3)), "-")</f>
        <v>-</v>
      </c>
      <c r="F143" s="50" t="str">
        <f>IFERROR(IF(VLOOKUP($B143,casostestes[#Data],4)=0,"-",VLOOKUP($B143,casostestes[#Data],4)),"-")</f>
        <v>-</v>
      </c>
      <c r="G143" s="50" t="str">
        <f>IFERROR(IF(VLOOKUP($B143,casostestes[#Data],5)=0,"-",VLOOKUP($B143,casostestes[#Data],5)),"-")</f>
        <v>-</v>
      </c>
      <c r="H143" s="50" t="str">
        <f>IFERROR(IF(VLOOKUP($B143,casostestes[#Data],6)=0,"-",VLOOKUP($B143,casostestes[#Data],6)),"-")</f>
        <v>-</v>
      </c>
      <c r="I143" s="50" t="str">
        <f>IFERROR(IF(VLOOKUP($B143,casostestes[#Data],8)=0,"-",VLOOKUP($B143,casostestes[#Data],8)),"-")</f>
        <v>-</v>
      </c>
      <c r="J143" s="50" t="str">
        <f>IFERROR(IF(VLOOKUP($B143,casostestes[#Data],9)=0,"-",VLOOKUP($B143,casostestes[#Data],9)),"-")</f>
        <v>-</v>
      </c>
      <c r="K143" s="51"/>
      <c r="L143" s="57"/>
      <c r="M143" s="53"/>
      <c r="N143" s="54"/>
      <c r="O143" s="54"/>
      <c r="P143" s="55"/>
    </row>
    <row r="144" spans="2:16">
      <c r="B144" s="56" t="str">
        <f>IF(ISERR(casostestes[[#This Row],[ID]]),"-",casostestes[[#This Row],[ID]])</f>
        <v>-</v>
      </c>
      <c r="C144" s="49" t="str">
        <f>IFERROR(IF(VLOOKUP($B144,casostestes[#Data],10)=0,"Não",VLOOKUP($B144,casostestes[#Data],10)), "-")</f>
        <v>-</v>
      </c>
      <c r="D144" s="50" t="str">
        <f>IFERROR(IF(VLOOKUP($B144,casostestes[#Data],2)=0,"-",VLOOKUP($B144,casostestes[#Data],2)), "-")</f>
        <v>-</v>
      </c>
      <c r="E144" s="50" t="str">
        <f>IFERROR(IF(VLOOKUP($B144,casostestes[#Data],3)=0,"-",VLOOKUP($B144,casostestes[#Data],3)), "-")</f>
        <v>-</v>
      </c>
      <c r="F144" s="50" t="str">
        <f>IFERROR(IF(VLOOKUP($B144,casostestes[#Data],4)=0,"-",VLOOKUP($B144,casostestes[#Data],4)),"-")</f>
        <v>-</v>
      </c>
      <c r="G144" s="50" t="str">
        <f>IFERROR(IF(VLOOKUP($B144,casostestes[#Data],5)=0,"-",VLOOKUP($B144,casostestes[#Data],5)),"-")</f>
        <v>-</v>
      </c>
      <c r="H144" s="50" t="str">
        <f>IFERROR(IF(VLOOKUP($B144,casostestes[#Data],6)=0,"-",VLOOKUP($B144,casostestes[#Data],6)),"-")</f>
        <v>-</v>
      </c>
      <c r="I144" s="50" t="str">
        <f>IFERROR(IF(VLOOKUP($B144,casostestes[#Data],8)=0,"-",VLOOKUP($B144,casostestes[#Data],8)),"-")</f>
        <v>-</v>
      </c>
      <c r="J144" s="50" t="str">
        <f>IFERROR(IF(VLOOKUP($B144,casostestes[#Data],9)=0,"-",VLOOKUP($B144,casostestes[#Data],9)),"-")</f>
        <v>-</v>
      </c>
      <c r="K144" s="51"/>
      <c r="L144" s="57"/>
      <c r="M144" s="53"/>
      <c r="N144" s="54"/>
      <c r="O144" s="54"/>
      <c r="P144" s="55"/>
    </row>
    <row r="145" spans="2:16">
      <c r="B145" s="56" t="str">
        <f>IF(ISERR(casostestes[[#This Row],[ID]]),"-",casostestes[[#This Row],[ID]])</f>
        <v>-</v>
      </c>
      <c r="C145" s="49" t="str">
        <f>IFERROR(IF(VLOOKUP($B145,casostestes[#Data],10)=0,"Não",VLOOKUP($B145,casostestes[#Data],10)), "-")</f>
        <v>-</v>
      </c>
      <c r="D145" s="50" t="str">
        <f>IFERROR(IF(VLOOKUP($B145,casostestes[#Data],2)=0,"-",VLOOKUP($B145,casostestes[#Data],2)), "-")</f>
        <v>-</v>
      </c>
      <c r="E145" s="50" t="str">
        <f>IFERROR(IF(VLOOKUP($B145,casostestes[#Data],3)=0,"-",VLOOKUP($B145,casostestes[#Data],3)), "-")</f>
        <v>-</v>
      </c>
      <c r="F145" s="50" t="str">
        <f>IFERROR(IF(VLOOKUP($B145,casostestes[#Data],4)=0,"-",VLOOKUP($B145,casostestes[#Data],4)),"-")</f>
        <v>-</v>
      </c>
      <c r="G145" s="50" t="str">
        <f>IFERROR(IF(VLOOKUP($B145,casostestes[#Data],5)=0,"-",VLOOKUP($B145,casostestes[#Data],5)),"-")</f>
        <v>-</v>
      </c>
      <c r="H145" s="50" t="str">
        <f>IFERROR(IF(VLOOKUP($B145,casostestes[#Data],6)=0,"-",VLOOKUP($B145,casostestes[#Data],6)),"-")</f>
        <v>-</v>
      </c>
      <c r="I145" s="50" t="str">
        <f>IFERROR(IF(VLOOKUP($B145,casostestes[#Data],8)=0,"-",VLOOKUP($B145,casostestes[#Data],8)),"-")</f>
        <v>-</v>
      </c>
      <c r="J145" s="50" t="str">
        <f>IFERROR(IF(VLOOKUP($B145,casostestes[#Data],9)=0,"-",VLOOKUP($B145,casostestes[#Data],9)),"-")</f>
        <v>-</v>
      </c>
      <c r="K145" s="51"/>
      <c r="L145" s="57"/>
      <c r="M145" s="53"/>
      <c r="N145" s="54"/>
      <c r="O145" s="54"/>
      <c r="P145" s="55"/>
    </row>
    <row r="146" spans="2:16">
      <c r="B146" s="56" t="str">
        <f>IF(ISERR(casostestes[[#This Row],[ID]]),"-",casostestes[[#This Row],[ID]])</f>
        <v>-</v>
      </c>
      <c r="C146" s="49" t="str">
        <f>IFERROR(IF(VLOOKUP($B146,casostestes[#Data],10)=0,"Não",VLOOKUP($B146,casostestes[#Data],10)), "-")</f>
        <v>-</v>
      </c>
      <c r="D146" s="50" t="str">
        <f>IFERROR(IF(VLOOKUP($B146,casostestes[#Data],2)=0,"-",VLOOKUP($B146,casostestes[#Data],2)), "-")</f>
        <v>-</v>
      </c>
      <c r="E146" s="50" t="str">
        <f>IFERROR(IF(VLOOKUP($B146,casostestes[#Data],3)=0,"-",VLOOKUP($B146,casostestes[#Data],3)), "-")</f>
        <v>-</v>
      </c>
      <c r="F146" s="50" t="str">
        <f>IFERROR(IF(VLOOKUP($B146,casostestes[#Data],4)=0,"-",VLOOKUP($B146,casostestes[#Data],4)),"-")</f>
        <v>-</v>
      </c>
      <c r="G146" s="50" t="str">
        <f>IFERROR(IF(VLOOKUP($B146,casostestes[#Data],5)=0,"-",VLOOKUP($B146,casostestes[#Data],5)),"-")</f>
        <v>-</v>
      </c>
      <c r="H146" s="50" t="str">
        <f>IFERROR(IF(VLOOKUP($B146,casostestes[#Data],6)=0,"-",VLOOKUP($B146,casostestes[#Data],6)),"-")</f>
        <v>-</v>
      </c>
      <c r="I146" s="50" t="str">
        <f>IFERROR(IF(VLOOKUP($B146,casostestes[#Data],8)=0,"-",VLOOKUP($B146,casostestes[#Data],8)),"-")</f>
        <v>-</v>
      </c>
      <c r="J146" s="50" t="str">
        <f>IFERROR(IF(VLOOKUP($B146,casostestes[#Data],9)=0,"-",VLOOKUP($B146,casostestes[#Data],9)),"-")</f>
        <v>-</v>
      </c>
      <c r="K146" s="51"/>
      <c r="L146" s="57"/>
      <c r="M146" s="53"/>
      <c r="N146" s="54"/>
      <c r="O146" s="54"/>
      <c r="P146" s="55"/>
    </row>
    <row r="147" spans="2:16">
      <c r="B147" s="56" t="str">
        <f>IF(ISERR(casostestes[[#This Row],[ID]]),"-",casostestes[[#This Row],[ID]])</f>
        <v>-</v>
      </c>
      <c r="C147" s="49" t="str">
        <f>IFERROR(IF(VLOOKUP($B147,casostestes[#Data],10)=0,"Não",VLOOKUP($B147,casostestes[#Data],10)), "-")</f>
        <v>-</v>
      </c>
      <c r="D147" s="50" t="str">
        <f>IFERROR(IF(VLOOKUP($B147,casostestes[#Data],2)=0,"-",VLOOKUP($B147,casostestes[#Data],2)), "-")</f>
        <v>-</v>
      </c>
      <c r="E147" s="50" t="str">
        <f>IFERROR(IF(VLOOKUP($B147,casostestes[#Data],3)=0,"-",VLOOKUP($B147,casostestes[#Data],3)), "-")</f>
        <v>-</v>
      </c>
      <c r="F147" s="50" t="str">
        <f>IFERROR(IF(VLOOKUP($B147,casostestes[#Data],4)=0,"-",VLOOKUP($B147,casostestes[#Data],4)),"-")</f>
        <v>-</v>
      </c>
      <c r="G147" s="50" t="str">
        <f>IFERROR(IF(VLOOKUP($B147,casostestes[#Data],5)=0,"-",VLOOKUP($B147,casostestes[#Data],5)),"-")</f>
        <v>-</v>
      </c>
      <c r="H147" s="50" t="str">
        <f>IFERROR(IF(VLOOKUP($B147,casostestes[#Data],6)=0,"-",VLOOKUP($B147,casostestes[#Data],6)),"-")</f>
        <v>-</v>
      </c>
      <c r="I147" s="50" t="str">
        <f>IFERROR(IF(VLOOKUP($B147,casostestes[#Data],8)=0,"-",VLOOKUP($B147,casostestes[#Data],8)),"-")</f>
        <v>-</v>
      </c>
      <c r="J147" s="50" t="str">
        <f>IFERROR(IF(VLOOKUP($B147,casostestes[#Data],9)=0,"-",VLOOKUP($B147,casostestes[#Data],9)),"-")</f>
        <v>-</v>
      </c>
      <c r="K147" s="51"/>
      <c r="L147" s="57"/>
      <c r="M147" s="53"/>
      <c r="N147" s="54"/>
      <c r="O147" s="54"/>
      <c r="P147" s="55"/>
    </row>
    <row r="148" spans="2:16">
      <c r="B148" s="56" t="str">
        <f>IF(ISERR(casostestes[[#This Row],[ID]]),"-",casostestes[[#This Row],[ID]])</f>
        <v>-</v>
      </c>
      <c r="C148" s="49" t="str">
        <f>IFERROR(IF(VLOOKUP($B148,casostestes[#Data],10)=0,"Não",VLOOKUP($B148,casostestes[#Data],10)), "-")</f>
        <v>-</v>
      </c>
      <c r="D148" s="50" t="str">
        <f>IFERROR(IF(VLOOKUP($B148,casostestes[#Data],2)=0,"-",VLOOKUP($B148,casostestes[#Data],2)), "-")</f>
        <v>-</v>
      </c>
      <c r="E148" s="50" t="str">
        <f>IFERROR(IF(VLOOKUP($B148,casostestes[#Data],3)=0,"-",VLOOKUP($B148,casostestes[#Data],3)), "-")</f>
        <v>-</v>
      </c>
      <c r="F148" s="50" t="str">
        <f>IFERROR(IF(VLOOKUP($B148,casostestes[#Data],4)=0,"-",VLOOKUP($B148,casostestes[#Data],4)),"-")</f>
        <v>-</v>
      </c>
      <c r="G148" s="50" t="str">
        <f>IFERROR(IF(VLOOKUP($B148,casostestes[#Data],5)=0,"-",VLOOKUP($B148,casostestes[#Data],5)),"-")</f>
        <v>-</v>
      </c>
      <c r="H148" s="50" t="str">
        <f>IFERROR(IF(VLOOKUP($B148,casostestes[#Data],6)=0,"-",VLOOKUP($B148,casostestes[#Data],6)),"-")</f>
        <v>-</v>
      </c>
      <c r="I148" s="50" t="str">
        <f>IFERROR(IF(VLOOKUP($B148,casostestes[#Data],8)=0,"-",VLOOKUP($B148,casostestes[#Data],8)),"-")</f>
        <v>-</v>
      </c>
      <c r="J148" s="50" t="str">
        <f>IFERROR(IF(VLOOKUP($B148,casostestes[#Data],9)=0,"-",VLOOKUP($B148,casostestes[#Data],9)),"-")</f>
        <v>-</v>
      </c>
      <c r="K148" s="51"/>
      <c r="L148" s="57"/>
      <c r="M148" s="53"/>
      <c r="N148" s="54"/>
      <c r="O148" s="54"/>
      <c r="P148" s="55"/>
    </row>
    <row r="149" spans="2:16">
      <c r="B149" s="56" t="str">
        <f>IF(ISERR(casostestes[[#This Row],[ID]]),"-",casostestes[[#This Row],[ID]])</f>
        <v>-</v>
      </c>
      <c r="C149" s="49" t="str">
        <f>IFERROR(IF(VLOOKUP($B149,casostestes[#Data],10)=0,"Não",VLOOKUP($B149,casostestes[#Data],10)), "-")</f>
        <v>-</v>
      </c>
      <c r="D149" s="50" t="str">
        <f>IFERROR(IF(VLOOKUP($B149,casostestes[#Data],2)=0,"-",VLOOKUP($B149,casostestes[#Data],2)), "-")</f>
        <v>-</v>
      </c>
      <c r="E149" s="50" t="str">
        <f>IFERROR(IF(VLOOKUP($B149,casostestes[#Data],3)=0,"-",VLOOKUP($B149,casostestes[#Data],3)), "-")</f>
        <v>-</v>
      </c>
      <c r="F149" s="50" t="str">
        <f>IFERROR(IF(VLOOKUP($B149,casostestes[#Data],4)=0,"-",VLOOKUP($B149,casostestes[#Data],4)),"-")</f>
        <v>-</v>
      </c>
      <c r="G149" s="50" t="str">
        <f>IFERROR(IF(VLOOKUP($B149,casostestes[#Data],5)=0,"-",VLOOKUP($B149,casostestes[#Data],5)),"-")</f>
        <v>-</v>
      </c>
      <c r="H149" s="50" t="str">
        <f>IFERROR(IF(VLOOKUP($B149,casostestes[#Data],6)=0,"-",VLOOKUP($B149,casostestes[#Data],6)),"-")</f>
        <v>-</v>
      </c>
      <c r="I149" s="50" t="str">
        <f>IFERROR(IF(VLOOKUP($B149,casostestes[#Data],8)=0,"-",VLOOKUP($B149,casostestes[#Data],8)),"-")</f>
        <v>-</v>
      </c>
      <c r="J149" s="50" t="str">
        <f>IFERROR(IF(VLOOKUP($B149,casostestes[#Data],9)=0,"-",VLOOKUP($B149,casostestes[#Data],9)),"-")</f>
        <v>-</v>
      </c>
      <c r="K149" s="51"/>
      <c r="L149" s="57"/>
      <c r="M149" s="53"/>
      <c r="N149" s="54"/>
      <c r="O149" s="54"/>
      <c r="P149" s="55"/>
    </row>
    <row r="150" spans="2:16">
      <c r="B150" s="56" t="str">
        <f>IF(ISERR(casostestes[[#This Row],[ID]]),"-",casostestes[[#This Row],[ID]])</f>
        <v>-</v>
      </c>
      <c r="C150" s="49" t="str">
        <f>IFERROR(IF(VLOOKUP($B150,casostestes[#Data],10)=0,"Não",VLOOKUP($B150,casostestes[#Data],10)), "-")</f>
        <v>-</v>
      </c>
      <c r="D150" s="50" t="str">
        <f>IFERROR(IF(VLOOKUP($B150,casostestes[#Data],2)=0,"-",VLOOKUP($B150,casostestes[#Data],2)), "-")</f>
        <v>-</v>
      </c>
      <c r="E150" s="50" t="str">
        <f>IFERROR(IF(VLOOKUP($B150,casostestes[#Data],3)=0,"-",VLOOKUP($B150,casostestes[#Data],3)), "-")</f>
        <v>-</v>
      </c>
      <c r="F150" s="50" t="str">
        <f>IFERROR(IF(VLOOKUP($B150,casostestes[#Data],4)=0,"-",VLOOKUP($B150,casostestes[#Data],4)),"-")</f>
        <v>-</v>
      </c>
      <c r="G150" s="50" t="str">
        <f>IFERROR(IF(VLOOKUP($B150,casostestes[#Data],5)=0,"-",VLOOKUP($B150,casostestes[#Data],5)),"-")</f>
        <v>-</v>
      </c>
      <c r="H150" s="50" t="str">
        <f>IFERROR(IF(VLOOKUP($B150,casostestes[#Data],6)=0,"-",VLOOKUP($B150,casostestes[#Data],6)),"-")</f>
        <v>-</v>
      </c>
      <c r="I150" s="50" t="str">
        <f>IFERROR(IF(VLOOKUP($B150,casostestes[#Data],8)=0,"-",VLOOKUP($B150,casostestes[#Data],8)),"-")</f>
        <v>-</v>
      </c>
      <c r="J150" s="50" t="str">
        <f>IFERROR(IF(VLOOKUP($B150,casostestes[#Data],9)=0,"-",VLOOKUP($B150,casostestes[#Data],9)),"-")</f>
        <v>-</v>
      </c>
      <c r="K150" s="51"/>
      <c r="L150" s="57"/>
      <c r="M150" s="53"/>
      <c r="N150" s="54"/>
      <c r="O150" s="54"/>
      <c r="P150" s="55"/>
    </row>
    <row r="151" spans="2:16">
      <c r="B151" s="56" t="str">
        <f>IF(ISERR(casostestes[[#This Row],[ID]]),"-",casostestes[[#This Row],[ID]])</f>
        <v>-</v>
      </c>
      <c r="C151" s="49" t="str">
        <f>IFERROR(IF(VLOOKUP($B151,casostestes[#Data],10)=0,"Não",VLOOKUP($B151,casostestes[#Data],10)), "-")</f>
        <v>-</v>
      </c>
      <c r="D151" s="50" t="str">
        <f>IFERROR(IF(VLOOKUP($B151,casostestes[#Data],2)=0,"-",VLOOKUP($B151,casostestes[#Data],2)), "-")</f>
        <v>-</v>
      </c>
      <c r="E151" s="50" t="str">
        <f>IFERROR(IF(VLOOKUP($B151,casostestes[#Data],3)=0,"-",VLOOKUP($B151,casostestes[#Data],3)), "-")</f>
        <v>-</v>
      </c>
      <c r="F151" s="50" t="str">
        <f>IFERROR(IF(VLOOKUP($B151,casostestes[#Data],4)=0,"-",VLOOKUP($B151,casostestes[#Data],4)),"-")</f>
        <v>-</v>
      </c>
      <c r="G151" s="50" t="str">
        <f>IFERROR(IF(VLOOKUP($B151,casostestes[#Data],5)=0,"-",VLOOKUP($B151,casostestes[#Data],5)),"-")</f>
        <v>-</v>
      </c>
      <c r="H151" s="50" t="str">
        <f>IFERROR(IF(VLOOKUP($B151,casostestes[#Data],6)=0,"-",VLOOKUP($B151,casostestes[#Data],6)),"-")</f>
        <v>-</v>
      </c>
      <c r="I151" s="50" t="str">
        <f>IFERROR(IF(VLOOKUP($B151,casostestes[#Data],8)=0,"-",VLOOKUP($B151,casostestes[#Data],8)),"-")</f>
        <v>-</v>
      </c>
      <c r="J151" s="50" t="str">
        <f>IFERROR(IF(VLOOKUP($B151,casostestes[#Data],9)=0,"-",VLOOKUP($B151,casostestes[#Data],9)),"-")</f>
        <v>-</v>
      </c>
      <c r="K151" s="51"/>
      <c r="L151" s="57"/>
      <c r="M151" s="53"/>
      <c r="N151" s="54"/>
      <c r="O151" s="54"/>
      <c r="P151" s="55"/>
    </row>
    <row r="152" spans="2:16">
      <c r="B152" s="56" t="str">
        <f>IF(ISERR(casostestes[[#This Row],[ID]]),"-",casostestes[[#This Row],[ID]])</f>
        <v>-</v>
      </c>
      <c r="C152" s="49" t="str">
        <f>IFERROR(IF(VLOOKUP($B152,casostestes[#Data],10)=0,"Não",VLOOKUP($B152,casostestes[#Data],10)), "-")</f>
        <v>-</v>
      </c>
      <c r="D152" s="50" t="str">
        <f>IFERROR(IF(VLOOKUP($B152,casostestes[#Data],2)=0,"-",VLOOKUP($B152,casostestes[#Data],2)), "-")</f>
        <v>-</v>
      </c>
      <c r="E152" s="50" t="str">
        <f>IFERROR(IF(VLOOKUP($B152,casostestes[#Data],3)=0,"-",VLOOKUP($B152,casostestes[#Data],3)), "-")</f>
        <v>-</v>
      </c>
      <c r="F152" s="50" t="str">
        <f>IFERROR(IF(VLOOKUP($B152,casostestes[#Data],4)=0,"-",VLOOKUP($B152,casostestes[#Data],4)),"-")</f>
        <v>-</v>
      </c>
      <c r="G152" s="50" t="str">
        <f>IFERROR(IF(VLOOKUP($B152,casostestes[#Data],5)=0,"-",VLOOKUP($B152,casostestes[#Data],5)),"-")</f>
        <v>-</v>
      </c>
      <c r="H152" s="50" t="str">
        <f>IFERROR(IF(VLOOKUP($B152,casostestes[#Data],6)=0,"-",VLOOKUP($B152,casostestes[#Data],6)),"-")</f>
        <v>-</v>
      </c>
      <c r="I152" s="50" t="str">
        <f>IFERROR(IF(VLOOKUP($B152,casostestes[#Data],8)=0,"-",VLOOKUP($B152,casostestes[#Data],8)),"-")</f>
        <v>-</v>
      </c>
      <c r="J152" s="50" t="str">
        <f>IFERROR(IF(VLOOKUP($B152,casostestes[#Data],9)=0,"-",VLOOKUP($B152,casostestes[#Data],9)),"-")</f>
        <v>-</v>
      </c>
      <c r="K152" s="51"/>
      <c r="L152" s="57"/>
      <c r="M152" s="53"/>
      <c r="N152" s="54"/>
      <c r="O152" s="54"/>
      <c r="P152" s="55"/>
    </row>
    <row r="153" spans="2:16">
      <c r="B153" s="56" t="str">
        <f>IF(ISERR(casostestes[[#This Row],[ID]]),"-",casostestes[[#This Row],[ID]])</f>
        <v>-</v>
      </c>
      <c r="C153" s="49" t="str">
        <f>IFERROR(IF(VLOOKUP($B153,casostestes[#Data],10)=0,"Não",VLOOKUP($B153,casostestes[#Data],10)), "-")</f>
        <v>-</v>
      </c>
      <c r="D153" s="50" t="str">
        <f>IFERROR(IF(VLOOKUP($B153,casostestes[#Data],2)=0,"-",VLOOKUP($B153,casostestes[#Data],2)), "-")</f>
        <v>-</v>
      </c>
      <c r="E153" s="50" t="str">
        <f>IFERROR(IF(VLOOKUP($B153,casostestes[#Data],3)=0,"-",VLOOKUP($B153,casostestes[#Data],3)), "-")</f>
        <v>-</v>
      </c>
      <c r="F153" s="50" t="str">
        <f>IFERROR(IF(VLOOKUP($B153,casostestes[#Data],4)=0,"-",VLOOKUP($B153,casostestes[#Data],4)),"-")</f>
        <v>-</v>
      </c>
      <c r="G153" s="50" t="str">
        <f>IFERROR(IF(VLOOKUP($B153,casostestes[#Data],5)=0,"-",VLOOKUP($B153,casostestes[#Data],5)),"-")</f>
        <v>-</v>
      </c>
      <c r="H153" s="50" t="str">
        <f>IFERROR(IF(VLOOKUP($B153,casostestes[#Data],6)=0,"-",VLOOKUP($B153,casostestes[#Data],6)),"-")</f>
        <v>-</v>
      </c>
      <c r="I153" s="50" t="str">
        <f>IFERROR(IF(VLOOKUP($B153,casostestes[#Data],8)=0,"-",VLOOKUP($B153,casostestes[#Data],8)),"-")</f>
        <v>-</v>
      </c>
      <c r="J153" s="50" t="str">
        <f>IFERROR(IF(VLOOKUP($B153,casostestes[#Data],9)=0,"-",VLOOKUP($B153,casostestes[#Data],9)),"-")</f>
        <v>-</v>
      </c>
      <c r="K153" s="51"/>
      <c r="L153" s="57"/>
      <c r="M153" s="53"/>
      <c r="N153" s="54"/>
      <c r="O153" s="54"/>
      <c r="P153" s="55"/>
    </row>
    <row r="154" spans="2:16">
      <c r="B154" s="56" t="str">
        <f>IF(ISERR(casostestes[[#This Row],[ID]]),"-",casostestes[[#This Row],[ID]])</f>
        <v>-</v>
      </c>
      <c r="C154" s="49" t="str">
        <f>IFERROR(IF(VLOOKUP($B154,casostestes[#Data],10)=0,"Não",VLOOKUP($B154,casostestes[#Data],10)), "-")</f>
        <v>-</v>
      </c>
      <c r="D154" s="50" t="str">
        <f>IFERROR(IF(VLOOKUP($B154,casostestes[#Data],2)=0,"-",VLOOKUP($B154,casostestes[#Data],2)), "-")</f>
        <v>-</v>
      </c>
      <c r="E154" s="50" t="str">
        <f>IFERROR(IF(VLOOKUP($B154,casostestes[#Data],3)=0,"-",VLOOKUP($B154,casostestes[#Data],3)), "-")</f>
        <v>-</v>
      </c>
      <c r="F154" s="50" t="str">
        <f>IFERROR(IF(VLOOKUP($B154,casostestes[#Data],4)=0,"-",VLOOKUP($B154,casostestes[#Data],4)),"-")</f>
        <v>-</v>
      </c>
      <c r="G154" s="50" t="str">
        <f>IFERROR(IF(VLOOKUP($B154,casostestes[#Data],5)=0,"-",VLOOKUP($B154,casostestes[#Data],5)),"-")</f>
        <v>-</v>
      </c>
      <c r="H154" s="50" t="str">
        <f>IFERROR(IF(VLOOKUP($B154,casostestes[#Data],6)=0,"-",VLOOKUP($B154,casostestes[#Data],6)),"-")</f>
        <v>-</v>
      </c>
      <c r="I154" s="50" t="str">
        <f>IFERROR(IF(VLOOKUP($B154,casostestes[#Data],8)=0,"-",VLOOKUP($B154,casostestes[#Data],8)),"-")</f>
        <v>-</v>
      </c>
      <c r="J154" s="50" t="str">
        <f>IFERROR(IF(VLOOKUP($B154,casostestes[#Data],9)=0,"-",VLOOKUP($B154,casostestes[#Data],9)),"-")</f>
        <v>-</v>
      </c>
      <c r="K154" s="51"/>
      <c r="L154" s="57"/>
      <c r="M154" s="53"/>
      <c r="N154" s="54"/>
      <c r="O154" s="54"/>
      <c r="P154" s="55"/>
    </row>
    <row r="155" spans="2:16">
      <c r="B155" s="56" t="str">
        <f>IF(ISERR(casostestes[[#This Row],[ID]]),"-",casostestes[[#This Row],[ID]])</f>
        <v>-</v>
      </c>
      <c r="C155" s="49" t="str">
        <f>IFERROR(IF(VLOOKUP($B155,casostestes[#Data],10)=0,"Não",VLOOKUP($B155,casostestes[#Data],10)), "-")</f>
        <v>-</v>
      </c>
      <c r="D155" s="50" t="str">
        <f>IFERROR(IF(VLOOKUP($B155,casostestes[#Data],2)=0,"-",VLOOKUP($B155,casostestes[#Data],2)), "-")</f>
        <v>-</v>
      </c>
      <c r="E155" s="50" t="str">
        <f>IFERROR(IF(VLOOKUP($B155,casostestes[#Data],3)=0,"-",VLOOKUP($B155,casostestes[#Data],3)), "-")</f>
        <v>-</v>
      </c>
      <c r="F155" s="50" t="str">
        <f>IFERROR(IF(VLOOKUP($B155,casostestes[#Data],4)=0,"-",VLOOKUP($B155,casostestes[#Data],4)),"-")</f>
        <v>-</v>
      </c>
      <c r="G155" s="50" t="str">
        <f>IFERROR(IF(VLOOKUP($B155,casostestes[#Data],5)=0,"-",VLOOKUP($B155,casostestes[#Data],5)),"-")</f>
        <v>-</v>
      </c>
      <c r="H155" s="50" t="str">
        <f>IFERROR(IF(VLOOKUP($B155,casostestes[#Data],6)=0,"-",VLOOKUP($B155,casostestes[#Data],6)),"-")</f>
        <v>-</v>
      </c>
      <c r="I155" s="50" t="str">
        <f>IFERROR(IF(VLOOKUP($B155,casostestes[#Data],8)=0,"-",VLOOKUP($B155,casostestes[#Data],8)),"-")</f>
        <v>-</v>
      </c>
      <c r="J155" s="50" t="str">
        <f>IFERROR(IF(VLOOKUP($B155,casostestes[#Data],9)=0,"-",VLOOKUP($B155,casostestes[#Data],9)),"-")</f>
        <v>-</v>
      </c>
      <c r="K155" s="51"/>
      <c r="L155" s="57"/>
      <c r="M155" s="53"/>
      <c r="N155" s="54"/>
      <c r="O155" s="54"/>
      <c r="P155" s="55"/>
    </row>
    <row r="156" spans="2:16">
      <c r="B156" s="56" t="str">
        <f>IF(ISERR(casostestes[[#This Row],[ID]]),"-",casostestes[[#This Row],[ID]])</f>
        <v>-</v>
      </c>
      <c r="C156" s="49" t="str">
        <f>IFERROR(IF(VLOOKUP($B156,casostestes[#Data],10)=0,"Não",VLOOKUP($B156,casostestes[#Data],10)), "-")</f>
        <v>-</v>
      </c>
      <c r="D156" s="50" t="str">
        <f>IFERROR(IF(VLOOKUP($B156,casostestes[#Data],2)=0,"-",VLOOKUP($B156,casostestes[#Data],2)), "-")</f>
        <v>-</v>
      </c>
      <c r="E156" s="50" t="str">
        <f>IFERROR(IF(VLOOKUP($B156,casostestes[#Data],3)=0,"-",VLOOKUP($B156,casostestes[#Data],3)), "-")</f>
        <v>-</v>
      </c>
      <c r="F156" s="50" t="str">
        <f>IFERROR(IF(VLOOKUP($B156,casostestes[#Data],4)=0,"-",VLOOKUP($B156,casostestes[#Data],4)),"-")</f>
        <v>-</v>
      </c>
      <c r="G156" s="50" t="str">
        <f>IFERROR(IF(VLOOKUP($B156,casostestes[#Data],5)=0,"-",VLOOKUP($B156,casostestes[#Data],5)),"-")</f>
        <v>-</v>
      </c>
      <c r="H156" s="50" t="str">
        <f>IFERROR(IF(VLOOKUP($B156,casostestes[#Data],6)=0,"-",VLOOKUP($B156,casostestes[#Data],6)),"-")</f>
        <v>-</v>
      </c>
      <c r="I156" s="50" t="str">
        <f>IFERROR(IF(VLOOKUP($B156,casostestes[#Data],8)=0,"-",VLOOKUP($B156,casostestes[#Data],8)),"-")</f>
        <v>-</v>
      </c>
      <c r="J156" s="50" t="str">
        <f>IFERROR(IF(VLOOKUP($B156,casostestes[#Data],9)=0,"-",VLOOKUP($B156,casostestes[#Data],9)),"-")</f>
        <v>-</v>
      </c>
      <c r="K156" s="51"/>
      <c r="L156" s="57"/>
      <c r="M156" s="53"/>
      <c r="N156" s="54"/>
      <c r="O156" s="54"/>
      <c r="P156" s="55"/>
    </row>
    <row r="157" spans="2:16">
      <c r="B157" s="56" t="str">
        <f>IF(ISERR(casostestes[[#This Row],[ID]]),"-",casostestes[[#This Row],[ID]])</f>
        <v>-</v>
      </c>
      <c r="C157" s="49" t="str">
        <f>IFERROR(IF(VLOOKUP($B157,casostestes[#Data],10)=0,"Não",VLOOKUP($B157,casostestes[#Data],10)), "-")</f>
        <v>-</v>
      </c>
      <c r="D157" s="50" t="str">
        <f>IFERROR(IF(VLOOKUP($B157,casostestes[#Data],2)=0,"-",VLOOKUP($B157,casostestes[#Data],2)), "-")</f>
        <v>-</v>
      </c>
      <c r="E157" s="50" t="str">
        <f>IFERROR(IF(VLOOKUP($B157,casostestes[#Data],3)=0,"-",VLOOKUP($B157,casostestes[#Data],3)), "-")</f>
        <v>-</v>
      </c>
      <c r="F157" s="50" t="str">
        <f>IFERROR(IF(VLOOKUP($B157,casostestes[#Data],4)=0,"-",VLOOKUP($B157,casostestes[#Data],4)),"-")</f>
        <v>-</v>
      </c>
      <c r="G157" s="50" t="str">
        <f>IFERROR(IF(VLOOKUP($B157,casostestes[#Data],5)=0,"-",VLOOKUP($B157,casostestes[#Data],5)),"-")</f>
        <v>-</v>
      </c>
      <c r="H157" s="50" t="str">
        <f>IFERROR(IF(VLOOKUP($B157,casostestes[#Data],6)=0,"-",VLOOKUP($B157,casostestes[#Data],6)),"-")</f>
        <v>-</v>
      </c>
      <c r="I157" s="50" t="str">
        <f>IFERROR(IF(VLOOKUP($B157,casostestes[#Data],8)=0,"-",VLOOKUP($B157,casostestes[#Data],8)),"-")</f>
        <v>-</v>
      </c>
      <c r="J157" s="50" t="str">
        <f>IFERROR(IF(VLOOKUP($B157,casostestes[#Data],9)=0,"-",VLOOKUP($B157,casostestes[#Data],9)),"-")</f>
        <v>-</v>
      </c>
      <c r="K157" s="51"/>
      <c r="L157" s="57"/>
      <c r="M157" s="53"/>
      <c r="N157" s="54"/>
      <c r="O157" s="54"/>
      <c r="P157" s="55"/>
    </row>
    <row r="158" spans="2:16">
      <c r="B158" s="56" t="str">
        <f>IF(ISERR(casostestes[[#This Row],[ID]]),"-",casostestes[[#This Row],[ID]])</f>
        <v>-</v>
      </c>
      <c r="C158" s="49" t="str">
        <f>IFERROR(IF(VLOOKUP($B158,casostestes[#Data],10)=0,"Não",VLOOKUP($B158,casostestes[#Data],10)), "-")</f>
        <v>-</v>
      </c>
      <c r="D158" s="50" t="str">
        <f>IFERROR(IF(VLOOKUP($B158,casostestes[#Data],2)=0,"-",VLOOKUP($B158,casostestes[#Data],2)), "-")</f>
        <v>-</v>
      </c>
      <c r="E158" s="50" t="str">
        <f>IFERROR(IF(VLOOKUP($B158,casostestes[#Data],3)=0,"-",VLOOKUP($B158,casostestes[#Data],3)), "-")</f>
        <v>-</v>
      </c>
      <c r="F158" s="50" t="str">
        <f>IFERROR(IF(VLOOKUP($B158,casostestes[#Data],4)=0,"-",VLOOKUP($B158,casostestes[#Data],4)),"-")</f>
        <v>-</v>
      </c>
      <c r="G158" s="50" t="str">
        <f>IFERROR(IF(VLOOKUP($B158,casostestes[#Data],5)=0,"-",VLOOKUP($B158,casostestes[#Data],5)),"-")</f>
        <v>-</v>
      </c>
      <c r="H158" s="50" t="str">
        <f>IFERROR(IF(VLOOKUP($B158,casostestes[#Data],6)=0,"-",VLOOKUP($B158,casostestes[#Data],6)),"-")</f>
        <v>-</v>
      </c>
      <c r="I158" s="50" t="str">
        <f>IFERROR(IF(VLOOKUP($B158,casostestes[#Data],8)=0,"-",VLOOKUP($B158,casostestes[#Data],8)),"-")</f>
        <v>-</v>
      </c>
      <c r="J158" s="50" t="str">
        <f>IFERROR(IF(VLOOKUP($B158,casostestes[#Data],9)=0,"-",VLOOKUP($B158,casostestes[#Data],9)),"-")</f>
        <v>-</v>
      </c>
      <c r="K158" s="51"/>
      <c r="L158" s="57"/>
      <c r="M158" s="53"/>
      <c r="N158" s="54"/>
      <c r="O158" s="54"/>
      <c r="P158" s="55"/>
    </row>
    <row r="159" spans="2:16">
      <c r="B159" s="56" t="str">
        <f>IF(ISERR(casostestes[[#This Row],[ID]]),"-",casostestes[[#This Row],[ID]])</f>
        <v>-</v>
      </c>
      <c r="C159" s="49" t="str">
        <f>IFERROR(IF(VLOOKUP($B159,casostestes[#Data],10)=0,"Não",VLOOKUP($B159,casostestes[#Data],10)), "-")</f>
        <v>-</v>
      </c>
      <c r="D159" s="50" t="str">
        <f>IFERROR(IF(VLOOKUP($B159,casostestes[#Data],2)=0,"-",VLOOKUP($B159,casostestes[#Data],2)), "-")</f>
        <v>-</v>
      </c>
      <c r="E159" s="50" t="str">
        <f>IFERROR(IF(VLOOKUP($B159,casostestes[#Data],3)=0,"-",VLOOKUP($B159,casostestes[#Data],3)), "-")</f>
        <v>-</v>
      </c>
      <c r="F159" s="50" t="str">
        <f>IFERROR(IF(VLOOKUP($B159,casostestes[#Data],4)=0,"-",VLOOKUP($B159,casostestes[#Data],4)),"-")</f>
        <v>-</v>
      </c>
      <c r="G159" s="50" t="str">
        <f>IFERROR(IF(VLOOKUP($B159,casostestes[#Data],5)=0,"-",VLOOKUP($B159,casostestes[#Data],5)),"-")</f>
        <v>-</v>
      </c>
      <c r="H159" s="50" t="str">
        <f>IFERROR(IF(VLOOKUP($B159,casostestes[#Data],6)=0,"-",VLOOKUP($B159,casostestes[#Data],6)),"-")</f>
        <v>-</v>
      </c>
      <c r="I159" s="50" t="str">
        <f>IFERROR(IF(VLOOKUP($B159,casostestes[#Data],8)=0,"-",VLOOKUP($B159,casostestes[#Data],8)),"-")</f>
        <v>-</v>
      </c>
      <c r="J159" s="50" t="str">
        <f>IFERROR(IF(VLOOKUP($B159,casostestes[#Data],9)=0,"-",VLOOKUP($B159,casostestes[#Data],9)),"-")</f>
        <v>-</v>
      </c>
      <c r="K159" s="51"/>
      <c r="L159" s="57"/>
      <c r="M159" s="53"/>
      <c r="N159" s="54"/>
      <c r="O159" s="54"/>
      <c r="P159" s="55"/>
    </row>
    <row r="160" spans="2:16">
      <c r="B160" s="56" t="str">
        <f>IF(ISERR(casostestes[[#This Row],[ID]]),"-",casostestes[[#This Row],[ID]])</f>
        <v>-</v>
      </c>
      <c r="C160" s="49" t="str">
        <f>IFERROR(IF(VLOOKUP($B160,casostestes[#Data],10)=0,"Não",VLOOKUP($B160,casostestes[#Data],10)), "-")</f>
        <v>-</v>
      </c>
      <c r="D160" s="50" t="str">
        <f>IFERROR(IF(VLOOKUP($B160,casostestes[#Data],2)=0,"-",VLOOKUP($B160,casostestes[#Data],2)), "-")</f>
        <v>-</v>
      </c>
      <c r="E160" s="50" t="str">
        <f>IFERROR(IF(VLOOKUP($B160,casostestes[#Data],3)=0,"-",VLOOKUP($B160,casostestes[#Data],3)), "-")</f>
        <v>-</v>
      </c>
      <c r="F160" s="50" t="str">
        <f>IFERROR(IF(VLOOKUP($B160,casostestes[#Data],4)=0,"-",VLOOKUP($B160,casostestes[#Data],4)),"-")</f>
        <v>-</v>
      </c>
      <c r="G160" s="50" t="str">
        <f>IFERROR(IF(VLOOKUP($B160,casostestes[#Data],5)=0,"-",VLOOKUP($B160,casostestes[#Data],5)),"-")</f>
        <v>-</v>
      </c>
      <c r="H160" s="50" t="str">
        <f>IFERROR(IF(VLOOKUP($B160,casostestes[#Data],6)=0,"-",VLOOKUP($B160,casostestes[#Data],6)),"-")</f>
        <v>-</v>
      </c>
      <c r="I160" s="50" t="str">
        <f>IFERROR(IF(VLOOKUP($B160,casostestes[#Data],8)=0,"-",VLOOKUP($B160,casostestes[#Data],8)),"-")</f>
        <v>-</v>
      </c>
      <c r="J160" s="50" t="str">
        <f>IFERROR(IF(VLOOKUP($B160,casostestes[#Data],9)=0,"-",VLOOKUP($B160,casostestes[#Data],9)),"-")</f>
        <v>-</v>
      </c>
      <c r="K160" s="51"/>
      <c r="L160" s="57"/>
      <c r="M160" s="53"/>
      <c r="N160" s="54"/>
      <c r="O160" s="54"/>
      <c r="P160" s="55"/>
    </row>
    <row r="161" spans="2:16">
      <c r="B161" s="56" t="str">
        <f>IF(ISERR(casostestes[[#This Row],[ID]]),"-",casostestes[[#This Row],[ID]])</f>
        <v>-</v>
      </c>
      <c r="C161" s="49" t="str">
        <f>IFERROR(IF(VLOOKUP($B161,casostestes[#Data],10)=0,"Não",VLOOKUP($B161,casostestes[#Data],10)), "-")</f>
        <v>-</v>
      </c>
      <c r="D161" s="50" t="str">
        <f>IFERROR(IF(VLOOKUP($B161,casostestes[#Data],2)=0,"-",VLOOKUP($B161,casostestes[#Data],2)), "-")</f>
        <v>-</v>
      </c>
      <c r="E161" s="50" t="str">
        <f>IFERROR(IF(VLOOKUP($B161,casostestes[#Data],3)=0,"-",VLOOKUP($B161,casostestes[#Data],3)), "-")</f>
        <v>-</v>
      </c>
      <c r="F161" s="50" t="str">
        <f>IFERROR(IF(VLOOKUP($B161,casostestes[#Data],4)=0,"-",VLOOKUP($B161,casostestes[#Data],4)),"-")</f>
        <v>-</v>
      </c>
      <c r="G161" s="50" t="str">
        <f>IFERROR(IF(VLOOKUP($B161,casostestes[#Data],5)=0,"-",VLOOKUP($B161,casostestes[#Data],5)),"-")</f>
        <v>-</v>
      </c>
      <c r="H161" s="50" t="str">
        <f>IFERROR(IF(VLOOKUP($B161,casostestes[#Data],6)=0,"-",VLOOKUP($B161,casostestes[#Data],6)),"-")</f>
        <v>-</v>
      </c>
      <c r="I161" s="50" t="str">
        <f>IFERROR(IF(VLOOKUP($B161,casostestes[#Data],8)=0,"-",VLOOKUP($B161,casostestes[#Data],8)),"-")</f>
        <v>-</v>
      </c>
      <c r="J161" s="50" t="str">
        <f>IFERROR(IF(VLOOKUP($B161,casostestes[#Data],9)=0,"-",VLOOKUP($B161,casostestes[#Data],9)),"-")</f>
        <v>-</v>
      </c>
      <c r="K161" s="51"/>
      <c r="L161" s="57"/>
      <c r="M161" s="53"/>
      <c r="N161" s="54"/>
      <c r="O161" s="54"/>
      <c r="P161" s="55"/>
    </row>
    <row r="162" spans="2:16">
      <c r="B162" s="56" t="str">
        <f>IF(ISERR(casostestes[[#This Row],[ID]]),"-",casostestes[[#This Row],[ID]])</f>
        <v>-</v>
      </c>
      <c r="C162" s="49" t="str">
        <f>IFERROR(IF(VLOOKUP($B162,casostestes[#Data],10)=0,"Não",VLOOKUP($B162,casostestes[#Data],10)), "-")</f>
        <v>-</v>
      </c>
      <c r="D162" s="50" t="str">
        <f>IFERROR(IF(VLOOKUP($B162,casostestes[#Data],2)=0,"-",VLOOKUP($B162,casostestes[#Data],2)), "-")</f>
        <v>-</v>
      </c>
      <c r="E162" s="50" t="str">
        <f>IFERROR(IF(VLOOKUP($B162,casostestes[#Data],3)=0,"-",VLOOKUP($B162,casostestes[#Data],3)), "-")</f>
        <v>-</v>
      </c>
      <c r="F162" s="50" t="str">
        <f>IFERROR(IF(VLOOKUP($B162,casostestes[#Data],4)=0,"-",VLOOKUP($B162,casostestes[#Data],4)),"-")</f>
        <v>-</v>
      </c>
      <c r="G162" s="50" t="str">
        <f>IFERROR(IF(VLOOKUP($B162,casostestes[#Data],5)=0,"-",VLOOKUP($B162,casostestes[#Data],5)),"-")</f>
        <v>-</v>
      </c>
      <c r="H162" s="50" t="str">
        <f>IFERROR(IF(VLOOKUP($B162,casostestes[#Data],6)=0,"-",VLOOKUP($B162,casostestes[#Data],6)),"-")</f>
        <v>-</v>
      </c>
      <c r="I162" s="50" t="str">
        <f>IFERROR(IF(VLOOKUP($B162,casostestes[#Data],8)=0,"-",VLOOKUP($B162,casostestes[#Data],8)),"-")</f>
        <v>-</v>
      </c>
      <c r="J162" s="50" t="str">
        <f>IFERROR(IF(VLOOKUP($B162,casostestes[#Data],9)=0,"-",VLOOKUP($B162,casostestes[#Data],9)),"-")</f>
        <v>-</v>
      </c>
      <c r="K162" s="51"/>
      <c r="L162" s="57"/>
      <c r="M162" s="53"/>
      <c r="N162" s="54"/>
      <c r="O162" s="54"/>
      <c r="P162" s="55"/>
    </row>
    <row r="163" spans="2:16">
      <c r="B163" s="56" t="str">
        <f>IF(ISERR(casostestes[[#This Row],[ID]]),"-",casostestes[[#This Row],[ID]])</f>
        <v>-</v>
      </c>
      <c r="C163" s="49" t="str">
        <f>IFERROR(IF(VLOOKUP($B163,casostestes[#Data],10)=0,"Não",VLOOKUP($B163,casostestes[#Data],10)), "-")</f>
        <v>-</v>
      </c>
      <c r="D163" s="50" t="str">
        <f>IFERROR(IF(VLOOKUP($B163,casostestes[#Data],2)=0,"-",VLOOKUP($B163,casostestes[#Data],2)), "-")</f>
        <v>-</v>
      </c>
      <c r="E163" s="50" t="str">
        <f>IFERROR(IF(VLOOKUP($B163,casostestes[#Data],3)=0,"-",VLOOKUP($B163,casostestes[#Data],3)), "-")</f>
        <v>-</v>
      </c>
      <c r="F163" s="50" t="str">
        <f>IFERROR(IF(VLOOKUP($B163,casostestes[#Data],4)=0,"-",VLOOKUP($B163,casostestes[#Data],4)),"-")</f>
        <v>-</v>
      </c>
      <c r="G163" s="50" t="str">
        <f>IFERROR(IF(VLOOKUP($B163,casostestes[#Data],5)=0,"-",VLOOKUP($B163,casostestes[#Data],5)),"-")</f>
        <v>-</v>
      </c>
      <c r="H163" s="50" t="str">
        <f>IFERROR(IF(VLOOKUP($B163,casostestes[#Data],6)=0,"-",VLOOKUP($B163,casostestes[#Data],6)),"-")</f>
        <v>-</v>
      </c>
      <c r="I163" s="50" t="str">
        <f>IFERROR(IF(VLOOKUP($B163,casostestes[#Data],8)=0,"-",VLOOKUP($B163,casostestes[#Data],8)),"-")</f>
        <v>-</v>
      </c>
      <c r="J163" s="50" t="str">
        <f>IFERROR(IF(VLOOKUP($B163,casostestes[#Data],9)=0,"-",VLOOKUP($B163,casostestes[#Data],9)),"-")</f>
        <v>-</v>
      </c>
      <c r="K163" s="51"/>
      <c r="L163" s="57"/>
      <c r="M163" s="53"/>
      <c r="N163" s="54"/>
      <c r="O163" s="54"/>
      <c r="P163" s="55"/>
    </row>
    <row r="164" spans="2:16">
      <c r="B164" s="56" t="str">
        <f>IF(ISERR(casostestes[[#This Row],[ID]]),"-",casostestes[[#This Row],[ID]])</f>
        <v>-</v>
      </c>
      <c r="C164" s="49" t="str">
        <f>IFERROR(IF(VLOOKUP($B164,casostestes[#Data],10)=0,"Não",VLOOKUP($B164,casostestes[#Data],10)), "-")</f>
        <v>-</v>
      </c>
      <c r="D164" s="50" t="str">
        <f>IFERROR(IF(VLOOKUP($B164,casostestes[#Data],2)=0,"-",VLOOKUP($B164,casostestes[#Data],2)), "-")</f>
        <v>-</v>
      </c>
      <c r="E164" s="50" t="str">
        <f>IFERROR(IF(VLOOKUP($B164,casostestes[#Data],3)=0,"-",VLOOKUP($B164,casostestes[#Data],3)), "-")</f>
        <v>-</v>
      </c>
      <c r="F164" s="50" t="str">
        <f>IFERROR(IF(VLOOKUP($B164,casostestes[#Data],4)=0,"-",VLOOKUP($B164,casostestes[#Data],4)),"-")</f>
        <v>-</v>
      </c>
      <c r="G164" s="50" t="str">
        <f>IFERROR(IF(VLOOKUP($B164,casostestes[#Data],5)=0,"-",VLOOKUP($B164,casostestes[#Data],5)),"-")</f>
        <v>-</v>
      </c>
      <c r="H164" s="50" t="str">
        <f>IFERROR(IF(VLOOKUP($B164,casostestes[#Data],6)=0,"-",VLOOKUP($B164,casostestes[#Data],6)),"-")</f>
        <v>-</v>
      </c>
      <c r="I164" s="50" t="str">
        <f>IFERROR(IF(VLOOKUP($B164,casostestes[#Data],8)=0,"-",VLOOKUP($B164,casostestes[#Data],8)),"-")</f>
        <v>-</v>
      </c>
      <c r="J164" s="50" t="str">
        <f>IFERROR(IF(VLOOKUP($B164,casostestes[#Data],9)=0,"-",VLOOKUP($B164,casostestes[#Data],9)),"-")</f>
        <v>-</v>
      </c>
      <c r="K164" s="51"/>
      <c r="L164" s="57"/>
      <c r="M164" s="53"/>
      <c r="N164" s="54"/>
      <c r="O164" s="54"/>
      <c r="P164" s="55"/>
    </row>
    <row r="165" spans="2:16">
      <c r="B165" s="56" t="str">
        <f>IF(ISERR(casostestes[[#This Row],[ID]]),"-",casostestes[[#This Row],[ID]])</f>
        <v>-</v>
      </c>
      <c r="C165" s="49" t="str">
        <f>IFERROR(IF(VLOOKUP($B165,casostestes[#Data],10)=0,"Não",VLOOKUP($B165,casostestes[#Data],10)), "-")</f>
        <v>-</v>
      </c>
      <c r="D165" s="50" t="str">
        <f>IFERROR(IF(VLOOKUP($B165,casostestes[#Data],2)=0,"-",VLOOKUP($B165,casostestes[#Data],2)), "-")</f>
        <v>-</v>
      </c>
      <c r="E165" s="50" t="str">
        <f>IFERROR(IF(VLOOKUP($B165,casostestes[#Data],3)=0,"-",VLOOKUP($B165,casostestes[#Data],3)), "-")</f>
        <v>-</v>
      </c>
      <c r="F165" s="50" t="str">
        <f>IFERROR(IF(VLOOKUP($B165,casostestes[#Data],4)=0,"-",VLOOKUP($B165,casostestes[#Data],4)),"-")</f>
        <v>-</v>
      </c>
      <c r="G165" s="50" t="str">
        <f>IFERROR(IF(VLOOKUP($B165,casostestes[#Data],5)=0,"-",VLOOKUP($B165,casostestes[#Data],5)),"-")</f>
        <v>-</v>
      </c>
      <c r="H165" s="50" t="str">
        <f>IFERROR(IF(VLOOKUP($B165,casostestes[#Data],6)=0,"-",VLOOKUP($B165,casostestes[#Data],6)),"-")</f>
        <v>-</v>
      </c>
      <c r="I165" s="50" t="str">
        <f>IFERROR(IF(VLOOKUP($B165,casostestes[#Data],8)=0,"-",VLOOKUP($B165,casostestes[#Data],8)),"-")</f>
        <v>-</v>
      </c>
      <c r="J165" s="50" t="str">
        <f>IFERROR(IF(VLOOKUP($B165,casostestes[#Data],9)=0,"-",VLOOKUP($B165,casostestes[#Data],9)),"-")</f>
        <v>-</v>
      </c>
      <c r="K165" s="51"/>
      <c r="L165" s="57"/>
      <c r="M165" s="53"/>
      <c r="N165" s="54"/>
      <c r="O165" s="54"/>
      <c r="P165" s="55"/>
    </row>
    <row r="166" spans="2:16">
      <c r="B166" s="56" t="str">
        <f>IF(ISERR(casostestes[[#This Row],[ID]]),"-",casostestes[[#This Row],[ID]])</f>
        <v>-</v>
      </c>
      <c r="C166" s="49" t="str">
        <f>IFERROR(IF(VLOOKUP($B166,casostestes[#Data],10)=0,"Não",VLOOKUP($B166,casostestes[#Data],10)), "-")</f>
        <v>-</v>
      </c>
      <c r="D166" s="50" t="str">
        <f>IFERROR(IF(VLOOKUP($B166,casostestes[#Data],2)=0,"-",VLOOKUP($B166,casostestes[#Data],2)), "-")</f>
        <v>-</v>
      </c>
      <c r="E166" s="50" t="str">
        <f>IFERROR(IF(VLOOKUP($B166,casostestes[#Data],3)=0,"-",VLOOKUP($B166,casostestes[#Data],3)), "-")</f>
        <v>-</v>
      </c>
      <c r="F166" s="50" t="str">
        <f>IFERROR(IF(VLOOKUP($B166,casostestes[#Data],4)=0,"-",VLOOKUP($B166,casostestes[#Data],4)),"-")</f>
        <v>-</v>
      </c>
      <c r="G166" s="50" t="str">
        <f>IFERROR(IF(VLOOKUP($B166,casostestes[#Data],5)=0,"-",VLOOKUP($B166,casostestes[#Data],5)),"-")</f>
        <v>-</v>
      </c>
      <c r="H166" s="50" t="str">
        <f>IFERROR(IF(VLOOKUP($B166,casostestes[#Data],6)=0,"-",VLOOKUP($B166,casostestes[#Data],6)),"-")</f>
        <v>-</v>
      </c>
      <c r="I166" s="50" t="str">
        <f>IFERROR(IF(VLOOKUP($B166,casostestes[#Data],8)=0,"-",VLOOKUP($B166,casostestes[#Data],8)),"-")</f>
        <v>-</v>
      </c>
      <c r="J166" s="50" t="str">
        <f>IFERROR(IF(VLOOKUP($B166,casostestes[#Data],9)=0,"-",VLOOKUP($B166,casostestes[#Data],9)),"-")</f>
        <v>-</v>
      </c>
      <c r="K166" s="51"/>
      <c r="L166" s="57"/>
      <c r="M166" s="53"/>
      <c r="N166" s="54"/>
      <c r="O166" s="54"/>
      <c r="P166" s="55"/>
    </row>
    <row r="167" spans="2:16">
      <c r="B167" s="56" t="str">
        <f>IF(ISERR(casostestes[[#This Row],[ID]]),"-",casostestes[[#This Row],[ID]])</f>
        <v>-</v>
      </c>
      <c r="C167" s="49" t="str">
        <f>IFERROR(IF(VLOOKUP($B167,casostestes[#Data],10)=0,"Não",VLOOKUP($B167,casostestes[#Data],10)), "-")</f>
        <v>-</v>
      </c>
      <c r="D167" s="50" t="str">
        <f>IFERROR(IF(VLOOKUP($B167,casostestes[#Data],2)=0,"-",VLOOKUP($B167,casostestes[#Data],2)), "-")</f>
        <v>-</v>
      </c>
      <c r="E167" s="50" t="str">
        <f>IFERROR(IF(VLOOKUP($B167,casostestes[#Data],3)=0,"-",VLOOKUP($B167,casostestes[#Data],3)), "-")</f>
        <v>-</v>
      </c>
      <c r="F167" s="50" t="str">
        <f>IFERROR(IF(VLOOKUP($B167,casostestes[#Data],4)=0,"-",VLOOKUP($B167,casostestes[#Data],4)),"-")</f>
        <v>-</v>
      </c>
      <c r="G167" s="50" t="str">
        <f>IFERROR(IF(VLOOKUP($B167,casostestes[#Data],5)=0,"-",VLOOKUP($B167,casostestes[#Data],5)),"-")</f>
        <v>-</v>
      </c>
      <c r="H167" s="50" t="str">
        <f>IFERROR(IF(VLOOKUP($B167,casostestes[#Data],6)=0,"-",VLOOKUP($B167,casostestes[#Data],6)),"-")</f>
        <v>-</v>
      </c>
      <c r="I167" s="50" t="str">
        <f>IFERROR(IF(VLOOKUP($B167,casostestes[#Data],8)=0,"-",VLOOKUP($B167,casostestes[#Data],8)),"-")</f>
        <v>-</v>
      </c>
      <c r="J167" s="50" t="str">
        <f>IFERROR(IF(VLOOKUP($B167,casostestes[#Data],9)=0,"-",VLOOKUP($B167,casostestes[#Data],9)),"-")</f>
        <v>-</v>
      </c>
      <c r="K167" s="51"/>
      <c r="L167" s="57"/>
      <c r="M167" s="53"/>
      <c r="N167" s="54"/>
      <c r="O167" s="54"/>
      <c r="P167" s="55"/>
    </row>
    <row r="168" spans="2:16">
      <c r="B168" s="56" t="str">
        <f>IF(ISERR(casostestes[[#This Row],[ID]]),"-",casostestes[[#This Row],[ID]])</f>
        <v>-</v>
      </c>
      <c r="C168" s="49" t="str">
        <f>IFERROR(IF(VLOOKUP($B168,casostestes[#Data],10)=0,"Não",VLOOKUP($B168,casostestes[#Data],10)), "-")</f>
        <v>-</v>
      </c>
      <c r="D168" s="50" t="str">
        <f>IFERROR(IF(VLOOKUP($B168,casostestes[#Data],2)=0,"-",VLOOKUP($B168,casostestes[#Data],2)), "-")</f>
        <v>-</v>
      </c>
      <c r="E168" s="50" t="str">
        <f>IFERROR(IF(VLOOKUP($B168,casostestes[#Data],3)=0,"-",VLOOKUP($B168,casostestes[#Data],3)), "-")</f>
        <v>-</v>
      </c>
      <c r="F168" s="50" t="str">
        <f>IFERROR(IF(VLOOKUP($B168,casostestes[#Data],4)=0,"-",VLOOKUP($B168,casostestes[#Data],4)),"-")</f>
        <v>-</v>
      </c>
      <c r="G168" s="50" t="str">
        <f>IFERROR(IF(VLOOKUP($B168,casostestes[#Data],5)=0,"-",VLOOKUP($B168,casostestes[#Data],5)),"-")</f>
        <v>-</v>
      </c>
      <c r="H168" s="50" t="str">
        <f>IFERROR(IF(VLOOKUP($B168,casostestes[#Data],6)=0,"-",VLOOKUP($B168,casostestes[#Data],6)),"-")</f>
        <v>-</v>
      </c>
      <c r="I168" s="50" t="str">
        <f>IFERROR(IF(VLOOKUP($B168,casostestes[#Data],8)=0,"-",VLOOKUP($B168,casostestes[#Data],8)),"-")</f>
        <v>-</v>
      </c>
      <c r="J168" s="50" t="str">
        <f>IFERROR(IF(VLOOKUP($B168,casostestes[#Data],9)=0,"-",VLOOKUP($B168,casostestes[#Data],9)),"-")</f>
        <v>-</v>
      </c>
      <c r="K168" s="51"/>
      <c r="L168" s="57"/>
      <c r="M168" s="53"/>
      <c r="N168" s="54"/>
      <c r="O168" s="54"/>
      <c r="P168" s="55"/>
    </row>
    <row r="169" spans="2:16">
      <c r="B169" s="56" t="str">
        <f>IF(ISERR(casostestes[[#This Row],[ID]]),"-",casostestes[[#This Row],[ID]])</f>
        <v>-</v>
      </c>
      <c r="C169" s="49" t="str">
        <f>IFERROR(IF(VLOOKUP($B169,casostestes[#Data],10)=0,"Não",VLOOKUP($B169,casostestes[#Data],10)), "-")</f>
        <v>-</v>
      </c>
      <c r="D169" s="50" t="str">
        <f>IFERROR(IF(VLOOKUP($B169,casostestes[#Data],2)=0,"-",VLOOKUP($B169,casostestes[#Data],2)), "-")</f>
        <v>-</v>
      </c>
      <c r="E169" s="50" t="str">
        <f>IFERROR(IF(VLOOKUP($B169,casostestes[#Data],3)=0,"-",VLOOKUP($B169,casostestes[#Data],3)), "-")</f>
        <v>-</v>
      </c>
      <c r="F169" s="50" t="str">
        <f>IFERROR(IF(VLOOKUP($B169,casostestes[#Data],4)=0,"-",VLOOKUP($B169,casostestes[#Data],4)),"-")</f>
        <v>-</v>
      </c>
      <c r="G169" s="50" t="str">
        <f>IFERROR(IF(VLOOKUP($B169,casostestes[#Data],5)=0,"-",VLOOKUP($B169,casostestes[#Data],5)),"-")</f>
        <v>-</v>
      </c>
      <c r="H169" s="50" t="str">
        <f>IFERROR(IF(VLOOKUP($B169,casostestes[#Data],6)=0,"-",VLOOKUP($B169,casostestes[#Data],6)),"-")</f>
        <v>-</v>
      </c>
      <c r="I169" s="50" t="str">
        <f>IFERROR(IF(VLOOKUP($B169,casostestes[#Data],8)=0,"-",VLOOKUP($B169,casostestes[#Data],8)),"-")</f>
        <v>-</v>
      </c>
      <c r="J169" s="50" t="str">
        <f>IFERROR(IF(VLOOKUP($B169,casostestes[#Data],9)=0,"-",VLOOKUP($B169,casostestes[#Data],9)),"-")</f>
        <v>-</v>
      </c>
      <c r="K169" s="51"/>
      <c r="L169" s="57"/>
      <c r="M169" s="53"/>
      <c r="N169" s="54"/>
      <c r="O169" s="54"/>
      <c r="P169" s="55"/>
    </row>
    <row r="170" spans="2:16">
      <c r="B170" s="56" t="str">
        <f>IF(ISERR(casostestes[[#This Row],[ID]]),"-",casostestes[[#This Row],[ID]])</f>
        <v>-</v>
      </c>
      <c r="C170" s="49" t="str">
        <f>IFERROR(IF(VLOOKUP($B170,casostestes[#Data],10)=0,"Não",VLOOKUP($B170,casostestes[#Data],10)), "-")</f>
        <v>-</v>
      </c>
      <c r="D170" s="50" t="str">
        <f>IFERROR(IF(VLOOKUP($B170,casostestes[#Data],2)=0,"-",VLOOKUP($B170,casostestes[#Data],2)), "-")</f>
        <v>-</v>
      </c>
      <c r="E170" s="50" t="str">
        <f>IFERROR(IF(VLOOKUP($B170,casostestes[#Data],3)=0,"-",VLOOKUP($B170,casostestes[#Data],3)), "-")</f>
        <v>-</v>
      </c>
      <c r="F170" s="50" t="str">
        <f>IFERROR(IF(VLOOKUP($B170,casostestes[#Data],4)=0,"-",VLOOKUP($B170,casostestes[#Data],4)),"-")</f>
        <v>-</v>
      </c>
      <c r="G170" s="50" t="str">
        <f>IFERROR(IF(VLOOKUP($B170,casostestes[#Data],5)=0,"-",VLOOKUP($B170,casostestes[#Data],5)),"-")</f>
        <v>-</v>
      </c>
      <c r="H170" s="50" t="str">
        <f>IFERROR(IF(VLOOKUP($B170,casostestes[#Data],6)=0,"-",VLOOKUP($B170,casostestes[#Data],6)),"-")</f>
        <v>-</v>
      </c>
      <c r="I170" s="50" t="str">
        <f>IFERROR(IF(VLOOKUP($B170,casostestes[#Data],8)=0,"-",VLOOKUP($B170,casostestes[#Data],8)),"-")</f>
        <v>-</v>
      </c>
      <c r="J170" s="50" t="str">
        <f>IFERROR(IF(VLOOKUP($B170,casostestes[#Data],9)=0,"-",VLOOKUP($B170,casostestes[#Data],9)),"-")</f>
        <v>-</v>
      </c>
      <c r="K170" s="51"/>
      <c r="L170" s="57"/>
      <c r="M170" s="53"/>
      <c r="N170" s="54"/>
      <c r="O170" s="54"/>
      <c r="P170" s="55"/>
    </row>
    <row r="171" spans="2:16">
      <c r="B171" s="56" t="str">
        <f>IF(ISERR(casostestes[[#This Row],[ID]]),"-",casostestes[[#This Row],[ID]])</f>
        <v>-</v>
      </c>
      <c r="C171" s="49" t="str">
        <f>IFERROR(IF(VLOOKUP($B171,casostestes[#Data],10)=0,"Não",VLOOKUP($B171,casostestes[#Data],10)), "-")</f>
        <v>-</v>
      </c>
      <c r="D171" s="50" t="str">
        <f>IFERROR(IF(VLOOKUP($B171,casostestes[#Data],2)=0,"-",VLOOKUP($B171,casostestes[#Data],2)), "-")</f>
        <v>-</v>
      </c>
      <c r="E171" s="50" t="str">
        <f>IFERROR(IF(VLOOKUP($B171,casostestes[#Data],3)=0,"-",VLOOKUP($B171,casostestes[#Data],3)), "-")</f>
        <v>-</v>
      </c>
      <c r="F171" s="50" t="str">
        <f>IFERROR(IF(VLOOKUP($B171,casostestes[#Data],4)=0,"-",VLOOKUP($B171,casostestes[#Data],4)),"-")</f>
        <v>-</v>
      </c>
      <c r="G171" s="50" t="str">
        <f>IFERROR(IF(VLOOKUP($B171,casostestes[#Data],5)=0,"-",VLOOKUP($B171,casostestes[#Data],5)),"-")</f>
        <v>-</v>
      </c>
      <c r="H171" s="50" t="str">
        <f>IFERROR(IF(VLOOKUP($B171,casostestes[#Data],6)=0,"-",VLOOKUP($B171,casostestes[#Data],6)),"-")</f>
        <v>-</v>
      </c>
      <c r="I171" s="50" t="str">
        <f>IFERROR(IF(VLOOKUP($B171,casostestes[#Data],8)=0,"-",VLOOKUP($B171,casostestes[#Data],8)),"-")</f>
        <v>-</v>
      </c>
      <c r="J171" s="50" t="str">
        <f>IFERROR(IF(VLOOKUP($B171,casostestes[#Data],9)=0,"-",VLOOKUP($B171,casostestes[#Data],9)),"-")</f>
        <v>-</v>
      </c>
      <c r="K171" s="51"/>
      <c r="L171" s="57"/>
      <c r="M171" s="53"/>
      <c r="N171" s="54"/>
      <c r="O171" s="54"/>
      <c r="P171" s="55"/>
    </row>
    <row r="172" spans="2:16">
      <c r="B172" s="56" t="str">
        <f>IF(ISERR(casostestes[[#This Row],[ID]]),"-",casostestes[[#This Row],[ID]])</f>
        <v>-</v>
      </c>
      <c r="C172" s="49" t="str">
        <f>IFERROR(IF(VLOOKUP($B172,casostestes[#Data],10)=0,"Não",VLOOKUP($B172,casostestes[#Data],10)), "-")</f>
        <v>-</v>
      </c>
      <c r="D172" s="50" t="str">
        <f>IFERROR(IF(VLOOKUP($B172,casostestes[#Data],2)=0,"-",VLOOKUP($B172,casostestes[#Data],2)), "-")</f>
        <v>-</v>
      </c>
      <c r="E172" s="50" t="str">
        <f>IFERROR(IF(VLOOKUP($B172,casostestes[#Data],3)=0,"-",VLOOKUP($B172,casostestes[#Data],3)), "-")</f>
        <v>-</v>
      </c>
      <c r="F172" s="50" t="str">
        <f>IFERROR(IF(VLOOKUP($B172,casostestes[#Data],4)=0,"-",VLOOKUP($B172,casostestes[#Data],4)),"-")</f>
        <v>-</v>
      </c>
      <c r="G172" s="50" t="str">
        <f>IFERROR(IF(VLOOKUP($B172,casostestes[#Data],5)=0,"-",VLOOKUP($B172,casostestes[#Data],5)),"-")</f>
        <v>-</v>
      </c>
      <c r="H172" s="50" t="str">
        <f>IFERROR(IF(VLOOKUP($B172,casostestes[#Data],6)=0,"-",VLOOKUP($B172,casostestes[#Data],6)),"-")</f>
        <v>-</v>
      </c>
      <c r="I172" s="50" t="str">
        <f>IFERROR(IF(VLOOKUP($B172,casostestes[#Data],8)=0,"-",VLOOKUP($B172,casostestes[#Data],8)),"-")</f>
        <v>-</v>
      </c>
      <c r="J172" s="50" t="str">
        <f>IFERROR(IF(VLOOKUP($B172,casostestes[#Data],9)=0,"-",VLOOKUP($B172,casostestes[#Data],9)),"-")</f>
        <v>-</v>
      </c>
      <c r="K172" s="51"/>
      <c r="L172" s="57"/>
      <c r="M172" s="53"/>
      <c r="N172" s="54"/>
      <c r="O172" s="54"/>
      <c r="P172" s="55"/>
    </row>
    <row r="173" spans="2:16">
      <c r="B173" s="56" t="str">
        <f>IF(ISERR(casostestes[[#This Row],[ID]]),"-",casostestes[[#This Row],[ID]])</f>
        <v>-</v>
      </c>
      <c r="C173" s="49" t="str">
        <f>IFERROR(IF(VLOOKUP($B173,casostestes[#Data],10)=0,"Não",VLOOKUP($B173,casostestes[#Data],10)), "-")</f>
        <v>-</v>
      </c>
      <c r="D173" s="50" t="str">
        <f>IFERROR(IF(VLOOKUP($B173,casostestes[#Data],2)=0,"-",VLOOKUP($B173,casostestes[#Data],2)), "-")</f>
        <v>-</v>
      </c>
      <c r="E173" s="50" t="str">
        <f>IFERROR(IF(VLOOKUP($B173,casostestes[#Data],3)=0,"-",VLOOKUP($B173,casostestes[#Data],3)), "-")</f>
        <v>-</v>
      </c>
      <c r="F173" s="50" t="str">
        <f>IFERROR(IF(VLOOKUP($B173,casostestes[#Data],4)=0,"-",VLOOKUP($B173,casostestes[#Data],4)),"-")</f>
        <v>-</v>
      </c>
      <c r="G173" s="50" t="str">
        <f>IFERROR(IF(VLOOKUP($B173,casostestes[#Data],5)=0,"-",VLOOKUP($B173,casostestes[#Data],5)),"-")</f>
        <v>-</v>
      </c>
      <c r="H173" s="50" t="str">
        <f>IFERROR(IF(VLOOKUP($B173,casostestes[#Data],6)=0,"-",VLOOKUP($B173,casostestes[#Data],6)),"-")</f>
        <v>-</v>
      </c>
      <c r="I173" s="50" t="str">
        <f>IFERROR(IF(VLOOKUP($B173,casostestes[#Data],8)=0,"-",VLOOKUP($B173,casostestes[#Data],8)),"-")</f>
        <v>-</v>
      </c>
      <c r="J173" s="50" t="str">
        <f>IFERROR(IF(VLOOKUP($B173,casostestes[#Data],9)=0,"-",VLOOKUP($B173,casostestes[#Data],9)),"-")</f>
        <v>-</v>
      </c>
      <c r="K173" s="51"/>
      <c r="L173" s="57"/>
      <c r="M173" s="53"/>
      <c r="N173" s="54"/>
      <c r="O173" s="54"/>
      <c r="P173" s="55"/>
    </row>
    <row r="174" spans="2:16">
      <c r="B174" s="56" t="str">
        <f>IF(ISERR(casostestes[[#This Row],[ID]]),"-",casostestes[[#This Row],[ID]])</f>
        <v>-</v>
      </c>
      <c r="C174" s="49" t="str">
        <f>IFERROR(IF(VLOOKUP($B174,casostestes[#Data],10)=0,"Não",VLOOKUP($B174,casostestes[#Data],10)), "-")</f>
        <v>-</v>
      </c>
      <c r="D174" s="50" t="str">
        <f>IFERROR(IF(VLOOKUP($B174,casostestes[#Data],2)=0,"-",VLOOKUP($B174,casostestes[#Data],2)), "-")</f>
        <v>-</v>
      </c>
      <c r="E174" s="50" t="str">
        <f>IFERROR(IF(VLOOKUP($B174,casostestes[#Data],3)=0,"-",VLOOKUP($B174,casostestes[#Data],3)), "-")</f>
        <v>-</v>
      </c>
      <c r="F174" s="50" t="str">
        <f>IFERROR(IF(VLOOKUP($B174,casostestes[#Data],4)=0,"-",VLOOKUP($B174,casostestes[#Data],4)),"-")</f>
        <v>-</v>
      </c>
      <c r="G174" s="50" t="str">
        <f>IFERROR(IF(VLOOKUP($B174,casostestes[#Data],5)=0,"-",VLOOKUP($B174,casostestes[#Data],5)),"-")</f>
        <v>-</v>
      </c>
      <c r="H174" s="50" t="str">
        <f>IFERROR(IF(VLOOKUP($B174,casostestes[#Data],6)=0,"-",VLOOKUP($B174,casostestes[#Data],6)),"-")</f>
        <v>-</v>
      </c>
      <c r="I174" s="50" t="str">
        <f>IFERROR(IF(VLOOKUP($B174,casostestes[#Data],8)=0,"-",VLOOKUP($B174,casostestes[#Data],8)),"-")</f>
        <v>-</v>
      </c>
      <c r="J174" s="50" t="str">
        <f>IFERROR(IF(VLOOKUP($B174,casostestes[#Data],9)=0,"-",VLOOKUP($B174,casostestes[#Data],9)),"-")</f>
        <v>-</v>
      </c>
      <c r="K174" s="51"/>
      <c r="L174" s="57"/>
      <c r="M174" s="53"/>
      <c r="N174" s="54"/>
      <c r="O174" s="54"/>
      <c r="P174" s="55"/>
    </row>
    <row r="175" spans="2:16">
      <c r="B175" s="56" t="str">
        <f>IF(ISERR(casostestes[[#This Row],[ID]]),"-",casostestes[[#This Row],[ID]])</f>
        <v>-</v>
      </c>
      <c r="C175" s="49" t="str">
        <f>IFERROR(IF(VLOOKUP($B175,casostestes[#Data],10)=0,"Não",VLOOKUP($B175,casostestes[#Data],10)), "-")</f>
        <v>-</v>
      </c>
      <c r="D175" s="50" t="str">
        <f>IFERROR(IF(VLOOKUP($B175,casostestes[#Data],2)=0,"-",VLOOKUP($B175,casostestes[#Data],2)), "-")</f>
        <v>-</v>
      </c>
      <c r="E175" s="50" t="str">
        <f>IFERROR(IF(VLOOKUP($B175,casostestes[#Data],3)=0,"-",VLOOKUP($B175,casostestes[#Data],3)), "-")</f>
        <v>-</v>
      </c>
      <c r="F175" s="50" t="str">
        <f>IFERROR(IF(VLOOKUP($B175,casostestes[#Data],4)=0,"-",VLOOKUP($B175,casostestes[#Data],4)),"-")</f>
        <v>-</v>
      </c>
      <c r="G175" s="50" t="str">
        <f>IFERROR(IF(VLOOKUP($B175,casostestes[#Data],5)=0,"-",VLOOKUP($B175,casostestes[#Data],5)),"-")</f>
        <v>-</v>
      </c>
      <c r="H175" s="50" t="str">
        <f>IFERROR(IF(VLOOKUP($B175,casostestes[#Data],6)=0,"-",VLOOKUP($B175,casostestes[#Data],6)),"-")</f>
        <v>-</v>
      </c>
      <c r="I175" s="50" t="str">
        <f>IFERROR(IF(VLOOKUP($B175,casostestes[#Data],8)=0,"-",VLOOKUP($B175,casostestes[#Data],8)),"-")</f>
        <v>-</v>
      </c>
      <c r="J175" s="50" t="str">
        <f>IFERROR(IF(VLOOKUP($B175,casostestes[#Data],9)=0,"-",VLOOKUP($B175,casostestes[#Data],9)),"-")</f>
        <v>-</v>
      </c>
      <c r="K175" s="51"/>
      <c r="L175" s="57"/>
      <c r="M175" s="53"/>
      <c r="N175" s="54"/>
      <c r="O175" s="54"/>
      <c r="P175" s="55"/>
    </row>
    <row r="176" spans="2:16">
      <c r="B176" s="56" t="str">
        <f>IF(ISERR(casostestes[[#This Row],[ID]]),"-",casostestes[[#This Row],[ID]])</f>
        <v>-</v>
      </c>
      <c r="C176" s="49" t="str">
        <f>IFERROR(IF(VLOOKUP($B176,casostestes[#Data],10)=0,"Não",VLOOKUP($B176,casostestes[#Data],10)), "-")</f>
        <v>-</v>
      </c>
      <c r="D176" s="50" t="str">
        <f>IFERROR(IF(VLOOKUP($B176,casostestes[#Data],2)=0,"-",VLOOKUP($B176,casostestes[#Data],2)), "-")</f>
        <v>-</v>
      </c>
      <c r="E176" s="50" t="str">
        <f>IFERROR(IF(VLOOKUP($B176,casostestes[#Data],3)=0,"-",VLOOKUP($B176,casostestes[#Data],3)), "-")</f>
        <v>-</v>
      </c>
      <c r="F176" s="50" t="str">
        <f>IFERROR(IF(VLOOKUP($B176,casostestes[#Data],4)=0,"-",VLOOKUP($B176,casostestes[#Data],4)),"-")</f>
        <v>-</v>
      </c>
      <c r="G176" s="50" t="str">
        <f>IFERROR(IF(VLOOKUP($B176,casostestes[#Data],5)=0,"-",VLOOKUP($B176,casostestes[#Data],5)),"-")</f>
        <v>-</v>
      </c>
      <c r="H176" s="50" t="str">
        <f>IFERROR(IF(VLOOKUP($B176,casostestes[#Data],6)=0,"-",VLOOKUP($B176,casostestes[#Data],6)),"-")</f>
        <v>-</v>
      </c>
      <c r="I176" s="50" t="str">
        <f>IFERROR(IF(VLOOKUP($B176,casostestes[#Data],8)=0,"-",VLOOKUP($B176,casostestes[#Data],8)),"-")</f>
        <v>-</v>
      </c>
      <c r="J176" s="50" t="str">
        <f>IFERROR(IF(VLOOKUP($B176,casostestes[#Data],9)=0,"-",VLOOKUP($B176,casostestes[#Data],9)),"-")</f>
        <v>-</v>
      </c>
      <c r="K176" s="51"/>
      <c r="L176" s="57"/>
      <c r="M176" s="53"/>
      <c r="N176" s="54"/>
      <c r="O176" s="54"/>
      <c r="P176" s="55"/>
    </row>
    <row r="177" spans="2:16">
      <c r="B177" s="56" t="str">
        <f>IF(ISERR(casostestes[[#This Row],[ID]]),"-",casostestes[[#This Row],[ID]])</f>
        <v>-</v>
      </c>
      <c r="C177" s="49" t="str">
        <f>IFERROR(IF(VLOOKUP($B177,casostestes[#Data],10)=0,"Não",VLOOKUP($B177,casostestes[#Data],10)), "-")</f>
        <v>-</v>
      </c>
      <c r="D177" s="50" t="str">
        <f>IFERROR(IF(VLOOKUP($B177,casostestes[#Data],2)=0,"-",VLOOKUP($B177,casostestes[#Data],2)), "-")</f>
        <v>-</v>
      </c>
      <c r="E177" s="50" t="str">
        <f>IFERROR(IF(VLOOKUP($B177,casostestes[#Data],3)=0,"-",VLOOKUP($B177,casostestes[#Data],3)), "-")</f>
        <v>-</v>
      </c>
      <c r="F177" s="50" t="str">
        <f>IFERROR(IF(VLOOKUP($B177,casostestes[#Data],4)=0,"-",VLOOKUP($B177,casostestes[#Data],4)),"-")</f>
        <v>-</v>
      </c>
      <c r="G177" s="50" t="str">
        <f>IFERROR(IF(VLOOKUP($B177,casostestes[#Data],5)=0,"-",VLOOKUP($B177,casostestes[#Data],5)),"-")</f>
        <v>-</v>
      </c>
      <c r="H177" s="50" t="str">
        <f>IFERROR(IF(VLOOKUP($B177,casostestes[#Data],6)=0,"-",VLOOKUP($B177,casostestes[#Data],6)),"-")</f>
        <v>-</v>
      </c>
      <c r="I177" s="50" t="str">
        <f>IFERROR(IF(VLOOKUP($B177,casostestes[#Data],8)=0,"-",VLOOKUP($B177,casostestes[#Data],8)),"-")</f>
        <v>-</v>
      </c>
      <c r="J177" s="50" t="str">
        <f>IFERROR(IF(VLOOKUP($B177,casostestes[#Data],9)=0,"-",VLOOKUP($B177,casostestes[#Data],9)),"-")</f>
        <v>-</v>
      </c>
      <c r="K177" s="51"/>
      <c r="L177" s="57"/>
      <c r="M177" s="53"/>
      <c r="N177" s="54"/>
      <c r="O177" s="54"/>
      <c r="P177" s="55"/>
    </row>
    <row r="178" spans="2:16">
      <c r="B178" s="56" t="str">
        <f>IF(ISERR(casostestes[[#This Row],[ID]]),"-",casostestes[[#This Row],[ID]])</f>
        <v>-</v>
      </c>
      <c r="C178" s="49" t="str">
        <f>IFERROR(IF(VLOOKUP($B178,casostestes[#Data],10)=0,"Não",VLOOKUP($B178,casostestes[#Data],10)), "-")</f>
        <v>-</v>
      </c>
      <c r="D178" s="50" t="str">
        <f>IFERROR(IF(VLOOKUP($B178,casostestes[#Data],2)=0,"-",VLOOKUP($B178,casostestes[#Data],2)), "-")</f>
        <v>-</v>
      </c>
      <c r="E178" s="50" t="str">
        <f>IFERROR(IF(VLOOKUP($B178,casostestes[#Data],3)=0,"-",VLOOKUP($B178,casostestes[#Data],3)), "-")</f>
        <v>-</v>
      </c>
      <c r="F178" s="50" t="str">
        <f>IFERROR(IF(VLOOKUP($B178,casostestes[#Data],4)=0,"-",VLOOKUP($B178,casostestes[#Data],4)),"-")</f>
        <v>-</v>
      </c>
      <c r="G178" s="50" t="str">
        <f>IFERROR(IF(VLOOKUP($B178,casostestes[#Data],5)=0,"-",VLOOKUP($B178,casostestes[#Data],5)),"-")</f>
        <v>-</v>
      </c>
      <c r="H178" s="50" t="str">
        <f>IFERROR(IF(VLOOKUP($B178,casostestes[#Data],6)=0,"-",VLOOKUP($B178,casostestes[#Data],6)),"-")</f>
        <v>-</v>
      </c>
      <c r="I178" s="50" t="str">
        <f>IFERROR(IF(VLOOKUP($B178,casostestes[#Data],8)=0,"-",VLOOKUP($B178,casostestes[#Data],8)),"-")</f>
        <v>-</v>
      </c>
      <c r="J178" s="50" t="str">
        <f>IFERROR(IF(VLOOKUP($B178,casostestes[#Data],9)=0,"-",VLOOKUP($B178,casostestes[#Data],9)),"-")</f>
        <v>-</v>
      </c>
      <c r="K178" s="51"/>
      <c r="L178" s="57"/>
      <c r="M178" s="53"/>
      <c r="N178" s="54"/>
      <c r="O178" s="54"/>
      <c r="P178" s="55"/>
    </row>
    <row r="179" spans="2:16">
      <c r="B179" s="56" t="str">
        <f>IF(ISERR(casostestes[[#This Row],[ID]]),"-",casostestes[[#This Row],[ID]])</f>
        <v>-</v>
      </c>
      <c r="C179" s="49" t="str">
        <f>IFERROR(IF(VLOOKUP($B179,casostestes[#Data],10)=0,"Não",VLOOKUP($B179,casostestes[#Data],10)), "-")</f>
        <v>-</v>
      </c>
      <c r="D179" s="50" t="str">
        <f>IFERROR(IF(VLOOKUP($B179,casostestes[#Data],2)=0,"-",VLOOKUP($B179,casostestes[#Data],2)), "-")</f>
        <v>-</v>
      </c>
      <c r="E179" s="50" t="str">
        <f>IFERROR(IF(VLOOKUP($B179,casostestes[#Data],3)=0,"-",VLOOKUP($B179,casostestes[#Data],3)), "-")</f>
        <v>-</v>
      </c>
      <c r="F179" s="50" t="str">
        <f>IFERROR(IF(VLOOKUP($B179,casostestes[#Data],4)=0,"-",VLOOKUP($B179,casostestes[#Data],4)),"-")</f>
        <v>-</v>
      </c>
      <c r="G179" s="50" t="str">
        <f>IFERROR(IF(VLOOKUP($B179,casostestes[#Data],5)=0,"-",VLOOKUP($B179,casostestes[#Data],5)),"-")</f>
        <v>-</v>
      </c>
      <c r="H179" s="50" t="str">
        <f>IFERROR(IF(VLOOKUP($B179,casostestes[#Data],6)=0,"-",VLOOKUP($B179,casostestes[#Data],6)),"-")</f>
        <v>-</v>
      </c>
      <c r="I179" s="50" t="str">
        <f>IFERROR(IF(VLOOKUP($B179,casostestes[#Data],8)=0,"-",VLOOKUP($B179,casostestes[#Data],8)),"-")</f>
        <v>-</v>
      </c>
      <c r="J179" s="50" t="str">
        <f>IFERROR(IF(VLOOKUP($B179,casostestes[#Data],9)=0,"-",VLOOKUP($B179,casostestes[#Data],9)),"-")</f>
        <v>-</v>
      </c>
      <c r="K179" s="51"/>
      <c r="L179" s="57"/>
      <c r="M179" s="53"/>
      <c r="N179" s="54"/>
      <c r="O179" s="54"/>
      <c r="P179" s="55"/>
    </row>
    <row r="180" spans="2:16">
      <c r="B180" s="56" t="str">
        <f>IF(ISERR(casostestes[[#This Row],[ID]]),"-",casostestes[[#This Row],[ID]])</f>
        <v>-</v>
      </c>
      <c r="C180" s="49" t="str">
        <f>IFERROR(IF(VLOOKUP($B180,casostestes[#Data],10)=0,"Não",VLOOKUP($B180,casostestes[#Data],10)), "-")</f>
        <v>-</v>
      </c>
      <c r="D180" s="50" t="str">
        <f>IFERROR(IF(VLOOKUP($B180,casostestes[#Data],2)=0,"-",VLOOKUP($B180,casostestes[#Data],2)), "-")</f>
        <v>-</v>
      </c>
      <c r="E180" s="50" t="str">
        <f>IFERROR(IF(VLOOKUP($B180,casostestes[#Data],3)=0,"-",VLOOKUP($B180,casostestes[#Data],3)), "-")</f>
        <v>-</v>
      </c>
      <c r="F180" s="50" t="str">
        <f>IFERROR(IF(VLOOKUP($B180,casostestes[#Data],4)=0,"-",VLOOKUP($B180,casostestes[#Data],4)),"-")</f>
        <v>-</v>
      </c>
      <c r="G180" s="50" t="str">
        <f>IFERROR(IF(VLOOKUP($B180,casostestes[#Data],5)=0,"-",VLOOKUP($B180,casostestes[#Data],5)),"-")</f>
        <v>-</v>
      </c>
      <c r="H180" s="50" t="str">
        <f>IFERROR(IF(VLOOKUP($B180,casostestes[#Data],6)=0,"-",VLOOKUP($B180,casostestes[#Data],6)),"-")</f>
        <v>-</v>
      </c>
      <c r="I180" s="50" t="str">
        <f>IFERROR(IF(VLOOKUP($B180,casostestes[#Data],8)=0,"-",VLOOKUP($B180,casostestes[#Data],8)),"-")</f>
        <v>-</v>
      </c>
      <c r="J180" s="50" t="str">
        <f>IFERROR(IF(VLOOKUP($B180,casostestes[#Data],9)=0,"-",VLOOKUP($B180,casostestes[#Data],9)),"-")</f>
        <v>-</v>
      </c>
      <c r="K180" s="51"/>
      <c r="L180" s="57"/>
      <c r="M180" s="53"/>
      <c r="N180" s="54"/>
      <c r="O180" s="54"/>
      <c r="P180" s="55"/>
    </row>
    <row r="181" spans="2:16">
      <c r="B181" s="56" t="str">
        <f>IF(ISERR(casostestes[[#This Row],[ID]]),"-",casostestes[[#This Row],[ID]])</f>
        <v>-</v>
      </c>
      <c r="C181" s="49" t="str">
        <f>IFERROR(IF(VLOOKUP($B181,casostestes[#Data],10)=0,"Não",VLOOKUP($B181,casostestes[#Data],10)), "-")</f>
        <v>-</v>
      </c>
      <c r="D181" s="50" t="str">
        <f>IFERROR(IF(VLOOKUP($B181,casostestes[#Data],2)=0,"-",VLOOKUP($B181,casostestes[#Data],2)), "-")</f>
        <v>-</v>
      </c>
      <c r="E181" s="50" t="str">
        <f>IFERROR(IF(VLOOKUP($B181,casostestes[#Data],3)=0,"-",VLOOKUP($B181,casostestes[#Data],3)), "-")</f>
        <v>-</v>
      </c>
      <c r="F181" s="50" t="str">
        <f>IFERROR(IF(VLOOKUP($B181,casostestes[#Data],4)=0,"-",VLOOKUP($B181,casostestes[#Data],4)),"-")</f>
        <v>-</v>
      </c>
      <c r="G181" s="50" t="str">
        <f>IFERROR(IF(VLOOKUP($B181,casostestes[#Data],5)=0,"-",VLOOKUP($B181,casostestes[#Data],5)),"-")</f>
        <v>-</v>
      </c>
      <c r="H181" s="50" t="str">
        <f>IFERROR(IF(VLOOKUP($B181,casostestes[#Data],6)=0,"-",VLOOKUP($B181,casostestes[#Data],6)),"-")</f>
        <v>-</v>
      </c>
      <c r="I181" s="50" t="str">
        <f>IFERROR(IF(VLOOKUP($B181,casostestes[#Data],8)=0,"-",VLOOKUP($B181,casostestes[#Data],8)),"-")</f>
        <v>-</v>
      </c>
      <c r="J181" s="50" t="str">
        <f>IFERROR(IF(VLOOKUP($B181,casostestes[#Data],9)=0,"-",VLOOKUP($B181,casostestes[#Data],9)),"-")</f>
        <v>-</v>
      </c>
      <c r="K181" s="51"/>
      <c r="L181" s="57"/>
      <c r="M181" s="53"/>
      <c r="N181" s="54"/>
      <c r="O181" s="54"/>
      <c r="P181" s="55"/>
    </row>
    <row r="182" spans="2:16">
      <c r="B182" s="56" t="str">
        <f>IF(ISERR(casostestes[[#This Row],[ID]]),"-",casostestes[[#This Row],[ID]])</f>
        <v>-</v>
      </c>
      <c r="C182" s="49" t="str">
        <f>IFERROR(IF(VLOOKUP($B182,casostestes[#Data],10)=0,"Não",VLOOKUP($B182,casostestes[#Data],10)), "-")</f>
        <v>-</v>
      </c>
      <c r="D182" s="50" t="str">
        <f>IFERROR(IF(VLOOKUP($B182,casostestes[#Data],2)=0,"-",VLOOKUP($B182,casostestes[#Data],2)), "-")</f>
        <v>-</v>
      </c>
      <c r="E182" s="50" t="str">
        <f>IFERROR(IF(VLOOKUP($B182,casostestes[#Data],3)=0,"-",VLOOKUP($B182,casostestes[#Data],3)), "-")</f>
        <v>-</v>
      </c>
      <c r="F182" s="50" t="str">
        <f>IFERROR(IF(VLOOKUP($B182,casostestes[#Data],4)=0,"-",VLOOKUP($B182,casostestes[#Data],4)),"-")</f>
        <v>-</v>
      </c>
      <c r="G182" s="50" t="str">
        <f>IFERROR(IF(VLOOKUP($B182,casostestes[#Data],5)=0,"-",VLOOKUP($B182,casostestes[#Data],5)),"-")</f>
        <v>-</v>
      </c>
      <c r="H182" s="50" t="str">
        <f>IFERROR(IF(VLOOKUP($B182,casostestes[#Data],6)=0,"-",VLOOKUP($B182,casostestes[#Data],6)),"-")</f>
        <v>-</v>
      </c>
      <c r="I182" s="50" t="str">
        <f>IFERROR(IF(VLOOKUP($B182,casostestes[#Data],8)=0,"-",VLOOKUP($B182,casostestes[#Data],8)),"-")</f>
        <v>-</v>
      </c>
      <c r="J182" s="50" t="str">
        <f>IFERROR(IF(VLOOKUP($B182,casostestes[#Data],9)=0,"-",VLOOKUP($B182,casostestes[#Data],9)),"-")</f>
        <v>-</v>
      </c>
      <c r="K182" s="51"/>
      <c r="L182" s="57"/>
      <c r="M182" s="53"/>
      <c r="N182" s="54"/>
      <c r="O182" s="54"/>
      <c r="P182" s="55"/>
    </row>
    <row r="183" spans="2:16">
      <c r="B183" s="56" t="str">
        <f>IF(ISERR(casostestes[[#This Row],[ID]]),"-",casostestes[[#This Row],[ID]])</f>
        <v>-</v>
      </c>
      <c r="C183" s="49" t="str">
        <f>IFERROR(IF(VLOOKUP($B183,casostestes[#Data],10)=0,"Não",VLOOKUP($B183,casostestes[#Data],10)), "-")</f>
        <v>-</v>
      </c>
      <c r="D183" s="50" t="str">
        <f>IFERROR(IF(VLOOKUP($B183,casostestes[#Data],2)=0,"-",VLOOKUP($B183,casostestes[#Data],2)), "-")</f>
        <v>-</v>
      </c>
      <c r="E183" s="50" t="str">
        <f>IFERROR(IF(VLOOKUP($B183,casostestes[#Data],3)=0,"-",VLOOKUP($B183,casostestes[#Data],3)), "-")</f>
        <v>-</v>
      </c>
      <c r="F183" s="50" t="str">
        <f>IFERROR(IF(VLOOKUP($B183,casostestes[#Data],4)=0,"-",VLOOKUP($B183,casostestes[#Data],4)),"-")</f>
        <v>-</v>
      </c>
      <c r="G183" s="50" t="str">
        <f>IFERROR(IF(VLOOKUP($B183,casostestes[#Data],5)=0,"-",VLOOKUP($B183,casostestes[#Data],5)),"-")</f>
        <v>-</v>
      </c>
      <c r="H183" s="50" t="str">
        <f>IFERROR(IF(VLOOKUP($B183,casostestes[#Data],6)=0,"-",VLOOKUP($B183,casostestes[#Data],6)),"-")</f>
        <v>-</v>
      </c>
      <c r="I183" s="50" t="str">
        <f>IFERROR(IF(VLOOKUP($B183,casostestes[#Data],8)=0,"-",VLOOKUP($B183,casostestes[#Data],8)),"-")</f>
        <v>-</v>
      </c>
      <c r="J183" s="50" t="str">
        <f>IFERROR(IF(VLOOKUP($B183,casostestes[#Data],9)=0,"-",VLOOKUP($B183,casostestes[#Data],9)),"-")</f>
        <v>-</v>
      </c>
      <c r="K183" s="51"/>
      <c r="L183" s="57"/>
      <c r="M183" s="53"/>
      <c r="N183" s="54"/>
      <c r="O183" s="54"/>
      <c r="P183" s="55"/>
    </row>
    <row r="184" spans="2:16">
      <c r="B184" s="56" t="str">
        <f>IF(ISERR(casostestes[[#This Row],[ID]]),"-",casostestes[[#This Row],[ID]])</f>
        <v>-</v>
      </c>
      <c r="C184" s="49" t="str">
        <f>IFERROR(IF(VLOOKUP($B184,casostestes[#Data],10)=0,"Não",VLOOKUP($B184,casostestes[#Data],10)), "-")</f>
        <v>-</v>
      </c>
      <c r="D184" s="50" t="str">
        <f>IFERROR(IF(VLOOKUP($B184,casostestes[#Data],2)=0,"-",VLOOKUP($B184,casostestes[#Data],2)), "-")</f>
        <v>-</v>
      </c>
      <c r="E184" s="50" t="str">
        <f>IFERROR(IF(VLOOKUP($B184,casostestes[#Data],3)=0,"-",VLOOKUP($B184,casostestes[#Data],3)), "-")</f>
        <v>-</v>
      </c>
      <c r="F184" s="50" t="str">
        <f>IFERROR(IF(VLOOKUP($B184,casostestes[#Data],4)=0,"-",VLOOKUP($B184,casostestes[#Data],4)),"-")</f>
        <v>-</v>
      </c>
      <c r="G184" s="50" t="str">
        <f>IFERROR(IF(VLOOKUP($B184,casostestes[#Data],5)=0,"-",VLOOKUP($B184,casostestes[#Data],5)),"-")</f>
        <v>-</v>
      </c>
      <c r="H184" s="50" t="str">
        <f>IFERROR(IF(VLOOKUP($B184,casostestes[#Data],6)=0,"-",VLOOKUP($B184,casostestes[#Data],6)),"-")</f>
        <v>-</v>
      </c>
      <c r="I184" s="50" t="str">
        <f>IFERROR(IF(VLOOKUP($B184,casostestes[#Data],8)=0,"-",VLOOKUP($B184,casostestes[#Data],8)),"-")</f>
        <v>-</v>
      </c>
      <c r="J184" s="50" t="str">
        <f>IFERROR(IF(VLOOKUP($B184,casostestes[#Data],9)=0,"-",VLOOKUP($B184,casostestes[#Data],9)),"-")</f>
        <v>-</v>
      </c>
      <c r="K184" s="51"/>
      <c r="L184" s="57"/>
      <c r="M184" s="53"/>
      <c r="N184" s="54"/>
      <c r="O184" s="54"/>
      <c r="P184" s="55"/>
    </row>
    <row r="185" spans="2:16">
      <c r="B185" s="56" t="str">
        <f>IF(ISERR(casostestes[[#This Row],[ID]]),"-",casostestes[[#This Row],[ID]])</f>
        <v>-</v>
      </c>
      <c r="C185" s="49" t="str">
        <f>IFERROR(IF(VLOOKUP($B185,casostestes[#Data],10)=0,"Não",VLOOKUP($B185,casostestes[#Data],10)), "-")</f>
        <v>-</v>
      </c>
      <c r="D185" s="50" t="str">
        <f>IFERROR(IF(VLOOKUP($B185,casostestes[#Data],2)=0,"-",VLOOKUP($B185,casostestes[#Data],2)), "-")</f>
        <v>-</v>
      </c>
      <c r="E185" s="50" t="str">
        <f>IFERROR(IF(VLOOKUP($B185,casostestes[#Data],3)=0,"-",VLOOKUP($B185,casostestes[#Data],3)), "-")</f>
        <v>-</v>
      </c>
      <c r="F185" s="50" t="str">
        <f>IFERROR(IF(VLOOKUP($B185,casostestes[#Data],4)=0,"-",VLOOKUP($B185,casostestes[#Data],4)),"-")</f>
        <v>-</v>
      </c>
      <c r="G185" s="50" t="str">
        <f>IFERROR(IF(VLOOKUP($B185,casostestes[#Data],5)=0,"-",VLOOKUP($B185,casostestes[#Data],5)),"-")</f>
        <v>-</v>
      </c>
      <c r="H185" s="50" t="str">
        <f>IFERROR(IF(VLOOKUP($B185,casostestes[#Data],6)=0,"-",VLOOKUP($B185,casostestes[#Data],6)),"-")</f>
        <v>-</v>
      </c>
      <c r="I185" s="50" t="str">
        <f>IFERROR(IF(VLOOKUP($B185,casostestes[#Data],8)=0,"-",VLOOKUP($B185,casostestes[#Data],8)),"-")</f>
        <v>-</v>
      </c>
      <c r="J185" s="50" t="str">
        <f>IFERROR(IF(VLOOKUP($B185,casostestes[#Data],9)=0,"-",VLOOKUP($B185,casostestes[#Data],9)),"-")</f>
        <v>-</v>
      </c>
      <c r="K185" s="51"/>
      <c r="L185" s="57"/>
      <c r="M185" s="53"/>
      <c r="N185" s="54"/>
      <c r="O185" s="54"/>
      <c r="P185" s="55"/>
    </row>
    <row r="186" spans="2:16">
      <c r="B186" s="56" t="str">
        <f>IF(ISERR(casostestes[[#This Row],[ID]]),"-",casostestes[[#This Row],[ID]])</f>
        <v>-</v>
      </c>
      <c r="C186" s="49" t="str">
        <f>IFERROR(IF(VLOOKUP($B186,casostestes[#Data],10)=0,"Não",VLOOKUP($B186,casostestes[#Data],10)), "-")</f>
        <v>-</v>
      </c>
      <c r="D186" s="50" t="str">
        <f>IFERROR(IF(VLOOKUP($B186,casostestes[#Data],2)=0,"-",VLOOKUP($B186,casostestes[#Data],2)), "-")</f>
        <v>-</v>
      </c>
      <c r="E186" s="50" t="str">
        <f>IFERROR(IF(VLOOKUP($B186,casostestes[#Data],3)=0,"-",VLOOKUP($B186,casostestes[#Data],3)), "-")</f>
        <v>-</v>
      </c>
      <c r="F186" s="50" t="str">
        <f>IFERROR(IF(VLOOKUP($B186,casostestes[#Data],4)=0,"-",VLOOKUP($B186,casostestes[#Data],4)),"-")</f>
        <v>-</v>
      </c>
      <c r="G186" s="50" t="str">
        <f>IFERROR(IF(VLOOKUP($B186,casostestes[#Data],5)=0,"-",VLOOKUP($B186,casostestes[#Data],5)),"-")</f>
        <v>-</v>
      </c>
      <c r="H186" s="50" t="str">
        <f>IFERROR(IF(VLOOKUP($B186,casostestes[#Data],6)=0,"-",VLOOKUP($B186,casostestes[#Data],6)),"-")</f>
        <v>-</v>
      </c>
      <c r="I186" s="50" t="str">
        <f>IFERROR(IF(VLOOKUP($B186,casostestes[#Data],8)=0,"-",VLOOKUP($B186,casostestes[#Data],8)),"-")</f>
        <v>-</v>
      </c>
      <c r="J186" s="50" t="str">
        <f>IFERROR(IF(VLOOKUP($B186,casostestes[#Data],9)=0,"-",VLOOKUP($B186,casostestes[#Data],9)),"-")</f>
        <v>-</v>
      </c>
      <c r="K186" s="51"/>
      <c r="L186" s="57"/>
      <c r="M186" s="53"/>
      <c r="N186" s="54"/>
      <c r="O186" s="54"/>
      <c r="P186" s="55"/>
    </row>
    <row r="187" spans="2:16">
      <c r="B187" s="56" t="str">
        <f>IF(ISERR(casostestes[[#This Row],[ID]]),"-",casostestes[[#This Row],[ID]])</f>
        <v>-</v>
      </c>
      <c r="C187" s="49" t="str">
        <f>IFERROR(IF(VLOOKUP($B187,casostestes[#Data],10)=0,"Não",VLOOKUP($B187,casostestes[#Data],10)), "-")</f>
        <v>-</v>
      </c>
      <c r="D187" s="50" t="str">
        <f>IFERROR(IF(VLOOKUP($B187,casostestes[#Data],2)=0,"-",VLOOKUP($B187,casostestes[#Data],2)), "-")</f>
        <v>-</v>
      </c>
      <c r="E187" s="50" t="str">
        <f>IFERROR(IF(VLOOKUP($B187,casostestes[#Data],3)=0,"-",VLOOKUP($B187,casostestes[#Data],3)), "-")</f>
        <v>-</v>
      </c>
      <c r="F187" s="50" t="str">
        <f>IFERROR(IF(VLOOKUP($B187,casostestes[#Data],4)=0,"-",VLOOKUP($B187,casostestes[#Data],4)),"-")</f>
        <v>-</v>
      </c>
      <c r="G187" s="50" t="str">
        <f>IFERROR(IF(VLOOKUP($B187,casostestes[#Data],5)=0,"-",VLOOKUP($B187,casostestes[#Data],5)),"-")</f>
        <v>-</v>
      </c>
      <c r="H187" s="50" t="str">
        <f>IFERROR(IF(VLOOKUP($B187,casostestes[#Data],6)=0,"-",VLOOKUP($B187,casostestes[#Data],6)),"-")</f>
        <v>-</v>
      </c>
      <c r="I187" s="50" t="str">
        <f>IFERROR(IF(VLOOKUP($B187,casostestes[#Data],8)=0,"-",VLOOKUP($B187,casostestes[#Data],8)),"-")</f>
        <v>-</v>
      </c>
      <c r="J187" s="50" t="str">
        <f>IFERROR(IF(VLOOKUP($B187,casostestes[#Data],9)=0,"-",VLOOKUP($B187,casostestes[#Data],9)),"-")</f>
        <v>-</v>
      </c>
      <c r="K187" s="51"/>
      <c r="L187" s="57"/>
      <c r="M187" s="53"/>
      <c r="N187" s="54"/>
      <c r="O187" s="54"/>
      <c r="P187" s="55"/>
    </row>
    <row r="188" spans="2:16">
      <c r="B188" s="56" t="str">
        <f>IF(ISERR(casostestes[[#This Row],[ID]]),"-",casostestes[[#This Row],[ID]])</f>
        <v>-</v>
      </c>
      <c r="C188" s="49" t="str">
        <f>IFERROR(IF(VLOOKUP($B188,casostestes[#Data],10)=0,"Não",VLOOKUP($B188,casostestes[#Data],10)), "-")</f>
        <v>-</v>
      </c>
      <c r="D188" s="50" t="str">
        <f>IFERROR(IF(VLOOKUP($B188,casostestes[#Data],2)=0,"-",VLOOKUP($B188,casostestes[#Data],2)), "-")</f>
        <v>-</v>
      </c>
      <c r="E188" s="50" t="str">
        <f>IFERROR(IF(VLOOKUP($B188,casostestes[#Data],3)=0,"-",VLOOKUP($B188,casostestes[#Data],3)), "-")</f>
        <v>-</v>
      </c>
      <c r="F188" s="50" t="str">
        <f>IFERROR(IF(VLOOKUP($B188,casostestes[#Data],4)=0,"-",VLOOKUP($B188,casostestes[#Data],4)),"-")</f>
        <v>-</v>
      </c>
      <c r="G188" s="50" t="str">
        <f>IFERROR(IF(VLOOKUP($B188,casostestes[#Data],5)=0,"-",VLOOKUP($B188,casostestes[#Data],5)),"-")</f>
        <v>-</v>
      </c>
      <c r="H188" s="50" t="str">
        <f>IFERROR(IF(VLOOKUP($B188,casostestes[#Data],6)=0,"-",VLOOKUP($B188,casostestes[#Data],6)),"-")</f>
        <v>-</v>
      </c>
      <c r="I188" s="50" t="str">
        <f>IFERROR(IF(VLOOKUP($B188,casostestes[#Data],8)=0,"-",VLOOKUP($B188,casostestes[#Data],8)),"-")</f>
        <v>-</v>
      </c>
      <c r="J188" s="50" t="str">
        <f>IFERROR(IF(VLOOKUP($B188,casostestes[#Data],9)=0,"-",VLOOKUP($B188,casostestes[#Data],9)),"-")</f>
        <v>-</v>
      </c>
      <c r="K188" s="51"/>
      <c r="L188" s="57"/>
      <c r="M188" s="53"/>
      <c r="N188" s="54"/>
      <c r="O188" s="54"/>
      <c r="P188" s="55"/>
    </row>
    <row r="189" spans="2:16">
      <c r="B189" s="56" t="str">
        <f>IF(ISERR(casostestes[[#This Row],[ID]]),"-",casostestes[[#This Row],[ID]])</f>
        <v>-</v>
      </c>
      <c r="C189" s="49" t="str">
        <f>IFERROR(IF(VLOOKUP($B189,casostestes[#Data],10)=0,"Não",VLOOKUP($B189,casostestes[#Data],10)), "-")</f>
        <v>-</v>
      </c>
      <c r="D189" s="50" t="str">
        <f>IFERROR(IF(VLOOKUP($B189,casostestes[#Data],2)=0,"-",VLOOKUP($B189,casostestes[#Data],2)), "-")</f>
        <v>-</v>
      </c>
      <c r="E189" s="50" t="str">
        <f>IFERROR(IF(VLOOKUP($B189,casostestes[#Data],3)=0,"-",VLOOKUP($B189,casostestes[#Data],3)), "-")</f>
        <v>-</v>
      </c>
      <c r="F189" s="50" t="str">
        <f>IFERROR(IF(VLOOKUP($B189,casostestes[#Data],4)=0,"-",VLOOKUP($B189,casostestes[#Data],4)),"-")</f>
        <v>-</v>
      </c>
      <c r="G189" s="50" t="str">
        <f>IFERROR(IF(VLOOKUP($B189,casostestes[#Data],5)=0,"-",VLOOKUP($B189,casostestes[#Data],5)),"-")</f>
        <v>-</v>
      </c>
      <c r="H189" s="50" t="str">
        <f>IFERROR(IF(VLOOKUP($B189,casostestes[#Data],6)=0,"-",VLOOKUP($B189,casostestes[#Data],6)),"-")</f>
        <v>-</v>
      </c>
      <c r="I189" s="50" t="str">
        <f>IFERROR(IF(VLOOKUP($B189,casostestes[#Data],8)=0,"-",VLOOKUP($B189,casostestes[#Data],8)),"-")</f>
        <v>-</v>
      </c>
      <c r="J189" s="50" t="str">
        <f>IFERROR(IF(VLOOKUP($B189,casostestes[#Data],9)=0,"-",VLOOKUP($B189,casostestes[#Data],9)),"-")</f>
        <v>-</v>
      </c>
      <c r="K189" s="51"/>
      <c r="L189" s="57"/>
      <c r="M189" s="53"/>
      <c r="N189" s="54"/>
      <c r="O189" s="54"/>
      <c r="P189" s="55"/>
    </row>
    <row r="190" spans="2:16">
      <c r="B190" s="56" t="str">
        <f>IF(ISERR(casostestes[[#This Row],[ID]]),"-",casostestes[[#This Row],[ID]])</f>
        <v>-</v>
      </c>
      <c r="C190" s="49" t="str">
        <f>IFERROR(IF(VLOOKUP($B190,casostestes[#Data],10)=0,"Não",VLOOKUP($B190,casostestes[#Data],10)), "-")</f>
        <v>-</v>
      </c>
      <c r="D190" s="50" t="str">
        <f>IFERROR(IF(VLOOKUP($B190,casostestes[#Data],2)=0,"-",VLOOKUP($B190,casostestes[#Data],2)), "-")</f>
        <v>-</v>
      </c>
      <c r="E190" s="50" t="str">
        <f>IFERROR(IF(VLOOKUP($B190,casostestes[#Data],3)=0,"-",VLOOKUP($B190,casostestes[#Data],3)), "-")</f>
        <v>-</v>
      </c>
      <c r="F190" s="50" t="str">
        <f>IFERROR(IF(VLOOKUP($B190,casostestes[#Data],4)=0,"-",VLOOKUP($B190,casostestes[#Data],4)),"-")</f>
        <v>-</v>
      </c>
      <c r="G190" s="50" t="str">
        <f>IFERROR(IF(VLOOKUP($B190,casostestes[#Data],5)=0,"-",VLOOKUP($B190,casostestes[#Data],5)),"-")</f>
        <v>-</v>
      </c>
      <c r="H190" s="50" t="str">
        <f>IFERROR(IF(VLOOKUP($B190,casostestes[#Data],6)=0,"-",VLOOKUP($B190,casostestes[#Data],6)),"-")</f>
        <v>-</v>
      </c>
      <c r="I190" s="50" t="str">
        <f>IFERROR(IF(VLOOKUP($B190,casostestes[#Data],8)=0,"-",VLOOKUP($B190,casostestes[#Data],8)),"-")</f>
        <v>-</v>
      </c>
      <c r="J190" s="50" t="str">
        <f>IFERROR(IF(VLOOKUP($B190,casostestes[#Data],9)=0,"-",VLOOKUP($B190,casostestes[#Data],9)),"-")</f>
        <v>-</v>
      </c>
      <c r="K190" s="51"/>
      <c r="L190" s="57"/>
      <c r="M190" s="53"/>
      <c r="N190" s="54"/>
      <c r="O190" s="54"/>
      <c r="P190" s="55"/>
    </row>
    <row r="191" spans="2:16">
      <c r="B191" s="56" t="str">
        <f>IF(ISERR(casostestes[[#This Row],[ID]]),"-",casostestes[[#This Row],[ID]])</f>
        <v>-</v>
      </c>
      <c r="C191" s="49" t="str">
        <f>IFERROR(IF(VLOOKUP($B191,casostestes[#Data],10)=0,"Não",VLOOKUP($B191,casostestes[#Data],10)), "-")</f>
        <v>-</v>
      </c>
      <c r="D191" s="50" t="str">
        <f>IFERROR(IF(VLOOKUP($B191,casostestes[#Data],2)=0,"-",VLOOKUP($B191,casostestes[#Data],2)), "-")</f>
        <v>-</v>
      </c>
      <c r="E191" s="50" t="str">
        <f>IFERROR(IF(VLOOKUP($B191,casostestes[#Data],3)=0,"-",VLOOKUP($B191,casostestes[#Data],3)), "-")</f>
        <v>-</v>
      </c>
      <c r="F191" s="50" t="str">
        <f>IFERROR(IF(VLOOKUP($B191,casostestes[#Data],4)=0,"-",VLOOKUP($B191,casostestes[#Data],4)),"-")</f>
        <v>-</v>
      </c>
      <c r="G191" s="50" t="str">
        <f>IFERROR(IF(VLOOKUP($B191,casostestes[#Data],5)=0,"-",VLOOKUP($B191,casostestes[#Data],5)),"-")</f>
        <v>-</v>
      </c>
      <c r="H191" s="50" t="str">
        <f>IFERROR(IF(VLOOKUP($B191,casostestes[#Data],6)=0,"-",VLOOKUP($B191,casostestes[#Data],6)),"-")</f>
        <v>-</v>
      </c>
      <c r="I191" s="50" t="str">
        <f>IFERROR(IF(VLOOKUP($B191,casostestes[#Data],8)=0,"-",VLOOKUP($B191,casostestes[#Data],8)),"-")</f>
        <v>-</v>
      </c>
      <c r="J191" s="50" t="str">
        <f>IFERROR(IF(VLOOKUP($B191,casostestes[#Data],9)=0,"-",VLOOKUP($B191,casostestes[#Data],9)),"-")</f>
        <v>-</v>
      </c>
      <c r="K191" s="51"/>
      <c r="L191" s="57"/>
      <c r="M191" s="53"/>
      <c r="N191" s="54"/>
      <c r="O191" s="54"/>
      <c r="P191" s="55"/>
    </row>
    <row r="192" spans="2:16">
      <c r="B192" s="56" t="str">
        <f>IF(ISERR(casostestes[[#This Row],[ID]]),"-",casostestes[[#This Row],[ID]])</f>
        <v>-</v>
      </c>
      <c r="C192" s="49" t="str">
        <f>IFERROR(IF(VLOOKUP($B192,casostestes[#Data],10)=0,"Não",VLOOKUP($B192,casostestes[#Data],10)), "-")</f>
        <v>-</v>
      </c>
      <c r="D192" s="50" t="str">
        <f>IFERROR(IF(VLOOKUP($B192,casostestes[#Data],2)=0,"-",VLOOKUP($B192,casostestes[#Data],2)), "-")</f>
        <v>-</v>
      </c>
      <c r="E192" s="50" t="str">
        <f>IFERROR(IF(VLOOKUP($B192,casostestes[#Data],3)=0,"-",VLOOKUP($B192,casostestes[#Data],3)), "-")</f>
        <v>-</v>
      </c>
      <c r="F192" s="50" t="str">
        <f>IFERROR(IF(VLOOKUP($B192,casostestes[#Data],4)=0,"-",VLOOKUP($B192,casostestes[#Data],4)),"-")</f>
        <v>-</v>
      </c>
      <c r="G192" s="50" t="str">
        <f>IFERROR(IF(VLOOKUP($B192,casostestes[#Data],5)=0,"-",VLOOKUP($B192,casostestes[#Data],5)),"-")</f>
        <v>-</v>
      </c>
      <c r="H192" s="50" t="str">
        <f>IFERROR(IF(VLOOKUP($B192,casostestes[#Data],6)=0,"-",VLOOKUP($B192,casostestes[#Data],6)),"-")</f>
        <v>-</v>
      </c>
      <c r="I192" s="50" t="str">
        <f>IFERROR(IF(VLOOKUP($B192,casostestes[#Data],8)=0,"-",VLOOKUP($B192,casostestes[#Data],8)),"-")</f>
        <v>-</v>
      </c>
      <c r="J192" s="50" t="str">
        <f>IFERROR(IF(VLOOKUP($B192,casostestes[#Data],9)=0,"-",VLOOKUP($B192,casostestes[#Data],9)),"-")</f>
        <v>-</v>
      </c>
      <c r="K192" s="51"/>
      <c r="L192" s="57"/>
      <c r="M192" s="53"/>
      <c r="N192" s="54"/>
      <c r="O192" s="54"/>
      <c r="P192" s="55"/>
    </row>
    <row r="193" spans="2:16">
      <c r="B193" s="56" t="str">
        <f>IF(ISERR(casostestes[[#This Row],[ID]]),"-",casostestes[[#This Row],[ID]])</f>
        <v>-</v>
      </c>
      <c r="C193" s="49" t="str">
        <f>IFERROR(IF(VLOOKUP($B193,casostestes[#Data],10)=0,"Não",VLOOKUP($B193,casostestes[#Data],10)), "-")</f>
        <v>-</v>
      </c>
      <c r="D193" s="50" t="str">
        <f>IFERROR(IF(VLOOKUP($B193,casostestes[#Data],2)=0,"-",VLOOKUP($B193,casostestes[#Data],2)), "-")</f>
        <v>-</v>
      </c>
      <c r="E193" s="50" t="str">
        <f>IFERROR(IF(VLOOKUP($B193,casostestes[#Data],3)=0,"-",VLOOKUP($B193,casostestes[#Data],3)), "-")</f>
        <v>-</v>
      </c>
      <c r="F193" s="50" t="str">
        <f>IFERROR(IF(VLOOKUP($B193,casostestes[#Data],4)=0,"-",VLOOKUP($B193,casostestes[#Data],4)),"-")</f>
        <v>-</v>
      </c>
      <c r="G193" s="50" t="str">
        <f>IFERROR(IF(VLOOKUP($B193,casostestes[#Data],5)=0,"-",VLOOKUP($B193,casostestes[#Data],5)),"-")</f>
        <v>-</v>
      </c>
      <c r="H193" s="50" t="str">
        <f>IFERROR(IF(VLOOKUP($B193,casostestes[#Data],6)=0,"-",VLOOKUP($B193,casostestes[#Data],6)),"-")</f>
        <v>-</v>
      </c>
      <c r="I193" s="50" t="str">
        <f>IFERROR(IF(VLOOKUP($B193,casostestes[#Data],8)=0,"-",VLOOKUP($B193,casostestes[#Data],8)),"-")</f>
        <v>-</v>
      </c>
      <c r="J193" s="50" t="str">
        <f>IFERROR(IF(VLOOKUP($B193,casostestes[#Data],9)=0,"-",VLOOKUP($B193,casostestes[#Data],9)),"-")</f>
        <v>-</v>
      </c>
      <c r="K193" s="51"/>
      <c r="L193" s="57"/>
      <c r="M193" s="53"/>
      <c r="N193" s="54"/>
      <c r="O193" s="54"/>
      <c r="P193" s="55"/>
    </row>
    <row r="194" spans="2:16">
      <c r="B194" s="56" t="str">
        <f>IF(ISERR(casostestes[[#This Row],[ID]]),"-",casostestes[[#This Row],[ID]])</f>
        <v>-</v>
      </c>
      <c r="C194" s="49" t="str">
        <f>IFERROR(IF(VLOOKUP($B194,casostestes[#Data],10)=0,"Não",VLOOKUP($B194,casostestes[#Data],10)), "-")</f>
        <v>-</v>
      </c>
      <c r="D194" s="50" t="str">
        <f>IFERROR(IF(VLOOKUP($B194,casostestes[#Data],2)=0,"-",VLOOKUP($B194,casostestes[#Data],2)), "-")</f>
        <v>-</v>
      </c>
      <c r="E194" s="50" t="str">
        <f>IFERROR(IF(VLOOKUP($B194,casostestes[#Data],3)=0,"-",VLOOKUP($B194,casostestes[#Data],3)), "-")</f>
        <v>-</v>
      </c>
      <c r="F194" s="50" t="str">
        <f>IFERROR(IF(VLOOKUP($B194,casostestes[#Data],4)=0,"-",VLOOKUP($B194,casostestes[#Data],4)),"-")</f>
        <v>-</v>
      </c>
      <c r="G194" s="50" t="str">
        <f>IFERROR(IF(VLOOKUP($B194,casostestes[#Data],5)=0,"-",VLOOKUP($B194,casostestes[#Data],5)),"-")</f>
        <v>-</v>
      </c>
      <c r="H194" s="50" t="str">
        <f>IFERROR(IF(VLOOKUP($B194,casostestes[#Data],6)=0,"-",VLOOKUP($B194,casostestes[#Data],6)),"-")</f>
        <v>-</v>
      </c>
      <c r="I194" s="50" t="str">
        <f>IFERROR(IF(VLOOKUP($B194,casostestes[#Data],8)=0,"-",VLOOKUP($B194,casostestes[#Data],8)),"-")</f>
        <v>-</v>
      </c>
      <c r="J194" s="50" t="str">
        <f>IFERROR(IF(VLOOKUP($B194,casostestes[#Data],9)=0,"-",VLOOKUP($B194,casostestes[#Data],9)),"-")</f>
        <v>-</v>
      </c>
      <c r="K194" s="51"/>
      <c r="L194" s="57"/>
      <c r="M194" s="53"/>
      <c r="N194" s="54"/>
      <c r="O194" s="54"/>
      <c r="P194" s="55"/>
    </row>
    <row r="195" spans="2:16">
      <c r="B195" s="56" t="str">
        <f>IF(ISERR(casostestes[[#This Row],[ID]]),"-",casostestes[[#This Row],[ID]])</f>
        <v>-</v>
      </c>
      <c r="C195" s="49" t="str">
        <f>IFERROR(IF(VLOOKUP($B195,casostestes[#Data],10)=0,"Não",VLOOKUP($B195,casostestes[#Data],10)), "-")</f>
        <v>-</v>
      </c>
      <c r="D195" s="50" t="str">
        <f>IFERROR(IF(VLOOKUP($B195,casostestes[#Data],2)=0,"-",VLOOKUP($B195,casostestes[#Data],2)), "-")</f>
        <v>-</v>
      </c>
      <c r="E195" s="50" t="str">
        <f>IFERROR(IF(VLOOKUP($B195,casostestes[#Data],3)=0,"-",VLOOKUP($B195,casostestes[#Data],3)), "-")</f>
        <v>-</v>
      </c>
      <c r="F195" s="50" t="str">
        <f>IFERROR(IF(VLOOKUP($B195,casostestes[#Data],4)=0,"-",VLOOKUP($B195,casostestes[#Data],4)),"-")</f>
        <v>-</v>
      </c>
      <c r="G195" s="50" t="str">
        <f>IFERROR(IF(VLOOKUP($B195,casostestes[#Data],5)=0,"-",VLOOKUP($B195,casostestes[#Data],5)),"-")</f>
        <v>-</v>
      </c>
      <c r="H195" s="50" t="str">
        <f>IFERROR(IF(VLOOKUP($B195,casostestes[#Data],6)=0,"-",VLOOKUP($B195,casostestes[#Data],6)),"-")</f>
        <v>-</v>
      </c>
      <c r="I195" s="50" t="str">
        <f>IFERROR(IF(VLOOKUP($B195,casostestes[#Data],8)=0,"-",VLOOKUP($B195,casostestes[#Data],8)),"-")</f>
        <v>-</v>
      </c>
      <c r="J195" s="50" t="str">
        <f>IFERROR(IF(VLOOKUP($B195,casostestes[#Data],9)=0,"-",VLOOKUP($B195,casostestes[#Data],9)),"-")</f>
        <v>-</v>
      </c>
      <c r="K195" s="51"/>
      <c r="L195" s="57"/>
      <c r="M195" s="53"/>
      <c r="N195" s="54"/>
      <c r="O195" s="54"/>
      <c r="P195" s="55"/>
    </row>
    <row r="196" spans="2:16">
      <c r="B196" s="56" t="str">
        <f>IF(ISERR(casostestes[[#This Row],[ID]]),"-",casostestes[[#This Row],[ID]])</f>
        <v>-</v>
      </c>
      <c r="C196" s="49" t="str">
        <f>IFERROR(IF(VLOOKUP($B196,casostestes[#Data],10)=0,"Não",VLOOKUP($B196,casostestes[#Data],10)), "-")</f>
        <v>-</v>
      </c>
      <c r="D196" s="50" t="str">
        <f>IFERROR(IF(VLOOKUP($B196,casostestes[#Data],2)=0,"-",VLOOKUP($B196,casostestes[#Data],2)), "-")</f>
        <v>-</v>
      </c>
      <c r="E196" s="50" t="str">
        <f>IFERROR(IF(VLOOKUP($B196,casostestes[#Data],3)=0,"-",VLOOKUP($B196,casostestes[#Data],3)), "-")</f>
        <v>-</v>
      </c>
      <c r="F196" s="50" t="str">
        <f>IFERROR(IF(VLOOKUP($B196,casostestes[#Data],4)=0,"-",VLOOKUP($B196,casostestes[#Data],4)),"-")</f>
        <v>-</v>
      </c>
      <c r="G196" s="50" t="str">
        <f>IFERROR(IF(VLOOKUP($B196,casostestes[#Data],5)=0,"-",VLOOKUP($B196,casostestes[#Data],5)),"-")</f>
        <v>-</v>
      </c>
      <c r="H196" s="50" t="str">
        <f>IFERROR(IF(VLOOKUP($B196,casostestes[#Data],6)=0,"-",VLOOKUP($B196,casostestes[#Data],6)),"-")</f>
        <v>-</v>
      </c>
      <c r="I196" s="50" t="str">
        <f>IFERROR(IF(VLOOKUP($B196,casostestes[#Data],8)=0,"-",VLOOKUP($B196,casostestes[#Data],8)),"-")</f>
        <v>-</v>
      </c>
      <c r="J196" s="50" t="str">
        <f>IFERROR(IF(VLOOKUP($B196,casostestes[#Data],9)=0,"-",VLOOKUP($B196,casostestes[#Data],9)),"-")</f>
        <v>-</v>
      </c>
      <c r="K196" s="51"/>
      <c r="L196" s="57"/>
      <c r="M196" s="53"/>
      <c r="N196" s="54"/>
      <c r="O196" s="54"/>
      <c r="P196" s="55"/>
    </row>
    <row r="197" spans="2:16">
      <c r="B197" s="56" t="str">
        <f>IF(ISERR(casostestes[[#This Row],[ID]]),"-",casostestes[[#This Row],[ID]])</f>
        <v>-</v>
      </c>
      <c r="C197" s="49" t="str">
        <f>IFERROR(IF(VLOOKUP($B197,casostestes[#Data],10)=0,"Não",VLOOKUP($B197,casostestes[#Data],10)), "-")</f>
        <v>-</v>
      </c>
      <c r="D197" s="50" t="str">
        <f>IFERROR(IF(VLOOKUP($B197,casostestes[#Data],2)=0,"-",VLOOKUP($B197,casostestes[#Data],2)), "-")</f>
        <v>-</v>
      </c>
      <c r="E197" s="50" t="str">
        <f>IFERROR(IF(VLOOKUP($B197,casostestes[#Data],3)=0,"-",VLOOKUP($B197,casostestes[#Data],3)), "-")</f>
        <v>-</v>
      </c>
      <c r="F197" s="50" t="str">
        <f>IFERROR(IF(VLOOKUP($B197,casostestes[#Data],4)=0,"-",VLOOKUP($B197,casostestes[#Data],4)),"-")</f>
        <v>-</v>
      </c>
      <c r="G197" s="50" t="str">
        <f>IFERROR(IF(VLOOKUP($B197,casostestes[#Data],5)=0,"-",VLOOKUP($B197,casostestes[#Data],5)),"-")</f>
        <v>-</v>
      </c>
      <c r="H197" s="50" t="str">
        <f>IFERROR(IF(VLOOKUP($B197,casostestes[#Data],6)=0,"-",VLOOKUP($B197,casostestes[#Data],6)),"-")</f>
        <v>-</v>
      </c>
      <c r="I197" s="50" t="str">
        <f>IFERROR(IF(VLOOKUP($B197,casostestes[#Data],8)=0,"-",VLOOKUP($B197,casostestes[#Data],8)),"-")</f>
        <v>-</v>
      </c>
      <c r="J197" s="50" t="str">
        <f>IFERROR(IF(VLOOKUP($B197,casostestes[#Data],9)=0,"-",VLOOKUP($B197,casostestes[#Data],9)),"-")</f>
        <v>-</v>
      </c>
      <c r="K197" s="51"/>
      <c r="L197" s="57"/>
      <c r="M197" s="53"/>
      <c r="N197" s="54"/>
      <c r="O197" s="54"/>
      <c r="P197" s="55"/>
    </row>
    <row r="198" spans="2:16">
      <c r="B198" s="56" t="str">
        <f>IF(ISERR(casostestes[[#This Row],[ID]]),"-",casostestes[[#This Row],[ID]])</f>
        <v>-</v>
      </c>
      <c r="C198" s="49" t="str">
        <f>IFERROR(IF(VLOOKUP($B198,casostestes[#Data],10)=0,"Não",VLOOKUP($B198,casostestes[#Data],10)), "-")</f>
        <v>-</v>
      </c>
      <c r="D198" s="50" t="str">
        <f>IFERROR(IF(VLOOKUP($B198,casostestes[#Data],2)=0,"-",VLOOKUP($B198,casostestes[#Data],2)), "-")</f>
        <v>-</v>
      </c>
      <c r="E198" s="50" t="str">
        <f>IFERROR(IF(VLOOKUP($B198,casostestes[#Data],3)=0,"-",VLOOKUP($B198,casostestes[#Data],3)), "-")</f>
        <v>-</v>
      </c>
      <c r="F198" s="50" t="str">
        <f>IFERROR(IF(VLOOKUP($B198,casostestes[#Data],4)=0,"-",VLOOKUP($B198,casostestes[#Data],4)),"-")</f>
        <v>-</v>
      </c>
      <c r="G198" s="50" t="str">
        <f>IFERROR(IF(VLOOKUP($B198,casostestes[#Data],5)=0,"-",VLOOKUP($B198,casostestes[#Data],5)),"-")</f>
        <v>-</v>
      </c>
      <c r="H198" s="50" t="str">
        <f>IFERROR(IF(VLOOKUP($B198,casostestes[#Data],6)=0,"-",VLOOKUP($B198,casostestes[#Data],6)),"-")</f>
        <v>-</v>
      </c>
      <c r="I198" s="50" t="str">
        <f>IFERROR(IF(VLOOKUP($B198,casostestes[#Data],8)=0,"-",VLOOKUP($B198,casostestes[#Data],8)),"-")</f>
        <v>-</v>
      </c>
      <c r="J198" s="50" t="str">
        <f>IFERROR(IF(VLOOKUP($B198,casostestes[#Data],9)=0,"-",VLOOKUP($B198,casostestes[#Data],9)),"-")</f>
        <v>-</v>
      </c>
      <c r="K198" s="51"/>
      <c r="L198" s="57"/>
      <c r="M198" s="53"/>
      <c r="N198" s="54"/>
      <c r="O198" s="54"/>
      <c r="P198" s="55"/>
    </row>
    <row r="199" spans="2:16">
      <c r="B199" s="56" t="str">
        <f>IF(ISERR(casostestes[[#This Row],[ID]]),"-",casostestes[[#This Row],[ID]])</f>
        <v>-</v>
      </c>
      <c r="C199" s="49" t="str">
        <f>IFERROR(IF(VLOOKUP($B199,casostestes[#Data],10)=0,"Não",VLOOKUP($B199,casostestes[#Data],10)), "-")</f>
        <v>-</v>
      </c>
      <c r="D199" s="50" t="str">
        <f>IFERROR(IF(VLOOKUP($B199,casostestes[#Data],2)=0,"-",VLOOKUP($B199,casostestes[#Data],2)), "-")</f>
        <v>-</v>
      </c>
      <c r="E199" s="50" t="str">
        <f>IFERROR(IF(VLOOKUP($B199,casostestes[#Data],3)=0,"-",VLOOKUP($B199,casostestes[#Data],3)), "-")</f>
        <v>-</v>
      </c>
      <c r="F199" s="50" t="str">
        <f>IFERROR(IF(VLOOKUP($B199,casostestes[#Data],4)=0,"-",VLOOKUP($B199,casostestes[#Data],4)),"-")</f>
        <v>-</v>
      </c>
      <c r="G199" s="50" t="str">
        <f>IFERROR(IF(VLOOKUP($B199,casostestes[#Data],5)=0,"-",VLOOKUP($B199,casostestes[#Data],5)),"-")</f>
        <v>-</v>
      </c>
      <c r="H199" s="50" t="str">
        <f>IFERROR(IF(VLOOKUP($B199,casostestes[#Data],6)=0,"-",VLOOKUP($B199,casostestes[#Data],6)),"-")</f>
        <v>-</v>
      </c>
      <c r="I199" s="50" t="str">
        <f>IFERROR(IF(VLOOKUP($B199,casostestes[#Data],8)=0,"-",VLOOKUP($B199,casostestes[#Data],8)),"-")</f>
        <v>-</v>
      </c>
      <c r="J199" s="50" t="str">
        <f>IFERROR(IF(VLOOKUP($B199,casostestes[#Data],9)=0,"-",VLOOKUP($B199,casostestes[#Data],9)),"-")</f>
        <v>-</v>
      </c>
      <c r="K199" s="51"/>
      <c r="L199" s="57"/>
      <c r="M199" s="53"/>
      <c r="N199" s="54"/>
      <c r="O199" s="54"/>
      <c r="P199" s="55"/>
    </row>
    <row r="200" spans="2:16">
      <c r="B200" s="56" t="str">
        <f>IF(ISERR(casostestes[[#This Row],[ID]]),"-",casostestes[[#This Row],[ID]])</f>
        <v>-</v>
      </c>
      <c r="C200" s="58" t="str">
        <f>IFERROR(IF(VLOOKUP($B200,casostestes[#Data],10)=0,"Não",VLOOKUP($B200,casostestes[#Data],10)), "-")</f>
        <v>-</v>
      </c>
      <c r="D200" s="59" t="str">
        <f>IFERROR(IF(VLOOKUP($B200,casostestes[#Data],2)=0,"-",VLOOKUP($B200,casostestes[#Data],2)), "-")</f>
        <v>-</v>
      </c>
      <c r="E200" s="59" t="str">
        <f>IFERROR(IF(VLOOKUP($B200,casostestes[#Data],3)=0,"-",VLOOKUP($B200,casostestes[#Data],3)), "-")</f>
        <v>-</v>
      </c>
      <c r="F200" s="59" t="str">
        <f>IFERROR(IF(VLOOKUP($B200,casostestes[#Data],4)=0,"-",VLOOKUP($B200,casostestes[#Data],4)),"-")</f>
        <v>-</v>
      </c>
      <c r="G200" s="59" t="str">
        <f>IFERROR(IF(VLOOKUP($B200,casostestes[#Data],5)=0,"-",VLOOKUP($B200,casostestes[#Data],5)),"-")</f>
        <v>-</v>
      </c>
      <c r="H200" s="59" t="str">
        <f>IFERROR(IF(VLOOKUP($B200,casostestes[#Data],6)=0,"-",VLOOKUP($B200,casostestes[#Data],6)),"-")</f>
        <v>-</v>
      </c>
      <c r="I200" s="59" t="str">
        <f>IFERROR(IF(VLOOKUP($B200,casostestes[#Data],8)=0,"-",VLOOKUP($B200,casostestes[#Data],8)),"-")</f>
        <v>-</v>
      </c>
      <c r="J200" s="59" t="str">
        <f>IFERROR(IF(VLOOKUP($B200,casostestes[#Data],9)=0,"-",VLOOKUP($B200,casostestes[#Data],9)),"-")</f>
        <v>-</v>
      </c>
      <c r="K200" s="60"/>
      <c r="L200" s="57"/>
      <c r="M200" s="61"/>
      <c r="N200" s="62"/>
      <c r="O200" s="62"/>
      <c r="P200" s="63"/>
    </row>
  </sheetData>
  <mergeCells count="3">
    <mergeCell ref="B1:J1"/>
    <mergeCell ref="B2:J2"/>
    <mergeCell ref="B3:J3"/>
  </mergeCells>
  <conditionalFormatting sqref="C8:C200 C201:D1048576">
    <cfRule type="cellIs" dxfId="41" priority="6" operator="equal">
      <formula>"Sim"</formula>
    </cfRule>
    <cfRule type="cellIs" dxfId="40" priority="7" operator="equal">
      <formula>"Não"</formula>
    </cfRule>
  </conditionalFormatting>
  <conditionalFormatting sqref="M8:M200">
    <cfRule type="cellIs" dxfId="39" priority="1" operator="equal">
      <formula>"Sem massa"</formula>
    </cfRule>
    <cfRule type="cellIs" dxfId="38" priority="2" operator="equal">
      <formula>"Pendência Externa"</formula>
    </cfRule>
    <cfRule type="cellIs" dxfId="37" priority="3" operator="equal">
      <formula>"Disponível para reteste"</formula>
    </cfRule>
    <cfRule type="cellIs" dxfId="36" priority="4" operator="equal">
      <formula>"Reprovado"</formula>
    </cfRule>
    <cfRule type="cellIs" dxfId="35" priority="5" operator="equal">
      <formula>"Aprovado"</formula>
    </cfRule>
  </conditionalFormatting>
  <dataValidations count="1">
    <dataValidation type="list" allowBlank="1" showInputMessage="1" showErrorMessage="1" sqref="M8:M200" xr:uid="{DCA2A183-34A9-43BC-8EB3-D695E8E74C36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E397"/>
  <sheetViews>
    <sheetView topLeftCell="A98" workbookViewId="0">
      <selection activeCell="D56" sqref="D56"/>
    </sheetView>
  </sheetViews>
  <sheetFormatPr defaultColWidth="14.42578125" defaultRowHeight="1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08" t="s">
        <v>132</v>
      </c>
      <c r="B1" s="108"/>
      <c r="C1" s="109"/>
      <c r="D1" s="109"/>
      <c r="E1" s="64"/>
    </row>
    <row r="2" spans="1:5" ht="15" customHeight="1">
      <c r="A2" s="109"/>
      <c r="B2" s="109"/>
      <c r="C2" s="109"/>
      <c r="D2" s="109"/>
      <c r="E2" s="64"/>
    </row>
    <row r="3" spans="1:5" ht="15" customHeight="1">
      <c r="A3" s="65" t="s">
        <v>133</v>
      </c>
      <c r="B3" s="66" t="s">
        <v>134</v>
      </c>
      <c r="C3" s="67" t="s">
        <v>135</v>
      </c>
    </row>
    <row r="4" spans="1:5" ht="15" customHeight="1">
      <c r="A4" t="s">
        <v>136</v>
      </c>
      <c r="B4" s="68" t="s">
        <v>137</v>
      </c>
      <c r="C4" s="67"/>
    </row>
    <row r="5" spans="1:5" ht="15" customHeight="1">
      <c r="A5" t="s">
        <v>138</v>
      </c>
      <c r="B5" s="68" t="s">
        <v>139</v>
      </c>
      <c r="C5" s="67"/>
    </row>
    <row r="6" spans="1:5" ht="37.5" customHeight="1">
      <c r="A6" s="69" t="s">
        <v>140</v>
      </c>
      <c r="C6" s="67"/>
    </row>
    <row r="7" spans="1:5" ht="15" customHeight="1">
      <c r="A7" s="70"/>
    </row>
    <row r="8" spans="1:5" ht="15" customHeight="1">
      <c r="A8" s="71" t="s">
        <v>141</v>
      </c>
      <c r="B8" s="71"/>
      <c r="C8" s="71"/>
      <c r="D8" s="71"/>
      <c r="E8" s="71"/>
    </row>
    <row r="9" spans="1:5" ht="154.5" customHeight="1">
      <c r="A9" s="72" t="s">
        <v>142</v>
      </c>
      <c r="B9" s="73" t="s">
        <v>143</v>
      </c>
    </row>
    <row r="10" spans="1:5" ht="15" customHeight="1">
      <c r="A10" s="74"/>
      <c r="B10" s="74"/>
    </row>
    <row r="11" spans="1:5" ht="15" customHeight="1">
      <c r="A11" s="71" t="s">
        <v>144</v>
      </c>
      <c r="B11" s="71"/>
      <c r="C11" s="71"/>
      <c r="D11" s="71"/>
      <c r="E11" s="71"/>
    </row>
    <row r="12" spans="1:5" ht="162.75" customHeight="1">
      <c r="A12" s="72" t="s">
        <v>145</v>
      </c>
      <c r="B12" s="73" t="s">
        <v>143</v>
      </c>
    </row>
    <row r="17" spans="1:1" ht="15" customHeight="1">
      <c r="A17" s="75" t="s">
        <v>146</v>
      </c>
    </row>
    <row r="18" spans="1:1" ht="15" customHeight="1">
      <c r="A18" s="77" t="s">
        <v>147</v>
      </c>
    </row>
    <row r="19" spans="1:1" ht="15" customHeight="1">
      <c r="A19" s="77" t="s">
        <v>148</v>
      </c>
    </row>
    <row r="20" spans="1:1" ht="15" customHeight="1">
      <c r="A20" s="77" t="s">
        <v>149</v>
      </c>
    </row>
    <row r="21" spans="1:1" ht="15" customHeight="1">
      <c r="A21" s="77" t="s">
        <v>150</v>
      </c>
    </row>
    <row r="22" spans="1:1" ht="15" customHeight="1">
      <c r="A22" s="77" t="s">
        <v>151</v>
      </c>
    </row>
    <row r="23" spans="1:1" ht="15" customHeight="1">
      <c r="A23" s="77" t="s">
        <v>152</v>
      </c>
    </row>
    <row r="24" spans="1:1" ht="15" customHeight="1">
      <c r="A24" s="77" t="s">
        <v>153</v>
      </c>
    </row>
    <row r="25" spans="1:1" ht="15" customHeight="1">
      <c r="A25" s="77">
        <v>57275035405</v>
      </c>
    </row>
    <row r="26" spans="1:1" ht="15" customHeight="1">
      <c r="A26" s="77" t="s">
        <v>154</v>
      </c>
    </row>
    <row r="27" spans="1:1" ht="15" customHeight="1">
      <c r="A27" s="77">
        <v>30214287548</v>
      </c>
    </row>
    <row r="28" spans="1:1" ht="15" customHeight="1">
      <c r="A28" s="77">
        <v>72668373247</v>
      </c>
    </row>
    <row r="29" spans="1:1" ht="15" customHeight="1">
      <c r="A29" s="77" t="s">
        <v>155</v>
      </c>
    </row>
    <row r="30" spans="1:1" ht="15" customHeight="1">
      <c r="A30" s="77" t="s">
        <v>156</v>
      </c>
    </row>
    <row r="31" spans="1:1" ht="15" customHeight="1">
      <c r="A31" s="77" t="s">
        <v>157</v>
      </c>
    </row>
    <row r="32" spans="1:1" ht="15" customHeight="1">
      <c r="A32" s="77" t="s">
        <v>158</v>
      </c>
    </row>
    <row r="33" spans="1:1" ht="15" customHeight="1">
      <c r="A33" s="77" t="s">
        <v>159</v>
      </c>
    </row>
    <row r="34" spans="1:1" ht="15" customHeight="1">
      <c r="A34" s="77" t="s">
        <v>160</v>
      </c>
    </row>
    <row r="35" spans="1:1" ht="15" customHeight="1">
      <c r="A35" s="77" t="s">
        <v>161</v>
      </c>
    </row>
    <row r="36" spans="1:1" ht="15" customHeight="1">
      <c r="A36" s="77" t="s">
        <v>162</v>
      </c>
    </row>
    <row r="37" spans="1:1" ht="15" customHeight="1">
      <c r="A37" s="76"/>
    </row>
    <row r="38" spans="1:1" ht="15" customHeight="1">
      <c r="A38" s="77" t="s">
        <v>135</v>
      </c>
    </row>
    <row r="39" spans="1:1" ht="15" customHeight="1">
      <c r="A39" s="77">
        <v>10000053724</v>
      </c>
    </row>
    <row r="40" spans="1:1" ht="15" customHeight="1">
      <c r="A40" s="77">
        <v>10000053805</v>
      </c>
    </row>
    <row r="41" spans="1:1" ht="15" customHeight="1">
      <c r="A41" s="77">
        <v>10000054020</v>
      </c>
    </row>
    <row r="42" spans="1:1" ht="15" customHeight="1">
      <c r="A42" s="77">
        <v>10000054100</v>
      </c>
    </row>
    <row r="43" spans="1:1" ht="15" customHeight="1">
      <c r="A43" s="77">
        <v>10001356240</v>
      </c>
    </row>
    <row r="44" spans="1:1" ht="15" customHeight="1">
      <c r="A44" s="77">
        <v>10001356321</v>
      </c>
    </row>
    <row r="45" spans="1:1" ht="15" customHeight="1">
      <c r="A45" s="77">
        <v>10001356402</v>
      </c>
    </row>
    <row r="46" spans="1:1" ht="15" customHeight="1">
      <c r="A46" s="77">
        <v>10001356593</v>
      </c>
    </row>
    <row r="47" spans="1:1" ht="15" customHeight="1">
      <c r="A47" s="77">
        <v>10001356674</v>
      </c>
    </row>
    <row r="48" spans="1:1" ht="15" customHeight="1">
      <c r="A48" s="77">
        <v>10001356755</v>
      </c>
    </row>
    <row r="49" spans="1:4" ht="15" customHeight="1">
      <c r="A49" s="77">
        <v>10001356836</v>
      </c>
    </row>
    <row r="50" spans="1:4" ht="15" customHeight="1">
      <c r="A50" s="77">
        <v>10001356917</v>
      </c>
    </row>
    <row r="51" spans="1:4" ht="15" customHeight="1">
      <c r="A51" s="77">
        <v>10001357050</v>
      </c>
    </row>
    <row r="52" spans="1:4" ht="15" customHeight="1">
      <c r="A52" s="77">
        <v>10001362135</v>
      </c>
    </row>
    <row r="53" spans="1:4" ht="15" customHeight="1">
      <c r="A53" s="77">
        <v>10001362216</v>
      </c>
    </row>
    <row r="54" spans="1:4" ht="15" customHeight="1">
      <c r="A54" s="76"/>
    </row>
    <row r="56" spans="1:4" ht="15" customHeight="1">
      <c r="A56" s="78" t="s">
        <v>163</v>
      </c>
      <c r="B56" s="78" t="s">
        <v>164</v>
      </c>
      <c r="C56" s="78" t="s">
        <v>165</v>
      </c>
    </row>
    <row r="57" spans="1:4" ht="15" customHeight="1">
      <c r="A57" s="77" t="s">
        <v>166</v>
      </c>
      <c r="B57" s="77" t="s">
        <v>167</v>
      </c>
      <c r="C57" s="82">
        <v>45230</v>
      </c>
      <c r="D57" t="s">
        <v>168</v>
      </c>
    </row>
    <row r="58" spans="1:4" ht="15" customHeight="1">
      <c r="A58" s="77" t="s">
        <v>169</v>
      </c>
      <c r="B58" s="77" t="s">
        <v>167</v>
      </c>
      <c r="C58" s="82">
        <v>45230</v>
      </c>
      <c r="D58" t="s">
        <v>168</v>
      </c>
    </row>
    <row r="59" spans="1:4" ht="15" customHeight="1">
      <c r="A59" s="77" t="s">
        <v>170</v>
      </c>
      <c r="B59" s="77" t="s">
        <v>167</v>
      </c>
      <c r="C59" s="82">
        <v>45230</v>
      </c>
    </row>
    <row r="60" spans="1:4" ht="15" customHeight="1">
      <c r="A60" s="77" t="s">
        <v>171</v>
      </c>
      <c r="B60" s="77" t="s">
        <v>167</v>
      </c>
      <c r="C60" s="82">
        <v>45230</v>
      </c>
    </row>
    <row r="61" spans="1:4" ht="15" customHeight="1">
      <c r="A61" s="77" t="s">
        <v>172</v>
      </c>
      <c r="B61" s="77" t="s">
        <v>167</v>
      </c>
      <c r="C61" s="82">
        <v>45230</v>
      </c>
    </row>
    <row r="62" spans="1:4" ht="15" customHeight="1">
      <c r="A62" s="77" t="s">
        <v>173</v>
      </c>
      <c r="B62" s="77" t="s">
        <v>167</v>
      </c>
      <c r="C62" s="82">
        <v>45230</v>
      </c>
    </row>
    <row r="63" spans="1:4" ht="15" customHeight="1">
      <c r="A63" s="77" t="s">
        <v>174</v>
      </c>
      <c r="B63" s="77" t="s">
        <v>167</v>
      </c>
      <c r="C63" s="82">
        <v>45230</v>
      </c>
    </row>
    <row r="64" spans="1:4" ht="15" customHeight="1">
      <c r="A64" s="77" t="s">
        <v>175</v>
      </c>
      <c r="B64" s="77" t="s">
        <v>167</v>
      </c>
      <c r="C64" s="82">
        <v>45230</v>
      </c>
    </row>
    <row r="65" spans="1:3" ht="15" customHeight="1">
      <c r="A65" s="77" t="s">
        <v>176</v>
      </c>
      <c r="B65" s="77" t="s">
        <v>167</v>
      </c>
      <c r="C65" s="82">
        <v>45230</v>
      </c>
    </row>
    <row r="66" spans="1:3" ht="15" customHeight="1">
      <c r="A66" s="77" t="s">
        <v>177</v>
      </c>
      <c r="B66" s="77" t="s">
        <v>167</v>
      </c>
      <c r="C66" s="82">
        <v>45230</v>
      </c>
    </row>
    <row r="67" spans="1:3" ht="15" customHeight="1">
      <c r="A67" s="77" t="s">
        <v>178</v>
      </c>
      <c r="B67" s="77" t="s">
        <v>167</v>
      </c>
      <c r="C67" s="82">
        <v>45230</v>
      </c>
    </row>
    <row r="69" spans="1:3" ht="15" customHeight="1">
      <c r="A69" s="78" t="s">
        <v>179</v>
      </c>
      <c r="B69" s="79" t="s">
        <v>164</v>
      </c>
    </row>
    <row r="70" spans="1:3" ht="15" customHeight="1">
      <c r="A70" s="77" t="s">
        <v>180</v>
      </c>
      <c r="B70" s="77" t="s">
        <v>167</v>
      </c>
    </row>
    <row r="71" spans="1:3" ht="15" customHeight="1">
      <c r="A71" s="77" t="s">
        <v>181</v>
      </c>
      <c r="B71" s="77" t="s">
        <v>167</v>
      </c>
    </row>
    <row r="72" spans="1:3" ht="15" customHeight="1">
      <c r="A72" s="77" t="s">
        <v>182</v>
      </c>
      <c r="B72" s="77" t="s">
        <v>167</v>
      </c>
    </row>
    <row r="73" spans="1:3" ht="15" customHeight="1">
      <c r="A73" s="77" t="s">
        <v>183</v>
      </c>
      <c r="B73" s="77" t="s">
        <v>167</v>
      </c>
    </row>
    <row r="74" spans="1:3" ht="15" customHeight="1">
      <c r="A74" s="77" t="s">
        <v>184</v>
      </c>
      <c r="B74" s="77" t="s">
        <v>167</v>
      </c>
    </row>
    <row r="75" spans="1:3" ht="15" customHeight="1">
      <c r="A75" s="77" t="s">
        <v>185</v>
      </c>
      <c r="B75" s="77" t="s">
        <v>167</v>
      </c>
    </row>
    <row r="76" spans="1:3" ht="15" customHeight="1">
      <c r="A76" s="77" t="s">
        <v>186</v>
      </c>
      <c r="B76" s="77" t="s">
        <v>167</v>
      </c>
    </row>
    <row r="77" spans="1:3" ht="15" customHeight="1">
      <c r="A77" s="77" t="s">
        <v>187</v>
      </c>
      <c r="B77" s="77" t="s">
        <v>167</v>
      </c>
    </row>
    <row r="78" spans="1:3" ht="15" customHeight="1">
      <c r="A78" s="106" t="s">
        <v>188</v>
      </c>
      <c r="B78" s="107"/>
      <c r="C78" s="107"/>
    </row>
    <row r="79" spans="1:3" ht="15" customHeight="1">
      <c r="A79" s="80">
        <v>22065810190</v>
      </c>
    </row>
    <row r="80" spans="1:3" ht="15" customHeight="1">
      <c r="A80" s="80">
        <v>10000470244</v>
      </c>
    </row>
    <row r="83" spans="1:3" ht="15" customHeight="1">
      <c r="A83" s="106" t="s">
        <v>189</v>
      </c>
      <c r="B83" s="107"/>
      <c r="C83" s="107"/>
    </row>
    <row r="84" spans="1:3" ht="15" customHeight="1">
      <c r="A84" s="80">
        <v>10002415054</v>
      </c>
    </row>
    <row r="85" spans="1:3" ht="15" customHeight="1">
      <c r="A85" s="80">
        <v>10002414406</v>
      </c>
    </row>
    <row r="86" spans="1:3" ht="15" customHeight="1">
      <c r="A86" s="80">
        <v>10002414597</v>
      </c>
    </row>
    <row r="87" spans="1:3" ht="15" customHeight="1">
      <c r="A87" s="80">
        <v>10002414759</v>
      </c>
    </row>
    <row r="88" spans="1:3" ht="15" customHeight="1">
      <c r="A88" s="80">
        <v>10002414830</v>
      </c>
    </row>
    <row r="89" spans="1:3" ht="15" customHeight="1">
      <c r="A89" s="80">
        <v>10002414325</v>
      </c>
    </row>
    <row r="92" spans="1:3" ht="15" customHeight="1">
      <c r="A92" s="106" t="s">
        <v>190</v>
      </c>
      <c r="B92" s="107"/>
      <c r="C92" s="107"/>
    </row>
    <row r="93" spans="1:3" ht="15" customHeight="1">
      <c r="A93" s="80">
        <v>10002404958</v>
      </c>
    </row>
    <row r="94" spans="1:3" ht="15" customHeight="1">
      <c r="A94" s="80">
        <v>10002405091</v>
      </c>
    </row>
    <row r="95" spans="1:3" ht="15" customHeight="1">
      <c r="A95" s="80">
        <v>10002405172</v>
      </c>
    </row>
    <row r="96" spans="1:3" ht="15" customHeight="1">
      <c r="A96" s="80">
        <v>10002405253</v>
      </c>
    </row>
    <row r="99" spans="1:5" ht="15" customHeight="1">
      <c r="A99" s="106" t="s">
        <v>191</v>
      </c>
      <c r="B99" s="107"/>
      <c r="C99" s="107"/>
    </row>
    <row r="100" spans="1:5" ht="15" customHeight="1">
      <c r="A100" s="80">
        <v>20055748210</v>
      </c>
    </row>
    <row r="101" spans="1:5" ht="15" customHeight="1">
      <c r="A101" s="80">
        <v>60775174882</v>
      </c>
    </row>
    <row r="102" spans="1:5" ht="15" customHeight="1">
      <c r="A102" s="80">
        <v>48572278192</v>
      </c>
    </row>
    <row r="103" spans="1:5" ht="15" customHeight="1">
      <c r="A103" s="80">
        <v>23166088091</v>
      </c>
    </row>
    <row r="105" spans="1:5" ht="15.75" customHeight="1">
      <c r="C105" s="81"/>
      <c r="D105" s="81"/>
      <c r="E105" s="81"/>
    </row>
    <row r="106" spans="1:5" ht="15.75" customHeight="1">
      <c r="A106" s="108" t="s">
        <v>132</v>
      </c>
      <c r="B106" s="108"/>
      <c r="C106" s="109"/>
      <c r="D106" s="109"/>
      <c r="E106" s="64"/>
    </row>
    <row r="107" spans="1:5" ht="15.75" customHeight="1">
      <c r="A107" s="109"/>
      <c r="B107" s="109"/>
      <c r="C107" s="109"/>
      <c r="D107" s="109"/>
      <c r="E107" s="64"/>
    </row>
    <row r="108" spans="1:5" ht="29.25" customHeight="1">
      <c r="A108" s="65" t="s">
        <v>133</v>
      </c>
      <c r="B108" s="66" t="s">
        <v>134</v>
      </c>
      <c r="C108" s="67" t="s">
        <v>135</v>
      </c>
    </row>
    <row r="109" spans="1:5" ht="29.25" customHeight="1">
      <c r="A109" t="s">
        <v>136</v>
      </c>
      <c r="B109" s="68" t="s">
        <v>137</v>
      </c>
      <c r="C109" s="67"/>
    </row>
    <row r="110" spans="1:5" ht="29.25" customHeight="1">
      <c r="A110" t="s">
        <v>138</v>
      </c>
      <c r="B110" s="68" t="s">
        <v>139</v>
      </c>
      <c r="C110" s="67"/>
    </row>
    <row r="111" spans="1:5" ht="31.5">
      <c r="A111" s="69" t="s">
        <v>140</v>
      </c>
      <c r="C111" s="67"/>
    </row>
    <row r="112" spans="1:5" ht="15.75" customHeight="1">
      <c r="A112" s="70"/>
    </row>
    <row r="113" spans="1:5" ht="33" customHeight="1">
      <c r="A113" s="71" t="s">
        <v>141</v>
      </c>
      <c r="B113" s="71"/>
      <c r="C113" s="71"/>
      <c r="D113" s="71"/>
      <c r="E113" s="71"/>
    </row>
    <row r="114" spans="1:5" ht="156.75">
      <c r="A114" s="72" t="s">
        <v>142</v>
      </c>
      <c r="B114" s="73" t="s">
        <v>143</v>
      </c>
    </row>
    <row r="115" spans="1:5" ht="15.75" customHeight="1">
      <c r="A115" s="74"/>
      <c r="B115" s="74"/>
    </row>
    <row r="116" spans="1:5" ht="28.5" customHeight="1">
      <c r="A116" s="71" t="s">
        <v>144</v>
      </c>
      <c r="B116" s="71"/>
      <c r="C116" s="71"/>
      <c r="D116" s="71"/>
      <c r="E116" s="71"/>
    </row>
    <row r="117" spans="1:5" ht="156.75">
      <c r="A117" s="72" t="s">
        <v>145</v>
      </c>
      <c r="B117" s="73" t="s">
        <v>143</v>
      </c>
    </row>
    <row r="118" spans="1:5" ht="15.75" customHeight="1"/>
    <row r="119" spans="1:5" ht="15.75" customHeight="1">
      <c r="A119" s="70"/>
    </row>
    <row r="120" spans="1:5" ht="15.75" customHeight="1">
      <c r="A120" s="70"/>
    </row>
    <row r="121" spans="1:5" ht="15.75" customHeight="1">
      <c r="A121" s="70"/>
    </row>
    <row r="122" spans="1:5" ht="15.75" customHeight="1">
      <c r="A122" s="70"/>
    </row>
    <row r="123" spans="1:5" ht="15.75" customHeight="1">
      <c r="A123" s="70"/>
    </row>
    <row r="124" spans="1:5" ht="15.75" customHeight="1">
      <c r="A124" s="70"/>
    </row>
    <row r="125" spans="1:5" ht="15.75" customHeight="1">
      <c r="A125" s="70"/>
    </row>
    <row r="126" spans="1:5" ht="15.75" customHeight="1">
      <c r="A126" s="70"/>
    </row>
    <row r="127" spans="1:5" ht="15.75" customHeight="1">
      <c r="A127" s="70"/>
    </row>
    <row r="128" spans="1:5" ht="15.75" customHeight="1">
      <c r="A128" s="70"/>
    </row>
    <row r="129" spans="1:1" ht="15.75" customHeight="1">
      <c r="A129" s="70"/>
    </row>
    <row r="130" spans="1:1" ht="15.75" customHeight="1">
      <c r="A130" s="70"/>
    </row>
    <row r="131" spans="1:1" ht="15.75" customHeight="1">
      <c r="A131" s="70"/>
    </row>
    <row r="132" spans="1:1" ht="15.75" customHeight="1">
      <c r="A132" s="70"/>
    </row>
    <row r="133" spans="1:1" ht="15.75" customHeight="1">
      <c r="A133" s="70"/>
    </row>
    <row r="134" spans="1:1" ht="15.75" customHeight="1">
      <c r="A134" s="70"/>
    </row>
    <row r="135" spans="1:1" ht="15.75" customHeight="1">
      <c r="A135" s="70"/>
    </row>
    <row r="136" spans="1:1" ht="15.75" customHeight="1">
      <c r="A136" s="70"/>
    </row>
    <row r="137" spans="1:1" ht="15.75" customHeight="1">
      <c r="A137" s="70"/>
    </row>
    <row r="138" spans="1:1" ht="15.75" customHeight="1">
      <c r="A138" s="70"/>
    </row>
    <row r="139" spans="1:1" ht="15.75" customHeight="1">
      <c r="A139" s="70"/>
    </row>
    <row r="140" spans="1:1" ht="15.75" customHeight="1">
      <c r="A140" s="70"/>
    </row>
    <row r="141" spans="1:1" ht="15.75" customHeight="1">
      <c r="A141" s="70"/>
    </row>
    <row r="142" spans="1:1" ht="15.75" customHeight="1">
      <c r="A142" s="70"/>
    </row>
    <row r="143" spans="1:1" ht="15.75" customHeight="1">
      <c r="A143" s="70"/>
    </row>
    <row r="144" spans="1:1" ht="15.75" customHeight="1">
      <c r="A144" s="70"/>
    </row>
    <row r="145" spans="1:1" ht="15.75" customHeight="1">
      <c r="A145" s="70"/>
    </row>
    <row r="146" spans="1:1" ht="15.75" customHeight="1">
      <c r="A146" s="70"/>
    </row>
    <row r="147" spans="1:1" ht="15.75" customHeight="1">
      <c r="A147" s="70"/>
    </row>
    <row r="148" spans="1:1" ht="15.75" customHeight="1">
      <c r="A148" s="70"/>
    </row>
    <row r="149" spans="1:1" ht="15.75" customHeight="1">
      <c r="A149" s="70"/>
    </row>
    <row r="150" spans="1:1" ht="15.75" customHeight="1">
      <c r="A150" s="70"/>
    </row>
    <row r="151" spans="1:1" ht="15.75" customHeight="1">
      <c r="A151" s="70"/>
    </row>
    <row r="152" spans="1:1" ht="15.75" customHeight="1">
      <c r="A152" s="70"/>
    </row>
    <row r="153" spans="1:1" ht="15.75" customHeight="1">
      <c r="A153" s="70"/>
    </row>
    <row r="154" spans="1:1" ht="15.75" customHeight="1">
      <c r="A154" s="70"/>
    </row>
    <row r="155" spans="1:1" ht="15.75" customHeight="1">
      <c r="A155" s="70"/>
    </row>
    <row r="156" spans="1:1" ht="15.75" customHeight="1">
      <c r="A156" s="70"/>
    </row>
    <row r="157" spans="1:1" ht="15.75" customHeight="1">
      <c r="A157" s="70"/>
    </row>
    <row r="158" spans="1:1" ht="15.75" customHeight="1">
      <c r="A158" s="70"/>
    </row>
    <row r="159" spans="1:1" ht="15.75" customHeight="1">
      <c r="A159" s="70"/>
    </row>
    <row r="160" spans="1:1" ht="15.75" customHeight="1">
      <c r="A160" s="70"/>
    </row>
    <row r="161" spans="1:1" ht="15.75" customHeight="1">
      <c r="A161" s="70"/>
    </row>
    <row r="162" spans="1:1" ht="15.75" customHeight="1">
      <c r="A162" s="70"/>
    </row>
    <row r="163" spans="1:1" ht="15.75" customHeight="1">
      <c r="A163" s="70"/>
    </row>
    <row r="164" spans="1:1" ht="15.75" customHeight="1">
      <c r="A164" s="70"/>
    </row>
    <row r="165" spans="1:1" ht="15.75" customHeight="1">
      <c r="A165" s="70"/>
    </row>
    <row r="166" spans="1:1" ht="15.75" customHeight="1">
      <c r="A166" s="70"/>
    </row>
    <row r="167" spans="1:1" ht="15.75" customHeight="1">
      <c r="A167" s="70"/>
    </row>
    <row r="168" spans="1:1" ht="15.75" customHeight="1">
      <c r="A168" s="70"/>
    </row>
    <row r="169" spans="1:1" ht="15.75" customHeight="1">
      <c r="A169" s="70"/>
    </row>
    <row r="170" spans="1:1" ht="15.75" customHeight="1">
      <c r="A170" s="70"/>
    </row>
    <row r="171" spans="1:1" ht="15.75" customHeight="1">
      <c r="A171" s="70"/>
    </row>
    <row r="172" spans="1:1" ht="15.75" customHeight="1">
      <c r="A172" s="70"/>
    </row>
    <row r="173" spans="1:1" ht="15.75" customHeight="1">
      <c r="A173" s="70"/>
    </row>
    <row r="174" spans="1:1" ht="15.75" customHeight="1">
      <c r="A174" s="70"/>
    </row>
    <row r="175" spans="1:1" ht="15.75" customHeight="1">
      <c r="A175" s="70"/>
    </row>
    <row r="176" spans="1:1" ht="15.75" customHeight="1">
      <c r="A176" s="70"/>
    </row>
    <row r="177" spans="1:1" ht="15.75" customHeight="1">
      <c r="A177" s="70"/>
    </row>
    <row r="178" spans="1:1" ht="15.75" customHeight="1">
      <c r="A178" s="70"/>
    </row>
    <row r="179" spans="1:1" ht="15.75" customHeight="1">
      <c r="A179" s="70"/>
    </row>
    <row r="180" spans="1:1" ht="15.75" customHeight="1">
      <c r="A180" s="70"/>
    </row>
    <row r="181" spans="1:1" ht="15.75" customHeight="1">
      <c r="A181" s="70"/>
    </row>
    <row r="182" spans="1:1" ht="15.75" customHeight="1">
      <c r="A182" s="70"/>
    </row>
    <row r="183" spans="1:1" ht="15.75" customHeight="1">
      <c r="A183" s="70"/>
    </row>
    <row r="184" spans="1:1" ht="15.75" customHeight="1">
      <c r="A184" s="70"/>
    </row>
    <row r="185" spans="1:1" ht="15.75" customHeight="1">
      <c r="A185" s="70"/>
    </row>
    <row r="186" spans="1:1" ht="15.75" customHeight="1">
      <c r="A186" s="70"/>
    </row>
    <row r="187" spans="1:1" ht="15.75" customHeight="1">
      <c r="A187" s="70"/>
    </row>
    <row r="188" spans="1:1" ht="15.75" customHeight="1">
      <c r="A188" s="70"/>
    </row>
    <row r="189" spans="1:1" ht="15.75" customHeight="1">
      <c r="A189" s="70"/>
    </row>
    <row r="190" spans="1:1" ht="15.75" customHeight="1">
      <c r="A190" s="70"/>
    </row>
    <row r="191" spans="1:1" ht="15.75" customHeight="1">
      <c r="A191" s="70"/>
    </row>
    <row r="192" spans="1:1" ht="15.75" customHeight="1">
      <c r="A192" s="70"/>
    </row>
    <row r="193" spans="1:1" ht="15.75" customHeight="1">
      <c r="A193" s="70"/>
    </row>
    <row r="194" spans="1:1" ht="15.75" customHeight="1">
      <c r="A194" s="70"/>
    </row>
    <row r="195" spans="1:1" ht="15.75" customHeight="1">
      <c r="A195" s="70"/>
    </row>
    <row r="196" spans="1:1" ht="15.75" customHeight="1">
      <c r="A196" s="70"/>
    </row>
    <row r="197" spans="1:1" ht="15.75" customHeight="1">
      <c r="A197" s="70"/>
    </row>
    <row r="198" spans="1:1" ht="15.75" customHeight="1">
      <c r="A198" s="70"/>
    </row>
    <row r="199" spans="1:1" ht="15.75" customHeight="1">
      <c r="A199" s="70"/>
    </row>
    <row r="200" spans="1:1" ht="15.75" customHeight="1">
      <c r="A200" s="70"/>
    </row>
    <row r="201" spans="1:1" ht="15.75" customHeight="1">
      <c r="A201" s="70"/>
    </row>
    <row r="202" spans="1:1" ht="15.75" customHeight="1">
      <c r="A202" s="70"/>
    </row>
    <row r="203" spans="1:1" ht="15.75" customHeight="1">
      <c r="A203" s="70"/>
    </row>
    <row r="204" spans="1:1" ht="15.75" customHeight="1">
      <c r="A204" s="70"/>
    </row>
    <row r="205" spans="1:1" ht="15.75" customHeight="1">
      <c r="A205" s="70"/>
    </row>
    <row r="206" spans="1:1" ht="15.75" customHeight="1">
      <c r="A206" s="70"/>
    </row>
    <row r="207" spans="1:1" ht="15.75" customHeight="1">
      <c r="A207" s="70"/>
    </row>
    <row r="208" spans="1:1" ht="15.75" customHeight="1">
      <c r="A208" s="70"/>
    </row>
    <row r="209" spans="1:1" ht="15.75" customHeight="1">
      <c r="A209" s="70"/>
    </row>
    <row r="210" spans="1:1" ht="15.75" customHeight="1">
      <c r="A210" s="70"/>
    </row>
    <row r="211" spans="1:1" ht="15.75" customHeight="1">
      <c r="A211" s="70"/>
    </row>
    <row r="212" spans="1:1" ht="15.75" customHeight="1">
      <c r="A212" s="70"/>
    </row>
    <row r="213" spans="1:1" ht="15.75" customHeight="1">
      <c r="A213" s="70"/>
    </row>
    <row r="214" spans="1:1" ht="15.75" customHeight="1">
      <c r="A214" s="70"/>
    </row>
    <row r="215" spans="1:1" ht="15.75" customHeight="1">
      <c r="A215" s="70"/>
    </row>
    <row r="216" spans="1:1" ht="15.75" customHeight="1">
      <c r="A216" s="70"/>
    </row>
    <row r="217" spans="1:1" ht="15.75" customHeight="1">
      <c r="A217" s="70"/>
    </row>
    <row r="218" spans="1:1" ht="15.75" customHeight="1">
      <c r="A218" s="70"/>
    </row>
    <row r="219" spans="1:1" ht="15.75" customHeight="1">
      <c r="A219" s="70"/>
    </row>
    <row r="220" spans="1:1" ht="15.75" customHeight="1">
      <c r="A220" s="70"/>
    </row>
    <row r="221" spans="1:1" ht="15.75" customHeight="1">
      <c r="A221" s="70"/>
    </row>
    <row r="222" spans="1:1" ht="15.75" customHeight="1">
      <c r="A222" s="70"/>
    </row>
    <row r="223" spans="1:1" ht="15.75" customHeight="1">
      <c r="A223" s="70"/>
    </row>
    <row r="224" spans="1:1" ht="15.75" customHeight="1">
      <c r="A224" s="70"/>
    </row>
    <row r="225" spans="1:1" ht="15.75" customHeight="1">
      <c r="A225" s="70"/>
    </row>
    <row r="226" spans="1:1" ht="15.75" customHeight="1">
      <c r="A226" s="70"/>
    </row>
    <row r="227" spans="1:1" ht="15.75" customHeight="1">
      <c r="A227" s="70"/>
    </row>
    <row r="228" spans="1:1" ht="15.75" customHeight="1">
      <c r="A228" s="70"/>
    </row>
    <row r="229" spans="1:1" ht="15.75" customHeight="1">
      <c r="A229" s="70"/>
    </row>
    <row r="230" spans="1:1" ht="15.75" customHeight="1">
      <c r="A230" s="70"/>
    </row>
    <row r="231" spans="1:1" ht="15.75" customHeight="1">
      <c r="A231" s="70"/>
    </row>
    <row r="232" spans="1:1" ht="15.75" customHeight="1">
      <c r="A232" s="70"/>
    </row>
    <row r="233" spans="1:1" ht="15.75" customHeight="1">
      <c r="A233" s="70"/>
    </row>
    <row r="234" spans="1:1" ht="15.75" customHeight="1">
      <c r="A234" s="70"/>
    </row>
    <row r="235" spans="1:1" ht="15.75" customHeight="1">
      <c r="A235" s="70"/>
    </row>
    <row r="236" spans="1:1" ht="15.75" customHeight="1">
      <c r="A236" s="70"/>
    </row>
    <row r="237" spans="1:1" ht="15.75" customHeight="1">
      <c r="A237" s="70"/>
    </row>
    <row r="238" spans="1:1" ht="15.75" customHeight="1">
      <c r="A238" s="70"/>
    </row>
    <row r="239" spans="1:1" ht="15.75" customHeight="1">
      <c r="A239" s="70"/>
    </row>
    <row r="240" spans="1:1" ht="15.75" customHeight="1">
      <c r="A240" s="70"/>
    </row>
    <row r="241" spans="1:1" ht="15.75" customHeight="1">
      <c r="A241" s="70"/>
    </row>
    <row r="242" spans="1:1" ht="15.75" customHeight="1">
      <c r="A242" s="70"/>
    </row>
    <row r="243" spans="1:1" ht="15.75" customHeight="1">
      <c r="A243" s="70"/>
    </row>
    <row r="244" spans="1:1" ht="15.75" customHeight="1">
      <c r="A244" s="70"/>
    </row>
    <row r="245" spans="1:1" ht="15.75" customHeight="1">
      <c r="A245" s="70"/>
    </row>
    <row r="246" spans="1:1" ht="15.75" customHeight="1">
      <c r="A246" s="70"/>
    </row>
    <row r="247" spans="1:1" ht="15.75" customHeight="1">
      <c r="A247" s="70"/>
    </row>
    <row r="248" spans="1:1" ht="15.75" customHeight="1">
      <c r="A248" s="70"/>
    </row>
    <row r="249" spans="1:1" ht="15.75" customHeight="1">
      <c r="A249" s="70"/>
    </row>
    <row r="250" spans="1:1" ht="15.75" customHeight="1">
      <c r="A250" s="70"/>
    </row>
    <row r="251" spans="1:1" ht="15.75" customHeight="1">
      <c r="A251" s="70"/>
    </row>
    <row r="252" spans="1:1" ht="15.75" customHeight="1">
      <c r="A252" s="70"/>
    </row>
    <row r="253" spans="1:1" ht="15.75" customHeight="1">
      <c r="A253" s="70"/>
    </row>
    <row r="254" spans="1:1" ht="15.75" customHeight="1">
      <c r="A254" s="70"/>
    </row>
    <row r="255" spans="1:1" ht="15.75" customHeight="1">
      <c r="A255" s="70"/>
    </row>
    <row r="256" spans="1:1" ht="15.75" customHeight="1">
      <c r="A256" s="70"/>
    </row>
    <row r="257" spans="1:1" ht="15.75" customHeight="1">
      <c r="A257" s="70"/>
    </row>
    <row r="258" spans="1:1" ht="15.75" customHeight="1">
      <c r="A258" s="70"/>
    </row>
    <row r="259" spans="1:1" ht="15.75" customHeight="1">
      <c r="A259" s="70"/>
    </row>
    <row r="260" spans="1:1" ht="15.75" customHeight="1">
      <c r="A260" s="70"/>
    </row>
    <row r="261" spans="1:1" ht="15.75" customHeight="1">
      <c r="A261" s="70"/>
    </row>
    <row r="262" spans="1:1" ht="15.75" customHeight="1">
      <c r="A262" s="70"/>
    </row>
    <row r="263" spans="1:1" ht="15.75" customHeight="1">
      <c r="A263" s="70"/>
    </row>
    <row r="264" spans="1:1" ht="15.75" customHeight="1">
      <c r="A264" s="70"/>
    </row>
    <row r="265" spans="1:1" ht="15.75" customHeight="1">
      <c r="A265" s="70"/>
    </row>
    <row r="266" spans="1:1" ht="15.75" customHeight="1">
      <c r="A266" s="70"/>
    </row>
    <row r="267" spans="1:1" ht="15.75" customHeight="1">
      <c r="A267" s="70"/>
    </row>
    <row r="268" spans="1:1" ht="15.75" customHeight="1">
      <c r="A268" s="70"/>
    </row>
    <row r="269" spans="1:1" ht="15.75" customHeight="1">
      <c r="A269" s="70"/>
    </row>
    <row r="270" spans="1:1" ht="15.75" customHeight="1">
      <c r="A270" s="70"/>
    </row>
    <row r="271" spans="1:1" ht="15.75" customHeight="1">
      <c r="A271" s="70"/>
    </row>
    <row r="272" spans="1:1" ht="15.75" customHeight="1">
      <c r="A272" s="70"/>
    </row>
    <row r="273" spans="1:1" ht="15.75" customHeight="1">
      <c r="A273" s="70"/>
    </row>
    <row r="274" spans="1:1" ht="15.75" customHeight="1">
      <c r="A274" s="70"/>
    </row>
    <row r="275" spans="1:1" ht="15.75" customHeight="1">
      <c r="A275" s="70"/>
    </row>
    <row r="276" spans="1:1" ht="15.75" customHeight="1">
      <c r="A276" s="70"/>
    </row>
    <row r="277" spans="1:1" ht="15.75" customHeight="1">
      <c r="A277" s="70"/>
    </row>
    <row r="278" spans="1:1" ht="15.75" customHeight="1">
      <c r="A278" s="70"/>
    </row>
    <row r="279" spans="1:1" ht="15.75" customHeight="1">
      <c r="A279" s="70"/>
    </row>
    <row r="280" spans="1:1" ht="15.75" customHeight="1">
      <c r="A280" s="70"/>
    </row>
    <row r="281" spans="1:1" ht="15.75" customHeight="1">
      <c r="A281" s="70"/>
    </row>
    <row r="282" spans="1:1" ht="15.75" customHeight="1">
      <c r="A282" s="70"/>
    </row>
    <row r="283" spans="1:1" ht="15.75" customHeight="1">
      <c r="A283" s="70"/>
    </row>
    <row r="284" spans="1:1" ht="15.75" customHeight="1">
      <c r="A284" s="70"/>
    </row>
    <row r="285" spans="1:1" ht="15.75" customHeight="1">
      <c r="A285" s="70"/>
    </row>
    <row r="286" spans="1:1" ht="15.75" customHeight="1">
      <c r="A286" s="70"/>
    </row>
    <row r="287" spans="1:1" ht="15.75" customHeight="1">
      <c r="A287" s="70"/>
    </row>
    <row r="288" spans="1:1" ht="15.75" customHeight="1">
      <c r="A288" s="70"/>
    </row>
    <row r="289" spans="1:1" ht="15.75" customHeight="1">
      <c r="A289" s="70"/>
    </row>
    <row r="290" spans="1:1" ht="15.75" customHeight="1">
      <c r="A290" s="70"/>
    </row>
    <row r="291" spans="1:1" ht="15.75" customHeight="1">
      <c r="A291" s="70"/>
    </row>
    <row r="292" spans="1:1" ht="15.75" customHeight="1">
      <c r="A292" s="70"/>
    </row>
    <row r="293" spans="1:1" ht="15.75" customHeight="1">
      <c r="A293" s="70"/>
    </row>
    <row r="294" spans="1:1" ht="15.75" customHeight="1">
      <c r="A294" s="70"/>
    </row>
    <row r="295" spans="1:1" ht="15.75" customHeight="1">
      <c r="A295" s="70"/>
    </row>
    <row r="296" spans="1:1" ht="15.75" customHeight="1">
      <c r="A296" s="70"/>
    </row>
    <row r="297" spans="1:1" ht="15.75" customHeight="1">
      <c r="A297" s="70"/>
    </row>
    <row r="298" spans="1:1" ht="15.75" customHeight="1">
      <c r="A298" s="70"/>
    </row>
    <row r="299" spans="1:1" ht="15.75" customHeight="1">
      <c r="A299" s="70"/>
    </row>
    <row r="300" spans="1:1" ht="15.75" customHeight="1">
      <c r="A300" s="70"/>
    </row>
    <row r="301" spans="1:1" ht="15.75" customHeight="1">
      <c r="A301" s="70"/>
    </row>
    <row r="302" spans="1:1" ht="15.75" customHeight="1">
      <c r="A302" s="70"/>
    </row>
    <row r="303" spans="1:1" ht="15.75" customHeight="1">
      <c r="A303" s="70"/>
    </row>
    <row r="304" spans="1:1" ht="15.75" customHeight="1">
      <c r="A304" s="70"/>
    </row>
    <row r="305" spans="1:1" ht="15.75" customHeight="1">
      <c r="A305" s="70"/>
    </row>
    <row r="306" spans="1:1" ht="15.75" customHeight="1">
      <c r="A306" s="70"/>
    </row>
    <row r="307" spans="1:1" ht="15.75" customHeight="1">
      <c r="A307" s="70"/>
    </row>
    <row r="308" spans="1:1" ht="15.75" customHeight="1">
      <c r="A308" s="70"/>
    </row>
    <row r="309" spans="1:1" ht="15.75" customHeight="1">
      <c r="A309" s="70"/>
    </row>
    <row r="310" spans="1:1" ht="15.75" customHeight="1">
      <c r="A310" s="70"/>
    </row>
    <row r="311" spans="1:1" ht="15.75" customHeight="1">
      <c r="A311" s="70"/>
    </row>
    <row r="312" spans="1:1" ht="15.75" customHeight="1">
      <c r="A312" s="70"/>
    </row>
    <row r="313" spans="1:1" ht="15.75" customHeight="1">
      <c r="A313" s="70"/>
    </row>
    <row r="314" spans="1:1" ht="15.75" customHeight="1">
      <c r="A314" s="70"/>
    </row>
    <row r="315" spans="1:1" ht="15.75" customHeight="1">
      <c r="A315" s="70"/>
    </row>
    <row r="316" spans="1:1" ht="15.75" customHeight="1">
      <c r="A316" s="70"/>
    </row>
    <row r="317" spans="1:1" ht="15.75" customHeight="1">
      <c r="A317" s="70"/>
    </row>
    <row r="318" spans="1:1" ht="15.75" customHeight="1">
      <c r="A318" s="70"/>
    </row>
    <row r="319" spans="1:1" ht="15.75" customHeight="1">
      <c r="A319" s="70"/>
    </row>
    <row r="320" spans="1:1" ht="15.75" customHeight="1">
      <c r="A320" s="70"/>
    </row>
    <row r="321" spans="1:1" ht="15.75" customHeight="1">
      <c r="A321" s="70"/>
    </row>
    <row r="322" spans="1:1" ht="15.75" customHeight="1">
      <c r="A322" s="70"/>
    </row>
    <row r="323" spans="1:1" ht="15.75" customHeight="1">
      <c r="A323" s="70"/>
    </row>
    <row r="324" spans="1:1" ht="15.75" customHeight="1">
      <c r="A324" s="70"/>
    </row>
    <row r="325" spans="1:1" ht="15.75" customHeight="1">
      <c r="A325" s="70"/>
    </row>
    <row r="326" spans="1:1" ht="15.75" customHeight="1">
      <c r="A326" s="70"/>
    </row>
    <row r="327" spans="1:1" ht="15.75" customHeight="1">
      <c r="A327" s="70"/>
    </row>
    <row r="328" spans="1:1" ht="15.75" customHeight="1">
      <c r="A328" s="70"/>
    </row>
    <row r="329" spans="1:1" ht="15.75" customHeight="1">
      <c r="A329" s="70"/>
    </row>
    <row r="330" spans="1:1" ht="15.75" customHeight="1">
      <c r="A330" s="70"/>
    </row>
    <row r="331" spans="1:1" ht="15.75" customHeight="1">
      <c r="A331" s="70"/>
    </row>
    <row r="332" spans="1:1" ht="15.75" customHeight="1">
      <c r="A332" s="70"/>
    </row>
    <row r="333" spans="1:1" ht="15.75" customHeight="1">
      <c r="A333" s="70"/>
    </row>
    <row r="334" spans="1:1" ht="15.75" customHeight="1">
      <c r="A334" s="70"/>
    </row>
    <row r="335" spans="1:1" ht="15.75" customHeight="1">
      <c r="A335" s="70"/>
    </row>
    <row r="336" spans="1:1" ht="15.75" customHeight="1">
      <c r="A336" s="70"/>
    </row>
    <row r="337" spans="1:1" ht="15.75" customHeight="1">
      <c r="A337" s="70"/>
    </row>
    <row r="338" spans="1:1" ht="15.75" customHeight="1">
      <c r="A338" s="70"/>
    </row>
    <row r="339" spans="1:1" ht="15.75" customHeight="1">
      <c r="A339" s="70"/>
    </row>
    <row r="340" spans="1:1" ht="15.75" customHeight="1">
      <c r="A340" s="70"/>
    </row>
    <row r="341" spans="1:1" ht="15.75" customHeight="1">
      <c r="A341" s="70"/>
    </row>
    <row r="342" spans="1:1" ht="15.75" customHeight="1">
      <c r="A342" s="70"/>
    </row>
    <row r="343" spans="1:1" ht="15.75" customHeight="1">
      <c r="A343" s="70"/>
    </row>
    <row r="344" spans="1:1" ht="15.75" customHeight="1">
      <c r="A344" s="70"/>
    </row>
    <row r="345" spans="1:1" ht="15.75" customHeight="1">
      <c r="A345" s="70"/>
    </row>
    <row r="346" spans="1:1" ht="15.75" customHeight="1">
      <c r="A346" s="70"/>
    </row>
    <row r="347" spans="1:1" ht="15.75" customHeight="1">
      <c r="A347" s="70"/>
    </row>
    <row r="348" spans="1:1" ht="15.75" customHeight="1">
      <c r="A348" s="70"/>
    </row>
    <row r="349" spans="1:1" ht="15.75" customHeight="1">
      <c r="A349" s="70"/>
    </row>
    <row r="350" spans="1:1" ht="15.75" customHeight="1">
      <c r="A350" s="70"/>
    </row>
    <row r="351" spans="1:1" ht="15.75" customHeight="1">
      <c r="A351" s="70"/>
    </row>
    <row r="352" spans="1:1" ht="15.75" customHeight="1">
      <c r="A352" s="70"/>
    </row>
    <row r="353" spans="1:1" ht="15.75" customHeight="1">
      <c r="A353" s="70"/>
    </row>
    <row r="354" spans="1:1" ht="15.75" customHeight="1">
      <c r="A354" s="70"/>
    </row>
    <row r="355" spans="1:1" ht="15.75" customHeight="1">
      <c r="A355" s="70"/>
    </row>
    <row r="356" spans="1:1" ht="15.75" customHeight="1">
      <c r="A356" s="70"/>
    </row>
    <row r="357" spans="1:1" ht="15.75" customHeight="1">
      <c r="A357" s="70"/>
    </row>
    <row r="358" spans="1:1" ht="15.75" customHeight="1">
      <c r="A358" s="70"/>
    </row>
    <row r="359" spans="1:1" ht="15.75" customHeight="1">
      <c r="A359" s="70"/>
    </row>
    <row r="360" spans="1:1" ht="15.75" customHeight="1">
      <c r="A360" s="70"/>
    </row>
    <row r="361" spans="1:1" ht="15.75" customHeight="1">
      <c r="A361" s="70"/>
    </row>
    <row r="362" spans="1:1" ht="15.75" customHeight="1">
      <c r="A362" s="70"/>
    </row>
    <row r="363" spans="1:1" ht="15.75" customHeight="1">
      <c r="A363" s="70"/>
    </row>
    <row r="364" spans="1:1" ht="15.75" customHeight="1">
      <c r="A364" s="70"/>
    </row>
    <row r="365" spans="1:1" ht="15.75" customHeight="1">
      <c r="A365" s="70"/>
    </row>
    <row r="366" spans="1:1" ht="15.75" customHeight="1">
      <c r="A366" s="70"/>
    </row>
    <row r="367" spans="1:1" ht="15.75" customHeight="1">
      <c r="A367" s="70"/>
    </row>
    <row r="368" spans="1:1" ht="15.75" customHeight="1">
      <c r="A368" s="70"/>
    </row>
    <row r="369" spans="1:1" ht="15" customHeight="1">
      <c r="A369" s="70"/>
    </row>
    <row r="370" spans="1:1" ht="15" customHeight="1">
      <c r="A370" s="70"/>
    </row>
    <row r="371" spans="1:1" ht="15" customHeight="1">
      <c r="A371" s="70"/>
    </row>
    <row r="372" spans="1:1" ht="15" customHeight="1">
      <c r="A372" s="70"/>
    </row>
    <row r="373" spans="1:1" ht="15" customHeight="1">
      <c r="A373" s="70"/>
    </row>
    <row r="374" spans="1:1" ht="15" customHeight="1">
      <c r="A374" s="70"/>
    </row>
    <row r="375" spans="1:1" ht="15" customHeight="1">
      <c r="A375" s="70"/>
    </row>
    <row r="376" spans="1:1" ht="15" customHeight="1">
      <c r="A376" s="70"/>
    </row>
    <row r="377" spans="1:1" ht="15" customHeight="1">
      <c r="A377" s="70"/>
    </row>
    <row r="378" spans="1:1" ht="15" customHeight="1">
      <c r="A378" s="70"/>
    </row>
    <row r="379" spans="1:1" ht="15" customHeight="1">
      <c r="A379" s="70"/>
    </row>
    <row r="380" spans="1:1" ht="15" customHeight="1">
      <c r="A380" s="70"/>
    </row>
    <row r="381" spans="1:1" ht="15" customHeight="1">
      <c r="A381" s="70"/>
    </row>
    <row r="382" spans="1:1" ht="15" customHeight="1">
      <c r="A382" s="70"/>
    </row>
    <row r="383" spans="1:1" ht="15" customHeight="1">
      <c r="A383" s="70"/>
    </row>
    <row r="384" spans="1:1" ht="15" customHeight="1">
      <c r="A384" s="70"/>
    </row>
    <row r="385" spans="1:1" ht="15" customHeight="1">
      <c r="A385" s="70"/>
    </row>
    <row r="386" spans="1:1" ht="15" customHeight="1">
      <c r="A386" s="70"/>
    </row>
    <row r="387" spans="1:1" ht="15" customHeight="1">
      <c r="A387" s="70"/>
    </row>
    <row r="388" spans="1:1" ht="15" customHeight="1">
      <c r="A388" s="70"/>
    </row>
    <row r="389" spans="1:1" ht="15" customHeight="1">
      <c r="A389" s="70"/>
    </row>
    <row r="390" spans="1:1" ht="15" customHeight="1">
      <c r="A390" s="70"/>
    </row>
    <row r="391" spans="1:1" ht="15" customHeight="1">
      <c r="A391" s="70"/>
    </row>
    <row r="392" spans="1:1" ht="15" customHeight="1">
      <c r="A392" s="70"/>
    </row>
    <row r="393" spans="1:1" ht="15" customHeight="1">
      <c r="A393" s="70"/>
    </row>
    <row r="394" spans="1:1" ht="15" customHeight="1">
      <c r="A394" s="70"/>
    </row>
    <row r="395" spans="1:1" ht="15" customHeight="1">
      <c r="A395" s="70"/>
    </row>
    <row r="396" spans="1:1" ht="15" customHeight="1">
      <c r="A396" s="70"/>
    </row>
    <row r="397" spans="1:1" ht="15" customHeight="1">
      <c r="A397" s="70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B1:P13"/>
  <sheetViews>
    <sheetView showGridLines="0" workbookViewId="0">
      <pane xSplit="1" ySplit="7" topLeftCell="B8" activePane="bottomRight" state="frozen"/>
      <selection pane="topRight" activeCell="B1" sqref="B1"/>
      <selection pane="bottomLeft" activeCell="A15" sqref="A15"/>
      <selection pane="bottomRight" activeCell="E27" sqref="E27"/>
    </sheetView>
  </sheetViews>
  <sheetFormatPr defaultColWidth="8.85546875" defaultRowHeight="15"/>
  <cols>
    <col min="1" max="1" width="2.7109375" style="84" customWidth="1"/>
    <col min="2" max="2" width="9.7109375" style="95" bestFit="1" customWidth="1"/>
    <col min="3" max="3" width="21.28515625" style="84" customWidth="1"/>
    <col min="4" max="4" width="28.85546875" style="90" customWidth="1"/>
    <col min="5" max="5" width="63.28515625" style="90" customWidth="1"/>
    <col min="6" max="6" width="23.140625" style="90" customWidth="1"/>
    <col min="7" max="7" width="30" style="84" customWidth="1"/>
    <col min="8" max="8" width="47.28515625" style="84" customWidth="1"/>
    <col min="9" max="9" width="16.7109375" style="84" customWidth="1"/>
    <col min="10" max="10" width="47" style="90" customWidth="1"/>
    <col min="11" max="11" width="17.28515625" style="91" customWidth="1"/>
    <col min="12" max="12" width="21.85546875" style="84" customWidth="1"/>
    <col min="13" max="13" width="30" style="94" customWidth="1"/>
    <col min="14" max="14" width="35.7109375" style="84" customWidth="1"/>
    <col min="15" max="15" width="23.85546875" style="84" customWidth="1"/>
    <col min="16" max="16" width="16.42578125" style="84" customWidth="1"/>
    <col min="17" max="16384" width="8.85546875" style="84"/>
  </cols>
  <sheetData>
    <row r="1" spans="2:16" ht="26.25">
      <c r="B1" s="110" t="s">
        <v>0</v>
      </c>
      <c r="C1" s="110"/>
      <c r="D1" s="110"/>
      <c r="E1" s="110"/>
      <c r="F1" s="110"/>
      <c r="G1" s="110"/>
      <c r="H1" s="110"/>
      <c r="I1" s="110"/>
      <c r="J1" s="110"/>
      <c r="K1" s="83"/>
      <c r="M1" s="85"/>
    </row>
    <row r="2" spans="2:16" s="87" customFormat="1" ht="23.2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86"/>
      <c r="M2" s="88"/>
    </row>
    <row r="3" spans="2:16" s="87" customFormat="1" ht="23.25">
      <c r="B3" s="111" t="s">
        <v>17</v>
      </c>
      <c r="C3" s="111"/>
      <c r="D3" s="111"/>
      <c r="E3" s="111"/>
      <c r="F3" s="111"/>
      <c r="G3" s="111"/>
      <c r="H3" s="111"/>
      <c r="I3" s="111"/>
      <c r="J3" s="111"/>
      <c r="K3" s="86"/>
      <c r="M3" s="88"/>
    </row>
    <row r="4" spans="2:16">
      <c r="B4" s="84"/>
    </row>
    <row r="5" spans="2:16">
      <c r="B5" s="89" t="s">
        <v>2</v>
      </c>
      <c r="C5" s="89"/>
      <c r="M5" s="85"/>
    </row>
    <row r="6" spans="2:16">
      <c r="B6" s="89"/>
      <c r="C6" s="89"/>
      <c r="M6" s="85"/>
    </row>
    <row r="7" spans="2:16" s="92" customFormat="1" ht="19.899999999999999" customHeight="1">
      <c r="B7" s="96" t="s">
        <v>35</v>
      </c>
      <c r="C7" s="97" t="s">
        <v>192</v>
      </c>
      <c r="D7" s="97" t="s">
        <v>39</v>
      </c>
      <c r="E7" s="98" t="s">
        <v>5</v>
      </c>
      <c r="F7" s="98" t="s">
        <v>6</v>
      </c>
      <c r="G7" s="98" t="s">
        <v>7</v>
      </c>
      <c r="H7" s="98" t="s">
        <v>8</v>
      </c>
      <c r="I7" s="98" t="s">
        <v>10</v>
      </c>
      <c r="J7" s="98" t="s">
        <v>11</v>
      </c>
      <c r="K7" s="98" t="s">
        <v>12</v>
      </c>
      <c r="L7" s="98" t="s">
        <v>9</v>
      </c>
      <c r="M7" s="98" t="s">
        <v>13</v>
      </c>
      <c r="N7" s="98" t="s">
        <v>14</v>
      </c>
      <c r="O7" s="98" t="s">
        <v>15</v>
      </c>
      <c r="P7" s="99" t="s">
        <v>16</v>
      </c>
    </row>
    <row r="8" spans="2:16" s="93" customFormat="1" ht="13.9" customHeight="1">
      <c r="B8" s="61">
        <f t="shared" ref="B8:B13" si="0">IF(B7="ID",1,B7+1)</f>
        <v>1</v>
      </c>
      <c r="C8" s="62"/>
      <c r="D8" s="62"/>
      <c r="E8" s="62"/>
      <c r="F8" s="62"/>
      <c r="G8" s="62"/>
      <c r="H8" s="62"/>
      <c r="I8" s="62"/>
      <c r="J8" s="62"/>
      <c r="K8" s="100"/>
      <c r="L8" s="57"/>
      <c r="M8" s="62"/>
      <c r="N8" s="47"/>
      <c r="O8" s="47"/>
      <c r="P8" s="48"/>
    </row>
    <row r="9" spans="2:16">
      <c r="B9" s="61">
        <f t="shared" si="0"/>
        <v>2</v>
      </c>
      <c r="C9" s="62"/>
      <c r="D9" s="62"/>
      <c r="E9" s="62"/>
      <c r="F9" s="62"/>
      <c r="G9" s="62"/>
      <c r="H9" s="62"/>
      <c r="I9" s="62"/>
      <c r="J9" s="62"/>
      <c r="K9" s="100"/>
      <c r="L9" s="57"/>
      <c r="M9" s="101"/>
      <c r="N9" s="47"/>
      <c r="O9" s="47"/>
      <c r="P9" s="48"/>
    </row>
    <row r="10" spans="2:16">
      <c r="B10" s="61">
        <f t="shared" si="0"/>
        <v>3</v>
      </c>
      <c r="C10" s="62"/>
      <c r="D10" s="62"/>
      <c r="E10" s="62"/>
      <c r="F10" s="62"/>
      <c r="G10" s="62"/>
      <c r="H10" s="62"/>
      <c r="I10" s="62"/>
      <c r="J10" s="62"/>
      <c r="K10" s="100"/>
      <c r="L10" s="57"/>
      <c r="M10" s="101"/>
      <c r="N10" s="47"/>
      <c r="O10" s="47"/>
      <c r="P10" s="48"/>
    </row>
    <row r="11" spans="2:16">
      <c r="B11" s="61">
        <f t="shared" si="0"/>
        <v>4</v>
      </c>
      <c r="C11" s="62"/>
      <c r="D11" s="62"/>
      <c r="E11" s="62"/>
      <c r="F11" s="62"/>
      <c r="G11" s="62"/>
      <c r="H11" s="62"/>
      <c r="I11" s="62"/>
      <c r="J11" s="62"/>
      <c r="K11" s="100"/>
      <c r="L11" s="57"/>
      <c r="M11" s="101"/>
      <c r="N11" s="47"/>
      <c r="O11" s="47"/>
      <c r="P11" s="48"/>
    </row>
    <row r="12" spans="2:16">
      <c r="B12" s="61">
        <f t="shared" si="0"/>
        <v>5</v>
      </c>
      <c r="C12" s="62"/>
      <c r="D12" s="62"/>
      <c r="E12" s="62"/>
      <c r="F12" s="62"/>
      <c r="G12" s="62"/>
      <c r="H12" s="62"/>
      <c r="I12" s="62"/>
      <c r="J12" s="62"/>
      <c r="K12" s="100"/>
      <c r="L12" s="57"/>
      <c r="M12" s="101"/>
      <c r="N12" s="47"/>
      <c r="O12" s="47"/>
      <c r="P12" s="48"/>
    </row>
    <row r="13" spans="2:16">
      <c r="B13" s="61">
        <f t="shared" si="0"/>
        <v>6</v>
      </c>
      <c r="C13" s="62"/>
      <c r="D13" s="62"/>
      <c r="E13" s="62"/>
      <c r="F13" s="62"/>
      <c r="G13" s="62"/>
      <c r="H13" s="62"/>
      <c r="I13" s="62"/>
      <c r="J13" s="62"/>
      <c r="K13" s="100"/>
      <c r="L13" s="57"/>
      <c r="M13" s="101"/>
      <c r="N13" s="47"/>
      <c r="O13" s="47"/>
      <c r="P13" s="48"/>
    </row>
  </sheetData>
  <mergeCells count="3">
    <mergeCell ref="B1:J1"/>
    <mergeCell ref="B2:J2"/>
    <mergeCell ref="B3:J3"/>
  </mergeCells>
  <conditionalFormatting sqref="C9:C10 C12:C1048576">
    <cfRule type="cellIs" dxfId="42" priority="1" operator="equal">
      <formula>"Sim"</formula>
    </cfRule>
  </conditionalFormatting>
  <dataValidations disablePrompts="1" count="1">
    <dataValidation type="list" allowBlank="1" showInputMessage="1" showErrorMessage="1" sqref="M8:M13" xr:uid="{77D5CB1E-C5E5-4A6A-8CAC-197BC2A6F982}">
      <formula1>INDIRECT("status[status]")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Modelo</vt:lpstr>
      <vt:lpstr>CONFIG</vt:lpstr>
      <vt:lpstr>ACOMPANHAMENTO</vt:lpstr>
      <vt:lpstr>MODELO_AD_BI</vt:lpstr>
      <vt:lpstr>CTS</vt:lpstr>
      <vt:lpstr>homologador01</vt:lpstr>
      <vt:lpstr>homologador02</vt:lpstr>
      <vt:lpstr>MASSA</vt:lpstr>
      <vt:lpstr>EXPLORATÓRIOS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>Alexandre de Brito Melo</cp:lastModifiedBy>
  <cp:revision/>
  <dcterms:created xsi:type="dcterms:W3CDTF">2015-06-05T18:19:34Z</dcterms:created>
  <dcterms:modified xsi:type="dcterms:W3CDTF">2026-08-05T16:24:18Z</dcterms:modified>
  <cp:category/>
  <cp:contentStatus/>
</cp:coreProperties>
</file>