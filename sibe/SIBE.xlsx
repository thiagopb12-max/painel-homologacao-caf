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defaultThemeVersion="166925"/>
  <mc:AlternateContent xmlns:mc="http://schemas.openxmlformats.org/markup-compatibility/2006">
    <mc:Choice Requires="x15">
      <x15ac:absPath xmlns:x15ac="http://schemas.microsoft.com/office/spreadsheetml/2010/11/ac" url="https://dataprevrj.sharepoint.com/sites/BIcomPercia-BPC/Documentos Compartilhados/BPC/Renuncia BolsaFamilia/"/>
    </mc:Choice>
  </mc:AlternateContent>
  <xr:revisionPtr revIDLastSave="0" documentId="8_{2BF17D73-8CF5-4BA7-A5D5-D3F3E6642646}" xr6:coauthVersionLast="47" xr6:coauthVersionMax="47" xr10:uidLastSave="{00000000-0000-0000-0000-000000000000}"/>
  <bookViews>
    <workbookView xWindow="-108" yWindow="-108" windowWidth="23256" windowHeight="12456" tabRatio="801" firstSheet="11" activeTab="15" xr2:uid="{B3293337-77D5-409D-8E1D-8A3B5FE6C370}"/>
  </bookViews>
  <sheets>
    <sheet name="MODELO" sheetId="28" state="hidden" r:id="rId1"/>
    <sheet name="Defeitos" sheetId="11" state="hidden" r:id="rId2"/>
    <sheet name="Principal" sheetId="2" r:id="rId3"/>
    <sheet name="MODELO (2)" sheetId="57" state="hidden" r:id="rId4"/>
    <sheet name="Cenários Testes" sheetId="1" r:id="rId5"/>
    <sheet name="MODELO (3)" sheetId="59" state="hidden" r:id="rId6"/>
    <sheet name="MODELO (4)" sheetId="60" state="hidden" r:id="rId7"/>
    <sheet name="HML 1 - JANAÍNA" sheetId="61" r:id="rId8"/>
    <sheet name="HML 2 - ANDRÉIA" sheetId="62" r:id="rId9"/>
    <sheet name="HML 3 - ORLANDO" sheetId="63" r:id="rId10"/>
    <sheet name="HML 4 - MAURICIO" sheetId="64" r:id="rId11"/>
    <sheet name="Sugestões e Melhorias" sheetId="9" r:id="rId12"/>
    <sheet name="Massas CPF" sheetId="45" state="hidden" r:id="rId13"/>
    <sheet name="Gerar AJ" sheetId="19" state="hidden" r:id="rId14"/>
    <sheet name="Homologadores" sheetId="29" r:id="rId15"/>
    <sheet name="Monitoramento" sheetId="34" r:id="rId16"/>
  </sheets>
  <definedNames>
    <definedName name="_xlnm._FilterDatabase" localSheetId="11" hidden="1">'Sugestões e Melhorias'!$A$1:$K$28</definedName>
    <definedName name="CTINTERVALO">'Cenários Testes'!$A$4:$G$259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 i="34" l="1"/>
  <c r="J10" i="34"/>
  <c r="J11" i="34"/>
  <c r="J12" i="34"/>
  <c r="J13" i="34"/>
  <c r="J14" i="34"/>
  <c r="J15" i="34"/>
  <c r="J16" i="34"/>
  <c r="J17" i="34"/>
  <c r="J18" i="34"/>
  <c r="J19" i="34"/>
  <c r="J20" i="34"/>
  <c r="J21" i="34"/>
  <c r="J22" i="34"/>
  <c r="J23" i="34"/>
  <c r="J24" i="34"/>
  <c r="J25" i="34"/>
  <c r="J26" i="34"/>
  <c r="J27" i="34"/>
  <c r="J28" i="34"/>
  <c r="J29" i="34"/>
  <c r="J30" i="34"/>
  <c r="J31" i="34"/>
  <c r="J32" i="34"/>
  <c r="J33" i="34"/>
  <c r="J34" i="34"/>
  <c r="J35" i="34"/>
  <c r="J36" i="34"/>
  <c r="J37" i="34"/>
  <c r="F19" i="61"/>
  <c r="C19" i="61"/>
  <c r="D19" i="61"/>
  <c r="B8" i="64"/>
  <c r="C8" i="64"/>
  <c r="D8" i="64"/>
  <c r="F8" i="64"/>
  <c r="B9" i="64"/>
  <c r="C9" i="64"/>
  <c r="D9" i="64"/>
  <c r="F9" i="64"/>
  <c r="B10" i="64"/>
  <c r="C10" i="64"/>
  <c r="D10" i="64"/>
  <c r="F10" i="64"/>
  <c r="B11" i="64"/>
  <c r="C11" i="64"/>
  <c r="D11" i="64"/>
  <c r="F11" i="64"/>
  <c r="B12" i="64"/>
  <c r="C12" i="64"/>
  <c r="D12" i="64"/>
  <c r="F12" i="64"/>
  <c r="B13" i="64"/>
  <c r="C13" i="64"/>
  <c r="D13" i="64"/>
  <c r="F13" i="64"/>
  <c r="B14" i="64"/>
  <c r="C14" i="64"/>
  <c r="D14" i="64"/>
  <c r="F14" i="64"/>
  <c r="B15" i="64"/>
  <c r="C15" i="64"/>
  <c r="D15" i="64"/>
  <c r="F15" i="64"/>
  <c r="B16" i="64"/>
  <c r="C16" i="64"/>
  <c r="D16" i="64"/>
  <c r="F16" i="64"/>
  <c r="B17" i="64"/>
  <c r="C17" i="64"/>
  <c r="D17" i="64"/>
  <c r="F17" i="64"/>
  <c r="B18" i="64"/>
  <c r="C18" i="64"/>
  <c r="D18" i="64"/>
  <c r="F18" i="64"/>
  <c r="B19" i="64"/>
  <c r="F19" i="64" s="1"/>
  <c r="C19" i="64"/>
  <c r="D19" i="64"/>
  <c r="B20" i="64"/>
  <c r="C20" i="64"/>
  <c r="D20" i="64"/>
  <c r="F20" i="64"/>
  <c r="B21" i="64"/>
  <c r="C21" i="64"/>
  <c r="D21" i="64"/>
  <c r="F21" i="64"/>
  <c r="B22" i="64"/>
  <c r="C22" i="64"/>
  <c r="D22" i="64"/>
  <c r="F22" i="64"/>
  <c r="B23" i="64"/>
  <c r="C23" i="64"/>
  <c r="D23" i="64"/>
  <c r="F23" i="64"/>
  <c r="B24" i="64"/>
  <c r="C24" i="64"/>
  <c r="D24" i="64"/>
  <c r="F24" i="64"/>
  <c r="B25" i="64"/>
  <c r="C25" i="64"/>
  <c r="D25" i="64"/>
  <c r="F25" i="64"/>
  <c r="B26" i="64"/>
  <c r="C26" i="64"/>
  <c r="D26" i="64"/>
  <c r="F26" i="64"/>
  <c r="B27" i="64"/>
  <c r="C27" i="64"/>
  <c r="D27" i="64"/>
  <c r="F27" i="64"/>
  <c r="B28" i="64"/>
  <c r="C28" i="64"/>
  <c r="D28" i="64"/>
  <c r="F28" i="64"/>
  <c r="B29" i="64"/>
  <c r="C29" i="64"/>
  <c r="D29" i="64"/>
  <c r="F29" i="64"/>
  <c r="B30" i="64"/>
  <c r="C30" i="64"/>
  <c r="D30" i="64"/>
  <c r="F30" i="64"/>
  <c r="B31" i="64"/>
  <c r="C31" i="64"/>
  <c r="D31" i="64"/>
  <c r="F31" i="64"/>
  <c r="B32" i="64"/>
  <c r="C32" i="64"/>
  <c r="D32" i="64"/>
  <c r="F32" i="64"/>
  <c r="B33" i="64"/>
  <c r="C33" i="64"/>
  <c r="D33" i="64"/>
  <c r="F33" i="64"/>
  <c r="B34" i="64"/>
  <c r="C34" i="64"/>
  <c r="D34" i="64"/>
  <c r="F34" i="64"/>
  <c r="B35" i="64"/>
  <c r="C35" i="64"/>
  <c r="D35" i="64"/>
  <c r="F35" i="64"/>
  <c r="B36" i="64"/>
  <c r="C36" i="64"/>
  <c r="D36" i="64"/>
  <c r="F36" i="64"/>
  <c r="B37" i="64"/>
  <c r="C37" i="64"/>
  <c r="D37" i="64"/>
  <c r="F37" i="64"/>
  <c r="B38" i="64"/>
  <c r="C38" i="64"/>
  <c r="D38" i="64"/>
  <c r="F38" i="64"/>
  <c r="B39" i="64"/>
  <c r="C39" i="64"/>
  <c r="D39" i="64"/>
  <c r="F39" i="64"/>
  <c r="B40" i="64"/>
  <c r="C40" i="64"/>
  <c r="D40" i="64"/>
  <c r="F40" i="64"/>
  <c r="B41" i="64"/>
  <c r="C41" i="64"/>
  <c r="D41" i="64"/>
  <c r="F41" i="64"/>
  <c r="B42" i="64"/>
  <c r="C42" i="64"/>
  <c r="D42" i="64"/>
  <c r="F42" i="64"/>
  <c r="B43" i="64"/>
  <c r="C43" i="64"/>
  <c r="D43" i="64"/>
  <c r="F43" i="64"/>
  <c r="B44" i="64"/>
  <c r="C44" i="64"/>
  <c r="D44" i="64"/>
  <c r="F44" i="64"/>
  <c r="B45" i="64"/>
  <c r="C45" i="64"/>
  <c r="D45" i="64"/>
  <c r="F45" i="64"/>
  <c r="B46" i="64"/>
  <c r="C46" i="64"/>
  <c r="D46" i="64"/>
  <c r="F46" i="64"/>
  <c r="B47" i="64"/>
  <c r="C47" i="64"/>
  <c r="D47" i="64"/>
  <c r="F47" i="64"/>
  <c r="B48" i="64"/>
  <c r="C48" i="64"/>
  <c r="D48" i="64"/>
  <c r="F48" i="64"/>
  <c r="B49" i="64"/>
  <c r="C49" i="64"/>
  <c r="D49" i="64"/>
  <c r="F49" i="64"/>
  <c r="B50" i="64"/>
  <c r="C50" i="64"/>
  <c r="D50" i="64"/>
  <c r="F50" i="64"/>
  <c r="B51" i="64"/>
  <c r="C51" i="64"/>
  <c r="D51" i="64"/>
  <c r="F51" i="64"/>
  <c r="B52" i="64"/>
  <c r="C52" i="64"/>
  <c r="D52" i="64"/>
  <c r="F52" i="64"/>
  <c r="B53" i="64"/>
  <c r="C53" i="64"/>
  <c r="D53" i="64"/>
  <c r="F53" i="64"/>
  <c r="B54" i="64"/>
  <c r="C54" i="64"/>
  <c r="D54" i="64"/>
  <c r="F54" i="64"/>
  <c r="B55" i="64"/>
  <c r="C55" i="64"/>
  <c r="D55" i="64"/>
  <c r="F55" i="64"/>
  <c r="B56" i="64"/>
  <c r="C56" i="64"/>
  <c r="D56" i="64"/>
  <c r="F56" i="64"/>
  <c r="B57" i="64"/>
  <c r="C57" i="64"/>
  <c r="D57" i="64"/>
  <c r="F57" i="64"/>
  <c r="B58" i="64"/>
  <c r="C58" i="64"/>
  <c r="D58" i="64"/>
  <c r="F58" i="64"/>
  <c r="B59" i="64"/>
  <c r="C59" i="64"/>
  <c r="D59" i="64"/>
  <c r="F59" i="64"/>
  <c r="B60" i="64"/>
  <c r="C60" i="64"/>
  <c r="D60" i="64"/>
  <c r="F60" i="64"/>
  <c r="B61" i="64"/>
  <c r="C61" i="64"/>
  <c r="D61" i="64"/>
  <c r="F61" i="64"/>
  <c r="B62" i="64"/>
  <c r="C62" i="64"/>
  <c r="D62" i="64"/>
  <c r="F62" i="64"/>
  <c r="B63" i="64"/>
  <c r="C63" i="64"/>
  <c r="D63" i="64"/>
  <c r="F63" i="64"/>
  <c r="B64" i="64"/>
  <c r="C64" i="64"/>
  <c r="D64" i="64"/>
  <c r="F64" i="64"/>
  <c r="B65" i="64"/>
  <c r="C65" i="64"/>
  <c r="D65" i="64"/>
  <c r="F65" i="64"/>
  <c r="B66" i="64"/>
  <c r="C66" i="64"/>
  <c r="D66" i="64"/>
  <c r="F66" i="64"/>
  <c r="B67" i="64"/>
  <c r="C67" i="64"/>
  <c r="D67" i="64"/>
  <c r="F67" i="64"/>
  <c r="B68" i="64"/>
  <c r="C68" i="64"/>
  <c r="D68" i="64"/>
  <c r="F68" i="64"/>
  <c r="B69" i="64"/>
  <c r="C69" i="64"/>
  <c r="D69" i="64"/>
  <c r="F69" i="64"/>
  <c r="B70" i="64"/>
  <c r="C70" i="64"/>
  <c r="D70" i="64"/>
  <c r="F70" i="64"/>
  <c r="B71" i="64"/>
  <c r="C71" i="64"/>
  <c r="D71" i="64"/>
  <c r="F71" i="64"/>
  <c r="B72" i="64"/>
  <c r="C72" i="64"/>
  <c r="D72" i="64"/>
  <c r="F72" i="64"/>
  <c r="B73" i="64"/>
  <c r="C73" i="64"/>
  <c r="D73" i="64"/>
  <c r="F73" i="64"/>
  <c r="B74" i="64"/>
  <c r="C74" i="64"/>
  <c r="D74" i="64"/>
  <c r="F74" i="64"/>
  <c r="B75" i="64"/>
  <c r="C75" i="64"/>
  <c r="D75" i="64"/>
  <c r="F75" i="64"/>
  <c r="B76" i="64"/>
  <c r="C76" i="64"/>
  <c r="D76" i="64"/>
  <c r="F76" i="64"/>
  <c r="B77" i="64"/>
  <c r="C77" i="64"/>
  <c r="D77" i="64"/>
  <c r="F77" i="64"/>
  <c r="B78" i="64"/>
  <c r="C78" i="64"/>
  <c r="D78" i="64"/>
  <c r="F78" i="64"/>
  <c r="B79" i="64"/>
  <c r="C79" i="64"/>
  <c r="D79" i="64"/>
  <c r="F79" i="64"/>
  <c r="B80" i="64"/>
  <c r="C80" i="64"/>
  <c r="D80" i="64"/>
  <c r="F80" i="64"/>
  <c r="B81" i="64"/>
  <c r="C81" i="64"/>
  <c r="D81" i="64"/>
  <c r="F81" i="64"/>
  <c r="B82" i="64"/>
  <c r="C82" i="64"/>
  <c r="D82" i="64"/>
  <c r="F82" i="64"/>
  <c r="B83" i="64"/>
  <c r="C83" i="64"/>
  <c r="D83" i="64"/>
  <c r="F83" i="64"/>
  <c r="B84" i="64"/>
  <c r="C84" i="64"/>
  <c r="D84" i="64"/>
  <c r="F84" i="64"/>
  <c r="B85" i="64"/>
  <c r="C85" i="64"/>
  <c r="D85" i="64"/>
  <c r="F85" i="64"/>
  <c r="B86" i="64"/>
  <c r="C86" i="64"/>
  <c r="D86" i="64"/>
  <c r="F86" i="64"/>
  <c r="B87" i="64"/>
  <c r="C87" i="64"/>
  <c r="D87" i="64"/>
  <c r="F87" i="64"/>
  <c r="B88" i="64"/>
  <c r="C88" i="64"/>
  <c r="D88" i="64"/>
  <c r="F88" i="64"/>
  <c r="B89" i="64"/>
  <c r="C89" i="64"/>
  <c r="D89" i="64"/>
  <c r="F89" i="64"/>
  <c r="B90" i="64"/>
  <c r="C90" i="64"/>
  <c r="D90" i="64"/>
  <c r="F90" i="64"/>
  <c r="B91" i="64"/>
  <c r="C91" i="64"/>
  <c r="D91" i="64"/>
  <c r="F91" i="64"/>
  <c r="B92" i="64"/>
  <c r="C92" i="64"/>
  <c r="D92" i="64"/>
  <c r="F92" i="64"/>
  <c r="B93" i="64"/>
  <c r="C93" i="64"/>
  <c r="D93" i="64"/>
  <c r="F93" i="64"/>
  <c r="B94" i="64"/>
  <c r="C94" i="64"/>
  <c r="D94" i="64"/>
  <c r="F94" i="64"/>
  <c r="B95" i="64"/>
  <c r="C95" i="64"/>
  <c r="D95" i="64"/>
  <c r="F95" i="64"/>
  <c r="B96" i="64"/>
  <c r="C96" i="64"/>
  <c r="D96" i="64"/>
  <c r="F96" i="64"/>
  <c r="B97" i="64"/>
  <c r="C97" i="64"/>
  <c r="D97" i="64"/>
  <c r="F97" i="64"/>
  <c r="B98" i="64"/>
  <c r="C98" i="64"/>
  <c r="D98" i="64"/>
  <c r="F98" i="64"/>
  <c r="B99" i="64"/>
  <c r="C99" i="64"/>
  <c r="D99" i="64"/>
  <c r="F99" i="64"/>
  <c r="B100" i="64"/>
  <c r="C100" i="64"/>
  <c r="D100" i="64"/>
  <c r="F100" i="64"/>
  <c r="B101" i="64"/>
  <c r="C101" i="64"/>
  <c r="D101" i="64"/>
  <c r="F101" i="64"/>
  <c r="B102" i="64"/>
  <c r="C102" i="64"/>
  <c r="D102" i="64"/>
  <c r="F102" i="64"/>
  <c r="B103" i="64"/>
  <c r="C103" i="64"/>
  <c r="D103" i="64"/>
  <c r="F103" i="64"/>
  <c r="B104" i="64"/>
  <c r="C104" i="64"/>
  <c r="D104" i="64"/>
  <c r="F104" i="64"/>
  <c r="B105" i="64"/>
  <c r="C105" i="64"/>
  <c r="D105" i="64"/>
  <c r="F105" i="64"/>
  <c r="B106" i="64"/>
  <c r="C106" i="64"/>
  <c r="D106" i="64"/>
  <c r="F106" i="64"/>
  <c r="B107" i="64"/>
  <c r="C107" i="64"/>
  <c r="D107" i="64"/>
  <c r="F107" i="64"/>
  <c r="B108" i="64"/>
  <c r="C108" i="64"/>
  <c r="D108" i="64"/>
  <c r="F108" i="64"/>
  <c r="B109" i="64"/>
  <c r="C109" i="64"/>
  <c r="D109" i="64"/>
  <c r="F109" i="64"/>
  <c r="B110" i="64"/>
  <c r="C110" i="64"/>
  <c r="D110" i="64"/>
  <c r="F110" i="64"/>
  <c r="B111" i="64"/>
  <c r="C111" i="64"/>
  <c r="D111" i="64"/>
  <c r="F111" i="64"/>
  <c r="B112" i="64"/>
  <c r="C112" i="64"/>
  <c r="D112" i="64"/>
  <c r="F112" i="64"/>
  <c r="B113" i="64"/>
  <c r="C113" i="64"/>
  <c r="D113" i="64"/>
  <c r="F113" i="64"/>
  <c r="B114" i="64"/>
  <c r="C114" i="64"/>
  <c r="D114" i="64"/>
  <c r="F114" i="64"/>
  <c r="B115" i="64"/>
  <c r="C115" i="64"/>
  <c r="D115" i="64"/>
  <c r="F115" i="64"/>
  <c r="B116" i="64"/>
  <c r="C116" i="64"/>
  <c r="D116" i="64"/>
  <c r="F116" i="64"/>
  <c r="B117" i="64"/>
  <c r="C117" i="64"/>
  <c r="D117" i="64"/>
  <c r="F117" i="64"/>
  <c r="B118" i="64"/>
  <c r="C118" i="64"/>
  <c r="D118" i="64"/>
  <c r="F118" i="64"/>
  <c r="B119" i="64"/>
  <c r="C119" i="64"/>
  <c r="D119" i="64"/>
  <c r="F119" i="64"/>
  <c r="B120" i="64"/>
  <c r="C120" i="64"/>
  <c r="D120" i="64"/>
  <c r="F120" i="64"/>
  <c r="B121" i="64"/>
  <c r="C121" i="64"/>
  <c r="D121" i="64"/>
  <c r="F121" i="64"/>
  <c r="B122" i="64"/>
  <c r="C122" i="64"/>
  <c r="D122" i="64"/>
  <c r="F122" i="64"/>
  <c r="B123" i="64"/>
  <c r="C123" i="64"/>
  <c r="D123" i="64"/>
  <c r="F123" i="64"/>
  <c r="B124" i="64"/>
  <c r="C124" i="64"/>
  <c r="D124" i="64"/>
  <c r="F124" i="64"/>
  <c r="B125" i="64"/>
  <c r="C125" i="64"/>
  <c r="D125" i="64"/>
  <c r="F125" i="64"/>
  <c r="B126" i="64"/>
  <c r="C126" i="64"/>
  <c r="D126" i="64"/>
  <c r="F126" i="64"/>
  <c r="B127" i="64"/>
  <c r="C127" i="64"/>
  <c r="D127" i="64"/>
  <c r="F127" i="64"/>
  <c r="B128" i="64"/>
  <c r="C128" i="64"/>
  <c r="D128" i="64"/>
  <c r="F128" i="64"/>
  <c r="B129" i="64"/>
  <c r="C129" i="64"/>
  <c r="D129" i="64"/>
  <c r="F129" i="64"/>
  <c r="B130" i="64"/>
  <c r="C130" i="64"/>
  <c r="D130" i="64"/>
  <c r="F130" i="64"/>
  <c r="B131" i="64"/>
  <c r="C131" i="64"/>
  <c r="D131" i="64"/>
  <c r="F131" i="64"/>
  <c r="B132" i="64"/>
  <c r="C132" i="64"/>
  <c r="D132" i="64"/>
  <c r="F132" i="64"/>
  <c r="B133" i="64"/>
  <c r="C133" i="64"/>
  <c r="D133" i="64"/>
  <c r="F133" i="64"/>
  <c r="B134" i="64"/>
  <c r="C134" i="64"/>
  <c r="D134" i="64"/>
  <c r="F134" i="64"/>
  <c r="B135" i="64"/>
  <c r="C135" i="64"/>
  <c r="D135" i="64"/>
  <c r="F135" i="64"/>
  <c r="B136" i="64"/>
  <c r="C136" i="64"/>
  <c r="D136" i="64"/>
  <c r="F136" i="64"/>
  <c r="B137" i="64"/>
  <c r="C137" i="64"/>
  <c r="D137" i="64"/>
  <c r="F137" i="64"/>
  <c r="B138" i="64"/>
  <c r="C138" i="64"/>
  <c r="D138" i="64"/>
  <c r="F138" i="64"/>
  <c r="B139" i="64"/>
  <c r="C139" i="64"/>
  <c r="D139" i="64"/>
  <c r="F139" i="64"/>
  <c r="B140" i="64"/>
  <c r="C140" i="64"/>
  <c r="D140" i="64"/>
  <c r="F140" i="64"/>
  <c r="B141" i="64"/>
  <c r="C141" i="64"/>
  <c r="D141" i="64"/>
  <c r="F141" i="64"/>
  <c r="B142" i="64"/>
  <c r="C142" i="64"/>
  <c r="D142" i="64"/>
  <c r="F142" i="64"/>
  <c r="B143" i="64"/>
  <c r="C143" i="64"/>
  <c r="D143" i="64"/>
  <c r="F143" i="64"/>
  <c r="B144" i="64"/>
  <c r="C144" i="64"/>
  <c r="D144" i="64"/>
  <c r="F144" i="64"/>
  <c r="B145" i="64"/>
  <c r="C145" i="64"/>
  <c r="D145" i="64"/>
  <c r="F145" i="64"/>
  <c r="B146" i="64"/>
  <c r="C146" i="64"/>
  <c r="D146" i="64"/>
  <c r="F146" i="64"/>
  <c r="B147" i="64"/>
  <c r="C147" i="64"/>
  <c r="D147" i="64"/>
  <c r="F147" i="64"/>
  <c r="B148" i="64"/>
  <c r="C148" i="64"/>
  <c r="D148" i="64"/>
  <c r="F148" i="64"/>
  <c r="B149" i="64"/>
  <c r="C149" i="64"/>
  <c r="D149" i="64"/>
  <c r="F149" i="64"/>
  <c r="B150" i="64"/>
  <c r="C150" i="64"/>
  <c r="D150" i="64"/>
  <c r="F150" i="64"/>
  <c r="B151" i="64"/>
  <c r="C151" i="64"/>
  <c r="D151" i="64"/>
  <c r="F151" i="64"/>
  <c r="B152" i="64"/>
  <c r="C152" i="64"/>
  <c r="D152" i="64"/>
  <c r="F152" i="64"/>
  <c r="B153" i="64"/>
  <c r="C153" i="64"/>
  <c r="D153" i="64"/>
  <c r="F153" i="64"/>
  <c r="B154" i="64"/>
  <c r="C154" i="64"/>
  <c r="D154" i="64"/>
  <c r="F154" i="64"/>
  <c r="B155" i="64"/>
  <c r="C155" i="64"/>
  <c r="D155" i="64"/>
  <c r="F155" i="64"/>
  <c r="B156" i="64"/>
  <c r="C156" i="64"/>
  <c r="D156" i="64"/>
  <c r="F156" i="64"/>
  <c r="B157" i="64"/>
  <c r="C157" i="64"/>
  <c r="D157" i="64"/>
  <c r="F157" i="64"/>
  <c r="B158" i="64"/>
  <c r="C158" i="64"/>
  <c r="D158" i="64"/>
  <c r="F158" i="64"/>
  <c r="B159" i="64"/>
  <c r="C159" i="64"/>
  <c r="D159" i="64"/>
  <c r="F159" i="64"/>
  <c r="B160" i="64"/>
  <c r="C160" i="64"/>
  <c r="D160" i="64"/>
  <c r="F160" i="64"/>
  <c r="B161" i="64"/>
  <c r="C161" i="64"/>
  <c r="D161" i="64"/>
  <c r="F161" i="64"/>
  <c r="B162" i="64"/>
  <c r="C162" i="64"/>
  <c r="D162" i="64"/>
  <c r="F162" i="64"/>
  <c r="B163" i="64"/>
  <c r="C163" i="64"/>
  <c r="D163" i="64"/>
  <c r="F163" i="64"/>
  <c r="B164" i="64"/>
  <c r="C164" i="64"/>
  <c r="D164" i="64"/>
  <c r="F164" i="64"/>
  <c r="B165" i="64"/>
  <c r="C165" i="64"/>
  <c r="D165" i="64"/>
  <c r="F165" i="64"/>
  <c r="B166" i="64"/>
  <c r="C166" i="64"/>
  <c r="D166" i="64"/>
  <c r="F166" i="64"/>
  <c r="B167" i="64"/>
  <c r="C167" i="64"/>
  <c r="D167" i="64"/>
  <c r="F167" i="64"/>
  <c r="B168" i="64"/>
  <c r="C168" i="64"/>
  <c r="D168" i="64"/>
  <c r="F168" i="64"/>
  <c r="B169" i="64"/>
  <c r="C169" i="64"/>
  <c r="D169" i="64"/>
  <c r="F169" i="64"/>
  <c r="B170" i="64"/>
  <c r="C170" i="64"/>
  <c r="D170" i="64"/>
  <c r="F170" i="64"/>
  <c r="B171" i="64"/>
  <c r="C171" i="64"/>
  <c r="D171" i="64"/>
  <c r="F171" i="64"/>
  <c r="B172" i="64"/>
  <c r="C172" i="64"/>
  <c r="D172" i="64"/>
  <c r="F172" i="64"/>
  <c r="B173" i="64"/>
  <c r="C173" i="64"/>
  <c r="D173" i="64"/>
  <c r="F173" i="64"/>
  <c r="B174" i="64"/>
  <c r="C174" i="64"/>
  <c r="D174" i="64"/>
  <c r="F174" i="64"/>
  <c r="B175" i="64"/>
  <c r="C175" i="64"/>
  <c r="D175" i="64"/>
  <c r="F175" i="64"/>
  <c r="B176" i="64"/>
  <c r="C176" i="64"/>
  <c r="D176" i="64"/>
  <c r="F176" i="64"/>
  <c r="B177" i="64"/>
  <c r="C177" i="64"/>
  <c r="D177" i="64"/>
  <c r="F177" i="64"/>
  <c r="B178" i="64"/>
  <c r="C178" i="64"/>
  <c r="D178" i="64"/>
  <c r="F178" i="64"/>
  <c r="B179" i="64"/>
  <c r="C179" i="64"/>
  <c r="D179" i="64"/>
  <c r="F179" i="64"/>
  <c r="B180" i="64"/>
  <c r="C180" i="64"/>
  <c r="D180" i="64"/>
  <c r="F180" i="64"/>
  <c r="B181" i="64"/>
  <c r="C181" i="64"/>
  <c r="D181" i="64"/>
  <c r="F181" i="64"/>
  <c r="B182" i="64"/>
  <c r="C182" i="64"/>
  <c r="D182" i="64"/>
  <c r="F182" i="64"/>
  <c r="B183" i="64"/>
  <c r="C183" i="64"/>
  <c r="D183" i="64"/>
  <c r="F183" i="64"/>
  <c r="B184" i="64"/>
  <c r="C184" i="64"/>
  <c r="D184" i="64"/>
  <c r="F184" i="64"/>
  <c r="B185" i="64"/>
  <c r="C185" i="64"/>
  <c r="D185" i="64"/>
  <c r="F185" i="64"/>
  <c r="B186" i="64"/>
  <c r="C186" i="64"/>
  <c r="D186" i="64"/>
  <c r="F186" i="64"/>
  <c r="B187" i="64"/>
  <c r="C187" i="64"/>
  <c r="D187" i="64"/>
  <c r="F187" i="64"/>
  <c r="B188" i="64"/>
  <c r="C188" i="64"/>
  <c r="D188" i="64"/>
  <c r="F188" i="64"/>
  <c r="B189" i="64"/>
  <c r="C189" i="64"/>
  <c r="D189" i="64"/>
  <c r="F189" i="64"/>
  <c r="B190" i="64"/>
  <c r="C190" i="64"/>
  <c r="D190" i="64"/>
  <c r="F190" i="64"/>
  <c r="B191" i="64"/>
  <c r="C191" i="64"/>
  <c r="D191" i="64"/>
  <c r="F191" i="64"/>
  <c r="B192" i="64"/>
  <c r="C192" i="64"/>
  <c r="D192" i="64"/>
  <c r="F192" i="64"/>
  <c r="B193" i="64"/>
  <c r="C193" i="64"/>
  <c r="D193" i="64"/>
  <c r="F193" i="64"/>
  <c r="B194" i="64"/>
  <c r="C194" i="64"/>
  <c r="D194" i="64"/>
  <c r="F194" i="64"/>
  <c r="B195" i="64"/>
  <c r="C195" i="64"/>
  <c r="D195" i="64"/>
  <c r="F195" i="64"/>
  <c r="B196" i="64"/>
  <c r="C196" i="64"/>
  <c r="D196" i="64"/>
  <c r="F196" i="64"/>
  <c r="B197" i="64"/>
  <c r="C197" i="64"/>
  <c r="D197" i="64"/>
  <c r="F197" i="64"/>
  <c r="B198" i="64"/>
  <c r="C198" i="64"/>
  <c r="D198" i="64"/>
  <c r="F198" i="64"/>
  <c r="B199" i="64"/>
  <c r="C199" i="64"/>
  <c r="D199" i="64"/>
  <c r="F199" i="64"/>
  <c r="B200" i="64"/>
  <c r="C200" i="64"/>
  <c r="D200" i="64"/>
  <c r="F200" i="64"/>
  <c r="B201" i="64"/>
  <c r="C201" i="64"/>
  <c r="D201" i="64"/>
  <c r="F201" i="64"/>
  <c r="B202" i="64"/>
  <c r="C202" i="64"/>
  <c r="D202" i="64"/>
  <c r="F202" i="64"/>
  <c r="B203" i="64"/>
  <c r="C203" i="64"/>
  <c r="D203" i="64"/>
  <c r="F203" i="64"/>
  <c r="B204" i="64"/>
  <c r="C204" i="64"/>
  <c r="D204" i="64"/>
  <c r="F204" i="64"/>
  <c r="B205" i="64"/>
  <c r="C205" i="64"/>
  <c r="D205" i="64"/>
  <c r="F205" i="64"/>
  <c r="B206" i="64"/>
  <c r="C206" i="64"/>
  <c r="D206" i="64"/>
  <c r="F206" i="64"/>
  <c r="B207" i="64"/>
  <c r="C207" i="64"/>
  <c r="D207" i="64"/>
  <c r="F207" i="64"/>
  <c r="B208" i="64"/>
  <c r="C208" i="64"/>
  <c r="D208" i="64"/>
  <c r="F208" i="64"/>
  <c r="B209" i="64"/>
  <c r="C209" i="64"/>
  <c r="D209" i="64"/>
  <c r="F209" i="64"/>
  <c r="B210" i="64"/>
  <c r="C210" i="64"/>
  <c r="D210" i="64"/>
  <c r="F210" i="64"/>
  <c r="B211" i="64"/>
  <c r="C211" i="64"/>
  <c r="D211" i="64"/>
  <c r="F211" i="64"/>
  <c r="B212" i="64"/>
  <c r="C212" i="64"/>
  <c r="D212" i="64"/>
  <c r="F212" i="64"/>
  <c r="B213" i="64"/>
  <c r="C213" i="64"/>
  <c r="D213" i="64"/>
  <c r="F213" i="64"/>
  <c r="B214" i="64"/>
  <c r="C214" i="64"/>
  <c r="D214" i="64"/>
  <c r="F214" i="64"/>
  <c r="B215" i="64"/>
  <c r="C215" i="64"/>
  <c r="D215" i="64"/>
  <c r="F215" i="64"/>
  <c r="B216" i="64"/>
  <c r="C216" i="64"/>
  <c r="D216" i="64"/>
  <c r="F216" i="64"/>
  <c r="B217" i="64"/>
  <c r="C217" i="64"/>
  <c r="D217" i="64"/>
  <c r="F217" i="64"/>
  <c r="B218" i="64"/>
  <c r="C218" i="64"/>
  <c r="D218" i="64"/>
  <c r="F218" i="64"/>
  <c r="B219" i="64"/>
  <c r="C219" i="64"/>
  <c r="D219" i="64"/>
  <c r="F219" i="64"/>
  <c r="B220" i="64"/>
  <c r="C220" i="64"/>
  <c r="D220" i="64"/>
  <c r="F220" i="64"/>
  <c r="B221" i="64"/>
  <c r="C221" i="64"/>
  <c r="D221" i="64"/>
  <c r="F221" i="64"/>
  <c r="B222" i="64"/>
  <c r="C222" i="64"/>
  <c r="D222" i="64"/>
  <c r="F222" i="64"/>
  <c r="B223" i="64"/>
  <c r="C223" i="64"/>
  <c r="D223" i="64"/>
  <c r="F223" i="64"/>
  <c r="B224" i="64"/>
  <c r="C224" i="64"/>
  <c r="D224" i="64"/>
  <c r="F224" i="64"/>
  <c r="B225" i="64"/>
  <c r="C225" i="64"/>
  <c r="D225" i="64"/>
  <c r="F225" i="64"/>
  <c r="B226" i="64"/>
  <c r="C226" i="64"/>
  <c r="D226" i="64"/>
  <c r="F226" i="64"/>
  <c r="B227" i="64"/>
  <c r="C227" i="64"/>
  <c r="D227" i="64"/>
  <c r="F227" i="64"/>
  <c r="B228" i="64"/>
  <c r="C228" i="64"/>
  <c r="D228" i="64"/>
  <c r="F228" i="64"/>
  <c r="B229" i="64"/>
  <c r="C229" i="64"/>
  <c r="D229" i="64"/>
  <c r="F229" i="64"/>
  <c r="B230" i="64"/>
  <c r="C230" i="64"/>
  <c r="D230" i="64"/>
  <c r="F230" i="64"/>
  <c r="B231" i="64"/>
  <c r="C231" i="64"/>
  <c r="D231" i="64"/>
  <c r="F231" i="64"/>
  <c r="B232" i="64"/>
  <c r="C232" i="64"/>
  <c r="D232" i="64"/>
  <c r="F232" i="64"/>
  <c r="B233" i="64"/>
  <c r="C233" i="64"/>
  <c r="D233" i="64"/>
  <c r="F233" i="64"/>
  <c r="B234" i="64"/>
  <c r="C234" i="64"/>
  <c r="D234" i="64"/>
  <c r="F234" i="64"/>
  <c r="B235" i="64"/>
  <c r="C235" i="64"/>
  <c r="D235" i="64"/>
  <c r="F235" i="64"/>
  <c r="B236" i="64"/>
  <c r="C236" i="64"/>
  <c r="D236" i="64"/>
  <c r="F236" i="64"/>
  <c r="B237" i="64"/>
  <c r="C237" i="64"/>
  <c r="D237" i="64"/>
  <c r="F237" i="64"/>
  <c r="B238" i="64"/>
  <c r="C238" i="64"/>
  <c r="D238" i="64"/>
  <c r="F238" i="64"/>
  <c r="B239" i="64"/>
  <c r="C239" i="64"/>
  <c r="D239" i="64"/>
  <c r="F239" i="64"/>
  <c r="B240" i="64"/>
  <c r="C240" i="64"/>
  <c r="D240" i="64"/>
  <c r="F240" i="64"/>
  <c r="B241" i="64"/>
  <c r="C241" i="64"/>
  <c r="D241" i="64"/>
  <c r="F241" i="64"/>
  <c r="B242" i="64"/>
  <c r="C242" i="64"/>
  <c r="D242" i="64"/>
  <c r="F242" i="64"/>
  <c r="B243" i="64"/>
  <c r="C243" i="64"/>
  <c r="D243" i="64"/>
  <c r="F243" i="64"/>
  <c r="B244" i="64"/>
  <c r="C244" i="64"/>
  <c r="D244" i="64"/>
  <c r="F244" i="64"/>
  <c r="B245" i="64"/>
  <c r="C245" i="64"/>
  <c r="D245" i="64"/>
  <c r="F245" i="64"/>
  <c r="B246" i="64"/>
  <c r="C246" i="64"/>
  <c r="D246" i="64"/>
  <c r="F246" i="64"/>
  <c r="B247" i="64"/>
  <c r="C247" i="64"/>
  <c r="D247" i="64"/>
  <c r="F247" i="64"/>
  <c r="B248" i="64"/>
  <c r="C248" i="64"/>
  <c r="D248" i="64"/>
  <c r="F248" i="64"/>
  <c r="B249" i="64"/>
  <c r="C249" i="64"/>
  <c r="D249" i="64"/>
  <c r="F249" i="64"/>
  <c r="B250" i="64"/>
  <c r="C250" i="64"/>
  <c r="D250" i="64"/>
  <c r="F250" i="64"/>
  <c r="B251" i="64"/>
  <c r="C251" i="64"/>
  <c r="D251" i="64"/>
  <c r="F251" i="64"/>
  <c r="B252" i="64"/>
  <c r="C252" i="64"/>
  <c r="D252" i="64"/>
  <c r="F252" i="64"/>
  <c r="B253" i="64"/>
  <c r="C253" i="64"/>
  <c r="D253" i="64"/>
  <c r="F253" i="64"/>
  <c r="B254" i="64"/>
  <c r="C254" i="64"/>
  <c r="D254" i="64"/>
  <c r="F254" i="64"/>
  <c r="B255" i="64"/>
  <c r="C255" i="64"/>
  <c r="D255" i="64"/>
  <c r="F255" i="64"/>
  <c r="B256" i="64"/>
  <c r="C256" i="64"/>
  <c r="D256" i="64"/>
  <c r="F256" i="64"/>
  <c r="B257" i="64"/>
  <c r="C257" i="64"/>
  <c r="D257" i="64"/>
  <c r="F257" i="64"/>
  <c r="B258" i="64"/>
  <c r="C258" i="64"/>
  <c r="D258" i="64"/>
  <c r="F258" i="64"/>
  <c r="B259" i="64"/>
  <c r="C259" i="64"/>
  <c r="D259" i="64"/>
  <c r="F259" i="64"/>
  <c r="B260" i="64"/>
  <c r="C260" i="64"/>
  <c r="D260" i="64"/>
  <c r="F260" i="64"/>
  <c r="B261" i="64"/>
  <c r="C261" i="64"/>
  <c r="D261" i="64"/>
  <c r="F261" i="64"/>
  <c r="B262" i="64"/>
  <c r="C262" i="64"/>
  <c r="D262" i="64"/>
  <c r="F262" i="64"/>
  <c r="B263" i="64"/>
  <c r="C263" i="64"/>
  <c r="D263" i="64"/>
  <c r="F263" i="64"/>
  <c r="B264" i="64"/>
  <c r="C264" i="64"/>
  <c r="D264" i="64"/>
  <c r="F264" i="64"/>
  <c r="B265" i="64"/>
  <c r="C265" i="64"/>
  <c r="D265" i="64"/>
  <c r="F265" i="64"/>
  <c r="B266" i="64"/>
  <c r="C266" i="64"/>
  <c r="D266" i="64"/>
  <c r="F266" i="64"/>
  <c r="B267" i="64"/>
  <c r="C267" i="64"/>
  <c r="D267" i="64"/>
  <c r="F267" i="64"/>
  <c r="B268" i="64"/>
  <c r="C268" i="64"/>
  <c r="D268" i="64"/>
  <c r="F268" i="64"/>
  <c r="B269" i="64"/>
  <c r="C269" i="64"/>
  <c r="D269" i="64"/>
  <c r="F269" i="64"/>
  <c r="B270" i="64"/>
  <c r="C270" i="64"/>
  <c r="D270" i="64"/>
  <c r="F270" i="64"/>
  <c r="B271" i="64"/>
  <c r="C271" i="64"/>
  <c r="D271" i="64"/>
  <c r="F271" i="64"/>
  <c r="B272" i="64"/>
  <c r="C272" i="64"/>
  <c r="D272" i="64"/>
  <c r="F272" i="64"/>
  <c r="B273" i="64"/>
  <c r="C273" i="64"/>
  <c r="D273" i="64"/>
  <c r="F273" i="64"/>
  <c r="B274" i="64"/>
  <c r="C274" i="64"/>
  <c r="D274" i="64"/>
  <c r="F274" i="64"/>
  <c r="B275" i="64"/>
  <c r="C275" i="64"/>
  <c r="D275" i="64"/>
  <c r="F275" i="64"/>
  <c r="B276" i="64"/>
  <c r="C276" i="64"/>
  <c r="D276" i="64"/>
  <c r="F276" i="64"/>
  <c r="B277" i="64"/>
  <c r="C277" i="64"/>
  <c r="D277" i="64"/>
  <c r="F277" i="64"/>
  <c r="B278" i="64"/>
  <c r="C278" i="64"/>
  <c r="D278" i="64"/>
  <c r="F278" i="64"/>
  <c r="B279" i="64"/>
  <c r="C279" i="64"/>
  <c r="D279" i="64"/>
  <c r="F279" i="64"/>
  <c r="B280" i="64"/>
  <c r="C280" i="64"/>
  <c r="D280" i="64"/>
  <c r="F280" i="64"/>
  <c r="B281" i="64"/>
  <c r="C281" i="64"/>
  <c r="D281" i="64"/>
  <c r="F281" i="64"/>
  <c r="B282" i="64"/>
  <c r="C282" i="64"/>
  <c r="D282" i="64"/>
  <c r="F282" i="64"/>
  <c r="B283" i="64"/>
  <c r="C283" i="64"/>
  <c r="D283" i="64"/>
  <c r="F283" i="64"/>
  <c r="B284" i="64"/>
  <c r="C284" i="64"/>
  <c r="D284" i="64"/>
  <c r="F284" i="64"/>
  <c r="B285" i="64"/>
  <c r="C285" i="64"/>
  <c r="D285" i="64"/>
  <c r="F285" i="64"/>
  <c r="B286" i="64"/>
  <c r="C286" i="64"/>
  <c r="D286" i="64"/>
  <c r="F286" i="64"/>
  <c r="B287" i="64"/>
  <c r="C287" i="64"/>
  <c r="D287" i="64"/>
  <c r="F287" i="64"/>
  <c r="B288" i="64"/>
  <c r="C288" i="64"/>
  <c r="D288" i="64"/>
  <c r="F288" i="64"/>
  <c r="B289" i="64"/>
  <c r="C289" i="64"/>
  <c r="D289" i="64"/>
  <c r="F289" i="64"/>
  <c r="B290" i="64"/>
  <c r="C290" i="64"/>
  <c r="D290" i="64"/>
  <c r="F290" i="64"/>
  <c r="B291" i="64"/>
  <c r="C291" i="64"/>
  <c r="D291" i="64"/>
  <c r="F291" i="64"/>
  <c r="B292" i="64"/>
  <c r="C292" i="64"/>
  <c r="D292" i="64"/>
  <c r="F292" i="64"/>
  <c r="B293" i="64"/>
  <c r="C293" i="64"/>
  <c r="D293" i="64"/>
  <c r="F293" i="64"/>
  <c r="B294" i="64"/>
  <c r="C294" i="64"/>
  <c r="D294" i="64"/>
  <c r="F294" i="64"/>
  <c r="B295" i="64"/>
  <c r="C295" i="64"/>
  <c r="D295" i="64"/>
  <c r="F295" i="64"/>
  <c r="B296" i="64"/>
  <c r="C296" i="64"/>
  <c r="D296" i="64"/>
  <c r="F296" i="64"/>
  <c r="B297" i="64"/>
  <c r="C297" i="64"/>
  <c r="D297" i="64"/>
  <c r="F297" i="64"/>
  <c r="B298" i="64"/>
  <c r="C298" i="64"/>
  <c r="D298" i="64"/>
  <c r="F298" i="64"/>
  <c r="B299" i="64"/>
  <c r="C299" i="64"/>
  <c r="D299" i="64"/>
  <c r="E299" i="64"/>
  <c r="F299" i="64"/>
  <c r="B300" i="64"/>
  <c r="C300" i="64"/>
  <c r="D300" i="64"/>
  <c r="E300" i="64"/>
  <c r="F300" i="64"/>
  <c r="B301" i="64"/>
  <c r="C301" i="64"/>
  <c r="D301" i="64"/>
  <c r="E301" i="64"/>
  <c r="F301" i="64"/>
  <c r="B302" i="64"/>
  <c r="C302" i="64"/>
  <c r="D302" i="64"/>
  <c r="E302" i="64"/>
  <c r="F302" i="64"/>
  <c r="B303" i="64"/>
  <c r="C303" i="64"/>
  <c r="D303" i="64"/>
  <c r="E303" i="64"/>
  <c r="F303" i="64"/>
  <c r="B304" i="64"/>
  <c r="C304" i="64"/>
  <c r="D304" i="64"/>
  <c r="E304" i="64"/>
  <c r="F304" i="64"/>
  <c r="B305" i="64"/>
  <c r="C305" i="64"/>
  <c r="D305" i="64"/>
  <c r="E305" i="64"/>
  <c r="F305" i="64"/>
  <c r="B306" i="64"/>
  <c r="C306" i="64"/>
  <c r="D306" i="64"/>
  <c r="E306" i="64"/>
  <c r="F306" i="64"/>
  <c r="B307" i="64"/>
  <c r="C307" i="64"/>
  <c r="D307" i="64"/>
  <c r="E307" i="64"/>
  <c r="F307" i="64"/>
  <c r="B308" i="64"/>
  <c r="C308" i="64"/>
  <c r="D308" i="64"/>
  <c r="E308" i="64"/>
  <c r="F308" i="64"/>
  <c r="B309" i="64"/>
  <c r="C309" i="64"/>
  <c r="D309" i="64"/>
  <c r="E309" i="64"/>
  <c r="F309" i="64"/>
  <c r="B310" i="64"/>
  <c r="C310" i="64"/>
  <c r="D310" i="64"/>
  <c r="E310" i="64"/>
  <c r="F310" i="64"/>
  <c r="B311" i="64"/>
  <c r="C311" i="64"/>
  <c r="D311" i="64"/>
  <c r="E311" i="64"/>
  <c r="F311" i="64"/>
  <c r="B312" i="64"/>
  <c r="C312" i="64"/>
  <c r="D312" i="64"/>
  <c r="E312" i="64"/>
  <c r="F312" i="64"/>
  <c r="B313" i="64"/>
  <c r="C313" i="64"/>
  <c r="D313" i="64"/>
  <c r="E313" i="64"/>
  <c r="F313" i="64"/>
  <c r="B314" i="64"/>
  <c r="C314" i="64"/>
  <c r="D314" i="64"/>
  <c r="E314" i="64"/>
  <c r="F314" i="64"/>
  <c r="B315" i="64"/>
  <c r="C315" i="64"/>
  <c r="D315" i="64"/>
  <c r="E315" i="64"/>
  <c r="F315" i="64"/>
  <c r="B316" i="64"/>
  <c r="C316" i="64"/>
  <c r="D316" i="64"/>
  <c r="E316" i="64"/>
  <c r="F316" i="64"/>
  <c r="B317" i="64"/>
  <c r="C317" i="64"/>
  <c r="D317" i="64"/>
  <c r="E317" i="64"/>
  <c r="F317" i="64"/>
  <c r="B318" i="64"/>
  <c r="C318" i="64"/>
  <c r="D318" i="64"/>
  <c r="E318" i="64"/>
  <c r="F318" i="64"/>
  <c r="B319" i="64"/>
  <c r="C319" i="64"/>
  <c r="D319" i="64"/>
  <c r="E319" i="64"/>
  <c r="F319" i="64"/>
  <c r="B320" i="64"/>
  <c r="C320" i="64"/>
  <c r="D320" i="64"/>
  <c r="E320" i="64"/>
  <c r="F320" i="64"/>
  <c r="B321" i="64"/>
  <c r="C321" i="64"/>
  <c r="D321" i="64"/>
  <c r="E321" i="64"/>
  <c r="F321" i="64"/>
  <c r="B322" i="64"/>
  <c r="C322" i="64"/>
  <c r="D322" i="64"/>
  <c r="E322" i="64"/>
  <c r="F322" i="64"/>
  <c r="B323" i="64"/>
  <c r="C323" i="64"/>
  <c r="D323" i="64"/>
  <c r="E323" i="64"/>
  <c r="F323" i="64"/>
  <c r="B324" i="64"/>
  <c r="C324" i="64"/>
  <c r="D324" i="64"/>
  <c r="E324" i="64"/>
  <c r="F324" i="64"/>
  <c r="B325" i="64"/>
  <c r="C325" i="64"/>
  <c r="D325" i="64"/>
  <c r="E325" i="64"/>
  <c r="F325" i="64"/>
  <c r="B326" i="64"/>
  <c r="C326" i="64"/>
  <c r="D326" i="64"/>
  <c r="E326" i="64"/>
  <c r="F326" i="64"/>
  <c r="B327" i="64"/>
  <c r="C327" i="64"/>
  <c r="D327" i="64"/>
  <c r="E327" i="64"/>
  <c r="F327" i="64"/>
  <c r="B328" i="64"/>
  <c r="C328" i="64"/>
  <c r="D328" i="64"/>
  <c r="E328" i="64"/>
  <c r="F328" i="64"/>
  <c r="B329" i="64"/>
  <c r="C329" i="64"/>
  <c r="D329" i="64"/>
  <c r="E329" i="64"/>
  <c r="F329" i="64"/>
  <c r="B330" i="64"/>
  <c r="C330" i="64"/>
  <c r="D330" i="64"/>
  <c r="E330" i="64"/>
  <c r="F330" i="64"/>
  <c r="B331" i="64"/>
  <c r="C331" i="64"/>
  <c r="D331" i="64"/>
  <c r="E331" i="64"/>
  <c r="F331" i="64"/>
  <c r="B332" i="64"/>
  <c r="C332" i="64"/>
  <c r="D332" i="64"/>
  <c r="E332" i="64"/>
  <c r="F332" i="64"/>
  <c r="B333" i="64"/>
  <c r="C333" i="64"/>
  <c r="D333" i="64"/>
  <c r="E333" i="64"/>
  <c r="F333" i="64"/>
  <c r="B334" i="64"/>
  <c r="C334" i="64"/>
  <c r="D334" i="64"/>
  <c r="E334" i="64"/>
  <c r="F334" i="64"/>
  <c r="B335" i="64"/>
  <c r="C335" i="64"/>
  <c r="D335" i="64"/>
  <c r="E335" i="64"/>
  <c r="F335" i="64"/>
  <c r="B336" i="64"/>
  <c r="C336" i="64"/>
  <c r="D336" i="64"/>
  <c r="E336" i="64"/>
  <c r="F336" i="64"/>
  <c r="B337" i="64"/>
  <c r="C337" i="64"/>
  <c r="D337" i="64"/>
  <c r="E337" i="64"/>
  <c r="F337" i="64"/>
  <c r="B338" i="64"/>
  <c r="C338" i="64"/>
  <c r="D338" i="64"/>
  <c r="E338" i="64"/>
  <c r="F338" i="64"/>
  <c r="B339" i="64"/>
  <c r="C339" i="64"/>
  <c r="D339" i="64"/>
  <c r="E339" i="64"/>
  <c r="F339" i="64"/>
  <c r="B340" i="64"/>
  <c r="C340" i="64"/>
  <c r="D340" i="64"/>
  <c r="E340" i="64"/>
  <c r="F340" i="64"/>
  <c r="B341" i="64"/>
  <c r="C341" i="64"/>
  <c r="D341" i="64"/>
  <c r="E341" i="64"/>
  <c r="F341" i="64"/>
  <c r="B342" i="64"/>
  <c r="C342" i="64"/>
  <c r="D342" i="64"/>
  <c r="E342" i="64"/>
  <c r="F342" i="64"/>
  <c r="B343" i="64"/>
  <c r="C343" i="64"/>
  <c r="D343" i="64"/>
  <c r="E343" i="64"/>
  <c r="F343" i="64"/>
  <c r="B344" i="64"/>
  <c r="C344" i="64"/>
  <c r="D344" i="64"/>
  <c r="E344" i="64"/>
  <c r="F344" i="64"/>
  <c r="B345" i="64"/>
  <c r="C345" i="64"/>
  <c r="D345" i="64"/>
  <c r="E345" i="64"/>
  <c r="F345" i="64"/>
  <c r="B346" i="64"/>
  <c r="C346" i="64"/>
  <c r="D346" i="64"/>
  <c r="E346" i="64"/>
  <c r="F346" i="64"/>
  <c r="B347" i="64"/>
  <c r="C347" i="64"/>
  <c r="D347" i="64"/>
  <c r="E347" i="64"/>
  <c r="F347" i="64"/>
  <c r="B348" i="64"/>
  <c r="C348" i="64"/>
  <c r="D348" i="64"/>
  <c r="E348" i="64"/>
  <c r="F348" i="64"/>
  <c r="B349" i="64"/>
  <c r="C349" i="64"/>
  <c r="D349" i="64"/>
  <c r="E349" i="64"/>
  <c r="F349" i="64"/>
  <c r="B350" i="64"/>
  <c r="C350" i="64"/>
  <c r="D350" i="64"/>
  <c r="E350" i="64"/>
  <c r="F350" i="64"/>
  <c r="B351" i="64"/>
  <c r="C351" i="64"/>
  <c r="D351" i="64"/>
  <c r="E351" i="64"/>
  <c r="F351" i="64"/>
  <c r="B352" i="64"/>
  <c r="C352" i="64"/>
  <c r="D352" i="64"/>
  <c r="E352" i="64"/>
  <c r="F352" i="64"/>
  <c r="B353" i="64"/>
  <c r="C353" i="64"/>
  <c r="D353" i="64"/>
  <c r="E353" i="64"/>
  <c r="F353" i="64"/>
  <c r="B354" i="64"/>
  <c r="C354" i="64"/>
  <c r="D354" i="64"/>
  <c r="E354" i="64"/>
  <c r="F354" i="64"/>
  <c r="B355" i="64"/>
  <c r="C355" i="64"/>
  <c r="D355" i="64"/>
  <c r="E355" i="64"/>
  <c r="F355" i="64"/>
  <c r="B356" i="64"/>
  <c r="C356" i="64"/>
  <c r="D356" i="64"/>
  <c r="E356" i="64"/>
  <c r="F356" i="64"/>
  <c r="B357" i="64"/>
  <c r="C357" i="64"/>
  <c r="D357" i="64"/>
  <c r="E357" i="64"/>
  <c r="F357" i="64"/>
  <c r="B358" i="64"/>
  <c r="C358" i="64"/>
  <c r="D358" i="64"/>
  <c r="E358" i="64"/>
  <c r="F358" i="64"/>
  <c r="B359" i="64"/>
  <c r="C359" i="64"/>
  <c r="D359" i="64"/>
  <c r="E359" i="64"/>
  <c r="F359" i="64"/>
  <c r="B360" i="64"/>
  <c r="C360" i="64"/>
  <c r="D360" i="64"/>
  <c r="E360" i="64"/>
  <c r="F360" i="64"/>
  <c r="B361" i="64"/>
  <c r="C361" i="64"/>
  <c r="D361" i="64"/>
  <c r="E361" i="64"/>
  <c r="F361" i="64"/>
  <c r="B362" i="64"/>
  <c r="C362" i="64"/>
  <c r="D362" i="64"/>
  <c r="E362" i="64"/>
  <c r="F362" i="64"/>
  <c r="B363" i="64"/>
  <c r="C363" i="64"/>
  <c r="D363" i="64"/>
  <c r="E363" i="64"/>
  <c r="F363" i="64"/>
  <c r="B364" i="64"/>
  <c r="C364" i="64"/>
  <c r="D364" i="64"/>
  <c r="E364" i="64"/>
  <c r="F364" i="64"/>
  <c r="B365" i="64"/>
  <c r="C365" i="64"/>
  <c r="D365" i="64"/>
  <c r="E365" i="64"/>
  <c r="F365" i="64"/>
  <c r="B366" i="64"/>
  <c r="C366" i="64"/>
  <c r="D366" i="64"/>
  <c r="E366" i="64"/>
  <c r="F366" i="64"/>
  <c r="B367" i="64"/>
  <c r="C367" i="64"/>
  <c r="D367" i="64"/>
  <c r="E367" i="64"/>
  <c r="F367" i="64"/>
  <c r="B368" i="64"/>
  <c r="C368" i="64"/>
  <c r="D368" i="64"/>
  <c r="E368" i="64"/>
  <c r="F368" i="64"/>
  <c r="B369" i="64"/>
  <c r="C369" i="64"/>
  <c r="D369" i="64"/>
  <c r="E369" i="64"/>
  <c r="F369" i="64"/>
  <c r="B370" i="64"/>
  <c r="C370" i="64"/>
  <c r="D370" i="64"/>
  <c r="E370" i="64"/>
  <c r="F370" i="64"/>
  <c r="B371" i="64"/>
  <c r="C371" i="64"/>
  <c r="D371" i="64"/>
  <c r="E371" i="64"/>
  <c r="F371" i="64"/>
  <c r="B372" i="64"/>
  <c r="C372" i="64"/>
  <c r="D372" i="64"/>
  <c r="E372" i="64"/>
  <c r="F372" i="64"/>
  <c r="B373" i="64"/>
  <c r="C373" i="64"/>
  <c r="D373" i="64"/>
  <c r="E373" i="64"/>
  <c r="F373" i="64"/>
  <c r="B374" i="64"/>
  <c r="C374" i="64"/>
  <c r="D374" i="64"/>
  <c r="E374" i="64"/>
  <c r="F374" i="64"/>
  <c r="B375" i="64"/>
  <c r="C375" i="64"/>
  <c r="D375" i="64"/>
  <c r="E375" i="64"/>
  <c r="F375" i="64"/>
  <c r="B376" i="64"/>
  <c r="C376" i="64"/>
  <c r="D376" i="64"/>
  <c r="E376" i="64"/>
  <c r="F376" i="64"/>
  <c r="B377" i="64"/>
  <c r="C377" i="64"/>
  <c r="D377" i="64"/>
  <c r="E377" i="64"/>
  <c r="F377" i="64"/>
  <c r="B378" i="64"/>
  <c r="C378" i="64"/>
  <c r="D378" i="64"/>
  <c r="E378" i="64"/>
  <c r="F378" i="64"/>
  <c r="B379" i="64"/>
  <c r="C379" i="64"/>
  <c r="D379" i="64"/>
  <c r="E379" i="64"/>
  <c r="F379" i="64"/>
  <c r="B380" i="64"/>
  <c r="C380" i="64"/>
  <c r="D380" i="64"/>
  <c r="E380" i="64"/>
  <c r="F380" i="64"/>
  <c r="B381" i="64"/>
  <c r="C381" i="64"/>
  <c r="D381" i="64"/>
  <c r="E381" i="64"/>
  <c r="F381" i="64"/>
  <c r="B382" i="64"/>
  <c r="C382" i="64"/>
  <c r="D382" i="64"/>
  <c r="E382" i="64"/>
  <c r="F382" i="64"/>
  <c r="B383" i="64"/>
  <c r="C383" i="64"/>
  <c r="D383" i="64"/>
  <c r="E383" i="64"/>
  <c r="F383" i="64"/>
  <c r="B384" i="64"/>
  <c r="C384" i="64"/>
  <c r="D384" i="64"/>
  <c r="E384" i="64"/>
  <c r="F384" i="64"/>
  <c r="B385" i="64"/>
  <c r="C385" i="64"/>
  <c r="D385" i="64"/>
  <c r="E385" i="64"/>
  <c r="F385" i="64"/>
  <c r="B386" i="64"/>
  <c r="C386" i="64"/>
  <c r="D386" i="64"/>
  <c r="E386" i="64"/>
  <c r="F386" i="64"/>
  <c r="B387" i="64"/>
  <c r="C387" i="64"/>
  <c r="D387" i="64"/>
  <c r="E387" i="64"/>
  <c r="F387" i="64"/>
  <c r="B388" i="64"/>
  <c r="C388" i="64"/>
  <c r="D388" i="64"/>
  <c r="E388" i="64"/>
  <c r="F388" i="64"/>
  <c r="B389" i="64"/>
  <c r="C389" i="64"/>
  <c r="D389" i="64"/>
  <c r="E389" i="64"/>
  <c r="F389" i="64"/>
  <c r="B390" i="64"/>
  <c r="C390" i="64"/>
  <c r="D390" i="64"/>
  <c r="E390" i="64"/>
  <c r="F390" i="64"/>
  <c r="B391" i="64"/>
  <c r="C391" i="64"/>
  <c r="D391" i="64"/>
  <c r="E391" i="64"/>
  <c r="F391" i="64"/>
  <c r="B392" i="64"/>
  <c r="C392" i="64"/>
  <c r="D392" i="64"/>
  <c r="E392" i="64"/>
  <c r="F392" i="64"/>
  <c r="B393" i="64"/>
  <c r="C393" i="64"/>
  <c r="D393" i="64"/>
  <c r="E393" i="64"/>
  <c r="F393" i="64"/>
  <c r="B394" i="64"/>
  <c r="C394" i="64"/>
  <c r="D394" i="64"/>
  <c r="E394" i="64"/>
  <c r="F394" i="64"/>
  <c r="B395" i="64"/>
  <c r="C395" i="64"/>
  <c r="D395" i="64"/>
  <c r="E395" i="64"/>
  <c r="F395" i="64"/>
  <c r="B396" i="64"/>
  <c r="C396" i="64"/>
  <c r="D396" i="64"/>
  <c r="E396" i="64"/>
  <c r="F396" i="64"/>
  <c r="B397" i="64"/>
  <c r="C397" i="64"/>
  <c r="D397" i="64"/>
  <c r="E397" i="64"/>
  <c r="F397" i="64"/>
  <c r="B398" i="64"/>
  <c r="C398" i="64"/>
  <c r="D398" i="64"/>
  <c r="E398" i="64"/>
  <c r="F398" i="64"/>
  <c r="B399" i="64"/>
  <c r="C399" i="64"/>
  <c r="D399" i="64"/>
  <c r="E399" i="64"/>
  <c r="F399" i="64"/>
  <c r="B400" i="64"/>
  <c r="C400" i="64"/>
  <c r="D400" i="64"/>
  <c r="E400" i="64"/>
  <c r="F400" i="64"/>
  <c r="B401" i="64"/>
  <c r="C401" i="64"/>
  <c r="D401" i="64"/>
  <c r="E401" i="64"/>
  <c r="F401" i="64"/>
  <c r="G401" i="64"/>
  <c r="B402" i="64"/>
  <c r="C402" i="64"/>
  <c r="D402" i="64"/>
  <c r="E402" i="64"/>
  <c r="F402" i="64"/>
  <c r="G402" i="64"/>
  <c r="B403" i="64"/>
  <c r="C403" i="64"/>
  <c r="D403" i="64"/>
  <c r="E403" i="64"/>
  <c r="F403" i="64"/>
  <c r="G403" i="64"/>
  <c r="B404" i="64"/>
  <c r="C404" i="64"/>
  <c r="D404" i="64"/>
  <c r="E404" i="64"/>
  <c r="F404" i="64"/>
  <c r="G404" i="64"/>
  <c r="B405" i="64"/>
  <c r="C405" i="64"/>
  <c r="D405" i="64"/>
  <c r="E405" i="64"/>
  <c r="F405" i="64"/>
  <c r="G405" i="64"/>
  <c r="B406" i="64"/>
  <c r="C406" i="64"/>
  <c r="D406" i="64"/>
  <c r="E406" i="64"/>
  <c r="F406" i="64"/>
  <c r="G406" i="64"/>
  <c r="B407" i="64"/>
  <c r="C407" i="64"/>
  <c r="D407" i="64"/>
  <c r="E407" i="64"/>
  <c r="F407" i="64"/>
  <c r="G407" i="64"/>
  <c r="B408" i="64"/>
  <c r="C408" i="64"/>
  <c r="D408" i="64"/>
  <c r="E408" i="64"/>
  <c r="F408" i="64"/>
  <c r="G408" i="64"/>
  <c r="B409" i="64"/>
  <c r="C409" i="64"/>
  <c r="D409" i="64"/>
  <c r="E409" i="64"/>
  <c r="F409" i="64"/>
  <c r="G409" i="64"/>
  <c r="B410" i="64"/>
  <c r="C410" i="64"/>
  <c r="D410" i="64"/>
  <c r="E410" i="64"/>
  <c r="F410" i="64"/>
  <c r="G410" i="64"/>
  <c r="B411" i="64"/>
  <c r="C411" i="64"/>
  <c r="D411" i="64"/>
  <c r="E411" i="64"/>
  <c r="F411" i="64"/>
  <c r="G411" i="64"/>
  <c r="B412" i="64"/>
  <c r="C412" i="64"/>
  <c r="D412" i="64"/>
  <c r="E412" i="64"/>
  <c r="F412" i="64"/>
  <c r="G412" i="64"/>
  <c r="B413" i="64"/>
  <c r="C413" i="64"/>
  <c r="D413" i="64"/>
  <c r="E413" i="64"/>
  <c r="F413" i="64"/>
  <c r="G413" i="64"/>
  <c r="B414" i="64"/>
  <c r="C414" i="64"/>
  <c r="D414" i="64"/>
  <c r="E414" i="64"/>
  <c r="F414" i="64"/>
  <c r="G414" i="64"/>
  <c r="B415" i="64"/>
  <c r="C415" i="64"/>
  <c r="D415" i="64"/>
  <c r="E415" i="64"/>
  <c r="F415" i="64"/>
  <c r="G415" i="64"/>
  <c r="B416" i="64"/>
  <c r="C416" i="64"/>
  <c r="D416" i="64"/>
  <c r="E416" i="64"/>
  <c r="F416" i="64"/>
  <c r="G416" i="64"/>
  <c r="B417" i="64"/>
  <c r="C417" i="64"/>
  <c r="D417" i="64"/>
  <c r="E417" i="64"/>
  <c r="F417" i="64"/>
  <c r="G417" i="64"/>
  <c r="B418" i="64"/>
  <c r="C418" i="64"/>
  <c r="D418" i="64"/>
  <c r="E418" i="64"/>
  <c r="F418" i="64"/>
  <c r="G418" i="64"/>
  <c r="B419" i="64"/>
  <c r="C419" i="64"/>
  <c r="D419" i="64"/>
  <c r="E419" i="64"/>
  <c r="F419" i="64"/>
  <c r="G419" i="64"/>
  <c r="B420" i="64"/>
  <c r="C420" i="64"/>
  <c r="D420" i="64"/>
  <c r="E420" i="64"/>
  <c r="F420" i="64"/>
  <c r="G420" i="64"/>
  <c r="B421" i="64"/>
  <c r="C421" i="64"/>
  <c r="D421" i="64"/>
  <c r="E421" i="64"/>
  <c r="F421" i="64"/>
  <c r="G421" i="64"/>
  <c r="B422" i="64"/>
  <c r="C422" i="64"/>
  <c r="D422" i="64"/>
  <c r="E422" i="64"/>
  <c r="F422" i="64"/>
  <c r="G422" i="64"/>
  <c r="B423" i="64"/>
  <c r="C423" i="64"/>
  <c r="D423" i="64"/>
  <c r="E423" i="64"/>
  <c r="F423" i="64"/>
  <c r="G423" i="64"/>
  <c r="B424" i="64"/>
  <c r="C424" i="64"/>
  <c r="D424" i="64"/>
  <c r="E424" i="64"/>
  <c r="F424" i="64"/>
  <c r="G424" i="64"/>
  <c r="B425" i="64"/>
  <c r="C425" i="64"/>
  <c r="D425" i="64"/>
  <c r="E425" i="64"/>
  <c r="F425" i="64"/>
  <c r="G425" i="64"/>
  <c r="B426" i="64"/>
  <c r="C426" i="64"/>
  <c r="D426" i="64"/>
  <c r="E426" i="64"/>
  <c r="F426" i="64"/>
  <c r="G426" i="64"/>
  <c r="B427" i="64"/>
  <c r="C427" i="64"/>
  <c r="D427" i="64"/>
  <c r="E427" i="64"/>
  <c r="F427" i="64"/>
  <c r="G427" i="64"/>
  <c r="B428" i="64"/>
  <c r="C428" i="64"/>
  <c r="D428" i="64"/>
  <c r="E428" i="64"/>
  <c r="F428" i="64"/>
  <c r="G428" i="64"/>
  <c r="B429" i="64"/>
  <c r="C429" i="64"/>
  <c r="D429" i="64"/>
  <c r="E429" i="64"/>
  <c r="F429" i="64"/>
  <c r="G429" i="64"/>
  <c r="B430" i="64"/>
  <c r="C430" i="64"/>
  <c r="D430" i="64"/>
  <c r="E430" i="64"/>
  <c r="F430" i="64"/>
  <c r="G430" i="64"/>
  <c r="B431" i="64"/>
  <c r="C431" i="64"/>
  <c r="D431" i="64"/>
  <c r="E431" i="64"/>
  <c r="F431" i="64"/>
  <c r="G431" i="64"/>
  <c r="B432" i="64"/>
  <c r="C432" i="64"/>
  <c r="D432" i="64"/>
  <c r="E432" i="64"/>
  <c r="F432" i="64"/>
  <c r="G432" i="64"/>
  <c r="B433" i="64"/>
  <c r="C433" i="64"/>
  <c r="D433" i="64"/>
  <c r="E433" i="64"/>
  <c r="F433" i="64"/>
  <c r="G433" i="64"/>
  <c r="B434" i="64"/>
  <c r="C434" i="64"/>
  <c r="D434" i="64"/>
  <c r="E434" i="64"/>
  <c r="F434" i="64"/>
  <c r="G434" i="64"/>
  <c r="B435" i="64"/>
  <c r="C435" i="64"/>
  <c r="D435" i="64"/>
  <c r="E435" i="64"/>
  <c r="F435" i="64"/>
  <c r="G435" i="64"/>
  <c r="B436" i="64"/>
  <c r="C436" i="64"/>
  <c r="D436" i="64"/>
  <c r="E436" i="64"/>
  <c r="F436" i="64"/>
  <c r="G436" i="64"/>
  <c r="B437" i="64"/>
  <c r="C437" i="64"/>
  <c r="D437" i="64"/>
  <c r="E437" i="64"/>
  <c r="F437" i="64"/>
  <c r="G437" i="64"/>
  <c r="B438" i="64"/>
  <c r="C438" i="64"/>
  <c r="D438" i="64"/>
  <c r="E438" i="64"/>
  <c r="F438" i="64"/>
  <c r="G438" i="64"/>
  <c r="B439" i="64"/>
  <c r="C439" i="64"/>
  <c r="D439" i="64"/>
  <c r="E439" i="64"/>
  <c r="F439" i="64"/>
  <c r="G439" i="64"/>
  <c r="B440" i="64"/>
  <c r="C440" i="64"/>
  <c r="D440" i="64"/>
  <c r="E440" i="64"/>
  <c r="F440" i="64"/>
  <c r="G440" i="64"/>
  <c r="B441" i="64"/>
  <c r="C441" i="64"/>
  <c r="D441" i="64"/>
  <c r="E441" i="64"/>
  <c r="F441" i="64"/>
  <c r="G441" i="64"/>
  <c r="B442" i="64"/>
  <c r="C442" i="64"/>
  <c r="D442" i="64"/>
  <c r="E442" i="64"/>
  <c r="F442" i="64"/>
  <c r="G442" i="64"/>
  <c r="B443" i="64"/>
  <c r="C443" i="64"/>
  <c r="D443" i="64"/>
  <c r="E443" i="64"/>
  <c r="F443" i="64"/>
  <c r="G443" i="64"/>
  <c r="B444" i="64"/>
  <c r="C444" i="64"/>
  <c r="D444" i="64"/>
  <c r="E444" i="64"/>
  <c r="F444" i="64"/>
  <c r="G444" i="64"/>
  <c r="B445" i="64"/>
  <c r="C445" i="64"/>
  <c r="D445" i="64"/>
  <c r="E445" i="64"/>
  <c r="F445" i="64"/>
  <c r="G445" i="64"/>
  <c r="B446" i="64"/>
  <c r="C446" i="64"/>
  <c r="D446" i="64"/>
  <c r="E446" i="64"/>
  <c r="F446" i="64"/>
  <c r="G446" i="64"/>
  <c r="B447" i="64"/>
  <c r="C447" i="64"/>
  <c r="D447" i="64"/>
  <c r="E447" i="64"/>
  <c r="F447" i="64"/>
  <c r="G447" i="64"/>
  <c r="B448" i="64"/>
  <c r="C448" i="64"/>
  <c r="D448" i="64"/>
  <c r="E448" i="64"/>
  <c r="F448" i="64"/>
  <c r="G448" i="64"/>
  <c r="B449" i="64"/>
  <c r="C449" i="64"/>
  <c r="D449" i="64"/>
  <c r="E449" i="64"/>
  <c r="F449" i="64"/>
  <c r="G449" i="64"/>
  <c r="B450" i="64"/>
  <c r="C450" i="64"/>
  <c r="D450" i="64"/>
  <c r="E450" i="64"/>
  <c r="F450" i="64"/>
  <c r="G450" i="64"/>
  <c r="F1" i="64"/>
  <c r="H1" i="64"/>
  <c r="F2" i="64"/>
  <c r="H2" i="64"/>
  <c r="F3" i="64"/>
  <c r="H3" i="64"/>
  <c r="F4" i="64"/>
  <c r="H4" i="64"/>
  <c r="B8" i="63"/>
  <c r="C8" i="63"/>
  <c r="D8" i="63"/>
  <c r="F8" i="63"/>
  <c r="B9" i="63"/>
  <c r="C9" i="63"/>
  <c r="D9" i="63"/>
  <c r="F9" i="63"/>
  <c r="B10" i="63"/>
  <c r="C10" i="63"/>
  <c r="D10" i="63"/>
  <c r="F10" i="63"/>
  <c r="B11" i="63"/>
  <c r="C11" i="63"/>
  <c r="D11" i="63"/>
  <c r="F11" i="63"/>
  <c r="B12" i="63"/>
  <c r="C12" i="63"/>
  <c r="D12" i="63"/>
  <c r="F12" i="63"/>
  <c r="B13" i="63"/>
  <c r="C13" i="63"/>
  <c r="D13" i="63"/>
  <c r="F13" i="63"/>
  <c r="B14" i="63"/>
  <c r="C14" i="63"/>
  <c r="D14" i="63"/>
  <c r="F14" i="63"/>
  <c r="B15" i="63"/>
  <c r="C15" i="63"/>
  <c r="D15" i="63"/>
  <c r="F15" i="63"/>
  <c r="B16" i="63"/>
  <c r="C16" i="63"/>
  <c r="D16" i="63"/>
  <c r="F16" i="63"/>
  <c r="B17" i="63"/>
  <c r="C17" i="63"/>
  <c r="D17" i="63"/>
  <c r="F17" i="63"/>
  <c r="B18" i="63"/>
  <c r="C18" i="63"/>
  <c r="D18" i="63"/>
  <c r="F18" i="63"/>
  <c r="B19" i="63"/>
  <c r="C19" i="63"/>
  <c r="D19" i="63"/>
  <c r="F19" i="63"/>
  <c r="B20" i="63"/>
  <c r="C20" i="63"/>
  <c r="D20" i="63"/>
  <c r="F20" i="63"/>
  <c r="B21" i="63"/>
  <c r="C21" i="63"/>
  <c r="D21" i="63"/>
  <c r="F21" i="63"/>
  <c r="B22" i="63"/>
  <c r="C22" i="63"/>
  <c r="D22" i="63"/>
  <c r="F22" i="63"/>
  <c r="B23" i="63"/>
  <c r="C23" i="63"/>
  <c r="D23" i="63"/>
  <c r="F23" i="63"/>
  <c r="B24" i="63"/>
  <c r="C24" i="63"/>
  <c r="D24" i="63"/>
  <c r="F24" i="63"/>
  <c r="B25" i="63"/>
  <c r="C25" i="63"/>
  <c r="D25" i="63"/>
  <c r="F25" i="63"/>
  <c r="B26" i="63"/>
  <c r="C26" i="63"/>
  <c r="D26" i="63"/>
  <c r="F26" i="63"/>
  <c r="B27" i="63"/>
  <c r="C27" i="63"/>
  <c r="D27" i="63"/>
  <c r="F27" i="63"/>
  <c r="B28" i="63"/>
  <c r="C28" i="63"/>
  <c r="D28" i="63"/>
  <c r="F28" i="63"/>
  <c r="B29" i="63"/>
  <c r="C29" i="63"/>
  <c r="D29" i="63"/>
  <c r="F29" i="63"/>
  <c r="B30" i="63"/>
  <c r="C30" i="63"/>
  <c r="D30" i="63"/>
  <c r="F30" i="63"/>
  <c r="B31" i="63"/>
  <c r="C31" i="63"/>
  <c r="D31" i="63"/>
  <c r="F31" i="63"/>
  <c r="B32" i="63"/>
  <c r="C32" i="63"/>
  <c r="D32" i="63"/>
  <c r="F32" i="63"/>
  <c r="B33" i="63"/>
  <c r="C33" i="63"/>
  <c r="D33" i="63"/>
  <c r="F33" i="63"/>
  <c r="B34" i="63"/>
  <c r="C34" i="63"/>
  <c r="D34" i="63"/>
  <c r="F34" i="63"/>
  <c r="B35" i="63"/>
  <c r="C35" i="63"/>
  <c r="D35" i="63"/>
  <c r="F35" i="63"/>
  <c r="B36" i="63"/>
  <c r="C36" i="63"/>
  <c r="D36" i="63"/>
  <c r="F36" i="63"/>
  <c r="B37" i="63"/>
  <c r="C37" i="63"/>
  <c r="D37" i="63"/>
  <c r="F37" i="63"/>
  <c r="B38" i="63"/>
  <c r="C38" i="63"/>
  <c r="D38" i="63"/>
  <c r="F38" i="63"/>
  <c r="B39" i="63"/>
  <c r="C39" i="63"/>
  <c r="D39" i="63"/>
  <c r="F39" i="63"/>
  <c r="B40" i="63"/>
  <c r="C40" i="63"/>
  <c r="D40" i="63"/>
  <c r="F40" i="63"/>
  <c r="B41" i="63"/>
  <c r="C41" i="63"/>
  <c r="D41" i="63"/>
  <c r="F41" i="63"/>
  <c r="B42" i="63"/>
  <c r="C42" i="63"/>
  <c r="D42" i="63"/>
  <c r="F42" i="63"/>
  <c r="B43" i="63"/>
  <c r="C43" i="63"/>
  <c r="D43" i="63"/>
  <c r="F43" i="63"/>
  <c r="B44" i="63"/>
  <c r="C44" i="63"/>
  <c r="D44" i="63"/>
  <c r="F44" i="63"/>
  <c r="B45" i="63"/>
  <c r="C45" i="63"/>
  <c r="D45" i="63"/>
  <c r="F45" i="63"/>
  <c r="B46" i="63"/>
  <c r="C46" i="63"/>
  <c r="D46" i="63"/>
  <c r="F46" i="63"/>
  <c r="B47" i="63"/>
  <c r="C47" i="63"/>
  <c r="D47" i="63"/>
  <c r="F47" i="63"/>
  <c r="B48" i="63"/>
  <c r="C48" i="63"/>
  <c r="D48" i="63"/>
  <c r="F48" i="63"/>
  <c r="B49" i="63"/>
  <c r="C49" i="63"/>
  <c r="D49" i="63"/>
  <c r="F49" i="63"/>
  <c r="B50" i="63"/>
  <c r="C50" i="63"/>
  <c r="D50" i="63"/>
  <c r="F50" i="63"/>
  <c r="B51" i="63"/>
  <c r="C51" i="63"/>
  <c r="D51" i="63"/>
  <c r="F51" i="63"/>
  <c r="B52" i="63"/>
  <c r="C52" i="63"/>
  <c r="D52" i="63"/>
  <c r="F52" i="63"/>
  <c r="B53" i="63"/>
  <c r="C53" i="63"/>
  <c r="D53" i="63"/>
  <c r="F53" i="63"/>
  <c r="B54" i="63"/>
  <c r="C54" i="63"/>
  <c r="D54" i="63"/>
  <c r="F54" i="63"/>
  <c r="B55" i="63"/>
  <c r="C55" i="63"/>
  <c r="D55" i="63"/>
  <c r="F55" i="63"/>
  <c r="B56" i="63"/>
  <c r="C56" i="63"/>
  <c r="D56" i="63"/>
  <c r="F56" i="63"/>
  <c r="B57" i="63"/>
  <c r="C57" i="63"/>
  <c r="D57" i="63"/>
  <c r="F57" i="63"/>
  <c r="B58" i="63"/>
  <c r="C58" i="63"/>
  <c r="D58" i="63"/>
  <c r="F58" i="63"/>
  <c r="B59" i="63"/>
  <c r="C59" i="63"/>
  <c r="D59" i="63"/>
  <c r="F59" i="63"/>
  <c r="B60" i="63"/>
  <c r="C60" i="63"/>
  <c r="D60" i="63"/>
  <c r="F60" i="63"/>
  <c r="B61" i="63"/>
  <c r="C61" i="63"/>
  <c r="D61" i="63"/>
  <c r="F61" i="63"/>
  <c r="B62" i="63"/>
  <c r="C62" i="63"/>
  <c r="D62" i="63"/>
  <c r="F62" i="63"/>
  <c r="B63" i="63"/>
  <c r="C63" i="63"/>
  <c r="D63" i="63"/>
  <c r="F63" i="63"/>
  <c r="B64" i="63"/>
  <c r="C64" i="63"/>
  <c r="D64" i="63"/>
  <c r="F64" i="63"/>
  <c r="B65" i="63"/>
  <c r="C65" i="63"/>
  <c r="D65" i="63"/>
  <c r="F65" i="63"/>
  <c r="B66" i="63"/>
  <c r="C66" i="63"/>
  <c r="D66" i="63"/>
  <c r="F66" i="63"/>
  <c r="B67" i="63"/>
  <c r="C67" i="63"/>
  <c r="D67" i="63"/>
  <c r="F67" i="63"/>
  <c r="B68" i="63"/>
  <c r="C68" i="63"/>
  <c r="D68" i="63"/>
  <c r="F68" i="63"/>
  <c r="B69" i="63"/>
  <c r="C69" i="63"/>
  <c r="D69" i="63"/>
  <c r="F69" i="63"/>
  <c r="B70" i="63"/>
  <c r="C70" i="63"/>
  <c r="D70" i="63"/>
  <c r="F70" i="63"/>
  <c r="B71" i="63"/>
  <c r="C71" i="63"/>
  <c r="D71" i="63"/>
  <c r="F71" i="63"/>
  <c r="B72" i="63"/>
  <c r="C72" i="63"/>
  <c r="D72" i="63"/>
  <c r="F72" i="63"/>
  <c r="B73" i="63"/>
  <c r="C73" i="63"/>
  <c r="D73" i="63"/>
  <c r="F73" i="63"/>
  <c r="B74" i="63"/>
  <c r="C74" i="63"/>
  <c r="D74" i="63"/>
  <c r="F74" i="63"/>
  <c r="B75" i="63"/>
  <c r="C75" i="63"/>
  <c r="D75" i="63"/>
  <c r="F75" i="63"/>
  <c r="B76" i="63"/>
  <c r="C76" i="63"/>
  <c r="D76" i="63"/>
  <c r="F76" i="63"/>
  <c r="B77" i="63"/>
  <c r="C77" i="63"/>
  <c r="D77" i="63"/>
  <c r="F77" i="63"/>
  <c r="B78" i="63"/>
  <c r="C78" i="63"/>
  <c r="D78" i="63"/>
  <c r="F78" i="63"/>
  <c r="B79" i="63"/>
  <c r="C79" i="63"/>
  <c r="D79" i="63"/>
  <c r="F79" i="63"/>
  <c r="B80" i="63"/>
  <c r="C80" i="63"/>
  <c r="D80" i="63"/>
  <c r="F80" i="63"/>
  <c r="B81" i="63"/>
  <c r="C81" i="63"/>
  <c r="D81" i="63"/>
  <c r="F81" i="63"/>
  <c r="B82" i="63"/>
  <c r="C82" i="63"/>
  <c r="D82" i="63"/>
  <c r="F82" i="63"/>
  <c r="B83" i="63"/>
  <c r="C83" i="63"/>
  <c r="D83" i="63"/>
  <c r="F83" i="63"/>
  <c r="B84" i="63"/>
  <c r="C84" i="63"/>
  <c r="D84" i="63"/>
  <c r="F84" i="63"/>
  <c r="B85" i="63"/>
  <c r="C85" i="63"/>
  <c r="D85" i="63"/>
  <c r="F85" i="63"/>
  <c r="B86" i="63"/>
  <c r="C86" i="63"/>
  <c r="D86" i="63"/>
  <c r="F86" i="63"/>
  <c r="B87" i="63"/>
  <c r="C87" i="63"/>
  <c r="D87" i="63"/>
  <c r="F87" i="63"/>
  <c r="B88" i="63"/>
  <c r="C88" i="63"/>
  <c r="D88" i="63"/>
  <c r="F88" i="63"/>
  <c r="B89" i="63"/>
  <c r="C89" i="63"/>
  <c r="D89" i="63"/>
  <c r="F89" i="63"/>
  <c r="B90" i="63"/>
  <c r="C90" i="63"/>
  <c r="D90" i="63"/>
  <c r="F90" i="63"/>
  <c r="B91" i="63"/>
  <c r="C91" i="63"/>
  <c r="D91" i="63"/>
  <c r="F91" i="63"/>
  <c r="B92" i="63"/>
  <c r="C92" i="63"/>
  <c r="D92" i="63"/>
  <c r="F92" i="63"/>
  <c r="B93" i="63"/>
  <c r="C93" i="63"/>
  <c r="D93" i="63"/>
  <c r="F93" i="63"/>
  <c r="B94" i="63"/>
  <c r="C94" i="63"/>
  <c r="D94" i="63"/>
  <c r="F94" i="63"/>
  <c r="B95" i="63"/>
  <c r="C95" i="63"/>
  <c r="D95" i="63"/>
  <c r="F95" i="63"/>
  <c r="B96" i="63"/>
  <c r="C96" i="63"/>
  <c r="D96" i="63"/>
  <c r="F96" i="63"/>
  <c r="B97" i="63"/>
  <c r="C97" i="63"/>
  <c r="D97" i="63"/>
  <c r="F97" i="63"/>
  <c r="B98" i="63"/>
  <c r="C98" i="63"/>
  <c r="D98" i="63"/>
  <c r="F98" i="63"/>
  <c r="B99" i="63"/>
  <c r="C99" i="63"/>
  <c r="D99" i="63"/>
  <c r="F99" i="63"/>
  <c r="B100" i="63"/>
  <c r="C100" i="63"/>
  <c r="D100" i="63"/>
  <c r="F100" i="63"/>
  <c r="B101" i="63"/>
  <c r="C101" i="63"/>
  <c r="D101" i="63"/>
  <c r="F101" i="63"/>
  <c r="B102" i="63"/>
  <c r="C102" i="63"/>
  <c r="D102" i="63"/>
  <c r="F102" i="63"/>
  <c r="B103" i="63"/>
  <c r="C103" i="63"/>
  <c r="D103" i="63"/>
  <c r="F103" i="63"/>
  <c r="B104" i="63"/>
  <c r="C104" i="63"/>
  <c r="D104" i="63"/>
  <c r="F104" i="63"/>
  <c r="B105" i="63"/>
  <c r="C105" i="63"/>
  <c r="D105" i="63"/>
  <c r="F105" i="63"/>
  <c r="B106" i="63"/>
  <c r="C106" i="63"/>
  <c r="D106" i="63"/>
  <c r="F106" i="63"/>
  <c r="B107" i="63"/>
  <c r="C107" i="63"/>
  <c r="D107" i="63"/>
  <c r="F107" i="63"/>
  <c r="B108" i="63"/>
  <c r="C108" i="63"/>
  <c r="D108" i="63"/>
  <c r="F108" i="63"/>
  <c r="B109" i="63"/>
  <c r="C109" i="63"/>
  <c r="D109" i="63"/>
  <c r="F109" i="63"/>
  <c r="B110" i="63"/>
  <c r="C110" i="63"/>
  <c r="D110" i="63"/>
  <c r="F110" i="63"/>
  <c r="B111" i="63"/>
  <c r="C111" i="63"/>
  <c r="D111" i="63"/>
  <c r="F111" i="63"/>
  <c r="B112" i="63"/>
  <c r="C112" i="63"/>
  <c r="D112" i="63"/>
  <c r="F112" i="63"/>
  <c r="B113" i="63"/>
  <c r="C113" i="63"/>
  <c r="D113" i="63"/>
  <c r="F113" i="63"/>
  <c r="B114" i="63"/>
  <c r="C114" i="63"/>
  <c r="D114" i="63"/>
  <c r="F114" i="63"/>
  <c r="B115" i="63"/>
  <c r="C115" i="63"/>
  <c r="D115" i="63"/>
  <c r="F115" i="63"/>
  <c r="B116" i="63"/>
  <c r="C116" i="63"/>
  <c r="D116" i="63"/>
  <c r="F116" i="63"/>
  <c r="B117" i="63"/>
  <c r="C117" i="63"/>
  <c r="D117" i="63"/>
  <c r="F117" i="63"/>
  <c r="B118" i="63"/>
  <c r="C118" i="63"/>
  <c r="D118" i="63"/>
  <c r="F118" i="63"/>
  <c r="B119" i="63"/>
  <c r="C119" i="63"/>
  <c r="D119" i="63"/>
  <c r="F119" i="63"/>
  <c r="B120" i="63"/>
  <c r="C120" i="63"/>
  <c r="D120" i="63"/>
  <c r="F120" i="63"/>
  <c r="B121" i="63"/>
  <c r="C121" i="63"/>
  <c r="D121" i="63"/>
  <c r="F121" i="63"/>
  <c r="B122" i="63"/>
  <c r="C122" i="63"/>
  <c r="D122" i="63"/>
  <c r="F122" i="63"/>
  <c r="B123" i="63"/>
  <c r="C123" i="63"/>
  <c r="D123" i="63"/>
  <c r="F123" i="63"/>
  <c r="B124" i="63"/>
  <c r="C124" i="63"/>
  <c r="D124" i="63"/>
  <c r="F124" i="63"/>
  <c r="B125" i="63"/>
  <c r="C125" i="63"/>
  <c r="D125" i="63"/>
  <c r="F125" i="63"/>
  <c r="B126" i="63"/>
  <c r="C126" i="63"/>
  <c r="D126" i="63"/>
  <c r="F126" i="63"/>
  <c r="B127" i="63"/>
  <c r="C127" i="63"/>
  <c r="D127" i="63"/>
  <c r="F127" i="63"/>
  <c r="B128" i="63"/>
  <c r="C128" i="63"/>
  <c r="D128" i="63"/>
  <c r="F128" i="63"/>
  <c r="B129" i="63"/>
  <c r="C129" i="63"/>
  <c r="D129" i="63"/>
  <c r="F129" i="63"/>
  <c r="B130" i="63"/>
  <c r="C130" i="63"/>
  <c r="D130" i="63"/>
  <c r="F130" i="63"/>
  <c r="B131" i="63"/>
  <c r="C131" i="63"/>
  <c r="D131" i="63"/>
  <c r="F131" i="63"/>
  <c r="B132" i="63"/>
  <c r="C132" i="63"/>
  <c r="D132" i="63"/>
  <c r="F132" i="63"/>
  <c r="B133" i="63"/>
  <c r="C133" i="63"/>
  <c r="D133" i="63"/>
  <c r="F133" i="63"/>
  <c r="B134" i="63"/>
  <c r="C134" i="63"/>
  <c r="D134" i="63"/>
  <c r="F134" i="63"/>
  <c r="B135" i="63"/>
  <c r="C135" i="63"/>
  <c r="D135" i="63"/>
  <c r="F135" i="63"/>
  <c r="B136" i="63"/>
  <c r="C136" i="63"/>
  <c r="D136" i="63"/>
  <c r="F136" i="63"/>
  <c r="B137" i="63"/>
  <c r="C137" i="63"/>
  <c r="D137" i="63"/>
  <c r="F137" i="63"/>
  <c r="B138" i="63"/>
  <c r="C138" i="63"/>
  <c r="D138" i="63"/>
  <c r="F138" i="63"/>
  <c r="B139" i="63"/>
  <c r="C139" i="63"/>
  <c r="D139" i="63"/>
  <c r="F139" i="63"/>
  <c r="B140" i="63"/>
  <c r="C140" i="63"/>
  <c r="D140" i="63"/>
  <c r="F140" i="63"/>
  <c r="B141" i="63"/>
  <c r="C141" i="63"/>
  <c r="D141" i="63"/>
  <c r="F141" i="63"/>
  <c r="B142" i="63"/>
  <c r="C142" i="63"/>
  <c r="D142" i="63"/>
  <c r="F142" i="63"/>
  <c r="B143" i="63"/>
  <c r="C143" i="63"/>
  <c r="D143" i="63"/>
  <c r="F143" i="63"/>
  <c r="B144" i="63"/>
  <c r="C144" i="63"/>
  <c r="D144" i="63"/>
  <c r="F144" i="63"/>
  <c r="B145" i="63"/>
  <c r="C145" i="63"/>
  <c r="D145" i="63"/>
  <c r="F145" i="63"/>
  <c r="B146" i="63"/>
  <c r="C146" i="63"/>
  <c r="D146" i="63"/>
  <c r="F146" i="63"/>
  <c r="B147" i="63"/>
  <c r="C147" i="63"/>
  <c r="D147" i="63"/>
  <c r="F147" i="63"/>
  <c r="B148" i="63"/>
  <c r="C148" i="63"/>
  <c r="D148" i="63"/>
  <c r="F148" i="63"/>
  <c r="B149" i="63"/>
  <c r="C149" i="63"/>
  <c r="D149" i="63"/>
  <c r="F149" i="63"/>
  <c r="B150" i="63"/>
  <c r="C150" i="63"/>
  <c r="D150" i="63"/>
  <c r="F150" i="63"/>
  <c r="B151" i="63"/>
  <c r="C151" i="63"/>
  <c r="D151" i="63"/>
  <c r="F151" i="63"/>
  <c r="B152" i="63"/>
  <c r="C152" i="63"/>
  <c r="D152" i="63"/>
  <c r="F152" i="63"/>
  <c r="B153" i="63"/>
  <c r="C153" i="63"/>
  <c r="D153" i="63"/>
  <c r="F153" i="63"/>
  <c r="B154" i="63"/>
  <c r="C154" i="63"/>
  <c r="D154" i="63"/>
  <c r="F154" i="63"/>
  <c r="B155" i="63"/>
  <c r="C155" i="63"/>
  <c r="D155" i="63"/>
  <c r="F155" i="63"/>
  <c r="B156" i="63"/>
  <c r="C156" i="63"/>
  <c r="D156" i="63"/>
  <c r="F156" i="63"/>
  <c r="B157" i="63"/>
  <c r="C157" i="63"/>
  <c r="D157" i="63"/>
  <c r="F157" i="63"/>
  <c r="B158" i="63"/>
  <c r="C158" i="63"/>
  <c r="D158" i="63"/>
  <c r="F158" i="63"/>
  <c r="B159" i="63"/>
  <c r="C159" i="63"/>
  <c r="D159" i="63"/>
  <c r="F159" i="63"/>
  <c r="B160" i="63"/>
  <c r="C160" i="63"/>
  <c r="D160" i="63"/>
  <c r="F160" i="63"/>
  <c r="B161" i="63"/>
  <c r="C161" i="63"/>
  <c r="D161" i="63"/>
  <c r="F161" i="63"/>
  <c r="B162" i="63"/>
  <c r="C162" i="63"/>
  <c r="D162" i="63"/>
  <c r="F162" i="63"/>
  <c r="B163" i="63"/>
  <c r="C163" i="63"/>
  <c r="D163" i="63"/>
  <c r="F163" i="63"/>
  <c r="B164" i="63"/>
  <c r="C164" i="63"/>
  <c r="D164" i="63"/>
  <c r="F164" i="63"/>
  <c r="B165" i="63"/>
  <c r="C165" i="63"/>
  <c r="D165" i="63"/>
  <c r="F165" i="63"/>
  <c r="B166" i="63"/>
  <c r="C166" i="63"/>
  <c r="D166" i="63"/>
  <c r="F166" i="63"/>
  <c r="B167" i="63"/>
  <c r="C167" i="63"/>
  <c r="D167" i="63"/>
  <c r="F167" i="63"/>
  <c r="B168" i="63"/>
  <c r="C168" i="63"/>
  <c r="D168" i="63"/>
  <c r="F168" i="63"/>
  <c r="B169" i="63"/>
  <c r="C169" i="63"/>
  <c r="D169" i="63"/>
  <c r="F169" i="63"/>
  <c r="B170" i="63"/>
  <c r="C170" i="63"/>
  <c r="D170" i="63"/>
  <c r="F170" i="63"/>
  <c r="B171" i="63"/>
  <c r="C171" i="63"/>
  <c r="D171" i="63"/>
  <c r="F171" i="63"/>
  <c r="B172" i="63"/>
  <c r="C172" i="63"/>
  <c r="D172" i="63"/>
  <c r="F172" i="63"/>
  <c r="B173" i="63"/>
  <c r="C173" i="63"/>
  <c r="D173" i="63"/>
  <c r="F173" i="63"/>
  <c r="B174" i="63"/>
  <c r="C174" i="63"/>
  <c r="D174" i="63"/>
  <c r="F174" i="63"/>
  <c r="B175" i="63"/>
  <c r="C175" i="63"/>
  <c r="D175" i="63"/>
  <c r="F175" i="63"/>
  <c r="B176" i="63"/>
  <c r="C176" i="63"/>
  <c r="D176" i="63"/>
  <c r="F176" i="63"/>
  <c r="B177" i="63"/>
  <c r="C177" i="63"/>
  <c r="D177" i="63"/>
  <c r="F177" i="63"/>
  <c r="B178" i="63"/>
  <c r="C178" i="63"/>
  <c r="D178" i="63"/>
  <c r="F178" i="63"/>
  <c r="B179" i="63"/>
  <c r="C179" i="63"/>
  <c r="D179" i="63"/>
  <c r="F179" i="63"/>
  <c r="B180" i="63"/>
  <c r="C180" i="63"/>
  <c r="D180" i="63"/>
  <c r="F180" i="63"/>
  <c r="B181" i="63"/>
  <c r="C181" i="63"/>
  <c r="D181" i="63"/>
  <c r="F181" i="63"/>
  <c r="B182" i="63"/>
  <c r="C182" i="63"/>
  <c r="D182" i="63"/>
  <c r="F182" i="63"/>
  <c r="B183" i="63"/>
  <c r="C183" i="63"/>
  <c r="D183" i="63"/>
  <c r="F183" i="63"/>
  <c r="B184" i="63"/>
  <c r="C184" i="63"/>
  <c r="D184" i="63"/>
  <c r="F184" i="63"/>
  <c r="B185" i="63"/>
  <c r="C185" i="63"/>
  <c r="D185" i="63"/>
  <c r="F185" i="63"/>
  <c r="B186" i="63"/>
  <c r="C186" i="63"/>
  <c r="D186" i="63"/>
  <c r="F186" i="63"/>
  <c r="B187" i="63"/>
  <c r="C187" i="63"/>
  <c r="D187" i="63"/>
  <c r="F187" i="63"/>
  <c r="B188" i="63"/>
  <c r="C188" i="63"/>
  <c r="D188" i="63"/>
  <c r="F188" i="63"/>
  <c r="B189" i="63"/>
  <c r="C189" i="63"/>
  <c r="D189" i="63"/>
  <c r="F189" i="63"/>
  <c r="B190" i="63"/>
  <c r="C190" i="63"/>
  <c r="D190" i="63"/>
  <c r="F190" i="63"/>
  <c r="B191" i="63"/>
  <c r="C191" i="63"/>
  <c r="D191" i="63"/>
  <c r="F191" i="63"/>
  <c r="B192" i="63"/>
  <c r="C192" i="63"/>
  <c r="D192" i="63"/>
  <c r="F192" i="63"/>
  <c r="B193" i="63"/>
  <c r="C193" i="63"/>
  <c r="D193" i="63"/>
  <c r="F193" i="63"/>
  <c r="B194" i="63"/>
  <c r="C194" i="63"/>
  <c r="D194" i="63"/>
  <c r="F194" i="63"/>
  <c r="B195" i="63"/>
  <c r="C195" i="63"/>
  <c r="D195" i="63"/>
  <c r="F195" i="63"/>
  <c r="B196" i="63"/>
  <c r="C196" i="63"/>
  <c r="D196" i="63"/>
  <c r="F196" i="63"/>
  <c r="B197" i="63"/>
  <c r="C197" i="63"/>
  <c r="D197" i="63"/>
  <c r="F197" i="63"/>
  <c r="B198" i="63"/>
  <c r="C198" i="63"/>
  <c r="D198" i="63"/>
  <c r="F198" i="63"/>
  <c r="B199" i="63"/>
  <c r="C199" i="63"/>
  <c r="D199" i="63"/>
  <c r="F199" i="63"/>
  <c r="B200" i="63"/>
  <c r="C200" i="63"/>
  <c r="D200" i="63"/>
  <c r="F200" i="63"/>
  <c r="B201" i="63"/>
  <c r="C201" i="63"/>
  <c r="D201" i="63"/>
  <c r="F201" i="63"/>
  <c r="B202" i="63"/>
  <c r="C202" i="63"/>
  <c r="D202" i="63"/>
  <c r="F202" i="63"/>
  <c r="B203" i="63"/>
  <c r="C203" i="63"/>
  <c r="D203" i="63"/>
  <c r="F203" i="63"/>
  <c r="B204" i="63"/>
  <c r="C204" i="63"/>
  <c r="D204" i="63"/>
  <c r="F204" i="63"/>
  <c r="B205" i="63"/>
  <c r="C205" i="63"/>
  <c r="D205" i="63"/>
  <c r="F205" i="63"/>
  <c r="B206" i="63"/>
  <c r="C206" i="63"/>
  <c r="D206" i="63"/>
  <c r="F206" i="63"/>
  <c r="B207" i="63"/>
  <c r="C207" i="63"/>
  <c r="D207" i="63"/>
  <c r="F207" i="63"/>
  <c r="B208" i="63"/>
  <c r="C208" i="63"/>
  <c r="D208" i="63"/>
  <c r="F208" i="63"/>
  <c r="B209" i="63"/>
  <c r="C209" i="63"/>
  <c r="D209" i="63"/>
  <c r="F209" i="63"/>
  <c r="B210" i="63"/>
  <c r="C210" i="63"/>
  <c r="D210" i="63"/>
  <c r="F210" i="63"/>
  <c r="B211" i="63"/>
  <c r="C211" i="63"/>
  <c r="D211" i="63"/>
  <c r="F211" i="63"/>
  <c r="B212" i="63"/>
  <c r="C212" i="63"/>
  <c r="D212" i="63"/>
  <c r="F212" i="63"/>
  <c r="B213" i="63"/>
  <c r="C213" i="63"/>
  <c r="D213" i="63"/>
  <c r="F213" i="63"/>
  <c r="B214" i="63"/>
  <c r="C214" i="63"/>
  <c r="D214" i="63"/>
  <c r="F214" i="63"/>
  <c r="B215" i="63"/>
  <c r="C215" i="63"/>
  <c r="D215" i="63"/>
  <c r="F215" i="63"/>
  <c r="B216" i="63"/>
  <c r="C216" i="63"/>
  <c r="D216" i="63"/>
  <c r="F216" i="63"/>
  <c r="B217" i="63"/>
  <c r="C217" i="63"/>
  <c r="D217" i="63"/>
  <c r="F217" i="63"/>
  <c r="B218" i="63"/>
  <c r="C218" i="63"/>
  <c r="D218" i="63"/>
  <c r="F218" i="63"/>
  <c r="B219" i="63"/>
  <c r="C219" i="63"/>
  <c r="D219" i="63"/>
  <c r="F219" i="63"/>
  <c r="B220" i="63"/>
  <c r="C220" i="63"/>
  <c r="D220" i="63"/>
  <c r="F220" i="63"/>
  <c r="B221" i="63"/>
  <c r="C221" i="63"/>
  <c r="D221" i="63"/>
  <c r="F221" i="63"/>
  <c r="B222" i="63"/>
  <c r="C222" i="63"/>
  <c r="D222" i="63"/>
  <c r="F222" i="63"/>
  <c r="B223" i="63"/>
  <c r="C223" i="63"/>
  <c r="D223" i="63"/>
  <c r="F223" i="63"/>
  <c r="B224" i="63"/>
  <c r="C224" i="63"/>
  <c r="D224" i="63"/>
  <c r="F224" i="63"/>
  <c r="B225" i="63"/>
  <c r="C225" i="63"/>
  <c r="D225" i="63"/>
  <c r="F225" i="63"/>
  <c r="B226" i="63"/>
  <c r="C226" i="63"/>
  <c r="D226" i="63"/>
  <c r="F226" i="63"/>
  <c r="B227" i="63"/>
  <c r="C227" i="63"/>
  <c r="D227" i="63"/>
  <c r="F227" i="63"/>
  <c r="B228" i="63"/>
  <c r="C228" i="63"/>
  <c r="D228" i="63"/>
  <c r="F228" i="63"/>
  <c r="B229" i="63"/>
  <c r="C229" i="63"/>
  <c r="D229" i="63"/>
  <c r="F229" i="63"/>
  <c r="B230" i="63"/>
  <c r="C230" i="63"/>
  <c r="D230" i="63"/>
  <c r="F230" i="63"/>
  <c r="B231" i="63"/>
  <c r="C231" i="63"/>
  <c r="D231" i="63"/>
  <c r="F231" i="63"/>
  <c r="B232" i="63"/>
  <c r="C232" i="63"/>
  <c r="D232" i="63"/>
  <c r="F232" i="63"/>
  <c r="B233" i="63"/>
  <c r="C233" i="63"/>
  <c r="D233" i="63"/>
  <c r="F233" i="63"/>
  <c r="B234" i="63"/>
  <c r="C234" i="63"/>
  <c r="D234" i="63"/>
  <c r="F234" i="63"/>
  <c r="B235" i="63"/>
  <c r="C235" i="63"/>
  <c r="D235" i="63"/>
  <c r="F235" i="63"/>
  <c r="B236" i="63"/>
  <c r="C236" i="63"/>
  <c r="D236" i="63"/>
  <c r="F236" i="63"/>
  <c r="B237" i="63"/>
  <c r="C237" i="63"/>
  <c r="D237" i="63"/>
  <c r="F237" i="63"/>
  <c r="B238" i="63"/>
  <c r="C238" i="63"/>
  <c r="D238" i="63"/>
  <c r="F238" i="63"/>
  <c r="B239" i="63"/>
  <c r="C239" i="63"/>
  <c r="D239" i="63"/>
  <c r="F239" i="63"/>
  <c r="B240" i="63"/>
  <c r="C240" i="63"/>
  <c r="D240" i="63"/>
  <c r="F240" i="63"/>
  <c r="B241" i="63"/>
  <c r="C241" i="63"/>
  <c r="D241" i="63"/>
  <c r="F241" i="63"/>
  <c r="B242" i="63"/>
  <c r="C242" i="63"/>
  <c r="D242" i="63"/>
  <c r="F242" i="63"/>
  <c r="B243" i="63"/>
  <c r="C243" i="63"/>
  <c r="D243" i="63"/>
  <c r="F243" i="63"/>
  <c r="B244" i="63"/>
  <c r="C244" i="63"/>
  <c r="D244" i="63"/>
  <c r="F244" i="63"/>
  <c r="B245" i="63"/>
  <c r="C245" i="63"/>
  <c r="D245" i="63"/>
  <c r="F245" i="63"/>
  <c r="B246" i="63"/>
  <c r="C246" i="63"/>
  <c r="D246" i="63"/>
  <c r="F246" i="63"/>
  <c r="B247" i="63"/>
  <c r="C247" i="63"/>
  <c r="D247" i="63"/>
  <c r="F247" i="63"/>
  <c r="B248" i="63"/>
  <c r="C248" i="63"/>
  <c r="D248" i="63"/>
  <c r="F248" i="63"/>
  <c r="B249" i="63"/>
  <c r="C249" i="63"/>
  <c r="D249" i="63"/>
  <c r="F249" i="63"/>
  <c r="B250" i="63"/>
  <c r="C250" i="63"/>
  <c r="D250" i="63"/>
  <c r="F250" i="63"/>
  <c r="B251" i="63"/>
  <c r="C251" i="63"/>
  <c r="D251" i="63"/>
  <c r="F251" i="63"/>
  <c r="B252" i="63"/>
  <c r="C252" i="63"/>
  <c r="D252" i="63"/>
  <c r="F252" i="63"/>
  <c r="B253" i="63"/>
  <c r="C253" i="63"/>
  <c r="D253" i="63"/>
  <c r="F253" i="63"/>
  <c r="B254" i="63"/>
  <c r="C254" i="63"/>
  <c r="D254" i="63"/>
  <c r="F254" i="63"/>
  <c r="B255" i="63"/>
  <c r="C255" i="63"/>
  <c r="D255" i="63"/>
  <c r="F255" i="63"/>
  <c r="B256" i="63"/>
  <c r="C256" i="63"/>
  <c r="D256" i="63"/>
  <c r="F256" i="63"/>
  <c r="B257" i="63"/>
  <c r="C257" i="63"/>
  <c r="D257" i="63"/>
  <c r="F257" i="63"/>
  <c r="B258" i="63"/>
  <c r="C258" i="63"/>
  <c r="D258" i="63"/>
  <c r="F258" i="63"/>
  <c r="B259" i="63"/>
  <c r="C259" i="63"/>
  <c r="D259" i="63"/>
  <c r="F259" i="63"/>
  <c r="B260" i="63"/>
  <c r="C260" i="63"/>
  <c r="D260" i="63"/>
  <c r="F260" i="63"/>
  <c r="B261" i="63"/>
  <c r="C261" i="63"/>
  <c r="D261" i="63"/>
  <c r="F261" i="63"/>
  <c r="B262" i="63"/>
  <c r="C262" i="63"/>
  <c r="D262" i="63"/>
  <c r="F262" i="63"/>
  <c r="B263" i="63"/>
  <c r="C263" i="63"/>
  <c r="D263" i="63"/>
  <c r="F263" i="63"/>
  <c r="B264" i="63"/>
  <c r="C264" i="63"/>
  <c r="D264" i="63"/>
  <c r="F264" i="63"/>
  <c r="B265" i="63"/>
  <c r="C265" i="63"/>
  <c r="D265" i="63"/>
  <c r="F265" i="63"/>
  <c r="B266" i="63"/>
  <c r="C266" i="63"/>
  <c r="D266" i="63"/>
  <c r="F266" i="63"/>
  <c r="B267" i="63"/>
  <c r="C267" i="63"/>
  <c r="D267" i="63"/>
  <c r="F267" i="63"/>
  <c r="B268" i="63"/>
  <c r="C268" i="63"/>
  <c r="D268" i="63"/>
  <c r="F268" i="63"/>
  <c r="B269" i="63"/>
  <c r="C269" i="63"/>
  <c r="D269" i="63"/>
  <c r="F269" i="63"/>
  <c r="B270" i="63"/>
  <c r="C270" i="63"/>
  <c r="D270" i="63"/>
  <c r="F270" i="63"/>
  <c r="B271" i="63"/>
  <c r="C271" i="63"/>
  <c r="D271" i="63"/>
  <c r="F271" i="63"/>
  <c r="B272" i="63"/>
  <c r="C272" i="63"/>
  <c r="D272" i="63"/>
  <c r="F272" i="63"/>
  <c r="B273" i="63"/>
  <c r="C273" i="63"/>
  <c r="D273" i="63"/>
  <c r="F273" i="63"/>
  <c r="B274" i="63"/>
  <c r="C274" i="63"/>
  <c r="D274" i="63"/>
  <c r="F274" i="63"/>
  <c r="B275" i="63"/>
  <c r="C275" i="63"/>
  <c r="D275" i="63"/>
  <c r="F275" i="63"/>
  <c r="B276" i="63"/>
  <c r="C276" i="63"/>
  <c r="D276" i="63"/>
  <c r="F276" i="63"/>
  <c r="B277" i="63"/>
  <c r="C277" i="63"/>
  <c r="D277" i="63"/>
  <c r="F277" i="63"/>
  <c r="B278" i="63"/>
  <c r="C278" i="63"/>
  <c r="D278" i="63"/>
  <c r="F278" i="63"/>
  <c r="B279" i="63"/>
  <c r="C279" i="63"/>
  <c r="D279" i="63"/>
  <c r="F279" i="63"/>
  <c r="B280" i="63"/>
  <c r="C280" i="63"/>
  <c r="D280" i="63"/>
  <c r="F280" i="63"/>
  <c r="B281" i="63"/>
  <c r="C281" i="63"/>
  <c r="D281" i="63"/>
  <c r="F281" i="63"/>
  <c r="B282" i="63"/>
  <c r="C282" i="63"/>
  <c r="D282" i="63"/>
  <c r="F282" i="63"/>
  <c r="B283" i="63"/>
  <c r="C283" i="63"/>
  <c r="D283" i="63"/>
  <c r="F283" i="63"/>
  <c r="B284" i="63"/>
  <c r="C284" i="63"/>
  <c r="D284" i="63"/>
  <c r="F284" i="63"/>
  <c r="B285" i="63"/>
  <c r="C285" i="63"/>
  <c r="D285" i="63"/>
  <c r="F285" i="63"/>
  <c r="B286" i="63"/>
  <c r="C286" i="63"/>
  <c r="D286" i="63"/>
  <c r="F286" i="63"/>
  <c r="B287" i="63"/>
  <c r="C287" i="63"/>
  <c r="D287" i="63"/>
  <c r="F287" i="63"/>
  <c r="B288" i="63"/>
  <c r="C288" i="63"/>
  <c r="D288" i="63"/>
  <c r="F288" i="63"/>
  <c r="B289" i="63"/>
  <c r="C289" i="63"/>
  <c r="D289" i="63"/>
  <c r="F289" i="63"/>
  <c r="B290" i="63"/>
  <c r="C290" i="63"/>
  <c r="D290" i="63"/>
  <c r="F290" i="63"/>
  <c r="B291" i="63"/>
  <c r="C291" i="63"/>
  <c r="D291" i="63"/>
  <c r="F291" i="63"/>
  <c r="B292" i="63"/>
  <c r="C292" i="63"/>
  <c r="D292" i="63"/>
  <c r="F292" i="63"/>
  <c r="B293" i="63"/>
  <c r="C293" i="63"/>
  <c r="D293" i="63"/>
  <c r="F293" i="63"/>
  <c r="B294" i="63"/>
  <c r="C294" i="63"/>
  <c r="D294" i="63"/>
  <c r="F294" i="63"/>
  <c r="B295" i="63"/>
  <c r="C295" i="63"/>
  <c r="D295" i="63"/>
  <c r="F295" i="63"/>
  <c r="B296" i="63"/>
  <c r="C296" i="63"/>
  <c r="D296" i="63"/>
  <c r="F296" i="63"/>
  <c r="B297" i="63"/>
  <c r="C297" i="63"/>
  <c r="D297" i="63"/>
  <c r="F297" i="63"/>
  <c r="B298" i="63"/>
  <c r="C298" i="63"/>
  <c r="D298" i="63"/>
  <c r="E298" i="63"/>
  <c r="F298" i="63"/>
  <c r="B299" i="63"/>
  <c r="C299" i="63"/>
  <c r="D299" i="63"/>
  <c r="E299" i="63"/>
  <c r="F299" i="63"/>
  <c r="B300" i="63"/>
  <c r="C300" i="63"/>
  <c r="D300" i="63"/>
  <c r="E300" i="63"/>
  <c r="F300" i="63"/>
  <c r="B301" i="63"/>
  <c r="C301" i="63"/>
  <c r="D301" i="63"/>
  <c r="E301" i="63"/>
  <c r="F301" i="63"/>
  <c r="B302" i="63"/>
  <c r="C302" i="63"/>
  <c r="D302" i="63"/>
  <c r="E302" i="63"/>
  <c r="F302" i="63"/>
  <c r="B303" i="63"/>
  <c r="C303" i="63"/>
  <c r="D303" i="63"/>
  <c r="E303" i="63"/>
  <c r="F303" i="63"/>
  <c r="B304" i="63"/>
  <c r="C304" i="63"/>
  <c r="D304" i="63"/>
  <c r="E304" i="63"/>
  <c r="F304" i="63"/>
  <c r="B305" i="63"/>
  <c r="C305" i="63"/>
  <c r="D305" i="63"/>
  <c r="E305" i="63"/>
  <c r="F305" i="63"/>
  <c r="B306" i="63"/>
  <c r="C306" i="63"/>
  <c r="D306" i="63"/>
  <c r="E306" i="63"/>
  <c r="F306" i="63"/>
  <c r="B307" i="63"/>
  <c r="C307" i="63"/>
  <c r="D307" i="63"/>
  <c r="E307" i="63"/>
  <c r="F307" i="63"/>
  <c r="B308" i="63"/>
  <c r="C308" i="63"/>
  <c r="D308" i="63"/>
  <c r="E308" i="63"/>
  <c r="F308" i="63"/>
  <c r="B309" i="63"/>
  <c r="C309" i="63"/>
  <c r="D309" i="63"/>
  <c r="E309" i="63"/>
  <c r="F309" i="63"/>
  <c r="B310" i="63"/>
  <c r="C310" i="63"/>
  <c r="D310" i="63"/>
  <c r="E310" i="63"/>
  <c r="F310" i="63"/>
  <c r="B311" i="63"/>
  <c r="C311" i="63"/>
  <c r="D311" i="63"/>
  <c r="E311" i="63"/>
  <c r="F311" i="63"/>
  <c r="B312" i="63"/>
  <c r="C312" i="63"/>
  <c r="D312" i="63"/>
  <c r="E312" i="63"/>
  <c r="F312" i="63"/>
  <c r="B313" i="63"/>
  <c r="C313" i="63"/>
  <c r="D313" i="63"/>
  <c r="E313" i="63"/>
  <c r="F313" i="63"/>
  <c r="B314" i="63"/>
  <c r="C314" i="63"/>
  <c r="D314" i="63"/>
  <c r="E314" i="63"/>
  <c r="F314" i="63"/>
  <c r="B315" i="63"/>
  <c r="C315" i="63"/>
  <c r="D315" i="63"/>
  <c r="E315" i="63"/>
  <c r="F315" i="63"/>
  <c r="B316" i="63"/>
  <c r="C316" i="63"/>
  <c r="D316" i="63"/>
  <c r="E316" i="63"/>
  <c r="F316" i="63"/>
  <c r="B317" i="63"/>
  <c r="C317" i="63"/>
  <c r="D317" i="63"/>
  <c r="E317" i="63"/>
  <c r="F317" i="63"/>
  <c r="B318" i="63"/>
  <c r="C318" i="63"/>
  <c r="D318" i="63"/>
  <c r="E318" i="63"/>
  <c r="F318" i="63"/>
  <c r="B319" i="63"/>
  <c r="C319" i="63"/>
  <c r="D319" i="63"/>
  <c r="E319" i="63"/>
  <c r="F319" i="63"/>
  <c r="B320" i="63"/>
  <c r="C320" i="63"/>
  <c r="D320" i="63"/>
  <c r="E320" i="63"/>
  <c r="F320" i="63"/>
  <c r="B321" i="63"/>
  <c r="C321" i="63"/>
  <c r="D321" i="63"/>
  <c r="E321" i="63"/>
  <c r="F321" i="63"/>
  <c r="B322" i="63"/>
  <c r="C322" i="63"/>
  <c r="D322" i="63"/>
  <c r="E322" i="63"/>
  <c r="F322" i="63"/>
  <c r="B323" i="63"/>
  <c r="C323" i="63"/>
  <c r="D323" i="63"/>
  <c r="E323" i="63"/>
  <c r="F323" i="63"/>
  <c r="B324" i="63"/>
  <c r="C324" i="63"/>
  <c r="D324" i="63"/>
  <c r="E324" i="63"/>
  <c r="F324" i="63"/>
  <c r="B325" i="63"/>
  <c r="C325" i="63"/>
  <c r="D325" i="63"/>
  <c r="E325" i="63"/>
  <c r="F325" i="63"/>
  <c r="B326" i="63"/>
  <c r="C326" i="63"/>
  <c r="D326" i="63"/>
  <c r="E326" i="63"/>
  <c r="F326" i="63"/>
  <c r="B327" i="63"/>
  <c r="C327" i="63"/>
  <c r="D327" i="63"/>
  <c r="E327" i="63"/>
  <c r="F327" i="63"/>
  <c r="B328" i="63"/>
  <c r="C328" i="63"/>
  <c r="D328" i="63"/>
  <c r="E328" i="63"/>
  <c r="F328" i="63"/>
  <c r="B329" i="63"/>
  <c r="C329" i="63"/>
  <c r="D329" i="63"/>
  <c r="E329" i="63"/>
  <c r="F329" i="63"/>
  <c r="B330" i="63"/>
  <c r="C330" i="63"/>
  <c r="D330" i="63"/>
  <c r="E330" i="63"/>
  <c r="F330" i="63"/>
  <c r="B331" i="63"/>
  <c r="C331" i="63"/>
  <c r="D331" i="63"/>
  <c r="E331" i="63"/>
  <c r="F331" i="63"/>
  <c r="B332" i="63"/>
  <c r="C332" i="63"/>
  <c r="D332" i="63"/>
  <c r="E332" i="63"/>
  <c r="F332" i="63"/>
  <c r="B333" i="63"/>
  <c r="C333" i="63"/>
  <c r="D333" i="63"/>
  <c r="E333" i="63"/>
  <c r="F333" i="63"/>
  <c r="B334" i="63"/>
  <c r="C334" i="63"/>
  <c r="D334" i="63"/>
  <c r="E334" i="63"/>
  <c r="F334" i="63"/>
  <c r="B335" i="63"/>
  <c r="C335" i="63"/>
  <c r="D335" i="63"/>
  <c r="E335" i="63"/>
  <c r="F335" i="63"/>
  <c r="B336" i="63"/>
  <c r="C336" i="63"/>
  <c r="D336" i="63"/>
  <c r="E336" i="63"/>
  <c r="F336" i="63"/>
  <c r="B337" i="63"/>
  <c r="C337" i="63"/>
  <c r="D337" i="63"/>
  <c r="E337" i="63"/>
  <c r="F337" i="63"/>
  <c r="B338" i="63"/>
  <c r="C338" i="63"/>
  <c r="D338" i="63"/>
  <c r="E338" i="63"/>
  <c r="F338" i="63"/>
  <c r="B339" i="63"/>
  <c r="C339" i="63"/>
  <c r="D339" i="63"/>
  <c r="E339" i="63"/>
  <c r="F339" i="63"/>
  <c r="B340" i="63"/>
  <c r="C340" i="63"/>
  <c r="D340" i="63"/>
  <c r="E340" i="63"/>
  <c r="F340" i="63"/>
  <c r="B341" i="63"/>
  <c r="C341" i="63"/>
  <c r="D341" i="63"/>
  <c r="E341" i="63"/>
  <c r="F341" i="63"/>
  <c r="B342" i="63"/>
  <c r="C342" i="63"/>
  <c r="D342" i="63"/>
  <c r="E342" i="63"/>
  <c r="F342" i="63"/>
  <c r="B343" i="63"/>
  <c r="C343" i="63"/>
  <c r="D343" i="63"/>
  <c r="E343" i="63"/>
  <c r="F343" i="63"/>
  <c r="B344" i="63"/>
  <c r="C344" i="63"/>
  <c r="D344" i="63"/>
  <c r="E344" i="63"/>
  <c r="F344" i="63"/>
  <c r="B345" i="63"/>
  <c r="C345" i="63"/>
  <c r="D345" i="63"/>
  <c r="E345" i="63"/>
  <c r="F345" i="63"/>
  <c r="B346" i="63"/>
  <c r="C346" i="63"/>
  <c r="D346" i="63"/>
  <c r="E346" i="63"/>
  <c r="F346" i="63"/>
  <c r="B347" i="63"/>
  <c r="C347" i="63"/>
  <c r="D347" i="63"/>
  <c r="E347" i="63"/>
  <c r="F347" i="63"/>
  <c r="B348" i="63"/>
  <c r="C348" i="63"/>
  <c r="D348" i="63"/>
  <c r="E348" i="63"/>
  <c r="F348" i="63"/>
  <c r="B349" i="63"/>
  <c r="C349" i="63"/>
  <c r="D349" i="63"/>
  <c r="E349" i="63"/>
  <c r="F349" i="63"/>
  <c r="B350" i="63"/>
  <c r="C350" i="63"/>
  <c r="D350" i="63"/>
  <c r="E350" i="63"/>
  <c r="F350" i="63"/>
  <c r="B351" i="63"/>
  <c r="C351" i="63"/>
  <c r="D351" i="63"/>
  <c r="E351" i="63"/>
  <c r="F351" i="63"/>
  <c r="B352" i="63"/>
  <c r="C352" i="63"/>
  <c r="D352" i="63"/>
  <c r="E352" i="63"/>
  <c r="F352" i="63"/>
  <c r="B353" i="63"/>
  <c r="C353" i="63"/>
  <c r="D353" i="63"/>
  <c r="E353" i="63"/>
  <c r="F353" i="63"/>
  <c r="B354" i="63"/>
  <c r="C354" i="63"/>
  <c r="D354" i="63"/>
  <c r="E354" i="63"/>
  <c r="F354" i="63"/>
  <c r="B355" i="63"/>
  <c r="C355" i="63"/>
  <c r="D355" i="63"/>
  <c r="E355" i="63"/>
  <c r="F355" i="63"/>
  <c r="B356" i="63"/>
  <c r="C356" i="63"/>
  <c r="D356" i="63"/>
  <c r="E356" i="63"/>
  <c r="F356" i="63"/>
  <c r="B357" i="63"/>
  <c r="C357" i="63"/>
  <c r="D357" i="63"/>
  <c r="E357" i="63"/>
  <c r="F357" i="63"/>
  <c r="B358" i="63"/>
  <c r="C358" i="63"/>
  <c r="D358" i="63"/>
  <c r="E358" i="63"/>
  <c r="F358" i="63"/>
  <c r="B359" i="63"/>
  <c r="C359" i="63"/>
  <c r="D359" i="63"/>
  <c r="E359" i="63"/>
  <c r="F359" i="63"/>
  <c r="B360" i="63"/>
  <c r="C360" i="63"/>
  <c r="D360" i="63"/>
  <c r="E360" i="63"/>
  <c r="F360" i="63"/>
  <c r="B361" i="63"/>
  <c r="C361" i="63"/>
  <c r="D361" i="63"/>
  <c r="E361" i="63"/>
  <c r="F361" i="63"/>
  <c r="B362" i="63"/>
  <c r="C362" i="63"/>
  <c r="D362" i="63"/>
  <c r="E362" i="63"/>
  <c r="F362" i="63"/>
  <c r="B363" i="63"/>
  <c r="C363" i="63"/>
  <c r="D363" i="63"/>
  <c r="E363" i="63"/>
  <c r="F363" i="63"/>
  <c r="B364" i="63"/>
  <c r="C364" i="63"/>
  <c r="D364" i="63"/>
  <c r="E364" i="63"/>
  <c r="F364" i="63"/>
  <c r="B365" i="63"/>
  <c r="C365" i="63"/>
  <c r="D365" i="63"/>
  <c r="E365" i="63"/>
  <c r="F365" i="63"/>
  <c r="B366" i="63"/>
  <c r="C366" i="63"/>
  <c r="D366" i="63"/>
  <c r="E366" i="63"/>
  <c r="F366" i="63"/>
  <c r="B367" i="63"/>
  <c r="C367" i="63"/>
  <c r="D367" i="63"/>
  <c r="E367" i="63"/>
  <c r="F367" i="63"/>
  <c r="B368" i="63"/>
  <c r="C368" i="63"/>
  <c r="D368" i="63"/>
  <c r="E368" i="63"/>
  <c r="F368" i="63"/>
  <c r="B369" i="63"/>
  <c r="C369" i="63"/>
  <c r="D369" i="63"/>
  <c r="E369" i="63"/>
  <c r="F369" i="63"/>
  <c r="B370" i="63"/>
  <c r="C370" i="63"/>
  <c r="D370" i="63"/>
  <c r="E370" i="63"/>
  <c r="F370" i="63"/>
  <c r="B371" i="63"/>
  <c r="C371" i="63"/>
  <c r="D371" i="63"/>
  <c r="E371" i="63"/>
  <c r="F371" i="63"/>
  <c r="B372" i="63"/>
  <c r="C372" i="63"/>
  <c r="D372" i="63"/>
  <c r="E372" i="63"/>
  <c r="F372" i="63"/>
  <c r="B373" i="63"/>
  <c r="C373" i="63"/>
  <c r="D373" i="63"/>
  <c r="E373" i="63"/>
  <c r="F373" i="63"/>
  <c r="B374" i="63"/>
  <c r="C374" i="63"/>
  <c r="D374" i="63"/>
  <c r="E374" i="63"/>
  <c r="F374" i="63"/>
  <c r="B375" i="63"/>
  <c r="C375" i="63"/>
  <c r="D375" i="63"/>
  <c r="E375" i="63"/>
  <c r="F375" i="63"/>
  <c r="B376" i="63"/>
  <c r="C376" i="63"/>
  <c r="D376" i="63"/>
  <c r="E376" i="63"/>
  <c r="F376" i="63"/>
  <c r="B377" i="63"/>
  <c r="C377" i="63"/>
  <c r="D377" i="63"/>
  <c r="E377" i="63"/>
  <c r="F377" i="63"/>
  <c r="B378" i="63"/>
  <c r="C378" i="63"/>
  <c r="D378" i="63"/>
  <c r="E378" i="63"/>
  <c r="F378" i="63"/>
  <c r="B379" i="63"/>
  <c r="C379" i="63"/>
  <c r="D379" i="63"/>
  <c r="E379" i="63"/>
  <c r="F379" i="63"/>
  <c r="B380" i="63"/>
  <c r="C380" i="63"/>
  <c r="D380" i="63"/>
  <c r="E380" i="63"/>
  <c r="F380" i="63"/>
  <c r="B381" i="63"/>
  <c r="C381" i="63"/>
  <c r="D381" i="63"/>
  <c r="E381" i="63"/>
  <c r="F381" i="63"/>
  <c r="B382" i="63"/>
  <c r="C382" i="63"/>
  <c r="D382" i="63"/>
  <c r="E382" i="63"/>
  <c r="F382" i="63"/>
  <c r="B383" i="63"/>
  <c r="C383" i="63"/>
  <c r="D383" i="63"/>
  <c r="E383" i="63"/>
  <c r="F383" i="63"/>
  <c r="B384" i="63"/>
  <c r="C384" i="63"/>
  <c r="D384" i="63"/>
  <c r="E384" i="63"/>
  <c r="F384" i="63"/>
  <c r="B385" i="63"/>
  <c r="C385" i="63"/>
  <c r="D385" i="63"/>
  <c r="E385" i="63"/>
  <c r="F385" i="63"/>
  <c r="B386" i="63"/>
  <c r="C386" i="63"/>
  <c r="D386" i="63"/>
  <c r="E386" i="63"/>
  <c r="F386" i="63"/>
  <c r="B387" i="63"/>
  <c r="C387" i="63"/>
  <c r="D387" i="63"/>
  <c r="E387" i="63"/>
  <c r="F387" i="63"/>
  <c r="B388" i="63"/>
  <c r="C388" i="63"/>
  <c r="D388" i="63"/>
  <c r="E388" i="63"/>
  <c r="F388" i="63"/>
  <c r="B389" i="63"/>
  <c r="C389" i="63"/>
  <c r="D389" i="63"/>
  <c r="E389" i="63"/>
  <c r="F389" i="63"/>
  <c r="B390" i="63"/>
  <c r="C390" i="63"/>
  <c r="D390" i="63"/>
  <c r="E390" i="63"/>
  <c r="F390" i="63"/>
  <c r="B391" i="63"/>
  <c r="C391" i="63"/>
  <c r="D391" i="63"/>
  <c r="E391" i="63"/>
  <c r="F391" i="63"/>
  <c r="B392" i="63"/>
  <c r="C392" i="63"/>
  <c r="D392" i="63"/>
  <c r="E392" i="63"/>
  <c r="F392" i="63"/>
  <c r="B393" i="63"/>
  <c r="C393" i="63"/>
  <c r="D393" i="63"/>
  <c r="E393" i="63"/>
  <c r="F393" i="63"/>
  <c r="B394" i="63"/>
  <c r="C394" i="63"/>
  <c r="D394" i="63"/>
  <c r="E394" i="63"/>
  <c r="F394" i="63"/>
  <c r="B395" i="63"/>
  <c r="C395" i="63"/>
  <c r="D395" i="63"/>
  <c r="E395" i="63"/>
  <c r="F395" i="63"/>
  <c r="B396" i="63"/>
  <c r="C396" i="63"/>
  <c r="D396" i="63"/>
  <c r="E396" i="63"/>
  <c r="F396" i="63"/>
  <c r="B397" i="63"/>
  <c r="C397" i="63"/>
  <c r="D397" i="63"/>
  <c r="E397" i="63"/>
  <c r="F397" i="63"/>
  <c r="B398" i="63"/>
  <c r="C398" i="63"/>
  <c r="D398" i="63"/>
  <c r="E398" i="63"/>
  <c r="F398" i="63"/>
  <c r="B399" i="63"/>
  <c r="C399" i="63"/>
  <c r="D399" i="63"/>
  <c r="E399" i="63"/>
  <c r="F399" i="63"/>
  <c r="B400" i="63"/>
  <c r="C400" i="63"/>
  <c r="D400" i="63"/>
  <c r="E400" i="63"/>
  <c r="F400" i="63"/>
  <c r="G400" i="63"/>
  <c r="B401" i="63"/>
  <c r="C401" i="63"/>
  <c r="D401" i="63"/>
  <c r="E401" i="63"/>
  <c r="F401" i="63"/>
  <c r="G401" i="63"/>
  <c r="B402" i="63"/>
  <c r="C402" i="63"/>
  <c r="D402" i="63"/>
  <c r="E402" i="63"/>
  <c r="F402" i="63"/>
  <c r="G402" i="63"/>
  <c r="B403" i="63"/>
  <c r="C403" i="63"/>
  <c r="D403" i="63"/>
  <c r="E403" i="63"/>
  <c r="F403" i="63"/>
  <c r="G403" i="63"/>
  <c r="B404" i="63"/>
  <c r="C404" i="63"/>
  <c r="D404" i="63"/>
  <c r="E404" i="63"/>
  <c r="F404" i="63"/>
  <c r="G404" i="63"/>
  <c r="B405" i="63"/>
  <c r="C405" i="63"/>
  <c r="D405" i="63"/>
  <c r="E405" i="63"/>
  <c r="F405" i="63"/>
  <c r="G405" i="63"/>
  <c r="B406" i="63"/>
  <c r="C406" i="63"/>
  <c r="D406" i="63"/>
  <c r="E406" i="63"/>
  <c r="F406" i="63"/>
  <c r="G406" i="63"/>
  <c r="B407" i="63"/>
  <c r="C407" i="63"/>
  <c r="D407" i="63"/>
  <c r="E407" i="63"/>
  <c r="F407" i="63"/>
  <c r="G407" i="63"/>
  <c r="B408" i="63"/>
  <c r="C408" i="63"/>
  <c r="D408" i="63"/>
  <c r="E408" i="63"/>
  <c r="F408" i="63"/>
  <c r="G408" i="63"/>
  <c r="B409" i="63"/>
  <c r="C409" i="63"/>
  <c r="D409" i="63"/>
  <c r="E409" i="63"/>
  <c r="F409" i="63"/>
  <c r="G409" i="63"/>
  <c r="B410" i="63"/>
  <c r="C410" i="63"/>
  <c r="D410" i="63"/>
  <c r="E410" i="63"/>
  <c r="F410" i="63"/>
  <c r="G410" i="63"/>
  <c r="B411" i="63"/>
  <c r="C411" i="63"/>
  <c r="D411" i="63"/>
  <c r="E411" i="63"/>
  <c r="F411" i="63"/>
  <c r="G411" i="63"/>
  <c r="B412" i="63"/>
  <c r="C412" i="63"/>
  <c r="D412" i="63"/>
  <c r="E412" i="63"/>
  <c r="F412" i="63"/>
  <c r="G412" i="63"/>
  <c r="B413" i="63"/>
  <c r="C413" i="63"/>
  <c r="D413" i="63"/>
  <c r="E413" i="63"/>
  <c r="F413" i="63"/>
  <c r="G413" i="63"/>
  <c r="B414" i="63"/>
  <c r="C414" i="63"/>
  <c r="D414" i="63"/>
  <c r="E414" i="63"/>
  <c r="F414" i="63"/>
  <c r="G414" i="63"/>
  <c r="B415" i="63"/>
  <c r="C415" i="63"/>
  <c r="D415" i="63"/>
  <c r="E415" i="63"/>
  <c r="F415" i="63"/>
  <c r="G415" i="63"/>
  <c r="B416" i="63"/>
  <c r="C416" i="63"/>
  <c r="D416" i="63"/>
  <c r="E416" i="63"/>
  <c r="F416" i="63"/>
  <c r="G416" i="63"/>
  <c r="B417" i="63"/>
  <c r="C417" i="63"/>
  <c r="D417" i="63"/>
  <c r="E417" i="63"/>
  <c r="F417" i="63"/>
  <c r="G417" i="63"/>
  <c r="B418" i="63"/>
  <c r="C418" i="63"/>
  <c r="D418" i="63"/>
  <c r="E418" i="63"/>
  <c r="F418" i="63"/>
  <c r="G418" i="63"/>
  <c r="B419" i="63"/>
  <c r="C419" i="63"/>
  <c r="D419" i="63"/>
  <c r="E419" i="63"/>
  <c r="F419" i="63"/>
  <c r="G419" i="63"/>
  <c r="B420" i="63"/>
  <c r="C420" i="63"/>
  <c r="D420" i="63"/>
  <c r="E420" i="63"/>
  <c r="F420" i="63"/>
  <c r="G420" i="63"/>
  <c r="B421" i="63"/>
  <c r="C421" i="63"/>
  <c r="D421" i="63"/>
  <c r="E421" i="63"/>
  <c r="F421" i="63"/>
  <c r="G421" i="63"/>
  <c r="B422" i="63"/>
  <c r="C422" i="63"/>
  <c r="D422" i="63"/>
  <c r="E422" i="63"/>
  <c r="F422" i="63"/>
  <c r="G422" i="63"/>
  <c r="B423" i="63"/>
  <c r="C423" i="63"/>
  <c r="D423" i="63"/>
  <c r="E423" i="63"/>
  <c r="F423" i="63"/>
  <c r="G423" i="63"/>
  <c r="B424" i="63"/>
  <c r="C424" i="63"/>
  <c r="D424" i="63"/>
  <c r="E424" i="63"/>
  <c r="F424" i="63"/>
  <c r="G424" i="63"/>
  <c r="B425" i="63"/>
  <c r="C425" i="63"/>
  <c r="D425" i="63"/>
  <c r="E425" i="63"/>
  <c r="F425" i="63"/>
  <c r="G425" i="63"/>
  <c r="B426" i="63"/>
  <c r="C426" i="63"/>
  <c r="D426" i="63"/>
  <c r="E426" i="63"/>
  <c r="F426" i="63"/>
  <c r="G426" i="63"/>
  <c r="B427" i="63"/>
  <c r="C427" i="63"/>
  <c r="D427" i="63"/>
  <c r="E427" i="63"/>
  <c r="F427" i="63"/>
  <c r="G427" i="63"/>
  <c r="B428" i="63"/>
  <c r="C428" i="63"/>
  <c r="D428" i="63"/>
  <c r="E428" i="63"/>
  <c r="F428" i="63"/>
  <c r="G428" i="63"/>
  <c r="B429" i="63"/>
  <c r="C429" i="63"/>
  <c r="D429" i="63"/>
  <c r="E429" i="63"/>
  <c r="F429" i="63"/>
  <c r="G429" i="63"/>
  <c r="B430" i="63"/>
  <c r="C430" i="63"/>
  <c r="D430" i="63"/>
  <c r="E430" i="63"/>
  <c r="F430" i="63"/>
  <c r="G430" i="63"/>
  <c r="B431" i="63"/>
  <c r="C431" i="63"/>
  <c r="D431" i="63"/>
  <c r="E431" i="63"/>
  <c r="F431" i="63"/>
  <c r="G431" i="63"/>
  <c r="B432" i="63"/>
  <c r="C432" i="63"/>
  <c r="D432" i="63"/>
  <c r="E432" i="63"/>
  <c r="F432" i="63"/>
  <c r="G432" i="63"/>
  <c r="B433" i="63"/>
  <c r="C433" i="63"/>
  <c r="D433" i="63"/>
  <c r="E433" i="63"/>
  <c r="F433" i="63"/>
  <c r="G433" i="63"/>
  <c r="B434" i="63"/>
  <c r="C434" i="63"/>
  <c r="D434" i="63"/>
  <c r="E434" i="63"/>
  <c r="F434" i="63"/>
  <c r="G434" i="63"/>
  <c r="B435" i="63"/>
  <c r="C435" i="63"/>
  <c r="D435" i="63"/>
  <c r="E435" i="63"/>
  <c r="F435" i="63"/>
  <c r="G435" i="63"/>
  <c r="B436" i="63"/>
  <c r="C436" i="63"/>
  <c r="D436" i="63"/>
  <c r="E436" i="63"/>
  <c r="F436" i="63"/>
  <c r="G436" i="63"/>
  <c r="B437" i="63"/>
  <c r="C437" i="63"/>
  <c r="D437" i="63"/>
  <c r="E437" i="63"/>
  <c r="F437" i="63"/>
  <c r="G437" i="63"/>
  <c r="B438" i="63"/>
  <c r="C438" i="63"/>
  <c r="D438" i="63"/>
  <c r="E438" i="63"/>
  <c r="F438" i="63"/>
  <c r="G438" i="63"/>
  <c r="B439" i="63"/>
  <c r="C439" i="63"/>
  <c r="D439" i="63"/>
  <c r="E439" i="63"/>
  <c r="F439" i="63"/>
  <c r="G439" i="63"/>
  <c r="B440" i="63"/>
  <c r="C440" i="63"/>
  <c r="D440" i="63"/>
  <c r="E440" i="63"/>
  <c r="F440" i="63"/>
  <c r="G440" i="63"/>
  <c r="B441" i="63"/>
  <c r="C441" i="63"/>
  <c r="D441" i="63"/>
  <c r="E441" i="63"/>
  <c r="F441" i="63"/>
  <c r="G441" i="63"/>
  <c r="B442" i="63"/>
  <c r="C442" i="63"/>
  <c r="D442" i="63"/>
  <c r="E442" i="63"/>
  <c r="F442" i="63"/>
  <c r="G442" i="63"/>
  <c r="B443" i="63"/>
  <c r="C443" i="63"/>
  <c r="D443" i="63"/>
  <c r="E443" i="63"/>
  <c r="F443" i="63"/>
  <c r="G443" i="63"/>
  <c r="B444" i="63"/>
  <c r="C444" i="63"/>
  <c r="D444" i="63"/>
  <c r="E444" i="63"/>
  <c r="F444" i="63"/>
  <c r="G444" i="63"/>
  <c r="B445" i="63"/>
  <c r="C445" i="63"/>
  <c r="D445" i="63"/>
  <c r="E445" i="63"/>
  <c r="F445" i="63"/>
  <c r="G445" i="63"/>
  <c r="B446" i="63"/>
  <c r="C446" i="63"/>
  <c r="D446" i="63"/>
  <c r="E446" i="63"/>
  <c r="F446" i="63"/>
  <c r="G446" i="63"/>
  <c r="B447" i="63"/>
  <c r="C447" i="63"/>
  <c r="D447" i="63"/>
  <c r="E447" i="63"/>
  <c r="F447" i="63"/>
  <c r="G447" i="63"/>
  <c r="B448" i="63"/>
  <c r="C448" i="63"/>
  <c r="D448" i="63"/>
  <c r="E448" i="63"/>
  <c r="F448" i="63"/>
  <c r="G448" i="63"/>
  <c r="B449" i="63"/>
  <c r="C449" i="63"/>
  <c r="D449" i="63"/>
  <c r="E449" i="63"/>
  <c r="F449" i="63"/>
  <c r="G449" i="63"/>
  <c r="F1" i="63"/>
  <c r="H1" i="63"/>
  <c r="F2" i="63"/>
  <c r="H2" i="63"/>
  <c r="F3" i="63"/>
  <c r="H3" i="63"/>
  <c r="F4" i="63"/>
  <c r="H4" i="63"/>
  <c r="B8" i="62"/>
  <c r="C8" i="62"/>
  <c r="D8" i="62"/>
  <c r="F8" i="62"/>
  <c r="B9" i="62"/>
  <c r="C9" i="62"/>
  <c r="D9" i="62"/>
  <c r="F9" i="62"/>
  <c r="B10" i="62"/>
  <c r="C10" i="62"/>
  <c r="D10" i="62"/>
  <c r="F10" i="62"/>
  <c r="B11" i="62"/>
  <c r="C11" i="62"/>
  <c r="D11" i="62"/>
  <c r="F11" i="62"/>
  <c r="B12" i="62"/>
  <c r="C12" i="62"/>
  <c r="D12" i="62"/>
  <c r="F12" i="62"/>
  <c r="B13" i="62"/>
  <c r="F13" i="62" s="1"/>
  <c r="C13" i="62"/>
  <c r="D13" i="62"/>
  <c r="B14" i="62"/>
  <c r="C14" i="62"/>
  <c r="D14" i="62"/>
  <c r="F14" i="62"/>
  <c r="B15" i="62"/>
  <c r="C15" i="62"/>
  <c r="D15" i="62"/>
  <c r="F15" i="62"/>
  <c r="B16" i="62"/>
  <c r="F16" i="62" s="1"/>
  <c r="C16" i="62"/>
  <c r="D16" i="62"/>
  <c r="B17" i="62"/>
  <c r="C17" i="62"/>
  <c r="D17" i="62"/>
  <c r="F17" i="62"/>
  <c r="B18" i="62"/>
  <c r="C18" i="62"/>
  <c r="D18" i="62"/>
  <c r="F18" i="62"/>
  <c r="B19" i="62"/>
  <c r="C19" i="62"/>
  <c r="D19" i="62"/>
  <c r="F19" i="62"/>
  <c r="B20" i="62"/>
  <c r="C20" i="62"/>
  <c r="D20" i="62"/>
  <c r="F20" i="62"/>
  <c r="B21" i="62"/>
  <c r="C21" i="62"/>
  <c r="D21" i="62"/>
  <c r="F21" i="62"/>
  <c r="B22" i="62"/>
  <c r="C22" i="62"/>
  <c r="D22" i="62"/>
  <c r="F22" i="62"/>
  <c r="B23" i="62"/>
  <c r="C23" i="62"/>
  <c r="D23" i="62"/>
  <c r="F23" i="62"/>
  <c r="B24" i="62"/>
  <c r="C24" i="62"/>
  <c r="D24" i="62"/>
  <c r="F24" i="62"/>
  <c r="B25" i="62"/>
  <c r="C25" i="62"/>
  <c r="D25" i="62"/>
  <c r="F25" i="62"/>
  <c r="B26" i="62"/>
  <c r="C26" i="62"/>
  <c r="D26" i="62"/>
  <c r="F26" i="62"/>
  <c r="B27" i="62"/>
  <c r="C27" i="62"/>
  <c r="D27" i="62"/>
  <c r="F27" i="62"/>
  <c r="B28" i="62"/>
  <c r="C28" i="62"/>
  <c r="D28" i="62"/>
  <c r="F28" i="62"/>
  <c r="B29" i="62"/>
  <c r="C29" i="62"/>
  <c r="D29" i="62"/>
  <c r="F29" i="62"/>
  <c r="B30" i="62"/>
  <c r="C30" i="62"/>
  <c r="D30" i="62"/>
  <c r="F30" i="62"/>
  <c r="B31" i="62"/>
  <c r="C31" i="62"/>
  <c r="D31" i="62"/>
  <c r="F31" i="62"/>
  <c r="B32" i="62"/>
  <c r="C32" i="62"/>
  <c r="D32" i="62"/>
  <c r="F32" i="62"/>
  <c r="B33" i="62"/>
  <c r="C33" i="62"/>
  <c r="D33" i="62"/>
  <c r="F33" i="62"/>
  <c r="B34" i="62"/>
  <c r="C34" i="62"/>
  <c r="D34" i="62"/>
  <c r="F34" i="62"/>
  <c r="B35" i="62"/>
  <c r="C35" i="62"/>
  <c r="D35" i="62"/>
  <c r="F35" i="62"/>
  <c r="B36" i="62"/>
  <c r="C36" i="62"/>
  <c r="D36" i="62"/>
  <c r="F36" i="62"/>
  <c r="B37" i="62"/>
  <c r="C37" i="62"/>
  <c r="D37" i="62"/>
  <c r="F37" i="62"/>
  <c r="B38" i="62"/>
  <c r="C38" i="62"/>
  <c r="D38" i="62"/>
  <c r="F38" i="62"/>
  <c r="B39" i="62"/>
  <c r="C39" i="62"/>
  <c r="D39" i="62"/>
  <c r="F39" i="62"/>
  <c r="B40" i="62"/>
  <c r="C40" i="62"/>
  <c r="D40" i="62"/>
  <c r="F40" i="62"/>
  <c r="B41" i="62"/>
  <c r="C41" i="62"/>
  <c r="D41" i="62"/>
  <c r="F41" i="62"/>
  <c r="B42" i="62"/>
  <c r="C42" i="62"/>
  <c r="D42" i="62"/>
  <c r="F42" i="62"/>
  <c r="B43" i="62"/>
  <c r="C43" i="62"/>
  <c r="D43" i="62"/>
  <c r="F43" i="62"/>
  <c r="B44" i="62"/>
  <c r="C44" i="62"/>
  <c r="D44" i="62"/>
  <c r="F44" i="62"/>
  <c r="B45" i="62"/>
  <c r="C45" i="62"/>
  <c r="D45" i="62"/>
  <c r="F45" i="62"/>
  <c r="B46" i="62"/>
  <c r="C46" i="62"/>
  <c r="D46" i="62"/>
  <c r="F46" i="62"/>
  <c r="B47" i="62"/>
  <c r="C47" i="62"/>
  <c r="D47" i="62"/>
  <c r="F47" i="62"/>
  <c r="B48" i="62"/>
  <c r="C48" i="62"/>
  <c r="D48" i="62"/>
  <c r="F48" i="62"/>
  <c r="B49" i="62"/>
  <c r="C49" i="62"/>
  <c r="D49" i="62"/>
  <c r="F49" i="62"/>
  <c r="B50" i="62"/>
  <c r="C50" i="62"/>
  <c r="D50" i="62"/>
  <c r="F50" i="62"/>
  <c r="B51" i="62"/>
  <c r="C51" i="62"/>
  <c r="D51" i="62"/>
  <c r="F51" i="62"/>
  <c r="B52" i="62"/>
  <c r="C52" i="62"/>
  <c r="D52" i="62"/>
  <c r="F52" i="62"/>
  <c r="B53" i="62"/>
  <c r="C53" i="62"/>
  <c r="D53" i="62"/>
  <c r="F53" i="62"/>
  <c r="B54" i="62"/>
  <c r="C54" i="62"/>
  <c r="D54" i="62"/>
  <c r="F54" i="62"/>
  <c r="B55" i="62"/>
  <c r="C55" i="62"/>
  <c r="D55" i="62"/>
  <c r="F55" i="62"/>
  <c r="B56" i="62"/>
  <c r="C56" i="62"/>
  <c r="D56" i="62"/>
  <c r="F56" i="62"/>
  <c r="B57" i="62"/>
  <c r="C57" i="62"/>
  <c r="D57" i="62"/>
  <c r="F57" i="62"/>
  <c r="B58" i="62"/>
  <c r="C58" i="62"/>
  <c r="D58" i="62"/>
  <c r="F58" i="62"/>
  <c r="B59" i="62"/>
  <c r="C59" i="62"/>
  <c r="D59" i="62"/>
  <c r="F59" i="62"/>
  <c r="B60" i="62"/>
  <c r="C60" i="62"/>
  <c r="D60" i="62"/>
  <c r="F60" i="62"/>
  <c r="B61" i="62"/>
  <c r="C61" i="62"/>
  <c r="D61" i="62"/>
  <c r="F61" i="62"/>
  <c r="B62" i="62"/>
  <c r="C62" i="62"/>
  <c r="D62" i="62"/>
  <c r="F62" i="62"/>
  <c r="B63" i="62"/>
  <c r="C63" i="62"/>
  <c r="D63" i="62"/>
  <c r="F63" i="62"/>
  <c r="B64" i="62"/>
  <c r="C64" i="62"/>
  <c r="D64" i="62"/>
  <c r="F64" i="62"/>
  <c r="B65" i="62"/>
  <c r="C65" i="62"/>
  <c r="D65" i="62"/>
  <c r="F65" i="62"/>
  <c r="B66" i="62"/>
  <c r="C66" i="62"/>
  <c r="D66" i="62"/>
  <c r="F66" i="62"/>
  <c r="B67" i="62"/>
  <c r="C67" i="62"/>
  <c r="D67" i="62"/>
  <c r="F67" i="62"/>
  <c r="B68" i="62"/>
  <c r="C68" i="62"/>
  <c r="D68" i="62"/>
  <c r="F68" i="62"/>
  <c r="B69" i="62"/>
  <c r="C69" i="62"/>
  <c r="D69" i="62"/>
  <c r="F69" i="62"/>
  <c r="B70" i="62"/>
  <c r="C70" i="62"/>
  <c r="D70" i="62"/>
  <c r="F70" i="62"/>
  <c r="B71" i="62"/>
  <c r="C71" i="62"/>
  <c r="D71" i="62"/>
  <c r="F71" i="62"/>
  <c r="B72" i="62"/>
  <c r="C72" i="62"/>
  <c r="D72" i="62"/>
  <c r="F72" i="62"/>
  <c r="B73" i="62"/>
  <c r="C73" i="62"/>
  <c r="D73" i="62"/>
  <c r="F73" i="62"/>
  <c r="B74" i="62"/>
  <c r="C74" i="62"/>
  <c r="D74" i="62"/>
  <c r="F74" i="62"/>
  <c r="B75" i="62"/>
  <c r="C75" i="62"/>
  <c r="D75" i="62"/>
  <c r="F75" i="62"/>
  <c r="B76" i="62"/>
  <c r="C76" i="62"/>
  <c r="D76" i="62"/>
  <c r="F76" i="62"/>
  <c r="B77" i="62"/>
  <c r="C77" i="62"/>
  <c r="D77" i="62"/>
  <c r="F77" i="62"/>
  <c r="B78" i="62"/>
  <c r="C78" i="62"/>
  <c r="D78" i="62"/>
  <c r="F78" i="62"/>
  <c r="B79" i="62"/>
  <c r="C79" i="62"/>
  <c r="D79" i="62"/>
  <c r="F79" i="62"/>
  <c r="B80" i="62"/>
  <c r="C80" i="62"/>
  <c r="D80" i="62"/>
  <c r="F80" i="62"/>
  <c r="B81" i="62"/>
  <c r="C81" i="62"/>
  <c r="D81" i="62"/>
  <c r="F81" i="62"/>
  <c r="B82" i="62"/>
  <c r="C82" i="62"/>
  <c r="D82" i="62"/>
  <c r="F82" i="62"/>
  <c r="B83" i="62"/>
  <c r="C83" i="62"/>
  <c r="D83" i="62"/>
  <c r="F83" i="62"/>
  <c r="B84" i="62"/>
  <c r="C84" i="62"/>
  <c r="D84" i="62"/>
  <c r="F84" i="62"/>
  <c r="B85" i="62"/>
  <c r="C85" i="62"/>
  <c r="D85" i="62"/>
  <c r="F85" i="62"/>
  <c r="B86" i="62"/>
  <c r="C86" i="62"/>
  <c r="D86" i="62"/>
  <c r="F86" i="62"/>
  <c r="B87" i="62"/>
  <c r="C87" i="62"/>
  <c r="D87" i="62"/>
  <c r="F87" i="62"/>
  <c r="B88" i="62"/>
  <c r="C88" i="62"/>
  <c r="D88" i="62"/>
  <c r="F88" i="62"/>
  <c r="B89" i="62"/>
  <c r="C89" i="62"/>
  <c r="D89" i="62"/>
  <c r="F89" i="62"/>
  <c r="B90" i="62"/>
  <c r="C90" i="62"/>
  <c r="D90" i="62"/>
  <c r="F90" i="62"/>
  <c r="B91" i="62"/>
  <c r="C91" i="62"/>
  <c r="D91" i="62"/>
  <c r="F91" i="62"/>
  <c r="B92" i="62"/>
  <c r="C92" i="62"/>
  <c r="D92" i="62"/>
  <c r="F92" i="62"/>
  <c r="B93" i="62"/>
  <c r="C93" i="62"/>
  <c r="D93" i="62"/>
  <c r="F93" i="62"/>
  <c r="B94" i="62"/>
  <c r="C94" i="62"/>
  <c r="D94" i="62"/>
  <c r="F94" i="62"/>
  <c r="B95" i="62"/>
  <c r="C95" i="62"/>
  <c r="D95" i="62"/>
  <c r="F95" i="62"/>
  <c r="B96" i="62"/>
  <c r="C96" i="62"/>
  <c r="D96" i="62"/>
  <c r="F96" i="62"/>
  <c r="B97" i="62"/>
  <c r="C97" i="62"/>
  <c r="D97" i="62"/>
  <c r="F97" i="62"/>
  <c r="B98" i="62"/>
  <c r="C98" i="62"/>
  <c r="D98" i="62"/>
  <c r="F98" i="62"/>
  <c r="B99" i="62"/>
  <c r="C99" i="62"/>
  <c r="D99" i="62"/>
  <c r="F99" i="62"/>
  <c r="B100" i="62"/>
  <c r="C100" i="62"/>
  <c r="D100" i="62"/>
  <c r="F100" i="62"/>
  <c r="B101" i="62"/>
  <c r="C101" i="62"/>
  <c r="D101" i="62"/>
  <c r="F101" i="62"/>
  <c r="B102" i="62"/>
  <c r="C102" i="62"/>
  <c r="D102" i="62"/>
  <c r="F102" i="62"/>
  <c r="B103" i="62"/>
  <c r="C103" i="62"/>
  <c r="D103" i="62"/>
  <c r="F103" i="62"/>
  <c r="B104" i="62"/>
  <c r="C104" i="62"/>
  <c r="D104" i="62"/>
  <c r="F104" i="62"/>
  <c r="B105" i="62"/>
  <c r="C105" i="62"/>
  <c r="D105" i="62"/>
  <c r="F105" i="62"/>
  <c r="B106" i="62"/>
  <c r="C106" i="62"/>
  <c r="D106" i="62"/>
  <c r="F106" i="62"/>
  <c r="B107" i="62"/>
  <c r="C107" i="62"/>
  <c r="D107" i="62"/>
  <c r="F107" i="62"/>
  <c r="B108" i="62"/>
  <c r="C108" i="62"/>
  <c r="D108" i="62"/>
  <c r="F108" i="62"/>
  <c r="B109" i="62"/>
  <c r="C109" i="62"/>
  <c r="D109" i="62"/>
  <c r="F109" i="62"/>
  <c r="B110" i="62"/>
  <c r="C110" i="62"/>
  <c r="D110" i="62"/>
  <c r="F110" i="62"/>
  <c r="B111" i="62"/>
  <c r="C111" i="62"/>
  <c r="D111" i="62"/>
  <c r="F111" i="62"/>
  <c r="B112" i="62"/>
  <c r="C112" i="62"/>
  <c r="D112" i="62"/>
  <c r="F112" i="62"/>
  <c r="B113" i="62"/>
  <c r="C113" i="62"/>
  <c r="D113" i="62"/>
  <c r="F113" i="62"/>
  <c r="B114" i="62"/>
  <c r="C114" i="62"/>
  <c r="D114" i="62"/>
  <c r="F114" i="62"/>
  <c r="B115" i="62"/>
  <c r="C115" i="62"/>
  <c r="D115" i="62"/>
  <c r="F115" i="62"/>
  <c r="B116" i="62"/>
  <c r="C116" i="62"/>
  <c r="D116" i="62"/>
  <c r="F116" i="62"/>
  <c r="B117" i="62"/>
  <c r="C117" i="62"/>
  <c r="D117" i="62"/>
  <c r="F117" i="62"/>
  <c r="B118" i="62"/>
  <c r="C118" i="62"/>
  <c r="D118" i="62"/>
  <c r="F118" i="62"/>
  <c r="B119" i="62"/>
  <c r="C119" i="62"/>
  <c r="D119" i="62"/>
  <c r="F119" i="62"/>
  <c r="B120" i="62"/>
  <c r="C120" i="62"/>
  <c r="D120" i="62"/>
  <c r="F120" i="62"/>
  <c r="B121" i="62"/>
  <c r="C121" i="62"/>
  <c r="D121" i="62"/>
  <c r="F121" i="62"/>
  <c r="B122" i="62"/>
  <c r="C122" i="62"/>
  <c r="D122" i="62"/>
  <c r="F122" i="62"/>
  <c r="B123" i="62"/>
  <c r="C123" i="62"/>
  <c r="D123" i="62"/>
  <c r="F123" i="62"/>
  <c r="B124" i="62"/>
  <c r="C124" i="62"/>
  <c r="D124" i="62"/>
  <c r="F124" i="62"/>
  <c r="B125" i="62"/>
  <c r="C125" i="62"/>
  <c r="D125" i="62"/>
  <c r="F125" i="62"/>
  <c r="B126" i="62"/>
  <c r="C126" i="62"/>
  <c r="D126" i="62"/>
  <c r="F126" i="62"/>
  <c r="B127" i="62"/>
  <c r="C127" i="62"/>
  <c r="D127" i="62"/>
  <c r="F127" i="62"/>
  <c r="B128" i="62"/>
  <c r="C128" i="62"/>
  <c r="D128" i="62"/>
  <c r="F128" i="62"/>
  <c r="B129" i="62"/>
  <c r="C129" i="62"/>
  <c r="D129" i="62"/>
  <c r="F129" i="62"/>
  <c r="B130" i="62"/>
  <c r="C130" i="62"/>
  <c r="D130" i="62"/>
  <c r="F130" i="62"/>
  <c r="B131" i="62"/>
  <c r="C131" i="62"/>
  <c r="D131" i="62"/>
  <c r="F131" i="62"/>
  <c r="B132" i="62"/>
  <c r="C132" i="62"/>
  <c r="D132" i="62"/>
  <c r="F132" i="62"/>
  <c r="B133" i="62"/>
  <c r="C133" i="62"/>
  <c r="D133" i="62"/>
  <c r="F133" i="62"/>
  <c r="B134" i="62"/>
  <c r="C134" i="62"/>
  <c r="D134" i="62"/>
  <c r="F134" i="62"/>
  <c r="B135" i="62"/>
  <c r="C135" i="62"/>
  <c r="D135" i="62"/>
  <c r="F135" i="62"/>
  <c r="B136" i="62"/>
  <c r="C136" i="62"/>
  <c r="D136" i="62"/>
  <c r="F136" i="62"/>
  <c r="B137" i="62"/>
  <c r="C137" i="62"/>
  <c r="D137" i="62"/>
  <c r="F137" i="62"/>
  <c r="B138" i="62"/>
  <c r="C138" i="62"/>
  <c r="D138" i="62"/>
  <c r="F138" i="62"/>
  <c r="B139" i="62"/>
  <c r="C139" i="62"/>
  <c r="D139" i="62"/>
  <c r="F139" i="62"/>
  <c r="B140" i="62"/>
  <c r="C140" i="62"/>
  <c r="D140" i="62"/>
  <c r="F140" i="62"/>
  <c r="B141" i="62"/>
  <c r="C141" i="62"/>
  <c r="D141" i="62"/>
  <c r="F141" i="62"/>
  <c r="B142" i="62"/>
  <c r="C142" i="62"/>
  <c r="D142" i="62"/>
  <c r="F142" i="62"/>
  <c r="B143" i="62"/>
  <c r="C143" i="62"/>
  <c r="D143" i="62"/>
  <c r="F143" i="62"/>
  <c r="B144" i="62"/>
  <c r="C144" i="62"/>
  <c r="D144" i="62"/>
  <c r="F144" i="62"/>
  <c r="B145" i="62"/>
  <c r="C145" i="62"/>
  <c r="D145" i="62"/>
  <c r="F145" i="62"/>
  <c r="B146" i="62"/>
  <c r="C146" i="62"/>
  <c r="D146" i="62"/>
  <c r="F146" i="62"/>
  <c r="B147" i="62"/>
  <c r="C147" i="62"/>
  <c r="D147" i="62"/>
  <c r="F147" i="62"/>
  <c r="B148" i="62"/>
  <c r="C148" i="62"/>
  <c r="D148" i="62"/>
  <c r="F148" i="62"/>
  <c r="B149" i="62"/>
  <c r="C149" i="62"/>
  <c r="D149" i="62"/>
  <c r="F149" i="62"/>
  <c r="B150" i="62"/>
  <c r="C150" i="62"/>
  <c r="D150" i="62"/>
  <c r="F150" i="62"/>
  <c r="B151" i="62"/>
  <c r="C151" i="62"/>
  <c r="D151" i="62"/>
  <c r="F151" i="62"/>
  <c r="B152" i="62"/>
  <c r="C152" i="62"/>
  <c r="D152" i="62"/>
  <c r="F152" i="62"/>
  <c r="B153" i="62"/>
  <c r="C153" i="62"/>
  <c r="D153" i="62"/>
  <c r="F153" i="62"/>
  <c r="B154" i="62"/>
  <c r="C154" i="62"/>
  <c r="D154" i="62"/>
  <c r="F154" i="62"/>
  <c r="B155" i="62"/>
  <c r="C155" i="62"/>
  <c r="D155" i="62"/>
  <c r="F155" i="62"/>
  <c r="B156" i="62"/>
  <c r="C156" i="62"/>
  <c r="D156" i="62"/>
  <c r="F156" i="62"/>
  <c r="B157" i="62"/>
  <c r="C157" i="62"/>
  <c r="D157" i="62"/>
  <c r="F157" i="62"/>
  <c r="B158" i="62"/>
  <c r="C158" i="62"/>
  <c r="D158" i="62"/>
  <c r="F158" i="62"/>
  <c r="B159" i="62"/>
  <c r="C159" i="62"/>
  <c r="D159" i="62"/>
  <c r="F159" i="62"/>
  <c r="B160" i="62"/>
  <c r="C160" i="62"/>
  <c r="D160" i="62"/>
  <c r="F160" i="62"/>
  <c r="B161" i="62"/>
  <c r="C161" i="62"/>
  <c r="D161" i="62"/>
  <c r="F161" i="62"/>
  <c r="B162" i="62"/>
  <c r="C162" i="62"/>
  <c r="D162" i="62"/>
  <c r="F162" i="62"/>
  <c r="B163" i="62"/>
  <c r="C163" i="62"/>
  <c r="D163" i="62"/>
  <c r="F163" i="62"/>
  <c r="B164" i="62"/>
  <c r="C164" i="62"/>
  <c r="D164" i="62"/>
  <c r="F164" i="62"/>
  <c r="B165" i="62"/>
  <c r="C165" i="62"/>
  <c r="D165" i="62"/>
  <c r="F165" i="62"/>
  <c r="B166" i="62"/>
  <c r="C166" i="62"/>
  <c r="D166" i="62"/>
  <c r="F166" i="62"/>
  <c r="B167" i="62"/>
  <c r="C167" i="62"/>
  <c r="D167" i="62"/>
  <c r="F167" i="62"/>
  <c r="B168" i="62"/>
  <c r="C168" i="62"/>
  <c r="D168" i="62"/>
  <c r="F168" i="62"/>
  <c r="B169" i="62"/>
  <c r="C169" i="62"/>
  <c r="D169" i="62"/>
  <c r="F169" i="62"/>
  <c r="B170" i="62"/>
  <c r="C170" i="62"/>
  <c r="D170" i="62"/>
  <c r="F170" i="62"/>
  <c r="B171" i="62"/>
  <c r="C171" i="62"/>
  <c r="D171" i="62"/>
  <c r="F171" i="62"/>
  <c r="B172" i="62"/>
  <c r="C172" i="62"/>
  <c r="D172" i="62"/>
  <c r="F172" i="62"/>
  <c r="B173" i="62"/>
  <c r="C173" i="62"/>
  <c r="D173" i="62"/>
  <c r="F173" i="62"/>
  <c r="B174" i="62"/>
  <c r="C174" i="62"/>
  <c r="D174" i="62"/>
  <c r="F174" i="62"/>
  <c r="B175" i="62"/>
  <c r="C175" i="62"/>
  <c r="D175" i="62"/>
  <c r="F175" i="62"/>
  <c r="B176" i="62"/>
  <c r="C176" i="62"/>
  <c r="D176" i="62"/>
  <c r="F176" i="62"/>
  <c r="B177" i="62"/>
  <c r="C177" i="62"/>
  <c r="D177" i="62"/>
  <c r="F177" i="62"/>
  <c r="B178" i="62"/>
  <c r="C178" i="62"/>
  <c r="D178" i="62"/>
  <c r="F178" i="62"/>
  <c r="B179" i="62"/>
  <c r="C179" i="62"/>
  <c r="D179" i="62"/>
  <c r="F179" i="62"/>
  <c r="B180" i="62"/>
  <c r="C180" i="62"/>
  <c r="D180" i="62"/>
  <c r="F180" i="62"/>
  <c r="B181" i="62"/>
  <c r="C181" i="62"/>
  <c r="D181" i="62"/>
  <c r="F181" i="62"/>
  <c r="B182" i="62"/>
  <c r="C182" i="62"/>
  <c r="D182" i="62"/>
  <c r="F182" i="62"/>
  <c r="B183" i="62"/>
  <c r="C183" i="62"/>
  <c r="D183" i="62"/>
  <c r="F183" i="62"/>
  <c r="B184" i="62"/>
  <c r="C184" i="62"/>
  <c r="D184" i="62"/>
  <c r="F184" i="62"/>
  <c r="B185" i="62"/>
  <c r="C185" i="62"/>
  <c r="D185" i="62"/>
  <c r="F185" i="62"/>
  <c r="B186" i="62"/>
  <c r="C186" i="62"/>
  <c r="D186" i="62"/>
  <c r="F186" i="62"/>
  <c r="B187" i="62"/>
  <c r="C187" i="62"/>
  <c r="D187" i="62"/>
  <c r="F187" i="62"/>
  <c r="B188" i="62"/>
  <c r="C188" i="62"/>
  <c r="D188" i="62"/>
  <c r="F188" i="62"/>
  <c r="B189" i="62"/>
  <c r="C189" i="62"/>
  <c r="D189" i="62"/>
  <c r="F189" i="62"/>
  <c r="B190" i="62"/>
  <c r="C190" i="62"/>
  <c r="D190" i="62"/>
  <c r="F190" i="62"/>
  <c r="B191" i="62"/>
  <c r="C191" i="62"/>
  <c r="D191" i="62"/>
  <c r="F191" i="62"/>
  <c r="B192" i="62"/>
  <c r="C192" i="62"/>
  <c r="D192" i="62"/>
  <c r="F192" i="62"/>
  <c r="B193" i="62"/>
  <c r="C193" i="62"/>
  <c r="D193" i="62"/>
  <c r="F193" i="62"/>
  <c r="B194" i="62"/>
  <c r="C194" i="62"/>
  <c r="D194" i="62"/>
  <c r="F194" i="62"/>
  <c r="B195" i="62"/>
  <c r="C195" i="62"/>
  <c r="D195" i="62"/>
  <c r="F195" i="62"/>
  <c r="B196" i="62"/>
  <c r="C196" i="62"/>
  <c r="D196" i="62"/>
  <c r="F196" i="62"/>
  <c r="B197" i="62"/>
  <c r="C197" i="62"/>
  <c r="D197" i="62"/>
  <c r="F197" i="62"/>
  <c r="B198" i="62"/>
  <c r="C198" i="62"/>
  <c r="D198" i="62"/>
  <c r="F198" i="62"/>
  <c r="B199" i="62"/>
  <c r="C199" i="62"/>
  <c r="D199" i="62"/>
  <c r="F199" i="62"/>
  <c r="B200" i="62"/>
  <c r="C200" i="62"/>
  <c r="D200" i="62"/>
  <c r="F200" i="62"/>
  <c r="B201" i="62"/>
  <c r="C201" i="62"/>
  <c r="D201" i="62"/>
  <c r="F201" i="62"/>
  <c r="B202" i="62"/>
  <c r="C202" i="62"/>
  <c r="D202" i="62"/>
  <c r="F202" i="62"/>
  <c r="B203" i="62"/>
  <c r="C203" i="62"/>
  <c r="D203" i="62"/>
  <c r="F203" i="62"/>
  <c r="B204" i="62"/>
  <c r="C204" i="62"/>
  <c r="D204" i="62"/>
  <c r="F204" i="62"/>
  <c r="B205" i="62"/>
  <c r="C205" i="62"/>
  <c r="D205" i="62"/>
  <c r="F205" i="62"/>
  <c r="B206" i="62"/>
  <c r="C206" i="62"/>
  <c r="D206" i="62"/>
  <c r="F206" i="62"/>
  <c r="B207" i="62"/>
  <c r="C207" i="62"/>
  <c r="D207" i="62"/>
  <c r="F207" i="62"/>
  <c r="B208" i="62"/>
  <c r="C208" i="62"/>
  <c r="D208" i="62"/>
  <c r="F208" i="62"/>
  <c r="B209" i="62"/>
  <c r="C209" i="62"/>
  <c r="D209" i="62"/>
  <c r="F209" i="62"/>
  <c r="B210" i="62"/>
  <c r="C210" i="62"/>
  <c r="D210" i="62"/>
  <c r="F210" i="62"/>
  <c r="B211" i="62"/>
  <c r="C211" i="62"/>
  <c r="D211" i="62"/>
  <c r="F211" i="62"/>
  <c r="B212" i="62"/>
  <c r="C212" i="62"/>
  <c r="D212" i="62"/>
  <c r="F212" i="62"/>
  <c r="B213" i="62"/>
  <c r="C213" i="62"/>
  <c r="D213" i="62"/>
  <c r="F213" i="62"/>
  <c r="B214" i="62"/>
  <c r="C214" i="62"/>
  <c r="D214" i="62"/>
  <c r="F214" i="62"/>
  <c r="B215" i="62"/>
  <c r="C215" i="62"/>
  <c r="D215" i="62"/>
  <c r="F215" i="62"/>
  <c r="B216" i="62"/>
  <c r="C216" i="62"/>
  <c r="D216" i="62"/>
  <c r="F216" i="62"/>
  <c r="B217" i="62"/>
  <c r="C217" i="62"/>
  <c r="D217" i="62"/>
  <c r="F217" i="62"/>
  <c r="B218" i="62"/>
  <c r="C218" i="62"/>
  <c r="D218" i="62"/>
  <c r="F218" i="62"/>
  <c r="B219" i="62"/>
  <c r="C219" i="62"/>
  <c r="D219" i="62"/>
  <c r="F219" i="62"/>
  <c r="B220" i="62"/>
  <c r="C220" i="62"/>
  <c r="D220" i="62"/>
  <c r="F220" i="62"/>
  <c r="B221" i="62"/>
  <c r="C221" i="62"/>
  <c r="D221" i="62"/>
  <c r="F221" i="62"/>
  <c r="B222" i="62"/>
  <c r="C222" i="62"/>
  <c r="D222" i="62"/>
  <c r="F222" i="62"/>
  <c r="B223" i="62"/>
  <c r="C223" i="62"/>
  <c r="D223" i="62"/>
  <c r="F223" i="62"/>
  <c r="B224" i="62"/>
  <c r="C224" i="62"/>
  <c r="D224" i="62"/>
  <c r="F224" i="62"/>
  <c r="B225" i="62"/>
  <c r="C225" i="62"/>
  <c r="D225" i="62"/>
  <c r="F225" i="62"/>
  <c r="B226" i="62"/>
  <c r="C226" i="62"/>
  <c r="D226" i="62"/>
  <c r="F226" i="62"/>
  <c r="B227" i="62"/>
  <c r="C227" i="62"/>
  <c r="D227" i="62"/>
  <c r="F227" i="62"/>
  <c r="B228" i="62"/>
  <c r="C228" i="62"/>
  <c r="D228" i="62"/>
  <c r="F228" i="62"/>
  <c r="B229" i="62"/>
  <c r="C229" i="62"/>
  <c r="D229" i="62"/>
  <c r="F229" i="62"/>
  <c r="B230" i="62"/>
  <c r="C230" i="62"/>
  <c r="D230" i="62"/>
  <c r="F230" i="62"/>
  <c r="B231" i="62"/>
  <c r="C231" i="62"/>
  <c r="D231" i="62"/>
  <c r="F231" i="62"/>
  <c r="B232" i="62"/>
  <c r="C232" i="62"/>
  <c r="D232" i="62"/>
  <c r="F232" i="62"/>
  <c r="B233" i="62"/>
  <c r="C233" i="62"/>
  <c r="D233" i="62"/>
  <c r="F233" i="62"/>
  <c r="B234" i="62"/>
  <c r="C234" i="62"/>
  <c r="D234" i="62"/>
  <c r="F234" i="62"/>
  <c r="B235" i="62"/>
  <c r="C235" i="62"/>
  <c r="D235" i="62"/>
  <c r="F235" i="62"/>
  <c r="B236" i="62"/>
  <c r="C236" i="62"/>
  <c r="D236" i="62"/>
  <c r="F236" i="62"/>
  <c r="B237" i="62"/>
  <c r="C237" i="62"/>
  <c r="D237" i="62"/>
  <c r="F237" i="62"/>
  <c r="B238" i="62"/>
  <c r="C238" i="62"/>
  <c r="D238" i="62"/>
  <c r="F238" i="62"/>
  <c r="B239" i="62"/>
  <c r="C239" i="62"/>
  <c r="D239" i="62"/>
  <c r="F239" i="62"/>
  <c r="B240" i="62"/>
  <c r="C240" i="62"/>
  <c r="D240" i="62"/>
  <c r="F240" i="62"/>
  <c r="B241" i="62"/>
  <c r="C241" i="62"/>
  <c r="D241" i="62"/>
  <c r="F241" i="62"/>
  <c r="B242" i="62"/>
  <c r="C242" i="62"/>
  <c r="D242" i="62"/>
  <c r="F242" i="62"/>
  <c r="B243" i="62"/>
  <c r="C243" i="62"/>
  <c r="D243" i="62"/>
  <c r="F243" i="62"/>
  <c r="B244" i="62"/>
  <c r="C244" i="62"/>
  <c r="D244" i="62"/>
  <c r="F244" i="62"/>
  <c r="B245" i="62"/>
  <c r="C245" i="62"/>
  <c r="D245" i="62"/>
  <c r="F245" i="62"/>
  <c r="B246" i="62"/>
  <c r="C246" i="62"/>
  <c r="D246" i="62"/>
  <c r="F246" i="62"/>
  <c r="B247" i="62"/>
  <c r="C247" i="62"/>
  <c r="D247" i="62"/>
  <c r="F247" i="62"/>
  <c r="B248" i="62"/>
  <c r="C248" i="62"/>
  <c r="D248" i="62"/>
  <c r="F248" i="62"/>
  <c r="B249" i="62"/>
  <c r="C249" i="62"/>
  <c r="D249" i="62"/>
  <c r="F249" i="62"/>
  <c r="B250" i="62"/>
  <c r="C250" i="62"/>
  <c r="D250" i="62"/>
  <c r="F250" i="62"/>
  <c r="B251" i="62"/>
  <c r="C251" i="62"/>
  <c r="D251" i="62"/>
  <c r="F251" i="62"/>
  <c r="B252" i="62"/>
  <c r="C252" i="62"/>
  <c r="D252" i="62"/>
  <c r="F252" i="62"/>
  <c r="B253" i="62"/>
  <c r="C253" i="62"/>
  <c r="D253" i="62"/>
  <c r="F253" i="62"/>
  <c r="B254" i="62"/>
  <c r="C254" i="62"/>
  <c r="D254" i="62"/>
  <c r="F254" i="62"/>
  <c r="B255" i="62"/>
  <c r="C255" i="62"/>
  <c r="D255" i="62"/>
  <c r="F255" i="62"/>
  <c r="B256" i="62"/>
  <c r="C256" i="62"/>
  <c r="D256" i="62"/>
  <c r="F256" i="62"/>
  <c r="B257" i="62"/>
  <c r="C257" i="62"/>
  <c r="D257" i="62"/>
  <c r="F257" i="62"/>
  <c r="B258" i="62"/>
  <c r="C258" i="62"/>
  <c r="D258" i="62"/>
  <c r="F258" i="62"/>
  <c r="B259" i="62"/>
  <c r="C259" i="62"/>
  <c r="D259" i="62"/>
  <c r="F259" i="62"/>
  <c r="B260" i="62"/>
  <c r="C260" i="62"/>
  <c r="D260" i="62"/>
  <c r="F260" i="62"/>
  <c r="B261" i="62"/>
  <c r="C261" i="62"/>
  <c r="D261" i="62"/>
  <c r="F261" i="62"/>
  <c r="B262" i="62"/>
  <c r="C262" i="62"/>
  <c r="D262" i="62"/>
  <c r="F262" i="62"/>
  <c r="B263" i="62"/>
  <c r="C263" i="62"/>
  <c r="D263" i="62"/>
  <c r="F263" i="62"/>
  <c r="B264" i="62"/>
  <c r="C264" i="62"/>
  <c r="D264" i="62"/>
  <c r="F264" i="62"/>
  <c r="B265" i="62"/>
  <c r="C265" i="62"/>
  <c r="D265" i="62"/>
  <c r="F265" i="62"/>
  <c r="B266" i="62"/>
  <c r="C266" i="62"/>
  <c r="D266" i="62"/>
  <c r="F266" i="62"/>
  <c r="B267" i="62"/>
  <c r="C267" i="62"/>
  <c r="D267" i="62"/>
  <c r="F267" i="62"/>
  <c r="B268" i="62"/>
  <c r="C268" i="62"/>
  <c r="D268" i="62"/>
  <c r="F268" i="62"/>
  <c r="B269" i="62"/>
  <c r="C269" i="62"/>
  <c r="D269" i="62"/>
  <c r="F269" i="62"/>
  <c r="B270" i="62"/>
  <c r="C270" i="62"/>
  <c r="D270" i="62"/>
  <c r="F270" i="62"/>
  <c r="B271" i="62"/>
  <c r="C271" i="62"/>
  <c r="D271" i="62"/>
  <c r="F271" i="62"/>
  <c r="B272" i="62"/>
  <c r="C272" i="62"/>
  <c r="D272" i="62"/>
  <c r="F272" i="62"/>
  <c r="B273" i="62"/>
  <c r="C273" i="62"/>
  <c r="D273" i="62"/>
  <c r="F273" i="62"/>
  <c r="B274" i="62"/>
  <c r="C274" i="62"/>
  <c r="D274" i="62"/>
  <c r="F274" i="62"/>
  <c r="B275" i="62"/>
  <c r="C275" i="62"/>
  <c r="D275" i="62"/>
  <c r="F275" i="62"/>
  <c r="B276" i="62"/>
  <c r="C276" i="62"/>
  <c r="D276" i="62"/>
  <c r="F276" i="62"/>
  <c r="B277" i="62"/>
  <c r="C277" i="62"/>
  <c r="D277" i="62"/>
  <c r="F277" i="62"/>
  <c r="B278" i="62"/>
  <c r="C278" i="62"/>
  <c r="D278" i="62"/>
  <c r="F278" i="62"/>
  <c r="B279" i="62"/>
  <c r="C279" i="62"/>
  <c r="D279" i="62"/>
  <c r="F279" i="62"/>
  <c r="B280" i="62"/>
  <c r="C280" i="62"/>
  <c r="D280" i="62"/>
  <c r="F280" i="62"/>
  <c r="B281" i="62"/>
  <c r="C281" i="62"/>
  <c r="D281" i="62"/>
  <c r="F281" i="62"/>
  <c r="B282" i="62"/>
  <c r="C282" i="62"/>
  <c r="D282" i="62"/>
  <c r="F282" i="62"/>
  <c r="B283" i="62"/>
  <c r="C283" i="62"/>
  <c r="D283" i="62"/>
  <c r="F283" i="62"/>
  <c r="B284" i="62"/>
  <c r="C284" i="62"/>
  <c r="D284" i="62"/>
  <c r="F284" i="62"/>
  <c r="B285" i="62"/>
  <c r="C285" i="62"/>
  <c r="D285" i="62"/>
  <c r="F285" i="62"/>
  <c r="B286" i="62"/>
  <c r="C286" i="62"/>
  <c r="D286" i="62"/>
  <c r="F286" i="62"/>
  <c r="B287" i="62"/>
  <c r="C287" i="62"/>
  <c r="D287" i="62"/>
  <c r="F287" i="62"/>
  <c r="B288" i="62"/>
  <c r="C288" i="62"/>
  <c r="D288" i="62"/>
  <c r="F288" i="62"/>
  <c r="B289" i="62"/>
  <c r="C289" i="62"/>
  <c r="D289" i="62"/>
  <c r="F289" i="62"/>
  <c r="B290" i="62"/>
  <c r="C290" i="62"/>
  <c r="D290" i="62"/>
  <c r="F290" i="62"/>
  <c r="B291" i="62"/>
  <c r="C291" i="62"/>
  <c r="D291" i="62"/>
  <c r="F291" i="62"/>
  <c r="B292" i="62"/>
  <c r="C292" i="62"/>
  <c r="D292" i="62"/>
  <c r="F292" i="62"/>
  <c r="B293" i="62"/>
  <c r="C293" i="62"/>
  <c r="D293" i="62"/>
  <c r="F293" i="62"/>
  <c r="B294" i="62"/>
  <c r="C294" i="62"/>
  <c r="D294" i="62"/>
  <c r="F294" i="62"/>
  <c r="B295" i="62"/>
  <c r="C295" i="62"/>
  <c r="D295" i="62"/>
  <c r="F295" i="62"/>
  <c r="B296" i="62"/>
  <c r="C296" i="62"/>
  <c r="D296" i="62"/>
  <c r="F296" i="62"/>
  <c r="B297" i="62"/>
  <c r="C297" i="62"/>
  <c r="D297" i="62"/>
  <c r="F297" i="62"/>
  <c r="B298" i="62"/>
  <c r="C298" i="62"/>
  <c r="D298" i="62"/>
  <c r="F298" i="62"/>
  <c r="B299" i="62"/>
  <c r="C299" i="62"/>
  <c r="D299" i="62"/>
  <c r="E299" i="62"/>
  <c r="F299" i="62"/>
  <c r="B300" i="62"/>
  <c r="C300" i="62"/>
  <c r="D300" i="62"/>
  <c r="E300" i="62"/>
  <c r="F300" i="62"/>
  <c r="B301" i="62"/>
  <c r="C301" i="62"/>
  <c r="D301" i="62"/>
  <c r="E301" i="62"/>
  <c r="F301" i="62"/>
  <c r="B302" i="62"/>
  <c r="C302" i="62"/>
  <c r="D302" i="62"/>
  <c r="E302" i="62"/>
  <c r="F302" i="62"/>
  <c r="B303" i="62"/>
  <c r="C303" i="62"/>
  <c r="D303" i="62"/>
  <c r="E303" i="62"/>
  <c r="F303" i="62"/>
  <c r="B304" i="62"/>
  <c r="C304" i="62"/>
  <c r="D304" i="62"/>
  <c r="E304" i="62"/>
  <c r="F304" i="62"/>
  <c r="B305" i="62"/>
  <c r="C305" i="62"/>
  <c r="D305" i="62"/>
  <c r="E305" i="62"/>
  <c r="F305" i="62"/>
  <c r="B306" i="62"/>
  <c r="C306" i="62"/>
  <c r="D306" i="62"/>
  <c r="E306" i="62"/>
  <c r="F306" i="62"/>
  <c r="B307" i="62"/>
  <c r="C307" i="62"/>
  <c r="D307" i="62"/>
  <c r="E307" i="62"/>
  <c r="F307" i="62"/>
  <c r="B308" i="62"/>
  <c r="C308" i="62"/>
  <c r="D308" i="62"/>
  <c r="E308" i="62"/>
  <c r="F308" i="62"/>
  <c r="B309" i="62"/>
  <c r="C309" i="62"/>
  <c r="D309" i="62"/>
  <c r="E309" i="62"/>
  <c r="F309" i="62"/>
  <c r="B310" i="62"/>
  <c r="C310" i="62"/>
  <c r="D310" i="62"/>
  <c r="E310" i="62"/>
  <c r="F310" i="62"/>
  <c r="B311" i="62"/>
  <c r="C311" i="62"/>
  <c r="D311" i="62"/>
  <c r="E311" i="62"/>
  <c r="F311" i="62"/>
  <c r="B312" i="62"/>
  <c r="C312" i="62"/>
  <c r="D312" i="62"/>
  <c r="E312" i="62"/>
  <c r="F312" i="62"/>
  <c r="B313" i="62"/>
  <c r="C313" i="62"/>
  <c r="D313" i="62"/>
  <c r="E313" i="62"/>
  <c r="F313" i="62"/>
  <c r="B314" i="62"/>
  <c r="C314" i="62"/>
  <c r="D314" i="62"/>
  <c r="E314" i="62"/>
  <c r="F314" i="62"/>
  <c r="B315" i="62"/>
  <c r="C315" i="62"/>
  <c r="D315" i="62"/>
  <c r="E315" i="62"/>
  <c r="F315" i="62"/>
  <c r="B316" i="62"/>
  <c r="C316" i="62"/>
  <c r="D316" i="62"/>
  <c r="E316" i="62"/>
  <c r="F316" i="62"/>
  <c r="B317" i="62"/>
  <c r="C317" i="62"/>
  <c r="D317" i="62"/>
  <c r="E317" i="62"/>
  <c r="F317" i="62"/>
  <c r="B318" i="62"/>
  <c r="C318" i="62"/>
  <c r="D318" i="62"/>
  <c r="E318" i="62"/>
  <c r="F318" i="62"/>
  <c r="B319" i="62"/>
  <c r="C319" i="62"/>
  <c r="D319" i="62"/>
  <c r="E319" i="62"/>
  <c r="F319" i="62"/>
  <c r="B320" i="62"/>
  <c r="C320" i="62"/>
  <c r="D320" i="62"/>
  <c r="E320" i="62"/>
  <c r="F320" i="62"/>
  <c r="B321" i="62"/>
  <c r="C321" i="62"/>
  <c r="D321" i="62"/>
  <c r="E321" i="62"/>
  <c r="F321" i="62"/>
  <c r="B322" i="62"/>
  <c r="C322" i="62"/>
  <c r="D322" i="62"/>
  <c r="E322" i="62"/>
  <c r="F322" i="62"/>
  <c r="B323" i="62"/>
  <c r="C323" i="62"/>
  <c r="D323" i="62"/>
  <c r="E323" i="62"/>
  <c r="F323" i="62"/>
  <c r="B324" i="62"/>
  <c r="C324" i="62"/>
  <c r="D324" i="62"/>
  <c r="E324" i="62"/>
  <c r="F324" i="62"/>
  <c r="B325" i="62"/>
  <c r="C325" i="62"/>
  <c r="D325" i="62"/>
  <c r="E325" i="62"/>
  <c r="F325" i="62"/>
  <c r="B326" i="62"/>
  <c r="C326" i="62"/>
  <c r="D326" i="62"/>
  <c r="E326" i="62"/>
  <c r="F326" i="62"/>
  <c r="B327" i="62"/>
  <c r="C327" i="62"/>
  <c r="D327" i="62"/>
  <c r="E327" i="62"/>
  <c r="F327" i="62"/>
  <c r="B328" i="62"/>
  <c r="C328" i="62"/>
  <c r="D328" i="62"/>
  <c r="E328" i="62"/>
  <c r="F328" i="62"/>
  <c r="B329" i="62"/>
  <c r="C329" i="62"/>
  <c r="D329" i="62"/>
  <c r="E329" i="62"/>
  <c r="F329" i="62"/>
  <c r="B330" i="62"/>
  <c r="C330" i="62"/>
  <c r="D330" i="62"/>
  <c r="E330" i="62"/>
  <c r="F330" i="62"/>
  <c r="B331" i="62"/>
  <c r="C331" i="62"/>
  <c r="D331" i="62"/>
  <c r="E331" i="62"/>
  <c r="F331" i="62"/>
  <c r="B332" i="62"/>
  <c r="C332" i="62"/>
  <c r="D332" i="62"/>
  <c r="E332" i="62"/>
  <c r="F332" i="62"/>
  <c r="B333" i="62"/>
  <c r="C333" i="62"/>
  <c r="D333" i="62"/>
  <c r="E333" i="62"/>
  <c r="F333" i="62"/>
  <c r="B334" i="62"/>
  <c r="C334" i="62"/>
  <c r="D334" i="62"/>
  <c r="E334" i="62"/>
  <c r="F334" i="62"/>
  <c r="B335" i="62"/>
  <c r="C335" i="62"/>
  <c r="D335" i="62"/>
  <c r="E335" i="62"/>
  <c r="F335" i="62"/>
  <c r="B336" i="62"/>
  <c r="C336" i="62"/>
  <c r="D336" i="62"/>
  <c r="E336" i="62"/>
  <c r="F336" i="62"/>
  <c r="B337" i="62"/>
  <c r="C337" i="62"/>
  <c r="D337" i="62"/>
  <c r="E337" i="62"/>
  <c r="F337" i="62"/>
  <c r="B338" i="62"/>
  <c r="C338" i="62"/>
  <c r="D338" i="62"/>
  <c r="E338" i="62"/>
  <c r="F338" i="62"/>
  <c r="B339" i="62"/>
  <c r="C339" i="62"/>
  <c r="D339" i="62"/>
  <c r="E339" i="62"/>
  <c r="F339" i="62"/>
  <c r="B340" i="62"/>
  <c r="C340" i="62"/>
  <c r="D340" i="62"/>
  <c r="E340" i="62"/>
  <c r="F340" i="62"/>
  <c r="B341" i="62"/>
  <c r="C341" i="62"/>
  <c r="D341" i="62"/>
  <c r="E341" i="62"/>
  <c r="F341" i="62"/>
  <c r="B342" i="62"/>
  <c r="C342" i="62"/>
  <c r="D342" i="62"/>
  <c r="E342" i="62"/>
  <c r="F342" i="62"/>
  <c r="B343" i="62"/>
  <c r="C343" i="62"/>
  <c r="D343" i="62"/>
  <c r="E343" i="62"/>
  <c r="F343" i="62"/>
  <c r="B344" i="62"/>
  <c r="C344" i="62"/>
  <c r="D344" i="62"/>
  <c r="E344" i="62"/>
  <c r="F344" i="62"/>
  <c r="B345" i="62"/>
  <c r="C345" i="62"/>
  <c r="D345" i="62"/>
  <c r="E345" i="62"/>
  <c r="F345" i="62"/>
  <c r="B346" i="62"/>
  <c r="C346" i="62"/>
  <c r="D346" i="62"/>
  <c r="E346" i="62"/>
  <c r="F346" i="62"/>
  <c r="B347" i="62"/>
  <c r="C347" i="62"/>
  <c r="D347" i="62"/>
  <c r="E347" i="62"/>
  <c r="F347" i="62"/>
  <c r="B348" i="62"/>
  <c r="C348" i="62"/>
  <c r="D348" i="62"/>
  <c r="E348" i="62"/>
  <c r="F348" i="62"/>
  <c r="B349" i="62"/>
  <c r="C349" i="62"/>
  <c r="D349" i="62"/>
  <c r="E349" i="62"/>
  <c r="F349" i="62"/>
  <c r="B350" i="62"/>
  <c r="C350" i="62"/>
  <c r="D350" i="62"/>
  <c r="E350" i="62"/>
  <c r="F350" i="62"/>
  <c r="B351" i="62"/>
  <c r="C351" i="62"/>
  <c r="D351" i="62"/>
  <c r="E351" i="62"/>
  <c r="F351" i="62"/>
  <c r="B352" i="62"/>
  <c r="C352" i="62"/>
  <c r="D352" i="62"/>
  <c r="E352" i="62"/>
  <c r="F352" i="62"/>
  <c r="B353" i="62"/>
  <c r="C353" i="62"/>
  <c r="D353" i="62"/>
  <c r="E353" i="62"/>
  <c r="F353" i="62"/>
  <c r="B354" i="62"/>
  <c r="C354" i="62"/>
  <c r="D354" i="62"/>
  <c r="E354" i="62"/>
  <c r="F354" i="62"/>
  <c r="B355" i="62"/>
  <c r="C355" i="62"/>
  <c r="D355" i="62"/>
  <c r="E355" i="62"/>
  <c r="F355" i="62"/>
  <c r="B356" i="62"/>
  <c r="C356" i="62"/>
  <c r="D356" i="62"/>
  <c r="E356" i="62"/>
  <c r="F356" i="62"/>
  <c r="B357" i="62"/>
  <c r="C357" i="62"/>
  <c r="D357" i="62"/>
  <c r="E357" i="62"/>
  <c r="F357" i="62"/>
  <c r="B358" i="62"/>
  <c r="C358" i="62"/>
  <c r="D358" i="62"/>
  <c r="E358" i="62"/>
  <c r="F358" i="62"/>
  <c r="B359" i="62"/>
  <c r="C359" i="62"/>
  <c r="D359" i="62"/>
  <c r="E359" i="62"/>
  <c r="F359" i="62"/>
  <c r="B360" i="62"/>
  <c r="C360" i="62"/>
  <c r="D360" i="62"/>
  <c r="E360" i="62"/>
  <c r="F360" i="62"/>
  <c r="B361" i="62"/>
  <c r="C361" i="62"/>
  <c r="D361" i="62"/>
  <c r="E361" i="62"/>
  <c r="F361" i="62"/>
  <c r="B362" i="62"/>
  <c r="C362" i="62"/>
  <c r="D362" i="62"/>
  <c r="E362" i="62"/>
  <c r="F362" i="62"/>
  <c r="B363" i="62"/>
  <c r="C363" i="62"/>
  <c r="D363" i="62"/>
  <c r="E363" i="62"/>
  <c r="F363" i="62"/>
  <c r="B364" i="62"/>
  <c r="C364" i="62"/>
  <c r="D364" i="62"/>
  <c r="E364" i="62"/>
  <c r="F364" i="62"/>
  <c r="B365" i="62"/>
  <c r="C365" i="62"/>
  <c r="D365" i="62"/>
  <c r="E365" i="62"/>
  <c r="F365" i="62"/>
  <c r="B366" i="62"/>
  <c r="C366" i="62"/>
  <c r="D366" i="62"/>
  <c r="E366" i="62"/>
  <c r="F366" i="62"/>
  <c r="B367" i="62"/>
  <c r="C367" i="62"/>
  <c r="D367" i="62"/>
  <c r="E367" i="62"/>
  <c r="F367" i="62"/>
  <c r="B368" i="62"/>
  <c r="C368" i="62"/>
  <c r="D368" i="62"/>
  <c r="E368" i="62"/>
  <c r="F368" i="62"/>
  <c r="B369" i="62"/>
  <c r="C369" i="62"/>
  <c r="D369" i="62"/>
  <c r="E369" i="62"/>
  <c r="F369" i="62"/>
  <c r="B370" i="62"/>
  <c r="C370" i="62"/>
  <c r="D370" i="62"/>
  <c r="E370" i="62"/>
  <c r="F370" i="62"/>
  <c r="B371" i="62"/>
  <c r="C371" i="62"/>
  <c r="D371" i="62"/>
  <c r="E371" i="62"/>
  <c r="F371" i="62"/>
  <c r="B372" i="62"/>
  <c r="C372" i="62"/>
  <c r="D372" i="62"/>
  <c r="E372" i="62"/>
  <c r="F372" i="62"/>
  <c r="B373" i="62"/>
  <c r="C373" i="62"/>
  <c r="D373" i="62"/>
  <c r="E373" i="62"/>
  <c r="F373" i="62"/>
  <c r="B374" i="62"/>
  <c r="C374" i="62"/>
  <c r="D374" i="62"/>
  <c r="E374" i="62"/>
  <c r="F374" i="62"/>
  <c r="B375" i="62"/>
  <c r="C375" i="62"/>
  <c r="D375" i="62"/>
  <c r="E375" i="62"/>
  <c r="F375" i="62"/>
  <c r="B376" i="62"/>
  <c r="C376" i="62"/>
  <c r="D376" i="62"/>
  <c r="E376" i="62"/>
  <c r="F376" i="62"/>
  <c r="B377" i="62"/>
  <c r="C377" i="62"/>
  <c r="D377" i="62"/>
  <c r="E377" i="62"/>
  <c r="F377" i="62"/>
  <c r="B378" i="62"/>
  <c r="C378" i="62"/>
  <c r="D378" i="62"/>
  <c r="E378" i="62"/>
  <c r="F378" i="62"/>
  <c r="B379" i="62"/>
  <c r="C379" i="62"/>
  <c r="D379" i="62"/>
  <c r="E379" i="62"/>
  <c r="F379" i="62"/>
  <c r="B380" i="62"/>
  <c r="C380" i="62"/>
  <c r="D380" i="62"/>
  <c r="E380" i="62"/>
  <c r="F380" i="62"/>
  <c r="B381" i="62"/>
  <c r="C381" i="62"/>
  <c r="D381" i="62"/>
  <c r="E381" i="62"/>
  <c r="F381" i="62"/>
  <c r="B382" i="62"/>
  <c r="C382" i="62"/>
  <c r="D382" i="62"/>
  <c r="E382" i="62"/>
  <c r="F382" i="62"/>
  <c r="B383" i="62"/>
  <c r="C383" i="62"/>
  <c r="D383" i="62"/>
  <c r="E383" i="62"/>
  <c r="F383" i="62"/>
  <c r="B384" i="62"/>
  <c r="C384" i="62"/>
  <c r="D384" i="62"/>
  <c r="E384" i="62"/>
  <c r="F384" i="62"/>
  <c r="B385" i="62"/>
  <c r="C385" i="62"/>
  <c r="D385" i="62"/>
  <c r="E385" i="62"/>
  <c r="F385" i="62"/>
  <c r="B386" i="62"/>
  <c r="C386" i="62"/>
  <c r="D386" i="62"/>
  <c r="E386" i="62"/>
  <c r="F386" i="62"/>
  <c r="B387" i="62"/>
  <c r="C387" i="62"/>
  <c r="D387" i="62"/>
  <c r="E387" i="62"/>
  <c r="F387" i="62"/>
  <c r="B388" i="62"/>
  <c r="C388" i="62"/>
  <c r="D388" i="62"/>
  <c r="E388" i="62"/>
  <c r="F388" i="62"/>
  <c r="B389" i="62"/>
  <c r="C389" i="62"/>
  <c r="D389" i="62"/>
  <c r="E389" i="62"/>
  <c r="F389" i="62"/>
  <c r="B390" i="62"/>
  <c r="C390" i="62"/>
  <c r="D390" i="62"/>
  <c r="E390" i="62"/>
  <c r="F390" i="62"/>
  <c r="B391" i="62"/>
  <c r="C391" i="62"/>
  <c r="D391" i="62"/>
  <c r="E391" i="62"/>
  <c r="F391" i="62"/>
  <c r="B392" i="62"/>
  <c r="C392" i="62"/>
  <c r="D392" i="62"/>
  <c r="E392" i="62"/>
  <c r="F392" i="62"/>
  <c r="B393" i="62"/>
  <c r="C393" i="62"/>
  <c r="D393" i="62"/>
  <c r="E393" i="62"/>
  <c r="F393" i="62"/>
  <c r="B394" i="62"/>
  <c r="C394" i="62"/>
  <c r="D394" i="62"/>
  <c r="E394" i="62"/>
  <c r="F394" i="62"/>
  <c r="B395" i="62"/>
  <c r="C395" i="62"/>
  <c r="D395" i="62"/>
  <c r="E395" i="62"/>
  <c r="F395" i="62"/>
  <c r="B396" i="62"/>
  <c r="C396" i="62"/>
  <c r="D396" i="62"/>
  <c r="E396" i="62"/>
  <c r="F396" i="62"/>
  <c r="B397" i="62"/>
  <c r="C397" i="62"/>
  <c r="D397" i="62"/>
  <c r="E397" i="62"/>
  <c r="F397" i="62"/>
  <c r="B398" i="62"/>
  <c r="C398" i="62"/>
  <c r="D398" i="62"/>
  <c r="E398" i="62"/>
  <c r="F398" i="62"/>
  <c r="B399" i="62"/>
  <c r="C399" i="62"/>
  <c r="D399" i="62"/>
  <c r="E399" i="62"/>
  <c r="F399" i="62"/>
  <c r="B400" i="62"/>
  <c r="C400" i="62"/>
  <c r="D400" i="62"/>
  <c r="E400" i="62"/>
  <c r="F400" i="62"/>
  <c r="B401" i="62"/>
  <c r="C401" i="62"/>
  <c r="D401" i="62"/>
  <c r="E401" i="62"/>
  <c r="F401" i="62"/>
  <c r="G401" i="62"/>
  <c r="B402" i="62"/>
  <c r="C402" i="62"/>
  <c r="D402" i="62"/>
  <c r="E402" i="62"/>
  <c r="F402" i="62"/>
  <c r="G402" i="62"/>
  <c r="B403" i="62"/>
  <c r="C403" i="62"/>
  <c r="D403" i="62"/>
  <c r="E403" i="62"/>
  <c r="F403" i="62"/>
  <c r="G403" i="62"/>
  <c r="B404" i="62"/>
  <c r="C404" i="62"/>
  <c r="D404" i="62"/>
  <c r="E404" i="62"/>
  <c r="F404" i="62"/>
  <c r="G404" i="62"/>
  <c r="B405" i="62"/>
  <c r="C405" i="62"/>
  <c r="D405" i="62"/>
  <c r="E405" i="62"/>
  <c r="F405" i="62"/>
  <c r="G405" i="62"/>
  <c r="B406" i="62"/>
  <c r="C406" i="62"/>
  <c r="D406" i="62"/>
  <c r="E406" i="62"/>
  <c r="F406" i="62"/>
  <c r="G406" i="62"/>
  <c r="B407" i="62"/>
  <c r="C407" i="62"/>
  <c r="D407" i="62"/>
  <c r="E407" i="62"/>
  <c r="F407" i="62"/>
  <c r="G407" i="62"/>
  <c r="B408" i="62"/>
  <c r="C408" i="62"/>
  <c r="D408" i="62"/>
  <c r="E408" i="62"/>
  <c r="F408" i="62"/>
  <c r="G408" i="62"/>
  <c r="B409" i="62"/>
  <c r="C409" i="62"/>
  <c r="D409" i="62"/>
  <c r="E409" i="62"/>
  <c r="F409" i="62"/>
  <c r="G409" i="62"/>
  <c r="B410" i="62"/>
  <c r="C410" i="62"/>
  <c r="D410" i="62"/>
  <c r="E410" i="62"/>
  <c r="F410" i="62"/>
  <c r="G410" i="62"/>
  <c r="B411" i="62"/>
  <c r="C411" i="62"/>
  <c r="D411" i="62"/>
  <c r="E411" i="62"/>
  <c r="F411" i="62"/>
  <c r="G411" i="62"/>
  <c r="B412" i="62"/>
  <c r="C412" i="62"/>
  <c r="D412" i="62"/>
  <c r="E412" i="62"/>
  <c r="F412" i="62"/>
  <c r="G412" i="62"/>
  <c r="B413" i="62"/>
  <c r="C413" i="62"/>
  <c r="D413" i="62"/>
  <c r="E413" i="62"/>
  <c r="F413" i="62"/>
  <c r="G413" i="62"/>
  <c r="B414" i="62"/>
  <c r="C414" i="62"/>
  <c r="D414" i="62"/>
  <c r="E414" i="62"/>
  <c r="F414" i="62"/>
  <c r="G414" i="62"/>
  <c r="B415" i="62"/>
  <c r="C415" i="62"/>
  <c r="D415" i="62"/>
  <c r="E415" i="62"/>
  <c r="F415" i="62"/>
  <c r="G415" i="62"/>
  <c r="B416" i="62"/>
  <c r="C416" i="62"/>
  <c r="D416" i="62"/>
  <c r="E416" i="62"/>
  <c r="F416" i="62"/>
  <c r="G416" i="62"/>
  <c r="B417" i="62"/>
  <c r="C417" i="62"/>
  <c r="D417" i="62"/>
  <c r="E417" i="62"/>
  <c r="F417" i="62"/>
  <c r="G417" i="62"/>
  <c r="B418" i="62"/>
  <c r="C418" i="62"/>
  <c r="D418" i="62"/>
  <c r="E418" i="62"/>
  <c r="F418" i="62"/>
  <c r="G418" i="62"/>
  <c r="B419" i="62"/>
  <c r="C419" i="62"/>
  <c r="D419" i="62"/>
  <c r="E419" i="62"/>
  <c r="F419" i="62"/>
  <c r="G419" i="62"/>
  <c r="B420" i="62"/>
  <c r="C420" i="62"/>
  <c r="D420" i="62"/>
  <c r="E420" i="62"/>
  <c r="F420" i="62"/>
  <c r="G420" i="62"/>
  <c r="B421" i="62"/>
  <c r="C421" i="62"/>
  <c r="D421" i="62"/>
  <c r="E421" i="62"/>
  <c r="F421" i="62"/>
  <c r="G421" i="62"/>
  <c r="B422" i="62"/>
  <c r="C422" i="62"/>
  <c r="D422" i="62"/>
  <c r="E422" i="62"/>
  <c r="F422" i="62"/>
  <c r="G422" i="62"/>
  <c r="B423" i="62"/>
  <c r="C423" i="62"/>
  <c r="D423" i="62"/>
  <c r="E423" i="62"/>
  <c r="F423" i="62"/>
  <c r="G423" i="62"/>
  <c r="B424" i="62"/>
  <c r="C424" i="62"/>
  <c r="D424" i="62"/>
  <c r="E424" i="62"/>
  <c r="F424" i="62"/>
  <c r="G424" i="62"/>
  <c r="B425" i="62"/>
  <c r="C425" i="62"/>
  <c r="D425" i="62"/>
  <c r="E425" i="62"/>
  <c r="F425" i="62"/>
  <c r="G425" i="62"/>
  <c r="B426" i="62"/>
  <c r="C426" i="62"/>
  <c r="D426" i="62"/>
  <c r="E426" i="62"/>
  <c r="F426" i="62"/>
  <c r="G426" i="62"/>
  <c r="B427" i="62"/>
  <c r="C427" i="62"/>
  <c r="D427" i="62"/>
  <c r="E427" i="62"/>
  <c r="F427" i="62"/>
  <c r="G427" i="62"/>
  <c r="B428" i="62"/>
  <c r="C428" i="62"/>
  <c r="D428" i="62"/>
  <c r="E428" i="62"/>
  <c r="F428" i="62"/>
  <c r="G428" i="62"/>
  <c r="B429" i="62"/>
  <c r="C429" i="62"/>
  <c r="D429" i="62"/>
  <c r="E429" i="62"/>
  <c r="F429" i="62"/>
  <c r="G429" i="62"/>
  <c r="B430" i="62"/>
  <c r="C430" i="62"/>
  <c r="D430" i="62"/>
  <c r="E430" i="62"/>
  <c r="F430" i="62"/>
  <c r="G430" i="62"/>
  <c r="B431" i="62"/>
  <c r="C431" i="62"/>
  <c r="D431" i="62"/>
  <c r="E431" i="62"/>
  <c r="F431" i="62"/>
  <c r="G431" i="62"/>
  <c r="B432" i="62"/>
  <c r="C432" i="62"/>
  <c r="D432" i="62"/>
  <c r="E432" i="62"/>
  <c r="F432" i="62"/>
  <c r="G432" i="62"/>
  <c r="B433" i="62"/>
  <c r="C433" i="62"/>
  <c r="D433" i="62"/>
  <c r="E433" i="62"/>
  <c r="F433" i="62"/>
  <c r="G433" i="62"/>
  <c r="B434" i="62"/>
  <c r="C434" i="62"/>
  <c r="D434" i="62"/>
  <c r="E434" i="62"/>
  <c r="F434" i="62"/>
  <c r="G434" i="62"/>
  <c r="B435" i="62"/>
  <c r="C435" i="62"/>
  <c r="D435" i="62"/>
  <c r="E435" i="62"/>
  <c r="F435" i="62"/>
  <c r="G435" i="62"/>
  <c r="B436" i="62"/>
  <c r="C436" i="62"/>
  <c r="D436" i="62"/>
  <c r="E436" i="62"/>
  <c r="F436" i="62"/>
  <c r="G436" i="62"/>
  <c r="B437" i="62"/>
  <c r="C437" i="62"/>
  <c r="D437" i="62"/>
  <c r="E437" i="62"/>
  <c r="F437" i="62"/>
  <c r="G437" i="62"/>
  <c r="B438" i="62"/>
  <c r="C438" i="62"/>
  <c r="D438" i="62"/>
  <c r="E438" i="62"/>
  <c r="F438" i="62"/>
  <c r="G438" i="62"/>
  <c r="B439" i="62"/>
  <c r="C439" i="62"/>
  <c r="D439" i="62"/>
  <c r="E439" i="62"/>
  <c r="F439" i="62"/>
  <c r="G439" i="62"/>
  <c r="B440" i="62"/>
  <c r="C440" i="62"/>
  <c r="D440" i="62"/>
  <c r="E440" i="62"/>
  <c r="F440" i="62"/>
  <c r="G440" i="62"/>
  <c r="B441" i="62"/>
  <c r="C441" i="62"/>
  <c r="D441" i="62"/>
  <c r="E441" i="62"/>
  <c r="F441" i="62"/>
  <c r="G441" i="62"/>
  <c r="B442" i="62"/>
  <c r="C442" i="62"/>
  <c r="D442" i="62"/>
  <c r="E442" i="62"/>
  <c r="F442" i="62"/>
  <c r="G442" i="62"/>
  <c r="B443" i="62"/>
  <c r="C443" i="62"/>
  <c r="D443" i="62"/>
  <c r="E443" i="62"/>
  <c r="F443" i="62"/>
  <c r="G443" i="62"/>
  <c r="B444" i="62"/>
  <c r="C444" i="62"/>
  <c r="D444" i="62"/>
  <c r="E444" i="62"/>
  <c r="F444" i="62"/>
  <c r="G444" i="62"/>
  <c r="B445" i="62"/>
  <c r="C445" i="62"/>
  <c r="D445" i="62"/>
  <c r="E445" i="62"/>
  <c r="F445" i="62"/>
  <c r="G445" i="62"/>
  <c r="B446" i="62"/>
  <c r="C446" i="62"/>
  <c r="D446" i="62"/>
  <c r="E446" i="62"/>
  <c r="F446" i="62"/>
  <c r="G446" i="62"/>
  <c r="B447" i="62"/>
  <c r="C447" i="62"/>
  <c r="D447" i="62"/>
  <c r="E447" i="62"/>
  <c r="F447" i="62"/>
  <c r="G447" i="62"/>
  <c r="B448" i="62"/>
  <c r="C448" i="62"/>
  <c r="D448" i="62"/>
  <c r="E448" i="62"/>
  <c r="F448" i="62"/>
  <c r="G448" i="62"/>
  <c r="B449" i="62"/>
  <c r="C449" i="62"/>
  <c r="D449" i="62"/>
  <c r="E449" i="62"/>
  <c r="F449" i="62"/>
  <c r="G449" i="62"/>
  <c r="B450" i="62"/>
  <c r="C450" i="62"/>
  <c r="D450" i="62"/>
  <c r="E450" i="62"/>
  <c r="F450" i="62"/>
  <c r="G450" i="62"/>
  <c r="F1" i="62"/>
  <c r="H1" i="62"/>
  <c r="F2" i="62"/>
  <c r="H2" i="62"/>
  <c r="F3" i="62"/>
  <c r="H3" i="62"/>
  <c r="F4" i="62"/>
  <c r="H4" i="62"/>
  <c r="B8" i="61"/>
  <c r="C8" i="61"/>
  <c r="D8" i="61"/>
  <c r="F8" i="61"/>
  <c r="B9" i="61"/>
  <c r="C9" i="61"/>
  <c r="D9" i="61"/>
  <c r="F9" i="61"/>
  <c r="B10" i="61"/>
  <c r="C10" i="61"/>
  <c r="D10" i="61"/>
  <c r="F10" i="61"/>
  <c r="B11" i="61"/>
  <c r="C11" i="61"/>
  <c r="D11" i="61"/>
  <c r="F11" i="61"/>
  <c r="B12" i="61"/>
  <c r="C12" i="61"/>
  <c r="D12" i="61"/>
  <c r="F12" i="61"/>
  <c r="B13" i="61"/>
  <c r="C13" i="61"/>
  <c r="D13" i="61"/>
  <c r="F13" i="61"/>
  <c r="B14" i="61"/>
  <c r="C14" i="61"/>
  <c r="D14" i="61"/>
  <c r="F14" i="61"/>
  <c r="B15" i="61"/>
  <c r="C15" i="61"/>
  <c r="D15" i="61"/>
  <c r="F15" i="61"/>
  <c r="B16" i="61"/>
  <c r="C16" i="61"/>
  <c r="D16" i="61"/>
  <c r="F16" i="61"/>
  <c r="B17" i="61"/>
  <c r="C17" i="61"/>
  <c r="D17" i="61"/>
  <c r="F17" i="61"/>
  <c r="B18" i="61"/>
  <c r="C18" i="61"/>
  <c r="D18" i="61"/>
  <c r="F18" i="61"/>
  <c r="B20" i="61"/>
  <c r="C20" i="61"/>
  <c r="D20" i="61"/>
  <c r="F20" i="61"/>
  <c r="B21" i="61"/>
  <c r="C21" i="61"/>
  <c r="D21" i="61"/>
  <c r="F21" i="61"/>
  <c r="B22" i="61"/>
  <c r="C22" i="61"/>
  <c r="D22" i="61"/>
  <c r="F22" i="61"/>
  <c r="B23" i="61"/>
  <c r="C23" i="61"/>
  <c r="D23" i="61"/>
  <c r="F23" i="61"/>
  <c r="B24" i="61"/>
  <c r="C24" i="61"/>
  <c r="D24" i="61"/>
  <c r="F24" i="61"/>
  <c r="B25" i="61"/>
  <c r="C25" i="61"/>
  <c r="D25" i="61"/>
  <c r="F25" i="61"/>
  <c r="B26" i="61"/>
  <c r="C26" i="61"/>
  <c r="D26" i="61"/>
  <c r="F26" i="61"/>
  <c r="B27" i="61"/>
  <c r="C27" i="61"/>
  <c r="D27" i="61"/>
  <c r="F27" i="61"/>
  <c r="B28" i="61"/>
  <c r="C28" i="61"/>
  <c r="D28" i="61"/>
  <c r="F28" i="61"/>
  <c r="B29" i="61"/>
  <c r="C29" i="61"/>
  <c r="D29" i="61"/>
  <c r="F29" i="61"/>
  <c r="B30" i="61"/>
  <c r="C30" i="61"/>
  <c r="D30" i="61"/>
  <c r="F30" i="61"/>
  <c r="B31" i="61"/>
  <c r="C31" i="61"/>
  <c r="D31" i="61"/>
  <c r="F31" i="61"/>
  <c r="B32" i="61"/>
  <c r="C32" i="61"/>
  <c r="D32" i="61"/>
  <c r="F32" i="61"/>
  <c r="B33" i="61"/>
  <c r="C33" i="61"/>
  <c r="D33" i="61"/>
  <c r="F33" i="61"/>
  <c r="B34" i="61"/>
  <c r="C34" i="61"/>
  <c r="D34" i="61"/>
  <c r="F34" i="61"/>
  <c r="B35" i="61"/>
  <c r="C35" i="61"/>
  <c r="D35" i="61"/>
  <c r="F35" i="61"/>
  <c r="B36" i="61"/>
  <c r="C36" i="61"/>
  <c r="D36" i="61"/>
  <c r="F36" i="61"/>
  <c r="B37" i="61"/>
  <c r="C37" i="61"/>
  <c r="D37" i="61"/>
  <c r="F37" i="61"/>
  <c r="B38" i="61"/>
  <c r="C38" i="61"/>
  <c r="D38" i="61"/>
  <c r="F38" i="61"/>
  <c r="B39" i="61"/>
  <c r="C39" i="61"/>
  <c r="D39" i="61"/>
  <c r="F39" i="61"/>
  <c r="B40" i="61"/>
  <c r="C40" i="61"/>
  <c r="D40" i="61"/>
  <c r="F40" i="61"/>
  <c r="B41" i="61"/>
  <c r="C41" i="61"/>
  <c r="D41" i="61"/>
  <c r="F41" i="61"/>
  <c r="B42" i="61"/>
  <c r="C42" i="61"/>
  <c r="D42" i="61"/>
  <c r="F42" i="61"/>
  <c r="B43" i="61"/>
  <c r="C43" i="61"/>
  <c r="D43" i="61"/>
  <c r="F43" i="61"/>
  <c r="B44" i="61"/>
  <c r="C44" i="61"/>
  <c r="D44" i="61"/>
  <c r="F44" i="61"/>
  <c r="B45" i="61"/>
  <c r="C45" i="61"/>
  <c r="D45" i="61"/>
  <c r="F45" i="61"/>
  <c r="B46" i="61"/>
  <c r="C46" i="61"/>
  <c r="D46" i="61"/>
  <c r="F46" i="61"/>
  <c r="B47" i="61"/>
  <c r="C47" i="61"/>
  <c r="D47" i="61"/>
  <c r="F47" i="61"/>
  <c r="B48" i="61"/>
  <c r="C48" i="61"/>
  <c r="D48" i="61"/>
  <c r="F48" i="61"/>
  <c r="B49" i="61"/>
  <c r="C49" i="61"/>
  <c r="D49" i="61"/>
  <c r="F49" i="61"/>
  <c r="B50" i="61"/>
  <c r="C50" i="61"/>
  <c r="D50" i="61"/>
  <c r="F50" i="61"/>
  <c r="B51" i="61"/>
  <c r="C51" i="61"/>
  <c r="D51" i="61"/>
  <c r="F51" i="61"/>
  <c r="B52" i="61"/>
  <c r="C52" i="61"/>
  <c r="D52" i="61"/>
  <c r="F52" i="61"/>
  <c r="B53" i="61"/>
  <c r="C53" i="61"/>
  <c r="D53" i="61"/>
  <c r="F53" i="61"/>
  <c r="B54" i="61"/>
  <c r="C54" i="61"/>
  <c r="D54" i="61"/>
  <c r="F54" i="61"/>
  <c r="B55" i="61"/>
  <c r="C55" i="61"/>
  <c r="D55" i="61"/>
  <c r="F55" i="61"/>
  <c r="B56" i="61"/>
  <c r="C56" i="61"/>
  <c r="D56" i="61"/>
  <c r="F56" i="61"/>
  <c r="B57" i="61"/>
  <c r="C57" i="61"/>
  <c r="D57" i="61"/>
  <c r="F57" i="61"/>
  <c r="B58" i="61"/>
  <c r="C58" i="61"/>
  <c r="D58" i="61"/>
  <c r="F58" i="61"/>
  <c r="B59" i="61"/>
  <c r="C59" i="61"/>
  <c r="D59" i="61"/>
  <c r="F59" i="61"/>
  <c r="B60" i="61"/>
  <c r="C60" i="61"/>
  <c r="D60" i="61"/>
  <c r="F60" i="61"/>
  <c r="B61" i="61"/>
  <c r="C61" i="61"/>
  <c r="D61" i="61"/>
  <c r="F61" i="61"/>
  <c r="B62" i="61"/>
  <c r="C62" i="61"/>
  <c r="D62" i="61"/>
  <c r="F62" i="61"/>
  <c r="B63" i="61"/>
  <c r="C63" i="61"/>
  <c r="D63" i="61"/>
  <c r="F63" i="61"/>
  <c r="B64" i="61"/>
  <c r="C64" i="61"/>
  <c r="D64" i="61"/>
  <c r="F64" i="61"/>
  <c r="B65" i="61"/>
  <c r="C65" i="61"/>
  <c r="D65" i="61"/>
  <c r="F65" i="61"/>
  <c r="B66" i="61"/>
  <c r="C66" i="61"/>
  <c r="D66" i="61"/>
  <c r="F66" i="61"/>
  <c r="B67" i="61"/>
  <c r="C67" i="61"/>
  <c r="D67" i="61"/>
  <c r="F67" i="61"/>
  <c r="B68" i="61"/>
  <c r="C68" i="61"/>
  <c r="D68" i="61"/>
  <c r="F68" i="61"/>
  <c r="B69" i="61"/>
  <c r="C69" i="61"/>
  <c r="D69" i="61"/>
  <c r="F69" i="61"/>
  <c r="B70" i="61"/>
  <c r="C70" i="61"/>
  <c r="D70" i="61"/>
  <c r="F70" i="61"/>
  <c r="B71" i="61"/>
  <c r="C71" i="61"/>
  <c r="D71" i="61"/>
  <c r="F71" i="61"/>
  <c r="B72" i="61"/>
  <c r="C72" i="61"/>
  <c r="D72" i="61"/>
  <c r="F72" i="61"/>
  <c r="B73" i="61"/>
  <c r="C73" i="61"/>
  <c r="D73" i="61"/>
  <c r="F73" i="61"/>
  <c r="B74" i="61"/>
  <c r="C74" i="61"/>
  <c r="D74" i="61"/>
  <c r="F74" i="61"/>
  <c r="B75" i="61"/>
  <c r="C75" i="61"/>
  <c r="D75" i="61"/>
  <c r="F75" i="61"/>
  <c r="B76" i="61"/>
  <c r="C76" i="61"/>
  <c r="D76" i="61"/>
  <c r="F76" i="61"/>
  <c r="B77" i="61"/>
  <c r="C77" i="61"/>
  <c r="D77" i="61"/>
  <c r="F77" i="61"/>
  <c r="B78" i="61"/>
  <c r="C78" i="61"/>
  <c r="D78" i="61"/>
  <c r="F78" i="61"/>
  <c r="B79" i="61"/>
  <c r="C79" i="61"/>
  <c r="D79" i="61"/>
  <c r="F79" i="61"/>
  <c r="B80" i="61"/>
  <c r="C80" i="61"/>
  <c r="D80" i="61"/>
  <c r="F80" i="61"/>
  <c r="B81" i="61"/>
  <c r="C81" i="61"/>
  <c r="D81" i="61"/>
  <c r="F81" i="61"/>
  <c r="B82" i="61"/>
  <c r="C82" i="61"/>
  <c r="D82" i="61"/>
  <c r="F82" i="61"/>
  <c r="B83" i="61"/>
  <c r="C83" i="61"/>
  <c r="D83" i="61"/>
  <c r="F83" i="61"/>
  <c r="B84" i="61"/>
  <c r="C84" i="61"/>
  <c r="D84" i="61"/>
  <c r="F84" i="61"/>
  <c r="B85" i="61"/>
  <c r="C85" i="61"/>
  <c r="D85" i="61"/>
  <c r="F85" i="61"/>
  <c r="B86" i="61"/>
  <c r="C86" i="61"/>
  <c r="D86" i="61"/>
  <c r="F86" i="61"/>
  <c r="B87" i="61"/>
  <c r="C87" i="61"/>
  <c r="D87" i="61"/>
  <c r="F87" i="61"/>
  <c r="B88" i="61"/>
  <c r="C88" i="61"/>
  <c r="D88" i="61"/>
  <c r="F88" i="61"/>
  <c r="B89" i="61"/>
  <c r="C89" i="61"/>
  <c r="D89" i="61"/>
  <c r="F89" i="61"/>
  <c r="B90" i="61"/>
  <c r="C90" i="61"/>
  <c r="D90" i="61"/>
  <c r="F90" i="61"/>
  <c r="B91" i="61"/>
  <c r="C91" i="61"/>
  <c r="D91" i="61"/>
  <c r="F91" i="61"/>
  <c r="B92" i="61"/>
  <c r="C92" i="61"/>
  <c r="D92" i="61"/>
  <c r="F92" i="61"/>
  <c r="B93" i="61"/>
  <c r="C93" i="61"/>
  <c r="D93" i="61"/>
  <c r="F93" i="61"/>
  <c r="B94" i="61"/>
  <c r="C94" i="61"/>
  <c r="D94" i="61"/>
  <c r="F94" i="61"/>
  <c r="B95" i="61"/>
  <c r="C95" i="61"/>
  <c r="D95" i="61"/>
  <c r="F95" i="61"/>
  <c r="B96" i="61"/>
  <c r="C96" i="61"/>
  <c r="D96" i="61"/>
  <c r="F96" i="61"/>
  <c r="B97" i="61"/>
  <c r="C97" i="61"/>
  <c r="D97" i="61"/>
  <c r="F97" i="61"/>
  <c r="B98" i="61"/>
  <c r="C98" i="61"/>
  <c r="D98" i="61"/>
  <c r="F98" i="61"/>
  <c r="B99" i="61"/>
  <c r="C99" i="61"/>
  <c r="D99" i="61"/>
  <c r="F99" i="61"/>
  <c r="B100" i="61"/>
  <c r="C100" i="61"/>
  <c r="D100" i="61"/>
  <c r="F100" i="61"/>
  <c r="B101" i="61"/>
  <c r="C101" i="61"/>
  <c r="D101" i="61"/>
  <c r="F101" i="61"/>
  <c r="B102" i="61"/>
  <c r="C102" i="61"/>
  <c r="D102" i="61"/>
  <c r="F102" i="61"/>
  <c r="B103" i="61"/>
  <c r="C103" i="61"/>
  <c r="D103" i="61"/>
  <c r="F103" i="61"/>
  <c r="B104" i="61"/>
  <c r="C104" i="61"/>
  <c r="D104" i="61"/>
  <c r="F104" i="61"/>
  <c r="B105" i="61"/>
  <c r="C105" i="61"/>
  <c r="D105" i="61"/>
  <c r="F105" i="61"/>
  <c r="B106" i="61"/>
  <c r="C106" i="61"/>
  <c r="D106" i="61"/>
  <c r="F106" i="61"/>
  <c r="B107" i="61"/>
  <c r="C107" i="61"/>
  <c r="D107" i="61"/>
  <c r="F107" i="61"/>
  <c r="B108" i="61"/>
  <c r="C108" i="61"/>
  <c r="D108" i="61"/>
  <c r="F108" i="61"/>
  <c r="B109" i="61"/>
  <c r="C109" i="61"/>
  <c r="D109" i="61"/>
  <c r="F109" i="61"/>
  <c r="B110" i="61"/>
  <c r="C110" i="61"/>
  <c r="D110" i="61"/>
  <c r="F110" i="61"/>
  <c r="B111" i="61"/>
  <c r="C111" i="61"/>
  <c r="D111" i="61"/>
  <c r="F111" i="61"/>
  <c r="B112" i="61"/>
  <c r="C112" i="61"/>
  <c r="D112" i="61"/>
  <c r="F112" i="61"/>
  <c r="B113" i="61"/>
  <c r="C113" i="61"/>
  <c r="D113" i="61"/>
  <c r="F113" i="61"/>
  <c r="B114" i="61"/>
  <c r="C114" i="61"/>
  <c r="D114" i="61"/>
  <c r="F114" i="61"/>
  <c r="B115" i="61"/>
  <c r="C115" i="61"/>
  <c r="D115" i="61"/>
  <c r="F115" i="61"/>
  <c r="B116" i="61"/>
  <c r="C116" i="61"/>
  <c r="D116" i="61"/>
  <c r="F116" i="61"/>
  <c r="B117" i="61"/>
  <c r="C117" i="61"/>
  <c r="D117" i="61"/>
  <c r="F117" i="61"/>
  <c r="B118" i="61"/>
  <c r="C118" i="61"/>
  <c r="D118" i="61"/>
  <c r="F118" i="61"/>
  <c r="B119" i="61"/>
  <c r="C119" i="61"/>
  <c r="D119" i="61"/>
  <c r="F119" i="61"/>
  <c r="B120" i="61"/>
  <c r="C120" i="61"/>
  <c r="D120" i="61"/>
  <c r="F120" i="61"/>
  <c r="B121" i="61"/>
  <c r="C121" i="61"/>
  <c r="D121" i="61"/>
  <c r="F121" i="61"/>
  <c r="B122" i="61"/>
  <c r="C122" i="61"/>
  <c r="D122" i="61"/>
  <c r="F122" i="61"/>
  <c r="B123" i="61"/>
  <c r="C123" i="61"/>
  <c r="D123" i="61"/>
  <c r="F123" i="61"/>
  <c r="B124" i="61"/>
  <c r="C124" i="61"/>
  <c r="D124" i="61"/>
  <c r="F124" i="61"/>
  <c r="B125" i="61"/>
  <c r="C125" i="61"/>
  <c r="D125" i="61"/>
  <c r="F125" i="61"/>
  <c r="B126" i="61"/>
  <c r="C126" i="61"/>
  <c r="D126" i="61"/>
  <c r="F126" i="61"/>
  <c r="B127" i="61"/>
  <c r="C127" i="61"/>
  <c r="D127" i="61"/>
  <c r="F127" i="61"/>
  <c r="B128" i="61"/>
  <c r="C128" i="61"/>
  <c r="D128" i="61"/>
  <c r="F128" i="61"/>
  <c r="B129" i="61"/>
  <c r="C129" i="61"/>
  <c r="D129" i="61"/>
  <c r="F129" i="61"/>
  <c r="B130" i="61"/>
  <c r="C130" i="61"/>
  <c r="D130" i="61"/>
  <c r="F130" i="61"/>
  <c r="B131" i="61"/>
  <c r="C131" i="61"/>
  <c r="D131" i="61"/>
  <c r="F131" i="61"/>
  <c r="B132" i="61"/>
  <c r="C132" i="61"/>
  <c r="D132" i="61"/>
  <c r="F132" i="61"/>
  <c r="B133" i="61"/>
  <c r="C133" i="61"/>
  <c r="D133" i="61"/>
  <c r="F133" i="61"/>
  <c r="B134" i="61"/>
  <c r="C134" i="61"/>
  <c r="D134" i="61"/>
  <c r="F134" i="61"/>
  <c r="B135" i="61"/>
  <c r="C135" i="61"/>
  <c r="D135" i="61"/>
  <c r="F135" i="61"/>
  <c r="B136" i="61"/>
  <c r="C136" i="61"/>
  <c r="D136" i="61"/>
  <c r="F136" i="61"/>
  <c r="B137" i="61"/>
  <c r="C137" i="61"/>
  <c r="D137" i="61"/>
  <c r="F137" i="61"/>
  <c r="B138" i="61"/>
  <c r="C138" i="61"/>
  <c r="D138" i="61"/>
  <c r="F138" i="61"/>
  <c r="B139" i="61"/>
  <c r="C139" i="61"/>
  <c r="D139" i="61"/>
  <c r="F139" i="61"/>
  <c r="B140" i="61"/>
  <c r="C140" i="61"/>
  <c r="D140" i="61"/>
  <c r="F140" i="61"/>
  <c r="B141" i="61"/>
  <c r="C141" i="61"/>
  <c r="D141" i="61"/>
  <c r="F141" i="61"/>
  <c r="B142" i="61"/>
  <c r="C142" i="61"/>
  <c r="D142" i="61"/>
  <c r="F142" i="61"/>
  <c r="B143" i="61"/>
  <c r="C143" i="61"/>
  <c r="D143" i="61"/>
  <c r="F143" i="61"/>
  <c r="B144" i="61"/>
  <c r="C144" i="61"/>
  <c r="D144" i="61"/>
  <c r="F144" i="61"/>
  <c r="B145" i="61"/>
  <c r="C145" i="61"/>
  <c r="D145" i="61"/>
  <c r="F145" i="61"/>
  <c r="B146" i="61"/>
  <c r="C146" i="61"/>
  <c r="D146" i="61"/>
  <c r="F146" i="61"/>
  <c r="B147" i="61"/>
  <c r="C147" i="61"/>
  <c r="D147" i="61"/>
  <c r="F147" i="61"/>
  <c r="B148" i="61"/>
  <c r="C148" i="61"/>
  <c r="D148" i="61"/>
  <c r="F148" i="61"/>
  <c r="B149" i="61"/>
  <c r="C149" i="61"/>
  <c r="D149" i="61"/>
  <c r="F149" i="61"/>
  <c r="B150" i="61"/>
  <c r="C150" i="61"/>
  <c r="D150" i="61"/>
  <c r="F150" i="61"/>
  <c r="B151" i="61"/>
  <c r="C151" i="61"/>
  <c r="D151" i="61"/>
  <c r="F151" i="61"/>
  <c r="B152" i="61"/>
  <c r="C152" i="61"/>
  <c r="D152" i="61"/>
  <c r="F152" i="61"/>
  <c r="B153" i="61"/>
  <c r="C153" i="61"/>
  <c r="D153" i="61"/>
  <c r="F153" i="61"/>
  <c r="B154" i="61"/>
  <c r="C154" i="61"/>
  <c r="D154" i="61"/>
  <c r="F154" i="61"/>
  <c r="B155" i="61"/>
  <c r="C155" i="61"/>
  <c r="D155" i="61"/>
  <c r="F155" i="61"/>
  <c r="B156" i="61"/>
  <c r="C156" i="61"/>
  <c r="D156" i="61"/>
  <c r="F156" i="61"/>
  <c r="B157" i="61"/>
  <c r="C157" i="61"/>
  <c r="D157" i="61"/>
  <c r="F157" i="61"/>
  <c r="B158" i="61"/>
  <c r="C158" i="61"/>
  <c r="D158" i="61"/>
  <c r="F158" i="61"/>
  <c r="B159" i="61"/>
  <c r="C159" i="61"/>
  <c r="D159" i="61"/>
  <c r="F159" i="61"/>
  <c r="B160" i="61"/>
  <c r="C160" i="61"/>
  <c r="D160" i="61"/>
  <c r="F160" i="61"/>
  <c r="B161" i="61"/>
  <c r="C161" i="61"/>
  <c r="D161" i="61"/>
  <c r="F161" i="61"/>
  <c r="B162" i="61"/>
  <c r="C162" i="61"/>
  <c r="D162" i="61"/>
  <c r="F162" i="61"/>
  <c r="B163" i="61"/>
  <c r="C163" i="61"/>
  <c r="D163" i="61"/>
  <c r="F163" i="61"/>
  <c r="B164" i="61"/>
  <c r="C164" i="61"/>
  <c r="D164" i="61"/>
  <c r="F164" i="61"/>
  <c r="B165" i="61"/>
  <c r="C165" i="61"/>
  <c r="D165" i="61"/>
  <c r="F165" i="61"/>
  <c r="B166" i="61"/>
  <c r="C166" i="61"/>
  <c r="D166" i="61"/>
  <c r="F166" i="61"/>
  <c r="B167" i="61"/>
  <c r="C167" i="61"/>
  <c r="D167" i="61"/>
  <c r="F167" i="61"/>
  <c r="B168" i="61"/>
  <c r="C168" i="61"/>
  <c r="D168" i="61"/>
  <c r="F168" i="61"/>
  <c r="B169" i="61"/>
  <c r="C169" i="61"/>
  <c r="D169" i="61"/>
  <c r="F169" i="61"/>
  <c r="B170" i="61"/>
  <c r="C170" i="61"/>
  <c r="D170" i="61"/>
  <c r="F170" i="61"/>
  <c r="B171" i="61"/>
  <c r="C171" i="61"/>
  <c r="D171" i="61"/>
  <c r="F171" i="61"/>
  <c r="B172" i="61"/>
  <c r="C172" i="61"/>
  <c r="D172" i="61"/>
  <c r="F172" i="61"/>
  <c r="B173" i="61"/>
  <c r="C173" i="61"/>
  <c r="D173" i="61"/>
  <c r="F173" i="61"/>
  <c r="B174" i="61"/>
  <c r="C174" i="61"/>
  <c r="D174" i="61"/>
  <c r="F174" i="61"/>
  <c r="B175" i="61"/>
  <c r="C175" i="61"/>
  <c r="D175" i="61"/>
  <c r="F175" i="61"/>
  <c r="B176" i="61"/>
  <c r="C176" i="61"/>
  <c r="D176" i="61"/>
  <c r="F176" i="61"/>
  <c r="B177" i="61"/>
  <c r="C177" i="61"/>
  <c r="D177" i="61"/>
  <c r="F177" i="61"/>
  <c r="B178" i="61"/>
  <c r="C178" i="61"/>
  <c r="D178" i="61"/>
  <c r="F178" i="61"/>
  <c r="B179" i="61"/>
  <c r="C179" i="61"/>
  <c r="D179" i="61"/>
  <c r="F179" i="61"/>
  <c r="B180" i="61"/>
  <c r="C180" i="61"/>
  <c r="D180" i="61"/>
  <c r="F180" i="61"/>
  <c r="B181" i="61"/>
  <c r="C181" i="61"/>
  <c r="D181" i="61"/>
  <c r="F181" i="61"/>
  <c r="B182" i="61"/>
  <c r="C182" i="61"/>
  <c r="D182" i="61"/>
  <c r="F182" i="61"/>
  <c r="B183" i="61"/>
  <c r="C183" i="61"/>
  <c r="D183" i="61"/>
  <c r="F183" i="61"/>
  <c r="B184" i="61"/>
  <c r="C184" i="61"/>
  <c r="D184" i="61"/>
  <c r="F184" i="61"/>
  <c r="B185" i="61"/>
  <c r="C185" i="61"/>
  <c r="D185" i="61"/>
  <c r="F185" i="61"/>
  <c r="B186" i="61"/>
  <c r="C186" i="61"/>
  <c r="D186" i="61"/>
  <c r="F186" i="61"/>
  <c r="B187" i="61"/>
  <c r="C187" i="61"/>
  <c r="D187" i="61"/>
  <c r="F187" i="61"/>
  <c r="B188" i="61"/>
  <c r="C188" i="61"/>
  <c r="D188" i="61"/>
  <c r="F188" i="61"/>
  <c r="B189" i="61"/>
  <c r="C189" i="61"/>
  <c r="D189" i="61"/>
  <c r="F189" i="61"/>
  <c r="B190" i="61"/>
  <c r="C190" i="61"/>
  <c r="D190" i="61"/>
  <c r="F190" i="61"/>
  <c r="B191" i="61"/>
  <c r="C191" i="61"/>
  <c r="D191" i="61"/>
  <c r="F191" i="61"/>
  <c r="B192" i="61"/>
  <c r="C192" i="61"/>
  <c r="D192" i="61"/>
  <c r="F192" i="61"/>
  <c r="B193" i="61"/>
  <c r="C193" i="61"/>
  <c r="D193" i="61"/>
  <c r="F193" i="61"/>
  <c r="B194" i="61"/>
  <c r="C194" i="61"/>
  <c r="D194" i="61"/>
  <c r="F194" i="61"/>
  <c r="B195" i="61"/>
  <c r="C195" i="61"/>
  <c r="D195" i="61"/>
  <c r="F195" i="61"/>
  <c r="B196" i="61"/>
  <c r="C196" i="61"/>
  <c r="D196" i="61"/>
  <c r="F196" i="61"/>
  <c r="B197" i="61"/>
  <c r="C197" i="61"/>
  <c r="D197" i="61"/>
  <c r="F197" i="61"/>
  <c r="B198" i="61"/>
  <c r="C198" i="61"/>
  <c r="D198" i="61"/>
  <c r="F198" i="61"/>
  <c r="B199" i="61"/>
  <c r="C199" i="61"/>
  <c r="D199" i="61"/>
  <c r="F199" i="61"/>
  <c r="B200" i="61"/>
  <c r="C200" i="61"/>
  <c r="D200" i="61"/>
  <c r="F200" i="61"/>
  <c r="B201" i="61"/>
  <c r="C201" i="61"/>
  <c r="D201" i="61"/>
  <c r="F201" i="61"/>
  <c r="B202" i="61"/>
  <c r="C202" i="61"/>
  <c r="D202" i="61"/>
  <c r="F202" i="61"/>
  <c r="B203" i="61"/>
  <c r="C203" i="61"/>
  <c r="D203" i="61"/>
  <c r="F203" i="61"/>
  <c r="B204" i="61"/>
  <c r="C204" i="61"/>
  <c r="D204" i="61"/>
  <c r="F204" i="61"/>
  <c r="B205" i="61"/>
  <c r="C205" i="61"/>
  <c r="D205" i="61"/>
  <c r="F205" i="61"/>
  <c r="B206" i="61"/>
  <c r="C206" i="61"/>
  <c r="D206" i="61"/>
  <c r="F206" i="61"/>
  <c r="B207" i="61"/>
  <c r="C207" i="61"/>
  <c r="D207" i="61"/>
  <c r="F207" i="61"/>
  <c r="B208" i="61"/>
  <c r="C208" i="61"/>
  <c r="D208" i="61"/>
  <c r="F208" i="61"/>
  <c r="B209" i="61"/>
  <c r="C209" i="61"/>
  <c r="D209" i="61"/>
  <c r="F209" i="61"/>
  <c r="B210" i="61"/>
  <c r="C210" i="61"/>
  <c r="D210" i="61"/>
  <c r="F210" i="61"/>
  <c r="B211" i="61"/>
  <c r="C211" i="61"/>
  <c r="D211" i="61"/>
  <c r="F211" i="61"/>
  <c r="B212" i="61"/>
  <c r="C212" i="61"/>
  <c r="D212" i="61"/>
  <c r="F212" i="61"/>
  <c r="B213" i="61"/>
  <c r="C213" i="61"/>
  <c r="D213" i="61"/>
  <c r="F213" i="61"/>
  <c r="B214" i="61"/>
  <c r="C214" i="61"/>
  <c r="D214" i="61"/>
  <c r="F214" i="61"/>
  <c r="B215" i="61"/>
  <c r="C215" i="61"/>
  <c r="D215" i="61"/>
  <c r="F215" i="61"/>
  <c r="B216" i="61"/>
  <c r="C216" i="61"/>
  <c r="D216" i="61"/>
  <c r="F216" i="61"/>
  <c r="B217" i="61"/>
  <c r="C217" i="61"/>
  <c r="D217" i="61"/>
  <c r="F217" i="61"/>
  <c r="B218" i="61"/>
  <c r="C218" i="61"/>
  <c r="D218" i="61"/>
  <c r="F218" i="61"/>
  <c r="B219" i="61"/>
  <c r="C219" i="61"/>
  <c r="D219" i="61"/>
  <c r="F219" i="61"/>
  <c r="B220" i="61"/>
  <c r="C220" i="61"/>
  <c r="D220" i="61"/>
  <c r="F220" i="61"/>
  <c r="B221" i="61"/>
  <c r="C221" i="61"/>
  <c r="D221" i="61"/>
  <c r="F221" i="61"/>
  <c r="B222" i="61"/>
  <c r="C222" i="61"/>
  <c r="D222" i="61"/>
  <c r="F222" i="61"/>
  <c r="B223" i="61"/>
  <c r="C223" i="61"/>
  <c r="D223" i="61"/>
  <c r="F223" i="61"/>
  <c r="B224" i="61"/>
  <c r="C224" i="61"/>
  <c r="D224" i="61"/>
  <c r="F224" i="61"/>
  <c r="B225" i="61"/>
  <c r="C225" i="61"/>
  <c r="D225" i="61"/>
  <c r="F225" i="61"/>
  <c r="B226" i="61"/>
  <c r="C226" i="61"/>
  <c r="D226" i="61"/>
  <c r="F226" i="61"/>
  <c r="B227" i="61"/>
  <c r="C227" i="61"/>
  <c r="D227" i="61"/>
  <c r="F227" i="61"/>
  <c r="B228" i="61"/>
  <c r="C228" i="61"/>
  <c r="D228" i="61"/>
  <c r="F228" i="61"/>
  <c r="B229" i="61"/>
  <c r="C229" i="61"/>
  <c r="D229" i="61"/>
  <c r="F229" i="61"/>
  <c r="B230" i="61"/>
  <c r="C230" i="61"/>
  <c r="D230" i="61"/>
  <c r="F230" i="61"/>
  <c r="B231" i="61"/>
  <c r="C231" i="61"/>
  <c r="D231" i="61"/>
  <c r="F231" i="61"/>
  <c r="B232" i="61"/>
  <c r="C232" i="61"/>
  <c r="D232" i="61"/>
  <c r="F232" i="61"/>
  <c r="B233" i="61"/>
  <c r="C233" i="61"/>
  <c r="D233" i="61"/>
  <c r="F233" i="61"/>
  <c r="B234" i="61"/>
  <c r="C234" i="61"/>
  <c r="D234" i="61"/>
  <c r="F234" i="61"/>
  <c r="B235" i="61"/>
  <c r="C235" i="61"/>
  <c r="D235" i="61"/>
  <c r="F235" i="61"/>
  <c r="B236" i="61"/>
  <c r="C236" i="61"/>
  <c r="D236" i="61"/>
  <c r="F236" i="61"/>
  <c r="B237" i="61"/>
  <c r="C237" i="61"/>
  <c r="D237" i="61"/>
  <c r="F237" i="61"/>
  <c r="B238" i="61"/>
  <c r="C238" i="61"/>
  <c r="D238" i="61"/>
  <c r="F238" i="61"/>
  <c r="B239" i="61"/>
  <c r="C239" i="61"/>
  <c r="D239" i="61"/>
  <c r="F239" i="61"/>
  <c r="B240" i="61"/>
  <c r="C240" i="61"/>
  <c r="D240" i="61"/>
  <c r="F240" i="61"/>
  <c r="B241" i="61"/>
  <c r="C241" i="61"/>
  <c r="D241" i="61"/>
  <c r="F241" i="61"/>
  <c r="B242" i="61"/>
  <c r="C242" i="61"/>
  <c r="D242" i="61"/>
  <c r="F242" i="61"/>
  <c r="B243" i="61"/>
  <c r="C243" i="61"/>
  <c r="D243" i="61"/>
  <c r="F243" i="61"/>
  <c r="B244" i="61"/>
  <c r="C244" i="61"/>
  <c r="D244" i="61"/>
  <c r="F244" i="61"/>
  <c r="B245" i="61"/>
  <c r="C245" i="61"/>
  <c r="D245" i="61"/>
  <c r="F245" i="61"/>
  <c r="B246" i="61"/>
  <c r="C246" i="61"/>
  <c r="D246" i="61"/>
  <c r="F246" i="61"/>
  <c r="B247" i="61"/>
  <c r="C247" i="61"/>
  <c r="D247" i="61"/>
  <c r="F247" i="61"/>
  <c r="B248" i="61"/>
  <c r="C248" i="61"/>
  <c r="D248" i="61"/>
  <c r="F248" i="61"/>
  <c r="B249" i="61"/>
  <c r="C249" i="61"/>
  <c r="D249" i="61"/>
  <c r="F249" i="61"/>
  <c r="B250" i="61"/>
  <c r="C250" i="61"/>
  <c r="D250" i="61"/>
  <c r="F250" i="61"/>
  <c r="B251" i="61"/>
  <c r="C251" i="61"/>
  <c r="D251" i="61"/>
  <c r="F251" i="61"/>
  <c r="B252" i="61"/>
  <c r="C252" i="61"/>
  <c r="D252" i="61"/>
  <c r="F252" i="61"/>
  <c r="B253" i="61"/>
  <c r="C253" i="61"/>
  <c r="D253" i="61"/>
  <c r="F253" i="61"/>
  <c r="B254" i="61"/>
  <c r="C254" i="61"/>
  <c r="D254" i="61"/>
  <c r="F254" i="61"/>
  <c r="B255" i="61"/>
  <c r="C255" i="61"/>
  <c r="D255" i="61"/>
  <c r="F255" i="61"/>
  <c r="B256" i="61"/>
  <c r="C256" i="61"/>
  <c r="D256" i="61"/>
  <c r="F256" i="61"/>
  <c r="B257" i="61"/>
  <c r="C257" i="61"/>
  <c r="D257" i="61"/>
  <c r="F257" i="61"/>
  <c r="B258" i="61"/>
  <c r="C258" i="61"/>
  <c r="D258" i="61"/>
  <c r="F258" i="61"/>
  <c r="B259" i="61"/>
  <c r="C259" i="61"/>
  <c r="D259" i="61"/>
  <c r="F259" i="61"/>
  <c r="B260" i="61"/>
  <c r="C260" i="61"/>
  <c r="D260" i="61"/>
  <c r="F260" i="61"/>
  <c r="B261" i="61"/>
  <c r="C261" i="61"/>
  <c r="D261" i="61"/>
  <c r="F261" i="61"/>
  <c r="B262" i="61"/>
  <c r="C262" i="61"/>
  <c r="D262" i="61"/>
  <c r="F262" i="61"/>
  <c r="B263" i="61"/>
  <c r="C263" i="61"/>
  <c r="D263" i="61"/>
  <c r="F263" i="61"/>
  <c r="B264" i="61"/>
  <c r="C264" i="61"/>
  <c r="D264" i="61"/>
  <c r="F264" i="61"/>
  <c r="B265" i="61"/>
  <c r="C265" i="61"/>
  <c r="D265" i="61"/>
  <c r="F265" i="61"/>
  <c r="B266" i="61"/>
  <c r="C266" i="61"/>
  <c r="D266" i="61"/>
  <c r="F266" i="61"/>
  <c r="B267" i="61"/>
  <c r="C267" i="61"/>
  <c r="D267" i="61"/>
  <c r="F267" i="61"/>
  <c r="B268" i="61"/>
  <c r="C268" i="61"/>
  <c r="D268" i="61"/>
  <c r="F268" i="61"/>
  <c r="B269" i="61"/>
  <c r="C269" i="61"/>
  <c r="D269" i="61"/>
  <c r="F269" i="61"/>
  <c r="B270" i="61"/>
  <c r="C270" i="61"/>
  <c r="D270" i="61"/>
  <c r="F270" i="61"/>
  <c r="B271" i="61"/>
  <c r="C271" i="61"/>
  <c r="D271" i="61"/>
  <c r="F271" i="61"/>
  <c r="B272" i="61"/>
  <c r="C272" i="61"/>
  <c r="D272" i="61"/>
  <c r="F272" i="61"/>
  <c r="B273" i="61"/>
  <c r="C273" i="61"/>
  <c r="D273" i="61"/>
  <c r="F273" i="61"/>
  <c r="B274" i="61"/>
  <c r="C274" i="61"/>
  <c r="D274" i="61"/>
  <c r="F274" i="61"/>
  <c r="B275" i="61"/>
  <c r="C275" i="61"/>
  <c r="D275" i="61"/>
  <c r="F275" i="61"/>
  <c r="B276" i="61"/>
  <c r="C276" i="61"/>
  <c r="D276" i="61"/>
  <c r="F276" i="61"/>
  <c r="B277" i="61"/>
  <c r="C277" i="61"/>
  <c r="D277" i="61"/>
  <c r="F277" i="61"/>
  <c r="B278" i="61"/>
  <c r="C278" i="61"/>
  <c r="D278" i="61"/>
  <c r="F278" i="61"/>
  <c r="B279" i="61"/>
  <c r="C279" i="61"/>
  <c r="D279" i="61"/>
  <c r="F279" i="61"/>
  <c r="B280" i="61"/>
  <c r="C280" i="61"/>
  <c r="D280" i="61"/>
  <c r="F280" i="61"/>
  <c r="B281" i="61"/>
  <c r="C281" i="61"/>
  <c r="D281" i="61"/>
  <c r="F281" i="61"/>
  <c r="B282" i="61"/>
  <c r="C282" i="61"/>
  <c r="D282" i="61"/>
  <c r="F282" i="61"/>
  <c r="B283" i="61"/>
  <c r="C283" i="61"/>
  <c r="D283" i="61"/>
  <c r="F283" i="61"/>
  <c r="B284" i="61"/>
  <c r="C284" i="61"/>
  <c r="D284" i="61"/>
  <c r="F284" i="61"/>
  <c r="B285" i="61"/>
  <c r="C285" i="61"/>
  <c r="D285" i="61"/>
  <c r="F285" i="61"/>
  <c r="B286" i="61"/>
  <c r="C286" i="61"/>
  <c r="D286" i="61"/>
  <c r="F286" i="61"/>
  <c r="B287" i="61"/>
  <c r="C287" i="61"/>
  <c r="D287" i="61"/>
  <c r="F287" i="61"/>
  <c r="B288" i="61"/>
  <c r="C288" i="61"/>
  <c r="D288" i="61"/>
  <c r="F288" i="61"/>
  <c r="B289" i="61"/>
  <c r="C289" i="61"/>
  <c r="D289" i="61"/>
  <c r="F289" i="61"/>
  <c r="B290" i="61"/>
  <c r="C290" i="61"/>
  <c r="D290" i="61"/>
  <c r="F290" i="61"/>
  <c r="B291" i="61"/>
  <c r="C291" i="61"/>
  <c r="D291" i="61"/>
  <c r="F291" i="61"/>
  <c r="B292" i="61"/>
  <c r="C292" i="61"/>
  <c r="D292" i="61"/>
  <c r="F292" i="61"/>
  <c r="B293" i="61"/>
  <c r="C293" i="61"/>
  <c r="D293" i="61"/>
  <c r="F293" i="61"/>
  <c r="B294" i="61"/>
  <c r="C294" i="61"/>
  <c r="D294" i="61"/>
  <c r="F294" i="61"/>
  <c r="B295" i="61"/>
  <c r="C295" i="61"/>
  <c r="D295" i="61"/>
  <c r="F295" i="61"/>
  <c r="B296" i="61"/>
  <c r="C296" i="61"/>
  <c r="D296" i="61"/>
  <c r="F296" i="61"/>
  <c r="B297" i="61"/>
  <c r="C297" i="61"/>
  <c r="D297" i="61"/>
  <c r="F297" i="61"/>
  <c r="B298" i="61"/>
  <c r="C298" i="61"/>
  <c r="D298" i="61"/>
  <c r="F298" i="61"/>
  <c r="B299" i="61"/>
  <c r="C299" i="61"/>
  <c r="D299" i="61"/>
  <c r="F299" i="61"/>
  <c r="B300" i="61"/>
  <c r="C300" i="61"/>
  <c r="D300" i="61"/>
  <c r="E300" i="61"/>
  <c r="F300" i="61"/>
  <c r="B301" i="61"/>
  <c r="C301" i="61"/>
  <c r="D301" i="61"/>
  <c r="E301" i="61"/>
  <c r="F301" i="61"/>
  <c r="B302" i="61"/>
  <c r="C302" i="61"/>
  <c r="D302" i="61"/>
  <c r="E302" i="61"/>
  <c r="F302" i="61"/>
  <c r="B303" i="61"/>
  <c r="C303" i="61"/>
  <c r="D303" i="61"/>
  <c r="E303" i="61"/>
  <c r="F303" i="61"/>
  <c r="B304" i="61"/>
  <c r="C304" i="61"/>
  <c r="D304" i="61"/>
  <c r="E304" i="61"/>
  <c r="F304" i="61"/>
  <c r="B305" i="61"/>
  <c r="C305" i="61"/>
  <c r="D305" i="61"/>
  <c r="E305" i="61"/>
  <c r="F305" i="61"/>
  <c r="B306" i="61"/>
  <c r="C306" i="61"/>
  <c r="D306" i="61"/>
  <c r="E306" i="61"/>
  <c r="F306" i="61"/>
  <c r="B307" i="61"/>
  <c r="C307" i="61"/>
  <c r="D307" i="61"/>
  <c r="E307" i="61"/>
  <c r="F307" i="61"/>
  <c r="B308" i="61"/>
  <c r="C308" i="61"/>
  <c r="D308" i="61"/>
  <c r="E308" i="61"/>
  <c r="F308" i="61"/>
  <c r="B309" i="61"/>
  <c r="C309" i="61"/>
  <c r="D309" i="61"/>
  <c r="E309" i="61"/>
  <c r="F309" i="61"/>
  <c r="B310" i="61"/>
  <c r="C310" i="61"/>
  <c r="D310" i="61"/>
  <c r="E310" i="61"/>
  <c r="F310" i="61"/>
  <c r="B311" i="61"/>
  <c r="C311" i="61"/>
  <c r="D311" i="61"/>
  <c r="E311" i="61"/>
  <c r="F311" i="61"/>
  <c r="B312" i="61"/>
  <c r="C312" i="61"/>
  <c r="D312" i="61"/>
  <c r="E312" i="61"/>
  <c r="F312" i="61"/>
  <c r="B313" i="61"/>
  <c r="C313" i="61"/>
  <c r="D313" i="61"/>
  <c r="E313" i="61"/>
  <c r="F313" i="61"/>
  <c r="B314" i="61"/>
  <c r="C314" i="61"/>
  <c r="D314" i="61"/>
  <c r="E314" i="61"/>
  <c r="F314" i="61"/>
  <c r="B315" i="61"/>
  <c r="C315" i="61"/>
  <c r="D315" i="61"/>
  <c r="E315" i="61"/>
  <c r="F315" i="61"/>
  <c r="B316" i="61"/>
  <c r="C316" i="61"/>
  <c r="D316" i="61"/>
  <c r="E316" i="61"/>
  <c r="F316" i="61"/>
  <c r="B317" i="61"/>
  <c r="C317" i="61"/>
  <c r="D317" i="61"/>
  <c r="E317" i="61"/>
  <c r="F317" i="61"/>
  <c r="B318" i="61"/>
  <c r="C318" i="61"/>
  <c r="D318" i="61"/>
  <c r="E318" i="61"/>
  <c r="F318" i="61"/>
  <c r="B319" i="61"/>
  <c r="C319" i="61"/>
  <c r="D319" i="61"/>
  <c r="E319" i="61"/>
  <c r="F319" i="61"/>
  <c r="B320" i="61"/>
  <c r="C320" i="61"/>
  <c r="D320" i="61"/>
  <c r="E320" i="61"/>
  <c r="F320" i="61"/>
  <c r="B321" i="61"/>
  <c r="C321" i="61"/>
  <c r="D321" i="61"/>
  <c r="E321" i="61"/>
  <c r="F321" i="61"/>
  <c r="B322" i="61"/>
  <c r="C322" i="61"/>
  <c r="D322" i="61"/>
  <c r="E322" i="61"/>
  <c r="F322" i="61"/>
  <c r="B323" i="61"/>
  <c r="C323" i="61"/>
  <c r="D323" i="61"/>
  <c r="E323" i="61"/>
  <c r="F323" i="61"/>
  <c r="B324" i="61"/>
  <c r="C324" i="61"/>
  <c r="D324" i="61"/>
  <c r="E324" i="61"/>
  <c r="F324" i="61"/>
  <c r="B325" i="61"/>
  <c r="C325" i="61"/>
  <c r="D325" i="61"/>
  <c r="E325" i="61"/>
  <c r="F325" i="61"/>
  <c r="B326" i="61"/>
  <c r="C326" i="61"/>
  <c r="D326" i="61"/>
  <c r="E326" i="61"/>
  <c r="F326" i="61"/>
  <c r="B327" i="61"/>
  <c r="C327" i="61"/>
  <c r="D327" i="61"/>
  <c r="E327" i="61"/>
  <c r="F327" i="61"/>
  <c r="B328" i="61"/>
  <c r="C328" i="61"/>
  <c r="D328" i="61"/>
  <c r="E328" i="61"/>
  <c r="F328" i="61"/>
  <c r="B329" i="61"/>
  <c r="C329" i="61"/>
  <c r="D329" i="61"/>
  <c r="E329" i="61"/>
  <c r="F329" i="61"/>
  <c r="B330" i="61"/>
  <c r="C330" i="61"/>
  <c r="D330" i="61"/>
  <c r="E330" i="61"/>
  <c r="F330" i="61"/>
  <c r="B331" i="61"/>
  <c r="C331" i="61"/>
  <c r="D331" i="61"/>
  <c r="E331" i="61"/>
  <c r="F331" i="61"/>
  <c r="B332" i="61"/>
  <c r="C332" i="61"/>
  <c r="D332" i="61"/>
  <c r="E332" i="61"/>
  <c r="F332" i="61"/>
  <c r="B333" i="61"/>
  <c r="C333" i="61"/>
  <c r="D333" i="61"/>
  <c r="E333" i="61"/>
  <c r="F333" i="61"/>
  <c r="B334" i="61"/>
  <c r="C334" i="61"/>
  <c r="D334" i="61"/>
  <c r="E334" i="61"/>
  <c r="F334" i="61"/>
  <c r="B335" i="61"/>
  <c r="C335" i="61"/>
  <c r="D335" i="61"/>
  <c r="E335" i="61"/>
  <c r="F335" i="61"/>
  <c r="B336" i="61"/>
  <c r="C336" i="61"/>
  <c r="D336" i="61"/>
  <c r="E336" i="61"/>
  <c r="F336" i="61"/>
  <c r="B337" i="61"/>
  <c r="C337" i="61"/>
  <c r="D337" i="61"/>
  <c r="E337" i="61"/>
  <c r="F337" i="61"/>
  <c r="B338" i="61"/>
  <c r="C338" i="61"/>
  <c r="D338" i="61"/>
  <c r="E338" i="61"/>
  <c r="F338" i="61"/>
  <c r="B339" i="61"/>
  <c r="C339" i="61"/>
  <c r="D339" i="61"/>
  <c r="E339" i="61"/>
  <c r="F339" i="61"/>
  <c r="B340" i="61"/>
  <c r="C340" i="61"/>
  <c r="D340" i="61"/>
  <c r="E340" i="61"/>
  <c r="F340" i="61"/>
  <c r="B341" i="61"/>
  <c r="C341" i="61"/>
  <c r="D341" i="61"/>
  <c r="E341" i="61"/>
  <c r="F341" i="61"/>
  <c r="B342" i="61"/>
  <c r="C342" i="61"/>
  <c r="D342" i="61"/>
  <c r="E342" i="61"/>
  <c r="F342" i="61"/>
  <c r="B343" i="61"/>
  <c r="C343" i="61"/>
  <c r="D343" i="61"/>
  <c r="E343" i="61"/>
  <c r="F343" i="61"/>
  <c r="B344" i="61"/>
  <c r="C344" i="61"/>
  <c r="D344" i="61"/>
  <c r="E344" i="61"/>
  <c r="F344" i="61"/>
  <c r="B345" i="61"/>
  <c r="C345" i="61"/>
  <c r="D345" i="61"/>
  <c r="E345" i="61"/>
  <c r="F345" i="61"/>
  <c r="B346" i="61"/>
  <c r="C346" i="61"/>
  <c r="D346" i="61"/>
  <c r="E346" i="61"/>
  <c r="F346" i="61"/>
  <c r="B347" i="61"/>
  <c r="C347" i="61"/>
  <c r="D347" i="61"/>
  <c r="E347" i="61"/>
  <c r="F347" i="61"/>
  <c r="B348" i="61"/>
  <c r="C348" i="61"/>
  <c r="D348" i="61"/>
  <c r="E348" i="61"/>
  <c r="F348" i="61"/>
  <c r="B349" i="61"/>
  <c r="C349" i="61"/>
  <c r="D349" i="61"/>
  <c r="E349" i="61"/>
  <c r="F349" i="61"/>
  <c r="B350" i="61"/>
  <c r="C350" i="61"/>
  <c r="D350" i="61"/>
  <c r="E350" i="61"/>
  <c r="F350" i="61"/>
  <c r="B351" i="61"/>
  <c r="C351" i="61"/>
  <c r="D351" i="61"/>
  <c r="E351" i="61"/>
  <c r="F351" i="61"/>
  <c r="B352" i="61"/>
  <c r="C352" i="61"/>
  <c r="D352" i="61"/>
  <c r="E352" i="61"/>
  <c r="F352" i="61"/>
  <c r="B353" i="61"/>
  <c r="C353" i="61"/>
  <c r="D353" i="61"/>
  <c r="E353" i="61"/>
  <c r="F353" i="61"/>
  <c r="B354" i="61"/>
  <c r="C354" i="61"/>
  <c r="D354" i="61"/>
  <c r="E354" i="61"/>
  <c r="F354" i="61"/>
  <c r="B355" i="61"/>
  <c r="C355" i="61"/>
  <c r="D355" i="61"/>
  <c r="E355" i="61"/>
  <c r="F355" i="61"/>
  <c r="B356" i="61"/>
  <c r="C356" i="61"/>
  <c r="D356" i="61"/>
  <c r="E356" i="61"/>
  <c r="F356" i="61"/>
  <c r="B357" i="61"/>
  <c r="C357" i="61"/>
  <c r="D357" i="61"/>
  <c r="E357" i="61"/>
  <c r="F357" i="61"/>
  <c r="B358" i="61"/>
  <c r="C358" i="61"/>
  <c r="D358" i="61"/>
  <c r="E358" i="61"/>
  <c r="F358" i="61"/>
  <c r="B359" i="61"/>
  <c r="C359" i="61"/>
  <c r="D359" i="61"/>
  <c r="E359" i="61"/>
  <c r="F359" i="61"/>
  <c r="B360" i="61"/>
  <c r="C360" i="61"/>
  <c r="D360" i="61"/>
  <c r="E360" i="61"/>
  <c r="F360" i="61"/>
  <c r="B361" i="61"/>
  <c r="C361" i="61"/>
  <c r="D361" i="61"/>
  <c r="E361" i="61"/>
  <c r="F361" i="61"/>
  <c r="B362" i="61"/>
  <c r="C362" i="61"/>
  <c r="D362" i="61"/>
  <c r="E362" i="61"/>
  <c r="F362" i="61"/>
  <c r="B363" i="61"/>
  <c r="C363" i="61"/>
  <c r="D363" i="61"/>
  <c r="E363" i="61"/>
  <c r="F363" i="61"/>
  <c r="B364" i="61"/>
  <c r="C364" i="61"/>
  <c r="D364" i="61"/>
  <c r="E364" i="61"/>
  <c r="F364" i="61"/>
  <c r="B365" i="61"/>
  <c r="C365" i="61"/>
  <c r="D365" i="61"/>
  <c r="E365" i="61"/>
  <c r="F365" i="61"/>
  <c r="B366" i="61"/>
  <c r="C366" i="61"/>
  <c r="D366" i="61"/>
  <c r="E366" i="61"/>
  <c r="F366" i="61"/>
  <c r="B367" i="61"/>
  <c r="C367" i="61"/>
  <c r="D367" i="61"/>
  <c r="E367" i="61"/>
  <c r="F367" i="61"/>
  <c r="B368" i="61"/>
  <c r="C368" i="61"/>
  <c r="D368" i="61"/>
  <c r="E368" i="61"/>
  <c r="F368" i="61"/>
  <c r="B369" i="61"/>
  <c r="C369" i="61"/>
  <c r="D369" i="61"/>
  <c r="E369" i="61"/>
  <c r="F369" i="61"/>
  <c r="B370" i="61"/>
  <c r="C370" i="61"/>
  <c r="D370" i="61"/>
  <c r="E370" i="61"/>
  <c r="F370" i="61"/>
  <c r="B371" i="61"/>
  <c r="C371" i="61"/>
  <c r="D371" i="61"/>
  <c r="E371" i="61"/>
  <c r="F371" i="61"/>
  <c r="B372" i="61"/>
  <c r="C372" i="61"/>
  <c r="D372" i="61"/>
  <c r="E372" i="61"/>
  <c r="F372" i="61"/>
  <c r="B373" i="61"/>
  <c r="C373" i="61"/>
  <c r="D373" i="61"/>
  <c r="E373" i="61"/>
  <c r="F373" i="61"/>
  <c r="B374" i="61"/>
  <c r="C374" i="61"/>
  <c r="D374" i="61"/>
  <c r="E374" i="61"/>
  <c r="F374" i="61"/>
  <c r="B375" i="61"/>
  <c r="C375" i="61"/>
  <c r="D375" i="61"/>
  <c r="E375" i="61"/>
  <c r="F375" i="61"/>
  <c r="B376" i="61"/>
  <c r="C376" i="61"/>
  <c r="D376" i="61"/>
  <c r="E376" i="61"/>
  <c r="F376" i="61"/>
  <c r="B377" i="61"/>
  <c r="C377" i="61"/>
  <c r="D377" i="61"/>
  <c r="E377" i="61"/>
  <c r="F377" i="61"/>
  <c r="B378" i="61"/>
  <c r="C378" i="61"/>
  <c r="D378" i="61"/>
  <c r="E378" i="61"/>
  <c r="F378" i="61"/>
  <c r="B379" i="61"/>
  <c r="C379" i="61"/>
  <c r="D379" i="61"/>
  <c r="E379" i="61"/>
  <c r="F379" i="61"/>
  <c r="B380" i="61"/>
  <c r="C380" i="61"/>
  <c r="D380" i="61"/>
  <c r="E380" i="61"/>
  <c r="F380" i="61"/>
  <c r="B381" i="61"/>
  <c r="C381" i="61"/>
  <c r="D381" i="61"/>
  <c r="E381" i="61"/>
  <c r="F381" i="61"/>
  <c r="B382" i="61"/>
  <c r="C382" i="61"/>
  <c r="D382" i="61"/>
  <c r="E382" i="61"/>
  <c r="F382" i="61"/>
  <c r="B383" i="61"/>
  <c r="C383" i="61"/>
  <c r="D383" i="61"/>
  <c r="E383" i="61"/>
  <c r="F383" i="61"/>
  <c r="B384" i="61"/>
  <c r="C384" i="61"/>
  <c r="D384" i="61"/>
  <c r="E384" i="61"/>
  <c r="F384" i="61"/>
  <c r="B385" i="61"/>
  <c r="C385" i="61"/>
  <c r="D385" i="61"/>
  <c r="E385" i="61"/>
  <c r="F385" i="61"/>
  <c r="B386" i="61"/>
  <c r="C386" i="61"/>
  <c r="D386" i="61"/>
  <c r="E386" i="61"/>
  <c r="F386" i="61"/>
  <c r="B387" i="61"/>
  <c r="C387" i="61"/>
  <c r="D387" i="61"/>
  <c r="E387" i="61"/>
  <c r="F387" i="61"/>
  <c r="B388" i="61"/>
  <c r="C388" i="61"/>
  <c r="D388" i="61"/>
  <c r="E388" i="61"/>
  <c r="F388" i="61"/>
  <c r="B389" i="61"/>
  <c r="C389" i="61"/>
  <c r="D389" i="61"/>
  <c r="E389" i="61"/>
  <c r="F389" i="61"/>
  <c r="B390" i="61"/>
  <c r="C390" i="61"/>
  <c r="D390" i="61"/>
  <c r="E390" i="61"/>
  <c r="F390" i="61"/>
  <c r="B391" i="61"/>
  <c r="C391" i="61"/>
  <c r="D391" i="61"/>
  <c r="E391" i="61"/>
  <c r="F391" i="61"/>
  <c r="B392" i="61"/>
  <c r="C392" i="61"/>
  <c r="D392" i="61"/>
  <c r="E392" i="61"/>
  <c r="F392" i="61"/>
  <c r="B393" i="61"/>
  <c r="C393" i="61"/>
  <c r="D393" i="61"/>
  <c r="E393" i="61"/>
  <c r="F393" i="61"/>
  <c r="B394" i="61"/>
  <c r="C394" i="61"/>
  <c r="D394" i="61"/>
  <c r="E394" i="61"/>
  <c r="F394" i="61"/>
  <c r="B395" i="61"/>
  <c r="C395" i="61"/>
  <c r="D395" i="61"/>
  <c r="E395" i="61"/>
  <c r="F395" i="61"/>
  <c r="B396" i="61"/>
  <c r="C396" i="61"/>
  <c r="D396" i="61"/>
  <c r="E396" i="61"/>
  <c r="F396" i="61"/>
  <c r="B397" i="61"/>
  <c r="C397" i="61"/>
  <c r="D397" i="61"/>
  <c r="E397" i="61"/>
  <c r="F397" i="61"/>
  <c r="B398" i="61"/>
  <c r="C398" i="61"/>
  <c r="D398" i="61"/>
  <c r="E398" i="61"/>
  <c r="F398" i="61"/>
  <c r="B399" i="61"/>
  <c r="C399" i="61"/>
  <c r="D399" i="61"/>
  <c r="E399" i="61"/>
  <c r="F399" i="61"/>
  <c r="B400" i="61"/>
  <c r="C400" i="61"/>
  <c r="D400" i="61"/>
  <c r="E400" i="61"/>
  <c r="F400" i="61"/>
  <c r="B401" i="61"/>
  <c r="C401" i="61"/>
  <c r="D401" i="61"/>
  <c r="E401" i="61"/>
  <c r="F401" i="61"/>
  <c r="B402" i="61"/>
  <c r="C402" i="61"/>
  <c r="D402" i="61"/>
  <c r="E402" i="61"/>
  <c r="F402" i="61"/>
  <c r="G402" i="61"/>
  <c r="B403" i="61"/>
  <c r="C403" i="61"/>
  <c r="D403" i="61"/>
  <c r="E403" i="61"/>
  <c r="F403" i="61"/>
  <c r="G403" i="61"/>
  <c r="B404" i="61"/>
  <c r="C404" i="61"/>
  <c r="D404" i="61"/>
  <c r="E404" i="61"/>
  <c r="F404" i="61"/>
  <c r="G404" i="61"/>
  <c r="B405" i="61"/>
  <c r="C405" i="61"/>
  <c r="D405" i="61"/>
  <c r="E405" i="61"/>
  <c r="F405" i="61"/>
  <c r="G405" i="61"/>
  <c r="B406" i="61"/>
  <c r="C406" i="61"/>
  <c r="D406" i="61"/>
  <c r="E406" i="61"/>
  <c r="F406" i="61"/>
  <c r="G406" i="61"/>
  <c r="B407" i="61"/>
  <c r="C407" i="61"/>
  <c r="D407" i="61"/>
  <c r="E407" i="61"/>
  <c r="F407" i="61"/>
  <c r="G407" i="61"/>
  <c r="B408" i="61"/>
  <c r="C408" i="61"/>
  <c r="D408" i="61"/>
  <c r="E408" i="61"/>
  <c r="F408" i="61"/>
  <c r="G408" i="61"/>
  <c r="B409" i="61"/>
  <c r="C409" i="61"/>
  <c r="D409" i="61"/>
  <c r="E409" i="61"/>
  <c r="F409" i="61"/>
  <c r="G409" i="61"/>
  <c r="B410" i="61"/>
  <c r="C410" i="61"/>
  <c r="D410" i="61"/>
  <c r="E410" i="61"/>
  <c r="F410" i="61"/>
  <c r="G410" i="61"/>
  <c r="B411" i="61"/>
  <c r="C411" i="61"/>
  <c r="D411" i="61"/>
  <c r="E411" i="61"/>
  <c r="F411" i="61"/>
  <c r="G411" i="61"/>
  <c r="B412" i="61"/>
  <c r="C412" i="61"/>
  <c r="D412" i="61"/>
  <c r="E412" i="61"/>
  <c r="F412" i="61"/>
  <c r="G412" i="61"/>
  <c r="B413" i="61"/>
  <c r="C413" i="61"/>
  <c r="D413" i="61"/>
  <c r="E413" i="61"/>
  <c r="F413" i="61"/>
  <c r="G413" i="61"/>
  <c r="B414" i="61"/>
  <c r="C414" i="61"/>
  <c r="D414" i="61"/>
  <c r="E414" i="61"/>
  <c r="F414" i="61"/>
  <c r="G414" i="61"/>
  <c r="B415" i="61"/>
  <c r="C415" i="61"/>
  <c r="D415" i="61"/>
  <c r="E415" i="61"/>
  <c r="F415" i="61"/>
  <c r="G415" i="61"/>
  <c r="B416" i="61"/>
  <c r="C416" i="61"/>
  <c r="D416" i="61"/>
  <c r="E416" i="61"/>
  <c r="F416" i="61"/>
  <c r="G416" i="61"/>
  <c r="B417" i="61"/>
  <c r="C417" i="61"/>
  <c r="D417" i="61"/>
  <c r="E417" i="61"/>
  <c r="F417" i="61"/>
  <c r="G417" i="61"/>
  <c r="B418" i="61"/>
  <c r="C418" i="61"/>
  <c r="D418" i="61"/>
  <c r="E418" i="61"/>
  <c r="F418" i="61"/>
  <c r="G418" i="61"/>
  <c r="B419" i="61"/>
  <c r="C419" i="61"/>
  <c r="D419" i="61"/>
  <c r="E419" i="61"/>
  <c r="F419" i="61"/>
  <c r="G419" i="61"/>
  <c r="B420" i="61"/>
  <c r="C420" i="61"/>
  <c r="D420" i="61"/>
  <c r="E420" i="61"/>
  <c r="F420" i="61"/>
  <c r="G420" i="61"/>
  <c r="B421" i="61"/>
  <c r="C421" i="61"/>
  <c r="D421" i="61"/>
  <c r="E421" i="61"/>
  <c r="F421" i="61"/>
  <c r="G421" i="61"/>
  <c r="B422" i="61"/>
  <c r="C422" i="61"/>
  <c r="D422" i="61"/>
  <c r="E422" i="61"/>
  <c r="F422" i="61"/>
  <c r="G422" i="61"/>
  <c r="B423" i="61"/>
  <c r="C423" i="61"/>
  <c r="D423" i="61"/>
  <c r="E423" i="61"/>
  <c r="F423" i="61"/>
  <c r="G423" i="61"/>
  <c r="B424" i="61"/>
  <c r="C424" i="61"/>
  <c r="D424" i="61"/>
  <c r="E424" i="61"/>
  <c r="F424" i="61"/>
  <c r="G424" i="61"/>
  <c r="B425" i="61"/>
  <c r="C425" i="61"/>
  <c r="D425" i="61"/>
  <c r="E425" i="61"/>
  <c r="F425" i="61"/>
  <c r="G425" i="61"/>
  <c r="B426" i="61"/>
  <c r="C426" i="61"/>
  <c r="D426" i="61"/>
  <c r="E426" i="61"/>
  <c r="F426" i="61"/>
  <c r="G426" i="61"/>
  <c r="B427" i="61"/>
  <c r="C427" i="61"/>
  <c r="D427" i="61"/>
  <c r="E427" i="61"/>
  <c r="F427" i="61"/>
  <c r="G427" i="61"/>
  <c r="B428" i="61"/>
  <c r="C428" i="61"/>
  <c r="D428" i="61"/>
  <c r="E428" i="61"/>
  <c r="F428" i="61"/>
  <c r="G428" i="61"/>
  <c r="B429" i="61"/>
  <c r="C429" i="61"/>
  <c r="D429" i="61"/>
  <c r="E429" i="61"/>
  <c r="F429" i="61"/>
  <c r="G429" i="61"/>
  <c r="B430" i="61"/>
  <c r="C430" i="61"/>
  <c r="D430" i="61"/>
  <c r="E430" i="61"/>
  <c r="F430" i="61"/>
  <c r="G430" i="61"/>
  <c r="B431" i="61"/>
  <c r="C431" i="61"/>
  <c r="D431" i="61"/>
  <c r="E431" i="61"/>
  <c r="F431" i="61"/>
  <c r="G431" i="61"/>
  <c r="B432" i="61"/>
  <c r="C432" i="61"/>
  <c r="D432" i="61"/>
  <c r="E432" i="61"/>
  <c r="F432" i="61"/>
  <c r="G432" i="61"/>
  <c r="B433" i="61"/>
  <c r="C433" i="61"/>
  <c r="D433" i="61"/>
  <c r="E433" i="61"/>
  <c r="F433" i="61"/>
  <c r="G433" i="61"/>
  <c r="B434" i="61"/>
  <c r="C434" i="61"/>
  <c r="D434" i="61"/>
  <c r="E434" i="61"/>
  <c r="F434" i="61"/>
  <c r="G434" i="61"/>
  <c r="B435" i="61"/>
  <c r="C435" i="61"/>
  <c r="D435" i="61"/>
  <c r="E435" i="61"/>
  <c r="F435" i="61"/>
  <c r="G435" i="61"/>
  <c r="B436" i="61"/>
  <c r="C436" i="61"/>
  <c r="D436" i="61"/>
  <c r="E436" i="61"/>
  <c r="F436" i="61"/>
  <c r="G436" i="61"/>
  <c r="B437" i="61"/>
  <c r="C437" i="61"/>
  <c r="D437" i="61"/>
  <c r="E437" i="61"/>
  <c r="F437" i="61"/>
  <c r="G437" i="61"/>
  <c r="B438" i="61"/>
  <c r="C438" i="61"/>
  <c r="D438" i="61"/>
  <c r="E438" i="61"/>
  <c r="F438" i="61"/>
  <c r="G438" i="61"/>
  <c r="B439" i="61"/>
  <c r="C439" i="61"/>
  <c r="D439" i="61"/>
  <c r="E439" i="61"/>
  <c r="F439" i="61"/>
  <c r="G439" i="61"/>
  <c r="B440" i="61"/>
  <c r="C440" i="61"/>
  <c r="D440" i="61"/>
  <c r="E440" i="61"/>
  <c r="F440" i="61"/>
  <c r="G440" i="61"/>
  <c r="B441" i="61"/>
  <c r="C441" i="61"/>
  <c r="D441" i="61"/>
  <c r="E441" i="61"/>
  <c r="F441" i="61"/>
  <c r="G441" i="61"/>
  <c r="B442" i="61"/>
  <c r="C442" i="61"/>
  <c r="D442" i="61"/>
  <c r="E442" i="61"/>
  <c r="F442" i="61"/>
  <c r="G442" i="61"/>
  <c r="B443" i="61"/>
  <c r="C443" i="61"/>
  <c r="D443" i="61"/>
  <c r="E443" i="61"/>
  <c r="F443" i="61"/>
  <c r="G443" i="61"/>
  <c r="B444" i="61"/>
  <c r="C444" i="61"/>
  <c r="D444" i="61"/>
  <c r="E444" i="61"/>
  <c r="F444" i="61"/>
  <c r="G444" i="61"/>
  <c r="B445" i="61"/>
  <c r="C445" i="61"/>
  <c r="D445" i="61"/>
  <c r="E445" i="61"/>
  <c r="F445" i="61"/>
  <c r="G445" i="61"/>
  <c r="B446" i="61"/>
  <c r="C446" i="61"/>
  <c r="D446" i="61"/>
  <c r="E446" i="61"/>
  <c r="F446" i="61"/>
  <c r="G446" i="61"/>
  <c r="B447" i="61"/>
  <c r="C447" i="61"/>
  <c r="D447" i="61"/>
  <c r="E447" i="61"/>
  <c r="F447" i="61"/>
  <c r="G447" i="61"/>
  <c r="B448" i="61"/>
  <c r="C448" i="61"/>
  <c r="D448" i="61"/>
  <c r="E448" i="61"/>
  <c r="F448" i="61"/>
  <c r="G448" i="61"/>
  <c r="B449" i="61"/>
  <c r="C449" i="61"/>
  <c r="D449" i="61"/>
  <c r="E449" i="61"/>
  <c r="F449" i="61"/>
  <c r="G449" i="61"/>
  <c r="B450" i="61"/>
  <c r="C450" i="61"/>
  <c r="D450" i="61"/>
  <c r="E450" i="61"/>
  <c r="F450" i="61"/>
  <c r="G450" i="61"/>
  <c r="B451" i="61"/>
  <c r="C451" i="61"/>
  <c r="D451" i="61"/>
  <c r="E451" i="61"/>
  <c r="F451" i="61"/>
  <c r="G451" i="61"/>
  <c r="F1" i="61"/>
  <c r="H1" i="61"/>
  <c r="F2" i="61"/>
  <c r="H2" i="61"/>
  <c r="F3" i="61"/>
  <c r="H3" i="61"/>
  <c r="F4" i="61"/>
  <c r="H4" i="61"/>
  <c r="B8" i="60"/>
  <c r="C8" i="60"/>
  <c r="D8" i="60"/>
  <c r="F8" i="60"/>
  <c r="B9" i="60"/>
  <c r="C9" i="60"/>
  <c r="D9" i="60"/>
  <c r="F9" i="60"/>
  <c r="B10" i="60"/>
  <c r="C10" i="60"/>
  <c r="D10" i="60"/>
  <c r="F10" i="60"/>
  <c r="B11" i="60"/>
  <c r="C11" i="60"/>
  <c r="D11" i="60"/>
  <c r="F11" i="60"/>
  <c r="B12" i="60"/>
  <c r="C12" i="60"/>
  <c r="D12" i="60"/>
  <c r="F12" i="60"/>
  <c r="B13" i="60"/>
  <c r="C13" i="60"/>
  <c r="D13" i="60"/>
  <c r="F13" i="60"/>
  <c r="B14" i="60"/>
  <c r="C14" i="60"/>
  <c r="D14" i="60"/>
  <c r="F14" i="60"/>
  <c r="B15" i="60"/>
  <c r="C15" i="60"/>
  <c r="D15" i="60"/>
  <c r="F15" i="60"/>
  <c r="B16" i="60"/>
  <c r="C16" i="60"/>
  <c r="D16" i="60"/>
  <c r="F16" i="60"/>
  <c r="B17" i="60"/>
  <c r="C17" i="60"/>
  <c r="D17" i="60"/>
  <c r="F17" i="60"/>
  <c r="B18" i="60"/>
  <c r="C18" i="60"/>
  <c r="D18" i="60"/>
  <c r="F18" i="60"/>
  <c r="B19" i="60"/>
  <c r="C19" i="60"/>
  <c r="D19" i="60"/>
  <c r="F19" i="60"/>
  <c r="B20" i="60"/>
  <c r="C20" i="60"/>
  <c r="D20" i="60"/>
  <c r="F20" i="60"/>
  <c r="B21" i="60"/>
  <c r="C21" i="60"/>
  <c r="D21" i="60"/>
  <c r="F21" i="60"/>
  <c r="B22" i="60"/>
  <c r="C22" i="60"/>
  <c r="D22" i="60"/>
  <c r="F22" i="60"/>
  <c r="B23" i="60"/>
  <c r="C23" i="60"/>
  <c r="D23" i="60"/>
  <c r="F23" i="60"/>
  <c r="B24" i="60"/>
  <c r="C24" i="60"/>
  <c r="D24" i="60"/>
  <c r="F24" i="60"/>
  <c r="B25" i="60"/>
  <c r="C25" i="60"/>
  <c r="D25" i="60"/>
  <c r="F25" i="60"/>
  <c r="B26" i="60"/>
  <c r="C26" i="60"/>
  <c r="D26" i="60"/>
  <c r="F26" i="60"/>
  <c r="B27" i="60"/>
  <c r="C27" i="60"/>
  <c r="D27" i="60"/>
  <c r="F27" i="60"/>
  <c r="B28" i="60"/>
  <c r="C28" i="60"/>
  <c r="D28" i="60"/>
  <c r="F28" i="60"/>
  <c r="B29" i="60"/>
  <c r="C29" i="60"/>
  <c r="D29" i="60"/>
  <c r="F29" i="60"/>
  <c r="B30" i="60"/>
  <c r="C30" i="60"/>
  <c r="D30" i="60"/>
  <c r="F30" i="60"/>
  <c r="B31" i="60"/>
  <c r="C31" i="60"/>
  <c r="D31" i="60"/>
  <c r="F31" i="60"/>
  <c r="B32" i="60"/>
  <c r="C32" i="60"/>
  <c r="D32" i="60"/>
  <c r="F32" i="60"/>
  <c r="B33" i="60"/>
  <c r="C33" i="60"/>
  <c r="D33" i="60"/>
  <c r="F33" i="60"/>
  <c r="B34" i="60"/>
  <c r="C34" i="60"/>
  <c r="D34" i="60"/>
  <c r="F34" i="60"/>
  <c r="B35" i="60"/>
  <c r="C35" i="60"/>
  <c r="D35" i="60"/>
  <c r="F35" i="60"/>
  <c r="B36" i="60"/>
  <c r="C36" i="60"/>
  <c r="D36" i="60"/>
  <c r="F36" i="60"/>
  <c r="B37" i="60"/>
  <c r="C37" i="60"/>
  <c r="D37" i="60"/>
  <c r="F37" i="60"/>
  <c r="B38" i="60"/>
  <c r="C38" i="60"/>
  <c r="D38" i="60"/>
  <c r="F38" i="60"/>
  <c r="B39" i="60"/>
  <c r="C39" i="60"/>
  <c r="D39" i="60"/>
  <c r="F39" i="60"/>
  <c r="B40" i="60"/>
  <c r="C40" i="60"/>
  <c r="D40" i="60"/>
  <c r="F40" i="60"/>
  <c r="B41" i="60"/>
  <c r="C41" i="60"/>
  <c r="D41" i="60"/>
  <c r="F41" i="60"/>
  <c r="B42" i="60"/>
  <c r="C42" i="60"/>
  <c r="D42" i="60"/>
  <c r="F42" i="60"/>
  <c r="B43" i="60"/>
  <c r="C43" i="60"/>
  <c r="D43" i="60"/>
  <c r="F43" i="60"/>
  <c r="B44" i="60"/>
  <c r="C44" i="60"/>
  <c r="D44" i="60"/>
  <c r="F44" i="60"/>
  <c r="B45" i="60"/>
  <c r="C45" i="60"/>
  <c r="D45" i="60"/>
  <c r="F45" i="60"/>
  <c r="B46" i="60"/>
  <c r="C46" i="60"/>
  <c r="D46" i="60"/>
  <c r="F46" i="60"/>
  <c r="B47" i="60"/>
  <c r="C47" i="60"/>
  <c r="D47" i="60"/>
  <c r="F47" i="60"/>
  <c r="B48" i="60"/>
  <c r="C48" i="60"/>
  <c r="D48" i="60"/>
  <c r="F48" i="60"/>
  <c r="B49" i="60"/>
  <c r="C49" i="60"/>
  <c r="D49" i="60"/>
  <c r="F49" i="60"/>
  <c r="B50" i="60"/>
  <c r="C50" i="60"/>
  <c r="D50" i="60"/>
  <c r="F50" i="60"/>
  <c r="B51" i="60"/>
  <c r="C51" i="60"/>
  <c r="D51" i="60"/>
  <c r="F51" i="60"/>
  <c r="B52" i="60"/>
  <c r="C52" i="60"/>
  <c r="D52" i="60"/>
  <c r="F52" i="60"/>
  <c r="B53" i="60"/>
  <c r="C53" i="60"/>
  <c r="D53" i="60"/>
  <c r="F53" i="60"/>
  <c r="B54" i="60"/>
  <c r="C54" i="60"/>
  <c r="D54" i="60"/>
  <c r="F54" i="60"/>
  <c r="B55" i="60"/>
  <c r="C55" i="60"/>
  <c r="D55" i="60"/>
  <c r="F55" i="60"/>
  <c r="B56" i="60"/>
  <c r="C56" i="60"/>
  <c r="D56" i="60"/>
  <c r="F56" i="60"/>
  <c r="B57" i="60"/>
  <c r="C57" i="60"/>
  <c r="D57" i="60"/>
  <c r="F57" i="60"/>
  <c r="B58" i="60"/>
  <c r="C58" i="60"/>
  <c r="D58" i="60"/>
  <c r="F58" i="60"/>
  <c r="B59" i="60"/>
  <c r="C59" i="60"/>
  <c r="D59" i="60"/>
  <c r="F59" i="60"/>
  <c r="B60" i="60"/>
  <c r="C60" i="60"/>
  <c r="D60" i="60"/>
  <c r="F60" i="60"/>
  <c r="B61" i="60"/>
  <c r="C61" i="60"/>
  <c r="D61" i="60"/>
  <c r="F61" i="60"/>
  <c r="B62" i="60"/>
  <c r="C62" i="60"/>
  <c r="D62" i="60"/>
  <c r="F62" i="60"/>
  <c r="B63" i="60"/>
  <c r="C63" i="60"/>
  <c r="D63" i="60"/>
  <c r="F63" i="60"/>
  <c r="B64" i="60"/>
  <c r="C64" i="60"/>
  <c r="D64" i="60"/>
  <c r="F64" i="60"/>
  <c r="B65" i="60"/>
  <c r="C65" i="60"/>
  <c r="D65" i="60"/>
  <c r="F65" i="60"/>
  <c r="B66" i="60"/>
  <c r="C66" i="60"/>
  <c r="D66" i="60"/>
  <c r="F66" i="60"/>
  <c r="B67" i="60"/>
  <c r="C67" i="60"/>
  <c r="D67" i="60"/>
  <c r="F67" i="60"/>
  <c r="B68" i="60"/>
  <c r="C68" i="60"/>
  <c r="D68" i="60"/>
  <c r="F68" i="60"/>
  <c r="B69" i="60"/>
  <c r="C69" i="60"/>
  <c r="D69" i="60"/>
  <c r="F69" i="60"/>
  <c r="B70" i="60"/>
  <c r="C70" i="60"/>
  <c r="D70" i="60"/>
  <c r="F70" i="60"/>
  <c r="B71" i="60"/>
  <c r="C71" i="60"/>
  <c r="D71" i="60"/>
  <c r="F71" i="60"/>
  <c r="B72" i="60"/>
  <c r="C72" i="60"/>
  <c r="D72" i="60"/>
  <c r="F72" i="60"/>
  <c r="B73" i="60"/>
  <c r="C73" i="60"/>
  <c r="D73" i="60"/>
  <c r="F73" i="60"/>
  <c r="B74" i="60"/>
  <c r="C74" i="60"/>
  <c r="D74" i="60"/>
  <c r="F74" i="60"/>
  <c r="B75" i="60"/>
  <c r="C75" i="60"/>
  <c r="D75" i="60"/>
  <c r="F75" i="60"/>
  <c r="B76" i="60"/>
  <c r="C76" i="60"/>
  <c r="D76" i="60"/>
  <c r="F76" i="60"/>
  <c r="B77" i="60"/>
  <c r="C77" i="60"/>
  <c r="D77" i="60"/>
  <c r="F77" i="60"/>
  <c r="B78" i="60"/>
  <c r="C78" i="60"/>
  <c r="D78" i="60"/>
  <c r="F78" i="60"/>
  <c r="B79" i="60"/>
  <c r="C79" i="60"/>
  <c r="D79" i="60"/>
  <c r="F79" i="60"/>
  <c r="B80" i="60"/>
  <c r="C80" i="60"/>
  <c r="D80" i="60"/>
  <c r="F80" i="60"/>
  <c r="B81" i="60"/>
  <c r="C81" i="60"/>
  <c r="D81" i="60"/>
  <c r="F81" i="60"/>
  <c r="B82" i="60"/>
  <c r="C82" i="60"/>
  <c r="D82" i="60"/>
  <c r="F82" i="60"/>
  <c r="B83" i="60"/>
  <c r="C83" i="60"/>
  <c r="D83" i="60"/>
  <c r="F83" i="60"/>
  <c r="B84" i="60"/>
  <c r="C84" i="60"/>
  <c r="D84" i="60"/>
  <c r="F84" i="60"/>
  <c r="B85" i="60"/>
  <c r="C85" i="60"/>
  <c r="D85" i="60"/>
  <c r="F85" i="60"/>
  <c r="B86" i="60"/>
  <c r="C86" i="60"/>
  <c r="D86" i="60"/>
  <c r="F86" i="60"/>
  <c r="B87" i="60"/>
  <c r="C87" i="60"/>
  <c r="D87" i="60"/>
  <c r="F87" i="60"/>
  <c r="B88" i="60"/>
  <c r="C88" i="60"/>
  <c r="D88" i="60"/>
  <c r="F88" i="60"/>
  <c r="B89" i="60"/>
  <c r="C89" i="60"/>
  <c r="D89" i="60"/>
  <c r="F89" i="60"/>
  <c r="B90" i="60"/>
  <c r="C90" i="60"/>
  <c r="D90" i="60"/>
  <c r="F90" i="60"/>
  <c r="B91" i="60"/>
  <c r="C91" i="60"/>
  <c r="D91" i="60"/>
  <c r="F91" i="60"/>
  <c r="B92" i="60"/>
  <c r="C92" i="60"/>
  <c r="D92" i="60"/>
  <c r="F92" i="60"/>
  <c r="B93" i="60"/>
  <c r="C93" i="60"/>
  <c r="D93" i="60"/>
  <c r="F93" i="60"/>
  <c r="B94" i="60"/>
  <c r="C94" i="60"/>
  <c r="D94" i="60"/>
  <c r="F94" i="60"/>
  <c r="B95" i="60"/>
  <c r="C95" i="60"/>
  <c r="D95" i="60"/>
  <c r="F95" i="60"/>
  <c r="B96" i="60"/>
  <c r="C96" i="60"/>
  <c r="D96" i="60"/>
  <c r="F96" i="60"/>
  <c r="B97" i="60"/>
  <c r="C97" i="60"/>
  <c r="D97" i="60"/>
  <c r="F97" i="60"/>
  <c r="B98" i="60"/>
  <c r="C98" i="60"/>
  <c r="D98" i="60"/>
  <c r="F98" i="60"/>
  <c r="B99" i="60"/>
  <c r="C99" i="60"/>
  <c r="D99" i="60"/>
  <c r="F99" i="60"/>
  <c r="B100" i="60"/>
  <c r="C100" i="60"/>
  <c r="D100" i="60"/>
  <c r="F100" i="60"/>
  <c r="B101" i="60"/>
  <c r="C101" i="60"/>
  <c r="D101" i="60"/>
  <c r="F101" i="60"/>
  <c r="B102" i="60"/>
  <c r="C102" i="60"/>
  <c r="D102" i="60"/>
  <c r="F102" i="60"/>
  <c r="B103" i="60"/>
  <c r="C103" i="60"/>
  <c r="D103" i="60"/>
  <c r="F103" i="60"/>
  <c r="B104" i="60"/>
  <c r="C104" i="60"/>
  <c r="D104" i="60"/>
  <c r="F104" i="60"/>
  <c r="B105" i="60"/>
  <c r="C105" i="60"/>
  <c r="D105" i="60"/>
  <c r="F105" i="60"/>
  <c r="B106" i="60"/>
  <c r="C106" i="60"/>
  <c r="D106" i="60"/>
  <c r="F106" i="60"/>
  <c r="B107" i="60"/>
  <c r="C107" i="60"/>
  <c r="D107" i="60"/>
  <c r="F107" i="60"/>
  <c r="B108" i="60"/>
  <c r="C108" i="60"/>
  <c r="D108" i="60"/>
  <c r="F108" i="60"/>
  <c r="B109" i="60"/>
  <c r="C109" i="60"/>
  <c r="D109" i="60"/>
  <c r="F109" i="60"/>
  <c r="B110" i="60"/>
  <c r="C110" i="60"/>
  <c r="D110" i="60"/>
  <c r="F110" i="60"/>
  <c r="B111" i="60"/>
  <c r="C111" i="60"/>
  <c r="D111" i="60"/>
  <c r="F111" i="60"/>
  <c r="B112" i="60"/>
  <c r="C112" i="60"/>
  <c r="D112" i="60"/>
  <c r="F112" i="60"/>
  <c r="B113" i="60"/>
  <c r="C113" i="60"/>
  <c r="D113" i="60"/>
  <c r="F113" i="60"/>
  <c r="B114" i="60"/>
  <c r="C114" i="60"/>
  <c r="D114" i="60"/>
  <c r="F114" i="60"/>
  <c r="B115" i="60"/>
  <c r="C115" i="60"/>
  <c r="D115" i="60"/>
  <c r="F115" i="60"/>
  <c r="B116" i="60"/>
  <c r="C116" i="60"/>
  <c r="D116" i="60"/>
  <c r="F116" i="60"/>
  <c r="B117" i="60"/>
  <c r="C117" i="60"/>
  <c r="D117" i="60"/>
  <c r="F117" i="60"/>
  <c r="B118" i="60"/>
  <c r="C118" i="60"/>
  <c r="D118" i="60"/>
  <c r="F118" i="60"/>
  <c r="B119" i="60"/>
  <c r="C119" i="60"/>
  <c r="D119" i="60"/>
  <c r="F119" i="60"/>
  <c r="B120" i="60"/>
  <c r="C120" i="60"/>
  <c r="D120" i="60"/>
  <c r="F120" i="60"/>
  <c r="B121" i="60"/>
  <c r="C121" i="60"/>
  <c r="D121" i="60"/>
  <c r="F121" i="60"/>
  <c r="B122" i="60"/>
  <c r="C122" i="60"/>
  <c r="D122" i="60"/>
  <c r="F122" i="60"/>
  <c r="B123" i="60"/>
  <c r="C123" i="60"/>
  <c r="D123" i="60"/>
  <c r="F123" i="60"/>
  <c r="B124" i="60"/>
  <c r="C124" i="60"/>
  <c r="D124" i="60"/>
  <c r="F124" i="60"/>
  <c r="B125" i="60"/>
  <c r="C125" i="60"/>
  <c r="D125" i="60"/>
  <c r="F125" i="60"/>
  <c r="B126" i="60"/>
  <c r="C126" i="60"/>
  <c r="D126" i="60"/>
  <c r="F126" i="60"/>
  <c r="B127" i="60"/>
  <c r="C127" i="60"/>
  <c r="D127" i="60"/>
  <c r="F127" i="60"/>
  <c r="B128" i="60"/>
  <c r="C128" i="60"/>
  <c r="D128" i="60"/>
  <c r="F128" i="60"/>
  <c r="B129" i="60"/>
  <c r="C129" i="60"/>
  <c r="D129" i="60"/>
  <c r="F129" i="60"/>
  <c r="B130" i="60"/>
  <c r="C130" i="60"/>
  <c r="D130" i="60"/>
  <c r="F130" i="60"/>
  <c r="B131" i="60"/>
  <c r="C131" i="60"/>
  <c r="D131" i="60"/>
  <c r="F131" i="60"/>
  <c r="B132" i="60"/>
  <c r="C132" i="60"/>
  <c r="D132" i="60"/>
  <c r="F132" i="60"/>
  <c r="B133" i="60"/>
  <c r="C133" i="60"/>
  <c r="D133" i="60"/>
  <c r="F133" i="60"/>
  <c r="B134" i="60"/>
  <c r="C134" i="60"/>
  <c r="D134" i="60"/>
  <c r="F134" i="60"/>
  <c r="B135" i="60"/>
  <c r="C135" i="60"/>
  <c r="D135" i="60"/>
  <c r="F135" i="60"/>
  <c r="B136" i="60"/>
  <c r="C136" i="60"/>
  <c r="D136" i="60"/>
  <c r="F136" i="60"/>
  <c r="B137" i="60"/>
  <c r="C137" i="60"/>
  <c r="D137" i="60"/>
  <c r="F137" i="60"/>
  <c r="B138" i="60"/>
  <c r="C138" i="60"/>
  <c r="D138" i="60"/>
  <c r="F138" i="60"/>
  <c r="B139" i="60"/>
  <c r="C139" i="60"/>
  <c r="D139" i="60"/>
  <c r="F139" i="60"/>
  <c r="B140" i="60"/>
  <c r="C140" i="60"/>
  <c r="D140" i="60"/>
  <c r="F140" i="60"/>
  <c r="B141" i="60"/>
  <c r="C141" i="60"/>
  <c r="D141" i="60"/>
  <c r="F141" i="60"/>
  <c r="B142" i="60"/>
  <c r="C142" i="60"/>
  <c r="D142" i="60"/>
  <c r="F142" i="60"/>
  <c r="B143" i="60"/>
  <c r="C143" i="60"/>
  <c r="D143" i="60"/>
  <c r="F143" i="60"/>
  <c r="B144" i="60"/>
  <c r="C144" i="60"/>
  <c r="D144" i="60"/>
  <c r="F144" i="60"/>
  <c r="B145" i="60"/>
  <c r="C145" i="60"/>
  <c r="D145" i="60"/>
  <c r="F145" i="60"/>
  <c r="B146" i="60"/>
  <c r="C146" i="60"/>
  <c r="D146" i="60"/>
  <c r="F146" i="60"/>
  <c r="B147" i="60"/>
  <c r="C147" i="60"/>
  <c r="D147" i="60"/>
  <c r="F147" i="60"/>
  <c r="B148" i="60"/>
  <c r="C148" i="60"/>
  <c r="D148" i="60"/>
  <c r="F148" i="60"/>
  <c r="B149" i="60"/>
  <c r="C149" i="60"/>
  <c r="D149" i="60"/>
  <c r="F149" i="60"/>
  <c r="B150" i="60"/>
  <c r="C150" i="60"/>
  <c r="D150" i="60"/>
  <c r="F150" i="60"/>
  <c r="B151" i="60"/>
  <c r="C151" i="60"/>
  <c r="D151" i="60"/>
  <c r="F151" i="60"/>
  <c r="B152" i="60"/>
  <c r="C152" i="60"/>
  <c r="D152" i="60"/>
  <c r="F152" i="60"/>
  <c r="B153" i="60"/>
  <c r="C153" i="60"/>
  <c r="D153" i="60"/>
  <c r="F153" i="60"/>
  <c r="B154" i="60"/>
  <c r="C154" i="60"/>
  <c r="D154" i="60"/>
  <c r="F154" i="60"/>
  <c r="B155" i="60"/>
  <c r="C155" i="60"/>
  <c r="D155" i="60"/>
  <c r="F155" i="60"/>
  <c r="B156" i="60"/>
  <c r="C156" i="60"/>
  <c r="D156" i="60"/>
  <c r="F156" i="60"/>
  <c r="B157" i="60"/>
  <c r="C157" i="60"/>
  <c r="D157" i="60"/>
  <c r="F157" i="60"/>
  <c r="B158" i="60"/>
  <c r="C158" i="60"/>
  <c r="D158" i="60"/>
  <c r="F158" i="60"/>
  <c r="B159" i="60"/>
  <c r="C159" i="60"/>
  <c r="D159" i="60"/>
  <c r="F159" i="60"/>
  <c r="B160" i="60"/>
  <c r="C160" i="60"/>
  <c r="D160" i="60"/>
  <c r="F160" i="60"/>
  <c r="B161" i="60"/>
  <c r="C161" i="60"/>
  <c r="D161" i="60"/>
  <c r="F161" i="60"/>
  <c r="B162" i="60"/>
  <c r="C162" i="60"/>
  <c r="D162" i="60"/>
  <c r="F162" i="60"/>
  <c r="B163" i="60"/>
  <c r="C163" i="60"/>
  <c r="D163" i="60"/>
  <c r="F163" i="60"/>
  <c r="B164" i="60"/>
  <c r="C164" i="60"/>
  <c r="D164" i="60"/>
  <c r="F164" i="60"/>
  <c r="B165" i="60"/>
  <c r="C165" i="60"/>
  <c r="D165" i="60"/>
  <c r="F165" i="60"/>
  <c r="B166" i="60"/>
  <c r="C166" i="60"/>
  <c r="D166" i="60"/>
  <c r="F166" i="60"/>
  <c r="B167" i="60"/>
  <c r="C167" i="60"/>
  <c r="D167" i="60"/>
  <c r="F167" i="60"/>
  <c r="B168" i="60"/>
  <c r="C168" i="60"/>
  <c r="D168" i="60"/>
  <c r="F168" i="60"/>
  <c r="B169" i="60"/>
  <c r="C169" i="60"/>
  <c r="D169" i="60"/>
  <c r="F169" i="60"/>
  <c r="B170" i="60"/>
  <c r="C170" i="60"/>
  <c r="D170" i="60"/>
  <c r="F170" i="60"/>
  <c r="B171" i="60"/>
  <c r="C171" i="60"/>
  <c r="D171" i="60"/>
  <c r="F171" i="60"/>
  <c r="B172" i="60"/>
  <c r="C172" i="60"/>
  <c r="D172" i="60"/>
  <c r="F172" i="60"/>
  <c r="B173" i="60"/>
  <c r="C173" i="60"/>
  <c r="D173" i="60"/>
  <c r="F173" i="60"/>
  <c r="B174" i="60"/>
  <c r="C174" i="60"/>
  <c r="D174" i="60"/>
  <c r="F174" i="60"/>
  <c r="B175" i="60"/>
  <c r="C175" i="60"/>
  <c r="D175" i="60"/>
  <c r="F175" i="60"/>
  <c r="B176" i="60"/>
  <c r="C176" i="60"/>
  <c r="D176" i="60"/>
  <c r="F176" i="60"/>
  <c r="B177" i="60"/>
  <c r="C177" i="60"/>
  <c r="D177" i="60"/>
  <c r="F177" i="60"/>
  <c r="B178" i="60"/>
  <c r="C178" i="60"/>
  <c r="D178" i="60"/>
  <c r="F178" i="60"/>
  <c r="B179" i="60"/>
  <c r="C179" i="60"/>
  <c r="D179" i="60"/>
  <c r="F179" i="60"/>
  <c r="B180" i="60"/>
  <c r="C180" i="60"/>
  <c r="D180" i="60"/>
  <c r="F180" i="60"/>
  <c r="B181" i="60"/>
  <c r="C181" i="60"/>
  <c r="D181" i="60"/>
  <c r="F181" i="60"/>
  <c r="B182" i="60"/>
  <c r="C182" i="60"/>
  <c r="D182" i="60"/>
  <c r="F182" i="60"/>
  <c r="B183" i="60"/>
  <c r="C183" i="60"/>
  <c r="D183" i="60"/>
  <c r="F183" i="60"/>
  <c r="B184" i="60"/>
  <c r="C184" i="60"/>
  <c r="D184" i="60"/>
  <c r="F184" i="60"/>
  <c r="B185" i="60"/>
  <c r="C185" i="60"/>
  <c r="D185" i="60"/>
  <c r="F185" i="60"/>
  <c r="B186" i="60"/>
  <c r="C186" i="60"/>
  <c r="D186" i="60"/>
  <c r="F186" i="60"/>
  <c r="B187" i="60"/>
  <c r="C187" i="60"/>
  <c r="D187" i="60"/>
  <c r="F187" i="60"/>
  <c r="B188" i="60"/>
  <c r="C188" i="60"/>
  <c r="D188" i="60"/>
  <c r="F188" i="60"/>
  <c r="B189" i="60"/>
  <c r="C189" i="60"/>
  <c r="D189" i="60"/>
  <c r="F189" i="60"/>
  <c r="B190" i="60"/>
  <c r="C190" i="60"/>
  <c r="D190" i="60"/>
  <c r="F190" i="60"/>
  <c r="B191" i="60"/>
  <c r="C191" i="60"/>
  <c r="D191" i="60"/>
  <c r="F191" i="60"/>
  <c r="B192" i="60"/>
  <c r="C192" i="60"/>
  <c r="D192" i="60"/>
  <c r="F192" i="60"/>
  <c r="B193" i="60"/>
  <c r="C193" i="60"/>
  <c r="D193" i="60"/>
  <c r="F193" i="60"/>
  <c r="B194" i="60"/>
  <c r="C194" i="60"/>
  <c r="D194" i="60"/>
  <c r="F194" i="60"/>
  <c r="B195" i="60"/>
  <c r="C195" i="60"/>
  <c r="D195" i="60"/>
  <c r="F195" i="60"/>
  <c r="B196" i="60"/>
  <c r="C196" i="60"/>
  <c r="D196" i="60"/>
  <c r="F196" i="60"/>
  <c r="B197" i="60"/>
  <c r="C197" i="60"/>
  <c r="D197" i="60"/>
  <c r="F197" i="60"/>
  <c r="B198" i="60"/>
  <c r="C198" i="60"/>
  <c r="D198" i="60"/>
  <c r="F198" i="60"/>
  <c r="B199" i="60"/>
  <c r="C199" i="60"/>
  <c r="D199" i="60"/>
  <c r="F199" i="60"/>
  <c r="B200" i="60"/>
  <c r="C200" i="60"/>
  <c r="D200" i="60"/>
  <c r="F200" i="60"/>
  <c r="B201" i="60"/>
  <c r="C201" i="60"/>
  <c r="D201" i="60"/>
  <c r="F201" i="60"/>
  <c r="B202" i="60"/>
  <c r="C202" i="60"/>
  <c r="D202" i="60"/>
  <c r="F202" i="60"/>
  <c r="B203" i="60"/>
  <c r="C203" i="60"/>
  <c r="D203" i="60"/>
  <c r="F203" i="60"/>
  <c r="B204" i="60"/>
  <c r="C204" i="60"/>
  <c r="D204" i="60"/>
  <c r="F204" i="60"/>
  <c r="B205" i="60"/>
  <c r="C205" i="60"/>
  <c r="D205" i="60"/>
  <c r="F205" i="60"/>
  <c r="B206" i="60"/>
  <c r="C206" i="60"/>
  <c r="D206" i="60"/>
  <c r="F206" i="60"/>
  <c r="B207" i="60"/>
  <c r="C207" i="60"/>
  <c r="D207" i="60"/>
  <c r="F207" i="60"/>
  <c r="B208" i="60"/>
  <c r="C208" i="60"/>
  <c r="D208" i="60"/>
  <c r="F208" i="60"/>
  <c r="B209" i="60"/>
  <c r="C209" i="60"/>
  <c r="D209" i="60"/>
  <c r="F209" i="60"/>
  <c r="B210" i="60"/>
  <c r="C210" i="60"/>
  <c r="D210" i="60"/>
  <c r="F210" i="60"/>
  <c r="B211" i="60"/>
  <c r="C211" i="60"/>
  <c r="D211" i="60"/>
  <c r="F211" i="60"/>
  <c r="B212" i="60"/>
  <c r="C212" i="60"/>
  <c r="D212" i="60"/>
  <c r="F212" i="60"/>
  <c r="B213" i="60"/>
  <c r="C213" i="60"/>
  <c r="D213" i="60"/>
  <c r="F213" i="60"/>
  <c r="B214" i="60"/>
  <c r="C214" i="60"/>
  <c r="D214" i="60"/>
  <c r="F214" i="60"/>
  <c r="B215" i="60"/>
  <c r="C215" i="60"/>
  <c r="D215" i="60"/>
  <c r="F215" i="60"/>
  <c r="B216" i="60"/>
  <c r="C216" i="60"/>
  <c r="D216" i="60"/>
  <c r="F216" i="60"/>
  <c r="B217" i="60"/>
  <c r="C217" i="60"/>
  <c r="D217" i="60"/>
  <c r="F217" i="60"/>
  <c r="B218" i="60"/>
  <c r="C218" i="60"/>
  <c r="D218" i="60"/>
  <c r="F218" i="60"/>
  <c r="B219" i="60"/>
  <c r="C219" i="60"/>
  <c r="D219" i="60"/>
  <c r="F219" i="60"/>
  <c r="B220" i="60"/>
  <c r="C220" i="60"/>
  <c r="D220" i="60"/>
  <c r="F220" i="60"/>
  <c r="B221" i="60"/>
  <c r="C221" i="60"/>
  <c r="D221" i="60"/>
  <c r="F221" i="60"/>
  <c r="B222" i="60"/>
  <c r="C222" i="60"/>
  <c r="D222" i="60"/>
  <c r="F222" i="60"/>
  <c r="B223" i="60"/>
  <c r="C223" i="60"/>
  <c r="D223" i="60"/>
  <c r="F223" i="60"/>
  <c r="B224" i="60"/>
  <c r="C224" i="60"/>
  <c r="D224" i="60"/>
  <c r="F224" i="60"/>
  <c r="B225" i="60"/>
  <c r="C225" i="60"/>
  <c r="D225" i="60"/>
  <c r="F225" i="60"/>
  <c r="B226" i="60"/>
  <c r="C226" i="60"/>
  <c r="D226" i="60"/>
  <c r="F226" i="60"/>
  <c r="B227" i="60"/>
  <c r="C227" i="60"/>
  <c r="D227" i="60"/>
  <c r="F227" i="60"/>
  <c r="B228" i="60"/>
  <c r="C228" i="60"/>
  <c r="D228" i="60"/>
  <c r="F228" i="60"/>
  <c r="B229" i="60"/>
  <c r="C229" i="60"/>
  <c r="D229" i="60"/>
  <c r="F229" i="60"/>
  <c r="B230" i="60"/>
  <c r="C230" i="60"/>
  <c r="D230" i="60"/>
  <c r="F230" i="60"/>
  <c r="B231" i="60"/>
  <c r="C231" i="60"/>
  <c r="D231" i="60"/>
  <c r="F231" i="60"/>
  <c r="B232" i="60"/>
  <c r="C232" i="60"/>
  <c r="D232" i="60"/>
  <c r="F232" i="60"/>
  <c r="B233" i="60"/>
  <c r="C233" i="60"/>
  <c r="D233" i="60"/>
  <c r="F233" i="60"/>
  <c r="B234" i="60"/>
  <c r="C234" i="60"/>
  <c r="D234" i="60"/>
  <c r="F234" i="60"/>
  <c r="B235" i="60"/>
  <c r="C235" i="60"/>
  <c r="D235" i="60"/>
  <c r="F235" i="60"/>
  <c r="B236" i="60"/>
  <c r="C236" i="60"/>
  <c r="D236" i="60"/>
  <c r="F236" i="60"/>
  <c r="B237" i="60"/>
  <c r="C237" i="60"/>
  <c r="D237" i="60"/>
  <c r="F237" i="60"/>
  <c r="B238" i="60"/>
  <c r="C238" i="60"/>
  <c r="D238" i="60"/>
  <c r="F238" i="60"/>
  <c r="B239" i="60"/>
  <c r="C239" i="60"/>
  <c r="D239" i="60"/>
  <c r="F239" i="60"/>
  <c r="B240" i="60"/>
  <c r="C240" i="60"/>
  <c r="D240" i="60"/>
  <c r="F240" i="60"/>
  <c r="B241" i="60"/>
  <c r="C241" i="60"/>
  <c r="D241" i="60"/>
  <c r="F241" i="60"/>
  <c r="B242" i="60"/>
  <c r="C242" i="60"/>
  <c r="D242" i="60"/>
  <c r="F242" i="60"/>
  <c r="B243" i="60"/>
  <c r="C243" i="60"/>
  <c r="D243" i="60"/>
  <c r="F243" i="60"/>
  <c r="B244" i="60"/>
  <c r="C244" i="60"/>
  <c r="D244" i="60"/>
  <c r="F244" i="60"/>
  <c r="B245" i="60"/>
  <c r="C245" i="60"/>
  <c r="D245" i="60"/>
  <c r="F245" i="60"/>
  <c r="B246" i="60"/>
  <c r="C246" i="60"/>
  <c r="D246" i="60"/>
  <c r="F246" i="60"/>
  <c r="B247" i="60"/>
  <c r="C247" i="60"/>
  <c r="D247" i="60"/>
  <c r="F247" i="60"/>
  <c r="B248" i="60"/>
  <c r="C248" i="60"/>
  <c r="D248" i="60"/>
  <c r="F248" i="60"/>
  <c r="B249" i="60"/>
  <c r="C249" i="60"/>
  <c r="D249" i="60"/>
  <c r="F249" i="60"/>
  <c r="B250" i="60"/>
  <c r="C250" i="60"/>
  <c r="D250" i="60"/>
  <c r="F250" i="60"/>
  <c r="B251" i="60"/>
  <c r="C251" i="60"/>
  <c r="D251" i="60"/>
  <c r="F251" i="60"/>
  <c r="B252" i="60"/>
  <c r="C252" i="60"/>
  <c r="D252" i="60"/>
  <c r="F252" i="60"/>
  <c r="B253" i="60"/>
  <c r="C253" i="60"/>
  <c r="D253" i="60"/>
  <c r="F253" i="60"/>
  <c r="B254" i="60"/>
  <c r="C254" i="60"/>
  <c r="D254" i="60"/>
  <c r="F254" i="60"/>
  <c r="B255" i="60"/>
  <c r="C255" i="60"/>
  <c r="D255" i="60"/>
  <c r="F255" i="60"/>
  <c r="B256" i="60"/>
  <c r="C256" i="60"/>
  <c r="D256" i="60"/>
  <c r="F256" i="60"/>
  <c r="B257" i="60"/>
  <c r="C257" i="60"/>
  <c r="D257" i="60"/>
  <c r="F257" i="60"/>
  <c r="B258" i="60"/>
  <c r="C258" i="60"/>
  <c r="D258" i="60"/>
  <c r="F258" i="60"/>
  <c r="B259" i="60"/>
  <c r="C259" i="60"/>
  <c r="D259" i="60"/>
  <c r="F259" i="60"/>
  <c r="B260" i="60"/>
  <c r="C260" i="60"/>
  <c r="D260" i="60"/>
  <c r="F260" i="60"/>
  <c r="B261" i="60"/>
  <c r="C261" i="60"/>
  <c r="D261" i="60"/>
  <c r="F261" i="60"/>
  <c r="B262" i="60"/>
  <c r="C262" i="60"/>
  <c r="D262" i="60"/>
  <c r="F262" i="60"/>
  <c r="B263" i="60"/>
  <c r="C263" i="60"/>
  <c r="D263" i="60"/>
  <c r="F263" i="60"/>
  <c r="B264" i="60"/>
  <c r="C264" i="60"/>
  <c r="D264" i="60"/>
  <c r="F264" i="60"/>
  <c r="B265" i="60"/>
  <c r="C265" i="60"/>
  <c r="D265" i="60"/>
  <c r="F265" i="60"/>
  <c r="B266" i="60"/>
  <c r="C266" i="60"/>
  <c r="D266" i="60"/>
  <c r="F266" i="60"/>
  <c r="B267" i="60"/>
  <c r="C267" i="60"/>
  <c r="D267" i="60"/>
  <c r="F267" i="60"/>
  <c r="B268" i="60"/>
  <c r="C268" i="60"/>
  <c r="D268" i="60"/>
  <c r="F268" i="60"/>
  <c r="B269" i="60"/>
  <c r="C269" i="60"/>
  <c r="D269" i="60"/>
  <c r="F269" i="60"/>
  <c r="B270" i="60"/>
  <c r="C270" i="60"/>
  <c r="D270" i="60"/>
  <c r="F270" i="60"/>
  <c r="B271" i="60"/>
  <c r="C271" i="60"/>
  <c r="D271" i="60"/>
  <c r="F271" i="60"/>
  <c r="B272" i="60"/>
  <c r="C272" i="60"/>
  <c r="D272" i="60"/>
  <c r="F272" i="60"/>
  <c r="B273" i="60"/>
  <c r="C273" i="60"/>
  <c r="D273" i="60"/>
  <c r="F273" i="60"/>
  <c r="B274" i="60"/>
  <c r="C274" i="60"/>
  <c r="D274" i="60"/>
  <c r="F274" i="60"/>
  <c r="B275" i="60"/>
  <c r="C275" i="60"/>
  <c r="D275" i="60"/>
  <c r="F275" i="60"/>
  <c r="B276" i="60"/>
  <c r="C276" i="60"/>
  <c r="D276" i="60"/>
  <c r="F276" i="60"/>
  <c r="B277" i="60"/>
  <c r="C277" i="60"/>
  <c r="D277" i="60"/>
  <c r="F277" i="60"/>
  <c r="B278" i="60"/>
  <c r="C278" i="60"/>
  <c r="D278" i="60"/>
  <c r="F278" i="60"/>
  <c r="B279" i="60"/>
  <c r="C279" i="60"/>
  <c r="D279" i="60"/>
  <c r="F279" i="60"/>
  <c r="B280" i="60"/>
  <c r="C280" i="60"/>
  <c r="D280" i="60"/>
  <c r="F280" i="60"/>
  <c r="B281" i="60"/>
  <c r="C281" i="60"/>
  <c r="D281" i="60"/>
  <c r="F281" i="60"/>
  <c r="B282" i="60"/>
  <c r="C282" i="60"/>
  <c r="D282" i="60"/>
  <c r="F282" i="60"/>
  <c r="B283" i="60"/>
  <c r="C283" i="60"/>
  <c r="D283" i="60"/>
  <c r="F283" i="60"/>
  <c r="B284" i="60"/>
  <c r="C284" i="60"/>
  <c r="D284" i="60"/>
  <c r="F284" i="60"/>
  <c r="B285" i="60"/>
  <c r="C285" i="60"/>
  <c r="D285" i="60"/>
  <c r="F285" i="60"/>
  <c r="B286" i="60"/>
  <c r="C286" i="60"/>
  <c r="D286" i="60"/>
  <c r="F286" i="60"/>
  <c r="B287" i="60"/>
  <c r="C287" i="60"/>
  <c r="D287" i="60"/>
  <c r="F287" i="60"/>
  <c r="B288" i="60"/>
  <c r="C288" i="60"/>
  <c r="D288" i="60"/>
  <c r="F288" i="60"/>
  <c r="B289" i="60"/>
  <c r="C289" i="60"/>
  <c r="D289" i="60"/>
  <c r="F289" i="60"/>
  <c r="B290" i="60"/>
  <c r="C290" i="60"/>
  <c r="D290" i="60"/>
  <c r="F290" i="60"/>
  <c r="B291" i="60"/>
  <c r="C291" i="60"/>
  <c r="D291" i="60"/>
  <c r="F291" i="60"/>
  <c r="B292" i="60"/>
  <c r="C292" i="60"/>
  <c r="D292" i="60"/>
  <c r="F292" i="60"/>
  <c r="B293" i="60"/>
  <c r="C293" i="60"/>
  <c r="D293" i="60"/>
  <c r="F293" i="60"/>
  <c r="B294" i="60"/>
  <c r="C294" i="60"/>
  <c r="D294" i="60"/>
  <c r="F294" i="60"/>
  <c r="B295" i="60"/>
  <c r="C295" i="60"/>
  <c r="D295" i="60"/>
  <c r="F295" i="60"/>
  <c r="B296" i="60"/>
  <c r="C296" i="60"/>
  <c r="D296" i="60"/>
  <c r="F296" i="60"/>
  <c r="B297" i="60"/>
  <c r="C297" i="60"/>
  <c r="D297" i="60"/>
  <c r="F297" i="60"/>
  <c r="B298" i="60"/>
  <c r="C298" i="60"/>
  <c r="D298" i="60"/>
  <c r="F298" i="60"/>
  <c r="B299" i="60"/>
  <c r="C299" i="60"/>
  <c r="D299" i="60"/>
  <c r="E299" i="60"/>
  <c r="F299" i="60"/>
  <c r="B300" i="60"/>
  <c r="C300" i="60"/>
  <c r="D300" i="60"/>
  <c r="E300" i="60"/>
  <c r="F300" i="60"/>
  <c r="B301" i="60"/>
  <c r="C301" i="60"/>
  <c r="D301" i="60"/>
  <c r="E301" i="60"/>
  <c r="F301" i="60"/>
  <c r="B302" i="60"/>
  <c r="C302" i="60"/>
  <c r="D302" i="60"/>
  <c r="E302" i="60"/>
  <c r="F302" i="60"/>
  <c r="B303" i="60"/>
  <c r="C303" i="60"/>
  <c r="D303" i="60"/>
  <c r="E303" i="60"/>
  <c r="F303" i="60"/>
  <c r="B304" i="60"/>
  <c r="C304" i="60"/>
  <c r="D304" i="60"/>
  <c r="E304" i="60"/>
  <c r="F304" i="60"/>
  <c r="B305" i="60"/>
  <c r="C305" i="60"/>
  <c r="D305" i="60"/>
  <c r="E305" i="60"/>
  <c r="F305" i="60"/>
  <c r="B306" i="60"/>
  <c r="C306" i="60"/>
  <c r="D306" i="60"/>
  <c r="E306" i="60"/>
  <c r="F306" i="60"/>
  <c r="B307" i="60"/>
  <c r="C307" i="60"/>
  <c r="D307" i="60"/>
  <c r="E307" i="60"/>
  <c r="F307" i="60"/>
  <c r="B308" i="60"/>
  <c r="C308" i="60"/>
  <c r="D308" i="60"/>
  <c r="E308" i="60"/>
  <c r="F308" i="60"/>
  <c r="B309" i="60"/>
  <c r="C309" i="60"/>
  <c r="D309" i="60"/>
  <c r="E309" i="60"/>
  <c r="F309" i="60"/>
  <c r="B310" i="60"/>
  <c r="C310" i="60"/>
  <c r="D310" i="60"/>
  <c r="E310" i="60"/>
  <c r="F310" i="60"/>
  <c r="B311" i="60"/>
  <c r="C311" i="60"/>
  <c r="D311" i="60"/>
  <c r="E311" i="60"/>
  <c r="F311" i="60"/>
  <c r="B312" i="60"/>
  <c r="C312" i="60"/>
  <c r="D312" i="60"/>
  <c r="E312" i="60"/>
  <c r="F312" i="60"/>
  <c r="B313" i="60"/>
  <c r="C313" i="60"/>
  <c r="D313" i="60"/>
  <c r="E313" i="60"/>
  <c r="F313" i="60"/>
  <c r="B314" i="60"/>
  <c r="C314" i="60"/>
  <c r="D314" i="60"/>
  <c r="E314" i="60"/>
  <c r="F314" i="60"/>
  <c r="B315" i="60"/>
  <c r="C315" i="60"/>
  <c r="D315" i="60"/>
  <c r="E315" i="60"/>
  <c r="F315" i="60"/>
  <c r="B316" i="60"/>
  <c r="C316" i="60"/>
  <c r="D316" i="60"/>
  <c r="E316" i="60"/>
  <c r="F316" i="60"/>
  <c r="B317" i="60"/>
  <c r="C317" i="60"/>
  <c r="D317" i="60"/>
  <c r="E317" i="60"/>
  <c r="F317" i="60"/>
  <c r="B318" i="60"/>
  <c r="C318" i="60"/>
  <c r="D318" i="60"/>
  <c r="E318" i="60"/>
  <c r="F318" i="60"/>
  <c r="B319" i="60"/>
  <c r="C319" i="60"/>
  <c r="D319" i="60"/>
  <c r="E319" i="60"/>
  <c r="F319" i="60"/>
  <c r="B320" i="60"/>
  <c r="C320" i="60"/>
  <c r="D320" i="60"/>
  <c r="E320" i="60"/>
  <c r="F320" i="60"/>
  <c r="B321" i="60"/>
  <c r="C321" i="60"/>
  <c r="D321" i="60"/>
  <c r="E321" i="60"/>
  <c r="F321" i="60"/>
  <c r="B322" i="60"/>
  <c r="C322" i="60"/>
  <c r="D322" i="60"/>
  <c r="E322" i="60"/>
  <c r="F322" i="60"/>
  <c r="B323" i="60"/>
  <c r="C323" i="60"/>
  <c r="D323" i="60"/>
  <c r="E323" i="60"/>
  <c r="F323" i="60"/>
  <c r="B324" i="60"/>
  <c r="C324" i="60"/>
  <c r="D324" i="60"/>
  <c r="E324" i="60"/>
  <c r="F324" i="60"/>
  <c r="B325" i="60"/>
  <c r="C325" i="60"/>
  <c r="D325" i="60"/>
  <c r="E325" i="60"/>
  <c r="F325" i="60"/>
  <c r="B326" i="60"/>
  <c r="C326" i="60"/>
  <c r="D326" i="60"/>
  <c r="E326" i="60"/>
  <c r="F326" i="60"/>
  <c r="B327" i="60"/>
  <c r="C327" i="60"/>
  <c r="D327" i="60"/>
  <c r="E327" i="60"/>
  <c r="F327" i="60"/>
  <c r="B328" i="60"/>
  <c r="C328" i="60"/>
  <c r="D328" i="60"/>
  <c r="E328" i="60"/>
  <c r="F328" i="60"/>
  <c r="B329" i="60"/>
  <c r="C329" i="60"/>
  <c r="D329" i="60"/>
  <c r="E329" i="60"/>
  <c r="F329" i="60"/>
  <c r="B330" i="60"/>
  <c r="C330" i="60"/>
  <c r="D330" i="60"/>
  <c r="E330" i="60"/>
  <c r="F330" i="60"/>
  <c r="B331" i="60"/>
  <c r="C331" i="60"/>
  <c r="D331" i="60"/>
  <c r="E331" i="60"/>
  <c r="F331" i="60"/>
  <c r="B332" i="60"/>
  <c r="C332" i="60"/>
  <c r="D332" i="60"/>
  <c r="E332" i="60"/>
  <c r="F332" i="60"/>
  <c r="B333" i="60"/>
  <c r="C333" i="60"/>
  <c r="D333" i="60"/>
  <c r="E333" i="60"/>
  <c r="F333" i="60"/>
  <c r="B334" i="60"/>
  <c r="C334" i="60"/>
  <c r="D334" i="60"/>
  <c r="E334" i="60"/>
  <c r="F334" i="60"/>
  <c r="B335" i="60"/>
  <c r="C335" i="60"/>
  <c r="D335" i="60"/>
  <c r="E335" i="60"/>
  <c r="F335" i="60"/>
  <c r="B336" i="60"/>
  <c r="C336" i="60"/>
  <c r="D336" i="60"/>
  <c r="E336" i="60"/>
  <c r="F336" i="60"/>
  <c r="B337" i="60"/>
  <c r="C337" i="60"/>
  <c r="D337" i="60"/>
  <c r="E337" i="60"/>
  <c r="F337" i="60"/>
  <c r="B338" i="60"/>
  <c r="C338" i="60"/>
  <c r="D338" i="60"/>
  <c r="E338" i="60"/>
  <c r="F338" i="60"/>
  <c r="B339" i="60"/>
  <c r="C339" i="60"/>
  <c r="D339" i="60"/>
  <c r="E339" i="60"/>
  <c r="F339" i="60"/>
  <c r="B340" i="60"/>
  <c r="C340" i="60"/>
  <c r="D340" i="60"/>
  <c r="E340" i="60"/>
  <c r="F340" i="60"/>
  <c r="B341" i="60"/>
  <c r="C341" i="60"/>
  <c r="D341" i="60"/>
  <c r="E341" i="60"/>
  <c r="F341" i="60"/>
  <c r="B342" i="60"/>
  <c r="C342" i="60"/>
  <c r="D342" i="60"/>
  <c r="E342" i="60"/>
  <c r="F342" i="60"/>
  <c r="B343" i="60"/>
  <c r="C343" i="60"/>
  <c r="D343" i="60"/>
  <c r="E343" i="60"/>
  <c r="F343" i="60"/>
  <c r="B344" i="60"/>
  <c r="C344" i="60"/>
  <c r="D344" i="60"/>
  <c r="E344" i="60"/>
  <c r="F344" i="60"/>
  <c r="B345" i="60"/>
  <c r="C345" i="60"/>
  <c r="D345" i="60"/>
  <c r="E345" i="60"/>
  <c r="F345" i="60"/>
  <c r="B346" i="60"/>
  <c r="C346" i="60"/>
  <c r="D346" i="60"/>
  <c r="E346" i="60"/>
  <c r="F346" i="60"/>
  <c r="B347" i="60"/>
  <c r="C347" i="60"/>
  <c r="D347" i="60"/>
  <c r="E347" i="60"/>
  <c r="F347" i="60"/>
  <c r="B348" i="60"/>
  <c r="C348" i="60"/>
  <c r="D348" i="60"/>
  <c r="E348" i="60"/>
  <c r="F348" i="60"/>
  <c r="B349" i="60"/>
  <c r="C349" i="60"/>
  <c r="D349" i="60"/>
  <c r="E349" i="60"/>
  <c r="F349" i="60"/>
  <c r="B350" i="60"/>
  <c r="C350" i="60"/>
  <c r="D350" i="60"/>
  <c r="E350" i="60"/>
  <c r="F350" i="60"/>
  <c r="B351" i="60"/>
  <c r="C351" i="60"/>
  <c r="D351" i="60"/>
  <c r="E351" i="60"/>
  <c r="F351" i="60"/>
  <c r="B352" i="60"/>
  <c r="C352" i="60"/>
  <c r="D352" i="60"/>
  <c r="E352" i="60"/>
  <c r="F352" i="60"/>
  <c r="B353" i="60"/>
  <c r="C353" i="60"/>
  <c r="D353" i="60"/>
  <c r="E353" i="60"/>
  <c r="F353" i="60"/>
  <c r="B354" i="60"/>
  <c r="C354" i="60"/>
  <c r="D354" i="60"/>
  <c r="E354" i="60"/>
  <c r="F354" i="60"/>
  <c r="B355" i="60"/>
  <c r="C355" i="60"/>
  <c r="D355" i="60"/>
  <c r="E355" i="60"/>
  <c r="F355" i="60"/>
  <c r="B356" i="60"/>
  <c r="C356" i="60"/>
  <c r="D356" i="60"/>
  <c r="E356" i="60"/>
  <c r="F356" i="60"/>
  <c r="B357" i="60"/>
  <c r="C357" i="60"/>
  <c r="D357" i="60"/>
  <c r="E357" i="60"/>
  <c r="F357" i="60"/>
  <c r="B358" i="60"/>
  <c r="C358" i="60"/>
  <c r="D358" i="60"/>
  <c r="E358" i="60"/>
  <c r="F358" i="60"/>
  <c r="B359" i="60"/>
  <c r="C359" i="60"/>
  <c r="D359" i="60"/>
  <c r="E359" i="60"/>
  <c r="F359" i="60"/>
  <c r="B360" i="60"/>
  <c r="C360" i="60"/>
  <c r="D360" i="60"/>
  <c r="E360" i="60"/>
  <c r="F360" i="60"/>
  <c r="B361" i="60"/>
  <c r="C361" i="60"/>
  <c r="D361" i="60"/>
  <c r="E361" i="60"/>
  <c r="F361" i="60"/>
  <c r="B362" i="60"/>
  <c r="C362" i="60"/>
  <c r="D362" i="60"/>
  <c r="E362" i="60"/>
  <c r="F362" i="60"/>
  <c r="B363" i="60"/>
  <c r="C363" i="60"/>
  <c r="D363" i="60"/>
  <c r="E363" i="60"/>
  <c r="F363" i="60"/>
  <c r="B364" i="60"/>
  <c r="C364" i="60"/>
  <c r="D364" i="60"/>
  <c r="E364" i="60"/>
  <c r="F364" i="60"/>
  <c r="B365" i="60"/>
  <c r="C365" i="60"/>
  <c r="D365" i="60"/>
  <c r="E365" i="60"/>
  <c r="F365" i="60"/>
  <c r="B366" i="60"/>
  <c r="C366" i="60"/>
  <c r="D366" i="60"/>
  <c r="E366" i="60"/>
  <c r="F366" i="60"/>
  <c r="B367" i="60"/>
  <c r="C367" i="60"/>
  <c r="D367" i="60"/>
  <c r="E367" i="60"/>
  <c r="F367" i="60"/>
  <c r="B368" i="60"/>
  <c r="C368" i="60"/>
  <c r="D368" i="60"/>
  <c r="E368" i="60"/>
  <c r="F368" i="60"/>
  <c r="B369" i="60"/>
  <c r="C369" i="60"/>
  <c r="D369" i="60"/>
  <c r="E369" i="60"/>
  <c r="F369" i="60"/>
  <c r="B370" i="60"/>
  <c r="C370" i="60"/>
  <c r="D370" i="60"/>
  <c r="E370" i="60"/>
  <c r="F370" i="60"/>
  <c r="B371" i="60"/>
  <c r="C371" i="60"/>
  <c r="D371" i="60"/>
  <c r="E371" i="60"/>
  <c r="F371" i="60"/>
  <c r="B372" i="60"/>
  <c r="C372" i="60"/>
  <c r="D372" i="60"/>
  <c r="E372" i="60"/>
  <c r="F372" i="60"/>
  <c r="B373" i="60"/>
  <c r="C373" i="60"/>
  <c r="D373" i="60"/>
  <c r="E373" i="60"/>
  <c r="F373" i="60"/>
  <c r="B374" i="60"/>
  <c r="C374" i="60"/>
  <c r="D374" i="60"/>
  <c r="E374" i="60"/>
  <c r="F374" i="60"/>
  <c r="B375" i="60"/>
  <c r="C375" i="60"/>
  <c r="D375" i="60"/>
  <c r="E375" i="60"/>
  <c r="F375" i="60"/>
  <c r="B376" i="60"/>
  <c r="C376" i="60"/>
  <c r="D376" i="60"/>
  <c r="E376" i="60"/>
  <c r="F376" i="60"/>
  <c r="B377" i="60"/>
  <c r="C377" i="60"/>
  <c r="D377" i="60"/>
  <c r="E377" i="60"/>
  <c r="F377" i="60"/>
  <c r="B378" i="60"/>
  <c r="C378" i="60"/>
  <c r="D378" i="60"/>
  <c r="E378" i="60"/>
  <c r="F378" i="60"/>
  <c r="B379" i="60"/>
  <c r="C379" i="60"/>
  <c r="D379" i="60"/>
  <c r="E379" i="60"/>
  <c r="F379" i="60"/>
  <c r="B380" i="60"/>
  <c r="C380" i="60"/>
  <c r="D380" i="60"/>
  <c r="E380" i="60"/>
  <c r="F380" i="60"/>
  <c r="B381" i="60"/>
  <c r="C381" i="60"/>
  <c r="D381" i="60"/>
  <c r="E381" i="60"/>
  <c r="F381" i="60"/>
  <c r="B382" i="60"/>
  <c r="C382" i="60"/>
  <c r="D382" i="60"/>
  <c r="E382" i="60"/>
  <c r="F382" i="60"/>
  <c r="B383" i="60"/>
  <c r="C383" i="60"/>
  <c r="D383" i="60"/>
  <c r="E383" i="60"/>
  <c r="F383" i="60"/>
  <c r="B384" i="60"/>
  <c r="C384" i="60"/>
  <c r="D384" i="60"/>
  <c r="E384" i="60"/>
  <c r="F384" i="60"/>
  <c r="B385" i="60"/>
  <c r="C385" i="60"/>
  <c r="D385" i="60"/>
  <c r="E385" i="60"/>
  <c r="F385" i="60"/>
  <c r="B386" i="60"/>
  <c r="C386" i="60"/>
  <c r="D386" i="60"/>
  <c r="E386" i="60"/>
  <c r="F386" i="60"/>
  <c r="B387" i="60"/>
  <c r="C387" i="60"/>
  <c r="D387" i="60"/>
  <c r="E387" i="60"/>
  <c r="F387" i="60"/>
  <c r="B388" i="60"/>
  <c r="C388" i="60"/>
  <c r="D388" i="60"/>
  <c r="E388" i="60"/>
  <c r="F388" i="60"/>
  <c r="B389" i="60"/>
  <c r="C389" i="60"/>
  <c r="D389" i="60"/>
  <c r="E389" i="60"/>
  <c r="F389" i="60"/>
  <c r="B390" i="60"/>
  <c r="C390" i="60"/>
  <c r="D390" i="60"/>
  <c r="E390" i="60"/>
  <c r="F390" i="60"/>
  <c r="B391" i="60"/>
  <c r="C391" i="60"/>
  <c r="D391" i="60"/>
  <c r="E391" i="60"/>
  <c r="F391" i="60"/>
  <c r="B392" i="60"/>
  <c r="C392" i="60"/>
  <c r="D392" i="60"/>
  <c r="E392" i="60"/>
  <c r="F392" i="60"/>
  <c r="B393" i="60"/>
  <c r="C393" i="60"/>
  <c r="D393" i="60"/>
  <c r="E393" i="60"/>
  <c r="F393" i="60"/>
  <c r="B394" i="60"/>
  <c r="C394" i="60"/>
  <c r="D394" i="60"/>
  <c r="E394" i="60"/>
  <c r="F394" i="60"/>
  <c r="B395" i="60"/>
  <c r="C395" i="60"/>
  <c r="D395" i="60"/>
  <c r="E395" i="60"/>
  <c r="F395" i="60"/>
  <c r="B396" i="60"/>
  <c r="C396" i="60"/>
  <c r="D396" i="60"/>
  <c r="E396" i="60"/>
  <c r="F396" i="60"/>
  <c r="B397" i="60"/>
  <c r="C397" i="60"/>
  <c r="D397" i="60"/>
  <c r="E397" i="60"/>
  <c r="F397" i="60"/>
  <c r="B398" i="60"/>
  <c r="C398" i="60"/>
  <c r="D398" i="60"/>
  <c r="E398" i="60"/>
  <c r="F398" i="60"/>
  <c r="B399" i="60"/>
  <c r="C399" i="60"/>
  <c r="D399" i="60"/>
  <c r="E399" i="60"/>
  <c r="F399" i="60"/>
  <c r="B400" i="60"/>
  <c r="C400" i="60"/>
  <c r="D400" i="60"/>
  <c r="E400" i="60"/>
  <c r="F400" i="60"/>
  <c r="B401" i="60"/>
  <c r="C401" i="60"/>
  <c r="D401" i="60"/>
  <c r="E401" i="60"/>
  <c r="F401" i="60"/>
  <c r="G401" i="60"/>
  <c r="B402" i="60"/>
  <c r="C402" i="60"/>
  <c r="D402" i="60"/>
  <c r="E402" i="60"/>
  <c r="F402" i="60"/>
  <c r="G402" i="60"/>
  <c r="B403" i="60"/>
  <c r="C403" i="60"/>
  <c r="D403" i="60"/>
  <c r="E403" i="60"/>
  <c r="F403" i="60"/>
  <c r="G403" i="60"/>
  <c r="B404" i="60"/>
  <c r="C404" i="60"/>
  <c r="D404" i="60"/>
  <c r="E404" i="60"/>
  <c r="F404" i="60"/>
  <c r="G404" i="60"/>
  <c r="B405" i="60"/>
  <c r="C405" i="60"/>
  <c r="D405" i="60"/>
  <c r="E405" i="60"/>
  <c r="F405" i="60"/>
  <c r="G405" i="60"/>
  <c r="B406" i="60"/>
  <c r="C406" i="60"/>
  <c r="D406" i="60"/>
  <c r="E406" i="60"/>
  <c r="F406" i="60"/>
  <c r="G406" i="60"/>
  <c r="B407" i="60"/>
  <c r="C407" i="60"/>
  <c r="D407" i="60"/>
  <c r="E407" i="60"/>
  <c r="F407" i="60"/>
  <c r="G407" i="60"/>
  <c r="B408" i="60"/>
  <c r="C408" i="60"/>
  <c r="D408" i="60"/>
  <c r="E408" i="60"/>
  <c r="F408" i="60"/>
  <c r="G408" i="60"/>
  <c r="B409" i="60"/>
  <c r="C409" i="60"/>
  <c r="D409" i="60"/>
  <c r="E409" i="60"/>
  <c r="F409" i="60"/>
  <c r="G409" i="60"/>
  <c r="B410" i="60"/>
  <c r="C410" i="60"/>
  <c r="D410" i="60"/>
  <c r="E410" i="60"/>
  <c r="F410" i="60"/>
  <c r="G410" i="60"/>
  <c r="B411" i="60"/>
  <c r="C411" i="60"/>
  <c r="D411" i="60"/>
  <c r="E411" i="60"/>
  <c r="F411" i="60"/>
  <c r="G411" i="60"/>
  <c r="B412" i="60"/>
  <c r="C412" i="60"/>
  <c r="D412" i="60"/>
  <c r="E412" i="60"/>
  <c r="F412" i="60"/>
  <c r="G412" i="60"/>
  <c r="B413" i="60"/>
  <c r="C413" i="60"/>
  <c r="D413" i="60"/>
  <c r="E413" i="60"/>
  <c r="F413" i="60"/>
  <c r="G413" i="60"/>
  <c r="B414" i="60"/>
  <c r="C414" i="60"/>
  <c r="D414" i="60"/>
  <c r="E414" i="60"/>
  <c r="F414" i="60"/>
  <c r="G414" i="60"/>
  <c r="B415" i="60"/>
  <c r="C415" i="60"/>
  <c r="D415" i="60"/>
  <c r="E415" i="60"/>
  <c r="F415" i="60"/>
  <c r="G415" i="60"/>
  <c r="B416" i="60"/>
  <c r="C416" i="60"/>
  <c r="D416" i="60"/>
  <c r="E416" i="60"/>
  <c r="F416" i="60"/>
  <c r="G416" i="60"/>
  <c r="B417" i="60"/>
  <c r="C417" i="60"/>
  <c r="D417" i="60"/>
  <c r="E417" i="60"/>
  <c r="F417" i="60"/>
  <c r="G417" i="60"/>
  <c r="B418" i="60"/>
  <c r="C418" i="60"/>
  <c r="D418" i="60"/>
  <c r="E418" i="60"/>
  <c r="F418" i="60"/>
  <c r="G418" i="60"/>
  <c r="B419" i="60"/>
  <c r="C419" i="60"/>
  <c r="D419" i="60"/>
  <c r="E419" i="60"/>
  <c r="F419" i="60"/>
  <c r="G419" i="60"/>
  <c r="B420" i="60"/>
  <c r="C420" i="60"/>
  <c r="D420" i="60"/>
  <c r="E420" i="60"/>
  <c r="F420" i="60"/>
  <c r="G420" i="60"/>
  <c r="B421" i="60"/>
  <c r="C421" i="60"/>
  <c r="D421" i="60"/>
  <c r="E421" i="60"/>
  <c r="F421" i="60"/>
  <c r="G421" i="60"/>
  <c r="B422" i="60"/>
  <c r="C422" i="60"/>
  <c r="D422" i="60"/>
  <c r="E422" i="60"/>
  <c r="F422" i="60"/>
  <c r="G422" i="60"/>
  <c r="B423" i="60"/>
  <c r="C423" i="60"/>
  <c r="D423" i="60"/>
  <c r="E423" i="60"/>
  <c r="F423" i="60"/>
  <c r="G423" i="60"/>
  <c r="B424" i="60"/>
  <c r="C424" i="60"/>
  <c r="D424" i="60"/>
  <c r="E424" i="60"/>
  <c r="F424" i="60"/>
  <c r="G424" i="60"/>
  <c r="B425" i="60"/>
  <c r="C425" i="60"/>
  <c r="D425" i="60"/>
  <c r="E425" i="60"/>
  <c r="F425" i="60"/>
  <c r="G425" i="60"/>
  <c r="B426" i="60"/>
  <c r="C426" i="60"/>
  <c r="D426" i="60"/>
  <c r="E426" i="60"/>
  <c r="F426" i="60"/>
  <c r="G426" i="60"/>
  <c r="B427" i="60"/>
  <c r="C427" i="60"/>
  <c r="D427" i="60"/>
  <c r="E427" i="60"/>
  <c r="F427" i="60"/>
  <c r="G427" i="60"/>
  <c r="B428" i="60"/>
  <c r="C428" i="60"/>
  <c r="D428" i="60"/>
  <c r="E428" i="60"/>
  <c r="F428" i="60"/>
  <c r="G428" i="60"/>
  <c r="B429" i="60"/>
  <c r="C429" i="60"/>
  <c r="D429" i="60"/>
  <c r="E429" i="60"/>
  <c r="F429" i="60"/>
  <c r="G429" i="60"/>
  <c r="B430" i="60"/>
  <c r="C430" i="60"/>
  <c r="D430" i="60"/>
  <c r="E430" i="60"/>
  <c r="F430" i="60"/>
  <c r="G430" i="60"/>
  <c r="B431" i="60"/>
  <c r="C431" i="60"/>
  <c r="D431" i="60"/>
  <c r="E431" i="60"/>
  <c r="F431" i="60"/>
  <c r="G431" i="60"/>
  <c r="B432" i="60"/>
  <c r="C432" i="60"/>
  <c r="D432" i="60"/>
  <c r="E432" i="60"/>
  <c r="F432" i="60"/>
  <c r="G432" i="60"/>
  <c r="B433" i="60"/>
  <c r="C433" i="60"/>
  <c r="D433" i="60"/>
  <c r="E433" i="60"/>
  <c r="F433" i="60"/>
  <c r="G433" i="60"/>
  <c r="B434" i="60"/>
  <c r="C434" i="60"/>
  <c r="D434" i="60"/>
  <c r="E434" i="60"/>
  <c r="F434" i="60"/>
  <c r="G434" i="60"/>
  <c r="B435" i="60"/>
  <c r="C435" i="60"/>
  <c r="D435" i="60"/>
  <c r="E435" i="60"/>
  <c r="F435" i="60"/>
  <c r="G435" i="60"/>
  <c r="B436" i="60"/>
  <c r="C436" i="60"/>
  <c r="D436" i="60"/>
  <c r="E436" i="60"/>
  <c r="F436" i="60"/>
  <c r="G436" i="60"/>
  <c r="B437" i="60"/>
  <c r="C437" i="60"/>
  <c r="D437" i="60"/>
  <c r="E437" i="60"/>
  <c r="F437" i="60"/>
  <c r="G437" i="60"/>
  <c r="B438" i="60"/>
  <c r="C438" i="60"/>
  <c r="D438" i="60"/>
  <c r="E438" i="60"/>
  <c r="F438" i="60"/>
  <c r="G438" i="60"/>
  <c r="B439" i="60"/>
  <c r="C439" i="60"/>
  <c r="D439" i="60"/>
  <c r="E439" i="60"/>
  <c r="F439" i="60"/>
  <c r="G439" i="60"/>
  <c r="B440" i="60"/>
  <c r="C440" i="60"/>
  <c r="D440" i="60"/>
  <c r="E440" i="60"/>
  <c r="F440" i="60"/>
  <c r="G440" i="60"/>
  <c r="B441" i="60"/>
  <c r="C441" i="60"/>
  <c r="D441" i="60"/>
  <c r="E441" i="60"/>
  <c r="F441" i="60"/>
  <c r="G441" i="60"/>
  <c r="B442" i="60"/>
  <c r="C442" i="60"/>
  <c r="D442" i="60"/>
  <c r="E442" i="60"/>
  <c r="F442" i="60"/>
  <c r="G442" i="60"/>
  <c r="B443" i="60"/>
  <c r="C443" i="60"/>
  <c r="D443" i="60"/>
  <c r="E443" i="60"/>
  <c r="F443" i="60"/>
  <c r="G443" i="60"/>
  <c r="B444" i="60"/>
  <c r="C444" i="60"/>
  <c r="D444" i="60"/>
  <c r="E444" i="60"/>
  <c r="F444" i="60"/>
  <c r="G444" i="60"/>
  <c r="B445" i="60"/>
  <c r="C445" i="60"/>
  <c r="D445" i="60"/>
  <c r="E445" i="60"/>
  <c r="F445" i="60"/>
  <c r="G445" i="60"/>
  <c r="B446" i="60"/>
  <c r="C446" i="60"/>
  <c r="D446" i="60"/>
  <c r="E446" i="60"/>
  <c r="F446" i="60"/>
  <c r="G446" i="60"/>
  <c r="B447" i="60"/>
  <c r="C447" i="60"/>
  <c r="D447" i="60"/>
  <c r="E447" i="60"/>
  <c r="F447" i="60"/>
  <c r="G447" i="60"/>
  <c r="B448" i="60"/>
  <c r="C448" i="60"/>
  <c r="D448" i="60"/>
  <c r="E448" i="60"/>
  <c r="F448" i="60"/>
  <c r="G448" i="60"/>
  <c r="B449" i="60"/>
  <c r="C449" i="60"/>
  <c r="D449" i="60"/>
  <c r="E449" i="60"/>
  <c r="F449" i="60"/>
  <c r="G449" i="60"/>
  <c r="B450" i="60"/>
  <c r="C450" i="60"/>
  <c r="D450" i="60"/>
  <c r="E450" i="60"/>
  <c r="F450" i="60"/>
  <c r="G450" i="60"/>
  <c r="F1" i="60"/>
  <c r="H1" i="60"/>
  <c r="F2" i="60"/>
  <c r="H2" i="60"/>
  <c r="F3" i="60"/>
  <c r="H3" i="60"/>
  <c r="F4" i="60"/>
  <c r="H4" i="60"/>
  <c r="B8" i="59"/>
  <c r="C8" i="59"/>
  <c r="D8" i="59"/>
  <c r="F8" i="59"/>
  <c r="B9" i="59"/>
  <c r="C9" i="59"/>
  <c r="D9" i="59"/>
  <c r="F9" i="59"/>
  <c r="B10" i="59"/>
  <c r="C10" i="59"/>
  <c r="D10" i="59"/>
  <c r="F10" i="59"/>
  <c r="B11" i="59"/>
  <c r="C11" i="59"/>
  <c r="D11" i="59"/>
  <c r="F11" i="59"/>
  <c r="B12" i="59"/>
  <c r="C12" i="59"/>
  <c r="D12" i="59"/>
  <c r="F12" i="59"/>
  <c r="B13" i="59"/>
  <c r="C13" i="59"/>
  <c r="D13" i="59"/>
  <c r="F13" i="59"/>
  <c r="B14" i="59"/>
  <c r="C14" i="59"/>
  <c r="D14" i="59"/>
  <c r="F14" i="59"/>
  <c r="B15" i="59"/>
  <c r="C15" i="59"/>
  <c r="D15" i="59"/>
  <c r="F15" i="59"/>
  <c r="B16" i="59"/>
  <c r="C16" i="59"/>
  <c r="D16" i="59"/>
  <c r="F16" i="59"/>
  <c r="B17" i="59"/>
  <c r="C17" i="59"/>
  <c r="D17" i="59"/>
  <c r="F17" i="59"/>
  <c r="B18" i="59"/>
  <c r="C18" i="59"/>
  <c r="D18" i="59"/>
  <c r="F18" i="59"/>
  <c r="B19" i="59"/>
  <c r="C19" i="59"/>
  <c r="D19" i="59"/>
  <c r="F19" i="59"/>
  <c r="B20" i="59"/>
  <c r="C20" i="59"/>
  <c r="D20" i="59"/>
  <c r="F20" i="59"/>
  <c r="B21" i="59"/>
  <c r="C21" i="59"/>
  <c r="D21" i="59"/>
  <c r="F21" i="59"/>
  <c r="B22" i="59"/>
  <c r="C22" i="59"/>
  <c r="D22" i="59"/>
  <c r="F22" i="59"/>
  <c r="B23" i="59"/>
  <c r="C23" i="59"/>
  <c r="D23" i="59"/>
  <c r="F23" i="59"/>
  <c r="B24" i="59"/>
  <c r="C24" i="59"/>
  <c r="D24" i="59"/>
  <c r="F24" i="59"/>
  <c r="B25" i="59"/>
  <c r="C25" i="59"/>
  <c r="D25" i="59"/>
  <c r="F25" i="59"/>
  <c r="B26" i="59"/>
  <c r="C26" i="59"/>
  <c r="D26" i="59"/>
  <c r="F26" i="59"/>
  <c r="B27" i="59"/>
  <c r="C27" i="59"/>
  <c r="D27" i="59"/>
  <c r="F27" i="59"/>
  <c r="B28" i="59"/>
  <c r="C28" i="59"/>
  <c r="D28" i="59"/>
  <c r="F28" i="59"/>
  <c r="B29" i="59"/>
  <c r="C29" i="59"/>
  <c r="D29" i="59"/>
  <c r="F29" i="59"/>
  <c r="B30" i="59"/>
  <c r="C30" i="59"/>
  <c r="D30" i="59"/>
  <c r="F30" i="59"/>
  <c r="B31" i="59"/>
  <c r="C31" i="59"/>
  <c r="D31" i="59"/>
  <c r="F31" i="59"/>
  <c r="B32" i="59"/>
  <c r="C32" i="59"/>
  <c r="D32" i="59"/>
  <c r="F32" i="59"/>
  <c r="B33" i="59"/>
  <c r="C33" i="59"/>
  <c r="D33" i="59"/>
  <c r="F33" i="59"/>
  <c r="B34" i="59"/>
  <c r="C34" i="59"/>
  <c r="D34" i="59"/>
  <c r="F34" i="59"/>
  <c r="B35" i="59"/>
  <c r="C35" i="59"/>
  <c r="D35" i="59"/>
  <c r="F35" i="59"/>
  <c r="B36" i="59"/>
  <c r="C36" i="59"/>
  <c r="D36" i="59"/>
  <c r="F36" i="59"/>
  <c r="B37" i="59"/>
  <c r="C37" i="59"/>
  <c r="D37" i="59"/>
  <c r="F37" i="59"/>
  <c r="B38" i="59"/>
  <c r="C38" i="59"/>
  <c r="D38" i="59"/>
  <c r="F38" i="59"/>
  <c r="B39" i="59"/>
  <c r="C39" i="59"/>
  <c r="D39" i="59"/>
  <c r="F39" i="59"/>
  <c r="B40" i="59"/>
  <c r="C40" i="59"/>
  <c r="D40" i="59"/>
  <c r="F40" i="59"/>
  <c r="B41" i="59"/>
  <c r="C41" i="59"/>
  <c r="D41" i="59"/>
  <c r="F41" i="59"/>
  <c r="B42" i="59"/>
  <c r="C42" i="59"/>
  <c r="D42" i="59"/>
  <c r="F42" i="59"/>
  <c r="B43" i="59"/>
  <c r="C43" i="59"/>
  <c r="D43" i="59"/>
  <c r="F43" i="59"/>
  <c r="B44" i="59"/>
  <c r="C44" i="59"/>
  <c r="D44" i="59"/>
  <c r="F44" i="59"/>
  <c r="B45" i="59"/>
  <c r="C45" i="59"/>
  <c r="D45" i="59"/>
  <c r="F45" i="59"/>
  <c r="B46" i="59"/>
  <c r="C46" i="59"/>
  <c r="D46" i="59"/>
  <c r="F46" i="59"/>
  <c r="B47" i="59"/>
  <c r="C47" i="59"/>
  <c r="D47" i="59"/>
  <c r="F47" i="59"/>
  <c r="B48" i="59"/>
  <c r="C48" i="59"/>
  <c r="D48" i="59"/>
  <c r="F48" i="59"/>
  <c r="B49" i="59"/>
  <c r="C49" i="59"/>
  <c r="D49" i="59"/>
  <c r="F49" i="59"/>
  <c r="B50" i="59"/>
  <c r="C50" i="59"/>
  <c r="D50" i="59"/>
  <c r="F50" i="59"/>
  <c r="B51" i="59"/>
  <c r="C51" i="59"/>
  <c r="D51" i="59"/>
  <c r="F51" i="59"/>
  <c r="B52" i="59"/>
  <c r="C52" i="59"/>
  <c r="D52" i="59"/>
  <c r="F52" i="59"/>
  <c r="B53" i="59"/>
  <c r="C53" i="59"/>
  <c r="D53" i="59"/>
  <c r="F53" i="59"/>
  <c r="B54" i="59"/>
  <c r="C54" i="59"/>
  <c r="D54" i="59"/>
  <c r="F54" i="59"/>
  <c r="B55" i="59"/>
  <c r="C55" i="59"/>
  <c r="D55" i="59"/>
  <c r="F55" i="59"/>
  <c r="B56" i="59"/>
  <c r="C56" i="59"/>
  <c r="D56" i="59"/>
  <c r="F56" i="59"/>
  <c r="B57" i="59"/>
  <c r="C57" i="59"/>
  <c r="D57" i="59"/>
  <c r="F57" i="59"/>
  <c r="B58" i="59"/>
  <c r="C58" i="59"/>
  <c r="D58" i="59"/>
  <c r="F58" i="59"/>
  <c r="B59" i="59"/>
  <c r="C59" i="59"/>
  <c r="D59" i="59"/>
  <c r="F59" i="59"/>
  <c r="B60" i="59"/>
  <c r="C60" i="59"/>
  <c r="D60" i="59"/>
  <c r="F60" i="59"/>
  <c r="B61" i="59"/>
  <c r="C61" i="59"/>
  <c r="D61" i="59"/>
  <c r="F61" i="59"/>
  <c r="B62" i="59"/>
  <c r="C62" i="59"/>
  <c r="D62" i="59"/>
  <c r="F62" i="59"/>
  <c r="B63" i="59"/>
  <c r="C63" i="59"/>
  <c r="D63" i="59"/>
  <c r="F63" i="59"/>
  <c r="B64" i="59"/>
  <c r="C64" i="59"/>
  <c r="D64" i="59"/>
  <c r="F64" i="59"/>
  <c r="B65" i="59"/>
  <c r="C65" i="59"/>
  <c r="D65" i="59"/>
  <c r="F65" i="59"/>
  <c r="B66" i="59"/>
  <c r="C66" i="59"/>
  <c r="D66" i="59"/>
  <c r="F66" i="59"/>
  <c r="B67" i="59"/>
  <c r="C67" i="59"/>
  <c r="D67" i="59"/>
  <c r="F67" i="59"/>
  <c r="B68" i="59"/>
  <c r="C68" i="59"/>
  <c r="D68" i="59"/>
  <c r="F68" i="59"/>
  <c r="B69" i="59"/>
  <c r="C69" i="59"/>
  <c r="D69" i="59"/>
  <c r="F69" i="59"/>
  <c r="B70" i="59"/>
  <c r="C70" i="59"/>
  <c r="D70" i="59"/>
  <c r="F70" i="59"/>
  <c r="B71" i="59"/>
  <c r="C71" i="59"/>
  <c r="D71" i="59"/>
  <c r="F71" i="59"/>
  <c r="B72" i="59"/>
  <c r="C72" i="59"/>
  <c r="D72" i="59"/>
  <c r="F72" i="59"/>
  <c r="B73" i="59"/>
  <c r="C73" i="59"/>
  <c r="D73" i="59"/>
  <c r="F73" i="59"/>
  <c r="B74" i="59"/>
  <c r="C74" i="59"/>
  <c r="D74" i="59"/>
  <c r="F74" i="59"/>
  <c r="B75" i="59"/>
  <c r="C75" i="59"/>
  <c r="D75" i="59"/>
  <c r="F75" i="59"/>
  <c r="B76" i="59"/>
  <c r="C76" i="59"/>
  <c r="D76" i="59"/>
  <c r="F76" i="59"/>
  <c r="B77" i="59"/>
  <c r="C77" i="59"/>
  <c r="D77" i="59"/>
  <c r="F77" i="59"/>
  <c r="B78" i="59"/>
  <c r="C78" i="59"/>
  <c r="D78" i="59"/>
  <c r="F78" i="59"/>
  <c r="B79" i="59"/>
  <c r="C79" i="59"/>
  <c r="D79" i="59"/>
  <c r="F79" i="59"/>
  <c r="B80" i="59"/>
  <c r="C80" i="59"/>
  <c r="D80" i="59"/>
  <c r="F80" i="59"/>
  <c r="B81" i="59"/>
  <c r="C81" i="59"/>
  <c r="D81" i="59"/>
  <c r="F81" i="59"/>
  <c r="B82" i="59"/>
  <c r="C82" i="59"/>
  <c r="D82" i="59"/>
  <c r="F82" i="59"/>
  <c r="B83" i="59"/>
  <c r="C83" i="59"/>
  <c r="D83" i="59"/>
  <c r="F83" i="59"/>
  <c r="B84" i="59"/>
  <c r="C84" i="59"/>
  <c r="D84" i="59"/>
  <c r="F84" i="59"/>
  <c r="B85" i="59"/>
  <c r="C85" i="59"/>
  <c r="D85" i="59"/>
  <c r="F85" i="59"/>
  <c r="B86" i="59"/>
  <c r="C86" i="59"/>
  <c r="D86" i="59"/>
  <c r="F86" i="59"/>
  <c r="B87" i="59"/>
  <c r="C87" i="59"/>
  <c r="D87" i="59"/>
  <c r="F87" i="59"/>
  <c r="B88" i="59"/>
  <c r="C88" i="59"/>
  <c r="D88" i="59"/>
  <c r="F88" i="59"/>
  <c r="B89" i="59"/>
  <c r="C89" i="59"/>
  <c r="D89" i="59"/>
  <c r="F89" i="59"/>
  <c r="B90" i="59"/>
  <c r="C90" i="59"/>
  <c r="D90" i="59"/>
  <c r="F90" i="59"/>
  <c r="B91" i="59"/>
  <c r="C91" i="59"/>
  <c r="D91" i="59"/>
  <c r="F91" i="59"/>
  <c r="B92" i="59"/>
  <c r="C92" i="59"/>
  <c r="D92" i="59"/>
  <c r="F92" i="59"/>
  <c r="B93" i="59"/>
  <c r="C93" i="59"/>
  <c r="D93" i="59"/>
  <c r="F93" i="59"/>
  <c r="B94" i="59"/>
  <c r="C94" i="59"/>
  <c r="D94" i="59"/>
  <c r="F94" i="59"/>
  <c r="B95" i="59"/>
  <c r="C95" i="59"/>
  <c r="D95" i="59"/>
  <c r="F95" i="59"/>
  <c r="B96" i="59"/>
  <c r="C96" i="59"/>
  <c r="D96" i="59"/>
  <c r="F96" i="59"/>
  <c r="B97" i="59"/>
  <c r="C97" i="59"/>
  <c r="D97" i="59"/>
  <c r="F97" i="59"/>
  <c r="B98" i="59"/>
  <c r="C98" i="59"/>
  <c r="D98" i="59"/>
  <c r="F98" i="59"/>
  <c r="B99" i="59"/>
  <c r="C99" i="59"/>
  <c r="D99" i="59"/>
  <c r="F99" i="59"/>
  <c r="B100" i="59"/>
  <c r="C100" i="59"/>
  <c r="D100" i="59"/>
  <c r="F100" i="59"/>
  <c r="B101" i="59"/>
  <c r="C101" i="59"/>
  <c r="D101" i="59"/>
  <c r="F101" i="59"/>
  <c r="B102" i="59"/>
  <c r="C102" i="59"/>
  <c r="D102" i="59"/>
  <c r="F102" i="59"/>
  <c r="B103" i="59"/>
  <c r="C103" i="59"/>
  <c r="D103" i="59"/>
  <c r="F103" i="59"/>
  <c r="B104" i="59"/>
  <c r="C104" i="59"/>
  <c r="D104" i="59"/>
  <c r="F104" i="59"/>
  <c r="B105" i="59"/>
  <c r="C105" i="59"/>
  <c r="D105" i="59"/>
  <c r="F105" i="59"/>
  <c r="B106" i="59"/>
  <c r="C106" i="59"/>
  <c r="D106" i="59"/>
  <c r="F106" i="59"/>
  <c r="B107" i="59"/>
  <c r="C107" i="59"/>
  <c r="D107" i="59"/>
  <c r="F107" i="59"/>
  <c r="B108" i="59"/>
  <c r="C108" i="59"/>
  <c r="D108" i="59"/>
  <c r="F108" i="59"/>
  <c r="B109" i="59"/>
  <c r="C109" i="59"/>
  <c r="D109" i="59"/>
  <c r="F109" i="59"/>
  <c r="B110" i="59"/>
  <c r="C110" i="59"/>
  <c r="D110" i="59"/>
  <c r="F110" i="59"/>
  <c r="B111" i="59"/>
  <c r="C111" i="59"/>
  <c r="D111" i="59"/>
  <c r="F111" i="59"/>
  <c r="B112" i="59"/>
  <c r="C112" i="59"/>
  <c r="D112" i="59"/>
  <c r="F112" i="59"/>
  <c r="B113" i="59"/>
  <c r="C113" i="59"/>
  <c r="D113" i="59"/>
  <c r="F113" i="59"/>
  <c r="B114" i="59"/>
  <c r="C114" i="59"/>
  <c r="D114" i="59"/>
  <c r="F114" i="59"/>
  <c r="B115" i="59"/>
  <c r="C115" i="59"/>
  <c r="D115" i="59"/>
  <c r="F115" i="59"/>
  <c r="B116" i="59"/>
  <c r="C116" i="59"/>
  <c r="D116" i="59"/>
  <c r="F116" i="59"/>
  <c r="B117" i="59"/>
  <c r="C117" i="59"/>
  <c r="D117" i="59"/>
  <c r="F117" i="59"/>
  <c r="B118" i="59"/>
  <c r="C118" i="59"/>
  <c r="D118" i="59"/>
  <c r="F118" i="59"/>
  <c r="B119" i="59"/>
  <c r="C119" i="59"/>
  <c r="D119" i="59"/>
  <c r="F119" i="59"/>
  <c r="B120" i="59"/>
  <c r="C120" i="59"/>
  <c r="D120" i="59"/>
  <c r="F120" i="59"/>
  <c r="B121" i="59"/>
  <c r="C121" i="59"/>
  <c r="D121" i="59"/>
  <c r="F121" i="59"/>
  <c r="B122" i="59"/>
  <c r="C122" i="59"/>
  <c r="D122" i="59"/>
  <c r="F122" i="59"/>
  <c r="B123" i="59"/>
  <c r="C123" i="59"/>
  <c r="D123" i="59"/>
  <c r="F123" i="59"/>
  <c r="B124" i="59"/>
  <c r="C124" i="59"/>
  <c r="D124" i="59"/>
  <c r="F124" i="59"/>
  <c r="B125" i="59"/>
  <c r="C125" i="59"/>
  <c r="D125" i="59"/>
  <c r="F125" i="59"/>
  <c r="B126" i="59"/>
  <c r="C126" i="59"/>
  <c r="D126" i="59"/>
  <c r="F126" i="59"/>
  <c r="B127" i="59"/>
  <c r="C127" i="59"/>
  <c r="D127" i="59"/>
  <c r="F127" i="59"/>
  <c r="B128" i="59"/>
  <c r="C128" i="59"/>
  <c r="D128" i="59"/>
  <c r="F128" i="59"/>
  <c r="B129" i="59"/>
  <c r="C129" i="59"/>
  <c r="D129" i="59"/>
  <c r="F129" i="59"/>
  <c r="B130" i="59"/>
  <c r="C130" i="59"/>
  <c r="D130" i="59"/>
  <c r="F130" i="59"/>
  <c r="B131" i="59"/>
  <c r="C131" i="59"/>
  <c r="D131" i="59"/>
  <c r="F131" i="59"/>
  <c r="B132" i="59"/>
  <c r="C132" i="59"/>
  <c r="D132" i="59"/>
  <c r="F132" i="59"/>
  <c r="B133" i="59"/>
  <c r="C133" i="59"/>
  <c r="D133" i="59"/>
  <c r="F133" i="59"/>
  <c r="B134" i="59"/>
  <c r="C134" i="59"/>
  <c r="D134" i="59"/>
  <c r="F134" i="59"/>
  <c r="B135" i="59"/>
  <c r="C135" i="59"/>
  <c r="D135" i="59"/>
  <c r="F135" i="59"/>
  <c r="B136" i="59"/>
  <c r="C136" i="59"/>
  <c r="D136" i="59"/>
  <c r="F136" i="59"/>
  <c r="B137" i="59"/>
  <c r="C137" i="59"/>
  <c r="D137" i="59"/>
  <c r="F137" i="59"/>
  <c r="B138" i="59"/>
  <c r="C138" i="59"/>
  <c r="D138" i="59"/>
  <c r="F138" i="59"/>
  <c r="B139" i="59"/>
  <c r="C139" i="59"/>
  <c r="D139" i="59"/>
  <c r="F139" i="59"/>
  <c r="B140" i="59"/>
  <c r="C140" i="59"/>
  <c r="D140" i="59"/>
  <c r="F140" i="59"/>
  <c r="B141" i="59"/>
  <c r="C141" i="59"/>
  <c r="D141" i="59"/>
  <c r="F141" i="59"/>
  <c r="B142" i="59"/>
  <c r="C142" i="59"/>
  <c r="D142" i="59"/>
  <c r="F142" i="59"/>
  <c r="B143" i="59"/>
  <c r="C143" i="59"/>
  <c r="D143" i="59"/>
  <c r="F143" i="59"/>
  <c r="B144" i="59"/>
  <c r="C144" i="59"/>
  <c r="D144" i="59"/>
  <c r="F144" i="59"/>
  <c r="B145" i="59"/>
  <c r="C145" i="59"/>
  <c r="D145" i="59"/>
  <c r="F145" i="59"/>
  <c r="B146" i="59"/>
  <c r="C146" i="59"/>
  <c r="D146" i="59"/>
  <c r="F146" i="59"/>
  <c r="B147" i="59"/>
  <c r="C147" i="59"/>
  <c r="D147" i="59"/>
  <c r="F147" i="59"/>
  <c r="B148" i="59"/>
  <c r="C148" i="59"/>
  <c r="D148" i="59"/>
  <c r="F148" i="59"/>
  <c r="B149" i="59"/>
  <c r="C149" i="59"/>
  <c r="D149" i="59"/>
  <c r="F149" i="59"/>
  <c r="B150" i="59"/>
  <c r="C150" i="59"/>
  <c r="D150" i="59"/>
  <c r="F150" i="59"/>
  <c r="B151" i="59"/>
  <c r="C151" i="59"/>
  <c r="D151" i="59"/>
  <c r="F151" i="59"/>
  <c r="B152" i="59"/>
  <c r="C152" i="59"/>
  <c r="D152" i="59"/>
  <c r="F152" i="59"/>
  <c r="B153" i="59"/>
  <c r="C153" i="59"/>
  <c r="D153" i="59"/>
  <c r="F153" i="59"/>
  <c r="B154" i="59"/>
  <c r="C154" i="59"/>
  <c r="D154" i="59"/>
  <c r="F154" i="59"/>
  <c r="B155" i="59"/>
  <c r="C155" i="59"/>
  <c r="D155" i="59"/>
  <c r="F155" i="59"/>
  <c r="B156" i="59"/>
  <c r="C156" i="59"/>
  <c r="D156" i="59"/>
  <c r="F156" i="59"/>
  <c r="B157" i="59"/>
  <c r="C157" i="59"/>
  <c r="D157" i="59"/>
  <c r="F157" i="59"/>
  <c r="B158" i="59"/>
  <c r="C158" i="59"/>
  <c r="D158" i="59"/>
  <c r="F158" i="59"/>
  <c r="B159" i="59"/>
  <c r="C159" i="59"/>
  <c r="D159" i="59"/>
  <c r="F159" i="59"/>
  <c r="B160" i="59"/>
  <c r="C160" i="59"/>
  <c r="D160" i="59"/>
  <c r="F160" i="59"/>
  <c r="B161" i="59"/>
  <c r="C161" i="59"/>
  <c r="D161" i="59"/>
  <c r="F161" i="59"/>
  <c r="B162" i="59"/>
  <c r="C162" i="59"/>
  <c r="D162" i="59"/>
  <c r="F162" i="59"/>
  <c r="B163" i="59"/>
  <c r="C163" i="59"/>
  <c r="D163" i="59"/>
  <c r="F163" i="59"/>
  <c r="B164" i="59"/>
  <c r="C164" i="59"/>
  <c r="D164" i="59"/>
  <c r="F164" i="59"/>
  <c r="B165" i="59"/>
  <c r="C165" i="59"/>
  <c r="D165" i="59"/>
  <c r="F165" i="59"/>
  <c r="B166" i="59"/>
  <c r="C166" i="59"/>
  <c r="D166" i="59"/>
  <c r="F166" i="59"/>
  <c r="B167" i="59"/>
  <c r="C167" i="59"/>
  <c r="D167" i="59"/>
  <c r="F167" i="59"/>
  <c r="B168" i="59"/>
  <c r="C168" i="59"/>
  <c r="D168" i="59"/>
  <c r="F168" i="59"/>
  <c r="B169" i="59"/>
  <c r="C169" i="59"/>
  <c r="D169" i="59"/>
  <c r="F169" i="59"/>
  <c r="B170" i="59"/>
  <c r="C170" i="59"/>
  <c r="D170" i="59"/>
  <c r="F170" i="59"/>
  <c r="B171" i="59"/>
  <c r="C171" i="59"/>
  <c r="D171" i="59"/>
  <c r="F171" i="59"/>
  <c r="B172" i="59"/>
  <c r="C172" i="59"/>
  <c r="D172" i="59"/>
  <c r="F172" i="59"/>
  <c r="B173" i="59"/>
  <c r="C173" i="59"/>
  <c r="D173" i="59"/>
  <c r="F173" i="59"/>
  <c r="B174" i="59"/>
  <c r="C174" i="59"/>
  <c r="D174" i="59"/>
  <c r="F174" i="59"/>
  <c r="B175" i="59"/>
  <c r="C175" i="59"/>
  <c r="D175" i="59"/>
  <c r="F175" i="59"/>
  <c r="B176" i="59"/>
  <c r="C176" i="59"/>
  <c r="D176" i="59"/>
  <c r="F176" i="59"/>
  <c r="B177" i="59"/>
  <c r="C177" i="59"/>
  <c r="D177" i="59"/>
  <c r="F177" i="59"/>
  <c r="B178" i="59"/>
  <c r="C178" i="59"/>
  <c r="D178" i="59"/>
  <c r="F178" i="59"/>
  <c r="B179" i="59"/>
  <c r="C179" i="59"/>
  <c r="D179" i="59"/>
  <c r="F179" i="59"/>
  <c r="B180" i="59"/>
  <c r="C180" i="59"/>
  <c r="D180" i="59"/>
  <c r="F180" i="59"/>
  <c r="B181" i="59"/>
  <c r="C181" i="59"/>
  <c r="D181" i="59"/>
  <c r="F181" i="59"/>
  <c r="B182" i="59"/>
  <c r="C182" i="59"/>
  <c r="D182" i="59"/>
  <c r="F182" i="59"/>
  <c r="B183" i="59"/>
  <c r="C183" i="59"/>
  <c r="D183" i="59"/>
  <c r="F183" i="59"/>
  <c r="B184" i="59"/>
  <c r="C184" i="59"/>
  <c r="D184" i="59"/>
  <c r="F184" i="59"/>
  <c r="B185" i="59"/>
  <c r="C185" i="59"/>
  <c r="D185" i="59"/>
  <c r="F185" i="59"/>
  <c r="B186" i="59"/>
  <c r="C186" i="59"/>
  <c r="D186" i="59"/>
  <c r="F186" i="59"/>
  <c r="B187" i="59"/>
  <c r="C187" i="59"/>
  <c r="D187" i="59"/>
  <c r="F187" i="59"/>
  <c r="B188" i="59"/>
  <c r="C188" i="59"/>
  <c r="D188" i="59"/>
  <c r="F188" i="59"/>
  <c r="B189" i="59"/>
  <c r="C189" i="59"/>
  <c r="D189" i="59"/>
  <c r="F189" i="59"/>
  <c r="B190" i="59"/>
  <c r="C190" i="59"/>
  <c r="D190" i="59"/>
  <c r="F190" i="59"/>
  <c r="B191" i="59"/>
  <c r="C191" i="59"/>
  <c r="D191" i="59"/>
  <c r="F191" i="59"/>
  <c r="B192" i="59"/>
  <c r="C192" i="59"/>
  <c r="D192" i="59"/>
  <c r="F192" i="59"/>
  <c r="B193" i="59"/>
  <c r="C193" i="59"/>
  <c r="D193" i="59"/>
  <c r="F193" i="59"/>
  <c r="B194" i="59"/>
  <c r="C194" i="59"/>
  <c r="D194" i="59"/>
  <c r="F194" i="59"/>
  <c r="B195" i="59"/>
  <c r="C195" i="59"/>
  <c r="D195" i="59"/>
  <c r="F195" i="59"/>
  <c r="B196" i="59"/>
  <c r="C196" i="59"/>
  <c r="D196" i="59"/>
  <c r="F196" i="59"/>
  <c r="B197" i="59"/>
  <c r="C197" i="59"/>
  <c r="D197" i="59"/>
  <c r="F197" i="59"/>
  <c r="B198" i="59"/>
  <c r="C198" i="59"/>
  <c r="D198" i="59"/>
  <c r="F198" i="59"/>
  <c r="B199" i="59"/>
  <c r="C199" i="59"/>
  <c r="D199" i="59"/>
  <c r="F199" i="59"/>
  <c r="B200" i="59"/>
  <c r="C200" i="59"/>
  <c r="D200" i="59"/>
  <c r="F200" i="59"/>
  <c r="B201" i="59"/>
  <c r="C201" i="59"/>
  <c r="D201" i="59"/>
  <c r="F201" i="59"/>
  <c r="B202" i="59"/>
  <c r="C202" i="59"/>
  <c r="D202" i="59"/>
  <c r="F202" i="59"/>
  <c r="B203" i="59"/>
  <c r="C203" i="59"/>
  <c r="D203" i="59"/>
  <c r="F203" i="59"/>
  <c r="B204" i="59"/>
  <c r="C204" i="59"/>
  <c r="D204" i="59"/>
  <c r="F204" i="59"/>
  <c r="B205" i="59"/>
  <c r="C205" i="59"/>
  <c r="D205" i="59"/>
  <c r="F205" i="59"/>
  <c r="B206" i="59"/>
  <c r="C206" i="59"/>
  <c r="D206" i="59"/>
  <c r="F206" i="59"/>
  <c r="B207" i="59"/>
  <c r="C207" i="59"/>
  <c r="D207" i="59"/>
  <c r="F207" i="59"/>
  <c r="B208" i="59"/>
  <c r="C208" i="59"/>
  <c r="D208" i="59"/>
  <c r="F208" i="59"/>
  <c r="B209" i="59"/>
  <c r="C209" i="59"/>
  <c r="D209" i="59"/>
  <c r="F209" i="59"/>
  <c r="B210" i="59"/>
  <c r="C210" i="59"/>
  <c r="D210" i="59"/>
  <c r="F210" i="59"/>
  <c r="B211" i="59"/>
  <c r="C211" i="59"/>
  <c r="D211" i="59"/>
  <c r="F211" i="59"/>
  <c r="B212" i="59"/>
  <c r="C212" i="59"/>
  <c r="D212" i="59"/>
  <c r="F212" i="59"/>
  <c r="B213" i="59"/>
  <c r="C213" i="59"/>
  <c r="D213" i="59"/>
  <c r="F213" i="59"/>
  <c r="B214" i="59"/>
  <c r="C214" i="59"/>
  <c r="D214" i="59"/>
  <c r="F214" i="59"/>
  <c r="B215" i="59"/>
  <c r="C215" i="59"/>
  <c r="D215" i="59"/>
  <c r="F215" i="59"/>
  <c r="B216" i="59"/>
  <c r="C216" i="59"/>
  <c r="D216" i="59"/>
  <c r="F216" i="59"/>
  <c r="B217" i="59"/>
  <c r="C217" i="59"/>
  <c r="D217" i="59"/>
  <c r="F217" i="59"/>
  <c r="B218" i="59"/>
  <c r="C218" i="59"/>
  <c r="D218" i="59"/>
  <c r="F218" i="59"/>
  <c r="B219" i="59"/>
  <c r="C219" i="59"/>
  <c r="D219" i="59"/>
  <c r="F219" i="59"/>
  <c r="B220" i="59"/>
  <c r="C220" i="59"/>
  <c r="D220" i="59"/>
  <c r="F220" i="59"/>
  <c r="B221" i="59"/>
  <c r="C221" i="59"/>
  <c r="D221" i="59"/>
  <c r="F221" i="59"/>
  <c r="B222" i="59"/>
  <c r="C222" i="59"/>
  <c r="D222" i="59"/>
  <c r="F222" i="59"/>
  <c r="B223" i="59"/>
  <c r="C223" i="59"/>
  <c r="D223" i="59"/>
  <c r="F223" i="59"/>
  <c r="B224" i="59"/>
  <c r="C224" i="59"/>
  <c r="D224" i="59"/>
  <c r="F224" i="59"/>
  <c r="B225" i="59"/>
  <c r="C225" i="59"/>
  <c r="D225" i="59"/>
  <c r="F225" i="59"/>
  <c r="B226" i="59"/>
  <c r="C226" i="59"/>
  <c r="D226" i="59"/>
  <c r="F226" i="59"/>
  <c r="B227" i="59"/>
  <c r="C227" i="59"/>
  <c r="D227" i="59"/>
  <c r="F227" i="59"/>
  <c r="B228" i="59"/>
  <c r="C228" i="59"/>
  <c r="D228" i="59"/>
  <c r="F228" i="59"/>
  <c r="B229" i="59"/>
  <c r="C229" i="59"/>
  <c r="D229" i="59"/>
  <c r="F229" i="59"/>
  <c r="B230" i="59"/>
  <c r="C230" i="59"/>
  <c r="D230" i="59"/>
  <c r="F230" i="59"/>
  <c r="B231" i="59"/>
  <c r="C231" i="59"/>
  <c r="D231" i="59"/>
  <c r="F231" i="59"/>
  <c r="B232" i="59"/>
  <c r="C232" i="59"/>
  <c r="D232" i="59"/>
  <c r="F232" i="59"/>
  <c r="B233" i="59"/>
  <c r="C233" i="59"/>
  <c r="D233" i="59"/>
  <c r="F233" i="59"/>
  <c r="B234" i="59"/>
  <c r="C234" i="59"/>
  <c r="D234" i="59"/>
  <c r="F234" i="59"/>
  <c r="B235" i="59"/>
  <c r="C235" i="59"/>
  <c r="D235" i="59"/>
  <c r="F235" i="59"/>
  <c r="B236" i="59"/>
  <c r="C236" i="59"/>
  <c r="D236" i="59"/>
  <c r="F236" i="59"/>
  <c r="B237" i="59"/>
  <c r="C237" i="59"/>
  <c r="D237" i="59"/>
  <c r="F237" i="59"/>
  <c r="B238" i="59"/>
  <c r="C238" i="59"/>
  <c r="D238" i="59"/>
  <c r="F238" i="59"/>
  <c r="B239" i="59"/>
  <c r="C239" i="59"/>
  <c r="D239" i="59"/>
  <c r="F239" i="59"/>
  <c r="B240" i="59"/>
  <c r="C240" i="59"/>
  <c r="D240" i="59"/>
  <c r="F240" i="59"/>
  <c r="B241" i="59"/>
  <c r="C241" i="59"/>
  <c r="D241" i="59"/>
  <c r="F241" i="59"/>
  <c r="B242" i="59"/>
  <c r="C242" i="59"/>
  <c r="D242" i="59"/>
  <c r="F242" i="59"/>
  <c r="B243" i="59"/>
  <c r="C243" i="59"/>
  <c r="D243" i="59"/>
  <c r="F243" i="59"/>
  <c r="B244" i="59"/>
  <c r="C244" i="59"/>
  <c r="D244" i="59"/>
  <c r="F244" i="59"/>
  <c r="B245" i="59"/>
  <c r="C245" i="59"/>
  <c r="D245" i="59"/>
  <c r="F245" i="59"/>
  <c r="B246" i="59"/>
  <c r="C246" i="59"/>
  <c r="D246" i="59"/>
  <c r="F246" i="59"/>
  <c r="B247" i="59"/>
  <c r="C247" i="59"/>
  <c r="D247" i="59"/>
  <c r="F247" i="59"/>
  <c r="B248" i="59"/>
  <c r="C248" i="59"/>
  <c r="D248" i="59"/>
  <c r="F248" i="59"/>
  <c r="B249" i="59"/>
  <c r="C249" i="59"/>
  <c r="D249" i="59"/>
  <c r="F249" i="59"/>
  <c r="B250" i="59"/>
  <c r="C250" i="59"/>
  <c r="D250" i="59"/>
  <c r="F250" i="59"/>
  <c r="B251" i="59"/>
  <c r="C251" i="59"/>
  <c r="D251" i="59"/>
  <c r="F251" i="59"/>
  <c r="B252" i="59"/>
  <c r="C252" i="59"/>
  <c r="D252" i="59"/>
  <c r="F252" i="59"/>
  <c r="B253" i="59"/>
  <c r="C253" i="59"/>
  <c r="D253" i="59"/>
  <c r="F253" i="59"/>
  <c r="B254" i="59"/>
  <c r="C254" i="59"/>
  <c r="D254" i="59"/>
  <c r="F254" i="59"/>
  <c r="B255" i="59"/>
  <c r="C255" i="59"/>
  <c r="D255" i="59"/>
  <c r="F255" i="59"/>
  <c r="B256" i="59"/>
  <c r="C256" i="59"/>
  <c r="D256" i="59"/>
  <c r="F256" i="59"/>
  <c r="B257" i="59"/>
  <c r="C257" i="59"/>
  <c r="D257" i="59"/>
  <c r="F257" i="59"/>
  <c r="B258" i="59"/>
  <c r="C258" i="59"/>
  <c r="D258" i="59"/>
  <c r="F258" i="59"/>
  <c r="B259" i="59"/>
  <c r="C259" i="59"/>
  <c r="D259" i="59"/>
  <c r="F259" i="59"/>
  <c r="B260" i="59"/>
  <c r="C260" i="59"/>
  <c r="D260" i="59"/>
  <c r="F260" i="59"/>
  <c r="B261" i="59"/>
  <c r="C261" i="59"/>
  <c r="D261" i="59"/>
  <c r="F261" i="59"/>
  <c r="B262" i="59"/>
  <c r="C262" i="59"/>
  <c r="D262" i="59"/>
  <c r="F262" i="59"/>
  <c r="B263" i="59"/>
  <c r="C263" i="59"/>
  <c r="D263" i="59"/>
  <c r="F263" i="59"/>
  <c r="B264" i="59"/>
  <c r="C264" i="59"/>
  <c r="D264" i="59"/>
  <c r="F264" i="59"/>
  <c r="B265" i="59"/>
  <c r="C265" i="59"/>
  <c r="D265" i="59"/>
  <c r="F265" i="59"/>
  <c r="B266" i="59"/>
  <c r="C266" i="59"/>
  <c r="D266" i="59"/>
  <c r="F266" i="59"/>
  <c r="B267" i="59"/>
  <c r="C267" i="59"/>
  <c r="D267" i="59"/>
  <c r="F267" i="59"/>
  <c r="B268" i="59"/>
  <c r="C268" i="59"/>
  <c r="D268" i="59"/>
  <c r="F268" i="59"/>
  <c r="B269" i="59"/>
  <c r="C269" i="59"/>
  <c r="D269" i="59"/>
  <c r="F269" i="59"/>
  <c r="B270" i="59"/>
  <c r="C270" i="59"/>
  <c r="D270" i="59"/>
  <c r="F270" i="59"/>
  <c r="B271" i="59"/>
  <c r="C271" i="59"/>
  <c r="D271" i="59"/>
  <c r="F271" i="59"/>
  <c r="B272" i="59"/>
  <c r="C272" i="59"/>
  <c r="D272" i="59"/>
  <c r="F272" i="59"/>
  <c r="B273" i="59"/>
  <c r="C273" i="59"/>
  <c r="D273" i="59"/>
  <c r="F273" i="59"/>
  <c r="B274" i="59"/>
  <c r="C274" i="59"/>
  <c r="D274" i="59"/>
  <c r="F274" i="59"/>
  <c r="B275" i="59"/>
  <c r="C275" i="59"/>
  <c r="D275" i="59"/>
  <c r="F275" i="59"/>
  <c r="B276" i="59"/>
  <c r="C276" i="59"/>
  <c r="D276" i="59"/>
  <c r="F276" i="59"/>
  <c r="B277" i="59"/>
  <c r="C277" i="59"/>
  <c r="D277" i="59"/>
  <c r="F277" i="59"/>
  <c r="B278" i="59"/>
  <c r="C278" i="59"/>
  <c r="D278" i="59"/>
  <c r="F278" i="59"/>
  <c r="B279" i="59"/>
  <c r="C279" i="59"/>
  <c r="D279" i="59"/>
  <c r="F279" i="59"/>
  <c r="B280" i="59"/>
  <c r="C280" i="59"/>
  <c r="D280" i="59"/>
  <c r="F280" i="59"/>
  <c r="B281" i="59"/>
  <c r="C281" i="59"/>
  <c r="D281" i="59"/>
  <c r="F281" i="59"/>
  <c r="B282" i="59"/>
  <c r="C282" i="59"/>
  <c r="D282" i="59"/>
  <c r="F282" i="59"/>
  <c r="B283" i="59"/>
  <c r="C283" i="59"/>
  <c r="D283" i="59"/>
  <c r="F283" i="59"/>
  <c r="B284" i="59"/>
  <c r="C284" i="59"/>
  <c r="D284" i="59"/>
  <c r="F284" i="59"/>
  <c r="B285" i="59"/>
  <c r="C285" i="59"/>
  <c r="D285" i="59"/>
  <c r="F285" i="59"/>
  <c r="B286" i="59"/>
  <c r="C286" i="59"/>
  <c r="D286" i="59"/>
  <c r="F286" i="59"/>
  <c r="B287" i="59"/>
  <c r="C287" i="59"/>
  <c r="D287" i="59"/>
  <c r="F287" i="59"/>
  <c r="B288" i="59"/>
  <c r="C288" i="59"/>
  <c r="D288" i="59"/>
  <c r="F288" i="59"/>
  <c r="B289" i="59"/>
  <c r="C289" i="59"/>
  <c r="D289" i="59"/>
  <c r="F289" i="59"/>
  <c r="B290" i="59"/>
  <c r="C290" i="59"/>
  <c r="D290" i="59"/>
  <c r="F290" i="59"/>
  <c r="B291" i="59"/>
  <c r="C291" i="59"/>
  <c r="D291" i="59"/>
  <c r="F291" i="59"/>
  <c r="B292" i="59"/>
  <c r="C292" i="59"/>
  <c r="D292" i="59"/>
  <c r="F292" i="59"/>
  <c r="B293" i="59"/>
  <c r="C293" i="59"/>
  <c r="D293" i="59"/>
  <c r="F293" i="59"/>
  <c r="B294" i="59"/>
  <c r="C294" i="59"/>
  <c r="D294" i="59"/>
  <c r="F294" i="59"/>
  <c r="B295" i="59"/>
  <c r="C295" i="59"/>
  <c r="D295" i="59"/>
  <c r="F295" i="59"/>
  <c r="B296" i="59"/>
  <c r="C296" i="59"/>
  <c r="D296" i="59"/>
  <c r="F296" i="59"/>
  <c r="B297" i="59"/>
  <c r="C297" i="59"/>
  <c r="D297" i="59"/>
  <c r="F297" i="59"/>
  <c r="B298" i="59"/>
  <c r="C298" i="59"/>
  <c r="D298" i="59"/>
  <c r="F298" i="59"/>
  <c r="B299" i="59"/>
  <c r="C299" i="59"/>
  <c r="D299" i="59"/>
  <c r="E299" i="59"/>
  <c r="F299" i="59"/>
  <c r="B300" i="59"/>
  <c r="C300" i="59"/>
  <c r="D300" i="59"/>
  <c r="E300" i="59"/>
  <c r="F300" i="59"/>
  <c r="B301" i="59"/>
  <c r="C301" i="59"/>
  <c r="D301" i="59"/>
  <c r="E301" i="59"/>
  <c r="F301" i="59"/>
  <c r="B302" i="59"/>
  <c r="C302" i="59"/>
  <c r="D302" i="59"/>
  <c r="E302" i="59"/>
  <c r="F302" i="59"/>
  <c r="B303" i="59"/>
  <c r="C303" i="59"/>
  <c r="D303" i="59"/>
  <c r="E303" i="59"/>
  <c r="F303" i="59"/>
  <c r="B304" i="59"/>
  <c r="C304" i="59"/>
  <c r="D304" i="59"/>
  <c r="E304" i="59"/>
  <c r="F304" i="59"/>
  <c r="B305" i="59"/>
  <c r="C305" i="59"/>
  <c r="D305" i="59"/>
  <c r="E305" i="59"/>
  <c r="F305" i="59"/>
  <c r="B306" i="59"/>
  <c r="C306" i="59"/>
  <c r="D306" i="59"/>
  <c r="E306" i="59"/>
  <c r="F306" i="59"/>
  <c r="B307" i="59"/>
  <c r="C307" i="59"/>
  <c r="D307" i="59"/>
  <c r="E307" i="59"/>
  <c r="F307" i="59"/>
  <c r="B308" i="59"/>
  <c r="C308" i="59"/>
  <c r="D308" i="59"/>
  <c r="E308" i="59"/>
  <c r="F308" i="59"/>
  <c r="B309" i="59"/>
  <c r="C309" i="59"/>
  <c r="D309" i="59"/>
  <c r="E309" i="59"/>
  <c r="F309" i="59"/>
  <c r="B310" i="59"/>
  <c r="C310" i="59"/>
  <c r="D310" i="59"/>
  <c r="E310" i="59"/>
  <c r="F310" i="59"/>
  <c r="B311" i="59"/>
  <c r="C311" i="59"/>
  <c r="D311" i="59"/>
  <c r="E311" i="59"/>
  <c r="F311" i="59"/>
  <c r="B312" i="59"/>
  <c r="C312" i="59"/>
  <c r="D312" i="59"/>
  <c r="E312" i="59"/>
  <c r="F312" i="59"/>
  <c r="B313" i="59"/>
  <c r="C313" i="59"/>
  <c r="D313" i="59"/>
  <c r="E313" i="59"/>
  <c r="F313" i="59"/>
  <c r="B314" i="59"/>
  <c r="C314" i="59"/>
  <c r="D314" i="59"/>
  <c r="E314" i="59"/>
  <c r="F314" i="59"/>
  <c r="B315" i="59"/>
  <c r="C315" i="59"/>
  <c r="D315" i="59"/>
  <c r="E315" i="59"/>
  <c r="F315" i="59"/>
  <c r="B316" i="59"/>
  <c r="C316" i="59"/>
  <c r="D316" i="59"/>
  <c r="E316" i="59"/>
  <c r="F316" i="59"/>
  <c r="B317" i="59"/>
  <c r="C317" i="59"/>
  <c r="D317" i="59"/>
  <c r="E317" i="59"/>
  <c r="F317" i="59"/>
  <c r="B318" i="59"/>
  <c r="C318" i="59"/>
  <c r="D318" i="59"/>
  <c r="E318" i="59"/>
  <c r="F318" i="59"/>
  <c r="B319" i="59"/>
  <c r="C319" i="59"/>
  <c r="D319" i="59"/>
  <c r="E319" i="59"/>
  <c r="F319" i="59"/>
  <c r="B320" i="59"/>
  <c r="C320" i="59"/>
  <c r="D320" i="59"/>
  <c r="E320" i="59"/>
  <c r="F320" i="59"/>
  <c r="B321" i="59"/>
  <c r="C321" i="59"/>
  <c r="D321" i="59"/>
  <c r="E321" i="59"/>
  <c r="F321" i="59"/>
  <c r="B322" i="59"/>
  <c r="C322" i="59"/>
  <c r="D322" i="59"/>
  <c r="E322" i="59"/>
  <c r="F322" i="59"/>
  <c r="B323" i="59"/>
  <c r="C323" i="59"/>
  <c r="D323" i="59"/>
  <c r="E323" i="59"/>
  <c r="F323" i="59"/>
  <c r="B324" i="59"/>
  <c r="C324" i="59"/>
  <c r="D324" i="59"/>
  <c r="E324" i="59"/>
  <c r="F324" i="59"/>
  <c r="B325" i="59"/>
  <c r="C325" i="59"/>
  <c r="D325" i="59"/>
  <c r="E325" i="59"/>
  <c r="F325" i="59"/>
  <c r="B326" i="59"/>
  <c r="C326" i="59"/>
  <c r="D326" i="59"/>
  <c r="E326" i="59"/>
  <c r="F326" i="59"/>
  <c r="B327" i="59"/>
  <c r="C327" i="59"/>
  <c r="D327" i="59"/>
  <c r="E327" i="59"/>
  <c r="F327" i="59"/>
  <c r="B328" i="59"/>
  <c r="C328" i="59"/>
  <c r="D328" i="59"/>
  <c r="E328" i="59"/>
  <c r="F328" i="59"/>
  <c r="B329" i="59"/>
  <c r="C329" i="59"/>
  <c r="D329" i="59"/>
  <c r="E329" i="59"/>
  <c r="F329" i="59"/>
  <c r="B330" i="59"/>
  <c r="C330" i="59"/>
  <c r="D330" i="59"/>
  <c r="E330" i="59"/>
  <c r="F330" i="59"/>
  <c r="B331" i="59"/>
  <c r="C331" i="59"/>
  <c r="D331" i="59"/>
  <c r="E331" i="59"/>
  <c r="F331" i="59"/>
  <c r="B332" i="59"/>
  <c r="C332" i="59"/>
  <c r="D332" i="59"/>
  <c r="E332" i="59"/>
  <c r="F332" i="59"/>
  <c r="B333" i="59"/>
  <c r="C333" i="59"/>
  <c r="D333" i="59"/>
  <c r="E333" i="59"/>
  <c r="F333" i="59"/>
  <c r="B334" i="59"/>
  <c r="C334" i="59"/>
  <c r="D334" i="59"/>
  <c r="E334" i="59"/>
  <c r="F334" i="59"/>
  <c r="B335" i="59"/>
  <c r="C335" i="59"/>
  <c r="D335" i="59"/>
  <c r="E335" i="59"/>
  <c r="F335" i="59"/>
  <c r="B336" i="59"/>
  <c r="C336" i="59"/>
  <c r="D336" i="59"/>
  <c r="E336" i="59"/>
  <c r="F336" i="59"/>
  <c r="B337" i="59"/>
  <c r="C337" i="59"/>
  <c r="D337" i="59"/>
  <c r="E337" i="59"/>
  <c r="F337" i="59"/>
  <c r="B338" i="59"/>
  <c r="C338" i="59"/>
  <c r="D338" i="59"/>
  <c r="E338" i="59"/>
  <c r="F338" i="59"/>
  <c r="B339" i="59"/>
  <c r="C339" i="59"/>
  <c r="D339" i="59"/>
  <c r="E339" i="59"/>
  <c r="F339" i="59"/>
  <c r="B340" i="59"/>
  <c r="C340" i="59"/>
  <c r="D340" i="59"/>
  <c r="E340" i="59"/>
  <c r="F340" i="59"/>
  <c r="B341" i="59"/>
  <c r="C341" i="59"/>
  <c r="D341" i="59"/>
  <c r="E341" i="59"/>
  <c r="F341" i="59"/>
  <c r="B342" i="59"/>
  <c r="C342" i="59"/>
  <c r="D342" i="59"/>
  <c r="E342" i="59"/>
  <c r="F342" i="59"/>
  <c r="B343" i="59"/>
  <c r="C343" i="59"/>
  <c r="D343" i="59"/>
  <c r="E343" i="59"/>
  <c r="F343" i="59"/>
  <c r="B344" i="59"/>
  <c r="C344" i="59"/>
  <c r="D344" i="59"/>
  <c r="E344" i="59"/>
  <c r="F344" i="59"/>
  <c r="B345" i="59"/>
  <c r="C345" i="59"/>
  <c r="D345" i="59"/>
  <c r="E345" i="59"/>
  <c r="F345" i="59"/>
  <c r="B346" i="59"/>
  <c r="C346" i="59"/>
  <c r="D346" i="59"/>
  <c r="E346" i="59"/>
  <c r="F346" i="59"/>
  <c r="B347" i="59"/>
  <c r="C347" i="59"/>
  <c r="D347" i="59"/>
  <c r="E347" i="59"/>
  <c r="F347" i="59"/>
  <c r="B348" i="59"/>
  <c r="C348" i="59"/>
  <c r="D348" i="59"/>
  <c r="E348" i="59"/>
  <c r="F348" i="59"/>
  <c r="B349" i="59"/>
  <c r="C349" i="59"/>
  <c r="D349" i="59"/>
  <c r="E349" i="59"/>
  <c r="F349" i="59"/>
  <c r="B350" i="59"/>
  <c r="C350" i="59"/>
  <c r="D350" i="59"/>
  <c r="E350" i="59"/>
  <c r="F350" i="59"/>
  <c r="B351" i="59"/>
  <c r="C351" i="59"/>
  <c r="D351" i="59"/>
  <c r="E351" i="59"/>
  <c r="F351" i="59"/>
  <c r="B352" i="59"/>
  <c r="C352" i="59"/>
  <c r="D352" i="59"/>
  <c r="E352" i="59"/>
  <c r="F352" i="59"/>
  <c r="B353" i="59"/>
  <c r="C353" i="59"/>
  <c r="D353" i="59"/>
  <c r="E353" i="59"/>
  <c r="F353" i="59"/>
  <c r="B354" i="59"/>
  <c r="C354" i="59"/>
  <c r="D354" i="59"/>
  <c r="E354" i="59"/>
  <c r="F354" i="59"/>
  <c r="B355" i="59"/>
  <c r="C355" i="59"/>
  <c r="D355" i="59"/>
  <c r="E355" i="59"/>
  <c r="F355" i="59"/>
  <c r="B356" i="59"/>
  <c r="C356" i="59"/>
  <c r="D356" i="59"/>
  <c r="E356" i="59"/>
  <c r="F356" i="59"/>
  <c r="B357" i="59"/>
  <c r="C357" i="59"/>
  <c r="D357" i="59"/>
  <c r="E357" i="59"/>
  <c r="F357" i="59"/>
  <c r="B358" i="59"/>
  <c r="C358" i="59"/>
  <c r="D358" i="59"/>
  <c r="E358" i="59"/>
  <c r="F358" i="59"/>
  <c r="B359" i="59"/>
  <c r="C359" i="59"/>
  <c r="D359" i="59"/>
  <c r="E359" i="59"/>
  <c r="F359" i="59"/>
  <c r="B360" i="59"/>
  <c r="C360" i="59"/>
  <c r="D360" i="59"/>
  <c r="E360" i="59"/>
  <c r="F360" i="59"/>
  <c r="B361" i="59"/>
  <c r="C361" i="59"/>
  <c r="D361" i="59"/>
  <c r="E361" i="59"/>
  <c r="F361" i="59"/>
  <c r="B362" i="59"/>
  <c r="C362" i="59"/>
  <c r="D362" i="59"/>
  <c r="E362" i="59"/>
  <c r="F362" i="59"/>
  <c r="B363" i="59"/>
  <c r="C363" i="59"/>
  <c r="D363" i="59"/>
  <c r="E363" i="59"/>
  <c r="F363" i="59"/>
  <c r="B364" i="59"/>
  <c r="C364" i="59"/>
  <c r="D364" i="59"/>
  <c r="E364" i="59"/>
  <c r="F364" i="59"/>
  <c r="B365" i="59"/>
  <c r="C365" i="59"/>
  <c r="D365" i="59"/>
  <c r="E365" i="59"/>
  <c r="F365" i="59"/>
  <c r="B366" i="59"/>
  <c r="C366" i="59"/>
  <c r="D366" i="59"/>
  <c r="E366" i="59"/>
  <c r="F366" i="59"/>
  <c r="B367" i="59"/>
  <c r="C367" i="59"/>
  <c r="D367" i="59"/>
  <c r="E367" i="59"/>
  <c r="F367" i="59"/>
  <c r="B368" i="59"/>
  <c r="C368" i="59"/>
  <c r="D368" i="59"/>
  <c r="E368" i="59"/>
  <c r="F368" i="59"/>
  <c r="B369" i="59"/>
  <c r="C369" i="59"/>
  <c r="D369" i="59"/>
  <c r="E369" i="59"/>
  <c r="F369" i="59"/>
  <c r="B370" i="59"/>
  <c r="C370" i="59"/>
  <c r="D370" i="59"/>
  <c r="E370" i="59"/>
  <c r="F370" i="59"/>
  <c r="B371" i="59"/>
  <c r="C371" i="59"/>
  <c r="D371" i="59"/>
  <c r="E371" i="59"/>
  <c r="F371" i="59"/>
  <c r="B372" i="59"/>
  <c r="C372" i="59"/>
  <c r="D372" i="59"/>
  <c r="E372" i="59"/>
  <c r="F372" i="59"/>
  <c r="B373" i="59"/>
  <c r="C373" i="59"/>
  <c r="D373" i="59"/>
  <c r="E373" i="59"/>
  <c r="F373" i="59"/>
  <c r="B374" i="59"/>
  <c r="C374" i="59"/>
  <c r="D374" i="59"/>
  <c r="E374" i="59"/>
  <c r="F374" i="59"/>
  <c r="B375" i="59"/>
  <c r="C375" i="59"/>
  <c r="D375" i="59"/>
  <c r="E375" i="59"/>
  <c r="F375" i="59"/>
  <c r="B376" i="59"/>
  <c r="C376" i="59"/>
  <c r="D376" i="59"/>
  <c r="E376" i="59"/>
  <c r="F376" i="59"/>
  <c r="B377" i="59"/>
  <c r="C377" i="59"/>
  <c r="D377" i="59"/>
  <c r="E377" i="59"/>
  <c r="F377" i="59"/>
  <c r="B378" i="59"/>
  <c r="C378" i="59"/>
  <c r="D378" i="59"/>
  <c r="E378" i="59"/>
  <c r="F378" i="59"/>
  <c r="B379" i="59"/>
  <c r="C379" i="59"/>
  <c r="D379" i="59"/>
  <c r="E379" i="59"/>
  <c r="F379" i="59"/>
  <c r="B380" i="59"/>
  <c r="C380" i="59"/>
  <c r="D380" i="59"/>
  <c r="E380" i="59"/>
  <c r="F380" i="59"/>
  <c r="B381" i="59"/>
  <c r="C381" i="59"/>
  <c r="D381" i="59"/>
  <c r="E381" i="59"/>
  <c r="F381" i="59"/>
  <c r="B382" i="59"/>
  <c r="C382" i="59"/>
  <c r="D382" i="59"/>
  <c r="E382" i="59"/>
  <c r="F382" i="59"/>
  <c r="B383" i="59"/>
  <c r="C383" i="59"/>
  <c r="D383" i="59"/>
  <c r="E383" i="59"/>
  <c r="F383" i="59"/>
  <c r="B384" i="59"/>
  <c r="C384" i="59"/>
  <c r="D384" i="59"/>
  <c r="E384" i="59"/>
  <c r="F384" i="59"/>
  <c r="B385" i="59"/>
  <c r="C385" i="59"/>
  <c r="D385" i="59"/>
  <c r="E385" i="59"/>
  <c r="F385" i="59"/>
  <c r="B386" i="59"/>
  <c r="C386" i="59"/>
  <c r="D386" i="59"/>
  <c r="E386" i="59"/>
  <c r="F386" i="59"/>
  <c r="B387" i="59"/>
  <c r="C387" i="59"/>
  <c r="D387" i="59"/>
  <c r="E387" i="59"/>
  <c r="F387" i="59"/>
  <c r="B388" i="59"/>
  <c r="C388" i="59"/>
  <c r="D388" i="59"/>
  <c r="E388" i="59"/>
  <c r="F388" i="59"/>
  <c r="B389" i="59"/>
  <c r="C389" i="59"/>
  <c r="D389" i="59"/>
  <c r="E389" i="59"/>
  <c r="F389" i="59"/>
  <c r="B390" i="59"/>
  <c r="C390" i="59"/>
  <c r="D390" i="59"/>
  <c r="E390" i="59"/>
  <c r="F390" i="59"/>
  <c r="B391" i="59"/>
  <c r="C391" i="59"/>
  <c r="D391" i="59"/>
  <c r="E391" i="59"/>
  <c r="F391" i="59"/>
  <c r="B392" i="59"/>
  <c r="C392" i="59"/>
  <c r="D392" i="59"/>
  <c r="E392" i="59"/>
  <c r="F392" i="59"/>
  <c r="B393" i="59"/>
  <c r="C393" i="59"/>
  <c r="D393" i="59"/>
  <c r="E393" i="59"/>
  <c r="F393" i="59"/>
  <c r="B394" i="59"/>
  <c r="C394" i="59"/>
  <c r="D394" i="59"/>
  <c r="E394" i="59"/>
  <c r="F394" i="59"/>
  <c r="B395" i="59"/>
  <c r="C395" i="59"/>
  <c r="D395" i="59"/>
  <c r="E395" i="59"/>
  <c r="F395" i="59"/>
  <c r="B396" i="59"/>
  <c r="C396" i="59"/>
  <c r="D396" i="59"/>
  <c r="E396" i="59"/>
  <c r="F396" i="59"/>
  <c r="B397" i="59"/>
  <c r="C397" i="59"/>
  <c r="D397" i="59"/>
  <c r="E397" i="59"/>
  <c r="F397" i="59"/>
  <c r="B398" i="59"/>
  <c r="C398" i="59"/>
  <c r="D398" i="59"/>
  <c r="E398" i="59"/>
  <c r="F398" i="59"/>
  <c r="B399" i="59"/>
  <c r="C399" i="59"/>
  <c r="D399" i="59"/>
  <c r="E399" i="59"/>
  <c r="F399" i="59"/>
  <c r="B400" i="59"/>
  <c r="C400" i="59"/>
  <c r="D400" i="59"/>
  <c r="E400" i="59"/>
  <c r="F400" i="59"/>
  <c r="B401" i="59"/>
  <c r="C401" i="59"/>
  <c r="D401" i="59"/>
  <c r="E401" i="59"/>
  <c r="F401" i="59"/>
  <c r="G401" i="59"/>
  <c r="B402" i="59"/>
  <c r="C402" i="59"/>
  <c r="D402" i="59"/>
  <c r="E402" i="59"/>
  <c r="F402" i="59"/>
  <c r="G402" i="59"/>
  <c r="B403" i="59"/>
  <c r="C403" i="59"/>
  <c r="D403" i="59"/>
  <c r="E403" i="59"/>
  <c r="F403" i="59"/>
  <c r="G403" i="59"/>
  <c r="B404" i="59"/>
  <c r="C404" i="59"/>
  <c r="D404" i="59"/>
  <c r="E404" i="59"/>
  <c r="F404" i="59"/>
  <c r="G404" i="59"/>
  <c r="B405" i="59"/>
  <c r="C405" i="59"/>
  <c r="D405" i="59"/>
  <c r="E405" i="59"/>
  <c r="F405" i="59"/>
  <c r="G405" i="59"/>
  <c r="B406" i="59"/>
  <c r="C406" i="59"/>
  <c r="D406" i="59"/>
  <c r="E406" i="59"/>
  <c r="F406" i="59"/>
  <c r="G406" i="59"/>
  <c r="B407" i="59"/>
  <c r="C407" i="59"/>
  <c r="D407" i="59"/>
  <c r="E407" i="59"/>
  <c r="F407" i="59"/>
  <c r="G407" i="59"/>
  <c r="B408" i="59"/>
  <c r="C408" i="59"/>
  <c r="D408" i="59"/>
  <c r="E408" i="59"/>
  <c r="F408" i="59"/>
  <c r="G408" i="59"/>
  <c r="B409" i="59"/>
  <c r="C409" i="59"/>
  <c r="D409" i="59"/>
  <c r="E409" i="59"/>
  <c r="F409" i="59"/>
  <c r="G409" i="59"/>
  <c r="B410" i="59"/>
  <c r="C410" i="59"/>
  <c r="D410" i="59"/>
  <c r="E410" i="59"/>
  <c r="F410" i="59"/>
  <c r="G410" i="59"/>
  <c r="B411" i="59"/>
  <c r="C411" i="59"/>
  <c r="D411" i="59"/>
  <c r="E411" i="59"/>
  <c r="F411" i="59"/>
  <c r="G411" i="59"/>
  <c r="B412" i="59"/>
  <c r="C412" i="59"/>
  <c r="D412" i="59"/>
  <c r="E412" i="59"/>
  <c r="F412" i="59"/>
  <c r="G412" i="59"/>
  <c r="B413" i="59"/>
  <c r="C413" i="59"/>
  <c r="D413" i="59"/>
  <c r="E413" i="59"/>
  <c r="F413" i="59"/>
  <c r="G413" i="59"/>
  <c r="B414" i="59"/>
  <c r="C414" i="59"/>
  <c r="D414" i="59"/>
  <c r="E414" i="59"/>
  <c r="F414" i="59"/>
  <c r="G414" i="59"/>
  <c r="B415" i="59"/>
  <c r="C415" i="59"/>
  <c r="D415" i="59"/>
  <c r="E415" i="59"/>
  <c r="F415" i="59"/>
  <c r="G415" i="59"/>
  <c r="B416" i="59"/>
  <c r="C416" i="59"/>
  <c r="D416" i="59"/>
  <c r="E416" i="59"/>
  <c r="F416" i="59"/>
  <c r="G416" i="59"/>
  <c r="B417" i="59"/>
  <c r="C417" i="59"/>
  <c r="D417" i="59"/>
  <c r="E417" i="59"/>
  <c r="F417" i="59"/>
  <c r="G417" i="59"/>
  <c r="B418" i="59"/>
  <c r="C418" i="59"/>
  <c r="D418" i="59"/>
  <c r="E418" i="59"/>
  <c r="F418" i="59"/>
  <c r="G418" i="59"/>
  <c r="B419" i="59"/>
  <c r="C419" i="59"/>
  <c r="D419" i="59"/>
  <c r="E419" i="59"/>
  <c r="F419" i="59"/>
  <c r="G419" i="59"/>
  <c r="B420" i="59"/>
  <c r="C420" i="59"/>
  <c r="D420" i="59"/>
  <c r="E420" i="59"/>
  <c r="F420" i="59"/>
  <c r="G420" i="59"/>
  <c r="B421" i="59"/>
  <c r="C421" i="59"/>
  <c r="D421" i="59"/>
  <c r="E421" i="59"/>
  <c r="F421" i="59"/>
  <c r="G421" i="59"/>
  <c r="B422" i="59"/>
  <c r="C422" i="59"/>
  <c r="D422" i="59"/>
  <c r="E422" i="59"/>
  <c r="F422" i="59"/>
  <c r="G422" i="59"/>
  <c r="B423" i="59"/>
  <c r="C423" i="59"/>
  <c r="D423" i="59"/>
  <c r="E423" i="59"/>
  <c r="F423" i="59"/>
  <c r="G423" i="59"/>
  <c r="B424" i="59"/>
  <c r="C424" i="59"/>
  <c r="D424" i="59"/>
  <c r="E424" i="59"/>
  <c r="F424" i="59"/>
  <c r="G424" i="59"/>
  <c r="B425" i="59"/>
  <c r="C425" i="59"/>
  <c r="D425" i="59"/>
  <c r="E425" i="59"/>
  <c r="F425" i="59"/>
  <c r="G425" i="59"/>
  <c r="B426" i="59"/>
  <c r="C426" i="59"/>
  <c r="D426" i="59"/>
  <c r="E426" i="59"/>
  <c r="F426" i="59"/>
  <c r="G426" i="59"/>
  <c r="B427" i="59"/>
  <c r="C427" i="59"/>
  <c r="D427" i="59"/>
  <c r="E427" i="59"/>
  <c r="F427" i="59"/>
  <c r="G427" i="59"/>
  <c r="B428" i="59"/>
  <c r="C428" i="59"/>
  <c r="D428" i="59"/>
  <c r="E428" i="59"/>
  <c r="F428" i="59"/>
  <c r="G428" i="59"/>
  <c r="B429" i="59"/>
  <c r="C429" i="59"/>
  <c r="D429" i="59"/>
  <c r="E429" i="59"/>
  <c r="F429" i="59"/>
  <c r="G429" i="59"/>
  <c r="B430" i="59"/>
  <c r="C430" i="59"/>
  <c r="D430" i="59"/>
  <c r="E430" i="59"/>
  <c r="F430" i="59"/>
  <c r="G430" i="59"/>
  <c r="B431" i="59"/>
  <c r="C431" i="59"/>
  <c r="D431" i="59"/>
  <c r="E431" i="59"/>
  <c r="F431" i="59"/>
  <c r="G431" i="59"/>
  <c r="B432" i="59"/>
  <c r="C432" i="59"/>
  <c r="D432" i="59"/>
  <c r="E432" i="59"/>
  <c r="F432" i="59"/>
  <c r="G432" i="59"/>
  <c r="B433" i="59"/>
  <c r="C433" i="59"/>
  <c r="D433" i="59"/>
  <c r="E433" i="59"/>
  <c r="F433" i="59"/>
  <c r="G433" i="59"/>
  <c r="B434" i="59"/>
  <c r="C434" i="59"/>
  <c r="D434" i="59"/>
  <c r="E434" i="59"/>
  <c r="F434" i="59"/>
  <c r="G434" i="59"/>
  <c r="B435" i="59"/>
  <c r="C435" i="59"/>
  <c r="D435" i="59"/>
  <c r="E435" i="59"/>
  <c r="F435" i="59"/>
  <c r="G435" i="59"/>
  <c r="B436" i="59"/>
  <c r="C436" i="59"/>
  <c r="D436" i="59"/>
  <c r="E436" i="59"/>
  <c r="F436" i="59"/>
  <c r="G436" i="59"/>
  <c r="B437" i="59"/>
  <c r="C437" i="59"/>
  <c r="D437" i="59"/>
  <c r="E437" i="59"/>
  <c r="F437" i="59"/>
  <c r="G437" i="59"/>
  <c r="B438" i="59"/>
  <c r="C438" i="59"/>
  <c r="D438" i="59"/>
  <c r="E438" i="59"/>
  <c r="F438" i="59"/>
  <c r="G438" i="59"/>
  <c r="B439" i="59"/>
  <c r="C439" i="59"/>
  <c r="D439" i="59"/>
  <c r="E439" i="59"/>
  <c r="F439" i="59"/>
  <c r="G439" i="59"/>
  <c r="B440" i="59"/>
  <c r="C440" i="59"/>
  <c r="D440" i="59"/>
  <c r="E440" i="59"/>
  <c r="F440" i="59"/>
  <c r="G440" i="59"/>
  <c r="B441" i="59"/>
  <c r="C441" i="59"/>
  <c r="D441" i="59"/>
  <c r="E441" i="59"/>
  <c r="F441" i="59"/>
  <c r="G441" i="59"/>
  <c r="B442" i="59"/>
  <c r="C442" i="59"/>
  <c r="D442" i="59"/>
  <c r="E442" i="59"/>
  <c r="F442" i="59"/>
  <c r="G442" i="59"/>
  <c r="B443" i="59"/>
  <c r="C443" i="59"/>
  <c r="D443" i="59"/>
  <c r="E443" i="59"/>
  <c r="F443" i="59"/>
  <c r="G443" i="59"/>
  <c r="B444" i="59"/>
  <c r="C444" i="59"/>
  <c r="D444" i="59"/>
  <c r="E444" i="59"/>
  <c r="F444" i="59"/>
  <c r="G444" i="59"/>
  <c r="B445" i="59"/>
  <c r="C445" i="59"/>
  <c r="D445" i="59"/>
  <c r="E445" i="59"/>
  <c r="F445" i="59"/>
  <c r="G445" i="59"/>
  <c r="B446" i="59"/>
  <c r="C446" i="59"/>
  <c r="D446" i="59"/>
  <c r="E446" i="59"/>
  <c r="F446" i="59"/>
  <c r="G446" i="59"/>
  <c r="B447" i="59"/>
  <c r="C447" i="59"/>
  <c r="D447" i="59"/>
  <c r="E447" i="59"/>
  <c r="F447" i="59"/>
  <c r="G447" i="59"/>
  <c r="B448" i="59"/>
  <c r="C448" i="59"/>
  <c r="D448" i="59"/>
  <c r="E448" i="59"/>
  <c r="F448" i="59"/>
  <c r="G448" i="59"/>
  <c r="B449" i="59"/>
  <c r="C449" i="59"/>
  <c r="D449" i="59"/>
  <c r="E449" i="59"/>
  <c r="F449" i="59"/>
  <c r="G449" i="59"/>
  <c r="B450" i="59"/>
  <c r="C450" i="59"/>
  <c r="D450" i="59"/>
  <c r="E450" i="59"/>
  <c r="F450" i="59"/>
  <c r="G450" i="59"/>
  <c r="F1" i="59"/>
  <c r="H1" i="59"/>
  <c r="F2" i="59"/>
  <c r="H2" i="59"/>
  <c r="F3" i="59"/>
  <c r="H3" i="59"/>
  <c r="F4" i="59"/>
  <c r="H4" i="59"/>
  <c r="B450" i="57"/>
  <c r="B449" i="57"/>
  <c r="B448" i="57"/>
  <c r="B447" i="57"/>
  <c r="B446" i="57"/>
  <c r="B445" i="57"/>
  <c r="B444" i="57"/>
  <c r="B443" i="57"/>
  <c r="B442" i="57"/>
  <c r="B441" i="57"/>
  <c r="B440" i="57"/>
  <c r="B439" i="57"/>
  <c r="B438" i="57"/>
  <c r="B437" i="57"/>
  <c r="B436" i="57"/>
  <c r="B435" i="57"/>
  <c r="B434" i="57"/>
  <c r="B433" i="57"/>
  <c r="B432" i="57"/>
  <c r="B431" i="57"/>
  <c r="B430" i="57"/>
  <c r="B429" i="57"/>
  <c r="B428" i="57"/>
  <c r="B427" i="57"/>
  <c r="B426" i="57"/>
  <c r="B425" i="57"/>
  <c r="B424" i="57"/>
  <c r="B423" i="57"/>
  <c r="B422" i="57"/>
  <c r="B421" i="57"/>
  <c r="B420" i="57"/>
  <c r="B419" i="57"/>
  <c r="B418" i="57"/>
  <c r="B417" i="57"/>
  <c r="B416" i="57"/>
  <c r="B415" i="57"/>
  <c r="B414" i="57"/>
  <c r="B413" i="57"/>
  <c r="B412" i="57"/>
  <c r="B411" i="57"/>
  <c r="B410" i="57"/>
  <c r="B409" i="57"/>
  <c r="B408" i="57"/>
  <c r="B407" i="57"/>
  <c r="B406" i="57"/>
  <c r="B405" i="57"/>
  <c r="B404" i="57"/>
  <c r="B403" i="57"/>
  <c r="B402" i="57"/>
  <c r="B401" i="57"/>
  <c r="B400" i="57"/>
  <c r="B399" i="57"/>
  <c r="B398" i="57"/>
  <c r="B397" i="57"/>
  <c r="B396" i="57"/>
  <c r="B395" i="57"/>
  <c r="B394" i="57"/>
  <c r="B393" i="57"/>
  <c r="B392" i="57"/>
  <c r="B391" i="57"/>
  <c r="B390" i="57"/>
  <c r="B389" i="57"/>
  <c r="B388" i="57"/>
  <c r="B387" i="57"/>
  <c r="B386" i="57"/>
  <c r="B385" i="57"/>
  <c r="B384" i="57"/>
  <c r="B383" i="57"/>
  <c r="B382" i="57"/>
  <c r="B381" i="57"/>
  <c r="B380" i="57"/>
  <c r="B379" i="57"/>
  <c r="B378" i="57"/>
  <c r="B377" i="57"/>
  <c r="B376" i="57"/>
  <c r="B375" i="57"/>
  <c r="B374" i="57"/>
  <c r="B373" i="57"/>
  <c r="B372" i="57"/>
  <c r="B371" i="57"/>
  <c r="B370" i="57"/>
  <c r="B369" i="57"/>
  <c r="B368" i="57"/>
  <c r="B367" i="57"/>
  <c r="B366" i="57"/>
  <c r="B365" i="57"/>
  <c r="B364" i="57"/>
  <c r="B363" i="57"/>
  <c r="B362" i="57"/>
  <c r="B361" i="57"/>
  <c r="B360" i="57"/>
  <c r="B359" i="57"/>
  <c r="B358" i="57"/>
  <c r="B357" i="57"/>
  <c r="B356" i="57"/>
  <c r="B355" i="57"/>
  <c r="B354" i="57"/>
  <c r="B353" i="57"/>
  <c r="B352" i="57"/>
  <c r="B351" i="57"/>
  <c r="B350" i="57"/>
  <c r="B349" i="57"/>
  <c r="B348" i="57"/>
  <c r="B347" i="57"/>
  <c r="B346" i="57"/>
  <c r="B345" i="57"/>
  <c r="B344" i="57"/>
  <c r="B343" i="57"/>
  <c r="B342" i="57"/>
  <c r="B341" i="57"/>
  <c r="B340" i="57"/>
  <c r="B339" i="57"/>
  <c r="B338" i="57"/>
  <c r="B337" i="57"/>
  <c r="B336" i="57"/>
  <c r="B335" i="57"/>
  <c r="B334" i="57"/>
  <c r="B333" i="57"/>
  <c r="B332" i="57"/>
  <c r="B331" i="57"/>
  <c r="B330" i="57"/>
  <c r="B329" i="57"/>
  <c r="B328" i="57"/>
  <c r="B327" i="57"/>
  <c r="B326" i="57"/>
  <c r="B325" i="57"/>
  <c r="B324" i="57"/>
  <c r="B323" i="57"/>
  <c r="B322" i="57"/>
  <c r="B321" i="57"/>
  <c r="B320" i="57"/>
  <c r="B319" i="57"/>
  <c r="B318" i="57"/>
  <c r="B317" i="57"/>
  <c r="B316" i="57"/>
  <c r="B315" i="57"/>
  <c r="B314" i="57"/>
  <c r="B313" i="57"/>
  <c r="B312" i="57"/>
  <c r="B311" i="57"/>
  <c r="B310" i="57"/>
  <c r="B309" i="57"/>
  <c r="B308" i="57"/>
  <c r="B307" i="57"/>
  <c r="B306" i="57"/>
  <c r="B305" i="57"/>
  <c r="B304" i="57"/>
  <c r="B303" i="57"/>
  <c r="B302" i="57"/>
  <c r="B301" i="57"/>
  <c r="B300" i="57"/>
  <c r="B299" i="57"/>
  <c r="B298" i="57"/>
  <c r="B297" i="57"/>
  <c r="B296" i="57"/>
  <c r="B295" i="57"/>
  <c r="B294" i="57"/>
  <c r="B293" i="57"/>
  <c r="B292" i="57"/>
  <c r="B291" i="57"/>
  <c r="B290" i="57"/>
  <c r="B289" i="57"/>
  <c r="B288" i="57"/>
  <c r="B287" i="57"/>
  <c r="B286" i="57"/>
  <c r="B285" i="57"/>
  <c r="B284" i="57"/>
  <c r="B283" i="57"/>
  <c r="B282" i="57"/>
  <c r="B281" i="57"/>
  <c r="B280" i="57"/>
  <c r="B279" i="57"/>
  <c r="B278" i="57"/>
  <c r="B277" i="57"/>
  <c r="B276" i="57"/>
  <c r="B275" i="57"/>
  <c r="B274" i="57"/>
  <c r="B273" i="57"/>
  <c r="B272" i="57"/>
  <c r="B271" i="57"/>
  <c r="B270" i="57"/>
  <c r="B269" i="57"/>
  <c r="B268" i="57"/>
  <c r="B267" i="57"/>
  <c r="B266" i="57"/>
  <c r="B265" i="57"/>
  <c r="B264" i="57"/>
  <c r="B263" i="57"/>
  <c r="B262" i="57"/>
  <c r="B261" i="57"/>
  <c r="B260" i="57"/>
  <c r="B259" i="57"/>
  <c r="B258" i="57"/>
  <c r="B257" i="57"/>
  <c r="B256" i="57"/>
  <c r="B255" i="57"/>
  <c r="B254" i="57"/>
  <c r="B253" i="57"/>
  <c r="B252" i="57"/>
  <c r="B251" i="57"/>
  <c r="B250" i="57"/>
  <c r="B249" i="57"/>
  <c r="B248" i="57"/>
  <c r="B247" i="57"/>
  <c r="B246" i="57"/>
  <c r="B245" i="57"/>
  <c r="B244" i="57"/>
  <c r="B243" i="57"/>
  <c r="B242" i="57"/>
  <c r="B241" i="57"/>
  <c r="B240" i="57"/>
  <c r="B239" i="57"/>
  <c r="B238" i="57"/>
  <c r="B237" i="57"/>
  <c r="B236" i="57"/>
  <c r="B235" i="57"/>
  <c r="B234" i="57"/>
  <c r="B233" i="57"/>
  <c r="B232" i="57"/>
  <c r="B231" i="57"/>
  <c r="B230" i="57"/>
  <c r="B229" i="57"/>
  <c r="B228" i="57"/>
  <c r="B227" i="57"/>
  <c r="B226" i="57"/>
  <c r="B225" i="57"/>
  <c r="B224" i="57"/>
  <c r="B223" i="57"/>
  <c r="B222" i="57"/>
  <c r="B221" i="57"/>
  <c r="B220" i="57"/>
  <c r="B219" i="57"/>
  <c r="B218" i="57"/>
  <c r="B217" i="57"/>
  <c r="B216" i="57"/>
  <c r="B215" i="57"/>
  <c r="B214" i="57"/>
  <c r="B213" i="57"/>
  <c r="B212" i="57"/>
  <c r="B211" i="57"/>
  <c r="B210" i="57"/>
  <c r="B209" i="57"/>
  <c r="B208" i="57"/>
  <c r="B207" i="57"/>
  <c r="B206" i="57"/>
  <c r="B205" i="57"/>
  <c r="B204" i="57"/>
  <c r="B203" i="57"/>
  <c r="B202" i="57"/>
  <c r="B201" i="57"/>
  <c r="B200" i="57"/>
  <c r="B199" i="57"/>
  <c r="B198" i="57"/>
  <c r="B197" i="57"/>
  <c r="B196" i="57"/>
  <c r="B195" i="57"/>
  <c r="B194" i="57"/>
  <c r="B193" i="57"/>
  <c r="B192" i="57"/>
  <c r="B191" i="57"/>
  <c r="B190" i="57"/>
  <c r="B189" i="57"/>
  <c r="B188" i="57"/>
  <c r="B187" i="57"/>
  <c r="B186" i="57"/>
  <c r="B185" i="57"/>
  <c r="B184" i="57"/>
  <c r="B183" i="57"/>
  <c r="B182" i="57"/>
  <c r="B181" i="57"/>
  <c r="B180" i="57"/>
  <c r="B179" i="57"/>
  <c r="B178" i="57"/>
  <c r="B177" i="57"/>
  <c r="B176" i="57"/>
  <c r="B175" i="57"/>
  <c r="B174" i="57"/>
  <c r="B173" i="57"/>
  <c r="B172" i="57"/>
  <c r="B171" i="57"/>
  <c r="B170" i="57"/>
  <c r="B169" i="57"/>
  <c r="B168" i="57"/>
  <c r="B167" i="57"/>
  <c r="B166" i="57"/>
  <c r="B165" i="57"/>
  <c r="B164" i="57"/>
  <c r="B163" i="57"/>
  <c r="B162" i="57"/>
  <c r="B161" i="57"/>
  <c r="B160" i="57"/>
  <c r="B159" i="57"/>
  <c r="B158" i="57"/>
  <c r="B157" i="57"/>
  <c r="B156" i="57"/>
  <c r="B155" i="57"/>
  <c r="B154" i="57"/>
  <c r="B153" i="57"/>
  <c r="B152" i="57"/>
  <c r="B151" i="57"/>
  <c r="B150" i="57"/>
  <c r="B149" i="57"/>
  <c r="B148" i="57"/>
  <c r="B147" i="57"/>
  <c r="B146" i="57"/>
  <c r="B145" i="57"/>
  <c r="B144" i="57"/>
  <c r="B143" i="57"/>
  <c r="B142" i="57"/>
  <c r="B141" i="57"/>
  <c r="B140" i="57"/>
  <c r="B139" i="57"/>
  <c r="B138" i="57"/>
  <c r="B137" i="57"/>
  <c r="B136" i="57"/>
  <c r="B135" i="57"/>
  <c r="B134" i="57"/>
  <c r="B133" i="57"/>
  <c r="B132" i="57"/>
  <c r="B131" i="57"/>
  <c r="B130" i="57"/>
  <c r="B129" i="57"/>
  <c r="B128" i="57"/>
  <c r="B127" i="57"/>
  <c r="B126" i="57"/>
  <c r="B125" i="57"/>
  <c r="B124" i="57"/>
  <c r="B123" i="57"/>
  <c r="B122" i="57"/>
  <c r="B121" i="57"/>
  <c r="B120" i="57"/>
  <c r="B119" i="57"/>
  <c r="B118" i="57"/>
  <c r="B117" i="57"/>
  <c r="B116" i="57"/>
  <c r="B115" i="57"/>
  <c r="B114" i="57"/>
  <c r="B113" i="57"/>
  <c r="B112" i="57"/>
  <c r="B111" i="57"/>
  <c r="B110" i="57"/>
  <c r="B109" i="57"/>
  <c r="B108" i="57"/>
  <c r="B107" i="57"/>
  <c r="B106" i="57"/>
  <c r="B105" i="57"/>
  <c r="B104" i="57"/>
  <c r="B103" i="57"/>
  <c r="B102" i="57"/>
  <c r="B101" i="57"/>
  <c r="B100" i="57"/>
  <c r="B99" i="57"/>
  <c r="B98" i="57"/>
  <c r="B97" i="57"/>
  <c r="B96" i="57"/>
  <c r="B95" i="57"/>
  <c r="B94" i="57"/>
  <c r="B93" i="57"/>
  <c r="B92" i="57"/>
  <c r="B91" i="57"/>
  <c r="B90" i="57"/>
  <c r="B89" i="57"/>
  <c r="B88" i="57"/>
  <c r="B87" i="57"/>
  <c r="B86" i="57"/>
  <c r="B85" i="57"/>
  <c r="B84" i="57"/>
  <c r="B83" i="57"/>
  <c r="B82" i="57"/>
  <c r="B81" i="57"/>
  <c r="B80" i="57"/>
  <c r="B79" i="57"/>
  <c r="B78" i="57"/>
  <c r="B77" i="57"/>
  <c r="B76" i="57"/>
  <c r="B75" i="57"/>
  <c r="B74" i="57"/>
  <c r="B73" i="57"/>
  <c r="B72" i="57"/>
  <c r="B71" i="57"/>
  <c r="B70" i="57"/>
  <c r="B69" i="57"/>
  <c r="B68" i="57"/>
  <c r="B67" i="57"/>
  <c r="B66" i="57"/>
  <c r="B65" i="57"/>
  <c r="B64" i="57"/>
  <c r="B63" i="57"/>
  <c r="B62" i="57"/>
  <c r="B61" i="57"/>
  <c r="B60" i="57"/>
  <c r="B59" i="57"/>
  <c r="B58" i="57"/>
  <c r="B57" i="57"/>
  <c r="B56" i="57"/>
  <c r="B55" i="57"/>
  <c r="B54" i="57"/>
  <c r="B53" i="57"/>
  <c r="B52" i="57"/>
  <c r="B51" i="57"/>
  <c r="B50" i="57"/>
  <c r="B49" i="57"/>
  <c r="B48" i="57"/>
  <c r="B47" i="57"/>
  <c r="B46" i="57"/>
  <c r="B45" i="57"/>
  <c r="B44" i="57"/>
  <c r="B43" i="57"/>
  <c r="B42" i="57"/>
  <c r="B41" i="57"/>
  <c r="B40" i="57"/>
  <c r="B39" i="57"/>
  <c r="B38" i="57"/>
  <c r="B37" i="57"/>
  <c r="B36" i="57"/>
  <c r="B35" i="57"/>
  <c r="B34" i="57"/>
  <c r="B33" i="57"/>
  <c r="B32" i="57"/>
  <c r="B31" i="57"/>
  <c r="B30" i="57"/>
  <c r="B29" i="57"/>
  <c r="B28" i="57"/>
  <c r="B27" i="57"/>
  <c r="B26" i="57"/>
  <c r="B25" i="57"/>
  <c r="B24" i="57"/>
  <c r="B23" i="57"/>
  <c r="B22" i="57"/>
  <c r="B21" i="57"/>
  <c r="B20" i="57"/>
  <c r="B19" i="57"/>
  <c r="B18" i="57"/>
  <c r="B17" i="57"/>
  <c r="B16" i="57"/>
  <c r="B15" i="57"/>
  <c r="B14" i="57"/>
  <c r="B13" i="57"/>
  <c r="B12" i="57"/>
  <c r="B11" i="57"/>
  <c r="B10" i="57"/>
  <c r="B9" i="57"/>
  <c r="B8" i="57"/>
  <c r="H4" i="57"/>
  <c r="F4" i="57"/>
  <c r="H3" i="57"/>
  <c r="F3" i="57"/>
  <c r="H2" i="57"/>
  <c r="F2" i="57"/>
  <c r="H1" i="57"/>
  <c r="F1" i="57"/>
  <c r="B8" i="28"/>
  <c r="H1" i="28"/>
  <c r="H2" i="28"/>
  <c r="H3" i="28"/>
  <c r="H4" i="28"/>
  <c r="C1" i="9"/>
  <c r="J154" i="34"/>
  <c r="J155" i="34"/>
  <c r="J156" i="34"/>
  <c r="J157" i="34"/>
  <c r="J158" i="34"/>
  <c r="J159" i="34"/>
  <c r="J160" i="34"/>
  <c r="J161" i="34"/>
  <c r="J162" i="34"/>
  <c r="J163" i="34"/>
  <c r="J164" i="34"/>
  <c r="J165" i="34"/>
  <c r="J166" i="34"/>
  <c r="J167" i="34"/>
  <c r="J168" i="34"/>
  <c r="J169" i="34"/>
  <c r="J170" i="34"/>
  <c r="J171" i="34"/>
  <c r="J172" i="34"/>
  <c r="J173" i="34"/>
  <c r="J174" i="34"/>
  <c r="J175" i="34"/>
  <c r="J176" i="34"/>
  <c r="J177" i="34"/>
  <c r="J178" i="34"/>
  <c r="J179" i="34"/>
  <c r="J180" i="34"/>
  <c r="J181" i="34"/>
  <c r="J182" i="34"/>
  <c r="J183" i="34"/>
  <c r="J184" i="34"/>
  <c r="J185" i="34"/>
  <c r="J186" i="34"/>
  <c r="J187" i="34"/>
  <c r="J188" i="34"/>
  <c r="J189" i="34"/>
  <c r="J190" i="34"/>
  <c r="J191" i="34"/>
  <c r="J192" i="34"/>
  <c r="J193" i="34"/>
  <c r="J194" i="34"/>
  <c r="J195" i="34"/>
  <c r="J196" i="34"/>
  <c r="J197" i="34"/>
  <c r="J198" i="34"/>
  <c r="J199" i="34"/>
  <c r="J200" i="34"/>
  <c r="J201" i="34"/>
  <c r="J202" i="34"/>
  <c r="J203" i="34"/>
  <c r="J204" i="34"/>
  <c r="J205" i="34"/>
  <c r="J206" i="34"/>
  <c r="J207" i="34"/>
  <c r="J208" i="34"/>
  <c r="J209" i="34"/>
  <c r="J210" i="34"/>
  <c r="J211" i="34"/>
  <c r="J212" i="34"/>
  <c r="J213" i="34"/>
  <c r="J214" i="34"/>
  <c r="J215" i="34"/>
  <c r="J216" i="34"/>
  <c r="J217" i="34"/>
  <c r="J218" i="34"/>
  <c r="J219" i="34"/>
  <c r="J220" i="34"/>
  <c r="J221" i="34"/>
  <c r="J222" i="34"/>
  <c r="J223" i="34"/>
  <c r="J224" i="34"/>
  <c r="B9" i="28"/>
  <c r="B10" i="28"/>
  <c r="D10" i="28" s="1"/>
  <c r="B11" i="28"/>
  <c r="B12" i="28"/>
  <c r="B13" i="28"/>
  <c r="D13" i="28" s="1"/>
  <c r="B14" i="28"/>
  <c r="D14" i="28" s="1"/>
  <c r="B15" i="28"/>
  <c r="B16" i="28"/>
  <c r="D16" i="28" s="1"/>
  <c r="B17" i="28"/>
  <c r="D17" i="28" s="1"/>
  <c r="B18" i="28"/>
  <c r="B19" i="28"/>
  <c r="D19" i="28" s="1"/>
  <c r="B20" i="28"/>
  <c r="B21" i="28"/>
  <c r="B22" i="28"/>
  <c r="D22" i="28" s="1"/>
  <c r="B23" i="28"/>
  <c r="D23" i="28" s="1"/>
  <c r="B24" i="28"/>
  <c r="B25" i="28"/>
  <c r="D25" i="28" s="1"/>
  <c r="B26" i="28"/>
  <c r="D26" i="28" s="1"/>
  <c r="B27" i="28"/>
  <c r="B28" i="28"/>
  <c r="D28" i="28" s="1"/>
  <c r="B29" i="28"/>
  <c r="B30" i="28"/>
  <c r="B31" i="28"/>
  <c r="D31" i="28" s="1"/>
  <c r="B32" i="28"/>
  <c r="D32" i="28" s="1"/>
  <c r="B33" i="28"/>
  <c r="B34" i="28"/>
  <c r="D34" i="28" s="1"/>
  <c r="B35" i="28"/>
  <c r="D35" i="28" s="1"/>
  <c r="B36" i="28"/>
  <c r="B37" i="28"/>
  <c r="D37" i="28" s="1"/>
  <c r="B38" i="28"/>
  <c r="B39" i="28"/>
  <c r="B40" i="28"/>
  <c r="D40" i="28" s="1"/>
  <c r="B41" i="28"/>
  <c r="D41" i="28" s="1"/>
  <c r="B42" i="28"/>
  <c r="B43" i="28"/>
  <c r="D43" i="28" s="1"/>
  <c r="B44" i="28"/>
  <c r="D44" i="28" s="1"/>
  <c r="B45" i="28"/>
  <c r="B46" i="28"/>
  <c r="D46" i="28" s="1"/>
  <c r="B47" i="28"/>
  <c r="D47" i="28" s="1"/>
  <c r="B48" i="28"/>
  <c r="B49" i="28"/>
  <c r="D49" i="28" s="1"/>
  <c r="B50" i="28"/>
  <c r="D50" i="28" s="1"/>
  <c r="B51" i="28"/>
  <c r="F51" i="28" s="1"/>
  <c r="B52" i="28"/>
  <c r="C52" i="28" s="1"/>
  <c r="B53" i="28"/>
  <c r="B54" i="28"/>
  <c r="F54" i="28" s="1"/>
  <c r="B55" i="28"/>
  <c r="B56" i="28"/>
  <c r="C56" i="28" s="1"/>
  <c r="B57" i="28"/>
  <c r="F57" i="28" s="1"/>
  <c r="B58" i="28"/>
  <c r="B59" i="28"/>
  <c r="D59" i="28" s="1"/>
  <c r="B60" i="28"/>
  <c r="F60" i="28" s="1"/>
  <c r="B61" i="28"/>
  <c r="B62" i="28"/>
  <c r="B63" i="28"/>
  <c r="D63" i="28" s="1"/>
  <c r="B64" i="28"/>
  <c r="C64" i="28" s="1"/>
  <c r="B65" i="28"/>
  <c r="B66" i="28"/>
  <c r="C66" i="28" s="1"/>
  <c r="B67" i="28"/>
  <c r="B68" i="28"/>
  <c r="B69" i="28"/>
  <c r="B70" i="28"/>
  <c r="C70" i="28" s="1"/>
  <c r="B71" i="28"/>
  <c r="B72" i="28"/>
  <c r="D72" i="28" s="1"/>
  <c r="B73" i="28"/>
  <c r="C73" i="28" s="1"/>
  <c r="B74" i="28"/>
  <c r="B75" i="28"/>
  <c r="B76" i="28"/>
  <c r="D76" i="28" s="1"/>
  <c r="B77" i="28"/>
  <c r="B78" i="28"/>
  <c r="B79" i="28"/>
  <c r="B80" i="28"/>
  <c r="B81" i="28"/>
  <c r="D81" i="28" s="1"/>
  <c r="B82" i="28"/>
  <c r="C82" i="28" s="1"/>
  <c r="B83" i="28"/>
  <c r="B84" i="28"/>
  <c r="C84" i="28" s="1"/>
  <c r="B85" i="28"/>
  <c r="D85" i="28" s="1"/>
  <c r="B86" i="28"/>
  <c r="D86" i="28" s="1"/>
  <c r="B87" i="28"/>
  <c r="B88" i="28"/>
  <c r="B89" i="28"/>
  <c r="B90" i="28"/>
  <c r="D90" i="28" s="1"/>
  <c r="B91" i="28"/>
  <c r="C91" i="28" s="1"/>
  <c r="B92" i="28"/>
  <c r="B93" i="28"/>
  <c r="C93" i="28" s="1"/>
  <c r="B94" i="28"/>
  <c r="B95" i="28"/>
  <c r="B96" i="28"/>
  <c r="B97" i="28"/>
  <c r="C97" i="28" s="1"/>
  <c r="B98" i="28"/>
  <c r="B99" i="28"/>
  <c r="D99" i="28" s="1"/>
  <c r="B100" i="28"/>
  <c r="C100" i="28" s="1"/>
  <c r="B101" i="28"/>
  <c r="B102" i="28"/>
  <c r="B103" i="28"/>
  <c r="D103" i="28" s="1"/>
  <c r="B104" i="28"/>
  <c r="B105" i="28"/>
  <c r="B106" i="28"/>
  <c r="B107" i="28"/>
  <c r="B108" i="28"/>
  <c r="D108" i="28" s="1"/>
  <c r="B109" i="28"/>
  <c r="C109" i="28" s="1"/>
  <c r="B110" i="28"/>
  <c r="B111" i="28"/>
  <c r="C111" i="28" s="1"/>
  <c r="B112" i="28"/>
  <c r="D112" i="28" s="1"/>
  <c r="B113" i="28"/>
  <c r="D113" i="28" s="1"/>
  <c r="B114" i="28"/>
  <c r="D114" i="28" s="1"/>
  <c r="B115" i="28"/>
  <c r="B116" i="28"/>
  <c r="C116" i="28" s="1"/>
  <c r="B117" i="28"/>
  <c r="D117" i="28" s="1"/>
  <c r="B118" i="28"/>
  <c r="C118" i="28" s="1"/>
  <c r="B119" i="28"/>
  <c r="C119" i="28" s="1"/>
  <c r="B120" i="28"/>
  <c r="D120" i="28" s="1"/>
  <c r="B121" i="28"/>
  <c r="C121" i="28" s="1"/>
  <c r="B122" i="28"/>
  <c r="B123" i="28"/>
  <c r="D123" i="28" s="1"/>
  <c r="B124" i="28"/>
  <c r="C124" i="28" s="1"/>
  <c r="B125" i="28"/>
  <c r="B126" i="28"/>
  <c r="D126" i="28" s="1"/>
  <c r="B127" i="28"/>
  <c r="C127" i="28" s="1"/>
  <c r="B128" i="28"/>
  <c r="B129" i="28"/>
  <c r="D129" i="28" s="1"/>
  <c r="B130" i="28"/>
  <c r="C130" i="28" s="1"/>
  <c r="B131" i="28"/>
  <c r="B132" i="28"/>
  <c r="D132" i="28" s="1"/>
  <c r="B133" i="28"/>
  <c r="C133" i="28" s="1"/>
  <c r="B134" i="28"/>
  <c r="D134" i="28" s="1"/>
  <c r="B135" i="28"/>
  <c r="B136" i="28"/>
  <c r="F136" i="28" s="1"/>
  <c r="B137" i="28"/>
  <c r="C137" i="28" s="1"/>
  <c r="B138" i="28"/>
  <c r="D138" i="28" s="1"/>
  <c r="B139" i="28"/>
  <c r="F139" i="28" s="1"/>
  <c r="B140" i="28"/>
  <c r="C140" i="28" s="1"/>
  <c r="B141" i="28"/>
  <c r="B142" i="28"/>
  <c r="F142" i="28" s="1"/>
  <c r="B143" i="28"/>
  <c r="B144" i="28"/>
  <c r="B145" i="28"/>
  <c r="F145" i="28" s="1"/>
  <c r="B146" i="28"/>
  <c r="B147" i="28"/>
  <c r="D147" i="28" s="1"/>
  <c r="B148" i="28"/>
  <c r="F148" i="28" s="1"/>
  <c r="B149" i="28"/>
  <c r="C149" i="28" s="1"/>
  <c r="B150" i="28"/>
  <c r="B151" i="28"/>
  <c r="F151" i="28" s="1"/>
  <c r="B152" i="28"/>
  <c r="B153" i="28"/>
  <c r="D153" i="28" s="1"/>
  <c r="B154" i="28"/>
  <c r="F154" i="28" s="1"/>
  <c r="B155" i="28"/>
  <c r="C155" i="28" s="1"/>
  <c r="B156" i="28"/>
  <c r="D156" i="28" s="1"/>
  <c r="B157" i="28"/>
  <c r="F157" i="28" s="1"/>
  <c r="B158" i="28"/>
  <c r="C158" i="28" s="1"/>
  <c r="B159" i="28"/>
  <c r="B160" i="28"/>
  <c r="F160" i="28" s="1"/>
  <c r="B161" i="28"/>
  <c r="B162" i="28"/>
  <c r="D162" i="28" s="1"/>
  <c r="B163" i="28"/>
  <c r="C163" i="28" s="1"/>
  <c r="B164" i="28"/>
  <c r="B165" i="28"/>
  <c r="D165" i="28" s="1"/>
  <c r="B166" i="28"/>
  <c r="C166" i="28" s="1"/>
  <c r="B167" i="28"/>
  <c r="F167" i="28" s="1"/>
  <c r="B168" i="28"/>
  <c r="D168" i="28" s="1"/>
  <c r="B169" i="28"/>
  <c r="C169" i="28" s="1"/>
  <c r="B170" i="28"/>
  <c r="C170" i="28" s="1"/>
  <c r="B171" i="28"/>
  <c r="D171" i="28" s="1"/>
  <c r="B172" i="28"/>
  <c r="C172" i="28" s="1"/>
  <c r="B173" i="28"/>
  <c r="B174" i="28"/>
  <c r="D174" i="28" s="1"/>
  <c r="B175" i="28"/>
  <c r="C175" i="28" s="1"/>
  <c r="B176" i="28"/>
  <c r="D176" i="28" s="1"/>
  <c r="B177" i="28"/>
  <c r="D177" i="28" s="1"/>
  <c r="B178" i="28"/>
  <c r="C178" i="28" s="1"/>
  <c r="B179" i="28"/>
  <c r="C179" i="28" s="1"/>
  <c r="B180" i="28"/>
  <c r="D180" i="28" s="1"/>
  <c r="B181" i="28"/>
  <c r="C181" i="28" s="1"/>
  <c r="B182" i="28"/>
  <c r="C182" i="28" s="1"/>
  <c r="B183" i="28"/>
  <c r="D183" i="28" s="1"/>
  <c r="B184" i="28"/>
  <c r="C184" i="28" s="1"/>
  <c r="B185" i="28"/>
  <c r="B186" i="28"/>
  <c r="D186" i="28" s="1"/>
  <c r="B187" i="28"/>
  <c r="C187" i="28" s="1"/>
  <c r="B188" i="28"/>
  <c r="B189" i="28"/>
  <c r="D189" i="28" s="1"/>
  <c r="B190" i="28"/>
  <c r="C190" i="28" s="1"/>
  <c r="B191" i="28"/>
  <c r="B192" i="28"/>
  <c r="D192" i="28" s="1"/>
  <c r="B193" i="28"/>
  <c r="C193" i="28" s="1"/>
  <c r="B194" i="28"/>
  <c r="B195" i="28"/>
  <c r="D195" i="28" s="1"/>
  <c r="B196" i="28"/>
  <c r="C196" i="28" s="1"/>
  <c r="B197" i="28"/>
  <c r="C197" i="28" s="1"/>
  <c r="B198" i="28"/>
  <c r="D198" i="28" s="1"/>
  <c r="B199" i="28"/>
  <c r="C199" i="28" s="1"/>
  <c r="B200" i="28"/>
  <c r="D200" i="28" s="1"/>
  <c r="B201" i="28"/>
  <c r="D201" i="28" s="1"/>
  <c r="B202" i="28"/>
  <c r="C202" i="28" s="1"/>
  <c r="B203" i="28"/>
  <c r="B204" i="28"/>
  <c r="B205" i="28"/>
  <c r="B206" i="28"/>
  <c r="F206" i="28" s="1"/>
  <c r="B207" i="28"/>
  <c r="D207" i="28" s="1"/>
  <c r="B208" i="28"/>
  <c r="B209" i="28"/>
  <c r="B210" i="28"/>
  <c r="C210" i="28" s="1"/>
  <c r="B211" i="28"/>
  <c r="B212" i="28"/>
  <c r="B213" i="28"/>
  <c r="C213" i="28" s="1"/>
  <c r="B214" i="28"/>
  <c r="B215" i="28"/>
  <c r="B216" i="28"/>
  <c r="B217" i="28"/>
  <c r="B218" i="28"/>
  <c r="B219" i="28"/>
  <c r="C219" i="28" s="1"/>
  <c r="B220" i="28"/>
  <c r="B221" i="28"/>
  <c r="B222" i="28"/>
  <c r="C222" i="28" s="1"/>
  <c r="B223" i="28"/>
  <c r="B224" i="28"/>
  <c r="B225" i="28"/>
  <c r="C225" i="28" s="1"/>
  <c r="B226" i="28"/>
  <c r="B227" i="28"/>
  <c r="B228" i="28"/>
  <c r="B229" i="28"/>
  <c r="B230" i="28"/>
  <c r="B231" i="28"/>
  <c r="C231" i="28" s="1"/>
  <c r="B232" i="28"/>
  <c r="B233" i="28"/>
  <c r="B234" i="28"/>
  <c r="C234" i="28" s="1"/>
  <c r="B235" i="28"/>
  <c r="B236" i="28"/>
  <c r="B237" i="28"/>
  <c r="C237" i="28" s="1"/>
  <c r="B238" i="28"/>
  <c r="B239" i="28"/>
  <c r="B240" i="28"/>
  <c r="C240" i="28" s="1"/>
  <c r="B241" i="28"/>
  <c r="B242" i="28"/>
  <c r="B243" i="28"/>
  <c r="B244" i="28"/>
  <c r="B245" i="28"/>
  <c r="B246" i="28"/>
  <c r="C246" i="28" s="1"/>
  <c r="B247" i="28"/>
  <c r="B248" i="28"/>
  <c r="B249" i="28"/>
  <c r="C249" i="28" s="1"/>
  <c r="B250" i="28"/>
  <c r="B251" i="28"/>
  <c r="B252" i="28"/>
  <c r="C252" i="28" s="1"/>
  <c r="B253" i="28"/>
  <c r="B254" i="28"/>
  <c r="B255" i="28"/>
  <c r="B256" i="28"/>
  <c r="B257" i="28"/>
  <c r="B258" i="28"/>
  <c r="C258" i="28" s="1"/>
  <c r="B259" i="28"/>
  <c r="B260" i="28"/>
  <c r="B261" i="28"/>
  <c r="C261" i="28" s="1"/>
  <c r="B262" i="28"/>
  <c r="B263" i="28"/>
  <c r="B264" i="28"/>
  <c r="C264" i="28" s="1"/>
  <c r="B265" i="28"/>
  <c r="B266" i="28"/>
  <c r="F266" i="28" s="1"/>
  <c r="B267" i="28"/>
  <c r="C267" i="28" s="1"/>
  <c r="B268" i="28"/>
  <c r="D268" i="28" s="1"/>
  <c r="B269" i="28"/>
  <c r="F269" i="28" s="1"/>
  <c r="B270" i="28"/>
  <c r="B271" i="28"/>
  <c r="D271" i="28" s="1"/>
  <c r="B272" i="28"/>
  <c r="F272" i="28" s="1"/>
  <c r="B273" i="28"/>
  <c r="C273" i="28" s="1"/>
  <c r="B274" i="28"/>
  <c r="D274" i="28" s="1"/>
  <c r="B275" i="28"/>
  <c r="F275" i="28" s="1"/>
  <c r="B276" i="28"/>
  <c r="B277" i="28"/>
  <c r="B278" i="28"/>
  <c r="F278" i="28" s="1"/>
  <c r="B279" i="28"/>
  <c r="B280" i="28"/>
  <c r="D280" i="28" s="1"/>
  <c r="B281" i="28"/>
  <c r="F281" i="28" s="1"/>
  <c r="B282" i="28"/>
  <c r="D282" i="28" s="1"/>
  <c r="B283" i="28"/>
  <c r="B284" i="28"/>
  <c r="F284" i="28" s="1"/>
  <c r="B285" i="28"/>
  <c r="B286" i="28"/>
  <c r="D286" i="28" s="1"/>
  <c r="B287" i="28"/>
  <c r="F287" i="28" s="1"/>
  <c r="B288" i="28"/>
  <c r="B289" i="28"/>
  <c r="D289" i="28" s="1"/>
  <c r="B290" i="28"/>
  <c r="F290" i="28" s="1"/>
  <c r="B291" i="28"/>
  <c r="B292" i="28"/>
  <c r="B293" i="28"/>
  <c r="F293" i="28" s="1"/>
  <c r="B294" i="28"/>
  <c r="B295" i="28"/>
  <c r="B296" i="28"/>
  <c r="F296" i="28" s="1"/>
  <c r="B297" i="28"/>
  <c r="B298" i="28"/>
  <c r="D298" i="28" s="1"/>
  <c r="B299" i="28"/>
  <c r="F299" i="28" s="1"/>
  <c r="B300" i="28"/>
  <c r="B301" i="28"/>
  <c r="C301" i="28" s="1"/>
  <c r="B302" i="28"/>
  <c r="D302" i="28" s="1"/>
  <c r="B303" i="28"/>
  <c r="E303" i="28" s="1"/>
  <c r="B304" i="28"/>
  <c r="C304" i="28" s="1"/>
  <c r="B305" i="28"/>
  <c r="D305" i="28" s="1"/>
  <c r="B306" i="28"/>
  <c r="E306" i="28" s="1"/>
  <c r="B307" i="28"/>
  <c r="B308" i="28"/>
  <c r="B309" i="28"/>
  <c r="B310" i="28"/>
  <c r="C310" i="28" s="1"/>
  <c r="B311" i="28"/>
  <c r="D311" i="28" s="1"/>
  <c r="B312" i="28"/>
  <c r="B313" i="28"/>
  <c r="C313" i="28" s="1"/>
  <c r="B314" i="28"/>
  <c r="D314" i="28" s="1"/>
  <c r="B315" i="28"/>
  <c r="E315" i="28" s="1"/>
  <c r="B316" i="28"/>
  <c r="F316" i="28" s="1"/>
  <c r="B317" i="28"/>
  <c r="B318" i="28"/>
  <c r="B319" i="28"/>
  <c r="C319" i="28" s="1"/>
  <c r="B320" i="28"/>
  <c r="D320" i="28" s="1"/>
  <c r="B321" i="28"/>
  <c r="E321" i="28" s="1"/>
  <c r="B322" i="28"/>
  <c r="C322" i="28" s="1"/>
  <c r="B323" i="28"/>
  <c r="D323" i="28" s="1"/>
  <c r="B324" i="28"/>
  <c r="E324" i="28" s="1"/>
  <c r="B325" i="28"/>
  <c r="C325" i="28" s="1"/>
  <c r="B326" i="28"/>
  <c r="D326" i="28" s="1"/>
  <c r="B327" i="28"/>
  <c r="E327" i="28" s="1"/>
  <c r="B328" i="28"/>
  <c r="C328" i="28" s="1"/>
  <c r="B329" i="28"/>
  <c r="D329" i="28" s="1"/>
  <c r="B330" i="28"/>
  <c r="E330" i="28" s="1"/>
  <c r="B331" i="28"/>
  <c r="C331" i="28" s="1"/>
  <c r="B332" i="28"/>
  <c r="D332" i="28" s="1"/>
  <c r="B333" i="28"/>
  <c r="E333" i="28" s="1"/>
  <c r="B334" i="28"/>
  <c r="C334" i="28" s="1"/>
  <c r="B335" i="28"/>
  <c r="D335" i="28" s="1"/>
  <c r="B336" i="28"/>
  <c r="E336" i="28" s="1"/>
  <c r="B337" i="28"/>
  <c r="B338" i="28"/>
  <c r="D338" i="28" s="1"/>
  <c r="B339" i="28"/>
  <c r="E339" i="28" s="1"/>
  <c r="B340" i="28"/>
  <c r="C340" i="28" s="1"/>
  <c r="B341" i="28"/>
  <c r="D341" i="28" s="1"/>
  <c r="B342" i="28"/>
  <c r="E342" i="28" s="1"/>
  <c r="B343" i="28"/>
  <c r="B344" i="28"/>
  <c r="B345" i="28"/>
  <c r="E345" i="28" s="1"/>
  <c r="B346" i="28"/>
  <c r="B347" i="28"/>
  <c r="D347" i="28" s="1"/>
  <c r="B348" i="28"/>
  <c r="B349" i="28"/>
  <c r="C349" i="28" s="1"/>
  <c r="B350" i="28"/>
  <c r="D350" i="28" s="1"/>
  <c r="B351" i="28"/>
  <c r="E351" i="28" s="1"/>
  <c r="B352" i="28"/>
  <c r="C352" i="28" s="1"/>
  <c r="B353" i="28"/>
  <c r="D353" i="28" s="1"/>
  <c r="B354" i="28"/>
  <c r="E354" i="28" s="1"/>
  <c r="B355" i="28"/>
  <c r="C355" i="28" s="1"/>
  <c r="B356" i="28"/>
  <c r="B357" i="28"/>
  <c r="E357" i="28" s="1"/>
  <c r="B358" i="28"/>
  <c r="C358" i="28" s="1"/>
  <c r="B359" i="28"/>
  <c r="D359" i="28" s="1"/>
  <c r="B360" i="28"/>
  <c r="E360" i="28" s="1"/>
  <c r="B361" i="28"/>
  <c r="C361" i="28" s="1"/>
  <c r="B362" i="28"/>
  <c r="D362" i="28" s="1"/>
  <c r="B363" i="28"/>
  <c r="B364" i="28"/>
  <c r="C364" i="28" s="1"/>
  <c r="B365" i="28"/>
  <c r="B366" i="28"/>
  <c r="E366" i="28" s="1"/>
  <c r="B367" i="28"/>
  <c r="C367" i="28" s="1"/>
  <c r="B368" i="28"/>
  <c r="D368" i="28" s="1"/>
  <c r="B369" i="28"/>
  <c r="E369" i="28" s="1"/>
  <c r="B370" i="28"/>
  <c r="F370" i="28" s="1"/>
  <c r="B371" i="28"/>
  <c r="F371" i="28" s="1"/>
  <c r="B372" i="28"/>
  <c r="E372" i="28" s="1"/>
  <c r="B373" i="28"/>
  <c r="C373" i="28" s="1"/>
  <c r="B374" i="28"/>
  <c r="B375" i="28"/>
  <c r="E375" i="28" s="1"/>
  <c r="B376" i="28"/>
  <c r="C376" i="28" s="1"/>
  <c r="B377" i="28"/>
  <c r="D377" i="28" s="1"/>
  <c r="B378" i="28"/>
  <c r="E378" i="28" s="1"/>
  <c r="B379" i="28"/>
  <c r="C379" i="28" s="1"/>
  <c r="B380" i="28"/>
  <c r="D380" i="28" s="1"/>
  <c r="B381" i="28"/>
  <c r="E381" i="28" s="1"/>
  <c r="B382" i="28"/>
  <c r="C382" i="28" s="1"/>
  <c r="B383" i="28"/>
  <c r="B384" i="28"/>
  <c r="E384" i="28" s="1"/>
  <c r="B385" i="28"/>
  <c r="C385" i="28" s="1"/>
  <c r="B386" i="28"/>
  <c r="D386" i="28" s="1"/>
  <c r="B387" i="28"/>
  <c r="E387" i="28" s="1"/>
  <c r="B388" i="28"/>
  <c r="C388" i="28" s="1"/>
  <c r="B389" i="28"/>
  <c r="D389" i="28" s="1"/>
  <c r="B390" i="28"/>
  <c r="E390" i="28" s="1"/>
  <c r="B391" i="28"/>
  <c r="C391" i="28" s="1"/>
  <c r="B392" i="28"/>
  <c r="B393" i="28"/>
  <c r="B394" i="28"/>
  <c r="C394" i="28" s="1"/>
  <c r="B395" i="28"/>
  <c r="D395" i="28" s="1"/>
  <c r="B396" i="28"/>
  <c r="E396" i="28" s="1"/>
  <c r="B397" i="28"/>
  <c r="C397" i="28" s="1"/>
  <c r="B398" i="28"/>
  <c r="D398" i="28" s="1"/>
  <c r="B399" i="28"/>
  <c r="E399" i="28" s="1"/>
  <c r="B400" i="28"/>
  <c r="C400" i="28" s="1"/>
  <c r="B401" i="28"/>
  <c r="G401" i="28" s="1"/>
  <c r="B402" i="28"/>
  <c r="B403" i="28"/>
  <c r="B404" i="28"/>
  <c r="B405" i="28"/>
  <c r="B406" i="28"/>
  <c r="B407" i="28"/>
  <c r="B408" i="28"/>
  <c r="G408" i="28" s="1"/>
  <c r="B409" i="28"/>
  <c r="B410" i="28"/>
  <c r="G410" i="28" s="1"/>
  <c r="B411" i="28"/>
  <c r="B412" i="28"/>
  <c r="B413" i="28"/>
  <c r="B414" i="28"/>
  <c r="G414" i="28" s="1"/>
  <c r="B415" i="28"/>
  <c r="B416" i="28"/>
  <c r="G416" i="28" s="1"/>
  <c r="B417" i="28"/>
  <c r="B418" i="28"/>
  <c r="B419" i="28"/>
  <c r="B420" i="28"/>
  <c r="B421" i="28"/>
  <c r="B422" i="28"/>
  <c r="B423" i="28"/>
  <c r="B424" i="28"/>
  <c r="B425" i="28"/>
  <c r="B426" i="28"/>
  <c r="B427" i="28"/>
  <c r="B428" i="28"/>
  <c r="B429" i="28"/>
  <c r="B430" i="28"/>
  <c r="B431" i="28"/>
  <c r="B432" i="28"/>
  <c r="B433" i="28"/>
  <c r="B434" i="28"/>
  <c r="B435" i="28"/>
  <c r="B436" i="28"/>
  <c r="B437" i="28"/>
  <c r="B438" i="28"/>
  <c r="B439" i="28"/>
  <c r="B440" i="28"/>
  <c r="B441" i="28"/>
  <c r="B442" i="28"/>
  <c r="B443" i="28"/>
  <c r="B444" i="28"/>
  <c r="B445" i="28"/>
  <c r="B446" i="28"/>
  <c r="B447" i="28"/>
  <c r="B448" i="28"/>
  <c r="B449" i="28"/>
  <c r="B450" i="28"/>
  <c r="B5" i="19"/>
  <c r="B7" i="19"/>
  <c r="F3" i="28"/>
  <c r="F4" i="28" s="1"/>
  <c r="F2" i="28"/>
  <c r="F1" i="28"/>
  <c r="D8" i="28" l="1"/>
  <c r="F8" i="28"/>
  <c r="C8" i="28"/>
  <c r="G450" i="57"/>
  <c r="F450" i="57"/>
  <c r="E450" i="57"/>
  <c r="D450" i="57"/>
  <c r="C450" i="57"/>
  <c r="G449" i="57"/>
  <c r="F449" i="57"/>
  <c r="E449" i="57"/>
  <c r="D449" i="57"/>
  <c r="C449" i="57"/>
  <c r="G448" i="57"/>
  <c r="F448" i="57"/>
  <c r="E448" i="57"/>
  <c r="D448" i="57"/>
  <c r="C448" i="57"/>
  <c r="G447" i="57"/>
  <c r="F447" i="57"/>
  <c r="E447" i="57"/>
  <c r="D447" i="57"/>
  <c r="C447" i="57"/>
  <c r="G446" i="57"/>
  <c r="F446" i="57"/>
  <c r="E446" i="57"/>
  <c r="D446" i="57"/>
  <c r="C446" i="57"/>
  <c r="G445" i="57"/>
  <c r="F445" i="57"/>
  <c r="E445" i="57"/>
  <c r="D445" i="57"/>
  <c r="C445" i="57"/>
  <c r="G444" i="57"/>
  <c r="F444" i="57"/>
  <c r="E444" i="57"/>
  <c r="D444" i="57"/>
  <c r="C444" i="57"/>
  <c r="G443" i="57"/>
  <c r="F443" i="57"/>
  <c r="E443" i="57"/>
  <c r="D443" i="57"/>
  <c r="C443" i="57"/>
  <c r="G442" i="57"/>
  <c r="F442" i="57"/>
  <c r="E442" i="57"/>
  <c r="D442" i="57"/>
  <c r="C442" i="57"/>
  <c r="G441" i="57"/>
  <c r="F441" i="57"/>
  <c r="E441" i="57"/>
  <c r="D441" i="57"/>
  <c r="C441" i="57"/>
  <c r="G440" i="57"/>
  <c r="F440" i="57"/>
  <c r="E440" i="57"/>
  <c r="D440" i="57"/>
  <c r="C440" i="57"/>
  <c r="G439" i="57"/>
  <c r="F439" i="57"/>
  <c r="E439" i="57"/>
  <c r="D439" i="57"/>
  <c r="C439" i="57"/>
  <c r="G438" i="57"/>
  <c r="F438" i="57"/>
  <c r="E438" i="57"/>
  <c r="D438" i="57"/>
  <c r="C438" i="57"/>
  <c r="G437" i="57"/>
  <c r="F437" i="57"/>
  <c r="E437" i="57"/>
  <c r="D437" i="57"/>
  <c r="C437" i="57"/>
  <c r="G436" i="57"/>
  <c r="F436" i="57"/>
  <c r="E436" i="57"/>
  <c r="D436" i="57"/>
  <c r="C436" i="57"/>
  <c r="G435" i="57"/>
  <c r="F435" i="57"/>
  <c r="E435" i="57"/>
  <c r="D435" i="57"/>
  <c r="C435" i="57"/>
  <c r="G434" i="57"/>
  <c r="F434" i="57"/>
  <c r="E434" i="57"/>
  <c r="D434" i="57"/>
  <c r="C434" i="57"/>
  <c r="G433" i="57"/>
  <c r="F433" i="57"/>
  <c r="E433" i="57"/>
  <c r="D433" i="57"/>
  <c r="C433" i="57"/>
  <c r="G432" i="57"/>
  <c r="F432" i="57"/>
  <c r="E432" i="57"/>
  <c r="D432" i="57"/>
  <c r="C432" i="57"/>
  <c r="G431" i="57"/>
  <c r="F431" i="57"/>
  <c r="E431" i="57"/>
  <c r="D431" i="57"/>
  <c r="C431" i="57"/>
  <c r="G430" i="57"/>
  <c r="F430" i="57"/>
  <c r="E430" i="57"/>
  <c r="D430" i="57"/>
  <c r="C430" i="57"/>
  <c r="G429" i="57"/>
  <c r="F429" i="57"/>
  <c r="E429" i="57"/>
  <c r="D429" i="57"/>
  <c r="C429" i="57"/>
  <c r="G428" i="57"/>
  <c r="F428" i="57"/>
  <c r="E428" i="57"/>
  <c r="D428" i="57"/>
  <c r="C428" i="57"/>
  <c r="G427" i="57"/>
  <c r="F427" i="57"/>
  <c r="E427" i="57"/>
  <c r="D427" i="57"/>
  <c r="C427" i="57"/>
  <c r="G426" i="57"/>
  <c r="F426" i="57"/>
  <c r="E426" i="57"/>
  <c r="D426" i="57"/>
  <c r="C426" i="57"/>
  <c r="G425" i="57"/>
  <c r="F425" i="57"/>
  <c r="E425" i="57"/>
  <c r="D425" i="57"/>
  <c r="C425" i="57"/>
  <c r="G424" i="57"/>
  <c r="F424" i="57"/>
  <c r="E424" i="57"/>
  <c r="D424" i="57"/>
  <c r="C424" i="57"/>
  <c r="G423" i="57"/>
  <c r="F423" i="57"/>
  <c r="E423" i="57"/>
  <c r="D423" i="57"/>
  <c r="C423" i="57"/>
  <c r="G422" i="57"/>
  <c r="F422" i="57"/>
  <c r="E422" i="57"/>
  <c r="D422" i="57"/>
  <c r="C422" i="57"/>
  <c r="G421" i="57"/>
  <c r="F421" i="57"/>
  <c r="E421" i="57"/>
  <c r="D421" i="57"/>
  <c r="C421" i="57"/>
  <c r="G420" i="57"/>
  <c r="F420" i="57"/>
  <c r="E420" i="57"/>
  <c r="D420" i="57"/>
  <c r="C420" i="57"/>
  <c r="G419" i="57"/>
  <c r="F419" i="57"/>
  <c r="E419" i="57"/>
  <c r="D419" i="57"/>
  <c r="C419" i="57"/>
  <c r="G418" i="57"/>
  <c r="F418" i="57"/>
  <c r="E418" i="57"/>
  <c r="D418" i="57"/>
  <c r="C418" i="57"/>
  <c r="G417" i="57"/>
  <c r="F417" i="57"/>
  <c r="E417" i="57"/>
  <c r="D417" i="57"/>
  <c r="C417" i="57"/>
  <c r="G416" i="57"/>
  <c r="F416" i="57"/>
  <c r="E416" i="57"/>
  <c r="D416" i="57"/>
  <c r="C416" i="57"/>
  <c r="G415" i="57"/>
  <c r="F415" i="57"/>
  <c r="E415" i="57"/>
  <c r="D415" i="57"/>
  <c r="C415" i="57"/>
  <c r="G414" i="57"/>
  <c r="F414" i="57"/>
  <c r="E414" i="57"/>
  <c r="D414" i="57"/>
  <c r="C414" i="57"/>
  <c r="G413" i="57"/>
  <c r="F413" i="57"/>
  <c r="E413" i="57"/>
  <c r="D413" i="57"/>
  <c r="C413" i="57"/>
  <c r="G412" i="57"/>
  <c r="F412" i="57"/>
  <c r="E412" i="57"/>
  <c r="D412" i="57"/>
  <c r="C412" i="57"/>
  <c r="G411" i="57"/>
  <c r="F411" i="57"/>
  <c r="E411" i="57"/>
  <c r="D411" i="57"/>
  <c r="C411" i="57"/>
  <c r="G410" i="57"/>
  <c r="F410" i="57"/>
  <c r="E410" i="57"/>
  <c r="D410" i="57"/>
  <c r="C410" i="57"/>
  <c r="G409" i="57"/>
  <c r="F409" i="57"/>
  <c r="E409" i="57"/>
  <c r="D409" i="57"/>
  <c r="C409" i="57"/>
  <c r="G408" i="57"/>
  <c r="F408" i="57"/>
  <c r="E408" i="57"/>
  <c r="D408" i="57"/>
  <c r="C408" i="57"/>
  <c r="G407" i="57"/>
  <c r="F407" i="57"/>
  <c r="E407" i="57"/>
  <c r="D407" i="57"/>
  <c r="C407" i="57"/>
  <c r="G406" i="57"/>
  <c r="F406" i="57"/>
  <c r="E406" i="57"/>
  <c r="D406" i="57"/>
  <c r="C406" i="57"/>
  <c r="G405" i="57"/>
  <c r="F405" i="57"/>
  <c r="E405" i="57"/>
  <c r="D405" i="57"/>
  <c r="C405" i="57"/>
  <c r="G404" i="57"/>
  <c r="F404" i="57"/>
  <c r="E404" i="57"/>
  <c r="D404" i="57"/>
  <c r="C404" i="57"/>
  <c r="G403" i="57"/>
  <c r="F403" i="57"/>
  <c r="E403" i="57"/>
  <c r="D403" i="57"/>
  <c r="C403" i="57"/>
  <c r="G402" i="57"/>
  <c r="F402" i="57"/>
  <c r="E402" i="57"/>
  <c r="D402" i="57"/>
  <c r="C402" i="57"/>
  <c r="G401" i="57"/>
  <c r="F401" i="57"/>
  <c r="E401" i="57"/>
  <c r="D401" i="57"/>
  <c r="C401" i="57"/>
  <c r="F400" i="57"/>
  <c r="E400" i="57"/>
  <c r="D400" i="57"/>
  <c r="C400" i="57"/>
  <c r="F399" i="57"/>
  <c r="E399" i="57"/>
  <c r="D399" i="57"/>
  <c r="C399" i="57"/>
  <c r="F398" i="57"/>
  <c r="E398" i="57"/>
  <c r="D398" i="57"/>
  <c r="C398" i="57"/>
  <c r="F397" i="57"/>
  <c r="E397" i="57"/>
  <c r="D397" i="57"/>
  <c r="C397" i="57"/>
  <c r="F396" i="57"/>
  <c r="E396" i="57"/>
  <c r="D396" i="57"/>
  <c r="C396" i="57"/>
  <c r="F395" i="57"/>
  <c r="E395" i="57"/>
  <c r="D395" i="57"/>
  <c r="C395" i="57"/>
  <c r="F394" i="57"/>
  <c r="E394" i="57"/>
  <c r="D394" i="57"/>
  <c r="C394" i="57"/>
  <c r="F393" i="57"/>
  <c r="E393" i="57"/>
  <c r="D393" i="57"/>
  <c r="C393" i="57"/>
  <c r="F392" i="57"/>
  <c r="E392" i="57"/>
  <c r="D392" i="57"/>
  <c r="C392" i="57"/>
  <c r="F391" i="57"/>
  <c r="E391" i="57"/>
  <c r="D391" i="57"/>
  <c r="C391" i="57"/>
  <c r="F390" i="57"/>
  <c r="E390" i="57"/>
  <c r="D390" i="57"/>
  <c r="C390" i="57"/>
  <c r="F389" i="57"/>
  <c r="E389" i="57"/>
  <c r="D389" i="57"/>
  <c r="C389" i="57"/>
  <c r="F388" i="57"/>
  <c r="E388" i="57"/>
  <c r="D388" i="57"/>
  <c r="C388" i="57"/>
  <c r="F387" i="57"/>
  <c r="E387" i="57"/>
  <c r="D387" i="57"/>
  <c r="C387" i="57"/>
  <c r="F386" i="57"/>
  <c r="E386" i="57"/>
  <c r="D386" i="57"/>
  <c r="C386" i="57"/>
  <c r="F385" i="57"/>
  <c r="E385" i="57"/>
  <c r="D385" i="57"/>
  <c r="C385" i="57"/>
  <c r="F384" i="57"/>
  <c r="E384" i="57"/>
  <c r="D384" i="57"/>
  <c r="C384" i="57"/>
  <c r="F383" i="57"/>
  <c r="E383" i="57"/>
  <c r="D383" i="57"/>
  <c r="C383" i="57"/>
  <c r="F382" i="57"/>
  <c r="E382" i="57"/>
  <c r="D382" i="57"/>
  <c r="C382" i="57"/>
  <c r="F381" i="57"/>
  <c r="E381" i="57"/>
  <c r="D381" i="57"/>
  <c r="C381" i="57"/>
  <c r="F380" i="57"/>
  <c r="E380" i="57"/>
  <c r="D380" i="57"/>
  <c r="C380" i="57"/>
  <c r="F379" i="57"/>
  <c r="E379" i="57"/>
  <c r="D379" i="57"/>
  <c r="C379" i="57"/>
  <c r="F378" i="57"/>
  <c r="E378" i="57"/>
  <c r="D378" i="57"/>
  <c r="C378" i="57"/>
  <c r="F377" i="57"/>
  <c r="E377" i="57"/>
  <c r="D377" i="57"/>
  <c r="C377" i="57"/>
  <c r="F376" i="57"/>
  <c r="E376" i="57"/>
  <c r="D376" i="57"/>
  <c r="C376" i="57"/>
  <c r="F375" i="57"/>
  <c r="E375" i="57"/>
  <c r="D375" i="57"/>
  <c r="C375" i="57"/>
  <c r="F374" i="57"/>
  <c r="E374" i="57"/>
  <c r="D374" i="57"/>
  <c r="C374" i="57"/>
  <c r="F373" i="57"/>
  <c r="E373" i="57"/>
  <c r="D373" i="57"/>
  <c r="C373" i="57"/>
  <c r="F372" i="57"/>
  <c r="E372" i="57"/>
  <c r="D372" i="57"/>
  <c r="C372" i="57"/>
  <c r="F371" i="57"/>
  <c r="E371" i="57"/>
  <c r="D371" i="57"/>
  <c r="C371" i="57"/>
  <c r="F370" i="57"/>
  <c r="E370" i="57"/>
  <c r="D370" i="57"/>
  <c r="C370" i="57"/>
  <c r="F369" i="57"/>
  <c r="E369" i="57"/>
  <c r="D369" i="57"/>
  <c r="C369" i="57"/>
  <c r="F368" i="57"/>
  <c r="E368" i="57"/>
  <c r="D368" i="57"/>
  <c r="C368" i="57"/>
  <c r="F367" i="57"/>
  <c r="E367" i="57"/>
  <c r="D367" i="57"/>
  <c r="C367" i="57"/>
  <c r="F366" i="57"/>
  <c r="E366" i="57"/>
  <c r="D366" i="57"/>
  <c r="C366" i="57"/>
  <c r="F365" i="57"/>
  <c r="E365" i="57"/>
  <c r="D365" i="57"/>
  <c r="C365" i="57"/>
  <c r="F364" i="57"/>
  <c r="E364" i="57"/>
  <c r="D364" i="57"/>
  <c r="C364" i="57"/>
  <c r="F363" i="57"/>
  <c r="E363" i="57"/>
  <c r="D363" i="57"/>
  <c r="C363" i="57"/>
  <c r="F362" i="57"/>
  <c r="E362" i="57"/>
  <c r="D362" i="57"/>
  <c r="C362" i="57"/>
  <c r="F361" i="57"/>
  <c r="E361" i="57"/>
  <c r="D361" i="57"/>
  <c r="C361" i="57"/>
  <c r="F360" i="57"/>
  <c r="E360" i="57"/>
  <c r="D360" i="57"/>
  <c r="C360" i="57"/>
  <c r="F359" i="57"/>
  <c r="E359" i="57"/>
  <c r="D359" i="57"/>
  <c r="C359" i="57"/>
  <c r="F358" i="57"/>
  <c r="E358" i="57"/>
  <c r="D358" i="57"/>
  <c r="C358" i="57"/>
  <c r="F357" i="57"/>
  <c r="E357" i="57"/>
  <c r="D357" i="57"/>
  <c r="C357" i="57"/>
  <c r="F356" i="57"/>
  <c r="E356" i="57"/>
  <c r="D356" i="57"/>
  <c r="C356" i="57"/>
  <c r="F355" i="57"/>
  <c r="E355" i="57"/>
  <c r="D355" i="57"/>
  <c r="C355" i="57"/>
  <c r="F354" i="57"/>
  <c r="E354" i="57"/>
  <c r="D354" i="57"/>
  <c r="C354" i="57"/>
  <c r="F353" i="57"/>
  <c r="E353" i="57"/>
  <c r="D353" i="57"/>
  <c r="C353" i="57"/>
  <c r="F352" i="57"/>
  <c r="E352" i="57"/>
  <c r="D352" i="57"/>
  <c r="C352" i="57"/>
  <c r="F351" i="57"/>
  <c r="E351" i="57"/>
  <c r="D351" i="57"/>
  <c r="C351" i="57"/>
  <c r="F350" i="57"/>
  <c r="E350" i="57"/>
  <c r="D350" i="57"/>
  <c r="C350" i="57"/>
  <c r="F349" i="57"/>
  <c r="E349" i="57"/>
  <c r="D349" i="57"/>
  <c r="C349" i="57"/>
  <c r="F348" i="57"/>
  <c r="E348" i="57"/>
  <c r="D348" i="57"/>
  <c r="C348" i="57"/>
  <c r="F347" i="57"/>
  <c r="E347" i="57"/>
  <c r="D347" i="57"/>
  <c r="C347" i="57"/>
  <c r="F346" i="57"/>
  <c r="E346" i="57"/>
  <c r="D346" i="57"/>
  <c r="C346" i="57"/>
  <c r="F345" i="57"/>
  <c r="E345" i="57"/>
  <c r="D345" i="57"/>
  <c r="C345" i="57"/>
  <c r="F344" i="57"/>
  <c r="E344" i="57"/>
  <c r="D344" i="57"/>
  <c r="C344" i="57"/>
  <c r="F343" i="57"/>
  <c r="E343" i="57"/>
  <c r="D343" i="57"/>
  <c r="C343" i="57"/>
  <c r="F342" i="57"/>
  <c r="E342" i="57"/>
  <c r="D342" i="57"/>
  <c r="C342" i="57"/>
  <c r="F341" i="57"/>
  <c r="E341" i="57"/>
  <c r="D341" i="57"/>
  <c r="C341" i="57"/>
  <c r="F340" i="57"/>
  <c r="E340" i="57"/>
  <c r="D340" i="57"/>
  <c r="C340" i="57"/>
  <c r="F339" i="57"/>
  <c r="E339" i="57"/>
  <c r="D339" i="57"/>
  <c r="C339" i="57"/>
  <c r="F338" i="57"/>
  <c r="E338" i="57"/>
  <c r="D338" i="57"/>
  <c r="C338" i="57"/>
  <c r="F337" i="57"/>
  <c r="E337" i="57"/>
  <c r="D337" i="57"/>
  <c r="C337" i="57"/>
  <c r="F336" i="57"/>
  <c r="E336" i="57"/>
  <c r="D336" i="57"/>
  <c r="C336" i="57"/>
  <c r="F335" i="57"/>
  <c r="E335" i="57"/>
  <c r="D335" i="57"/>
  <c r="C335" i="57"/>
  <c r="F334" i="57"/>
  <c r="E334" i="57"/>
  <c r="D334" i="57"/>
  <c r="C334" i="57"/>
  <c r="F333" i="57"/>
  <c r="E333" i="57"/>
  <c r="D333" i="57"/>
  <c r="C333" i="57"/>
  <c r="F332" i="57"/>
  <c r="E332" i="57"/>
  <c r="D332" i="57"/>
  <c r="C332" i="57"/>
  <c r="F331" i="57"/>
  <c r="E331" i="57"/>
  <c r="D331" i="57"/>
  <c r="C331" i="57"/>
  <c r="F330" i="57"/>
  <c r="E330" i="57"/>
  <c r="D330" i="57"/>
  <c r="C330" i="57"/>
  <c r="F329" i="57"/>
  <c r="E329" i="57"/>
  <c r="D329" i="57"/>
  <c r="C329" i="57"/>
  <c r="F328" i="57"/>
  <c r="E328" i="57"/>
  <c r="D328" i="57"/>
  <c r="C328" i="57"/>
  <c r="F327" i="57"/>
  <c r="E327" i="57"/>
  <c r="D327" i="57"/>
  <c r="C327" i="57"/>
  <c r="F326" i="57"/>
  <c r="E326" i="57"/>
  <c r="D326" i="57"/>
  <c r="C326" i="57"/>
  <c r="F325" i="57"/>
  <c r="E325" i="57"/>
  <c r="D325" i="57"/>
  <c r="C325" i="57"/>
  <c r="F324" i="57"/>
  <c r="E324" i="57"/>
  <c r="D324" i="57"/>
  <c r="C324" i="57"/>
  <c r="F323" i="57"/>
  <c r="E323" i="57"/>
  <c r="D323" i="57"/>
  <c r="C323" i="57"/>
  <c r="F322" i="57"/>
  <c r="E322" i="57"/>
  <c r="D322" i="57"/>
  <c r="C322" i="57"/>
  <c r="F321" i="57"/>
  <c r="E321" i="57"/>
  <c r="D321" i="57"/>
  <c r="C321" i="57"/>
  <c r="F320" i="57"/>
  <c r="E320" i="57"/>
  <c r="D320" i="57"/>
  <c r="C320" i="57"/>
  <c r="F319" i="57"/>
  <c r="E319" i="57"/>
  <c r="D319" i="57"/>
  <c r="C319" i="57"/>
  <c r="F318" i="57"/>
  <c r="E318" i="57"/>
  <c r="D318" i="57"/>
  <c r="C318" i="57"/>
  <c r="F317" i="57"/>
  <c r="E317" i="57"/>
  <c r="D317" i="57"/>
  <c r="C317" i="57"/>
  <c r="F316" i="57"/>
  <c r="E316" i="57"/>
  <c r="D316" i="57"/>
  <c r="C316" i="57"/>
  <c r="F315" i="57"/>
  <c r="E315" i="57"/>
  <c r="D315" i="57"/>
  <c r="C315" i="57"/>
  <c r="F314" i="57"/>
  <c r="E314" i="57"/>
  <c r="D314" i="57"/>
  <c r="C314" i="57"/>
  <c r="F313" i="57"/>
  <c r="E313" i="57"/>
  <c r="D313" i="57"/>
  <c r="C313" i="57"/>
  <c r="F312" i="57"/>
  <c r="E312" i="57"/>
  <c r="D312" i="57"/>
  <c r="C312" i="57"/>
  <c r="F311" i="57"/>
  <c r="E311" i="57"/>
  <c r="D311" i="57"/>
  <c r="C311" i="57"/>
  <c r="F310" i="57"/>
  <c r="E310" i="57"/>
  <c r="D310" i="57"/>
  <c r="C310" i="57"/>
  <c r="F309" i="57"/>
  <c r="E309" i="57"/>
  <c r="D309" i="57"/>
  <c r="C309" i="57"/>
  <c r="F308" i="57"/>
  <c r="E308" i="57"/>
  <c r="D308" i="57"/>
  <c r="C308" i="57"/>
  <c r="F307" i="57"/>
  <c r="E307" i="57"/>
  <c r="D307" i="57"/>
  <c r="C307" i="57"/>
  <c r="F306" i="57"/>
  <c r="E306" i="57"/>
  <c r="D306" i="57"/>
  <c r="C306" i="57"/>
  <c r="F305" i="57"/>
  <c r="E305" i="57"/>
  <c r="D305" i="57"/>
  <c r="C305" i="57"/>
  <c r="F304" i="57"/>
  <c r="E304" i="57"/>
  <c r="D304" i="57"/>
  <c r="C304" i="57"/>
  <c r="F303" i="57"/>
  <c r="E303" i="57"/>
  <c r="D303" i="57"/>
  <c r="C303" i="57"/>
  <c r="F302" i="57"/>
  <c r="E302" i="57"/>
  <c r="D302" i="57"/>
  <c r="C302" i="57"/>
  <c r="F301" i="57"/>
  <c r="E301" i="57"/>
  <c r="D301" i="57"/>
  <c r="C301" i="57"/>
  <c r="F300" i="57"/>
  <c r="E300" i="57"/>
  <c r="D300" i="57"/>
  <c r="C300" i="57"/>
  <c r="F299" i="57"/>
  <c r="E299" i="57"/>
  <c r="D299" i="57"/>
  <c r="C299" i="57"/>
  <c r="F298" i="57"/>
  <c r="D298" i="57"/>
  <c r="C298" i="57"/>
  <c r="F297" i="57"/>
  <c r="D297" i="57"/>
  <c r="C297" i="57"/>
  <c r="F296" i="57"/>
  <c r="D296" i="57"/>
  <c r="C296" i="57"/>
  <c r="F295" i="57"/>
  <c r="D295" i="57"/>
  <c r="C295" i="57"/>
  <c r="F294" i="57"/>
  <c r="D294" i="57"/>
  <c r="C294" i="57"/>
  <c r="F293" i="57"/>
  <c r="D293" i="57"/>
  <c r="C293" i="57"/>
  <c r="F292" i="57"/>
  <c r="D292" i="57"/>
  <c r="C292" i="57"/>
  <c r="F291" i="57"/>
  <c r="D291" i="57"/>
  <c r="C291" i="57"/>
  <c r="F290" i="57"/>
  <c r="D290" i="57"/>
  <c r="C290" i="57"/>
  <c r="F289" i="57"/>
  <c r="D289" i="57"/>
  <c r="C289" i="57"/>
  <c r="F288" i="57"/>
  <c r="D288" i="57"/>
  <c r="C288" i="57"/>
  <c r="F287" i="57"/>
  <c r="D287" i="57"/>
  <c r="C287" i="57"/>
  <c r="F286" i="57"/>
  <c r="D286" i="57"/>
  <c r="C286" i="57"/>
  <c r="F285" i="57"/>
  <c r="D285" i="57"/>
  <c r="C285" i="57"/>
  <c r="F284" i="57"/>
  <c r="D284" i="57"/>
  <c r="C284" i="57"/>
  <c r="F283" i="57"/>
  <c r="D283" i="57"/>
  <c r="C283" i="57"/>
  <c r="F282" i="57"/>
  <c r="D282" i="57"/>
  <c r="C282" i="57"/>
  <c r="F281" i="57"/>
  <c r="D281" i="57"/>
  <c r="C281" i="57"/>
  <c r="F280" i="57"/>
  <c r="D280" i="57"/>
  <c r="C280" i="57"/>
  <c r="F279" i="57"/>
  <c r="D279" i="57"/>
  <c r="C279" i="57"/>
  <c r="F278" i="57"/>
  <c r="D278" i="57"/>
  <c r="C278" i="57"/>
  <c r="F277" i="57"/>
  <c r="D277" i="57"/>
  <c r="C277" i="57"/>
  <c r="F276" i="57"/>
  <c r="D276" i="57"/>
  <c r="C276" i="57"/>
  <c r="F275" i="57"/>
  <c r="D275" i="57"/>
  <c r="C275" i="57"/>
  <c r="F274" i="57"/>
  <c r="D274" i="57"/>
  <c r="C274" i="57"/>
  <c r="F273" i="57"/>
  <c r="D273" i="57"/>
  <c r="C273" i="57"/>
  <c r="F272" i="57"/>
  <c r="D272" i="57"/>
  <c r="C272" i="57"/>
  <c r="F271" i="57"/>
  <c r="D271" i="57"/>
  <c r="C271" i="57"/>
  <c r="F270" i="57"/>
  <c r="D270" i="57"/>
  <c r="C270" i="57"/>
  <c r="F269" i="57"/>
  <c r="D269" i="57"/>
  <c r="C269" i="57"/>
  <c r="F268" i="57"/>
  <c r="D268" i="57"/>
  <c r="C268" i="57"/>
  <c r="F267" i="57"/>
  <c r="D267" i="57"/>
  <c r="C267" i="57"/>
  <c r="F266" i="57"/>
  <c r="D266" i="57"/>
  <c r="C266" i="57"/>
  <c r="F265" i="57"/>
  <c r="D265" i="57"/>
  <c r="C265" i="57"/>
  <c r="F264" i="57"/>
  <c r="D264" i="57"/>
  <c r="C264" i="57"/>
  <c r="F263" i="57"/>
  <c r="D263" i="57"/>
  <c r="C263" i="57"/>
  <c r="F262" i="57"/>
  <c r="D262" i="57"/>
  <c r="C262" i="57"/>
  <c r="F261" i="57"/>
  <c r="D261" i="57"/>
  <c r="C261" i="57"/>
  <c r="F260" i="57"/>
  <c r="D260" i="57"/>
  <c r="C260" i="57"/>
  <c r="F259" i="57"/>
  <c r="D259" i="57"/>
  <c r="C259" i="57"/>
  <c r="F258" i="57"/>
  <c r="D258" i="57"/>
  <c r="C258" i="57"/>
  <c r="F257" i="57"/>
  <c r="D257" i="57"/>
  <c r="C257" i="57"/>
  <c r="F256" i="57"/>
  <c r="D256" i="57"/>
  <c r="C256" i="57"/>
  <c r="F255" i="57"/>
  <c r="D255" i="57"/>
  <c r="C255" i="57"/>
  <c r="F254" i="57"/>
  <c r="D254" i="57"/>
  <c r="C254" i="57"/>
  <c r="F253" i="57"/>
  <c r="D253" i="57"/>
  <c r="C253" i="57"/>
  <c r="F252" i="57"/>
  <c r="D252" i="57"/>
  <c r="C252" i="57"/>
  <c r="F251" i="57"/>
  <c r="D251" i="57"/>
  <c r="C251" i="57"/>
  <c r="F250" i="57"/>
  <c r="D250" i="57"/>
  <c r="C250" i="57"/>
  <c r="F249" i="57"/>
  <c r="D249" i="57"/>
  <c r="C249" i="57"/>
  <c r="F248" i="57"/>
  <c r="D248" i="57"/>
  <c r="C248" i="57"/>
  <c r="F247" i="57"/>
  <c r="D247" i="57"/>
  <c r="C247" i="57"/>
  <c r="F246" i="57"/>
  <c r="D246" i="57"/>
  <c r="C246" i="57"/>
  <c r="F245" i="57"/>
  <c r="D245" i="57"/>
  <c r="C245" i="57"/>
  <c r="F244" i="57"/>
  <c r="D244" i="57"/>
  <c r="C244" i="57"/>
  <c r="F243" i="57"/>
  <c r="D243" i="57"/>
  <c r="C243" i="57"/>
  <c r="F242" i="57"/>
  <c r="D242" i="57"/>
  <c r="C242" i="57"/>
  <c r="F241" i="57"/>
  <c r="D241" i="57"/>
  <c r="C241" i="57"/>
  <c r="F240" i="57"/>
  <c r="D240" i="57"/>
  <c r="C240" i="57"/>
  <c r="F239" i="57"/>
  <c r="D239" i="57"/>
  <c r="C239" i="57"/>
  <c r="F238" i="57"/>
  <c r="D238" i="57"/>
  <c r="C238" i="57"/>
  <c r="F237" i="57"/>
  <c r="D237" i="57"/>
  <c r="C237" i="57"/>
  <c r="F236" i="57"/>
  <c r="D236" i="57"/>
  <c r="C236" i="57"/>
  <c r="F235" i="57"/>
  <c r="D235" i="57"/>
  <c r="C235" i="57"/>
  <c r="F234" i="57"/>
  <c r="D234" i="57"/>
  <c r="C234" i="57"/>
  <c r="F233" i="57"/>
  <c r="D233" i="57"/>
  <c r="C233" i="57"/>
  <c r="F232" i="57"/>
  <c r="D232" i="57"/>
  <c r="C232" i="57"/>
  <c r="F231" i="57"/>
  <c r="D231" i="57"/>
  <c r="C231" i="57"/>
  <c r="F230" i="57"/>
  <c r="D230" i="57"/>
  <c r="C230" i="57"/>
  <c r="F229" i="57"/>
  <c r="D229" i="57"/>
  <c r="C229" i="57"/>
  <c r="F228" i="57"/>
  <c r="D228" i="57"/>
  <c r="C228" i="57"/>
  <c r="F227" i="57"/>
  <c r="D227" i="57"/>
  <c r="C227" i="57"/>
  <c r="F226" i="57"/>
  <c r="D226" i="57"/>
  <c r="C226" i="57"/>
  <c r="F225" i="57"/>
  <c r="D225" i="57"/>
  <c r="C225" i="57"/>
  <c r="F224" i="57"/>
  <c r="D224" i="57"/>
  <c r="C224" i="57"/>
  <c r="F223" i="57"/>
  <c r="D223" i="57"/>
  <c r="C223" i="57"/>
  <c r="F222" i="57"/>
  <c r="D222" i="57"/>
  <c r="C222" i="57"/>
  <c r="F221" i="57"/>
  <c r="D221" i="57"/>
  <c r="C221" i="57"/>
  <c r="F220" i="57"/>
  <c r="D220" i="57"/>
  <c r="C220" i="57"/>
  <c r="F219" i="57"/>
  <c r="D219" i="57"/>
  <c r="C219" i="57"/>
  <c r="F218" i="57"/>
  <c r="D218" i="57"/>
  <c r="C218" i="57"/>
  <c r="F217" i="57"/>
  <c r="D217" i="57"/>
  <c r="C217" i="57"/>
  <c r="F216" i="57"/>
  <c r="D216" i="57"/>
  <c r="C216" i="57"/>
  <c r="F215" i="57"/>
  <c r="D215" i="57"/>
  <c r="C215" i="57"/>
  <c r="F214" i="57"/>
  <c r="D214" i="57"/>
  <c r="C214" i="57"/>
  <c r="F213" i="57"/>
  <c r="D213" i="57"/>
  <c r="C213" i="57"/>
  <c r="F212" i="57"/>
  <c r="D212" i="57"/>
  <c r="C212" i="57"/>
  <c r="F211" i="57"/>
  <c r="D211" i="57"/>
  <c r="C211" i="57"/>
  <c r="F210" i="57"/>
  <c r="D210" i="57"/>
  <c r="C210" i="57"/>
  <c r="F209" i="57"/>
  <c r="D209" i="57"/>
  <c r="C209" i="57"/>
  <c r="F208" i="57"/>
  <c r="D208" i="57"/>
  <c r="C208" i="57"/>
  <c r="F207" i="57"/>
  <c r="D207" i="57"/>
  <c r="C207" i="57"/>
  <c r="F206" i="57"/>
  <c r="D206" i="57"/>
  <c r="C206" i="57"/>
  <c r="F205" i="57"/>
  <c r="D205" i="57"/>
  <c r="C205" i="57"/>
  <c r="F204" i="57"/>
  <c r="D204" i="57"/>
  <c r="C204" i="57"/>
  <c r="F203" i="57"/>
  <c r="D203" i="57"/>
  <c r="C203" i="57"/>
  <c r="F202" i="57"/>
  <c r="D202" i="57"/>
  <c r="C202" i="57"/>
  <c r="F201" i="57"/>
  <c r="D201" i="57"/>
  <c r="C201" i="57"/>
  <c r="F200" i="57"/>
  <c r="D200" i="57"/>
  <c r="C200" i="57"/>
  <c r="F199" i="57"/>
  <c r="D199" i="57"/>
  <c r="C199" i="57"/>
  <c r="F198" i="57"/>
  <c r="D198" i="57"/>
  <c r="C198" i="57"/>
  <c r="F197" i="57"/>
  <c r="D197" i="57"/>
  <c r="C197" i="57"/>
  <c r="F196" i="57"/>
  <c r="D196" i="57"/>
  <c r="C196" i="57"/>
  <c r="F195" i="57"/>
  <c r="D195" i="57"/>
  <c r="C195" i="57"/>
  <c r="F194" i="57"/>
  <c r="D194" i="57"/>
  <c r="C194" i="57"/>
  <c r="F193" i="57"/>
  <c r="D193" i="57"/>
  <c r="C193" i="57"/>
  <c r="F192" i="57"/>
  <c r="D192" i="57"/>
  <c r="C192" i="57"/>
  <c r="F191" i="57"/>
  <c r="D191" i="57"/>
  <c r="C191" i="57"/>
  <c r="F190" i="57"/>
  <c r="D190" i="57"/>
  <c r="C190" i="57"/>
  <c r="F189" i="57"/>
  <c r="D189" i="57"/>
  <c r="C189" i="57"/>
  <c r="F188" i="57"/>
  <c r="D188" i="57"/>
  <c r="C188" i="57"/>
  <c r="F187" i="57"/>
  <c r="D187" i="57"/>
  <c r="C187" i="57"/>
  <c r="F186" i="57"/>
  <c r="D186" i="57"/>
  <c r="C186" i="57"/>
  <c r="F185" i="57"/>
  <c r="D185" i="57"/>
  <c r="C185" i="57"/>
  <c r="F184" i="57"/>
  <c r="D184" i="57"/>
  <c r="C184" i="57"/>
  <c r="F183" i="57"/>
  <c r="D183" i="57"/>
  <c r="C183" i="57"/>
  <c r="F182" i="57"/>
  <c r="D182" i="57"/>
  <c r="C182" i="57"/>
  <c r="F181" i="57"/>
  <c r="D181" i="57"/>
  <c r="C181" i="57"/>
  <c r="F180" i="57"/>
  <c r="D180" i="57"/>
  <c r="C180" i="57"/>
  <c r="F179" i="57"/>
  <c r="D179" i="57"/>
  <c r="C179" i="57"/>
  <c r="F178" i="57"/>
  <c r="D178" i="57"/>
  <c r="C178" i="57"/>
  <c r="F177" i="57"/>
  <c r="D177" i="57"/>
  <c r="C177" i="57"/>
  <c r="F176" i="57"/>
  <c r="D176" i="57"/>
  <c r="C176" i="57"/>
  <c r="F175" i="57"/>
  <c r="D175" i="57"/>
  <c r="C175" i="57"/>
  <c r="F174" i="57"/>
  <c r="D174" i="57"/>
  <c r="C174" i="57"/>
  <c r="F173" i="57"/>
  <c r="D173" i="57"/>
  <c r="C173" i="57"/>
  <c r="F172" i="57"/>
  <c r="D172" i="57"/>
  <c r="C172" i="57"/>
  <c r="F171" i="57"/>
  <c r="D171" i="57"/>
  <c r="C171" i="57"/>
  <c r="F170" i="57"/>
  <c r="D170" i="57"/>
  <c r="C170" i="57"/>
  <c r="F169" i="57"/>
  <c r="D169" i="57"/>
  <c r="C169" i="57"/>
  <c r="F168" i="57"/>
  <c r="D168" i="57"/>
  <c r="C168" i="57"/>
  <c r="F167" i="57"/>
  <c r="D167" i="57"/>
  <c r="C167" i="57"/>
  <c r="F166" i="57"/>
  <c r="D166" i="57"/>
  <c r="C166" i="57"/>
  <c r="F165" i="57"/>
  <c r="D165" i="57"/>
  <c r="C165" i="57"/>
  <c r="F164" i="57"/>
  <c r="D164" i="57"/>
  <c r="C164" i="57"/>
  <c r="F163" i="57"/>
  <c r="D163" i="57"/>
  <c r="C163" i="57"/>
  <c r="F162" i="57"/>
  <c r="D162" i="57"/>
  <c r="C162" i="57"/>
  <c r="F161" i="57"/>
  <c r="D161" i="57"/>
  <c r="C161" i="57"/>
  <c r="F160" i="57"/>
  <c r="D160" i="57"/>
  <c r="C160" i="57"/>
  <c r="F159" i="57"/>
  <c r="D159" i="57"/>
  <c r="C159" i="57"/>
  <c r="F158" i="57"/>
  <c r="D158" i="57"/>
  <c r="C158" i="57"/>
  <c r="F157" i="57"/>
  <c r="D157" i="57"/>
  <c r="C157" i="57"/>
  <c r="F156" i="57"/>
  <c r="D156" i="57"/>
  <c r="C156" i="57"/>
  <c r="F155" i="57"/>
  <c r="D155" i="57"/>
  <c r="C155" i="57"/>
  <c r="F154" i="57"/>
  <c r="D154" i="57"/>
  <c r="C154" i="57"/>
  <c r="F153" i="57"/>
  <c r="D153" i="57"/>
  <c r="C153" i="57"/>
  <c r="F152" i="57"/>
  <c r="D152" i="57"/>
  <c r="C152" i="57"/>
  <c r="F151" i="57"/>
  <c r="D151" i="57"/>
  <c r="C151" i="57"/>
  <c r="F150" i="57"/>
  <c r="D150" i="57"/>
  <c r="C150" i="57"/>
  <c r="F149" i="57"/>
  <c r="D149" i="57"/>
  <c r="C149" i="57"/>
  <c r="F148" i="57"/>
  <c r="D148" i="57"/>
  <c r="C148" i="57"/>
  <c r="F147" i="57"/>
  <c r="D147" i="57"/>
  <c r="C147" i="57"/>
  <c r="F146" i="57"/>
  <c r="D146" i="57"/>
  <c r="C146" i="57"/>
  <c r="F145" i="57"/>
  <c r="D145" i="57"/>
  <c r="C145" i="57"/>
  <c r="F144" i="57"/>
  <c r="D144" i="57"/>
  <c r="C144" i="57"/>
  <c r="F143" i="57"/>
  <c r="D143" i="57"/>
  <c r="C143" i="57"/>
  <c r="F142" i="57"/>
  <c r="D142" i="57"/>
  <c r="C142" i="57"/>
  <c r="F141" i="57"/>
  <c r="D141" i="57"/>
  <c r="C141" i="57"/>
  <c r="F140" i="57"/>
  <c r="D140" i="57"/>
  <c r="C140" i="57"/>
  <c r="F139" i="57"/>
  <c r="D139" i="57"/>
  <c r="C139" i="57"/>
  <c r="F138" i="57"/>
  <c r="D138" i="57"/>
  <c r="C138" i="57"/>
  <c r="F137" i="57"/>
  <c r="D137" i="57"/>
  <c r="C137" i="57"/>
  <c r="F136" i="57"/>
  <c r="D136" i="57"/>
  <c r="C136" i="57"/>
  <c r="F135" i="57"/>
  <c r="D135" i="57"/>
  <c r="C135" i="57"/>
  <c r="F134" i="57"/>
  <c r="D134" i="57"/>
  <c r="C134" i="57"/>
  <c r="F133" i="57"/>
  <c r="D133" i="57"/>
  <c r="C133" i="57"/>
  <c r="F132" i="57"/>
  <c r="D132" i="57"/>
  <c r="C132" i="57"/>
  <c r="F131" i="57"/>
  <c r="D131" i="57"/>
  <c r="C131" i="57"/>
  <c r="F130" i="57"/>
  <c r="D130" i="57"/>
  <c r="C130" i="57"/>
  <c r="F129" i="57"/>
  <c r="D129" i="57"/>
  <c r="C129" i="57"/>
  <c r="F128" i="57"/>
  <c r="D128" i="57"/>
  <c r="C128" i="57"/>
  <c r="F127" i="57"/>
  <c r="D127" i="57"/>
  <c r="C127" i="57"/>
  <c r="F126" i="57"/>
  <c r="D126" i="57"/>
  <c r="C126" i="57"/>
  <c r="F125" i="57"/>
  <c r="D125" i="57"/>
  <c r="C125" i="57"/>
  <c r="F124" i="57"/>
  <c r="D124" i="57"/>
  <c r="C124" i="57"/>
  <c r="F123" i="57"/>
  <c r="D123" i="57"/>
  <c r="C123" i="57"/>
  <c r="F122" i="57"/>
  <c r="D122" i="57"/>
  <c r="C122" i="57"/>
  <c r="F121" i="57"/>
  <c r="D121" i="57"/>
  <c r="C121" i="57"/>
  <c r="F120" i="57"/>
  <c r="D120" i="57"/>
  <c r="C120" i="57"/>
  <c r="F119" i="57"/>
  <c r="D119" i="57"/>
  <c r="C119" i="57"/>
  <c r="F118" i="57"/>
  <c r="D118" i="57"/>
  <c r="C118" i="57"/>
  <c r="F117" i="57"/>
  <c r="D117" i="57"/>
  <c r="C117" i="57"/>
  <c r="F116" i="57"/>
  <c r="D116" i="57"/>
  <c r="C116" i="57"/>
  <c r="F115" i="57"/>
  <c r="D115" i="57"/>
  <c r="C115" i="57"/>
  <c r="F114" i="57"/>
  <c r="D114" i="57"/>
  <c r="C114" i="57"/>
  <c r="F113" i="57"/>
  <c r="D113" i="57"/>
  <c r="C113" i="57"/>
  <c r="F112" i="57"/>
  <c r="D112" i="57"/>
  <c r="C112" i="57"/>
  <c r="F111" i="57"/>
  <c r="D111" i="57"/>
  <c r="C111" i="57"/>
  <c r="F110" i="57"/>
  <c r="D110" i="57"/>
  <c r="C110" i="57"/>
  <c r="F109" i="57"/>
  <c r="D109" i="57"/>
  <c r="C109" i="57"/>
  <c r="F108" i="57"/>
  <c r="D108" i="57"/>
  <c r="C108" i="57"/>
  <c r="F107" i="57"/>
  <c r="D107" i="57"/>
  <c r="C107" i="57"/>
  <c r="F106" i="57"/>
  <c r="D106" i="57"/>
  <c r="C106" i="57"/>
  <c r="F105" i="57"/>
  <c r="D105" i="57"/>
  <c r="C105" i="57"/>
  <c r="F104" i="57"/>
  <c r="D104" i="57"/>
  <c r="C104" i="57"/>
  <c r="F103" i="57"/>
  <c r="D103" i="57"/>
  <c r="C103" i="57"/>
  <c r="F102" i="57"/>
  <c r="D102" i="57"/>
  <c r="C102" i="57"/>
  <c r="F101" i="57"/>
  <c r="D101" i="57"/>
  <c r="C101" i="57"/>
  <c r="F100" i="57"/>
  <c r="D100" i="57"/>
  <c r="C100" i="57"/>
  <c r="F99" i="57"/>
  <c r="D99" i="57"/>
  <c r="C99" i="57"/>
  <c r="F98" i="57"/>
  <c r="D98" i="57"/>
  <c r="C98" i="57"/>
  <c r="F97" i="57"/>
  <c r="D97" i="57"/>
  <c r="C97" i="57"/>
  <c r="F96" i="57"/>
  <c r="D96" i="57"/>
  <c r="C96" i="57"/>
  <c r="F95" i="57"/>
  <c r="D95" i="57"/>
  <c r="C95" i="57"/>
  <c r="F94" i="57"/>
  <c r="D94" i="57"/>
  <c r="C94" i="57"/>
  <c r="F93" i="57"/>
  <c r="D93" i="57"/>
  <c r="C93" i="57"/>
  <c r="F92" i="57"/>
  <c r="D92" i="57"/>
  <c r="C92" i="57"/>
  <c r="F91" i="57"/>
  <c r="D91" i="57"/>
  <c r="C91" i="57"/>
  <c r="F90" i="57"/>
  <c r="D90" i="57"/>
  <c r="C90" i="57"/>
  <c r="F89" i="57"/>
  <c r="D89" i="57"/>
  <c r="C89" i="57"/>
  <c r="F88" i="57"/>
  <c r="D88" i="57"/>
  <c r="C88" i="57"/>
  <c r="F87" i="57"/>
  <c r="D87" i="57"/>
  <c r="C87" i="57"/>
  <c r="F86" i="57"/>
  <c r="D86" i="57"/>
  <c r="C86" i="57"/>
  <c r="F85" i="57"/>
  <c r="D85" i="57"/>
  <c r="C85" i="57"/>
  <c r="F84" i="57"/>
  <c r="D84" i="57"/>
  <c r="C84" i="57"/>
  <c r="F83" i="57"/>
  <c r="D83" i="57"/>
  <c r="C83" i="57"/>
  <c r="F82" i="57"/>
  <c r="D82" i="57"/>
  <c r="C82" i="57"/>
  <c r="F81" i="57"/>
  <c r="D81" i="57"/>
  <c r="C81" i="57"/>
  <c r="F80" i="57"/>
  <c r="D80" i="57"/>
  <c r="C80" i="57"/>
  <c r="F79" i="57"/>
  <c r="D79" i="57"/>
  <c r="C79" i="57"/>
  <c r="F78" i="57"/>
  <c r="D78" i="57"/>
  <c r="C78" i="57"/>
  <c r="F77" i="57"/>
  <c r="D77" i="57"/>
  <c r="C77" i="57"/>
  <c r="F76" i="57"/>
  <c r="D76" i="57"/>
  <c r="C76" i="57"/>
  <c r="F75" i="57"/>
  <c r="D75" i="57"/>
  <c r="C75" i="57"/>
  <c r="F74" i="57"/>
  <c r="D74" i="57"/>
  <c r="C74" i="57"/>
  <c r="F73" i="57"/>
  <c r="D73" i="57"/>
  <c r="C73" i="57"/>
  <c r="F72" i="57"/>
  <c r="D72" i="57"/>
  <c r="C72" i="57"/>
  <c r="F71" i="57"/>
  <c r="D71" i="57"/>
  <c r="C71" i="57"/>
  <c r="F70" i="57"/>
  <c r="D70" i="57"/>
  <c r="C70" i="57"/>
  <c r="F69" i="57"/>
  <c r="D69" i="57"/>
  <c r="C69" i="57"/>
  <c r="F68" i="57"/>
  <c r="D68" i="57"/>
  <c r="C68" i="57"/>
  <c r="F67" i="57"/>
  <c r="D67" i="57"/>
  <c r="C67" i="57"/>
  <c r="F66" i="57"/>
  <c r="D66" i="57"/>
  <c r="C66" i="57"/>
  <c r="F65" i="57"/>
  <c r="D65" i="57"/>
  <c r="C65" i="57"/>
  <c r="F64" i="57"/>
  <c r="D64" i="57"/>
  <c r="C64" i="57"/>
  <c r="F63" i="57"/>
  <c r="D63" i="57"/>
  <c r="C63" i="57"/>
  <c r="F62" i="57"/>
  <c r="D62" i="57"/>
  <c r="C62" i="57"/>
  <c r="F61" i="57"/>
  <c r="D61" i="57"/>
  <c r="C61" i="57"/>
  <c r="F60" i="57"/>
  <c r="D60" i="57"/>
  <c r="C60" i="57"/>
  <c r="F59" i="57"/>
  <c r="D59" i="57"/>
  <c r="C59" i="57"/>
  <c r="F58" i="57"/>
  <c r="D58" i="57"/>
  <c r="C58" i="57"/>
  <c r="F57" i="57"/>
  <c r="D57" i="57"/>
  <c r="C57" i="57"/>
  <c r="F56" i="57"/>
  <c r="D56" i="57"/>
  <c r="C56" i="57"/>
  <c r="F55" i="57"/>
  <c r="D55" i="57"/>
  <c r="C55" i="57"/>
  <c r="F54" i="57"/>
  <c r="D54" i="57"/>
  <c r="C54" i="57"/>
  <c r="F53" i="57"/>
  <c r="D53" i="57"/>
  <c r="C53" i="57"/>
  <c r="F52" i="57"/>
  <c r="D52" i="57"/>
  <c r="C52" i="57"/>
  <c r="F51" i="57"/>
  <c r="D51" i="57"/>
  <c r="C51" i="57"/>
  <c r="F50" i="57"/>
  <c r="D50" i="57"/>
  <c r="C50" i="57"/>
  <c r="F49" i="57"/>
  <c r="D49" i="57"/>
  <c r="C49" i="57"/>
  <c r="F48" i="57"/>
  <c r="D48" i="57"/>
  <c r="C48" i="57"/>
  <c r="F47" i="57"/>
  <c r="D47" i="57"/>
  <c r="C47" i="57"/>
  <c r="F46" i="57"/>
  <c r="D46" i="57"/>
  <c r="C46" i="57"/>
  <c r="F45" i="57"/>
  <c r="D45" i="57"/>
  <c r="C45" i="57"/>
  <c r="F44" i="57"/>
  <c r="D44" i="57"/>
  <c r="C44" i="57"/>
  <c r="F43" i="57"/>
  <c r="D43" i="57"/>
  <c r="C43" i="57"/>
  <c r="F42" i="57"/>
  <c r="D42" i="57"/>
  <c r="C42" i="57"/>
  <c r="F41" i="57"/>
  <c r="D41" i="57"/>
  <c r="C41" i="57"/>
  <c r="F40" i="57"/>
  <c r="D40" i="57"/>
  <c r="C40" i="57"/>
  <c r="F39" i="57"/>
  <c r="D39" i="57"/>
  <c r="C39" i="57"/>
  <c r="F38" i="57"/>
  <c r="D38" i="57"/>
  <c r="C38" i="57"/>
  <c r="F37" i="57"/>
  <c r="D37" i="57"/>
  <c r="C37" i="57"/>
  <c r="F36" i="57"/>
  <c r="D36" i="57"/>
  <c r="C36" i="57"/>
  <c r="F35" i="57"/>
  <c r="D35" i="57"/>
  <c r="C35" i="57"/>
  <c r="F34" i="57"/>
  <c r="D34" i="57"/>
  <c r="C34" i="57"/>
  <c r="F33" i="57"/>
  <c r="D33" i="57"/>
  <c r="C33" i="57"/>
  <c r="F32" i="57"/>
  <c r="D32" i="57"/>
  <c r="C32" i="57"/>
  <c r="F31" i="57"/>
  <c r="D31" i="57"/>
  <c r="C31" i="57"/>
  <c r="F30" i="57"/>
  <c r="D30" i="57"/>
  <c r="C30" i="57"/>
  <c r="F29" i="57"/>
  <c r="D29" i="57"/>
  <c r="C29" i="57"/>
  <c r="F28" i="57"/>
  <c r="D28" i="57"/>
  <c r="C28" i="57"/>
  <c r="F27" i="57"/>
  <c r="D27" i="57"/>
  <c r="C27" i="57"/>
  <c r="F26" i="57"/>
  <c r="D26" i="57"/>
  <c r="C26" i="57"/>
  <c r="F25" i="57"/>
  <c r="D25" i="57"/>
  <c r="C25" i="57"/>
  <c r="F24" i="57"/>
  <c r="D24" i="57"/>
  <c r="C24" i="57"/>
  <c r="F23" i="57"/>
  <c r="D23" i="57"/>
  <c r="C23" i="57"/>
  <c r="F22" i="57"/>
  <c r="D22" i="57"/>
  <c r="C22" i="57"/>
  <c r="F21" i="57"/>
  <c r="D21" i="57"/>
  <c r="C21" i="57"/>
  <c r="F20" i="57"/>
  <c r="D20" i="57"/>
  <c r="C20" i="57"/>
  <c r="F19" i="57"/>
  <c r="D19" i="57"/>
  <c r="C19" i="57"/>
  <c r="F18" i="57"/>
  <c r="D18" i="57"/>
  <c r="C18" i="57"/>
  <c r="F17" i="57"/>
  <c r="D17" i="57"/>
  <c r="C17" i="57"/>
  <c r="F16" i="57"/>
  <c r="D16" i="57"/>
  <c r="C16" i="57"/>
  <c r="F15" i="57"/>
  <c r="D15" i="57"/>
  <c r="C15" i="57"/>
  <c r="F14" i="57"/>
  <c r="D14" i="57"/>
  <c r="C14" i="57"/>
  <c r="F13" i="57"/>
  <c r="D13" i="57"/>
  <c r="C13" i="57"/>
  <c r="F12" i="57"/>
  <c r="D12" i="57"/>
  <c r="C12" i="57"/>
  <c r="F11" i="57"/>
  <c r="D11" i="57"/>
  <c r="C11" i="57"/>
  <c r="F10" i="57"/>
  <c r="D10" i="57"/>
  <c r="C10" i="57"/>
  <c r="F9" i="57"/>
  <c r="D9" i="57"/>
  <c r="C9" i="57"/>
  <c r="F8" i="57"/>
  <c r="D8" i="57"/>
  <c r="C8" i="57"/>
  <c r="E450" i="28"/>
  <c r="G450" i="28"/>
  <c r="E449" i="28"/>
  <c r="G449" i="28"/>
  <c r="E448" i="28"/>
  <c r="G448" i="28"/>
  <c r="E447" i="28"/>
  <c r="G447" i="28"/>
  <c r="E446" i="28"/>
  <c r="G446" i="28"/>
  <c r="E445" i="28"/>
  <c r="G445" i="28"/>
  <c r="E444" i="28"/>
  <c r="G444" i="28"/>
  <c r="E443" i="28"/>
  <c r="G443" i="28"/>
  <c r="E442" i="28"/>
  <c r="G442" i="28"/>
  <c r="E441" i="28"/>
  <c r="G441" i="28"/>
  <c r="E440" i="28"/>
  <c r="G440" i="28"/>
  <c r="E439" i="28"/>
  <c r="G439" i="28"/>
  <c r="E438" i="28"/>
  <c r="G438" i="28"/>
  <c r="E437" i="28"/>
  <c r="G437" i="28"/>
  <c r="E436" i="28"/>
  <c r="G436" i="28"/>
  <c r="E435" i="28"/>
  <c r="G435" i="28"/>
  <c r="E434" i="28"/>
  <c r="G434" i="28"/>
  <c r="E433" i="28"/>
  <c r="G433" i="28"/>
  <c r="E432" i="28"/>
  <c r="G432" i="28"/>
  <c r="E431" i="28"/>
  <c r="G431" i="28"/>
  <c r="E430" i="28"/>
  <c r="G430" i="28"/>
  <c r="E429" i="28"/>
  <c r="G429" i="28"/>
  <c r="E428" i="28"/>
  <c r="G428" i="28"/>
  <c r="E427" i="28"/>
  <c r="G427" i="28"/>
  <c r="E426" i="28"/>
  <c r="G426" i="28"/>
  <c r="E425" i="28"/>
  <c r="G425" i="28"/>
  <c r="E424" i="28"/>
  <c r="G424" i="28"/>
  <c r="E423" i="28"/>
  <c r="G423" i="28"/>
  <c r="E422" i="28"/>
  <c r="G422" i="28"/>
  <c r="E421" i="28"/>
  <c r="G421" i="28"/>
  <c r="E420" i="28"/>
  <c r="G420" i="28"/>
  <c r="D419" i="28"/>
  <c r="G419" i="28"/>
  <c r="E418" i="28"/>
  <c r="G418" i="28"/>
  <c r="C417" i="28"/>
  <c r="G417" i="28"/>
  <c r="E415" i="28"/>
  <c r="G415" i="28"/>
  <c r="D413" i="28"/>
  <c r="G413" i="28"/>
  <c r="E412" i="28"/>
  <c r="G412" i="28"/>
  <c r="C411" i="28"/>
  <c r="G411" i="28"/>
  <c r="E409" i="28"/>
  <c r="G409" i="28"/>
  <c r="D407" i="28"/>
  <c r="G407" i="28"/>
  <c r="E406" i="28"/>
  <c r="G406" i="28"/>
  <c r="C405" i="28"/>
  <c r="G405" i="28"/>
  <c r="D404" i="28"/>
  <c r="G404" i="28"/>
  <c r="E403" i="28"/>
  <c r="G403" i="28"/>
  <c r="C402" i="28"/>
  <c r="G402" i="28"/>
  <c r="D11" i="28"/>
  <c r="F11" i="28"/>
  <c r="D38" i="28"/>
  <c r="F38" i="28"/>
  <c r="D71" i="28"/>
  <c r="F71" i="28"/>
  <c r="C80" i="28"/>
  <c r="D80" i="28"/>
  <c r="F80" i="28"/>
  <c r="C88" i="28"/>
  <c r="D88" i="28"/>
  <c r="C107" i="28"/>
  <c r="D107" i="28"/>
  <c r="F107" i="28"/>
  <c r="C167" i="28"/>
  <c r="D167" i="28"/>
  <c r="C185" i="28"/>
  <c r="D185" i="28"/>
  <c r="D20" i="28"/>
  <c r="F20" i="28"/>
  <c r="D29" i="28"/>
  <c r="F29" i="28"/>
  <c r="D53" i="28"/>
  <c r="F53" i="28"/>
  <c r="C61" i="28"/>
  <c r="F61" i="28"/>
  <c r="C62" i="28"/>
  <c r="F62" i="28"/>
  <c r="D62" i="28"/>
  <c r="C65" i="28"/>
  <c r="F65" i="28"/>
  <c r="D65" i="28"/>
  <c r="D68" i="28"/>
  <c r="C68" i="28"/>
  <c r="D74" i="28"/>
  <c r="F74" i="28"/>
  <c r="D77" i="28"/>
  <c r="F77" i="28"/>
  <c r="C79" i="28"/>
  <c r="D79" i="28"/>
  <c r="C83" i="28"/>
  <c r="F83" i="28"/>
  <c r="D83" i="28"/>
  <c r="C89" i="28"/>
  <c r="D89" i="28"/>
  <c r="F89" i="28"/>
  <c r="C92" i="28"/>
  <c r="D92" i="28"/>
  <c r="F92" i="28"/>
  <c r="D95" i="28"/>
  <c r="C95" i="28"/>
  <c r="D98" i="28"/>
  <c r="F98" i="28"/>
  <c r="D101" i="28"/>
  <c r="F101" i="28"/>
  <c r="D104" i="28"/>
  <c r="F104" i="28"/>
  <c r="C106" i="28"/>
  <c r="D106" i="28"/>
  <c r="C110" i="28"/>
  <c r="D110" i="28"/>
  <c r="F110" i="28"/>
  <c r="C115" i="28"/>
  <c r="D115" i="28"/>
  <c r="D125" i="28"/>
  <c r="C125" i="28"/>
  <c r="F125" i="28"/>
  <c r="F128" i="28"/>
  <c r="D128" i="28"/>
  <c r="C128" i="28"/>
  <c r="C131" i="28"/>
  <c r="F131" i="28"/>
  <c r="D144" i="28"/>
  <c r="F144" i="28"/>
  <c r="C146" i="28"/>
  <c r="F146" i="28"/>
  <c r="C164" i="28"/>
  <c r="F164" i="28"/>
  <c r="D164" i="28"/>
  <c r="D173" i="28"/>
  <c r="C173" i="28"/>
  <c r="F173" i="28"/>
  <c r="D191" i="28"/>
  <c r="F191" i="28"/>
  <c r="D194" i="28"/>
  <c r="F194" i="28"/>
  <c r="F203" i="28"/>
  <c r="D203" i="28"/>
  <c r="C203" i="28"/>
  <c r="C216" i="28"/>
  <c r="F216" i="28"/>
  <c r="C228" i="28"/>
  <c r="F228" i="28"/>
  <c r="C243" i="28"/>
  <c r="F243" i="28"/>
  <c r="C255" i="28"/>
  <c r="F255" i="28"/>
  <c r="D277" i="28"/>
  <c r="C277" i="28"/>
  <c r="F277" i="28"/>
  <c r="C291" i="28"/>
  <c r="F291" i="28"/>
  <c r="D291" i="28"/>
  <c r="D295" i="28"/>
  <c r="C295" i="28"/>
  <c r="E300" i="28"/>
  <c r="F300" i="28"/>
  <c r="C307" i="28"/>
  <c r="F307" i="28"/>
  <c r="E312" i="28"/>
  <c r="D312" i="28"/>
  <c r="F317" i="28"/>
  <c r="D317" i="28"/>
  <c r="E318" i="28"/>
  <c r="C318" i="28"/>
  <c r="F318" i="28"/>
  <c r="F343" i="28"/>
  <c r="C343" i="28"/>
  <c r="F344" i="28"/>
  <c r="D344" i="28"/>
  <c r="E348" i="28"/>
  <c r="C348" i="28"/>
  <c r="E363" i="28"/>
  <c r="D363" i="28"/>
  <c r="E393" i="28"/>
  <c r="F393" i="28"/>
  <c r="C345" i="28"/>
  <c r="F333" i="28"/>
  <c r="F313" i="28"/>
  <c r="C282" i="28"/>
  <c r="D273" i="28"/>
  <c r="F271" i="28"/>
  <c r="F261" i="28"/>
  <c r="F246" i="28"/>
  <c r="F234" i="28"/>
  <c r="F219" i="28"/>
  <c r="F197" i="28"/>
  <c r="C194" i="28"/>
  <c r="C191" i="28"/>
  <c r="F158" i="28"/>
  <c r="F156" i="28"/>
  <c r="F140" i="28"/>
  <c r="F138" i="28"/>
  <c r="C134" i="28"/>
  <c r="C101" i="28"/>
  <c r="C98" i="28"/>
  <c r="C74" i="28"/>
  <c r="C71" i="28"/>
  <c r="D56" i="28"/>
  <c r="C53" i="28"/>
  <c r="D52" i="28"/>
  <c r="F35" i="28"/>
  <c r="F26" i="28"/>
  <c r="F17" i="28"/>
  <c r="F409" i="28"/>
  <c r="C372" i="28"/>
  <c r="C370" i="28"/>
  <c r="F264" i="28"/>
  <c r="F252" i="28"/>
  <c r="F237" i="28"/>
  <c r="F225" i="28"/>
  <c r="F210" i="28"/>
  <c r="C200" i="28"/>
  <c r="F179" i="28"/>
  <c r="F170" i="28"/>
  <c r="F149" i="28"/>
  <c r="F147" i="28"/>
  <c r="F137" i="28"/>
  <c r="D119" i="28"/>
  <c r="C104" i="28"/>
  <c r="C77" i="28"/>
  <c r="D61" i="28"/>
  <c r="C59" i="28"/>
  <c r="F52" i="28"/>
  <c r="F32" i="28"/>
  <c r="F23" i="28"/>
  <c r="F14" i="28"/>
  <c r="C161" i="28"/>
  <c r="F161" i="28"/>
  <c r="D150" i="28"/>
  <c r="F150" i="28"/>
  <c r="D102" i="28"/>
  <c r="F102" i="28"/>
  <c r="C94" i="28"/>
  <c r="F94" i="28"/>
  <c r="D87" i="28"/>
  <c r="C87" i="28"/>
  <c r="D75" i="28"/>
  <c r="F75" i="28"/>
  <c r="C67" i="28"/>
  <c r="F67" i="28"/>
  <c r="C58" i="28"/>
  <c r="F58" i="28"/>
  <c r="C55" i="28"/>
  <c r="D55" i="28"/>
  <c r="D48" i="28"/>
  <c r="F48" i="28"/>
  <c r="D45" i="28"/>
  <c r="F45" i="28"/>
  <c r="D42" i="28"/>
  <c r="F42" i="28"/>
  <c r="D39" i="28"/>
  <c r="F39" i="28"/>
  <c r="D36" i="28"/>
  <c r="F36" i="28"/>
  <c r="D33" i="28"/>
  <c r="F33" i="28"/>
  <c r="D30" i="28"/>
  <c r="F30" i="28"/>
  <c r="D27" i="28"/>
  <c r="F27" i="28"/>
  <c r="D24" i="28"/>
  <c r="F24" i="28"/>
  <c r="D21" i="28"/>
  <c r="F21" i="28"/>
  <c r="D18" i="28"/>
  <c r="F18" i="28"/>
  <c r="D15" i="28"/>
  <c r="F15" i="28"/>
  <c r="D12" i="28"/>
  <c r="F12" i="28"/>
  <c r="D9" i="28"/>
  <c r="F9" i="28"/>
  <c r="F375" i="28"/>
  <c r="F348" i="28"/>
  <c r="D210" i="28"/>
  <c r="F113" i="28"/>
  <c r="D111" i="28"/>
  <c r="F111" i="28"/>
  <c r="C103" i="28"/>
  <c r="F103" i="28"/>
  <c r="D96" i="28"/>
  <c r="C96" i="28"/>
  <c r="F50" i="28"/>
  <c r="F44" i="28"/>
  <c r="F345" i="28"/>
  <c r="F321" i="28"/>
  <c r="F182" i="28"/>
  <c r="F176" i="28"/>
  <c r="C152" i="28"/>
  <c r="F152" i="28"/>
  <c r="D141" i="28"/>
  <c r="F141" i="28"/>
  <c r="F116" i="28"/>
  <c r="F86" i="28"/>
  <c r="D84" i="28"/>
  <c r="F84" i="28"/>
  <c r="C76" i="28"/>
  <c r="F76" i="28"/>
  <c r="D69" i="28"/>
  <c r="C69" i="28"/>
  <c r="F47" i="28"/>
  <c r="F41" i="28"/>
  <c r="C375" i="28"/>
  <c r="F363" i="28"/>
  <c r="D348" i="28"/>
  <c r="D345" i="28"/>
  <c r="F339" i="28"/>
  <c r="C321" i="28"/>
  <c r="C316" i="28"/>
  <c r="F312" i="28"/>
  <c r="F303" i="28"/>
  <c r="F282" i="28"/>
  <c r="C274" i="28"/>
  <c r="F258" i="28"/>
  <c r="F249" i="28"/>
  <c r="F240" i="28"/>
  <c r="F231" i="28"/>
  <c r="F222" i="28"/>
  <c r="F213" i="28"/>
  <c r="F200" i="28"/>
  <c r="C188" i="28"/>
  <c r="F188" i="28"/>
  <c r="F185" i="28"/>
  <c r="D182" i="28"/>
  <c r="C176" i="28"/>
  <c r="D159" i="28"/>
  <c r="F159" i="28"/>
  <c r="F155" i="28"/>
  <c r="F153" i="28"/>
  <c r="C143" i="28"/>
  <c r="F143" i="28"/>
  <c r="F134" i="28"/>
  <c r="C122" i="28"/>
  <c r="F122" i="28"/>
  <c r="F119" i="28"/>
  <c r="D116" i="28"/>
  <c r="C113" i="28"/>
  <c r="C112" i="28"/>
  <c r="F112" i="28"/>
  <c r="D105" i="28"/>
  <c r="C105" i="28"/>
  <c r="C102" i="28"/>
  <c r="D97" i="28"/>
  <c r="F95" i="28"/>
  <c r="D94" i="28"/>
  <c r="D93" i="28"/>
  <c r="F93" i="28"/>
  <c r="C86" i="28"/>
  <c r="C85" i="28"/>
  <c r="F85" i="28"/>
  <c r="D78" i="28"/>
  <c r="C78" i="28"/>
  <c r="C75" i="28"/>
  <c r="D70" i="28"/>
  <c r="F68" i="28"/>
  <c r="D67" i="28"/>
  <c r="D66" i="28"/>
  <c r="F66" i="28"/>
  <c r="F59" i="28"/>
  <c r="D58" i="28"/>
  <c r="F56" i="28"/>
  <c r="F55" i="28"/>
  <c r="C50" i="28"/>
  <c r="C49" i="28"/>
  <c r="F49" i="28"/>
  <c r="C47" i="28"/>
  <c r="C46" i="28"/>
  <c r="F46" i="28"/>
  <c r="C44" i="28"/>
  <c r="C43" i="28"/>
  <c r="F43" i="28"/>
  <c r="C41" i="28"/>
  <c r="C40" i="28"/>
  <c r="F40" i="28"/>
  <c r="C38" i="28"/>
  <c r="C37" i="28"/>
  <c r="F37" i="28"/>
  <c r="C35" i="28"/>
  <c r="C34" i="28"/>
  <c r="F34" i="28"/>
  <c r="C32" i="28"/>
  <c r="C31" i="28"/>
  <c r="F31" i="28"/>
  <c r="C29" i="28"/>
  <c r="C28" i="28"/>
  <c r="F28" i="28"/>
  <c r="C26" i="28"/>
  <c r="C25" i="28"/>
  <c r="F25" i="28"/>
  <c r="C23" i="28"/>
  <c r="C22" i="28"/>
  <c r="F22" i="28"/>
  <c r="C20" i="28"/>
  <c r="C19" i="28"/>
  <c r="F19" i="28"/>
  <c r="C17" i="28"/>
  <c r="C16" i="28"/>
  <c r="F16" i="28"/>
  <c r="C14" i="28"/>
  <c r="C13" i="28"/>
  <c r="F13" i="28"/>
  <c r="C11" i="28"/>
  <c r="C10" i="28"/>
  <c r="F10" i="28"/>
  <c r="F336" i="28"/>
  <c r="D303" i="28"/>
  <c r="D300" i="28"/>
  <c r="F286" i="28"/>
  <c r="F268" i="28"/>
  <c r="F267" i="28"/>
  <c r="D264" i="28"/>
  <c r="D261" i="28"/>
  <c r="D258" i="28"/>
  <c r="D255" i="28"/>
  <c r="D252" i="28"/>
  <c r="D249" i="28"/>
  <c r="D246" i="28"/>
  <c r="D243" i="28"/>
  <c r="D240" i="28"/>
  <c r="D237" i="28"/>
  <c r="D234" i="28"/>
  <c r="D231" i="28"/>
  <c r="D228" i="28"/>
  <c r="D225" i="28"/>
  <c r="D222" i="28"/>
  <c r="D219" i="28"/>
  <c r="D216" i="28"/>
  <c r="D213" i="28"/>
  <c r="F399" i="28"/>
  <c r="D399" i="28"/>
  <c r="F398" i="28"/>
  <c r="F397" i="28"/>
  <c r="F422" i="28"/>
  <c r="C399" i="28"/>
  <c r="F387" i="28"/>
  <c r="F372" i="28"/>
  <c r="D371" i="28"/>
  <c r="D336" i="28"/>
  <c r="D321" i="28"/>
  <c r="D318" i="28"/>
  <c r="C303" i="28"/>
  <c r="C300" i="28"/>
  <c r="F295" i="28"/>
  <c r="C286" i="28"/>
  <c r="F274" i="28"/>
  <c r="F273" i="28"/>
  <c r="C268" i="28"/>
  <c r="D267" i="28"/>
  <c r="F390" i="28"/>
  <c r="D390" i="28"/>
  <c r="D375" i="28"/>
  <c r="D372" i="28"/>
  <c r="F366" i="28"/>
  <c r="F360" i="28"/>
  <c r="E309" i="28"/>
  <c r="F309" i="28"/>
  <c r="D297" i="28"/>
  <c r="C297" i="28"/>
  <c r="F297" i="28"/>
  <c r="D283" i="28"/>
  <c r="C283" i="28"/>
  <c r="C276" i="28"/>
  <c r="F276" i="28"/>
  <c r="C270" i="28"/>
  <c r="D270" i="28"/>
  <c r="D265" i="28"/>
  <c r="C265" i="28"/>
  <c r="F265" i="28"/>
  <c r="D262" i="28"/>
  <c r="C262" i="28"/>
  <c r="F262" i="28"/>
  <c r="D259" i="28"/>
  <c r="C259" i="28"/>
  <c r="F259" i="28"/>
  <c r="D256" i="28"/>
  <c r="C256" i="28"/>
  <c r="F256" i="28"/>
  <c r="D253" i="28"/>
  <c r="C253" i="28"/>
  <c r="F253" i="28"/>
  <c r="D250" i="28"/>
  <c r="C250" i="28"/>
  <c r="F250" i="28"/>
  <c r="D247" i="28"/>
  <c r="C247" i="28"/>
  <c r="F247" i="28"/>
  <c r="D244" i="28"/>
  <c r="C244" i="28"/>
  <c r="F244" i="28"/>
  <c r="D241" i="28"/>
  <c r="C241" i="28"/>
  <c r="F241" i="28"/>
  <c r="D238" i="28"/>
  <c r="C238" i="28"/>
  <c r="F238" i="28"/>
  <c r="D235" i="28"/>
  <c r="C235" i="28"/>
  <c r="F235" i="28"/>
  <c r="D232" i="28"/>
  <c r="C232" i="28"/>
  <c r="F232" i="28"/>
  <c r="D229" i="28"/>
  <c r="C229" i="28"/>
  <c r="F229" i="28"/>
  <c r="D226" i="28"/>
  <c r="C226" i="28"/>
  <c r="F226" i="28"/>
  <c r="D223" i="28"/>
  <c r="C223" i="28"/>
  <c r="F223" i="28"/>
  <c r="D220" i="28"/>
  <c r="C220" i="28"/>
  <c r="F220" i="28"/>
  <c r="D217" i="28"/>
  <c r="C217" i="28"/>
  <c r="F217" i="28"/>
  <c r="D214" i="28"/>
  <c r="C214" i="28"/>
  <c r="F214" i="28"/>
  <c r="D211" i="28"/>
  <c r="C211" i="28"/>
  <c r="F211" i="28"/>
  <c r="D208" i="28"/>
  <c r="C208" i="28"/>
  <c r="F208" i="28"/>
  <c r="C206" i="28"/>
  <c r="D206" i="28"/>
  <c r="F446" i="28"/>
  <c r="F437" i="28"/>
  <c r="F428" i="28"/>
  <c r="D422" i="28"/>
  <c r="F421" i="28"/>
  <c r="F412" i="28"/>
  <c r="D409" i="28"/>
  <c r="F394" i="28"/>
  <c r="D393" i="28"/>
  <c r="F388" i="28"/>
  <c r="F384" i="28"/>
  <c r="F377" i="28"/>
  <c r="F367" i="28"/>
  <c r="D366" i="28"/>
  <c r="F361" i="28"/>
  <c r="F357" i="28"/>
  <c r="F350" i="28"/>
  <c r="F340" i="28"/>
  <c r="D339" i="28"/>
  <c r="F334" i="28"/>
  <c r="F330" i="28"/>
  <c r="F323" i="28"/>
  <c r="D308" i="28"/>
  <c r="F308" i="28"/>
  <c r="F306" i="28"/>
  <c r="F304" i="28"/>
  <c r="D292" i="28"/>
  <c r="C292" i="28"/>
  <c r="C285" i="28"/>
  <c r="F285" i="28"/>
  <c r="D279" i="28"/>
  <c r="C279" i="28"/>
  <c r="F279" i="28"/>
  <c r="C205" i="28"/>
  <c r="D205" i="28"/>
  <c r="F205" i="28"/>
  <c r="D446" i="28"/>
  <c r="C445" i="28"/>
  <c r="F443" i="28"/>
  <c r="D437" i="28"/>
  <c r="C436" i="28"/>
  <c r="F434" i="28"/>
  <c r="D428" i="28"/>
  <c r="C427" i="28"/>
  <c r="F425" i="28"/>
  <c r="F415" i="28"/>
  <c r="C412" i="28"/>
  <c r="F389" i="28"/>
  <c r="F381" i="28"/>
  <c r="F362" i="28"/>
  <c r="F354" i="28"/>
  <c r="F335" i="28"/>
  <c r="F327" i="28"/>
  <c r="D309" i="28"/>
  <c r="C294" i="28"/>
  <c r="F294" i="28"/>
  <c r="D288" i="28"/>
  <c r="C288" i="28"/>
  <c r="F288" i="28"/>
  <c r="F270" i="28"/>
  <c r="C263" i="28"/>
  <c r="F263" i="28"/>
  <c r="C260" i="28"/>
  <c r="F260" i="28"/>
  <c r="C257" i="28"/>
  <c r="F257" i="28"/>
  <c r="C254" i="28"/>
  <c r="F254" i="28"/>
  <c r="C251" i="28"/>
  <c r="F251" i="28"/>
  <c r="C248" i="28"/>
  <c r="F248" i="28"/>
  <c r="C245" i="28"/>
  <c r="F245" i="28"/>
  <c r="C242" i="28"/>
  <c r="F242" i="28"/>
  <c r="C239" i="28"/>
  <c r="F239" i="28"/>
  <c r="C236" i="28"/>
  <c r="F236" i="28"/>
  <c r="C233" i="28"/>
  <c r="F233" i="28"/>
  <c r="C230" i="28"/>
  <c r="F230" i="28"/>
  <c r="C227" i="28"/>
  <c r="F227" i="28"/>
  <c r="C224" i="28"/>
  <c r="F224" i="28"/>
  <c r="C221" i="28"/>
  <c r="F221" i="28"/>
  <c r="C218" i="28"/>
  <c r="F218" i="28"/>
  <c r="C215" i="28"/>
  <c r="F215" i="28"/>
  <c r="C212" i="28"/>
  <c r="F212" i="28"/>
  <c r="C209" i="28"/>
  <c r="F209" i="28"/>
  <c r="D204" i="28"/>
  <c r="C204" i="28"/>
  <c r="F204" i="28"/>
  <c r="C271" i="28"/>
  <c r="C207" i="28"/>
  <c r="C198" i="28"/>
  <c r="D197" i="28"/>
  <c r="F196" i="28"/>
  <c r="F195" i="28"/>
  <c r="C189" i="28"/>
  <c r="D188" i="28"/>
  <c r="F187" i="28"/>
  <c r="F186" i="28"/>
  <c r="C180" i="28"/>
  <c r="D179" i="28"/>
  <c r="F178" i="28"/>
  <c r="F177" i="28"/>
  <c r="C171" i="28"/>
  <c r="D170" i="28"/>
  <c r="F169" i="28"/>
  <c r="F168" i="28"/>
  <c r="C162" i="28"/>
  <c r="D161" i="28"/>
  <c r="C159" i="28"/>
  <c r="D158" i="28"/>
  <c r="C156" i="28"/>
  <c r="D155" i="28"/>
  <c r="C153" i="28"/>
  <c r="D152" i="28"/>
  <c r="C150" i="28"/>
  <c r="D149" i="28"/>
  <c r="C147" i="28"/>
  <c r="D146" i="28"/>
  <c r="C144" i="28"/>
  <c r="D143" i="28"/>
  <c r="C141" i="28"/>
  <c r="D140" i="28"/>
  <c r="C138" i="28"/>
  <c r="D137" i="28"/>
  <c r="C132" i="28"/>
  <c r="D131" i="28"/>
  <c r="F130" i="28"/>
  <c r="F129" i="28"/>
  <c r="C123" i="28"/>
  <c r="D122" i="28"/>
  <c r="F121" i="28"/>
  <c r="F120" i="28"/>
  <c r="C114" i="28"/>
  <c r="D199" i="28"/>
  <c r="D196" i="28"/>
  <c r="C195" i="28"/>
  <c r="D190" i="28"/>
  <c r="D187" i="28"/>
  <c r="C186" i="28"/>
  <c r="D181" i="28"/>
  <c r="D178" i="28"/>
  <c r="C177" i="28"/>
  <c r="D172" i="28"/>
  <c r="D169" i="28"/>
  <c r="C168" i="28"/>
  <c r="D163" i="28"/>
  <c r="D133" i="28"/>
  <c r="D130" i="28"/>
  <c r="C129" i="28"/>
  <c r="D124" i="28"/>
  <c r="D121" i="28"/>
  <c r="C120" i="28"/>
  <c r="F449" i="28"/>
  <c r="D443" i="28"/>
  <c r="C442" i="28"/>
  <c r="F440" i="28"/>
  <c r="D434" i="28"/>
  <c r="C433" i="28"/>
  <c r="F431" i="28"/>
  <c r="D425" i="28"/>
  <c r="F424" i="28"/>
  <c r="C421" i="28"/>
  <c r="D418" i="28"/>
  <c r="C409" i="28"/>
  <c r="F403" i="28"/>
  <c r="F395" i="28"/>
  <c r="C393" i="28"/>
  <c r="C390" i="28"/>
  <c r="F385" i="28"/>
  <c r="D384" i="28"/>
  <c r="D381" i="28"/>
  <c r="F380" i="28"/>
  <c r="F379" i="28"/>
  <c r="F378" i="28"/>
  <c r="F368" i="28"/>
  <c r="C366" i="28"/>
  <c r="C363" i="28"/>
  <c r="F358" i="28"/>
  <c r="D357" i="28"/>
  <c r="D354" i="28"/>
  <c r="F353" i="28"/>
  <c r="F352" i="28"/>
  <c r="F351" i="28"/>
  <c r="F341" i="28"/>
  <c r="C339" i="28"/>
  <c r="C336" i="28"/>
  <c r="F331" i="28"/>
  <c r="D330" i="28"/>
  <c r="D327" i="28"/>
  <c r="F326" i="28"/>
  <c r="F325" i="28"/>
  <c r="F324" i="28"/>
  <c r="F314" i="28"/>
  <c r="C312" i="28"/>
  <c r="C309" i="28"/>
  <c r="D449" i="28"/>
  <c r="C448" i="28"/>
  <c r="D440" i="28"/>
  <c r="C439" i="28"/>
  <c r="D431" i="28"/>
  <c r="C430" i="28"/>
  <c r="C424" i="28"/>
  <c r="C418" i="28"/>
  <c r="F406" i="28"/>
  <c r="C403" i="28"/>
  <c r="F396" i="28"/>
  <c r="F386" i="28"/>
  <c r="C384" i="28"/>
  <c r="C381" i="28"/>
  <c r="F376" i="28"/>
  <c r="F369" i="28"/>
  <c r="F359" i="28"/>
  <c r="C357" i="28"/>
  <c r="C354" i="28"/>
  <c r="F349" i="28"/>
  <c r="F342" i="28"/>
  <c r="F332" i="28"/>
  <c r="C330" i="28"/>
  <c r="C327" i="28"/>
  <c r="F322" i="28"/>
  <c r="F315" i="28"/>
  <c r="F305" i="28"/>
  <c r="F418" i="28"/>
  <c r="F448" i="28"/>
  <c r="F445" i="28"/>
  <c r="F442" i="28"/>
  <c r="F439" i="28"/>
  <c r="F436" i="28"/>
  <c r="F433" i="28"/>
  <c r="F430" i="28"/>
  <c r="F427" i="28"/>
  <c r="D415" i="28"/>
  <c r="D406" i="28"/>
  <c r="D396" i="28"/>
  <c r="D387" i="28"/>
  <c r="D378" i="28"/>
  <c r="D369" i="28"/>
  <c r="D360" i="28"/>
  <c r="D351" i="28"/>
  <c r="D342" i="28"/>
  <c r="D333" i="28"/>
  <c r="D324" i="28"/>
  <c r="D315" i="28"/>
  <c r="D306" i="28"/>
  <c r="F298" i="28"/>
  <c r="D294" i="28"/>
  <c r="F289" i="28"/>
  <c r="D285" i="28"/>
  <c r="F280" i="28"/>
  <c r="D276" i="28"/>
  <c r="D448" i="28"/>
  <c r="D445" i="28"/>
  <c r="D442" i="28"/>
  <c r="D439" i="28"/>
  <c r="D436" i="28"/>
  <c r="D433" i="28"/>
  <c r="D430" i="28"/>
  <c r="D427" i="28"/>
  <c r="D424" i="28"/>
  <c r="D421" i="28"/>
  <c r="C415" i="28"/>
  <c r="D412" i="28"/>
  <c r="C406" i="28"/>
  <c r="D403" i="28"/>
  <c r="C396" i="28"/>
  <c r="C387" i="28"/>
  <c r="C378" i="28"/>
  <c r="C369" i="28"/>
  <c r="C360" i="28"/>
  <c r="C351" i="28"/>
  <c r="C342" i="28"/>
  <c r="C333" i="28"/>
  <c r="C324" i="28"/>
  <c r="C315" i="28"/>
  <c r="C306" i="28"/>
  <c r="C298" i="28"/>
  <c r="F292" i="28"/>
  <c r="C289" i="28"/>
  <c r="F283" i="28"/>
  <c r="C280" i="28"/>
  <c r="F435" i="28"/>
  <c r="F429" i="28"/>
  <c r="F423" i="28"/>
  <c r="E416" i="28"/>
  <c r="C416" i="28"/>
  <c r="E414" i="28"/>
  <c r="D414" i="28"/>
  <c r="E410" i="28"/>
  <c r="C410" i="28"/>
  <c r="E408" i="28"/>
  <c r="D408" i="28"/>
  <c r="E401" i="28"/>
  <c r="C401" i="28"/>
  <c r="E392" i="28"/>
  <c r="C392" i="28"/>
  <c r="E383" i="28"/>
  <c r="C383" i="28"/>
  <c r="E374" i="28"/>
  <c r="C374" i="28"/>
  <c r="E365" i="28"/>
  <c r="C365" i="28"/>
  <c r="E356" i="28"/>
  <c r="C356" i="28"/>
  <c r="E346" i="28"/>
  <c r="D346" i="28"/>
  <c r="E337" i="28"/>
  <c r="D337" i="28"/>
  <c r="D450" i="28"/>
  <c r="C449" i="28"/>
  <c r="D447" i="28"/>
  <c r="C446" i="28"/>
  <c r="D444" i="28"/>
  <c r="C443" i="28"/>
  <c r="D441" i="28"/>
  <c r="C440" i="28"/>
  <c r="D438" i="28"/>
  <c r="C437" i="28"/>
  <c r="D435" i="28"/>
  <c r="C434" i="28"/>
  <c r="D432" i="28"/>
  <c r="C431" i="28"/>
  <c r="D429" i="28"/>
  <c r="C428" i="28"/>
  <c r="D426" i="28"/>
  <c r="C425" i="28"/>
  <c r="D423" i="28"/>
  <c r="C422" i="28"/>
  <c r="D420" i="28"/>
  <c r="F419" i="28"/>
  <c r="F417" i="28"/>
  <c r="F416" i="28"/>
  <c r="F414" i="28"/>
  <c r="F413" i="28"/>
  <c r="F411" i="28"/>
  <c r="F410" i="28"/>
  <c r="F408" i="28"/>
  <c r="F407" i="28"/>
  <c r="F405" i="28"/>
  <c r="F404" i="28"/>
  <c r="F402" i="28"/>
  <c r="F401" i="28"/>
  <c r="F400" i="28"/>
  <c r="E398" i="28"/>
  <c r="C398" i="28"/>
  <c r="E397" i="28"/>
  <c r="D397" i="28"/>
  <c r="F392" i="28"/>
  <c r="F391" i="28"/>
  <c r="E389" i="28"/>
  <c r="C389" i="28"/>
  <c r="E388" i="28"/>
  <c r="D388" i="28"/>
  <c r="F383" i="28"/>
  <c r="F382" i="28"/>
  <c r="E380" i="28"/>
  <c r="C380" i="28"/>
  <c r="E379" i="28"/>
  <c r="D379" i="28"/>
  <c r="F374" i="28"/>
  <c r="F373" i="28"/>
  <c r="E371" i="28"/>
  <c r="C371" i="28"/>
  <c r="E370" i="28"/>
  <c r="D370" i="28"/>
  <c r="F365" i="28"/>
  <c r="F364" i="28"/>
  <c r="E362" i="28"/>
  <c r="C362" i="28"/>
  <c r="E361" i="28"/>
  <c r="D361" i="28"/>
  <c r="F356" i="28"/>
  <c r="F355" i="28"/>
  <c r="E353" i="28"/>
  <c r="C353" i="28"/>
  <c r="E352" i="28"/>
  <c r="D352" i="28"/>
  <c r="F347" i="28"/>
  <c r="F346" i="28"/>
  <c r="E344" i="28"/>
  <c r="C344" i="28"/>
  <c r="E343" i="28"/>
  <c r="D343" i="28"/>
  <c r="F338" i="28"/>
  <c r="F337" i="28"/>
  <c r="E335" i="28"/>
  <c r="C335" i="28"/>
  <c r="E334" i="28"/>
  <c r="D334" i="28"/>
  <c r="F329" i="28"/>
  <c r="F328" i="28"/>
  <c r="E326" i="28"/>
  <c r="C326" i="28"/>
  <c r="E325" i="28"/>
  <c r="D325" i="28"/>
  <c r="F320" i="28"/>
  <c r="F319" i="28"/>
  <c r="E317" i="28"/>
  <c r="C317" i="28"/>
  <c r="E316" i="28"/>
  <c r="D316" i="28"/>
  <c r="F311" i="28"/>
  <c r="F310" i="28"/>
  <c r="E308" i="28"/>
  <c r="C308" i="28"/>
  <c r="E307" i="28"/>
  <c r="D307" i="28"/>
  <c r="F302" i="28"/>
  <c r="F301" i="28"/>
  <c r="F450" i="28"/>
  <c r="F447" i="28"/>
  <c r="F444" i="28"/>
  <c r="F441" i="28"/>
  <c r="C450" i="28"/>
  <c r="C447" i="28"/>
  <c r="C444" i="28"/>
  <c r="C441" i="28"/>
  <c r="C438" i="28"/>
  <c r="C435" i="28"/>
  <c r="C432" i="28"/>
  <c r="C429" i="28"/>
  <c r="C426" i="28"/>
  <c r="C423" i="28"/>
  <c r="C420" i="28"/>
  <c r="D416" i="28"/>
  <c r="C414" i="28"/>
  <c r="D410" i="28"/>
  <c r="C408" i="28"/>
  <c r="D401" i="28"/>
  <c r="E395" i="28"/>
  <c r="C395" i="28"/>
  <c r="E394" i="28"/>
  <c r="D394" i="28"/>
  <c r="D392" i="28"/>
  <c r="E386" i="28"/>
  <c r="C386" i="28"/>
  <c r="E385" i="28"/>
  <c r="D385" i="28"/>
  <c r="D383" i="28"/>
  <c r="E377" i="28"/>
  <c r="C377" i="28"/>
  <c r="E376" i="28"/>
  <c r="D376" i="28"/>
  <c r="D374" i="28"/>
  <c r="E368" i="28"/>
  <c r="C368" i="28"/>
  <c r="E367" i="28"/>
  <c r="D367" i="28"/>
  <c r="D365" i="28"/>
  <c r="E359" i="28"/>
  <c r="C359" i="28"/>
  <c r="E358" i="28"/>
  <c r="D358" i="28"/>
  <c r="D356" i="28"/>
  <c r="E350" i="28"/>
  <c r="C350" i="28"/>
  <c r="E349" i="28"/>
  <c r="D349" i="28"/>
  <c r="C346" i="28"/>
  <c r="E341" i="28"/>
  <c r="C341" i="28"/>
  <c r="E340" i="28"/>
  <c r="D340" i="28"/>
  <c r="C337" i="28"/>
  <c r="E332" i="28"/>
  <c r="C332" i="28"/>
  <c r="E331" i="28"/>
  <c r="D331" i="28"/>
  <c r="E323" i="28"/>
  <c r="C323" i="28"/>
  <c r="E322" i="28"/>
  <c r="D322" i="28"/>
  <c r="E314" i="28"/>
  <c r="C314" i="28"/>
  <c r="E313" i="28"/>
  <c r="D313" i="28"/>
  <c r="E305" i="28"/>
  <c r="C305" i="28"/>
  <c r="E304" i="28"/>
  <c r="D304" i="28"/>
  <c r="F438" i="28"/>
  <c r="F432" i="28"/>
  <c r="F426" i="28"/>
  <c r="F420" i="28"/>
  <c r="E419" i="28"/>
  <c r="C419" i="28"/>
  <c r="E417" i="28"/>
  <c r="D417" i="28"/>
  <c r="E413" i="28"/>
  <c r="C413" i="28"/>
  <c r="E411" i="28"/>
  <c r="D411" i="28"/>
  <c r="E407" i="28"/>
  <c r="C407" i="28"/>
  <c r="E405" i="28"/>
  <c r="D405" i="28"/>
  <c r="E404" i="28"/>
  <c r="C404" i="28"/>
  <c r="E402" i="28"/>
  <c r="D402" i="28"/>
  <c r="E400" i="28"/>
  <c r="D400" i="28"/>
  <c r="E391" i="28"/>
  <c r="D391" i="28"/>
  <c r="E382" i="28"/>
  <c r="D382" i="28"/>
  <c r="E373" i="28"/>
  <c r="D373" i="28"/>
  <c r="E364" i="28"/>
  <c r="D364" i="28"/>
  <c r="E355" i="28"/>
  <c r="D355" i="28"/>
  <c r="E347" i="28"/>
  <c r="C347" i="28"/>
  <c r="E338" i="28"/>
  <c r="C338" i="28"/>
  <c r="E329" i="28"/>
  <c r="C329" i="28"/>
  <c r="E328" i="28"/>
  <c r="D328" i="28"/>
  <c r="E320" i="28"/>
  <c r="C320" i="28"/>
  <c r="E319" i="28"/>
  <c r="D319" i="28"/>
  <c r="E311" i="28"/>
  <c r="C311" i="28"/>
  <c r="E310" i="28"/>
  <c r="D310" i="28"/>
  <c r="E302" i="28"/>
  <c r="C302" i="28"/>
  <c r="E301" i="28"/>
  <c r="D301" i="28"/>
  <c r="E299" i="28"/>
  <c r="C299" i="28"/>
  <c r="D299" i="28"/>
  <c r="C296" i="28"/>
  <c r="D296" i="28"/>
  <c r="C293" i="28"/>
  <c r="D293" i="28"/>
  <c r="C290" i="28"/>
  <c r="D290" i="28"/>
  <c r="C287" i="28"/>
  <c r="D287" i="28"/>
  <c r="C284" i="28"/>
  <c r="D284" i="28"/>
  <c r="C281" i="28"/>
  <c r="D281" i="28"/>
  <c r="C278" i="28"/>
  <c r="D278" i="28"/>
  <c r="C275" i="28"/>
  <c r="D275" i="28"/>
  <c r="C272" i="28"/>
  <c r="D272" i="28"/>
  <c r="C269" i="28"/>
  <c r="D269" i="28"/>
  <c r="C266" i="28"/>
  <c r="D266" i="28"/>
  <c r="D263" i="28"/>
  <c r="D260" i="28"/>
  <c r="D257" i="28"/>
  <c r="D254" i="28"/>
  <c r="D251" i="28"/>
  <c r="D248" i="28"/>
  <c r="D245" i="28"/>
  <c r="D242" i="28"/>
  <c r="D239" i="28"/>
  <c r="D236" i="28"/>
  <c r="D233" i="28"/>
  <c r="D230" i="28"/>
  <c r="D227" i="28"/>
  <c r="D224" i="28"/>
  <c r="D221" i="28"/>
  <c r="D218" i="28"/>
  <c r="D215" i="28"/>
  <c r="D212" i="28"/>
  <c r="D209" i="28"/>
  <c r="F202" i="28"/>
  <c r="F201" i="28"/>
  <c r="F193" i="28"/>
  <c r="F192" i="28"/>
  <c r="F184" i="28"/>
  <c r="F183" i="28"/>
  <c r="F175" i="28"/>
  <c r="F174" i="28"/>
  <c r="F166" i="28"/>
  <c r="F165" i="28"/>
  <c r="D160" i="28"/>
  <c r="C160" i="28"/>
  <c r="D157" i="28"/>
  <c r="C157" i="28"/>
  <c r="D154" i="28"/>
  <c r="C154" i="28"/>
  <c r="D151" i="28"/>
  <c r="C151" i="28"/>
  <c r="D148" i="28"/>
  <c r="C148" i="28"/>
  <c r="D145" i="28"/>
  <c r="C145" i="28"/>
  <c r="D142" i="28"/>
  <c r="C142" i="28"/>
  <c r="D139" i="28"/>
  <c r="C139" i="28"/>
  <c r="D136" i="28"/>
  <c r="C136" i="28"/>
  <c r="F207" i="28"/>
  <c r="D202" i="28"/>
  <c r="C201" i="28"/>
  <c r="F199" i="28"/>
  <c r="F198" i="28"/>
  <c r="D193" i="28"/>
  <c r="C192" i="28"/>
  <c r="F190" i="28"/>
  <c r="F189" i="28"/>
  <c r="D184" i="28"/>
  <c r="C183" i="28"/>
  <c r="F181" i="28"/>
  <c r="F180" i="28"/>
  <c r="D175" i="28"/>
  <c r="C174" i="28"/>
  <c r="F172" i="28"/>
  <c r="F171" i="28"/>
  <c r="D166" i="28"/>
  <c r="C165" i="28"/>
  <c r="F163" i="28"/>
  <c r="F162" i="28"/>
  <c r="D135" i="28"/>
  <c r="F135" i="28"/>
  <c r="C135" i="28"/>
  <c r="F133" i="28"/>
  <c r="F132" i="28"/>
  <c r="D127" i="28"/>
  <c r="C126" i="28"/>
  <c r="F124" i="28"/>
  <c r="F123" i="28"/>
  <c r="D118" i="28"/>
  <c r="C117" i="28"/>
  <c r="F115" i="28"/>
  <c r="F114" i="28"/>
  <c r="D109" i="28"/>
  <c r="C108" i="28"/>
  <c r="F106" i="28"/>
  <c r="F105" i="28"/>
  <c r="D100" i="28"/>
  <c r="C99" i="28"/>
  <c r="F97" i="28"/>
  <c r="F96" i="28"/>
  <c r="D91" i="28"/>
  <c r="C90" i="28"/>
  <c r="F88" i="28"/>
  <c r="F87" i="28"/>
  <c r="D82" i="28"/>
  <c r="C81" i="28"/>
  <c r="F79" i="28"/>
  <c r="F78" i="28"/>
  <c r="D73" i="28"/>
  <c r="C72" i="28"/>
  <c r="F70" i="28"/>
  <c r="F69" i="28"/>
  <c r="D64" i="28"/>
  <c r="C63" i="28"/>
  <c r="D60" i="28"/>
  <c r="C60" i="28"/>
  <c r="D57" i="28"/>
  <c r="C57" i="28"/>
  <c r="D54" i="28"/>
  <c r="C54" i="28"/>
  <c r="D51" i="28"/>
  <c r="C51" i="28"/>
  <c r="F127" i="28"/>
  <c r="F126" i="28"/>
  <c r="F118" i="28"/>
  <c r="F117" i="28"/>
  <c r="F109" i="28"/>
  <c r="F108" i="28"/>
  <c r="F100" i="28"/>
  <c r="F99" i="28"/>
  <c r="F91" i="28"/>
  <c r="F90" i="28"/>
  <c r="F82" i="28"/>
  <c r="F81" i="28"/>
  <c r="F73" i="28"/>
  <c r="F72" i="28"/>
  <c r="F64" i="28"/>
  <c r="F63" i="28"/>
  <c r="C48" i="28"/>
  <c r="C45" i="28"/>
  <c r="C42" i="28"/>
  <c r="C39" i="28"/>
  <c r="C36" i="28"/>
  <c r="C33" i="28"/>
  <c r="C30" i="28"/>
  <c r="C27" i="28"/>
  <c r="C24" i="28"/>
  <c r="C21" i="28"/>
  <c r="C18" i="28"/>
  <c r="C15" i="28"/>
  <c r="C12" i="28"/>
  <c r="C9" i="28"/>
  <c r="B8" i="19"/>
  <c r="B10" i="19" l="1"/>
  <c r="B11" i="19" s="1"/>
  <c r="B12" i="19" s="1"/>
  <c r="B13" i="19" s="1"/>
  <c r="B14" i="19" s="1"/>
  <c r="B15" i="19" s="1"/>
  <c r="B3" i="19" s="1"/>
  <c r="B1" i="11" l="1"/>
  <c r="F3" i="9"/>
  <c r="F2" i="9"/>
  <c r="F1" i="9"/>
  <c r="C2" i="9"/>
  <c r="C3" i="9"/>
  <c r="C4" i="9"/>
  <c r="F8" i="2" l="1"/>
  <c r="F15" i="2" l="1"/>
  <c r="F14" i="2"/>
  <c r="F11" i="2"/>
  <c r="F16" i="2"/>
  <c r="F9" i="2"/>
</calcChain>
</file>

<file path=xl/sharedStrings.xml><?xml version="1.0" encoding="utf-8"?>
<sst xmlns="http://schemas.openxmlformats.org/spreadsheetml/2006/main" count="1081" uniqueCount="624">
  <si>
    <t>Nome do Homologador:</t>
  </si>
  <si>
    <t>Casos de Testes:</t>
  </si>
  <si>
    <t>Sucessos:</t>
  </si>
  <si>
    <t>E-mail:</t>
  </si>
  <si>
    <t>Casos Pendentes:</t>
  </si>
  <si>
    <t>Falhas:</t>
  </si>
  <si>
    <t>Origem (APS, GEX, DC):</t>
  </si>
  <si>
    <t>Casos Testados:</t>
  </si>
  <si>
    <t>Pendências Externas:</t>
  </si>
  <si>
    <t>Percentual Concluído:</t>
  </si>
  <si>
    <t>Sugestão</t>
  </si>
  <si>
    <t>Item</t>
  </si>
  <si>
    <t>Liberado</t>
  </si>
  <si>
    <t>Cenário de Teste</t>
  </si>
  <si>
    <t>Critério de aceite</t>
  </si>
  <si>
    <t>Dados de Entrada</t>
  </si>
  <si>
    <t>Outras informações</t>
  </si>
  <si>
    <t>Resultado Obtido</t>
  </si>
  <si>
    <t>Situação</t>
  </si>
  <si>
    <t>Encaminhamento</t>
  </si>
  <si>
    <t>Data do Teste</t>
  </si>
  <si>
    <t>Observação</t>
  </si>
  <si>
    <t>Total Defeitos:</t>
  </si>
  <si>
    <t>Defeitos Identificados</t>
  </si>
  <si>
    <t>Processo</t>
  </si>
  <si>
    <t>Componente</t>
  </si>
  <si>
    <t>Data</t>
  </si>
  <si>
    <t>Nº do ALM</t>
  </si>
  <si>
    <t>Descrição</t>
  </si>
  <si>
    <t>Homologador</t>
  </si>
  <si>
    <t>Prioridade</t>
  </si>
  <si>
    <t>Categoria</t>
  </si>
  <si>
    <t>Baseline de Correção</t>
  </si>
  <si>
    <t>Observações</t>
  </si>
  <si>
    <t>Versão</t>
  </si>
  <si>
    <t>0Casos de Testes:Casos de Testes:Casos de Testes:Casos de Testes:</t>
  </si>
  <si>
    <t>Endereços úteis:</t>
  </si>
  <si>
    <t>Estatísticas</t>
  </si>
  <si>
    <t>Ambiente Homologação</t>
  </si>
  <si>
    <t>Total de Casos de Teste</t>
  </si>
  <si>
    <t>0Casos Testados:Casos Testados:Casos Testados:Casos Testados:</t>
  </si>
  <si>
    <t>Casos Pendentes</t>
  </si>
  <si>
    <t>SIBE-PU</t>
  </si>
  <si>
    <t>http://hsibepuapr01h/PortalSibe/</t>
  </si>
  <si>
    <t>Casos Testados</t>
  </si>
  <si>
    <t>0Sucessos:Sucessos:Sucessos:Sucessos:</t>
  </si>
  <si>
    <t>Não Executado</t>
  </si>
  <si>
    <t>Swagger</t>
  </si>
  <si>
    <t>0Falhas:Falhas:Falhas:Falhas:</t>
  </si>
  <si>
    <t>Sucesso</t>
  </si>
  <si>
    <t>http://hsibepuapr01h/sibews/api-test/</t>
  </si>
  <si>
    <t>0Pendências Externas:Pendências Externas:Pendências Externas:Pendências Externas:</t>
  </si>
  <si>
    <t>Falha</t>
  </si>
  <si>
    <t>Usuario:</t>
  </si>
  <si>
    <t>appuser</t>
  </si>
  <si>
    <t>Senha:</t>
  </si>
  <si>
    <t>appuser00</t>
  </si>
  <si>
    <t>Outros</t>
  </si>
  <si>
    <t>Falhas</t>
  </si>
  <si>
    <t>0SugestãoSugestãoSugestãoSugestão</t>
  </si>
  <si>
    <t>Pendência Externa</t>
  </si>
  <si>
    <t>Massa de Testes</t>
  </si>
  <si>
    <t>http://www-massasibe/</t>
  </si>
  <si>
    <t>Pendências Externas</t>
  </si>
  <si>
    <t>Demanda</t>
  </si>
  <si>
    <t>Sugestões</t>
  </si>
  <si>
    <t>Disponivel para reteste</t>
  </si>
  <si>
    <t>CNIS Homologação</t>
  </si>
  <si>
    <t>https://hcnisapr02/cnis/</t>
  </si>
  <si>
    <t>Sitação da Sugestão</t>
  </si>
  <si>
    <t>Em Análise</t>
  </si>
  <si>
    <t>ALM Requsitos</t>
  </si>
  <si>
    <t>http://alm.dataprev.gov.br/rm/</t>
  </si>
  <si>
    <t>Aberta</t>
  </si>
  <si>
    <t>ALM Testes</t>
  </si>
  <si>
    <t>https://alm.dataprev.gov.br/qm/</t>
  </si>
  <si>
    <t>Em Andamento</t>
  </si>
  <si>
    <t>Usuário CPF</t>
  </si>
  <si>
    <t>Concluída</t>
  </si>
  <si>
    <t>Rejeitada</t>
  </si>
  <si>
    <t>Utilize as guias abaixo para navegar pelas planilhas de casos de teste.</t>
  </si>
  <si>
    <t>Pendente INSS</t>
  </si>
  <si>
    <t>Migrado Backlog</t>
  </si>
  <si>
    <t>Prioridade da Sugestão</t>
  </si>
  <si>
    <t>Alta</t>
  </si>
  <si>
    <t>Média</t>
  </si>
  <si>
    <t>Usuário para testes em HOMOLOGAÇÃO</t>
  </si>
  <si>
    <t>Baixa</t>
  </si>
  <si>
    <t>CPF:</t>
  </si>
  <si>
    <t>05922782983</t>
  </si>
  <si>
    <t>dataprev</t>
  </si>
  <si>
    <t>Processos</t>
  </si>
  <si>
    <t>Revisão de BI com Atestado</t>
  </si>
  <si>
    <t>Logar na APS:</t>
  </si>
  <si>
    <t>05.001.050 - APSALD</t>
  </si>
  <si>
    <t>Concessão de BI com Atestado</t>
  </si>
  <si>
    <t>Cálculos do Direito (Carência, Qualidade, DIB/DIP)</t>
  </si>
  <si>
    <t>Tipos de Conclusão da Pericia</t>
  </si>
  <si>
    <t>Motivo Nao Indicacao Repouso</t>
  </si>
  <si>
    <t>Cálculos Monetários (RMI)</t>
  </si>
  <si>
    <t>CONTRARIA(1, "Contrária"),</t>
  </si>
  <si>
    <t>DOCUMENTACAO(1, "Documentação apresentada não reúne todos os elementos")</t>
  </si>
  <si>
    <t>Reconhecimento de Direito</t>
  </si>
  <si>
    <t>FAVORAVEL(2, "Favorável"),</t>
  </si>
  <si>
    <t>HISTORICO_MEDICO( 2, "Histórico médico pericial previdenciário disponível é incompatível com a existência de incapacidade atual"),</t>
  </si>
  <si>
    <t>Requerimento de PP</t>
  </si>
  <si>
    <t>NAO_REALIZADA(3, "Não realizada"),</t>
  </si>
  <si>
    <t>REPOUSO_DESACORDO(3, "O Repouso solicitado está em desacordo com a literatura cientifica relacionada à patologia apresentada e médias de afastamento histórico da Perícia Médica no INSS");</t>
  </si>
  <si>
    <t>Requerimento de Prorrogação</t>
  </si>
  <si>
    <t>Requerimento de Revisão</t>
  </si>
  <si>
    <t>Requerimento Inicial</t>
  </si>
  <si>
    <t>Todos os Processos</t>
  </si>
  <si>
    <t>Simulador de Direito e Renda</t>
  </si>
  <si>
    <t>Não se aplica</t>
  </si>
  <si>
    <t>Agendamentos</t>
  </si>
  <si>
    <t>Alterar DER</t>
  </si>
  <si>
    <t>Composição Familiar</t>
  </si>
  <si>
    <t>Conclusão Requerimento</t>
  </si>
  <si>
    <t>Consultar Requerimento</t>
  </si>
  <si>
    <t>Dados Cadastrais</t>
  </si>
  <si>
    <t>Desistir do Requerimento</t>
  </si>
  <si>
    <t>Detalhar Requerimento</t>
  </si>
  <si>
    <t>Exibir informações do Segurado</t>
  </si>
  <si>
    <t>Exigências</t>
  </si>
  <si>
    <t>Extrato Laboral</t>
  </si>
  <si>
    <t>Forma de Pagamento</t>
  </si>
  <si>
    <t>Pesquisar Cidadão</t>
  </si>
  <si>
    <t>Relações Previdenciárias</t>
  </si>
  <si>
    <t>Solicitante</t>
  </si>
  <si>
    <t>Transferir Requerimento</t>
  </si>
  <si>
    <t>Cálculo da RMI</t>
  </si>
  <si>
    <t>Simular direito e renda</t>
  </si>
  <si>
    <t>Situação Defeito</t>
  </si>
  <si>
    <t>Aberto</t>
  </si>
  <si>
    <t>Atribuído</t>
  </si>
  <si>
    <t>Resolvido</t>
  </si>
  <si>
    <t>Rejeitado</t>
  </si>
  <si>
    <t>Categoria Defeito</t>
  </si>
  <si>
    <t>Defeito</t>
  </si>
  <si>
    <t>Melhoria</t>
  </si>
  <si>
    <t>Defeito não identificado</t>
  </si>
  <si>
    <t>Solicitar</t>
  </si>
  <si>
    <t>Solicitado</t>
  </si>
  <si>
    <t>Pronto</t>
  </si>
  <si>
    <t>Cenários de Teste - Ambiente de Homologação</t>
  </si>
  <si>
    <t>Cenários de Teste</t>
  </si>
  <si>
    <t xml:space="preserve"> Critério de Aceite / Resultado Esperado</t>
  </si>
  <si>
    <t>Outras Informações</t>
  </si>
  <si>
    <t>Requerimento</t>
  </si>
  <si>
    <t>Pericia Medica</t>
  </si>
  <si>
    <t>Av Social</t>
  </si>
  <si>
    <t>Automatização da Declaração de Segurado Especial (BI)</t>
  </si>
  <si>
    <t>Sim</t>
  </si>
  <si>
    <t>Reimportar relações previdenciárias no envio da perícia médica médica para requerimento de segurado especial</t>
  </si>
  <si>
    <t>Sistema deve reimportar as relações previdenciárias, ou seja, haverá alteração dos vínculos após do envio da pericia</t>
  </si>
  <si>
    <t>NB: 7407778354 Protocolo: 57355824538012 -  Andréia
NB: 7407778370 Protocolo: 11760024813012 - Maurício
NB: 7407778389 Protocolo: 16720733168012
NB: 7407778397 Protocolo: 03034874022012
NB: 7407778400 Protocolo: 04313364587012
NB: 7407778419 Protocolo: 20210438355012 - Andréia</t>
  </si>
  <si>
    <t>Consultar o NB (coluna E) no Portal SIBE  e conferir as relações previdenciárias
Alterar PROTOCOLO do JSON (coluna H) e enviar a perecia através do serviço de informar pericia 
(http://hsibepuapr01h/sibews/api-test/#!/pmf/informarPericiaMedicaBI)</t>
  </si>
  <si>
    <t>{
    "tipoPericia": 1,
    "tipoInformacaoMedica": 4,
    "protocolo": "57355824538011",
    "protocoloPMF": "57355824538011",
    "tipoConclusaoPericia": 2,
    "dre": "2023-02-25T10:00:00.515Z",
    "cpfProfissional": 21081042320,
    "cadmed": 210810,
    "cid": "I00",
    "tipoLocalExame": 1,
    "capacidadeLaborativa": {
        "did": "2023-03-25T10:00:00.515Z",
        "dii": "2023-04-25T10:00:00.515Z",
        "dcb": "2024-05-25T10:00:00.515Z",
        "recuperacaoCapacidadeLaborativa": 2,
        "possuiIsencaoCarencia": false,
        "passivelReabilitacaoProfissional": false,
        "fazJusAuxilioAcidente": false,
        "possuiRestabelecimento": false
    }
}</t>
  </si>
  <si>
    <t>Reimportar relações previdenciárias no envio da perícia médica médica para requerimento de outros tipos de vínculo</t>
  </si>
  <si>
    <t xml:space="preserve">NB: 7407778249 Protocolo: 30414226461011 - Jana
NB: 7407778257 Protocolo: 47508034805011 - Andréia
NB: 7407778265 Protocolo: 04077803357011 - Maurício
NB: 7407778311 Protocolo: 73166654240011 - Maurício
NB: 7407778281 Protocolo: 46116873685011 - Andréia
</t>
  </si>
  <si>
    <t>{
    "tipoPericia": 1,
    "tipoInformacaoMedica": 4,
    "protocolo": "29174751379011",
    "protocoloPMF": "29174751379011",
    "tipoConclusaoPericia": 2,
    "dre": "2023-02-25T10:00:00.515Z",
    "cpfProfissional": 21081042320,
    "cadmed": 210810,
    "cid": "I00",
    "tipoLocalExame": 1,
    "capacidadeLaborativa": {
        "did": "2023-03-25T10:00:00.515Z",
        "dii": "2023-04-25T10:00:00.515Z",
        "dcb": "2024-05-25T10:00:00.515Z",
        "recuperacaoCapacidadeLaborativa": 2,
        "possuiIsencaoCarencia": false,
        "passivelReabilitacaoProfissional": false,
        "fazJusAuxilioAcidente": false,
        "possuiRestabelecimento": false
    }
}</t>
  </si>
  <si>
    <t>Processar um requerimento sem carencia minima, mas que o segurado alterou algum vínculo no MEU INSS.</t>
  </si>
  <si>
    <t>Requerimento deve ser reaberto ao finalizar e retornar a informação: 
"Confirmar relações previdenciárias do segurado ou a ausência delas
Observações: Vínculos do Segurado alterados"</t>
  </si>
  <si>
    <t>NB: 7407777471 - Jana
NB: 7407777498 - Orlando
NB: 7407777501 - Maurício
NB: 7407777510 - Andréia
NB: 7407777528 - Maurício
NB: 7407777536</t>
  </si>
  <si>
    <t>1. Consultar NB (coluna E) no Portal SIBE
2. ir em Alterar
3. Executar verificar pendências
4. Ir em Detalhes e verificar o campo "Segurado realizou alterações nos vínculos"
5. Tentar Concluir
* Proposta de teste do cenário atual</t>
  </si>
  <si>
    <t>Processar um requerimento sem carencia minima, mas que não há informação se segurado alterou ou não algum vínculo no MEU INSS.</t>
  </si>
  <si>
    <t>NB: 7407777544 - Orlando
NB: 7407777552 - Jana 
NB: 7407777579 - Maurício
NB: 7407777587 - Andréia
NB: 7407777595 - Maurício</t>
  </si>
  <si>
    <t>Processar um requerimento sem carencia minima, mas que o segurado não alterou algum vínculo no MEU INSS.</t>
  </si>
  <si>
    <t>Requerimento deve ser indeferido</t>
  </si>
  <si>
    <t>NB: 7407777676  Protocolo: 31207580864011 - Jana
NB: 7407777684  Protocolo: 62461666369011
NB: 7407777692  Protocolo: 43341828605011 - Maurício
NB: 7407777706  Protocolo: 48783866817011 - Maurício
NB: 7407777714  Protocolo: 87342216895011 - Andréia
NB: 7407777722  Protocolo: 45525161168011 - Orlando</t>
  </si>
  <si>
    <t>1. Consultar NB (coluna E) no Portal SIBE
2. ir em Alterar
3. Executar verificar pendências
4. Ir em Detalhes e verificar o campo "Segurado realizou alterações nos vínculos"
5. Alterar PROTOCOLO do JSON (coluna H) e enviar a perecia através do serviço de informar pericia 
(http://hsibepuapr01h/sibews/api-test/#!/pmf/informarPericiaMedicaBI)
* Proposta de teste do cenário atual</t>
  </si>
  <si>
    <t>{
    "tipoPericia": 1,
    "tipoInformacaoMedica": 4,
    "protocolo": 31207580864011,
    "protocoloPMF": 31207580864011,
    "tipoConclusaoPericia": 2,
    "dre": "2025-05-12T10:00:00.515Z",
    "cpfProfissional": 21081042320,
    "cadmed": 210810,
    "cid": "I00",
    "tipoLocalExame": 1,
    "capacidadeLaborativa": {
        "did": "2025-03-25T10:00:00.515Z",
        "dii": "2025-03-25T10:00:00.515Z",
        "dcb": "2025-10-01T10:00:00.515Z",
        "recuperacaoCapacidadeLaborativa": 2,
        "possuiIsencaoCarencia": false,
        "passivelReabilitacaoProfissional": false,
        "fazJusAuxilioAcidente": false,
        "possuiRestabelecimento": false
    }
}</t>
  </si>
  <si>
    <t>Processar um requerimento sem carencia minima, mas que CNIS retornou pendencia na autodeclaração do segurado especial</t>
  </si>
  <si>
    <t>Requerimento deve ser reaberto e retornar a mensagem: 
"Confirmar os vínculos ou ausencia dos mesmos
Observações: Possui período Segurado Especial pendente"</t>
  </si>
  <si>
    <t>NB: 7407784303 Protocolo: 27855964800012 - Maurício
NB: 7407784311 Protocolo: 55048124103012 - Maurício
NB: 7407784753 Protocolo: 03515152679012 - Jana
NB: 7407784761 Protocolo: 35744234705012 - Andréia
NB: 7407784770 Protocolo: 71184715424012
NB: 7407784389 Protocolo: 45567174772012 - Orlando
NB: 7407784397 Protocolo: 36077005673012 - Orlando</t>
  </si>
  <si>
    <t>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
6. Tentar Concluir</t>
  </si>
  <si>
    <t>{
    "tipoPericia": 1,
    "tipoInformacaoMedica": 4,
    "protocolo": 55727252857011,
    "protocoloPMF": 55727252857011,
    "tipoConclusaoPericia": 2,
    "dre": "2025-05-12T10:00:00.515Z",
    "cpfProfissional": 21081042320,
    "cadmed": 210810,
    "cid": "I00",
    "tipoLocalExame": 1,
    "capacidadeLaborativa": {
        "did": "2025-03-25T10:00:00.515Z",
        "dii": "2025-03-25T10:00:00.515Z",
        "dcb": "2025-10-01T10:00:00.515Z",
        "recuperacaoCapacidadeLaborativa": 2,
        "possuiIsencaoCarencia": false,
        "passivelReabilitacaoProfissional": false,
        "fazJusAuxilioAcidente": false,
        "possuiRestabelecimento": false
    }
}</t>
  </si>
  <si>
    <t>Processar um requerimento sem carencia minima, mas que não há informação de pendência ou não na autodeclaração do segurado especial</t>
  </si>
  <si>
    <t>NB: 7407777790  Protocolo: 77255144578011 - Orlando
NB: 7407777803  Protocolo: 44312802866011 - Jana
NB: 7407777811  Protocolo: 84640353650011
NB: 7407777820  Protocolo: 84667662603011 - Maurício
NB: 7407777838  Protocolo: 48450637430011 - Andréia
NB: 7407777846  Protocolo: 70845582763011 - Orlando</t>
  </si>
  <si>
    <t>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t>
  </si>
  <si>
    <t>{
    "tipoPericia": 1,
    "tipoInformacaoMedica": 4,
    "protocolo": 77255144578011,
    "protocoloPMF": 77255144578011,
    "tipoConclusaoPericia": 2,
    "dre": "2025-05-12T10:00:00.515Z",
    "cpfProfissional": 21081042320,
    "cadmed": 210810,
    "cid": "I00",
    "tipoLocalExame": 1,
    "capacidadeLaborativa": {
        "did": "2025-03-25T10:00:00.515Z",
        "dii": "2025-03-25T10:00:00.515Z",
        "dcb": "2025-10-01T10:00:00.515Z",
        "recuperacaoCapacidadeLaborativa": 2,
        "possuiIsencaoCarencia": false,
        "passivelReabilitacaoProfissional": false,
        "fazJusAuxilioAcidente": false,
        "possuiRestabelecimento": false
    }
}</t>
  </si>
  <si>
    <t>Processar um requerimento sem carencia minima, mas que CNIS não retornou pendencia na autodeclaração do segurado especial</t>
  </si>
  <si>
    <t>NB: 7407784451 Protocolo: 85327518655012 - Maurício
NB: 7407784460 Protocolo: 32064368000012 - Jana
NB: 7407784478 Protocolo: 44773462639012
NB: 7407784486 Protocolo: 38778004080012
NB: 7407784494 Protocolo: 86871147020012
NB: 7407784508 Protocolo: 72240373385012</t>
  </si>
  <si>
    <t>{
    "tipoPericia": 1,
    "tipoInformacaoMedica": 4,
    "protocolo": 43314760736011,
    "protocoloPMF": 43314760736011,
    "tipoConclusaoPericia": 2,
    "dre": "2025-05-12T10:00:00.515Z",
    "cpfProfissional": 21081042320,
    "cadmed": 210810,
    "cid": "I00",
    "tipoLocalExame": 1,
    "capacidadeLaborativa": {
        "did": "2025-03-25T10:00:00.515Z",
        "dii": "2025-03-25T10:00:00.515Z",
        "dcb": "2025-10-01T10:00:00.515Z",
        "recuperacaoCapacidadeLaborativa": 2,
        "possuiIsencaoCarencia": false,
        "passivelReabilitacaoProfissional": false,
        "fazJusAuxilioAcidente": false,
        "possuiRestabelecimento": false
    }
}</t>
  </si>
  <si>
    <t>Automatização de AAP não pertencente à APS</t>
  </si>
  <si>
    <t>Tentar executar Verificar Pendencia de requerimento BPC com AAP atual que não pertence a APS de manutenção</t>
  </si>
  <si>
    <t>Quando detectada a pendencia de que a AAP não pertença a APS de manutenção o sistema irá mudar a AAP automaticamente no verificar pendencias</t>
  </si>
  <si>
    <t>NB: 7407684996 - Jana
NB: 7406048530 - Orlando
NB: 7405259970 - Maurício
NB: 7405075658 - Andréia
NB: 7405256679 - Maurício
NB: 7405075585</t>
  </si>
  <si>
    <t>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t>
  </si>
  <si>
    <t>Tentar executar Verificar Pendencia de requerimento BI com AAP atual que não pertence a APS de manutenção</t>
  </si>
  <si>
    <t>NB: 7407257990 - Jana
NB: 7403714610 - Orlando
NB: 7405072896 - Maurício
NB: 7407749745 - Andréia
NB: 7401449081
NB: 7405199861</t>
  </si>
  <si>
    <t>Inferir Forma de Convívio</t>
  </si>
  <si>
    <t>Criar requerimento de BPC B87 e tentar DEFERIR informando forma de convívio que não condiz com a composição do grupo familiar</t>
  </si>
  <si>
    <t>O sistema deverá inferir automaticamente a forma de convívio correta e NÃO deverá gerar pendência de forma de convívio e deverá conceder o beneficio caso não exista motivos de indeferimento.</t>
  </si>
  <si>
    <t>CPF: 45294070120 3 PESSOAS Jana
CPF: 54021057668 3 PESSOAS - Andréia
CPF: 00391320998 3 PESSOAS - Orlando
CPF: 28433947915 SOZINHO - Orlando
CPF: 38538199668 SOZINHO - Maurício
CPF: 54213401715 SOZINHO  Jana</t>
  </si>
  <si>
    <r>
      <rPr>
        <sz val="10"/>
        <color rgb="FF000000"/>
        <rFont val="Arial"/>
      </rPr>
      <t xml:space="preserve">Alterar o CPF e PROTOCOLO no JSON (coluna G). 
Alterar a forma de convivio para uma diferente da massa.
Enviar no serviço (http://hsibepuapr01h/sibews/api-test/#!/requerimento/incluirBPC)
</t>
    </r>
    <r>
      <rPr>
        <b/>
        <sz val="10"/>
        <color rgb="FF000000"/>
        <rFont val="Arial"/>
      </rPr>
      <t xml:space="preserve">FORMA DE CONVIVIO:
</t>
    </r>
    <r>
      <rPr>
        <sz val="10"/>
        <color rgb="FF000000"/>
        <rFont val="Arial"/>
      </rPr>
      <t>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t>
    </r>
  </si>
  <si>
    <t xml:space="preserve">{
  "codigoEspecieBeneficio": 87,
  "cpf": 10002595443,
  "protocolo": "10002595443000",
  "cpfRepresentanteLegal": 10002566001,
  "tipoRepresentanteLegal": 1,
  "dataExpedicaoRL": "2026-01-01T19:28:16.793Z",
  "nitProcurador": "26801420273",  
  "implantacaoPadrao": true,
  "idUnidadeOrganica": "11001020",
  "dataSolicitacaoSegurado": "2026-05-28T18:08:05.707Z",
  "tipoLocalMoradia": 0,
  "tipoFormaConvivio": 1,
  "atualizarCadunicoAutomaticamente": false,
  "solicitadoUsuarioAutenticado": false,
  "diferenteSolteiro": false,
  "indicadorIntegranteAusenteCadunicoOuSemCPF": false,
  "codigoOrigem": 0,
  "endereco": "string",
  "cep": 0,
  "municipioIBGE": 10050,
   "existeRendaComprometida": false,
  "existeProtecaoEspecial": false,
  "dependenciaTerceiro": false,
  "autorizaAlteracaoDER": true,
  "recebeBeneficioOutroRegime": false
}
 </t>
  </si>
  <si>
    <t xml:space="preserve">{  
    "codigoEspecieBeneficio": 87,
    "cpf": 12521902632,
    "protocolo": "12521902632",
    "tipoAvaliacao": "1",
    "situacaoPericiaMedica": 0,
    "dataPericia": "2026-05-28T13:50:10.209Z",
    "cid10": "A30",
    "crm": 456456,
    "cadmed": 34524,
    "siapePerito": 34534,
    "localRealizacaoPericia": "Carmela Dutra",
    "nomeServicoPericia": "Serviço Perícia Médica",
    "ordemPericia": 0,
    "impedimentoLongoPrazo": true,
    "agravanteFuncoesCorpo": false,
    "prognosticoDesfavoravel": false,
    "listaAtividadesEParticipacao": [  
        {
            "sigla": "D5",
            "valor": 1
        },
        {  
            "sigla": "D6",  
            "valor": 1  
        },  
        {  
            "sigla": "D7",  
            "valor": 1  
        },  
        {  
            "sigla": "D8",  
            "valor": 1  
        },  
        {  
            "sigla": "D9",  
            "valor": 1  
        }  
    ],  
    "listaFuncoesDoCorpo": [  
        {  
            "sigla": "B1", 
            "valor": 2 
        },  
        {  
            "sigla": "B2",  
            "valor": 2 
        },  
        {  
            "sigla": "B3",  
            "valor": 2  
        },  
        {  
            "sigla": "B4",  
            "valor": 2  
        },  
        {  
           "sigla": "B5",  
            "valor": 2  
        },  
        {  
            "sigla": "B6",  
            "valor": 2  
        },  
        {  
            "sigla": "B7",  
            "valor": 2  
        },  
        {  
            "sigla": "B8",  
            "valor": 2  
        }  
    ]  
}  </t>
  </si>
  <si>
    <t xml:space="preserve">{ 
    "cpf": 12521902632,
    "protocolo": "12521902632",
    "tipoAvaliacao": "1",
    "situacaoAvaliacaoSocial": 0,
    "dataAvaliacaoSocial": "2026-05-28T13:50:10.173Z",
    "cress": 3453,
    "siapeAssistenteSocial": 34534,
    "localRealizacaoAvaliacaoSocial": "Padre Roma",
    "nomeServicoAvaliacaoSocial": "Geovani da Silva",
    "ordemAvaliacaoSocial": 0,
    "listaAtividadesEParticipacao": [
        { 
            "sigla": "D1", 
            "valor": 4 
        }, 
        { 
            "sigla": "D2", 
            "valor": 4 
        }, 
        { 
            "sigla": "D3", 
            "valor": 4 
        }, 
        { 
            "sigla": "D4", 
            "valor": 4 
        } 
    ], 
    "listaFatoresAmbientais": [ 
        { 
            "sigla": "E1", 
            "valor": 4 
        }, 
        { 
            "sigla": "E2", 
            "valor": 4 
        }, 
        { 
            "sigla": "E3", 
            "valor": 4 
        }, 
        { 
            "sigla": "E4", 
            "valor": 4 
        }, 
        { 
            "sigla": "E5", 
            "valor": 4 
        } 
    ] 
} </t>
  </si>
  <si>
    <t>Criar requerimento de BPC B88 e tentar DEFERIR informando forma de convívio que não condiz com a composição do grupo familiar</t>
  </si>
  <si>
    <t>CPF: 68429427643 2 PESSOAS Jana
CPF: 02550572297 2 PESSOAS - Andréia
CPF: 35929664803 2 PESSOAS - Orlando
CPF: 66949639120 SOZINHO Jana
CPF: 57962190655 SOZINHO - Orlando
CPF: 11509545077 SOZINHO  - Maurício</t>
  </si>
  <si>
    <r>
      <rPr>
        <sz val="10"/>
        <color rgb="FF000000"/>
        <rFont val="Arial"/>
      </rPr>
      <t xml:space="preserve">Alterar o CPF e PROTOCOLO no JSON (coluna G). 
Alterar a forma de convivio para uma diferente da massa.
Enviar no serviço (http://hsibepuapr01h/sibews/api-test/#!/requerimento/incluirBPC)
</t>
    </r>
    <r>
      <rPr>
        <b/>
        <sz val="10"/>
        <color rgb="FF000000"/>
        <rFont val="Arial"/>
      </rPr>
      <t xml:space="preserve">FORMA DE CONVIVIO:
</t>
    </r>
    <r>
      <rPr>
        <sz val="10"/>
        <color rgb="FF000000"/>
        <rFont val="Arial"/>
      </rPr>
      <t>1 - SOZINHO("Sozinho"),
	2 - FAMILIA("Com a família"),
	3 - OUTRAS_PESSOAS("Com pessoas que não fazem parte do grupo familiar");</t>
    </r>
  </si>
  <si>
    <t>{
  "codigoEspecieBeneficio": 88,
  "cpf": 88512354739,
  "protocolo": "885123547391111",
  "cpfRepresentanteLegal": 10002566001,
  "tipoRepresentanteLegal": 1,
  "dataExpedicaoRL": "2026-01-01T19:28:16.793Z",
  "nitProcurador": "26801420273",
  "implantacaoPadrao": true,
  "idUnidadeOrganica": "11001020",
  "dataSolicitacaoSegurado": "2026-06-05T18:08:05.707Z",
  "tipoLocalMoradia": 0,
  "tipoFormaConvivio": 1,
  "atualizarCadunicoAutomaticamente": false,
  "solicitadoUsuarioAutenticado": false,
  "diferenteSolteiro": false,
  "indicadorIntegranteAusenteCadunicoOuSemCPF": false,
  "codigoOrigem": 0,
  "endereco": "string",
  "cep": 0,
  "municipioIBGE": 10050,
   "existeRendaComprometida": false,
  "existeProtecaoEspecial": false,
  "dependenciaTerceiro": false,
  "autorizaAlteracaoDER": true,
  "recebeBeneficioOutroRegime": false
}</t>
  </si>
  <si>
    <t>Inserir CNPJ alfanumérico</t>
  </si>
  <si>
    <t>Incluir BI com cidadão com vínculo com CNPJ alfa</t>
  </si>
  <si>
    <t>BI Incluído com sucesso
Vínculo com CNPJ alfa presente nas relações previdenciárias</t>
  </si>
  <si>
    <t>CPF: 88744744668 - Jana
CPF: 41904702449 - Andréia
CPF: 34916793897 - Maurício
CPF: 28102150300 - Maurício
CPF: 88754286891 - Orlando
CPF: 97417815804 - Orlando</t>
  </si>
  <si>
    <t>Alterar o CPF no JSON (coluna G). 
Enviar no serviço (http://hsibepuapr01h/sibews/api-test/#!/requerimento/incluirBI)</t>
  </si>
  <si>
    <t>{
    "codigoEspecieBeneficio": 31,
    "cpf": "88744744668",
    "protocolo": "125867851850",
    "dataSolicitacaoSegurado": "2026-01-01T10:00:00.515Z",
    "idUnidadeOrganica": "11001020",
    "codigoOrigem": 0,
    "indicacaoAfastamento": true,
    "reclusoRegimeFechado": false
}</t>
  </si>
  <si>
    <t>Não</t>
  </si>
  <si>
    <t>Consultar BI que não possui CNPJ alfa e na reimportação aparecer o CNPJ alfa</t>
  </si>
  <si>
    <t>BI com reimportação realizada com sucesso
Vínculo com CNPJ alfa presente nas relações previdenciárias</t>
  </si>
  <si>
    <t>Receber perícia indicando nexo no CPNJ alfa</t>
  </si>
  <si>
    <t>BI com perícia recebida indicando o CNPJ alfa com nexo</t>
  </si>
  <si>
    <t>{
    "codigoEspecieBeneficio": 31,
    "cpf": "25867851850",
    "protocolo": "125867851850",
    "dataSolicitacaoSegurado": "2026-01-01T10:00:00.515Z",
    "idUnidadeOrganica": "11001020",
    "codigoOrigem": 0,
    "indicacaoAfastamento": true,
    "reclusoRegimeFechado": false
}</t>
  </si>
  <si>
    <t>{
    "tipoPericia": 1,
    "tipoInformacaoMedica": 4,
    "protocolo": "084141558800",
    "protocoloPMF": "084141558800",
    "tipoConclusaoPericia": 2,
    "dre": "2026-04-10T10:00:00.515Z",
    "cpfProfissional": 21081042320,
    "cadmed": 210810,
    "cid": "I00",
    "tipoLocalExame": 1,
    "capacidadeLaborativa": {
        "did": "2026-04-10T10:00:00.515Z",
        "dii": "2026-04-10T10:00:00.515Z",
        "dcb": "2026-05-10T10:00:00.515Z",
        "recuperacaoCapacidadeLaborativa": 2,
        "possuiIsencaoCarencia": false,
        "possuiIndicacaoMajoracao": false,
        "possuiIsencaoIR": false,
        "passivelReabilitacaoProfissional": false,
        "fazJusAuxilioAcidente": false,
        "possuiRestabelecimento": false
    },
    "vinculosIncapacidade": [
        {
            "tipoEmpregador": 1,
            "documentoEmpregador": "08627416000146",
            "idClasseCNAE2": 5510,
            "nuDVClasseCNAE2": 8,
            "dataInicio": "2013-05-07T18:43:56.438Z"
        },
        {
            "tipoEmpregador": 1,
            "documentoEmpregador": "22615577000140",
            "idClasseCNAE2": 5611,
            "nuDVClasseCNAE2": 2,
            "dataInicio": "2022-11-22T18:43:56.438Z"
        }
    ]
}</t>
  </si>
  <si>
    <t>Reconhecer direito do BI com CNPJ alfa</t>
  </si>
  <si>
    <t>BI reconhecido e implantado com acidentário</t>
  </si>
  <si>
    <t>Incluir BPC com cidadão com vínculo com CNPJ alfa</t>
  </si>
  <si>
    <t>BPC Incluído com sucesso
Vínculo com CNPJ alfa presente nas relações previdenciárias</t>
  </si>
  <si>
    <t>CPF: 6907298635
CPF: 19084340400 — Andréia
CPF: 81931310530 - Maurício
CPF: 97606928800
CPF: 62453335553 - Orlando</t>
  </si>
  <si>
    <t>Alterar o CPF no JSON (coluna G). 
Enviar no serviço (http://hsibepuapr01h/sibews/api-test/#!/requerimento/incluirBPC)</t>
  </si>
  <si>
    <t>{
"codigoEspecieBeneficio": 87,
"cpf": "14933127905",
"protocolo": "214933127905",
"autorizaAlteracaoDER": true,
"idUnidadeOrganica": "11001020",
"dataSolicitacaoSegurado": "2026-06-06T21:38:51.486Z",
"atualizarCadunicoAutomaticamente": false,
"existeRendaComprometida": false,
"tipoLocalMoradia": 0,
"tipoFormaConvivio": 0,
    "grupoFamiliar": [
    ]
}</t>
  </si>
  <si>
    <t>{
    "codigoEspecieBeneficio": 87,
    "cpf": "36557057006",
    "protocolo": "336557057006",
    "situacaoPericiaMedica": 0,
    "dataPericia": "2026-06-26T13:50:10.209Z",
    "cid10": "A30",
    "crm": 456456,
    "cadmed": 34524,
    "siapePerito": 34534,
    "localRealizacaoPericia": "Carmela Dutra",
    "nomeServicoPericia": "Serviço Perícia Médica",
    "ordemPericia": 0,
    "impedimentoLongoPrazo": true,
    "agravanteFuncoesCorpo": true,
    "prognosticoDesfavoravel": false,
    "listaAtividadesEParticipacao": [
        {
            "sigla": "D5",
            "valor": 3
        },
        {
            "sigla": "D6",
            "valor": 3
        },
        {
            "sigla": "D7",
            "valor": 3
        },
        {
            "sigla": "D8",
            "valor": 3
        },
        {
            "sigla": "D9",
            "valor": 3
        }
    ],
    "listaFuncoesDoCorpo": [
        {
            "sigla": "B1",
            "valor": 4
        },
        {
            "sigla": "B2",
            "valor": 4
        },
        {
            "sigla": "B3",
            "valor": 4
        },
        {
            "sigla": "B4",
            "valor": 4
        },
        {
            "sigla": "B5",
            "valor": 4
        },
        {
            "sigla": "B6",
            "valor": 4
        },
        {
            "sigla": "B7",
            "valor": 4
        },
        {
            "sigla": "B8",
            "valor": 4
        }
    ]
}</t>
  </si>
  <si>
    <t>Consultar BPC que não possui CNPJ alfa e na reimportação aparecer o CNPJ alfa</t>
  </si>
  <si>
    <t>BPC com reimportação realizada com sucesso
Vínculo com CNPJ alfa presente nas relações previdenciárias</t>
  </si>
  <si>
    <t>Receber avaliação conjunta</t>
  </si>
  <si>
    <t>BPC com avaliação conjunta favorável</t>
  </si>
  <si>
    <t>Reconhecer direito do BPC com CNPJ alfa</t>
  </si>
  <si>
    <t>BPC reconhecido e implantado</t>
  </si>
  <si>
    <t>Criar requerimento de B31 com indicador de reintegração IVIN-REINTEG-PARC-PROC-TRAB</t>
  </si>
  <si>
    <t>No componente Extrato Laboral, o Sibe deve descartar o periodo de afastamento</t>
  </si>
  <si>
    <t>16074048851
07369245829
25018185805
06244933850</t>
  </si>
  <si>
    <t>No SIBE, acessar o simulador (https://hsibepuapr01h.prevnet/PortalSibe/pages/simulador/simular.xhtml#sibe)
Selecionar o requerimento do tipo B31 e inserir o CPF.</t>
  </si>
  <si>
    <t>Criar requerimento de B32 com indicador de reintegração IVIN-REINTEG-PARC-PROC-TRAB</t>
  </si>
  <si>
    <t>No SIBE, acessar o simulador (https://hsibepuapr01h.prevnet/PortalSibe/pages/simulador/simular.xhtml#sibe)
Selecionar o requerimento do tipo B32 e inserir o CPF.</t>
  </si>
  <si>
    <t>Criar requerimento de B91 com indicador de reintegração IVIN-REINTEG-PARC-PROC-TRAB</t>
  </si>
  <si>
    <t>No SIBE, acessar o simulador (https://hsibepuapr01h.prevnet/PortalSibe/pages/simulador/simular.xhtml#sibe)
Selecionar o requerimento do tipo B91 e inserir o CPF.</t>
  </si>
  <si>
    <t>Criar requerimento de B92 com indicador de reintegração IVIN-REINTEG-PARC-PROC-TRAB</t>
  </si>
  <si>
    <t>No SIBE, acessar o simulador (https://hsibepuapr01h.prevnet/PortalSibe/pages/simulador/simular.xhtml#sibe)
Selecionar o requerimento do tipo B92 e inserir o CPF.</t>
  </si>
  <si>
    <t>Criar requerimento de B31 com indicador de reintegração 
IVIN_REINTEG_OUTROSTIPOS</t>
  </si>
  <si>
    <t>Criar requerimento de B32 com indicador de reintegração 
IVIN_REINTEG_OUTROSTIPOS</t>
  </si>
  <si>
    <t>Criar requerimento de B91 com indicador de reintegração
IVIN_REINTEG_OUTROSTIPOS</t>
  </si>
  <si>
    <t>Criar requerimento de B92 com indicador de reintegração 
IVIN_REINTEG_OUTROSTIPOS</t>
  </si>
  <si>
    <t>Criar requerimento de B31 com indicador de reintegração 
IVIN_REINTEG_ANISTIA</t>
  </si>
  <si>
    <t>No componente Extrato Laboral, o Sibe deve descartar todo o vínculo</t>
  </si>
  <si>
    <t>Criar requerimento de B32 com indicador de reintegração 
IVIN_REINTEG_ANISTIA</t>
  </si>
  <si>
    <t>Criar requerimento de B91 com indicador de reintegração 
IVIN_REINTEG_ANISTIA</t>
  </si>
  <si>
    <t>Criar requerimento de B92 com indicador de reintegração 
IVIN_REINTEG_ANISTIA</t>
  </si>
  <si>
    <t>FIM</t>
  </si>
  <si>
    <t>Janaína Brissow Fruet</t>
  </si>
  <si>
    <t>janaina.fruet@inss.gov.br</t>
  </si>
  <si>
    <t>NB: 7407777412 Protocolo: 57355824538011- NB 7407777439 
NB 740.778.461-3</t>
  </si>
  <si>
    <t xml:space="preserve">Conforme o esperado, após o lançamento da perícia, houve a atualização automática das relações previdenciárias. 
Não apresentou o extrato laboral.
Em reteste rm 11/08, reimportou  vínculo e gerou extrato e foi pro reconhecimento de direito. 
Entretanto, geraou uma Falha de processamento por falta de DUT. </t>
  </si>
  <si>
    <t xml:space="preserve">Regra 218579: item 13, quando o vínculo estiver fechado, exige DUT apenas se entre DER e DII tiver transcorrido menos de 30 dias.
Não deveria criticar na fase de reconhecimento de direito. </t>
  </si>
  <si>
    <t xml:space="preserve">NB: 7407777960 Protocolo: 29174751379 
NB: 7407778249 Protocolo: 30414226461011 </t>
  </si>
  <si>
    <t>Conforme o esperado, após o lançamento da perícia, houve a atualização automática das relações previdenciárias. 
Não apresentou o extrato laboral.</t>
  </si>
  <si>
    <t>NB: 7407777471 - Jana</t>
  </si>
  <si>
    <t>Conforme o esperado, gerou pendência de confirmação dos vínculos. 
"Confirmar relações previdenciárias do segurado ou a ausência delas
Observações: Vínculos do Segurado alterados"</t>
  </si>
  <si>
    <t>NB 7407777552</t>
  </si>
  <si>
    <t xml:space="preserve">NB: 7407777676  Protocolo: 31207580864011 </t>
  </si>
  <si>
    <t xml:space="preserve">Requerimento indeferido sem gerar pendências. </t>
  </si>
  <si>
    <t>NB: 7407777730 Protocolo:  55727252857011
NB: 7407784753 Protocolo: 03515152679012</t>
  </si>
  <si>
    <t>Massa não tem indicação de Períodos de Segurado Especial Pendente.
Reteste em 12/08: Apresentada pendência:
"Confirmar relações previdenciárias do segurado ou a ausência delas
Observações: Possui período Segurado Especial pendente"</t>
  </si>
  <si>
    <t>NB: 7407777803  Protocolo: 44312802866011</t>
  </si>
  <si>
    <t xml:space="preserve">Conforme o esperado, requerimento indeferido sem criação de pendência. </t>
  </si>
  <si>
    <t>NB: 7407784460 Protocolo: 32064368000012 -</t>
  </si>
  <si>
    <t xml:space="preserve">Massa não tem indicação de Períodos de Segurado Especial Pendente
Reteste em 12/08: Requerimento indeferido devido flag de período de SE pedendente ser negativa. </t>
  </si>
  <si>
    <t xml:space="preserve">NB: 7407684996 </t>
  </si>
  <si>
    <t xml:space="preserve">Conforme esperado, ao clicar em verificar pendências, foi alterada automaticamente a AAP para uma válida para a respectiva APS. </t>
  </si>
  <si>
    <t>NB: 7407257990</t>
  </si>
  <si>
    <t>CPF: 45294070120 3 PESSOAS
NB 7407778150</t>
  </si>
  <si>
    <t xml:space="preserve">{
  "codigoEspecieBeneficio": 87,
  "cpf": 45294070120,
  "protocolo": "4529407012099",
  "cpfRepresentanteLegal": 10002566001,
  "tipoRepresentanteLegal": 1,
  "dataExpedicaoRL": "2026-01-01T19:28:16.793Z",
  "nitProcurador": "26801420273",  
  "implantacaoPadrao": true,
  "idUnidadeOrganica": "11001020",
  "dataSolicitacaoSegurado": "2026-05-28T18:08:05.707Z",
  "tipoLocalMoradia": 0,
  "tipoFormaConvivio": 1,
  "atualizarCadunicoAutomaticamente": false,
  "solicitadoUsuarioAutenticado": false,
  "diferenteSolteiro": false,
  "indicadorIntegranteAusenteCadunicoOuSemCPF": false,
  "codigoOrigem": 0,
  "endereco": "string",
  "cep": 0,
  "municipioIBGE": 10050,
   "existeRendaComprometida": false,
  "existeProtecaoEspecial": false,
  "dependenciaTerceiro": false,
  "autorizaAlteracaoDER": true,
  "recebeBeneficioOutroRegime": false
}
 </t>
  </si>
  <si>
    <t>CPF: 54213401715 SOZINHO
NB 7407785067</t>
  </si>
  <si>
    <t xml:space="preserve">Enviei o json de forma de convício em família para apenas um integrante do grupo familiar, Sibe corretamente corrigiu a forma de convívio para sozinho. </t>
  </si>
  <si>
    <t>CPF: 68429427643 2 PESSOAS
NB 7407785083</t>
  </si>
  <si>
    <t>Sibe ajusta a forma de convício a quantidade de pessoas da familia filtrada</t>
  </si>
  <si>
    <t>CPF: 66949639120 SOZINHO
NB 7407785130</t>
  </si>
  <si>
    <t xml:space="preserve">Informada forma de convívio 2 - com a familia e requerente sozinho na família filtrada. Sibe ajustou automatica. </t>
  </si>
  <si>
    <t>Recebeu os dados</t>
  </si>
  <si>
    <t>Andréia Cristina da Silva Moukakou</t>
  </si>
  <si>
    <r>
      <rPr>
        <strike/>
        <sz val="10"/>
        <color rgb="FF000000"/>
        <rFont val="Arial"/>
      </rPr>
      <t>NB: 7407777463 Protocolo: 20210438355011</t>
    </r>
    <r>
      <rPr>
        <sz val="10"/>
        <color rgb="FF000000"/>
        <rFont val="Arial"/>
      </rPr>
      <t xml:space="preserve"> — NB: 7407778354 Protocolo: 57355824538012 -  Andréia</t>
    </r>
  </si>
  <si>
    <r>
      <rPr>
        <strike/>
        <sz val="11"/>
        <color rgb="FFFF0000"/>
        <rFont val="Calibri"/>
        <scheme val="minor"/>
      </rPr>
      <t>1 - Não apresentou o extrato laboral:  
Extrato laboral não encontrado(a).</t>
    </r>
    <r>
      <rPr>
        <sz val="11"/>
        <color rgb="FFFF0000"/>
        <rFont val="Calibri"/>
        <scheme val="minor"/>
      </rPr>
      <t xml:space="preserve"> </t>
    </r>
    <r>
      <rPr>
        <sz val="11"/>
        <color rgb="FF000000"/>
        <rFont val="Calibri"/>
        <scheme val="minor"/>
      </rPr>
      <t xml:space="preserve">2- Após o lançamento da perícia atualizou autometicamente as relações previdenciárias — </t>
    </r>
    <r>
      <rPr>
        <b/>
        <sz val="11"/>
        <color rgb="FF000000"/>
        <rFont val="Calibri"/>
        <scheme val="minor"/>
      </rPr>
      <t>Reteste em 11/8/2026</t>
    </r>
  </si>
  <si>
    <r>
      <rPr>
        <strike/>
        <sz val="10"/>
        <color rgb="FF000000"/>
        <rFont val="Arial"/>
      </rPr>
      <t>NB: 7407778290 Protocolo: 68550302546011</t>
    </r>
    <r>
      <rPr>
        <sz val="10"/>
        <color rgb="FF000000"/>
        <rFont val="Arial"/>
      </rPr>
      <t xml:space="preserve"> NB: 7407778257 Protocolo: 47508034805011 - Andréia</t>
    </r>
  </si>
  <si>
    <t>Reteste em 11/8/2026</t>
  </si>
  <si>
    <t>NB: 7407777510</t>
  </si>
  <si>
    <t xml:space="preserve">Após indicar para concluir, Sibe retornou com:  Confirmar relações previdenciárias do segurado ou a ausência delas
Observações: Vínculos do Segurado alterados </t>
  </si>
  <si>
    <t>NB: 7407777587</t>
  </si>
  <si>
    <t xml:space="preserve">Após indicar para concluir, o Sibe retornou com:  Confirmar relações previdenciárias do segurado ou a ausência delas
Observações: Vínculos do Segurado alterados </t>
  </si>
  <si>
    <t>NB: 7407777714  Protocolo: 87342216895011</t>
  </si>
  <si>
    <t>Campo: Segurado realizou alterações nos vínculos - resp 
Não — Ao lançao a perícia o benefício foi automaticamente indeferido</t>
  </si>
  <si>
    <t>NB: 7407777757 Protocolo:  64261830086011 — NB: 7407778281 Protocolo: 46116873685011 - Andréia — NB: 7407784761 Protocolo: 35744234705012 - Andréia</t>
  </si>
  <si>
    <t xml:space="preserve"> Confirmar relações previdenciárias do segurado ou a ausência delas
Observações: Possui período Segurado Especial pendente
</t>
  </si>
  <si>
    <t>NB: 7407777838 Protocolo: 48450637430011</t>
  </si>
  <si>
    <t>Ausente indicação de período pendente, após o cadastro da perícia o benefício foi automaticamente indeferido.</t>
  </si>
  <si>
    <t xml:space="preserve">NB 7407777889  Protocolo: 76242181860011 </t>
  </si>
  <si>
    <t>Não consta informação de período de Segurado Especial pendente - Após cadastro da perícia o benefício foi indeferido.</t>
  </si>
  <si>
    <t>NB: 7405075658 - Andréia</t>
  </si>
  <si>
    <r>
      <rPr>
        <sz val="11"/>
        <color rgb="FF000000"/>
        <rFont val="Calibri"/>
        <scheme val="minor"/>
      </rPr>
      <t xml:space="preserve">Pendências pelo botão detalhar(olho): 
Operação concluir não permitida. Motivo : Campo Local de Convívio deve ser preenchido.
Operação concluir não permitida. Motivo ARLETE FONSECA SILVA NIT 1.286.621.634-4 CPF 029.677.326-30 sem parentesco definido.
Operação concluir não permitida. Motivo : CADUNICO não atualizado dentro do período definido. Data da última atualização no CADUNICO 14/08/2019, expirada há mais de 60 meses. Operação concluir requerimento não permitida. Motivo AAP atual não pertence a APS de manutenção. Exigência: Verificar a origem do benefício informado no CadÚnico para análise de inacumulabilidade. Participante: JOAO BATISTA DA SILVA Vinculação: 04/08/2026 encontra-se na Situação: Pendente.  </t>
    </r>
    <r>
      <rPr>
        <sz val="11"/>
        <color rgb="FF4472C4"/>
        <rFont val="Calibri"/>
        <scheme val="minor"/>
      </rPr>
      <t>Ao detalhar pelo lapis (Alterar) - A pendência da AAP não foi incicada</t>
    </r>
  </si>
  <si>
    <t>NB: 7407749745</t>
  </si>
  <si>
    <t>Ao detalhar pelo olho:
Operação concluir requerimento não permitida. Motivo AAP atual não pertence a APS de manutenção.
Ao detalhar pelo lapis não estava mais pendente - automático</t>
  </si>
  <si>
    <t>CPF: 54021057668 3 PESSOAS - Andréia NB 7407784176, REQ 10002595443100</t>
  </si>
  <si>
    <t>Sistema detecta automaticamente a forma de convivio: Inicialmente quando tem mais de uma pessoa ele assume "Com a família". Quando alterei o vinculo para categoria que seria desconsiderada "Outros", ele atualiza para "Sozinho"</t>
  </si>
  <si>
    <t>CPF: 02550572297 2 PESSOAS - NB 7407785121 - Andréia</t>
  </si>
  <si>
    <t xml:space="preserve">CPF: 98515759764 SOZINHO - NB 7407785148 </t>
  </si>
  <si>
    <t>CPF: 41904702449 NB: 7407785180 - Andréia</t>
  </si>
  <si>
    <t xml:space="preserve">NB: 7407785180 
CPF: 41904702449
CNPJ no CNIS 4M.CNL.GRF
CNPJ apresentado no SIBE: 4M.CNL.GRF/0001-66 </t>
  </si>
  <si>
    <t>CPF: 19084340400 - CNPJ: SO.B2G.47O/0001-37  -  NB 7407785229 — Andréia</t>
  </si>
  <si>
    <t>Orlando Dorea de Santana</t>
  </si>
  <si>
    <t>orlando.santana@inss.gov.br</t>
  </si>
  <si>
    <t>NB: 7407777455 Protocolo: 04313364587011 - Orlando</t>
  </si>
  <si>
    <t>Ultima importação CNIS 06/08
Após jason - Migou dados do CNIS 10/08</t>
  </si>
  <si>
    <t>NB: 7407778010 Protocolo: 08358384556 - Orlando</t>
  </si>
  <si>
    <t>Ultima importação CNIS 07/08
Após jason = protocolo correto 08358384556011
Migou dados do CNIS 10/08</t>
  </si>
  <si>
    <t>NB: 7407777498 - Orlando</t>
  </si>
  <si>
    <t>Segurado realizou alterações nos vínculos
"Sim"
Retornou "Vinculos segurado Alterado" 
Não Consta dados da migração na data de hoje
Processado Indef Adm</t>
  </si>
  <si>
    <t>Qual o proposito de gerar essa Pendencia?
Sistema não efetuou a migração dos dados do CNIS.
Se o proposito for forçar a analise dos vínculos, mudar a msg de alerta para uma já existente "caso para indeferimento, avalie ajustes de vínculos ou confirme para prosseguimento"</t>
  </si>
  <si>
    <t>NB: 7407777544 - Orlando</t>
  </si>
  <si>
    <t>Segurado realizou alterações nos vínculos 
"- "
Retornou "Vinculos segurado Alterado" 
Idem ao anterior
Processado Indef Adm</t>
  </si>
  <si>
    <t>Idem ao anterior</t>
  </si>
  <si>
    <t>NB: 7407777722  Protocolo: 45525161168011 - Orlando</t>
  </si>
  <si>
    <t>Segurado realizou alterações nos vínculos 
"Não "
Jason enviado
Migrou dados CNIS
Processou automático
Indef Adm</t>
  </si>
  <si>
    <t>NB: 7407777781 Protocolo:  52763731678011 - Orlando
NB: 7407784389 Protocolo: 45567174772012 - Orlando
NB: 7407784397 Protocolo: 36077005673012 - Orlando</t>
  </si>
  <si>
    <r>
      <rPr>
        <sz val="11"/>
        <color rgb="FF000000"/>
        <rFont val="Calibri"/>
        <scheme val="minor"/>
      </rPr>
      <t xml:space="preserve">Reteste 11/08
Possui período de Segurado Especial pendente
"Sim"
Json Enviado = Migrou dados CNIS
</t>
    </r>
    <r>
      <rPr>
        <b/>
        <sz val="11"/>
        <color rgb="FF000000"/>
        <rFont val="Calibri"/>
        <scheme val="minor"/>
      </rPr>
      <t>Pendente Possui período Seg Esp Pendente [Confirmar]</t>
    </r>
  </si>
  <si>
    <t>NB: 7407777790  Protocolo: 77255144578011 - Orlando
NB: 7407777846  Protocolo: 70845582763011 - Orlando</t>
  </si>
  <si>
    <t>Possui período de Segurado Especial pendente
" - "
Json Enviado
Migrou dados CNIS
Processou automático
Indef Adm Sem gerar Pend</t>
  </si>
  <si>
    <t>NB: 7407777897  Protocolo: 52783531046011 - Orlando</t>
  </si>
  <si>
    <t>Segurado realizou alterações nos vínculos 
"Não"
Json Enviado
Migrou dados CNIS
Processou automático
Indef Adm Sem gerar Pend</t>
  </si>
  <si>
    <t>NB: 7406048530 - Orlando</t>
  </si>
  <si>
    <t>OL 05001050
OP de Belo Horizonte
Detalhes erro de AAP retornado
Alterando: erro de AAP, Forma de pagamento alterada quando acionamos o Verificar Pendencias 
Sistema escolheu AAP no mesmo OL de Manut</t>
  </si>
  <si>
    <t>NB: 7403714610 - Orlando</t>
  </si>
  <si>
    <t>OL 14024060
OP inválido e em branco
Detalhes: erro de AAP retornado
Alterando: erro de AAP, Forma de pagamento alterada quando acionamos o Verificar Pendencias 
Sistema escolheu AAP no mesmo OL de Manut</t>
  </si>
  <si>
    <t>Sistema escolheu Cidade diferente da APS Manut, e diferente do endereo do segurado.
Sugestão de Manter pelo menos na APS escolhida pois dependendo da região poderá haver distancias grandes, ou escolher de acordo com o CEP do benef.</t>
  </si>
  <si>
    <t>CPF: 00391320998 3 PESSOAS - Orlando
CPF: 28433947915 SOZINHO - Orlando</t>
  </si>
  <si>
    <r>
      <rPr>
        <sz val="11"/>
        <color rgb="FF000000"/>
        <rFont val="Calibri"/>
        <scheme val="minor"/>
      </rPr>
      <t xml:space="preserve">Cpf 00391320998 - </t>
    </r>
    <r>
      <rPr>
        <b/>
        <sz val="11"/>
        <color rgb="FF000000"/>
        <rFont val="Calibri"/>
        <scheme val="minor"/>
      </rPr>
      <t xml:space="preserve">NB 7407778320 
</t>
    </r>
    <r>
      <rPr>
        <sz val="11"/>
        <color rgb="FF000000"/>
        <rFont val="Calibri"/>
        <scheme val="minor"/>
      </rPr>
      <t xml:space="preserve">Criado Forma Convívio 1 Sozinho
Ao consultar sistema já aparecia "Com a Familia"
Mas não Definiu o vínculo (filho e conjuge) sozinho gerando outra pendencia
Cpf 28433947915 - NB </t>
    </r>
    <r>
      <rPr>
        <b/>
        <sz val="11"/>
        <color rgb="FF000000"/>
        <rFont val="Calibri"/>
        <scheme val="minor"/>
      </rPr>
      <t xml:space="preserve">7407778338 
</t>
    </r>
    <r>
      <rPr>
        <sz val="11"/>
        <color rgb="FF000000"/>
        <rFont val="Calibri"/>
        <scheme val="minor"/>
      </rPr>
      <t>Criado FConvívio 2 Com a Família
Ao consultar sistema já aparecia "sozinho"
Parou na Biometria</t>
    </r>
  </si>
  <si>
    <t>Ambos protocolos criado via Json com Forma de convívio diferente do indicado na massa, mas ao consultar o NB o campo já estava corrigido não nos trazendo certeza da ação. Interessante criar um histórico idicando que o NB entrou com forma de convívio diferente do apurado.</t>
  </si>
  <si>
    <t>CPF: 35929664803 2 PESSOAS - Orlando
CPF: 57962190655 SOZINHO - Orlando</t>
  </si>
  <si>
    <r>
      <rPr>
        <sz val="11"/>
        <color rgb="FF000000"/>
        <rFont val="Calibri"/>
        <scheme val="minor"/>
      </rPr>
      <t xml:space="preserve">Cpf 35929664803 - NB </t>
    </r>
    <r>
      <rPr>
        <b/>
        <sz val="11"/>
        <color rgb="FF000000"/>
        <rFont val="Calibri"/>
        <scheme val="minor"/>
      </rPr>
      <t xml:space="preserve">7407778427 
</t>
    </r>
    <r>
      <rPr>
        <sz val="11"/>
        <color rgb="FF000000"/>
        <rFont val="Calibri"/>
        <scheme val="minor"/>
      </rPr>
      <t xml:space="preserve">Criado FConvívio 1 Sozinho
Ao consultar já estava "Com a Familia"
Não definiu o vinculo Parentesco
Cpf 57962190655 - NB </t>
    </r>
    <r>
      <rPr>
        <b/>
        <sz val="11"/>
        <color rgb="FF000000"/>
        <rFont val="Calibri"/>
        <scheme val="minor"/>
      </rPr>
      <t xml:space="preserve">7407778435
</t>
    </r>
    <r>
      <rPr>
        <sz val="11"/>
        <color rgb="FF000000"/>
        <rFont val="Calibri"/>
        <scheme val="minor"/>
      </rPr>
      <t>Criado FConvívio 2 ComFamilia
Parou na Biometria</t>
    </r>
  </si>
  <si>
    <t>acima</t>
  </si>
  <si>
    <r>
      <rPr>
        <sz val="10"/>
        <color rgb="FF000000"/>
        <rFont val="Arial"/>
      </rPr>
      <t xml:space="preserve">CPF: 88754286891 - Orlando
CPF: 97417815804 - </t>
    </r>
    <r>
      <rPr>
        <b/>
        <sz val="10"/>
        <color rgb="FFFF0000"/>
        <rFont val="Arial"/>
      </rPr>
      <t>Orlando Cpf registrado em 2 NITs na base de testes ERRO</t>
    </r>
  </si>
  <si>
    <r>
      <rPr>
        <sz val="11"/>
        <color rgb="FF000000"/>
        <rFont val="Calibri"/>
        <scheme val="minor"/>
      </rPr>
      <t xml:space="preserve">NB 7407785105
Cnpj 4M.CNL.GRF/0001-66 
Vinculo com </t>
    </r>
    <r>
      <rPr>
        <b/>
        <sz val="11"/>
        <color rgb="FF000000"/>
        <rFont val="Calibri"/>
        <scheme val="minor"/>
      </rPr>
      <t xml:space="preserve">pendencia </t>
    </r>
    <r>
      <rPr>
        <sz val="11"/>
        <color rgb="FF000000"/>
        <rFont val="Calibri"/>
        <scheme val="minor"/>
      </rPr>
      <t xml:space="preserve">de Rem antes da data da criação do CNPJ
</t>
    </r>
    <r>
      <rPr>
        <b/>
        <sz val="11"/>
        <color rgb="FF000000"/>
        <rFont val="Calibri"/>
        <scheme val="minor"/>
      </rPr>
      <t>Descartado corretamente</t>
    </r>
  </si>
  <si>
    <t>CPF: 62453335553 - Orlando</t>
  </si>
  <si>
    <t>87/7407785512 
Proessado</t>
  </si>
  <si>
    <t>{
"codigoEspecieBeneficio": 87,
"cpf": "14933127905",
"protocolo": "214933127905",
"autorizaAlteracaoDER": true,
"idUnidadeOrganica": "11001020",
"dataSolicitacaoSegurado": "2026-04-05T21:38:51.486Z",
"atualizarCadunicoAutomaticamente": false,
"existeRendaComprometida": false,
"tipoLocalMoradia": 0,
"tipoFormaConvivio": 0,
    "grupoFamiliar": [
    ]
}</t>
  </si>
  <si>
    <t>{
    "codigoEspecieBeneficio": 87,
    "cpf": "36557057006",
    "protocolo": "336557057006",
    "situacaoPericiaMedica": 0,
    "dataPericia": "2026-04-25T13:50:10.209Z",
    "cid10": "A30",
    "crm": 456456,
    "cadmed": 34524,
    "siapePerito": 34534,
    "localRealizacaoPericia": "Carmela Dutra",
    "nomeServicoPericia": "Serviço Perícia Médica",
    "ordemPericia": 0,
    "impedimentoLongoPrazo": true,
    "agravanteFuncoesCorpo": true,
    "prognosticoDesfavoravel": false,
    "listaAtividadesEParticipacao": [
        {
            "sigla": "D5",
            "valor": 3
        },
        {
            "sigla": "D6",
            "valor": 3
        },
        {
            "sigla": "D7",
            "valor": 3
        },
        {
            "sigla": "D8",
            "valor": 3
        },
        {
            "sigla": "D9",
            "valor": 3
        }
    ],
    "listaFuncoesDoCorpo": [
        {
            "sigla": "B1",
            "valor": 4
        },
        {
            "sigla": "B2",
            "valor": 4
        },
        {
            "sigla": "B3",
            "valor": 4
        },
        {
            "sigla": "B4",
            "valor": 4
        },
        {
            "sigla": "B5",
            "valor": 4
        },
        {
            "sigla": "B6",
            "valor": 4
        },
        {
            "sigla": "B7",
            "valor": 4
        },
        {
            "sigla": "B8",
            "valor": 4
        }
    ]
}</t>
  </si>
  <si>
    <t>Mauricio Rodrigues dos Santos</t>
  </si>
  <si>
    <t>mauricio.rsantos@inss.gov.br</t>
  </si>
  <si>
    <t>NB: 7407777420 Protocolo: 11760024813011 NB: 7407778370 Protocolo: 11760024813012</t>
  </si>
  <si>
    <t xml:space="preserve"> Resteste realizado em 11/08/2026 e comportamento conforme o esperado.</t>
  </si>
  <si>
    <t xml:space="preserve">NB: 7407778265 Protocolo: 04077803357011 NB: 7407778265 Protocolo: 04077803357011 NB: 7407778311 Protocolo: 73166654240011
</t>
  </si>
  <si>
    <t xml:space="preserve">Conforme esperado. Novos testes dos NBs 7407778265 e 7407778311 (realizados em 11/08) </t>
  </si>
  <si>
    <t>NB: 7407777501 NB: 7407777528</t>
  </si>
  <si>
    <t xml:space="preserve">Conforme o esperado. </t>
  </si>
  <si>
    <t>NB: 7407777579 e NB: 7407777595</t>
  </si>
  <si>
    <t>NB: 7407777692  Protocolo: 43341828605011 e NB: 7407777706  Protocolo: 48783866817011</t>
  </si>
  <si>
    <t>NB: 7407777765 Protocolo:  51466587571011 Reteste NB: 7407784303 Protocolo: 27855964800012</t>
  </si>
  <si>
    <t xml:space="preserve">O benefício foi indeferido sem nenhuma pendência. Reteste realizado em 11/08/2026 e o comportamento foi conforme o esperado. </t>
  </si>
  <si>
    <t>NB: 7407777820  Protocolo: 84667662603011</t>
  </si>
  <si>
    <t>NB: 7407777854  Protocolo: 43314760736011 NB 7407784311</t>
  </si>
  <si>
    <t>NB: 7405259970 NB: 7405256679</t>
  </si>
  <si>
    <t>NB: 7405072896</t>
  </si>
  <si>
    <t>CPF: 38538199668 SOZINHO</t>
  </si>
  <si>
    <t xml:space="preserve">CPF: 11509545077 SOZINHO  </t>
  </si>
  <si>
    <t xml:space="preserve">CPF: 28102150300 e CPF: 34916793897 </t>
  </si>
  <si>
    <t>CPF: 81931310530</t>
  </si>
  <si>
    <t>Total Sugestões:</t>
  </si>
  <si>
    <t>Aceitas</t>
  </si>
  <si>
    <t>Concluídas</t>
  </si>
  <si>
    <t>Impeditivo produção</t>
  </si>
  <si>
    <t>Sistema</t>
  </si>
  <si>
    <t>Avaliação</t>
  </si>
  <si>
    <t>Aceita</t>
  </si>
  <si>
    <t>Impeditivo para produção?</t>
  </si>
  <si>
    <t>Item de backlog</t>
  </si>
  <si>
    <t>Melhoria SUB?</t>
  </si>
  <si>
    <t>CT 3 - 7407777498 = Reavaliar o proposito de gerar essa Pendencia?
Sistema não efetuou a migração dos dados do CNIS.
Se o proposito for forçar a analise dos vínculos, mudar a msg de alerta para semelhante uma já existente "caso para indeferimento, avalie ajustes de vínculos ou confirme para prosseguimento"</t>
  </si>
  <si>
    <t>Orlando</t>
  </si>
  <si>
    <t>SIBE</t>
  </si>
  <si>
    <t>DTP: o proposito da pendencia é evitar indeferimento indevido quando o segurado indica necessidad de alteração de vinculos</t>
  </si>
  <si>
    <t>CT 10 - 7403714610 - Sistema escolheu O Banco/AAP ou OP em Cidade diferente da APS Manut, e diferente do endereo do segurado (Massa CNIS = BH).
Sugestão de Manter pelo menos na CIDADE DA APS escolhida pois dependendo da região poderá haver distancias grandes, ou escolher de acordo com o CEP do titular do benef</t>
  </si>
  <si>
    <t>DTP: constatado que se mantem na AP de manutenção</t>
  </si>
  <si>
    <t>CT 11 E 12 - 7407778320/7407778338 = Avaliar se cabe anotar no SIBE que o requerimento entrou com Forma de Convívio diferente do real, exemplo declarou que mora sozinho mas havia mais pessoas e vice-cersa. Sugiro anotação nos Detalhes.</t>
  </si>
  <si>
    <t>DTP: toda vez que inferir a forma de convivio, registrar nas ações do processo</t>
  </si>
  <si>
    <t xml:space="preserve">Deixar de exigir DUT no RECDIR quando o vínculo estiver fechado na DER, aberto na DII e entre DER e DII tiver transcorrido mais de 30 dias, em consonância com o item 13 da regra Regra 218579.
https://alm.dataprev.gov.br/rm/web#action=com.ibm.rdm.web.pages.showArtifactPage&amp;artifactURI=https%3A%2F%2Falm.dataprev.gov.br%2Frm%2Fresources%2FTX_7m9UkWaTEemF3ZhL6U8LUg&amp;vvc.configuration=https%3A%2F%2Falm.dataprev.gov.br%2Frm%2Fcm%2Fstream%2F_BMIZ8NB1Eee0o_7ywo82PQ
"13. Quando o sistema identificar que existe um vínculo fechado indicado para incapacidade pelo perito médico, não foi informado DUT para esse vínculo, não existe exigência "Apresentar declaração da data do último dia trabalhado (DUT) emitido pela empresa" com situação "Não atendida" e a diferença entre a DER e DII seja menor ou igual à 30 dias, então o sistema exibe a pendência impeditiva "O vínculo com início em &lt;dd/mm/yyyy&gt; foi indicado para incapacidade pelo médico perito. Necessário informar o último dia de trabalho (DUT)."  </t>
  </si>
  <si>
    <t>Janaína</t>
  </si>
  <si>
    <t>PESSOAS COM MENOS DE 65 ANOS</t>
  </si>
  <si>
    <t>PESSOAS COM MAIS DE 65 ANOS</t>
  </si>
  <si>
    <t>EMILLEY ARSELI ALOIZE TRAUDI</t>
  </si>
  <si>
    <t>DIVONE NAYANY ARSELI</t>
  </si>
  <si>
    <t>HEVELYN CATERINE THAISLAINE ESTEFANINA</t>
  </si>
  <si>
    <t>IZELDA ADERLAINE ADELANA CATERINE</t>
  </si>
  <si>
    <t>HIULI KENILI GICELENE</t>
  </si>
  <si>
    <t>ANELISY NYNA MACAULY KENILI</t>
  </si>
  <si>
    <t>UILHA DURCILIA KARLIANNE</t>
  </si>
  <si>
    <t>JULINETE AULICEIA ESTEPHANYE DURCILIA</t>
  </si>
  <si>
    <t>DHULIANE GESULINA UESLIANE MIRINA</t>
  </si>
  <si>
    <t>CLIA ZESILDA GESULINA</t>
  </si>
  <si>
    <t>BLAINER CAYLANE RUTICLEIA UILKER</t>
  </si>
  <si>
    <t>OSLEIA WELBA CAYLANE</t>
  </si>
  <si>
    <t>ALEINE ELIALE WILENE HILDELANE</t>
  </si>
  <si>
    <t>ILISANE SHAYLLA ELIALE</t>
  </si>
  <si>
    <t>DELI MERIELEN HESLEY TASSYANA</t>
  </si>
  <si>
    <t>RHANNA ALICELENE OSALDINA MERIELEN</t>
  </si>
  <si>
    <t>EVALIN VALDEIRA MARIELEM ALVIDIA</t>
  </si>
  <si>
    <t>CREUSIANE EILI VALDEIRA</t>
  </si>
  <si>
    <t>ILTON RENALDE ROSSELY</t>
  </si>
  <si>
    <t>DEUSELINA KISSIANE EVELI RENALDE</t>
  </si>
  <si>
    <t>EVILIM IARAI GILENICE THIELES</t>
  </si>
  <si>
    <t>DIRENICE GIUZA NILLA IARAI</t>
  </si>
  <si>
    <t>EOLA NAYANE SALVANIA JOVILIANA</t>
  </si>
  <si>
    <t>KISLEY DUCELINA MONICKE NAYANE</t>
  </si>
  <si>
    <t>ALEIR ELIETE CONSOELO</t>
  </si>
  <si>
    <t>RELIANE LUA ELIETE</t>
  </si>
  <si>
    <t>EMILILI MIRLY SHAINE MERCINDA</t>
  </si>
  <si>
    <t>NADYA VALEIA MIRLY</t>
  </si>
  <si>
    <t>DOELI JOZIELI ALCIDELIA</t>
  </si>
  <si>
    <t>SANDRIELEN LUA EUZAMAR JOZIELI</t>
  </si>
  <si>
    <t>ANELI LISLEY TASSYANA</t>
  </si>
  <si>
    <t>KESI RALDINA LISLEY</t>
  </si>
  <si>
    <t>DUILY CLAUDELIR MILENNY</t>
  </si>
  <si>
    <t>KETULEN ADERLI CLAUDELIR</t>
  </si>
  <si>
    <t>HEVELYN RIEDJA KETHILIN MARCILAINE</t>
  </si>
  <si>
    <t>GENAIR DAFNNE RIEDJA</t>
  </si>
  <si>
    <t>HYLTON MARINEIDE HAYNE</t>
  </si>
  <si>
    <t>ORACINA EDNAILDE MARINEIDE</t>
  </si>
  <si>
    <t>LEI LUCICLEIDE ZELIANA HANIELI</t>
  </si>
  <si>
    <t>ILDES MELINNA LUCICLEIDE</t>
  </si>
  <si>
    <t>EMOLI JILDILENE SHAUANI SIDELINA</t>
  </si>
  <si>
    <t>CAELINE ALENIDE ELISLEI JILDILENE</t>
  </si>
  <si>
    <t>HUELTON SUYANA TAISSA</t>
  </si>
  <si>
    <t>RENILSE ELENITE AUDALIA SUYANA</t>
  </si>
  <si>
    <t>HEVILIN TAUIRA HISAKO CHINTIA</t>
  </si>
  <si>
    <t>SANDER MICLECIA JHENY TAUIRA</t>
  </si>
  <si>
    <t>HIALI ELIVIA KLETEM</t>
  </si>
  <si>
    <t>RAQUIEL DEISELAINE ELIVIA</t>
  </si>
  <si>
    <t>LUIANI KAELEN GESIBEL ELAINA</t>
  </si>
  <si>
    <t>ARIALDA THAILINI WANDERLANE KAELEN</t>
  </si>
  <si>
    <t>ANIELI SUZYANNE KEISI BELANI</t>
  </si>
  <si>
    <t>BHARBARA LAOANA SUZYANNE</t>
  </si>
  <si>
    <t>ARAILDO LAYNARA ISLENA</t>
  </si>
  <si>
    <t>KEISI EZOLETE LAYNARA</t>
  </si>
  <si>
    <t>HULIANE AURECY PRISCILAINE SUELLY</t>
  </si>
  <si>
    <t>ELLE ADERLAINE HEULER AURECY</t>
  </si>
  <si>
    <t>OELISON ILUINA LUNAIRA NICOLLI</t>
  </si>
  <si>
    <t>ISAIR ISAMELIA ILUINA</t>
  </si>
  <si>
    <t>ALA LAYRES LUSANI MAGADA</t>
  </si>
  <si>
    <t>ABIR HILDELANE LAYRES</t>
  </si>
  <si>
    <t>DELUIR JULLYENE CLYMENE</t>
  </si>
  <si>
    <t>SHIMENY GESANA AGNI JULLYENE</t>
  </si>
  <si>
    <t>ELIELSON DIEINIFER LICE ANDRELINA</t>
  </si>
  <si>
    <t>FERNNANDA HORLEI DIEINIFER</t>
  </si>
  <si>
    <t>ALOILSON SIZELE JESSYKA ZALDA</t>
  </si>
  <si>
    <t>CLICE CEDIANE DANUZA SIZELE</t>
  </si>
  <si>
    <t>ELIANNE EZILANDIA HEIMAR</t>
  </si>
  <si>
    <t>CLAUDELIR NATAXA DAZINHA EZILANDIA</t>
  </si>
  <si>
    <t>IOLA VALMISA DUCELINA LMA</t>
  </si>
  <si>
    <t>DHENYFFER CLECI TAWANA VALMISA</t>
  </si>
  <si>
    <t>ELYNE ILAR EVALI MARIELI</t>
  </si>
  <si>
    <t>JUCIMARI EMILAYNE RIZONEIDE ILAR</t>
  </si>
  <si>
    <t>JISLAINE LILIAMARA MENEGILDA MYKAELLE</t>
  </si>
  <si>
    <t>ELESILDA POLLYANNY DIELLI LILIAMARA</t>
  </si>
  <si>
    <t>ULANE GESLEI OSIVANIA</t>
  </si>
  <si>
    <t>LAWREN CARIZIA GEANEIDE GESLEI</t>
  </si>
  <si>
    <t>ALEISA ELENITE CLEYDI RUDIELI</t>
  </si>
  <si>
    <t>AUGUSTINHA MARILEIS ELECIA ELENITE</t>
  </si>
  <si>
    <t>LINE GESSELENE ESTELLA PAULINIA</t>
  </si>
  <si>
    <t>LUIZINETE ALVIDIA LOIANY GESSELENE</t>
  </si>
  <si>
    <t>ARAILDO SULANI SIVANILDES MARYANNE</t>
  </si>
  <si>
    <t>ALDERIANE RUBENILDES PRISCILAINE SULANI</t>
  </si>
  <si>
    <t>ALI MARGRIT HILARE VANALDA</t>
  </si>
  <si>
    <t>JOEANE OLETE MARGRIT</t>
  </si>
  <si>
    <t>DELA NELSIA EDIJANE ZAID</t>
  </si>
  <si>
    <t>CLACIELI JEISIANI NELSIA</t>
  </si>
  <si>
    <t>DOLIR ANACLARA EURIKA</t>
  </si>
  <si>
    <t>EDYLA JAKELIANE OSNIRA ANACLARA</t>
  </si>
  <si>
    <t>DOLIR FAINER MARLEY</t>
  </si>
  <si>
    <t>MARAH ISAELA FAINER</t>
  </si>
  <si>
    <t>HULIANE ILHANA RAYNNY MARYANNE</t>
  </si>
  <si>
    <t>JANICE GISLAINE MISHELI ILHANA</t>
  </si>
  <si>
    <t>EVYLYN CLEZA NADJAIR EMELIANE</t>
  </si>
  <si>
    <t>KAILAINE NELICE THYFANE CLEZA</t>
  </si>
  <si>
    <t>ESTEFANI ELIZETTE DIJANI ANGELIA</t>
  </si>
  <si>
    <t>FLAVIELEN HORLEI ELIZETTE</t>
  </si>
  <si>
    <t>IOLI BLAINE GEISIMARA</t>
  </si>
  <si>
    <t>VANCLEIA CRISLENA BLAINE</t>
  </si>
  <si>
    <t>DELY RICAELY JUSICLEIDE</t>
  </si>
  <si>
    <t>ALLEM MARYELLI LEILINE RICAELY</t>
  </si>
  <si>
    <t>LAENY ELISLEI IELAINE</t>
  </si>
  <si>
    <t>THAYZ SAYANE ILDAR ELISLEI</t>
  </si>
  <si>
    <t>ALIR MONNA KAROLLINI SHARLEANE</t>
  </si>
  <si>
    <t>VANALDA ESTEFANINA DILMAR MONNA</t>
  </si>
  <si>
    <t>DILEY DILMAR MYCAELY</t>
  </si>
  <si>
    <t>MOHARA JHEYNNE DILMAR</t>
  </si>
  <si>
    <t>ELAINE GRISLENE ALICELENE JOZIELI</t>
  </si>
  <si>
    <t>MARIELSE THAMIR GRAZELI GRISLENE</t>
  </si>
  <si>
    <t>ADYLSON ELOIZI ELIVIA HERICA</t>
  </si>
  <si>
    <t>IVY KLENDA VELI ELOIZI</t>
  </si>
  <si>
    <t>DUILI KAROLLINI HIDA</t>
  </si>
  <si>
    <t>ALCIDELIA EMANULLA HIANNA KAROLLINI</t>
  </si>
  <si>
    <t>EMILYY THERESA ACLEIA LOUIS</t>
  </si>
  <si>
    <t>ADILAR ARALI THERESA</t>
  </si>
  <si>
    <t>HELIISA KATHELEN SIVANILDES</t>
  </si>
  <si>
    <t>OANE MARCLENE KARYNI KATHELEN</t>
  </si>
  <si>
    <t>LILSON ELIDEA ADEILSA ALCELIA</t>
  </si>
  <si>
    <t>ERIKCA LIZANDREIA ELIDEA</t>
  </si>
  <si>
    <t>EMELIY MAGARETH ANJILA</t>
  </si>
  <si>
    <t>WENDLEI CAEOLINA HELENILMA MAGARETH</t>
  </si>
  <si>
    <t>DIELI ALCIVANE MARINILSA GILEI</t>
  </si>
  <si>
    <t>WULIA KARINE ALCIVANE</t>
  </si>
  <si>
    <t>DALYANE RAQUIELI HOZIANE</t>
  </si>
  <si>
    <t>ISAMELIA MEIRENICE CLAUDISEIA RAQUIELI</t>
  </si>
  <si>
    <t>OLEI JAKELIANE ELZITA SAADILA</t>
  </si>
  <si>
    <t>RITHELLI LAUCIENE VALDEIZE JAKELIANE</t>
  </si>
  <si>
    <t>ALIANE PRISCILAINE IZILINA ECHELY</t>
  </si>
  <si>
    <t>KARON ESTHEFFANY NILSEI PRISCILAINE</t>
  </si>
  <si>
    <t>DILEI DAVIANE HEVELEN</t>
  </si>
  <si>
    <t>BRUNILDA MARILHIA DAVIANE</t>
  </si>
  <si>
    <t>ELAR KETHELLEY HEYDI IZILINA</t>
  </si>
  <si>
    <t>MILANDIA PETALA JORIA KETHELLEY</t>
  </si>
  <si>
    <t>DALIR THUANE EMANUELLE JERLEY</t>
  </si>
  <si>
    <t>NELZETE NILKA THUANE</t>
  </si>
  <si>
    <t>DIOLEI GARDENI ELAINE JRACI</t>
  </si>
  <si>
    <t>DIGALMA IALI EULIA GARDENI</t>
  </si>
  <si>
    <t>ELAINNE KYMBERLLY LAZIR RILLA</t>
  </si>
  <si>
    <t>CALIM NILBE GABRIELLY KYMBERLLY</t>
  </si>
  <si>
    <t>LEYNE ELAINA MARILEY NOEZIA</t>
  </si>
  <si>
    <t>KEDIMAR ADLA AULENI ELAINA</t>
  </si>
  <si>
    <t>EVYLLYN DRUSILA JAUIR VARALUCIA</t>
  </si>
  <si>
    <t>KETTLEY CLIA DRUSILA</t>
  </si>
  <si>
    <t>HEMELY NELSIA JILENA LOURRANY</t>
  </si>
  <si>
    <t>HELIER DALMACI BRUNILDA NELSIA</t>
  </si>
  <si>
    <t>HULY MADIANE JOEANE</t>
  </si>
  <si>
    <t>MYLLENE CHAFIA JOILE MADIANE</t>
  </si>
  <si>
    <t>DYULI ARIOLENE LICI DESAIR</t>
  </si>
  <si>
    <t>RUZIANE RALDINA ARIOLENE</t>
  </si>
  <si>
    <t>ALLSON FRACY SOELEN</t>
  </si>
  <si>
    <t>JOANA THYFANE HAILANA FRACY</t>
  </si>
  <si>
    <t>EVYLIN CALLIANE SHIERLY</t>
  </si>
  <si>
    <t>KILZA BONINA SHAROM CALLIANE</t>
  </si>
  <si>
    <t>HALYNE ESTEPHANNY DELNEI ANGEOLINA</t>
  </si>
  <si>
    <t>KAMLA CEUMAR MARILIZA ESTEPHANNY</t>
  </si>
  <si>
    <t>ALAILA GESIBEL SILVANES</t>
  </si>
  <si>
    <t>ELILSA LULITA GESIBEL</t>
  </si>
  <si>
    <t>DELAI KARLLY DENNIFER TAIRYNE</t>
  </si>
  <si>
    <t>JELZA EROLI INGLEDE KARLLY</t>
  </si>
  <si>
    <t>OLEI ALIETI LUIDE</t>
  </si>
  <si>
    <t>ZILCA TENILE ALIETI</t>
  </si>
  <si>
    <t>EMELY EDICILIA SIRLY MISHELI</t>
  </si>
  <si>
    <t>NADYA NATANIELLE GIZIELE EDICILIA</t>
  </si>
  <si>
    <t>AYLTON SURLI LEILAMAR KELAINE</t>
  </si>
  <si>
    <t>HIASMIM ASHILY CONSOLACAO SURLI</t>
  </si>
  <si>
    <t>IAILA GEISIMARA RESLEY</t>
  </si>
  <si>
    <t>GILZETE MIKAELI KALLYNE GEISIMARA</t>
  </si>
  <si>
    <t>OLY IELAINE NAYNE</t>
  </si>
  <si>
    <t>HELLAINE IRASILDA GARDENI IELAINE</t>
  </si>
  <si>
    <t>LYNNE MOHARA VALDILIA</t>
  </si>
  <si>
    <t>EDRIANA THEREZA KARYNI MOHARA</t>
  </si>
  <si>
    <t>ALYSON NADI IVANHA OLCIR</t>
  </si>
  <si>
    <t>JESSIELI ESTEFANI IVONIDES NADI</t>
  </si>
  <si>
    <t>DALI SUSIE HERMINIA</t>
  </si>
  <si>
    <t>ISAELA KHELLY SUSIE</t>
  </si>
  <si>
    <t>UILIANE DELACY LUIMEIRE</t>
  </si>
  <si>
    <t>RAIANARA CHAYANY DELACY</t>
  </si>
  <si>
    <t>ALIZON SENILMA MELCA</t>
  </si>
  <si>
    <t>KHETLEN ONISE CAEOLINA SENILMA</t>
  </si>
  <si>
    <t>ANILY MARILENI YOLE DALMACI</t>
  </si>
  <si>
    <t>RIQUELY SELESTRINA DELSA MARILENI</t>
  </si>
  <si>
    <t>ESTEPHANNY GILEI GRACELINE</t>
  </si>
  <si>
    <t>VALDINESIA EUZAMAR GILEI</t>
  </si>
  <si>
    <t>HELHA ENOLI IALIS LEANNE</t>
  </si>
  <si>
    <t>TARCYANA ADELMIRA ENOLI</t>
  </si>
  <si>
    <t>ESTHEFANI ABANI DIELEM</t>
  </si>
  <si>
    <t>MELIANA JAQELINE MADIANE ABANI</t>
  </si>
  <si>
    <t>HEYLA SILDER MALKA IEIDE</t>
  </si>
  <si>
    <t>KARLLY GLEYCIELE EDLEILA SILDER</t>
  </si>
  <si>
    <t>LUYANNE EDERVANIA VELI CEDIANE</t>
  </si>
  <si>
    <t>SILANGE LAYNNY EDERVANIA</t>
  </si>
  <si>
    <t>DEILIANE SOFYA ESTEFANIE DALMACI</t>
  </si>
  <si>
    <t>ANAJULIA HAILANA JESUMIRA SOFYA</t>
  </si>
  <si>
    <t>LELSON ZABELE NATANIELLE</t>
  </si>
  <si>
    <t>DINOLIA JUBERLITA JUDALVA ZABELE</t>
  </si>
  <si>
    <t>OLEI JISLAYNE NAZIANA ESTEFANIE</t>
  </si>
  <si>
    <t>LORECIR BRAZILIA ADRYENE JISLAYNE</t>
  </si>
  <si>
    <t>EVYLIN OLCIR DEANY NADYA</t>
  </si>
  <si>
    <t>SULANI JOCIELI OLCIR</t>
  </si>
  <si>
    <t>LUYNE KETHILIN JOSEPHINA</t>
  </si>
  <si>
    <t>KENILI MARIZENE KETHILIN</t>
  </si>
  <si>
    <t>LYNE VALDENUZIA ERLI MAGARETH</t>
  </si>
  <si>
    <t>LOUZE EVELI VALDENUZIA</t>
  </si>
  <si>
    <t>AULISON MYKELLE BELVINA YSA</t>
  </si>
  <si>
    <t>RIQUELY THAEMI IGLIDE MYKELLE</t>
  </si>
  <si>
    <t>ALIISON VALDELMA TANEA HEMANUELLE</t>
  </si>
  <si>
    <t>DRIELLI ALCEMARA VALDELMA</t>
  </si>
  <si>
    <t>LA EUDESIA ESTHEFFANY</t>
  </si>
  <si>
    <t>JOSILENE DANIVIA MARILINE EUDESIA</t>
  </si>
  <si>
    <t>Pressione “DEL” na célula verde para gerar novo processo</t>
  </si>
  <si>
    <t>PROCESSO</t>
  </si>
  <si>
    <t>N</t>
  </si>
  <si>
    <t>A</t>
  </si>
  <si>
    <t>O</t>
  </si>
  <si>
    <t>R1</t>
  </si>
  <si>
    <t>CONCATR2</t>
  </si>
  <si>
    <t>R2</t>
  </si>
  <si>
    <t>CONCATR3</t>
  </si>
  <si>
    <t>R3</t>
  </si>
  <si>
    <t>D</t>
  </si>
  <si>
    <t>Insira o nome e e-mail e clique em adicionar</t>
  </si>
  <si>
    <t>LIsta de Homologadores</t>
  </si>
  <si>
    <t>Nome:</t>
  </si>
  <si>
    <t>Nome</t>
  </si>
  <si>
    <t>E-mail</t>
  </si>
  <si>
    <t>andreia.moukakou@inss.gov.br</t>
  </si>
  <si>
    <t>ID</t>
  </si>
  <si>
    <t>Cenário</t>
  </si>
  <si>
    <t>HML 2 - JANAÍNA</t>
  </si>
  <si>
    <t>HML 2 - ANDRÉIA</t>
  </si>
  <si>
    <t>HML 3 - ORLANDO</t>
  </si>
  <si>
    <t>HML 4 - MAURICIO</t>
  </si>
  <si>
    <t>#</t>
  </si>
  <si>
    <t>Geral</t>
  </si>
  <si>
    <t>Criar um requerimento de recurso BPC com espécie 87 com avaliação conjunta FAVORAVEL associada a requerimento anterior do benefício</t>
  </si>
  <si>
    <t>Criar um requerimento de recurso BPC com espécie 87 e avaliação conjunta com "Tipo Avaliacao Recurso" para o protocolo PAT informado</t>
  </si>
  <si>
    <t>Criar um requerimento de recurso BPC SEM PENDÊNCIAS IMPEDITIVAS de conclusão</t>
  </si>
  <si>
    <t>Criar um requerimento de recurso BPC COM PENDÊNCIAS IMPEDITIVAS de conclusão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</si>
</sst>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0"/>
    <numFmt numFmtId="165" formatCode="00"/>
  </numFmts>
  <fonts count="82">
    <font>
      <sz val="11"/>
      <color theme="1"/>
      <name val="Calibri"/>
      <family val="2"/>
      <scheme val="minor"/>
    </font>
    <font>
      <sz val="11"/>
      <color theme="1"/>
      <name val="Calibri"/>
      <scheme val="minor"/>
    </font>
    <font>
      <sz val="11"/>
      <color theme="1"/>
      <name val="Calibri"/>
      <family val="2"/>
      <scheme val="minor"/>
    </font>
    <font>
      <b/>
      <sz val="11"/>
      <color theme="1"/>
      <name val="Calibri"/>
      <family val="2"/>
      <scheme val="minor"/>
    </font>
    <font>
      <sz val="10"/>
      <color rgb="FF000000"/>
      <name val="Arial"/>
      <family val="2"/>
    </font>
    <font>
      <b/>
      <sz val="10"/>
      <name val="Arial"/>
      <family val="2"/>
    </font>
    <font>
      <sz val="10"/>
      <name val="Arial"/>
      <family val="2"/>
    </font>
    <font>
      <b/>
      <sz val="10"/>
      <color rgb="FF000000"/>
      <name val="Arial"/>
      <family val="2"/>
    </font>
    <font>
      <sz val="10"/>
      <color rgb="FF0000FF"/>
      <name val="Arial"/>
      <family val="2"/>
    </font>
    <font>
      <sz val="10"/>
      <color rgb="FFFF0000"/>
      <name val="Arial"/>
      <family val="2"/>
    </font>
    <font>
      <u/>
      <sz val="11"/>
      <color theme="10"/>
      <name val="Calibri"/>
      <family val="2"/>
      <scheme val="minor"/>
    </font>
    <font>
      <b/>
      <sz val="20"/>
      <name val="Arial"/>
      <family val="2"/>
    </font>
    <font>
      <sz val="12"/>
      <color rgb="FF000000"/>
      <name val="Arial"/>
      <family val="2"/>
    </font>
    <font>
      <b/>
      <sz val="24"/>
      <color rgb="FF000000"/>
      <name val="Arial"/>
      <family val="2"/>
    </font>
    <font>
      <b/>
      <u/>
      <sz val="10"/>
      <color rgb="FF000000"/>
      <name val="Arial"/>
      <family val="2"/>
    </font>
    <font>
      <b/>
      <sz val="12"/>
      <color rgb="FF000000"/>
      <name val="Arial"/>
      <family val="2"/>
    </font>
    <font>
      <b/>
      <sz val="24"/>
      <name val="Arial"/>
      <family val="2"/>
    </font>
    <font>
      <b/>
      <sz val="12"/>
      <name val="Arial"/>
      <family val="2"/>
    </font>
    <font>
      <b/>
      <sz val="14"/>
      <color rgb="FF000000"/>
      <name val="Arial"/>
      <family val="2"/>
    </font>
    <font>
      <sz val="11"/>
      <color theme="1"/>
      <name val="Arial"/>
      <family val="2"/>
    </font>
    <font>
      <b/>
      <sz val="11"/>
      <color theme="1"/>
      <name val="Arial"/>
      <family val="2"/>
    </font>
    <font>
      <b/>
      <sz val="18"/>
      <color rgb="FF000000"/>
      <name val="Arial"/>
      <family val="2"/>
    </font>
    <font>
      <b/>
      <sz val="11"/>
      <color rgb="FF000000"/>
      <name val="Calibri"/>
      <family val="2"/>
      <scheme val="minor"/>
    </font>
    <font>
      <sz val="10"/>
      <color theme="1"/>
      <name val="Arial"/>
      <family val="2"/>
    </font>
    <font>
      <b/>
      <sz val="14"/>
      <color rgb="FFFFFFFF"/>
      <name val="Arial"/>
      <family val="2"/>
    </font>
    <font>
      <b/>
      <sz val="11"/>
      <color rgb="FF000000"/>
      <name val="Liberation Sans"/>
    </font>
    <font>
      <sz val="11"/>
      <color rgb="FF000000"/>
      <name val="Calibri"/>
      <family val="2"/>
      <scheme val="minor"/>
    </font>
    <font>
      <b/>
      <sz val="16"/>
      <color rgb="FF000000"/>
      <name val="Arial"/>
      <family val="2"/>
    </font>
    <font>
      <sz val="10"/>
      <color rgb="FF000000"/>
      <name val="Arial"/>
    </font>
    <font>
      <sz val="10"/>
      <color theme="1"/>
      <name val="Arial"/>
    </font>
    <font>
      <sz val="11"/>
      <color rgb="FF000000"/>
      <name val="Calibri"/>
      <scheme val="minor"/>
    </font>
    <font>
      <b/>
      <sz val="14"/>
      <color theme="1"/>
      <name val="Arial"/>
    </font>
    <font>
      <b/>
      <sz val="10"/>
      <color theme="2" tint="-0.89999084444715716"/>
      <name val="Arial"/>
      <family val="2"/>
    </font>
    <font>
      <b/>
      <sz val="14"/>
      <name val="Arial"/>
      <family val="2"/>
    </font>
    <font>
      <b/>
      <sz val="14"/>
      <name val="Arial"/>
    </font>
    <font>
      <sz val="9"/>
      <color rgb="FF212121"/>
      <name val="Inter"/>
      <charset val="1"/>
    </font>
    <font>
      <sz val="9"/>
      <color theme="1"/>
      <name val="Calibri"/>
      <family val="2"/>
      <scheme val="minor"/>
    </font>
    <font>
      <sz val="9"/>
      <color theme="1"/>
      <name val="Calibri"/>
      <scheme val="minor"/>
    </font>
    <font>
      <sz val="9"/>
      <color rgb="FF34495E"/>
      <name val="Calibri"/>
      <scheme val="minor"/>
    </font>
    <font>
      <sz val="10"/>
      <color theme="1"/>
      <name val="Calibri"/>
      <family val="2"/>
      <scheme val="minor"/>
    </font>
    <font>
      <sz val="9"/>
      <color rgb="FF000000"/>
      <name val="Calibri"/>
      <scheme val="minor"/>
    </font>
    <font>
      <strike/>
      <sz val="9"/>
      <color rgb="FFFF0000"/>
      <name val="Inter"/>
      <charset val="1"/>
    </font>
    <font>
      <sz val="9"/>
      <color rgb="FF000000"/>
      <name val="Inter"/>
      <charset val="1"/>
    </font>
    <font>
      <strike/>
      <sz val="9"/>
      <color rgb="FFFF0000"/>
      <name val="Calibri"/>
      <scheme val="minor"/>
    </font>
    <font>
      <strike/>
      <sz val="9"/>
      <color theme="1"/>
      <name val="Calibri"/>
      <scheme val="minor"/>
    </font>
    <font>
      <sz val="9"/>
      <color rgb="FFFF0000"/>
      <name val="Calibri"/>
      <scheme val="minor"/>
    </font>
    <font>
      <strike/>
      <u val="double"/>
      <sz val="9"/>
      <color rgb="FF34495E"/>
      <name val="Calibri"/>
      <scheme val="minor"/>
    </font>
    <font>
      <strike/>
      <sz val="10"/>
      <color rgb="FFFF0000"/>
      <name val="Calibri"/>
      <family val="2"/>
      <scheme val="minor"/>
    </font>
    <font>
      <b/>
      <sz val="20"/>
      <color rgb="FFFF0000"/>
      <name val="Calibri"/>
      <family val="2"/>
      <scheme val="minor"/>
    </font>
    <font>
      <strike/>
      <u val="double"/>
      <sz val="9"/>
      <color rgb="FF000000"/>
      <name val="Calibri"/>
      <scheme val="minor"/>
    </font>
    <font>
      <strike/>
      <sz val="11"/>
      <color rgb="FFFF0000"/>
      <name val="Calibri"/>
      <family val="2"/>
      <scheme val="minor"/>
    </font>
    <font>
      <sz val="9"/>
      <color rgb="FFFF0000"/>
      <name val="Inter"/>
      <charset val="1"/>
    </font>
    <font>
      <sz val="11"/>
      <color theme="1"/>
      <name val="Arial"/>
    </font>
    <font>
      <sz val="10"/>
      <color rgb="FF000000"/>
      <name val="Calibri"/>
      <scheme val="minor"/>
    </font>
    <font>
      <sz val="10"/>
      <color rgb="FF000000"/>
      <name val="Calibri"/>
      <family val="2"/>
      <scheme val="minor"/>
    </font>
    <font>
      <sz val="10"/>
      <color rgb="FF212121"/>
      <name val="Inter"/>
      <charset val="1"/>
    </font>
    <font>
      <sz val="10"/>
      <color rgb="FF212121"/>
      <name val="Calibri"/>
      <scheme val="minor"/>
    </font>
    <font>
      <sz val="10"/>
      <color theme="1"/>
      <name val="Calibri"/>
      <scheme val="minor"/>
    </font>
    <font>
      <b/>
      <sz val="16"/>
      <color theme="1"/>
      <name val="Calibri"/>
      <family val="2"/>
      <scheme val="minor"/>
    </font>
    <font>
      <b/>
      <sz val="14"/>
      <color rgb="FF000000"/>
      <name val="Calibri"/>
      <scheme val="minor"/>
    </font>
    <font>
      <strike/>
      <sz val="10"/>
      <color rgb="FFFF0000"/>
      <name val="Calibri"/>
      <scheme val="minor"/>
    </font>
    <font>
      <sz val="9"/>
      <color rgb="FFFF0000"/>
      <name val="Calibri"/>
      <family val="2"/>
      <scheme val="minor"/>
    </font>
    <font>
      <sz val="9"/>
      <color rgb="FF7030A0"/>
      <name val="Calibri"/>
      <scheme val="minor"/>
    </font>
    <font>
      <sz val="9"/>
      <color rgb="FF7030A0"/>
      <name val="Inter"/>
      <charset val="1"/>
    </font>
    <font>
      <strike/>
      <sz val="9"/>
      <color rgb="FF7030A0"/>
      <name val="Inter"/>
      <charset val="1"/>
    </font>
    <font>
      <sz val="9"/>
      <color rgb="FF000000"/>
      <name val="Calibri"/>
      <family val="2"/>
      <scheme val="minor"/>
    </font>
    <font>
      <sz val="10"/>
      <color rgb="FFFF0000"/>
      <name val="Calibri"/>
      <family val="2"/>
      <scheme val="minor"/>
    </font>
    <font>
      <sz val="10"/>
      <color rgb="FFFF0000"/>
      <name val="Calibri"/>
      <scheme val="minor"/>
    </font>
    <font>
      <b/>
      <sz val="14"/>
      <color rgb="FFFFFFFF"/>
      <name val="Arial"/>
    </font>
    <font>
      <b/>
      <sz val="10"/>
      <color rgb="FF000000"/>
      <name val="Arial"/>
    </font>
    <font>
      <b/>
      <sz val="10"/>
      <name val="Arial"/>
    </font>
    <font>
      <sz val="10"/>
      <name val="Arial"/>
    </font>
    <font>
      <sz val="11"/>
      <color theme="1" tint="0.499984740745262"/>
      <name val="Arial"/>
      <family val="2"/>
    </font>
    <font>
      <sz val="11"/>
      <color theme="1" tint="0.499984740745262"/>
      <name val="Arial"/>
    </font>
    <font>
      <sz val="11"/>
      <color rgb="FFFF0000"/>
      <name val="Calibri"/>
      <scheme val="minor"/>
    </font>
    <font>
      <b/>
      <sz val="11"/>
      <color rgb="FF000000"/>
      <name val="Calibri"/>
      <scheme val="minor"/>
    </font>
    <font>
      <strike/>
      <sz val="10"/>
      <color rgb="FF000000"/>
      <name val="Arial"/>
    </font>
    <font>
      <sz val="11"/>
      <color rgb="FF4472C4"/>
      <name val="Calibri"/>
      <scheme val="minor"/>
    </font>
    <font>
      <strike/>
      <sz val="11"/>
      <color rgb="FFFF0000"/>
      <name val="Calibri"/>
      <scheme val="minor"/>
    </font>
    <font>
      <sz val="11"/>
      <color rgb="FF000000"/>
      <name val="Calibri"/>
      <charset val="1"/>
    </font>
    <font>
      <b/>
      <sz val="10"/>
      <color rgb="FFFF0000"/>
      <name val="Arial"/>
    </font>
    <font>
      <sz val="11"/>
      <color rgb="FF000000"/>
      <name val="Arial"/>
      <charset val="1"/>
    </font>
  </fonts>
  <fills count="20">
    <fill>
      <patternFill patternType="none"/>
    </fill>
    <fill>
      <patternFill patternType="gray125"/>
    </fill>
    <fill>
      <patternFill patternType="solid">
        <fgColor rgb="FFD9E1F2"/>
        <bgColor rgb="FF000000"/>
      </patternFill>
    </fill>
    <fill>
      <patternFill patternType="solid">
        <fgColor rgb="FFE2EFDA"/>
        <bgColor rgb="FF000000"/>
      </patternFill>
    </fill>
    <fill>
      <patternFill patternType="solid">
        <fgColor rgb="FFFFFFFF"/>
        <bgColor rgb="FFFFFFFF"/>
      </patternFill>
    </fill>
    <fill>
      <patternFill patternType="solid">
        <fgColor rgb="FFB7B7B7"/>
        <bgColor rgb="FFB7B7B7"/>
      </patternFill>
    </fill>
    <fill>
      <patternFill patternType="solid">
        <fgColor rgb="FFDDDDDD"/>
        <bgColor rgb="FFDDDDDD"/>
      </patternFill>
    </fill>
    <fill>
      <patternFill patternType="solid">
        <fgColor rgb="FF999999"/>
        <bgColor rgb="FF999999"/>
      </patternFill>
    </fill>
    <fill>
      <patternFill patternType="solid">
        <fgColor rgb="FFB4C6E7"/>
        <bgColor indexed="64"/>
      </patternFill>
    </fill>
    <fill>
      <patternFill patternType="solid">
        <fgColor rgb="FF7B7B7B"/>
        <bgColor indexed="64"/>
      </patternFill>
    </fill>
    <fill>
      <patternFill patternType="solid">
        <fgColor rgb="FF00A933"/>
        <bgColor rgb="FF00A933"/>
      </patternFill>
    </fill>
    <fill>
      <patternFill patternType="solid">
        <fgColor theme="9" tint="0.79998168889431442"/>
        <bgColor rgb="FF000000"/>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theme="9"/>
        <bgColor indexed="64"/>
      </patternFill>
    </fill>
    <fill>
      <patternFill patternType="solid">
        <fgColor rgb="FF00B0F0"/>
        <bgColor indexed="64"/>
      </patternFill>
    </fill>
    <fill>
      <patternFill patternType="solid">
        <fgColor rgb="FFFFFFFF"/>
        <bgColor indexed="64"/>
      </patternFill>
    </fill>
    <fill>
      <patternFill patternType="solid">
        <fgColor theme="1"/>
        <bgColor indexed="64"/>
      </patternFill>
    </fill>
  </fills>
  <borders count="2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indexed="64"/>
      </right>
      <top style="thin">
        <color indexed="64"/>
      </top>
      <bottom/>
      <diagonal/>
    </border>
    <border>
      <left/>
      <right style="thin">
        <color rgb="FF000000"/>
      </right>
      <top style="thin">
        <color rgb="FF000000"/>
      </top>
      <bottom/>
      <diagonal/>
    </border>
    <border>
      <left/>
      <right style="thin">
        <color rgb="FF000000"/>
      </right>
      <top/>
      <bottom style="thin">
        <color rgb="FF000000"/>
      </bottom>
      <diagonal/>
    </border>
    <border>
      <left style="thin">
        <color rgb="FF000000"/>
      </left>
      <right/>
      <top style="thin">
        <color rgb="FF000000"/>
      </top>
      <bottom/>
      <diagonal/>
    </border>
    <border>
      <left style="thin">
        <color indexed="64"/>
      </left>
      <right style="thin">
        <color indexed="64"/>
      </right>
      <top/>
      <bottom/>
      <diagonal/>
    </border>
    <border>
      <left/>
      <right/>
      <top style="thin">
        <color indexed="64"/>
      </top>
      <bottom style="thin">
        <color indexed="64"/>
      </bottom>
      <diagonal/>
    </border>
    <border>
      <left style="thick">
        <color rgb="FF000000"/>
      </left>
      <right style="thick">
        <color rgb="FF000000"/>
      </right>
      <top style="thick">
        <color rgb="FF000000"/>
      </top>
      <bottom/>
      <diagonal/>
    </border>
    <border>
      <left/>
      <right style="thick">
        <color rgb="FF000000"/>
      </right>
      <top style="thick">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indexed="64"/>
      </right>
      <top/>
      <bottom style="thin">
        <color indexed="64"/>
      </bottom>
      <diagonal/>
    </border>
  </borders>
  <cellStyleXfs count="3">
    <xf numFmtId="0" fontId="0" fillId="0" borderId="0"/>
    <xf numFmtId="9" fontId="2" fillId="0" borderId="0" applyFont="0" applyFill="0" applyBorder="0" applyAlignment="0" applyProtection="0"/>
    <xf numFmtId="0" fontId="10" fillId="0" borderId="0" applyNumberFormat="0" applyFill="0" applyBorder="0" applyAlignment="0" applyProtection="0"/>
  </cellStyleXfs>
  <cellXfs count="365">
    <xf numFmtId="0" fontId="0" fillId="0" borderId="0" xfId="0"/>
    <xf numFmtId="0" fontId="5" fillId="5" borderId="8" xfId="0" applyFont="1" applyFill="1" applyBorder="1" applyAlignment="1">
      <alignment horizontal="center" vertical="center" wrapText="1"/>
    </xf>
    <xf numFmtId="0" fontId="6" fillId="0" borderId="0" xfId="0" applyFont="1"/>
    <xf numFmtId="0" fontId="0" fillId="0" borderId="0" xfId="0" applyAlignment="1">
      <alignment horizontal="center"/>
    </xf>
    <xf numFmtId="0" fontId="0" fillId="0" borderId="4" xfId="0" applyBorder="1"/>
    <xf numFmtId="0" fontId="7" fillId="0" borderId="0" xfId="0" applyFont="1" applyAlignment="1">
      <alignment horizontal="right"/>
    </xf>
    <xf numFmtId="0" fontId="7" fillId="0" borderId="0" xfId="0" applyFont="1"/>
    <xf numFmtId="0" fontId="10" fillId="0" borderId="0" xfId="2"/>
    <xf numFmtId="0" fontId="8" fillId="0" borderId="0" xfId="0" applyFont="1" applyAlignment="1">
      <alignment horizontal="left" wrapText="1"/>
    </xf>
    <xf numFmtId="0" fontId="7" fillId="0" borderId="0" xfId="0" applyFont="1" applyAlignment="1">
      <alignment wrapText="1"/>
    </xf>
    <xf numFmtId="0" fontId="4" fillId="0" borderId="0" xfId="0" applyFont="1" applyAlignment="1">
      <alignment horizontal="center" vertical="center"/>
    </xf>
    <xf numFmtId="0" fontId="7" fillId="0" borderId="0" xfId="0" applyFont="1" applyAlignment="1">
      <alignment horizontal="right" vertical="center"/>
    </xf>
    <xf numFmtId="0" fontId="3" fillId="0" borderId="0" xfId="0" applyFont="1"/>
    <xf numFmtId="0" fontId="4" fillId="0" borderId="0" xfId="0" applyFont="1" applyAlignment="1">
      <alignment horizontal="center"/>
    </xf>
    <xf numFmtId="0" fontId="3" fillId="0" borderId="0" xfId="0" applyFont="1" applyAlignment="1">
      <alignment horizontal="right"/>
    </xf>
    <xf numFmtId="10" fontId="0" fillId="0" borderId="0" xfId="1" applyNumberFormat="1" applyFont="1" applyAlignment="1">
      <alignment horizontal="center"/>
    </xf>
    <xf numFmtId="0" fontId="13" fillId="0" borderId="0" xfId="0" applyFont="1" applyAlignment="1">
      <alignment vertical="center"/>
    </xf>
    <xf numFmtId="0" fontId="3" fillId="0" borderId="0" xfId="0" applyFont="1" applyAlignment="1">
      <alignment wrapText="1"/>
    </xf>
    <xf numFmtId="0" fontId="15" fillId="0" borderId="0" xfId="0" applyFont="1" applyAlignment="1">
      <alignment horizontal="center" vertical="center"/>
    </xf>
    <xf numFmtId="0" fontId="12" fillId="0" borderId="0" xfId="0" applyFont="1" applyAlignment="1">
      <alignment horizontal="center" vertical="center"/>
    </xf>
    <xf numFmtId="0" fontId="4" fillId="0" borderId="0" xfId="0" applyFont="1" applyAlignment="1">
      <alignment wrapText="1"/>
    </xf>
    <xf numFmtId="0" fontId="4" fillId="4" borderId="1" xfId="0" applyFont="1" applyFill="1" applyBorder="1" applyAlignment="1">
      <alignment wrapText="1"/>
    </xf>
    <xf numFmtId="0" fontId="4" fillId="4" borderId="0" xfId="0" applyFont="1" applyFill="1" applyAlignment="1">
      <alignment wrapText="1"/>
    </xf>
    <xf numFmtId="0" fontId="4" fillId="0" borderId="0" xfId="0" applyFont="1"/>
    <xf numFmtId="0" fontId="19" fillId="0" borderId="0" xfId="0" applyFont="1"/>
    <xf numFmtId="0" fontId="0" fillId="0" borderId="1" xfId="0" applyBorder="1"/>
    <xf numFmtId="0" fontId="19" fillId="0" borderId="0" xfId="0" applyFont="1" applyAlignment="1">
      <alignment horizontal="center" vertical="center"/>
    </xf>
    <xf numFmtId="0" fontId="19" fillId="0" borderId="0" xfId="0" applyFont="1" applyAlignment="1">
      <alignment vertical="top"/>
    </xf>
    <xf numFmtId="0" fontId="20" fillId="0" borderId="0" xfId="0" applyFont="1" applyAlignment="1">
      <alignment vertical="center"/>
    </xf>
    <xf numFmtId="0" fontId="0" fillId="0" borderId="0" xfId="0" applyAlignment="1">
      <alignment horizontal="left"/>
    </xf>
    <xf numFmtId="0" fontId="19" fillId="0" borderId="1" xfId="0" applyFont="1" applyBorder="1" applyAlignment="1">
      <alignment horizontal="center" vertical="center"/>
    </xf>
    <xf numFmtId="0" fontId="0" fillId="0" borderId="0" xfId="0" applyAlignment="1">
      <alignment wrapText="1"/>
    </xf>
    <xf numFmtId="0" fontId="4" fillId="0" borderId="0" xfId="0" applyFont="1" applyAlignment="1">
      <alignment vertical="center"/>
    </xf>
    <xf numFmtId="0" fontId="12" fillId="0" borderId="0" xfId="0" applyFont="1" applyAlignment="1">
      <alignment horizontal="left" vertical="center"/>
    </xf>
    <xf numFmtId="0" fontId="12" fillId="0" borderId="0" xfId="0" applyFont="1" applyAlignment="1">
      <alignment horizontal="left" vertical="center" wrapText="1"/>
    </xf>
    <xf numFmtId="0" fontId="17" fillId="5" borderId="5" xfId="0" applyFont="1" applyFill="1" applyBorder="1" applyAlignment="1">
      <alignment horizontal="center" vertical="center"/>
    </xf>
    <xf numFmtId="0" fontId="4" fillId="0" borderId="0" xfId="0" applyFont="1" applyAlignment="1">
      <alignment horizontal="left"/>
    </xf>
    <xf numFmtId="0" fontId="0" fillId="10" borderId="0" xfId="0" applyFill="1" applyAlignment="1">
      <alignment horizontal="center"/>
    </xf>
    <xf numFmtId="164" fontId="0" fillId="0" borderId="0" xfId="0" applyNumberFormat="1" applyAlignment="1">
      <alignment horizontal="center"/>
    </xf>
    <xf numFmtId="0" fontId="25" fillId="0" borderId="0" xfId="0" applyFont="1" applyAlignment="1">
      <alignment horizontal="center"/>
    </xf>
    <xf numFmtId="0" fontId="25" fillId="0" borderId="1" xfId="0" applyFont="1" applyBorder="1"/>
    <xf numFmtId="0" fontId="0" fillId="0" borderId="1" xfId="0" applyBorder="1" applyAlignment="1">
      <alignment horizontal="center"/>
    </xf>
    <xf numFmtId="0" fontId="25" fillId="0" borderId="0" xfId="0" applyFont="1"/>
    <xf numFmtId="0" fontId="25" fillId="0" borderId="1" xfId="0" applyFont="1" applyBorder="1" applyAlignment="1">
      <alignment horizontal="center"/>
    </xf>
    <xf numFmtId="164" fontId="0" fillId="0" borderId="1" xfId="0" applyNumberFormat="1" applyBorder="1" applyAlignment="1">
      <alignment horizontal="center"/>
    </xf>
    <xf numFmtId="165" fontId="0" fillId="0" borderId="1" xfId="0" applyNumberFormat="1" applyBorder="1" applyAlignment="1">
      <alignment horizontal="center"/>
    </xf>
    <xf numFmtId="0" fontId="4" fillId="11" borderId="0" xfId="0" applyFont="1" applyFill="1"/>
    <xf numFmtId="0" fontId="4" fillId="12" borderId="0" xfId="0" applyFont="1" applyFill="1"/>
    <xf numFmtId="0" fontId="10" fillId="11" borderId="0" xfId="2" applyFill="1"/>
    <xf numFmtId="0" fontId="0" fillId="0" borderId="1" xfId="0" applyBorder="1" applyAlignment="1">
      <alignment horizontal="center" wrapText="1"/>
    </xf>
    <xf numFmtId="0" fontId="0" fillId="0" borderId="4" xfId="0" applyBorder="1">
      <extLst>
        <ext xmlns:xfpb="http://schemas.microsoft.com/office/spreadsheetml/2022/featurepropertybag" uri="{C7286773-470A-42A8-94C5-96B5CB345126}">
          <xfpb:xfComplement i="0"/>
        </ext>
      </extLst>
    </xf>
    <xf numFmtId="0" fontId="26" fillId="0" borderId="1" xfId="0" applyFont="1" applyBorder="1" applyAlignment="1">
      <alignment horizontal="center" vertic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left" vertical="center"/>
    </xf>
    <xf numFmtId="0" fontId="0" fillId="16" borderId="1" xfId="0" applyFill="1" applyBorder="1" applyAlignment="1">
      <alignment horizontal="center" vertical="center" wrapText="1"/>
    </xf>
    <xf numFmtId="0" fontId="0" fillId="14" borderId="2" xfId="0" applyFill="1" applyBorder="1" applyAlignment="1">
      <alignment horizontal="center" wrapText="1"/>
    </xf>
    <xf numFmtId="0" fontId="7" fillId="15" borderId="2" xfId="0" applyFont="1" applyFill="1" applyBorder="1" applyAlignment="1">
      <alignment horizontal="center" vertical="center"/>
    </xf>
    <xf numFmtId="0" fontId="7" fillId="15" borderId="1" xfId="0" applyFont="1" applyFill="1" applyBorder="1" applyAlignment="1">
      <alignment horizontal="center" vertical="center" wrapText="1"/>
    </xf>
    <xf numFmtId="0" fontId="7" fillId="15" borderId="1" xfId="0" applyFont="1" applyFill="1" applyBorder="1" applyAlignment="1">
      <alignment horizontal="center" vertical="center"/>
    </xf>
    <xf numFmtId="0" fontId="0" fillId="0" borderId="0" xfId="0" applyAlignment="1">
      <alignment horizontal="center" wrapText="1"/>
    </xf>
    <xf numFmtId="0" fontId="3" fillId="0" borderId="1" xfId="0" applyFont="1" applyBorder="1" applyAlignment="1">
      <alignment horizontal="center" vertical="center"/>
    </xf>
    <xf numFmtId="0" fontId="3" fillId="0" borderId="0" xfId="0" applyFont="1" applyAlignment="1">
      <alignment horizontal="center" vertical="center"/>
    </xf>
    <xf numFmtId="0" fontId="0" fillId="0" borderId="1" xfId="0" applyBorder="1" applyAlignment="1">
      <alignment horizontal="center" vertical="center" wrapText="1"/>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0" xfId="0" applyAlignment="1">
      <alignment vertical="center" wrapText="1"/>
    </xf>
    <xf numFmtId="49" fontId="0" fillId="0" borderId="0" xfId="0" applyNumberFormat="1"/>
    <xf numFmtId="0" fontId="4" fillId="0" borderId="0" xfId="0" applyFont="1" applyAlignment="1">
      <alignment horizontal="center" vertical="center" wrapText="1"/>
    </xf>
    <xf numFmtId="0" fontId="28" fillId="0" borderId="15" xfId="0" applyFont="1" applyBorder="1" applyAlignment="1">
      <alignment horizontal="center" vertical="center"/>
    </xf>
    <xf numFmtId="0" fontId="0" fillId="0" borderId="1" xfId="0" applyBorder="1" applyAlignment="1">
      <alignment horizontal="center" vertical="center"/>
    </xf>
    <xf numFmtId="0" fontId="5" fillId="5" borderId="4" xfId="0" applyFont="1" applyFill="1" applyBorder="1" applyAlignment="1">
      <alignment horizontal="center" vertical="center" wrapText="1"/>
    </xf>
    <xf numFmtId="0" fontId="0" fillId="0" borderId="4" xfId="0" applyBorder="1" applyAlignment="1">
      <alignment vertical="center"/>
    </xf>
    <xf numFmtId="0" fontId="0" fillId="0" borderId="4" xfId="0" applyBorder="1" applyAlignment="1">
      <alignment vertical="center" wrapText="1"/>
    </xf>
    <xf numFmtId="0" fontId="0" fillId="0" borderId="4" xfId="0" applyBorder="1" applyAlignment="1">
      <alignment horizontal="center" vertical="center"/>
    </xf>
    <xf numFmtId="0" fontId="7" fillId="0" borderId="0" xfId="0" applyFont="1" applyAlignment="1">
      <alignment horizontal="center" vertical="center"/>
    </xf>
    <xf numFmtId="0" fontId="7" fillId="5" borderId="4" xfId="0" applyFont="1" applyFill="1" applyBorder="1" applyAlignment="1">
      <alignment horizontal="center" vertical="center"/>
    </xf>
    <xf numFmtId="0" fontId="26" fillId="0" borderId="2" xfId="0" applyFont="1" applyBorder="1" applyAlignment="1">
      <alignment horizontal="center" vertical="center"/>
    </xf>
    <xf numFmtId="0" fontId="23" fillId="0" borderId="0" xfId="0" applyFont="1" applyAlignment="1">
      <alignment horizontal="center" vertical="center" wrapText="1"/>
    </xf>
    <xf numFmtId="0" fontId="0" fillId="0" borderId="4" xfId="0" applyBorder="1" applyAlignment="1">
      <alignment horizontal="center" wrapText="1"/>
    </xf>
    <xf numFmtId="0" fontId="0" fillId="0" borderId="4" xfId="0" applyBorder="1" applyAlignment="1">
      <alignment horizontal="center" vertical="center" wrapText="1"/>
    </xf>
    <xf numFmtId="0" fontId="7" fillId="0" borderId="0" xfId="0" applyFont="1" applyAlignment="1">
      <alignment horizontal="left" vertical="center" wrapText="1"/>
    </xf>
    <xf numFmtId="0" fontId="0" fillId="0" borderId="17" xfId="0" applyBorder="1" applyAlignment="1">
      <alignment horizontal="center" vertical="center"/>
    </xf>
    <xf numFmtId="0" fontId="0" fillId="0" borderId="14" xfId="0" applyBorder="1" applyAlignment="1">
      <alignment horizontal="center" vertical="center"/>
    </xf>
    <xf numFmtId="0" fontId="0" fillId="0" borderId="13" xfId="0" applyBorder="1" applyAlignment="1">
      <alignment horizontal="center" vertical="center" wrapText="1"/>
    </xf>
    <xf numFmtId="0" fontId="4" fillId="0" borderId="4" xfId="0" applyFont="1" applyBorder="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xf numFmtId="10" fontId="6" fillId="0" borderId="0" xfId="0" applyNumberFormat="1" applyFont="1" applyAlignment="1">
      <alignment horizontal="center" vertical="center" wrapText="1"/>
    </xf>
    <xf numFmtId="0" fontId="5" fillId="0" borderId="0" xfId="0" applyFont="1" applyAlignment="1">
      <alignment horizontal="center" vertical="center" wrapText="1"/>
    </xf>
    <xf numFmtId="0" fontId="6" fillId="8" borderId="0" xfId="0" applyFont="1" applyFill="1" applyAlignment="1">
      <alignment horizontal="center" vertical="center" wrapText="1"/>
    </xf>
    <xf numFmtId="0" fontId="4" fillId="4" borderId="0" xfId="0" applyFont="1" applyFill="1" applyAlignment="1">
      <alignment horizontal="center" vertical="center" wrapText="1"/>
    </xf>
    <xf numFmtId="0" fontId="19" fillId="0" borderId="0" xfId="0" applyFont="1" applyAlignment="1">
      <alignment horizontal="center" vertical="center" wrapText="1"/>
    </xf>
    <xf numFmtId="0" fontId="22" fillId="0" borderId="1" xfId="0" applyFont="1" applyBorder="1" applyAlignment="1">
      <alignment horizontal="center" vertical="center" wrapText="1"/>
    </xf>
    <xf numFmtId="0" fontId="33" fillId="2" borderId="20" xfId="0" applyFont="1" applyFill="1" applyBorder="1" applyAlignment="1">
      <alignment horizontal="center" vertical="center" wrapText="1"/>
    </xf>
    <xf numFmtId="0" fontId="33" fillId="2" borderId="1" xfId="0" applyFont="1" applyFill="1" applyBorder="1" applyAlignment="1">
      <alignment horizontal="center" vertical="center" wrapText="1"/>
    </xf>
    <xf numFmtId="0" fontId="33" fillId="2" borderId="18" xfId="0" applyFont="1" applyFill="1" applyBorder="1" applyAlignment="1">
      <alignment horizontal="center" vertical="center" wrapText="1"/>
    </xf>
    <xf numFmtId="0" fontId="33" fillId="2" borderId="5" xfId="0" applyFont="1" applyFill="1" applyBorder="1" applyAlignment="1">
      <alignment horizontal="center" vertical="center" wrapText="1"/>
    </xf>
    <xf numFmtId="0" fontId="37" fillId="0" borderId="1" xfId="0" applyFont="1" applyBorder="1" applyAlignment="1">
      <alignment horizontal="center" vertical="center" wrapText="1"/>
    </xf>
    <xf numFmtId="0" fontId="39" fillId="0" borderId="15" xfId="0" applyFont="1" applyBorder="1" applyAlignment="1">
      <alignment horizontal="center" vertical="center" wrapText="1" readingOrder="1"/>
    </xf>
    <xf numFmtId="0" fontId="36" fillId="0" borderId="1" xfId="0" applyFont="1" applyBorder="1" applyAlignment="1">
      <alignment horizontal="center" vertical="center" wrapText="1"/>
    </xf>
    <xf numFmtId="0" fontId="35" fillId="0" borderId="1" xfId="0" applyFont="1" applyBorder="1" applyAlignment="1">
      <alignment horizontal="center" vertical="center" wrapText="1" readingOrder="1"/>
    </xf>
    <xf numFmtId="0" fontId="37" fillId="0" borderId="2" xfId="0" applyFont="1" applyBorder="1" applyAlignment="1">
      <alignment horizontal="center" vertical="center" wrapText="1"/>
    </xf>
    <xf numFmtId="0" fontId="37" fillId="0" borderId="0" xfId="0" applyFont="1" applyAlignment="1">
      <alignment horizontal="center" vertical="center" wrapText="1"/>
    </xf>
    <xf numFmtId="0" fontId="37" fillId="0" borderId="15" xfId="0" applyFont="1" applyBorder="1" applyAlignment="1">
      <alignment horizontal="center" vertical="center" wrapText="1"/>
    </xf>
    <xf numFmtId="0" fontId="38" fillId="0" borderId="1" xfId="0" applyFont="1" applyBorder="1" applyAlignment="1">
      <alignment horizontal="center" vertical="center" wrapText="1"/>
    </xf>
    <xf numFmtId="0" fontId="37" fillId="0" borderId="3" xfId="0" applyFont="1" applyBorder="1" applyAlignment="1">
      <alignment horizontal="center" vertical="center" wrapText="1"/>
    </xf>
    <xf numFmtId="0" fontId="38" fillId="0" borderId="2" xfId="0" applyFont="1" applyBorder="1" applyAlignment="1">
      <alignment horizontal="center" vertical="center" wrapText="1"/>
    </xf>
    <xf numFmtId="0" fontId="38" fillId="18" borderId="1" xfId="0" applyFont="1" applyFill="1" applyBorder="1" applyAlignment="1">
      <alignment horizontal="center" vertical="center" wrapText="1"/>
    </xf>
    <xf numFmtId="0" fontId="0" fillId="0" borderId="1" xfId="0" applyBorder="1" applyAlignment="1">
      <alignment vertical="center" wrapText="1"/>
    </xf>
    <xf numFmtId="0" fontId="40" fillId="0" borderId="1" xfId="0" applyFont="1" applyBorder="1" applyAlignment="1">
      <alignment horizontal="center" vertical="center" wrapText="1"/>
    </xf>
    <xf numFmtId="0" fontId="36" fillId="0" borderId="0" xfId="0" applyFont="1" applyAlignment="1">
      <alignment horizontal="center" vertical="center" wrapText="1"/>
    </xf>
    <xf numFmtId="0" fontId="38" fillId="0" borderId="3" xfId="0" applyFont="1" applyBorder="1" applyAlignment="1">
      <alignment horizontal="center" vertical="center" wrapText="1"/>
    </xf>
    <xf numFmtId="0" fontId="38" fillId="18" borderId="2" xfId="0" applyFont="1" applyFill="1" applyBorder="1" applyAlignment="1">
      <alignment horizontal="center" vertical="center" wrapText="1"/>
    </xf>
    <xf numFmtId="0" fontId="40" fillId="0" borderId="2" xfId="0" applyFont="1" applyBorder="1" applyAlignment="1">
      <alignment horizontal="center" vertical="center" wrapText="1"/>
    </xf>
    <xf numFmtId="0" fontId="44" fillId="0" borderId="1" xfId="0" applyFont="1" applyBorder="1" applyAlignment="1">
      <alignment horizontal="center" vertical="center" wrapText="1"/>
    </xf>
    <xf numFmtId="0" fontId="37" fillId="0" borderId="5" xfId="0" applyFont="1" applyBorder="1" applyAlignment="1">
      <alignment horizontal="center" vertical="center" wrapText="1"/>
    </xf>
    <xf numFmtId="0" fontId="40" fillId="0" borderId="3" xfId="0" applyFont="1" applyBorder="1" applyAlignment="1">
      <alignment horizontal="center" vertical="center" wrapText="1"/>
    </xf>
    <xf numFmtId="0" fontId="43" fillId="0" borderId="1" xfId="0" applyFont="1" applyBorder="1" applyAlignment="1">
      <alignment horizontal="center" vertical="center" wrapText="1"/>
    </xf>
    <xf numFmtId="0" fontId="41" fillId="0" borderId="1" xfId="0" applyFont="1" applyBorder="1" applyAlignment="1">
      <alignment horizontal="center" vertical="center" wrapText="1" readingOrder="1"/>
    </xf>
    <xf numFmtId="0" fontId="0" fillId="0" borderId="2" xfId="0" applyBorder="1" applyAlignment="1">
      <alignment vertical="center" wrapText="1"/>
    </xf>
    <xf numFmtId="0" fontId="47" fillId="0" borderId="15" xfId="0" applyFont="1" applyBorder="1" applyAlignment="1">
      <alignment horizontal="center" vertical="center" wrapText="1" readingOrder="1"/>
    </xf>
    <xf numFmtId="0" fontId="45" fillId="0" borderId="1" xfId="0" applyFont="1" applyBorder="1" applyAlignment="1">
      <alignment horizontal="center" vertical="center" wrapText="1"/>
    </xf>
    <xf numFmtId="0" fontId="0" fillId="14" borderId="4" xfId="0" applyFill="1" applyBorder="1" applyAlignment="1">
      <alignment horizontal="center" vertical="center" wrapText="1"/>
    </xf>
    <xf numFmtId="0" fontId="0" fillId="14" borderId="4" xfId="0" applyFill="1" applyBorder="1" applyAlignment="1">
      <alignment vertical="center" wrapText="1"/>
    </xf>
    <xf numFmtId="0" fontId="0" fillId="14" borderId="4" xfId="0" applyFill="1" applyBorder="1" applyAlignment="1">
      <alignment vertical="center"/>
    </xf>
    <xf numFmtId="0" fontId="0" fillId="14" borderId="4" xfId="0" applyFill="1" applyBorder="1" applyAlignment="1">
      <alignment horizontal="center" vertical="center"/>
    </xf>
    <xf numFmtId="0" fontId="49" fillId="0" borderId="1" xfId="0" applyFont="1" applyBorder="1" applyAlignment="1">
      <alignment horizontal="center" vertical="center" wrapText="1"/>
    </xf>
    <xf numFmtId="0" fontId="43" fillId="0" borderId="2" xfId="0" applyFont="1" applyBorder="1" applyAlignment="1">
      <alignment horizontal="center" vertical="center" wrapText="1"/>
    </xf>
    <xf numFmtId="0" fontId="26" fillId="0" borderId="1" xfId="0" applyFont="1" applyBorder="1" applyAlignment="1">
      <alignment horizontal="center" vertical="center" wrapText="1"/>
    </xf>
    <xf numFmtId="0" fontId="43" fillId="18" borderId="1" xfId="0" applyFont="1" applyFill="1" applyBorder="1" applyAlignment="1">
      <alignment horizontal="center" vertical="center" wrapText="1"/>
    </xf>
    <xf numFmtId="0" fontId="51" fillId="0" borderId="1" xfId="0" applyFont="1" applyBorder="1" applyAlignment="1">
      <alignment horizontal="center" vertical="center" wrapText="1" readingOrder="1"/>
    </xf>
    <xf numFmtId="0" fontId="27" fillId="0" borderId="0" xfId="0" applyFont="1" applyAlignment="1">
      <alignment horizontal="center" vertical="center" wrapText="1"/>
    </xf>
    <xf numFmtId="49" fontId="34" fillId="2" borderId="1" xfId="0" applyNumberFormat="1" applyFont="1" applyFill="1" applyBorder="1" applyAlignment="1">
      <alignment horizontal="center" vertical="center" wrapText="1"/>
    </xf>
    <xf numFmtId="0" fontId="19" fillId="0" borderId="3" xfId="0" applyFont="1" applyBorder="1"/>
    <xf numFmtId="0" fontId="21" fillId="3" borderId="9" xfId="0" applyFont="1" applyFill="1" applyBorder="1" applyAlignment="1">
      <alignment horizontal="center" vertical="center"/>
    </xf>
    <xf numFmtId="0" fontId="21" fillId="3" borderId="10" xfId="0" applyFont="1" applyFill="1" applyBorder="1" applyAlignment="1">
      <alignment horizontal="center" vertical="center"/>
    </xf>
    <xf numFmtId="0" fontId="31" fillId="17" borderId="0" xfId="0" applyFont="1" applyFill="1" applyAlignment="1">
      <alignment horizontal="center" vertical="center"/>
    </xf>
    <xf numFmtId="0" fontId="5" fillId="5" borderId="12" xfId="0" applyFont="1" applyFill="1" applyBorder="1" applyAlignment="1">
      <alignment horizontal="center" vertical="center" wrapText="1"/>
    </xf>
    <xf numFmtId="0" fontId="5" fillId="5" borderId="1" xfId="0" applyFont="1" applyFill="1" applyBorder="1" applyAlignment="1">
      <alignment horizontal="center" vertical="center" wrapText="1"/>
    </xf>
    <xf numFmtId="0" fontId="3" fillId="14" borderId="1" xfId="0" applyFont="1" applyFill="1" applyBorder="1" applyAlignment="1">
      <alignment horizontal="center" vertical="center"/>
    </xf>
    <xf numFmtId="0" fontId="5" fillId="5" borderId="14" xfId="0" applyFont="1" applyFill="1" applyBorder="1" applyAlignment="1">
      <alignment horizontal="center" vertical="center" wrapText="1"/>
    </xf>
    <xf numFmtId="0" fontId="0" fillId="0" borderId="14" xfId="0" applyBorder="1" applyAlignment="1">
      <alignment horizontal="left" vertical="center" wrapText="1"/>
    </xf>
    <xf numFmtId="0" fontId="0" fillId="16" borderId="23" xfId="0" applyFill="1" applyBorder="1" applyAlignment="1">
      <alignment horizontal="center" vertical="center" wrapText="1"/>
    </xf>
    <xf numFmtId="0" fontId="53" fillId="0" borderId="3" xfId="0" applyFont="1" applyBorder="1" applyAlignment="1">
      <alignment horizontal="center" vertical="center" wrapText="1"/>
    </xf>
    <xf numFmtId="0" fontId="3" fillId="16" borderId="23" xfId="0" applyFont="1" applyFill="1" applyBorder="1" applyAlignment="1">
      <alignment vertical="center" wrapText="1"/>
    </xf>
    <xf numFmtId="0" fontId="55" fillId="0" borderId="19" xfId="0" applyFont="1" applyBorder="1" applyAlignment="1">
      <alignment horizontal="center" vertical="center" wrapText="1" readingOrder="1"/>
    </xf>
    <xf numFmtId="0" fontId="56" fillId="0" borderId="3" xfId="0" applyFont="1" applyBorder="1" applyAlignment="1">
      <alignment horizontal="center" vertical="center" wrapText="1" readingOrder="1"/>
    </xf>
    <xf numFmtId="0" fontId="57" fillId="0" borderId="3" xfId="0" applyFont="1" applyBorder="1" applyAlignment="1">
      <alignment horizontal="center" vertical="center" wrapText="1"/>
    </xf>
    <xf numFmtId="0" fontId="0" fillId="0" borderId="0" xfId="0" applyAlignment="1">
      <alignment horizontal="left" vertical="top"/>
    </xf>
    <xf numFmtId="0" fontId="53" fillId="0" borderId="3" xfId="0" applyFont="1" applyBorder="1" applyAlignment="1">
      <alignment horizontal="center" vertical="center" wrapText="1" readingOrder="1"/>
    </xf>
    <xf numFmtId="0" fontId="40" fillId="14" borderId="1" xfId="0" applyFont="1" applyFill="1" applyBorder="1" applyAlignment="1">
      <alignment horizontal="center" vertical="center" wrapText="1"/>
    </xf>
    <xf numFmtId="0" fontId="39" fillId="0" borderId="1" xfId="0" applyFont="1" applyBorder="1" applyAlignment="1">
      <alignment horizontal="center" vertical="center" wrapText="1" readingOrder="1"/>
    </xf>
    <xf numFmtId="0" fontId="42" fillId="14" borderId="1" xfId="0" applyFont="1" applyFill="1" applyBorder="1" applyAlignment="1">
      <alignment horizontal="center" vertical="center" wrapText="1" readingOrder="1"/>
    </xf>
    <xf numFmtId="0" fontId="53" fillId="0" borderId="7" xfId="0" applyFont="1" applyBorder="1" applyAlignment="1">
      <alignment horizontal="center" vertical="center" wrapText="1"/>
    </xf>
    <xf numFmtId="0" fontId="53" fillId="0" borderId="16" xfId="0" applyFont="1" applyBorder="1" applyAlignment="1">
      <alignment horizontal="center" vertical="center" wrapText="1"/>
    </xf>
    <xf numFmtId="0" fontId="38" fillId="18" borderId="7" xfId="0" applyFont="1" applyFill="1" applyBorder="1" applyAlignment="1">
      <alignment horizontal="center" vertical="center" wrapText="1"/>
    </xf>
    <xf numFmtId="0" fontId="38" fillId="0" borderId="7" xfId="0" applyFont="1" applyBorder="1" applyAlignment="1">
      <alignment horizontal="center" vertical="center" wrapText="1"/>
    </xf>
    <xf numFmtId="0" fontId="43" fillId="0" borderId="7" xfId="0" applyFont="1" applyBorder="1" applyAlignment="1">
      <alignment horizontal="center" vertical="center" wrapText="1"/>
    </xf>
    <xf numFmtId="0" fontId="46" fillId="0" borderId="2" xfId="0" applyFont="1" applyBorder="1" applyAlignment="1">
      <alignment horizontal="center" vertical="center" wrapText="1"/>
    </xf>
    <xf numFmtId="0" fontId="58" fillId="0" borderId="0" xfId="0" applyFont="1" applyAlignment="1">
      <alignment horizontal="left" vertical="center"/>
    </xf>
    <xf numFmtId="0" fontId="59" fillId="0" borderId="0" xfId="0" applyFont="1"/>
    <xf numFmtId="0" fontId="53" fillId="0" borderId="1" xfId="0" applyFont="1" applyBorder="1" applyAlignment="1">
      <alignment horizontal="center" vertical="center" wrapText="1"/>
    </xf>
    <xf numFmtId="0" fontId="53" fillId="18" borderId="1" xfId="0" applyFont="1" applyFill="1" applyBorder="1" applyAlignment="1">
      <alignment horizontal="center" vertical="center" wrapText="1"/>
    </xf>
    <xf numFmtId="0" fontId="42" fillId="0" borderId="1" xfId="0" applyFont="1" applyBorder="1" applyAlignment="1">
      <alignment horizontal="center" vertical="center" wrapText="1" readingOrder="1"/>
    </xf>
    <xf numFmtId="0" fontId="40" fillId="0" borderId="15" xfId="0" applyFont="1" applyBorder="1" applyAlignment="1">
      <alignment horizontal="center" vertical="center" wrapText="1"/>
    </xf>
    <xf numFmtId="0" fontId="43" fillId="0" borderId="3" xfId="0" applyFont="1" applyBorder="1" applyAlignment="1">
      <alignment horizontal="center" vertical="center" wrapText="1"/>
    </xf>
    <xf numFmtId="0" fontId="45" fillId="0" borderId="3" xfId="0" applyFont="1" applyBorder="1" applyAlignment="1">
      <alignment horizontal="center" vertical="center" wrapText="1"/>
    </xf>
    <xf numFmtId="0" fontId="60" fillId="0" borderId="10" xfId="0" applyFont="1" applyBorder="1" applyAlignment="1">
      <alignment horizontal="center" vertical="center" wrapText="1"/>
    </xf>
    <xf numFmtId="0" fontId="50" fillId="0" borderId="1" xfId="0" applyFont="1" applyBorder="1" applyAlignment="1">
      <alignment horizontal="center"/>
    </xf>
    <xf numFmtId="0" fontId="60" fillId="0" borderId="7" xfId="0" applyFont="1" applyBorder="1" applyAlignment="1">
      <alignment horizontal="center" vertical="center" wrapText="1"/>
    </xf>
    <xf numFmtId="0" fontId="0" fillId="14" borderId="9" xfId="0" applyFill="1" applyBorder="1" applyAlignment="1">
      <alignment horizontal="center" vertical="center" wrapText="1"/>
    </xf>
    <xf numFmtId="0" fontId="47" fillId="0" borderId="1" xfId="0" applyFont="1" applyBorder="1" applyAlignment="1">
      <alignment horizontal="center" vertical="center" wrapText="1" readingOrder="1"/>
    </xf>
    <xf numFmtId="0" fontId="62" fillId="0" borderId="2" xfId="0" applyFont="1" applyBorder="1" applyAlignment="1">
      <alignment horizontal="center" vertical="center" wrapText="1"/>
    </xf>
    <xf numFmtId="0" fontId="63" fillId="0" borderId="1" xfId="0" applyFont="1" applyBorder="1" applyAlignment="1">
      <alignment horizontal="center" vertical="center" wrapText="1" readingOrder="1"/>
    </xf>
    <xf numFmtId="0" fontId="64" fillId="0" borderId="1" xfId="0" applyFont="1" applyBorder="1" applyAlignment="1">
      <alignment horizontal="center" vertical="center" wrapText="1" readingOrder="1"/>
    </xf>
    <xf numFmtId="0" fontId="62" fillId="0" borderId="1" xfId="0" applyFont="1" applyBorder="1" applyAlignment="1">
      <alignment horizontal="center" vertical="center" wrapText="1"/>
    </xf>
    <xf numFmtId="0" fontId="47" fillId="0" borderId="1" xfId="0" applyFont="1" applyBorder="1" applyAlignment="1">
      <alignment horizontal="center" vertical="center" wrapText="1"/>
    </xf>
    <xf numFmtId="0" fontId="54" fillId="0" borderId="1" xfId="0" applyFont="1" applyBorder="1" applyAlignment="1">
      <alignment horizontal="center" vertical="center" wrapText="1"/>
    </xf>
    <xf numFmtId="0" fontId="40" fillId="18" borderId="2" xfId="0" applyFont="1" applyFill="1" applyBorder="1" applyAlignment="1">
      <alignment horizontal="center" vertical="center" wrapText="1"/>
    </xf>
    <xf numFmtId="0" fontId="65" fillId="0" borderId="3" xfId="0" applyFont="1" applyBorder="1" applyAlignment="1">
      <alignment horizontal="center" vertical="center" wrapText="1"/>
    </xf>
    <xf numFmtId="0" fontId="26" fillId="0" borderId="3" xfId="0" applyFont="1" applyBorder="1" applyAlignment="1">
      <alignment vertical="center" wrapText="1"/>
    </xf>
    <xf numFmtId="0" fontId="40" fillId="0" borderId="0" xfId="0" applyFont="1" applyAlignment="1">
      <alignment horizontal="center" vertical="center" wrapText="1"/>
    </xf>
    <xf numFmtId="0" fontId="26" fillId="0" borderId="0" xfId="0" applyFont="1" applyAlignment="1">
      <alignment vertical="center" wrapText="1"/>
    </xf>
    <xf numFmtId="0" fontId="65" fillId="0" borderId="1" xfId="0" applyFont="1" applyBorder="1" applyAlignment="1">
      <alignment horizontal="center" vertical="center" wrapText="1"/>
    </xf>
    <xf numFmtId="0" fontId="26" fillId="0" borderId="1" xfId="0" applyFont="1" applyBorder="1" applyAlignment="1">
      <alignment vertical="center" wrapText="1"/>
    </xf>
    <xf numFmtId="0" fontId="60" fillId="0" borderId="3" xfId="0" applyFont="1" applyBorder="1" applyAlignment="1">
      <alignment horizontal="center" vertical="center" wrapText="1" readingOrder="1"/>
    </xf>
    <xf numFmtId="0" fontId="26" fillId="14" borderId="1" xfId="0" applyFont="1" applyFill="1" applyBorder="1" applyAlignment="1">
      <alignment horizontal="center" vertical="center"/>
    </xf>
    <xf numFmtId="0" fontId="28" fillId="14" borderId="1" xfId="0" applyFont="1" applyFill="1" applyBorder="1" applyAlignment="1">
      <alignment vertical="center" wrapText="1"/>
    </xf>
    <xf numFmtId="0" fontId="28" fillId="14" borderId="1" xfId="0" applyFont="1" applyFill="1" applyBorder="1" applyAlignment="1">
      <alignment horizontal="center" vertical="center" wrapText="1"/>
    </xf>
    <xf numFmtId="0" fontId="66" fillId="0" borderId="1" xfId="0" applyFont="1" applyBorder="1" applyAlignment="1">
      <alignment horizontal="center"/>
    </xf>
    <xf numFmtId="0" fontId="66" fillId="0" borderId="1" xfId="0" applyFont="1" applyBorder="1" applyAlignment="1">
      <alignment horizontal="center" vertical="center" wrapText="1"/>
    </xf>
    <xf numFmtId="0" fontId="67" fillId="0" borderId="3" xfId="0" applyFont="1" applyBorder="1" applyAlignment="1">
      <alignment horizontal="center" vertical="center" wrapText="1"/>
    </xf>
    <xf numFmtId="0" fontId="61" fillId="0" borderId="3" xfId="0" applyFont="1" applyBorder="1" applyAlignment="1">
      <alignment horizontal="center" vertical="center" wrapText="1"/>
    </xf>
    <xf numFmtId="0" fontId="67" fillId="0" borderId="3" xfId="0" applyFont="1" applyBorder="1" applyAlignment="1">
      <alignment horizontal="center" vertical="center" wrapText="1" readingOrder="1"/>
    </xf>
    <xf numFmtId="14" fontId="40" fillId="0" borderId="1" xfId="0" applyNumberFormat="1" applyFont="1" applyBorder="1" applyAlignment="1">
      <alignment horizontal="center" vertical="center" wrapText="1"/>
    </xf>
    <xf numFmtId="0" fontId="54" fillId="0" borderId="1" xfId="0" applyFont="1" applyBorder="1" applyAlignment="1">
      <alignment horizontal="center"/>
    </xf>
    <xf numFmtId="0" fontId="45" fillId="0" borderId="2" xfId="0" applyFont="1" applyBorder="1" applyAlignment="1">
      <alignment horizontal="center" vertical="center" wrapText="1"/>
    </xf>
    <xf numFmtId="14" fontId="45" fillId="0" borderId="1" xfId="0" applyNumberFormat="1" applyFont="1" applyBorder="1" applyAlignment="1">
      <alignment horizontal="center" vertical="center" wrapText="1"/>
    </xf>
    <xf numFmtId="0" fontId="45" fillId="0" borderId="19" xfId="0" applyFont="1" applyBorder="1" applyAlignment="1">
      <alignment horizontal="center" vertical="center" wrapText="1"/>
    </xf>
    <xf numFmtId="0" fontId="54" fillId="0" borderId="1" xfId="0" applyFont="1" applyBorder="1" applyAlignment="1">
      <alignment horizontal="center" vertical="center"/>
    </xf>
    <xf numFmtId="0" fontId="3" fillId="16" borderId="1" xfId="0" applyFont="1" applyFill="1" applyBorder="1" applyAlignment="1">
      <alignment horizontal="center" vertical="center" wrapText="1"/>
    </xf>
    <xf numFmtId="0" fontId="0" fillId="16" borderId="24" xfId="0" applyFill="1" applyBorder="1" applyAlignment="1">
      <alignment horizontal="center" vertical="center" wrapText="1"/>
    </xf>
    <xf numFmtId="0" fontId="51" fillId="0" borderId="15" xfId="0" applyFont="1" applyBorder="1" applyAlignment="1">
      <alignment horizontal="center" vertical="center" wrapText="1" readingOrder="1"/>
    </xf>
    <xf numFmtId="0" fontId="3" fillId="16" borderId="3" xfId="0" applyFont="1" applyFill="1" applyBorder="1" applyAlignment="1">
      <alignment vertical="center" wrapText="1"/>
    </xf>
    <xf numFmtId="0" fontId="66" fillId="0" borderId="15" xfId="0" applyFont="1" applyBorder="1" applyAlignment="1">
      <alignment horizontal="center"/>
    </xf>
    <xf numFmtId="0" fontId="67" fillId="0" borderId="19" xfId="0" applyFont="1" applyBorder="1" applyAlignment="1">
      <alignment horizontal="center" vertical="center" wrapText="1" readingOrder="1"/>
    </xf>
    <xf numFmtId="0" fontId="45" fillId="0" borderId="9" xfId="0" applyFont="1" applyBorder="1" applyAlignment="1">
      <alignment horizontal="center" vertical="center" wrapText="1"/>
    </xf>
    <xf numFmtId="14" fontId="45" fillId="0" borderId="15" xfId="0" applyNumberFormat="1" applyFont="1" applyBorder="1" applyAlignment="1">
      <alignment horizontal="center" vertical="center" wrapText="1"/>
    </xf>
    <xf numFmtId="0" fontId="52" fillId="0" borderId="3" xfId="0" applyFont="1" applyBorder="1"/>
    <xf numFmtId="0" fontId="68" fillId="9" borderId="0" xfId="0" applyFont="1" applyFill="1" applyAlignment="1">
      <alignment horizontal="center" vertical="center"/>
    </xf>
    <xf numFmtId="0" fontId="52" fillId="14" borderId="1" xfId="0" applyFont="1" applyFill="1" applyBorder="1" applyAlignment="1">
      <alignment vertical="top" wrapText="1"/>
    </xf>
    <xf numFmtId="0" fontId="52" fillId="14" borderId="1" xfId="0" applyFont="1" applyFill="1" applyBorder="1"/>
    <xf numFmtId="0" fontId="66" fillId="0" borderId="19" xfId="0" applyFont="1" applyBorder="1" applyAlignment="1">
      <alignment horizontal="center" vertical="center" wrapText="1" readingOrder="1"/>
    </xf>
    <xf numFmtId="0" fontId="61" fillId="0" borderId="9" xfId="0" applyFont="1" applyBorder="1" applyAlignment="1">
      <alignment horizontal="center" vertical="center" wrapText="1"/>
    </xf>
    <xf numFmtId="14" fontId="61" fillId="0" borderId="15" xfId="0" applyNumberFormat="1" applyFont="1" applyBorder="1" applyAlignment="1">
      <alignment horizontal="center" vertical="center" wrapText="1"/>
    </xf>
    <xf numFmtId="0" fontId="61" fillId="0" borderId="19" xfId="0" applyFont="1" applyBorder="1" applyAlignment="1">
      <alignment horizontal="center" vertical="center" wrapText="1"/>
    </xf>
    <xf numFmtId="14" fontId="40" fillId="18" borderId="2" xfId="0" applyNumberFormat="1" applyFont="1" applyFill="1" applyBorder="1" applyAlignment="1">
      <alignment horizontal="center" vertical="center" wrapText="1"/>
    </xf>
    <xf numFmtId="14" fontId="40" fillId="0" borderId="2" xfId="0" applyNumberFormat="1" applyFont="1" applyBorder="1" applyAlignment="1">
      <alignment horizontal="center" vertical="center" wrapText="1"/>
    </xf>
    <xf numFmtId="0" fontId="66" fillId="0" borderId="3" xfId="0" applyFont="1" applyBorder="1" applyAlignment="1">
      <alignment horizontal="center" vertical="center" wrapText="1" readingOrder="1"/>
    </xf>
    <xf numFmtId="0" fontId="61" fillId="0" borderId="2" xfId="0" applyFont="1" applyBorder="1" applyAlignment="1">
      <alignment horizontal="center" vertical="center" wrapText="1"/>
    </xf>
    <xf numFmtId="14" fontId="61" fillId="0" borderId="1" xfId="0" applyNumberFormat="1" applyFont="1" applyBorder="1" applyAlignment="1">
      <alignment horizontal="center" vertical="center" wrapText="1"/>
    </xf>
    <xf numFmtId="0" fontId="67" fillId="0" borderId="1" xfId="0" applyFont="1" applyBorder="1" applyAlignment="1">
      <alignment horizontal="center" vertical="center" wrapText="1"/>
    </xf>
    <xf numFmtId="14" fontId="45" fillId="18" borderId="2" xfId="0" applyNumberFormat="1" applyFont="1" applyFill="1" applyBorder="1" applyAlignment="1">
      <alignment horizontal="center" vertical="center" wrapText="1"/>
    </xf>
    <xf numFmtId="0" fontId="45" fillId="18" borderId="2" xfId="0" applyFont="1" applyFill="1" applyBorder="1" applyAlignment="1">
      <alignment horizontal="center" vertical="center" wrapText="1"/>
    </xf>
    <xf numFmtId="14" fontId="45" fillId="0" borderId="2" xfId="0" applyNumberFormat="1" applyFont="1" applyBorder="1" applyAlignment="1">
      <alignment horizontal="center" vertical="center" wrapText="1"/>
    </xf>
    <xf numFmtId="0" fontId="67" fillId="18" borderId="1" xfId="0" applyFont="1" applyFill="1" applyBorder="1" applyAlignment="1">
      <alignment horizontal="center" vertical="center" wrapText="1"/>
    </xf>
    <xf numFmtId="14" fontId="61" fillId="0" borderId="2" xfId="0" applyNumberFormat="1" applyFont="1" applyBorder="1" applyAlignment="1">
      <alignment horizontal="center" vertical="center" wrapText="1"/>
    </xf>
    <xf numFmtId="49" fontId="54" fillId="0" borderId="1" xfId="0" applyNumberFormat="1" applyFont="1" applyBorder="1" applyAlignment="1">
      <alignment horizontal="center" vertical="center"/>
    </xf>
    <xf numFmtId="49" fontId="54" fillId="0" borderId="1" xfId="0" applyNumberFormat="1" applyFont="1" applyBorder="1" applyAlignment="1">
      <alignment horizontal="center" vertical="center" wrapText="1"/>
    </xf>
    <xf numFmtId="0" fontId="28" fillId="14" borderId="3" xfId="0" applyFont="1" applyFill="1" applyBorder="1" applyAlignment="1">
      <alignment horizontal="center" vertical="center" wrapText="1"/>
    </xf>
    <xf numFmtId="0" fontId="52" fillId="14" borderId="0" xfId="0" applyFont="1" applyFill="1" applyAlignment="1">
      <alignment vertical="top" wrapText="1"/>
    </xf>
    <xf numFmtId="0" fontId="52" fillId="14" borderId="5" xfId="0" applyFont="1" applyFill="1" applyBorder="1" applyAlignment="1">
      <alignment vertical="top" wrapText="1"/>
    </xf>
    <xf numFmtId="0" fontId="3" fillId="0" borderId="2" xfId="0" applyFont="1" applyBorder="1" applyAlignment="1">
      <alignment horizontal="center" vertical="center"/>
    </xf>
    <xf numFmtId="0" fontId="0" fillId="0" borderId="14" xfId="0" applyBorder="1" applyAlignment="1">
      <alignment horizontal="center" vertical="center" wrapText="1"/>
    </xf>
    <xf numFmtId="0" fontId="0" fillId="0" borderId="4" xfId="0" applyBorder="1" applyAlignment="1">
      <alignment horizontal="left" vertical="center" wrapText="1"/>
    </xf>
    <xf numFmtId="0" fontId="26" fillId="0" borderId="14" xfId="0" applyFont="1" applyBorder="1" applyAlignment="1">
      <alignment horizontal="left" vertical="center" wrapText="1"/>
    </xf>
    <xf numFmtId="0" fontId="28" fillId="14" borderId="2" xfId="0" applyFont="1" applyFill="1" applyBorder="1" applyAlignment="1">
      <alignment vertical="center" wrapText="1"/>
    </xf>
    <xf numFmtId="0" fontId="28" fillId="14" borderId="2" xfId="0" applyFont="1" applyFill="1" applyBorder="1" applyAlignment="1">
      <alignment horizontal="center" vertical="center" wrapText="1"/>
    </xf>
    <xf numFmtId="0" fontId="52" fillId="0" borderId="0" xfId="0" applyFont="1" applyAlignment="1">
      <alignment horizontal="center" vertical="center" wrapText="1"/>
    </xf>
    <xf numFmtId="0" fontId="28" fillId="0" borderId="0" xfId="0" applyFont="1" applyAlignment="1">
      <alignment horizontal="center" vertical="center" wrapText="1"/>
    </xf>
    <xf numFmtId="0" fontId="70" fillId="0" borderId="0" xfId="0" applyFont="1" applyAlignment="1">
      <alignment horizontal="center" vertical="center" wrapText="1"/>
    </xf>
    <xf numFmtId="0" fontId="71" fillId="8" borderId="0" xfId="0" applyFont="1" applyFill="1" applyAlignment="1">
      <alignment horizontal="center" vertical="center" wrapText="1"/>
    </xf>
    <xf numFmtId="0" fontId="71" fillId="0" borderId="0" xfId="0" applyFont="1" applyAlignment="1">
      <alignment horizontal="center" vertical="center" wrapText="1"/>
    </xf>
    <xf numFmtId="0" fontId="69" fillId="0" borderId="0" xfId="0" applyFont="1" applyAlignment="1">
      <alignment horizontal="center" vertical="center" wrapText="1"/>
    </xf>
    <xf numFmtId="0" fontId="28" fillId="4" borderId="0" xfId="0" applyFont="1" applyFill="1" applyAlignment="1">
      <alignment horizontal="center" vertical="center" wrapText="1"/>
    </xf>
    <xf numFmtId="10" fontId="71" fillId="0" borderId="0" xfId="0" applyNumberFormat="1" applyFont="1" applyAlignment="1">
      <alignment horizontal="center" vertical="center" wrapText="1"/>
    </xf>
    <xf numFmtId="0" fontId="70" fillId="5" borderId="8" xfId="0" applyFont="1" applyFill="1" applyBorder="1" applyAlignment="1">
      <alignment horizontal="center" vertical="center" wrapText="1"/>
    </xf>
    <xf numFmtId="0" fontId="70" fillId="5" borderId="12" xfId="0" applyFont="1" applyFill="1" applyBorder="1" applyAlignment="1">
      <alignment horizontal="center" vertical="center" wrapText="1"/>
    </xf>
    <xf numFmtId="0" fontId="28" fillId="0" borderId="4" xfId="0" applyFont="1" applyBorder="1" applyAlignment="1">
      <alignment horizontal="center" vertical="center" wrapText="1"/>
    </xf>
    <xf numFmtId="0" fontId="19" fillId="0" borderId="3" xfId="0" applyFont="1" applyBorder="1" applyAlignment="1">
      <alignment vertical="center"/>
    </xf>
    <xf numFmtId="0" fontId="19" fillId="14" borderId="1" xfId="0" applyFont="1" applyFill="1" applyBorder="1" applyAlignment="1">
      <alignment horizontal="left" vertical="center" wrapText="1"/>
    </xf>
    <xf numFmtId="0" fontId="52" fillId="14" borderId="1" xfId="0" applyFont="1" applyFill="1" applyBorder="1" applyAlignment="1">
      <alignment horizontal="left" vertical="center" wrapText="1"/>
    </xf>
    <xf numFmtId="0" fontId="52" fillId="0" borderId="1" xfId="0" applyFont="1" applyBorder="1" applyAlignment="1">
      <alignment vertical="center"/>
    </xf>
    <xf numFmtId="49" fontId="19" fillId="0" borderId="1" xfId="0" applyNumberFormat="1" applyFont="1" applyBorder="1" applyAlignment="1">
      <alignment vertical="center"/>
    </xf>
    <xf numFmtId="0" fontId="4" fillId="0" borderId="1" xfId="0" applyFont="1" applyBorder="1" applyAlignment="1">
      <alignment horizontal="center" vertical="center" wrapText="1"/>
    </xf>
    <xf numFmtId="0" fontId="28" fillId="16" borderId="1" xfId="0" applyFont="1" applyFill="1" applyBorder="1" applyAlignment="1">
      <alignment horizontal="center" vertical="center" wrapText="1"/>
    </xf>
    <xf numFmtId="0" fontId="4" fillId="0" borderId="14" xfId="0" applyFont="1" applyBorder="1" applyAlignment="1">
      <alignment horizontal="center" vertical="center" wrapText="1"/>
    </xf>
    <xf numFmtId="3" fontId="28" fillId="14" borderId="1" xfId="0" applyNumberFormat="1" applyFont="1" applyFill="1" applyBorder="1" applyAlignment="1">
      <alignment horizontal="center" vertical="center" wrapText="1"/>
    </xf>
    <xf numFmtId="0" fontId="19" fillId="14" borderId="1" xfId="0" applyFont="1" applyFill="1" applyBorder="1" applyAlignment="1">
      <alignment horizontal="left" vertical="top" wrapText="1"/>
    </xf>
    <xf numFmtId="3" fontId="28" fillId="14" borderId="3" xfId="0" applyNumberFormat="1" applyFont="1" applyFill="1" applyBorder="1" applyAlignment="1">
      <alignment horizontal="center" vertical="center" wrapText="1"/>
    </xf>
    <xf numFmtId="0" fontId="52" fillId="14" borderId="1" xfId="0" applyFont="1" applyFill="1" applyBorder="1" applyAlignment="1">
      <alignment horizontal="left" vertical="top" wrapText="1"/>
    </xf>
    <xf numFmtId="0" fontId="28" fillId="16" borderId="5" xfId="0" applyFont="1" applyFill="1" applyBorder="1" applyAlignment="1">
      <alignment horizontal="center" vertical="center" wrapText="1"/>
    </xf>
    <xf numFmtId="0" fontId="72" fillId="14" borderId="1" xfId="0" applyFont="1" applyFill="1" applyBorder="1" applyAlignment="1">
      <alignment horizontal="left" vertical="center" wrapText="1"/>
    </xf>
    <xf numFmtId="0" fontId="73" fillId="14" borderId="1" xfId="0" applyFont="1" applyFill="1" applyBorder="1" applyAlignment="1">
      <alignment vertical="top" wrapText="1"/>
    </xf>
    <xf numFmtId="0" fontId="28" fillId="16" borderId="1" xfId="0" applyFont="1" applyFill="1" applyBorder="1" applyAlignment="1">
      <alignment horizontal="left" vertical="center" wrapText="1"/>
    </xf>
    <xf numFmtId="0" fontId="10" fillId="14" borderId="0" xfId="2" applyFill="1" applyAlignment="1">
      <alignment wrapText="1" readingOrder="1"/>
    </xf>
    <xf numFmtId="0" fontId="28" fillId="0" borderId="1" xfId="0" applyFont="1" applyBorder="1" applyAlignment="1">
      <alignment horizontal="left" vertical="top" wrapText="1"/>
    </xf>
    <xf numFmtId="0" fontId="23" fillId="0" borderId="1" xfId="0" applyFont="1" applyBorder="1" applyAlignment="1">
      <alignment horizontal="center" vertical="center" wrapText="1"/>
    </xf>
    <xf numFmtId="0" fontId="19" fillId="0" borderId="1" xfId="0" applyFont="1" applyBorder="1" applyAlignment="1">
      <alignment vertical="top"/>
    </xf>
    <xf numFmtId="0" fontId="52" fillId="14" borderId="3" xfId="0" applyFont="1" applyFill="1" applyBorder="1"/>
    <xf numFmtId="0" fontId="4" fillId="0" borderId="28" xfId="0" applyFont="1" applyBorder="1" applyAlignment="1">
      <alignment horizontal="center" vertical="center" wrapText="1"/>
    </xf>
    <xf numFmtId="0" fontId="4" fillId="0" borderId="15" xfId="0" applyFont="1" applyBorder="1" applyAlignment="1">
      <alignment horizontal="center" vertical="center" wrapText="1"/>
    </xf>
    <xf numFmtId="0" fontId="48" fillId="0" borderId="1" xfId="0" applyFont="1" applyBorder="1" applyAlignment="1">
      <alignment horizontal="center" vertical="center"/>
    </xf>
    <xf numFmtId="0" fontId="29" fillId="14" borderId="3" xfId="0" applyFont="1" applyFill="1" applyBorder="1" applyAlignment="1">
      <alignment horizontal="left" vertical="center" wrapText="1"/>
    </xf>
    <xf numFmtId="0" fontId="23" fillId="0" borderId="15" xfId="0" applyFont="1" applyBorder="1" applyAlignment="1">
      <alignment horizontal="center" vertical="center" wrapText="1"/>
    </xf>
    <xf numFmtId="0" fontId="0" fillId="11" borderId="0" xfId="2" applyFont="1" applyFill="1"/>
    <xf numFmtId="49" fontId="52" fillId="0" borderId="1" xfId="0" applyNumberFormat="1" applyFont="1" applyBorder="1" applyAlignment="1">
      <alignment vertical="center"/>
    </xf>
    <xf numFmtId="0" fontId="52" fillId="0" borderId="1" xfId="0" applyFont="1" applyBorder="1" applyAlignment="1">
      <alignment vertical="center" wrapText="1"/>
    </xf>
    <xf numFmtId="0" fontId="19" fillId="0" borderId="3" xfId="0" applyFont="1" applyBorder="1" applyAlignment="1">
      <alignment wrapText="1"/>
    </xf>
    <xf numFmtId="14" fontId="0" fillId="0" borderId="4" xfId="0" applyNumberFormat="1" applyBorder="1" applyAlignment="1">
      <alignment horizontal="center" vertical="center" wrapText="1"/>
    </xf>
    <xf numFmtId="0" fontId="22" fillId="19" borderId="1" xfId="0" applyFont="1" applyFill="1" applyBorder="1" applyAlignment="1">
      <alignment horizontal="center" vertical="center" wrapText="1"/>
    </xf>
    <xf numFmtId="0" fontId="28" fillId="19" borderId="4" xfId="0" applyFont="1" applyFill="1" applyBorder="1" applyAlignment="1">
      <alignment horizontal="center" vertical="center" wrapText="1"/>
    </xf>
    <xf numFmtId="0" fontId="0" fillId="19" borderId="4" xfId="0" applyFill="1" applyBorder="1" applyAlignment="1">
      <alignment horizontal="center" vertical="center" wrapText="1"/>
    </xf>
    <xf numFmtId="0" fontId="0" fillId="19" borderId="4" xfId="0" applyFill="1" applyBorder="1" applyAlignment="1">
      <alignment horizontal="center" wrapText="1"/>
    </xf>
    <xf numFmtId="14" fontId="28" fillId="0" borderId="0" xfId="0" applyNumberFormat="1" applyFont="1" applyAlignment="1">
      <alignment horizontal="center" vertical="center" wrapText="1"/>
    </xf>
    <xf numFmtId="14" fontId="0" fillId="19" borderId="4" xfId="0" applyNumberFormat="1" applyFill="1" applyBorder="1" applyAlignment="1">
      <alignment horizontal="center" vertical="center" wrapText="1"/>
    </xf>
    <xf numFmtId="14" fontId="0" fillId="0" borderId="0" xfId="0" applyNumberFormat="1" applyAlignment="1">
      <alignment horizontal="center" vertical="center" wrapText="1"/>
    </xf>
    <xf numFmtId="0" fontId="26" fillId="0" borderId="4" xfId="0" applyFont="1" applyBorder="1" applyAlignment="1">
      <alignment horizontal="center" vertical="center" wrapText="1"/>
    </xf>
    <xf numFmtId="0" fontId="28" fillId="0" borderId="13" xfId="0" applyFont="1" applyBorder="1" applyAlignment="1">
      <alignment horizontal="center" vertical="center" wrapText="1"/>
    </xf>
    <xf numFmtId="0" fontId="28" fillId="0" borderId="14" xfId="0" applyFont="1" applyBorder="1" applyAlignment="1">
      <alignment horizontal="center" vertical="center" wrapText="1"/>
    </xf>
    <xf numFmtId="0" fontId="28" fillId="0" borderId="12" xfId="0" applyFont="1" applyBorder="1" applyAlignment="1">
      <alignment horizontal="center" vertical="center" wrapText="1"/>
    </xf>
    <xf numFmtId="0" fontId="0" fillId="0" borderId="13" xfId="0" applyBorder="1" applyAlignment="1">
      <alignment vertical="center"/>
    </xf>
    <xf numFmtId="0" fontId="30" fillId="0" borderId="14" xfId="0" applyFont="1" applyBorder="1" applyAlignment="1">
      <alignment horizontal="left" vertical="center" wrapText="1"/>
    </xf>
    <xf numFmtId="0" fontId="0" fillId="14" borderId="14" xfId="0" applyFill="1" applyBorder="1" applyAlignment="1">
      <alignment horizontal="left" vertical="center" wrapText="1"/>
    </xf>
    <xf numFmtId="0" fontId="0" fillId="14" borderId="13" xfId="0" applyFill="1" applyBorder="1" applyAlignment="1">
      <alignment vertical="center"/>
    </xf>
    <xf numFmtId="0" fontId="0" fillId="14" borderId="0" xfId="0" applyFill="1" applyAlignment="1">
      <alignment vertical="center"/>
    </xf>
    <xf numFmtId="0" fontId="0" fillId="0" borderId="22" xfId="0" applyBorder="1" applyAlignment="1">
      <alignment horizontal="left" vertical="center" wrapText="1"/>
    </xf>
    <xf numFmtId="0" fontId="0" fillId="0" borderId="0" xfId="0" applyAlignment="1">
      <alignment horizontal="left" vertical="center" wrapText="1"/>
    </xf>
    <xf numFmtId="0" fontId="30"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79" fillId="18" borderId="0" xfId="0" applyFont="1" applyFill="1" applyAlignment="1">
      <alignment vertical="top"/>
    </xf>
    <xf numFmtId="0" fontId="79" fillId="18" borderId="1" xfId="0" applyFont="1" applyFill="1" applyBorder="1" applyAlignment="1">
      <alignment vertical="center" wrapText="1"/>
    </xf>
    <xf numFmtId="0" fontId="0" fillId="0" borderId="17" xfId="0" applyBorder="1" applyAlignment="1">
      <alignment horizontal="left" vertical="center" wrapText="1"/>
    </xf>
    <xf numFmtId="0" fontId="0" fillId="0" borderId="1" xfId="0" applyBorder="1" applyAlignment="1">
      <alignment vertical="center"/>
    </xf>
    <xf numFmtId="0" fontId="28" fillId="0" borderId="15" xfId="0" applyFont="1" applyBorder="1" applyAlignment="1">
      <alignment horizontal="center" vertical="center" wrapText="1"/>
    </xf>
    <xf numFmtId="0" fontId="29" fillId="0" borderId="15" xfId="0" applyFont="1" applyBorder="1" applyAlignment="1">
      <alignment horizontal="center" vertical="center" wrapText="1"/>
    </xf>
    <xf numFmtId="0" fontId="4" fillId="0" borderId="9" xfId="0" applyFont="1" applyBorder="1" applyAlignment="1">
      <alignment horizontal="center" vertical="center" wrapText="1"/>
    </xf>
    <xf numFmtId="0" fontId="28" fillId="0" borderId="9" xfId="0" applyFont="1" applyBorder="1" applyAlignment="1">
      <alignment horizontal="center" vertical="center" wrapText="1"/>
    </xf>
    <xf numFmtId="49" fontId="19" fillId="0" borderId="19" xfId="0" applyNumberFormat="1" applyFont="1" applyBorder="1" applyAlignment="1">
      <alignment vertical="center"/>
    </xf>
    <xf numFmtId="49" fontId="19" fillId="0" borderId="3" xfId="0" applyNumberFormat="1" applyFont="1" applyBorder="1" applyAlignment="1">
      <alignment vertical="center"/>
    </xf>
    <xf numFmtId="0" fontId="23" fillId="0" borderId="5" xfId="0" applyFont="1" applyBorder="1" applyAlignment="1">
      <alignment horizontal="center" vertical="center" wrapText="1"/>
    </xf>
    <xf numFmtId="0" fontId="4" fillId="0" borderId="2" xfId="0" applyFont="1" applyBorder="1" applyAlignment="1">
      <alignment horizontal="center" vertical="center" wrapText="1"/>
    </xf>
    <xf numFmtId="0" fontId="29" fillId="14" borderId="3" xfId="0" applyFont="1" applyFill="1" applyBorder="1" applyAlignment="1">
      <alignment horizontal="center" vertical="center" wrapText="1" indent="1"/>
    </xf>
    <xf numFmtId="0" fontId="19" fillId="0" borderId="3" xfId="0" applyFont="1" applyBorder="1" applyAlignment="1">
      <alignment horizontal="center" vertical="center" indent="1"/>
    </xf>
    <xf numFmtId="0" fontId="19" fillId="0" borderId="1" xfId="0" applyFont="1" applyBorder="1" applyAlignment="1">
      <alignment horizontal="center" vertical="center" wrapText="1" indent="1"/>
    </xf>
    <xf numFmtId="0" fontId="52" fillId="0" borderId="1" xfId="0" applyFont="1" applyBorder="1" applyAlignment="1">
      <alignment horizontal="center" vertical="center" wrapText="1" indent="1"/>
    </xf>
    <xf numFmtId="0" fontId="81" fillId="18" borderId="0" xfId="0" applyFont="1" applyFill="1" applyAlignment="1">
      <alignment horizontal="center" vertical="center" wrapText="1" indent="1"/>
    </xf>
    <xf numFmtId="0" fontId="52" fillId="0" borderId="1" xfId="0" applyFont="1" applyBorder="1" applyAlignment="1">
      <alignment vertical="top"/>
    </xf>
    <xf numFmtId="0" fontId="52" fillId="0" borderId="1" xfId="0" applyFont="1" applyBorder="1" applyAlignment="1">
      <alignment horizontal="center" vertical="center" wrapText="1"/>
    </xf>
    <xf numFmtId="0" fontId="19" fillId="0" borderId="5" xfId="0" applyFont="1" applyBorder="1" applyAlignment="1">
      <alignment horizontal="center" vertical="center" wrapText="1"/>
    </xf>
    <xf numFmtId="0" fontId="19" fillId="0" borderId="1" xfId="0" applyFont="1" applyBorder="1" applyAlignment="1">
      <alignment horizontal="center" vertical="center" wrapText="1"/>
    </xf>
    <xf numFmtId="0" fontId="52" fillId="0" borderId="5" xfId="0" applyFont="1" applyBorder="1" applyAlignment="1">
      <alignment horizontal="center" vertical="center" wrapText="1"/>
    </xf>
    <xf numFmtId="0" fontId="5" fillId="5" borderId="8" xfId="0" applyFont="1" applyFill="1" applyBorder="1" applyAlignment="1">
      <alignment horizontal="center" vertical="center" wrapText="1"/>
    </xf>
    <xf numFmtId="0" fontId="5" fillId="5" borderId="12" xfId="0" applyFont="1" applyFill="1" applyBorder="1" applyAlignment="1">
      <alignment horizontal="center" vertical="center" wrapText="1"/>
    </xf>
    <xf numFmtId="0" fontId="5" fillId="5" borderId="21" xfId="0" applyFont="1" applyFill="1" applyBorder="1" applyAlignment="1">
      <alignment horizontal="center" vertical="center" wrapText="1"/>
    </xf>
    <xf numFmtId="0" fontId="5" fillId="5" borderId="4" xfId="0" applyFont="1" applyFill="1" applyBorder="1" applyAlignment="1">
      <alignment horizontal="center" vertical="center" wrapText="1"/>
    </xf>
    <xf numFmtId="0" fontId="17" fillId="5" borderId="2" xfId="0" applyFont="1" applyFill="1" applyBorder="1" applyAlignment="1">
      <alignment horizontal="center" vertical="center"/>
    </xf>
    <xf numFmtId="0" fontId="17" fillId="5" borderId="3" xfId="0" applyFont="1" applyFill="1" applyBorder="1" applyAlignment="1">
      <alignment horizontal="center" vertical="center"/>
    </xf>
    <xf numFmtId="0" fontId="18" fillId="7" borderId="5" xfId="0" applyFont="1" applyFill="1" applyBorder="1" applyAlignment="1">
      <alignment vertical="center" wrapText="1"/>
    </xf>
    <xf numFmtId="0" fontId="18" fillId="7" borderId="6" xfId="0" applyFont="1" applyFill="1" applyBorder="1" applyAlignment="1">
      <alignment vertical="center" wrapText="1"/>
    </xf>
    <xf numFmtId="0" fontId="16" fillId="0" borderId="2" xfId="0" applyFont="1" applyBorder="1" applyAlignment="1">
      <alignment horizontal="center" vertical="center"/>
    </xf>
    <xf numFmtId="0" fontId="16" fillId="0" borderId="7" xfId="0" applyFont="1" applyBorder="1" applyAlignment="1">
      <alignment horizontal="center" vertical="center"/>
    </xf>
    <xf numFmtId="0" fontId="17" fillId="5" borderId="5" xfId="0" applyFont="1" applyFill="1" applyBorder="1" applyAlignment="1">
      <alignment horizontal="center" vertical="center"/>
    </xf>
    <xf numFmtId="0" fontId="17" fillId="5" borderId="6" xfId="0" applyFont="1" applyFill="1" applyBorder="1" applyAlignment="1">
      <alignment horizontal="center" vertical="center"/>
    </xf>
    <xf numFmtId="0" fontId="17" fillId="5" borderId="5" xfId="0" applyFont="1" applyFill="1" applyBorder="1" applyAlignment="1">
      <alignment horizontal="center" vertical="center" wrapText="1"/>
    </xf>
    <xf numFmtId="0" fontId="17" fillId="5" borderId="6" xfId="0" applyFont="1" applyFill="1" applyBorder="1" applyAlignment="1">
      <alignment horizontal="center" vertical="center" wrapText="1"/>
    </xf>
    <xf numFmtId="0" fontId="9" fillId="0" borderId="0" xfId="0" applyFont="1" applyAlignment="1">
      <alignment horizontal="center" vertical="center" wrapText="1"/>
    </xf>
    <xf numFmtId="0" fontId="32" fillId="0" borderId="0" xfId="0" applyFont="1" applyAlignment="1">
      <alignment horizontal="center" vertical="center" wrapText="1"/>
    </xf>
    <xf numFmtId="0" fontId="7" fillId="6" borderId="0" xfId="0" applyFont="1" applyFill="1" applyAlignment="1">
      <alignment horizontal="center" vertical="center"/>
    </xf>
    <xf numFmtId="0" fontId="7" fillId="2" borderId="0" xfId="0" applyFont="1" applyFill="1" applyAlignment="1">
      <alignment horizontal="center"/>
    </xf>
    <xf numFmtId="0" fontId="27" fillId="0" borderId="0" xfId="0" applyFont="1" applyAlignment="1">
      <alignment horizontal="center" vertical="center" wrapText="1"/>
    </xf>
    <xf numFmtId="0" fontId="11"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vertical="center" wrapText="1" indent="1"/>
    </xf>
    <xf numFmtId="0" fontId="12" fillId="0" borderId="0" xfId="0" applyFont="1" applyAlignment="1">
      <alignment horizontal="left" vertical="center" wrapText="1"/>
    </xf>
    <xf numFmtId="0" fontId="14" fillId="6" borderId="0" xfId="0" applyFont="1" applyFill="1" applyAlignment="1">
      <alignment horizontal="center" vertical="center"/>
    </xf>
    <xf numFmtId="0" fontId="13" fillId="0" borderId="0" xfId="0" applyFont="1" applyAlignment="1">
      <alignment horizontal="center" vertical="center"/>
    </xf>
    <xf numFmtId="0" fontId="31" fillId="17" borderId="0" xfId="0" applyFont="1" applyFill="1" applyAlignment="1">
      <alignment horizontal="center" vertical="center"/>
    </xf>
    <xf numFmtId="0" fontId="31" fillId="17" borderId="11" xfId="0" applyFont="1" applyFill="1" applyBorder="1" applyAlignment="1">
      <alignment horizontal="center" vertical="center"/>
    </xf>
    <xf numFmtId="0" fontId="68" fillId="9" borderId="0" xfId="0" applyFont="1" applyFill="1" applyAlignment="1">
      <alignment horizontal="center" vertical="center"/>
    </xf>
    <xf numFmtId="0" fontId="24" fillId="9" borderId="0" xfId="0" applyFont="1" applyFill="1" applyAlignment="1">
      <alignment horizontal="center" vertical="center"/>
    </xf>
    <xf numFmtId="0" fontId="70" fillId="5" borderId="8" xfId="0" applyFont="1" applyFill="1" applyBorder="1" applyAlignment="1">
      <alignment horizontal="center" vertical="center" wrapText="1"/>
    </xf>
    <xf numFmtId="0" fontId="70" fillId="5" borderId="12" xfId="0" applyFont="1" applyFill="1" applyBorder="1" applyAlignment="1">
      <alignment horizontal="center" vertical="center" wrapText="1"/>
    </xf>
    <xf numFmtId="0" fontId="70" fillId="5" borderId="21" xfId="0" applyFont="1" applyFill="1" applyBorder="1" applyAlignment="1">
      <alignment horizontal="center" vertical="center" wrapText="1"/>
    </xf>
    <xf numFmtId="0" fontId="70" fillId="5" borderId="4" xfId="0" applyFont="1" applyFill="1" applyBorder="1" applyAlignment="1">
      <alignment horizontal="center" vertical="center" wrapText="1"/>
    </xf>
    <xf numFmtId="14" fontId="70" fillId="5" borderId="8" xfId="0" applyNumberFormat="1" applyFont="1" applyFill="1" applyBorder="1" applyAlignment="1">
      <alignment horizontal="center" vertical="center" wrapText="1"/>
    </xf>
    <xf numFmtId="14" fontId="70" fillId="5" borderId="21" xfId="0" applyNumberFormat="1" applyFont="1" applyFill="1" applyBorder="1" applyAlignment="1">
      <alignment horizontal="center" vertical="center" wrapText="1"/>
    </xf>
    <xf numFmtId="0" fontId="3" fillId="16" borderId="26" xfId="0" applyFont="1" applyFill="1" applyBorder="1" applyAlignment="1">
      <alignment horizontal="center" vertical="center" wrapText="1"/>
    </xf>
    <xf numFmtId="0" fontId="3" fillId="16" borderId="27" xfId="0" applyFont="1" applyFill="1" applyBorder="1" applyAlignment="1">
      <alignment horizontal="center" vertical="center" wrapText="1"/>
    </xf>
    <xf numFmtId="0" fontId="3" fillId="16" borderId="25" xfId="0" applyFont="1" applyFill="1" applyBorder="1" applyAlignment="1">
      <alignment horizontal="center" vertical="center" wrapText="1"/>
    </xf>
    <xf numFmtId="0" fontId="25" fillId="0" borderId="0" xfId="0" applyFont="1" applyAlignment="1">
      <alignment horizontal="left" vertical="center"/>
    </xf>
    <xf numFmtId="0" fontId="0" fillId="13" borderId="0" xfId="0" applyFill="1" applyAlignment="1">
      <alignment horizontal="center"/>
    </xf>
    <xf numFmtId="0" fontId="1" fillId="0" borderId="4" xfId="0" applyFont="1" applyBorder="1" applyAlignment="1">
      <alignment horizontal="center" vertical="center" wrapText="1"/>
    </xf>
    <xf numFmtId="0" fontId="1" fillId="0" borderId="4" xfId="0" applyFont="1" applyBorder="1" applyAlignment="1">
      <alignment horizontal="left" vertical="center" wrapText="1"/>
    </xf>
  </cellXfs>
  <cellStyles count="3">
    <cellStyle name="Hiperlink" xfId="2" builtinId="8"/>
    <cellStyle name="Normal" xfId="0" builtinId="0"/>
    <cellStyle name="Porcentagem" xfId="1" builtinId="5"/>
  </cellStyles>
  <dxfs count="131">
    <dxf>
      <fill>
        <patternFill patternType="solid">
          <bgColor rgb="FF00B050"/>
        </patternFill>
      </fill>
    </dxf>
    <dxf>
      <fill>
        <patternFill patternType="solid">
          <bgColor rgb="FFDD46E8"/>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theme="7" tint="0.39997558519241921"/>
        </patternFill>
      </fill>
    </dxf>
    <dxf>
      <fill>
        <patternFill patternType="solid">
          <bgColor theme="8" tint="0.59999389629810485"/>
        </patternFill>
      </fill>
    </dxf>
    <dxf>
      <fill>
        <patternFill patternType="solid">
          <bgColor rgb="FFFFEB9C"/>
        </patternFill>
      </fill>
    </dxf>
    <dxf>
      <fill>
        <patternFill patternType="solid">
          <bgColor rgb="FFFF5050"/>
        </patternFill>
      </fill>
    </dxf>
    <dxf>
      <fill>
        <patternFill patternType="solid">
          <bgColor rgb="FFFF3300"/>
        </patternFill>
      </fill>
    </dxf>
    <dxf>
      <font>
        <color theme="1"/>
      </font>
      <fill>
        <patternFill patternType="solid">
          <bgColor rgb="FFFFFF00"/>
        </patternFill>
      </fill>
      <border>
        <bottom style="thin">
          <color rgb="FF000000"/>
        </bottom>
      </border>
    </dxf>
    <dxf>
      <font>
        <color theme="1"/>
      </font>
      <fill>
        <patternFill patternType="solid">
          <bgColor rgb="FF00B050"/>
        </patternFill>
      </fill>
      <border>
        <bottom style="thin">
          <color rgb="FF000000"/>
        </bottom>
      </border>
    </dxf>
    <dxf>
      <font>
        <color theme="1"/>
      </font>
      <fill>
        <patternFill patternType="solid">
          <bgColor rgb="FFFF5050"/>
        </patternFill>
      </fill>
      <border>
        <bottom style="thin">
          <color rgb="FF000000"/>
        </bottom>
      </border>
    </dxf>
    <dxf>
      <font>
        <color theme="1"/>
      </font>
      <fill>
        <patternFill patternType="solid">
          <bgColor rgb="FFFFC000"/>
        </patternFill>
      </fill>
      <border>
        <bottom style="thin">
          <color rgb="FF000000"/>
        </bottom>
      </border>
    </dxf>
    <dxf>
      <fill>
        <patternFill patternType="solid">
          <bgColor rgb="FF7030A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rgb="FF7030A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rgb="FF7030A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rgb="FF7030A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rgb="FF7030A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patternType="solid">
          <bgColor theme="7" tint="0.59999389629810485"/>
        </patternFill>
      </fill>
    </dxf>
    <dxf>
      <fill>
        <patternFill patternType="solid">
          <bgColor theme="8" tint="0.39997558519241921"/>
        </patternFill>
      </fill>
    </dxf>
    <dxf>
      <fill>
        <patternFill patternType="solid">
          <bgColor theme="6"/>
        </patternFill>
      </fill>
    </dxf>
    <dxf>
      <fill>
        <patternFill patternType="solid">
          <bgColor rgb="FF92D050"/>
        </patternFill>
      </fill>
    </dxf>
    <dxf>
      <fill>
        <patternFill patternType="solid">
          <bgColor rgb="FFFFC000"/>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ont>
        <color theme="0"/>
      </font>
      <fill>
        <patternFill patternType="solid">
          <bgColor theme="1"/>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
      <fill>
        <patternFill>
          <bgColor rgb="FFFF5050"/>
        </patternFill>
      </fill>
    </dxf>
    <dxf>
      <fill>
        <patternFill>
          <bgColor theme="7" tint="0.59996337778862885"/>
        </patternFill>
      </fill>
    </dxf>
    <dxf>
      <fill>
        <patternFill>
          <bgColor theme="8" tint="0.59996337778862885"/>
        </patternFill>
      </fill>
    </dxf>
    <dxf>
      <fill>
        <patternFill patternType="solid">
          <bgColor rgb="FFDD46E8"/>
        </patternFill>
      </fill>
    </dxf>
    <dxf>
      <fill>
        <patternFill patternType="solid">
          <bgColor rgb="FFFFFF00"/>
        </patternFill>
      </fill>
    </dxf>
    <dxf>
      <fill>
        <patternFill patternType="solid">
          <bgColor rgb="FF00B050"/>
        </patternFill>
      </fill>
    </dxf>
    <dxf>
      <font>
        <color theme="0"/>
      </font>
      <fill>
        <patternFill patternType="solid">
          <bgColor theme="1"/>
        </patternFill>
      </fill>
    </dxf>
  </dxfs>
  <tableStyles count="0" defaultTableStyle="TableStyleMedium2" defaultPivotStyle="PivotStyleLight16"/>
  <colors>
    <mruColors>
      <color rgb="FFDD46E8"/>
      <color rgb="FFCC3300"/>
      <color rgb="FFFF3300"/>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3</xdr:col>
      <xdr:colOff>19050</xdr:colOff>
      <xdr:row>17</xdr:row>
      <xdr:rowOff>9525</xdr:rowOff>
    </xdr:from>
    <xdr:to>
      <xdr:col>3</xdr:col>
      <xdr:colOff>1695450</xdr:colOff>
      <xdr:row>18</xdr:row>
      <xdr:rowOff>171450</xdr:rowOff>
    </xdr:to>
    <xdr:sp macro="" textlink="">
      <xdr:nvSpPr>
        <xdr:cNvPr id="2" name="Retângulo 1">
          <a:extLst>
            <a:ext uri="{FF2B5EF4-FFF2-40B4-BE49-F238E27FC236}">
              <a16:creationId xmlns:a16="http://schemas.microsoft.com/office/drawing/2014/main" id="{6D5A373D-D7DA-4C05-9FF6-119708E774F2}"/>
            </a:ext>
            <a:ext uri="{147F2762-F138-4A5C-976F-8EAC2B608ADB}">
              <a16:predDERef xmlns:a16="http://schemas.microsoft.com/office/drawing/2014/main" pred="{469D143E-1FF8-4767-8BF9-C1EE086A20CC}"/>
            </a:ext>
            <a:ext uri="{6ECC49D1-AA05-4338-93AA-15A1B29DFB0A}">
              <asl:scriptLink xmlns:asl="http://schemas.microsoft.com/office/drawing/2021/scriptlink" val="{&quot;shareId&quot;:&quot;ms-officescript%3A%2F%2Fonedrive_business_sharinglink%2Fu!aHR0cHM6Ly9kYXRhcHJldnJqLW15LnNoYXJlcG9pbnQuY29tLzp1Oi9nL3BlcnNvbmFsL2NhaW5hX3Bhc3Nvc19kYXRhcHJldl9nb3ZfYnIvRWJ3dDhZbjZud1pLclJlcXhaQjdaYVlCWElReTBDVDlWU1M4NUxwYW9PdnVDUQ&quot;}"/>
            </a:ext>
          </a:extLst>
        </xdr:cNvPr>
        <xdr:cNvSpPr/>
      </xdr:nvSpPr>
      <xdr:spPr>
        <a:xfrm>
          <a:off x="5029200" y="4791075"/>
          <a:ext cx="1676400" cy="352425"/>
        </a:xfrm>
        <a:prstGeom prst="rect">
          <a:avLst/>
        </a:prstGeom>
        <a:solidFill>
          <a:srgbClr val="00B050"/>
        </a:solidFill>
        <a:ln w="1270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spcFirstLastPara="0" vertOverflow="clip" horzOverflow="clip" wrap="square" lIns="91440" tIns="45720" rIns="91440" bIns="45720" rtlCol="0" anchor="ctr">
          <a:noAutofit/>
        </a:bodyPr>
        <a:lstStyle/>
        <a:p>
          <a:pPr marL="0" indent="0" algn="ctr"/>
          <a:r>
            <a:rPr lang="en-US" sz="1400" b="1" i="0" u="none" strike="noStrike">
              <a:solidFill>
                <a:schemeClr val="lt1"/>
              </a:solidFill>
              <a:latin typeface="Calibri" panose="020F0502020204030204" pitchFamily="34" charset="0"/>
              <a:ea typeface="Calibri" panose="020F0502020204030204" pitchFamily="34" charset="0"/>
              <a:cs typeface="Calibri" panose="020F0502020204030204" pitchFamily="34" charset="0"/>
            </a:rPr>
            <a:t>Atualizar Estatísticas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5</xdr:row>
      <xdr:rowOff>0</xdr:rowOff>
    </xdr:from>
    <xdr:to>
      <xdr:col>1</xdr:col>
      <xdr:colOff>2057400</xdr:colOff>
      <xdr:row>6</xdr:row>
      <xdr:rowOff>111125</xdr:rowOff>
    </xdr:to>
    <xdr:sp macro="" textlink="">
      <xdr:nvSpPr>
        <xdr:cNvPr id="7" name="Retângulo Arredondado 1">
          <a:extLst>
            <a:ext uri="{FF2B5EF4-FFF2-40B4-BE49-F238E27FC236}">
              <a16:creationId xmlns:a16="http://schemas.microsoft.com/office/drawing/2014/main" id="{7CCF510C-AF1A-405C-9920-94D9D2BB2451}"/>
            </a:ext>
            <a:ext uri="{6ECC49D1-AA05-4338-93AA-15A1B29DFB0A}">
              <asl:scriptLink xmlns:asl="http://schemas.microsoft.com/office/drawing/2021/scriptlink" val="{&quot;shareId&quot;:&quot;ms-officescript%3A%2F%2Fsharepoint_sharinglink%2Fu!aHR0cHM6Ly9kYXRhcHJldnJqLnNoYXJlcG9pbnQuY29tLzp1Oi9zL0JJY29tUGVyY2lhL0lRQmZ5RllfNXNBV1RJTnNsdzI4ZEI0VUFlZVZLbHczSF93N2w2bEJ3UXp6bDU4&quot;}"/>
            </a:ext>
          </a:extLst>
        </xdr:cNvPr>
        <xdr:cNvSpPr/>
      </xdr:nvSpPr>
      <xdr:spPr>
        <a:xfrm>
          <a:off x="609600" y="914400"/>
          <a:ext cx="2057400" cy="292100"/>
        </a:xfrm>
        <a:prstGeom prst="roundRect">
          <a:avLst/>
        </a:prstGeom>
        <a:solidFill>
          <a:srgbClr val="107C41"/>
        </a:solidFill>
        <a:ln w="1270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Executar Criar Homologador</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2501900</xdr:colOff>
      <xdr:row>2</xdr:row>
      <xdr:rowOff>101600</xdr:rowOff>
    </xdr:to>
    <xdr:sp macro="" textlink="">
      <xdr:nvSpPr>
        <xdr:cNvPr id="5" name="Retângulo Arredondado 4">
          <a:extLst>
            <a:ext uri="{FF2B5EF4-FFF2-40B4-BE49-F238E27FC236}">
              <a16:creationId xmlns:a16="http://schemas.microsoft.com/office/drawing/2014/main" id="{1BB8D621-C036-42D4-8422-A3F206BF2E45}"/>
            </a:ext>
            <a:ext uri="{6ECC49D1-AA05-4338-93AA-15A1B29DFB0A}">
              <asl:scriptLink xmlns:asl="http://schemas.microsoft.com/office/drawing/2021/scriptlink" val="{&quot;shareId&quot;:&quot;ms-officescript%3A%2F%2Fsharepoint_sharinglink%2Fu!aHR0cHM6Ly9kYXRhcHJldnJqLnNoYXJlcG9pbnQuY29tLzp1Oi9zL0JJY29tUGVyY2lhL0lRRG5nYlhWMjlWY1RvS1FFTWhPSktjNUFUNXNGMm9waXJld01YUmRQLU4wMW93&quot;}"/>
            </a:ext>
          </a:extLst>
        </xdr:cNvPr>
        <xdr:cNvSpPr/>
      </xdr:nvSpPr>
      <xdr:spPr>
        <a:xfrm>
          <a:off x="1666875" y="190500"/>
          <a:ext cx="2501900" cy="292100"/>
        </a:xfrm>
        <a:prstGeom prst="roundRect">
          <a:avLst/>
        </a:prstGeom>
        <a:solidFill>
          <a:srgbClr val="107C41"/>
        </a:solidFill>
        <a:ln w="1270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Executar Atualizar Casos de Teste</a:t>
          </a:r>
        </a:p>
      </xdr:txBody>
    </xdr:sp>
    <xdr:clientData/>
  </xdr:twoCellAnchor>
  <xdr:twoCellAnchor>
    <xdr:from>
      <xdr:col>3</xdr:col>
      <xdr:colOff>0</xdr:colOff>
      <xdr:row>4</xdr:row>
      <xdr:rowOff>0</xdr:rowOff>
    </xdr:from>
    <xdr:to>
      <xdr:col>3</xdr:col>
      <xdr:colOff>2438400</xdr:colOff>
      <xdr:row>5</xdr:row>
      <xdr:rowOff>101600</xdr:rowOff>
    </xdr:to>
    <xdr:sp macro="" textlink="">
      <xdr:nvSpPr>
        <xdr:cNvPr id="2" name="Retângulo Arredondado 5">
          <a:extLst>
            <a:ext uri="{FF2B5EF4-FFF2-40B4-BE49-F238E27FC236}">
              <a16:creationId xmlns:a16="http://schemas.microsoft.com/office/drawing/2014/main" id="{B476F6DF-21C7-4465-BA98-C31AF438B02F}"/>
            </a:ext>
            <a:ext uri="{147F2762-F138-4A5C-976F-8EAC2B608ADB}">
              <a16:predDERef xmlns:a16="http://schemas.microsoft.com/office/drawing/2014/main" pred="{1BB8D621-C036-42D4-8422-A3F206BF2E45}"/>
            </a:ext>
            <a:ext uri="{6ECC49D1-AA05-4338-93AA-15A1B29DFB0A}">
              <asl:scriptLink xmlns:asl="http://schemas.microsoft.com/office/drawing/2021/scriptlink" val="{&quot;shareId&quot;:&quot;ms-officescript%3A%2F%2Fsharepoint_sharinglink%2Fu!aHR0cHM6Ly9kYXRhcHJldnJqLnNoYXJlcG9pbnQuY29tLzp1Oi9zL0JJY29tUGVyY2lhL0lRQlZZTkRaVFZZN1NiV2pwcVlWcTZldEFRVDYtOFgwQjdMVFVvR0FBUlR3djRR&quot;}"/>
            </a:ext>
          </a:extLst>
        </xdr:cNvPr>
        <xdr:cNvSpPr/>
      </xdr:nvSpPr>
      <xdr:spPr>
        <a:xfrm>
          <a:off x="1666875" y="762000"/>
          <a:ext cx="2438400" cy="292100"/>
        </a:xfrm>
        <a:prstGeom prst="roundRect">
          <a:avLst/>
        </a:prstGeom>
        <a:solidFill>
          <a:srgbClr val="107C41"/>
        </a:solidFill>
        <a:ln w="12700" cap="flat" cmpd="sng" algn="ctr">
          <a:solidFill>
            <a:schemeClr val="accent1">
              <a:shade val="15000"/>
            </a:schemeClr>
          </a:solid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100">
              <a:solidFill>
                <a:schemeClr val="lt1"/>
              </a:solidFill>
              <a:latin typeface="+mn-lt"/>
              <a:ea typeface="+mn-lt"/>
              <a:cs typeface="+mn-lt"/>
            </a:rPr>
            <a:t>Executar Atualizar Monitoramento</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www-massasibe/" TargetMode="External"/><Relationship Id="rId7" Type="http://schemas.openxmlformats.org/officeDocument/2006/relationships/printerSettings" Target="../printerSettings/printerSettings1.bin"/><Relationship Id="rId2" Type="http://schemas.openxmlformats.org/officeDocument/2006/relationships/hyperlink" Target="http://hsibepuapr01h/sibews/api-test/" TargetMode="External"/><Relationship Id="rId1" Type="http://schemas.openxmlformats.org/officeDocument/2006/relationships/hyperlink" Target="http://hsibepuapr01h/PortalSibe/" TargetMode="External"/><Relationship Id="rId6" Type="http://schemas.openxmlformats.org/officeDocument/2006/relationships/hyperlink" Target="https://hcnisapr02/cnis/" TargetMode="External"/><Relationship Id="rId5" Type="http://schemas.openxmlformats.org/officeDocument/2006/relationships/hyperlink" Target="https://alm.dataprev.gov.br/qm/" TargetMode="External"/><Relationship Id="rId4" Type="http://schemas.openxmlformats.org/officeDocument/2006/relationships/hyperlink" Target="http://alm.dataprev.gov.br/rm/"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mailto:janaina.fruet@inss.gov.br" TargetMode="External"/><Relationship Id="rId1" Type="http://schemas.openxmlformats.org/officeDocument/2006/relationships/hyperlink" Target="mailto:andreia.moukakou@inss.gov.br"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53278-5E13-4371-8B26-36645BCD811A}">
  <dimension ref="A1:K450"/>
  <sheetViews>
    <sheetView workbookViewId="0">
      <selection activeCell="B8" sqref="B8"/>
    </sheetView>
  </sheetViews>
  <sheetFormatPr defaultRowHeight="14.45"/>
  <cols>
    <col min="1" max="1" width="8.7109375" style="92" customWidth="1"/>
    <col min="2" max="2" width="9" style="92" customWidth="1"/>
    <col min="3" max="3" width="47" style="64" customWidth="1"/>
    <col min="4" max="4" width="40.85546875" style="64" customWidth="1"/>
    <col min="5" max="5" width="29.42578125" style="64" customWidth="1"/>
    <col min="6" max="6" width="41.42578125" style="64" customWidth="1"/>
    <col min="7" max="7" width="35"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68"/>
      <c r="B1" s="68"/>
      <c r="C1" s="89" t="s">
        <v>0</v>
      </c>
      <c r="D1" s="90"/>
      <c r="E1" s="89" t="s">
        <v>1</v>
      </c>
      <c r="F1" s="87">
        <f>COUNTA(H8:H450)</f>
        <v>0</v>
      </c>
      <c r="G1" s="86" t="s">
        <v>2</v>
      </c>
      <c r="H1" s="87">
        <f>COUNTIFS(H$8:H$450,"=Sucesso")</f>
        <v>0</v>
      </c>
      <c r="I1" s="68"/>
      <c r="J1" s="68"/>
      <c r="K1" s="68"/>
    </row>
    <row r="2" spans="1:11">
      <c r="A2" s="68"/>
      <c r="B2" s="68"/>
      <c r="C2" s="86" t="s">
        <v>3</v>
      </c>
      <c r="D2" s="87"/>
      <c r="E2" s="89" t="s">
        <v>4</v>
      </c>
      <c r="F2" s="87">
        <f>COUNTIF(H8:H450,"=Não Executado")</f>
        <v>0</v>
      </c>
      <c r="G2" s="86" t="s">
        <v>5</v>
      </c>
      <c r="H2" s="87">
        <f>COUNTIFS(H$8:H$450,"=Falha")</f>
        <v>0</v>
      </c>
      <c r="I2" s="68"/>
      <c r="J2" s="68"/>
      <c r="K2" s="68"/>
    </row>
    <row r="3" spans="1:11">
      <c r="A3" s="68"/>
      <c r="B3" s="68"/>
      <c r="C3" s="86" t="s">
        <v>6</v>
      </c>
      <c r="D3" s="86"/>
      <c r="E3" s="86" t="s">
        <v>7</v>
      </c>
      <c r="F3" s="87">
        <f>COUNTIFS(H8:H450,"=Falha") + COUNTIFS(H8:H450,"=Sucesso") + COUNTIFS(H8:H450,"=Pendência Externa")+ COUNTIFS(H8:H450,"=Demanda")+ COUNTIFS(H8:H450,"=Sugestão")</f>
        <v>0</v>
      </c>
      <c r="G3" s="86" t="s">
        <v>8</v>
      </c>
      <c r="H3" s="87">
        <f>COUNTIFS(H$8:H$450,"=Pendência Externa")</f>
        <v>0</v>
      </c>
      <c r="I3" s="68"/>
      <c r="J3" s="68"/>
      <c r="K3" s="91"/>
    </row>
    <row r="4" spans="1:11">
      <c r="A4" s="68"/>
      <c r="B4" s="68"/>
      <c r="C4" s="68"/>
      <c r="D4" s="86"/>
      <c r="E4" s="86" t="s">
        <v>9</v>
      </c>
      <c r="F4" s="88">
        <f>IF(COUNTA(H8:H450)&gt;0,F3/IF(COUNTA(H8:H450)=0, 1, COUNTA(H8:H450)),0)</f>
        <v>0</v>
      </c>
      <c r="G4" s="86" t="s">
        <v>10</v>
      </c>
      <c r="H4" s="87">
        <f>COUNTIFS(H$8:H$450,"=Sugestão")</f>
        <v>0</v>
      </c>
      <c r="I4" s="68"/>
      <c r="J4" s="68"/>
      <c r="K4" s="68"/>
    </row>
    <row r="5" spans="1:11">
      <c r="A5" s="68"/>
      <c r="B5" s="68"/>
      <c r="C5" s="68"/>
      <c r="D5" s="68"/>
      <c r="E5" s="68"/>
      <c r="F5" s="68"/>
      <c r="G5" s="68"/>
      <c r="H5" s="68"/>
      <c r="I5" s="68"/>
      <c r="J5" s="68"/>
      <c r="K5" s="68"/>
    </row>
    <row r="6" spans="1:11" ht="15" customHeight="1">
      <c r="A6" s="326" t="s">
        <v>11</v>
      </c>
      <c r="B6" s="323" t="s">
        <v>12</v>
      </c>
      <c r="C6" s="326" t="s">
        <v>13</v>
      </c>
      <c r="D6" s="326" t="s">
        <v>14</v>
      </c>
      <c r="E6" s="323" t="s">
        <v>15</v>
      </c>
      <c r="F6" s="326" t="s">
        <v>16</v>
      </c>
      <c r="G6" s="323" t="s">
        <v>17</v>
      </c>
      <c r="H6" s="323" t="s">
        <v>18</v>
      </c>
      <c r="I6" s="1" t="s">
        <v>19</v>
      </c>
      <c r="J6" s="323" t="s">
        <v>20</v>
      </c>
      <c r="K6" s="323" t="s">
        <v>21</v>
      </c>
    </row>
    <row r="7" spans="1:11">
      <c r="A7" s="323"/>
      <c r="B7" s="325"/>
      <c r="C7" s="323"/>
      <c r="D7" s="323"/>
      <c r="E7" s="324"/>
      <c r="F7" s="323"/>
      <c r="G7" s="324"/>
      <c r="H7" s="324"/>
      <c r="I7" s="138"/>
      <c r="J7" s="325"/>
      <c r="K7" s="324"/>
    </row>
    <row r="8" spans="1:11" ht="90" customHeight="1">
      <c r="A8" s="93"/>
      <c r="B8" s="85" t="str">
        <f t="shared" ref="B8:B71" si="0">IFERROR(IF(VLOOKUP($A8,CTINTERVALO,2,0)=0,"",VLOOKUP($A8,CTINTERVALO,2,0)),"")</f>
        <v/>
      </c>
      <c r="C8" s="85" t="str">
        <f>IF($B8="Não", "BLOQUEADO (Aguardar liberação)", IFERROR(IF(VLOOKUP($A8,CTINTERVALO,3,0)=0,"",VLOOKUP($A8,CTINTERVALO,3,0)),""))</f>
        <v/>
      </c>
      <c r="D8" s="85" t="str">
        <f>IF($B8="Não", "BLOQUEADO (Aguardar liberação)", IFERROR(IF(VLOOKUP($A8,CTINTERVALO,4,0)=0,"",VLOOKUP($A8,CTINTERVALO,4,0)),""))</f>
        <v/>
      </c>
      <c r="E8" s="85"/>
      <c r="F8" s="85" t="str">
        <f t="shared" ref="F8:F71" si="1">IF($B8="Não", "BLOQUEADO (Aguardar liberação)", IFERROR(IF(VLOOKUP($A8,CTINTERVALO,6,0)=0,"",VLOOKUP($A8,CTINTERVALO,6,0)),""))</f>
        <v/>
      </c>
      <c r="G8" s="80"/>
      <c r="H8" s="80"/>
      <c r="I8" s="79"/>
      <c r="J8" s="79"/>
      <c r="K8" s="80"/>
    </row>
    <row r="9" spans="1:11" ht="105.75" customHeight="1">
      <c r="A9" s="93"/>
      <c r="B9" s="85" t="str">
        <f t="shared" si="0"/>
        <v/>
      </c>
      <c r="C9" s="85" t="str">
        <f t="shared" ref="C9:C71" si="2">IF($B9="Não", "BLOQUEADO (Aguardar liberação)", IFERROR(IF(VLOOKUP($A9,CTINTERVALO,3,0)=0,"",VLOOKUP($A9,CTINTERVALO,3,0)),""))</f>
        <v/>
      </c>
      <c r="D9" s="85" t="str">
        <f t="shared" ref="D9:D71" si="3">IF($B9="Não", "BLOQUEADO (Aguardar liberação)", IFERROR(IF(VLOOKUP($A9,CTINTERVALO,4,0)=0,"",VLOOKUP($A9,CTINTERVALO,4,0)),""))</f>
        <v/>
      </c>
      <c r="E9" s="85"/>
      <c r="F9" s="85" t="str">
        <f t="shared" si="1"/>
        <v/>
      </c>
      <c r="G9" s="80"/>
      <c r="H9" s="80"/>
      <c r="I9" s="79"/>
      <c r="J9" s="79"/>
      <c r="K9" s="80"/>
    </row>
    <row r="10" spans="1:11" ht="116.25" customHeight="1">
      <c r="A10" s="93"/>
      <c r="B10" s="85" t="str">
        <f t="shared" si="0"/>
        <v/>
      </c>
      <c r="C10" s="85" t="str">
        <f t="shared" si="2"/>
        <v/>
      </c>
      <c r="D10" s="85" t="str">
        <f t="shared" si="3"/>
        <v/>
      </c>
      <c r="E10" s="85"/>
      <c r="F10" s="85" t="str">
        <f t="shared" si="1"/>
        <v/>
      </c>
      <c r="G10" s="80"/>
      <c r="H10" s="80"/>
      <c r="I10" s="79"/>
      <c r="J10" s="79"/>
      <c r="K10" s="80"/>
    </row>
    <row r="11" spans="1:11" ht="116.25" customHeight="1">
      <c r="A11" s="93"/>
      <c r="B11" s="85" t="str">
        <f t="shared" si="0"/>
        <v/>
      </c>
      <c r="C11" s="85" t="str">
        <f t="shared" si="2"/>
        <v/>
      </c>
      <c r="D11" s="85" t="str">
        <f t="shared" si="3"/>
        <v/>
      </c>
      <c r="E11" s="85"/>
      <c r="F11" s="85" t="str">
        <f t="shared" si="1"/>
        <v/>
      </c>
      <c r="G11" s="80"/>
      <c r="H11" s="80"/>
      <c r="I11" s="79"/>
      <c r="J11" s="79"/>
      <c r="K11" s="80"/>
    </row>
    <row r="12" spans="1:11" ht="123" customHeight="1">
      <c r="A12" s="93"/>
      <c r="B12" s="85" t="str">
        <f t="shared" si="0"/>
        <v/>
      </c>
      <c r="C12" s="85" t="str">
        <f t="shared" si="2"/>
        <v/>
      </c>
      <c r="D12" s="85" t="str">
        <f t="shared" si="3"/>
        <v/>
      </c>
      <c r="E12" s="85"/>
      <c r="F12" s="85" t="str">
        <f t="shared" si="1"/>
        <v/>
      </c>
      <c r="G12" s="80"/>
      <c r="H12" s="80"/>
      <c r="I12" s="79"/>
      <c r="J12" s="79"/>
      <c r="K12" s="80"/>
    </row>
    <row r="13" spans="1:11">
      <c r="A13" s="93"/>
      <c r="B13" s="85" t="str">
        <f t="shared" si="0"/>
        <v/>
      </c>
      <c r="C13" s="85" t="str">
        <f t="shared" si="2"/>
        <v/>
      </c>
      <c r="D13" s="85" t="str">
        <f t="shared" si="3"/>
        <v/>
      </c>
      <c r="E13" s="85"/>
      <c r="F13" s="85" t="str">
        <f t="shared" si="1"/>
        <v/>
      </c>
      <c r="G13" s="80"/>
      <c r="H13" s="80"/>
      <c r="I13" s="79"/>
      <c r="J13" s="79"/>
      <c r="K13" s="80"/>
    </row>
    <row r="14" spans="1:11">
      <c r="A14" s="93"/>
      <c r="B14" s="85" t="str">
        <f t="shared" si="0"/>
        <v/>
      </c>
      <c r="C14" s="85" t="str">
        <f t="shared" si="2"/>
        <v/>
      </c>
      <c r="D14" s="85" t="str">
        <f t="shared" si="3"/>
        <v/>
      </c>
      <c r="E14" s="85"/>
      <c r="F14" s="85" t="str">
        <f t="shared" si="1"/>
        <v/>
      </c>
      <c r="G14" s="80"/>
      <c r="H14" s="80"/>
      <c r="I14" s="79"/>
      <c r="J14" s="79"/>
      <c r="K14" s="80"/>
    </row>
    <row r="15" spans="1:11">
      <c r="A15" s="93"/>
      <c r="B15" s="85" t="str">
        <f t="shared" si="0"/>
        <v/>
      </c>
      <c r="C15" s="85" t="str">
        <f t="shared" si="2"/>
        <v/>
      </c>
      <c r="D15" s="85" t="str">
        <f t="shared" si="3"/>
        <v/>
      </c>
      <c r="E15" s="85"/>
      <c r="F15" s="85" t="str">
        <f t="shared" si="1"/>
        <v/>
      </c>
      <c r="G15" s="80"/>
      <c r="H15" s="80"/>
      <c r="I15" s="79"/>
      <c r="J15" s="79"/>
      <c r="K15" s="80"/>
    </row>
    <row r="16" spans="1:11">
      <c r="A16" s="93"/>
      <c r="B16" s="85" t="str">
        <f t="shared" si="0"/>
        <v/>
      </c>
      <c r="C16" s="85" t="str">
        <f t="shared" si="2"/>
        <v/>
      </c>
      <c r="D16" s="85" t="str">
        <f t="shared" si="3"/>
        <v/>
      </c>
      <c r="E16" s="85"/>
      <c r="F16" s="85" t="str">
        <f t="shared" si="1"/>
        <v/>
      </c>
      <c r="G16" s="80"/>
      <c r="H16" s="80"/>
      <c r="I16" s="79"/>
      <c r="J16" s="79"/>
      <c r="K16" s="80"/>
    </row>
    <row r="17" spans="1:11">
      <c r="A17" s="93"/>
      <c r="B17" s="85" t="str">
        <f t="shared" si="0"/>
        <v/>
      </c>
      <c r="C17" s="85" t="str">
        <f t="shared" si="2"/>
        <v/>
      </c>
      <c r="D17" s="85" t="str">
        <f t="shared" si="3"/>
        <v/>
      </c>
      <c r="E17" s="85"/>
      <c r="F17" s="85" t="str">
        <f t="shared" si="1"/>
        <v/>
      </c>
      <c r="G17" s="80"/>
      <c r="H17" s="80"/>
      <c r="I17" s="79"/>
      <c r="J17" s="79"/>
      <c r="K17" s="80"/>
    </row>
    <row r="18" spans="1:11">
      <c r="A18" s="93"/>
      <c r="B18" s="85" t="str">
        <f t="shared" si="0"/>
        <v/>
      </c>
      <c r="C18" s="85" t="str">
        <f t="shared" si="2"/>
        <v/>
      </c>
      <c r="D18" s="85" t="str">
        <f t="shared" si="3"/>
        <v/>
      </c>
      <c r="E18" s="85"/>
      <c r="F18" s="85" t="str">
        <f t="shared" si="1"/>
        <v/>
      </c>
      <c r="G18" s="80"/>
      <c r="H18" s="80"/>
      <c r="I18" s="79"/>
      <c r="J18" s="79"/>
      <c r="K18" s="80"/>
    </row>
    <row r="19" spans="1:11">
      <c r="A19" s="93"/>
      <c r="B19" s="85" t="str">
        <f t="shared" si="0"/>
        <v/>
      </c>
      <c r="C19" s="85" t="str">
        <f t="shared" si="2"/>
        <v/>
      </c>
      <c r="D19" s="85" t="str">
        <f t="shared" si="3"/>
        <v/>
      </c>
      <c r="E19" s="85"/>
      <c r="F19" s="85" t="str">
        <f t="shared" si="1"/>
        <v/>
      </c>
      <c r="G19" s="80"/>
      <c r="H19" s="80"/>
      <c r="I19" s="79"/>
      <c r="J19" s="79"/>
      <c r="K19" s="80"/>
    </row>
    <row r="20" spans="1:11">
      <c r="A20" s="93"/>
      <c r="B20" s="85" t="str">
        <f t="shared" si="0"/>
        <v/>
      </c>
      <c r="C20" s="85" t="str">
        <f t="shared" si="2"/>
        <v/>
      </c>
      <c r="D20" s="85" t="str">
        <f t="shared" si="3"/>
        <v/>
      </c>
      <c r="E20" s="85"/>
      <c r="F20" s="85" t="str">
        <f t="shared" si="1"/>
        <v/>
      </c>
      <c r="G20" s="80"/>
      <c r="H20" s="80"/>
      <c r="I20" s="79"/>
      <c r="J20" s="79"/>
      <c r="K20" s="80"/>
    </row>
    <row r="21" spans="1:11">
      <c r="A21" s="93"/>
      <c r="B21" s="85" t="str">
        <f t="shared" si="0"/>
        <v/>
      </c>
      <c r="C21" s="85" t="str">
        <f t="shared" si="2"/>
        <v/>
      </c>
      <c r="D21" s="85" t="str">
        <f t="shared" si="3"/>
        <v/>
      </c>
      <c r="E21" s="85"/>
      <c r="F21" s="85" t="str">
        <f t="shared" si="1"/>
        <v/>
      </c>
      <c r="G21" s="80"/>
      <c r="H21" s="80"/>
      <c r="I21" s="79"/>
      <c r="J21" s="79"/>
      <c r="K21" s="80"/>
    </row>
    <row r="22" spans="1:11">
      <c r="A22" s="93"/>
      <c r="B22" s="85" t="str">
        <f t="shared" si="0"/>
        <v/>
      </c>
      <c r="C22" s="85" t="str">
        <f t="shared" si="2"/>
        <v/>
      </c>
      <c r="D22" s="85" t="str">
        <f t="shared" si="3"/>
        <v/>
      </c>
      <c r="E22" s="85"/>
      <c r="F22" s="85" t="str">
        <f t="shared" si="1"/>
        <v/>
      </c>
      <c r="G22" s="80"/>
      <c r="H22" s="80"/>
      <c r="I22" s="79"/>
      <c r="J22" s="79"/>
      <c r="K22" s="80"/>
    </row>
    <row r="23" spans="1:11">
      <c r="A23" s="93"/>
      <c r="B23" s="85" t="str">
        <f t="shared" si="0"/>
        <v/>
      </c>
      <c r="C23" s="85" t="str">
        <f t="shared" si="2"/>
        <v/>
      </c>
      <c r="D23" s="85" t="str">
        <f t="shared" si="3"/>
        <v/>
      </c>
      <c r="E23" s="85"/>
      <c r="F23" s="85" t="str">
        <f t="shared" si="1"/>
        <v/>
      </c>
      <c r="G23" s="80"/>
      <c r="H23" s="80"/>
      <c r="I23" s="79"/>
      <c r="J23" s="79"/>
      <c r="K23" s="80"/>
    </row>
    <row r="24" spans="1:11">
      <c r="A24" s="93"/>
      <c r="B24" s="85" t="str">
        <f t="shared" si="0"/>
        <v/>
      </c>
      <c r="C24" s="85" t="str">
        <f t="shared" si="2"/>
        <v/>
      </c>
      <c r="D24" s="85" t="str">
        <f t="shared" si="3"/>
        <v/>
      </c>
      <c r="E24" s="85"/>
      <c r="F24" s="85" t="str">
        <f t="shared" si="1"/>
        <v/>
      </c>
      <c r="G24" s="80"/>
      <c r="H24" s="80"/>
      <c r="I24" s="79"/>
      <c r="J24" s="79"/>
      <c r="K24" s="80"/>
    </row>
    <row r="25" spans="1:11">
      <c r="A25" s="93"/>
      <c r="B25" s="85" t="str">
        <f t="shared" si="0"/>
        <v/>
      </c>
      <c r="C25" s="85" t="str">
        <f t="shared" si="2"/>
        <v/>
      </c>
      <c r="D25" s="85" t="str">
        <f t="shared" si="3"/>
        <v/>
      </c>
      <c r="E25" s="85"/>
      <c r="F25" s="85" t="str">
        <f t="shared" si="1"/>
        <v/>
      </c>
      <c r="G25" s="80"/>
      <c r="H25" s="80"/>
      <c r="I25" s="79"/>
      <c r="J25" s="79"/>
      <c r="K25" s="80"/>
    </row>
    <row r="26" spans="1:11">
      <c r="A26" s="93"/>
      <c r="B26" s="85" t="str">
        <f t="shared" si="0"/>
        <v/>
      </c>
      <c r="C26" s="85" t="str">
        <f t="shared" si="2"/>
        <v/>
      </c>
      <c r="D26" s="85" t="str">
        <f t="shared" si="3"/>
        <v/>
      </c>
      <c r="E26" s="85"/>
      <c r="F26" s="85" t="str">
        <f t="shared" si="1"/>
        <v/>
      </c>
      <c r="G26" s="80"/>
      <c r="H26" s="80"/>
      <c r="I26" s="79"/>
      <c r="J26" s="79"/>
      <c r="K26" s="80"/>
    </row>
    <row r="27" spans="1:11">
      <c r="A27" s="93"/>
      <c r="B27" s="85" t="str">
        <f t="shared" si="0"/>
        <v/>
      </c>
      <c r="C27" s="85" t="str">
        <f t="shared" si="2"/>
        <v/>
      </c>
      <c r="D27" s="85" t="str">
        <f t="shared" si="3"/>
        <v/>
      </c>
      <c r="E27" s="85"/>
      <c r="F27" s="85" t="str">
        <f t="shared" si="1"/>
        <v/>
      </c>
      <c r="G27" s="80"/>
      <c r="H27" s="80"/>
      <c r="I27" s="79"/>
      <c r="J27" s="79"/>
      <c r="K27" s="80"/>
    </row>
    <row r="28" spans="1:11">
      <c r="A28" s="93"/>
      <c r="B28" s="85" t="str">
        <f t="shared" si="0"/>
        <v/>
      </c>
      <c r="C28" s="85" t="str">
        <f t="shared" si="2"/>
        <v/>
      </c>
      <c r="D28" s="85" t="str">
        <f t="shared" si="3"/>
        <v/>
      </c>
      <c r="E28" s="85"/>
      <c r="F28" s="85" t="str">
        <f t="shared" si="1"/>
        <v/>
      </c>
      <c r="G28" s="80"/>
      <c r="H28" s="80"/>
      <c r="I28" s="79"/>
      <c r="J28" s="79"/>
      <c r="K28" s="80"/>
    </row>
    <row r="29" spans="1:11">
      <c r="A29" s="93"/>
      <c r="B29" s="85" t="str">
        <f t="shared" si="0"/>
        <v/>
      </c>
      <c r="C29" s="85" t="str">
        <f t="shared" si="2"/>
        <v/>
      </c>
      <c r="D29" s="85" t="str">
        <f t="shared" si="3"/>
        <v/>
      </c>
      <c r="E29" s="85"/>
      <c r="F29" s="85" t="str">
        <f t="shared" si="1"/>
        <v/>
      </c>
      <c r="G29" s="80"/>
      <c r="H29" s="80"/>
      <c r="I29" s="79"/>
      <c r="J29" s="79"/>
      <c r="K29" s="80"/>
    </row>
    <row r="30" spans="1:11">
      <c r="A30" s="93"/>
      <c r="B30" s="85" t="str">
        <f t="shared" si="0"/>
        <v/>
      </c>
      <c r="C30" s="85" t="str">
        <f t="shared" si="2"/>
        <v/>
      </c>
      <c r="D30" s="85" t="str">
        <f t="shared" si="3"/>
        <v/>
      </c>
      <c r="E30" s="85"/>
      <c r="F30" s="85" t="str">
        <f t="shared" si="1"/>
        <v/>
      </c>
      <c r="G30" s="80"/>
      <c r="H30" s="80"/>
      <c r="I30" s="79"/>
      <c r="J30" s="79"/>
      <c r="K30" s="80"/>
    </row>
    <row r="31" spans="1:11">
      <c r="A31" s="93"/>
      <c r="B31" s="85" t="str">
        <f t="shared" si="0"/>
        <v/>
      </c>
      <c r="C31" s="85" t="str">
        <f t="shared" si="2"/>
        <v/>
      </c>
      <c r="D31" s="85" t="str">
        <f t="shared" si="3"/>
        <v/>
      </c>
      <c r="E31" s="85"/>
      <c r="F31" s="85" t="str">
        <f t="shared" si="1"/>
        <v/>
      </c>
      <c r="G31" s="80"/>
      <c r="H31" s="80"/>
      <c r="I31" s="79"/>
      <c r="J31" s="79"/>
      <c r="K31" s="80"/>
    </row>
    <row r="32" spans="1:11">
      <c r="A32" s="93"/>
      <c r="B32" s="85" t="str">
        <f t="shared" si="0"/>
        <v/>
      </c>
      <c r="C32" s="85" t="str">
        <f t="shared" si="2"/>
        <v/>
      </c>
      <c r="D32" s="85" t="str">
        <f t="shared" si="3"/>
        <v/>
      </c>
      <c r="E32" s="85"/>
      <c r="F32" s="85" t="str">
        <f t="shared" si="1"/>
        <v/>
      </c>
      <c r="G32" s="80"/>
      <c r="H32" s="80"/>
      <c r="I32" s="79"/>
      <c r="J32" s="79"/>
      <c r="K32" s="80"/>
    </row>
    <row r="33" spans="1:11">
      <c r="A33" s="93"/>
      <c r="B33" s="85" t="str">
        <f t="shared" si="0"/>
        <v/>
      </c>
      <c r="C33" s="85" t="str">
        <f t="shared" si="2"/>
        <v/>
      </c>
      <c r="D33" s="85" t="str">
        <f t="shared" si="3"/>
        <v/>
      </c>
      <c r="E33" s="85"/>
      <c r="F33" s="85" t="str">
        <f t="shared" si="1"/>
        <v/>
      </c>
      <c r="G33" s="80"/>
      <c r="H33" s="80"/>
      <c r="I33" s="79"/>
      <c r="J33" s="79"/>
      <c r="K33" s="80"/>
    </row>
    <row r="34" spans="1:11">
      <c r="A34" s="93"/>
      <c r="B34" s="85" t="str">
        <f t="shared" si="0"/>
        <v/>
      </c>
      <c r="C34" s="85" t="str">
        <f t="shared" si="2"/>
        <v/>
      </c>
      <c r="D34" s="85" t="str">
        <f t="shared" si="3"/>
        <v/>
      </c>
      <c r="E34" s="85"/>
      <c r="F34" s="85" t="str">
        <f t="shared" si="1"/>
        <v/>
      </c>
      <c r="G34" s="80"/>
      <c r="H34" s="80"/>
      <c r="I34" s="79"/>
      <c r="J34" s="79"/>
      <c r="K34" s="80"/>
    </row>
    <row r="35" spans="1:11">
      <c r="A35" s="93"/>
      <c r="B35" s="85" t="str">
        <f t="shared" si="0"/>
        <v/>
      </c>
      <c r="C35" s="85" t="str">
        <f t="shared" si="2"/>
        <v/>
      </c>
      <c r="D35" s="85" t="str">
        <f t="shared" si="3"/>
        <v/>
      </c>
      <c r="E35" s="85"/>
      <c r="F35" s="85" t="str">
        <f t="shared" si="1"/>
        <v/>
      </c>
      <c r="G35" s="80"/>
      <c r="H35" s="80"/>
      <c r="I35" s="79"/>
      <c r="J35" s="79"/>
      <c r="K35" s="80"/>
    </row>
    <row r="36" spans="1:11">
      <c r="A36" s="93"/>
      <c r="B36" s="85" t="str">
        <f t="shared" si="0"/>
        <v/>
      </c>
      <c r="C36" s="85" t="str">
        <f t="shared" si="2"/>
        <v/>
      </c>
      <c r="D36" s="85" t="str">
        <f t="shared" si="3"/>
        <v/>
      </c>
      <c r="E36" s="85"/>
      <c r="F36" s="85" t="str">
        <f t="shared" si="1"/>
        <v/>
      </c>
      <c r="G36" s="80"/>
      <c r="H36" s="80"/>
      <c r="I36" s="79"/>
      <c r="J36" s="79"/>
      <c r="K36" s="80"/>
    </row>
    <row r="37" spans="1:11">
      <c r="A37" s="93"/>
      <c r="B37" s="85" t="str">
        <f t="shared" si="0"/>
        <v/>
      </c>
      <c r="C37" s="85" t="str">
        <f t="shared" si="2"/>
        <v/>
      </c>
      <c r="D37" s="85" t="str">
        <f t="shared" si="3"/>
        <v/>
      </c>
      <c r="E37" s="85"/>
      <c r="F37" s="85" t="str">
        <f t="shared" si="1"/>
        <v/>
      </c>
      <c r="G37" s="80"/>
      <c r="H37" s="80"/>
      <c r="I37" s="79"/>
      <c r="J37" s="79"/>
      <c r="K37" s="80"/>
    </row>
    <row r="38" spans="1:11">
      <c r="A38" s="93"/>
      <c r="B38" s="85" t="str">
        <f t="shared" si="0"/>
        <v/>
      </c>
      <c r="C38" s="85" t="str">
        <f t="shared" si="2"/>
        <v/>
      </c>
      <c r="D38" s="85" t="str">
        <f t="shared" si="3"/>
        <v/>
      </c>
      <c r="E38" s="85"/>
      <c r="F38" s="85" t="str">
        <f t="shared" si="1"/>
        <v/>
      </c>
      <c r="G38" s="80"/>
      <c r="H38" s="80"/>
      <c r="I38" s="79"/>
      <c r="J38" s="79"/>
      <c r="K38" s="80"/>
    </row>
    <row r="39" spans="1:11">
      <c r="A39" s="93"/>
      <c r="B39" s="85" t="str">
        <f t="shared" si="0"/>
        <v/>
      </c>
      <c r="C39" s="85" t="str">
        <f t="shared" si="2"/>
        <v/>
      </c>
      <c r="D39" s="85" t="str">
        <f t="shared" si="3"/>
        <v/>
      </c>
      <c r="E39" s="85"/>
      <c r="F39" s="85" t="str">
        <f t="shared" si="1"/>
        <v/>
      </c>
      <c r="G39" s="80"/>
      <c r="H39" s="80"/>
      <c r="I39" s="79"/>
      <c r="J39" s="79"/>
      <c r="K39" s="80"/>
    </row>
    <row r="40" spans="1:11">
      <c r="A40" s="93"/>
      <c r="B40" s="85" t="str">
        <f t="shared" si="0"/>
        <v/>
      </c>
      <c r="C40" s="85" t="str">
        <f t="shared" si="2"/>
        <v/>
      </c>
      <c r="D40" s="85" t="str">
        <f t="shared" si="3"/>
        <v/>
      </c>
      <c r="E40" s="85"/>
      <c r="F40" s="85" t="str">
        <f t="shared" si="1"/>
        <v/>
      </c>
      <c r="G40" s="80"/>
      <c r="H40" s="80"/>
      <c r="I40" s="79"/>
      <c r="J40" s="79"/>
      <c r="K40" s="80"/>
    </row>
    <row r="41" spans="1:11">
      <c r="A41" s="93"/>
      <c r="B41" s="85" t="str">
        <f t="shared" si="0"/>
        <v/>
      </c>
      <c r="C41" s="85" t="str">
        <f t="shared" si="2"/>
        <v/>
      </c>
      <c r="D41" s="85" t="str">
        <f t="shared" si="3"/>
        <v/>
      </c>
      <c r="E41" s="85"/>
      <c r="F41" s="85" t="str">
        <f t="shared" si="1"/>
        <v/>
      </c>
      <c r="G41" s="80"/>
      <c r="H41" s="80"/>
      <c r="I41" s="79"/>
      <c r="J41" s="79"/>
      <c r="K41" s="80"/>
    </row>
    <row r="42" spans="1:11">
      <c r="A42" s="93"/>
      <c r="B42" s="85" t="str">
        <f t="shared" si="0"/>
        <v/>
      </c>
      <c r="C42" s="85" t="str">
        <f t="shared" si="2"/>
        <v/>
      </c>
      <c r="D42" s="85" t="str">
        <f t="shared" si="3"/>
        <v/>
      </c>
      <c r="E42" s="85"/>
      <c r="F42" s="85" t="str">
        <f t="shared" si="1"/>
        <v/>
      </c>
      <c r="G42" s="80"/>
      <c r="H42" s="80"/>
      <c r="I42" s="79"/>
      <c r="J42" s="79"/>
      <c r="K42" s="80"/>
    </row>
    <row r="43" spans="1:11">
      <c r="A43" s="93"/>
      <c r="B43" s="85" t="str">
        <f t="shared" si="0"/>
        <v/>
      </c>
      <c r="C43" s="85" t="str">
        <f t="shared" si="2"/>
        <v/>
      </c>
      <c r="D43" s="85" t="str">
        <f t="shared" si="3"/>
        <v/>
      </c>
      <c r="E43" s="85"/>
      <c r="F43" s="85" t="str">
        <f t="shared" si="1"/>
        <v/>
      </c>
      <c r="G43" s="80"/>
      <c r="H43" s="80"/>
      <c r="I43" s="79"/>
      <c r="J43" s="79"/>
      <c r="K43" s="80"/>
    </row>
    <row r="44" spans="1:11">
      <c r="A44" s="93"/>
      <c r="B44" s="85" t="str">
        <f t="shared" si="0"/>
        <v/>
      </c>
      <c r="C44" s="85" t="str">
        <f t="shared" si="2"/>
        <v/>
      </c>
      <c r="D44" s="85" t="str">
        <f t="shared" si="3"/>
        <v/>
      </c>
      <c r="E44" s="85"/>
      <c r="F44" s="85" t="str">
        <f t="shared" si="1"/>
        <v/>
      </c>
      <c r="G44" s="80"/>
      <c r="H44" s="80"/>
      <c r="I44" s="79"/>
      <c r="J44" s="79"/>
      <c r="K44" s="80"/>
    </row>
    <row r="45" spans="1:11">
      <c r="A45" s="93"/>
      <c r="B45" s="85" t="str">
        <f t="shared" si="0"/>
        <v/>
      </c>
      <c r="C45" s="85" t="str">
        <f t="shared" si="2"/>
        <v/>
      </c>
      <c r="D45" s="85" t="str">
        <f t="shared" si="3"/>
        <v/>
      </c>
      <c r="E45" s="85"/>
      <c r="F45" s="85" t="str">
        <f t="shared" si="1"/>
        <v/>
      </c>
      <c r="G45" s="80"/>
      <c r="H45" s="80"/>
      <c r="I45" s="79"/>
      <c r="J45" s="79"/>
      <c r="K45" s="80"/>
    </row>
    <row r="46" spans="1:11">
      <c r="A46" s="93"/>
      <c r="B46" s="85" t="str">
        <f t="shared" si="0"/>
        <v/>
      </c>
      <c r="C46" s="85" t="str">
        <f t="shared" si="2"/>
        <v/>
      </c>
      <c r="D46" s="85" t="str">
        <f t="shared" si="3"/>
        <v/>
      </c>
      <c r="E46" s="85"/>
      <c r="F46" s="85" t="str">
        <f t="shared" si="1"/>
        <v/>
      </c>
      <c r="G46" s="80"/>
      <c r="H46" s="80"/>
      <c r="I46" s="79"/>
      <c r="J46" s="79"/>
      <c r="K46" s="80"/>
    </row>
    <row r="47" spans="1:11">
      <c r="A47" s="93"/>
      <c r="B47" s="85" t="str">
        <f t="shared" si="0"/>
        <v/>
      </c>
      <c r="C47" s="85" t="str">
        <f t="shared" si="2"/>
        <v/>
      </c>
      <c r="D47" s="85" t="str">
        <f t="shared" si="3"/>
        <v/>
      </c>
      <c r="E47" s="85"/>
      <c r="F47" s="85" t="str">
        <f t="shared" si="1"/>
        <v/>
      </c>
      <c r="G47" s="80"/>
      <c r="H47" s="80"/>
      <c r="I47" s="79"/>
      <c r="J47" s="79"/>
      <c r="K47" s="80"/>
    </row>
    <row r="48" spans="1:11">
      <c r="A48" s="93"/>
      <c r="B48" s="85" t="str">
        <f t="shared" si="0"/>
        <v/>
      </c>
      <c r="C48" s="85" t="str">
        <f t="shared" si="2"/>
        <v/>
      </c>
      <c r="D48" s="85" t="str">
        <f t="shared" si="3"/>
        <v/>
      </c>
      <c r="E48" s="85"/>
      <c r="F48" s="85" t="str">
        <f t="shared" si="1"/>
        <v/>
      </c>
      <c r="G48" s="80"/>
      <c r="H48" s="80"/>
      <c r="I48" s="79"/>
      <c r="J48" s="79"/>
      <c r="K48" s="80"/>
    </row>
    <row r="49" spans="1:11">
      <c r="A49" s="93"/>
      <c r="B49" s="85" t="str">
        <f t="shared" si="0"/>
        <v/>
      </c>
      <c r="C49" s="85" t="str">
        <f t="shared" si="2"/>
        <v/>
      </c>
      <c r="D49" s="85" t="str">
        <f t="shared" si="3"/>
        <v/>
      </c>
      <c r="E49" s="85"/>
      <c r="F49" s="85" t="str">
        <f t="shared" si="1"/>
        <v/>
      </c>
      <c r="G49" s="80"/>
      <c r="H49" s="80"/>
      <c r="I49" s="79"/>
      <c r="J49" s="79"/>
      <c r="K49" s="80"/>
    </row>
    <row r="50" spans="1:11">
      <c r="A50" s="93"/>
      <c r="B50" s="85" t="str">
        <f t="shared" si="0"/>
        <v/>
      </c>
      <c r="C50" s="85" t="str">
        <f t="shared" si="2"/>
        <v/>
      </c>
      <c r="D50" s="85" t="str">
        <f t="shared" si="3"/>
        <v/>
      </c>
      <c r="E50" s="85"/>
      <c r="F50" s="85" t="str">
        <f t="shared" si="1"/>
        <v/>
      </c>
      <c r="G50" s="80"/>
      <c r="H50" s="80"/>
      <c r="I50" s="79"/>
      <c r="J50" s="79"/>
      <c r="K50" s="80"/>
    </row>
    <row r="51" spans="1:11">
      <c r="A51" s="93"/>
      <c r="B51" s="85" t="str">
        <f t="shared" si="0"/>
        <v/>
      </c>
      <c r="C51" s="85" t="str">
        <f t="shared" si="2"/>
        <v/>
      </c>
      <c r="D51" s="85" t="str">
        <f t="shared" si="3"/>
        <v/>
      </c>
      <c r="E51" s="85"/>
      <c r="F51" s="85" t="str">
        <f t="shared" si="1"/>
        <v/>
      </c>
      <c r="G51" s="80"/>
      <c r="H51" s="80"/>
      <c r="I51" s="79"/>
      <c r="J51" s="79"/>
      <c r="K51" s="80"/>
    </row>
    <row r="52" spans="1:11">
      <c r="A52" s="93"/>
      <c r="B52" s="85" t="str">
        <f t="shared" si="0"/>
        <v/>
      </c>
      <c r="C52" s="85" t="str">
        <f t="shared" si="2"/>
        <v/>
      </c>
      <c r="D52" s="85" t="str">
        <f t="shared" si="3"/>
        <v/>
      </c>
      <c r="E52" s="85"/>
      <c r="F52" s="85" t="str">
        <f t="shared" si="1"/>
        <v/>
      </c>
      <c r="G52" s="80"/>
      <c r="H52" s="80"/>
      <c r="I52" s="79"/>
      <c r="J52" s="79"/>
      <c r="K52" s="80"/>
    </row>
    <row r="53" spans="1:11">
      <c r="A53" s="93"/>
      <c r="B53" s="85" t="str">
        <f t="shared" si="0"/>
        <v/>
      </c>
      <c r="C53" s="85" t="str">
        <f t="shared" si="2"/>
        <v/>
      </c>
      <c r="D53" s="85" t="str">
        <f t="shared" si="3"/>
        <v/>
      </c>
      <c r="E53" s="85"/>
      <c r="F53" s="85" t="str">
        <f t="shared" si="1"/>
        <v/>
      </c>
      <c r="G53" s="80"/>
      <c r="H53" s="80"/>
      <c r="I53" s="79"/>
      <c r="J53" s="79"/>
      <c r="K53" s="80"/>
    </row>
    <row r="54" spans="1:11">
      <c r="A54" s="93"/>
      <c r="B54" s="85" t="str">
        <f t="shared" si="0"/>
        <v/>
      </c>
      <c r="C54" s="85" t="str">
        <f t="shared" si="2"/>
        <v/>
      </c>
      <c r="D54" s="85" t="str">
        <f t="shared" si="3"/>
        <v/>
      </c>
      <c r="E54" s="85"/>
      <c r="F54" s="85" t="str">
        <f t="shared" si="1"/>
        <v/>
      </c>
      <c r="G54" s="80"/>
      <c r="H54" s="80"/>
      <c r="I54" s="79"/>
      <c r="J54" s="79"/>
      <c r="K54" s="80"/>
    </row>
    <row r="55" spans="1:11">
      <c r="A55" s="93"/>
      <c r="B55" s="85" t="str">
        <f t="shared" si="0"/>
        <v/>
      </c>
      <c r="C55" s="85" t="str">
        <f t="shared" si="2"/>
        <v/>
      </c>
      <c r="D55" s="85" t="str">
        <f t="shared" si="3"/>
        <v/>
      </c>
      <c r="E55" s="85"/>
      <c r="F55" s="85" t="str">
        <f t="shared" si="1"/>
        <v/>
      </c>
      <c r="G55" s="80"/>
      <c r="H55" s="80"/>
      <c r="I55" s="79"/>
      <c r="J55" s="79"/>
      <c r="K55" s="80"/>
    </row>
    <row r="56" spans="1:11">
      <c r="A56" s="93"/>
      <c r="B56" s="85" t="str">
        <f t="shared" si="0"/>
        <v/>
      </c>
      <c r="C56" s="85" t="str">
        <f t="shared" si="2"/>
        <v/>
      </c>
      <c r="D56" s="85" t="str">
        <f t="shared" si="3"/>
        <v/>
      </c>
      <c r="E56" s="85"/>
      <c r="F56" s="85" t="str">
        <f t="shared" si="1"/>
        <v/>
      </c>
      <c r="G56" s="80"/>
      <c r="H56" s="80"/>
      <c r="I56" s="79"/>
      <c r="J56" s="79"/>
      <c r="K56" s="80"/>
    </row>
    <row r="57" spans="1:11">
      <c r="A57" s="93"/>
      <c r="B57" s="85" t="str">
        <f t="shared" si="0"/>
        <v/>
      </c>
      <c r="C57" s="85" t="str">
        <f t="shared" si="2"/>
        <v/>
      </c>
      <c r="D57" s="85" t="str">
        <f t="shared" si="3"/>
        <v/>
      </c>
      <c r="E57" s="85"/>
      <c r="F57" s="85" t="str">
        <f t="shared" si="1"/>
        <v/>
      </c>
      <c r="G57" s="80"/>
      <c r="H57" s="80"/>
      <c r="I57" s="79"/>
      <c r="J57" s="79"/>
      <c r="K57" s="80"/>
    </row>
    <row r="58" spans="1:11">
      <c r="A58" s="93"/>
      <c r="B58" s="85" t="str">
        <f t="shared" si="0"/>
        <v/>
      </c>
      <c r="C58" s="85" t="str">
        <f t="shared" si="2"/>
        <v/>
      </c>
      <c r="D58" s="85" t="str">
        <f t="shared" si="3"/>
        <v/>
      </c>
      <c r="E58" s="85"/>
      <c r="F58" s="85" t="str">
        <f t="shared" si="1"/>
        <v/>
      </c>
      <c r="G58" s="80"/>
      <c r="H58" s="80"/>
      <c r="I58" s="79"/>
      <c r="J58" s="79"/>
      <c r="K58" s="80"/>
    </row>
    <row r="59" spans="1:11">
      <c r="A59" s="93"/>
      <c r="B59" s="85" t="str">
        <f t="shared" si="0"/>
        <v/>
      </c>
      <c r="C59" s="85" t="str">
        <f t="shared" si="2"/>
        <v/>
      </c>
      <c r="D59" s="85" t="str">
        <f t="shared" si="3"/>
        <v/>
      </c>
      <c r="E59" s="85"/>
      <c r="F59" s="85" t="str">
        <f t="shared" si="1"/>
        <v/>
      </c>
      <c r="G59" s="80"/>
      <c r="H59" s="80"/>
      <c r="I59" s="79"/>
      <c r="J59" s="79"/>
      <c r="K59" s="80"/>
    </row>
    <row r="60" spans="1:11">
      <c r="A60" s="93"/>
      <c r="B60" s="85" t="str">
        <f t="shared" si="0"/>
        <v/>
      </c>
      <c r="C60" s="85" t="str">
        <f t="shared" si="2"/>
        <v/>
      </c>
      <c r="D60" s="85" t="str">
        <f t="shared" si="3"/>
        <v/>
      </c>
      <c r="E60" s="85"/>
      <c r="F60" s="85" t="str">
        <f t="shared" si="1"/>
        <v/>
      </c>
      <c r="G60" s="80"/>
      <c r="H60" s="80"/>
      <c r="I60" s="79"/>
      <c r="J60" s="79"/>
      <c r="K60" s="80"/>
    </row>
    <row r="61" spans="1:11">
      <c r="A61" s="93"/>
      <c r="B61" s="85" t="str">
        <f t="shared" si="0"/>
        <v/>
      </c>
      <c r="C61" s="85" t="str">
        <f t="shared" si="2"/>
        <v/>
      </c>
      <c r="D61" s="85" t="str">
        <f t="shared" si="3"/>
        <v/>
      </c>
      <c r="E61" s="85"/>
      <c r="F61" s="85" t="str">
        <f t="shared" si="1"/>
        <v/>
      </c>
      <c r="G61" s="80"/>
      <c r="H61" s="80"/>
      <c r="I61" s="79"/>
      <c r="J61" s="79"/>
      <c r="K61" s="80"/>
    </row>
    <row r="62" spans="1:11">
      <c r="A62" s="93"/>
      <c r="B62" s="85" t="str">
        <f t="shared" si="0"/>
        <v/>
      </c>
      <c r="C62" s="85" t="str">
        <f t="shared" si="2"/>
        <v/>
      </c>
      <c r="D62" s="85" t="str">
        <f t="shared" si="3"/>
        <v/>
      </c>
      <c r="E62" s="85"/>
      <c r="F62" s="85" t="str">
        <f t="shared" si="1"/>
        <v/>
      </c>
      <c r="G62" s="80"/>
      <c r="H62" s="80"/>
      <c r="I62" s="79"/>
      <c r="J62" s="79"/>
      <c r="K62" s="80"/>
    </row>
    <row r="63" spans="1:11">
      <c r="A63" s="93"/>
      <c r="B63" s="85" t="str">
        <f t="shared" si="0"/>
        <v/>
      </c>
      <c r="C63" s="85" t="str">
        <f t="shared" si="2"/>
        <v/>
      </c>
      <c r="D63" s="85" t="str">
        <f t="shared" si="3"/>
        <v/>
      </c>
      <c r="E63" s="85"/>
      <c r="F63" s="85" t="str">
        <f t="shared" si="1"/>
        <v/>
      </c>
      <c r="G63" s="80"/>
      <c r="H63" s="80"/>
      <c r="I63" s="79"/>
      <c r="J63" s="79"/>
      <c r="K63" s="80"/>
    </row>
    <row r="64" spans="1:11">
      <c r="A64" s="93"/>
      <c r="B64" s="85" t="str">
        <f t="shared" si="0"/>
        <v/>
      </c>
      <c r="C64" s="85" t="str">
        <f t="shared" si="2"/>
        <v/>
      </c>
      <c r="D64" s="85" t="str">
        <f t="shared" si="3"/>
        <v/>
      </c>
      <c r="E64" s="85"/>
      <c r="F64" s="85" t="str">
        <f t="shared" si="1"/>
        <v/>
      </c>
      <c r="G64" s="80"/>
      <c r="H64" s="80"/>
      <c r="I64" s="79"/>
      <c r="J64" s="79"/>
      <c r="K64" s="80"/>
    </row>
    <row r="65" spans="1:11">
      <c r="A65" s="93"/>
      <c r="B65" s="85" t="str">
        <f t="shared" si="0"/>
        <v/>
      </c>
      <c r="C65" s="85" t="str">
        <f t="shared" si="2"/>
        <v/>
      </c>
      <c r="D65" s="85" t="str">
        <f t="shared" si="3"/>
        <v/>
      </c>
      <c r="E65" s="85"/>
      <c r="F65" s="85" t="str">
        <f t="shared" si="1"/>
        <v/>
      </c>
      <c r="G65" s="80"/>
      <c r="H65" s="80"/>
      <c r="I65" s="79"/>
      <c r="J65" s="79"/>
      <c r="K65" s="80"/>
    </row>
    <row r="66" spans="1:11">
      <c r="A66" s="93"/>
      <c r="B66" s="85" t="str">
        <f t="shared" si="0"/>
        <v/>
      </c>
      <c r="C66" s="85" t="str">
        <f t="shared" si="2"/>
        <v/>
      </c>
      <c r="D66" s="85" t="str">
        <f t="shared" si="3"/>
        <v/>
      </c>
      <c r="E66" s="85"/>
      <c r="F66" s="85" t="str">
        <f t="shared" si="1"/>
        <v/>
      </c>
      <c r="G66" s="80"/>
      <c r="H66" s="80"/>
      <c r="I66" s="79"/>
      <c r="J66" s="79"/>
      <c r="K66" s="80"/>
    </row>
    <row r="67" spans="1:11">
      <c r="A67" s="93"/>
      <c r="B67" s="85" t="str">
        <f t="shared" si="0"/>
        <v/>
      </c>
      <c r="C67" s="85" t="str">
        <f t="shared" si="2"/>
        <v/>
      </c>
      <c r="D67" s="85" t="str">
        <f t="shared" si="3"/>
        <v/>
      </c>
      <c r="E67" s="85"/>
      <c r="F67" s="85" t="str">
        <f t="shared" si="1"/>
        <v/>
      </c>
      <c r="G67" s="80"/>
      <c r="H67" s="80"/>
      <c r="I67" s="79"/>
      <c r="J67" s="79"/>
      <c r="K67" s="80"/>
    </row>
    <row r="68" spans="1:11">
      <c r="A68" s="93"/>
      <c r="B68" s="85" t="str">
        <f t="shared" si="0"/>
        <v/>
      </c>
      <c r="C68" s="85" t="str">
        <f t="shared" si="2"/>
        <v/>
      </c>
      <c r="D68" s="85" t="str">
        <f t="shared" si="3"/>
        <v/>
      </c>
      <c r="E68" s="85"/>
      <c r="F68" s="85" t="str">
        <f t="shared" si="1"/>
        <v/>
      </c>
      <c r="G68" s="80"/>
      <c r="H68" s="80"/>
      <c r="I68" s="79"/>
      <c r="J68" s="79"/>
      <c r="K68" s="80"/>
    </row>
    <row r="69" spans="1:11">
      <c r="A69" s="93"/>
      <c r="B69" s="85" t="str">
        <f t="shared" si="0"/>
        <v/>
      </c>
      <c r="C69" s="85" t="str">
        <f t="shared" si="2"/>
        <v/>
      </c>
      <c r="D69" s="85" t="str">
        <f t="shared" si="3"/>
        <v/>
      </c>
      <c r="E69" s="85"/>
      <c r="F69" s="85" t="str">
        <f t="shared" si="1"/>
        <v/>
      </c>
      <c r="G69" s="80"/>
      <c r="H69" s="80"/>
      <c r="I69" s="79"/>
      <c r="J69" s="79"/>
      <c r="K69" s="80"/>
    </row>
    <row r="70" spans="1:11">
      <c r="A70" s="93"/>
      <c r="B70" s="85" t="str">
        <f t="shared" si="0"/>
        <v/>
      </c>
      <c r="C70" s="85" t="str">
        <f t="shared" si="2"/>
        <v/>
      </c>
      <c r="D70" s="85" t="str">
        <f t="shared" si="3"/>
        <v/>
      </c>
      <c r="E70" s="85"/>
      <c r="F70" s="85" t="str">
        <f t="shared" si="1"/>
        <v/>
      </c>
      <c r="G70" s="80"/>
      <c r="H70" s="80"/>
      <c r="I70" s="79"/>
      <c r="J70" s="79"/>
      <c r="K70" s="80"/>
    </row>
    <row r="71" spans="1:11">
      <c r="A71" s="93"/>
      <c r="B71" s="85" t="str">
        <f t="shared" si="0"/>
        <v/>
      </c>
      <c r="C71" s="85" t="str">
        <f t="shared" si="2"/>
        <v/>
      </c>
      <c r="D71" s="85" t="str">
        <f t="shared" si="3"/>
        <v/>
      </c>
      <c r="E71" s="85"/>
      <c r="F71" s="85" t="str">
        <f t="shared" si="1"/>
        <v/>
      </c>
      <c r="G71" s="80"/>
      <c r="H71" s="80"/>
      <c r="I71" s="79"/>
      <c r="J71" s="79"/>
      <c r="K71" s="80"/>
    </row>
    <row r="72" spans="1:11">
      <c r="A72" s="93"/>
      <c r="B72" s="85" t="str">
        <f t="shared" ref="B72:B135" si="4">IFERROR(IF(VLOOKUP($A72,CTINTERVALO,2,0)=0,"",VLOOKUP($A72,CTINTERVALO,2,0)),"")</f>
        <v/>
      </c>
      <c r="C72" s="85" t="str">
        <f t="shared" ref="C72:C135" si="5">IF($B72="Não", "BLOQUEADO (Aguardar liberação)", IFERROR(IF(VLOOKUP($A72,CTINTERVALO,3,0)=0,"",VLOOKUP($A72,CTINTERVALO,3,0)),""))</f>
        <v/>
      </c>
      <c r="D72" s="85" t="str">
        <f t="shared" ref="D72:D135" si="6">IF($B72="Não", "BLOQUEADO (Aguardar liberação)", IFERROR(IF(VLOOKUP($A72,CTINTERVALO,4,0)=0,"",VLOOKUP($A72,CTINTERVALO,4,0)),""))</f>
        <v/>
      </c>
      <c r="E72" s="85"/>
      <c r="F72" s="85" t="str">
        <f t="shared" ref="F72:F135" si="7">IF($B72="Não", "BLOQUEADO (Aguardar liberação)", IFERROR(IF(VLOOKUP($A72,CTINTERVALO,6,0)=0,"",VLOOKUP($A72,CTINTERVALO,6,0)),""))</f>
        <v/>
      </c>
      <c r="G72" s="80"/>
      <c r="H72" s="80"/>
      <c r="I72" s="79"/>
      <c r="J72" s="79"/>
      <c r="K72" s="80"/>
    </row>
    <row r="73" spans="1:11">
      <c r="A73" s="93"/>
      <c r="B73" s="85" t="str">
        <f t="shared" si="4"/>
        <v/>
      </c>
      <c r="C73" s="85" t="str">
        <f t="shared" si="5"/>
        <v/>
      </c>
      <c r="D73" s="85" t="str">
        <f t="shared" si="6"/>
        <v/>
      </c>
      <c r="E73" s="85"/>
      <c r="F73" s="85" t="str">
        <f t="shared" si="7"/>
        <v/>
      </c>
      <c r="G73" s="80"/>
      <c r="H73" s="80"/>
      <c r="I73" s="79"/>
      <c r="J73" s="79"/>
      <c r="K73" s="80"/>
    </row>
    <row r="74" spans="1:11">
      <c r="A74" s="93"/>
      <c r="B74" s="85" t="str">
        <f t="shared" si="4"/>
        <v/>
      </c>
      <c r="C74" s="85" t="str">
        <f t="shared" si="5"/>
        <v/>
      </c>
      <c r="D74" s="85" t="str">
        <f t="shared" si="6"/>
        <v/>
      </c>
      <c r="E74" s="85"/>
      <c r="F74" s="85" t="str">
        <f t="shared" si="7"/>
        <v/>
      </c>
      <c r="G74" s="80"/>
      <c r="H74" s="80"/>
      <c r="I74" s="79"/>
      <c r="J74" s="79"/>
      <c r="K74" s="80"/>
    </row>
    <row r="75" spans="1:11">
      <c r="A75" s="93"/>
      <c r="B75" s="85" t="str">
        <f t="shared" si="4"/>
        <v/>
      </c>
      <c r="C75" s="85" t="str">
        <f t="shared" si="5"/>
        <v/>
      </c>
      <c r="D75" s="85" t="str">
        <f t="shared" si="6"/>
        <v/>
      </c>
      <c r="E75" s="85"/>
      <c r="F75" s="85" t="str">
        <f t="shared" si="7"/>
        <v/>
      </c>
      <c r="G75" s="80"/>
      <c r="H75" s="80"/>
      <c r="I75" s="79"/>
      <c r="J75" s="79"/>
      <c r="K75" s="80"/>
    </row>
    <row r="76" spans="1:11">
      <c r="A76" s="93"/>
      <c r="B76" s="85" t="str">
        <f t="shared" si="4"/>
        <v/>
      </c>
      <c r="C76" s="85" t="str">
        <f t="shared" si="5"/>
        <v/>
      </c>
      <c r="D76" s="85" t="str">
        <f t="shared" si="6"/>
        <v/>
      </c>
      <c r="E76" s="85"/>
      <c r="F76" s="85" t="str">
        <f t="shared" si="7"/>
        <v/>
      </c>
      <c r="G76" s="80"/>
      <c r="H76" s="80"/>
      <c r="I76" s="79"/>
      <c r="J76" s="79"/>
      <c r="K76" s="80"/>
    </row>
    <row r="77" spans="1:11">
      <c r="A77" s="93"/>
      <c r="B77" s="85" t="str">
        <f t="shared" si="4"/>
        <v/>
      </c>
      <c r="C77" s="85" t="str">
        <f t="shared" si="5"/>
        <v/>
      </c>
      <c r="D77" s="85" t="str">
        <f t="shared" si="6"/>
        <v/>
      </c>
      <c r="E77" s="85"/>
      <c r="F77" s="85" t="str">
        <f t="shared" si="7"/>
        <v/>
      </c>
      <c r="G77" s="80"/>
      <c r="H77" s="80"/>
      <c r="I77" s="79"/>
      <c r="J77" s="79"/>
      <c r="K77" s="80"/>
    </row>
    <row r="78" spans="1:11">
      <c r="A78" s="93"/>
      <c r="B78" s="85" t="str">
        <f t="shared" si="4"/>
        <v/>
      </c>
      <c r="C78" s="85" t="str">
        <f t="shared" si="5"/>
        <v/>
      </c>
      <c r="D78" s="85" t="str">
        <f t="shared" si="6"/>
        <v/>
      </c>
      <c r="E78" s="85"/>
      <c r="F78" s="85" t="str">
        <f t="shared" si="7"/>
        <v/>
      </c>
      <c r="G78" s="80"/>
      <c r="H78" s="80"/>
      <c r="I78" s="79"/>
      <c r="J78" s="79"/>
      <c r="K78" s="80"/>
    </row>
    <row r="79" spans="1:11">
      <c r="A79" s="93"/>
      <c r="B79" s="85" t="str">
        <f t="shared" si="4"/>
        <v/>
      </c>
      <c r="C79" s="85" t="str">
        <f t="shared" si="5"/>
        <v/>
      </c>
      <c r="D79" s="85" t="str">
        <f t="shared" si="6"/>
        <v/>
      </c>
      <c r="E79" s="85"/>
      <c r="F79" s="85" t="str">
        <f t="shared" si="7"/>
        <v/>
      </c>
      <c r="G79" s="80"/>
      <c r="H79" s="80"/>
      <c r="I79" s="79"/>
      <c r="J79" s="79"/>
      <c r="K79" s="80"/>
    </row>
    <row r="80" spans="1:11">
      <c r="A80" s="93"/>
      <c r="B80" s="85" t="str">
        <f t="shared" si="4"/>
        <v/>
      </c>
      <c r="C80" s="85" t="str">
        <f t="shared" si="5"/>
        <v/>
      </c>
      <c r="D80" s="85" t="str">
        <f t="shared" si="6"/>
        <v/>
      </c>
      <c r="E80" s="85"/>
      <c r="F80" s="85" t="str">
        <f t="shared" si="7"/>
        <v/>
      </c>
      <c r="G80" s="80"/>
      <c r="H80" s="80"/>
      <c r="I80" s="79"/>
      <c r="J80" s="79"/>
      <c r="K80" s="80"/>
    </row>
    <row r="81" spans="1:11">
      <c r="A81" s="93"/>
      <c r="B81" s="85" t="str">
        <f t="shared" si="4"/>
        <v/>
      </c>
      <c r="C81" s="85" t="str">
        <f t="shared" si="5"/>
        <v/>
      </c>
      <c r="D81" s="85" t="str">
        <f t="shared" si="6"/>
        <v/>
      </c>
      <c r="E81" s="85"/>
      <c r="F81" s="85" t="str">
        <f t="shared" si="7"/>
        <v/>
      </c>
      <c r="G81" s="80"/>
      <c r="H81" s="80"/>
      <c r="I81" s="79"/>
      <c r="J81" s="79"/>
      <c r="K81" s="80"/>
    </row>
    <row r="82" spans="1:11">
      <c r="A82" s="93"/>
      <c r="B82" s="85" t="str">
        <f t="shared" si="4"/>
        <v/>
      </c>
      <c r="C82" s="85" t="str">
        <f t="shared" si="5"/>
        <v/>
      </c>
      <c r="D82" s="85" t="str">
        <f t="shared" si="6"/>
        <v/>
      </c>
      <c r="E82" s="85"/>
      <c r="F82" s="85" t="str">
        <f t="shared" si="7"/>
        <v/>
      </c>
      <c r="G82" s="80"/>
      <c r="H82" s="80"/>
      <c r="I82" s="79"/>
      <c r="J82" s="79"/>
      <c r="K82" s="80"/>
    </row>
    <row r="83" spans="1:11">
      <c r="A83" s="93"/>
      <c r="B83" s="85" t="str">
        <f t="shared" si="4"/>
        <v/>
      </c>
      <c r="C83" s="85" t="str">
        <f t="shared" si="5"/>
        <v/>
      </c>
      <c r="D83" s="85" t="str">
        <f t="shared" si="6"/>
        <v/>
      </c>
      <c r="E83" s="85"/>
      <c r="F83" s="85" t="str">
        <f t="shared" si="7"/>
        <v/>
      </c>
      <c r="G83" s="80"/>
      <c r="H83" s="80"/>
      <c r="I83" s="79"/>
      <c r="J83" s="79"/>
      <c r="K83" s="80"/>
    </row>
    <row r="84" spans="1:11">
      <c r="A84" s="93"/>
      <c r="B84" s="85" t="str">
        <f t="shared" si="4"/>
        <v/>
      </c>
      <c r="C84" s="85" t="str">
        <f t="shared" si="5"/>
        <v/>
      </c>
      <c r="D84" s="85" t="str">
        <f t="shared" si="6"/>
        <v/>
      </c>
      <c r="E84" s="85"/>
      <c r="F84" s="85" t="str">
        <f t="shared" si="7"/>
        <v/>
      </c>
      <c r="G84" s="80"/>
      <c r="H84" s="80"/>
      <c r="I84" s="79"/>
      <c r="J84" s="79"/>
      <c r="K84" s="80"/>
    </row>
    <row r="85" spans="1:11">
      <c r="A85" s="93"/>
      <c r="B85" s="85" t="str">
        <f t="shared" si="4"/>
        <v/>
      </c>
      <c r="C85" s="85" t="str">
        <f t="shared" si="5"/>
        <v/>
      </c>
      <c r="D85" s="85" t="str">
        <f t="shared" si="6"/>
        <v/>
      </c>
      <c r="E85" s="85"/>
      <c r="F85" s="85" t="str">
        <f t="shared" si="7"/>
        <v/>
      </c>
      <c r="G85" s="80"/>
      <c r="H85" s="80"/>
      <c r="I85" s="79"/>
      <c r="J85" s="79"/>
      <c r="K85" s="80"/>
    </row>
    <row r="86" spans="1:11">
      <c r="A86" s="93"/>
      <c r="B86" s="85" t="str">
        <f t="shared" si="4"/>
        <v/>
      </c>
      <c r="C86" s="85" t="str">
        <f t="shared" si="5"/>
        <v/>
      </c>
      <c r="D86" s="85" t="str">
        <f t="shared" si="6"/>
        <v/>
      </c>
      <c r="E86" s="85"/>
      <c r="F86" s="85" t="str">
        <f t="shared" si="7"/>
        <v/>
      </c>
      <c r="G86" s="80"/>
      <c r="H86" s="80"/>
      <c r="I86" s="79"/>
      <c r="J86" s="79"/>
      <c r="K86" s="80"/>
    </row>
    <row r="87" spans="1:11">
      <c r="A87" s="93"/>
      <c r="B87" s="85" t="str">
        <f t="shared" si="4"/>
        <v/>
      </c>
      <c r="C87" s="85" t="str">
        <f t="shared" si="5"/>
        <v/>
      </c>
      <c r="D87" s="85" t="str">
        <f t="shared" si="6"/>
        <v/>
      </c>
      <c r="E87" s="85"/>
      <c r="F87" s="85" t="str">
        <f t="shared" si="7"/>
        <v/>
      </c>
      <c r="G87" s="80"/>
      <c r="H87" s="80"/>
      <c r="I87" s="79"/>
      <c r="J87" s="79"/>
      <c r="K87" s="80"/>
    </row>
    <row r="88" spans="1:11">
      <c r="A88" s="93"/>
      <c r="B88" s="85" t="str">
        <f t="shared" si="4"/>
        <v/>
      </c>
      <c r="C88" s="85" t="str">
        <f t="shared" si="5"/>
        <v/>
      </c>
      <c r="D88" s="85" t="str">
        <f t="shared" si="6"/>
        <v/>
      </c>
      <c r="E88" s="85"/>
      <c r="F88" s="85" t="str">
        <f t="shared" si="7"/>
        <v/>
      </c>
      <c r="G88" s="80"/>
      <c r="H88" s="80"/>
      <c r="I88" s="79"/>
      <c r="J88" s="79"/>
      <c r="K88" s="80"/>
    </row>
    <row r="89" spans="1:11">
      <c r="A89" s="93"/>
      <c r="B89" s="85" t="str">
        <f t="shared" si="4"/>
        <v/>
      </c>
      <c r="C89" s="85" t="str">
        <f t="shared" si="5"/>
        <v/>
      </c>
      <c r="D89" s="85" t="str">
        <f t="shared" si="6"/>
        <v/>
      </c>
      <c r="E89" s="85"/>
      <c r="F89" s="85" t="str">
        <f t="shared" si="7"/>
        <v/>
      </c>
      <c r="G89" s="80"/>
      <c r="H89" s="80"/>
      <c r="I89" s="79"/>
      <c r="J89" s="79"/>
      <c r="K89" s="80"/>
    </row>
    <row r="90" spans="1:11">
      <c r="A90" s="93"/>
      <c r="B90" s="85" t="str">
        <f t="shared" si="4"/>
        <v/>
      </c>
      <c r="C90" s="85" t="str">
        <f t="shared" si="5"/>
        <v/>
      </c>
      <c r="D90" s="85" t="str">
        <f t="shared" si="6"/>
        <v/>
      </c>
      <c r="E90" s="85"/>
      <c r="F90" s="85" t="str">
        <f t="shared" si="7"/>
        <v/>
      </c>
      <c r="G90" s="80"/>
      <c r="H90" s="80"/>
      <c r="I90" s="79"/>
      <c r="J90" s="79"/>
      <c r="K90" s="80"/>
    </row>
    <row r="91" spans="1:11">
      <c r="A91" s="93"/>
      <c r="B91" s="85" t="str">
        <f t="shared" si="4"/>
        <v/>
      </c>
      <c r="C91" s="85" t="str">
        <f t="shared" si="5"/>
        <v/>
      </c>
      <c r="D91" s="85" t="str">
        <f t="shared" si="6"/>
        <v/>
      </c>
      <c r="E91" s="85"/>
      <c r="F91" s="85" t="str">
        <f t="shared" si="7"/>
        <v/>
      </c>
      <c r="G91" s="80"/>
      <c r="H91" s="80"/>
      <c r="I91" s="79"/>
      <c r="J91" s="79"/>
      <c r="K91" s="80"/>
    </row>
    <row r="92" spans="1:11">
      <c r="A92" s="93"/>
      <c r="B92" s="85" t="str">
        <f t="shared" si="4"/>
        <v/>
      </c>
      <c r="C92" s="85" t="str">
        <f t="shared" si="5"/>
        <v/>
      </c>
      <c r="D92" s="85" t="str">
        <f t="shared" si="6"/>
        <v/>
      </c>
      <c r="E92" s="85"/>
      <c r="F92" s="85" t="str">
        <f t="shared" si="7"/>
        <v/>
      </c>
      <c r="G92" s="80"/>
      <c r="H92" s="80"/>
      <c r="I92" s="79"/>
      <c r="J92" s="79"/>
      <c r="K92" s="80"/>
    </row>
    <row r="93" spans="1:11">
      <c r="A93" s="93"/>
      <c r="B93" s="85" t="str">
        <f t="shared" si="4"/>
        <v/>
      </c>
      <c r="C93" s="85" t="str">
        <f t="shared" si="5"/>
        <v/>
      </c>
      <c r="D93" s="85" t="str">
        <f t="shared" si="6"/>
        <v/>
      </c>
      <c r="E93" s="85"/>
      <c r="F93" s="85" t="str">
        <f t="shared" si="7"/>
        <v/>
      </c>
      <c r="G93" s="80"/>
      <c r="H93" s="80"/>
      <c r="I93" s="79"/>
      <c r="J93" s="79"/>
      <c r="K93" s="80"/>
    </row>
    <row r="94" spans="1:11">
      <c r="A94" s="93"/>
      <c r="B94" s="85" t="str">
        <f t="shared" si="4"/>
        <v/>
      </c>
      <c r="C94" s="85" t="str">
        <f t="shared" si="5"/>
        <v/>
      </c>
      <c r="D94" s="85" t="str">
        <f t="shared" si="6"/>
        <v/>
      </c>
      <c r="E94" s="85"/>
      <c r="F94" s="85" t="str">
        <f t="shared" si="7"/>
        <v/>
      </c>
      <c r="G94" s="80"/>
      <c r="H94" s="80"/>
      <c r="I94" s="79"/>
      <c r="J94" s="79"/>
      <c r="K94" s="80"/>
    </row>
    <row r="95" spans="1:11">
      <c r="A95" s="93"/>
      <c r="B95" s="85" t="str">
        <f t="shared" si="4"/>
        <v/>
      </c>
      <c r="C95" s="85" t="str">
        <f t="shared" si="5"/>
        <v/>
      </c>
      <c r="D95" s="85" t="str">
        <f t="shared" si="6"/>
        <v/>
      </c>
      <c r="E95" s="85"/>
      <c r="F95" s="85" t="str">
        <f t="shared" si="7"/>
        <v/>
      </c>
      <c r="G95" s="80"/>
      <c r="H95" s="80"/>
      <c r="I95" s="79"/>
      <c r="J95" s="79"/>
      <c r="K95" s="80"/>
    </row>
    <row r="96" spans="1:11">
      <c r="A96" s="93"/>
      <c r="B96" s="85" t="str">
        <f t="shared" si="4"/>
        <v/>
      </c>
      <c r="C96" s="85" t="str">
        <f t="shared" si="5"/>
        <v/>
      </c>
      <c r="D96" s="85" t="str">
        <f t="shared" si="6"/>
        <v/>
      </c>
      <c r="E96" s="85"/>
      <c r="F96" s="85" t="str">
        <f t="shared" si="7"/>
        <v/>
      </c>
      <c r="G96" s="80"/>
      <c r="H96" s="80"/>
      <c r="I96" s="79"/>
      <c r="J96" s="79"/>
      <c r="K96" s="80"/>
    </row>
    <row r="97" spans="1:11">
      <c r="A97" s="93"/>
      <c r="B97" s="85" t="str">
        <f t="shared" si="4"/>
        <v/>
      </c>
      <c r="C97" s="85" t="str">
        <f t="shared" si="5"/>
        <v/>
      </c>
      <c r="D97" s="85" t="str">
        <f t="shared" si="6"/>
        <v/>
      </c>
      <c r="E97" s="85"/>
      <c r="F97" s="85" t="str">
        <f t="shared" si="7"/>
        <v/>
      </c>
      <c r="G97" s="80"/>
      <c r="H97" s="80"/>
      <c r="I97" s="79"/>
      <c r="J97" s="79"/>
      <c r="K97" s="80"/>
    </row>
    <row r="98" spans="1:11">
      <c r="A98" s="93"/>
      <c r="B98" s="85" t="str">
        <f t="shared" si="4"/>
        <v/>
      </c>
      <c r="C98" s="85" t="str">
        <f t="shared" si="5"/>
        <v/>
      </c>
      <c r="D98" s="85" t="str">
        <f t="shared" si="6"/>
        <v/>
      </c>
      <c r="E98" s="85"/>
      <c r="F98" s="85" t="str">
        <f t="shared" si="7"/>
        <v/>
      </c>
      <c r="G98" s="80"/>
      <c r="H98" s="80"/>
      <c r="I98" s="79"/>
      <c r="J98" s="79"/>
      <c r="K98" s="80"/>
    </row>
    <row r="99" spans="1:11">
      <c r="A99" s="93"/>
      <c r="B99" s="85" t="str">
        <f t="shared" si="4"/>
        <v/>
      </c>
      <c r="C99" s="85" t="str">
        <f t="shared" si="5"/>
        <v/>
      </c>
      <c r="D99" s="85" t="str">
        <f t="shared" si="6"/>
        <v/>
      </c>
      <c r="E99" s="85"/>
      <c r="F99" s="85" t="str">
        <f t="shared" si="7"/>
        <v/>
      </c>
      <c r="G99" s="80"/>
      <c r="H99" s="80"/>
      <c r="I99" s="79"/>
      <c r="J99" s="79"/>
      <c r="K99" s="80"/>
    </row>
    <row r="100" spans="1:11">
      <c r="A100" s="93"/>
      <c r="B100" s="85" t="str">
        <f t="shared" si="4"/>
        <v/>
      </c>
      <c r="C100" s="85" t="str">
        <f t="shared" si="5"/>
        <v/>
      </c>
      <c r="D100" s="85" t="str">
        <f t="shared" si="6"/>
        <v/>
      </c>
      <c r="E100" s="85"/>
      <c r="F100" s="85" t="str">
        <f t="shared" si="7"/>
        <v/>
      </c>
      <c r="G100" s="80"/>
      <c r="H100" s="80"/>
      <c r="I100" s="79"/>
      <c r="J100" s="79"/>
      <c r="K100" s="80"/>
    </row>
    <row r="101" spans="1:11">
      <c r="A101" s="93"/>
      <c r="B101" s="85" t="str">
        <f t="shared" si="4"/>
        <v/>
      </c>
      <c r="C101" s="85" t="str">
        <f t="shared" si="5"/>
        <v/>
      </c>
      <c r="D101" s="85" t="str">
        <f t="shared" si="6"/>
        <v/>
      </c>
      <c r="E101" s="85"/>
      <c r="F101" s="85" t="str">
        <f t="shared" si="7"/>
        <v/>
      </c>
      <c r="G101" s="80"/>
      <c r="H101" s="80"/>
      <c r="I101" s="79"/>
      <c r="J101" s="79"/>
      <c r="K101" s="80"/>
    </row>
    <row r="102" spans="1:11">
      <c r="A102" s="93"/>
      <c r="B102" s="85" t="str">
        <f t="shared" si="4"/>
        <v/>
      </c>
      <c r="C102" s="85" t="str">
        <f t="shared" si="5"/>
        <v/>
      </c>
      <c r="D102" s="85" t="str">
        <f t="shared" si="6"/>
        <v/>
      </c>
      <c r="E102" s="85"/>
      <c r="F102" s="85" t="str">
        <f t="shared" si="7"/>
        <v/>
      </c>
      <c r="G102" s="80"/>
      <c r="H102" s="80"/>
      <c r="I102" s="79"/>
      <c r="J102" s="79"/>
      <c r="K102" s="80"/>
    </row>
    <row r="103" spans="1:11">
      <c r="A103" s="93"/>
      <c r="B103" s="85" t="str">
        <f t="shared" si="4"/>
        <v/>
      </c>
      <c r="C103" s="85" t="str">
        <f t="shared" si="5"/>
        <v/>
      </c>
      <c r="D103" s="85" t="str">
        <f t="shared" si="6"/>
        <v/>
      </c>
      <c r="E103" s="85"/>
      <c r="F103" s="85" t="str">
        <f t="shared" si="7"/>
        <v/>
      </c>
      <c r="G103" s="80"/>
      <c r="H103" s="80"/>
      <c r="I103" s="79"/>
      <c r="J103" s="79"/>
      <c r="K103" s="80"/>
    </row>
    <row r="104" spans="1:11">
      <c r="A104" s="93"/>
      <c r="B104" s="85" t="str">
        <f t="shared" si="4"/>
        <v/>
      </c>
      <c r="C104" s="85" t="str">
        <f t="shared" si="5"/>
        <v/>
      </c>
      <c r="D104" s="85" t="str">
        <f t="shared" si="6"/>
        <v/>
      </c>
      <c r="E104" s="85"/>
      <c r="F104" s="85" t="str">
        <f t="shared" si="7"/>
        <v/>
      </c>
      <c r="G104" s="80"/>
      <c r="H104" s="80"/>
      <c r="I104" s="79"/>
      <c r="J104" s="79"/>
      <c r="K104" s="80"/>
    </row>
    <row r="105" spans="1:11">
      <c r="A105" s="93"/>
      <c r="B105" s="85" t="str">
        <f t="shared" si="4"/>
        <v/>
      </c>
      <c r="C105" s="85" t="str">
        <f t="shared" si="5"/>
        <v/>
      </c>
      <c r="D105" s="85" t="str">
        <f t="shared" si="6"/>
        <v/>
      </c>
      <c r="E105" s="85"/>
      <c r="F105" s="85" t="str">
        <f t="shared" si="7"/>
        <v/>
      </c>
      <c r="G105" s="80"/>
      <c r="H105" s="80"/>
      <c r="I105" s="79"/>
      <c r="J105" s="79"/>
      <c r="K105" s="80"/>
    </row>
    <row r="106" spans="1:11">
      <c r="A106" s="93"/>
      <c r="B106" s="85" t="str">
        <f t="shared" si="4"/>
        <v/>
      </c>
      <c r="C106" s="85" t="str">
        <f t="shared" si="5"/>
        <v/>
      </c>
      <c r="D106" s="85" t="str">
        <f t="shared" si="6"/>
        <v/>
      </c>
      <c r="E106" s="85"/>
      <c r="F106" s="85" t="str">
        <f t="shared" si="7"/>
        <v/>
      </c>
      <c r="G106" s="80"/>
      <c r="H106" s="80"/>
      <c r="I106" s="79"/>
      <c r="J106" s="79"/>
      <c r="K106" s="80"/>
    </row>
    <row r="107" spans="1:11">
      <c r="A107" s="93"/>
      <c r="B107" s="85" t="str">
        <f t="shared" si="4"/>
        <v/>
      </c>
      <c r="C107" s="85" t="str">
        <f t="shared" si="5"/>
        <v/>
      </c>
      <c r="D107" s="85" t="str">
        <f t="shared" si="6"/>
        <v/>
      </c>
      <c r="E107" s="85"/>
      <c r="F107" s="85" t="str">
        <f t="shared" si="7"/>
        <v/>
      </c>
      <c r="G107" s="80"/>
      <c r="H107" s="80"/>
      <c r="I107" s="79"/>
      <c r="J107" s="79"/>
      <c r="K107" s="80"/>
    </row>
    <row r="108" spans="1:11">
      <c r="A108" s="93"/>
      <c r="B108" s="85" t="str">
        <f t="shared" si="4"/>
        <v/>
      </c>
      <c r="C108" s="85" t="str">
        <f t="shared" si="5"/>
        <v/>
      </c>
      <c r="D108" s="85" t="str">
        <f t="shared" si="6"/>
        <v/>
      </c>
      <c r="E108" s="85"/>
      <c r="F108" s="85" t="str">
        <f t="shared" si="7"/>
        <v/>
      </c>
      <c r="G108" s="80"/>
      <c r="H108" s="80"/>
      <c r="I108" s="79"/>
      <c r="J108" s="79"/>
      <c r="K108" s="80"/>
    </row>
    <row r="109" spans="1:11">
      <c r="A109" s="93"/>
      <c r="B109" s="85" t="str">
        <f t="shared" si="4"/>
        <v/>
      </c>
      <c r="C109" s="85" t="str">
        <f t="shared" si="5"/>
        <v/>
      </c>
      <c r="D109" s="85" t="str">
        <f t="shared" si="6"/>
        <v/>
      </c>
      <c r="E109" s="85"/>
      <c r="F109" s="85" t="str">
        <f t="shared" si="7"/>
        <v/>
      </c>
      <c r="G109" s="80"/>
      <c r="H109" s="80"/>
      <c r="I109" s="79"/>
      <c r="J109" s="79"/>
      <c r="K109" s="80"/>
    </row>
    <row r="110" spans="1:11">
      <c r="A110" s="93"/>
      <c r="B110" s="85" t="str">
        <f t="shared" si="4"/>
        <v/>
      </c>
      <c r="C110" s="85" t="str">
        <f t="shared" si="5"/>
        <v/>
      </c>
      <c r="D110" s="85" t="str">
        <f t="shared" si="6"/>
        <v/>
      </c>
      <c r="E110" s="85"/>
      <c r="F110" s="85" t="str">
        <f t="shared" si="7"/>
        <v/>
      </c>
      <c r="G110" s="80"/>
      <c r="H110" s="80"/>
      <c r="I110" s="79"/>
      <c r="J110" s="79"/>
      <c r="K110" s="80"/>
    </row>
    <row r="111" spans="1:11">
      <c r="A111" s="93"/>
      <c r="B111" s="85" t="str">
        <f t="shared" si="4"/>
        <v/>
      </c>
      <c r="C111" s="85" t="str">
        <f t="shared" si="5"/>
        <v/>
      </c>
      <c r="D111" s="85" t="str">
        <f t="shared" si="6"/>
        <v/>
      </c>
      <c r="E111" s="85"/>
      <c r="F111" s="85" t="str">
        <f t="shared" si="7"/>
        <v/>
      </c>
      <c r="G111" s="80"/>
      <c r="H111" s="80"/>
      <c r="I111" s="79"/>
      <c r="J111" s="79"/>
      <c r="K111" s="80"/>
    </row>
    <row r="112" spans="1:11">
      <c r="A112" s="93"/>
      <c r="B112" s="85" t="str">
        <f t="shared" si="4"/>
        <v/>
      </c>
      <c r="C112" s="85" t="str">
        <f t="shared" si="5"/>
        <v/>
      </c>
      <c r="D112" s="85" t="str">
        <f t="shared" si="6"/>
        <v/>
      </c>
      <c r="E112" s="85"/>
      <c r="F112" s="85" t="str">
        <f t="shared" si="7"/>
        <v/>
      </c>
      <c r="G112" s="80"/>
      <c r="H112" s="80"/>
      <c r="I112" s="79"/>
      <c r="J112" s="79"/>
      <c r="K112" s="80"/>
    </row>
    <row r="113" spans="1:11">
      <c r="A113" s="93"/>
      <c r="B113" s="85" t="str">
        <f t="shared" si="4"/>
        <v/>
      </c>
      <c r="C113" s="85" t="str">
        <f t="shared" si="5"/>
        <v/>
      </c>
      <c r="D113" s="85" t="str">
        <f t="shared" si="6"/>
        <v/>
      </c>
      <c r="E113" s="85"/>
      <c r="F113" s="85" t="str">
        <f t="shared" si="7"/>
        <v/>
      </c>
      <c r="G113" s="80"/>
      <c r="H113" s="80"/>
      <c r="I113" s="79"/>
      <c r="J113" s="79"/>
      <c r="K113" s="80"/>
    </row>
    <row r="114" spans="1:11">
      <c r="A114" s="93"/>
      <c r="B114" s="85" t="str">
        <f t="shared" si="4"/>
        <v/>
      </c>
      <c r="C114" s="85" t="str">
        <f t="shared" si="5"/>
        <v/>
      </c>
      <c r="D114" s="85" t="str">
        <f t="shared" si="6"/>
        <v/>
      </c>
      <c r="E114" s="85"/>
      <c r="F114" s="85" t="str">
        <f t="shared" si="7"/>
        <v/>
      </c>
      <c r="G114" s="80"/>
      <c r="H114" s="80"/>
      <c r="I114" s="79"/>
      <c r="J114" s="79"/>
      <c r="K114" s="80"/>
    </row>
    <row r="115" spans="1:11">
      <c r="A115" s="93"/>
      <c r="B115" s="85" t="str">
        <f t="shared" si="4"/>
        <v/>
      </c>
      <c r="C115" s="85" t="str">
        <f t="shared" si="5"/>
        <v/>
      </c>
      <c r="D115" s="85" t="str">
        <f t="shared" si="6"/>
        <v/>
      </c>
      <c r="E115" s="85"/>
      <c r="F115" s="85" t="str">
        <f t="shared" si="7"/>
        <v/>
      </c>
      <c r="G115" s="80"/>
      <c r="H115" s="80"/>
      <c r="I115" s="79"/>
      <c r="J115" s="79"/>
      <c r="K115" s="80"/>
    </row>
    <row r="116" spans="1:11">
      <c r="A116" s="93"/>
      <c r="B116" s="85" t="str">
        <f t="shared" si="4"/>
        <v/>
      </c>
      <c r="C116" s="85" t="str">
        <f t="shared" si="5"/>
        <v/>
      </c>
      <c r="D116" s="85" t="str">
        <f t="shared" si="6"/>
        <v/>
      </c>
      <c r="E116" s="85"/>
      <c r="F116" s="85" t="str">
        <f t="shared" si="7"/>
        <v/>
      </c>
      <c r="G116" s="80"/>
      <c r="H116" s="80"/>
      <c r="I116" s="79"/>
      <c r="J116" s="79"/>
      <c r="K116" s="80"/>
    </row>
    <row r="117" spans="1:11">
      <c r="A117" s="93"/>
      <c r="B117" s="85" t="str">
        <f t="shared" si="4"/>
        <v/>
      </c>
      <c r="C117" s="85" t="str">
        <f t="shared" si="5"/>
        <v/>
      </c>
      <c r="D117" s="85" t="str">
        <f t="shared" si="6"/>
        <v/>
      </c>
      <c r="E117" s="85"/>
      <c r="F117" s="85" t="str">
        <f t="shared" si="7"/>
        <v/>
      </c>
      <c r="G117" s="80"/>
      <c r="H117" s="80"/>
      <c r="I117" s="79"/>
      <c r="J117" s="79"/>
      <c r="K117" s="80"/>
    </row>
    <row r="118" spans="1:11">
      <c r="A118" s="93"/>
      <c r="B118" s="85" t="str">
        <f t="shared" si="4"/>
        <v/>
      </c>
      <c r="C118" s="85" t="str">
        <f t="shared" si="5"/>
        <v/>
      </c>
      <c r="D118" s="85" t="str">
        <f t="shared" si="6"/>
        <v/>
      </c>
      <c r="E118" s="85"/>
      <c r="F118" s="85" t="str">
        <f t="shared" si="7"/>
        <v/>
      </c>
      <c r="G118" s="80"/>
      <c r="H118" s="80"/>
      <c r="I118" s="79"/>
      <c r="J118" s="79"/>
      <c r="K118" s="80"/>
    </row>
    <row r="119" spans="1:11">
      <c r="A119" s="93"/>
      <c r="B119" s="85" t="str">
        <f t="shared" si="4"/>
        <v/>
      </c>
      <c r="C119" s="85" t="str">
        <f t="shared" si="5"/>
        <v/>
      </c>
      <c r="D119" s="85" t="str">
        <f t="shared" si="6"/>
        <v/>
      </c>
      <c r="E119" s="85"/>
      <c r="F119" s="85" t="str">
        <f t="shared" si="7"/>
        <v/>
      </c>
      <c r="G119" s="80"/>
      <c r="H119" s="80"/>
      <c r="I119" s="79"/>
      <c r="J119" s="79"/>
      <c r="K119" s="80"/>
    </row>
    <row r="120" spans="1:11">
      <c r="A120" s="93"/>
      <c r="B120" s="85" t="str">
        <f t="shared" si="4"/>
        <v/>
      </c>
      <c r="C120" s="85" t="str">
        <f t="shared" si="5"/>
        <v/>
      </c>
      <c r="D120" s="85" t="str">
        <f t="shared" si="6"/>
        <v/>
      </c>
      <c r="E120" s="85"/>
      <c r="F120" s="85" t="str">
        <f t="shared" si="7"/>
        <v/>
      </c>
      <c r="G120" s="80"/>
      <c r="H120" s="80"/>
      <c r="I120" s="79"/>
      <c r="J120" s="79"/>
      <c r="K120" s="80"/>
    </row>
    <row r="121" spans="1:11">
      <c r="A121" s="93"/>
      <c r="B121" s="85" t="str">
        <f t="shared" si="4"/>
        <v/>
      </c>
      <c r="C121" s="85" t="str">
        <f t="shared" si="5"/>
        <v/>
      </c>
      <c r="D121" s="85" t="str">
        <f t="shared" si="6"/>
        <v/>
      </c>
      <c r="E121" s="85"/>
      <c r="F121" s="85" t="str">
        <f t="shared" si="7"/>
        <v/>
      </c>
      <c r="G121" s="80"/>
      <c r="H121" s="80"/>
      <c r="I121" s="79"/>
      <c r="J121" s="79"/>
      <c r="K121" s="80"/>
    </row>
    <row r="122" spans="1:11">
      <c r="A122" s="93"/>
      <c r="B122" s="85" t="str">
        <f t="shared" si="4"/>
        <v/>
      </c>
      <c r="C122" s="85" t="str">
        <f t="shared" si="5"/>
        <v/>
      </c>
      <c r="D122" s="85" t="str">
        <f t="shared" si="6"/>
        <v/>
      </c>
      <c r="E122" s="85"/>
      <c r="F122" s="85" t="str">
        <f t="shared" si="7"/>
        <v/>
      </c>
      <c r="G122" s="80"/>
      <c r="H122" s="80"/>
      <c r="I122" s="79"/>
      <c r="J122" s="79"/>
      <c r="K122" s="80"/>
    </row>
    <row r="123" spans="1:11">
      <c r="A123" s="93"/>
      <c r="B123" s="85" t="str">
        <f t="shared" si="4"/>
        <v/>
      </c>
      <c r="C123" s="85" t="str">
        <f t="shared" si="5"/>
        <v/>
      </c>
      <c r="D123" s="85" t="str">
        <f t="shared" si="6"/>
        <v/>
      </c>
      <c r="E123" s="85"/>
      <c r="F123" s="85" t="str">
        <f t="shared" si="7"/>
        <v/>
      </c>
      <c r="G123" s="80"/>
      <c r="H123" s="80"/>
      <c r="I123" s="79"/>
      <c r="J123" s="79"/>
      <c r="K123" s="80"/>
    </row>
    <row r="124" spans="1:11">
      <c r="A124" s="93"/>
      <c r="B124" s="85" t="str">
        <f t="shared" si="4"/>
        <v/>
      </c>
      <c r="C124" s="85" t="str">
        <f t="shared" si="5"/>
        <v/>
      </c>
      <c r="D124" s="85" t="str">
        <f t="shared" si="6"/>
        <v/>
      </c>
      <c r="E124" s="85"/>
      <c r="F124" s="85" t="str">
        <f t="shared" si="7"/>
        <v/>
      </c>
      <c r="G124" s="80"/>
      <c r="H124" s="80"/>
      <c r="I124" s="79"/>
      <c r="J124" s="79"/>
      <c r="K124" s="80"/>
    </row>
    <row r="125" spans="1:11">
      <c r="A125" s="93"/>
      <c r="B125" s="85" t="str">
        <f t="shared" si="4"/>
        <v/>
      </c>
      <c r="C125" s="85" t="str">
        <f t="shared" si="5"/>
        <v/>
      </c>
      <c r="D125" s="85" t="str">
        <f t="shared" si="6"/>
        <v/>
      </c>
      <c r="E125" s="85"/>
      <c r="F125" s="85" t="str">
        <f t="shared" si="7"/>
        <v/>
      </c>
      <c r="G125" s="80"/>
      <c r="H125" s="80"/>
      <c r="I125" s="79"/>
      <c r="J125" s="79"/>
      <c r="K125" s="80"/>
    </row>
    <row r="126" spans="1:11">
      <c r="A126" s="93"/>
      <c r="B126" s="85" t="str">
        <f t="shared" si="4"/>
        <v/>
      </c>
      <c r="C126" s="85" t="str">
        <f t="shared" si="5"/>
        <v/>
      </c>
      <c r="D126" s="85" t="str">
        <f t="shared" si="6"/>
        <v/>
      </c>
      <c r="E126" s="85"/>
      <c r="F126" s="85" t="str">
        <f t="shared" si="7"/>
        <v/>
      </c>
      <c r="G126" s="80"/>
      <c r="H126" s="80"/>
      <c r="I126" s="79"/>
      <c r="J126" s="79"/>
      <c r="K126" s="80"/>
    </row>
    <row r="127" spans="1:11">
      <c r="A127" s="93"/>
      <c r="B127" s="85" t="str">
        <f t="shared" si="4"/>
        <v/>
      </c>
      <c r="C127" s="85" t="str">
        <f t="shared" si="5"/>
        <v/>
      </c>
      <c r="D127" s="85" t="str">
        <f t="shared" si="6"/>
        <v/>
      </c>
      <c r="E127" s="85"/>
      <c r="F127" s="85" t="str">
        <f t="shared" si="7"/>
        <v/>
      </c>
      <c r="G127" s="80"/>
      <c r="H127" s="80"/>
      <c r="I127" s="79"/>
      <c r="J127" s="79"/>
      <c r="K127" s="80"/>
    </row>
    <row r="128" spans="1:11">
      <c r="A128" s="93"/>
      <c r="B128" s="85" t="str">
        <f t="shared" si="4"/>
        <v/>
      </c>
      <c r="C128" s="85" t="str">
        <f t="shared" si="5"/>
        <v/>
      </c>
      <c r="D128" s="85" t="str">
        <f t="shared" si="6"/>
        <v/>
      </c>
      <c r="E128" s="85"/>
      <c r="F128" s="85" t="str">
        <f t="shared" si="7"/>
        <v/>
      </c>
      <c r="G128" s="80"/>
      <c r="H128" s="80"/>
      <c r="I128" s="79"/>
      <c r="J128" s="79"/>
      <c r="K128" s="80"/>
    </row>
    <row r="129" spans="1:11">
      <c r="A129" s="93"/>
      <c r="B129" s="85" t="str">
        <f t="shared" si="4"/>
        <v/>
      </c>
      <c r="C129" s="85" t="str">
        <f t="shared" si="5"/>
        <v/>
      </c>
      <c r="D129" s="85" t="str">
        <f t="shared" si="6"/>
        <v/>
      </c>
      <c r="E129" s="85"/>
      <c r="F129" s="85" t="str">
        <f t="shared" si="7"/>
        <v/>
      </c>
      <c r="G129" s="80"/>
      <c r="H129" s="80"/>
      <c r="I129" s="79"/>
      <c r="J129" s="79"/>
      <c r="K129" s="80"/>
    </row>
    <row r="130" spans="1:11">
      <c r="A130" s="93"/>
      <c r="B130" s="85" t="str">
        <f t="shared" si="4"/>
        <v/>
      </c>
      <c r="C130" s="85" t="str">
        <f t="shared" si="5"/>
        <v/>
      </c>
      <c r="D130" s="85" t="str">
        <f t="shared" si="6"/>
        <v/>
      </c>
      <c r="E130" s="85"/>
      <c r="F130" s="85" t="str">
        <f t="shared" si="7"/>
        <v/>
      </c>
      <c r="G130" s="80"/>
      <c r="H130" s="80"/>
      <c r="I130" s="79"/>
      <c r="J130" s="79"/>
      <c r="K130" s="80"/>
    </row>
    <row r="131" spans="1:11">
      <c r="A131" s="93"/>
      <c r="B131" s="85" t="str">
        <f t="shared" si="4"/>
        <v/>
      </c>
      <c r="C131" s="85" t="str">
        <f t="shared" si="5"/>
        <v/>
      </c>
      <c r="D131" s="85" t="str">
        <f t="shared" si="6"/>
        <v/>
      </c>
      <c r="E131" s="85"/>
      <c r="F131" s="85" t="str">
        <f t="shared" si="7"/>
        <v/>
      </c>
      <c r="G131" s="80"/>
      <c r="H131" s="80"/>
      <c r="I131" s="79"/>
      <c r="J131" s="79"/>
      <c r="K131" s="80"/>
    </row>
    <row r="132" spans="1:11">
      <c r="A132" s="93"/>
      <c r="B132" s="85" t="str">
        <f t="shared" si="4"/>
        <v/>
      </c>
      <c r="C132" s="85" t="str">
        <f t="shared" si="5"/>
        <v/>
      </c>
      <c r="D132" s="85" t="str">
        <f t="shared" si="6"/>
        <v/>
      </c>
      <c r="E132" s="85"/>
      <c r="F132" s="85" t="str">
        <f t="shared" si="7"/>
        <v/>
      </c>
      <c r="G132" s="80"/>
      <c r="H132" s="80"/>
      <c r="I132" s="79"/>
      <c r="J132" s="79"/>
      <c r="K132" s="80"/>
    </row>
    <row r="133" spans="1:11">
      <c r="A133" s="93"/>
      <c r="B133" s="85" t="str">
        <f t="shared" si="4"/>
        <v/>
      </c>
      <c r="C133" s="85" t="str">
        <f t="shared" si="5"/>
        <v/>
      </c>
      <c r="D133" s="85" t="str">
        <f t="shared" si="6"/>
        <v/>
      </c>
      <c r="E133" s="85"/>
      <c r="F133" s="85" t="str">
        <f t="shared" si="7"/>
        <v/>
      </c>
      <c r="G133" s="80"/>
      <c r="H133" s="80"/>
      <c r="I133" s="79"/>
      <c r="J133" s="79"/>
      <c r="K133" s="80"/>
    </row>
    <row r="134" spans="1:11">
      <c r="A134" s="93"/>
      <c r="B134" s="85" t="str">
        <f t="shared" si="4"/>
        <v/>
      </c>
      <c r="C134" s="85" t="str">
        <f t="shared" si="5"/>
        <v/>
      </c>
      <c r="D134" s="85" t="str">
        <f t="shared" si="6"/>
        <v/>
      </c>
      <c r="E134" s="85"/>
      <c r="F134" s="85" t="str">
        <f t="shared" si="7"/>
        <v/>
      </c>
      <c r="G134" s="80"/>
      <c r="H134" s="80"/>
      <c r="I134" s="79"/>
      <c r="J134" s="79"/>
      <c r="K134" s="80"/>
    </row>
    <row r="135" spans="1:11">
      <c r="A135" s="93"/>
      <c r="B135" s="85" t="str">
        <f t="shared" si="4"/>
        <v/>
      </c>
      <c r="C135" s="85" t="str">
        <f t="shared" si="5"/>
        <v/>
      </c>
      <c r="D135" s="85" t="str">
        <f t="shared" si="6"/>
        <v/>
      </c>
      <c r="E135" s="85"/>
      <c r="F135" s="85" t="str">
        <f t="shared" si="7"/>
        <v/>
      </c>
      <c r="G135" s="80"/>
      <c r="H135" s="80"/>
      <c r="I135" s="79"/>
      <c r="J135" s="79"/>
      <c r="K135" s="80"/>
    </row>
    <row r="136" spans="1:11">
      <c r="A136" s="93"/>
      <c r="B136" s="85" t="str">
        <f t="shared" ref="B136:B199" si="8">IFERROR(IF(VLOOKUP($A136,CTINTERVALO,2,0)=0,"",VLOOKUP($A136,CTINTERVALO,2,0)),"")</f>
        <v/>
      </c>
      <c r="C136" s="85" t="str">
        <f t="shared" ref="C136:C199" si="9">IF($B136="Não", "BLOQUEADO (Aguardar liberação)", IFERROR(IF(VLOOKUP($A136,CTINTERVALO,3,0)=0,"",VLOOKUP($A136,CTINTERVALO,3,0)),""))</f>
        <v/>
      </c>
      <c r="D136" s="85" t="str">
        <f t="shared" ref="D136:D199" si="10">IF($B136="Não", "BLOQUEADO (Aguardar liberação)", IFERROR(IF(VLOOKUP($A136,CTINTERVALO,4,0)=0,"",VLOOKUP($A136,CTINTERVALO,4,0)),""))</f>
        <v/>
      </c>
      <c r="E136" s="85"/>
      <c r="F136" s="85" t="str">
        <f t="shared" ref="F136:F199" si="11">IF($B136="Não", "BLOQUEADO (Aguardar liberação)", IFERROR(IF(VLOOKUP($A136,CTINTERVALO,6,0)=0,"",VLOOKUP($A136,CTINTERVALO,6,0)),""))</f>
        <v/>
      </c>
      <c r="G136" s="80"/>
      <c r="H136" s="80"/>
      <c r="I136" s="79"/>
      <c r="J136" s="79"/>
      <c r="K136" s="80"/>
    </row>
    <row r="137" spans="1:11">
      <c r="A137" s="93"/>
      <c r="B137" s="85" t="str">
        <f t="shared" si="8"/>
        <v/>
      </c>
      <c r="C137" s="85" t="str">
        <f t="shared" si="9"/>
        <v/>
      </c>
      <c r="D137" s="85" t="str">
        <f t="shared" si="10"/>
        <v/>
      </c>
      <c r="E137" s="85"/>
      <c r="F137" s="85" t="str">
        <f t="shared" si="11"/>
        <v/>
      </c>
      <c r="G137" s="80"/>
      <c r="H137" s="80"/>
      <c r="I137" s="79"/>
      <c r="J137" s="79"/>
      <c r="K137" s="80"/>
    </row>
    <row r="138" spans="1:11">
      <c r="A138" s="93"/>
      <c r="B138" s="85" t="str">
        <f t="shared" si="8"/>
        <v/>
      </c>
      <c r="C138" s="85" t="str">
        <f t="shared" si="9"/>
        <v/>
      </c>
      <c r="D138" s="85" t="str">
        <f t="shared" si="10"/>
        <v/>
      </c>
      <c r="E138" s="85"/>
      <c r="F138" s="85" t="str">
        <f t="shared" si="11"/>
        <v/>
      </c>
      <c r="G138" s="80"/>
      <c r="H138" s="80"/>
      <c r="I138" s="79"/>
      <c r="J138" s="79"/>
      <c r="K138" s="80"/>
    </row>
    <row r="139" spans="1:11">
      <c r="A139" s="93"/>
      <c r="B139" s="85" t="str">
        <f t="shared" si="8"/>
        <v/>
      </c>
      <c r="C139" s="85" t="str">
        <f t="shared" si="9"/>
        <v/>
      </c>
      <c r="D139" s="85" t="str">
        <f t="shared" si="10"/>
        <v/>
      </c>
      <c r="E139" s="85"/>
      <c r="F139" s="85" t="str">
        <f t="shared" si="11"/>
        <v/>
      </c>
      <c r="G139" s="80"/>
      <c r="H139" s="80"/>
      <c r="I139" s="79"/>
      <c r="J139" s="79"/>
      <c r="K139" s="80"/>
    </row>
    <row r="140" spans="1:11">
      <c r="A140" s="93"/>
      <c r="B140" s="85" t="str">
        <f t="shared" si="8"/>
        <v/>
      </c>
      <c r="C140" s="85" t="str">
        <f t="shared" si="9"/>
        <v/>
      </c>
      <c r="D140" s="85" t="str">
        <f t="shared" si="10"/>
        <v/>
      </c>
      <c r="E140" s="85"/>
      <c r="F140" s="85" t="str">
        <f t="shared" si="11"/>
        <v/>
      </c>
      <c r="G140" s="80"/>
      <c r="H140" s="80"/>
      <c r="I140" s="79"/>
      <c r="J140" s="79"/>
      <c r="K140" s="80"/>
    </row>
    <row r="141" spans="1:11">
      <c r="A141" s="93"/>
      <c r="B141" s="85" t="str">
        <f t="shared" si="8"/>
        <v/>
      </c>
      <c r="C141" s="85" t="str">
        <f t="shared" si="9"/>
        <v/>
      </c>
      <c r="D141" s="85" t="str">
        <f t="shared" si="10"/>
        <v/>
      </c>
      <c r="E141" s="85"/>
      <c r="F141" s="85" t="str">
        <f t="shared" si="11"/>
        <v/>
      </c>
      <c r="G141" s="80"/>
      <c r="H141" s="80"/>
      <c r="I141" s="79"/>
      <c r="J141" s="79"/>
      <c r="K141" s="80"/>
    </row>
    <row r="142" spans="1:11">
      <c r="A142" s="93"/>
      <c r="B142" s="85" t="str">
        <f t="shared" si="8"/>
        <v/>
      </c>
      <c r="C142" s="85" t="str">
        <f t="shared" si="9"/>
        <v/>
      </c>
      <c r="D142" s="85" t="str">
        <f t="shared" si="10"/>
        <v/>
      </c>
      <c r="E142" s="85"/>
      <c r="F142" s="85" t="str">
        <f t="shared" si="11"/>
        <v/>
      </c>
      <c r="G142" s="80"/>
      <c r="H142" s="80"/>
      <c r="I142" s="79"/>
      <c r="J142" s="79"/>
      <c r="K142" s="80"/>
    </row>
    <row r="143" spans="1:11">
      <c r="A143" s="93"/>
      <c r="B143" s="85" t="str">
        <f t="shared" si="8"/>
        <v/>
      </c>
      <c r="C143" s="85" t="str">
        <f t="shared" si="9"/>
        <v/>
      </c>
      <c r="D143" s="85" t="str">
        <f t="shared" si="10"/>
        <v/>
      </c>
      <c r="E143" s="85"/>
      <c r="F143" s="85" t="str">
        <f t="shared" si="11"/>
        <v/>
      </c>
      <c r="G143" s="80"/>
      <c r="H143" s="80"/>
      <c r="I143" s="79"/>
      <c r="J143" s="79"/>
      <c r="K143" s="80"/>
    </row>
    <row r="144" spans="1:11">
      <c r="A144" s="93"/>
      <c r="B144" s="85" t="str">
        <f t="shared" si="8"/>
        <v/>
      </c>
      <c r="C144" s="85" t="str">
        <f t="shared" si="9"/>
        <v/>
      </c>
      <c r="D144" s="85" t="str">
        <f t="shared" si="10"/>
        <v/>
      </c>
      <c r="E144" s="85"/>
      <c r="F144" s="85" t="str">
        <f t="shared" si="11"/>
        <v/>
      </c>
      <c r="G144" s="80"/>
      <c r="H144" s="80"/>
      <c r="I144" s="79"/>
      <c r="J144" s="79"/>
      <c r="K144" s="80"/>
    </row>
    <row r="145" spans="1:11">
      <c r="A145" s="93"/>
      <c r="B145" s="85" t="str">
        <f t="shared" si="8"/>
        <v/>
      </c>
      <c r="C145" s="85" t="str">
        <f t="shared" si="9"/>
        <v/>
      </c>
      <c r="D145" s="85" t="str">
        <f t="shared" si="10"/>
        <v/>
      </c>
      <c r="E145" s="85"/>
      <c r="F145" s="85" t="str">
        <f t="shared" si="11"/>
        <v/>
      </c>
      <c r="G145" s="80"/>
      <c r="H145" s="80"/>
      <c r="I145" s="79"/>
      <c r="J145" s="79"/>
      <c r="K145" s="80"/>
    </row>
    <row r="146" spans="1:11">
      <c r="A146" s="93"/>
      <c r="B146" s="85" t="str">
        <f t="shared" si="8"/>
        <v/>
      </c>
      <c r="C146" s="85" t="str">
        <f t="shared" si="9"/>
        <v/>
      </c>
      <c r="D146" s="85" t="str">
        <f t="shared" si="10"/>
        <v/>
      </c>
      <c r="E146" s="85"/>
      <c r="F146" s="85" t="str">
        <f t="shared" si="11"/>
        <v/>
      </c>
      <c r="G146" s="80"/>
      <c r="H146" s="80"/>
      <c r="I146" s="79"/>
      <c r="J146" s="79"/>
      <c r="K146" s="80"/>
    </row>
    <row r="147" spans="1:11">
      <c r="A147" s="93"/>
      <c r="B147" s="85" t="str">
        <f t="shared" si="8"/>
        <v/>
      </c>
      <c r="C147" s="85" t="str">
        <f t="shared" si="9"/>
        <v/>
      </c>
      <c r="D147" s="85" t="str">
        <f t="shared" si="10"/>
        <v/>
      </c>
      <c r="E147" s="85"/>
      <c r="F147" s="85" t="str">
        <f t="shared" si="11"/>
        <v/>
      </c>
      <c r="G147" s="80"/>
      <c r="H147" s="80"/>
      <c r="I147" s="79"/>
      <c r="J147" s="79"/>
      <c r="K147" s="80"/>
    </row>
    <row r="148" spans="1:11">
      <c r="A148" s="93"/>
      <c r="B148" s="85" t="str">
        <f t="shared" si="8"/>
        <v/>
      </c>
      <c r="C148" s="85" t="str">
        <f t="shared" si="9"/>
        <v/>
      </c>
      <c r="D148" s="85" t="str">
        <f t="shared" si="10"/>
        <v/>
      </c>
      <c r="E148" s="85"/>
      <c r="F148" s="85" t="str">
        <f t="shared" si="11"/>
        <v/>
      </c>
      <c r="G148" s="80"/>
      <c r="H148" s="80"/>
      <c r="I148" s="79"/>
      <c r="J148" s="79"/>
      <c r="K148" s="80"/>
    </row>
    <row r="149" spans="1:11">
      <c r="A149" s="93"/>
      <c r="B149" s="85" t="str">
        <f t="shared" si="8"/>
        <v/>
      </c>
      <c r="C149" s="85" t="str">
        <f t="shared" si="9"/>
        <v/>
      </c>
      <c r="D149" s="85" t="str">
        <f t="shared" si="10"/>
        <v/>
      </c>
      <c r="E149" s="85"/>
      <c r="F149" s="85" t="str">
        <f t="shared" si="11"/>
        <v/>
      </c>
      <c r="G149" s="80"/>
      <c r="H149" s="80"/>
      <c r="I149" s="79"/>
      <c r="J149" s="79"/>
      <c r="K149" s="80"/>
    </row>
    <row r="150" spans="1:11">
      <c r="A150" s="93"/>
      <c r="B150" s="85" t="str">
        <f t="shared" si="8"/>
        <v/>
      </c>
      <c r="C150" s="85" t="str">
        <f t="shared" si="9"/>
        <v/>
      </c>
      <c r="D150" s="85" t="str">
        <f t="shared" si="10"/>
        <v/>
      </c>
      <c r="E150" s="85"/>
      <c r="F150" s="85" t="str">
        <f t="shared" si="11"/>
        <v/>
      </c>
      <c r="G150" s="80"/>
      <c r="H150" s="80"/>
      <c r="I150" s="79"/>
      <c r="J150" s="79"/>
      <c r="K150" s="80"/>
    </row>
    <row r="151" spans="1:11">
      <c r="A151" s="93"/>
      <c r="B151" s="85" t="str">
        <f t="shared" si="8"/>
        <v/>
      </c>
      <c r="C151" s="85" t="str">
        <f t="shared" si="9"/>
        <v/>
      </c>
      <c r="D151" s="85" t="str">
        <f t="shared" si="10"/>
        <v/>
      </c>
      <c r="E151" s="85"/>
      <c r="F151" s="85" t="str">
        <f t="shared" si="11"/>
        <v/>
      </c>
      <c r="G151" s="80"/>
      <c r="H151" s="80"/>
      <c r="I151" s="79"/>
      <c r="J151" s="79"/>
      <c r="K151" s="80"/>
    </row>
    <row r="152" spans="1:11">
      <c r="A152" s="93"/>
      <c r="B152" s="85" t="str">
        <f t="shared" si="8"/>
        <v/>
      </c>
      <c r="C152" s="85" t="str">
        <f t="shared" si="9"/>
        <v/>
      </c>
      <c r="D152" s="85" t="str">
        <f t="shared" si="10"/>
        <v/>
      </c>
      <c r="E152" s="85"/>
      <c r="F152" s="85" t="str">
        <f t="shared" si="11"/>
        <v/>
      </c>
      <c r="G152" s="80"/>
      <c r="H152" s="80"/>
      <c r="I152" s="79"/>
      <c r="J152" s="79"/>
      <c r="K152" s="80"/>
    </row>
    <row r="153" spans="1:11">
      <c r="A153" s="93"/>
      <c r="B153" s="85" t="str">
        <f t="shared" si="8"/>
        <v/>
      </c>
      <c r="C153" s="85" t="str">
        <f t="shared" si="9"/>
        <v/>
      </c>
      <c r="D153" s="85" t="str">
        <f t="shared" si="10"/>
        <v/>
      </c>
      <c r="E153" s="85"/>
      <c r="F153" s="85" t="str">
        <f t="shared" si="11"/>
        <v/>
      </c>
      <c r="G153" s="80"/>
      <c r="H153" s="80"/>
      <c r="I153" s="79"/>
      <c r="J153" s="79"/>
      <c r="K153" s="80"/>
    </row>
    <row r="154" spans="1:11">
      <c r="A154" s="93"/>
      <c r="B154" s="85" t="str">
        <f t="shared" si="8"/>
        <v/>
      </c>
      <c r="C154" s="85" t="str">
        <f t="shared" si="9"/>
        <v/>
      </c>
      <c r="D154" s="85" t="str">
        <f t="shared" si="10"/>
        <v/>
      </c>
      <c r="E154" s="85"/>
      <c r="F154" s="85" t="str">
        <f t="shared" si="11"/>
        <v/>
      </c>
      <c r="G154" s="80"/>
      <c r="H154" s="80"/>
      <c r="I154" s="79"/>
      <c r="J154" s="79"/>
      <c r="K154" s="80"/>
    </row>
    <row r="155" spans="1:11">
      <c r="A155" s="93"/>
      <c r="B155" s="85" t="str">
        <f t="shared" si="8"/>
        <v/>
      </c>
      <c r="C155" s="85" t="str">
        <f t="shared" si="9"/>
        <v/>
      </c>
      <c r="D155" s="85" t="str">
        <f t="shared" si="10"/>
        <v/>
      </c>
      <c r="E155" s="85"/>
      <c r="F155" s="85" t="str">
        <f t="shared" si="11"/>
        <v/>
      </c>
      <c r="G155" s="80"/>
      <c r="H155" s="80"/>
      <c r="I155" s="79"/>
      <c r="J155" s="79"/>
      <c r="K155" s="80"/>
    </row>
    <row r="156" spans="1:11">
      <c r="A156" s="93"/>
      <c r="B156" s="85" t="str">
        <f t="shared" si="8"/>
        <v/>
      </c>
      <c r="C156" s="85" t="str">
        <f t="shared" si="9"/>
        <v/>
      </c>
      <c r="D156" s="85" t="str">
        <f t="shared" si="10"/>
        <v/>
      </c>
      <c r="E156" s="85"/>
      <c r="F156" s="85" t="str">
        <f t="shared" si="11"/>
        <v/>
      </c>
      <c r="G156" s="80"/>
      <c r="H156" s="80"/>
      <c r="I156" s="79"/>
      <c r="J156" s="79"/>
      <c r="K156" s="80"/>
    </row>
    <row r="157" spans="1:11">
      <c r="A157" s="93"/>
      <c r="B157" s="85" t="str">
        <f t="shared" si="8"/>
        <v/>
      </c>
      <c r="C157" s="85" t="str">
        <f t="shared" si="9"/>
        <v/>
      </c>
      <c r="D157" s="85" t="str">
        <f t="shared" si="10"/>
        <v/>
      </c>
      <c r="E157" s="85"/>
      <c r="F157" s="85" t="str">
        <f t="shared" si="11"/>
        <v/>
      </c>
      <c r="G157" s="80"/>
      <c r="H157" s="80"/>
      <c r="I157" s="79"/>
      <c r="J157" s="79"/>
      <c r="K157" s="80"/>
    </row>
    <row r="158" spans="1:11">
      <c r="A158" s="93"/>
      <c r="B158" s="85" t="str">
        <f t="shared" si="8"/>
        <v/>
      </c>
      <c r="C158" s="85" t="str">
        <f t="shared" si="9"/>
        <v/>
      </c>
      <c r="D158" s="85" t="str">
        <f t="shared" si="10"/>
        <v/>
      </c>
      <c r="E158" s="85"/>
      <c r="F158" s="85" t="str">
        <f t="shared" si="11"/>
        <v/>
      </c>
      <c r="G158" s="80"/>
      <c r="H158" s="80"/>
      <c r="I158" s="79"/>
      <c r="J158" s="79"/>
      <c r="K158" s="80"/>
    </row>
    <row r="159" spans="1:11">
      <c r="A159" s="93"/>
      <c r="B159" s="85" t="str">
        <f t="shared" si="8"/>
        <v/>
      </c>
      <c r="C159" s="85" t="str">
        <f t="shared" si="9"/>
        <v/>
      </c>
      <c r="D159" s="85" t="str">
        <f t="shared" si="10"/>
        <v/>
      </c>
      <c r="E159" s="85"/>
      <c r="F159" s="85" t="str">
        <f t="shared" si="11"/>
        <v/>
      </c>
      <c r="G159" s="80"/>
      <c r="H159" s="80"/>
      <c r="I159" s="79"/>
      <c r="J159" s="79"/>
      <c r="K159" s="80"/>
    </row>
    <row r="160" spans="1:11">
      <c r="A160" s="93"/>
      <c r="B160" s="85" t="str">
        <f t="shared" si="8"/>
        <v/>
      </c>
      <c r="C160" s="85" t="str">
        <f t="shared" si="9"/>
        <v/>
      </c>
      <c r="D160" s="85" t="str">
        <f t="shared" si="10"/>
        <v/>
      </c>
      <c r="E160" s="85"/>
      <c r="F160" s="85" t="str">
        <f t="shared" si="11"/>
        <v/>
      </c>
      <c r="G160" s="80"/>
      <c r="H160" s="80"/>
      <c r="I160" s="79"/>
      <c r="J160" s="79"/>
      <c r="K160" s="80"/>
    </row>
    <row r="161" spans="1:11">
      <c r="A161" s="93"/>
      <c r="B161" s="85" t="str">
        <f t="shared" si="8"/>
        <v/>
      </c>
      <c r="C161" s="85" t="str">
        <f t="shared" si="9"/>
        <v/>
      </c>
      <c r="D161" s="85" t="str">
        <f t="shared" si="10"/>
        <v/>
      </c>
      <c r="E161" s="85"/>
      <c r="F161" s="85" t="str">
        <f t="shared" si="11"/>
        <v/>
      </c>
      <c r="G161" s="80"/>
      <c r="H161" s="80"/>
      <c r="I161" s="79"/>
      <c r="J161" s="79"/>
      <c r="K161" s="80"/>
    </row>
    <row r="162" spans="1:11">
      <c r="A162" s="93"/>
      <c r="B162" s="85" t="str">
        <f t="shared" si="8"/>
        <v/>
      </c>
      <c r="C162" s="85" t="str">
        <f t="shared" si="9"/>
        <v/>
      </c>
      <c r="D162" s="85" t="str">
        <f t="shared" si="10"/>
        <v/>
      </c>
      <c r="E162" s="85"/>
      <c r="F162" s="85" t="str">
        <f t="shared" si="11"/>
        <v/>
      </c>
      <c r="G162" s="80"/>
      <c r="H162" s="80"/>
      <c r="I162" s="79"/>
      <c r="J162" s="79"/>
      <c r="K162" s="80"/>
    </row>
    <row r="163" spans="1:11">
      <c r="A163" s="93"/>
      <c r="B163" s="85" t="str">
        <f t="shared" si="8"/>
        <v/>
      </c>
      <c r="C163" s="85" t="str">
        <f t="shared" si="9"/>
        <v/>
      </c>
      <c r="D163" s="85" t="str">
        <f t="shared" si="10"/>
        <v/>
      </c>
      <c r="E163" s="85"/>
      <c r="F163" s="85" t="str">
        <f t="shared" si="11"/>
        <v/>
      </c>
      <c r="G163" s="80"/>
      <c r="H163" s="80"/>
      <c r="I163" s="79"/>
      <c r="J163" s="79"/>
      <c r="K163" s="80"/>
    </row>
    <row r="164" spans="1:11">
      <c r="A164" s="93"/>
      <c r="B164" s="85" t="str">
        <f t="shared" si="8"/>
        <v/>
      </c>
      <c r="C164" s="85" t="str">
        <f t="shared" si="9"/>
        <v/>
      </c>
      <c r="D164" s="85" t="str">
        <f t="shared" si="10"/>
        <v/>
      </c>
      <c r="E164" s="85"/>
      <c r="F164" s="85" t="str">
        <f t="shared" si="11"/>
        <v/>
      </c>
      <c r="G164" s="80"/>
      <c r="H164" s="80"/>
      <c r="I164" s="79"/>
      <c r="J164" s="79"/>
      <c r="K164" s="80"/>
    </row>
    <row r="165" spans="1:11">
      <c r="A165" s="93"/>
      <c r="B165" s="85" t="str">
        <f t="shared" si="8"/>
        <v/>
      </c>
      <c r="C165" s="85" t="str">
        <f t="shared" si="9"/>
        <v/>
      </c>
      <c r="D165" s="85" t="str">
        <f t="shared" si="10"/>
        <v/>
      </c>
      <c r="E165" s="85"/>
      <c r="F165" s="85" t="str">
        <f t="shared" si="11"/>
        <v/>
      </c>
      <c r="G165" s="80"/>
      <c r="H165" s="80"/>
      <c r="I165" s="79"/>
      <c r="J165" s="79"/>
      <c r="K165" s="80"/>
    </row>
    <row r="166" spans="1:11">
      <c r="A166" s="93"/>
      <c r="B166" s="85" t="str">
        <f t="shared" si="8"/>
        <v/>
      </c>
      <c r="C166" s="85" t="str">
        <f t="shared" si="9"/>
        <v/>
      </c>
      <c r="D166" s="85" t="str">
        <f t="shared" si="10"/>
        <v/>
      </c>
      <c r="E166" s="85"/>
      <c r="F166" s="85" t="str">
        <f t="shared" si="11"/>
        <v/>
      </c>
      <c r="G166" s="80"/>
      <c r="H166" s="80"/>
      <c r="I166" s="79"/>
      <c r="J166" s="79"/>
      <c r="K166" s="80"/>
    </row>
    <row r="167" spans="1:11">
      <c r="A167" s="93"/>
      <c r="B167" s="85" t="str">
        <f t="shared" si="8"/>
        <v/>
      </c>
      <c r="C167" s="85" t="str">
        <f t="shared" si="9"/>
        <v/>
      </c>
      <c r="D167" s="85" t="str">
        <f t="shared" si="10"/>
        <v/>
      </c>
      <c r="E167" s="85"/>
      <c r="F167" s="85" t="str">
        <f t="shared" si="11"/>
        <v/>
      </c>
      <c r="G167" s="80"/>
      <c r="H167" s="80"/>
      <c r="I167" s="79"/>
      <c r="J167" s="79"/>
      <c r="K167" s="80"/>
    </row>
    <row r="168" spans="1:11">
      <c r="A168" s="93"/>
      <c r="B168" s="85" t="str">
        <f t="shared" si="8"/>
        <v/>
      </c>
      <c r="C168" s="85" t="str">
        <f t="shared" si="9"/>
        <v/>
      </c>
      <c r="D168" s="85" t="str">
        <f t="shared" si="10"/>
        <v/>
      </c>
      <c r="E168" s="85"/>
      <c r="F168" s="85" t="str">
        <f t="shared" si="11"/>
        <v/>
      </c>
      <c r="G168" s="80"/>
      <c r="H168" s="80"/>
      <c r="I168" s="79"/>
      <c r="J168" s="79"/>
      <c r="K168" s="80"/>
    </row>
    <row r="169" spans="1:11">
      <c r="A169" s="93"/>
      <c r="B169" s="85" t="str">
        <f t="shared" si="8"/>
        <v/>
      </c>
      <c r="C169" s="85" t="str">
        <f t="shared" si="9"/>
        <v/>
      </c>
      <c r="D169" s="85" t="str">
        <f t="shared" si="10"/>
        <v/>
      </c>
      <c r="E169" s="85"/>
      <c r="F169" s="85" t="str">
        <f t="shared" si="11"/>
        <v/>
      </c>
      <c r="G169" s="80"/>
      <c r="H169" s="80"/>
      <c r="I169" s="79"/>
      <c r="J169" s="79"/>
      <c r="K169" s="80"/>
    </row>
    <row r="170" spans="1:11">
      <c r="A170" s="93"/>
      <c r="B170" s="85" t="str">
        <f t="shared" si="8"/>
        <v/>
      </c>
      <c r="C170" s="85" t="str">
        <f t="shared" si="9"/>
        <v/>
      </c>
      <c r="D170" s="85" t="str">
        <f t="shared" si="10"/>
        <v/>
      </c>
      <c r="E170" s="85"/>
      <c r="F170" s="85" t="str">
        <f t="shared" si="11"/>
        <v/>
      </c>
      <c r="G170" s="80"/>
      <c r="H170" s="80"/>
      <c r="I170" s="79"/>
      <c r="J170" s="79"/>
      <c r="K170" s="80"/>
    </row>
    <row r="171" spans="1:11">
      <c r="A171" s="93"/>
      <c r="B171" s="85" t="str">
        <f t="shared" si="8"/>
        <v/>
      </c>
      <c r="C171" s="85" t="str">
        <f t="shared" si="9"/>
        <v/>
      </c>
      <c r="D171" s="85" t="str">
        <f t="shared" si="10"/>
        <v/>
      </c>
      <c r="E171" s="85"/>
      <c r="F171" s="85" t="str">
        <f t="shared" si="11"/>
        <v/>
      </c>
      <c r="G171" s="80"/>
      <c r="H171" s="80"/>
      <c r="I171" s="79"/>
      <c r="J171" s="79"/>
      <c r="K171" s="80"/>
    </row>
    <row r="172" spans="1:11">
      <c r="A172" s="93"/>
      <c r="B172" s="85" t="str">
        <f t="shared" si="8"/>
        <v/>
      </c>
      <c r="C172" s="85" t="str">
        <f t="shared" si="9"/>
        <v/>
      </c>
      <c r="D172" s="85" t="str">
        <f t="shared" si="10"/>
        <v/>
      </c>
      <c r="E172" s="85"/>
      <c r="F172" s="85" t="str">
        <f t="shared" si="11"/>
        <v/>
      </c>
      <c r="G172" s="80"/>
      <c r="H172" s="80"/>
      <c r="I172" s="79"/>
      <c r="J172" s="79"/>
      <c r="K172" s="80"/>
    </row>
    <row r="173" spans="1:11">
      <c r="A173" s="93"/>
      <c r="B173" s="85" t="str">
        <f t="shared" si="8"/>
        <v/>
      </c>
      <c r="C173" s="85" t="str">
        <f t="shared" si="9"/>
        <v/>
      </c>
      <c r="D173" s="85" t="str">
        <f t="shared" si="10"/>
        <v/>
      </c>
      <c r="E173" s="85"/>
      <c r="F173" s="85" t="str">
        <f t="shared" si="11"/>
        <v/>
      </c>
      <c r="G173" s="80"/>
      <c r="H173" s="80"/>
      <c r="I173" s="79"/>
      <c r="J173" s="79"/>
      <c r="K173" s="80"/>
    </row>
    <row r="174" spans="1:11">
      <c r="A174" s="93"/>
      <c r="B174" s="85" t="str">
        <f t="shared" si="8"/>
        <v/>
      </c>
      <c r="C174" s="85" t="str">
        <f t="shared" si="9"/>
        <v/>
      </c>
      <c r="D174" s="85" t="str">
        <f t="shared" si="10"/>
        <v/>
      </c>
      <c r="E174" s="85"/>
      <c r="F174" s="85" t="str">
        <f t="shared" si="11"/>
        <v/>
      </c>
      <c r="G174" s="80"/>
      <c r="H174" s="80"/>
      <c r="I174" s="79"/>
      <c r="J174" s="79"/>
      <c r="K174" s="80"/>
    </row>
    <row r="175" spans="1:11">
      <c r="A175" s="93"/>
      <c r="B175" s="85" t="str">
        <f t="shared" si="8"/>
        <v/>
      </c>
      <c r="C175" s="85" t="str">
        <f t="shared" si="9"/>
        <v/>
      </c>
      <c r="D175" s="85" t="str">
        <f t="shared" si="10"/>
        <v/>
      </c>
      <c r="E175" s="85"/>
      <c r="F175" s="85" t="str">
        <f t="shared" si="11"/>
        <v/>
      </c>
      <c r="G175" s="80"/>
      <c r="H175" s="80"/>
      <c r="I175" s="79"/>
      <c r="J175" s="79"/>
      <c r="K175" s="80"/>
    </row>
    <row r="176" spans="1:11">
      <c r="A176" s="93"/>
      <c r="B176" s="85" t="str">
        <f t="shared" si="8"/>
        <v/>
      </c>
      <c r="C176" s="85" t="str">
        <f t="shared" si="9"/>
        <v/>
      </c>
      <c r="D176" s="85" t="str">
        <f t="shared" si="10"/>
        <v/>
      </c>
      <c r="E176" s="85"/>
      <c r="F176" s="85" t="str">
        <f t="shared" si="11"/>
        <v/>
      </c>
      <c r="G176" s="80"/>
      <c r="H176" s="80"/>
      <c r="I176" s="79"/>
      <c r="J176" s="79"/>
      <c r="K176" s="80"/>
    </row>
    <row r="177" spans="1:11">
      <c r="A177" s="93"/>
      <c r="B177" s="85" t="str">
        <f t="shared" si="8"/>
        <v/>
      </c>
      <c r="C177" s="85" t="str">
        <f t="shared" si="9"/>
        <v/>
      </c>
      <c r="D177" s="85" t="str">
        <f t="shared" si="10"/>
        <v/>
      </c>
      <c r="E177" s="85"/>
      <c r="F177" s="85" t="str">
        <f t="shared" si="11"/>
        <v/>
      </c>
      <c r="G177" s="80"/>
      <c r="H177" s="80"/>
      <c r="I177" s="79"/>
      <c r="J177" s="79"/>
      <c r="K177" s="80"/>
    </row>
    <row r="178" spans="1:11">
      <c r="A178" s="93"/>
      <c r="B178" s="85" t="str">
        <f t="shared" si="8"/>
        <v/>
      </c>
      <c r="C178" s="85" t="str">
        <f t="shared" si="9"/>
        <v/>
      </c>
      <c r="D178" s="85" t="str">
        <f t="shared" si="10"/>
        <v/>
      </c>
      <c r="E178" s="85"/>
      <c r="F178" s="85" t="str">
        <f t="shared" si="11"/>
        <v/>
      </c>
      <c r="G178" s="80"/>
      <c r="H178" s="80"/>
      <c r="I178" s="79"/>
      <c r="J178" s="79"/>
      <c r="K178" s="80"/>
    </row>
    <row r="179" spans="1:11">
      <c r="A179" s="93"/>
      <c r="B179" s="85" t="str">
        <f t="shared" si="8"/>
        <v/>
      </c>
      <c r="C179" s="85" t="str">
        <f t="shared" si="9"/>
        <v/>
      </c>
      <c r="D179" s="85" t="str">
        <f t="shared" si="10"/>
        <v/>
      </c>
      <c r="E179" s="85"/>
      <c r="F179" s="85" t="str">
        <f t="shared" si="11"/>
        <v/>
      </c>
      <c r="G179" s="80"/>
      <c r="H179" s="80"/>
      <c r="I179" s="79"/>
      <c r="J179" s="79"/>
      <c r="K179" s="80"/>
    </row>
    <row r="180" spans="1:11">
      <c r="A180" s="93"/>
      <c r="B180" s="85" t="str">
        <f t="shared" si="8"/>
        <v/>
      </c>
      <c r="C180" s="85" t="str">
        <f t="shared" si="9"/>
        <v/>
      </c>
      <c r="D180" s="85" t="str">
        <f t="shared" si="10"/>
        <v/>
      </c>
      <c r="E180" s="85"/>
      <c r="F180" s="85" t="str">
        <f t="shared" si="11"/>
        <v/>
      </c>
      <c r="G180" s="80"/>
      <c r="H180" s="80"/>
      <c r="I180" s="79"/>
      <c r="J180" s="79"/>
      <c r="K180" s="80"/>
    </row>
    <row r="181" spans="1:11">
      <c r="A181" s="93"/>
      <c r="B181" s="85" t="str">
        <f t="shared" si="8"/>
        <v/>
      </c>
      <c r="C181" s="85" t="str">
        <f t="shared" si="9"/>
        <v/>
      </c>
      <c r="D181" s="85" t="str">
        <f t="shared" si="10"/>
        <v/>
      </c>
      <c r="E181" s="85"/>
      <c r="F181" s="85" t="str">
        <f t="shared" si="11"/>
        <v/>
      </c>
      <c r="G181" s="80"/>
      <c r="H181" s="80"/>
      <c r="I181" s="79"/>
      <c r="J181" s="79"/>
      <c r="K181" s="80"/>
    </row>
    <row r="182" spans="1:11">
      <c r="A182" s="93"/>
      <c r="B182" s="85" t="str">
        <f t="shared" si="8"/>
        <v/>
      </c>
      <c r="C182" s="85" t="str">
        <f t="shared" si="9"/>
        <v/>
      </c>
      <c r="D182" s="85" t="str">
        <f t="shared" si="10"/>
        <v/>
      </c>
      <c r="E182" s="85"/>
      <c r="F182" s="85" t="str">
        <f t="shared" si="11"/>
        <v/>
      </c>
      <c r="G182" s="80"/>
      <c r="H182" s="80"/>
      <c r="I182" s="79"/>
      <c r="J182" s="79"/>
      <c r="K182" s="80"/>
    </row>
    <row r="183" spans="1:11">
      <c r="A183" s="93"/>
      <c r="B183" s="85" t="str">
        <f t="shared" si="8"/>
        <v/>
      </c>
      <c r="C183" s="85" t="str">
        <f t="shared" si="9"/>
        <v/>
      </c>
      <c r="D183" s="85" t="str">
        <f t="shared" si="10"/>
        <v/>
      </c>
      <c r="E183" s="85"/>
      <c r="F183" s="85" t="str">
        <f t="shared" si="11"/>
        <v/>
      </c>
      <c r="G183" s="80"/>
      <c r="H183" s="80"/>
      <c r="I183" s="79"/>
      <c r="J183" s="79"/>
      <c r="K183" s="80"/>
    </row>
    <row r="184" spans="1:11">
      <c r="A184" s="93"/>
      <c r="B184" s="85" t="str">
        <f t="shared" si="8"/>
        <v/>
      </c>
      <c r="C184" s="85" t="str">
        <f t="shared" si="9"/>
        <v/>
      </c>
      <c r="D184" s="85" t="str">
        <f t="shared" si="10"/>
        <v/>
      </c>
      <c r="E184" s="85"/>
      <c r="F184" s="85" t="str">
        <f t="shared" si="11"/>
        <v/>
      </c>
      <c r="G184" s="80"/>
      <c r="H184" s="80"/>
      <c r="I184" s="79"/>
      <c r="J184" s="79"/>
      <c r="K184" s="80"/>
    </row>
    <row r="185" spans="1:11">
      <c r="A185" s="93"/>
      <c r="B185" s="85" t="str">
        <f t="shared" si="8"/>
        <v/>
      </c>
      <c r="C185" s="85" t="str">
        <f t="shared" si="9"/>
        <v/>
      </c>
      <c r="D185" s="85" t="str">
        <f t="shared" si="10"/>
        <v/>
      </c>
      <c r="E185" s="85"/>
      <c r="F185" s="85" t="str">
        <f t="shared" si="11"/>
        <v/>
      </c>
      <c r="G185" s="80"/>
      <c r="H185" s="80"/>
      <c r="I185" s="79"/>
      <c r="J185" s="79"/>
      <c r="K185" s="80"/>
    </row>
    <row r="186" spans="1:11">
      <c r="A186" s="93"/>
      <c r="B186" s="85" t="str">
        <f t="shared" si="8"/>
        <v/>
      </c>
      <c r="C186" s="85" t="str">
        <f t="shared" si="9"/>
        <v/>
      </c>
      <c r="D186" s="85" t="str">
        <f t="shared" si="10"/>
        <v/>
      </c>
      <c r="E186" s="85"/>
      <c r="F186" s="85" t="str">
        <f t="shared" si="11"/>
        <v/>
      </c>
      <c r="G186" s="80"/>
      <c r="H186" s="80"/>
      <c r="I186" s="79"/>
      <c r="J186" s="79"/>
      <c r="K186" s="80"/>
    </row>
    <row r="187" spans="1:11">
      <c r="A187" s="93"/>
      <c r="B187" s="85" t="str">
        <f t="shared" si="8"/>
        <v/>
      </c>
      <c r="C187" s="85" t="str">
        <f t="shared" si="9"/>
        <v/>
      </c>
      <c r="D187" s="85" t="str">
        <f t="shared" si="10"/>
        <v/>
      </c>
      <c r="E187" s="85"/>
      <c r="F187" s="85" t="str">
        <f t="shared" si="11"/>
        <v/>
      </c>
      <c r="G187" s="80"/>
      <c r="H187" s="80"/>
      <c r="I187" s="79"/>
      <c r="J187" s="79"/>
      <c r="K187" s="80"/>
    </row>
    <row r="188" spans="1:11">
      <c r="A188" s="93"/>
      <c r="B188" s="85" t="str">
        <f t="shared" si="8"/>
        <v/>
      </c>
      <c r="C188" s="85" t="str">
        <f t="shared" si="9"/>
        <v/>
      </c>
      <c r="D188" s="85" t="str">
        <f t="shared" si="10"/>
        <v/>
      </c>
      <c r="E188" s="85"/>
      <c r="F188" s="85" t="str">
        <f t="shared" si="11"/>
        <v/>
      </c>
      <c r="G188" s="80"/>
      <c r="H188" s="80"/>
      <c r="I188" s="79"/>
      <c r="J188" s="79"/>
      <c r="K188" s="80"/>
    </row>
    <row r="189" spans="1:11">
      <c r="A189" s="93"/>
      <c r="B189" s="85" t="str">
        <f t="shared" si="8"/>
        <v/>
      </c>
      <c r="C189" s="85" t="str">
        <f t="shared" si="9"/>
        <v/>
      </c>
      <c r="D189" s="85" t="str">
        <f t="shared" si="10"/>
        <v/>
      </c>
      <c r="E189" s="85"/>
      <c r="F189" s="85" t="str">
        <f t="shared" si="11"/>
        <v/>
      </c>
      <c r="G189" s="80"/>
      <c r="H189" s="80"/>
      <c r="I189" s="79"/>
      <c r="J189" s="79"/>
      <c r="K189" s="80"/>
    </row>
    <row r="190" spans="1:11">
      <c r="A190" s="93"/>
      <c r="B190" s="85" t="str">
        <f t="shared" si="8"/>
        <v/>
      </c>
      <c r="C190" s="85" t="str">
        <f t="shared" si="9"/>
        <v/>
      </c>
      <c r="D190" s="85" t="str">
        <f t="shared" si="10"/>
        <v/>
      </c>
      <c r="E190" s="85"/>
      <c r="F190" s="85" t="str">
        <f t="shared" si="11"/>
        <v/>
      </c>
      <c r="G190" s="80"/>
      <c r="H190" s="80"/>
      <c r="I190" s="79"/>
      <c r="J190" s="79"/>
      <c r="K190" s="80"/>
    </row>
    <row r="191" spans="1:11">
      <c r="A191" s="93"/>
      <c r="B191" s="85" t="str">
        <f t="shared" si="8"/>
        <v/>
      </c>
      <c r="C191" s="85" t="str">
        <f t="shared" si="9"/>
        <v/>
      </c>
      <c r="D191" s="85" t="str">
        <f t="shared" si="10"/>
        <v/>
      </c>
      <c r="E191" s="85"/>
      <c r="F191" s="85" t="str">
        <f t="shared" si="11"/>
        <v/>
      </c>
      <c r="G191" s="80"/>
      <c r="H191" s="80"/>
      <c r="I191" s="79"/>
      <c r="J191" s="79"/>
      <c r="K191" s="80"/>
    </row>
    <row r="192" spans="1:11">
      <c r="A192" s="93"/>
      <c r="B192" s="85" t="str">
        <f t="shared" si="8"/>
        <v/>
      </c>
      <c r="C192" s="85" t="str">
        <f t="shared" si="9"/>
        <v/>
      </c>
      <c r="D192" s="85" t="str">
        <f t="shared" si="10"/>
        <v/>
      </c>
      <c r="E192" s="85"/>
      <c r="F192" s="85" t="str">
        <f t="shared" si="11"/>
        <v/>
      </c>
      <c r="G192" s="80"/>
      <c r="H192" s="80"/>
      <c r="I192" s="79"/>
      <c r="J192" s="79"/>
      <c r="K192" s="80"/>
    </row>
    <row r="193" spans="1:11">
      <c r="A193" s="93"/>
      <c r="B193" s="85" t="str">
        <f t="shared" si="8"/>
        <v/>
      </c>
      <c r="C193" s="85" t="str">
        <f t="shared" si="9"/>
        <v/>
      </c>
      <c r="D193" s="85" t="str">
        <f t="shared" si="10"/>
        <v/>
      </c>
      <c r="E193" s="85"/>
      <c r="F193" s="85" t="str">
        <f t="shared" si="11"/>
        <v/>
      </c>
      <c r="G193" s="80"/>
      <c r="H193" s="80"/>
      <c r="I193" s="79"/>
      <c r="J193" s="79"/>
      <c r="K193" s="80"/>
    </row>
    <row r="194" spans="1:11">
      <c r="A194" s="93"/>
      <c r="B194" s="85" t="str">
        <f t="shared" si="8"/>
        <v/>
      </c>
      <c r="C194" s="85" t="str">
        <f t="shared" si="9"/>
        <v/>
      </c>
      <c r="D194" s="85" t="str">
        <f t="shared" si="10"/>
        <v/>
      </c>
      <c r="E194" s="85"/>
      <c r="F194" s="85" t="str">
        <f t="shared" si="11"/>
        <v/>
      </c>
      <c r="G194" s="80"/>
      <c r="H194" s="80"/>
      <c r="I194" s="79"/>
      <c r="J194" s="79"/>
      <c r="K194" s="80"/>
    </row>
    <row r="195" spans="1:11">
      <c r="A195" s="93"/>
      <c r="B195" s="85" t="str">
        <f t="shared" si="8"/>
        <v/>
      </c>
      <c r="C195" s="85" t="str">
        <f t="shared" si="9"/>
        <v/>
      </c>
      <c r="D195" s="85" t="str">
        <f t="shared" si="10"/>
        <v/>
      </c>
      <c r="E195" s="85"/>
      <c r="F195" s="85" t="str">
        <f t="shared" si="11"/>
        <v/>
      </c>
      <c r="G195" s="80"/>
      <c r="H195" s="80"/>
      <c r="I195" s="79"/>
      <c r="J195" s="79"/>
      <c r="K195" s="80"/>
    </row>
    <row r="196" spans="1:11">
      <c r="A196" s="93"/>
      <c r="B196" s="85" t="str">
        <f t="shared" si="8"/>
        <v/>
      </c>
      <c r="C196" s="85" t="str">
        <f t="shared" si="9"/>
        <v/>
      </c>
      <c r="D196" s="85" t="str">
        <f t="shared" si="10"/>
        <v/>
      </c>
      <c r="E196" s="85"/>
      <c r="F196" s="85" t="str">
        <f t="shared" si="11"/>
        <v/>
      </c>
      <c r="G196" s="80"/>
      <c r="H196" s="80"/>
      <c r="I196" s="79"/>
      <c r="J196" s="79"/>
      <c r="K196" s="80"/>
    </row>
    <row r="197" spans="1:11">
      <c r="A197" s="93"/>
      <c r="B197" s="85" t="str">
        <f t="shared" si="8"/>
        <v/>
      </c>
      <c r="C197" s="85" t="str">
        <f t="shared" si="9"/>
        <v/>
      </c>
      <c r="D197" s="85" t="str">
        <f t="shared" si="10"/>
        <v/>
      </c>
      <c r="E197" s="85"/>
      <c r="F197" s="85" t="str">
        <f t="shared" si="11"/>
        <v/>
      </c>
      <c r="G197" s="80"/>
      <c r="H197" s="80"/>
      <c r="I197" s="79"/>
      <c r="J197" s="79"/>
      <c r="K197" s="80"/>
    </row>
    <row r="198" spans="1:11">
      <c r="A198" s="93"/>
      <c r="B198" s="85" t="str">
        <f t="shared" si="8"/>
        <v/>
      </c>
      <c r="C198" s="85" t="str">
        <f t="shared" si="9"/>
        <v/>
      </c>
      <c r="D198" s="85" t="str">
        <f t="shared" si="10"/>
        <v/>
      </c>
      <c r="E198" s="85"/>
      <c r="F198" s="85" t="str">
        <f t="shared" si="11"/>
        <v/>
      </c>
      <c r="G198" s="80"/>
      <c r="H198" s="80"/>
      <c r="I198" s="79"/>
      <c r="J198" s="79"/>
      <c r="K198" s="80"/>
    </row>
    <row r="199" spans="1:11">
      <c r="A199" s="93"/>
      <c r="B199" s="85" t="str">
        <f t="shared" si="8"/>
        <v/>
      </c>
      <c r="C199" s="85" t="str">
        <f t="shared" si="9"/>
        <v/>
      </c>
      <c r="D199" s="85" t="str">
        <f t="shared" si="10"/>
        <v/>
      </c>
      <c r="E199" s="85"/>
      <c r="F199" s="85" t="str">
        <f t="shared" si="11"/>
        <v/>
      </c>
      <c r="G199" s="80"/>
      <c r="H199" s="80"/>
      <c r="I199" s="79"/>
      <c r="J199" s="79"/>
      <c r="K199" s="80"/>
    </row>
    <row r="200" spans="1:11">
      <c r="A200" s="93"/>
      <c r="B200" s="85" t="str">
        <f t="shared" ref="B200:B263" si="12">IFERROR(IF(VLOOKUP($A200,CTINTERVALO,2,0)=0,"",VLOOKUP($A200,CTINTERVALO,2,0)),"")</f>
        <v/>
      </c>
      <c r="C200" s="85" t="str">
        <f t="shared" ref="C200:C263" si="13">IF($B200="Não", "BLOQUEADO (Aguardar liberação)", IFERROR(IF(VLOOKUP($A200,CTINTERVALO,3,0)=0,"",VLOOKUP($A200,CTINTERVALO,3,0)),""))</f>
        <v/>
      </c>
      <c r="D200" s="85" t="str">
        <f t="shared" ref="D200:D263" si="14">IF($B200="Não", "BLOQUEADO (Aguardar liberação)", IFERROR(IF(VLOOKUP($A200,CTINTERVALO,4,0)=0,"",VLOOKUP($A200,CTINTERVALO,4,0)),""))</f>
        <v/>
      </c>
      <c r="E200" s="85"/>
      <c r="F200" s="85" t="str">
        <f t="shared" ref="F200:F263" si="15">IF($B200="Não", "BLOQUEADO (Aguardar liberação)", IFERROR(IF(VLOOKUP($A200,CTINTERVALO,6,0)=0,"",VLOOKUP($A200,CTINTERVALO,6,0)),""))</f>
        <v/>
      </c>
      <c r="G200" s="80"/>
      <c r="H200" s="80"/>
      <c r="I200" s="79"/>
      <c r="J200" s="79"/>
      <c r="K200" s="80"/>
    </row>
    <row r="201" spans="1:11">
      <c r="A201" s="93"/>
      <c r="B201" s="85" t="str">
        <f t="shared" si="12"/>
        <v/>
      </c>
      <c r="C201" s="85" t="str">
        <f t="shared" si="13"/>
        <v/>
      </c>
      <c r="D201" s="85" t="str">
        <f t="shared" si="14"/>
        <v/>
      </c>
      <c r="E201" s="85"/>
      <c r="F201" s="85" t="str">
        <f t="shared" si="15"/>
        <v/>
      </c>
      <c r="G201" s="80"/>
      <c r="H201" s="80"/>
      <c r="I201" s="79"/>
      <c r="J201" s="79"/>
      <c r="K201" s="80"/>
    </row>
    <row r="202" spans="1:11">
      <c r="A202" s="93"/>
      <c r="B202" s="85" t="str">
        <f t="shared" si="12"/>
        <v/>
      </c>
      <c r="C202" s="85" t="str">
        <f t="shared" si="13"/>
        <v/>
      </c>
      <c r="D202" s="85" t="str">
        <f t="shared" si="14"/>
        <v/>
      </c>
      <c r="E202" s="85"/>
      <c r="F202" s="85" t="str">
        <f t="shared" si="15"/>
        <v/>
      </c>
      <c r="G202" s="80"/>
      <c r="H202" s="80"/>
      <c r="I202" s="79"/>
      <c r="J202" s="79"/>
      <c r="K202" s="80"/>
    </row>
    <row r="203" spans="1:11">
      <c r="A203" s="93"/>
      <c r="B203" s="85" t="str">
        <f t="shared" si="12"/>
        <v/>
      </c>
      <c r="C203" s="85" t="str">
        <f t="shared" si="13"/>
        <v/>
      </c>
      <c r="D203" s="85" t="str">
        <f t="shared" si="14"/>
        <v/>
      </c>
      <c r="E203" s="85"/>
      <c r="F203" s="85" t="str">
        <f t="shared" si="15"/>
        <v/>
      </c>
      <c r="G203" s="80"/>
      <c r="H203" s="80"/>
      <c r="I203" s="79"/>
      <c r="J203" s="79"/>
      <c r="K203" s="80"/>
    </row>
    <row r="204" spans="1:11">
      <c r="A204" s="93"/>
      <c r="B204" s="85" t="str">
        <f t="shared" si="12"/>
        <v/>
      </c>
      <c r="C204" s="85" t="str">
        <f t="shared" si="13"/>
        <v/>
      </c>
      <c r="D204" s="85" t="str">
        <f t="shared" si="14"/>
        <v/>
      </c>
      <c r="E204" s="85"/>
      <c r="F204" s="85" t="str">
        <f t="shared" si="15"/>
        <v/>
      </c>
      <c r="G204" s="80"/>
      <c r="H204" s="80"/>
      <c r="I204" s="79"/>
      <c r="J204" s="79"/>
      <c r="K204" s="80"/>
    </row>
    <row r="205" spans="1:11">
      <c r="A205" s="93"/>
      <c r="B205" s="85" t="str">
        <f t="shared" si="12"/>
        <v/>
      </c>
      <c r="C205" s="85" t="str">
        <f t="shared" si="13"/>
        <v/>
      </c>
      <c r="D205" s="85" t="str">
        <f t="shared" si="14"/>
        <v/>
      </c>
      <c r="E205" s="85"/>
      <c r="F205" s="85" t="str">
        <f t="shared" si="15"/>
        <v/>
      </c>
      <c r="G205" s="80"/>
      <c r="H205" s="80"/>
      <c r="I205" s="79"/>
      <c r="J205" s="79"/>
      <c r="K205" s="80"/>
    </row>
    <row r="206" spans="1:11">
      <c r="A206" s="93"/>
      <c r="B206" s="85" t="str">
        <f t="shared" si="12"/>
        <v/>
      </c>
      <c r="C206" s="85" t="str">
        <f t="shared" si="13"/>
        <v/>
      </c>
      <c r="D206" s="85" t="str">
        <f t="shared" si="14"/>
        <v/>
      </c>
      <c r="E206" s="85"/>
      <c r="F206" s="85" t="str">
        <f t="shared" si="15"/>
        <v/>
      </c>
      <c r="G206" s="80"/>
      <c r="H206" s="80"/>
      <c r="I206" s="79"/>
      <c r="J206" s="79"/>
      <c r="K206" s="80"/>
    </row>
    <row r="207" spans="1:11">
      <c r="A207" s="93"/>
      <c r="B207" s="85" t="str">
        <f t="shared" si="12"/>
        <v/>
      </c>
      <c r="C207" s="85" t="str">
        <f t="shared" si="13"/>
        <v/>
      </c>
      <c r="D207" s="85" t="str">
        <f t="shared" si="14"/>
        <v/>
      </c>
      <c r="E207" s="85"/>
      <c r="F207" s="85" t="str">
        <f t="shared" si="15"/>
        <v/>
      </c>
      <c r="G207" s="80"/>
      <c r="H207" s="80"/>
      <c r="I207" s="79"/>
      <c r="J207" s="79"/>
      <c r="K207" s="80"/>
    </row>
    <row r="208" spans="1:11">
      <c r="A208" s="93"/>
      <c r="B208" s="85" t="str">
        <f t="shared" si="12"/>
        <v/>
      </c>
      <c r="C208" s="85" t="str">
        <f t="shared" si="13"/>
        <v/>
      </c>
      <c r="D208" s="85" t="str">
        <f t="shared" si="14"/>
        <v/>
      </c>
      <c r="E208" s="85"/>
      <c r="F208" s="85" t="str">
        <f t="shared" si="15"/>
        <v/>
      </c>
      <c r="G208" s="80"/>
      <c r="H208" s="80"/>
      <c r="I208" s="79"/>
      <c r="J208" s="79"/>
      <c r="K208" s="80"/>
    </row>
    <row r="209" spans="1:11">
      <c r="A209" s="93"/>
      <c r="B209" s="85" t="str">
        <f t="shared" si="12"/>
        <v/>
      </c>
      <c r="C209" s="85" t="str">
        <f t="shared" si="13"/>
        <v/>
      </c>
      <c r="D209" s="85" t="str">
        <f t="shared" si="14"/>
        <v/>
      </c>
      <c r="E209" s="85"/>
      <c r="F209" s="85" t="str">
        <f t="shared" si="15"/>
        <v/>
      </c>
      <c r="G209" s="80"/>
      <c r="H209" s="80"/>
      <c r="I209" s="79"/>
      <c r="J209" s="79"/>
      <c r="K209" s="80"/>
    </row>
    <row r="210" spans="1:11">
      <c r="A210" s="93"/>
      <c r="B210" s="85" t="str">
        <f t="shared" si="12"/>
        <v/>
      </c>
      <c r="C210" s="85" t="str">
        <f t="shared" si="13"/>
        <v/>
      </c>
      <c r="D210" s="85" t="str">
        <f t="shared" si="14"/>
        <v/>
      </c>
      <c r="E210" s="85"/>
      <c r="F210" s="85" t="str">
        <f t="shared" si="15"/>
        <v/>
      </c>
      <c r="G210" s="80"/>
      <c r="H210" s="80"/>
      <c r="I210" s="79"/>
      <c r="J210" s="79"/>
      <c r="K210" s="80"/>
    </row>
    <row r="211" spans="1:11">
      <c r="A211" s="93"/>
      <c r="B211" s="85" t="str">
        <f t="shared" si="12"/>
        <v/>
      </c>
      <c r="C211" s="85" t="str">
        <f t="shared" si="13"/>
        <v/>
      </c>
      <c r="D211" s="85" t="str">
        <f t="shared" si="14"/>
        <v/>
      </c>
      <c r="E211" s="85"/>
      <c r="F211" s="85" t="str">
        <f t="shared" si="15"/>
        <v/>
      </c>
      <c r="G211" s="80"/>
      <c r="H211" s="80"/>
      <c r="I211" s="79"/>
      <c r="J211" s="79"/>
      <c r="K211" s="80"/>
    </row>
    <row r="212" spans="1:11">
      <c r="A212" s="93"/>
      <c r="B212" s="85" t="str">
        <f t="shared" si="12"/>
        <v/>
      </c>
      <c r="C212" s="85" t="str">
        <f t="shared" si="13"/>
        <v/>
      </c>
      <c r="D212" s="85" t="str">
        <f t="shared" si="14"/>
        <v/>
      </c>
      <c r="E212" s="85"/>
      <c r="F212" s="85" t="str">
        <f t="shared" si="15"/>
        <v/>
      </c>
      <c r="G212" s="80"/>
      <c r="H212" s="80"/>
      <c r="I212" s="79"/>
      <c r="J212" s="79"/>
      <c r="K212" s="80"/>
    </row>
    <row r="213" spans="1:11">
      <c r="A213" s="93"/>
      <c r="B213" s="85" t="str">
        <f t="shared" si="12"/>
        <v/>
      </c>
      <c r="C213" s="85" t="str">
        <f t="shared" si="13"/>
        <v/>
      </c>
      <c r="D213" s="85" t="str">
        <f t="shared" si="14"/>
        <v/>
      </c>
      <c r="E213" s="85"/>
      <c r="F213" s="85" t="str">
        <f t="shared" si="15"/>
        <v/>
      </c>
      <c r="G213" s="80"/>
      <c r="H213" s="80"/>
      <c r="I213" s="79"/>
      <c r="J213" s="79"/>
      <c r="K213" s="80"/>
    </row>
    <row r="214" spans="1:11">
      <c r="A214" s="93"/>
      <c r="B214" s="85" t="str">
        <f t="shared" si="12"/>
        <v/>
      </c>
      <c r="C214" s="85" t="str">
        <f t="shared" si="13"/>
        <v/>
      </c>
      <c r="D214" s="85" t="str">
        <f t="shared" si="14"/>
        <v/>
      </c>
      <c r="E214" s="85"/>
      <c r="F214" s="85" t="str">
        <f t="shared" si="15"/>
        <v/>
      </c>
      <c r="G214" s="80"/>
      <c r="H214" s="80"/>
      <c r="I214" s="79"/>
      <c r="J214" s="79"/>
      <c r="K214" s="80"/>
    </row>
    <row r="215" spans="1:11">
      <c r="A215" s="93"/>
      <c r="B215" s="85" t="str">
        <f t="shared" si="12"/>
        <v/>
      </c>
      <c r="C215" s="85" t="str">
        <f t="shared" si="13"/>
        <v/>
      </c>
      <c r="D215" s="85" t="str">
        <f t="shared" si="14"/>
        <v/>
      </c>
      <c r="E215" s="85"/>
      <c r="F215" s="85" t="str">
        <f t="shared" si="15"/>
        <v/>
      </c>
      <c r="G215" s="80"/>
      <c r="H215" s="80"/>
      <c r="I215" s="79"/>
      <c r="J215" s="79"/>
      <c r="K215" s="80"/>
    </row>
    <row r="216" spans="1:11">
      <c r="A216" s="93"/>
      <c r="B216" s="85" t="str">
        <f t="shared" si="12"/>
        <v/>
      </c>
      <c r="C216" s="85" t="str">
        <f t="shared" si="13"/>
        <v/>
      </c>
      <c r="D216" s="85" t="str">
        <f t="shared" si="14"/>
        <v/>
      </c>
      <c r="E216" s="85"/>
      <c r="F216" s="85" t="str">
        <f t="shared" si="15"/>
        <v/>
      </c>
      <c r="G216" s="80"/>
      <c r="H216" s="80"/>
      <c r="I216" s="79"/>
      <c r="J216" s="79"/>
      <c r="K216" s="80"/>
    </row>
    <row r="217" spans="1:11">
      <c r="A217" s="93"/>
      <c r="B217" s="85" t="str">
        <f t="shared" si="12"/>
        <v/>
      </c>
      <c r="C217" s="85" t="str">
        <f t="shared" si="13"/>
        <v/>
      </c>
      <c r="D217" s="85" t="str">
        <f t="shared" si="14"/>
        <v/>
      </c>
      <c r="E217" s="85"/>
      <c r="F217" s="85" t="str">
        <f t="shared" si="15"/>
        <v/>
      </c>
      <c r="G217" s="80"/>
      <c r="H217" s="80"/>
      <c r="I217" s="79"/>
      <c r="J217" s="79"/>
      <c r="K217" s="80"/>
    </row>
    <row r="218" spans="1:11">
      <c r="A218" s="93"/>
      <c r="B218" s="85" t="str">
        <f t="shared" si="12"/>
        <v/>
      </c>
      <c r="C218" s="85" t="str">
        <f t="shared" si="13"/>
        <v/>
      </c>
      <c r="D218" s="85" t="str">
        <f t="shared" si="14"/>
        <v/>
      </c>
      <c r="E218" s="85"/>
      <c r="F218" s="85" t="str">
        <f t="shared" si="15"/>
        <v/>
      </c>
      <c r="G218" s="80"/>
      <c r="H218" s="80"/>
      <c r="I218" s="79"/>
      <c r="J218" s="79"/>
      <c r="K218" s="80"/>
    </row>
    <row r="219" spans="1:11">
      <c r="A219" s="93"/>
      <c r="B219" s="85" t="str">
        <f t="shared" si="12"/>
        <v/>
      </c>
      <c r="C219" s="85" t="str">
        <f t="shared" si="13"/>
        <v/>
      </c>
      <c r="D219" s="85" t="str">
        <f t="shared" si="14"/>
        <v/>
      </c>
      <c r="E219" s="85"/>
      <c r="F219" s="85" t="str">
        <f t="shared" si="15"/>
        <v/>
      </c>
      <c r="G219" s="80"/>
      <c r="H219" s="80"/>
      <c r="I219" s="79"/>
      <c r="J219" s="79"/>
      <c r="K219" s="80"/>
    </row>
    <row r="220" spans="1:11">
      <c r="A220" s="93"/>
      <c r="B220" s="85" t="str">
        <f t="shared" si="12"/>
        <v/>
      </c>
      <c r="C220" s="85" t="str">
        <f t="shared" si="13"/>
        <v/>
      </c>
      <c r="D220" s="85" t="str">
        <f t="shared" si="14"/>
        <v/>
      </c>
      <c r="E220" s="85"/>
      <c r="F220" s="85" t="str">
        <f t="shared" si="15"/>
        <v/>
      </c>
      <c r="G220" s="80"/>
      <c r="H220" s="80"/>
      <c r="I220" s="79"/>
      <c r="J220" s="79"/>
      <c r="K220" s="80"/>
    </row>
    <row r="221" spans="1:11">
      <c r="A221" s="93"/>
      <c r="B221" s="85" t="str">
        <f t="shared" si="12"/>
        <v/>
      </c>
      <c r="C221" s="85" t="str">
        <f t="shared" si="13"/>
        <v/>
      </c>
      <c r="D221" s="85" t="str">
        <f t="shared" si="14"/>
        <v/>
      </c>
      <c r="E221" s="85"/>
      <c r="F221" s="85" t="str">
        <f t="shared" si="15"/>
        <v/>
      </c>
      <c r="G221" s="80"/>
      <c r="H221" s="80"/>
      <c r="I221" s="79"/>
      <c r="J221" s="79"/>
      <c r="K221" s="80"/>
    </row>
    <row r="222" spans="1:11">
      <c r="A222" s="93"/>
      <c r="B222" s="85" t="str">
        <f t="shared" si="12"/>
        <v/>
      </c>
      <c r="C222" s="85" t="str">
        <f t="shared" si="13"/>
        <v/>
      </c>
      <c r="D222" s="85" t="str">
        <f t="shared" si="14"/>
        <v/>
      </c>
      <c r="E222" s="85"/>
      <c r="F222" s="85" t="str">
        <f t="shared" si="15"/>
        <v/>
      </c>
      <c r="G222" s="80"/>
      <c r="H222" s="80"/>
      <c r="I222" s="79"/>
      <c r="J222" s="79"/>
      <c r="K222" s="80"/>
    </row>
    <row r="223" spans="1:11">
      <c r="A223" s="93"/>
      <c r="B223" s="85" t="str">
        <f t="shared" si="12"/>
        <v/>
      </c>
      <c r="C223" s="85" t="str">
        <f t="shared" si="13"/>
        <v/>
      </c>
      <c r="D223" s="85" t="str">
        <f t="shared" si="14"/>
        <v/>
      </c>
      <c r="E223" s="85"/>
      <c r="F223" s="85" t="str">
        <f t="shared" si="15"/>
        <v/>
      </c>
      <c r="G223" s="80"/>
      <c r="H223" s="80"/>
      <c r="I223" s="79"/>
      <c r="J223" s="79"/>
      <c r="K223" s="80"/>
    </row>
    <row r="224" spans="1:11">
      <c r="A224" s="93"/>
      <c r="B224" s="85" t="str">
        <f t="shared" si="12"/>
        <v/>
      </c>
      <c r="C224" s="85" t="str">
        <f t="shared" si="13"/>
        <v/>
      </c>
      <c r="D224" s="85" t="str">
        <f t="shared" si="14"/>
        <v/>
      </c>
      <c r="E224" s="85"/>
      <c r="F224" s="85" t="str">
        <f t="shared" si="15"/>
        <v/>
      </c>
      <c r="G224" s="80"/>
      <c r="H224" s="80"/>
      <c r="I224" s="79"/>
      <c r="J224" s="79"/>
      <c r="K224" s="80"/>
    </row>
    <row r="225" spans="1:11">
      <c r="A225" s="93"/>
      <c r="B225" s="85" t="str">
        <f t="shared" si="12"/>
        <v/>
      </c>
      <c r="C225" s="85" t="str">
        <f t="shared" si="13"/>
        <v/>
      </c>
      <c r="D225" s="85" t="str">
        <f t="shared" si="14"/>
        <v/>
      </c>
      <c r="E225" s="85"/>
      <c r="F225" s="85" t="str">
        <f t="shared" si="15"/>
        <v/>
      </c>
      <c r="G225" s="80"/>
      <c r="H225" s="80"/>
      <c r="I225" s="79"/>
      <c r="J225" s="79"/>
      <c r="K225" s="80"/>
    </row>
    <row r="226" spans="1:11">
      <c r="A226" s="93"/>
      <c r="B226" s="85" t="str">
        <f t="shared" si="12"/>
        <v/>
      </c>
      <c r="C226" s="85" t="str">
        <f t="shared" si="13"/>
        <v/>
      </c>
      <c r="D226" s="85" t="str">
        <f t="shared" si="14"/>
        <v/>
      </c>
      <c r="E226" s="85"/>
      <c r="F226" s="85" t="str">
        <f t="shared" si="15"/>
        <v/>
      </c>
      <c r="G226" s="80"/>
      <c r="H226" s="80"/>
      <c r="I226" s="79"/>
      <c r="J226" s="79"/>
      <c r="K226" s="80"/>
    </row>
    <row r="227" spans="1:11">
      <c r="A227" s="93"/>
      <c r="B227" s="85" t="str">
        <f t="shared" si="12"/>
        <v/>
      </c>
      <c r="C227" s="85" t="str">
        <f t="shared" si="13"/>
        <v/>
      </c>
      <c r="D227" s="85" t="str">
        <f t="shared" si="14"/>
        <v/>
      </c>
      <c r="E227" s="85"/>
      <c r="F227" s="85" t="str">
        <f t="shared" si="15"/>
        <v/>
      </c>
      <c r="G227" s="80"/>
      <c r="H227" s="80"/>
      <c r="I227" s="79"/>
      <c r="J227" s="79"/>
      <c r="K227" s="80"/>
    </row>
    <row r="228" spans="1:11">
      <c r="A228" s="93"/>
      <c r="B228" s="85" t="str">
        <f t="shared" si="12"/>
        <v/>
      </c>
      <c r="C228" s="85" t="str">
        <f t="shared" si="13"/>
        <v/>
      </c>
      <c r="D228" s="85" t="str">
        <f t="shared" si="14"/>
        <v/>
      </c>
      <c r="E228" s="85"/>
      <c r="F228" s="85" t="str">
        <f t="shared" si="15"/>
        <v/>
      </c>
      <c r="G228" s="80"/>
      <c r="H228" s="80"/>
      <c r="I228" s="79"/>
      <c r="J228" s="79"/>
      <c r="K228" s="80"/>
    </row>
    <row r="229" spans="1:11">
      <c r="A229" s="93"/>
      <c r="B229" s="85" t="str">
        <f t="shared" si="12"/>
        <v/>
      </c>
      <c r="C229" s="85" t="str">
        <f t="shared" si="13"/>
        <v/>
      </c>
      <c r="D229" s="85" t="str">
        <f t="shared" si="14"/>
        <v/>
      </c>
      <c r="E229" s="85"/>
      <c r="F229" s="85" t="str">
        <f t="shared" si="15"/>
        <v/>
      </c>
      <c r="G229" s="80"/>
      <c r="H229" s="80"/>
      <c r="I229" s="79"/>
      <c r="J229" s="79"/>
      <c r="K229" s="80"/>
    </row>
    <row r="230" spans="1:11">
      <c r="A230" s="93"/>
      <c r="B230" s="85" t="str">
        <f t="shared" si="12"/>
        <v/>
      </c>
      <c r="C230" s="85" t="str">
        <f t="shared" si="13"/>
        <v/>
      </c>
      <c r="D230" s="85" t="str">
        <f t="shared" si="14"/>
        <v/>
      </c>
      <c r="E230" s="85"/>
      <c r="F230" s="85" t="str">
        <f t="shared" si="15"/>
        <v/>
      </c>
      <c r="G230" s="80"/>
      <c r="H230" s="80"/>
      <c r="I230" s="79"/>
      <c r="J230" s="79"/>
      <c r="K230" s="80"/>
    </row>
    <row r="231" spans="1:11">
      <c r="A231" s="93"/>
      <c r="B231" s="85" t="str">
        <f t="shared" si="12"/>
        <v/>
      </c>
      <c r="C231" s="85" t="str">
        <f t="shared" si="13"/>
        <v/>
      </c>
      <c r="D231" s="85" t="str">
        <f t="shared" si="14"/>
        <v/>
      </c>
      <c r="E231" s="85"/>
      <c r="F231" s="85" t="str">
        <f t="shared" si="15"/>
        <v/>
      </c>
      <c r="G231" s="80"/>
      <c r="H231" s="80"/>
      <c r="I231" s="79"/>
      <c r="J231" s="79"/>
      <c r="K231" s="80"/>
    </row>
    <row r="232" spans="1:11">
      <c r="A232" s="93"/>
      <c r="B232" s="85" t="str">
        <f t="shared" si="12"/>
        <v/>
      </c>
      <c r="C232" s="85" t="str">
        <f t="shared" si="13"/>
        <v/>
      </c>
      <c r="D232" s="85" t="str">
        <f t="shared" si="14"/>
        <v/>
      </c>
      <c r="E232" s="85"/>
      <c r="F232" s="85" t="str">
        <f t="shared" si="15"/>
        <v/>
      </c>
      <c r="G232" s="80"/>
      <c r="H232" s="80"/>
      <c r="I232" s="79"/>
      <c r="J232" s="79"/>
      <c r="K232" s="80"/>
    </row>
    <row r="233" spans="1:11">
      <c r="A233" s="93"/>
      <c r="B233" s="85" t="str">
        <f t="shared" si="12"/>
        <v/>
      </c>
      <c r="C233" s="85" t="str">
        <f t="shared" si="13"/>
        <v/>
      </c>
      <c r="D233" s="85" t="str">
        <f t="shared" si="14"/>
        <v/>
      </c>
      <c r="E233" s="85"/>
      <c r="F233" s="85" t="str">
        <f t="shared" si="15"/>
        <v/>
      </c>
      <c r="G233" s="80"/>
      <c r="H233" s="80"/>
      <c r="I233" s="79"/>
      <c r="J233" s="79"/>
      <c r="K233" s="80"/>
    </row>
    <row r="234" spans="1:11">
      <c r="A234" s="93"/>
      <c r="B234" s="85" t="str">
        <f t="shared" si="12"/>
        <v/>
      </c>
      <c r="C234" s="85" t="str">
        <f t="shared" si="13"/>
        <v/>
      </c>
      <c r="D234" s="85" t="str">
        <f t="shared" si="14"/>
        <v/>
      </c>
      <c r="E234" s="85"/>
      <c r="F234" s="85" t="str">
        <f t="shared" si="15"/>
        <v/>
      </c>
      <c r="G234" s="80"/>
      <c r="H234" s="80"/>
      <c r="I234" s="79"/>
      <c r="J234" s="79"/>
      <c r="K234" s="80"/>
    </row>
    <row r="235" spans="1:11">
      <c r="A235" s="93"/>
      <c r="B235" s="85" t="str">
        <f t="shared" si="12"/>
        <v/>
      </c>
      <c r="C235" s="85" t="str">
        <f t="shared" si="13"/>
        <v/>
      </c>
      <c r="D235" s="85" t="str">
        <f t="shared" si="14"/>
        <v/>
      </c>
      <c r="E235" s="85"/>
      <c r="F235" s="85" t="str">
        <f t="shared" si="15"/>
        <v/>
      </c>
      <c r="G235" s="80"/>
      <c r="H235" s="80"/>
      <c r="I235" s="79"/>
      <c r="J235" s="79"/>
      <c r="K235" s="80"/>
    </row>
    <row r="236" spans="1:11">
      <c r="A236" s="93"/>
      <c r="B236" s="85" t="str">
        <f t="shared" si="12"/>
        <v/>
      </c>
      <c r="C236" s="85" t="str">
        <f t="shared" si="13"/>
        <v/>
      </c>
      <c r="D236" s="85" t="str">
        <f t="shared" si="14"/>
        <v/>
      </c>
      <c r="E236" s="85"/>
      <c r="F236" s="85" t="str">
        <f t="shared" si="15"/>
        <v/>
      </c>
      <c r="G236" s="80"/>
      <c r="H236" s="80"/>
      <c r="I236" s="79"/>
      <c r="J236" s="79"/>
      <c r="K236" s="80"/>
    </row>
    <row r="237" spans="1:11">
      <c r="A237" s="93"/>
      <c r="B237" s="85" t="str">
        <f t="shared" si="12"/>
        <v/>
      </c>
      <c r="C237" s="85" t="str">
        <f t="shared" si="13"/>
        <v/>
      </c>
      <c r="D237" s="85" t="str">
        <f t="shared" si="14"/>
        <v/>
      </c>
      <c r="E237" s="85"/>
      <c r="F237" s="85" t="str">
        <f t="shared" si="15"/>
        <v/>
      </c>
      <c r="G237" s="80"/>
      <c r="H237" s="80"/>
      <c r="I237" s="79"/>
      <c r="J237" s="79"/>
      <c r="K237" s="80"/>
    </row>
    <row r="238" spans="1:11">
      <c r="A238" s="93"/>
      <c r="B238" s="85" t="str">
        <f t="shared" si="12"/>
        <v/>
      </c>
      <c r="C238" s="85" t="str">
        <f t="shared" si="13"/>
        <v/>
      </c>
      <c r="D238" s="85" t="str">
        <f t="shared" si="14"/>
        <v/>
      </c>
      <c r="E238" s="85"/>
      <c r="F238" s="85" t="str">
        <f t="shared" si="15"/>
        <v/>
      </c>
      <c r="G238" s="80"/>
      <c r="H238" s="80"/>
      <c r="I238" s="79"/>
      <c r="J238" s="79"/>
      <c r="K238" s="80"/>
    </row>
    <row r="239" spans="1:11">
      <c r="A239" s="93"/>
      <c r="B239" s="85" t="str">
        <f t="shared" si="12"/>
        <v/>
      </c>
      <c r="C239" s="85" t="str">
        <f t="shared" si="13"/>
        <v/>
      </c>
      <c r="D239" s="85" t="str">
        <f t="shared" si="14"/>
        <v/>
      </c>
      <c r="E239" s="85"/>
      <c r="F239" s="85" t="str">
        <f t="shared" si="15"/>
        <v/>
      </c>
      <c r="G239" s="80"/>
      <c r="H239" s="80"/>
      <c r="I239" s="79"/>
      <c r="J239" s="79"/>
      <c r="K239" s="80"/>
    </row>
    <row r="240" spans="1:11">
      <c r="A240" s="93"/>
      <c r="B240" s="85" t="str">
        <f t="shared" si="12"/>
        <v/>
      </c>
      <c r="C240" s="85" t="str">
        <f t="shared" si="13"/>
        <v/>
      </c>
      <c r="D240" s="85" t="str">
        <f t="shared" si="14"/>
        <v/>
      </c>
      <c r="E240" s="85"/>
      <c r="F240" s="85" t="str">
        <f t="shared" si="15"/>
        <v/>
      </c>
      <c r="G240" s="80"/>
      <c r="H240" s="80"/>
      <c r="I240" s="79"/>
      <c r="J240" s="79"/>
      <c r="K240" s="80"/>
    </row>
    <row r="241" spans="1:11">
      <c r="A241" s="93"/>
      <c r="B241" s="85" t="str">
        <f t="shared" si="12"/>
        <v/>
      </c>
      <c r="C241" s="85" t="str">
        <f t="shared" si="13"/>
        <v/>
      </c>
      <c r="D241" s="85" t="str">
        <f t="shared" si="14"/>
        <v/>
      </c>
      <c r="E241" s="85"/>
      <c r="F241" s="85" t="str">
        <f t="shared" si="15"/>
        <v/>
      </c>
      <c r="G241" s="80"/>
      <c r="H241" s="80"/>
      <c r="I241" s="79"/>
      <c r="J241" s="79"/>
      <c r="K241" s="80"/>
    </row>
    <row r="242" spans="1:11">
      <c r="A242" s="93"/>
      <c r="B242" s="85" t="str">
        <f t="shared" si="12"/>
        <v/>
      </c>
      <c r="C242" s="85" t="str">
        <f t="shared" si="13"/>
        <v/>
      </c>
      <c r="D242" s="85" t="str">
        <f t="shared" si="14"/>
        <v/>
      </c>
      <c r="E242" s="85"/>
      <c r="F242" s="85" t="str">
        <f t="shared" si="15"/>
        <v/>
      </c>
      <c r="G242" s="80"/>
      <c r="H242" s="80"/>
      <c r="I242" s="79"/>
      <c r="J242" s="79"/>
      <c r="K242" s="80"/>
    </row>
    <row r="243" spans="1:11">
      <c r="A243" s="93"/>
      <c r="B243" s="85" t="str">
        <f t="shared" si="12"/>
        <v/>
      </c>
      <c r="C243" s="85" t="str">
        <f t="shared" si="13"/>
        <v/>
      </c>
      <c r="D243" s="85" t="str">
        <f t="shared" si="14"/>
        <v/>
      </c>
      <c r="E243" s="85"/>
      <c r="F243" s="85" t="str">
        <f t="shared" si="15"/>
        <v/>
      </c>
      <c r="G243" s="80"/>
      <c r="H243" s="80"/>
      <c r="I243" s="79"/>
      <c r="J243" s="79"/>
      <c r="K243" s="80"/>
    </row>
    <row r="244" spans="1:11">
      <c r="A244" s="93"/>
      <c r="B244" s="85" t="str">
        <f t="shared" si="12"/>
        <v/>
      </c>
      <c r="C244" s="85" t="str">
        <f t="shared" si="13"/>
        <v/>
      </c>
      <c r="D244" s="85" t="str">
        <f t="shared" si="14"/>
        <v/>
      </c>
      <c r="E244" s="85"/>
      <c r="F244" s="85" t="str">
        <f t="shared" si="15"/>
        <v/>
      </c>
      <c r="G244" s="80"/>
      <c r="H244" s="80"/>
      <c r="I244" s="79"/>
      <c r="J244" s="79"/>
      <c r="K244" s="80"/>
    </row>
    <row r="245" spans="1:11">
      <c r="A245" s="93"/>
      <c r="B245" s="85" t="str">
        <f t="shared" si="12"/>
        <v/>
      </c>
      <c r="C245" s="85" t="str">
        <f t="shared" si="13"/>
        <v/>
      </c>
      <c r="D245" s="85" t="str">
        <f t="shared" si="14"/>
        <v/>
      </c>
      <c r="E245" s="85"/>
      <c r="F245" s="85" t="str">
        <f t="shared" si="15"/>
        <v/>
      </c>
      <c r="G245" s="80"/>
      <c r="H245" s="80"/>
      <c r="I245" s="79"/>
      <c r="J245" s="79"/>
      <c r="K245" s="80"/>
    </row>
    <row r="246" spans="1:11">
      <c r="A246" s="93"/>
      <c r="B246" s="85" t="str">
        <f t="shared" si="12"/>
        <v/>
      </c>
      <c r="C246" s="85" t="str">
        <f t="shared" si="13"/>
        <v/>
      </c>
      <c r="D246" s="85" t="str">
        <f t="shared" si="14"/>
        <v/>
      </c>
      <c r="E246" s="85"/>
      <c r="F246" s="85" t="str">
        <f t="shared" si="15"/>
        <v/>
      </c>
      <c r="G246" s="80"/>
      <c r="H246" s="80"/>
      <c r="I246" s="79"/>
      <c r="J246" s="79"/>
      <c r="K246" s="80"/>
    </row>
    <row r="247" spans="1:11">
      <c r="A247" s="93"/>
      <c r="B247" s="85" t="str">
        <f t="shared" si="12"/>
        <v/>
      </c>
      <c r="C247" s="85" t="str">
        <f t="shared" si="13"/>
        <v/>
      </c>
      <c r="D247" s="85" t="str">
        <f t="shared" si="14"/>
        <v/>
      </c>
      <c r="E247" s="85"/>
      <c r="F247" s="85" t="str">
        <f t="shared" si="15"/>
        <v/>
      </c>
      <c r="G247" s="80"/>
      <c r="H247" s="80"/>
      <c r="I247" s="79"/>
      <c r="J247" s="79"/>
      <c r="K247" s="80"/>
    </row>
    <row r="248" spans="1:11">
      <c r="A248" s="93"/>
      <c r="B248" s="85" t="str">
        <f t="shared" si="12"/>
        <v/>
      </c>
      <c r="C248" s="85" t="str">
        <f t="shared" si="13"/>
        <v/>
      </c>
      <c r="D248" s="85" t="str">
        <f t="shared" si="14"/>
        <v/>
      </c>
      <c r="E248" s="85"/>
      <c r="F248" s="85" t="str">
        <f t="shared" si="15"/>
        <v/>
      </c>
      <c r="G248" s="80"/>
      <c r="H248" s="80"/>
      <c r="I248" s="79"/>
      <c r="J248" s="79"/>
      <c r="K248" s="80"/>
    </row>
    <row r="249" spans="1:11">
      <c r="A249" s="93"/>
      <c r="B249" s="85" t="str">
        <f t="shared" si="12"/>
        <v/>
      </c>
      <c r="C249" s="85" t="str">
        <f t="shared" si="13"/>
        <v/>
      </c>
      <c r="D249" s="85" t="str">
        <f t="shared" si="14"/>
        <v/>
      </c>
      <c r="E249" s="85"/>
      <c r="F249" s="85" t="str">
        <f t="shared" si="15"/>
        <v/>
      </c>
      <c r="G249" s="80"/>
      <c r="H249" s="80"/>
      <c r="I249" s="79"/>
      <c r="J249" s="79"/>
      <c r="K249" s="80"/>
    </row>
    <row r="250" spans="1:11">
      <c r="A250" s="93"/>
      <c r="B250" s="85" t="str">
        <f t="shared" si="12"/>
        <v/>
      </c>
      <c r="C250" s="85" t="str">
        <f t="shared" si="13"/>
        <v/>
      </c>
      <c r="D250" s="85" t="str">
        <f t="shared" si="14"/>
        <v/>
      </c>
      <c r="E250" s="85"/>
      <c r="F250" s="85" t="str">
        <f t="shared" si="15"/>
        <v/>
      </c>
      <c r="G250" s="80"/>
      <c r="H250" s="80"/>
      <c r="I250" s="79"/>
      <c r="J250" s="79"/>
      <c r="K250" s="80"/>
    </row>
    <row r="251" spans="1:11">
      <c r="A251" s="93"/>
      <c r="B251" s="85" t="str">
        <f t="shared" si="12"/>
        <v/>
      </c>
      <c r="C251" s="85" t="str">
        <f t="shared" si="13"/>
        <v/>
      </c>
      <c r="D251" s="85" t="str">
        <f t="shared" si="14"/>
        <v/>
      </c>
      <c r="E251" s="85"/>
      <c r="F251" s="85" t="str">
        <f t="shared" si="15"/>
        <v/>
      </c>
      <c r="G251" s="80"/>
      <c r="H251" s="80"/>
      <c r="I251" s="79"/>
      <c r="J251" s="79"/>
      <c r="K251" s="80"/>
    </row>
    <row r="252" spans="1:11">
      <c r="A252" s="93"/>
      <c r="B252" s="85" t="str">
        <f t="shared" si="12"/>
        <v/>
      </c>
      <c r="C252" s="85" t="str">
        <f t="shared" si="13"/>
        <v/>
      </c>
      <c r="D252" s="85" t="str">
        <f t="shared" si="14"/>
        <v/>
      </c>
      <c r="E252" s="85"/>
      <c r="F252" s="85" t="str">
        <f t="shared" si="15"/>
        <v/>
      </c>
      <c r="G252" s="80"/>
      <c r="H252" s="80"/>
      <c r="I252" s="79"/>
      <c r="J252" s="79"/>
      <c r="K252" s="80"/>
    </row>
    <row r="253" spans="1:11">
      <c r="A253" s="93"/>
      <c r="B253" s="85" t="str">
        <f t="shared" si="12"/>
        <v/>
      </c>
      <c r="C253" s="85" t="str">
        <f t="shared" si="13"/>
        <v/>
      </c>
      <c r="D253" s="85" t="str">
        <f t="shared" si="14"/>
        <v/>
      </c>
      <c r="E253" s="85"/>
      <c r="F253" s="85" t="str">
        <f t="shared" si="15"/>
        <v/>
      </c>
      <c r="G253" s="80"/>
      <c r="H253" s="80"/>
      <c r="I253" s="79"/>
      <c r="J253" s="79"/>
      <c r="K253" s="80"/>
    </row>
    <row r="254" spans="1:11">
      <c r="A254" s="93"/>
      <c r="B254" s="85" t="str">
        <f t="shared" si="12"/>
        <v/>
      </c>
      <c r="C254" s="85" t="str">
        <f t="shared" si="13"/>
        <v/>
      </c>
      <c r="D254" s="85" t="str">
        <f t="shared" si="14"/>
        <v/>
      </c>
      <c r="E254" s="85"/>
      <c r="F254" s="85" t="str">
        <f t="shared" si="15"/>
        <v/>
      </c>
      <c r="G254" s="80"/>
      <c r="H254" s="80"/>
      <c r="I254" s="79"/>
      <c r="J254" s="79"/>
      <c r="K254" s="80"/>
    </row>
    <row r="255" spans="1:11">
      <c r="A255" s="93"/>
      <c r="B255" s="85" t="str">
        <f t="shared" si="12"/>
        <v/>
      </c>
      <c r="C255" s="85" t="str">
        <f t="shared" si="13"/>
        <v/>
      </c>
      <c r="D255" s="85" t="str">
        <f t="shared" si="14"/>
        <v/>
      </c>
      <c r="E255" s="85"/>
      <c r="F255" s="85" t="str">
        <f t="shared" si="15"/>
        <v/>
      </c>
      <c r="G255" s="80"/>
      <c r="H255" s="80"/>
      <c r="I255" s="79"/>
      <c r="J255" s="79"/>
      <c r="K255" s="80"/>
    </row>
    <row r="256" spans="1:11">
      <c r="A256" s="93"/>
      <c r="B256" s="85" t="str">
        <f t="shared" si="12"/>
        <v/>
      </c>
      <c r="C256" s="85" t="str">
        <f t="shared" si="13"/>
        <v/>
      </c>
      <c r="D256" s="85" t="str">
        <f t="shared" si="14"/>
        <v/>
      </c>
      <c r="E256" s="85"/>
      <c r="F256" s="85" t="str">
        <f t="shared" si="15"/>
        <v/>
      </c>
      <c r="G256" s="80"/>
      <c r="H256" s="80"/>
      <c r="I256" s="79"/>
      <c r="J256" s="79"/>
      <c r="K256" s="80"/>
    </row>
    <row r="257" spans="1:11">
      <c r="A257" s="93"/>
      <c r="B257" s="85" t="str">
        <f t="shared" si="12"/>
        <v/>
      </c>
      <c r="C257" s="85" t="str">
        <f t="shared" si="13"/>
        <v/>
      </c>
      <c r="D257" s="85" t="str">
        <f t="shared" si="14"/>
        <v/>
      </c>
      <c r="E257" s="85"/>
      <c r="F257" s="85" t="str">
        <f t="shared" si="15"/>
        <v/>
      </c>
      <c r="G257" s="80"/>
      <c r="H257" s="80"/>
      <c r="I257" s="79"/>
      <c r="J257" s="79"/>
      <c r="K257" s="80"/>
    </row>
    <row r="258" spans="1:11">
      <c r="A258" s="93"/>
      <c r="B258" s="85" t="str">
        <f t="shared" si="12"/>
        <v/>
      </c>
      <c r="C258" s="85" t="str">
        <f t="shared" si="13"/>
        <v/>
      </c>
      <c r="D258" s="85" t="str">
        <f t="shared" si="14"/>
        <v/>
      </c>
      <c r="E258" s="85"/>
      <c r="F258" s="85" t="str">
        <f t="shared" si="15"/>
        <v/>
      </c>
      <c r="G258" s="80"/>
      <c r="H258" s="80"/>
      <c r="I258" s="79"/>
      <c r="J258" s="79"/>
      <c r="K258" s="80"/>
    </row>
    <row r="259" spans="1:11">
      <c r="A259" s="93"/>
      <c r="B259" s="85" t="str">
        <f t="shared" si="12"/>
        <v/>
      </c>
      <c r="C259" s="85" t="str">
        <f t="shared" si="13"/>
        <v/>
      </c>
      <c r="D259" s="85" t="str">
        <f t="shared" si="14"/>
        <v/>
      </c>
      <c r="E259" s="85"/>
      <c r="F259" s="85" t="str">
        <f t="shared" si="15"/>
        <v/>
      </c>
      <c r="G259" s="80"/>
      <c r="H259" s="80"/>
      <c r="I259" s="79"/>
      <c r="J259" s="79"/>
      <c r="K259" s="80"/>
    </row>
    <row r="260" spans="1:11">
      <c r="A260" s="93"/>
      <c r="B260" s="85" t="str">
        <f t="shared" si="12"/>
        <v/>
      </c>
      <c r="C260" s="85" t="str">
        <f t="shared" si="13"/>
        <v/>
      </c>
      <c r="D260" s="85" t="str">
        <f t="shared" si="14"/>
        <v/>
      </c>
      <c r="E260" s="85"/>
      <c r="F260" s="85" t="str">
        <f t="shared" si="15"/>
        <v/>
      </c>
      <c r="G260" s="80"/>
      <c r="H260" s="80"/>
      <c r="I260" s="79"/>
      <c r="J260" s="79"/>
      <c r="K260" s="80"/>
    </row>
    <row r="261" spans="1:11">
      <c r="A261" s="93"/>
      <c r="B261" s="85" t="str">
        <f t="shared" si="12"/>
        <v/>
      </c>
      <c r="C261" s="85" t="str">
        <f t="shared" si="13"/>
        <v/>
      </c>
      <c r="D261" s="85" t="str">
        <f t="shared" si="14"/>
        <v/>
      </c>
      <c r="E261" s="85"/>
      <c r="F261" s="85" t="str">
        <f t="shared" si="15"/>
        <v/>
      </c>
      <c r="G261" s="80"/>
      <c r="H261" s="80"/>
      <c r="I261" s="79"/>
      <c r="J261" s="79"/>
      <c r="K261" s="80"/>
    </row>
    <row r="262" spans="1:11">
      <c r="A262" s="93"/>
      <c r="B262" s="85" t="str">
        <f t="shared" si="12"/>
        <v/>
      </c>
      <c r="C262" s="85" t="str">
        <f t="shared" si="13"/>
        <v/>
      </c>
      <c r="D262" s="85" t="str">
        <f t="shared" si="14"/>
        <v/>
      </c>
      <c r="E262" s="85"/>
      <c r="F262" s="85" t="str">
        <f t="shared" si="15"/>
        <v/>
      </c>
      <c r="G262" s="80"/>
      <c r="H262" s="80"/>
      <c r="I262" s="79"/>
      <c r="J262" s="79"/>
      <c r="K262" s="80"/>
    </row>
    <row r="263" spans="1:11">
      <c r="A263" s="93"/>
      <c r="B263" s="85" t="str">
        <f t="shared" si="12"/>
        <v/>
      </c>
      <c r="C263" s="85" t="str">
        <f t="shared" si="13"/>
        <v/>
      </c>
      <c r="D263" s="85" t="str">
        <f t="shared" si="14"/>
        <v/>
      </c>
      <c r="E263" s="85"/>
      <c r="F263" s="85" t="str">
        <f t="shared" si="15"/>
        <v/>
      </c>
      <c r="G263" s="80"/>
      <c r="H263" s="80"/>
      <c r="I263" s="79"/>
      <c r="J263" s="79"/>
      <c r="K263" s="80"/>
    </row>
    <row r="264" spans="1:11">
      <c r="A264" s="93"/>
      <c r="B264" s="85" t="str">
        <f t="shared" ref="B264:B327" si="16">IFERROR(IF(VLOOKUP($A264,CTINTERVALO,2,0)=0,"",VLOOKUP($A264,CTINTERVALO,2,0)),"")</f>
        <v/>
      </c>
      <c r="C264" s="85" t="str">
        <f t="shared" ref="C264:C327" si="17">IF($B264="Não", "BLOQUEADO (Aguardar liberação)", IFERROR(IF(VLOOKUP($A264,CTINTERVALO,3,0)=0,"",VLOOKUP($A264,CTINTERVALO,3,0)),""))</f>
        <v/>
      </c>
      <c r="D264" s="85" t="str">
        <f t="shared" ref="D264:D327" si="18">IF($B264="Não", "BLOQUEADO (Aguardar liberação)", IFERROR(IF(VLOOKUP($A264,CTINTERVALO,4,0)=0,"",VLOOKUP($A264,CTINTERVALO,4,0)),""))</f>
        <v/>
      </c>
      <c r="E264" s="85"/>
      <c r="F264" s="85" t="str">
        <f t="shared" ref="F264:F327" si="19">IF($B264="Não", "BLOQUEADO (Aguardar liberação)", IFERROR(IF(VLOOKUP($A264,CTINTERVALO,6,0)=0,"",VLOOKUP($A264,CTINTERVALO,6,0)),""))</f>
        <v/>
      </c>
      <c r="G264" s="80"/>
      <c r="H264" s="80"/>
      <c r="I264" s="79"/>
      <c r="J264" s="79"/>
      <c r="K264" s="80"/>
    </row>
    <row r="265" spans="1:11">
      <c r="A265" s="93"/>
      <c r="B265" s="85" t="str">
        <f t="shared" si="16"/>
        <v/>
      </c>
      <c r="C265" s="85" t="str">
        <f t="shared" si="17"/>
        <v/>
      </c>
      <c r="D265" s="85" t="str">
        <f t="shared" si="18"/>
        <v/>
      </c>
      <c r="E265" s="85"/>
      <c r="F265" s="85" t="str">
        <f t="shared" si="19"/>
        <v/>
      </c>
      <c r="G265" s="80"/>
      <c r="H265" s="80"/>
      <c r="I265" s="79"/>
      <c r="J265" s="79"/>
      <c r="K265" s="80"/>
    </row>
    <row r="266" spans="1:11">
      <c r="A266" s="93"/>
      <c r="B266" s="85" t="str">
        <f t="shared" si="16"/>
        <v/>
      </c>
      <c r="C266" s="85" t="str">
        <f t="shared" si="17"/>
        <v/>
      </c>
      <c r="D266" s="85" t="str">
        <f t="shared" si="18"/>
        <v/>
      </c>
      <c r="E266" s="85"/>
      <c r="F266" s="85" t="str">
        <f t="shared" si="19"/>
        <v/>
      </c>
      <c r="G266" s="80"/>
      <c r="H266" s="80"/>
      <c r="I266" s="79"/>
      <c r="J266" s="79"/>
      <c r="K266" s="80"/>
    </row>
    <row r="267" spans="1:11">
      <c r="A267" s="93"/>
      <c r="B267" s="85" t="str">
        <f t="shared" si="16"/>
        <v/>
      </c>
      <c r="C267" s="85" t="str">
        <f t="shared" si="17"/>
        <v/>
      </c>
      <c r="D267" s="85" t="str">
        <f t="shared" si="18"/>
        <v/>
      </c>
      <c r="E267" s="85"/>
      <c r="F267" s="85" t="str">
        <f t="shared" si="19"/>
        <v/>
      </c>
      <c r="G267" s="80"/>
      <c r="H267" s="80"/>
      <c r="I267" s="79"/>
      <c r="J267" s="79"/>
      <c r="K267" s="80"/>
    </row>
    <row r="268" spans="1:11">
      <c r="A268" s="93"/>
      <c r="B268" s="85" t="str">
        <f t="shared" si="16"/>
        <v/>
      </c>
      <c r="C268" s="85" t="str">
        <f t="shared" si="17"/>
        <v/>
      </c>
      <c r="D268" s="85" t="str">
        <f t="shared" si="18"/>
        <v/>
      </c>
      <c r="E268" s="85"/>
      <c r="F268" s="85" t="str">
        <f t="shared" si="19"/>
        <v/>
      </c>
      <c r="G268" s="80"/>
      <c r="H268" s="80"/>
      <c r="I268" s="79"/>
      <c r="J268" s="79"/>
      <c r="K268" s="80"/>
    </row>
    <row r="269" spans="1:11">
      <c r="A269" s="93"/>
      <c r="B269" s="85" t="str">
        <f t="shared" si="16"/>
        <v/>
      </c>
      <c r="C269" s="85" t="str">
        <f t="shared" si="17"/>
        <v/>
      </c>
      <c r="D269" s="85" t="str">
        <f t="shared" si="18"/>
        <v/>
      </c>
      <c r="E269" s="85"/>
      <c r="F269" s="85" t="str">
        <f t="shared" si="19"/>
        <v/>
      </c>
      <c r="G269" s="80"/>
      <c r="H269" s="80"/>
      <c r="I269" s="79"/>
      <c r="J269" s="79"/>
      <c r="K269" s="80"/>
    </row>
    <row r="270" spans="1:11">
      <c r="A270" s="93"/>
      <c r="B270" s="85" t="str">
        <f t="shared" si="16"/>
        <v/>
      </c>
      <c r="C270" s="85" t="str">
        <f t="shared" si="17"/>
        <v/>
      </c>
      <c r="D270" s="85" t="str">
        <f t="shared" si="18"/>
        <v/>
      </c>
      <c r="E270" s="85"/>
      <c r="F270" s="85" t="str">
        <f t="shared" si="19"/>
        <v/>
      </c>
      <c r="G270" s="80"/>
      <c r="H270" s="80"/>
      <c r="I270" s="79"/>
      <c r="J270" s="79"/>
      <c r="K270" s="80"/>
    </row>
    <row r="271" spans="1:11">
      <c r="A271" s="93"/>
      <c r="B271" s="85" t="str">
        <f t="shared" si="16"/>
        <v/>
      </c>
      <c r="C271" s="85" t="str">
        <f t="shared" si="17"/>
        <v/>
      </c>
      <c r="D271" s="85" t="str">
        <f t="shared" si="18"/>
        <v/>
      </c>
      <c r="E271" s="85"/>
      <c r="F271" s="85" t="str">
        <f t="shared" si="19"/>
        <v/>
      </c>
      <c r="G271" s="80"/>
      <c r="H271" s="80"/>
      <c r="I271" s="79"/>
      <c r="J271" s="79"/>
      <c r="K271" s="80"/>
    </row>
    <row r="272" spans="1:11">
      <c r="A272" s="93"/>
      <c r="B272" s="85" t="str">
        <f t="shared" si="16"/>
        <v/>
      </c>
      <c r="C272" s="85" t="str">
        <f t="shared" si="17"/>
        <v/>
      </c>
      <c r="D272" s="85" t="str">
        <f t="shared" si="18"/>
        <v/>
      </c>
      <c r="E272" s="85"/>
      <c r="F272" s="85" t="str">
        <f t="shared" si="19"/>
        <v/>
      </c>
      <c r="G272" s="80"/>
      <c r="H272" s="80"/>
      <c r="I272" s="79"/>
      <c r="J272" s="79"/>
      <c r="K272" s="80"/>
    </row>
    <row r="273" spans="1:11">
      <c r="A273" s="93"/>
      <c r="B273" s="85" t="str">
        <f t="shared" si="16"/>
        <v/>
      </c>
      <c r="C273" s="85" t="str">
        <f t="shared" si="17"/>
        <v/>
      </c>
      <c r="D273" s="85" t="str">
        <f t="shared" si="18"/>
        <v/>
      </c>
      <c r="E273" s="85"/>
      <c r="F273" s="85" t="str">
        <f t="shared" si="19"/>
        <v/>
      </c>
      <c r="G273" s="80"/>
      <c r="H273" s="80"/>
      <c r="I273" s="79"/>
      <c r="J273" s="79"/>
      <c r="K273" s="80"/>
    </row>
    <row r="274" spans="1:11">
      <c r="A274" s="93"/>
      <c r="B274" s="85" t="str">
        <f t="shared" si="16"/>
        <v/>
      </c>
      <c r="C274" s="85" t="str">
        <f t="shared" si="17"/>
        <v/>
      </c>
      <c r="D274" s="85" t="str">
        <f t="shared" si="18"/>
        <v/>
      </c>
      <c r="E274" s="85"/>
      <c r="F274" s="85" t="str">
        <f t="shared" si="19"/>
        <v/>
      </c>
      <c r="G274" s="80"/>
      <c r="H274" s="80"/>
      <c r="I274" s="79"/>
      <c r="J274" s="79"/>
      <c r="K274" s="80"/>
    </row>
    <row r="275" spans="1:11">
      <c r="A275" s="93"/>
      <c r="B275" s="85" t="str">
        <f t="shared" si="16"/>
        <v/>
      </c>
      <c r="C275" s="85" t="str">
        <f t="shared" si="17"/>
        <v/>
      </c>
      <c r="D275" s="85" t="str">
        <f t="shared" si="18"/>
        <v/>
      </c>
      <c r="E275" s="85"/>
      <c r="F275" s="85" t="str">
        <f t="shared" si="19"/>
        <v/>
      </c>
      <c r="G275" s="80"/>
      <c r="H275" s="80"/>
      <c r="I275" s="79"/>
      <c r="J275" s="79"/>
      <c r="K275" s="80"/>
    </row>
    <row r="276" spans="1:11">
      <c r="A276" s="93"/>
      <c r="B276" s="85" t="str">
        <f t="shared" si="16"/>
        <v/>
      </c>
      <c r="C276" s="85" t="str">
        <f t="shared" si="17"/>
        <v/>
      </c>
      <c r="D276" s="85" t="str">
        <f t="shared" si="18"/>
        <v/>
      </c>
      <c r="E276" s="85"/>
      <c r="F276" s="85" t="str">
        <f t="shared" si="19"/>
        <v/>
      </c>
      <c r="G276" s="80"/>
      <c r="H276" s="80"/>
      <c r="I276" s="79"/>
      <c r="J276" s="79"/>
      <c r="K276" s="80"/>
    </row>
    <row r="277" spans="1:11">
      <c r="A277" s="93"/>
      <c r="B277" s="85" t="str">
        <f t="shared" si="16"/>
        <v/>
      </c>
      <c r="C277" s="85" t="str">
        <f t="shared" si="17"/>
        <v/>
      </c>
      <c r="D277" s="85" t="str">
        <f t="shared" si="18"/>
        <v/>
      </c>
      <c r="E277" s="85"/>
      <c r="F277" s="85" t="str">
        <f t="shared" si="19"/>
        <v/>
      </c>
      <c r="G277" s="80"/>
      <c r="H277" s="80"/>
      <c r="I277" s="79"/>
      <c r="J277" s="79"/>
      <c r="K277" s="80"/>
    </row>
    <row r="278" spans="1:11">
      <c r="A278" s="93"/>
      <c r="B278" s="85" t="str">
        <f t="shared" si="16"/>
        <v/>
      </c>
      <c r="C278" s="85" t="str">
        <f t="shared" si="17"/>
        <v/>
      </c>
      <c r="D278" s="85" t="str">
        <f t="shared" si="18"/>
        <v/>
      </c>
      <c r="E278" s="85"/>
      <c r="F278" s="85" t="str">
        <f t="shared" si="19"/>
        <v/>
      </c>
      <c r="G278" s="80"/>
      <c r="H278" s="80"/>
      <c r="I278" s="79"/>
      <c r="J278" s="79"/>
      <c r="K278" s="80"/>
    </row>
    <row r="279" spans="1:11">
      <c r="A279" s="93"/>
      <c r="B279" s="85" t="str">
        <f t="shared" si="16"/>
        <v/>
      </c>
      <c r="C279" s="85" t="str">
        <f t="shared" si="17"/>
        <v/>
      </c>
      <c r="D279" s="85" t="str">
        <f t="shared" si="18"/>
        <v/>
      </c>
      <c r="E279" s="85"/>
      <c r="F279" s="85" t="str">
        <f t="shared" si="19"/>
        <v/>
      </c>
      <c r="G279" s="80"/>
      <c r="H279" s="80"/>
      <c r="I279" s="79"/>
      <c r="J279" s="79"/>
      <c r="K279" s="80"/>
    </row>
    <row r="280" spans="1:11">
      <c r="A280" s="93"/>
      <c r="B280" s="85" t="str">
        <f t="shared" si="16"/>
        <v/>
      </c>
      <c r="C280" s="85" t="str">
        <f t="shared" si="17"/>
        <v/>
      </c>
      <c r="D280" s="85" t="str">
        <f t="shared" si="18"/>
        <v/>
      </c>
      <c r="E280" s="85"/>
      <c r="F280" s="85" t="str">
        <f t="shared" si="19"/>
        <v/>
      </c>
      <c r="G280" s="80"/>
      <c r="H280" s="80"/>
      <c r="I280" s="79"/>
      <c r="J280" s="79"/>
      <c r="K280" s="80"/>
    </row>
    <row r="281" spans="1:11">
      <c r="A281" s="93"/>
      <c r="B281" s="85" t="str">
        <f t="shared" si="16"/>
        <v/>
      </c>
      <c r="C281" s="85" t="str">
        <f t="shared" si="17"/>
        <v/>
      </c>
      <c r="D281" s="85" t="str">
        <f t="shared" si="18"/>
        <v/>
      </c>
      <c r="E281" s="85"/>
      <c r="F281" s="85" t="str">
        <f t="shared" si="19"/>
        <v/>
      </c>
      <c r="G281" s="80"/>
      <c r="H281" s="80"/>
      <c r="I281" s="79"/>
      <c r="J281" s="79"/>
      <c r="K281" s="80"/>
    </row>
    <row r="282" spans="1:11">
      <c r="A282" s="93"/>
      <c r="B282" s="85" t="str">
        <f t="shared" si="16"/>
        <v/>
      </c>
      <c r="C282" s="85" t="str">
        <f t="shared" si="17"/>
        <v/>
      </c>
      <c r="D282" s="85" t="str">
        <f t="shared" si="18"/>
        <v/>
      </c>
      <c r="E282" s="85"/>
      <c r="F282" s="85" t="str">
        <f t="shared" si="19"/>
        <v/>
      </c>
      <c r="G282" s="80"/>
      <c r="H282" s="80"/>
      <c r="I282" s="79"/>
      <c r="J282" s="79"/>
      <c r="K282" s="80"/>
    </row>
    <row r="283" spans="1:11">
      <c r="A283" s="93"/>
      <c r="B283" s="85" t="str">
        <f t="shared" si="16"/>
        <v/>
      </c>
      <c r="C283" s="85" t="str">
        <f t="shared" si="17"/>
        <v/>
      </c>
      <c r="D283" s="85" t="str">
        <f t="shared" si="18"/>
        <v/>
      </c>
      <c r="E283" s="85"/>
      <c r="F283" s="85" t="str">
        <f t="shared" si="19"/>
        <v/>
      </c>
      <c r="G283" s="80"/>
      <c r="H283" s="80"/>
      <c r="I283" s="79"/>
      <c r="J283" s="79"/>
      <c r="K283" s="80"/>
    </row>
    <row r="284" spans="1:11">
      <c r="A284" s="93"/>
      <c r="B284" s="85" t="str">
        <f t="shared" si="16"/>
        <v/>
      </c>
      <c r="C284" s="85" t="str">
        <f t="shared" si="17"/>
        <v/>
      </c>
      <c r="D284" s="85" t="str">
        <f t="shared" si="18"/>
        <v/>
      </c>
      <c r="E284" s="85"/>
      <c r="F284" s="85" t="str">
        <f t="shared" si="19"/>
        <v/>
      </c>
      <c r="G284" s="80"/>
      <c r="H284" s="80"/>
      <c r="I284" s="79"/>
      <c r="J284" s="79"/>
      <c r="K284" s="80"/>
    </row>
    <row r="285" spans="1:11">
      <c r="A285" s="93"/>
      <c r="B285" s="85" t="str">
        <f t="shared" si="16"/>
        <v/>
      </c>
      <c r="C285" s="85" t="str">
        <f t="shared" si="17"/>
        <v/>
      </c>
      <c r="D285" s="85" t="str">
        <f t="shared" si="18"/>
        <v/>
      </c>
      <c r="E285" s="85"/>
      <c r="F285" s="85" t="str">
        <f t="shared" si="19"/>
        <v/>
      </c>
      <c r="G285" s="80"/>
      <c r="H285" s="80"/>
      <c r="I285" s="79"/>
      <c r="J285" s="79"/>
      <c r="K285" s="80"/>
    </row>
    <row r="286" spans="1:11">
      <c r="A286" s="93"/>
      <c r="B286" s="85" t="str">
        <f t="shared" si="16"/>
        <v/>
      </c>
      <c r="C286" s="85" t="str">
        <f t="shared" si="17"/>
        <v/>
      </c>
      <c r="D286" s="85" t="str">
        <f t="shared" si="18"/>
        <v/>
      </c>
      <c r="E286" s="85"/>
      <c r="F286" s="85" t="str">
        <f t="shared" si="19"/>
        <v/>
      </c>
      <c r="G286" s="80"/>
      <c r="H286" s="80"/>
      <c r="I286" s="79"/>
      <c r="J286" s="79"/>
      <c r="K286" s="80"/>
    </row>
    <row r="287" spans="1:11">
      <c r="A287" s="93"/>
      <c r="B287" s="85" t="str">
        <f t="shared" si="16"/>
        <v/>
      </c>
      <c r="C287" s="85" t="str">
        <f t="shared" si="17"/>
        <v/>
      </c>
      <c r="D287" s="85" t="str">
        <f t="shared" si="18"/>
        <v/>
      </c>
      <c r="E287" s="85"/>
      <c r="F287" s="85" t="str">
        <f t="shared" si="19"/>
        <v/>
      </c>
      <c r="G287" s="80"/>
      <c r="H287" s="80"/>
      <c r="I287" s="79"/>
      <c r="J287" s="79"/>
      <c r="K287" s="80"/>
    </row>
    <row r="288" spans="1:11">
      <c r="A288" s="93"/>
      <c r="B288" s="85" t="str">
        <f t="shared" si="16"/>
        <v/>
      </c>
      <c r="C288" s="85" t="str">
        <f t="shared" si="17"/>
        <v/>
      </c>
      <c r="D288" s="85" t="str">
        <f t="shared" si="18"/>
        <v/>
      </c>
      <c r="E288" s="85"/>
      <c r="F288" s="85" t="str">
        <f t="shared" si="19"/>
        <v/>
      </c>
      <c r="G288" s="80"/>
      <c r="H288" s="80"/>
      <c r="I288" s="79"/>
      <c r="J288" s="79"/>
      <c r="K288" s="80"/>
    </row>
    <row r="289" spans="1:11">
      <c r="A289" s="93"/>
      <c r="B289" s="85" t="str">
        <f t="shared" si="16"/>
        <v/>
      </c>
      <c r="C289" s="85" t="str">
        <f t="shared" si="17"/>
        <v/>
      </c>
      <c r="D289" s="85" t="str">
        <f t="shared" si="18"/>
        <v/>
      </c>
      <c r="E289" s="85"/>
      <c r="F289" s="85" t="str">
        <f t="shared" si="19"/>
        <v/>
      </c>
      <c r="G289" s="80"/>
      <c r="H289" s="80"/>
      <c r="I289" s="79"/>
      <c r="J289" s="79"/>
      <c r="K289" s="80"/>
    </row>
    <row r="290" spans="1:11">
      <c r="A290" s="93"/>
      <c r="B290" s="85" t="str">
        <f t="shared" si="16"/>
        <v/>
      </c>
      <c r="C290" s="85" t="str">
        <f t="shared" si="17"/>
        <v/>
      </c>
      <c r="D290" s="85" t="str">
        <f t="shared" si="18"/>
        <v/>
      </c>
      <c r="E290" s="85"/>
      <c r="F290" s="85" t="str">
        <f t="shared" si="19"/>
        <v/>
      </c>
      <c r="G290" s="80"/>
      <c r="H290" s="80"/>
      <c r="I290" s="79"/>
      <c r="J290" s="79"/>
      <c r="K290" s="80"/>
    </row>
    <row r="291" spans="1:11">
      <c r="A291" s="93"/>
      <c r="B291" s="85" t="str">
        <f t="shared" si="16"/>
        <v/>
      </c>
      <c r="C291" s="85" t="str">
        <f t="shared" si="17"/>
        <v/>
      </c>
      <c r="D291" s="85" t="str">
        <f t="shared" si="18"/>
        <v/>
      </c>
      <c r="E291" s="85"/>
      <c r="F291" s="85" t="str">
        <f t="shared" si="19"/>
        <v/>
      </c>
      <c r="G291" s="80"/>
      <c r="H291" s="80"/>
      <c r="I291" s="79"/>
      <c r="J291" s="79"/>
      <c r="K291" s="80"/>
    </row>
    <row r="292" spans="1:11">
      <c r="A292" s="93"/>
      <c r="B292" s="85" t="str">
        <f t="shared" si="16"/>
        <v/>
      </c>
      <c r="C292" s="85" t="str">
        <f t="shared" si="17"/>
        <v/>
      </c>
      <c r="D292" s="85" t="str">
        <f t="shared" si="18"/>
        <v/>
      </c>
      <c r="E292" s="85"/>
      <c r="F292" s="85" t="str">
        <f t="shared" si="19"/>
        <v/>
      </c>
      <c r="G292" s="80"/>
      <c r="H292" s="80"/>
      <c r="I292" s="79"/>
      <c r="J292" s="79"/>
      <c r="K292" s="80"/>
    </row>
    <row r="293" spans="1:11">
      <c r="A293" s="93"/>
      <c r="B293" s="85" t="str">
        <f t="shared" si="16"/>
        <v/>
      </c>
      <c r="C293" s="85" t="str">
        <f t="shared" si="17"/>
        <v/>
      </c>
      <c r="D293" s="85" t="str">
        <f t="shared" si="18"/>
        <v/>
      </c>
      <c r="E293" s="85"/>
      <c r="F293" s="85" t="str">
        <f t="shared" si="19"/>
        <v/>
      </c>
      <c r="G293" s="80"/>
      <c r="H293" s="80"/>
      <c r="I293" s="79"/>
      <c r="J293" s="79"/>
      <c r="K293" s="80"/>
    </row>
    <row r="294" spans="1:11">
      <c r="A294" s="93"/>
      <c r="B294" s="85" t="str">
        <f t="shared" si="16"/>
        <v/>
      </c>
      <c r="C294" s="85" t="str">
        <f t="shared" si="17"/>
        <v/>
      </c>
      <c r="D294" s="85" t="str">
        <f t="shared" si="18"/>
        <v/>
      </c>
      <c r="E294" s="85"/>
      <c r="F294" s="85" t="str">
        <f t="shared" si="19"/>
        <v/>
      </c>
      <c r="G294" s="80"/>
      <c r="H294" s="80"/>
      <c r="I294" s="79"/>
      <c r="J294" s="79"/>
      <c r="K294" s="80"/>
    </row>
    <row r="295" spans="1:11">
      <c r="A295" s="93"/>
      <c r="B295" s="85" t="str">
        <f t="shared" si="16"/>
        <v/>
      </c>
      <c r="C295" s="85" t="str">
        <f t="shared" si="17"/>
        <v/>
      </c>
      <c r="D295" s="85" t="str">
        <f t="shared" si="18"/>
        <v/>
      </c>
      <c r="E295" s="85"/>
      <c r="F295" s="85" t="str">
        <f t="shared" si="19"/>
        <v/>
      </c>
      <c r="G295" s="80"/>
      <c r="H295" s="80"/>
      <c r="I295" s="79"/>
      <c r="J295" s="79"/>
      <c r="K295" s="80"/>
    </row>
    <row r="296" spans="1:11">
      <c r="A296" s="93"/>
      <c r="B296" s="85" t="str">
        <f t="shared" si="16"/>
        <v/>
      </c>
      <c r="C296" s="85" t="str">
        <f t="shared" si="17"/>
        <v/>
      </c>
      <c r="D296" s="85" t="str">
        <f t="shared" si="18"/>
        <v/>
      </c>
      <c r="E296" s="85"/>
      <c r="F296" s="85" t="str">
        <f t="shared" si="19"/>
        <v/>
      </c>
      <c r="G296" s="80"/>
      <c r="H296" s="80"/>
      <c r="I296" s="79"/>
      <c r="J296" s="79"/>
      <c r="K296" s="80"/>
    </row>
    <row r="297" spans="1:11">
      <c r="A297" s="93"/>
      <c r="B297" s="85" t="str">
        <f t="shared" si="16"/>
        <v/>
      </c>
      <c r="C297" s="85" t="str">
        <f t="shared" si="17"/>
        <v/>
      </c>
      <c r="D297" s="85" t="str">
        <f t="shared" si="18"/>
        <v/>
      </c>
      <c r="E297" s="85"/>
      <c r="F297" s="85" t="str">
        <f t="shared" si="19"/>
        <v/>
      </c>
      <c r="G297" s="80"/>
      <c r="H297" s="80"/>
      <c r="I297" s="79"/>
      <c r="J297" s="79"/>
      <c r="K297" s="80"/>
    </row>
    <row r="298" spans="1:11">
      <c r="A298" s="93"/>
      <c r="B298" s="85" t="str">
        <f t="shared" si="16"/>
        <v/>
      </c>
      <c r="C298" s="85" t="str">
        <f t="shared" si="17"/>
        <v/>
      </c>
      <c r="D298" s="85" t="str">
        <f t="shared" si="18"/>
        <v/>
      </c>
      <c r="E298" s="85"/>
      <c r="F298" s="85" t="str">
        <f t="shared" si="19"/>
        <v/>
      </c>
      <c r="G298" s="80"/>
      <c r="H298" s="80"/>
      <c r="I298" s="79"/>
      <c r="J298" s="79"/>
      <c r="K298" s="80"/>
    </row>
    <row r="299" spans="1:11">
      <c r="A299" s="93"/>
      <c r="B299" s="85" t="str">
        <f t="shared" si="16"/>
        <v/>
      </c>
      <c r="C299" s="85" t="str">
        <f t="shared" si="17"/>
        <v/>
      </c>
      <c r="D299" s="85" t="str">
        <f t="shared" si="18"/>
        <v/>
      </c>
      <c r="E299" s="85" t="str">
        <f t="shared" ref="E299:E330" si="20">IF($B299="Não", "BLOQUEADO (Aguardar liberação)", "")</f>
        <v/>
      </c>
      <c r="F299" s="85" t="str">
        <f t="shared" si="19"/>
        <v/>
      </c>
      <c r="G299" s="80"/>
      <c r="H299" s="80"/>
      <c r="I299" s="79"/>
      <c r="J299" s="79"/>
      <c r="K299" s="80"/>
    </row>
    <row r="300" spans="1:11">
      <c r="A300" s="93"/>
      <c r="B300" s="85" t="str">
        <f t="shared" si="16"/>
        <v/>
      </c>
      <c r="C300" s="85" t="str">
        <f t="shared" si="17"/>
        <v/>
      </c>
      <c r="D300" s="85" t="str">
        <f t="shared" si="18"/>
        <v/>
      </c>
      <c r="E300" s="85" t="str">
        <f t="shared" si="20"/>
        <v/>
      </c>
      <c r="F300" s="85" t="str">
        <f t="shared" si="19"/>
        <v/>
      </c>
      <c r="G300" s="80"/>
      <c r="H300" s="80"/>
      <c r="I300" s="79"/>
      <c r="J300" s="79"/>
      <c r="K300" s="80"/>
    </row>
    <row r="301" spans="1:11">
      <c r="A301" s="93"/>
      <c r="B301" s="85" t="str">
        <f t="shared" si="16"/>
        <v/>
      </c>
      <c r="C301" s="85" t="str">
        <f t="shared" si="17"/>
        <v/>
      </c>
      <c r="D301" s="85" t="str">
        <f t="shared" si="18"/>
        <v/>
      </c>
      <c r="E301" s="85" t="str">
        <f t="shared" si="20"/>
        <v/>
      </c>
      <c r="F301" s="85" t="str">
        <f t="shared" si="19"/>
        <v/>
      </c>
      <c r="G301" s="80"/>
      <c r="H301" s="80"/>
      <c r="I301" s="79"/>
      <c r="J301" s="79"/>
      <c r="K301" s="80"/>
    </row>
    <row r="302" spans="1:11">
      <c r="A302" s="93"/>
      <c r="B302" s="85" t="str">
        <f t="shared" si="16"/>
        <v/>
      </c>
      <c r="C302" s="85" t="str">
        <f t="shared" si="17"/>
        <v/>
      </c>
      <c r="D302" s="85" t="str">
        <f t="shared" si="18"/>
        <v/>
      </c>
      <c r="E302" s="85" t="str">
        <f t="shared" si="20"/>
        <v/>
      </c>
      <c r="F302" s="85" t="str">
        <f t="shared" si="19"/>
        <v/>
      </c>
      <c r="G302" s="80"/>
      <c r="H302" s="80"/>
      <c r="I302" s="79"/>
      <c r="J302" s="79"/>
      <c r="K302" s="80"/>
    </row>
    <row r="303" spans="1:11">
      <c r="A303" s="93"/>
      <c r="B303" s="85" t="str">
        <f t="shared" si="16"/>
        <v/>
      </c>
      <c r="C303" s="85" t="str">
        <f t="shared" si="17"/>
        <v/>
      </c>
      <c r="D303" s="85" t="str">
        <f t="shared" si="18"/>
        <v/>
      </c>
      <c r="E303" s="85" t="str">
        <f t="shared" si="20"/>
        <v/>
      </c>
      <c r="F303" s="85" t="str">
        <f t="shared" si="19"/>
        <v/>
      </c>
      <c r="G303" s="80"/>
      <c r="H303" s="80"/>
      <c r="I303" s="79"/>
      <c r="J303" s="79"/>
      <c r="K303" s="80"/>
    </row>
    <row r="304" spans="1:11">
      <c r="A304" s="93"/>
      <c r="B304" s="85" t="str">
        <f t="shared" si="16"/>
        <v/>
      </c>
      <c r="C304" s="85" t="str">
        <f t="shared" si="17"/>
        <v/>
      </c>
      <c r="D304" s="85" t="str">
        <f t="shared" si="18"/>
        <v/>
      </c>
      <c r="E304" s="85" t="str">
        <f t="shared" si="20"/>
        <v/>
      </c>
      <c r="F304" s="85" t="str">
        <f t="shared" si="19"/>
        <v/>
      </c>
      <c r="G304" s="80"/>
      <c r="H304" s="80"/>
      <c r="I304" s="79"/>
      <c r="J304" s="79"/>
      <c r="K304" s="80"/>
    </row>
    <row r="305" spans="1:11">
      <c r="A305" s="93"/>
      <c r="B305" s="85" t="str">
        <f t="shared" si="16"/>
        <v/>
      </c>
      <c r="C305" s="85" t="str">
        <f t="shared" si="17"/>
        <v/>
      </c>
      <c r="D305" s="85" t="str">
        <f t="shared" si="18"/>
        <v/>
      </c>
      <c r="E305" s="85" t="str">
        <f t="shared" si="20"/>
        <v/>
      </c>
      <c r="F305" s="85" t="str">
        <f t="shared" si="19"/>
        <v/>
      </c>
      <c r="G305" s="80"/>
      <c r="H305" s="80"/>
      <c r="I305" s="79"/>
      <c r="J305" s="79"/>
      <c r="K305" s="80"/>
    </row>
    <row r="306" spans="1:11">
      <c r="A306" s="93"/>
      <c r="B306" s="85" t="str">
        <f t="shared" si="16"/>
        <v/>
      </c>
      <c r="C306" s="85" t="str">
        <f t="shared" si="17"/>
        <v/>
      </c>
      <c r="D306" s="85" t="str">
        <f t="shared" si="18"/>
        <v/>
      </c>
      <c r="E306" s="85" t="str">
        <f t="shared" si="20"/>
        <v/>
      </c>
      <c r="F306" s="85" t="str">
        <f t="shared" si="19"/>
        <v/>
      </c>
      <c r="G306" s="80"/>
      <c r="H306" s="80"/>
      <c r="I306" s="79"/>
      <c r="J306" s="79"/>
      <c r="K306" s="80"/>
    </row>
    <row r="307" spans="1:11">
      <c r="A307" s="93"/>
      <c r="B307" s="85" t="str">
        <f t="shared" si="16"/>
        <v/>
      </c>
      <c r="C307" s="85" t="str">
        <f t="shared" si="17"/>
        <v/>
      </c>
      <c r="D307" s="85" t="str">
        <f t="shared" si="18"/>
        <v/>
      </c>
      <c r="E307" s="85" t="str">
        <f t="shared" si="20"/>
        <v/>
      </c>
      <c r="F307" s="85" t="str">
        <f t="shared" si="19"/>
        <v/>
      </c>
      <c r="G307" s="80"/>
      <c r="H307" s="80"/>
      <c r="I307" s="79"/>
      <c r="J307" s="79"/>
      <c r="K307" s="80"/>
    </row>
    <row r="308" spans="1:11">
      <c r="A308" s="93"/>
      <c r="B308" s="85" t="str">
        <f t="shared" si="16"/>
        <v/>
      </c>
      <c r="C308" s="85" t="str">
        <f t="shared" si="17"/>
        <v/>
      </c>
      <c r="D308" s="85" t="str">
        <f t="shared" si="18"/>
        <v/>
      </c>
      <c r="E308" s="85" t="str">
        <f t="shared" si="20"/>
        <v/>
      </c>
      <c r="F308" s="85" t="str">
        <f t="shared" si="19"/>
        <v/>
      </c>
      <c r="G308" s="80"/>
      <c r="H308" s="80"/>
      <c r="I308" s="79"/>
      <c r="J308" s="79"/>
      <c r="K308" s="80"/>
    </row>
    <row r="309" spans="1:11">
      <c r="A309" s="93"/>
      <c r="B309" s="85" t="str">
        <f t="shared" si="16"/>
        <v/>
      </c>
      <c r="C309" s="85" t="str">
        <f t="shared" si="17"/>
        <v/>
      </c>
      <c r="D309" s="85" t="str">
        <f t="shared" si="18"/>
        <v/>
      </c>
      <c r="E309" s="85" t="str">
        <f t="shared" si="20"/>
        <v/>
      </c>
      <c r="F309" s="85" t="str">
        <f t="shared" si="19"/>
        <v/>
      </c>
      <c r="G309" s="80"/>
      <c r="H309" s="80"/>
      <c r="I309" s="79"/>
      <c r="J309" s="79"/>
      <c r="K309" s="80"/>
    </row>
    <row r="310" spans="1:11">
      <c r="A310" s="93"/>
      <c r="B310" s="85" t="str">
        <f t="shared" si="16"/>
        <v/>
      </c>
      <c r="C310" s="85" t="str">
        <f t="shared" si="17"/>
        <v/>
      </c>
      <c r="D310" s="85" t="str">
        <f t="shared" si="18"/>
        <v/>
      </c>
      <c r="E310" s="85" t="str">
        <f t="shared" si="20"/>
        <v/>
      </c>
      <c r="F310" s="85" t="str">
        <f t="shared" si="19"/>
        <v/>
      </c>
      <c r="G310" s="80"/>
      <c r="H310" s="80"/>
      <c r="I310" s="79"/>
      <c r="J310" s="79"/>
      <c r="K310" s="80"/>
    </row>
    <row r="311" spans="1:11">
      <c r="A311" s="93"/>
      <c r="B311" s="85" t="str">
        <f t="shared" si="16"/>
        <v/>
      </c>
      <c r="C311" s="85" t="str">
        <f t="shared" si="17"/>
        <v/>
      </c>
      <c r="D311" s="85" t="str">
        <f t="shared" si="18"/>
        <v/>
      </c>
      <c r="E311" s="85" t="str">
        <f t="shared" si="20"/>
        <v/>
      </c>
      <c r="F311" s="85" t="str">
        <f t="shared" si="19"/>
        <v/>
      </c>
      <c r="G311" s="80"/>
      <c r="H311" s="80"/>
      <c r="I311" s="79"/>
      <c r="J311" s="79"/>
      <c r="K311" s="80"/>
    </row>
    <row r="312" spans="1:11">
      <c r="A312" s="93"/>
      <c r="B312" s="85" t="str">
        <f t="shared" si="16"/>
        <v/>
      </c>
      <c r="C312" s="85" t="str">
        <f t="shared" si="17"/>
        <v/>
      </c>
      <c r="D312" s="85" t="str">
        <f t="shared" si="18"/>
        <v/>
      </c>
      <c r="E312" s="85" t="str">
        <f t="shared" si="20"/>
        <v/>
      </c>
      <c r="F312" s="85" t="str">
        <f t="shared" si="19"/>
        <v/>
      </c>
      <c r="G312" s="80"/>
      <c r="H312" s="80"/>
      <c r="I312" s="79"/>
      <c r="J312" s="79"/>
      <c r="K312" s="80"/>
    </row>
    <row r="313" spans="1:11">
      <c r="A313" s="93"/>
      <c r="B313" s="85" t="str">
        <f t="shared" si="16"/>
        <v/>
      </c>
      <c r="C313" s="85" t="str">
        <f t="shared" si="17"/>
        <v/>
      </c>
      <c r="D313" s="85" t="str">
        <f t="shared" si="18"/>
        <v/>
      </c>
      <c r="E313" s="85" t="str">
        <f t="shared" si="20"/>
        <v/>
      </c>
      <c r="F313" s="85" t="str">
        <f t="shared" si="19"/>
        <v/>
      </c>
      <c r="G313" s="80"/>
      <c r="H313" s="80"/>
      <c r="I313" s="79"/>
      <c r="J313" s="79"/>
      <c r="K313" s="80"/>
    </row>
    <row r="314" spans="1:11">
      <c r="A314" s="93"/>
      <c r="B314" s="85" t="str">
        <f t="shared" si="16"/>
        <v/>
      </c>
      <c r="C314" s="85" t="str">
        <f t="shared" si="17"/>
        <v/>
      </c>
      <c r="D314" s="85" t="str">
        <f t="shared" si="18"/>
        <v/>
      </c>
      <c r="E314" s="85" t="str">
        <f t="shared" si="20"/>
        <v/>
      </c>
      <c r="F314" s="85" t="str">
        <f t="shared" si="19"/>
        <v/>
      </c>
      <c r="G314" s="80"/>
      <c r="H314" s="80"/>
      <c r="I314" s="79"/>
      <c r="J314" s="79"/>
      <c r="K314" s="80"/>
    </row>
    <row r="315" spans="1:11">
      <c r="A315" s="93"/>
      <c r="B315" s="85" t="str">
        <f t="shared" si="16"/>
        <v/>
      </c>
      <c r="C315" s="85" t="str">
        <f t="shared" si="17"/>
        <v/>
      </c>
      <c r="D315" s="85" t="str">
        <f t="shared" si="18"/>
        <v/>
      </c>
      <c r="E315" s="85" t="str">
        <f t="shared" si="20"/>
        <v/>
      </c>
      <c r="F315" s="85" t="str">
        <f t="shared" si="19"/>
        <v/>
      </c>
      <c r="G315" s="80"/>
      <c r="H315" s="80"/>
      <c r="I315" s="79"/>
      <c r="J315" s="79"/>
      <c r="K315" s="80"/>
    </row>
    <row r="316" spans="1:11">
      <c r="A316" s="93"/>
      <c r="B316" s="85" t="str">
        <f t="shared" si="16"/>
        <v/>
      </c>
      <c r="C316" s="85" t="str">
        <f t="shared" si="17"/>
        <v/>
      </c>
      <c r="D316" s="85" t="str">
        <f t="shared" si="18"/>
        <v/>
      </c>
      <c r="E316" s="85" t="str">
        <f t="shared" si="20"/>
        <v/>
      </c>
      <c r="F316" s="85" t="str">
        <f t="shared" si="19"/>
        <v/>
      </c>
      <c r="G316" s="80"/>
      <c r="H316" s="80"/>
      <c r="I316" s="79"/>
      <c r="J316" s="79"/>
      <c r="K316" s="80"/>
    </row>
    <row r="317" spans="1:11">
      <c r="A317" s="93"/>
      <c r="B317" s="85" t="str">
        <f t="shared" si="16"/>
        <v/>
      </c>
      <c r="C317" s="85" t="str">
        <f t="shared" si="17"/>
        <v/>
      </c>
      <c r="D317" s="85" t="str">
        <f t="shared" si="18"/>
        <v/>
      </c>
      <c r="E317" s="85" t="str">
        <f t="shared" si="20"/>
        <v/>
      </c>
      <c r="F317" s="85" t="str">
        <f t="shared" si="19"/>
        <v/>
      </c>
      <c r="G317" s="80"/>
      <c r="H317" s="80"/>
      <c r="I317" s="79"/>
      <c r="J317" s="79"/>
      <c r="K317" s="80"/>
    </row>
    <row r="318" spans="1:11">
      <c r="A318" s="93"/>
      <c r="B318" s="85" t="str">
        <f t="shared" si="16"/>
        <v/>
      </c>
      <c r="C318" s="85" t="str">
        <f t="shared" si="17"/>
        <v/>
      </c>
      <c r="D318" s="85" t="str">
        <f t="shared" si="18"/>
        <v/>
      </c>
      <c r="E318" s="85" t="str">
        <f t="shared" si="20"/>
        <v/>
      </c>
      <c r="F318" s="85" t="str">
        <f t="shared" si="19"/>
        <v/>
      </c>
      <c r="G318" s="80"/>
      <c r="H318" s="80"/>
      <c r="I318" s="79"/>
      <c r="J318" s="79"/>
      <c r="K318" s="80"/>
    </row>
    <row r="319" spans="1:11">
      <c r="A319" s="93"/>
      <c r="B319" s="85" t="str">
        <f t="shared" si="16"/>
        <v/>
      </c>
      <c r="C319" s="85" t="str">
        <f t="shared" si="17"/>
        <v/>
      </c>
      <c r="D319" s="85" t="str">
        <f t="shared" si="18"/>
        <v/>
      </c>
      <c r="E319" s="85" t="str">
        <f t="shared" si="20"/>
        <v/>
      </c>
      <c r="F319" s="85" t="str">
        <f t="shared" si="19"/>
        <v/>
      </c>
      <c r="G319" s="80"/>
      <c r="H319" s="80"/>
      <c r="I319" s="79"/>
      <c r="J319" s="79"/>
      <c r="K319" s="80"/>
    </row>
    <row r="320" spans="1:11">
      <c r="A320" s="93"/>
      <c r="B320" s="85" t="str">
        <f t="shared" si="16"/>
        <v/>
      </c>
      <c r="C320" s="85" t="str">
        <f t="shared" si="17"/>
        <v/>
      </c>
      <c r="D320" s="85" t="str">
        <f t="shared" si="18"/>
        <v/>
      </c>
      <c r="E320" s="85" t="str">
        <f t="shared" si="20"/>
        <v/>
      </c>
      <c r="F320" s="85" t="str">
        <f t="shared" si="19"/>
        <v/>
      </c>
      <c r="G320" s="80"/>
      <c r="H320" s="80"/>
      <c r="I320" s="79"/>
      <c r="J320" s="79"/>
      <c r="K320" s="80"/>
    </row>
    <row r="321" spans="1:11">
      <c r="A321" s="93"/>
      <c r="B321" s="85" t="str">
        <f t="shared" si="16"/>
        <v/>
      </c>
      <c r="C321" s="85" t="str">
        <f t="shared" si="17"/>
        <v/>
      </c>
      <c r="D321" s="85" t="str">
        <f t="shared" si="18"/>
        <v/>
      </c>
      <c r="E321" s="85" t="str">
        <f t="shared" si="20"/>
        <v/>
      </c>
      <c r="F321" s="85" t="str">
        <f t="shared" si="19"/>
        <v/>
      </c>
      <c r="G321" s="80"/>
      <c r="H321" s="80"/>
      <c r="I321" s="79"/>
      <c r="J321" s="79"/>
      <c r="K321" s="80"/>
    </row>
    <row r="322" spans="1:11">
      <c r="A322" s="93"/>
      <c r="B322" s="85" t="str">
        <f t="shared" si="16"/>
        <v/>
      </c>
      <c r="C322" s="85" t="str">
        <f t="shared" si="17"/>
        <v/>
      </c>
      <c r="D322" s="85" t="str">
        <f t="shared" si="18"/>
        <v/>
      </c>
      <c r="E322" s="85" t="str">
        <f t="shared" si="20"/>
        <v/>
      </c>
      <c r="F322" s="85" t="str">
        <f t="shared" si="19"/>
        <v/>
      </c>
      <c r="G322" s="80"/>
      <c r="H322" s="80"/>
      <c r="I322" s="79"/>
      <c r="J322" s="79"/>
      <c r="K322" s="80"/>
    </row>
    <row r="323" spans="1:11">
      <c r="A323" s="93"/>
      <c r="B323" s="85" t="str">
        <f t="shared" si="16"/>
        <v/>
      </c>
      <c r="C323" s="85" t="str">
        <f t="shared" si="17"/>
        <v/>
      </c>
      <c r="D323" s="85" t="str">
        <f t="shared" si="18"/>
        <v/>
      </c>
      <c r="E323" s="85" t="str">
        <f t="shared" si="20"/>
        <v/>
      </c>
      <c r="F323" s="85" t="str">
        <f t="shared" si="19"/>
        <v/>
      </c>
      <c r="G323" s="80"/>
      <c r="H323" s="80"/>
      <c r="I323" s="79"/>
      <c r="J323" s="79"/>
      <c r="K323" s="80"/>
    </row>
    <row r="324" spans="1:11">
      <c r="A324" s="93"/>
      <c r="B324" s="85" t="str">
        <f t="shared" si="16"/>
        <v/>
      </c>
      <c r="C324" s="85" t="str">
        <f t="shared" si="17"/>
        <v/>
      </c>
      <c r="D324" s="85" t="str">
        <f t="shared" si="18"/>
        <v/>
      </c>
      <c r="E324" s="85" t="str">
        <f t="shared" si="20"/>
        <v/>
      </c>
      <c r="F324" s="85" t="str">
        <f t="shared" si="19"/>
        <v/>
      </c>
      <c r="G324" s="80"/>
      <c r="H324" s="80"/>
      <c r="I324" s="79"/>
      <c r="J324" s="79"/>
      <c r="K324" s="80"/>
    </row>
    <row r="325" spans="1:11">
      <c r="A325" s="93"/>
      <c r="B325" s="85" t="str">
        <f t="shared" si="16"/>
        <v/>
      </c>
      <c r="C325" s="85" t="str">
        <f t="shared" si="17"/>
        <v/>
      </c>
      <c r="D325" s="85" t="str">
        <f t="shared" si="18"/>
        <v/>
      </c>
      <c r="E325" s="85" t="str">
        <f t="shared" si="20"/>
        <v/>
      </c>
      <c r="F325" s="85" t="str">
        <f t="shared" si="19"/>
        <v/>
      </c>
      <c r="G325" s="80"/>
      <c r="H325" s="80"/>
      <c r="I325" s="79"/>
      <c r="J325" s="79"/>
      <c r="K325" s="80"/>
    </row>
    <row r="326" spans="1:11">
      <c r="A326" s="93"/>
      <c r="B326" s="85" t="str">
        <f t="shared" si="16"/>
        <v/>
      </c>
      <c r="C326" s="85" t="str">
        <f t="shared" si="17"/>
        <v/>
      </c>
      <c r="D326" s="85" t="str">
        <f t="shared" si="18"/>
        <v/>
      </c>
      <c r="E326" s="85" t="str">
        <f t="shared" si="20"/>
        <v/>
      </c>
      <c r="F326" s="85" t="str">
        <f t="shared" si="19"/>
        <v/>
      </c>
      <c r="G326" s="80"/>
      <c r="H326" s="80"/>
      <c r="I326" s="79"/>
      <c r="J326" s="79"/>
      <c r="K326" s="80"/>
    </row>
    <row r="327" spans="1:11">
      <c r="A327" s="93"/>
      <c r="B327" s="85" t="str">
        <f t="shared" si="16"/>
        <v/>
      </c>
      <c r="C327" s="85" t="str">
        <f t="shared" si="17"/>
        <v/>
      </c>
      <c r="D327" s="85" t="str">
        <f t="shared" si="18"/>
        <v/>
      </c>
      <c r="E327" s="85" t="str">
        <f t="shared" si="20"/>
        <v/>
      </c>
      <c r="F327" s="85" t="str">
        <f t="shared" si="19"/>
        <v/>
      </c>
      <c r="G327" s="80"/>
      <c r="H327" s="80"/>
      <c r="I327" s="79"/>
      <c r="J327" s="79"/>
      <c r="K327" s="80"/>
    </row>
    <row r="328" spans="1:11">
      <c r="A328" s="93"/>
      <c r="B328" s="85" t="str">
        <f t="shared" ref="B328:B391" si="21">IFERROR(IF(VLOOKUP($A328,CTINTERVALO,2,0)=0,"",VLOOKUP($A328,CTINTERVALO,2,0)),"")</f>
        <v/>
      </c>
      <c r="C328" s="85" t="str">
        <f t="shared" ref="C328:C391" si="22">IF($B328="Não", "BLOQUEADO (Aguardar liberação)", IFERROR(IF(VLOOKUP($A328,CTINTERVALO,3,0)=0,"",VLOOKUP($A328,CTINTERVALO,3,0)),""))</f>
        <v/>
      </c>
      <c r="D328" s="85" t="str">
        <f t="shared" ref="D328:D391" si="23">IF($B328="Não", "BLOQUEADO (Aguardar liberação)", IFERROR(IF(VLOOKUP($A328,CTINTERVALO,4,0)=0,"",VLOOKUP($A328,CTINTERVALO,4,0)),""))</f>
        <v/>
      </c>
      <c r="E328" s="85" t="str">
        <f t="shared" si="20"/>
        <v/>
      </c>
      <c r="F328" s="85" t="str">
        <f t="shared" ref="F328:F391" si="24">IF($B328="Não", "BLOQUEADO (Aguardar liberação)", IFERROR(IF(VLOOKUP($A328,CTINTERVALO,6,0)=0,"",VLOOKUP($A328,CTINTERVALO,6,0)),""))</f>
        <v/>
      </c>
      <c r="G328" s="80"/>
      <c r="H328" s="80"/>
      <c r="I328" s="79"/>
      <c r="J328" s="79"/>
      <c r="K328" s="80"/>
    </row>
    <row r="329" spans="1:11">
      <c r="A329" s="93"/>
      <c r="B329" s="85" t="str">
        <f t="shared" si="21"/>
        <v/>
      </c>
      <c r="C329" s="85" t="str">
        <f t="shared" si="22"/>
        <v/>
      </c>
      <c r="D329" s="85" t="str">
        <f t="shared" si="23"/>
        <v/>
      </c>
      <c r="E329" s="85" t="str">
        <f t="shared" si="20"/>
        <v/>
      </c>
      <c r="F329" s="85" t="str">
        <f t="shared" si="24"/>
        <v/>
      </c>
      <c r="G329" s="80"/>
      <c r="H329" s="80"/>
      <c r="I329" s="79"/>
      <c r="J329" s="79"/>
      <c r="K329" s="80"/>
    </row>
    <row r="330" spans="1:11">
      <c r="A330" s="93"/>
      <c r="B330" s="85" t="str">
        <f t="shared" si="21"/>
        <v/>
      </c>
      <c r="C330" s="85" t="str">
        <f t="shared" si="22"/>
        <v/>
      </c>
      <c r="D330" s="85" t="str">
        <f t="shared" si="23"/>
        <v/>
      </c>
      <c r="E330" s="85" t="str">
        <f t="shared" si="20"/>
        <v/>
      </c>
      <c r="F330" s="85" t="str">
        <f t="shared" si="24"/>
        <v/>
      </c>
      <c r="G330" s="80"/>
      <c r="H330" s="80"/>
      <c r="I330" s="79"/>
      <c r="J330" s="79"/>
      <c r="K330" s="80"/>
    </row>
    <row r="331" spans="1:11">
      <c r="A331" s="93"/>
      <c r="B331" s="85" t="str">
        <f t="shared" si="21"/>
        <v/>
      </c>
      <c r="C331" s="85" t="str">
        <f t="shared" si="22"/>
        <v/>
      </c>
      <c r="D331" s="85" t="str">
        <f t="shared" si="23"/>
        <v/>
      </c>
      <c r="E331" s="85" t="str">
        <f t="shared" ref="E331:E362" si="25">IF($B331="Não", "BLOQUEADO (Aguardar liberação)", "")</f>
        <v/>
      </c>
      <c r="F331" s="85" t="str">
        <f t="shared" si="24"/>
        <v/>
      </c>
      <c r="G331" s="80"/>
      <c r="H331" s="80"/>
      <c r="I331" s="79"/>
      <c r="J331" s="79"/>
      <c r="K331" s="80"/>
    </row>
    <row r="332" spans="1:11">
      <c r="A332" s="93"/>
      <c r="B332" s="85" t="str">
        <f t="shared" si="21"/>
        <v/>
      </c>
      <c r="C332" s="85" t="str">
        <f t="shared" si="22"/>
        <v/>
      </c>
      <c r="D332" s="85" t="str">
        <f t="shared" si="23"/>
        <v/>
      </c>
      <c r="E332" s="85" t="str">
        <f t="shared" si="25"/>
        <v/>
      </c>
      <c r="F332" s="85" t="str">
        <f t="shared" si="24"/>
        <v/>
      </c>
      <c r="G332" s="80"/>
      <c r="H332" s="80"/>
      <c r="I332" s="79"/>
      <c r="J332" s="79"/>
      <c r="K332" s="80"/>
    </row>
    <row r="333" spans="1:11">
      <c r="A333" s="93"/>
      <c r="B333" s="85" t="str">
        <f t="shared" si="21"/>
        <v/>
      </c>
      <c r="C333" s="85" t="str">
        <f t="shared" si="22"/>
        <v/>
      </c>
      <c r="D333" s="85" t="str">
        <f t="shared" si="23"/>
        <v/>
      </c>
      <c r="E333" s="85" t="str">
        <f t="shared" si="25"/>
        <v/>
      </c>
      <c r="F333" s="85" t="str">
        <f t="shared" si="24"/>
        <v/>
      </c>
      <c r="G333" s="80"/>
      <c r="H333" s="80"/>
      <c r="I333" s="79"/>
      <c r="J333" s="79"/>
      <c r="K333" s="80"/>
    </row>
    <row r="334" spans="1:11">
      <c r="A334" s="93"/>
      <c r="B334" s="85" t="str">
        <f t="shared" si="21"/>
        <v/>
      </c>
      <c r="C334" s="85" t="str">
        <f t="shared" si="22"/>
        <v/>
      </c>
      <c r="D334" s="85" t="str">
        <f t="shared" si="23"/>
        <v/>
      </c>
      <c r="E334" s="85" t="str">
        <f t="shared" si="25"/>
        <v/>
      </c>
      <c r="F334" s="85" t="str">
        <f t="shared" si="24"/>
        <v/>
      </c>
      <c r="G334" s="80"/>
      <c r="H334" s="80"/>
      <c r="I334" s="79"/>
      <c r="J334" s="79"/>
      <c r="K334" s="80"/>
    </row>
    <row r="335" spans="1:11">
      <c r="A335" s="93"/>
      <c r="B335" s="85" t="str">
        <f t="shared" si="21"/>
        <v/>
      </c>
      <c r="C335" s="85" t="str">
        <f t="shared" si="22"/>
        <v/>
      </c>
      <c r="D335" s="85" t="str">
        <f t="shared" si="23"/>
        <v/>
      </c>
      <c r="E335" s="85" t="str">
        <f t="shared" si="25"/>
        <v/>
      </c>
      <c r="F335" s="85" t="str">
        <f t="shared" si="24"/>
        <v/>
      </c>
      <c r="G335" s="80"/>
      <c r="H335" s="80"/>
      <c r="I335" s="79"/>
      <c r="J335" s="79"/>
      <c r="K335" s="80"/>
    </row>
    <row r="336" spans="1:11">
      <c r="A336" s="93"/>
      <c r="B336" s="85" t="str">
        <f t="shared" si="21"/>
        <v/>
      </c>
      <c r="C336" s="85" t="str">
        <f t="shared" si="22"/>
        <v/>
      </c>
      <c r="D336" s="85" t="str">
        <f t="shared" si="23"/>
        <v/>
      </c>
      <c r="E336" s="85" t="str">
        <f t="shared" si="25"/>
        <v/>
      </c>
      <c r="F336" s="85" t="str">
        <f t="shared" si="24"/>
        <v/>
      </c>
      <c r="G336" s="80"/>
      <c r="H336" s="80"/>
      <c r="I336" s="79"/>
      <c r="J336" s="79"/>
      <c r="K336" s="80"/>
    </row>
    <row r="337" spans="1:11">
      <c r="A337" s="93"/>
      <c r="B337" s="85" t="str">
        <f t="shared" si="21"/>
        <v/>
      </c>
      <c r="C337" s="85" t="str">
        <f t="shared" si="22"/>
        <v/>
      </c>
      <c r="D337" s="85" t="str">
        <f t="shared" si="23"/>
        <v/>
      </c>
      <c r="E337" s="85" t="str">
        <f t="shared" si="25"/>
        <v/>
      </c>
      <c r="F337" s="85" t="str">
        <f t="shared" si="24"/>
        <v/>
      </c>
      <c r="G337" s="80"/>
      <c r="H337" s="80"/>
      <c r="I337" s="79"/>
      <c r="J337" s="79"/>
      <c r="K337" s="80"/>
    </row>
    <row r="338" spans="1:11">
      <c r="A338" s="93"/>
      <c r="B338" s="85" t="str">
        <f t="shared" si="21"/>
        <v/>
      </c>
      <c r="C338" s="85" t="str">
        <f t="shared" si="22"/>
        <v/>
      </c>
      <c r="D338" s="85" t="str">
        <f t="shared" si="23"/>
        <v/>
      </c>
      <c r="E338" s="85" t="str">
        <f t="shared" si="25"/>
        <v/>
      </c>
      <c r="F338" s="85" t="str">
        <f t="shared" si="24"/>
        <v/>
      </c>
      <c r="G338" s="80"/>
      <c r="H338" s="80"/>
      <c r="I338" s="79"/>
      <c r="J338" s="79"/>
      <c r="K338" s="80"/>
    </row>
    <row r="339" spans="1:11">
      <c r="A339" s="93"/>
      <c r="B339" s="85" t="str">
        <f t="shared" si="21"/>
        <v/>
      </c>
      <c r="C339" s="85" t="str">
        <f t="shared" si="22"/>
        <v/>
      </c>
      <c r="D339" s="85" t="str">
        <f t="shared" si="23"/>
        <v/>
      </c>
      <c r="E339" s="85" t="str">
        <f t="shared" si="25"/>
        <v/>
      </c>
      <c r="F339" s="85" t="str">
        <f t="shared" si="24"/>
        <v/>
      </c>
      <c r="G339" s="80"/>
      <c r="H339" s="80"/>
      <c r="I339" s="79"/>
      <c r="J339" s="79"/>
      <c r="K339" s="80"/>
    </row>
    <row r="340" spans="1:11">
      <c r="A340" s="93"/>
      <c r="B340" s="85" t="str">
        <f t="shared" si="21"/>
        <v/>
      </c>
      <c r="C340" s="85" t="str">
        <f t="shared" si="22"/>
        <v/>
      </c>
      <c r="D340" s="85" t="str">
        <f t="shared" si="23"/>
        <v/>
      </c>
      <c r="E340" s="85" t="str">
        <f t="shared" si="25"/>
        <v/>
      </c>
      <c r="F340" s="85" t="str">
        <f t="shared" si="24"/>
        <v/>
      </c>
      <c r="G340" s="80"/>
      <c r="H340" s="80"/>
      <c r="I340" s="79"/>
      <c r="J340" s="79"/>
      <c r="K340" s="80"/>
    </row>
    <row r="341" spans="1:11">
      <c r="A341" s="93"/>
      <c r="B341" s="85" t="str">
        <f t="shared" si="21"/>
        <v/>
      </c>
      <c r="C341" s="85" t="str">
        <f t="shared" si="22"/>
        <v/>
      </c>
      <c r="D341" s="85" t="str">
        <f t="shared" si="23"/>
        <v/>
      </c>
      <c r="E341" s="85" t="str">
        <f t="shared" si="25"/>
        <v/>
      </c>
      <c r="F341" s="85" t="str">
        <f t="shared" si="24"/>
        <v/>
      </c>
      <c r="G341" s="80"/>
      <c r="H341" s="80"/>
      <c r="I341" s="79"/>
      <c r="J341" s="79"/>
      <c r="K341" s="80"/>
    </row>
    <row r="342" spans="1:11">
      <c r="A342" s="93"/>
      <c r="B342" s="85" t="str">
        <f t="shared" si="21"/>
        <v/>
      </c>
      <c r="C342" s="85" t="str">
        <f t="shared" si="22"/>
        <v/>
      </c>
      <c r="D342" s="85" t="str">
        <f t="shared" si="23"/>
        <v/>
      </c>
      <c r="E342" s="85" t="str">
        <f t="shared" si="25"/>
        <v/>
      </c>
      <c r="F342" s="85" t="str">
        <f t="shared" si="24"/>
        <v/>
      </c>
      <c r="G342" s="80"/>
      <c r="H342" s="80"/>
      <c r="I342" s="79"/>
      <c r="J342" s="79"/>
      <c r="K342" s="80"/>
    </row>
    <row r="343" spans="1:11">
      <c r="A343" s="93"/>
      <c r="B343" s="85" t="str">
        <f t="shared" si="21"/>
        <v/>
      </c>
      <c r="C343" s="85" t="str">
        <f t="shared" si="22"/>
        <v/>
      </c>
      <c r="D343" s="85" t="str">
        <f t="shared" si="23"/>
        <v/>
      </c>
      <c r="E343" s="85" t="str">
        <f t="shared" si="25"/>
        <v/>
      </c>
      <c r="F343" s="85" t="str">
        <f t="shared" si="24"/>
        <v/>
      </c>
      <c r="G343" s="80"/>
      <c r="H343" s="80"/>
      <c r="I343" s="79"/>
      <c r="J343" s="79"/>
      <c r="K343" s="80"/>
    </row>
    <row r="344" spans="1:11">
      <c r="A344" s="93"/>
      <c r="B344" s="85" t="str">
        <f t="shared" si="21"/>
        <v/>
      </c>
      <c r="C344" s="85" t="str">
        <f t="shared" si="22"/>
        <v/>
      </c>
      <c r="D344" s="85" t="str">
        <f t="shared" si="23"/>
        <v/>
      </c>
      <c r="E344" s="85" t="str">
        <f t="shared" si="25"/>
        <v/>
      </c>
      <c r="F344" s="85" t="str">
        <f t="shared" si="24"/>
        <v/>
      </c>
      <c r="G344" s="80"/>
      <c r="H344" s="80"/>
      <c r="I344" s="79"/>
      <c r="J344" s="79"/>
      <c r="K344" s="80"/>
    </row>
    <row r="345" spans="1:11">
      <c r="A345" s="93"/>
      <c r="B345" s="85" t="str">
        <f t="shared" si="21"/>
        <v/>
      </c>
      <c r="C345" s="85" t="str">
        <f t="shared" si="22"/>
        <v/>
      </c>
      <c r="D345" s="85" t="str">
        <f t="shared" si="23"/>
        <v/>
      </c>
      <c r="E345" s="85" t="str">
        <f t="shared" si="25"/>
        <v/>
      </c>
      <c r="F345" s="85" t="str">
        <f t="shared" si="24"/>
        <v/>
      </c>
      <c r="G345" s="80"/>
      <c r="H345" s="80"/>
      <c r="I345" s="79"/>
      <c r="J345" s="79"/>
      <c r="K345" s="80"/>
    </row>
    <row r="346" spans="1:11">
      <c r="A346" s="93"/>
      <c r="B346" s="85" t="str">
        <f t="shared" si="21"/>
        <v/>
      </c>
      <c r="C346" s="85" t="str">
        <f t="shared" si="22"/>
        <v/>
      </c>
      <c r="D346" s="85" t="str">
        <f t="shared" si="23"/>
        <v/>
      </c>
      <c r="E346" s="85" t="str">
        <f t="shared" si="25"/>
        <v/>
      </c>
      <c r="F346" s="85" t="str">
        <f t="shared" si="24"/>
        <v/>
      </c>
      <c r="G346" s="80"/>
      <c r="H346" s="80"/>
      <c r="I346" s="79"/>
      <c r="J346" s="79"/>
      <c r="K346" s="80"/>
    </row>
    <row r="347" spans="1:11">
      <c r="A347" s="93"/>
      <c r="B347" s="85" t="str">
        <f t="shared" si="21"/>
        <v/>
      </c>
      <c r="C347" s="85" t="str">
        <f t="shared" si="22"/>
        <v/>
      </c>
      <c r="D347" s="85" t="str">
        <f t="shared" si="23"/>
        <v/>
      </c>
      <c r="E347" s="85" t="str">
        <f t="shared" si="25"/>
        <v/>
      </c>
      <c r="F347" s="85" t="str">
        <f t="shared" si="24"/>
        <v/>
      </c>
      <c r="G347" s="80"/>
      <c r="H347" s="80"/>
      <c r="I347" s="79"/>
      <c r="J347" s="79"/>
      <c r="K347" s="80"/>
    </row>
    <row r="348" spans="1:11">
      <c r="A348" s="93"/>
      <c r="B348" s="85" t="str">
        <f t="shared" si="21"/>
        <v/>
      </c>
      <c r="C348" s="85" t="str">
        <f t="shared" si="22"/>
        <v/>
      </c>
      <c r="D348" s="85" t="str">
        <f t="shared" si="23"/>
        <v/>
      </c>
      <c r="E348" s="85" t="str">
        <f t="shared" si="25"/>
        <v/>
      </c>
      <c r="F348" s="85" t="str">
        <f t="shared" si="24"/>
        <v/>
      </c>
      <c r="G348" s="80"/>
      <c r="H348" s="80"/>
      <c r="I348" s="79"/>
      <c r="J348" s="79"/>
      <c r="K348" s="80"/>
    </row>
    <row r="349" spans="1:11">
      <c r="A349" s="93"/>
      <c r="B349" s="85" t="str">
        <f t="shared" si="21"/>
        <v/>
      </c>
      <c r="C349" s="85" t="str">
        <f t="shared" si="22"/>
        <v/>
      </c>
      <c r="D349" s="85" t="str">
        <f t="shared" si="23"/>
        <v/>
      </c>
      <c r="E349" s="85" t="str">
        <f t="shared" si="25"/>
        <v/>
      </c>
      <c r="F349" s="85" t="str">
        <f t="shared" si="24"/>
        <v/>
      </c>
      <c r="G349" s="80"/>
      <c r="H349" s="80"/>
      <c r="I349" s="79"/>
      <c r="J349" s="79"/>
      <c r="K349" s="80"/>
    </row>
    <row r="350" spans="1:11">
      <c r="A350" s="93"/>
      <c r="B350" s="85" t="str">
        <f t="shared" si="21"/>
        <v/>
      </c>
      <c r="C350" s="85" t="str">
        <f t="shared" si="22"/>
        <v/>
      </c>
      <c r="D350" s="85" t="str">
        <f t="shared" si="23"/>
        <v/>
      </c>
      <c r="E350" s="85" t="str">
        <f t="shared" si="25"/>
        <v/>
      </c>
      <c r="F350" s="85" t="str">
        <f t="shared" si="24"/>
        <v/>
      </c>
      <c r="G350" s="80"/>
      <c r="H350" s="80"/>
      <c r="I350" s="79"/>
      <c r="J350" s="79"/>
      <c r="K350" s="80"/>
    </row>
    <row r="351" spans="1:11">
      <c r="A351" s="93"/>
      <c r="B351" s="85" t="str">
        <f t="shared" si="21"/>
        <v/>
      </c>
      <c r="C351" s="85" t="str">
        <f t="shared" si="22"/>
        <v/>
      </c>
      <c r="D351" s="85" t="str">
        <f t="shared" si="23"/>
        <v/>
      </c>
      <c r="E351" s="85" t="str">
        <f t="shared" si="25"/>
        <v/>
      </c>
      <c r="F351" s="85" t="str">
        <f t="shared" si="24"/>
        <v/>
      </c>
      <c r="G351" s="80"/>
      <c r="H351" s="80"/>
      <c r="I351" s="79"/>
      <c r="J351" s="79"/>
      <c r="K351" s="80"/>
    </row>
    <row r="352" spans="1:11">
      <c r="A352" s="93"/>
      <c r="B352" s="85" t="str">
        <f t="shared" si="21"/>
        <v/>
      </c>
      <c r="C352" s="85" t="str">
        <f t="shared" si="22"/>
        <v/>
      </c>
      <c r="D352" s="85" t="str">
        <f t="shared" si="23"/>
        <v/>
      </c>
      <c r="E352" s="85" t="str">
        <f t="shared" si="25"/>
        <v/>
      </c>
      <c r="F352" s="85" t="str">
        <f t="shared" si="24"/>
        <v/>
      </c>
      <c r="G352" s="80"/>
      <c r="H352" s="80"/>
      <c r="I352" s="79"/>
      <c r="J352" s="79"/>
      <c r="K352" s="80"/>
    </row>
    <row r="353" spans="1:11">
      <c r="A353" s="93"/>
      <c r="B353" s="85" t="str">
        <f t="shared" si="21"/>
        <v/>
      </c>
      <c r="C353" s="85" t="str">
        <f t="shared" si="22"/>
        <v/>
      </c>
      <c r="D353" s="85" t="str">
        <f t="shared" si="23"/>
        <v/>
      </c>
      <c r="E353" s="85" t="str">
        <f t="shared" si="25"/>
        <v/>
      </c>
      <c r="F353" s="85" t="str">
        <f t="shared" si="24"/>
        <v/>
      </c>
      <c r="G353" s="80"/>
      <c r="H353" s="80"/>
      <c r="I353" s="79"/>
      <c r="J353" s="79"/>
      <c r="K353" s="80"/>
    </row>
    <row r="354" spans="1:11">
      <c r="A354" s="93"/>
      <c r="B354" s="85" t="str">
        <f t="shared" si="21"/>
        <v/>
      </c>
      <c r="C354" s="85" t="str">
        <f t="shared" si="22"/>
        <v/>
      </c>
      <c r="D354" s="85" t="str">
        <f t="shared" si="23"/>
        <v/>
      </c>
      <c r="E354" s="85" t="str">
        <f t="shared" si="25"/>
        <v/>
      </c>
      <c r="F354" s="85" t="str">
        <f t="shared" si="24"/>
        <v/>
      </c>
      <c r="G354" s="80"/>
      <c r="H354" s="80"/>
      <c r="I354" s="79"/>
      <c r="J354" s="79"/>
      <c r="K354" s="80"/>
    </row>
    <row r="355" spans="1:11">
      <c r="A355" s="93"/>
      <c r="B355" s="85" t="str">
        <f t="shared" si="21"/>
        <v/>
      </c>
      <c r="C355" s="85" t="str">
        <f t="shared" si="22"/>
        <v/>
      </c>
      <c r="D355" s="85" t="str">
        <f t="shared" si="23"/>
        <v/>
      </c>
      <c r="E355" s="85" t="str">
        <f t="shared" si="25"/>
        <v/>
      </c>
      <c r="F355" s="85" t="str">
        <f t="shared" si="24"/>
        <v/>
      </c>
      <c r="G355" s="80"/>
      <c r="H355" s="80"/>
      <c r="I355" s="79"/>
      <c r="J355" s="79"/>
      <c r="K355" s="80"/>
    </row>
    <row r="356" spans="1:11">
      <c r="A356" s="93"/>
      <c r="B356" s="85" t="str">
        <f t="shared" si="21"/>
        <v/>
      </c>
      <c r="C356" s="85" t="str">
        <f t="shared" si="22"/>
        <v/>
      </c>
      <c r="D356" s="85" t="str">
        <f t="shared" si="23"/>
        <v/>
      </c>
      <c r="E356" s="85" t="str">
        <f t="shared" si="25"/>
        <v/>
      </c>
      <c r="F356" s="85" t="str">
        <f t="shared" si="24"/>
        <v/>
      </c>
      <c r="G356" s="80"/>
      <c r="H356" s="80"/>
      <c r="I356" s="79"/>
      <c r="J356" s="79"/>
      <c r="K356" s="80"/>
    </row>
    <row r="357" spans="1:11">
      <c r="A357" s="93"/>
      <c r="B357" s="85" t="str">
        <f t="shared" si="21"/>
        <v/>
      </c>
      <c r="C357" s="85" t="str">
        <f t="shared" si="22"/>
        <v/>
      </c>
      <c r="D357" s="85" t="str">
        <f t="shared" si="23"/>
        <v/>
      </c>
      <c r="E357" s="85" t="str">
        <f t="shared" si="25"/>
        <v/>
      </c>
      <c r="F357" s="85" t="str">
        <f t="shared" si="24"/>
        <v/>
      </c>
      <c r="G357" s="80"/>
      <c r="H357" s="80"/>
      <c r="I357" s="79"/>
      <c r="J357" s="79"/>
      <c r="K357" s="80"/>
    </row>
    <row r="358" spans="1:11">
      <c r="A358" s="93"/>
      <c r="B358" s="85" t="str">
        <f t="shared" si="21"/>
        <v/>
      </c>
      <c r="C358" s="85" t="str">
        <f t="shared" si="22"/>
        <v/>
      </c>
      <c r="D358" s="85" t="str">
        <f t="shared" si="23"/>
        <v/>
      </c>
      <c r="E358" s="85" t="str">
        <f t="shared" si="25"/>
        <v/>
      </c>
      <c r="F358" s="85" t="str">
        <f t="shared" si="24"/>
        <v/>
      </c>
      <c r="G358" s="80"/>
      <c r="H358" s="80"/>
      <c r="I358" s="79"/>
      <c r="J358" s="79"/>
      <c r="K358" s="80"/>
    </row>
    <row r="359" spans="1:11">
      <c r="A359" s="93"/>
      <c r="B359" s="85" t="str">
        <f t="shared" si="21"/>
        <v/>
      </c>
      <c r="C359" s="85" t="str">
        <f t="shared" si="22"/>
        <v/>
      </c>
      <c r="D359" s="85" t="str">
        <f t="shared" si="23"/>
        <v/>
      </c>
      <c r="E359" s="85" t="str">
        <f t="shared" si="25"/>
        <v/>
      </c>
      <c r="F359" s="85" t="str">
        <f t="shared" si="24"/>
        <v/>
      </c>
      <c r="G359" s="80"/>
      <c r="H359" s="80"/>
      <c r="I359" s="79"/>
      <c r="J359" s="79"/>
      <c r="K359" s="80"/>
    </row>
    <row r="360" spans="1:11">
      <c r="A360" s="93"/>
      <c r="B360" s="85" t="str">
        <f t="shared" si="21"/>
        <v/>
      </c>
      <c r="C360" s="85" t="str">
        <f t="shared" si="22"/>
        <v/>
      </c>
      <c r="D360" s="85" t="str">
        <f t="shared" si="23"/>
        <v/>
      </c>
      <c r="E360" s="85" t="str">
        <f t="shared" si="25"/>
        <v/>
      </c>
      <c r="F360" s="85" t="str">
        <f t="shared" si="24"/>
        <v/>
      </c>
      <c r="G360" s="80"/>
      <c r="H360" s="80"/>
      <c r="I360" s="79"/>
      <c r="J360" s="79"/>
      <c r="K360" s="80"/>
    </row>
    <row r="361" spans="1:11">
      <c r="A361" s="93"/>
      <c r="B361" s="85" t="str">
        <f t="shared" si="21"/>
        <v/>
      </c>
      <c r="C361" s="85" t="str">
        <f t="shared" si="22"/>
        <v/>
      </c>
      <c r="D361" s="85" t="str">
        <f t="shared" si="23"/>
        <v/>
      </c>
      <c r="E361" s="85" t="str">
        <f t="shared" si="25"/>
        <v/>
      </c>
      <c r="F361" s="85" t="str">
        <f t="shared" si="24"/>
        <v/>
      </c>
      <c r="G361" s="80"/>
      <c r="H361" s="80"/>
      <c r="I361" s="79"/>
      <c r="J361" s="79"/>
      <c r="K361" s="80"/>
    </row>
    <row r="362" spans="1:11">
      <c r="A362" s="93"/>
      <c r="B362" s="85" t="str">
        <f t="shared" si="21"/>
        <v/>
      </c>
      <c r="C362" s="85" t="str">
        <f t="shared" si="22"/>
        <v/>
      </c>
      <c r="D362" s="85" t="str">
        <f t="shared" si="23"/>
        <v/>
      </c>
      <c r="E362" s="85" t="str">
        <f t="shared" si="25"/>
        <v/>
      </c>
      <c r="F362" s="85" t="str">
        <f t="shared" si="24"/>
        <v/>
      </c>
      <c r="G362" s="80"/>
      <c r="H362" s="80"/>
      <c r="I362" s="79"/>
      <c r="J362" s="79"/>
      <c r="K362" s="80"/>
    </row>
    <row r="363" spans="1:11">
      <c r="A363" s="93"/>
      <c r="B363" s="85" t="str">
        <f t="shared" si="21"/>
        <v/>
      </c>
      <c r="C363" s="85" t="str">
        <f t="shared" si="22"/>
        <v/>
      </c>
      <c r="D363" s="85" t="str">
        <f t="shared" si="23"/>
        <v/>
      </c>
      <c r="E363" s="85" t="str">
        <f t="shared" ref="E363:E394" si="26">IF($B363="Não", "BLOQUEADO (Aguardar liberação)", "")</f>
        <v/>
      </c>
      <c r="F363" s="85" t="str">
        <f t="shared" si="24"/>
        <v/>
      </c>
      <c r="G363" s="80"/>
      <c r="H363" s="80"/>
      <c r="I363" s="79"/>
      <c r="J363" s="79"/>
      <c r="K363" s="80"/>
    </row>
    <row r="364" spans="1:11">
      <c r="A364" s="93"/>
      <c r="B364" s="85" t="str">
        <f t="shared" si="21"/>
        <v/>
      </c>
      <c r="C364" s="85" t="str">
        <f t="shared" si="22"/>
        <v/>
      </c>
      <c r="D364" s="85" t="str">
        <f t="shared" si="23"/>
        <v/>
      </c>
      <c r="E364" s="85" t="str">
        <f t="shared" si="26"/>
        <v/>
      </c>
      <c r="F364" s="85" t="str">
        <f t="shared" si="24"/>
        <v/>
      </c>
      <c r="G364" s="80"/>
      <c r="H364" s="80"/>
      <c r="I364" s="79"/>
      <c r="J364" s="79"/>
      <c r="K364" s="80"/>
    </row>
    <row r="365" spans="1:11">
      <c r="A365" s="93"/>
      <c r="B365" s="85" t="str">
        <f t="shared" si="21"/>
        <v/>
      </c>
      <c r="C365" s="85" t="str">
        <f t="shared" si="22"/>
        <v/>
      </c>
      <c r="D365" s="85" t="str">
        <f t="shared" si="23"/>
        <v/>
      </c>
      <c r="E365" s="85" t="str">
        <f t="shared" si="26"/>
        <v/>
      </c>
      <c r="F365" s="85" t="str">
        <f t="shared" si="24"/>
        <v/>
      </c>
      <c r="G365" s="80"/>
      <c r="H365" s="80"/>
      <c r="I365" s="79"/>
      <c r="J365" s="79"/>
      <c r="K365" s="80"/>
    </row>
    <row r="366" spans="1:11">
      <c r="A366" s="93"/>
      <c r="B366" s="85" t="str">
        <f t="shared" si="21"/>
        <v/>
      </c>
      <c r="C366" s="85" t="str">
        <f t="shared" si="22"/>
        <v/>
      </c>
      <c r="D366" s="85" t="str">
        <f t="shared" si="23"/>
        <v/>
      </c>
      <c r="E366" s="85" t="str">
        <f t="shared" si="26"/>
        <v/>
      </c>
      <c r="F366" s="85" t="str">
        <f t="shared" si="24"/>
        <v/>
      </c>
      <c r="G366" s="80"/>
      <c r="H366" s="80"/>
      <c r="I366" s="79"/>
      <c r="J366" s="79"/>
      <c r="K366" s="80"/>
    </row>
    <row r="367" spans="1:11">
      <c r="A367" s="93"/>
      <c r="B367" s="85" t="str">
        <f t="shared" si="21"/>
        <v/>
      </c>
      <c r="C367" s="85" t="str">
        <f t="shared" si="22"/>
        <v/>
      </c>
      <c r="D367" s="85" t="str">
        <f t="shared" si="23"/>
        <v/>
      </c>
      <c r="E367" s="85" t="str">
        <f t="shared" si="26"/>
        <v/>
      </c>
      <c r="F367" s="85" t="str">
        <f t="shared" si="24"/>
        <v/>
      </c>
      <c r="G367" s="80"/>
      <c r="H367" s="80"/>
      <c r="I367" s="79"/>
      <c r="J367" s="79"/>
      <c r="K367" s="80"/>
    </row>
    <row r="368" spans="1:11">
      <c r="A368" s="93"/>
      <c r="B368" s="85" t="str">
        <f t="shared" si="21"/>
        <v/>
      </c>
      <c r="C368" s="85" t="str">
        <f t="shared" si="22"/>
        <v/>
      </c>
      <c r="D368" s="85" t="str">
        <f t="shared" si="23"/>
        <v/>
      </c>
      <c r="E368" s="85" t="str">
        <f t="shared" si="26"/>
        <v/>
      </c>
      <c r="F368" s="85" t="str">
        <f t="shared" si="24"/>
        <v/>
      </c>
      <c r="G368" s="80"/>
      <c r="H368" s="80"/>
      <c r="I368" s="79"/>
      <c r="J368" s="79"/>
      <c r="K368" s="80"/>
    </row>
    <row r="369" spans="1:11">
      <c r="A369" s="93"/>
      <c r="B369" s="85" t="str">
        <f t="shared" si="21"/>
        <v/>
      </c>
      <c r="C369" s="85" t="str">
        <f t="shared" si="22"/>
        <v/>
      </c>
      <c r="D369" s="85" t="str">
        <f t="shared" si="23"/>
        <v/>
      </c>
      <c r="E369" s="85" t="str">
        <f t="shared" si="26"/>
        <v/>
      </c>
      <c r="F369" s="85" t="str">
        <f t="shared" si="24"/>
        <v/>
      </c>
      <c r="G369" s="80"/>
      <c r="H369" s="80"/>
      <c r="I369" s="79"/>
      <c r="J369" s="79"/>
      <c r="K369" s="80"/>
    </row>
    <row r="370" spans="1:11">
      <c r="A370" s="93"/>
      <c r="B370" s="85" t="str">
        <f t="shared" si="21"/>
        <v/>
      </c>
      <c r="C370" s="85" t="str">
        <f t="shared" si="22"/>
        <v/>
      </c>
      <c r="D370" s="85" t="str">
        <f t="shared" si="23"/>
        <v/>
      </c>
      <c r="E370" s="85" t="str">
        <f t="shared" si="26"/>
        <v/>
      </c>
      <c r="F370" s="85" t="str">
        <f t="shared" si="24"/>
        <v/>
      </c>
      <c r="G370" s="80"/>
      <c r="H370" s="80"/>
      <c r="I370" s="79"/>
      <c r="J370" s="79"/>
      <c r="K370" s="80"/>
    </row>
    <row r="371" spans="1:11">
      <c r="A371" s="93"/>
      <c r="B371" s="85" t="str">
        <f t="shared" si="21"/>
        <v/>
      </c>
      <c r="C371" s="85" t="str">
        <f t="shared" si="22"/>
        <v/>
      </c>
      <c r="D371" s="85" t="str">
        <f t="shared" si="23"/>
        <v/>
      </c>
      <c r="E371" s="85" t="str">
        <f t="shared" si="26"/>
        <v/>
      </c>
      <c r="F371" s="85" t="str">
        <f t="shared" si="24"/>
        <v/>
      </c>
      <c r="G371" s="80"/>
      <c r="H371" s="80"/>
      <c r="I371" s="79"/>
      <c r="J371" s="79"/>
      <c r="K371" s="80"/>
    </row>
    <row r="372" spans="1:11">
      <c r="A372" s="93"/>
      <c r="B372" s="85" t="str">
        <f t="shared" si="21"/>
        <v/>
      </c>
      <c r="C372" s="85" t="str">
        <f t="shared" si="22"/>
        <v/>
      </c>
      <c r="D372" s="85" t="str">
        <f t="shared" si="23"/>
        <v/>
      </c>
      <c r="E372" s="85" t="str">
        <f t="shared" si="26"/>
        <v/>
      </c>
      <c r="F372" s="85" t="str">
        <f t="shared" si="24"/>
        <v/>
      </c>
      <c r="G372" s="80"/>
      <c r="H372" s="80"/>
      <c r="I372" s="79"/>
      <c r="J372" s="79"/>
      <c r="K372" s="80"/>
    </row>
    <row r="373" spans="1:11">
      <c r="A373" s="93"/>
      <c r="B373" s="85" t="str">
        <f t="shared" si="21"/>
        <v/>
      </c>
      <c r="C373" s="85" t="str">
        <f t="shared" si="22"/>
        <v/>
      </c>
      <c r="D373" s="85" t="str">
        <f t="shared" si="23"/>
        <v/>
      </c>
      <c r="E373" s="85" t="str">
        <f t="shared" si="26"/>
        <v/>
      </c>
      <c r="F373" s="85" t="str">
        <f t="shared" si="24"/>
        <v/>
      </c>
      <c r="G373" s="80"/>
      <c r="H373" s="80"/>
      <c r="I373" s="79"/>
      <c r="J373" s="79"/>
      <c r="K373" s="80"/>
    </row>
    <row r="374" spans="1:11">
      <c r="A374" s="93"/>
      <c r="B374" s="85" t="str">
        <f t="shared" si="21"/>
        <v/>
      </c>
      <c r="C374" s="85" t="str">
        <f t="shared" si="22"/>
        <v/>
      </c>
      <c r="D374" s="85" t="str">
        <f t="shared" si="23"/>
        <v/>
      </c>
      <c r="E374" s="85" t="str">
        <f t="shared" si="26"/>
        <v/>
      </c>
      <c r="F374" s="85" t="str">
        <f t="shared" si="24"/>
        <v/>
      </c>
      <c r="G374" s="80"/>
      <c r="H374" s="80"/>
      <c r="I374" s="79"/>
      <c r="J374" s="79"/>
      <c r="K374" s="80"/>
    </row>
    <row r="375" spans="1:11">
      <c r="A375" s="93"/>
      <c r="B375" s="85" t="str">
        <f t="shared" si="21"/>
        <v/>
      </c>
      <c r="C375" s="85" t="str">
        <f t="shared" si="22"/>
        <v/>
      </c>
      <c r="D375" s="85" t="str">
        <f t="shared" si="23"/>
        <v/>
      </c>
      <c r="E375" s="85" t="str">
        <f t="shared" si="26"/>
        <v/>
      </c>
      <c r="F375" s="85" t="str">
        <f t="shared" si="24"/>
        <v/>
      </c>
      <c r="G375" s="80"/>
      <c r="H375" s="80"/>
      <c r="I375" s="79"/>
      <c r="J375" s="79"/>
      <c r="K375" s="80"/>
    </row>
    <row r="376" spans="1:11">
      <c r="A376" s="93"/>
      <c r="B376" s="85" t="str">
        <f t="shared" si="21"/>
        <v/>
      </c>
      <c r="C376" s="85" t="str">
        <f t="shared" si="22"/>
        <v/>
      </c>
      <c r="D376" s="85" t="str">
        <f t="shared" si="23"/>
        <v/>
      </c>
      <c r="E376" s="85" t="str">
        <f t="shared" si="26"/>
        <v/>
      </c>
      <c r="F376" s="85" t="str">
        <f t="shared" si="24"/>
        <v/>
      </c>
      <c r="G376" s="80"/>
      <c r="H376" s="80"/>
      <c r="I376" s="79"/>
      <c r="J376" s="79"/>
      <c r="K376" s="80"/>
    </row>
    <row r="377" spans="1:11">
      <c r="A377" s="93"/>
      <c r="B377" s="85" t="str">
        <f t="shared" si="21"/>
        <v/>
      </c>
      <c r="C377" s="85" t="str">
        <f t="shared" si="22"/>
        <v/>
      </c>
      <c r="D377" s="85" t="str">
        <f t="shared" si="23"/>
        <v/>
      </c>
      <c r="E377" s="85" t="str">
        <f t="shared" si="26"/>
        <v/>
      </c>
      <c r="F377" s="85" t="str">
        <f t="shared" si="24"/>
        <v/>
      </c>
      <c r="G377" s="80"/>
      <c r="H377" s="80"/>
      <c r="I377" s="79"/>
      <c r="J377" s="79"/>
      <c r="K377" s="80"/>
    </row>
    <row r="378" spans="1:11">
      <c r="A378" s="93"/>
      <c r="B378" s="85" t="str">
        <f t="shared" si="21"/>
        <v/>
      </c>
      <c r="C378" s="85" t="str">
        <f t="shared" si="22"/>
        <v/>
      </c>
      <c r="D378" s="85" t="str">
        <f t="shared" si="23"/>
        <v/>
      </c>
      <c r="E378" s="85" t="str">
        <f t="shared" si="26"/>
        <v/>
      </c>
      <c r="F378" s="85" t="str">
        <f t="shared" si="24"/>
        <v/>
      </c>
      <c r="G378" s="80"/>
      <c r="H378" s="80"/>
      <c r="I378" s="79"/>
      <c r="J378" s="79"/>
      <c r="K378" s="80"/>
    </row>
    <row r="379" spans="1:11">
      <c r="A379" s="93"/>
      <c r="B379" s="85" t="str">
        <f t="shared" si="21"/>
        <v/>
      </c>
      <c r="C379" s="85" t="str">
        <f t="shared" si="22"/>
        <v/>
      </c>
      <c r="D379" s="85" t="str">
        <f t="shared" si="23"/>
        <v/>
      </c>
      <c r="E379" s="85" t="str">
        <f t="shared" si="26"/>
        <v/>
      </c>
      <c r="F379" s="85" t="str">
        <f t="shared" si="24"/>
        <v/>
      </c>
      <c r="G379" s="80"/>
      <c r="H379" s="80"/>
      <c r="I379" s="79"/>
      <c r="J379" s="79"/>
      <c r="K379" s="80"/>
    </row>
    <row r="380" spans="1:11">
      <c r="A380" s="93"/>
      <c r="B380" s="85" t="str">
        <f t="shared" si="21"/>
        <v/>
      </c>
      <c r="C380" s="85" t="str">
        <f t="shared" si="22"/>
        <v/>
      </c>
      <c r="D380" s="85" t="str">
        <f t="shared" si="23"/>
        <v/>
      </c>
      <c r="E380" s="85" t="str">
        <f t="shared" si="26"/>
        <v/>
      </c>
      <c r="F380" s="85" t="str">
        <f t="shared" si="24"/>
        <v/>
      </c>
      <c r="G380" s="80"/>
      <c r="H380" s="80"/>
      <c r="I380" s="79"/>
      <c r="J380" s="79"/>
      <c r="K380" s="80"/>
    </row>
    <row r="381" spans="1:11">
      <c r="A381" s="93"/>
      <c r="B381" s="85" t="str">
        <f t="shared" si="21"/>
        <v/>
      </c>
      <c r="C381" s="85" t="str">
        <f t="shared" si="22"/>
        <v/>
      </c>
      <c r="D381" s="85" t="str">
        <f t="shared" si="23"/>
        <v/>
      </c>
      <c r="E381" s="85" t="str">
        <f t="shared" si="26"/>
        <v/>
      </c>
      <c r="F381" s="85" t="str">
        <f t="shared" si="24"/>
        <v/>
      </c>
      <c r="G381" s="80"/>
      <c r="H381" s="80"/>
      <c r="I381" s="79"/>
      <c r="J381" s="79"/>
      <c r="K381" s="80"/>
    </row>
    <row r="382" spans="1:11">
      <c r="A382" s="93"/>
      <c r="B382" s="85" t="str">
        <f t="shared" si="21"/>
        <v/>
      </c>
      <c r="C382" s="85" t="str">
        <f t="shared" si="22"/>
        <v/>
      </c>
      <c r="D382" s="85" t="str">
        <f t="shared" si="23"/>
        <v/>
      </c>
      <c r="E382" s="85" t="str">
        <f t="shared" si="26"/>
        <v/>
      </c>
      <c r="F382" s="85" t="str">
        <f t="shared" si="24"/>
        <v/>
      </c>
      <c r="G382" s="80"/>
      <c r="H382" s="80"/>
      <c r="I382" s="79"/>
      <c r="J382" s="79"/>
      <c r="K382" s="80"/>
    </row>
    <row r="383" spans="1:11">
      <c r="A383" s="93"/>
      <c r="B383" s="85" t="str">
        <f t="shared" si="21"/>
        <v/>
      </c>
      <c r="C383" s="85" t="str">
        <f t="shared" si="22"/>
        <v/>
      </c>
      <c r="D383" s="85" t="str">
        <f t="shared" si="23"/>
        <v/>
      </c>
      <c r="E383" s="85" t="str">
        <f t="shared" si="26"/>
        <v/>
      </c>
      <c r="F383" s="85" t="str">
        <f t="shared" si="24"/>
        <v/>
      </c>
      <c r="G383" s="80"/>
      <c r="H383" s="80"/>
      <c r="I383" s="79"/>
      <c r="J383" s="79"/>
      <c r="K383" s="80"/>
    </row>
    <row r="384" spans="1:11">
      <c r="A384" s="93"/>
      <c r="B384" s="85" t="str">
        <f t="shared" si="21"/>
        <v/>
      </c>
      <c r="C384" s="85" t="str">
        <f t="shared" si="22"/>
        <v/>
      </c>
      <c r="D384" s="85" t="str">
        <f t="shared" si="23"/>
        <v/>
      </c>
      <c r="E384" s="85" t="str">
        <f t="shared" si="26"/>
        <v/>
      </c>
      <c r="F384" s="85" t="str">
        <f t="shared" si="24"/>
        <v/>
      </c>
      <c r="G384" s="80"/>
      <c r="H384" s="80"/>
      <c r="I384" s="79"/>
      <c r="J384" s="79"/>
      <c r="K384" s="80"/>
    </row>
    <row r="385" spans="1:11">
      <c r="A385" s="93"/>
      <c r="B385" s="85" t="str">
        <f t="shared" si="21"/>
        <v/>
      </c>
      <c r="C385" s="85" t="str">
        <f t="shared" si="22"/>
        <v/>
      </c>
      <c r="D385" s="85" t="str">
        <f t="shared" si="23"/>
        <v/>
      </c>
      <c r="E385" s="85" t="str">
        <f t="shared" si="26"/>
        <v/>
      </c>
      <c r="F385" s="85" t="str">
        <f t="shared" si="24"/>
        <v/>
      </c>
      <c r="G385" s="80"/>
      <c r="H385" s="80"/>
      <c r="I385" s="79"/>
      <c r="J385" s="79"/>
      <c r="K385" s="80"/>
    </row>
    <row r="386" spans="1:11">
      <c r="A386" s="93"/>
      <c r="B386" s="85" t="str">
        <f t="shared" si="21"/>
        <v/>
      </c>
      <c r="C386" s="85" t="str">
        <f t="shared" si="22"/>
        <v/>
      </c>
      <c r="D386" s="85" t="str">
        <f t="shared" si="23"/>
        <v/>
      </c>
      <c r="E386" s="85" t="str">
        <f t="shared" si="26"/>
        <v/>
      </c>
      <c r="F386" s="85" t="str">
        <f t="shared" si="24"/>
        <v/>
      </c>
      <c r="G386" s="80"/>
      <c r="H386" s="80"/>
      <c r="I386" s="79"/>
      <c r="J386" s="79"/>
      <c r="K386" s="80"/>
    </row>
    <row r="387" spans="1:11">
      <c r="A387" s="93"/>
      <c r="B387" s="85" t="str">
        <f t="shared" si="21"/>
        <v/>
      </c>
      <c r="C387" s="85" t="str">
        <f t="shared" si="22"/>
        <v/>
      </c>
      <c r="D387" s="85" t="str">
        <f t="shared" si="23"/>
        <v/>
      </c>
      <c r="E387" s="85" t="str">
        <f t="shared" si="26"/>
        <v/>
      </c>
      <c r="F387" s="85" t="str">
        <f t="shared" si="24"/>
        <v/>
      </c>
      <c r="G387" s="80"/>
      <c r="H387" s="80"/>
      <c r="I387" s="79"/>
      <c r="J387" s="79"/>
      <c r="K387" s="80"/>
    </row>
    <row r="388" spans="1:11">
      <c r="A388" s="93"/>
      <c r="B388" s="85" t="str">
        <f t="shared" si="21"/>
        <v/>
      </c>
      <c r="C388" s="85" t="str">
        <f t="shared" si="22"/>
        <v/>
      </c>
      <c r="D388" s="85" t="str">
        <f t="shared" si="23"/>
        <v/>
      </c>
      <c r="E388" s="85" t="str">
        <f t="shared" si="26"/>
        <v/>
      </c>
      <c r="F388" s="85" t="str">
        <f t="shared" si="24"/>
        <v/>
      </c>
      <c r="G388" s="80"/>
      <c r="H388" s="80"/>
      <c r="I388" s="79"/>
      <c r="J388" s="79"/>
      <c r="K388" s="80"/>
    </row>
    <row r="389" spans="1:11">
      <c r="A389" s="93"/>
      <c r="B389" s="85" t="str">
        <f t="shared" si="21"/>
        <v/>
      </c>
      <c r="C389" s="85" t="str">
        <f t="shared" si="22"/>
        <v/>
      </c>
      <c r="D389" s="85" t="str">
        <f t="shared" si="23"/>
        <v/>
      </c>
      <c r="E389" s="85" t="str">
        <f t="shared" si="26"/>
        <v/>
      </c>
      <c r="F389" s="85" t="str">
        <f t="shared" si="24"/>
        <v/>
      </c>
      <c r="G389" s="80"/>
      <c r="H389" s="80"/>
      <c r="I389" s="79"/>
      <c r="J389" s="79"/>
      <c r="K389" s="80"/>
    </row>
    <row r="390" spans="1:11">
      <c r="A390" s="93"/>
      <c r="B390" s="85" t="str">
        <f t="shared" si="21"/>
        <v/>
      </c>
      <c r="C390" s="85" t="str">
        <f t="shared" si="22"/>
        <v/>
      </c>
      <c r="D390" s="85" t="str">
        <f t="shared" si="23"/>
        <v/>
      </c>
      <c r="E390" s="85" t="str">
        <f t="shared" si="26"/>
        <v/>
      </c>
      <c r="F390" s="85" t="str">
        <f t="shared" si="24"/>
        <v/>
      </c>
      <c r="G390" s="80"/>
      <c r="H390" s="80"/>
      <c r="I390" s="79"/>
      <c r="J390" s="79"/>
      <c r="K390" s="80"/>
    </row>
    <row r="391" spans="1:11">
      <c r="A391" s="93"/>
      <c r="B391" s="85" t="str">
        <f t="shared" si="21"/>
        <v/>
      </c>
      <c r="C391" s="85" t="str">
        <f t="shared" si="22"/>
        <v/>
      </c>
      <c r="D391" s="85" t="str">
        <f t="shared" si="23"/>
        <v/>
      </c>
      <c r="E391" s="85" t="str">
        <f t="shared" si="26"/>
        <v/>
      </c>
      <c r="F391" s="85" t="str">
        <f t="shared" si="24"/>
        <v/>
      </c>
      <c r="G391" s="80"/>
      <c r="H391" s="80"/>
      <c r="I391" s="79"/>
      <c r="J391" s="79"/>
      <c r="K391" s="80"/>
    </row>
    <row r="392" spans="1:11">
      <c r="A392" s="93"/>
      <c r="B392" s="85" t="str">
        <f t="shared" ref="B392:B450" si="27">IFERROR(IF(VLOOKUP($A392,CTINTERVALO,2,0)=0,"",VLOOKUP($A392,CTINTERVALO,2,0)),"")</f>
        <v/>
      </c>
      <c r="C392" s="85" t="str">
        <f t="shared" ref="C392:C450" si="28">IF($B392="Não", "BLOQUEADO (Aguardar liberação)", IFERROR(IF(VLOOKUP($A392,CTINTERVALO,3,0)=0,"",VLOOKUP($A392,CTINTERVALO,3,0)),""))</f>
        <v/>
      </c>
      <c r="D392" s="85" t="str">
        <f t="shared" ref="D392:D450" si="29">IF($B392="Não", "BLOQUEADO (Aguardar liberação)", IFERROR(IF(VLOOKUP($A392,CTINTERVALO,4,0)=0,"",VLOOKUP($A392,CTINTERVALO,4,0)),""))</f>
        <v/>
      </c>
      <c r="E392" s="85" t="str">
        <f t="shared" si="26"/>
        <v/>
      </c>
      <c r="F392" s="85" t="str">
        <f t="shared" ref="F392:F450" si="30">IF($B392="Não", "BLOQUEADO (Aguardar liberação)", IFERROR(IF(VLOOKUP($A392,CTINTERVALO,6,0)=0,"",VLOOKUP($A392,CTINTERVALO,6,0)),""))</f>
        <v/>
      </c>
      <c r="G392" s="80"/>
      <c r="H392" s="80"/>
      <c r="I392" s="79"/>
      <c r="J392" s="79"/>
      <c r="K392" s="80"/>
    </row>
    <row r="393" spans="1:11">
      <c r="A393" s="93"/>
      <c r="B393" s="85" t="str">
        <f t="shared" si="27"/>
        <v/>
      </c>
      <c r="C393" s="85" t="str">
        <f t="shared" si="28"/>
        <v/>
      </c>
      <c r="D393" s="85" t="str">
        <f t="shared" si="29"/>
        <v/>
      </c>
      <c r="E393" s="85" t="str">
        <f t="shared" si="26"/>
        <v/>
      </c>
      <c r="F393" s="85" t="str">
        <f t="shared" si="30"/>
        <v/>
      </c>
      <c r="G393" s="80"/>
      <c r="H393" s="80"/>
      <c r="I393" s="79"/>
      <c r="J393" s="79"/>
      <c r="K393" s="80"/>
    </row>
    <row r="394" spans="1:11">
      <c r="A394" s="93"/>
      <c r="B394" s="85" t="str">
        <f t="shared" si="27"/>
        <v/>
      </c>
      <c r="C394" s="85" t="str">
        <f t="shared" si="28"/>
        <v/>
      </c>
      <c r="D394" s="85" t="str">
        <f t="shared" si="29"/>
        <v/>
      </c>
      <c r="E394" s="85" t="str">
        <f t="shared" si="26"/>
        <v/>
      </c>
      <c r="F394" s="85" t="str">
        <f t="shared" si="30"/>
        <v/>
      </c>
      <c r="G394" s="80"/>
      <c r="H394" s="80"/>
      <c r="I394" s="79"/>
      <c r="J394" s="79"/>
      <c r="K394" s="80"/>
    </row>
    <row r="395" spans="1:11">
      <c r="A395" s="93"/>
      <c r="B395" s="85" t="str">
        <f t="shared" si="27"/>
        <v/>
      </c>
      <c r="C395" s="85" t="str">
        <f t="shared" si="28"/>
        <v/>
      </c>
      <c r="D395" s="85" t="str">
        <f t="shared" si="29"/>
        <v/>
      </c>
      <c r="E395" s="85" t="str">
        <f t="shared" ref="E395:E426" si="31">IF($B395="Não", "BLOQUEADO (Aguardar liberação)", "")</f>
        <v/>
      </c>
      <c r="F395" s="85" t="str">
        <f t="shared" si="30"/>
        <v/>
      </c>
      <c r="G395" s="80"/>
      <c r="H395" s="80"/>
      <c r="I395" s="79"/>
      <c r="J395" s="79"/>
      <c r="K395" s="80"/>
    </row>
    <row r="396" spans="1:11">
      <c r="A396" s="93"/>
      <c r="B396" s="85" t="str">
        <f t="shared" si="27"/>
        <v/>
      </c>
      <c r="C396" s="85" t="str">
        <f t="shared" si="28"/>
        <v/>
      </c>
      <c r="D396" s="85" t="str">
        <f t="shared" si="29"/>
        <v/>
      </c>
      <c r="E396" s="85" t="str">
        <f t="shared" si="31"/>
        <v/>
      </c>
      <c r="F396" s="85" t="str">
        <f t="shared" si="30"/>
        <v/>
      </c>
      <c r="G396" s="80"/>
      <c r="H396" s="80"/>
      <c r="I396" s="79"/>
      <c r="J396" s="79"/>
      <c r="K396" s="80"/>
    </row>
    <row r="397" spans="1:11">
      <c r="A397" s="93"/>
      <c r="B397" s="85" t="str">
        <f t="shared" si="27"/>
        <v/>
      </c>
      <c r="C397" s="85" t="str">
        <f t="shared" si="28"/>
        <v/>
      </c>
      <c r="D397" s="85" t="str">
        <f t="shared" si="29"/>
        <v/>
      </c>
      <c r="E397" s="85" t="str">
        <f t="shared" si="31"/>
        <v/>
      </c>
      <c r="F397" s="85" t="str">
        <f t="shared" si="30"/>
        <v/>
      </c>
      <c r="G397" s="80"/>
      <c r="H397" s="80"/>
      <c r="I397" s="79"/>
      <c r="J397" s="79"/>
      <c r="K397" s="80"/>
    </row>
    <row r="398" spans="1:11">
      <c r="A398" s="93"/>
      <c r="B398" s="85" t="str">
        <f t="shared" si="27"/>
        <v/>
      </c>
      <c r="C398" s="85" t="str">
        <f t="shared" si="28"/>
        <v/>
      </c>
      <c r="D398" s="85" t="str">
        <f t="shared" si="29"/>
        <v/>
      </c>
      <c r="E398" s="85" t="str">
        <f t="shared" si="31"/>
        <v/>
      </c>
      <c r="F398" s="85" t="str">
        <f t="shared" si="30"/>
        <v/>
      </c>
      <c r="G398" s="80"/>
      <c r="H398" s="80"/>
      <c r="I398" s="79"/>
      <c r="J398" s="79"/>
      <c r="K398" s="80"/>
    </row>
    <row r="399" spans="1:11">
      <c r="A399" s="93"/>
      <c r="B399" s="85" t="str">
        <f t="shared" si="27"/>
        <v/>
      </c>
      <c r="C399" s="85" t="str">
        <f t="shared" si="28"/>
        <v/>
      </c>
      <c r="D399" s="85" t="str">
        <f t="shared" si="29"/>
        <v/>
      </c>
      <c r="E399" s="85" t="str">
        <f t="shared" si="31"/>
        <v/>
      </c>
      <c r="F399" s="85" t="str">
        <f t="shared" si="30"/>
        <v/>
      </c>
      <c r="G399" s="80"/>
      <c r="H399" s="80"/>
      <c r="I399" s="79"/>
      <c r="J399" s="79"/>
      <c r="K399" s="80"/>
    </row>
    <row r="400" spans="1:11">
      <c r="A400" s="93"/>
      <c r="B400" s="85" t="str">
        <f t="shared" si="27"/>
        <v/>
      </c>
      <c r="C400" s="85" t="str">
        <f t="shared" si="28"/>
        <v/>
      </c>
      <c r="D400" s="85" t="str">
        <f t="shared" si="29"/>
        <v/>
      </c>
      <c r="E400" s="85" t="str">
        <f t="shared" si="31"/>
        <v/>
      </c>
      <c r="F400" s="85" t="str">
        <f t="shared" si="30"/>
        <v/>
      </c>
      <c r="G400" s="80"/>
      <c r="H400" s="80"/>
      <c r="I400" s="79"/>
      <c r="J400" s="79"/>
      <c r="K400" s="80"/>
    </row>
    <row r="401" spans="1:11">
      <c r="A401" s="93"/>
      <c r="B401" s="85" t="str">
        <f t="shared" si="27"/>
        <v/>
      </c>
      <c r="C401" s="85" t="str">
        <f t="shared" si="28"/>
        <v/>
      </c>
      <c r="D401" s="85" t="str">
        <f t="shared" si="29"/>
        <v/>
      </c>
      <c r="E401" s="85" t="str">
        <f t="shared" si="31"/>
        <v/>
      </c>
      <c r="F401" s="85" t="str">
        <f t="shared" si="30"/>
        <v/>
      </c>
      <c r="G401" s="80" t="str">
        <f t="shared" ref="G401:G432" si="32">IF($B401="Não", "BLOQUEADO (Aguardar liberação)", "")</f>
        <v/>
      </c>
      <c r="H401" s="80"/>
      <c r="I401" s="79"/>
      <c r="J401" s="79"/>
      <c r="K401" s="80"/>
    </row>
    <row r="402" spans="1:11">
      <c r="A402" s="93"/>
      <c r="B402" s="85" t="str">
        <f t="shared" si="27"/>
        <v/>
      </c>
      <c r="C402" s="85" t="str">
        <f t="shared" si="28"/>
        <v/>
      </c>
      <c r="D402" s="85" t="str">
        <f t="shared" si="29"/>
        <v/>
      </c>
      <c r="E402" s="85" t="str">
        <f t="shared" si="31"/>
        <v/>
      </c>
      <c r="F402" s="85" t="str">
        <f t="shared" si="30"/>
        <v/>
      </c>
      <c r="G402" s="80" t="str">
        <f t="shared" si="32"/>
        <v/>
      </c>
      <c r="H402" s="80"/>
      <c r="I402" s="79"/>
      <c r="J402" s="79"/>
      <c r="K402" s="80"/>
    </row>
    <row r="403" spans="1:11">
      <c r="A403" s="93"/>
      <c r="B403" s="85" t="str">
        <f t="shared" si="27"/>
        <v/>
      </c>
      <c r="C403" s="85" t="str">
        <f t="shared" si="28"/>
        <v/>
      </c>
      <c r="D403" s="85" t="str">
        <f t="shared" si="29"/>
        <v/>
      </c>
      <c r="E403" s="85" t="str">
        <f t="shared" si="31"/>
        <v/>
      </c>
      <c r="F403" s="85" t="str">
        <f t="shared" si="30"/>
        <v/>
      </c>
      <c r="G403" s="80" t="str">
        <f t="shared" si="32"/>
        <v/>
      </c>
      <c r="H403" s="80"/>
      <c r="I403" s="79"/>
      <c r="J403" s="79"/>
      <c r="K403" s="80"/>
    </row>
    <row r="404" spans="1:11">
      <c r="A404" s="93"/>
      <c r="B404" s="85" t="str">
        <f t="shared" si="27"/>
        <v/>
      </c>
      <c r="C404" s="85" t="str">
        <f t="shared" si="28"/>
        <v/>
      </c>
      <c r="D404" s="85" t="str">
        <f t="shared" si="29"/>
        <v/>
      </c>
      <c r="E404" s="85" t="str">
        <f t="shared" si="31"/>
        <v/>
      </c>
      <c r="F404" s="85" t="str">
        <f t="shared" si="30"/>
        <v/>
      </c>
      <c r="G404" s="80" t="str">
        <f t="shared" si="32"/>
        <v/>
      </c>
      <c r="H404" s="80"/>
      <c r="I404" s="79"/>
      <c r="J404" s="79"/>
      <c r="K404" s="80"/>
    </row>
    <row r="405" spans="1:11">
      <c r="A405" s="93"/>
      <c r="B405" s="85" t="str">
        <f t="shared" si="27"/>
        <v/>
      </c>
      <c r="C405" s="85" t="str">
        <f t="shared" si="28"/>
        <v/>
      </c>
      <c r="D405" s="85" t="str">
        <f t="shared" si="29"/>
        <v/>
      </c>
      <c r="E405" s="85" t="str">
        <f t="shared" si="31"/>
        <v/>
      </c>
      <c r="F405" s="85" t="str">
        <f t="shared" si="30"/>
        <v/>
      </c>
      <c r="G405" s="80" t="str">
        <f t="shared" si="32"/>
        <v/>
      </c>
      <c r="H405" s="80"/>
      <c r="I405" s="79"/>
      <c r="J405" s="79"/>
      <c r="K405" s="80"/>
    </row>
    <row r="406" spans="1:11">
      <c r="A406" s="93"/>
      <c r="B406" s="85" t="str">
        <f t="shared" si="27"/>
        <v/>
      </c>
      <c r="C406" s="85" t="str">
        <f t="shared" si="28"/>
        <v/>
      </c>
      <c r="D406" s="85" t="str">
        <f t="shared" si="29"/>
        <v/>
      </c>
      <c r="E406" s="85" t="str">
        <f t="shared" si="31"/>
        <v/>
      </c>
      <c r="F406" s="85" t="str">
        <f t="shared" si="30"/>
        <v/>
      </c>
      <c r="G406" s="80" t="str">
        <f t="shared" si="32"/>
        <v/>
      </c>
      <c r="H406" s="80"/>
      <c r="I406" s="79"/>
      <c r="J406" s="79"/>
      <c r="K406" s="80"/>
    </row>
    <row r="407" spans="1:11">
      <c r="A407" s="93"/>
      <c r="B407" s="85" t="str">
        <f t="shared" si="27"/>
        <v/>
      </c>
      <c r="C407" s="85" t="str">
        <f t="shared" si="28"/>
        <v/>
      </c>
      <c r="D407" s="85" t="str">
        <f t="shared" si="29"/>
        <v/>
      </c>
      <c r="E407" s="85" t="str">
        <f t="shared" si="31"/>
        <v/>
      </c>
      <c r="F407" s="85" t="str">
        <f t="shared" si="30"/>
        <v/>
      </c>
      <c r="G407" s="80" t="str">
        <f t="shared" si="32"/>
        <v/>
      </c>
      <c r="H407" s="80"/>
      <c r="I407" s="79"/>
      <c r="J407" s="79"/>
      <c r="K407" s="80"/>
    </row>
    <row r="408" spans="1:11">
      <c r="A408" s="93"/>
      <c r="B408" s="85" t="str">
        <f t="shared" si="27"/>
        <v/>
      </c>
      <c r="C408" s="85" t="str">
        <f t="shared" si="28"/>
        <v/>
      </c>
      <c r="D408" s="85" t="str">
        <f t="shared" si="29"/>
        <v/>
      </c>
      <c r="E408" s="85" t="str">
        <f t="shared" si="31"/>
        <v/>
      </c>
      <c r="F408" s="85" t="str">
        <f t="shared" si="30"/>
        <v/>
      </c>
      <c r="G408" s="80" t="str">
        <f t="shared" si="32"/>
        <v/>
      </c>
      <c r="H408" s="80"/>
      <c r="I408" s="79"/>
      <c r="J408" s="79"/>
      <c r="K408" s="80"/>
    </row>
    <row r="409" spans="1:11">
      <c r="A409" s="93"/>
      <c r="B409" s="85" t="str">
        <f t="shared" si="27"/>
        <v/>
      </c>
      <c r="C409" s="85" t="str">
        <f t="shared" si="28"/>
        <v/>
      </c>
      <c r="D409" s="85" t="str">
        <f t="shared" si="29"/>
        <v/>
      </c>
      <c r="E409" s="85" t="str">
        <f t="shared" si="31"/>
        <v/>
      </c>
      <c r="F409" s="85" t="str">
        <f t="shared" si="30"/>
        <v/>
      </c>
      <c r="G409" s="80" t="str">
        <f t="shared" si="32"/>
        <v/>
      </c>
      <c r="H409" s="80"/>
      <c r="I409" s="79"/>
      <c r="J409" s="79"/>
      <c r="K409" s="80"/>
    </row>
    <row r="410" spans="1:11">
      <c r="A410" s="93"/>
      <c r="B410" s="85" t="str">
        <f t="shared" si="27"/>
        <v/>
      </c>
      <c r="C410" s="85" t="str">
        <f t="shared" si="28"/>
        <v/>
      </c>
      <c r="D410" s="85" t="str">
        <f t="shared" si="29"/>
        <v/>
      </c>
      <c r="E410" s="85" t="str">
        <f t="shared" si="31"/>
        <v/>
      </c>
      <c r="F410" s="85" t="str">
        <f t="shared" si="30"/>
        <v/>
      </c>
      <c r="G410" s="80" t="str">
        <f t="shared" si="32"/>
        <v/>
      </c>
      <c r="H410" s="80"/>
      <c r="I410" s="79"/>
      <c r="J410" s="79"/>
      <c r="K410" s="80"/>
    </row>
    <row r="411" spans="1:11">
      <c r="A411" s="93"/>
      <c r="B411" s="85" t="str">
        <f t="shared" si="27"/>
        <v/>
      </c>
      <c r="C411" s="85" t="str">
        <f t="shared" si="28"/>
        <v/>
      </c>
      <c r="D411" s="85" t="str">
        <f t="shared" si="29"/>
        <v/>
      </c>
      <c r="E411" s="85" t="str">
        <f t="shared" si="31"/>
        <v/>
      </c>
      <c r="F411" s="85" t="str">
        <f t="shared" si="30"/>
        <v/>
      </c>
      <c r="G411" s="80" t="str">
        <f t="shared" si="32"/>
        <v/>
      </c>
      <c r="H411" s="80"/>
      <c r="I411" s="79"/>
      <c r="J411" s="79"/>
      <c r="K411" s="80"/>
    </row>
    <row r="412" spans="1:11">
      <c r="A412" s="93"/>
      <c r="B412" s="85" t="str">
        <f t="shared" si="27"/>
        <v/>
      </c>
      <c r="C412" s="85" t="str">
        <f t="shared" si="28"/>
        <v/>
      </c>
      <c r="D412" s="85" t="str">
        <f t="shared" si="29"/>
        <v/>
      </c>
      <c r="E412" s="85" t="str">
        <f t="shared" si="31"/>
        <v/>
      </c>
      <c r="F412" s="85" t="str">
        <f t="shared" si="30"/>
        <v/>
      </c>
      <c r="G412" s="80" t="str">
        <f t="shared" si="32"/>
        <v/>
      </c>
      <c r="H412" s="80"/>
      <c r="I412" s="79"/>
      <c r="J412" s="79"/>
      <c r="K412" s="80"/>
    </row>
    <row r="413" spans="1:11">
      <c r="A413" s="93"/>
      <c r="B413" s="85" t="str">
        <f t="shared" si="27"/>
        <v/>
      </c>
      <c r="C413" s="85" t="str">
        <f t="shared" si="28"/>
        <v/>
      </c>
      <c r="D413" s="85" t="str">
        <f t="shared" si="29"/>
        <v/>
      </c>
      <c r="E413" s="85" t="str">
        <f t="shared" si="31"/>
        <v/>
      </c>
      <c r="F413" s="85" t="str">
        <f t="shared" si="30"/>
        <v/>
      </c>
      <c r="G413" s="80" t="str">
        <f t="shared" si="32"/>
        <v/>
      </c>
      <c r="H413" s="80"/>
      <c r="I413" s="79"/>
      <c r="J413" s="79"/>
      <c r="K413" s="80"/>
    </row>
    <row r="414" spans="1:11">
      <c r="A414" s="93"/>
      <c r="B414" s="85" t="str">
        <f t="shared" si="27"/>
        <v/>
      </c>
      <c r="C414" s="85" t="str">
        <f t="shared" si="28"/>
        <v/>
      </c>
      <c r="D414" s="85" t="str">
        <f t="shared" si="29"/>
        <v/>
      </c>
      <c r="E414" s="85" t="str">
        <f t="shared" si="31"/>
        <v/>
      </c>
      <c r="F414" s="85" t="str">
        <f t="shared" si="30"/>
        <v/>
      </c>
      <c r="G414" s="80" t="str">
        <f t="shared" si="32"/>
        <v/>
      </c>
      <c r="H414" s="80"/>
      <c r="I414" s="79"/>
      <c r="J414" s="79"/>
      <c r="K414" s="80"/>
    </row>
    <row r="415" spans="1:11">
      <c r="A415" s="93"/>
      <c r="B415" s="85" t="str">
        <f t="shared" si="27"/>
        <v/>
      </c>
      <c r="C415" s="85" t="str">
        <f t="shared" si="28"/>
        <v/>
      </c>
      <c r="D415" s="85" t="str">
        <f t="shared" si="29"/>
        <v/>
      </c>
      <c r="E415" s="85" t="str">
        <f t="shared" si="31"/>
        <v/>
      </c>
      <c r="F415" s="85" t="str">
        <f t="shared" si="30"/>
        <v/>
      </c>
      <c r="G415" s="80" t="str">
        <f t="shared" si="32"/>
        <v/>
      </c>
      <c r="H415" s="80"/>
      <c r="I415" s="79"/>
      <c r="J415" s="79"/>
      <c r="K415" s="80"/>
    </row>
    <row r="416" spans="1:11">
      <c r="A416" s="93"/>
      <c r="B416" s="85" t="str">
        <f t="shared" si="27"/>
        <v/>
      </c>
      <c r="C416" s="85" t="str">
        <f t="shared" si="28"/>
        <v/>
      </c>
      <c r="D416" s="85" t="str">
        <f t="shared" si="29"/>
        <v/>
      </c>
      <c r="E416" s="85" t="str">
        <f t="shared" si="31"/>
        <v/>
      </c>
      <c r="F416" s="85" t="str">
        <f t="shared" si="30"/>
        <v/>
      </c>
      <c r="G416" s="80" t="str">
        <f t="shared" si="32"/>
        <v/>
      </c>
      <c r="H416" s="80"/>
      <c r="I416" s="79"/>
      <c r="J416" s="79"/>
      <c r="K416" s="80"/>
    </row>
    <row r="417" spans="1:11">
      <c r="A417" s="93"/>
      <c r="B417" s="85" t="str">
        <f t="shared" si="27"/>
        <v/>
      </c>
      <c r="C417" s="85" t="str">
        <f t="shared" si="28"/>
        <v/>
      </c>
      <c r="D417" s="85" t="str">
        <f t="shared" si="29"/>
        <v/>
      </c>
      <c r="E417" s="85" t="str">
        <f t="shared" si="31"/>
        <v/>
      </c>
      <c r="F417" s="85" t="str">
        <f t="shared" si="30"/>
        <v/>
      </c>
      <c r="G417" s="80" t="str">
        <f t="shared" si="32"/>
        <v/>
      </c>
      <c r="H417" s="80"/>
      <c r="I417" s="79"/>
      <c r="J417" s="79"/>
      <c r="K417" s="80"/>
    </row>
    <row r="418" spans="1:11">
      <c r="A418" s="93"/>
      <c r="B418" s="85" t="str">
        <f t="shared" si="27"/>
        <v/>
      </c>
      <c r="C418" s="85" t="str">
        <f t="shared" si="28"/>
        <v/>
      </c>
      <c r="D418" s="85" t="str">
        <f t="shared" si="29"/>
        <v/>
      </c>
      <c r="E418" s="85" t="str">
        <f t="shared" si="31"/>
        <v/>
      </c>
      <c r="F418" s="85" t="str">
        <f t="shared" si="30"/>
        <v/>
      </c>
      <c r="G418" s="80" t="str">
        <f t="shared" si="32"/>
        <v/>
      </c>
      <c r="H418" s="80"/>
      <c r="I418" s="79"/>
      <c r="J418" s="79"/>
      <c r="K418" s="80"/>
    </row>
    <row r="419" spans="1:11">
      <c r="A419" s="93"/>
      <c r="B419" s="85" t="str">
        <f t="shared" si="27"/>
        <v/>
      </c>
      <c r="C419" s="85" t="str">
        <f t="shared" si="28"/>
        <v/>
      </c>
      <c r="D419" s="85" t="str">
        <f t="shared" si="29"/>
        <v/>
      </c>
      <c r="E419" s="85" t="str">
        <f t="shared" si="31"/>
        <v/>
      </c>
      <c r="F419" s="85" t="str">
        <f t="shared" si="30"/>
        <v/>
      </c>
      <c r="G419" s="80" t="str">
        <f t="shared" si="32"/>
        <v/>
      </c>
      <c r="H419" s="80"/>
      <c r="I419" s="79"/>
      <c r="J419" s="79"/>
      <c r="K419" s="80"/>
    </row>
    <row r="420" spans="1:11">
      <c r="A420" s="93"/>
      <c r="B420" s="85" t="str">
        <f t="shared" si="27"/>
        <v/>
      </c>
      <c r="C420" s="85" t="str">
        <f t="shared" si="28"/>
        <v/>
      </c>
      <c r="D420" s="85" t="str">
        <f t="shared" si="29"/>
        <v/>
      </c>
      <c r="E420" s="85" t="str">
        <f t="shared" si="31"/>
        <v/>
      </c>
      <c r="F420" s="85" t="str">
        <f t="shared" si="30"/>
        <v/>
      </c>
      <c r="G420" s="80" t="str">
        <f t="shared" si="32"/>
        <v/>
      </c>
      <c r="H420" s="80"/>
      <c r="I420" s="79"/>
      <c r="J420" s="79"/>
      <c r="K420" s="80"/>
    </row>
    <row r="421" spans="1:11">
      <c r="A421" s="93"/>
      <c r="B421" s="85" t="str">
        <f t="shared" si="27"/>
        <v/>
      </c>
      <c r="C421" s="85" t="str">
        <f t="shared" si="28"/>
        <v/>
      </c>
      <c r="D421" s="85" t="str">
        <f t="shared" si="29"/>
        <v/>
      </c>
      <c r="E421" s="85" t="str">
        <f t="shared" si="31"/>
        <v/>
      </c>
      <c r="F421" s="85" t="str">
        <f t="shared" si="30"/>
        <v/>
      </c>
      <c r="G421" s="80" t="str">
        <f t="shared" si="32"/>
        <v/>
      </c>
      <c r="H421" s="80"/>
      <c r="I421" s="79"/>
      <c r="J421" s="79"/>
      <c r="K421" s="80"/>
    </row>
    <row r="422" spans="1:11">
      <c r="A422" s="93"/>
      <c r="B422" s="85" t="str">
        <f t="shared" si="27"/>
        <v/>
      </c>
      <c r="C422" s="85" t="str">
        <f t="shared" si="28"/>
        <v/>
      </c>
      <c r="D422" s="85" t="str">
        <f t="shared" si="29"/>
        <v/>
      </c>
      <c r="E422" s="85" t="str">
        <f t="shared" si="31"/>
        <v/>
      </c>
      <c r="F422" s="85" t="str">
        <f t="shared" si="30"/>
        <v/>
      </c>
      <c r="G422" s="80" t="str">
        <f t="shared" si="32"/>
        <v/>
      </c>
      <c r="H422" s="80"/>
      <c r="I422" s="79"/>
      <c r="J422" s="79"/>
      <c r="K422" s="80"/>
    </row>
    <row r="423" spans="1:11">
      <c r="A423" s="93"/>
      <c r="B423" s="85" t="str">
        <f t="shared" si="27"/>
        <v/>
      </c>
      <c r="C423" s="85" t="str">
        <f t="shared" si="28"/>
        <v/>
      </c>
      <c r="D423" s="85" t="str">
        <f t="shared" si="29"/>
        <v/>
      </c>
      <c r="E423" s="85" t="str">
        <f t="shared" si="31"/>
        <v/>
      </c>
      <c r="F423" s="85" t="str">
        <f t="shared" si="30"/>
        <v/>
      </c>
      <c r="G423" s="80" t="str">
        <f t="shared" si="32"/>
        <v/>
      </c>
      <c r="H423" s="80"/>
      <c r="I423" s="79"/>
      <c r="J423" s="79"/>
      <c r="K423" s="80"/>
    </row>
    <row r="424" spans="1:11">
      <c r="A424" s="93"/>
      <c r="B424" s="85" t="str">
        <f t="shared" si="27"/>
        <v/>
      </c>
      <c r="C424" s="85" t="str">
        <f t="shared" si="28"/>
        <v/>
      </c>
      <c r="D424" s="85" t="str">
        <f t="shared" si="29"/>
        <v/>
      </c>
      <c r="E424" s="85" t="str">
        <f t="shared" si="31"/>
        <v/>
      </c>
      <c r="F424" s="85" t="str">
        <f t="shared" si="30"/>
        <v/>
      </c>
      <c r="G424" s="80" t="str">
        <f t="shared" si="32"/>
        <v/>
      </c>
      <c r="H424" s="80"/>
      <c r="I424" s="79"/>
      <c r="J424" s="79"/>
      <c r="K424" s="80"/>
    </row>
    <row r="425" spans="1:11">
      <c r="A425" s="93"/>
      <c r="B425" s="85" t="str">
        <f t="shared" si="27"/>
        <v/>
      </c>
      <c r="C425" s="85" t="str">
        <f t="shared" si="28"/>
        <v/>
      </c>
      <c r="D425" s="85" t="str">
        <f t="shared" si="29"/>
        <v/>
      </c>
      <c r="E425" s="85" t="str">
        <f t="shared" si="31"/>
        <v/>
      </c>
      <c r="F425" s="85" t="str">
        <f t="shared" si="30"/>
        <v/>
      </c>
      <c r="G425" s="80" t="str">
        <f t="shared" si="32"/>
        <v/>
      </c>
      <c r="H425" s="80"/>
      <c r="I425" s="79"/>
      <c r="J425" s="79"/>
      <c r="K425" s="80"/>
    </row>
    <row r="426" spans="1:11">
      <c r="A426" s="93"/>
      <c r="B426" s="85" t="str">
        <f t="shared" si="27"/>
        <v/>
      </c>
      <c r="C426" s="85" t="str">
        <f t="shared" si="28"/>
        <v/>
      </c>
      <c r="D426" s="85" t="str">
        <f t="shared" si="29"/>
        <v/>
      </c>
      <c r="E426" s="85" t="str">
        <f t="shared" si="31"/>
        <v/>
      </c>
      <c r="F426" s="85" t="str">
        <f t="shared" si="30"/>
        <v/>
      </c>
      <c r="G426" s="80" t="str">
        <f t="shared" si="32"/>
        <v/>
      </c>
      <c r="H426" s="80"/>
      <c r="I426" s="79"/>
      <c r="J426" s="79"/>
      <c r="K426" s="80"/>
    </row>
    <row r="427" spans="1:11">
      <c r="A427" s="93"/>
      <c r="B427" s="85" t="str">
        <f t="shared" si="27"/>
        <v/>
      </c>
      <c r="C427" s="85" t="str">
        <f t="shared" si="28"/>
        <v/>
      </c>
      <c r="D427" s="85" t="str">
        <f t="shared" si="29"/>
        <v/>
      </c>
      <c r="E427" s="85" t="str">
        <f t="shared" ref="E427:E450" si="33">IF($B427="Não", "BLOQUEADO (Aguardar liberação)", "")</f>
        <v/>
      </c>
      <c r="F427" s="85" t="str">
        <f t="shared" si="30"/>
        <v/>
      </c>
      <c r="G427" s="80" t="str">
        <f t="shared" si="32"/>
        <v/>
      </c>
      <c r="H427" s="80"/>
      <c r="I427" s="79"/>
      <c r="J427" s="79"/>
      <c r="K427" s="80"/>
    </row>
    <row r="428" spans="1:11">
      <c r="A428" s="93"/>
      <c r="B428" s="85" t="str">
        <f t="shared" si="27"/>
        <v/>
      </c>
      <c r="C428" s="85" t="str">
        <f t="shared" si="28"/>
        <v/>
      </c>
      <c r="D428" s="85" t="str">
        <f t="shared" si="29"/>
        <v/>
      </c>
      <c r="E428" s="85" t="str">
        <f t="shared" si="33"/>
        <v/>
      </c>
      <c r="F428" s="85" t="str">
        <f t="shared" si="30"/>
        <v/>
      </c>
      <c r="G428" s="80" t="str">
        <f t="shared" si="32"/>
        <v/>
      </c>
      <c r="H428" s="80"/>
      <c r="I428" s="79"/>
      <c r="J428" s="79"/>
      <c r="K428" s="80"/>
    </row>
    <row r="429" spans="1:11">
      <c r="A429" s="93"/>
      <c r="B429" s="85" t="str">
        <f t="shared" si="27"/>
        <v/>
      </c>
      <c r="C429" s="85" t="str">
        <f t="shared" si="28"/>
        <v/>
      </c>
      <c r="D429" s="85" t="str">
        <f t="shared" si="29"/>
        <v/>
      </c>
      <c r="E429" s="85" t="str">
        <f t="shared" si="33"/>
        <v/>
      </c>
      <c r="F429" s="85" t="str">
        <f t="shared" si="30"/>
        <v/>
      </c>
      <c r="G429" s="80" t="str">
        <f t="shared" si="32"/>
        <v/>
      </c>
      <c r="H429" s="80"/>
      <c r="I429" s="79"/>
      <c r="J429" s="79"/>
      <c r="K429" s="80"/>
    </row>
    <row r="430" spans="1:11">
      <c r="A430" s="93"/>
      <c r="B430" s="85" t="str">
        <f t="shared" si="27"/>
        <v/>
      </c>
      <c r="C430" s="85" t="str">
        <f t="shared" si="28"/>
        <v/>
      </c>
      <c r="D430" s="85" t="str">
        <f t="shared" si="29"/>
        <v/>
      </c>
      <c r="E430" s="85" t="str">
        <f t="shared" si="33"/>
        <v/>
      </c>
      <c r="F430" s="85" t="str">
        <f t="shared" si="30"/>
        <v/>
      </c>
      <c r="G430" s="80" t="str">
        <f t="shared" si="32"/>
        <v/>
      </c>
      <c r="H430" s="80"/>
      <c r="I430" s="79"/>
      <c r="J430" s="79"/>
      <c r="K430" s="80"/>
    </row>
    <row r="431" spans="1:11">
      <c r="A431" s="93"/>
      <c r="B431" s="85" t="str">
        <f t="shared" si="27"/>
        <v/>
      </c>
      <c r="C431" s="85" t="str">
        <f t="shared" si="28"/>
        <v/>
      </c>
      <c r="D431" s="85" t="str">
        <f t="shared" si="29"/>
        <v/>
      </c>
      <c r="E431" s="85" t="str">
        <f t="shared" si="33"/>
        <v/>
      </c>
      <c r="F431" s="85" t="str">
        <f t="shared" si="30"/>
        <v/>
      </c>
      <c r="G431" s="80" t="str">
        <f t="shared" si="32"/>
        <v/>
      </c>
      <c r="H431" s="80"/>
      <c r="I431" s="79"/>
      <c r="J431" s="79"/>
      <c r="K431" s="80"/>
    </row>
    <row r="432" spans="1:11">
      <c r="A432" s="93"/>
      <c r="B432" s="85" t="str">
        <f t="shared" si="27"/>
        <v/>
      </c>
      <c r="C432" s="85" t="str">
        <f t="shared" si="28"/>
        <v/>
      </c>
      <c r="D432" s="85" t="str">
        <f t="shared" si="29"/>
        <v/>
      </c>
      <c r="E432" s="85" t="str">
        <f t="shared" si="33"/>
        <v/>
      </c>
      <c r="F432" s="85" t="str">
        <f t="shared" si="30"/>
        <v/>
      </c>
      <c r="G432" s="80" t="str">
        <f t="shared" si="32"/>
        <v/>
      </c>
      <c r="H432" s="80"/>
      <c r="I432" s="79"/>
      <c r="J432" s="79"/>
      <c r="K432" s="80"/>
    </row>
    <row r="433" spans="1:11">
      <c r="A433" s="93"/>
      <c r="B433" s="85" t="str">
        <f t="shared" si="27"/>
        <v/>
      </c>
      <c r="C433" s="85" t="str">
        <f t="shared" si="28"/>
        <v/>
      </c>
      <c r="D433" s="85" t="str">
        <f t="shared" si="29"/>
        <v/>
      </c>
      <c r="E433" s="85" t="str">
        <f t="shared" si="33"/>
        <v/>
      </c>
      <c r="F433" s="85" t="str">
        <f t="shared" si="30"/>
        <v/>
      </c>
      <c r="G433" s="80" t="str">
        <f t="shared" ref="G433:G450" si="34">IF($B433="Não", "BLOQUEADO (Aguardar liberação)", "")</f>
        <v/>
      </c>
      <c r="H433" s="80"/>
      <c r="I433" s="79"/>
      <c r="J433" s="79"/>
      <c r="K433" s="80"/>
    </row>
    <row r="434" spans="1:11">
      <c r="A434" s="93"/>
      <c r="B434" s="85" t="str">
        <f t="shared" si="27"/>
        <v/>
      </c>
      <c r="C434" s="85" t="str">
        <f t="shared" si="28"/>
        <v/>
      </c>
      <c r="D434" s="85" t="str">
        <f t="shared" si="29"/>
        <v/>
      </c>
      <c r="E434" s="85" t="str">
        <f t="shared" si="33"/>
        <v/>
      </c>
      <c r="F434" s="85" t="str">
        <f t="shared" si="30"/>
        <v/>
      </c>
      <c r="G434" s="80" t="str">
        <f t="shared" si="34"/>
        <v/>
      </c>
      <c r="H434" s="80"/>
      <c r="I434" s="79"/>
      <c r="J434" s="79"/>
      <c r="K434" s="80"/>
    </row>
    <row r="435" spans="1:11">
      <c r="A435" s="93"/>
      <c r="B435" s="85" t="str">
        <f t="shared" si="27"/>
        <v/>
      </c>
      <c r="C435" s="85" t="str">
        <f t="shared" si="28"/>
        <v/>
      </c>
      <c r="D435" s="85" t="str">
        <f t="shared" si="29"/>
        <v/>
      </c>
      <c r="E435" s="85" t="str">
        <f t="shared" si="33"/>
        <v/>
      </c>
      <c r="F435" s="85" t="str">
        <f t="shared" si="30"/>
        <v/>
      </c>
      <c r="G435" s="80" t="str">
        <f t="shared" si="34"/>
        <v/>
      </c>
      <c r="H435" s="80"/>
      <c r="I435" s="79"/>
      <c r="J435" s="79"/>
      <c r="K435" s="80"/>
    </row>
    <row r="436" spans="1:11">
      <c r="A436" s="93"/>
      <c r="B436" s="85" t="str">
        <f t="shared" si="27"/>
        <v/>
      </c>
      <c r="C436" s="85" t="str">
        <f t="shared" si="28"/>
        <v/>
      </c>
      <c r="D436" s="85" t="str">
        <f t="shared" si="29"/>
        <v/>
      </c>
      <c r="E436" s="85" t="str">
        <f t="shared" si="33"/>
        <v/>
      </c>
      <c r="F436" s="85" t="str">
        <f t="shared" si="30"/>
        <v/>
      </c>
      <c r="G436" s="80" t="str">
        <f t="shared" si="34"/>
        <v/>
      </c>
      <c r="H436" s="80"/>
      <c r="I436" s="79"/>
      <c r="J436" s="79"/>
      <c r="K436" s="80"/>
    </row>
    <row r="437" spans="1:11">
      <c r="A437" s="93"/>
      <c r="B437" s="85" t="str">
        <f t="shared" si="27"/>
        <v/>
      </c>
      <c r="C437" s="85" t="str">
        <f t="shared" si="28"/>
        <v/>
      </c>
      <c r="D437" s="85" t="str">
        <f t="shared" si="29"/>
        <v/>
      </c>
      <c r="E437" s="85" t="str">
        <f t="shared" si="33"/>
        <v/>
      </c>
      <c r="F437" s="85" t="str">
        <f t="shared" si="30"/>
        <v/>
      </c>
      <c r="G437" s="80" t="str">
        <f t="shared" si="34"/>
        <v/>
      </c>
      <c r="H437" s="80"/>
      <c r="I437" s="79"/>
      <c r="J437" s="79"/>
      <c r="K437" s="80"/>
    </row>
    <row r="438" spans="1:11">
      <c r="A438" s="93"/>
      <c r="B438" s="85" t="str">
        <f t="shared" si="27"/>
        <v/>
      </c>
      <c r="C438" s="85" t="str">
        <f t="shared" si="28"/>
        <v/>
      </c>
      <c r="D438" s="85" t="str">
        <f t="shared" si="29"/>
        <v/>
      </c>
      <c r="E438" s="85" t="str">
        <f t="shared" si="33"/>
        <v/>
      </c>
      <c r="F438" s="85" t="str">
        <f t="shared" si="30"/>
        <v/>
      </c>
      <c r="G438" s="80" t="str">
        <f t="shared" si="34"/>
        <v/>
      </c>
      <c r="H438" s="80"/>
      <c r="I438" s="79"/>
      <c r="J438" s="79"/>
      <c r="K438" s="80"/>
    </row>
    <row r="439" spans="1:11">
      <c r="A439" s="93"/>
      <c r="B439" s="85" t="str">
        <f t="shared" si="27"/>
        <v/>
      </c>
      <c r="C439" s="85" t="str">
        <f t="shared" si="28"/>
        <v/>
      </c>
      <c r="D439" s="85" t="str">
        <f t="shared" si="29"/>
        <v/>
      </c>
      <c r="E439" s="85" t="str">
        <f t="shared" si="33"/>
        <v/>
      </c>
      <c r="F439" s="85" t="str">
        <f t="shared" si="30"/>
        <v/>
      </c>
      <c r="G439" s="80" t="str">
        <f t="shared" si="34"/>
        <v/>
      </c>
      <c r="H439" s="80"/>
      <c r="I439" s="79"/>
      <c r="J439" s="79"/>
      <c r="K439" s="80"/>
    </row>
    <row r="440" spans="1:11">
      <c r="A440" s="93"/>
      <c r="B440" s="85" t="str">
        <f t="shared" si="27"/>
        <v/>
      </c>
      <c r="C440" s="85" t="str">
        <f t="shared" si="28"/>
        <v/>
      </c>
      <c r="D440" s="85" t="str">
        <f t="shared" si="29"/>
        <v/>
      </c>
      <c r="E440" s="85" t="str">
        <f t="shared" si="33"/>
        <v/>
      </c>
      <c r="F440" s="85" t="str">
        <f t="shared" si="30"/>
        <v/>
      </c>
      <c r="G440" s="80" t="str">
        <f t="shared" si="34"/>
        <v/>
      </c>
      <c r="H440" s="80"/>
      <c r="I440" s="79"/>
      <c r="J440" s="79"/>
      <c r="K440" s="80"/>
    </row>
    <row r="441" spans="1:11">
      <c r="A441" s="93"/>
      <c r="B441" s="85" t="str">
        <f t="shared" si="27"/>
        <v/>
      </c>
      <c r="C441" s="85" t="str">
        <f t="shared" si="28"/>
        <v/>
      </c>
      <c r="D441" s="85" t="str">
        <f t="shared" si="29"/>
        <v/>
      </c>
      <c r="E441" s="85" t="str">
        <f t="shared" si="33"/>
        <v/>
      </c>
      <c r="F441" s="85" t="str">
        <f t="shared" si="30"/>
        <v/>
      </c>
      <c r="G441" s="80" t="str">
        <f t="shared" si="34"/>
        <v/>
      </c>
      <c r="H441" s="80"/>
      <c r="I441" s="79"/>
      <c r="J441" s="79"/>
      <c r="K441" s="80"/>
    </row>
    <row r="442" spans="1:11">
      <c r="A442" s="93"/>
      <c r="B442" s="85" t="str">
        <f t="shared" si="27"/>
        <v/>
      </c>
      <c r="C442" s="85" t="str">
        <f t="shared" si="28"/>
        <v/>
      </c>
      <c r="D442" s="85" t="str">
        <f t="shared" si="29"/>
        <v/>
      </c>
      <c r="E442" s="85" t="str">
        <f t="shared" si="33"/>
        <v/>
      </c>
      <c r="F442" s="85" t="str">
        <f t="shared" si="30"/>
        <v/>
      </c>
      <c r="G442" s="80" t="str">
        <f t="shared" si="34"/>
        <v/>
      </c>
      <c r="H442" s="80"/>
      <c r="I442" s="79"/>
      <c r="J442" s="79"/>
      <c r="K442" s="80"/>
    </row>
    <row r="443" spans="1:11">
      <c r="A443" s="93"/>
      <c r="B443" s="85" t="str">
        <f t="shared" si="27"/>
        <v/>
      </c>
      <c r="C443" s="85" t="str">
        <f t="shared" si="28"/>
        <v/>
      </c>
      <c r="D443" s="85" t="str">
        <f t="shared" si="29"/>
        <v/>
      </c>
      <c r="E443" s="85" t="str">
        <f t="shared" si="33"/>
        <v/>
      </c>
      <c r="F443" s="85" t="str">
        <f t="shared" si="30"/>
        <v/>
      </c>
      <c r="G443" s="80" t="str">
        <f t="shared" si="34"/>
        <v/>
      </c>
      <c r="H443" s="80"/>
      <c r="I443" s="79"/>
      <c r="J443" s="79"/>
      <c r="K443" s="80"/>
    </row>
    <row r="444" spans="1:11">
      <c r="A444" s="93"/>
      <c r="B444" s="85" t="str">
        <f t="shared" si="27"/>
        <v/>
      </c>
      <c r="C444" s="85" t="str">
        <f t="shared" si="28"/>
        <v/>
      </c>
      <c r="D444" s="85" t="str">
        <f t="shared" si="29"/>
        <v/>
      </c>
      <c r="E444" s="85" t="str">
        <f t="shared" si="33"/>
        <v/>
      </c>
      <c r="F444" s="85" t="str">
        <f t="shared" si="30"/>
        <v/>
      </c>
      <c r="G444" s="80" t="str">
        <f t="shared" si="34"/>
        <v/>
      </c>
      <c r="H444" s="80"/>
      <c r="I444" s="79"/>
      <c r="J444" s="79"/>
      <c r="K444" s="80"/>
    </row>
    <row r="445" spans="1:11">
      <c r="A445" s="93"/>
      <c r="B445" s="85" t="str">
        <f t="shared" si="27"/>
        <v/>
      </c>
      <c r="C445" s="85" t="str">
        <f t="shared" si="28"/>
        <v/>
      </c>
      <c r="D445" s="85" t="str">
        <f t="shared" si="29"/>
        <v/>
      </c>
      <c r="E445" s="85" t="str">
        <f t="shared" si="33"/>
        <v/>
      </c>
      <c r="F445" s="85" t="str">
        <f t="shared" si="30"/>
        <v/>
      </c>
      <c r="G445" s="80" t="str">
        <f t="shared" si="34"/>
        <v/>
      </c>
      <c r="H445" s="80"/>
      <c r="I445" s="79"/>
      <c r="J445" s="79"/>
      <c r="K445" s="80"/>
    </row>
    <row r="446" spans="1:11">
      <c r="A446" s="93"/>
      <c r="B446" s="85" t="str">
        <f t="shared" si="27"/>
        <v/>
      </c>
      <c r="C446" s="85" t="str">
        <f t="shared" si="28"/>
        <v/>
      </c>
      <c r="D446" s="85" t="str">
        <f t="shared" si="29"/>
        <v/>
      </c>
      <c r="E446" s="85" t="str">
        <f t="shared" si="33"/>
        <v/>
      </c>
      <c r="F446" s="85" t="str">
        <f t="shared" si="30"/>
        <v/>
      </c>
      <c r="G446" s="80" t="str">
        <f t="shared" si="34"/>
        <v/>
      </c>
      <c r="H446" s="80"/>
      <c r="I446" s="79"/>
      <c r="J446" s="79"/>
      <c r="K446" s="80"/>
    </row>
    <row r="447" spans="1:11">
      <c r="A447" s="93"/>
      <c r="B447" s="85" t="str">
        <f t="shared" si="27"/>
        <v/>
      </c>
      <c r="C447" s="85" t="str">
        <f t="shared" si="28"/>
        <v/>
      </c>
      <c r="D447" s="85" t="str">
        <f t="shared" si="29"/>
        <v/>
      </c>
      <c r="E447" s="85" t="str">
        <f t="shared" si="33"/>
        <v/>
      </c>
      <c r="F447" s="85" t="str">
        <f t="shared" si="30"/>
        <v/>
      </c>
      <c r="G447" s="80" t="str">
        <f t="shared" si="34"/>
        <v/>
      </c>
      <c r="H447" s="80"/>
      <c r="I447" s="79"/>
      <c r="J447" s="79"/>
      <c r="K447" s="80"/>
    </row>
    <row r="448" spans="1:11">
      <c r="A448" s="93"/>
      <c r="B448" s="85" t="str">
        <f t="shared" si="27"/>
        <v/>
      </c>
      <c r="C448" s="85" t="str">
        <f t="shared" si="28"/>
        <v/>
      </c>
      <c r="D448" s="85" t="str">
        <f t="shared" si="29"/>
        <v/>
      </c>
      <c r="E448" s="85" t="str">
        <f t="shared" si="33"/>
        <v/>
      </c>
      <c r="F448" s="85" t="str">
        <f t="shared" si="30"/>
        <v/>
      </c>
      <c r="G448" s="80" t="str">
        <f t="shared" si="34"/>
        <v/>
      </c>
      <c r="H448" s="80"/>
      <c r="I448" s="79"/>
      <c r="J448" s="79"/>
      <c r="K448" s="80"/>
    </row>
    <row r="449" spans="1:11">
      <c r="A449" s="93"/>
      <c r="B449" s="85" t="str">
        <f t="shared" si="27"/>
        <v/>
      </c>
      <c r="C449" s="85" t="str">
        <f t="shared" si="28"/>
        <v/>
      </c>
      <c r="D449" s="85" t="str">
        <f t="shared" si="29"/>
        <v/>
      </c>
      <c r="E449" s="85" t="str">
        <f t="shared" si="33"/>
        <v/>
      </c>
      <c r="F449" s="85" t="str">
        <f t="shared" si="30"/>
        <v/>
      </c>
      <c r="G449" s="80" t="str">
        <f t="shared" si="34"/>
        <v/>
      </c>
      <c r="H449" s="80"/>
      <c r="I449" s="79"/>
      <c r="J449" s="79"/>
      <c r="K449" s="80"/>
    </row>
    <row r="450" spans="1:11">
      <c r="A450" s="93"/>
      <c r="B450" s="85" t="str">
        <f t="shared" si="27"/>
        <v/>
      </c>
      <c r="C450" s="85" t="str">
        <f t="shared" si="28"/>
        <v/>
      </c>
      <c r="D450" s="85" t="str">
        <f t="shared" si="29"/>
        <v/>
      </c>
      <c r="E450" s="85" t="str">
        <f t="shared" si="33"/>
        <v/>
      </c>
      <c r="F450" s="85" t="str">
        <f t="shared" si="30"/>
        <v/>
      </c>
      <c r="G450" s="80" t="str">
        <f t="shared" si="34"/>
        <v/>
      </c>
      <c r="H450" s="80"/>
      <c r="I450" s="79"/>
      <c r="J450" s="79"/>
      <c r="K450" s="80"/>
    </row>
  </sheetData>
  <mergeCells count="10">
    <mergeCell ref="H6:H7"/>
    <mergeCell ref="J6:J7"/>
    <mergeCell ref="K6:K7"/>
    <mergeCell ref="A6:A7"/>
    <mergeCell ref="C6:C7"/>
    <mergeCell ref="D6:D7"/>
    <mergeCell ref="E6:E7"/>
    <mergeCell ref="F6:F7"/>
    <mergeCell ref="G6:G7"/>
    <mergeCell ref="B6:B7"/>
  </mergeCells>
  <conditionalFormatting sqref="C8:H450">
    <cfRule type="expression" dxfId="130"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D3BB65F2-4225-4BE3-9FF2-2CF5B4663FA1}">
            <xm:f>$H8=Principal!$Q$10</xm:f>
            <x14:dxf>
              <fill>
                <patternFill patternType="solid">
                  <bgColor rgb="FF00B050"/>
                </patternFill>
              </fill>
            </x14:dxf>
          </x14:cfRule>
          <x14:cfRule type="expression" priority="3" id="{36CC8DD9-B01C-4DA9-A0F3-1FC687979BFD}">
            <xm:f>$H8=Principal!$Q$17</xm:f>
            <x14:dxf>
              <fill>
                <patternFill patternType="solid">
                  <bgColor rgb="FFFFFF00"/>
                </patternFill>
              </fill>
            </x14:dxf>
          </x14:cfRule>
          <x14:cfRule type="expression" priority="4" id="{4A35ACD0-88DE-4791-949A-33159A602664}">
            <xm:f>$H8=Principal!$Q$16</xm:f>
            <x14:dxf>
              <fill>
                <patternFill patternType="solid">
                  <bgColor rgb="FFDD46E8"/>
                </patternFill>
              </fill>
            </x14:dxf>
          </x14:cfRule>
          <x14:cfRule type="expression" priority="5" id="{6B4A049B-79E8-484B-857C-9906C7FD4929}">
            <xm:f>$H8=Principal!$Q$15</xm:f>
            <x14:dxf>
              <fill>
                <patternFill>
                  <bgColor theme="8" tint="0.59996337778862885"/>
                </patternFill>
              </fill>
            </x14:dxf>
          </x14:cfRule>
          <x14:cfRule type="expression" priority="6" id="{9C61C015-5E56-45AB-BCD0-C3A843860312}">
            <xm:f>$H8=Principal!$Q$14</xm:f>
            <x14:dxf>
              <fill>
                <patternFill>
                  <bgColor theme="7" tint="0.59996337778862885"/>
                </patternFill>
              </fill>
            </x14:dxf>
          </x14:cfRule>
          <x14:cfRule type="expression" priority="7" id="{B2683E42-26C0-4A08-A055-463C437D3D22}">
            <xm:f>$H8=Principal!$Q$11</xm:f>
            <x14:dxf>
              <fill>
                <patternFill>
                  <bgColor rgb="FFFF5050"/>
                </patternFill>
              </fill>
            </x14:dxf>
          </x14:cfRule>
          <xm:sqref>C8:H450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DE5CB051-68B8-415E-9ED4-1D7A2F8C9CFD}">
          <x14:formula1>
            <xm:f>Principal!$Q$9:$Q$17</xm:f>
          </x14:formula1>
          <xm:sqref>H8:H450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63880-F620-429E-B881-625C3E534F49}">
  <sheetPr>
    <tabColor rgb="FFFF0000"/>
  </sheetPr>
  <dimension ref="A1:L100"/>
  <sheetViews>
    <sheetView workbookViewId="0">
      <selection activeCell="E14" sqref="E14"/>
    </sheetView>
  </sheetViews>
  <sheetFormatPr defaultRowHeight="14.45"/>
  <cols>
    <col min="1" max="1" width="32.28515625" customWidth="1"/>
    <col min="2" max="2" width="23.7109375" customWidth="1"/>
    <col min="3" max="3" width="14.28515625" customWidth="1"/>
    <col min="4" max="4" width="17.5703125" customWidth="1"/>
    <col min="5" max="5" width="49.140625" customWidth="1"/>
    <col min="6" max="6" width="18.5703125" customWidth="1"/>
    <col min="7" max="7" width="23.140625" customWidth="1"/>
    <col min="8" max="8" width="17.28515625" customWidth="1"/>
    <col min="9" max="9" width="19.85546875" customWidth="1"/>
    <col min="10" max="11" width="15" customWidth="1"/>
    <col min="12" max="12" width="33.85546875" customWidth="1"/>
  </cols>
  <sheetData>
    <row r="1" spans="1:12" ht="15.6">
      <c r="A1" s="18" t="s">
        <v>22</v>
      </c>
      <c r="B1" s="19">
        <f>COUNTA(D5:D100)</f>
        <v>0</v>
      </c>
      <c r="C1" s="23"/>
      <c r="D1" s="18"/>
      <c r="E1" s="34"/>
      <c r="F1" s="33"/>
      <c r="G1" s="33"/>
      <c r="H1" s="33"/>
      <c r="I1" s="33"/>
      <c r="J1" s="33"/>
      <c r="K1" s="23"/>
      <c r="L1" s="20"/>
    </row>
    <row r="2" spans="1:12" ht="30">
      <c r="A2" s="331" t="s">
        <v>23</v>
      </c>
      <c r="B2" s="332"/>
      <c r="C2" s="332"/>
      <c r="D2" s="332"/>
      <c r="E2" s="332"/>
      <c r="F2" s="332"/>
      <c r="G2" s="332"/>
      <c r="H2" s="332"/>
      <c r="I2" s="332"/>
      <c r="J2" s="332"/>
      <c r="K2" s="332"/>
      <c r="L2" s="332"/>
    </row>
    <row r="3" spans="1:12" ht="38.25" customHeight="1">
      <c r="A3" s="333" t="s">
        <v>24</v>
      </c>
      <c r="B3" s="335" t="s">
        <v>25</v>
      </c>
      <c r="C3" s="333" t="s">
        <v>26</v>
      </c>
      <c r="D3" s="333" t="s">
        <v>27</v>
      </c>
      <c r="E3" s="335" t="s">
        <v>28</v>
      </c>
      <c r="F3" s="333" t="s">
        <v>29</v>
      </c>
      <c r="G3" s="333" t="s">
        <v>30</v>
      </c>
      <c r="H3" s="333" t="s">
        <v>18</v>
      </c>
      <c r="I3" s="333" t="s">
        <v>31</v>
      </c>
      <c r="J3" s="327" t="s">
        <v>32</v>
      </c>
      <c r="K3" s="328"/>
      <c r="L3" s="329" t="s">
        <v>33</v>
      </c>
    </row>
    <row r="4" spans="1:12" ht="15.6">
      <c r="A4" s="334"/>
      <c r="B4" s="336"/>
      <c r="C4" s="334"/>
      <c r="D4" s="334"/>
      <c r="E4" s="336"/>
      <c r="F4" s="334"/>
      <c r="G4" s="334"/>
      <c r="H4" s="334"/>
      <c r="I4" s="334"/>
      <c r="J4" s="35" t="s">
        <v>26</v>
      </c>
      <c r="K4" s="35" t="s">
        <v>34</v>
      </c>
      <c r="L4" s="330"/>
    </row>
    <row r="5" spans="1:12">
      <c r="A5" s="50"/>
      <c r="B5" s="4"/>
      <c r="C5" s="4"/>
      <c r="D5" s="4"/>
      <c r="E5" s="4"/>
      <c r="F5" s="4"/>
      <c r="G5" s="4"/>
      <c r="H5" s="4"/>
      <c r="I5" s="4"/>
      <c r="J5" s="4"/>
      <c r="K5" s="4"/>
      <c r="L5" s="4"/>
    </row>
    <row r="6" spans="1:12">
      <c r="A6" s="4"/>
      <c r="B6" s="4"/>
      <c r="C6" s="4"/>
      <c r="D6" s="4"/>
      <c r="E6" s="4"/>
      <c r="F6" s="4"/>
      <c r="G6" s="4"/>
      <c r="H6" s="4"/>
      <c r="I6" s="4"/>
      <c r="J6" s="4"/>
      <c r="K6" s="4"/>
      <c r="L6" s="4"/>
    </row>
    <row r="7" spans="1:12">
      <c r="A7" s="4"/>
      <c r="B7" s="4"/>
      <c r="C7" s="4"/>
      <c r="D7" s="4"/>
      <c r="E7" s="4"/>
      <c r="F7" s="4"/>
      <c r="G7" s="4"/>
      <c r="H7" s="4"/>
      <c r="I7" s="4"/>
      <c r="J7" s="4"/>
      <c r="K7" s="4"/>
      <c r="L7" s="4"/>
    </row>
    <row r="8" spans="1:12">
      <c r="A8" s="4"/>
      <c r="B8" s="4"/>
      <c r="C8" s="4"/>
      <c r="D8" s="4"/>
      <c r="E8" s="4"/>
      <c r="F8" s="4"/>
      <c r="G8" s="4"/>
      <c r="H8" s="4"/>
      <c r="I8" s="4"/>
      <c r="J8" s="4"/>
      <c r="K8" s="4"/>
      <c r="L8" s="4"/>
    </row>
    <row r="9" spans="1:12">
      <c r="A9" s="4"/>
      <c r="B9" s="4"/>
      <c r="C9" s="4"/>
      <c r="D9" s="4"/>
      <c r="E9" s="4"/>
      <c r="F9" s="4"/>
      <c r="G9" s="4"/>
      <c r="H9" s="4"/>
      <c r="I9" s="4"/>
      <c r="J9" s="4"/>
      <c r="K9" s="4"/>
      <c r="L9" s="4"/>
    </row>
    <row r="10" spans="1:12">
      <c r="A10" s="4"/>
      <c r="B10" s="4"/>
      <c r="C10" s="4"/>
      <c r="D10" s="4"/>
      <c r="E10" s="4"/>
      <c r="F10" s="4"/>
      <c r="G10" s="4"/>
      <c r="H10" s="4"/>
      <c r="I10" s="4"/>
      <c r="J10" s="4"/>
      <c r="K10" s="4"/>
      <c r="L10" s="4"/>
    </row>
    <row r="11" spans="1:12">
      <c r="A11" s="4"/>
      <c r="B11" s="4"/>
      <c r="C11" s="4"/>
      <c r="D11" s="4"/>
      <c r="E11" s="4"/>
      <c r="F11" s="4"/>
      <c r="G11" s="4"/>
      <c r="H11" s="4"/>
      <c r="I11" s="4"/>
      <c r="J11" s="4"/>
      <c r="K11" s="4"/>
      <c r="L11" s="4"/>
    </row>
    <row r="12" spans="1:12">
      <c r="A12" s="4"/>
      <c r="B12" s="4"/>
      <c r="C12" s="4"/>
      <c r="D12" s="4"/>
      <c r="E12" s="4"/>
      <c r="F12" s="4"/>
      <c r="G12" s="4"/>
      <c r="H12" s="4"/>
      <c r="I12" s="4"/>
      <c r="J12" s="4"/>
      <c r="K12" s="4"/>
      <c r="L12" s="4"/>
    </row>
    <row r="13" spans="1:12">
      <c r="A13" s="4"/>
      <c r="B13" s="4"/>
      <c r="C13" s="4"/>
      <c r="D13" s="4"/>
      <c r="E13" s="4"/>
      <c r="F13" s="4"/>
      <c r="G13" s="4"/>
      <c r="H13" s="4"/>
      <c r="I13" s="4"/>
      <c r="J13" s="4"/>
      <c r="K13" s="4"/>
      <c r="L13" s="4"/>
    </row>
    <row r="14" spans="1:12">
      <c r="A14" s="4"/>
      <c r="B14" s="4"/>
      <c r="C14" s="4"/>
      <c r="D14" s="4"/>
      <c r="E14" s="4"/>
      <c r="F14" s="4"/>
      <c r="G14" s="4"/>
      <c r="H14" s="4"/>
      <c r="I14" s="4"/>
      <c r="J14" s="4"/>
      <c r="K14" s="4"/>
      <c r="L14" s="4"/>
    </row>
    <row r="15" spans="1:12">
      <c r="A15" s="4"/>
      <c r="B15" s="4"/>
      <c r="C15" s="4"/>
      <c r="D15" s="4"/>
      <c r="E15" s="4"/>
      <c r="F15" s="4"/>
      <c r="G15" s="4"/>
      <c r="H15" s="4"/>
      <c r="I15" s="4"/>
      <c r="J15" s="4"/>
      <c r="K15" s="4"/>
      <c r="L15" s="4"/>
    </row>
    <row r="16" spans="1:12">
      <c r="A16" s="4"/>
      <c r="B16" s="4"/>
      <c r="C16" s="4"/>
      <c r="D16" s="4"/>
      <c r="E16" s="4"/>
      <c r="F16" s="4"/>
      <c r="G16" s="4"/>
      <c r="H16" s="4"/>
      <c r="I16" s="4"/>
      <c r="J16" s="4"/>
      <c r="K16" s="4"/>
      <c r="L16" s="4"/>
    </row>
    <row r="17" spans="1:12">
      <c r="A17" s="4"/>
      <c r="B17" s="4"/>
      <c r="C17" s="4"/>
      <c r="D17" s="4"/>
      <c r="E17" s="4"/>
      <c r="F17" s="4"/>
      <c r="G17" s="4"/>
      <c r="H17" s="4"/>
      <c r="I17" s="4"/>
      <c r="J17" s="4"/>
      <c r="K17" s="4"/>
      <c r="L17" s="4"/>
    </row>
    <row r="18" spans="1:12">
      <c r="A18" s="4"/>
      <c r="B18" s="4"/>
      <c r="C18" s="4"/>
      <c r="D18" s="4"/>
      <c r="E18" s="4"/>
      <c r="F18" s="4"/>
      <c r="G18" s="4"/>
      <c r="H18" s="4"/>
      <c r="I18" s="4"/>
      <c r="J18" s="4"/>
      <c r="K18" s="4"/>
      <c r="L18" s="4"/>
    </row>
    <row r="19" spans="1:12">
      <c r="A19" s="4"/>
      <c r="B19" s="4"/>
      <c r="C19" s="4"/>
      <c r="D19" s="4"/>
      <c r="E19" s="4"/>
      <c r="F19" s="4"/>
      <c r="G19" s="4"/>
      <c r="H19" s="4"/>
      <c r="I19" s="4"/>
      <c r="J19" s="4"/>
      <c r="K19" s="4"/>
      <c r="L19" s="4"/>
    </row>
    <row r="20" spans="1:12">
      <c r="A20" s="4"/>
      <c r="B20" s="4"/>
      <c r="C20" s="4"/>
      <c r="D20" s="4"/>
      <c r="E20" s="4"/>
      <c r="F20" s="4"/>
      <c r="G20" s="4"/>
      <c r="H20" s="4"/>
      <c r="I20" s="4"/>
      <c r="J20" s="4"/>
      <c r="K20" s="4"/>
      <c r="L20" s="4"/>
    </row>
    <row r="21" spans="1:12">
      <c r="A21" s="4"/>
      <c r="B21" s="4"/>
      <c r="C21" s="4"/>
      <c r="D21" s="4"/>
      <c r="E21" s="4"/>
      <c r="F21" s="4"/>
      <c r="G21" s="4"/>
      <c r="H21" s="4"/>
      <c r="I21" s="4"/>
      <c r="J21" s="4"/>
      <c r="K21" s="4"/>
      <c r="L21" s="4"/>
    </row>
    <row r="22" spans="1:12">
      <c r="A22" s="4"/>
      <c r="B22" s="4"/>
      <c r="C22" s="4"/>
      <c r="D22" s="4"/>
      <c r="E22" s="4"/>
      <c r="F22" s="4"/>
      <c r="G22" s="4"/>
      <c r="H22" s="4"/>
      <c r="I22" s="4"/>
      <c r="J22" s="4"/>
      <c r="K22" s="4"/>
      <c r="L22" s="4"/>
    </row>
    <row r="23" spans="1:12">
      <c r="A23" s="4"/>
      <c r="B23" s="4"/>
      <c r="C23" s="4"/>
      <c r="D23" s="4"/>
      <c r="E23" s="4"/>
      <c r="F23" s="4"/>
      <c r="G23" s="4"/>
      <c r="H23" s="4"/>
      <c r="I23" s="4"/>
      <c r="J23" s="4"/>
      <c r="K23" s="4"/>
      <c r="L23" s="4"/>
    </row>
    <row r="24" spans="1:12">
      <c r="A24" s="4"/>
      <c r="B24" s="4"/>
      <c r="C24" s="4"/>
      <c r="D24" s="4"/>
      <c r="E24" s="4"/>
      <c r="F24" s="4"/>
      <c r="G24" s="4"/>
      <c r="H24" s="4"/>
      <c r="I24" s="4"/>
      <c r="J24" s="4"/>
      <c r="K24" s="4"/>
      <c r="L24" s="4"/>
    </row>
    <row r="25" spans="1:12">
      <c r="A25" s="4"/>
      <c r="B25" s="4"/>
      <c r="C25" s="4"/>
      <c r="D25" s="4"/>
      <c r="E25" s="4"/>
      <c r="F25" s="4"/>
      <c r="G25" s="4"/>
      <c r="H25" s="4"/>
      <c r="I25" s="4"/>
      <c r="J25" s="4"/>
      <c r="K25" s="4"/>
      <c r="L25" s="4"/>
    </row>
    <row r="26" spans="1:12">
      <c r="A26" s="4"/>
      <c r="B26" s="4"/>
      <c r="C26" s="4"/>
      <c r="D26" s="4"/>
      <c r="E26" s="4"/>
      <c r="F26" s="4"/>
      <c r="G26" s="4"/>
      <c r="H26" s="4"/>
      <c r="I26" s="4"/>
      <c r="J26" s="4"/>
      <c r="K26" s="4"/>
      <c r="L26" s="4"/>
    </row>
    <row r="27" spans="1:12">
      <c r="A27" s="4"/>
      <c r="B27" s="4"/>
      <c r="C27" s="4"/>
      <c r="D27" s="4"/>
      <c r="E27" s="4"/>
      <c r="F27" s="4"/>
      <c r="G27" s="4"/>
      <c r="H27" s="4"/>
      <c r="I27" s="4"/>
      <c r="J27" s="4"/>
      <c r="K27" s="4"/>
      <c r="L27" s="4"/>
    </row>
    <row r="28" spans="1:12">
      <c r="A28" s="4"/>
      <c r="B28" s="4"/>
      <c r="C28" s="4"/>
      <c r="D28" s="4"/>
      <c r="E28" s="4"/>
      <c r="F28" s="4"/>
      <c r="G28" s="4"/>
      <c r="H28" s="4"/>
      <c r="I28" s="4"/>
      <c r="J28" s="4"/>
      <c r="K28" s="4"/>
      <c r="L28" s="4"/>
    </row>
    <row r="29" spans="1:12">
      <c r="A29" s="4"/>
      <c r="B29" s="4"/>
      <c r="C29" s="4"/>
      <c r="D29" s="4"/>
      <c r="E29" s="4"/>
      <c r="F29" s="4"/>
      <c r="G29" s="4"/>
      <c r="H29" s="4"/>
      <c r="I29" s="4"/>
      <c r="J29" s="4"/>
      <c r="K29" s="4"/>
      <c r="L29" s="4"/>
    </row>
    <row r="30" spans="1:12">
      <c r="A30" s="4"/>
      <c r="B30" s="4"/>
      <c r="C30" s="4"/>
      <c r="D30" s="4"/>
      <c r="E30" s="4"/>
      <c r="F30" s="4"/>
      <c r="G30" s="4"/>
      <c r="H30" s="4"/>
      <c r="I30" s="4"/>
      <c r="J30" s="4"/>
      <c r="K30" s="4"/>
      <c r="L30" s="4"/>
    </row>
    <row r="31" spans="1:12">
      <c r="A31" s="4"/>
      <c r="B31" s="4"/>
      <c r="C31" s="4"/>
      <c r="D31" s="4"/>
      <c r="E31" s="4"/>
      <c r="F31" s="4"/>
      <c r="G31" s="4"/>
      <c r="H31" s="4"/>
      <c r="I31" s="4"/>
      <c r="J31" s="4"/>
      <c r="K31" s="4"/>
      <c r="L31" s="4"/>
    </row>
    <row r="32" spans="1:12">
      <c r="A32" s="4"/>
      <c r="B32" s="4"/>
      <c r="C32" s="4"/>
      <c r="D32" s="4"/>
      <c r="E32" s="4"/>
      <c r="F32" s="4"/>
      <c r="G32" s="4"/>
      <c r="H32" s="4"/>
      <c r="I32" s="4"/>
      <c r="J32" s="4"/>
      <c r="K32" s="4"/>
      <c r="L32" s="4"/>
    </row>
    <row r="33" spans="1:12">
      <c r="A33" s="4"/>
      <c r="B33" s="4"/>
      <c r="C33" s="4"/>
      <c r="D33" s="4"/>
      <c r="E33" s="4"/>
      <c r="F33" s="4"/>
      <c r="G33" s="4"/>
      <c r="H33" s="4"/>
      <c r="I33" s="4"/>
      <c r="J33" s="4"/>
      <c r="K33" s="4"/>
      <c r="L33" s="4"/>
    </row>
    <row r="34" spans="1:12">
      <c r="A34" s="4"/>
      <c r="B34" s="4"/>
      <c r="C34" s="4"/>
      <c r="D34" s="4"/>
      <c r="E34" s="4"/>
      <c r="F34" s="4"/>
      <c r="G34" s="4"/>
      <c r="H34" s="4"/>
      <c r="I34" s="4"/>
      <c r="J34" s="4"/>
      <c r="K34" s="4"/>
      <c r="L34" s="4"/>
    </row>
    <row r="35" spans="1:12">
      <c r="A35" s="4"/>
      <c r="B35" s="4"/>
      <c r="C35" s="4"/>
      <c r="D35" s="4"/>
      <c r="E35" s="4"/>
      <c r="F35" s="4"/>
      <c r="G35" s="4"/>
      <c r="H35" s="4"/>
      <c r="I35" s="4"/>
      <c r="J35" s="4"/>
      <c r="K35" s="4"/>
      <c r="L35" s="4"/>
    </row>
    <row r="36" spans="1:12">
      <c r="A36" s="4"/>
      <c r="B36" s="4"/>
      <c r="C36" s="4"/>
      <c r="D36" s="4"/>
      <c r="E36" s="4"/>
      <c r="F36" s="4"/>
      <c r="G36" s="4"/>
      <c r="H36" s="4"/>
      <c r="I36" s="4"/>
      <c r="J36" s="4"/>
      <c r="K36" s="4"/>
      <c r="L36" s="4"/>
    </row>
    <row r="37" spans="1:12">
      <c r="A37" s="4"/>
      <c r="B37" s="4"/>
      <c r="C37" s="4"/>
      <c r="D37" s="4"/>
      <c r="E37" s="4"/>
      <c r="F37" s="4"/>
      <c r="G37" s="4"/>
      <c r="H37" s="4"/>
      <c r="I37" s="4"/>
      <c r="J37" s="4"/>
      <c r="K37" s="4"/>
      <c r="L37" s="4"/>
    </row>
    <row r="38" spans="1:12">
      <c r="A38" s="4"/>
      <c r="B38" s="4"/>
      <c r="C38" s="4"/>
      <c r="D38" s="4"/>
      <c r="E38" s="4"/>
      <c r="F38" s="4"/>
      <c r="G38" s="4"/>
      <c r="H38" s="4"/>
      <c r="I38" s="4"/>
      <c r="J38" s="4"/>
      <c r="K38" s="4"/>
      <c r="L38" s="4"/>
    </row>
    <row r="39" spans="1:12">
      <c r="A39" s="4"/>
      <c r="B39" s="4"/>
      <c r="C39" s="4"/>
      <c r="D39" s="4"/>
      <c r="E39" s="4"/>
      <c r="F39" s="4"/>
      <c r="G39" s="4"/>
      <c r="H39" s="4"/>
      <c r="I39" s="4"/>
      <c r="J39" s="4"/>
      <c r="K39" s="4"/>
      <c r="L39" s="4"/>
    </row>
    <row r="40" spans="1:12">
      <c r="A40" s="4"/>
      <c r="B40" s="4"/>
      <c r="C40" s="4"/>
      <c r="D40" s="4"/>
      <c r="E40" s="4"/>
      <c r="F40" s="4"/>
      <c r="G40" s="4"/>
      <c r="H40" s="4"/>
      <c r="I40" s="4"/>
      <c r="J40" s="4"/>
      <c r="K40" s="4"/>
      <c r="L40" s="4"/>
    </row>
    <row r="41" spans="1:12">
      <c r="A41" s="4"/>
      <c r="B41" s="4"/>
      <c r="C41" s="4"/>
      <c r="D41" s="4"/>
      <c r="E41" s="4"/>
      <c r="F41" s="4"/>
      <c r="G41" s="4"/>
      <c r="H41" s="4"/>
      <c r="I41" s="4"/>
      <c r="J41" s="4"/>
      <c r="K41" s="4"/>
      <c r="L41" s="4"/>
    </row>
    <row r="42" spans="1:12">
      <c r="A42" s="4"/>
      <c r="B42" s="4"/>
      <c r="C42" s="4"/>
      <c r="D42" s="4"/>
      <c r="E42" s="4"/>
      <c r="F42" s="4"/>
      <c r="G42" s="4"/>
      <c r="H42" s="4"/>
      <c r="I42" s="4"/>
      <c r="J42" s="4"/>
      <c r="K42" s="4"/>
      <c r="L42" s="4"/>
    </row>
    <row r="43" spans="1:12">
      <c r="A43" s="4"/>
      <c r="B43" s="4"/>
      <c r="C43" s="4"/>
      <c r="D43" s="4"/>
      <c r="E43" s="4"/>
      <c r="F43" s="4"/>
      <c r="G43" s="4"/>
      <c r="H43" s="4"/>
      <c r="I43" s="4"/>
      <c r="J43" s="4"/>
      <c r="K43" s="4"/>
      <c r="L43" s="4"/>
    </row>
    <row r="44" spans="1:12">
      <c r="A44" s="4"/>
      <c r="B44" s="4"/>
      <c r="C44" s="4"/>
      <c r="D44" s="4"/>
      <c r="E44" s="4"/>
      <c r="F44" s="4"/>
      <c r="G44" s="4"/>
      <c r="H44" s="4"/>
      <c r="I44" s="4"/>
      <c r="J44" s="4"/>
      <c r="K44" s="4"/>
      <c r="L44" s="4"/>
    </row>
    <row r="45" spans="1:12">
      <c r="A45" s="4"/>
      <c r="B45" s="4"/>
      <c r="C45" s="4"/>
      <c r="D45" s="4"/>
      <c r="E45" s="4"/>
      <c r="F45" s="4"/>
      <c r="G45" s="4"/>
      <c r="H45" s="4"/>
      <c r="I45" s="4"/>
      <c r="J45" s="4"/>
      <c r="K45" s="4"/>
      <c r="L45" s="4"/>
    </row>
    <row r="46" spans="1:12">
      <c r="A46" s="4"/>
      <c r="B46" s="4"/>
      <c r="C46" s="4"/>
      <c r="D46" s="4"/>
      <c r="E46" s="4"/>
      <c r="F46" s="4"/>
      <c r="G46" s="4"/>
      <c r="H46" s="4"/>
      <c r="I46" s="4"/>
      <c r="J46" s="4"/>
      <c r="K46" s="4"/>
      <c r="L46" s="4"/>
    </row>
    <row r="47" spans="1:12">
      <c r="A47" s="4"/>
      <c r="B47" s="4"/>
      <c r="C47" s="4"/>
      <c r="D47" s="4"/>
      <c r="E47" s="4"/>
      <c r="F47" s="4"/>
      <c r="G47" s="4"/>
      <c r="H47" s="4"/>
      <c r="I47" s="4"/>
      <c r="J47" s="4"/>
      <c r="K47" s="4"/>
      <c r="L47" s="4"/>
    </row>
    <row r="48" spans="1:12">
      <c r="A48" s="4"/>
      <c r="B48" s="4"/>
      <c r="C48" s="4"/>
      <c r="D48" s="4"/>
      <c r="E48" s="4"/>
      <c r="F48" s="4"/>
      <c r="G48" s="4"/>
      <c r="H48" s="4"/>
      <c r="I48" s="4"/>
      <c r="J48" s="4"/>
      <c r="K48" s="4"/>
      <c r="L48" s="4"/>
    </row>
    <row r="49" spans="1:12">
      <c r="A49" s="4"/>
      <c r="B49" s="4"/>
      <c r="C49" s="4"/>
      <c r="D49" s="4"/>
      <c r="E49" s="4"/>
      <c r="F49" s="4"/>
      <c r="G49" s="4"/>
      <c r="H49" s="4"/>
      <c r="I49" s="4"/>
      <c r="J49" s="4"/>
      <c r="K49" s="4"/>
      <c r="L49" s="4"/>
    </row>
    <row r="50" spans="1:12">
      <c r="A50" s="4"/>
      <c r="B50" s="4"/>
      <c r="C50" s="4"/>
      <c r="D50" s="4"/>
      <c r="E50" s="4"/>
      <c r="F50" s="4"/>
      <c r="G50" s="4"/>
      <c r="H50" s="4"/>
      <c r="I50" s="4"/>
      <c r="J50" s="4"/>
      <c r="K50" s="4"/>
      <c r="L50" s="4"/>
    </row>
    <row r="51" spans="1:12">
      <c r="A51" s="4"/>
      <c r="B51" s="4"/>
      <c r="C51" s="4"/>
      <c r="D51" s="4"/>
      <c r="E51" s="4"/>
      <c r="F51" s="4"/>
      <c r="G51" s="4"/>
      <c r="H51" s="4"/>
      <c r="I51" s="4"/>
      <c r="J51" s="4"/>
      <c r="K51" s="4"/>
      <c r="L51" s="4"/>
    </row>
    <row r="52" spans="1:12">
      <c r="A52" s="4"/>
      <c r="B52" s="4"/>
      <c r="C52" s="4"/>
      <c r="D52" s="4"/>
      <c r="E52" s="4"/>
      <c r="F52" s="4"/>
      <c r="G52" s="4"/>
      <c r="H52" s="4"/>
      <c r="I52" s="4"/>
      <c r="J52" s="4"/>
      <c r="K52" s="4"/>
      <c r="L52" s="4"/>
    </row>
    <row r="53" spans="1:12">
      <c r="A53" s="4"/>
      <c r="B53" s="4"/>
      <c r="C53" s="4"/>
      <c r="D53" s="4"/>
      <c r="E53" s="4"/>
      <c r="F53" s="4"/>
      <c r="G53" s="4"/>
      <c r="H53" s="4"/>
      <c r="I53" s="4"/>
      <c r="J53" s="4"/>
      <c r="K53" s="4"/>
      <c r="L53" s="4"/>
    </row>
    <row r="54" spans="1:12">
      <c r="A54" s="4"/>
      <c r="B54" s="4"/>
      <c r="C54" s="4"/>
      <c r="D54" s="4"/>
      <c r="E54" s="4"/>
      <c r="F54" s="4"/>
      <c r="G54" s="4"/>
      <c r="H54" s="4"/>
      <c r="I54" s="4"/>
      <c r="J54" s="4"/>
      <c r="K54" s="4"/>
      <c r="L54" s="4"/>
    </row>
    <row r="55" spans="1:12">
      <c r="A55" s="4"/>
      <c r="B55" s="4"/>
      <c r="C55" s="4"/>
      <c r="D55" s="4"/>
      <c r="E55" s="4"/>
      <c r="F55" s="4"/>
      <c r="G55" s="4"/>
      <c r="H55" s="4"/>
      <c r="I55" s="4"/>
      <c r="J55" s="4"/>
      <c r="K55" s="4"/>
      <c r="L55" s="4"/>
    </row>
    <row r="56" spans="1:12">
      <c r="A56" s="4"/>
      <c r="B56" s="4"/>
      <c r="C56" s="4"/>
      <c r="D56" s="4"/>
      <c r="E56" s="4"/>
      <c r="F56" s="4"/>
      <c r="G56" s="4"/>
      <c r="H56" s="4"/>
      <c r="I56" s="4"/>
      <c r="J56" s="4"/>
      <c r="K56" s="4"/>
      <c r="L56" s="4"/>
    </row>
    <row r="57" spans="1:12">
      <c r="A57" s="4"/>
      <c r="B57" s="4"/>
      <c r="C57" s="4"/>
      <c r="D57" s="4"/>
      <c r="E57" s="4"/>
      <c r="F57" s="4"/>
      <c r="G57" s="4"/>
      <c r="H57" s="4"/>
      <c r="I57" s="4"/>
      <c r="J57" s="4"/>
      <c r="K57" s="4"/>
      <c r="L57" s="4"/>
    </row>
    <row r="58" spans="1:12">
      <c r="A58" s="4"/>
      <c r="B58" s="4"/>
      <c r="C58" s="4"/>
      <c r="D58" s="4"/>
      <c r="E58" s="4"/>
      <c r="F58" s="4"/>
      <c r="G58" s="4"/>
      <c r="H58" s="4"/>
      <c r="I58" s="4"/>
      <c r="J58" s="4"/>
      <c r="K58" s="4"/>
      <c r="L58" s="4"/>
    </row>
    <row r="59" spans="1:12">
      <c r="A59" s="4"/>
      <c r="B59" s="4"/>
      <c r="C59" s="4"/>
      <c r="D59" s="4"/>
      <c r="E59" s="4"/>
      <c r="F59" s="4"/>
      <c r="G59" s="4"/>
      <c r="H59" s="4"/>
      <c r="I59" s="4"/>
      <c r="J59" s="4"/>
      <c r="K59" s="4"/>
      <c r="L59" s="4"/>
    </row>
    <row r="60" spans="1:12">
      <c r="A60" s="4"/>
      <c r="B60" s="4"/>
      <c r="C60" s="4"/>
      <c r="D60" s="4"/>
      <c r="E60" s="4"/>
      <c r="F60" s="4"/>
      <c r="G60" s="4"/>
      <c r="H60" s="4"/>
      <c r="I60" s="4"/>
      <c r="J60" s="4"/>
      <c r="K60" s="4"/>
      <c r="L60" s="4"/>
    </row>
    <row r="61" spans="1:12">
      <c r="A61" s="4"/>
      <c r="B61" s="4"/>
      <c r="C61" s="4"/>
      <c r="D61" s="4"/>
      <c r="E61" s="4"/>
      <c r="F61" s="4"/>
      <c r="G61" s="4"/>
      <c r="H61" s="4"/>
      <c r="I61" s="4"/>
      <c r="J61" s="4"/>
      <c r="K61" s="4"/>
      <c r="L61" s="4"/>
    </row>
    <row r="62" spans="1:12">
      <c r="A62" s="4"/>
      <c r="B62" s="4"/>
      <c r="C62" s="4"/>
      <c r="D62" s="4"/>
      <c r="E62" s="4"/>
      <c r="F62" s="4"/>
      <c r="G62" s="4"/>
      <c r="H62" s="4"/>
      <c r="I62" s="4"/>
      <c r="J62" s="4"/>
      <c r="K62" s="4"/>
      <c r="L62" s="4"/>
    </row>
    <row r="63" spans="1:12">
      <c r="A63" s="4"/>
      <c r="B63" s="4"/>
      <c r="C63" s="4"/>
      <c r="D63" s="4"/>
      <c r="E63" s="4"/>
      <c r="F63" s="4"/>
      <c r="G63" s="4"/>
      <c r="H63" s="4"/>
      <c r="I63" s="4"/>
      <c r="J63" s="4"/>
      <c r="K63" s="4"/>
      <c r="L63" s="4"/>
    </row>
    <row r="64" spans="1:12">
      <c r="A64" s="4"/>
      <c r="B64" s="4"/>
      <c r="C64" s="4"/>
      <c r="D64" s="4"/>
      <c r="E64" s="4"/>
      <c r="F64" s="4"/>
      <c r="G64" s="4"/>
      <c r="H64" s="4"/>
      <c r="I64" s="4"/>
      <c r="J64" s="4"/>
      <c r="K64" s="4"/>
      <c r="L64" s="4"/>
    </row>
    <row r="65" spans="1:12">
      <c r="A65" s="4"/>
      <c r="B65" s="4"/>
      <c r="C65" s="4"/>
      <c r="D65" s="4"/>
      <c r="E65" s="4"/>
      <c r="F65" s="4"/>
      <c r="G65" s="4"/>
      <c r="H65" s="4"/>
      <c r="I65" s="4"/>
      <c r="J65" s="4"/>
      <c r="K65" s="4"/>
      <c r="L65" s="4"/>
    </row>
    <row r="66" spans="1:12">
      <c r="A66" s="4"/>
      <c r="B66" s="4"/>
      <c r="C66" s="4"/>
      <c r="D66" s="4"/>
      <c r="E66" s="4"/>
      <c r="F66" s="4"/>
      <c r="G66" s="4"/>
      <c r="H66" s="4"/>
      <c r="I66" s="4"/>
      <c r="J66" s="4"/>
      <c r="K66" s="4"/>
      <c r="L66" s="4"/>
    </row>
    <row r="67" spans="1:12">
      <c r="A67" s="4"/>
      <c r="B67" s="4"/>
      <c r="C67" s="4"/>
      <c r="D67" s="4"/>
      <c r="E67" s="4"/>
      <c r="F67" s="4"/>
      <c r="G67" s="4"/>
      <c r="H67" s="4"/>
      <c r="I67" s="4"/>
      <c r="J67" s="4"/>
      <c r="K67" s="4"/>
      <c r="L67" s="4"/>
    </row>
    <row r="68" spans="1:12">
      <c r="A68" s="4"/>
      <c r="B68" s="4"/>
      <c r="C68" s="4"/>
      <c r="D68" s="4"/>
      <c r="E68" s="4"/>
      <c r="F68" s="4"/>
      <c r="G68" s="4"/>
      <c r="H68" s="4"/>
      <c r="I68" s="4"/>
      <c r="J68" s="4"/>
      <c r="K68" s="4"/>
      <c r="L68" s="4"/>
    </row>
    <row r="69" spans="1:12">
      <c r="A69" s="4"/>
      <c r="B69" s="4"/>
      <c r="C69" s="4"/>
      <c r="D69" s="4"/>
      <c r="E69" s="4"/>
      <c r="F69" s="4"/>
      <c r="G69" s="4"/>
      <c r="H69" s="4"/>
      <c r="I69" s="4"/>
      <c r="J69" s="4"/>
      <c r="K69" s="4"/>
      <c r="L69" s="4"/>
    </row>
    <row r="70" spans="1:12">
      <c r="A70" s="4"/>
      <c r="B70" s="4"/>
      <c r="C70" s="4"/>
      <c r="D70" s="4"/>
      <c r="E70" s="4"/>
      <c r="F70" s="4"/>
      <c r="G70" s="4"/>
      <c r="H70" s="4"/>
      <c r="I70" s="4"/>
      <c r="J70" s="4"/>
      <c r="K70" s="4"/>
      <c r="L70" s="4"/>
    </row>
    <row r="71" spans="1:12">
      <c r="A71" s="4"/>
      <c r="B71" s="4"/>
      <c r="C71" s="4"/>
      <c r="D71" s="4"/>
      <c r="E71" s="4"/>
      <c r="F71" s="4"/>
      <c r="G71" s="4"/>
      <c r="H71" s="4"/>
      <c r="I71" s="4"/>
      <c r="J71" s="4"/>
      <c r="K71" s="4"/>
      <c r="L71" s="4"/>
    </row>
    <row r="72" spans="1:12">
      <c r="A72" s="4"/>
      <c r="B72" s="4"/>
      <c r="C72" s="4"/>
      <c r="D72" s="4"/>
      <c r="E72" s="4"/>
      <c r="F72" s="4"/>
      <c r="G72" s="4"/>
      <c r="H72" s="4"/>
      <c r="I72" s="4"/>
      <c r="J72" s="4"/>
      <c r="K72" s="4"/>
      <c r="L72" s="4"/>
    </row>
    <row r="73" spans="1:12">
      <c r="A73" s="4"/>
      <c r="B73" s="4"/>
      <c r="C73" s="4"/>
      <c r="D73" s="4"/>
      <c r="E73" s="4"/>
      <c r="F73" s="4"/>
      <c r="G73" s="4"/>
      <c r="H73" s="4"/>
      <c r="I73" s="4"/>
      <c r="J73" s="4"/>
      <c r="K73" s="4"/>
      <c r="L73" s="4"/>
    </row>
    <row r="74" spans="1:12">
      <c r="A74" s="4"/>
      <c r="B74" s="4"/>
      <c r="C74" s="4"/>
      <c r="D74" s="4"/>
      <c r="E74" s="4"/>
      <c r="F74" s="4"/>
      <c r="G74" s="4"/>
      <c r="H74" s="4"/>
      <c r="I74" s="4"/>
      <c r="J74" s="4"/>
      <c r="K74" s="4"/>
      <c r="L74" s="4"/>
    </row>
    <row r="75" spans="1:12">
      <c r="A75" s="4"/>
      <c r="B75" s="4"/>
      <c r="C75" s="4"/>
      <c r="D75" s="4"/>
      <c r="E75" s="4"/>
      <c r="F75" s="4"/>
      <c r="G75" s="4"/>
      <c r="H75" s="4"/>
      <c r="I75" s="4"/>
      <c r="J75" s="4"/>
      <c r="K75" s="4"/>
      <c r="L75" s="4"/>
    </row>
    <row r="76" spans="1:12">
      <c r="A76" s="4"/>
      <c r="B76" s="4"/>
      <c r="C76" s="4"/>
      <c r="D76" s="4"/>
      <c r="E76" s="4"/>
      <c r="F76" s="4"/>
      <c r="G76" s="4"/>
      <c r="H76" s="4"/>
      <c r="I76" s="4"/>
      <c r="J76" s="4"/>
      <c r="K76" s="4"/>
      <c r="L76" s="4"/>
    </row>
    <row r="77" spans="1:12">
      <c r="A77" s="4"/>
      <c r="B77" s="4"/>
      <c r="C77" s="4"/>
      <c r="D77" s="4"/>
      <c r="E77" s="4"/>
      <c r="F77" s="4"/>
      <c r="G77" s="4"/>
      <c r="H77" s="4"/>
      <c r="I77" s="4"/>
      <c r="J77" s="4"/>
      <c r="K77" s="4"/>
      <c r="L77" s="4"/>
    </row>
    <row r="78" spans="1:12">
      <c r="A78" s="4"/>
      <c r="B78" s="4"/>
      <c r="C78" s="4"/>
      <c r="D78" s="4"/>
      <c r="E78" s="4"/>
      <c r="F78" s="4"/>
      <c r="G78" s="4"/>
      <c r="H78" s="4"/>
      <c r="I78" s="4"/>
      <c r="J78" s="4"/>
      <c r="K78" s="4"/>
      <c r="L78" s="4"/>
    </row>
    <row r="79" spans="1:12">
      <c r="A79" s="4"/>
      <c r="B79" s="4"/>
      <c r="C79" s="4"/>
      <c r="D79" s="4"/>
      <c r="E79" s="4"/>
      <c r="F79" s="4"/>
      <c r="G79" s="4"/>
      <c r="H79" s="4"/>
      <c r="I79" s="4"/>
      <c r="J79" s="4"/>
      <c r="K79" s="4"/>
      <c r="L79" s="4"/>
    </row>
    <row r="80" spans="1:12">
      <c r="A80" s="4"/>
      <c r="B80" s="4"/>
      <c r="C80" s="4"/>
      <c r="D80" s="4"/>
      <c r="E80" s="4"/>
      <c r="F80" s="4"/>
      <c r="G80" s="4"/>
      <c r="H80" s="4"/>
      <c r="I80" s="4"/>
      <c r="J80" s="4"/>
      <c r="K80" s="4"/>
      <c r="L80" s="4"/>
    </row>
    <row r="81" spans="1:12">
      <c r="A81" s="4"/>
      <c r="B81" s="4"/>
      <c r="C81" s="4"/>
      <c r="D81" s="4"/>
      <c r="E81" s="4"/>
      <c r="F81" s="4"/>
      <c r="G81" s="4"/>
      <c r="H81" s="4"/>
      <c r="I81" s="4"/>
      <c r="J81" s="4"/>
      <c r="K81" s="4"/>
      <c r="L81" s="4"/>
    </row>
    <row r="82" spans="1:12">
      <c r="A82" s="4"/>
      <c r="B82" s="4"/>
      <c r="C82" s="4"/>
      <c r="D82" s="4"/>
      <c r="E82" s="4"/>
      <c r="F82" s="4"/>
      <c r="G82" s="4"/>
      <c r="H82" s="4"/>
      <c r="I82" s="4"/>
      <c r="J82" s="4"/>
      <c r="K82" s="4"/>
      <c r="L82" s="4"/>
    </row>
    <row r="83" spans="1:12">
      <c r="A83" s="4"/>
      <c r="B83" s="4"/>
      <c r="C83" s="4"/>
      <c r="D83" s="4"/>
      <c r="E83" s="4"/>
      <c r="F83" s="4"/>
      <c r="G83" s="4"/>
      <c r="H83" s="4"/>
      <c r="I83" s="4"/>
      <c r="J83" s="4"/>
      <c r="K83" s="4"/>
      <c r="L83" s="4"/>
    </row>
    <row r="84" spans="1:12">
      <c r="A84" s="4"/>
      <c r="B84" s="4"/>
      <c r="C84" s="4"/>
      <c r="D84" s="4"/>
      <c r="E84" s="4"/>
      <c r="F84" s="4"/>
      <c r="G84" s="4"/>
      <c r="H84" s="4"/>
      <c r="I84" s="4"/>
      <c r="J84" s="4"/>
      <c r="K84" s="4"/>
      <c r="L84" s="4"/>
    </row>
    <row r="85" spans="1:12">
      <c r="A85" s="4"/>
      <c r="B85" s="4"/>
      <c r="C85" s="4"/>
      <c r="D85" s="4"/>
      <c r="E85" s="4"/>
      <c r="F85" s="4"/>
      <c r="G85" s="4"/>
      <c r="H85" s="4"/>
      <c r="I85" s="4"/>
      <c r="J85" s="4"/>
      <c r="K85" s="4"/>
      <c r="L85" s="4"/>
    </row>
    <row r="86" spans="1:12">
      <c r="A86" s="4"/>
      <c r="B86" s="4"/>
      <c r="C86" s="4"/>
      <c r="D86" s="4"/>
      <c r="E86" s="4"/>
      <c r="F86" s="4"/>
      <c r="G86" s="4"/>
      <c r="H86" s="4"/>
      <c r="I86" s="4"/>
      <c r="J86" s="4"/>
      <c r="K86" s="4"/>
      <c r="L86" s="4"/>
    </row>
    <row r="87" spans="1:12">
      <c r="A87" s="4"/>
      <c r="B87" s="4"/>
      <c r="C87" s="4"/>
      <c r="D87" s="4"/>
      <c r="E87" s="4"/>
      <c r="F87" s="4"/>
      <c r="G87" s="4"/>
      <c r="H87" s="4"/>
      <c r="I87" s="4"/>
      <c r="J87" s="4"/>
      <c r="K87" s="4"/>
      <c r="L87" s="4"/>
    </row>
    <row r="88" spans="1:12">
      <c r="A88" s="4"/>
      <c r="B88" s="4"/>
      <c r="C88" s="4"/>
      <c r="D88" s="4"/>
      <c r="E88" s="4"/>
      <c r="F88" s="4"/>
      <c r="G88" s="4"/>
      <c r="H88" s="4"/>
      <c r="I88" s="4"/>
      <c r="J88" s="4"/>
      <c r="K88" s="4"/>
      <c r="L88" s="4"/>
    </row>
    <row r="89" spans="1:12">
      <c r="A89" s="4"/>
      <c r="B89" s="4"/>
      <c r="C89" s="4"/>
      <c r="D89" s="4"/>
      <c r="E89" s="4"/>
      <c r="F89" s="4"/>
      <c r="G89" s="4"/>
      <c r="H89" s="4"/>
      <c r="I89" s="4"/>
      <c r="J89" s="4"/>
      <c r="K89" s="4"/>
      <c r="L89" s="4"/>
    </row>
    <row r="90" spans="1:12">
      <c r="A90" s="4"/>
      <c r="B90" s="4"/>
      <c r="C90" s="4"/>
      <c r="D90" s="4"/>
      <c r="E90" s="4"/>
      <c r="F90" s="4"/>
      <c r="G90" s="4"/>
      <c r="H90" s="4"/>
      <c r="I90" s="4"/>
      <c r="J90" s="4"/>
      <c r="K90" s="4"/>
      <c r="L90" s="4"/>
    </row>
    <row r="91" spans="1:12">
      <c r="A91" s="4"/>
      <c r="B91" s="4"/>
      <c r="C91" s="4"/>
      <c r="D91" s="4"/>
      <c r="E91" s="4"/>
      <c r="F91" s="4"/>
      <c r="G91" s="4"/>
      <c r="H91" s="4"/>
      <c r="I91" s="4"/>
      <c r="J91" s="4"/>
      <c r="K91" s="4"/>
      <c r="L91" s="4"/>
    </row>
    <row r="92" spans="1:12">
      <c r="A92" s="4"/>
      <c r="B92" s="4"/>
      <c r="C92" s="4"/>
      <c r="D92" s="4"/>
      <c r="E92" s="4"/>
      <c r="F92" s="4"/>
      <c r="G92" s="4"/>
      <c r="H92" s="4"/>
      <c r="I92" s="4"/>
      <c r="J92" s="4"/>
      <c r="K92" s="4"/>
      <c r="L92" s="4"/>
    </row>
    <row r="93" spans="1:12">
      <c r="A93" s="4"/>
      <c r="B93" s="4"/>
      <c r="C93" s="4"/>
      <c r="D93" s="4"/>
      <c r="E93" s="4"/>
      <c r="F93" s="4"/>
      <c r="G93" s="4"/>
      <c r="H93" s="4"/>
      <c r="I93" s="4"/>
      <c r="J93" s="4"/>
      <c r="K93" s="4"/>
      <c r="L93" s="4"/>
    </row>
    <row r="94" spans="1:12">
      <c r="A94" s="4"/>
      <c r="B94" s="4"/>
      <c r="C94" s="4"/>
      <c r="D94" s="4"/>
      <c r="E94" s="4"/>
      <c r="F94" s="4"/>
      <c r="G94" s="4"/>
      <c r="H94" s="4"/>
      <c r="I94" s="4"/>
      <c r="J94" s="4"/>
      <c r="K94" s="4"/>
      <c r="L94" s="4"/>
    </row>
    <row r="95" spans="1:12">
      <c r="A95" s="4"/>
      <c r="B95" s="4"/>
      <c r="C95" s="4"/>
      <c r="D95" s="4"/>
      <c r="E95" s="4"/>
      <c r="F95" s="4"/>
      <c r="G95" s="4"/>
      <c r="H95" s="4"/>
      <c r="I95" s="4"/>
      <c r="J95" s="4"/>
      <c r="K95" s="4"/>
      <c r="L95" s="4"/>
    </row>
    <row r="96" spans="1:12">
      <c r="A96" s="4"/>
      <c r="B96" s="4"/>
      <c r="C96" s="4"/>
      <c r="D96" s="4"/>
      <c r="E96" s="4"/>
      <c r="F96" s="4"/>
      <c r="G96" s="4"/>
      <c r="H96" s="4"/>
      <c r="I96" s="4"/>
      <c r="J96" s="4"/>
      <c r="K96" s="4"/>
      <c r="L96" s="4"/>
    </row>
    <row r="97" spans="1:12">
      <c r="A97" s="4"/>
      <c r="B97" s="4"/>
      <c r="C97" s="4"/>
      <c r="D97" s="4"/>
      <c r="E97" s="4"/>
      <c r="F97" s="4"/>
      <c r="G97" s="4"/>
      <c r="H97" s="4"/>
      <c r="I97" s="4"/>
      <c r="J97" s="4"/>
      <c r="K97" s="4"/>
      <c r="L97" s="4"/>
    </row>
    <row r="98" spans="1:12">
      <c r="A98" s="4"/>
      <c r="B98" s="4"/>
      <c r="C98" s="4"/>
      <c r="D98" s="4"/>
      <c r="E98" s="4"/>
      <c r="F98" s="4"/>
      <c r="G98" s="4"/>
      <c r="H98" s="4"/>
      <c r="I98" s="4"/>
      <c r="J98" s="4"/>
      <c r="K98" s="4"/>
      <c r="L98" s="4"/>
    </row>
    <row r="99" spans="1:12">
      <c r="A99" s="4"/>
      <c r="B99" s="4"/>
      <c r="C99" s="4"/>
      <c r="D99" s="4"/>
      <c r="E99" s="4"/>
      <c r="F99" s="4"/>
      <c r="G99" s="4"/>
      <c r="H99" s="4"/>
      <c r="I99" s="4"/>
      <c r="J99" s="4"/>
      <c r="K99" s="4"/>
      <c r="L99" s="4"/>
    </row>
    <row r="100" spans="1:12">
      <c r="B100" s="4"/>
      <c r="C100" s="4"/>
      <c r="D100" s="4"/>
      <c r="E100" s="4"/>
      <c r="F100" s="4"/>
      <c r="G100" s="4"/>
      <c r="H100" s="4"/>
      <c r="I100" s="4"/>
      <c r="J100" s="4"/>
      <c r="K100" s="4"/>
      <c r="L100" s="4"/>
    </row>
  </sheetData>
  <mergeCells count="12">
    <mergeCell ref="J3:K3"/>
    <mergeCell ref="L3:L4"/>
    <mergeCell ref="A2:L2"/>
    <mergeCell ref="A3:A4"/>
    <mergeCell ref="B3:B4"/>
    <mergeCell ref="C3:C4"/>
    <mergeCell ref="D3:D4"/>
    <mergeCell ref="E3:E4"/>
    <mergeCell ref="F3:F4"/>
    <mergeCell ref="G3:G4"/>
    <mergeCell ref="H3:H4"/>
    <mergeCell ref="I3:I4"/>
  </mergeCell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5">
        <x14:dataValidation type="list" allowBlank="1" showInputMessage="1" showErrorMessage="1" xr:uid="{8AC0B600-FBF4-4CFF-A2E2-11147EEC6022}">
          <x14:formula1>
            <xm:f>Principal!$Q$25:$Q$27</xm:f>
          </x14:formula1>
          <xm:sqref>G5:G100</xm:sqref>
        </x14:dataValidation>
        <x14:dataValidation type="list" allowBlank="1" showInputMessage="1" showErrorMessage="1" xr:uid="{81F416E6-E61D-477E-A839-9020BC607C8E}">
          <x14:formula1>
            <xm:f>Principal!$Q$41:$Q$59</xm:f>
          </x14:formula1>
          <xm:sqref>B5:B100</xm:sqref>
        </x14:dataValidation>
        <x14:dataValidation type="list" allowBlank="1" showInputMessage="1" showErrorMessage="1" xr:uid="{0E5139A9-2209-4287-ACA3-354C71C13DE1}">
          <x14:formula1>
            <xm:f>Principal!$Q$61:$Q$64</xm:f>
          </x14:formula1>
          <xm:sqref>H5:H100</xm:sqref>
        </x14:dataValidation>
        <x14:dataValidation type="list" allowBlank="1" showInputMessage="1" showErrorMessage="1" xr:uid="{A6847D11-9AA0-4F96-A9D8-37A3A18B731C}">
          <x14:formula1>
            <xm:f>Principal!$Q$66:$Q$68</xm:f>
          </x14:formula1>
          <xm:sqref>I5:I100</xm:sqref>
        </x14:dataValidation>
        <x14:dataValidation type="list" allowBlank="1" showInputMessage="1" showErrorMessage="1" xr:uid="{17E87A32-D021-4345-BE61-B5DDDE934C8D}">
          <x14:formula1>
            <xm:f>Principal!$Q$29:$Q$39</xm:f>
          </x14:formula1>
          <xm:sqref>A5:A99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31A61-CE41-49D9-BC83-41C2A9F7F040}">
  <sheetPr>
    <tabColor theme="5"/>
  </sheetPr>
  <dimension ref="A1:Q75"/>
  <sheetViews>
    <sheetView workbookViewId="0">
      <selection activeCell="B11" sqref="B11"/>
    </sheetView>
  </sheetViews>
  <sheetFormatPr defaultColWidth="9.140625" defaultRowHeight="14.45"/>
  <cols>
    <col min="1" max="1" width="19.7109375" customWidth="1"/>
    <col min="2" max="2" width="46.28515625" customWidth="1"/>
    <col min="3" max="3" width="9.140625" bestFit="1" customWidth="1"/>
    <col min="4" max="4" width="26" customWidth="1"/>
    <col min="5" max="5" width="18.140625" customWidth="1"/>
    <col min="6" max="6" width="12.7109375" customWidth="1"/>
    <col min="7" max="14" width="9.140625" bestFit="1" customWidth="1"/>
    <col min="15" max="15" width="9.140625" customWidth="1"/>
    <col min="16" max="17" width="4.7109375" hidden="1" customWidth="1"/>
    <col min="18" max="18" width="9.140625" customWidth="1"/>
  </cols>
  <sheetData>
    <row r="1" spans="1:17" ht="26.25" customHeight="1">
      <c r="A1" s="342"/>
      <c r="B1" s="342"/>
      <c r="C1" s="342"/>
      <c r="D1" s="342"/>
      <c r="E1" s="342"/>
      <c r="F1" s="342"/>
      <c r="G1" s="342"/>
      <c r="H1" s="342"/>
    </row>
    <row r="2" spans="1:17" ht="15">
      <c r="A2" s="343"/>
      <c r="B2" s="343"/>
      <c r="C2" s="343"/>
      <c r="D2" s="343"/>
      <c r="E2" s="343"/>
      <c r="F2" s="343"/>
      <c r="G2" s="343"/>
      <c r="H2" s="343"/>
    </row>
    <row r="3" spans="1:17" ht="86.25" customHeight="1">
      <c r="B3" s="347"/>
      <c r="C3" s="347"/>
      <c r="D3" s="347"/>
      <c r="E3" s="347"/>
      <c r="F3" s="16"/>
      <c r="G3" s="16">
        <v>0</v>
      </c>
      <c r="H3" s="16"/>
    </row>
    <row r="4" spans="1:17" ht="60" customHeight="1">
      <c r="A4" s="344"/>
      <c r="B4" s="344"/>
      <c r="C4" s="344"/>
      <c r="D4" s="344"/>
      <c r="E4" s="344"/>
      <c r="F4" s="344"/>
      <c r="G4" s="344"/>
      <c r="H4" s="344"/>
    </row>
    <row r="5" spans="1:17" ht="48.75" customHeight="1">
      <c r="A5" s="345" t="s">
        <v>35</v>
      </c>
      <c r="B5" s="345"/>
      <c r="C5" s="345"/>
      <c r="D5" s="345"/>
      <c r="E5" s="345"/>
      <c r="F5" s="345"/>
      <c r="G5" s="345"/>
      <c r="H5" s="345"/>
    </row>
    <row r="6" spans="1:17">
      <c r="A6" s="346" t="s">
        <v>36</v>
      </c>
      <c r="B6" s="346"/>
      <c r="C6" s="23"/>
      <c r="D6" s="339" t="s">
        <v>37</v>
      </c>
      <c r="E6" s="339"/>
      <c r="F6" s="339"/>
      <c r="G6" s="23"/>
      <c r="H6" s="23"/>
    </row>
    <row r="7" spans="1:17">
      <c r="A7" s="340" t="s">
        <v>38</v>
      </c>
      <c r="B7" s="340"/>
      <c r="C7" s="23"/>
      <c r="D7" s="5" t="s">
        <v>39</v>
      </c>
      <c r="E7" s="3" t="s">
        <v>40</v>
      </c>
      <c r="G7" s="13"/>
      <c r="H7" s="23"/>
    </row>
    <row r="8" spans="1:17">
      <c r="D8" s="5" t="s">
        <v>41</v>
      </c>
      <c r="E8" s="3"/>
      <c r="F8" s="15" t="e">
        <f>IF($E$7&gt;0,E8/$E$7,0)</f>
        <v>#VALUE!</v>
      </c>
    </row>
    <row r="9" spans="1:17">
      <c r="A9" s="46" t="s">
        <v>42</v>
      </c>
      <c r="B9" s="48" t="s">
        <v>43</v>
      </c>
      <c r="C9" s="23"/>
      <c r="D9" s="11" t="s">
        <v>44</v>
      </c>
      <c r="E9" s="3" t="s">
        <v>45</v>
      </c>
      <c r="F9" s="15" t="e">
        <f>IF($E$7&gt;0,E9/$E$7,0)</f>
        <v>#VALUE!</v>
      </c>
      <c r="P9" s="12" t="s">
        <v>18</v>
      </c>
      <c r="Q9" t="s">
        <v>46</v>
      </c>
    </row>
    <row r="10" spans="1:17">
      <c r="A10" s="46" t="s">
        <v>47</v>
      </c>
      <c r="C10" s="23"/>
      <c r="D10" s="339" t="s">
        <v>48</v>
      </c>
      <c r="E10" s="339"/>
      <c r="F10" s="339"/>
      <c r="Q10" t="s">
        <v>49</v>
      </c>
    </row>
    <row r="11" spans="1:17" ht="15">
      <c r="A11" s="47"/>
      <c r="B11" s="48" t="s">
        <v>50</v>
      </c>
      <c r="C11" s="23"/>
      <c r="D11" s="14" t="s">
        <v>49</v>
      </c>
      <c r="E11" s="3" t="s">
        <v>51</v>
      </c>
      <c r="F11" s="15" t="e">
        <f>IF($E$9&gt;0,E11/$E$9,0)</f>
        <v>#VALUE!</v>
      </c>
      <c r="Q11" t="s">
        <v>52</v>
      </c>
    </row>
    <row r="12" spans="1:17" ht="15">
      <c r="A12" s="47" t="s">
        <v>53</v>
      </c>
      <c r="B12" s="276" t="s">
        <v>54</v>
      </c>
      <c r="C12" s="23"/>
      <c r="D12" s="14"/>
      <c r="E12" s="3"/>
      <c r="F12" s="15"/>
    </row>
    <row r="13" spans="1:17" ht="15">
      <c r="A13" s="47" t="s">
        <v>55</v>
      </c>
      <c r="B13" s="276" t="s">
        <v>56</v>
      </c>
      <c r="C13" s="23"/>
      <c r="D13" s="14"/>
      <c r="E13" s="3"/>
      <c r="F13" s="15"/>
    </row>
    <row r="14" spans="1:17">
      <c r="A14" s="340" t="s">
        <v>57</v>
      </c>
      <c r="B14" s="340"/>
      <c r="C14" s="23"/>
      <c r="D14" s="5" t="s">
        <v>58</v>
      </c>
      <c r="E14" s="3" t="s">
        <v>59</v>
      </c>
      <c r="F14" s="15" t="e">
        <f>IF($E$9&gt;0,E14/$E$9,0)</f>
        <v>#VALUE!</v>
      </c>
      <c r="Q14" t="s">
        <v>60</v>
      </c>
    </row>
    <row r="15" spans="1:17">
      <c r="A15" s="23" t="s">
        <v>61</v>
      </c>
      <c r="B15" s="7" t="s">
        <v>62</v>
      </c>
      <c r="C15" s="23"/>
      <c r="D15" s="5" t="s">
        <v>63</v>
      </c>
      <c r="E15" s="3" t="s">
        <v>59</v>
      </c>
      <c r="F15" s="15" t="e">
        <f>IF($E$9&gt;0,E15/$E$9,0)</f>
        <v>#VALUE!</v>
      </c>
      <c r="Q15" t="s">
        <v>64</v>
      </c>
    </row>
    <row r="16" spans="1:17">
      <c r="A16" s="32"/>
      <c r="B16" s="8"/>
      <c r="C16" s="23"/>
      <c r="D16" s="5" t="s">
        <v>65</v>
      </c>
      <c r="E16" s="3">
        <v>0</v>
      </c>
      <c r="F16" s="15" t="e">
        <f>IF($E$9&gt;0,E16/$E$9,0)</f>
        <v>#VALUE!</v>
      </c>
      <c r="Q16" t="s">
        <v>10</v>
      </c>
    </row>
    <row r="17" spans="1:17">
      <c r="A17" s="23"/>
      <c r="B17" s="7"/>
      <c r="C17" s="23"/>
      <c r="D17" s="6"/>
      <c r="E17" s="23"/>
      <c r="Q17" t="s">
        <v>66</v>
      </c>
    </row>
    <row r="18" spans="1:17" ht="86.45">
      <c r="A18" s="23" t="s">
        <v>67</v>
      </c>
      <c r="B18" s="7" t="s">
        <v>68</v>
      </c>
      <c r="C18" s="23"/>
      <c r="D18" s="6"/>
      <c r="E18" s="23"/>
      <c r="P18" s="17" t="s">
        <v>69</v>
      </c>
      <c r="Q18" t="s">
        <v>70</v>
      </c>
    </row>
    <row r="19" spans="1:17">
      <c r="A19" s="2" t="s">
        <v>71</v>
      </c>
      <c r="B19" s="7" t="s">
        <v>72</v>
      </c>
      <c r="C19" s="23"/>
      <c r="D19" s="5"/>
      <c r="E19" s="13"/>
      <c r="F19" s="23"/>
      <c r="Q19" t="s">
        <v>73</v>
      </c>
    </row>
    <row r="20" spans="1:17">
      <c r="A20" s="2" t="s">
        <v>74</v>
      </c>
      <c r="B20" s="7" t="s">
        <v>75</v>
      </c>
      <c r="C20" s="23"/>
      <c r="D20" s="9"/>
      <c r="E20" s="23"/>
      <c r="F20" s="23"/>
      <c r="Q20" t="s">
        <v>76</v>
      </c>
    </row>
    <row r="21" spans="1:17">
      <c r="A21" s="23" t="s">
        <v>77</v>
      </c>
      <c r="B21" s="36">
        <v>2427503975</v>
      </c>
      <c r="C21" s="23"/>
      <c r="D21" s="9"/>
      <c r="E21" s="23"/>
      <c r="F21" s="23"/>
      <c r="Q21" t="s">
        <v>78</v>
      </c>
    </row>
    <row r="22" spans="1:17">
      <c r="A22" s="23"/>
      <c r="B22" s="7"/>
      <c r="C22" s="23"/>
      <c r="D22" s="6"/>
      <c r="E22" s="23"/>
      <c r="F22" s="23"/>
      <c r="Q22" t="s">
        <v>79</v>
      </c>
    </row>
    <row r="23" spans="1:17" ht="38.25" customHeight="1">
      <c r="A23" s="341" t="s">
        <v>80</v>
      </c>
      <c r="B23" s="341"/>
      <c r="C23" s="341"/>
      <c r="D23" s="341"/>
      <c r="E23" s="341"/>
      <c r="F23" s="23"/>
      <c r="Q23" t="s">
        <v>81</v>
      </c>
    </row>
    <row r="24" spans="1:17" ht="38.25" customHeight="1">
      <c r="A24" s="132"/>
      <c r="B24" s="132"/>
      <c r="C24" s="132"/>
      <c r="D24" s="132"/>
      <c r="E24" s="132"/>
      <c r="F24" s="23"/>
      <c r="Q24" t="s">
        <v>82</v>
      </c>
    </row>
    <row r="25" spans="1:17" ht="38.25" customHeight="1">
      <c r="A25" s="337"/>
      <c r="B25" s="337"/>
      <c r="C25" s="23"/>
      <c r="D25" s="9"/>
      <c r="E25" s="23"/>
      <c r="F25" s="23"/>
      <c r="P25" s="12" t="s">
        <v>83</v>
      </c>
      <c r="Q25" t="s">
        <v>84</v>
      </c>
    </row>
    <row r="26" spans="1:17">
      <c r="A26" s="337"/>
      <c r="B26" s="337"/>
      <c r="C26" s="23"/>
      <c r="D26" s="6"/>
      <c r="E26" s="23"/>
      <c r="F26" s="23"/>
      <c r="Q26" t="s">
        <v>85</v>
      </c>
    </row>
    <row r="27" spans="1:17">
      <c r="A27" s="338" t="s">
        <v>86</v>
      </c>
      <c r="B27" s="338"/>
      <c r="D27" s="23"/>
      <c r="E27" s="23"/>
      <c r="F27" s="23"/>
      <c r="Q27" t="s">
        <v>87</v>
      </c>
    </row>
    <row r="28" spans="1:17">
      <c r="A28" s="12" t="s">
        <v>88</v>
      </c>
      <c r="B28" s="67" t="s">
        <v>89</v>
      </c>
      <c r="D28" s="23"/>
      <c r="E28" s="23"/>
      <c r="F28" s="23"/>
    </row>
    <row r="29" spans="1:17" ht="93">
      <c r="A29" s="12" t="s">
        <v>55</v>
      </c>
      <c r="B29" s="29" t="s">
        <v>90</v>
      </c>
      <c r="P29" s="12" t="s">
        <v>91</v>
      </c>
      <c r="Q29" s="22" t="s">
        <v>92</v>
      </c>
    </row>
    <row r="30" spans="1:17" ht="106.15">
      <c r="A30" s="12" t="s">
        <v>93</v>
      </c>
      <c r="B30" t="s">
        <v>94</v>
      </c>
      <c r="Q30" s="22" t="s">
        <v>95</v>
      </c>
    </row>
    <row r="31" spans="1:17" ht="185.45">
      <c r="Q31" s="22" t="s">
        <v>96</v>
      </c>
    </row>
    <row r="32" spans="1:17" ht="93.6">
      <c r="B32" s="160" t="s">
        <v>97</v>
      </c>
      <c r="D32" s="161" t="s">
        <v>98</v>
      </c>
      <c r="Q32" s="22" t="s">
        <v>99</v>
      </c>
    </row>
    <row r="33" spans="2:17" ht="17.25" customHeight="1">
      <c r="B33" t="s">
        <v>100</v>
      </c>
      <c r="D33" s="149" t="s">
        <v>101</v>
      </c>
      <c r="Q33" s="22" t="s">
        <v>102</v>
      </c>
    </row>
    <row r="34" spans="2:17" ht="18.75" customHeight="1">
      <c r="B34" t="s">
        <v>103</v>
      </c>
      <c r="D34" t="s">
        <v>104</v>
      </c>
      <c r="Q34" s="22" t="s">
        <v>105</v>
      </c>
    </row>
    <row r="35" spans="2:17" ht="18" customHeight="1">
      <c r="B35" s="54" t="s">
        <v>106</v>
      </c>
      <c r="D35" t="s">
        <v>107</v>
      </c>
      <c r="Q35" s="22" t="s">
        <v>108</v>
      </c>
    </row>
    <row r="36" spans="2:17" ht="93">
      <c r="Q36" s="22" t="s">
        <v>109</v>
      </c>
    </row>
    <row r="37" spans="2:17" ht="79.900000000000006">
      <c r="Q37" s="22" t="s">
        <v>110</v>
      </c>
    </row>
    <row r="38" spans="2:17" ht="79.900000000000006">
      <c r="Q38" s="22" t="s">
        <v>111</v>
      </c>
    </row>
    <row r="39" spans="2:17" ht="106.15">
      <c r="Q39" s="22" t="s">
        <v>112</v>
      </c>
    </row>
    <row r="41" spans="2:17" ht="53.45">
      <c r="P41" s="12" t="s">
        <v>25</v>
      </c>
      <c r="Q41" s="21" t="s">
        <v>113</v>
      </c>
    </row>
    <row r="42" spans="2:17" ht="53.45">
      <c r="Q42" s="21" t="s">
        <v>114</v>
      </c>
    </row>
    <row r="43" spans="2:17" ht="53.45">
      <c r="Q43" s="21" t="s">
        <v>115</v>
      </c>
    </row>
    <row r="44" spans="2:17" ht="79.900000000000006">
      <c r="Q44" s="21" t="s">
        <v>116</v>
      </c>
    </row>
    <row r="45" spans="2:17" ht="93">
      <c r="Q45" s="21" t="s">
        <v>117</v>
      </c>
    </row>
    <row r="46" spans="2:17" ht="93">
      <c r="Q46" s="21" t="s">
        <v>118</v>
      </c>
    </row>
    <row r="47" spans="2:17" ht="66.599999999999994">
      <c r="Q47" s="21" t="s">
        <v>119</v>
      </c>
    </row>
    <row r="48" spans="2:17" ht="93">
      <c r="Q48" s="21" t="s">
        <v>120</v>
      </c>
    </row>
    <row r="49" spans="16:17" ht="93">
      <c r="Q49" s="21" t="s">
        <v>121</v>
      </c>
    </row>
    <row r="50" spans="16:17" ht="119.45">
      <c r="Q50" s="21" t="s">
        <v>122</v>
      </c>
    </row>
    <row r="51" spans="16:17" ht="40.15">
      <c r="Q51" s="21" t="s">
        <v>123</v>
      </c>
    </row>
    <row r="52" spans="16:17" ht="53.45">
      <c r="Q52" s="21" t="s">
        <v>124</v>
      </c>
    </row>
    <row r="53" spans="16:17" ht="79.900000000000006">
      <c r="Q53" s="21" t="s">
        <v>125</v>
      </c>
    </row>
    <row r="54" spans="16:17" ht="79.900000000000006">
      <c r="Q54" s="21" t="s">
        <v>126</v>
      </c>
    </row>
    <row r="55" spans="16:17" ht="93">
      <c r="Q55" s="21" t="s">
        <v>127</v>
      </c>
    </row>
    <row r="56" spans="16:17" ht="40.15">
      <c r="Q56" s="21" t="s">
        <v>128</v>
      </c>
    </row>
    <row r="57" spans="16:17" ht="93">
      <c r="Q57" s="21" t="s">
        <v>129</v>
      </c>
    </row>
    <row r="58" spans="16:17" ht="53.45">
      <c r="Q58" s="21" t="s">
        <v>130</v>
      </c>
    </row>
    <row r="59" spans="16:17" ht="79.900000000000006">
      <c r="Q59" s="21" t="s">
        <v>131</v>
      </c>
    </row>
    <row r="61" spans="16:17" ht="27">
      <c r="P61" s="12" t="s">
        <v>132</v>
      </c>
      <c r="Q61" s="21" t="s">
        <v>133</v>
      </c>
    </row>
    <row r="62" spans="16:17" ht="40.15">
      <c r="Q62" s="21" t="s">
        <v>134</v>
      </c>
    </row>
    <row r="63" spans="16:17" ht="40.15">
      <c r="Q63" s="21" t="s">
        <v>135</v>
      </c>
    </row>
    <row r="64" spans="16:17" ht="40.15">
      <c r="Q64" s="21" t="s">
        <v>136</v>
      </c>
    </row>
    <row r="66" spans="16:17" ht="27">
      <c r="P66" s="12" t="s">
        <v>137</v>
      </c>
      <c r="Q66" s="21" t="s">
        <v>138</v>
      </c>
    </row>
    <row r="67" spans="16:17" ht="40.15">
      <c r="Q67" s="21" t="s">
        <v>139</v>
      </c>
    </row>
    <row r="68" spans="16:17" ht="79.900000000000006">
      <c r="Q68" s="21" t="s">
        <v>140</v>
      </c>
    </row>
    <row r="71" spans="16:17">
      <c r="Q71" t="s">
        <v>141</v>
      </c>
    </row>
    <row r="72" spans="16:17">
      <c r="Q72" t="s">
        <v>142</v>
      </c>
    </row>
    <row r="73" spans="16:17">
      <c r="Q73" t="s">
        <v>143</v>
      </c>
    </row>
    <row r="74" spans="16:17" ht="15"/>
    <row r="75" spans="16:17" ht="15"/>
  </sheetData>
  <mergeCells count="14">
    <mergeCell ref="A1:H1"/>
    <mergeCell ref="A2:H2"/>
    <mergeCell ref="A4:H4"/>
    <mergeCell ref="A5:H5"/>
    <mergeCell ref="A6:B6"/>
    <mergeCell ref="B3:E3"/>
    <mergeCell ref="A26:B26"/>
    <mergeCell ref="A27:B27"/>
    <mergeCell ref="D6:F6"/>
    <mergeCell ref="A7:B7"/>
    <mergeCell ref="D10:F10"/>
    <mergeCell ref="A14:B14"/>
    <mergeCell ref="A25:B25"/>
    <mergeCell ref="A23:E23"/>
  </mergeCells>
  <hyperlinks>
    <hyperlink ref="B9" r:id="rId1" xr:uid="{EEFE495A-72E4-4BC8-9502-CC40E55ECC05}"/>
    <hyperlink ref="B11" r:id="rId2" xr:uid="{069D21D9-A25D-4705-92DC-6978B2F06990}"/>
    <hyperlink ref="B15" r:id="rId3" xr:uid="{7BE68723-E3DC-4836-BE8D-57146EA64F75}"/>
    <hyperlink ref="B19" r:id="rId4" xr:uid="{B24E6A3B-65F8-4E3F-9707-66E66F567AA4}"/>
    <hyperlink ref="B20" r:id="rId5" xr:uid="{F643D3FB-07AC-49A1-85E7-40CA31F0D896}"/>
    <hyperlink ref="B18" r:id="rId6" xr:uid="{C0BBC3B6-BC74-436E-91EC-EDEBC93828DA}"/>
  </hyperlinks>
  <pageMargins left="0.511811024" right="0.511811024" top="0.78740157499999996" bottom="0.78740157499999996" header="0.31496062000000002" footer="0.31496062000000002"/>
  <pageSetup paperSize="9" orientation="portrait" r:id="rId7"/>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45C2E-8439-4471-9D19-8C477CA822AB}">
  <dimension ref="A1:K450"/>
  <sheetViews>
    <sheetView workbookViewId="0">
      <selection activeCell="B8" sqref="B8"/>
    </sheetView>
  </sheetViews>
  <sheetFormatPr defaultRowHeight="14.45"/>
  <cols>
    <col min="1" max="1" width="8.7109375" style="92" customWidth="1"/>
    <col min="2" max="2" width="9" style="92" customWidth="1"/>
    <col min="3" max="3" width="47" style="64" customWidth="1"/>
    <col min="4" max="4" width="40.85546875" style="64" customWidth="1"/>
    <col min="5" max="5" width="29.42578125" style="64" customWidth="1"/>
    <col min="6" max="6" width="41.42578125" style="64" customWidth="1"/>
    <col min="7" max="7" width="35"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68"/>
      <c r="B1" s="68"/>
      <c r="C1" s="89" t="s">
        <v>0</v>
      </c>
      <c r="D1" s="90"/>
      <c r="E1" s="89" t="s">
        <v>1</v>
      </c>
      <c r="F1" s="87">
        <f>COUNTA(H8:H450)</f>
        <v>0</v>
      </c>
      <c r="G1" s="86" t="s">
        <v>2</v>
      </c>
      <c r="H1" s="87">
        <f>COUNTIFS(H$8:H$450,"=Sucesso")</f>
        <v>0</v>
      </c>
      <c r="I1" s="68"/>
      <c r="J1" s="68"/>
      <c r="K1" s="68"/>
    </row>
    <row r="2" spans="1:11">
      <c r="A2" s="68"/>
      <c r="B2" s="68"/>
      <c r="C2" s="86" t="s">
        <v>3</v>
      </c>
      <c r="D2" s="87"/>
      <c r="E2" s="89" t="s">
        <v>4</v>
      </c>
      <c r="F2" s="87">
        <f>COUNTIF(H8:H450,"=Não Executado")</f>
        <v>0</v>
      </c>
      <c r="G2" s="86" t="s">
        <v>5</v>
      </c>
      <c r="H2" s="87">
        <f>COUNTIFS(H$8:H$450,"=Falha")</f>
        <v>0</v>
      </c>
      <c r="I2" s="68"/>
      <c r="J2" s="68"/>
      <c r="K2" s="68"/>
    </row>
    <row r="3" spans="1:11">
      <c r="A3" s="68"/>
      <c r="B3" s="68"/>
      <c r="C3" s="86" t="s">
        <v>6</v>
      </c>
      <c r="D3" s="86"/>
      <c r="E3" s="86" t="s">
        <v>7</v>
      </c>
      <c r="F3" s="87">
        <f>COUNTIFS(H8:H450,"=Falha") + COUNTIFS(H8:H450,"=Sucesso") + COUNTIFS(H8:H450,"=Pendência Externa")+ COUNTIFS(H8:H450,"=Demanda")+ COUNTIFS(H8:H450,"=Sugestão")</f>
        <v>0</v>
      </c>
      <c r="G3" s="86" t="s">
        <v>8</v>
      </c>
      <c r="H3" s="87">
        <f>COUNTIFS(H$8:H$450,"=Pendência Externa")</f>
        <v>0</v>
      </c>
      <c r="I3" s="68"/>
      <c r="J3" s="68"/>
      <c r="K3" s="91"/>
    </row>
    <row r="4" spans="1:11">
      <c r="A4" s="68"/>
      <c r="B4" s="68"/>
      <c r="C4" s="68"/>
      <c r="D4" s="86"/>
      <c r="E4" s="86" t="s">
        <v>9</v>
      </c>
      <c r="F4" s="88">
        <f>IF(COUNTA(H8:H450)&gt;0,F3/IF(COUNTA(H8:H450)=0, 1, COUNTA(H8:H450)),0)</f>
        <v>0</v>
      </c>
      <c r="G4" s="86" t="s">
        <v>10</v>
      </c>
      <c r="H4" s="87">
        <f>COUNTIFS(H$8:H$450,"=Sugestão")</f>
        <v>0</v>
      </c>
      <c r="I4" s="68"/>
      <c r="J4" s="68"/>
      <c r="K4" s="68"/>
    </row>
    <row r="5" spans="1:11">
      <c r="A5" s="68"/>
      <c r="B5" s="68"/>
      <c r="C5" s="68"/>
      <c r="D5" s="68"/>
      <c r="E5" s="68"/>
      <c r="F5" s="68"/>
      <c r="G5" s="68"/>
      <c r="H5" s="68"/>
      <c r="I5" s="68"/>
      <c r="J5" s="68"/>
      <c r="K5" s="68"/>
    </row>
    <row r="6" spans="1:11" ht="15" customHeight="1">
      <c r="A6" s="326" t="s">
        <v>11</v>
      </c>
      <c r="B6" s="323" t="s">
        <v>12</v>
      </c>
      <c r="C6" s="326" t="s">
        <v>13</v>
      </c>
      <c r="D6" s="326" t="s">
        <v>14</v>
      </c>
      <c r="E6" s="323" t="s">
        <v>15</v>
      </c>
      <c r="F6" s="326" t="s">
        <v>16</v>
      </c>
      <c r="G6" s="323" t="s">
        <v>17</v>
      </c>
      <c r="H6" s="323" t="s">
        <v>18</v>
      </c>
      <c r="I6" s="1" t="s">
        <v>19</v>
      </c>
      <c r="J6" s="323" t="s">
        <v>20</v>
      </c>
      <c r="K6" s="323" t="s">
        <v>21</v>
      </c>
    </row>
    <row r="7" spans="1:11">
      <c r="A7" s="323"/>
      <c r="B7" s="325"/>
      <c r="C7" s="323"/>
      <c r="D7" s="323"/>
      <c r="E7" s="324"/>
      <c r="F7" s="323"/>
      <c r="G7" s="324"/>
      <c r="H7" s="324"/>
      <c r="I7" s="138"/>
      <c r="J7" s="325"/>
      <c r="K7" s="324"/>
    </row>
    <row r="8" spans="1:11" ht="90" customHeight="1">
      <c r="A8" s="93"/>
      <c r="B8" s="85" t="str">
        <f t="shared" ref="B8:B71" si="0">IFERROR(IF(VLOOKUP($A8,CTINTERVALO,2,0)=0,"",VLOOKUP($A8,CTINTERVALO,2,0)),"")</f>
        <v/>
      </c>
      <c r="C8" s="85" t="str">
        <f>IF($B8="Não", "BLOQUEADO (Aguardar liberação)", IFERROR(IF(VLOOKUP($A8,CTINTERVALO,3,0)=0,"",VLOOKUP($A8,CTINTERVALO,3,0)),""))</f>
        <v/>
      </c>
      <c r="D8" s="85" t="str">
        <f>IF($B8="Não", "BLOQUEADO (Aguardar liberação)", IFERROR(IF(VLOOKUP($A8,CTINTERVALO,4,0)=0,"",VLOOKUP($A8,CTINTERVALO,4,0)),""))</f>
        <v/>
      </c>
      <c r="E8" s="85"/>
      <c r="F8" s="85" t="str">
        <f t="shared" ref="F8:F71" si="1">IF($B8="Não", "BLOQUEADO (Aguardar liberação)", IFERROR(IF(VLOOKUP($A8,CTINTERVALO,6,0)=0,"",VLOOKUP($A8,CTINTERVALO,6,0)),""))</f>
        <v/>
      </c>
      <c r="G8" s="80"/>
      <c r="H8" s="80"/>
      <c r="I8" s="79"/>
      <c r="J8" s="79"/>
      <c r="K8" s="80"/>
    </row>
    <row r="9" spans="1:11" ht="105.75" customHeight="1">
      <c r="A9" s="93"/>
      <c r="B9" s="85" t="str">
        <f t="shared" si="0"/>
        <v/>
      </c>
      <c r="C9" s="85" t="str">
        <f t="shared" ref="C9:C72" si="2">IF($B9="Não", "BLOQUEADO (Aguardar liberação)", IFERROR(IF(VLOOKUP($A9,CTINTERVALO,3,0)=0,"",VLOOKUP($A9,CTINTERVALO,3,0)),""))</f>
        <v/>
      </c>
      <c r="D9" s="85" t="str">
        <f t="shared" ref="D9:D72" si="3">IF($B9="Não", "BLOQUEADO (Aguardar liberação)", IFERROR(IF(VLOOKUP($A9,CTINTERVALO,4,0)=0,"",VLOOKUP($A9,CTINTERVALO,4,0)),""))</f>
        <v/>
      </c>
      <c r="E9" s="85"/>
      <c r="F9" s="85" t="str">
        <f t="shared" si="1"/>
        <v/>
      </c>
      <c r="G9" s="80"/>
      <c r="H9" s="80"/>
      <c r="I9" s="79"/>
      <c r="J9" s="79"/>
      <c r="K9" s="80"/>
    </row>
    <row r="10" spans="1:11" ht="116.25" customHeight="1">
      <c r="A10" s="93"/>
      <c r="B10" s="85" t="str">
        <f t="shared" si="0"/>
        <v/>
      </c>
      <c r="C10" s="85" t="str">
        <f t="shared" si="2"/>
        <v/>
      </c>
      <c r="D10" s="85" t="str">
        <f t="shared" si="3"/>
        <v/>
      </c>
      <c r="E10" s="85"/>
      <c r="F10" s="85" t="str">
        <f t="shared" si="1"/>
        <v/>
      </c>
      <c r="G10" s="80"/>
      <c r="H10" s="80"/>
      <c r="I10" s="79"/>
      <c r="J10" s="79"/>
      <c r="K10" s="80"/>
    </row>
    <row r="11" spans="1:11" ht="116.25" customHeight="1">
      <c r="A11" s="93"/>
      <c r="B11" s="85" t="str">
        <f t="shared" si="0"/>
        <v/>
      </c>
      <c r="C11" s="85" t="str">
        <f t="shared" si="2"/>
        <v/>
      </c>
      <c r="D11" s="85" t="str">
        <f t="shared" si="3"/>
        <v/>
      </c>
      <c r="E11" s="85"/>
      <c r="F11" s="85" t="str">
        <f t="shared" si="1"/>
        <v/>
      </c>
      <c r="G11" s="80"/>
      <c r="H11" s="80"/>
      <c r="I11" s="79"/>
      <c r="J11" s="79"/>
      <c r="K11" s="80"/>
    </row>
    <row r="12" spans="1:11" ht="123" customHeight="1">
      <c r="A12" s="93"/>
      <c r="B12" s="85" t="str">
        <f t="shared" si="0"/>
        <v/>
      </c>
      <c r="C12" s="85" t="str">
        <f t="shared" si="2"/>
        <v/>
      </c>
      <c r="D12" s="85" t="str">
        <f t="shared" si="3"/>
        <v/>
      </c>
      <c r="E12" s="85"/>
      <c r="F12" s="85" t="str">
        <f t="shared" si="1"/>
        <v/>
      </c>
      <c r="G12" s="80"/>
      <c r="H12" s="80"/>
      <c r="I12" s="79"/>
      <c r="J12" s="79"/>
      <c r="K12" s="80"/>
    </row>
    <row r="13" spans="1:11">
      <c r="A13" s="93"/>
      <c r="B13" s="85" t="str">
        <f t="shared" si="0"/>
        <v/>
      </c>
      <c r="C13" s="85" t="str">
        <f t="shared" si="2"/>
        <v/>
      </c>
      <c r="D13" s="85" t="str">
        <f t="shared" si="3"/>
        <v/>
      </c>
      <c r="E13" s="85"/>
      <c r="F13" s="85" t="str">
        <f t="shared" si="1"/>
        <v/>
      </c>
      <c r="G13" s="80"/>
      <c r="H13" s="80"/>
      <c r="I13" s="79"/>
      <c r="J13" s="79"/>
      <c r="K13" s="80"/>
    </row>
    <row r="14" spans="1:11">
      <c r="A14" s="93"/>
      <c r="B14" s="85" t="str">
        <f t="shared" si="0"/>
        <v/>
      </c>
      <c r="C14" s="85" t="str">
        <f t="shared" si="2"/>
        <v/>
      </c>
      <c r="D14" s="85" t="str">
        <f t="shared" si="3"/>
        <v/>
      </c>
      <c r="E14" s="85"/>
      <c r="F14" s="85" t="str">
        <f t="shared" si="1"/>
        <v/>
      </c>
      <c r="G14" s="80"/>
      <c r="H14" s="80"/>
      <c r="I14" s="79"/>
      <c r="J14" s="79"/>
      <c r="K14" s="80"/>
    </row>
    <row r="15" spans="1:11">
      <c r="A15" s="93"/>
      <c r="B15" s="85" t="str">
        <f t="shared" si="0"/>
        <v/>
      </c>
      <c r="C15" s="85" t="str">
        <f t="shared" si="2"/>
        <v/>
      </c>
      <c r="D15" s="85" t="str">
        <f t="shared" si="3"/>
        <v/>
      </c>
      <c r="E15" s="85"/>
      <c r="F15" s="85" t="str">
        <f t="shared" si="1"/>
        <v/>
      </c>
      <c r="G15" s="80"/>
      <c r="H15" s="80"/>
      <c r="I15" s="79"/>
      <c r="J15" s="79"/>
      <c r="K15" s="80"/>
    </row>
    <row r="16" spans="1:11">
      <c r="A16" s="93"/>
      <c r="B16" s="85" t="str">
        <f t="shared" si="0"/>
        <v/>
      </c>
      <c r="C16" s="85" t="str">
        <f t="shared" si="2"/>
        <v/>
      </c>
      <c r="D16" s="85" t="str">
        <f t="shared" si="3"/>
        <v/>
      </c>
      <c r="E16" s="85"/>
      <c r="F16" s="85" t="str">
        <f t="shared" si="1"/>
        <v/>
      </c>
      <c r="G16" s="80"/>
      <c r="H16" s="80"/>
      <c r="I16" s="79"/>
      <c r="J16" s="79"/>
      <c r="K16" s="80"/>
    </row>
    <row r="17" spans="1:11">
      <c r="A17" s="93"/>
      <c r="B17" s="85" t="str">
        <f t="shared" si="0"/>
        <v/>
      </c>
      <c r="C17" s="85" t="str">
        <f t="shared" si="2"/>
        <v/>
      </c>
      <c r="D17" s="85" t="str">
        <f t="shared" si="3"/>
        <v/>
      </c>
      <c r="E17" s="85"/>
      <c r="F17" s="85" t="str">
        <f t="shared" si="1"/>
        <v/>
      </c>
      <c r="G17" s="80"/>
      <c r="H17" s="80"/>
      <c r="I17" s="79"/>
      <c r="J17" s="79"/>
      <c r="K17" s="80"/>
    </row>
    <row r="18" spans="1:11">
      <c r="A18" s="93"/>
      <c r="B18" s="85" t="str">
        <f t="shared" si="0"/>
        <v/>
      </c>
      <c r="C18" s="85" t="str">
        <f t="shared" si="2"/>
        <v/>
      </c>
      <c r="D18" s="85" t="str">
        <f t="shared" si="3"/>
        <v/>
      </c>
      <c r="E18" s="85"/>
      <c r="F18" s="85" t="str">
        <f t="shared" si="1"/>
        <v/>
      </c>
      <c r="G18" s="80"/>
      <c r="H18" s="80"/>
      <c r="I18" s="79"/>
      <c r="J18" s="79"/>
      <c r="K18" s="80"/>
    </row>
    <row r="19" spans="1:11">
      <c r="A19" s="93"/>
      <c r="B19" s="85" t="str">
        <f t="shared" si="0"/>
        <v/>
      </c>
      <c r="C19" s="85" t="str">
        <f t="shared" si="2"/>
        <v/>
      </c>
      <c r="D19" s="85" t="str">
        <f t="shared" si="3"/>
        <v/>
      </c>
      <c r="E19" s="85"/>
      <c r="F19" s="85" t="str">
        <f t="shared" si="1"/>
        <v/>
      </c>
      <c r="G19" s="80"/>
      <c r="H19" s="80"/>
      <c r="I19" s="79"/>
      <c r="J19" s="79"/>
      <c r="K19" s="80"/>
    </row>
    <row r="20" spans="1:11">
      <c r="A20" s="93"/>
      <c r="B20" s="85" t="str">
        <f t="shared" si="0"/>
        <v/>
      </c>
      <c r="C20" s="85" t="str">
        <f t="shared" si="2"/>
        <v/>
      </c>
      <c r="D20" s="85" t="str">
        <f t="shared" si="3"/>
        <v/>
      </c>
      <c r="E20" s="85"/>
      <c r="F20" s="85" t="str">
        <f t="shared" si="1"/>
        <v/>
      </c>
      <c r="G20" s="80"/>
      <c r="H20" s="80"/>
      <c r="I20" s="79"/>
      <c r="J20" s="79"/>
      <c r="K20" s="80"/>
    </row>
    <row r="21" spans="1:11">
      <c r="A21" s="93"/>
      <c r="B21" s="85" t="str">
        <f t="shared" si="0"/>
        <v/>
      </c>
      <c r="C21" s="85" t="str">
        <f t="shared" si="2"/>
        <v/>
      </c>
      <c r="D21" s="85" t="str">
        <f t="shared" si="3"/>
        <v/>
      </c>
      <c r="E21" s="85"/>
      <c r="F21" s="85" t="str">
        <f t="shared" si="1"/>
        <v/>
      </c>
      <c r="G21" s="80"/>
      <c r="H21" s="80"/>
      <c r="I21" s="79"/>
      <c r="J21" s="79"/>
      <c r="K21" s="80"/>
    </row>
    <row r="22" spans="1:11">
      <c r="A22" s="93"/>
      <c r="B22" s="85" t="str">
        <f t="shared" si="0"/>
        <v/>
      </c>
      <c r="C22" s="85" t="str">
        <f t="shared" si="2"/>
        <v/>
      </c>
      <c r="D22" s="85" t="str">
        <f t="shared" si="3"/>
        <v/>
      </c>
      <c r="E22" s="85"/>
      <c r="F22" s="85" t="str">
        <f t="shared" si="1"/>
        <v/>
      </c>
      <c r="G22" s="80"/>
      <c r="H22" s="80"/>
      <c r="I22" s="79"/>
      <c r="J22" s="79"/>
      <c r="K22" s="80"/>
    </row>
    <row r="23" spans="1:11">
      <c r="A23" s="93"/>
      <c r="B23" s="85" t="str">
        <f t="shared" si="0"/>
        <v/>
      </c>
      <c r="C23" s="85" t="str">
        <f t="shared" si="2"/>
        <v/>
      </c>
      <c r="D23" s="85" t="str">
        <f t="shared" si="3"/>
        <v/>
      </c>
      <c r="E23" s="85"/>
      <c r="F23" s="85" t="str">
        <f t="shared" si="1"/>
        <v/>
      </c>
      <c r="G23" s="80"/>
      <c r="H23" s="80"/>
      <c r="I23" s="79"/>
      <c r="J23" s="79"/>
      <c r="K23" s="80"/>
    </row>
    <row r="24" spans="1:11">
      <c r="A24" s="93"/>
      <c r="B24" s="85" t="str">
        <f t="shared" si="0"/>
        <v/>
      </c>
      <c r="C24" s="85" t="str">
        <f t="shared" si="2"/>
        <v/>
      </c>
      <c r="D24" s="85" t="str">
        <f t="shared" si="3"/>
        <v/>
      </c>
      <c r="E24" s="85"/>
      <c r="F24" s="85" t="str">
        <f t="shared" si="1"/>
        <v/>
      </c>
      <c r="G24" s="80"/>
      <c r="H24" s="80"/>
      <c r="I24" s="79"/>
      <c r="J24" s="79"/>
      <c r="K24" s="80"/>
    </row>
    <row r="25" spans="1:11">
      <c r="A25" s="93"/>
      <c r="B25" s="85" t="str">
        <f t="shared" si="0"/>
        <v/>
      </c>
      <c r="C25" s="85" t="str">
        <f t="shared" si="2"/>
        <v/>
      </c>
      <c r="D25" s="85" t="str">
        <f t="shared" si="3"/>
        <v/>
      </c>
      <c r="E25" s="85"/>
      <c r="F25" s="85" t="str">
        <f t="shared" si="1"/>
        <v/>
      </c>
      <c r="G25" s="80"/>
      <c r="H25" s="80"/>
      <c r="I25" s="79"/>
      <c r="J25" s="79"/>
      <c r="K25" s="80"/>
    </row>
    <row r="26" spans="1:11">
      <c r="A26" s="93"/>
      <c r="B26" s="85" t="str">
        <f t="shared" si="0"/>
        <v/>
      </c>
      <c r="C26" s="85" t="str">
        <f t="shared" si="2"/>
        <v/>
      </c>
      <c r="D26" s="85" t="str">
        <f t="shared" si="3"/>
        <v/>
      </c>
      <c r="E26" s="85"/>
      <c r="F26" s="85" t="str">
        <f t="shared" si="1"/>
        <v/>
      </c>
      <c r="G26" s="80"/>
      <c r="H26" s="80"/>
      <c r="I26" s="79"/>
      <c r="J26" s="79"/>
      <c r="K26" s="80"/>
    </row>
    <row r="27" spans="1:11">
      <c r="A27" s="93"/>
      <c r="B27" s="85" t="str">
        <f t="shared" si="0"/>
        <v/>
      </c>
      <c r="C27" s="85" t="str">
        <f t="shared" si="2"/>
        <v/>
      </c>
      <c r="D27" s="85" t="str">
        <f t="shared" si="3"/>
        <v/>
      </c>
      <c r="E27" s="85"/>
      <c r="F27" s="85" t="str">
        <f t="shared" si="1"/>
        <v/>
      </c>
      <c r="G27" s="80"/>
      <c r="H27" s="80"/>
      <c r="I27" s="79"/>
      <c r="J27" s="79"/>
      <c r="K27" s="80"/>
    </row>
    <row r="28" spans="1:11">
      <c r="A28" s="93"/>
      <c r="B28" s="85" t="str">
        <f t="shared" si="0"/>
        <v/>
      </c>
      <c r="C28" s="85" t="str">
        <f t="shared" si="2"/>
        <v/>
      </c>
      <c r="D28" s="85" t="str">
        <f t="shared" si="3"/>
        <v/>
      </c>
      <c r="E28" s="85"/>
      <c r="F28" s="85" t="str">
        <f t="shared" si="1"/>
        <v/>
      </c>
      <c r="G28" s="80"/>
      <c r="H28" s="80"/>
      <c r="I28" s="79"/>
      <c r="J28" s="79"/>
      <c r="K28" s="80"/>
    </row>
    <row r="29" spans="1:11">
      <c r="A29" s="93"/>
      <c r="B29" s="85" t="str">
        <f t="shared" si="0"/>
        <v/>
      </c>
      <c r="C29" s="85" t="str">
        <f t="shared" si="2"/>
        <v/>
      </c>
      <c r="D29" s="85" t="str">
        <f t="shared" si="3"/>
        <v/>
      </c>
      <c r="E29" s="85"/>
      <c r="F29" s="85" t="str">
        <f t="shared" si="1"/>
        <v/>
      </c>
      <c r="G29" s="80"/>
      <c r="H29" s="80"/>
      <c r="I29" s="79"/>
      <c r="J29" s="79"/>
      <c r="K29" s="80"/>
    </row>
    <row r="30" spans="1:11">
      <c r="A30" s="93"/>
      <c r="B30" s="85" t="str">
        <f t="shared" si="0"/>
        <v/>
      </c>
      <c r="C30" s="85" t="str">
        <f t="shared" si="2"/>
        <v/>
      </c>
      <c r="D30" s="85" t="str">
        <f t="shared" si="3"/>
        <v/>
      </c>
      <c r="E30" s="85"/>
      <c r="F30" s="85" t="str">
        <f t="shared" si="1"/>
        <v/>
      </c>
      <c r="G30" s="80"/>
      <c r="H30" s="80"/>
      <c r="I30" s="79"/>
      <c r="J30" s="79"/>
      <c r="K30" s="80"/>
    </row>
    <row r="31" spans="1:11">
      <c r="A31" s="93"/>
      <c r="B31" s="85" t="str">
        <f t="shared" si="0"/>
        <v/>
      </c>
      <c r="C31" s="85" t="str">
        <f t="shared" si="2"/>
        <v/>
      </c>
      <c r="D31" s="85" t="str">
        <f t="shared" si="3"/>
        <v/>
      </c>
      <c r="E31" s="85"/>
      <c r="F31" s="85" t="str">
        <f t="shared" si="1"/>
        <v/>
      </c>
      <c r="G31" s="80"/>
      <c r="H31" s="80"/>
      <c r="I31" s="79"/>
      <c r="J31" s="79"/>
      <c r="K31" s="80"/>
    </row>
    <row r="32" spans="1:11">
      <c r="A32" s="93"/>
      <c r="B32" s="85" t="str">
        <f t="shared" si="0"/>
        <v/>
      </c>
      <c r="C32" s="85" t="str">
        <f t="shared" si="2"/>
        <v/>
      </c>
      <c r="D32" s="85" t="str">
        <f t="shared" si="3"/>
        <v/>
      </c>
      <c r="E32" s="85"/>
      <c r="F32" s="85" t="str">
        <f t="shared" si="1"/>
        <v/>
      </c>
      <c r="G32" s="80"/>
      <c r="H32" s="80"/>
      <c r="I32" s="79"/>
      <c r="J32" s="79"/>
      <c r="K32" s="80"/>
    </row>
    <row r="33" spans="1:11">
      <c r="A33" s="93"/>
      <c r="B33" s="85" t="str">
        <f t="shared" si="0"/>
        <v/>
      </c>
      <c r="C33" s="85" t="str">
        <f t="shared" si="2"/>
        <v/>
      </c>
      <c r="D33" s="85" t="str">
        <f t="shared" si="3"/>
        <v/>
      </c>
      <c r="E33" s="85"/>
      <c r="F33" s="85" t="str">
        <f t="shared" si="1"/>
        <v/>
      </c>
      <c r="G33" s="80"/>
      <c r="H33" s="80"/>
      <c r="I33" s="79"/>
      <c r="J33" s="79"/>
      <c r="K33" s="80"/>
    </row>
    <row r="34" spans="1:11">
      <c r="A34" s="93"/>
      <c r="B34" s="85" t="str">
        <f t="shared" si="0"/>
        <v/>
      </c>
      <c r="C34" s="85" t="str">
        <f t="shared" si="2"/>
        <v/>
      </c>
      <c r="D34" s="85" t="str">
        <f t="shared" si="3"/>
        <v/>
      </c>
      <c r="E34" s="85"/>
      <c r="F34" s="85" t="str">
        <f t="shared" si="1"/>
        <v/>
      </c>
      <c r="G34" s="80"/>
      <c r="H34" s="80"/>
      <c r="I34" s="79"/>
      <c r="J34" s="79"/>
      <c r="K34" s="80"/>
    </row>
    <row r="35" spans="1:11">
      <c r="A35" s="93"/>
      <c r="B35" s="85" t="str">
        <f t="shared" si="0"/>
        <v/>
      </c>
      <c r="C35" s="85" t="str">
        <f t="shared" si="2"/>
        <v/>
      </c>
      <c r="D35" s="85" t="str">
        <f t="shared" si="3"/>
        <v/>
      </c>
      <c r="E35" s="85"/>
      <c r="F35" s="85" t="str">
        <f t="shared" si="1"/>
        <v/>
      </c>
      <c r="G35" s="80"/>
      <c r="H35" s="80"/>
      <c r="I35" s="79"/>
      <c r="J35" s="79"/>
      <c r="K35" s="80"/>
    </row>
    <row r="36" spans="1:11">
      <c r="A36" s="93"/>
      <c r="B36" s="85" t="str">
        <f t="shared" si="0"/>
        <v/>
      </c>
      <c r="C36" s="85" t="str">
        <f t="shared" si="2"/>
        <v/>
      </c>
      <c r="D36" s="85" t="str">
        <f t="shared" si="3"/>
        <v/>
      </c>
      <c r="E36" s="85"/>
      <c r="F36" s="85" t="str">
        <f t="shared" si="1"/>
        <v/>
      </c>
      <c r="G36" s="80"/>
      <c r="H36" s="80"/>
      <c r="I36" s="79"/>
      <c r="J36" s="79"/>
      <c r="K36" s="80"/>
    </row>
    <row r="37" spans="1:11">
      <c r="A37" s="93"/>
      <c r="B37" s="85" t="str">
        <f t="shared" si="0"/>
        <v/>
      </c>
      <c r="C37" s="85" t="str">
        <f t="shared" si="2"/>
        <v/>
      </c>
      <c r="D37" s="85" t="str">
        <f t="shared" si="3"/>
        <v/>
      </c>
      <c r="E37" s="85"/>
      <c r="F37" s="85" t="str">
        <f t="shared" si="1"/>
        <v/>
      </c>
      <c r="G37" s="80"/>
      <c r="H37" s="80"/>
      <c r="I37" s="79"/>
      <c r="J37" s="79"/>
      <c r="K37" s="80"/>
    </row>
    <row r="38" spans="1:11">
      <c r="A38" s="93"/>
      <c r="B38" s="85" t="str">
        <f t="shared" si="0"/>
        <v/>
      </c>
      <c r="C38" s="85" t="str">
        <f t="shared" si="2"/>
        <v/>
      </c>
      <c r="D38" s="85" t="str">
        <f t="shared" si="3"/>
        <v/>
      </c>
      <c r="E38" s="85"/>
      <c r="F38" s="85" t="str">
        <f t="shared" si="1"/>
        <v/>
      </c>
      <c r="G38" s="80"/>
      <c r="H38" s="80"/>
      <c r="I38" s="79"/>
      <c r="J38" s="79"/>
      <c r="K38" s="80"/>
    </row>
    <row r="39" spans="1:11">
      <c r="A39" s="93"/>
      <c r="B39" s="85" t="str">
        <f t="shared" si="0"/>
        <v/>
      </c>
      <c r="C39" s="85" t="str">
        <f t="shared" si="2"/>
        <v/>
      </c>
      <c r="D39" s="85" t="str">
        <f t="shared" si="3"/>
        <v/>
      </c>
      <c r="E39" s="85"/>
      <c r="F39" s="85" t="str">
        <f t="shared" si="1"/>
        <v/>
      </c>
      <c r="G39" s="80"/>
      <c r="H39" s="80"/>
      <c r="I39" s="79"/>
      <c r="J39" s="79"/>
      <c r="K39" s="80"/>
    </row>
    <row r="40" spans="1:11">
      <c r="A40" s="93"/>
      <c r="B40" s="85" t="str">
        <f t="shared" si="0"/>
        <v/>
      </c>
      <c r="C40" s="85" t="str">
        <f t="shared" si="2"/>
        <v/>
      </c>
      <c r="D40" s="85" t="str">
        <f t="shared" si="3"/>
        <v/>
      </c>
      <c r="E40" s="85"/>
      <c r="F40" s="85" t="str">
        <f t="shared" si="1"/>
        <v/>
      </c>
      <c r="G40" s="80"/>
      <c r="H40" s="80"/>
      <c r="I40" s="79"/>
      <c r="J40" s="79"/>
      <c r="K40" s="80"/>
    </row>
    <row r="41" spans="1:11">
      <c r="A41" s="93"/>
      <c r="B41" s="85" t="str">
        <f t="shared" si="0"/>
        <v/>
      </c>
      <c r="C41" s="85" t="str">
        <f t="shared" si="2"/>
        <v/>
      </c>
      <c r="D41" s="85" t="str">
        <f t="shared" si="3"/>
        <v/>
      </c>
      <c r="E41" s="85"/>
      <c r="F41" s="85" t="str">
        <f t="shared" si="1"/>
        <v/>
      </c>
      <c r="G41" s="80"/>
      <c r="H41" s="80"/>
      <c r="I41" s="79"/>
      <c r="J41" s="79"/>
      <c r="K41" s="80"/>
    </row>
    <row r="42" spans="1:11">
      <c r="A42" s="93"/>
      <c r="B42" s="85" t="str">
        <f t="shared" si="0"/>
        <v/>
      </c>
      <c r="C42" s="85" t="str">
        <f t="shared" si="2"/>
        <v/>
      </c>
      <c r="D42" s="85" t="str">
        <f t="shared" si="3"/>
        <v/>
      </c>
      <c r="E42" s="85"/>
      <c r="F42" s="85" t="str">
        <f t="shared" si="1"/>
        <v/>
      </c>
      <c r="G42" s="80"/>
      <c r="H42" s="80"/>
      <c r="I42" s="79"/>
      <c r="J42" s="79"/>
      <c r="K42" s="80"/>
    </row>
    <row r="43" spans="1:11">
      <c r="A43" s="93"/>
      <c r="B43" s="85" t="str">
        <f t="shared" si="0"/>
        <v/>
      </c>
      <c r="C43" s="85" t="str">
        <f t="shared" si="2"/>
        <v/>
      </c>
      <c r="D43" s="85" t="str">
        <f t="shared" si="3"/>
        <v/>
      </c>
      <c r="E43" s="85"/>
      <c r="F43" s="85" t="str">
        <f t="shared" si="1"/>
        <v/>
      </c>
      <c r="G43" s="80"/>
      <c r="H43" s="80"/>
      <c r="I43" s="79"/>
      <c r="J43" s="79"/>
      <c r="K43" s="80"/>
    </row>
    <row r="44" spans="1:11">
      <c r="A44" s="93"/>
      <c r="B44" s="85" t="str">
        <f t="shared" si="0"/>
        <v/>
      </c>
      <c r="C44" s="85" t="str">
        <f t="shared" si="2"/>
        <v/>
      </c>
      <c r="D44" s="85" t="str">
        <f t="shared" si="3"/>
        <v/>
      </c>
      <c r="E44" s="85"/>
      <c r="F44" s="85" t="str">
        <f t="shared" si="1"/>
        <v/>
      </c>
      <c r="G44" s="80"/>
      <c r="H44" s="80"/>
      <c r="I44" s="79"/>
      <c r="J44" s="79"/>
      <c r="K44" s="80"/>
    </row>
    <row r="45" spans="1:11">
      <c r="A45" s="93"/>
      <c r="B45" s="85" t="str">
        <f t="shared" si="0"/>
        <v/>
      </c>
      <c r="C45" s="85" t="str">
        <f t="shared" si="2"/>
        <v/>
      </c>
      <c r="D45" s="85" t="str">
        <f t="shared" si="3"/>
        <v/>
      </c>
      <c r="E45" s="85"/>
      <c r="F45" s="85" t="str">
        <f t="shared" si="1"/>
        <v/>
      </c>
      <c r="G45" s="80"/>
      <c r="H45" s="80"/>
      <c r="I45" s="79"/>
      <c r="J45" s="79"/>
      <c r="K45" s="80"/>
    </row>
    <row r="46" spans="1:11">
      <c r="A46" s="93"/>
      <c r="B46" s="85" t="str">
        <f t="shared" si="0"/>
        <v/>
      </c>
      <c r="C46" s="85" t="str">
        <f t="shared" si="2"/>
        <v/>
      </c>
      <c r="D46" s="85" t="str">
        <f t="shared" si="3"/>
        <v/>
      </c>
      <c r="E46" s="85"/>
      <c r="F46" s="85" t="str">
        <f t="shared" si="1"/>
        <v/>
      </c>
      <c r="G46" s="80"/>
      <c r="H46" s="80"/>
      <c r="I46" s="79"/>
      <c r="J46" s="79"/>
      <c r="K46" s="80"/>
    </row>
    <row r="47" spans="1:11">
      <c r="A47" s="93"/>
      <c r="B47" s="85" t="str">
        <f t="shared" si="0"/>
        <v/>
      </c>
      <c r="C47" s="85" t="str">
        <f t="shared" si="2"/>
        <v/>
      </c>
      <c r="D47" s="85" t="str">
        <f t="shared" si="3"/>
        <v/>
      </c>
      <c r="E47" s="85"/>
      <c r="F47" s="85" t="str">
        <f t="shared" si="1"/>
        <v/>
      </c>
      <c r="G47" s="80"/>
      <c r="H47" s="80"/>
      <c r="I47" s="79"/>
      <c r="J47" s="79"/>
      <c r="K47" s="80"/>
    </row>
    <row r="48" spans="1:11">
      <c r="A48" s="93"/>
      <c r="B48" s="85" t="str">
        <f t="shared" si="0"/>
        <v/>
      </c>
      <c r="C48" s="85" t="str">
        <f t="shared" si="2"/>
        <v/>
      </c>
      <c r="D48" s="85" t="str">
        <f t="shared" si="3"/>
        <v/>
      </c>
      <c r="E48" s="85"/>
      <c r="F48" s="85" t="str">
        <f t="shared" si="1"/>
        <v/>
      </c>
      <c r="G48" s="80"/>
      <c r="H48" s="80"/>
      <c r="I48" s="79"/>
      <c r="J48" s="79"/>
      <c r="K48" s="80"/>
    </row>
    <row r="49" spans="1:11">
      <c r="A49" s="93"/>
      <c r="B49" s="85" t="str">
        <f t="shared" si="0"/>
        <v/>
      </c>
      <c r="C49" s="85" t="str">
        <f t="shared" si="2"/>
        <v/>
      </c>
      <c r="D49" s="85" t="str">
        <f t="shared" si="3"/>
        <v/>
      </c>
      <c r="E49" s="85"/>
      <c r="F49" s="85" t="str">
        <f t="shared" si="1"/>
        <v/>
      </c>
      <c r="G49" s="80"/>
      <c r="H49" s="80"/>
      <c r="I49" s="79"/>
      <c r="J49" s="79"/>
      <c r="K49" s="80"/>
    </row>
    <row r="50" spans="1:11">
      <c r="A50" s="93"/>
      <c r="B50" s="85" t="str">
        <f t="shared" si="0"/>
        <v/>
      </c>
      <c r="C50" s="85" t="str">
        <f t="shared" si="2"/>
        <v/>
      </c>
      <c r="D50" s="85" t="str">
        <f t="shared" si="3"/>
        <v/>
      </c>
      <c r="E50" s="85"/>
      <c r="F50" s="85" t="str">
        <f t="shared" si="1"/>
        <v/>
      </c>
      <c r="G50" s="80"/>
      <c r="H50" s="80"/>
      <c r="I50" s="79"/>
      <c r="J50" s="79"/>
      <c r="K50" s="80"/>
    </row>
    <row r="51" spans="1:11">
      <c r="A51" s="93"/>
      <c r="B51" s="85" t="str">
        <f t="shared" si="0"/>
        <v/>
      </c>
      <c r="C51" s="85" t="str">
        <f t="shared" si="2"/>
        <v/>
      </c>
      <c r="D51" s="85" t="str">
        <f t="shared" si="3"/>
        <v/>
      </c>
      <c r="E51" s="85"/>
      <c r="F51" s="85" t="str">
        <f t="shared" si="1"/>
        <v/>
      </c>
      <c r="G51" s="80"/>
      <c r="H51" s="80"/>
      <c r="I51" s="79"/>
      <c r="J51" s="79"/>
      <c r="K51" s="80"/>
    </row>
    <row r="52" spans="1:11">
      <c r="A52" s="93"/>
      <c r="B52" s="85" t="str">
        <f t="shared" si="0"/>
        <v/>
      </c>
      <c r="C52" s="85" t="str">
        <f t="shared" si="2"/>
        <v/>
      </c>
      <c r="D52" s="85" t="str">
        <f t="shared" si="3"/>
        <v/>
      </c>
      <c r="E52" s="85"/>
      <c r="F52" s="85" t="str">
        <f t="shared" si="1"/>
        <v/>
      </c>
      <c r="G52" s="80"/>
      <c r="H52" s="80"/>
      <c r="I52" s="79"/>
      <c r="J52" s="79"/>
      <c r="K52" s="80"/>
    </row>
    <row r="53" spans="1:11">
      <c r="A53" s="93"/>
      <c r="B53" s="85" t="str">
        <f t="shared" si="0"/>
        <v/>
      </c>
      <c r="C53" s="85" t="str">
        <f t="shared" si="2"/>
        <v/>
      </c>
      <c r="D53" s="85" t="str">
        <f t="shared" si="3"/>
        <v/>
      </c>
      <c r="E53" s="85"/>
      <c r="F53" s="85" t="str">
        <f t="shared" si="1"/>
        <v/>
      </c>
      <c r="G53" s="80"/>
      <c r="H53" s="80"/>
      <c r="I53" s="79"/>
      <c r="J53" s="79"/>
      <c r="K53" s="80"/>
    </row>
    <row r="54" spans="1:11">
      <c r="A54" s="93"/>
      <c r="B54" s="85" t="str">
        <f t="shared" si="0"/>
        <v/>
      </c>
      <c r="C54" s="85" t="str">
        <f t="shared" si="2"/>
        <v/>
      </c>
      <c r="D54" s="85" t="str">
        <f t="shared" si="3"/>
        <v/>
      </c>
      <c r="E54" s="85"/>
      <c r="F54" s="85" t="str">
        <f t="shared" si="1"/>
        <v/>
      </c>
      <c r="G54" s="80"/>
      <c r="H54" s="80"/>
      <c r="I54" s="79"/>
      <c r="J54" s="79"/>
      <c r="K54" s="80"/>
    </row>
    <row r="55" spans="1:11">
      <c r="A55" s="93"/>
      <c r="B55" s="85" t="str">
        <f t="shared" si="0"/>
        <v/>
      </c>
      <c r="C55" s="85" t="str">
        <f t="shared" si="2"/>
        <v/>
      </c>
      <c r="D55" s="85" t="str">
        <f t="shared" si="3"/>
        <v/>
      </c>
      <c r="E55" s="85"/>
      <c r="F55" s="85" t="str">
        <f t="shared" si="1"/>
        <v/>
      </c>
      <c r="G55" s="80"/>
      <c r="H55" s="80"/>
      <c r="I55" s="79"/>
      <c r="J55" s="79"/>
      <c r="K55" s="80"/>
    </row>
    <row r="56" spans="1:11">
      <c r="A56" s="93"/>
      <c r="B56" s="85" t="str">
        <f t="shared" si="0"/>
        <v/>
      </c>
      <c r="C56" s="85" t="str">
        <f t="shared" si="2"/>
        <v/>
      </c>
      <c r="D56" s="85" t="str">
        <f t="shared" si="3"/>
        <v/>
      </c>
      <c r="E56" s="85"/>
      <c r="F56" s="85" t="str">
        <f t="shared" si="1"/>
        <v/>
      </c>
      <c r="G56" s="80"/>
      <c r="H56" s="80"/>
      <c r="I56" s="79"/>
      <c r="J56" s="79"/>
      <c r="K56" s="80"/>
    </row>
    <row r="57" spans="1:11">
      <c r="A57" s="93"/>
      <c r="B57" s="85" t="str">
        <f t="shared" si="0"/>
        <v/>
      </c>
      <c r="C57" s="85" t="str">
        <f t="shared" si="2"/>
        <v/>
      </c>
      <c r="D57" s="85" t="str">
        <f t="shared" si="3"/>
        <v/>
      </c>
      <c r="E57" s="85"/>
      <c r="F57" s="85" t="str">
        <f t="shared" si="1"/>
        <v/>
      </c>
      <c r="G57" s="80"/>
      <c r="H57" s="80"/>
      <c r="I57" s="79"/>
      <c r="J57" s="79"/>
      <c r="K57" s="80"/>
    </row>
    <row r="58" spans="1:11">
      <c r="A58" s="93"/>
      <c r="B58" s="85" t="str">
        <f t="shared" si="0"/>
        <v/>
      </c>
      <c r="C58" s="85" t="str">
        <f t="shared" si="2"/>
        <v/>
      </c>
      <c r="D58" s="85" t="str">
        <f t="shared" si="3"/>
        <v/>
      </c>
      <c r="E58" s="85"/>
      <c r="F58" s="85" t="str">
        <f t="shared" si="1"/>
        <v/>
      </c>
      <c r="G58" s="80"/>
      <c r="H58" s="80"/>
      <c r="I58" s="79"/>
      <c r="J58" s="79"/>
      <c r="K58" s="80"/>
    </row>
    <row r="59" spans="1:11">
      <c r="A59" s="93"/>
      <c r="B59" s="85" t="str">
        <f t="shared" si="0"/>
        <v/>
      </c>
      <c r="C59" s="85" t="str">
        <f t="shared" si="2"/>
        <v/>
      </c>
      <c r="D59" s="85" t="str">
        <f t="shared" si="3"/>
        <v/>
      </c>
      <c r="E59" s="85"/>
      <c r="F59" s="85" t="str">
        <f t="shared" si="1"/>
        <v/>
      </c>
      <c r="G59" s="80"/>
      <c r="H59" s="80"/>
      <c r="I59" s="79"/>
      <c r="J59" s="79"/>
      <c r="K59" s="80"/>
    </row>
    <row r="60" spans="1:11">
      <c r="A60" s="93"/>
      <c r="B60" s="85" t="str">
        <f t="shared" si="0"/>
        <v/>
      </c>
      <c r="C60" s="85" t="str">
        <f t="shared" si="2"/>
        <v/>
      </c>
      <c r="D60" s="85" t="str">
        <f t="shared" si="3"/>
        <v/>
      </c>
      <c r="E60" s="85"/>
      <c r="F60" s="85" t="str">
        <f t="shared" si="1"/>
        <v/>
      </c>
      <c r="G60" s="80"/>
      <c r="H60" s="80"/>
      <c r="I60" s="79"/>
      <c r="J60" s="79"/>
      <c r="K60" s="80"/>
    </row>
    <row r="61" spans="1:11">
      <c r="A61" s="93"/>
      <c r="B61" s="85" t="str">
        <f t="shared" si="0"/>
        <v/>
      </c>
      <c r="C61" s="85" t="str">
        <f t="shared" si="2"/>
        <v/>
      </c>
      <c r="D61" s="85" t="str">
        <f t="shared" si="3"/>
        <v/>
      </c>
      <c r="E61" s="85"/>
      <c r="F61" s="85" t="str">
        <f t="shared" si="1"/>
        <v/>
      </c>
      <c r="G61" s="80"/>
      <c r="H61" s="80"/>
      <c r="I61" s="79"/>
      <c r="J61" s="79"/>
      <c r="K61" s="80"/>
    </row>
    <row r="62" spans="1:11">
      <c r="A62" s="93"/>
      <c r="B62" s="85" t="str">
        <f t="shared" si="0"/>
        <v/>
      </c>
      <c r="C62" s="85" t="str">
        <f t="shared" si="2"/>
        <v/>
      </c>
      <c r="D62" s="85" t="str">
        <f t="shared" si="3"/>
        <v/>
      </c>
      <c r="E62" s="85"/>
      <c r="F62" s="85" t="str">
        <f t="shared" si="1"/>
        <v/>
      </c>
      <c r="G62" s="80"/>
      <c r="H62" s="80"/>
      <c r="I62" s="79"/>
      <c r="J62" s="79"/>
      <c r="K62" s="80"/>
    </row>
    <row r="63" spans="1:11">
      <c r="A63" s="93"/>
      <c r="B63" s="85" t="str">
        <f t="shared" si="0"/>
        <v/>
      </c>
      <c r="C63" s="85" t="str">
        <f t="shared" si="2"/>
        <v/>
      </c>
      <c r="D63" s="85" t="str">
        <f t="shared" si="3"/>
        <v/>
      </c>
      <c r="E63" s="85"/>
      <c r="F63" s="85" t="str">
        <f t="shared" si="1"/>
        <v/>
      </c>
      <c r="G63" s="80"/>
      <c r="H63" s="80"/>
      <c r="I63" s="79"/>
      <c r="J63" s="79"/>
      <c r="K63" s="80"/>
    </row>
    <row r="64" spans="1:11">
      <c r="A64" s="93"/>
      <c r="B64" s="85" t="str">
        <f t="shared" si="0"/>
        <v/>
      </c>
      <c r="C64" s="85" t="str">
        <f t="shared" si="2"/>
        <v/>
      </c>
      <c r="D64" s="85" t="str">
        <f t="shared" si="3"/>
        <v/>
      </c>
      <c r="E64" s="85"/>
      <c r="F64" s="85" t="str">
        <f t="shared" si="1"/>
        <v/>
      </c>
      <c r="G64" s="80"/>
      <c r="H64" s="80"/>
      <c r="I64" s="79"/>
      <c r="J64" s="79"/>
      <c r="K64" s="80"/>
    </row>
    <row r="65" spans="1:11">
      <c r="A65" s="93"/>
      <c r="B65" s="85" t="str">
        <f t="shared" si="0"/>
        <v/>
      </c>
      <c r="C65" s="85" t="str">
        <f t="shared" si="2"/>
        <v/>
      </c>
      <c r="D65" s="85" t="str">
        <f t="shared" si="3"/>
        <v/>
      </c>
      <c r="E65" s="85"/>
      <c r="F65" s="85" t="str">
        <f t="shared" si="1"/>
        <v/>
      </c>
      <c r="G65" s="80"/>
      <c r="H65" s="80"/>
      <c r="I65" s="79"/>
      <c r="J65" s="79"/>
      <c r="K65" s="80"/>
    </row>
    <row r="66" spans="1:11">
      <c r="A66" s="93"/>
      <c r="B66" s="85" t="str">
        <f t="shared" si="0"/>
        <v/>
      </c>
      <c r="C66" s="85" t="str">
        <f t="shared" si="2"/>
        <v/>
      </c>
      <c r="D66" s="85" t="str">
        <f t="shared" si="3"/>
        <v/>
      </c>
      <c r="E66" s="85"/>
      <c r="F66" s="85" t="str">
        <f t="shared" si="1"/>
        <v/>
      </c>
      <c r="G66" s="80"/>
      <c r="H66" s="80"/>
      <c r="I66" s="79"/>
      <c r="J66" s="79"/>
      <c r="K66" s="80"/>
    </row>
    <row r="67" spans="1:11">
      <c r="A67" s="93"/>
      <c r="B67" s="85" t="str">
        <f t="shared" si="0"/>
        <v/>
      </c>
      <c r="C67" s="85" t="str">
        <f t="shared" si="2"/>
        <v/>
      </c>
      <c r="D67" s="85" t="str">
        <f t="shared" si="3"/>
        <v/>
      </c>
      <c r="E67" s="85"/>
      <c r="F67" s="85" t="str">
        <f t="shared" si="1"/>
        <v/>
      </c>
      <c r="G67" s="80"/>
      <c r="H67" s="80"/>
      <c r="I67" s="79"/>
      <c r="J67" s="79"/>
      <c r="K67" s="80"/>
    </row>
    <row r="68" spans="1:11">
      <c r="A68" s="93"/>
      <c r="B68" s="85" t="str">
        <f t="shared" si="0"/>
        <v/>
      </c>
      <c r="C68" s="85" t="str">
        <f t="shared" si="2"/>
        <v/>
      </c>
      <c r="D68" s="85" t="str">
        <f t="shared" si="3"/>
        <v/>
      </c>
      <c r="E68" s="85"/>
      <c r="F68" s="85" t="str">
        <f t="shared" si="1"/>
        <v/>
      </c>
      <c r="G68" s="80"/>
      <c r="H68" s="80"/>
      <c r="I68" s="79"/>
      <c r="J68" s="79"/>
      <c r="K68" s="80"/>
    </row>
    <row r="69" spans="1:11">
      <c r="A69" s="93"/>
      <c r="B69" s="85" t="str">
        <f t="shared" si="0"/>
        <v/>
      </c>
      <c r="C69" s="85" t="str">
        <f t="shared" si="2"/>
        <v/>
      </c>
      <c r="D69" s="85" t="str">
        <f t="shared" si="3"/>
        <v/>
      </c>
      <c r="E69" s="85"/>
      <c r="F69" s="85" t="str">
        <f t="shared" si="1"/>
        <v/>
      </c>
      <c r="G69" s="80"/>
      <c r="H69" s="80"/>
      <c r="I69" s="79"/>
      <c r="J69" s="79"/>
      <c r="K69" s="80"/>
    </row>
    <row r="70" spans="1:11">
      <c r="A70" s="93"/>
      <c r="B70" s="85" t="str">
        <f t="shared" si="0"/>
        <v/>
      </c>
      <c r="C70" s="85" t="str">
        <f t="shared" si="2"/>
        <v/>
      </c>
      <c r="D70" s="85" t="str">
        <f t="shared" si="3"/>
        <v/>
      </c>
      <c r="E70" s="85"/>
      <c r="F70" s="85" t="str">
        <f t="shared" si="1"/>
        <v/>
      </c>
      <c r="G70" s="80"/>
      <c r="H70" s="80"/>
      <c r="I70" s="79"/>
      <c r="J70" s="79"/>
      <c r="K70" s="80"/>
    </row>
    <row r="71" spans="1:11">
      <c r="A71" s="93"/>
      <c r="B71" s="85" t="str">
        <f t="shared" si="0"/>
        <v/>
      </c>
      <c r="C71" s="85" t="str">
        <f t="shared" si="2"/>
        <v/>
      </c>
      <c r="D71" s="85" t="str">
        <f t="shared" si="3"/>
        <v/>
      </c>
      <c r="E71" s="85"/>
      <c r="F71" s="85" t="str">
        <f t="shared" si="1"/>
        <v/>
      </c>
      <c r="G71" s="80"/>
      <c r="H71" s="80"/>
      <c r="I71" s="79"/>
      <c r="J71" s="79"/>
      <c r="K71" s="80"/>
    </row>
    <row r="72" spans="1:11">
      <c r="A72" s="93"/>
      <c r="B72" s="85" t="str">
        <f t="shared" ref="B72:B135" si="4">IFERROR(IF(VLOOKUP($A72,CTINTERVALO,2,0)=0,"",VLOOKUP($A72,CTINTERVALO,2,0)),"")</f>
        <v/>
      </c>
      <c r="C72" s="85" t="str">
        <f t="shared" si="2"/>
        <v/>
      </c>
      <c r="D72" s="85" t="str">
        <f t="shared" si="3"/>
        <v/>
      </c>
      <c r="E72" s="85"/>
      <c r="F72" s="85" t="str">
        <f t="shared" ref="F72:F135" si="5">IF($B72="Não", "BLOQUEADO (Aguardar liberação)", IFERROR(IF(VLOOKUP($A72,CTINTERVALO,6,0)=0,"",VLOOKUP($A72,CTINTERVALO,6,0)),""))</f>
        <v/>
      </c>
      <c r="G72" s="80"/>
      <c r="H72" s="80"/>
      <c r="I72" s="79"/>
      <c r="J72" s="79"/>
      <c r="K72" s="80"/>
    </row>
    <row r="73" spans="1:11">
      <c r="A73" s="93"/>
      <c r="B73" s="85" t="str">
        <f t="shared" si="4"/>
        <v/>
      </c>
      <c r="C73" s="85" t="str">
        <f t="shared" ref="C73:C136" si="6">IF($B73="Não", "BLOQUEADO (Aguardar liberação)", IFERROR(IF(VLOOKUP($A73,CTINTERVALO,3,0)=0,"",VLOOKUP($A73,CTINTERVALO,3,0)),""))</f>
        <v/>
      </c>
      <c r="D73" s="85" t="str">
        <f t="shared" ref="D73:D136" si="7">IF($B73="Não", "BLOQUEADO (Aguardar liberação)", IFERROR(IF(VLOOKUP($A73,CTINTERVALO,4,0)=0,"",VLOOKUP($A73,CTINTERVALO,4,0)),""))</f>
        <v/>
      </c>
      <c r="E73" s="85"/>
      <c r="F73" s="85" t="str">
        <f t="shared" si="5"/>
        <v/>
      </c>
      <c r="G73" s="80"/>
      <c r="H73" s="80"/>
      <c r="I73" s="79"/>
      <c r="J73" s="79"/>
      <c r="K73" s="80"/>
    </row>
    <row r="74" spans="1:11">
      <c r="A74" s="93"/>
      <c r="B74" s="85" t="str">
        <f t="shared" si="4"/>
        <v/>
      </c>
      <c r="C74" s="85" t="str">
        <f t="shared" si="6"/>
        <v/>
      </c>
      <c r="D74" s="85" t="str">
        <f t="shared" si="7"/>
        <v/>
      </c>
      <c r="E74" s="85"/>
      <c r="F74" s="85" t="str">
        <f t="shared" si="5"/>
        <v/>
      </c>
      <c r="G74" s="80"/>
      <c r="H74" s="80"/>
      <c r="I74" s="79"/>
      <c r="J74" s="79"/>
      <c r="K74" s="80"/>
    </row>
    <row r="75" spans="1:11">
      <c r="A75" s="93"/>
      <c r="B75" s="85" t="str">
        <f t="shared" si="4"/>
        <v/>
      </c>
      <c r="C75" s="85" t="str">
        <f t="shared" si="6"/>
        <v/>
      </c>
      <c r="D75" s="85" t="str">
        <f t="shared" si="7"/>
        <v/>
      </c>
      <c r="E75" s="85"/>
      <c r="F75" s="85" t="str">
        <f t="shared" si="5"/>
        <v/>
      </c>
      <c r="G75" s="80"/>
      <c r="H75" s="80"/>
      <c r="I75" s="79"/>
      <c r="J75" s="79"/>
      <c r="K75" s="80"/>
    </row>
    <row r="76" spans="1:11">
      <c r="A76" s="93"/>
      <c r="B76" s="85" t="str">
        <f t="shared" si="4"/>
        <v/>
      </c>
      <c r="C76" s="85" t="str">
        <f t="shared" si="6"/>
        <v/>
      </c>
      <c r="D76" s="85" t="str">
        <f t="shared" si="7"/>
        <v/>
      </c>
      <c r="E76" s="85"/>
      <c r="F76" s="85" t="str">
        <f t="shared" si="5"/>
        <v/>
      </c>
      <c r="G76" s="80"/>
      <c r="H76" s="80"/>
      <c r="I76" s="79"/>
      <c r="J76" s="79"/>
      <c r="K76" s="80"/>
    </row>
    <row r="77" spans="1:11">
      <c r="A77" s="93"/>
      <c r="B77" s="85" t="str">
        <f t="shared" si="4"/>
        <v/>
      </c>
      <c r="C77" s="85" t="str">
        <f t="shared" si="6"/>
        <v/>
      </c>
      <c r="D77" s="85" t="str">
        <f t="shared" si="7"/>
        <v/>
      </c>
      <c r="E77" s="85"/>
      <c r="F77" s="85" t="str">
        <f t="shared" si="5"/>
        <v/>
      </c>
      <c r="G77" s="80"/>
      <c r="H77" s="80"/>
      <c r="I77" s="79"/>
      <c r="J77" s="79"/>
      <c r="K77" s="80"/>
    </row>
    <row r="78" spans="1:11">
      <c r="A78" s="93"/>
      <c r="B78" s="85" t="str">
        <f t="shared" si="4"/>
        <v/>
      </c>
      <c r="C78" s="85" t="str">
        <f t="shared" si="6"/>
        <v/>
      </c>
      <c r="D78" s="85" t="str">
        <f t="shared" si="7"/>
        <v/>
      </c>
      <c r="E78" s="85"/>
      <c r="F78" s="85" t="str">
        <f t="shared" si="5"/>
        <v/>
      </c>
      <c r="G78" s="80"/>
      <c r="H78" s="80"/>
      <c r="I78" s="79"/>
      <c r="J78" s="79"/>
      <c r="K78" s="80"/>
    </row>
    <row r="79" spans="1:11">
      <c r="A79" s="93"/>
      <c r="B79" s="85" t="str">
        <f t="shared" si="4"/>
        <v/>
      </c>
      <c r="C79" s="85" t="str">
        <f t="shared" si="6"/>
        <v/>
      </c>
      <c r="D79" s="85" t="str">
        <f t="shared" si="7"/>
        <v/>
      </c>
      <c r="E79" s="85"/>
      <c r="F79" s="85" t="str">
        <f t="shared" si="5"/>
        <v/>
      </c>
      <c r="G79" s="80"/>
      <c r="H79" s="80"/>
      <c r="I79" s="79"/>
      <c r="J79" s="79"/>
      <c r="K79" s="80"/>
    </row>
    <row r="80" spans="1:11">
      <c r="A80" s="93"/>
      <c r="B80" s="85" t="str">
        <f t="shared" si="4"/>
        <v/>
      </c>
      <c r="C80" s="85" t="str">
        <f t="shared" si="6"/>
        <v/>
      </c>
      <c r="D80" s="85" t="str">
        <f t="shared" si="7"/>
        <v/>
      </c>
      <c r="E80" s="85"/>
      <c r="F80" s="85" t="str">
        <f t="shared" si="5"/>
        <v/>
      </c>
      <c r="G80" s="80"/>
      <c r="H80" s="80"/>
      <c r="I80" s="79"/>
      <c r="J80" s="79"/>
      <c r="K80" s="80"/>
    </row>
    <row r="81" spans="1:11">
      <c r="A81" s="93"/>
      <c r="B81" s="85" t="str">
        <f t="shared" si="4"/>
        <v/>
      </c>
      <c r="C81" s="85" t="str">
        <f t="shared" si="6"/>
        <v/>
      </c>
      <c r="D81" s="85" t="str">
        <f t="shared" si="7"/>
        <v/>
      </c>
      <c r="E81" s="85"/>
      <c r="F81" s="85" t="str">
        <f t="shared" si="5"/>
        <v/>
      </c>
      <c r="G81" s="80"/>
      <c r="H81" s="80"/>
      <c r="I81" s="79"/>
      <c r="J81" s="79"/>
      <c r="K81" s="80"/>
    </row>
    <row r="82" spans="1:11">
      <c r="A82" s="93"/>
      <c r="B82" s="85" t="str">
        <f t="shared" si="4"/>
        <v/>
      </c>
      <c r="C82" s="85" t="str">
        <f t="shared" si="6"/>
        <v/>
      </c>
      <c r="D82" s="85" t="str">
        <f t="shared" si="7"/>
        <v/>
      </c>
      <c r="E82" s="85"/>
      <c r="F82" s="85" t="str">
        <f t="shared" si="5"/>
        <v/>
      </c>
      <c r="G82" s="80"/>
      <c r="H82" s="80"/>
      <c r="I82" s="79"/>
      <c r="J82" s="79"/>
      <c r="K82" s="80"/>
    </row>
    <row r="83" spans="1:11">
      <c r="A83" s="93"/>
      <c r="B83" s="85" t="str">
        <f t="shared" si="4"/>
        <v/>
      </c>
      <c r="C83" s="85" t="str">
        <f t="shared" si="6"/>
        <v/>
      </c>
      <c r="D83" s="85" t="str">
        <f t="shared" si="7"/>
        <v/>
      </c>
      <c r="E83" s="85"/>
      <c r="F83" s="85" t="str">
        <f t="shared" si="5"/>
        <v/>
      </c>
      <c r="G83" s="80"/>
      <c r="H83" s="80"/>
      <c r="I83" s="79"/>
      <c r="J83" s="79"/>
      <c r="K83" s="80"/>
    </row>
    <row r="84" spans="1:11">
      <c r="A84" s="93"/>
      <c r="B84" s="85" t="str">
        <f t="shared" si="4"/>
        <v/>
      </c>
      <c r="C84" s="85" t="str">
        <f t="shared" si="6"/>
        <v/>
      </c>
      <c r="D84" s="85" t="str">
        <f t="shared" si="7"/>
        <v/>
      </c>
      <c r="E84" s="85"/>
      <c r="F84" s="85" t="str">
        <f t="shared" si="5"/>
        <v/>
      </c>
      <c r="G84" s="80"/>
      <c r="H84" s="80"/>
      <c r="I84" s="79"/>
      <c r="J84" s="79"/>
      <c r="K84" s="80"/>
    </row>
    <row r="85" spans="1:11">
      <c r="A85" s="93"/>
      <c r="B85" s="85" t="str">
        <f t="shared" si="4"/>
        <v/>
      </c>
      <c r="C85" s="85" t="str">
        <f t="shared" si="6"/>
        <v/>
      </c>
      <c r="D85" s="85" t="str">
        <f t="shared" si="7"/>
        <v/>
      </c>
      <c r="E85" s="85"/>
      <c r="F85" s="85" t="str">
        <f t="shared" si="5"/>
        <v/>
      </c>
      <c r="G85" s="80"/>
      <c r="H85" s="80"/>
      <c r="I85" s="79"/>
      <c r="J85" s="79"/>
      <c r="K85" s="80"/>
    </row>
    <row r="86" spans="1:11">
      <c r="A86" s="93"/>
      <c r="B86" s="85" t="str">
        <f t="shared" si="4"/>
        <v/>
      </c>
      <c r="C86" s="85" t="str">
        <f t="shared" si="6"/>
        <v/>
      </c>
      <c r="D86" s="85" t="str">
        <f t="shared" si="7"/>
        <v/>
      </c>
      <c r="E86" s="85"/>
      <c r="F86" s="85" t="str">
        <f t="shared" si="5"/>
        <v/>
      </c>
      <c r="G86" s="80"/>
      <c r="H86" s="80"/>
      <c r="I86" s="79"/>
      <c r="J86" s="79"/>
      <c r="K86" s="80"/>
    </row>
    <row r="87" spans="1:11">
      <c r="A87" s="93"/>
      <c r="B87" s="85" t="str">
        <f t="shared" si="4"/>
        <v/>
      </c>
      <c r="C87" s="85" t="str">
        <f t="shared" si="6"/>
        <v/>
      </c>
      <c r="D87" s="85" t="str">
        <f t="shared" si="7"/>
        <v/>
      </c>
      <c r="E87" s="85"/>
      <c r="F87" s="85" t="str">
        <f t="shared" si="5"/>
        <v/>
      </c>
      <c r="G87" s="80"/>
      <c r="H87" s="80"/>
      <c r="I87" s="79"/>
      <c r="J87" s="79"/>
      <c r="K87" s="80"/>
    </row>
    <row r="88" spans="1:11">
      <c r="A88" s="93"/>
      <c r="B88" s="85" t="str">
        <f t="shared" si="4"/>
        <v/>
      </c>
      <c r="C88" s="85" t="str">
        <f t="shared" si="6"/>
        <v/>
      </c>
      <c r="D88" s="85" t="str">
        <f t="shared" si="7"/>
        <v/>
      </c>
      <c r="E88" s="85"/>
      <c r="F88" s="85" t="str">
        <f t="shared" si="5"/>
        <v/>
      </c>
      <c r="G88" s="80"/>
      <c r="H88" s="80"/>
      <c r="I88" s="79"/>
      <c r="J88" s="79"/>
      <c r="K88" s="80"/>
    </row>
    <row r="89" spans="1:11">
      <c r="A89" s="93"/>
      <c r="B89" s="85" t="str">
        <f t="shared" si="4"/>
        <v/>
      </c>
      <c r="C89" s="85" t="str">
        <f t="shared" si="6"/>
        <v/>
      </c>
      <c r="D89" s="85" t="str">
        <f t="shared" si="7"/>
        <v/>
      </c>
      <c r="E89" s="85"/>
      <c r="F89" s="85" t="str">
        <f t="shared" si="5"/>
        <v/>
      </c>
      <c r="G89" s="80"/>
      <c r="H89" s="80"/>
      <c r="I89" s="79"/>
      <c r="J89" s="79"/>
      <c r="K89" s="80"/>
    </row>
    <row r="90" spans="1:11">
      <c r="A90" s="93"/>
      <c r="B90" s="85" t="str">
        <f t="shared" si="4"/>
        <v/>
      </c>
      <c r="C90" s="85" t="str">
        <f t="shared" si="6"/>
        <v/>
      </c>
      <c r="D90" s="85" t="str">
        <f t="shared" si="7"/>
        <v/>
      </c>
      <c r="E90" s="85"/>
      <c r="F90" s="85" t="str">
        <f t="shared" si="5"/>
        <v/>
      </c>
      <c r="G90" s="80"/>
      <c r="H90" s="80"/>
      <c r="I90" s="79"/>
      <c r="J90" s="79"/>
      <c r="K90" s="80"/>
    </row>
    <row r="91" spans="1:11">
      <c r="A91" s="93"/>
      <c r="B91" s="85" t="str">
        <f t="shared" si="4"/>
        <v/>
      </c>
      <c r="C91" s="85" t="str">
        <f t="shared" si="6"/>
        <v/>
      </c>
      <c r="D91" s="85" t="str">
        <f t="shared" si="7"/>
        <v/>
      </c>
      <c r="E91" s="85"/>
      <c r="F91" s="85" t="str">
        <f t="shared" si="5"/>
        <v/>
      </c>
      <c r="G91" s="80"/>
      <c r="H91" s="80"/>
      <c r="I91" s="79"/>
      <c r="J91" s="79"/>
      <c r="K91" s="80"/>
    </row>
    <row r="92" spans="1:11">
      <c r="A92" s="93"/>
      <c r="B92" s="85" t="str">
        <f t="shared" si="4"/>
        <v/>
      </c>
      <c r="C92" s="85" t="str">
        <f t="shared" si="6"/>
        <v/>
      </c>
      <c r="D92" s="85" t="str">
        <f t="shared" si="7"/>
        <v/>
      </c>
      <c r="E92" s="85"/>
      <c r="F92" s="85" t="str">
        <f t="shared" si="5"/>
        <v/>
      </c>
      <c r="G92" s="80"/>
      <c r="H92" s="80"/>
      <c r="I92" s="79"/>
      <c r="J92" s="79"/>
      <c r="K92" s="80"/>
    </row>
    <row r="93" spans="1:11">
      <c r="A93" s="93"/>
      <c r="B93" s="85" t="str">
        <f t="shared" si="4"/>
        <v/>
      </c>
      <c r="C93" s="85" t="str">
        <f t="shared" si="6"/>
        <v/>
      </c>
      <c r="D93" s="85" t="str">
        <f t="shared" si="7"/>
        <v/>
      </c>
      <c r="E93" s="85"/>
      <c r="F93" s="85" t="str">
        <f t="shared" si="5"/>
        <v/>
      </c>
      <c r="G93" s="80"/>
      <c r="H93" s="80"/>
      <c r="I93" s="79"/>
      <c r="J93" s="79"/>
      <c r="K93" s="80"/>
    </row>
    <row r="94" spans="1:11">
      <c r="A94" s="93"/>
      <c r="B94" s="85" t="str">
        <f t="shared" si="4"/>
        <v/>
      </c>
      <c r="C94" s="85" t="str">
        <f t="shared" si="6"/>
        <v/>
      </c>
      <c r="D94" s="85" t="str">
        <f t="shared" si="7"/>
        <v/>
      </c>
      <c r="E94" s="85"/>
      <c r="F94" s="85" t="str">
        <f t="shared" si="5"/>
        <v/>
      </c>
      <c r="G94" s="80"/>
      <c r="H94" s="80"/>
      <c r="I94" s="79"/>
      <c r="J94" s="79"/>
      <c r="K94" s="80"/>
    </row>
    <row r="95" spans="1:11">
      <c r="A95" s="93"/>
      <c r="B95" s="85" t="str">
        <f t="shared" si="4"/>
        <v/>
      </c>
      <c r="C95" s="85" t="str">
        <f t="shared" si="6"/>
        <v/>
      </c>
      <c r="D95" s="85" t="str">
        <f t="shared" si="7"/>
        <v/>
      </c>
      <c r="E95" s="85"/>
      <c r="F95" s="85" t="str">
        <f t="shared" si="5"/>
        <v/>
      </c>
      <c r="G95" s="80"/>
      <c r="H95" s="80"/>
      <c r="I95" s="79"/>
      <c r="J95" s="79"/>
      <c r="K95" s="80"/>
    </row>
    <row r="96" spans="1:11">
      <c r="A96" s="93"/>
      <c r="B96" s="85" t="str">
        <f t="shared" si="4"/>
        <v/>
      </c>
      <c r="C96" s="85" t="str">
        <f t="shared" si="6"/>
        <v/>
      </c>
      <c r="D96" s="85" t="str">
        <f t="shared" si="7"/>
        <v/>
      </c>
      <c r="E96" s="85"/>
      <c r="F96" s="85" t="str">
        <f t="shared" si="5"/>
        <v/>
      </c>
      <c r="G96" s="80"/>
      <c r="H96" s="80"/>
      <c r="I96" s="79"/>
      <c r="J96" s="79"/>
      <c r="K96" s="80"/>
    </row>
    <row r="97" spans="1:11">
      <c r="A97" s="93"/>
      <c r="B97" s="85" t="str">
        <f t="shared" si="4"/>
        <v/>
      </c>
      <c r="C97" s="85" t="str">
        <f t="shared" si="6"/>
        <v/>
      </c>
      <c r="D97" s="85" t="str">
        <f t="shared" si="7"/>
        <v/>
      </c>
      <c r="E97" s="85"/>
      <c r="F97" s="85" t="str">
        <f t="shared" si="5"/>
        <v/>
      </c>
      <c r="G97" s="80"/>
      <c r="H97" s="80"/>
      <c r="I97" s="79"/>
      <c r="J97" s="79"/>
      <c r="K97" s="80"/>
    </row>
    <row r="98" spans="1:11">
      <c r="A98" s="93"/>
      <c r="B98" s="85" t="str">
        <f t="shared" si="4"/>
        <v/>
      </c>
      <c r="C98" s="85" t="str">
        <f t="shared" si="6"/>
        <v/>
      </c>
      <c r="D98" s="85" t="str">
        <f t="shared" si="7"/>
        <v/>
      </c>
      <c r="E98" s="85"/>
      <c r="F98" s="85" t="str">
        <f t="shared" si="5"/>
        <v/>
      </c>
      <c r="G98" s="80"/>
      <c r="H98" s="80"/>
      <c r="I98" s="79"/>
      <c r="J98" s="79"/>
      <c r="K98" s="80"/>
    </row>
    <row r="99" spans="1:11">
      <c r="A99" s="93"/>
      <c r="B99" s="85" t="str">
        <f t="shared" si="4"/>
        <v/>
      </c>
      <c r="C99" s="85" t="str">
        <f t="shared" si="6"/>
        <v/>
      </c>
      <c r="D99" s="85" t="str">
        <f t="shared" si="7"/>
        <v/>
      </c>
      <c r="E99" s="85"/>
      <c r="F99" s="85" t="str">
        <f t="shared" si="5"/>
        <v/>
      </c>
      <c r="G99" s="80"/>
      <c r="H99" s="80"/>
      <c r="I99" s="79"/>
      <c r="J99" s="79"/>
      <c r="K99" s="80"/>
    </row>
    <row r="100" spans="1:11">
      <c r="A100" s="93"/>
      <c r="B100" s="85" t="str">
        <f t="shared" si="4"/>
        <v/>
      </c>
      <c r="C100" s="85" t="str">
        <f t="shared" si="6"/>
        <v/>
      </c>
      <c r="D100" s="85" t="str">
        <f t="shared" si="7"/>
        <v/>
      </c>
      <c r="E100" s="85"/>
      <c r="F100" s="85" t="str">
        <f t="shared" si="5"/>
        <v/>
      </c>
      <c r="G100" s="80"/>
      <c r="H100" s="80"/>
      <c r="I100" s="79"/>
      <c r="J100" s="79"/>
      <c r="K100" s="80"/>
    </row>
    <row r="101" spans="1:11">
      <c r="A101" s="93"/>
      <c r="B101" s="85" t="str">
        <f t="shared" si="4"/>
        <v/>
      </c>
      <c r="C101" s="85" t="str">
        <f t="shared" si="6"/>
        <v/>
      </c>
      <c r="D101" s="85" t="str">
        <f t="shared" si="7"/>
        <v/>
      </c>
      <c r="E101" s="85"/>
      <c r="F101" s="85" t="str">
        <f t="shared" si="5"/>
        <v/>
      </c>
      <c r="G101" s="80"/>
      <c r="H101" s="80"/>
      <c r="I101" s="79"/>
      <c r="J101" s="79"/>
      <c r="K101" s="80"/>
    </row>
    <row r="102" spans="1:11">
      <c r="A102" s="93"/>
      <c r="B102" s="85" t="str">
        <f t="shared" si="4"/>
        <v/>
      </c>
      <c r="C102" s="85" t="str">
        <f t="shared" si="6"/>
        <v/>
      </c>
      <c r="D102" s="85" t="str">
        <f t="shared" si="7"/>
        <v/>
      </c>
      <c r="E102" s="85"/>
      <c r="F102" s="85" t="str">
        <f t="shared" si="5"/>
        <v/>
      </c>
      <c r="G102" s="80"/>
      <c r="H102" s="80"/>
      <c r="I102" s="79"/>
      <c r="J102" s="79"/>
      <c r="K102" s="80"/>
    </row>
    <row r="103" spans="1:11">
      <c r="A103" s="93"/>
      <c r="B103" s="85" t="str">
        <f t="shared" si="4"/>
        <v/>
      </c>
      <c r="C103" s="85" t="str">
        <f t="shared" si="6"/>
        <v/>
      </c>
      <c r="D103" s="85" t="str">
        <f t="shared" si="7"/>
        <v/>
      </c>
      <c r="E103" s="85"/>
      <c r="F103" s="85" t="str">
        <f t="shared" si="5"/>
        <v/>
      </c>
      <c r="G103" s="80"/>
      <c r="H103" s="80"/>
      <c r="I103" s="79"/>
      <c r="J103" s="79"/>
      <c r="K103" s="80"/>
    </row>
    <row r="104" spans="1:11">
      <c r="A104" s="93"/>
      <c r="B104" s="85" t="str">
        <f t="shared" si="4"/>
        <v/>
      </c>
      <c r="C104" s="85" t="str">
        <f t="shared" si="6"/>
        <v/>
      </c>
      <c r="D104" s="85" t="str">
        <f t="shared" si="7"/>
        <v/>
      </c>
      <c r="E104" s="85"/>
      <c r="F104" s="85" t="str">
        <f t="shared" si="5"/>
        <v/>
      </c>
      <c r="G104" s="80"/>
      <c r="H104" s="80"/>
      <c r="I104" s="79"/>
      <c r="J104" s="79"/>
      <c r="K104" s="80"/>
    </row>
    <row r="105" spans="1:11">
      <c r="A105" s="93"/>
      <c r="B105" s="85" t="str">
        <f t="shared" si="4"/>
        <v/>
      </c>
      <c r="C105" s="85" t="str">
        <f t="shared" si="6"/>
        <v/>
      </c>
      <c r="D105" s="85" t="str">
        <f t="shared" si="7"/>
        <v/>
      </c>
      <c r="E105" s="85"/>
      <c r="F105" s="85" t="str">
        <f t="shared" si="5"/>
        <v/>
      </c>
      <c r="G105" s="80"/>
      <c r="H105" s="80"/>
      <c r="I105" s="79"/>
      <c r="J105" s="79"/>
      <c r="K105" s="80"/>
    </row>
    <row r="106" spans="1:11">
      <c r="A106" s="93"/>
      <c r="B106" s="85" t="str">
        <f t="shared" si="4"/>
        <v/>
      </c>
      <c r="C106" s="85" t="str">
        <f t="shared" si="6"/>
        <v/>
      </c>
      <c r="D106" s="85" t="str">
        <f t="shared" si="7"/>
        <v/>
      </c>
      <c r="E106" s="85"/>
      <c r="F106" s="85" t="str">
        <f t="shared" si="5"/>
        <v/>
      </c>
      <c r="G106" s="80"/>
      <c r="H106" s="80"/>
      <c r="I106" s="79"/>
      <c r="J106" s="79"/>
      <c r="K106" s="80"/>
    </row>
    <row r="107" spans="1:11">
      <c r="A107" s="93"/>
      <c r="B107" s="85" t="str">
        <f t="shared" si="4"/>
        <v/>
      </c>
      <c r="C107" s="85" t="str">
        <f t="shared" si="6"/>
        <v/>
      </c>
      <c r="D107" s="85" t="str">
        <f t="shared" si="7"/>
        <v/>
      </c>
      <c r="E107" s="85"/>
      <c r="F107" s="85" t="str">
        <f t="shared" si="5"/>
        <v/>
      </c>
      <c r="G107" s="80"/>
      <c r="H107" s="80"/>
      <c r="I107" s="79"/>
      <c r="J107" s="79"/>
      <c r="K107" s="80"/>
    </row>
    <row r="108" spans="1:11">
      <c r="A108" s="93"/>
      <c r="B108" s="85" t="str">
        <f t="shared" si="4"/>
        <v/>
      </c>
      <c r="C108" s="85" t="str">
        <f t="shared" si="6"/>
        <v/>
      </c>
      <c r="D108" s="85" t="str">
        <f t="shared" si="7"/>
        <v/>
      </c>
      <c r="E108" s="85"/>
      <c r="F108" s="85" t="str">
        <f t="shared" si="5"/>
        <v/>
      </c>
      <c r="G108" s="80"/>
      <c r="H108" s="80"/>
      <c r="I108" s="79"/>
      <c r="J108" s="79"/>
      <c r="K108" s="80"/>
    </row>
    <row r="109" spans="1:11">
      <c r="A109" s="93"/>
      <c r="B109" s="85" t="str">
        <f t="shared" si="4"/>
        <v/>
      </c>
      <c r="C109" s="85" t="str">
        <f t="shared" si="6"/>
        <v/>
      </c>
      <c r="D109" s="85" t="str">
        <f t="shared" si="7"/>
        <v/>
      </c>
      <c r="E109" s="85"/>
      <c r="F109" s="85" t="str">
        <f t="shared" si="5"/>
        <v/>
      </c>
      <c r="G109" s="80"/>
      <c r="H109" s="80"/>
      <c r="I109" s="79"/>
      <c r="J109" s="79"/>
      <c r="K109" s="80"/>
    </row>
    <row r="110" spans="1:11">
      <c r="A110" s="93"/>
      <c r="B110" s="85" t="str">
        <f t="shared" si="4"/>
        <v/>
      </c>
      <c r="C110" s="85" t="str">
        <f t="shared" si="6"/>
        <v/>
      </c>
      <c r="D110" s="85" t="str">
        <f t="shared" si="7"/>
        <v/>
      </c>
      <c r="E110" s="85"/>
      <c r="F110" s="85" t="str">
        <f t="shared" si="5"/>
        <v/>
      </c>
      <c r="G110" s="80"/>
      <c r="H110" s="80"/>
      <c r="I110" s="79"/>
      <c r="J110" s="79"/>
      <c r="K110" s="80"/>
    </row>
    <row r="111" spans="1:11">
      <c r="A111" s="93"/>
      <c r="B111" s="85" t="str">
        <f t="shared" si="4"/>
        <v/>
      </c>
      <c r="C111" s="85" t="str">
        <f t="shared" si="6"/>
        <v/>
      </c>
      <c r="D111" s="85" t="str">
        <f t="shared" si="7"/>
        <v/>
      </c>
      <c r="E111" s="85"/>
      <c r="F111" s="85" t="str">
        <f t="shared" si="5"/>
        <v/>
      </c>
      <c r="G111" s="80"/>
      <c r="H111" s="80"/>
      <c r="I111" s="79"/>
      <c r="J111" s="79"/>
      <c r="K111" s="80"/>
    </row>
    <row r="112" spans="1:11">
      <c r="A112" s="93"/>
      <c r="B112" s="85" t="str">
        <f t="shared" si="4"/>
        <v/>
      </c>
      <c r="C112" s="85" t="str">
        <f t="shared" si="6"/>
        <v/>
      </c>
      <c r="D112" s="85" t="str">
        <f t="shared" si="7"/>
        <v/>
      </c>
      <c r="E112" s="85"/>
      <c r="F112" s="85" t="str">
        <f t="shared" si="5"/>
        <v/>
      </c>
      <c r="G112" s="80"/>
      <c r="H112" s="80"/>
      <c r="I112" s="79"/>
      <c r="J112" s="79"/>
      <c r="K112" s="80"/>
    </row>
    <row r="113" spans="1:11">
      <c r="A113" s="93"/>
      <c r="B113" s="85" t="str">
        <f t="shared" si="4"/>
        <v/>
      </c>
      <c r="C113" s="85" t="str">
        <f t="shared" si="6"/>
        <v/>
      </c>
      <c r="D113" s="85" t="str">
        <f t="shared" si="7"/>
        <v/>
      </c>
      <c r="E113" s="85"/>
      <c r="F113" s="85" t="str">
        <f t="shared" si="5"/>
        <v/>
      </c>
      <c r="G113" s="80"/>
      <c r="H113" s="80"/>
      <c r="I113" s="79"/>
      <c r="J113" s="79"/>
      <c r="K113" s="80"/>
    </row>
    <row r="114" spans="1:11">
      <c r="A114" s="93"/>
      <c r="B114" s="85" t="str">
        <f t="shared" si="4"/>
        <v/>
      </c>
      <c r="C114" s="85" t="str">
        <f t="shared" si="6"/>
        <v/>
      </c>
      <c r="D114" s="85" t="str">
        <f t="shared" si="7"/>
        <v/>
      </c>
      <c r="E114" s="85"/>
      <c r="F114" s="85" t="str">
        <f t="shared" si="5"/>
        <v/>
      </c>
      <c r="G114" s="80"/>
      <c r="H114" s="80"/>
      <c r="I114" s="79"/>
      <c r="J114" s="79"/>
      <c r="K114" s="80"/>
    </row>
    <row r="115" spans="1:11">
      <c r="A115" s="93"/>
      <c r="B115" s="85" t="str">
        <f t="shared" si="4"/>
        <v/>
      </c>
      <c r="C115" s="85" t="str">
        <f t="shared" si="6"/>
        <v/>
      </c>
      <c r="D115" s="85" t="str">
        <f t="shared" si="7"/>
        <v/>
      </c>
      <c r="E115" s="85"/>
      <c r="F115" s="85" t="str">
        <f t="shared" si="5"/>
        <v/>
      </c>
      <c r="G115" s="80"/>
      <c r="H115" s="80"/>
      <c r="I115" s="79"/>
      <c r="J115" s="79"/>
      <c r="K115" s="80"/>
    </row>
    <row r="116" spans="1:11">
      <c r="A116" s="93"/>
      <c r="B116" s="85" t="str">
        <f t="shared" si="4"/>
        <v/>
      </c>
      <c r="C116" s="85" t="str">
        <f t="shared" si="6"/>
        <v/>
      </c>
      <c r="D116" s="85" t="str">
        <f t="shared" si="7"/>
        <v/>
      </c>
      <c r="E116" s="85"/>
      <c r="F116" s="85" t="str">
        <f t="shared" si="5"/>
        <v/>
      </c>
      <c r="G116" s="80"/>
      <c r="H116" s="80"/>
      <c r="I116" s="79"/>
      <c r="J116" s="79"/>
      <c r="K116" s="80"/>
    </row>
    <row r="117" spans="1:11">
      <c r="A117" s="93"/>
      <c r="B117" s="85" t="str">
        <f t="shared" si="4"/>
        <v/>
      </c>
      <c r="C117" s="85" t="str">
        <f t="shared" si="6"/>
        <v/>
      </c>
      <c r="D117" s="85" t="str">
        <f t="shared" si="7"/>
        <v/>
      </c>
      <c r="E117" s="85"/>
      <c r="F117" s="85" t="str">
        <f t="shared" si="5"/>
        <v/>
      </c>
      <c r="G117" s="80"/>
      <c r="H117" s="80"/>
      <c r="I117" s="79"/>
      <c r="J117" s="79"/>
      <c r="K117" s="80"/>
    </row>
    <row r="118" spans="1:11">
      <c r="A118" s="93"/>
      <c r="B118" s="85" t="str">
        <f t="shared" si="4"/>
        <v/>
      </c>
      <c r="C118" s="85" t="str">
        <f t="shared" si="6"/>
        <v/>
      </c>
      <c r="D118" s="85" t="str">
        <f t="shared" si="7"/>
        <v/>
      </c>
      <c r="E118" s="85"/>
      <c r="F118" s="85" t="str">
        <f t="shared" si="5"/>
        <v/>
      </c>
      <c r="G118" s="80"/>
      <c r="H118" s="80"/>
      <c r="I118" s="79"/>
      <c r="J118" s="79"/>
      <c r="K118" s="80"/>
    </row>
    <row r="119" spans="1:11">
      <c r="A119" s="93"/>
      <c r="B119" s="85" t="str">
        <f t="shared" si="4"/>
        <v/>
      </c>
      <c r="C119" s="85" t="str">
        <f t="shared" si="6"/>
        <v/>
      </c>
      <c r="D119" s="85" t="str">
        <f t="shared" si="7"/>
        <v/>
      </c>
      <c r="E119" s="85"/>
      <c r="F119" s="85" t="str">
        <f t="shared" si="5"/>
        <v/>
      </c>
      <c r="G119" s="80"/>
      <c r="H119" s="80"/>
      <c r="I119" s="79"/>
      <c r="J119" s="79"/>
      <c r="K119" s="80"/>
    </row>
    <row r="120" spans="1:11">
      <c r="A120" s="93"/>
      <c r="B120" s="85" t="str">
        <f t="shared" si="4"/>
        <v/>
      </c>
      <c r="C120" s="85" t="str">
        <f t="shared" si="6"/>
        <v/>
      </c>
      <c r="D120" s="85" t="str">
        <f t="shared" si="7"/>
        <v/>
      </c>
      <c r="E120" s="85"/>
      <c r="F120" s="85" t="str">
        <f t="shared" si="5"/>
        <v/>
      </c>
      <c r="G120" s="80"/>
      <c r="H120" s="80"/>
      <c r="I120" s="79"/>
      <c r="J120" s="79"/>
      <c r="K120" s="80"/>
    </row>
    <row r="121" spans="1:11">
      <c r="A121" s="93"/>
      <c r="B121" s="85" t="str">
        <f t="shared" si="4"/>
        <v/>
      </c>
      <c r="C121" s="85" t="str">
        <f t="shared" si="6"/>
        <v/>
      </c>
      <c r="D121" s="85" t="str">
        <f t="shared" si="7"/>
        <v/>
      </c>
      <c r="E121" s="85"/>
      <c r="F121" s="85" t="str">
        <f t="shared" si="5"/>
        <v/>
      </c>
      <c r="G121" s="80"/>
      <c r="H121" s="80"/>
      <c r="I121" s="79"/>
      <c r="J121" s="79"/>
      <c r="K121" s="80"/>
    </row>
    <row r="122" spans="1:11">
      <c r="A122" s="93"/>
      <c r="B122" s="85" t="str">
        <f t="shared" si="4"/>
        <v/>
      </c>
      <c r="C122" s="85" t="str">
        <f t="shared" si="6"/>
        <v/>
      </c>
      <c r="D122" s="85" t="str">
        <f t="shared" si="7"/>
        <v/>
      </c>
      <c r="E122" s="85"/>
      <c r="F122" s="85" t="str">
        <f t="shared" si="5"/>
        <v/>
      </c>
      <c r="G122" s="80"/>
      <c r="H122" s="80"/>
      <c r="I122" s="79"/>
      <c r="J122" s="79"/>
      <c r="K122" s="80"/>
    </row>
    <row r="123" spans="1:11">
      <c r="A123" s="93"/>
      <c r="B123" s="85" t="str">
        <f t="shared" si="4"/>
        <v/>
      </c>
      <c r="C123" s="85" t="str">
        <f t="shared" si="6"/>
        <v/>
      </c>
      <c r="D123" s="85" t="str">
        <f t="shared" si="7"/>
        <v/>
      </c>
      <c r="E123" s="85"/>
      <c r="F123" s="85" t="str">
        <f t="shared" si="5"/>
        <v/>
      </c>
      <c r="G123" s="80"/>
      <c r="H123" s="80"/>
      <c r="I123" s="79"/>
      <c r="J123" s="79"/>
      <c r="K123" s="80"/>
    </row>
    <row r="124" spans="1:11">
      <c r="A124" s="93"/>
      <c r="B124" s="85" t="str">
        <f t="shared" si="4"/>
        <v/>
      </c>
      <c r="C124" s="85" t="str">
        <f t="shared" si="6"/>
        <v/>
      </c>
      <c r="D124" s="85" t="str">
        <f t="shared" si="7"/>
        <v/>
      </c>
      <c r="E124" s="85"/>
      <c r="F124" s="85" t="str">
        <f t="shared" si="5"/>
        <v/>
      </c>
      <c r="G124" s="80"/>
      <c r="H124" s="80"/>
      <c r="I124" s="79"/>
      <c r="J124" s="79"/>
      <c r="K124" s="80"/>
    </row>
    <row r="125" spans="1:11">
      <c r="A125" s="93"/>
      <c r="B125" s="85" t="str">
        <f t="shared" si="4"/>
        <v/>
      </c>
      <c r="C125" s="85" t="str">
        <f t="shared" si="6"/>
        <v/>
      </c>
      <c r="D125" s="85" t="str">
        <f t="shared" si="7"/>
        <v/>
      </c>
      <c r="E125" s="85"/>
      <c r="F125" s="85" t="str">
        <f t="shared" si="5"/>
        <v/>
      </c>
      <c r="G125" s="80"/>
      <c r="H125" s="80"/>
      <c r="I125" s="79"/>
      <c r="J125" s="79"/>
      <c r="K125" s="80"/>
    </row>
    <row r="126" spans="1:11">
      <c r="A126" s="93"/>
      <c r="B126" s="85" t="str">
        <f t="shared" si="4"/>
        <v/>
      </c>
      <c r="C126" s="85" t="str">
        <f t="shared" si="6"/>
        <v/>
      </c>
      <c r="D126" s="85" t="str">
        <f t="shared" si="7"/>
        <v/>
      </c>
      <c r="E126" s="85"/>
      <c r="F126" s="85" t="str">
        <f t="shared" si="5"/>
        <v/>
      </c>
      <c r="G126" s="80"/>
      <c r="H126" s="80"/>
      <c r="I126" s="79"/>
      <c r="J126" s="79"/>
      <c r="K126" s="80"/>
    </row>
    <row r="127" spans="1:11">
      <c r="A127" s="93"/>
      <c r="B127" s="85" t="str">
        <f t="shared" si="4"/>
        <v/>
      </c>
      <c r="C127" s="85" t="str">
        <f t="shared" si="6"/>
        <v/>
      </c>
      <c r="D127" s="85" t="str">
        <f t="shared" si="7"/>
        <v/>
      </c>
      <c r="E127" s="85"/>
      <c r="F127" s="85" t="str">
        <f t="shared" si="5"/>
        <v/>
      </c>
      <c r="G127" s="80"/>
      <c r="H127" s="80"/>
      <c r="I127" s="79"/>
      <c r="J127" s="79"/>
      <c r="K127" s="80"/>
    </row>
    <row r="128" spans="1:11">
      <c r="A128" s="93"/>
      <c r="B128" s="85" t="str">
        <f t="shared" si="4"/>
        <v/>
      </c>
      <c r="C128" s="85" t="str">
        <f t="shared" si="6"/>
        <v/>
      </c>
      <c r="D128" s="85" t="str">
        <f t="shared" si="7"/>
        <v/>
      </c>
      <c r="E128" s="85"/>
      <c r="F128" s="85" t="str">
        <f t="shared" si="5"/>
        <v/>
      </c>
      <c r="G128" s="80"/>
      <c r="H128" s="80"/>
      <c r="I128" s="79"/>
      <c r="J128" s="79"/>
      <c r="K128" s="80"/>
    </row>
    <row r="129" spans="1:11">
      <c r="A129" s="93"/>
      <c r="B129" s="85" t="str">
        <f t="shared" si="4"/>
        <v/>
      </c>
      <c r="C129" s="85" t="str">
        <f t="shared" si="6"/>
        <v/>
      </c>
      <c r="D129" s="85" t="str">
        <f t="shared" si="7"/>
        <v/>
      </c>
      <c r="E129" s="85"/>
      <c r="F129" s="85" t="str">
        <f t="shared" si="5"/>
        <v/>
      </c>
      <c r="G129" s="80"/>
      <c r="H129" s="80"/>
      <c r="I129" s="79"/>
      <c r="J129" s="79"/>
      <c r="K129" s="80"/>
    </row>
    <row r="130" spans="1:11">
      <c r="A130" s="93"/>
      <c r="B130" s="85" t="str">
        <f t="shared" si="4"/>
        <v/>
      </c>
      <c r="C130" s="85" t="str">
        <f t="shared" si="6"/>
        <v/>
      </c>
      <c r="D130" s="85" t="str">
        <f t="shared" si="7"/>
        <v/>
      </c>
      <c r="E130" s="85"/>
      <c r="F130" s="85" t="str">
        <f t="shared" si="5"/>
        <v/>
      </c>
      <c r="G130" s="80"/>
      <c r="H130" s="80"/>
      <c r="I130" s="79"/>
      <c r="J130" s="79"/>
      <c r="K130" s="80"/>
    </row>
    <row r="131" spans="1:11">
      <c r="A131" s="93"/>
      <c r="B131" s="85" t="str">
        <f t="shared" si="4"/>
        <v/>
      </c>
      <c r="C131" s="85" t="str">
        <f t="shared" si="6"/>
        <v/>
      </c>
      <c r="D131" s="85" t="str">
        <f t="shared" si="7"/>
        <v/>
      </c>
      <c r="E131" s="85"/>
      <c r="F131" s="85" t="str">
        <f t="shared" si="5"/>
        <v/>
      </c>
      <c r="G131" s="80"/>
      <c r="H131" s="80"/>
      <c r="I131" s="79"/>
      <c r="J131" s="79"/>
      <c r="K131" s="80"/>
    </row>
    <row r="132" spans="1:11">
      <c r="A132" s="93"/>
      <c r="B132" s="85" t="str">
        <f t="shared" si="4"/>
        <v/>
      </c>
      <c r="C132" s="85" t="str">
        <f t="shared" si="6"/>
        <v/>
      </c>
      <c r="D132" s="85" t="str">
        <f t="shared" si="7"/>
        <v/>
      </c>
      <c r="E132" s="85"/>
      <c r="F132" s="85" t="str">
        <f t="shared" si="5"/>
        <v/>
      </c>
      <c r="G132" s="80"/>
      <c r="H132" s="80"/>
      <c r="I132" s="79"/>
      <c r="J132" s="79"/>
      <c r="K132" s="80"/>
    </row>
    <row r="133" spans="1:11">
      <c r="A133" s="93"/>
      <c r="B133" s="85" t="str">
        <f t="shared" si="4"/>
        <v/>
      </c>
      <c r="C133" s="85" t="str">
        <f t="shared" si="6"/>
        <v/>
      </c>
      <c r="D133" s="85" t="str">
        <f t="shared" si="7"/>
        <v/>
      </c>
      <c r="E133" s="85"/>
      <c r="F133" s="85" t="str">
        <f t="shared" si="5"/>
        <v/>
      </c>
      <c r="G133" s="80"/>
      <c r="H133" s="80"/>
      <c r="I133" s="79"/>
      <c r="J133" s="79"/>
      <c r="K133" s="80"/>
    </row>
    <row r="134" spans="1:11">
      <c r="A134" s="93"/>
      <c r="B134" s="85" t="str">
        <f t="shared" si="4"/>
        <v/>
      </c>
      <c r="C134" s="85" t="str">
        <f t="shared" si="6"/>
        <v/>
      </c>
      <c r="D134" s="85" t="str">
        <f t="shared" si="7"/>
        <v/>
      </c>
      <c r="E134" s="85"/>
      <c r="F134" s="85" t="str">
        <f t="shared" si="5"/>
        <v/>
      </c>
      <c r="G134" s="80"/>
      <c r="H134" s="80"/>
      <c r="I134" s="79"/>
      <c r="J134" s="79"/>
      <c r="K134" s="80"/>
    </row>
    <row r="135" spans="1:11">
      <c r="A135" s="93"/>
      <c r="B135" s="85" t="str">
        <f t="shared" si="4"/>
        <v/>
      </c>
      <c r="C135" s="85" t="str">
        <f t="shared" si="6"/>
        <v/>
      </c>
      <c r="D135" s="85" t="str">
        <f t="shared" si="7"/>
        <v/>
      </c>
      <c r="E135" s="85"/>
      <c r="F135" s="85" t="str">
        <f t="shared" si="5"/>
        <v/>
      </c>
      <c r="G135" s="80"/>
      <c r="H135" s="80"/>
      <c r="I135" s="79"/>
      <c r="J135" s="79"/>
      <c r="K135" s="80"/>
    </row>
    <row r="136" spans="1:11">
      <c r="A136" s="93"/>
      <c r="B136" s="85" t="str">
        <f t="shared" ref="B136:B199" si="8">IFERROR(IF(VLOOKUP($A136,CTINTERVALO,2,0)=0,"",VLOOKUP($A136,CTINTERVALO,2,0)),"")</f>
        <v/>
      </c>
      <c r="C136" s="85" t="str">
        <f t="shared" si="6"/>
        <v/>
      </c>
      <c r="D136" s="85" t="str">
        <f t="shared" si="7"/>
        <v/>
      </c>
      <c r="E136" s="85"/>
      <c r="F136" s="85" t="str">
        <f t="shared" ref="F136:F199" si="9">IF($B136="Não", "BLOQUEADO (Aguardar liberação)", IFERROR(IF(VLOOKUP($A136,CTINTERVALO,6,0)=0,"",VLOOKUP($A136,CTINTERVALO,6,0)),""))</f>
        <v/>
      </c>
      <c r="G136" s="80"/>
      <c r="H136" s="80"/>
      <c r="I136" s="79"/>
      <c r="J136" s="79"/>
      <c r="K136" s="80"/>
    </row>
    <row r="137" spans="1:11">
      <c r="A137" s="93"/>
      <c r="B137" s="85" t="str">
        <f t="shared" si="8"/>
        <v/>
      </c>
      <c r="C137" s="85" t="str">
        <f t="shared" ref="C137:C200" si="10">IF($B137="Não", "BLOQUEADO (Aguardar liberação)", IFERROR(IF(VLOOKUP($A137,CTINTERVALO,3,0)=0,"",VLOOKUP($A137,CTINTERVALO,3,0)),""))</f>
        <v/>
      </c>
      <c r="D137" s="85" t="str">
        <f t="shared" ref="D137:D200" si="11">IF($B137="Não", "BLOQUEADO (Aguardar liberação)", IFERROR(IF(VLOOKUP($A137,CTINTERVALO,4,0)=0,"",VLOOKUP($A137,CTINTERVALO,4,0)),""))</f>
        <v/>
      </c>
      <c r="E137" s="85"/>
      <c r="F137" s="85" t="str">
        <f t="shared" si="9"/>
        <v/>
      </c>
      <c r="G137" s="80"/>
      <c r="H137" s="80"/>
      <c r="I137" s="79"/>
      <c r="J137" s="79"/>
      <c r="K137" s="80"/>
    </row>
    <row r="138" spans="1:11">
      <c r="A138" s="93"/>
      <c r="B138" s="85" t="str">
        <f t="shared" si="8"/>
        <v/>
      </c>
      <c r="C138" s="85" t="str">
        <f t="shared" si="10"/>
        <v/>
      </c>
      <c r="D138" s="85" t="str">
        <f t="shared" si="11"/>
        <v/>
      </c>
      <c r="E138" s="85"/>
      <c r="F138" s="85" t="str">
        <f t="shared" si="9"/>
        <v/>
      </c>
      <c r="G138" s="80"/>
      <c r="H138" s="80"/>
      <c r="I138" s="79"/>
      <c r="J138" s="79"/>
      <c r="K138" s="80"/>
    </row>
    <row r="139" spans="1:11">
      <c r="A139" s="93"/>
      <c r="B139" s="85" t="str">
        <f t="shared" si="8"/>
        <v/>
      </c>
      <c r="C139" s="85" t="str">
        <f t="shared" si="10"/>
        <v/>
      </c>
      <c r="D139" s="85" t="str">
        <f t="shared" si="11"/>
        <v/>
      </c>
      <c r="E139" s="85"/>
      <c r="F139" s="85" t="str">
        <f t="shared" si="9"/>
        <v/>
      </c>
      <c r="G139" s="80"/>
      <c r="H139" s="80"/>
      <c r="I139" s="79"/>
      <c r="J139" s="79"/>
      <c r="K139" s="80"/>
    </row>
    <row r="140" spans="1:11">
      <c r="A140" s="93"/>
      <c r="B140" s="85" t="str">
        <f t="shared" si="8"/>
        <v/>
      </c>
      <c r="C140" s="85" t="str">
        <f t="shared" si="10"/>
        <v/>
      </c>
      <c r="D140" s="85" t="str">
        <f t="shared" si="11"/>
        <v/>
      </c>
      <c r="E140" s="85"/>
      <c r="F140" s="85" t="str">
        <f t="shared" si="9"/>
        <v/>
      </c>
      <c r="G140" s="80"/>
      <c r="H140" s="80"/>
      <c r="I140" s="79"/>
      <c r="J140" s="79"/>
      <c r="K140" s="80"/>
    </row>
    <row r="141" spans="1:11">
      <c r="A141" s="93"/>
      <c r="B141" s="85" t="str">
        <f t="shared" si="8"/>
        <v/>
      </c>
      <c r="C141" s="85" t="str">
        <f t="shared" si="10"/>
        <v/>
      </c>
      <c r="D141" s="85" t="str">
        <f t="shared" si="11"/>
        <v/>
      </c>
      <c r="E141" s="85"/>
      <c r="F141" s="85" t="str">
        <f t="shared" si="9"/>
        <v/>
      </c>
      <c r="G141" s="80"/>
      <c r="H141" s="80"/>
      <c r="I141" s="79"/>
      <c r="J141" s="79"/>
      <c r="K141" s="80"/>
    </row>
    <row r="142" spans="1:11">
      <c r="A142" s="93"/>
      <c r="B142" s="85" t="str">
        <f t="shared" si="8"/>
        <v/>
      </c>
      <c r="C142" s="85" t="str">
        <f t="shared" si="10"/>
        <v/>
      </c>
      <c r="D142" s="85" t="str">
        <f t="shared" si="11"/>
        <v/>
      </c>
      <c r="E142" s="85"/>
      <c r="F142" s="85" t="str">
        <f t="shared" si="9"/>
        <v/>
      </c>
      <c r="G142" s="80"/>
      <c r="H142" s="80"/>
      <c r="I142" s="79"/>
      <c r="J142" s="79"/>
      <c r="K142" s="80"/>
    </row>
    <row r="143" spans="1:11">
      <c r="A143" s="93"/>
      <c r="B143" s="85" t="str">
        <f t="shared" si="8"/>
        <v/>
      </c>
      <c r="C143" s="85" t="str">
        <f t="shared" si="10"/>
        <v/>
      </c>
      <c r="D143" s="85" t="str">
        <f t="shared" si="11"/>
        <v/>
      </c>
      <c r="E143" s="85"/>
      <c r="F143" s="85" t="str">
        <f t="shared" si="9"/>
        <v/>
      </c>
      <c r="G143" s="80"/>
      <c r="H143" s="80"/>
      <c r="I143" s="79"/>
      <c r="J143" s="79"/>
      <c r="K143" s="80"/>
    </row>
    <row r="144" spans="1:11">
      <c r="A144" s="93"/>
      <c r="B144" s="85" t="str">
        <f t="shared" si="8"/>
        <v/>
      </c>
      <c r="C144" s="85" t="str">
        <f t="shared" si="10"/>
        <v/>
      </c>
      <c r="D144" s="85" t="str">
        <f t="shared" si="11"/>
        <v/>
      </c>
      <c r="E144" s="85"/>
      <c r="F144" s="85" t="str">
        <f t="shared" si="9"/>
        <v/>
      </c>
      <c r="G144" s="80"/>
      <c r="H144" s="80"/>
      <c r="I144" s="79"/>
      <c r="J144" s="79"/>
      <c r="K144" s="80"/>
    </row>
    <row r="145" spans="1:11">
      <c r="A145" s="93"/>
      <c r="B145" s="85" t="str">
        <f t="shared" si="8"/>
        <v/>
      </c>
      <c r="C145" s="85" t="str">
        <f t="shared" si="10"/>
        <v/>
      </c>
      <c r="D145" s="85" t="str">
        <f t="shared" si="11"/>
        <v/>
      </c>
      <c r="E145" s="85"/>
      <c r="F145" s="85" t="str">
        <f t="shared" si="9"/>
        <v/>
      </c>
      <c r="G145" s="80"/>
      <c r="H145" s="80"/>
      <c r="I145" s="79"/>
      <c r="J145" s="79"/>
      <c r="K145" s="80"/>
    </row>
    <row r="146" spans="1:11">
      <c r="A146" s="93"/>
      <c r="B146" s="85" t="str">
        <f t="shared" si="8"/>
        <v/>
      </c>
      <c r="C146" s="85" t="str">
        <f t="shared" si="10"/>
        <v/>
      </c>
      <c r="D146" s="85" t="str">
        <f t="shared" si="11"/>
        <v/>
      </c>
      <c r="E146" s="85"/>
      <c r="F146" s="85" t="str">
        <f t="shared" si="9"/>
        <v/>
      </c>
      <c r="G146" s="80"/>
      <c r="H146" s="80"/>
      <c r="I146" s="79"/>
      <c r="J146" s="79"/>
      <c r="K146" s="80"/>
    </row>
    <row r="147" spans="1:11">
      <c r="A147" s="93"/>
      <c r="B147" s="85" t="str">
        <f t="shared" si="8"/>
        <v/>
      </c>
      <c r="C147" s="85" t="str">
        <f t="shared" si="10"/>
        <v/>
      </c>
      <c r="D147" s="85" t="str">
        <f t="shared" si="11"/>
        <v/>
      </c>
      <c r="E147" s="85"/>
      <c r="F147" s="85" t="str">
        <f t="shared" si="9"/>
        <v/>
      </c>
      <c r="G147" s="80"/>
      <c r="H147" s="80"/>
      <c r="I147" s="79"/>
      <c r="J147" s="79"/>
      <c r="K147" s="80"/>
    </row>
    <row r="148" spans="1:11">
      <c r="A148" s="93"/>
      <c r="B148" s="85" t="str">
        <f t="shared" si="8"/>
        <v/>
      </c>
      <c r="C148" s="85" t="str">
        <f t="shared" si="10"/>
        <v/>
      </c>
      <c r="D148" s="85" t="str">
        <f t="shared" si="11"/>
        <v/>
      </c>
      <c r="E148" s="85"/>
      <c r="F148" s="85" t="str">
        <f t="shared" si="9"/>
        <v/>
      </c>
      <c r="G148" s="80"/>
      <c r="H148" s="80"/>
      <c r="I148" s="79"/>
      <c r="J148" s="79"/>
      <c r="K148" s="80"/>
    </row>
    <row r="149" spans="1:11">
      <c r="A149" s="93"/>
      <c r="B149" s="85" t="str">
        <f t="shared" si="8"/>
        <v/>
      </c>
      <c r="C149" s="85" t="str">
        <f t="shared" si="10"/>
        <v/>
      </c>
      <c r="D149" s="85" t="str">
        <f t="shared" si="11"/>
        <v/>
      </c>
      <c r="E149" s="85"/>
      <c r="F149" s="85" t="str">
        <f t="shared" si="9"/>
        <v/>
      </c>
      <c r="G149" s="80"/>
      <c r="H149" s="80"/>
      <c r="I149" s="79"/>
      <c r="J149" s="79"/>
      <c r="K149" s="80"/>
    </row>
    <row r="150" spans="1:11">
      <c r="A150" s="93"/>
      <c r="B150" s="85" t="str">
        <f t="shared" si="8"/>
        <v/>
      </c>
      <c r="C150" s="85" t="str">
        <f t="shared" si="10"/>
        <v/>
      </c>
      <c r="D150" s="85" t="str">
        <f t="shared" si="11"/>
        <v/>
      </c>
      <c r="E150" s="85"/>
      <c r="F150" s="85" t="str">
        <f t="shared" si="9"/>
        <v/>
      </c>
      <c r="G150" s="80"/>
      <c r="H150" s="80"/>
      <c r="I150" s="79"/>
      <c r="J150" s="79"/>
      <c r="K150" s="80"/>
    </row>
    <row r="151" spans="1:11">
      <c r="A151" s="93"/>
      <c r="B151" s="85" t="str">
        <f t="shared" si="8"/>
        <v/>
      </c>
      <c r="C151" s="85" t="str">
        <f t="shared" si="10"/>
        <v/>
      </c>
      <c r="D151" s="85" t="str">
        <f t="shared" si="11"/>
        <v/>
      </c>
      <c r="E151" s="85"/>
      <c r="F151" s="85" t="str">
        <f t="shared" si="9"/>
        <v/>
      </c>
      <c r="G151" s="80"/>
      <c r="H151" s="80"/>
      <c r="I151" s="79"/>
      <c r="J151" s="79"/>
      <c r="K151" s="80"/>
    </row>
    <row r="152" spans="1:11">
      <c r="A152" s="93"/>
      <c r="B152" s="85" t="str">
        <f t="shared" si="8"/>
        <v/>
      </c>
      <c r="C152" s="85" t="str">
        <f t="shared" si="10"/>
        <v/>
      </c>
      <c r="D152" s="85" t="str">
        <f t="shared" si="11"/>
        <v/>
      </c>
      <c r="E152" s="85"/>
      <c r="F152" s="85" t="str">
        <f t="shared" si="9"/>
        <v/>
      </c>
      <c r="G152" s="80"/>
      <c r="H152" s="80"/>
      <c r="I152" s="79"/>
      <c r="J152" s="79"/>
      <c r="K152" s="80"/>
    </row>
    <row r="153" spans="1:11">
      <c r="A153" s="93"/>
      <c r="B153" s="85" t="str">
        <f t="shared" si="8"/>
        <v/>
      </c>
      <c r="C153" s="85" t="str">
        <f t="shared" si="10"/>
        <v/>
      </c>
      <c r="D153" s="85" t="str">
        <f t="shared" si="11"/>
        <v/>
      </c>
      <c r="E153" s="85"/>
      <c r="F153" s="85" t="str">
        <f t="shared" si="9"/>
        <v/>
      </c>
      <c r="G153" s="80"/>
      <c r="H153" s="80"/>
      <c r="I153" s="79"/>
      <c r="J153" s="79"/>
      <c r="K153" s="80"/>
    </row>
    <row r="154" spans="1:11">
      <c r="A154" s="93"/>
      <c r="B154" s="85" t="str">
        <f t="shared" si="8"/>
        <v/>
      </c>
      <c r="C154" s="85" t="str">
        <f t="shared" si="10"/>
        <v/>
      </c>
      <c r="D154" s="85" t="str">
        <f t="shared" si="11"/>
        <v/>
      </c>
      <c r="E154" s="85"/>
      <c r="F154" s="85" t="str">
        <f t="shared" si="9"/>
        <v/>
      </c>
      <c r="G154" s="80"/>
      <c r="H154" s="80"/>
      <c r="I154" s="79"/>
      <c r="J154" s="79"/>
      <c r="K154" s="80"/>
    </row>
    <row r="155" spans="1:11">
      <c r="A155" s="93"/>
      <c r="B155" s="85" t="str">
        <f t="shared" si="8"/>
        <v/>
      </c>
      <c r="C155" s="85" t="str">
        <f t="shared" si="10"/>
        <v/>
      </c>
      <c r="D155" s="85" t="str">
        <f t="shared" si="11"/>
        <v/>
      </c>
      <c r="E155" s="85"/>
      <c r="F155" s="85" t="str">
        <f t="shared" si="9"/>
        <v/>
      </c>
      <c r="G155" s="80"/>
      <c r="H155" s="80"/>
      <c r="I155" s="79"/>
      <c r="J155" s="79"/>
      <c r="K155" s="80"/>
    </row>
    <row r="156" spans="1:11">
      <c r="A156" s="93"/>
      <c r="B156" s="85" t="str">
        <f t="shared" si="8"/>
        <v/>
      </c>
      <c r="C156" s="85" t="str">
        <f t="shared" si="10"/>
        <v/>
      </c>
      <c r="D156" s="85" t="str">
        <f t="shared" si="11"/>
        <v/>
      </c>
      <c r="E156" s="85"/>
      <c r="F156" s="85" t="str">
        <f t="shared" si="9"/>
        <v/>
      </c>
      <c r="G156" s="80"/>
      <c r="H156" s="80"/>
      <c r="I156" s="79"/>
      <c r="J156" s="79"/>
      <c r="K156" s="80"/>
    </row>
    <row r="157" spans="1:11">
      <c r="A157" s="93"/>
      <c r="B157" s="85" t="str">
        <f t="shared" si="8"/>
        <v/>
      </c>
      <c r="C157" s="85" t="str">
        <f t="shared" si="10"/>
        <v/>
      </c>
      <c r="D157" s="85" t="str">
        <f t="shared" si="11"/>
        <v/>
      </c>
      <c r="E157" s="85"/>
      <c r="F157" s="85" t="str">
        <f t="shared" si="9"/>
        <v/>
      </c>
      <c r="G157" s="80"/>
      <c r="H157" s="80"/>
      <c r="I157" s="79"/>
      <c r="J157" s="79"/>
      <c r="K157" s="80"/>
    </row>
    <row r="158" spans="1:11">
      <c r="A158" s="93"/>
      <c r="B158" s="85" t="str">
        <f t="shared" si="8"/>
        <v/>
      </c>
      <c r="C158" s="85" t="str">
        <f t="shared" si="10"/>
        <v/>
      </c>
      <c r="D158" s="85" t="str">
        <f t="shared" si="11"/>
        <v/>
      </c>
      <c r="E158" s="85"/>
      <c r="F158" s="85" t="str">
        <f t="shared" si="9"/>
        <v/>
      </c>
      <c r="G158" s="80"/>
      <c r="H158" s="80"/>
      <c r="I158" s="79"/>
      <c r="J158" s="79"/>
      <c r="K158" s="80"/>
    </row>
    <row r="159" spans="1:11">
      <c r="A159" s="93"/>
      <c r="B159" s="85" t="str">
        <f t="shared" si="8"/>
        <v/>
      </c>
      <c r="C159" s="85" t="str">
        <f t="shared" si="10"/>
        <v/>
      </c>
      <c r="D159" s="85" t="str">
        <f t="shared" si="11"/>
        <v/>
      </c>
      <c r="E159" s="85"/>
      <c r="F159" s="85" t="str">
        <f t="shared" si="9"/>
        <v/>
      </c>
      <c r="G159" s="80"/>
      <c r="H159" s="80"/>
      <c r="I159" s="79"/>
      <c r="J159" s="79"/>
      <c r="K159" s="80"/>
    </row>
    <row r="160" spans="1:11">
      <c r="A160" s="93"/>
      <c r="B160" s="85" t="str">
        <f t="shared" si="8"/>
        <v/>
      </c>
      <c r="C160" s="85" t="str">
        <f t="shared" si="10"/>
        <v/>
      </c>
      <c r="D160" s="85" t="str">
        <f t="shared" si="11"/>
        <v/>
      </c>
      <c r="E160" s="85"/>
      <c r="F160" s="85" t="str">
        <f t="shared" si="9"/>
        <v/>
      </c>
      <c r="G160" s="80"/>
      <c r="H160" s="80"/>
      <c r="I160" s="79"/>
      <c r="J160" s="79"/>
      <c r="K160" s="80"/>
    </row>
    <row r="161" spans="1:11">
      <c r="A161" s="93"/>
      <c r="B161" s="85" t="str">
        <f t="shared" si="8"/>
        <v/>
      </c>
      <c r="C161" s="85" t="str">
        <f t="shared" si="10"/>
        <v/>
      </c>
      <c r="D161" s="85" t="str">
        <f t="shared" si="11"/>
        <v/>
      </c>
      <c r="E161" s="85"/>
      <c r="F161" s="85" t="str">
        <f t="shared" si="9"/>
        <v/>
      </c>
      <c r="G161" s="80"/>
      <c r="H161" s="80"/>
      <c r="I161" s="79"/>
      <c r="J161" s="79"/>
      <c r="K161" s="80"/>
    </row>
    <row r="162" spans="1:11">
      <c r="A162" s="93"/>
      <c r="B162" s="85" t="str">
        <f t="shared" si="8"/>
        <v/>
      </c>
      <c r="C162" s="85" t="str">
        <f t="shared" si="10"/>
        <v/>
      </c>
      <c r="D162" s="85" t="str">
        <f t="shared" si="11"/>
        <v/>
      </c>
      <c r="E162" s="85"/>
      <c r="F162" s="85" t="str">
        <f t="shared" si="9"/>
        <v/>
      </c>
      <c r="G162" s="80"/>
      <c r="H162" s="80"/>
      <c r="I162" s="79"/>
      <c r="J162" s="79"/>
      <c r="K162" s="80"/>
    </row>
    <row r="163" spans="1:11">
      <c r="A163" s="93"/>
      <c r="B163" s="85" t="str">
        <f t="shared" si="8"/>
        <v/>
      </c>
      <c r="C163" s="85" t="str">
        <f t="shared" si="10"/>
        <v/>
      </c>
      <c r="D163" s="85" t="str">
        <f t="shared" si="11"/>
        <v/>
      </c>
      <c r="E163" s="85"/>
      <c r="F163" s="85" t="str">
        <f t="shared" si="9"/>
        <v/>
      </c>
      <c r="G163" s="80"/>
      <c r="H163" s="80"/>
      <c r="I163" s="79"/>
      <c r="J163" s="79"/>
      <c r="K163" s="80"/>
    </row>
    <row r="164" spans="1:11">
      <c r="A164" s="93"/>
      <c r="B164" s="85" t="str">
        <f t="shared" si="8"/>
        <v/>
      </c>
      <c r="C164" s="85" t="str">
        <f t="shared" si="10"/>
        <v/>
      </c>
      <c r="D164" s="85" t="str">
        <f t="shared" si="11"/>
        <v/>
      </c>
      <c r="E164" s="85"/>
      <c r="F164" s="85" t="str">
        <f t="shared" si="9"/>
        <v/>
      </c>
      <c r="G164" s="80"/>
      <c r="H164" s="80"/>
      <c r="I164" s="79"/>
      <c r="J164" s="79"/>
      <c r="K164" s="80"/>
    </row>
    <row r="165" spans="1:11">
      <c r="A165" s="93"/>
      <c r="B165" s="85" t="str">
        <f t="shared" si="8"/>
        <v/>
      </c>
      <c r="C165" s="85" t="str">
        <f t="shared" si="10"/>
        <v/>
      </c>
      <c r="D165" s="85" t="str">
        <f t="shared" si="11"/>
        <v/>
      </c>
      <c r="E165" s="85"/>
      <c r="F165" s="85" t="str">
        <f t="shared" si="9"/>
        <v/>
      </c>
      <c r="G165" s="80"/>
      <c r="H165" s="80"/>
      <c r="I165" s="79"/>
      <c r="J165" s="79"/>
      <c r="K165" s="80"/>
    </row>
    <row r="166" spans="1:11">
      <c r="A166" s="93"/>
      <c r="B166" s="85" t="str">
        <f t="shared" si="8"/>
        <v/>
      </c>
      <c r="C166" s="85" t="str">
        <f t="shared" si="10"/>
        <v/>
      </c>
      <c r="D166" s="85" t="str">
        <f t="shared" si="11"/>
        <v/>
      </c>
      <c r="E166" s="85"/>
      <c r="F166" s="85" t="str">
        <f t="shared" si="9"/>
        <v/>
      </c>
      <c r="G166" s="80"/>
      <c r="H166" s="80"/>
      <c r="I166" s="79"/>
      <c r="J166" s="79"/>
      <c r="K166" s="80"/>
    </row>
    <row r="167" spans="1:11">
      <c r="A167" s="93"/>
      <c r="B167" s="85" t="str">
        <f t="shared" si="8"/>
        <v/>
      </c>
      <c r="C167" s="85" t="str">
        <f t="shared" si="10"/>
        <v/>
      </c>
      <c r="D167" s="85" t="str">
        <f t="shared" si="11"/>
        <v/>
      </c>
      <c r="E167" s="85"/>
      <c r="F167" s="85" t="str">
        <f t="shared" si="9"/>
        <v/>
      </c>
      <c r="G167" s="80"/>
      <c r="H167" s="80"/>
      <c r="I167" s="79"/>
      <c r="J167" s="79"/>
      <c r="K167" s="80"/>
    </row>
    <row r="168" spans="1:11">
      <c r="A168" s="93"/>
      <c r="B168" s="85" t="str">
        <f t="shared" si="8"/>
        <v/>
      </c>
      <c r="C168" s="85" t="str">
        <f t="shared" si="10"/>
        <v/>
      </c>
      <c r="D168" s="85" t="str">
        <f t="shared" si="11"/>
        <v/>
      </c>
      <c r="E168" s="85"/>
      <c r="F168" s="85" t="str">
        <f t="shared" si="9"/>
        <v/>
      </c>
      <c r="G168" s="80"/>
      <c r="H168" s="80"/>
      <c r="I168" s="79"/>
      <c r="J168" s="79"/>
      <c r="K168" s="80"/>
    </row>
    <row r="169" spans="1:11">
      <c r="A169" s="93"/>
      <c r="B169" s="85" t="str">
        <f t="shared" si="8"/>
        <v/>
      </c>
      <c r="C169" s="85" t="str">
        <f t="shared" si="10"/>
        <v/>
      </c>
      <c r="D169" s="85" t="str">
        <f t="shared" si="11"/>
        <v/>
      </c>
      <c r="E169" s="85"/>
      <c r="F169" s="85" t="str">
        <f t="shared" si="9"/>
        <v/>
      </c>
      <c r="G169" s="80"/>
      <c r="H169" s="80"/>
      <c r="I169" s="79"/>
      <c r="J169" s="79"/>
      <c r="K169" s="80"/>
    </row>
    <row r="170" spans="1:11">
      <c r="A170" s="93"/>
      <c r="B170" s="85" t="str">
        <f t="shared" si="8"/>
        <v/>
      </c>
      <c r="C170" s="85" t="str">
        <f t="shared" si="10"/>
        <v/>
      </c>
      <c r="D170" s="85" t="str">
        <f t="shared" si="11"/>
        <v/>
      </c>
      <c r="E170" s="85"/>
      <c r="F170" s="85" t="str">
        <f t="shared" si="9"/>
        <v/>
      </c>
      <c r="G170" s="80"/>
      <c r="H170" s="80"/>
      <c r="I170" s="79"/>
      <c r="J170" s="79"/>
      <c r="K170" s="80"/>
    </row>
    <row r="171" spans="1:11">
      <c r="A171" s="93"/>
      <c r="B171" s="85" t="str">
        <f t="shared" si="8"/>
        <v/>
      </c>
      <c r="C171" s="85" t="str">
        <f t="shared" si="10"/>
        <v/>
      </c>
      <c r="D171" s="85" t="str">
        <f t="shared" si="11"/>
        <v/>
      </c>
      <c r="E171" s="85"/>
      <c r="F171" s="85" t="str">
        <f t="shared" si="9"/>
        <v/>
      </c>
      <c r="G171" s="80"/>
      <c r="H171" s="80"/>
      <c r="I171" s="79"/>
      <c r="J171" s="79"/>
      <c r="K171" s="80"/>
    </row>
    <row r="172" spans="1:11">
      <c r="A172" s="93"/>
      <c r="B172" s="85" t="str">
        <f t="shared" si="8"/>
        <v/>
      </c>
      <c r="C172" s="85" t="str">
        <f t="shared" si="10"/>
        <v/>
      </c>
      <c r="D172" s="85" t="str">
        <f t="shared" si="11"/>
        <v/>
      </c>
      <c r="E172" s="85"/>
      <c r="F172" s="85" t="str">
        <f t="shared" si="9"/>
        <v/>
      </c>
      <c r="G172" s="80"/>
      <c r="H172" s="80"/>
      <c r="I172" s="79"/>
      <c r="J172" s="79"/>
      <c r="K172" s="80"/>
    </row>
    <row r="173" spans="1:11">
      <c r="A173" s="93"/>
      <c r="B173" s="85" t="str">
        <f t="shared" si="8"/>
        <v/>
      </c>
      <c r="C173" s="85" t="str">
        <f t="shared" si="10"/>
        <v/>
      </c>
      <c r="D173" s="85" t="str">
        <f t="shared" si="11"/>
        <v/>
      </c>
      <c r="E173" s="85"/>
      <c r="F173" s="85" t="str">
        <f t="shared" si="9"/>
        <v/>
      </c>
      <c r="G173" s="80"/>
      <c r="H173" s="80"/>
      <c r="I173" s="79"/>
      <c r="J173" s="79"/>
      <c r="K173" s="80"/>
    </row>
    <row r="174" spans="1:11">
      <c r="A174" s="93"/>
      <c r="B174" s="85" t="str">
        <f t="shared" si="8"/>
        <v/>
      </c>
      <c r="C174" s="85" t="str">
        <f t="shared" si="10"/>
        <v/>
      </c>
      <c r="D174" s="85" t="str">
        <f t="shared" si="11"/>
        <v/>
      </c>
      <c r="E174" s="85"/>
      <c r="F174" s="85" t="str">
        <f t="shared" si="9"/>
        <v/>
      </c>
      <c r="G174" s="80"/>
      <c r="H174" s="80"/>
      <c r="I174" s="79"/>
      <c r="J174" s="79"/>
      <c r="K174" s="80"/>
    </row>
    <row r="175" spans="1:11">
      <c r="A175" s="93"/>
      <c r="B175" s="85" t="str">
        <f t="shared" si="8"/>
        <v/>
      </c>
      <c r="C175" s="85" t="str">
        <f t="shared" si="10"/>
        <v/>
      </c>
      <c r="D175" s="85" t="str">
        <f t="shared" si="11"/>
        <v/>
      </c>
      <c r="E175" s="85"/>
      <c r="F175" s="85" t="str">
        <f t="shared" si="9"/>
        <v/>
      </c>
      <c r="G175" s="80"/>
      <c r="H175" s="80"/>
      <c r="I175" s="79"/>
      <c r="J175" s="79"/>
      <c r="K175" s="80"/>
    </row>
    <row r="176" spans="1:11">
      <c r="A176" s="93"/>
      <c r="B176" s="85" t="str">
        <f t="shared" si="8"/>
        <v/>
      </c>
      <c r="C176" s="85" t="str">
        <f t="shared" si="10"/>
        <v/>
      </c>
      <c r="D176" s="85" t="str">
        <f t="shared" si="11"/>
        <v/>
      </c>
      <c r="E176" s="85"/>
      <c r="F176" s="85" t="str">
        <f t="shared" si="9"/>
        <v/>
      </c>
      <c r="G176" s="80"/>
      <c r="H176" s="80"/>
      <c r="I176" s="79"/>
      <c r="J176" s="79"/>
      <c r="K176" s="80"/>
    </row>
    <row r="177" spans="1:11">
      <c r="A177" s="93"/>
      <c r="B177" s="85" t="str">
        <f t="shared" si="8"/>
        <v/>
      </c>
      <c r="C177" s="85" t="str">
        <f t="shared" si="10"/>
        <v/>
      </c>
      <c r="D177" s="85" t="str">
        <f t="shared" si="11"/>
        <v/>
      </c>
      <c r="E177" s="85"/>
      <c r="F177" s="85" t="str">
        <f t="shared" si="9"/>
        <v/>
      </c>
      <c r="G177" s="80"/>
      <c r="H177" s="80"/>
      <c r="I177" s="79"/>
      <c r="J177" s="79"/>
      <c r="K177" s="80"/>
    </row>
    <row r="178" spans="1:11">
      <c r="A178" s="93"/>
      <c r="B178" s="85" t="str">
        <f t="shared" si="8"/>
        <v/>
      </c>
      <c r="C178" s="85" t="str">
        <f t="shared" si="10"/>
        <v/>
      </c>
      <c r="D178" s="85" t="str">
        <f t="shared" si="11"/>
        <v/>
      </c>
      <c r="E178" s="85"/>
      <c r="F178" s="85" t="str">
        <f t="shared" si="9"/>
        <v/>
      </c>
      <c r="G178" s="80"/>
      <c r="H178" s="80"/>
      <c r="I178" s="79"/>
      <c r="J178" s="79"/>
      <c r="K178" s="80"/>
    </row>
    <row r="179" spans="1:11">
      <c r="A179" s="93"/>
      <c r="B179" s="85" t="str">
        <f t="shared" si="8"/>
        <v/>
      </c>
      <c r="C179" s="85" t="str">
        <f t="shared" si="10"/>
        <v/>
      </c>
      <c r="D179" s="85" t="str">
        <f t="shared" si="11"/>
        <v/>
      </c>
      <c r="E179" s="85"/>
      <c r="F179" s="85" t="str">
        <f t="shared" si="9"/>
        <v/>
      </c>
      <c r="G179" s="80"/>
      <c r="H179" s="80"/>
      <c r="I179" s="79"/>
      <c r="J179" s="79"/>
      <c r="K179" s="80"/>
    </row>
    <row r="180" spans="1:11">
      <c r="A180" s="93"/>
      <c r="B180" s="85" t="str">
        <f t="shared" si="8"/>
        <v/>
      </c>
      <c r="C180" s="85" t="str">
        <f t="shared" si="10"/>
        <v/>
      </c>
      <c r="D180" s="85" t="str">
        <f t="shared" si="11"/>
        <v/>
      </c>
      <c r="E180" s="85"/>
      <c r="F180" s="85" t="str">
        <f t="shared" si="9"/>
        <v/>
      </c>
      <c r="G180" s="80"/>
      <c r="H180" s="80"/>
      <c r="I180" s="79"/>
      <c r="J180" s="79"/>
      <c r="K180" s="80"/>
    </row>
    <row r="181" spans="1:11">
      <c r="A181" s="93"/>
      <c r="B181" s="85" t="str">
        <f t="shared" si="8"/>
        <v/>
      </c>
      <c r="C181" s="85" t="str">
        <f t="shared" si="10"/>
        <v/>
      </c>
      <c r="D181" s="85" t="str">
        <f t="shared" si="11"/>
        <v/>
      </c>
      <c r="E181" s="85"/>
      <c r="F181" s="85" t="str">
        <f t="shared" si="9"/>
        <v/>
      </c>
      <c r="G181" s="80"/>
      <c r="H181" s="80"/>
      <c r="I181" s="79"/>
      <c r="J181" s="79"/>
      <c r="K181" s="80"/>
    </row>
    <row r="182" spans="1:11">
      <c r="A182" s="93"/>
      <c r="B182" s="85" t="str">
        <f t="shared" si="8"/>
        <v/>
      </c>
      <c r="C182" s="85" t="str">
        <f t="shared" si="10"/>
        <v/>
      </c>
      <c r="D182" s="85" t="str">
        <f t="shared" si="11"/>
        <v/>
      </c>
      <c r="E182" s="85"/>
      <c r="F182" s="85" t="str">
        <f t="shared" si="9"/>
        <v/>
      </c>
      <c r="G182" s="80"/>
      <c r="H182" s="80"/>
      <c r="I182" s="79"/>
      <c r="J182" s="79"/>
      <c r="K182" s="80"/>
    </row>
    <row r="183" spans="1:11">
      <c r="A183" s="93"/>
      <c r="B183" s="85" t="str">
        <f t="shared" si="8"/>
        <v/>
      </c>
      <c r="C183" s="85" t="str">
        <f t="shared" si="10"/>
        <v/>
      </c>
      <c r="D183" s="85" t="str">
        <f t="shared" si="11"/>
        <v/>
      </c>
      <c r="E183" s="85"/>
      <c r="F183" s="85" t="str">
        <f t="shared" si="9"/>
        <v/>
      </c>
      <c r="G183" s="80"/>
      <c r="H183" s="80"/>
      <c r="I183" s="79"/>
      <c r="J183" s="79"/>
      <c r="K183" s="80"/>
    </row>
    <row r="184" spans="1:11">
      <c r="A184" s="93"/>
      <c r="B184" s="85" t="str">
        <f t="shared" si="8"/>
        <v/>
      </c>
      <c r="C184" s="85" t="str">
        <f t="shared" si="10"/>
        <v/>
      </c>
      <c r="D184" s="85" t="str">
        <f t="shared" si="11"/>
        <v/>
      </c>
      <c r="E184" s="85"/>
      <c r="F184" s="85" t="str">
        <f t="shared" si="9"/>
        <v/>
      </c>
      <c r="G184" s="80"/>
      <c r="H184" s="80"/>
      <c r="I184" s="79"/>
      <c r="J184" s="79"/>
      <c r="K184" s="80"/>
    </row>
    <row r="185" spans="1:11">
      <c r="A185" s="93"/>
      <c r="B185" s="85" t="str">
        <f t="shared" si="8"/>
        <v/>
      </c>
      <c r="C185" s="85" t="str">
        <f t="shared" si="10"/>
        <v/>
      </c>
      <c r="D185" s="85" t="str">
        <f t="shared" si="11"/>
        <v/>
      </c>
      <c r="E185" s="85"/>
      <c r="F185" s="85" t="str">
        <f t="shared" si="9"/>
        <v/>
      </c>
      <c r="G185" s="80"/>
      <c r="H185" s="80"/>
      <c r="I185" s="79"/>
      <c r="J185" s="79"/>
      <c r="K185" s="80"/>
    </row>
    <row r="186" spans="1:11">
      <c r="A186" s="93"/>
      <c r="B186" s="85" t="str">
        <f t="shared" si="8"/>
        <v/>
      </c>
      <c r="C186" s="85" t="str">
        <f t="shared" si="10"/>
        <v/>
      </c>
      <c r="D186" s="85" t="str">
        <f t="shared" si="11"/>
        <v/>
      </c>
      <c r="E186" s="85"/>
      <c r="F186" s="85" t="str">
        <f t="shared" si="9"/>
        <v/>
      </c>
      <c r="G186" s="80"/>
      <c r="H186" s="80"/>
      <c r="I186" s="79"/>
      <c r="J186" s="79"/>
      <c r="K186" s="80"/>
    </row>
    <row r="187" spans="1:11">
      <c r="A187" s="93"/>
      <c r="B187" s="85" t="str">
        <f t="shared" si="8"/>
        <v/>
      </c>
      <c r="C187" s="85" t="str">
        <f t="shared" si="10"/>
        <v/>
      </c>
      <c r="D187" s="85" t="str">
        <f t="shared" si="11"/>
        <v/>
      </c>
      <c r="E187" s="85"/>
      <c r="F187" s="85" t="str">
        <f t="shared" si="9"/>
        <v/>
      </c>
      <c r="G187" s="80"/>
      <c r="H187" s="80"/>
      <c r="I187" s="79"/>
      <c r="J187" s="79"/>
      <c r="K187" s="80"/>
    </row>
    <row r="188" spans="1:11">
      <c r="A188" s="93"/>
      <c r="B188" s="85" t="str">
        <f t="shared" si="8"/>
        <v/>
      </c>
      <c r="C188" s="85" t="str">
        <f t="shared" si="10"/>
        <v/>
      </c>
      <c r="D188" s="85" t="str">
        <f t="shared" si="11"/>
        <v/>
      </c>
      <c r="E188" s="85"/>
      <c r="F188" s="85" t="str">
        <f t="shared" si="9"/>
        <v/>
      </c>
      <c r="G188" s="80"/>
      <c r="H188" s="80"/>
      <c r="I188" s="79"/>
      <c r="J188" s="79"/>
      <c r="K188" s="80"/>
    </row>
    <row r="189" spans="1:11">
      <c r="A189" s="93"/>
      <c r="B189" s="85" t="str">
        <f t="shared" si="8"/>
        <v/>
      </c>
      <c r="C189" s="85" t="str">
        <f t="shared" si="10"/>
        <v/>
      </c>
      <c r="D189" s="85" t="str">
        <f t="shared" si="11"/>
        <v/>
      </c>
      <c r="E189" s="85"/>
      <c r="F189" s="85" t="str">
        <f t="shared" si="9"/>
        <v/>
      </c>
      <c r="G189" s="80"/>
      <c r="H189" s="80"/>
      <c r="I189" s="79"/>
      <c r="J189" s="79"/>
      <c r="K189" s="80"/>
    </row>
    <row r="190" spans="1:11">
      <c r="A190" s="93"/>
      <c r="B190" s="85" t="str">
        <f t="shared" si="8"/>
        <v/>
      </c>
      <c r="C190" s="85" t="str">
        <f t="shared" si="10"/>
        <v/>
      </c>
      <c r="D190" s="85" t="str">
        <f t="shared" si="11"/>
        <v/>
      </c>
      <c r="E190" s="85"/>
      <c r="F190" s="85" t="str">
        <f t="shared" si="9"/>
        <v/>
      </c>
      <c r="G190" s="80"/>
      <c r="H190" s="80"/>
      <c r="I190" s="79"/>
      <c r="J190" s="79"/>
      <c r="K190" s="80"/>
    </row>
    <row r="191" spans="1:11">
      <c r="A191" s="93"/>
      <c r="B191" s="85" t="str">
        <f t="shared" si="8"/>
        <v/>
      </c>
      <c r="C191" s="85" t="str">
        <f t="shared" si="10"/>
        <v/>
      </c>
      <c r="D191" s="85" t="str">
        <f t="shared" si="11"/>
        <v/>
      </c>
      <c r="E191" s="85"/>
      <c r="F191" s="85" t="str">
        <f t="shared" si="9"/>
        <v/>
      </c>
      <c r="G191" s="80"/>
      <c r="H191" s="80"/>
      <c r="I191" s="79"/>
      <c r="J191" s="79"/>
      <c r="K191" s="80"/>
    </row>
    <row r="192" spans="1:11">
      <c r="A192" s="93"/>
      <c r="B192" s="85" t="str">
        <f t="shared" si="8"/>
        <v/>
      </c>
      <c r="C192" s="85" t="str">
        <f t="shared" si="10"/>
        <v/>
      </c>
      <c r="D192" s="85" t="str">
        <f t="shared" si="11"/>
        <v/>
      </c>
      <c r="E192" s="85"/>
      <c r="F192" s="85" t="str">
        <f t="shared" si="9"/>
        <v/>
      </c>
      <c r="G192" s="80"/>
      <c r="H192" s="80"/>
      <c r="I192" s="79"/>
      <c r="J192" s="79"/>
      <c r="K192" s="80"/>
    </row>
    <row r="193" spans="1:11">
      <c r="A193" s="93"/>
      <c r="B193" s="85" t="str">
        <f t="shared" si="8"/>
        <v/>
      </c>
      <c r="C193" s="85" t="str">
        <f t="shared" si="10"/>
        <v/>
      </c>
      <c r="D193" s="85" t="str">
        <f t="shared" si="11"/>
        <v/>
      </c>
      <c r="E193" s="85"/>
      <c r="F193" s="85" t="str">
        <f t="shared" si="9"/>
        <v/>
      </c>
      <c r="G193" s="80"/>
      <c r="H193" s="80"/>
      <c r="I193" s="79"/>
      <c r="J193" s="79"/>
      <c r="K193" s="80"/>
    </row>
    <row r="194" spans="1:11">
      <c r="A194" s="93"/>
      <c r="B194" s="85" t="str">
        <f t="shared" si="8"/>
        <v/>
      </c>
      <c r="C194" s="85" t="str">
        <f t="shared" si="10"/>
        <v/>
      </c>
      <c r="D194" s="85" t="str">
        <f t="shared" si="11"/>
        <v/>
      </c>
      <c r="E194" s="85"/>
      <c r="F194" s="85" t="str">
        <f t="shared" si="9"/>
        <v/>
      </c>
      <c r="G194" s="80"/>
      <c r="H194" s="80"/>
      <c r="I194" s="79"/>
      <c r="J194" s="79"/>
      <c r="K194" s="80"/>
    </row>
    <row r="195" spans="1:11">
      <c r="A195" s="93"/>
      <c r="B195" s="85" t="str">
        <f t="shared" si="8"/>
        <v/>
      </c>
      <c r="C195" s="85" t="str">
        <f t="shared" si="10"/>
        <v/>
      </c>
      <c r="D195" s="85" t="str">
        <f t="shared" si="11"/>
        <v/>
      </c>
      <c r="E195" s="85"/>
      <c r="F195" s="85" t="str">
        <f t="shared" si="9"/>
        <v/>
      </c>
      <c r="G195" s="80"/>
      <c r="H195" s="80"/>
      <c r="I195" s="79"/>
      <c r="J195" s="79"/>
      <c r="K195" s="80"/>
    </row>
    <row r="196" spans="1:11">
      <c r="A196" s="93"/>
      <c r="B196" s="85" t="str">
        <f t="shared" si="8"/>
        <v/>
      </c>
      <c r="C196" s="85" t="str">
        <f t="shared" si="10"/>
        <v/>
      </c>
      <c r="D196" s="85" t="str">
        <f t="shared" si="11"/>
        <v/>
      </c>
      <c r="E196" s="85"/>
      <c r="F196" s="85" t="str">
        <f t="shared" si="9"/>
        <v/>
      </c>
      <c r="G196" s="80"/>
      <c r="H196" s="80"/>
      <c r="I196" s="79"/>
      <c r="J196" s="79"/>
      <c r="K196" s="80"/>
    </row>
    <row r="197" spans="1:11">
      <c r="A197" s="93"/>
      <c r="B197" s="85" t="str">
        <f t="shared" si="8"/>
        <v/>
      </c>
      <c r="C197" s="85" t="str">
        <f t="shared" si="10"/>
        <v/>
      </c>
      <c r="D197" s="85" t="str">
        <f t="shared" si="11"/>
        <v/>
      </c>
      <c r="E197" s="85"/>
      <c r="F197" s="85" t="str">
        <f t="shared" si="9"/>
        <v/>
      </c>
      <c r="G197" s="80"/>
      <c r="H197" s="80"/>
      <c r="I197" s="79"/>
      <c r="J197" s="79"/>
      <c r="K197" s="80"/>
    </row>
    <row r="198" spans="1:11">
      <c r="A198" s="93"/>
      <c r="B198" s="85" t="str">
        <f t="shared" si="8"/>
        <v/>
      </c>
      <c r="C198" s="85" t="str">
        <f t="shared" si="10"/>
        <v/>
      </c>
      <c r="D198" s="85" t="str">
        <f t="shared" si="11"/>
        <v/>
      </c>
      <c r="E198" s="85"/>
      <c r="F198" s="85" t="str">
        <f t="shared" si="9"/>
        <v/>
      </c>
      <c r="G198" s="80"/>
      <c r="H198" s="80"/>
      <c r="I198" s="79"/>
      <c r="J198" s="79"/>
      <c r="K198" s="80"/>
    </row>
    <row r="199" spans="1:11">
      <c r="A199" s="93"/>
      <c r="B199" s="85" t="str">
        <f t="shared" si="8"/>
        <v/>
      </c>
      <c r="C199" s="85" t="str">
        <f t="shared" si="10"/>
        <v/>
      </c>
      <c r="D199" s="85" t="str">
        <f t="shared" si="11"/>
        <v/>
      </c>
      <c r="E199" s="85"/>
      <c r="F199" s="85" t="str">
        <f t="shared" si="9"/>
        <v/>
      </c>
      <c r="G199" s="80"/>
      <c r="H199" s="80"/>
      <c r="I199" s="79"/>
      <c r="J199" s="79"/>
      <c r="K199" s="80"/>
    </row>
    <row r="200" spans="1:11">
      <c r="A200" s="93"/>
      <c r="B200" s="85" t="str">
        <f t="shared" ref="B200:B263" si="12">IFERROR(IF(VLOOKUP($A200,CTINTERVALO,2,0)=0,"",VLOOKUP($A200,CTINTERVALO,2,0)),"")</f>
        <v/>
      </c>
      <c r="C200" s="85" t="str">
        <f t="shared" si="10"/>
        <v/>
      </c>
      <c r="D200" s="85" t="str">
        <f t="shared" si="11"/>
        <v/>
      </c>
      <c r="E200" s="85"/>
      <c r="F200" s="85" t="str">
        <f t="shared" ref="F200:F263" si="13">IF($B200="Não", "BLOQUEADO (Aguardar liberação)", IFERROR(IF(VLOOKUP($A200,CTINTERVALO,6,0)=0,"",VLOOKUP($A200,CTINTERVALO,6,0)),""))</f>
        <v/>
      </c>
      <c r="G200" s="80"/>
      <c r="H200" s="80"/>
      <c r="I200" s="79"/>
      <c r="J200" s="79"/>
      <c r="K200" s="80"/>
    </row>
    <row r="201" spans="1:11">
      <c r="A201" s="93"/>
      <c r="B201" s="85" t="str">
        <f t="shared" si="12"/>
        <v/>
      </c>
      <c r="C201" s="85" t="str">
        <f t="shared" ref="C201:C264" si="14">IF($B201="Não", "BLOQUEADO (Aguardar liberação)", IFERROR(IF(VLOOKUP($A201,CTINTERVALO,3,0)=0,"",VLOOKUP($A201,CTINTERVALO,3,0)),""))</f>
        <v/>
      </c>
      <c r="D201" s="85" t="str">
        <f t="shared" ref="D201:D264" si="15">IF($B201="Não", "BLOQUEADO (Aguardar liberação)", IFERROR(IF(VLOOKUP($A201,CTINTERVALO,4,0)=0,"",VLOOKUP($A201,CTINTERVALO,4,0)),""))</f>
        <v/>
      </c>
      <c r="E201" s="85"/>
      <c r="F201" s="85" t="str">
        <f t="shared" si="13"/>
        <v/>
      </c>
      <c r="G201" s="80"/>
      <c r="H201" s="80"/>
      <c r="I201" s="79"/>
      <c r="J201" s="79"/>
      <c r="K201" s="80"/>
    </row>
    <row r="202" spans="1:11">
      <c r="A202" s="93"/>
      <c r="B202" s="85" t="str">
        <f t="shared" si="12"/>
        <v/>
      </c>
      <c r="C202" s="85" t="str">
        <f t="shared" si="14"/>
        <v/>
      </c>
      <c r="D202" s="85" t="str">
        <f t="shared" si="15"/>
        <v/>
      </c>
      <c r="E202" s="85"/>
      <c r="F202" s="85" t="str">
        <f t="shared" si="13"/>
        <v/>
      </c>
      <c r="G202" s="80"/>
      <c r="H202" s="80"/>
      <c r="I202" s="79"/>
      <c r="J202" s="79"/>
      <c r="K202" s="80"/>
    </row>
    <row r="203" spans="1:11">
      <c r="A203" s="93"/>
      <c r="B203" s="85" t="str">
        <f t="shared" si="12"/>
        <v/>
      </c>
      <c r="C203" s="85" t="str">
        <f t="shared" si="14"/>
        <v/>
      </c>
      <c r="D203" s="85" t="str">
        <f t="shared" si="15"/>
        <v/>
      </c>
      <c r="E203" s="85"/>
      <c r="F203" s="85" t="str">
        <f t="shared" si="13"/>
        <v/>
      </c>
      <c r="G203" s="80"/>
      <c r="H203" s="80"/>
      <c r="I203" s="79"/>
      <c r="J203" s="79"/>
      <c r="K203" s="80"/>
    </row>
    <row r="204" spans="1:11">
      <c r="A204" s="93"/>
      <c r="B204" s="85" t="str">
        <f t="shared" si="12"/>
        <v/>
      </c>
      <c r="C204" s="85" t="str">
        <f t="shared" si="14"/>
        <v/>
      </c>
      <c r="D204" s="85" t="str">
        <f t="shared" si="15"/>
        <v/>
      </c>
      <c r="E204" s="85"/>
      <c r="F204" s="85" t="str">
        <f t="shared" si="13"/>
        <v/>
      </c>
      <c r="G204" s="80"/>
      <c r="H204" s="80"/>
      <c r="I204" s="79"/>
      <c r="J204" s="79"/>
      <c r="K204" s="80"/>
    </row>
    <row r="205" spans="1:11">
      <c r="A205" s="93"/>
      <c r="B205" s="85" t="str">
        <f t="shared" si="12"/>
        <v/>
      </c>
      <c r="C205" s="85" t="str">
        <f t="shared" si="14"/>
        <v/>
      </c>
      <c r="D205" s="85" t="str">
        <f t="shared" si="15"/>
        <v/>
      </c>
      <c r="E205" s="85"/>
      <c r="F205" s="85" t="str">
        <f t="shared" si="13"/>
        <v/>
      </c>
      <c r="G205" s="80"/>
      <c r="H205" s="80"/>
      <c r="I205" s="79"/>
      <c r="J205" s="79"/>
      <c r="K205" s="80"/>
    </row>
    <row r="206" spans="1:11">
      <c r="A206" s="93"/>
      <c r="B206" s="85" t="str">
        <f t="shared" si="12"/>
        <v/>
      </c>
      <c r="C206" s="85" t="str">
        <f t="shared" si="14"/>
        <v/>
      </c>
      <c r="D206" s="85" t="str">
        <f t="shared" si="15"/>
        <v/>
      </c>
      <c r="E206" s="85"/>
      <c r="F206" s="85" t="str">
        <f t="shared" si="13"/>
        <v/>
      </c>
      <c r="G206" s="80"/>
      <c r="H206" s="80"/>
      <c r="I206" s="79"/>
      <c r="J206" s="79"/>
      <c r="K206" s="80"/>
    </row>
    <row r="207" spans="1:11">
      <c r="A207" s="93"/>
      <c r="B207" s="85" t="str">
        <f t="shared" si="12"/>
        <v/>
      </c>
      <c r="C207" s="85" t="str">
        <f t="shared" si="14"/>
        <v/>
      </c>
      <c r="D207" s="85" t="str">
        <f t="shared" si="15"/>
        <v/>
      </c>
      <c r="E207" s="85"/>
      <c r="F207" s="85" t="str">
        <f t="shared" si="13"/>
        <v/>
      </c>
      <c r="G207" s="80"/>
      <c r="H207" s="80"/>
      <c r="I207" s="79"/>
      <c r="J207" s="79"/>
      <c r="K207" s="80"/>
    </row>
    <row r="208" spans="1:11">
      <c r="A208" s="93"/>
      <c r="B208" s="85" t="str">
        <f t="shared" si="12"/>
        <v/>
      </c>
      <c r="C208" s="85" t="str">
        <f t="shared" si="14"/>
        <v/>
      </c>
      <c r="D208" s="85" t="str">
        <f t="shared" si="15"/>
        <v/>
      </c>
      <c r="E208" s="85"/>
      <c r="F208" s="85" t="str">
        <f t="shared" si="13"/>
        <v/>
      </c>
      <c r="G208" s="80"/>
      <c r="H208" s="80"/>
      <c r="I208" s="79"/>
      <c r="J208" s="79"/>
      <c r="K208" s="80"/>
    </row>
    <row r="209" spans="1:11">
      <c r="A209" s="93"/>
      <c r="B209" s="85" t="str">
        <f t="shared" si="12"/>
        <v/>
      </c>
      <c r="C209" s="85" t="str">
        <f t="shared" si="14"/>
        <v/>
      </c>
      <c r="D209" s="85" t="str">
        <f t="shared" si="15"/>
        <v/>
      </c>
      <c r="E209" s="85"/>
      <c r="F209" s="85" t="str">
        <f t="shared" si="13"/>
        <v/>
      </c>
      <c r="G209" s="80"/>
      <c r="H209" s="80"/>
      <c r="I209" s="79"/>
      <c r="J209" s="79"/>
      <c r="K209" s="80"/>
    </row>
    <row r="210" spans="1:11">
      <c r="A210" s="93"/>
      <c r="B210" s="85" t="str">
        <f t="shared" si="12"/>
        <v/>
      </c>
      <c r="C210" s="85" t="str">
        <f t="shared" si="14"/>
        <v/>
      </c>
      <c r="D210" s="85" t="str">
        <f t="shared" si="15"/>
        <v/>
      </c>
      <c r="E210" s="85"/>
      <c r="F210" s="85" t="str">
        <f t="shared" si="13"/>
        <v/>
      </c>
      <c r="G210" s="80"/>
      <c r="H210" s="80"/>
      <c r="I210" s="79"/>
      <c r="J210" s="79"/>
      <c r="K210" s="80"/>
    </row>
    <row r="211" spans="1:11">
      <c r="A211" s="93"/>
      <c r="B211" s="85" t="str">
        <f t="shared" si="12"/>
        <v/>
      </c>
      <c r="C211" s="85" t="str">
        <f t="shared" si="14"/>
        <v/>
      </c>
      <c r="D211" s="85" t="str">
        <f t="shared" si="15"/>
        <v/>
      </c>
      <c r="E211" s="85"/>
      <c r="F211" s="85" t="str">
        <f t="shared" si="13"/>
        <v/>
      </c>
      <c r="G211" s="80"/>
      <c r="H211" s="80"/>
      <c r="I211" s="79"/>
      <c r="J211" s="79"/>
      <c r="K211" s="80"/>
    </row>
    <row r="212" spans="1:11">
      <c r="A212" s="93"/>
      <c r="B212" s="85" t="str">
        <f t="shared" si="12"/>
        <v/>
      </c>
      <c r="C212" s="85" t="str">
        <f t="shared" si="14"/>
        <v/>
      </c>
      <c r="D212" s="85" t="str">
        <f t="shared" si="15"/>
        <v/>
      </c>
      <c r="E212" s="85"/>
      <c r="F212" s="85" t="str">
        <f t="shared" si="13"/>
        <v/>
      </c>
      <c r="G212" s="80"/>
      <c r="H212" s="80"/>
      <c r="I212" s="79"/>
      <c r="J212" s="79"/>
      <c r="K212" s="80"/>
    </row>
    <row r="213" spans="1:11">
      <c r="A213" s="93"/>
      <c r="B213" s="85" t="str">
        <f t="shared" si="12"/>
        <v/>
      </c>
      <c r="C213" s="85" t="str">
        <f t="shared" si="14"/>
        <v/>
      </c>
      <c r="D213" s="85" t="str">
        <f t="shared" si="15"/>
        <v/>
      </c>
      <c r="E213" s="85"/>
      <c r="F213" s="85" t="str">
        <f t="shared" si="13"/>
        <v/>
      </c>
      <c r="G213" s="80"/>
      <c r="H213" s="80"/>
      <c r="I213" s="79"/>
      <c r="J213" s="79"/>
      <c r="K213" s="80"/>
    </row>
    <row r="214" spans="1:11">
      <c r="A214" s="93"/>
      <c r="B214" s="85" t="str">
        <f t="shared" si="12"/>
        <v/>
      </c>
      <c r="C214" s="85" t="str">
        <f t="shared" si="14"/>
        <v/>
      </c>
      <c r="D214" s="85" t="str">
        <f t="shared" si="15"/>
        <v/>
      </c>
      <c r="E214" s="85"/>
      <c r="F214" s="85" t="str">
        <f t="shared" si="13"/>
        <v/>
      </c>
      <c r="G214" s="80"/>
      <c r="H214" s="80"/>
      <c r="I214" s="79"/>
      <c r="J214" s="79"/>
      <c r="K214" s="80"/>
    </row>
    <row r="215" spans="1:11">
      <c r="A215" s="93"/>
      <c r="B215" s="85" t="str">
        <f t="shared" si="12"/>
        <v/>
      </c>
      <c r="C215" s="85" t="str">
        <f t="shared" si="14"/>
        <v/>
      </c>
      <c r="D215" s="85" t="str">
        <f t="shared" si="15"/>
        <v/>
      </c>
      <c r="E215" s="85"/>
      <c r="F215" s="85" t="str">
        <f t="shared" si="13"/>
        <v/>
      </c>
      <c r="G215" s="80"/>
      <c r="H215" s="80"/>
      <c r="I215" s="79"/>
      <c r="J215" s="79"/>
      <c r="K215" s="80"/>
    </row>
    <row r="216" spans="1:11">
      <c r="A216" s="93"/>
      <c r="B216" s="85" t="str">
        <f t="shared" si="12"/>
        <v/>
      </c>
      <c r="C216" s="85" t="str">
        <f t="shared" si="14"/>
        <v/>
      </c>
      <c r="D216" s="85" t="str">
        <f t="shared" si="15"/>
        <v/>
      </c>
      <c r="E216" s="85"/>
      <c r="F216" s="85" t="str">
        <f t="shared" si="13"/>
        <v/>
      </c>
      <c r="G216" s="80"/>
      <c r="H216" s="80"/>
      <c r="I216" s="79"/>
      <c r="J216" s="79"/>
      <c r="K216" s="80"/>
    </row>
    <row r="217" spans="1:11">
      <c r="A217" s="93"/>
      <c r="B217" s="85" t="str">
        <f t="shared" si="12"/>
        <v/>
      </c>
      <c r="C217" s="85" t="str">
        <f t="shared" si="14"/>
        <v/>
      </c>
      <c r="D217" s="85" t="str">
        <f t="shared" si="15"/>
        <v/>
      </c>
      <c r="E217" s="85"/>
      <c r="F217" s="85" t="str">
        <f t="shared" si="13"/>
        <v/>
      </c>
      <c r="G217" s="80"/>
      <c r="H217" s="80"/>
      <c r="I217" s="79"/>
      <c r="J217" s="79"/>
      <c r="K217" s="80"/>
    </row>
    <row r="218" spans="1:11">
      <c r="A218" s="93"/>
      <c r="B218" s="85" t="str">
        <f t="shared" si="12"/>
        <v/>
      </c>
      <c r="C218" s="85" t="str">
        <f t="shared" si="14"/>
        <v/>
      </c>
      <c r="D218" s="85" t="str">
        <f t="shared" si="15"/>
        <v/>
      </c>
      <c r="E218" s="85"/>
      <c r="F218" s="85" t="str">
        <f t="shared" si="13"/>
        <v/>
      </c>
      <c r="G218" s="80"/>
      <c r="H218" s="80"/>
      <c r="I218" s="79"/>
      <c r="J218" s="79"/>
      <c r="K218" s="80"/>
    </row>
    <row r="219" spans="1:11">
      <c r="A219" s="93"/>
      <c r="B219" s="85" t="str">
        <f t="shared" si="12"/>
        <v/>
      </c>
      <c r="C219" s="85" t="str">
        <f t="shared" si="14"/>
        <v/>
      </c>
      <c r="D219" s="85" t="str">
        <f t="shared" si="15"/>
        <v/>
      </c>
      <c r="E219" s="85"/>
      <c r="F219" s="85" t="str">
        <f t="shared" si="13"/>
        <v/>
      </c>
      <c r="G219" s="80"/>
      <c r="H219" s="80"/>
      <c r="I219" s="79"/>
      <c r="J219" s="79"/>
      <c r="K219" s="80"/>
    </row>
    <row r="220" spans="1:11">
      <c r="A220" s="93"/>
      <c r="B220" s="85" t="str">
        <f t="shared" si="12"/>
        <v/>
      </c>
      <c r="C220" s="85" t="str">
        <f t="shared" si="14"/>
        <v/>
      </c>
      <c r="D220" s="85" t="str">
        <f t="shared" si="15"/>
        <v/>
      </c>
      <c r="E220" s="85"/>
      <c r="F220" s="85" t="str">
        <f t="shared" si="13"/>
        <v/>
      </c>
      <c r="G220" s="80"/>
      <c r="H220" s="80"/>
      <c r="I220" s="79"/>
      <c r="J220" s="79"/>
      <c r="K220" s="80"/>
    </row>
    <row r="221" spans="1:11">
      <c r="A221" s="93"/>
      <c r="B221" s="85" t="str">
        <f t="shared" si="12"/>
        <v/>
      </c>
      <c r="C221" s="85" t="str">
        <f t="shared" si="14"/>
        <v/>
      </c>
      <c r="D221" s="85" t="str">
        <f t="shared" si="15"/>
        <v/>
      </c>
      <c r="E221" s="85"/>
      <c r="F221" s="85" t="str">
        <f t="shared" si="13"/>
        <v/>
      </c>
      <c r="G221" s="80"/>
      <c r="H221" s="80"/>
      <c r="I221" s="79"/>
      <c r="J221" s="79"/>
      <c r="K221" s="80"/>
    </row>
    <row r="222" spans="1:11">
      <c r="A222" s="93"/>
      <c r="B222" s="85" t="str">
        <f t="shared" si="12"/>
        <v/>
      </c>
      <c r="C222" s="85" t="str">
        <f t="shared" si="14"/>
        <v/>
      </c>
      <c r="D222" s="85" t="str">
        <f t="shared" si="15"/>
        <v/>
      </c>
      <c r="E222" s="85"/>
      <c r="F222" s="85" t="str">
        <f t="shared" si="13"/>
        <v/>
      </c>
      <c r="G222" s="80"/>
      <c r="H222" s="80"/>
      <c r="I222" s="79"/>
      <c r="J222" s="79"/>
      <c r="K222" s="80"/>
    </row>
    <row r="223" spans="1:11">
      <c r="A223" s="93"/>
      <c r="B223" s="85" t="str">
        <f t="shared" si="12"/>
        <v/>
      </c>
      <c r="C223" s="85" t="str">
        <f t="shared" si="14"/>
        <v/>
      </c>
      <c r="D223" s="85" t="str">
        <f t="shared" si="15"/>
        <v/>
      </c>
      <c r="E223" s="85"/>
      <c r="F223" s="85" t="str">
        <f t="shared" si="13"/>
        <v/>
      </c>
      <c r="G223" s="80"/>
      <c r="H223" s="80"/>
      <c r="I223" s="79"/>
      <c r="J223" s="79"/>
      <c r="K223" s="80"/>
    </row>
    <row r="224" spans="1:11">
      <c r="A224" s="93"/>
      <c r="B224" s="85" t="str">
        <f t="shared" si="12"/>
        <v/>
      </c>
      <c r="C224" s="85" t="str">
        <f t="shared" si="14"/>
        <v/>
      </c>
      <c r="D224" s="85" t="str">
        <f t="shared" si="15"/>
        <v/>
      </c>
      <c r="E224" s="85"/>
      <c r="F224" s="85" t="str">
        <f t="shared" si="13"/>
        <v/>
      </c>
      <c r="G224" s="80"/>
      <c r="H224" s="80"/>
      <c r="I224" s="79"/>
      <c r="J224" s="79"/>
      <c r="K224" s="80"/>
    </row>
    <row r="225" spans="1:11">
      <c r="A225" s="93"/>
      <c r="B225" s="85" t="str">
        <f t="shared" si="12"/>
        <v/>
      </c>
      <c r="C225" s="85" t="str">
        <f t="shared" si="14"/>
        <v/>
      </c>
      <c r="D225" s="85" t="str">
        <f t="shared" si="15"/>
        <v/>
      </c>
      <c r="E225" s="85"/>
      <c r="F225" s="85" t="str">
        <f t="shared" si="13"/>
        <v/>
      </c>
      <c r="G225" s="80"/>
      <c r="H225" s="80"/>
      <c r="I225" s="79"/>
      <c r="J225" s="79"/>
      <c r="K225" s="80"/>
    </row>
    <row r="226" spans="1:11">
      <c r="A226" s="93"/>
      <c r="B226" s="85" t="str">
        <f t="shared" si="12"/>
        <v/>
      </c>
      <c r="C226" s="85" t="str">
        <f t="shared" si="14"/>
        <v/>
      </c>
      <c r="D226" s="85" t="str">
        <f t="shared" si="15"/>
        <v/>
      </c>
      <c r="E226" s="85"/>
      <c r="F226" s="85" t="str">
        <f t="shared" si="13"/>
        <v/>
      </c>
      <c r="G226" s="80"/>
      <c r="H226" s="80"/>
      <c r="I226" s="79"/>
      <c r="J226" s="79"/>
      <c r="K226" s="80"/>
    </row>
    <row r="227" spans="1:11">
      <c r="A227" s="93"/>
      <c r="B227" s="85" t="str">
        <f t="shared" si="12"/>
        <v/>
      </c>
      <c r="C227" s="85" t="str">
        <f t="shared" si="14"/>
        <v/>
      </c>
      <c r="D227" s="85" t="str">
        <f t="shared" si="15"/>
        <v/>
      </c>
      <c r="E227" s="85"/>
      <c r="F227" s="85" t="str">
        <f t="shared" si="13"/>
        <v/>
      </c>
      <c r="G227" s="80"/>
      <c r="H227" s="80"/>
      <c r="I227" s="79"/>
      <c r="J227" s="79"/>
      <c r="K227" s="80"/>
    </row>
    <row r="228" spans="1:11">
      <c r="A228" s="93"/>
      <c r="B228" s="85" t="str">
        <f t="shared" si="12"/>
        <v/>
      </c>
      <c r="C228" s="85" t="str">
        <f t="shared" si="14"/>
        <v/>
      </c>
      <c r="D228" s="85" t="str">
        <f t="shared" si="15"/>
        <v/>
      </c>
      <c r="E228" s="85"/>
      <c r="F228" s="85" t="str">
        <f t="shared" si="13"/>
        <v/>
      </c>
      <c r="G228" s="80"/>
      <c r="H228" s="80"/>
      <c r="I228" s="79"/>
      <c r="J228" s="79"/>
      <c r="K228" s="80"/>
    </row>
    <row r="229" spans="1:11">
      <c r="A229" s="93"/>
      <c r="B229" s="85" t="str">
        <f t="shared" si="12"/>
        <v/>
      </c>
      <c r="C229" s="85" t="str">
        <f t="shared" si="14"/>
        <v/>
      </c>
      <c r="D229" s="85" t="str">
        <f t="shared" si="15"/>
        <v/>
      </c>
      <c r="E229" s="85"/>
      <c r="F229" s="85" t="str">
        <f t="shared" si="13"/>
        <v/>
      </c>
      <c r="G229" s="80"/>
      <c r="H229" s="80"/>
      <c r="I229" s="79"/>
      <c r="J229" s="79"/>
      <c r="K229" s="80"/>
    </row>
    <row r="230" spans="1:11">
      <c r="A230" s="93"/>
      <c r="B230" s="85" t="str">
        <f t="shared" si="12"/>
        <v/>
      </c>
      <c r="C230" s="85" t="str">
        <f t="shared" si="14"/>
        <v/>
      </c>
      <c r="D230" s="85" t="str">
        <f t="shared" si="15"/>
        <v/>
      </c>
      <c r="E230" s="85"/>
      <c r="F230" s="85" t="str">
        <f t="shared" si="13"/>
        <v/>
      </c>
      <c r="G230" s="80"/>
      <c r="H230" s="80"/>
      <c r="I230" s="79"/>
      <c r="J230" s="79"/>
      <c r="K230" s="80"/>
    </row>
    <row r="231" spans="1:11">
      <c r="A231" s="93"/>
      <c r="B231" s="85" t="str">
        <f t="shared" si="12"/>
        <v/>
      </c>
      <c r="C231" s="85" t="str">
        <f t="shared" si="14"/>
        <v/>
      </c>
      <c r="D231" s="85" t="str">
        <f t="shared" si="15"/>
        <v/>
      </c>
      <c r="E231" s="85"/>
      <c r="F231" s="85" t="str">
        <f t="shared" si="13"/>
        <v/>
      </c>
      <c r="G231" s="80"/>
      <c r="H231" s="80"/>
      <c r="I231" s="79"/>
      <c r="J231" s="79"/>
      <c r="K231" s="80"/>
    </row>
    <row r="232" spans="1:11">
      <c r="A232" s="93"/>
      <c r="B232" s="85" t="str">
        <f t="shared" si="12"/>
        <v/>
      </c>
      <c r="C232" s="85" t="str">
        <f t="shared" si="14"/>
        <v/>
      </c>
      <c r="D232" s="85" t="str">
        <f t="shared" si="15"/>
        <v/>
      </c>
      <c r="E232" s="85"/>
      <c r="F232" s="85" t="str">
        <f t="shared" si="13"/>
        <v/>
      </c>
      <c r="G232" s="80"/>
      <c r="H232" s="80"/>
      <c r="I232" s="79"/>
      <c r="J232" s="79"/>
      <c r="K232" s="80"/>
    </row>
    <row r="233" spans="1:11">
      <c r="A233" s="93"/>
      <c r="B233" s="85" t="str">
        <f t="shared" si="12"/>
        <v/>
      </c>
      <c r="C233" s="85" t="str">
        <f t="shared" si="14"/>
        <v/>
      </c>
      <c r="D233" s="85" t="str">
        <f t="shared" si="15"/>
        <v/>
      </c>
      <c r="E233" s="85"/>
      <c r="F233" s="85" t="str">
        <f t="shared" si="13"/>
        <v/>
      </c>
      <c r="G233" s="80"/>
      <c r="H233" s="80"/>
      <c r="I233" s="79"/>
      <c r="J233" s="79"/>
      <c r="K233" s="80"/>
    </row>
    <row r="234" spans="1:11">
      <c r="A234" s="93"/>
      <c r="B234" s="85" t="str">
        <f t="shared" si="12"/>
        <v/>
      </c>
      <c r="C234" s="85" t="str">
        <f t="shared" si="14"/>
        <v/>
      </c>
      <c r="D234" s="85" t="str">
        <f t="shared" si="15"/>
        <v/>
      </c>
      <c r="E234" s="85"/>
      <c r="F234" s="85" t="str">
        <f t="shared" si="13"/>
        <v/>
      </c>
      <c r="G234" s="80"/>
      <c r="H234" s="80"/>
      <c r="I234" s="79"/>
      <c r="J234" s="79"/>
      <c r="K234" s="80"/>
    </row>
    <row r="235" spans="1:11">
      <c r="A235" s="93"/>
      <c r="B235" s="85" t="str">
        <f t="shared" si="12"/>
        <v/>
      </c>
      <c r="C235" s="85" t="str">
        <f t="shared" si="14"/>
        <v/>
      </c>
      <c r="D235" s="85" t="str">
        <f t="shared" si="15"/>
        <v/>
      </c>
      <c r="E235" s="85"/>
      <c r="F235" s="85" t="str">
        <f t="shared" si="13"/>
        <v/>
      </c>
      <c r="G235" s="80"/>
      <c r="H235" s="80"/>
      <c r="I235" s="79"/>
      <c r="J235" s="79"/>
      <c r="K235" s="80"/>
    </row>
    <row r="236" spans="1:11">
      <c r="A236" s="93"/>
      <c r="B236" s="85" t="str">
        <f t="shared" si="12"/>
        <v/>
      </c>
      <c r="C236" s="85" t="str">
        <f t="shared" si="14"/>
        <v/>
      </c>
      <c r="D236" s="85" t="str">
        <f t="shared" si="15"/>
        <v/>
      </c>
      <c r="E236" s="85"/>
      <c r="F236" s="85" t="str">
        <f t="shared" si="13"/>
        <v/>
      </c>
      <c r="G236" s="80"/>
      <c r="H236" s="80"/>
      <c r="I236" s="79"/>
      <c r="J236" s="79"/>
      <c r="K236" s="80"/>
    </row>
    <row r="237" spans="1:11">
      <c r="A237" s="93"/>
      <c r="B237" s="85" t="str">
        <f t="shared" si="12"/>
        <v/>
      </c>
      <c r="C237" s="85" t="str">
        <f t="shared" si="14"/>
        <v/>
      </c>
      <c r="D237" s="85" t="str">
        <f t="shared" si="15"/>
        <v/>
      </c>
      <c r="E237" s="85"/>
      <c r="F237" s="85" t="str">
        <f t="shared" si="13"/>
        <v/>
      </c>
      <c r="G237" s="80"/>
      <c r="H237" s="80"/>
      <c r="I237" s="79"/>
      <c r="J237" s="79"/>
      <c r="K237" s="80"/>
    </row>
    <row r="238" spans="1:11">
      <c r="A238" s="93"/>
      <c r="B238" s="85" t="str">
        <f t="shared" si="12"/>
        <v/>
      </c>
      <c r="C238" s="85" t="str">
        <f t="shared" si="14"/>
        <v/>
      </c>
      <c r="D238" s="85" t="str">
        <f t="shared" si="15"/>
        <v/>
      </c>
      <c r="E238" s="85"/>
      <c r="F238" s="85" t="str">
        <f t="shared" si="13"/>
        <v/>
      </c>
      <c r="G238" s="80"/>
      <c r="H238" s="80"/>
      <c r="I238" s="79"/>
      <c r="J238" s="79"/>
      <c r="K238" s="80"/>
    </row>
    <row r="239" spans="1:11">
      <c r="A239" s="93"/>
      <c r="B239" s="85" t="str">
        <f t="shared" si="12"/>
        <v/>
      </c>
      <c r="C239" s="85" t="str">
        <f t="shared" si="14"/>
        <v/>
      </c>
      <c r="D239" s="85" t="str">
        <f t="shared" si="15"/>
        <v/>
      </c>
      <c r="E239" s="85"/>
      <c r="F239" s="85" t="str">
        <f t="shared" si="13"/>
        <v/>
      </c>
      <c r="G239" s="80"/>
      <c r="H239" s="80"/>
      <c r="I239" s="79"/>
      <c r="J239" s="79"/>
      <c r="K239" s="80"/>
    </row>
    <row r="240" spans="1:11">
      <c r="A240" s="93"/>
      <c r="B240" s="85" t="str">
        <f t="shared" si="12"/>
        <v/>
      </c>
      <c r="C240" s="85" t="str">
        <f t="shared" si="14"/>
        <v/>
      </c>
      <c r="D240" s="85" t="str">
        <f t="shared" si="15"/>
        <v/>
      </c>
      <c r="E240" s="85"/>
      <c r="F240" s="85" t="str">
        <f t="shared" si="13"/>
        <v/>
      </c>
      <c r="G240" s="80"/>
      <c r="H240" s="80"/>
      <c r="I240" s="79"/>
      <c r="J240" s="79"/>
      <c r="K240" s="80"/>
    </row>
    <row r="241" spans="1:11">
      <c r="A241" s="93"/>
      <c r="B241" s="85" t="str">
        <f t="shared" si="12"/>
        <v/>
      </c>
      <c r="C241" s="85" t="str">
        <f t="shared" si="14"/>
        <v/>
      </c>
      <c r="D241" s="85" t="str">
        <f t="shared" si="15"/>
        <v/>
      </c>
      <c r="E241" s="85"/>
      <c r="F241" s="85" t="str">
        <f t="shared" si="13"/>
        <v/>
      </c>
      <c r="G241" s="80"/>
      <c r="H241" s="80"/>
      <c r="I241" s="79"/>
      <c r="J241" s="79"/>
      <c r="K241" s="80"/>
    </row>
    <row r="242" spans="1:11">
      <c r="A242" s="93"/>
      <c r="B242" s="85" t="str">
        <f t="shared" si="12"/>
        <v/>
      </c>
      <c r="C242" s="85" t="str">
        <f t="shared" si="14"/>
        <v/>
      </c>
      <c r="D242" s="85" t="str">
        <f t="shared" si="15"/>
        <v/>
      </c>
      <c r="E242" s="85"/>
      <c r="F242" s="85" t="str">
        <f t="shared" si="13"/>
        <v/>
      </c>
      <c r="G242" s="80"/>
      <c r="H242" s="80"/>
      <c r="I242" s="79"/>
      <c r="J242" s="79"/>
      <c r="K242" s="80"/>
    </row>
    <row r="243" spans="1:11">
      <c r="A243" s="93"/>
      <c r="B243" s="85" t="str">
        <f t="shared" si="12"/>
        <v/>
      </c>
      <c r="C243" s="85" t="str">
        <f t="shared" si="14"/>
        <v/>
      </c>
      <c r="D243" s="85" t="str">
        <f t="shared" si="15"/>
        <v/>
      </c>
      <c r="E243" s="85"/>
      <c r="F243" s="85" t="str">
        <f t="shared" si="13"/>
        <v/>
      </c>
      <c r="G243" s="80"/>
      <c r="H243" s="80"/>
      <c r="I243" s="79"/>
      <c r="J243" s="79"/>
      <c r="K243" s="80"/>
    </row>
    <row r="244" spans="1:11">
      <c r="A244" s="93"/>
      <c r="B244" s="85" t="str">
        <f t="shared" si="12"/>
        <v/>
      </c>
      <c r="C244" s="85" t="str">
        <f t="shared" si="14"/>
        <v/>
      </c>
      <c r="D244" s="85" t="str">
        <f t="shared" si="15"/>
        <v/>
      </c>
      <c r="E244" s="85"/>
      <c r="F244" s="85" t="str">
        <f t="shared" si="13"/>
        <v/>
      </c>
      <c r="G244" s="80"/>
      <c r="H244" s="80"/>
      <c r="I244" s="79"/>
      <c r="J244" s="79"/>
      <c r="K244" s="80"/>
    </row>
    <row r="245" spans="1:11">
      <c r="A245" s="93"/>
      <c r="B245" s="85" t="str">
        <f t="shared" si="12"/>
        <v/>
      </c>
      <c r="C245" s="85" t="str">
        <f t="shared" si="14"/>
        <v/>
      </c>
      <c r="D245" s="85" t="str">
        <f t="shared" si="15"/>
        <v/>
      </c>
      <c r="E245" s="85"/>
      <c r="F245" s="85" t="str">
        <f t="shared" si="13"/>
        <v/>
      </c>
      <c r="G245" s="80"/>
      <c r="H245" s="80"/>
      <c r="I245" s="79"/>
      <c r="J245" s="79"/>
      <c r="K245" s="80"/>
    </row>
    <row r="246" spans="1:11">
      <c r="A246" s="93"/>
      <c r="B246" s="85" t="str">
        <f t="shared" si="12"/>
        <v/>
      </c>
      <c r="C246" s="85" t="str">
        <f t="shared" si="14"/>
        <v/>
      </c>
      <c r="D246" s="85" t="str">
        <f t="shared" si="15"/>
        <v/>
      </c>
      <c r="E246" s="85"/>
      <c r="F246" s="85" t="str">
        <f t="shared" si="13"/>
        <v/>
      </c>
      <c r="G246" s="80"/>
      <c r="H246" s="80"/>
      <c r="I246" s="79"/>
      <c r="J246" s="79"/>
      <c r="K246" s="80"/>
    </row>
    <row r="247" spans="1:11">
      <c r="A247" s="93"/>
      <c r="B247" s="85" t="str">
        <f t="shared" si="12"/>
        <v/>
      </c>
      <c r="C247" s="85" t="str">
        <f t="shared" si="14"/>
        <v/>
      </c>
      <c r="D247" s="85" t="str">
        <f t="shared" si="15"/>
        <v/>
      </c>
      <c r="E247" s="85"/>
      <c r="F247" s="85" t="str">
        <f t="shared" si="13"/>
        <v/>
      </c>
      <c r="G247" s="80"/>
      <c r="H247" s="80"/>
      <c r="I247" s="79"/>
      <c r="J247" s="79"/>
      <c r="K247" s="80"/>
    </row>
    <row r="248" spans="1:11">
      <c r="A248" s="93"/>
      <c r="B248" s="85" t="str">
        <f t="shared" si="12"/>
        <v/>
      </c>
      <c r="C248" s="85" t="str">
        <f t="shared" si="14"/>
        <v/>
      </c>
      <c r="D248" s="85" t="str">
        <f t="shared" si="15"/>
        <v/>
      </c>
      <c r="E248" s="85"/>
      <c r="F248" s="85" t="str">
        <f t="shared" si="13"/>
        <v/>
      </c>
      <c r="G248" s="80"/>
      <c r="H248" s="80"/>
      <c r="I248" s="79"/>
      <c r="J248" s="79"/>
      <c r="K248" s="80"/>
    </row>
    <row r="249" spans="1:11">
      <c r="A249" s="93"/>
      <c r="B249" s="85" t="str">
        <f t="shared" si="12"/>
        <v/>
      </c>
      <c r="C249" s="85" t="str">
        <f t="shared" si="14"/>
        <v/>
      </c>
      <c r="D249" s="85" t="str">
        <f t="shared" si="15"/>
        <v/>
      </c>
      <c r="E249" s="85"/>
      <c r="F249" s="85" t="str">
        <f t="shared" si="13"/>
        <v/>
      </c>
      <c r="G249" s="80"/>
      <c r="H249" s="80"/>
      <c r="I249" s="79"/>
      <c r="J249" s="79"/>
      <c r="K249" s="80"/>
    </row>
    <row r="250" spans="1:11">
      <c r="A250" s="93"/>
      <c r="B250" s="85" t="str">
        <f t="shared" si="12"/>
        <v/>
      </c>
      <c r="C250" s="85" t="str">
        <f t="shared" si="14"/>
        <v/>
      </c>
      <c r="D250" s="85" t="str">
        <f t="shared" si="15"/>
        <v/>
      </c>
      <c r="E250" s="85"/>
      <c r="F250" s="85" t="str">
        <f t="shared" si="13"/>
        <v/>
      </c>
      <c r="G250" s="80"/>
      <c r="H250" s="80"/>
      <c r="I250" s="79"/>
      <c r="J250" s="79"/>
      <c r="K250" s="80"/>
    </row>
    <row r="251" spans="1:11">
      <c r="A251" s="93"/>
      <c r="B251" s="85" t="str">
        <f t="shared" si="12"/>
        <v/>
      </c>
      <c r="C251" s="85" t="str">
        <f t="shared" si="14"/>
        <v/>
      </c>
      <c r="D251" s="85" t="str">
        <f t="shared" si="15"/>
        <v/>
      </c>
      <c r="E251" s="85"/>
      <c r="F251" s="85" t="str">
        <f t="shared" si="13"/>
        <v/>
      </c>
      <c r="G251" s="80"/>
      <c r="H251" s="80"/>
      <c r="I251" s="79"/>
      <c r="J251" s="79"/>
      <c r="K251" s="80"/>
    </row>
    <row r="252" spans="1:11">
      <c r="A252" s="93"/>
      <c r="B252" s="85" t="str">
        <f t="shared" si="12"/>
        <v/>
      </c>
      <c r="C252" s="85" t="str">
        <f t="shared" si="14"/>
        <v/>
      </c>
      <c r="D252" s="85" t="str">
        <f t="shared" si="15"/>
        <v/>
      </c>
      <c r="E252" s="85"/>
      <c r="F252" s="85" t="str">
        <f t="shared" si="13"/>
        <v/>
      </c>
      <c r="G252" s="80"/>
      <c r="H252" s="80"/>
      <c r="I252" s="79"/>
      <c r="J252" s="79"/>
      <c r="K252" s="80"/>
    </row>
    <row r="253" spans="1:11">
      <c r="A253" s="93"/>
      <c r="B253" s="85" t="str">
        <f t="shared" si="12"/>
        <v/>
      </c>
      <c r="C253" s="85" t="str">
        <f t="shared" si="14"/>
        <v/>
      </c>
      <c r="D253" s="85" t="str">
        <f t="shared" si="15"/>
        <v/>
      </c>
      <c r="E253" s="85"/>
      <c r="F253" s="85" t="str">
        <f t="shared" si="13"/>
        <v/>
      </c>
      <c r="G253" s="80"/>
      <c r="H253" s="80"/>
      <c r="I253" s="79"/>
      <c r="J253" s="79"/>
      <c r="K253" s="80"/>
    </row>
    <row r="254" spans="1:11">
      <c r="A254" s="93"/>
      <c r="B254" s="85" t="str">
        <f t="shared" si="12"/>
        <v/>
      </c>
      <c r="C254" s="85" t="str">
        <f t="shared" si="14"/>
        <v/>
      </c>
      <c r="D254" s="85" t="str">
        <f t="shared" si="15"/>
        <v/>
      </c>
      <c r="E254" s="85"/>
      <c r="F254" s="85" t="str">
        <f t="shared" si="13"/>
        <v/>
      </c>
      <c r="G254" s="80"/>
      <c r="H254" s="80"/>
      <c r="I254" s="79"/>
      <c r="J254" s="79"/>
      <c r="K254" s="80"/>
    </row>
    <row r="255" spans="1:11">
      <c r="A255" s="93"/>
      <c r="B255" s="85" t="str">
        <f t="shared" si="12"/>
        <v/>
      </c>
      <c r="C255" s="85" t="str">
        <f t="shared" si="14"/>
        <v/>
      </c>
      <c r="D255" s="85" t="str">
        <f t="shared" si="15"/>
        <v/>
      </c>
      <c r="E255" s="85"/>
      <c r="F255" s="85" t="str">
        <f t="shared" si="13"/>
        <v/>
      </c>
      <c r="G255" s="80"/>
      <c r="H255" s="80"/>
      <c r="I255" s="79"/>
      <c r="J255" s="79"/>
      <c r="K255" s="80"/>
    </row>
    <row r="256" spans="1:11">
      <c r="A256" s="93"/>
      <c r="B256" s="85" t="str">
        <f t="shared" si="12"/>
        <v/>
      </c>
      <c r="C256" s="85" t="str">
        <f t="shared" si="14"/>
        <v/>
      </c>
      <c r="D256" s="85" t="str">
        <f t="shared" si="15"/>
        <v/>
      </c>
      <c r="E256" s="85"/>
      <c r="F256" s="85" t="str">
        <f t="shared" si="13"/>
        <v/>
      </c>
      <c r="G256" s="80"/>
      <c r="H256" s="80"/>
      <c r="I256" s="79"/>
      <c r="J256" s="79"/>
      <c r="K256" s="80"/>
    </row>
    <row r="257" spans="1:11">
      <c r="A257" s="93"/>
      <c r="B257" s="85" t="str">
        <f t="shared" si="12"/>
        <v/>
      </c>
      <c r="C257" s="85" t="str">
        <f t="shared" si="14"/>
        <v/>
      </c>
      <c r="D257" s="85" t="str">
        <f t="shared" si="15"/>
        <v/>
      </c>
      <c r="E257" s="85"/>
      <c r="F257" s="85" t="str">
        <f t="shared" si="13"/>
        <v/>
      </c>
      <c r="G257" s="80"/>
      <c r="H257" s="80"/>
      <c r="I257" s="79"/>
      <c r="J257" s="79"/>
      <c r="K257" s="80"/>
    </row>
    <row r="258" spans="1:11">
      <c r="A258" s="93"/>
      <c r="B258" s="85" t="str">
        <f t="shared" si="12"/>
        <v/>
      </c>
      <c r="C258" s="85" t="str">
        <f t="shared" si="14"/>
        <v/>
      </c>
      <c r="D258" s="85" t="str">
        <f t="shared" si="15"/>
        <v/>
      </c>
      <c r="E258" s="85"/>
      <c r="F258" s="85" t="str">
        <f t="shared" si="13"/>
        <v/>
      </c>
      <c r="G258" s="80"/>
      <c r="H258" s="80"/>
      <c r="I258" s="79"/>
      <c r="J258" s="79"/>
      <c r="K258" s="80"/>
    </row>
    <row r="259" spans="1:11">
      <c r="A259" s="93"/>
      <c r="B259" s="85" t="str">
        <f t="shared" si="12"/>
        <v/>
      </c>
      <c r="C259" s="85" t="str">
        <f t="shared" si="14"/>
        <v/>
      </c>
      <c r="D259" s="85" t="str">
        <f t="shared" si="15"/>
        <v/>
      </c>
      <c r="E259" s="85"/>
      <c r="F259" s="85" t="str">
        <f t="shared" si="13"/>
        <v/>
      </c>
      <c r="G259" s="80"/>
      <c r="H259" s="80"/>
      <c r="I259" s="79"/>
      <c r="J259" s="79"/>
      <c r="K259" s="80"/>
    </row>
    <row r="260" spans="1:11">
      <c r="A260" s="93"/>
      <c r="B260" s="85" t="str">
        <f t="shared" si="12"/>
        <v/>
      </c>
      <c r="C260" s="85" t="str">
        <f t="shared" si="14"/>
        <v/>
      </c>
      <c r="D260" s="85" t="str">
        <f t="shared" si="15"/>
        <v/>
      </c>
      <c r="E260" s="85"/>
      <c r="F260" s="85" t="str">
        <f t="shared" si="13"/>
        <v/>
      </c>
      <c r="G260" s="80"/>
      <c r="H260" s="80"/>
      <c r="I260" s="79"/>
      <c r="J260" s="79"/>
      <c r="K260" s="80"/>
    </row>
    <row r="261" spans="1:11">
      <c r="A261" s="93"/>
      <c r="B261" s="85" t="str">
        <f t="shared" si="12"/>
        <v/>
      </c>
      <c r="C261" s="85" t="str">
        <f t="shared" si="14"/>
        <v/>
      </c>
      <c r="D261" s="85" t="str">
        <f t="shared" si="15"/>
        <v/>
      </c>
      <c r="E261" s="85"/>
      <c r="F261" s="85" t="str">
        <f t="shared" si="13"/>
        <v/>
      </c>
      <c r="G261" s="80"/>
      <c r="H261" s="80"/>
      <c r="I261" s="79"/>
      <c r="J261" s="79"/>
      <c r="K261" s="80"/>
    </row>
    <row r="262" spans="1:11">
      <c r="A262" s="93"/>
      <c r="B262" s="85" t="str">
        <f t="shared" si="12"/>
        <v/>
      </c>
      <c r="C262" s="85" t="str">
        <f t="shared" si="14"/>
        <v/>
      </c>
      <c r="D262" s="85" t="str">
        <f t="shared" si="15"/>
        <v/>
      </c>
      <c r="E262" s="85"/>
      <c r="F262" s="85" t="str">
        <f t="shared" si="13"/>
        <v/>
      </c>
      <c r="G262" s="80"/>
      <c r="H262" s="80"/>
      <c r="I262" s="79"/>
      <c r="J262" s="79"/>
      <c r="K262" s="80"/>
    </row>
    <row r="263" spans="1:11">
      <c r="A263" s="93"/>
      <c r="B263" s="85" t="str">
        <f t="shared" si="12"/>
        <v/>
      </c>
      <c r="C263" s="85" t="str">
        <f t="shared" si="14"/>
        <v/>
      </c>
      <c r="D263" s="85" t="str">
        <f t="shared" si="15"/>
        <v/>
      </c>
      <c r="E263" s="85"/>
      <c r="F263" s="85" t="str">
        <f t="shared" si="13"/>
        <v/>
      </c>
      <c r="G263" s="80"/>
      <c r="H263" s="80"/>
      <c r="I263" s="79"/>
      <c r="J263" s="79"/>
      <c r="K263" s="80"/>
    </row>
    <row r="264" spans="1:11">
      <c r="A264" s="93"/>
      <c r="B264" s="85" t="str">
        <f t="shared" ref="B264:B327" si="16">IFERROR(IF(VLOOKUP($A264,CTINTERVALO,2,0)=0,"",VLOOKUP($A264,CTINTERVALO,2,0)),"")</f>
        <v/>
      </c>
      <c r="C264" s="85" t="str">
        <f t="shared" si="14"/>
        <v/>
      </c>
      <c r="D264" s="85" t="str">
        <f t="shared" si="15"/>
        <v/>
      </c>
      <c r="E264" s="85"/>
      <c r="F264" s="85" t="str">
        <f t="shared" ref="F264:F327" si="17">IF($B264="Não", "BLOQUEADO (Aguardar liberação)", IFERROR(IF(VLOOKUP($A264,CTINTERVALO,6,0)=0,"",VLOOKUP($A264,CTINTERVALO,6,0)),""))</f>
        <v/>
      </c>
      <c r="G264" s="80"/>
      <c r="H264" s="80"/>
      <c r="I264" s="79"/>
      <c r="J264" s="79"/>
      <c r="K264" s="80"/>
    </row>
    <row r="265" spans="1:11">
      <c r="A265" s="93"/>
      <c r="B265" s="85" t="str">
        <f t="shared" si="16"/>
        <v/>
      </c>
      <c r="C265" s="85" t="str">
        <f t="shared" ref="C265:C328" si="18">IF($B265="Não", "BLOQUEADO (Aguardar liberação)", IFERROR(IF(VLOOKUP($A265,CTINTERVALO,3,0)=0,"",VLOOKUP($A265,CTINTERVALO,3,0)),""))</f>
        <v/>
      </c>
      <c r="D265" s="85" t="str">
        <f t="shared" ref="D265:D328" si="19">IF($B265="Não", "BLOQUEADO (Aguardar liberação)", IFERROR(IF(VLOOKUP($A265,CTINTERVALO,4,0)=0,"",VLOOKUP($A265,CTINTERVALO,4,0)),""))</f>
        <v/>
      </c>
      <c r="E265" s="85"/>
      <c r="F265" s="85" t="str">
        <f t="shared" si="17"/>
        <v/>
      </c>
      <c r="G265" s="80"/>
      <c r="H265" s="80"/>
      <c r="I265" s="79"/>
      <c r="J265" s="79"/>
      <c r="K265" s="80"/>
    </row>
    <row r="266" spans="1:11">
      <c r="A266" s="93"/>
      <c r="B266" s="85" t="str">
        <f t="shared" si="16"/>
        <v/>
      </c>
      <c r="C266" s="85" t="str">
        <f t="shared" si="18"/>
        <v/>
      </c>
      <c r="D266" s="85" t="str">
        <f t="shared" si="19"/>
        <v/>
      </c>
      <c r="E266" s="85"/>
      <c r="F266" s="85" t="str">
        <f t="shared" si="17"/>
        <v/>
      </c>
      <c r="G266" s="80"/>
      <c r="H266" s="80"/>
      <c r="I266" s="79"/>
      <c r="J266" s="79"/>
      <c r="K266" s="80"/>
    </row>
    <row r="267" spans="1:11">
      <c r="A267" s="93"/>
      <c r="B267" s="85" t="str">
        <f t="shared" si="16"/>
        <v/>
      </c>
      <c r="C267" s="85" t="str">
        <f t="shared" si="18"/>
        <v/>
      </c>
      <c r="D267" s="85" t="str">
        <f t="shared" si="19"/>
        <v/>
      </c>
      <c r="E267" s="85"/>
      <c r="F267" s="85" t="str">
        <f t="shared" si="17"/>
        <v/>
      </c>
      <c r="G267" s="80"/>
      <c r="H267" s="80"/>
      <c r="I267" s="79"/>
      <c r="J267" s="79"/>
      <c r="K267" s="80"/>
    </row>
    <row r="268" spans="1:11">
      <c r="A268" s="93"/>
      <c r="B268" s="85" t="str">
        <f t="shared" si="16"/>
        <v/>
      </c>
      <c r="C268" s="85" t="str">
        <f t="shared" si="18"/>
        <v/>
      </c>
      <c r="D268" s="85" t="str">
        <f t="shared" si="19"/>
        <v/>
      </c>
      <c r="E268" s="85"/>
      <c r="F268" s="85" t="str">
        <f t="shared" si="17"/>
        <v/>
      </c>
      <c r="G268" s="80"/>
      <c r="H268" s="80"/>
      <c r="I268" s="79"/>
      <c r="J268" s="79"/>
      <c r="K268" s="80"/>
    </row>
    <row r="269" spans="1:11">
      <c r="A269" s="93"/>
      <c r="B269" s="85" t="str">
        <f t="shared" si="16"/>
        <v/>
      </c>
      <c r="C269" s="85" t="str">
        <f t="shared" si="18"/>
        <v/>
      </c>
      <c r="D269" s="85" t="str">
        <f t="shared" si="19"/>
        <v/>
      </c>
      <c r="E269" s="85"/>
      <c r="F269" s="85" t="str">
        <f t="shared" si="17"/>
        <v/>
      </c>
      <c r="G269" s="80"/>
      <c r="H269" s="80"/>
      <c r="I269" s="79"/>
      <c r="J269" s="79"/>
      <c r="K269" s="80"/>
    </row>
    <row r="270" spans="1:11">
      <c r="A270" s="93"/>
      <c r="B270" s="85" t="str">
        <f t="shared" si="16"/>
        <v/>
      </c>
      <c r="C270" s="85" t="str">
        <f t="shared" si="18"/>
        <v/>
      </c>
      <c r="D270" s="85" t="str">
        <f t="shared" si="19"/>
        <v/>
      </c>
      <c r="E270" s="85"/>
      <c r="F270" s="85" t="str">
        <f t="shared" si="17"/>
        <v/>
      </c>
      <c r="G270" s="80"/>
      <c r="H270" s="80"/>
      <c r="I270" s="79"/>
      <c r="J270" s="79"/>
      <c r="K270" s="80"/>
    </row>
    <row r="271" spans="1:11">
      <c r="A271" s="93"/>
      <c r="B271" s="85" t="str">
        <f t="shared" si="16"/>
        <v/>
      </c>
      <c r="C271" s="85" t="str">
        <f t="shared" si="18"/>
        <v/>
      </c>
      <c r="D271" s="85" t="str">
        <f t="shared" si="19"/>
        <v/>
      </c>
      <c r="E271" s="85"/>
      <c r="F271" s="85" t="str">
        <f t="shared" si="17"/>
        <v/>
      </c>
      <c r="G271" s="80"/>
      <c r="H271" s="80"/>
      <c r="I271" s="79"/>
      <c r="J271" s="79"/>
      <c r="K271" s="80"/>
    </row>
    <row r="272" spans="1:11">
      <c r="A272" s="93"/>
      <c r="B272" s="85" t="str">
        <f t="shared" si="16"/>
        <v/>
      </c>
      <c r="C272" s="85" t="str">
        <f t="shared" si="18"/>
        <v/>
      </c>
      <c r="D272" s="85" t="str">
        <f t="shared" si="19"/>
        <v/>
      </c>
      <c r="E272" s="85"/>
      <c r="F272" s="85" t="str">
        <f t="shared" si="17"/>
        <v/>
      </c>
      <c r="G272" s="80"/>
      <c r="H272" s="80"/>
      <c r="I272" s="79"/>
      <c r="J272" s="79"/>
      <c r="K272" s="80"/>
    </row>
    <row r="273" spans="1:11">
      <c r="A273" s="93"/>
      <c r="B273" s="85" t="str">
        <f t="shared" si="16"/>
        <v/>
      </c>
      <c r="C273" s="85" t="str">
        <f t="shared" si="18"/>
        <v/>
      </c>
      <c r="D273" s="85" t="str">
        <f t="shared" si="19"/>
        <v/>
      </c>
      <c r="E273" s="85"/>
      <c r="F273" s="85" t="str">
        <f t="shared" si="17"/>
        <v/>
      </c>
      <c r="G273" s="80"/>
      <c r="H273" s="80"/>
      <c r="I273" s="79"/>
      <c r="J273" s="79"/>
      <c r="K273" s="80"/>
    </row>
    <row r="274" spans="1:11">
      <c r="A274" s="93"/>
      <c r="B274" s="85" t="str">
        <f t="shared" si="16"/>
        <v/>
      </c>
      <c r="C274" s="85" t="str">
        <f t="shared" si="18"/>
        <v/>
      </c>
      <c r="D274" s="85" t="str">
        <f t="shared" si="19"/>
        <v/>
      </c>
      <c r="E274" s="85"/>
      <c r="F274" s="85" t="str">
        <f t="shared" si="17"/>
        <v/>
      </c>
      <c r="G274" s="80"/>
      <c r="H274" s="80"/>
      <c r="I274" s="79"/>
      <c r="J274" s="79"/>
      <c r="K274" s="80"/>
    </row>
    <row r="275" spans="1:11">
      <c r="A275" s="93"/>
      <c r="B275" s="85" t="str">
        <f t="shared" si="16"/>
        <v/>
      </c>
      <c r="C275" s="85" t="str">
        <f t="shared" si="18"/>
        <v/>
      </c>
      <c r="D275" s="85" t="str">
        <f t="shared" si="19"/>
        <v/>
      </c>
      <c r="E275" s="85"/>
      <c r="F275" s="85" t="str">
        <f t="shared" si="17"/>
        <v/>
      </c>
      <c r="G275" s="80"/>
      <c r="H275" s="80"/>
      <c r="I275" s="79"/>
      <c r="J275" s="79"/>
      <c r="K275" s="80"/>
    </row>
    <row r="276" spans="1:11">
      <c r="A276" s="93"/>
      <c r="B276" s="85" t="str">
        <f t="shared" si="16"/>
        <v/>
      </c>
      <c r="C276" s="85" t="str">
        <f t="shared" si="18"/>
        <v/>
      </c>
      <c r="D276" s="85" t="str">
        <f t="shared" si="19"/>
        <v/>
      </c>
      <c r="E276" s="85"/>
      <c r="F276" s="85" t="str">
        <f t="shared" si="17"/>
        <v/>
      </c>
      <c r="G276" s="80"/>
      <c r="H276" s="80"/>
      <c r="I276" s="79"/>
      <c r="J276" s="79"/>
      <c r="K276" s="80"/>
    </row>
    <row r="277" spans="1:11">
      <c r="A277" s="93"/>
      <c r="B277" s="85" t="str">
        <f t="shared" si="16"/>
        <v/>
      </c>
      <c r="C277" s="85" t="str">
        <f t="shared" si="18"/>
        <v/>
      </c>
      <c r="D277" s="85" t="str">
        <f t="shared" si="19"/>
        <v/>
      </c>
      <c r="E277" s="85"/>
      <c r="F277" s="85" t="str">
        <f t="shared" si="17"/>
        <v/>
      </c>
      <c r="G277" s="80"/>
      <c r="H277" s="80"/>
      <c r="I277" s="79"/>
      <c r="J277" s="79"/>
      <c r="K277" s="80"/>
    </row>
    <row r="278" spans="1:11">
      <c r="A278" s="93"/>
      <c r="B278" s="85" t="str">
        <f t="shared" si="16"/>
        <v/>
      </c>
      <c r="C278" s="85" t="str">
        <f t="shared" si="18"/>
        <v/>
      </c>
      <c r="D278" s="85" t="str">
        <f t="shared" si="19"/>
        <v/>
      </c>
      <c r="E278" s="85"/>
      <c r="F278" s="85" t="str">
        <f t="shared" si="17"/>
        <v/>
      </c>
      <c r="G278" s="80"/>
      <c r="H278" s="80"/>
      <c r="I278" s="79"/>
      <c r="J278" s="79"/>
      <c r="K278" s="80"/>
    </row>
    <row r="279" spans="1:11">
      <c r="A279" s="93"/>
      <c r="B279" s="85" t="str">
        <f t="shared" si="16"/>
        <v/>
      </c>
      <c r="C279" s="85" t="str">
        <f t="shared" si="18"/>
        <v/>
      </c>
      <c r="D279" s="85" t="str">
        <f t="shared" si="19"/>
        <v/>
      </c>
      <c r="E279" s="85"/>
      <c r="F279" s="85" t="str">
        <f t="shared" si="17"/>
        <v/>
      </c>
      <c r="G279" s="80"/>
      <c r="H279" s="80"/>
      <c r="I279" s="79"/>
      <c r="J279" s="79"/>
      <c r="K279" s="80"/>
    </row>
    <row r="280" spans="1:11">
      <c r="A280" s="93"/>
      <c r="B280" s="85" t="str">
        <f t="shared" si="16"/>
        <v/>
      </c>
      <c r="C280" s="85" t="str">
        <f t="shared" si="18"/>
        <v/>
      </c>
      <c r="D280" s="85" t="str">
        <f t="shared" si="19"/>
        <v/>
      </c>
      <c r="E280" s="85"/>
      <c r="F280" s="85" t="str">
        <f t="shared" si="17"/>
        <v/>
      </c>
      <c r="G280" s="80"/>
      <c r="H280" s="80"/>
      <c r="I280" s="79"/>
      <c r="J280" s="79"/>
      <c r="K280" s="80"/>
    </row>
    <row r="281" spans="1:11">
      <c r="A281" s="93"/>
      <c r="B281" s="85" t="str">
        <f t="shared" si="16"/>
        <v/>
      </c>
      <c r="C281" s="85" t="str">
        <f t="shared" si="18"/>
        <v/>
      </c>
      <c r="D281" s="85" t="str">
        <f t="shared" si="19"/>
        <v/>
      </c>
      <c r="E281" s="85"/>
      <c r="F281" s="85" t="str">
        <f t="shared" si="17"/>
        <v/>
      </c>
      <c r="G281" s="80"/>
      <c r="H281" s="80"/>
      <c r="I281" s="79"/>
      <c r="J281" s="79"/>
      <c r="K281" s="80"/>
    </row>
    <row r="282" spans="1:11">
      <c r="A282" s="93"/>
      <c r="B282" s="85" t="str">
        <f t="shared" si="16"/>
        <v/>
      </c>
      <c r="C282" s="85" t="str">
        <f t="shared" si="18"/>
        <v/>
      </c>
      <c r="D282" s="85" t="str">
        <f t="shared" si="19"/>
        <v/>
      </c>
      <c r="E282" s="85"/>
      <c r="F282" s="85" t="str">
        <f t="shared" si="17"/>
        <v/>
      </c>
      <c r="G282" s="80"/>
      <c r="H282" s="80"/>
      <c r="I282" s="79"/>
      <c r="J282" s="79"/>
      <c r="K282" s="80"/>
    </row>
    <row r="283" spans="1:11">
      <c r="A283" s="93"/>
      <c r="B283" s="85" t="str">
        <f t="shared" si="16"/>
        <v/>
      </c>
      <c r="C283" s="85" t="str">
        <f t="shared" si="18"/>
        <v/>
      </c>
      <c r="D283" s="85" t="str">
        <f t="shared" si="19"/>
        <v/>
      </c>
      <c r="E283" s="85"/>
      <c r="F283" s="85" t="str">
        <f t="shared" si="17"/>
        <v/>
      </c>
      <c r="G283" s="80"/>
      <c r="H283" s="80"/>
      <c r="I283" s="79"/>
      <c r="J283" s="79"/>
      <c r="K283" s="80"/>
    </row>
    <row r="284" spans="1:11">
      <c r="A284" s="93"/>
      <c r="B284" s="85" t="str">
        <f t="shared" si="16"/>
        <v/>
      </c>
      <c r="C284" s="85" t="str">
        <f t="shared" si="18"/>
        <v/>
      </c>
      <c r="D284" s="85" t="str">
        <f t="shared" si="19"/>
        <v/>
      </c>
      <c r="E284" s="85"/>
      <c r="F284" s="85" t="str">
        <f t="shared" si="17"/>
        <v/>
      </c>
      <c r="G284" s="80"/>
      <c r="H284" s="80"/>
      <c r="I284" s="79"/>
      <c r="J284" s="79"/>
      <c r="K284" s="80"/>
    </row>
    <row r="285" spans="1:11">
      <c r="A285" s="93"/>
      <c r="B285" s="85" t="str">
        <f t="shared" si="16"/>
        <v/>
      </c>
      <c r="C285" s="85" t="str">
        <f t="shared" si="18"/>
        <v/>
      </c>
      <c r="D285" s="85" t="str">
        <f t="shared" si="19"/>
        <v/>
      </c>
      <c r="E285" s="85"/>
      <c r="F285" s="85" t="str">
        <f t="shared" si="17"/>
        <v/>
      </c>
      <c r="G285" s="80"/>
      <c r="H285" s="80"/>
      <c r="I285" s="79"/>
      <c r="J285" s="79"/>
      <c r="K285" s="80"/>
    </row>
    <row r="286" spans="1:11">
      <c r="A286" s="93"/>
      <c r="B286" s="85" t="str">
        <f t="shared" si="16"/>
        <v/>
      </c>
      <c r="C286" s="85" t="str">
        <f t="shared" si="18"/>
        <v/>
      </c>
      <c r="D286" s="85" t="str">
        <f t="shared" si="19"/>
        <v/>
      </c>
      <c r="E286" s="85"/>
      <c r="F286" s="85" t="str">
        <f t="shared" si="17"/>
        <v/>
      </c>
      <c r="G286" s="80"/>
      <c r="H286" s="80"/>
      <c r="I286" s="79"/>
      <c r="J286" s="79"/>
      <c r="K286" s="80"/>
    </row>
    <row r="287" spans="1:11">
      <c r="A287" s="93"/>
      <c r="B287" s="85" t="str">
        <f t="shared" si="16"/>
        <v/>
      </c>
      <c r="C287" s="85" t="str">
        <f t="shared" si="18"/>
        <v/>
      </c>
      <c r="D287" s="85" t="str">
        <f t="shared" si="19"/>
        <v/>
      </c>
      <c r="E287" s="85"/>
      <c r="F287" s="85" t="str">
        <f t="shared" si="17"/>
        <v/>
      </c>
      <c r="G287" s="80"/>
      <c r="H287" s="80"/>
      <c r="I287" s="79"/>
      <c r="J287" s="79"/>
      <c r="K287" s="80"/>
    </row>
    <row r="288" spans="1:11">
      <c r="A288" s="93"/>
      <c r="B288" s="85" t="str">
        <f t="shared" si="16"/>
        <v/>
      </c>
      <c r="C288" s="85" t="str">
        <f t="shared" si="18"/>
        <v/>
      </c>
      <c r="D288" s="85" t="str">
        <f t="shared" si="19"/>
        <v/>
      </c>
      <c r="E288" s="85"/>
      <c r="F288" s="85" t="str">
        <f t="shared" si="17"/>
        <v/>
      </c>
      <c r="G288" s="80"/>
      <c r="H288" s="80"/>
      <c r="I288" s="79"/>
      <c r="J288" s="79"/>
      <c r="K288" s="80"/>
    </row>
    <row r="289" spans="1:11">
      <c r="A289" s="93"/>
      <c r="B289" s="85" t="str">
        <f t="shared" si="16"/>
        <v/>
      </c>
      <c r="C289" s="85" t="str">
        <f t="shared" si="18"/>
        <v/>
      </c>
      <c r="D289" s="85" t="str">
        <f t="shared" si="19"/>
        <v/>
      </c>
      <c r="E289" s="85"/>
      <c r="F289" s="85" t="str">
        <f t="shared" si="17"/>
        <v/>
      </c>
      <c r="G289" s="80"/>
      <c r="H289" s="80"/>
      <c r="I289" s="79"/>
      <c r="J289" s="79"/>
      <c r="K289" s="80"/>
    </row>
    <row r="290" spans="1:11">
      <c r="A290" s="93"/>
      <c r="B290" s="85" t="str">
        <f t="shared" si="16"/>
        <v/>
      </c>
      <c r="C290" s="85" t="str">
        <f t="shared" si="18"/>
        <v/>
      </c>
      <c r="D290" s="85" t="str">
        <f t="shared" si="19"/>
        <v/>
      </c>
      <c r="E290" s="85"/>
      <c r="F290" s="85" t="str">
        <f t="shared" si="17"/>
        <v/>
      </c>
      <c r="G290" s="80"/>
      <c r="H290" s="80"/>
      <c r="I290" s="79"/>
      <c r="J290" s="79"/>
      <c r="K290" s="80"/>
    </row>
    <row r="291" spans="1:11">
      <c r="A291" s="93"/>
      <c r="B291" s="85" t="str">
        <f t="shared" si="16"/>
        <v/>
      </c>
      <c r="C291" s="85" t="str">
        <f t="shared" si="18"/>
        <v/>
      </c>
      <c r="D291" s="85" t="str">
        <f t="shared" si="19"/>
        <v/>
      </c>
      <c r="E291" s="85"/>
      <c r="F291" s="85" t="str">
        <f t="shared" si="17"/>
        <v/>
      </c>
      <c r="G291" s="80"/>
      <c r="H291" s="80"/>
      <c r="I291" s="79"/>
      <c r="J291" s="79"/>
      <c r="K291" s="80"/>
    </row>
    <row r="292" spans="1:11">
      <c r="A292" s="93"/>
      <c r="B292" s="85" t="str">
        <f t="shared" si="16"/>
        <v/>
      </c>
      <c r="C292" s="85" t="str">
        <f t="shared" si="18"/>
        <v/>
      </c>
      <c r="D292" s="85" t="str">
        <f t="shared" si="19"/>
        <v/>
      </c>
      <c r="E292" s="85"/>
      <c r="F292" s="85" t="str">
        <f t="shared" si="17"/>
        <v/>
      </c>
      <c r="G292" s="80"/>
      <c r="H292" s="80"/>
      <c r="I292" s="79"/>
      <c r="J292" s="79"/>
      <c r="K292" s="80"/>
    </row>
    <row r="293" spans="1:11">
      <c r="A293" s="93"/>
      <c r="B293" s="85" t="str">
        <f t="shared" si="16"/>
        <v/>
      </c>
      <c r="C293" s="85" t="str">
        <f t="shared" si="18"/>
        <v/>
      </c>
      <c r="D293" s="85" t="str">
        <f t="shared" si="19"/>
        <v/>
      </c>
      <c r="E293" s="85"/>
      <c r="F293" s="85" t="str">
        <f t="shared" si="17"/>
        <v/>
      </c>
      <c r="G293" s="80"/>
      <c r="H293" s="80"/>
      <c r="I293" s="79"/>
      <c r="J293" s="79"/>
      <c r="K293" s="80"/>
    </row>
    <row r="294" spans="1:11">
      <c r="A294" s="93"/>
      <c r="B294" s="85" t="str">
        <f t="shared" si="16"/>
        <v/>
      </c>
      <c r="C294" s="85" t="str">
        <f t="shared" si="18"/>
        <v/>
      </c>
      <c r="D294" s="85" t="str">
        <f t="shared" si="19"/>
        <v/>
      </c>
      <c r="E294" s="85"/>
      <c r="F294" s="85" t="str">
        <f t="shared" si="17"/>
        <v/>
      </c>
      <c r="G294" s="80"/>
      <c r="H294" s="80"/>
      <c r="I294" s="79"/>
      <c r="J294" s="79"/>
      <c r="K294" s="80"/>
    </row>
    <row r="295" spans="1:11">
      <c r="A295" s="93"/>
      <c r="B295" s="85" t="str">
        <f t="shared" si="16"/>
        <v/>
      </c>
      <c r="C295" s="85" t="str">
        <f t="shared" si="18"/>
        <v/>
      </c>
      <c r="D295" s="85" t="str">
        <f t="shared" si="19"/>
        <v/>
      </c>
      <c r="E295" s="85"/>
      <c r="F295" s="85" t="str">
        <f t="shared" si="17"/>
        <v/>
      </c>
      <c r="G295" s="80"/>
      <c r="H295" s="80"/>
      <c r="I295" s="79"/>
      <c r="J295" s="79"/>
      <c r="K295" s="80"/>
    </row>
    <row r="296" spans="1:11">
      <c r="A296" s="93"/>
      <c r="B296" s="85" t="str">
        <f t="shared" si="16"/>
        <v/>
      </c>
      <c r="C296" s="85" t="str">
        <f t="shared" si="18"/>
        <v/>
      </c>
      <c r="D296" s="85" t="str">
        <f t="shared" si="19"/>
        <v/>
      </c>
      <c r="E296" s="85"/>
      <c r="F296" s="85" t="str">
        <f t="shared" si="17"/>
        <v/>
      </c>
      <c r="G296" s="80"/>
      <c r="H296" s="80"/>
      <c r="I296" s="79"/>
      <c r="J296" s="79"/>
      <c r="K296" s="80"/>
    </row>
    <row r="297" spans="1:11">
      <c r="A297" s="93"/>
      <c r="B297" s="85" t="str">
        <f t="shared" si="16"/>
        <v/>
      </c>
      <c r="C297" s="85" t="str">
        <f t="shared" si="18"/>
        <v/>
      </c>
      <c r="D297" s="85" t="str">
        <f t="shared" si="19"/>
        <v/>
      </c>
      <c r="E297" s="85"/>
      <c r="F297" s="85" t="str">
        <f t="shared" si="17"/>
        <v/>
      </c>
      <c r="G297" s="80"/>
      <c r="H297" s="80"/>
      <c r="I297" s="79"/>
      <c r="J297" s="79"/>
      <c r="K297" s="80"/>
    </row>
    <row r="298" spans="1:11">
      <c r="A298" s="93"/>
      <c r="B298" s="85" t="str">
        <f t="shared" si="16"/>
        <v/>
      </c>
      <c r="C298" s="85" t="str">
        <f t="shared" si="18"/>
        <v/>
      </c>
      <c r="D298" s="85" t="str">
        <f t="shared" si="19"/>
        <v/>
      </c>
      <c r="E298" s="85"/>
      <c r="F298" s="85" t="str">
        <f t="shared" si="17"/>
        <v/>
      </c>
      <c r="G298" s="80"/>
      <c r="H298" s="80"/>
      <c r="I298" s="79"/>
      <c r="J298" s="79"/>
      <c r="K298" s="80"/>
    </row>
    <row r="299" spans="1:11">
      <c r="A299" s="93"/>
      <c r="B299" s="85" t="str">
        <f t="shared" si="16"/>
        <v/>
      </c>
      <c r="C299" s="85" t="str">
        <f t="shared" si="18"/>
        <v/>
      </c>
      <c r="D299" s="85" t="str">
        <f t="shared" si="19"/>
        <v/>
      </c>
      <c r="E299" s="85" t="str">
        <f t="shared" ref="E299:E362" si="20">IF($B299="Não", "BLOQUEADO (Aguardar liberação)", "")</f>
        <v/>
      </c>
      <c r="F299" s="85" t="str">
        <f t="shared" si="17"/>
        <v/>
      </c>
      <c r="G299" s="80"/>
      <c r="H299" s="80"/>
      <c r="I299" s="79"/>
      <c r="J299" s="79"/>
      <c r="K299" s="80"/>
    </row>
    <row r="300" spans="1:11">
      <c r="A300" s="93"/>
      <c r="B300" s="85" t="str">
        <f t="shared" si="16"/>
        <v/>
      </c>
      <c r="C300" s="85" t="str">
        <f t="shared" si="18"/>
        <v/>
      </c>
      <c r="D300" s="85" t="str">
        <f t="shared" si="19"/>
        <v/>
      </c>
      <c r="E300" s="85" t="str">
        <f t="shared" si="20"/>
        <v/>
      </c>
      <c r="F300" s="85" t="str">
        <f t="shared" si="17"/>
        <v/>
      </c>
      <c r="G300" s="80"/>
      <c r="H300" s="80"/>
      <c r="I300" s="79"/>
      <c r="J300" s="79"/>
      <c r="K300" s="80"/>
    </row>
    <row r="301" spans="1:11">
      <c r="A301" s="93"/>
      <c r="B301" s="85" t="str">
        <f t="shared" si="16"/>
        <v/>
      </c>
      <c r="C301" s="85" t="str">
        <f t="shared" si="18"/>
        <v/>
      </c>
      <c r="D301" s="85" t="str">
        <f t="shared" si="19"/>
        <v/>
      </c>
      <c r="E301" s="85" t="str">
        <f t="shared" si="20"/>
        <v/>
      </c>
      <c r="F301" s="85" t="str">
        <f t="shared" si="17"/>
        <v/>
      </c>
      <c r="G301" s="80"/>
      <c r="H301" s="80"/>
      <c r="I301" s="79"/>
      <c r="J301" s="79"/>
      <c r="K301" s="80"/>
    </row>
    <row r="302" spans="1:11">
      <c r="A302" s="93"/>
      <c r="B302" s="85" t="str">
        <f t="shared" si="16"/>
        <v/>
      </c>
      <c r="C302" s="85" t="str">
        <f t="shared" si="18"/>
        <v/>
      </c>
      <c r="D302" s="85" t="str">
        <f t="shared" si="19"/>
        <v/>
      </c>
      <c r="E302" s="85" t="str">
        <f t="shared" si="20"/>
        <v/>
      </c>
      <c r="F302" s="85" t="str">
        <f t="shared" si="17"/>
        <v/>
      </c>
      <c r="G302" s="80"/>
      <c r="H302" s="80"/>
      <c r="I302" s="79"/>
      <c r="J302" s="79"/>
      <c r="K302" s="80"/>
    </row>
    <row r="303" spans="1:11">
      <c r="A303" s="93"/>
      <c r="B303" s="85" t="str">
        <f t="shared" si="16"/>
        <v/>
      </c>
      <c r="C303" s="85" t="str">
        <f t="shared" si="18"/>
        <v/>
      </c>
      <c r="D303" s="85" t="str">
        <f t="shared" si="19"/>
        <v/>
      </c>
      <c r="E303" s="85" t="str">
        <f t="shared" si="20"/>
        <v/>
      </c>
      <c r="F303" s="85" t="str">
        <f t="shared" si="17"/>
        <v/>
      </c>
      <c r="G303" s="80"/>
      <c r="H303" s="80"/>
      <c r="I303" s="79"/>
      <c r="J303" s="79"/>
      <c r="K303" s="80"/>
    </row>
    <row r="304" spans="1:11">
      <c r="A304" s="93"/>
      <c r="B304" s="85" t="str">
        <f t="shared" si="16"/>
        <v/>
      </c>
      <c r="C304" s="85" t="str">
        <f t="shared" si="18"/>
        <v/>
      </c>
      <c r="D304" s="85" t="str">
        <f t="shared" si="19"/>
        <v/>
      </c>
      <c r="E304" s="85" t="str">
        <f t="shared" si="20"/>
        <v/>
      </c>
      <c r="F304" s="85" t="str">
        <f t="shared" si="17"/>
        <v/>
      </c>
      <c r="G304" s="80"/>
      <c r="H304" s="80"/>
      <c r="I304" s="79"/>
      <c r="J304" s="79"/>
      <c r="K304" s="80"/>
    </row>
    <row r="305" spans="1:11">
      <c r="A305" s="93"/>
      <c r="B305" s="85" t="str">
        <f t="shared" si="16"/>
        <v/>
      </c>
      <c r="C305" s="85" t="str">
        <f t="shared" si="18"/>
        <v/>
      </c>
      <c r="D305" s="85" t="str">
        <f t="shared" si="19"/>
        <v/>
      </c>
      <c r="E305" s="85" t="str">
        <f t="shared" si="20"/>
        <v/>
      </c>
      <c r="F305" s="85" t="str">
        <f t="shared" si="17"/>
        <v/>
      </c>
      <c r="G305" s="80"/>
      <c r="H305" s="80"/>
      <c r="I305" s="79"/>
      <c r="J305" s="79"/>
      <c r="K305" s="80"/>
    </row>
    <row r="306" spans="1:11">
      <c r="A306" s="93"/>
      <c r="B306" s="85" t="str">
        <f t="shared" si="16"/>
        <v/>
      </c>
      <c r="C306" s="85" t="str">
        <f t="shared" si="18"/>
        <v/>
      </c>
      <c r="D306" s="85" t="str">
        <f t="shared" si="19"/>
        <v/>
      </c>
      <c r="E306" s="85" t="str">
        <f t="shared" si="20"/>
        <v/>
      </c>
      <c r="F306" s="85" t="str">
        <f t="shared" si="17"/>
        <v/>
      </c>
      <c r="G306" s="80"/>
      <c r="H306" s="80"/>
      <c r="I306" s="79"/>
      <c r="J306" s="79"/>
      <c r="K306" s="80"/>
    </row>
    <row r="307" spans="1:11">
      <c r="A307" s="93"/>
      <c r="B307" s="85" t="str">
        <f t="shared" si="16"/>
        <v/>
      </c>
      <c r="C307" s="85" t="str">
        <f t="shared" si="18"/>
        <v/>
      </c>
      <c r="D307" s="85" t="str">
        <f t="shared" si="19"/>
        <v/>
      </c>
      <c r="E307" s="85" t="str">
        <f t="shared" si="20"/>
        <v/>
      </c>
      <c r="F307" s="85" t="str">
        <f t="shared" si="17"/>
        <v/>
      </c>
      <c r="G307" s="80"/>
      <c r="H307" s="80"/>
      <c r="I307" s="79"/>
      <c r="J307" s="79"/>
      <c r="K307" s="80"/>
    </row>
    <row r="308" spans="1:11">
      <c r="A308" s="93"/>
      <c r="B308" s="85" t="str">
        <f t="shared" si="16"/>
        <v/>
      </c>
      <c r="C308" s="85" t="str">
        <f t="shared" si="18"/>
        <v/>
      </c>
      <c r="D308" s="85" t="str">
        <f t="shared" si="19"/>
        <v/>
      </c>
      <c r="E308" s="85" t="str">
        <f t="shared" si="20"/>
        <v/>
      </c>
      <c r="F308" s="85" t="str">
        <f t="shared" si="17"/>
        <v/>
      </c>
      <c r="G308" s="80"/>
      <c r="H308" s="80"/>
      <c r="I308" s="79"/>
      <c r="J308" s="79"/>
      <c r="K308" s="80"/>
    </row>
    <row r="309" spans="1:11">
      <c r="A309" s="93"/>
      <c r="B309" s="85" t="str">
        <f t="shared" si="16"/>
        <v/>
      </c>
      <c r="C309" s="85" t="str">
        <f t="shared" si="18"/>
        <v/>
      </c>
      <c r="D309" s="85" t="str">
        <f t="shared" si="19"/>
        <v/>
      </c>
      <c r="E309" s="85" t="str">
        <f t="shared" si="20"/>
        <v/>
      </c>
      <c r="F309" s="85" t="str">
        <f t="shared" si="17"/>
        <v/>
      </c>
      <c r="G309" s="80"/>
      <c r="H309" s="80"/>
      <c r="I309" s="79"/>
      <c r="J309" s="79"/>
      <c r="K309" s="80"/>
    </row>
    <row r="310" spans="1:11">
      <c r="A310" s="93"/>
      <c r="B310" s="85" t="str">
        <f t="shared" si="16"/>
        <v/>
      </c>
      <c r="C310" s="85" t="str">
        <f t="shared" si="18"/>
        <v/>
      </c>
      <c r="D310" s="85" t="str">
        <f t="shared" si="19"/>
        <v/>
      </c>
      <c r="E310" s="85" t="str">
        <f t="shared" si="20"/>
        <v/>
      </c>
      <c r="F310" s="85" t="str">
        <f t="shared" si="17"/>
        <v/>
      </c>
      <c r="G310" s="80"/>
      <c r="H310" s="80"/>
      <c r="I310" s="79"/>
      <c r="J310" s="79"/>
      <c r="K310" s="80"/>
    </row>
    <row r="311" spans="1:11">
      <c r="A311" s="93"/>
      <c r="B311" s="85" t="str">
        <f t="shared" si="16"/>
        <v/>
      </c>
      <c r="C311" s="85" t="str">
        <f t="shared" si="18"/>
        <v/>
      </c>
      <c r="D311" s="85" t="str">
        <f t="shared" si="19"/>
        <v/>
      </c>
      <c r="E311" s="85" t="str">
        <f t="shared" si="20"/>
        <v/>
      </c>
      <c r="F311" s="85" t="str">
        <f t="shared" si="17"/>
        <v/>
      </c>
      <c r="G311" s="80"/>
      <c r="H311" s="80"/>
      <c r="I311" s="79"/>
      <c r="J311" s="79"/>
      <c r="K311" s="80"/>
    </row>
    <row r="312" spans="1:11">
      <c r="A312" s="93"/>
      <c r="B312" s="85" t="str">
        <f t="shared" si="16"/>
        <v/>
      </c>
      <c r="C312" s="85" t="str">
        <f t="shared" si="18"/>
        <v/>
      </c>
      <c r="D312" s="85" t="str">
        <f t="shared" si="19"/>
        <v/>
      </c>
      <c r="E312" s="85" t="str">
        <f t="shared" si="20"/>
        <v/>
      </c>
      <c r="F312" s="85" t="str">
        <f t="shared" si="17"/>
        <v/>
      </c>
      <c r="G312" s="80"/>
      <c r="H312" s="80"/>
      <c r="I312" s="79"/>
      <c r="J312" s="79"/>
      <c r="K312" s="80"/>
    </row>
    <row r="313" spans="1:11">
      <c r="A313" s="93"/>
      <c r="B313" s="85" t="str">
        <f t="shared" si="16"/>
        <v/>
      </c>
      <c r="C313" s="85" t="str">
        <f t="shared" si="18"/>
        <v/>
      </c>
      <c r="D313" s="85" t="str">
        <f t="shared" si="19"/>
        <v/>
      </c>
      <c r="E313" s="85" t="str">
        <f t="shared" si="20"/>
        <v/>
      </c>
      <c r="F313" s="85" t="str">
        <f t="shared" si="17"/>
        <v/>
      </c>
      <c r="G313" s="80"/>
      <c r="H313" s="80"/>
      <c r="I313" s="79"/>
      <c r="J313" s="79"/>
      <c r="K313" s="80"/>
    </row>
    <row r="314" spans="1:11">
      <c r="A314" s="93"/>
      <c r="B314" s="85" t="str">
        <f t="shared" si="16"/>
        <v/>
      </c>
      <c r="C314" s="85" t="str">
        <f t="shared" si="18"/>
        <v/>
      </c>
      <c r="D314" s="85" t="str">
        <f t="shared" si="19"/>
        <v/>
      </c>
      <c r="E314" s="85" t="str">
        <f t="shared" si="20"/>
        <v/>
      </c>
      <c r="F314" s="85" t="str">
        <f t="shared" si="17"/>
        <v/>
      </c>
      <c r="G314" s="80"/>
      <c r="H314" s="80"/>
      <c r="I314" s="79"/>
      <c r="J314" s="79"/>
      <c r="K314" s="80"/>
    </row>
    <row r="315" spans="1:11">
      <c r="A315" s="93"/>
      <c r="B315" s="85" t="str">
        <f t="shared" si="16"/>
        <v/>
      </c>
      <c r="C315" s="85" t="str">
        <f t="shared" si="18"/>
        <v/>
      </c>
      <c r="D315" s="85" t="str">
        <f t="shared" si="19"/>
        <v/>
      </c>
      <c r="E315" s="85" t="str">
        <f t="shared" si="20"/>
        <v/>
      </c>
      <c r="F315" s="85" t="str">
        <f t="shared" si="17"/>
        <v/>
      </c>
      <c r="G315" s="80"/>
      <c r="H315" s="80"/>
      <c r="I315" s="79"/>
      <c r="J315" s="79"/>
      <c r="K315" s="80"/>
    </row>
    <row r="316" spans="1:11">
      <c r="A316" s="93"/>
      <c r="B316" s="85" t="str">
        <f t="shared" si="16"/>
        <v/>
      </c>
      <c r="C316" s="85" t="str">
        <f t="shared" si="18"/>
        <v/>
      </c>
      <c r="D316" s="85" t="str">
        <f t="shared" si="19"/>
        <v/>
      </c>
      <c r="E316" s="85" t="str">
        <f t="shared" si="20"/>
        <v/>
      </c>
      <c r="F316" s="85" t="str">
        <f t="shared" si="17"/>
        <v/>
      </c>
      <c r="G316" s="80"/>
      <c r="H316" s="80"/>
      <c r="I316" s="79"/>
      <c r="J316" s="79"/>
      <c r="K316" s="80"/>
    </row>
    <row r="317" spans="1:11">
      <c r="A317" s="93"/>
      <c r="B317" s="85" t="str">
        <f t="shared" si="16"/>
        <v/>
      </c>
      <c r="C317" s="85" t="str">
        <f t="shared" si="18"/>
        <v/>
      </c>
      <c r="D317" s="85" t="str">
        <f t="shared" si="19"/>
        <v/>
      </c>
      <c r="E317" s="85" t="str">
        <f t="shared" si="20"/>
        <v/>
      </c>
      <c r="F317" s="85" t="str">
        <f t="shared" si="17"/>
        <v/>
      </c>
      <c r="G317" s="80"/>
      <c r="H317" s="80"/>
      <c r="I317" s="79"/>
      <c r="J317" s="79"/>
      <c r="K317" s="80"/>
    </row>
    <row r="318" spans="1:11">
      <c r="A318" s="93"/>
      <c r="B318" s="85" t="str">
        <f t="shared" si="16"/>
        <v/>
      </c>
      <c r="C318" s="85" t="str">
        <f t="shared" si="18"/>
        <v/>
      </c>
      <c r="D318" s="85" t="str">
        <f t="shared" si="19"/>
        <v/>
      </c>
      <c r="E318" s="85" t="str">
        <f t="shared" si="20"/>
        <v/>
      </c>
      <c r="F318" s="85" t="str">
        <f t="shared" si="17"/>
        <v/>
      </c>
      <c r="G318" s="80"/>
      <c r="H318" s="80"/>
      <c r="I318" s="79"/>
      <c r="J318" s="79"/>
      <c r="K318" s="80"/>
    </row>
    <row r="319" spans="1:11">
      <c r="A319" s="93"/>
      <c r="B319" s="85" t="str">
        <f t="shared" si="16"/>
        <v/>
      </c>
      <c r="C319" s="85" t="str">
        <f t="shared" si="18"/>
        <v/>
      </c>
      <c r="D319" s="85" t="str">
        <f t="shared" si="19"/>
        <v/>
      </c>
      <c r="E319" s="85" t="str">
        <f t="shared" si="20"/>
        <v/>
      </c>
      <c r="F319" s="85" t="str">
        <f t="shared" si="17"/>
        <v/>
      </c>
      <c r="G319" s="80"/>
      <c r="H319" s="80"/>
      <c r="I319" s="79"/>
      <c r="J319" s="79"/>
      <c r="K319" s="80"/>
    </row>
    <row r="320" spans="1:11">
      <c r="A320" s="93"/>
      <c r="B320" s="85" t="str">
        <f t="shared" si="16"/>
        <v/>
      </c>
      <c r="C320" s="85" t="str">
        <f t="shared" si="18"/>
        <v/>
      </c>
      <c r="D320" s="85" t="str">
        <f t="shared" si="19"/>
        <v/>
      </c>
      <c r="E320" s="85" t="str">
        <f t="shared" si="20"/>
        <v/>
      </c>
      <c r="F320" s="85" t="str">
        <f t="shared" si="17"/>
        <v/>
      </c>
      <c r="G320" s="80"/>
      <c r="H320" s="80"/>
      <c r="I320" s="79"/>
      <c r="J320" s="79"/>
      <c r="K320" s="80"/>
    </row>
    <row r="321" spans="1:11">
      <c r="A321" s="93"/>
      <c r="B321" s="85" t="str">
        <f t="shared" si="16"/>
        <v/>
      </c>
      <c r="C321" s="85" t="str">
        <f t="shared" si="18"/>
        <v/>
      </c>
      <c r="D321" s="85" t="str">
        <f t="shared" si="19"/>
        <v/>
      </c>
      <c r="E321" s="85" t="str">
        <f t="shared" si="20"/>
        <v/>
      </c>
      <c r="F321" s="85" t="str">
        <f t="shared" si="17"/>
        <v/>
      </c>
      <c r="G321" s="80"/>
      <c r="H321" s="80"/>
      <c r="I321" s="79"/>
      <c r="J321" s="79"/>
      <c r="K321" s="80"/>
    </row>
    <row r="322" spans="1:11">
      <c r="A322" s="93"/>
      <c r="B322" s="85" t="str">
        <f t="shared" si="16"/>
        <v/>
      </c>
      <c r="C322" s="85" t="str">
        <f t="shared" si="18"/>
        <v/>
      </c>
      <c r="D322" s="85" t="str">
        <f t="shared" si="19"/>
        <v/>
      </c>
      <c r="E322" s="85" t="str">
        <f t="shared" si="20"/>
        <v/>
      </c>
      <c r="F322" s="85" t="str">
        <f t="shared" si="17"/>
        <v/>
      </c>
      <c r="G322" s="80"/>
      <c r="H322" s="80"/>
      <c r="I322" s="79"/>
      <c r="J322" s="79"/>
      <c r="K322" s="80"/>
    </row>
    <row r="323" spans="1:11">
      <c r="A323" s="93"/>
      <c r="B323" s="85" t="str">
        <f t="shared" si="16"/>
        <v/>
      </c>
      <c r="C323" s="85" t="str">
        <f t="shared" si="18"/>
        <v/>
      </c>
      <c r="D323" s="85" t="str">
        <f t="shared" si="19"/>
        <v/>
      </c>
      <c r="E323" s="85" t="str">
        <f t="shared" si="20"/>
        <v/>
      </c>
      <c r="F323" s="85" t="str">
        <f t="shared" si="17"/>
        <v/>
      </c>
      <c r="G323" s="80"/>
      <c r="H323" s="80"/>
      <c r="I323" s="79"/>
      <c r="J323" s="79"/>
      <c r="K323" s="80"/>
    </row>
    <row r="324" spans="1:11">
      <c r="A324" s="93"/>
      <c r="B324" s="85" t="str">
        <f t="shared" si="16"/>
        <v/>
      </c>
      <c r="C324" s="85" t="str">
        <f t="shared" si="18"/>
        <v/>
      </c>
      <c r="D324" s="85" t="str">
        <f t="shared" si="19"/>
        <v/>
      </c>
      <c r="E324" s="85" t="str">
        <f t="shared" si="20"/>
        <v/>
      </c>
      <c r="F324" s="85" t="str">
        <f t="shared" si="17"/>
        <v/>
      </c>
      <c r="G324" s="80"/>
      <c r="H324" s="80"/>
      <c r="I324" s="79"/>
      <c r="J324" s="79"/>
      <c r="K324" s="80"/>
    </row>
    <row r="325" spans="1:11">
      <c r="A325" s="93"/>
      <c r="B325" s="85" t="str">
        <f t="shared" si="16"/>
        <v/>
      </c>
      <c r="C325" s="85" t="str">
        <f t="shared" si="18"/>
        <v/>
      </c>
      <c r="D325" s="85" t="str">
        <f t="shared" si="19"/>
        <v/>
      </c>
      <c r="E325" s="85" t="str">
        <f t="shared" si="20"/>
        <v/>
      </c>
      <c r="F325" s="85" t="str">
        <f t="shared" si="17"/>
        <v/>
      </c>
      <c r="G325" s="80"/>
      <c r="H325" s="80"/>
      <c r="I325" s="79"/>
      <c r="J325" s="79"/>
      <c r="K325" s="80"/>
    </row>
    <row r="326" spans="1:11">
      <c r="A326" s="93"/>
      <c r="B326" s="85" t="str">
        <f t="shared" si="16"/>
        <v/>
      </c>
      <c r="C326" s="85" t="str">
        <f t="shared" si="18"/>
        <v/>
      </c>
      <c r="D326" s="85" t="str">
        <f t="shared" si="19"/>
        <v/>
      </c>
      <c r="E326" s="85" t="str">
        <f t="shared" si="20"/>
        <v/>
      </c>
      <c r="F326" s="85" t="str">
        <f t="shared" si="17"/>
        <v/>
      </c>
      <c r="G326" s="80"/>
      <c r="H326" s="80"/>
      <c r="I326" s="79"/>
      <c r="J326" s="79"/>
      <c r="K326" s="80"/>
    </row>
    <row r="327" spans="1:11">
      <c r="A327" s="93"/>
      <c r="B327" s="85" t="str">
        <f t="shared" si="16"/>
        <v/>
      </c>
      <c r="C327" s="85" t="str">
        <f t="shared" si="18"/>
        <v/>
      </c>
      <c r="D327" s="85" t="str">
        <f t="shared" si="19"/>
        <v/>
      </c>
      <c r="E327" s="85" t="str">
        <f t="shared" si="20"/>
        <v/>
      </c>
      <c r="F327" s="85" t="str">
        <f t="shared" si="17"/>
        <v/>
      </c>
      <c r="G327" s="80"/>
      <c r="H327" s="80"/>
      <c r="I327" s="79"/>
      <c r="J327" s="79"/>
      <c r="K327" s="80"/>
    </row>
    <row r="328" spans="1:11">
      <c r="A328" s="93"/>
      <c r="B328" s="85" t="str">
        <f t="shared" ref="B328:B391" si="21">IFERROR(IF(VLOOKUP($A328,CTINTERVALO,2,0)=0,"",VLOOKUP($A328,CTINTERVALO,2,0)),"")</f>
        <v/>
      </c>
      <c r="C328" s="85" t="str">
        <f t="shared" si="18"/>
        <v/>
      </c>
      <c r="D328" s="85" t="str">
        <f t="shared" si="19"/>
        <v/>
      </c>
      <c r="E328" s="85" t="str">
        <f t="shared" si="20"/>
        <v/>
      </c>
      <c r="F328" s="85" t="str">
        <f t="shared" ref="F328:F391" si="22">IF($B328="Não", "BLOQUEADO (Aguardar liberação)", IFERROR(IF(VLOOKUP($A328,CTINTERVALO,6,0)=0,"",VLOOKUP($A328,CTINTERVALO,6,0)),""))</f>
        <v/>
      </c>
      <c r="G328" s="80"/>
      <c r="H328" s="80"/>
      <c r="I328" s="79"/>
      <c r="J328" s="79"/>
      <c r="K328" s="80"/>
    </row>
    <row r="329" spans="1:11">
      <c r="A329" s="93"/>
      <c r="B329" s="85" t="str">
        <f t="shared" si="21"/>
        <v/>
      </c>
      <c r="C329" s="85" t="str">
        <f t="shared" ref="C329:C392" si="23">IF($B329="Não", "BLOQUEADO (Aguardar liberação)", IFERROR(IF(VLOOKUP($A329,CTINTERVALO,3,0)=0,"",VLOOKUP($A329,CTINTERVALO,3,0)),""))</f>
        <v/>
      </c>
      <c r="D329" s="85" t="str">
        <f t="shared" ref="D329:D392" si="24">IF($B329="Não", "BLOQUEADO (Aguardar liberação)", IFERROR(IF(VLOOKUP($A329,CTINTERVALO,4,0)=0,"",VLOOKUP($A329,CTINTERVALO,4,0)),""))</f>
        <v/>
      </c>
      <c r="E329" s="85" t="str">
        <f t="shared" si="20"/>
        <v/>
      </c>
      <c r="F329" s="85" t="str">
        <f t="shared" si="22"/>
        <v/>
      </c>
      <c r="G329" s="80"/>
      <c r="H329" s="80"/>
      <c r="I329" s="79"/>
      <c r="J329" s="79"/>
      <c r="K329" s="80"/>
    </row>
    <row r="330" spans="1:11">
      <c r="A330" s="93"/>
      <c r="B330" s="85" t="str">
        <f t="shared" si="21"/>
        <v/>
      </c>
      <c r="C330" s="85" t="str">
        <f t="shared" si="23"/>
        <v/>
      </c>
      <c r="D330" s="85" t="str">
        <f t="shared" si="24"/>
        <v/>
      </c>
      <c r="E330" s="85" t="str">
        <f t="shared" si="20"/>
        <v/>
      </c>
      <c r="F330" s="85" t="str">
        <f t="shared" si="22"/>
        <v/>
      </c>
      <c r="G330" s="80"/>
      <c r="H330" s="80"/>
      <c r="I330" s="79"/>
      <c r="J330" s="79"/>
      <c r="K330" s="80"/>
    </row>
    <row r="331" spans="1:11">
      <c r="A331" s="93"/>
      <c r="B331" s="85" t="str">
        <f t="shared" si="21"/>
        <v/>
      </c>
      <c r="C331" s="85" t="str">
        <f t="shared" si="23"/>
        <v/>
      </c>
      <c r="D331" s="85" t="str">
        <f t="shared" si="24"/>
        <v/>
      </c>
      <c r="E331" s="85" t="str">
        <f t="shared" si="20"/>
        <v/>
      </c>
      <c r="F331" s="85" t="str">
        <f t="shared" si="22"/>
        <v/>
      </c>
      <c r="G331" s="80"/>
      <c r="H331" s="80"/>
      <c r="I331" s="79"/>
      <c r="J331" s="79"/>
      <c r="K331" s="80"/>
    </row>
    <row r="332" spans="1:11">
      <c r="A332" s="93"/>
      <c r="B332" s="85" t="str">
        <f t="shared" si="21"/>
        <v/>
      </c>
      <c r="C332" s="85" t="str">
        <f t="shared" si="23"/>
        <v/>
      </c>
      <c r="D332" s="85" t="str">
        <f t="shared" si="24"/>
        <v/>
      </c>
      <c r="E332" s="85" t="str">
        <f t="shared" si="20"/>
        <v/>
      </c>
      <c r="F332" s="85" t="str">
        <f t="shared" si="22"/>
        <v/>
      </c>
      <c r="G332" s="80"/>
      <c r="H332" s="80"/>
      <c r="I332" s="79"/>
      <c r="J332" s="79"/>
      <c r="K332" s="80"/>
    </row>
    <row r="333" spans="1:11">
      <c r="A333" s="93"/>
      <c r="B333" s="85" t="str">
        <f t="shared" si="21"/>
        <v/>
      </c>
      <c r="C333" s="85" t="str">
        <f t="shared" si="23"/>
        <v/>
      </c>
      <c r="D333" s="85" t="str">
        <f t="shared" si="24"/>
        <v/>
      </c>
      <c r="E333" s="85" t="str">
        <f t="shared" si="20"/>
        <v/>
      </c>
      <c r="F333" s="85" t="str">
        <f t="shared" si="22"/>
        <v/>
      </c>
      <c r="G333" s="80"/>
      <c r="H333" s="80"/>
      <c r="I333" s="79"/>
      <c r="J333" s="79"/>
      <c r="K333" s="80"/>
    </row>
    <row r="334" spans="1:11">
      <c r="A334" s="93"/>
      <c r="B334" s="85" t="str">
        <f t="shared" si="21"/>
        <v/>
      </c>
      <c r="C334" s="85" t="str">
        <f t="shared" si="23"/>
        <v/>
      </c>
      <c r="D334" s="85" t="str">
        <f t="shared" si="24"/>
        <v/>
      </c>
      <c r="E334" s="85" t="str">
        <f t="shared" si="20"/>
        <v/>
      </c>
      <c r="F334" s="85" t="str">
        <f t="shared" si="22"/>
        <v/>
      </c>
      <c r="G334" s="80"/>
      <c r="H334" s="80"/>
      <c r="I334" s="79"/>
      <c r="J334" s="79"/>
      <c r="K334" s="80"/>
    </row>
    <row r="335" spans="1:11">
      <c r="A335" s="93"/>
      <c r="B335" s="85" t="str">
        <f t="shared" si="21"/>
        <v/>
      </c>
      <c r="C335" s="85" t="str">
        <f t="shared" si="23"/>
        <v/>
      </c>
      <c r="D335" s="85" t="str">
        <f t="shared" si="24"/>
        <v/>
      </c>
      <c r="E335" s="85" t="str">
        <f t="shared" si="20"/>
        <v/>
      </c>
      <c r="F335" s="85" t="str">
        <f t="shared" si="22"/>
        <v/>
      </c>
      <c r="G335" s="80"/>
      <c r="H335" s="80"/>
      <c r="I335" s="79"/>
      <c r="J335" s="79"/>
      <c r="K335" s="80"/>
    </row>
    <row r="336" spans="1:11">
      <c r="A336" s="93"/>
      <c r="B336" s="85" t="str">
        <f t="shared" si="21"/>
        <v/>
      </c>
      <c r="C336" s="85" t="str">
        <f t="shared" si="23"/>
        <v/>
      </c>
      <c r="D336" s="85" t="str">
        <f t="shared" si="24"/>
        <v/>
      </c>
      <c r="E336" s="85" t="str">
        <f t="shared" si="20"/>
        <v/>
      </c>
      <c r="F336" s="85" t="str">
        <f t="shared" si="22"/>
        <v/>
      </c>
      <c r="G336" s="80"/>
      <c r="H336" s="80"/>
      <c r="I336" s="79"/>
      <c r="J336" s="79"/>
      <c r="K336" s="80"/>
    </row>
    <row r="337" spans="1:11">
      <c r="A337" s="93"/>
      <c r="B337" s="85" t="str">
        <f t="shared" si="21"/>
        <v/>
      </c>
      <c r="C337" s="85" t="str">
        <f t="shared" si="23"/>
        <v/>
      </c>
      <c r="D337" s="85" t="str">
        <f t="shared" si="24"/>
        <v/>
      </c>
      <c r="E337" s="85" t="str">
        <f t="shared" si="20"/>
        <v/>
      </c>
      <c r="F337" s="85" t="str">
        <f t="shared" si="22"/>
        <v/>
      </c>
      <c r="G337" s="80"/>
      <c r="H337" s="80"/>
      <c r="I337" s="79"/>
      <c r="J337" s="79"/>
      <c r="K337" s="80"/>
    </row>
    <row r="338" spans="1:11">
      <c r="A338" s="93"/>
      <c r="B338" s="85" t="str">
        <f t="shared" si="21"/>
        <v/>
      </c>
      <c r="C338" s="85" t="str">
        <f t="shared" si="23"/>
        <v/>
      </c>
      <c r="D338" s="85" t="str">
        <f t="shared" si="24"/>
        <v/>
      </c>
      <c r="E338" s="85" t="str">
        <f t="shared" si="20"/>
        <v/>
      </c>
      <c r="F338" s="85" t="str">
        <f t="shared" si="22"/>
        <v/>
      </c>
      <c r="G338" s="80"/>
      <c r="H338" s="80"/>
      <c r="I338" s="79"/>
      <c r="J338" s="79"/>
      <c r="K338" s="80"/>
    </row>
    <row r="339" spans="1:11">
      <c r="A339" s="93"/>
      <c r="B339" s="85" t="str">
        <f t="shared" si="21"/>
        <v/>
      </c>
      <c r="C339" s="85" t="str">
        <f t="shared" si="23"/>
        <v/>
      </c>
      <c r="D339" s="85" t="str">
        <f t="shared" si="24"/>
        <v/>
      </c>
      <c r="E339" s="85" t="str">
        <f t="shared" si="20"/>
        <v/>
      </c>
      <c r="F339" s="85" t="str">
        <f t="shared" si="22"/>
        <v/>
      </c>
      <c r="G339" s="80"/>
      <c r="H339" s="80"/>
      <c r="I339" s="79"/>
      <c r="J339" s="79"/>
      <c r="K339" s="80"/>
    </row>
    <row r="340" spans="1:11">
      <c r="A340" s="93"/>
      <c r="B340" s="85" t="str">
        <f t="shared" si="21"/>
        <v/>
      </c>
      <c r="C340" s="85" t="str">
        <f t="shared" si="23"/>
        <v/>
      </c>
      <c r="D340" s="85" t="str">
        <f t="shared" si="24"/>
        <v/>
      </c>
      <c r="E340" s="85" t="str">
        <f t="shared" si="20"/>
        <v/>
      </c>
      <c r="F340" s="85" t="str">
        <f t="shared" si="22"/>
        <v/>
      </c>
      <c r="G340" s="80"/>
      <c r="H340" s="80"/>
      <c r="I340" s="79"/>
      <c r="J340" s="79"/>
      <c r="K340" s="80"/>
    </row>
    <row r="341" spans="1:11">
      <c r="A341" s="93"/>
      <c r="B341" s="85" t="str">
        <f t="shared" si="21"/>
        <v/>
      </c>
      <c r="C341" s="85" t="str">
        <f t="shared" si="23"/>
        <v/>
      </c>
      <c r="D341" s="85" t="str">
        <f t="shared" si="24"/>
        <v/>
      </c>
      <c r="E341" s="85" t="str">
        <f t="shared" si="20"/>
        <v/>
      </c>
      <c r="F341" s="85" t="str">
        <f t="shared" si="22"/>
        <v/>
      </c>
      <c r="G341" s="80"/>
      <c r="H341" s="80"/>
      <c r="I341" s="79"/>
      <c r="J341" s="79"/>
      <c r="K341" s="80"/>
    </row>
    <row r="342" spans="1:11">
      <c r="A342" s="93"/>
      <c r="B342" s="85" t="str">
        <f t="shared" si="21"/>
        <v/>
      </c>
      <c r="C342" s="85" t="str">
        <f t="shared" si="23"/>
        <v/>
      </c>
      <c r="D342" s="85" t="str">
        <f t="shared" si="24"/>
        <v/>
      </c>
      <c r="E342" s="85" t="str">
        <f t="shared" si="20"/>
        <v/>
      </c>
      <c r="F342" s="85" t="str">
        <f t="shared" si="22"/>
        <v/>
      </c>
      <c r="G342" s="80"/>
      <c r="H342" s="80"/>
      <c r="I342" s="79"/>
      <c r="J342" s="79"/>
      <c r="K342" s="80"/>
    </row>
    <row r="343" spans="1:11">
      <c r="A343" s="93"/>
      <c r="B343" s="85" t="str">
        <f t="shared" si="21"/>
        <v/>
      </c>
      <c r="C343" s="85" t="str">
        <f t="shared" si="23"/>
        <v/>
      </c>
      <c r="D343" s="85" t="str">
        <f t="shared" si="24"/>
        <v/>
      </c>
      <c r="E343" s="85" t="str">
        <f t="shared" si="20"/>
        <v/>
      </c>
      <c r="F343" s="85" t="str">
        <f t="shared" si="22"/>
        <v/>
      </c>
      <c r="G343" s="80"/>
      <c r="H343" s="80"/>
      <c r="I343" s="79"/>
      <c r="J343" s="79"/>
      <c r="K343" s="80"/>
    </row>
    <row r="344" spans="1:11">
      <c r="A344" s="93"/>
      <c r="B344" s="85" t="str">
        <f t="shared" si="21"/>
        <v/>
      </c>
      <c r="C344" s="85" t="str">
        <f t="shared" si="23"/>
        <v/>
      </c>
      <c r="D344" s="85" t="str">
        <f t="shared" si="24"/>
        <v/>
      </c>
      <c r="E344" s="85" t="str">
        <f t="shared" si="20"/>
        <v/>
      </c>
      <c r="F344" s="85" t="str">
        <f t="shared" si="22"/>
        <v/>
      </c>
      <c r="G344" s="80"/>
      <c r="H344" s="80"/>
      <c r="I344" s="79"/>
      <c r="J344" s="79"/>
      <c r="K344" s="80"/>
    </row>
    <row r="345" spans="1:11">
      <c r="A345" s="93"/>
      <c r="B345" s="85" t="str">
        <f t="shared" si="21"/>
        <v/>
      </c>
      <c r="C345" s="85" t="str">
        <f t="shared" si="23"/>
        <v/>
      </c>
      <c r="D345" s="85" t="str">
        <f t="shared" si="24"/>
        <v/>
      </c>
      <c r="E345" s="85" t="str">
        <f t="shared" si="20"/>
        <v/>
      </c>
      <c r="F345" s="85" t="str">
        <f t="shared" si="22"/>
        <v/>
      </c>
      <c r="G345" s="80"/>
      <c r="H345" s="80"/>
      <c r="I345" s="79"/>
      <c r="J345" s="79"/>
      <c r="K345" s="80"/>
    </row>
    <row r="346" spans="1:11">
      <c r="A346" s="93"/>
      <c r="B346" s="85" t="str">
        <f t="shared" si="21"/>
        <v/>
      </c>
      <c r="C346" s="85" t="str">
        <f t="shared" si="23"/>
        <v/>
      </c>
      <c r="D346" s="85" t="str">
        <f t="shared" si="24"/>
        <v/>
      </c>
      <c r="E346" s="85" t="str">
        <f t="shared" si="20"/>
        <v/>
      </c>
      <c r="F346" s="85" t="str">
        <f t="shared" si="22"/>
        <v/>
      </c>
      <c r="G346" s="80"/>
      <c r="H346" s="80"/>
      <c r="I346" s="79"/>
      <c r="J346" s="79"/>
      <c r="K346" s="80"/>
    </row>
    <row r="347" spans="1:11">
      <c r="A347" s="93"/>
      <c r="B347" s="85" t="str">
        <f t="shared" si="21"/>
        <v/>
      </c>
      <c r="C347" s="85" t="str">
        <f t="shared" si="23"/>
        <v/>
      </c>
      <c r="D347" s="85" t="str">
        <f t="shared" si="24"/>
        <v/>
      </c>
      <c r="E347" s="85" t="str">
        <f t="shared" si="20"/>
        <v/>
      </c>
      <c r="F347" s="85" t="str">
        <f t="shared" si="22"/>
        <v/>
      </c>
      <c r="G347" s="80"/>
      <c r="H347" s="80"/>
      <c r="I347" s="79"/>
      <c r="J347" s="79"/>
      <c r="K347" s="80"/>
    </row>
    <row r="348" spans="1:11">
      <c r="A348" s="93"/>
      <c r="B348" s="85" t="str">
        <f t="shared" si="21"/>
        <v/>
      </c>
      <c r="C348" s="85" t="str">
        <f t="shared" si="23"/>
        <v/>
      </c>
      <c r="D348" s="85" t="str">
        <f t="shared" si="24"/>
        <v/>
      </c>
      <c r="E348" s="85" t="str">
        <f t="shared" si="20"/>
        <v/>
      </c>
      <c r="F348" s="85" t="str">
        <f t="shared" si="22"/>
        <v/>
      </c>
      <c r="G348" s="80"/>
      <c r="H348" s="80"/>
      <c r="I348" s="79"/>
      <c r="J348" s="79"/>
      <c r="K348" s="80"/>
    </row>
    <row r="349" spans="1:11">
      <c r="A349" s="93"/>
      <c r="B349" s="85" t="str">
        <f t="shared" si="21"/>
        <v/>
      </c>
      <c r="C349" s="85" t="str">
        <f t="shared" si="23"/>
        <v/>
      </c>
      <c r="D349" s="85" t="str">
        <f t="shared" si="24"/>
        <v/>
      </c>
      <c r="E349" s="85" t="str">
        <f t="shared" si="20"/>
        <v/>
      </c>
      <c r="F349" s="85" t="str">
        <f t="shared" si="22"/>
        <v/>
      </c>
      <c r="G349" s="80"/>
      <c r="H349" s="80"/>
      <c r="I349" s="79"/>
      <c r="J349" s="79"/>
      <c r="K349" s="80"/>
    </row>
    <row r="350" spans="1:11">
      <c r="A350" s="93"/>
      <c r="B350" s="85" t="str">
        <f t="shared" si="21"/>
        <v/>
      </c>
      <c r="C350" s="85" t="str">
        <f t="shared" si="23"/>
        <v/>
      </c>
      <c r="D350" s="85" t="str">
        <f t="shared" si="24"/>
        <v/>
      </c>
      <c r="E350" s="85" t="str">
        <f t="shared" si="20"/>
        <v/>
      </c>
      <c r="F350" s="85" t="str">
        <f t="shared" si="22"/>
        <v/>
      </c>
      <c r="G350" s="80"/>
      <c r="H350" s="80"/>
      <c r="I350" s="79"/>
      <c r="J350" s="79"/>
      <c r="K350" s="80"/>
    </row>
    <row r="351" spans="1:11">
      <c r="A351" s="93"/>
      <c r="B351" s="85" t="str">
        <f t="shared" si="21"/>
        <v/>
      </c>
      <c r="C351" s="85" t="str">
        <f t="shared" si="23"/>
        <v/>
      </c>
      <c r="D351" s="85" t="str">
        <f t="shared" si="24"/>
        <v/>
      </c>
      <c r="E351" s="85" t="str">
        <f t="shared" si="20"/>
        <v/>
      </c>
      <c r="F351" s="85" t="str">
        <f t="shared" si="22"/>
        <v/>
      </c>
      <c r="G351" s="80"/>
      <c r="H351" s="80"/>
      <c r="I351" s="79"/>
      <c r="J351" s="79"/>
      <c r="K351" s="80"/>
    </row>
    <row r="352" spans="1:11">
      <c r="A352" s="93"/>
      <c r="B352" s="85" t="str">
        <f t="shared" si="21"/>
        <v/>
      </c>
      <c r="C352" s="85" t="str">
        <f t="shared" si="23"/>
        <v/>
      </c>
      <c r="D352" s="85" t="str">
        <f t="shared" si="24"/>
        <v/>
      </c>
      <c r="E352" s="85" t="str">
        <f t="shared" si="20"/>
        <v/>
      </c>
      <c r="F352" s="85" t="str">
        <f t="shared" si="22"/>
        <v/>
      </c>
      <c r="G352" s="80"/>
      <c r="H352" s="80"/>
      <c r="I352" s="79"/>
      <c r="J352" s="79"/>
      <c r="K352" s="80"/>
    </row>
    <row r="353" spans="1:11">
      <c r="A353" s="93"/>
      <c r="B353" s="85" t="str">
        <f t="shared" si="21"/>
        <v/>
      </c>
      <c r="C353" s="85" t="str">
        <f t="shared" si="23"/>
        <v/>
      </c>
      <c r="D353" s="85" t="str">
        <f t="shared" si="24"/>
        <v/>
      </c>
      <c r="E353" s="85" t="str">
        <f t="shared" si="20"/>
        <v/>
      </c>
      <c r="F353" s="85" t="str">
        <f t="shared" si="22"/>
        <v/>
      </c>
      <c r="G353" s="80"/>
      <c r="H353" s="80"/>
      <c r="I353" s="79"/>
      <c r="J353" s="79"/>
      <c r="K353" s="80"/>
    </row>
    <row r="354" spans="1:11">
      <c r="A354" s="93"/>
      <c r="B354" s="85" t="str">
        <f t="shared" si="21"/>
        <v/>
      </c>
      <c r="C354" s="85" t="str">
        <f t="shared" si="23"/>
        <v/>
      </c>
      <c r="D354" s="85" t="str">
        <f t="shared" si="24"/>
        <v/>
      </c>
      <c r="E354" s="85" t="str">
        <f t="shared" si="20"/>
        <v/>
      </c>
      <c r="F354" s="85" t="str">
        <f t="shared" si="22"/>
        <v/>
      </c>
      <c r="G354" s="80"/>
      <c r="H354" s="80"/>
      <c r="I354" s="79"/>
      <c r="J354" s="79"/>
      <c r="K354" s="80"/>
    </row>
    <row r="355" spans="1:11">
      <c r="A355" s="93"/>
      <c r="B355" s="85" t="str">
        <f t="shared" si="21"/>
        <v/>
      </c>
      <c r="C355" s="85" t="str">
        <f t="shared" si="23"/>
        <v/>
      </c>
      <c r="D355" s="85" t="str">
        <f t="shared" si="24"/>
        <v/>
      </c>
      <c r="E355" s="85" t="str">
        <f t="shared" si="20"/>
        <v/>
      </c>
      <c r="F355" s="85" t="str">
        <f t="shared" si="22"/>
        <v/>
      </c>
      <c r="G355" s="80"/>
      <c r="H355" s="80"/>
      <c r="I355" s="79"/>
      <c r="J355" s="79"/>
      <c r="K355" s="80"/>
    </row>
    <row r="356" spans="1:11">
      <c r="A356" s="93"/>
      <c r="B356" s="85" t="str">
        <f t="shared" si="21"/>
        <v/>
      </c>
      <c r="C356" s="85" t="str">
        <f t="shared" si="23"/>
        <v/>
      </c>
      <c r="D356" s="85" t="str">
        <f t="shared" si="24"/>
        <v/>
      </c>
      <c r="E356" s="85" t="str">
        <f t="shared" si="20"/>
        <v/>
      </c>
      <c r="F356" s="85" t="str">
        <f t="shared" si="22"/>
        <v/>
      </c>
      <c r="G356" s="80"/>
      <c r="H356" s="80"/>
      <c r="I356" s="79"/>
      <c r="J356" s="79"/>
      <c r="K356" s="80"/>
    </row>
    <row r="357" spans="1:11">
      <c r="A357" s="93"/>
      <c r="B357" s="85" t="str">
        <f t="shared" si="21"/>
        <v/>
      </c>
      <c r="C357" s="85" t="str">
        <f t="shared" si="23"/>
        <v/>
      </c>
      <c r="D357" s="85" t="str">
        <f t="shared" si="24"/>
        <v/>
      </c>
      <c r="E357" s="85" t="str">
        <f t="shared" si="20"/>
        <v/>
      </c>
      <c r="F357" s="85" t="str">
        <f t="shared" si="22"/>
        <v/>
      </c>
      <c r="G357" s="80"/>
      <c r="H357" s="80"/>
      <c r="I357" s="79"/>
      <c r="J357" s="79"/>
      <c r="K357" s="80"/>
    </row>
    <row r="358" spans="1:11">
      <c r="A358" s="93"/>
      <c r="B358" s="85" t="str">
        <f t="shared" si="21"/>
        <v/>
      </c>
      <c r="C358" s="85" t="str">
        <f t="shared" si="23"/>
        <v/>
      </c>
      <c r="D358" s="85" t="str">
        <f t="shared" si="24"/>
        <v/>
      </c>
      <c r="E358" s="85" t="str">
        <f t="shared" si="20"/>
        <v/>
      </c>
      <c r="F358" s="85" t="str">
        <f t="shared" si="22"/>
        <v/>
      </c>
      <c r="G358" s="80"/>
      <c r="H358" s="80"/>
      <c r="I358" s="79"/>
      <c r="J358" s="79"/>
      <c r="K358" s="80"/>
    </row>
    <row r="359" spans="1:11">
      <c r="A359" s="93"/>
      <c r="B359" s="85" t="str">
        <f t="shared" si="21"/>
        <v/>
      </c>
      <c r="C359" s="85" t="str">
        <f t="shared" si="23"/>
        <v/>
      </c>
      <c r="D359" s="85" t="str">
        <f t="shared" si="24"/>
        <v/>
      </c>
      <c r="E359" s="85" t="str">
        <f t="shared" si="20"/>
        <v/>
      </c>
      <c r="F359" s="85" t="str">
        <f t="shared" si="22"/>
        <v/>
      </c>
      <c r="G359" s="80"/>
      <c r="H359" s="80"/>
      <c r="I359" s="79"/>
      <c r="J359" s="79"/>
      <c r="K359" s="80"/>
    </row>
    <row r="360" spans="1:11">
      <c r="A360" s="93"/>
      <c r="B360" s="85" t="str">
        <f t="shared" si="21"/>
        <v/>
      </c>
      <c r="C360" s="85" t="str">
        <f t="shared" si="23"/>
        <v/>
      </c>
      <c r="D360" s="85" t="str">
        <f t="shared" si="24"/>
        <v/>
      </c>
      <c r="E360" s="85" t="str">
        <f t="shared" si="20"/>
        <v/>
      </c>
      <c r="F360" s="85" t="str">
        <f t="shared" si="22"/>
        <v/>
      </c>
      <c r="G360" s="80"/>
      <c r="H360" s="80"/>
      <c r="I360" s="79"/>
      <c r="J360" s="79"/>
      <c r="K360" s="80"/>
    </row>
    <row r="361" spans="1:11">
      <c r="A361" s="93"/>
      <c r="B361" s="85" t="str">
        <f t="shared" si="21"/>
        <v/>
      </c>
      <c r="C361" s="85" t="str">
        <f t="shared" si="23"/>
        <v/>
      </c>
      <c r="D361" s="85" t="str">
        <f t="shared" si="24"/>
        <v/>
      </c>
      <c r="E361" s="85" t="str">
        <f t="shared" si="20"/>
        <v/>
      </c>
      <c r="F361" s="85" t="str">
        <f t="shared" si="22"/>
        <v/>
      </c>
      <c r="G361" s="80"/>
      <c r="H361" s="80"/>
      <c r="I361" s="79"/>
      <c r="J361" s="79"/>
      <c r="K361" s="80"/>
    </row>
    <row r="362" spans="1:11">
      <c r="A362" s="93"/>
      <c r="B362" s="85" t="str">
        <f t="shared" si="21"/>
        <v/>
      </c>
      <c r="C362" s="85" t="str">
        <f t="shared" si="23"/>
        <v/>
      </c>
      <c r="D362" s="85" t="str">
        <f t="shared" si="24"/>
        <v/>
      </c>
      <c r="E362" s="85" t="str">
        <f t="shared" si="20"/>
        <v/>
      </c>
      <c r="F362" s="85" t="str">
        <f t="shared" si="22"/>
        <v/>
      </c>
      <c r="G362" s="80"/>
      <c r="H362" s="80"/>
      <c r="I362" s="79"/>
      <c r="J362" s="79"/>
      <c r="K362" s="80"/>
    </row>
    <row r="363" spans="1:11">
      <c r="A363" s="93"/>
      <c r="B363" s="85" t="str">
        <f t="shared" si="21"/>
        <v/>
      </c>
      <c r="C363" s="85" t="str">
        <f t="shared" si="23"/>
        <v/>
      </c>
      <c r="D363" s="85" t="str">
        <f t="shared" si="24"/>
        <v/>
      </c>
      <c r="E363" s="85" t="str">
        <f t="shared" ref="E363:E426" si="25">IF($B363="Não", "BLOQUEADO (Aguardar liberação)", "")</f>
        <v/>
      </c>
      <c r="F363" s="85" t="str">
        <f t="shared" si="22"/>
        <v/>
      </c>
      <c r="G363" s="80"/>
      <c r="H363" s="80"/>
      <c r="I363" s="79"/>
      <c r="J363" s="79"/>
      <c r="K363" s="80"/>
    </row>
    <row r="364" spans="1:11">
      <c r="A364" s="93"/>
      <c r="B364" s="85" t="str">
        <f t="shared" si="21"/>
        <v/>
      </c>
      <c r="C364" s="85" t="str">
        <f t="shared" si="23"/>
        <v/>
      </c>
      <c r="D364" s="85" t="str">
        <f t="shared" si="24"/>
        <v/>
      </c>
      <c r="E364" s="85" t="str">
        <f t="shared" si="25"/>
        <v/>
      </c>
      <c r="F364" s="85" t="str">
        <f t="shared" si="22"/>
        <v/>
      </c>
      <c r="G364" s="80"/>
      <c r="H364" s="80"/>
      <c r="I364" s="79"/>
      <c r="J364" s="79"/>
      <c r="K364" s="80"/>
    </row>
    <row r="365" spans="1:11">
      <c r="A365" s="93"/>
      <c r="B365" s="85" t="str">
        <f t="shared" si="21"/>
        <v/>
      </c>
      <c r="C365" s="85" t="str">
        <f t="shared" si="23"/>
        <v/>
      </c>
      <c r="D365" s="85" t="str">
        <f t="shared" si="24"/>
        <v/>
      </c>
      <c r="E365" s="85" t="str">
        <f t="shared" si="25"/>
        <v/>
      </c>
      <c r="F365" s="85" t="str">
        <f t="shared" si="22"/>
        <v/>
      </c>
      <c r="G365" s="80"/>
      <c r="H365" s="80"/>
      <c r="I365" s="79"/>
      <c r="J365" s="79"/>
      <c r="K365" s="80"/>
    </row>
    <row r="366" spans="1:11">
      <c r="A366" s="93"/>
      <c r="B366" s="85" t="str">
        <f t="shared" si="21"/>
        <v/>
      </c>
      <c r="C366" s="85" t="str">
        <f t="shared" si="23"/>
        <v/>
      </c>
      <c r="D366" s="85" t="str">
        <f t="shared" si="24"/>
        <v/>
      </c>
      <c r="E366" s="85" t="str">
        <f t="shared" si="25"/>
        <v/>
      </c>
      <c r="F366" s="85" t="str">
        <f t="shared" si="22"/>
        <v/>
      </c>
      <c r="G366" s="80"/>
      <c r="H366" s="80"/>
      <c r="I366" s="79"/>
      <c r="J366" s="79"/>
      <c r="K366" s="80"/>
    </row>
    <row r="367" spans="1:11">
      <c r="A367" s="93"/>
      <c r="B367" s="85" t="str">
        <f t="shared" si="21"/>
        <v/>
      </c>
      <c r="C367" s="85" t="str">
        <f t="shared" si="23"/>
        <v/>
      </c>
      <c r="D367" s="85" t="str">
        <f t="shared" si="24"/>
        <v/>
      </c>
      <c r="E367" s="85" t="str">
        <f t="shared" si="25"/>
        <v/>
      </c>
      <c r="F367" s="85" t="str">
        <f t="shared" si="22"/>
        <v/>
      </c>
      <c r="G367" s="80"/>
      <c r="H367" s="80"/>
      <c r="I367" s="79"/>
      <c r="J367" s="79"/>
      <c r="K367" s="80"/>
    </row>
    <row r="368" spans="1:11">
      <c r="A368" s="93"/>
      <c r="B368" s="85" t="str">
        <f t="shared" si="21"/>
        <v/>
      </c>
      <c r="C368" s="85" t="str">
        <f t="shared" si="23"/>
        <v/>
      </c>
      <c r="D368" s="85" t="str">
        <f t="shared" si="24"/>
        <v/>
      </c>
      <c r="E368" s="85" t="str">
        <f t="shared" si="25"/>
        <v/>
      </c>
      <c r="F368" s="85" t="str">
        <f t="shared" si="22"/>
        <v/>
      </c>
      <c r="G368" s="80"/>
      <c r="H368" s="80"/>
      <c r="I368" s="79"/>
      <c r="J368" s="79"/>
      <c r="K368" s="80"/>
    </row>
    <row r="369" spans="1:11">
      <c r="A369" s="93"/>
      <c r="B369" s="85" t="str">
        <f t="shared" si="21"/>
        <v/>
      </c>
      <c r="C369" s="85" t="str">
        <f t="shared" si="23"/>
        <v/>
      </c>
      <c r="D369" s="85" t="str">
        <f t="shared" si="24"/>
        <v/>
      </c>
      <c r="E369" s="85" t="str">
        <f t="shared" si="25"/>
        <v/>
      </c>
      <c r="F369" s="85" t="str">
        <f t="shared" si="22"/>
        <v/>
      </c>
      <c r="G369" s="80"/>
      <c r="H369" s="80"/>
      <c r="I369" s="79"/>
      <c r="J369" s="79"/>
      <c r="K369" s="80"/>
    </row>
    <row r="370" spans="1:11">
      <c r="A370" s="93"/>
      <c r="B370" s="85" t="str">
        <f t="shared" si="21"/>
        <v/>
      </c>
      <c r="C370" s="85" t="str">
        <f t="shared" si="23"/>
        <v/>
      </c>
      <c r="D370" s="85" t="str">
        <f t="shared" si="24"/>
        <v/>
      </c>
      <c r="E370" s="85" t="str">
        <f t="shared" si="25"/>
        <v/>
      </c>
      <c r="F370" s="85" t="str">
        <f t="shared" si="22"/>
        <v/>
      </c>
      <c r="G370" s="80"/>
      <c r="H370" s="80"/>
      <c r="I370" s="79"/>
      <c r="J370" s="79"/>
      <c r="K370" s="80"/>
    </row>
    <row r="371" spans="1:11">
      <c r="A371" s="93"/>
      <c r="B371" s="85" t="str">
        <f t="shared" si="21"/>
        <v/>
      </c>
      <c r="C371" s="85" t="str">
        <f t="shared" si="23"/>
        <v/>
      </c>
      <c r="D371" s="85" t="str">
        <f t="shared" si="24"/>
        <v/>
      </c>
      <c r="E371" s="85" t="str">
        <f t="shared" si="25"/>
        <v/>
      </c>
      <c r="F371" s="85" t="str">
        <f t="shared" si="22"/>
        <v/>
      </c>
      <c r="G371" s="80"/>
      <c r="H371" s="80"/>
      <c r="I371" s="79"/>
      <c r="J371" s="79"/>
      <c r="K371" s="80"/>
    </row>
    <row r="372" spans="1:11">
      <c r="A372" s="93"/>
      <c r="B372" s="85" t="str">
        <f t="shared" si="21"/>
        <v/>
      </c>
      <c r="C372" s="85" t="str">
        <f t="shared" si="23"/>
        <v/>
      </c>
      <c r="D372" s="85" t="str">
        <f t="shared" si="24"/>
        <v/>
      </c>
      <c r="E372" s="85" t="str">
        <f t="shared" si="25"/>
        <v/>
      </c>
      <c r="F372" s="85" t="str">
        <f t="shared" si="22"/>
        <v/>
      </c>
      <c r="G372" s="80"/>
      <c r="H372" s="80"/>
      <c r="I372" s="79"/>
      <c r="J372" s="79"/>
      <c r="K372" s="80"/>
    </row>
    <row r="373" spans="1:11">
      <c r="A373" s="93"/>
      <c r="B373" s="85" t="str">
        <f t="shared" si="21"/>
        <v/>
      </c>
      <c r="C373" s="85" t="str">
        <f t="shared" si="23"/>
        <v/>
      </c>
      <c r="D373" s="85" t="str">
        <f t="shared" si="24"/>
        <v/>
      </c>
      <c r="E373" s="85" t="str">
        <f t="shared" si="25"/>
        <v/>
      </c>
      <c r="F373" s="85" t="str">
        <f t="shared" si="22"/>
        <v/>
      </c>
      <c r="G373" s="80"/>
      <c r="H373" s="80"/>
      <c r="I373" s="79"/>
      <c r="J373" s="79"/>
      <c r="K373" s="80"/>
    </row>
    <row r="374" spans="1:11">
      <c r="A374" s="93"/>
      <c r="B374" s="85" t="str">
        <f t="shared" si="21"/>
        <v/>
      </c>
      <c r="C374" s="85" t="str">
        <f t="shared" si="23"/>
        <v/>
      </c>
      <c r="D374" s="85" t="str">
        <f t="shared" si="24"/>
        <v/>
      </c>
      <c r="E374" s="85" t="str">
        <f t="shared" si="25"/>
        <v/>
      </c>
      <c r="F374" s="85" t="str">
        <f t="shared" si="22"/>
        <v/>
      </c>
      <c r="G374" s="80"/>
      <c r="H374" s="80"/>
      <c r="I374" s="79"/>
      <c r="J374" s="79"/>
      <c r="K374" s="80"/>
    </row>
    <row r="375" spans="1:11">
      <c r="A375" s="93"/>
      <c r="B375" s="85" t="str">
        <f t="shared" si="21"/>
        <v/>
      </c>
      <c r="C375" s="85" t="str">
        <f t="shared" si="23"/>
        <v/>
      </c>
      <c r="D375" s="85" t="str">
        <f t="shared" si="24"/>
        <v/>
      </c>
      <c r="E375" s="85" t="str">
        <f t="shared" si="25"/>
        <v/>
      </c>
      <c r="F375" s="85" t="str">
        <f t="shared" si="22"/>
        <v/>
      </c>
      <c r="G375" s="80"/>
      <c r="H375" s="80"/>
      <c r="I375" s="79"/>
      <c r="J375" s="79"/>
      <c r="K375" s="80"/>
    </row>
    <row r="376" spans="1:11">
      <c r="A376" s="93"/>
      <c r="B376" s="85" t="str">
        <f t="shared" si="21"/>
        <v/>
      </c>
      <c r="C376" s="85" t="str">
        <f t="shared" si="23"/>
        <v/>
      </c>
      <c r="D376" s="85" t="str">
        <f t="shared" si="24"/>
        <v/>
      </c>
      <c r="E376" s="85" t="str">
        <f t="shared" si="25"/>
        <v/>
      </c>
      <c r="F376" s="85" t="str">
        <f t="shared" si="22"/>
        <v/>
      </c>
      <c r="G376" s="80"/>
      <c r="H376" s="80"/>
      <c r="I376" s="79"/>
      <c r="J376" s="79"/>
      <c r="K376" s="80"/>
    </row>
    <row r="377" spans="1:11">
      <c r="A377" s="93"/>
      <c r="B377" s="85" t="str">
        <f t="shared" si="21"/>
        <v/>
      </c>
      <c r="C377" s="85" t="str">
        <f t="shared" si="23"/>
        <v/>
      </c>
      <c r="D377" s="85" t="str">
        <f t="shared" si="24"/>
        <v/>
      </c>
      <c r="E377" s="85" t="str">
        <f t="shared" si="25"/>
        <v/>
      </c>
      <c r="F377" s="85" t="str">
        <f t="shared" si="22"/>
        <v/>
      </c>
      <c r="G377" s="80"/>
      <c r="H377" s="80"/>
      <c r="I377" s="79"/>
      <c r="J377" s="79"/>
      <c r="K377" s="80"/>
    </row>
    <row r="378" spans="1:11">
      <c r="A378" s="93"/>
      <c r="B378" s="85" t="str">
        <f t="shared" si="21"/>
        <v/>
      </c>
      <c r="C378" s="85" t="str">
        <f t="shared" si="23"/>
        <v/>
      </c>
      <c r="D378" s="85" t="str">
        <f t="shared" si="24"/>
        <v/>
      </c>
      <c r="E378" s="85" t="str">
        <f t="shared" si="25"/>
        <v/>
      </c>
      <c r="F378" s="85" t="str">
        <f t="shared" si="22"/>
        <v/>
      </c>
      <c r="G378" s="80"/>
      <c r="H378" s="80"/>
      <c r="I378" s="79"/>
      <c r="J378" s="79"/>
      <c r="K378" s="80"/>
    </row>
    <row r="379" spans="1:11">
      <c r="A379" s="93"/>
      <c r="B379" s="85" t="str">
        <f t="shared" si="21"/>
        <v/>
      </c>
      <c r="C379" s="85" t="str">
        <f t="shared" si="23"/>
        <v/>
      </c>
      <c r="D379" s="85" t="str">
        <f t="shared" si="24"/>
        <v/>
      </c>
      <c r="E379" s="85" t="str">
        <f t="shared" si="25"/>
        <v/>
      </c>
      <c r="F379" s="85" t="str">
        <f t="shared" si="22"/>
        <v/>
      </c>
      <c r="G379" s="80"/>
      <c r="H379" s="80"/>
      <c r="I379" s="79"/>
      <c r="J379" s="79"/>
      <c r="K379" s="80"/>
    </row>
    <row r="380" spans="1:11">
      <c r="A380" s="93"/>
      <c r="B380" s="85" t="str">
        <f t="shared" si="21"/>
        <v/>
      </c>
      <c r="C380" s="85" t="str">
        <f t="shared" si="23"/>
        <v/>
      </c>
      <c r="D380" s="85" t="str">
        <f t="shared" si="24"/>
        <v/>
      </c>
      <c r="E380" s="85" t="str">
        <f t="shared" si="25"/>
        <v/>
      </c>
      <c r="F380" s="85" t="str">
        <f t="shared" si="22"/>
        <v/>
      </c>
      <c r="G380" s="80"/>
      <c r="H380" s="80"/>
      <c r="I380" s="79"/>
      <c r="J380" s="79"/>
      <c r="K380" s="80"/>
    </row>
    <row r="381" spans="1:11">
      <c r="A381" s="93"/>
      <c r="B381" s="85" t="str">
        <f t="shared" si="21"/>
        <v/>
      </c>
      <c r="C381" s="85" t="str">
        <f t="shared" si="23"/>
        <v/>
      </c>
      <c r="D381" s="85" t="str">
        <f t="shared" si="24"/>
        <v/>
      </c>
      <c r="E381" s="85" t="str">
        <f t="shared" si="25"/>
        <v/>
      </c>
      <c r="F381" s="85" t="str">
        <f t="shared" si="22"/>
        <v/>
      </c>
      <c r="G381" s="80"/>
      <c r="H381" s="80"/>
      <c r="I381" s="79"/>
      <c r="J381" s="79"/>
      <c r="K381" s="80"/>
    </row>
    <row r="382" spans="1:11">
      <c r="A382" s="93"/>
      <c r="B382" s="85" t="str">
        <f t="shared" si="21"/>
        <v/>
      </c>
      <c r="C382" s="85" t="str">
        <f t="shared" si="23"/>
        <v/>
      </c>
      <c r="D382" s="85" t="str">
        <f t="shared" si="24"/>
        <v/>
      </c>
      <c r="E382" s="85" t="str">
        <f t="shared" si="25"/>
        <v/>
      </c>
      <c r="F382" s="85" t="str">
        <f t="shared" si="22"/>
        <v/>
      </c>
      <c r="G382" s="80"/>
      <c r="H382" s="80"/>
      <c r="I382" s="79"/>
      <c r="J382" s="79"/>
      <c r="K382" s="80"/>
    </row>
    <row r="383" spans="1:11">
      <c r="A383" s="93"/>
      <c r="B383" s="85" t="str">
        <f t="shared" si="21"/>
        <v/>
      </c>
      <c r="C383" s="85" t="str">
        <f t="shared" si="23"/>
        <v/>
      </c>
      <c r="D383" s="85" t="str">
        <f t="shared" si="24"/>
        <v/>
      </c>
      <c r="E383" s="85" t="str">
        <f t="shared" si="25"/>
        <v/>
      </c>
      <c r="F383" s="85" t="str">
        <f t="shared" si="22"/>
        <v/>
      </c>
      <c r="G383" s="80"/>
      <c r="H383" s="80"/>
      <c r="I383" s="79"/>
      <c r="J383" s="79"/>
      <c r="K383" s="80"/>
    </row>
    <row r="384" spans="1:11">
      <c r="A384" s="93"/>
      <c r="B384" s="85" t="str">
        <f t="shared" si="21"/>
        <v/>
      </c>
      <c r="C384" s="85" t="str">
        <f t="shared" si="23"/>
        <v/>
      </c>
      <c r="D384" s="85" t="str">
        <f t="shared" si="24"/>
        <v/>
      </c>
      <c r="E384" s="85" t="str">
        <f t="shared" si="25"/>
        <v/>
      </c>
      <c r="F384" s="85" t="str">
        <f t="shared" si="22"/>
        <v/>
      </c>
      <c r="G384" s="80"/>
      <c r="H384" s="80"/>
      <c r="I384" s="79"/>
      <c r="J384" s="79"/>
      <c r="K384" s="80"/>
    </row>
    <row r="385" spans="1:11">
      <c r="A385" s="93"/>
      <c r="B385" s="85" t="str">
        <f t="shared" si="21"/>
        <v/>
      </c>
      <c r="C385" s="85" t="str">
        <f t="shared" si="23"/>
        <v/>
      </c>
      <c r="D385" s="85" t="str">
        <f t="shared" si="24"/>
        <v/>
      </c>
      <c r="E385" s="85" t="str">
        <f t="shared" si="25"/>
        <v/>
      </c>
      <c r="F385" s="85" t="str">
        <f t="shared" si="22"/>
        <v/>
      </c>
      <c r="G385" s="80"/>
      <c r="H385" s="80"/>
      <c r="I385" s="79"/>
      <c r="J385" s="79"/>
      <c r="K385" s="80"/>
    </row>
    <row r="386" spans="1:11">
      <c r="A386" s="93"/>
      <c r="B386" s="85" t="str">
        <f t="shared" si="21"/>
        <v/>
      </c>
      <c r="C386" s="85" t="str">
        <f t="shared" si="23"/>
        <v/>
      </c>
      <c r="D386" s="85" t="str">
        <f t="shared" si="24"/>
        <v/>
      </c>
      <c r="E386" s="85" t="str">
        <f t="shared" si="25"/>
        <v/>
      </c>
      <c r="F386" s="85" t="str">
        <f t="shared" si="22"/>
        <v/>
      </c>
      <c r="G386" s="80"/>
      <c r="H386" s="80"/>
      <c r="I386" s="79"/>
      <c r="J386" s="79"/>
      <c r="K386" s="80"/>
    </row>
    <row r="387" spans="1:11">
      <c r="A387" s="93"/>
      <c r="B387" s="85" t="str">
        <f t="shared" si="21"/>
        <v/>
      </c>
      <c r="C387" s="85" t="str">
        <f t="shared" si="23"/>
        <v/>
      </c>
      <c r="D387" s="85" t="str">
        <f t="shared" si="24"/>
        <v/>
      </c>
      <c r="E387" s="85" t="str">
        <f t="shared" si="25"/>
        <v/>
      </c>
      <c r="F387" s="85" t="str">
        <f t="shared" si="22"/>
        <v/>
      </c>
      <c r="G387" s="80"/>
      <c r="H387" s="80"/>
      <c r="I387" s="79"/>
      <c r="J387" s="79"/>
      <c r="K387" s="80"/>
    </row>
    <row r="388" spans="1:11">
      <c r="A388" s="93"/>
      <c r="B388" s="85" t="str">
        <f t="shared" si="21"/>
        <v/>
      </c>
      <c r="C388" s="85" t="str">
        <f t="shared" si="23"/>
        <v/>
      </c>
      <c r="D388" s="85" t="str">
        <f t="shared" si="24"/>
        <v/>
      </c>
      <c r="E388" s="85" t="str">
        <f t="shared" si="25"/>
        <v/>
      </c>
      <c r="F388" s="85" t="str">
        <f t="shared" si="22"/>
        <v/>
      </c>
      <c r="G388" s="80"/>
      <c r="H388" s="80"/>
      <c r="I388" s="79"/>
      <c r="J388" s="79"/>
      <c r="K388" s="80"/>
    </row>
    <row r="389" spans="1:11">
      <c r="A389" s="93"/>
      <c r="B389" s="85" t="str">
        <f t="shared" si="21"/>
        <v/>
      </c>
      <c r="C389" s="85" t="str">
        <f t="shared" si="23"/>
        <v/>
      </c>
      <c r="D389" s="85" t="str">
        <f t="shared" si="24"/>
        <v/>
      </c>
      <c r="E389" s="85" t="str">
        <f t="shared" si="25"/>
        <v/>
      </c>
      <c r="F389" s="85" t="str">
        <f t="shared" si="22"/>
        <v/>
      </c>
      <c r="G389" s="80"/>
      <c r="H389" s="80"/>
      <c r="I389" s="79"/>
      <c r="J389" s="79"/>
      <c r="K389" s="80"/>
    </row>
    <row r="390" spans="1:11">
      <c r="A390" s="93"/>
      <c r="B390" s="85" t="str">
        <f t="shared" si="21"/>
        <v/>
      </c>
      <c r="C390" s="85" t="str">
        <f t="shared" si="23"/>
        <v/>
      </c>
      <c r="D390" s="85" t="str">
        <f t="shared" si="24"/>
        <v/>
      </c>
      <c r="E390" s="85" t="str">
        <f t="shared" si="25"/>
        <v/>
      </c>
      <c r="F390" s="85" t="str">
        <f t="shared" si="22"/>
        <v/>
      </c>
      <c r="G390" s="80"/>
      <c r="H390" s="80"/>
      <c r="I390" s="79"/>
      <c r="J390" s="79"/>
      <c r="K390" s="80"/>
    </row>
    <row r="391" spans="1:11">
      <c r="A391" s="93"/>
      <c r="B391" s="85" t="str">
        <f t="shared" si="21"/>
        <v/>
      </c>
      <c r="C391" s="85" t="str">
        <f t="shared" si="23"/>
        <v/>
      </c>
      <c r="D391" s="85" t="str">
        <f t="shared" si="24"/>
        <v/>
      </c>
      <c r="E391" s="85" t="str">
        <f t="shared" si="25"/>
        <v/>
      </c>
      <c r="F391" s="85" t="str">
        <f t="shared" si="22"/>
        <v/>
      </c>
      <c r="G391" s="80"/>
      <c r="H391" s="80"/>
      <c r="I391" s="79"/>
      <c r="J391" s="79"/>
      <c r="K391" s="80"/>
    </row>
    <row r="392" spans="1:11">
      <c r="A392" s="93"/>
      <c r="B392" s="85" t="str">
        <f t="shared" ref="B392:B450" si="26">IFERROR(IF(VLOOKUP($A392,CTINTERVALO,2,0)=0,"",VLOOKUP($A392,CTINTERVALO,2,0)),"")</f>
        <v/>
      </c>
      <c r="C392" s="85" t="str">
        <f t="shared" si="23"/>
        <v/>
      </c>
      <c r="D392" s="85" t="str">
        <f t="shared" si="24"/>
        <v/>
      </c>
      <c r="E392" s="85" t="str">
        <f t="shared" si="25"/>
        <v/>
      </c>
      <c r="F392" s="85" t="str">
        <f t="shared" ref="F392:F450" si="27">IF($B392="Não", "BLOQUEADO (Aguardar liberação)", IFERROR(IF(VLOOKUP($A392,CTINTERVALO,6,0)=0,"",VLOOKUP($A392,CTINTERVALO,6,0)),""))</f>
        <v/>
      </c>
      <c r="G392" s="80"/>
      <c r="H392" s="80"/>
      <c r="I392" s="79"/>
      <c r="J392" s="79"/>
      <c r="K392" s="80"/>
    </row>
    <row r="393" spans="1:11">
      <c r="A393" s="93"/>
      <c r="B393" s="85" t="str">
        <f t="shared" si="26"/>
        <v/>
      </c>
      <c r="C393" s="85" t="str">
        <f t="shared" ref="C393:C450" si="28">IF($B393="Não", "BLOQUEADO (Aguardar liberação)", IFERROR(IF(VLOOKUP($A393,CTINTERVALO,3,0)=0,"",VLOOKUP($A393,CTINTERVALO,3,0)),""))</f>
        <v/>
      </c>
      <c r="D393" s="85" t="str">
        <f t="shared" ref="D393:D450" si="29">IF($B393="Não", "BLOQUEADO (Aguardar liberação)", IFERROR(IF(VLOOKUP($A393,CTINTERVALO,4,0)=0,"",VLOOKUP($A393,CTINTERVALO,4,0)),""))</f>
        <v/>
      </c>
      <c r="E393" s="85" t="str">
        <f t="shared" si="25"/>
        <v/>
      </c>
      <c r="F393" s="85" t="str">
        <f t="shared" si="27"/>
        <v/>
      </c>
      <c r="G393" s="80"/>
      <c r="H393" s="80"/>
      <c r="I393" s="79"/>
      <c r="J393" s="79"/>
      <c r="K393" s="80"/>
    </row>
    <row r="394" spans="1:11">
      <c r="A394" s="93"/>
      <c r="B394" s="85" t="str">
        <f t="shared" si="26"/>
        <v/>
      </c>
      <c r="C394" s="85" t="str">
        <f t="shared" si="28"/>
        <v/>
      </c>
      <c r="D394" s="85" t="str">
        <f t="shared" si="29"/>
        <v/>
      </c>
      <c r="E394" s="85" t="str">
        <f t="shared" si="25"/>
        <v/>
      </c>
      <c r="F394" s="85" t="str">
        <f t="shared" si="27"/>
        <v/>
      </c>
      <c r="G394" s="80"/>
      <c r="H394" s="80"/>
      <c r="I394" s="79"/>
      <c r="J394" s="79"/>
      <c r="K394" s="80"/>
    </row>
    <row r="395" spans="1:11">
      <c r="A395" s="93"/>
      <c r="B395" s="85" t="str">
        <f t="shared" si="26"/>
        <v/>
      </c>
      <c r="C395" s="85" t="str">
        <f t="shared" si="28"/>
        <v/>
      </c>
      <c r="D395" s="85" t="str">
        <f t="shared" si="29"/>
        <v/>
      </c>
      <c r="E395" s="85" t="str">
        <f t="shared" si="25"/>
        <v/>
      </c>
      <c r="F395" s="85" t="str">
        <f t="shared" si="27"/>
        <v/>
      </c>
      <c r="G395" s="80"/>
      <c r="H395" s="80"/>
      <c r="I395" s="79"/>
      <c r="J395" s="79"/>
      <c r="K395" s="80"/>
    </row>
    <row r="396" spans="1:11">
      <c r="A396" s="93"/>
      <c r="B396" s="85" t="str">
        <f t="shared" si="26"/>
        <v/>
      </c>
      <c r="C396" s="85" t="str">
        <f t="shared" si="28"/>
        <v/>
      </c>
      <c r="D396" s="85" t="str">
        <f t="shared" si="29"/>
        <v/>
      </c>
      <c r="E396" s="85" t="str">
        <f t="shared" si="25"/>
        <v/>
      </c>
      <c r="F396" s="85" t="str">
        <f t="shared" si="27"/>
        <v/>
      </c>
      <c r="G396" s="80"/>
      <c r="H396" s="80"/>
      <c r="I396" s="79"/>
      <c r="J396" s="79"/>
      <c r="K396" s="80"/>
    </row>
    <row r="397" spans="1:11">
      <c r="A397" s="93"/>
      <c r="B397" s="85" t="str">
        <f t="shared" si="26"/>
        <v/>
      </c>
      <c r="C397" s="85" t="str">
        <f t="shared" si="28"/>
        <v/>
      </c>
      <c r="D397" s="85" t="str">
        <f t="shared" si="29"/>
        <v/>
      </c>
      <c r="E397" s="85" t="str">
        <f t="shared" si="25"/>
        <v/>
      </c>
      <c r="F397" s="85" t="str">
        <f t="shared" si="27"/>
        <v/>
      </c>
      <c r="G397" s="80"/>
      <c r="H397" s="80"/>
      <c r="I397" s="79"/>
      <c r="J397" s="79"/>
      <c r="K397" s="80"/>
    </row>
    <row r="398" spans="1:11">
      <c r="A398" s="93"/>
      <c r="B398" s="85" t="str">
        <f t="shared" si="26"/>
        <v/>
      </c>
      <c r="C398" s="85" t="str">
        <f t="shared" si="28"/>
        <v/>
      </c>
      <c r="D398" s="85" t="str">
        <f t="shared" si="29"/>
        <v/>
      </c>
      <c r="E398" s="85" t="str">
        <f t="shared" si="25"/>
        <v/>
      </c>
      <c r="F398" s="85" t="str">
        <f t="shared" si="27"/>
        <v/>
      </c>
      <c r="G398" s="80"/>
      <c r="H398" s="80"/>
      <c r="I398" s="79"/>
      <c r="J398" s="79"/>
      <c r="K398" s="80"/>
    </row>
    <row r="399" spans="1:11">
      <c r="A399" s="93"/>
      <c r="B399" s="85" t="str">
        <f t="shared" si="26"/>
        <v/>
      </c>
      <c r="C399" s="85" t="str">
        <f t="shared" si="28"/>
        <v/>
      </c>
      <c r="D399" s="85" t="str">
        <f t="shared" si="29"/>
        <v/>
      </c>
      <c r="E399" s="85" t="str">
        <f t="shared" si="25"/>
        <v/>
      </c>
      <c r="F399" s="85" t="str">
        <f t="shared" si="27"/>
        <v/>
      </c>
      <c r="G399" s="80"/>
      <c r="H399" s="80"/>
      <c r="I399" s="79"/>
      <c r="J399" s="79"/>
      <c r="K399" s="80"/>
    </row>
    <row r="400" spans="1:11">
      <c r="A400" s="93"/>
      <c r="B400" s="85" t="str">
        <f t="shared" si="26"/>
        <v/>
      </c>
      <c r="C400" s="85" t="str">
        <f t="shared" si="28"/>
        <v/>
      </c>
      <c r="D400" s="85" t="str">
        <f t="shared" si="29"/>
        <v/>
      </c>
      <c r="E400" s="85" t="str">
        <f t="shared" si="25"/>
        <v/>
      </c>
      <c r="F400" s="85" t="str">
        <f t="shared" si="27"/>
        <v/>
      </c>
      <c r="G400" s="80"/>
      <c r="H400" s="80"/>
      <c r="I400" s="79"/>
      <c r="J400" s="79"/>
      <c r="K400" s="80"/>
    </row>
    <row r="401" spans="1:11">
      <c r="A401" s="93"/>
      <c r="B401" s="85" t="str">
        <f t="shared" si="26"/>
        <v/>
      </c>
      <c r="C401" s="85" t="str">
        <f t="shared" si="28"/>
        <v/>
      </c>
      <c r="D401" s="85" t="str">
        <f t="shared" si="29"/>
        <v/>
      </c>
      <c r="E401" s="85" t="str">
        <f t="shared" si="25"/>
        <v/>
      </c>
      <c r="F401" s="85" t="str">
        <f t="shared" si="27"/>
        <v/>
      </c>
      <c r="G401" s="80" t="str">
        <f t="shared" ref="G401:G450" si="30">IF($B401="Não", "BLOQUEADO (Aguardar liberação)", "")</f>
        <v/>
      </c>
      <c r="H401" s="80"/>
      <c r="I401" s="79"/>
      <c r="J401" s="79"/>
      <c r="K401" s="80"/>
    </row>
    <row r="402" spans="1:11">
      <c r="A402" s="93"/>
      <c r="B402" s="85" t="str">
        <f t="shared" si="26"/>
        <v/>
      </c>
      <c r="C402" s="85" t="str">
        <f t="shared" si="28"/>
        <v/>
      </c>
      <c r="D402" s="85" t="str">
        <f t="shared" si="29"/>
        <v/>
      </c>
      <c r="E402" s="85" t="str">
        <f t="shared" si="25"/>
        <v/>
      </c>
      <c r="F402" s="85" t="str">
        <f t="shared" si="27"/>
        <v/>
      </c>
      <c r="G402" s="80" t="str">
        <f t="shared" si="30"/>
        <v/>
      </c>
      <c r="H402" s="80"/>
      <c r="I402" s="79"/>
      <c r="J402" s="79"/>
      <c r="K402" s="80"/>
    </row>
    <row r="403" spans="1:11">
      <c r="A403" s="93"/>
      <c r="B403" s="85" t="str">
        <f t="shared" si="26"/>
        <v/>
      </c>
      <c r="C403" s="85" t="str">
        <f t="shared" si="28"/>
        <v/>
      </c>
      <c r="D403" s="85" t="str">
        <f t="shared" si="29"/>
        <v/>
      </c>
      <c r="E403" s="85" t="str">
        <f t="shared" si="25"/>
        <v/>
      </c>
      <c r="F403" s="85" t="str">
        <f t="shared" si="27"/>
        <v/>
      </c>
      <c r="G403" s="80" t="str">
        <f t="shared" si="30"/>
        <v/>
      </c>
      <c r="H403" s="80"/>
      <c r="I403" s="79"/>
      <c r="J403" s="79"/>
      <c r="K403" s="80"/>
    </row>
    <row r="404" spans="1:11">
      <c r="A404" s="93"/>
      <c r="B404" s="85" t="str">
        <f t="shared" si="26"/>
        <v/>
      </c>
      <c r="C404" s="85" t="str">
        <f t="shared" si="28"/>
        <v/>
      </c>
      <c r="D404" s="85" t="str">
        <f t="shared" si="29"/>
        <v/>
      </c>
      <c r="E404" s="85" t="str">
        <f t="shared" si="25"/>
        <v/>
      </c>
      <c r="F404" s="85" t="str">
        <f t="shared" si="27"/>
        <v/>
      </c>
      <c r="G404" s="80" t="str">
        <f t="shared" si="30"/>
        <v/>
      </c>
      <c r="H404" s="80"/>
      <c r="I404" s="79"/>
      <c r="J404" s="79"/>
      <c r="K404" s="80"/>
    </row>
    <row r="405" spans="1:11">
      <c r="A405" s="93"/>
      <c r="B405" s="85" t="str">
        <f t="shared" si="26"/>
        <v/>
      </c>
      <c r="C405" s="85" t="str">
        <f t="shared" si="28"/>
        <v/>
      </c>
      <c r="D405" s="85" t="str">
        <f t="shared" si="29"/>
        <v/>
      </c>
      <c r="E405" s="85" t="str">
        <f t="shared" si="25"/>
        <v/>
      </c>
      <c r="F405" s="85" t="str">
        <f t="shared" si="27"/>
        <v/>
      </c>
      <c r="G405" s="80" t="str">
        <f t="shared" si="30"/>
        <v/>
      </c>
      <c r="H405" s="80"/>
      <c r="I405" s="79"/>
      <c r="J405" s="79"/>
      <c r="K405" s="80"/>
    </row>
    <row r="406" spans="1:11">
      <c r="A406" s="93"/>
      <c r="B406" s="85" t="str">
        <f t="shared" si="26"/>
        <v/>
      </c>
      <c r="C406" s="85" t="str">
        <f t="shared" si="28"/>
        <v/>
      </c>
      <c r="D406" s="85" t="str">
        <f t="shared" si="29"/>
        <v/>
      </c>
      <c r="E406" s="85" t="str">
        <f t="shared" si="25"/>
        <v/>
      </c>
      <c r="F406" s="85" t="str">
        <f t="shared" si="27"/>
        <v/>
      </c>
      <c r="G406" s="80" t="str">
        <f t="shared" si="30"/>
        <v/>
      </c>
      <c r="H406" s="80"/>
      <c r="I406" s="79"/>
      <c r="J406" s="79"/>
      <c r="K406" s="80"/>
    </row>
    <row r="407" spans="1:11">
      <c r="A407" s="93"/>
      <c r="B407" s="85" t="str">
        <f t="shared" si="26"/>
        <v/>
      </c>
      <c r="C407" s="85" t="str">
        <f t="shared" si="28"/>
        <v/>
      </c>
      <c r="D407" s="85" t="str">
        <f t="shared" si="29"/>
        <v/>
      </c>
      <c r="E407" s="85" t="str">
        <f t="shared" si="25"/>
        <v/>
      </c>
      <c r="F407" s="85" t="str">
        <f t="shared" si="27"/>
        <v/>
      </c>
      <c r="G407" s="80" t="str">
        <f t="shared" si="30"/>
        <v/>
      </c>
      <c r="H407" s="80"/>
      <c r="I407" s="79"/>
      <c r="J407" s="79"/>
      <c r="K407" s="80"/>
    </row>
    <row r="408" spans="1:11">
      <c r="A408" s="93"/>
      <c r="B408" s="85" t="str">
        <f t="shared" si="26"/>
        <v/>
      </c>
      <c r="C408" s="85" t="str">
        <f t="shared" si="28"/>
        <v/>
      </c>
      <c r="D408" s="85" t="str">
        <f t="shared" si="29"/>
        <v/>
      </c>
      <c r="E408" s="85" t="str">
        <f t="shared" si="25"/>
        <v/>
      </c>
      <c r="F408" s="85" t="str">
        <f t="shared" si="27"/>
        <v/>
      </c>
      <c r="G408" s="80" t="str">
        <f t="shared" si="30"/>
        <v/>
      </c>
      <c r="H408" s="80"/>
      <c r="I408" s="79"/>
      <c r="J408" s="79"/>
      <c r="K408" s="80"/>
    </row>
    <row r="409" spans="1:11">
      <c r="A409" s="93"/>
      <c r="B409" s="85" t="str">
        <f t="shared" si="26"/>
        <v/>
      </c>
      <c r="C409" s="85" t="str">
        <f t="shared" si="28"/>
        <v/>
      </c>
      <c r="D409" s="85" t="str">
        <f t="shared" si="29"/>
        <v/>
      </c>
      <c r="E409" s="85" t="str">
        <f t="shared" si="25"/>
        <v/>
      </c>
      <c r="F409" s="85" t="str">
        <f t="shared" si="27"/>
        <v/>
      </c>
      <c r="G409" s="80" t="str">
        <f t="shared" si="30"/>
        <v/>
      </c>
      <c r="H409" s="80"/>
      <c r="I409" s="79"/>
      <c r="J409" s="79"/>
      <c r="K409" s="80"/>
    </row>
    <row r="410" spans="1:11">
      <c r="A410" s="93"/>
      <c r="B410" s="85" t="str">
        <f t="shared" si="26"/>
        <v/>
      </c>
      <c r="C410" s="85" t="str">
        <f t="shared" si="28"/>
        <v/>
      </c>
      <c r="D410" s="85" t="str">
        <f t="shared" si="29"/>
        <v/>
      </c>
      <c r="E410" s="85" t="str">
        <f t="shared" si="25"/>
        <v/>
      </c>
      <c r="F410" s="85" t="str">
        <f t="shared" si="27"/>
        <v/>
      </c>
      <c r="G410" s="80" t="str">
        <f t="shared" si="30"/>
        <v/>
      </c>
      <c r="H410" s="80"/>
      <c r="I410" s="79"/>
      <c r="J410" s="79"/>
      <c r="K410" s="80"/>
    </row>
    <row r="411" spans="1:11">
      <c r="A411" s="93"/>
      <c r="B411" s="85" t="str">
        <f t="shared" si="26"/>
        <v/>
      </c>
      <c r="C411" s="85" t="str">
        <f t="shared" si="28"/>
        <v/>
      </c>
      <c r="D411" s="85" t="str">
        <f t="shared" si="29"/>
        <v/>
      </c>
      <c r="E411" s="85" t="str">
        <f t="shared" si="25"/>
        <v/>
      </c>
      <c r="F411" s="85" t="str">
        <f t="shared" si="27"/>
        <v/>
      </c>
      <c r="G411" s="80" t="str">
        <f t="shared" si="30"/>
        <v/>
      </c>
      <c r="H411" s="80"/>
      <c r="I411" s="79"/>
      <c r="J411" s="79"/>
      <c r="K411" s="80"/>
    </row>
    <row r="412" spans="1:11">
      <c r="A412" s="93"/>
      <c r="B412" s="85" t="str">
        <f t="shared" si="26"/>
        <v/>
      </c>
      <c r="C412" s="85" t="str">
        <f t="shared" si="28"/>
        <v/>
      </c>
      <c r="D412" s="85" t="str">
        <f t="shared" si="29"/>
        <v/>
      </c>
      <c r="E412" s="85" t="str">
        <f t="shared" si="25"/>
        <v/>
      </c>
      <c r="F412" s="85" t="str">
        <f t="shared" si="27"/>
        <v/>
      </c>
      <c r="G412" s="80" t="str">
        <f t="shared" si="30"/>
        <v/>
      </c>
      <c r="H412" s="80"/>
      <c r="I412" s="79"/>
      <c r="J412" s="79"/>
      <c r="K412" s="80"/>
    </row>
    <row r="413" spans="1:11">
      <c r="A413" s="93"/>
      <c r="B413" s="85" t="str">
        <f t="shared" si="26"/>
        <v/>
      </c>
      <c r="C413" s="85" t="str">
        <f t="shared" si="28"/>
        <v/>
      </c>
      <c r="D413" s="85" t="str">
        <f t="shared" si="29"/>
        <v/>
      </c>
      <c r="E413" s="85" t="str">
        <f t="shared" si="25"/>
        <v/>
      </c>
      <c r="F413" s="85" t="str">
        <f t="shared" si="27"/>
        <v/>
      </c>
      <c r="G413" s="80" t="str">
        <f t="shared" si="30"/>
        <v/>
      </c>
      <c r="H413" s="80"/>
      <c r="I413" s="79"/>
      <c r="J413" s="79"/>
      <c r="K413" s="80"/>
    </row>
    <row r="414" spans="1:11">
      <c r="A414" s="93"/>
      <c r="B414" s="85" t="str">
        <f t="shared" si="26"/>
        <v/>
      </c>
      <c r="C414" s="85" t="str">
        <f t="shared" si="28"/>
        <v/>
      </c>
      <c r="D414" s="85" t="str">
        <f t="shared" si="29"/>
        <v/>
      </c>
      <c r="E414" s="85" t="str">
        <f t="shared" si="25"/>
        <v/>
      </c>
      <c r="F414" s="85" t="str">
        <f t="shared" si="27"/>
        <v/>
      </c>
      <c r="G414" s="80" t="str">
        <f t="shared" si="30"/>
        <v/>
      </c>
      <c r="H414" s="80"/>
      <c r="I414" s="79"/>
      <c r="J414" s="79"/>
      <c r="K414" s="80"/>
    </row>
    <row r="415" spans="1:11">
      <c r="A415" s="93"/>
      <c r="B415" s="85" t="str">
        <f t="shared" si="26"/>
        <v/>
      </c>
      <c r="C415" s="85" t="str">
        <f t="shared" si="28"/>
        <v/>
      </c>
      <c r="D415" s="85" t="str">
        <f t="shared" si="29"/>
        <v/>
      </c>
      <c r="E415" s="85" t="str">
        <f t="shared" si="25"/>
        <v/>
      </c>
      <c r="F415" s="85" t="str">
        <f t="shared" si="27"/>
        <v/>
      </c>
      <c r="G415" s="80" t="str">
        <f t="shared" si="30"/>
        <v/>
      </c>
      <c r="H415" s="80"/>
      <c r="I415" s="79"/>
      <c r="J415" s="79"/>
      <c r="K415" s="80"/>
    </row>
    <row r="416" spans="1:11">
      <c r="A416" s="93"/>
      <c r="B416" s="85" t="str">
        <f t="shared" si="26"/>
        <v/>
      </c>
      <c r="C416" s="85" t="str">
        <f t="shared" si="28"/>
        <v/>
      </c>
      <c r="D416" s="85" t="str">
        <f t="shared" si="29"/>
        <v/>
      </c>
      <c r="E416" s="85" t="str">
        <f t="shared" si="25"/>
        <v/>
      </c>
      <c r="F416" s="85" t="str">
        <f t="shared" si="27"/>
        <v/>
      </c>
      <c r="G416" s="80" t="str">
        <f t="shared" si="30"/>
        <v/>
      </c>
      <c r="H416" s="80"/>
      <c r="I416" s="79"/>
      <c r="J416" s="79"/>
      <c r="K416" s="80"/>
    </row>
    <row r="417" spans="1:11">
      <c r="A417" s="93"/>
      <c r="B417" s="85" t="str">
        <f t="shared" si="26"/>
        <v/>
      </c>
      <c r="C417" s="85" t="str">
        <f t="shared" si="28"/>
        <v/>
      </c>
      <c r="D417" s="85" t="str">
        <f t="shared" si="29"/>
        <v/>
      </c>
      <c r="E417" s="85" t="str">
        <f t="shared" si="25"/>
        <v/>
      </c>
      <c r="F417" s="85" t="str">
        <f t="shared" si="27"/>
        <v/>
      </c>
      <c r="G417" s="80" t="str">
        <f t="shared" si="30"/>
        <v/>
      </c>
      <c r="H417" s="80"/>
      <c r="I417" s="79"/>
      <c r="J417" s="79"/>
      <c r="K417" s="80"/>
    </row>
    <row r="418" spans="1:11">
      <c r="A418" s="93"/>
      <c r="B418" s="85" t="str">
        <f t="shared" si="26"/>
        <v/>
      </c>
      <c r="C418" s="85" t="str">
        <f t="shared" si="28"/>
        <v/>
      </c>
      <c r="D418" s="85" t="str">
        <f t="shared" si="29"/>
        <v/>
      </c>
      <c r="E418" s="85" t="str">
        <f t="shared" si="25"/>
        <v/>
      </c>
      <c r="F418" s="85" t="str">
        <f t="shared" si="27"/>
        <v/>
      </c>
      <c r="G418" s="80" t="str">
        <f t="shared" si="30"/>
        <v/>
      </c>
      <c r="H418" s="80"/>
      <c r="I418" s="79"/>
      <c r="J418" s="79"/>
      <c r="K418" s="80"/>
    </row>
    <row r="419" spans="1:11">
      <c r="A419" s="93"/>
      <c r="B419" s="85" t="str">
        <f t="shared" si="26"/>
        <v/>
      </c>
      <c r="C419" s="85" t="str">
        <f t="shared" si="28"/>
        <v/>
      </c>
      <c r="D419" s="85" t="str">
        <f t="shared" si="29"/>
        <v/>
      </c>
      <c r="E419" s="85" t="str">
        <f t="shared" si="25"/>
        <v/>
      </c>
      <c r="F419" s="85" t="str">
        <f t="shared" si="27"/>
        <v/>
      </c>
      <c r="G419" s="80" t="str">
        <f t="shared" si="30"/>
        <v/>
      </c>
      <c r="H419" s="80"/>
      <c r="I419" s="79"/>
      <c r="J419" s="79"/>
      <c r="K419" s="80"/>
    </row>
    <row r="420" spans="1:11">
      <c r="A420" s="93"/>
      <c r="B420" s="85" t="str">
        <f t="shared" si="26"/>
        <v/>
      </c>
      <c r="C420" s="85" t="str">
        <f t="shared" si="28"/>
        <v/>
      </c>
      <c r="D420" s="85" t="str">
        <f t="shared" si="29"/>
        <v/>
      </c>
      <c r="E420" s="85" t="str">
        <f t="shared" si="25"/>
        <v/>
      </c>
      <c r="F420" s="85" t="str">
        <f t="shared" si="27"/>
        <v/>
      </c>
      <c r="G420" s="80" t="str">
        <f t="shared" si="30"/>
        <v/>
      </c>
      <c r="H420" s="80"/>
      <c r="I420" s="79"/>
      <c r="J420" s="79"/>
      <c r="K420" s="80"/>
    </row>
    <row r="421" spans="1:11">
      <c r="A421" s="93"/>
      <c r="B421" s="85" t="str">
        <f t="shared" si="26"/>
        <v/>
      </c>
      <c r="C421" s="85" t="str">
        <f t="shared" si="28"/>
        <v/>
      </c>
      <c r="D421" s="85" t="str">
        <f t="shared" si="29"/>
        <v/>
      </c>
      <c r="E421" s="85" t="str">
        <f t="shared" si="25"/>
        <v/>
      </c>
      <c r="F421" s="85" t="str">
        <f t="shared" si="27"/>
        <v/>
      </c>
      <c r="G421" s="80" t="str">
        <f t="shared" si="30"/>
        <v/>
      </c>
      <c r="H421" s="80"/>
      <c r="I421" s="79"/>
      <c r="J421" s="79"/>
      <c r="K421" s="80"/>
    </row>
    <row r="422" spans="1:11">
      <c r="A422" s="93"/>
      <c r="B422" s="85" t="str">
        <f t="shared" si="26"/>
        <v/>
      </c>
      <c r="C422" s="85" t="str">
        <f t="shared" si="28"/>
        <v/>
      </c>
      <c r="D422" s="85" t="str">
        <f t="shared" si="29"/>
        <v/>
      </c>
      <c r="E422" s="85" t="str">
        <f t="shared" si="25"/>
        <v/>
      </c>
      <c r="F422" s="85" t="str">
        <f t="shared" si="27"/>
        <v/>
      </c>
      <c r="G422" s="80" t="str">
        <f t="shared" si="30"/>
        <v/>
      </c>
      <c r="H422" s="80"/>
      <c r="I422" s="79"/>
      <c r="J422" s="79"/>
      <c r="K422" s="80"/>
    </row>
    <row r="423" spans="1:11">
      <c r="A423" s="93"/>
      <c r="B423" s="85" t="str">
        <f t="shared" si="26"/>
        <v/>
      </c>
      <c r="C423" s="85" t="str">
        <f t="shared" si="28"/>
        <v/>
      </c>
      <c r="D423" s="85" t="str">
        <f t="shared" si="29"/>
        <v/>
      </c>
      <c r="E423" s="85" t="str">
        <f t="shared" si="25"/>
        <v/>
      </c>
      <c r="F423" s="85" t="str">
        <f t="shared" si="27"/>
        <v/>
      </c>
      <c r="G423" s="80" t="str">
        <f t="shared" si="30"/>
        <v/>
      </c>
      <c r="H423" s="80"/>
      <c r="I423" s="79"/>
      <c r="J423" s="79"/>
      <c r="K423" s="80"/>
    </row>
    <row r="424" spans="1:11">
      <c r="A424" s="93"/>
      <c r="B424" s="85" t="str">
        <f t="shared" si="26"/>
        <v/>
      </c>
      <c r="C424" s="85" t="str">
        <f t="shared" si="28"/>
        <v/>
      </c>
      <c r="D424" s="85" t="str">
        <f t="shared" si="29"/>
        <v/>
      </c>
      <c r="E424" s="85" t="str">
        <f t="shared" si="25"/>
        <v/>
      </c>
      <c r="F424" s="85" t="str">
        <f t="shared" si="27"/>
        <v/>
      </c>
      <c r="G424" s="80" t="str">
        <f t="shared" si="30"/>
        <v/>
      </c>
      <c r="H424" s="80"/>
      <c r="I424" s="79"/>
      <c r="J424" s="79"/>
      <c r="K424" s="80"/>
    </row>
    <row r="425" spans="1:11">
      <c r="A425" s="93"/>
      <c r="B425" s="85" t="str">
        <f t="shared" si="26"/>
        <v/>
      </c>
      <c r="C425" s="85" t="str">
        <f t="shared" si="28"/>
        <v/>
      </c>
      <c r="D425" s="85" t="str">
        <f t="shared" si="29"/>
        <v/>
      </c>
      <c r="E425" s="85" t="str">
        <f t="shared" si="25"/>
        <v/>
      </c>
      <c r="F425" s="85" t="str">
        <f t="shared" si="27"/>
        <v/>
      </c>
      <c r="G425" s="80" t="str">
        <f t="shared" si="30"/>
        <v/>
      </c>
      <c r="H425" s="80"/>
      <c r="I425" s="79"/>
      <c r="J425" s="79"/>
      <c r="K425" s="80"/>
    </row>
    <row r="426" spans="1:11">
      <c r="A426" s="93"/>
      <c r="B426" s="85" t="str">
        <f t="shared" si="26"/>
        <v/>
      </c>
      <c r="C426" s="85" t="str">
        <f t="shared" si="28"/>
        <v/>
      </c>
      <c r="D426" s="85" t="str">
        <f t="shared" si="29"/>
        <v/>
      </c>
      <c r="E426" s="85" t="str">
        <f t="shared" si="25"/>
        <v/>
      </c>
      <c r="F426" s="85" t="str">
        <f t="shared" si="27"/>
        <v/>
      </c>
      <c r="G426" s="80" t="str">
        <f t="shared" si="30"/>
        <v/>
      </c>
      <c r="H426" s="80"/>
      <c r="I426" s="79"/>
      <c r="J426" s="79"/>
      <c r="K426" s="80"/>
    </row>
    <row r="427" spans="1:11">
      <c r="A427" s="93"/>
      <c r="B427" s="85" t="str">
        <f t="shared" si="26"/>
        <v/>
      </c>
      <c r="C427" s="85" t="str">
        <f t="shared" si="28"/>
        <v/>
      </c>
      <c r="D427" s="85" t="str">
        <f t="shared" si="29"/>
        <v/>
      </c>
      <c r="E427" s="85" t="str">
        <f t="shared" ref="E427:E450" si="31">IF($B427="Não", "BLOQUEADO (Aguardar liberação)", "")</f>
        <v/>
      </c>
      <c r="F427" s="85" t="str">
        <f t="shared" si="27"/>
        <v/>
      </c>
      <c r="G427" s="80" t="str">
        <f t="shared" si="30"/>
        <v/>
      </c>
      <c r="H427" s="80"/>
      <c r="I427" s="79"/>
      <c r="J427" s="79"/>
      <c r="K427" s="80"/>
    </row>
    <row r="428" spans="1:11">
      <c r="A428" s="93"/>
      <c r="B428" s="85" t="str">
        <f t="shared" si="26"/>
        <v/>
      </c>
      <c r="C428" s="85" t="str">
        <f t="shared" si="28"/>
        <v/>
      </c>
      <c r="D428" s="85" t="str">
        <f t="shared" si="29"/>
        <v/>
      </c>
      <c r="E428" s="85" t="str">
        <f t="shared" si="31"/>
        <v/>
      </c>
      <c r="F428" s="85" t="str">
        <f t="shared" si="27"/>
        <v/>
      </c>
      <c r="G428" s="80" t="str">
        <f t="shared" si="30"/>
        <v/>
      </c>
      <c r="H428" s="80"/>
      <c r="I428" s="79"/>
      <c r="J428" s="79"/>
      <c r="K428" s="80"/>
    </row>
    <row r="429" spans="1:11">
      <c r="A429" s="93"/>
      <c r="B429" s="85" t="str">
        <f t="shared" si="26"/>
        <v/>
      </c>
      <c r="C429" s="85" t="str">
        <f t="shared" si="28"/>
        <v/>
      </c>
      <c r="D429" s="85" t="str">
        <f t="shared" si="29"/>
        <v/>
      </c>
      <c r="E429" s="85" t="str">
        <f t="shared" si="31"/>
        <v/>
      </c>
      <c r="F429" s="85" t="str">
        <f t="shared" si="27"/>
        <v/>
      </c>
      <c r="G429" s="80" t="str">
        <f t="shared" si="30"/>
        <v/>
      </c>
      <c r="H429" s="80"/>
      <c r="I429" s="79"/>
      <c r="J429" s="79"/>
      <c r="K429" s="80"/>
    </row>
    <row r="430" spans="1:11">
      <c r="A430" s="93"/>
      <c r="B430" s="85" t="str">
        <f t="shared" si="26"/>
        <v/>
      </c>
      <c r="C430" s="85" t="str">
        <f t="shared" si="28"/>
        <v/>
      </c>
      <c r="D430" s="85" t="str">
        <f t="shared" si="29"/>
        <v/>
      </c>
      <c r="E430" s="85" t="str">
        <f t="shared" si="31"/>
        <v/>
      </c>
      <c r="F430" s="85" t="str">
        <f t="shared" si="27"/>
        <v/>
      </c>
      <c r="G430" s="80" t="str">
        <f t="shared" si="30"/>
        <v/>
      </c>
      <c r="H430" s="80"/>
      <c r="I430" s="79"/>
      <c r="J430" s="79"/>
      <c r="K430" s="80"/>
    </row>
    <row r="431" spans="1:11">
      <c r="A431" s="93"/>
      <c r="B431" s="85" t="str">
        <f t="shared" si="26"/>
        <v/>
      </c>
      <c r="C431" s="85" t="str">
        <f t="shared" si="28"/>
        <v/>
      </c>
      <c r="D431" s="85" t="str">
        <f t="shared" si="29"/>
        <v/>
      </c>
      <c r="E431" s="85" t="str">
        <f t="shared" si="31"/>
        <v/>
      </c>
      <c r="F431" s="85" t="str">
        <f t="shared" si="27"/>
        <v/>
      </c>
      <c r="G431" s="80" t="str">
        <f t="shared" si="30"/>
        <v/>
      </c>
      <c r="H431" s="80"/>
      <c r="I431" s="79"/>
      <c r="J431" s="79"/>
      <c r="K431" s="80"/>
    </row>
    <row r="432" spans="1:11">
      <c r="A432" s="93"/>
      <c r="B432" s="85" t="str">
        <f t="shared" si="26"/>
        <v/>
      </c>
      <c r="C432" s="85" t="str">
        <f t="shared" si="28"/>
        <v/>
      </c>
      <c r="D432" s="85" t="str">
        <f t="shared" si="29"/>
        <v/>
      </c>
      <c r="E432" s="85" t="str">
        <f t="shared" si="31"/>
        <v/>
      </c>
      <c r="F432" s="85" t="str">
        <f t="shared" si="27"/>
        <v/>
      </c>
      <c r="G432" s="80" t="str">
        <f t="shared" si="30"/>
        <v/>
      </c>
      <c r="H432" s="80"/>
      <c r="I432" s="79"/>
      <c r="J432" s="79"/>
      <c r="K432" s="80"/>
    </row>
    <row r="433" spans="1:11">
      <c r="A433" s="93"/>
      <c r="B433" s="85" t="str">
        <f t="shared" si="26"/>
        <v/>
      </c>
      <c r="C433" s="85" t="str">
        <f t="shared" si="28"/>
        <v/>
      </c>
      <c r="D433" s="85" t="str">
        <f t="shared" si="29"/>
        <v/>
      </c>
      <c r="E433" s="85" t="str">
        <f t="shared" si="31"/>
        <v/>
      </c>
      <c r="F433" s="85" t="str">
        <f t="shared" si="27"/>
        <v/>
      </c>
      <c r="G433" s="80" t="str">
        <f t="shared" si="30"/>
        <v/>
      </c>
      <c r="H433" s="80"/>
      <c r="I433" s="79"/>
      <c r="J433" s="79"/>
      <c r="K433" s="80"/>
    </row>
    <row r="434" spans="1:11">
      <c r="A434" s="93"/>
      <c r="B434" s="85" t="str">
        <f t="shared" si="26"/>
        <v/>
      </c>
      <c r="C434" s="85" t="str">
        <f t="shared" si="28"/>
        <v/>
      </c>
      <c r="D434" s="85" t="str">
        <f t="shared" si="29"/>
        <v/>
      </c>
      <c r="E434" s="85" t="str">
        <f t="shared" si="31"/>
        <v/>
      </c>
      <c r="F434" s="85" t="str">
        <f t="shared" si="27"/>
        <v/>
      </c>
      <c r="G434" s="80" t="str">
        <f t="shared" si="30"/>
        <v/>
      </c>
      <c r="H434" s="80"/>
      <c r="I434" s="79"/>
      <c r="J434" s="79"/>
      <c r="K434" s="80"/>
    </row>
    <row r="435" spans="1:11">
      <c r="A435" s="93"/>
      <c r="B435" s="85" t="str">
        <f t="shared" si="26"/>
        <v/>
      </c>
      <c r="C435" s="85" t="str">
        <f t="shared" si="28"/>
        <v/>
      </c>
      <c r="D435" s="85" t="str">
        <f t="shared" si="29"/>
        <v/>
      </c>
      <c r="E435" s="85" t="str">
        <f t="shared" si="31"/>
        <v/>
      </c>
      <c r="F435" s="85" t="str">
        <f t="shared" si="27"/>
        <v/>
      </c>
      <c r="G435" s="80" t="str">
        <f t="shared" si="30"/>
        <v/>
      </c>
      <c r="H435" s="80"/>
      <c r="I435" s="79"/>
      <c r="J435" s="79"/>
      <c r="K435" s="80"/>
    </row>
    <row r="436" spans="1:11">
      <c r="A436" s="93"/>
      <c r="B436" s="85" t="str">
        <f t="shared" si="26"/>
        <v/>
      </c>
      <c r="C436" s="85" t="str">
        <f t="shared" si="28"/>
        <v/>
      </c>
      <c r="D436" s="85" t="str">
        <f t="shared" si="29"/>
        <v/>
      </c>
      <c r="E436" s="85" t="str">
        <f t="shared" si="31"/>
        <v/>
      </c>
      <c r="F436" s="85" t="str">
        <f t="shared" si="27"/>
        <v/>
      </c>
      <c r="G436" s="80" t="str">
        <f t="shared" si="30"/>
        <v/>
      </c>
      <c r="H436" s="80"/>
      <c r="I436" s="79"/>
      <c r="J436" s="79"/>
      <c r="K436" s="80"/>
    </row>
    <row r="437" spans="1:11">
      <c r="A437" s="93"/>
      <c r="B437" s="85" t="str">
        <f t="shared" si="26"/>
        <v/>
      </c>
      <c r="C437" s="85" t="str">
        <f t="shared" si="28"/>
        <v/>
      </c>
      <c r="D437" s="85" t="str">
        <f t="shared" si="29"/>
        <v/>
      </c>
      <c r="E437" s="85" t="str">
        <f t="shared" si="31"/>
        <v/>
      </c>
      <c r="F437" s="85" t="str">
        <f t="shared" si="27"/>
        <v/>
      </c>
      <c r="G437" s="80" t="str">
        <f t="shared" si="30"/>
        <v/>
      </c>
      <c r="H437" s="80"/>
      <c r="I437" s="79"/>
      <c r="J437" s="79"/>
      <c r="K437" s="80"/>
    </row>
    <row r="438" spans="1:11">
      <c r="A438" s="93"/>
      <c r="B438" s="85" t="str">
        <f t="shared" si="26"/>
        <v/>
      </c>
      <c r="C438" s="85" t="str">
        <f t="shared" si="28"/>
        <v/>
      </c>
      <c r="D438" s="85" t="str">
        <f t="shared" si="29"/>
        <v/>
      </c>
      <c r="E438" s="85" t="str">
        <f t="shared" si="31"/>
        <v/>
      </c>
      <c r="F438" s="85" t="str">
        <f t="shared" si="27"/>
        <v/>
      </c>
      <c r="G438" s="80" t="str">
        <f t="shared" si="30"/>
        <v/>
      </c>
      <c r="H438" s="80"/>
      <c r="I438" s="79"/>
      <c r="J438" s="79"/>
      <c r="K438" s="80"/>
    </row>
    <row r="439" spans="1:11">
      <c r="A439" s="93"/>
      <c r="B439" s="85" t="str">
        <f t="shared" si="26"/>
        <v/>
      </c>
      <c r="C439" s="85" t="str">
        <f t="shared" si="28"/>
        <v/>
      </c>
      <c r="D439" s="85" t="str">
        <f t="shared" si="29"/>
        <v/>
      </c>
      <c r="E439" s="85" t="str">
        <f t="shared" si="31"/>
        <v/>
      </c>
      <c r="F439" s="85" t="str">
        <f t="shared" si="27"/>
        <v/>
      </c>
      <c r="G439" s="80" t="str">
        <f t="shared" si="30"/>
        <v/>
      </c>
      <c r="H439" s="80"/>
      <c r="I439" s="79"/>
      <c r="J439" s="79"/>
      <c r="K439" s="80"/>
    </row>
    <row r="440" spans="1:11">
      <c r="A440" s="93"/>
      <c r="B440" s="85" t="str">
        <f t="shared" si="26"/>
        <v/>
      </c>
      <c r="C440" s="85" t="str">
        <f t="shared" si="28"/>
        <v/>
      </c>
      <c r="D440" s="85" t="str">
        <f t="shared" si="29"/>
        <v/>
      </c>
      <c r="E440" s="85" t="str">
        <f t="shared" si="31"/>
        <v/>
      </c>
      <c r="F440" s="85" t="str">
        <f t="shared" si="27"/>
        <v/>
      </c>
      <c r="G440" s="80" t="str">
        <f t="shared" si="30"/>
        <v/>
      </c>
      <c r="H440" s="80"/>
      <c r="I440" s="79"/>
      <c r="J440" s="79"/>
      <c r="K440" s="80"/>
    </row>
    <row r="441" spans="1:11">
      <c r="A441" s="93"/>
      <c r="B441" s="85" t="str">
        <f t="shared" si="26"/>
        <v/>
      </c>
      <c r="C441" s="85" t="str">
        <f t="shared" si="28"/>
        <v/>
      </c>
      <c r="D441" s="85" t="str">
        <f t="shared" si="29"/>
        <v/>
      </c>
      <c r="E441" s="85" t="str">
        <f t="shared" si="31"/>
        <v/>
      </c>
      <c r="F441" s="85" t="str">
        <f t="shared" si="27"/>
        <v/>
      </c>
      <c r="G441" s="80" t="str">
        <f t="shared" si="30"/>
        <v/>
      </c>
      <c r="H441" s="80"/>
      <c r="I441" s="79"/>
      <c r="J441" s="79"/>
      <c r="K441" s="80"/>
    </row>
    <row r="442" spans="1:11">
      <c r="A442" s="93"/>
      <c r="B442" s="85" t="str">
        <f t="shared" si="26"/>
        <v/>
      </c>
      <c r="C442" s="85" t="str">
        <f t="shared" si="28"/>
        <v/>
      </c>
      <c r="D442" s="85" t="str">
        <f t="shared" si="29"/>
        <v/>
      </c>
      <c r="E442" s="85" t="str">
        <f t="shared" si="31"/>
        <v/>
      </c>
      <c r="F442" s="85" t="str">
        <f t="shared" si="27"/>
        <v/>
      </c>
      <c r="G442" s="80" t="str">
        <f t="shared" si="30"/>
        <v/>
      </c>
      <c r="H442" s="80"/>
      <c r="I442" s="79"/>
      <c r="J442" s="79"/>
      <c r="K442" s="80"/>
    </row>
    <row r="443" spans="1:11">
      <c r="A443" s="93"/>
      <c r="B443" s="85" t="str">
        <f t="shared" si="26"/>
        <v/>
      </c>
      <c r="C443" s="85" t="str">
        <f t="shared" si="28"/>
        <v/>
      </c>
      <c r="D443" s="85" t="str">
        <f t="shared" si="29"/>
        <v/>
      </c>
      <c r="E443" s="85" t="str">
        <f t="shared" si="31"/>
        <v/>
      </c>
      <c r="F443" s="85" t="str">
        <f t="shared" si="27"/>
        <v/>
      </c>
      <c r="G443" s="80" t="str">
        <f t="shared" si="30"/>
        <v/>
      </c>
      <c r="H443" s="80"/>
      <c r="I443" s="79"/>
      <c r="J443" s="79"/>
      <c r="K443" s="80"/>
    </row>
    <row r="444" spans="1:11">
      <c r="A444" s="93"/>
      <c r="B444" s="85" t="str">
        <f t="shared" si="26"/>
        <v/>
      </c>
      <c r="C444" s="85" t="str">
        <f t="shared" si="28"/>
        <v/>
      </c>
      <c r="D444" s="85" t="str">
        <f t="shared" si="29"/>
        <v/>
      </c>
      <c r="E444" s="85" t="str">
        <f t="shared" si="31"/>
        <v/>
      </c>
      <c r="F444" s="85" t="str">
        <f t="shared" si="27"/>
        <v/>
      </c>
      <c r="G444" s="80" t="str">
        <f t="shared" si="30"/>
        <v/>
      </c>
      <c r="H444" s="80"/>
      <c r="I444" s="79"/>
      <c r="J444" s="79"/>
      <c r="K444" s="80"/>
    </row>
    <row r="445" spans="1:11">
      <c r="A445" s="93"/>
      <c r="B445" s="85" t="str">
        <f t="shared" si="26"/>
        <v/>
      </c>
      <c r="C445" s="85" t="str">
        <f t="shared" si="28"/>
        <v/>
      </c>
      <c r="D445" s="85" t="str">
        <f t="shared" si="29"/>
        <v/>
      </c>
      <c r="E445" s="85" t="str">
        <f t="shared" si="31"/>
        <v/>
      </c>
      <c r="F445" s="85" t="str">
        <f t="shared" si="27"/>
        <v/>
      </c>
      <c r="G445" s="80" t="str">
        <f t="shared" si="30"/>
        <v/>
      </c>
      <c r="H445" s="80"/>
      <c r="I445" s="79"/>
      <c r="J445" s="79"/>
      <c r="K445" s="80"/>
    </row>
    <row r="446" spans="1:11">
      <c r="A446" s="93"/>
      <c r="B446" s="85" t="str">
        <f t="shared" si="26"/>
        <v/>
      </c>
      <c r="C446" s="85" t="str">
        <f t="shared" si="28"/>
        <v/>
      </c>
      <c r="D446" s="85" t="str">
        <f t="shared" si="29"/>
        <v/>
      </c>
      <c r="E446" s="85" t="str">
        <f t="shared" si="31"/>
        <v/>
      </c>
      <c r="F446" s="85" t="str">
        <f t="shared" si="27"/>
        <v/>
      </c>
      <c r="G446" s="80" t="str">
        <f t="shared" si="30"/>
        <v/>
      </c>
      <c r="H446" s="80"/>
      <c r="I446" s="79"/>
      <c r="J446" s="79"/>
      <c r="K446" s="80"/>
    </row>
    <row r="447" spans="1:11">
      <c r="A447" s="93"/>
      <c r="B447" s="85" t="str">
        <f t="shared" si="26"/>
        <v/>
      </c>
      <c r="C447" s="85" t="str">
        <f t="shared" si="28"/>
        <v/>
      </c>
      <c r="D447" s="85" t="str">
        <f t="shared" si="29"/>
        <v/>
      </c>
      <c r="E447" s="85" t="str">
        <f t="shared" si="31"/>
        <v/>
      </c>
      <c r="F447" s="85" t="str">
        <f t="shared" si="27"/>
        <v/>
      </c>
      <c r="G447" s="80" t="str">
        <f t="shared" si="30"/>
        <v/>
      </c>
      <c r="H447" s="80"/>
      <c r="I447" s="79"/>
      <c r="J447" s="79"/>
      <c r="K447" s="80"/>
    </row>
    <row r="448" spans="1:11">
      <c r="A448" s="93"/>
      <c r="B448" s="85" t="str">
        <f t="shared" si="26"/>
        <v/>
      </c>
      <c r="C448" s="85" t="str">
        <f t="shared" si="28"/>
        <v/>
      </c>
      <c r="D448" s="85" t="str">
        <f t="shared" si="29"/>
        <v/>
      </c>
      <c r="E448" s="85" t="str">
        <f t="shared" si="31"/>
        <v/>
      </c>
      <c r="F448" s="85" t="str">
        <f t="shared" si="27"/>
        <v/>
      </c>
      <c r="G448" s="80" t="str">
        <f t="shared" si="30"/>
        <v/>
      </c>
      <c r="H448" s="80"/>
      <c r="I448" s="79"/>
      <c r="J448" s="79"/>
      <c r="K448" s="80"/>
    </row>
    <row r="449" spans="1:11">
      <c r="A449" s="93"/>
      <c r="B449" s="85" t="str">
        <f t="shared" si="26"/>
        <v/>
      </c>
      <c r="C449" s="85" t="str">
        <f t="shared" si="28"/>
        <v/>
      </c>
      <c r="D449" s="85" t="str">
        <f t="shared" si="29"/>
        <v/>
      </c>
      <c r="E449" s="85" t="str">
        <f t="shared" si="31"/>
        <v/>
      </c>
      <c r="F449" s="85" t="str">
        <f t="shared" si="27"/>
        <v/>
      </c>
      <c r="G449" s="80" t="str">
        <f t="shared" si="30"/>
        <v/>
      </c>
      <c r="H449" s="80"/>
      <c r="I449" s="79"/>
      <c r="J449" s="79"/>
      <c r="K449" s="80"/>
    </row>
    <row r="450" spans="1:11">
      <c r="A450" s="93"/>
      <c r="B450" s="85" t="str">
        <f t="shared" si="26"/>
        <v/>
      </c>
      <c r="C450" s="85" t="str">
        <f t="shared" si="28"/>
        <v/>
      </c>
      <c r="D450" s="85" t="str">
        <f t="shared" si="29"/>
        <v/>
      </c>
      <c r="E450" s="85" t="str">
        <f t="shared" si="31"/>
        <v/>
      </c>
      <c r="F450" s="85" t="str">
        <f t="shared" si="27"/>
        <v/>
      </c>
      <c r="G450" s="80" t="str">
        <f t="shared" si="30"/>
        <v/>
      </c>
      <c r="H450" s="80"/>
      <c r="I450" s="79"/>
      <c r="J450" s="79"/>
      <c r="K450" s="80"/>
    </row>
  </sheetData>
  <mergeCells count="10">
    <mergeCell ref="G6:G7"/>
    <mergeCell ref="H6:H7"/>
    <mergeCell ref="J6:J7"/>
    <mergeCell ref="K6:K7"/>
    <mergeCell ref="A6:A7"/>
    <mergeCell ref="B6:B7"/>
    <mergeCell ref="C6:C7"/>
    <mergeCell ref="D6:D7"/>
    <mergeCell ref="E6:E7"/>
    <mergeCell ref="F6:F7"/>
  </mergeCells>
  <conditionalFormatting sqref="C8:H450">
    <cfRule type="expression" dxfId="123"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E1DBA2B7-E24D-41F7-A720-A2B4CD5719DF}">
            <xm:f>$H8=Principal!$Q$10</xm:f>
            <x14:dxf>
              <fill>
                <patternFill patternType="solid">
                  <bgColor rgb="FF00B050"/>
                </patternFill>
              </fill>
            </x14:dxf>
          </x14:cfRule>
          <x14:cfRule type="expression" priority="3" id="{8A66E9D6-9DB2-4ECC-A1B1-C8608BB54772}">
            <xm:f>$H8=Principal!$Q$17</xm:f>
            <x14:dxf>
              <fill>
                <patternFill patternType="solid">
                  <bgColor rgb="FFFFFF00"/>
                </patternFill>
              </fill>
            </x14:dxf>
          </x14:cfRule>
          <x14:cfRule type="expression" priority="4" id="{1A550F9B-CBAE-4732-8AA0-97832C6DA9FB}">
            <xm:f>$H8=Principal!$Q$16</xm:f>
            <x14:dxf>
              <fill>
                <patternFill patternType="solid">
                  <bgColor rgb="FFDD46E8"/>
                </patternFill>
              </fill>
            </x14:dxf>
          </x14:cfRule>
          <x14:cfRule type="expression" priority="5" id="{1B6F3DF1-7C30-4B8C-BA87-BCA7FD38A15A}">
            <xm:f>$H8=Principal!$Q$15</xm:f>
            <x14:dxf>
              <fill>
                <patternFill>
                  <bgColor theme="8" tint="0.59996337778862885"/>
                </patternFill>
              </fill>
            </x14:dxf>
          </x14:cfRule>
          <x14:cfRule type="expression" priority="6" id="{25A2032A-F8FE-438C-869F-7052F5E6E920}">
            <xm:f>$H8=Principal!$Q$14</xm:f>
            <x14:dxf>
              <fill>
                <patternFill>
                  <bgColor theme="7" tint="0.59996337778862885"/>
                </patternFill>
              </fill>
            </x14:dxf>
          </x14:cfRule>
          <x14:cfRule type="expression" priority="7" id="{67443CC0-7E22-49A0-A9E4-DB1E9DD2FF04}">
            <xm:f>$H8=Principal!$Q$11</xm:f>
            <x14:dxf>
              <fill>
                <patternFill>
                  <bgColor rgb="FFFF5050"/>
                </patternFill>
              </fill>
            </x14:dxf>
          </x14:cfRule>
          <xm:sqref>C8:H450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EE749C9-793A-4068-B509-2FC0A7192D03}">
          <x14:formula1>
            <xm:f>Principal!$Q$9:$Q$17</xm:f>
          </x14:formula1>
          <xm:sqref>H8:H450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3BDAC-59FE-41BE-B0F0-A7D8CA1BA562}">
  <sheetPr>
    <tabColor theme="4" tint="-0.249977111117893"/>
  </sheetPr>
  <dimension ref="A1:L260"/>
  <sheetViews>
    <sheetView topLeftCell="B1" zoomScaleNormal="100" workbookViewId="0">
      <pane ySplit="2" topLeftCell="A15" activePane="bottomLeft" state="frozen"/>
      <selection pane="bottomLeft" activeCell="A5" sqref="A5:XFD5"/>
    </sheetView>
  </sheetViews>
  <sheetFormatPr defaultColWidth="9.140625" defaultRowHeight="14.25"/>
  <cols>
    <col min="1" max="1" width="11.5703125" style="26" customWidth="1"/>
    <col min="2" max="2" width="13.140625" style="30" customWidth="1"/>
    <col min="3" max="3" width="41" style="92" customWidth="1"/>
    <col min="4" max="4" width="65.7109375" style="92" customWidth="1"/>
    <col min="5" max="5" width="50.7109375" style="78" customWidth="1"/>
    <col min="6" max="6" width="37.42578125" style="27" customWidth="1"/>
    <col min="7" max="7" width="32.28515625" style="254" customWidth="1"/>
    <col min="8" max="8" width="32.5703125" style="134" customWidth="1"/>
    <col min="9" max="9" width="28.5703125" style="24" customWidth="1"/>
    <col min="10" max="11" width="9.140625" style="24"/>
    <col min="12" max="12" width="9.42578125" style="24" bestFit="1" customWidth="1"/>
    <col min="13" max="16384" width="9.140625" style="24"/>
  </cols>
  <sheetData>
    <row r="1" spans="1:12" ht="23.25">
      <c r="A1" s="135" t="s">
        <v>144</v>
      </c>
      <c r="B1" s="136"/>
      <c r="C1" s="136"/>
      <c r="D1" s="136"/>
      <c r="G1" s="250"/>
      <c r="I1" s="209"/>
    </row>
    <row r="2" spans="1:12" s="28" customFormat="1" ht="18">
      <c r="A2" s="94" t="s">
        <v>11</v>
      </c>
      <c r="B2" s="95" t="s">
        <v>12</v>
      </c>
      <c r="C2" s="96" t="s">
        <v>145</v>
      </c>
      <c r="D2" s="97" t="s">
        <v>146</v>
      </c>
      <c r="E2" s="97" t="s">
        <v>15</v>
      </c>
      <c r="F2" s="94" t="s">
        <v>147</v>
      </c>
      <c r="G2" s="133" t="s">
        <v>148</v>
      </c>
      <c r="H2" s="133" t="s">
        <v>149</v>
      </c>
      <c r="I2" s="133" t="s">
        <v>150</v>
      </c>
    </row>
    <row r="3" spans="1:12" s="28" customFormat="1" ht="52.5" customHeight="1">
      <c r="A3" s="348" t="s">
        <v>151</v>
      </c>
      <c r="B3" s="348"/>
      <c r="C3" s="348"/>
      <c r="D3" s="348"/>
      <c r="E3" s="348"/>
      <c r="F3" s="348"/>
      <c r="G3" s="349"/>
      <c r="H3" s="137"/>
      <c r="I3" s="137"/>
    </row>
    <row r="4" spans="1:12" s="28" customFormat="1" ht="17.45">
      <c r="A4" s="351"/>
      <c r="B4" s="351"/>
      <c r="C4" s="351"/>
      <c r="D4" s="351"/>
      <c r="E4" s="351"/>
      <c r="F4" s="351"/>
      <c r="G4" s="351"/>
      <c r="H4" s="351"/>
      <c r="I4" s="210"/>
    </row>
    <row r="5" spans="1:12" ht="127.5" customHeight="1">
      <c r="A5" s="77">
        <v>1</v>
      </c>
      <c r="B5" s="187" t="s">
        <v>152</v>
      </c>
      <c r="C5" s="256" t="s">
        <v>153</v>
      </c>
      <c r="D5" s="189" t="s">
        <v>154</v>
      </c>
      <c r="E5" s="189" t="s">
        <v>155</v>
      </c>
      <c r="F5" s="238" t="s">
        <v>156</v>
      </c>
      <c r="G5" s="263"/>
      <c r="H5" s="211" t="s">
        <v>157</v>
      </c>
      <c r="I5" s="211"/>
    </row>
    <row r="6" spans="1:12" ht="127.5" customHeight="1">
      <c r="A6" s="77">
        <v>2</v>
      </c>
      <c r="B6" s="187" t="s">
        <v>152</v>
      </c>
      <c r="C6" s="256" t="s">
        <v>158</v>
      </c>
      <c r="D6" s="189" t="s">
        <v>154</v>
      </c>
      <c r="E6" s="189" t="s">
        <v>159</v>
      </c>
      <c r="F6" s="238" t="s">
        <v>156</v>
      </c>
      <c r="G6" s="263"/>
      <c r="H6" s="211" t="s">
        <v>160</v>
      </c>
      <c r="I6" s="211"/>
    </row>
    <row r="7" spans="1:12" ht="145.5" customHeight="1">
      <c r="A7" s="77">
        <v>3</v>
      </c>
      <c r="B7" s="187" t="s">
        <v>152</v>
      </c>
      <c r="C7" s="256" t="s">
        <v>161</v>
      </c>
      <c r="D7" s="189" t="s">
        <v>162</v>
      </c>
      <c r="E7" s="189" t="s">
        <v>163</v>
      </c>
      <c r="F7" s="238" t="s">
        <v>164</v>
      </c>
      <c r="G7" s="263"/>
      <c r="H7" s="264"/>
      <c r="I7" s="211"/>
    </row>
    <row r="8" spans="1:12" ht="136.5" customHeight="1">
      <c r="A8" s="77">
        <v>4</v>
      </c>
      <c r="B8" s="187" t="s">
        <v>152</v>
      </c>
      <c r="C8" s="256" t="s">
        <v>165</v>
      </c>
      <c r="D8" s="189" t="s">
        <v>162</v>
      </c>
      <c r="E8" s="189" t="s">
        <v>166</v>
      </c>
      <c r="F8" s="238" t="s">
        <v>164</v>
      </c>
      <c r="G8" s="263"/>
      <c r="H8" s="264"/>
      <c r="I8" s="231"/>
    </row>
    <row r="9" spans="1:12" ht="179.25" customHeight="1">
      <c r="A9" s="77">
        <v>5</v>
      </c>
      <c r="B9" s="187" t="s">
        <v>152</v>
      </c>
      <c r="C9" s="256" t="s">
        <v>167</v>
      </c>
      <c r="D9" s="230" t="s">
        <v>168</v>
      </c>
      <c r="E9" s="189" t="s">
        <v>169</v>
      </c>
      <c r="F9" s="238" t="s">
        <v>170</v>
      </c>
      <c r="G9" s="263"/>
      <c r="H9" s="211" t="s">
        <v>171</v>
      </c>
      <c r="I9" s="231"/>
    </row>
    <row r="10" spans="1:12" ht="165.75" customHeight="1">
      <c r="A10" s="77">
        <v>6</v>
      </c>
      <c r="B10" s="187" t="s">
        <v>152</v>
      </c>
      <c r="C10" s="256" t="s">
        <v>172</v>
      </c>
      <c r="D10" s="189" t="s">
        <v>173</v>
      </c>
      <c r="E10" s="189" t="s">
        <v>174</v>
      </c>
      <c r="F10" s="238" t="s">
        <v>175</v>
      </c>
      <c r="G10" s="263"/>
      <c r="H10" s="211" t="s">
        <v>176</v>
      </c>
      <c r="I10" s="231"/>
    </row>
    <row r="11" spans="1:12" ht="155.25" customHeight="1">
      <c r="A11" s="77">
        <v>7</v>
      </c>
      <c r="B11" s="187" t="s">
        <v>152</v>
      </c>
      <c r="C11" s="256" t="s">
        <v>177</v>
      </c>
      <c r="D11" s="230" t="s">
        <v>168</v>
      </c>
      <c r="E11" s="189" t="s">
        <v>178</v>
      </c>
      <c r="F11" s="238" t="s">
        <v>179</v>
      </c>
      <c r="G11" s="263"/>
      <c r="H11" s="211" t="s">
        <v>180</v>
      </c>
      <c r="I11" s="231"/>
    </row>
    <row r="12" spans="1:12" ht="155.25" customHeight="1">
      <c r="A12" s="77">
        <v>8</v>
      </c>
      <c r="B12" s="187" t="s">
        <v>152</v>
      </c>
      <c r="C12" s="256" t="s">
        <v>181</v>
      </c>
      <c r="D12" s="230" t="s">
        <v>168</v>
      </c>
      <c r="E12" s="189" t="s">
        <v>182</v>
      </c>
      <c r="F12" s="238" t="s">
        <v>179</v>
      </c>
      <c r="G12" s="263"/>
      <c r="H12" s="211" t="s">
        <v>183</v>
      </c>
      <c r="I12" s="231"/>
    </row>
    <row r="13" spans="1:12" ht="63.75" customHeight="1">
      <c r="A13" s="348" t="s">
        <v>184</v>
      </c>
      <c r="B13" s="348"/>
      <c r="C13" s="348"/>
      <c r="D13" s="348"/>
      <c r="E13" s="348"/>
      <c r="F13" s="348"/>
      <c r="G13" s="349"/>
      <c r="H13" s="137"/>
      <c r="I13" s="137"/>
    </row>
    <row r="14" spans="1:12" ht="18.75" customHeight="1">
      <c r="A14" s="351"/>
      <c r="B14" s="351"/>
      <c r="C14" s="351"/>
      <c r="D14" s="351"/>
      <c r="E14" s="351"/>
      <c r="F14" s="351"/>
      <c r="G14" s="351"/>
      <c r="H14" s="351"/>
      <c r="I14" s="210"/>
      <c r="J14" s="28"/>
      <c r="K14" s="28"/>
      <c r="L14" s="28"/>
    </row>
    <row r="15" spans="1:12" ht="146.25" customHeight="1">
      <c r="A15" s="77">
        <v>9</v>
      </c>
      <c r="B15" s="187" t="s">
        <v>152</v>
      </c>
      <c r="C15" s="262" t="s">
        <v>185</v>
      </c>
      <c r="D15" s="189" t="s">
        <v>186</v>
      </c>
      <c r="E15" s="189" t="s">
        <v>187</v>
      </c>
      <c r="F15" s="238" t="s">
        <v>188</v>
      </c>
      <c r="G15" s="252"/>
      <c r="H15" s="212"/>
      <c r="I15" s="212"/>
    </row>
    <row r="16" spans="1:12" ht="137.25" customHeight="1">
      <c r="A16" s="77">
        <v>10</v>
      </c>
      <c r="B16" s="187" t="s">
        <v>152</v>
      </c>
      <c r="C16" s="262" t="s">
        <v>189</v>
      </c>
      <c r="D16" s="189" t="s">
        <v>186</v>
      </c>
      <c r="E16" s="189" t="s">
        <v>190</v>
      </c>
      <c r="F16" s="238" t="s">
        <v>188</v>
      </c>
      <c r="G16" s="251"/>
      <c r="H16" s="211"/>
      <c r="I16" s="211"/>
    </row>
    <row r="17" spans="1:9" ht="55.5" customHeight="1">
      <c r="A17" s="348" t="s">
        <v>191</v>
      </c>
      <c r="B17" s="348"/>
      <c r="C17" s="348"/>
      <c r="D17" s="348"/>
      <c r="E17" s="348"/>
      <c r="F17" s="348"/>
      <c r="G17" s="349"/>
      <c r="H17" s="137"/>
      <c r="I17" s="212"/>
    </row>
    <row r="18" spans="1:9" ht="24" customHeight="1">
      <c r="A18" s="350"/>
      <c r="B18" s="350"/>
      <c r="C18" s="350"/>
      <c r="D18" s="350"/>
      <c r="E18" s="350"/>
      <c r="F18" s="350"/>
      <c r="G18" s="350"/>
      <c r="H18" s="350"/>
      <c r="I18" s="232"/>
    </row>
    <row r="19" spans="1:9" ht="409.5" customHeight="1">
      <c r="A19" s="51">
        <v>11</v>
      </c>
      <c r="B19" s="187" t="s">
        <v>152</v>
      </c>
      <c r="C19" s="265" t="s">
        <v>192</v>
      </c>
      <c r="D19" s="188" t="s">
        <v>193</v>
      </c>
      <c r="E19" s="189" t="s">
        <v>194</v>
      </c>
      <c r="F19" s="258" t="s">
        <v>195</v>
      </c>
      <c r="G19" s="259" t="s">
        <v>196</v>
      </c>
      <c r="H19" s="211" t="s">
        <v>197</v>
      </c>
      <c r="I19" s="211" t="s">
        <v>198</v>
      </c>
    </row>
    <row r="20" spans="1:9" ht="173.25" customHeight="1">
      <c r="A20" s="51">
        <v>12</v>
      </c>
      <c r="B20" s="187" t="s">
        <v>152</v>
      </c>
      <c r="C20" s="265" t="s">
        <v>199</v>
      </c>
      <c r="D20" s="237" t="s">
        <v>193</v>
      </c>
      <c r="E20" s="299" t="s">
        <v>200</v>
      </c>
      <c r="F20" s="260" t="s">
        <v>201</v>
      </c>
      <c r="G20" s="261" t="s">
        <v>202</v>
      </c>
      <c r="H20" s="212"/>
      <c r="I20" s="232"/>
    </row>
    <row r="21" spans="1:9" ht="55.5" customHeight="1">
      <c r="A21" s="348" t="s">
        <v>203</v>
      </c>
      <c r="B21" s="348"/>
      <c r="C21" s="348"/>
      <c r="D21" s="348"/>
      <c r="E21" s="348"/>
      <c r="F21" s="348"/>
      <c r="G21" s="349"/>
      <c r="H21" s="137"/>
      <c r="I21" s="212"/>
    </row>
    <row r="22" spans="1:9" ht="24" customHeight="1">
      <c r="A22" s="350"/>
      <c r="B22" s="350"/>
      <c r="C22" s="350"/>
      <c r="D22" s="350"/>
      <c r="E22" s="350"/>
      <c r="F22" s="350"/>
      <c r="G22" s="350"/>
      <c r="H22" s="350"/>
      <c r="I22" s="232"/>
    </row>
    <row r="23" spans="1:9" ht="107.25" customHeight="1">
      <c r="A23" s="51">
        <v>13</v>
      </c>
      <c r="B23" s="187" t="s">
        <v>152</v>
      </c>
      <c r="C23" s="189" t="s">
        <v>204</v>
      </c>
      <c r="D23" s="63" t="s">
        <v>205</v>
      </c>
      <c r="E23" s="63" t="s">
        <v>206</v>
      </c>
      <c r="F23" s="260" t="s">
        <v>207</v>
      </c>
      <c r="G23" s="261" t="s">
        <v>208</v>
      </c>
      <c r="H23" s="270"/>
      <c r="I23" s="232"/>
    </row>
    <row r="24" spans="1:9" ht="124.5" customHeight="1">
      <c r="A24" s="51">
        <v>14</v>
      </c>
      <c r="B24" s="51" t="s">
        <v>209</v>
      </c>
      <c r="C24" s="189" t="s">
        <v>210</v>
      </c>
      <c r="D24" s="63" t="s">
        <v>211</v>
      </c>
      <c r="E24" s="300"/>
      <c r="F24" s="274"/>
      <c r="G24" s="253"/>
      <c r="I24" s="209"/>
    </row>
    <row r="25" spans="1:9" ht="105" customHeight="1">
      <c r="A25" s="51">
        <v>15</v>
      </c>
      <c r="B25" s="51" t="s">
        <v>209</v>
      </c>
      <c r="C25" s="189" t="s">
        <v>212</v>
      </c>
      <c r="D25" s="63" t="s">
        <v>213</v>
      </c>
      <c r="E25" s="267"/>
      <c r="F25" s="274"/>
      <c r="G25" s="278" t="s">
        <v>214</v>
      </c>
      <c r="H25" s="279" t="s">
        <v>215</v>
      </c>
      <c r="I25" s="209"/>
    </row>
    <row r="26" spans="1:9" ht="99" customHeight="1">
      <c r="A26" s="51">
        <v>16</v>
      </c>
      <c r="B26" s="51" t="s">
        <v>209</v>
      </c>
      <c r="C26" s="189" t="s">
        <v>216</v>
      </c>
      <c r="D26" s="63" t="s">
        <v>217</v>
      </c>
      <c r="E26" s="267"/>
      <c r="F26" s="274"/>
      <c r="G26" s="253"/>
      <c r="I26" s="209"/>
    </row>
    <row r="27" spans="1:9" ht="106.5" customHeight="1">
      <c r="A27" s="51">
        <v>18</v>
      </c>
      <c r="B27" s="51" t="s">
        <v>152</v>
      </c>
      <c r="C27" s="189" t="s">
        <v>218</v>
      </c>
      <c r="D27" s="63" t="s">
        <v>219</v>
      </c>
      <c r="E27" s="300" t="s">
        <v>220</v>
      </c>
      <c r="F27" s="260" t="s">
        <v>221</v>
      </c>
      <c r="G27" s="278" t="s">
        <v>222</v>
      </c>
      <c r="H27" s="279" t="s">
        <v>223</v>
      </c>
    </row>
    <row r="28" spans="1:9" ht="107.25" customHeight="1">
      <c r="A28" s="51">
        <v>19</v>
      </c>
      <c r="B28" s="51" t="s">
        <v>209</v>
      </c>
      <c r="C28" s="189" t="s">
        <v>224</v>
      </c>
      <c r="D28" s="63" t="s">
        <v>225</v>
      </c>
      <c r="E28" s="300"/>
      <c r="F28" s="274"/>
      <c r="G28" s="253"/>
    </row>
    <row r="29" spans="1:9" ht="95.25" customHeight="1">
      <c r="A29" s="51">
        <v>20</v>
      </c>
      <c r="B29" s="51" t="s">
        <v>209</v>
      </c>
      <c r="C29" s="189" t="s">
        <v>226</v>
      </c>
      <c r="D29" s="63" t="s">
        <v>227</v>
      </c>
      <c r="E29" s="267"/>
      <c r="F29" s="313"/>
      <c r="G29" s="253"/>
    </row>
    <row r="30" spans="1:9" ht="95.25" customHeight="1">
      <c r="A30" s="51">
        <v>21</v>
      </c>
      <c r="B30" s="51" t="s">
        <v>209</v>
      </c>
      <c r="C30" s="189" t="s">
        <v>228</v>
      </c>
      <c r="D30" s="63" t="s">
        <v>229</v>
      </c>
      <c r="E30" s="268"/>
      <c r="F30" s="314"/>
      <c r="G30" s="277"/>
    </row>
    <row r="31" spans="1:9" ht="101.25" customHeight="1">
      <c r="A31" s="51">
        <v>22</v>
      </c>
      <c r="B31" s="51" t="s">
        <v>209</v>
      </c>
      <c r="C31" s="272" t="s">
        <v>230</v>
      </c>
      <c r="D31" s="272" t="s">
        <v>231</v>
      </c>
      <c r="E31" s="275" t="s">
        <v>232</v>
      </c>
      <c r="F31" s="315" t="s">
        <v>233</v>
      </c>
      <c r="G31" s="277"/>
    </row>
    <row r="32" spans="1:9" ht="94.5" customHeight="1">
      <c r="A32" s="51">
        <v>23</v>
      </c>
      <c r="B32" s="51" t="s">
        <v>209</v>
      </c>
      <c r="C32" s="255" t="s">
        <v>234</v>
      </c>
      <c r="D32" s="305" t="s">
        <v>231</v>
      </c>
      <c r="E32" s="306" t="s">
        <v>232</v>
      </c>
      <c r="F32" s="316" t="s">
        <v>235</v>
      </c>
      <c r="G32" s="277"/>
    </row>
    <row r="33" spans="1:7" ht="88.5" customHeight="1">
      <c r="A33" s="51">
        <v>24</v>
      </c>
      <c r="B33" s="51" t="s">
        <v>209</v>
      </c>
      <c r="C33" s="255" t="s">
        <v>236</v>
      </c>
      <c r="D33" s="305" t="s">
        <v>231</v>
      </c>
      <c r="E33" s="306" t="s">
        <v>232</v>
      </c>
      <c r="F33" s="316" t="s">
        <v>237</v>
      </c>
      <c r="G33" s="277"/>
    </row>
    <row r="34" spans="1:7" ht="123.75" customHeight="1">
      <c r="A34" s="51">
        <v>25</v>
      </c>
      <c r="B34" s="51" t="s">
        <v>209</v>
      </c>
      <c r="C34" s="255" t="s">
        <v>238</v>
      </c>
      <c r="D34" s="305" t="s">
        <v>231</v>
      </c>
      <c r="E34" s="306" t="s">
        <v>232</v>
      </c>
      <c r="F34" s="317" t="s">
        <v>239</v>
      </c>
      <c r="G34" s="277"/>
    </row>
    <row r="35" spans="1:7" ht="108.75" customHeight="1">
      <c r="A35" s="51">
        <v>26</v>
      </c>
      <c r="B35" s="51" t="s">
        <v>209</v>
      </c>
      <c r="C35" s="255" t="s">
        <v>240</v>
      </c>
      <c r="D35" s="305" t="s">
        <v>231</v>
      </c>
      <c r="E35" s="268">
        <v>2396437127</v>
      </c>
      <c r="F35" s="317" t="s">
        <v>233</v>
      </c>
      <c r="G35" s="277"/>
    </row>
    <row r="36" spans="1:7" ht="99" customHeight="1">
      <c r="A36" s="51">
        <v>27</v>
      </c>
      <c r="B36" s="51" t="s">
        <v>209</v>
      </c>
      <c r="C36" s="255" t="s">
        <v>241</v>
      </c>
      <c r="D36" s="305" t="s">
        <v>231</v>
      </c>
      <c r="E36" s="268">
        <v>2396437127</v>
      </c>
      <c r="F36" s="315" t="s">
        <v>235</v>
      </c>
      <c r="G36" s="277"/>
    </row>
    <row r="37" spans="1:7" ht="95.25" customHeight="1">
      <c r="A37" s="51">
        <v>28</v>
      </c>
      <c r="B37" s="51" t="s">
        <v>209</v>
      </c>
      <c r="C37" s="255" t="s">
        <v>242</v>
      </c>
      <c r="D37" s="305" t="s">
        <v>231</v>
      </c>
      <c r="E37" s="268">
        <v>2396437127</v>
      </c>
      <c r="F37" s="315" t="s">
        <v>237</v>
      </c>
      <c r="G37" s="277"/>
    </row>
    <row r="38" spans="1:7" ht="112.5" customHeight="1">
      <c r="A38" s="51">
        <v>29</v>
      </c>
      <c r="B38" s="51" t="s">
        <v>209</v>
      </c>
      <c r="C38" s="255" t="s">
        <v>243</v>
      </c>
      <c r="D38" s="305" t="s">
        <v>231</v>
      </c>
      <c r="E38" s="268">
        <v>2396437127</v>
      </c>
      <c r="F38" s="319" t="s">
        <v>239</v>
      </c>
      <c r="G38" s="277"/>
    </row>
    <row r="39" spans="1:7" ht="105" customHeight="1">
      <c r="A39" s="51">
        <v>30</v>
      </c>
      <c r="B39" s="51" t="s">
        <v>209</v>
      </c>
      <c r="C39" s="255" t="s">
        <v>244</v>
      </c>
      <c r="D39" s="305" t="s">
        <v>245</v>
      </c>
      <c r="E39" s="268">
        <v>0</v>
      </c>
      <c r="F39" s="319" t="s">
        <v>233</v>
      </c>
      <c r="G39" s="277"/>
    </row>
    <row r="40" spans="1:7" ht="90" customHeight="1">
      <c r="A40" s="51">
        <v>31</v>
      </c>
      <c r="B40" s="51" t="s">
        <v>209</v>
      </c>
      <c r="C40" s="255" t="s">
        <v>246</v>
      </c>
      <c r="D40" s="305" t="s">
        <v>245</v>
      </c>
      <c r="E40" s="311">
        <v>42764718500</v>
      </c>
      <c r="F40" s="320" t="s">
        <v>235</v>
      </c>
      <c r="G40" s="277"/>
    </row>
    <row r="41" spans="1:7" ht="93.75" customHeight="1">
      <c r="A41" s="51">
        <v>32</v>
      </c>
      <c r="B41" s="51" t="s">
        <v>209</v>
      </c>
      <c r="C41" s="271" t="s">
        <v>247</v>
      </c>
      <c r="D41" s="307" t="s">
        <v>245</v>
      </c>
      <c r="E41" s="268">
        <v>42764718500</v>
      </c>
      <c r="F41" s="321" t="s">
        <v>237</v>
      </c>
      <c r="G41" s="309"/>
    </row>
    <row r="42" spans="1:7" ht="100.5" customHeight="1">
      <c r="A42" s="51">
        <v>33</v>
      </c>
      <c r="B42" s="51" t="s">
        <v>209</v>
      </c>
      <c r="C42" s="257" t="s">
        <v>248</v>
      </c>
      <c r="D42" s="308" t="s">
        <v>245</v>
      </c>
      <c r="E42" s="311">
        <v>42764718500</v>
      </c>
      <c r="F42" s="322" t="s">
        <v>239</v>
      </c>
      <c r="G42" s="310"/>
    </row>
    <row r="43" spans="1:7" ht="26.25">
      <c r="A43" s="273" t="s">
        <v>249</v>
      </c>
      <c r="B43" s="51"/>
      <c r="C43" s="257"/>
      <c r="D43" s="312"/>
      <c r="E43" s="268"/>
      <c r="F43" s="318"/>
      <c r="G43" s="310"/>
    </row>
    <row r="44" spans="1:7" ht="15">
      <c r="A44" s="77"/>
      <c r="B44" s="51"/>
      <c r="C44" s="257"/>
      <c r="D44" s="312"/>
      <c r="E44" s="268"/>
      <c r="F44" s="269"/>
      <c r="G44" s="310"/>
    </row>
    <row r="45" spans="1:7" ht="15">
      <c r="B45" s="51"/>
      <c r="C45" s="257"/>
      <c r="D45" s="312"/>
      <c r="E45" s="268"/>
      <c r="F45" s="269"/>
      <c r="G45" s="310"/>
    </row>
    <row r="46" spans="1:7" ht="15">
      <c r="A46" s="77"/>
      <c r="B46" s="51"/>
      <c r="C46" s="257"/>
      <c r="D46" s="312"/>
      <c r="E46" s="268"/>
      <c r="F46" s="269"/>
      <c r="G46" s="310"/>
    </row>
    <row r="47" spans="1:7" ht="15">
      <c r="A47" s="77"/>
      <c r="B47" s="51"/>
      <c r="C47" s="257"/>
      <c r="D47" s="312"/>
      <c r="E47" s="268"/>
      <c r="F47" s="269"/>
      <c r="G47" s="310"/>
    </row>
    <row r="48" spans="1:7" ht="15">
      <c r="A48" s="77"/>
      <c r="B48" s="51"/>
      <c r="C48" s="257"/>
      <c r="D48" s="312"/>
      <c r="E48" s="268"/>
      <c r="F48" s="269"/>
      <c r="G48" s="310"/>
    </row>
    <row r="49" spans="1:7" ht="15">
      <c r="A49" s="77"/>
      <c r="B49" s="51"/>
      <c r="C49" s="257"/>
      <c r="D49" s="312"/>
      <c r="E49" s="268"/>
      <c r="F49" s="269"/>
      <c r="G49" s="310"/>
    </row>
    <row r="50" spans="1:7" ht="15">
      <c r="A50" s="77"/>
      <c r="B50" s="51"/>
      <c r="C50" s="257"/>
      <c r="D50" s="312"/>
      <c r="E50" s="268"/>
      <c r="F50" s="269"/>
      <c r="G50" s="310"/>
    </row>
    <row r="51" spans="1:7" ht="15">
      <c r="A51" s="77"/>
      <c r="B51" s="51"/>
      <c r="C51" s="257"/>
      <c r="D51" s="312"/>
      <c r="E51" s="268"/>
      <c r="F51" s="269"/>
      <c r="G51" s="310"/>
    </row>
    <row r="52" spans="1:7" ht="15">
      <c r="A52" s="77"/>
      <c r="B52" s="51"/>
      <c r="C52" s="257"/>
      <c r="D52" s="312"/>
      <c r="E52" s="268"/>
      <c r="F52" s="269"/>
      <c r="G52" s="310"/>
    </row>
    <row r="53" spans="1:7" ht="15">
      <c r="A53" s="77"/>
      <c r="B53" s="51"/>
      <c r="C53" s="257"/>
      <c r="D53" s="312"/>
      <c r="E53" s="268"/>
      <c r="F53" s="269"/>
      <c r="G53" s="310"/>
    </row>
    <row r="54" spans="1:7" ht="15">
      <c r="A54" s="77"/>
      <c r="B54" s="51"/>
      <c r="C54" s="257"/>
      <c r="D54" s="312"/>
      <c r="E54" s="268"/>
      <c r="F54" s="269"/>
      <c r="G54" s="310"/>
    </row>
    <row r="55" spans="1:7" ht="15">
      <c r="A55" s="77"/>
      <c r="B55" s="51"/>
      <c r="C55" s="257"/>
      <c r="D55" s="312"/>
      <c r="E55" s="268"/>
      <c r="F55" s="269"/>
      <c r="G55" s="310"/>
    </row>
    <row r="56" spans="1:7" ht="15">
      <c r="A56" s="77"/>
      <c r="B56" s="51"/>
      <c r="C56" s="257"/>
      <c r="D56" s="312"/>
      <c r="E56" s="268"/>
      <c r="F56" s="269"/>
      <c r="G56" s="310"/>
    </row>
    <row r="57" spans="1:7" ht="15">
      <c r="A57" s="77"/>
      <c r="B57" s="51"/>
      <c r="C57" s="257"/>
      <c r="D57" s="312"/>
      <c r="E57" s="268"/>
      <c r="F57" s="269"/>
      <c r="G57" s="310"/>
    </row>
    <row r="58" spans="1:7" ht="15">
      <c r="A58" s="77"/>
      <c r="B58" s="51"/>
      <c r="C58" s="257"/>
      <c r="D58" s="312"/>
      <c r="E58" s="268"/>
      <c r="F58" s="269"/>
      <c r="G58" s="310"/>
    </row>
    <row r="59" spans="1:7" ht="15">
      <c r="A59" s="77"/>
      <c r="B59" s="51"/>
      <c r="C59" s="257"/>
      <c r="D59" s="312"/>
      <c r="E59" s="268"/>
      <c r="F59" s="269"/>
      <c r="G59" s="310"/>
    </row>
    <row r="60" spans="1:7" ht="15">
      <c r="A60" s="77"/>
      <c r="B60" s="51"/>
      <c r="C60" s="257"/>
      <c r="D60" s="312"/>
      <c r="E60" s="268"/>
      <c r="F60" s="269"/>
      <c r="G60" s="310"/>
    </row>
    <row r="61" spans="1:7" ht="15">
      <c r="A61" s="77"/>
      <c r="B61" s="51"/>
      <c r="C61" s="257"/>
      <c r="D61" s="312"/>
      <c r="E61" s="268"/>
      <c r="F61" s="269"/>
      <c r="G61" s="310"/>
    </row>
    <row r="62" spans="1:7" ht="15">
      <c r="A62" s="77"/>
      <c r="B62" s="51"/>
      <c r="C62" s="257"/>
      <c r="D62" s="312"/>
      <c r="E62" s="268"/>
      <c r="F62" s="269"/>
      <c r="G62" s="310"/>
    </row>
    <row r="63" spans="1:7" ht="15">
      <c r="A63" s="77"/>
      <c r="B63" s="51"/>
      <c r="C63" s="257"/>
      <c r="D63" s="312"/>
      <c r="E63" s="268"/>
      <c r="F63" s="269"/>
      <c r="G63" s="310"/>
    </row>
    <row r="64" spans="1:7" ht="15">
      <c r="A64" s="77"/>
      <c r="B64" s="51"/>
      <c r="C64" s="257"/>
      <c r="D64" s="312"/>
      <c r="E64" s="268"/>
      <c r="F64" s="269"/>
      <c r="G64" s="310"/>
    </row>
    <row r="65" spans="1:7" ht="15">
      <c r="A65" s="77"/>
      <c r="B65" s="51"/>
      <c r="C65" s="257"/>
      <c r="D65" s="312"/>
      <c r="E65" s="268"/>
      <c r="F65" s="269"/>
      <c r="G65" s="310"/>
    </row>
    <row r="66" spans="1:7" ht="15">
      <c r="A66" s="77"/>
      <c r="B66" s="51"/>
      <c r="C66" s="257"/>
      <c r="D66" s="255"/>
    </row>
    <row r="67" spans="1:7" ht="15">
      <c r="A67" s="77"/>
      <c r="B67" s="51"/>
      <c r="C67" s="257"/>
      <c r="D67" s="255"/>
    </row>
    <row r="68" spans="1:7" ht="15">
      <c r="A68" s="77"/>
      <c r="B68" s="51"/>
      <c r="C68" s="257"/>
      <c r="D68" s="255"/>
    </row>
    <row r="69" spans="1:7" ht="15">
      <c r="A69" s="77"/>
      <c r="B69" s="51"/>
      <c r="C69" s="257"/>
      <c r="D69" s="255"/>
    </row>
    <row r="70" spans="1:7" ht="15">
      <c r="A70" s="77"/>
      <c r="B70" s="51"/>
      <c r="C70" s="257"/>
      <c r="D70" s="255"/>
    </row>
    <row r="71" spans="1:7" ht="15">
      <c r="A71" s="77"/>
      <c r="B71" s="51"/>
      <c r="C71" s="257"/>
      <c r="D71" s="255"/>
    </row>
    <row r="72" spans="1:7" ht="15">
      <c r="A72" s="77"/>
      <c r="B72" s="51"/>
      <c r="C72" s="257"/>
      <c r="D72" s="255"/>
    </row>
    <row r="73" spans="1:7" ht="15">
      <c r="A73" s="77"/>
      <c r="B73" s="51"/>
      <c r="C73" s="257"/>
      <c r="D73" s="255"/>
    </row>
    <row r="74" spans="1:7" ht="15">
      <c r="A74" s="77"/>
      <c r="B74" s="51"/>
      <c r="C74" s="257"/>
      <c r="D74" s="255"/>
    </row>
    <row r="75" spans="1:7" ht="15">
      <c r="A75" s="77"/>
      <c r="B75" s="51"/>
      <c r="C75" s="257"/>
      <c r="D75" s="255"/>
    </row>
    <row r="76" spans="1:7" ht="15">
      <c r="A76" s="77"/>
      <c r="B76" s="51"/>
      <c r="C76" s="257"/>
      <c r="D76" s="255"/>
    </row>
    <row r="77" spans="1:7" ht="15">
      <c r="A77" s="77"/>
      <c r="B77" s="51"/>
      <c r="C77" s="257"/>
      <c r="D77" s="255"/>
    </row>
    <row r="78" spans="1:7" ht="15">
      <c r="A78" s="77"/>
      <c r="B78" s="51"/>
      <c r="C78" s="257"/>
      <c r="D78" s="255"/>
    </row>
    <row r="79" spans="1:7" ht="15">
      <c r="A79" s="77"/>
      <c r="B79" s="51"/>
      <c r="C79" s="257"/>
      <c r="D79" s="255"/>
    </row>
    <row r="80" spans="1:7" ht="15">
      <c r="A80" s="77"/>
      <c r="B80" s="51"/>
      <c r="C80" s="257"/>
      <c r="D80" s="255"/>
    </row>
    <row r="81" spans="1:4" ht="15">
      <c r="A81" s="77"/>
      <c r="B81" s="51"/>
      <c r="C81" s="257"/>
      <c r="D81" s="255"/>
    </row>
    <row r="82" spans="1:4" ht="15">
      <c r="A82" s="77"/>
      <c r="B82" s="51"/>
      <c r="C82" s="257"/>
      <c r="D82" s="255"/>
    </row>
    <row r="83" spans="1:4" ht="15">
      <c r="A83" s="77"/>
      <c r="B83" s="51"/>
      <c r="C83" s="257"/>
      <c r="D83" s="255"/>
    </row>
    <row r="84" spans="1:4" ht="15">
      <c r="A84" s="77"/>
      <c r="B84" s="51"/>
      <c r="C84" s="257"/>
      <c r="D84" s="255"/>
    </row>
    <row r="85" spans="1:4" ht="15">
      <c r="A85" s="77"/>
      <c r="B85" s="51"/>
      <c r="C85" s="257"/>
      <c r="D85" s="255"/>
    </row>
    <row r="86" spans="1:4" ht="15">
      <c r="A86" s="77"/>
      <c r="B86" s="51"/>
      <c r="C86" s="257"/>
      <c r="D86" s="255"/>
    </row>
    <row r="87" spans="1:4" ht="15">
      <c r="A87" s="77"/>
      <c r="B87" s="51"/>
      <c r="C87" s="257"/>
      <c r="D87" s="255"/>
    </row>
    <row r="88" spans="1:4" ht="15">
      <c r="A88" s="77"/>
      <c r="B88" s="51"/>
      <c r="C88" s="257"/>
      <c r="D88" s="255"/>
    </row>
    <row r="89" spans="1:4" ht="15">
      <c r="A89" s="77"/>
      <c r="B89" s="51"/>
      <c r="C89" s="257"/>
      <c r="D89" s="255"/>
    </row>
    <row r="90" spans="1:4" ht="15">
      <c r="A90" s="77"/>
      <c r="B90" s="51"/>
      <c r="C90" s="257"/>
      <c r="D90" s="255"/>
    </row>
    <row r="91" spans="1:4" ht="15">
      <c r="A91" s="77"/>
      <c r="B91" s="51"/>
      <c r="C91" s="257"/>
      <c r="D91" s="255"/>
    </row>
    <row r="92" spans="1:4" ht="15">
      <c r="A92" s="77"/>
      <c r="B92" s="51"/>
      <c r="C92" s="257"/>
      <c r="D92" s="255"/>
    </row>
    <row r="93" spans="1:4" ht="15">
      <c r="A93" s="77"/>
      <c r="B93" s="51"/>
      <c r="C93" s="257"/>
      <c r="D93" s="255"/>
    </row>
    <row r="94" spans="1:4" ht="15">
      <c r="A94" s="77"/>
      <c r="B94" s="51"/>
      <c r="C94" s="257"/>
      <c r="D94" s="255"/>
    </row>
    <row r="95" spans="1:4" ht="15">
      <c r="A95" s="77"/>
      <c r="B95" s="51"/>
      <c r="C95" s="257"/>
      <c r="D95" s="255"/>
    </row>
    <row r="96" spans="1:4" ht="15">
      <c r="A96" s="77"/>
      <c r="B96" s="51"/>
      <c r="C96" s="257"/>
      <c r="D96" s="255"/>
    </row>
    <row r="97" spans="1:4" ht="15">
      <c r="A97" s="77"/>
      <c r="B97" s="51"/>
      <c r="C97" s="257"/>
      <c r="D97" s="255"/>
    </row>
    <row r="98" spans="1:4" ht="15">
      <c r="A98" s="77"/>
      <c r="B98" s="51"/>
      <c r="C98" s="257"/>
      <c r="D98" s="255"/>
    </row>
    <row r="99" spans="1:4" ht="15">
      <c r="A99" s="77"/>
      <c r="B99" s="51"/>
      <c r="C99" s="257"/>
      <c r="D99" s="255"/>
    </row>
    <row r="100" spans="1:4" ht="15">
      <c r="A100" s="77"/>
      <c r="B100" s="51"/>
      <c r="C100" s="257"/>
      <c r="D100" s="255"/>
    </row>
    <row r="101" spans="1:4" ht="15">
      <c r="A101" s="77"/>
      <c r="B101" s="51"/>
      <c r="C101" s="257"/>
      <c r="D101" s="255"/>
    </row>
    <row r="102" spans="1:4" ht="15">
      <c r="A102" s="77"/>
      <c r="B102" s="51"/>
      <c r="C102" s="257"/>
      <c r="D102" s="255"/>
    </row>
    <row r="103" spans="1:4" ht="15">
      <c r="A103" s="77"/>
      <c r="B103" s="51"/>
      <c r="C103" s="257"/>
      <c r="D103" s="255"/>
    </row>
    <row r="104" spans="1:4" ht="15">
      <c r="A104" s="77"/>
      <c r="B104" s="51"/>
      <c r="C104" s="257"/>
      <c r="D104" s="255"/>
    </row>
    <row r="105" spans="1:4" ht="15">
      <c r="A105" s="77"/>
      <c r="B105" s="51"/>
      <c r="C105" s="257"/>
      <c r="D105" s="255"/>
    </row>
    <row r="106" spans="1:4" ht="15">
      <c r="A106" s="77"/>
      <c r="B106" s="51"/>
      <c r="C106" s="257"/>
      <c r="D106" s="255"/>
    </row>
    <row r="107" spans="1:4" ht="15">
      <c r="A107" s="77"/>
      <c r="B107" s="51"/>
      <c r="C107" s="257"/>
      <c r="D107" s="255"/>
    </row>
    <row r="108" spans="1:4" ht="15">
      <c r="A108" s="77"/>
      <c r="B108" s="51"/>
      <c r="C108" s="257"/>
      <c r="D108" s="255"/>
    </row>
    <row r="109" spans="1:4" ht="15">
      <c r="A109" s="77"/>
      <c r="B109" s="51"/>
      <c r="C109" s="257"/>
      <c r="D109" s="255"/>
    </row>
    <row r="110" spans="1:4" ht="15">
      <c r="A110" s="77"/>
      <c r="B110" s="51"/>
      <c r="C110" s="257"/>
      <c r="D110" s="255"/>
    </row>
    <row r="111" spans="1:4" ht="15">
      <c r="A111" s="77"/>
      <c r="B111" s="51"/>
      <c r="C111" s="257"/>
      <c r="D111" s="255"/>
    </row>
    <row r="112" spans="1:4" ht="15">
      <c r="A112" s="77"/>
      <c r="B112" s="51"/>
      <c r="C112" s="257"/>
      <c r="D112" s="255"/>
    </row>
    <row r="113" spans="1:4" ht="15">
      <c r="A113" s="77"/>
      <c r="B113" s="51"/>
      <c r="C113" s="257"/>
      <c r="D113" s="255"/>
    </row>
    <row r="114" spans="1:4" ht="15">
      <c r="A114" s="77"/>
      <c r="B114" s="51"/>
      <c r="C114" s="257"/>
      <c r="D114" s="255"/>
    </row>
    <row r="115" spans="1:4" ht="15">
      <c r="A115" s="77"/>
      <c r="B115" s="51"/>
      <c r="C115" s="257"/>
      <c r="D115" s="255"/>
    </row>
    <row r="116" spans="1:4" ht="15">
      <c r="A116" s="77"/>
      <c r="B116" s="51"/>
      <c r="C116" s="257"/>
      <c r="D116" s="255"/>
    </row>
    <row r="117" spans="1:4" ht="15">
      <c r="A117" s="77"/>
      <c r="B117" s="51"/>
      <c r="C117" s="257"/>
      <c r="D117" s="255"/>
    </row>
    <row r="118" spans="1:4" ht="15">
      <c r="A118" s="77"/>
      <c r="B118" s="51"/>
      <c r="C118" s="257"/>
      <c r="D118" s="255"/>
    </row>
    <row r="119" spans="1:4" ht="15">
      <c r="A119" s="77"/>
      <c r="B119" s="51"/>
      <c r="C119" s="257"/>
      <c r="D119" s="255"/>
    </row>
    <row r="120" spans="1:4" ht="15">
      <c r="A120" s="77"/>
      <c r="B120" s="51"/>
      <c r="C120" s="257"/>
      <c r="D120" s="255"/>
    </row>
    <row r="121" spans="1:4" ht="15">
      <c r="A121" s="77"/>
      <c r="B121" s="51"/>
      <c r="C121" s="257"/>
      <c r="D121" s="255"/>
    </row>
    <row r="122" spans="1:4" ht="15">
      <c r="A122" s="77"/>
      <c r="B122" s="51"/>
      <c r="C122" s="257"/>
      <c r="D122" s="255"/>
    </row>
    <row r="123" spans="1:4" ht="15">
      <c r="A123" s="77"/>
      <c r="B123" s="51"/>
      <c r="C123" s="257"/>
      <c r="D123" s="255"/>
    </row>
    <row r="124" spans="1:4" ht="15">
      <c r="A124" s="77"/>
      <c r="B124" s="51"/>
      <c r="C124" s="257"/>
      <c r="D124" s="255"/>
    </row>
    <row r="125" spans="1:4" ht="15">
      <c r="A125" s="77"/>
      <c r="B125" s="51"/>
      <c r="C125" s="257"/>
      <c r="D125" s="255"/>
    </row>
    <row r="126" spans="1:4" ht="15">
      <c r="A126" s="77"/>
      <c r="B126" s="51"/>
      <c r="C126" s="257"/>
      <c r="D126" s="255"/>
    </row>
    <row r="127" spans="1:4" ht="15">
      <c r="A127" s="77"/>
      <c r="B127" s="51"/>
      <c r="C127" s="257"/>
      <c r="D127" s="255"/>
    </row>
    <row r="128" spans="1:4" ht="15">
      <c r="A128" s="77"/>
      <c r="B128" s="51"/>
      <c r="C128" s="257"/>
      <c r="D128" s="255"/>
    </row>
    <row r="129" spans="1:4" ht="15">
      <c r="A129" s="77"/>
      <c r="B129" s="51"/>
      <c r="C129" s="257"/>
      <c r="D129" s="255"/>
    </row>
    <row r="130" spans="1:4" ht="15">
      <c r="A130" s="77"/>
      <c r="B130" s="51"/>
      <c r="C130" s="257"/>
      <c r="D130" s="255"/>
    </row>
    <row r="131" spans="1:4" ht="15">
      <c r="A131" s="77"/>
      <c r="B131" s="51"/>
      <c r="C131" s="257"/>
      <c r="D131" s="255"/>
    </row>
    <row r="132" spans="1:4" ht="15">
      <c r="A132" s="77"/>
      <c r="B132" s="51"/>
      <c r="C132" s="257"/>
      <c r="D132" s="255"/>
    </row>
    <row r="133" spans="1:4" ht="15">
      <c r="A133" s="77"/>
      <c r="B133" s="51"/>
      <c r="C133" s="257"/>
      <c r="D133" s="255"/>
    </row>
    <row r="134" spans="1:4" ht="15">
      <c r="A134" s="77"/>
      <c r="B134" s="51"/>
      <c r="C134" s="257"/>
      <c r="D134" s="255"/>
    </row>
    <row r="135" spans="1:4" ht="15">
      <c r="A135" s="77"/>
      <c r="B135" s="51"/>
      <c r="C135" s="257"/>
      <c r="D135" s="255"/>
    </row>
    <row r="136" spans="1:4" ht="15">
      <c r="A136" s="77"/>
      <c r="B136" s="51"/>
      <c r="C136" s="257"/>
      <c r="D136" s="255"/>
    </row>
    <row r="137" spans="1:4" ht="15">
      <c r="A137" s="77"/>
      <c r="B137" s="51"/>
      <c r="C137" s="257"/>
      <c r="D137" s="255"/>
    </row>
    <row r="138" spans="1:4" ht="15">
      <c r="A138" s="77"/>
      <c r="B138" s="51"/>
      <c r="C138" s="257"/>
      <c r="D138" s="255"/>
    </row>
    <row r="139" spans="1:4" ht="15">
      <c r="A139" s="77"/>
      <c r="B139" s="51"/>
      <c r="C139" s="257"/>
      <c r="D139" s="255"/>
    </row>
    <row r="140" spans="1:4" ht="15">
      <c r="A140" s="77"/>
      <c r="B140" s="51"/>
      <c r="C140" s="257"/>
      <c r="D140" s="255"/>
    </row>
    <row r="141" spans="1:4" ht="15">
      <c r="A141" s="77"/>
      <c r="B141" s="51"/>
      <c r="C141" s="257"/>
      <c r="D141" s="255"/>
    </row>
    <row r="142" spans="1:4" ht="15">
      <c r="A142" s="77"/>
      <c r="B142" s="51"/>
      <c r="C142" s="257"/>
      <c r="D142" s="255"/>
    </row>
    <row r="143" spans="1:4" ht="15">
      <c r="A143" s="77"/>
      <c r="B143" s="51"/>
      <c r="C143" s="257"/>
      <c r="D143" s="255"/>
    </row>
    <row r="144" spans="1:4" ht="15">
      <c r="A144" s="77"/>
      <c r="B144" s="51"/>
      <c r="C144" s="257"/>
      <c r="D144" s="255"/>
    </row>
    <row r="145" spans="1:4" ht="15">
      <c r="A145" s="77"/>
      <c r="B145" s="51"/>
      <c r="C145" s="257"/>
      <c r="D145" s="255"/>
    </row>
    <row r="146" spans="1:4" ht="15">
      <c r="A146" s="77"/>
      <c r="B146" s="51"/>
      <c r="C146" s="257"/>
      <c r="D146" s="255"/>
    </row>
    <row r="147" spans="1:4" ht="15">
      <c r="A147" s="77"/>
      <c r="B147" s="51"/>
      <c r="C147" s="257"/>
      <c r="D147" s="255"/>
    </row>
    <row r="148" spans="1:4" ht="15">
      <c r="A148" s="77"/>
      <c r="B148" s="51"/>
      <c r="C148" s="257"/>
      <c r="D148" s="255"/>
    </row>
    <row r="149" spans="1:4" ht="15">
      <c r="A149" s="77"/>
      <c r="B149" s="51"/>
      <c r="C149" s="257"/>
      <c r="D149" s="255"/>
    </row>
    <row r="150" spans="1:4" ht="15">
      <c r="A150" s="77"/>
      <c r="B150" s="51"/>
      <c r="C150" s="257"/>
      <c r="D150" s="255"/>
    </row>
    <row r="151" spans="1:4" ht="15">
      <c r="A151" s="77"/>
      <c r="B151" s="51"/>
      <c r="C151" s="257"/>
      <c r="D151" s="255"/>
    </row>
    <row r="152" spans="1:4" ht="15">
      <c r="A152" s="77"/>
      <c r="B152" s="51"/>
      <c r="C152" s="257"/>
      <c r="D152" s="255"/>
    </row>
    <row r="153" spans="1:4" ht="15">
      <c r="A153" s="77"/>
      <c r="B153" s="51"/>
      <c r="C153" s="257"/>
      <c r="D153" s="255"/>
    </row>
    <row r="154" spans="1:4" ht="15">
      <c r="A154" s="77"/>
      <c r="B154" s="51"/>
      <c r="C154" s="257"/>
      <c r="D154" s="255"/>
    </row>
    <row r="155" spans="1:4" ht="15">
      <c r="A155" s="77"/>
      <c r="B155" s="51"/>
      <c r="C155" s="257"/>
      <c r="D155" s="255"/>
    </row>
    <row r="156" spans="1:4" ht="15">
      <c r="A156" s="77"/>
      <c r="B156" s="51"/>
      <c r="C156" s="257"/>
      <c r="D156" s="255"/>
    </row>
    <row r="157" spans="1:4" ht="15">
      <c r="A157" s="77"/>
      <c r="B157" s="51"/>
      <c r="C157" s="257"/>
      <c r="D157" s="255"/>
    </row>
    <row r="158" spans="1:4" ht="15">
      <c r="A158" s="77"/>
      <c r="B158" s="51"/>
      <c r="C158" s="257"/>
      <c r="D158" s="255"/>
    </row>
    <row r="159" spans="1:4" ht="15">
      <c r="A159" s="77"/>
      <c r="B159" s="51"/>
      <c r="C159" s="257"/>
      <c r="D159" s="255"/>
    </row>
    <row r="160" spans="1:4" ht="15">
      <c r="A160" s="77"/>
      <c r="B160" s="51"/>
      <c r="C160" s="257"/>
      <c r="D160" s="255"/>
    </row>
    <row r="161" spans="1:4" ht="15">
      <c r="A161" s="77"/>
      <c r="B161" s="51"/>
      <c r="C161" s="257"/>
      <c r="D161" s="255"/>
    </row>
    <row r="162" spans="1:4" ht="15">
      <c r="A162" s="77"/>
      <c r="B162" s="51"/>
      <c r="C162" s="257"/>
      <c r="D162" s="255"/>
    </row>
    <row r="163" spans="1:4" ht="15">
      <c r="A163" s="77"/>
      <c r="B163" s="51"/>
      <c r="C163" s="257"/>
      <c r="D163" s="255"/>
    </row>
    <row r="164" spans="1:4" ht="15">
      <c r="A164" s="77"/>
      <c r="B164" s="51"/>
      <c r="C164" s="257"/>
      <c r="D164" s="255"/>
    </row>
    <row r="165" spans="1:4" ht="15">
      <c r="A165" s="77"/>
      <c r="B165" s="51"/>
      <c r="C165" s="257"/>
      <c r="D165" s="255"/>
    </row>
    <row r="166" spans="1:4" ht="15">
      <c r="A166" s="77"/>
      <c r="B166" s="51"/>
      <c r="C166" s="257"/>
      <c r="D166" s="255"/>
    </row>
    <row r="167" spans="1:4" ht="15">
      <c r="A167" s="77"/>
      <c r="B167" s="51"/>
      <c r="C167" s="257"/>
      <c r="D167" s="255"/>
    </row>
    <row r="168" spans="1:4" ht="15">
      <c r="A168" s="77"/>
      <c r="B168" s="51"/>
      <c r="C168" s="257"/>
      <c r="D168" s="255"/>
    </row>
    <row r="169" spans="1:4" ht="15">
      <c r="A169" s="77"/>
      <c r="B169" s="51"/>
      <c r="C169" s="257"/>
      <c r="D169" s="255"/>
    </row>
    <row r="170" spans="1:4" ht="15">
      <c r="A170" s="77"/>
      <c r="B170" s="51"/>
      <c r="C170" s="257"/>
      <c r="D170" s="255"/>
    </row>
    <row r="171" spans="1:4" ht="15">
      <c r="A171" s="77"/>
      <c r="B171" s="51"/>
      <c r="C171" s="257"/>
      <c r="D171" s="255"/>
    </row>
    <row r="172" spans="1:4" ht="15">
      <c r="A172" s="77"/>
      <c r="B172" s="51"/>
      <c r="C172" s="257"/>
      <c r="D172" s="255"/>
    </row>
    <row r="173" spans="1:4" ht="15">
      <c r="A173" s="77"/>
      <c r="B173" s="51"/>
      <c r="C173" s="257"/>
      <c r="D173" s="255"/>
    </row>
    <row r="174" spans="1:4" ht="15">
      <c r="A174" s="77"/>
      <c r="B174" s="51"/>
      <c r="C174" s="257"/>
      <c r="D174" s="255"/>
    </row>
    <row r="175" spans="1:4" ht="15">
      <c r="A175" s="77"/>
      <c r="B175" s="51"/>
      <c r="C175" s="257"/>
      <c r="D175" s="255"/>
    </row>
    <row r="176" spans="1:4" ht="15">
      <c r="A176" s="77"/>
      <c r="B176" s="51"/>
      <c r="C176" s="257"/>
      <c r="D176" s="255"/>
    </row>
    <row r="177" spans="1:4" ht="15">
      <c r="A177" s="77"/>
      <c r="B177" s="51"/>
      <c r="C177" s="257"/>
      <c r="D177" s="255"/>
    </row>
    <row r="178" spans="1:4" ht="15">
      <c r="A178" s="77"/>
      <c r="B178" s="51"/>
      <c r="C178" s="257"/>
      <c r="D178" s="255"/>
    </row>
    <row r="179" spans="1:4" ht="15">
      <c r="A179" s="77"/>
      <c r="B179" s="51"/>
      <c r="C179" s="257"/>
      <c r="D179" s="255"/>
    </row>
    <row r="180" spans="1:4" ht="15">
      <c r="A180" s="77"/>
      <c r="B180" s="51"/>
      <c r="C180" s="257"/>
      <c r="D180" s="255"/>
    </row>
    <row r="181" spans="1:4" ht="15">
      <c r="A181" s="77"/>
      <c r="B181" s="51"/>
      <c r="C181" s="257"/>
      <c r="D181" s="255"/>
    </row>
    <row r="182" spans="1:4" ht="15">
      <c r="A182" s="77"/>
      <c r="B182" s="51"/>
      <c r="C182" s="257"/>
      <c r="D182" s="255"/>
    </row>
    <row r="183" spans="1:4" ht="15">
      <c r="A183" s="77"/>
      <c r="B183" s="51"/>
      <c r="C183" s="257"/>
      <c r="D183" s="255"/>
    </row>
    <row r="184" spans="1:4" ht="15">
      <c r="A184" s="77"/>
      <c r="B184" s="51"/>
      <c r="C184" s="257"/>
      <c r="D184" s="255"/>
    </row>
    <row r="185" spans="1:4" ht="15">
      <c r="A185" s="77"/>
      <c r="B185" s="51"/>
      <c r="C185" s="257"/>
      <c r="D185" s="255"/>
    </row>
    <row r="186" spans="1:4" ht="15">
      <c r="A186" s="77"/>
      <c r="B186" s="51"/>
      <c r="C186" s="257"/>
      <c r="D186" s="255"/>
    </row>
    <row r="187" spans="1:4" ht="15">
      <c r="A187" s="77"/>
      <c r="B187" s="51"/>
      <c r="C187" s="257"/>
      <c r="D187" s="255"/>
    </row>
    <row r="188" spans="1:4" ht="15">
      <c r="A188" s="77"/>
      <c r="B188" s="51"/>
      <c r="C188" s="257"/>
      <c r="D188" s="255"/>
    </row>
    <row r="189" spans="1:4" ht="15">
      <c r="A189" s="77"/>
      <c r="B189" s="51"/>
      <c r="C189" s="257"/>
      <c r="D189" s="255"/>
    </row>
    <row r="190" spans="1:4" ht="15">
      <c r="A190" s="77"/>
      <c r="B190" s="51"/>
      <c r="C190" s="257"/>
      <c r="D190" s="255"/>
    </row>
    <row r="191" spans="1:4" ht="15">
      <c r="A191" s="77"/>
      <c r="B191" s="51"/>
      <c r="C191" s="257"/>
      <c r="D191" s="255"/>
    </row>
    <row r="192" spans="1:4" ht="15">
      <c r="A192" s="77"/>
      <c r="B192" s="51"/>
      <c r="C192" s="257"/>
      <c r="D192" s="255"/>
    </row>
    <row r="193" spans="1:4" ht="15">
      <c r="A193" s="77"/>
      <c r="B193" s="51"/>
      <c r="C193" s="257"/>
      <c r="D193" s="255"/>
    </row>
    <row r="194" spans="1:4" ht="15">
      <c r="A194" s="77"/>
      <c r="B194" s="51"/>
      <c r="C194" s="257"/>
      <c r="D194" s="255"/>
    </row>
    <row r="195" spans="1:4" ht="15">
      <c r="A195" s="77"/>
      <c r="B195" s="51"/>
      <c r="C195" s="257"/>
      <c r="D195" s="255"/>
    </row>
    <row r="196" spans="1:4" ht="15">
      <c r="A196" s="77"/>
      <c r="B196" s="51"/>
      <c r="C196" s="257"/>
      <c r="D196" s="255"/>
    </row>
    <row r="197" spans="1:4" ht="15">
      <c r="A197" s="77"/>
      <c r="B197" s="51"/>
      <c r="C197" s="257"/>
      <c r="D197" s="255"/>
    </row>
    <row r="198" spans="1:4" ht="15">
      <c r="A198" s="77"/>
      <c r="B198" s="51"/>
      <c r="C198" s="257"/>
      <c r="D198" s="255"/>
    </row>
    <row r="199" spans="1:4" ht="15">
      <c r="A199" s="77"/>
      <c r="B199" s="51"/>
      <c r="C199" s="257"/>
      <c r="D199" s="255"/>
    </row>
    <row r="200" spans="1:4" ht="15">
      <c r="A200" s="77"/>
      <c r="B200" s="51"/>
      <c r="C200" s="257"/>
      <c r="D200" s="255"/>
    </row>
    <row r="201" spans="1:4" ht="15">
      <c r="A201" s="77"/>
      <c r="B201" s="51"/>
      <c r="C201" s="257"/>
      <c r="D201" s="255"/>
    </row>
    <row r="202" spans="1:4" ht="15">
      <c r="A202" s="77"/>
      <c r="B202" s="51"/>
      <c r="C202" s="257"/>
      <c r="D202" s="255"/>
    </row>
    <row r="203" spans="1:4" ht="15">
      <c r="A203" s="77"/>
      <c r="B203" s="51"/>
      <c r="C203" s="257"/>
      <c r="D203" s="255"/>
    </row>
    <row r="204" spans="1:4" ht="15">
      <c r="A204" s="77"/>
      <c r="B204" s="51"/>
      <c r="C204" s="257"/>
      <c r="D204" s="255"/>
    </row>
    <row r="205" spans="1:4" ht="15">
      <c r="A205" s="77"/>
      <c r="B205" s="51"/>
      <c r="C205" s="257"/>
      <c r="D205" s="255"/>
    </row>
    <row r="206" spans="1:4" ht="15">
      <c r="A206" s="77"/>
      <c r="B206" s="51"/>
      <c r="C206" s="257"/>
      <c r="D206" s="255"/>
    </row>
    <row r="207" spans="1:4" ht="15">
      <c r="A207" s="77"/>
      <c r="B207" s="51"/>
      <c r="C207" s="257"/>
      <c r="D207" s="255"/>
    </row>
    <row r="208" spans="1:4" ht="15">
      <c r="A208" s="77"/>
      <c r="B208" s="51"/>
      <c r="C208" s="257"/>
      <c r="D208" s="255"/>
    </row>
    <row r="209" spans="1:4" ht="15">
      <c r="A209" s="77"/>
      <c r="B209" s="51"/>
      <c r="C209" s="257"/>
      <c r="D209" s="255"/>
    </row>
    <row r="210" spans="1:4" ht="15">
      <c r="A210" s="77"/>
      <c r="B210" s="51"/>
      <c r="C210" s="257"/>
      <c r="D210" s="255"/>
    </row>
    <row r="211" spans="1:4" ht="15">
      <c r="A211" s="77"/>
      <c r="B211" s="51"/>
      <c r="C211" s="257"/>
      <c r="D211" s="255"/>
    </row>
    <row r="212" spans="1:4" ht="15">
      <c r="A212" s="77"/>
      <c r="B212" s="51"/>
      <c r="C212" s="257"/>
      <c r="D212" s="255"/>
    </row>
    <row r="213" spans="1:4" ht="15">
      <c r="A213" s="77"/>
      <c r="B213" s="51"/>
      <c r="C213" s="257"/>
      <c r="D213" s="255"/>
    </row>
    <row r="214" spans="1:4" ht="15">
      <c r="A214" s="77"/>
      <c r="B214" s="51"/>
      <c r="C214" s="257"/>
      <c r="D214" s="255"/>
    </row>
    <row r="215" spans="1:4" ht="15">
      <c r="A215" s="77"/>
      <c r="B215" s="51"/>
      <c r="C215" s="257"/>
      <c r="D215" s="255"/>
    </row>
    <row r="216" spans="1:4" ht="15">
      <c r="A216" s="77"/>
      <c r="B216" s="51"/>
      <c r="C216" s="257"/>
      <c r="D216" s="255"/>
    </row>
    <row r="217" spans="1:4" ht="15">
      <c r="A217" s="77"/>
      <c r="B217" s="51"/>
      <c r="C217" s="257"/>
      <c r="D217" s="255"/>
    </row>
    <row r="218" spans="1:4" ht="15">
      <c r="A218" s="77"/>
      <c r="B218" s="51"/>
      <c r="C218" s="257"/>
      <c r="D218" s="255"/>
    </row>
    <row r="219" spans="1:4" ht="15">
      <c r="A219" s="77"/>
      <c r="B219" s="51"/>
      <c r="C219" s="257"/>
      <c r="D219" s="255"/>
    </row>
    <row r="220" spans="1:4" ht="15">
      <c r="A220" s="77"/>
      <c r="B220" s="51"/>
      <c r="C220" s="257"/>
      <c r="D220" s="255"/>
    </row>
    <row r="221" spans="1:4" ht="15">
      <c r="A221" s="77"/>
      <c r="B221" s="51"/>
      <c r="C221" s="257"/>
      <c r="D221" s="255"/>
    </row>
    <row r="222" spans="1:4" ht="15">
      <c r="A222" s="77"/>
      <c r="B222" s="51"/>
      <c r="C222" s="257"/>
      <c r="D222" s="255"/>
    </row>
    <row r="223" spans="1:4" ht="15">
      <c r="A223" s="77"/>
      <c r="B223" s="51"/>
      <c r="C223" s="257"/>
      <c r="D223" s="255"/>
    </row>
    <row r="224" spans="1:4" ht="15">
      <c r="A224" s="77"/>
      <c r="B224" s="51"/>
      <c r="C224" s="257"/>
      <c r="D224" s="255"/>
    </row>
    <row r="225" spans="1:4" ht="15">
      <c r="A225" s="77"/>
      <c r="B225" s="51"/>
      <c r="C225" s="257"/>
      <c r="D225" s="255"/>
    </row>
    <row r="226" spans="1:4" ht="15">
      <c r="A226" s="77"/>
      <c r="B226" s="51"/>
      <c r="C226" s="257"/>
      <c r="D226" s="255"/>
    </row>
    <row r="227" spans="1:4" ht="15">
      <c r="A227" s="77"/>
      <c r="B227" s="51"/>
      <c r="C227" s="257"/>
      <c r="D227" s="255"/>
    </row>
    <row r="228" spans="1:4" ht="15">
      <c r="A228" s="77"/>
      <c r="B228" s="51"/>
      <c r="C228" s="257"/>
      <c r="D228" s="255"/>
    </row>
    <row r="229" spans="1:4" ht="15">
      <c r="A229" s="77"/>
      <c r="B229" s="51"/>
      <c r="C229" s="257"/>
      <c r="D229" s="255"/>
    </row>
    <row r="230" spans="1:4" ht="15">
      <c r="A230" s="77"/>
      <c r="B230" s="51"/>
      <c r="C230" s="257"/>
      <c r="D230" s="255"/>
    </row>
    <row r="231" spans="1:4" ht="15">
      <c r="A231" s="77"/>
      <c r="B231" s="51"/>
      <c r="C231" s="257"/>
      <c r="D231" s="255"/>
    </row>
    <row r="232" spans="1:4" ht="15">
      <c r="A232" s="77"/>
      <c r="B232" s="51"/>
      <c r="C232" s="257"/>
      <c r="D232" s="255"/>
    </row>
    <row r="233" spans="1:4" ht="15">
      <c r="A233" s="77"/>
      <c r="B233" s="51"/>
      <c r="C233" s="257"/>
      <c r="D233" s="255"/>
    </row>
    <row r="234" spans="1:4" ht="15">
      <c r="A234" s="77"/>
      <c r="B234" s="51"/>
      <c r="C234" s="257"/>
      <c r="D234" s="255"/>
    </row>
    <row r="235" spans="1:4" ht="15">
      <c r="A235" s="77"/>
      <c r="B235" s="51"/>
      <c r="C235" s="257"/>
      <c r="D235" s="255"/>
    </row>
    <row r="236" spans="1:4" ht="15">
      <c r="A236" s="77"/>
      <c r="B236" s="51"/>
      <c r="C236" s="257"/>
      <c r="D236" s="255"/>
    </row>
    <row r="237" spans="1:4" ht="15">
      <c r="A237" s="77"/>
      <c r="B237" s="51"/>
      <c r="C237" s="257"/>
      <c r="D237" s="255"/>
    </row>
    <row r="238" spans="1:4" ht="15">
      <c r="A238" s="77"/>
      <c r="B238" s="51"/>
      <c r="C238" s="257"/>
      <c r="D238" s="255"/>
    </row>
    <row r="239" spans="1:4" ht="15">
      <c r="A239" s="77"/>
      <c r="B239" s="51"/>
      <c r="C239" s="257"/>
      <c r="D239" s="255"/>
    </row>
    <row r="240" spans="1:4" ht="15">
      <c r="A240" s="77"/>
      <c r="B240" s="51"/>
      <c r="C240" s="257"/>
      <c r="D240" s="255"/>
    </row>
    <row r="241" spans="1:4" ht="15">
      <c r="A241" s="77"/>
      <c r="B241" s="51"/>
      <c r="C241" s="257"/>
      <c r="D241" s="255"/>
    </row>
    <row r="242" spans="1:4" ht="15">
      <c r="A242" s="77"/>
      <c r="B242" s="51"/>
      <c r="C242" s="257"/>
      <c r="D242" s="255"/>
    </row>
    <row r="243" spans="1:4" ht="15">
      <c r="A243" s="77"/>
      <c r="B243" s="51"/>
      <c r="C243" s="257"/>
      <c r="D243" s="255"/>
    </row>
    <row r="244" spans="1:4" ht="15">
      <c r="A244" s="77"/>
      <c r="B244" s="51"/>
      <c r="C244" s="257"/>
      <c r="D244" s="255"/>
    </row>
    <row r="245" spans="1:4" ht="15">
      <c r="A245" s="77"/>
      <c r="B245" s="51"/>
      <c r="C245" s="257"/>
      <c r="D245" s="255"/>
    </row>
    <row r="246" spans="1:4" ht="15">
      <c r="A246" s="77"/>
      <c r="B246" s="51"/>
      <c r="C246" s="257"/>
      <c r="D246" s="255"/>
    </row>
    <row r="247" spans="1:4" ht="15">
      <c r="A247" s="77"/>
      <c r="B247" s="51"/>
      <c r="C247" s="257"/>
      <c r="D247" s="255"/>
    </row>
    <row r="248" spans="1:4" ht="15">
      <c r="A248" s="77"/>
      <c r="B248" s="51"/>
      <c r="C248" s="257"/>
      <c r="D248" s="255"/>
    </row>
    <row r="249" spans="1:4" ht="15">
      <c r="A249" s="77"/>
      <c r="B249" s="51"/>
      <c r="C249" s="257"/>
      <c r="D249" s="255"/>
    </row>
    <row r="250" spans="1:4" ht="15">
      <c r="A250" s="77"/>
      <c r="B250" s="51"/>
      <c r="C250" s="257"/>
      <c r="D250" s="255"/>
    </row>
    <row r="251" spans="1:4" ht="15">
      <c r="A251" s="77"/>
      <c r="B251" s="51"/>
      <c r="C251" s="257"/>
      <c r="D251" s="255"/>
    </row>
    <row r="252" spans="1:4" ht="15">
      <c r="A252" s="77"/>
      <c r="B252" s="51"/>
      <c r="C252" s="257"/>
      <c r="D252" s="255"/>
    </row>
    <row r="253" spans="1:4" ht="15">
      <c r="A253" s="77"/>
      <c r="B253" s="51"/>
      <c r="C253" s="257"/>
      <c r="D253" s="255"/>
    </row>
    <row r="254" spans="1:4" ht="15">
      <c r="A254" s="77"/>
      <c r="B254" s="51"/>
      <c r="C254" s="257"/>
      <c r="D254" s="255"/>
    </row>
    <row r="255" spans="1:4" ht="15">
      <c r="A255" s="77"/>
      <c r="B255" s="51"/>
      <c r="C255" s="257"/>
      <c r="D255" s="255"/>
    </row>
    <row r="256" spans="1:4" ht="15">
      <c r="A256" s="77"/>
      <c r="B256" s="51"/>
      <c r="C256" s="257"/>
      <c r="D256" s="255"/>
    </row>
    <row r="257" spans="1:4" ht="15">
      <c r="A257" s="77"/>
      <c r="B257" s="51"/>
      <c r="C257" s="257"/>
      <c r="D257" s="255"/>
    </row>
    <row r="258" spans="1:4" ht="15">
      <c r="A258" s="77"/>
      <c r="B258" s="51"/>
      <c r="C258" s="257"/>
      <c r="D258" s="255"/>
    </row>
    <row r="259" spans="1:4" ht="15">
      <c r="A259" s="77"/>
      <c r="B259" s="51"/>
      <c r="C259" s="257"/>
      <c r="D259" s="255"/>
    </row>
    <row r="260" spans="1:4" ht="15">
      <c r="A260" s="77"/>
    </row>
  </sheetData>
  <mergeCells count="8">
    <mergeCell ref="A21:G21"/>
    <mergeCell ref="A22:H22"/>
    <mergeCell ref="A18:H18"/>
    <mergeCell ref="A3:G3"/>
    <mergeCell ref="A4:H4"/>
    <mergeCell ref="A13:G13"/>
    <mergeCell ref="A14:H14"/>
    <mergeCell ref="A17:G17"/>
  </mergeCells>
  <dataValidations count="2">
    <dataValidation type="list" allowBlank="1" showInputMessage="1" showErrorMessage="1" sqref="B1:B2 B5:B12 B15:B16 B19:B20 B23:B1048576" xr:uid="{E19E8607-B80A-444F-B94A-6A9EFFA9DB53}">
      <formula1>"Sim, Não"</formula1>
    </dataValidation>
    <dataValidation allowBlank="1" showInputMessage="1" showErrorMessage="1" sqref="A3 A13 A17 A21" xr:uid="{0533EC63-14A5-4DA2-9923-4D588343C090}"/>
  </dataValidations>
  <pageMargins left="0.511811024" right="0.511811024" top="0.78740157499999996" bottom="0.78740157499999996" header="0.31496062000000002" footer="0.31496062000000002"/>
  <pageSetup paperSize="9"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84F11-8176-4F7A-BBF8-E858E7A79EA8}">
  <dimension ref="A1:K450"/>
  <sheetViews>
    <sheetView workbookViewId="0">
      <selection activeCell="B8" sqref="B8"/>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35"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240"/>
      <c r="B1" s="240"/>
      <c r="C1" s="241" t="s">
        <v>0</v>
      </c>
      <c r="D1" s="242"/>
      <c r="E1" s="241" t="s">
        <v>1</v>
      </c>
      <c r="F1" s="243">
        <f>COUNTA(H8:H450)</f>
        <v>0</v>
      </c>
      <c r="G1" s="244" t="s">
        <v>2</v>
      </c>
      <c r="H1" s="243">
        <f>COUNTIFS(H$8:H$450,"=Sucesso")</f>
        <v>0</v>
      </c>
      <c r="I1" s="240"/>
      <c r="J1" s="240"/>
      <c r="K1" s="240"/>
    </row>
    <row r="2" spans="1:11">
      <c r="A2" s="240"/>
      <c r="B2" s="240"/>
      <c r="C2" s="244" t="s">
        <v>3</v>
      </c>
      <c r="D2" s="243"/>
      <c r="E2" s="241" t="s">
        <v>4</v>
      </c>
      <c r="F2" s="243">
        <f>COUNTIF(H8:H450,"=Não Executado")</f>
        <v>0</v>
      </c>
      <c r="G2" s="244" t="s">
        <v>5</v>
      </c>
      <c r="H2" s="243">
        <f>COUNTIFS(H$8:H$450,"=Falha")</f>
        <v>0</v>
      </c>
      <c r="I2" s="240"/>
      <c r="J2" s="240"/>
      <c r="K2" s="240"/>
    </row>
    <row r="3" spans="1:11">
      <c r="A3" s="240"/>
      <c r="B3" s="240"/>
      <c r="C3" s="244" t="s">
        <v>6</v>
      </c>
      <c r="D3" s="244"/>
      <c r="E3" s="244" t="s">
        <v>7</v>
      </c>
      <c r="F3" s="243">
        <f>COUNTIFS(H8:H450,"=Falha") + COUNTIFS(H8:H450,"=Sucesso") + COUNTIFS(H8:H450,"=Pendência Externa")+ COUNTIFS(H8:H450,"=Demanda")+ COUNTIFS(H8:H450,"=Sugestão")</f>
        <v>0</v>
      </c>
      <c r="G3" s="244" t="s">
        <v>8</v>
      </c>
      <c r="H3" s="243">
        <f>COUNTIFS(H$8:H$450,"=Pendência Externa")</f>
        <v>0</v>
      </c>
      <c r="I3" s="240"/>
      <c r="J3" s="240"/>
      <c r="K3" s="245"/>
    </row>
    <row r="4" spans="1:11">
      <c r="A4" s="240"/>
      <c r="B4" s="240"/>
      <c r="C4" s="240"/>
      <c r="D4" s="244"/>
      <c r="E4" s="244" t="s">
        <v>9</v>
      </c>
      <c r="F4" s="246">
        <f>IF(COUNTA(H8:H450)&gt;0,F3/IF(COUNTA(H8:H450)=0, 1, COUNTA(H8:H450)),0)</f>
        <v>0</v>
      </c>
      <c r="G4" s="244" t="s">
        <v>10</v>
      </c>
      <c r="H4" s="243">
        <f>COUNTIFS(H$8:H$450,"=Sugestão")</f>
        <v>0</v>
      </c>
      <c r="I4" s="240"/>
      <c r="J4" s="240"/>
      <c r="K4" s="240"/>
    </row>
    <row r="5" spans="1:11">
      <c r="A5" s="240"/>
      <c r="B5" s="240"/>
      <c r="C5" s="240"/>
      <c r="D5" s="240"/>
      <c r="E5" s="240"/>
      <c r="F5" s="240"/>
      <c r="G5" s="240"/>
      <c r="H5" s="240"/>
      <c r="I5" s="240"/>
      <c r="J5" s="240"/>
      <c r="K5" s="240"/>
    </row>
    <row r="6" spans="1:11" ht="15" customHeight="1">
      <c r="A6" s="355" t="s">
        <v>11</v>
      </c>
      <c r="B6" s="352" t="s">
        <v>12</v>
      </c>
      <c r="C6" s="355" t="s">
        <v>13</v>
      </c>
      <c r="D6" s="355" t="s">
        <v>14</v>
      </c>
      <c r="E6" s="352" t="s">
        <v>15</v>
      </c>
      <c r="F6" s="355" t="s">
        <v>16</v>
      </c>
      <c r="G6" s="352" t="s">
        <v>17</v>
      </c>
      <c r="H6" s="352" t="s">
        <v>18</v>
      </c>
      <c r="I6" s="247" t="s">
        <v>19</v>
      </c>
      <c r="J6" s="352" t="s">
        <v>20</v>
      </c>
      <c r="K6" s="352" t="s">
        <v>21</v>
      </c>
    </row>
    <row r="7" spans="1:11" ht="14.45">
      <c r="A7" s="352"/>
      <c r="B7" s="354"/>
      <c r="C7" s="352"/>
      <c r="D7" s="352"/>
      <c r="E7" s="353"/>
      <c r="F7" s="352"/>
      <c r="G7" s="353"/>
      <c r="H7" s="353"/>
      <c r="I7" s="248"/>
      <c r="J7" s="354"/>
      <c r="K7" s="353"/>
    </row>
    <row r="8" spans="1:11" ht="90" customHeight="1">
      <c r="A8" s="93"/>
      <c r="B8" s="249" t="str">
        <f>IFERROR(IF(VLOOKUP($A8,CTINTERVALO,2,0)=0,"",VLOOKUP($A8,CTINTERVALO,2,0)),"")</f>
        <v/>
      </c>
      <c r="C8" s="249" t="str">
        <f>IF($B8="Não", "BLOQUEADO (Aguardar liberação)", IFERROR(IF(VLOOKUP($A8,CTINTERVALO,3,0)=0,"",VLOOKUP($A8,CTINTERVALO,3,0)),""))</f>
        <v/>
      </c>
      <c r="D8" s="249" t="str">
        <f>IF($B8="Não", "BLOQUEADO (Aguardar liberação)", IFERROR(IF(VLOOKUP($A8,CTINTERVALO,4,0)=0,"",VLOOKUP($A8,CTINTERVALO,4,0)),""))</f>
        <v/>
      </c>
      <c r="E8" s="249"/>
      <c r="F8" s="249" t="str">
        <f>IF($B8="Não", "BLOQUEADO (Aguardar liberação)", IFERROR(IF(VLOOKUP($A8,CTINTERVALO,6,0)=0,"",VLOOKUP($A8,CTINTERVALO,6,0)),""))</f>
        <v/>
      </c>
      <c r="G8" s="80"/>
      <c r="H8" s="80"/>
      <c r="I8" s="79"/>
      <c r="J8" s="79"/>
      <c r="K8" s="80"/>
    </row>
    <row r="9" spans="1:11" ht="105.75" customHeight="1">
      <c r="A9" s="93"/>
      <c r="B9" s="249" t="str">
        <f>IFERROR(IF(VLOOKUP($A9,CTINTERVALO,2,0)=0,"",VLOOKUP($A9,CTINTERVALO,2,0)),"")</f>
        <v/>
      </c>
      <c r="C9" s="249" t="str">
        <f>IF($B9="Não", "BLOQUEADO (Aguardar liberação)", IFERROR(IF(VLOOKUP($A9,CTINTERVALO,3,0)=0,"",VLOOKUP($A9,CTINTERVALO,3,0)),""))</f>
        <v/>
      </c>
      <c r="D9" s="249" t="str">
        <f>IF($B9="Não", "BLOQUEADO (Aguardar liberação)", IFERROR(IF(VLOOKUP($A9,CTINTERVALO,4,0)=0,"",VLOOKUP($A9,CTINTERVALO,4,0)),""))</f>
        <v/>
      </c>
      <c r="E9" s="249"/>
      <c r="F9" s="249" t="str">
        <f>IF($B9="Não", "BLOQUEADO (Aguardar liberação)", IFERROR(IF(VLOOKUP($A9,CTINTERVALO,6,0)=0,"",VLOOKUP($A9,CTINTERVALO,6,0)),""))</f>
        <v/>
      </c>
      <c r="G9" s="80"/>
      <c r="H9" s="80"/>
      <c r="I9" s="79"/>
      <c r="J9" s="79"/>
      <c r="K9" s="80"/>
    </row>
    <row r="10" spans="1:11" ht="116.25" customHeight="1">
      <c r="A10" s="93"/>
      <c r="B10" s="249" t="str">
        <f>IFERROR(IF(VLOOKUP($A10,CTINTERVALO,2,0)=0,"",VLOOKUP($A10,CTINTERVALO,2,0)),"")</f>
        <v/>
      </c>
      <c r="C10" s="249" t="str">
        <f>IF($B10="Não", "BLOQUEADO (Aguardar liberação)", IFERROR(IF(VLOOKUP($A10,CTINTERVALO,3,0)=0,"",VLOOKUP($A10,CTINTERVALO,3,0)),""))</f>
        <v/>
      </c>
      <c r="D10" s="249" t="str">
        <f>IF($B10="Não", "BLOQUEADO (Aguardar liberação)", IFERROR(IF(VLOOKUP($A10,CTINTERVALO,4,0)=0,"",VLOOKUP($A10,CTINTERVALO,4,0)),""))</f>
        <v/>
      </c>
      <c r="E10" s="249"/>
      <c r="F10" s="249" t="str">
        <f>IF($B10="Não", "BLOQUEADO (Aguardar liberação)", IFERROR(IF(VLOOKUP($A10,CTINTERVALO,6,0)=0,"",VLOOKUP($A10,CTINTERVALO,6,0)),""))</f>
        <v/>
      </c>
      <c r="G10" s="80"/>
      <c r="H10" s="80"/>
      <c r="I10" s="79"/>
      <c r="J10" s="79"/>
      <c r="K10" s="80"/>
    </row>
    <row r="11" spans="1:11" ht="116.25" customHeight="1">
      <c r="A11" s="93"/>
      <c r="B11" s="249" t="str">
        <f>IFERROR(IF(VLOOKUP($A11,CTINTERVALO,2,0)=0,"",VLOOKUP($A11,CTINTERVALO,2,0)),"")</f>
        <v/>
      </c>
      <c r="C11" s="249" t="str">
        <f>IF($B11="Não", "BLOQUEADO (Aguardar liberação)", IFERROR(IF(VLOOKUP($A11,CTINTERVALO,3,0)=0,"",VLOOKUP($A11,CTINTERVALO,3,0)),""))</f>
        <v/>
      </c>
      <c r="D11" s="249" t="str">
        <f>IF($B11="Não", "BLOQUEADO (Aguardar liberação)", IFERROR(IF(VLOOKUP($A11,CTINTERVALO,4,0)=0,"",VLOOKUP($A11,CTINTERVALO,4,0)),""))</f>
        <v/>
      </c>
      <c r="E11" s="249"/>
      <c r="F11" s="249" t="str">
        <f>IF($B11="Não", "BLOQUEADO (Aguardar liberação)", IFERROR(IF(VLOOKUP($A11,CTINTERVALO,6,0)=0,"",VLOOKUP($A11,CTINTERVALO,6,0)),""))</f>
        <v/>
      </c>
      <c r="G11" s="80"/>
      <c r="H11" s="80"/>
      <c r="I11" s="79"/>
      <c r="J11" s="79"/>
      <c r="K11" s="80"/>
    </row>
    <row r="12" spans="1:11" ht="123" customHeight="1">
      <c r="A12" s="93"/>
      <c r="B12" s="249" t="str">
        <f>IFERROR(IF(VLOOKUP($A12,CTINTERVALO,2,0)=0,"",VLOOKUP($A12,CTINTERVALO,2,0)),"")</f>
        <v/>
      </c>
      <c r="C12" s="249" t="str">
        <f>IF($B12="Não", "BLOQUEADO (Aguardar liberação)", IFERROR(IF(VLOOKUP($A12,CTINTERVALO,3,0)=0,"",VLOOKUP($A12,CTINTERVALO,3,0)),""))</f>
        <v/>
      </c>
      <c r="D12" s="249" t="str">
        <f>IF($B12="Não", "BLOQUEADO (Aguardar liberação)", IFERROR(IF(VLOOKUP($A12,CTINTERVALO,4,0)=0,"",VLOOKUP($A12,CTINTERVALO,4,0)),""))</f>
        <v/>
      </c>
      <c r="E12" s="249"/>
      <c r="F12" s="249" t="str">
        <f>IF($B12="Não", "BLOQUEADO (Aguardar liberação)", IFERROR(IF(VLOOKUP($A12,CTINTERVALO,6,0)=0,"",VLOOKUP($A12,CTINTERVALO,6,0)),""))</f>
        <v/>
      </c>
      <c r="G12" s="80"/>
      <c r="H12" s="80"/>
      <c r="I12" s="79"/>
      <c r="J12" s="79"/>
      <c r="K12" s="80"/>
    </row>
    <row r="13" spans="1:11">
      <c r="A13" s="93"/>
      <c r="B13" s="249" t="str">
        <f>IFERROR(IF(VLOOKUP($A13,CTINTERVALO,2,0)=0,"",VLOOKUP($A13,CTINTERVALO,2,0)),"")</f>
        <v/>
      </c>
      <c r="C13" s="249" t="str">
        <f>IF($B13="Não", "BLOQUEADO (Aguardar liberação)", IFERROR(IF(VLOOKUP($A13,CTINTERVALO,3,0)=0,"",VLOOKUP($A13,CTINTERVALO,3,0)),""))</f>
        <v/>
      </c>
      <c r="D13" s="249" t="str">
        <f>IF($B13="Não", "BLOQUEADO (Aguardar liberação)", IFERROR(IF(VLOOKUP($A13,CTINTERVALO,4,0)=0,"",VLOOKUP($A13,CTINTERVALO,4,0)),""))</f>
        <v/>
      </c>
      <c r="E13" s="249"/>
      <c r="F13" s="249" t="str">
        <f>IF($B13="Não", "BLOQUEADO (Aguardar liberação)", IFERROR(IF(VLOOKUP($A13,CTINTERVALO,6,0)=0,"",VLOOKUP($A13,CTINTERVALO,6,0)),""))</f>
        <v/>
      </c>
      <c r="G13" s="80"/>
      <c r="H13" s="80"/>
      <c r="I13" s="79"/>
      <c r="J13" s="79"/>
      <c r="K13" s="80"/>
    </row>
    <row r="14" spans="1:11">
      <c r="A14" s="93"/>
      <c r="B14" s="249" t="str">
        <f>IFERROR(IF(VLOOKUP($A14,CTINTERVALO,2,0)=0,"",VLOOKUP($A14,CTINTERVALO,2,0)),"")</f>
        <v/>
      </c>
      <c r="C14" s="249" t="str">
        <f>IF($B14="Não", "BLOQUEADO (Aguardar liberação)", IFERROR(IF(VLOOKUP($A14,CTINTERVALO,3,0)=0,"",VLOOKUP($A14,CTINTERVALO,3,0)),""))</f>
        <v/>
      </c>
      <c r="D14" s="249" t="str">
        <f>IF($B14="Não", "BLOQUEADO (Aguardar liberação)", IFERROR(IF(VLOOKUP($A14,CTINTERVALO,4,0)=0,"",VLOOKUP($A14,CTINTERVALO,4,0)),""))</f>
        <v/>
      </c>
      <c r="E14" s="249"/>
      <c r="F14" s="249" t="str">
        <f>IF($B14="Não", "BLOQUEADO (Aguardar liberação)", IFERROR(IF(VLOOKUP($A14,CTINTERVALO,6,0)=0,"",VLOOKUP($A14,CTINTERVALO,6,0)),""))</f>
        <v/>
      </c>
      <c r="G14" s="80"/>
      <c r="H14" s="80"/>
      <c r="I14" s="79"/>
      <c r="J14" s="79"/>
      <c r="K14" s="80"/>
    </row>
    <row r="15" spans="1:11">
      <c r="A15" s="93"/>
      <c r="B15" s="249" t="str">
        <f>IFERROR(IF(VLOOKUP($A15,CTINTERVALO,2,0)=0,"",VLOOKUP($A15,CTINTERVALO,2,0)),"")</f>
        <v/>
      </c>
      <c r="C15" s="249" t="str">
        <f>IF($B15="Não", "BLOQUEADO (Aguardar liberação)", IFERROR(IF(VLOOKUP($A15,CTINTERVALO,3,0)=0,"",VLOOKUP($A15,CTINTERVALO,3,0)),""))</f>
        <v/>
      </c>
      <c r="D15" s="249" t="str">
        <f>IF($B15="Não", "BLOQUEADO (Aguardar liberação)", IFERROR(IF(VLOOKUP($A15,CTINTERVALO,4,0)=0,"",VLOOKUP($A15,CTINTERVALO,4,0)),""))</f>
        <v/>
      </c>
      <c r="E15" s="249"/>
      <c r="F15" s="249" t="str">
        <f>IF($B15="Não", "BLOQUEADO (Aguardar liberação)", IFERROR(IF(VLOOKUP($A15,CTINTERVALO,6,0)=0,"",VLOOKUP($A15,CTINTERVALO,6,0)),""))</f>
        <v/>
      </c>
      <c r="G15" s="80"/>
      <c r="H15" s="80"/>
      <c r="I15" s="79"/>
      <c r="J15" s="79"/>
      <c r="K15" s="80"/>
    </row>
    <row r="16" spans="1:11">
      <c r="A16" s="93"/>
      <c r="B16" s="249" t="str">
        <f>IFERROR(IF(VLOOKUP($A16,CTINTERVALO,2,0)=0,"",VLOOKUP($A16,CTINTERVALO,2,0)),"")</f>
        <v/>
      </c>
      <c r="C16" s="249" t="str">
        <f>IF($B16="Não", "BLOQUEADO (Aguardar liberação)", IFERROR(IF(VLOOKUP($A16,CTINTERVALO,3,0)=0,"",VLOOKUP($A16,CTINTERVALO,3,0)),""))</f>
        <v/>
      </c>
      <c r="D16" s="249" t="str">
        <f>IF($B16="Não", "BLOQUEADO (Aguardar liberação)", IFERROR(IF(VLOOKUP($A16,CTINTERVALO,4,0)=0,"",VLOOKUP($A16,CTINTERVALO,4,0)),""))</f>
        <v/>
      </c>
      <c r="E16" s="249"/>
      <c r="F16" s="249" t="str">
        <f>IF($B16="Não", "BLOQUEADO (Aguardar liberação)", IFERROR(IF(VLOOKUP($A16,CTINTERVALO,6,0)=0,"",VLOOKUP($A16,CTINTERVALO,6,0)),""))</f>
        <v/>
      </c>
      <c r="G16" s="80"/>
      <c r="H16" s="80"/>
      <c r="I16" s="79"/>
      <c r="J16" s="79"/>
      <c r="K16" s="80"/>
    </row>
    <row r="17" spans="1:11">
      <c r="A17" s="93"/>
      <c r="B17" s="249" t="str">
        <f>IFERROR(IF(VLOOKUP($A17,CTINTERVALO,2,0)=0,"",VLOOKUP($A17,CTINTERVALO,2,0)),"")</f>
        <v/>
      </c>
      <c r="C17" s="249" t="str">
        <f>IF($B17="Não", "BLOQUEADO (Aguardar liberação)", IFERROR(IF(VLOOKUP($A17,CTINTERVALO,3,0)=0,"",VLOOKUP($A17,CTINTERVALO,3,0)),""))</f>
        <v/>
      </c>
      <c r="D17" s="249" t="str">
        <f>IF($B17="Não", "BLOQUEADO (Aguardar liberação)", IFERROR(IF(VLOOKUP($A17,CTINTERVALO,4,0)=0,"",VLOOKUP($A17,CTINTERVALO,4,0)),""))</f>
        <v/>
      </c>
      <c r="E17" s="249"/>
      <c r="F17" s="249" t="str">
        <f>IF($B17="Não", "BLOQUEADO (Aguardar liberação)", IFERROR(IF(VLOOKUP($A17,CTINTERVALO,6,0)=0,"",VLOOKUP($A17,CTINTERVALO,6,0)),""))</f>
        <v/>
      </c>
      <c r="G17" s="80"/>
      <c r="H17" s="80"/>
      <c r="I17" s="79"/>
      <c r="J17" s="79"/>
      <c r="K17" s="80"/>
    </row>
    <row r="18" spans="1:11">
      <c r="A18" s="93"/>
      <c r="B18" s="249" t="str">
        <f>IFERROR(IF(VLOOKUP($A18,CTINTERVALO,2,0)=0,"",VLOOKUP($A18,CTINTERVALO,2,0)),"")</f>
        <v/>
      </c>
      <c r="C18" s="249" t="str">
        <f>IF($B18="Não", "BLOQUEADO (Aguardar liberação)", IFERROR(IF(VLOOKUP($A18,CTINTERVALO,3,0)=0,"",VLOOKUP($A18,CTINTERVALO,3,0)),""))</f>
        <v/>
      </c>
      <c r="D18" s="249" t="str">
        <f>IF($B18="Não", "BLOQUEADO (Aguardar liberação)", IFERROR(IF(VLOOKUP($A18,CTINTERVALO,4,0)=0,"",VLOOKUP($A18,CTINTERVALO,4,0)),""))</f>
        <v/>
      </c>
      <c r="E18" s="249"/>
      <c r="F18" s="249" t="str">
        <f>IF($B18="Não", "BLOQUEADO (Aguardar liberação)", IFERROR(IF(VLOOKUP($A18,CTINTERVALO,6,0)=0,"",VLOOKUP($A18,CTINTERVALO,6,0)),""))</f>
        <v/>
      </c>
      <c r="G18" s="80"/>
      <c r="H18" s="80"/>
      <c r="I18" s="79"/>
      <c r="J18" s="79"/>
      <c r="K18" s="80"/>
    </row>
    <row r="19" spans="1:11">
      <c r="A19" s="93"/>
      <c r="B19" s="249" t="str">
        <f>IFERROR(IF(VLOOKUP($A19,CTINTERVALO,2,0)=0,"",VLOOKUP($A19,CTINTERVALO,2,0)),"")</f>
        <v/>
      </c>
      <c r="C19" s="249" t="str">
        <f>IF($B19="Não", "BLOQUEADO (Aguardar liberação)", IFERROR(IF(VLOOKUP($A19,CTINTERVALO,3,0)=0,"",VLOOKUP($A19,CTINTERVALO,3,0)),""))</f>
        <v/>
      </c>
      <c r="D19" s="249" t="str">
        <f>IF($B19="Não", "BLOQUEADO (Aguardar liberação)", IFERROR(IF(VLOOKUP($A19,CTINTERVALO,4,0)=0,"",VLOOKUP($A19,CTINTERVALO,4,0)),""))</f>
        <v/>
      </c>
      <c r="E19" s="249"/>
      <c r="F19" s="249" t="str">
        <f>IF($B19="Não", "BLOQUEADO (Aguardar liberação)", IFERROR(IF(VLOOKUP($A19,CTINTERVALO,6,0)=0,"",VLOOKUP($A19,CTINTERVALO,6,0)),""))</f>
        <v/>
      </c>
      <c r="G19" s="80"/>
      <c r="H19" s="80"/>
      <c r="I19" s="79"/>
      <c r="J19" s="79"/>
      <c r="K19" s="80"/>
    </row>
    <row r="20" spans="1:11">
      <c r="A20" s="93"/>
      <c r="B20" s="249" t="str">
        <f>IFERROR(IF(VLOOKUP($A20,CTINTERVALO,2,0)=0,"",VLOOKUP($A20,CTINTERVALO,2,0)),"")</f>
        <v/>
      </c>
      <c r="C20" s="249" t="str">
        <f>IF($B20="Não", "BLOQUEADO (Aguardar liberação)", IFERROR(IF(VLOOKUP($A20,CTINTERVALO,3,0)=0,"",VLOOKUP($A20,CTINTERVALO,3,0)),""))</f>
        <v/>
      </c>
      <c r="D20" s="249" t="str">
        <f>IF($B20="Não", "BLOQUEADO (Aguardar liberação)", IFERROR(IF(VLOOKUP($A20,CTINTERVALO,4,0)=0,"",VLOOKUP($A20,CTINTERVALO,4,0)),""))</f>
        <v/>
      </c>
      <c r="E20" s="249"/>
      <c r="F20" s="249" t="str">
        <f>IF($B20="Não", "BLOQUEADO (Aguardar liberação)", IFERROR(IF(VLOOKUP($A20,CTINTERVALO,6,0)=0,"",VLOOKUP($A20,CTINTERVALO,6,0)),""))</f>
        <v/>
      </c>
      <c r="G20" s="80"/>
      <c r="H20" s="80"/>
      <c r="I20" s="79"/>
      <c r="J20" s="79"/>
      <c r="K20" s="80"/>
    </row>
    <row r="21" spans="1:11">
      <c r="A21" s="93"/>
      <c r="B21" s="249" t="str">
        <f>IFERROR(IF(VLOOKUP($A21,CTINTERVALO,2,0)=0,"",VLOOKUP($A21,CTINTERVALO,2,0)),"")</f>
        <v/>
      </c>
      <c r="C21" s="249" t="str">
        <f>IF($B21="Não", "BLOQUEADO (Aguardar liberação)", IFERROR(IF(VLOOKUP($A21,CTINTERVALO,3,0)=0,"",VLOOKUP($A21,CTINTERVALO,3,0)),""))</f>
        <v/>
      </c>
      <c r="D21" s="249" t="str">
        <f>IF($B21="Não", "BLOQUEADO (Aguardar liberação)", IFERROR(IF(VLOOKUP($A21,CTINTERVALO,4,0)=0,"",VLOOKUP($A21,CTINTERVALO,4,0)),""))</f>
        <v/>
      </c>
      <c r="E21" s="249"/>
      <c r="F21" s="249" t="str">
        <f>IF($B21="Não", "BLOQUEADO (Aguardar liberação)", IFERROR(IF(VLOOKUP($A21,CTINTERVALO,6,0)=0,"",VLOOKUP($A21,CTINTERVALO,6,0)),""))</f>
        <v/>
      </c>
      <c r="G21" s="80"/>
      <c r="H21" s="80"/>
      <c r="I21" s="79"/>
      <c r="J21" s="79"/>
      <c r="K21" s="80"/>
    </row>
    <row r="22" spans="1:11">
      <c r="A22" s="93"/>
      <c r="B22" s="249" t="str">
        <f>IFERROR(IF(VLOOKUP($A22,CTINTERVALO,2,0)=0,"",VLOOKUP($A22,CTINTERVALO,2,0)),"")</f>
        <v/>
      </c>
      <c r="C22" s="249" t="str">
        <f>IF($B22="Não", "BLOQUEADO (Aguardar liberação)", IFERROR(IF(VLOOKUP($A22,CTINTERVALO,3,0)=0,"",VLOOKUP($A22,CTINTERVALO,3,0)),""))</f>
        <v/>
      </c>
      <c r="D22" s="249" t="str">
        <f>IF($B22="Não", "BLOQUEADO (Aguardar liberação)", IFERROR(IF(VLOOKUP($A22,CTINTERVALO,4,0)=0,"",VLOOKUP($A22,CTINTERVALO,4,0)),""))</f>
        <v/>
      </c>
      <c r="E22" s="249"/>
      <c r="F22" s="249" t="str">
        <f>IF($B22="Não", "BLOQUEADO (Aguardar liberação)", IFERROR(IF(VLOOKUP($A22,CTINTERVALO,6,0)=0,"",VLOOKUP($A22,CTINTERVALO,6,0)),""))</f>
        <v/>
      </c>
      <c r="G22" s="80"/>
      <c r="H22" s="80"/>
      <c r="I22" s="79"/>
      <c r="J22" s="79"/>
      <c r="K22" s="80"/>
    </row>
    <row r="23" spans="1:11">
      <c r="A23" s="93"/>
      <c r="B23" s="249" t="str">
        <f>IFERROR(IF(VLOOKUP($A23,CTINTERVALO,2,0)=0,"",VLOOKUP($A23,CTINTERVALO,2,0)),"")</f>
        <v/>
      </c>
      <c r="C23" s="249" t="str">
        <f>IF($B23="Não", "BLOQUEADO (Aguardar liberação)", IFERROR(IF(VLOOKUP($A23,CTINTERVALO,3,0)=0,"",VLOOKUP($A23,CTINTERVALO,3,0)),""))</f>
        <v/>
      </c>
      <c r="D23" s="249" t="str">
        <f>IF($B23="Não", "BLOQUEADO (Aguardar liberação)", IFERROR(IF(VLOOKUP($A23,CTINTERVALO,4,0)=0,"",VLOOKUP($A23,CTINTERVALO,4,0)),""))</f>
        <v/>
      </c>
      <c r="E23" s="249"/>
      <c r="F23" s="249" t="str">
        <f>IF($B23="Não", "BLOQUEADO (Aguardar liberação)", IFERROR(IF(VLOOKUP($A23,CTINTERVALO,6,0)=0,"",VLOOKUP($A23,CTINTERVALO,6,0)),""))</f>
        <v/>
      </c>
      <c r="G23" s="80"/>
      <c r="H23" s="80"/>
      <c r="I23" s="79"/>
      <c r="J23" s="79"/>
      <c r="K23" s="80"/>
    </row>
    <row r="24" spans="1:11">
      <c r="A24" s="93"/>
      <c r="B24" s="249" t="str">
        <f>IFERROR(IF(VLOOKUP($A24,CTINTERVALO,2,0)=0,"",VLOOKUP($A24,CTINTERVALO,2,0)),"")</f>
        <v/>
      </c>
      <c r="C24" s="249" t="str">
        <f>IF($B24="Não", "BLOQUEADO (Aguardar liberação)", IFERROR(IF(VLOOKUP($A24,CTINTERVALO,3,0)=0,"",VLOOKUP($A24,CTINTERVALO,3,0)),""))</f>
        <v/>
      </c>
      <c r="D24" s="249" t="str">
        <f>IF($B24="Não", "BLOQUEADO (Aguardar liberação)", IFERROR(IF(VLOOKUP($A24,CTINTERVALO,4,0)=0,"",VLOOKUP($A24,CTINTERVALO,4,0)),""))</f>
        <v/>
      </c>
      <c r="E24" s="249"/>
      <c r="F24" s="249" t="str">
        <f>IF($B24="Não", "BLOQUEADO (Aguardar liberação)", IFERROR(IF(VLOOKUP($A24,CTINTERVALO,6,0)=0,"",VLOOKUP($A24,CTINTERVALO,6,0)),""))</f>
        <v/>
      </c>
      <c r="G24" s="80"/>
      <c r="H24" s="80"/>
      <c r="I24" s="79"/>
      <c r="J24" s="79"/>
      <c r="K24" s="80"/>
    </row>
    <row r="25" spans="1:11">
      <c r="A25" s="93"/>
      <c r="B25" s="249" t="str">
        <f>IFERROR(IF(VLOOKUP($A25,CTINTERVALO,2,0)=0,"",VLOOKUP($A25,CTINTERVALO,2,0)),"")</f>
        <v/>
      </c>
      <c r="C25" s="249" t="str">
        <f>IF($B25="Não", "BLOQUEADO (Aguardar liberação)", IFERROR(IF(VLOOKUP($A25,CTINTERVALO,3,0)=0,"",VLOOKUP($A25,CTINTERVALO,3,0)),""))</f>
        <v/>
      </c>
      <c r="D25" s="249" t="str">
        <f>IF($B25="Não", "BLOQUEADO (Aguardar liberação)", IFERROR(IF(VLOOKUP($A25,CTINTERVALO,4,0)=0,"",VLOOKUP($A25,CTINTERVALO,4,0)),""))</f>
        <v/>
      </c>
      <c r="E25" s="249"/>
      <c r="F25" s="249" t="str">
        <f>IF($B25="Não", "BLOQUEADO (Aguardar liberação)", IFERROR(IF(VLOOKUP($A25,CTINTERVALO,6,0)=0,"",VLOOKUP($A25,CTINTERVALO,6,0)),""))</f>
        <v/>
      </c>
      <c r="G25" s="80"/>
      <c r="H25" s="80"/>
      <c r="I25" s="79"/>
      <c r="J25" s="79"/>
      <c r="K25" s="80"/>
    </row>
    <row r="26" spans="1:11">
      <c r="A26" s="93"/>
      <c r="B26" s="249" t="str">
        <f>IFERROR(IF(VLOOKUP($A26,CTINTERVALO,2,0)=0,"",VLOOKUP($A26,CTINTERVALO,2,0)),"")</f>
        <v/>
      </c>
      <c r="C26" s="249" t="str">
        <f>IF($B26="Não", "BLOQUEADO (Aguardar liberação)", IFERROR(IF(VLOOKUP($A26,CTINTERVALO,3,0)=0,"",VLOOKUP($A26,CTINTERVALO,3,0)),""))</f>
        <v/>
      </c>
      <c r="D26" s="249" t="str">
        <f>IF($B26="Não", "BLOQUEADO (Aguardar liberação)", IFERROR(IF(VLOOKUP($A26,CTINTERVALO,4,0)=0,"",VLOOKUP($A26,CTINTERVALO,4,0)),""))</f>
        <v/>
      </c>
      <c r="E26" s="249"/>
      <c r="F26" s="249" t="str">
        <f>IF($B26="Não", "BLOQUEADO (Aguardar liberação)", IFERROR(IF(VLOOKUP($A26,CTINTERVALO,6,0)=0,"",VLOOKUP($A26,CTINTERVALO,6,0)),""))</f>
        <v/>
      </c>
      <c r="G26" s="80"/>
      <c r="H26" s="80"/>
      <c r="I26" s="79"/>
      <c r="J26" s="79"/>
      <c r="K26" s="80"/>
    </row>
    <row r="27" spans="1:11">
      <c r="A27" s="93"/>
      <c r="B27" s="249" t="str">
        <f>IFERROR(IF(VLOOKUP($A27,CTINTERVALO,2,0)=0,"",VLOOKUP($A27,CTINTERVALO,2,0)),"")</f>
        <v/>
      </c>
      <c r="C27" s="249" t="str">
        <f>IF($B27="Não", "BLOQUEADO (Aguardar liberação)", IFERROR(IF(VLOOKUP($A27,CTINTERVALO,3,0)=0,"",VLOOKUP($A27,CTINTERVALO,3,0)),""))</f>
        <v/>
      </c>
      <c r="D27" s="249" t="str">
        <f>IF($B27="Não", "BLOQUEADO (Aguardar liberação)", IFERROR(IF(VLOOKUP($A27,CTINTERVALO,4,0)=0,"",VLOOKUP($A27,CTINTERVALO,4,0)),""))</f>
        <v/>
      </c>
      <c r="E27" s="249"/>
      <c r="F27" s="249" t="str">
        <f>IF($B27="Não", "BLOQUEADO (Aguardar liberação)", IFERROR(IF(VLOOKUP($A27,CTINTERVALO,6,0)=0,"",VLOOKUP($A27,CTINTERVALO,6,0)),""))</f>
        <v/>
      </c>
      <c r="G27" s="80"/>
      <c r="H27" s="80"/>
      <c r="I27" s="79"/>
      <c r="J27" s="79"/>
      <c r="K27" s="80"/>
    </row>
    <row r="28" spans="1:11">
      <c r="A28" s="93"/>
      <c r="B28" s="249" t="str">
        <f>IFERROR(IF(VLOOKUP($A28,CTINTERVALO,2,0)=0,"",VLOOKUP($A28,CTINTERVALO,2,0)),"")</f>
        <v/>
      </c>
      <c r="C28" s="249" t="str">
        <f>IF($B28="Não", "BLOQUEADO (Aguardar liberação)", IFERROR(IF(VLOOKUP($A28,CTINTERVALO,3,0)=0,"",VLOOKUP($A28,CTINTERVALO,3,0)),""))</f>
        <v/>
      </c>
      <c r="D28" s="249" t="str">
        <f>IF($B28="Não", "BLOQUEADO (Aguardar liberação)", IFERROR(IF(VLOOKUP($A28,CTINTERVALO,4,0)=0,"",VLOOKUP($A28,CTINTERVALO,4,0)),""))</f>
        <v/>
      </c>
      <c r="E28" s="249"/>
      <c r="F28" s="249" t="str">
        <f>IF($B28="Não", "BLOQUEADO (Aguardar liberação)", IFERROR(IF(VLOOKUP($A28,CTINTERVALO,6,0)=0,"",VLOOKUP($A28,CTINTERVALO,6,0)),""))</f>
        <v/>
      </c>
      <c r="G28" s="80"/>
      <c r="H28" s="80"/>
      <c r="I28" s="79"/>
      <c r="J28" s="79"/>
      <c r="K28" s="80"/>
    </row>
    <row r="29" spans="1:11">
      <c r="A29" s="93"/>
      <c r="B29" s="249" t="str">
        <f>IFERROR(IF(VLOOKUP($A29,CTINTERVALO,2,0)=0,"",VLOOKUP($A29,CTINTERVALO,2,0)),"")</f>
        <v/>
      </c>
      <c r="C29" s="249" t="str">
        <f>IF($B29="Não", "BLOQUEADO (Aguardar liberação)", IFERROR(IF(VLOOKUP($A29,CTINTERVALO,3,0)=0,"",VLOOKUP($A29,CTINTERVALO,3,0)),""))</f>
        <v/>
      </c>
      <c r="D29" s="249" t="str">
        <f>IF($B29="Não", "BLOQUEADO (Aguardar liberação)", IFERROR(IF(VLOOKUP($A29,CTINTERVALO,4,0)=0,"",VLOOKUP($A29,CTINTERVALO,4,0)),""))</f>
        <v/>
      </c>
      <c r="E29" s="249"/>
      <c r="F29" s="249" t="str">
        <f>IF($B29="Não", "BLOQUEADO (Aguardar liberação)", IFERROR(IF(VLOOKUP($A29,CTINTERVALO,6,0)=0,"",VLOOKUP($A29,CTINTERVALO,6,0)),""))</f>
        <v/>
      </c>
      <c r="G29" s="80"/>
      <c r="H29" s="80"/>
      <c r="I29" s="79"/>
      <c r="J29" s="79"/>
      <c r="K29" s="80"/>
    </row>
    <row r="30" spans="1:11">
      <c r="A30" s="93"/>
      <c r="B30" s="249" t="str">
        <f>IFERROR(IF(VLOOKUP($A30,CTINTERVALO,2,0)=0,"",VLOOKUP($A30,CTINTERVALO,2,0)),"")</f>
        <v/>
      </c>
      <c r="C30" s="249" t="str">
        <f>IF($B30="Não", "BLOQUEADO (Aguardar liberação)", IFERROR(IF(VLOOKUP($A30,CTINTERVALO,3,0)=0,"",VLOOKUP($A30,CTINTERVALO,3,0)),""))</f>
        <v/>
      </c>
      <c r="D30" s="249" t="str">
        <f>IF($B30="Não", "BLOQUEADO (Aguardar liberação)", IFERROR(IF(VLOOKUP($A30,CTINTERVALO,4,0)=0,"",VLOOKUP($A30,CTINTERVALO,4,0)),""))</f>
        <v/>
      </c>
      <c r="E30" s="249"/>
      <c r="F30" s="249" t="str">
        <f>IF($B30="Não", "BLOQUEADO (Aguardar liberação)", IFERROR(IF(VLOOKUP($A30,CTINTERVALO,6,0)=0,"",VLOOKUP($A30,CTINTERVALO,6,0)),""))</f>
        <v/>
      </c>
      <c r="G30" s="80"/>
      <c r="H30" s="80"/>
      <c r="I30" s="79"/>
      <c r="J30" s="79"/>
      <c r="K30" s="80"/>
    </row>
    <row r="31" spans="1:11">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79"/>
      <c r="K31" s="80"/>
    </row>
    <row r="32" spans="1:11">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79"/>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79"/>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79"/>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79"/>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79"/>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79"/>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79"/>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79"/>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79"/>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79"/>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79"/>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79"/>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79"/>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79"/>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79"/>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79"/>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79"/>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79"/>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79"/>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79"/>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79"/>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79"/>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79"/>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79"/>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79"/>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79"/>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79"/>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79"/>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79"/>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79"/>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79"/>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79"/>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79"/>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79"/>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79"/>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79"/>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79"/>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79"/>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79"/>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79"/>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79"/>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79"/>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79"/>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79"/>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79"/>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79"/>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79"/>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79"/>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79"/>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79"/>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79"/>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79"/>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79"/>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79"/>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79"/>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79"/>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79"/>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79"/>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79"/>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79"/>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79"/>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79"/>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79"/>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79"/>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79"/>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79"/>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79"/>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79"/>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79"/>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79"/>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79"/>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79"/>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79"/>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79"/>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79"/>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79"/>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79"/>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79"/>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79"/>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79"/>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79"/>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79"/>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79"/>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79"/>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79"/>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79"/>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79"/>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79"/>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79"/>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79"/>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79"/>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79"/>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79"/>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79"/>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79"/>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79"/>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79"/>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79"/>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79"/>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79"/>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79"/>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79"/>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79"/>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79"/>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79"/>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79"/>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79"/>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79"/>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79"/>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79"/>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79"/>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79"/>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79"/>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79"/>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79"/>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79"/>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79"/>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79"/>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79"/>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79"/>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79"/>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79"/>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79"/>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79"/>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79"/>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79"/>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79"/>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79"/>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79"/>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79"/>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79"/>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79"/>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79"/>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79"/>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79"/>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79"/>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79"/>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79"/>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79"/>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79"/>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79"/>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79"/>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79"/>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79"/>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79"/>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79"/>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79"/>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79"/>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79"/>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79"/>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79"/>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79"/>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79"/>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79"/>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79"/>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79"/>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79"/>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79"/>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79"/>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79"/>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79"/>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79"/>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79"/>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79"/>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79"/>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79"/>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79"/>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79"/>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79"/>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79"/>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79"/>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79"/>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79"/>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79"/>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79"/>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79"/>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79"/>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79"/>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79"/>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79"/>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79"/>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79"/>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79"/>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79"/>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79"/>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79"/>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79"/>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79"/>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79"/>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79"/>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79"/>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79"/>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79"/>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79"/>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79"/>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79"/>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79"/>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79"/>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79"/>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79"/>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79"/>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79"/>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79"/>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79"/>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79"/>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79"/>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79"/>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79"/>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79"/>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79"/>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79"/>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79"/>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79"/>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79"/>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79"/>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79"/>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79"/>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79"/>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79"/>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79"/>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79"/>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79"/>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79"/>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79"/>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79"/>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79"/>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79"/>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79"/>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79"/>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79"/>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79"/>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79"/>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79"/>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79"/>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79"/>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79"/>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79"/>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79"/>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79"/>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79"/>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79"/>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79"/>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79"/>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79"/>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79"/>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79"/>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79"/>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79"/>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79"/>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79"/>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79"/>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79"/>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79"/>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79"/>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79"/>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79"/>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79"/>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79"/>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79"/>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79"/>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79"/>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79"/>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79"/>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79"/>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79"/>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79"/>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c r="F298" s="249" t="str">
        <f>IF($B298="Não", "BLOQUEADO (Aguardar liberação)", IFERROR(IF(VLOOKUP($A298,CTINTERVALO,6,0)=0,"",VLOOKUP($A298,CTINTERVALO,6,0)),""))</f>
        <v/>
      </c>
      <c r="G298" s="80"/>
      <c r="H298" s="80"/>
      <c r="I298" s="79"/>
      <c r="J298" s="79"/>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t="str">
        <f>IF($B299="Não", "BLOQUEADO (Aguardar liberação)", "")</f>
        <v/>
      </c>
      <c r="F299" s="249" t="str">
        <f>IF($B299="Não", "BLOQUEADO (Aguardar liberação)", IFERROR(IF(VLOOKUP($A299,CTINTERVALO,6,0)=0,"",VLOOKUP($A299,CTINTERVALO,6,0)),""))</f>
        <v/>
      </c>
      <c r="G299" s="80"/>
      <c r="H299" s="80"/>
      <c r="I299" s="79"/>
      <c r="J299" s="79"/>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79"/>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79"/>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79"/>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79"/>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79"/>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79"/>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79"/>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79"/>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79"/>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79"/>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79"/>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79"/>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79"/>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79"/>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79"/>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79"/>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79"/>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79"/>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79"/>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79"/>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79"/>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79"/>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79"/>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79"/>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79"/>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79"/>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79"/>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79"/>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79"/>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79"/>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79"/>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79"/>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79"/>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79"/>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79"/>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79"/>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79"/>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79"/>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79"/>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79"/>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79"/>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79"/>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79"/>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79"/>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79"/>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79"/>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79"/>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79"/>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79"/>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79"/>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79"/>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79"/>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79"/>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79"/>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79"/>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79"/>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79"/>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79"/>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79"/>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79"/>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79"/>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79"/>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79"/>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79"/>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79"/>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79"/>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79"/>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79"/>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79"/>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79"/>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79"/>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79"/>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79"/>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79"/>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79"/>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79"/>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79"/>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79"/>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79"/>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79"/>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79"/>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79"/>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79"/>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79"/>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79"/>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79"/>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79"/>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79"/>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79"/>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79"/>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79"/>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79"/>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79"/>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79"/>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79"/>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79"/>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79"/>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79"/>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79"/>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79"/>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c r="H400" s="80"/>
      <c r="I400" s="79"/>
      <c r="J400" s="79"/>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t="str">
        <f>IF($B401="Não", "BLOQUEADO (Aguardar liberação)", "")</f>
        <v/>
      </c>
      <c r="H401" s="80"/>
      <c r="I401" s="79"/>
      <c r="J401" s="79"/>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79"/>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79"/>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79"/>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79"/>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79"/>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79"/>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79"/>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79"/>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79"/>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79"/>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79"/>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79"/>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79"/>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79"/>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79"/>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79"/>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79"/>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79"/>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79"/>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79"/>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79"/>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79"/>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79"/>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79"/>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79"/>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79"/>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79"/>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79"/>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79"/>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79"/>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79"/>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79"/>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79"/>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79"/>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79"/>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79"/>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79"/>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79"/>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79"/>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79"/>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79"/>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79"/>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79"/>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79"/>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79"/>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79"/>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79"/>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79"/>
      <c r="K449" s="80"/>
    </row>
    <row r="450" spans="1:11">
      <c r="A450" s="93"/>
      <c r="B450" s="249" t="str">
        <f>IFERROR(IF(VLOOKUP($A450,CTINTERVALO,2,0)=0,"",VLOOKUP($A450,CTINTERVALO,2,0)),"")</f>
        <v/>
      </c>
      <c r="C450" s="249" t="str">
        <f>IF($B450="Não", "BLOQUEADO (Aguardar liberação)", IFERROR(IF(VLOOKUP($A450,CTINTERVALO,3,0)=0,"",VLOOKUP($A450,CTINTERVALO,3,0)),""))</f>
        <v/>
      </c>
      <c r="D450" s="249" t="str">
        <f>IF($B450="Não", "BLOQUEADO (Aguardar liberação)", IFERROR(IF(VLOOKUP($A450,CTINTERVALO,4,0)=0,"",VLOOKUP($A450,CTINTERVALO,4,0)),""))</f>
        <v/>
      </c>
      <c r="E450" s="249" t="str">
        <f>IF($B450="Não", "BLOQUEADO (Aguardar liberação)", "")</f>
        <v/>
      </c>
      <c r="F450" s="249" t="str">
        <f>IF($B450="Não", "BLOQUEADO (Aguardar liberação)", IFERROR(IF(VLOOKUP($A450,CTINTERVALO,6,0)=0,"",VLOOKUP($A450,CTINTERVALO,6,0)),""))</f>
        <v/>
      </c>
      <c r="G450" s="80" t="str">
        <f>IF($B450="Não", "BLOQUEADO (Aguardar liberação)", "")</f>
        <v/>
      </c>
      <c r="H450" s="80"/>
      <c r="I450" s="79"/>
      <c r="J450" s="79"/>
      <c r="K450" s="80"/>
    </row>
  </sheetData>
  <mergeCells count="10">
    <mergeCell ref="G6:G7"/>
    <mergeCell ref="H6:H7"/>
    <mergeCell ref="J6:J7"/>
    <mergeCell ref="K6:K7"/>
    <mergeCell ref="A6:A7"/>
    <mergeCell ref="B6:B7"/>
    <mergeCell ref="C6:C7"/>
    <mergeCell ref="D6:D7"/>
    <mergeCell ref="E6:E7"/>
    <mergeCell ref="F6:F7"/>
  </mergeCells>
  <conditionalFormatting sqref="C8:H450">
    <cfRule type="expression" dxfId="116"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5D62C3D1-305F-42D5-BADA-2BBA060E636C}">
            <xm:f>$H8=Principal!$Q$10</xm:f>
            <x14:dxf>
              <fill>
                <patternFill patternType="solid">
                  <bgColor rgb="FF00B050"/>
                </patternFill>
              </fill>
            </x14:dxf>
          </x14:cfRule>
          <x14:cfRule type="expression" priority="3" id="{FF8CF195-EE93-4DEB-8C26-DE2A625B15FF}">
            <xm:f>$H8=Principal!$Q$17</xm:f>
            <x14:dxf>
              <fill>
                <patternFill patternType="solid">
                  <bgColor rgb="FFFFFF00"/>
                </patternFill>
              </fill>
            </x14:dxf>
          </x14:cfRule>
          <x14:cfRule type="expression" priority="4" id="{3C71387C-1CC6-4642-AE1C-335F5781AEDA}">
            <xm:f>$H8=Principal!$Q$16</xm:f>
            <x14:dxf>
              <fill>
                <patternFill patternType="solid">
                  <bgColor rgb="FFDD46E8"/>
                </patternFill>
              </fill>
            </x14:dxf>
          </x14:cfRule>
          <x14:cfRule type="expression" priority="5" id="{F11DFB6A-C788-48D3-B6AF-8651CAAA5BAC}">
            <xm:f>$H8=Principal!$Q$15</xm:f>
            <x14:dxf>
              <fill>
                <patternFill>
                  <bgColor theme="8" tint="0.59996337778862885"/>
                </patternFill>
              </fill>
            </x14:dxf>
          </x14:cfRule>
          <x14:cfRule type="expression" priority="6" id="{39234DBB-5D7A-40E2-A937-14FA99479DD8}">
            <xm:f>$H8=Principal!$Q$14</xm:f>
            <x14:dxf>
              <fill>
                <patternFill>
                  <bgColor theme="7" tint="0.59996337778862885"/>
                </patternFill>
              </fill>
            </x14:dxf>
          </x14:cfRule>
          <x14:cfRule type="expression" priority="7" id="{1F9F97D2-6307-4889-AEEF-9EB75DE66E17}">
            <xm:f>$H8=Principal!$Q$11</xm:f>
            <x14:dxf>
              <fill>
                <patternFill>
                  <bgColor rgb="FFFF5050"/>
                </patternFill>
              </fill>
            </x14:dxf>
          </x14:cfRule>
          <xm:sqref>C8:H450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8C5A361-5320-4CC6-9B51-0E52934996F9}">
          <x14:formula1>
            <xm:f>Principal!$Q$9:$Q$17</xm:f>
          </x14:formula1>
          <xm:sqref>H8:H450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7D45F-E820-4D7C-A08B-4607D49E4720}">
  <dimension ref="A1:K450"/>
  <sheetViews>
    <sheetView workbookViewId="0">
      <selection activeCell="B8" sqref="B8"/>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35"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240"/>
      <c r="B1" s="240"/>
      <c r="C1" s="241" t="s">
        <v>0</v>
      </c>
      <c r="D1" s="242"/>
      <c r="E1" s="241" t="s">
        <v>1</v>
      </c>
      <c r="F1" s="243">
        <f>COUNTA(H8:H450)</f>
        <v>0</v>
      </c>
      <c r="G1" s="244" t="s">
        <v>2</v>
      </c>
      <c r="H1" s="243">
        <f>COUNTIFS(H$8:H$450,"=Sucesso")</f>
        <v>0</v>
      </c>
      <c r="I1" s="240"/>
      <c r="J1" s="240"/>
      <c r="K1" s="240"/>
    </row>
    <row r="2" spans="1:11">
      <c r="A2" s="240"/>
      <c r="B2" s="240"/>
      <c r="C2" s="244" t="s">
        <v>3</v>
      </c>
      <c r="D2" s="243"/>
      <c r="E2" s="241" t="s">
        <v>4</v>
      </c>
      <c r="F2" s="243">
        <f>COUNTIF(H8:H450,"=Não Executado")</f>
        <v>0</v>
      </c>
      <c r="G2" s="244" t="s">
        <v>5</v>
      </c>
      <c r="H2" s="243">
        <f>COUNTIFS(H$8:H$450,"=Falha")</f>
        <v>0</v>
      </c>
      <c r="I2" s="240"/>
      <c r="J2" s="240"/>
      <c r="K2" s="240"/>
    </row>
    <row r="3" spans="1:11">
      <c r="A3" s="240"/>
      <c r="B3" s="240"/>
      <c r="C3" s="244" t="s">
        <v>6</v>
      </c>
      <c r="D3" s="244"/>
      <c r="E3" s="244" t="s">
        <v>7</v>
      </c>
      <c r="F3" s="243">
        <f>COUNTIFS(H8:H450,"=Falha") + COUNTIFS(H8:H450,"=Sucesso") + COUNTIFS(H8:H450,"=Pendência Externa")+ COUNTIFS(H8:H450,"=Demanda")+ COUNTIFS(H8:H450,"=Sugestão")</f>
        <v>0</v>
      </c>
      <c r="G3" s="244" t="s">
        <v>8</v>
      </c>
      <c r="H3" s="243">
        <f>COUNTIFS(H$8:H$450,"=Pendência Externa")</f>
        <v>0</v>
      </c>
      <c r="I3" s="240"/>
      <c r="J3" s="240"/>
      <c r="K3" s="245"/>
    </row>
    <row r="4" spans="1:11">
      <c r="A4" s="240"/>
      <c r="B4" s="240"/>
      <c r="C4" s="240"/>
      <c r="D4" s="244"/>
      <c r="E4" s="244" t="s">
        <v>9</v>
      </c>
      <c r="F4" s="246">
        <f>IF(COUNTA(H8:H450)&gt;0,F3/IF(COUNTA(H8:H450)=0, 1, COUNTA(H8:H450)),0)</f>
        <v>0</v>
      </c>
      <c r="G4" s="244" t="s">
        <v>10</v>
      </c>
      <c r="H4" s="243">
        <f>COUNTIFS(H$8:H$450,"=Sugestão")</f>
        <v>0</v>
      </c>
      <c r="I4" s="240"/>
      <c r="J4" s="240"/>
      <c r="K4" s="240"/>
    </row>
    <row r="5" spans="1:11">
      <c r="A5" s="240"/>
      <c r="B5" s="240"/>
      <c r="C5" s="240"/>
      <c r="D5" s="240"/>
      <c r="E5" s="240"/>
      <c r="F5" s="240"/>
      <c r="G5" s="240"/>
      <c r="H5" s="240"/>
      <c r="I5" s="240"/>
      <c r="J5" s="240"/>
      <c r="K5" s="240"/>
    </row>
    <row r="6" spans="1:11" ht="15" customHeight="1">
      <c r="A6" s="355" t="s">
        <v>11</v>
      </c>
      <c r="B6" s="352" t="s">
        <v>12</v>
      </c>
      <c r="C6" s="355" t="s">
        <v>13</v>
      </c>
      <c r="D6" s="355" t="s">
        <v>14</v>
      </c>
      <c r="E6" s="352" t="s">
        <v>15</v>
      </c>
      <c r="F6" s="355" t="s">
        <v>16</v>
      </c>
      <c r="G6" s="352" t="s">
        <v>17</v>
      </c>
      <c r="H6" s="352" t="s">
        <v>18</v>
      </c>
      <c r="I6" s="247" t="s">
        <v>19</v>
      </c>
      <c r="J6" s="352" t="s">
        <v>20</v>
      </c>
      <c r="K6" s="352" t="s">
        <v>21</v>
      </c>
    </row>
    <row r="7" spans="1:11" ht="14.45">
      <c r="A7" s="352"/>
      <c r="B7" s="354"/>
      <c r="C7" s="352"/>
      <c r="D7" s="352"/>
      <c r="E7" s="353"/>
      <c r="F7" s="352"/>
      <c r="G7" s="353"/>
      <c r="H7" s="353"/>
      <c r="I7" s="248"/>
      <c r="J7" s="354"/>
      <c r="K7" s="353"/>
    </row>
    <row r="8" spans="1:11" ht="90" customHeight="1">
      <c r="A8" s="93"/>
      <c r="B8" s="249" t="str">
        <f>IFERROR(IF(VLOOKUP($A8,CTINTERVALO,2,0)=0,"",VLOOKUP($A8,CTINTERVALO,2,0)),"")</f>
        <v/>
      </c>
      <c r="C8" s="249" t="str">
        <f>IF($B8="Não", "BLOQUEADO (Aguardar liberação)", IFERROR(IF(VLOOKUP($A8,CTINTERVALO,3,0)=0,"",VLOOKUP($A8,CTINTERVALO,3,0)),""))</f>
        <v/>
      </c>
      <c r="D8" s="249" t="str">
        <f>IF($B8="Não", "BLOQUEADO (Aguardar liberação)", IFERROR(IF(VLOOKUP($A8,CTINTERVALO,4,0)=0,"",VLOOKUP($A8,CTINTERVALO,4,0)),""))</f>
        <v/>
      </c>
      <c r="E8" s="249"/>
      <c r="F8" s="249" t="str">
        <f>IF($B8="Não", "BLOQUEADO (Aguardar liberação)", IFERROR(IF(VLOOKUP($A8,CTINTERVALO,6,0)=0,"",VLOOKUP($A8,CTINTERVALO,6,0)),""))</f>
        <v/>
      </c>
      <c r="G8" s="80"/>
      <c r="H8" s="80"/>
      <c r="I8" s="79"/>
      <c r="J8" s="79"/>
      <c r="K8" s="80"/>
    </row>
    <row r="9" spans="1:11" ht="105.75" customHeight="1">
      <c r="A9" s="93"/>
      <c r="B9" s="249" t="str">
        <f>IFERROR(IF(VLOOKUP($A9,CTINTERVALO,2,0)=0,"",VLOOKUP($A9,CTINTERVALO,2,0)),"")</f>
        <v/>
      </c>
      <c r="C9" s="249" t="str">
        <f>IF($B9="Não", "BLOQUEADO (Aguardar liberação)", IFERROR(IF(VLOOKUP($A9,CTINTERVALO,3,0)=0,"",VLOOKUP($A9,CTINTERVALO,3,0)),""))</f>
        <v/>
      </c>
      <c r="D9" s="249" t="str">
        <f>IF($B9="Não", "BLOQUEADO (Aguardar liberação)", IFERROR(IF(VLOOKUP($A9,CTINTERVALO,4,0)=0,"",VLOOKUP($A9,CTINTERVALO,4,0)),""))</f>
        <v/>
      </c>
      <c r="E9" s="249"/>
      <c r="F9" s="249" t="str">
        <f>IF($B9="Não", "BLOQUEADO (Aguardar liberação)", IFERROR(IF(VLOOKUP($A9,CTINTERVALO,6,0)=0,"",VLOOKUP($A9,CTINTERVALO,6,0)),""))</f>
        <v/>
      </c>
      <c r="G9" s="80"/>
      <c r="H9" s="80"/>
      <c r="I9" s="79"/>
      <c r="J9" s="79"/>
      <c r="K9" s="80"/>
    </row>
    <row r="10" spans="1:11" ht="116.25" customHeight="1">
      <c r="A10" s="93"/>
      <c r="B10" s="249" t="str">
        <f>IFERROR(IF(VLOOKUP($A10,CTINTERVALO,2,0)=0,"",VLOOKUP($A10,CTINTERVALO,2,0)),"")</f>
        <v/>
      </c>
      <c r="C10" s="249" t="str">
        <f>IF($B10="Não", "BLOQUEADO (Aguardar liberação)", IFERROR(IF(VLOOKUP($A10,CTINTERVALO,3,0)=0,"",VLOOKUP($A10,CTINTERVALO,3,0)),""))</f>
        <v/>
      </c>
      <c r="D10" s="249" t="str">
        <f>IF($B10="Não", "BLOQUEADO (Aguardar liberação)", IFERROR(IF(VLOOKUP($A10,CTINTERVALO,4,0)=0,"",VLOOKUP($A10,CTINTERVALO,4,0)),""))</f>
        <v/>
      </c>
      <c r="E10" s="249"/>
      <c r="F10" s="249" t="str">
        <f>IF($B10="Não", "BLOQUEADO (Aguardar liberação)", IFERROR(IF(VLOOKUP($A10,CTINTERVALO,6,0)=0,"",VLOOKUP($A10,CTINTERVALO,6,0)),""))</f>
        <v/>
      </c>
      <c r="G10" s="80"/>
      <c r="H10" s="80"/>
      <c r="I10" s="79"/>
      <c r="J10" s="79"/>
      <c r="K10" s="80"/>
    </row>
    <row r="11" spans="1:11" ht="116.25" customHeight="1">
      <c r="A11" s="93"/>
      <c r="B11" s="249" t="str">
        <f>IFERROR(IF(VLOOKUP($A11,CTINTERVALO,2,0)=0,"",VLOOKUP($A11,CTINTERVALO,2,0)),"")</f>
        <v/>
      </c>
      <c r="C11" s="249" t="str">
        <f>IF($B11="Não", "BLOQUEADO (Aguardar liberação)", IFERROR(IF(VLOOKUP($A11,CTINTERVALO,3,0)=0,"",VLOOKUP($A11,CTINTERVALO,3,0)),""))</f>
        <v/>
      </c>
      <c r="D11" s="249" t="str">
        <f>IF($B11="Não", "BLOQUEADO (Aguardar liberação)", IFERROR(IF(VLOOKUP($A11,CTINTERVALO,4,0)=0,"",VLOOKUP($A11,CTINTERVALO,4,0)),""))</f>
        <v/>
      </c>
      <c r="E11" s="249"/>
      <c r="F11" s="249" t="str">
        <f>IF($B11="Não", "BLOQUEADO (Aguardar liberação)", IFERROR(IF(VLOOKUP($A11,CTINTERVALO,6,0)=0,"",VLOOKUP($A11,CTINTERVALO,6,0)),""))</f>
        <v/>
      </c>
      <c r="G11" s="80"/>
      <c r="H11" s="80"/>
      <c r="I11" s="79"/>
      <c r="J11" s="79"/>
      <c r="K11" s="80"/>
    </row>
    <row r="12" spans="1:11" ht="123" customHeight="1">
      <c r="A12" s="93"/>
      <c r="B12" s="249" t="str">
        <f>IFERROR(IF(VLOOKUP($A12,CTINTERVALO,2,0)=0,"",VLOOKUP($A12,CTINTERVALO,2,0)),"")</f>
        <v/>
      </c>
      <c r="C12" s="249" t="str">
        <f>IF($B12="Não", "BLOQUEADO (Aguardar liberação)", IFERROR(IF(VLOOKUP($A12,CTINTERVALO,3,0)=0,"",VLOOKUP($A12,CTINTERVALO,3,0)),""))</f>
        <v/>
      </c>
      <c r="D12" s="249" t="str">
        <f>IF($B12="Não", "BLOQUEADO (Aguardar liberação)", IFERROR(IF(VLOOKUP($A12,CTINTERVALO,4,0)=0,"",VLOOKUP($A12,CTINTERVALO,4,0)),""))</f>
        <v/>
      </c>
      <c r="E12" s="249"/>
      <c r="F12" s="249" t="str">
        <f>IF($B12="Não", "BLOQUEADO (Aguardar liberação)", IFERROR(IF(VLOOKUP($A12,CTINTERVALO,6,0)=0,"",VLOOKUP($A12,CTINTERVALO,6,0)),""))</f>
        <v/>
      </c>
      <c r="G12" s="80"/>
      <c r="H12" s="80"/>
      <c r="I12" s="79"/>
      <c r="J12" s="79"/>
      <c r="K12" s="80"/>
    </row>
    <row r="13" spans="1:11">
      <c r="A13" s="93"/>
      <c r="B13" s="249" t="str">
        <f>IFERROR(IF(VLOOKUP($A13,CTINTERVALO,2,0)=0,"",VLOOKUP($A13,CTINTERVALO,2,0)),"")</f>
        <v/>
      </c>
      <c r="C13" s="249" t="str">
        <f>IF($B13="Não", "BLOQUEADO (Aguardar liberação)", IFERROR(IF(VLOOKUP($A13,CTINTERVALO,3,0)=0,"",VLOOKUP($A13,CTINTERVALO,3,0)),""))</f>
        <v/>
      </c>
      <c r="D13" s="249" t="str">
        <f>IF($B13="Não", "BLOQUEADO (Aguardar liberação)", IFERROR(IF(VLOOKUP($A13,CTINTERVALO,4,0)=0,"",VLOOKUP($A13,CTINTERVALO,4,0)),""))</f>
        <v/>
      </c>
      <c r="E13" s="249"/>
      <c r="F13" s="249" t="str">
        <f>IF($B13="Não", "BLOQUEADO (Aguardar liberação)", IFERROR(IF(VLOOKUP($A13,CTINTERVALO,6,0)=0,"",VLOOKUP($A13,CTINTERVALO,6,0)),""))</f>
        <v/>
      </c>
      <c r="G13" s="80"/>
      <c r="H13" s="80"/>
      <c r="I13" s="79"/>
      <c r="J13" s="79"/>
      <c r="K13" s="80"/>
    </row>
    <row r="14" spans="1:11">
      <c r="A14" s="93"/>
      <c r="B14" s="249" t="str">
        <f>IFERROR(IF(VLOOKUP($A14,CTINTERVALO,2,0)=0,"",VLOOKUP($A14,CTINTERVALO,2,0)),"")</f>
        <v/>
      </c>
      <c r="C14" s="249" t="str">
        <f>IF($B14="Não", "BLOQUEADO (Aguardar liberação)", IFERROR(IF(VLOOKUP($A14,CTINTERVALO,3,0)=0,"",VLOOKUP($A14,CTINTERVALO,3,0)),""))</f>
        <v/>
      </c>
      <c r="D14" s="249" t="str">
        <f>IF($B14="Não", "BLOQUEADO (Aguardar liberação)", IFERROR(IF(VLOOKUP($A14,CTINTERVALO,4,0)=0,"",VLOOKUP($A14,CTINTERVALO,4,0)),""))</f>
        <v/>
      </c>
      <c r="E14" s="249"/>
      <c r="F14" s="249" t="str">
        <f>IF($B14="Não", "BLOQUEADO (Aguardar liberação)", IFERROR(IF(VLOOKUP($A14,CTINTERVALO,6,0)=0,"",VLOOKUP($A14,CTINTERVALO,6,0)),""))</f>
        <v/>
      </c>
      <c r="G14" s="80"/>
      <c r="H14" s="80"/>
      <c r="I14" s="79"/>
      <c r="J14" s="79"/>
      <c r="K14" s="80"/>
    </row>
    <row r="15" spans="1:11">
      <c r="A15" s="93"/>
      <c r="B15" s="249" t="str">
        <f>IFERROR(IF(VLOOKUP($A15,CTINTERVALO,2,0)=0,"",VLOOKUP($A15,CTINTERVALO,2,0)),"")</f>
        <v/>
      </c>
      <c r="C15" s="249" t="str">
        <f>IF($B15="Não", "BLOQUEADO (Aguardar liberação)", IFERROR(IF(VLOOKUP($A15,CTINTERVALO,3,0)=0,"",VLOOKUP($A15,CTINTERVALO,3,0)),""))</f>
        <v/>
      </c>
      <c r="D15" s="249" t="str">
        <f>IF($B15="Não", "BLOQUEADO (Aguardar liberação)", IFERROR(IF(VLOOKUP($A15,CTINTERVALO,4,0)=0,"",VLOOKUP($A15,CTINTERVALO,4,0)),""))</f>
        <v/>
      </c>
      <c r="E15" s="249"/>
      <c r="F15" s="249" t="str">
        <f>IF($B15="Não", "BLOQUEADO (Aguardar liberação)", IFERROR(IF(VLOOKUP($A15,CTINTERVALO,6,0)=0,"",VLOOKUP($A15,CTINTERVALO,6,0)),""))</f>
        <v/>
      </c>
      <c r="G15" s="80"/>
      <c r="H15" s="80"/>
      <c r="I15" s="79"/>
      <c r="J15" s="79"/>
      <c r="K15" s="80"/>
    </row>
    <row r="16" spans="1:11">
      <c r="A16" s="93"/>
      <c r="B16" s="249" t="str">
        <f>IFERROR(IF(VLOOKUP($A16,CTINTERVALO,2,0)=0,"",VLOOKUP($A16,CTINTERVALO,2,0)),"")</f>
        <v/>
      </c>
      <c r="C16" s="249" t="str">
        <f>IF($B16="Não", "BLOQUEADO (Aguardar liberação)", IFERROR(IF(VLOOKUP($A16,CTINTERVALO,3,0)=0,"",VLOOKUP($A16,CTINTERVALO,3,0)),""))</f>
        <v/>
      </c>
      <c r="D16" s="249" t="str">
        <f>IF($B16="Não", "BLOQUEADO (Aguardar liberação)", IFERROR(IF(VLOOKUP($A16,CTINTERVALO,4,0)=0,"",VLOOKUP($A16,CTINTERVALO,4,0)),""))</f>
        <v/>
      </c>
      <c r="E16" s="249"/>
      <c r="F16" s="249" t="str">
        <f>IF($B16="Não", "BLOQUEADO (Aguardar liberação)", IFERROR(IF(VLOOKUP($A16,CTINTERVALO,6,0)=0,"",VLOOKUP($A16,CTINTERVALO,6,0)),""))</f>
        <v/>
      </c>
      <c r="G16" s="80"/>
      <c r="H16" s="80"/>
      <c r="I16" s="79"/>
      <c r="J16" s="79"/>
      <c r="K16" s="80"/>
    </row>
    <row r="17" spans="1:11">
      <c r="A17" s="93"/>
      <c r="B17" s="249" t="str">
        <f>IFERROR(IF(VLOOKUP($A17,CTINTERVALO,2,0)=0,"",VLOOKUP($A17,CTINTERVALO,2,0)),"")</f>
        <v/>
      </c>
      <c r="C17" s="249" t="str">
        <f>IF($B17="Não", "BLOQUEADO (Aguardar liberação)", IFERROR(IF(VLOOKUP($A17,CTINTERVALO,3,0)=0,"",VLOOKUP($A17,CTINTERVALO,3,0)),""))</f>
        <v/>
      </c>
      <c r="D17" s="249" t="str">
        <f>IF($B17="Não", "BLOQUEADO (Aguardar liberação)", IFERROR(IF(VLOOKUP($A17,CTINTERVALO,4,0)=0,"",VLOOKUP($A17,CTINTERVALO,4,0)),""))</f>
        <v/>
      </c>
      <c r="E17" s="249"/>
      <c r="F17" s="249" t="str">
        <f>IF($B17="Não", "BLOQUEADO (Aguardar liberação)", IFERROR(IF(VLOOKUP($A17,CTINTERVALO,6,0)=0,"",VLOOKUP($A17,CTINTERVALO,6,0)),""))</f>
        <v/>
      </c>
      <c r="G17" s="80"/>
      <c r="H17" s="80"/>
      <c r="I17" s="79"/>
      <c r="J17" s="79"/>
      <c r="K17" s="80"/>
    </row>
    <row r="18" spans="1:11">
      <c r="A18" s="93"/>
      <c r="B18" s="249" t="str">
        <f>IFERROR(IF(VLOOKUP($A18,CTINTERVALO,2,0)=0,"",VLOOKUP($A18,CTINTERVALO,2,0)),"")</f>
        <v/>
      </c>
      <c r="C18" s="249" t="str">
        <f>IF($B18="Não", "BLOQUEADO (Aguardar liberação)", IFERROR(IF(VLOOKUP($A18,CTINTERVALO,3,0)=0,"",VLOOKUP($A18,CTINTERVALO,3,0)),""))</f>
        <v/>
      </c>
      <c r="D18" s="249" t="str">
        <f>IF($B18="Não", "BLOQUEADO (Aguardar liberação)", IFERROR(IF(VLOOKUP($A18,CTINTERVALO,4,0)=0,"",VLOOKUP($A18,CTINTERVALO,4,0)),""))</f>
        <v/>
      </c>
      <c r="E18" s="249"/>
      <c r="F18" s="249" t="str">
        <f>IF($B18="Não", "BLOQUEADO (Aguardar liberação)", IFERROR(IF(VLOOKUP($A18,CTINTERVALO,6,0)=0,"",VLOOKUP($A18,CTINTERVALO,6,0)),""))</f>
        <v/>
      </c>
      <c r="G18" s="80"/>
      <c r="H18" s="80"/>
      <c r="I18" s="79"/>
      <c r="J18" s="79"/>
      <c r="K18" s="80"/>
    </row>
    <row r="19" spans="1:11">
      <c r="A19" s="93"/>
      <c r="B19" s="249" t="str">
        <f>IFERROR(IF(VLOOKUP($A19,CTINTERVALO,2,0)=0,"",VLOOKUP($A19,CTINTERVALO,2,0)),"")</f>
        <v/>
      </c>
      <c r="C19" s="249" t="str">
        <f>IF($B19="Não", "BLOQUEADO (Aguardar liberação)", IFERROR(IF(VLOOKUP($A19,CTINTERVALO,3,0)=0,"",VLOOKUP($A19,CTINTERVALO,3,0)),""))</f>
        <v/>
      </c>
      <c r="D19" s="249" t="str">
        <f>IF($B19="Não", "BLOQUEADO (Aguardar liberação)", IFERROR(IF(VLOOKUP($A19,CTINTERVALO,4,0)=0,"",VLOOKUP($A19,CTINTERVALO,4,0)),""))</f>
        <v/>
      </c>
      <c r="E19" s="249"/>
      <c r="F19" s="249" t="str">
        <f>IF($B19="Não", "BLOQUEADO (Aguardar liberação)", IFERROR(IF(VLOOKUP($A19,CTINTERVALO,6,0)=0,"",VLOOKUP($A19,CTINTERVALO,6,0)),""))</f>
        <v/>
      </c>
      <c r="G19" s="80"/>
      <c r="H19" s="80"/>
      <c r="I19" s="79"/>
      <c r="J19" s="79"/>
      <c r="K19" s="80"/>
    </row>
    <row r="20" spans="1:11">
      <c r="A20" s="93"/>
      <c r="B20" s="249" t="str">
        <f>IFERROR(IF(VLOOKUP($A20,CTINTERVALO,2,0)=0,"",VLOOKUP($A20,CTINTERVALO,2,0)),"")</f>
        <v/>
      </c>
      <c r="C20" s="249" t="str">
        <f>IF($B20="Não", "BLOQUEADO (Aguardar liberação)", IFERROR(IF(VLOOKUP($A20,CTINTERVALO,3,0)=0,"",VLOOKUP($A20,CTINTERVALO,3,0)),""))</f>
        <v/>
      </c>
      <c r="D20" s="249" t="str">
        <f>IF($B20="Não", "BLOQUEADO (Aguardar liberação)", IFERROR(IF(VLOOKUP($A20,CTINTERVALO,4,0)=0,"",VLOOKUP($A20,CTINTERVALO,4,0)),""))</f>
        <v/>
      </c>
      <c r="E20" s="249"/>
      <c r="F20" s="249" t="str">
        <f>IF($B20="Não", "BLOQUEADO (Aguardar liberação)", IFERROR(IF(VLOOKUP($A20,CTINTERVALO,6,0)=0,"",VLOOKUP($A20,CTINTERVALO,6,0)),""))</f>
        <v/>
      </c>
      <c r="G20" s="80"/>
      <c r="H20" s="80"/>
      <c r="I20" s="79"/>
      <c r="J20" s="79"/>
      <c r="K20" s="80"/>
    </row>
    <row r="21" spans="1:11">
      <c r="A21" s="93"/>
      <c r="B21" s="249" t="str">
        <f>IFERROR(IF(VLOOKUP($A21,CTINTERVALO,2,0)=0,"",VLOOKUP($A21,CTINTERVALO,2,0)),"")</f>
        <v/>
      </c>
      <c r="C21" s="249" t="str">
        <f>IF($B21="Não", "BLOQUEADO (Aguardar liberação)", IFERROR(IF(VLOOKUP($A21,CTINTERVALO,3,0)=0,"",VLOOKUP($A21,CTINTERVALO,3,0)),""))</f>
        <v/>
      </c>
      <c r="D21" s="249" t="str">
        <f>IF($B21="Não", "BLOQUEADO (Aguardar liberação)", IFERROR(IF(VLOOKUP($A21,CTINTERVALO,4,0)=0,"",VLOOKUP($A21,CTINTERVALO,4,0)),""))</f>
        <v/>
      </c>
      <c r="E21" s="249"/>
      <c r="F21" s="249" t="str">
        <f>IF($B21="Não", "BLOQUEADO (Aguardar liberação)", IFERROR(IF(VLOOKUP($A21,CTINTERVALO,6,0)=0,"",VLOOKUP($A21,CTINTERVALO,6,0)),""))</f>
        <v/>
      </c>
      <c r="G21" s="80"/>
      <c r="H21" s="80"/>
      <c r="I21" s="79"/>
      <c r="J21" s="79"/>
      <c r="K21" s="80"/>
    </row>
    <row r="22" spans="1:11">
      <c r="A22" s="93"/>
      <c r="B22" s="249" t="str">
        <f>IFERROR(IF(VLOOKUP($A22,CTINTERVALO,2,0)=0,"",VLOOKUP($A22,CTINTERVALO,2,0)),"")</f>
        <v/>
      </c>
      <c r="C22" s="249" t="str">
        <f>IF($B22="Não", "BLOQUEADO (Aguardar liberação)", IFERROR(IF(VLOOKUP($A22,CTINTERVALO,3,0)=0,"",VLOOKUP($A22,CTINTERVALO,3,0)),""))</f>
        <v/>
      </c>
      <c r="D22" s="249" t="str">
        <f>IF($B22="Não", "BLOQUEADO (Aguardar liberação)", IFERROR(IF(VLOOKUP($A22,CTINTERVALO,4,0)=0,"",VLOOKUP($A22,CTINTERVALO,4,0)),""))</f>
        <v/>
      </c>
      <c r="E22" s="249"/>
      <c r="F22" s="249" t="str">
        <f>IF($B22="Não", "BLOQUEADO (Aguardar liberação)", IFERROR(IF(VLOOKUP($A22,CTINTERVALO,6,0)=0,"",VLOOKUP($A22,CTINTERVALO,6,0)),""))</f>
        <v/>
      </c>
      <c r="G22" s="80"/>
      <c r="H22" s="80"/>
      <c r="I22" s="79"/>
      <c r="J22" s="79"/>
      <c r="K22" s="80"/>
    </row>
    <row r="23" spans="1:11">
      <c r="A23" s="93"/>
      <c r="B23" s="249" t="str">
        <f>IFERROR(IF(VLOOKUP($A23,CTINTERVALO,2,0)=0,"",VLOOKUP($A23,CTINTERVALO,2,0)),"")</f>
        <v/>
      </c>
      <c r="C23" s="249" t="str">
        <f>IF($B23="Não", "BLOQUEADO (Aguardar liberação)", IFERROR(IF(VLOOKUP($A23,CTINTERVALO,3,0)=0,"",VLOOKUP($A23,CTINTERVALO,3,0)),""))</f>
        <v/>
      </c>
      <c r="D23" s="249" t="str">
        <f>IF($B23="Não", "BLOQUEADO (Aguardar liberação)", IFERROR(IF(VLOOKUP($A23,CTINTERVALO,4,0)=0,"",VLOOKUP($A23,CTINTERVALO,4,0)),""))</f>
        <v/>
      </c>
      <c r="E23" s="249"/>
      <c r="F23" s="249" t="str">
        <f>IF($B23="Não", "BLOQUEADO (Aguardar liberação)", IFERROR(IF(VLOOKUP($A23,CTINTERVALO,6,0)=0,"",VLOOKUP($A23,CTINTERVALO,6,0)),""))</f>
        <v/>
      </c>
      <c r="G23" s="80"/>
      <c r="H23" s="80"/>
      <c r="I23" s="79"/>
      <c r="J23" s="79"/>
      <c r="K23" s="80"/>
    </row>
    <row r="24" spans="1:11">
      <c r="A24" s="93"/>
      <c r="B24" s="249" t="str">
        <f>IFERROR(IF(VLOOKUP($A24,CTINTERVALO,2,0)=0,"",VLOOKUP($A24,CTINTERVALO,2,0)),"")</f>
        <v/>
      </c>
      <c r="C24" s="249" t="str">
        <f>IF($B24="Não", "BLOQUEADO (Aguardar liberação)", IFERROR(IF(VLOOKUP($A24,CTINTERVALO,3,0)=0,"",VLOOKUP($A24,CTINTERVALO,3,0)),""))</f>
        <v/>
      </c>
      <c r="D24" s="249" t="str">
        <f>IF($B24="Não", "BLOQUEADO (Aguardar liberação)", IFERROR(IF(VLOOKUP($A24,CTINTERVALO,4,0)=0,"",VLOOKUP($A24,CTINTERVALO,4,0)),""))</f>
        <v/>
      </c>
      <c r="E24" s="249"/>
      <c r="F24" s="249" t="str">
        <f>IF($B24="Não", "BLOQUEADO (Aguardar liberação)", IFERROR(IF(VLOOKUP($A24,CTINTERVALO,6,0)=0,"",VLOOKUP($A24,CTINTERVALO,6,0)),""))</f>
        <v/>
      </c>
      <c r="G24" s="80"/>
      <c r="H24" s="80"/>
      <c r="I24" s="79"/>
      <c r="J24" s="79"/>
      <c r="K24" s="80"/>
    </row>
    <row r="25" spans="1:11">
      <c r="A25" s="93"/>
      <c r="B25" s="249" t="str">
        <f>IFERROR(IF(VLOOKUP($A25,CTINTERVALO,2,0)=0,"",VLOOKUP($A25,CTINTERVALO,2,0)),"")</f>
        <v/>
      </c>
      <c r="C25" s="249" t="str">
        <f>IF($B25="Não", "BLOQUEADO (Aguardar liberação)", IFERROR(IF(VLOOKUP($A25,CTINTERVALO,3,0)=0,"",VLOOKUP($A25,CTINTERVALO,3,0)),""))</f>
        <v/>
      </c>
      <c r="D25" s="249" t="str">
        <f>IF($B25="Não", "BLOQUEADO (Aguardar liberação)", IFERROR(IF(VLOOKUP($A25,CTINTERVALO,4,0)=0,"",VLOOKUP($A25,CTINTERVALO,4,0)),""))</f>
        <v/>
      </c>
      <c r="E25" s="249"/>
      <c r="F25" s="249" t="str">
        <f>IF($B25="Não", "BLOQUEADO (Aguardar liberação)", IFERROR(IF(VLOOKUP($A25,CTINTERVALO,6,0)=0,"",VLOOKUP($A25,CTINTERVALO,6,0)),""))</f>
        <v/>
      </c>
      <c r="G25" s="80"/>
      <c r="H25" s="80"/>
      <c r="I25" s="79"/>
      <c r="J25" s="79"/>
      <c r="K25" s="80"/>
    </row>
    <row r="26" spans="1:11">
      <c r="A26" s="93"/>
      <c r="B26" s="249" t="str">
        <f>IFERROR(IF(VLOOKUP($A26,CTINTERVALO,2,0)=0,"",VLOOKUP($A26,CTINTERVALO,2,0)),"")</f>
        <v/>
      </c>
      <c r="C26" s="249" t="str">
        <f>IF($B26="Não", "BLOQUEADO (Aguardar liberação)", IFERROR(IF(VLOOKUP($A26,CTINTERVALO,3,0)=0,"",VLOOKUP($A26,CTINTERVALO,3,0)),""))</f>
        <v/>
      </c>
      <c r="D26" s="249" t="str">
        <f>IF($B26="Não", "BLOQUEADO (Aguardar liberação)", IFERROR(IF(VLOOKUP($A26,CTINTERVALO,4,0)=0,"",VLOOKUP($A26,CTINTERVALO,4,0)),""))</f>
        <v/>
      </c>
      <c r="E26" s="249"/>
      <c r="F26" s="249" t="str">
        <f>IF($B26="Não", "BLOQUEADO (Aguardar liberação)", IFERROR(IF(VLOOKUP($A26,CTINTERVALO,6,0)=0,"",VLOOKUP($A26,CTINTERVALO,6,0)),""))</f>
        <v/>
      </c>
      <c r="G26" s="80"/>
      <c r="H26" s="80"/>
      <c r="I26" s="79"/>
      <c r="J26" s="79"/>
      <c r="K26" s="80"/>
    </row>
    <row r="27" spans="1:11">
      <c r="A27" s="93"/>
      <c r="B27" s="249" t="str">
        <f>IFERROR(IF(VLOOKUP($A27,CTINTERVALO,2,0)=0,"",VLOOKUP($A27,CTINTERVALO,2,0)),"")</f>
        <v/>
      </c>
      <c r="C27" s="249" t="str">
        <f>IF($B27="Não", "BLOQUEADO (Aguardar liberação)", IFERROR(IF(VLOOKUP($A27,CTINTERVALO,3,0)=0,"",VLOOKUP($A27,CTINTERVALO,3,0)),""))</f>
        <v/>
      </c>
      <c r="D27" s="249" t="str">
        <f>IF($B27="Não", "BLOQUEADO (Aguardar liberação)", IFERROR(IF(VLOOKUP($A27,CTINTERVALO,4,0)=0,"",VLOOKUP($A27,CTINTERVALO,4,0)),""))</f>
        <v/>
      </c>
      <c r="E27" s="249"/>
      <c r="F27" s="249" t="str">
        <f>IF($B27="Não", "BLOQUEADO (Aguardar liberação)", IFERROR(IF(VLOOKUP($A27,CTINTERVALO,6,0)=0,"",VLOOKUP($A27,CTINTERVALO,6,0)),""))</f>
        <v/>
      </c>
      <c r="G27" s="80"/>
      <c r="H27" s="80"/>
      <c r="I27" s="79"/>
      <c r="J27" s="79"/>
      <c r="K27" s="80"/>
    </row>
    <row r="28" spans="1:11">
      <c r="A28" s="93"/>
      <c r="B28" s="249" t="str">
        <f>IFERROR(IF(VLOOKUP($A28,CTINTERVALO,2,0)=0,"",VLOOKUP($A28,CTINTERVALO,2,0)),"")</f>
        <v/>
      </c>
      <c r="C28" s="249" t="str">
        <f>IF($B28="Não", "BLOQUEADO (Aguardar liberação)", IFERROR(IF(VLOOKUP($A28,CTINTERVALO,3,0)=0,"",VLOOKUP($A28,CTINTERVALO,3,0)),""))</f>
        <v/>
      </c>
      <c r="D28" s="249" t="str">
        <f>IF($B28="Não", "BLOQUEADO (Aguardar liberação)", IFERROR(IF(VLOOKUP($A28,CTINTERVALO,4,0)=0,"",VLOOKUP($A28,CTINTERVALO,4,0)),""))</f>
        <v/>
      </c>
      <c r="E28" s="249"/>
      <c r="F28" s="249" t="str">
        <f>IF($B28="Não", "BLOQUEADO (Aguardar liberação)", IFERROR(IF(VLOOKUP($A28,CTINTERVALO,6,0)=0,"",VLOOKUP($A28,CTINTERVALO,6,0)),""))</f>
        <v/>
      </c>
      <c r="G28" s="80"/>
      <c r="H28" s="80"/>
      <c r="I28" s="79"/>
      <c r="J28" s="79"/>
      <c r="K28" s="80"/>
    </row>
    <row r="29" spans="1:11">
      <c r="A29" s="93"/>
      <c r="B29" s="249" t="str">
        <f>IFERROR(IF(VLOOKUP($A29,CTINTERVALO,2,0)=0,"",VLOOKUP($A29,CTINTERVALO,2,0)),"")</f>
        <v/>
      </c>
      <c r="C29" s="249" t="str">
        <f>IF($B29="Não", "BLOQUEADO (Aguardar liberação)", IFERROR(IF(VLOOKUP($A29,CTINTERVALO,3,0)=0,"",VLOOKUP($A29,CTINTERVALO,3,0)),""))</f>
        <v/>
      </c>
      <c r="D29" s="249" t="str">
        <f>IF($B29="Não", "BLOQUEADO (Aguardar liberação)", IFERROR(IF(VLOOKUP($A29,CTINTERVALO,4,0)=0,"",VLOOKUP($A29,CTINTERVALO,4,0)),""))</f>
        <v/>
      </c>
      <c r="E29" s="249"/>
      <c r="F29" s="249" t="str">
        <f>IF($B29="Não", "BLOQUEADO (Aguardar liberação)", IFERROR(IF(VLOOKUP($A29,CTINTERVALO,6,0)=0,"",VLOOKUP($A29,CTINTERVALO,6,0)),""))</f>
        <v/>
      </c>
      <c r="G29" s="80"/>
      <c r="H29" s="80"/>
      <c r="I29" s="79"/>
      <c r="J29" s="79"/>
      <c r="K29" s="80"/>
    </row>
    <row r="30" spans="1:11">
      <c r="A30" s="93"/>
      <c r="B30" s="249" t="str">
        <f>IFERROR(IF(VLOOKUP($A30,CTINTERVALO,2,0)=0,"",VLOOKUP($A30,CTINTERVALO,2,0)),"")</f>
        <v/>
      </c>
      <c r="C30" s="249" t="str">
        <f>IF($B30="Não", "BLOQUEADO (Aguardar liberação)", IFERROR(IF(VLOOKUP($A30,CTINTERVALO,3,0)=0,"",VLOOKUP($A30,CTINTERVALO,3,0)),""))</f>
        <v/>
      </c>
      <c r="D30" s="249" t="str">
        <f>IF($B30="Não", "BLOQUEADO (Aguardar liberação)", IFERROR(IF(VLOOKUP($A30,CTINTERVALO,4,0)=0,"",VLOOKUP($A30,CTINTERVALO,4,0)),""))</f>
        <v/>
      </c>
      <c r="E30" s="249"/>
      <c r="F30" s="249" t="str">
        <f>IF($B30="Não", "BLOQUEADO (Aguardar liberação)", IFERROR(IF(VLOOKUP($A30,CTINTERVALO,6,0)=0,"",VLOOKUP($A30,CTINTERVALO,6,0)),""))</f>
        <v/>
      </c>
      <c r="G30" s="80"/>
      <c r="H30" s="80"/>
      <c r="I30" s="79"/>
      <c r="J30" s="79"/>
      <c r="K30" s="80"/>
    </row>
    <row r="31" spans="1:11">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79"/>
      <c r="K31" s="80"/>
    </row>
    <row r="32" spans="1:11">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79"/>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79"/>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79"/>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79"/>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79"/>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79"/>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79"/>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79"/>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79"/>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79"/>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79"/>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79"/>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79"/>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79"/>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79"/>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79"/>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79"/>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79"/>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79"/>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79"/>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79"/>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79"/>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79"/>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79"/>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79"/>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79"/>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79"/>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79"/>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79"/>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79"/>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79"/>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79"/>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79"/>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79"/>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79"/>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79"/>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79"/>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79"/>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79"/>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79"/>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79"/>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79"/>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79"/>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79"/>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79"/>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79"/>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79"/>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79"/>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79"/>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79"/>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79"/>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79"/>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79"/>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79"/>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79"/>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79"/>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79"/>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79"/>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79"/>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79"/>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79"/>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79"/>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79"/>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79"/>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79"/>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79"/>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79"/>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79"/>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79"/>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79"/>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79"/>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79"/>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79"/>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79"/>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79"/>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79"/>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79"/>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79"/>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79"/>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79"/>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79"/>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79"/>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79"/>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79"/>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79"/>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79"/>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79"/>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79"/>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79"/>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79"/>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79"/>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79"/>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79"/>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79"/>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79"/>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79"/>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79"/>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79"/>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79"/>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79"/>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79"/>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79"/>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79"/>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79"/>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79"/>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79"/>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79"/>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79"/>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79"/>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79"/>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79"/>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79"/>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79"/>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79"/>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79"/>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79"/>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79"/>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79"/>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79"/>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79"/>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79"/>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79"/>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79"/>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79"/>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79"/>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79"/>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79"/>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79"/>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79"/>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79"/>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79"/>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79"/>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79"/>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79"/>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79"/>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79"/>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79"/>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79"/>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79"/>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79"/>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79"/>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79"/>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79"/>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79"/>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79"/>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79"/>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79"/>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79"/>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79"/>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79"/>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79"/>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79"/>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79"/>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79"/>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79"/>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79"/>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79"/>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79"/>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79"/>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79"/>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79"/>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79"/>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79"/>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79"/>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79"/>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79"/>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79"/>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79"/>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79"/>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79"/>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79"/>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79"/>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79"/>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79"/>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79"/>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79"/>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79"/>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79"/>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79"/>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79"/>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79"/>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79"/>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79"/>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79"/>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79"/>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79"/>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79"/>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79"/>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79"/>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79"/>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79"/>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79"/>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79"/>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79"/>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79"/>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79"/>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79"/>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79"/>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79"/>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79"/>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79"/>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79"/>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79"/>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79"/>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79"/>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79"/>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79"/>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79"/>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79"/>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79"/>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79"/>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79"/>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79"/>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79"/>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79"/>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79"/>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79"/>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79"/>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79"/>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79"/>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79"/>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79"/>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79"/>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79"/>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79"/>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79"/>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79"/>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79"/>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79"/>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79"/>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79"/>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79"/>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79"/>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79"/>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79"/>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79"/>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79"/>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79"/>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79"/>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79"/>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79"/>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79"/>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79"/>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79"/>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79"/>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79"/>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79"/>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79"/>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79"/>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79"/>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79"/>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79"/>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79"/>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79"/>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79"/>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79"/>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79"/>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79"/>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79"/>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79"/>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79"/>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79"/>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79"/>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79"/>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79"/>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79"/>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c r="F298" s="249" t="str">
        <f>IF($B298="Não", "BLOQUEADO (Aguardar liberação)", IFERROR(IF(VLOOKUP($A298,CTINTERVALO,6,0)=0,"",VLOOKUP($A298,CTINTERVALO,6,0)),""))</f>
        <v/>
      </c>
      <c r="G298" s="80"/>
      <c r="H298" s="80"/>
      <c r="I298" s="79"/>
      <c r="J298" s="79"/>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t="str">
        <f>IF($B299="Não", "BLOQUEADO (Aguardar liberação)", "")</f>
        <v/>
      </c>
      <c r="F299" s="249" t="str">
        <f>IF($B299="Não", "BLOQUEADO (Aguardar liberação)", IFERROR(IF(VLOOKUP($A299,CTINTERVALO,6,0)=0,"",VLOOKUP($A299,CTINTERVALO,6,0)),""))</f>
        <v/>
      </c>
      <c r="G299" s="80"/>
      <c r="H299" s="80"/>
      <c r="I299" s="79"/>
      <c r="J299" s="79"/>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79"/>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79"/>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79"/>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79"/>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79"/>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79"/>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79"/>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79"/>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79"/>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79"/>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79"/>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79"/>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79"/>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79"/>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79"/>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79"/>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79"/>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79"/>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79"/>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79"/>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79"/>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79"/>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79"/>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79"/>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79"/>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79"/>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79"/>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79"/>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79"/>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79"/>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79"/>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79"/>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79"/>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79"/>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79"/>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79"/>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79"/>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79"/>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79"/>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79"/>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79"/>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79"/>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79"/>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79"/>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79"/>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79"/>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79"/>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79"/>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79"/>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79"/>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79"/>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79"/>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79"/>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79"/>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79"/>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79"/>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79"/>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79"/>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79"/>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79"/>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79"/>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79"/>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79"/>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79"/>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79"/>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79"/>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79"/>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79"/>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79"/>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79"/>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79"/>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79"/>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79"/>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79"/>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79"/>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79"/>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79"/>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79"/>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79"/>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79"/>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79"/>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79"/>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79"/>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79"/>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79"/>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79"/>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79"/>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79"/>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79"/>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79"/>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79"/>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79"/>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79"/>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79"/>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79"/>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79"/>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79"/>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79"/>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79"/>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79"/>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c r="H400" s="80"/>
      <c r="I400" s="79"/>
      <c r="J400" s="79"/>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t="str">
        <f>IF($B401="Não", "BLOQUEADO (Aguardar liberação)", "")</f>
        <v/>
      </c>
      <c r="H401" s="80"/>
      <c r="I401" s="79"/>
      <c r="J401" s="79"/>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79"/>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79"/>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79"/>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79"/>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79"/>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79"/>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79"/>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79"/>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79"/>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79"/>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79"/>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79"/>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79"/>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79"/>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79"/>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79"/>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79"/>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79"/>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79"/>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79"/>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79"/>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79"/>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79"/>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79"/>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79"/>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79"/>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79"/>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79"/>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79"/>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79"/>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79"/>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79"/>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79"/>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79"/>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79"/>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79"/>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79"/>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79"/>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79"/>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79"/>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79"/>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79"/>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79"/>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79"/>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79"/>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79"/>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79"/>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79"/>
      <c r="K449" s="80"/>
    </row>
    <row r="450" spans="1:11">
      <c r="A450" s="93"/>
      <c r="B450" s="249" t="str">
        <f>IFERROR(IF(VLOOKUP($A450,CTINTERVALO,2,0)=0,"",VLOOKUP($A450,CTINTERVALO,2,0)),"")</f>
        <v/>
      </c>
      <c r="C450" s="249" t="str">
        <f>IF($B450="Não", "BLOQUEADO (Aguardar liberação)", IFERROR(IF(VLOOKUP($A450,CTINTERVALO,3,0)=0,"",VLOOKUP($A450,CTINTERVALO,3,0)),""))</f>
        <v/>
      </c>
      <c r="D450" s="249" t="str">
        <f>IF($B450="Não", "BLOQUEADO (Aguardar liberação)", IFERROR(IF(VLOOKUP($A450,CTINTERVALO,4,0)=0,"",VLOOKUP($A450,CTINTERVALO,4,0)),""))</f>
        <v/>
      </c>
      <c r="E450" s="249" t="str">
        <f>IF($B450="Não", "BLOQUEADO (Aguardar liberação)", "")</f>
        <v/>
      </c>
      <c r="F450" s="249" t="str">
        <f>IF($B450="Não", "BLOQUEADO (Aguardar liberação)", IFERROR(IF(VLOOKUP($A450,CTINTERVALO,6,0)=0,"",VLOOKUP($A450,CTINTERVALO,6,0)),""))</f>
        <v/>
      </c>
      <c r="G450" s="80" t="str">
        <f>IF($B450="Não", "BLOQUEADO (Aguardar liberação)", "")</f>
        <v/>
      </c>
      <c r="H450" s="80"/>
      <c r="I450" s="79"/>
      <c r="J450" s="79"/>
      <c r="K450" s="80"/>
    </row>
  </sheetData>
  <mergeCells count="10">
    <mergeCell ref="G6:G7"/>
    <mergeCell ref="H6:H7"/>
    <mergeCell ref="J6:J7"/>
    <mergeCell ref="K6:K7"/>
    <mergeCell ref="A6:A7"/>
    <mergeCell ref="B6:B7"/>
    <mergeCell ref="C6:C7"/>
    <mergeCell ref="D6:D7"/>
    <mergeCell ref="E6:E7"/>
    <mergeCell ref="F6:F7"/>
  </mergeCells>
  <conditionalFormatting sqref="C8:H450">
    <cfRule type="expression" dxfId="109"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BA64A861-C820-4C5F-B868-825CAA8ADA51}">
            <xm:f>$H8=Principal!$Q$10</xm:f>
            <x14:dxf>
              <fill>
                <patternFill patternType="solid">
                  <bgColor rgb="FF00B050"/>
                </patternFill>
              </fill>
            </x14:dxf>
          </x14:cfRule>
          <x14:cfRule type="expression" priority="3" id="{E2220BF7-8810-4CD6-BF8D-40B4C8F0284D}">
            <xm:f>$H8=Principal!$Q$17</xm:f>
            <x14:dxf>
              <fill>
                <patternFill patternType="solid">
                  <bgColor rgb="FFFFFF00"/>
                </patternFill>
              </fill>
            </x14:dxf>
          </x14:cfRule>
          <x14:cfRule type="expression" priority="4" id="{81A30615-D863-4574-AABB-A9DDB975E18A}">
            <xm:f>$H8=Principal!$Q$16</xm:f>
            <x14:dxf>
              <fill>
                <patternFill patternType="solid">
                  <bgColor rgb="FFDD46E8"/>
                </patternFill>
              </fill>
            </x14:dxf>
          </x14:cfRule>
          <x14:cfRule type="expression" priority="5" id="{AD2F6974-D065-4E49-BC45-DF6352954C7C}">
            <xm:f>$H8=Principal!$Q$15</xm:f>
            <x14:dxf>
              <fill>
                <patternFill>
                  <bgColor theme="8" tint="0.59996337778862885"/>
                </patternFill>
              </fill>
            </x14:dxf>
          </x14:cfRule>
          <x14:cfRule type="expression" priority="6" id="{081A63A8-47F8-4403-86FD-EEECD8442AAC}">
            <xm:f>$H8=Principal!$Q$14</xm:f>
            <x14:dxf>
              <fill>
                <patternFill>
                  <bgColor theme="7" tint="0.59996337778862885"/>
                </patternFill>
              </fill>
            </x14:dxf>
          </x14:cfRule>
          <x14:cfRule type="expression" priority="7" id="{C90F94F7-7D95-4CB3-9BEC-0A2E0AFD5763}">
            <xm:f>$H8=Principal!$Q$11</xm:f>
            <x14:dxf>
              <fill>
                <patternFill>
                  <bgColor rgb="FFFF5050"/>
                </patternFill>
              </fill>
            </x14:dxf>
          </x14:cfRule>
          <xm:sqref>C8:H450</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DDF69E64-1B4B-469C-B801-070F347D6F49}">
          <x14:formula1>
            <xm:f>Principal!$Q$9:$Q$17</xm:f>
          </x14:formula1>
          <xm:sqref>H8:H450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4014F-6958-437E-A1F2-63A3C6112F88}">
  <dimension ref="A1:K451"/>
  <sheetViews>
    <sheetView topLeftCell="A20" workbookViewId="0">
      <selection activeCell="E13" sqref="E13"/>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40.85546875" style="64" customWidth="1"/>
    <col min="8" max="8" width="17.28515625" style="64" customWidth="1"/>
    <col min="9" max="9" width="22.140625" style="60" customWidth="1"/>
    <col min="10" max="10" width="13.7109375" style="64" customWidth="1"/>
    <col min="11" max="11" width="47.7109375" style="64" customWidth="1"/>
    <col min="12" max="12" width="17.7109375" customWidth="1"/>
    <col min="13" max="13" width="18.28515625" customWidth="1"/>
  </cols>
  <sheetData>
    <row r="1" spans="1:11">
      <c r="A1" s="240"/>
      <c r="B1" s="240"/>
      <c r="C1" s="241" t="s">
        <v>250</v>
      </c>
      <c r="D1" s="242"/>
      <c r="E1" s="241" t="s">
        <v>1</v>
      </c>
      <c r="F1" s="243">
        <f>COUNTA(H8:H451)</f>
        <v>14</v>
      </c>
      <c r="G1" s="244" t="s">
        <v>2</v>
      </c>
      <c r="H1" s="243">
        <f>COUNTIFS(H$8:H$451,"=Sucesso")</f>
        <v>13</v>
      </c>
      <c r="I1" s="240"/>
      <c r="J1" s="240"/>
      <c r="K1" s="240"/>
    </row>
    <row r="2" spans="1:11">
      <c r="A2" s="240"/>
      <c r="B2" s="240"/>
      <c r="C2" s="244" t="s">
        <v>251</v>
      </c>
      <c r="D2" s="243"/>
      <c r="E2" s="241" t="s">
        <v>4</v>
      </c>
      <c r="F2" s="243">
        <f>COUNTIF(H8:H451,"=Não Executado")</f>
        <v>0</v>
      </c>
      <c r="G2" s="244" t="s">
        <v>5</v>
      </c>
      <c r="H2" s="243">
        <f>COUNTIFS(H$8:H$451,"=Falha")</f>
        <v>0</v>
      </c>
      <c r="I2" s="240"/>
      <c r="J2" s="240"/>
      <c r="K2" s="240"/>
    </row>
    <row r="3" spans="1:11">
      <c r="A3" s="240"/>
      <c r="B3" s="240"/>
      <c r="C3" s="244" t="s">
        <v>6</v>
      </c>
      <c r="D3" s="244"/>
      <c r="E3" s="244" t="s">
        <v>7</v>
      </c>
      <c r="F3" s="243">
        <f>COUNTIFS(H8:H451,"=Falha") + COUNTIFS(H8:H451,"=Sucesso") + COUNTIFS(H8:H451,"=Pendência Externa")+ COUNTIFS(H8:H451,"=Demanda")+ COUNTIFS(H8:H451,"=Sugestão")</f>
        <v>14</v>
      </c>
      <c r="G3" s="244" t="s">
        <v>8</v>
      </c>
      <c r="H3" s="243">
        <f>COUNTIFS(H$8:H$451,"=Pendência Externa")</f>
        <v>0</v>
      </c>
      <c r="I3" s="240"/>
      <c r="J3" s="240"/>
      <c r="K3" s="245"/>
    </row>
    <row r="4" spans="1:11">
      <c r="A4" s="240"/>
      <c r="B4" s="240"/>
      <c r="C4" s="240"/>
      <c r="D4" s="244"/>
      <c r="E4" s="244" t="s">
        <v>9</v>
      </c>
      <c r="F4" s="246">
        <f>IF(COUNTA(H8:H451)&gt;0,F3/IF(COUNTA(H8:H451)=0, 1, COUNTA(H8:H451)),0)</f>
        <v>1</v>
      </c>
      <c r="G4" s="244" t="s">
        <v>10</v>
      </c>
      <c r="H4" s="243">
        <f>COUNTIFS(H$8:H$451,"=Sugestão")</f>
        <v>1</v>
      </c>
      <c r="I4" s="240"/>
      <c r="J4" s="240"/>
      <c r="K4" s="240"/>
    </row>
    <row r="5" spans="1:11">
      <c r="A5" s="240"/>
      <c r="B5" s="240"/>
      <c r="C5" s="240"/>
      <c r="D5" s="240"/>
      <c r="E5" s="240"/>
      <c r="F5" s="240"/>
      <c r="G5" s="240"/>
      <c r="H5" s="240"/>
      <c r="I5" s="240"/>
      <c r="J5" s="240"/>
      <c r="K5" s="240"/>
    </row>
    <row r="6" spans="1:11" ht="15" customHeight="1">
      <c r="A6" s="355" t="s">
        <v>11</v>
      </c>
      <c r="B6" s="352" t="s">
        <v>12</v>
      </c>
      <c r="C6" s="355" t="s">
        <v>13</v>
      </c>
      <c r="D6" s="355" t="s">
        <v>14</v>
      </c>
      <c r="E6" s="352" t="s">
        <v>15</v>
      </c>
      <c r="F6" s="355" t="s">
        <v>16</v>
      </c>
      <c r="G6" s="352" t="s">
        <v>17</v>
      </c>
      <c r="H6" s="352" t="s">
        <v>18</v>
      </c>
      <c r="I6" s="247" t="s">
        <v>19</v>
      </c>
      <c r="J6" s="352" t="s">
        <v>20</v>
      </c>
      <c r="K6" s="352" t="s">
        <v>21</v>
      </c>
    </row>
    <row r="7" spans="1:11">
      <c r="A7" s="352"/>
      <c r="B7" s="354"/>
      <c r="C7" s="352"/>
      <c r="D7" s="352"/>
      <c r="E7" s="353"/>
      <c r="F7" s="352"/>
      <c r="G7" s="353"/>
      <c r="H7" s="353"/>
      <c r="I7" s="248"/>
      <c r="J7" s="354"/>
      <c r="K7" s="353"/>
    </row>
    <row r="8" spans="1:11" ht="153.75" customHeight="1">
      <c r="A8" s="93">
        <v>1</v>
      </c>
      <c r="B8" s="249" t="str">
        <f>IFERROR(IF(VLOOKUP($A8,CTINTERVALO,2,0)=0,"",VLOOKUP($A8,CTINTERVALO,2,0)),"")</f>
        <v>Sim</v>
      </c>
      <c r="C8" s="249" t="str">
        <f>IF($B8="Não", "BLOQUEADO (Aguardar liberação)", IFERROR(IF(VLOOKUP($A8,CTINTERVALO,3,0)=0,"",VLOOKUP($A8,CTINTERVALO,3,0)),""))</f>
        <v>Reimportar relações previdenciárias no envio da perícia médica médica para requerimento de segurado especial</v>
      </c>
      <c r="D8" s="249" t="str">
        <f>IF($B8="Não", "BLOQUEADO (Aguardar liberação)", IFERROR(IF(VLOOKUP($A8,CTINTERVALO,4,0)=0,"",VLOOKUP($A8,CTINTERVALO,4,0)),""))</f>
        <v>Sistema deve reimportar as relações previdenciárias, ou seja, haverá alteração dos vínculos após do envio da pericia</v>
      </c>
      <c r="E8" s="249" t="s">
        <v>252</v>
      </c>
      <c r="F8" s="249" t="str">
        <f>IF($B8="Não", "BLOQUEADO (Aguardar liberação)", IFERROR(IF(VLOOKUP($A8,CTINTERVALO,6,0)=0,"",VLOOKUP($A8,CTINTERVALO,6,0)),""))</f>
        <v>Consultar o NB (coluna E) no Portal SIBE  e conferir as relações previdenciárias
Alterar PROTOCOLO do JSON (coluna H) e enviar a perecia através do serviço de informar pericia 
(http://hsibepuapr01h/sibews/api-test/#!/pmf/informarPericiaMedicaBI)</v>
      </c>
      <c r="G8" s="80" t="s">
        <v>253</v>
      </c>
      <c r="H8" s="80" t="s">
        <v>10</v>
      </c>
      <c r="I8" s="79"/>
      <c r="J8" s="280">
        <v>46244</v>
      </c>
      <c r="K8" s="80" t="s">
        <v>254</v>
      </c>
    </row>
    <row r="9" spans="1:11" ht="105.75" customHeight="1">
      <c r="A9" s="93">
        <v>2</v>
      </c>
      <c r="B9" s="249" t="str">
        <f>IFERROR(IF(VLOOKUP($A9,CTINTERVALO,2,0)=0,"",VLOOKUP($A9,CTINTERVALO,2,0)),"")</f>
        <v>Sim</v>
      </c>
      <c r="C9" s="249" t="str">
        <f>IF($B9="Não", "BLOQUEADO (Aguardar liberação)", IFERROR(IF(VLOOKUP($A9,CTINTERVALO,3,0)=0,"",VLOOKUP($A9,CTINTERVALO,3,0)),""))</f>
        <v>Reimportar relações previdenciárias no envio da perícia médica médica para requerimento de outros tipos de vínculo</v>
      </c>
      <c r="D9" s="249" t="str">
        <f>IF($B9="Não", "BLOQUEADO (Aguardar liberação)", IFERROR(IF(VLOOKUP($A9,CTINTERVALO,4,0)=0,"",VLOOKUP($A9,CTINTERVALO,4,0)),""))</f>
        <v>Sistema deve reimportar as relações previdenciárias, ou seja, haverá alteração dos vínculos após do envio da pericia</v>
      </c>
      <c r="E9" s="249" t="s">
        <v>255</v>
      </c>
      <c r="F9" s="249" t="str">
        <f>IF($B9="Não", "BLOQUEADO (Aguardar liberação)", IFERROR(IF(VLOOKUP($A9,CTINTERVALO,6,0)=0,"",VLOOKUP($A9,CTINTERVALO,6,0)),""))</f>
        <v>Consultar o NB (coluna E) no Portal SIBE  e conferir as relações previdenciárias
Alterar PROTOCOLO do JSON (coluna H) e enviar a perecia através do serviço de informar pericia 
(http://hsibepuapr01h/sibews/api-test/#!/pmf/informarPericiaMedicaBI)</v>
      </c>
      <c r="G9" s="80" t="s">
        <v>256</v>
      </c>
      <c r="H9" s="80" t="s">
        <v>49</v>
      </c>
      <c r="I9" s="79"/>
      <c r="J9" s="280">
        <v>46244</v>
      </c>
      <c r="K9" s="80"/>
    </row>
    <row r="10" spans="1:11" ht="116.25" customHeight="1">
      <c r="A10" s="93">
        <v>3</v>
      </c>
      <c r="B10" s="249" t="str">
        <f>IFERROR(IF(VLOOKUP($A10,CTINTERVALO,2,0)=0,"",VLOOKUP($A10,CTINTERVALO,2,0)),"")</f>
        <v>Sim</v>
      </c>
      <c r="C10" s="249" t="str">
        <f>IF($B10="Não", "BLOQUEADO (Aguardar liberação)", IFERROR(IF(VLOOKUP($A10,CTINTERVALO,3,0)=0,"",VLOOKUP($A10,CTINTERVALO,3,0)),""))</f>
        <v>Processar um requerimento sem carencia minima, mas que o segurado alterou algum vínculo no MEU INSS.</v>
      </c>
      <c r="D10" s="249" t="str">
        <f>IF($B10="Não", "BLOQUEADO (Aguardar liberação)", IFERROR(IF(VLOOKUP($A10,CTINTERVALO,4,0)=0,"",VLOOKUP($A10,CTINTERVALO,4,0)),""))</f>
        <v>Requerimento deve ser reaberto ao finalizar e retornar a informação: 
"Confirmar relações previdenciárias do segurado ou a ausência delas
Observações: Vínculos do Segurado alterados"</v>
      </c>
      <c r="E10" s="249" t="s">
        <v>257</v>
      </c>
      <c r="F10" s="249" t="str">
        <f>IF($B10="Não", "BLOQUEADO (Aguardar liberação)", IFERROR(IF(VLOOKUP($A10,CTINTERVALO,6,0)=0,"",VLOOKUP($A10,CTINTERVALO,6,0)),""))</f>
        <v>1. Consultar NB (coluna E) no Portal SIBE
2. ir em Alterar
3. Executar verificar pendências
4. Ir em Detalhes e verificar o campo "Segurado realizou alterações nos vínculos"
5. Tentar Concluir
* Proposta de teste do cenário atual</v>
      </c>
      <c r="G10" s="80" t="s">
        <v>258</v>
      </c>
      <c r="H10" s="80" t="s">
        <v>49</v>
      </c>
      <c r="I10" s="79"/>
      <c r="J10" s="280">
        <v>46244</v>
      </c>
      <c r="K10" s="80"/>
    </row>
    <row r="11" spans="1:11" ht="116.25" customHeight="1">
      <c r="A11" s="93">
        <v>4</v>
      </c>
      <c r="B11" s="249" t="str">
        <f>IFERROR(IF(VLOOKUP($A11,CTINTERVALO,2,0)=0,"",VLOOKUP($A11,CTINTERVALO,2,0)),"")</f>
        <v>Sim</v>
      </c>
      <c r="C11" s="249" t="str">
        <f>IF($B11="Não", "BLOQUEADO (Aguardar liberação)", IFERROR(IF(VLOOKUP($A11,CTINTERVALO,3,0)=0,"",VLOOKUP($A11,CTINTERVALO,3,0)),""))</f>
        <v>Processar um requerimento sem carencia minima, mas que não há informação se segurado alterou ou não algum vínculo no MEU INSS.</v>
      </c>
      <c r="D11" s="249" t="str">
        <f>IF($B11="Não", "BLOQUEADO (Aguardar liberação)", IFERROR(IF(VLOOKUP($A11,CTINTERVALO,4,0)=0,"",VLOOKUP($A11,CTINTERVALO,4,0)),""))</f>
        <v>Requerimento deve ser reaberto ao finalizar e retornar a informação: 
"Confirmar relações previdenciárias do segurado ou a ausência delas
Observações: Vínculos do Segurado alterados"</v>
      </c>
      <c r="E11" s="249" t="s">
        <v>259</v>
      </c>
      <c r="F11" s="249" t="str">
        <f>IF($B11="Não", "BLOQUEADO (Aguardar liberação)", IFERROR(IF(VLOOKUP($A11,CTINTERVALO,6,0)=0,"",VLOOKUP($A11,CTINTERVALO,6,0)),""))</f>
        <v>1. Consultar NB (coluna E) no Portal SIBE
2. ir em Alterar
3. Executar verificar pendências
4. Ir em Detalhes e verificar o campo "Segurado realizou alterações nos vínculos"
5. Tentar Concluir
* Proposta de teste do cenário atual</v>
      </c>
      <c r="G11" s="80" t="s">
        <v>258</v>
      </c>
      <c r="H11" s="80" t="s">
        <v>49</v>
      </c>
      <c r="I11" s="79"/>
      <c r="J11" s="280">
        <v>46244</v>
      </c>
      <c r="K11" s="80"/>
    </row>
    <row r="12" spans="1:11" ht="123" customHeight="1">
      <c r="A12" s="93">
        <v>5</v>
      </c>
      <c r="B12" s="249" t="str">
        <f>IFERROR(IF(VLOOKUP($A12,CTINTERVALO,2,0)=0,"",VLOOKUP($A12,CTINTERVALO,2,0)),"")</f>
        <v>Sim</v>
      </c>
      <c r="C12" s="249" t="str">
        <f>IF($B12="Não", "BLOQUEADO (Aguardar liberação)", IFERROR(IF(VLOOKUP($A12,CTINTERVALO,3,0)=0,"",VLOOKUP($A12,CTINTERVALO,3,0)),""))</f>
        <v>Processar um requerimento sem carencia minima, mas que o segurado não alterou algum vínculo no MEU INSS.</v>
      </c>
      <c r="D12" s="249" t="str">
        <f>IF($B12="Não", "BLOQUEADO (Aguardar liberação)", IFERROR(IF(VLOOKUP($A12,CTINTERVALO,4,0)=0,"",VLOOKUP($A12,CTINTERVALO,4,0)),""))</f>
        <v>Requerimento deve ser indeferido</v>
      </c>
      <c r="E12" s="249" t="s">
        <v>260</v>
      </c>
      <c r="F12" s="249" t="str">
        <f>IF($B12="Não", "BLOQUEADO (Aguardar liberação)", IFERROR(IF(VLOOKUP($A12,CTINTERVALO,6,0)=0,"",VLOOKUP($A12,CTINTERVALO,6,0)),""))</f>
        <v>1. Consultar NB (coluna E) no Portal SIBE
2. ir em Alterar
3. Executar verificar pendências
4. Ir em Detalhes e verificar o campo "Segurado realizou alterações nos vínculos"
5. Alterar PROTOCOLO do JSON (coluna H) e enviar a perecia através do serviço de informar pericia 
(http://hsibepuapr01h/sibews/api-test/#!/pmf/informarPericiaMedicaBI)
* Proposta de teste do cenário atual</v>
      </c>
      <c r="G12" s="80" t="s">
        <v>261</v>
      </c>
      <c r="H12" s="80" t="s">
        <v>49</v>
      </c>
      <c r="I12" s="79"/>
      <c r="J12" s="280">
        <v>46244</v>
      </c>
      <c r="K12" s="80"/>
    </row>
    <row r="13" spans="1:11" ht="151.5" customHeight="1">
      <c r="A13" s="93">
        <v>6</v>
      </c>
      <c r="B13" s="249" t="str">
        <f>IFERROR(IF(VLOOKUP($A13,CTINTERVALO,2,0)=0,"",VLOOKUP($A13,CTINTERVALO,2,0)),"")</f>
        <v>Sim</v>
      </c>
      <c r="C13" s="249" t="str">
        <f>IF($B13="Não", "BLOQUEADO (Aguardar liberação)", IFERROR(IF(VLOOKUP($A13,CTINTERVALO,3,0)=0,"",VLOOKUP($A13,CTINTERVALO,3,0)),""))</f>
        <v>Processar um requerimento sem carencia minima, mas que CNIS retornou pendencia na autodeclaração do segurado especial</v>
      </c>
      <c r="D13" s="249" t="str">
        <f>IF($B13="Não", "BLOQUEADO (Aguardar liberação)", IFERROR(IF(VLOOKUP($A13,CTINTERVALO,4,0)=0,"",VLOOKUP($A13,CTINTERVALO,4,0)),""))</f>
        <v>Requerimento deve ser reaberto e retornar a mensagem: 
"Confirmar os vínculos ou ausencia dos mesmos
Observações: Possui período Segurado Especial pendente"</v>
      </c>
      <c r="E13" s="249" t="s">
        <v>262</v>
      </c>
      <c r="F13" s="249" t="str">
        <f>IF($B13="Não", "BLOQUEADO (Aguardar liberação)", IFERROR(IF(VLOOKUP($A13,CTINTERVALO,6,0)=0,"",VLOOKUP($A13,CTINTERVALO,6,0)),""))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
6. Tentar Concluir</v>
      </c>
      <c r="G13" s="80" t="s">
        <v>263</v>
      </c>
      <c r="H13" s="80" t="s">
        <v>49</v>
      </c>
      <c r="I13" s="79"/>
      <c r="J13" s="280">
        <v>46244</v>
      </c>
      <c r="K13" s="80"/>
    </row>
    <row r="14" spans="1:11" ht="136.5" customHeight="1">
      <c r="A14" s="93">
        <v>7</v>
      </c>
      <c r="B14" s="249" t="str">
        <f>IFERROR(IF(VLOOKUP($A14,CTINTERVALO,2,0)=0,"",VLOOKUP($A14,CTINTERVALO,2,0)),"")</f>
        <v>Sim</v>
      </c>
      <c r="C14" s="249" t="str">
        <f>IF($B14="Não", "BLOQUEADO (Aguardar liberação)", IFERROR(IF(VLOOKUP($A14,CTINTERVALO,3,0)=0,"",VLOOKUP($A14,CTINTERVALO,3,0)),""))</f>
        <v>Processar um requerimento sem carencia minima, mas que não há informação de pendência ou não na autodeclaração do segurado especial</v>
      </c>
      <c r="D14" s="249" t="str">
        <f>IF($B14="Não", "BLOQUEADO (Aguardar liberação)", IFERROR(IF(VLOOKUP($A14,CTINTERVALO,4,0)=0,"",VLOOKUP($A14,CTINTERVALO,4,0)),""))</f>
        <v>Requerimento deve ser indeferido</v>
      </c>
      <c r="E14" s="249" t="s">
        <v>264</v>
      </c>
      <c r="F14" s="249" t="str">
        <f>IF($B14="Não", "BLOQUEADO (Aguardar liberação)", IFERROR(IF(VLOOKUP($A14,CTINTERVALO,6,0)=0,"",VLOOKUP($A14,CTINTERVALO,6,0)),""))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4" s="80" t="s">
        <v>265</v>
      </c>
      <c r="H14" s="80" t="s">
        <v>49</v>
      </c>
      <c r="I14" s="79"/>
      <c r="J14" s="280">
        <v>46244</v>
      </c>
      <c r="K14" s="80"/>
    </row>
    <row r="15" spans="1:11" ht="118.5">
      <c r="A15" s="93">
        <v>8</v>
      </c>
      <c r="B15" s="249" t="str">
        <f>IFERROR(IF(VLOOKUP($A15,CTINTERVALO,2,0)=0,"",VLOOKUP($A15,CTINTERVALO,2,0)),"")</f>
        <v>Sim</v>
      </c>
      <c r="C15" s="249" t="str">
        <f>IF($B15="Não", "BLOQUEADO (Aguardar liberação)", IFERROR(IF(VLOOKUP($A15,CTINTERVALO,3,0)=0,"",VLOOKUP($A15,CTINTERVALO,3,0)),""))</f>
        <v>Processar um requerimento sem carencia minima, mas que CNIS não retornou pendencia na autodeclaração do segurado especial</v>
      </c>
      <c r="D15" s="249" t="str">
        <f>IF($B15="Não", "BLOQUEADO (Aguardar liberação)", IFERROR(IF(VLOOKUP($A15,CTINTERVALO,4,0)=0,"",VLOOKUP($A15,CTINTERVALO,4,0)),""))</f>
        <v>Requerimento deve ser indeferido</v>
      </c>
      <c r="E15" s="249" t="s">
        <v>266</v>
      </c>
      <c r="F15" s="249" t="str">
        <f>IF($B15="Não", "BLOQUEADO (Aguardar liberação)", IFERROR(IF(VLOOKUP($A15,CTINTERVALO,6,0)=0,"",VLOOKUP($A15,CTINTERVALO,6,0)),""))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5" s="80" t="s">
        <v>267</v>
      </c>
      <c r="H15" s="80" t="s">
        <v>49</v>
      </c>
      <c r="I15" s="79"/>
      <c r="J15" s="280">
        <v>46244</v>
      </c>
      <c r="K15" s="80"/>
    </row>
    <row r="16" spans="1:11" ht="107.25">
      <c r="A16" s="93">
        <v>9</v>
      </c>
      <c r="B16" s="249" t="str">
        <f>IFERROR(IF(VLOOKUP($A16,CTINTERVALO,2,0)=0,"",VLOOKUP($A16,CTINTERVALO,2,0)),"")</f>
        <v>Sim</v>
      </c>
      <c r="C16" s="249" t="str">
        <f>IF($B16="Não", "BLOQUEADO (Aguardar liberação)", IFERROR(IF(VLOOKUP($A16,CTINTERVALO,3,0)=0,"",VLOOKUP($A16,CTINTERVALO,3,0)),""))</f>
        <v>Tentar executar Verificar Pendencia de requerimento BPC com AAP atual que não pertence a APS de manutenção</v>
      </c>
      <c r="D16" s="249" t="str">
        <f>IF($B16="Não", "BLOQUEADO (Aguardar liberação)", IFERROR(IF(VLOOKUP($A16,CTINTERVALO,4,0)=0,"",VLOOKUP($A16,CTINTERVALO,4,0)),""))</f>
        <v>Quando detectada a pendencia de que a AAP não pertença a APS de manutenção o sistema irá mudar a AAP automaticamente no verificar pendencias</v>
      </c>
      <c r="E16" s="249" t="s">
        <v>268</v>
      </c>
      <c r="F16" s="249" t="str">
        <f>IF($B16="Não", "BLOQUEADO (Aguardar liberação)", IFERROR(IF(VLOOKUP($A16,CTINTERVALO,6,0)=0,"",VLOOKUP($A16,CTINTERVALO,6,0)),""))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6" s="80" t="s">
        <v>269</v>
      </c>
      <c r="H16" s="80" t="s">
        <v>49</v>
      </c>
      <c r="I16" s="79"/>
      <c r="J16" s="280">
        <v>46244</v>
      </c>
      <c r="K16" s="80"/>
    </row>
    <row r="17" spans="1:11" ht="125.25" customHeight="1">
      <c r="A17" s="93">
        <v>10</v>
      </c>
      <c r="B17" s="249" t="str">
        <f>IFERROR(IF(VLOOKUP($A17,CTINTERVALO,2,0)=0,"",VLOOKUP($A17,CTINTERVALO,2,0)),"")</f>
        <v>Sim</v>
      </c>
      <c r="C17" s="249" t="str">
        <f>IF($B17="Não", "BLOQUEADO (Aguardar liberação)", IFERROR(IF(VLOOKUP($A17,CTINTERVALO,3,0)=0,"",VLOOKUP($A17,CTINTERVALO,3,0)),""))</f>
        <v>Tentar executar Verificar Pendencia de requerimento BI com AAP atual que não pertence a APS de manutenção</v>
      </c>
      <c r="D17" s="249" t="str">
        <f>IF($B17="Não", "BLOQUEADO (Aguardar liberação)", IFERROR(IF(VLOOKUP($A17,CTINTERVALO,4,0)=0,"",VLOOKUP($A17,CTINTERVALO,4,0)),""))</f>
        <v>Quando detectada a pendencia de que a AAP não pertença a APS de manutenção o sistema irá mudar a AAP automaticamente no verificar pendencias</v>
      </c>
      <c r="E17" s="249" t="s">
        <v>270</v>
      </c>
      <c r="F17" s="249" t="str">
        <f>IF($B17="Não", "BLOQUEADO (Aguardar liberação)", IFERROR(IF(VLOOKUP($A17,CTINTERVALO,6,0)=0,"",VLOOKUP($A17,CTINTERVALO,6,0)),""))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7" s="80" t="s">
        <v>269</v>
      </c>
      <c r="H17" s="80" t="s">
        <v>49</v>
      </c>
      <c r="I17" s="79"/>
      <c r="J17" s="280">
        <v>46244</v>
      </c>
      <c r="K17" s="80"/>
    </row>
    <row r="18" spans="1:11" ht="288" customHeight="1">
      <c r="A18" s="93">
        <v>11</v>
      </c>
      <c r="B18" s="249" t="str">
        <f>IFERROR(IF(VLOOKUP($A18,CTINTERVALO,2,0)=0,"",VLOOKUP($A18,CTINTERVALO,2,0)),"")</f>
        <v>Sim</v>
      </c>
      <c r="C18" s="249" t="str">
        <f>IF($B18="Não", "BLOQUEADO (Aguardar liberação)", IFERROR(IF(VLOOKUP($A18,CTINTERVALO,3,0)=0,"",VLOOKUP($A18,CTINTERVALO,3,0)),""))</f>
        <v>Criar requerimento de BPC B87 e tentar DEFERIR informando forma de convívio que não condiz com a composição do grupo familiar</v>
      </c>
      <c r="D18" s="249" t="str">
        <f>IF($B18="Não", "BLOQUEADO (Aguardar liberação)", IFERROR(IF(VLOOKUP($A18,CTINTERVALO,4,0)=0,"",VLOOKUP($A18,CTINTERVALO,4,0)),""))</f>
        <v>O sistema deverá inferir automaticamente a forma de convívio correta e NÃO deverá gerar pendência de forma de convívio e deverá conceder o beneficio caso não exista motivos de indeferimento.</v>
      </c>
      <c r="E18" s="249" t="s">
        <v>271</v>
      </c>
      <c r="F18" s="249" t="str">
        <f>IF($B18="Não", "BLOQUEADO (Aguardar liberação)", IFERROR(IF(VLOOKUP($A18,CTINTERVALO,6,0)=0,"",VLOOKUP($A18,CTINTERVALO,6,0)),""))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v>
      </c>
      <c r="G18" s="80" t="s">
        <v>272</v>
      </c>
      <c r="H18" s="80" t="s">
        <v>49</v>
      </c>
      <c r="I18" s="79"/>
      <c r="J18" s="280">
        <v>46246</v>
      </c>
      <c r="K18" s="80"/>
    </row>
    <row r="19" spans="1:11" ht="288" customHeight="1">
      <c r="A19" s="93">
        <v>11</v>
      </c>
      <c r="B19" s="249" t="s">
        <v>152</v>
      </c>
      <c r="C19" s="249" t="str">
        <f>IF($B19="Não", "BLOQUEADO (Aguardar liberação)", IFERROR(IF(VLOOKUP($A19,CTINTERVALO,3,0)=0,"",VLOOKUP($A19,CTINTERVALO,3,0)),""))</f>
        <v>Criar requerimento de BPC B87 e tentar DEFERIR informando forma de convívio que não condiz com a composição do grupo familiar</v>
      </c>
      <c r="D19" s="249" t="str">
        <f>IF($B19="Não", "BLOQUEADO (Aguardar liberação)", IFERROR(IF(VLOOKUP($A19,CTINTERVALO,4,0)=0,"",VLOOKUP($A19,CTINTERVALO,4,0)),""))</f>
        <v>O sistema deverá inferir automaticamente a forma de convívio correta e NÃO deverá gerar pendência de forma de convívio e deverá conceder o beneficio caso não exista motivos de indeferimento.</v>
      </c>
      <c r="E19" s="249" t="s">
        <v>273</v>
      </c>
      <c r="F19" s="249" t="str">
        <f>IF($B19="Não", "BLOQUEADO (Aguardar liberação)", IFERROR(IF(VLOOKUP($A19,CTINTERVALO,6,0)=0,"",VLOOKUP($A19,CTINTERVALO,6,0)),""))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v>
      </c>
      <c r="G19" s="80" t="s">
        <v>274</v>
      </c>
      <c r="H19" s="80" t="s">
        <v>49</v>
      </c>
      <c r="I19" s="79"/>
      <c r="J19" s="280">
        <v>46246</v>
      </c>
      <c r="K19" s="80"/>
    </row>
    <row r="20" spans="1:11" ht="175.5" customHeight="1">
      <c r="A20" s="93">
        <v>12</v>
      </c>
      <c r="B20" s="249" t="str">
        <f>IFERROR(IF(VLOOKUP($A20,CTINTERVALO,2,0)=0,"",VLOOKUP($A20,CTINTERVALO,2,0)),"")</f>
        <v>Sim</v>
      </c>
      <c r="C20" s="249" t="str">
        <f>IF($B20="Não", "BLOQUEADO (Aguardar liberação)", IFERROR(IF(VLOOKUP($A20,CTINTERVALO,3,0)=0,"",VLOOKUP($A20,CTINTERVALO,3,0)),""))</f>
        <v>Criar requerimento de BPC B88 e tentar DEFERIR informando forma de convívio que não condiz com a composição do grupo familiar</v>
      </c>
      <c r="D20" s="249" t="str">
        <f>IF($B20="Não", "BLOQUEADO (Aguardar liberação)", IFERROR(IF(VLOOKUP($A20,CTINTERVALO,4,0)=0,"",VLOOKUP($A20,CTINTERVALO,4,0)),""))</f>
        <v>O sistema deverá inferir automaticamente a forma de convívio correta e NÃO deverá gerar pendência de forma de convívio e deverá conceder o beneficio caso não exista motivos de indeferimento.</v>
      </c>
      <c r="E20" s="249" t="s">
        <v>275</v>
      </c>
      <c r="F20" s="249" t="str">
        <f>IF($B20="Não", "BLOQUEADO (Aguardar liberação)", IFERROR(IF(VLOOKUP($A20,CTINTERVALO,6,0)=0,"",VLOOKUP($A20,CTINTERVALO,6,0)),""))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20" s="80" t="s">
        <v>276</v>
      </c>
      <c r="H20" s="80" t="s">
        <v>49</v>
      </c>
      <c r="I20" s="79"/>
      <c r="J20" s="280">
        <v>46246</v>
      </c>
      <c r="K20" s="80"/>
    </row>
    <row r="21" spans="1:11" ht="142.5">
      <c r="A21" s="93">
        <v>12</v>
      </c>
      <c r="B21" s="249" t="str">
        <f>IFERROR(IF(VLOOKUP($A21,CTINTERVALO,2,0)=0,"",VLOOKUP($A21,CTINTERVALO,2,0)),"")</f>
        <v>Sim</v>
      </c>
      <c r="C21" s="249" t="str">
        <f>IF($B21="Não", "BLOQUEADO (Aguardar liberação)", IFERROR(IF(VLOOKUP($A21,CTINTERVALO,3,0)=0,"",VLOOKUP($A21,CTINTERVALO,3,0)),""))</f>
        <v>Criar requerimento de BPC B88 e tentar DEFERIR informando forma de convívio que não condiz com a composição do grupo familiar</v>
      </c>
      <c r="D21" s="249" t="str">
        <f>IF($B21="Não", "BLOQUEADO (Aguardar liberação)", IFERROR(IF(VLOOKUP($A21,CTINTERVALO,4,0)=0,"",VLOOKUP($A21,CTINTERVALO,4,0)),""))</f>
        <v>O sistema deverá inferir automaticamente a forma de convívio correta e NÃO deverá gerar pendência de forma de convívio e deverá conceder o beneficio caso não exista motivos de indeferimento.</v>
      </c>
      <c r="E21" s="249" t="s">
        <v>277</v>
      </c>
      <c r="F21" s="249" t="str">
        <f>IF($B21="Não", "BLOQUEADO (Aguardar liberação)", IFERROR(IF(VLOOKUP($A21,CTINTERVALO,6,0)=0,"",VLOOKUP($A21,CTINTERVALO,6,0)),""))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21" s="80" t="s">
        <v>278</v>
      </c>
      <c r="H21" s="80" t="s">
        <v>49</v>
      </c>
      <c r="I21" s="79"/>
      <c r="J21" s="80"/>
      <c r="K21" s="80"/>
    </row>
    <row r="22" spans="1:11" ht="100.5" customHeight="1">
      <c r="A22" s="93">
        <v>13</v>
      </c>
      <c r="B22" s="249" t="str">
        <f>IFERROR(IF(VLOOKUP($A22,CTINTERVALO,2,0)=0,"",VLOOKUP($A22,CTINTERVALO,2,0)),"")</f>
        <v>Sim</v>
      </c>
      <c r="C22" s="249" t="str">
        <f>IF($B22="Não", "BLOQUEADO (Aguardar liberação)", IFERROR(IF(VLOOKUP($A22,CTINTERVALO,3,0)=0,"",VLOOKUP($A22,CTINTERVALO,3,0)),""))</f>
        <v>Incluir BI com cidadão com vínculo com CNPJ alfa</v>
      </c>
      <c r="D22" s="249" t="str">
        <f>IF($B22="Não", "BLOQUEADO (Aguardar liberação)", IFERROR(IF(VLOOKUP($A22,CTINTERVALO,4,0)=0,"",VLOOKUP($A22,CTINTERVALO,4,0)),""))</f>
        <v>BI Incluído com sucesso
Vínculo com CNPJ alfa presente nas relações previdenciárias</v>
      </c>
      <c r="E22" s="249"/>
      <c r="F22" s="249" t="str">
        <f>IF($B22="Não", "BLOQUEADO (Aguardar liberação)", IFERROR(IF(VLOOKUP($A22,CTINTERVALO,6,0)=0,"",VLOOKUP($A22,CTINTERVALO,6,0)),""))</f>
        <v>Alterar o CPF no JSON (coluna G). 
Enviar no serviço (http://hsibepuapr01h/sibews/api-test/#!/requerimento/incluirBI)</v>
      </c>
      <c r="G22" s="80" t="s">
        <v>279</v>
      </c>
      <c r="H22" s="80"/>
      <c r="I22" s="79"/>
      <c r="J22" s="80"/>
      <c r="K22" s="80"/>
    </row>
    <row r="23" spans="1:11">
      <c r="A23" s="93"/>
      <c r="B23" s="249" t="str">
        <f>IFERROR(IF(VLOOKUP($A23,CTINTERVALO,2,0)=0,"",VLOOKUP($A23,CTINTERVALO,2,0)),"")</f>
        <v/>
      </c>
      <c r="C23" s="249" t="str">
        <f>IF($B23="Não", "BLOQUEADO (Aguardar liberação)", IFERROR(IF(VLOOKUP($A23,CTINTERVALO,3,0)=0,"",VLOOKUP($A23,CTINTERVALO,3,0)),""))</f>
        <v/>
      </c>
      <c r="D23" s="249" t="str">
        <f>IF($B23="Não", "BLOQUEADO (Aguardar liberação)", IFERROR(IF(VLOOKUP($A23,CTINTERVALO,4,0)=0,"",VLOOKUP($A23,CTINTERVALO,4,0)),""))</f>
        <v/>
      </c>
      <c r="E23" s="249"/>
      <c r="F23" s="249" t="str">
        <f>IF($B23="Não", "BLOQUEADO (Aguardar liberação)", IFERROR(IF(VLOOKUP($A23,CTINTERVALO,6,0)=0,"",VLOOKUP($A23,CTINTERVALO,6,0)),""))</f>
        <v/>
      </c>
      <c r="G23" s="80"/>
      <c r="H23" s="80"/>
      <c r="I23" s="79"/>
      <c r="J23" s="80"/>
      <c r="K23" s="80"/>
    </row>
    <row r="24" spans="1:11">
      <c r="A24" s="93"/>
      <c r="B24" s="249" t="str">
        <f>IFERROR(IF(VLOOKUP($A24,CTINTERVALO,2,0)=0,"",VLOOKUP($A24,CTINTERVALO,2,0)),"")</f>
        <v/>
      </c>
      <c r="C24" s="249" t="str">
        <f>IF($B24="Não", "BLOQUEADO (Aguardar liberação)", IFERROR(IF(VLOOKUP($A24,CTINTERVALO,3,0)=0,"",VLOOKUP($A24,CTINTERVALO,3,0)),""))</f>
        <v/>
      </c>
      <c r="D24" s="249" t="str">
        <f>IF($B24="Não", "BLOQUEADO (Aguardar liberação)", IFERROR(IF(VLOOKUP($A24,CTINTERVALO,4,0)=0,"",VLOOKUP($A24,CTINTERVALO,4,0)),""))</f>
        <v/>
      </c>
      <c r="E24" s="249"/>
      <c r="F24" s="249" t="str">
        <f>IF($B24="Não", "BLOQUEADO (Aguardar liberação)", IFERROR(IF(VLOOKUP($A24,CTINTERVALO,6,0)=0,"",VLOOKUP($A24,CTINTERVALO,6,0)),""))</f>
        <v/>
      </c>
      <c r="G24" s="80"/>
      <c r="H24" s="80"/>
      <c r="I24" s="79"/>
      <c r="J24" s="80"/>
      <c r="K24" s="80"/>
    </row>
    <row r="25" spans="1:11">
      <c r="A25" s="93"/>
      <c r="B25" s="249" t="str">
        <f>IFERROR(IF(VLOOKUP($A25,CTINTERVALO,2,0)=0,"",VLOOKUP($A25,CTINTERVALO,2,0)),"")</f>
        <v/>
      </c>
      <c r="C25" s="249" t="str">
        <f>IF($B25="Não", "BLOQUEADO (Aguardar liberação)", IFERROR(IF(VLOOKUP($A25,CTINTERVALO,3,0)=0,"",VLOOKUP($A25,CTINTERVALO,3,0)),""))</f>
        <v/>
      </c>
      <c r="D25" s="249" t="str">
        <f>IF($B25="Não", "BLOQUEADO (Aguardar liberação)", IFERROR(IF(VLOOKUP($A25,CTINTERVALO,4,0)=0,"",VLOOKUP($A25,CTINTERVALO,4,0)),""))</f>
        <v/>
      </c>
      <c r="E25" s="249"/>
      <c r="F25" s="249" t="str">
        <f>IF($B25="Não", "BLOQUEADO (Aguardar liberação)", IFERROR(IF(VLOOKUP($A25,CTINTERVALO,6,0)=0,"",VLOOKUP($A25,CTINTERVALO,6,0)),""))</f>
        <v/>
      </c>
      <c r="G25" s="80"/>
      <c r="H25" s="80"/>
      <c r="I25" s="79"/>
      <c r="J25" s="80"/>
      <c r="K25" s="80"/>
    </row>
    <row r="26" spans="1:11">
      <c r="A26" s="93"/>
      <c r="B26" s="249" t="str">
        <f>IFERROR(IF(VLOOKUP($A26,CTINTERVALO,2,0)=0,"",VLOOKUP($A26,CTINTERVALO,2,0)),"")</f>
        <v/>
      </c>
      <c r="C26" s="249" t="str">
        <f>IF($B26="Não", "BLOQUEADO (Aguardar liberação)", IFERROR(IF(VLOOKUP($A26,CTINTERVALO,3,0)=0,"",VLOOKUP($A26,CTINTERVALO,3,0)),""))</f>
        <v/>
      </c>
      <c r="D26" s="249" t="str">
        <f>IF($B26="Não", "BLOQUEADO (Aguardar liberação)", IFERROR(IF(VLOOKUP($A26,CTINTERVALO,4,0)=0,"",VLOOKUP($A26,CTINTERVALO,4,0)),""))</f>
        <v/>
      </c>
      <c r="E26" s="249"/>
      <c r="F26" s="249" t="str">
        <f>IF($B26="Não", "BLOQUEADO (Aguardar liberação)", IFERROR(IF(VLOOKUP($A26,CTINTERVALO,6,0)=0,"",VLOOKUP($A26,CTINTERVALO,6,0)),""))</f>
        <v/>
      </c>
      <c r="G26" s="80"/>
      <c r="H26" s="80"/>
      <c r="I26" s="79"/>
      <c r="J26" s="80"/>
      <c r="K26" s="80"/>
    </row>
    <row r="27" spans="1:11">
      <c r="A27" s="93"/>
      <c r="B27" s="249" t="str">
        <f>IFERROR(IF(VLOOKUP($A27,CTINTERVALO,2,0)=0,"",VLOOKUP($A27,CTINTERVALO,2,0)),"")</f>
        <v/>
      </c>
      <c r="C27" s="249" t="str">
        <f>IF($B27="Não", "BLOQUEADO (Aguardar liberação)", IFERROR(IF(VLOOKUP($A27,CTINTERVALO,3,0)=0,"",VLOOKUP($A27,CTINTERVALO,3,0)),""))</f>
        <v/>
      </c>
      <c r="D27" s="249" t="str">
        <f>IF($B27="Não", "BLOQUEADO (Aguardar liberação)", IFERROR(IF(VLOOKUP($A27,CTINTERVALO,4,0)=0,"",VLOOKUP($A27,CTINTERVALO,4,0)),""))</f>
        <v/>
      </c>
      <c r="E27" s="249"/>
      <c r="F27" s="249" t="str">
        <f>IF($B27="Não", "BLOQUEADO (Aguardar liberação)", IFERROR(IF(VLOOKUP($A27,CTINTERVALO,6,0)=0,"",VLOOKUP($A27,CTINTERVALO,6,0)),""))</f>
        <v/>
      </c>
      <c r="G27" s="80"/>
      <c r="H27" s="80"/>
      <c r="I27" s="79"/>
      <c r="J27" s="80"/>
      <c r="K27" s="80"/>
    </row>
    <row r="28" spans="1:11">
      <c r="A28" s="93"/>
      <c r="B28" s="249" t="str">
        <f>IFERROR(IF(VLOOKUP($A28,CTINTERVALO,2,0)=0,"",VLOOKUP($A28,CTINTERVALO,2,0)),"")</f>
        <v/>
      </c>
      <c r="C28" s="249" t="str">
        <f>IF($B28="Não", "BLOQUEADO (Aguardar liberação)", IFERROR(IF(VLOOKUP($A28,CTINTERVALO,3,0)=0,"",VLOOKUP($A28,CTINTERVALO,3,0)),""))</f>
        <v/>
      </c>
      <c r="D28" s="249" t="str">
        <f>IF($B28="Não", "BLOQUEADO (Aguardar liberação)", IFERROR(IF(VLOOKUP($A28,CTINTERVALO,4,0)=0,"",VLOOKUP($A28,CTINTERVALO,4,0)),""))</f>
        <v/>
      </c>
      <c r="E28" s="249"/>
      <c r="F28" s="249" t="str">
        <f>IF($B28="Não", "BLOQUEADO (Aguardar liberação)", IFERROR(IF(VLOOKUP($A28,CTINTERVALO,6,0)=0,"",VLOOKUP($A28,CTINTERVALO,6,0)),""))</f>
        <v/>
      </c>
      <c r="G28" s="80"/>
      <c r="H28" s="80"/>
      <c r="I28" s="79"/>
      <c r="J28" s="80"/>
      <c r="K28" s="80"/>
    </row>
    <row r="29" spans="1:11">
      <c r="A29" s="93"/>
      <c r="B29" s="249" t="str">
        <f>IFERROR(IF(VLOOKUP($A29,CTINTERVALO,2,0)=0,"",VLOOKUP($A29,CTINTERVALO,2,0)),"")</f>
        <v/>
      </c>
      <c r="C29" s="249" t="str">
        <f>IF($B29="Não", "BLOQUEADO (Aguardar liberação)", IFERROR(IF(VLOOKUP($A29,CTINTERVALO,3,0)=0,"",VLOOKUP($A29,CTINTERVALO,3,0)),""))</f>
        <v/>
      </c>
      <c r="D29" s="249" t="str">
        <f>IF($B29="Não", "BLOQUEADO (Aguardar liberação)", IFERROR(IF(VLOOKUP($A29,CTINTERVALO,4,0)=0,"",VLOOKUP($A29,CTINTERVALO,4,0)),""))</f>
        <v/>
      </c>
      <c r="E29" s="249"/>
      <c r="F29" s="249" t="str">
        <f>IF($B29="Não", "BLOQUEADO (Aguardar liberação)", IFERROR(IF(VLOOKUP($A29,CTINTERVALO,6,0)=0,"",VLOOKUP($A29,CTINTERVALO,6,0)),""))</f>
        <v/>
      </c>
      <c r="G29" s="80"/>
      <c r="H29" s="80"/>
      <c r="I29" s="79"/>
      <c r="J29" s="80"/>
      <c r="K29" s="80"/>
    </row>
    <row r="30" spans="1:11">
      <c r="A30" s="93"/>
      <c r="B30" s="249" t="str">
        <f>IFERROR(IF(VLOOKUP($A30,CTINTERVALO,2,0)=0,"",VLOOKUP($A30,CTINTERVALO,2,0)),"")</f>
        <v/>
      </c>
      <c r="C30" s="249" t="str">
        <f>IF($B30="Não", "BLOQUEADO (Aguardar liberação)", IFERROR(IF(VLOOKUP($A30,CTINTERVALO,3,0)=0,"",VLOOKUP($A30,CTINTERVALO,3,0)),""))</f>
        <v/>
      </c>
      <c r="D30" s="249" t="str">
        <f>IF($B30="Não", "BLOQUEADO (Aguardar liberação)", IFERROR(IF(VLOOKUP($A30,CTINTERVALO,4,0)=0,"",VLOOKUP($A30,CTINTERVALO,4,0)),""))</f>
        <v/>
      </c>
      <c r="E30" s="249"/>
      <c r="F30" s="249" t="str">
        <f>IF($B30="Não", "BLOQUEADO (Aguardar liberação)", IFERROR(IF(VLOOKUP($A30,CTINTERVALO,6,0)=0,"",VLOOKUP($A30,CTINTERVALO,6,0)),""))</f>
        <v/>
      </c>
      <c r="G30" s="80"/>
      <c r="H30" s="80"/>
      <c r="I30" s="79"/>
      <c r="J30" s="80"/>
      <c r="K30" s="80"/>
    </row>
    <row r="31" spans="1:11">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80"/>
      <c r="K31" s="80"/>
    </row>
    <row r="32" spans="1:11">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80"/>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80"/>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80"/>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80"/>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80"/>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80"/>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80"/>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80"/>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80"/>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80"/>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80"/>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80"/>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80"/>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80"/>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80"/>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80"/>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80"/>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80"/>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80"/>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80"/>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80"/>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80"/>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80"/>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80"/>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80"/>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80"/>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80"/>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80"/>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80"/>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80"/>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80"/>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80"/>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80"/>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80"/>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80"/>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80"/>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80"/>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80"/>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80"/>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80"/>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80"/>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80"/>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80"/>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80"/>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80"/>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80"/>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80"/>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80"/>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80"/>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80"/>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80"/>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80"/>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80"/>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80"/>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80"/>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80"/>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80"/>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80"/>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80"/>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80"/>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80"/>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80"/>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80"/>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80"/>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80"/>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80"/>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80"/>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80"/>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80"/>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80"/>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80"/>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80"/>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80"/>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80"/>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80"/>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80"/>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80"/>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80"/>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80"/>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80"/>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80"/>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80"/>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80"/>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80"/>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80"/>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80"/>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80"/>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80"/>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80"/>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80"/>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80"/>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80"/>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80"/>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80"/>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80"/>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80"/>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80"/>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80"/>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80"/>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80"/>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80"/>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80"/>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80"/>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80"/>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80"/>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80"/>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80"/>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80"/>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80"/>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80"/>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80"/>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80"/>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80"/>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80"/>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80"/>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80"/>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80"/>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80"/>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80"/>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80"/>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80"/>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80"/>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80"/>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80"/>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80"/>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80"/>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80"/>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80"/>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80"/>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80"/>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80"/>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80"/>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80"/>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80"/>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80"/>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80"/>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80"/>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80"/>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80"/>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80"/>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80"/>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80"/>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80"/>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80"/>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80"/>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80"/>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80"/>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80"/>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80"/>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80"/>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80"/>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80"/>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80"/>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80"/>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80"/>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80"/>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80"/>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80"/>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80"/>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80"/>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80"/>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80"/>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80"/>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80"/>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80"/>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80"/>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80"/>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80"/>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80"/>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80"/>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80"/>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80"/>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80"/>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80"/>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80"/>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80"/>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80"/>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80"/>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80"/>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80"/>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80"/>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80"/>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80"/>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80"/>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80"/>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80"/>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80"/>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80"/>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80"/>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80"/>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80"/>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80"/>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80"/>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80"/>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80"/>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80"/>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80"/>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80"/>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80"/>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80"/>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80"/>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80"/>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80"/>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80"/>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80"/>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80"/>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80"/>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80"/>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80"/>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80"/>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80"/>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80"/>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80"/>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80"/>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80"/>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80"/>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80"/>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80"/>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80"/>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80"/>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80"/>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80"/>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80"/>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80"/>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80"/>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80"/>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80"/>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80"/>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80"/>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80"/>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80"/>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80"/>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80"/>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80"/>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80"/>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80"/>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80"/>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80"/>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80"/>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80"/>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80"/>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80"/>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80"/>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80"/>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80"/>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80"/>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80"/>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80"/>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80"/>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80"/>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80"/>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80"/>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80"/>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80"/>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80"/>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80"/>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80"/>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80"/>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80"/>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80"/>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80"/>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80"/>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80"/>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80"/>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80"/>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80"/>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c r="F298" s="249" t="str">
        <f>IF($B298="Não", "BLOQUEADO (Aguardar liberação)", IFERROR(IF(VLOOKUP($A298,CTINTERVALO,6,0)=0,"",VLOOKUP($A298,CTINTERVALO,6,0)),""))</f>
        <v/>
      </c>
      <c r="G298" s="80"/>
      <c r="H298" s="80"/>
      <c r="I298" s="79"/>
      <c r="J298" s="80"/>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c r="F299" s="249" t="str">
        <f>IF($B299="Não", "BLOQUEADO (Aguardar liberação)", IFERROR(IF(VLOOKUP($A299,CTINTERVALO,6,0)=0,"",VLOOKUP($A299,CTINTERVALO,6,0)),""))</f>
        <v/>
      </c>
      <c r="G299" s="80"/>
      <c r="H299" s="80"/>
      <c r="I299" s="79"/>
      <c r="J299" s="80"/>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80"/>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80"/>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80"/>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80"/>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80"/>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80"/>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80"/>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80"/>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80"/>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80"/>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80"/>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80"/>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80"/>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80"/>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80"/>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80"/>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80"/>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80"/>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80"/>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80"/>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80"/>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80"/>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80"/>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80"/>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80"/>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80"/>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80"/>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80"/>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80"/>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80"/>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80"/>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80"/>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80"/>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80"/>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80"/>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80"/>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80"/>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80"/>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80"/>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80"/>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80"/>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80"/>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80"/>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80"/>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80"/>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80"/>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80"/>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80"/>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80"/>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80"/>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80"/>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80"/>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80"/>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80"/>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80"/>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80"/>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80"/>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80"/>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80"/>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80"/>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80"/>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80"/>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80"/>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80"/>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80"/>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80"/>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80"/>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80"/>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80"/>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80"/>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80"/>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80"/>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80"/>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80"/>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80"/>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80"/>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80"/>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80"/>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80"/>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80"/>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80"/>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80"/>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80"/>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80"/>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80"/>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80"/>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80"/>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80"/>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80"/>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80"/>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80"/>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80"/>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80"/>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80"/>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80"/>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80"/>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80"/>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80"/>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80"/>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80"/>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c r="H400" s="80"/>
      <c r="I400" s="79"/>
      <c r="J400" s="80"/>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c r="H401" s="80"/>
      <c r="I401" s="79"/>
      <c r="J401" s="80"/>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80"/>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80"/>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80"/>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80"/>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80"/>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80"/>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80"/>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80"/>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80"/>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80"/>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80"/>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80"/>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80"/>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80"/>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80"/>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80"/>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80"/>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80"/>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80"/>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80"/>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80"/>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80"/>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80"/>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80"/>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80"/>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80"/>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80"/>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80"/>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80"/>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80"/>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80"/>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80"/>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80"/>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80"/>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80"/>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80"/>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80"/>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80"/>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80"/>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80"/>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80"/>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80"/>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80"/>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80"/>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80"/>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80"/>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80"/>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80"/>
      <c r="K449" s="80"/>
    </row>
    <row r="450" spans="1:11">
      <c r="A450" s="93"/>
      <c r="B450" s="249" t="str">
        <f>IFERROR(IF(VLOOKUP($A450,CTINTERVALO,2,0)=0,"",VLOOKUP($A450,CTINTERVALO,2,0)),"")</f>
        <v/>
      </c>
      <c r="C450" s="249" t="str">
        <f>IF($B450="Não", "BLOQUEADO (Aguardar liberação)", IFERROR(IF(VLOOKUP($A450,CTINTERVALO,3,0)=0,"",VLOOKUP($A450,CTINTERVALO,3,0)),""))</f>
        <v/>
      </c>
      <c r="D450" s="249" t="str">
        <f>IF($B450="Não", "BLOQUEADO (Aguardar liberação)", IFERROR(IF(VLOOKUP($A450,CTINTERVALO,4,0)=0,"",VLOOKUP($A450,CTINTERVALO,4,0)),""))</f>
        <v/>
      </c>
      <c r="E450" s="249" t="str">
        <f>IF($B450="Não", "BLOQUEADO (Aguardar liberação)", "")</f>
        <v/>
      </c>
      <c r="F450" s="249" t="str">
        <f>IF($B450="Não", "BLOQUEADO (Aguardar liberação)", IFERROR(IF(VLOOKUP($A450,CTINTERVALO,6,0)=0,"",VLOOKUP($A450,CTINTERVALO,6,0)),""))</f>
        <v/>
      </c>
      <c r="G450" s="80" t="str">
        <f>IF($B450="Não", "BLOQUEADO (Aguardar liberação)", "")</f>
        <v/>
      </c>
      <c r="H450" s="80"/>
      <c r="I450" s="79"/>
      <c r="J450" s="80"/>
      <c r="K450" s="80"/>
    </row>
    <row r="451" spans="1:11">
      <c r="A451" s="93"/>
      <c r="B451" s="249" t="str">
        <f>IFERROR(IF(VLOOKUP($A451,CTINTERVALO,2,0)=0,"",VLOOKUP($A451,CTINTERVALO,2,0)),"")</f>
        <v/>
      </c>
      <c r="C451" s="249" t="str">
        <f>IF($B451="Não", "BLOQUEADO (Aguardar liberação)", IFERROR(IF(VLOOKUP($A451,CTINTERVALO,3,0)=0,"",VLOOKUP($A451,CTINTERVALO,3,0)),""))</f>
        <v/>
      </c>
      <c r="D451" s="249" t="str">
        <f>IF($B451="Não", "BLOQUEADO (Aguardar liberação)", IFERROR(IF(VLOOKUP($A451,CTINTERVALO,4,0)=0,"",VLOOKUP($A451,CTINTERVALO,4,0)),""))</f>
        <v/>
      </c>
      <c r="E451" s="249" t="str">
        <f>IF($B451="Não", "BLOQUEADO (Aguardar liberação)", "")</f>
        <v/>
      </c>
      <c r="F451" s="249" t="str">
        <f>IF($B451="Não", "BLOQUEADO (Aguardar liberação)", IFERROR(IF(VLOOKUP($A451,CTINTERVALO,6,0)=0,"",VLOOKUP($A451,CTINTERVALO,6,0)),""))</f>
        <v/>
      </c>
      <c r="G451" s="80" t="str">
        <f>IF($B451="Não", "BLOQUEADO (Aguardar liberação)", "")</f>
        <v/>
      </c>
      <c r="H451" s="80"/>
      <c r="I451" s="79"/>
      <c r="J451" s="80"/>
      <c r="K451" s="80"/>
    </row>
  </sheetData>
  <mergeCells count="10">
    <mergeCell ref="G6:G7"/>
    <mergeCell ref="H6:H7"/>
    <mergeCell ref="J6:J7"/>
    <mergeCell ref="K6:K7"/>
    <mergeCell ref="A6:A7"/>
    <mergeCell ref="B6:B7"/>
    <mergeCell ref="C6:C7"/>
    <mergeCell ref="D6:D7"/>
    <mergeCell ref="E6:E7"/>
    <mergeCell ref="F6:F7"/>
  </mergeCells>
  <conditionalFormatting sqref="C8:H451">
    <cfRule type="expression" dxfId="102"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BC40199A-70FE-42DA-9E77-BE9BA2A17A2C}">
            <xm:f>$H8=Principal!$Q$10</xm:f>
            <x14:dxf>
              <fill>
                <patternFill patternType="solid">
                  <bgColor rgb="FF00B050"/>
                </patternFill>
              </fill>
            </x14:dxf>
          </x14:cfRule>
          <x14:cfRule type="expression" priority="3" id="{08E573F6-1456-4828-BF2E-3B3473DFFE39}">
            <xm:f>$H8=Principal!$Q$17</xm:f>
            <x14:dxf>
              <fill>
                <patternFill patternType="solid">
                  <bgColor rgb="FFFFFF00"/>
                </patternFill>
              </fill>
            </x14:dxf>
          </x14:cfRule>
          <x14:cfRule type="expression" priority="4" id="{FC87064E-C455-409D-B9BC-16FBEDBCDF81}">
            <xm:f>$H8=Principal!$Q$16</xm:f>
            <x14:dxf>
              <fill>
                <patternFill patternType="solid">
                  <bgColor rgb="FFDD46E8"/>
                </patternFill>
              </fill>
            </x14:dxf>
          </x14:cfRule>
          <x14:cfRule type="expression" priority="5" id="{5DE48468-A1C9-49C8-BA1B-5A7E3D86A155}">
            <xm:f>$H8=Principal!$Q$15</xm:f>
            <x14:dxf>
              <fill>
                <patternFill>
                  <bgColor theme="8" tint="0.59996337778862885"/>
                </patternFill>
              </fill>
            </x14:dxf>
          </x14:cfRule>
          <x14:cfRule type="expression" priority="6" id="{9D5373F8-BFFB-43D0-93F6-0BC838EDEACF}">
            <xm:f>$H8=Principal!$Q$14</xm:f>
            <x14:dxf>
              <fill>
                <patternFill>
                  <bgColor theme="7" tint="0.59996337778862885"/>
                </patternFill>
              </fill>
            </x14:dxf>
          </x14:cfRule>
          <x14:cfRule type="expression" priority="7" id="{F460F900-F85B-4B97-AD0E-928DC4D02A65}">
            <xm:f>$H8=Principal!$Q$11</xm:f>
            <x14:dxf>
              <fill>
                <patternFill>
                  <bgColor rgb="FFFF5050"/>
                </patternFill>
              </fill>
            </x14:dxf>
          </x14:cfRule>
          <xm:sqref>C8:H451</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32DC3A4E-835F-4567-8F82-8D9D9C934775}">
          <x14:formula1>
            <xm:f>Principal!$Q$9:$Q$17</xm:f>
          </x14:formula1>
          <xm:sqref>H8:H451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FE58B-8BB6-4AA5-BF87-DAD47AC77C1B}">
  <dimension ref="A1:K450"/>
  <sheetViews>
    <sheetView topLeftCell="B20" workbookViewId="0">
      <selection activeCell="E9" sqref="E9"/>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82"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240"/>
      <c r="B1" s="240"/>
      <c r="C1" s="241" t="s">
        <v>280</v>
      </c>
      <c r="D1" s="242"/>
      <c r="E1" s="241" t="s">
        <v>1</v>
      </c>
      <c r="F1" s="243">
        <f>COUNTA(H8:H450)</f>
        <v>15</v>
      </c>
      <c r="G1" s="244" t="s">
        <v>2</v>
      </c>
      <c r="H1" s="243">
        <f>COUNTIFS(H$8:H$450,"=Sucesso")</f>
        <v>15</v>
      </c>
      <c r="I1" s="240"/>
      <c r="J1" s="240"/>
      <c r="K1" s="240"/>
    </row>
    <row r="2" spans="1:11">
      <c r="A2" s="240"/>
      <c r="B2" s="240"/>
      <c r="C2" s="244"/>
      <c r="D2" s="243"/>
      <c r="E2" s="241" t="s">
        <v>4</v>
      </c>
      <c r="F2" s="243">
        <f>COUNTIF(H8:H450,"=Não Executado")</f>
        <v>0</v>
      </c>
      <c r="G2" s="244" t="s">
        <v>5</v>
      </c>
      <c r="H2" s="243">
        <f>COUNTIFS(H$8:H$450,"=Falha")</f>
        <v>0</v>
      </c>
      <c r="I2" s="240"/>
      <c r="J2" s="240"/>
      <c r="K2" s="240"/>
    </row>
    <row r="3" spans="1:11">
      <c r="A3" s="240"/>
      <c r="B3" s="240"/>
      <c r="C3" s="244" t="s">
        <v>6</v>
      </c>
      <c r="D3" s="244"/>
      <c r="E3" s="244" t="s">
        <v>7</v>
      </c>
      <c r="F3" s="243">
        <f>COUNTIFS(H8:H450,"=Falha") + COUNTIFS(H8:H450,"=Sucesso") + COUNTIFS(H8:H450,"=Pendência Externa")+ COUNTIFS(H8:H450,"=Demanda")+ COUNTIFS(H8:H450,"=Sugestão")</f>
        <v>15</v>
      </c>
      <c r="G3" s="244" t="s">
        <v>8</v>
      </c>
      <c r="H3" s="243">
        <f>COUNTIFS(H$8:H$450,"=Pendência Externa")</f>
        <v>0</v>
      </c>
      <c r="I3" s="240"/>
      <c r="J3" s="240"/>
      <c r="K3" s="245"/>
    </row>
    <row r="4" spans="1:11">
      <c r="A4" s="240"/>
      <c r="B4" s="240"/>
      <c r="C4" s="240"/>
      <c r="D4" s="244"/>
      <c r="E4" s="244" t="s">
        <v>9</v>
      </c>
      <c r="F4" s="246">
        <f>IF(COUNTA(H8:H450)&gt;0,F3/IF(COUNTA(H8:H450)=0, 1, COUNTA(H8:H450)),0)</f>
        <v>1</v>
      </c>
      <c r="G4" s="244" t="s">
        <v>10</v>
      </c>
      <c r="H4" s="243">
        <f>COUNTIFS(H$8:H$450,"=Sugestão")</f>
        <v>0</v>
      </c>
      <c r="I4" s="240"/>
      <c r="J4" s="240"/>
      <c r="K4" s="240"/>
    </row>
    <row r="5" spans="1:11">
      <c r="A5" s="240"/>
      <c r="B5" s="240"/>
      <c r="C5" s="240"/>
      <c r="D5" s="240"/>
      <c r="E5" s="240"/>
      <c r="F5" s="240"/>
      <c r="G5" s="240"/>
      <c r="H5" s="240"/>
      <c r="I5" s="240"/>
      <c r="J5" s="240"/>
      <c r="K5" s="240"/>
    </row>
    <row r="6" spans="1:11" ht="15" customHeight="1">
      <c r="A6" s="355" t="s">
        <v>11</v>
      </c>
      <c r="B6" s="352" t="s">
        <v>12</v>
      </c>
      <c r="C6" s="355" t="s">
        <v>13</v>
      </c>
      <c r="D6" s="355" t="s">
        <v>14</v>
      </c>
      <c r="E6" s="352" t="s">
        <v>15</v>
      </c>
      <c r="F6" s="355" t="s">
        <v>16</v>
      </c>
      <c r="G6" s="352" t="s">
        <v>17</v>
      </c>
      <c r="H6" s="352" t="s">
        <v>18</v>
      </c>
      <c r="I6" s="247" t="s">
        <v>19</v>
      </c>
      <c r="J6" s="352" t="s">
        <v>20</v>
      </c>
      <c r="K6" s="352" t="s">
        <v>21</v>
      </c>
    </row>
    <row r="7" spans="1:11" ht="14.45">
      <c r="A7" s="352"/>
      <c r="B7" s="354"/>
      <c r="C7" s="352"/>
      <c r="D7" s="352"/>
      <c r="E7" s="353"/>
      <c r="F7" s="352"/>
      <c r="G7" s="353"/>
      <c r="H7" s="353"/>
      <c r="I7" s="248"/>
      <c r="J7" s="354"/>
      <c r="K7" s="353"/>
    </row>
    <row r="8" spans="1:11" ht="102.75" customHeight="1">
      <c r="A8" s="93">
        <v>1</v>
      </c>
      <c r="B8" s="249" t="str">
        <f>IFERROR(IF(VLOOKUP($A8,CTINTERVALO,2,0)=0,"",VLOOKUP($A8,CTINTERVALO,2,0)),"")</f>
        <v>Sim</v>
      </c>
      <c r="C8" s="249" t="str">
        <f>IF($B8="Não", "BLOQUEADO (Aguardar liberação)", IFERROR(IF(VLOOKUP($A8,CTINTERVALO,3,0)=0,"",VLOOKUP($A8,CTINTERVALO,3,0)),""))</f>
        <v>Reimportar relações previdenciárias no envio da perícia médica médica para requerimento de segurado especial</v>
      </c>
      <c r="D8" s="249" t="str">
        <f>IF($B8="Não", "BLOQUEADO (Aguardar liberação)", IFERROR(IF(VLOOKUP($A8,CTINTERVALO,4,0)=0,"",VLOOKUP($A8,CTINTERVALO,4,0)),""))</f>
        <v>Sistema deve reimportar as relações previdenciárias, ou seja, haverá alteração dos vínculos após do envio da pericia</v>
      </c>
      <c r="E8" s="249" t="s">
        <v>281</v>
      </c>
      <c r="F8" s="249" t="str">
        <f>IF($B8="Não", "BLOQUEADO (Aguardar liberação)", IFERROR(IF(VLOOKUP($A8,CTINTERVALO,6,0)=0,"",VLOOKUP($A8,CTINTERVALO,6,0)),""))</f>
        <v>Consultar o NB (coluna E) no Portal SIBE  e conferir as relações previdenciárias
Alterar PROTOCOLO do JSON (coluna H) e enviar a perecia através do serviço de informar pericia 
(http://hsibepuapr01h/sibews/api-test/#!/pmf/informarPericiaMedicaBI)</v>
      </c>
      <c r="G8" s="363" t="s">
        <v>282</v>
      </c>
      <c r="H8" s="80" t="s">
        <v>49</v>
      </c>
      <c r="I8" s="79"/>
      <c r="J8" s="79"/>
      <c r="K8" s="80"/>
    </row>
    <row r="9" spans="1:11" ht="105.75" customHeight="1">
      <c r="A9" s="93">
        <v>2</v>
      </c>
      <c r="B9" s="249" t="str">
        <f>IFERROR(IF(VLOOKUP($A9,CTINTERVALO,2,0)=0,"",VLOOKUP($A9,CTINTERVALO,2,0)),"")</f>
        <v>Sim</v>
      </c>
      <c r="C9" s="249" t="str">
        <f>IF($B9="Não", "BLOQUEADO (Aguardar liberação)", IFERROR(IF(VLOOKUP($A9,CTINTERVALO,3,0)=0,"",VLOOKUP($A9,CTINTERVALO,3,0)),""))</f>
        <v>Reimportar relações previdenciárias no envio da perícia médica médica para requerimento de outros tipos de vínculo</v>
      </c>
      <c r="D9" s="249" t="str">
        <f>IF($B9="Não", "BLOQUEADO (Aguardar liberação)", IFERROR(IF(VLOOKUP($A9,CTINTERVALO,4,0)=0,"",VLOOKUP($A9,CTINTERVALO,4,0)),""))</f>
        <v>Sistema deve reimportar as relações previdenciárias, ou seja, haverá alteração dos vínculos após do envio da pericia</v>
      </c>
      <c r="E9" s="249" t="s">
        <v>283</v>
      </c>
      <c r="F9" s="249" t="str">
        <f>IF($B9="Não", "BLOQUEADO (Aguardar liberação)", IFERROR(IF(VLOOKUP($A9,CTINTERVALO,6,0)=0,"",VLOOKUP($A9,CTINTERVALO,6,0)),""))</f>
        <v>Consultar o NB (coluna E) no Portal SIBE  e conferir as relações previdenciárias
Alterar PROTOCOLO do JSON (coluna H) e enviar a perecia através do serviço de informar pericia 
(http://hsibepuapr01h/sibews/api-test/#!/pmf/informarPericiaMedicaBI)</v>
      </c>
      <c r="G9" s="80" t="s">
        <v>284</v>
      </c>
      <c r="H9" s="80" t="s">
        <v>49</v>
      </c>
      <c r="I9" s="79"/>
      <c r="J9" s="79"/>
      <c r="K9" s="80"/>
    </row>
    <row r="10" spans="1:11" ht="116.25" customHeight="1">
      <c r="A10" s="93">
        <v>3</v>
      </c>
      <c r="B10" s="249" t="str">
        <f>IFERROR(IF(VLOOKUP($A10,CTINTERVALO,2,0)=0,"",VLOOKUP($A10,CTINTERVALO,2,0)),"")</f>
        <v>Sim</v>
      </c>
      <c r="C10" s="249" t="str">
        <f>IF($B10="Não", "BLOQUEADO (Aguardar liberação)", IFERROR(IF(VLOOKUP($A10,CTINTERVALO,3,0)=0,"",VLOOKUP($A10,CTINTERVALO,3,0)),""))</f>
        <v>Processar um requerimento sem carencia minima, mas que o segurado alterou algum vínculo no MEU INSS.</v>
      </c>
      <c r="D10" s="249" t="str">
        <f>IF($B10="Não", "BLOQUEADO (Aguardar liberação)", IFERROR(IF(VLOOKUP($A10,CTINTERVALO,4,0)=0,"",VLOOKUP($A10,CTINTERVALO,4,0)),""))</f>
        <v>Requerimento deve ser reaberto ao finalizar e retornar a informação: 
"Confirmar relações previdenciárias do segurado ou a ausência delas
Observações: Vínculos do Segurado alterados"</v>
      </c>
      <c r="E10" s="53" t="s">
        <v>285</v>
      </c>
      <c r="F10" s="249" t="str">
        <f>IF($B10="Não", "BLOQUEADO (Aguardar liberação)", IFERROR(IF(VLOOKUP($A10,CTINTERVALO,6,0)=0,"",VLOOKUP($A10,CTINTERVALO,6,0)),""))</f>
        <v>1. Consultar NB (coluna E) no Portal SIBE
2. ir em Alterar
3. Executar verificar pendências
4. Ir em Detalhes e verificar o campo "Segurado realizou alterações nos vínculos"
5. Tentar Concluir
* Proposta de teste do cenário atual</v>
      </c>
      <c r="G10" s="80" t="s">
        <v>286</v>
      </c>
      <c r="H10" s="80" t="s">
        <v>49</v>
      </c>
      <c r="I10" s="79"/>
      <c r="J10" s="79"/>
      <c r="K10" s="80"/>
    </row>
    <row r="11" spans="1:11" ht="116.25" customHeight="1">
      <c r="A11" s="93">
        <v>4</v>
      </c>
      <c r="B11" s="249" t="str">
        <f>IFERROR(IF(VLOOKUP($A11,CTINTERVALO,2,0)=0,"",VLOOKUP($A11,CTINTERVALO,2,0)),"")</f>
        <v>Sim</v>
      </c>
      <c r="C11" s="249" t="str">
        <f>IF($B11="Não", "BLOQUEADO (Aguardar liberação)", IFERROR(IF(VLOOKUP($A11,CTINTERVALO,3,0)=0,"",VLOOKUP($A11,CTINTERVALO,3,0)),""))</f>
        <v>Processar um requerimento sem carencia minima, mas que não há informação se segurado alterou ou não algum vínculo no MEU INSS.</v>
      </c>
      <c r="D11" s="289" t="str">
        <f>IF($B11="Não", "BLOQUEADO (Aguardar liberação)", IFERROR(IF(VLOOKUP($A11,CTINTERVALO,4,0)=0,"",VLOOKUP($A11,CTINTERVALO,4,0)),""))</f>
        <v>Requerimento deve ser reaberto ao finalizar e retornar a informação: 
"Confirmar relações previdenciárias do segurado ou a ausência delas
Observações: Vínculos do Segurado alterados"</v>
      </c>
      <c r="E11" s="70" t="s">
        <v>287</v>
      </c>
      <c r="F11" s="290" t="str">
        <f>IF($B11="Não", "BLOQUEADO (Aguardar liberação)", IFERROR(IF(VLOOKUP($A11,CTINTERVALO,6,0)=0,"",VLOOKUP($A11,CTINTERVALO,6,0)),""))</f>
        <v>1. Consultar NB (coluna E) no Portal SIBE
2. ir em Alterar
3. Executar verificar pendências
4. Ir em Detalhes e verificar o campo "Segurado realizou alterações nos vínculos"
5. Tentar Concluir
* Proposta de teste do cenário atual</v>
      </c>
      <c r="G11" s="80" t="s">
        <v>288</v>
      </c>
      <c r="H11" s="80" t="s">
        <v>49</v>
      </c>
      <c r="I11" s="79"/>
      <c r="J11" s="79"/>
      <c r="K11" s="80"/>
    </row>
    <row r="12" spans="1:11" ht="123" customHeight="1">
      <c r="A12" s="93">
        <v>5</v>
      </c>
      <c r="B12" s="249" t="str">
        <f>IFERROR(IF(VLOOKUP($A12,CTINTERVALO,2,0)=0,"",VLOOKUP($A12,CTINTERVALO,2,0)),"")</f>
        <v>Sim</v>
      </c>
      <c r="C12" s="249" t="str">
        <f>IF($B12="Não", "BLOQUEADO (Aguardar liberação)", IFERROR(IF(VLOOKUP($A12,CTINTERVALO,3,0)=0,"",VLOOKUP($A12,CTINTERVALO,3,0)),""))</f>
        <v>Processar um requerimento sem carencia minima, mas que o segurado não alterou algum vínculo no MEU INSS.</v>
      </c>
      <c r="D12" s="249" t="str">
        <f>IF($B12="Não", "BLOQUEADO (Aguardar liberação)", IFERROR(IF(VLOOKUP($A12,CTINTERVALO,4,0)=0,"",VLOOKUP($A12,CTINTERVALO,4,0)),""))</f>
        <v>Requerimento deve ser indeferido</v>
      </c>
      <c r="E12" s="291" t="s">
        <v>289</v>
      </c>
      <c r="F12" s="249" t="str">
        <f>IF($B12="Não", "BLOQUEADO (Aguardar liberação)", IFERROR(IF(VLOOKUP($A12,CTINTERVALO,6,0)=0,"",VLOOKUP($A12,CTINTERVALO,6,0)),""))</f>
        <v>1. Consultar NB (coluna E) no Portal SIBE
2. ir em Alterar
3. Executar verificar pendências
4. Ir em Detalhes e verificar o campo "Segurado realizou alterações nos vínculos"
5. Alterar PROTOCOLO do JSON (coluna H) e enviar a perecia através do serviço de informar pericia 
(http://hsibepuapr01h/sibews/api-test/#!/pmf/informarPericiaMedicaBI)
* Proposta de teste do cenário atual</v>
      </c>
      <c r="G12" s="80" t="s">
        <v>290</v>
      </c>
      <c r="H12" s="80" t="s">
        <v>49</v>
      </c>
      <c r="I12" s="79"/>
      <c r="J12" s="79"/>
      <c r="K12" s="80"/>
    </row>
    <row r="13" spans="1:11" ht="153.75" customHeight="1">
      <c r="A13" s="93">
        <v>6</v>
      </c>
      <c r="B13" s="249" t="str">
        <f>IFERROR(IF(VLOOKUP($A13,CTINTERVALO,2,0)=0,"",VLOOKUP($A13,CTINTERVALO,2,0)),"")</f>
        <v>Sim</v>
      </c>
      <c r="C13" s="249" t="str">
        <f>IF($B13="Não", "BLOQUEADO (Aguardar liberação)", IFERROR(IF(VLOOKUP($A13,CTINTERVALO,3,0)=0,"",VLOOKUP($A13,CTINTERVALO,3,0)),""))</f>
        <v>Processar um requerimento sem carencia minima, mas que CNIS retornou pendencia na autodeclaração do segurado especial</v>
      </c>
      <c r="D13" s="249" t="str">
        <f>IF($B13="Não", "BLOQUEADO (Aguardar liberação)", IFERROR(IF(VLOOKUP($A13,CTINTERVALO,4,0)=0,"",VLOOKUP($A13,CTINTERVALO,4,0)),""))</f>
        <v>Requerimento deve ser reaberto e retornar a mensagem: 
"Confirmar os vínculos ou ausencia dos mesmos
Observações: Possui período Segurado Especial pendente"</v>
      </c>
      <c r="E13" s="249" t="s">
        <v>291</v>
      </c>
      <c r="F13" s="249" t="str">
        <f>IF($B13="Não", "BLOQUEADO (Aguardar liberação)", IFERROR(IF(VLOOKUP($A13,CTINTERVALO,6,0)=0,"",VLOOKUP($A13,CTINTERVALO,6,0)),""))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
6. Tentar Concluir</v>
      </c>
      <c r="G13" s="80" t="s">
        <v>292</v>
      </c>
      <c r="H13" s="80" t="s">
        <v>49</v>
      </c>
      <c r="I13" s="79"/>
      <c r="J13" s="79"/>
      <c r="K13" s="80"/>
    </row>
    <row r="14" spans="1:11" ht="135" customHeight="1">
      <c r="A14" s="93">
        <v>7</v>
      </c>
      <c r="B14" s="249" t="str">
        <f>IFERROR(IF(VLOOKUP($A14,CTINTERVALO,2,0)=0,"",VLOOKUP($A14,CTINTERVALO,2,0)),"")</f>
        <v>Sim</v>
      </c>
      <c r="C14" s="249" t="str">
        <f>IF($B14="Não", "BLOQUEADO (Aguardar liberação)", IFERROR(IF(VLOOKUP($A14,CTINTERVALO,3,0)=0,"",VLOOKUP($A14,CTINTERVALO,3,0)),""))</f>
        <v>Processar um requerimento sem carencia minima, mas que não há informação de pendência ou não na autodeclaração do segurado especial</v>
      </c>
      <c r="D14" s="249" t="str">
        <f>IF($B14="Não", "BLOQUEADO (Aguardar liberação)", IFERROR(IF(VLOOKUP($A14,CTINTERVALO,4,0)=0,"",VLOOKUP($A14,CTINTERVALO,4,0)),""))</f>
        <v>Requerimento deve ser indeferido</v>
      </c>
      <c r="E14" s="64" t="s">
        <v>293</v>
      </c>
      <c r="F14" s="249" t="str">
        <f>IF($B14="Não", "BLOQUEADO (Aguardar liberação)", IFERROR(IF(VLOOKUP($A14,CTINTERVALO,6,0)=0,"",VLOOKUP($A14,CTINTERVALO,6,0)),""))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4" s="80" t="s">
        <v>294</v>
      </c>
      <c r="H14" s="80" t="s">
        <v>49</v>
      </c>
      <c r="I14" s="79"/>
      <c r="J14" s="79"/>
      <c r="K14" s="80"/>
    </row>
    <row r="15" spans="1:11" ht="132.75" customHeight="1">
      <c r="A15" s="93">
        <v>8</v>
      </c>
      <c r="B15" s="249" t="str">
        <f>IFERROR(IF(VLOOKUP($A15,CTINTERVALO,2,0)=0,"",VLOOKUP($A15,CTINTERVALO,2,0)),"")</f>
        <v>Sim</v>
      </c>
      <c r="C15" s="249" t="str">
        <f>IF($B15="Não", "BLOQUEADO (Aguardar liberação)", IFERROR(IF(VLOOKUP($A15,CTINTERVALO,3,0)=0,"",VLOOKUP($A15,CTINTERVALO,3,0)),""))</f>
        <v>Processar um requerimento sem carencia minima, mas que CNIS não retornou pendencia na autodeclaração do segurado especial</v>
      </c>
      <c r="D15" s="289" t="str">
        <f>IF($B15="Não", "BLOQUEADO (Aguardar liberação)", IFERROR(IF(VLOOKUP($A15,CTINTERVALO,4,0)=0,"",VLOOKUP($A15,CTINTERVALO,4,0)),""))</f>
        <v>Requerimento deve ser indeferido</v>
      </c>
      <c r="E15" s="63" t="s">
        <v>295</v>
      </c>
      <c r="F15" s="290" t="str">
        <f>IF($B15="Não", "BLOQUEADO (Aguardar liberação)", IFERROR(IF(VLOOKUP($A15,CTINTERVALO,6,0)=0,"",VLOOKUP($A15,CTINTERVALO,6,0)),""))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5" s="80" t="s">
        <v>296</v>
      </c>
      <c r="H15" s="80" t="s">
        <v>49</v>
      </c>
      <c r="I15" s="79"/>
      <c r="J15" s="79"/>
      <c r="K15" s="80"/>
    </row>
    <row r="16" spans="1:11" ht="321.75" customHeight="1">
      <c r="A16" s="93">
        <v>9</v>
      </c>
      <c r="B16" s="249" t="str">
        <f>IFERROR(IF(VLOOKUP($A16,CTINTERVALO,2,0)=0,"",VLOOKUP($A16,CTINTERVALO,2,0)),"")</f>
        <v>Sim</v>
      </c>
      <c r="C16" s="249" t="str">
        <f>IF($B16="Não", "BLOQUEADO (Aguardar liberação)", IFERROR(IF(VLOOKUP($A16,CTINTERVALO,3,0)=0,"",VLOOKUP($A16,CTINTERVALO,3,0)),""))</f>
        <v>Tentar executar Verificar Pendencia de requerimento BPC com AAP atual que não pertence a APS de manutenção</v>
      </c>
      <c r="D16" s="249" t="str">
        <f>IF($B16="Não", "BLOQUEADO (Aguardar liberação)", IFERROR(IF(VLOOKUP($A16,CTINTERVALO,4,0)=0,"",VLOOKUP($A16,CTINTERVALO,4,0)),""))</f>
        <v>Quando detectada a pendencia de que a AAP não pertença a APS de manutenção o sistema irá mudar a AAP automaticamente no verificar pendencias</v>
      </c>
      <c r="E16" s="53" t="s">
        <v>297</v>
      </c>
      <c r="F16" s="249" t="str">
        <f>IF($B16="Não", "BLOQUEADO (Aguardar liberação)", IFERROR(IF(VLOOKUP($A16,CTINTERVALO,6,0)=0,"",VLOOKUP($A16,CTINTERVALO,6,0)),""))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6" s="363" t="s">
        <v>298</v>
      </c>
      <c r="H16" s="80" t="s">
        <v>49</v>
      </c>
      <c r="I16" s="79"/>
      <c r="J16" s="79"/>
      <c r="K16" s="80"/>
    </row>
    <row r="17" spans="1:11" ht="119.25" customHeight="1">
      <c r="A17" s="93">
        <v>10</v>
      </c>
      <c r="B17" s="249" t="str">
        <f>IFERROR(IF(VLOOKUP($A17,CTINTERVALO,2,0)=0,"",VLOOKUP($A17,CTINTERVALO,2,0)),"")</f>
        <v>Sim</v>
      </c>
      <c r="C17" s="249" t="str">
        <f>IF($B17="Não", "BLOQUEADO (Aguardar liberação)", IFERROR(IF(VLOOKUP($A17,CTINTERVALO,3,0)=0,"",VLOOKUP($A17,CTINTERVALO,3,0)),""))</f>
        <v>Tentar executar Verificar Pendencia de requerimento BI com AAP atual que não pertence a APS de manutenção</v>
      </c>
      <c r="D17" s="289" t="str">
        <f>IF($B17="Não", "BLOQUEADO (Aguardar liberação)", IFERROR(IF(VLOOKUP($A17,CTINTERVALO,4,0)=0,"",VLOOKUP($A17,CTINTERVALO,4,0)),""))</f>
        <v>Quando detectada a pendencia de que a AAP não pertença a APS de manutenção o sistema irá mudar a AAP automaticamente no verificar pendencias</v>
      </c>
      <c r="E17" s="70" t="s">
        <v>299</v>
      </c>
      <c r="F17" s="290" t="str">
        <f>IF($B17="Não", "BLOQUEADO (Aguardar liberação)", IFERROR(IF(VLOOKUP($A17,CTINTERVALO,6,0)=0,"",VLOOKUP($A17,CTINTERVALO,6,0)),""))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7" s="80" t="s">
        <v>300</v>
      </c>
      <c r="H17" s="80" t="s">
        <v>49</v>
      </c>
      <c r="I17" s="79"/>
      <c r="J17" s="79"/>
      <c r="K17" s="80"/>
    </row>
    <row r="18" spans="1:11" ht="296.25" customHeight="1">
      <c r="A18" s="93">
        <v>11</v>
      </c>
      <c r="B18" s="249" t="str">
        <f>IFERROR(IF(VLOOKUP($A18,CTINTERVALO,2,0)=0,"",VLOOKUP($A18,CTINTERVALO,2,0)),"")</f>
        <v>Sim</v>
      </c>
      <c r="C18" s="249" t="str">
        <f>IF($B18="Não", "BLOQUEADO (Aguardar liberação)", IFERROR(IF(VLOOKUP($A18,CTINTERVALO,3,0)=0,"",VLOOKUP($A18,CTINTERVALO,3,0)),""))</f>
        <v>Criar requerimento de BPC B87 e tentar DEFERIR informando forma de convívio que não condiz com a composição do grupo familiar</v>
      </c>
      <c r="D18" s="249" t="str">
        <f>IF($B18="Não", "BLOQUEADO (Aguardar liberação)", IFERROR(IF(VLOOKUP($A18,CTINTERVALO,4,0)=0,"",VLOOKUP($A18,CTINTERVALO,4,0)),""))</f>
        <v>O sistema deverá inferir automaticamente a forma de convívio correta e NÃO deverá gerar pendência de forma de convívio e deverá conceder o beneficio caso não exista motivos de indeferimento.</v>
      </c>
      <c r="E18" s="64" t="s">
        <v>301</v>
      </c>
      <c r="F18" s="249" t="str">
        <f>IF($B18="Não", "BLOQUEADO (Aguardar liberação)", IFERROR(IF(VLOOKUP($A18,CTINTERVALO,6,0)=0,"",VLOOKUP($A18,CTINTERVALO,6,0)),""))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v>
      </c>
      <c r="G18" s="80" t="s">
        <v>302</v>
      </c>
      <c r="H18" s="80" t="s">
        <v>49</v>
      </c>
      <c r="I18" s="79"/>
      <c r="J18" s="79"/>
      <c r="K18" s="80"/>
    </row>
    <row r="19" spans="1:11" ht="203.25" customHeight="1">
      <c r="A19" s="93">
        <v>12</v>
      </c>
      <c r="B19" s="249" t="str">
        <f>IFERROR(IF(VLOOKUP($A19,CTINTERVALO,2,0)=0,"",VLOOKUP($A19,CTINTERVALO,2,0)),"")</f>
        <v>Sim</v>
      </c>
      <c r="C19" s="249" t="str">
        <f>IF($B19="Não", "BLOQUEADO (Aguardar liberação)", IFERROR(IF(VLOOKUP($A19,CTINTERVALO,3,0)=0,"",VLOOKUP($A19,CTINTERVALO,3,0)),""))</f>
        <v>Criar requerimento de BPC B88 e tentar DEFERIR informando forma de convívio que não condiz com a composição do grupo familiar</v>
      </c>
      <c r="D19" s="289" t="str">
        <f>IF($B19="Não", "BLOQUEADO (Aguardar liberação)", IFERROR(IF(VLOOKUP($A19,CTINTERVALO,4,0)=0,"",VLOOKUP($A19,CTINTERVALO,4,0)),""))</f>
        <v>O sistema deverá inferir automaticamente a forma de convívio correta e NÃO deverá gerar pendência de forma de convívio e deverá conceder o beneficio caso não exista motivos de indeferimento.</v>
      </c>
      <c r="E19" s="63" t="s">
        <v>303</v>
      </c>
      <c r="F19" s="290" t="str">
        <f>IF($B19="Não", "BLOQUEADO (Aguardar liberação)", IFERROR(IF(VLOOKUP($A19,CTINTERVALO,6,0)=0,"",VLOOKUP($A19,CTINTERVALO,6,0)),""))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19" s="80"/>
      <c r="H19" s="80" t="s">
        <v>49</v>
      </c>
      <c r="I19" s="79"/>
      <c r="J19" s="79"/>
      <c r="K19" s="80"/>
    </row>
    <row r="20" spans="1:11" ht="237" customHeight="1">
      <c r="A20" s="93">
        <v>12</v>
      </c>
      <c r="B20" s="249" t="str">
        <f>IFERROR(IF(VLOOKUP($A20,CTINTERVALO,2,0)=0,"",VLOOKUP($A20,CTINTERVALO,2,0)),"")</f>
        <v>Sim</v>
      </c>
      <c r="C20" s="249" t="str">
        <f>IF($B20="Não", "BLOQUEADO (Aguardar liberação)", IFERROR(IF(VLOOKUP($A20,CTINTERVALO,3,0)=0,"",VLOOKUP($A20,CTINTERVALO,3,0)),""))</f>
        <v>Criar requerimento de BPC B88 e tentar DEFERIR informando forma de convívio que não condiz com a composição do grupo familiar</v>
      </c>
      <c r="D20" s="249" t="str">
        <f>IF($B20="Não", "BLOQUEADO (Aguardar liberação)", IFERROR(IF(VLOOKUP($A20,CTINTERVALO,4,0)=0,"",VLOOKUP($A20,CTINTERVALO,4,0)),""))</f>
        <v>O sistema deverá inferir automaticamente a forma de convívio correta e NÃO deverá gerar pendência de forma de convívio e deverá conceder o beneficio caso não exista motivos de indeferimento.</v>
      </c>
      <c r="E20" s="64" t="s">
        <v>304</v>
      </c>
      <c r="F20" s="249" t="str">
        <f>IF($B20="Não", "BLOQUEADO (Aguardar liberação)", IFERROR(IF(VLOOKUP($A20,CTINTERVALO,6,0)=0,"",VLOOKUP($A20,CTINTERVALO,6,0)),""))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20" s="80"/>
      <c r="H20" s="80" t="s">
        <v>49</v>
      </c>
      <c r="I20" s="79"/>
      <c r="J20" s="79"/>
      <c r="K20" s="80"/>
    </row>
    <row r="21" spans="1:11" ht="73.5" customHeight="1">
      <c r="A21" s="93">
        <v>13</v>
      </c>
      <c r="B21" s="249" t="str">
        <f>IFERROR(IF(VLOOKUP($A21,CTINTERVALO,2,0)=0,"",VLOOKUP($A21,CTINTERVALO,2,0)),"")</f>
        <v>Sim</v>
      </c>
      <c r="C21" s="249" t="str">
        <f>IF($B21="Não", "BLOQUEADO (Aguardar liberação)", IFERROR(IF(VLOOKUP($A21,CTINTERVALO,3,0)=0,"",VLOOKUP($A21,CTINTERVALO,3,0)),""))</f>
        <v>Incluir BI com cidadão com vínculo com CNPJ alfa</v>
      </c>
      <c r="D21" s="289" t="str">
        <f>IF($B21="Não", "BLOQUEADO (Aguardar liberação)", IFERROR(IF(VLOOKUP($A21,CTINTERVALO,4,0)=0,"",VLOOKUP($A21,CTINTERVALO,4,0)),""))</f>
        <v>BI Incluído com sucesso
Vínculo com CNPJ alfa presente nas relações previdenciárias</v>
      </c>
      <c r="E21" s="304" t="s">
        <v>305</v>
      </c>
      <c r="F21" s="290" t="str">
        <f>IF($B21="Não", "BLOQUEADO (Aguardar liberação)", IFERROR(IF(VLOOKUP($A21,CTINTERVALO,6,0)=0,"",VLOOKUP($A21,CTINTERVALO,6,0)),""))</f>
        <v>Alterar o CPF no JSON (coluna G). 
Enviar no serviço (http://hsibepuapr01h/sibews/api-test/#!/requerimento/incluirBI)</v>
      </c>
      <c r="G21" s="80" t="s">
        <v>306</v>
      </c>
      <c r="H21" s="80" t="s">
        <v>49</v>
      </c>
      <c r="I21" s="79"/>
      <c r="J21" s="79"/>
      <c r="K21" s="80"/>
    </row>
    <row r="22" spans="1:11" ht="46.5" customHeight="1">
      <c r="A22" s="93">
        <v>18</v>
      </c>
      <c r="B22" s="249" t="str">
        <f>IFERROR(IF(VLOOKUP($A22,CTINTERVALO,2,0)=0,"",VLOOKUP($A22,CTINTERVALO,2,0)),"")</f>
        <v>Sim</v>
      </c>
      <c r="C22" s="249" t="str">
        <f>IF($B22="Não", "BLOQUEADO (Aguardar liberação)", IFERROR(IF(VLOOKUP($A22,CTINTERVALO,3,0)=0,"",VLOOKUP($A22,CTINTERVALO,3,0)),""))</f>
        <v>Incluir BPC com cidadão com vínculo com CNPJ alfa</v>
      </c>
      <c r="D22" s="249" t="str">
        <f>IF($B22="Não", "BLOQUEADO (Aguardar liberação)", IFERROR(IF(VLOOKUP($A22,CTINTERVALO,4,0)=0,"",VLOOKUP($A22,CTINTERVALO,4,0)),""))</f>
        <v>BPC Incluído com sucesso
Vínculo com CNPJ alfa presente nas relações previdenciárias</v>
      </c>
      <c r="E22" s="291" t="s">
        <v>307</v>
      </c>
      <c r="F22" s="249" t="str">
        <f>IF($B22="Não", "BLOQUEADO (Aguardar liberação)", IFERROR(IF(VLOOKUP($A22,CTINTERVALO,6,0)=0,"",VLOOKUP($A22,CTINTERVALO,6,0)),""))</f>
        <v>Alterar o CPF no JSON (coluna G). 
Enviar no serviço (http://hsibepuapr01h/sibews/api-test/#!/requerimento/incluirBPC)</v>
      </c>
      <c r="G22" s="80"/>
      <c r="H22" s="80" t="s">
        <v>49</v>
      </c>
      <c r="I22" s="79"/>
      <c r="J22" s="79"/>
      <c r="K22" s="80"/>
    </row>
    <row r="23" spans="1:11">
      <c r="A23" s="93"/>
      <c r="B23" s="249" t="str">
        <f>IFERROR(IF(VLOOKUP($A23,CTINTERVALO,2,0)=0,"",VLOOKUP($A23,CTINTERVALO,2,0)),"")</f>
        <v/>
      </c>
      <c r="C23" s="249" t="str">
        <f>IF($B23="Não", "BLOQUEADO (Aguardar liberação)", IFERROR(IF(VLOOKUP($A23,CTINTERVALO,3,0)=0,"",VLOOKUP($A23,CTINTERVALO,3,0)),""))</f>
        <v/>
      </c>
      <c r="D23" s="249" t="str">
        <f>IF($B23="Não", "BLOQUEADO (Aguardar liberação)", IFERROR(IF(VLOOKUP($A23,CTINTERVALO,4,0)=0,"",VLOOKUP($A23,CTINTERVALO,4,0)),""))</f>
        <v/>
      </c>
      <c r="E23" s="249"/>
      <c r="F23" s="249" t="str">
        <f>IF($B23="Não", "BLOQUEADO (Aguardar liberação)", IFERROR(IF(VLOOKUP($A23,CTINTERVALO,6,0)=0,"",VLOOKUP($A23,CTINTERVALO,6,0)),""))</f>
        <v/>
      </c>
      <c r="G23" s="80"/>
      <c r="H23" s="80"/>
      <c r="I23" s="79"/>
      <c r="J23" s="79"/>
      <c r="K23" s="80"/>
    </row>
    <row r="24" spans="1:11">
      <c r="A24" s="93"/>
      <c r="B24" s="249" t="str">
        <f>IFERROR(IF(VLOOKUP($A24,CTINTERVALO,2,0)=0,"",VLOOKUP($A24,CTINTERVALO,2,0)),"")</f>
        <v/>
      </c>
      <c r="C24" s="249" t="str">
        <f>IF($B24="Não", "BLOQUEADO (Aguardar liberação)", IFERROR(IF(VLOOKUP($A24,CTINTERVALO,3,0)=0,"",VLOOKUP($A24,CTINTERVALO,3,0)),""))</f>
        <v/>
      </c>
      <c r="D24" s="249" t="str">
        <f>IF($B24="Não", "BLOQUEADO (Aguardar liberação)", IFERROR(IF(VLOOKUP($A24,CTINTERVALO,4,0)=0,"",VLOOKUP($A24,CTINTERVALO,4,0)),""))</f>
        <v/>
      </c>
      <c r="E24" s="249"/>
      <c r="F24" s="249" t="str">
        <f>IF($B24="Não", "BLOQUEADO (Aguardar liberação)", IFERROR(IF(VLOOKUP($A24,CTINTERVALO,6,0)=0,"",VLOOKUP($A24,CTINTERVALO,6,0)),""))</f>
        <v/>
      </c>
      <c r="G24" s="80"/>
      <c r="H24" s="80"/>
      <c r="I24" s="79"/>
      <c r="J24" s="79"/>
      <c r="K24" s="80"/>
    </row>
    <row r="25" spans="1:11">
      <c r="A25" s="93"/>
      <c r="B25" s="249" t="str">
        <f>IFERROR(IF(VLOOKUP($A25,CTINTERVALO,2,0)=0,"",VLOOKUP($A25,CTINTERVALO,2,0)),"")</f>
        <v/>
      </c>
      <c r="C25" s="249" t="str">
        <f>IF($B25="Não", "BLOQUEADO (Aguardar liberação)", IFERROR(IF(VLOOKUP($A25,CTINTERVALO,3,0)=0,"",VLOOKUP($A25,CTINTERVALO,3,0)),""))</f>
        <v/>
      </c>
      <c r="D25" s="249" t="str">
        <f>IF($B25="Não", "BLOQUEADO (Aguardar liberação)", IFERROR(IF(VLOOKUP($A25,CTINTERVALO,4,0)=0,"",VLOOKUP($A25,CTINTERVALO,4,0)),""))</f>
        <v/>
      </c>
      <c r="E25" s="249"/>
      <c r="F25" s="249" t="str">
        <f>IF($B25="Não", "BLOQUEADO (Aguardar liberação)", IFERROR(IF(VLOOKUP($A25,CTINTERVALO,6,0)=0,"",VLOOKUP($A25,CTINTERVALO,6,0)),""))</f>
        <v/>
      </c>
      <c r="G25" s="80"/>
      <c r="H25" s="80"/>
      <c r="I25" s="79"/>
      <c r="J25" s="79"/>
      <c r="K25" s="80"/>
    </row>
    <row r="26" spans="1:11">
      <c r="A26" s="93"/>
      <c r="B26" s="249" t="str">
        <f>IFERROR(IF(VLOOKUP($A26,CTINTERVALO,2,0)=0,"",VLOOKUP($A26,CTINTERVALO,2,0)),"")</f>
        <v/>
      </c>
      <c r="C26" s="249" t="str">
        <f>IF($B26="Não", "BLOQUEADO (Aguardar liberação)", IFERROR(IF(VLOOKUP($A26,CTINTERVALO,3,0)=0,"",VLOOKUP($A26,CTINTERVALO,3,0)),""))</f>
        <v/>
      </c>
      <c r="D26" s="249" t="str">
        <f>IF($B26="Não", "BLOQUEADO (Aguardar liberação)", IFERROR(IF(VLOOKUP($A26,CTINTERVALO,4,0)=0,"",VLOOKUP($A26,CTINTERVALO,4,0)),""))</f>
        <v/>
      </c>
      <c r="E26" s="249"/>
      <c r="F26" s="249" t="str">
        <f>IF($B26="Não", "BLOQUEADO (Aguardar liberação)", IFERROR(IF(VLOOKUP($A26,CTINTERVALO,6,0)=0,"",VLOOKUP($A26,CTINTERVALO,6,0)),""))</f>
        <v/>
      </c>
      <c r="G26" s="80"/>
      <c r="H26" s="80"/>
      <c r="I26" s="79"/>
      <c r="J26" s="79"/>
      <c r="K26" s="80"/>
    </row>
    <row r="27" spans="1:11">
      <c r="A27" s="93"/>
      <c r="B27" s="249" t="str">
        <f>IFERROR(IF(VLOOKUP($A27,CTINTERVALO,2,0)=0,"",VLOOKUP($A27,CTINTERVALO,2,0)),"")</f>
        <v/>
      </c>
      <c r="C27" s="249" t="str">
        <f>IF($B27="Não", "BLOQUEADO (Aguardar liberação)", IFERROR(IF(VLOOKUP($A27,CTINTERVALO,3,0)=0,"",VLOOKUP($A27,CTINTERVALO,3,0)),""))</f>
        <v/>
      </c>
      <c r="D27" s="249" t="str">
        <f>IF($B27="Não", "BLOQUEADO (Aguardar liberação)", IFERROR(IF(VLOOKUP($A27,CTINTERVALO,4,0)=0,"",VLOOKUP($A27,CTINTERVALO,4,0)),""))</f>
        <v/>
      </c>
      <c r="E27" s="249"/>
      <c r="F27" s="249" t="str">
        <f>IF($B27="Não", "BLOQUEADO (Aguardar liberação)", IFERROR(IF(VLOOKUP($A27,CTINTERVALO,6,0)=0,"",VLOOKUP($A27,CTINTERVALO,6,0)),""))</f>
        <v/>
      </c>
      <c r="G27" s="80"/>
      <c r="H27" s="80"/>
      <c r="I27" s="79"/>
      <c r="J27" s="79"/>
      <c r="K27" s="80"/>
    </row>
    <row r="28" spans="1:11">
      <c r="A28" s="93"/>
      <c r="B28" s="249" t="str">
        <f>IFERROR(IF(VLOOKUP($A28,CTINTERVALO,2,0)=0,"",VLOOKUP($A28,CTINTERVALO,2,0)),"")</f>
        <v/>
      </c>
      <c r="C28" s="249" t="str">
        <f>IF($B28="Não", "BLOQUEADO (Aguardar liberação)", IFERROR(IF(VLOOKUP($A28,CTINTERVALO,3,0)=0,"",VLOOKUP($A28,CTINTERVALO,3,0)),""))</f>
        <v/>
      </c>
      <c r="D28" s="249" t="str">
        <f>IF($B28="Não", "BLOQUEADO (Aguardar liberação)", IFERROR(IF(VLOOKUP($A28,CTINTERVALO,4,0)=0,"",VLOOKUP($A28,CTINTERVALO,4,0)),""))</f>
        <v/>
      </c>
      <c r="E28" s="249"/>
      <c r="F28" s="249" t="str">
        <f>IF($B28="Não", "BLOQUEADO (Aguardar liberação)", IFERROR(IF(VLOOKUP($A28,CTINTERVALO,6,0)=0,"",VLOOKUP($A28,CTINTERVALO,6,0)),""))</f>
        <v/>
      </c>
      <c r="G28" s="80"/>
      <c r="H28" s="80"/>
      <c r="I28" s="79"/>
      <c r="J28" s="79"/>
      <c r="K28" s="80"/>
    </row>
    <row r="29" spans="1:11">
      <c r="A29" s="93"/>
      <c r="B29" s="249" t="str">
        <f>IFERROR(IF(VLOOKUP($A29,CTINTERVALO,2,0)=0,"",VLOOKUP($A29,CTINTERVALO,2,0)),"")</f>
        <v/>
      </c>
      <c r="C29" s="249" t="str">
        <f>IF($B29="Não", "BLOQUEADO (Aguardar liberação)", IFERROR(IF(VLOOKUP($A29,CTINTERVALO,3,0)=0,"",VLOOKUP($A29,CTINTERVALO,3,0)),""))</f>
        <v/>
      </c>
      <c r="D29" s="249" t="str">
        <f>IF($B29="Não", "BLOQUEADO (Aguardar liberação)", IFERROR(IF(VLOOKUP($A29,CTINTERVALO,4,0)=0,"",VLOOKUP($A29,CTINTERVALO,4,0)),""))</f>
        <v/>
      </c>
      <c r="E29" s="249"/>
      <c r="F29" s="249" t="str">
        <f>IF($B29="Não", "BLOQUEADO (Aguardar liberação)", IFERROR(IF(VLOOKUP($A29,CTINTERVALO,6,0)=0,"",VLOOKUP($A29,CTINTERVALO,6,0)),""))</f>
        <v/>
      </c>
      <c r="G29" s="80"/>
      <c r="H29" s="80"/>
      <c r="I29" s="79"/>
      <c r="J29" s="79"/>
      <c r="K29" s="80"/>
    </row>
    <row r="30" spans="1:11">
      <c r="A30" s="93"/>
      <c r="B30" s="249" t="str">
        <f>IFERROR(IF(VLOOKUP($A30,CTINTERVALO,2,0)=0,"",VLOOKUP($A30,CTINTERVALO,2,0)),"")</f>
        <v/>
      </c>
      <c r="C30" s="249" t="str">
        <f>IF($B30="Não", "BLOQUEADO (Aguardar liberação)", IFERROR(IF(VLOOKUP($A30,CTINTERVALO,3,0)=0,"",VLOOKUP($A30,CTINTERVALO,3,0)),""))</f>
        <v/>
      </c>
      <c r="D30" s="249" t="str">
        <f>IF($B30="Não", "BLOQUEADO (Aguardar liberação)", IFERROR(IF(VLOOKUP($A30,CTINTERVALO,4,0)=0,"",VLOOKUP($A30,CTINTERVALO,4,0)),""))</f>
        <v/>
      </c>
      <c r="E30" s="249"/>
      <c r="F30" s="249" t="str">
        <f>IF($B30="Não", "BLOQUEADO (Aguardar liberação)", IFERROR(IF(VLOOKUP($A30,CTINTERVALO,6,0)=0,"",VLOOKUP($A30,CTINTERVALO,6,0)),""))</f>
        <v/>
      </c>
      <c r="G30" s="80"/>
      <c r="H30" s="80"/>
      <c r="I30" s="79"/>
      <c r="J30" s="79"/>
      <c r="K30" s="80"/>
    </row>
    <row r="31" spans="1:11">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79"/>
      <c r="K31" s="80"/>
    </row>
    <row r="32" spans="1:11">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79"/>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79"/>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79"/>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79"/>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79"/>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79"/>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79"/>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79"/>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79"/>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79"/>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79"/>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79"/>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79"/>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79"/>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79"/>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79"/>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79"/>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79"/>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79"/>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79"/>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79"/>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79"/>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79"/>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79"/>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79"/>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79"/>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79"/>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79"/>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79"/>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79"/>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79"/>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79"/>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79"/>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79"/>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79"/>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79"/>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79"/>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79"/>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79"/>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79"/>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79"/>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79"/>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79"/>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79"/>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79"/>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79"/>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79"/>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79"/>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79"/>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79"/>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79"/>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79"/>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79"/>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79"/>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79"/>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79"/>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79"/>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79"/>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79"/>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79"/>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79"/>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79"/>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79"/>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79"/>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79"/>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79"/>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79"/>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79"/>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79"/>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79"/>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79"/>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79"/>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79"/>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79"/>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79"/>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79"/>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79"/>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79"/>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79"/>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79"/>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79"/>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79"/>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79"/>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79"/>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79"/>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79"/>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79"/>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79"/>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79"/>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79"/>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79"/>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79"/>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79"/>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79"/>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79"/>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79"/>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79"/>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79"/>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79"/>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79"/>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79"/>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79"/>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79"/>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79"/>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79"/>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79"/>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79"/>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79"/>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79"/>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79"/>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79"/>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79"/>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79"/>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79"/>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79"/>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79"/>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79"/>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79"/>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79"/>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79"/>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79"/>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79"/>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79"/>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79"/>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79"/>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79"/>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79"/>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79"/>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79"/>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79"/>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79"/>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79"/>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79"/>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79"/>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79"/>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79"/>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79"/>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79"/>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79"/>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79"/>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79"/>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79"/>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79"/>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79"/>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79"/>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79"/>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79"/>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79"/>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79"/>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79"/>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79"/>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79"/>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79"/>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79"/>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79"/>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79"/>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79"/>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79"/>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79"/>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79"/>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79"/>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79"/>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79"/>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79"/>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79"/>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79"/>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79"/>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79"/>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79"/>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79"/>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79"/>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79"/>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79"/>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79"/>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79"/>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79"/>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79"/>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79"/>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79"/>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79"/>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79"/>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79"/>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79"/>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79"/>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79"/>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79"/>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79"/>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79"/>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79"/>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79"/>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79"/>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79"/>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79"/>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79"/>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79"/>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79"/>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79"/>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79"/>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79"/>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79"/>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79"/>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79"/>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79"/>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79"/>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79"/>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79"/>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79"/>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79"/>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79"/>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79"/>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79"/>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79"/>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79"/>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79"/>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79"/>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79"/>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79"/>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79"/>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79"/>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79"/>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79"/>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79"/>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79"/>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79"/>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79"/>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79"/>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79"/>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79"/>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79"/>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79"/>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79"/>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79"/>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79"/>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79"/>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79"/>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79"/>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79"/>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79"/>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79"/>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79"/>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79"/>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79"/>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79"/>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79"/>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79"/>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79"/>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79"/>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79"/>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79"/>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79"/>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79"/>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79"/>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79"/>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79"/>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79"/>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79"/>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79"/>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79"/>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79"/>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79"/>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79"/>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79"/>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79"/>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79"/>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79"/>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79"/>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c r="F298" s="249" t="str">
        <f>IF($B298="Não", "BLOQUEADO (Aguardar liberação)", IFERROR(IF(VLOOKUP($A298,CTINTERVALO,6,0)=0,"",VLOOKUP($A298,CTINTERVALO,6,0)),""))</f>
        <v/>
      </c>
      <c r="G298" s="80"/>
      <c r="H298" s="80"/>
      <c r="I298" s="79"/>
      <c r="J298" s="79"/>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t="str">
        <f>IF($B299="Não", "BLOQUEADO (Aguardar liberação)", "")</f>
        <v/>
      </c>
      <c r="F299" s="249" t="str">
        <f>IF($B299="Não", "BLOQUEADO (Aguardar liberação)", IFERROR(IF(VLOOKUP($A299,CTINTERVALO,6,0)=0,"",VLOOKUP($A299,CTINTERVALO,6,0)),""))</f>
        <v/>
      </c>
      <c r="G299" s="80"/>
      <c r="H299" s="80"/>
      <c r="I299" s="79"/>
      <c r="J299" s="79"/>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79"/>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79"/>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79"/>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79"/>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79"/>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79"/>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79"/>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79"/>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79"/>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79"/>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79"/>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79"/>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79"/>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79"/>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79"/>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79"/>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79"/>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79"/>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79"/>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79"/>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79"/>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79"/>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79"/>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79"/>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79"/>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79"/>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79"/>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79"/>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79"/>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79"/>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79"/>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79"/>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79"/>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79"/>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79"/>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79"/>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79"/>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79"/>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79"/>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79"/>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79"/>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79"/>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79"/>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79"/>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79"/>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79"/>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79"/>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79"/>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79"/>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79"/>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79"/>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79"/>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79"/>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79"/>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79"/>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79"/>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79"/>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79"/>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79"/>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79"/>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79"/>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79"/>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79"/>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79"/>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79"/>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79"/>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79"/>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79"/>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79"/>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79"/>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79"/>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79"/>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79"/>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79"/>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79"/>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79"/>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79"/>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79"/>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79"/>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79"/>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79"/>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79"/>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79"/>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79"/>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79"/>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79"/>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79"/>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79"/>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79"/>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79"/>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79"/>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79"/>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79"/>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79"/>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79"/>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79"/>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79"/>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79"/>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79"/>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79"/>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c r="H400" s="80"/>
      <c r="I400" s="79"/>
      <c r="J400" s="79"/>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t="str">
        <f>IF($B401="Não", "BLOQUEADO (Aguardar liberação)", "")</f>
        <v/>
      </c>
      <c r="H401" s="80"/>
      <c r="I401" s="79"/>
      <c r="J401" s="79"/>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79"/>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79"/>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79"/>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79"/>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79"/>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79"/>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79"/>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79"/>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79"/>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79"/>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79"/>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79"/>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79"/>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79"/>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79"/>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79"/>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79"/>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79"/>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79"/>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79"/>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79"/>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79"/>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79"/>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79"/>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79"/>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79"/>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79"/>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79"/>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79"/>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79"/>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79"/>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79"/>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79"/>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79"/>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79"/>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79"/>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79"/>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79"/>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79"/>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79"/>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79"/>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79"/>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79"/>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79"/>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79"/>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79"/>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79"/>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79"/>
      <c r="K449" s="80"/>
    </row>
    <row r="450" spans="1:11">
      <c r="A450" s="93"/>
      <c r="B450" s="249" t="str">
        <f>IFERROR(IF(VLOOKUP($A450,CTINTERVALO,2,0)=0,"",VLOOKUP($A450,CTINTERVALO,2,0)),"")</f>
        <v/>
      </c>
      <c r="C450" s="249" t="str">
        <f>IF($B450="Não", "BLOQUEADO (Aguardar liberação)", IFERROR(IF(VLOOKUP($A450,CTINTERVALO,3,0)=0,"",VLOOKUP($A450,CTINTERVALO,3,0)),""))</f>
        <v/>
      </c>
      <c r="D450" s="249" t="str">
        <f>IF($B450="Não", "BLOQUEADO (Aguardar liberação)", IFERROR(IF(VLOOKUP($A450,CTINTERVALO,4,0)=0,"",VLOOKUP($A450,CTINTERVALO,4,0)),""))</f>
        <v/>
      </c>
      <c r="E450" s="249" t="str">
        <f>IF($B450="Não", "BLOQUEADO (Aguardar liberação)", "")</f>
        <v/>
      </c>
      <c r="F450" s="249" t="str">
        <f>IF($B450="Não", "BLOQUEADO (Aguardar liberação)", IFERROR(IF(VLOOKUP($A450,CTINTERVALO,6,0)=0,"",VLOOKUP($A450,CTINTERVALO,6,0)),""))</f>
        <v/>
      </c>
      <c r="G450" s="80" t="str">
        <f>IF($B450="Não", "BLOQUEADO (Aguardar liberação)", "")</f>
        <v/>
      </c>
      <c r="H450" s="80"/>
      <c r="I450" s="79"/>
      <c r="J450" s="79"/>
      <c r="K450" s="80"/>
    </row>
  </sheetData>
  <mergeCells count="10">
    <mergeCell ref="G6:G7"/>
    <mergeCell ref="H6:H7"/>
    <mergeCell ref="J6:J7"/>
    <mergeCell ref="K6:K7"/>
    <mergeCell ref="A6:A7"/>
    <mergeCell ref="B6:B7"/>
    <mergeCell ref="C6:C7"/>
    <mergeCell ref="D6:D7"/>
    <mergeCell ref="E6:E7"/>
    <mergeCell ref="F6:F7"/>
  </mergeCells>
  <conditionalFormatting sqref="C8:H9 C12:H13 C10:D11 F10:H11 C22:H450 C14:D21 F14:H21">
    <cfRule type="expression" dxfId="95"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 id="{A682963B-515F-46E2-8559-0A1EEE1D0CDE}">
            <xm:f>$H8=Principal!$Q$10</xm:f>
            <x14:dxf>
              <fill>
                <patternFill patternType="solid">
                  <bgColor rgb="FF00B050"/>
                </patternFill>
              </fill>
            </x14:dxf>
          </x14:cfRule>
          <x14:cfRule type="expression" priority="3" id="{EAD17EFE-E49C-49F9-8288-B3AE94E42D80}">
            <xm:f>$H8=Principal!$Q$17</xm:f>
            <x14:dxf>
              <fill>
                <patternFill patternType="solid">
                  <bgColor rgb="FFFFFF00"/>
                </patternFill>
              </fill>
            </x14:dxf>
          </x14:cfRule>
          <x14:cfRule type="expression" priority="4" id="{E450E8AF-1A79-47C3-AA21-9D302BF2C996}">
            <xm:f>$H8=Principal!$Q$16</xm:f>
            <x14:dxf>
              <fill>
                <patternFill patternType="solid">
                  <bgColor rgb="FFDD46E8"/>
                </patternFill>
              </fill>
            </x14:dxf>
          </x14:cfRule>
          <x14:cfRule type="expression" priority="5" id="{453372F3-0443-4322-B1B7-207A4F83B75D}">
            <xm:f>$H8=Principal!$Q$15</xm:f>
            <x14:dxf>
              <fill>
                <patternFill>
                  <bgColor theme="8" tint="0.59996337778862885"/>
                </patternFill>
              </fill>
            </x14:dxf>
          </x14:cfRule>
          <x14:cfRule type="expression" priority="6" id="{870B9C63-3BFA-4AC5-A0A1-A2EB38F2BCBA}">
            <xm:f>$H8=Principal!$Q$14</xm:f>
            <x14:dxf>
              <fill>
                <patternFill>
                  <bgColor theme="7" tint="0.59996337778862885"/>
                </patternFill>
              </fill>
            </x14:dxf>
          </x14:cfRule>
          <x14:cfRule type="expression" priority="7" id="{C76AF5B8-1DA4-45DB-B463-6FCDBFFA3E81}">
            <xm:f>$H8=Principal!$Q$11</xm:f>
            <x14:dxf>
              <fill>
                <patternFill>
                  <bgColor rgb="FFFF5050"/>
                </patternFill>
              </fill>
            </x14:dxf>
          </x14:cfRule>
          <xm:sqref>C8:H9 C12:H13 C10:D11 F10:H11 C22:H450 C14:D21 F14:H21</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C35912FD-921B-4047-A3FA-0EAD2FF90933}">
          <x14:formula1>
            <xm:f>Principal!$Q$9:$Q$17</xm:f>
          </x14:formula1>
          <xm:sqref>H8:H450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3E2C8-CA06-42FA-AE8A-DCB46D5718E4}">
  <dimension ref="A1:L449"/>
  <sheetViews>
    <sheetView topLeftCell="F21" workbookViewId="0">
      <selection activeCell="K27" sqref="K27"/>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36.7109375" style="64" customWidth="1"/>
    <col min="8" max="8" width="17.28515625" style="64" customWidth="1"/>
    <col min="9" max="9" width="22.140625" style="60" customWidth="1"/>
    <col min="10" max="10" width="13.7109375" style="287" customWidth="1"/>
    <col min="11" max="11" width="47.7109375" style="64" customWidth="1"/>
    <col min="12" max="12" width="17.7109375" customWidth="1"/>
    <col min="13" max="13" width="18.28515625" customWidth="1"/>
  </cols>
  <sheetData>
    <row r="1" spans="1:11">
      <c r="A1" s="240"/>
      <c r="B1" s="240"/>
      <c r="C1" s="241" t="s">
        <v>308</v>
      </c>
      <c r="D1" s="242"/>
      <c r="E1" s="241" t="s">
        <v>1</v>
      </c>
      <c r="F1" s="243">
        <f>COUNTA(H8:H449)</f>
        <v>14</v>
      </c>
      <c r="G1" s="244" t="s">
        <v>2</v>
      </c>
      <c r="H1" s="243">
        <f>COUNTIFS(H$8:H$449,"=Sucesso")</f>
        <v>11</v>
      </c>
      <c r="I1" s="240"/>
      <c r="J1" s="285"/>
      <c r="K1" s="240"/>
    </row>
    <row r="2" spans="1:11">
      <c r="A2" s="240"/>
      <c r="B2" s="240"/>
      <c r="C2" s="244" t="s">
        <v>309</v>
      </c>
      <c r="D2" s="243"/>
      <c r="E2" s="241" t="s">
        <v>4</v>
      </c>
      <c r="F2" s="243">
        <f>COUNTIF(H8:H449,"=Não Executado")</f>
        <v>0</v>
      </c>
      <c r="G2" s="244" t="s">
        <v>5</v>
      </c>
      <c r="H2" s="243">
        <f>COUNTIFS(H$8:H$449,"=Falha")</f>
        <v>0</v>
      </c>
      <c r="I2" s="240"/>
      <c r="J2" s="285"/>
      <c r="K2" s="240"/>
    </row>
    <row r="3" spans="1:11">
      <c r="A3" s="240"/>
      <c r="B3" s="240"/>
      <c r="C3" s="244" t="s">
        <v>6</v>
      </c>
      <c r="D3" s="244"/>
      <c r="E3" s="244" t="s">
        <v>7</v>
      </c>
      <c r="F3" s="243">
        <f>COUNTIFS(H8:H449,"=Falha") + COUNTIFS(H8:H449,"=Sucesso") + COUNTIFS(H8:H449,"=Pendência Externa")+ COUNTIFS(H8:H449,"=Demanda")+ COUNTIFS(H8:H449,"=Sugestão")</f>
        <v>14</v>
      </c>
      <c r="G3" s="244" t="s">
        <v>8</v>
      </c>
      <c r="H3" s="243">
        <f>COUNTIFS(H$8:H$449,"=Pendência Externa")</f>
        <v>0</v>
      </c>
      <c r="I3" s="240"/>
      <c r="J3" s="285"/>
      <c r="K3" s="245"/>
    </row>
    <row r="4" spans="1:11">
      <c r="A4" s="240"/>
      <c r="B4" s="240"/>
      <c r="C4" s="240"/>
      <c r="D4" s="244"/>
      <c r="E4" s="244" t="s">
        <v>9</v>
      </c>
      <c r="F4" s="246">
        <f>IF(COUNTA(H8:H449)&gt;0,F3/IF(COUNTA(H8:H449)=0, 1, COUNTA(H8:H449)),0)</f>
        <v>1</v>
      </c>
      <c r="G4" s="244" t="s">
        <v>10</v>
      </c>
      <c r="H4" s="243">
        <f>COUNTIFS(H$8:H$449,"=Sugestão")</f>
        <v>3</v>
      </c>
      <c r="I4" s="240"/>
      <c r="J4" s="285"/>
      <c r="K4" s="240"/>
    </row>
    <row r="5" spans="1:11">
      <c r="A5" s="240"/>
      <c r="B5" s="240"/>
      <c r="C5" s="240"/>
      <c r="D5" s="240"/>
      <c r="E5" s="240"/>
      <c r="F5" s="240"/>
      <c r="G5" s="240"/>
      <c r="H5" s="240"/>
      <c r="I5" s="240"/>
      <c r="J5" s="285"/>
      <c r="K5" s="240"/>
    </row>
    <row r="6" spans="1:11" ht="15" customHeight="1">
      <c r="A6" s="355" t="s">
        <v>11</v>
      </c>
      <c r="B6" s="352" t="s">
        <v>12</v>
      </c>
      <c r="C6" s="355" t="s">
        <v>13</v>
      </c>
      <c r="D6" s="355" t="s">
        <v>14</v>
      </c>
      <c r="E6" s="352" t="s">
        <v>15</v>
      </c>
      <c r="F6" s="355" t="s">
        <v>16</v>
      </c>
      <c r="G6" s="352" t="s">
        <v>17</v>
      </c>
      <c r="H6" s="352" t="s">
        <v>18</v>
      </c>
      <c r="I6" s="247" t="s">
        <v>19</v>
      </c>
      <c r="J6" s="356" t="s">
        <v>20</v>
      </c>
      <c r="K6" s="352" t="s">
        <v>21</v>
      </c>
    </row>
    <row r="7" spans="1:11">
      <c r="A7" s="352"/>
      <c r="B7" s="354"/>
      <c r="C7" s="352"/>
      <c r="D7" s="352"/>
      <c r="E7" s="353"/>
      <c r="F7" s="352"/>
      <c r="G7" s="353"/>
      <c r="H7" s="353"/>
      <c r="I7" s="248"/>
      <c r="J7" s="357"/>
      <c r="K7" s="353"/>
    </row>
    <row r="8" spans="1:11" ht="93" customHeight="1">
      <c r="A8" s="93">
        <v>1</v>
      </c>
      <c r="B8" s="249" t="str">
        <f>IFERROR(IF(VLOOKUP($A8,CTINTERVALO,2,0)=0,"",VLOOKUP($A8,CTINTERVALO,2,0)),"")</f>
        <v>Sim</v>
      </c>
      <c r="C8" s="249" t="str">
        <f>IF($B8="Não", "BLOQUEADO (Aguardar liberação)", IFERROR(IF(VLOOKUP($A8,CTINTERVALO,3,0)=0,"",VLOOKUP($A8,CTINTERVALO,3,0)),""))</f>
        <v>Reimportar relações previdenciárias no envio da perícia médica médica para requerimento de segurado especial</v>
      </c>
      <c r="D8" s="249" t="str">
        <f>IF($B8="Não", "BLOQUEADO (Aguardar liberação)", IFERROR(IF(VLOOKUP($A8,CTINTERVALO,4,0)=0,"",VLOOKUP($A8,CTINTERVALO,4,0)),""))</f>
        <v>Sistema deve reimportar as relações previdenciárias, ou seja, haverá alteração dos vínculos após do envio da pericia</v>
      </c>
      <c r="E8" s="189" t="s">
        <v>310</v>
      </c>
      <c r="F8" s="249" t="str">
        <f>IF($B8="Não", "BLOQUEADO (Aguardar liberação)", IFERROR(IF(VLOOKUP($A8,CTINTERVALO,6,0)=0,"",VLOOKUP($A8,CTINTERVALO,6,0)),""))</f>
        <v>Consultar o NB (coluna E) no Portal SIBE  e conferir as relações previdenciárias
Alterar PROTOCOLO do JSON (coluna H) e enviar a perecia através do serviço de informar pericia 
(http://hsibepuapr01h/sibews/api-test/#!/pmf/informarPericiaMedicaBI)</v>
      </c>
      <c r="G8" s="80" t="s">
        <v>311</v>
      </c>
      <c r="H8" s="80" t="s">
        <v>49</v>
      </c>
      <c r="I8" s="79"/>
      <c r="J8" s="280">
        <v>46244</v>
      </c>
      <c r="K8" s="80"/>
    </row>
    <row r="9" spans="1:11" ht="105.75" customHeight="1">
      <c r="A9" s="93">
        <v>2</v>
      </c>
      <c r="B9" s="249" t="str">
        <f>IFERROR(IF(VLOOKUP($A9,CTINTERVALO,2,0)=0,"",VLOOKUP($A9,CTINTERVALO,2,0)),"")</f>
        <v>Sim</v>
      </c>
      <c r="C9" s="249" t="str">
        <f>IF($B9="Não", "BLOQUEADO (Aguardar liberação)", IFERROR(IF(VLOOKUP($A9,CTINTERVALO,3,0)=0,"",VLOOKUP($A9,CTINTERVALO,3,0)),""))</f>
        <v>Reimportar relações previdenciárias no envio da perícia médica médica para requerimento de outros tipos de vínculo</v>
      </c>
      <c r="D9" s="249" t="str">
        <f>IF($B9="Não", "BLOQUEADO (Aguardar liberação)", IFERROR(IF(VLOOKUP($A9,CTINTERVALO,4,0)=0,"",VLOOKUP($A9,CTINTERVALO,4,0)),""))</f>
        <v>Sistema deve reimportar as relações previdenciárias, ou seja, haverá alteração dos vínculos após do envio da pericia</v>
      </c>
      <c r="E9" s="189" t="s">
        <v>312</v>
      </c>
      <c r="F9" s="249" t="str">
        <f>IF($B9="Não", "BLOQUEADO (Aguardar liberação)", IFERROR(IF(VLOOKUP($A9,CTINTERVALO,6,0)=0,"",VLOOKUP($A9,CTINTERVALO,6,0)),""))</f>
        <v>Consultar o NB (coluna E) no Portal SIBE  e conferir as relações previdenciárias
Alterar PROTOCOLO do JSON (coluna H) e enviar a perecia através do serviço de informar pericia 
(http://hsibepuapr01h/sibews/api-test/#!/pmf/informarPericiaMedicaBI)</v>
      </c>
      <c r="G9" s="80" t="s">
        <v>313</v>
      </c>
      <c r="H9" s="80" t="s">
        <v>49</v>
      </c>
      <c r="I9" s="79"/>
      <c r="J9" s="280">
        <v>46244</v>
      </c>
      <c r="K9" s="211" t="s">
        <v>160</v>
      </c>
    </row>
    <row r="10" spans="1:11" ht="116.25" customHeight="1">
      <c r="A10" s="93">
        <v>3</v>
      </c>
      <c r="B10" s="249" t="str">
        <f>IFERROR(IF(VLOOKUP($A10,CTINTERVALO,2,0)=0,"",VLOOKUP($A10,CTINTERVALO,2,0)),"")</f>
        <v>Sim</v>
      </c>
      <c r="C10" s="249" t="str">
        <f>IF($B10="Não", "BLOQUEADO (Aguardar liberação)", IFERROR(IF(VLOOKUP($A10,CTINTERVALO,3,0)=0,"",VLOOKUP($A10,CTINTERVALO,3,0)),""))</f>
        <v>Processar um requerimento sem carencia minima, mas que o segurado alterou algum vínculo no MEU INSS.</v>
      </c>
      <c r="D10" s="249" t="str">
        <f>IF($B10="Não", "BLOQUEADO (Aguardar liberação)", IFERROR(IF(VLOOKUP($A10,CTINTERVALO,4,0)=0,"",VLOOKUP($A10,CTINTERVALO,4,0)),""))</f>
        <v>Requerimento deve ser reaberto ao finalizar e retornar a informação: 
"Confirmar relações previdenciárias do segurado ou a ausência delas
Observações: Vínculos do Segurado alterados"</v>
      </c>
      <c r="E10" s="189" t="s">
        <v>314</v>
      </c>
      <c r="F10" s="249" t="str">
        <f>IF($B10="Não", "BLOQUEADO (Aguardar liberação)", IFERROR(IF(VLOOKUP($A10,CTINTERVALO,6,0)=0,"",VLOOKUP($A10,CTINTERVALO,6,0)),""))</f>
        <v>1. Consultar NB (coluna E) no Portal SIBE
2. ir em Alterar
3. Executar verificar pendências
4. Ir em Detalhes e verificar o campo "Segurado realizou alterações nos vínculos"
5. Tentar Concluir
* Proposta de teste do cenário atual</v>
      </c>
      <c r="G10" s="80" t="s">
        <v>315</v>
      </c>
      <c r="H10" s="80" t="s">
        <v>10</v>
      </c>
      <c r="I10" s="79"/>
      <c r="J10" s="280">
        <v>46244</v>
      </c>
      <c r="K10" s="264" t="s">
        <v>316</v>
      </c>
    </row>
    <row r="11" spans="1:11" ht="116.25" customHeight="1">
      <c r="A11" s="93">
        <v>4</v>
      </c>
      <c r="B11" s="249" t="str">
        <f>IFERROR(IF(VLOOKUP($A11,CTINTERVALO,2,0)=0,"",VLOOKUP($A11,CTINTERVALO,2,0)),"")</f>
        <v>Sim</v>
      </c>
      <c r="C11" s="249" t="str">
        <f>IF($B11="Não", "BLOQUEADO (Aguardar liberação)", IFERROR(IF(VLOOKUP($A11,CTINTERVALO,3,0)=0,"",VLOOKUP($A11,CTINTERVALO,3,0)),""))</f>
        <v>Processar um requerimento sem carencia minima, mas que não há informação se segurado alterou ou não algum vínculo no MEU INSS.</v>
      </c>
      <c r="D11" s="249" t="str">
        <f>IF($B11="Não", "BLOQUEADO (Aguardar liberação)", IFERROR(IF(VLOOKUP($A11,CTINTERVALO,4,0)=0,"",VLOOKUP($A11,CTINTERVALO,4,0)),""))</f>
        <v>Requerimento deve ser reaberto ao finalizar e retornar a informação: 
"Confirmar relações previdenciárias do segurado ou a ausência delas
Observações: Vínculos do Segurado alterados"</v>
      </c>
      <c r="E11" s="189" t="s">
        <v>317</v>
      </c>
      <c r="F11" s="249" t="str">
        <f>IF($B11="Não", "BLOQUEADO (Aguardar liberação)", IFERROR(IF(VLOOKUP($A11,CTINTERVALO,6,0)=0,"",VLOOKUP($A11,CTINTERVALO,6,0)),""))</f>
        <v>1. Consultar NB (coluna E) no Portal SIBE
2. ir em Alterar
3. Executar verificar pendências
4. Ir em Detalhes e verificar o campo "Segurado realizou alterações nos vínculos"
5. Tentar Concluir
* Proposta de teste do cenário atual</v>
      </c>
      <c r="G11" s="80" t="s">
        <v>318</v>
      </c>
      <c r="H11" s="80" t="s">
        <v>49</v>
      </c>
      <c r="I11" s="79"/>
      <c r="J11" s="280">
        <v>46244</v>
      </c>
      <c r="K11" s="264" t="s">
        <v>319</v>
      </c>
    </row>
    <row r="12" spans="1:11" ht="123" customHeight="1">
      <c r="A12" s="93">
        <v>5</v>
      </c>
      <c r="B12" s="249" t="str">
        <f>IFERROR(IF(VLOOKUP($A12,CTINTERVALO,2,0)=0,"",VLOOKUP($A12,CTINTERVALO,2,0)),"")</f>
        <v>Sim</v>
      </c>
      <c r="C12" s="249" t="str">
        <f>IF($B12="Não", "BLOQUEADO (Aguardar liberação)", IFERROR(IF(VLOOKUP($A12,CTINTERVALO,3,0)=0,"",VLOOKUP($A12,CTINTERVALO,3,0)),""))</f>
        <v>Processar um requerimento sem carencia minima, mas que o segurado não alterou algum vínculo no MEU INSS.</v>
      </c>
      <c r="D12" s="249" t="str">
        <f>IF($B12="Não", "BLOQUEADO (Aguardar liberação)", IFERROR(IF(VLOOKUP($A12,CTINTERVALO,4,0)=0,"",VLOOKUP($A12,CTINTERVALO,4,0)),""))</f>
        <v>Requerimento deve ser indeferido</v>
      </c>
      <c r="E12" s="189" t="s">
        <v>320</v>
      </c>
      <c r="F12" s="249" t="str">
        <f>IF($B12="Não", "BLOQUEADO (Aguardar liberação)", IFERROR(IF(VLOOKUP($A12,CTINTERVALO,6,0)=0,"",VLOOKUP($A12,CTINTERVALO,6,0)),""))</f>
        <v>1. Consultar NB (coluna E) no Portal SIBE
2. ir em Alterar
3. Executar verificar pendências
4. Ir em Detalhes e verificar o campo "Segurado realizou alterações nos vínculos"
5. Alterar PROTOCOLO do JSON (coluna H) e enviar a perecia através do serviço de informar pericia 
(http://hsibepuapr01h/sibews/api-test/#!/pmf/informarPericiaMedicaBI)
* Proposta de teste do cenário atual</v>
      </c>
      <c r="G12" s="80" t="s">
        <v>321</v>
      </c>
      <c r="H12" s="80" t="s">
        <v>49</v>
      </c>
      <c r="I12" s="79"/>
      <c r="J12" s="280">
        <v>46244</v>
      </c>
      <c r="K12" s="211" t="s">
        <v>171</v>
      </c>
    </row>
    <row r="13" spans="1:11" ht="141" customHeight="1">
      <c r="A13" s="93">
        <v>6</v>
      </c>
      <c r="B13" s="249" t="str">
        <f>IFERROR(IF(VLOOKUP($A13,CTINTERVALO,2,0)=0,"",VLOOKUP($A13,CTINTERVALO,2,0)),"")</f>
        <v>Sim</v>
      </c>
      <c r="C13" s="249" t="str">
        <f>IF($B13="Não", "BLOQUEADO (Aguardar liberação)", IFERROR(IF(VLOOKUP($A13,CTINTERVALO,3,0)=0,"",VLOOKUP($A13,CTINTERVALO,3,0)),""))</f>
        <v>Processar um requerimento sem carencia minima, mas que CNIS retornou pendencia na autodeclaração do segurado especial</v>
      </c>
      <c r="D13" s="249" t="str">
        <f>IF($B13="Não", "BLOQUEADO (Aguardar liberação)", IFERROR(IF(VLOOKUP($A13,CTINTERVALO,4,0)=0,"",VLOOKUP($A13,CTINTERVALO,4,0)),""))</f>
        <v>Requerimento deve ser reaberto e retornar a mensagem: 
"Confirmar os vínculos ou ausencia dos mesmos
Observações: Possui período Segurado Especial pendente"</v>
      </c>
      <c r="E13" s="189" t="s">
        <v>322</v>
      </c>
      <c r="F13" s="249" t="str">
        <f>IF($B13="Não", "BLOQUEADO (Aguardar liberação)", IFERROR(IF(VLOOKUP($A13,CTINTERVALO,6,0)=0,"",VLOOKUP($A13,CTINTERVALO,6,0)),""))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
6. Tentar Concluir</v>
      </c>
      <c r="G13" s="288" t="s">
        <v>323</v>
      </c>
      <c r="H13" s="80" t="s">
        <v>49</v>
      </c>
      <c r="I13" s="80"/>
      <c r="J13" s="280">
        <v>46244</v>
      </c>
      <c r="K13" s="211" t="s">
        <v>176</v>
      </c>
    </row>
    <row r="14" spans="1:11" ht="129" customHeight="1">
      <c r="A14" s="93">
        <v>7</v>
      </c>
      <c r="B14" s="249" t="str">
        <f>IFERROR(IF(VLOOKUP($A14,CTINTERVALO,2,0)=0,"",VLOOKUP($A14,CTINTERVALO,2,0)),"")</f>
        <v>Sim</v>
      </c>
      <c r="C14" s="249" t="str">
        <f>IF($B14="Não", "BLOQUEADO (Aguardar liberação)", IFERROR(IF(VLOOKUP($A14,CTINTERVALO,3,0)=0,"",VLOOKUP($A14,CTINTERVALO,3,0)),""))</f>
        <v>Processar um requerimento sem carencia minima, mas que não há informação de pendência ou não na autodeclaração do segurado especial</v>
      </c>
      <c r="D14" s="249" t="str">
        <f>IF($B14="Não", "BLOQUEADO (Aguardar liberação)", IFERROR(IF(VLOOKUP($A14,CTINTERVALO,4,0)=0,"",VLOOKUP($A14,CTINTERVALO,4,0)),""))</f>
        <v>Requerimento deve ser indeferido</v>
      </c>
      <c r="E14" s="189" t="s">
        <v>324</v>
      </c>
      <c r="F14" s="249" t="str">
        <f>IF($B14="Não", "BLOQUEADO (Aguardar liberação)", IFERROR(IF(VLOOKUP($A14,CTINTERVALO,6,0)=0,"",VLOOKUP($A14,CTINTERVALO,6,0)),""))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4" s="80" t="s">
        <v>325</v>
      </c>
      <c r="H14" s="80" t="s">
        <v>49</v>
      </c>
      <c r="I14" s="288"/>
      <c r="J14" s="280">
        <v>46244</v>
      </c>
      <c r="K14" s="211" t="s">
        <v>180</v>
      </c>
    </row>
    <row r="15" spans="1:11" ht="134.25" customHeight="1">
      <c r="A15" s="93">
        <v>8</v>
      </c>
      <c r="B15" s="249" t="str">
        <f>IFERROR(IF(VLOOKUP($A15,CTINTERVALO,2,0)=0,"",VLOOKUP($A15,CTINTERVALO,2,0)),"")</f>
        <v>Sim</v>
      </c>
      <c r="C15" s="249" t="str">
        <f>IF($B15="Não", "BLOQUEADO (Aguardar liberação)", IFERROR(IF(VLOOKUP($A15,CTINTERVALO,3,0)=0,"",VLOOKUP($A15,CTINTERVALO,3,0)),""))</f>
        <v>Processar um requerimento sem carencia minima, mas que CNIS não retornou pendencia na autodeclaração do segurado especial</v>
      </c>
      <c r="D15" s="249" t="str">
        <f>IF($B15="Não", "BLOQUEADO (Aguardar liberação)", IFERROR(IF(VLOOKUP($A15,CTINTERVALO,4,0)=0,"",VLOOKUP($A15,CTINTERVALO,4,0)),""))</f>
        <v>Requerimento deve ser indeferido</v>
      </c>
      <c r="E15" s="189" t="s">
        <v>326</v>
      </c>
      <c r="F15" s="249" t="str">
        <f>IF($B15="Não", "BLOQUEADO (Aguardar liberação)", IFERROR(IF(VLOOKUP($A15,CTINTERVALO,6,0)=0,"",VLOOKUP($A15,CTINTERVALO,6,0)),""))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5" s="80" t="s">
        <v>327</v>
      </c>
      <c r="H15" s="80" t="s">
        <v>49</v>
      </c>
      <c r="I15" s="79"/>
      <c r="J15" s="280">
        <v>46244</v>
      </c>
      <c r="K15" s="211" t="s">
        <v>183</v>
      </c>
    </row>
    <row r="16" spans="1:11">
      <c r="A16" s="281"/>
      <c r="B16" s="282" t="str">
        <f>IFERROR(IF(VLOOKUP($A16,CTINTERVALO,2,0)=0,"",VLOOKUP($A16,CTINTERVALO,2,0)),"")</f>
        <v/>
      </c>
      <c r="C16" s="282" t="str">
        <f>IF($B16="Não", "BLOQUEADO (Aguardar liberação)", IFERROR(IF(VLOOKUP($A16,CTINTERVALO,3,0)=0,"",VLOOKUP($A16,CTINTERVALO,3,0)),""))</f>
        <v/>
      </c>
      <c r="D16" s="282" t="str">
        <f>IF($B16="Não", "BLOQUEADO (Aguardar liberação)", IFERROR(IF(VLOOKUP($A16,CTINTERVALO,4,0)=0,"",VLOOKUP($A16,CTINTERVALO,4,0)),""))</f>
        <v/>
      </c>
      <c r="E16" s="282"/>
      <c r="F16" s="282" t="str">
        <f>IF($B16="Não", "BLOQUEADO (Aguardar liberação)", IFERROR(IF(VLOOKUP($A16,CTINTERVALO,6,0)=0,"",VLOOKUP($A16,CTINTERVALO,6,0)),""))</f>
        <v/>
      </c>
      <c r="G16" s="283"/>
      <c r="H16" s="283"/>
      <c r="I16" s="284"/>
      <c r="J16" s="286"/>
      <c r="K16" s="283"/>
    </row>
    <row r="17" spans="1:12" ht="123" customHeight="1">
      <c r="A17" s="93">
        <v>9</v>
      </c>
      <c r="B17" s="249" t="str">
        <f>IFERROR(IF(VLOOKUP($A17,CTINTERVALO,2,0)=0,"",VLOOKUP($A17,CTINTERVALO,2,0)),"")</f>
        <v>Sim</v>
      </c>
      <c r="C17" s="249" t="str">
        <f>IF($B17="Não", "BLOQUEADO (Aguardar liberação)", IFERROR(IF(VLOOKUP($A17,CTINTERVALO,3,0)=0,"",VLOOKUP($A17,CTINTERVALO,3,0)),""))</f>
        <v>Tentar executar Verificar Pendencia de requerimento BPC com AAP atual que não pertence a APS de manutenção</v>
      </c>
      <c r="D17" s="249" t="str">
        <f>IF($B17="Não", "BLOQUEADO (Aguardar liberação)", IFERROR(IF(VLOOKUP($A17,CTINTERVALO,4,0)=0,"",VLOOKUP($A17,CTINTERVALO,4,0)),""))</f>
        <v>Quando detectada a pendencia de que a AAP não pertença a APS de manutenção o sistema irá mudar a AAP automaticamente no verificar pendencias</v>
      </c>
      <c r="E17" s="189" t="s">
        <v>328</v>
      </c>
      <c r="F17" s="249" t="str">
        <f>IF($B17="Não", "BLOQUEADO (Aguardar liberação)", IFERROR(IF(VLOOKUP($A17,CTINTERVALO,6,0)=0,"",VLOOKUP($A17,CTINTERVALO,6,0)),""))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7" s="80" t="s">
        <v>329</v>
      </c>
      <c r="H17" s="80" t="s">
        <v>49</v>
      </c>
      <c r="I17" s="79"/>
      <c r="J17" s="280">
        <v>46244</v>
      </c>
      <c r="K17" s="80"/>
    </row>
    <row r="18" spans="1:12" ht="141" customHeight="1">
      <c r="A18" s="93">
        <v>10</v>
      </c>
      <c r="B18" s="249" t="str">
        <f>IFERROR(IF(VLOOKUP($A18,CTINTERVALO,2,0)=0,"",VLOOKUP($A18,CTINTERVALO,2,0)),"")</f>
        <v>Sim</v>
      </c>
      <c r="C18" s="249" t="str">
        <f>IF($B18="Não", "BLOQUEADO (Aguardar liberação)", IFERROR(IF(VLOOKUP($A18,CTINTERVALO,3,0)=0,"",VLOOKUP($A18,CTINTERVALO,3,0)),""))</f>
        <v>Tentar executar Verificar Pendencia de requerimento BI com AAP atual que não pertence a APS de manutenção</v>
      </c>
      <c r="D18" s="249" t="str">
        <f>IF($B18="Não", "BLOQUEADO (Aguardar liberação)", IFERROR(IF(VLOOKUP($A18,CTINTERVALO,4,0)=0,"",VLOOKUP($A18,CTINTERVALO,4,0)),""))</f>
        <v>Quando detectada a pendencia de que a AAP não pertença a APS de manutenção o sistema irá mudar a AAP automaticamente no verificar pendencias</v>
      </c>
      <c r="E18" s="189" t="s">
        <v>330</v>
      </c>
      <c r="F18" s="249" t="str">
        <f>IF($B18="Não", "BLOQUEADO (Aguardar liberação)", IFERROR(IF(VLOOKUP($A18,CTINTERVALO,6,0)=0,"",VLOOKUP($A18,CTINTERVALO,6,0)),""))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8" s="80" t="s">
        <v>331</v>
      </c>
      <c r="H18" s="80" t="s">
        <v>10</v>
      </c>
      <c r="I18" s="79"/>
      <c r="J18" s="280">
        <v>46244</v>
      </c>
      <c r="K18" s="80" t="s">
        <v>332</v>
      </c>
    </row>
    <row r="19" spans="1:12">
      <c r="A19" s="281"/>
      <c r="B19" s="282" t="str">
        <f>IFERROR(IF(VLOOKUP($A19,CTINTERVALO,2,0)=0,"",VLOOKUP($A19,CTINTERVALO,2,0)),"")</f>
        <v/>
      </c>
      <c r="C19" s="282" t="str">
        <f>IF($B19="Não", "BLOQUEADO (Aguardar liberação)", IFERROR(IF(VLOOKUP($A19,CTINTERVALO,3,0)=0,"",VLOOKUP($A19,CTINTERVALO,3,0)),""))</f>
        <v/>
      </c>
      <c r="D19" s="282" t="str">
        <f>IF($B19="Não", "BLOQUEADO (Aguardar liberação)", IFERROR(IF(VLOOKUP($A19,CTINTERVALO,4,0)=0,"",VLOOKUP($A19,CTINTERVALO,4,0)),""))</f>
        <v/>
      </c>
      <c r="E19" s="282"/>
      <c r="F19" s="282" t="str">
        <f>IF($B19="Não", "BLOQUEADO (Aguardar liberação)", IFERROR(IF(VLOOKUP($A19,CTINTERVALO,6,0)=0,"",VLOOKUP($A19,CTINTERVALO,6,0)),""))</f>
        <v/>
      </c>
      <c r="G19" s="283"/>
      <c r="H19" s="283"/>
      <c r="I19" s="284"/>
      <c r="J19" s="286"/>
      <c r="K19" s="283"/>
    </row>
    <row r="20" spans="1:12" ht="178.5" customHeight="1">
      <c r="A20" s="93">
        <v>11</v>
      </c>
      <c r="B20" s="249" t="str">
        <f>IFERROR(IF(VLOOKUP($A20,CTINTERVALO,2,0)=0,"",VLOOKUP($A20,CTINTERVALO,2,0)),"")</f>
        <v>Sim</v>
      </c>
      <c r="C20" s="249" t="str">
        <f>IF($B20="Não", "BLOQUEADO (Aguardar liberação)", IFERROR(IF(VLOOKUP($A20,CTINTERVALO,3,0)=0,"",VLOOKUP($A20,CTINTERVALO,3,0)),""))</f>
        <v>Criar requerimento de BPC B87 e tentar DEFERIR informando forma de convívio que não condiz com a composição do grupo familiar</v>
      </c>
      <c r="D20" s="249" t="str">
        <f>IF($B20="Não", "BLOQUEADO (Aguardar liberação)", IFERROR(IF(VLOOKUP($A20,CTINTERVALO,4,0)=0,"",VLOOKUP($A20,CTINTERVALO,4,0)),""))</f>
        <v>O sistema deverá inferir automaticamente a forma de convívio correta e NÃO deverá gerar pendência de forma de convívio e deverá conceder o beneficio caso não exista motivos de indeferimento.</v>
      </c>
      <c r="E20" s="189" t="s">
        <v>333</v>
      </c>
      <c r="F20" s="249" t="str">
        <f>IF($B20="Não", "BLOQUEADO (Aguardar liberação)", IFERROR(IF(VLOOKUP($A20,CTINTERVALO,6,0)=0,"",VLOOKUP($A20,CTINTERVALO,6,0)),""))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v>
      </c>
      <c r="G20" s="288" t="s">
        <v>334</v>
      </c>
      <c r="H20" s="80" t="s">
        <v>10</v>
      </c>
      <c r="I20" s="79"/>
      <c r="J20" s="280">
        <v>46244</v>
      </c>
      <c r="K20" s="80" t="s">
        <v>335</v>
      </c>
    </row>
    <row r="21" spans="1:12" ht="142.5" customHeight="1">
      <c r="A21" s="93">
        <v>12</v>
      </c>
      <c r="B21" s="249" t="str">
        <f>IFERROR(IF(VLOOKUP($A21,CTINTERVALO,2,0)=0,"",VLOOKUP($A21,CTINTERVALO,2,0)),"")</f>
        <v>Sim</v>
      </c>
      <c r="C21" s="249" t="str">
        <f>IF($B21="Não", "BLOQUEADO (Aguardar liberação)", IFERROR(IF(VLOOKUP($A21,CTINTERVALO,3,0)=0,"",VLOOKUP($A21,CTINTERVALO,3,0)),""))</f>
        <v>Criar requerimento de BPC B88 e tentar DEFERIR informando forma de convívio que não condiz com a composição do grupo familiar</v>
      </c>
      <c r="D21" s="249" t="str">
        <f>IF($B21="Não", "BLOQUEADO (Aguardar liberação)", IFERROR(IF(VLOOKUP($A21,CTINTERVALO,4,0)=0,"",VLOOKUP($A21,CTINTERVALO,4,0)),""))</f>
        <v>O sistema deverá inferir automaticamente a forma de convívio correta e NÃO deverá gerar pendência de forma de convívio e deverá conceder o beneficio caso não exista motivos de indeferimento.</v>
      </c>
      <c r="E21" s="63" t="s">
        <v>336</v>
      </c>
      <c r="F21" s="249" t="str">
        <f>IF($B21="Não", "BLOQUEADO (Aguardar liberação)", IFERROR(IF(VLOOKUP($A21,CTINTERVALO,6,0)=0,"",VLOOKUP($A21,CTINTERVALO,6,0)),""))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21" s="288" t="s">
        <v>337</v>
      </c>
      <c r="H21" s="80" t="s">
        <v>49</v>
      </c>
      <c r="I21" s="79"/>
      <c r="J21" s="280">
        <v>46244</v>
      </c>
      <c r="K21" s="80" t="s">
        <v>338</v>
      </c>
    </row>
    <row r="22" spans="1:12">
      <c r="A22" s="281"/>
      <c r="B22" s="282" t="str">
        <f>IFERROR(IF(VLOOKUP($A22,CTINTERVALO,2,0)=0,"",VLOOKUP($A22,CTINTERVALO,2,0)),"")</f>
        <v/>
      </c>
      <c r="C22" s="282" t="str">
        <f>IF($B22="Não", "BLOQUEADO (Aguardar liberação)", IFERROR(IF(VLOOKUP($A22,CTINTERVALO,3,0)=0,"",VLOOKUP($A22,CTINTERVALO,3,0)),""))</f>
        <v/>
      </c>
      <c r="D22" s="282" t="str">
        <f>IF($B22="Não", "BLOQUEADO (Aguardar liberação)", IFERROR(IF(VLOOKUP($A22,CTINTERVALO,4,0)=0,"",VLOOKUP($A22,CTINTERVALO,4,0)),""))</f>
        <v/>
      </c>
      <c r="E22" s="282"/>
      <c r="F22" s="282" t="str">
        <f>IF($B22="Não", "BLOQUEADO (Aguardar liberação)", IFERROR(IF(VLOOKUP($A22,CTINTERVALO,6,0)=0,"",VLOOKUP($A22,CTINTERVALO,6,0)),""))</f>
        <v/>
      </c>
      <c r="G22" s="283"/>
      <c r="H22" s="283"/>
      <c r="I22" s="284"/>
      <c r="J22" s="286"/>
      <c r="K22" s="283"/>
    </row>
    <row r="23" spans="1:12" ht="83.25" customHeight="1">
      <c r="A23" s="93">
        <v>13</v>
      </c>
      <c r="B23" s="249" t="str">
        <f>IFERROR(IF(VLOOKUP($A23,CTINTERVALO,2,0)=0,"",VLOOKUP($A23,CTINTERVALO,2,0)),"")</f>
        <v>Sim</v>
      </c>
      <c r="C23" s="249" t="str">
        <f>IF($B23="Não", "BLOQUEADO (Aguardar liberação)", IFERROR(IF(VLOOKUP($A23,CTINTERVALO,3,0)=0,"",VLOOKUP($A23,CTINTERVALO,3,0)),""))</f>
        <v>Incluir BI com cidadão com vínculo com CNPJ alfa</v>
      </c>
      <c r="D23" s="249" t="str">
        <f>IF($B23="Não", "BLOQUEADO (Aguardar liberação)", IFERROR(IF(VLOOKUP($A23,CTINTERVALO,4,0)=0,"",VLOOKUP($A23,CTINTERVALO,4,0)),""))</f>
        <v>BI Incluído com sucesso
Vínculo com CNPJ alfa presente nas relações previdenciárias</v>
      </c>
      <c r="E23" s="249" t="s">
        <v>339</v>
      </c>
      <c r="F23" s="249" t="str">
        <f>IF($B23="Não", "BLOQUEADO (Aguardar liberação)", IFERROR(IF(VLOOKUP($A23,CTINTERVALO,6,0)=0,"",VLOOKUP($A23,CTINTERVALO,6,0)),""))</f>
        <v>Alterar o CPF no JSON (coluna G). 
Enviar no serviço (http://hsibepuapr01h/sibews/api-test/#!/requerimento/incluirBI)</v>
      </c>
      <c r="G23" s="288" t="s">
        <v>340</v>
      </c>
      <c r="H23" s="80" t="s">
        <v>49</v>
      </c>
      <c r="I23" s="79"/>
      <c r="J23" s="280">
        <v>46246</v>
      </c>
      <c r="K23" s="235" t="s">
        <v>208</v>
      </c>
    </row>
    <row r="24" spans="1:12">
      <c r="A24" s="93">
        <v>14</v>
      </c>
      <c r="B24" s="249" t="str">
        <f>IFERROR(IF(VLOOKUP($A24,CTINTERVALO,2,0)=0,"",VLOOKUP($A24,CTINTERVALO,2,0)),"")</f>
        <v>Não</v>
      </c>
      <c r="C24" s="249" t="str">
        <f>IF($B24="Não", "BLOQUEADO (Aguardar liberação)", IFERROR(IF(VLOOKUP($A24,CTINTERVALO,3,0)=0,"",VLOOKUP($A24,CTINTERVALO,3,0)),""))</f>
        <v>BLOQUEADO (Aguardar liberação)</v>
      </c>
      <c r="D24" s="249" t="str">
        <f>IF($B24="Não", "BLOQUEADO (Aguardar liberação)", IFERROR(IF(VLOOKUP($A24,CTINTERVALO,4,0)=0,"",VLOOKUP($A24,CTINTERVALO,4,0)),""))</f>
        <v>BLOQUEADO (Aguardar liberação)</v>
      </c>
      <c r="E24" s="249"/>
      <c r="F24" s="249" t="str">
        <f>IF($B24="Não", "BLOQUEADO (Aguardar liberação)", IFERROR(IF(VLOOKUP($A24,CTINTERVALO,6,0)=0,"",VLOOKUP($A24,CTINTERVALO,6,0)),""))</f>
        <v>BLOQUEADO (Aguardar liberação)</v>
      </c>
      <c r="G24" s="80"/>
      <c r="H24" s="80"/>
      <c r="I24" s="79"/>
      <c r="J24" s="280"/>
      <c r="K24" s="80"/>
    </row>
    <row r="25" spans="1:12">
      <c r="A25" s="93">
        <v>15</v>
      </c>
      <c r="B25" s="249" t="str">
        <f>IFERROR(IF(VLOOKUP($A25,CTINTERVALO,2,0)=0,"",VLOOKUP($A25,CTINTERVALO,2,0)),"")</f>
        <v>Não</v>
      </c>
      <c r="C25" s="249" t="str">
        <f>IF($B25="Não", "BLOQUEADO (Aguardar liberação)", IFERROR(IF(VLOOKUP($A25,CTINTERVALO,3,0)=0,"",VLOOKUP($A25,CTINTERVALO,3,0)),""))</f>
        <v>BLOQUEADO (Aguardar liberação)</v>
      </c>
      <c r="D25" s="249" t="str">
        <f>IF($B25="Não", "BLOQUEADO (Aguardar liberação)", IFERROR(IF(VLOOKUP($A25,CTINTERVALO,4,0)=0,"",VLOOKUP($A25,CTINTERVALO,4,0)),""))</f>
        <v>BLOQUEADO (Aguardar liberação)</v>
      </c>
      <c r="E25" s="249"/>
      <c r="F25" s="249" t="str">
        <f>IF($B25="Não", "BLOQUEADO (Aguardar liberação)", IFERROR(IF(VLOOKUP($A25,CTINTERVALO,6,0)=0,"",VLOOKUP($A25,CTINTERVALO,6,0)),""))</f>
        <v>BLOQUEADO (Aguardar liberação)</v>
      </c>
      <c r="G25" s="80"/>
      <c r="H25" s="80"/>
      <c r="I25" s="79"/>
      <c r="J25" s="280"/>
      <c r="K25" s="80"/>
    </row>
    <row r="26" spans="1:12">
      <c r="A26" s="93">
        <v>16</v>
      </c>
      <c r="B26" s="249" t="str">
        <f>IFERROR(IF(VLOOKUP($A26,CTINTERVALO,2,0)=0,"",VLOOKUP($A26,CTINTERVALO,2,0)),"")</f>
        <v>Não</v>
      </c>
      <c r="C26" s="249" t="str">
        <f>IF($B26="Não", "BLOQUEADO (Aguardar liberação)", IFERROR(IF(VLOOKUP($A26,CTINTERVALO,3,0)=0,"",VLOOKUP($A26,CTINTERVALO,3,0)),""))</f>
        <v>BLOQUEADO (Aguardar liberação)</v>
      </c>
      <c r="D26" s="249" t="str">
        <f>IF($B26="Não", "BLOQUEADO (Aguardar liberação)", IFERROR(IF(VLOOKUP($A26,CTINTERVALO,4,0)=0,"",VLOOKUP($A26,CTINTERVALO,4,0)),""))</f>
        <v>BLOQUEADO (Aguardar liberação)</v>
      </c>
      <c r="E26" s="249"/>
      <c r="F26" s="249" t="str">
        <f>IF($B26="Não", "BLOQUEADO (Aguardar liberação)", IFERROR(IF(VLOOKUP($A26,CTINTERVALO,6,0)=0,"",VLOOKUP($A26,CTINTERVALO,6,0)),""))</f>
        <v>BLOQUEADO (Aguardar liberação)</v>
      </c>
      <c r="G26" s="80"/>
      <c r="H26" s="80"/>
      <c r="I26" s="79"/>
      <c r="J26" s="280"/>
      <c r="K26" s="80"/>
    </row>
    <row r="27" spans="1:12" ht="87" customHeight="1">
      <c r="A27" s="93">
        <v>18</v>
      </c>
      <c r="B27" s="249" t="str">
        <f>IFERROR(IF(VLOOKUP($A27,CTINTERVALO,2,0)=0,"",VLOOKUP($A27,CTINTERVALO,2,0)),"")</f>
        <v>Sim</v>
      </c>
      <c r="C27" s="249" t="str">
        <f>IF($B27="Não", "BLOQUEADO (Aguardar liberação)", IFERROR(IF(VLOOKUP($A27,CTINTERVALO,3,0)=0,"",VLOOKUP($A27,CTINTERVALO,3,0)),""))</f>
        <v>Incluir BPC com cidadão com vínculo com CNPJ alfa</v>
      </c>
      <c r="D27" s="249" t="str">
        <f>IF($B27="Não", "BLOQUEADO (Aguardar liberação)", IFERROR(IF(VLOOKUP($A27,CTINTERVALO,4,0)=0,"",VLOOKUP($A27,CTINTERVALO,4,0)),""))</f>
        <v>BPC Incluído com sucesso
Vínculo com CNPJ alfa presente nas relações previdenciárias</v>
      </c>
      <c r="E27" s="249" t="s">
        <v>341</v>
      </c>
      <c r="F27" s="249" t="str">
        <f>IF($B27="Não", "BLOQUEADO (Aguardar liberação)", IFERROR(IF(VLOOKUP($A27,CTINTERVALO,6,0)=0,"",VLOOKUP($A27,CTINTERVALO,6,0)),""))</f>
        <v>Alterar o CPF no JSON (coluna G). 
Enviar no serviço (http://hsibepuapr01h/sibews/api-test/#!/requerimento/incluirBPC)</v>
      </c>
      <c r="G27" s="80" t="s">
        <v>342</v>
      </c>
      <c r="H27" s="80" t="s">
        <v>49</v>
      </c>
      <c r="I27" s="79"/>
      <c r="J27" s="280">
        <v>46246</v>
      </c>
      <c r="K27" s="278" t="s">
        <v>343</v>
      </c>
      <c r="L27" s="279" t="s">
        <v>344</v>
      </c>
    </row>
    <row r="28" spans="1:12">
      <c r="A28" s="93">
        <v>19</v>
      </c>
      <c r="B28" s="249" t="str">
        <f>IFERROR(IF(VLOOKUP($A28,CTINTERVALO,2,0)=0,"",VLOOKUP($A28,CTINTERVALO,2,0)),"")</f>
        <v>Não</v>
      </c>
      <c r="C28" s="249" t="str">
        <f>IF($B28="Não", "BLOQUEADO (Aguardar liberação)", IFERROR(IF(VLOOKUP($A28,CTINTERVALO,3,0)=0,"",VLOOKUP($A28,CTINTERVALO,3,0)),""))</f>
        <v>BLOQUEADO (Aguardar liberação)</v>
      </c>
      <c r="D28" s="249" t="str">
        <f>IF($B28="Não", "BLOQUEADO (Aguardar liberação)", IFERROR(IF(VLOOKUP($A28,CTINTERVALO,4,0)=0,"",VLOOKUP($A28,CTINTERVALO,4,0)),""))</f>
        <v>BLOQUEADO (Aguardar liberação)</v>
      </c>
      <c r="E28" s="249"/>
      <c r="F28" s="249" t="str">
        <f>IF($B28="Não", "BLOQUEADO (Aguardar liberação)", IFERROR(IF(VLOOKUP($A28,CTINTERVALO,6,0)=0,"",VLOOKUP($A28,CTINTERVALO,6,0)),""))</f>
        <v>BLOQUEADO (Aguardar liberação)</v>
      </c>
      <c r="G28" s="80"/>
      <c r="H28" s="80"/>
      <c r="I28" s="79"/>
      <c r="J28" s="280"/>
      <c r="K28" s="80"/>
    </row>
    <row r="29" spans="1:12">
      <c r="A29" s="93">
        <v>20</v>
      </c>
      <c r="B29" s="249" t="str">
        <f>IFERROR(IF(VLOOKUP($A29,CTINTERVALO,2,0)=0,"",VLOOKUP($A29,CTINTERVALO,2,0)),"")</f>
        <v>Não</v>
      </c>
      <c r="C29" s="249" t="str">
        <f>IF($B29="Não", "BLOQUEADO (Aguardar liberação)", IFERROR(IF(VLOOKUP($A29,CTINTERVALO,3,0)=0,"",VLOOKUP($A29,CTINTERVALO,3,0)),""))</f>
        <v>BLOQUEADO (Aguardar liberação)</v>
      </c>
      <c r="D29" s="249" t="str">
        <f>IF($B29="Não", "BLOQUEADO (Aguardar liberação)", IFERROR(IF(VLOOKUP($A29,CTINTERVALO,4,0)=0,"",VLOOKUP($A29,CTINTERVALO,4,0)),""))</f>
        <v>BLOQUEADO (Aguardar liberação)</v>
      </c>
      <c r="E29" s="249"/>
      <c r="F29" s="249" t="str">
        <f>IF($B29="Não", "BLOQUEADO (Aguardar liberação)", IFERROR(IF(VLOOKUP($A29,CTINTERVALO,6,0)=0,"",VLOOKUP($A29,CTINTERVALO,6,0)),""))</f>
        <v>BLOQUEADO (Aguardar liberação)</v>
      </c>
      <c r="G29" s="80"/>
      <c r="H29" s="80"/>
      <c r="I29" s="79"/>
      <c r="J29" s="280"/>
      <c r="K29" s="80"/>
    </row>
    <row r="30" spans="1:12">
      <c r="A30" s="93">
        <v>21</v>
      </c>
      <c r="B30" s="249" t="str">
        <f>IFERROR(IF(VLOOKUP($A30,CTINTERVALO,2,0)=0,"",VLOOKUP($A30,CTINTERVALO,2,0)),"")</f>
        <v>Não</v>
      </c>
      <c r="C30" s="249" t="str">
        <f>IF($B30="Não", "BLOQUEADO (Aguardar liberação)", IFERROR(IF(VLOOKUP($A30,CTINTERVALO,3,0)=0,"",VLOOKUP($A30,CTINTERVALO,3,0)),""))</f>
        <v>BLOQUEADO (Aguardar liberação)</v>
      </c>
      <c r="D30" s="249" t="str">
        <f>IF($B30="Não", "BLOQUEADO (Aguardar liberação)", IFERROR(IF(VLOOKUP($A30,CTINTERVALO,4,0)=0,"",VLOOKUP($A30,CTINTERVALO,4,0)),""))</f>
        <v>BLOQUEADO (Aguardar liberação)</v>
      </c>
      <c r="E30" s="249"/>
      <c r="F30" s="249" t="str">
        <f>IF($B30="Não", "BLOQUEADO (Aguardar liberação)", IFERROR(IF(VLOOKUP($A30,CTINTERVALO,6,0)=0,"",VLOOKUP($A30,CTINTERVALO,6,0)),""))</f>
        <v>BLOQUEADO (Aguardar liberação)</v>
      </c>
      <c r="G30" s="80"/>
      <c r="H30" s="80"/>
      <c r="I30" s="79"/>
      <c r="J30" s="280"/>
      <c r="K30" s="80"/>
    </row>
    <row r="31" spans="1:12">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280"/>
      <c r="K31" s="80"/>
    </row>
    <row r="32" spans="1:12">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280"/>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280"/>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280"/>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280"/>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280"/>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280"/>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280"/>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280"/>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280"/>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280"/>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280"/>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280"/>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280"/>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280"/>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280"/>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280"/>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280"/>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280"/>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280"/>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280"/>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280"/>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280"/>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280"/>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280"/>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280"/>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280"/>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280"/>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280"/>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280"/>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280"/>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280"/>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280"/>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280"/>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280"/>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280"/>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280"/>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280"/>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280"/>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280"/>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280"/>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280"/>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280"/>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280"/>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280"/>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280"/>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280"/>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280"/>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280"/>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280"/>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280"/>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280"/>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280"/>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280"/>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280"/>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280"/>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280"/>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280"/>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280"/>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280"/>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280"/>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280"/>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280"/>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280"/>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280"/>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280"/>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280"/>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280"/>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280"/>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280"/>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280"/>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280"/>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280"/>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280"/>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280"/>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280"/>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280"/>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280"/>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280"/>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280"/>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280"/>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280"/>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280"/>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280"/>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280"/>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280"/>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280"/>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280"/>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280"/>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280"/>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280"/>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280"/>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280"/>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280"/>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280"/>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280"/>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280"/>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280"/>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280"/>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280"/>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280"/>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280"/>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280"/>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280"/>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280"/>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280"/>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280"/>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280"/>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280"/>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280"/>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280"/>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280"/>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280"/>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280"/>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280"/>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280"/>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280"/>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280"/>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280"/>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280"/>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280"/>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280"/>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280"/>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280"/>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280"/>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280"/>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280"/>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280"/>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280"/>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280"/>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280"/>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280"/>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280"/>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280"/>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280"/>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280"/>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280"/>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280"/>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280"/>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280"/>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280"/>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280"/>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280"/>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280"/>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280"/>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280"/>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280"/>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280"/>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280"/>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280"/>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280"/>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280"/>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280"/>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280"/>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280"/>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280"/>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280"/>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280"/>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280"/>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280"/>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280"/>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280"/>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280"/>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280"/>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280"/>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280"/>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280"/>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280"/>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280"/>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280"/>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280"/>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280"/>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280"/>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280"/>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280"/>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280"/>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280"/>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280"/>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280"/>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280"/>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280"/>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280"/>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280"/>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280"/>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280"/>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280"/>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280"/>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280"/>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280"/>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280"/>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280"/>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280"/>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280"/>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280"/>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280"/>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280"/>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280"/>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280"/>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280"/>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280"/>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280"/>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280"/>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280"/>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280"/>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280"/>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280"/>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280"/>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280"/>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280"/>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280"/>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280"/>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280"/>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280"/>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280"/>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280"/>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280"/>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280"/>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280"/>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280"/>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280"/>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280"/>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280"/>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280"/>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280"/>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280"/>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280"/>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280"/>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280"/>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280"/>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280"/>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280"/>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280"/>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280"/>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280"/>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280"/>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280"/>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280"/>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280"/>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280"/>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280"/>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280"/>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280"/>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280"/>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280"/>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280"/>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280"/>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280"/>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280"/>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280"/>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280"/>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280"/>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280"/>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280"/>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280"/>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280"/>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280"/>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280"/>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280"/>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280"/>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280"/>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280"/>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280"/>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280"/>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280"/>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280"/>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280"/>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280"/>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t="str">
        <f>IF($B298="Não", "BLOQUEADO (Aguardar liberação)", "")</f>
        <v/>
      </c>
      <c r="F298" s="249" t="str">
        <f>IF($B298="Não", "BLOQUEADO (Aguardar liberação)", IFERROR(IF(VLOOKUP($A298,CTINTERVALO,6,0)=0,"",VLOOKUP($A298,CTINTERVALO,6,0)),""))</f>
        <v/>
      </c>
      <c r="G298" s="80"/>
      <c r="H298" s="80"/>
      <c r="I298" s="79"/>
      <c r="J298" s="280"/>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t="str">
        <f>IF($B299="Não", "BLOQUEADO (Aguardar liberação)", "")</f>
        <v/>
      </c>
      <c r="F299" s="249" t="str">
        <f>IF($B299="Não", "BLOQUEADO (Aguardar liberação)", IFERROR(IF(VLOOKUP($A299,CTINTERVALO,6,0)=0,"",VLOOKUP($A299,CTINTERVALO,6,0)),""))</f>
        <v/>
      </c>
      <c r="G299" s="80"/>
      <c r="H299" s="80"/>
      <c r="I299" s="79"/>
      <c r="J299" s="280"/>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280"/>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280"/>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280"/>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280"/>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280"/>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280"/>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280"/>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280"/>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280"/>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280"/>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280"/>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280"/>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280"/>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280"/>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280"/>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280"/>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280"/>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280"/>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280"/>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280"/>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280"/>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280"/>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280"/>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280"/>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280"/>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280"/>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280"/>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280"/>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280"/>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280"/>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280"/>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280"/>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280"/>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280"/>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280"/>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280"/>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280"/>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280"/>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280"/>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280"/>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280"/>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280"/>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280"/>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280"/>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280"/>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280"/>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280"/>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280"/>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280"/>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280"/>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280"/>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280"/>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280"/>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280"/>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280"/>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280"/>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280"/>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280"/>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280"/>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280"/>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280"/>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280"/>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280"/>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280"/>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280"/>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280"/>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280"/>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280"/>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280"/>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280"/>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280"/>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280"/>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280"/>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280"/>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280"/>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280"/>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280"/>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280"/>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280"/>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280"/>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280"/>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280"/>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280"/>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280"/>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280"/>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280"/>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280"/>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280"/>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280"/>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280"/>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280"/>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280"/>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280"/>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280"/>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280"/>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280"/>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280"/>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280"/>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280"/>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280"/>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t="str">
        <f>IF($B400="Não", "BLOQUEADO (Aguardar liberação)", "")</f>
        <v/>
      </c>
      <c r="H400" s="80"/>
      <c r="I400" s="79"/>
      <c r="J400" s="280"/>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t="str">
        <f>IF($B401="Não", "BLOQUEADO (Aguardar liberação)", "")</f>
        <v/>
      </c>
      <c r="H401" s="80"/>
      <c r="I401" s="79"/>
      <c r="J401" s="280"/>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280"/>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280"/>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280"/>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280"/>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280"/>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280"/>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280"/>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280"/>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280"/>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280"/>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280"/>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280"/>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280"/>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280"/>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280"/>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280"/>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280"/>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280"/>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280"/>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280"/>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280"/>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280"/>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280"/>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280"/>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280"/>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280"/>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280"/>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280"/>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280"/>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280"/>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280"/>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280"/>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280"/>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280"/>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280"/>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280"/>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280"/>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280"/>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280"/>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280"/>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280"/>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280"/>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280"/>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280"/>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280"/>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280"/>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280"/>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280"/>
      <c r="K449" s="80"/>
    </row>
  </sheetData>
  <mergeCells count="10">
    <mergeCell ref="G6:G7"/>
    <mergeCell ref="H6:H7"/>
    <mergeCell ref="J6:J7"/>
    <mergeCell ref="K6:K7"/>
    <mergeCell ref="A6:A7"/>
    <mergeCell ref="B6:B7"/>
    <mergeCell ref="C6:C7"/>
    <mergeCell ref="D6:D7"/>
    <mergeCell ref="E6:E7"/>
    <mergeCell ref="F6:F7"/>
  </mergeCells>
  <conditionalFormatting sqref="C8:H449">
    <cfRule type="expression" dxfId="88" priority="16">
      <formula>$B8="Não"</formula>
    </cfRule>
  </conditionalFormatting>
  <conditionalFormatting sqref="I13">
    <cfRule type="expression" dxfId="87" priority="9">
      <formula>$B13="Não"</formula>
    </cfRule>
  </conditionalFormatting>
  <conditionalFormatting sqref="I14">
    <cfRule type="expression" dxfId="86" priority="2">
      <formula>$B14="Não"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15" id="{CAF8C88B-6E7A-4A69-B380-5468CE7D62C4}">
            <xm:f>$H8=Principal!$Q$10</xm:f>
            <x14:dxf>
              <fill>
                <patternFill patternType="solid">
                  <bgColor rgb="FF00B050"/>
                </patternFill>
              </fill>
            </x14:dxf>
          </x14:cfRule>
          <x14:cfRule type="expression" priority="17" id="{6C175310-C83A-4DDE-AB47-DD3BD949E9B0}">
            <xm:f>$H8=Principal!$Q$17</xm:f>
            <x14:dxf>
              <fill>
                <patternFill patternType="solid">
                  <bgColor rgb="FFFFFF00"/>
                </patternFill>
              </fill>
            </x14:dxf>
          </x14:cfRule>
          <x14:cfRule type="expression" priority="18" id="{745340B7-E9E1-4C98-BFEB-F87BDD89AB66}">
            <xm:f>$H8=Principal!$Q$16</xm:f>
            <x14:dxf>
              <fill>
                <patternFill patternType="solid">
                  <bgColor rgb="FFDD46E8"/>
                </patternFill>
              </fill>
            </x14:dxf>
          </x14:cfRule>
          <x14:cfRule type="expression" priority="19" id="{7AC51C49-D1CE-491E-8E13-87A2E7DA4F7C}">
            <xm:f>$H8=Principal!$Q$15</xm:f>
            <x14:dxf>
              <fill>
                <patternFill>
                  <bgColor theme="8" tint="0.59996337778862885"/>
                </patternFill>
              </fill>
            </x14:dxf>
          </x14:cfRule>
          <x14:cfRule type="expression" priority="20" id="{126776B0-A515-4C90-934D-76C8694BDA11}">
            <xm:f>$H8=Principal!$Q$14</xm:f>
            <x14:dxf>
              <fill>
                <patternFill>
                  <bgColor theme="7" tint="0.59996337778862885"/>
                </patternFill>
              </fill>
            </x14:dxf>
          </x14:cfRule>
          <x14:cfRule type="expression" priority="21" id="{05284216-F18C-44F7-9840-AE5E73A03879}">
            <xm:f>$H8=Principal!$Q$11</xm:f>
            <x14:dxf>
              <fill>
                <patternFill>
                  <bgColor rgb="FFFF5050"/>
                </patternFill>
              </fill>
            </x14:dxf>
          </x14:cfRule>
          <xm:sqref>C8:H449</xm:sqref>
        </x14:conditionalFormatting>
        <x14:conditionalFormatting xmlns:xm="http://schemas.microsoft.com/office/excel/2006/main">
          <x14:cfRule type="expression" priority="8" id="{D0619B77-57BD-4F64-9175-B9889312DBEE}">
            <xm:f>$H13=Principal!$Q$10</xm:f>
            <x14:dxf>
              <fill>
                <patternFill patternType="solid">
                  <bgColor rgb="FF00B050"/>
                </patternFill>
              </fill>
            </x14:dxf>
          </x14:cfRule>
          <x14:cfRule type="expression" priority="10" id="{E5E151ED-9D6A-44B8-89BB-BE8F9B6133E8}">
            <xm:f>$H13=Principal!$Q$17</xm:f>
            <x14:dxf>
              <fill>
                <patternFill patternType="solid">
                  <bgColor rgb="FFFFFF00"/>
                </patternFill>
              </fill>
            </x14:dxf>
          </x14:cfRule>
          <x14:cfRule type="expression" priority="11" id="{B26B6E09-29C7-4FBE-B071-977E4808129C}">
            <xm:f>$H13=Principal!$Q$16</xm:f>
            <x14:dxf>
              <fill>
                <patternFill patternType="solid">
                  <bgColor rgb="FFDD46E8"/>
                </patternFill>
              </fill>
            </x14:dxf>
          </x14:cfRule>
          <x14:cfRule type="expression" priority="12" id="{C38E0C1A-C731-4D7A-8F7B-D0C6E9A24308}">
            <xm:f>$H13=Principal!$Q$15</xm:f>
            <x14:dxf>
              <fill>
                <patternFill>
                  <bgColor theme="8" tint="0.59996337778862885"/>
                </patternFill>
              </fill>
            </x14:dxf>
          </x14:cfRule>
          <x14:cfRule type="expression" priority="13" id="{0BF0D13C-26E6-4E2A-8801-64A5DF578624}">
            <xm:f>$H13=Principal!$Q$14</xm:f>
            <x14:dxf>
              <fill>
                <patternFill>
                  <bgColor theme="7" tint="0.59996337778862885"/>
                </patternFill>
              </fill>
            </x14:dxf>
          </x14:cfRule>
          <x14:cfRule type="expression" priority="14" id="{53748361-2E51-4801-83D0-61B6FBE66410}">
            <xm:f>$H13=Principal!$Q$11</xm:f>
            <x14:dxf>
              <fill>
                <patternFill>
                  <bgColor rgb="FFFF5050"/>
                </patternFill>
              </fill>
            </x14:dxf>
          </x14:cfRule>
          <xm:sqref>I13</xm:sqref>
        </x14:conditionalFormatting>
        <x14:conditionalFormatting xmlns:xm="http://schemas.microsoft.com/office/excel/2006/main">
          <x14:cfRule type="expression" priority="1" id="{EBB56DA2-8109-44B8-AF56-1C0E5124B637}">
            <xm:f>$H14=Principal!$Q$10</xm:f>
            <x14:dxf>
              <fill>
                <patternFill patternType="solid">
                  <bgColor rgb="FF00B050"/>
                </patternFill>
              </fill>
            </x14:dxf>
          </x14:cfRule>
          <x14:cfRule type="expression" priority="3" id="{42D97A8A-C8DA-4C80-9AC1-557954C5855B}">
            <xm:f>$H14=Principal!$Q$17</xm:f>
            <x14:dxf>
              <fill>
                <patternFill patternType="solid">
                  <bgColor rgb="FFFFFF00"/>
                </patternFill>
              </fill>
            </x14:dxf>
          </x14:cfRule>
          <x14:cfRule type="expression" priority="4" id="{05536D7D-35B5-4C3F-8DC9-1E6773028635}">
            <xm:f>$H14=Principal!$Q$16</xm:f>
            <x14:dxf>
              <fill>
                <patternFill patternType="solid">
                  <bgColor rgb="FFDD46E8"/>
                </patternFill>
              </fill>
            </x14:dxf>
          </x14:cfRule>
          <x14:cfRule type="expression" priority="5" id="{E558C1B9-82C2-4437-8619-1B427EF7C2F4}">
            <xm:f>$H14=Principal!$Q$15</xm:f>
            <x14:dxf>
              <fill>
                <patternFill>
                  <bgColor theme="8" tint="0.59996337778862885"/>
                </patternFill>
              </fill>
            </x14:dxf>
          </x14:cfRule>
          <x14:cfRule type="expression" priority="6" id="{D3E349B7-4119-438A-80BD-C47C1DE87CBB}">
            <xm:f>$H14=Principal!$Q$14</xm:f>
            <x14:dxf>
              <fill>
                <patternFill>
                  <bgColor theme="7" tint="0.59996337778862885"/>
                </patternFill>
              </fill>
            </x14:dxf>
          </x14:cfRule>
          <x14:cfRule type="expression" priority="7" id="{8243C561-2BF7-4999-86F2-297912CF8145}">
            <xm:f>$H14=Principal!$Q$11</xm:f>
            <x14:dxf>
              <fill>
                <patternFill>
                  <bgColor rgb="FFFF5050"/>
                </patternFill>
              </fill>
            </x14:dxf>
          </x14:cfRule>
          <xm:sqref>I14</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303289A4-B9AF-48E9-B355-CB99E5C1B5F4}">
          <x14:formula1>
            <xm:f>Principal!$Q$9:$Q$17</xm:f>
          </x14:formula1>
          <xm:sqref>H8:H449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BC1AE-F4F2-4598-B91E-1F0D5EB0970F}">
  <dimension ref="A1:K450"/>
  <sheetViews>
    <sheetView topLeftCell="A18" workbookViewId="0">
      <selection activeCell="H19" sqref="H19"/>
    </sheetView>
  </sheetViews>
  <sheetFormatPr defaultRowHeight="15"/>
  <cols>
    <col min="1" max="1" width="8.7109375" style="239" customWidth="1"/>
    <col min="2" max="2" width="9" style="239" customWidth="1"/>
    <col min="3" max="3" width="47" style="64" customWidth="1"/>
    <col min="4" max="4" width="40.85546875" style="64" customWidth="1"/>
    <col min="5" max="5" width="29.42578125" style="64" customWidth="1"/>
    <col min="6" max="6" width="41.42578125" style="64" customWidth="1"/>
    <col min="7" max="7" width="35" style="64" customWidth="1"/>
    <col min="8" max="8" width="17.28515625" style="64" customWidth="1"/>
    <col min="9" max="9" width="22.140625" style="60" customWidth="1"/>
    <col min="10" max="10" width="13.7109375" style="60" customWidth="1"/>
    <col min="11" max="11" width="47.7109375" style="64" customWidth="1"/>
    <col min="12" max="12" width="17.7109375" customWidth="1"/>
    <col min="13" max="13" width="18.28515625" customWidth="1"/>
  </cols>
  <sheetData>
    <row r="1" spans="1:11">
      <c r="A1" s="240"/>
      <c r="B1" s="240"/>
      <c r="C1" s="241" t="s">
        <v>345</v>
      </c>
      <c r="D1" s="242"/>
      <c r="E1" s="241" t="s">
        <v>1</v>
      </c>
      <c r="F1" s="243">
        <f>COUNTA(H8:H450)</f>
        <v>13</v>
      </c>
      <c r="G1" s="244" t="s">
        <v>2</v>
      </c>
      <c r="H1" s="243">
        <f>COUNTIFS(H$8:H$450,"=Sucesso")</f>
        <v>13</v>
      </c>
      <c r="I1" s="240"/>
      <c r="J1" s="240"/>
      <c r="K1" s="240"/>
    </row>
    <row r="2" spans="1:11">
      <c r="A2" s="240"/>
      <c r="B2" s="240"/>
      <c r="C2" s="244" t="s">
        <v>346</v>
      </c>
      <c r="D2" s="243"/>
      <c r="E2" s="241" t="s">
        <v>4</v>
      </c>
      <c r="F2" s="243">
        <f>COUNTIF(H8:H450,"=Não Executado")</f>
        <v>0</v>
      </c>
      <c r="G2" s="244" t="s">
        <v>5</v>
      </c>
      <c r="H2" s="243">
        <f>COUNTIFS(H$8:H$450,"=Falha")</f>
        <v>0</v>
      </c>
      <c r="I2" s="240"/>
      <c r="J2" s="240"/>
      <c r="K2" s="240"/>
    </row>
    <row r="3" spans="1:11">
      <c r="A3" s="240"/>
      <c r="B3" s="240"/>
      <c r="C3" s="244" t="s">
        <v>6</v>
      </c>
      <c r="D3" s="244"/>
      <c r="E3" s="244" t="s">
        <v>7</v>
      </c>
      <c r="F3" s="243">
        <f>COUNTIFS(H8:H450,"=Falha") + COUNTIFS(H8:H450,"=Sucesso") + COUNTIFS(H8:H450,"=Pendência Externa")+ COUNTIFS(H8:H450,"=Demanda")+ COUNTIFS(H8:H450,"=Sugestão")</f>
        <v>13</v>
      </c>
      <c r="G3" s="244" t="s">
        <v>8</v>
      </c>
      <c r="H3" s="243">
        <f>COUNTIFS(H$8:H$450,"=Pendência Externa")</f>
        <v>0</v>
      </c>
      <c r="I3" s="240"/>
      <c r="J3" s="240"/>
      <c r="K3" s="245"/>
    </row>
    <row r="4" spans="1:11">
      <c r="A4" s="240"/>
      <c r="B4" s="240"/>
      <c r="C4" s="240"/>
      <c r="D4" s="244"/>
      <c r="E4" s="244" t="s">
        <v>9</v>
      </c>
      <c r="F4" s="246">
        <f>IF(COUNTA(H8:H450)&gt;0,F3/IF(COUNTA(H8:H450)=0, 1, COUNTA(H8:H450)),0)</f>
        <v>1</v>
      </c>
      <c r="G4" s="244" t="s">
        <v>10</v>
      </c>
      <c r="H4" s="243">
        <f>COUNTIFS(H$8:H$450,"=Sugestão")</f>
        <v>0</v>
      </c>
      <c r="I4" s="240"/>
      <c r="J4" s="240"/>
      <c r="K4" s="240"/>
    </row>
    <row r="5" spans="1:11">
      <c r="A5" s="240"/>
      <c r="B5" s="240"/>
      <c r="C5" s="240"/>
      <c r="D5" s="240"/>
      <c r="E5" s="240"/>
      <c r="F5" s="240"/>
      <c r="G5" s="240"/>
      <c r="H5" s="240"/>
      <c r="I5" s="240"/>
      <c r="J5" s="240"/>
      <c r="K5" s="240"/>
    </row>
    <row r="6" spans="1:11" ht="15" customHeight="1">
      <c r="A6" s="355" t="s">
        <v>11</v>
      </c>
      <c r="B6" s="352" t="s">
        <v>12</v>
      </c>
      <c r="C6" s="355" t="s">
        <v>13</v>
      </c>
      <c r="D6" s="355" t="s">
        <v>14</v>
      </c>
      <c r="E6" s="352" t="s">
        <v>15</v>
      </c>
      <c r="F6" s="355" t="s">
        <v>16</v>
      </c>
      <c r="G6" s="352" t="s">
        <v>17</v>
      </c>
      <c r="H6" s="352" t="s">
        <v>18</v>
      </c>
      <c r="I6" s="247" t="s">
        <v>19</v>
      </c>
      <c r="J6" s="352" t="s">
        <v>20</v>
      </c>
      <c r="K6" s="352" t="s">
        <v>21</v>
      </c>
    </row>
    <row r="7" spans="1:11" ht="14.45">
      <c r="A7" s="352"/>
      <c r="B7" s="354"/>
      <c r="C7" s="352"/>
      <c r="D7" s="352"/>
      <c r="E7" s="353"/>
      <c r="F7" s="352"/>
      <c r="G7" s="353"/>
      <c r="H7" s="353"/>
      <c r="I7" s="248"/>
      <c r="J7" s="354"/>
      <c r="K7" s="353"/>
    </row>
    <row r="8" spans="1:11" ht="96">
      <c r="A8" s="93">
        <v>1</v>
      </c>
      <c r="B8" s="249" t="str">
        <f>IFERROR(IF(VLOOKUP($A8,CTINTERVALO,2,0)=0,"",VLOOKUP($A8,CTINTERVALO,2,0)),"")</f>
        <v>Sim</v>
      </c>
      <c r="C8" s="249" t="str">
        <f>IF($B8="Não", "BLOQUEADO (Aguardar liberação)", IFERROR(IF(VLOOKUP($A8,CTINTERVALO,3,0)=0,"",VLOOKUP($A8,CTINTERVALO,3,0)),""))</f>
        <v>Reimportar relações previdenciárias no envio da perícia médica médica para requerimento de segurado especial</v>
      </c>
      <c r="D8" s="249" t="str">
        <f>IF($B8="Não", "BLOQUEADO (Aguardar liberação)", IFERROR(IF(VLOOKUP($A8,CTINTERVALO,4,0)=0,"",VLOOKUP($A8,CTINTERVALO,4,0)),""))</f>
        <v>Sistema deve reimportar as relações previdenciárias, ou seja, haverá alteração dos vínculos após do envio da pericia</v>
      </c>
      <c r="E8" s="249" t="s">
        <v>347</v>
      </c>
      <c r="F8" s="249" t="str">
        <f>IF($B8="Não", "BLOQUEADO (Aguardar liberação)", IFERROR(IF(VLOOKUP($A8,CTINTERVALO,6,0)=0,"",VLOOKUP($A8,CTINTERVALO,6,0)),""))</f>
        <v>Consultar o NB (coluna E) no Portal SIBE  e conferir as relações previdenciárias
Alterar PROTOCOLO do JSON (coluna H) e enviar a perecia através do serviço de informar pericia 
(http://hsibepuapr01h/sibews/api-test/#!/pmf/informarPericiaMedicaBI)</v>
      </c>
      <c r="G8" s="80" t="s">
        <v>348</v>
      </c>
      <c r="H8" s="80" t="s">
        <v>49</v>
      </c>
      <c r="I8" s="79"/>
      <c r="J8" s="280">
        <v>46245</v>
      </c>
      <c r="K8" s="80"/>
    </row>
    <row r="9" spans="1:11" ht="105.75" customHeight="1">
      <c r="A9" s="93">
        <v>2</v>
      </c>
      <c r="B9" s="249" t="str">
        <f>IFERROR(IF(VLOOKUP($A9,CTINTERVALO,2,0)=0,"",VLOOKUP($A9,CTINTERVALO,2,0)),"")</f>
        <v>Sim</v>
      </c>
      <c r="C9" s="249" t="str">
        <f>IF($B9="Não", "BLOQUEADO (Aguardar liberação)", IFERROR(IF(VLOOKUP($A9,CTINTERVALO,3,0)=0,"",VLOOKUP($A9,CTINTERVALO,3,0)),""))</f>
        <v>Reimportar relações previdenciárias no envio da perícia médica médica para requerimento de outros tipos de vínculo</v>
      </c>
      <c r="D9" s="249" t="str">
        <f>IF($B9="Não", "BLOQUEADO (Aguardar liberação)", IFERROR(IF(VLOOKUP($A9,CTINTERVALO,4,0)=0,"",VLOOKUP($A9,CTINTERVALO,4,0)),""))</f>
        <v>Sistema deve reimportar as relações previdenciárias, ou seja, haverá alteração dos vínculos após do envio da pericia</v>
      </c>
      <c r="E9" s="249" t="s">
        <v>349</v>
      </c>
      <c r="F9" s="249" t="str">
        <f>IF($B9="Não", "BLOQUEADO (Aguardar liberação)", IFERROR(IF(VLOOKUP($A9,CTINTERVALO,6,0)=0,"",VLOOKUP($A9,CTINTERVALO,6,0)),""))</f>
        <v>Consultar o NB (coluna E) no Portal SIBE  e conferir as relações previdenciárias
Alterar PROTOCOLO do JSON (coluna H) e enviar a perecia através do serviço de informar pericia 
(http://hsibepuapr01h/sibews/api-test/#!/pmf/informarPericiaMedicaBI)</v>
      </c>
      <c r="G9" s="80" t="s">
        <v>350</v>
      </c>
      <c r="H9" s="80" t="s">
        <v>49</v>
      </c>
      <c r="I9" s="79"/>
      <c r="J9" s="280">
        <v>46245</v>
      </c>
      <c r="K9" s="80"/>
    </row>
    <row r="10" spans="1:11" ht="116.25" customHeight="1">
      <c r="A10" s="93">
        <v>3</v>
      </c>
      <c r="B10" s="249" t="str">
        <f>IFERROR(IF(VLOOKUP($A10,CTINTERVALO,2,0)=0,"",VLOOKUP($A10,CTINTERVALO,2,0)),"")</f>
        <v>Sim</v>
      </c>
      <c r="C10" s="249" t="str">
        <f>IF($B10="Não", "BLOQUEADO (Aguardar liberação)", IFERROR(IF(VLOOKUP($A10,CTINTERVALO,3,0)=0,"",VLOOKUP($A10,CTINTERVALO,3,0)),""))</f>
        <v>Processar um requerimento sem carencia minima, mas que o segurado alterou algum vínculo no MEU INSS.</v>
      </c>
      <c r="D10" s="249" t="str">
        <f>IF($B10="Não", "BLOQUEADO (Aguardar liberação)", IFERROR(IF(VLOOKUP($A10,CTINTERVALO,4,0)=0,"",VLOOKUP($A10,CTINTERVALO,4,0)),""))</f>
        <v>Requerimento deve ser reaberto ao finalizar e retornar a informação: 
"Confirmar relações previdenciárias do segurado ou a ausência delas
Observações: Vínculos do Segurado alterados"</v>
      </c>
      <c r="E10" s="249" t="s">
        <v>351</v>
      </c>
      <c r="F10" s="249" t="str">
        <f>IF($B10="Não", "BLOQUEADO (Aguardar liberação)", IFERROR(IF(VLOOKUP($A10,CTINTERVALO,6,0)=0,"",VLOOKUP($A10,CTINTERVALO,6,0)),""))</f>
        <v>1. Consultar NB (coluna E) no Portal SIBE
2. ir em Alterar
3. Executar verificar pendências
4. Ir em Detalhes e verificar o campo "Segurado realizou alterações nos vínculos"
5. Tentar Concluir
* Proposta de teste do cenário atual</v>
      </c>
      <c r="G10" s="80" t="s">
        <v>352</v>
      </c>
      <c r="H10" s="80" t="s">
        <v>49</v>
      </c>
      <c r="I10" s="79"/>
      <c r="J10" s="280">
        <v>46244</v>
      </c>
      <c r="K10" s="80"/>
    </row>
    <row r="11" spans="1:11" ht="116.25" customHeight="1">
      <c r="A11" s="93">
        <v>4</v>
      </c>
      <c r="B11" s="249" t="str">
        <f>IFERROR(IF(VLOOKUP($A11,CTINTERVALO,2,0)=0,"",VLOOKUP($A11,CTINTERVALO,2,0)),"")</f>
        <v>Sim</v>
      </c>
      <c r="C11" s="249" t="str">
        <f>IF($B11="Não", "BLOQUEADO (Aguardar liberação)", IFERROR(IF(VLOOKUP($A11,CTINTERVALO,3,0)=0,"",VLOOKUP($A11,CTINTERVALO,3,0)),""))</f>
        <v>Processar um requerimento sem carencia minima, mas que não há informação se segurado alterou ou não algum vínculo no MEU INSS.</v>
      </c>
      <c r="D11" s="249" t="str">
        <f>IF($B11="Não", "BLOQUEADO (Aguardar liberação)", IFERROR(IF(VLOOKUP($A11,CTINTERVALO,4,0)=0,"",VLOOKUP($A11,CTINTERVALO,4,0)),""))</f>
        <v>Requerimento deve ser reaberto ao finalizar e retornar a informação: 
"Confirmar relações previdenciárias do segurado ou a ausência delas
Observações: Vínculos do Segurado alterados"</v>
      </c>
      <c r="E11" s="249" t="s">
        <v>353</v>
      </c>
      <c r="F11" s="249" t="str">
        <f>IF($B11="Não", "BLOQUEADO (Aguardar liberação)", IFERROR(IF(VLOOKUP($A11,CTINTERVALO,6,0)=0,"",VLOOKUP($A11,CTINTERVALO,6,0)),""))</f>
        <v>1. Consultar NB (coluna E) no Portal SIBE
2. ir em Alterar
3. Executar verificar pendências
4. Ir em Detalhes e verificar o campo "Segurado realizou alterações nos vínculos"
5. Tentar Concluir
* Proposta de teste do cenário atual</v>
      </c>
      <c r="G11" s="80" t="s">
        <v>352</v>
      </c>
      <c r="H11" s="80" t="s">
        <v>49</v>
      </c>
      <c r="I11" s="79"/>
      <c r="J11" s="280">
        <v>46244</v>
      </c>
      <c r="K11" s="80"/>
    </row>
    <row r="12" spans="1:11" ht="142.5">
      <c r="A12" s="93">
        <v>5</v>
      </c>
      <c r="B12" s="249" t="str">
        <f>IFERROR(IF(VLOOKUP($A12,CTINTERVALO,2,0)=0,"",VLOOKUP($A12,CTINTERVALO,2,0)),"")</f>
        <v>Sim</v>
      </c>
      <c r="C12" s="249" t="str">
        <f>IF($B12="Não", "BLOQUEADO (Aguardar liberação)", IFERROR(IF(VLOOKUP($A12,CTINTERVALO,3,0)=0,"",VLOOKUP($A12,CTINTERVALO,3,0)),""))</f>
        <v>Processar um requerimento sem carencia minima, mas que o segurado não alterou algum vínculo no MEU INSS.</v>
      </c>
      <c r="D12" s="249" t="str">
        <f>IF($B12="Não", "BLOQUEADO (Aguardar liberação)", IFERROR(IF(VLOOKUP($A12,CTINTERVALO,4,0)=0,"",VLOOKUP($A12,CTINTERVALO,4,0)),""))</f>
        <v>Requerimento deve ser indeferido</v>
      </c>
      <c r="E12" s="249" t="s">
        <v>354</v>
      </c>
      <c r="F12" s="249" t="str">
        <f>IF($B12="Não", "BLOQUEADO (Aguardar liberação)", IFERROR(IF(VLOOKUP($A12,CTINTERVALO,6,0)=0,"",VLOOKUP($A12,CTINTERVALO,6,0)),""))</f>
        <v>1. Consultar NB (coluna E) no Portal SIBE
2. ir em Alterar
3. Executar verificar pendências
4. Ir em Detalhes e verificar o campo "Segurado realizou alterações nos vínculos"
5. Alterar PROTOCOLO do JSON (coluna H) e enviar a perecia através do serviço de informar pericia 
(http://hsibepuapr01h/sibews/api-test/#!/pmf/informarPericiaMedicaBI)
* Proposta de teste do cenário atual</v>
      </c>
      <c r="G12" s="80" t="s">
        <v>352</v>
      </c>
      <c r="H12" s="80" t="s">
        <v>49</v>
      </c>
      <c r="I12" s="79"/>
      <c r="J12" s="280">
        <v>46244</v>
      </c>
      <c r="K12" s="80"/>
    </row>
    <row r="13" spans="1:11" ht="130.5">
      <c r="A13" s="93">
        <v>6</v>
      </c>
      <c r="B13" s="249" t="str">
        <f>IFERROR(IF(VLOOKUP($A13,CTINTERVALO,2,0)=0,"",VLOOKUP($A13,CTINTERVALO,2,0)),"")</f>
        <v>Sim</v>
      </c>
      <c r="C13" s="249" t="str">
        <f>IF($B13="Não", "BLOQUEADO (Aguardar liberação)", IFERROR(IF(VLOOKUP($A13,CTINTERVALO,3,0)=0,"",VLOOKUP($A13,CTINTERVALO,3,0)),""))</f>
        <v>Processar um requerimento sem carencia minima, mas que CNIS retornou pendencia na autodeclaração do segurado especial</v>
      </c>
      <c r="D13" s="249" t="str">
        <f>IF($B13="Não", "BLOQUEADO (Aguardar liberação)", IFERROR(IF(VLOOKUP($A13,CTINTERVALO,4,0)=0,"",VLOOKUP($A13,CTINTERVALO,4,0)),""))</f>
        <v>Requerimento deve ser reaberto e retornar a mensagem: 
"Confirmar os vínculos ou ausencia dos mesmos
Observações: Possui período Segurado Especial pendente"</v>
      </c>
      <c r="E13" s="249" t="s">
        <v>355</v>
      </c>
      <c r="F13" s="249" t="str">
        <f>IF($B13="Não", "BLOQUEADO (Aguardar liberação)", IFERROR(IF(VLOOKUP($A13,CTINTERVALO,6,0)=0,"",VLOOKUP($A13,CTINTERVALO,6,0)),""))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
6. Tentar Concluir</v>
      </c>
      <c r="G13" s="80" t="s">
        <v>356</v>
      </c>
      <c r="H13" s="80" t="s">
        <v>49</v>
      </c>
      <c r="I13" s="79"/>
      <c r="J13" s="280">
        <v>46245</v>
      </c>
      <c r="K13" s="80"/>
    </row>
    <row r="14" spans="1:11" ht="118.5">
      <c r="A14" s="93">
        <v>7</v>
      </c>
      <c r="B14" s="249" t="str">
        <f>IFERROR(IF(VLOOKUP($A14,CTINTERVALO,2,0)=0,"",VLOOKUP($A14,CTINTERVALO,2,0)),"")</f>
        <v>Sim</v>
      </c>
      <c r="C14" s="249" t="str">
        <f>IF($B14="Não", "BLOQUEADO (Aguardar liberação)", IFERROR(IF(VLOOKUP($A14,CTINTERVALO,3,0)=0,"",VLOOKUP($A14,CTINTERVALO,3,0)),""))</f>
        <v>Processar um requerimento sem carencia minima, mas que não há informação de pendência ou não na autodeclaração do segurado especial</v>
      </c>
      <c r="D14" s="249" t="str">
        <f>IF($B14="Não", "BLOQUEADO (Aguardar liberação)", IFERROR(IF(VLOOKUP($A14,CTINTERVALO,4,0)=0,"",VLOOKUP($A14,CTINTERVALO,4,0)),""))</f>
        <v>Requerimento deve ser indeferido</v>
      </c>
      <c r="E14" s="249" t="s">
        <v>357</v>
      </c>
      <c r="F14" s="249" t="str">
        <f>IF($B14="Não", "BLOQUEADO (Aguardar liberação)", IFERROR(IF(VLOOKUP($A14,CTINTERVALO,6,0)=0,"",VLOOKUP($A14,CTINTERVALO,6,0)),""))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4" s="80" t="s">
        <v>352</v>
      </c>
      <c r="H14" s="80" t="s">
        <v>49</v>
      </c>
      <c r="I14" s="79"/>
      <c r="J14" s="280">
        <v>46244</v>
      </c>
      <c r="K14" s="80"/>
    </row>
    <row r="15" spans="1:11" ht="118.5">
      <c r="A15" s="93">
        <v>8</v>
      </c>
      <c r="B15" s="249" t="str">
        <f>IFERROR(IF(VLOOKUP($A15,CTINTERVALO,2,0)=0,"",VLOOKUP($A15,CTINTERVALO,2,0)),"")</f>
        <v>Sim</v>
      </c>
      <c r="C15" s="249" t="str">
        <f>IF($B15="Não", "BLOQUEADO (Aguardar liberação)", IFERROR(IF(VLOOKUP($A15,CTINTERVALO,3,0)=0,"",VLOOKUP($A15,CTINTERVALO,3,0)),""))</f>
        <v>Processar um requerimento sem carencia minima, mas que CNIS não retornou pendencia na autodeclaração do segurado especial</v>
      </c>
      <c r="D15" s="249" t="str">
        <f>IF($B15="Não", "BLOQUEADO (Aguardar liberação)", IFERROR(IF(VLOOKUP($A15,CTINTERVALO,4,0)=0,"",VLOOKUP($A15,CTINTERVALO,4,0)),""))</f>
        <v>Requerimento deve ser indeferido</v>
      </c>
      <c r="E15" s="249" t="s">
        <v>358</v>
      </c>
      <c r="F15" s="249" t="str">
        <f>IF($B15="Não", "BLOQUEADO (Aguardar liberação)", IFERROR(IF(VLOOKUP($A15,CTINTERVALO,6,0)=0,"",VLOOKUP($A15,CTINTERVALO,6,0)),""))</f>
        <v>1. Consultar NB (coluna E) no Portal SIBE
2. ir em Alterar
3. Executar verificar pendências
4. Ir em Detalhes e verificar o campo "Possui período de Segurado Especial pendente"
5. Alterar PROTOCOLO do JSON (coluna H) e enviar a perecia através do serviço de informar pericia 
(http://hsibepuapr01h/sibews/api-test/#!/pmf/informarPericiaMedicaBI)</v>
      </c>
      <c r="G15" s="80" t="s">
        <v>352</v>
      </c>
      <c r="H15" s="80" t="s">
        <v>49</v>
      </c>
      <c r="I15" s="79"/>
      <c r="J15" s="280">
        <v>46244</v>
      </c>
      <c r="K15" s="80"/>
    </row>
    <row r="16" spans="1:11" ht="107.25">
      <c r="A16" s="93">
        <v>9</v>
      </c>
      <c r="B16" s="249" t="str">
        <f>IFERROR(IF(VLOOKUP($A16,CTINTERVALO,2,0)=0,"",VLOOKUP($A16,CTINTERVALO,2,0)),"")</f>
        <v>Sim</v>
      </c>
      <c r="C16" s="249" t="str">
        <f>IF($B16="Não", "BLOQUEADO (Aguardar liberação)", IFERROR(IF(VLOOKUP($A16,CTINTERVALO,3,0)=0,"",VLOOKUP($A16,CTINTERVALO,3,0)),""))</f>
        <v>Tentar executar Verificar Pendencia de requerimento BPC com AAP atual que não pertence a APS de manutenção</v>
      </c>
      <c r="D16" s="249" t="str">
        <f>IF($B16="Não", "BLOQUEADO (Aguardar liberação)", IFERROR(IF(VLOOKUP($A16,CTINTERVALO,4,0)=0,"",VLOOKUP($A16,CTINTERVALO,4,0)),""))</f>
        <v>Quando detectada a pendencia de que a AAP não pertença a APS de manutenção o sistema irá mudar a AAP automaticamente no verificar pendencias</v>
      </c>
      <c r="E16" s="249" t="s">
        <v>359</v>
      </c>
      <c r="F16" s="249" t="str">
        <f>IF($B16="Não", "BLOQUEADO (Aguardar liberação)", IFERROR(IF(VLOOKUP($A16,CTINTERVALO,6,0)=0,"",VLOOKUP($A16,CTINTERVALO,6,0)),""))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6" s="80" t="s">
        <v>352</v>
      </c>
      <c r="H16" s="80" t="s">
        <v>49</v>
      </c>
      <c r="I16" s="79"/>
      <c r="J16" s="280">
        <v>46244</v>
      </c>
      <c r="K16" s="80"/>
    </row>
    <row r="17" spans="1:11" ht="107.25">
      <c r="A17" s="93">
        <v>10</v>
      </c>
      <c r="B17" s="249" t="str">
        <f>IFERROR(IF(VLOOKUP($A17,CTINTERVALO,2,0)=0,"",VLOOKUP($A17,CTINTERVALO,2,0)),"")</f>
        <v>Sim</v>
      </c>
      <c r="C17" s="249" t="str">
        <f>IF($B17="Não", "BLOQUEADO (Aguardar liberação)", IFERROR(IF(VLOOKUP($A17,CTINTERVALO,3,0)=0,"",VLOOKUP($A17,CTINTERVALO,3,0)),""))</f>
        <v>Tentar executar Verificar Pendencia de requerimento BI com AAP atual que não pertence a APS de manutenção</v>
      </c>
      <c r="D17" s="249" t="str">
        <f>IF($B17="Não", "BLOQUEADO (Aguardar liberação)", IFERROR(IF(VLOOKUP($A17,CTINTERVALO,4,0)=0,"",VLOOKUP($A17,CTINTERVALO,4,0)),""))</f>
        <v>Quando detectada a pendencia de que a AAP não pertença a APS de manutenção o sistema irá mudar a AAP automaticamente no verificar pendencias</v>
      </c>
      <c r="E17" s="249" t="s">
        <v>360</v>
      </c>
      <c r="F17" s="249" t="str">
        <f>IF($B17="Não", "BLOQUEADO (Aguardar liberação)", IFERROR(IF(VLOOKUP($A17,CTINTERVALO,6,0)=0,"",VLOOKUP($A17,CTINTERVALO,6,0)),""))</f>
        <v>Abrir NB (coluna E) no Portal SIBE pelo botão Detalhar (ícone do olho)
Executar Verificar Pendêcias, sera exibido a pendencia impeditiva na Forma de Pagamento
Abrir NB (coluna E) no Portal SIBE pelo botão Alterar (ícone do lapis)
Executar Verificar Pendêcias, não terá pendencia imepditiva referente a AAP</v>
      </c>
      <c r="G17" s="80" t="s">
        <v>352</v>
      </c>
      <c r="H17" s="80" t="s">
        <v>49</v>
      </c>
      <c r="I17" s="79"/>
      <c r="J17" s="280">
        <v>46244</v>
      </c>
      <c r="K17" s="80"/>
    </row>
    <row r="18" spans="1:11" ht="277.5" customHeight="1">
      <c r="A18" s="93">
        <v>11</v>
      </c>
      <c r="B18" s="249" t="str">
        <f>IFERROR(IF(VLOOKUP($A18,CTINTERVALO,2,0)=0,"",VLOOKUP($A18,CTINTERVALO,2,0)),"")</f>
        <v>Sim</v>
      </c>
      <c r="C18" s="249" t="str">
        <f>IF($B18="Não", "BLOQUEADO (Aguardar liberação)", IFERROR(IF(VLOOKUP($A18,CTINTERVALO,3,0)=0,"",VLOOKUP($A18,CTINTERVALO,3,0)),""))</f>
        <v>Criar requerimento de BPC B87 e tentar DEFERIR informando forma de convívio que não condiz com a composição do grupo familiar</v>
      </c>
      <c r="D18" s="249" t="str">
        <f>IF($B18="Não", "BLOQUEADO (Aguardar liberação)", IFERROR(IF(VLOOKUP($A18,CTINTERVALO,4,0)=0,"",VLOOKUP($A18,CTINTERVALO,4,0)),""))</f>
        <v>O sistema deverá inferir automaticamente a forma de convívio correta e NÃO deverá gerar pendência de forma de convívio e deverá conceder o beneficio caso não exista motivos de indeferimento.</v>
      </c>
      <c r="E18" s="249" t="s">
        <v>361</v>
      </c>
      <c r="F18" s="249" t="str">
        <f>IF($B18="Não", "BLOQUEADO (Aguardar liberação)", IFERROR(IF(VLOOKUP($A18,CTINTERVALO,6,0)=0,"",VLOOKUP($A18,CTINTERVALO,6,0)),""))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
Colocar os mesmos CPF e PROTOCOLO no JSON (coluna H) e enviar no serviço (http://hsibepuapr01h/sibews/api-test/#!/pmf/informarPericiaMedicaBPC)
Colocar os mesmos CPF e PROTOCOLO no JSON (coluna I) e enviar no serviço (http://hsibepuapr01h/sibews/api-test/#!/avaliacaoSocial/informarAvaliacaoSocialBPC)</v>
      </c>
      <c r="G18" s="80" t="s">
        <v>352</v>
      </c>
      <c r="H18" s="80" t="s">
        <v>49</v>
      </c>
      <c r="I18" s="79"/>
      <c r="J18" s="280">
        <v>46245</v>
      </c>
      <c r="K18" s="80"/>
    </row>
    <row r="19" spans="1:11" ht="183" customHeight="1">
      <c r="A19" s="93">
        <v>12</v>
      </c>
      <c r="B19" s="249" t="str">
        <f>IFERROR(IF(VLOOKUP($A19,CTINTERVALO,2,0)=0,"",VLOOKUP($A19,CTINTERVALO,2,0)),"")</f>
        <v>Sim</v>
      </c>
      <c r="C19" s="249" t="str">
        <f>IF($B19="Não", "BLOQUEADO (Aguardar liberação)", IFERROR(IF(VLOOKUP($A19,CTINTERVALO,3,0)=0,"",VLOOKUP($A19,CTINTERVALO,3,0)),""))</f>
        <v>Criar requerimento de BPC B88 e tentar DEFERIR informando forma de convívio que não condiz com a composição do grupo familiar</v>
      </c>
      <c r="D19" s="249" t="str">
        <f>IF($B19="Não", "BLOQUEADO (Aguardar liberação)", IFERROR(IF(VLOOKUP($A19,CTINTERVALO,4,0)=0,"",VLOOKUP($A19,CTINTERVALO,4,0)),""))</f>
        <v>O sistema deverá inferir automaticamente a forma de convívio correta e NÃO deverá gerar pendência de forma de convívio e deverá conceder o beneficio caso não exista motivos de indeferimento.</v>
      </c>
      <c r="E19" s="249" t="s">
        <v>362</v>
      </c>
      <c r="F19" s="249" t="str">
        <f>IF($B19="Não", "BLOQUEADO (Aguardar liberação)", IFERROR(IF(VLOOKUP($A19,CTINTERVALO,6,0)=0,"",VLOOKUP($A19,CTINTERVALO,6,0)),""))</f>
        <v>Alterar o CPF e PROTOCOLO no JSON (coluna G). 
Alterar a forma de convivio para uma diferente da massa.
Enviar no serviço (http://hsibepuapr01h/sibews/api-test/#!/requerimento/incluirBPC)
FORMA DE CONVIVIO:
1 - SOZINHO("Sozinho"),
	2 - FAMILIA("Com a família"),
	3 - OUTRAS_PESSOAS("Com pessoas que não fazem parte do grupo familiar");</v>
      </c>
      <c r="G19" s="80" t="s">
        <v>352</v>
      </c>
      <c r="H19" s="80" t="s">
        <v>49</v>
      </c>
      <c r="I19" s="79"/>
      <c r="J19" s="79"/>
      <c r="K19" s="80"/>
    </row>
    <row r="20" spans="1:11" ht="81" customHeight="1">
      <c r="A20" s="93">
        <v>13</v>
      </c>
      <c r="B20" s="249" t="str">
        <f>IFERROR(IF(VLOOKUP($A20,CTINTERVALO,2,0)=0,"",VLOOKUP($A20,CTINTERVALO,2,0)),"")</f>
        <v>Sim</v>
      </c>
      <c r="C20" s="249" t="str">
        <f>IF($B20="Não", "BLOQUEADO (Aguardar liberação)", IFERROR(IF(VLOOKUP($A20,CTINTERVALO,3,0)=0,"",VLOOKUP($A20,CTINTERVALO,3,0)),""))</f>
        <v>Incluir BI com cidadão com vínculo com CNPJ alfa</v>
      </c>
      <c r="D20" s="249" t="str">
        <f>IF($B20="Não", "BLOQUEADO (Aguardar liberação)", IFERROR(IF(VLOOKUP($A20,CTINTERVALO,4,0)=0,"",VLOOKUP($A20,CTINTERVALO,4,0)),""))</f>
        <v>BI Incluído com sucesso
Vínculo com CNPJ alfa presente nas relações previdenciárias</v>
      </c>
      <c r="E20" s="249" t="s">
        <v>363</v>
      </c>
      <c r="F20" s="249" t="str">
        <f>IF($B20="Não", "BLOQUEADO (Aguardar liberação)", IFERROR(IF(VLOOKUP($A20,CTINTERVALO,6,0)=0,"",VLOOKUP($A20,CTINTERVALO,6,0)),""))</f>
        <v>Alterar o CPF no JSON (coluna G). 
Enviar no serviço (http://hsibepuapr01h/sibews/api-test/#!/requerimento/incluirBI)</v>
      </c>
      <c r="G20" s="80" t="s">
        <v>352</v>
      </c>
      <c r="H20" s="80" t="s">
        <v>49</v>
      </c>
      <c r="I20" s="79"/>
      <c r="J20" s="79"/>
      <c r="K20" s="80"/>
    </row>
    <row r="21" spans="1:11" ht="74.25" customHeight="1">
      <c r="A21" s="93">
        <v>18</v>
      </c>
      <c r="B21" s="249" t="str">
        <f>IFERROR(IF(VLOOKUP($A21,CTINTERVALO,2,0)=0,"",VLOOKUP($A21,CTINTERVALO,2,0)),"")</f>
        <v>Sim</v>
      </c>
      <c r="C21" s="249" t="str">
        <f>IF($B21="Não", "BLOQUEADO (Aguardar liberação)", IFERROR(IF(VLOOKUP($A21,CTINTERVALO,3,0)=0,"",VLOOKUP($A21,CTINTERVALO,3,0)),""))</f>
        <v>Incluir BPC com cidadão com vínculo com CNPJ alfa</v>
      </c>
      <c r="D21" s="249" t="str">
        <f>IF($B21="Não", "BLOQUEADO (Aguardar liberação)", IFERROR(IF(VLOOKUP($A21,CTINTERVALO,4,0)=0,"",VLOOKUP($A21,CTINTERVALO,4,0)),""))</f>
        <v>BPC Incluído com sucesso
Vínculo com CNPJ alfa presente nas relações previdenciárias</v>
      </c>
      <c r="E21" s="249" t="s">
        <v>364</v>
      </c>
      <c r="F21" s="249" t="str">
        <f>IF($B21="Não", "BLOQUEADO (Aguardar liberação)", IFERROR(IF(VLOOKUP($A21,CTINTERVALO,6,0)=0,"",VLOOKUP($A21,CTINTERVALO,6,0)),""))</f>
        <v>Alterar o CPF no JSON (coluna G). 
Enviar no serviço (http://hsibepuapr01h/sibews/api-test/#!/requerimento/incluirBPC)</v>
      </c>
      <c r="G21" s="80"/>
      <c r="H21" s="80"/>
      <c r="I21" s="79"/>
      <c r="J21" s="79"/>
      <c r="K21" s="80"/>
    </row>
    <row r="22" spans="1:11">
      <c r="A22" s="93"/>
      <c r="B22" s="249" t="str">
        <f>IFERROR(IF(VLOOKUP($A22,CTINTERVALO,2,0)=0,"",VLOOKUP($A22,CTINTERVALO,2,0)),"")</f>
        <v/>
      </c>
      <c r="C22" s="249" t="str">
        <f>IF($B22="Não", "BLOQUEADO (Aguardar liberação)", IFERROR(IF(VLOOKUP($A22,CTINTERVALO,3,0)=0,"",VLOOKUP($A22,CTINTERVALO,3,0)),""))</f>
        <v/>
      </c>
      <c r="D22" s="249" t="str">
        <f>IF($B22="Não", "BLOQUEADO (Aguardar liberação)", IFERROR(IF(VLOOKUP($A22,CTINTERVALO,4,0)=0,"",VLOOKUP($A22,CTINTERVALO,4,0)),""))</f>
        <v/>
      </c>
      <c r="E22" s="249"/>
      <c r="F22" s="249" t="str">
        <f>IF($B22="Não", "BLOQUEADO (Aguardar liberação)", IFERROR(IF(VLOOKUP($A22,CTINTERVALO,6,0)=0,"",VLOOKUP($A22,CTINTERVALO,6,0)),""))</f>
        <v/>
      </c>
      <c r="G22" s="80"/>
      <c r="H22" s="80"/>
      <c r="I22" s="79"/>
      <c r="J22" s="79"/>
      <c r="K22" s="80"/>
    </row>
    <row r="23" spans="1:11">
      <c r="A23" s="93"/>
      <c r="B23" s="249" t="str">
        <f>IFERROR(IF(VLOOKUP($A23,CTINTERVALO,2,0)=0,"",VLOOKUP($A23,CTINTERVALO,2,0)),"")</f>
        <v/>
      </c>
      <c r="C23" s="249" t="str">
        <f>IF($B23="Não", "BLOQUEADO (Aguardar liberação)", IFERROR(IF(VLOOKUP($A23,CTINTERVALO,3,0)=0,"",VLOOKUP($A23,CTINTERVALO,3,0)),""))</f>
        <v/>
      </c>
      <c r="D23" s="249" t="str">
        <f>IF($B23="Não", "BLOQUEADO (Aguardar liberação)", IFERROR(IF(VLOOKUP($A23,CTINTERVALO,4,0)=0,"",VLOOKUP($A23,CTINTERVALO,4,0)),""))</f>
        <v/>
      </c>
      <c r="E23" s="249"/>
      <c r="F23" s="249" t="str">
        <f>IF($B23="Não", "BLOQUEADO (Aguardar liberação)", IFERROR(IF(VLOOKUP($A23,CTINTERVALO,6,0)=0,"",VLOOKUP($A23,CTINTERVALO,6,0)),""))</f>
        <v/>
      </c>
      <c r="G23" s="80"/>
      <c r="H23" s="80"/>
      <c r="I23" s="79"/>
      <c r="J23" s="79"/>
      <c r="K23" s="80"/>
    </row>
    <row r="24" spans="1:11">
      <c r="A24" s="93"/>
      <c r="B24" s="249" t="str">
        <f>IFERROR(IF(VLOOKUP($A24,CTINTERVALO,2,0)=0,"",VLOOKUP($A24,CTINTERVALO,2,0)),"")</f>
        <v/>
      </c>
      <c r="C24" s="249" t="str">
        <f>IF($B24="Não", "BLOQUEADO (Aguardar liberação)", IFERROR(IF(VLOOKUP($A24,CTINTERVALO,3,0)=0,"",VLOOKUP($A24,CTINTERVALO,3,0)),""))</f>
        <v/>
      </c>
      <c r="D24" s="249" t="str">
        <f>IF($B24="Não", "BLOQUEADO (Aguardar liberação)", IFERROR(IF(VLOOKUP($A24,CTINTERVALO,4,0)=0,"",VLOOKUP($A24,CTINTERVALO,4,0)),""))</f>
        <v/>
      </c>
      <c r="E24" s="249"/>
      <c r="F24" s="249" t="str">
        <f>IF($B24="Não", "BLOQUEADO (Aguardar liberação)", IFERROR(IF(VLOOKUP($A24,CTINTERVALO,6,0)=0,"",VLOOKUP($A24,CTINTERVALO,6,0)),""))</f>
        <v/>
      </c>
      <c r="G24" s="80"/>
      <c r="H24" s="80"/>
      <c r="I24" s="79"/>
      <c r="J24" s="79"/>
      <c r="K24" s="80"/>
    </row>
    <row r="25" spans="1:11">
      <c r="A25" s="93"/>
      <c r="B25" s="249" t="str">
        <f>IFERROR(IF(VLOOKUP($A25,CTINTERVALO,2,0)=0,"",VLOOKUP($A25,CTINTERVALO,2,0)),"")</f>
        <v/>
      </c>
      <c r="C25" s="249" t="str">
        <f>IF($B25="Não", "BLOQUEADO (Aguardar liberação)", IFERROR(IF(VLOOKUP($A25,CTINTERVALO,3,0)=0,"",VLOOKUP($A25,CTINTERVALO,3,0)),""))</f>
        <v/>
      </c>
      <c r="D25" s="249" t="str">
        <f>IF($B25="Não", "BLOQUEADO (Aguardar liberação)", IFERROR(IF(VLOOKUP($A25,CTINTERVALO,4,0)=0,"",VLOOKUP($A25,CTINTERVALO,4,0)),""))</f>
        <v/>
      </c>
      <c r="E25" s="249"/>
      <c r="F25" s="249" t="str">
        <f>IF($B25="Não", "BLOQUEADO (Aguardar liberação)", IFERROR(IF(VLOOKUP($A25,CTINTERVALO,6,0)=0,"",VLOOKUP($A25,CTINTERVALO,6,0)),""))</f>
        <v/>
      </c>
      <c r="G25" s="80"/>
      <c r="H25" s="80"/>
      <c r="I25" s="79"/>
      <c r="J25" s="79"/>
      <c r="K25" s="80"/>
    </row>
    <row r="26" spans="1:11">
      <c r="A26" s="93"/>
      <c r="B26" s="249" t="str">
        <f>IFERROR(IF(VLOOKUP($A26,CTINTERVALO,2,0)=0,"",VLOOKUP($A26,CTINTERVALO,2,0)),"")</f>
        <v/>
      </c>
      <c r="C26" s="249" t="str">
        <f>IF($B26="Não", "BLOQUEADO (Aguardar liberação)", IFERROR(IF(VLOOKUP($A26,CTINTERVALO,3,0)=0,"",VLOOKUP($A26,CTINTERVALO,3,0)),""))</f>
        <v/>
      </c>
      <c r="D26" s="249" t="str">
        <f>IF($B26="Não", "BLOQUEADO (Aguardar liberação)", IFERROR(IF(VLOOKUP($A26,CTINTERVALO,4,0)=0,"",VLOOKUP($A26,CTINTERVALO,4,0)),""))</f>
        <v/>
      </c>
      <c r="E26" s="249"/>
      <c r="F26" s="249" t="str">
        <f>IF($B26="Não", "BLOQUEADO (Aguardar liberação)", IFERROR(IF(VLOOKUP($A26,CTINTERVALO,6,0)=0,"",VLOOKUP($A26,CTINTERVALO,6,0)),""))</f>
        <v/>
      </c>
      <c r="G26" s="80"/>
      <c r="H26" s="80"/>
      <c r="I26" s="79"/>
      <c r="J26" s="79"/>
      <c r="K26" s="80"/>
    </row>
    <row r="27" spans="1:11">
      <c r="A27" s="93"/>
      <c r="B27" s="249" t="str">
        <f>IFERROR(IF(VLOOKUP($A27,CTINTERVALO,2,0)=0,"",VLOOKUP($A27,CTINTERVALO,2,0)),"")</f>
        <v/>
      </c>
      <c r="C27" s="249" t="str">
        <f>IF($B27="Não", "BLOQUEADO (Aguardar liberação)", IFERROR(IF(VLOOKUP($A27,CTINTERVALO,3,0)=0,"",VLOOKUP($A27,CTINTERVALO,3,0)),""))</f>
        <v/>
      </c>
      <c r="D27" s="249" t="str">
        <f>IF($B27="Não", "BLOQUEADO (Aguardar liberação)", IFERROR(IF(VLOOKUP($A27,CTINTERVALO,4,0)=0,"",VLOOKUP($A27,CTINTERVALO,4,0)),""))</f>
        <v/>
      </c>
      <c r="E27" s="249"/>
      <c r="F27" s="249" t="str">
        <f>IF($B27="Não", "BLOQUEADO (Aguardar liberação)", IFERROR(IF(VLOOKUP($A27,CTINTERVALO,6,0)=0,"",VLOOKUP($A27,CTINTERVALO,6,0)),""))</f>
        <v/>
      </c>
      <c r="G27" s="80"/>
      <c r="H27" s="80"/>
      <c r="I27" s="79"/>
      <c r="J27" s="79"/>
      <c r="K27" s="80"/>
    </row>
    <row r="28" spans="1:11">
      <c r="A28" s="93"/>
      <c r="B28" s="249" t="str">
        <f>IFERROR(IF(VLOOKUP($A28,CTINTERVALO,2,0)=0,"",VLOOKUP($A28,CTINTERVALO,2,0)),"")</f>
        <v/>
      </c>
      <c r="C28" s="249" t="str">
        <f>IF($B28="Não", "BLOQUEADO (Aguardar liberação)", IFERROR(IF(VLOOKUP($A28,CTINTERVALO,3,0)=0,"",VLOOKUP($A28,CTINTERVALO,3,0)),""))</f>
        <v/>
      </c>
      <c r="D28" s="249" t="str">
        <f>IF($B28="Não", "BLOQUEADO (Aguardar liberação)", IFERROR(IF(VLOOKUP($A28,CTINTERVALO,4,0)=0,"",VLOOKUP($A28,CTINTERVALO,4,0)),""))</f>
        <v/>
      </c>
      <c r="E28" s="249"/>
      <c r="F28" s="249" t="str">
        <f>IF($B28="Não", "BLOQUEADO (Aguardar liberação)", IFERROR(IF(VLOOKUP($A28,CTINTERVALO,6,0)=0,"",VLOOKUP($A28,CTINTERVALO,6,0)),""))</f>
        <v/>
      </c>
      <c r="G28" s="80"/>
      <c r="H28" s="80"/>
      <c r="I28" s="79"/>
      <c r="J28" s="79"/>
      <c r="K28" s="80"/>
    </row>
    <row r="29" spans="1:11">
      <c r="A29" s="93"/>
      <c r="B29" s="249" t="str">
        <f>IFERROR(IF(VLOOKUP($A29,CTINTERVALO,2,0)=0,"",VLOOKUP($A29,CTINTERVALO,2,0)),"")</f>
        <v/>
      </c>
      <c r="C29" s="249" t="str">
        <f>IF($B29="Não", "BLOQUEADO (Aguardar liberação)", IFERROR(IF(VLOOKUP($A29,CTINTERVALO,3,0)=0,"",VLOOKUP($A29,CTINTERVALO,3,0)),""))</f>
        <v/>
      </c>
      <c r="D29" s="249" t="str">
        <f>IF($B29="Não", "BLOQUEADO (Aguardar liberação)", IFERROR(IF(VLOOKUP($A29,CTINTERVALO,4,0)=0,"",VLOOKUP($A29,CTINTERVALO,4,0)),""))</f>
        <v/>
      </c>
      <c r="E29" s="249"/>
      <c r="F29" s="249" t="str">
        <f>IF($B29="Não", "BLOQUEADO (Aguardar liberação)", IFERROR(IF(VLOOKUP($A29,CTINTERVALO,6,0)=0,"",VLOOKUP($A29,CTINTERVALO,6,0)),""))</f>
        <v/>
      </c>
      <c r="G29" s="80"/>
      <c r="H29" s="80"/>
      <c r="I29" s="79"/>
      <c r="J29" s="79"/>
      <c r="K29" s="80"/>
    </row>
    <row r="30" spans="1:11">
      <c r="A30" s="93"/>
      <c r="B30" s="249" t="str">
        <f>IFERROR(IF(VLOOKUP($A30,CTINTERVALO,2,0)=0,"",VLOOKUP($A30,CTINTERVALO,2,0)),"")</f>
        <v/>
      </c>
      <c r="C30" s="249" t="str">
        <f>IF($B30="Não", "BLOQUEADO (Aguardar liberação)", IFERROR(IF(VLOOKUP($A30,CTINTERVALO,3,0)=0,"",VLOOKUP($A30,CTINTERVALO,3,0)),""))</f>
        <v/>
      </c>
      <c r="D30" s="249" t="str">
        <f>IF($B30="Não", "BLOQUEADO (Aguardar liberação)", IFERROR(IF(VLOOKUP($A30,CTINTERVALO,4,0)=0,"",VLOOKUP($A30,CTINTERVALO,4,0)),""))</f>
        <v/>
      </c>
      <c r="E30" s="249"/>
      <c r="F30" s="249" t="str">
        <f>IF($B30="Não", "BLOQUEADO (Aguardar liberação)", IFERROR(IF(VLOOKUP($A30,CTINTERVALO,6,0)=0,"",VLOOKUP($A30,CTINTERVALO,6,0)),""))</f>
        <v/>
      </c>
      <c r="G30" s="80"/>
      <c r="H30" s="80"/>
      <c r="I30" s="79"/>
      <c r="J30" s="79"/>
      <c r="K30" s="80"/>
    </row>
    <row r="31" spans="1:11">
      <c r="A31" s="93"/>
      <c r="B31" s="249" t="str">
        <f>IFERROR(IF(VLOOKUP($A31,CTINTERVALO,2,0)=0,"",VLOOKUP($A31,CTINTERVALO,2,0)),"")</f>
        <v/>
      </c>
      <c r="C31" s="249" t="str">
        <f>IF($B31="Não", "BLOQUEADO (Aguardar liberação)", IFERROR(IF(VLOOKUP($A31,CTINTERVALO,3,0)=0,"",VLOOKUP($A31,CTINTERVALO,3,0)),""))</f>
        <v/>
      </c>
      <c r="D31" s="249" t="str">
        <f>IF($B31="Não", "BLOQUEADO (Aguardar liberação)", IFERROR(IF(VLOOKUP($A31,CTINTERVALO,4,0)=0,"",VLOOKUP($A31,CTINTERVALO,4,0)),""))</f>
        <v/>
      </c>
      <c r="E31" s="249"/>
      <c r="F31" s="249" t="str">
        <f>IF($B31="Não", "BLOQUEADO (Aguardar liberação)", IFERROR(IF(VLOOKUP($A31,CTINTERVALO,6,0)=0,"",VLOOKUP($A31,CTINTERVALO,6,0)),""))</f>
        <v/>
      </c>
      <c r="G31" s="80"/>
      <c r="H31" s="80"/>
      <c r="I31" s="79"/>
      <c r="J31" s="79"/>
      <c r="K31" s="80"/>
    </row>
    <row r="32" spans="1:11">
      <c r="A32" s="93"/>
      <c r="B32" s="249" t="str">
        <f>IFERROR(IF(VLOOKUP($A32,CTINTERVALO,2,0)=0,"",VLOOKUP($A32,CTINTERVALO,2,0)),"")</f>
        <v/>
      </c>
      <c r="C32" s="249" t="str">
        <f>IF($B32="Não", "BLOQUEADO (Aguardar liberação)", IFERROR(IF(VLOOKUP($A32,CTINTERVALO,3,0)=0,"",VLOOKUP($A32,CTINTERVALO,3,0)),""))</f>
        <v/>
      </c>
      <c r="D32" s="249" t="str">
        <f>IF($B32="Não", "BLOQUEADO (Aguardar liberação)", IFERROR(IF(VLOOKUP($A32,CTINTERVALO,4,0)=0,"",VLOOKUP($A32,CTINTERVALO,4,0)),""))</f>
        <v/>
      </c>
      <c r="E32" s="249"/>
      <c r="F32" s="249" t="str">
        <f>IF($B32="Não", "BLOQUEADO (Aguardar liberação)", IFERROR(IF(VLOOKUP($A32,CTINTERVALO,6,0)=0,"",VLOOKUP($A32,CTINTERVALO,6,0)),""))</f>
        <v/>
      </c>
      <c r="G32" s="80"/>
      <c r="H32" s="80"/>
      <c r="I32" s="79"/>
      <c r="J32" s="79"/>
      <c r="K32" s="80"/>
    </row>
    <row r="33" spans="1:11">
      <c r="A33" s="93"/>
      <c r="B33" s="249" t="str">
        <f>IFERROR(IF(VLOOKUP($A33,CTINTERVALO,2,0)=0,"",VLOOKUP($A33,CTINTERVALO,2,0)),"")</f>
        <v/>
      </c>
      <c r="C33" s="249" t="str">
        <f>IF($B33="Não", "BLOQUEADO (Aguardar liberação)", IFERROR(IF(VLOOKUP($A33,CTINTERVALO,3,0)=0,"",VLOOKUP($A33,CTINTERVALO,3,0)),""))</f>
        <v/>
      </c>
      <c r="D33" s="249" t="str">
        <f>IF($B33="Não", "BLOQUEADO (Aguardar liberação)", IFERROR(IF(VLOOKUP($A33,CTINTERVALO,4,0)=0,"",VLOOKUP($A33,CTINTERVALO,4,0)),""))</f>
        <v/>
      </c>
      <c r="E33" s="249"/>
      <c r="F33" s="249" t="str">
        <f>IF($B33="Não", "BLOQUEADO (Aguardar liberação)", IFERROR(IF(VLOOKUP($A33,CTINTERVALO,6,0)=0,"",VLOOKUP($A33,CTINTERVALO,6,0)),""))</f>
        <v/>
      </c>
      <c r="G33" s="80"/>
      <c r="H33" s="80"/>
      <c r="I33" s="79"/>
      <c r="J33" s="79"/>
      <c r="K33" s="80"/>
    </row>
    <row r="34" spans="1:11">
      <c r="A34" s="93"/>
      <c r="B34" s="249" t="str">
        <f>IFERROR(IF(VLOOKUP($A34,CTINTERVALO,2,0)=0,"",VLOOKUP($A34,CTINTERVALO,2,0)),"")</f>
        <v/>
      </c>
      <c r="C34" s="249" t="str">
        <f>IF($B34="Não", "BLOQUEADO (Aguardar liberação)", IFERROR(IF(VLOOKUP($A34,CTINTERVALO,3,0)=0,"",VLOOKUP($A34,CTINTERVALO,3,0)),""))</f>
        <v/>
      </c>
      <c r="D34" s="249" t="str">
        <f>IF($B34="Não", "BLOQUEADO (Aguardar liberação)", IFERROR(IF(VLOOKUP($A34,CTINTERVALO,4,0)=0,"",VLOOKUP($A34,CTINTERVALO,4,0)),""))</f>
        <v/>
      </c>
      <c r="E34" s="249"/>
      <c r="F34" s="249" t="str">
        <f>IF($B34="Não", "BLOQUEADO (Aguardar liberação)", IFERROR(IF(VLOOKUP($A34,CTINTERVALO,6,0)=0,"",VLOOKUP($A34,CTINTERVALO,6,0)),""))</f>
        <v/>
      </c>
      <c r="G34" s="80"/>
      <c r="H34" s="80"/>
      <c r="I34" s="79"/>
      <c r="J34" s="79"/>
      <c r="K34" s="80"/>
    </row>
    <row r="35" spans="1:11">
      <c r="A35" s="93"/>
      <c r="B35" s="249" t="str">
        <f>IFERROR(IF(VLOOKUP($A35,CTINTERVALO,2,0)=0,"",VLOOKUP($A35,CTINTERVALO,2,0)),"")</f>
        <v/>
      </c>
      <c r="C35" s="249" t="str">
        <f>IF($B35="Não", "BLOQUEADO (Aguardar liberação)", IFERROR(IF(VLOOKUP($A35,CTINTERVALO,3,0)=0,"",VLOOKUP($A35,CTINTERVALO,3,0)),""))</f>
        <v/>
      </c>
      <c r="D35" s="249" t="str">
        <f>IF($B35="Não", "BLOQUEADO (Aguardar liberação)", IFERROR(IF(VLOOKUP($A35,CTINTERVALO,4,0)=0,"",VLOOKUP($A35,CTINTERVALO,4,0)),""))</f>
        <v/>
      </c>
      <c r="E35" s="249"/>
      <c r="F35" s="249" t="str">
        <f>IF($B35="Não", "BLOQUEADO (Aguardar liberação)", IFERROR(IF(VLOOKUP($A35,CTINTERVALO,6,0)=0,"",VLOOKUP($A35,CTINTERVALO,6,0)),""))</f>
        <v/>
      </c>
      <c r="G35" s="80"/>
      <c r="H35" s="80"/>
      <c r="I35" s="79"/>
      <c r="J35" s="79"/>
      <c r="K35" s="80"/>
    </row>
    <row r="36" spans="1:11">
      <c r="A36" s="93"/>
      <c r="B36" s="249" t="str">
        <f>IFERROR(IF(VLOOKUP($A36,CTINTERVALO,2,0)=0,"",VLOOKUP($A36,CTINTERVALO,2,0)),"")</f>
        <v/>
      </c>
      <c r="C36" s="249" t="str">
        <f>IF($B36="Não", "BLOQUEADO (Aguardar liberação)", IFERROR(IF(VLOOKUP($A36,CTINTERVALO,3,0)=0,"",VLOOKUP($A36,CTINTERVALO,3,0)),""))</f>
        <v/>
      </c>
      <c r="D36" s="249" t="str">
        <f>IF($B36="Não", "BLOQUEADO (Aguardar liberação)", IFERROR(IF(VLOOKUP($A36,CTINTERVALO,4,0)=0,"",VLOOKUP($A36,CTINTERVALO,4,0)),""))</f>
        <v/>
      </c>
      <c r="E36" s="249"/>
      <c r="F36" s="249" t="str">
        <f>IF($B36="Não", "BLOQUEADO (Aguardar liberação)", IFERROR(IF(VLOOKUP($A36,CTINTERVALO,6,0)=0,"",VLOOKUP($A36,CTINTERVALO,6,0)),""))</f>
        <v/>
      </c>
      <c r="G36" s="80"/>
      <c r="H36" s="80"/>
      <c r="I36" s="79"/>
      <c r="J36" s="79"/>
      <c r="K36" s="80"/>
    </row>
    <row r="37" spans="1:11">
      <c r="A37" s="93"/>
      <c r="B37" s="249" t="str">
        <f>IFERROR(IF(VLOOKUP($A37,CTINTERVALO,2,0)=0,"",VLOOKUP($A37,CTINTERVALO,2,0)),"")</f>
        <v/>
      </c>
      <c r="C37" s="249" t="str">
        <f>IF($B37="Não", "BLOQUEADO (Aguardar liberação)", IFERROR(IF(VLOOKUP($A37,CTINTERVALO,3,0)=0,"",VLOOKUP($A37,CTINTERVALO,3,0)),""))</f>
        <v/>
      </c>
      <c r="D37" s="249" t="str">
        <f>IF($B37="Não", "BLOQUEADO (Aguardar liberação)", IFERROR(IF(VLOOKUP($A37,CTINTERVALO,4,0)=0,"",VLOOKUP($A37,CTINTERVALO,4,0)),""))</f>
        <v/>
      </c>
      <c r="E37" s="249"/>
      <c r="F37" s="249" t="str">
        <f>IF($B37="Não", "BLOQUEADO (Aguardar liberação)", IFERROR(IF(VLOOKUP($A37,CTINTERVALO,6,0)=0,"",VLOOKUP($A37,CTINTERVALO,6,0)),""))</f>
        <v/>
      </c>
      <c r="G37" s="80"/>
      <c r="H37" s="80"/>
      <c r="I37" s="79"/>
      <c r="J37" s="79"/>
      <c r="K37" s="80"/>
    </row>
    <row r="38" spans="1:11">
      <c r="A38" s="93"/>
      <c r="B38" s="249" t="str">
        <f>IFERROR(IF(VLOOKUP($A38,CTINTERVALO,2,0)=0,"",VLOOKUP($A38,CTINTERVALO,2,0)),"")</f>
        <v/>
      </c>
      <c r="C38" s="249" t="str">
        <f>IF($B38="Não", "BLOQUEADO (Aguardar liberação)", IFERROR(IF(VLOOKUP($A38,CTINTERVALO,3,0)=0,"",VLOOKUP($A38,CTINTERVALO,3,0)),""))</f>
        <v/>
      </c>
      <c r="D38" s="249" t="str">
        <f>IF($B38="Não", "BLOQUEADO (Aguardar liberação)", IFERROR(IF(VLOOKUP($A38,CTINTERVALO,4,0)=0,"",VLOOKUP($A38,CTINTERVALO,4,0)),""))</f>
        <v/>
      </c>
      <c r="E38" s="249"/>
      <c r="F38" s="249" t="str">
        <f>IF($B38="Não", "BLOQUEADO (Aguardar liberação)", IFERROR(IF(VLOOKUP($A38,CTINTERVALO,6,0)=0,"",VLOOKUP($A38,CTINTERVALO,6,0)),""))</f>
        <v/>
      </c>
      <c r="G38" s="80"/>
      <c r="H38" s="80"/>
      <c r="I38" s="79"/>
      <c r="J38" s="79"/>
      <c r="K38" s="80"/>
    </row>
    <row r="39" spans="1:11">
      <c r="A39" s="93"/>
      <c r="B39" s="249" t="str">
        <f>IFERROR(IF(VLOOKUP($A39,CTINTERVALO,2,0)=0,"",VLOOKUP($A39,CTINTERVALO,2,0)),"")</f>
        <v/>
      </c>
      <c r="C39" s="249" t="str">
        <f>IF($B39="Não", "BLOQUEADO (Aguardar liberação)", IFERROR(IF(VLOOKUP($A39,CTINTERVALO,3,0)=0,"",VLOOKUP($A39,CTINTERVALO,3,0)),""))</f>
        <v/>
      </c>
      <c r="D39" s="249" t="str">
        <f>IF($B39="Não", "BLOQUEADO (Aguardar liberação)", IFERROR(IF(VLOOKUP($A39,CTINTERVALO,4,0)=0,"",VLOOKUP($A39,CTINTERVALO,4,0)),""))</f>
        <v/>
      </c>
      <c r="E39" s="249"/>
      <c r="F39" s="249" t="str">
        <f>IF($B39="Não", "BLOQUEADO (Aguardar liberação)", IFERROR(IF(VLOOKUP($A39,CTINTERVALO,6,0)=0,"",VLOOKUP($A39,CTINTERVALO,6,0)),""))</f>
        <v/>
      </c>
      <c r="G39" s="80"/>
      <c r="H39" s="80"/>
      <c r="I39" s="79"/>
      <c r="J39" s="79"/>
      <c r="K39" s="80"/>
    </row>
    <row r="40" spans="1:11">
      <c r="A40" s="93"/>
      <c r="B40" s="249" t="str">
        <f>IFERROR(IF(VLOOKUP($A40,CTINTERVALO,2,0)=0,"",VLOOKUP($A40,CTINTERVALO,2,0)),"")</f>
        <v/>
      </c>
      <c r="C40" s="249" t="str">
        <f>IF($B40="Não", "BLOQUEADO (Aguardar liberação)", IFERROR(IF(VLOOKUP($A40,CTINTERVALO,3,0)=0,"",VLOOKUP($A40,CTINTERVALO,3,0)),""))</f>
        <v/>
      </c>
      <c r="D40" s="249" t="str">
        <f>IF($B40="Não", "BLOQUEADO (Aguardar liberação)", IFERROR(IF(VLOOKUP($A40,CTINTERVALO,4,0)=0,"",VLOOKUP($A40,CTINTERVALO,4,0)),""))</f>
        <v/>
      </c>
      <c r="E40" s="249"/>
      <c r="F40" s="249" t="str">
        <f>IF($B40="Não", "BLOQUEADO (Aguardar liberação)", IFERROR(IF(VLOOKUP($A40,CTINTERVALO,6,0)=0,"",VLOOKUP($A40,CTINTERVALO,6,0)),""))</f>
        <v/>
      </c>
      <c r="G40" s="80"/>
      <c r="H40" s="80"/>
      <c r="I40" s="79"/>
      <c r="J40" s="79"/>
      <c r="K40" s="80"/>
    </row>
    <row r="41" spans="1:11">
      <c r="A41" s="93"/>
      <c r="B41" s="249" t="str">
        <f>IFERROR(IF(VLOOKUP($A41,CTINTERVALO,2,0)=0,"",VLOOKUP($A41,CTINTERVALO,2,0)),"")</f>
        <v/>
      </c>
      <c r="C41" s="249" t="str">
        <f>IF($B41="Não", "BLOQUEADO (Aguardar liberação)", IFERROR(IF(VLOOKUP($A41,CTINTERVALO,3,0)=0,"",VLOOKUP($A41,CTINTERVALO,3,0)),""))</f>
        <v/>
      </c>
      <c r="D41" s="249" t="str">
        <f>IF($B41="Não", "BLOQUEADO (Aguardar liberação)", IFERROR(IF(VLOOKUP($A41,CTINTERVALO,4,0)=0,"",VLOOKUP($A41,CTINTERVALO,4,0)),""))</f>
        <v/>
      </c>
      <c r="E41" s="249"/>
      <c r="F41" s="249" t="str">
        <f>IF($B41="Não", "BLOQUEADO (Aguardar liberação)", IFERROR(IF(VLOOKUP($A41,CTINTERVALO,6,0)=0,"",VLOOKUP($A41,CTINTERVALO,6,0)),""))</f>
        <v/>
      </c>
      <c r="G41" s="80"/>
      <c r="H41" s="80"/>
      <c r="I41" s="79"/>
      <c r="J41" s="79"/>
      <c r="K41" s="80"/>
    </row>
    <row r="42" spans="1:11">
      <c r="A42" s="93"/>
      <c r="B42" s="249" t="str">
        <f>IFERROR(IF(VLOOKUP($A42,CTINTERVALO,2,0)=0,"",VLOOKUP($A42,CTINTERVALO,2,0)),"")</f>
        <v/>
      </c>
      <c r="C42" s="249" t="str">
        <f>IF($B42="Não", "BLOQUEADO (Aguardar liberação)", IFERROR(IF(VLOOKUP($A42,CTINTERVALO,3,0)=0,"",VLOOKUP($A42,CTINTERVALO,3,0)),""))</f>
        <v/>
      </c>
      <c r="D42" s="249" t="str">
        <f>IF($B42="Não", "BLOQUEADO (Aguardar liberação)", IFERROR(IF(VLOOKUP($A42,CTINTERVALO,4,0)=0,"",VLOOKUP($A42,CTINTERVALO,4,0)),""))</f>
        <v/>
      </c>
      <c r="E42" s="249"/>
      <c r="F42" s="249" t="str">
        <f>IF($B42="Não", "BLOQUEADO (Aguardar liberação)", IFERROR(IF(VLOOKUP($A42,CTINTERVALO,6,0)=0,"",VLOOKUP($A42,CTINTERVALO,6,0)),""))</f>
        <v/>
      </c>
      <c r="G42" s="80"/>
      <c r="H42" s="80"/>
      <c r="I42" s="79"/>
      <c r="J42" s="79"/>
      <c r="K42" s="80"/>
    </row>
    <row r="43" spans="1:11">
      <c r="A43" s="93"/>
      <c r="B43" s="249" t="str">
        <f>IFERROR(IF(VLOOKUP($A43,CTINTERVALO,2,0)=0,"",VLOOKUP($A43,CTINTERVALO,2,0)),"")</f>
        <v/>
      </c>
      <c r="C43" s="249" t="str">
        <f>IF($B43="Não", "BLOQUEADO (Aguardar liberação)", IFERROR(IF(VLOOKUP($A43,CTINTERVALO,3,0)=0,"",VLOOKUP($A43,CTINTERVALO,3,0)),""))</f>
        <v/>
      </c>
      <c r="D43" s="249" t="str">
        <f>IF($B43="Não", "BLOQUEADO (Aguardar liberação)", IFERROR(IF(VLOOKUP($A43,CTINTERVALO,4,0)=0,"",VLOOKUP($A43,CTINTERVALO,4,0)),""))</f>
        <v/>
      </c>
      <c r="E43" s="249"/>
      <c r="F43" s="249" t="str">
        <f>IF($B43="Não", "BLOQUEADO (Aguardar liberação)", IFERROR(IF(VLOOKUP($A43,CTINTERVALO,6,0)=0,"",VLOOKUP($A43,CTINTERVALO,6,0)),""))</f>
        <v/>
      </c>
      <c r="G43" s="80"/>
      <c r="H43" s="80"/>
      <c r="I43" s="79"/>
      <c r="J43" s="79"/>
      <c r="K43" s="80"/>
    </row>
    <row r="44" spans="1:11">
      <c r="A44" s="93"/>
      <c r="B44" s="249" t="str">
        <f>IFERROR(IF(VLOOKUP($A44,CTINTERVALO,2,0)=0,"",VLOOKUP($A44,CTINTERVALO,2,0)),"")</f>
        <v/>
      </c>
      <c r="C44" s="249" t="str">
        <f>IF($B44="Não", "BLOQUEADO (Aguardar liberação)", IFERROR(IF(VLOOKUP($A44,CTINTERVALO,3,0)=0,"",VLOOKUP($A44,CTINTERVALO,3,0)),""))</f>
        <v/>
      </c>
      <c r="D44" s="249" t="str">
        <f>IF($B44="Não", "BLOQUEADO (Aguardar liberação)", IFERROR(IF(VLOOKUP($A44,CTINTERVALO,4,0)=0,"",VLOOKUP($A44,CTINTERVALO,4,0)),""))</f>
        <v/>
      </c>
      <c r="E44" s="249"/>
      <c r="F44" s="249" t="str">
        <f>IF($B44="Não", "BLOQUEADO (Aguardar liberação)", IFERROR(IF(VLOOKUP($A44,CTINTERVALO,6,0)=0,"",VLOOKUP($A44,CTINTERVALO,6,0)),""))</f>
        <v/>
      </c>
      <c r="G44" s="80"/>
      <c r="H44" s="80"/>
      <c r="I44" s="79"/>
      <c r="J44" s="79"/>
      <c r="K44" s="80"/>
    </row>
    <row r="45" spans="1:11">
      <c r="A45" s="93"/>
      <c r="B45" s="249" t="str">
        <f>IFERROR(IF(VLOOKUP($A45,CTINTERVALO,2,0)=0,"",VLOOKUP($A45,CTINTERVALO,2,0)),"")</f>
        <v/>
      </c>
      <c r="C45" s="249" t="str">
        <f>IF($B45="Não", "BLOQUEADO (Aguardar liberação)", IFERROR(IF(VLOOKUP($A45,CTINTERVALO,3,0)=0,"",VLOOKUP($A45,CTINTERVALO,3,0)),""))</f>
        <v/>
      </c>
      <c r="D45" s="249" t="str">
        <f>IF($B45="Não", "BLOQUEADO (Aguardar liberação)", IFERROR(IF(VLOOKUP($A45,CTINTERVALO,4,0)=0,"",VLOOKUP($A45,CTINTERVALO,4,0)),""))</f>
        <v/>
      </c>
      <c r="E45" s="249"/>
      <c r="F45" s="249" t="str">
        <f>IF($B45="Não", "BLOQUEADO (Aguardar liberação)", IFERROR(IF(VLOOKUP($A45,CTINTERVALO,6,0)=0,"",VLOOKUP($A45,CTINTERVALO,6,0)),""))</f>
        <v/>
      </c>
      <c r="G45" s="80"/>
      <c r="H45" s="80"/>
      <c r="I45" s="79"/>
      <c r="J45" s="79"/>
      <c r="K45" s="80"/>
    </row>
    <row r="46" spans="1:11">
      <c r="A46" s="93"/>
      <c r="B46" s="249" t="str">
        <f>IFERROR(IF(VLOOKUP($A46,CTINTERVALO,2,0)=0,"",VLOOKUP($A46,CTINTERVALO,2,0)),"")</f>
        <v/>
      </c>
      <c r="C46" s="249" t="str">
        <f>IF($B46="Não", "BLOQUEADO (Aguardar liberação)", IFERROR(IF(VLOOKUP($A46,CTINTERVALO,3,0)=0,"",VLOOKUP($A46,CTINTERVALO,3,0)),""))</f>
        <v/>
      </c>
      <c r="D46" s="249" t="str">
        <f>IF($B46="Não", "BLOQUEADO (Aguardar liberação)", IFERROR(IF(VLOOKUP($A46,CTINTERVALO,4,0)=0,"",VLOOKUP($A46,CTINTERVALO,4,0)),""))</f>
        <v/>
      </c>
      <c r="E46" s="249"/>
      <c r="F46" s="249" t="str">
        <f>IF($B46="Não", "BLOQUEADO (Aguardar liberação)", IFERROR(IF(VLOOKUP($A46,CTINTERVALO,6,0)=0,"",VLOOKUP($A46,CTINTERVALO,6,0)),""))</f>
        <v/>
      </c>
      <c r="G46" s="80"/>
      <c r="H46" s="80"/>
      <c r="I46" s="79"/>
      <c r="J46" s="79"/>
      <c r="K46" s="80"/>
    </row>
    <row r="47" spans="1:11">
      <c r="A47" s="93"/>
      <c r="B47" s="249" t="str">
        <f>IFERROR(IF(VLOOKUP($A47,CTINTERVALO,2,0)=0,"",VLOOKUP($A47,CTINTERVALO,2,0)),"")</f>
        <v/>
      </c>
      <c r="C47" s="249" t="str">
        <f>IF($B47="Não", "BLOQUEADO (Aguardar liberação)", IFERROR(IF(VLOOKUP($A47,CTINTERVALO,3,0)=0,"",VLOOKUP($A47,CTINTERVALO,3,0)),""))</f>
        <v/>
      </c>
      <c r="D47" s="249" t="str">
        <f>IF($B47="Não", "BLOQUEADO (Aguardar liberação)", IFERROR(IF(VLOOKUP($A47,CTINTERVALO,4,0)=0,"",VLOOKUP($A47,CTINTERVALO,4,0)),""))</f>
        <v/>
      </c>
      <c r="E47" s="249"/>
      <c r="F47" s="249" t="str">
        <f>IF($B47="Não", "BLOQUEADO (Aguardar liberação)", IFERROR(IF(VLOOKUP($A47,CTINTERVALO,6,0)=0,"",VLOOKUP($A47,CTINTERVALO,6,0)),""))</f>
        <v/>
      </c>
      <c r="G47" s="80"/>
      <c r="H47" s="80"/>
      <c r="I47" s="79"/>
      <c r="J47" s="79"/>
      <c r="K47" s="80"/>
    </row>
    <row r="48" spans="1:11">
      <c r="A48" s="93"/>
      <c r="B48" s="249" t="str">
        <f>IFERROR(IF(VLOOKUP($A48,CTINTERVALO,2,0)=0,"",VLOOKUP($A48,CTINTERVALO,2,0)),"")</f>
        <v/>
      </c>
      <c r="C48" s="249" t="str">
        <f>IF($B48="Não", "BLOQUEADO (Aguardar liberação)", IFERROR(IF(VLOOKUP($A48,CTINTERVALO,3,0)=0,"",VLOOKUP($A48,CTINTERVALO,3,0)),""))</f>
        <v/>
      </c>
      <c r="D48" s="249" t="str">
        <f>IF($B48="Não", "BLOQUEADO (Aguardar liberação)", IFERROR(IF(VLOOKUP($A48,CTINTERVALO,4,0)=0,"",VLOOKUP($A48,CTINTERVALO,4,0)),""))</f>
        <v/>
      </c>
      <c r="E48" s="249"/>
      <c r="F48" s="249" t="str">
        <f>IF($B48="Não", "BLOQUEADO (Aguardar liberação)", IFERROR(IF(VLOOKUP($A48,CTINTERVALO,6,0)=0,"",VLOOKUP($A48,CTINTERVALO,6,0)),""))</f>
        <v/>
      </c>
      <c r="G48" s="80"/>
      <c r="H48" s="80"/>
      <c r="I48" s="79"/>
      <c r="J48" s="79"/>
      <c r="K48" s="80"/>
    </row>
    <row r="49" spans="1:11">
      <c r="A49" s="93"/>
      <c r="B49" s="249" t="str">
        <f>IFERROR(IF(VLOOKUP($A49,CTINTERVALO,2,0)=0,"",VLOOKUP($A49,CTINTERVALO,2,0)),"")</f>
        <v/>
      </c>
      <c r="C49" s="249" t="str">
        <f>IF($B49="Não", "BLOQUEADO (Aguardar liberação)", IFERROR(IF(VLOOKUP($A49,CTINTERVALO,3,0)=0,"",VLOOKUP($A49,CTINTERVALO,3,0)),""))</f>
        <v/>
      </c>
      <c r="D49" s="249" t="str">
        <f>IF($B49="Não", "BLOQUEADO (Aguardar liberação)", IFERROR(IF(VLOOKUP($A49,CTINTERVALO,4,0)=0,"",VLOOKUP($A49,CTINTERVALO,4,0)),""))</f>
        <v/>
      </c>
      <c r="E49" s="249"/>
      <c r="F49" s="249" t="str">
        <f>IF($B49="Não", "BLOQUEADO (Aguardar liberação)", IFERROR(IF(VLOOKUP($A49,CTINTERVALO,6,0)=0,"",VLOOKUP($A49,CTINTERVALO,6,0)),""))</f>
        <v/>
      </c>
      <c r="G49" s="80"/>
      <c r="H49" s="80"/>
      <c r="I49" s="79"/>
      <c r="J49" s="79"/>
      <c r="K49" s="80"/>
    </row>
    <row r="50" spans="1:11">
      <c r="A50" s="93"/>
      <c r="B50" s="249" t="str">
        <f>IFERROR(IF(VLOOKUP($A50,CTINTERVALO,2,0)=0,"",VLOOKUP($A50,CTINTERVALO,2,0)),"")</f>
        <v/>
      </c>
      <c r="C50" s="249" t="str">
        <f>IF($B50="Não", "BLOQUEADO (Aguardar liberação)", IFERROR(IF(VLOOKUP($A50,CTINTERVALO,3,0)=0,"",VLOOKUP($A50,CTINTERVALO,3,0)),""))</f>
        <v/>
      </c>
      <c r="D50" s="249" t="str">
        <f>IF($B50="Não", "BLOQUEADO (Aguardar liberação)", IFERROR(IF(VLOOKUP($A50,CTINTERVALO,4,0)=0,"",VLOOKUP($A50,CTINTERVALO,4,0)),""))</f>
        <v/>
      </c>
      <c r="E50" s="249"/>
      <c r="F50" s="249" t="str">
        <f>IF($B50="Não", "BLOQUEADO (Aguardar liberação)", IFERROR(IF(VLOOKUP($A50,CTINTERVALO,6,0)=0,"",VLOOKUP($A50,CTINTERVALO,6,0)),""))</f>
        <v/>
      </c>
      <c r="G50" s="80"/>
      <c r="H50" s="80"/>
      <c r="I50" s="79"/>
      <c r="J50" s="79"/>
      <c r="K50" s="80"/>
    </row>
    <row r="51" spans="1:11">
      <c r="A51" s="93"/>
      <c r="B51" s="249" t="str">
        <f>IFERROR(IF(VLOOKUP($A51,CTINTERVALO,2,0)=0,"",VLOOKUP($A51,CTINTERVALO,2,0)),"")</f>
        <v/>
      </c>
      <c r="C51" s="249" t="str">
        <f>IF($B51="Não", "BLOQUEADO (Aguardar liberação)", IFERROR(IF(VLOOKUP($A51,CTINTERVALO,3,0)=0,"",VLOOKUP($A51,CTINTERVALO,3,0)),""))</f>
        <v/>
      </c>
      <c r="D51" s="249" t="str">
        <f>IF($B51="Não", "BLOQUEADO (Aguardar liberação)", IFERROR(IF(VLOOKUP($A51,CTINTERVALO,4,0)=0,"",VLOOKUP($A51,CTINTERVALO,4,0)),""))</f>
        <v/>
      </c>
      <c r="E51" s="249"/>
      <c r="F51" s="249" t="str">
        <f>IF($B51="Não", "BLOQUEADO (Aguardar liberação)", IFERROR(IF(VLOOKUP($A51,CTINTERVALO,6,0)=0,"",VLOOKUP($A51,CTINTERVALO,6,0)),""))</f>
        <v/>
      </c>
      <c r="G51" s="80"/>
      <c r="H51" s="80"/>
      <c r="I51" s="79"/>
      <c r="J51" s="79"/>
      <c r="K51" s="80"/>
    </row>
    <row r="52" spans="1:11">
      <c r="A52" s="93"/>
      <c r="B52" s="249" t="str">
        <f>IFERROR(IF(VLOOKUP($A52,CTINTERVALO,2,0)=0,"",VLOOKUP($A52,CTINTERVALO,2,0)),"")</f>
        <v/>
      </c>
      <c r="C52" s="249" t="str">
        <f>IF($B52="Não", "BLOQUEADO (Aguardar liberação)", IFERROR(IF(VLOOKUP($A52,CTINTERVALO,3,0)=0,"",VLOOKUP($A52,CTINTERVALO,3,0)),""))</f>
        <v/>
      </c>
      <c r="D52" s="249" t="str">
        <f>IF($B52="Não", "BLOQUEADO (Aguardar liberação)", IFERROR(IF(VLOOKUP($A52,CTINTERVALO,4,0)=0,"",VLOOKUP($A52,CTINTERVALO,4,0)),""))</f>
        <v/>
      </c>
      <c r="E52" s="249"/>
      <c r="F52" s="249" t="str">
        <f>IF($B52="Não", "BLOQUEADO (Aguardar liberação)", IFERROR(IF(VLOOKUP($A52,CTINTERVALO,6,0)=0,"",VLOOKUP($A52,CTINTERVALO,6,0)),""))</f>
        <v/>
      </c>
      <c r="G52" s="80"/>
      <c r="H52" s="80"/>
      <c r="I52" s="79"/>
      <c r="J52" s="79"/>
      <c r="K52" s="80"/>
    </row>
    <row r="53" spans="1:11">
      <c r="A53" s="93"/>
      <c r="B53" s="249" t="str">
        <f>IFERROR(IF(VLOOKUP($A53,CTINTERVALO,2,0)=0,"",VLOOKUP($A53,CTINTERVALO,2,0)),"")</f>
        <v/>
      </c>
      <c r="C53" s="249" t="str">
        <f>IF($B53="Não", "BLOQUEADO (Aguardar liberação)", IFERROR(IF(VLOOKUP($A53,CTINTERVALO,3,0)=0,"",VLOOKUP($A53,CTINTERVALO,3,0)),""))</f>
        <v/>
      </c>
      <c r="D53" s="249" t="str">
        <f>IF($B53="Não", "BLOQUEADO (Aguardar liberação)", IFERROR(IF(VLOOKUP($A53,CTINTERVALO,4,0)=0,"",VLOOKUP($A53,CTINTERVALO,4,0)),""))</f>
        <v/>
      </c>
      <c r="E53" s="249"/>
      <c r="F53" s="249" t="str">
        <f>IF($B53="Não", "BLOQUEADO (Aguardar liberação)", IFERROR(IF(VLOOKUP($A53,CTINTERVALO,6,0)=0,"",VLOOKUP($A53,CTINTERVALO,6,0)),""))</f>
        <v/>
      </c>
      <c r="G53" s="80"/>
      <c r="H53" s="80"/>
      <c r="I53" s="79"/>
      <c r="J53" s="79"/>
      <c r="K53" s="80"/>
    </row>
    <row r="54" spans="1:11">
      <c r="A54" s="93"/>
      <c r="B54" s="249" t="str">
        <f>IFERROR(IF(VLOOKUP($A54,CTINTERVALO,2,0)=0,"",VLOOKUP($A54,CTINTERVALO,2,0)),"")</f>
        <v/>
      </c>
      <c r="C54" s="249" t="str">
        <f>IF($B54="Não", "BLOQUEADO (Aguardar liberação)", IFERROR(IF(VLOOKUP($A54,CTINTERVALO,3,0)=0,"",VLOOKUP($A54,CTINTERVALO,3,0)),""))</f>
        <v/>
      </c>
      <c r="D54" s="249" t="str">
        <f>IF($B54="Não", "BLOQUEADO (Aguardar liberação)", IFERROR(IF(VLOOKUP($A54,CTINTERVALO,4,0)=0,"",VLOOKUP($A54,CTINTERVALO,4,0)),""))</f>
        <v/>
      </c>
      <c r="E54" s="249"/>
      <c r="F54" s="249" t="str">
        <f>IF($B54="Não", "BLOQUEADO (Aguardar liberação)", IFERROR(IF(VLOOKUP($A54,CTINTERVALO,6,0)=0,"",VLOOKUP($A54,CTINTERVALO,6,0)),""))</f>
        <v/>
      </c>
      <c r="G54" s="80"/>
      <c r="H54" s="80"/>
      <c r="I54" s="79"/>
      <c r="J54" s="79"/>
      <c r="K54" s="80"/>
    </row>
    <row r="55" spans="1:11">
      <c r="A55" s="93"/>
      <c r="B55" s="249" t="str">
        <f>IFERROR(IF(VLOOKUP($A55,CTINTERVALO,2,0)=0,"",VLOOKUP($A55,CTINTERVALO,2,0)),"")</f>
        <v/>
      </c>
      <c r="C55" s="249" t="str">
        <f>IF($B55="Não", "BLOQUEADO (Aguardar liberação)", IFERROR(IF(VLOOKUP($A55,CTINTERVALO,3,0)=0,"",VLOOKUP($A55,CTINTERVALO,3,0)),""))</f>
        <v/>
      </c>
      <c r="D55" s="249" t="str">
        <f>IF($B55="Não", "BLOQUEADO (Aguardar liberação)", IFERROR(IF(VLOOKUP($A55,CTINTERVALO,4,0)=0,"",VLOOKUP($A55,CTINTERVALO,4,0)),""))</f>
        <v/>
      </c>
      <c r="E55" s="249"/>
      <c r="F55" s="249" t="str">
        <f>IF($B55="Não", "BLOQUEADO (Aguardar liberação)", IFERROR(IF(VLOOKUP($A55,CTINTERVALO,6,0)=0,"",VLOOKUP($A55,CTINTERVALO,6,0)),""))</f>
        <v/>
      </c>
      <c r="G55" s="80"/>
      <c r="H55" s="80"/>
      <c r="I55" s="79"/>
      <c r="J55" s="79"/>
      <c r="K55" s="80"/>
    </row>
    <row r="56" spans="1:11">
      <c r="A56" s="93"/>
      <c r="B56" s="249" t="str">
        <f>IFERROR(IF(VLOOKUP($A56,CTINTERVALO,2,0)=0,"",VLOOKUP($A56,CTINTERVALO,2,0)),"")</f>
        <v/>
      </c>
      <c r="C56" s="249" t="str">
        <f>IF($B56="Não", "BLOQUEADO (Aguardar liberação)", IFERROR(IF(VLOOKUP($A56,CTINTERVALO,3,0)=0,"",VLOOKUP($A56,CTINTERVALO,3,0)),""))</f>
        <v/>
      </c>
      <c r="D56" s="249" t="str">
        <f>IF($B56="Não", "BLOQUEADO (Aguardar liberação)", IFERROR(IF(VLOOKUP($A56,CTINTERVALO,4,0)=0,"",VLOOKUP($A56,CTINTERVALO,4,0)),""))</f>
        <v/>
      </c>
      <c r="E56" s="249"/>
      <c r="F56" s="249" t="str">
        <f>IF($B56="Não", "BLOQUEADO (Aguardar liberação)", IFERROR(IF(VLOOKUP($A56,CTINTERVALO,6,0)=0,"",VLOOKUP($A56,CTINTERVALO,6,0)),""))</f>
        <v/>
      </c>
      <c r="G56" s="80"/>
      <c r="H56" s="80"/>
      <c r="I56" s="79"/>
      <c r="J56" s="79"/>
      <c r="K56" s="80"/>
    </row>
    <row r="57" spans="1:11">
      <c r="A57" s="93"/>
      <c r="B57" s="249" t="str">
        <f>IFERROR(IF(VLOOKUP($A57,CTINTERVALO,2,0)=0,"",VLOOKUP($A57,CTINTERVALO,2,0)),"")</f>
        <v/>
      </c>
      <c r="C57" s="249" t="str">
        <f>IF($B57="Não", "BLOQUEADO (Aguardar liberação)", IFERROR(IF(VLOOKUP($A57,CTINTERVALO,3,0)=0,"",VLOOKUP($A57,CTINTERVALO,3,0)),""))</f>
        <v/>
      </c>
      <c r="D57" s="249" t="str">
        <f>IF($B57="Não", "BLOQUEADO (Aguardar liberação)", IFERROR(IF(VLOOKUP($A57,CTINTERVALO,4,0)=0,"",VLOOKUP($A57,CTINTERVALO,4,0)),""))</f>
        <v/>
      </c>
      <c r="E57" s="249"/>
      <c r="F57" s="249" t="str">
        <f>IF($B57="Não", "BLOQUEADO (Aguardar liberação)", IFERROR(IF(VLOOKUP($A57,CTINTERVALO,6,0)=0,"",VLOOKUP($A57,CTINTERVALO,6,0)),""))</f>
        <v/>
      </c>
      <c r="G57" s="80"/>
      <c r="H57" s="80"/>
      <c r="I57" s="79"/>
      <c r="J57" s="79"/>
      <c r="K57" s="80"/>
    </row>
    <row r="58" spans="1:11">
      <c r="A58" s="93"/>
      <c r="B58" s="249" t="str">
        <f>IFERROR(IF(VLOOKUP($A58,CTINTERVALO,2,0)=0,"",VLOOKUP($A58,CTINTERVALO,2,0)),"")</f>
        <v/>
      </c>
      <c r="C58" s="249" t="str">
        <f>IF($B58="Não", "BLOQUEADO (Aguardar liberação)", IFERROR(IF(VLOOKUP($A58,CTINTERVALO,3,0)=0,"",VLOOKUP($A58,CTINTERVALO,3,0)),""))</f>
        <v/>
      </c>
      <c r="D58" s="249" t="str">
        <f>IF($B58="Não", "BLOQUEADO (Aguardar liberação)", IFERROR(IF(VLOOKUP($A58,CTINTERVALO,4,0)=0,"",VLOOKUP($A58,CTINTERVALO,4,0)),""))</f>
        <v/>
      </c>
      <c r="E58" s="249"/>
      <c r="F58" s="249" t="str">
        <f>IF($B58="Não", "BLOQUEADO (Aguardar liberação)", IFERROR(IF(VLOOKUP($A58,CTINTERVALO,6,0)=0,"",VLOOKUP($A58,CTINTERVALO,6,0)),""))</f>
        <v/>
      </c>
      <c r="G58" s="80"/>
      <c r="H58" s="80"/>
      <c r="I58" s="79"/>
      <c r="J58" s="79"/>
      <c r="K58" s="80"/>
    </row>
    <row r="59" spans="1:11">
      <c r="A59" s="93"/>
      <c r="B59" s="249" t="str">
        <f>IFERROR(IF(VLOOKUP($A59,CTINTERVALO,2,0)=0,"",VLOOKUP($A59,CTINTERVALO,2,0)),"")</f>
        <v/>
      </c>
      <c r="C59" s="249" t="str">
        <f>IF($B59="Não", "BLOQUEADO (Aguardar liberação)", IFERROR(IF(VLOOKUP($A59,CTINTERVALO,3,0)=0,"",VLOOKUP($A59,CTINTERVALO,3,0)),""))</f>
        <v/>
      </c>
      <c r="D59" s="249" t="str">
        <f>IF($B59="Não", "BLOQUEADO (Aguardar liberação)", IFERROR(IF(VLOOKUP($A59,CTINTERVALO,4,0)=0,"",VLOOKUP($A59,CTINTERVALO,4,0)),""))</f>
        <v/>
      </c>
      <c r="E59" s="249"/>
      <c r="F59" s="249" t="str">
        <f>IF($B59="Não", "BLOQUEADO (Aguardar liberação)", IFERROR(IF(VLOOKUP($A59,CTINTERVALO,6,0)=0,"",VLOOKUP($A59,CTINTERVALO,6,0)),""))</f>
        <v/>
      </c>
      <c r="G59" s="80"/>
      <c r="H59" s="80"/>
      <c r="I59" s="79"/>
      <c r="J59" s="79"/>
      <c r="K59" s="80"/>
    </row>
    <row r="60" spans="1:11">
      <c r="A60" s="93"/>
      <c r="B60" s="249" t="str">
        <f>IFERROR(IF(VLOOKUP($A60,CTINTERVALO,2,0)=0,"",VLOOKUP($A60,CTINTERVALO,2,0)),"")</f>
        <v/>
      </c>
      <c r="C60" s="249" t="str">
        <f>IF($B60="Não", "BLOQUEADO (Aguardar liberação)", IFERROR(IF(VLOOKUP($A60,CTINTERVALO,3,0)=0,"",VLOOKUP($A60,CTINTERVALO,3,0)),""))</f>
        <v/>
      </c>
      <c r="D60" s="249" t="str">
        <f>IF($B60="Não", "BLOQUEADO (Aguardar liberação)", IFERROR(IF(VLOOKUP($A60,CTINTERVALO,4,0)=0,"",VLOOKUP($A60,CTINTERVALO,4,0)),""))</f>
        <v/>
      </c>
      <c r="E60" s="249"/>
      <c r="F60" s="249" t="str">
        <f>IF($B60="Não", "BLOQUEADO (Aguardar liberação)", IFERROR(IF(VLOOKUP($A60,CTINTERVALO,6,0)=0,"",VLOOKUP($A60,CTINTERVALO,6,0)),""))</f>
        <v/>
      </c>
      <c r="G60" s="80"/>
      <c r="H60" s="80"/>
      <c r="I60" s="79"/>
      <c r="J60" s="79"/>
      <c r="K60" s="80"/>
    </row>
    <row r="61" spans="1:11">
      <c r="A61" s="93"/>
      <c r="B61" s="249" t="str">
        <f>IFERROR(IF(VLOOKUP($A61,CTINTERVALO,2,0)=0,"",VLOOKUP($A61,CTINTERVALO,2,0)),"")</f>
        <v/>
      </c>
      <c r="C61" s="249" t="str">
        <f>IF($B61="Não", "BLOQUEADO (Aguardar liberação)", IFERROR(IF(VLOOKUP($A61,CTINTERVALO,3,0)=0,"",VLOOKUP($A61,CTINTERVALO,3,0)),""))</f>
        <v/>
      </c>
      <c r="D61" s="249" t="str">
        <f>IF($B61="Não", "BLOQUEADO (Aguardar liberação)", IFERROR(IF(VLOOKUP($A61,CTINTERVALO,4,0)=0,"",VLOOKUP($A61,CTINTERVALO,4,0)),""))</f>
        <v/>
      </c>
      <c r="E61" s="249"/>
      <c r="F61" s="249" t="str">
        <f>IF($B61="Não", "BLOQUEADO (Aguardar liberação)", IFERROR(IF(VLOOKUP($A61,CTINTERVALO,6,0)=0,"",VLOOKUP($A61,CTINTERVALO,6,0)),""))</f>
        <v/>
      </c>
      <c r="G61" s="80"/>
      <c r="H61" s="80"/>
      <c r="I61" s="79"/>
      <c r="J61" s="79"/>
      <c r="K61" s="80"/>
    </row>
    <row r="62" spans="1:11">
      <c r="A62" s="93"/>
      <c r="B62" s="249" t="str">
        <f>IFERROR(IF(VLOOKUP($A62,CTINTERVALO,2,0)=0,"",VLOOKUP($A62,CTINTERVALO,2,0)),"")</f>
        <v/>
      </c>
      <c r="C62" s="249" t="str">
        <f>IF($B62="Não", "BLOQUEADO (Aguardar liberação)", IFERROR(IF(VLOOKUP($A62,CTINTERVALO,3,0)=0,"",VLOOKUP($A62,CTINTERVALO,3,0)),""))</f>
        <v/>
      </c>
      <c r="D62" s="249" t="str">
        <f>IF($B62="Não", "BLOQUEADO (Aguardar liberação)", IFERROR(IF(VLOOKUP($A62,CTINTERVALO,4,0)=0,"",VLOOKUP($A62,CTINTERVALO,4,0)),""))</f>
        <v/>
      </c>
      <c r="E62" s="249"/>
      <c r="F62" s="249" t="str">
        <f>IF($B62="Não", "BLOQUEADO (Aguardar liberação)", IFERROR(IF(VLOOKUP($A62,CTINTERVALO,6,0)=0,"",VLOOKUP($A62,CTINTERVALO,6,0)),""))</f>
        <v/>
      </c>
      <c r="G62" s="80"/>
      <c r="H62" s="80"/>
      <c r="I62" s="79"/>
      <c r="J62" s="79"/>
      <c r="K62" s="80"/>
    </row>
    <row r="63" spans="1:11">
      <c r="A63" s="93"/>
      <c r="B63" s="249" t="str">
        <f>IFERROR(IF(VLOOKUP($A63,CTINTERVALO,2,0)=0,"",VLOOKUP($A63,CTINTERVALO,2,0)),"")</f>
        <v/>
      </c>
      <c r="C63" s="249" t="str">
        <f>IF($B63="Não", "BLOQUEADO (Aguardar liberação)", IFERROR(IF(VLOOKUP($A63,CTINTERVALO,3,0)=0,"",VLOOKUP($A63,CTINTERVALO,3,0)),""))</f>
        <v/>
      </c>
      <c r="D63" s="249" t="str">
        <f>IF($B63="Não", "BLOQUEADO (Aguardar liberação)", IFERROR(IF(VLOOKUP($A63,CTINTERVALO,4,0)=0,"",VLOOKUP($A63,CTINTERVALO,4,0)),""))</f>
        <v/>
      </c>
      <c r="E63" s="249"/>
      <c r="F63" s="249" t="str">
        <f>IF($B63="Não", "BLOQUEADO (Aguardar liberação)", IFERROR(IF(VLOOKUP($A63,CTINTERVALO,6,0)=0,"",VLOOKUP($A63,CTINTERVALO,6,0)),""))</f>
        <v/>
      </c>
      <c r="G63" s="80"/>
      <c r="H63" s="80"/>
      <c r="I63" s="79"/>
      <c r="J63" s="79"/>
      <c r="K63" s="80"/>
    </row>
    <row r="64" spans="1:11">
      <c r="A64" s="93"/>
      <c r="B64" s="249" t="str">
        <f>IFERROR(IF(VLOOKUP($A64,CTINTERVALO,2,0)=0,"",VLOOKUP($A64,CTINTERVALO,2,0)),"")</f>
        <v/>
      </c>
      <c r="C64" s="249" t="str">
        <f>IF($B64="Não", "BLOQUEADO (Aguardar liberação)", IFERROR(IF(VLOOKUP($A64,CTINTERVALO,3,0)=0,"",VLOOKUP($A64,CTINTERVALO,3,0)),""))</f>
        <v/>
      </c>
      <c r="D64" s="249" t="str">
        <f>IF($B64="Não", "BLOQUEADO (Aguardar liberação)", IFERROR(IF(VLOOKUP($A64,CTINTERVALO,4,0)=0,"",VLOOKUP($A64,CTINTERVALO,4,0)),""))</f>
        <v/>
      </c>
      <c r="E64" s="249"/>
      <c r="F64" s="249" t="str">
        <f>IF($B64="Não", "BLOQUEADO (Aguardar liberação)", IFERROR(IF(VLOOKUP($A64,CTINTERVALO,6,0)=0,"",VLOOKUP($A64,CTINTERVALO,6,0)),""))</f>
        <v/>
      </c>
      <c r="G64" s="80"/>
      <c r="H64" s="80"/>
      <c r="I64" s="79"/>
      <c r="J64" s="79"/>
      <c r="K64" s="80"/>
    </row>
    <row r="65" spans="1:11">
      <c r="A65" s="93"/>
      <c r="B65" s="249" t="str">
        <f>IFERROR(IF(VLOOKUP($A65,CTINTERVALO,2,0)=0,"",VLOOKUP($A65,CTINTERVALO,2,0)),"")</f>
        <v/>
      </c>
      <c r="C65" s="249" t="str">
        <f>IF($B65="Não", "BLOQUEADO (Aguardar liberação)", IFERROR(IF(VLOOKUP($A65,CTINTERVALO,3,0)=0,"",VLOOKUP($A65,CTINTERVALO,3,0)),""))</f>
        <v/>
      </c>
      <c r="D65" s="249" t="str">
        <f>IF($B65="Não", "BLOQUEADO (Aguardar liberação)", IFERROR(IF(VLOOKUP($A65,CTINTERVALO,4,0)=0,"",VLOOKUP($A65,CTINTERVALO,4,0)),""))</f>
        <v/>
      </c>
      <c r="E65" s="249"/>
      <c r="F65" s="249" t="str">
        <f>IF($B65="Não", "BLOQUEADO (Aguardar liberação)", IFERROR(IF(VLOOKUP($A65,CTINTERVALO,6,0)=0,"",VLOOKUP($A65,CTINTERVALO,6,0)),""))</f>
        <v/>
      </c>
      <c r="G65" s="80"/>
      <c r="H65" s="80"/>
      <c r="I65" s="79"/>
      <c r="J65" s="79"/>
      <c r="K65" s="80"/>
    </row>
    <row r="66" spans="1:11">
      <c r="A66" s="93"/>
      <c r="B66" s="249" t="str">
        <f>IFERROR(IF(VLOOKUP($A66,CTINTERVALO,2,0)=0,"",VLOOKUP($A66,CTINTERVALO,2,0)),"")</f>
        <v/>
      </c>
      <c r="C66" s="249" t="str">
        <f>IF($B66="Não", "BLOQUEADO (Aguardar liberação)", IFERROR(IF(VLOOKUP($A66,CTINTERVALO,3,0)=0,"",VLOOKUP($A66,CTINTERVALO,3,0)),""))</f>
        <v/>
      </c>
      <c r="D66" s="249" t="str">
        <f>IF($B66="Não", "BLOQUEADO (Aguardar liberação)", IFERROR(IF(VLOOKUP($A66,CTINTERVALO,4,0)=0,"",VLOOKUP($A66,CTINTERVALO,4,0)),""))</f>
        <v/>
      </c>
      <c r="E66" s="249"/>
      <c r="F66" s="249" t="str">
        <f>IF($B66="Não", "BLOQUEADO (Aguardar liberação)", IFERROR(IF(VLOOKUP($A66,CTINTERVALO,6,0)=0,"",VLOOKUP($A66,CTINTERVALO,6,0)),""))</f>
        <v/>
      </c>
      <c r="G66" s="80"/>
      <c r="H66" s="80"/>
      <c r="I66" s="79"/>
      <c r="J66" s="79"/>
      <c r="K66" s="80"/>
    </row>
    <row r="67" spans="1:11">
      <c r="A67" s="93"/>
      <c r="B67" s="249" t="str">
        <f>IFERROR(IF(VLOOKUP($A67,CTINTERVALO,2,0)=0,"",VLOOKUP($A67,CTINTERVALO,2,0)),"")</f>
        <v/>
      </c>
      <c r="C67" s="249" t="str">
        <f>IF($B67="Não", "BLOQUEADO (Aguardar liberação)", IFERROR(IF(VLOOKUP($A67,CTINTERVALO,3,0)=0,"",VLOOKUP($A67,CTINTERVALO,3,0)),""))</f>
        <v/>
      </c>
      <c r="D67" s="249" t="str">
        <f>IF($B67="Não", "BLOQUEADO (Aguardar liberação)", IFERROR(IF(VLOOKUP($A67,CTINTERVALO,4,0)=0,"",VLOOKUP($A67,CTINTERVALO,4,0)),""))</f>
        <v/>
      </c>
      <c r="E67" s="249"/>
      <c r="F67" s="249" t="str">
        <f>IF($B67="Não", "BLOQUEADO (Aguardar liberação)", IFERROR(IF(VLOOKUP($A67,CTINTERVALO,6,0)=0,"",VLOOKUP($A67,CTINTERVALO,6,0)),""))</f>
        <v/>
      </c>
      <c r="G67" s="80"/>
      <c r="H67" s="80"/>
      <c r="I67" s="79"/>
      <c r="J67" s="79"/>
      <c r="K67" s="80"/>
    </row>
    <row r="68" spans="1:11">
      <c r="A68" s="93"/>
      <c r="B68" s="249" t="str">
        <f>IFERROR(IF(VLOOKUP($A68,CTINTERVALO,2,0)=0,"",VLOOKUP($A68,CTINTERVALO,2,0)),"")</f>
        <v/>
      </c>
      <c r="C68" s="249" t="str">
        <f>IF($B68="Não", "BLOQUEADO (Aguardar liberação)", IFERROR(IF(VLOOKUP($A68,CTINTERVALO,3,0)=0,"",VLOOKUP($A68,CTINTERVALO,3,0)),""))</f>
        <v/>
      </c>
      <c r="D68" s="249" t="str">
        <f>IF($B68="Não", "BLOQUEADO (Aguardar liberação)", IFERROR(IF(VLOOKUP($A68,CTINTERVALO,4,0)=0,"",VLOOKUP($A68,CTINTERVALO,4,0)),""))</f>
        <v/>
      </c>
      <c r="E68" s="249"/>
      <c r="F68" s="249" t="str">
        <f>IF($B68="Não", "BLOQUEADO (Aguardar liberação)", IFERROR(IF(VLOOKUP($A68,CTINTERVALO,6,0)=0,"",VLOOKUP($A68,CTINTERVALO,6,0)),""))</f>
        <v/>
      </c>
      <c r="G68" s="80"/>
      <c r="H68" s="80"/>
      <c r="I68" s="79"/>
      <c r="J68" s="79"/>
      <c r="K68" s="80"/>
    </row>
    <row r="69" spans="1:11">
      <c r="A69" s="93"/>
      <c r="B69" s="249" t="str">
        <f>IFERROR(IF(VLOOKUP($A69,CTINTERVALO,2,0)=0,"",VLOOKUP($A69,CTINTERVALO,2,0)),"")</f>
        <v/>
      </c>
      <c r="C69" s="249" t="str">
        <f>IF($B69="Não", "BLOQUEADO (Aguardar liberação)", IFERROR(IF(VLOOKUP($A69,CTINTERVALO,3,0)=0,"",VLOOKUP($A69,CTINTERVALO,3,0)),""))</f>
        <v/>
      </c>
      <c r="D69" s="249" t="str">
        <f>IF($B69="Não", "BLOQUEADO (Aguardar liberação)", IFERROR(IF(VLOOKUP($A69,CTINTERVALO,4,0)=0,"",VLOOKUP($A69,CTINTERVALO,4,0)),""))</f>
        <v/>
      </c>
      <c r="E69" s="249"/>
      <c r="F69" s="249" t="str">
        <f>IF($B69="Não", "BLOQUEADO (Aguardar liberação)", IFERROR(IF(VLOOKUP($A69,CTINTERVALO,6,0)=0,"",VLOOKUP($A69,CTINTERVALO,6,0)),""))</f>
        <v/>
      </c>
      <c r="G69" s="80"/>
      <c r="H69" s="80"/>
      <c r="I69" s="79"/>
      <c r="J69" s="79"/>
      <c r="K69" s="80"/>
    </row>
    <row r="70" spans="1:11">
      <c r="A70" s="93"/>
      <c r="B70" s="249" t="str">
        <f>IFERROR(IF(VLOOKUP($A70,CTINTERVALO,2,0)=0,"",VLOOKUP($A70,CTINTERVALO,2,0)),"")</f>
        <v/>
      </c>
      <c r="C70" s="249" t="str">
        <f>IF($B70="Não", "BLOQUEADO (Aguardar liberação)", IFERROR(IF(VLOOKUP($A70,CTINTERVALO,3,0)=0,"",VLOOKUP($A70,CTINTERVALO,3,0)),""))</f>
        <v/>
      </c>
      <c r="D70" s="249" t="str">
        <f>IF($B70="Não", "BLOQUEADO (Aguardar liberação)", IFERROR(IF(VLOOKUP($A70,CTINTERVALO,4,0)=0,"",VLOOKUP($A70,CTINTERVALO,4,0)),""))</f>
        <v/>
      </c>
      <c r="E70" s="249"/>
      <c r="F70" s="249" t="str">
        <f>IF($B70="Não", "BLOQUEADO (Aguardar liberação)", IFERROR(IF(VLOOKUP($A70,CTINTERVALO,6,0)=0,"",VLOOKUP($A70,CTINTERVALO,6,0)),""))</f>
        <v/>
      </c>
      <c r="G70" s="80"/>
      <c r="H70" s="80"/>
      <c r="I70" s="79"/>
      <c r="J70" s="79"/>
      <c r="K70" s="80"/>
    </row>
    <row r="71" spans="1:11">
      <c r="A71" s="93"/>
      <c r="B71" s="249" t="str">
        <f>IFERROR(IF(VLOOKUP($A71,CTINTERVALO,2,0)=0,"",VLOOKUP($A71,CTINTERVALO,2,0)),"")</f>
        <v/>
      </c>
      <c r="C71" s="249" t="str">
        <f>IF($B71="Não", "BLOQUEADO (Aguardar liberação)", IFERROR(IF(VLOOKUP($A71,CTINTERVALO,3,0)=0,"",VLOOKUP($A71,CTINTERVALO,3,0)),""))</f>
        <v/>
      </c>
      <c r="D71" s="249" t="str">
        <f>IF($B71="Não", "BLOQUEADO (Aguardar liberação)", IFERROR(IF(VLOOKUP($A71,CTINTERVALO,4,0)=0,"",VLOOKUP($A71,CTINTERVALO,4,0)),""))</f>
        <v/>
      </c>
      <c r="E71" s="249"/>
      <c r="F71" s="249" t="str">
        <f>IF($B71="Não", "BLOQUEADO (Aguardar liberação)", IFERROR(IF(VLOOKUP($A71,CTINTERVALO,6,0)=0,"",VLOOKUP($A71,CTINTERVALO,6,0)),""))</f>
        <v/>
      </c>
      <c r="G71" s="80"/>
      <c r="H71" s="80"/>
      <c r="I71" s="79"/>
      <c r="J71" s="79"/>
      <c r="K71" s="80"/>
    </row>
    <row r="72" spans="1:11">
      <c r="A72" s="93"/>
      <c r="B72" s="249" t="str">
        <f>IFERROR(IF(VLOOKUP($A72,CTINTERVALO,2,0)=0,"",VLOOKUP($A72,CTINTERVALO,2,0)),"")</f>
        <v/>
      </c>
      <c r="C72" s="249" t="str">
        <f>IF($B72="Não", "BLOQUEADO (Aguardar liberação)", IFERROR(IF(VLOOKUP($A72,CTINTERVALO,3,0)=0,"",VLOOKUP($A72,CTINTERVALO,3,0)),""))</f>
        <v/>
      </c>
      <c r="D72" s="249" t="str">
        <f>IF($B72="Não", "BLOQUEADO (Aguardar liberação)", IFERROR(IF(VLOOKUP($A72,CTINTERVALO,4,0)=0,"",VLOOKUP($A72,CTINTERVALO,4,0)),""))</f>
        <v/>
      </c>
      <c r="E72" s="249"/>
      <c r="F72" s="249" t="str">
        <f>IF($B72="Não", "BLOQUEADO (Aguardar liberação)", IFERROR(IF(VLOOKUP($A72,CTINTERVALO,6,0)=0,"",VLOOKUP($A72,CTINTERVALO,6,0)),""))</f>
        <v/>
      </c>
      <c r="G72" s="80"/>
      <c r="H72" s="80"/>
      <c r="I72" s="79"/>
      <c r="J72" s="79"/>
      <c r="K72" s="80"/>
    </row>
    <row r="73" spans="1:11">
      <c r="A73" s="93"/>
      <c r="B73" s="249" t="str">
        <f>IFERROR(IF(VLOOKUP($A73,CTINTERVALO,2,0)=0,"",VLOOKUP($A73,CTINTERVALO,2,0)),"")</f>
        <v/>
      </c>
      <c r="C73" s="249" t="str">
        <f>IF($B73="Não", "BLOQUEADO (Aguardar liberação)", IFERROR(IF(VLOOKUP($A73,CTINTERVALO,3,0)=0,"",VLOOKUP($A73,CTINTERVALO,3,0)),""))</f>
        <v/>
      </c>
      <c r="D73" s="249" t="str">
        <f>IF($B73="Não", "BLOQUEADO (Aguardar liberação)", IFERROR(IF(VLOOKUP($A73,CTINTERVALO,4,0)=0,"",VLOOKUP($A73,CTINTERVALO,4,0)),""))</f>
        <v/>
      </c>
      <c r="E73" s="249"/>
      <c r="F73" s="249" t="str">
        <f>IF($B73="Não", "BLOQUEADO (Aguardar liberação)", IFERROR(IF(VLOOKUP($A73,CTINTERVALO,6,0)=0,"",VLOOKUP($A73,CTINTERVALO,6,0)),""))</f>
        <v/>
      </c>
      <c r="G73" s="80"/>
      <c r="H73" s="80"/>
      <c r="I73" s="79"/>
      <c r="J73" s="79"/>
      <c r="K73" s="80"/>
    </row>
    <row r="74" spans="1:11">
      <c r="A74" s="93"/>
      <c r="B74" s="249" t="str">
        <f>IFERROR(IF(VLOOKUP($A74,CTINTERVALO,2,0)=0,"",VLOOKUP($A74,CTINTERVALO,2,0)),"")</f>
        <v/>
      </c>
      <c r="C74" s="249" t="str">
        <f>IF($B74="Não", "BLOQUEADO (Aguardar liberação)", IFERROR(IF(VLOOKUP($A74,CTINTERVALO,3,0)=0,"",VLOOKUP($A74,CTINTERVALO,3,0)),""))</f>
        <v/>
      </c>
      <c r="D74" s="249" t="str">
        <f>IF($B74="Não", "BLOQUEADO (Aguardar liberação)", IFERROR(IF(VLOOKUP($A74,CTINTERVALO,4,0)=0,"",VLOOKUP($A74,CTINTERVALO,4,0)),""))</f>
        <v/>
      </c>
      <c r="E74" s="249"/>
      <c r="F74" s="249" t="str">
        <f>IF($B74="Não", "BLOQUEADO (Aguardar liberação)", IFERROR(IF(VLOOKUP($A74,CTINTERVALO,6,0)=0,"",VLOOKUP($A74,CTINTERVALO,6,0)),""))</f>
        <v/>
      </c>
      <c r="G74" s="80"/>
      <c r="H74" s="80"/>
      <c r="I74" s="79"/>
      <c r="J74" s="79"/>
      <c r="K74" s="80"/>
    </row>
    <row r="75" spans="1:11">
      <c r="A75" s="93"/>
      <c r="B75" s="249" t="str">
        <f>IFERROR(IF(VLOOKUP($A75,CTINTERVALO,2,0)=0,"",VLOOKUP($A75,CTINTERVALO,2,0)),"")</f>
        <v/>
      </c>
      <c r="C75" s="249" t="str">
        <f>IF($B75="Não", "BLOQUEADO (Aguardar liberação)", IFERROR(IF(VLOOKUP($A75,CTINTERVALO,3,0)=0,"",VLOOKUP($A75,CTINTERVALO,3,0)),""))</f>
        <v/>
      </c>
      <c r="D75" s="249" t="str">
        <f>IF($B75="Não", "BLOQUEADO (Aguardar liberação)", IFERROR(IF(VLOOKUP($A75,CTINTERVALO,4,0)=0,"",VLOOKUP($A75,CTINTERVALO,4,0)),""))</f>
        <v/>
      </c>
      <c r="E75" s="249"/>
      <c r="F75" s="249" t="str">
        <f>IF($B75="Não", "BLOQUEADO (Aguardar liberação)", IFERROR(IF(VLOOKUP($A75,CTINTERVALO,6,0)=0,"",VLOOKUP($A75,CTINTERVALO,6,0)),""))</f>
        <v/>
      </c>
      <c r="G75" s="80"/>
      <c r="H75" s="80"/>
      <c r="I75" s="79"/>
      <c r="J75" s="79"/>
      <c r="K75" s="80"/>
    </row>
    <row r="76" spans="1:11">
      <c r="A76" s="93"/>
      <c r="B76" s="249" t="str">
        <f>IFERROR(IF(VLOOKUP($A76,CTINTERVALO,2,0)=0,"",VLOOKUP($A76,CTINTERVALO,2,0)),"")</f>
        <v/>
      </c>
      <c r="C76" s="249" t="str">
        <f>IF($B76="Não", "BLOQUEADO (Aguardar liberação)", IFERROR(IF(VLOOKUP($A76,CTINTERVALO,3,0)=0,"",VLOOKUP($A76,CTINTERVALO,3,0)),""))</f>
        <v/>
      </c>
      <c r="D76" s="249" t="str">
        <f>IF($B76="Não", "BLOQUEADO (Aguardar liberação)", IFERROR(IF(VLOOKUP($A76,CTINTERVALO,4,0)=0,"",VLOOKUP($A76,CTINTERVALO,4,0)),""))</f>
        <v/>
      </c>
      <c r="E76" s="249"/>
      <c r="F76" s="249" t="str">
        <f>IF($B76="Não", "BLOQUEADO (Aguardar liberação)", IFERROR(IF(VLOOKUP($A76,CTINTERVALO,6,0)=0,"",VLOOKUP($A76,CTINTERVALO,6,0)),""))</f>
        <v/>
      </c>
      <c r="G76" s="80"/>
      <c r="H76" s="80"/>
      <c r="I76" s="79"/>
      <c r="J76" s="79"/>
      <c r="K76" s="80"/>
    </row>
    <row r="77" spans="1:11">
      <c r="A77" s="93"/>
      <c r="B77" s="249" t="str">
        <f>IFERROR(IF(VLOOKUP($A77,CTINTERVALO,2,0)=0,"",VLOOKUP($A77,CTINTERVALO,2,0)),"")</f>
        <v/>
      </c>
      <c r="C77" s="249" t="str">
        <f>IF($B77="Não", "BLOQUEADO (Aguardar liberação)", IFERROR(IF(VLOOKUP($A77,CTINTERVALO,3,0)=0,"",VLOOKUP($A77,CTINTERVALO,3,0)),""))</f>
        <v/>
      </c>
      <c r="D77" s="249" t="str">
        <f>IF($B77="Não", "BLOQUEADO (Aguardar liberação)", IFERROR(IF(VLOOKUP($A77,CTINTERVALO,4,0)=0,"",VLOOKUP($A77,CTINTERVALO,4,0)),""))</f>
        <v/>
      </c>
      <c r="E77" s="249"/>
      <c r="F77" s="249" t="str">
        <f>IF($B77="Não", "BLOQUEADO (Aguardar liberação)", IFERROR(IF(VLOOKUP($A77,CTINTERVALO,6,0)=0,"",VLOOKUP($A77,CTINTERVALO,6,0)),""))</f>
        <v/>
      </c>
      <c r="G77" s="80"/>
      <c r="H77" s="80"/>
      <c r="I77" s="79"/>
      <c r="J77" s="79"/>
      <c r="K77" s="80"/>
    </row>
    <row r="78" spans="1:11">
      <c r="A78" s="93"/>
      <c r="B78" s="249" t="str">
        <f>IFERROR(IF(VLOOKUP($A78,CTINTERVALO,2,0)=0,"",VLOOKUP($A78,CTINTERVALO,2,0)),"")</f>
        <v/>
      </c>
      <c r="C78" s="249" t="str">
        <f>IF($B78="Não", "BLOQUEADO (Aguardar liberação)", IFERROR(IF(VLOOKUP($A78,CTINTERVALO,3,0)=0,"",VLOOKUP($A78,CTINTERVALO,3,0)),""))</f>
        <v/>
      </c>
      <c r="D78" s="249" t="str">
        <f>IF($B78="Não", "BLOQUEADO (Aguardar liberação)", IFERROR(IF(VLOOKUP($A78,CTINTERVALO,4,0)=0,"",VLOOKUP($A78,CTINTERVALO,4,0)),""))</f>
        <v/>
      </c>
      <c r="E78" s="249"/>
      <c r="F78" s="249" t="str">
        <f>IF($B78="Não", "BLOQUEADO (Aguardar liberação)", IFERROR(IF(VLOOKUP($A78,CTINTERVALO,6,0)=0,"",VLOOKUP($A78,CTINTERVALO,6,0)),""))</f>
        <v/>
      </c>
      <c r="G78" s="80"/>
      <c r="H78" s="80"/>
      <c r="I78" s="79"/>
      <c r="J78" s="79"/>
      <c r="K78" s="80"/>
    </row>
    <row r="79" spans="1:11">
      <c r="A79" s="93"/>
      <c r="B79" s="249" t="str">
        <f>IFERROR(IF(VLOOKUP($A79,CTINTERVALO,2,0)=0,"",VLOOKUP($A79,CTINTERVALO,2,0)),"")</f>
        <v/>
      </c>
      <c r="C79" s="249" t="str">
        <f>IF($B79="Não", "BLOQUEADO (Aguardar liberação)", IFERROR(IF(VLOOKUP($A79,CTINTERVALO,3,0)=0,"",VLOOKUP($A79,CTINTERVALO,3,0)),""))</f>
        <v/>
      </c>
      <c r="D79" s="249" t="str">
        <f>IF($B79="Não", "BLOQUEADO (Aguardar liberação)", IFERROR(IF(VLOOKUP($A79,CTINTERVALO,4,0)=0,"",VLOOKUP($A79,CTINTERVALO,4,0)),""))</f>
        <v/>
      </c>
      <c r="E79" s="249"/>
      <c r="F79" s="249" t="str">
        <f>IF($B79="Não", "BLOQUEADO (Aguardar liberação)", IFERROR(IF(VLOOKUP($A79,CTINTERVALO,6,0)=0,"",VLOOKUP($A79,CTINTERVALO,6,0)),""))</f>
        <v/>
      </c>
      <c r="G79" s="80"/>
      <c r="H79" s="80"/>
      <c r="I79" s="79"/>
      <c r="J79" s="79"/>
      <c r="K79" s="80"/>
    </row>
    <row r="80" spans="1:11">
      <c r="A80" s="93"/>
      <c r="B80" s="249" t="str">
        <f>IFERROR(IF(VLOOKUP($A80,CTINTERVALO,2,0)=0,"",VLOOKUP($A80,CTINTERVALO,2,0)),"")</f>
        <v/>
      </c>
      <c r="C80" s="249" t="str">
        <f>IF($B80="Não", "BLOQUEADO (Aguardar liberação)", IFERROR(IF(VLOOKUP($A80,CTINTERVALO,3,0)=0,"",VLOOKUP($A80,CTINTERVALO,3,0)),""))</f>
        <v/>
      </c>
      <c r="D80" s="249" t="str">
        <f>IF($B80="Não", "BLOQUEADO (Aguardar liberação)", IFERROR(IF(VLOOKUP($A80,CTINTERVALO,4,0)=0,"",VLOOKUP($A80,CTINTERVALO,4,0)),""))</f>
        <v/>
      </c>
      <c r="E80" s="249"/>
      <c r="F80" s="249" t="str">
        <f>IF($B80="Não", "BLOQUEADO (Aguardar liberação)", IFERROR(IF(VLOOKUP($A80,CTINTERVALO,6,0)=0,"",VLOOKUP($A80,CTINTERVALO,6,0)),""))</f>
        <v/>
      </c>
      <c r="G80" s="80"/>
      <c r="H80" s="80"/>
      <c r="I80" s="79"/>
      <c r="J80" s="79"/>
      <c r="K80" s="80"/>
    </row>
    <row r="81" spans="1:11">
      <c r="A81" s="93"/>
      <c r="B81" s="249" t="str">
        <f>IFERROR(IF(VLOOKUP($A81,CTINTERVALO,2,0)=0,"",VLOOKUP($A81,CTINTERVALO,2,0)),"")</f>
        <v/>
      </c>
      <c r="C81" s="249" t="str">
        <f>IF($B81="Não", "BLOQUEADO (Aguardar liberação)", IFERROR(IF(VLOOKUP($A81,CTINTERVALO,3,0)=0,"",VLOOKUP($A81,CTINTERVALO,3,0)),""))</f>
        <v/>
      </c>
      <c r="D81" s="249" t="str">
        <f>IF($B81="Não", "BLOQUEADO (Aguardar liberação)", IFERROR(IF(VLOOKUP($A81,CTINTERVALO,4,0)=0,"",VLOOKUP($A81,CTINTERVALO,4,0)),""))</f>
        <v/>
      </c>
      <c r="E81" s="249"/>
      <c r="F81" s="249" t="str">
        <f>IF($B81="Não", "BLOQUEADO (Aguardar liberação)", IFERROR(IF(VLOOKUP($A81,CTINTERVALO,6,0)=0,"",VLOOKUP($A81,CTINTERVALO,6,0)),""))</f>
        <v/>
      </c>
      <c r="G81" s="80"/>
      <c r="H81" s="80"/>
      <c r="I81" s="79"/>
      <c r="J81" s="79"/>
      <c r="K81" s="80"/>
    </row>
    <row r="82" spans="1:11">
      <c r="A82" s="93"/>
      <c r="B82" s="249" t="str">
        <f>IFERROR(IF(VLOOKUP($A82,CTINTERVALO,2,0)=0,"",VLOOKUP($A82,CTINTERVALO,2,0)),"")</f>
        <v/>
      </c>
      <c r="C82" s="249" t="str">
        <f>IF($B82="Não", "BLOQUEADO (Aguardar liberação)", IFERROR(IF(VLOOKUP($A82,CTINTERVALO,3,0)=0,"",VLOOKUP($A82,CTINTERVALO,3,0)),""))</f>
        <v/>
      </c>
      <c r="D82" s="249" t="str">
        <f>IF($B82="Não", "BLOQUEADO (Aguardar liberação)", IFERROR(IF(VLOOKUP($A82,CTINTERVALO,4,0)=0,"",VLOOKUP($A82,CTINTERVALO,4,0)),""))</f>
        <v/>
      </c>
      <c r="E82" s="249"/>
      <c r="F82" s="249" t="str">
        <f>IF($B82="Não", "BLOQUEADO (Aguardar liberação)", IFERROR(IF(VLOOKUP($A82,CTINTERVALO,6,0)=0,"",VLOOKUP($A82,CTINTERVALO,6,0)),""))</f>
        <v/>
      </c>
      <c r="G82" s="80"/>
      <c r="H82" s="80"/>
      <c r="I82" s="79"/>
      <c r="J82" s="79"/>
      <c r="K82" s="80"/>
    </row>
    <row r="83" spans="1:11">
      <c r="A83" s="93"/>
      <c r="B83" s="249" t="str">
        <f>IFERROR(IF(VLOOKUP($A83,CTINTERVALO,2,0)=0,"",VLOOKUP($A83,CTINTERVALO,2,0)),"")</f>
        <v/>
      </c>
      <c r="C83" s="249" t="str">
        <f>IF($B83="Não", "BLOQUEADO (Aguardar liberação)", IFERROR(IF(VLOOKUP($A83,CTINTERVALO,3,0)=0,"",VLOOKUP($A83,CTINTERVALO,3,0)),""))</f>
        <v/>
      </c>
      <c r="D83" s="249" t="str">
        <f>IF($B83="Não", "BLOQUEADO (Aguardar liberação)", IFERROR(IF(VLOOKUP($A83,CTINTERVALO,4,0)=0,"",VLOOKUP($A83,CTINTERVALO,4,0)),""))</f>
        <v/>
      </c>
      <c r="E83" s="249"/>
      <c r="F83" s="249" t="str">
        <f>IF($B83="Não", "BLOQUEADO (Aguardar liberação)", IFERROR(IF(VLOOKUP($A83,CTINTERVALO,6,0)=0,"",VLOOKUP($A83,CTINTERVALO,6,0)),""))</f>
        <v/>
      </c>
      <c r="G83" s="80"/>
      <c r="H83" s="80"/>
      <c r="I83" s="79"/>
      <c r="J83" s="79"/>
      <c r="K83" s="80"/>
    </row>
    <row r="84" spans="1:11">
      <c r="A84" s="93"/>
      <c r="B84" s="249" t="str">
        <f>IFERROR(IF(VLOOKUP($A84,CTINTERVALO,2,0)=0,"",VLOOKUP($A84,CTINTERVALO,2,0)),"")</f>
        <v/>
      </c>
      <c r="C84" s="249" t="str">
        <f>IF($B84="Não", "BLOQUEADO (Aguardar liberação)", IFERROR(IF(VLOOKUP($A84,CTINTERVALO,3,0)=0,"",VLOOKUP($A84,CTINTERVALO,3,0)),""))</f>
        <v/>
      </c>
      <c r="D84" s="249" t="str">
        <f>IF($B84="Não", "BLOQUEADO (Aguardar liberação)", IFERROR(IF(VLOOKUP($A84,CTINTERVALO,4,0)=0,"",VLOOKUP($A84,CTINTERVALO,4,0)),""))</f>
        <v/>
      </c>
      <c r="E84" s="249"/>
      <c r="F84" s="249" t="str">
        <f>IF($B84="Não", "BLOQUEADO (Aguardar liberação)", IFERROR(IF(VLOOKUP($A84,CTINTERVALO,6,0)=0,"",VLOOKUP($A84,CTINTERVALO,6,0)),""))</f>
        <v/>
      </c>
      <c r="G84" s="80"/>
      <c r="H84" s="80"/>
      <c r="I84" s="79"/>
      <c r="J84" s="79"/>
      <c r="K84" s="80"/>
    </row>
    <row r="85" spans="1:11">
      <c r="A85" s="93"/>
      <c r="B85" s="249" t="str">
        <f>IFERROR(IF(VLOOKUP($A85,CTINTERVALO,2,0)=0,"",VLOOKUP($A85,CTINTERVALO,2,0)),"")</f>
        <v/>
      </c>
      <c r="C85" s="249" t="str">
        <f>IF($B85="Não", "BLOQUEADO (Aguardar liberação)", IFERROR(IF(VLOOKUP($A85,CTINTERVALO,3,0)=0,"",VLOOKUP($A85,CTINTERVALO,3,0)),""))</f>
        <v/>
      </c>
      <c r="D85" s="249" t="str">
        <f>IF($B85="Não", "BLOQUEADO (Aguardar liberação)", IFERROR(IF(VLOOKUP($A85,CTINTERVALO,4,0)=0,"",VLOOKUP($A85,CTINTERVALO,4,0)),""))</f>
        <v/>
      </c>
      <c r="E85" s="249"/>
      <c r="F85" s="249" t="str">
        <f>IF($B85="Não", "BLOQUEADO (Aguardar liberação)", IFERROR(IF(VLOOKUP($A85,CTINTERVALO,6,0)=0,"",VLOOKUP($A85,CTINTERVALO,6,0)),""))</f>
        <v/>
      </c>
      <c r="G85" s="80"/>
      <c r="H85" s="80"/>
      <c r="I85" s="79"/>
      <c r="J85" s="79"/>
      <c r="K85" s="80"/>
    </row>
    <row r="86" spans="1:11">
      <c r="A86" s="93"/>
      <c r="B86" s="249" t="str">
        <f>IFERROR(IF(VLOOKUP($A86,CTINTERVALO,2,0)=0,"",VLOOKUP($A86,CTINTERVALO,2,0)),"")</f>
        <v/>
      </c>
      <c r="C86" s="249" t="str">
        <f>IF($B86="Não", "BLOQUEADO (Aguardar liberação)", IFERROR(IF(VLOOKUP($A86,CTINTERVALO,3,0)=0,"",VLOOKUP($A86,CTINTERVALO,3,0)),""))</f>
        <v/>
      </c>
      <c r="D86" s="249" t="str">
        <f>IF($B86="Não", "BLOQUEADO (Aguardar liberação)", IFERROR(IF(VLOOKUP($A86,CTINTERVALO,4,0)=0,"",VLOOKUP($A86,CTINTERVALO,4,0)),""))</f>
        <v/>
      </c>
      <c r="E86" s="249"/>
      <c r="F86" s="249" t="str">
        <f>IF($B86="Não", "BLOQUEADO (Aguardar liberação)", IFERROR(IF(VLOOKUP($A86,CTINTERVALO,6,0)=0,"",VLOOKUP($A86,CTINTERVALO,6,0)),""))</f>
        <v/>
      </c>
      <c r="G86" s="80"/>
      <c r="H86" s="80"/>
      <c r="I86" s="79"/>
      <c r="J86" s="79"/>
      <c r="K86" s="80"/>
    </row>
    <row r="87" spans="1:11">
      <c r="A87" s="93"/>
      <c r="B87" s="249" t="str">
        <f>IFERROR(IF(VLOOKUP($A87,CTINTERVALO,2,0)=0,"",VLOOKUP($A87,CTINTERVALO,2,0)),"")</f>
        <v/>
      </c>
      <c r="C87" s="249" t="str">
        <f>IF($B87="Não", "BLOQUEADO (Aguardar liberação)", IFERROR(IF(VLOOKUP($A87,CTINTERVALO,3,0)=0,"",VLOOKUP($A87,CTINTERVALO,3,0)),""))</f>
        <v/>
      </c>
      <c r="D87" s="249" t="str">
        <f>IF($B87="Não", "BLOQUEADO (Aguardar liberação)", IFERROR(IF(VLOOKUP($A87,CTINTERVALO,4,0)=0,"",VLOOKUP($A87,CTINTERVALO,4,0)),""))</f>
        <v/>
      </c>
      <c r="E87" s="249"/>
      <c r="F87" s="249" t="str">
        <f>IF($B87="Não", "BLOQUEADO (Aguardar liberação)", IFERROR(IF(VLOOKUP($A87,CTINTERVALO,6,0)=0,"",VLOOKUP($A87,CTINTERVALO,6,0)),""))</f>
        <v/>
      </c>
      <c r="G87" s="80"/>
      <c r="H87" s="80"/>
      <c r="I87" s="79"/>
      <c r="J87" s="79"/>
      <c r="K87" s="80"/>
    </row>
    <row r="88" spans="1:11">
      <c r="A88" s="93"/>
      <c r="B88" s="249" t="str">
        <f>IFERROR(IF(VLOOKUP($A88,CTINTERVALO,2,0)=0,"",VLOOKUP($A88,CTINTERVALO,2,0)),"")</f>
        <v/>
      </c>
      <c r="C88" s="249" t="str">
        <f>IF($B88="Não", "BLOQUEADO (Aguardar liberação)", IFERROR(IF(VLOOKUP($A88,CTINTERVALO,3,0)=0,"",VLOOKUP($A88,CTINTERVALO,3,0)),""))</f>
        <v/>
      </c>
      <c r="D88" s="249" t="str">
        <f>IF($B88="Não", "BLOQUEADO (Aguardar liberação)", IFERROR(IF(VLOOKUP($A88,CTINTERVALO,4,0)=0,"",VLOOKUP($A88,CTINTERVALO,4,0)),""))</f>
        <v/>
      </c>
      <c r="E88" s="249"/>
      <c r="F88" s="249" t="str">
        <f>IF($B88="Não", "BLOQUEADO (Aguardar liberação)", IFERROR(IF(VLOOKUP($A88,CTINTERVALO,6,0)=0,"",VLOOKUP($A88,CTINTERVALO,6,0)),""))</f>
        <v/>
      </c>
      <c r="G88" s="80"/>
      <c r="H88" s="80"/>
      <c r="I88" s="79"/>
      <c r="J88" s="79"/>
      <c r="K88" s="80"/>
    </row>
    <row r="89" spans="1:11">
      <c r="A89" s="93"/>
      <c r="B89" s="249" t="str">
        <f>IFERROR(IF(VLOOKUP($A89,CTINTERVALO,2,0)=0,"",VLOOKUP($A89,CTINTERVALO,2,0)),"")</f>
        <v/>
      </c>
      <c r="C89" s="249" t="str">
        <f>IF($B89="Não", "BLOQUEADO (Aguardar liberação)", IFERROR(IF(VLOOKUP($A89,CTINTERVALO,3,0)=0,"",VLOOKUP($A89,CTINTERVALO,3,0)),""))</f>
        <v/>
      </c>
      <c r="D89" s="249" t="str">
        <f>IF($B89="Não", "BLOQUEADO (Aguardar liberação)", IFERROR(IF(VLOOKUP($A89,CTINTERVALO,4,0)=0,"",VLOOKUP($A89,CTINTERVALO,4,0)),""))</f>
        <v/>
      </c>
      <c r="E89" s="249"/>
      <c r="F89" s="249" t="str">
        <f>IF($B89="Não", "BLOQUEADO (Aguardar liberação)", IFERROR(IF(VLOOKUP($A89,CTINTERVALO,6,0)=0,"",VLOOKUP($A89,CTINTERVALO,6,0)),""))</f>
        <v/>
      </c>
      <c r="G89" s="80"/>
      <c r="H89" s="80"/>
      <c r="I89" s="79"/>
      <c r="J89" s="79"/>
      <c r="K89" s="80"/>
    </row>
    <row r="90" spans="1:11">
      <c r="A90" s="93"/>
      <c r="B90" s="249" t="str">
        <f>IFERROR(IF(VLOOKUP($A90,CTINTERVALO,2,0)=0,"",VLOOKUP($A90,CTINTERVALO,2,0)),"")</f>
        <v/>
      </c>
      <c r="C90" s="249" t="str">
        <f>IF($B90="Não", "BLOQUEADO (Aguardar liberação)", IFERROR(IF(VLOOKUP($A90,CTINTERVALO,3,0)=0,"",VLOOKUP($A90,CTINTERVALO,3,0)),""))</f>
        <v/>
      </c>
      <c r="D90" s="249" t="str">
        <f>IF($B90="Não", "BLOQUEADO (Aguardar liberação)", IFERROR(IF(VLOOKUP($A90,CTINTERVALO,4,0)=0,"",VLOOKUP($A90,CTINTERVALO,4,0)),""))</f>
        <v/>
      </c>
      <c r="E90" s="249"/>
      <c r="F90" s="249" t="str">
        <f>IF($B90="Não", "BLOQUEADO (Aguardar liberação)", IFERROR(IF(VLOOKUP($A90,CTINTERVALO,6,0)=0,"",VLOOKUP($A90,CTINTERVALO,6,0)),""))</f>
        <v/>
      </c>
      <c r="G90" s="80"/>
      <c r="H90" s="80"/>
      <c r="I90" s="79"/>
      <c r="J90" s="79"/>
      <c r="K90" s="80"/>
    </row>
    <row r="91" spans="1:11">
      <c r="A91" s="93"/>
      <c r="B91" s="249" t="str">
        <f>IFERROR(IF(VLOOKUP($A91,CTINTERVALO,2,0)=0,"",VLOOKUP($A91,CTINTERVALO,2,0)),"")</f>
        <v/>
      </c>
      <c r="C91" s="249" t="str">
        <f>IF($B91="Não", "BLOQUEADO (Aguardar liberação)", IFERROR(IF(VLOOKUP($A91,CTINTERVALO,3,0)=0,"",VLOOKUP($A91,CTINTERVALO,3,0)),""))</f>
        <v/>
      </c>
      <c r="D91" s="249" t="str">
        <f>IF($B91="Não", "BLOQUEADO (Aguardar liberação)", IFERROR(IF(VLOOKUP($A91,CTINTERVALO,4,0)=0,"",VLOOKUP($A91,CTINTERVALO,4,0)),""))</f>
        <v/>
      </c>
      <c r="E91" s="249"/>
      <c r="F91" s="249" t="str">
        <f>IF($B91="Não", "BLOQUEADO (Aguardar liberação)", IFERROR(IF(VLOOKUP($A91,CTINTERVALO,6,0)=0,"",VLOOKUP($A91,CTINTERVALO,6,0)),""))</f>
        <v/>
      </c>
      <c r="G91" s="80"/>
      <c r="H91" s="80"/>
      <c r="I91" s="79"/>
      <c r="J91" s="79"/>
      <c r="K91" s="80"/>
    </row>
    <row r="92" spans="1:11">
      <c r="A92" s="93"/>
      <c r="B92" s="249" t="str">
        <f>IFERROR(IF(VLOOKUP($A92,CTINTERVALO,2,0)=0,"",VLOOKUP($A92,CTINTERVALO,2,0)),"")</f>
        <v/>
      </c>
      <c r="C92" s="249" t="str">
        <f>IF($B92="Não", "BLOQUEADO (Aguardar liberação)", IFERROR(IF(VLOOKUP($A92,CTINTERVALO,3,0)=0,"",VLOOKUP($A92,CTINTERVALO,3,0)),""))</f>
        <v/>
      </c>
      <c r="D92" s="249" t="str">
        <f>IF($B92="Não", "BLOQUEADO (Aguardar liberação)", IFERROR(IF(VLOOKUP($A92,CTINTERVALO,4,0)=0,"",VLOOKUP($A92,CTINTERVALO,4,0)),""))</f>
        <v/>
      </c>
      <c r="E92" s="249"/>
      <c r="F92" s="249" t="str">
        <f>IF($B92="Não", "BLOQUEADO (Aguardar liberação)", IFERROR(IF(VLOOKUP($A92,CTINTERVALO,6,0)=0,"",VLOOKUP($A92,CTINTERVALO,6,0)),""))</f>
        <v/>
      </c>
      <c r="G92" s="80"/>
      <c r="H92" s="80"/>
      <c r="I92" s="79"/>
      <c r="J92" s="79"/>
      <c r="K92" s="80"/>
    </row>
    <row r="93" spans="1:11">
      <c r="A93" s="93"/>
      <c r="B93" s="249" t="str">
        <f>IFERROR(IF(VLOOKUP($A93,CTINTERVALO,2,0)=0,"",VLOOKUP($A93,CTINTERVALO,2,0)),"")</f>
        <v/>
      </c>
      <c r="C93" s="249" t="str">
        <f>IF($B93="Não", "BLOQUEADO (Aguardar liberação)", IFERROR(IF(VLOOKUP($A93,CTINTERVALO,3,0)=0,"",VLOOKUP($A93,CTINTERVALO,3,0)),""))</f>
        <v/>
      </c>
      <c r="D93" s="249" t="str">
        <f>IF($B93="Não", "BLOQUEADO (Aguardar liberação)", IFERROR(IF(VLOOKUP($A93,CTINTERVALO,4,0)=0,"",VLOOKUP($A93,CTINTERVALO,4,0)),""))</f>
        <v/>
      </c>
      <c r="E93" s="249"/>
      <c r="F93" s="249" t="str">
        <f>IF($B93="Não", "BLOQUEADO (Aguardar liberação)", IFERROR(IF(VLOOKUP($A93,CTINTERVALO,6,0)=0,"",VLOOKUP($A93,CTINTERVALO,6,0)),""))</f>
        <v/>
      </c>
      <c r="G93" s="80"/>
      <c r="H93" s="80"/>
      <c r="I93" s="79"/>
      <c r="J93" s="79"/>
      <c r="K93" s="80"/>
    </row>
    <row r="94" spans="1:11">
      <c r="A94" s="93"/>
      <c r="B94" s="249" t="str">
        <f>IFERROR(IF(VLOOKUP($A94,CTINTERVALO,2,0)=0,"",VLOOKUP($A94,CTINTERVALO,2,0)),"")</f>
        <v/>
      </c>
      <c r="C94" s="249" t="str">
        <f>IF($B94="Não", "BLOQUEADO (Aguardar liberação)", IFERROR(IF(VLOOKUP($A94,CTINTERVALO,3,0)=0,"",VLOOKUP($A94,CTINTERVALO,3,0)),""))</f>
        <v/>
      </c>
      <c r="D94" s="249" t="str">
        <f>IF($B94="Não", "BLOQUEADO (Aguardar liberação)", IFERROR(IF(VLOOKUP($A94,CTINTERVALO,4,0)=0,"",VLOOKUP($A94,CTINTERVALO,4,0)),""))</f>
        <v/>
      </c>
      <c r="E94" s="249"/>
      <c r="F94" s="249" t="str">
        <f>IF($B94="Não", "BLOQUEADO (Aguardar liberação)", IFERROR(IF(VLOOKUP($A94,CTINTERVALO,6,0)=0,"",VLOOKUP($A94,CTINTERVALO,6,0)),""))</f>
        <v/>
      </c>
      <c r="G94" s="80"/>
      <c r="H94" s="80"/>
      <c r="I94" s="79"/>
      <c r="J94" s="79"/>
      <c r="K94" s="80"/>
    </row>
    <row r="95" spans="1:11">
      <c r="A95" s="93"/>
      <c r="B95" s="249" t="str">
        <f>IFERROR(IF(VLOOKUP($A95,CTINTERVALO,2,0)=0,"",VLOOKUP($A95,CTINTERVALO,2,0)),"")</f>
        <v/>
      </c>
      <c r="C95" s="249" t="str">
        <f>IF($B95="Não", "BLOQUEADO (Aguardar liberação)", IFERROR(IF(VLOOKUP($A95,CTINTERVALO,3,0)=0,"",VLOOKUP($A95,CTINTERVALO,3,0)),""))</f>
        <v/>
      </c>
      <c r="D95" s="249" t="str">
        <f>IF($B95="Não", "BLOQUEADO (Aguardar liberação)", IFERROR(IF(VLOOKUP($A95,CTINTERVALO,4,0)=0,"",VLOOKUP($A95,CTINTERVALO,4,0)),""))</f>
        <v/>
      </c>
      <c r="E95" s="249"/>
      <c r="F95" s="249" t="str">
        <f>IF($B95="Não", "BLOQUEADO (Aguardar liberação)", IFERROR(IF(VLOOKUP($A95,CTINTERVALO,6,0)=0,"",VLOOKUP($A95,CTINTERVALO,6,0)),""))</f>
        <v/>
      </c>
      <c r="G95" s="80"/>
      <c r="H95" s="80"/>
      <c r="I95" s="79"/>
      <c r="J95" s="79"/>
      <c r="K95" s="80"/>
    </row>
    <row r="96" spans="1:11">
      <c r="A96" s="93"/>
      <c r="B96" s="249" t="str">
        <f>IFERROR(IF(VLOOKUP($A96,CTINTERVALO,2,0)=0,"",VLOOKUP($A96,CTINTERVALO,2,0)),"")</f>
        <v/>
      </c>
      <c r="C96" s="249" t="str">
        <f>IF($B96="Não", "BLOQUEADO (Aguardar liberação)", IFERROR(IF(VLOOKUP($A96,CTINTERVALO,3,0)=0,"",VLOOKUP($A96,CTINTERVALO,3,0)),""))</f>
        <v/>
      </c>
      <c r="D96" s="249" t="str">
        <f>IF($B96="Não", "BLOQUEADO (Aguardar liberação)", IFERROR(IF(VLOOKUP($A96,CTINTERVALO,4,0)=0,"",VLOOKUP($A96,CTINTERVALO,4,0)),""))</f>
        <v/>
      </c>
      <c r="E96" s="249"/>
      <c r="F96" s="249" t="str">
        <f>IF($B96="Não", "BLOQUEADO (Aguardar liberação)", IFERROR(IF(VLOOKUP($A96,CTINTERVALO,6,0)=0,"",VLOOKUP($A96,CTINTERVALO,6,0)),""))</f>
        <v/>
      </c>
      <c r="G96" s="80"/>
      <c r="H96" s="80"/>
      <c r="I96" s="79"/>
      <c r="J96" s="79"/>
      <c r="K96" s="80"/>
    </row>
    <row r="97" spans="1:11">
      <c r="A97" s="93"/>
      <c r="B97" s="249" t="str">
        <f>IFERROR(IF(VLOOKUP($A97,CTINTERVALO,2,0)=0,"",VLOOKUP($A97,CTINTERVALO,2,0)),"")</f>
        <v/>
      </c>
      <c r="C97" s="249" t="str">
        <f>IF($B97="Não", "BLOQUEADO (Aguardar liberação)", IFERROR(IF(VLOOKUP($A97,CTINTERVALO,3,0)=0,"",VLOOKUP($A97,CTINTERVALO,3,0)),""))</f>
        <v/>
      </c>
      <c r="D97" s="249" t="str">
        <f>IF($B97="Não", "BLOQUEADO (Aguardar liberação)", IFERROR(IF(VLOOKUP($A97,CTINTERVALO,4,0)=0,"",VLOOKUP($A97,CTINTERVALO,4,0)),""))</f>
        <v/>
      </c>
      <c r="E97" s="249"/>
      <c r="F97" s="249" t="str">
        <f>IF($B97="Não", "BLOQUEADO (Aguardar liberação)", IFERROR(IF(VLOOKUP($A97,CTINTERVALO,6,0)=0,"",VLOOKUP($A97,CTINTERVALO,6,0)),""))</f>
        <v/>
      </c>
      <c r="G97" s="80"/>
      <c r="H97" s="80"/>
      <c r="I97" s="79"/>
      <c r="J97" s="79"/>
      <c r="K97" s="80"/>
    </row>
    <row r="98" spans="1:11">
      <c r="A98" s="93"/>
      <c r="B98" s="249" t="str">
        <f>IFERROR(IF(VLOOKUP($A98,CTINTERVALO,2,0)=0,"",VLOOKUP($A98,CTINTERVALO,2,0)),"")</f>
        <v/>
      </c>
      <c r="C98" s="249" t="str">
        <f>IF($B98="Não", "BLOQUEADO (Aguardar liberação)", IFERROR(IF(VLOOKUP($A98,CTINTERVALO,3,0)=0,"",VLOOKUP($A98,CTINTERVALO,3,0)),""))</f>
        <v/>
      </c>
      <c r="D98" s="249" t="str">
        <f>IF($B98="Não", "BLOQUEADO (Aguardar liberação)", IFERROR(IF(VLOOKUP($A98,CTINTERVALO,4,0)=0,"",VLOOKUP($A98,CTINTERVALO,4,0)),""))</f>
        <v/>
      </c>
      <c r="E98" s="249"/>
      <c r="F98" s="249" t="str">
        <f>IF($B98="Não", "BLOQUEADO (Aguardar liberação)", IFERROR(IF(VLOOKUP($A98,CTINTERVALO,6,0)=0,"",VLOOKUP($A98,CTINTERVALO,6,0)),""))</f>
        <v/>
      </c>
      <c r="G98" s="80"/>
      <c r="H98" s="80"/>
      <c r="I98" s="79"/>
      <c r="J98" s="79"/>
      <c r="K98" s="80"/>
    </row>
    <row r="99" spans="1:11">
      <c r="A99" s="93"/>
      <c r="B99" s="249" t="str">
        <f>IFERROR(IF(VLOOKUP($A99,CTINTERVALO,2,0)=0,"",VLOOKUP($A99,CTINTERVALO,2,0)),"")</f>
        <v/>
      </c>
      <c r="C99" s="249" t="str">
        <f>IF($B99="Não", "BLOQUEADO (Aguardar liberação)", IFERROR(IF(VLOOKUP($A99,CTINTERVALO,3,0)=0,"",VLOOKUP($A99,CTINTERVALO,3,0)),""))</f>
        <v/>
      </c>
      <c r="D99" s="249" t="str">
        <f>IF($B99="Não", "BLOQUEADO (Aguardar liberação)", IFERROR(IF(VLOOKUP($A99,CTINTERVALO,4,0)=0,"",VLOOKUP($A99,CTINTERVALO,4,0)),""))</f>
        <v/>
      </c>
      <c r="E99" s="249"/>
      <c r="F99" s="249" t="str">
        <f>IF($B99="Não", "BLOQUEADO (Aguardar liberação)", IFERROR(IF(VLOOKUP($A99,CTINTERVALO,6,0)=0,"",VLOOKUP($A99,CTINTERVALO,6,0)),""))</f>
        <v/>
      </c>
      <c r="G99" s="80"/>
      <c r="H99" s="80"/>
      <c r="I99" s="79"/>
      <c r="J99" s="79"/>
      <c r="K99" s="80"/>
    </row>
    <row r="100" spans="1:11">
      <c r="A100" s="93"/>
      <c r="B100" s="249" t="str">
        <f>IFERROR(IF(VLOOKUP($A100,CTINTERVALO,2,0)=0,"",VLOOKUP($A100,CTINTERVALO,2,0)),"")</f>
        <v/>
      </c>
      <c r="C100" s="249" t="str">
        <f>IF($B100="Não", "BLOQUEADO (Aguardar liberação)", IFERROR(IF(VLOOKUP($A100,CTINTERVALO,3,0)=0,"",VLOOKUP($A100,CTINTERVALO,3,0)),""))</f>
        <v/>
      </c>
      <c r="D100" s="249" t="str">
        <f>IF($B100="Não", "BLOQUEADO (Aguardar liberação)", IFERROR(IF(VLOOKUP($A100,CTINTERVALO,4,0)=0,"",VLOOKUP($A100,CTINTERVALO,4,0)),""))</f>
        <v/>
      </c>
      <c r="E100" s="249"/>
      <c r="F100" s="249" t="str">
        <f>IF($B100="Não", "BLOQUEADO (Aguardar liberação)", IFERROR(IF(VLOOKUP($A100,CTINTERVALO,6,0)=0,"",VLOOKUP($A100,CTINTERVALO,6,0)),""))</f>
        <v/>
      </c>
      <c r="G100" s="80"/>
      <c r="H100" s="80"/>
      <c r="I100" s="79"/>
      <c r="J100" s="79"/>
      <c r="K100" s="80"/>
    </row>
    <row r="101" spans="1:11">
      <c r="A101" s="93"/>
      <c r="B101" s="249" t="str">
        <f>IFERROR(IF(VLOOKUP($A101,CTINTERVALO,2,0)=0,"",VLOOKUP($A101,CTINTERVALO,2,0)),"")</f>
        <v/>
      </c>
      <c r="C101" s="249" t="str">
        <f>IF($B101="Não", "BLOQUEADO (Aguardar liberação)", IFERROR(IF(VLOOKUP($A101,CTINTERVALO,3,0)=0,"",VLOOKUP($A101,CTINTERVALO,3,0)),""))</f>
        <v/>
      </c>
      <c r="D101" s="249" t="str">
        <f>IF($B101="Não", "BLOQUEADO (Aguardar liberação)", IFERROR(IF(VLOOKUP($A101,CTINTERVALO,4,0)=0,"",VLOOKUP($A101,CTINTERVALO,4,0)),""))</f>
        <v/>
      </c>
      <c r="E101" s="249"/>
      <c r="F101" s="249" t="str">
        <f>IF($B101="Não", "BLOQUEADO (Aguardar liberação)", IFERROR(IF(VLOOKUP($A101,CTINTERVALO,6,0)=0,"",VLOOKUP($A101,CTINTERVALO,6,0)),""))</f>
        <v/>
      </c>
      <c r="G101" s="80"/>
      <c r="H101" s="80"/>
      <c r="I101" s="79"/>
      <c r="J101" s="79"/>
      <c r="K101" s="80"/>
    </row>
    <row r="102" spans="1:11">
      <c r="A102" s="93"/>
      <c r="B102" s="249" t="str">
        <f>IFERROR(IF(VLOOKUP($A102,CTINTERVALO,2,0)=0,"",VLOOKUP($A102,CTINTERVALO,2,0)),"")</f>
        <v/>
      </c>
      <c r="C102" s="249" t="str">
        <f>IF($B102="Não", "BLOQUEADO (Aguardar liberação)", IFERROR(IF(VLOOKUP($A102,CTINTERVALO,3,0)=0,"",VLOOKUP($A102,CTINTERVALO,3,0)),""))</f>
        <v/>
      </c>
      <c r="D102" s="249" t="str">
        <f>IF($B102="Não", "BLOQUEADO (Aguardar liberação)", IFERROR(IF(VLOOKUP($A102,CTINTERVALO,4,0)=0,"",VLOOKUP($A102,CTINTERVALO,4,0)),""))</f>
        <v/>
      </c>
      <c r="E102" s="249"/>
      <c r="F102" s="249" t="str">
        <f>IF($B102="Não", "BLOQUEADO (Aguardar liberação)", IFERROR(IF(VLOOKUP($A102,CTINTERVALO,6,0)=0,"",VLOOKUP($A102,CTINTERVALO,6,0)),""))</f>
        <v/>
      </c>
      <c r="G102" s="80"/>
      <c r="H102" s="80"/>
      <c r="I102" s="79"/>
      <c r="J102" s="79"/>
      <c r="K102" s="80"/>
    </row>
    <row r="103" spans="1:11">
      <c r="A103" s="93"/>
      <c r="B103" s="249" t="str">
        <f>IFERROR(IF(VLOOKUP($A103,CTINTERVALO,2,0)=0,"",VLOOKUP($A103,CTINTERVALO,2,0)),"")</f>
        <v/>
      </c>
      <c r="C103" s="249" t="str">
        <f>IF($B103="Não", "BLOQUEADO (Aguardar liberação)", IFERROR(IF(VLOOKUP($A103,CTINTERVALO,3,0)=0,"",VLOOKUP($A103,CTINTERVALO,3,0)),""))</f>
        <v/>
      </c>
      <c r="D103" s="249" t="str">
        <f>IF($B103="Não", "BLOQUEADO (Aguardar liberação)", IFERROR(IF(VLOOKUP($A103,CTINTERVALO,4,0)=0,"",VLOOKUP($A103,CTINTERVALO,4,0)),""))</f>
        <v/>
      </c>
      <c r="E103" s="249"/>
      <c r="F103" s="249" t="str">
        <f>IF($B103="Não", "BLOQUEADO (Aguardar liberação)", IFERROR(IF(VLOOKUP($A103,CTINTERVALO,6,0)=0,"",VLOOKUP($A103,CTINTERVALO,6,0)),""))</f>
        <v/>
      </c>
      <c r="G103" s="80"/>
      <c r="H103" s="80"/>
      <c r="I103" s="79"/>
      <c r="J103" s="79"/>
      <c r="K103" s="80"/>
    </row>
    <row r="104" spans="1:11">
      <c r="A104" s="93"/>
      <c r="B104" s="249" t="str">
        <f>IFERROR(IF(VLOOKUP($A104,CTINTERVALO,2,0)=0,"",VLOOKUP($A104,CTINTERVALO,2,0)),"")</f>
        <v/>
      </c>
      <c r="C104" s="249" t="str">
        <f>IF($B104="Não", "BLOQUEADO (Aguardar liberação)", IFERROR(IF(VLOOKUP($A104,CTINTERVALO,3,0)=0,"",VLOOKUP($A104,CTINTERVALO,3,0)),""))</f>
        <v/>
      </c>
      <c r="D104" s="249" t="str">
        <f>IF($B104="Não", "BLOQUEADO (Aguardar liberação)", IFERROR(IF(VLOOKUP($A104,CTINTERVALO,4,0)=0,"",VLOOKUP($A104,CTINTERVALO,4,0)),""))</f>
        <v/>
      </c>
      <c r="E104" s="249"/>
      <c r="F104" s="249" t="str">
        <f>IF($B104="Não", "BLOQUEADO (Aguardar liberação)", IFERROR(IF(VLOOKUP($A104,CTINTERVALO,6,0)=0,"",VLOOKUP($A104,CTINTERVALO,6,0)),""))</f>
        <v/>
      </c>
      <c r="G104" s="80"/>
      <c r="H104" s="80"/>
      <c r="I104" s="79"/>
      <c r="J104" s="79"/>
      <c r="K104" s="80"/>
    </row>
    <row r="105" spans="1:11">
      <c r="A105" s="93"/>
      <c r="B105" s="249" t="str">
        <f>IFERROR(IF(VLOOKUP($A105,CTINTERVALO,2,0)=0,"",VLOOKUP($A105,CTINTERVALO,2,0)),"")</f>
        <v/>
      </c>
      <c r="C105" s="249" t="str">
        <f>IF($B105="Não", "BLOQUEADO (Aguardar liberação)", IFERROR(IF(VLOOKUP($A105,CTINTERVALO,3,0)=0,"",VLOOKUP($A105,CTINTERVALO,3,0)),""))</f>
        <v/>
      </c>
      <c r="D105" s="249" t="str">
        <f>IF($B105="Não", "BLOQUEADO (Aguardar liberação)", IFERROR(IF(VLOOKUP($A105,CTINTERVALO,4,0)=0,"",VLOOKUP($A105,CTINTERVALO,4,0)),""))</f>
        <v/>
      </c>
      <c r="E105" s="249"/>
      <c r="F105" s="249" t="str">
        <f>IF($B105="Não", "BLOQUEADO (Aguardar liberação)", IFERROR(IF(VLOOKUP($A105,CTINTERVALO,6,0)=0,"",VLOOKUP($A105,CTINTERVALO,6,0)),""))</f>
        <v/>
      </c>
      <c r="G105" s="80"/>
      <c r="H105" s="80"/>
      <c r="I105" s="79"/>
      <c r="J105" s="79"/>
      <c r="K105" s="80"/>
    </row>
    <row r="106" spans="1:11">
      <c r="A106" s="93"/>
      <c r="B106" s="249" t="str">
        <f>IFERROR(IF(VLOOKUP($A106,CTINTERVALO,2,0)=0,"",VLOOKUP($A106,CTINTERVALO,2,0)),"")</f>
        <v/>
      </c>
      <c r="C106" s="249" t="str">
        <f>IF($B106="Não", "BLOQUEADO (Aguardar liberação)", IFERROR(IF(VLOOKUP($A106,CTINTERVALO,3,0)=0,"",VLOOKUP($A106,CTINTERVALO,3,0)),""))</f>
        <v/>
      </c>
      <c r="D106" s="249" t="str">
        <f>IF($B106="Não", "BLOQUEADO (Aguardar liberação)", IFERROR(IF(VLOOKUP($A106,CTINTERVALO,4,0)=0,"",VLOOKUP($A106,CTINTERVALO,4,0)),""))</f>
        <v/>
      </c>
      <c r="E106" s="249"/>
      <c r="F106" s="249" t="str">
        <f>IF($B106="Não", "BLOQUEADO (Aguardar liberação)", IFERROR(IF(VLOOKUP($A106,CTINTERVALO,6,0)=0,"",VLOOKUP($A106,CTINTERVALO,6,0)),""))</f>
        <v/>
      </c>
      <c r="G106" s="80"/>
      <c r="H106" s="80"/>
      <c r="I106" s="79"/>
      <c r="J106" s="79"/>
      <c r="K106" s="80"/>
    </row>
    <row r="107" spans="1:11">
      <c r="A107" s="93"/>
      <c r="B107" s="249" t="str">
        <f>IFERROR(IF(VLOOKUP($A107,CTINTERVALO,2,0)=0,"",VLOOKUP($A107,CTINTERVALO,2,0)),"")</f>
        <v/>
      </c>
      <c r="C107" s="249" t="str">
        <f>IF($B107="Não", "BLOQUEADO (Aguardar liberação)", IFERROR(IF(VLOOKUP($A107,CTINTERVALO,3,0)=0,"",VLOOKUP($A107,CTINTERVALO,3,0)),""))</f>
        <v/>
      </c>
      <c r="D107" s="249" t="str">
        <f>IF($B107="Não", "BLOQUEADO (Aguardar liberação)", IFERROR(IF(VLOOKUP($A107,CTINTERVALO,4,0)=0,"",VLOOKUP($A107,CTINTERVALO,4,0)),""))</f>
        <v/>
      </c>
      <c r="E107" s="249"/>
      <c r="F107" s="249" t="str">
        <f>IF($B107="Não", "BLOQUEADO (Aguardar liberação)", IFERROR(IF(VLOOKUP($A107,CTINTERVALO,6,0)=0,"",VLOOKUP($A107,CTINTERVALO,6,0)),""))</f>
        <v/>
      </c>
      <c r="G107" s="80"/>
      <c r="H107" s="80"/>
      <c r="I107" s="79"/>
      <c r="J107" s="79"/>
      <c r="K107" s="80"/>
    </row>
    <row r="108" spans="1:11">
      <c r="A108" s="93"/>
      <c r="B108" s="249" t="str">
        <f>IFERROR(IF(VLOOKUP($A108,CTINTERVALO,2,0)=0,"",VLOOKUP($A108,CTINTERVALO,2,0)),"")</f>
        <v/>
      </c>
      <c r="C108" s="249" t="str">
        <f>IF($B108="Não", "BLOQUEADO (Aguardar liberação)", IFERROR(IF(VLOOKUP($A108,CTINTERVALO,3,0)=0,"",VLOOKUP($A108,CTINTERVALO,3,0)),""))</f>
        <v/>
      </c>
      <c r="D108" s="249" t="str">
        <f>IF($B108="Não", "BLOQUEADO (Aguardar liberação)", IFERROR(IF(VLOOKUP($A108,CTINTERVALO,4,0)=0,"",VLOOKUP($A108,CTINTERVALO,4,0)),""))</f>
        <v/>
      </c>
      <c r="E108" s="249"/>
      <c r="F108" s="249" t="str">
        <f>IF($B108="Não", "BLOQUEADO (Aguardar liberação)", IFERROR(IF(VLOOKUP($A108,CTINTERVALO,6,0)=0,"",VLOOKUP($A108,CTINTERVALO,6,0)),""))</f>
        <v/>
      </c>
      <c r="G108" s="80"/>
      <c r="H108" s="80"/>
      <c r="I108" s="79"/>
      <c r="J108" s="79"/>
      <c r="K108" s="80"/>
    </row>
    <row r="109" spans="1:11">
      <c r="A109" s="93"/>
      <c r="B109" s="249" t="str">
        <f>IFERROR(IF(VLOOKUP($A109,CTINTERVALO,2,0)=0,"",VLOOKUP($A109,CTINTERVALO,2,0)),"")</f>
        <v/>
      </c>
      <c r="C109" s="249" t="str">
        <f>IF($B109="Não", "BLOQUEADO (Aguardar liberação)", IFERROR(IF(VLOOKUP($A109,CTINTERVALO,3,0)=0,"",VLOOKUP($A109,CTINTERVALO,3,0)),""))</f>
        <v/>
      </c>
      <c r="D109" s="249" t="str">
        <f>IF($B109="Não", "BLOQUEADO (Aguardar liberação)", IFERROR(IF(VLOOKUP($A109,CTINTERVALO,4,0)=0,"",VLOOKUP($A109,CTINTERVALO,4,0)),""))</f>
        <v/>
      </c>
      <c r="E109" s="249"/>
      <c r="F109" s="249" t="str">
        <f>IF($B109="Não", "BLOQUEADO (Aguardar liberação)", IFERROR(IF(VLOOKUP($A109,CTINTERVALO,6,0)=0,"",VLOOKUP($A109,CTINTERVALO,6,0)),""))</f>
        <v/>
      </c>
      <c r="G109" s="80"/>
      <c r="H109" s="80"/>
      <c r="I109" s="79"/>
      <c r="J109" s="79"/>
      <c r="K109" s="80"/>
    </row>
    <row r="110" spans="1:11">
      <c r="A110" s="93"/>
      <c r="B110" s="249" t="str">
        <f>IFERROR(IF(VLOOKUP($A110,CTINTERVALO,2,0)=0,"",VLOOKUP($A110,CTINTERVALO,2,0)),"")</f>
        <v/>
      </c>
      <c r="C110" s="249" t="str">
        <f>IF($B110="Não", "BLOQUEADO (Aguardar liberação)", IFERROR(IF(VLOOKUP($A110,CTINTERVALO,3,0)=0,"",VLOOKUP($A110,CTINTERVALO,3,0)),""))</f>
        <v/>
      </c>
      <c r="D110" s="249" t="str">
        <f>IF($B110="Não", "BLOQUEADO (Aguardar liberação)", IFERROR(IF(VLOOKUP($A110,CTINTERVALO,4,0)=0,"",VLOOKUP($A110,CTINTERVALO,4,0)),""))</f>
        <v/>
      </c>
      <c r="E110" s="249"/>
      <c r="F110" s="249" t="str">
        <f>IF($B110="Não", "BLOQUEADO (Aguardar liberação)", IFERROR(IF(VLOOKUP($A110,CTINTERVALO,6,0)=0,"",VLOOKUP($A110,CTINTERVALO,6,0)),""))</f>
        <v/>
      </c>
      <c r="G110" s="80"/>
      <c r="H110" s="80"/>
      <c r="I110" s="79"/>
      <c r="J110" s="79"/>
      <c r="K110" s="80"/>
    </row>
    <row r="111" spans="1:11">
      <c r="A111" s="93"/>
      <c r="B111" s="249" t="str">
        <f>IFERROR(IF(VLOOKUP($A111,CTINTERVALO,2,0)=0,"",VLOOKUP($A111,CTINTERVALO,2,0)),"")</f>
        <v/>
      </c>
      <c r="C111" s="249" t="str">
        <f>IF($B111="Não", "BLOQUEADO (Aguardar liberação)", IFERROR(IF(VLOOKUP($A111,CTINTERVALO,3,0)=0,"",VLOOKUP($A111,CTINTERVALO,3,0)),""))</f>
        <v/>
      </c>
      <c r="D111" s="249" t="str">
        <f>IF($B111="Não", "BLOQUEADO (Aguardar liberação)", IFERROR(IF(VLOOKUP($A111,CTINTERVALO,4,0)=0,"",VLOOKUP($A111,CTINTERVALO,4,0)),""))</f>
        <v/>
      </c>
      <c r="E111" s="249"/>
      <c r="F111" s="249" t="str">
        <f>IF($B111="Não", "BLOQUEADO (Aguardar liberação)", IFERROR(IF(VLOOKUP($A111,CTINTERVALO,6,0)=0,"",VLOOKUP($A111,CTINTERVALO,6,0)),""))</f>
        <v/>
      </c>
      <c r="G111" s="80"/>
      <c r="H111" s="80"/>
      <c r="I111" s="79"/>
      <c r="J111" s="79"/>
      <c r="K111" s="80"/>
    </row>
    <row r="112" spans="1:11">
      <c r="A112" s="93"/>
      <c r="B112" s="249" t="str">
        <f>IFERROR(IF(VLOOKUP($A112,CTINTERVALO,2,0)=0,"",VLOOKUP($A112,CTINTERVALO,2,0)),"")</f>
        <v/>
      </c>
      <c r="C112" s="249" t="str">
        <f>IF($B112="Não", "BLOQUEADO (Aguardar liberação)", IFERROR(IF(VLOOKUP($A112,CTINTERVALO,3,0)=0,"",VLOOKUP($A112,CTINTERVALO,3,0)),""))</f>
        <v/>
      </c>
      <c r="D112" s="249" t="str">
        <f>IF($B112="Não", "BLOQUEADO (Aguardar liberação)", IFERROR(IF(VLOOKUP($A112,CTINTERVALO,4,0)=0,"",VLOOKUP($A112,CTINTERVALO,4,0)),""))</f>
        <v/>
      </c>
      <c r="E112" s="249"/>
      <c r="F112" s="249" t="str">
        <f>IF($B112="Não", "BLOQUEADO (Aguardar liberação)", IFERROR(IF(VLOOKUP($A112,CTINTERVALO,6,0)=0,"",VLOOKUP($A112,CTINTERVALO,6,0)),""))</f>
        <v/>
      </c>
      <c r="G112" s="80"/>
      <c r="H112" s="80"/>
      <c r="I112" s="79"/>
      <c r="J112" s="79"/>
      <c r="K112" s="80"/>
    </row>
    <row r="113" spans="1:11">
      <c r="A113" s="93"/>
      <c r="B113" s="249" t="str">
        <f>IFERROR(IF(VLOOKUP($A113,CTINTERVALO,2,0)=0,"",VLOOKUP($A113,CTINTERVALO,2,0)),"")</f>
        <v/>
      </c>
      <c r="C113" s="249" t="str">
        <f>IF($B113="Não", "BLOQUEADO (Aguardar liberação)", IFERROR(IF(VLOOKUP($A113,CTINTERVALO,3,0)=0,"",VLOOKUP($A113,CTINTERVALO,3,0)),""))</f>
        <v/>
      </c>
      <c r="D113" s="249" t="str">
        <f>IF($B113="Não", "BLOQUEADO (Aguardar liberação)", IFERROR(IF(VLOOKUP($A113,CTINTERVALO,4,0)=0,"",VLOOKUP($A113,CTINTERVALO,4,0)),""))</f>
        <v/>
      </c>
      <c r="E113" s="249"/>
      <c r="F113" s="249" t="str">
        <f>IF($B113="Não", "BLOQUEADO (Aguardar liberação)", IFERROR(IF(VLOOKUP($A113,CTINTERVALO,6,0)=0,"",VLOOKUP($A113,CTINTERVALO,6,0)),""))</f>
        <v/>
      </c>
      <c r="G113" s="80"/>
      <c r="H113" s="80"/>
      <c r="I113" s="79"/>
      <c r="J113" s="79"/>
      <c r="K113" s="80"/>
    </row>
    <row r="114" spans="1:11">
      <c r="A114" s="93"/>
      <c r="B114" s="249" t="str">
        <f>IFERROR(IF(VLOOKUP($A114,CTINTERVALO,2,0)=0,"",VLOOKUP($A114,CTINTERVALO,2,0)),"")</f>
        <v/>
      </c>
      <c r="C114" s="249" t="str">
        <f>IF($B114="Não", "BLOQUEADO (Aguardar liberação)", IFERROR(IF(VLOOKUP($A114,CTINTERVALO,3,0)=0,"",VLOOKUP($A114,CTINTERVALO,3,0)),""))</f>
        <v/>
      </c>
      <c r="D114" s="249" t="str">
        <f>IF($B114="Não", "BLOQUEADO (Aguardar liberação)", IFERROR(IF(VLOOKUP($A114,CTINTERVALO,4,0)=0,"",VLOOKUP($A114,CTINTERVALO,4,0)),""))</f>
        <v/>
      </c>
      <c r="E114" s="249"/>
      <c r="F114" s="249" t="str">
        <f>IF($B114="Não", "BLOQUEADO (Aguardar liberação)", IFERROR(IF(VLOOKUP($A114,CTINTERVALO,6,0)=0,"",VLOOKUP($A114,CTINTERVALO,6,0)),""))</f>
        <v/>
      </c>
      <c r="G114" s="80"/>
      <c r="H114" s="80"/>
      <c r="I114" s="79"/>
      <c r="J114" s="79"/>
      <c r="K114" s="80"/>
    </row>
    <row r="115" spans="1:11">
      <c r="A115" s="93"/>
      <c r="B115" s="249" t="str">
        <f>IFERROR(IF(VLOOKUP($A115,CTINTERVALO,2,0)=0,"",VLOOKUP($A115,CTINTERVALO,2,0)),"")</f>
        <v/>
      </c>
      <c r="C115" s="249" t="str">
        <f>IF($B115="Não", "BLOQUEADO (Aguardar liberação)", IFERROR(IF(VLOOKUP($A115,CTINTERVALO,3,0)=0,"",VLOOKUP($A115,CTINTERVALO,3,0)),""))</f>
        <v/>
      </c>
      <c r="D115" s="249" t="str">
        <f>IF($B115="Não", "BLOQUEADO (Aguardar liberação)", IFERROR(IF(VLOOKUP($A115,CTINTERVALO,4,0)=0,"",VLOOKUP($A115,CTINTERVALO,4,0)),""))</f>
        <v/>
      </c>
      <c r="E115" s="249"/>
      <c r="F115" s="249" t="str">
        <f>IF($B115="Não", "BLOQUEADO (Aguardar liberação)", IFERROR(IF(VLOOKUP($A115,CTINTERVALO,6,0)=0,"",VLOOKUP($A115,CTINTERVALO,6,0)),""))</f>
        <v/>
      </c>
      <c r="G115" s="80"/>
      <c r="H115" s="80"/>
      <c r="I115" s="79"/>
      <c r="J115" s="79"/>
      <c r="K115" s="80"/>
    </row>
    <row r="116" spans="1:11">
      <c r="A116" s="93"/>
      <c r="B116" s="249" t="str">
        <f>IFERROR(IF(VLOOKUP($A116,CTINTERVALO,2,0)=0,"",VLOOKUP($A116,CTINTERVALO,2,0)),"")</f>
        <v/>
      </c>
      <c r="C116" s="249" t="str">
        <f>IF($B116="Não", "BLOQUEADO (Aguardar liberação)", IFERROR(IF(VLOOKUP($A116,CTINTERVALO,3,0)=0,"",VLOOKUP($A116,CTINTERVALO,3,0)),""))</f>
        <v/>
      </c>
      <c r="D116" s="249" t="str">
        <f>IF($B116="Não", "BLOQUEADO (Aguardar liberação)", IFERROR(IF(VLOOKUP($A116,CTINTERVALO,4,0)=0,"",VLOOKUP($A116,CTINTERVALO,4,0)),""))</f>
        <v/>
      </c>
      <c r="E116" s="249"/>
      <c r="F116" s="249" t="str">
        <f>IF($B116="Não", "BLOQUEADO (Aguardar liberação)", IFERROR(IF(VLOOKUP($A116,CTINTERVALO,6,0)=0,"",VLOOKUP($A116,CTINTERVALO,6,0)),""))</f>
        <v/>
      </c>
      <c r="G116" s="80"/>
      <c r="H116" s="80"/>
      <c r="I116" s="79"/>
      <c r="J116" s="79"/>
      <c r="K116" s="80"/>
    </row>
    <row r="117" spans="1:11">
      <c r="A117" s="93"/>
      <c r="B117" s="249" t="str">
        <f>IFERROR(IF(VLOOKUP($A117,CTINTERVALO,2,0)=0,"",VLOOKUP($A117,CTINTERVALO,2,0)),"")</f>
        <v/>
      </c>
      <c r="C117" s="249" t="str">
        <f>IF($B117="Não", "BLOQUEADO (Aguardar liberação)", IFERROR(IF(VLOOKUP($A117,CTINTERVALO,3,0)=0,"",VLOOKUP($A117,CTINTERVALO,3,0)),""))</f>
        <v/>
      </c>
      <c r="D117" s="249" t="str">
        <f>IF($B117="Não", "BLOQUEADO (Aguardar liberação)", IFERROR(IF(VLOOKUP($A117,CTINTERVALO,4,0)=0,"",VLOOKUP($A117,CTINTERVALO,4,0)),""))</f>
        <v/>
      </c>
      <c r="E117" s="249"/>
      <c r="F117" s="249" t="str">
        <f>IF($B117="Não", "BLOQUEADO (Aguardar liberação)", IFERROR(IF(VLOOKUP($A117,CTINTERVALO,6,0)=0,"",VLOOKUP($A117,CTINTERVALO,6,0)),""))</f>
        <v/>
      </c>
      <c r="G117" s="80"/>
      <c r="H117" s="80"/>
      <c r="I117" s="79"/>
      <c r="J117" s="79"/>
      <c r="K117" s="80"/>
    </row>
    <row r="118" spans="1:11">
      <c r="A118" s="93"/>
      <c r="B118" s="249" t="str">
        <f>IFERROR(IF(VLOOKUP($A118,CTINTERVALO,2,0)=0,"",VLOOKUP($A118,CTINTERVALO,2,0)),"")</f>
        <v/>
      </c>
      <c r="C118" s="249" t="str">
        <f>IF($B118="Não", "BLOQUEADO (Aguardar liberação)", IFERROR(IF(VLOOKUP($A118,CTINTERVALO,3,0)=0,"",VLOOKUP($A118,CTINTERVALO,3,0)),""))</f>
        <v/>
      </c>
      <c r="D118" s="249" t="str">
        <f>IF($B118="Não", "BLOQUEADO (Aguardar liberação)", IFERROR(IF(VLOOKUP($A118,CTINTERVALO,4,0)=0,"",VLOOKUP($A118,CTINTERVALO,4,0)),""))</f>
        <v/>
      </c>
      <c r="E118" s="249"/>
      <c r="F118" s="249" t="str">
        <f>IF($B118="Não", "BLOQUEADO (Aguardar liberação)", IFERROR(IF(VLOOKUP($A118,CTINTERVALO,6,0)=0,"",VLOOKUP($A118,CTINTERVALO,6,0)),""))</f>
        <v/>
      </c>
      <c r="G118" s="80"/>
      <c r="H118" s="80"/>
      <c r="I118" s="79"/>
      <c r="J118" s="79"/>
      <c r="K118" s="80"/>
    </row>
    <row r="119" spans="1:11">
      <c r="A119" s="93"/>
      <c r="B119" s="249" t="str">
        <f>IFERROR(IF(VLOOKUP($A119,CTINTERVALO,2,0)=0,"",VLOOKUP($A119,CTINTERVALO,2,0)),"")</f>
        <v/>
      </c>
      <c r="C119" s="249" t="str">
        <f>IF($B119="Não", "BLOQUEADO (Aguardar liberação)", IFERROR(IF(VLOOKUP($A119,CTINTERVALO,3,0)=0,"",VLOOKUP($A119,CTINTERVALO,3,0)),""))</f>
        <v/>
      </c>
      <c r="D119" s="249" t="str">
        <f>IF($B119="Não", "BLOQUEADO (Aguardar liberação)", IFERROR(IF(VLOOKUP($A119,CTINTERVALO,4,0)=0,"",VLOOKUP($A119,CTINTERVALO,4,0)),""))</f>
        <v/>
      </c>
      <c r="E119" s="249"/>
      <c r="F119" s="249" t="str">
        <f>IF($B119="Não", "BLOQUEADO (Aguardar liberação)", IFERROR(IF(VLOOKUP($A119,CTINTERVALO,6,0)=0,"",VLOOKUP($A119,CTINTERVALO,6,0)),""))</f>
        <v/>
      </c>
      <c r="G119" s="80"/>
      <c r="H119" s="80"/>
      <c r="I119" s="79"/>
      <c r="J119" s="79"/>
      <c r="K119" s="80"/>
    </row>
    <row r="120" spans="1:11">
      <c r="A120" s="93"/>
      <c r="B120" s="249" t="str">
        <f>IFERROR(IF(VLOOKUP($A120,CTINTERVALO,2,0)=0,"",VLOOKUP($A120,CTINTERVALO,2,0)),"")</f>
        <v/>
      </c>
      <c r="C120" s="249" t="str">
        <f>IF($B120="Não", "BLOQUEADO (Aguardar liberação)", IFERROR(IF(VLOOKUP($A120,CTINTERVALO,3,0)=0,"",VLOOKUP($A120,CTINTERVALO,3,0)),""))</f>
        <v/>
      </c>
      <c r="D120" s="249" t="str">
        <f>IF($B120="Não", "BLOQUEADO (Aguardar liberação)", IFERROR(IF(VLOOKUP($A120,CTINTERVALO,4,0)=0,"",VLOOKUP($A120,CTINTERVALO,4,0)),""))</f>
        <v/>
      </c>
      <c r="E120" s="249"/>
      <c r="F120" s="249" t="str">
        <f>IF($B120="Não", "BLOQUEADO (Aguardar liberação)", IFERROR(IF(VLOOKUP($A120,CTINTERVALO,6,0)=0,"",VLOOKUP($A120,CTINTERVALO,6,0)),""))</f>
        <v/>
      </c>
      <c r="G120" s="80"/>
      <c r="H120" s="80"/>
      <c r="I120" s="79"/>
      <c r="J120" s="79"/>
      <c r="K120" s="80"/>
    </row>
    <row r="121" spans="1:11">
      <c r="A121" s="93"/>
      <c r="B121" s="249" t="str">
        <f>IFERROR(IF(VLOOKUP($A121,CTINTERVALO,2,0)=0,"",VLOOKUP($A121,CTINTERVALO,2,0)),"")</f>
        <v/>
      </c>
      <c r="C121" s="249" t="str">
        <f>IF($B121="Não", "BLOQUEADO (Aguardar liberação)", IFERROR(IF(VLOOKUP($A121,CTINTERVALO,3,0)=0,"",VLOOKUP($A121,CTINTERVALO,3,0)),""))</f>
        <v/>
      </c>
      <c r="D121" s="249" t="str">
        <f>IF($B121="Não", "BLOQUEADO (Aguardar liberação)", IFERROR(IF(VLOOKUP($A121,CTINTERVALO,4,0)=0,"",VLOOKUP($A121,CTINTERVALO,4,0)),""))</f>
        <v/>
      </c>
      <c r="E121" s="249"/>
      <c r="F121" s="249" t="str">
        <f>IF($B121="Não", "BLOQUEADO (Aguardar liberação)", IFERROR(IF(VLOOKUP($A121,CTINTERVALO,6,0)=0,"",VLOOKUP($A121,CTINTERVALO,6,0)),""))</f>
        <v/>
      </c>
      <c r="G121" s="80"/>
      <c r="H121" s="80"/>
      <c r="I121" s="79"/>
      <c r="J121" s="79"/>
      <c r="K121" s="80"/>
    </row>
    <row r="122" spans="1:11">
      <c r="A122" s="93"/>
      <c r="B122" s="249" t="str">
        <f>IFERROR(IF(VLOOKUP($A122,CTINTERVALO,2,0)=0,"",VLOOKUP($A122,CTINTERVALO,2,0)),"")</f>
        <v/>
      </c>
      <c r="C122" s="249" t="str">
        <f>IF($B122="Não", "BLOQUEADO (Aguardar liberação)", IFERROR(IF(VLOOKUP($A122,CTINTERVALO,3,0)=0,"",VLOOKUP($A122,CTINTERVALO,3,0)),""))</f>
        <v/>
      </c>
      <c r="D122" s="249" t="str">
        <f>IF($B122="Não", "BLOQUEADO (Aguardar liberação)", IFERROR(IF(VLOOKUP($A122,CTINTERVALO,4,0)=0,"",VLOOKUP($A122,CTINTERVALO,4,0)),""))</f>
        <v/>
      </c>
      <c r="E122" s="249"/>
      <c r="F122" s="249" t="str">
        <f>IF($B122="Não", "BLOQUEADO (Aguardar liberação)", IFERROR(IF(VLOOKUP($A122,CTINTERVALO,6,0)=0,"",VLOOKUP($A122,CTINTERVALO,6,0)),""))</f>
        <v/>
      </c>
      <c r="G122" s="80"/>
      <c r="H122" s="80"/>
      <c r="I122" s="79"/>
      <c r="J122" s="79"/>
      <c r="K122" s="80"/>
    </row>
    <row r="123" spans="1:11">
      <c r="A123" s="93"/>
      <c r="B123" s="249" t="str">
        <f>IFERROR(IF(VLOOKUP($A123,CTINTERVALO,2,0)=0,"",VLOOKUP($A123,CTINTERVALO,2,0)),"")</f>
        <v/>
      </c>
      <c r="C123" s="249" t="str">
        <f>IF($B123="Não", "BLOQUEADO (Aguardar liberação)", IFERROR(IF(VLOOKUP($A123,CTINTERVALO,3,0)=0,"",VLOOKUP($A123,CTINTERVALO,3,0)),""))</f>
        <v/>
      </c>
      <c r="D123" s="249" t="str">
        <f>IF($B123="Não", "BLOQUEADO (Aguardar liberação)", IFERROR(IF(VLOOKUP($A123,CTINTERVALO,4,0)=0,"",VLOOKUP($A123,CTINTERVALO,4,0)),""))</f>
        <v/>
      </c>
      <c r="E123" s="249"/>
      <c r="F123" s="249" t="str">
        <f>IF($B123="Não", "BLOQUEADO (Aguardar liberação)", IFERROR(IF(VLOOKUP($A123,CTINTERVALO,6,0)=0,"",VLOOKUP($A123,CTINTERVALO,6,0)),""))</f>
        <v/>
      </c>
      <c r="G123" s="80"/>
      <c r="H123" s="80"/>
      <c r="I123" s="79"/>
      <c r="J123" s="79"/>
      <c r="K123" s="80"/>
    </row>
    <row r="124" spans="1:11">
      <c r="A124" s="93"/>
      <c r="B124" s="249" t="str">
        <f>IFERROR(IF(VLOOKUP($A124,CTINTERVALO,2,0)=0,"",VLOOKUP($A124,CTINTERVALO,2,0)),"")</f>
        <v/>
      </c>
      <c r="C124" s="249" t="str">
        <f>IF($B124="Não", "BLOQUEADO (Aguardar liberação)", IFERROR(IF(VLOOKUP($A124,CTINTERVALO,3,0)=0,"",VLOOKUP($A124,CTINTERVALO,3,0)),""))</f>
        <v/>
      </c>
      <c r="D124" s="249" t="str">
        <f>IF($B124="Não", "BLOQUEADO (Aguardar liberação)", IFERROR(IF(VLOOKUP($A124,CTINTERVALO,4,0)=0,"",VLOOKUP($A124,CTINTERVALO,4,0)),""))</f>
        <v/>
      </c>
      <c r="E124" s="249"/>
      <c r="F124" s="249" t="str">
        <f>IF($B124="Não", "BLOQUEADO (Aguardar liberação)", IFERROR(IF(VLOOKUP($A124,CTINTERVALO,6,0)=0,"",VLOOKUP($A124,CTINTERVALO,6,0)),""))</f>
        <v/>
      </c>
      <c r="G124" s="80"/>
      <c r="H124" s="80"/>
      <c r="I124" s="79"/>
      <c r="J124" s="79"/>
      <c r="K124" s="80"/>
    </row>
    <row r="125" spans="1:11">
      <c r="A125" s="93"/>
      <c r="B125" s="249" t="str">
        <f>IFERROR(IF(VLOOKUP($A125,CTINTERVALO,2,0)=0,"",VLOOKUP($A125,CTINTERVALO,2,0)),"")</f>
        <v/>
      </c>
      <c r="C125" s="249" t="str">
        <f>IF($B125="Não", "BLOQUEADO (Aguardar liberação)", IFERROR(IF(VLOOKUP($A125,CTINTERVALO,3,0)=0,"",VLOOKUP($A125,CTINTERVALO,3,0)),""))</f>
        <v/>
      </c>
      <c r="D125" s="249" t="str">
        <f>IF($B125="Não", "BLOQUEADO (Aguardar liberação)", IFERROR(IF(VLOOKUP($A125,CTINTERVALO,4,0)=0,"",VLOOKUP($A125,CTINTERVALO,4,0)),""))</f>
        <v/>
      </c>
      <c r="E125" s="249"/>
      <c r="F125" s="249" t="str">
        <f>IF($B125="Não", "BLOQUEADO (Aguardar liberação)", IFERROR(IF(VLOOKUP($A125,CTINTERVALO,6,0)=0,"",VLOOKUP($A125,CTINTERVALO,6,0)),""))</f>
        <v/>
      </c>
      <c r="G125" s="80"/>
      <c r="H125" s="80"/>
      <c r="I125" s="79"/>
      <c r="J125" s="79"/>
      <c r="K125" s="80"/>
    </row>
    <row r="126" spans="1:11">
      <c r="A126" s="93"/>
      <c r="B126" s="249" t="str">
        <f>IFERROR(IF(VLOOKUP($A126,CTINTERVALO,2,0)=0,"",VLOOKUP($A126,CTINTERVALO,2,0)),"")</f>
        <v/>
      </c>
      <c r="C126" s="249" t="str">
        <f>IF($B126="Não", "BLOQUEADO (Aguardar liberação)", IFERROR(IF(VLOOKUP($A126,CTINTERVALO,3,0)=0,"",VLOOKUP($A126,CTINTERVALO,3,0)),""))</f>
        <v/>
      </c>
      <c r="D126" s="249" t="str">
        <f>IF($B126="Não", "BLOQUEADO (Aguardar liberação)", IFERROR(IF(VLOOKUP($A126,CTINTERVALO,4,0)=0,"",VLOOKUP($A126,CTINTERVALO,4,0)),""))</f>
        <v/>
      </c>
      <c r="E126" s="249"/>
      <c r="F126" s="249" t="str">
        <f>IF($B126="Não", "BLOQUEADO (Aguardar liberação)", IFERROR(IF(VLOOKUP($A126,CTINTERVALO,6,0)=0,"",VLOOKUP($A126,CTINTERVALO,6,0)),""))</f>
        <v/>
      </c>
      <c r="G126" s="80"/>
      <c r="H126" s="80"/>
      <c r="I126" s="79"/>
      <c r="J126" s="79"/>
      <c r="K126" s="80"/>
    </row>
    <row r="127" spans="1:11">
      <c r="A127" s="93"/>
      <c r="B127" s="249" t="str">
        <f>IFERROR(IF(VLOOKUP($A127,CTINTERVALO,2,0)=0,"",VLOOKUP($A127,CTINTERVALO,2,0)),"")</f>
        <v/>
      </c>
      <c r="C127" s="249" t="str">
        <f>IF($B127="Não", "BLOQUEADO (Aguardar liberação)", IFERROR(IF(VLOOKUP($A127,CTINTERVALO,3,0)=0,"",VLOOKUP($A127,CTINTERVALO,3,0)),""))</f>
        <v/>
      </c>
      <c r="D127" s="249" t="str">
        <f>IF($B127="Não", "BLOQUEADO (Aguardar liberação)", IFERROR(IF(VLOOKUP($A127,CTINTERVALO,4,0)=0,"",VLOOKUP($A127,CTINTERVALO,4,0)),""))</f>
        <v/>
      </c>
      <c r="E127" s="249"/>
      <c r="F127" s="249" t="str">
        <f>IF($B127="Não", "BLOQUEADO (Aguardar liberação)", IFERROR(IF(VLOOKUP($A127,CTINTERVALO,6,0)=0,"",VLOOKUP($A127,CTINTERVALO,6,0)),""))</f>
        <v/>
      </c>
      <c r="G127" s="80"/>
      <c r="H127" s="80"/>
      <c r="I127" s="79"/>
      <c r="J127" s="79"/>
      <c r="K127" s="80"/>
    </row>
    <row r="128" spans="1:11">
      <c r="A128" s="93"/>
      <c r="B128" s="249" t="str">
        <f>IFERROR(IF(VLOOKUP($A128,CTINTERVALO,2,0)=0,"",VLOOKUP($A128,CTINTERVALO,2,0)),"")</f>
        <v/>
      </c>
      <c r="C128" s="249" t="str">
        <f>IF($B128="Não", "BLOQUEADO (Aguardar liberação)", IFERROR(IF(VLOOKUP($A128,CTINTERVALO,3,0)=0,"",VLOOKUP($A128,CTINTERVALO,3,0)),""))</f>
        <v/>
      </c>
      <c r="D128" s="249" t="str">
        <f>IF($B128="Não", "BLOQUEADO (Aguardar liberação)", IFERROR(IF(VLOOKUP($A128,CTINTERVALO,4,0)=0,"",VLOOKUP($A128,CTINTERVALO,4,0)),""))</f>
        <v/>
      </c>
      <c r="E128" s="249"/>
      <c r="F128" s="249" t="str">
        <f>IF($B128="Não", "BLOQUEADO (Aguardar liberação)", IFERROR(IF(VLOOKUP($A128,CTINTERVALO,6,0)=0,"",VLOOKUP($A128,CTINTERVALO,6,0)),""))</f>
        <v/>
      </c>
      <c r="G128" s="80"/>
      <c r="H128" s="80"/>
      <c r="I128" s="79"/>
      <c r="J128" s="79"/>
      <c r="K128" s="80"/>
    </row>
    <row r="129" spans="1:11">
      <c r="A129" s="93"/>
      <c r="B129" s="249" t="str">
        <f>IFERROR(IF(VLOOKUP($A129,CTINTERVALO,2,0)=0,"",VLOOKUP($A129,CTINTERVALO,2,0)),"")</f>
        <v/>
      </c>
      <c r="C129" s="249" t="str">
        <f>IF($B129="Não", "BLOQUEADO (Aguardar liberação)", IFERROR(IF(VLOOKUP($A129,CTINTERVALO,3,0)=0,"",VLOOKUP($A129,CTINTERVALO,3,0)),""))</f>
        <v/>
      </c>
      <c r="D129" s="249" t="str">
        <f>IF($B129="Não", "BLOQUEADO (Aguardar liberação)", IFERROR(IF(VLOOKUP($A129,CTINTERVALO,4,0)=0,"",VLOOKUP($A129,CTINTERVALO,4,0)),""))</f>
        <v/>
      </c>
      <c r="E129" s="249"/>
      <c r="F129" s="249" t="str">
        <f>IF($B129="Não", "BLOQUEADO (Aguardar liberação)", IFERROR(IF(VLOOKUP($A129,CTINTERVALO,6,0)=0,"",VLOOKUP($A129,CTINTERVALO,6,0)),""))</f>
        <v/>
      </c>
      <c r="G129" s="80"/>
      <c r="H129" s="80"/>
      <c r="I129" s="79"/>
      <c r="J129" s="79"/>
      <c r="K129" s="80"/>
    </row>
    <row r="130" spans="1:11">
      <c r="A130" s="93"/>
      <c r="B130" s="249" t="str">
        <f>IFERROR(IF(VLOOKUP($A130,CTINTERVALO,2,0)=0,"",VLOOKUP($A130,CTINTERVALO,2,0)),"")</f>
        <v/>
      </c>
      <c r="C130" s="249" t="str">
        <f>IF($B130="Não", "BLOQUEADO (Aguardar liberação)", IFERROR(IF(VLOOKUP($A130,CTINTERVALO,3,0)=0,"",VLOOKUP($A130,CTINTERVALO,3,0)),""))</f>
        <v/>
      </c>
      <c r="D130" s="249" t="str">
        <f>IF($B130="Não", "BLOQUEADO (Aguardar liberação)", IFERROR(IF(VLOOKUP($A130,CTINTERVALO,4,0)=0,"",VLOOKUP($A130,CTINTERVALO,4,0)),""))</f>
        <v/>
      </c>
      <c r="E130" s="249"/>
      <c r="F130" s="249" t="str">
        <f>IF($B130="Não", "BLOQUEADO (Aguardar liberação)", IFERROR(IF(VLOOKUP($A130,CTINTERVALO,6,0)=0,"",VLOOKUP($A130,CTINTERVALO,6,0)),""))</f>
        <v/>
      </c>
      <c r="G130" s="80"/>
      <c r="H130" s="80"/>
      <c r="I130" s="79"/>
      <c r="J130" s="79"/>
      <c r="K130" s="80"/>
    </row>
    <row r="131" spans="1:11">
      <c r="A131" s="93"/>
      <c r="B131" s="249" t="str">
        <f>IFERROR(IF(VLOOKUP($A131,CTINTERVALO,2,0)=0,"",VLOOKUP($A131,CTINTERVALO,2,0)),"")</f>
        <v/>
      </c>
      <c r="C131" s="249" t="str">
        <f>IF($B131="Não", "BLOQUEADO (Aguardar liberação)", IFERROR(IF(VLOOKUP($A131,CTINTERVALO,3,0)=0,"",VLOOKUP($A131,CTINTERVALO,3,0)),""))</f>
        <v/>
      </c>
      <c r="D131" s="249" t="str">
        <f>IF($B131="Não", "BLOQUEADO (Aguardar liberação)", IFERROR(IF(VLOOKUP($A131,CTINTERVALO,4,0)=0,"",VLOOKUP($A131,CTINTERVALO,4,0)),""))</f>
        <v/>
      </c>
      <c r="E131" s="249"/>
      <c r="F131" s="249" t="str">
        <f>IF($B131="Não", "BLOQUEADO (Aguardar liberação)", IFERROR(IF(VLOOKUP($A131,CTINTERVALO,6,0)=0,"",VLOOKUP($A131,CTINTERVALO,6,0)),""))</f>
        <v/>
      </c>
      <c r="G131" s="80"/>
      <c r="H131" s="80"/>
      <c r="I131" s="79"/>
      <c r="J131" s="79"/>
      <c r="K131" s="80"/>
    </row>
    <row r="132" spans="1:11">
      <c r="A132" s="93"/>
      <c r="B132" s="249" t="str">
        <f>IFERROR(IF(VLOOKUP($A132,CTINTERVALO,2,0)=0,"",VLOOKUP($A132,CTINTERVALO,2,0)),"")</f>
        <v/>
      </c>
      <c r="C132" s="249" t="str">
        <f>IF($B132="Não", "BLOQUEADO (Aguardar liberação)", IFERROR(IF(VLOOKUP($A132,CTINTERVALO,3,0)=0,"",VLOOKUP($A132,CTINTERVALO,3,0)),""))</f>
        <v/>
      </c>
      <c r="D132" s="249" t="str">
        <f>IF($B132="Não", "BLOQUEADO (Aguardar liberação)", IFERROR(IF(VLOOKUP($A132,CTINTERVALO,4,0)=0,"",VLOOKUP($A132,CTINTERVALO,4,0)),""))</f>
        <v/>
      </c>
      <c r="E132" s="249"/>
      <c r="F132" s="249" t="str">
        <f>IF($B132="Não", "BLOQUEADO (Aguardar liberação)", IFERROR(IF(VLOOKUP($A132,CTINTERVALO,6,0)=0,"",VLOOKUP($A132,CTINTERVALO,6,0)),""))</f>
        <v/>
      </c>
      <c r="G132" s="80"/>
      <c r="H132" s="80"/>
      <c r="I132" s="79"/>
      <c r="J132" s="79"/>
      <c r="K132" s="80"/>
    </row>
    <row r="133" spans="1:11">
      <c r="A133" s="93"/>
      <c r="B133" s="249" t="str">
        <f>IFERROR(IF(VLOOKUP($A133,CTINTERVALO,2,0)=0,"",VLOOKUP($A133,CTINTERVALO,2,0)),"")</f>
        <v/>
      </c>
      <c r="C133" s="249" t="str">
        <f>IF($B133="Não", "BLOQUEADO (Aguardar liberação)", IFERROR(IF(VLOOKUP($A133,CTINTERVALO,3,0)=0,"",VLOOKUP($A133,CTINTERVALO,3,0)),""))</f>
        <v/>
      </c>
      <c r="D133" s="249" t="str">
        <f>IF($B133="Não", "BLOQUEADO (Aguardar liberação)", IFERROR(IF(VLOOKUP($A133,CTINTERVALO,4,0)=0,"",VLOOKUP($A133,CTINTERVALO,4,0)),""))</f>
        <v/>
      </c>
      <c r="E133" s="249"/>
      <c r="F133" s="249" t="str">
        <f>IF($B133="Não", "BLOQUEADO (Aguardar liberação)", IFERROR(IF(VLOOKUP($A133,CTINTERVALO,6,0)=0,"",VLOOKUP($A133,CTINTERVALO,6,0)),""))</f>
        <v/>
      </c>
      <c r="G133" s="80"/>
      <c r="H133" s="80"/>
      <c r="I133" s="79"/>
      <c r="J133" s="79"/>
      <c r="K133" s="80"/>
    </row>
    <row r="134" spans="1:11">
      <c r="A134" s="93"/>
      <c r="B134" s="249" t="str">
        <f>IFERROR(IF(VLOOKUP($A134,CTINTERVALO,2,0)=0,"",VLOOKUP($A134,CTINTERVALO,2,0)),"")</f>
        <v/>
      </c>
      <c r="C134" s="249" t="str">
        <f>IF($B134="Não", "BLOQUEADO (Aguardar liberação)", IFERROR(IF(VLOOKUP($A134,CTINTERVALO,3,0)=0,"",VLOOKUP($A134,CTINTERVALO,3,0)),""))</f>
        <v/>
      </c>
      <c r="D134" s="249" t="str">
        <f>IF($B134="Não", "BLOQUEADO (Aguardar liberação)", IFERROR(IF(VLOOKUP($A134,CTINTERVALO,4,0)=0,"",VLOOKUP($A134,CTINTERVALO,4,0)),""))</f>
        <v/>
      </c>
      <c r="E134" s="249"/>
      <c r="F134" s="249" t="str">
        <f>IF($B134="Não", "BLOQUEADO (Aguardar liberação)", IFERROR(IF(VLOOKUP($A134,CTINTERVALO,6,0)=0,"",VLOOKUP($A134,CTINTERVALO,6,0)),""))</f>
        <v/>
      </c>
      <c r="G134" s="80"/>
      <c r="H134" s="80"/>
      <c r="I134" s="79"/>
      <c r="J134" s="79"/>
      <c r="K134" s="80"/>
    </row>
    <row r="135" spans="1:11">
      <c r="A135" s="93"/>
      <c r="B135" s="249" t="str">
        <f>IFERROR(IF(VLOOKUP($A135,CTINTERVALO,2,0)=0,"",VLOOKUP($A135,CTINTERVALO,2,0)),"")</f>
        <v/>
      </c>
      <c r="C135" s="249" t="str">
        <f>IF($B135="Não", "BLOQUEADO (Aguardar liberação)", IFERROR(IF(VLOOKUP($A135,CTINTERVALO,3,0)=0,"",VLOOKUP($A135,CTINTERVALO,3,0)),""))</f>
        <v/>
      </c>
      <c r="D135" s="249" t="str">
        <f>IF($B135="Não", "BLOQUEADO (Aguardar liberação)", IFERROR(IF(VLOOKUP($A135,CTINTERVALO,4,0)=0,"",VLOOKUP($A135,CTINTERVALO,4,0)),""))</f>
        <v/>
      </c>
      <c r="E135" s="249"/>
      <c r="F135" s="249" t="str">
        <f>IF($B135="Não", "BLOQUEADO (Aguardar liberação)", IFERROR(IF(VLOOKUP($A135,CTINTERVALO,6,0)=0,"",VLOOKUP($A135,CTINTERVALO,6,0)),""))</f>
        <v/>
      </c>
      <c r="G135" s="80"/>
      <c r="H135" s="80"/>
      <c r="I135" s="79"/>
      <c r="J135" s="79"/>
      <c r="K135" s="80"/>
    </row>
    <row r="136" spans="1:11">
      <c r="A136" s="93"/>
      <c r="B136" s="249" t="str">
        <f>IFERROR(IF(VLOOKUP($A136,CTINTERVALO,2,0)=0,"",VLOOKUP($A136,CTINTERVALO,2,0)),"")</f>
        <v/>
      </c>
      <c r="C136" s="249" t="str">
        <f>IF($B136="Não", "BLOQUEADO (Aguardar liberação)", IFERROR(IF(VLOOKUP($A136,CTINTERVALO,3,0)=0,"",VLOOKUP($A136,CTINTERVALO,3,0)),""))</f>
        <v/>
      </c>
      <c r="D136" s="249" t="str">
        <f>IF($B136="Não", "BLOQUEADO (Aguardar liberação)", IFERROR(IF(VLOOKUP($A136,CTINTERVALO,4,0)=0,"",VLOOKUP($A136,CTINTERVALO,4,0)),""))</f>
        <v/>
      </c>
      <c r="E136" s="249"/>
      <c r="F136" s="249" t="str">
        <f>IF($B136="Não", "BLOQUEADO (Aguardar liberação)", IFERROR(IF(VLOOKUP($A136,CTINTERVALO,6,0)=0,"",VLOOKUP($A136,CTINTERVALO,6,0)),""))</f>
        <v/>
      </c>
      <c r="G136" s="80"/>
      <c r="H136" s="80"/>
      <c r="I136" s="79"/>
      <c r="J136" s="79"/>
      <c r="K136" s="80"/>
    </row>
    <row r="137" spans="1:11">
      <c r="A137" s="93"/>
      <c r="B137" s="249" t="str">
        <f>IFERROR(IF(VLOOKUP($A137,CTINTERVALO,2,0)=0,"",VLOOKUP($A137,CTINTERVALO,2,0)),"")</f>
        <v/>
      </c>
      <c r="C137" s="249" t="str">
        <f>IF($B137="Não", "BLOQUEADO (Aguardar liberação)", IFERROR(IF(VLOOKUP($A137,CTINTERVALO,3,0)=0,"",VLOOKUP($A137,CTINTERVALO,3,0)),""))</f>
        <v/>
      </c>
      <c r="D137" s="249" t="str">
        <f>IF($B137="Não", "BLOQUEADO (Aguardar liberação)", IFERROR(IF(VLOOKUP($A137,CTINTERVALO,4,0)=0,"",VLOOKUP($A137,CTINTERVALO,4,0)),""))</f>
        <v/>
      </c>
      <c r="E137" s="249"/>
      <c r="F137" s="249" t="str">
        <f>IF($B137="Não", "BLOQUEADO (Aguardar liberação)", IFERROR(IF(VLOOKUP($A137,CTINTERVALO,6,0)=0,"",VLOOKUP($A137,CTINTERVALO,6,0)),""))</f>
        <v/>
      </c>
      <c r="G137" s="80"/>
      <c r="H137" s="80"/>
      <c r="I137" s="79"/>
      <c r="J137" s="79"/>
      <c r="K137" s="80"/>
    </row>
    <row r="138" spans="1:11">
      <c r="A138" s="93"/>
      <c r="B138" s="249" t="str">
        <f>IFERROR(IF(VLOOKUP($A138,CTINTERVALO,2,0)=0,"",VLOOKUP($A138,CTINTERVALO,2,0)),"")</f>
        <v/>
      </c>
      <c r="C138" s="249" t="str">
        <f>IF($B138="Não", "BLOQUEADO (Aguardar liberação)", IFERROR(IF(VLOOKUP($A138,CTINTERVALO,3,0)=0,"",VLOOKUP($A138,CTINTERVALO,3,0)),""))</f>
        <v/>
      </c>
      <c r="D138" s="249" t="str">
        <f>IF($B138="Não", "BLOQUEADO (Aguardar liberação)", IFERROR(IF(VLOOKUP($A138,CTINTERVALO,4,0)=0,"",VLOOKUP($A138,CTINTERVALO,4,0)),""))</f>
        <v/>
      </c>
      <c r="E138" s="249"/>
      <c r="F138" s="249" t="str">
        <f>IF($B138="Não", "BLOQUEADO (Aguardar liberação)", IFERROR(IF(VLOOKUP($A138,CTINTERVALO,6,0)=0,"",VLOOKUP($A138,CTINTERVALO,6,0)),""))</f>
        <v/>
      </c>
      <c r="G138" s="80"/>
      <c r="H138" s="80"/>
      <c r="I138" s="79"/>
      <c r="J138" s="79"/>
      <c r="K138" s="80"/>
    </row>
    <row r="139" spans="1:11">
      <c r="A139" s="93"/>
      <c r="B139" s="249" t="str">
        <f>IFERROR(IF(VLOOKUP($A139,CTINTERVALO,2,0)=0,"",VLOOKUP($A139,CTINTERVALO,2,0)),"")</f>
        <v/>
      </c>
      <c r="C139" s="249" t="str">
        <f>IF($B139="Não", "BLOQUEADO (Aguardar liberação)", IFERROR(IF(VLOOKUP($A139,CTINTERVALO,3,0)=0,"",VLOOKUP($A139,CTINTERVALO,3,0)),""))</f>
        <v/>
      </c>
      <c r="D139" s="249" t="str">
        <f>IF($B139="Não", "BLOQUEADO (Aguardar liberação)", IFERROR(IF(VLOOKUP($A139,CTINTERVALO,4,0)=0,"",VLOOKUP($A139,CTINTERVALO,4,0)),""))</f>
        <v/>
      </c>
      <c r="E139" s="249"/>
      <c r="F139" s="249" t="str">
        <f>IF($B139="Não", "BLOQUEADO (Aguardar liberação)", IFERROR(IF(VLOOKUP($A139,CTINTERVALO,6,0)=0,"",VLOOKUP($A139,CTINTERVALO,6,0)),""))</f>
        <v/>
      </c>
      <c r="G139" s="80"/>
      <c r="H139" s="80"/>
      <c r="I139" s="79"/>
      <c r="J139" s="79"/>
      <c r="K139" s="80"/>
    </row>
    <row r="140" spans="1:11">
      <c r="A140" s="93"/>
      <c r="B140" s="249" t="str">
        <f>IFERROR(IF(VLOOKUP($A140,CTINTERVALO,2,0)=0,"",VLOOKUP($A140,CTINTERVALO,2,0)),"")</f>
        <v/>
      </c>
      <c r="C140" s="249" t="str">
        <f>IF($B140="Não", "BLOQUEADO (Aguardar liberação)", IFERROR(IF(VLOOKUP($A140,CTINTERVALO,3,0)=0,"",VLOOKUP($A140,CTINTERVALO,3,0)),""))</f>
        <v/>
      </c>
      <c r="D140" s="249" t="str">
        <f>IF($B140="Não", "BLOQUEADO (Aguardar liberação)", IFERROR(IF(VLOOKUP($A140,CTINTERVALO,4,0)=0,"",VLOOKUP($A140,CTINTERVALO,4,0)),""))</f>
        <v/>
      </c>
      <c r="E140" s="249"/>
      <c r="F140" s="249" t="str">
        <f>IF($B140="Não", "BLOQUEADO (Aguardar liberação)", IFERROR(IF(VLOOKUP($A140,CTINTERVALO,6,0)=0,"",VLOOKUP($A140,CTINTERVALO,6,0)),""))</f>
        <v/>
      </c>
      <c r="G140" s="80"/>
      <c r="H140" s="80"/>
      <c r="I140" s="79"/>
      <c r="J140" s="79"/>
      <c r="K140" s="80"/>
    </row>
    <row r="141" spans="1:11">
      <c r="A141" s="93"/>
      <c r="B141" s="249" t="str">
        <f>IFERROR(IF(VLOOKUP($A141,CTINTERVALO,2,0)=0,"",VLOOKUP($A141,CTINTERVALO,2,0)),"")</f>
        <v/>
      </c>
      <c r="C141" s="249" t="str">
        <f>IF($B141="Não", "BLOQUEADO (Aguardar liberação)", IFERROR(IF(VLOOKUP($A141,CTINTERVALO,3,0)=0,"",VLOOKUP($A141,CTINTERVALO,3,0)),""))</f>
        <v/>
      </c>
      <c r="D141" s="249" t="str">
        <f>IF($B141="Não", "BLOQUEADO (Aguardar liberação)", IFERROR(IF(VLOOKUP($A141,CTINTERVALO,4,0)=0,"",VLOOKUP($A141,CTINTERVALO,4,0)),""))</f>
        <v/>
      </c>
      <c r="E141" s="249"/>
      <c r="F141" s="249" t="str">
        <f>IF($B141="Não", "BLOQUEADO (Aguardar liberação)", IFERROR(IF(VLOOKUP($A141,CTINTERVALO,6,0)=0,"",VLOOKUP($A141,CTINTERVALO,6,0)),""))</f>
        <v/>
      </c>
      <c r="G141" s="80"/>
      <c r="H141" s="80"/>
      <c r="I141" s="79"/>
      <c r="J141" s="79"/>
      <c r="K141" s="80"/>
    </row>
    <row r="142" spans="1:11">
      <c r="A142" s="93"/>
      <c r="B142" s="249" t="str">
        <f>IFERROR(IF(VLOOKUP($A142,CTINTERVALO,2,0)=0,"",VLOOKUP($A142,CTINTERVALO,2,0)),"")</f>
        <v/>
      </c>
      <c r="C142" s="249" t="str">
        <f>IF($B142="Não", "BLOQUEADO (Aguardar liberação)", IFERROR(IF(VLOOKUP($A142,CTINTERVALO,3,0)=0,"",VLOOKUP($A142,CTINTERVALO,3,0)),""))</f>
        <v/>
      </c>
      <c r="D142" s="249" t="str">
        <f>IF($B142="Não", "BLOQUEADO (Aguardar liberação)", IFERROR(IF(VLOOKUP($A142,CTINTERVALO,4,0)=0,"",VLOOKUP($A142,CTINTERVALO,4,0)),""))</f>
        <v/>
      </c>
      <c r="E142" s="249"/>
      <c r="F142" s="249" t="str">
        <f>IF($B142="Não", "BLOQUEADO (Aguardar liberação)", IFERROR(IF(VLOOKUP($A142,CTINTERVALO,6,0)=0,"",VLOOKUP($A142,CTINTERVALO,6,0)),""))</f>
        <v/>
      </c>
      <c r="G142" s="80"/>
      <c r="H142" s="80"/>
      <c r="I142" s="79"/>
      <c r="J142" s="79"/>
      <c r="K142" s="80"/>
    </row>
    <row r="143" spans="1:11">
      <c r="A143" s="93"/>
      <c r="B143" s="249" t="str">
        <f>IFERROR(IF(VLOOKUP($A143,CTINTERVALO,2,0)=0,"",VLOOKUP($A143,CTINTERVALO,2,0)),"")</f>
        <v/>
      </c>
      <c r="C143" s="249" t="str">
        <f>IF($B143="Não", "BLOQUEADO (Aguardar liberação)", IFERROR(IF(VLOOKUP($A143,CTINTERVALO,3,0)=0,"",VLOOKUP($A143,CTINTERVALO,3,0)),""))</f>
        <v/>
      </c>
      <c r="D143" s="249" t="str">
        <f>IF($B143="Não", "BLOQUEADO (Aguardar liberação)", IFERROR(IF(VLOOKUP($A143,CTINTERVALO,4,0)=0,"",VLOOKUP($A143,CTINTERVALO,4,0)),""))</f>
        <v/>
      </c>
      <c r="E143" s="249"/>
      <c r="F143" s="249" t="str">
        <f>IF($B143="Não", "BLOQUEADO (Aguardar liberação)", IFERROR(IF(VLOOKUP($A143,CTINTERVALO,6,0)=0,"",VLOOKUP($A143,CTINTERVALO,6,0)),""))</f>
        <v/>
      </c>
      <c r="G143" s="80"/>
      <c r="H143" s="80"/>
      <c r="I143" s="79"/>
      <c r="J143" s="79"/>
      <c r="K143" s="80"/>
    </row>
    <row r="144" spans="1:11">
      <c r="A144" s="93"/>
      <c r="B144" s="249" t="str">
        <f>IFERROR(IF(VLOOKUP($A144,CTINTERVALO,2,0)=0,"",VLOOKUP($A144,CTINTERVALO,2,0)),"")</f>
        <v/>
      </c>
      <c r="C144" s="249" t="str">
        <f>IF($B144="Não", "BLOQUEADO (Aguardar liberação)", IFERROR(IF(VLOOKUP($A144,CTINTERVALO,3,0)=0,"",VLOOKUP($A144,CTINTERVALO,3,0)),""))</f>
        <v/>
      </c>
      <c r="D144" s="249" t="str">
        <f>IF($B144="Não", "BLOQUEADO (Aguardar liberação)", IFERROR(IF(VLOOKUP($A144,CTINTERVALO,4,0)=0,"",VLOOKUP($A144,CTINTERVALO,4,0)),""))</f>
        <v/>
      </c>
      <c r="E144" s="249"/>
      <c r="F144" s="249" t="str">
        <f>IF($B144="Não", "BLOQUEADO (Aguardar liberação)", IFERROR(IF(VLOOKUP($A144,CTINTERVALO,6,0)=0,"",VLOOKUP($A144,CTINTERVALO,6,0)),""))</f>
        <v/>
      </c>
      <c r="G144" s="80"/>
      <c r="H144" s="80"/>
      <c r="I144" s="79"/>
      <c r="J144" s="79"/>
      <c r="K144" s="80"/>
    </row>
    <row r="145" spans="1:11">
      <c r="A145" s="93"/>
      <c r="B145" s="249" t="str">
        <f>IFERROR(IF(VLOOKUP($A145,CTINTERVALO,2,0)=0,"",VLOOKUP($A145,CTINTERVALO,2,0)),"")</f>
        <v/>
      </c>
      <c r="C145" s="249" t="str">
        <f>IF($B145="Não", "BLOQUEADO (Aguardar liberação)", IFERROR(IF(VLOOKUP($A145,CTINTERVALO,3,0)=0,"",VLOOKUP($A145,CTINTERVALO,3,0)),""))</f>
        <v/>
      </c>
      <c r="D145" s="249" t="str">
        <f>IF($B145="Não", "BLOQUEADO (Aguardar liberação)", IFERROR(IF(VLOOKUP($A145,CTINTERVALO,4,0)=0,"",VLOOKUP($A145,CTINTERVALO,4,0)),""))</f>
        <v/>
      </c>
      <c r="E145" s="249"/>
      <c r="F145" s="249" t="str">
        <f>IF($B145="Não", "BLOQUEADO (Aguardar liberação)", IFERROR(IF(VLOOKUP($A145,CTINTERVALO,6,0)=0,"",VLOOKUP($A145,CTINTERVALO,6,0)),""))</f>
        <v/>
      </c>
      <c r="G145" s="80"/>
      <c r="H145" s="80"/>
      <c r="I145" s="79"/>
      <c r="J145" s="79"/>
      <c r="K145" s="80"/>
    </row>
    <row r="146" spans="1:11">
      <c r="A146" s="93"/>
      <c r="B146" s="249" t="str">
        <f>IFERROR(IF(VLOOKUP($A146,CTINTERVALO,2,0)=0,"",VLOOKUP($A146,CTINTERVALO,2,0)),"")</f>
        <v/>
      </c>
      <c r="C146" s="249" t="str">
        <f>IF($B146="Não", "BLOQUEADO (Aguardar liberação)", IFERROR(IF(VLOOKUP($A146,CTINTERVALO,3,0)=0,"",VLOOKUP($A146,CTINTERVALO,3,0)),""))</f>
        <v/>
      </c>
      <c r="D146" s="249" t="str">
        <f>IF($B146="Não", "BLOQUEADO (Aguardar liberação)", IFERROR(IF(VLOOKUP($A146,CTINTERVALO,4,0)=0,"",VLOOKUP($A146,CTINTERVALO,4,0)),""))</f>
        <v/>
      </c>
      <c r="E146" s="249"/>
      <c r="F146" s="249" t="str">
        <f>IF($B146="Não", "BLOQUEADO (Aguardar liberação)", IFERROR(IF(VLOOKUP($A146,CTINTERVALO,6,0)=0,"",VLOOKUP($A146,CTINTERVALO,6,0)),""))</f>
        <v/>
      </c>
      <c r="G146" s="80"/>
      <c r="H146" s="80"/>
      <c r="I146" s="79"/>
      <c r="J146" s="79"/>
      <c r="K146" s="80"/>
    </row>
    <row r="147" spans="1:11">
      <c r="A147" s="93"/>
      <c r="B147" s="249" t="str">
        <f>IFERROR(IF(VLOOKUP($A147,CTINTERVALO,2,0)=0,"",VLOOKUP($A147,CTINTERVALO,2,0)),"")</f>
        <v/>
      </c>
      <c r="C147" s="249" t="str">
        <f>IF($B147="Não", "BLOQUEADO (Aguardar liberação)", IFERROR(IF(VLOOKUP($A147,CTINTERVALO,3,0)=0,"",VLOOKUP($A147,CTINTERVALO,3,0)),""))</f>
        <v/>
      </c>
      <c r="D147" s="249" t="str">
        <f>IF($B147="Não", "BLOQUEADO (Aguardar liberação)", IFERROR(IF(VLOOKUP($A147,CTINTERVALO,4,0)=0,"",VLOOKUP($A147,CTINTERVALO,4,0)),""))</f>
        <v/>
      </c>
      <c r="E147" s="249"/>
      <c r="F147" s="249" t="str">
        <f>IF($B147="Não", "BLOQUEADO (Aguardar liberação)", IFERROR(IF(VLOOKUP($A147,CTINTERVALO,6,0)=0,"",VLOOKUP($A147,CTINTERVALO,6,0)),""))</f>
        <v/>
      </c>
      <c r="G147" s="80"/>
      <c r="H147" s="80"/>
      <c r="I147" s="79"/>
      <c r="J147" s="79"/>
      <c r="K147" s="80"/>
    </row>
    <row r="148" spans="1:11">
      <c r="A148" s="93"/>
      <c r="B148" s="249" t="str">
        <f>IFERROR(IF(VLOOKUP($A148,CTINTERVALO,2,0)=0,"",VLOOKUP($A148,CTINTERVALO,2,0)),"")</f>
        <v/>
      </c>
      <c r="C148" s="249" t="str">
        <f>IF($B148="Não", "BLOQUEADO (Aguardar liberação)", IFERROR(IF(VLOOKUP($A148,CTINTERVALO,3,0)=0,"",VLOOKUP($A148,CTINTERVALO,3,0)),""))</f>
        <v/>
      </c>
      <c r="D148" s="249" t="str">
        <f>IF($B148="Não", "BLOQUEADO (Aguardar liberação)", IFERROR(IF(VLOOKUP($A148,CTINTERVALO,4,0)=0,"",VLOOKUP($A148,CTINTERVALO,4,0)),""))</f>
        <v/>
      </c>
      <c r="E148" s="249"/>
      <c r="F148" s="249" t="str">
        <f>IF($B148="Não", "BLOQUEADO (Aguardar liberação)", IFERROR(IF(VLOOKUP($A148,CTINTERVALO,6,0)=0,"",VLOOKUP($A148,CTINTERVALO,6,0)),""))</f>
        <v/>
      </c>
      <c r="G148" s="80"/>
      <c r="H148" s="80"/>
      <c r="I148" s="79"/>
      <c r="J148" s="79"/>
      <c r="K148" s="80"/>
    </row>
    <row r="149" spans="1:11">
      <c r="A149" s="93"/>
      <c r="B149" s="249" t="str">
        <f>IFERROR(IF(VLOOKUP($A149,CTINTERVALO,2,0)=0,"",VLOOKUP($A149,CTINTERVALO,2,0)),"")</f>
        <v/>
      </c>
      <c r="C149" s="249" t="str">
        <f>IF($B149="Não", "BLOQUEADO (Aguardar liberação)", IFERROR(IF(VLOOKUP($A149,CTINTERVALO,3,0)=0,"",VLOOKUP($A149,CTINTERVALO,3,0)),""))</f>
        <v/>
      </c>
      <c r="D149" s="249" t="str">
        <f>IF($B149="Não", "BLOQUEADO (Aguardar liberação)", IFERROR(IF(VLOOKUP($A149,CTINTERVALO,4,0)=0,"",VLOOKUP($A149,CTINTERVALO,4,0)),""))</f>
        <v/>
      </c>
      <c r="E149" s="249"/>
      <c r="F149" s="249" t="str">
        <f>IF($B149="Não", "BLOQUEADO (Aguardar liberação)", IFERROR(IF(VLOOKUP($A149,CTINTERVALO,6,0)=0,"",VLOOKUP($A149,CTINTERVALO,6,0)),""))</f>
        <v/>
      </c>
      <c r="G149" s="80"/>
      <c r="H149" s="80"/>
      <c r="I149" s="79"/>
      <c r="J149" s="79"/>
      <c r="K149" s="80"/>
    </row>
    <row r="150" spans="1:11">
      <c r="A150" s="93"/>
      <c r="B150" s="249" t="str">
        <f>IFERROR(IF(VLOOKUP($A150,CTINTERVALO,2,0)=0,"",VLOOKUP($A150,CTINTERVALO,2,0)),"")</f>
        <v/>
      </c>
      <c r="C150" s="249" t="str">
        <f>IF($B150="Não", "BLOQUEADO (Aguardar liberação)", IFERROR(IF(VLOOKUP($A150,CTINTERVALO,3,0)=0,"",VLOOKUP($A150,CTINTERVALO,3,0)),""))</f>
        <v/>
      </c>
      <c r="D150" s="249" t="str">
        <f>IF($B150="Não", "BLOQUEADO (Aguardar liberação)", IFERROR(IF(VLOOKUP($A150,CTINTERVALO,4,0)=0,"",VLOOKUP($A150,CTINTERVALO,4,0)),""))</f>
        <v/>
      </c>
      <c r="E150" s="249"/>
      <c r="F150" s="249" t="str">
        <f>IF($B150="Não", "BLOQUEADO (Aguardar liberação)", IFERROR(IF(VLOOKUP($A150,CTINTERVALO,6,0)=0,"",VLOOKUP($A150,CTINTERVALO,6,0)),""))</f>
        <v/>
      </c>
      <c r="G150" s="80"/>
      <c r="H150" s="80"/>
      <c r="I150" s="79"/>
      <c r="J150" s="79"/>
      <c r="K150" s="80"/>
    </row>
    <row r="151" spans="1:11">
      <c r="A151" s="93"/>
      <c r="B151" s="249" t="str">
        <f>IFERROR(IF(VLOOKUP($A151,CTINTERVALO,2,0)=0,"",VLOOKUP($A151,CTINTERVALO,2,0)),"")</f>
        <v/>
      </c>
      <c r="C151" s="249" t="str">
        <f>IF($B151="Não", "BLOQUEADO (Aguardar liberação)", IFERROR(IF(VLOOKUP($A151,CTINTERVALO,3,0)=0,"",VLOOKUP($A151,CTINTERVALO,3,0)),""))</f>
        <v/>
      </c>
      <c r="D151" s="249" t="str">
        <f>IF($B151="Não", "BLOQUEADO (Aguardar liberação)", IFERROR(IF(VLOOKUP($A151,CTINTERVALO,4,0)=0,"",VLOOKUP($A151,CTINTERVALO,4,0)),""))</f>
        <v/>
      </c>
      <c r="E151" s="249"/>
      <c r="F151" s="249" t="str">
        <f>IF($B151="Não", "BLOQUEADO (Aguardar liberação)", IFERROR(IF(VLOOKUP($A151,CTINTERVALO,6,0)=0,"",VLOOKUP($A151,CTINTERVALO,6,0)),""))</f>
        <v/>
      </c>
      <c r="G151" s="80"/>
      <c r="H151" s="80"/>
      <c r="I151" s="79"/>
      <c r="J151" s="79"/>
      <c r="K151" s="80"/>
    </row>
    <row r="152" spans="1:11">
      <c r="A152" s="93"/>
      <c r="B152" s="249" t="str">
        <f>IFERROR(IF(VLOOKUP($A152,CTINTERVALO,2,0)=0,"",VLOOKUP($A152,CTINTERVALO,2,0)),"")</f>
        <v/>
      </c>
      <c r="C152" s="249" t="str">
        <f>IF($B152="Não", "BLOQUEADO (Aguardar liberação)", IFERROR(IF(VLOOKUP($A152,CTINTERVALO,3,0)=0,"",VLOOKUP($A152,CTINTERVALO,3,0)),""))</f>
        <v/>
      </c>
      <c r="D152" s="249" t="str">
        <f>IF($B152="Não", "BLOQUEADO (Aguardar liberação)", IFERROR(IF(VLOOKUP($A152,CTINTERVALO,4,0)=0,"",VLOOKUP($A152,CTINTERVALO,4,0)),""))</f>
        <v/>
      </c>
      <c r="E152" s="249"/>
      <c r="F152" s="249" t="str">
        <f>IF($B152="Não", "BLOQUEADO (Aguardar liberação)", IFERROR(IF(VLOOKUP($A152,CTINTERVALO,6,0)=0,"",VLOOKUP($A152,CTINTERVALO,6,0)),""))</f>
        <v/>
      </c>
      <c r="G152" s="80"/>
      <c r="H152" s="80"/>
      <c r="I152" s="79"/>
      <c r="J152" s="79"/>
      <c r="K152" s="80"/>
    </row>
    <row r="153" spans="1:11">
      <c r="A153" s="93"/>
      <c r="B153" s="249" t="str">
        <f>IFERROR(IF(VLOOKUP($A153,CTINTERVALO,2,0)=0,"",VLOOKUP($A153,CTINTERVALO,2,0)),"")</f>
        <v/>
      </c>
      <c r="C153" s="249" t="str">
        <f>IF($B153="Não", "BLOQUEADO (Aguardar liberação)", IFERROR(IF(VLOOKUP($A153,CTINTERVALO,3,0)=0,"",VLOOKUP($A153,CTINTERVALO,3,0)),""))</f>
        <v/>
      </c>
      <c r="D153" s="249" t="str">
        <f>IF($B153="Não", "BLOQUEADO (Aguardar liberação)", IFERROR(IF(VLOOKUP($A153,CTINTERVALO,4,0)=0,"",VLOOKUP($A153,CTINTERVALO,4,0)),""))</f>
        <v/>
      </c>
      <c r="E153" s="249"/>
      <c r="F153" s="249" t="str">
        <f>IF($B153="Não", "BLOQUEADO (Aguardar liberação)", IFERROR(IF(VLOOKUP($A153,CTINTERVALO,6,0)=0,"",VLOOKUP($A153,CTINTERVALO,6,0)),""))</f>
        <v/>
      </c>
      <c r="G153" s="80"/>
      <c r="H153" s="80"/>
      <c r="I153" s="79"/>
      <c r="J153" s="79"/>
      <c r="K153" s="80"/>
    </row>
    <row r="154" spans="1:11">
      <c r="A154" s="93"/>
      <c r="B154" s="249" t="str">
        <f>IFERROR(IF(VLOOKUP($A154,CTINTERVALO,2,0)=0,"",VLOOKUP($A154,CTINTERVALO,2,0)),"")</f>
        <v/>
      </c>
      <c r="C154" s="249" t="str">
        <f>IF($B154="Não", "BLOQUEADO (Aguardar liberação)", IFERROR(IF(VLOOKUP($A154,CTINTERVALO,3,0)=0,"",VLOOKUP($A154,CTINTERVALO,3,0)),""))</f>
        <v/>
      </c>
      <c r="D154" s="249" t="str">
        <f>IF($B154="Não", "BLOQUEADO (Aguardar liberação)", IFERROR(IF(VLOOKUP($A154,CTINTERVALO,4,0)=0,"",VLOOKUP($A154,CTINTERVALO,4,0)),""))</f>
        <v/>
      </c>
      <c r="E154" s="249"/>
      <c r="F154" s="249" t="str">
        <f>IF($B154="Não", "BLOQUEADO (Aguardar liberação)", IFERROR(IF(VLOOKUP($A154,CTINTERVALO,6,0)=0,"",VLOOKUP($A154,CTINTERVALO,6,0)),""))</f>
        <v/>
      </c>
      <c r="G154" s="80"/>
      <c r="H154" s="80"/>
      <c r="I154" s="79"/>
      <c r="J154" s="79"/>
      <c r="K154" s="80"/>
    </row>
    <row r="155" spans="1:11">
      <c r="A155" s="93"/>
      <c r="B155" s="249" t="str">
        <f>IFERROR(IF(VLOOKUP($A155,CTINTERVALO,2,0)=0,"",VLOOKUP($A155,CTINTERVALO,2,0)),"")</f>
        <v/>
      </c>
      <c r="C155" s="249" t="str">
        <f>IF($B155="Não", "BLOQUEADO (Aguardar liberação)", IFERROR(IF(VLOOKUP($A155,CTINTERVALO,3,0)=0,"",VLOOKUP($A155,CTINTERVALO,3,0)),""))</f>
        <v/>
      </c>
      <c r="D155" s="249" t="str">
        <f>IF($B155="Não", "BLOQUEADO (Aguardar liberação)", IFERROR(IF(VLOOKUP($A155,CTINTERVALO,4,0)=0,"",VLOOKUP($A155,CTINTERVALO,4,0)),""))</f>
        <v/>
      </c>
      <c r="E155" s="249"/>
      <c r="F155" s="249" t="str">
        <f>IF($B155="Não", "BLOQUEADO (Aguardar liberação)", IFERROR(IF(VLOOKUP($A155,CTINTERVALO,6,0)=0,"",VLOOKUP($A155,CTINTERVALO,6,0)),""))</f>
        <v/>
      </c>
      <c r="G155" s="80"/>
      <c r="H155" s="80"/>
      <c r="I155" s="79"/>
      <c r="J155" s="79"/>
      <c r="K155" s="80"/>
    </row>
    <row r="156" spans="1:11">
      <c r="A156" s="93"/>
      <c r="B156" s="249" t="str">
        <f>IFERROR(IF(VLOOKUP($A156,CTINTERVALO,2,0)=0,"",VLOOKUP($A156,CTINTERVALO,2,0)),"")</f>
        <v/>
      </c>
      <c r="C156" s="249" t="str">
        <f>IF($B156="Não", "BLOQUEADO (Aguardar liberação)", IFERROR(IF(VLOOKUP($A156,CTINTERVALO,3,0)=0,"",VLOOKUP($A156,CTINTERVALO,3,0)),""))</f>
        <v/>
      </c>
      <c r="D156" s="249" t="str">
        <f>IF($B156="Não", "BLOQUEADO (Aguardar liberação)", IFERROR(IF(VLOOKUP($A156,CTINTERVALO,4,0)=0,"",VLOOKUP($A156,CTINTERVALO,4,0)),""))</f>
        <v/>
      </c>
      <c r="E156" s="249"/>
      <c r="F156" s="249" t="str">
        <f>IF($B156="Não", "BLOQUEADO (Aguardar liberação)", IFERROR(IF(VLOOKUP($A156,CTINTERVALO,6,0)=0,"",VLOOKUP($A156,CTINTERVALO,6,0)),""))</f>
        <v/>
      </c>
      <c r="G156" s="80"/>
      <c r="H156" s="80"/>
      <c r="I156" s="79"/>
      <c r="J156" s="79"/>
      <c r="K156" s="80"/>
    </row>
    <row r="157" spans="1:11">
      <c r="A157" s="93"/>
      <c r="B157" s="249" t="str">
        <f>IFERROR(IF(VLOOKUP($A157,CTINTERVALO,2,0)=0,"",VLOOKUP($A157,CTINTERVALO,2,0)),"")</f>
        <v/>
      </c>
      <c r="C157" s="249" t="str">
        <f>IF($B157="Não", "BLOQUEADO (Aguardar liberação)", IFERROR(IF(VLOOKUP($A157,CTINTERVALO,3,0)=0,"",VLOOKUP($A157,CTINTERVALO,3,0)),""))</f>
        <v/>
      </c>
      <c r="D157" s="249" t="str">
        <f>IF($B157="Não", "BLOQUEADO (Aguardar liberação)", IFERROR(IF(VLOOKUP($A157,CTINTERVALO,4,0)=0,"",VLOOKUP($A157,CTINTERVALO,4,0)),""))</f>
        <v/>
      </c>
      <c r="E157" s="249"/>
      <c r="F157" s="249" t="str">
        <f>IF($B157="Não", "BLOQUEADO (Aguardar liberação)", IFERROR(IF(VLOOKUP($A157,CTINTERVALO,6,0)=0,"",VLOOKUP($A157,CTINTERVALO,6,0)),""))</f>
        <v/>
      </c>
      <c r="G157" s="80"/>
      <c r="H157" s="80"/>
      <c r="I157" s="79"/>
      <c r="J157" s="79"/>
      <c r="K157" s="80"/>
    </row>
    <row r="158" spans="1:11">
      <c r="A158" s="93"/>
      <c r="B158" s="249" t="str">
        <f>IFERROR(IF(VLOOKUP($A158,CTINTERVALO,2,0)=0,"",VLOOKUP($A158,CTINTERVALO,2,0)),"")</f>
        <v/>
      </c>
      <c r="C158" s="249" t="str">
        <f>IF($B158="Não", "BLOQUEADO (Aguardar liberação)", IFERROR(IF(VLOOKUP($A158,CTINTERVALO,3,0)=0,"",VLOOKUP($A158,CTINTERVALO,3,0)),""))</f>
        <v/>
      </c>
      <c r="D158" s="249" t="str">
        <f>IF($B158="Não", "BLOQUEADO (Aguardar liberação)", IFERROR(IF(VLOOKUP($A158,CTINTERVALO,4,0)=0,"",VLOOKUP($A158,CTINTERVALO,4,0)),""))</f>
        <v/>
      </c>
      <c r="E158" s="249"/>
      <c r="F158" s="249" t="str">
        <f>IF($B158="Não", "BLOQUEADO (Aguardar liberação)", IFERROR(IF(VLOOKUP($A158,CTINTERVALO,6,0)=0,"",VLOOKUP($A158,CTINTERVALO,6,0)),""))</f>
        <v/>
      </c>
      <c r="G158" s="80"/>
      <c r="H158" s="80"/>
      <c r="I158" s="79"/>
      <c r="J158" s="79"/>
      <c r="K158" s="80"/>
    </row>
    <row r="159" spans="1:11">
      <c r="A159" s="93"/>
      <c r="B159" s="249" t="str">
        <f>IFERROR(IF(VLOOKUP($A159,CTINTERVALO,2,0)=0,"",VLOOKUP($A159,CTINTERVALO,2,0)),"")</f>
        <v/>
      </c>
      <c r="C159" s="249" t="str">
        <f>IF($B159="Não", "BLOQUEADO (Aguardar liberação)", IFERROR(IF(VLOOKUP($A159,CTINTERVALO,3,0)=0,"",VLOOKUP($A159,CTINTERVALO,3,0)),""))</f>
        <v/>
      </c>
      <c r="D159" s="249" t="str">
        <f>IF($B159="Não", "BLOQUEADO (Aguardar liberação)", IFERROR(IF(VLOOKUP($A159,CTINTERVALO,4,0)=0,"",VLOOKUP($A159,CTINTERVALO,4,0)),""))</f>
        <v/>
      </c>
      <c r="E159" s="249"/>
      <c r="F159" s="249" t="str">
        <f>IF($B159="Não", "BLOQUEADO (Aguardar liberação)", IFERROR(IF(VLOOKUP($A159,CTINTERVALO,6,0)=0,"",VLOOKUP($A159,CTINTERVALO,6,0)),""))</f>
        <v/>
      </c>
      <c r="G159" s="80"/>
      <c r="H159" s="80"/>
      <c r="I159" s="79"/>
      <c r="J159" s="79"/>
      <c r="K159" s="80"/>
    </row>
    <row r="160" spans="1:11">
      <c r="A160" s="93"/>
      <c r="B160" s="249" t="str">
        <f>IFERROR(IF(VLOOKUP($A160,CTINTERVALO,2,0)=0,"",VLOOKUP($A160,CTINTERVALO,2,0)),"")</f>
        <v/>
      </c>
      <c r="C160" s="249" t="str">
        <f>IF($B160="Não", "BLOQUEADO (Aguardar liberação)", IFERROR(IF(VLOOKUP($A160,CTINTERVALO,3,0)=0,"",VLOOKUP($A160,CTINTERVALO,3,0)),""))</f>
        <v/>
      </c>
      <c r="D160" s="249" t="str">
        <f>IF($B160="Não", "BLOQUEADO (Aguardar liberação)", IFERROR(IF(VLOOKUP($A160,CTINTERVALO,4,0)=0,"",VLOOKUP($A160,CTINTERVALO,4,0)),""))</f>
        <v/>
      </c>
      <c r="E160" s="249"/>
      <c r="F160" s="249" t="str">
        <f>IF($B160="Não", "BLOQUEADO (Aguardar liberação)", IFERROR(IF(VLOOKUP($A160,CTINTERVALO,6,0)=0,"",VLOOKUP($A160,CTINTERVALO,6,0)),""))</f>
        <v/>
      </c>
      <c r="G160" s="80"/>
      <c r="H160" s="80"/>
      <c r="I160" s="79"/>
      <c r="J160" s="79"/>
      <c r="K160" s="80"/>
    </row>
    <row r="161" spans="1:11">
      <c r="A161" s="93"/>
      <c r="B161" s="249" t="str">
        <f>IFERROR(IF(VLOOKUP($A161,CTINTERVALO,2,0)=0,"",VLOOKUP($A161,CTINTERVALO,2,0)),"")</f>
        <v/>
      </c>
      <c r="C161" s="249" t="str">
        <f>IF($B161="Não", "BLOQUEADO (Aguardar liberação)", IFERROR(IF(VLOOKUP($A161,CTINTERVALO,3,0)=0,"",VLOOKUP($A161,CTINTERVALO,3,0)),""))</f>
        <v/>
      </c>
      <c r="D161" s="249" t="str">
        <f>IF($B161="Não", "BLOQUEADO (Aguardar liberação)", IFERROR(IF(VLOOKUP($A161,CTINTERVALO,4,0)=0,"",VLOOKUP($A161,CTINTERVALO,4,0)),""))</f>
        <v/>
      </c>
      <c r="E161" s="249"/>
      <c r="F161" s="249" t="str">
        <f>IF($B161="Não", "BLOQUEADO (Aguardar liberação)", IFERROR(IF(VLOOKUP($A161,CTINTERVALO,6,0)=0,"",VLOOKUP($A161,CTINTERVALO,6,0)),""))</f>
        <v/>
      </c>
      <c r="G161" s="80"/>
      <c r="H161" s="80"/>
      <c r="I161" s="79"/>
      <c r="J161" s="79"/>
      <c r="K161" s="80"/>
    </row>
    <row r="162" spans="1:11">
      <c r="A162" s="93"/>
      <c r="B162" s="249" t="str">
        <f>IFERROR(IF(VLOOKUP($A162,CTINTERVALO,2,0)=0,"",VLOOKUP($A162,CTINTERVALO,2,0)),"")</f>
        <v/>
      </c>
      <c r="C162" s="249" t="str">
        <f>IF($B162="Não", "BLOQUEADO (Aguardar liberação)", IFERROR(IF(VLOOKUP($A162,CTINTERVALO,3,0)=0,"",VLOOKUP($A162,CTINTERVALO,3,0)),""))</f>
        <v/>
      </c>
      <c r="D162" s="249" t="str">
        <f>IF($B162="Não", "BLOQUEADO (Aguardar liberação)", IFERROR(IF(VLOOKUP($A162,CTINTERVALO,4,0)=0,"",VLOOKUP($A162,CTINTERVALO,4,0)),""))</f>
        <v/>
      </c>
      <c r="E162" s="249"/>
      <c r="F162" s="249" t="str">
        <f>IF($B162="Não", "BLOQUEADO (Aguardar liberação)", IFERROR(IF(VLOOKUP($A162,CTINTERVALO,6,0)=0,"",VLOOKUP($A162,CTINTERVALO,6,0)),""))</f>
        <v/>
      </c>
      <c r="G162" s="80"/>
      <c r="H162" s="80"/>
      <c r="I162" s="79"/>
      <c r="J162" s="79"/>
      <c r="K162" s="80"/>
    </row>
    <row r="163" spans="1:11">
      <c r="A163" s="93"/>
      <c r="B163" s="249" t="str">
        <f>IFERROR(IF(VLOOKUP($A163,CTINTERVALO,2,0)=0,"",VLOOKUP($A163,CTINTERVALO,2,0)),"")</f>
        <v/>
      </c>
      <c r="C163" s="249" t="str">
        <f>IF($B163="Não", "BLOQUEADO (Aguardar liberação)", IFERROR(IF(VLOOKUP($A163,CTINTERVALO,3,0)=0,"",VLOOKUP($A163,CTINTERVALO,3,0)),""))</f>
        <v/>
      </c>
      <c r="D163" s="249" t="str">
        <f>IF($B163="Não", "BLOQUEADO (Aguardar liberação)", IFERROR(IF(VLOOKUP($A163,CTINTERVALO,4,0)=0,"",VLOOKUP($A163,CTINTERVALO,4,0)),""))</f>
        <v/>
      </c>
      <c r="E163" s="249"/>
      <c r="F163" s="249" t="str">
        <f>IF($B163="Não", "BLOQUEADO (Aguardar liberação)", IFERROR(IF(VLOOKUP($A163,CTINTERVALO,6,0)=0,"",VLOOKUP($A163,CTINTERVALO,6,0)),""))</f>
        <v/>
      </c>
      <c r="G163" s="80"/>
      <c r="H163" s="80"/>
      <c r="I163" s="79"/>
      <c r="J163" s="79"/>
      <c r="K163" s="80"/>
    </row>
    <row r="164" spans="1:11">
      <c r="A164" s="93"/>
      <c r="B164" s="249" t="str">
        <f>IFERROR(IF(VLOOKUP($A164,CTINTERVALO,2,0)=0,"",VLOOKUP($A164,CTINTERVALO,2,0)),"")</f>
        <v/>
      </c>
      <c r="C164" s="249" t="str">
        <f>IF($B164="Não", "BLOQUEADO (Aguardar liberação)", IFERROR(IF(VLOOKUP($A164,CTINTERVALO,3,0)=0,"",VLOOKUP($A164,CTINTERVALO,3,0)),""))</f>
        <v/>
      </c>
      <c r="D164" s="249" t="str">
        <f>IF($B164="Não", "BLOQUEADO (Aguardar liberação)", IFERROR(IF(VLOOKUP($A164,CTINTERVALO,4,0)=0,"",VLOOKUP($A164,CTINTERVALO,4,0)),""))</f>
        <v/>
      </c>
      <c r="E164" s="249"/>
      <c r="F164" s="249" t="str">
        <f>IF($B164="Não", "BLOQUEADO (Aguardar liberação)", IFERROR(IF(VLOOKUP($A164,CTINTERVALO,6,0)=0,"",VLOOKUP($A164,CTINTERVALO,6,0)),""))</f>
        <v/>
      </c>
      <c r="G164" s="80"/>
      <c r="H164" s="80"/>
      <c r="I164" s="79"/>
      <c r="J164" s="79"/>
      <c r="K164" s="80"/>
    </row>
    <row r="165" spans="1:11">
      <c r="A165" s="93"/>
      <c r="B165" s="249" t="str">
        <f>IFERROR(IF(VLOOKUP($A165,CTINTERVALO,2,0)=0,"",VLOOKUP($A165,CTINTERVALO,2,0)),"")</f>
        <v/>
      </c>
      <c r="C165" s="249" t="str">
        <f>IF($B165="Não", "BLOQUEADO (Aguardar liberação)", IFERROR(IF(VLOOKUP($A165,CTINTERVALO,3,0)=0,"",VLOOKUP($A165,CTINTERVALO,3,0)),""))</f>
        <v/>
      </c>
      <c r="D165" s="249" t="str">
        <f>IF($B165="Não", "BLOQUEADO (Aguardar liberação)", IFERROR(IF(VLOOKUP($A165,CTINTERVALO,4,0)=0,"",VLOOKUP($A165,CTINTERVALO,4,0)),""))</f>
        <v/>
      </c>
      <c r="E165" s="249"/>
      <c r="F165" s="249" t="str">
        <f>IF($B165="Não", "BLOQUEADO (Aguardar liberação)", IFERROR(IF(VLOOKUP($A165,CTINTERVALO,6,0)=0,"",VLOOKUP($A165,CTINTERVALO,6,0)),""))</f>
        <v/>
      </c>
      <c r="G165" s="80"/>
      <c r="H165" s="80"/>
      <c r="I165" s="79"/>
      <c r="J165" s="79"/>
      <c r="K165" s="80"/>
    </row>
    <row r="166" spans="1:11">
      <c r="A166" s="93"/>
      <c r="B166" s="249" t="str">
        <f>IFERROR(IF(VLOOKUP($A166,CTINTERVALO,2,0)=0,"",VLOOKUP($A166,CTINTERVALO,2,0)),"")</f>
        <v/>
      </c>
      <c r="C166" s="249" t="str">
        <f>IF($B166="Não", "BLOQUEADO (Aguardar liberação)", IFERROR(IF(VLOOKUP($A166,CTINTERVALO,3,0)=0,"",VLOOKUP($A166,CTINTERVALO,3,0)),""))</f>
        <v/>
      </c>
      <c r="D166" s="249" t="str">
        <f>IF($B166="Não", "BLOQUEADO (Aguardar liberação)", IFERROR(IF(VLOOKUP($A166,CTINTERVALO,4,0)=0,"",VLOOKUP($A166,CTINTERVALO,4,0)),""))</f>
        <v/>
      </c>
      <c r="E166" s="249"/>
      <c r="F166" s="249" t="str">
        <f>IF($B166="Não", "BLOQUEADO (Aguardar liberação)", IFERROR(IF(VLOOKUP($A166,CTINTERVALO,6,0)=0,"",VLOOKUP($A166,CTINTERVALO,6,0)),""))</f>
        <v/>
      </c>
      <c r="G166" s="80"/>
      <c r="H166" s="80"/>
      <c r="I166" s="79"/>
      <c r="J166" s="79"/>
      <c r="K166" s="80"/>
    </row>
    <row r="167" spans="1:11">
      <c r="A167" s="93"/>
      <c r="B167" s="249" t="str">
        <f>IFERROR(IF(VLOOKUP($A167,CTINTERVALO,2,0)=0,"",VLOOKUP($A167,CTINTERVALO,2,0)),"")</f>
        <v/>
      </c>
      <c r="C167" s="249" t="str">
        <f>IF($B167="Não", "BLOQUEADO (Aguardar liberação)", IFERROR(IF(VLOOKUP($A167,CTINTERVALO,3,0)=0,"",VLOOKUP($A167,CTINTERVALO,3,0)),""))</f>
        <v/>
      </c>
      <c r="D167" s="249" t="str">
        <f>IF($B167="Não", "BLOQUEADO (Aguardar liberação)", IFERROR(IF(VLOOKUP($A167,CTINTERVALO,4,0)=0,"",VLOOKUP($A167,CTINTERVALO,4,0)),""))</f>
        <v/>
      </c>
      <c r="E167" s="249"/>
      <c r="F167" s="249" t="str">
        <f>IF($B167="Não", "BLOQUEADO (Aguardar liberação)", IFERROR(IF(VLOOKUP($A167,CTINTERVALO,6,0)=0,"",VLOOKUP($A167,CTINTERVALO,6,0)),""))</f>
        <v/>
      </c>
      <c r="G167" s="80"/>
      <c r="H167" s="80"/>
      <c r="I167" s="79"/>
      <c r="J167" s="79"/>
      <c r="K167" s="80"/>
    </row>
    <row r="168" spans="1:11">
      <c r="A168" s="93"/>
      <c r="B168" s="249" t="str">
        <f>IFERROR(IF(VLOOKUP($A168,CTINTERVALO,2,0)=0,"",VLOOKUP($A168,CTINTERVALO,2,0)),"")</f>
        <v/>
      </c>
      <c r="C168" s="249" t="str">
        <f>IF($B168="Não", "BLOQUEADO (Aguardar liberação)", IFERROR(IF(VLOOKUP($A168,CTINTERVALO,3,0)=0,"",VLOOKUP($A168,CTINTERVALO,3,0)),""))</f>
        <v/>
      </c>
      <c r="D168" s="249" t="str">
        <f>IF($B168="Não", "BLOQUEADO (Aguardar liberação)", IFERROR(IF(VLOOKUP($A168,CTINTERVALO,4,0)=0,"",VLOOKUP($A168,CTINTERVALO,4,0)),""))</f>
        <v/>
      </c>
      <c r="E168" s="249"/>
      <c r="F168" s="249" t="str">
        <f>IF($B168="Não", "BLOQUEADO (Aguardar liberação)", IFERROR(IF(VLOOKUP($A168,CTINTERVALO,6,0)=0,"",VLOOKUP($A168,CTINTERVALO,6,0)),""))</f>
        <v/>
      </c>
      <c r="G168" s="80"/>
      <c r="H168" s="80"/>
      <c r="I168" s="79"/>
      <c r="J168" s="79"/>
      <c r="K168" s="80"/>
    </row>
    <row r="169" spans="1:11">
      <c r="A169" s="93"/>
      <c r="B169" s="249" t="str">
        <f>IFERROR(IF(VLOOKUP($A169,CTINTERVALO,2,0)=0,"",VLOOKUP($A169,CTINTERVALO,2,0)),"")</f>
        <v/>
      </c>
      <c r="C169" s="249" t="str">
        <f>IF($B169="Não", "BLOQUEADO (Aguardar liberação)", IFERROR(IF(VLOOKUP($A169,CTINTERVALO,3,0)=0,"",VLOOKUP($A169,CTINTERVALO,3,0)),""))</f>
        <v/>
      </c>
      <c r="D169" s="249" t="str">
        <f>IF($B169="Não", "BLOQUEADO (Aguardar liberação)", IFERROR(IF(VLOOKUP($A169,CTINTERVALO,4,0)=0,"",VLOOKUP($A169,CTINTERVALO,4,0)),""))</f>
        <v/>
      </c>
      <c r="E169" s="249"/>
      <c r="F169" s="249" t="str">
        <f>IF($B169="Não", "BLOQUEADO (Aguardar liberação)", IFERROR(IF(VLOOKUP($A169,CTINTERVALO,6,0)=0,"",VLOOKUP($A169,CTINTERVALO,6,0)),""))</f>
        <v/>
      </c>
      <c r="G169" s="80"/>
      <c r="H169" s="80"/>
      <c r="I169" s="79"/>
      <c r="J169" s="79"/>
      <c r="K169" s="80"/>
    </row>
    <row r="170" spans="1:11">
      <c r="A170" s="93"/>
      <c r="B170" s="249" t="str">
        <f>IFERROR(IF(VLOOKUP($A170,CTINTERVALO,2,0)=0,"",VLOOKUP($A170,CTINTERVALO,2,0)),"")</f>
        <v/>
      </c>
      <c r="C170" s="249" t="str">
        <f>IF($B170="Não", "BLOQUEADO (Aguardar liberação)", IFERROR(IF(VLOOKUP($A170,CTINTERVALO,3,0)=0,"",VLOOKUP($A170,CTINTERVALO,3,0)),""))</f>
        <v/>
      </c>
      <c r="D170" s="249" t="str">
        <f>IF($B170="Não", "BLOQUEADO (Aguardar liberação)", IFERROR(IF(VLOOKUP($A170,CTINTERVALO,4,0)=0,"",VLOOKUP($A170,CTINTERVALO,4,0)),""))</f>
        <v/>
      </c>
      <c r="E170" s="249"/>
      <c r="F170" s="249" t="str">
        <f>IF($B170="Não", "BLOQUEADO (Aguardar liberação)", IFERROR(IF(VLOOKUP($A170,CTINTERVALO,6,0)=0,"",VLOOKUP($A170,CTINTERVALO,6,0)),""))</f>
        <v/>
      </c>
      <c r="G170" s="80"/>
      <c r="H170" s="80"/>
      <c r="I170" s="79"/>
      <c r="J170" s="79"/>
      <c r="K170" s="80"/>
    </row>
    <row r="171" spans="1:11">
      <c r="A171" s="93"/>
      <c r="B171" s="249" t="str">
        <f>IFERROR(IF(VLOOKUP($A171,CTINTERVALO,2,0)=0,"",VLOOKUP($A171,CTINTERVALO,2,0)),"")</f>
        <v/>
      </c>
      <c r="C171" s="249" t="str">
        <f>IF($B171="Não", "BLOQUEADO (Aguardar liberação)", IFERROR(IF(VLOOKUP($A171,CTINTERVALO,3,0)=0,"",VLOOKUP($A171,CTINTERVALO,3,0)),""))</f>
        <v/>
      </c>
      <c r="D171" s="249" t="str">
        <f>IF($B171="Não", "BLOQUEADO (Aguardar liberação)", IFERROR(IF(VLOOKUP($A171,CTINTERVALO,4,0)=0,"",VLOOKUP($A171,CTINTERVALO,4,0)),""))</f>
        <v/>
      </c>
      <c r="E171" s="249"/>
      <c r="F171" s="249" t="str">
        <f>IF($B171="Não", "BLOQUEADO (Aguardar liberação)", IFERROR(IF(VLOOKUP($A171,CTINTERVALO,6,0)=0,"",VLOOKUP($A171,CTINTERVALO,6,0)),""))</f>
        <v/>
      </c>
      <c r="G171" s="80"/>
      <c r="H171" s="80"/>
      <c r="I171" s="79"/>
      <c r="J171" s="79"/>
      <c r="K171" s="80"/>
    </row>
    <row r="172" spans="1:11">
      <c r="A172" s="93"/>
      <c r="B172" s="249" t="str">
        <f>IFERROR(IF(VLOOKUP($A172,CTINTERVALO,2,0)=0,"",VLOOKUP($A172,CTINTERVALO,2,0)),"")</f>
        <v/>
      </c>
      <c r="C172" s="249" t="str">
        <f>IF($B172="Não", "BLOQUEADO (Aguardar liberação)", IFERROR(IF(VLOOKUP($A172,CTINTERVALO,3,0)=0,"",VLOOKUP($A172,CTINTERVALO,3,0)),""))</f>
        <v/>
      </c>
      <c r="D172" s="249" t="str">
        <f>IF($B172="Não", "BLOQUEADO (Aguardar liberação)", IFERROR(IF(VLOOKUP($A172,CTINTERVALO,4,0)=0,"",VLOOKUP($A172,CTINTERVALO,4,0)),""))</f>
        <v/>
      </c>
      <c r="E172" s="249"/>
      <c r="F172" s="249" t="str">
        <f>IF($B172="Não", "BLOQUEADO (Aguardar liberação)", IFERROR(IF(VLOOKUP($A172,CTINTERVALO,6,0)=0,"",VLOOKUP($A172,CTINTERVALO,6,0)),""))</f>
        <v/>
      </c>
      <c r="G172" s="80"/>
      <c r="H172" s="80"/>
      <c r="I172" s="79"/>
      <c r="J172" s="79"/>
      <c r="K172" s="80"/>
    </row>
    <row r="173" spans="1:11">
      <c r="A173" s="93"/>
      <c r="B173" s="249" t="str">
        <f>IFERROR(IF(VLOOKUP($A173,CTINTERVALO,2,0)=0,"",VLOOKUP($A173,CTINTERVALO,2,0)),"")</f>
        <v/>
      </c>
      <c r="C173" s="249" t="str">
        <f>IF($B173="Não", "BLOQUEADO (Aguardar liberação)", IFERROR(IF(VLOOKUP($A173,CTINTERVALO,3,0)=0,"",VLOOKUP($A173,CTINTERVALO,3,0)),""))</f>
        <v/>
      </c>
      <c r="D173" s="249" t="str">
        <f>IF($B173="Não", "BLOQUEADO (Aguardar liberação)", IFERROR(IF(VLOOKUP($A173,CTINTERVALO,4,0)=0,"",VLOOKUP($A173,CTINTERVALO,4,0)),""))</f>
        <v/>
      </c>
      <c r="E173" s="249"/>
      <c r="F173" s="249" t="str">
        <f>IF($B173="Não", "BLOQUEADO (Aguardar liberação)", IFERROR(IF(VLOOKUP($A173,CTINTERVALO,6,0)=0,"",VLOOKUP($A173,CTINTERVALO,6,0)),""))</f>
        <v/>
      </c>
      <c r="G173" s="80"/>
      <c r="H173" s="80"/>
      <c r="I173" s="79"/>
      <c r="J173" s="79"/>
      <c r="K173" s="80"/>
    </row>
    <row r="174" spans="1:11">
      <c r="A174" s="93"/>
      <c r="B174" s="249" t="str">
        <f>IFERROR(IF(VLOOKUP($A174,CTINTERVALO,2,0)=0,"",VLOOKUP($A174,CTINTERVALO,2,0)),"")</f>
        <v/>
      </c>
      <c r="C174" s="249" t="str">
        <f>IF($B174="Não", "BLOQUEADO (Aguardar liberação)", IFERROR(IF(VLOOKUP($A174,CTINTERVALO,3,0)=0,"",VLOOKUP($A174,CTINTERVALO,3,0)),""))</f>
        <v/>
      </c>
      <c r="D174" s="249" t="str">
        <f>IF($B174="Não", "BLOQUEADO (Aguardar liberação)", IFERROR(IF(VLOOKUP($A174,CTINTERVALO,4,0)=0,"",VLOOKUP($A174,CTINTERVALO,4,0)),""))</f>
        <v/>
      </c>
      <c r="E174" s="249"/>
      <c r="F174" s="249" t="str">
        <f>IF($B174="Não", "BLOQUEADO (Aguardar liberação)", IFERROR(IF(VLOOKUP($A174,CTINTERVALO,6,0)=0,"",VLOOKUP($A174,CTINTERVALO,6,0)),""))</f>
        <v/>
      </c>
      <c r="G174" s="80"/>
      <c r="H174" s="80"/>
      <c r="I174" s="79"/>
      <c r="J174" s="79"/>
      <c r="K174" s="80"/>
    </row>
    <row r="175" spans="1:11">
      <c r="A175" s="93"/>
      <c r="B175" s="249" t="str">
        <f>IFERROR(IF(VLOOKUP($A175,CTINTERVALO,2,0)=0,"",VLOOKUP($A175,CTINTERVALO,2,0)),"")</f>
        <v/>
      </c>
      <c r="C175" s="249" t="str">
        <f>IF($B175="Não", "BLOQUEADO (Aguardar liberação)", IFERROR(IF(VLOOKUP($A175,CTINTERVALO,3,0)=0,"",VLOOKUP($A175,CTINTERVALO,3,0)),""))</f>
        <v/>
      </c>
      <c r="D175" s="249" t="str">
        <f>IF($B175="Não", "BLOQUEADO (Aguardar liberação)", IFERROR(IF(VLOOKUP($A175,CTINTERVALO,4,0)=0,"",VLOOKUP($A175,CTINTERVALO,4,0)),""))</f>
        <v/>
      </c>
      <c r="E175" s="249"/>
      <c r="F175" s="249" t="str">
        <f>IF($B175="Não", "BLOQUEADO (Aguardar liberação)", IFERROR(IF(VLOOKUP($A175,CTINTERVALO,6,0)=0,"",VLOOKUP($A175,CTINTERVALO,6,0)),""))</f>
        <v/>
      </c>
      <c r="G175" s="80"/>
      <c r="H175" s="80"/>
      <c r="I175" s="79"/>
      <c r="J175" s="79"/>
      <c r="K175" s="80"/>
    </row>
    <row r="176" spans="1:11">
      <c r="A176" s="93"/>
      <c r="B176" s="249" t="str">
        <f>IFERROR(IF(VLOOKUP($A176,CTINTERVALO,2,0)=0,"",VLOOKUP($A176,CTINTERVALO,2,0)),"")</f>
        <v/>
      </c>
      <c r="C176" s="249" t="str">
        <f>IF($B176="Não", "BLOQUEADO (Aguardar liberação)", IFERROR(IF(VLOOKUP($A176,CTINTERVALO,3,0)=0,"",VLOOKUP($A176,CTINTERVALO,3,0)),""))</f>
        <v/>
      </c>
      <c r="D176" s="249" t="str">
        <f>IF($B176="Não", "BLOQUEADO (Aguardar liberação)", IFERROR(IF(VLOOKUP($A176,CTINTERVALO,4,0)=0,"",VLOOKUP($A176,CTINTERVALO,4,0)),""))</f>
        <v/>
      </c>
      <c r="E176" s="249"/>
      <c r="F176" s="249" t="str">
        <f>IF($B176="Não", "BLOQUEADO (Aguardar liberação)", IFERROR(IF(VLOOKUP($A176,CTINTERVALO,6,0)=0,"",VLOOKUP($A176,CTINTERVALO,6,0)),""))</f>
        <v/>
      </c>
      <c r="G176" s="80"/>
      <c r="H176" s="80"/>
      <c r="I176" s="79"/>
      <c r="J176" s="79"/>
      <c r="K176" s="80"/>
    </row>
    <row r="177" spans="1:11">
      <c r="A177" s="93"/>
      <c r="B177" s="249" t="str">
        <f>IFERROR(IF(VLOOKUP($A177,CTINTERVALO,2,0)=0,"",VLOOKUP($A177,CTINTERVALO,2,0)),"")</f>
        <v/>
      </c>
      <c r="C177" s="249" t="str">
        <f>IF($B177="Não", "BLOQUEADO (Aguardar liberação)", IFERROR(IF(VLOOKUP($A177,CTINTERVALO,3,0)=0,"",VLOOKUP($A177,CTINTERVALO,3,0)),""))</f>
        <v/>
      </c>
      <c r="D177" s="249" t="str">
        <f>IF($B177="Não", "BLOQUEADO (Aguardar liberação)", IFERROR(IF(VLOOKUP($A177,CTINTERVALO,4,0)=0,"",VLOOKUP($A177,CTINTERVALO,4,0)),""))</f>
        <v/>
      </c>
      <c r="E177" s="249"/>
      <c r="F177" s="249" t="str">
        <f>IF($B177="Não", "BLOQUEADO (Aguardar liberação)", IFERROR(IF(VLOOKUP($A177,CTINTERVALO,6,0)=0,"",VLOOKUP($A177,CTINTERVALO,6,0)),""))</f>
        <v/>
      </c>
      <c r="G177" s="80"/>
      <c r="H177" s="80"/>
      <c r="I177" s="79"/>
      <c r="J177" s="79"/>
      <c r="K177" s="80"/>
    </row>
    <row r="178" spans="1:11">
      <c r="A178" s="93"/>
      <c r="B178" s="249" t="str">
        <f>IFERROR(IF(VLOOKUP($A178,CTINTERVALO,2,0)=0,"",VLOOKUP($A178,CTINTERVALO,2,0)),"")</f>
        <v/>
      </c>
      <c r="C178" s="249" t="str">
        <f>IF($B178="Não", "BLOQUEADO (Aguardar liberação)", IFERROR(IF(VLOOKUP($A178,CTINTERVALO,3,0)=0,"",VLOOKUP($A178,CTINTERVALO,3,0)),""))</f>
        <v/>
      </c>
      <c r="D178" s="249" t="str">
        <f>IF($B178="Não", "BLOQUEADO (Aguardar liberação)", IFERROR(IF(VLOOKUP($A178,CTINTERVALO,4,0)=0,"",VLOOKUP($A178,CTINTERVALO,4,0)),""))</f>
        <v/>
      </c>
      <c r="E178" s="249"/>
      <c r="F178" s="249" t="str">
        <f>IF($B178="Não", "BLOQUEADO (Aguardar liberação)", IFERROR(IF(VLOOKUP($A178,CTINTERVALO,6,0)=0,"",VLOOKUP($A178,CTINTERVALO,6,0)),""))</f>
        <v/>
      </c>
      <c r="G178" s="80"/>
      <c r="H178" s="80"/>
      <c r="I178" s="79"/>
      <c r="J178" s="79"/>
      <c r="K178" s="80"/>
    </row>
    <row r="179" spans="1:11">
      <c r="A179" s="93"/>
      <c r="B179" s="249" t="str">
        <f>IFERROR(IF(VLOOKUP($A179,CTINTERVALO,2,0)=0,"",VLOOKUP($A179,CTINTERVALO,2,0)),"")</f>
        <v/>
      </c>
      <c r="C179" s="249" t="str">
        <f>IF($B179="Não", "BLOQUEADO (Aguardar liberação)", IFERROR(IF(VLOOKUP($A179,CTINTERVALO,3,0)=0,"",VLOOKUP($A179,CTINTERVALO,3,0)),""))</f>
        <v/>
      </c>
      <c r="D179" s="249" t="str">
        <f>IF($B179="Não", "BLOQUEADO (Aguardar liberação)", IFERROR(IF(VLOOKUP($A179,CTINTERVALO,4,0)=0,"",VLOOKUP($A179,CTINTERVALO,4,0)),""))</f>
        <v/>
      </c>
      <c r="E179" s="249"/>
      <c r="F179" s="249" t="str">
        <f>IF($B179="Não", "BLOQUEADO (Aguardar liberação)", IFERROR(IF(VLOOKUP($A179,CTINTERVALO,6,0)=0,"",VLOOKUP($A179,CTINTERVALO,6,0)),""))</f>
        <v/>
      </c>
      <c r="G179" s="80"/>
      <c r="H179" s="80"/>
      <c r="I179" s="79"/>
      <c r="J179" s="79"/>
      <c r="K179" s="80"/>
    </row>
    <row r="180" spans="1:11">
      <c r="A180" s="93"/>
      <c r="B180" s="249" t="str">
        <f>IFERROR(IF(VLOOKUP($A180,CTINTERVALO,2,0)=0,"",VLOOKUP($A180,CTINTERVALO,2,0)),"")</f>
        <v/>
      </c>
      <c r="C180" s="249" t="str">
        <f>IF($B180="Não", "BLOQUEADO (Aguardar liberação)", IFERROR(IF(VLOOKUP($A180,CTINTERVALO,3,0)=0,"",VLOOKUP($A180,CTINTERVALO,3,0)),""))</f>
        <v/>
      </c>
      <c r="D180" s="249" t="str">
        <f>IF($B180="Não", "BLOQUEADO (Aguardar liberação)", IFERROR(IF(VLOOKUP($A180,CTINTERVALO,4,0)=0,"",VLOOKUP($A180,CTINTERVALO,4,0)),""))</f>
        <v/>
      </c>
      <c r="E180" s="249"/>
      <c r="F180" s="249" t="str">
        <f>IF($B180="Não", "BLOQUEADO (Aguardar liberação)", IFERROR(IF(VLOOKUP($A180,CTINTERVALO,6,0)=0,"",VLOOKUP($A180,CTINTERVALO,6,0)),""))</f>
        <v/>
      </c>
      <c r="G180" s="80"/>
      <c r="H180" s="80"/>
      <c r="I180" s="79"/>
      <c r="J180" s="79"/>
      <c r="K180" s="80"/>
    </row>
    <row r="181" spans="1:11">
      <c r="A181" s="93"/>
      <c r="B181" s="249" t="str">
        <f>IFERROR(IF(VLOOKUP($A181,CTINTERVALO,2,0)=0,"",VLOOKUP($A181,CTINTERVALO,2,0)),"")</f>
        <v/>
      </c>
      <c r="C181" s="249" t="str">
        <f>IF($B181="Não", "BLOQUEADO (Aguardar liberação)", IFERROR(IF(VLOOKUP($A181,CTINTERVALO,3,0)=0,"",VLOOKUP($A181,CTINTERVALO,3,0)),""))</f>
        <v/>
      </c>
      <c r="D181" s="249" t="str">
        <f>IF($B181="Não", "BLOQUEADO (Aguardar liberação)", IFERROR(IF(VLOOKUP($A181,CTINTERVALO,4,0)=0,"",VLOOKUP($A181,CTINTERVALO,4,0)),""))</f>
        <v/>
      </c>
      <c r="E181" s="249"/>
      <c r="F181" s="249" t="str">
        <f>IF($B181="Não", "BLOQUEADO (Aguardar liberação)", IFERROR(IF(VLOOKUP($A181,CTINTERVALO,6,0)=0,"",VLOOKUP($A181,CTINTERVALO,6,0)),""))</f>
        <v/>
      </c>
      <c r="G181" s="80"/>
      <c r="H181" s="80"/>
      <c r="I181" s="79"/>
      <c r="J181" s="79"/>
      <c r="K181" s="80"/>
    </row>
    <row r="182" spans="1:11">
      <c r="A182" s="93"/>
      <c r="B182" s="249" t="str">
        <f>IFERROR(IF(VLOOKUP($A182,CTINTERVALO,2,0)=0,"",VLOOKUP($A182,CTINTERVALO,2,0)),"")</f>
        <v/>
      </c>
      <c r="C182" s="249" t="str">
        <f>IF($B182="Não", "BLOQUEADO (Aguardar liberação)", IFERROR(IF(VLOOKUP($A182,CTINTERVALO,3,0)=0,"",VLOOKUP($A182,CTINTERVALO,3,0)),""))</f>
        <v/>
      </c>
      <c r="D182" s="249" t="str">
        <f>IF($B182="Não", "BLOQUEADO (Aguardar liberação)", IFERROR(IF(VLOOKUP($A182,CTINTERVALO,4,0)=0,"",VLOOKUP($A182,CTINTERVALO,4,0)),""))</f>
        <v/>
      </c>
      <c r="E182" s="249"/>
      <c r="F182" s="249" t="str">
        <f>IF($B182="Não", "BLOQUEADO (Aguardar liberação)", IFERROR(IF(VLOOKUP($A182,CTINTERVALO,6,0)=0,"",VLOOKUP($A182,CTINTERVALO,6,0)),""))</f>
        <v/>
      </c>
      <c r="G182" s="80"/>
      <c r="H182" s="80"/>
      <c r="I182" s="79"/>
      <c r="J182" s="79"/>
      <c r="K182" s="80"/>
    </row>
    <row r="183" spans="1:11">
      <c r="A183" s="93"/>
      <c r="B183" s="249" t="str">
        <f>IFERROR(IF(VLOOKUP($A183,CTINTERVALO,2,0)=0,"",VLOOKUP($A183,CTINTERVALO,2,0)),"")</f>
        <v/>
      </c>
      <c r="C183" s="249" t="str">
        <f>IF($B183="Não", "BLOQUEADO (Aguardar liberação)", IFERROR(IF(VLOOKUP($A183,CTINTERVALO,3,0)=0,"",VLOOKUP($A183,CTINTERVALO,3,0)),""))</f>
        <v/>
      </c>
      <c r="D183" s="249" t="str">
        <f>IF($B183="Não", "BLOQUEADO (Aguardar liberação)", IFERROR(IF(VLOOKUP($A183,CTINTERVALO,4,0)=0,"",VLOOKUP($A183,CTINTERVALO,4,0)),""))</f>
        <v/>
      </c>
      <c r="E183" s="249"/>
      <c r="F183" s="249" t="str">
        <f>IF($B183="Não", "BLOQUEADO (Aguardar liberação)", IFERROR(IF(VLOOKUP($A183,CTINTERVALO,6,0)=0,"",VLOOKUP($A183,CTINTERVALO,6,0)),""))</f>
        <v/>
      </c>
      <c r="G183" s="80"/>
      <c r="H183" s="80"/>
      <c r="I183" s="79"/>
      <c r="J183" s="79"/>
      <c r="K183" s="80"/>
    </row>
    <row r="184" spans="1:11">
      <c r="A184" s="93"/>
      <c r="B184" s="249" t="str">
        <f>IFERROR(IF(VLOOKUP($A184,CTINTERVALO,2,0)=0,"",VLOOKUP($A184,CTINTERVALO,2,0)),"")</f>
        <v/>
      </c>
      <c r="C184" s="249" t="str">
        <f>IF($B184="Não", "BLOQUEADO (Aguardar liberação)", IFERROR(IF(VLOOKUP($A184,CTINTERVALO,3,0)=0,"",VLOOKUP($A184,CTINTERVALO,3,0)),""))</f>
        <v/>
      </c>
      <c r="D184" s="249" t="str">
        <f>IF($B184="Não", "BLOQUEADO (Aguardar liberação)", IFERROR(IF(VLOOKUP($A184,CTINTERVALO,4,0)=0,"",VLOOKUP($A184,CTINTERVALO,4,0)),""))</f>
        <v/>
      </c>
      <c r="E184" s="249"/>
      <c r="F184" s="249" t="str">
        <f>IF($B184="Não", "BLOQUEADO (Aguardar liberação)", IFERROR(IF(VLOOKUP($A184,CTINTERVALO,6,0)=0,"",VLOOKUP($A184,CTINTERVALO,6,0)),""))</f>
        <v/>
      </c>
      <c r="G184" s="80"/>
      <c r="H184" s="80"/>
      <c r="I184" s="79"/>
      <c r="J184" s="79"/>
      <c r="K184" s="80"/>
    </row>
    <row r="185" spans="1:11">
      <c r="A185" s="93"/>
      <c r="B185" s="249" t="str">
        <f>IFERROR(IF(VLOOKUP($A185,CTINTERVALO,2,0)=0,"",VLOOKUP($A185,CTINTERVALO,2,0)),"")</f>
        <v/>
      </c>
      <c r="C185" s="249" t="str">
        <f>IF($B185="Não", "BLOQUEADO (Aguardar liberação)", IFERROR(IF(VLOOKUP($A185,CTINTERVALO,3,0)=0,"",VLOOKUP($A185,CTINTERVALO,3,0)),""))</f>
        <v/>
      </c>
      <c r="D185" s="249" t="str">
        <f>IF($B185="Não", "BLOQUEADO (Aguardar liberação)", IFERROR(IF(VLOOKUP($A185,CTINTERVALO,4,0)=0,"",VLOOKUP($A185,CTINTERVALO,4,0)),""))</f>
        <v/>
      </c>
      <c r="E185" s="249"/>
      <c r="F185" s="249" t="str">
        <f>IF($B185="Não", "BLOQUEADO (Aguardar liberação)", IFERROR(IF(VLOOKUP($A185,CTINTERVALO,6,0)=0,"",VLOOKUP($A185,CTINTERVALO,6,0)),""))</f>
        <v/>
      </c>
      <c r="G185" s="80"/>
      <c r="H185" s="80"/>
      <c r="I185" s="79"/>
      <c r="J185" s="79"/>
      <c r="K185" s="80"/>
    </row>
    <row r="186" spans="1:11">
      <c r="A186" s="93"/>
      <c r="B186" s="249" t="str">
        <f>IFERROR(IF(VLOOKUP($A186,CTINTERVALO,2,0)=0,"",VLOOKUP($A186,CTINTERVALO,2,0)),"")</f>
        <v/>
      </c>
      <c r="C186" s="249" t="str">
        <f>IF($B186="Não", "BLOQUEADO (Aguardar liberação)", IFERROR(IF(VLOOKUP($A186,CTINTERVALO,3,0)=0,"",VLOOKUP($A186,CTINTERVALO,3,0)),""))</f>
        <v/>
      </c>
      <c r="D186" s="249" t="str">
        <f>IF($B186="Não", "BLOQUEADO (Aguardar liberação)", IFERROR(IF(VLOOKUP($A186,CTINTERVALO,4,0)=0,"",VLOOKUP($A186,CTINTERVALO,4,0)),""))</f>
        <v/>
      </c>
      <c r="E186" s="249"/>
      <c r="F186" s="249" t="str">
        <f>IF($B186="Não", "BLOQUEADO (Aguardar liberação)", IFERROR(IF(VLOOKUP($A186,CTINTERVALO,6,0)=0,"",VLOOKUP($A186,CTINTERVALO,6,0)),""))</f>
        <v/>
      </c>
      <c r="G186" s="80"/>
      <c r="H186" s="80"/>
      <c r="I186" s="79"/>
      <c r="J186" s="79"/>
      <c r="K186" s="80"/>
    </row>
    <row r="187" spans="1:11">
      <c r="A187" s="93"/>
      <c r="B187" s="249" t="str">
        <f>IFERROR(IF(VLOOKUP($A187,CTINTERVALO,2,0)=0,"",VLOOKUP($A187,CTINTERVALO,2,0)),"")</f>
        <v/>
      </c>
      <c r="C187" s="249" t="str">
        <f>IF($B187="Não", "BLOQUEADO (Aguardar liberação)", IFERROR(IF(VLOOKUP($A187,CTINTERVALO,3,0)=0,"",VLOOKUP($A187,CTINTERVALO,3,0)),""))</f>
        <v/>
      </c>
      <c r="D187" s="249" t="str">
        <f>IF($B187="Não", "BLOQUEADO (Aguardar liberação)", IFERROR(IF(VLOOKUP($A187,CTINTERVALO,4,0)=0,"",VLOOKUP($A187,CTINTERVALO,4,0)),""))</f>
        <v/>
      </c>
      <c r="E187" s="249"/>
      <c r="F187" s="249" t="str">
        <f>IF($B187="Não", "BLOQUEADO (Aguardar liberação)", IFERROR(IF(VLOOKUP($A187,CTINTERVALO,6,0)=0,"",VLOOKUP($A187,CTINTERVALO,6,0)),""))</f>
        <v/>
      </c>
      <c r="G187" s="80"/>
      <c r="H187" s="80"/>
      <c r="I187" s="79"/>
      <c r="J187" s="79"/>
      <c r="K187" s="80"/>
    </row>
    <row r="188" spans="1:11">
      <c r="A188" s="93"/>
      <c r="B188" s="249" t="str">
        <f>IFERROR(IF(VLOOKUP($A188,CTINTERVALO,2,0)=0,"",VLOOKUP($A188,CTINTERVALO,2,0)),"")</f>
        <v/>
      </c>
      <c r="C188" s="249" t="str">
        <f>IF($B188="Não", "BLOQUEADO (Aguardar liberação)", IFERROR(IF(VLOOKUP($A188,CTINTERVALO,3,0)=0,"",VLOOKUP($A188,CTINTERVALO,3,0)),""))</f>
        <v/>
      </c>
      <c r="D188" s="249" t="str">
        <f>IF($B188="Não", "BLOQUEADO (Aguardar liberação)", IFERROR(IF(VLOOKUP($A188,CTINTERVALO,4,0)=0,"",VLOOKUP($A188,CTINTERVALO,4,0)),""))</f>
        <v/>
      </c>
      <c r="E188" s="249"/>
      <c r="F188" s="249" t="str">
        <f>IF($B188="Não", "BLOQUEADO (Aguardar liberação)", IFERROR(IF(VLOOKUP($A188,CTINTERVALO,6,0)=0,"",VLOOKUP($A188,CTINTERVALO,6,0)),""))</f>
        <v/>
      </c>
      <c r="G188" s="80"/>
      <c r="H188" s="80"/>
      <c r="I188" s="79"/>
      <c r="J188" s="79"/>
      <c r="K188" s="80"/>
    </row>
    <row r="189" spans="1:11">
      <c r="A189" s="93"/>
      <c r="B189" s="249" t="str">
        <f>IFERROR(IF(VLOOKUP($A189,CTINTERVALO,2,0)=0,"",VLOOKUP($A189,CTINTERVALO,2,0)),"")</f>
        <v/>
      </c>
      <c r="C189" s="249" t="str">
        <f>IF($B189="Não", "BLOQUEADO (Aguardar liberação)", IFERROR(IF(VLOOKUP($A189,CTINTERVALO,3,0)=0,"",VLOOKUP($A189,CTINTERVALO,3,0)),""))</f>
        <v/>
      </c>
      <c r="D189" s="249" t="str">
        <f>IF($B189="Não", "BLOQUEADO (Aguardar liberação)", IFERROR(IF(VLOOKUP($A189,CTINTERVALO,4,0)=0,"",VLOOKUP($A189,CTINTERVALO,4,0)),""))</f>
        <v/>
      </c>
      <c r="E189" s="249"/>
      <c r="F189" s="249" t="str">
        <f>IF($B189="Não", "BLOQUEADO (Aguardar liberação)", IFERROR(IF(VLOOKUP($A189,CTINTERVALO,6,0)=0,"",VLOOKUP($A189,CTINTERVALO,6,0)),""))</f>
        <v/>
      </c>
      <c r="G189" s="80"/>
      <c r="H189" s="80"/>
      <c r="I189" s="79"/>
      <c r="J189" s="79"/>
      <c r="K189" s="80"/>
    </row>
    <row r="190" spans="1:11">
      <c r="A190" s="93"/>
      <c r="B190" s="249" t="str">
        <f>IFERROR(IF(VLOOKUP($A190,CTINTERVALO,2,0)=0,"",VLOOKUP($A190,CTINTERVALO,2,0)),"")</f>
        <v/>
      </c>
      <c r="C190" s="249" t="str">
        <f>IF($B190="Não", "BLOQUEADO (Aguardar liberação)", IFERROR(IF(VLOOKUP($A190,CTINTERVALO,3,0)=0,"",VLOOKUP($A190,CTINTERVALO,3,0)),""))</f>
        <v/>
      </c>
      <c r="D190" s="249" t="str">
        <f>IF($B190="Não", "BLOQUEADO (Aguardar liberação)", IFERROR(IF(VLOOKUP($A190,CTINTERVALO,4,0)=0,"",VLOOKUP($A190,CTINTERVALO,4,0)),""))</f>
        <v/>
      </c>
      <c r="E190" s="249"/>
      <c r="F190" s="249" t="str">
        <f>IF($B190="Não", "BLOQUEADO (Aguardar liberação)", IFERROR(IF(VLOOKUP($A190,CTINTERVALO,6,0)=0,"",VLOOKUP($A190,CTINTERVALO,6,0)),""))</f>
        <v/>
      </c>
      <c r="G190" s="80"/>
      <c r="H190" s="80"/>
      <c r="I190" s="79"/>
      <c r="J190" s="79"/>
      <c r="K190" s="80"/>
    </row>
    <row r="191" spans="1:11">
      <c r="A191" s="93"/>
      <c r="B191" s="249" t="str">
        <f>IFERROR(IF(VLOOKUP($A191,CTINTERVALO,2,0)=0,"",VLOOKUP($A191,CTINTERVALO,2,0)),"")</f>
        <v/>
      </c>
      <c r="C191" s="249" t="str">
        <f>IF($B191="Não", "BLOQUEADO (Aguardar liberação)", IFERROR(IF(VLOOKUP($A191,CTINTERVALO,3,0)=0,"",VLOOKUP($A191,CTINTERVALO,3,0)),""))</f>
        <v/>
      </c>
      <c r="D191" s="249" t="str">
        <f>IF($B191="Não", "BLOQUEADO (Aguardar liberação)", IFERROR(IF(VLOOKUP($A191,CTINTERVALO,4,0)=0,"",VLOOKUP($A191,CTINTERVALO,4,0)),""))</f>
        <v/>
      </c>
      <c r="E191" s="249"/>
      <c r="F191" s="249" t="str">
        <f>IF($B191="Não", "BLOQUEADO (Aguardar liberação)", IFERROR(IF(VLOOKUP($A191,CTINTERVALO,6,0)=0,"",VLOOKUP($A191,CTINTERVALO,6,0)),""))</f>
        <v/>
      </c>
      <c r="G191" s="80"/>
      <c r="H191" s="80"/>
      <c r="I191" s="79"/>
      <c r="J191" s="79"/>
      <c r="K191" s="80"/>
    </row>
    <row r="192" spans="1:11">
      <c r="A192" s="93"/>
      <c r="B192" s="249" t="str">
        <f>IFERROR(IF(VLOOKUP($A192,CTINTERVALO,2,0)=0,"",VLOOKUP($A192,CTINTERVALO,2,0)),"")</f>
        <v/>
      </c>
      <c r="C192" s="249" t="str">
        <f>IF($B192="Não", "BLOQUEADO (Aguardar liberação)", IFERROR(IF(VLOOKUP($A192,CTINTERVALO,3,0)=0,"",VLOOKUP($A192,CTINTERVALO,3,0)),""))</f>
        <v/>
      </c>
      <c r="D192" s="249" t="str">
        <f>IF($B192="Não", "BLOQUEADO (Aguardar liberação)", IFERROR(IF(VLOOKUP($A192,CTINTERVALO,4,0)=0,"",VLOOKUP($A192,CTINTERVALO,4,0)),""))</f>
        <v/>
      </c>
      <c r="E192" s="249"/>
      <c r="F192" s="249" t="str">
        <f>IF($B192="Não", "BLOQUEADO (Aguardar liberação)", IFERROR(IF(VLOOKUP($A192,CTINTERVALO,6,0)=0,"",VLOOKUP($A192,CTINTERVALO,6,0)),""))</f>
        <v/>
      </c>
      <c r="G192" s="80"/>
      <c r="H192" s="80"/>
      <c r="I192" s="79"/>
      <c r="J192" s="79"/>
      <c r="K192" s="80"/>
    </row>
    <row r="193" spans="1:11">
      <c r="A193" s="93"/>
      <c r="B193" s="249" t="str">
        <f>IFERROR(IF(VLOOKUP($A193,CTINTERVALO,2,0)=0,"",VLOOKUP($A193,CTINTERVALO,2,0)),"")</f>
        <v/>
      </c>
      <c r="C193" s="249" t="str">
        <f>IF($B193="Não", "BLOQUEADO (Aguardar liberação)", IFERROR(IF(VLOOKUP($A193,CTINTERVALO,3,0)=0,"",VLOOKUP($A193,CTINTERVALO,3,0)),""))</f>
        <v/>
      </c>
      <c r="D193" s="249" t="str">
        <f>IF($B193="Não", "BLOQUEADO (Aguardar liberação)", IFERROR(IF(VLOOKUP($A193,CTINTERVALO,4,0)=0,"",VLOOKUP($A193,CTINTERVALO,4,0)),""))</f>
        <v/>
      </c>
      <c r="E193" s="249"/>
      <c r="F193" s="249" t="str">
        <f>IF($B193="Não", "BLOQUEADO (Aguardar liberação)", IFERROR(IF(VLOOKUP($A193,CTINTERVALO,6,0)=0,"",VLOOKUP($A193,CTINTERVALO,6,0)),""))</f>
        <v/>
      </c>
      <c r="G193" s="80"/>
      <c r="H193" s="80"/>
      <c r="I193" s="79"/>
      <c r="J193" s="79"/>
      <c r="K193" s="80"/>
    </row>
    <row r="194" spans="1:11">
      <c r="A194" s="93"/>
      <c r="B194" s="249" t="str">
        <f>IFERROR(IF(VLOOKUP($A194,CTINTERVALO,2,0)=0,"",VLOOKUP($A194,CTINTERVALO,2,0)),"")</f>
        <v/>
      </c>
      <c r="C194" s="249" t="str">
        <f>IF($B194="Não", "BLOQUEADO (Aguardar liberação)", IFERROR(IF(VLOOKUP($A194,CTINTERVALO,3,0)=0,"",VLOOKUP($A194,CTINTERVALO,3,0)),""))</f>
        <v/>
      </c>
      <c r="D194" s="249" t="str">
        <f>IF($B194="Não", "BLOQUEADO (Aguardar liberação)", IFERROR(IF(VLOOKUP($A194,CTINTERVALO,4,0)=0,"",VLOOKUP($A194,CTINTERVALO,4,0)),""))</f>
        <v/>
      </c>
      <c r="E194" s="249"/>
      <c r="F194" s="249" t="str">
        <f>IF($B194="Não", "BLOQUEADO (Aguardar liberação)", IFERROR(IF(VLOOKUP($A194,CTINTERVALO,6,0)=0,"",VLOOKUP($A194,CTINTERVALO,6,0)),""))</f>
        <v/>
      </c>
      <c r="G194" s="80"/>
      <c r="H194" s="80"/>
      <c r="I194" s="79"/>
      <c r="J194" s="79"/>
      <c r="K194" s="80"/>
    </row>
    <row r="195" spans="1:11">
      <c r="A195" s="93"/>
      <c r="B195" s="249" t="str">
        <f>IFERROR(IF(VLOOKUP($A195,CTINTERVALO,2,0)=0,"",VLOOKUP($A195,CTINTERVALO,2,0)),"")</f>
        <v/>
      </c>
      <c r="C195" s="249" t="str">
        <f>IF($B195="Não", "BLOQUEADO (Aguardar liberação)", IFERROR(IF(VLOOKUP($A195,CTINTERVALO,3,0)=0,"",VLOOKUP($A195,CTINTERVALO,3,0)),""))</f>
        <v/>
      </c>
      <c r="D195" s="249" t="str">
        <f>IF($B195="Não", "BLOQUEADO (Aguardar liberação)", IFERROR(IF(VLOOKUP($A195,CTINTERVALO,4,0)=0,"",VLOOKUP($A195,CTINTERVALO,4,0)),""))</f>
        <v/>
      </c>
      <c r="E195" s="249"/>
      <c r="F195" s="249" t="str">
        <f>IF($B195="Não", "BLOQUEADO (Aguardar liberação)", IFERROR(IF(VLOOKUP($A195,CTINTERVALO,6,0)=0,"",VLOOKUP($A195,CTINTERVALO,6,0)),""))</f>
        <v/>
      </c>
      <c r="G195" s="80"/>
      <c r="H195" s="80"/>
      <c r="I195" s="79"/>
      <c r="J195" s="79"/>
      <c r="K195" s="80"/>
    </row>
    <row r="196" spans="1:11">
      <c r="A196" s="93"/>
      <c r="B196" s="249" t="str">
        <f>IFERROR(IF(VLOOKUP($A196,CTINTERVALO,2,0)=0,"",VLOOKUP($A196,CTINTERVALO,2,0)),"")</f>
        <v/>
      </c>
      <c r="C196" s="249" t="str">
        <f>IF($B196="Não", "BLOQUEADO (Aguardar liberação)", IFERROR(IF(VLOOKUP($A196,CTINTERVALO,3,0)=0,"",VLOOKUP($A196,CTINTERVALO,3,0)),""))</f>
        <v/>
      </c>
      <c r="D196" s="249" t="str">
        <f>IF($B196="Não", "BLOQUEADO (Aguardar liberação)", IFERROR(IF(VLOOKUP($A196,CTINTERVALO,4,0)=0,"",VLOOKUP($A196,CTINTERVALO,4,0)),""))</f>
        <v/>
      </c>
      <c r="E196" s="249"/>
      <c r="F196" s="249" t="str">
        <f>IF($B196="Não", "BLOQUEADO (Aguardar liberação)", IFERROR(IF(VLOOKUP($A196,CTINTERVALO,6,0)=0,"",VLOOKUP($A196,CTINTERVALO,6,0)),""))</f>
        <v/>
      </c>
      <c r="G196" s="80"/>
      <c r="H196" s="80"/>
      <c r="I196" s="79"/>
      <c r="J196" s="79"/>
      <c r="K196" s="80"/>
    </row>
    <row r="197" spans="1:11">
      <c r="A197" s="93"/>
      <c r="B197" s="249" t="str">
        <f>IFERROR(IF(VLOOKUP($A197,CTINTERVALO,2,0)=0,"",VLOOKUP($A197,CTINTERVALO,2,0)),"")</f>
        <v/>
      </c>
      <c r="C197" s="249" t="str">
        <f>IF($B197="Não", "BLOQUEADO (Aguardar liberação)", IFERROR(IF(VLOOKUP($A197,CTINTERVALO,3,0)=0,"",VLOOKUP($A197,CTINTERVALO,3,0)),""))</f>
        <v/>
      </c>
      <c r="D197" s="249" t="str">
        <f>IF($B197="Não", "BLOQUEADO (Aguardar liberação)", IFERROR(IF(VLOOKUP($A197,CTINTERVALO,4,0)=0,"",VLOOKUP($A197,CTINTERVALO,4,0)),""))</f>
        <v/>
      </c>
      <c r="E197" s="249"/>
      <c r="F197" s="249" t="str">
        <f>IF($B197="Não", "BLOQUEADO (Aguardar liberação)", IFERROR(IF(VLOOKUP($A197,CTINTERVALO,6,0)=0,"",VLOOKUP($A197,CTINTERVALO,6,0)),""))</f>
        <v/>
      </c>
      <c r="G197" s="80"/>
      <c r="H197" s="80"/>
      <c r="I197" s="79"/>
      <c r="J197" s="79"/>
      <c r="K197" s="80"/>
    </row>
    <row r="198" spans="1:11">
      <c r="A198" s="93"/>
      <c r="B198" s="249" t="str">
        <f>IFERROR(IF(VLOOKUP($A198,CTINTERVALO,2,0)=0,"",VLOOKUP($A198,CTINTERVALO,2,0)),"")</f>
        <v/>
      </c>
      <c r="C198" s="249" t="str">
        <f>IF($B198="Não", "BLOQUEADO (Aguardar liberação)", IFERROR(IF(VLOOKUP($A198,CTINTERVALO,3,0)=0,"",VLOOKUP($A198,CTINTERVALO,3,0)),""))</f>
        <v/>
      </c>
      <c r="D198" s="249" t="str">
        <f>IF($B198="Não", "BLOQUEADO (Aguardar liberação)", IFERROR(IF(VLOOKUP($A198,CTINTERVALO,4,0)=0,"",VLOOKUP($A198,CTINTERVALO,4,0)),""))</f>
        <v/>
      </c>
      <c r="E198" s="249"/>
      <c r="F198" s="249" t="str">
        <f>IF($B198="Não", "BLOQUEADO (Aguardar liberação)", IFERROR(IF(VLOOKUP($A198,CTINTERVALO,6,0)=0,"",VLOOKUP($A198,CTINTERVALO,6,0)),""))</f>
        <v/>
      </c>
      <c r="G198" s="80"/>
      <c r="H198" s="80"/>
      <c r="I198" s="79"/>
      <c r="J198" s="79"/>
      <c r="K198" s="80"/>
    </row>
    <row r="199" spans="1:11">
      <c r="A199" s="93"/>
      <c r="B199" s="249" t="str">
        <f>IFERROR(IF(VLOOKUP($A199,CTINTERVALO,2,0)=0,"",VLOOKUP($A199,CTINTERVALO,2,0)),"")</f>
        <v/>
      </c>
      <c r="C199" s="249" t="str">
        <f>IF($B199="Não", "BLOQUEADO (Aguardar liberação)", IFERROR(IF(VLOOKUP($A199,CTINTERVALO,3,0)=0,"",VLOOKUP($A199,CTINTERVALO,3,0)),""))</f>
        <v/>
      </c>
      <c r="D199" s="249" t="str">
        <f>IF($B199="Não", "BLOQUEADO (Aguardar liberação)", IFERROR(IF(VLOOKUP($A199,CTINTERVALO,4,0)=0,"",VLOOKUP($A199,CTINTERVALO,4,0)),""))</f>
        <v/>
      </c>
      <c r="E199" s="249"/>
      <c r="F199" s="249" t="str">
        <f>IF($B199="Não", "BLOQUEADO (Aguardar liberação)", IFERROR(IF(VLOOKUP($A199,CTINTERVALO,6,0)=0,"",VLOOKUP($A199,CTINTERVALO,6,0)),""))</f>
        <v/>
      </c>
      <c r="G199" s="80"/>
      <c r="H199" s="80"/>
      <c r="I199" s="79"/>
      <c r="J199" s="79"/>
      <c r="K199" s="80"/>
    </row>
    <row r="200" spans="1:11">
      <c r="A200" s="93"/>
      <c r="B200" s="249" t="str">
        <f>IFERROR(IF(VLOOKUP($A200,CTINTERVALO,2,0)=0,"",VLOOKUP($A200,CTINTERVALO,2,0)),"")</f>
        <v/>
      </c>
      <c r="C200" s="249" t="str">
        <f>IF($B200="Não", "BLOQUEADO (Aguardar liberação)", IFERROR(IF(VLOOKUP($A200,CTINTERVALO,3,0)=0,"",VLOOKUP($A200,CTINTERVALO,3,0)),""))</f>
        <v/>
      </c>
      <c r="D200" s="249" t="str">
        <f>IF($B200="Não", "BLOQUEADO (Aguardar liberação)", IFERROR(IF(VLOOKUP($A200,CTINTERVALO,4,0)=0,"",VLOOKUP($A200,CTINTERVALO,4,0)),""))</f>
        <v/>
      </c>
      <c r="E200" s="249"/>
      <c r="F200" s="249" t="str">
        <f>IF($B200="Não", "BLOQUEADO (Aguardar liberação)", IFERROR(IF(VLOOKUP($A200,CTINTERVALO,6,0)=0,"",VLOOKUP($A200,CTINTERVALO,6,0)),""))</f>
        <v/>
      </c>
      <c r="G200" s="80"/>
      <c r="H200" s="80"/>
      <c r="I200" s="79"/>
      <c r="J200" s="79"/>
      <c r="K200" s="80"/>
    </row>
    <row r="201" spans="1:11">
      <c r="A201" s="93"/>
      <c r="B201" s="249" t="str">
        <f>IFERROR(IF(VLOOKUP($A201,CTINTERVALO,2,0)=0,"",VLOOKUP($A201,CTINTERVALO,2,0)),"")</f>
        <v/>
      </c>
      <c r="C201" s="249" t="str">
        <f>IF($B201="Não", "BLOQUEADO (Aguardar liberação)", IFERROR(IF(VLOOKUP($A201,CTINTERVALO,3,0)=0,"",VLOOKUP($A201,CTINTERVALO,3,0)),""))</f>
        <v/>
      </c>
      <c r="D201" s="249" t="str">
        <f>IF($B201="Não", "BLOQUEADO (Aguardar liberação)", IFERROR(IF(VLOOKUP($A201,CTINTERVALO,4,0)=0,"",VLOOKUP($A201,CTINTERVALO,4,0)),""))</f>
        <v/>
      </c>
      <c r="E201" s="249"/>
      <c r="F201" s="249" t="str">
        <f>IF($B201="Não", "BLOQUEADO (Aguardar liberação)", IFERROR(IF(VLOOKUP($A201,CTINTERVALO,6,0)=0,"",VLOOKUP($A201,CTINTERVALO,6,0)),""))</f>
        <v/>
      </c>
      <c r="G201" s="80"/>
      <c r="H201" s="80"/>
      <c r="I201" s="79"/>
      <c r="J201" s="79"/>
      <c r="K201" s="80"/>
    </row>
    <row r="202" spans="1:11">
      <c r="A202" s="93"/>
      <c r="B202" s="249" t="str">
        <f>IFERROR(IF(VLOOKUP($A202,CTINTERVALO,2,0)=0,"",VLOOKUP($A202,CTINTERVALO,2,0)),"")</f>
        <v/>
      </c>
      <c r="C202" s="249" t="str">
        <f>IF($B202="Não", "BLOQUEADO (Aguardar liberação)", IFERROR(IF(VLOOKUP($A202,CTINTERVALO,3,0)=0,"",VLOOKUP($A202,CTINTERVALO,3,0)),""))</f>
        <v/>
      </c>
      <c r="D202" s="249" t="str">
        <f>IF($B202="Não", "BLOQUEADO (Aguardar liberação)", IFERROR(IF(VLOOKUP($A202,CTINTERVALO,4,0)=0,"",VLOOKUP($A202,CTINTERVALO,4,0)),""))</f>
        <v/>
      </c>
      <c r="E202" s="249"/>
      <c r="F202" s="249" t="str">
        <f>IF($B202="Não", "BLOQUEADO (Aguardar liberação)", IFERROR(IF(VLOOKUP($A202,CTINTERVALO,6,0)=0,"",VLOOKUP($A202,CTINTERVALO,6,0)),""))</f>
        <v/>
      </c>
      <c r="G202" s="80"/>
      <c r="H202" s="80"/>
      <c r="I202" s="79"/>
      <c r="J202" s="79"/>
      <c r="K202" s="80"/>
    </row>
    <row r="203" spans="1:11">
      <c r="A203" s="93"/>
      <c r="B203" s="249" t="str">
        <f>IFERROR(IF(VLOOKUP($A203,CTINTERVALO,2,0)=0,"",VLOOKUP($A203,CTINTERVALO,2,0)),"")</f>
        <v/>
      </c>
      <c r="C203" s="249" t="str">
        <f>IF($B203="Não", "BLOQUEADO (Aguardar liberação)", IFERROR(IF(VLOOKUP($A203,CTINTERVALO,3,0)=0,"",VLOOKUP($A203,CTINTERVALO,3,0)),""))</f>
        <v/>
      </c>
      <c r="D203" s="249" t="str">
        <f>IF($B203="Não", "BLOQUEADO (Aguardar liberação)", IFERROR(IF(VLOOKUP($A203,CTINTERVALO,4,0)=0,"",VLOOKUP($A203,CTINTERVALO,4,0)),""))</f>
        <v/>
      </c>
      <c r="E203" s="249"/>
      <c r="F203" s="249" t="str">
        <f>IF($B203="Não", "BLOQUEADO (Aguardar liberação)", IFERROR(IF(VLOOKUP($A203,CTINTERVALO,6,0)=0,"",VLOOKUP($A203,CTINTERVALO,6,0)),""))</f>
        <v/>
      </c>
      <c r="G203" s="80"/>
      <c r="H203" s="80"/>
      <c r="I203" s="79"/>
      <c r="J203" s="79"/>
      <c r="K203" s="80"/>
    </row>
    <row r="204" spans="1:11">
      <c r="A204" s="93"/>
      <c r="B204" s="249" t="str">
        <f>IFERROR(IF(VLOOKUP($A204,CTINTERVALO,2,0)=0,"",VLOOKUP($A204,CTINTERVALO,2,0)),"")</f>
        <v/>
      </c>
      <c r="C204" s="249" t="str">
        <f>IF($B204="Não", "BLOQUEADO (Aguardar liberação)", IFERROR(IF(VLOOKUP($A204,CTINTERVALO,3,0)=0,"",VLOOKUP($A204,CTINTERVALO,3,0)),""))</f>
        <v/>
      </c>
      <c r="D204" s="249" t="str">
        <f>IF($B204="Não", "BLOQUEADO (Aguardar liberação)", IFERROR(IF(VLOOKUP($A204,CTINTERVALO,4,0)=0,"",VLOOKUP($A204,CTINTERVALO,4,0)),""))</f>
        <v/>
      </c>
      <c r="E204" s="249"/>
      <c r="F204" s="249" t="str">
        <f>IF($B204="Não", "BLOQUEADO (Aguardar liberação)", IFERROR(IF(VLOOKUP($A204,CTINTERVALO,6,0)=0,"",VLOOKUP($A204,CTINTERVALO,6,0)),""))</f>
        <v/>
      </c>
      <c r="G204" s="80"/>
      <c r="H204" s="80"/>
      <c r="I204" s="79"/>
      <c r="J204" s="79"/>
      <c r="K204" s="80"/>
    </row>
    <row r="205" spans="1:11">
      <c r="A205" s="93"/>
      <c r="B205" s="249" t="str">
        <f>IFERROR(IF(VLOOKUP($A205,CTINTERVALO,2,0)=0,"",VLOOKUP($A205,CTINTERVALO,2,0)),"")</f>
        <v/>
      </c>
      <c r="C205" s="249" t="str">
        <f>IF($B205="Não", "BLOQUEADO (Aguardar liberação)", IFERROR(IF(VLOOKUP($A205,CTINTERVALO,3,0)=0,"",VLOOKUP($A205,CTINTERVALO,3,0)),""))</f>
        <v/>
      </c>
      <c r="D205" s="249" t="str">
        <f>IF($B205="Não", "BLOQUEADO (Aguardar liberação)", IFERROR(IF(VLOOKUP($A205,CTINTERVALO,4,0)=0,"",VLOOKUP($A205,CTINTERVALO,4,0)),""))</f>
        <v/>
      </c>
      <c r="E205" s="249"/>
      <c r="F205" s="249" t="str">
        <f>IF($B205="Não", "BLOQUEADO (Aguardar liberação)", IFERROR(IF(VLOOKUP($A205,CTINTERVALO,6,0)=0,"",VLOOKUP($A205,CTINTERVALO,6,0)),""))</f>
        <v/>
      </c>
      <c r="G205" s="80"/>
      <c r="H205" s="80"/>
      <c r="I205" s="79"/>
      <c r="J205" s="79"/>
      <c r="K205" s="80"/>
    </row>
    <row r="206" spans="1:11">
      <c r="A206" s="93"/>
      <c r="B206" s="249" t="str">
        <f>IFERROR(IF(VLOOKUP($A206,CTINTERVALO,2,0)=0,"",VLOOKUP($A206,CTINTERVALO,2,0)),"")</f>
        <v/>
      </c>
      <c r="C206" s="249" t="str">
        <f>IF($B206="Não", "BLOQUEADO (Aguardar liberação)", IFERROR(IF(VLOOKUP($A206,CTINTERVALO,3,0)=0,"",VLOOKUP($A206,CTINTERVALO,3,0)),""))</f>
        <v/>
      </c>
      <c r="D206" s="249" t="str">
        <f>IF($B206="Não", "BLOQUEADO (Aguardar liberação)", IFERROR(IF(VLOOKUP($A206,CTINTERVALO,4,0)=0,"",VLOOKUP($A206,CTINTERVALO,4,0)),""))</f>
        <v/>
      </c>
      <c r="E206" s="249"/>
      <c r="F206" s="249" t="str">
        <f>IF($B206="Não", "BLOQUEADO (Aguardar liberação)", IFERROR(IF(VLOOKUP($A206,CTINTERVALO,6,0)=0,"",VLOOKUP($A206,CTINTERVALO,6,0)),""))</f>
        <v/>
      </c>
      <c r="G206" s="80"/>
      <c r="H206" s="80"/>
      <c r="I206" s="79"/>
      <c r="J206" s="79"/>
      <c r="K206" s="80"/>
    </row>
    <row r="207" spans="1:11">
      <c r="A207" s="93"/>
      <c r="B207" s="249" t="str">
        <f>IFERROR(IF(VLOOKUP($A207,CTINTERVALO,2,0)=0,"",VLOOKUP($A207,CTINTERVALO,2,0)),"")</f>
        <v/>
      </c>
      <c r="C207" s="249" t="str">
        <f>IF($B207="Não", "BLOQUEADO (Aguardar liberação)", IFERROR(IF(VLOOKUP($A207,CTINTERVALO,3,0)=0,"",VLOOKUP($A207,CTINTERVALO,3,0)),""))</f>
        <v/>
      </c>
      <c r="D207" s="249" t="str">
        <f>IF($B207="Não", "BLOQUEADO (Aguardar liberação)", IFERROR(IF(VLOOKUP($A207,CTINTERVALO,4,0)=0,"",VLOOKUP($A207,CTINTERVALO,4,0)),""))</f>
        <v/>
      </c>
      <c r="E207" s="249"/>
      <c r="F207" s="249" t="str">
        <f>IF($B207="Não", "BLOQUEADO (Aguardar liberação)", IFERROR(IF(VLOOKUP($A207,CTINTERVALO,6,0)=0,"",VLOOKUP($A207,CTINTERVALO,6,0)),""))</f>
        <v/>
      </c>
      <c r="G207" s="80"/>
      <c r="H207" s="80"/>
      <c r="I207" s="79"/>
      <c r="J207" s="79"/>
      <c r="K207" s="80"/>
    </row>
    <row r="208" spans="1:11">
      <c r="A208" s="93"/>
      <c r="B208" s="249" t="str">
        <f>IFERROR(IF(VLOOKUP($A208,CTINTERVALO,2,0)=0,"",VLOOKUP($A208,CTINTERVALO,2,0)),"")</f>
        <v/>
      </c>
      <c r="C208" s="249" t="str">
        <f>IF($B208="Não", "BLOQUEADO (Aguardar liberação)", IFERROR(IF(VLOOKUP($A208,CTINTERVALO,3,0)=0,"",VLOOKUP($A208,CTINTERVALO,3,0)),""))</f>
        <v/>
      </c>
      <c r="D208" s="249" t="str">
        <f>IF($B208="Não", "BLOQUEADO (Aguardar liberação)", IFERROR(IF(VLOOKUP($A208,CTINTERVALO,4,0)=0,"",VLOOKUP($A208,CTINTERVALO,4,0)),""))</f>
        <v/>
      </c>
      <c r="E208" s="249"/>
      <c r="F208" s="249" t="str">
        <f>IF($B208="Não", "BLOQUEADO (Aguardar liberação)", IFERROR(IF(VLOOKUP($A208,CTINTERVALO,6,0)=0,"",VLOOKUP($A208,CTINTERVALO,6,0)),""))</f>
        <v/>
      </c>
      <c r="G208" s="80"/>
      <c r="H208" s="80"/>
      <c r="I208" s="79"/>
      <c r="J208" s="79"/>
      <c r="K208" s="80"/>
    </row>
    <row r="209" spans="1:11">
      <c r="A209" s="93"/>
      <c r="B209" s="249" t="str">
        <f>IFERROR(IF(VLOOKUP($A209,CTINTERVALO,2,0)=0,"",VLOOKUP($A209,CTINTERVALO,2,0)),"")</f>
        <v/>
      </c>
      <c r="C209" s="249" t="str">
        <f>IF($B209="Não", "BLOQUEADO (Aguardar liberação)", IFERROR(IF(VLOOKUP($A209,CTINTERVALO,3,0)=0,"",VLOOKUP($A209,CTINTERVALO,3,0)),""))</f>
        <v/>
      </c>
      <c r="D209" s="249" t="str">
        <f>IF($B209="Não", "BLOQUEADO (Aguardar liberação)", IFERROR(IF(VLOOKUP($A209,CTINTERVALO,4,0)=0,"",VLOOKUP($A209,CTINTERVALO,4,0)),""))</f>
        <v/>
      </c>
      <c r="E209" s="249"/>
      <c r="F209" s="249" t="str">
        <f>IF($B209="Não", "BLOQUEADO (Aguardar liberação)", IFERROR(IF(VLOOKUP($A209,CTINTERVALO,6,0)=0,"",VLOOKUP($A209,CTINTERVALO,6,0)),""))</f>
        <v/>
      </c>
      <c r="G209" s="80"/>
      <c r="H209" s="80"/>
      <c r="I209" s="79"/>
      <c r="J209" s="79"/>
      <c r="K209" s="80"/>
    </row>
    <row r="210" spans="1:11">
      <c r="A210" s="93"/>
      <c r="B210" s="249" t="str">
        <f>IFERROR(IF(VLOOKUP($A210,CTINTERVALO,2,0)=0,"",VLOOKUP($A210,CTINTERVALO,2,0)),"")</f>
        <v/>
      </c>
      <c r="C210" s="249" t="str">
        <f>IF($B210="Não", "BLOQUEADO (Aguardar liberação)", IFERROR(IF(VLOOKUP($A210,CTINTERVALO,3,0)=0,"",VLOOKUP($A210,CTINTERVALO,3,0)),""))</f>
        <v/>
      </c>
      <c r="D210" s="249" t="str">
        <f>IF($B210="Não", "BLOQUEADO (Aguardar liberação)", IFERROR(IF(VLOOKUP($A210,CTINTERVALO,4,0)=0,"",VLOOKUP($A210,CTINTERVALO,4,0)),""))</f>
        <v/>
      </c>
      <c r="E210" s="249"/>
      <c r="F210" s="249" t="str">
        <f>IF($B210="Não", "BLOQUEADO (Aguardar liberação)", IFERROR(IF(VLOOKUP($A210,CTINTERVALO,6,0)=0,"",VLOOKUP($A210,CTINTERVALO,6,0)),""))</f>
        <v/>
      </c>
      <c r="G210" s="80"/>
      <c r="H210" s="80"/>
      <c r="I210" s="79"/>
      <c r="J210" s="79"/>
      <c r="K210" s="80"/>
    </row>
    <row r="211" spans="1:11">
      <c r="A211" s="93"/>
      <c r="B211" s="249" t="str">
        <f>IFERROR(IF(VLOOKUP($A211,CTINTERVALO,2,0)=0,"",VLOOKUP($A211,CTINTERVALO,2,0)),"")</f>
        <v/>
      </c>
      <c r="C211" s="249" t="str">
        <f>IF($B211="Não", "BLOQUEADO (Aguardar liberação)", IFERROR(IF(VLOOKUP($A211,CTINTERVALO,3,0)=0,"",VLOOKUP($A211,CTINTERVALO,3,0)),""))</f>
        <v/>
      </c>
      <c r="D211" s="249" t="str">
        <f>IF($B211="Não", "BLOQUEADO (Aguardar liberação)", IFERROR(IF(VLOOKUP($A211,CTINTERVALO,4,0)=0,"",VLOOKUP($A211,CTINTERVALO,4,0)),""))</f>
        <v/>
      </c>
      <c r="E211" s="249"/>
      <c r="F211" s="249" t="str">
        <f>IF($B211="Não", "BLOQUEADO (Aguardar liberação)", IFERROR(IF(VLOOKUP($A211,CTINTERVALO,6,0)=0,"",VLOOKUP($A211,CTINTERVALO,6,0)),""))</f>
        <v/>
      </c>
      <c r="G211" s="80"/>
      <c r="H211" s="80"/>
      <c r="I211" s="79"/>
      <c r="J211" s="79"/>
      <c r="K211" s="80"/>
    </row>
    <row r="212" spans="1:11">
      <c r="A212" s="93"/>
      <c r="B212" s="249" t="str">
        <f>IFERROR(IF(VLOOKUP($A212,CTINTERVALO,2,0)=0,"",VLOOKUP($A212,CTINTERVALO,2,0)),"")</f>
        <v/>
      </c>
      <c r="C212" s="249" t="str">
        <f>IF($B212="Não", "BLOQUEADO (Aguardar liberação)", IFERROR(IF(VLOOKUP($A212,CTINTERVALO,3,0)=0,"",VLOOKUP($A212,CTINTERVALO,3,0)),""))</f>
        <v/>
      </c>
      <c r="D212" s="249" t="str">
        <f>IF($B212="Não", "BLOQUEADO (Aguardar liberação)", IFERROR(IF(VLOOKUP($A212,CTINTERVALO,4,0)=0,"",VLOOKUP($A212,CTINTERVALO,4,0)),""))</f>
        <v/>
      </c>
      <c r="E212" s="249"/>
      <c r="F212" s="249" t="str">
        <f>IF($B212="Não", "BLOQUEADO (Aguardar liberação)", IFERROR(IF(VLOOKUP($A212,CTINTERVALO,6,0)=0,"",VLOOKUP($A212,CTINTERVALO,6,0)),""))</f>
        <v/>
      </c>
      <c r="G212" s="80"/>
      <c r="H212" s="80"/>
      <c r="I212" s="79"/>
      <c r="J212" s="79"/>
      <c r="K212" s="80"/>
    </row>
    <row r="213" spans="1:11">
      <c r="A213" s="93"/>
      <c r="B213" s="249" t="str">
        <f>IFERROR(IF(VLOOKUP($A213,CTINTERVALO,2,0)=0,"",VLOOKUP($A213,CTINTERVALO,2,0)),"")</f>
        <v/>
      </c>
      <c r="C213" s="249" t="str">
        <f>IF($B213="Não", "BLOQUEADO (Aguardar liberação)", IFERROR(IF(VLOOKUP($A213,CTINTERVALO,3,0)=0,"",VLOOKUP($A213,CTINTERVALO,3,0)),""))</f>
        <v/>
      </c>
      <c r="D213" s="249" t="str">
        <f>IF($B213="Não", "BLOQUEADO (Aguardar liberação)", IFERROR(IF(VLOOKUP($A213,CTINTERVALO,4,0)=0,"",VLOOKUP($A213,CTINTERVALO,4,0)),""))</f>
        <v/>
      </c>
      <c r="E213" s="249"/>
      <c r="F213" s="249" t="str">
        <f>IF($B213="Não", "BLOQUEADO (Aguardar liberação)", IFERROR(IF(VLOOKUP($A213,CTINTERVALO,6,0)=0,"",VLOOKUP($A213,CTINTERVALO,6,0)),""))</f>
        <v/>
      </c>
      <c r="G213" s="80"/>
      <c r="H213" s="80"/>
      <c r="I213" s="79"/>
      <c r="J213" s="79"/>
      <c r="K213" s="80"/>
    </row>
    <row r="214" spans="1:11">
      <c r="A214" s="93"/>
      <c r="B214" s="249" t="str">
        <f>IFERROR(IF(VLOOKUP($A214,CTINTERVALO,2,0)=0,"",VLOOKUP($A214,CTINTERVALO,2,0)),"")</f>
        <v/>
      </c>
      <c r="C214" s="249" t="str">
        <f>IF($B214="Não", "BLOQUEADO (Aguardar liberação)", IFERROR(IF(VLOOKUP($A214,CTINTERVALO,3,0)=0,"",VLOOKUP($A214,CTINTERVALO,3,0)),""))</f>
        <v/>
      </c>
      <c r="D214" s="249" t="str">
        <f>IF($B214="Não", "BLOQUEADO (Aguardar liberação)", IFERROR(IF(VLOOKUP($A214,CTINTERVALO,4,0)=0,"",VLOOKUP($A214,CTINTERVALO,4,0)),""))</f>
        <v/>
      </c>
      <c r="E214" s="249"/>
      <c r="F214" s="249" t="str">
        <f>IF($B214="Não", "BLOQUEADO (Aguardar liberação)", IFERROR(IF(VLOOKUP($A214,CTINTERVALO,6,0)=0,"",VLOOKUP($A214,CTINTERVALO,6,0)),""))</f>
        <v/>
      </c>
      <c r="G214" s="80"/>
      <c r="H214" s="80"/>
      <c r="I214" s="79"/>
      <c r="J214" s="79"/>
      <c r="K214" s="80"/>
    </row>
    <row r="215" spans="1:11">
      <c r="A215" s="93"/>
      <c r="B215" s="249" t="str">
        <f>IFERROR(IF(VLOOKUP($A215,CTINTERVALO,2,0)=0,"",VLOOKUP($A215,CTINTERVALO,2,0)),"")</f>
        <v/>
      </c>
      <c r="C215" s="249" t="str">
        <f>IF($B215="Não", "BLOQUEADO (Aguardar liberação)", IFERROR(IF(VLOOKUP($A215,CTINTERVALO,3,0)=0,"",VLOOKUP($A215,CTINTERVALO,3,0)),""))</f>
        <v/>
      </c>
      <c r="D215" s="249" t="str">
        <f>IF($B215="Não", "BLOQUEADO (Aguardar liberação)", IFERROR(IF(VLOOKUP($A215,CTINTERVALO,4,0)=0,"",VLOOKUP($A215,CTINTERVALO,4,0)),""))</f>
        <v/>
      </c>
      <c r="E215" s="249"/>
      <c r="F215" s="249" t="str">
        <f>IF($B215="Não", "BLOQUEADO (Aguardar liberação)", IFERROR(IF(VLOOKUP($A215,CTINTERVALO,6,0)=0,"",VLOOKUP($A215,CTINTERVALO,6,0)),""))</f>
        <v/>
      </c>
      <c r="G215" s="80"/>
      <c r="H215" s="80"/>
      <c r="I215" s="79"/>
      <c r="J215" s="79"/>
      <c r="K215" s="80"/>
    </row>
    <row r="216" spans="1:11">
      <c r="A216" s="93"/>
      <c r="B216" s="249" t="str">
        <f>IFERROR(IF(VLOOKUP($A216,CTINTERVALO,2,0)=0,"",VLOOKUP($A216,CTINTERVALO,2,0)),"")</f>
        <v/>
      </c>
      <c r="C216" s="249" t="str">
        <f>IF($B216="Não", "BLOQUEADO (Aguardar liberação)", IFERROR(IF(VLOOKUP($A216,CTINTERVALO,3,0)=0,"",VLOOKUP($A216,CTINTERVALO,3,0)),""))</f>
        <v/>
      </c>
      <c r="D216" s="249" t="str">
        <f>IF($B216="Não", "BLOQUEADO (Aguardar liberação)", IFERROR(IF(VLOOKUP($A216,CTINTERVALO,4,0)=0,"",VLOOKUP($A216,CTINTERVALO,4,0)),""))</f>
        <v/>
      </c>
      <c r="E216" s="249"/>
      <c r="F216" s="249" t="str">
        <f>IF($B216="Não", "BLOQUEADO (Aguardar liberação)", IFERROR(IF(VLOOKUP($A216,CTINTERVALO,6,0)=0,"",VLOOKUP($A216,CTINTERVALO,6,0)),""))</f>
        <v/>
      </c>
      <c r="G216" s="80"/>
      <c r="H216" s="80"/>
      <c r="I216" s="79"/>
      <c r="J216" s="79"/>
      <c r="K216" s="80"/>
    </row>
    <row r="217" spans="1:11">
      <c r="A217" s="93"/>
      <c r="B217" s="249" t="str">
        <f>IFERROR(IF(VLOOKUP($A217,CTINTERVALO,2,0)=0,"",VLOOKUP($A217,CTINTERVALO,2,0)),"")</f>
        <v/>
      </c>
      <c r="C217" s="249" t="str">
        <f>IF($B217="Não", "BLOQUEADO (Aguardar liberação)", IFERROR(IF(VLOOKUP($A217,CTINTERVALO,3,0)=0,"",VLOOKUP($A217,CTINTERVALO,3,0)),""))</f>
        <v/>
      </c>
      <c r="D217" s="249" t="str">
        <f>IF($B217="Não", "BLOQUEADO (Aguardar liberação)", IFERROR(IF(VLOOKUP($A217,CTINTERVALO,4,0)=0,"",VLOOKUP($A217,CTINTERVALO,4,0)),""))</f>
        <v/>
      </c>
      <c r="E217" s="249"/>
      <c r="F217" s="249" t="str">
        <f>IF($B217="Não", "BLOQUEADO (Aguardar liberação)", IFERROR(IF(VLOOKUP($A217,CTINTERVALO,6,0)=0,"",VLOOKUP($A217,CTINTERVALO,6,0)),""))</f>
        <v/>
      </c>
      <c r="G217" s="80"/>
      <c r="H217" s="80"/>
      <c r="I217" s="79"/>
      <c r="J217" s="79"/>
      <c r="K217" s="80"/>
    </row>
    <row r="218" spans="1:11">
      <c r="A218" s="93"/>
      <c r="B218" s="249" t="str">
        <f>IFERROR(IF(VLOOKUP($A218,CTINTERVALO,2,0)=0,"",VLOOKUP($A218,CTINTERVALO,2,0)),"")</f>
        <v/>
      </c>
      <c r="C218" s="249" t="str">
        <f>IF($B218="Não", "BLOQUEADO (Aguardar liberação)", IFERROR(IF(VLOOKUP($A218,CTINTERVALO,3,0)=0,"",VLOOKUP($A218,CTINTERVALO,3,0)),""))</f>
        <v/>
      </c>
      <c r="D218" s="249" t="str">
        <f>IF($B218="Não", "BLOQUEADO (Aguardar liberação)", IFERROR(IF(VLOOKUP($A218,CTINTERVALO,4,0)=0,"",VLOOKUP($A218,CTINTERVALO,4,0)),""))</f>
        <v/>
      </c>
      <c r="E218" s="249"/>
      <c r="F218" s="249" t="str">
        <f>IF($B218="Não", "BLOQUEADO (Aguardar liberação)", IFERROR(IF(VLOOKUP($A218,CTINTERVALO,6,0)=0,"",VLOOKUP($A218,CTINTERVALO,6,0)),""))</f>
        <v/>
      </c>
      <c r="G218" s="80"/>
      <c r="H218" s="80"/>
      <c r="I218" s="79"/>
      <c r="J218" s="79"/>
      <c r="K218" s="80"/>
    </row>
    <row r="219" spans="1:11">
      <c r="A219" s="93"/>
      <c r="B219" s="249" t="str">
        <f>IFERROR(IF(VLOOKUP($A219,CTINTERVALO,2,0)=0,"",VLOOKUP($A219,CTINTERVALO,2,0)),"")</f>
        <v/>
      </c>
      <c r="C219" s="249" t="str">
        <f>IF($B219="Não", "BLOQUEADO (Aguardar liberação)", IFERROR(IF(VLOOKUP($A219,CTINTERVALO,3,0)=0,"",VLOOKUP($A219,CTINTERVALO,3,0)),""))</f>
        <v/>
      </c>
      <c r="D219" s="249" t="str">
        <f>IF($B219="Não", "BLOQUEADO (Aguardar liberação)", IFERROR(IF(VLOOKUP($A219,CTINTERVALO,4,0)=0,"",VLOOKUP($A219,CTINTERVALO,4,0)),""))</f>
        <v/>
      </c>
      <c r="E219" s="249"/>
      <c r="F219" s="249" t="str">
        <f>IF($B219="Não", "BLOQUEADO (Aguardar liberação)", IFERROR(IF(VLOOKUP($A219,CTINTERVALO,6,0)=0,"",VLOOKUP($A219,CTINTERVALO,6,0)),""))</f>
        <v/>
      </c>
      <c r="G219" s="80"/>
      <c r="H219" s="80"/>
      <c r="I219" s="79"/>
      <c r="J219" s="79"/>
      <c r="K219" s="80"/>
    </row>
    <row r="220" spans="1:11">
      <c r="A220" s="93"/>
      <c r="B220" s="249" t="str">
        <f>IFERROR(IF(VLOOKUP($A220,CTINTERVALO,2,0)=0,"",VLOOKUP($A220,CTINTERVALO,2,0)),"")</f>
        <v/>
      </c>
      <c r="C220" s="249" t="str">
        <f>IF($B220="Não", "BLOQUEADO (Aguardar liberação)", IFERROR(IF(VLOOKUP($A220,CTINTERVALO,3,0)=0,"",VLOOKUP($A220,CTINTERVALO,3,0)),""))</f>
        <v/>
      </c>
      <c r="D220" s="249" t="str">
        <f>IF($B220="Não", "BLOQUEADO (Aguardar liberação)", IFERROR(IF(VLOOKUP($A220,CTINTERVALO,4,0)=0,"",VLOOKUP($A220,CTINTERVALO,4,0)),""))</f>
        <v/>
      </c>
      <c r="E220" s="249"/>
      <c r="F220" s="249" t="str">
        <f>IF($B220="Não", "BLOQUEADO (Aguardar liberação)", IFERROR(IF(VLOOKUP($A220,CTINTERVALO,6,0)=0,"",VLOOKUP($A220,CTINTERVALO,6,0)),""))</f>
        <v/>
      </c>
      <c r="G220" s="80"/>
      <c r="H220" s="80"/>
      <c r="I220" s="79"/>
      <c r="J220" s="79"/>
      <c r="K220" s="80"/>
    </row>
    <row r="221" spans="1:11">
      <c r="A221" s="93"/>
      <c r="B221" s="249" t="str">
        <f>IFERROR(IF(VLOOKUP($A221,CTINTERVALO,2,0)=0,"",VLOOKUP($A221,CTINTERVALO,2,0)),"")</f>
        <v/>
      </c>
      <c r="C221" s="249" t="str">
        <f>IF($B221="Não", "BLOQUEADO (Aguardar liberação)", IFERROR(IF(VLOOKUP($A221,CTINTERVALO,3,0)=0,"",VLOOKUP($A221,CTINTERVALO,3,0)),""))</f>
        <v/>
      </c>
      <c r="D221" s="249" t="str">
        <f>IF($B221="Não", "BLOQUEADO (Aguardar liberação)", IFERROR(IF(VLOOKUP($A221,CTINTERVALO,4,0)=0,"",VLOOKUP($A221,CTINTERVALO,4,0)),""))</f>
        <v/>
      </c>
      <c r="E221" s="249"/>
      <c r="F221" s="249" t="str">
        <f>IF($B221="Não", "BLOQUEADO (Aguardar liberação)", IFERROR(IF(VLOOKUP($A221,CTINTERVALO,6,0)=0,"",VLOOKUP($A221,CTINTERVALO,6,0)),""))</f>
        <v/>
      </c>
      <c r="G221" s="80"/>
      <c r="H221" s="80"/>
      <c r="I221" s="79"/>
      <c r="J221" s="79"/>
      <c r="K221" s="80"/>
    </row>
    <row r="222" spans="1:11">
      <c r="A222" s="93"/>
      <c r="B222" s="249" t="str">
        <f>IFERROR(IF(VLOOKUP($A222,CTINTERVALO,2,0)=0,"",VLOOKUP($A222,CTINTERVALO,2,0)),"")</f>
        <v/>
      </c>
      <c r="C222" s="249" t="str">
        <f>IF($B222="Não", "BLOQUEADO (Aguardar liberação)", IFERROR(IF(VLOOKUP($A222,CTINTERVALO,3,0)=0,"",VLOOKUP($A222,CTINTERVALO,3,0)),""))</f>
        <v/>
      </c>
      <c r="D222" s="249" t="str">
        <f>IF($B222="Não", "BLOQUEADO (Aguardar liberação)", IFERROR(IF(VLOOKUP($A222,CTINTERVALO,4,0)=0,"",VLOOKUP($A222,CTINTERVALO,4,0)),""))</f>
        <v/>
      </c>
      <c r="E222" s="249"/>
      <c r="F222" s="249" t="str">
        <f>IF($B222="Não", "BLOQUEADO (Aguardar liberação)", IFERROR(IF(VLOOKUP($A222,CTINTERVALO,6,0)=0,"",VLOOKUP($A222,CTINTERVALO,6,0)),""))</f>
        <v/>
      </c>
      <c r="G222" s="80"/>
      <c r="H222" s="80"/>
      <c r="I222" s="79"/>
      <c r="J222" s="79"/>
      <c r="K222" s="80"/>
    </row>
    <row r="223" spans="1:11">
      <c r="A223" s="93"/>
      <c r="B223" s="249" t="str">
        <f>IFERROR(IF(VLOOKUP($A223,CTINTERVALO,2,0)=0,"",VLOOKUP($A223,CTINTERVALO,2,0)),"")</f>
        <v/>
      </c>
      <c r="C223" s="249" t="str">
        <f>IF($B223="Não", "BLOQUEADO (Aguardar liberação)", IFERROR(IF(VLOOKUP($A223,CTINTERVALO,3,0)=0,"",VLOOKUP($A223,CTINTERVALO,3,0)),""))</f>
        <v/>
      </c>
      <c r="D223" s="249" t="str">
        <f>IF($B223="Não", "BLOQUEADO (Aguardar liberação)", IFERROR(IF(VLOOKUP($A223,CTINTERVALO,4,0)=0,"",VLOOKUP($A223,CTINTERVALO,4,0)),""))</f>
        <v/>
      </c>
      <c r="E223" s="249"/>
      <c r="F223" s="249" t="str">
        <f>IF($B223="Não", "BLOQUEADO (Aguardar liberação)", IFERROR(IF(VLOOKUP($A223,CTINTERVALO,6,0)=0,"",VLOOKUP($A223,CTINTERVALO,6,0)),""))</f>
        <v/>
      </c>
      <c r="G223" s="80"/>
      <c r="H223" s="80"/>
      <c r="I223" s="79"/>
      <c r="J223" s="79"/>
      <c r="K223" s="80"/>
    </row>
    <row r="224" spans="1:11">
      <c r="A224" s="93"/>
      <c r="B224" s="249" t="str">
        <f>IFERROR(IF(VLOOKUP($A224,CTINTERVALO,2,0)=0,"",VLOOKUP($A224,CTINTERVALO,2,0)),"")</f>
        <v/>
      </c>
      <c r="C224" s="249" t="str">
        <f>IF($B224="Não", "BLOQUEADO (Aguardar liberação)", IFERROR(IF(VLOOKUP($A224,CTINTERVALO,3,0)=0,"",VLOOKUP($A224,CTINTERVALO,3,0)),""))</f>
        <v/>
      </c>
      <c r="D224" s="249" t="str">
        <f>IF($B224="Não", "BLOQUEADO (Aguardar liberação)", IFERROR(IF(VLOOKUP($A224,CTINTERVALO,4,0)=0,"",VLOOKUP($A224,CTINTERVALO,4,0)),""))</f>
        <v/>
      </c>
      <c r="E224" s="249"/>
      <c r="F224" s="249" t="str">
        <f>IF($B224="Não", "BLOQUEADO (Aguardar liberação)", IFERROR(IF(VLOOKUP($A224,CTINTERVALO,6,0)=0,"",VLOOKUP($A224,CTINTERVALO,6,0)),""))</f>
        <v/>
      </c>
      <c r="G224" s="80"/>
      <c r="H224" s="80"/>
      <c r="I224" s="79"/>
      <c r="J224" s="79"/>
      <c r="K224" s="80"/>
    </row>
    <row r="225" spans="1:11">
      <c r="A225" s="93"/>
      <c r="B225" s="249" t="str">
        <f>IFERROR(IF(VLOOKUP($A225,CTINTERVALO,2,0)=0,"",VLOOKUP($A225,CTINTERVALO,2,0)),"")</f>
        <v/>
      </c>
      <c r="C225" s="249" t="str">
        <f>IF($B225="Não", "BLOQUEADO (Aguardar liberação)", IFERROR(IF(VLOOKUP($A225,CTINTERVALO,3,0)=0,"",VLOOKUP($A225,CTINTERVALO,3,0)),""))</f>
        <v/>
      </c>
      <c r="D225" s="249" t="str">
        <f>IF($B225="Não", "BLOQUEADO (Aguardar liberação)", IFERROR(IF(VLOOKUP($A225,CTINTERVALO,4,0)=0,"",VLOOKUP($A225,CTINTERVALO,4,0)),""))</f>
        <v/>
      </c>
      <c r="E225" s="249"/>
      <c r="F225" s="249" t="str">
        <f>IF($B225="Não", "BLOQUEADO (Aguardar liberação)", IFERROR(IF(VLOOKUP($A225,CTINTERVALO,6,0)=0,"",VLOOKUP($A225,CTINTERVALO,6,0)),""))</f>
        <v/>
      </c>
      <c r="G225" s="80"/>
      <c r="H225" s="80"/>
      <c r="I225" s="79"/>
      <c r="J225" s="79"/>
      <c r="K225" s="80"/>
    </row>
    <row r="226" spans="1:11">
      <c r="A226" s="93"/>
      <c r="B226" s="249" t="str">
        <f>IFERROR(IF(VLOOKUP($A226,CTINTERVALO,2,0)=0,"",VLOOKUP($A226,CTINTERVALO,2,0)),"")</f>
        <v/>
      </c>
      <c r="C226" s="249" t="str">
        <f>IF($B226="Não", "BLOQUEADO (Aguardar liberação)", IFERROR(IF(VLOOKUP($A226,CTINTERVALO,3,0)=0,"",VLOOKUP($A226,CTINTERVALO,3,0)),""))</f>
        <v/>
      </c>
      <c r="D226" s="249" t="str">
        <f>IF($B226="Não", "BLOQUEADO (Aguardar liberação)", IFERROR(IF(VLOOKUP($A226,CTINTERVALO,4,0)=0,"",VLOOKUP($A226,CTINTERVALO,4,0)),""))</f>
        <v/>
      </c>
      <c r="E226" s="249"/>
      <c r="F226" s="249" t="str">
        <f>IF($B226="Não", "BLOQUEADO (Aguardar liberação)", IFERROR(IF(VLOOKUP($A226,CTINTERVALO,6,0)=0,"",VLOOKUP($A226,CTINTERVALO,6,0)),""))</f>
        <v/>
      </c>
      <c r="G226" s="80"/>
      <c r="H226" s="80"/>
      <c r="I226" s="79"/>
      <c r="J226" s="79"/>
      <c r="K226" s="80"/>
    </row>
    <row r="227" spans="1:11">
      <c r="A227" s="93"/>
      <c r="B227" s="249" t="str">
        <f>IFERROR(IF(VLOOKUP($A227,CTINTERVALO,2,0)=0,"",VLOOKUP($A227,CTINTERVALO,2,0)),"")</f>
        <v/>
      </c>
      <c r="C227" s="249" t="str">
        <f>IF($B227="Não", "BLOQUEADO (Aguardar liberação)", IFERROR(IF(VLOOKUP($A227,CTINTERVALO,3,0)=0,"",VLOOKUP($A227,CTINTERVALO,3,0)),""))</f>
        <v/>
      </c>
      <c r="D227" s="249" t="str">
        <f>IF($B227="Não", "BLOQUEADO (Aguardar liberação)", IFERROR(IF(VLOOKUP($A227,CTINTERVALO,4,0)=0,"",VLOOKUP($A227,CTINTERVALO,4,0)),""))</f>
        <v/>
      </c>
      <c r="E227" s="249"/>
      <c r="F227" s="249" t="str">
        <f>IF($B227="Não", "BLOQUEADO (Aguardar liberação)", IFERROR(IF(VLOOKUP($A227,CTINTERVALO,6,0)=0,"",VLOOKUP($A227,CTINTERVALO,6,0)),""))</f>
        <v/>
      </c>
      <c r="G227" s="80"/>
      <c r="H227" s="80"/>
      <c r="I227" s="79"/>
      <c r="J227" s="79"/>
      <c r="K227" s="80"/>
    </row>
    <row r="228" spans="1:11">
      <c r="A228" s="93"/>
      <c r="B228" s="249" t="str">
        <f>IFERROR(IF(VLOOKUP($A228,CTINTERVALO,2,0)=0,"",VLOOKUP($A228,CTINTERVALO,2,0)),"")</f>
        <v/>
      </c>
      <c r="C228" s="249" t="str">
        <f>IF($B228="Não", "BLOQUEADO (Aguardar liberação)", IFERROR(IF(VLOOKUP($A228,CTINTERVALO,3,0)=0,"",VLOOKUP($A228,CTINTERVALO,3,0)),""))</f>
        <v/>
      </c>
      <c r="D228" s="249" t="str">
        <f>IF($B228="Não", "BLOQUEADO (Aguardar liberação)", IFERROR(IF(VLOOKUP($A228,CTINTERVALO,4,0)=0,"",VLOOKUP($A228,CTINTERVALO,4,0)),""))</f>
        <v/>
      </c>
      <c r="E228" s="249"/>
      <c r="F228" s="249" t="str">
        <f>IF($B228="Não", "BLOQUEADO (Aguardar liberação)", IFERROR(IF(VLOOKUP($A228,CTINTERVALO,6,0)=0,"",VLOOKUP($A228,CTINTERVALO,6,0)),""))</f>
        <v/>
      </c>
      <c r="G228" s="80"/>
      <c r="H228" s="80"/>
      <c r="I228" s="79"/>
      <c r="J228" s="79"/>
      <c r="K228" s="80"/>
    </row>
    <row r="229" spans="1:11">
      <c r="A229" s="93"/>
      <c r="B229" s="249" t="str">
        <f>IFERROR(IF(VLOOKUP($A229,CTINTERVALO,2,0)=0,"",VLOOKUP($A229,CTINTERVALO,2,0)),"")</f>
        <v/>
      </c>
      <c r="C229" s="249" t="str">
        <f>IF($B229="Não", "BLOQUEADO (Aguardar liberação)", IFERROR(IF(VLOOKUP($A229,CTINTERVALO,3,0)=0,"",VLOOKUP($A229,CTINTERVALO,3,0)),""))</f>
        <v/>
      </c>
      <c r="D229" s="249" t="str">
        <f>IF($B229="Não", "BLOQUEADO (Aguardar liberação)", IFERROR(IF(VLOOKUP($A229,CTINTERVALO,4,0)=0,"",VLOOKUP($A229,CTINTERVALO,4,0)),""))</f>
        <v/>
      </c>
      <c r="E229" s="249"/>
      <c r="F229" s="249" t="str">
        <f>IF($B229="Não", "BLOQUEADO (Aguardar liberação)", IFERROR(IF(VLOOKUP($A229,CTINTERVALO,6,0)=0,"",VLOOKUP($A229,CTINTERVALO,6,0)),""))</f>
        <v/>
      </c>
      <c r="G229" s="80"/>
      <c r="H229" s="80"/>
      <c r="I229" s="79"/>
      <c r="J229" s="79"/>
      <c r="K229" s="80"/>
    </row>
    <row r="230" spans="1:11">
      <c r="A230" s="93"/>
      <c r="B230" s="249" t="str">
        <f>IFERROR(IF(VLOOKUP($A230,CTINTERVALO,2,0)=0,"",VLOOKUP($A230,CTINTERVALO,2,0)),"")</f>
        <v/>
      </c>
      <c r="C230" s="249" t="str">
        <f>IF($B230="Não", "BLOQUEADO (Aguardar liberação)", IFERROR(IF(VLOOKUP($A230,CTINTERVALO,3,0)=0,"",VLOOKUP($A230,CTINTERVALO,3,0)),""))</f>
        <v/>
      </c>
      <c r="D230" s="249" t="str">
        <f>IF($B230="Não", "BLOQUEADO (Aguardar liberação)", IFERROR(IF(VLOOKUP($A230,CTINTERVALO,4,0)=0,"",VLOOKUP($A230,CTINTERVALO,4,0)),""))</f>
        <v/>
      </c>
      <c r="E230" s="249"/>
      <c r="F230" s="249" t="str">
        <f>IF($B230="Não", "BLOQUEADO (Aguardar liberação)", IFERROR(IF(VLOOKUP($A230,CTINTERVALO,6,0)=0,"",VLOOKUP($A230,CTINTERVALO,6,0)),""))</f>
        <v/>
      </c>
      <c r="G230" s="80"/>
      <c r="H230" s="80"/>
      <c r="I230" s="79"/>
      <c r="J230" s="79"/>
      <c r="K230" s="80"/>
    </row>
    <row r="231" spans="1:11">
      <c r="A231" s="93"/>
      <c r="B231" s="249" t="str">
        <f>IFERROR(IF(VLOOKUP($A231,CTINTERVALO,2,0)=0,"",VLOOKUP($A231,CTINTERVALO,2,0)),"")</f>
        <v/>
      </c>
      <c r="C231" s="249" t="str">
        <f>IF($B231="Não", "BLOQUEADO (Aguardar liberação)", IFERROR(IF(VLOOKUP($A231,CTINTERVALO,3,0)=0,"",VLOOKUP($A231,CTINTERVALO,3,0)),""))</f>
        <v/>
      </c>
      <c r="D231" s="249" t="str">
        <f>IF($B231="Não", "BLOQUEADO (Aguardar liberação)", IFERROR(IF(VLOOKUP($A231,CTINTERVALO,4,0)=0,"",VLOOKUP($A231,CTINTERVALO,4,0)),""))</f>
        <v/>
      </c>
      <c r="E231" s="249"/>
      <c r="F231" s="249" t="str">
        <f>IF($B231="Não", "BLOQUEADO (Aguardar liberação)", IFERROR(IF(VLOOKUP($A231,CTINTERVALO,6,0)=0,"",VLOOKUP($A231,CTINTERVALO,6,0)),""))</f>
        <v/>
      </c>
      <c r="G231" s="80"/>
      <c r="H231" s="80"/>
      <c r="I231" s="79"/>
      <c r="J231" s="79"/>
      <c r="K231" s="80"/>
    </row>
    <row r="232" spans="1:11">
      <c r="A232" s="93"/>
      <c r="B232" s="249" t="str">
        <f>IFERROR(IF(VLOOKUP($A232,CTINTERVALO,2,0)=0,"",VLOOKUP($A232,CTINTERVALO,2,0)),"")</f>
        <v/>
      </c>
      <c r="C232" s="249" t="str">
        <f>IF($B232="Não", "BLOQUEADO (Aguardar liberação)", IFERROR(IF(VLOOKUP($A232,CTINTERVALO,3,0)=0,"",VLOOKUP($A232,CTINTERVALO,3,0)),""))</f>
        <v/>
      </c>
      <c r="D232" s="249" t="str">
        <f>IF($B232="Não", "BLOQUEADO (Aguardar liberação)", IFERROR(IF(VLOOKUP($A232,CTINTERVALO,4,0)=0,"",VLOOKUP($A232,CTINTERVALO,4,0)),""))</f>
        <v/>
      </c>
      <c r="E232" s="249"/>
      <c r="F232" s="249" t="str">
        <f>IF($B232="Não", "BLOQUEADO (Aguardar liberação)", IFERROR(IF(VLOOKUP($A232,CTINTERVALO,6,0)=0,"",VLOOKUP($A232,CTINTERVALO,6,0)),""))</f>
        <v/>
      </c>
      <c r="G232" s="80"/>
      <c r="H232" s="80"/>
      <c r="I232" s="79"/>
      <c r="J232" s="79"/>
      <c r="K232" s="80"/>
    </row>
    <row r="233" spans="1:11">
      <c r="A233" s="93"/>
      <c r="B233" s="249" t="str">
        <f>IFERROR(IF(VLOOKUP($A233,CTINTERVALO,2,0)=0,"",VLOOKUP($A233,CTINTERVALO,2,0)),"")</f>
        <v/>
      </c>
      <c r="C233" s="249" t="str">
        <f>IF($B233="Não", "BLOQUEADO (Aguardar liberação)", IFERROR(IF(VLOOKUP($A233,CTINTERVALO,3,0)=0,"",VLOOKUP($A233,CTINTERVALO,3,0)),""))</f>
        <v/>
      </c>
      <c r="D233" s="249" t="str">
        <f>IF($B233="Não", "BLOQUEADO (Aguardar liberação)", IFERROR(IF(VLOOKUP($A233,CTINTERVALO,4,0)=0,"",VLOOKUP($A233,CTINTERVALO,4,0)),""))</f>
        <v/>
      </c>
      <c r="E233" s="249"/>
      <c r="F233" s="249" t="str">
        <f>IF($B233="Não", "BLOQUEADO (Aguardar liberação)", IFERROR(IF(VLOOKUP($A233,CTINTERVALO,6,0)=0,"",VLOOKUP($A233,CTINTERVALO,6,0)),""))</f>
        <v/>
      </c>
      <c r="G233" s="80"/>
      <c r="H233" s="80"/>
      <c r="I233" s="79"/>
      <c r="J233" s="79"/>
      <c r="K233" s="80"/>
    </row>
    <row r="234" spans="1:11">
      <c r="A234" s="93"/>
      <c r="B234" s="249" t="str">
        <f>IFERROR(IF(VLOOKUP($A234,CTINTERVALO,2,0)=0,"",VLOOKUP($A234,CTINTERVALO,2,0)),"")</f>
        <v/>
      </c>
      <c r="C234" s="249" t="str">
        <f>IF($B234="Não", "BLOQUEADO (Aguardar liberação)", IFERROR(IF(VLOOKUP($A234,CTINTERVALO,3,0)=0,"",VLOOKUP($A234,CTINTERVALO,3,0)),""))</f>
        <v/>
      </c>
      <c r="D234" s="249" t="str">
        <f>IF($B234="Não", "BLOQUEADO (Aguardar liberação)", IFERROR(IF(VLOOKUP($A234,CTINTERVALO,4,0)=0,"",VLOOKUP($A234,CTINTERVALO,4,0)),""))</f>
        <v/>
      </c>
      <c r="E234" s="249"/>
      <c r="F234" s="249" t="str">
        <f>IF($B234="Não", "BLOQUEADO (Aguardar liberação)", IFERROR(IF(VLOOKUP($A234,CTINTERVALO,6,0)=0,"",VLOOKUP($A234,CTINTERVALO,6,0)),""))</f>
        <v/>
      </c>
      <c r="G234" s="80"/>
      <c r="H234" s="80"/>
      <c r="I234" s="79"/>
      <c r="J234" s="79"/>
      <c r="K234" s="80"/>
    </row>
    <row r="235" spans="1:11">
      <c r="A235" s="93"/>
      <c r="B235" s="249" t="str">
        <f>IFERROR(IF(VLOOKUP($A235,CTINTERVALO,2,0)=0,"",VLOOKUP($A235,CTINTERVALO,2,0)),"")</f>
        <v/>
      </c>
      <c r="C235" s="249" t="str">
        <f>IF($B235="Não", "BLOQUEADO (Aguardar liberação)", IFERROR(IF(VLOOKUP($A235,CTINTERVALO,3,0)=0,"",VLOOKUP($A235,CTINTERVALO,3,0)),""))</f>
        <v/>
      </c>
      <c r="D235" s="249" t="str">
        <f>IF($B235="Não", "BLOQUEADO (Aguardar liberação)", IFERROR(IF(VLOOKUP($A235,CTINTERVALO,4,0)=0,"",VLOOKUP($A235,CTINTERVALO,4,0)),""))</f>
        <v/>
      </c>
      <c r="E235" s="249"/>
      <c r="F235" s="249" t="str">
        <f>IF($B235="Não", "BLOQUEADO (Aguardar liberação)", IFERROR(IF(VLOOKUP($A235,CTINTERVALO,6,0)=0,"",VLOOKUP($A235,CTINTERVALO,6,0)),""))</f>
        <v/>
      </c>
      <c r="G235" s="80"/>
      <c r="H235" s="80"/>
      <c r="I235" s="79"/>
      <c r="J235" s="79"/>
      <c r="K235" s="80"/>
    </row>
    <row r="236" spans="1:11">
      <c r="A236" s="93"/>
      <c r="B236" s="249" t="str">
        <f>IFERROR(IF(VLOOKUP($A236,CTINTERVALO,2,0)=0,"",VLOOKUP($A236,CTINTERVALO,2,0)),"")</f>
        <v/>
      </c>
      <c r="C236" s="249" t="str">
        <f>IF($B236="Não", "BLOQUEADO (Aguardar liberação)", IFERROR(IF(VLOOKUP($A236,CTINTERVALO,3,0)=0,"",VLOOKUP($A236,CTINTERVALO,3,0)),""))</f>
        <v/>
      </c>
      <c r="D236" s="249" t="str">
        <f>IF($B236="Não", "BLOQUEADO (Aguardar liberação)", IFERROR(IF(VLOOKUP($A236,CTINTERVALO,4,0)=0,"",VLOOKUP($A236,CTINTERVALO,4,0)),""))</f>
        <v/>
      </c>
      <c r="E236" s="249"/>
      <c r="F236" s="249" t="str">
        <f>IF($B236="Não", "BLOQUEADO (Aguardar liberação)", IFERROR(IF(VLOOKUP($A236,CTINTERVALO,6,0)=0,"",VLOOKUP($A236,CTINTERVALO,6,0)),""))</f>
        <v/>
      </c>
      <c r="G236" s="80"/>
      <c r="H236" s="80"/>
      <c r="I236" s="79"/>
      <c r="J236" s="79"/>
      <c r="K236" s="80"/>
    </row>
    <row r="237" spans="1:11">
      <c r="A237" s="93"/>
      <c r="B237" s="249" t="str">
        <f>IFERROR(IF(VLOOKUP($A237,CTINTERVALO,2,0)=0,"",VLOOKUP($A237,CTINTERVALO,2,0)),"")</f>
        <v/>
      </c>
      <c r="C237" s="249" t="str">
        <f>IF($B237="Não", "BLOQUEADO (Aguardar liberação)", IFERROR(IF(VLOOKUP($A237,CTINTERVALO,3,0)=0,"",VLOOKUP($A237,CTINTERVALO,3,0)),""))</f>
        <v/>
      </c>
      <c r="D237" s="249" t="str">
        <f>IF($B237="Não", "BLOQUEADO (Aguardar liberação)", IFERROR(IF(VLOOKUP($A237,CTINTERVALO,4,0)=0,"",VLOOKUP($A237,CTINTERVALO,4,0)),""))</f>
        <v/>
      </c>
      <c r="E237" s="249"/>
      <c r="F237" s="249" t="str">
        <f>IF($B237="Não", "BLOQUEADO (Aguardar liberação)", IFERROR(IF(VLOOKUP($A237,CTINTERVALO,6,0)=0,"",VLOOKUP($A237,CTINTERVALO,6,0)),""))</f>
        <v/>
      </c>
      <c r="G237" s="80"/>
      <c r="H237" s="80"/>
      <c r="I237" s="79"/>
      <c r="J237" s="79"/>
      <c r="K237" s="80"/>
    </row>
    <row r="238" spans="1:11">
      <c r="A238" s="93"/>
      <c r="B238" s="249" t="str">
        <f>IFERROR(IF(VLOOKUP($A238,CTINTERVALO,2,0)=0,"",VLOOKUP($A238,CTINTERVALO,2,0)),"")</f>
        <v/>
      </c>
      <c r="C238" s="249" t="str">
        <f>IF($B238="Não", "BLOQUEADO (Aguardar liberação)", IFERROR(IF(VLOOKUP($A238,CTINTERVALO,3,0)=0,"",VLOOKUP($A238,CTINTERVALO,3,0)),""))</f>
        <v/>
      </c>
      <c r="D238" s="249" t="str">
        <f>IF($B238="Não", "BLOQUEADO (Aguardar liberação)", IFERROR(IF(VLOOKUP($A238,CTINTERVALO,4,0)=0,"",VLOOKUP($A238,CTINTERVALO,4,0)),""))</f>
        <v/>
      </c>
      <c r="E238" s="249"/>
      <c r="F238" s="249" t="str">
        <f>IF($B238="Não", "BLOQUEADO (Aguardar liberação)", IFERROR(IF(VLOOKUP($A238,CTINTERVALO,6,0)=0,"",VLOOKUP($A238,CTINTERVALO,6,0)),""))</f>
        <v/>
      </c>
      <c r="G238" s="80"/>
      <c r="H238" s="80"/>
      <c r="I238" s="79"/>
      <c r="J238" s="79"/>
      <c r="K238" s="80"/>
    </row>
    <row r="239" spans="1:11">
      <c r="A239" s="93"/>
      <c r="B239" s="249" t="str">
        <f>IFERROR(IF(VLOOKUP($A239,CTINTERVALO,2,0)=0,"",VLOOKUP($A239,CTINTERVALO,2,0)),"")</f>
        <v/>
      </c>
      <c r="C239" s="249" t="str">
        <f>IF($B239="Não", "BLOQUEADO (Aguardar liberação)", IFERROR(IF(VLOOKUP($A239,CTINTERVALO,3,0)=0,"",VLOOKUP($A239,CTINTERVALO,3,0)),""))</f>
        <v/>
      </c>
      <c r="D239" s="249" t="str">
        <f>IF($B239="Não", "BLOQUEADO (Aguardar liberação)", IFERROR(IF(VLOOKUP($A239,CTINTERVALO,4,0)=0,"",VLOOKUP($A239,CTINTERVALO,4,0)),""))</f>
        <v/>
      </c>
      <c r="E239" s="249"/>
      <c r="F239" s="249" t="str">
        <f>IF($B239="Não", "BLOQUEADO (Aguardar liberação)", IFERROR(IF(VLOOKUP($A239,CTINTERVALO,6,0)=0,"",VLOOKUP($A239,CTINTERVALO,6,0)),""))</f>
        <v/>
      </c>
      <c r="G239" s="80"/>
      <c r="H239" s="80"/>
      <c r="I239" s="79"/>
      <c r="J239" s="79"/>
      <c r="K239" s="80"/>
    </row>
    <row r="240" spans="1:11">
      <c r="A240" s="93"/>
      <c r="B240" s="249" t="str">
        <f>IFERROR(IF(VLOOKUP($A240,CTINTERVALO,2,0)=0,"",VLOOKUP($A240,CTINTERVALO,2,0)),"")</f>
        <v/>
      </c>
      <c r="C240" s="249" t="str">
        <f>IF($B240="Não", "BLOQUEADO (Aguardar liberação)", IFERROR(IF(VLOOKUP($A240,CTINTERVALO,3,0)=0,"",VLOOKUP($A240,CTINTERVALO,3,0)),""))</f>
        <v/>
      </c>
      <c r="D240" s="249" t="str">
        <f>IF($B240="Não", "BLOQUEADO (Aguardar liberação)", IFERROR(IF(VLOOKUP($A240,CTINTERVALO,4,0)=0,"",VLOOKUP($A240,CTINTERVALO,4,0)),""))</f>
        <v/>
      </c>
      <c r="E240" s="249"/>
      <c r="F240" s="249" t="str">
        <f>IF($B240="Não", "BLOQUEADO (Aguardar liberação)", IFERROR(IF(VLOOKUP($A240,CTINTERVALO,6,0)=0,"",VLOOKUP($A240,CTINTERVALO,6,0)),""))</f>
        <v/>
      </c>
      <c r="G240" s="80"/>
      <c r="H240" s="80"/>
      <c r="I240" s="79"/>
      <c r="J240" s="79"/>
      <c r="K240" s="80"/>
    </row>
    <row r="241" spans="1:11">
      <c r="A241" s="93"/>
      <c r="B241" s="249" t="str">
        <f>IFERROR(IF(VLOOKUP($A241,CTINTERVALO,2,0)=0,"",VLOOKUP($A241,CTINTERVALO,2,0)),"")</f>
        <v/>
      </c>
      <c r="C241" s="249" t="str">
        <f>IF($B241="Não", "BLOQUEADO (Aguardar liberação)", IFERROR(IF(VLOOKUP($A241,CTINTERVALO,3,0)=0,"",VLOOKUP($A241,CTINTERVALO,3,0)),""))</f>
        <v/>
      </c>
      <c r="D241" s="249" t="str">
        <f>IF($B241="Não", "BLOQUEADO (Aguardar liberação)", IFERROR(IF(VLOOKUP($A241,CTINTERVALO,4,0)=0,"",VLOOKUP($A241,CTINTERVALO,4,0)),""))</f>
        <v/>
      </c>
      <c r="E241" s="249"/>
      <c r="F241" s="249" t="str">
        <f>IF($B241="Não", "BLOQUEADO (Aguardar liberação)", IFERROR(IF(VLOOKUP($A241,CTINTERVALO,6,0)=0,"",VLOOKUP($A241,CTINTERVALO,6,0)),""))</f>
        <v/>
      </c>
      <c r="G241" s="80"/>
      <c r="H241" s="80"/>
      <c r="I241" s="79"/>
      <c r="J241" s="79"/>
      <c r="K241" s="80"/>
    </row>
    <row r="242" spans="1:11">
      <c r="A242" s="93"/>
      <c r="B242" s="249" t="str">
        <f>IFERROR(IF(VLOOKUP($A242,CTINTERVALO,2,0)=0,"",VLOOKUP($A242,CTINTERVALO,2,0)),"")</f>
        <v/>
      </c>
      <c r="C242" s="249" t="str">
        <f>IF($B242="Não", "BLOQUEADO (Aguardar liberação)", IFERROR(IF(VLOOKUP($A242,CTINTERVALO,3,0)=0,"",VLOOKUP($A242,CTINTERVALO,3,0)),""))</f>
        <v/>
      </c>
      <c r="D242" s="249" t="str">
        <f>IF($B242="Não", "BLOQUEADO (Aguardar liberação)", IFERROR(IF(VLOOKUP($A242,CTINTERVALO,4,0)=0,"",VLOOKUP($A242,CTINTERVALO,4,0)),""))</f>
        <v/>
      </c>
      <c r="E242" s="249"/>
      <c r="F242" s="249" t="str">
        <f>IF($B242="Não", "BLOQUEADO (Aguardar liberação)", IFERROR(IF(VLOOKUP($A242,CTINTERVALO,6,0)=0,"",VLOOKUP($A242,CTINTERVALO,6,0)),""))</f>
        <v/>
      </c>
      <c r="G242" s="80"/>
      <c r="H242" s="80"/>
      <c r="I242" s="79"/>
      <c r="J242" s="79"/>
      <c r="K242" s="80"/>
    </row>
    <row r="243" spans="1:11">
      <c r="A243" s="93"/>
      <c r="B243" s="249" t="str">
        <f>IFERROR(IF(VLOOKUP($A243,CTINTERVALO,2,0)=0,"",VLOOKUP($A243,CTINTERVALO,2,0)),"")</f>
        <v/>
      </c>
      <c r="C243" s="249" t="str">
        <f>IF($B243="Não", "BLOQUEADO (Aguardar liberação)", IFERROR(IF(VLOOKUP($A243,CTINTERVALO,3,0)=0,"",VLOOKUP($A243,CTINTERVALO,3,0)),""))</f>
        <v/>
      </c>
      <c r="D243" s="249" t="str">
        <f>IF($B243="Não", "BLOQUEADO (Aguardar liberação)", IFERROR(IF(VLOOKUP($A243,CTINTERVALO,4,0)=0,"",VLOOKUP($A243,CTINTERVALO,4,0)),""))</f>
        <v/>
      </c>
      <c r="E243" s="249"/>
      <c r="F243" s="249" t="str">
        <f>IF($B243="Não", "BLOQUEADO (Aguardar liberação)", IFERROR(IF(VLOOKUP($A243,CTINTERVALO,6,0)=0,"",VLOOKUP($A243,CTINTERVALO,6,0)),""))</f>
        <v/>
      </c>
      <c r="G243" s="80"/>
      <c r="H243" s="80"/>
      <c r="I243" s="79"/>
      <c r="J243" s="79"/>
      <c r="K243" s="80"/>
    </row>
    <row r="244" spans="1:11">
      <c r="A244" s="93"/>
      <c r="B244" s="249" t="str">
        <f>IFERROR(IF(VLOOKUP($A244,CTINTERVALO,2,0)=0,"",VLOOKUP($A244,CTINTERVALO,2,0)),"")</f>
        <v/>
      </c>
      <c r="C244" s="249" t="str">
        <f>IF($B244="Não", "BLOQUEADO (Aguardar liberação)", IFERROR(IF(VLOOKUP($A244,CTINTERVALO,3,0)=0,"",VLOOKUP($A244,CTINTERVALO,3,0)),""))</f>
        <v/>
      </c>
      <c r="D244" s="249" t="str">
        <f>IF($B244="Não", "BLOQUEADO (Aguardar liberação)", IFERROR(IF(VLOOKUP($A244,CTINTERVALO,4,0)=0,"",VLOOKUP($A244,CTINTERVALO,4,0)),""))</f>
        <v/>
      </c>
      <c r="E244" s="249"/>
      <c r="F244" s="249" t="str">
        <f>IF($B244="Não", "BLOQUEADO (Aguardar liberação)", IFERROR(IF(VLOOKUP($A244,CTINTERVALO,6,0)=0,"",VLOOKUP($A244,CTINTERVALO,6,0)),""))</f>
        <v/>
      </c>
      <c r="G244" s="80"/>
      <c r="H244" s="80"/>
      <c r="I244" s="79"/>
      <c r="J244" s="79"/>
      <c r="K244" s="80"/>
    </row>
    <row r="245" spans="1:11">
      <c r="A245" s="93"/>
      <c r="B245" s="249" t="str">
        <f>IFERROR(IF(VLOOKUP($A245,CTINTERVALO,2,0)=0,"",VLOOKUP($A245,CTINTERVALO,2,0)),"")</f>
        <v/>
      </c>
      <c r="C245" s="249" t="str">
        <f>IF($B245="Não", "BLOQUEADO (Aguardar liberação)", IFERROR(IF(VLOOKUP($A245,CTINTERVALO,3,0)=0,"",VLOOKUP($A245,CTINTERVALO,3,0)),""))</f>
        <v/>
      </c>
      <c r="D245" s="249" t="str">
        <f>IF($B245="Não", "BLOQUEADO (Aguardar liberação)", IFERROR(IF(VLOOKUP($A245,CTINTERVALO,4,0)=0,"",VLOOKUP($A245,CTINTERVALO,4,0)),""))</f>
        <v/>
      </c>
      <c r="E245" s="249"/>
      <c r="F245" s="249" t="str">
        <f>IF($B245="Não", "BLOQUEADO (Aguardar liberação)", IFERROR(IF(VLOOKUP($A245,CTINTERVALO,6,0)=0,"",VLOOKUP($A245,CTINTERVALO,6,0)),""))</f>
        <v/>
      </c>
      <c r="G245" s="80"/>
      <c r="H245" s="80"/>
      <c r="I245" s="79"/>
      <c r="J245" s="79"/>
      <c r="K245" s="80"/>
    </row>
    <row r="246" spans="1:11">
      <c r="A246" s="93"/>
      <c r="B246" s="249" t="str">
        <f>IFERROR(IF(VLOOKUP($A246,CTINTERVALO,2,0)=0,"",VLOOKUP($A246,CTINTERVALO,2,0)),"")</f>
        <v/>
      </c>
      <c r="C246" s="249" t="str">
        <f>IF($B246="Não", "BLOQUEADO (Aguardar liberação)", IFERROR(IF(VLOOKUP($A246,CTINTERVALO,3,0)=0,"",VLOOKUP($A246,CTINTERVALO,3,0)),""))</f>
        <v/>
      </c>
      <c r="D246" s="249" t="str">
        <f>IF($B246="Não", "BLOQUEADO (Aguardar liberação)", IFERROR(IF(VLOOKUP($A246,CTINTERVALO,4,0)=0,"",VLOOKUP($A246,CTINTERVALO,4,0)),""))</f>
        <v/>
      </c>
      <c r="E246" s="249"/>
      <c r="F246" s="249" t="str">
        <f>IF($B246="Não", "BLOQUEADO (Aguardar liberação)", IFERROR(IF(VLOOKUP($A246,CTINTERVALO,6,0)=0,"",VLOOKUP($A246,CTINTERVALO,6,0)),""))</f>
        <v/>
      </c>
      <c r="G246" s="80"/>
      <c r="H246" s="80"/>
      <c r="I246" s="79"/>
      <c r="J246" s="79"/>
      <c r="K246" s="80"/>
    </row>
    <row r="247" spans="1:11">
      <c r="A247" s="93"/>
      <c r="B247" s="249" t="str">
        <f>IFERROR(IF(VLOOKUP($A247,CTINTERVALO,2,0)=0,"",VLOOKUP($A247,CTINTERVALO,2,0)),"")</f>
        <v/>
      </c>
      <c r="C247" s="249" t="str">
        <f>IF($B247="Não", "BLOQUEADO (Aguardar liberação)", IFERROR(IF(VLOOKUP($A247,CTINTERVALO,3,0)=0,"",VLOOKUP($A247,CTINTERVALO,3,0)),""))</f>
        <v/>
      </c>
      <c r="D247" s="249" t="str">
        <f>IF($B247="Não", "BLOQUEADO (Aguardar liberação)", IFERROR(IF(VLOOKUP($A247,CTINTERVALO,4,0)=0,"",VLOOKUP($A247,CTINTERVALO,4,0)),""))</f>
        <v/>
      </c>
      <c r="E247" s="249"/>
      <c r="F247" s="249" t="str">
        <f>IF($B247="Não", "BLOQUEADO (Aguardar liberação)", IFERROR(IF(VLOOKUP($A247,CTINTERVALO,6,0)=0,"",VLOOKUP($A247,CTINTERVALO,6,0)),""))</f>
        <v/>
      </c>
      <c r="G247" s="80"/>
      <c r="H247" s="80"/>
      <c r="I247" s="79"/>
      <c r="J247" s="79"/>
      <c r="K247" s="80"/>
    </row>
    <row r="248" spans="1:11">
      <c r="A248" s="93"/>
      <c r="B248" s="249" t="str">
        <f>IFERROR(IF(VLOOKUP($A248,CTINTERVALO,2,0)=0,"",VLOOKUP($A248,CTINTERVALO,2,0)),"")</f>
        <v/>
      </c>
      <c r="C248" s="249" t="str">
        <f>IF($B248="Não", "BLOQUEADO (Aguardar liberação)", IFERROR(IF(VLOOKUP($A248,CTINTERVALO,3,0)=0,"",VLOOKUP($A248,CTINTERVALO,3,0)),""))</f>
        <v/>
      </c>
      <c r="D248" s="249" t="str">
        <f>IF($B248="Não", "BLOQUEADO (Aguardar liberação)", IFERROR(IF(VLOOKUP($A248,CTINTERVALO,4,0)=0,"",VLOOKUP($A248,CTINTERVALO,4,0)),""))</f>
        <v/>
      </c>
      <c r="E248" s="249"/>
      <c r="F248" s="249" t="str">
        <f>IF($B248="Não", "BLOQUEADO (Aguardar liberação)", IFERROR(IF(VLOOKUP($A248,CTINTERVALO,6,0)=0,"",VLOOKUP($A248,CTINTERVALO,6,0)),""))</f>
        <v/>
      </c>
      <c r="G248" s="80"/>
      <c r="H248" s="80"/>
      <c r="I248" s="79"/>
      <c r="J248" s="79"/>
      <c r="K248" s="80"/>
    </row>
    <row r="249" spans="1:11">
      <c r="A249" s="93"/>
      <c r="B249" s="249" t="str">
        <f>IFERROR(IF(VLOOKUP($A249,CTINTERVALO,2,0)=0,"",VLOOKUP($A249,CTINTERVALO,2,0)),"")</f>
        <v/>
      </c>
      <c r="C249" s="249" t="str">
        <f>IF($B249="Não", "BLOQUEADO (Aguardar liberação)", IFERROR(IF(VLOOKUP($A249,CTINTERVALO,3,0)=0,"",VLOOKUP($A249,CTINTERVALO,3,0)),""))</f>
        <v/>
      </c>
      <c r="D249" s="249" t="str">
        <f>IF($B249="Não", "BLOQUEADO (Aguardar liberação)", IFERROR(IF(VLOOKUP($A249,CTINTERVALO,4,0)=0,"",VLOOKUP($A249,CTINTERVALO,4,0)),""))</f>
        <v/>
      </c>
      <c r="E249" s="249"/>
      <c r="F249" s="249" t="str">
        <f>IF($B249="Não", "BLOQUEADO (Aguardar liberação)", IFERROR(IF(VLOOKUP($A249,CTINTERVALO,6,0)=0,"",VLOOKUP($A249,CTINTERVALO,6,0)),""))</f>
        <v/>
      </c>
      <c r="G249" s="80"/>
      <c r="H249" s="80"/>
      <c r="I249" s="79"/>
      <c r="J249" s="79"/>
      <c r="K249" s="80"/>
    </row>
    <row r="250" spans="1:11">
      <c r="A250" s="93"/>
      <c r="B250" s="249" t="str">
        <f>IFERROR(IF(VLOOKUP($A250,CTINTERVALO,2,0)=0,"",VLOOKUP($A250,CTINTERVALO,2,0)),"")</f>
        <v/>
      </c>
      <c r="C250" s="249" t="str">
        <f>IF($B250="Não", "BLOQUEADO (Aguardar liberação)", IFERROR(IF(VLOOKUP($A250,CTINTERVALO,3,0)=0,"",VLOOKUP($A250,CTINTERVALO,3,0)),""))</f>
        <v/>
      </c>
      <c r="D250" s="249" t="str">
        <f>IF($B250="Não", "BLOQUEADO (Aguardar liberação)", IFERROR(IF(VLOOKUP($A250,CTINTERVALO,4,0)=0,"",VLOOKUP($A250,CTINTERVALO,4,0)),""))</f>
        <v/>
      </c>
      <c r="E250" s="249"/>
      <c r="F250" s="249" t="str">
        <f>IF($B250="Não", "BLOQUEADO (Aguardar liberação)", IFERROR(IF(VLOOKUP($A250,CTINTERVALO,6,0)=0,"",VLOOKUP($A250,CTINTERVALO,6,0)),""))</f>
        <v/>
      </c>
      <c r="G250" s="80"/>
      <c r="H250" s="80"/>
      <c r="I250" s="79"/>
      <c r="J250" s="79"/>
      <c r="K250" s="80"/>
    </row>
    <row r="251" spans="1:11">
      <c r="A251" s="93"/>
      <c r="B251" s="249" t="str">
        <f>IFERROR(IF(VLOOKUP($A251,CTINTERVALO,2,0)=0,"",VLOOKUP($A251,CTINTERVALO,2,0)),"")</f>
        <v/>
      </c>
      <c r="C251" s="249" t="str">
        <f>IF($B251="Não", "BLOQUEADO (Aguardar liberação)", IFERROR(IF(VLOOKUP($A251,CTINTERVALO,3,0)=0,"",VLOOKUP($A251,CTINTERVALO,3,0)),""))</f>
        <v/>
      </c>
      <c r="D251" s="249" t="str">
        <f>IF($B251="Não", "BLOQUEADO (Aguardar liberação)", IFERROR(IF(VLOOKUP($A251,CTINTERVALO,4,0)=0,"",VLOOKUP($A251,CTINTERVALO,4,0)),""))</f>
        <v/>
      </c>
      <c r="E251" s="249"/>
      <c r="F251" s="249" t="str">
        <f>IF($B251="Não", "BLOQUEADO (Aguardar liberação)", IFERROR(IF(VLOOKUP($A251,CTINTERVALO,6,0)=0,"",VLOOKUP($A251,CTINTERVALO,6,0)),""))</f>
        <v/>
      </c>
      <c r="G251" s="80"/>
      <c r="H251" s="80"/>
      <c r="I251" s="79"/>
      <c r="J251" s="79"/>
      <c r="K251" s="80"/>
    </row>
    <row r="252" spans="1:11">
      <c r="A252" s="93"/>
      <c r="B252" s="249" t="str">
        <f>IFERROR(IF(VLOOKUP($A252,CTINTERVALO,2,0)=0,"",VLOOKUP($A252,CTINTERVALO,2,0)),"")</f>
        <v/>
      </c>
      <c r="C252" s="249" t="str">
        <f>IF($B252="Não", "BLOQUEADO (Aguardar liberação)", IFERROR(IF(VLOOKUP($A252,CTINTERVALO,3,0)=0,"",VLOOKUP($A252,CTINTERVALO,3,0)),""))</f>
        <v/>
      </c>
      <c r="D252" s="249" t="str">
        <f>IF($B252="Não", "BLOQUEADO (Aguardar liberação)", IFERROR(IF(VLOOKUP($A252,CTINTERVALO,4,0)=0,"",VLOOKUP($A252,CTINTERVALO,4,0)),""))</f>
        <v/>
      </c>
      <c r="E252" s="249"/>
      <c r="F252" s="249" t="str">
        <f>IF($B252="Não", "BLOQUEADO (Aguardar liberação)", IFERROR(IF(VLOOKUP($A252,CTINTERVALO,6,0)=0,"",VLOOKUP($A252,CTINTERVALO,6,0)),""))</f>
        <v/>
      </c>
      <c r="G252" s="80"/>
      <c r="H252" s="80"/>
      <c r="I252" s="79"/>
      <c r="J252" s="79"/>
      <c r="K252" s="80"/>
    </row>
    <row r="253" spans="1:11">
      <c r="A253" s="93"/>
      <c r="B253" s="249" t="str">
        <f>IFERROR(IF(VLOOKUP($A253,CTINTERVALO,2,0)=0,"",VLOOKUP($A253,CTINTERVALO,2,0)),"")</f>
        <v/>
      </c>
      <c r="C253" s="249" t="str">
        <f>IF($B253="Não", "BLOQUEADO (Aguardar liberação)", IFERROR(IF(VLOOKUP($A253,CTINTERVALO,3,0)=0,"",VLOOKUP($A253,CTINTERVALO,3,0)),""))</f>
        <v/>
      </c>
      <c r="D253" s="249" t="str">
        <f>IF($B253="Não", "BLOQUEADO (Aguardar liberação)", IFERROR(IF(VLOOKUP($A253,CTINTERVALO,4,0)=0,"",VLOOKUP($A253,CTINTERVALO,4,0)),""))</f>
        <v/>
      </c>
      <c r="E253" s="249"/>
      <c r="F253" s="249" t="str">
        <f>IF($B253="Não", "BLOQUEADO (Aguardar liberação)", IFERROR(IF(VLOOKUP($A253,CTINTERVALO,6,0)=0,"",VLOOKUP($A253,CTINTERVALO,6,0)),""))</f>
        <v/>
      </c>
      <c r="G253" s="80"/>
      <c r="H253" s="80"/>
      <c r="I253" s="79"/>
      <c r="J253" s="79"/>
      <c r="K253" s="80"/>
    </row>
    <row r="254" spans="1:11">
      <c r="A254" s="93"/>
      <c r="B254" s="249" t="str">
        <f>IFERROR(IF(VLOOKUP($A254,CTINTERVALO,2,0)=0,"",VLOOKUP($A254,CTINTERVALO,2,0)),"")</f>
        <v/>
      </c>
      <c r="C254" s="249" t="str">
        <f>IF($B254="Não", "BLOQUEADO (Aguardar liberação)", IFERROR(IF(VLOOKUP($A254,CTINTERVALO,3,0)=0,"",VLOOKUP($A254,CTINTERVALO,3,0)),""))</f>
        <v/>
      </c>
      <c r="D254" s="249" t="str">
        <f>IF($B254="Não", "BLOQUEADO (Aguardar liberação)", IFERROR(IF(VLOOKUP($A254,CTINTERVALO,4,0)=0,"",VLOOKUP($A254,CTINTERVALO,4,0)),""))</f>
        <v/>
      </c>
      <c r="E254" s="249"/>
      <c r="F254" s="249" t="str">
        <f>IF($B254="Não", "BLOQUEADO (Aguardar liberação)", IFERROR(IF(VLOOKUP($A254,CTINTERVALO,6,0)=0,"",VLOOKUP($A254,CTINTERVALO,6,0)),""))</f>
        <v/>
      </c>
      <c r="G254" s="80"/>
      <c r="H254" s="80"/>
      <c r="I254" s="79"/>
      <c r="J254" s="79"/>
      <c r="K254" s="80"/>
    </row>
    <row r="255" spans="1:11">
      <c r="A255" s="93"/>
      <c r="B255" s="249" t="str">
        <f>IFERROR(IF(VLOOKUP($A255,CTINTERVALO,2,0)=0,"",VLOOKUP($A255,CTINTERVALO,2,0)),"")</f>
        <v/>
      </c>
      <c r="C255" s="249" t="str">
        <f>IF($B255="Não", "BLOQUEADO (Aguardar liberação)", IFERROR(IF(VLOOKUP($A255,CTINTERVALO,3,0)=0,"",VLOOKUP($A255,CTINTERVALO,3,0)),""))</f>
        <v/>
      </c>
      <c r="D255" s="249" t="str">
        <f>IF($B255="Não", "BLOQUEADO (Aguardar liberação)", IFERROR(IF(VLOOKUP($A255,CTINTERVALO,4,0)=0,"",VLOOKUP($A255,CTINTERVALO,4,0)),""))</f>
        <v/>
      </c>
      <c r="E255" s="249"/>
      <c r="F255" s="249" t="str">
        <f>IF($B255="Não", "BLOQUEADO (Aguardar liberação)", IFERROR(IF(VLOOKUP($A255,CTINTERVALO,6,0)=0,"",VLOOKUP($A255,CTINTERVALO,6,0)),""))</f>
        <v/>
      </c>
      <c r="G255" s="80"/>
      <c r="H255" s="80"/>
      <c r="I255" s="79"/>
      <c r="J255" s="79"/>
      <c r="K255" s="80"/>
    </row>
    <row r="256" spans="1:11">
      <c r="A256" s="93"/>
      <c r="B256" s="249" t="str">
        <f>IFERROR(IF(VLOOKUP($A256,CTINTERVALO,2,0)=0,"",VLOOKUP($A256,CTINTERVALO,2,0)),"")</f>
        <v/>
      </c>
      <c r="C256" s="249" t="str">
        <f>IF($B256="Não", "BLOQUEADO (Aguardar liberação)", IFERROR(IF(VLOOKUP($A256,CTINTERVALO,3,0)=0,"",VLOOKUP($A256,CTINTERVALO,3,0)),""))</f>
        <v/>
      </c>
      <c r="D256" s="249" t="str">
        <f>IF($B256="Não", "BLOQUEADO (Aguardar liberação)", IFERROR(IF(VLOOKUP($A256,CTINTERVALO,4,0)=0,"",VLOOKUP($A256,CTINTERVALO,4,0)),""))</f>
        <v/>
      </c>
      <c r="E256" s="249"/>
      <c r="F256" s="249" t="str">
        <f>IF($B256="Não", "BLOQUEADO (Aguardar liberação)", IFERROR(IF(VLOOKUP($A256,CTINTERVALO,6,0)=0,"",VLOOKUP($A256,CTINTERVALO,6,0)),""))</f>
        <v/>
      </c>
      <c r="G256" s="80"/>
      <c r="H256" s="80"/>
      <c r="I256" s="79"/>
      <c r="J256" s="79"/>
      <c r="K256" s="80"/>
    </row>
    <row r="257" spans="1:11">
      <c r="A257" s="93"/>
      <c r="B257" s="249" t="str">
        <f>IFERROR(IF(VLOOKUP($A257,CTINTERVALO,2,0)=0,"",VLOOKUP($A257,CTINTERVALO,2,0)),"")</f>
        <v/>
      </c>
      <c r="C257" s="249" t="str">
        <f>IF($B257="Não", "BLOQUEADO (Aguardar liberação)", IFERROR(IF(VLOOKUP($A257,CTINTERVALO,3,0)=0,"",VLOOKUP($A257,CTINTERVALO,3,0)),""))</f>
        <v/>
      </c>
      <c r="D257" s="249" t="str">
        <f>IF($B257="Não", "BLOQUEADO (Aguardar liberação)", IFERROR(IF(VLOOKUP($A257,CTINTERVALO,4,0)=0,"",VLOOKUP($A257,CTINTERVALO,4,0)),""))</f>
        <v/>
      </c>
      <c r="E257" s="249"/>
      <c r="F257" s="249" t="str">
        <f>IF($B257="Não", "BLOQUEADO (Aguardar liberação)", IFERROR(IF(VLOOKUP($A257,CTINTERVALO,6,0)=0,"",VLOOKUP($A257,CTINTERVALO,6,0)),""))</f>
        <v/>
      </c>
      <c r="G257" s="80"/>
      <c r="H257" s="80"/>
      <c r="I257" s="79"/>
      <c r="J257" s="79"/>
      <c r="K257" s="80"/>
    </row>
    <row r="258" spans="1:11">
      <c r="A258" s="93"/>
      <c r="B258" s="249" t="str">
        <f>IFERROR(IF(VLOOKUP($A258,CTINTERVALO,2,0)=0,"",VLOOKUP($A258,CTINTERVALO,2,0)),"")</f>
        <v/>
      </c>
      <c r="C258" s="249" t="str">
        <f>IF($B258="Não", "BLOQUEADO (Aguardar liberação)", IFERROR(IF(VLOOKUP($A258,CTINTERVALO,3,0)=0,"",VLOOKUP($A258,CTINTERVALO,3,0)),""))</f>
        <v/>
      </c>
      <c r="D258" s="249" t="str">
        <f>IF($B258="Não", "BLOQUEADO (Aguardar liberação)", IFERROR(IF(VLOOKUP($A258,CTINTERVALO,4,0)=0,"",VLOOKUP($A258,CTINTERVALO,4,0)),""))</f>
        <v/>
      </c>
      <c r="E258" s="249"/>
      <c r="F258" s="249" t="str">
        <f>IF($B258="Não", "BLOQUEADO (Aguardar liberação)", IFERROR(IF(VLOOKUP($A258,CTINTERVALO,6,0)=0,"",VLOOKUP($A258,CTINTERVALO,6,0)),""))</f>
        <v/>
      </c>
      <c r="G258" s="80"/>
      <c r="H258" s="80"/>
      <c r="I258" s="79"/>
      <c r="J258" s="79"/>
      <c r="K258" s="80"/>
    </row>
    <row r="259" spans="1:11">
      <c r="A259" s="93"/>
      <c r="B259" s="249" t="str">
        <f>IFERROR(IF(VLOOKUP($A259,CTINTERVALO,2,0)=0,"",VLOOKUP($A259,CTINTERVALO,2,0)),"")</f>
        <v/>
      </c>
      <c r="C259" s="249" t="str">
        <f>IF($B259="Não", "BLOQUEADO (Aguardar liberação)", IFERROR(IF(VLOOKUP($A259,CTINTERVALO,3,0)=0,"",VLOOKUP($A259,CTINTERVALO,3,0)),""))</f>
        <v/>
      </c>
      <c r="D259" s="249" t="str">
        <f>IF($B259="Não", "BLOQUEADO (Aguardar liberação)", IFERROR(IF(VLOOKUP($A259,CTINTERVALO,4,0)=0,"",VLOOKUP($A259,CTINTERVALO,4,0)),""))</f>
        <v/>
      </c>
      <c r="E259" s="249"/>
      <c r="F259" s="249" t="str">
        <f>IF($B259="Não", "BLOQUEADO (Aguardar liberação)", IFERROR(IF(VLOOKUP($A259,CTINTERVALO,6,0)=0,"",VLOOKUP($A259,CTINTERVALO,6,0)),""))</f>
        <v/>
      </c>
      <c r="G259" s="80"/>
      <c r="H259" s="80"/>
      <c r="I259" s="79"/>
      <c r="J259" s="79"/>
      <c r="K259" s="80"/>
    </row>
    <row r="260" spans="1:11">
      <c r="A260" s="93"/>
      <c r="B260" s="249" t="str">
        <f>IFERROR(IF(VLOOKUP($A260,CTINTERVALO,2,0)=0,"",VLOOKUP($A260,CTINTERVALO,2,0)),"")</f>
        <v/>
      </c>
      <c r="C260" s="249" t="str">
        <f>IF($B260="Não", "BLOQUEADO (Aguardar liberação)", IFERROR(IF(VLOOKUP($A260,CTINTERVALO,3,0)=0,"",VLOOKUP($A260,CTINTERVALO,3,0)),""))</f>
        <v/>
      </c>
      <c r="D260" s="249" t="str">
        <f>IF($B260="Não", "BLOQUEADO (Aguardar liberação)", IFERROR(IF(VLOOKUP($A260,CTINTERVALO,4,0)=0,"",VLOOKUP($A260,CTINTERVALO,4,0)),""))</f>
        <v/>
      </c>
      <c r="E260" s="249"/>
      <c r="F260" s="249" t="str">
        <f>IF($B260="Não", "BLOQUEADO (Aguardar liberação)", IFERROR(IF(VLOOKUP($A260,CTINTERVALO,6,0)=0,"",VLOOKUP($A260,CTINTERVALO,6,0)),""))</f>
        <v/>
      </c>
      <c r="G260" s="80"/>
      <c r="H260" s="80"/>
      <c r="I260" s="79"/>
      <c r="J260" s="79"/>
      <c r="K260" s="80"/>
    </row>
    <row r="261" spans="1:11">
      <c r="A261" s="93"/>
      <c r="B261" s="249" t="str">
        <f>IFERROR(IF(VLOOKUP($A261,CTINTERVALO,2,0)=0,"",VLOOKUP($A261,CTINTERVALO,2,0)),"")</f>
        <v/>
      </c>
      <c r="C261" s="249" t="str">
        <f>IF($B261="Não", "BLOQUEADO (Aguardar liberação)", IFERROR(IF(VLOOKUP($A261,CTINTERVALO,3,0)=0,"",VLOOKUP($A261,CTINTERVALO,3,0)),""))</f>
        <v/>
      </c>
      <c r="D261" s="249" t="str">
        <f>IF($B261="Não", "BLOQUEADO (Aguardar liberação)", IFERROR(IF(VLOOKUP($A261,CTINTERVALO,4,0)=0,"",VLOOKUP($A261,CTINTERVALO,4,0)),""))</f>
        <v/>
      </c>
      <c r="E261" s="249"/>
      <c r="F261" s="249" t="str">
        <f>IF($B261="Não", "BLOQUEADO (Aguardar liberação)", IFERROR(IF(VLOOKUP($A261,CTINTERVALO,6,0)=0,"",VLOOKUP($A261,CTINTERVALO,6,0)),""))</f>
        <v/>
      </c>
      <c r="G261" s="80"/>
      <c r="H261" s="80"/>
      <c r="I261" s="79"/>
      <c r="J261" s="79"/>
      <c r="K261" s="80"/>
    </row>
    <row r="262" spans="1:11">
      <c r="A262" s="93"/>
      <c r="B262" s="249" t="str">
        <f>IFERROR(IF(VLOOKUP($A262,CTINTERVALO,2,0)=0,"",VLOOKUP($A262,CTINTERVALO,2,0)),"")</f>
        <v/>
      </c>
      <c r="C262" s="249" t="str">
        <f>IF($B262="Não", "BLOQUEADO (Aguardar liberação)", IFERROR(IF(VLOOKUP($A262,CTINTERVALO,3,0)=0,"",VLOOKUP($A262,CTINTERVALO,3,0)),""))</f>
        <v/>
      </c>
      <c r="D262" s="249" t="str">
        <f>IF($B262="Não", "BLOQUEADO (Aguardar liberação)", IFERROR(IF(VLOOKUP($A262,CTINTERVALO,4,0)=0,"",VLOOKUP($A262,CTINTERVALO,4,0)),""))</f>
        <v/>
      </c>
      <c r="E262" s="249"/>
      <c r="F262" s="249" t="str">
        <f>IF($B262="Não", "BLOQUEADO (Aguardar liberação)", IFERROR(IF(VLOOKUP($A262,CTINTERVALO,6,0)=0,"",VLOOKUP($A262,CTINTERVALO,6,0)),""))</f>
        <v/>
      </c>
      <c r="G262" s="80"/>
      <c r="H262" s="80"/>
      <c r="I262" s="79"/>
      <c r="J262" s="79"/>
      <c r="K262" s="80"/>
    </row>
    <row r="263" spans="1:11">
      <c r="A263" s="93"/>
      <c r="B263" s="249" t="str">
        <f>IFERROR(IF(VLOOKUP($A263,CTINTERVALO,2,0)=0,"",VLOOKUP($A263,CTINTERVALO,2,0)),"")</f>
        <v/>
      </c>
      <c r="C263" s="249" t="str">
        <f>IF($B263="Não", "BLOQUEADO (Aguardar liberação)", IFERROR(IF(VLOOKUP($A263,CTINTERVALO,3,0)=0,"",VLOOKUP($A263,CTINTERVALO,3,0)),""))</f>
        <v/>
      </c>
      <c r="D263" s="249" t="str">
        <f>IF($B263="Não", "BLOQUEADO (Aguardar liberação)", IFERROR(IF(VLOOKUP($A263,CTINTERVALO,4,0)=0,"",VLOOKUP($A263,CTINTERVALO,4,0)),""))</f>
        <v/>
      </c>
      <c r="E263" s="249"/>
      <c r="F263" s="249" t="str">
        <f>IF($B263="Não", "BLOQUEADO (Aguardar liberação)", IFERROR(IF(VLOOKUP($A263,CTINTERVALO,6,0)=0,"",VLOOKUP($A263,CTINTERVALO,6,0)),""))</f>
        <v/>
      </c>
      <c r="G263" s="80"/>
      <c r="H263" s="80"/>
      <c r="I263" s="79"/>
      <c r="J263" s="79"/>
      <c r="K263" s="80"/>
    </row>
    <row r="264" spans="1:11">
      <c r="A264" s="93"/>
      <c r="B264" s="249" t="str">
        <f>IFERROR(IF(VLOOKUP($A264,CTINTERVALO,2,0)=0,"",VLOOKUP($A264,CTINTERVALO,2,0)),"")</f>
        <v/>
      </c>
      <c r="C264" s="249" t="str">
        <f>IF($B264="Não", "BLOQUEADO (Aguardar liberação)", IFERROR(IF(VLOOKUP($A264,CTINTERVALO,3,0)=0,"",VLOOKUP($A264,CTINTERVALO,3,0)),""))</f>
        <v/>
      </c>
      <c r="D264" s="249" t="str">
        <f>IF($B264="Não", "BLOQUEADO (Aguardar liberação)", IFERROR(IF(VLOOKUP($A264,CTINTERVALO,4,0)=0,"",VLOOKUP($A264,CTINTERVALO,4,0)),""))</f>
        <v/>
      </c>
      <c r="E264" s="249"/>
      <c r="F264" s="249" t="str">
        <f>IF($B264="Não", "BLOQUEADO (Aguardar liberação)", IFERROR(IF(VLOOKUP($A264,CTINTERVALO,6,0)=0,"",VLOOKUP($A264,CTINTERVALO,6,0)),""))</f>
        <v/>
      </c>
      <c r="G264" s="80"/>
      <c r="H264" s="80"/>
      <c r="I264" s="79"/>
      <c r="J264" s="79"/>
      <c r="K264" s="80"/>
    </row>
    <row r="265" spans="1:11">
      <c r="A265" s="93"/>
      <c r="B265" s="249" t="str">
        <f>IFERROR(IF(VLOOKUP($A265,CTINTERVALO,2,0)=0,"",VLOOKUP($A265,CTINTERVALO,2,0)),"")</f>
        <v/>
      </c>
      <c r="C265" s="249" t="str">
        <f>IF($B265="Não", "BLOQUEADO (Aguardar liberação)", IFERROR(IF(VLOOKUP($A265,CTINTERVALO,3,0)=0,"",VLOOKUP($A265,CTINTERVALO,3,0)),""))</f>
        <v/>
      </c>
      <c r="D265" s="249" t="str">
        <f>IF($B265="Não", "BLOQUEADO (Aguardar liberação)", IFERROR(IF(VLOOKUP($A265,CTINTERVALO,4,0)=0,"",VLOOKUP($A265,CTINTERVALO,4,0)),""))</f>
        <v/>
      </c>
      <c r="E265" s="249"/>
      <c r="F265" s="249" t="str">
        <f>IF($B265="Não", "BLOQUEADO (Aguardar liberação)", IFERROR(IF(VLOOKUP($A265,CTINTERVALO,6,0)=0,"",VLOOKUP($A265,CTINTERVALO,6,0)),""))</f>
        <v/>
      </c>
      <c r="G265" s="80"/>
      <c r="H265" s="80"/>
      <c r="I265" s="79"/>
      <c r="J265" s="79"/>
      <c r="K265" s="80"/>
    </row>
    <row r="266" spans="1:11">
      <c r="A266" s="93"/>
      <c r="B266" s="249" t="str">
        <f>IFERROR(IF(VLOOKUP($A266,CTINTERVALO,2,0)=0,"",VLOOKUP($A266,CTINTERVALO,2,0)),"")</f>
        <v/>
      </c>
      <c r="C266" s="249" t="str">
        <f>IF($B266="Não", "BLOQUEADO (Aguardar liberação)", IFERROR(IF(VLOOKUP($A266,CTINTERVALO,3,0)=0,"",VLOOKUP($A266,CTINTERVALO,3,0)),""))</f>
        <v/>
      </c>
      <c r="D266" s="249" t="str">
        <f>IF($B266="Não", "BLOQUEADO (Aguardar liberação)", IFERROR(IF(VLOOKUP($A266,CTINTERVALO,4,0)=0,"",VLOOKUP($A266,CTINTERVALO,4,0)),""))</f>
        <v/>
      </c>
      <c r="E266" s="249"/>
      <c r="F266" s="249" t="str">
        <f>IF($B266="Não", "BLOQUEADO (Aguardar liberação)", IFERROR(IF(VLOOKUP($A266,CTINTERVALO,6,0)=0,"",VLOOKUP($A266,CTINTERVALO,6,0)),""))</f>
        <v/>
      </c>
      <c r="G266" s="80"/>
      <c r="H266" s="80"/>
      <c r="I266" s="79"/>
      <c r="J266" s="79"/>
      <c r="K266" s="80"/>
    </row>
    <row r="267" spans="1:11">
      <c r="A267" s="93"/>
      <c r="B267" s="249" t="str">
        <f>IFERROR(IF(VLOOKUP($A267,CTINTERVALO,2,0)=0,"",VLOOKUP($A267,CTINTERVALO,2,0)),"")</f>
        <v/>
      </c>
      <c r="C267" s="249" t="str">
        <f>IF($B267="Não", "BLOQUEADO (Aguardar liberação)", IFERROR(IF(VLOOKUP($A267,CTINTERVALO,3,0)=0,"",VLOOKUP($A267,CTINTERVALO,3,0)),""))</f>
        <v/>
      </c>
      <c r="D267" s="249" t="str">
        <f>IF($B267="Não", "BLOQUEADO (Aguardar liberação)", IFERROR(IF(VLOOKUP($A267,CTINTERVALO,4,0)=0,"",VLOOKUP($A267,CTINTERVALO,4,0)),""))</f>
        <v/>
      </c>
      <c r="E267" s="249"/>
      <c r="F267" s="249" t="str">
        <f>IF($B267="Não", "BLOQUEADO (Aguardar liberação)", IFERROR(IF(VLOOKUP($A267,CTINTERVALO,6,0)=0,"",VLOOKUP($A267,CTINTERVALO,6,0)),""))</f>
        <v/>
      </c>
      <c r="G267" s="80"/>
      <c r="H267" s="80"/>
      <c r="I267" s="79"/>
      <c r="J267" s="79"/>
      <c r="K267" s="80"/>
    </row>
    <row r="268" spans="1:11">
      <c r="A268" s="93"/>
      <c r="B268" s="249" t="str">
        <f>IFERROR(IF(VLOOKUP($A268,CTINTERVALO,2,0)=0,"",VLOOKUP($A268,CTINTERVALO,2,0)),"")</f>
        <v/>
      </c>
      <c r="C268" s="249" t="str">
        <f>IF($B268="Não", "BLOQUEADO (Aguardar liberação)", IFERROR(IF(VLOOKUP($A268,CTINTERVALO,3,0)=0,"",VLOOKUP($A268,CTINTERVALO,3,0)),""))</f>
        <v/>
      </c>
      <c r="D268" s="249" t="str">
        <f>IF($B268="Não", "BLOQUEADO (Aguardar liberação)", IFERROR(IF(VLOOKUP($A268,CTINTERVALO,4,0)=0,"",VLOOKUP($A268,CTINTERVALO,4,0)),""))</f>
        <v/>
      </c>
      <c r="E268" s="249"/>
      <c r="F268" s="249" t="str">
        <f>IF($B268="Não", "BLOQUEADO (Aguardar liberação)", IFERROR(IF(VLOOKUP($A268,CTINTERVALO,6,0)=0,"",VLOOKUP($A268,CTINTERVALO,6,0)),""))</f>
        <v/>
      </c>
      <c r="G268" s="80"/>
      <c r="H268" s="80"/>
      <c r="I268" s="79"/>
      <c r="J268" s="79"/>
      <c r="K268" s="80"/>
    </row>
    <row r="269" spans="1:11">
      <c r="A269" s="93"/>
      <c r="B269" s="249" t="str">
        <f>IFERROR(IF(VLOOKUP($A269,CTINTERVALO,2,0)=0,"",VLOOKUP($A269,CTINTERVALO,2,0)),"")</f>
        <v/>
      </c>
      <c r="C269" s="249" t="str">
        <f>IF($B269="Não", "BLOQUEADO (Aguardar liberação)", IFERROR(IF(VLOOKUP($A269,CTINTERVALO,3,0)=0,"",VLOOKUP($A269,CTINTERVALO,3,0)),""))</f>
        <v/>
      </c>
      <c r="D269" s="249" t="str">
        <f>IF($B269="Não", "BLOQUEADO (Aguardar liberação)", IFERROR(IF(VLOOKUP($A269,CTINTERVALO,4,0)=0,"",VLOOKUP($A269,CTINTERVALO,4,0)),""))</f>
        <v/>
      </c>
      <c r="E269" s="249"/>
      <c r="F269" s="249" t="str">
        <f>IF($B269="Não", "BLOQUEADO (Aguardar liberação)", IFERROR(IF(VLOOKUP($A269,CTINTERVALO,6,0)=0,"",VLOOKUP($A269,CTINTERVALO,6,0)),""))</f>
        <v/>
      </c>
      <c r="G269" s="80"/>
      <c r="H269" s="80"/>
      <c r="I269" s="79"/>
      <c r="J269" s="79"/>
      <c r="K269" s="80"/>
    </row>
    <row r="270" spans="1:11">
      <c r="A270" s="93"/>
      <c r="B270" s="249" t="str">
        <f>IFERROR(IF(VLOOKUP($A270,CTINTERVALO,2,0)=0,"",VLOOKUP($A270,CTINTERVALO,2,0)),"")</f>
        <v/>
      </c>
      <c r="C270" s="249" t="str">
        <f>IF($B270="Não", "BLOQUEADO (Aguardar liberação)", IFERROR(IF(VLOOKUP($A270,CTINTERVALO,3,0)=0,"",VLOOKUP($A270,CTINTERVALO,3,0)),""))</f>
        <v/>
      </c>
      <c r="D270" s="249" t="str">
        <f>IF($B270="Não", "BLOQUEADO (Aguardar liberação)", IFERROR(IF(VLOOKUP($A270,CTINTERVALO,4,0)=0,"",VLOOKUP($A270,CTINTERVALO,4,0)),""))</f>
        <v/>
      </c>
      <c r="E270" s="249"/>
      <c r="F270" s="249" t="str">
        <f>IF($B270="Não", "BLOQUEADO (Aguardar liberação)", IFERROR(IF(VLOOKUP($A270,CTINTERVALO,6,0)=0,"",VLOOKUP($A270,CTINTERVALO,6,0)),""))</f>
        <v/>
      </c>
      <c r="G270" s="80"/>
      <c r="H270" s="80"/>
      <c r="I270" s="79"/>
      <c r="J270" s="79"/>
      <c r="K270" s="80"/>
    </row>
    <row r="271" spans="1:11">
      <c r="A271" s="93"/>
      <c r="B271" s="249" t="str">
        <f>IFERROR(IF(VLOOKUP($A271,CTINTERVALO,2,0)=0,"",VLOOKUP($A271,CTINTERVALO,2,0)),"")</f>
        <v/>
      </c>
      <c r="C271" s="249" t="str">
        <f>IF($B271="Não", "BLOQUEADO (Aguardar liberação)", IFERROR(IF(VLOOKUP($A271,CTINTERVALO,3,0)=0,"",VLOOKUP($A271,CTINTERVALO,3,0)),""))</f>
        <v/>
      </c>
      <c r="D271" s="249" t="str">
        <f>IF($B271="Não", "BLOQUEADO (Aguardar liberação)", IFERROR(IF(VLOOKUP($A271,CTINTERVALO,4,0)=0,"",VLOOKUP($A271,CTINTERVALO,4,0)),""))</f>
        <v/>
      </c>
      <c r="E271" s="249"/>
      <c r="F271" s="249" t="str">
        <f>IF($B271="Não", "BLOQUEADO (Aguardar liberação)", IFERROR(IF(VLOOKUP($A271,CTINTERVALO,6,0)=0,"",VLOOKUP($A271,CTINTERVALO,6,0)),""))</f>
        <v/>
      </c>
      <c r="G271" s="80"/>
      <c r="H271" s="80"/>
      <c r="I271" s="79"/>
      <c r="J271" s="79"/>
      <c r="K271" s="80"/>
    </row>
    <row r="272" spans="1:11">
      <c r="A272" s="93"/>
      <c r="B272" s="249" t="str">
        <f>IFERROR(IF(VLOOKUP($A272,CTINTERVALO,2,0)=0,"",VLOOKUP($A272,CTINTERVALO,2,0)),"")</f>
        <v/>
      </c>
      <c r="C272" s="249" t="str">
        <f>IF($B272="Não", "BLOQUEADO (Aguardar liberação)", IFERROR(IF(VLOOKUP($A272,CTINTERVALO,3,0)=0,"",VLOOKUP($A272,CTINTERVALO,3,0)),""))</f>
        <v/>
      </c>
      <c r="D272" s="249" t="str">
        <f>IF($B272="Não", "BLOQUEADO (Aguardar liberação)", IFERROR(IF(VLOOKUP($A272,CTINTERVALO,4,0)=0,"",VLOOKUP($A272,CTINTERVALO,4,0)),""))</f>
        <v/>
      </c>
      <c r="E272" s="249"/>
      <c r="F272" s="249" t="str">
        <f>IF($B272="Não", "BLOQUEADO (Aguardar liberação)", IFERROR(IF(VLOOKUP($A272,CTINTERVALO,6,0)=0,"",VLOOKUP($A272,CTINTERVALO,6,0)),""))</f>
        <v/>
      </c>
      <c r="G272" s="80"/>
      <c r="H272" s="80"/>
      <c r="I272" s="79"/>
      <c r="J272" s="79"/>
      <c r="K272" s="80"/>
    </row>
    <row r="273" spans="1:11">
      <c r="A273" s="93"/>
      <c r="B273" s="249" t="str">
        <f>IFERROR(IF(VLOOKUP($A273,CTINTERVALO,2,0)=0,"",VLOOKUP($A273,CTINTERVALO,2,0)),"")</f>
        <v/>
      </c>
      <c r="C273" s="249" t="str">
        <f>IF($B273="Não", "BLOQUEADO (Aguardar liberação)", IFERROR(IF(VLOOKUP($A273,CTINTERVALO,3,0)=0,"",VLOOKUP($A273,CTINTERVALO,3,0)),""))</f>
        <v/>
      </c>
      <c r="D273" s="249" t="str">
        <f>IF($B273="Não", "BLOQUEADO (Aguardar liberação)", IFERROR(IF(VLOOKUP($A273,CTINTERVALO,4,0)=0,"",VLOOKUP($A273,CTINTERVALO,4,0)),""))</f>
        <v/>
      </c>
      <c r="E273" s="249"/>
      <c r="F273" s="249" t="str">
        <f>IF($B273="Não", "BLOQUEADO (Aguardar liberação)", IFERROR(IF(VLOOKUP($A273,CTINTERVALO,6,0)=0,"",VLOOKUP($A273,CTINTERVALO,6,0)),""))</f>
        <v/>
      </c>
      <c r="G273" s="80"/>
      <c r="H273" s="80"/>
      <c r="I273" s="79"/>
      <c r="J273" s="79"/>
      <c r="K273" s="80"/>
    </row>
    <row r="274" spans="1:11">
      <c r="A274" s="93"/>
      <c r="B274" s="249" t="str">
        <f>IFERROR(IF(VLOOKUP($A274,CTINTERVALO,2,0)=0,"",VLOOKUP($A274,CTINTERVALO,2,0)),"")</f>
        <v/>
      </c>
      <c r="C274" s="249" t="str">
        <f>IF($B274="Não", "BLOQUEADO (Aguardar liberação)", IFERROR(IF(VLOOKUP($A274,CTINTERVALO,3,0)=0,"",VLOOKUP($A274,CTINTERVALO,3,0)),""))</f>
        <v/>
      </c>
      <c r="D274" s="249" t="str">
        <f>IF($B274="Não", "BLOQUEADO (Aguardar liberação)", IFERROR(IF(VLOOKUP($A274,CTINTERVALO,4,0)=0,"",VLOOKUP($A274,CTINTERVALO,4,0)),""))</f>
        <v/>
      </c>
      <c r="E274" s="249"/>
      <c r="F274" s="249" t="str">
        <f>IF($B274="Não", "BLOQUEADO (Aguardar liberação)", IFERROR(IF(VLOOKUP($A274,CTINTERVALO,6,0)=0,"",VLOOKUP($A274,CTINTERVALO,6,0)),""))</f>
        <v/>
      </c>
      <c r="G274" s="80"/>
      <c r="H274" s="80"/>
      <c r="I274" s="79"/>
      <c r="J274" s="79"/>
      <c r="K274" s="80"/>
    </row>
    <row r="275" spans="1:11">
      <c r="A275" s="93"/>
      <c r="B275" s="249" t="str">
        <f>IFERROR(IF(VLOOKUP($A275,CTINTERVALO,2,0)=0,"",VLOOKUP($A275,CTINTERVALO,2,0)),"")</f>
        <v/>
      </c>
      <c r="C275" s="249" t="str">
        <f>IF($B275="Não", "BLOQUEADO (Aguardar liberação)", IFERROR(IF(VLOOKUP($A275,CTINTERVALO,3,0)=0,"",VLOOKUP($A275,CTINTERVALO,3,0)),""))</f>
        <v/>
      </c>
      <c r="D275" s="249" t="str">
        <f>IF($B275="Não", "BLOQUEADO (Aguardar liberação)", IFERROR(IF(VLOOKUP($A275,CTINTERVALO,4,0)=0,"",VLOOKUP($A275,CTINTERVALO,4,0)),""))</f>
        <v/>
      </c>
      <c r="E275" s="249"/>
      <c r="F275" s="249" t="str">
        <f>IF($B275="Não", "BLOQUEADO (Aguardar liberação)", IFERROR(IF(VLOOKUP($A275,CTINTERVALO,6,0)=0,"",VLOOKUP($A275,CTINTERVALO,6,0)),""))</f>
        <v/>
      </c>
      <c r="G275" s="80"/>
      <c r="H275" s="80"/>
      <c r="I275" s="79"/>
      <c r="J275" s="79"/>
      <c r="K275" s="80"/>
    </row>
    <row r="276" spans="1:11">
      <c r="A276" s="93"/>
      <c r="B276" s="249" t="str">
        <f>IFERROR(IF(VLOOKUP($A276,CTINTERVALO,2,0)=0,"",VLOOKUP($A276,CTINTERVALO,2,0)),"")</f>
        <v/>
      </c>
      <c r="C276" s="249" t="str">
        <f>IF($B276="Não", "BLOQUEADO (Aguardar liberação)", IFERROR(IF(VLOOKUP($A276,CTINTERVALO,3,0)=0,"",VLOOKUP($A276,CTINTERVALO,3,0)),""))</f>
        <v/>
      </c>
      <c r="D276" s="249" t="str">
        <f>IF($B276="Não", "BLOQUEADO (Aguardar liberação)", IFERROR(IF(VLOOKUP($A276,CTINTERVALO,4,0)=0,"",VLOOKUP($A276,CTINTERVALO,4,0)),""))</f>
        <v/>
      </c>
      <c r="E276" s="249"/>
      <c r="F276" s="249" t="str">
        <f>IF($B276="Não", "BLOQUEADO (Aguardar liberação)", IFERROR(IF(VLOOKUP($A276,CTINTERVALO,6,0)=0,"",VLOOKUP($A276,CTINTERVALO,6,0)),""))</f>
        <v/>
      </c>
      <c r="G276" s="80"/>
      <c r="H276" s="80"/>
      <c r="I276" s="79"/>
      <c r="J276" s="79"/>
      <c r="K276" s="80"/>
    </row>
    <row r="277" spans="1:11">
      <c r="A277" s="93"/>
      <c r="B277" s="249" t="str">
        <f>IFERROR(IF(VLOOKUP($A277,CTINTERVALO,2,0)=0,"",VLOOKUP($A277,CTINTERVALO,2,0)),"")</f>
        <v/>
      </c>
      <c r="C277" s="249" t="str">
        <f>IF($B277="Não", "BLOQUEADO (Aguardar liberação)", IFERROR(IF(VLOOKUP($A277,CTINTERVALO,3,0)=0,"",VLOOKUP($A277,CTINTERVALO,3,0)),""))</f>
        <v/>
      </c>
      <c r="D277" s="249" t="str">
        <f>IF($B277="Não", "BLOQUEADO (Aguardar liberação)", IFERROR(IF(VLOOKUP($A277,CTINTERVALO,4,0)=0,"",VLOOKUP($A277,CTINTERVALO,4,0)),""))</f>
        <v/>
      </c>
      <c r="E277" s="249"/>
      <c r="F277" s="249" t="str">
        <f>IF($B277="Não", "BLOQUEADO (Aguardar liberação)", IFERROR(IF(VLOOKUP($A277,CTINTERVALO,6,0)=0,"",VLOOKUP($A277,CTINTERVALO,6,0)),""))</f>
        <v/>
      </c>
      <c r="G277" s="80"/>
      <c r="H277" s="80"/>
      <c r="I277" s="79"/>
      <c r="J277" s="79"/>
      <c r="K277" s="80"/>
    </row>
    <row r="278" spans="1:11">
      <c r="A278" s="93"/>
      <c r="B278" s="249" t="str">
        <f>IFERROR(IF(VLOOKUP($A278,CTINTERVALO,2,0)=0,"",VLOOKUP($A278,CTINTERVALO,2,0)),"")</f>
        <v/>
      </c>
      <c r="C278" s="249" t="str">
        <f>IF($B278="Não", "BLOQUEADO (Aguardar liberação)", IFERROR(IF(VLOOKUP($A278,CTINTERVALO,3,0)=0,"",VLOOKUP($A278,CTINTERVALO,3,0)),""))</f>
        <v/>
      </c>
      <c r="D278" s="249" t="str">
        <f>IF($B278="Não", "BLOQUEADO (Aguardar liberação)", IFERROR(IF(VLOOKUP($A278,CTINTERVALO,4,0)=0,"",VLOOKUP($A278,CTINTERVALO,4,0)),""))</f>
        <v/>
      </c>
      <c r="E278" s="249"/>
      <c r="F278" s="249" t="str">
        <f>IF($B278="Não", "BLOQUEADO (Aguardar liberação)", IFERROR(IF(VLOOKUP($A278,CTINTERVALO,6,0)=0,"",VLOOKUP($A278,CTINTERVALO,6,0)),""))</f>
        <v/>
      </c>
      <c r="G278" s="80"/>
      <c r="H278" s="80"/>
      <c r="I278" s="79"/>
      <c r="J278" s="79"/>
      <c r="K278" s="80"/>
    </row>
    <row r="279" spans="1:11">
      <c r="A279" s="93"/>
      <c r="B279" s="249" t="str">
        <f>IFERROR(IF(VLOOKUP($A279,CTINTERVALO,2,0)=0,"",VLOOKUP($A279,CTINTERVALO,2,0)),"")</f>
        <v/>
      </c>
      <c r="C279" s="249" t="str">
        <f>IF($B279="Não", "BLOQUEADO (Aguardar liberação)", IFERROR(IF(VLOOKUP($A279,CTINTERVALO,3,0)=0,"",VLOOKUP($A279,CTINTERVALO,3,0)),""))</f>
        <v/>
      </c>
      <c r="D279" s="249" t="str">
        <f>IF($B279="Não", "BLOQUEADO (Aguardar liberação)", IFERROR(IF(VLOOKUP($A279,CTINTERVALO,4,0)=0,"",VLOOKUP($A279,CTINTERVALO,4,0)),""))</f>
        <v/>
      </c>
      <c r="E279" s="249"/>
      <c r="F279" s="249" t="str">
        <f>IF($B279="Não", "BLOQUEADO (Aguardar liberação)", IFERROR(IF(VLOOKUP($A279,CTINTERVALO,6,0)=0,"",VLOOKUP($A279,CTINTERVALO,6,0)),""))</f>
        <v/>
      </c>
      <c r="G279" s="80"/>
      <c r="H279" s="80"/>
      <c r="I279" s="79"/>
      <c r="J279" s="79"/>
      <c r="K279" s="80"/>
    </row>
    <row r="280" spans="1:11">
      <c r="A280" s="93"/>
      <c r="B280" s="249" t="str">
        <f>IFERROR(IF(VLOOKUP($A280,CTINTERVALO,2,0)=0,"",VLOOKUP($A280,CTINTERVALO,2,0)),"")</f>
        <v/>
      </c>
      <c r="C280" s="249" t="str">
        <f>IF($B280="Não", "BLOQUEADO (Aguardar liberação)", IFERROR(IF(VLOOKUP($A280,CTINTERVALO,3,0)=0,"",VLOOKUP($A280,CTINTERVALO,3,0)),""))</f>
        <v/>
      </c>
      <c r="D280" s="249" t="str">
        <f>IF($B280="Não", "BLOQUEADO (Aguardar liberação)", IFERROR(IF(VLOOKUP($A280,CTINTERVALO,4,0)=0,"",VLOOKUP($A280,CTINTERVALO,4,0)),""))</f>
        <v/>
      </c>
      <c r="E280" s="249"/>
      <c r="F280" s="249" t="str">
        <f>IF($B280="Não", "BLOQUEADO (Aguardar liberação)", IFERROR(IF(VLOOKUP($A280,CTINTERVALO,6,0)=0,"",VLOOKUP($A280,CTINTERVALO,6,0)),""))</f>
        <v/>
      </c>
      <c r="G280" s="80"/>
      <c r="H280" s="80"/>
      <c r="I280" s="79"/>
      <c r="J280" s="79"/>
      <c r="K280" s="80"/>
    </row>
    <row r="281" spans="1:11">
      <c r="A281" s="93"/>
      <c r="B281" s="249" t="str">
        <f>IFERROR(IF(VLOOKUP($A281,CTINTERVALO,2,0)=0,"",VLOOKUP($A281,CTINTERVALO,2,0)),"")</f>
        <v/>
      </c>
      <c r="C281" s="249" t="str">
        <f>IF($B281="Não", "BLOQUEADO (Aguardar liberação)", IFERROR(IF(VLOOKUP($A281,CTINTERVALO,3,0)=0,"",VLOOKUP($A281,CTINTERVALO,3,0)),""))</f>
        <v/>
      </c>
      <c r="D281" s="249" t="str">
        <f>IF($B281="Não", "BLOQUEADO (Aguardar liberação)", IFERROR(IF(VLOOKUP($A281,CTINTERVALO,4,0)=0,"",VLOOKUP($A281,CTINTERVALO,4,0)),""))</f>
        <v/>
      </c>
      <c r="E281" s="249"/>
      <c r="F281" s="249" t="str">
        <f>IF($B281="Não", "BLOQUEADO (Aguardar liberação)", IFERROR(IF(VLOOKUP($A281,CTINTERVALO,6,0)=0,"",VLOOKUP($A281,CTINTERVALO,6,0)),""))</f>
        <v/>
      </c>
      <c r="G281" s="80"/>
      <c r="H281" s="80"/>
      <c r="I281" s="79"/>
      <c r="J281" s="79"/>
      <c r="K281" s="80"/>
    </row>
    <row r="282" spans="1:11">
      <c r="A282" s="93"/>
      <c r="B282" s="249" t="str">
        <f>IFERROR(IF(VLOOKUP($A282,CTINTERVALO,2,0)=0,"",VLOOKUP($A282,CTINTERVALO,2,0)),"")</f>
        <v/>
      </c>
      <c r="C282" s="249" t="str">
        <f>IF($B282="Não", "BLOQUEADO (Aguardar liberação)", IFERROR(IF(VLOOKUP($A282,CTINTERVALO,3,0)=0,"",VLOOKUP($A282,CTINTERVALO,3,0)),""))</f>
        <v/>
      </c>
      <c r="D282" s="249" t="str">
        <f>IF($B282="Não", "BLOQUEADO (Aguardar liberação)", IFERROR(IF(VLOOKUP($A282,CTINTERVALO,4,0)=0,"",VLOOKUP($A282,CTINTERVALO,4,0)),""))</f>
        <v/>
      </c>
      <c r="E282" s="249"/>
      <c r="F282" s="249" t="str">
        <f>IF($B282="Não", "BLOQUEADO (Aguardar liberação)", IFERROR(IF(VLOOKUP($A282,CTINTERVALO,6,0)=0,"",VLOOKUP($A282,CTINTERVALO,6,0)),""))</f>
        <v/>
      </c>
      <c r="G282" s="80"/>
      <c r="H282" s="80"/>
      <c r="I282" s="79"/>
      <c r="J282" s="79"/>
      <c r="K282" s="80"/>
    </row>
    <row r="283" spans="1:11">
      <c r="A283" s="93"/>
      <c r="B283" s="249" t="str">
        <f>IFERROR(IF(VLOOKUP($A283,CTINTERVALO,2,0)=0,"",VLOOKUP($A283,CTINTERVALO,2,0)),"")</f>
        <v/>
      </c>
      <c r="C283" s="249" t="str">
        <f>IF($B283="Não", "BLOQUEADO (Aguardar liberação)", IFERROR(IF(VLOOKUP($A283,CTINTERVALO,3,0)=0,"",VLOOKUP($A283,CTINTERVALO,3,0)),""))</f>
        <v/>
      </c>
      <c r="D283" s="249" t="str">
        <f>IF($B283="Não", "BLOQUEADO (Aguardar liberação)", IFERROR(IF(VLOOKUP($A283,CTINTERVALO,4,0)=0,"",VLOOKUP($A283,CTINTERVALO,4,0)),""))</f>
        <v/>
      </c>
      <c r="E283" s="249"/>
      <c r="F283" s="249" t="str">
        <f>IF($B283="Não", "BLOQUEADO (Aguardar liberação)", IFERROR(IF(VLOOKUP($A283,CTINTERVALO,6,0)=0,"",VLOOKUP($A283,CTINTERVALO,6,0)),""))</f>
        <v/>
      </c>
      <c r="G283" s="80"/>
      <c r="H283" s="80"/>
      <c r="I283" s="79"/>
      <c r="J283" s="79"/>
      <c r="K283" s="80"/>
    </row>
    <row r="284" spans="1:11">
      <c r="A284" s="93"/>
      <c r="B284" s="249" t="str">
        <f>IFERROR(IF(VLOOKUP($A284,CTINTERVALO,2,0)=0,"",VLOOKUP($A284,CTINTERVALO,2,0)),"")</f>
        <v/>
      </c>
      <c r="C284" s="249" t="str">
        <f>IF($B284="Não", "BLOQUEADO (Aguardar liberação)", IFERROR(IF(VLOOKUP($A284,CTINTERVALO,3,0)=0,"",VLOOKUP($A284,CTINTERVALO,3,0)),""))</f>
        <v/>
      </c>
      <c r="D284" s="249" t="str">
        <f>IF($B284="Não", "BLOQUEADO (Aguardar liberação)", IFERROR(IF(VLOOKUP($A284,CTINTERVALO,4,0)=0,"",VLOOKUP($A284,CTINTERVALO,4,0)),""))</f>
        <v/>
      </c>
      <c r="E284" s="249"/>
      <c r="F284" s="249" t="str">
        <f>IF($B284="Não", "BLOQUEADO (Aguardar liberação)", IFERROR(IF(VLOOKUP($A284,CTINTERVALO,6,0)=0,"",VLOOKUP($A284,CTINTERVALO,6,0)),""))</f>
        <v/>
      </c>
      <c r="G284" s="80"/>
      <c r="H284" s="80"/>
      <c r="I284" s="79"/>
      <c r="J284" s="79"/>
      <c r="K284" s="80"/>
    </row>
    <row r="285" spans="1:11">
      <c r="A285" s="93"/>
      <c r="B285" s="249" t="str">
        <f>IFERROR(IF(VLOOKUP($A285,CTINTERVALO,2,0)=0,"",VLOOKUP($A285,CTINTERVALO,2,0)),"")</f>
        <v/>
      </c>
      <c r="C285" s="249" t="str">
        <f>IF($B285="Não", "BLOQUEADO (Aguardar liberação)", IFERROR(IF(VLOOKUP($A285,CTINTERVALO,3,0)=0,"",VLOOKUP($A285,CTINTERVALO,3,0)),""))</f>
        <v/>
      </c>
      <c r="D285" s="249" t="str">
        <f>IF($B285="Não", "BLOQUEADO (Aguardar liberação)", IFERROR(IF(VLOOKUP($A285,CTINTERVALO,4,0)=0,"",VLOOKUP($A285,CTINTERVALO,4,0)),""))</f>
        <v/>
      </c>
      <c r="E285" s="249"/>
      <c r="F285" s="249" t="str">
        <f>IF($B285="Não", "BLOQUEADO (Aguardar liberação)", IFERROR(IF(VLOOKUP($A285,CTINTERVALO,6,0)=0,"",VLOOKUP($A285,CTINTERVALO,6,0)),""))</f>
        <v/>
      </c>
      <c r="G285" s="80"/>
      <c r="H285" s="80"/>
      <c r="I285" s="79"/>
      <c r="J285" s="79"/>
      <c r="K285" s="80"/>
    </row>
    <row r="286" spans="1:11">
      <c r="A286" s="93"/>
      <c r="B286" s="249" t="str">
        <f>IFERROR(IF(VLOOKUP($A286,CTINTERVALO,2,0)=0,"",VLOOKUP($A286,CTINTERVALO,2,0)),"")</f>
        <v/>
      </c>
      <c r="C286" s="249" t="str">
        <f>IF($B286="Não", "BLOQUEADO (Aguardar liberação)", IFERROR(IF(VLOOKUP($A286,CTINTERVALO,3,0)=0,"",VLOOKUP($A286,CTINTERVALO,3,0)),""))</f>
        <v/>
      </c>
      <c r="D286" s="249" t="str">
        <f>IF($B286="Não", "BLOQUEADO (Aguardar liberação)", IFERROR(IF(VLOOKUP($A286,CTINTERVALO,4,0)=0,"",VLOOKUP($A286,CTINTERVALO,4,0)),""))</f>
        <v/>
      </c>
      <c r="E286" s="249"/>
      <c r="F286" s="249" t="str">
        <f>IF($B286="Não", "BLOQUEADO (Aguardar liberação)", IFERROR(IF(VLOOKUP($A286,CTINTERVALO,6,0)=0,"",VLOOKUP($A286,CTINTERVALO,6,0)),""))</f>
        <v/>
      </c>
      <c r="G286" s="80"/>
      <c r="H286" s="80"/>
      <c r="I286" s="79"/>
      <c r="J286" s="79"/>
      <c r="K286" s="80"/>
    </row>
    <row r="287" spans="1:11">
      <c r="A287" s="93"/>
      <c r="B287" s="249" t="str">
        <f>IFERROR(IF(VLOOKUP($A287,CTINTERVALO,2,0)=0,"",VLOOKUP($A287,CTINTERVALO,2,0)),"")</f>
        <v/>
      </c>
      <c r="C287" s="249" t="str">
        <f>IF($B287="Não", "BLOQUEADO (Aguardar liberação)", IFERROR(IF(VLOOKUP($A287,CTINTERVALO,3,0)=0,"",VLOOKUP($A287,CTINTERVALO,3,0)),""))</f>
        <v/>
      </c>
      <c r="D287" s="249" t="str">
        <f>IF($B287="Não", "BLOQUEADO (Aguardar liberação)", IFERROR(IF(VLOOKUP($A287,CTINTERVALO,4,0)=0,"",VLOOKUP($A287,CTINTERVALO,4,0)),""))</f>
        <v/>
      </c>
      <c r="E287" s="249"/>
      <c r="F287" s="249" t="str">
        <f>IF($B287="Não", "BLOQUEADO (Aguardar liberação)", IFERROR(IF(VLOOKUP($A287,CTINTERVALO,6,0)=0,"",VLOOKUP($A287,CTINTERVALO,6,0)),""))</f>
        <v/>
      </c>
      <c r="G287" s="80"/>
      <c r="H287" s="80"/>
      <c r="I287" s="79"/>
      <c r="J287" s="79"/>
      <c r="K287" s="80"/>
    </row>
    <row r="288" spans="1:11">
      <c r="A288" s="93"/>
      <c r="B288" s="249" t="str">
        <f>IFERROR(IF(VLOOKUP($A288,CTINTERVALO,2,0)=0,"",VLOOKUP($A288,CTINTERVALO,2,0)),"")</f>
        <v/>
      </c>
      <c r="C288" s="249" t="str">
        <f>IF($B288="Não", "BLOQUEADO (Aguardar liberação)", IFERROR(IF(VLOOKUP($A288,CTINTERVALO,3,0)=0,"",VLOOKUP($A288,CTINTERVALO,3,0)),""))</f>
        <v/>
      </c>
      <c r="D288" s="249" t="str">
        <f>IF($B288="Não", "BLOQUEADO (Aguardar liberação)", IFERROR(IF(VLOOKUP($A288,CTINTERVALO,4,0)=0,"",VLOOKUP($A288,CTINTERVALO,4,0)),""))</f>
        <v/>
      </c>
      <c r="E288" s="249"/>
      <c r="F288" s="249" t="str">
        <f>IF($B288="Não", "BLOQUEADO (Aguardar liberação)", IFERROR(IF(VLOOKUP($A288,CTINTERVALO,6,0)=0,"",VLOOKUP($A288,CTINTERVALO,6,0)),""))</f>
        <v/>
      </c>
      <c r="G288" s="80"/>
      <c r="H288" s="80"/>
      <c r="I288" s="79"/>
      <c r="J288" s="79"/>
      <c r="K288" s="80"/>
    </row>
    <row r="289" spans="1:11">
      <c r="A289" s="93"/>
      <c r="B289" s="249" t="str">
        <f>IFERROR(IF(VLOOKUP($A289,CTINTERVALO,2,0)=0,"",VLOOKUP($A289,CTINTERVALO,2,0)),"")</f>
        <v/>
      </c>
      <c r="C289" s="249" t="str">
        <f>IF($B289="Não", "BLOQUEADO (Aguardar liberação)", IFERROR(IF(VLOOKUP($A289,CTINTERVALO,3,0)=0,"",VLOOKUP($A289,CTINTERVALO,3,0)),""))</f>
        <v/>
      </c>
      <c r="D289" s="249" t="str">
        <f>IF($B289="Não", "BLOQUEADO (Aguardar liberação)", IFERROR(IF(VLOOKUP($A289,CTINTERVALO,4,0)=0,"",VLOOKUP($A289,CTINTERVALO,4,0)),""))</f>
        <v/>
      </c>
      <c r="E289" s="249"/>
      <c r="F289" s="249" t="str">
        <f>IF($B289="Não", "BLOQUEADO (Aguardar liberação)", IFERROR(IF(VLOOKUP($A289,CTINTERVALO,6,0)=0,"",VLOOKUP($A289,CTINTERVALO,6,0)),""))</f>
        <v/>
      </c>
      <c r="G289" s="80"/>
      <c r="H289" s="80"/>
      <c r="I289" s="79"/>
      <c r="J289" s="79"/>
      <c r="K289" s="80"/>
    </row>
    <row r="290" spans="1:11">
      <c r="A290" s="93"/>
      <c r="B290" s="249" t="str">
        <f>IFERROR(IF(VLOOKUP($A290,CTINTERVALO,2,0)=0,"",VLOOKUP($A290,CTINTERVALO,2,0)),"")</f>
        <v/>
      </c>
      <c r="C290" s="249" t="str">
        <f>IF($B290="Não", "BLOQUEADO (Aguardar liberação)", IFERROR(IF(VLOOKUP($A290,CTINTERVALO,3,0)=0,"",VLOOKUP($A290,CTINTERVALO,3,0)),""))</f>
        <v/>
      </c>
      <c r="D290" s="249" t="str">
        <f>IF($B290="Não", "BLOQUEADO (Aguardar liberação)", IFERROR(IF(VLOOKUP($A290,CTINTERVALO,4,0)=0,"",VLOOKUP($A290,CTINTERVALO,4,0)),""))</f>
        <v/>
      </c>
      <c r="E290" s="249"/>
      <c r="F290" s="249" t="str">
        <f>IF($B290="Não", "BLOQUEADO (Aguardar liberação)", IFERROR(IF(VLOOKUP($A290,CTINTERVALO,6,0)=0,"",VLOOKUP($A290,CTINTERVALO,6,0)),""))</f>
        <v/>
      </c>
      <c r="G290" s="80"/>
      <c r="H290" s="80"/>
      <c r="I290" s="79"/>
      <c r="J290" s="79"/>
      <c r="K290" s="80"/>
    </row>
    <row r="291" spans="1:11">
      <c r="A291" s="93"/>
      <c r="B291" s="249" t="str">
        <f>IFERROR(IF(VLOOKUP($A291,CTINTERVALO,2,0)=0,"",VLOOKUP($A291,CTINTERVALO,2,0)),"")</f>
        <v/>
      </c>
      <c r="C291" s="249" t="str">
        <f>IF($B291="Não", "BLOQUEADO (Aguardar liberação)", IFERROR(IF(VLOOKUP($A291,CTINTERVALO,3,0)=0,"",VLOOKUP($A291,CTINTERVALO,3,0)),""))</f>
        <v/>
      </c>
      <c r="D291" s="249" t="str">
        <f>IF($B291="Não", "BLOQUEADO (Aguardar liberação)", IFERROR(IF(VLOOKUP($A291,CTINTERVALO,4,0)=0,"",VLOOKUP($A291,CTINTERVALO,4,0)),""))</f>
        <v/>
      </c>
      <c r="E291" s="249"/>
      <c r="F291" s="249" t="str">
        <f>IF($B291="Não", "BLOQUEADO (Aguardar liberação)", IFERROR(IF(VLOOKUP($A291,CTINTERVALO,6,0)=0,"",VLOOKUP($A291,CTINTERVALO,6,0)),""))</f>
        <v/>
      </c>
      <c r="G291" s="80"/>
      <c r="H291" s="80"/>
      <c r="I291" s="79"/>
      <c r="J291" s="79"/>
      <c r="K291" s="80"/>
    </row>
    <row r="292" spans="1:11">
      <c r="A292" s="93"/>
      <c r="B292" s="249" t="str">
        <f>IFERROR(IF(VLOOKUP($A292,CTINTERVALO,2,0)=0,"",VLOOKUP($A292,CTINTERVALO,2,0)),"")</f>
        <v/>
      </c>
      <c r="C292" s="249" t="str">
        <f>IF($B292="Não", "BLOQUEADO (Aguardar liberação)", IFERROR(IF(VLOOKUP($A292,CTINTERVALO,3,0)=0,"",VLOOKUP($A292,CTINTERVALO,3,0)),""))</f>
        <v/>
      </c>
      <c r="D292" s="249" t="str">
        <f>IF($B292="Não", "BLOQUEADO (Aguardar liberação)", IFERROR(IF(VLOOKUP($A292,CTINTERVALO,4,0)=0,"",VLOOKUP($A292,CTINTERVALO,4,0)),""))</f>
        <v/>
      </c>
      <c r="E292" s="249"/>
      <c r="F292" s="249" t="str">
        <f>IF($B292="Não", "BLOQUEADO (Aguardar liberação)", IFERROR(IF(VLOOKUP($A292,CTINTERVALO,6,0)=0,"",VLOOKUP($A292,CTINTERVALO,6,0)),""))</f>
        <v/>
      </c>
      <c r="G292" s="80"/>
      <c r="H292" s="80"/>
      <c r="I292" s="79"/>
      <c r="J292" s="79"/>
      <c r="K292" s="80"/>
    </row>
    <row r="293" spans="1:11">
      <c r="A293" s="93"/>
      <c r="B293" s="249" t="str">
        <f>IFERROR(IF(VLOOKUP($A293,CTINTERVALO,2,0)=0,"",VLOOKUP($A293,CTINTERVALO,2,0)),"")</f>
        <v/>
      </c>
      <c r="C293" s="249" t="str">
        <f>IF($B293="Não", "BLOQUEADO (Aguardar liberação)", IFERROR(IF(VLOOKUP($A293,CTINTERVALO,3,0)=0,"",VLOOKUP($A293,CTINTERVALO,3,0)),""))</f>
        <v/>
      </c>
      <c r="D293" s="249" t="str">
        <f>IF($B293="Não", "BLOQUEADO (Aguardar liberação)", IFERROR(IF(VLOOKUP($A293,CTINTERVALO,4,0)=0,"",VLOOKUP($A293,CTINTERVALO,4,0)),""))</f>
        <v/>
      </c>
      <c r="E293" s="249"/>
      <c r="F293" s="249" t="str">
        <f>IF($B293="Não", "BLOQUEADO (Aguardar liberação)", IFERROR(IF(VLOOKUP($A293,CTINTERVALO,6,0)=0,"",VLOOKUP($A293,CTINTERVALO,6,0)),""))</f>
        <v/>
      </c>
      <c r="G293" s="80"/>
      <c r="H293" s="80"/>
      <c r="I293" s="79"/>
      <c r="J293" s="79"/>
      <c r="K293" s="80"/>
    </row>
    <row r="294" spans="1:11">
      <c r="A294" s="93"/>
      <c r="B294" s="249" t="str">
        <f>IFERROR(IF(VLOOKUP($A294,CTINTERVALO,2,0)=0,"",VLOOKUP($A294,CTINTERVALO,2,0)),"")</f>
        <v/>
      </c>
      <c r="C294" s="249" t="str">
        <f>IF($B294="Não", "BLOQUEADO (Aguardar liberação)", IFERROR(IF(VLOOKUP($A294,CTINTERVALO,3,0)=0,"",VLOOKUP($A294,CTINTERVALO,3,0)),""))</f>
        <v/>
      </c>
      <c r="D294" s="249" t="str">
        <f>IF($B294="Não", "BLOQUEADO (Aguardar liberação)", IFERROR(IF(VLOOKUP($A294,CTINTERVALO,4,0)=0,"",VLOOKUP($A294,CTINTERVALO,4,0)),""))</f>
        <v/>
      </c>
      <c r="E294" s="249"/>
      <c r="F294" s="249" t="str">
        <f>IF($B294="Não", "BLOQUEADO (Aguardar liberação)", IFERROR(IF(VLOOKUP($A294,CTINTERVALO,6,0)=0,"",VLOOKUP($A294,CTINTERVALO,6,0)),""))</f>
        <v/>
      </c>
      <c r="G294" s="80"/>
      <c r="H294" s="80"/>
      <c r="I294" s="79"/>
      <c r="J294" s="79"/>
      <c r="K294" s="80"/>
    </row>
    <row r="295" spans="1:11">
      <c r="A295" s="93"/>
      <c r="B295" s="249" t="str">
        <f>IFERROR(IF(VLOOKUP($A295,CTINTERVALO,2,0)=0,"",VLOOKUP($A295,CTINTERVALO,2,0)),"")</f>
        <v/>
      </c>
      <c r="C295" s="249" t="str">
        <f>IF($B295="Não", "BLOQUEADO (Aguardar liberação)", IFERROR(IF(VLOOKUP($A295,CTINTERVALO,3,0)=0,"",VLOOKUP($A295,CTINTERVALO,3,0)),""))</f>
        <v/>
      </c>
      <c r="D295" s="249" t="str">
        <f>IF($B295="Não", "BLOQUEADO (Aguardar liberação)", IFERROR(IF(VLOOKUP($A295,CTINTERVALO,4,0)=0,"",VLOOKUP($A295,CTINTERVALO,4,0)),""))</f>
        <v/>
      </c>
      <c r="E295" s="249"/>
      <c r="F295" s="249" t="str">
        <f>IF($B295="Não", "BLOQUEADO (Aguardar liberação)", IFERROR(IF(VLOOKUP($A295,CTINTERVALO,6,0)=0,"",VLOOKUP($A295,CTINTERVALO,6,0)),""))</f>
        <v/>
      </c>
      <c r="G295" s="80"/>
      <c r="H295" s="80"/>
      <c r="I295" s="79"/>
      <c r="J295" s="79"/>
      <c r="K295" s="80"/>
    </row>
    <row r="296" spans="1:11">
      <c r="A296" s="93"/>
      <c r="B296" s="249" t="str">
        <f>IFERROR(IF(VLOOKUP($A296,CTINTERVALO,2,0)=0,"",VLOOKUP($A296,CTINTERVALO,2,0)),"")</f>
        <v/>
      </c>
      <c r="C296" s="249" t="str">
        <f>IF($B296="Não", "BLOQUEADO (Aguardar liberação)", IFERROR(IF(VLOOKUP($A296,CTINTERVALO,3,0)=0,"",VLOOKUP($A296,CTINTERVALO,3,0)),""))</f>
        <v/>
      </c>
      <c r="D296" s="249" t="str">
        <f>IF($B296="Não", "BLOQUEADO (Aguardar liberação)", IFERROR(IF(VLOOKUP($A296,CTINTERVALO,4,0)=0,"",VLOOKUP($A296,CTINTERVALO,4,0)),""))</f>
        <v/>
      </c>
      <c r="E296" s="249"/>
      <c r="F296" s="249" t="str">
        <f>IF($B296="Não", "BLOQUEADO (Aguardar liberação)", IFERROR(IF(VLOOKUP($A296,CTINTERVALO,6,0)=0,"",VLOOKUP($A296,CTINTERVALO,6,0)),""))</f>
        <v/>
      </c>
      <c r="G296" s="80"/>
      <c r="H296" s="80"/>
      <c r="I296" s="79"/>
      <c r="J296" s="79"/>
      <c r="K296" s="80"/>
    </row>
    <row r="297" spans="1:11">
      <c r="A297" s="93"/>
      <c r="B297" s="249" t="str">
        <f>IFERROR(IF(VLOOKUP($A297,CTINTERVALO,2,0)=0,"",VLOOKUP($A297,CTINTERVALO,2,0)),"")</f>
        <v/>
      </c>
      <c r="C297" s="249" t="str">
        <f>IF($B297="Não", "BLOQUEADO (Aguardar liberação)", IFERROR(IF(VLOOKUP($A297,CTINTERVALO,3,0)=0,"",VLOOKUP($A297,CTINTERVALO,3,0)),""))</f>
        <v/>
      </c>
      <c r="D297" s="249" t="str">
        <f>IF($B297="Não", "BLOQUEADO (Aguardar liberação)", IFERROR(IF(VLOOKUP($A297,CTINTERVALO,4,0)=0,"",VLOOKUP($A297,CTINTERVALO,4,0)),""))</f>
        <v/>
      </c>
      <c r="E297" s="249"/>
      <c r="F297" s="249" t="str">
        <f>IF($B297="Não", "BLOQUEADO (Aguardar liberação)", IFERROR(IF(VLOOKUP($A297,CTINTERVALO,6,0)=0,"",VLOOKUP($A297,CTINTERVALO,6,0)),""))</f>
        <v/>
      </c>
      <c r="G297" s="80"/>
      <c r="H297" s="80"/>
      <c r="I297" s="79"/>
      <c r="J297" s="79"/>
      <c r="K297" s="80"/>
    </row>
    <row r="298" spans="1:11">
      <c r="A298" s="93"/>
      <c r="B298" s="249" t="str">
        <f>IFERROR(IF(VLOOKUP($A298,CTINTERVALO,2,0)=0,"",VLOOKUP($A298,CTINTERVALO,2,0)),"")</f>
        <v/>
      </c>
      <c r="C298" s="249" t="str">
        <f>IF($B298="Não", "BLOQUEADO (Aguardar liberação)", IFERROR(IF(VLOOKUP($A298,CTINTERVALO,3,0)=0,"",VLOOKUP($A298,CTINTERVALO,3,0)),""))</f>
        <v/>
      </c>
      <c r="D298" s="249" t="str">
        <f>IF($B298="Não", "BLOQUEADO (Aguardar liberação)", IFERROR(IF(VLOOKUP($A298,CTINTERVALO,4,0)=0,"",VLOOKUP($A298,CTINTERVALO,4,0)),""))</f>
        <v/>
      </c>
      <c r="E298" s="249"/>
      <c r="F298" s="249" t="str">
        <f>IF($B298="Não", "BLOQUEADO (Aguardar liberação)", IFERROR(IF(VLOOKUP($A298,CTINTERVALO,6,0)=0,"",VLOOKUP($A298,CTINTERVALO,6,0)),""))</f>
        <v/>
      </c>
      <c r="G298" s="80"/>
      <c r="H298" s="80"/>
      <c r="I298" s="79"/>
      <c r="J298" s="79"/>
      <c r="K298" s="80"/>
    </row>
    <row r="299" spans="1:11">
      <c r="A299" s="93"/>
      <c r="B299" s="249" t="str">
        <f>IFERROR(IF(VLOOKUP($A299,CTINTERVALO,2,0)=0,"",VLOOKUP($A299,CTINTERVALO,2,0)),"")</f>
        <v/>
      </c>
      <c r="C299" s="249" t="str">
        <f>IF($B299="Não", "BLOQUEADO (Aguardar liberação)", IFERROR(IF(VLOOKUP($A299,CTINTERVALO,3,0)=0,"",VLOOKUP($A299,CTINTERVALO,3,0)),""))</f>
        <v/>
      </c>
      <c r="D299" s="249" t="str">
        <f>IF($B299="Não", "BLOQUEADO (Aguardar liberação)", IFERROR(IF(VLOOKUP($A299,CTINTERVALO,4,0)=0,"",VLOOKUP($A299,CTINTERVALO,4,0)),""))</f>
        <v/>
      </c>
      <c r="E299" s="249" t="str">
        <f>IF($B299="Não", "BLOQUEADO (Aguardar liberação)", "")</f>
        <v/>
      </c>
      <c r="F299" s="249" t="str">
        <f>IF($B299="Não", "BLOQUEADO (Aguardar liberação)", IFERROR(IF(VLOOKUP($A299,CTINTERVALO,6,0)=0,"",VLOOKUP($A299,CTINTERVALO,6,0)),""))</f>
        <v/>
      </c>
      <c r="G299" s="80"/>
      <c r="H299" s="80"/>
      <c r="I299" s="79"/>
      <c r="J299" s="79"/>
      <c r="K299" s="80"/>
    </row>
    <row r="300" spans="1:11">
      <c r="A300" s="93"/>
      <c r="B300" s="249" t="str">
        <f>IFERROR(IF(VLOOKUP($A300,CTINTERVALO,2,0)=0,"",VLOOKUP($A300,CTINTERVALO,2,0)),"")</f>
        <v/>
      </c>
      <c r="C300" s="249" t="str">
        <f>IF($B300="Não", "BLOQUEADO (Aguardar liberação)", IFERROR(IF(VLOOKUP($A300,CTINTERVALO,3,0)=0,"",VLOOKUP($A300,CTINTERVALO,3,0)),""))</f>
        <v/>
      </c>
      <c r="D300" s="249" t="str">
        <f>IF($B300="Não", "BLOQUEADO (Aguardar liberação)", IFERROR(IF(VLOOKUP($A300,CTINTERVALO,4,0)=0,"",VLOOKUP($A300,CTINTERVALO,4,0)),""))</f>
        <v/>
      </c>
      <c r="E300" s="249" t="str">
        <f>IF($B300="Não", "BLOQUEADO (Aguardar liberação)", "")</f>
        <v/>
      </c>
      <c r="F300" s="249" t="str">
        <f>IF($B300="Não", "BLOQUEADO (Aguardar liberação)", IFERROR(IF(VLOOKUP($A300,CTINTERVALO,6,0)=0,"",VLOOKUP($A300,CTINTERVALO,6,0)),""))</f>
        <v/>
      </c>
      <c r="G300" s="80"/>
      <c r="H300" s="80"/>
      <c r="I300" s="79"/>
      <c r="J300" s="79"/>
      <c r="K300" s="80"/>
    </row>
    <row r="301" spans="1:11">
      <c r="A301" s="93"/>
      <c r="B301" s="249" t="str">
        <f>IFERROR(IF(VLOOKUP($A301,CTINTERVALO,2,0)=0,"",VLOOKUP($A301,CTINTERVALO,2,0)),"")</f>
        <v/>
      </c>
      <c r="C301" s="249" t="str">
        <f>IF($B301="Não", "BLOQUEADO (Aguardar liberação)", IFERROR(IF(VLOOKUP($A301,CTINTERVALO,3,0)=0,"",VLOOKUP($A301,CTINTERVALO,3,0)),""))</f>
        <v/>
      </c>
      <c r="D301" s="249" t="str">
        <f>IF($B301="Não", "BLOQUEADO (Aguardar liberação)", IFERROR(IF(VLOOKUP($A301,CTINTERVALO,4,0)=0,"",VLOOKUP($A301,CTINTERVALO,4,0)),""))</f>
        <v/>
      </c>
      <c r="E301" s="249" t="str">
        <f>IF($B301="Não", "BLOQUEADO (Aguardar liberação)", "")</f>
        <v/>
      </c>
      <c r="F301" s="249" t="str">
        <f>IF($B301="Não", "BLOQUEADO (Aguardar liberação)", IFERROR(IF(VLOOKUP($A301,CTINTERVALO,6,0)=0,"",VLOOKUP($A301,CTINTERVALO,6,0)),""))</f>
        <v/>
      </c>
      <c r="G301" s="80"/>
      <c r="H301" s="80"/>
      <c r="I301" s="79"/>
      <c r="J301" s="79"/>
      <c r="K301" s="80"/>
    </row>
    <row r="302" spans="1:11">
      <c r="A302" s="93"/>
      <c r="B302" s="249" t="str">
        <f>IFERROR(IF(VLOOKUP($A302,CTINTERVALO,2,0)=0,"",VLOOKUP($A302,CTINTERVALO,2,0)),"")</f>
        <v/>
      </c>
      <c r="C302" s="249" t="str">
        <f>IF($B302="Não", "BLOQUEADO (Aguardar liberação)", IFERROR(IF(VLOOKUP($A302,CTINTERVALO,3,0)=0,"",VLOOKUP($A302,CTINTERVALO,3,0)),""))</f>
        <v/>
      </c>
      <c r="D302" s="249" t="str">
        <f>IF($B302="Não", "BLOQUEADO (Aguardar liberação)", IFERROR(IF(VLOOKUP($A302,CTINTERVALO,4,0)=0,"",VLOOKUP($A302,CTINTERVALO,4,0)),""))</f>
        <v/>
      </c>
      <c r="E302" s="249" t="str">
        <f>IF($B302="Não", "BLOQUEADO (Aguardar liberação)", "")</f>
        <v/>
      </c>
      <c r="F302" s="249" t="str">
        <f>IF($B302="Não", "BLOQUEADO (Aguardar liberação)", IFERROR(IF(VLOOKUP($A302,CTINTERVALO,6,0)=0,"",VLOOKUP($A302,CTINTERVALO,6,0)),""))</f>
        <v/>
      </c>
      <c r="G302" s="80"/>
      <c r="H302" s="80"/>
      <c r="I302" s="79"/>
      <c r="J302" s="79"/>
      <c r="K302" s="80"/>
    </row>
    <row r="303" spans="1:11">
      <c r="A303" s="93"/>
      <c r="B303" s="249" t="str">
        <f>IFERROR(IF(VLOOKUP($A303,CTINTERVALO,2,0)=0,"",VLOOKUP($A303,CTINTERVALO,2,0)),"")</f>
        <v/>
      </c>
      <c r="C303" s="249" t="str">
        <f>IF($B303="Não", "BLOQUEADO (Aguardar liberação)", IFERROR(IF(VLOOKUP($A303,CTINTERVALO,3,0)=0,"",VLOOKUP($A303,CTINTERVALO,3,0)),""))</f>
        <v/>
      </c>
      <c r="D303" s="249" t="str">
        <f>IF($B303="Não", "BLOQUEADO (Aguardar liberação)", IFERROR(IF(VLOOKUP($A303,CTINTERVALO,4,0)=0,"",VLOOKUP($A303,CTINTERVALO,4,0)),""))</f>
        <v/>
      </c>
      <c r="E303" s="249" t="str">
        <f>IF($B303="Não", "BLOQUEADO (Aguardar liberação)", "")</f>
        <v/>
      </c>
      <c r="F303" s="249" t="str">
        <f>IF($B303="Não", "BLOQUEADO (Aguardar liberação)", IFERROR(IF(VLOOKUP($A303,CTINTERVALO,6,0)=0,"",VLOOKUP($A303,CTINTERVALO,6,0)),""))</f>
        <v/>
      </c>
      <c r="G303" s="80"/>
      <c r="H303" s="80"/>
      <c r="I303" s="79"/>
      <c r="J303" s="79"/>
      <c r="K303" s="80"/>
    </row>
    <row r="304" spans="1:11">
      <c r="A304" s="93"/>
      <c r="B304" s="249" t="str">
        <f>IFERROR(IF(VLOOKUP($A304,CTINTERVALO,2,0)=0,"",VLOOKUP($A304,CTINTERVALO,2,0)),"")</f>
        <v/>
      </c>
      <c r="C304" s="249" t="str">
        <f>IF($B304="Não", "BLOQUEADO (Aguardar liberação)", IFERROR(IF(VLOOKUP($A304,CTINTERVALO,3,0)=0,"",VLOOKUP($A304,CTINTERVALO,3,0)),""))</f>
        <v/>
      </c>
      <c r="D304" s="249" t="str">
        <f>IF($B304="Não", "BLOQUEADO (Aguardar liberação)", IFERROR(IF(VLOOKUP($A304,CTINTERVALO,4,0)=0,"",VLOOKUP($A304,CTINTERVALO,4,0)),""))</f>
        <v/>
      </c>
      <c r="E304" s="249" t="str">
        <f>IF($B304="Não", "BLOQUEADO (Aguardar liberação)", "")</f>
        <v/>
      </c>
      <c r="F304" s="249" t="str">
        <f>IF($B304="Não", "BLOQUEADO (Aguardar liberação)", IFERROR(IF(VLOOKUP($A304,CTINTERVALO,6,0)=0,"",VLOOKUP($A304,CTINTERVALO,6,0)),""))</f>
        <v/>
      </c>
      <c r="G304" s="80"/>
      <c r="H304" s="80"/>
      <c r="I304" s="79"/>
      <c r="J304" s="79"/>
      <c r="K304" s="80"/>
    </row>
    <row r="305" spans="1:11">
      <c r="A305" s="93"/>
      <c r="B305" s="249" t="str">
        <f>IFERROR(IF(VLOOKUP($A305,CTINTERVALO,2,0)=0,"",VLOOKUP($A305,CTINTERVALO,2,0)),"")</f>
        <v/>
      </c>
      <c r="C305" s="249" t="str">
        <f>IF($B305="Não", "BLOQUEADO (Aguardar liberação)", IFERROR(IF(VLOOKUP($A305,CTINTERVALO,3,0)=0,"",VLOOKUP($A305,CTINTERVALO,3,0)),""))</f>
        <v/>
      </c>
      <c r="D305" s="249" t="str">
        <f>IF($B305="Não", "BLOQUEADO (Aguardar liberação)", IFERROR(IF(VLOOKUP($A305,CTINTERVALO,4,0)=0,"",VLOOKUP($A305,CTINTERVALO,4,0)),""))</f>
        <v/>
      </c>
      <c r="E305" s="249" t="str">
        <f>IF($B305="Não", "BLOQUEADO (Aguardar liberação)", "")</f>
        <v/>
      </c>
      <c r="F305" s="249" t="str">
        <f>IF($B305="Não", "BLOQUEADO (Aguardar liberação)", IFERROR(IF(VLOOKUP($A305,CTINTERVALO,6,0)=0,"",VLOOKUP($A305,CTINTERVALO,6,0)),""))</f>
        <v/>
      </c>
      <c r="G305" s="80"/>
      <c r="H305" s="80"/>
      <c r="I305" s="79"/>
      <c r="J305" s="79"/>
      <c r="K305" s="80"/>
    </row>
    <row r="306" spans="1:11">
      <c r="A306" s="93"/>
      <c r="B306" s="249" t="str">
        <f>IFERROR(IF(VLOOKUP($A306,CTINTERVALO,2,0)=0,"",VLOOKUP($A306,CTINTERVALO,2,0)),"")</f>
        <v/>
      </c>
      <c r="C306" s="249" t="str">
        <f>IF($B306="Não", "BLOQUEADO (Aguardar liberação)", IFERROR(IF(VLOOKUP($A306,CTINTERVALO,3,0)=0,"",VLOOKUP($A306,CTINTERVALO,3,0)),""))</f>
        <v/>
      </c>
      <c r="D306" s="249" t="str">
        <f>IF($B306="Não", "BLOQUEADO (Aguardar liberação)", IFERROR(IF(VLOOKUP($A306,CTINTERVALO,4,0)=0,"",VLOOKUP($A306,CTINTERVALO,4,0)),""))</f>
        <v/>
      </c>
      <c r="E306" s="249" t="str">
        <f>IF($B306="Não", "BLOQUEADO (Aguardar liberação)", "")</f>
        <v/>
      </c>
      <c r="F306" s="249" t="str">
        <f>IF($B306="Não", "BLOQUEADO (Aguardar liberação)", IFERROR(IF(VLOOKUP($A306,CTINTERVALO,6,0)=0,"",VLOOKUP($A306,CTINTERVALO,6,0)),""))</f>
        <v/>
      </c>
      <c r="G306" s="80"/>
      <c r="H306" s="80"/>
      <c r="I306" s="79"/>
      <c r="J306" s="79"/>
      <c r="K306" s="80"/>
    </row>
    <row r="307" spans="1:11">
      <c r="A307" s="93"/>
      <c r="B307" s="249" t="str">
        <f>IFERROR(IF(VLOOKUP($A307,CTINTERVALO,2,0)=0,"",VLOOKUP($A307,CTINTERVALO,2,0)),"")</f>
        <v/>
      </c>
      <c r="C307" s="249" t="str">
        <f>IF($B307="Não", "BLOQUEADO (Aguardar liberação)", IFERROR(IF(VLOOKUP($A307,CTINTERVALO,3,0)=0,"",VLOOKUP($A307,CTINTERVALO,3,0)),""))</f>
        <v/>
      </c>
      <c r="D307" s="249" t="str">
        <f>IF($B307="Não", "BLOQUEADO (Aguardar liberação)", IFERROR(IF(VLOOKUP($A307,CTINTERVALO,4,0)=0,"",VLOOKUP($A307,CTINTERVALO,4,0)),""))</f>
        <v/>
      </c>
      <c r="E307" s="249" t="str">
        <f>IF($B307="Não", "BLOQUEADO (Aguardar liberação)", "")</f>
        <v/>
      </c>
      <c r="F307" s="249" t="str">
        <f>IF($B307="Não", "BLOQUEADO (Aguardar liberação)", IFERROR(IF(VLOOKUP($A307,CTINTERVALO,6,0)=0,"",VLOOKUP($A307,CTINTERVALO,6,0)),""))</f>
        <v/>
      </c>
      <c r="G307" s="80"/>
      <c r="H307" s="80"/>
      <c r="I307" s="79"/>
      <c r="J307" s="79"/>
      <c r="K307" s="80"/>
    </row>
    <row r="308" spans="1:11">
      <c r="A308" s="93"/>
      <c r="B308" s="249" t="str">
        <f>IFERROR(IF(VLOOKUP($A308,CTINTERVALO,2,0)=0,"",VLOOKUP($A308,CTINTERVALO,2,0)),"")</f>
        <v/>
      </c>
      <c r="C308" s="249" t="str">
        <f>IF($B308="Não", "BLOQUEADO (Aguardar liberação)", IFERROR(IF(VLOOKUP($A308,CTINTERVALO,3,0)=0,"",VLOOKUP($A308,CTINTERVALO,3,0)),""))</f>
        <v/>
      </c>
      <c r="D308" s="249" t="str">
        <f>IF($B308="Não", "BLOQUEADO (Aguardar liberação)", IFERROR(IF(VLOOKUP($A308,CTINTERVALO,4,0)=0,"",VLOOKUP($A308,CTINTERVALO,4,0)),""))</f>
        <v/>
      </c>
      <c r="E308" s="249" t="str">
        <f>IF($B308="Não", "BLOQUEADO (Aguardar liberação)", "")</f>
        <v/>
      </c>
      <c r="F308" s="249" t="str">
        <f>IF($B308="Não", "BLOQUEADO (Aguardar liberação)", IFERROR(IF(VLOOKUP($A308,CTINTERVALO,6,0)=0,"",VLOOKUP($A308,CTINTERVALO,6,0)),""))</f>
        <v/>
      </c>
      <c r="G308" s="80"/>
      <c r="H308" s="80"/>
      <c r="I308" s="79"/>
      <c r="J308" s="79"/>
      <c r="K308" s="80"/>
    </row>
    <row r="309" spans="1:11">
      <c r="A309" s="93"/>
      <c r="B309" s="249" t="str">
        <f>IFERROR(IF(VLOOKUP($A309,CTINTERVALO,2,0)=0,"",VLOOKUP($A309,CTINTERVALO,2,0)),"")</f>
        <v/>
      </c>
      <c r="C309" s="249" t="str">
        <f>IF($B309="Não", "BLOQUEADO (Aguardar liberação)", IFERROR(IF(VLOOKUP($A309,CTINTERVALO,3,0)=0,"",VLOOKUP($A309,CTINTERVALO,3,0)),""))</f>
        <v/>
      </c>
      <c r="D309" s="249" t="str">
        <f>IF($B309="Não", "BLOQUEADO (Aguardar liberação)", IFERROR(IF(VLOOKUP($A309,CTINTERVALO,4,0)=0,"",VLOOKUP($A309,CTINTERVALO,4,0)),""))</f>
        <v/>
      </c>
      <c r="E309" s="249" t="str">
        <f>IF($B309="Não", "BLOQUEADO (Aguardar liberação)", "")</f>
        <v/>
      </c>
      <c r="F309" s="249" t="str">
        <f>IF($B309="Não", "BLOQUEADO (Aguardar liberação)", IFERROR(IF(VLOOKUP($A309,CTINTERVALO,6,0)=0,"",VLOOKUP($A309,CTINTERVALO,6,0)),""))</f>
        <v/>
      </c>
      <c r="G309" s="80"/>
      <c r="H309" s="80"/>
      <c r="I309" s="79"/>
      <c r="J309" s="79"/>
      <c r="K309" s="80"/>
    </row>
    <row r="310" spans="1:11">
      <c r="A310" s="93"/>
      <c r="B310" s="249" t="str">
        <f>IFERROR(IF(VLOOKUP($A310,CTINTERVALO,2,0)=0,"",VLOOKUP($A310,CTINTERVALO,2,0)),"")</f>
        <v/>
      </c>
      <c r="C310" s="249" t="str">
        <f>IF($B310="Não", "BLOQUEADO (Aguardar liberação)", IFERROR(IF(VLOOKUP($A310,CTINTERVALO,3,0)=0,"",VLOOKUP($A310,CTINTERVALO,3,0)),""))</f>
        <v/>
      </c>
      <c r="D310" s="249" t="str">
        <f>IF($B310="Não", "BLOQUEADO (Aguardar liberação)", IFERROR(IF(VLOOKUP($A310,CTINTERVALO,4,0)=0,"",VLOOKUP($A310,CTINTERVALO,4,0)),""))</f>
        <v/>
      </c>
      <c r="E310" s="249" t="str">
        <f>IF($B310="Não", "BLOQUEADO (Aguardar liberação)", "")</f>
        <v/>
      </c>
      <c r="F310" s="249" t="str">
        <f>IF($B310="Não", "BLOQUEADO (Aguardar liberação)", IFERROR(IF(VLOOKUP($A310,CTINTERVALO,6,0)=0,"",VLOOKUP($A310,CTINTERVALO,6,0)),""))</f>
        <v/>
      </c>
      <c r="G310" s="80"/>
      <c r="H310" s="80"/>
      <c r="I310" s="79"/>
      <c r="J310" s="79"/>
      <c r="K310" s="80"/>
    </row>
    <row r="311" spans="1:11">
      <c r="A311" s="93"/>
      <c r="B311" s="249" t="str">
        <f>IFERROR(IF(VLOOKUP($A311,CTINTERVALO,2,0)=0,"",VLOOKUP($A311,CTINTERVALO,2,0)),"")</f>
        <v/>
      </c>
      <c r="C311" s="249" t="str">
        <f>IF($B311="Não", "BLOQUEADO (Aguardar liberação)", IFERROR(IF(VLOOKUP($A311,CTINTERVALO,3,0)=0,"",VLOOKUP($A311,CTINTERVALO,3,0)),""))</f>
        <v/>
      </c>
      <c r="D311" s="249" t="str">
        <f>IF($B311="Não", "BLOQUEADO (Aguardar liberação)", IFERROR(IF(VLOOKUP($A311,CTINTERVALO,4,0)=0,"",VLOOKUP($A311,CTINTERVALO,4,0)),""))</f>
        <v/>
      </c>
      <c r="E311" s="249" t="str">
        <f>IF($B311="Não", "BLOQUEADO (Aguardar liberação)", "")</f>
        <v/>
      </c>
      <c r="F311" s="249" t="str">
        <f>IF($B311="Não", "BLOQUEADO (Aguardar liberação)", IFERROR(IF(VLOOKUP($A311,CTINTERVALO,6,0)=0,"",VLOOKUP($A311,CTINTERVALO,6,0)),""))</f>
        <v/>
      </c>
      <c r="G311" s="80"/>
      <c r="H311" s="80"/>
      <c r="I311" s="79"/>
      <c r="J311" s="79"/>
      <c r="K311" s="80"/>
    </row>
    <row r="312" spans="1:11">
      <c r="A312" s="93"/>
      <c r="B312" s="249" t="str">
        <f>IFERROR(IF(VLOOKUP($A312,CTINTERVALO,2,0)=0,"",VLOOKUP($A312,CTINTERVALO,2,0)),"")</f>
        <v/>
      </c>
      <c r="C312" s="249" t="str">
        <f>IF($B312="Não", "BLOQUEADO (Aguardar liberação)", IFERROR(IF(VLOOKUP($A312,CTINTERVALO,3,0)=0,"",VLOOKUP($A312,CTINTERVALO,3,0)),""))</f>
        <v/>
      </c>
      <c r="D312" s="249" t="str">
        <f>IF($B312="Não", "BLOQUEADO (Aguardar liberação)", IFERROR(IF(VLOOKUP($A312,CTINTERVALO,4,0)=0,"",VLOOKUP($A312,CTINTERVALO,4,0)),""))</f>
        <v/>
      </c>
      <c r="E312" s="249" t="str">
        <f>IF($B312="Não", "BLOQUEADO (Aguardar liberação)", "")</f>
        <v/>
      </c>
      <c r="F312" s="249" t="str">
        <f>IF($B312="Não", "BLOQUEADO (Aguardar liberação)", IFERROR(IF(VLOOKUP($A312,CTINTERVALO,6,0)=0,"",VLOOKUP($A312,CTINTERVALO,6,0)),""))</f>
        <v/>
      </c>
      <c r="G312" s="80"/>
      <c r="H312" s="80"/>
      <c r="I312" s="79"/>
      <c r="J312" s="79"/>
      <c r="K312" s="80"/>
    </row>
    <row r="313" spans="1:11">
      <c r="A313" s="93"/>
      <c r="B313" s="249" t="str">
        <f>IFERROR(IF(VLOOKUP($A313,CTINTERVALO,2,0)=0,"",VLOOKUP($A313,CTINTERVALO,2,0)),"")</f>
        <v/>
      </c>
      <c r="C313" s="249" t="str">
        <f>IF($B313="Não", "BLOQUEADO (Aguardar liberação)", IFERROR(IF(VLOOKUP($A313,CTINTERVALO,3,0)=0,"",VLOOKUP($A313,CTINTERVALO,3,0)),""))</f>
        <v/>
      </c>
      <c r="D313" s="249" t="str">
        <f>IF($B313="Não", "BLOQUEADO (Aguardar liberação)", IFERROR(IF(VLOOKUP($A313,CTINTERVALO,4,0)=0,"",VLOOKUP($A313,CTINTERVALO,4,0)),""))</f>
        <v/>
      </c>
      <c r="E313" s="249" t="str">
        <f>IF($B313="Não", "BLOQUEADO (Aguardar liberação)", "")</f>
        <v/>
      </c>
      <c r="F313" s="249" t="str">
        <f>IF($B313="Não", "BLOQUEADO (Aguardar liberação)", IFERROR(IF(VLOOKUP($A313,CTINTERVALO,6,0)=0,"",VLOOKUP($A313,CTINTERVALO,6,0)),""))</f>
        <v/>
      </c>
      <c r="G313" s="80"/>
      <c r="H313" s="80"/>
      <c r="I313" s="79"/>
      <c r="J313" s="79"/>
      <c r="K313" s="80"/>
    </row>
    <row r="314" spans="1:11">
      <c r="A314" s="93"/>
      <c r="B314" s="249" t="str">
        <f>IFERROR(IF(VLOOKUP($A314,CTINTERVALO,2,0)=0,"",VLOOKUP($A314,CTINTERVALO,2,0)),"")</f>
        <v/>
      </c>
      <c r="C314" s="249" t="str">
        <f>IF($B314="Não", "BLOQUEADO (Aguardar liberação)", IFERROR(IF(VLOOKUP($A314,CTINTERVALO,3,0)=0,"",VLOOKUP($A314,CTINTERVALO,3,0)),""))</f>
        <v/>
      </c>
      <c r="D314" s="249" t="str">
        <f>IF($B314="Não", "BLOQUEADO (Aguardar liberação)", IFERROR(IF(VLOOKUP($A314,CTINTERVALO,4,0)=0,"",VLOOKUP($A314,CTINTERVALO,4,0)),""))</f>
        <v/>
      </c>
      <c r="E314" s="249" t="str">
        <f>IF($B314="Não", "BLOQUEADO (Aguardar liberação)", "")</f>
        <v/>
      </c>
      <c r="F314" s="249" t="str">
        <f>IF($B314="Não", "BLOQUEADO (Aguardar liberação)", IFERROR(IF(VLOOKUP($A314,CTINTERVALO,6,0)=0,"",VLOOKUP($A314,CTINTERVALO,6,0)),""))</f>
        <v/>
      </c>
      <c r="G314" s="80"/>
      <c r="H314" s="80"/>
      <c r="I314" s="79"/>
      <c r="J314" s="79"/>
      <c r="K314" s="80"/>
    </row>
    <row r="315" spans="1:11">
      <c r="A315" s="93"/>
      <c r="B315" s="249" t="str">
        <f>IFERROR(IF(VLOOKUP($A315,CTINTERVALO,2,0)=0,"",VLOOKUP($A315,CTINTERVALO,2,0)),"")</f>
        <v/>
      </c>
      <c r="C315" s="249" t="str">
        <f>IF($B315="Não", "BLOQUEADO (Aguardar liberação)", IFERROR(IF(VLOOKUP($A315,CTINTERVALO,3,0)=0,"",VLOOKUP($A315,CTINTERVALO,3,0)),""))</f>
        <v/>
      </c>
      <c r="D315" s="249" t="str">
        <f>IF($B315="Não", "BLOQUEADO (Aguardar liberação)", IFERROR(IF(VLOOKUP($A315,CTINTERVALO,4,0)=0,"",VLOOKUP($A315,CTINTERVALO,4,0)),""))</f>
        <v/>
      </c>
      <c r="E315" s="249" t="str">
        <f>IF($B315="Não", "BLOQUEADO (Aguardar liberação)", "")</f>
        <v/>
      </c>
      <c r="F315" s="249" t="str">
        <f>IF($B315="Não", "BLOQUEADO (Aguardar liberação)", IFERROR(IF(VLOOKUP($A315,CTINTERVALO,6,0)=0,"",VLOOKUP($A315,CTINTERVALO,6,0)),""))</f>
        <v/>
      </c>
      <c r="G315" s="80"/>
      <c r="H315" s="80"/>
      <c r="I315" s="79"/>
      <c r="J315" s="79"/>
      <c r="K315" s="80"/>
    </row>
    <row r="316" spans="1:11">
      <c r="A316" s="93"/>
      <c r="B316" s="249" t="str">
        <f>IFERROR(IF(VLOOKUP($A316,CTINTERVALO,2,0)=0,"",VLOOKUP($A316,CTINTERVALO,2,0)),"")</f>
        <v/>
      </c>
      <c r="C316" s="249" t="str">
        <f>IF($B316="Não", "BLOQUEADO (Aguardar liberação)", IFERROR(IF(VLOOKUP($A316,CTINTERVALO,3,0)=0,"",VLOOKUP($A316,CTINTERVALO,3,0)),""))</f>
        <v/>
      </c>
      <c r="D316" s="249" t="str">
        <f>IF($B316="Não", "BLOQUEADO (Aguardar liberação)", IFERROR(IF(VLOOKUP($A316,CTINTERVALO,4,0)=0,"",VLOOKUP($A316,CTINTERVALO,4,0)),""))</f>
        <v/>
      </c>
      <c r="E316" s="249" t="str">
        <f>IF($B316="Não", "BLOQUEADO (Aguardar liberação)", "")</f>
        <v/>
      </c>
      <c r="F316" s="249" t="str">
        <f>IF($B316="Não", "BLOQUEADO (Aguardar liberação)", IFERROR(IF(VLOOKUP($A316,CTINTERVALO,6,0)=0,"",VLOOKUP($A316,CTINTERVALO,6,0)),""))</f>
        <v/>
      </c>
      <c r="G316" s="80"/>
      <c r="H316" s="80"/>
      <c r="I316" s="79"/>
      <c r="J316" s="79"/>
      <c r="K316" s="80"/>
    </row>
    <row r="317" spans="1:11">
      <c r="A317" s="93"/>
      <c r="B317" s="249" t="str">
        <f>IFERROR(IF(VLOOKUP($A317,CTINTERVALO,2,0)=0,"",VLOOKUP($A317,CTINTERVALO,2,0)),"")</f>
        <v/>
      </c>
      <c r="C317" s="249" t="str">
        <f>IF($B317="Não", "BLOQUEADO (Aguardar liberação)", IFERROR(IF(VLOOKUP($A317,CTINTERVALO,3,0)=0,"",VLOOKUP($A317,CTINTERVALO,3,0)),""))</f>
        <v/>
      </c>
      <c r="D317" s="249" t="str">
        <f>IF($B317="Não", "BLOQUEADO (Aguardar liberação)", IFERROR(IF(VLOOKUP($A317,CTINTERVALO,4,0)=0,"",VLOOKUP($A317,CTINTERVALO,4,0)),""))</f>
        <v/>
      </c>
      <c r="E317" s="249" t="str">
        <f>IF($B317="Não", "BLOQUEADO (Aguardar liberação)", "")</f>
        <v/>
      </c>
      <c r="F317" s="249" t="str">
        <f>IF($B317="Não", "BLOQUEADO (Aguardar liberação)", IFERROR(IF(VLOOKUP($A317,CTINTERVALO,6,0)=0,"",VLOOKUP($A317,CTINTERVALO,6,0)),""))</f>
        <v/>
      </c>
      <c r="G317" s="80"/>
      <c r="H317" s="80"/>
      <c r="I317" s="79"/>
      <c r="J317" s="79"/>
      <c r="K317" s="80"/>
    </row>
    <row r="318" spans="1:11">
      <c r="A318" s="93"/>
      <c r="B318" s="249" t="str">
        <f>IFERROR(IF(VLOOKUP($A318,CTINTERVALO,2,0)=0,"",VLOOKUP($A318,CTINTERVALO,2,0)),"")</f>
        <v/>
      </c>
      <c r="C318" s="249" t="str">
        <f>IF($B318="Não", "BLOQUEADO (Aguardar liberação)", IFERROR(IF(VLOOKUP($A318,CTINTERVALO,3,0)=0,"",VLOOKUP($A318,CTINTERVALO,3,0)),""))</f>
        <v/>
      </c>
      <c r="D318" s="249" t="str">
        <f>IF($B318="Não", "BLOQUEADO (Aguardar liberação)", IFERROR(IF(VLOOKUP($A318,CTINTERVALO,4,0)=0,"",VLOOKUP($A318,CTINTERVALO,4,0)),""))</f>
        <v/>
      </c>
      <c r="E318" s="249" t="str">
        <f>IF($B318="Não", "BLOQUEADO (Aguardar liberação)", "")</f>
        <v/>
      </c>
      <c r="F318" s="249" t="str">
        <f>IF($B318="Não", "BLOQUEADO (Aguardar liberação)", IFERROR(IF(VLOOKUP($A318,CTINTERVALO,6,0)=0,"",VLOOKUP($A318,CTINTERVALO,6,0)),""))</f>
        <v/>
      </c>
      <c r="G318" s="80"/>
      <c r="H318" s="80"/>
      <c r="I318" s="79"/>
      <c r="J318" s="79"/>
      <c r="K318" s="80"/>
    </row>
    <row r="319" spans="1:11">
      <c r="A319" s="93"/>
      <c r="B319" s="249" t="str">
        <f>IFERROR(IF(VLOOKUP($A319,CTINTERVALO,2,0)=0,"",VLOOKUP($A319,CTINTERVALO,2,0)),"")</f>
        <v/>
      </c>
      <c r="C319" s="249" t="str">
        <f>IF($B319="Não", "BLOQUEADO (Aguardar liberação)", IFERROR(IF(VLOOKUP($A319,CTINTERVALO,3,0)=0,"",VLOOKUP($A319,CTINTERVALO,3,0)),""))</f>
        <v/>
      </c>
      <c r="D319" s="249" t="str">
        <f>IF($B319="Não", "BLOQUEADO (Aguardar liberação)", IFERROR(IF(VLOOKUP($A319,CTINTERVALO,4,0)=0,"",VLOOKUP($A319,CTINTERVALO,4,0)),""))</f>
        <v/>
      </c>
      <c r="E319" s="249" t="str">
        <f>IF($B319="Não", "BLOQUEADO (Aguardar liberação)", "")</f>
        <v/>
      </c>
      <c r="F319" s="249" t="str">
        <f>IF($B319="Não", "BLOQUEADO (Aguardar liberação)", IFERROR(IF(VLOOKUP($A319,CTINTERVALO,6,0)=0,"",VLOOKUP($A319,CTINTERVALO,6,0)),""))</f>
        <v/>
      </c>
      <c r="G319" s="80"/>
      <c r="H319" s="80"/>
      <c r="I319" s="79"/>
      <c r="J319" s="79"/>
      <c r="K319" s="80"/>
    </row>
    <row r="320" spans="1:11">
      <c r="A320" s="93"/>
      <c r="B320" s="249" t="str">
        <f>IFERROR(IF(VLOOKUP($A320,CTINTERVALO,2,0)=0,"",VLOOKUP($A320,CTINTERVALO,2,0)),"")</f>
        <v/>
      </c>
      <c r="C320" s="249" t="str">
        <f>IF($B320="Não", "BLOQUEADO (Aguardar liberação)", IFERROR(IF(VLOOKUP($A320,CTINTERVALO,3,0)=0,"",VLOOKUP($A320,CTINTERVALO,3,0)),""))</f>
        <v/>
      </c>
      <c r="D320" s="249" t="str">
        <f>IF($B320="Não", "BLOQUEADO (Aguardar liberação)", IFERROR(IF(VLOOKUP($A320,CTINTERVALO,4,0)=0,"",VLOOKUP($A320,CTINTERVALO,4,0)),""))</f>
        <v/>
      </c>
      <c r="E320" s="249" t="str">
        <f>IF($B320="Não", "BLOQUEADO (Aguardar liberação)", "")</f>
        <v/>
      </c>
      <c r="F320" s="249" t="str">
        <f>IF($B320="Não", "BLOQUEADO (Aguardar liberação)", IFERROR(IF(VLOOKUP($A320,CTINTERVALO,6,0)=0,"",VLOOKUP($A320,CTINTERVALO,6,0)),""))</f>
        <v/>
      </c>
      <c r="G320" s="80"/>
      <c r="H320" s="80"/>
      <c r="I320" s="79"/>
      <c r="J320" s="79"/>
      <c r="K320" s="80"/>
    </row>
    <row r="321" spans="1:11">
      <c r="A321" s="93"/>
      <c r="B321" s="249" t="str">
        <f>IFERROR(IF(VLOOKUP($A321,CTINTERVALO,2,0)=0,"",VLOOKUP($A321,CTINTERVALO,2,0)),"")</f>
        <v/>
      </c>
      <c r="C321" s="249" t="str">
        <f>IF($B321="Não", "BLOQUEADO (Aguardar liberação)", IFERROR(IF(VLOOKUP($A321,CTINTERVALO,3,0)=0,"",VLOOKUP($A321,CTINTERVALO,3,0)),""))</f>
        <v/>
      </c>
      <c r="D321" s="249" t="str">
        <f>IF($B321="Não", "BLOQUEADO (Aguardar liberação)", IFERROR(IF(VLOOKUP($A321,CTINTERVALO,4,0)=0,"",VLOOKUP($A321,CTINTERVALO,4,0)),""))</f>
        <v/>
      </c>
      <c r="E321" s="249" t="str">
        <f>IF($B321="Não", "BLOQUEADO (Aguardar liberação)", "")</f>
        <v/>
      </c>
      <c r="F321" s="249" t="str">
        <f>IF($B321="Não", "BLOQUEADO (Aguardar liberação)", IFERROR(IF(VLOOKUP($A321,CTINTERVALO,6,0)=0,"",VLOOKUP($A321,CTINTERVALO,6,0)),""))</f>
        <v/>
      </c>
      <c r="G321" s="80"/>
      <c r="H321" s="80"/>
      <c r="I321" s="79"/>
      <c r="J321" s="79"/>
      <c r="K321" s="80"/>
    </row>
    <row r="322" spans="1:11">
      <c r="A322" s="93"/>
      <c r="B322" s="249" t="str">
        <f>IFERROR(IF(VLOOKUP($A322,CTINTERVALO,2,0)=0,"",VLOOKUP($A322,CTINTERVALO,2,0)),"")</f>
        <v/>
      </c>
      <c r="C322" s="249" t="str">
        <f>IF($B322="Não", "BLOQUEADO (Aguardar liberação)", IFERROR(IF(VLOOKUP($A322,CTINTERVALO,3,0)=0,"",VLOOKUP($A322,CTINTERVALO,3,0)),""))</f>
        <v/>
      </c>
      <c r="D322" s="249" t="str">
        <f>IF($B322="Não", "BLOQUEADO (Aguardar liberação)", IFERROR(IF(VLOOKUP($A322,CTINTERVALO,4,0)=0,"",VLOOKUP($A322,CTINTERVALO,4,0)),""))</f>
        <v/>
      </c>
      <c r="E322" s="249" t="str">
        <f>IF($B322="Não", "BLOQUEADO (Aguardar liberação)", "")</f>
        <v/>
      </c>
      <c r="F322" s="249" t="str">
        <f>IF($B322="Não", "BLOQUEADO (Aguardar liberação)", IFERROR(IF(VLOOKUP($A322,CTINTERVALO,6,0)=0,"",VLOOKUP($A322,CTINTERVALO,6,0)),""))</f>
        <v/>
      </c>
      <c r="G322" s="80"/>
      <c r="H322" s="80"/>
      <c r="I322" s="79"/>
      <c r="J322" s="79"/>
      <c r="K322" s="80"/>
    </row>
    <row r="323" spans="1:11">
      <c r="A323" s="93"/>
      <c r="B323" s="249" t="str">
        <f>IFERROR(IF(VLOOKUP($A323,CTINTERVALO,2,0)=0,"",VLOOKUP($A323,CTINTERVALO,2,0)),"")</f>
        <v/>
      </c>
      <c r="C323" s="249" t="str">
        <f>IF($B323="Não", "BLOQUEADO (Aguardar liberação)", IFERROR(IF(VLOOKUP($A323,CTINTERVALO,3,0)=0,"",VLOOKUP($A323,CTINTERVALO,3,0)),""))</f>
        <v/>
      </c>
      <c r="D323" s="249" t="str">
        <f>IF($B323="Não", "BLOQUEADO (Aguardar liberação)", IFERROR(IF(VLOOKUP($A323,CTINTERVALO,4,0)=0,"",VLOOKUP($A323,CTINTERVALO,4,0)),""))</f>
        <v/>
      </c>
      <c r="E323" s="249" t="str">
        <f>IF($B323="Não", "BLOQUEADO (Aguardar liberação)", "")</f>
        <v/>
      </c>
      <c r="F323" s="249" t="str">
        <f>IF($B323="Não", "BLOQUEADO (Aguardar liberação)", IFERROR(IF(VLOOKUP($A323,CTINTERVALO,6,0)=0,"",VLOOKUP($A323,CTINTERVALO,6,0)),""))</f>
        <v/>
      </c>
      <c r="G323" s="80"/>
      <c r="H323" s="80"/>
      <c r="I323" s="79"/>
      <c r="J323" s="79"/>
      <c r="K323" s="80"/>
    </row>
    <row r="324" spans="1:11">
      <c r="A324" s="93"/>
      <c r="B324" s="249" t="str">
        <f>IFERROR(IF(VLOOKUP($A324,CTINTERVALO,2,0)=0,"",VLOOKUP($A324,CTINTERVALO,2,0)),"")</f>
        <v/>
      </c>
      <c r="C324" s="249" t="str">
        <f>IF($B324="Não", "BLOQUEADO (Aguardar liberação)", IFERROR(IF(VLOOKUP($A324,CTINTERVALO,3,0)=0,"",VLOOKUP($A324,CTINTERVALO,3,0)),""))</f>
        <v/>
      </c>
      <c r="D324" s="249" t="str">
        <f>IF($B324="Não", "BLOQUEADO (Aguardar liberação)", IFERROR(IF(VLOOKUP($A324,CTINTERVALO,4,0)=0,"",VLOOKUP($A324,CTINTERVALO,4,0)),""))</f>
        <v/>
      </c>
      <c r="E324" s="249" t="str">
        <f>IF($B324="Não", "BLOQUEADO (Aguardar liberação)", "")</f>
        <v/>
      </c>
      <c r="F324" s="249" t="str">
        <f>IF($B324="Não", "BLOQUEADO (Aguardar liberação)", IFERROR(IF(VLOOKUP($A324,CTINTERVALO,6,0)=0,"",VLOOKUP($A324,CTINTERVALO,6,0)),""))</f>
        <v/>
      </c>
      <c r="G324" s="80"/>
      <c r="H324" s="80"/>
      <c r="I324" s="79"/>
      <c r="J324" s="79"/>
      <c r="K324" s="80"/>
    </row>
    <row r="325" spans="1:11">
      <c r="A325" s="93"/>
      <c r="B325" s="249" t="str">
        <f>IFERROR(IF(VLOOKUP($A325,CTINTERVALO,2,0)=0,"",VLOOKUP($A325,CTINTERVALO,2,0)),"")</f>
        <v/>
      </c>
      <c r="C325" s="249" t="str">
        <f>IF($B325="Não", "BLOQUEADO (Aguardar liberação)", IFERROR(IF(VLOOKUP($A325,CTINTERVALO,3,0)=0,"",VLOOKUP($A325,CTINTERVALO,3,0)),""))</f>
        <v/>
      </c>
      <c r="D325" s="249" t="str">
        <f>IF($B325="Não", "BLOQUEADO (Aguardar liberação)", IFERROR(IF(VLOOKUP($A325,CTINTERVALO,4,0)=0,"",VLOOKUP($A325,CTINTERVALO,4,0)),""))</f>
        <v/>
      </c>
      <c r="E325" s="249" t="str">
        <f>IF($B325="Não", "BLOQUEADO (Aguardar liberação)", "")</f>
        <v/>
      </c>
      <c r="F325" s="249" t="str">
        <f>IF($B325="Não", "BLOQUEADO (Aguardar liberação)", IFERROR(IF(VLOOKUP($A325,CTINTERVALO,6,0)=0,"",VLOOKUP($A325,CTINTERVALO,6,0)),""))</f>
        <v/>
      </c>
      <c r="G325" s="80"/>
      <c r="H325" s="80"/>
      <c r="I325" s="79"/>
      <c r="J325" s="79"/>
      <c r="K325" s="80"/>
    </row>
    <row r="326" spans="1:11">
      <c r="A326" s="93"/>
      <c r="B326" s="249" t="str">
        <f>IFERROR(IF(VLOOKUP($A326,CTINTERVALO,2,0)=0,"",VLOOKUP($A326,CTINTERVALO,2,0)),"")</f>
        <v/>
      </c>
      <c r="C326" s="249" t="str">
        <f>IF($B326="Não", "BLOQUEADO (Aguardar liberação)", IFERROR(IF(VLOOKUP($A326,CTINTERVALO,3,0)=0,"",VLOOKUP($A326,CTINTERVALO,3,0)),""))</f>
        <v/>
      </c>
      <c r="D326" s="249" t="str">
        <f>IF($B326="Não", "BLOQUEADO (Aguardar liberação)", IFERROR(IF(VLOOKUP($A326,CTINTERVALO,4,0)=0,"",VLOOKUP($A326,CTINTERVALO,4,0)),""))</f>
        <v/>
      </c>
      <c r="E326" s="249" t="str">
        <f>IF($B326="Não", "BLOQUEADO (Aguardar liberação)", "")</f>
        <v/>
      </c>
      <c r="F326" s="249" t="str">
        <f>IF($B326="Não", "BLOQUEADO (Aguardar liberação)", IFERROR(IF(VLOOKUP($A326,CTINTERVALO,6,0)=0,"",VLOOKUP($A326,CTINTERVALO,6,0)),""))</f>
        <v/>
      </c>
      <c r="G326" s="80"/>
      <c r="H326" s="80"/>
      <c r="I326" s="79"/>
      <c r="J326" s="79"/>
      <c r="K326" s="80"/>
    </row>
    <row r="327" spans="1:11">
      <c r="A327" s="93"/>
      <c r="B327" s="249" t="str">
        <f>IFERROR(IF(VLOOKUP($A327,CTINTERVALO,2,0)=0,"",VLOOKUP($A327,CTINTERVALO,2,0)),"")</f>
        <v/>
      </c>
      <c r="C327" s="249" t="str">
        <f>IF($B327="Não", "BLOQUEADO (Aguardar liberação)", IFERROR(IF(VLOOKUP($A327,CTINTERVALO,3,0)=0,"",VLOOKUP($A327,CTINTERVALO,3,0)),""))</f>
        <v/>
      </c>
      <c r="D327" s="249" t="str">
        <f>IF($B327="Não", "BLOQUEADO (Aguardar liberação)", IFERROR(IF(VLOOKUP($A327,CTINTERVALO,4,0)=0,"",VLOOKUP($A327,CTINTERVALO,4,0)),""))</f>
        <v/>
      </c>
      <c r="E327" s="249" t="str">
        <f>IF($B327="Não", "BLOQUEADO (Aguardar liberação)", "")</f>
        <v/>
      </c>
      <c r="F327" s="249" t="str">
        <f>IF($B327="Não", "BLOQUEADO (Aguardar liberação)", IFERROR(IF(VLOOKUP($A327,CTINTERVALO,6,0)=0,"",VLOOKUP($A327,CTINTERVALO,6,0)),""))</f>
        <v/>
      </c>
      <c r="G327" s="80"/>
      <c r="H327" s="80"/>
      <c r="I327" s="79"/>
      <c r="J327" s="79"/>
      <c r="K327" s="80"/>
    </row>
    <row r="328" spans="1:11">
      <c r="A328" s="93"/>
      <c r="B328" s="249" t="str">
        <f>IFERROR(IF(VLOOKUP($A328,CTINTERVALO,2,0)=0,"",VLOOKUP($A328,CTINTERVALO,2,0)),"")</f>
        <v/>
      </c>
      <c r="C328" s="249" t="str">
        <f>IF($B328="Não", "BLOQUEADO (Aguardar liberação)", IFERROR(IF(VLOOKUP($A328,CTINTERVALO,3,0)=0,"",VLOOKUP($A328,CTINTERVALO,3,0)),""))</f>
        <v/>
      </c>
      <c r="D328" s="249" t="str">
        <f>IF($B328="Não", "BLOQUEADO (Aguardar liberação)", IFERROR(IF(VLOOKUP($A328,CTINTERVALO,4,0)=0,"",VLOOKUP($A328,CTINTERVALO,4,0)),""))</f>
        <v/>
      </c>
      <c r="E328" s="249" t="str">
        <f>IF($B328="Não", "BLOQUEADO (Aguardar liberação)", "")</f>
        <v/>
      </c>
      <c r="F328" s="249" t="str">
        <f>IF($B328="Não", "BLOQUEADO (Aguardar liberação)", IFERROR(IF(VLOOKUP($A328,CTINTERVALO,6,0)=0,"",VLOOKUP($A328,CTINTERVALO,6,0)),""))</f>
        <v/>
      </c>
      <c r="G328" s="80"/>
      <c r="H328" s="80"/>
      <c r="I328" s="79"/>
      <c r="J328" s="79"/>
      <c r="K328" s="80"/>
    </row>
    <row r="329" spans="1:11">
      <c r="A329" s="93"/>
      <c r="B329" s="249" t="str">
        <f>IFERROR(IF(VLOOKUP($A329,CTINTERVALO,2,0)=0,"",VLOOKUP($A329,CTINTERVALO,2,0)),"")</f>
        <v/>
      </c>
      <c r="C329" s="249" t="str">
        <f>IF($B329="Não", "BLOQUEADO (Aguardar liberação)", IFERROR(IF(VLOOKUP($A329,CTINTERVALO,3,0)=0,"",VLOOKUP($A329,CTINTERVALO,3,0)),""))</f>
        <v/>
      </c>
      <c r="D329" s="249" t="str">
        <f>IF($B329="Não", "BLOQUEADO (Aguardar liberação)", IFERROR(IF(VLOOKUP($A329,CTINTERVALO,4,0)=0,"",VLOOKUP($A329,CTINTERVALO,4,0)),""))</f>
        <v/>
      </c>
      <c r="E329" s="249" t="str">
        <f>IF($B329="Não", "BLOQUEADO (Aguardar liberação)", "")</f>
        <v/>
      </c>
      <c r="F329" s="249" t="str">
        <f>IF($B329="Não", "BLOQUEADO (Aguardar liberação)", IFERROR(IF(VLOOKUP($A329,CTINTERVALO,6,0)=0,"",VLOOKUP($A329,CTINTERVALO,6,0)),""))</f>
        <v/>
      </c>
      <c r="G329" s="80"/>
      <c r="H329" s="80"/>
      <c r="I329" s="79"/>
      <c r="J329" s="79"/>
      <c r="K329" s="80"/>
    </row>
    <row r="330" spans="1:11">
      <c r="A330" s="93"/>
      <c r="B330" s="249" t="str">
        <f>IFERROR(IF(VLOOKUP($A330,CTINTERVALO,2,0)=0,"",VLOOKUP($A330,CTINTERVALO,2,0)),"")</f>
        <v/>
      </c>
      <c r="C330" s="249" t="str">
        <f>IF($B330="Não", "BLOQUEADO (Aguardar liberação)", IFERROR(IF(VLOOKUP($A330,CTINTERVALO,3,0)=0,"",VLOOKUP($A330,CTINTERVALO,3,0)),""))</f>
        <v/>
      </c>
      <c r="D330" s="249" t="str">
        <f>IF($B330="Não", "BLOQUEADO (Aguardar liberação)", IFERROR(IF(VLOOKUP($A330,CTINTERVALO,4,0)=0,"",VLOOKUP($A330,CTINTERVALO,4,0)),""))</f>
        <v/>
      </c>
      <c r="E330" s="249" t="str">
        <f>IF($B330="Não", "BLOQUEADO (Aguardar liberação)", "")</f>
        <v/>
      </c>
      <c r="F330" s="249" t="str">
        <f>IF($B330="Não", "BLOQUEADO (Aguardar liberação)", IFERROR(IF(VLOOKUP($A330,CTINTERVALO,6,0)=0,"",VLOOKUP($A330,CTINTERVALO,6,0)),""))</f>
        <v/>
      </c>
      <c r="G330" s="80"/>
      <c r="H330" s="80"/>
      <c r="I330" s="79"/>
      <c r="J330" s="79"/>
      <c r="K330" s="80"/>
    </row>
    <row r="331" spans="1:11">
      <c r="A331" s="93"/>
      <c r="B331" s="249" t="str">
        <f>IFERROR(IF(VLOOKUP($A331,CTINTERVALO,2,0)=0,"",VLOOKUP($A331,CTINTERVALO,2,0)),"")</f>
        <v/>
      </c>
      <c r="C331" s="249" t="str">
        <f>IF($B331="Não", "BLOQUEADO (Aguardar liberação)", IFERROR(IF(VLOOKUP($A331,CTINTERVALO,3,0)=0,"",VLOOKUP($A331,CTINTERVALO,3,0)),""))</f>
        <v/>
      </c>
      <c r="D331" s="249" t="str">
        <f>IF($B331="Não", "BLOQUEADO (Aguardar liberação)", IFERROR(IF(VLOOKUP($A331,CTINTERVALO,4,0)=0,"",VLOOKUP($A331,CTINTERVALO,4,0)),""))</f>
        <v/>
      </c>
      <c r="E331" s="249" t="str">
        <f>IF($B331="Não", "BLOQUEADO (Aguardar liberação)", "")</f>
        <v/>
      </c>
      <c r="F331" s="249" t="str">
        <f>IF($B331="Não", "BLOQUEADO (Aguardar liberação)", IFERROR(IF(VLOOKUP($A331,CTINTERVALO,6,0)=0,"",VLOOKUP($A331,CTINTERVALO,6,0)),""))</f>
        <v/>
      </c>
      <c r="G331" s="80"/>
      <c r="H331" s="80"/>
      <c r="I331" s="79"/>
      <c r="J331" s="79"/>
      <c r="K331" s="80"/>
    </row>
    <row r="332" spans="1:11">
      <c r="A332" s="93"/>
      <c r="B332" s="249" t="str">
        <f>IFERROR(IF(VLOOKUP($A332,CTINTERVALO,2,0)=0,"",VLOOKUP($A332,CTINTERVALO,2,0)),"")</f>
        <v/>
      </c>
      <c r="C332" s="249" t="str">
        <f>IF($B332="Não", "BLOQUEADO (Aguardar liberação)", IFERROR(IF(VLOOKUP($A332,CTINTERVALO,3,0)=0,"",VLOOKUP($A332,CTINTERVALO,3,0)),""))</f>
        <v/>
      </c>
      <c r="D332" s="249" t="str">
        <f>IF($B332="Não", "BLOQUEADO (Aguardar liberação)", IFERROR(IF(VLOOKUP($A332,CTINTERVALO,4,0)=0,"",VLOOKUP($A332,CTINTERVALO,4,0)),""))</f>
        <v/>
      </c>
      <c r="E332" s="249" t="str">
        <f>IF($B332="Não", "BLOQUEADO (Aguardar liberação)", "")</f>
        <v/>
      </c>
      <c r="F332" s="249" t="str">
        <f>IF($B332="Não", "BLOQUEADO (Aguardar liberação)", IFERROR(IF(VLOOKUP($A332,CTINTERVALO,6,0)=0,"",VLOOKUP($A332,CTINTERVALO,6,0)),""))</f>
        <v/>
      </c>
      <c r="G332" s="80"/>
      <c r="H332" s="80"/>
      <c r="I332" s="79"/>
      <c r="J332" s="79"/>
      <c r="K332" s="80"/>
    </row>
    <row r="333" spans="1:11">
      <c r="A333" s="93"/>
      <c r="B333" s="249" t="str">
        <f>IFERROR(IF(VLOOKUP($A333,CTINTERVALO,2,0)=0,"",VLOOKUP($A333,CTINTERVALO,2,0)),"")</f>
        <v/>
      </c>
      <c r="C333" s="249" t="str">
        <f>IF($B333="Não", "BLOQUEADO (Aguardar liberação)", IFERROR(IF(VLOOKUP($A333,CTINTERVALO,3,0)=0,"",VLOOKUP($A333,CTINTERVALO,3,0)),""))</f>
        <v/>
      </c>
      <c r="D333" s="249" t="str">
        <f>IF($B333="Não", "BLOQUEADO (Aguardar liberação)", IFERROR(IF(VLOOKUP($A333,CTINTERVALO,4,0)=0,"",VLOOKUP($A333,CTINTERVALO,4,0)),""))</f>
        <v/>
      </c>
      <c r="E333" s="249" t="str">
        <f>IF($B333="Não", "BLOQUEADO (Aguardar liberação)", "")</f>
        <v/>
      </c>
      <c r="F333" s="249" t="str">
        <f>IF($B333="Não", "BLOQUEADO (Aguardar liberação)", IFERROR(IF(VLOOKUP($A333,CTINTERVALO,6,0)=0,"",VLOOKUP($A333,CTINTERVALO,6,0)),""))</f>
        <v/>
      </c>
      <c r="G333" s="80"/>
      <c r="H333" s="80"/>
      <c r="I333" s="79"/>
      <c r="J333" s="79"/>
      <c r="K333" s="80"/>
    </row>
    <row r="334" spans="1:11">
      <c r="A334" s="93"/>
      <c r="B334" s="249" t="str">
        <f>IFERROR(IF(VLOOKUP($A334,CTINTERVALO,2,0)=0,"",VLOOKUP($A334,CTINTERVALO,2,0)),"")</f>
        <v/>
      </c>
      <c r="C334" s="249" t="str">
        <f>IF($B334="Não", "BLOQUEADO (Aguardar liberação)", IFERROR(IF(VLOOKUP($A334,CTINTERVALO,3,0)=0,"",VLOOKUP($A334,CTINTERVALO,3,0)),""))</f>
        <v/>
      </c>
      <c r="D334" s="249" t="str">
        <f>IF($B334="Não", "BLOQUEADO (Aguardar liberação)", IFERROR(IF(VLOOKUP($A334,CTINTERVALO,4,0)=0,"",VLOOKUP($A334,CTINTERVALO,4,0)),""))</f>
        <v/>
      </c>
      <c r="E334" s="249" t="str">
        <f>IF($B334="Não", "BLOQUEADO (Aguardar liberação)", "")</f>
        <v/>
      </c>
      <c r="F334" s="249" t="str">
        <f>IF($B334="Não", "BLOQUEADO (Aguardar liberação)", IFERROR(IF(VLOOKUP($A334,CTINTERVALO,6,0)=0,"",VLOOKUP($A334,CTINTERVALO,6,0)),""))</f>
        <v/>
      </c>
      <c r="G334" s="80"/>
      <c r="H334" s="80"/>
      <c r="I334" s="79"/>
      <c r="J334" s="79"/>
      <c r="K334" s="80"/>
    </row>
    <row r="335" spans="1:11">
      <c r="A335" s="93"/>
      <c r="B335" s="249" t="str">
        <f>IFERROR(IF(VLOOKUP($A335,CTINTERVALO,2,0)=0,"",VLOOKUP($A335,CTINTERVALO,2,0)),"")</f>
        <v/>
      </c>
      <c r="C335" s="249" t="str">
        <f>IF($B335="Não", "BLOQUEADO (Aguardar liberação)", IFERROR(IF(VLOOKUP($A335,CTINTERVALO,3,0)=0,"",VLOOKUP($A335,CTINTERVALO,3,0)),""))</f>
        <v/>
      </c>
      <c r="D335" s="249" t="str">
        <f>IF($B335="Não", "BLOQUEADO (Aguardar liberação)", IFERROR(IF(VLOOKUP($A335,CTINTERVALO,4,0)=0,"",VLOOKUP($A335,CTINTERVALO,4,0)),""))</f>
        <v/>
      </c>
      <c r="E335" s="249" t="str">
        <f>IF($B335="Não", "BLOQUEADO (Aguardar liberação)", "")</f>
        <v/>
      </c>
      <c r="F335" s="249" t="str">
        <f>IF($B335="Não", "BLOQUEADO (Aguardar liberação)", IFERROR(IF(VLOOKUP($A335,CTINTERVALO,6,0)=0,"",VLOOKUP($A335,CTINTERVALO,6,0)),""))</f>
        <v/>
      </c>
      <c r="G335" s="80"/>
      <c r="H335" s="80"/>
      <c r="I335" s="79"/>
      <c r="J335" s="79"/>
      <c r="K335" s="80"/>
    </row>
    <row r="336" spans="1:11">
      <c r="A336" s="93"/>
      <c r="B336" s="249" t="str">
        <f>IFERROR(IF(VLOOKUP($A336,CTINTERVALO,2,0)=0,"",VLOOKUP($A336,CTINTERVALO,2,0)),"")</f>
        <v/>
      </c>
      <c r="C336" s="249" t="str">
        <f>IF($B336="Não", "BLOQUEADO (Aguardar liberação)", IFERROR(IF(VLOOKUP($A336,CTINTERVALO,3,0)=0,"",VLOOKUP($A336,CTINTERVALO,3,0)),""))</f>
        <v/>
      </c>
      <c r="D336" s="249" t="str">
        <f>IF($B336="Não", "BLOQUEADO (Aguardar liberação)", IFERROR(IF(VLOOKUP($A336,CTINTERVALO,4,0)=0,"",VLOOKUP($A336,CTINTERVALO,4,0)),""))</f>
        <v/>
      </c>
      <c r="E336" s="249" t="str">
        <f>IF($B336="Não", "BLOQUEADO (Aguardar liberação)", "")</f>
        <v/>
      </c>
      <c r="F336" s="249" t="str">
        <f>IF($B336="Não", "BLOQUEADO (Aguardar liberação)", IFERROR(IF(VLOOKUP($A336,CTINTERVALO,6,0)=0,"",VLOOKUP($A336,CTINTERVALO,6,0)),""))</f>
        <v/>
      </c>
      <c r="G336" s="80"/>
      <c r="H336" s="80"/>
      <c r="I336" s="79"/>
      <c r="J336" s="79"/>
      <c r="K336" s="80"/>
    </row>
    <row r="337" spans="1:11">
      <c r="A337" s="93"/>
      <c r="B337" s="249" t="str">
        <f>IFERROR(IF(VLOOKUP($A337,CTINTERVALO,2,0)=0,"",VLOOKUP($A337,CTINTERVALO,2,0)),"")</f>
        <v/>
      </c>
      <c r="C337" s="249" t="str">
        <f>IF($B337="Não", "BLOQUEADO (Aguardar liberação)", IFERROR(IF(VLOOKUP($A337,CTINTERVALO,3,0)=0,"",VLOOKUP($A337,CTINTERVALO,3,0)),""))</f>
        <v/>
      </c>
      <c r="D337" s="249" t="str">
        <f>IF($B337="Não", "BLOQUEADO (Aguardar liberação)", IFERROR(IF(VLOOKUP($A337,CTINTERVALO,4,0)=0,"",VLOOKUP($A337,CTINTERVALO,4,0)),""))</f>
        <v/>
      </c>
      <c r="E337" s="249" t="str">
        <f>IF($B337="Não", "BLOQUEADO (Aguardar liberação)", "")</f>
        <v/>
      </c>
      <c r="F337" s="249" t="str">
        <f>IF($B337="Não", "BLOQUEADO (Aguardar liberação)", IFERROR(IF(VLOOKUP($A337,CTINTERVALO,6,0)=0,"",VLOOKUP($A337,CTINTERVALO,6,0)),""))</f>
        <v/>
      </c>
      <c r="G337" s="80"/>
      <c r="H337" s="80"/>
      <c r="I337" s="79"/>
      <c r="J337" s="79"/>
      <c r="K337" s="80"/>
    </row>
    <row r="338" spans="1:11">
      <c r="A338" s="93"/>
      <c r="B338" s="249" t="str">
        <f>IFERROR(IF(VLOOKUP($A338,CTINTERVALO,2,0)=0,"",VLOOKUP($A338,CTINTERVALO,2,0)),"")</f>
        <v/>
      </c>
      <c r="C338" s="249" t="str">
        <f>IF($B338="Não", "BLOQUEADO (Aguardar liberação)", IFERROR(IF(VLOOKUP($A338,CTINTERVALO,3,0)=0,"",VLOOKUP($A338,CTINTERVALO,3,0)),""))</f>
        <v/>
      </c>
      <c r="D338" s="249" t="str">
        <f>IF($B338="Não", "BLOQUEADO (Aguardar liberação)", IFERROR(IF(VLOOKUP($A338,CTINTERVALO,4,0)=0,"",VLOOKUP($A338,CTINTERVALO,4,0)),""))</f>
        <v/>
      </c>
      <c r="E338" s="249" t="str">
        <f>IF($B338="Não", "BLOQUEADO (Aguardar liberação)", "")</f>
        <v/>
      </c>
      <c r="F338" s="249" t="str">
        <f>IF($B338="Não", "BLOQUEADO (Aguardar liberação)", IFERROR(IF(VLOOKUP($A338,CTINTERVALO,6,0)=0,"",VLOOKUP($A338,CTINTERVALO,6,0)),""))</f>
        <v/>
      </c>
      <c r="G338" s="80"/>
      <c r="H338" s="80"/>
      <c r="I338" s="79"/>
      <c r="J338" s="79"/>
      <c r="K338" s="80"/>
    </row>
    <row r="339" spans="1:11">
      <c r="A339" s="93"/>
      <c r="B339" s="249" t="str">
        <f>IFERROR(IF(VLOOKUP($A339,CTINTERVALO,2,0)=0,"",VLOOKUP($A339,CTINTERVALO,2,0)),"")</f>
        <v/>
      </c>
      <c r="C339" s="249" t="str">
        <f>IF($B339="Não", "BLOQUEADO (Aguardar liberação)", IFERROR(IF(VLOOKUP($A339,CTINTERVALO,3,0)=0,"",VLOOKUP($A339,CTINTERVALO,3,0)),""))</f>
        <v/>
      </c>
      <c r="D339" s="249" t="str">
        <f>IF($B339="Não", "BLOQUEADO (Aguardar liberação)", IFERROR(IF(VLOOKUP($A339,CTINTERVALO,4,0)=0,"",VLOOKUP($A339,CTINTERVALO,4,0)),""))</f>
        <v/>
      </c>
      <c r="E339" s="249" t="str">
        <f>IF($B339="Não", "BLOQUEADO (Aguardar liberação)", "")</f>
        <v/>
      </c>
      <c r="F339" s="249" t="str">
        <f>IF($B339="Não", "BLOQUEADO (Aguardar liberação)", IFERROR(IF(VLOOKUP($A339,CTINTERVALO,6,0)=0,"",VLOOKUP($A339,CTINTERVALO,6,0)),""))</f>
        <v/>
      </c>
      <c r="G339" s="80"/>
      <c r="H339" s="80"/>
      <c r="I339" s="79"/>
      <c r="J339" s="79"/>
      <c r="K339" s="80"/>
    </row>
    <row r="340" spans="1:11">
      <c r="A340" s="93"/>
      <c r="B340" s="249" t="str">
        <f>IFERROR(IF(VLOOKUP($A340,CTINTERVALO,2,0)=0,"",VLOOKUP($A340,CTINTERVALO,2,0)),"")</f>
        <v/>
      </c>
      <c r="C340" s="249" t="str">
        <f>IF($B340="Não", "BLOQUEADO (Aguardar liberação)", IFERROR(IF(VLOOKUP($A340,CTINTERVALO,3,0)=0,"",VLOOKUP($A340,CTINTERVALO,3,0)),""))</f>
        <v/>
      </c>
      <c r="D340" s="249" t="str">
        <f>IF($B340="Não", "BLOQUEADO (Aguardar liberação)", IFERROR(IF(VLOOKUP($A340,CTINTERVALO,4,0)=0,"",VLOOKUP($A340,CTINTERVALO,4,0)),""))</f>
        <v/>
      </c>
      <c r="E340" s="249" t="str">
        <f>IF($B340="Não", "BLOQUEADO (Aguardar liberação)", "")</f>
        <v/>
      </c>
      <c r="F340" s="249" t="str">
        <f>IF($B340="Não", "BLOQUEADO (Aguardar liberação)", IFERROR(IF(VLOOKUP($A340,CTINTERVALO,6,0)=0,"",VLOOKUP($A340,CTINTERVALO,6,0)),""))</f>
        <v/>
      </c>
      <c r="G340" s="80"/>
      <c r="H340" s="80"/>
      <c r="I340" s="79"/>
      <c r="J340" s="79"/>
      <c r="K340" s="80"/>
    </row>
    <row r="341" spans="1:11">
      <c r="A341" s="93"/>
      <c r="B341" s="249" t="str">
        <f>IFERROR(IF(VLOOKUP($A341,CTINTERVALO,2,0)=0,"",VLOOKUP($A341,CTINTERVALO,2,0)),"")</f>
        <v/>
      </c>
      <c r="C341" s="249" t="str">
        <f>IF($B341="Não", "BLOQUEADO (Aguardar liberação)", IFERROR(IF(VLOOKUP($A341,CTINTERVALO,3,0)=0,"",VLOOKUP($A341,CTINTERVALO,3,0)),""))</f>
        <v/>
      </c>
      <c r="D341" s="249" t="str">
        <f>IF($B341="Não", "BLOQUEADO (Aguardar liberação)", IFERROR(IF(VLOOKUP($A341,CTINTERVALO,4,0)=0,"",VLOOKUP($A341,CTINTERVALO,4,0)),""))</f>
        <v/>
      </c>
      <c r="E341" s="249" t="str">
        <f>IF($B341="Não", "BLOQUEADO (Aguardar liberação)", "")</f>
        <v/>
      </c>
      <c r="F341" s="249" t="str">
        <f>IF($B341="Não", "BLOQUEADO (Aguardar liberação)", IFERROR(IF(VLOOKUP($A341,CTINTERVALO,6,0)=0,"",VLOOKUP($A341,CTINTERVALO,6,0)),""))</f>
        <v/>
      </c>
      <c r="G341" s="80"/>
      <c r="H341" s="80"/>
      <c r="I341" s="79"/>
      <c r="J341" s="79"/>
      <c r="K341" s="80"/>
    </row>
    <row r="342" spans="1:11">
      <c r="A342" s="93"/>
      <c r="B342" s="249" t="str">
        <f>IFERROR(IF(VLOOKUP($A342,CTINTERVALO,2,0)=0,"",VLOOKUP($A342,CTINTERVALO,2,0)),"")</f>
        <v/>
      </c>
      <c r="C342" s="249" t="str">
        <f>IF($B342="Não", "BLOQUEADO (Aguardar liberação)", IFERROR(IF(VLOOKUP($A342,CTINTERVALO,3,0)=0,"",VLOOKUP($A342,CTINTERVALO,3,0)),""))</f>
        <v/>
      </c>
      <c r="D342" s="249" t="str">
        <f>IF($B342="Não", "BLOQUEADO (Aguardar liberação)", IFERROR(IF(VLOOKUP($A342,CTINTERVALO,4,0)=0,"",VLOOKUP($A342,CTINTERVALO,4,0)),""))</f>
        <v/>
      </c>
      <c r="E342" s="249" t="str">
        <f>IF($B342="Não", "BLOQUEADO (Aguardar liberação)", "")</f>
        <v/>
      </c>
      <c r="F342" s="249" t="str">
        <f>IF($B342="Não", "BLOQUEADO (Aguardar liberação)", IFERROR(IF(VLOOKUP($A342,CTINTERVALO,6,0)=0,"",VLOOKUP($A342,CTINTERVALO,6,0)),""))</f>
        <v/>
      </c>
      <c r="G342" s="80"/>
      <c r="H342" s="80"/>
      <c r="I342" s="79"/>
      <c r="J342" s="79"/>
      <c r="K342" s="80"/>
    </row>
    <row r="343" spans="1:11">
      <c r="A343" s="93"/>
      <c r="B343" s="249" t="str">
        <f>IFERROR(IF(VLOOKUP($A343,CTINTERVALO,2,0)=0,"",VLOOKUP($A343,CTINTERVALO,2,0)),"")</f>
        <v/>
      </c>
      <c r="C343" s="249" t="str">
        <f>IF($B343="Não", "BLOQUEADO (Aguardar liberação)", IFERROR(IF(VLOOKUP($A343,CTINTERVALO,3,0)=0,"",VLOOKUP($A343,CTINTERVALO,3,0)),""))</f>
        <v/>
      </c>
      <c r="D343" s="249" t="str">
        <f>IF($B343="Não", "BLOQUEADO (Aguardar liberação)", IFERROR(IF(VLOOKUP($A343,CTINTERVALO,4,0)=0,"",VLOOKUP($A343,CTINTERVALO,4,0)),""))</f>
        <v/>
      </c>
      <c r="E343" s="249" t="str">
        <f>IF($B343="Não", "BLOQUEADO (Aguardar liberação)", "")</f>
        <v/>
      </c>
      <c r="F343" s="249" t="str">
        <f>IF($B343="Não", "BLOQUEADO (Aguardar liberação)", IFERROR(IF(VLOOKUP($A343,CTINTERVALO,6,0)=0,"",VLOOKUP($A343,CTINTERVALO,6,0)),""))</f>
        <v/>
      </c>
      <c r="G343" s="80"/>
      <c r="H343" s="80"/>
      <c r="I343" s="79"/>
      <c r="J343" s="79"/>
      <c r="K343" s="80"/>
    </row>
    <row r="344" spans="1:11">
      <c r="A344" s="93"/>
      <c r="B344" s="249" t="str">
        <f>IFERROR(IF(VLOOKUP($A344,CTINTERVALO,2,0)=0,"",VLOOKUP($A344,CTINTERVALO,2,0)),"")</f>
        <v/>
      </c>
      <c r="C344" s="249" t="str">
        <f>IF($B344="Não", "BLOQUEADO (Aguardar liberação)", IFERROR(IF(VLOOKUP($A344,CTINTERVALO,3,0)=0,"",VLOOKUP($A344,CTINTERVALO,3,0)),""))</f>
        <v/>
      </c>
      <c r="D344" s="249" t="str">
        <f>IF($B344="Não", "BLOQUEADO (Aguardar liberação)", IFERROR(IF(VLOOKUP($A344,CTINTERVALO,4,0)=0,"",VLOOKUP($A344,CTINTERVALO,4,0)),""))</f>
        <v/>
      </c>
      <c r="E344" s="249" t="str">
        <f>IF($B344="Não", "BLOQUEADO (Aguardar liberação)", "")</f>
        <v/>
      </c>
      <c r="F344" s="249" t="str">
        <f>IF($B344="Não", "BLOQUEADO (Aguardar liberação)", IFERROR(IF(VLOOKUP($A344,CTINTERVALO,6,0)=0,"",VLOOKUP($A344,CTINTERVALO,6,0)),""))</f>
        <v/>
      </c>
      <c r="G344" s="80"/>
      <c r="H344" s="80"/>
      <c r="I344" s="79"/>
      <c r="J344" s="79"/>
      <c r="K344" s="80"/>
    </row>
    <row r="345" spans="1:11">
      <c r="A345" s="93"/>
      <c r="B345" s="249" t="str">
        <f>IFERROR(IF(VLOOKUP($A345,CTINTERVALO,2,0)=0,"",VLOOKUP($A345,CTINTERVALO,2,0)),"")</f>
        <v/>
      </c>
      <c r="C345" s="249" t="str">
        <f>IF($B345="Não", "BLOQUEADO (Aguardar liberação)", IFERROR(IF(VLOOKUP($A345,CTINTERVALO,3,0)=0,"",VLOOKUP($A345,CTINTERVALO,3,0)),""))</f>
        <v/>
      </c>
      <c r="D345" s="249" t="str">
        <f>IF($B345="Não", "BLOQUEADO (Aguardar liberação)", IFERROR(IF(VLOOKUP($A345,CTINTERVALO,4,0)=0,"",VLOOKUP($A345,CTINTERVALO,4,0)),""))</f>
        <v/>
      </c>
      <c r="E345" s="249" t="str">
        <f>IF($B345="Não", "BLOQUEADO (Aguardar liberação)", "")</f>
        <v/>
      </c>
      <c r="F345" s="249" t="str">
        <f>IF($B345="Não", "BLOQUEADO (Aguardar liberação)", IFERROR(IF(VLOOKUP($A345,CTINTERVALO,6,0)=0,"",VLOOKUP($A345,CTINTERVALO,6,0)),""))</f>
        <v/>
      </c>
      <c r="G345" s="80"/>
      <c r="H345" s="80"/>
      <c r="I345" s="79"/>
      <c r="J345" s="79"/>
      <c r="K345" s="80"/>
    </row>
    <row r="346" spans="1:11">
      <c r="A346" s="93"/>
      <c r="B346" s="249" t="str">
        <f>IFERROR(IF(VLOOKUP($A346,CTINTERVALO,2,0)=0,"",VLOOKUP($A346,CTINTERVALO,2,0)),"")</f>
        <v/>
      </c>
      <c r="C346" s="249" t="str">
        <f>IF($B346="Não", "BLOQUEADO (Aguardar liberação)", IFERROR(IF(VLOOKUP($A346,CTINTERVALO,3,0)=0,"",VLOOKUP($A346,CTINTERVALO,3,0)),""))</f>
        <v/>
      </c>
      <c r="D346" s="249" t="str">
        <f>IF($B346="Não", "BLOQUEADO (Aguardar liberação)", IFERROR(IF(VLOOKUP($A346,CTINTERVALO,4,0)=0,"",VLOOKUP($A346,CTINTERVALO,4,0)),""))</f>
        <v/>
      </c>
      <c r="E346" s="249" t="str">
        <f>IF($B346="Não", "BLOQUEADO (Aguardar liberação)", "")</f>
        <v/>
      </c>
      <c r="F346" s="249" t="str">
        <f>IF($B346="Não", "BLOQUEADO (Aguardar liberação)", IFERROR(IF(VLOOKUP($A346,CTINTERVALO,6,0)=0,"",VLOOKUP($A346,CTINTERVALO,6,0)),""))</f>
        <v/>
      </c>
      <c r="G346" s="80"/>
      <c r="H346" s="80"/>
      <c r="I346" s="79"/>
      <c r="J346" s="79"/>
      <c r="K346" s="80"/>
    </row>
    <row r="347" spans="1:11">
      <c r="A347" s="93"/>
      <c r="B347" s="249" t="str">
        <f>IFERROR(IF(VLOOKUP($A347,CTINTERVALO,2,0)=0,"",VLOOKUP($A347,CTINTERVALO,2,0)),"")</f>
        <v/>
      </c>
      <c r="C347" s="249" t="str">
        <f>IF($B347="Não", "BLOQUEADO (Aguardar liberação)", IFERROR(IF(VLOOKUP($A347,CTINTERVALO,3,0)=0,"",VLOOKUP($A347,CTINTERVALO,3,0)),""))</f>
        <v/>
      </c>
      <c r="D347" s="249" t="str">
        <f>IF($B347="Não", "BLOQUEADO (Aguardar liberação)", IFERROR(IF(VLOOKUP($A347,CTINTERVALO,4,0)=0,"",VLOOKUP($A347,CTINTERVALO,4,0)),""))</f>
        <v/>
      </c>
      <c r="E347" s="249" t="str">
        <f>IF($B347="Não", "BLOQUEADO (Aguardar liberação)", "")</f>
        <v/>
      </c>
      <c r="F347" s="249" t="str">
        <f>IF($B347="Não", "BLOQUEADO (Aguardar liberação)", IFERROR(IF(VLOOKUP($A347,CTINTERVALO,6,0)=0,"",VLOOKUP($A347,CTINTERVALO,6,0)),""))</f>
        <v/>
      </c>
      <c r="G347" s="80"/>
      <c r="H347" s="80"/>
      <c r="I347" s="79"/>
      <c r="J347" s="79"/>
      <c r="K347" s="80"/>
    </row>
    <row r="348" spans="1:11">
      <c r="A348" s="93"/>
      <c r="B348" s="249" t="str">
        <f>IFERROR(IF(VLOOKUP($A348,CTINTERVALO,2,0)=0,"",VLOOKUP($A348,CTINTERVALO,2,0)),"")</f>
        <v/>
      </c>
      <c r="C348" s="249" t="str">
        <f>IF($B348="Não", "BLOQUEADO (Aguardar liberação)", IFERROR(IF(VLOOKUP($A348,CTINTERVALO,3,0)=0,"",VLOOKUP($A348,CTINTERVALO,3,0)),""))</f>
        <v/>
      </c>
      <c r="D348" s="249" t="str">
        <f>IF($B348="Não", "BLOQUEADO (Aguardar liberação)", IFERROR(IF(VLOOKUP($A348,CTINTERVALO,4,0)=0,"",VLOOKUP($A348,CTINTERVALO,4,0)),""))</f>
        <v/>
      </c>
      <c r="E348" s="249" t="str">
        <f>IF($B348="Não", "BLOQUEADO (Aguardar liberação)", "")</f>
        <v/>
      </c>
      <c r="F348" s="249" t="str">
        <f>IF($B348="Não", "BLOQUEADO (Aguardar liberação)", IFERROR(IF(VLOOKUP($A348,CTINTERVALO,6,0)=0,"",VLOOKUP($A348,CTINTERVALO,6,0)),""))</f>
        <v/>
      </c>
      <c r="G348" s="80"/>
      <c r="H348" s="80"/>
      <c r="I348" s="79"/>
      <c r="J348" s="79"/>
      <c r="K348" s="80"/>
    </row>
    <row r="349" spans="1:11">
      <c r="A349" s="93"/>
      <c r="B349" s="249" t="str">
        <f>IFERROR(IF(VLOOKUP($A349,CTINTERVALO,2,0)=0,"",VLOOKUP($A349,CTINTERVALO,2,0)),"")</f>
        <v/>
      </c>
      <c r="C349" s="249" t="str">
        <f>IF($B349="Não", "BLOQUEADO (Aguardar liberação)", IFERROR(IF(VLOOKUP($A349,CTINTERVALO,3,0)=0,"",VLOOKUP($A349,CTINTERVALO,3,0)),""))</f>
        <v/>
      </c>
      <c r="D349" s="249" t="str">
        <f>IF($B349="Não", "BLOQUEADO (Aguardar liberação)", IFERROR(IF(VLOOKUP($A349,CTINTERVALO,4,0)=0,"",VLOOKUP($A349,CTINTERVALO,4,0)),""))</f>
        <v/>
      </c>
      <c r="E349" s="249" t="str">
        <f>IF($B349="Não", "BLOQUEADO (Aguardar liberação)", "")</f>
        <v/>
      </c>
      <c r="F349" s="249" t="str">
        <f>IF($B349="Não", "BLOQUEADO (Aguardar liberação)", IFERROR(IF(VLOOKUP($A349,CTINTERVALO,6,0)=0,"",VLOOKUP($A349,CTINTERVALO,6,0)),""))</f>
        <v/>
      </c>
      <c r="G349" s="80"/>
      <c r="H349" s="80"/>
      <c r="I349" s="79"/>
      <c r="J349" s="79"/>
      <c r="K349" s="80"/>
    </row>
    <row r="350" spans="1:11">
      <c r="A350" s="93"/>
      <c r="B350" s="249" t="str">
        <f>IFERROR(IF(VLOOKUP($A350,CTINTERVALO,2,0)=0,"",VLOOKUP($A350,CTINTERVALO,2,0)),"")</f>
        <v/>
      </c>
      <c r="C350" s="249" t="str">
        <f>IF($B350="Não", "BLOQUEADO (Aguardar liberação)", IFERROR(IF(VLOOKUP($A350,CTINTERVALO,3,0)=0,"",VLOOKUP($A350,CTINTERVALO,3,0)),""))</f>
        <v/>
      </c>
      <c r="D350" s="249" t="str">
        <f>IF($B350="Não", "BLOQUEADO (Aguardar liberação)", IFERROR(IF(VLOOKUP($A350,CTINTERVALO,4,0)=0,"",VLOOKUP($A350,CTINTERVALO,4,0)),""))</f>
        <v/>
      </c>
      <c r="E350" s="249" t="str">
        <f>IF($B350="Não", "BLOQUEADO (Aguardar liberação)", "")</f>
        <v/>
      </c>
      <c r="F350" s="249" t="str">
        <f>IF($B350="Não", "BLOQUEADO (Aguardar liberação)", IFERROR(IF(VLOOKUP($A350,CTINTERVALO,6,0)=0,"",VLOOKUP($A350,CTINTERVALO,6,0)),""))</f>
        <v/>
      </c>
      <c r="G350" s="80"/>
      <c r="H350" s="80"/>
      <c r="I350" s="79"/>
      <c r="J350" s="79"/>
      <c r="K350" s="80"/>
    </row>
    <row r="351" spans="1:11">
      <c r="A351" s="93"/>
      <c r="B351" s="249" t="str">
        <f>IFERROR(IF(VLOOKUP($A351,CTINTERVALO,2,0)=0,"",VLOOKUP($A351,CTINTERVALO,2,0)),"")</f>
        <v/>
      </c>
      <c r="C351" s="249" t="str">
        <f>IF($B351="Não", "BLOQUEADO (Aguardar liberação)", IFERROR(IF(VLOOKUP($A351,CTINTERVALO,3,0)=0,"",VLOOKUP($A351,CTINTERVALO,3,0)),""))</f>
        <v/>
      </c>
      <c r="D351" s="249" t="str">
        <f>IF($B351="Não", "BLOQUEADO (Aguardar liberação)", IFERROR(IF(VLOOKUP($A351,CTINTERVALO,4,0)=0,"",VLOOKUP($A351,CTINTERVALO,4,0)),""))</f>
        <v/>
      </c>
      <c r="E351" s="249" t="str">
        <f>IF($B351="Não", "BLOQUEADO (Aguardar liberação)", "")</f>
        <v/>
      </c>
      <c r="F351" s="249" t="str">
        <f>IF($B351="Não", "BLOQUEADO (Aguardar liberação)", IFERROR(IF(VLOOKUP($A351,CTINTERVALO,6,0)=0,"",VLOOKUP($A351,CTINTERVALO,6,0)),""))</f>
        <v/>
      </c>
      <c r="G351" s="80"/>
      <c r="H351" s="80"/>
      <c r="I351" s="79"/>
      <c r="J351" s="79"/>
      <c r="K351" s="80"/>
    </row>
    <row r="352" spans="1:11">
      <c r="A352" s="93"/>
      <c r="B352" s="249" t="str">
        <f>IFERROR(IF(VLOOKUP($A352,CTINTERVALO,2,0)=0,"",VLOOKUP($A352,CTINTERVALO,2,0)),"")</f>
        <v/>
      </c>
      <c r="C352" s="249" t="str">
        <f>IF($B352="Não", "BLOQUEADO (Aguardar liberação)", IFERROR(IF(VLOOKUP($A352,CTINTERVALO,3,0)=0,"",VLOOKUP($A352,CTINTERVALO,3,0)),""))</f>
        <v/>
      </c>
      <c r="D352" s="249" t="str">
        <f>IF($B352="Não", "BLOQUEADO (Aguardar liberação)", IFERROR(IF(VLOOKUP($A352,CTINTERVALO,4,0)=0,"",VLOOKUP($A352,CTINTERVALO,4,0)),""))</f>
        <v/>
      </c>
      <c r="E352" s="249" t="str">
        <f>IF($B352="Não", "BLOQUEADO (Aguardar liberação)", "")</f>
        <v/>
      </c>
      <c r="F352" s="249" t="str">
        <f>IF($B352="Não", "BLOQUEADO (Aguardar liberação)", IFERROR(IF(VLOOKUP($A352,CTINTERVALO,6,0)=0,"",VLOOKUP($A352,CTINTERVALO,6,0)),""))</f>
        <v/>
      </c>
      <c r="G352" s="80"/>
      <c r="H352" s="80"/>
      <c r="I352" s="79"/>
      <c r="J352" s="79"/>
      <c r="K352" s="80"/>
    </row>
    <row r="353" spans="1:11">
      <c r="A353" s="93"/>
      <c r="B353" s="249" t="str">
        <f>IFERROR(IF(VLOOKUP($A353,CTINTERVALO,2,0)=0,"",VLOOKUP($A353,CTINTERVALO,2,0)),"")</f>
        <v/>
      </c>
      <c r="C353" s="249" t="str">
        <f>IF($B353="Não", "BLOQUEADO (Aguardar liberação)", IFERROR(IF(VLOOKUP($A353,CTINTERVALO,3,0)=0,"",VLOOKUP($A353,CTINTERVALO,3,0)),""))</f>
        <v/>
      </c>
      <c r="D353" s="249" t="str">
        <f>IF($B353="Não", "BLOQUEADO (Aguardar liberação)", IFERROR(IF(VLOOKUP($A353,CTINTERVALO,4,0)=0,"",VLOOKUP($A353,CTINTERVALO,4,0)),""))</f>
        <v/>
      </c>
      <c r="E353" s="249" t="str">
        <f>IF($B353="Não", "BLOQUEADO (Aguardar liberação)", "")</f>
        <v/>
      </c>
      <c r="F353" s="249" t="str">
        <f>IF($B353="Não", "BLOQUEADO (Aguardar liberação)", IFERROR(IF(VLOOKUP($A353,CTINTERVALO,6,0)=0,"",VLOOKUP($A353,CTINTERVALO,6,0)),""))</f>
        <v/>
      </c>
      <c r="G353" s="80"/>
      <c r="H353" s="80"/>
      <c r="I353" s="79"/>
      <c r="J353" s="79"/>
      <c r="K353" s="80"/>
    </row>
    <row r="354" spans="1:11">
      <c r="A354" s="93"/>
      <c r="B354" s="249" t="str">
        <f>IFERROR(IF(VLOOKUP($A354,CTINTERVALO,2,0)=0,"",VLOOKUP($A354,CTINTERVALO,2,0)),"")</f>
        <v/>
      </c>
      <c r="C354" s="249" t="str">
        <f>IF($B354="Não", "BLOQUEADO (Aguardar liberação)", IFERROR(IF(VLOOKUP($A354,CTINTERVALO,3,0)=0,"",VLOOKUP($A354,CTINTERVALO,3,0)),""))</f>
        <v/>
      </c>
      <c r="D354" s="249" t="str">
        <f>IF($B354="Não", "BLOQUEADO (Aguardar liberação)", IFERROR(IF(VLOOKUP($A354,CTINTERVALO,4,0)=0,"",VLOOKUP($A354,CTINTERVALO,4,0)),""))</f>
        <v/>
      </c>
      <c r="E354" s="249" t="str">
        <f>IF($B354="Não", "BLOQUEADO (Aguardar liberação)", "")</f>
        <v/>
      </c>
      <c r="F354" s="249" t="str">
        <f>IF($B354="Não", "BLOQUEADO (Aguardar liberação)", IFERROR(IF(VLOOKUP($A354,CTINTERVALO,6,0)=0,"",VLOOKUP($A354,CTINTERVALO,6,0)),""))</f>
        <v/>
      </c>
      <c r="G354" s="80"/>
      <c r="H354" s="80"/>
      <c r="I354" s="79"/>
      <c r="J354" s="79"/>
      <c r="K354" s="80"/>
    </row>
    <row r="355" spans="1:11">
      <c r="A355" s="93"/>
      <c r="B355" s="249" t="str">
        <f>IFERROR(IF(VLOOKUP($A355,CTINTERVALO,2,0)=0,"",VLOOKUP($A355,CTINTERVALO,2,0)),"")</f>
        <v/>
      </c>
      <c r="C355" s="249" t="str">
        <f>IF($B355="Não", "BLOQUEADO (Aguardar liberação)", IFERROR(IF(VLOOKUP($A355,CTINTERVALO,3,0)=0,"",VLOOKUP($A355,CTINTERVALO,3,0)),""))</f>
        <v/>
      </c>
      <c r="D355" s="249" t="str">
        <f>IF($B355="Não", "BLOQUEADO (Aguardar liberação)", IFERROR(IF(VLOOKUP($A355,CTINTERVALO,4,0)=0,"",VLOOKUP($A355,CTINTERVALO,4,0)),""))</f>
        <v/>
      </c>
      <c r="E355" s="249" t="str">
        <f>IF($B355="Não", "BLOQUEADO (Aguardar liberação)", "")</f>
        <v/>
      </c>
      <c r="F355" s="249" t="str">
        <f>IF($B355="Não", "BLOQUEADO (Aguardar liberação)", IFERROR(IF(VLOOKUP($A355,CTINTERVALO,6,0)=0,"",VLOOKUP($A355,CTINTERVALO,6,0)),""))</f>
        <v/>
      </c>
      <c r="G355" s="80"/>
      <c r="H355" s="80"/>
      <c r="I355" s="79"/>
      <c r="J355" s="79"/>
      <c r="K355" s="80"/>
    </row>
    <row r="356" spans="1:11">
      <c r="A356" s="93"/>
      <c r="B356" s="249" t="str">
        <f>IFERROR(IF(VLOOKUP($A356,CTINTERVALO,2,0)=0,"",VLOOKUP($A356,CTINTERVALO,2,0)),"")</f>
        <v/>
      </c>
      <c r="C356" s="249" t="str">
        <f>IF($B356="Não", "BLOQUEADO (Aguardar liberação)", IFERROR(IF(VLOOKUP($A356,CTINTERVALO,3,0)=0,"",VLOOKUP($A356,CTINTERVALO,3,0)),""))</f>
        <v/>
      </c>
      <c r="D356" s="249" t="str">
        <f>IF($B356="Não", "BLOQUEADO (Aguardar liberação)", IFERROR(IF(VLOOKUP($A356,CTINTERVALO,4,0)=0,"",VLOOKUP($A356,CTINTERVALO,4,0)),""))</f>
        <v/>
      </c>
      <c r="E356" s="249" t="str">
        <f>IF($B356="Não", "BLOQUEADO (Aguardar liberação)", "")</f>
        <v/>
      </c>
      <c r="F356" s="249" t="str">
        <f>IF($B356="Não", "BLOQUEADO (Aguardar liberação)", IFERROR(IF(VLOOKUP($A356,CTINTERVALO,6,0)=0,"",VLOOKUP($A356,CTINTERVALO,6,0)),""))</f>
        <v/>
      </c>
      <c r="G356" s="80"/>
      <c r="H356" s="80"/>
      <c r="I356" s="79"/>
      <c r="J356" s="79"/>
      <c r="K356" s="80"/>
    </row>
    <row r="357" spans="1:11">
      <c r="A357" s="93"/>
      <c r="B357" s="249" t="str">
        <f>IFERROR(IF(VLOOKUP($A357,CTINTERVALO,2,0)=0,"",VLOOKUP($A357,CTINTERVALO,2,0)),"")</f>
        <v/>
      </c>
      <c r="C357" s="249" t="str">
        <f>IF($B357="Não", "BLOQUEADO (Aguardar liberação)", IFERROR(IF(VLOOKUP($A357,CTINTERVALO,3,0)=0,"",VLOOKUP($A357,CTINTERVALO,3,0)),""))</f>
        <v/>
      </c>
      <c r="D357" s="249" t="str">
        <f>IF($B357="Não", "BLOQUEADO (Aguardar liberação)", IFERROR(IF(VLOOKUP($A357,CTINTERVALO,4,0)=0,"",VLOOKUP($A357,CTINTERVALO,4,0)),""))</f>
        <v/>
      </c>
      <c r="E357" s="249" t="str">
        <f>IF($B357="Não", "BLOQUEADO (Aguardar liberação)", "")</f>
        <v/>
      </c>
      <c r="F357" s="249" t="str">
        <f>IF($B357="Não", "BLOQUEADO (Aguardar liberação)", IFERROR(IF(VLOOKUP($A357,CTINTERVALO,6,0)=0,"",VLOOKUP($A357,CTINTERVALO,6,0)),""))</f>
        <v/>
      </c>
      <c r="G357" s="80"/>
      <c r="H357" s="80"/>
      <c r="I357" s="79"/>
      <c r="J357" s="79"/>
      <c r="K357" s="80"/>
    </row>
    <row r="358" spans="1:11">
      <c r="A358" s="93"/>
      <c r="B358" s="249" t="str">
        <f>IFERROR(IF(VLOOKUP($A358,CTINTERVALO,2,0)=0,"",VLOOKUP($A358,CTINTERVALO,2,0)),"")</f>
        <v/>
      </c>
      <c r="C358" s="249" t="str">
        <f>IF($B358="Não", "BLOQUEADO (Aguardar liberação)", IFERROR(IF(VLOOKUP($A358,CTINTERVALO,3,0)=0,"",VLOOKUP($A358,CTINTERVALO,3,0)),""))</f>
        <v/>
      </c>
      <c r="D358" s="249" t="str">
        <f>IF($B358="Não", "BLOQUEADO (Aguardar liberação)", IFERROR(IF(VLOOKUP($A358,CTINTERVALO,4,0)=0,"",VLOOKUP($A358,CTINTERVALO,4,0)),""))</f>
        <v/>
      </c>
      <c r="E358" s="249" t="str">
        <f>IF($B358="Não", "BLOQUEADO (Aguardar liberação)", "")</f>
        <v/>
      </c>
      <c r="F358" s="249" t="str">
        <f>IF($B358="Não", "BLOQUEADO (Aguardar liberação)", IFERROR(IF(VLOOKUP($A358,CTINTERVALO,6,0)=0,"",VLOOKUP($A358,CTINTERVALO,6,0)),""))</f>
        <v/>
      </c>
      <c r="G358" s="80"/>
      <c r="H358" s="80"/>
      <c r="I358" s="79"/>
      <c r="J358" s="79"/>
      <c r="K358" s="80"/>
    </row>
    <row r="359" spans="1:11">
      <c r="A359" s="93"/>
      <c r="B359" s="249" t="str">
        <f>IFERROR(IF(VLOOKUP($A359,CTINTERVALO,2,0)=0,"",VLOOKUP($A359,CTINTERVALO,2,0)),"")</f>
        <v/>
      </c>
      <c r="C359" s="249" t="str">
        <f>IF($B359="Não", "BLOQUEADO (Aguardar liberação)", IFERROR(IF(VLOOKUP($A359,CTINTERVALO,3,0)=0,"",VLOOKUP($A359,CTINTERVALO,3,0)),""))</f>
        <v/>
      </c>
      <c r="D359" s="249" t="str">
        <f>IF($B359="Não", "BLOQUEADO (Aguardar liberação)", IFERROR(IF(VLOOKUP($A359,CTINTERVALO,4,0)=0,"",VLOOKUP($A359,CTINTERVALO,4,0)),""))</f>
        <v/>
      </c>
      <c r="E359" s="249" t="str">
        <f>IF($B359="Não", "BLOQUEADO (Aguardar liberação)", "")</f>
        <v/>
      </c>
      <c r="F359" s="249" t="str">
        <f>IF($B359="Não", "BLOQUEADO (Aguardar liberação)", IFERROR(IF(VLOOKUP($A359,CTINTERVALO,6,0)=0,"",VLOOKUP($A359,CTINTERVALO,6,0)),""))</f>
        <v/>
      </c>
      <c r="G359" s="80"/>
      <c r="H359" s="80"/>
      <c r="I359" s="79"/>
      <c r="J359" s="79"/>
      <c r="K359" s="80"/>
    </row>
    <row r="360" spans="1:11">
      <c r="A360" s="93"/>
      <c r="B360" s="249" t="str">
        <f>IFERROR(IF(VLOOKUP($A360,CTINTERVALO,2,0)=0,"",VLOOKUP($A360,CTINTERVALO,2,0)),"")</f>
        <v/>
      </c>
      <c r="C360" s="249" t="str">
        <f>IF($B360="Não", "BLOQUEADO (Aguardar liberação)", IFERROR(IF(VLOOKUP($A360,CTINTERVALO,3,0)=0,"",VLOOKUP($A360,CTINTERVALO,3,0)),""))</f>
        <v/>
      </c>
      <c r="D360" s="249" t="str">
        <f>IF($B360="Não", "BLOQUEADO (Aguardar liberação)", IFERROR(IF(VLOOKUP($A360,CTINTERVALO,4,0)=0,"",VLOOKUP($A360,CTINTERVALO,4,0)),""))</f>
        <v/>
      </c>
      <c r="E360" s="249" t="str">
        <f>IF($B360="Não", "BLOQUEADO (Aguardar liberação)", "")</f>
        <v/>
      </c>
      <c r="F360" s="249" t="str">
        <f>IF($B360="Não", "BLOQUEADO (Aguardar liberação)", IFERROR(IF(VLOOKUP($A360,CTINTERVALO,6,0)=0,"",VLOOKUP($A360,CTINTERVALO,6,0)),""))</f>
        <v/>
      </c>
      <c r="G360" s="80"/>
      <c r="H360" s="80"/>
      <c r="I360" s="79"/>
      <c r="J360" s="79"/>
      <c r="K360" s="80"/>
    </row>
    <row r="361" spans="1:11">
      <c r="A361" s="93"/>
      <c r="B361" s="249" t="str">
        <f>IFERROR(IF(VLOOKUP($A361,CTINTERVALO,2,0)=0,"",VLOOKUP($A361,CTINTERVALO,2,0)),"")</f>
        <v/>
      </c>
      <c r="C361" s="249" t="str">
        <f>IF($B361="Não", "BLOQUEADO (Aguardar liberação)", IFERROR(IF(VLOOKUP($A361,CTINTERVALO,3,0)=0,"",VLOOKUP($A361,CTINTERVALO,3,0)),""))</f>
        <v/>
      </c>
      <c r="D361" s="249" t="str">
        <f>IF($B361="Não", "BLOQUEADO (Aguardar liberação)", IFERROR(IF(VLOOKUP($A361,CTINTERVALO,4,0)=0,"",VLOOKUP($A361,CTINTERVALO,4,0)),""))</f>
        <v/>
      </c>
      <c r="E361" s="249" t="str">
        <f>IF($B361="Não", "BLOQUEADO (Aguardar liberação)", "")</f>
        <v/>
      </c>
      <c r="F361" s="249" t="str">
        <f>IF($B361="Não", "BLOQUEADO (Aguardar liberação)", IFERROR(IF(VLOOKUP($A361,CTINTERVALO,6,0)=0,"",VLOOKUP($A361,CTINTERVALO,6,0)),""))</f>
        <v/>
      </c>
      <c r="G361" s="80"/>
      <c r="H361" s="80"/>
      <c r="I361" s="79"/>
      <c r="J361" s="79"/>
      <c r="K361" s="80"/>
    </row>
    <row r="362" spans="1:11">
      <c r="A362" s="93"/>
      <c r="B362" s="249" t="str">
        <f>IFERROR(IF(VLOOKUP($A362,CTINTERVALO,2,0)=0,"",VLOOKUP($A362,CTINTERVALO,2,0)),"")</f>
        <v/>
      </c>
      <c r="C362" s="249" t="str">
        <f>IF($B362="Não", "BLOQUEADO (Aguardar liberação)", IFERROR(IF(VLOOKUP($A362,CTINTERVALO,3,0)=0,"",VLOOKUP($A362,CTINTERVALO,3,0)),""))</f>
        <v/>
      </c>
      <c r="D362" s="249" t="str">
        <f>IF($B362="Não", "BLOQUEADO (Aguardar liberação)", IFERROR(IF(VLOOKUP($A362,CTINTERVALO,4,0)=0,"",VLOOKUP($A362,CTINTERVALO,4,0)),""))</f>
        <v/>
      </c>
      <c r="E362" s="249" t="str">
        <f>IF($B362="Não", "BLOQUEADO (Aguardar liberação)", "")</f>
        <v/>
      </c>
      <c r="F362" s="249" t="str">
        <f>IF($B362="Não", "BLOQUEADO (Aguardar liberação)", IFERROR(IF(VLOOKUP($A362,CTINTERVALO,6,0)=0,"",VLOOKUP($A362,CTINTERVALO,6,0)),""))</f>
        <v/>
      </c>
      <c r="G362" s="80"/>
      <c r="H362" s="80"/>
      <c r="I362" s="79"/>
      <c r="J362" s="79"/>
      <c r="K362" s="80"/>
    </row>
    <row r="363" spans="1:11">
      <c r="A363" s="93"/>
      <c r="B363" s="249" t="str">
        <f>IFERROR(IF(VLOOKUP($A363,CTINTERVALO,2,0)=0,"",VLOOKUP($A363,CTINTERVALO,2,0)),"")</f>
        <v/>
      </c>
      <c r="C363" s="249" t="str">
        <f>IF($B363="Não", "BLOQUEADO (Aguardar liberação)", IFERROR(IF(VLOOKUP($A363,CTINTERVALO,3,0)=0,"",VLOOKUP($A363,CTINTERVALO,3,0)),""))</f>
        <v/>
      </c>
      <c r="D363" s="249" t="str">
        <f>IF($B363="Não", "BLOQUEADO (Aguardar liberação)", IFERROR(IF(VLOOKUP($A363,CTINTERVALO,4,0)=0,"",VLOOKUP($A363,CTINTERVALO,4,0)),""))</f>
        <v/>
      </c>
      <c r="E363" s="249" t="str">
        <f>IF($B363="Não", "BLOQUEADO (Aguardar liberação)", "")</f>
        <v/>
      </c>
      <c r="F363" s="249" t="str">
        <f>IF($B363="Não", "BLOQUEADO (Aguardar liberação)", IFERROR(IF(VLOOKUP($A363,CTINTERVALO,6,0)=0,"",VLOOKUP($A363,CTINTERVALO,6,0)),""))</f>
        <v/>
      </c>
      <c r="G363" s="80"/>
      <c r="H363" s="80"/>
      <c r="I363" s="79"/>
      <c r="J363" s="79"/>
      <c r="K363" s="80"/>
    </row>
    <row r="364" spans="1:11">
      <c r="A364" s="93"/>
      <c r="B364" s="249" t="str">
        <f>IFERROR(IF(VLOOKUP($A364,CTINTERVALO,2,0)=0,"",VLOOKUP($A364,CTINTERVALO,2,0)),"")</f>
        <v/>
      </c>
      <c r="C364" s="249" t="str">
        <f>IF($B364="Não", "BLOQUEADO (Aguardar liberação)", IFERROR(IF(VLOOKUP($A364,CTINTERVALO,3,0)=0,"",VLOOKUP($A364,CTINTERVALO,3,0)),""))</f>
        <v/>
      </c>
      <c r="D364" s="249" t="str">
        <f>IF($B364="Não", "BLOQUEADO (Aguardar liberação)", IFERROR(IF(VLOOKUP($A364,CTINTERVALO,4,0)=0,"",VLOOKUP($A364,CTINTERVALO,4,0)),""))</f>
        <v/>
      </c>
      <c r="E364" s="249" t="str">
        <f>IF($B364="Não", "BLOQUEADO (Aguardar liberação)", "")</f>
        <v/>
      </c>
      <c r="F364" s="249" t="str">
        <f>IF($B364="Não", "BLOQUEADO (Aguardar liberação)", IFERROR(IF(VLOOKUP($A364,CTINTERVALO,6,0)=0,"",VLOOKUP($A364,CTINTERVALO,6,0)),""))</f>
        <v/>
      </c>
      <c r="G364" s="80"/>
      <c r="H364" s="80"/>
      <c r="I364" s="79"/>
      <c r="J364" s="79"/>
      <c r="K364" s="80"/>
    </row>
    <row r="365" spans="1:11">
      <c r="A365" s="93"/>
      <c r="B365" s="249" t="str">
        <f>IFERROR(IF(VLOOKUP($A365,CTINTERVALO,2,0)=0,"",VLOOKUP($A365,CTINTERVALO,2,0)),"")</f>
        <v/>
      </c>
      <c r="C365" s="249" t="str">
        <f>IF($B365="Não", "BLOQUEADO (Aguardar liberação)", IFERROR(IF(VLOOKUP($A365,CTINTERVALO,3,0)=0,"",VLOOKUP($A365,CTINTERVALO,3,0)),""))</f>
        <v/>
      </c>
      <c r="D365" s="249" t="str">
        <f>IF($B365="Não", "BLOQUEADO (Aguardar liberação)", IFERROR(IF(VLOOKUP($A365,CTINTERVALO,4,0)=0,"",VLOOKUP($A365,CTINTERVALO,4,0)),""))</f>
        <v/>
      </c>
      <c r="E365" s="249" t="str">
        <f>IF($B365="Não", "BLOQUEADO (Aguardar liberação)", "")</f>
        <v/>
      </c>
      <c r="F365" s="249" t="str">
        <f>IF($B365="Não", "BLOQUEADO (Aguardar liberação)", IFERROR(IF(VLOOKUP($A365,CTINTERVALO,6,0)=0,"",VLOOKUP($A365,CTINTERVALO,6,0)),""))</f>
        <v/>
      </c>
      <c r="G365" s="80"/>
      <c r="H365" s="80"/>
      <c r="I365" s="79"/>
      <c r="J365" s="79"/>
      <c r="K365" s="80"/>
    </row>
    <row r="366" spans="1:11">
      <c r="A366" s="93"/>
      <c r="B366" s="249" t="str">
        <f>IFERROR(IF(VLOOKUP($A366,CTINTERVALO,2,0)=0,"",VLOOKUP($A366,CTINTERVALO,2,0)),"")</f>
        <v/>
      </c>
      <c r="C366" s="249" t="str">
        <f>IF($B366="Não", "BLOQUEADO (Aguardar liberação)", IFERROR(IF(VLOOKUP($A366,CTINTERVALO,3,0)=0,"",VLOOKUP($A366,CTINTERVALO,3,0)),""))</f>
        <v/>
      </c>
      <c r="D366" s="249" t="str">
        <f>IF($B366="Não", "BLOQUEADO (Aguardar liberação)", IFERROR(IF(VLOOKUP($A366,CTINTERVALO,4,0)=0,"",VLOOKUP($A366,CTINTERVALO,4,0)),""))</f>
        <v/>
      </c>
      <c r="E366" s="249" t="str">
        <f>IF($B366="Não", "BLOQUEADO (Aguardar liberação)", "")</f>
        <v/>
      </c>
      <c r="F366" s="249" t="str">
        <f>IF($B366="Não", "BLOQUEADO (Aguardar liberação)", IFERROR(IF(VLOOKUP($A366,CTINTERVALO,6,0)=0,"",VLOOKUP($A366,CTINTERVALO,6,0)),""))</f>
        <v/>
      </c>
      <c r="G366" s="80"/>
      <c r="H366" s="80"/>
      <c r="I366" s="79"/>
      <c r="J366" s="79"/>
      <c r="K366" s="80"/>
    </row>
    <row r="367" spans="1:11">
      <c r="A367" s="93"/>
      <c r="B367" s="249" t="str">
        <f>IFERROR(IF(VLOOKUP($A367,CTINTERVALO,2,0)=0,"",VLOOKUP($A367,CTINTERVALO,2,0)),"")</f>
        <v/>
      </c>
      <c r="C367" s="249" t="str">
        <f>IF($B367="Não", "BLOQUEADO (Aguardar liberação)", IFERROR(IF(VLOOKUP($A367,CTINTERVALO,3,0)=0,"",VLOOKUP($A367,CTINTERVALO,3,0)),""))</f>
        <v/>
      </c>
      <c r="D367" s="249" t="str">
        <f>IF($B367="Não", "BLOQUEADO (Aguardar liberação)", IFERROR(IF(VLOOKUP($A367,CTINTERVALO,4,0)=0,"",VLOOKUP($A367,CTINTERVALO,4,0)),""))</f>
        <v/>
      </c>
      <c r="E367" s="249" t="str">
        <f>IF($B367="Não", "BLOQUEADO (Aguardar liberação)", "")</f>
        <v/>
      </c>
      <c r="F367" s="249" t="str">
        <f>IF($B367="Não", "BLOQUEADO (Aguardar liberação)", IFERROR(IF(VLOOKUP($A367,CTINTERVALO,6,0)=0,"",VLOOKUP($A367,CTINTERVALO,6,0)),""))</f>
        <v/>
      </c>
      <c r="G367" s="80"/>
      <c r="H367" s="80"/>
      <c r="I367" s="79"/>
      <c r="J367" s="79"/>
      <c r="K367" s="80"/>
    </row>
    <row r="368" spans="1:11">
      <c r="A368" s="93"/>
      <c r="B368" s="249" t="str">
        <f>IFERROR(IF(VLOOKUP($A368,CTINTERVALO,2,0)=0,"",VLOOKUP($A368,CTINTERVALO,2,0)),"")</f>
        <v/>
      </c>
      <c r="C368" s="249" t="str">
        <f>IF($B368="Não", "BLOQUEADO (Aguardar liberação)", IFERROR(IF(VLOOKUP($A368,CTINTERVALO,3,0)=0,"",VLOOKUP($A368,CTINTERVALO,3,0)),""))</f>
        <v/>
      </c>
      <c r="D368" s="249" t="str">
        <f>IF($B368="Não", "BLOQUEADO (Aguardar liberação)", IFERROR(IF(VLOOKUP($A368,CTINTERVALO,4,0)=0,"",VLOOKUP($A368,CTINTERVALO,4,0)),""))</f>
        <v/>
      </c>
      <c r="E368" s="249" t="str">
        <f>IF($B368="Não", "BLOQUEADO (Aguardar liberação)", "")</f>
        <v/>
      </c>
      <c r="F368" s="249" t="str">
        <f>IF($B368="Não", "BLOQUEADO (Aguardar liberação)", IFERROR(IF(VLOOKUP($A368,CTINTERVALO,6,0)=0,"",VLOOKUP($A368,CTINTERVALO,6,0)),""))</f>
        <v/>
      </c>
      <c r="G368" s="80"/>
      <c r="H368" s="80"/>
      <c r="I368" s="79"/>
      <c r="J368" s="79"/>
      <c r="K368" s="80"/>
    </row>
    <row r="369" spans="1:11">
      <c r="A369" s="93"/>
      <c r="B369" s="249" t="str">
        <f>IFERROR(IF(VLOOKUP($A369,CTINTERVALO,2,0)=0,"",VLOOKUP($A369,CTINTERVALO,2,0)),"")</f>
        <v/>
      </c>
      <c r="C369" s="249" t="str">
        <f>IF($B369="Não", "BLOQUEADO (Aguardar liberação)", IFERROR(IF(VLOOKUP($A369,CTINTERVALO,3,0)=0,"",VLOOKUP($A369,CTINTERVALO,3,0)),""))</f>
        <v/>
      </c>
      <c r="D369" s="249" t="str">
        <f>IF($B369="Não", "BLOQUEADO (Aguardar liberação)", IFERROR(IF(VLOOKUP($A369,CTINTERVALO,4,0)=0,"",VLOOKUP($A369,CTINTERVALO,4,0)),""))</f>
        <v/>
      </c>
      <c r="E369" s="249" t="str">
        <f>IF($B369="Não", "BLOQUEADO (Aguardar liberação)", "")</f>
        <v/>
      </c>
      <c r="F369" s="249" t="str">
        <f>IF($B369="Não", "BLOQUEADO (Aguardar liberação)", IFERROR(IF(VLOOKUP($A369,CTINTERVALO,6,0)=0,"",VLOOKUP($A369,CTINTERVALO,6,0)),""))</f>
        <v/>
      </c>
      <c r="G369" s="80"/>
      <c r="H369" s="80"/>
      <c r="I369" s="79"/>
      <c r="J369" s="79"/>
      <c r="K369" s="80"/>
    </row>
    <row r="370" spans="1:11">
      <c r="A370" s="93"/>
      <c r="B370" s="249" t="str">
        <f>IFERROR(IF(VLOOKUP($A370,CTINTERVALO,2,0)=0,"",VLOOKUP($A370,CTINTERVALO,2,0)),"")</f>
        <v/>
      </c>
      <c r="C370" s="249" t="str">
        <f>IF($B370="Não", "BLOQUEADO (Aguardar liberação)", IFERROR(IF(VLOOKUP($A370,CTINTERVALO,3,0)=0,"",VLOOKUP($A370,CTINTERVALO,3,0)),""))</f>
        <v/>
      </c>
      <c r="D370" s="249" t="str">
        <f>IF($B370="Não", "BLOQUEADO (Aguardar liberação)", IFERROR(IF(VLOOKUP($A370,CTINTERVALO,4,0)=0,"",VLOOKUP($A370,CTINTERVALO,4,0)),""))</f>
        <v/>
      </c>
      <c r="E370" s="249" t="str">
        <f>IF($B370="Não", "BLOQUEADO (Aguardar liberação)", "")</f>
        <v/>
      </c>
      <c r="F370" s="249" t="str">
        <f>IF($B370="Não", "BLOQUEADO (Aguardar liberação)", IFERROR(IF(VLOOKUP($A370,CTINTERVALO,6,0)=0,"",VLOOKUP($A370,CTINTERVALO,6,0)),""))</f>
        <v/>
      </c>
      <c r="G370" s="80"/>
      <c r="H370" s="80"/>
      <c r="I370" s="79"/>
      <c r="J370" s="79"/>
      <c r="K370" s="80"/>
    </row>
    <row r="371" spans="1:11">
      <c r="A371" s="93"/>
      <c r="B371" s="249" t="str">
        <f>IFERROR(IF(VLOOKUP($A371,CTINTERVALO,2,0)=0,"",VLOOKUP($A371,CTINTERVALO,2,0)),"")</f>
        <v/>
      </c>
      <c r="C371" s="249" t="str">
        <f>IF($B371="Não", "BLOQUEADO (Aguardar liberação)", IFERROR(IF(VLOOKUP($A371,CTINTERVALO,3,0)=0,"",VLOOKUP($A371,CTINTERVALO,3,0)),""))</f>
        <v/>
      </c>
      <c r="D371" s="249" t="str">
        <f>IF($B371="Não", "BLOQUEADO (Aguardar liberação)", IFERROR(IF(VLOOKUP($A371,CTINTERVALO,4,0)=0,"",VLOOKUP($A371,CTINTERVALO,4,0)),""))</f>
        <v/>
      </c>
      <c r="E371" s="249" t="str">
        <f>IF($B371="Não", "BLOQUEADO (Aguardar liberação)", "")</f>
        <v/>
      </c>
      <c r="F371" s="249" t="str">
        <f>IF($B371="Não", "BLOQUEADO (Aguardar liberação)", IFERROR(IF(VLOOKUP($A371,CTINTERVALO,6,0)=0,"",VLOOKUP($A371,CTINTERVALO,6,0)),""))</f>
        <v/>
      </c>
      <c r="G371" s="80"/>
      <c r="H371" s="80"/>
      <c r="I371" s="79"/>
      <c r="J371" s="79"/>
      <c r="K371" s="80"/>
    </row>
    <row r="372" spans="1:11">
      <c r="A372" s="93"/>
      <c r="B372" s="249" t="str">
        <f>IFERROR(IF(VLOOKUP($A372,CTINTERVALO,2,0)=0,"",VLOOKUP($A372,CTINTERVALO,2,0)),"")</f>
        <v/>
      </c>
      <c r="C372" s="249" t="str">
        <f>IF($B372="Não", "BLOQUEADO (Aguardar liberação)", IFERROR(IF(VLOOKUP($A372,CTINTERVALO,3,0)=0,"",VLOOKUP($A372,CTINTERVALO,3,0)),""))</f>
        <v/>
      </c>
      <c r="D372" s="249" t="str">
        <f>IF($B372="Não", "BLOQUEADO (Aguardar liberação)", IFERROR(IF(VLOOKUP($A372,CTINTERVALO,4,0)=0,"",VLOOKUP($A372,CTINTERVALO,4,0)),""))</f>
        <v/>
      </c>
      <c r="E372" s="249" t="str">
        <f>IF($B372="Não", "BLOQUEADO (Aguardar liberação)", "")</f>
        <v/>
      </c>
      <c r="F372" s="249" t="str">
        <f>IF($B372="Não", "BLOQUEADO (Aguardar liberação)", IFERROR(IF(VLOOKUP($A372,CTINTERVALO,6,0)=0,"",VLOOKUP($A372,CTINTERVALO,6,0)),""))</f>
        <v/>
      </c>
      <c r="G372" s="80"/>
      <c r="H372" s="80"/>
      <c r="I372" s="79"/>
      <c r="J372" s="79"/>
      <c r="K372" s="80"/>
    </row>
    <row r="373" spans="1:11">
      <c r="A373" s="93"/>
      <c r="B373" s="249" t="str">
        <f>IFERROR(IF(VLOOKUP($A373,CTINTERVALO,2,0)=0,"",VLOOKUP($A373,CTINTERVALO,2,0)),"")</f>
        <v/>
      </c>
      <c r="C373" s="249" t="str">
        <f>IF($B373="Não", "BLOQUEADO (Aguardar liberação)", IFERROR(IF(VLOOKUP($A373,CTINTERVALO,3,0)=0,"",VLOOKUP($A373,CTINTERVALO,3,0)),""))</f>
        <v/>
      </c>
      <c r="D373" s="249" t="str">
        <f>IF($B373="Não", "BLOQUEADO (Aguardar liberação)", IFERROR(IF(VLOOKUP($A373,CTINTERVALO,4,0)=0,"",VLOOKUP($A373,CTINTERVALO,4,0)),""))</f>
        <v/>
      </c>
      <c r="E373" s="249" t="str">
        <f>IF($B373="Não", "BLOQUEADO (Aguardar liberação)", "")</f>
        <v/>
      </c>
      <c r="F373" s="249" t="str">
        <f>IF($B373="Não", "BLOQUEADO (Aguardar liberação)", IFERROR(IF(VLOOKUP($A373,CTINTERVALO,6,0)=0,"",VLOOKUP($A373,CTINTERVALO,6,0)),""))</f>
        <v/>
      </c>
      <c r="G373" s="80"/>
      <c r="H373" s="80"/>
      <c r="I373" s="79"/>
      <c r="J373" s="79"/>
      <c r="K373" s="80"/>
    </row>
    <row r="374" spans="1:11">
      <c r="A374" s="93"/>
      <c r="B374" s="249" t="str">
        <f>IFERROR(IF(VLOOKUP($A374,CTINTERVALO,2,0)=0,"",VLOOKUP($A374,CTINTERVALO,2,0)),"")</f>
        <v/>
      </c>
      <c r="C374" s="249" t="str">
        <f>IF($B374="Não", "BLOQUEADO (Aguardar liberação)", IFERROR(IF(VLOOKUP($A374,CTINTERVALO,3,0)=0,"",VLOOKUP($A374,CTINTERVALO,3,0)),""))</f>
        <v/>
      </c>
      <c r="D374" s="249" t="str">
        <f>IF($B374="Não", "BLOQUEADO (Aguardar liberação)", IFERROR(IF(VLOOKUP($A374,CTINTERVALO,4,0)=0,"",VLOOKUP($A374,CTINTERVALO,4,0)),""))</f>
        <v/>
      </c>
      <c r="E374" s="249" t="str">
        <f>IF($B374="Não", "BLOQUEADO (Aguardar liberação)", "")</f>
        <v/>
      </c>
      <c r="F374" s="249" t="str">
        <f>IF($B374="Não", "BLOQUEADO (Aguardar liberação)", IFERROR(IF(VLOOKUP($A374,CTINTERVALO,6,0)=0,"",VLOOKUP($A374,CTINTERVALO,6,0)),""))</f>
        <v/>
      </c>
      <c r="G374" s="80"/>
      <c r="H374" s="80"/>
      <c r="I374" s="79"/>
      <c r="J374" s="79"/>
      <c r="K374" s="80"/>
    </row>
    <row r="375" spans="1:11">
      <c r="A375" s="93"/>
      <c r="B375" s="249" t="str">
        <f>IFERROR(IF(VLOOKUP($A375,CTINTERVALO,2,0)=0,"",VLOOKUP($A375,CTINTERVALO,2,0)),"")</f>
        <v/>
      </c>
      <c r="C375" s="249" t="str">
        <f>IF($B375="Não", "BLOQUEADO (Aguardar liberação)", IFERROR(IF(VLOOKUP($A375,CTINTERVALO,3,0)=0,"",VLOOKUP($A375,CTINTERVALO,3,0)),""))</f>
        <v/>
      </c>
      <c r="D375" s="249" t="str">
        <f>IF($B375="Não", "BLOQUEADO (Aguardar liberação)", IFERROR(IF(VLOOKUP($A375,CTINTERVALO,4,0)=0,"",VLOOKUP($A375,CTINTERVALO,4,0)),""))</f>
        <v/>
      </c>
      <c r="E375" s="249" t="str">
        <f>IF($B375="Não", "BLOQUEADO (Aguardar liberação)", "")</f>
        <v/>
      </c>
      <c r="F375" s="249" t="str">
        <f>IF($B375="Não", "BLOQUEADO (Aguardar liberação)", IFERROR(IF(VLOOKUP($A375,CTINTERVALO,6,0)=0,"",VLOOKUP($A375,CTINTERVALO,6,0)),""))</f>
        <v/>
      </c>
      <c r="G375" s="80"/>
      <c r="H375" s="80"/>
      <c r="I375" s="79"/>
      <c r="J375" s="79"/>
      <c r="K375" s="80"/>
    </row>
    <row r="376" spans="1:11">
      <c r="A376" s="93"/>
      <c r="B376" s="249" t="str">
        <f>IFERROR(IF(VLOOKUP($A376,CTINTERVALO,2,0)=0,"",VLOOKUP($A376,CTINTERVALO,2,0)),"")</f>
        <v/>
      </c>
      <c r="C376" s="249" t="str">
        <f>IF($B376="Não", "BLOQUEADO (Aguardar liberação)", IFERROR(IF(VLOOKUP($A376,CTINTERVALO,3,0)=0,"",VLOOKUP($A376,CTINTERVALO,3,0)),""))</f>
        <v/>
      </c>
      <c r="D376" s="249" t="str">
        <f>IF($B376="Não", "BLOQUEADO (Aguardar liberação)", IFERROR(IF(VLOOKUP($A376,CTINTERVALO,4,0)=0,"",VLOOKUP($A376,CTINTERVALO,4,0)),""))</f>
        <v/>
      </c>
      <c r="E376" s="249" t="str">
        <f>IF($B376="Não", "BLOQUEADO (Aguardar liberação)", "")</f>
        <v/>
      </c>
      <c r="F376" s="249" t="str">
        <f>IF($B376="Não", "BLOQUEADO (Aguardar liberação)", IFERROR(IF(VLOOKUP($A376,CTINTERVALO,6,0)=0,"",VLOOKUP($A376,CTINTERVALO,6,0)),""))</f>
        <v/>
      </c>
      <c r="G376" s="80"/>
      <c r="H376" s="80"/>
      <c r="I376" s="79"/>
      <c r="J376" s="79"/>
      <c r="K376" s="80"/>
    </row>
    <row r="377" spans="1:11">
      <c r="A377" s="93"/>
      <c r="B377" s="249" t="str">
        <f>IFERROR(IF(VLOOKUP($A377,CTINTERVALO,2,0)=0,"",VLOOKUP($A377,CTINTERVALO,2,0)),"")</f>
        <v/>
      </c>
      <c r="C377" s="249" t="str">
        <f>IF($B377="Não", "BLOQUEADO (Aguardar liberação)", IFERROR(IF(VLOOKUP($A377,CTINTERVALO,3,0)=0,"",VLOOKUP($A377,CTINTERVALO,3,0)),""))</f>
        <v/>
      </c>
      <c r="D377" s="249" t="str">
        <f>IF($B377="Não", "BLOQUEADO (Aguardar liberação)", IFERROR(IF(VLOOKUP($A377,CTINTERVALO,4,0)=0,"",VLOOKUP($A377,CTINTERVALO,4,0)),""))</f>
        <v/>
      </c>
      <c r="E377" s="249" t="str">
        <f>IF($B377="Não", "BLOQUEADO (Aguardar liberação)", "")</f>
        <v/>
      </c>
      <c r="F377" s="249" t="str">
        <f>IF($B377="Não", "BLOQUEADO (Aguardar liberação)", IFERROR(IF(VLOOKUP($A377,CTINTERVALO,6,0)=0,"",VLOOKUP($A377,CTINTERVALO,6,0)),""))</f>
        <v/>
      </c>
      <c r="G377" s="80"/>
      <c r="H377" s="80"/>
      <c r="I377" s="79"/>
      <c r="J377" s="79"/>
      <c r="K377" s="80"/>
    </row>
    <row r="378" spans="1:11">
      <c r="A378" s="93"/>
      <c r="B378" s="249" t="str">
        <f>IFERROR(IF(VLOOKUP($A378,CTINTERVALO,2,0)=0,"",VLOOKUP($A378,CTINTERVALO,2,0)),"")</f>
        <v/>
      </c>
      <c r="C378" s="249" t="str">
        <f>IF($B378="Não", "BLOQUEADO (Aguardar liberação)", IFERROR(IF(VLOOKUP($A378,CTINTERVALO,3,0)=0,"",VLOOKUP($A378,CTINTERVALO,3,0)),""))</f>
        <v/>
      </c>
      <c r="D378" s="249" t="str">
        <f>IF($B378="Não", "BLOQUEADO (Aguardar liberação)", IFERROR(IF(VLOOKUP($A378,CTINTERVALO,4,0)=0,"",VLOOKUP($A378,CTINTERVALO,4,0)),""))</f>
        <v/>
      </c>
      <c r="E378" s="249" t="str">
        <f>IF($B378="Não", "BLOQUEADO (Aguardar liberação)", "")</f>
        <v/>
      </c>
      <c r="F378" s="249" t="str">
        <f>IF($B378="Não", "BLOQUEADO (Aguardar liberação)", IFERROR(IF(VLOOKUP($A378,CTINTERVALO,6,0)=0,"",VLOOKUP($A378,CTINTERVALO,6,0)),""))</f>
        <v/>
      </c>
      <c r="G378" s="80"/>
      <c r="H378" s="80"/>
      <c r="I378" s="79"/>
      <c r="J378" s="79"/>
      <c r="K378" s="80"/>
    </row>
    <row r="379" spans="1:11">
      <c r="A379" s="93"/>
      <c r="B379" s="249" t="str">
        <f>IFERROR(IF(VLOOKUP($A379,CTINTERVALO,2,0)=0,"",VLOOKUP($A379,CTINTERVALO,2,0)),"")</f>
        <v/>
      </c>
      <c r="C379" s="249" t="str">
        <f>IF($B379="Não", "BLOQUEADO (Aguardar liberação)", IFERROR(IF(VLOOKUP($A379,CTINTERVALO,3,0)=0,"",VLOOKUP($A379,CTINTERVALO,3,0)),""))</f>
        <v/>
      </c>
      <c r="D379" s="249" t="str">
        <f>IF($B379="Não", "BLOQUEADO (Aguardar liberação)", IFERROR(IF(VLOOKUP($A379,CTINTERVALO,4,0)=0,"",VLOOKUP($A379,CTINTERVALO,4,0)),""))</f>
        <v/>
      </c>
      <c r="E379" s="249" t="str">
        <f>IF($B379="Não", "BLOQUEADO (Aguardar liberação)", "")</f>
        <v/>
      </c>
      <c r="F379" s="249" t="str">
        <f>IF($B379="Não", "BLOQUEADO (Aguardar liberação)", IFERROR(IF(VLOOKUP($A379,CTINTERVALO,6,0)=0,"",VLOOKUP($A379,CTINTERVALO,6,0)),""))</f>
        <v/>
      </c>
      <c r="G379" s="80"/>
      <c r="H379" s="80"/>
      <c r="I379" s="79"/>
      <c r="J379" s="79"/>
      <c r="K379" s="80"/>
    </row>
    <row r="380" spans="1:11">
      <c r="A380" s="93"/>
      <c r="B380" s="249" t="str">
        <f>IFERROR(IF(VLOOKUP($A380,CTINTERVALO,2,0)=0,"",VLOOKUP($A380,CTINTERVALO,2,0)),"")</f>
        <v/>
      </c>
      <c r="C380" s="249" t="str">
        <f>IF($B380="Não", "BLOQUEADO (Aguardar liberação)", IFERROR(IF(VLOOKUP($A380,CTINTERVALO,3,0)=0,"",VLOOKUP($A380,CTINTERVALO,3,0)),""))</f>
        <v/>
      </c>
      <c r="D380" s="249" t="str">
        <f>IF($B380="Não", "BLOQUEADO (Aguardar liberação)", IFERROR(IF(VLOOKUP($A380,CTINTERVALO,4,0)=0,"",VLOOKUP($A380,CTINTERVALO,4,0)),""))</f>
        <v/>
      </c>
      <c r="E380" s="249" t="str">
        <f>IF($B380="Não", "BLOQUEADO (Aguardar liberação)", "")</f>
        <v/>
      </c>
      <c r="F380" s="249" t="str">
        <f>IF($B380="Não", "BLOQUEADO (Aguardar liberação)", IFERROR(IF(VLOOKUP($A380,CTINTERVALO,6,0)=0,"",VLOOKUP($A380,CTINTERVALO,6,0)),""))</f>
        <v/>
      </c>
      <c r="G380" s="80"/>
      <c r="H380" s="80"/>
      <c r="I380" s="79"/>
      <c r="J380" s="79"/>
      <c r="K380" s="80"/>
    </row>
    <row r="381" spans="1:11">
      <c r="A381" s="93"/>
      <c r="B381" s="249" t="str">
        <f>IFERROR(IF(VLOOKUP($A381,CTINTERVALO,2,0)=0,"",VLOOKUP($A381,CTINTERVALO,2,0)),"")</f>
        <v/>
      </c>
      <c r="C381" s="249" t="str">
        <f>IF($B381="Não", "BLOQUEADO (Aguardar liberação)", IFERROR(IF(VLOOKUP($A381,CTINTERVALO,3,0)=0,"",VLOOKUP($A381,CTINTERVALO,3,0)),""))</f>
        <v/>
      </c>
      <c r="D381" s="249" t="str">
        <f>IF($B381="Não", "BLOQUEADO (Aguardar liberação)", IFERROR(IF(VLOOKUP($A381,CTINTERVALO,4,0)=0,"",VLOOKUP($A381,CTINTERVALO,4,0)),""))</f>
        <v/>
      </c>
      <c r="E381" s="249" t="str">
        <f>IF($B381="Não", "BLOQUEADO (Aguardar liberação)", "")</f>
        <v/>
      </c>
      <c r="F381" s="249" t="str">
        <f>IF($B381="Não", "BLOQUEADO (Aguardar liberação)", IFERROR(IF(VLOOKUP($A381,CTINTERVALO,6,0)=0,"",VLOOKUP($A381,CTINTERVALO,6,0)),""))</f>
        <v/>
      </c>
      <c r="G381" s="80"/>
      <c r="H381" s="80"/>
      <c r="I381" s="79"/>
      <c r="J381" s="79"/>
      <c r="K381" s="80"/>
    </row>
    <row r="382" spans="1:11">
      <c r="A382" s="93"/>
      <c r="B382" s="249" t="str">
        <f>IFERROR(IF(VLOOKUP($A382,CTINTERVALO,2,0)=0,"",VLOOKUP($A382,CTINTERVALO,2,0)),"")</f>
        <v/>
      </c>
      <c r="C382" s="249" t="str">
        <f>IF($B382="Não", "BLOQUEADO (Aguardar liberação)", IFERROR(IF(VLOOKUP($A382,CTINTERVALO,3,0)=0,"",VLOOKUP($A382,CTINTERVALO,3,0)),""))</f>
        <v/>
      </c>
      <c r="D382" s="249" t="str">
        <f>IF($B382="Não", "BLOQUEADO (Aguardar liberação)", IFERROR(IF(VLOOKUP($A382,CTINTERVALO,4,0)=0,"",VLOOKUP($A382,CTINTERVALO,4,0)),""))</f>
        <v/>
      </c>
      <c r="E382" s="249" t="str">
        <f>IF($B382="Não", "BLOQUEADO (Aguardar liberação)", "")</f>
        <v/>
      </c>
      <c r="F382" s="249" t="str">
        <f>IF($B382="Não", "BLOQUEADO (Aguardar liberação)", IFERROR(IF(VLOOKUP($A382,CTINTERVALO,6,0)=0,"",VLOOKUP($A382,CTINTERVALO,6,0)),""))</f>
        <v/>
      </c>
      <c r="G382" s="80"/>
      <c r="H382" s="80"/>
      <c r="I382" s="79"/>
      <c r="J382" s="79"/>
      <c r="K382" s="80"/>
    </row>
    <row r="383" spans="1:11">
      <c r="A383" s="93"/>
      <c r="B383" s="249" t="str">
        <f>IFERROR(IF(VLOOKUP($A383,CTINTERVALO,2,0)=0,"",VLOOKUP($A383,CTINTERVALO,2,0)),"")</f>
        <v/>
      </c>
      <c r="C383" s="249" t="str">
        <f>IF($B383="Não", "BLOQUEADO (Aguardar liberação)", IFERROR(IF(VLOOKUP($A383,CTINTERVALO,3,0)=0,"",VLOOKUP($A383,CTINTERVALO,3,0)),""))</f>
        <v/>
      </c>
      <c r="D383" s="249" t="str">
        <f>IF($B383="Não", "BLOQUEADO (Aguardar liberação)", IFERROR(IF(VLOOKUP($A383,CTINTERVALO,4,0)=0,"",VLOOKUP($A383,CTINTERVALO,4,0)),""))</f>
        <v/>
      </c>
      <c r="E383" s="249" t="str">
        <f>IF($B383="Não", "BLOQUEADO (Aguardar liberação)", "")</f>
        <v/>
      </c>
      <c r="F383" s="249" t="str">
        <f>IF($B383="Não", "BLOQUEADO (Aguardar liberação)", IFERROR(IF(VLOOKUP($A383,CTINTERVALO,6,0)=0,"",VLOOKUP($A383,CTINTERVALO,6,0)),""))</f>
        <v/>
      </c>
      <c r="G383" s="80"/>
      <c r="H383" s="80"/>
      <c r="I383" s="79"/>
      <c r="J383" s="79"/>
      <c r="K383" s="80"/>
    </row>
    <row r="384" spans="1:11">
      <c r="A384" s="93"/>
      <c r="B384" s="249" t="str">
        <f>IFERROR(IF(VLOOKUP($A384,CTINTERVALO,2,0)=0,"",VLOOKUP($A384,CTINTERVALO,2,0)),"")</f>
        <v/>
      </c>
      <c r="C384" s="249" t="str">
        <f>IF($B384="Não", "BLOQUEADO (Aguardar liberação)", IFERROR(IF(VLOOKUP($A384,CTINTERVALO,3,0)=0,"",VLOOKUP($A384,CTINTERVALO,3,0)),""))</f>
        <v/>
      </c>
      <c r="D384" s="249" t="str">
        <f>IF($B384="Não", "BLOQUEADO (Aguardar liberação)", IFERROR(IF(VLOOKUP($A384,CTINTERVALO,4,0)=0,"",VLOOKUP($A384,CTINTERVALO,4,0)),""))</f>
        <v/>
      </c>
      <c r="E384" s="249" t="str">
        <f>IF($B384="Não", "BLOQUEADO (Aguardar liberação)", "")</f>
        <v/>
      </c>
      <c r="F384" s="249" t="str">
        <f>IF($B384="Não", "BLOQUEADO (Aguardar liberação)", IFERROR(IF(VLOOKUP($A384,CTINTERVALO,6,0)=0,"",VLOOKUP($A384,CTINTERVALO,6,0)),""))</f>
        <v/>
      </c>
      <c r="G384" s="80"/>
      <c r="H384" s="80"/>
      <c r="I384" s="79"/>
      <c r="J384" s="79"/>
      <c r="K384" s="80"/>
    </row>
    <row r="385" spans="1:11">
      <c r="A385" s="93"/>
      <c r="B385" s="249" t="str">
        <f>IFERROR(IF(VLOOKUP($A385,CTINTERVALO,2,0)=0,"",VLOOKUP($A385,CTINTERVALO,2,0)),"")</f>
        <v/>
      </c>
      <c r="C385" s="249" t="str">
        <f>IF($B385="Não", "BLOQUEADO (Aguardar liberação)", IFERROR(IF(VLOOKUP($A385,CTINTERVALO,3,0)=0,"",VLOOKUP($A385,CTINTERVALO,3,0)),""))</f>
        <v/>
      </c>
      <c r="D385" s="249" t="str">
        <f>IF($B385="Não", "BLOQUEADO (Aguardar liberação)", IFERROR(IF(VLOOKUP($A385,CTINTERVALO,4,0)=0,"",VLOOKUP($A385,CTINTERVALO,4,0)),""))</f>
        <v/>
      </c>
      <c r="E385" s="249" t="str">
        <f>IF($B385="Não", "BLOQUEADO (Aguardar liberação)", "")</f>
        <v/>
      </c>
      <c r="F385" s="249" t="str">
        <f>IF($B385="Não", "BLOQUEADO (Aguardar liberação)", IFERROR(IF(VLOOKUP($A385,CTINTERVALO,6,0)=0,"",VLOOKUP($A385,CTINTERVALO,6,0)),""))</f>
        <v/>
      </c>
      <c r="G385" s="80"/>
      <c r="H385" s="80"/>
      <c r="I385" s="79"/>
      <c r="J385" s="79"/>
      <c r="K385" s="80"/>
    </row>
    <row r="386" spans="1:11">
      <c r="A386" s="93"/>
      <c r="B386" s="249" t="str">
        <f>IFERROR(IF(VLOOKUP($A386,CTINTERVALO,2,0)=0,"",VLOOKUP($A386,CTINTERVALO,2,0)),"")</f>
        <v/>
      </c>
      <c r="C386" s="249" t="str">
        <f>IF($B386="Não", "BLOQUEADO (Aguardar liberação)", IFERROR(IF(VLOOKUP($A386,CTINTERVALO,3,0)=0,"",VLOOKUP($A386,CTINTERVALO,3,0)),""))</f>
        <v/>
      </c>
      <c r="D386" s="249" t="str">
        <f>IF($B386="Não", "BLOQUEADO (Aguardar liberação)", IFERROR(IF(VLOOKUP($A386,CTINTERVALO,4,0)=0,"",VLOOKUP($A386,CTINTERVALO,4,0)),""))</f>
        <v/>
      </c>
      <c r="E386" s="249" t="str">
        <f>IF($B386="Não", "BLOQUEADO (Aguardar liberação)", "")</f>
        <v/>
      </c>
      <c r="F386" s="249" t="str">
        <f>IF($B386="Não", "BLOQUEADO (Aguardar liberação)", IFERROR(IF(VLOOKUP($A386,CTINTERVALO,6,0)=0,"",VLOOKUP($A386,CTINTERVALO,6,0)),""))</f>
        <v/>
      </c>
      <c r="G386" s="80"/>
      <c r="H386" s="80"/>
      <c r="I386" s="79"/>
      <c r="J386" s="79"/>
      <c r="K386" s="80"/>
    </row>
    <row r="387" spans="1:11">
      <c r="A387" s="93"/>
      <c r="B387" s="249" t="str">
        <f>IFERROR(IF(VLOOKUP($A387,CTINTERVALO,2,0)=0,"",VLOOKUP($A387,CTINTERVALO,2,0)),"")</f>
        <v/>
      </c>
      <c r="C387" s="249" t="str">
        <f>IF($B387="Não", "BLOQUEADO (Aguardar liberação)", IFERROR(IF(VLOOKUP($A387,CTINTERVALO,3,0)=0,"",VLOOKUP($A387,CTINTERVALO,3,0)),""))</f>
        <v/>
      </c>
      <c r="D387" s="249" t="str">
        <f>IF($B387="Não", "BLOQUEADO (Aguardar liberação)", IFERROR(IF(VLOOKUP($A387,CTINTERVALO,4,0)=0,"",VLOOKUP($A387,CTINTERVALO,4,0)),""))</f>
        <v/>
      </c>
      <c r="E387" s="249" t="str">
        <f>IF($B387="Não", "BLOQUEADO (Aguardar liberação)", "")</f>
        <v/>
      </c>
      <c r="F387" s="249" t="str">
        <f>IF($B387="Não", "BLOQUEADO (Aguardar liberação)", IFERROR(IF(VLOOKUP($A387,CTINTERVALO,6,0)=0,"",VLOOKUP($A387,CTINTERVALO,6,0)),""))</f>
        <v/>
      </c>
      <c r="G387" s="80"/>
      <c r="H387" s="80"/>
      <c r="I387" s="79"/>
      <c r="J387" s="79"/>
      <c r="K387" s="80"/>
    </row>
    <row r="388" spans="1:11">
      <c r="A388" s="93"/>
      <c r="B388" s="249" t="str">
        <f>IFERROR(IF(VLOOKUP($A388,CTINTERVALO,2,0)=0,"",VLOOKUP($A388,CTINTERVALO,2,0)),"")</f>
        <v/>
      </c>
      <c r="C388" s="249" t="str">
        <f>IF($B388="Não", "BLOQUEADO (Aguardar liberação)", IFERROR(IF(VLOOKUP($A388,CTINTERVALO,3,0)=0,"",VLOOKUP($A388,CTINTERVALO,3,0)),""))</f>
        <v/>
      </c>
      <c r="D388" s="249" t="str">
        <f>IF($B388="Não", "BLOQUEADO (Aguardar liberação)", IFERROR(IF(VLOOKUP($A388,CTINTERVALO,4,0)=0,"",VLOOKUP($A388,CTINTERVALO,4,0)),""))</f>
        <v/>
      </c>
      <c r="E388" s="249" t="str">
        <f>IF($B388="Não", "BLOQUEADO (Aguardar liberação)", "")</f>
        <v/>
      </c>
      <c r="F388" s="249" t="str">
        <f>IF($B388="Não", "BLOQUEADO (Aguardar liberação)", IFERROR(IF(VLOOKUP($A388,CTINTERVALO,6,0)=0,"",VLOOKUP($A388,CTINTERVALO,6,0)),""))</f>
        <v/>
      </c>
      <c r="G388" s="80"/>
      <c r="H388" s="80"/>
      <c r="I388" s="79"/>
      <c r="J388" s="79"/>
      <c r="K388" s="80"/>
    </row>
    <row r="389" spans="1:11">
      <c r="A389" s="93"/>
      <c r="B389" s="249" t="str">
        <f>IFERROR(IF(VLOOKUP($A389,CTINTERVALO,2,0)=0,"",VLOOKUP($A389,CTINTERVALO,2,0)),"")</f>
        <v/>
      </c>
      <c r="C389" s="249" t="str">
        <f>IF($B389="Não", "BLOQUEADO (Aguardar liberação)", IFERROR(IF(VLOOKUP($A389,CTINTERVALO,3,0)=0,"",VLOOKUP($A389,CTINTERVALO,3,0)),""))</f>
        <v/>
      </c>
      <c r="D389" s="249" t="str">
        <f>IF($B389="Não", "BLOQUEADO (Aguardar liberação)", IFERROR(IF(VLOOKUP($A389,CTINTERVALO,4,0)=0,"",VLOOKUP($A389,CTINTERVALO,4,0)),""))</f>
        <v/>
      </c>
      <c r="E389" s="249" t="str">
        <f>IF($B389="Não", "BLOQUEADO (Aguardar liberação)", "")</f>
        <v/>
      </c>
      <c r="F389" s="249" t="str">
        <f>IF($B389="Não", "BLOQUEADO (Aguardar liberação)", IFERROR(IF(VLOOKUP($A389,CTINTERVALO,6,0)=0,"",VLOOKUP($A389,CTINTERVALO,6,0)),""))</f>
        <v/>
      </c>
      <c r="G389" s="80"/>
      <c r="H389" s="80"/>
      <c r="I389" s="79"/>
      <c r="J389" s="79"/>
      <c r="K389" s="80"/>
    </row>
    <row r="390" spans="1:11">
      <c r="A390" s="93"/>
      <c r="B390" s="249" t="str">
        <f>IFERROR(IF(VLOOKUP($A390,CTINTERVALO,2,0)=0,"",VLOOKUP($A390,CTINTERVALO,2,0)),"")</f>
        <v/>
      </c>
      <c r="C390" s="249" t="str">
        <f>IF($B390="Não", "BLOQUEADO (Aguardar liberação)", IFERROR(IF(VLOOKUP($A390,CTINTERVALO,3,0)=0,"",VLOOKUP($A390,CTINTERVALO,3,0)),""))</f>
        <v/>
      </c>
      <c r="D390" s="249" t="str">
        <f>IF($B390="Não", "BLOQUEADO (Aguardar liberação)", IFERROR(IF(VLOOKUP($A390,CTINTERVALO,4,0)=0,"",VLOOKUP($A390,CTINTERVALO,4,0)),""))</f>
        <v/>
      </c>
      <c r="E390" s="249" t="str">
        <f>IF($B390="Não", "BLOQUEADO (Aguardar liberação)", "")</f>
        <v/>
      </c>
      <c r="F390" s="249" t="str">
        <f>IF($B390="Não", "BLOQUEADO (Aguardar liberação)", IFERROR(IF(VLOOKUP($A390,CTINTERVALO,6,0)=0,"",VLOOKUP($A390,CTINTERVALO,6,0)),""))</f>
        <v/>
      </c>
      <c r="G390" s="80"/>
      <c r="H390" s="80"/>
      <c r="I390" s="79"/>
      <c r="J390" s="79"/>
      <c r="K390" s="80"/>
    </row>
    <row r="391" spans="1:11">
      <c r="A391" s="93"/>
      <c r="B391" s="249" t="str">
        <f>IFERROR(IF(VLOOKUP($A391,CTINTERVALO,2,0)=0,"",VLOOKUP($A391,CTINTERVALO,2,0)),"")</f>
        <v/>
      </c>
      <c r="C391" s="249" t="str">
        <f>IF($B391="Não", "BLOQUEADO (Aguardar liberação)", IFERROR(IF(VLOOKUP($A391,CTINTERVALO,3,0)=0,"",VLOOKUP($A391,CTINTERVALO,3,0)),""))</f>
        <v/>
      </c>
      <c r="D391" s="249" t="str">
        <f>IF($B391="Não", "BLOQUEADO (Aguardar liberação)", IFERROR(IF(VLOOKUP($A391,CTINTERVALO,4,0)=0,"",VLOOKUP($A391,CTINTERVALO,4,0)),""))</f>
        <v/>
      </c>
      <c r="E391" s="249" t="str">
        <f>IF($B391="Não", "BLOQUEADO (Aguardar liberação)", "")</f>
        <v/>
      </c>
      <c r="F391" s="249" t="str">
        <f>IF($B391="Não", "BLOQUEADO (Aguardar liberação)", IFERROR(IF(VLOOKUP($A391,CTINTERVALO,6,0)=0,"",VLOOKUP($A391,CTINTERVALO,6,0)),""))</f>
        <v/>
      </c>
      <c r="G391" s="80"/>
      <c r="H391" s="80"/>
      <c r="I391" s="79"/>
      <c r="J391" s="79"/>
      <c r="K391" s="80"/>
    </row>
    <row r="392" spans="1:11">
      <c r="A392" s="93"/>
      <c r="B392" s="249" t="str">
        <f>IFERROR(IF(VLOOKUP($A392,CTINTERVALO,2,0)=0,"",VLOOKUP($A392,CTINTERVALO,2,0)),"")</f>
        <v/>
      </c>
      <c r="C392" s="249" t="str">
        <f>IF($B392="Não", "BLOQUEADO (Aguardar liberação)", IFERROR(IF(VLOOKUP($A392,CTINTERVALO,3,0)=0,"",VLOOKUP($A392,CTINTERVALO,3,0)),""))</f>
        <v/>
      </c>
      <c r="D392" s="249" t="str">
        <f>IF($B392="Não", "BLOQUEADO (Aguardar liberação)", IFERROR(IF(VLOOKUP($A392,CTINTERVALO,4,0)=0,"",VLOOKUP($A392,CTINTERVALO,4,0)),""))</f>
        <v/>
      </c>
      <c r="E392" s="249" t="str">
        <f>IF($B392="Não", "BLOQUEADO (Aguardar liberação)", "")</f>
        <v/>
      </c>
      <c r="F392" s="249" t="str">
        <f>IF($B392="Não", "BLOQUEADO (Aguardar liberação)", IFERROR(IF(VLOOKUP($A392,CTINTERVALO,6,0)=0,"",VLOOKUP($A392,CTINTERVALO,6,0)),""))</f>
        <v/>
      </c>
      <c r="G392" s="80"/>
      <c r="H392" s="80"/>
      <c r="I392" s="79"/>
      <c r="J392" s="79"/>
      <c r="K392" s="80"/>
    </row>
    <row r="393" spans="1:11">
      <c r="A393" s="93"/>
      <c r="B393" s="249" t="str">
        <f>IFERROR(IF(VLOOKUP($A393,CTINTERVALO,2,0)=0,"",VLOOKUP($A393,CTINTERVALO,2,0)),"")</f>
        <v/>
      </c>
      <c r="C393" s="249" t="str">
        <f>IF($B393="Não", "BLOQUEADO (Aguardar liberação)", IFERROR(IF(VLOOKUP($A393,CTINTERVALO,3,0)=0,"",VLOOKUP($A393,CTINTERVALO,3,0)),""))</f>
        <v/>
      </c>
      <c r="D393" s="249" t="str">
        <f>IF($B393="Não", "BLOQUEADO (Aguardar liberação)", IFERROR(IF(VLOOKUP($A393,CTINTERVALO,4,0)=0,"",VLOOKUP($A393,CTINTERVALO,4,0)),""))</f>
        <v/>
      </c>
      <c r="E393" s="249" t="str">
        <f>IF($B393="Não", "BLOQUEADO (Aguardar liberação)", "")</f>
        <v/>
      </c>
      <c r="F393" s="249" t="str">
        <f>IF($B393="Não", "BLOQUEADO (Aguardar liberação)", IFERROR(IF(VLOOKUP($A393,CTINTERVALO,6,0)=0,"",VLOOKUP($A393,CTINTERVALO,6,0)),""))</f>
        <v/>
      </c>
      <c r="G393" s="80"/>
      <c r="H393" s="80"/>
      <c r="I393" s="79"/>
      <c r="J393" s="79"/>
      <c r="K393" s="80"/>
    </row>
    <row r="394" spans="1:11">
      <c r="A394" s="93"/>
      <c r="B394" s="249" t="str">
        <f>IFERROR(IF(VLOOKUP($A394,CTINTERVALO,2,0)=0,"",VLOOKUP($A394,CTINTERVALO,2,0)),"")</f>
        <v/>
      </c>
      <c r="C394" s="249" t="str">
        <f>IF($B394="Não", "BLOQUEADO (Aguardar liberação)", IFERROR(IF(VLOOKUP($A394,CTINTERVALO,3,0)=0,"",VLOOKUP($A394,CTINTERVALO,3,0)),""))</f>
        <v/>
      </c>
      <c r="D394" s="249" t="str">
        <f>IF($B394="Não", "BLOQUEADO (Aguardar liberação)", IFERROR(IF(VLOOKUP($A394,CTINTERVALO,4,0)=0,"",VLOOKUP($A394,CTINTERVALO,4,0)),""))</f>
        <v/>
      </c>
      <c r="E394" s="249" t="str">
        <f>IF($B394="Não", "BLOQUEADO (Aguardar liberação)", "")</f>
        <v/>
      </c>
      <c r="F394" s="249" t="str">
        <f>IF($B394="Não", "BLOQUEADO (Aguardar liberação)", IFERROR(IF(VLOOKUP($A394,CTINTERVALO,6,0)=0,"",VLOOKUP($A394,CTINTERVALO,6,0)),""))</f>
        <v/>
      </c>
      <c r="G394" s="80"/>
      <c r="H394" s="80"/>
      <c r="I394" s="79"/>
      <c r="J394" s="79"/>
      <c r="K394" s="80"/>
    </row>
    <row r="395" spans="1:11">
      <c r="A395" s="93"/>
      <c r="B395" s="249" t="str">
        <f>IFERROR(IF(VLOOKUP($A395,CTINTERVALO,2,0)=0,"",VLOOKUP($A395,CTINTERVALO,2,0)),"")</f>
        <v/>
      </c>
      <c r="C395" s="249" t="str">
        <f>IF($B395="Não", "BLOQUEADO (Aguardar liberação)", IFERROR(IF(VLOOKUP($A395,CTINTERVALO,3,0)=0,"",VLOOKUP($A395,CTINTERVALO,3,0)),""))</f>
        <v/>
      </c>
      <c r="D395" s="249" t="str">
        <f>IF($B395="Não", "BLOQUEADO (Aguardar liberação)", IFERROR(IF(VLOOKUP($A395,CTINTERVALO,4,0)=0,"",VLOOKUP($A395,CTINTERVALO,4,0)),""))</f>
        <v/>
      </c>
      <c r="E395" s="249" t="str">
        <f>IF($B395="Não", "BLOQUEADO (Aguardar liberação)", "")</f>
        <v/>
      </c>
      <c r="F395" s="249" t="str">
        <f>IF($B395="Não", "BLOQUEADO (Aguardar liberação)", IFERROR(IF(VLOOKUP($A395,CTINTERVALO,6,0)=0,"",VLOOKUP($A395,CTINTERVALO,6,0)),""))</f>
        <v/>
      </c>
      <c r="G395" s="80"/>
      <c r="H395" s="80"/>
      <c r="I395" s="79"/>
      <c r="J395" s="79"/>
      <c r="K395" s="80"/>
    </row>
    <row r="396" spans="1:11">
      <c r="A396" s="93"/>
      <c r="B396" s="249" t="str">
        <f>IFERROR(IF(VLOOKUP($A396,CTINTERVALO,2,0)=0,"",VLOOKUP($A396,CTINTERVALO,2,0)),"")</f>
        <v/>
      </c>
      <c r="C396" s="249" t="str">
        <f>IF($B396="Não", "BLOQUEADO (Aguardar liberação)", IFERROR(IF(VLOOKUP($A396,CTINTERVALO,3,0)=0,"",VLOOKUP($A396,CTINTERVALO,3,0)),""))</f>
        <v/>
      </c>
      <c r="D396" s="249" t="str">
        <f>IF($B396="Não", "BLOQUEADO (Aguardar liberação)", IFERROR(IF(VLOOKUP($A396,CTINTERVALO,4,0)=0,"",VLOOKUP($A396,CTINTERVALO,4,0)),""))</f>
        <v/>
      </c>
      <c r="E396" s="249" t="str">
        <f>IF($B396="Não", "BLOQUEADO (Aguardar liberação)", "")</f>
        <v/>
      </c>
      <c r="F396" s="249" t="str">
        <f>IF($B396="Não", "BLOQUEADO (Aguardar liberação)", IFERROR(IF(VLOOKUP($A396,CTINTERVALO,6,0)=0,"",VLOOKUP($A396,CTINTERVALO,6,0)),""))</f>
        <v/>
      </c>
      <c r="G396" s="80"/>
      <c r="H396" s="80"/>
      <c r="I396" s="79"/>
      <c r="J396" s="79"/>
      <c r="K396" s="80"/>
    </row>
    <row r="397" spans="1:11">
      <c r="A397" s="93"/>
      <c r="B397" s="249" t="str">
        <f>IFERROR(IF(VLOOKUP($A397,CTINTERVALO,2,0)=0,"",VLOOKUP($A397,CTINTERVALO,2,0)),"")</f>
        <v/>
      </c>
      <c r="C397" s="249" t="str">
        <f>IF($B397="Não", "BLOQUEADO (Aguardar liberação)", IFERROR(IF(VLOOKUP($A397,CTINTERVALO,3,0)=0,"",VLOOKUP($A397,CTINTERVALO,3,0)),""))</f>
        <v/>
      </c>
      <c r="D397" s="249" t="str">
        <f>IF($B397="Não", "BLOQUEADO (Aguardar liberação)", IFERROR(IF(VLOOKUP($A397,CTINTERVALO,4,0)=0,"",VLOOKUP($A397,CTINTERVALO,4,0)),""))</f>
        <v/>
      </c>
      <c r="E397" s="249" t="str">
        <f>IF($B397="Não", "BLOQUEADO (Aguardar liberação)", "")</f>
        <v/>
      </c>
      <c r="F397" s="249" t="str">
        <f>IF($B397="Não", "BLOQUEADO (Aguardar liberação)", IFERROR(IF(VLOOKUP($A397,CTINTERVALO,6,0)=0,"",VLOOKUP($A397,CTINTERVALO,6,0)),""))</f>
        <v/>
      </c>
      <c r="G397" s="80"/>
      <c r="H397" s="80"/>
      <c r="I397" s="79"/>
      <c r="J397" s="79"/>
      <c r="K397" s="80"/>
    </row>
    <row r="398" spans="1:11">
      <c r="A398" s="93"/>
      <c r="B398" s="249" t="str">
        <f>IFERROR(IF(VLOOKUP($A398,CTINTERVALO,2,0)=0,"",VLOOKUP($A398,CTINTERVALO,2,0)),"")</f>
        <v/>
      </c>
      <c r="C398" s="249" t="str">
        <f>IF($B398="Não", "BLOQUEADO (Aguardar liberação)", IFERROR(IF(VLOOKUP($A398,CTINTERVALO,3,0)=0,"",VLOOKUP($A398,CTINTERVALO,3,0)),""))</f>
        <v/>
      </c>
      <c r="D398" s="249" t="str">
        <f>IF($B398="Não", "BLOQUEADO (Aguardar liberação)", IFERROR(IF(VLOOKUP($A398,CTINTERVALO,4,0)=0,"",VLOOKUP($A398,CTINTERVALO,4,0)),""))</f>
        <v/>
      </c>
      <c r="E398" s="249" t="str">
        <f>IF($B398="Não", "BLOQUEADO (Aguardar liberação)", "")</f>
        <v/>
      </c>
      <c r="F398" s="249" t="str">
        <f>IF($B398="Não", "BLOQUEADO (Aguardar liberação)", IFERROR(IF(VLOOKUP($A398,CTINTERVALO,6,0)=0,"",VLOOKUP($A398,CTINTERVALO,6,0)),""))</f>
        <v/>
      </c>
      <c r="G398" s="80"/>
      <c r="H398" s="80"/>
      <c r="I398" s="79"/>
      <c r="J398" s="79"/>
      <c r="K398" s="80"/>
    </row>
    <row r="399" spans="1:11">
      <c r="A399" s="93"/>
      <c r="B399" s="249" t="str">
        <f>IFERROR(IF(VLOOKUP($A399,CTINTERVALO,2,0)=0,"",VLOOKUP($A399,CTINTERVALO,2,0)),"")</f>
        <v/>
      </c>
      <c r="C399" s="249" t="str">
        <f>IF($B399="Não", "BLOQUEADO (Aguardar liberação)", IFERROR(IF(VLOOKUP($A399,CTINTERVALO,3,0)=0,"",VLOOKUP($A399,CTINTERVALO,3,0)),""))</f>
        <v/>
      </c>
      <c r="D399" s="249" t="str">
        <f>IF($B399="Não", "BLOQUEADO (Aguardar liberação)", IFERROR(IF(VLOOKUP($A399,CTINTERVALO,4,0)=0,"",VLOOKUP($A399,CTINTERVALO,4,0)),""))</f>
        <v/>
      </c>
      <c r="E399" s="249" t="str">
        <f>IF($B399="Não", "BLOQUEADO (Aguardar liberação)", "")</f>
        <v/>
      </c>
      <c r="F399" s="249" t="str">
        <f>IF($B399="Não", "BLOQUEADO (Aguardar liberação)", IFERROR(IF(VLOOKUP($A399,CTINTERVALO,6,0)=0,"",VLOOKUP($A399,CTINTERVALO,6,0)),""))</f>
        <v/>
      </c>
      <c r="G399" s="80"/>
      <c r="H399" s="80"/>
      <c r="I399" s="79"/>
      <c r="J399" s="79"/>
      <c r="K399" s="80"/>
    </row>
    <row r="400" spans="1:11">
      <c r="A400" s="93"/>
      <c r="B400" s="249" t="str">
        <f>IFERROR(IF(VLOOKUP($A400,CTINTERVALO,2,0)=0,"",VLOOKUP($A400,CTINTERVALO,2,0)),"")</f>
        <v/>
      </c>
      <c r="C400" s="249" t="str">
        <f>IF($B400="Não", "BLOQUEADO (Aguardar liberação)", IFERROR(IF(VLOOKUP($A400,CTINTERVALO,3,0)=0,"",VLOOKUP($A400,CTINTERVALO,3,0)),""))</f>
        <v/>
      </c>
      <c r="D400" s="249" t="str">
        <f>IF($B400="Não", "BLOQUEADO (Aguardar liberação)", IFERROR(IF(VLOOKUP($A400,CTINTERVALO,4,0)=0,"",VLOOKUP($A400,CTINTERVALO,4,0)),""))</f>
        <v/>
      </c>
      <c r="E400" s="249" t="str">
        <f>IF($B400="Não", "BLOQUEADO (Aguardar liberação)", "")</f>
        <v/>
      </c>
      <c r="F400" s="249" t="str">
        <f>IF($B400="Não", "BLOQUEADO (Aguardar liberação)", IFERROR(IF(VLOOKUP($A400,CTINTERVALO,6,0)=0,"",VLOOKUP($A400,CTINTERVALO,6,0)),""))</f>
        <v/>
      </c>
      <c r="G400" s="80"/>
      <c r="H400" s="80"/>
      <c r="I400" s="79"/>
      <c r="J400" s="79"/>
      <c r="K400" s="80"/>
    </row>
    <row r="401" spans="1:11">
      <c r="A401" s="93"/>
      <c r="B401" s="249" t="str">
        <f>IFERROR(IF(VLOOKUP($A401,CTINTERVALO,2,0)=0,"",VLOOKUP($A401,CTINTERVALO,2,0)),"")</f>
        <v/>
      </c>
      <c r="C401" s="249" t="str">
        <f>IF($B401="Não", "BLOQUEADO (Aguardar liberação)", IFERROR(IF(VLOOKUP($A401,CTINTERVALO,3,0)=0,"",VLOOKUP($A401,CTINTERVALO,3,0)),""))</f>
        <v/>
      </c>
      <c r="D401" s="249" t="str">
        <f>IF($B401="Não", "BLOQUEADO (Aguardar liberação)", IFERROR(IF(VLOOKUP($A401,CTINTERVALO,4,0)=0,"",VLOOKUP($A401,CTINTERVALO,4,0)),""))</f>
        <v/>
      </c>
      <c r="E401" s="249" t="str">
        <f>IF($B401="Não", "BLOQUEADO (Aguardar liberação)", "")</f>
        <v/>
      </c>
      <c r="F401" s="249" t="str">
        <f>IF($B401="Não", "BLOQUEADO (Aguardar liberação)", IFERROR(IF(VLOOKUP($A401,CTINTERVALO,6,0)=0,"",VLOOKUP($A401,CTINTERVALO,6,0)),""))</f>
        <v/>
      </c>
      <c r="G401" s="80" t="str">
        <f>IF($B401="Não", "BLOQUEADO (Aguardar liberação)", "")</f>
        <v/>
      </c>
      <c r="H401" s="80"/>
      <c r="I401" s="79"/>
      <c r="J401" s="79"/>
      <c r="K401" s="80"/>
    </row>
    <row r="402" spans="1:11">
      <c r="A402" s="93"/>
      <c r="B402" s="249" t="str">
        <f>IFERROR(IF(VLOOKUP($A402,CTINTERVALO,2,0)=0,"",VLOOKUP($A402,CTINTERVALO,2,0)),"")</f>
        <v/>
      </c>
      <c r="C402" s="249" t="str">
        <f>IF($B402="Não", "BLOQUEADO (Aguardar liberação)", IFERROR(IF(VLOOKUP($A402,CTINTERVALO,3,0)=0,"",VLOOKUP($A402,CTINTERVALO,3,0)),""))</f>
        <v/>
      </c>
      <c r="D402" s="249" t="str">
        <f>IF($B402="Não", "BLOQUEADO (Aguardar liberação)", IFERROR(IF(VLOOKUP($A402,CTINTERVALO,4,0)=0,"",VLOOKUP($A402,CTINTERVALO,4,0)),""))</f>
        <v/>
      </c>
      <c r="E402" s="249" t="str">
        <f>IF($B402="Não", "BLOQUEADO (Aguardar liberação)", "")</f>
        <v/>
      </c>
      <c r="F402" s="249" t="str">
        <f>IF($B402="Não", "BLOQUEADO (Aguardar liberação)", IFERROR(IF(VLOOKUP($A402,CTINTERVALO,6,0)=0,"",VLOOKUP($A402,CTINTERVALO,6,0)),""))</f>
        <v/>
      </c>
      <c r="G402" s="80" t="str">
        <f>IF($B402="Não", "BLOQUEADO (Aguardar liberação)", "")</f>
        <v/>
      </c>
      <c r="H402" s="80"/>
      <c r="I402" s="79"/>
      <c r="J402" s="79"/>
      <c r="K402" s="80"/>
    </row>
    <row r="403" spans="1:11">
      <c r="A403" s="93"/>
      <c r="B403" s="249" t="str">
        <f>IFERROR(IF(VLOOKUP($A403,CTINTERVALO,2,0)=0,"",VLOOKUP($A403,CTINTERVALO,2,0)),"")</f>
        <v/>
      </c>
      <c r="C403" s="249" t="str">
        <f>IF($B403="Não", "BLOQUEADO (Aguardar liberação)", IFERROR(IF(VLOOKUP($A403,CTINTERVALO,3,0)=0,"",VLOOKUP($A403,CTINTERVALO,3,0)),""))</f>
        <v/>
      </c>
      <c r="D403" s="249" t="str">
        <f>IF($B403="Não", "BLOQUEADO (Aguardar liberação)", IFERROR(IF(VLOOKUP($A403,CTINTERVALO,4,0)=0,"",VLOOKUP($A403,CTINTERVALO,4,0)),""))</f>
        <v/>
      </c>
      <c r="E403" s="249" t="str">
        <f>IF($B403="Não", "BLOQUEADO (Aguardar liberação)", "")</f>
        <v/>
      </c>
      <c r="F403" s="249" t="str">
        <f>IF($B403="Não", "BLOQUEADO (Aguardar liberação)", IFERROR(IF(VLOOKUP($A403,CTINTERVALO,6,0)=0,"",VLOOKUP($A403,CTINTERVALO,6,0)),""))</f>
        <v/>
      </c>
      <c r="G403" s="80" t="str">
        <f>IF($B403="Não", "BLOQUEADO (Aguardar liberação)", "")</f>
        <v/>
      </c>
      <c r="H403" s="80"/>
      <c r="I403" s="79"/>
      <c r="J403" s="79"/>
      <c r="K403" s="80"/>
    </row>
    <row r="404" spans="1:11">
      <c r="A404" s="93"/>
      <c r="B404" s="249" t="str">
        <f>IFERROR(IF(VLOOKUP($A404,CTINTERVALO,2,0)=0,"",VLOOKUP($A404,CTINTERVALO,2,0)),"")</f>
        <v/>
      </c>
      <c r="C404" s="249" t="str">
        <f>IF($B404="Não", "BLOQUEADO (Aguardar liberação)", IFERROR(IF(VLOOKUP($A404,CTINTERVALO,3,0)=0,"",VLOOKUP($A404,CTINTERVALO,3,0)),""))</f>
        <v/>
      </c>
      <c r="D404" s="249" t="str">
        <f>IF($B404="Não", "BLOQUEADO (Aguardar liberação)", IFERROR(IF(VLOOKUP($A404,CTINTERVALO,4,0)=0,"",VLOOKUP($A404,CTINTERVALO,4,0)),""))</f>
        <v/>
      </c>
      <c r="E404" s="249" t="str">
        <f>IF($B404="Não", "BLOQUEADO (Aguardar liberação)", "")</f>
        <v/>
      </c>
      <c r="F404" s="249" t="str">
        <f>IF($B404="Não", "BLOQUEADO (Aguardar liberação)", IFERROR(IF(VLOOKUP($A404,CTINTERVALO,6,0)=0,"",VLOOKUP($A404,CTINTERVALO,6,0)),""))</f>
        <v/>
      </c>
      <c r="G404" s="80" t="str">
        <f>IF($B404="Não", "BLOQUEADO (Aguardar liberação)", "")</f>
        <v/>
      </c>
      <c r="H404" s="80"/>
      <c r="I404" s="79"/>
      <c r="J404" s="79"/>
      <c r="K404" s="80"/>
    </row>
    <row r="405" spans="1:11">
      <c r="A405" s="93"/>
      <c r="B405" s="249" t="str">
        <f>IFERROR(IF(VLOOKUP($A405,CTINTERVALO,2,0)=0,"",VLOOKUP($A405,CTINTERVALO,2,0)),"")</f>
        <v/>
      </c>
      <c r="C405" s="249" t="str">
        <f>IF($B405="Não", "BLOQUEADO (Aguardar liberação)", IFERROR(IF(VLOOKUP($A405,CTINTERVALO,3,0)=0,"",VLOOKUP($A405,CTINTERVALO,3,0)),""))</f>
        <v/>
      </c>
      <c r="D405" s="249" t="str">
        <f>IF($B405="Não", "BLOQUEADO (Aguardar liberação)", IFERROR(IF(VLOOKUP($A405,CTINTERVALO,4,0)=0,"",VLOOKUP($A405,CTINTERVALO,4,0)),""))</f>
        <v/>
      </c>
      <c r="E405" s="249" t="str">
        <f>IF($B405="Não", "BLOQUEADO (Aguardar liberação)", "")</f>
        <v/>
      </c>
      <c r="F405" s="249" t="str">
        <f>IF($B405="Não", "BLOQUEADO (Aguardar liberação)", IFERROR(IF(VLOOKUP($A405,CTINTERVALO,6,0)=0,"",VLOOKUP($A405,CTINTERVALO,6,0)),""))</f>
        <v/>
      </c>
      <c r="G405" s="80" t="str">
        <f>IF($B405="Não", "BLOQUEADO (Aguardar liberação)", "")</f>
        <v/>
      </c>
      <c r="H405" s="80"/>
      <c r="I405" s="79"/>
      <c r="J405" s="79"/>
      <c r="K405" s="80"/>
    </row>
    <row r="406" spans="1:11">
      <c r="A406" s="93"/>
      <c r="B406" s="249" t="str">
        <f>IFERROR(IF(VLOOKUP($A406,CTINTERVALO,2,0)=0,"",VLOOKUP($A406,CTINTERVALO,2,0)),"")</f>
        <v/>
      </c>
      <c r="C406" s="249" t="str">
        <f>IF($B406="Não", "BLOQUEADO (Aguardar liberação)", IFERROR(IF(VLOOKUP($A406,CTINTERVALO,3,0)=0,"",VLOOKUP($A406,CTINTERVALO,3,0)),""))</f>
        <v/>
      </c>
      <c r="D406" s="249" t="str">
        <f>IF($B406="Não", "BLOQUEADO (Aguardar liberação)", IFERROR(IF(VLOOKUP($A406,CTINTERVALO,4,0)=0,"",VLOOKUP($A406,CTINTERVALO,4,0)),""))</f>
        <v/>
      </c>
      <c r="E406" s="249" t="str">
        <f>IF($B406="Não", "BLOQUEADO (Aguardar liberação)", "")</f>
        <v/>
      </c>
      <c r="F406" s="249" t="str">
        <f>IF($B406="Não", "BLOQUEADO (Aguardar liberação)", IFERROR(IF(VLOOKUP($A406,CTINTERVALO,6,0)=0,"",VLOOKUP($A406,CTINTERVALO,6,0)),""))</f>
        <v/>
      </c>
      <c r="G406" s="80" t="str">
        <f>IF($B406="Não", "BLOQUEADO (Aguardar liberação)", "")</f>
        <v/>
      </c>
      <c r="H406" s="80"/>
      <c r="I406" s="79"/>
      <c r="J406" s="79"/>
      <c r="K406" s="80"/>
    </row>
    <row r="407" spans="1:11">
      <c r="A407" s="93"/>
      <c r="B407" s="249" t="str">
        <f>IFERROR(IF(VLOOKUP($A407,CTINTERVALO,2,0)=0,"",VLOOKUP($A407,CTINTERVALO,2,0)),"")</f>
        <v/>
      </c>
      <c r="C407" s="249" t="str">
        <f>IF($B407="Não", "BLOQUEADO (Aguardar liberação)", IFERROR(IF(VLOOKUP($A407,CTINTERVALO,3,0)=0,"",VLOOKUP($A407,CTINTERVALO,3,0)),""))</f>
        <v/>
      </c>
      <c r="D407" s="249" t="str">
        <f>IF($B407="Não", "BLOQUEADO (Aguardar liberação)", IFERROR(IF(VLOOKUP($A407,CTINTERVALO,4,0)=0,"",VLOOKUP($A407,CTINTERVALO,4,0)),""))</f>
        <v/>
      </c>
      <c r="E407" s="249" t="str">
        <f>IF($B407="Não", "BLOQUEADO (Aguardar liberação)", "")</f>
        <v/>
      </c>
      <c r="F407" s="249" t="str">
        <f>IF($B407="Não", "BLOQUEADO (Aguardar liberação)", IFERROR(IF(VLOOKUP($A407,CTINTERVALO,6,0)=0,"",VLOOKUP($A407,CTINTERVALO,6,0)),""))</f>
        <v/>
      </c>
      <c r="G407" s="80" t="str">
        <f>IF($B407="Não", "BLOQUEADO (Aguardar liberação)", "")</f>
        <v/>
      </c>
      <c r="H407" s="80"/>
      <c r="I407" s="79"/>
      <c r="J407" s="79"/>
      <c r="K407" s="80"/>
    </row>
    <row r="408" spans="1:11">
      <c r="A408" s="93"/>
      <c r="B408" s="249" t="str">
        <f>IFERROR(IF(VLOOKUP($A408,CTINTERVALO,2,0)=0,"",VLOOKUP($A408,CTINTERVALO,2,0)),"")</f>
        <v/>
      </c>
      <c r="C408" s="249" t="str">
        <f>IF($B408="Não", "BLOQUEADO (Aguardar liberação)", IFERROR(IF(VLOOKUP($A408,CTINTERVALO,3,0)=0,"",VLOOKUP($A408,CTINTERVALO,3,0)),""))</f>
        <v/>
      </c>
      <c r="D408" s="249" t="str">
        <f>IF($B408="Não", "BLOQUEADO (Aguardar liberação)", IFERROR(IF(VLOOKUP($A408,CTINTERVALO,4,0)=0,"",VLOOKUP($A408,CTINTERVALO,4,0)),""))</f>
        <v/>
      </c>
      <c r="E408" s="249" t="str">
        <f>IF($B408="Não", "BLOQUEADO (Aguardar liberação)", "")</f>
        <v/>
      </c>
      <c r="F408" s="249" t="str">
        <f>IF($B408="Não", "BLOQUEADO (Aguardar liberação)", IFERROR(IF(VLOOKUP($A408,CTINTERVALO,6,0)=0,"",VLOOKUP($A408,CTINTERVALO,6,0)),""))</f>
        <v/>
      </c>
      <c r="G408" s="80" t="str">
        <f>IF($B408="Não", "BLOQUEADO (Aguardar liberação)", "")</f>
        <v/>
      </c>
      <c r="H408" s="80"/>
      <c r="I408" s="79"/>
      <c r="J408" s="79"/>
      <c r="K408" s="80"/>
    </row>
    <row r="409" spans="1:11">
      <c r="A409" s="93"/>
      <c r="B409" s="249" t="str">
        <f>IFERROR(IF(VLOOKUP($A409,CTINTERVALO,2,0)=0,"",VLOOKUP($A409,CTINTERVALO,2,0)),"")</f>
        <v/>
      </c>
      <c r="C409" s="249" t="str">
        <f>IF($B409="Não", "BLOQUEADO (Aguardar liberação)", IFERROR(IF(VLOOKUP($A409,CTINTERVALO,3,0)=0,"",VLOOKUP($A409,CTINTERVALO,3,0)),""))</f>
        <v/>
      </c>
      <c r="D409" s="249" t="str">
        <f>IF($B409="Não", "BLOQUEADO (Aguardar liberação)", IFERROR(IF(VLOOKUP($A409,CTINTERVALO,4,0)=0,"",VLOOKUP($A409,CTINTERVALO,4,0)),""))</f>
        <v/>
      </c>
      <c r="E409" s="249" t="str">
        <f>IF($B409="Não", "BLOQUEADO (Aguardar liberação)", "")</f>
        <v/>
      </c>
      <c r="F409" s="249" t="str">
        <f>IF($B409="Não", "BLOQUEADO (Aguardar liberação)", IFERROR(IF(VLOOKUP($A409,CTINTERVALO,6,0)=0,"",VLOOKUP($A409,CTINTERVALO,6,0)),""))</f>
        <v/>
      </c>
      <c r="G409" s="80" t="str">
        <f>IF($B409="Não", "BLOQUEADO (Aguardar liberação)", "")</f>
        <v/>
      </c>
      <c r="H409" s="80"/>
      <c r="I409" s="79"/>
      <c r="J409" s="79"/>
      <c r="K409" s="80"/>
    </row>
    <row r="410" spans="1:11">
      <c r="A410" s="93"/>
      <c r="B410" s="249" t="str">
        <f>IFERROR(IF(VLOOKUP($A410,CTINTERVALO,2,0)=0,"",VLOOKUP($A410,CTINTERVALO,2,0)),"")</f>
        <v/>
      </c>
      <c r="C410" s="249" t="str">
        <f>IF($B410="Não", "BLOQUEADO (Aguardar liberação)", IFERROR(IF(VLOOKUP($A410,CTINTERVALO,3,0)=0,"",VLOOKUP($A410,CTINTERVALO,3,0)),""))</f>
        <v/>
      </c>
      <c r="D410" s="249" t="str">
        <f>IF($B410="Não", "BLOQUEADO (Aguardar liberação)", IFERROR(IF(VLOOKUP($A410,CTINTERVALO,4,0)=0,"",VLOOKUP($A410,CTINTERVALO,4,0)),""))</f>
        <v/>
      </c>
      <c r="E410" s="249" t="str">
        <f>IF($B410="Não", "BLOQUEADO (Aguardar liberação)", "")</f>
        <v/>
      </c>
      <c r="F410" s="249" t="str">
        <f>IF($B410="Não", "BLOQUEADO (Aguardar liberação)", IFERROR(IF(VLOOKUP($A410,CTINTERVALO,6,0)=0,"",VLOOKUP($A410,CTINTERVALO,6,0)),""))</f>
        <v/>
      </c>
      <c r="G410" s="80" t="str">
        <f>IF($B410="Não", "BLOQUEADO (Aguardar liberação)", "")</f>
        <v/>
      </c>
      <c r="H410" s="80"/>
      <c r="I410" s="79"/>
      <c r="J410" s="79"/>
      <c r="K410" s="80"/>
    </row>
    <row r="411" spans="1:11">
      <c r="A411" s="93"/>
      <c r="B411" s="249" t="str">
        <f>IFERROR(IF(VLOOKUP($A411,CTINTERVALO,2,0)=0,"",VLOOKUP($A411,CTINTERVALO,2,0)),"")</f>
        <v/>
      </c>
      <c r="C411" s="249" t="str">
        <f>IF($B411="Não", "BLOQUEADO (Aguardar liberação)", IFERROR(IF(VLOOKUP($A411,CTINTERVALO,3,0)=0,"",VLOOKUP($A411,CTINTERVALO,3,0)),""))</f>
        <v/>
      </c>
      <c r="D411" s="249" t="str">
        <f>IF($B411="Não", "BLOQUEADO (Aguardar liberação)", IFERROR(IF(VLOOKUP($A411,CTINTERVALO,4,0)=0,"",VLOOKUP($A411,CTINTERVALO,4,0)),""))</f>
        <v/>
      </c>
      <c r="E411" s="249" t="str">
        <f>IF($B411="Não", "BLOQUEADO (Aguardar liberação)", "")</f>
        <v/>
      </c>
      <c r="F411" s="249" t="str">
        <f>IF($B411="Não", "BLOQUEADO (Aguardar liberação)", IFERROR(IF(VLOOKUP($A411,CTINTERVALO,6,0)=0,"",VLOOKUP($A411,CTINTERVALO,6,0)),""))</f>
        <v/>
      </c>
      <c r="G411" s="80" t="str">
        <f>IF($B411="Não", "BLOQUEADO (Aguardar liberação)", "")</f>
        <v/>
      </c>
      <c r="H411" s="80"/>
      <c r="I411" s="79"/>
      <c r="J411" s="79"/>
      <c r="K411" s="80"/>
    </row>
    <row r="412" spans="1:11">
      <c r="A412" s="93"/>
      <c r="B412" s="249" t="str">
        <f>IFERROR(IF(VLOOKUP($A412,CTINTERVALO,2,0)=0,"",VLOOKUP($A412,CTINTERVALO,2,0)),"")</f>
        <v/>
      </c>
      <c r="C412" s="249" t="str">
        <f>IF($B412="Não", "BLOQUEADO (Aguardar liberação)", IFERROR(IF(VLOOKUP($A412,CTINTERVALO,3,0)=0,"",VLOOKUP($A412,CTINTERVALO,3,0)),""))</f>
        <v/>
      </c>
      <c r="D412" s="249" t="str">
        <f>IF($B412="Não", "BLOQUEADO (Aguardar liberação)", IFERROR(IF(VLOOKUP($A412,CTINTERVALO,4,0)=0,"",VLOOKUP($A412,CTINTERVALO,4,0)),""))</f>
        <v/>
      </c>
      <c r="E412" s="249" t="str">
        <f>IF($B412="Não", "BLOQUEADO (Aguardar liberação)", "")</f>
        <v/>
      </c>
      <c r="F412" s="249" t="str">
        <f>IF($B412="Não", "BLOQUEADO (Aguardar liberação)", IFERROR(IF(VLOOKUP($A412,CTINTERVALO,6,0)=0,"",VLOOKUP($A412,CTINTERVALO,6,0)),""))</f>
        <v/>
      </c>
      <c r="G412" s="80" t="str">
        <f>IF($B412="Não", "BLOQUEADO (Aguardar liberação)", "")</f>
        <v/>
      </c>
      <c r="H412" s="80"/>
      <c r="I412" s="79"/>
      <c r="J412" s="79"/>
      <c r="K412" s="80"/>
    </row>
    <row r="413" spans="1:11">
      <c r="A413" s="93"/>
      <c r="B413" s="249" t="str">
        <f>IFERROR(IF(VLOOKUP($A413,CTINTERVALO,2,0)=0,"",VLOOKUP($A413,CTINTERVALO,2,0)),"")</f>
        <v/>
      </c>
      <c r="C413" s="249" t="str">
        <f>IF($B413="Não", "BLOQUEADO (Aguardar liberação)", IFERROR(IF(VLOOKUP($A413,CTINTERVALO,3,0)=0,"",VLOOKUP($A413,CTINTERVALO,3,0)),""))</f>
        <v/>
      </c>
      <c r="D413" s="249" t="str">
        <f>IF($B413="Não", "BLOQUEADO (Aguardar liberação)", IFERROR(IF(VLOOKUP($A413,CTINTERVALO,4,0)=0,"",VLOOKUP($A413,CTINTERVALO,4,0)),""))</f>
        <v/>
      </c>
      <c r="E413" s="249" t="str">
        <f>IF($B413="Não", "BLOQUEADO (Aguardar liberação)", "")</f>
        <v/>
      </c>
      <c r="F413" s="249" t="str">
        <f>IF($B413="Não", "BLOQUEADO (Aguardar liberação)", IFERROR(IF(VLOOKUP($A413,CTINTERVALO,6,0)=0,"",VLOOKUP($A413,CTINTERVALO,6,0)),""))</f>
        <v/>
      </c>
      <c r="G413" s="80" t="str">
        <f>IF($B413="Não", "BLOQUEADO (Aguardar liberação)", "")</f>
        <v/>
      </c>
      <c r="H413" s="80"/>
      <c r="I413" s="79"/>
      <c r="J413" s="79"/>
      <c r="K413" s="80"/>
    </row>
    <row r="414" spans="1:11">
      <c r="A414" s="93"/>
      <c r="B414" s="249" t="str">
        <f>IFERROR(IF(VLOOKUP($A414,CTINTERVALO,2,0)=0,"",VLOOKUP($A414,CTINTERVALO,2,0)),"")</f>
        <v/>
      </c>
      <c r="C414" s="249" t="str">
        <f>IF($B414="Não", "BLOQUEADO (Aguardar liberação)", IFERROR(IF(VLOOKUP($A414,CTINTERVALO,3,0)=0,"",VLOOKUP($A414,CTINTERVALO,3,0)),""))</f>
        <v/>
      </c>
      <c r="D414" s="249" t="str">
        <f>IF($B414="Não", "BLOQUEADO (Aguardar liberação)", IFERROR(IF(VLOOKUP($A414,CTINTERVALO,4,0)=0,"",VLOOKUP($A414,CTINTERVALO,4,0)),""))</f>
        <v/>
      </c>
      <c r="E414" s="249" t="str">
        <f>IF($B414="Não", "BLOQUEADO (Aguardar liberação)", "")</f>
        <v/>
      </c>
      <c r="F414" s="249" t="str">
        <f>IF($B414="Não", "BLOQUEADO (Aguardar liberação)", IFERROR(IF(VLOOKUP($A414,CTINTERVALO,6,0)=0,"",VLOOKUP($A414,CTINTERVALO,6,0)),""))</f>
        <v/>
      </c>
      <c r="G414" s="80" t="str">
        <f>IF($B414="Não", "BLOQUEADO (Aguardar liberação)", "")</f>
        <v/>
      </c>
      <c r="H414" s="80"/>
      <c r="I414" s="79"/>
      <c r="J414" s="79"/>
      <c r="K414" s="80"/>
    </row>
    <row r="415" spans="1:11">
      <c r="A415" s="93"/>
      <c r="B415" s="249" t="str">
        <f>IFERROR(IF(VLOOKUP($A415,CTINTERVALO,2,0)=0,"",VLOOKUP($A415,CTINTERVALO,2,0)),"")</f>
        <v/>
      </c>
      <c r="C415" s="249" t="str">
        <f>IF($B415="Não", "BLOQUEADO (Aguardar liberação)", IFERROR(IF(VLOOKUP($A415,CTINTERVALO,3,0)=0,"",VLOOKUP($A415,CTINTERVALO,3,0)),""))</f>
        <v/>
      </c>
      <c r="D415" s="249" t="str">
        <f>IF($B415="Não", "BLOQUEADO (Aguardar liberação)", IFERROR(IF(VLOOKUP($A415,CTINTERVALO,4,0)=0,"",VLOOKUP($A415,CTINTERVALO,4,0)),""))</f>
        <v/>
      </c>
      <c r="E415" s="249" t="str">
        <f>IF($B415="Não", "BLOQUEADO (Aguardar liberação)", "")</f>
        <v/>
      </c>
      <c r="F415" s="249" t="str">
        <f>IF($B415="Não", "BLOQUEADO (Aguardar liberação)", IFERROR(IF(VLOOKUP($A415,CTINTERVALO,6,0)=0,"",VLOOKUP($A415,CTINTERVALO,6,0)),""))</f>
        <v/>
      </c>
      <c r="G415" s="80" t="str">
        <f>IF($B415="Não", "BLOQUEADO (Aguardar liberação)", "")</f>
        <v/>
      </c>
      <c r="H415" s="80"/>
      <c r="I415" s="79"/>
      <c r="J415" s="79"/>
      <c r="K415" s="80"/>
    </row>
    <row r="416" spans="1:11">
      <c r="A416" s="93"/>
      <c r="B416" s="249" t="str">
        <f>IFERROR(IF(VLOOKUP($A416,CTINTERVALO,2,0)=0,"",VLOOKUP($A416,CTINTERVALO,2,0)),"")</f>
        <v/>
      </c>
      <c r="C416" s="249" t="str">
        <f>IF($B416="Não", "BLOQUEADO (Aguardar liberação)", IFERROR(IF(VLOOKUP($A416,CTINTERVALO,3,0)=0,"",VLOOKUP($A416,CTINTERVALO,3,0)),""))</f>
        <v/>
      </c>
      <c r="D416" s="249" t="str">
        <f>IF($B416="Não", "BLOQUEADO (Aguardar liberação)", IFERROR(IF(VLOOKUP($A416,CTINTERVALO,4,0)=0,"",VLOOKUP($A416,CTINTERVALO,4,0)),""))</f>
        <v/>
      </c>
      <c r="E416" s="249" t="str">
        <f>IF($B416="Não", "BLOQUEADO (Aguardar liberação)", "")</f>
        <v/>
      </c>
      <c r="F416" s="249" t="str">
        <f>IF($B416="Não", "BLOQUEADO (Aguardar liberação)", IFERROR(IF(VLOOKUP($A416,CTINTERVALO,6,0)=0,"",VLOOKUP($A416,CTINTERVALO,6,0)),""))</f>
        <v/>
      </c>
      <c r="G416" s="80" t="str">
        <f>IF($B416="Não", "BLOQUEADO (Aguardar liberação)", "")</f>
        <v/>
      </c>
      <c r="H416" s="80"/>
      <c r="I416" s="79"/>
      <c r="J416" s="79"/>
      <c r="K416" s="80"/>
    </row>
    <row r="417" spans="1:11">
      <c r="A417" s="93"/>
      <c r="B417" s="249" t="str">
        <f>IFERROR(IF(VLOOKUP($A417,CTINTERVALO,2,0)=0,"",VLOOKUP($A417,CTINTERVALO,2,0)),"")</f>
        <v/>
      </c>
      <c r="C417" s="249" t="str">
        <f>IF($B417="Não", "BLOQUEADO (Aguardar liberação)", IFERROR(IF(VLOOKUP($A417,CTINTERVALO,3,0)=0,"",VLOOKUP($A417,CTINTERVALO,3,0)),""))</f>
        <v/>
      </c>
      <c r="D417" s="249" t="str">
        <f>IF($B417="Não", "BLOQUEADO (Aguardar liberação)", IFERROR(IF(VLOOKUP($A417,CTINTERVALO,4,0)=0,"",VLOOKUP($A417,CTINTERVALO,4,0)),""))</f>
        <v/>
      </c>
      <c r="E417" s="249" t="str">
        <f>IF($B417="Não", "BLOQUEADO (Aguardar liberação)", "")</f>
        <v/>
      </c>
      <c r="F417" s="249" t="str">
        <f>IF($B417="Não", "BLOQUEADO (Aguardar liberação)", IFERROR(IF(VLOOKUP($A417,CTINTERVALO,6,0)=0,"",VLOOKUP($A417,CTINTERVALO,6,0)),""))</f>
        <v/>
      </c>
      <c r="G417" s="80" t="str">
        <f>IF($B417="Não", "BLOQUEADO (Aguardar liberação)", "")</f>
        <v/>
      </c>
      <c r="H417" s="80"/>
      <c r="I417" s="79"/>
      <c r="J417" s="79"/>
      <c r="K417" s="80"/>
    </row>
    <row r="418" spans="1:11">
      <c r="A418" s="93"/>
      <c r="B418" s="249" t="str">
        <f>IFERROR(IF(VLOOKUP($A418,CTINTERVALO,2,0)=0,"",VLOOKUP($A418,CTINTERVALO,2,0)),"")</f>
        <v/>
      </c>
      <c r="C418" s="249" t="str">
        <f>IF($B418="Não", "BLOQUEADO (Aguardar liberação)", IFERROR(IF(VLOOKUP($A418,CTINTERVALO,3,0)=0,"",VLOOKUP($A418,CTINTERVALO,3,0)),""))</f>
        <v/>
      </c>
      <c r="D418" s="249" t="str">
        <f>IF($B418="Não", "BLOQUEADO (Aguardar liberação)", IFERROR(IF(VLOOKUP($A418,CTINTERVALO,4,0)=0,"",VLOOKUP($A418,CTINTERVALO,4,0)),""))</f>
        <v/>
      </c>
      <c r="E418" s="249" t="str">
        <f>IF($B418="Não", "BLOQUEADO (Aguardar liberação)", "")</f>
        <v/>
      </c>
      <c r="F418" s="249" t="str">
        <f>IF($B418="Não", "BLOQUEADO (Aguardar liberação)", IFERROR(IF(VLOOKUP($A418,CTINTERVALO,6,0)=0,"",VLOOKUP($A418,CTINTERVALO,6,0)),""))</f>
        <v/>
      </c>
      <c r="G418" s="80" t="str">
        <f>IF($B418="Não", "BLOQUEADO (Aguardar liberação)", "")</f>
        <v/>
      </c>
      <c r="H418" s="80"/>
      <c r="I418" s="79"/>
      <c r="J418" s="79"/>
      <c r="K418" s="80"/>
    </row>
    <row r="419" spans="1:11">
      <c r="A419" s="93"/>
      <c r="B419" s="249" t="str">
        <f>IFERROR(IF(VLOOKUP($A419,CTINTERVALO,2,0)=0,"",VLOOKUP($A419,CTINTERVALO,2,0)),"")</f>
        <v/>
      </c>
      <c r="C419" s="249" t="str">
        <f>IF($B419="Não", "BLOQUEADO (Aguardar liberação)", IFERROR(IF(VLOOKUP($A419,CTINTERVALO,3,0)=0,"",VLOOKUP($A419,CTINTERVALO,3,0)),""))</f>
        <v/>
      </c>
      <c r="D419" s="249" t="str">
        <f>IF($B419="Não", "BLOQUEADO (Aguardar liberação)", IFERROR(IF(VLOOKUP($A419,CTINTERVALO,4,0)=0,"",VLOOKUP($A419,CTINTERVALO,4,0)),""))</f>
        <v/>
      </c>
      <c r="E419" s="249" t="str">
        <f>IF($B419="Não", "BLOQUEADO (Aguardar liberação)", "")</f>
        <v/>
      </c>
      <c r="F419" s="249" t="str">
        <f>IF($B419="Não", "BLOQUEADO (Aguardar liberação)", IFERROR(IF(VLOOKUP($A419,CTINTERVALO,6,0)=0,"",VLOOKUP($A419,CTINTERVALO,6,0)),""))</f>
        <v/>
      </c>
      <c r="G419" s="80" t="str">
        <f>IF($B419="Não", "BLOQUEADO (Aguardar liberação)", "")</f>
        <v/>
      </c>
      <c r="H419" s="80"/>
      <c r="I419" s="79"/>
      <c r="J419" s="79"/>
      <c r="K419" s="80"/>
    </row>
    <row r="420" spans="1:11">
      <c r="A420" s="93"/>
      <c r="B420" s="249" t="str">
        <f>IFERROR(IF(VLOOKUP($A420,CTINTERVALO,2,0)=0,"",VLOOKUP($A420,CTINTERVALO,2,0)),"")</f>
        <v/>
      </c>
      <c r="C420" s="249" t="str">
        <f>IF($B420="Não", "BLOQUEADO (Aguardar liberação)", IFERROR(IF(VLOOKUP($A420,CTINTERVALO,3,0)=0,"",VLOOKUP($A420,CTINTERVALO,3,0)),""))</f>
        <v/>
      </c>
      <c r="D420" s="249" t="str">
        <f>IF($B420="Não", "BLOQUEADO (Aguardar liberação)", IFERROR(IF(VLOOKUP($A420,CTINTERVALO,4,0)=0,"",VLOOKUP($A420,CTINTERVALO,4,0)),""))</f>
        <v/>
      </c>
      <c r="E420" s="249" t="str">
        <f>IF($B420="Não", "BLOQUEADO (Aguardar liberação)", "")</f>
        <v/>
      </c>
      <c r="F420" s="249" t="str">
        <f>IF($B420="Não", "BLOQUEADO (Aguardar liberação)", IFERROR(IF(VLOOKUP($A420,CTINTERVALO,6,0)=0,"",VLOOKUP($A420,CTINTERVALO,6,0)),""))</f>
        <v/>
      </c>
      <c r="G420" s="80" t="str">
        <f>IF($B420="Não", "BLOQUEADO (Aguardar liberação)", "")</f>
        <v/>
      </c>
      <c r="H420" s="80"/>
      <c r="I420" s="79"/>
      <c r="J420" s="79"/>
      <c r="K420" s="80"/>
    </row>
    <row r="421" spans="1:11">
      <c r="A421" s="93"/>
      <c r="B421" s="249" t="str">
        <f>IFERROR(IF(VLOOKUP($A421,CTINTERVALO,2,0)=0,"",VLOOKUP($A421,CTINTERVALO,2,0)),"")</f>
        <v/>
      </c>
      <c r="C421" s="249" t="str">
        <f>IF($B421="Não", "BLOQUEADO (Aguardar liberação)", IFERROR(IF(VLOOKUP($A421,CTINTERVALO,3,0)=0,"",VLOOKUP($A421,CTINTERVALO,3,0)),""))</f>
        <v/>
      </c>
      <c r="D421" s="249" t="str">
        <f>IF($B421="Não", "BLOQUEADO (Aguardar liberação)", IFERROR(IF(VLOOKUP($A421,CTINTERVALO,4,0)=0,"",VLOOKUP($A421,CTINTERVALO,4,0)),""))</f>
        <v/>
      </c>
      <c r="E421" s="249" t="str">
        <f>IF($B421="Não", "BLOQUEADO (Aguardar liberação)", "")</f>
        <v/>
      </c>
      <c r="F421" s="249" t="str">
        <f>IF($B421="Não", "BLOQUEADO (Aguardar liberação)", IFERROR(IF(VLOOKUP($A421,CTINTERVALO,6,0)=0,"",VLOOKUP($A421,CTINTERVALO,6,0)),""))</f>
        <v/>
      </c>
      <c r="G421" s="80" t="str">
        <f>IF($B421="Não", "BLOQUEADO (Aguardar liberação)", "")</f>
        <v/>
      </c>
      <c r="H421" s="80"/>
      <c r="I421" s="79"/>
      <c r="J421" s="79"/>
      <c r="K421" s="80"/>
    </row>
    <row r="422" spans="1:11">
      <c r="A422" s="93"/>
      <c r="B422" s="249" t="str">
        <f>IFERROR(IF(VLOOKUP($A422,CTINTERVALO,2,0)=0,"",VLOOKUP($A422,CTINTERVALO,2,0)),"")</f>
        <v/>
      </c>
      <c r="C422" s="249" t="str">
        <f>IF($B422="Não", "BLOQUEADO (Aguardar liberação)", IFERROR(IF(VLOOKUP($A422,CTINTERVALO,3,0)=0,"",VLOOKUP($A422,CTINTERVALO,3,0)),""))</f>
        <v/>
      </c>
      <c r="D422" s="249" t="str">
        <f>IF($B422="Não", "BLOQUEADO (Aguardar liberação)", IFERROR(IF(VLOOKUP($A422,CTINTERVALO,4,0)=0,"",VLOOKUP($A422,CTINTERVALO,4,0)),""))</f>
        <v/>
      </c>
      <c r="E422" s="249" t="str">
        <f>IF($B422="Não", "BLOQUEADO (Aguardar liberação)", "")</f>
        <v/>
      </c>
      <c r="F422" s="249" t="str">
        <f>IF($B422="Não", "BLOQUEADO (Aguardar liberação)", IFERROR(IF(VLOOKUP($A422,CTINTERVALO,6,0)=0,"",VLOOKUP($A422,CTINTERVALO,6,0)),""))</f>
        <v/>
      </c>
      <c r="G422" s="80" t="str">
        <f>IF($B422="Não", "BLOQUEADO (Aguardar liberação)", "")</f>
        <v/>
      </c>
      <c r="H422" s="80"/>
      <c r="I422" s="79"/>
      <c r="J422" s="79"/>
      <c r="K422" s="80"/>
    </row>
    <row r="423" spans="1:11">
      <c r="A423" s="93"/>
      <c r="B423" s="249" t="str">
        <f>IFERROR(IF(VLOOKUP($A423,CTINTERVALO,2,0)=0,"",VLOOKUP($A423,CTINTERVALO,2,0)),"")</f>
        <v/>
      </c>
      <c r="C423" s="249" t="str">
        <f>IF($B423="Não", "BLOQUEADO (Aguardar liberação)", IFERROR(IF(VLOOKUP($A423,CTINTERVALO,3,0)=0,"",VLOOKUP($A423,CTINTERVALO,3,0)),""))</f>
        <v/>
      </c>
      <c r="D423" s="249" t="str">
        <f>IF($B423="Não", "BLOQUEADO (Aguardar liberação)", IFERROR(IF(VLOOKUP($A423,CTINTERVALO,4,0)=0,"",VLOOKUP($A423,CTINTERVALO,4,0)),""))</f>
        <v/>
      </c>
      <c r="E423" s="249" t="str">
        <f>IF($B423="Não", "BLOQUEADO (Aguardar liberação)", "")</f>
        <v/>
      </c>
      <c r="F423" s="249" t="str">
        <f>IF($B423="Não", "BLOQUEADO (Aguardar liberação)", IFERROR(IF(VLOOKUP($A423,CTINTERVALO,6,0)=0,"",VLOOKUP($A423,CTINTERVALO,6,0)),""))</f>
        <v/>
      </c>
      <c r="G423" s="80" t="str">
        <f>IF($B423="Não", "BLOQUEADO (Aguardar liberação)", "")</f>
        <v/>
      </c>
      <c r="H423" s="80"/>
      <c r="I423" s="79"/>
      <c r="J423" s="79"/>
      <c r="K423" s="80"/>
    </row>
    <row r="424" spans="1:11">
      <c r="A424" s="93"/>
      <c r="B424" s="249" t="str">
        <f>IFERROR(IF(VLOOKUP($A424,CTINTERVALO,2,0)=0,"",VLOOKUP($A424,CTINTERVALO,2,0)),"")</f>
        <v/>
      </c>
      <c r="C424" s="249" t="str">
        <f>IF($B424="Não", "BLOQUEADO (Aguardar liberação)", IFERROR(IF(VLOOKUP($A424,CTINTERVALO,3,0)=0,"",VLOOKUP($A424,CTINTERVALO,3,0)),""))</f>
        <v/>
      </c>
      <c r="D424" s="249" t="str">
        <f>IF($B424="Não", "BLOQUEADO (Aguardar liberação)", IFERROR(IF(VLOOKUP($A424,CTINTERVALO,4,0)=0,"",VLOOKUP($A424,CTINTERVALO,4,0)),""))</f>
        <v/>
      </c>
      <c r="E424" s="249" t="str">
        <f>IF($B424="Não", "BLOQUEADO (Aguardar liberação)", "")</f>
        <v/>
      </c>
      <c r="F424" s="249" t="str">
        <f>IF($B424="Não", "BLOQUEADO (Aguardar liberação)", IFERROR(IF(VLOOKUP($A424,CTINTERVALO,6,0)=0,"",VLOOKUP($A424,CTINTERVALO,6,0)),""))</f>
        <v/>
      </c>
      <c r="G424" s="80" t="str">
        <f>IF($B424="Não", "BLOQUEADO (Aguardar liberação)", "")</f>
        <v/>
      </c>
      <c r="H424" s="80"/>
      <c r="I424" s="79"/>
      <c r="J424" s="79"/>
      <c r="K424" s="80"/>
    </row>
    <row r="425" spans="1:11">
      <c r="A425" s="93"/>
      <c r="B425" s="249" t="str">
        <f>IFERROR(IF(VLOOKUP($A425,CTINTERVALO,2,0)=0,"",VLOOKUP($A425,CTINTERVALO,2,0)),"")</f>
        <v/>
      </c>
      <c r="C425" s="249" t="str">
        <f>IF($B425="Não", "BLOQUEADO (Aguardar liberação)", IFERROR(IF(VLOOKUP($A425,CTINTERVALO,3,0)=0,"",VLOOKUP($A425,CTINTERVALO,3,0)),""))</f>
        <v/>
      </c>
      <c r="D425" s="249" t="str">
        <f>IF($B425="Não", "BLOQUEADO (Aguardar liberação)", IFERROR(IF(VLOOKUP($A425,CTINTERVALO,4,0)=0,"",VLOOKUP($A425,CTINTERVALO,4,0)),""))</f>
        <v/>
      </c>
      <c r="E425" s="249" t="str">
        <f>IF($B425="Não", "BLOQUEADO (Aguardar liberação)", "")</f>
        <v/>
      </c>
      <c r="F425" s="249" t="str">
        <f>IF($B425="Não", "BLOQUEADO (Aguardar liberação)", IFERROR(IF(VLOOKUP($A425,CTINTERVALO,6,0)=0,"",VLOOKUP($A425,CTINTERVALO,6,0)),""))</f>
        <v/>
      </c>
      <c r="G425" s="80" t="str">
        <f>IF($B425="Não", "BLOQUEADO (Aguardar liberação)", "")</f>
        <v/>
      </c>
      <c r="H425" s="80"/>
      <c r="I425" s="79"/>
      <c r="J425" s="79"/>
      <c r="K425" s="80"/>
    </row>
    <row r="426" spans="1:11">
      <c r="A426" s="93"/>
      <c r="B426" s="249" t="str">
        <f>IFERROR(IF(VLOOKUP($A426,CTINTERVALO,2,0)=0,"",VLOOKUP($A426,CTINTERVALO,2,0)),"")</f>
        <v/>
      </c>
      <c r="C426" s="249" t="str">
        <f>IF($B426="Não", "BLOQUEADO (Aguardar liberação)", IFERROR(IF(VLOOKUP($A426,CTINTERVALO,3,0)=0,"",VLOOKUP($A426,CTINTERVALO,3,0)),""))</f>
        <v/>
      </c>
      <c r="D426" s="249" t="str">
        <f>IF($B426="Não", "BLOQUEADO (Aguardar liberação)", IFERROR(IF(VLOOKUP($A426,CTINTERVALO,4,0)=0,"",VLOOKUP($A426,CTINTERVALO,4,0)),""))</f>
        <v/>
      </c>
      <c r="E426" s="249" t="str">
        <f>IF($B426="Não", "BLOQUEADO (Aguardar liberação)", "")</f>
        <v/>
      </c>
      <c r="F426" s="249" t="str">
        <f>IF($B426="Não", "BLOQUEADO (Aguardar liberação)", IFERROR(IF(VLOOKUP($A426,CTINTERVALO,6,0)=0,"",VLOOKUP($A426,CTINTERVALO,6,0)),""))</f>
        <v/>
      </c>
      <c r="G426" s="80" t="str">
        <f>IF($B426="Não", "BLOQUEADO (Aguardar liberação)", "")</f>
        <v/>
      </c>
      <c r="H426" s="80"/>
      <c r="I426" s="79"/>
      <c r="J426" s="79"/>
      <c r="K426" s="80"/>
    </row>
    <row r="427" spans="1:11">
      <c r="A427" s="93"/>
      <c r="B427" s="249" t="str">
        <f>IFERROR(IF(VLOOKUP($A427,CTINTERVALO,2,0)=0,"",VLOOKUP($A427,CTINTERVALO,2,0)),"")</f>
        <v/>
      </c>
      <c r="C427" s="249" t="str">
        <f>IF($B427="Não", "BLOQUEADO (Aguardar liberação)", IFERROR(IF(VLOOKUP($A427,CTINTERVALO,3,0)=0,"",VLOOKUP($A427,CTINTERVALO,3,0)),""))</f>
        <v/>
      </c>
      <c r="D427" s="249" t="str">
        <f>IF($B427="Não", "BLOQUEADO (Aguardar liberação)", IFERROR(IF(VLOOKUP($A427,CTINTERVALO,4,0)=0,"",VLOOKUP($A427,CTINTERVALO,4,0)),""))</f>
        <v/>
      </c>
      <c r="E427" s="249" t="str">
        <f>IF($B427="Não", "BLOQUEADO (Aguardar liberação)", "")</f>
        <v/>
      </c>
      <c r="F427" s="249" t="str">
        <f>IF($B427="Não", "BLOQUEADO (Aguardar liberação)", IFERROR(IF(VLOOKUP($A427,CTINTERVALO,6,0)=0,"",VLOOKUP($A427,CTINTERVALO,6,0)),""))</f>
        <v/>
      </c>
      <c r="G427" s="80" t="str">
        <f>IF($B427="Não", "BLOQUEADO (Aguardar liberação)", "")</f>
        <v/>
      </c>
      <c r="H427" s="80"/>
      <c r="I427" s="79"/>
      <c r="J427" s="79"/>
      <c r="K427" s="80"/>
    </row>
    <row r="428" spans="1:11">
      <c r="A428" s="93"/>
      <c r="B428" s="249" t="str">
        <f>IFERROR(IF(VLOOKUP($A428,CTINTERVALO,2,0)=0,"",VLOOKUP($A428,CTINTERVALO,2,0)),"")</f>
        <v/>
      </c>
      <c r="C428" s="249" t="str">
        <f>IF($B428="Não", "BLOQUEADO (Aguardar liberação)", IFERROR(IF(VLOOKUP($A428,CTINTERVALO,3,0)=0,"",VLOOKUP($A428,CTINTERVALO,3,0)),""))</f>
        <v/>
      </c>
      <c r="D428" s="249" t="str">
        <f>IF($B428="Não", "BLOQUEADO (Aguardar liberação)", IFERROR(IF(VLOOKUP($A428,CTINTERVALO,4,0)=0,"",VLOOKUP($A428,CTINTERVALO,4,0)),""))</f>
        <v/>
      </c>
      <c r="E428" s="249" t="str">
        <f>IF($B428="Não", "BLOQUEADO (Aguardar liberação)", "")</f>
        <v/>
      </c>
      <c r="F428" s="249" t="str">
        <f>IF($B428="Não", "BLOQUEADO (Aguardar liberação)", IFERROR(IF(VLOOKUP($A428,CTINTERVALO,6,0)=0,"",VLOOKUP($A428,CTINTERVALO,6,0)),""))</f>
        <v/>
      </c>
      <c r="G428" s="80" t="str">
        <f>IF($B428="Não", "BLOQUEADO (Aguardar liberação)", "")</f>
        <v/>
      </c>
      <c r="H428" s="80"/>
      <c r="I428" s="79"/>
      <c r="J428" s="79"/>
      <c r="K428" s="80"/>
    </row>
    <row r="429" spans="1:11">
      <c r="A429" s="93"/>
      <c r="B429" s="249" t="str">
        <f>IFERROR(IF(VLOOKUP($A429,CTINTERVALO,2,0)=0,"",VLOOKUP($A429,CTINTERVALO,2,0)),"")</f>
        <v/>
      </c>
      <c r="C429" s="249" t="str">
        <f>IF($B429="Não", "BLOQUEADO (Aguardar liberação)", IFERROR(IF(VLOOKUP($A429,CTINTERVALO,3,0)=0,"",VLOOKUP($A429,CTINTERVALO,3,0)),""))</f>
        <v/>
      </c>
      <c r="D429" s="249" t="str">
        <f>IF($B429="Não", "BLOQUEADO (Aguardar liberação)", IFERROR(IF(VLOOKUP($A429,CTINTERVALO,4,0)=0,"",VLOOKUP($A429,CTINTERVALO,4,0)),""))</f>
        <v/>
      </c>
      <c r="E429" s="249" t="str">
        <f>IF($B429="Não", "BLOQUEADO (Aguardar liberação)", "")</f>
        <v/>
      </c>
      <c r="F429" s="249" t="str">
        <f>IF($B429="Não", "BLOQUEADO (Aguardar liberação)", IFERROR(IF(VLOOKUP($A429,CTINTERVALO,6,0)=0,"",VLOOKUP($A429,CTINTERVALO,6,0)),""))</f>
        <v/>
      </c>
      <c r="G429" s="80" t="str">
        <f>IF($B429="Não", "BLOQUEADO (Aguardar liberação)", "")</f>
        <v/>
      </c>
      <c r="H429" s="80"/>
      <c r="I429" s="79"/>
      <c r="J429" s="79"/>
      <c r="K429" s="80"/>
    </row>
    <row r="430" spans="1:11">
      <c r="A430" s="93"/>
      <c r="B430" s="249" t="str">
        <f>IFERROR(IF(VLOOKUP($A430,CTINTERVALO,2,0)=0,"",VLOOKUP($A430,CTINTERVALO,2,0)),"")</f>
        <v/>
      </c>
      <c r="C430" s="249" t="str">
        <f>IF($B430="Não", "BLOQUEADO (Aguardar liberação)", IFERROR(IF(VLOOKUP($A430,CTINTERVALO,3,0)=0,"",VLOOKUP($A430,CTINTERVALO,3,0)),""))</f>
        <v/>
      </c>
      <c r="D430" s="249" t="str">
        <f>IF($B430="Não", "BLOQUEADO (Aguardar liberação)", IFERROR(IF(VLOOKUP($A430,CTINTERVALO,4,0)=0,"",VLOOKUP($A430,CTINTERVALO,4,0)),""))</f>
        <v/>
      </c>
      <c r="E430" s="249" t="str">
        <f>IF($B430="Não", "BLOQUEADO (Aguardar liberação)", "")</f>
        <v/>
      </c>
      <c r="F430" s="249" t="str">
        <f>IF($B430="Não", "BLOQUEADO (Aguardar liberação)", IFERROR(IF(VLOOKUP($A430,CTINTERVALO,6,0)=0,"",VLOOKUP($A430,CTINTERVALO,6,0)),""))</f>
        <v/>
      </c>
      <c r="G430" s="80" t="str">
        <f>IF($B430="Não", "BLOQUEADO (Aguardar liberação)", "")</f>
        <v/>
      </c>
      <c r="H430" s="80"/>
      <c r="I430" s="79"/>
      <c r="J430" s="79"/>
      <c r="K430" s="80"/>
    </row>
    <row r="431" spans="1:11">
      <c r="A431" s="93"/>
      <c r="B431" s="249" t="str">
        <f>IFERROR(IF(VLOOKUP($A431,CTINTERVALO,2,0)=0,"",VLOOKUP($A431,CTINTERVALO,2,0)),"")</f>
        <v/>
      </c>
      <c r="C431" s="249" t="str">
        <f>IF($B431="Não", "BLOQUEADO (Aguardar liberação)", IFERROR(IF(VLOOKUP($A431,CTINTERVALO,3,0)=0,"",VLOOKUP($A431,CTINTERVALO,3,0)),""))</f>
        <v/>
      </c>
      <c r="D431" s="249" t="str">
        <f>IF($B431="Não", "BLOQUEADO (Aguardar liberação)", IFERROR(IF(VLOOKUP($A431,CTINTERVALO,4,0)=0,"",VLOOKUP($A431,CTINTERVALO,4,0)),""))</f>
        <v/>
      </c>
      <c r="E431" s="249" t="str">
        <f>IF($B431="Não", "BLOQUEADO (Aguardar liberação)", "")</f>
        <v/>
      </c>
      <c r="F431" s="249" t="str">
        <f>IF($B431="Não", "BLOQUEADO (Aguardar liberação)", IFERROR(IF(VLOOKUP($A431,CTINTERVALO,6,0)=0,"",VLOOKUP($A431,CTINTERVALO,6,0)),""))</f>
        <v/>
      </c>
      <c r="G431" s="80" t="str">
        <f>IF($B431="Não", "BLOQUEADO (Aguardar liberação)", "")</f>
        <v/>
      </c>
      <c r="H431" s="80"/>
      <c r="I431" s="79"/>
      <c r="J431" s="79"/>
      <c r="K431" s="80"/>
    </row>
    <row r="432" spans="1:11">
      <c r="A432" s="93"/>
      <c r="B432" s="249" t="str">
        <f>IFERROR(IF(VLOOKUP($A432,CTINTERVALO,2,0)=0,"",VLOOKUP($A432,CTINTERVALO,2,0)),"")</f>
        <v/>
      </c>
      <c r="C432" s="249" t="str">
        <f>IF($B432="Não", "BLOQUEADO (Aguardar liberação)", IFERROR(IF(VLOOKUP($A432,CTINTERVALO,3,0)=0,"",VLOOKUP($A432,CTINTERVALO,3,0)),""))</f>
        <v/>
      </c>
      <c r="D432" s="249" t="str">
        <f>IF($B432="Não", "BLOQUEADO (Aguardar liberação)", IFERROR(IF(VLOOKUP($A432,CTINTERVALO,4,0)=0,"",VLOOKUP($A432,CTINTERVALO,4,0)),""))</f>
        <v/>
      </c>
      <c r="E432" s="249" t="str">
        <f>IF($B432="Não", "BLOQUEADO (Aguardar liberação)", "")</f>
        <v/>
      </c>
      <c r="F432" s="249" t="str">
        <f>IF($B432="Não", "BLOQUEADO (Aguardar liberação)", IFERROR(IF(VLOOKUP($A432,CTINTERVALO,6,0)=0,"",VLOOKUP($A432,CTINTERVALO,6,0)),""))</f>
        <v/>
      </c>
      <c r="G432" s="80" t="str">
        <f>IF($B432="Não", "BLOQUEADO (Aguardar liberação)", "")</f>
        <v/>
      </c>
      <c r="H432" s="80"/>
      <c r="I432" s="79"/>
      <c r="J432" s="79"/>
      <c r="K432" s="80"/>
    </row>
    <row r="433" spans="1:11">
      <c r="A433" s="93"/>
      <c r="B433" s="249" t="str">
        <f>IFERROR(IF(VLOOKUP($A433,CTINTERVALO,2,0)=0,"",VLOOKUP($A433,CTINTERVALO,2,0)),"")</f>
        <v/>
      </c>
      <c r="C433" s="249" t="str">
        <f>IF($B433="Não", "BLOQUEADO (Aguardar liberação)", IFERROR(IF(VLOOKUP($A433,CTINTERVALO,3,0)=0,"",VLOOKUP($A433,CTINTERVALO,3,0)),""))</f>
        <v/>
      </c>
      <c r="D433" s="249" t="str">
        <f>IF($B433="Não", "BLOQUEADO (Aguardar liberação)", IFERROR(IF(VLOOKUP($A433,CTINTERVALO,4,0)=0,"",VLOOKUP($A433,CTINTERVALO,4,0)),""))</f>
        <v/>
      </c>
      <c r="E433" s="249" t="str">
        <f>IF($B433="Não", "BLOQUEADO (Aguardar liberação)", "")</f>
        <v/>
      </c>
      <c r="F433" s="249" t="str">
        <f>IF($B433="Não", "BLOQUEADO (Aguardar liberação)", IFERROR(IF(VLOOKUP($A433,CTINTERVALO,6,0)=0,"",VLOOKUP($A433,CTINTERVALO,6,0)),""))</f>
        <v/>
      </c>
      <c r="G433" s="80" t="str">
        <f>IF($B433="Não", "BLOQUEADO (Aguardar liberação)", "")</f>
        <v/>
      </c>
      <c r="H433" s="80"/>
      <c r="I433" s="79"/>
      <c r="J433" s="79"/>
      <c r="K433" s="80"/>
    </row>
    <row r="434" spans="1:11">
      <c r="A434" s="93"/>
      <c r="B434" s="249" t="str">
        <f>IFERROR(IF(VLOOKUP($A434,CTINTERVALO,2,0)=0,"",VLOOKUP($A434,CTINTERVALO,2,0)),"")</f>
        <v/>
      </c>
      <c r="C434" s="249" t="str">
        <f>IF($B434="Não", "BLOQUEADO (Aguardar liberação)", IFERROR(IF(VLOOKUP($A434,CTINTERVALO,3,0)=0,"",VLOOKUP($A434,CTINTERVALO,3,0)),""))</f>
        <v/>
      </c>
      <c r="D434" s="249" t="str">
        <f>IF($B434="Não", "BLOQUEADO (Aguardar liberação)", IFERROR(IF(VLOOKUP($A434,CTINTERVALO,4,0)=0,"",VLOOKUP($A434,CTINTERVALO,4,0)),""))</f>
        <v/>
      </c>
      <c r="E434" s="249" t="str">
        <f>IF($B434="Não", "BLOQUEADO (Aguardar liberação)", "")</f>
        <v/>
      </c>
      <c r="F434" s="249" t="str">
        <f>IF($B434="Não", "BLOQUEADO (Aguardar liberação)", IFERROR(IF(VLOOKUP($A434,CTINTERVALO,6,0)=0,"",VLOOKUP($A434,CTINTERVALO,6,0)),""))</f>
        <v/>
      </c>
      <c r="G434" s="80" t="str">
        <f>IF($B434="Não", "BLOQUEADO (Aguardar liberação)", "")</f>
        <v/>
      </c>
      <c r="H434" s="80"/>
      <c r="I434" s="79"/>
      <c r="J434" s="79"/>
      <c r="K434" s="80"/>
    </row>
    <row r="435" spans="1:11">
      <c r="A435" s="93"/>
      <c r="B435" s="249" t="str">
        <f>IFERROR(IF(VLOOKUP($A435,CTINTERVALO,2,0)=0,"",VLOOKUP($A435,CTINTERVALO,2,0)),"")</f>
        <v/>
      </c>
      <c r="C435" s="249" t="str">
        <f>IF($B435="Não", "BLOQUEADO (Aguardar liberação)", IFERROR(IF(VLOOKUP($A435,CTINTERVALO,3,0)=0,"",VLOOKUP($A435,CTINTERVALO,3,0)),""))</f>
        <v/>
      </c>
      <c r="D435" s="249" t="str">
        <f>IF($B435="Não", "BLOQUEADO (Aguardar liberação)", IFERROR(IF(VLOOKUP($A435,CTINTERVALO,4,0)=0,"",VLOOKUP($A435,CTINTERVALO,4,0)),""))</f>
        <v/>
      </c>
      <c r="E435" s="249" t="str">
        <f>IF($B435="Não", "BLOQUEADO (Aguardar liberação)", "")</f>
        <v/>
      </c>
      <c r="F435" s="249" t="str">
        <f>IF($B435="Não", "BLOQUEADO (Aguardar liberação)", IFERROR(IF(VLOOKUP($A435,CTINTERVALO,6,0)=0,"",VLOOKUP($A435,CTINTERVALO,6,0)),""))</f>
        <v/>
      </c>
      <c r="G435" s="80" t="str">
        <f>IF($B435="Não", "BLOQUEADO (Aguardar liberação)", "")</f>
        <v/>
      </c>
      <c r="H435" s="80"/>
      <c r="I435" s="79"/>
      <c r="J435" s="79"/>
      <c r="K435" s="80"/>
    </row>
    <row r="436" spans="1:11">
      <c r="A436" s="93"/>
      <c r="B436" s="249" t="str">
        <f>IFERROR(IF(VLOOKUP($A436,CTINTERVALO,2,0)=0,"",VLOOKUP($A436,CTINTERVALO,2,0)),"")</f>
        <v/>
      </c>
      <c r="C436" s="249" t="str">
        <f>IF($B436="Não", "BLOQUEADO (Aguardar liberação)", IFERROR(IF(VLOOKUP($A436,CTINTERVALO,3,0)=0,"",VLOOKUP($A436,CTINTERVALO,3,0)),""))</f>
        <v/>
      </c>
      <c r="D436" s="249" t="str">
        <f>IF($B436="Não", "BLOQUEADO (Aguardar liberação)", IFERROR(IF(VLOOKUP($A436,CTINTERVALO,4,0)=0,"",VLOOKUP($A436,CTINTERVALO,4,0)),""))</f>
        <v/>
      </c>
      <c r="E436" s="249" t="str">
        <f>IF($B436="Não", "BLOQUEADO (Aguardar liberação)", "")</f>
        <v/>
      </c>
      <c r="F436" s="249" t="str">
        <f>IF($B436="Não", "BLOQUEADO (Aguardar liberação)", IFERROR(IF(VLOOKUP($A436,CTINTERVALO,6,0)=0,"",VLOOKUP($A436,CTINTERVALO,6,0)),""))</f>
        <v/>
      </c>
      <c r="G436" s="80" t="str">
        <f>IF($B436="Não", "BLOQUEADO (Aguardar liberação)", "")</f>
        <v/>
      </c>
      <c r="H436" s="80"/>
      <c r="I436" s="79"/>
      <c r="J436" s="79"/>
      <c r="K436" s="80"/>
    </row>
    <row r="437" spans="1:11">
      <c r="A437" s="93"/>
      <c r="B437" s="249" t="str">
        <f>IFERROR(IF(VLOOKUP($A437,CTINTERVALO,2,0)=0,"",VLOOKUP($A437,CTINTERVALO,2,0)),"")</f>
        <v/>
      </c>
      <c r="C437" s="249" t="str">
        <f>IF($B437="Não", "BLOQUEADO (Aguardar liberação)", IFERROR(IF(VLOOKUP($A437,CTINTERVALO,3,0)=0,"",VLOOKUP($A437,CTINTERVALO,3,0)),""))</f>
        <v/>
      </c>
      <c r="D437" s="249" t="str">
        <f>IF($B437="Não", "BLOQUEADO (Aguardar liberação)", IFERROR(IF(VLOOKUP($A437,CTINTERVALO,4,0)=0,"",VLOOKUP($A437,CTINTERVALO,4,0)),""))</f>
        <v/>
      </c>
      <c r="E437" s="249" t="str">
        <f>IF($B437="Não", "BLOQUEADO (Aguardar liberação)", "")</f>
        <v/>
      </c>
      <c r="F437" s="249" t="str">
        <f>IF($B437="Não", "BLOQUEADO (Aguardar liberação)", IFERROR(IF(VLOOKUP($A437,CTINTERVALO,6,0)=0,"",VLOOKUP($A437,CTINTERVALO,6,0)),""))</f>
        <v/>
      </c>
      <c r="G437" s="80" t="str">
        <f>IF($B437="Não", "BLOQUEADO (Aguardar liberação)", "")</f>
        <v/>
      </c>
      <c r="H437" s="80"/>
      <c r="I437" s="79"/>
      <c r="J437" s="79"/>
      <c r="K437" s="80"/>
    </row>
    <row r="438" spans="1:11">
      <c r="A438" s="93"/>
      <c r="B438" s="249" t="str">
        <f>IFERROR(IF(VLOOKUP($A438,CTINTERVALO,2,0)=0,"",VLOOKUP($A438,CTINTERVALO,2,0)),"")</f>
        <v/>
      </c>
      <c r="C438" s="249" t="str">
        <f>IF($B438="Não", "BLOQUEADO (Aguardar liberação)", IFERROR(IF(VLOOKUP($A438,CTINTERVALO,3,0)=0,"",VLOOKUP($A438,CTINTERVALO,3,0)),""))</f>
        <v/>
      </c>
      <c r="D438" s="249" t="str">
        <f>IF($B438="Não", "BLOQUEADO (Aguardar liberação)", IFERROR(IF(VLOOKUP($A438,CTINTERVALO,4,0)=0,"",VLOOKUP($A438,CTINTERVALO,4,0)),""))</f>
        <v/>
      </c>
      <c r="E438" s="249" t="str">
        <f>IF($B438="Não", "BLOQUEADO (Aguardar liberação)", "")</f>
        <v/>
      </c>
      <c r="F438" s="249" t="str">
        <f>IF($B438="Não", "BLOQUEADO (Aguardar liberação)", IFERROR(IF(VLOOKUP($A438,CTINTERVALO,6,0)=0,"",VLOOKUP($A438,CTINTERVALO,6,0)),""))</f>
        <v/>
      </c>
      <c r="G438" s="80" t="str">
        <f>IF($B438="Não", "BLOQUEADO (Aguardar liberação)", "")</f>
        <v/>
      </c>
      <c r="H438" s="80"/>
      <c r="I438" s="79"/>
      <c r="J438" s="79"/>
      <c r="K438" s="80"/>
    </row>
    <row r="439" spans="1:11">
      <c r="A439" s="93"/>
      <c r="B439" s="249" t="str">
        <f>IFERROR(IF(VLOOKUP($A439,CTINTERVALO,2,0)=0,"",VLOOKUP($A439,CTINTERVALO,2,0)),"")</f>
        <v/>
      </c>
      <c r="C439" s="249" t="str">
        <f>IF($B439="Não", "BLOQUEADO (Aguardar liberação)", IFERROR(IF(VLOOKUP($A439,CTINTERVALO,3,0)=0,"",VLOOKUP($A439,CTINTERVALO,3,0)),""))</f>
        <v/>
      </c>
      <c r="D439" s="249" t="str">
        <f>IF($B439="Não", "BLOQUEADO (Aguardar liberação)", IFERROR(IF(VLOOKUP($A439,CTINTERVALO,4,0)=0,"",VLOOKUP($A439,CTINTERVALO,4,0)),""))</f>
        <v/>
      </c>
      <c r="E439" s="249" t="str">
        <f>IF($B439="Não", "BLOQUEADO (Aguardar liberação)", "")</f>
        <v/>
      </c>
      <c r="F439" s="249" t="str">
        <f>IF($B439="Não", "BLOQUEADO (Aguardar liberação)", IFERROR(IF(VLOOKUP($A439,CTINTERVALO,6,0)=0,"",VLOOKUP($A439,CTINTERVALO,6,0)),""))</f>
        <v/>
      </c>
      <c r="G439" s="80" t="str">
        <f>IF($B439="Não", "BLOQUEADO (Aguardar liberação)", "")</f>
        <v/>
      </c>
      <c r="H439" s="80"/>
      <c r="I439" s="79"/>
      <c r="J439" s="79"/>
      <c r="K439" s="80"/>
    </row>
    <row r="440" spans="1:11">
      <c r="A440" s="93"/>
      <c r="B440" s="249" t="str">
        <f>IFERROR(IF(VLOOKUP($A440,CTINTERVALO,2,0)=0,"",VLOOKUP($A440,CTINTERVALO,2,0)),"")</f>
        <v/>
      </c>
      <c r="C440" s="249" t="str">
        <f>IF($B440="Não", "BLOQUEADO (Aguardar liberação)", IFERROR(IF(VLOOKUP($A440,CTINTERVALO,3,0)=0,"",VLOOKUP($A440,CTINTERVALO,3,0)),""))</f>
        <v/>
      </c>
      <c r="D440" s="249" t="str">
        <f>IF($B440="Não", "BLOQUEADO (Aguardar liberação)", IFERROR(IF(VLOOKUP($A440,CTINTERVALO,4,0)=0,"",VLOOKUP($A440,CTINTERVALO,4,0)),""))</f>
        <v/>
      </c>
      <c r="E440" s="249" t="str">
        <f>IF($B440="Não", "BLOQUEADO (Aguardar liberação)", "")</f>
        <v/>
      </c>
      <c r="F440" s="249" t="str">
        <f>IF($B440="Não", "BLOQUEADO (Aguardar liberação)", IFERROR(IF(VLOOKUP($A440,CTINTERVALO,6,0)=0,"",VLOOKUP($A440,CTINTERVALO,6,0)),""))</f>
        <v/>
      </c>
      <c r="G440" s="80" t="str">
        <f>IF($B440="Não", "BLOQUEADO (Aguardar liberação)", "")</f>
        <v/>
      </c>
      <c r="H440" s="80"/>
      <c r="I440" s="79"/>
      <c r="J440" s="79"/>
      <c r="K440" s="80"/>
    </row>
    <row r="441" spans="1:11">
      <c r="A441" s="93"/>
      <c r="B441" s="249" t="str">
        <f>IFERROR(IF(VLOOKUP($A441,CTINTERVALO,2,0)=0,"",VLOOKUP($A441,CTINTERVALO,2,0)),"")</f>
        <v/>
      </c>
      <c r="C441" s="249" t="str">
        <f>IF($B441="Não", "BLOQUEADO (Aguardar liberação)", IFERROR(IF(VLOOKUP($A441,CTINTERVALO,3,0)=0,"",VLOOKUP($A441,CTINTERVALO,3,0)),""))</f>
        <v/>
      </c>
      <c r="D441" s="249" t="str">
        <f>IF($B441="Não", "BLOQUEADO (Aguardar liberação)", IFERROR(IF(VLOOKUP($A441,CTINTERVALO,4,0)=0,"",VLOOKUP($A441,CTINTERVALO,4,0)),""))</f>
        <v/>
      </c>
      <c r="E441" s="249" t="str">
        <f>IF($B441="Não", "BLOQUEADO (Aguardar liberação)", "")</f>
        <v/>
      </c>
      <c r="F441" s="249" t="str">
        <f>IF($B441="Não", "BLOQUEADO (Aguardar liberação)", IFERROR(IF(VLOOKUP($A441,CTINTERVALO,6,0)=0,"",VLOOKUP($A441,CTINTERVALO,6,0)),""))</f>
        <v/>
      </c>
      <c r="G441" s="80" t="str">
        <f>IF($B441="Não", "BLOQUEADO (Aguardar liberação)", "")</f>
        <v/>
      </c>
      <c r="H441" s="80"/>
      <c r="I441" s="79"/>
      <c r="J441" s="79"/>
      <c r="K441" s="80"/>
    </row>
    <row r="442" spans="1:11">
      <c r="A442" s="93"/>
      <c r="B442" s="249" t="str">
        <f>IFERROR(IF(VLOOKUP($A442,CTINTERVALO,2,0)=0,"",VLOOKUP($A442,CTINTERVALO,2,0)),"")</f>
        <v/>
      </c>
      <c r="C442" s="249" t="str">
        <f>IF($B442="Não", "BLOQUEADO (Aguardar liberação)", IFERROR(IF(VLOOKUP($A442,CTINTERVALO,3,0)=0,"",VLOOKUP($A442,CTINTERVALO,3,0)),""))</f>
        <v/>
      </c>
      <c r="D442" s="249" t="str">
        <f>IF($B442="Não", "BLOQUEADO (Aguardar liberação)", IFERROR(IF(VLOOKUP($A442,CTINTERVALO,4,0)=0,"",VLOOKUP($A442,CTINTERVALO,4,0)),""))</f>
        <v/>
      </c>
      <c r="E442" s="249" t="str">
        <f>IF($B442="Não", "BLOQUEADO (Aguardar liberação)", "")</f>
        <v/>
      </c>
      <c r="F442" s="249" t="str">
        <f>IF($B442="Não", "BLOQUEADO (Aguardar liberação)", IFERROR(IF(VLOOKUP($A442,CTINTERVALO,6,0)=0,"",VLOOKUP($A442,CTINTERVALO,6,0)),""))</f>
        <v/>
      </c>
      <c r="G442" s="80" t="str">
        <f>IF($B442="Não", "BLOQUEADO (Aguardar liberação)", "")</f>
        <v/>
      </c>
      <c r="H442" s="80"/>
      <c r="I442" s="79"/>
      <c r="J442" s="79"/>
      <c r="K442" s="80"/>
    </row>
    <row r="443" spans="1:11">
      <c r="A443" s="93"/>
      <c r="B443" s="249" t="str">
        <f>IFERROR(IF(VLOOKUP($A443,CTINTERVALO,2,0)=0,"",VLOOKUP($A443,CTINTERVALO,2,0)),"")</f>
        <v/>
      </c>
      <c r="C443" s="249" t="str">
        <f>IF($B443="Não", "BLOQUEADO (Aguardar liberação)", IFERROR(IF(VLOOKUP($A443,CTINTERVALO,3,0)=0,"",VLOOKUP($A443,CTINTERVALO,3,0)),""))</f>
        <v/>
      </c>
      <c r="D443" s="249" t="str">
        <f>IF($B443="Não", "BLOQUEADO (Aguardar liberação)", IFERROR(IF(VLOOKUP($A443,CTINTERVALO,4,0)=0,"",VLOOKUP($A443,CTINTERVALO,4,0)),""))</f>
        <v/>
      </c>
      <c r="E443" s="249" t="str">
        <f>IF($B443="Não", "BLOQUEADO (Aguardar liberação)", "")</f>
        <v/>
      </c>
      <c r="F443" s="249" t="str">
        <f>IF($B443="Não", "BLOQUEADO (Aguardar liberação)", IFERROR(IF(VLOOKUP($A443,CTINTERVALO,6,0)=0,"",VLOOKUP($A443,CTINTERVALO,6,0)),""))</f>
        <v/>
      </c>
      <c r="G443" s="80" t="str">
        <f>IF($B443="Não", "BLOQUEADO (Aguardar liberação)", "")</f>
        <v/>
      </c>
      <c r="H443" s="80"/>
      <c r="I443" s="79"/>
      <c r="J443" s="79"/>
      <c r="K443" s="80"/>
    </row>
    <row r="444" spans="1:11">
      <c r="A444" s="93"/>
      <c r="B444" s="249" t="str">
        <f>IFERROR(IF(VLOOKUP($A444,CTINTERVALO,2,0)=0,"",VLOOKUP($A444,CTINTERVALO,2,0)),"")</f>
        <v/>
      </c>
      <c r="C444" s="249" t="str">
        <f>IF($B444="Não", "BLOQUEADO (Aguardar liberação)", IFERROR(IF(VLOOKUP($A444,CTINTERVALO,3,0)=0,"",VLOOKUP($A444,CTINTERVALO,3,0)),""))</f>
        <v/>
      </c>
      <c r="D444" s="249" t="str">
        <f>IF($B444="Não", "BLOQUEADO (Aguardar liberação)", IFERROR(IF(VLOOKUP($A444,CTINTERVALO,4,0)=0,"",VLOOKUP($A444,CTINTERVALO,4,0)),""))</f>
        <v/>
      </c>
      <c r="E444" s="249" t="str">
        <f>IF($B444="Não", "BLOQUEADO (Aguardar liberação)", "")</f>
        <v/>
      </c>
      <c r="F444" s="249" t="str">
        <f>IF($B444="Não", "BLOQUEADO (Aguardar liberação)", IFERROR(IF(VLOOKUP($A444,CTINTERVALO,6,0)=0,"",VLOOKUP($A444,CTINTERVALO,6,0)),""))</f>
        <v/>
      </c>
      <c r="G444" s="80" t="str">
        <f>IF($B444="Não", "BLOQUEADO (Aguardar liberação)", "")</f>
        <v/>
      </c>
      <c r="H444" s="80"/>
      <c r="I444" s="79"/>
      <c r="J444" s="79"/>
      <c r="K444" s="80"/>
    </row>
    <row r="445" spans="1:11">
      <c r="A445" s="93"/>
      <c r="B445" s="249" t="str">
        <f>IFERROR(IF(VLOOKUP($A445,CTINTERVALO,2,0)=0,"",VLOOKUP($A445,CTINTERVALO,2,0)),"")</f>
        <v/>
      </c>
      <c r="C445" s="249" t="str">
        <f>IF($B445="Não", "BLOQUEADO (Aguardar liberação)", IFERROR(IF(VLOOKUP($A445,CTINTERVALO,3,0)=0,"",VLOOKUP($A445,CTINTERVALO,3,0)),""))</f>
        <v/>
      </c>
      <c r="D445" s="249" t="str">
        <f>IF($B445="Não", "BLOQUEADO (Aguardar liberação)", IFERROR(IF(VLOOKUP($A445,CTINTERVALO,4,0)=0,"",VLOOKUP($A445,CTINTERVALO,4,0)),""))</f>
        <v/>
      </c>
      <c r="E445" s="249" t="str">
        <f>IF($B445="Não", "BLOQUEADO (Aguardar liberação)", "")</f>
        <v/>
      </c>
      <c r="F445" s="249" t="str">
        <f>IF($B445="Não", "BLOQUEADO (Aguardar liberação)", IFERROR(IF(VLOOKUP($A445,CTINTERVALO,6,0)=0,"",VLOOKUP($A445,CTINTERVALO,6,0)),""))</f>
        <v/>
      </c>
      <c r="G445" s="80" t="str">
        <f>IF($B445="Não", "BLOQUEADO (Aguardar liberação)", "")</f>
        <v/>
      </c>
      <c r="H445" s="80"/>
      <c r="I445" s="79"/>
      <c r="J445" s="79"/>
      <c r="K445" s="80"/>
    </row>
    <row r="446" spans="1:11">
      <c r="A446" s="93"/>
      <c r="B446" s="249" t="str">
        <f>IFERROR(IF(VLOOKUP($A446,CTINTERVALO,2,0)=0,"",VLOOKUP($A446,CTINTERVALO,2,0)),"")</f>
        <v/>
      </c>
      <c r="C446" s="249" t="str">
        <f>IF($B446="Não", "BLOQUEADO (Aguardar liberação)", IFERROR(IF(VLOOKUP($A446,CTINTERVALO,3,0)=0,"",VLOOKUP($A446,CTINTERVALO,3,0)),""))</f>
        <v/>
      </c>
      <c r="D446" s="249" t="str">
        <f>IF($B446="Não", "BLOQUEADO (Aguardar liberação)", IFERROR(IF(VLOOKUP($A446,CTINTERVALO,4,0)=0,"",VLOOKUP($A446,CTINTERVALO,4,0)),""))</f>
        <v/>
      </c>
      <c r="E446" s="249" t="str">
        <f>IF($B446="Não", "BLOQUEADO (Aguardar liberação)", "")</f>
        <v/>
      </c>
      <c r="F446" s="249" t="str">
        <f>IF($B446="Não", "BLOQUEADO (Aguardar liberação)", IFERROR(IF(VLOOKUP($A446,CTINTERVALO,6,0)=0,"",VLOOKUP($A446,CTINTERVALO,6,0)),""))</f>
        <v/>
      </c>
      <c r="G446" s="80" t="str">
        <f>IF($B446="Não", "BLOQUEADO (Aguardar liberação)", "")</f>
        <v/>
      </c>
      <c r="H446" s="80"/>
      <c r="I446" s="79"/>
      <c r="J446" s="79"/>
      <c r="K446" s="80"/>
    </row>
    <row r="447" spans="1:11">
      <c r="A447" s="93"/>
      <c r="B447" s="249" t="str">
        <f>IFERROR(IF(VLOOKUP($A447,CTINTERVALO,2,0)=0,"",VLOOKUP($A447,CTINTERVALO,2,0)),"")</f>
        <v/>
      </c>
      <c r="C447" s="249" t="str">
        <f>IF($B447="Não", "BLOQUEADO (Aguardar liberação)", IFERROR(IF(VLOOKUP($A447,CTINTERVALO,3,0)=0,"",VLOOKUP($A447,CTINTERVALO,3,0)),""))</f>
        <v/>
      </c>
      <c r="D447" s="249" t="str">
        <f>IF($B447="Não", "BLOQUEADO (Aguardar liberação)", IFERROR(IF(VLOOKUP($A447,CTINTERVALO,4,0)=0,"",VLOOKUP($A447,CTINTERVALO,4,0)),""))</f>
        <v/>
      </c>
      <c r="E447" s="249" t="str">
        <f>IF($B447="Não", "BLOQUEADO (Aguardar liberação)", "")</f>
        <v/>
      </c>
      <c r="F447" s="249" t="str">
        <f>IF($B447="Não", "BLOQUEADO (Aguardar liberação)", IFERROR(IF(VLOOKUP($A447,CTINTERVALO,6,0)=0,"",VLOOKUP($A447,CTINTERVALO,6,0)),""))</f>
        <v/>
      </c>
      <c r="G447" s="80" t="str">
        <f>IF($B447="Não", "BLOQUEADO (Aguardar liberação)", "")</f>
        <v/>
      </c>
      <c r="H447" s="80"/>
      <c r="I447" s="79"/>
      <c r="J447" s="79"/>
      <c r="K447" s="80"/>
    </row>
    <row r="448" spans="1:11">
      <c r="A448" s="93"/>
      <c r="B448" s="249" t="str">
        <f>IFERROR(IF(VLOOKUP($A448,CTINTERVALO,2,0)=0,"",VLOOKUP($A448,CTINTERVALO,2,0)),"")</f>
        <v/>
      </c>
      <c r="C448" s="249" t="str">
        <f>IF($B448="Não", "BLOQUEADO (Aguardar liberação)", IFERROR(IF(VLOOKUP($A448,CTINTERVALO,3,0)=0,"",VLOOKUP($A448,CTINTERVALO,3,0)),""))</f>
        <v/>
      </c>
      <c r="D448" s="249" t="str">
        <f>IF($B448="Não", "BLOQUEADO (Aguardar liberação)", IFERROR(IF(VLOOKUP($A448,CTINTERVALO,4,0)=0,"",VLOOKUP($A448,CTINTERVALO,4,0)),""))</f>
        <v/>
      </c>
      <c r="E448" s="249" t="str">
        <f>IF($B448="Não", "BLOQUEADO (Aguardar liberação)", "")</f>
        <v/>
      </c>
      <c r="F448" s="249" t="str">
        <f>IF($B448="Não", "BLOQUEADO (Aguardar liberação)", IFERROR(IF(VLOOKUP($A448,CTINTERVALO,6,0)=0,"",VLOOKUP($A448,CTINTERVALO,6,0)),""))</f>
        <v/>
      </c>
      <c r="G448" s="80" t="str">
        <f>IF($B448="Não", "BLOQUEADO (Aguardar liberação)", "")</f>
        <v/>
      </c>
      <c r="H448" s="80"/>
      <c r="I448" s="79"/>
      <c r="J448" s="79"/>
      <c r="K448" s="80"/>
    </row>
    <row r="449" spans="1:11">
      <c r="A449" s="93"/>
      <c r="B449" s="249" t="str">
        <f>IFERROR(IF(VLOOKUP($A449,CTINTERVALO,2,0)=0,"",VLOOKUP($A449,CTINTERVALO,2,0)),"")</f>
        <v/>
      </c>
      <c r="C449" s="249" t="str">
        <f>IF($B449="Não", "BLOQUEADO (Aguardar liberação)", IFERROR(IF(VLOOKUP($A449,CTINTERVALO,3,0)=0,"",VLOOKUP($A449,CTINTERVALO,3,0)),""))</f>
        <v/>
      </c>
      <c r="D449" s="249" t="str">
        <f>IF($B449="Não", "BLOQUEADO (Aguardar liberação)", IFERROR(IF(VLOOKUP($A449,CTINTERVALO,4,0)=0,"",VLOOKUP($A449,CTINTERVALO,4,0)),""))</f>
        <v/>
      </c>
      <c r="E449" s="249" t="str">
        <f>IF($B449="Não", "BLOQUEADO (Aguardar liberação)", "")</f>
        <v/>
      </c>
      <c r="F449" s="249" t="str">
        <f>IF($B449="Não", "BLOQUEADO (Aguardar liberação)", IFERROR(IF(VLOOKUP($A449,CTINTERVALO,6,0)=0,"",VLOOKUP($A449,CTINTERVALO,6,0)),""))</f>
        <v/>
      </c>
      <c r="G449" s="80" t="str">
        <f>IF($B449="Não", "BLOQUEADO (Aguardar liberação)", "")</f>
        <v/>
      </c>
      <c r="H449" s="80"/>
      <c r="I449" s="79"/>
      <c r="J449" s="79"/>
      <c r="K449" s="80"/>
    </row>
    <row r="450" spans="1:11">
      <c r="A450" s="93"/>
      <c r="B450" s="249" t="str">
        <f>IFERROR(IF(VLOOKUP($A450,CTINTERVALO,2,0)=0,"",VLOOKUP($A450,CTINTERVALO,2,0)),"")</f>
        <v/>
      </c>
      <c r="C450" s="249" t="str">
        <f>IF($B450="Não", "BLOQUEADO (Aguardar liberação)", IFERROR(IF(VLOOKUP($A450,CTINTERVALO,3,0)=0,"",VLOOKUP($A450,CTINTERVALO,3,0)),""))</f>
        <v/>
      </c>
      <c r="D450" s="249" t="str">
        <f>IF($B450="Não", "BLOQUEADO (Aguardar liberação)", IFERROR(IF(VLOOKUP($A450,CTINTERVALO,4,0)=0,"",VLOOKUP($A450,CTINTERVALO,4,0)),""))</f>
        <v/>
      </c>
      <c r="E450" s="249" t="str">
        <f>IF($B450="Não", "BLOQUEADO (Aguardar liberação)", "")</f>
        <v/>
      </c>
      <c r="F450" s="249" t="str">
        <f>IF($B450="Não", "BLOQUEADO (Aguardar liberação)", IFERROR(IF(VLOOKUP($A450,CTINTERVALO,6,0)=0,"",VLOOKUP($A450,CTINTERVALO,6,0)),""))</f>
        <v/>
      </c>
      <c r="G450" s="80" t="str">
        <f>IF($B450="Não", "BLOQUEADO (Aguardar liberação)", "")</f>
        <v/>
      </c>
      <c r="H450" s="80"/>
      <c r="I450" s="79"/>
      <c r="J450" s="79"/>
      <c r="K450" s="80"/>
    </row>
  </sheetData>
  <mergeCells count="10">
    <mergeCell ref="G6:G7"/>
    <mergeCell ref="H6:H7"/>
    <mergeCell ref="J6:J7"/>
    <mergeCell ref="K6:K7"/>
    <mergeCell ref="A6:A7"/>
    <mergeCell ref="B6:B7"/>
    <mergeCell ref="C6:C7"/>
    <mergeCell ref="D6:D7"/>
    <mergeCell ref="E6:E7"/>
    <mergeCell ref="F6:F7"/>
  </mergeCells>
  <conditionalFormatting sqref="C8:F8 H8 C9:H450">
    <cfRule type="expression" dxfId="67" priority="9">
      <formula>$B8="Não"</formula>
    </cfRule>
  </conditionalFormatting>
  <conditionalFormatting sqref="G8">
    <cfRule type="expression" dxfId="66" priority="2">
      <formula>$B8="Não"</formula>
    </cfRule>
  </conditionalFormatting>
  <pageMargins left="0.511811024" right="0.511811024" top="0.78740157499999996" bottom="0.78740157499999996" header="0.31496062000000002" footer="0.31496062000000002"/>
  <extLst>
    <ext xmlns:x14="http://schemas.microsoft.com/office/spreadsheetml/2009/9/main" uri="{78C0D931-6437-407d-A8EE-F0AAD7539E65}">
      <x14:conditionalFormattings>
        <x14:conditionalFormatting xmlns:xm="http://schemas.microsoft.com/office/excel/2006/main">
          <x14:cfRule type="expression" priority="8" id="{56F7D656-4F12-4D61-ABD4-68E578B937FA}">
            <xm:f>$H8=Principal!$Q$10</xm:f>
            <x14:dxf>
              <fill>
                <patternFill patternType="solid">
                  <bgColor rgb="FF00B050"/>
                </patternFill>
              </fill>
            </x14:dxf>
          </x14:cfRule>
          <x14:cfRule type="expression" priority="10" id="{7668E0DC-E4F8-40AB-A2AE-66710270576E}">
            <xm:f>$H8=Principal!$Q$17</xm:f>
            <x14:dxf>
              <fill>
                <patternFill patternType="solid">
                  <bgColor rgb="FFFFFF00"/>
                </patternFill>
              </fill>
            </x14:dxf>
          </x14:cfRule>
          <x14:cfRule type="expression" priority="11" id="{9F037FF0-2E8C-4372-BE59-A2FEC8080FBD}">
            <xm:f>$H8=Principal!$Q$16</xm:f>
            <x14:dxf>
              <fill>
                <patternFill patternType="solid">
                  <bgColor rgb="FFDD46E8"/>
                </patternFill>
              </fill>
            </x14:dxf>
          </x14:cfRule>
          <x14:cfRule type="expression" priority="12" id="{3C8DC530-5F11-4741-8C05-FB581D07E046}">
            <xm:f>$H8=Principal!$Q$15</xm:f>
            <x14:dxf>
              <fill>
                <patternFill>
                  <bgColor theme="8" tint="0.59996337778862885"/>
                </patternFill>
              </fill>
            </x14:dxf>
          </x14:cfRule>
          <x14:cfRule type="expression" priority="13" id="{6FD4BC05-7DA9-4034-8D62-56D8BB97645E}">
            <xm:f>$H8=Principal!$Q$14</xm:f>
            <x14:dxf>
              <fill>
                <patternFill>
                  <bgColor theme="7" tint="0.59996337778862885"/>
                </patternFill>
              </fill>
            </x14:dxf>
          </x14:cfRule>
          <x14:cfRule type="expression" priority="14" id="{BDEC7ABB-A48A-4F25-9CB3-1FE89FF7D78F}">
            <xm:f>$H8=Principal!$Q$11</xm:f>
            <x14:dxf>
              <fill>
                <patternFill>
                  <bgColor rgb="FFFF5050"/>
                </patternFill>
              </fill>
            </x14:dxf>
          </x14:cfRule>
          <xm:sqref>C8:F8 H8 C9:H450</xm:sqref>
        </x14:conditionalFormatting>
        <x14:conditionalFormatting xmlns:xm="http://schemas.microsoft.com/office/excel/2006/main">
          <x14:cfRule type="expression" priority="1" id="{F5CE9AD3-D927-4684-89C7-32AB1D3E707A}">
            <xm:f>$H8=Principal!$Q$10</xm:f>
            <x14:dxf>
              <fill>
                <patternFill patternType="solid">
                  <bgColor rgb="FF00B050"/>
                </patternFill>
              </fill>
            </x14:dxf>
          </x14:cfRule>
          <x14:cfRule type="expression" priority="3" id="{5D63BE9F-FA7D-452D-85A9-A6095D78DFBB}">
            <xm:f>$H8=Principal!$Q$17</xm:f>
            <x14:dxf>
              <fill>
                <patternFill patternType="solid">
                  <bgColor rgb="FFFFFF00"/>
                </patternFill>
              </fill>
            </x14:dxf>
          </x14:cfRule>
          <x14:cfRule type="expression" priority="4" id="{3882897A-9CAA-46A5-A9BC-5010A7E1A737}">
            <xm:f>$H8=Principal!$Q$16</xm:f>
            <x14:dxf>
              <fill>
                <patternFill patternType="solid">
                  <bgColor rgb="FFDD46E8"/>
                </patternFill>
              </fill>
            </x14:dxf>
          </x14:cfRule>
          <x14:cfRule type="expression" priority="5" id="{DB931211-0CA3-4435-9AB8-0EFDDFB20A54}">
            <xm:f>$H8=Principal!$Q$15</xm:f>
            <x14:dxf>
              <fill>
                <patternFill>
                  <bgColor theme="8" tint="0.59996337778862885"/>
                </patternFill>
              </fill>
            </x14:dxf>
          </x14:cfRule>
          <x14:cfRule type="expression" priority="6" id="{1C082722-2A63-471E-8A7F-9E7A940B1259}">
            <xm:f>$H8=Principal!$Q$14</xm:f>
            <x14:dxf>
              <fill>
                <patternFill>
                  <bgColor theme="7" tint="0.59996337778862885"/>
                </patternFill>
              </fill>
            </x14:dxf>
          </x14:cfRule>
          <x14:cfRule type="expression" priority="7" id="{7ABB4248-FEEB-4F57-9605-2283DFB6A250}">
            <xm:f>$H8=Principal!$Q$11</xm:f>
            <x14:dxf>
              <fill>
                <patternFill>
                  <bgColor rgb="FFFF5050"/>
                </patternFill>
              </fill>
            </x14:dxf>
          </x14:cfRule>
          <xm:sqref>G8</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9D8BE342-DB00-41D3-B9B1-B9351D7F72B2}">
          <x14:formula1>
            <xm:f>Principal!$Q$9:$Q$17</xm:f>
          </x14:formula1>
          <xm:sqref>H8:H450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E5C0F-3B99-4386-9FA9-914F14EFC6F3}">
  <sheetPr>
    <tabColor rgb="FF00B050"/>
  </sheetPr>
  <dimension ref="A1:M53"/>
  <sheetViews>
    <sheetView workbookViewId="0">
      <pane ySplit="5" topLeftCell="A6" activePane="bottomLeft" state="frozen"/>
      <selection pane="bottomLeft" activeCell="F7" sqref="F7"/>
    </sheetView>
  </sheetViews>
  <sheetFormatPr defaultRowHeight="15"/>
  <cols>
    <col min="1" max="1" width="9.140625" style="62"/>
    <col min="2" max="2" width="80.7109375" style="298" customWidth="1"/>
    <col min="3" max="3" width="13.140625" style="64" customWidth="1"/>
    <col min="4" max="4" width="16.42578125" style="64" customWidth="1"/>
    <col min="5" max="5" width="14.42578125" style="53" customWidth="1"/>
    <col min="6" max="6" width="45.7109375" style="66" customWidth="1"/>
    <col min="7" max="7" width="6.140625" style="52" customWidth="1"/>
    <col min="8" max="8" width="25.42578125" style="53" bestFit="1" customWidth="1"/>
    <col min="9" max="9" width="10.42578125" style="53" customWidth="1"/>
    <col min="10" max="10" width="22.5703125" style="52" hidden="1" customWidth="1"/>
    <col min="11" max="11" width="18.5703125" style="52" hidden="1" customWidth="1"/>
    <col min="12" max="16384" width="9.140625" style="52"/>
  </cols>
  <sheetData>
    <row r="1" spans="1:13" ht="15" customHeight="1">
      <c r="B1" s="81" t="s">
        <v>365</v>
      </c>
      <c r="C1" s="68">
        <f>COUNTA(E6:E53)</f>
        <v>3</v>
      </c>
      <c r="D1" s="68"/>
      <c r="E1" s="75" t="s">
        <v>84</v>
      </c>
      <c r="F1" s="68">
        <f>COUNTIF(I$6:I$53,"Alta")</f>
        <v>0</v>
      </c>
      <c r="G1" s="10"/>
      <c r="H1" s="10"/>
      <c r="I1" s="10"/>
      <c r="J1" s="10"/>
      <c r="K1" s="10"/>
    </row>
    <row r="2" spans="1:13" ht="14.25" customHeight="1">
      <c r="B2" s="81" t="s">
        <v>366</v>
      </c>
      <c r="C2" s="68">
        <f>COUNTIF(G6:G53,"Sim")</f>
        <v>0</v>
      </c>
      <c r="D2" s="68"/>
      <c r="E2" s="75" t="s">
        <v>85</v>
      </c>
      <c r="F2" s="68">
        <f>COUNTIF(I$6:I$53,"Média")</f>
        <v>0</v>
      </c>
      <c r="G2" s="10"/>
      <c r="H2" s="10"/>
      <c r="I2" s="10"/>
      <c r="J2" s="10"/>
      <c r="K2" s="10"/>
    </row>
    <row r="3" spans="1:13" ht="14.25" customHeight="1">
      <c r="B3" s="81" t="s">
        <v>367</v>
      </c>
      <c r="C3" s="68">
        <f>COUNTIF(E6:G53,"Concluída")</f>
        <v>0</v>
      </c>
      <c r="D3" s="68"/>
      <c r="E3" s="75" t="s">
        <v>87</v>
      </c>
      <c r="F3" s="68">
        <f>COUNTIF(I$6:I$53,"Baixa")</f>
        <v>0</v>
      </c>
      <c r="G3" s="10"/>
      <c r="H3" s="10"/>
      <c r="I3" s="10"/>
      <c r="J3" s="10"/>
      <c r="K3" s="10"/>
    </row>
    <row r="4" spans="1:13" ht="15.75" customHeight="1">
      <c r="B4" s="81" t="s">
        <v>368</v>
      </c>
      <c r="C4" s="68">
        <f>COUNTIF(H6:H53,"Sim")</f>
        <v>0</v>
      </c>
      <c r="D4" s="68"/>
      <c r="E4" s="10"/>
      <c r="F4" s="68"/>
      <c r="G4" s="10"/>
      <c r="H4" s="10"/>
      <c r="I4" s="10"/>
      <c r="J4" s="10"/>
      <c r="K4" s="10"/>
    </row>
    <row r="5" spans="1:13">
      <c r="A5" s="139" t="s">
        <v>11</v>
      </c>
      <c r="B5" s="141" t="s">
        <v>28</v>
      </c>
      <c r="C5" s="1" t="s">
        <v>29</v>
      </c>
      <c r="D5" s="1" t="s">
        <v>369</v>
      </c>
      <c r="E5" s="71" t="s">
        <v>18</v>
      </c>
      <c r="F5" s="71" t="s">
        <v>370</v>
      </c>
      <c r="G5" s="76" t="s">
        <v>371</v>
      </c>
      <c r="H5" s="76" t="s">
        <v>372</v>
      </c>
      <c r="I5" s="76" t="s">
        <v>30</v>
      </c>
      <c r="J5" s="76" t="s">
        <v>373</v>
      </c>
      <c r="K5" s="76" t="s">
        <v>374</v>
      </c>
    </row>
    <row r="6" spans="1:13" ht="88.5" customHeight="1">
      <c r="A6" s="61">
        <v>1</v>
      </c>
      <c r="B6" s="236" t="s">
        <v>375</v>
      </c>
      <c r="C6" s="80" t="s">
        <v>376</v>
      </c>
      <c r="D6" s="80" t="s">
        <v>377</v>
      </c>
      <c r="E6" s="70" t="s">
        <v>79</v>
      </c>
      <c r="F6" s="73" t="s">
        <v>378</v>
      </c>
      <c r="G6" s="74"/>
      <c r="H6" s="74"/>
      <c r="I6" s="74"/>
      <c r="J6" s="72"/>
      <c r="K6" s="292"/>
    </row>
    <row r="7" spans="1:13" ht="65.25" customHeight="1">
      <c r="A7" s="61">
        <v>2</v>
      </c>
      <c r="B7" s="142" t="s">
        <v>379</v>
      </c>
      <c r="C7" s="80" t="s">
        <v>376</v>
      </c>
      <c r="D7" s="80" t="s">
        <v>377</v>
      </c>
      <c r="E7" s="70" t="s">
        <v>79</v>
      </c>
      <c r="F7" s="73" t="s">
        <v>380</v>
      </c>
      <c r="G7" s="72"/>
      <c r="H7" s="74"/>
      <c r="I7" s="74"/>
      <c r="J7" s="72"/>
      <c r="K7" s="292"/>
    </row>
    <row r="8" spans="1:13" ht="72.75" customHeight="1">
      <c r="A8" s="61">
        <v>3</v>
      </c>
      <c r="B8" s="303" t="s">
        <v>381</v>
      </c>
      <c r="C8" s="80" t="s">
        <v>376</v>
      </c>
      <c r="D8" s="80" t="s">
        <v>377</v>
      </c>
      <c r="E8" s="70" t="s">
        <v>70</v>
      </c>
      <c r="F8" s="73" t="s">
        <v>382</v>
      </c>
      <c r="G8" s="72"/>
      <c r="H8" s="74"/>
      <c r="I8" s="74"/>
      <c r="J8" s="72"/>
      <c r="K8" s="292"/>
    </row>
    <row r="9" spans="1:13" ht="259.5">
      <c r="A9" s="233">
        <v>4</v>
      </c>
      <c r="B9" s="302" t="s">
        <v>383</v>
      </c>
      <c r="C9" s="234" t="s">
        <v>384</v>
      </c>
      <c r="D9" s="80" t="s">
        <v>377</v>
      </c>
      <c r="E9" s="70"/>
      <c r="F9" s="73"/>
      <c r="G9" s="72"/>
      <c r="H9" s="74"/>
      <c r="I9" s="74"/>
      <c r="J9" s="72"/>
      <c r="K9" s="292"/>
    </row>
    <row r="10" spans="1:13" ht="108" customHeight="1">
      <c r="A10" s="61">
        <v>5</v>
      </c>
      <c r="B10" s="301"/>
      <c r="C10" s="80"/>
      <c r="D10" s="80"/>
      <c r="E10" s="83"/>
      <c r="F10" s="73"/>
      <c r="G10" s="72"/>
      <c r="H10" s="80"/>
      <c r="I10" s="74"/>
      <c r="J10" s="72"/>
      <c r="K10" s="292"/>
    </row>
    <row r="11" spans="1:13">
      <c r="A11" s="61">
        <v>6</v>
      </c>
      <c r="B11" s="293"/>
      <c r="C11" s="80"/>
      <c r="D11" s="80"/>
      <c r="E11" s="70"/>
      <c r="F11" s="235"/>
      <c r="G11" s="72"/>
      <c r="H11" s="74"/>
      <c r="I11" s="74"/>
      <c r="J11" s="72"/>
      <c r="K11" s="292"/>
    </row>
    <row r="12" spans="1:13" s="296" customFormat="1" ht="158.25" customHeight="1">
      <c r="A12" s="140">
        <v>7</v>
      </c>
      <c r="B12" s="294"/>
      <c r="C12" s="123"/>
      <c r="D12" s="123"/>
      <c r="E12" s="70"/>
      <c r="F12" s="124"/>
      <c r="G12" s="125"/>
      <c r="H12" s="126"/>
      <c r="I12" s="126"/>
      <c r="J12" s="125"/>
      <c r="K12" s="295"/>
    </row>
    <row r="13" spans="1:13" ht="349.5" customHeight="1">
      <c r="A13" s="61">
        <v>8</v>
      </c>
      <c r="B13" s="293"/>
      <c r="C13" s="80"/>
      <c r="D13" s="80"/>
      <c r="E13" s="83"/>
      <c r="F13" s="364"/>
      <c r="G13" s="72"/>
      <c r="H13" s="74"/>
      <c r="I13" s="74"/>
      <c r="J13" s="72"/>
      <c r="K13" s="292"/>
      <c r="M13" s="73"/>
    </row>
    <row r="14" spans="1:13" ht="407.25" customHeight="1">
      <c r="A14" s="61">
        <v>9</v>
      </c>
      <c r="B14" s="235"/>
      <c r="C14" s="80"/>
      <c r="D14" s="80"/>
      <c r="E14" s="83"/>
      <c r="F14" s="235"/>
      <c r="G14" s="72"/>
      <c r="H14" s="74"/>
      <c r="I14" s="74"/>
      <c r="J14" s="72"/>
      <c r="K14" s="292"/>
    </row>
    <row r="15" spans="1:13" ht="107.25" customHeight="1">
      <c r="A15" s="233">
        <v>10</v>
      </c>
      <c r="B15" s="142"/>
      <c r="C15" s="234"/>
      <c r="D15" s="80"/>
      <c r="E15" s="83"/>
      <c r="F15" s="73"/>
      <c r="G15" s="72"/>
      <c r="H15" s="74"/>
      <c r="I15" s="74"/>
      <c r="J15" s="72"/>
      <c r="K15" s="292"/>
    </row>
    <row r="16" spans="1:13" ht="117" customHeight="1">
      <c r="A16" s="61">
        <v>11</v>
      </c>
      <c r="B16" s="235"/>
      <c r="C16" s="80"/>
      <c r="D16" s="80"/>
      <c r="E16" s="70"/>
      <c r="F16" s="73"/>
      <c r="G16" s="72"/>
      <c r="H16" s="74"/>
      <c r="I16" s="74"/>
      <c r="J16" s="72"/>
      <c r="K16" s="292"/>
    </row>
    <row r="17" spans="1:11">
      <c r="A17" s="61">
        <v>12</v>
      </c>
      <c r="B17" s="297"/>
      <c r="C17" s="84"/>
      <c r="D17" s="65"/>
      <c r="E17" s="82"/>
      <c r="F17" s="73"/>
      <c r="G17" s="72"/>
      <c r="H17" s="74"/>
      <c r="I17" s="74"/>
      <c r="J17" s="72"/>
      <c r="K17" s="292"/>
    </row>
    <row r="18" spans="1:11" ht="155.25" customHeight="1">
      <c r="A18" s="61">
        <v>13</v>
      </c>
      <c r="B18" s="142"/>
      <c r="C18" s="80"/>
      <c r="D18" s="65"/>
      <c r="E18" s="70"/>
      <c r="F18" s="73"/>
      <c r="G18" s="72"/>
      <c r="H18" s="74"/>
      <c r="I18" s="74"/>
      <c r="J18" s="72"/>
      <c r="K18" s="292"/>
    </row>
    <row r="19" spans="1:11">
      <c r="A19" s="61">
        <v>14</v>
      </c>
      <c r="B19" s="142"/>
      <c r="C19" s="80"/>
      <c r="D19" s="80"/>
      <c r="E19" s="83"/>
      <c r="F19" s="73"/>
      <c r="G19" s="72"/>
      <c r="H19" s="74"/>
      <c r="I19" s="74"/>
      <c r="J19" s="72"/>
      <c r="K19" s="292"/>
    </row>
    <row r="20" spans="1:11">
      <c r="A20" s="61">
        <v>15</v>
      </c>
      <c r="B20" s="142"/>
      <c r="C20" s="80"/>
      <c r="D20" s="80"/>
      <c r="E20" s="83"/>
      <c r="F20" s="73"/>
      <c r="G20" s="72"/>
      <c r="H20" s="74"/>
      <c r="I20" s="74"/>
      <c r="J20" s="72"/>
      <c r="K20" s="292"/>
    </row>
    <row r="21" spans="1:11">
      <c r="A21" s="61">
        <v>16</v>
      </c>
      <c r="B21" s="142"/>
      <c r="C21" s="80"/>
      <c r="D21" s="80"/>
      <c r="E21" s="70"/>
      <c r="F21" s="73"/>
      <c r="G21" s="72"/>
      <c r="H21" s="74"/>
      <c r="I21" s="74"/>
      <c r="J21" s="72"/>
      <c r="K21" s="292"/>
    </row>
    <row r="22" spans="1:11">
      <c r="A22" s="61">
        <v>17</v>
      </c>
      <c r="B22" s="142"/>
      <c r="C22" s="80"/>
      <c r="D22" s="80"/>
      <c r="E22" s="74"/>
      <c r="F22" s="73"/>
      <c r="G22" s="72"/>
      <c r="H22" s="74"/>
      <c r="I22" s="74"/>
      <c r="J22" s="72"/>
      <c r="K22" s="292"/>
    </row>
    <row r="23" spans="1:11">
      <c r="A23" s="61">
        <v>18</v>
      </c>
      <c r="B23" s="142"/>
      <c r="C23" s="80"/>
      <c r="D23" s="80"/>
      <c r="E23" s="74"/>
      <c r="F23" s="73"/>
      <c r="G23" s="72"/>
      <c r="H23" s="74"/>
      <c r="I23" s="74"/>
      <c r="J23" s="72"/>
      <c r="K23" s="292"/>
    </row>
    <row r="24" spans="1:11">
      <c r="A24" s="61">
        <v>19</v>
      </c>
      <c r="B24" s="142"/>
      <c r="C24" s="80"/>
      <c r="D24" s="80"/>
      <c r="E24" s="70"/>
      <c r="F24" s="73"/>
      <c r="G24" s="72"/>
      <c r="H24" s="74"/>
      <c r="I24" s="74"/>
      <c r="J24" s="72"/>
      <c r="K24" s="292"/>
    </row>
    <row r="25" spans="1:11">
      <c r="A25" s="61">
        <v>20</v>
      </c>
      <c r="B25" s="142"/>
      <c r="C25" s="80"/>
      <c r="D25" s="80"/>
      <c r="E25" s="70"/>
      <c r="F25" s="73"/>
      <c r="G25" s="72"/>
      <c r="H25" s="74"/>
      <c r="I25" s="74"/>
      <c r="J25" s="72"/>
      <c r="K25" s="292"/>
    </row>
    <row r="26" spans="1:11">
      <c r="A26" s="61">
        <v>21</v>
      </c>
      <c r="B26" s="142"/>
      <c r="C26" s="80"/>
      <c r="D26" s="80"/>
      <c r="E26" s="70"/>
      <c r="F26" s="73"/>
      <c r="G26" s="72"/>
      <c r="H26" s="74"/>
      <c r="I26" s="74"/>
      <c r="J26" s="72"/>
      <c r="K26" s="292"/>
    </row>
    <row r="27" spans="1:11">
      <c r="A27" s="61">
        <v>22</v>
      </c>
      <c r="B27" s="293"/>
      <c r="C27" s="80"/>
      <c r="D27" s="80"/>
      <c r="E27" s="70"/>
      <c r="F27" s="73"/>
      <c r="G27" s="72"/>
      <c r="H27" s="74"/>
      <c r="I27" s="74"/>
      <c r="J27" s="72"/>
      <c r="K27" s="292"/>
    </row>
    <row r="28" spans="1:11">
      <c r="A28" s="61">
        <v>23</v>
      </c>
      <c r="B28" s="142"/>
      <c r="C28" s="80"/>
      <c r="D28" s="80"/>
      <c r="E28" s="70"/>
      <c r="F28" s="73"/>
      <c r="G28" s="72"/>
      <c r="H28" s="74"/>
      <c r="I28" s="74"/>
      <c r="J28" s="72"/>
      <c r="K28" s="292"/>
    </row>
    <row r="29" spans="1:11">
      <c r="A29" s="61"/>
      <c r="B29" s="142"/>
      <c r="C29" s="80"/>
      <c r="D29" s="80"/>
      <c r="E29" s="70"/>
      <c r="F29" s="73"/>
      <c r="G29" s="72"/>
      <c r="H29" s="74"/>
      <c r="I29" s="74"/>
      <c r="J29" s="72"/>
      <c r="K29" s="292"/>
    </row>
    <row r="30" spans="1:11">
      <c r="A30" s="61"/>
      <c r="B30" s="142"/>
      <c r="C30" s="80"/>
      <c r="D30" s="80"/>
      <c r="E30" s="70"/>
      <c r="F30" s="73"/>
      <c r="G30" s="72"/>
      <c r="H30" s="74"/>
      <c r="I30" s="74"/>
      <c r="J30" s="72"/>
      <c r="K30" s="292"/>
    </row>
    <row r="31" spans="1:11">
      <c r="A31" s="61"/>
      <c r="B31" s="142"/>
      <c r="C31" s="80"/>
      <c r="D31" s="80"/>
      <c r="E31" s="70"/>
      <c r="F31" s="73"/>
      <c r="G31" s="72"/>
      <c r="H31" s="74"/>
      <c r="I31" s="74"/>
      <c r="J31" s="72"/>
      <c r="K31" s="292"/>
    </row>
    <row r="32" spans="1:11">
      <c r="A32" s="61"/>
      <c r="B32" s="142"/>
      <c r="C32" s="80"/>
      <c r="D32" s="80"/>
      <c r="E32" s="70"/>
      <c r="F32" s="73"/>
      <c r="G32" s="72"/>
      <c r="H32" s="74"/>
      <c r="I32" s="74"/>
      <c r="J32" s="72"/>
      <c r="K32" s="292"/>
    </row>
    <row r="33" spans="1:11">
      <c r="A33" s="61"/>
      <c r="B33" s="142"/>
      <c r="C33" s="80"/>
      <c r="D33" s="80"/>
      <c r="E33" s="70"/>
      <c r="F33" s="73"/>
      <c r="G33" s="72"/>
      <c r="H33" s="74"/>
      <c r="I33" s="74"/>
      <c r="J33" s="72"/>
      <c r="K33" s="292"/>
    </row>
    <row r="34" spans="1:11">
      <c r="A34" s="61"/>
      <c r="B34" s="142"/>
      <c r="C34" s="80"/>
      <c r="D34" s="80"/>
      <c r="E34" s="74"/>
      <c r="F34" s="73"/>
      <c r="G34" s="72"/>
      <c r="H34" s="74"/>
      <c r="I34" s="74"/>
      <c r="J34" s="72"/>
      <c r="K34" s="292"/>
    </row>
    <row r="35" spans="1:11">
      <c r="A35" s="61"/>
      <c r="B35" s="142"/>
      <c r="C35" s="80"/>
      <c r="D35" s="80"/>
      <c r="E35" s="70"/>
      <c r="F35" s="73"/>
      <c r="G35" s="72"/>
      <c r="H35" s="74"/>
      <c r="I35" s="74"/>
      <c r="J35" s="72"/>
      <c r="K35" s="292"/>
    </row>
    <row r="36" spans="1:11">
      <c r="A36" s="61"/>
      <c r="B36" s="142"/>
      <c r="C36" s="80"/>
      <c r="D36" s="80"/>
      <c r="E36" s="70"/>
      <c r="F36" s="73"/>
      <c r="G36" s="72"/>
      <c r="H36" s="74"/>
      <c r="I36" s="74"/>
      <c r="J36" s="72"/>
      <c r="K36" s="292"/>
    </row>
    <row r="37" spans="1:11">
      <c r="A37" s="61"/>
      <c r="B37" s="142"/>
      <c r="C37" s="80"/>
      <c r="D37" s="80"/>
      <c r="E37" s="70"/>
      <c r="F37" s="73"/>
      <c r="G37" s="72"/>
      <c r="H37" s="74"/>
      <c r="I37" s="74"/>
      <c r="J37" s="72"/>
      <c r="K37" s="292"/>
    </row>
    <row r="38" spans="1:11">
      <c r="A38" s="61"/>
      <c r="B38" s="142"/>
      <c r="C38" s="80"/>
      <c r="D38" s="80"/>
      <c r="E38" s="74"/>
      <c r="F38" s="73"/>
      <c r="G38" s="72"/>
      <c r="H38" s="74"/>
      <c r="I38" s="74"/>
      <c r="J38" s="72"/>
      <c r="K38" s="292"/>
    </row>
    <row r="39" spans="1:11">
      <c r="A39" s="61"/>
      <c r="B39" s="142"/>
      <c r="C39" s="80"/>
      <c r="D39" s="80"/>
      <c r="E39" s="70"/>
      <c r="F39" s="73"/>
      <c r="G39" s="72"/>
      <c r="H39" s="74"/>
      <c r="I39" s="74"/>
      <c r="J39" s="72"/>
      <c r="K39" s="292"/>
    </row>
    <row r="40" spans="1:11">
      <c r="A40" s="61"/>
      <c r="B40" s="142"/>
      <c r="C40" s="80"/>
      <c r="D40" s="80"/>
      <c r="E40" s="70"/>
      <c r="F40" s="73"/>
      <c r="G40" s="72"/>
      <c r="H40" s="74"/>
      <c r="I40" s="74"/>
      <c r="J40" s="72"/>
      <c r="K40" s="292"/>
    </row>
    <row r="41" spans="1:11">
      <c r="A41" s="61"/>
      <c r="B41" s="142"/>
      <c r="C41" s="80"/>
      <c r="D41" s="80"/>
      <c r="E41" s="70"/>
      <c r="F41" s="73"/>
      <c r="G41" s="72"/>
      <c r="H41" s="74"/>
      <c r="I41" s="74"/>
      <c r="J41" s="72"/>
      <c r="K41" s="292"/>
    </row>
    <row r="42" spans="1:11">
      <c r="A42" s="61"/>
      <c r="B42" s="142"/>
      <c r="C42" s="80"/>
      <c r="D42" s="80"/>
      <c r="E42" s="70"/>
      <c r="F42" s="73"/>
      <c r="G42" s="72"/>
      <c r="H42" s="74"/>
      <c r="I42" s="74"/>
      <c r="J42" s="72"/>
      <c r="K42" s="292"/>
    </row>
    <row r="43" spans="1:11">
      <c r="A43" s="61"/>
      <c r="B43" s="142"/>
      <c r="C43" s="80"/>
      <c r="D43" s="80"/>
      <c r="E43" s="70"/>
      <c r="F43" s="73"/>
      <c r="G43" s="72"/>
      <c r="H43" s="74"/>
      <c r="I43" s="74"/>
      <c r="J43" s="72"/>
      <c r="K43" s="292"/>
    </row>
    <row r="44" spans="1:11">
      <c r="A44" s="61"/>
      <c r="B44" s="142"/>
      <c r="C44" s="80"/>
      <c r="D44" s="80"/>
      <c r="E44" s="70"/>
      <c r="F44" s="73"/>
      <c r="G44" s="72"/>
      <c r="H44" s="74"/>
      <c r="I44" s="74"/>
      <c r="J44" s="72"/>
      <c r="K44" s="292"/>
    </row>
    <row r="45" spans="1:11">
      <c r="A45" s="61"/>
      <c r="B45" s="142"/>
      <c r="C45" s="80"/>
      <c r="D45" s="80"/>
      <c r="E45" s="70"/>
      <c r="F45" s="73"/>
      <c r="G45" s="72"/>
      <c r="H45" s="74"/>
      <c r="I45" s="74"/>
      <c r="J45" s="72"/>
      <c r="K45" s="292"/>
    </row>
    <row r="46" spans="1:11">
      <c r="A46" s="61"/>
      <c r="B46" s="142"/>
      <c r="C46" s="80"/>
      <c r="D46" s="80"/>
      <c r="E46" s="70"/>
      <c r="F46" s="73"/>
      <c r="G46" s="72"/>
      <c r="H46" s="74"/>
      <c r="I46" s="74"/>
      <c r="J46" s="72"/>
      <c r="K46" s="292"/>
    </row>
    <row r="47" spans="1:11">
      <c r="A47" s="61"/>
      <c r="B47" s="142"/>
      <c r="C47" s="80"/>
      <c r="D47" s="80"/>
      <c r="E47" s="74"/>
      <c r="F47" s="73"/>
      <c r="G47" s="72"/>
      <c r="H47" s="74"/>
      <c r="I47" s="74"/>
      <c r="J47" s="72"/>
      <c r="K47" s="292"/>
    </row>
    <row r="48" spans="1:11">
      <c r="A48" s="61"/>
      <c r="B48" s="142"/>
      <c r="C48" s="80"/>
      <c r="D48" s="80"/>
      <c r="E48" s="74"/>
      <c r="F48" s="73"/>
      <c r="G48" s="72"/>
      <c r="H48" s="74"/>
      <c r="I48" s="74"/>
      <c r="J48" s="72"/>
      <c r="K48" s="292"/>
    </row>
    <row r="49" spans="1:11">
      <c r="A49" s="61"/>
      <c r="B49" s="142"/>
      <c r="C49" s="80"/>
      <c r="D49" s="80"/>
      <c r="E49" s="74"/>
      <c r="F49" s="73"/>
      <c r="G49" s="72"/>
      <c r="H49" s="74"/>
      <c r="I49" s="74"/>
      <c r="J49" s="72"/>
      <c r="K49" s="292"/>
    </row>
    <row r="50" spans="1:11">
      <c r="A50" s="61"/>
      <c r="B50" s="142"/>
      <c r="C50" s="80"/>
      <c r="D50" s="80"/>
      <c r="E50" s="74"/>
      <c r="F50" s="73"/>
      <c r="G50" s="72"/>
      <c r="H50" s="74"/>
      <c r="I50" s="74"/>
      <c r="J50" s="72"/>
      <c r="K50" s="292"/>
    </row>
    <row r="51" spans="1:11">
      <c r="A51" s="61"/>
      <c r="B51" s="142"/>
      <c r="C51" s="80"/>
      <c r="D51" s="80"/>
      <c r="E51" s="74"/>
      <c r="F51" s="73"/>
      <c r="G51" s="72"/>
      <c r="H51" s="74"/>
      <c r="I51" s="74"/>
      <c r="J51" s="72"/>
      <c r="K51" s="292"/>
    </row>
    <row r="52" spans="1:11">
      <c r="A52" s="61"/>
      <c r="B52" s="142"/>
      <c r="C52" s="80"/>
      <c r="D52" s="80"/>
      <c r="E52" s="74"/>
      <c r="F52" s="73"/>
      <c r="G52" s="72"/>
      <c r="H52" s="74"/>
      <c r="I52" s="74"/>
      <c r="J52" s="72"/>
      <c r="K52" s="292"/>
    </row>
    <row r="53" spans="1:11">
      <c r="A53" s="61"/>
      <c r="B53" s="142"/>
      <c r="C53" s="80"/>
      <c r="D53" s="80"/>
      <c r="E53" s="74"/>
      <c r="F53" s="73"/>
      <c r="G53" s="72"/>
      <c r="H53" s="74"/>
      <c r="I53" s="74"/>
      <c r="J53" s="72"/>
      <c r="K53" s="292"/>
    </row>
  </sheetData>
  <conditionalFormatting sqref="B33">
    <cfRule type="expression" dxfId="53" priority="91">
      <formula>$E32="Pendente INSS"</formula>
    </cfRule>
    <cfRule type="expression" dxfId="52" priority="92">
      <formula>$E32="Concluída"</formula>
    </cfRule>
    <cfRule type="expression" dxfId="51" priority="93">
      <formula>$E32="Rejeitada"</formula>
    </cfRule>
    <cfRule type="expression" dxfId="50" priority="94">
      <formula>$E32="Em andamento"</formula>
    </cfRule>
    <cfRule type="expression" dxfId="49" priority="95">
      <formula>$E32="Em análise"</formula>
    </cfRule>
  </conditionalFormatting>
  <conditionalFormatting sqref="B32 B17:I31 C14:I16 B6:I8 B11:I13 C9:I10">
    <cfRule type="expression" dxfId="48" priority="32">
      <formula>$E6="Pendente INSS"</formula>
    </cfRule>
    <cfRule type="expression" dxfId="47" priority="33">
      <formula>$E6="Concluída"</formula>
    </cfRule>
    <cfRule type="expression" dxfId="46" priority="34">
      <formula>$E6="Rejeitada"</formula>
    </cfRule>
    <cfRule type="expression" dxfId="45" priority="35">
      <formula>$E6="Em andamento"</formula>
    </cfRule>
    <cfRule type="expression" dxfId="44" priority="36">
      <formula>$E6="Em análise"</formula>
    </cfRule>
  </conditionalFormatting>
  <conditionalFormatting sqref="B17:K87 C14:K16 B6:K8 B11:K13 C9:K10">
    <cfRule type="expression" dxfId="43" priority="31">
      <formula>$E6="Migrado Backlog"</formula>
    </cfRule>
  </conditionalFormatting>
  <conditionalFormatting sqref="C32:I33 B34:I188">
    <cfRule type="expression" dxfId="42" priority="57">
      <formula>$E32="Pendente INSS"</formula>
    </cfRule>
    <cfRule type="expression" dxfId="41" priority="58">
      <formula>$E32="Concluída"</formula>
    </cfRule>
    <cfRule type="expression" dxfId="40" priority="59">
      <formula>$E32="Rejeitada"</formula>
    </cfRule>
    <cfRule type="expression" dxfId="39" priority="60">
      <formula>$E32="Em andamento"</formula>
    </cfRule>
    <cfRule type="expression" dxfId="38" priority="63">
      <formula>$E32="Em análise"</formula>
    </cfRule>
  </conditionalFormatting>
  <conditionalFormatting sqref="B14">
    <cfRule type="expression" dxfId="37" priority="20">
      <formula>$E14="Pendente INSS"</formula>
    </cfRule>
    <cfRule type="expression" dxfId="36" priority="21">
      <formula>$E14="Concluída"</formula>
    </cfRule>
    <cfRule type="expression" dxfId="35" priority="22">
      <formula>$E14="Rejeitada"</formula>
    </cfRule>
    <cfRule type="expression" dxfId="34" priority="23">
      <formula>$E14="Em andamento"</formula>
    </cfRule>
    <cfRule type="expression" dxfId="33" priority="24">
      <formula>$E14="Em análise"</formula>
    </cfRule>
  </conditionalFormatting>
  <conditionalFormatting sqref="B14">
    <cfRule type="expression" dxfId="32" priority="19">
      <formula>$E14="Migrado Backlog"</formula>
    </cfRule>
  </conditionalFormatting>
  <conditionalFormatting sqref="B15">
    <cfRule type="expression" dxfId="31" priority="14">
      <formula>$E15="Pendente INSS"</formula>
    </cfRule>
    <cfRule type="expression" dxfId="30" priority="15">
      <formula>$E15="Concluída"</formula>
    </cfRule>
    <cfRule type="expression" dxfId="29" priority="16">
      <formula>$E15="Rejeitada"</formula>
    </cfRule>
    <cfRule type="expression" dxfId="28" priority="17">
      <formula>$E15="Em andamento"</formula>
    </cfRule>
    <cfRule type="expression" dxfId="27" priority="18">
      <formula>$E15="Em análise"</formula>
    </cfRule>
  </conditionalFormatting>
  <conditionalFormatting sqref="B15">
    <cfRule type="expression" dxfId="26" priority="13">
      <formula>$E15="Migrado Backlog"</formula>
    </cfRule>
  </conditionalFormatting>
  <conditionalFormatting sqref="B16">
    <cfRule type="expression" dxfId="25" priority="8">
      <formula>$E16="Pendente INSS"</formula>
    </cfRule>
    <cfRule type="expression" dxfId="24" priority="9">
      <formula>$E16="Concluída"</formula>
    </cfRule>
    <cfRule type="expression" dxfId="23" priority="10">
      <formula>$E16="Rejeitada"</formula>
    </cfRule>
    <cfRule type="expression" dxfId="22" priority="11">
      <formula>$E16="Em andamento"</formula>
    </cfRule>
    <cfRule type="expression" dxfId="21" priority="12">
      <formula>$E16="Em análise"</formula>
    </cfRule>
  </conditionalFormatting>
  <conditionalFormatting sqref="B16">
    <cfRule type="expression" dxfId="20" priority="7">
      <formula>$E16="Migrado Backlog"</formula>
    </cfRule>
  </conditionalFormatting>
  <conditionalFormatting sqref="M13">
    <cfRule type="expression" dxfId="19" priority="2">
      <formula>$E13="Pendente INSS"</formula>
    </cfRule>
    <cfRule type="expression" dxfId="18" priority="3">
      <formula>$E13="Concluída"</formula>
    </cfRule>
    <cfRule type="expression" dxfId="17" priority="4">
      <formula>$E13="Rejeitada"</formula>
    </cfRule>
    <cfRule type="expression" dxfId="16" priority="5">
      <formula>$E13="Em andamento"</formula>
    </cfRule>
    <cfRule type="expression" dxfId="15" priority="6">
      <formula>$E13="Em análise"</formula>
    </cfRule>
  </conditionalFormatting>
  <conditionalFormatting sqref="M13">
    <cfRule type="expression" dxfId="14" priority="1">
      <formula>$E13="Migrado Backlog"</formula>
    </cfRule>
  </conditionalFormatting>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4">
        <x14:dataValidation type="list" allowBlank="1" showInputMessage="1" showErrorMessage="1" xr:uid="{861430AB-A208-4460-AA5D-AD27280991B5}">
          <x14:formula1>
            <xm:f>Principal!$Q$18:$Q$22</xm:f>
          </x14:formula1>
          <xm:sqref>E38 E22:E23 E47:E53 E34</xm:sqref>
        </x14:dataValidation>
        <x14:dataValidation type="list" allowBlank="1" showInputMessage="1" showErrorMessage="1" xr:uid="{BD4B089E-B0CD-4551-9AD3-53DCCD7E1357}">
          <x14:formula1>
            <xm:f>Principal!$Q$18:$Q$23</xm:f>
          </x14:formula1>
          <xm:sqref>E19:E20 E10 E13:E15 E17</xm:sqref>
        </x14:dataValidation>
        <x14:dataValidation type="list" allowBlank="1" showInputMessage="1" showErrorMessage="1" xr:uid="{CB71F697-D9D9-4F0C-8E5C-B9E59A263C1D}">
          <x14:formula1>
            <xm:f>Principal!$Q$18:$Q$25</xm:f>
          </x14:formula1>
          <xm:sqref>E18 E35:E37 E39:E46 E21 E11:E12 E16 E6:E9 E24:E33</xm:sqref>
        </x14:dataValidation>
        <x14:dataValidation type="list" allowBlank="1" showInputMessage="1" showErrorMessage="1" xr:uid="{34BC8B19-9533-4901-9F79-E738BD566345}">
          <x14:formula1>
            <xm:f>Principal!$Q$25:$Q$27</xm:f>
          </x14:formula1>
          <xm:sqref>I6:I53</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62F6A-F1B1-46D0-BFEB-2F434734B720}">
  <dimension ref="A1:AC254"/>
  <sheetViews>
    <sheetView topLeftCell="A82" workbookViewId="0">
      <selection activeCell="A81" sqref="A81"/>
    </sheetView>
  </sheetViews>
  <sheetFormatPr defaultColWidth="9.140625" defaultRowHeight="14.45"/>
  <cols>
    <col min="1" max="1" width="27" style="66" customWidth="1"/>
    <col min="2" max="2" width="19.42578125" style="66" customWidth="1"/>
    <col min="3" max="3" width="34" style="66" customWidth="1"/>
    <col min="4" max="4" width="18.42578125" style="66" customWidth="1"/>
    <col min="5" max="5" width="35.28515625" style="66" customWidth="1"/>
    <col min="6" max="6" width="16.28515625" style="66" customWidth="1"/>
    <col min="7" max="7" width="20.140625" style="66" customWidth="1"/>
    <col min="8" max="8" width="21.5703125" style="66" customWidth="1"/>
    <col min="9" max="9" width="18.7109375" style="66" customWidth="1"/>
    <col min="10" max="10" width="17.42578125" style="66" customWidth="1"/>
    <col min="11" max="12" width="17.85546875" style="66" customWidth="1"/>
    <col min="13" max="13" width="17" style="66" bestFit="1" customWidth="1"/>
    <col min="14" max="14" width="18.140625" style="66" customWidth="1"/>
    <col min="15" max="15" width="22.42578125" style="66" customWidth="1"/>
    <col min="16" max="16" width="23.140625" style="66" customWidth="1"/>
    <col min="17" max="17" width="28.5703125" style="66" customWidth="1"/>
    <col min="18" max="18" width="25.42578125" style="66" customWidth="1"/>
    <col min="19" max="28" width="9.140625" style="66"/>
    <col min="29" max="29" width="16.140625" style="64" customWidth="1"/>
    <col min="30" max="16384" width="9.140625" style="66"/>
  </cols>
  <sheetData>
    <row r="1" spans="1:29">
      <c r="A1" s="360" t="s">
        <v>385</v>
      </c>
      <c r="B1" s="358"/>
      <c r="C1" s="358"/>
      <c r="D1" s="358"/>
      <c r="E1" s="359"/>
      <c r="F1" s="204"/>
      <c r="G1" s="201"/>
      <c r="H1" s="358" t="s">
        <v>386</v>
      </c>
      <c r="I1" s="358"/>
      <c r="J1" s="358"/>
      <c r="K1" s="358"/>
      <c r="L1" s="359"/>
      <c r="M1" s="202"/>
      <c r="N1" s="143"/>
      <c r="O1" s="143"/>
      <c r="P1" s="143"/>
      <c r="Q1" s="145"/>
      <c r="R1" s="145"/>
    </row>
    <row r="2" spans="1:29" ht="32.25" customHeight="1">
      <c r="A2" s="205">
        <v>10002595877</v>
      </c>
      <c r="B2" s="206">
        <v>20000206843</v>
      </c>
      <c r="C2" s="207" t="s">
        <v>387</v>
      </c>
      <c r="D2" s="208">
        <v>30481</v>
      </c>
      <c r="E2" s="199" t="s">
        <v>388</v>
      </c>
      <c r="F2" s="203"/>
      <c r="G2" s="165"/>
      <c r="H2" s="205">
        <v>10002528924</v>
      </c>
      <c r="I2" s="213">
        <v>20000200233</v>
      </c>
      <c r="J2" s="214" t="s">
        <v>389</v>
      </c>
      <c r="K2" s="215">
        <v>19929</v>
      </c>
      <c r="L2" s="216" t="s">
        <v>390</v>
      </c>
      <c r="M2" s="169"/>
      <c r="N2" s="168"/>
      <c r="O2" s="172"/>
      <c r="P2" s="110"/>
      <c r="Q2" s="146"/>
      <c r="R2" s="186"/>
    </row>
    <row r="3" spans="1:29" ht="24">
      <c r="A3" s="190">
        <v>10002596091</v>
      </c>
      <c r="B3" s="194">
        <v>20000206860</v>
      </c>
      <c r="C3" s="197" t="s">
        <v>391</v>
      </c>
      <c r="D3" s="198">
        <v>30996</v>
      </c>
      <c r="E3" s="167" t="s">
        <v>392</v>
      </c>
      <c r="F3" s="164"/>
      <c r="G3" s="110"/>
      <c r="H3" s="190">
        <v>10002532018</v>
      </c>
      <c r="I3" s="219">
        <v>20000200500</v>
      </c>
      <c r="J3" s="220" t="s">
        <v>393</v>
      </c>
      <c r="K3" s="221">
        <v>19518</v>
      </c>
      <c r="L3" s="193" t="s">
        <v>394</v>
      </c>
      <c r="M3" s="41"/>
      <c r="N3" s="170"/>
      <c r="O3" s="152"/>
      <c r="P3" s="110"/>
      <c r="Q3" s="147"/>
      <c r="R3" s="186"/>
      <c r="AC3" s="3"/>
    </row>
    <row r="4" spans="1:29" ht="24">
      <c r="A4" s="190">
        <v>10002596172</v>
      </c>
      <c r="B4" s="194">
        <v>20000206878</v>
      </c>
      <c r="C4" s="197" t="s">
        <v>395</v>
      </c>
      <c r="D4" s="198">
        <v>32455</v>
      </c>
      <c r="E4" s="167" t="s">
        <v>396</v>
      </c>
      <c r="F4" s="165"/>
      <c r="G4" s="110"/>
      <c r="H4" s="190">
        <v>10002535890</v>
      </c>
      <c r="I4" s="219">
        <v>20000200888</v>
      </c>
      <c r="J4" s="220" t="s">
        <v>397</v>
      </c>
      <c r="K4" s="221">
        <v>19955</v>
      </c>
      <c r="L4" s="193" t="s">
        <v>398</v>
      </c>
      <c r="M4" s="41"/>
      <c r="N4" s="154"/>
      <c r="O4" s="152"/>
      <c r="P4" s="110"/>
      <c r="Q4" s="147"/>
      <c r="R4" s="144"/>
      <c r="AC4" s="3"/>
    </row>
    <row r="5" spans="1:29" ht="24">
      <c r="A5" s="190">
        <v>10002596253</v>
      </c>
      <c r="B5" s="194">
        <v>20000206886</v>
      </c>
      <c r="C5" s="197" t="s">
        <v>399</v>
      </c>
      <c r="D5" s="198">
        <v>36573</v>
      </c>
      <c r="E5" s="167" t="s">
        <v>400</v>
      </c>
      <c r="F5" s="110"/>
      <c r="G5" s="110"/>
      <c r="H5" s="190">
        <v>10002550180</v>
      </c>
      <c r="I5" s="219">
        <v>20000202317</v>
      </c>
      <c r="J5" s="220" t="s">
        <v>401</v>
      </c>
      <c r="K5" s="221">
        <v>19159</v>
      </c>
      <c r="L5" s="193" t="s">
        <v>402</v>
      </c>
      <c r="M5" s="41"/>
      <c r="N5" s="155"/>
      <c r="O5" s="153"/>
      <c r="P5" s="110"/>
      <c r="Q5" s="147"/>
      <c r="R5" s="144"/>
      <c r="AC5" s="3"/>
    </row>
    <row r="6" spans="1:29" ht="24">
      <c r="A6" s="190">
        <v>10002596334</v>
      </c>
      <c r="B6" s="194">
        <v>20000206894</v>
      </c>
      <c r="C6" s="197" t="s">
        <v>403</v>
      </c>
      <c r="D6" s="198">
        <v>26514</v>
      </c>
      <c r="E6" s="167" t="s">
        <v>404</v>
      </c>
      <c r="F6" s="110"/>
      <c r="G6" s="110"/>
      <c r="H6" s="190">
        <v>10002552981</v>
      </c>
      <c r="I6" s="219">
        <v>20000202597</v>
      </c>
      <c r="J6" s="220" t="s">
        <v>405</v>
      </c>
      <c r="K6" s="221">
        <v>21652</v>
      </c>
      <c r="L6" s="193" t="s">
        <v>406</v>
      </c>
      <c r="M6" s="41"/>
      <c r="N6" s="154"/>
      <c r="O6" s="151"/>
      <c r="P6" s="110"/>
      <c r="Q6" s="147"/>
      <c r="R6" s="144"/>
      <c r="AC6" s="3"/>
    </row>
    <row r="7" spans="1:29" ht="24">
      <c r="A7" s="190">
        <v>10002596415</v>
      </c>
      <c r="B7" s="194">
        <v>20000206908</v>
      </c>
      <c r="C7" s="197" t="s">
        <v>407</v>
      </c>
      <c r="D7" s="198">
        <v>24056</v>
      </c>
      <c r="E7" s="167" t="s">
        <v>408</v>
      </c>
      <c r="F7" s="110"/>
      <c r="G7" s="98"/>
      <c r="H7" s="190">
        <v>10002587343</v>
      </c>
      <c r="I7" s="194">
        <v>20000206037</v>
      </c>
      <c r="J7" s="197" t="s">
        <v>409</v>
      </c>
      <c r="K7" s="198">
        <v>20110</v>
      </c>
      <c r="L7" s="167" t="s">
        <v>410</v>
      </c>
      <c r="M7" s="98"/>
      <c r="N7" s="98"/>
      <c r="O7" s="162"/>
      <c r="P7" s="114"/>
      <c r="Q7" s="173"/>
      <c r="R7" s="173"/>
      <c r="S7" s="173"/>
      <c r="T7" s="110"/>
      <c r="U7" s="110"/>
      <c r="V7" s="98"/>
      <c r="W7" s="98"/>
      <c r="X7" s="98"/>
      <c r="AC7" s="66"/>
    </row>
    <row r="8" spans="1:29" ht="24">
      <c r="A8" s="190">
        <v>10002596504</v>
      </c>
      <c r="B8" s="194">
        <v>20000206916</v>
      </c>
      <c r="C8" s="197" t="s">
        <v>411</v>
      </c>
      <c r="D8" s="198">
        <v>27914</v>
      </c>
      <c r="E8" s="167" t="s">
        <v>412</v>
      </c>
      <c r="F8" s="110"/>
      <c r="G8" s="98"/>
      <c r="H8" s="190">
        <v>10002529300</v>
      </c>
      <c r="I8" s="194">
        <v>20000200276</v>
      </c>
      <c r="J8" s="197" t="s">
        <v>413</v>
      </c>
      <c r="K8" s="198">
        <v>21323</v>
      </c>
      <c r="L8" s="167" t="s">
        <v>414</v>
      </c>
      <c r="M8" s="98"/>
      <c r="N8" s="101"/>
      <c r="O8" s="117"/>
      <c r="P8" s="114"/>
      <c r="Q8" s="114"/>
      <c r="R8" s="114"/>
      <c r="S8" s="114"/>
      <c r="T8" s="118"/>
      <c r="U8" s="110"/>
      <c r="V8" s="99"/>
      <c r="W8" s="102"/>
      <c r="X8" s="102"/>
      <c r="AC8" s="66"/>
    </row>
    <row r="9" spans="1:29">
      <c r="A9" s="190">
        <v>10002596687</v>
      </c>
      <c r="B9" s="194">
        <v>20000206924</v>
      </c>
      <c r="C9" s="197" t="s">
        <v>415</v>
      </c>
      <c r="D9" s="198">
        <v>24184</v>
      </c>
      <c r="E9" s="167" t="s">
        <v>416</v>
      </c>
      <c r="F9" s="110"/>
      <c r="G9" s="98"/>
      <c r="H9" s="190">
        <v>10002531470</v>
      </c>
      <c r="I9" s="194">
        <v>20000200489</v>
      </c>
      <c r="J9" s="197" t="s">
        <v>417</v>
      </c>
      <c r="K9" s="198">
        <v>19515</v>
      </c>
      <c r="L9" s="167" t="s">
        <v>418</v>
      </c>
      <c r="M9" s="98"/>
      <c r="N9" s="104"/>
      <c r="O9" s="98"/>
      <c r="P9" s="102"/>
      <c r="Q9" s="102"/>
      <c r="R9" s="102"/>
      <c r="S9" s="102"/>
      <c r="T9" s="115"/>
      <c r="U9" s="98"/>
      <c r="V9" s="99"/>
      <c r="W9" s="98"/>
      <c r="X9" s="98"/>
      <c r="AC9" s="66"/>
    </row>
    <row r="10" spans="1:29" ht="24">
      <c r="A10" s="190">
        <v>10002596768</v>
      </c>
      <c r="B10" s="192">
        <v>20000206932</v>
      </c>
      <c r="C10" s="197" t="s">
        <v>419</v>
      </c>
      <c r="D10" s="198">
        <v>30967</v>
      </c>
      <c r="E10" s="167" t="s">
        <v>420</v>
      </c>
      <c r="F10" s="110"/>
      <c r="G10" s="110"/>
      <c r="H10" s="190">
        <v>10002533090</v>
      </c>
      <c r="I10" s="194">
        <v>20000200608</v>
      </c>
      <c r="J10" s="197" t="s">
        <v>421</v>
      </c>
      <c r="K10" s="198">
        <v>20338</v>
      </c>
      <c r="L10" s="167" t="s">
        <v>422</v>
      </c>
      <c r="M10" s="98"/>
      <c r="N10" s="98"/>
      <c r="O10" s="98"/>
      <c r="P10" s="102"/>
      <c r="Q10" s="103"/>
      <c r="R10" s="103"/>
      <c r="S10" s="103"/>
      <c r="U10" s="98"/>
      <c r="V10" s="99"/>
      <c r="W10" s="98"/>
      <c r="X10" s="98"/>
      <c r="AC10" s="66"/>
    </row>
    <row r="11" spans="1:29" ht="24">
      <c r="A11" s="190">
        <v>10002596849</v>
      </c>
      <c r="B11" s="192">
        <v>20000206940</v>
      </c>
      <c r="C11" s="197" t="s">
        <v>423</v>
      </c>
      <c r="D11" s="198">
        <v>34292</v>
      </c>
      <c r="E11" s="167" t="s">
        <v>424</v>
      </c>
      <c r="F11" s="110"/>
      <c r="G11" s="110"/>
      <c r="H11" s="190">
        <v>10002532603</v>
      </c>
      <c r="I11" s="194">
        <v>20000200560</v>
      </c>
      <c r="J11" s="197" t="s">
        <v>425</v>
      </c>
      <c r="K11" s="198">
        <v>20259</v>
      </c>
      <c r="L11" s="167" t="s">
        <v>426</v>
      </c>
      <c r="M11" s="98"/>
      <c r="N11" s="98"/>
      <c r="O11" s="98"/>
      <c r="P11" s="102"/>
      <c r="Q11" s="102"/>
      <c r="R11" s="102"/>
      <c r="S11" s="102"/>
      <c r="T11" s="98"/>
      <c r="U11" s="98"/>
      <c r="V11" s="99"/>
      <c r="W11" s="98"/>
      <c r="X11" s="98"/>
      <c r="AC11" s="66"/>
    </row>
    <row r="12" spans="1:29" ht="24">
      <c r="A12" s="190">
        <v>10002596920</v>
      </c>
      <c r="B12" s="192">
        <v>20000206959</v>
      </c>
      <c r="C12" s="197" t="s">
        <v>427</v>
      </c>
      <c r="D12" s="198">
        <v>34253</v>
      </c>
      <c r="E12" s="167" t="s">
        <v>428</v>
      </c>
      <c r="F12" s="98"/>
      <c r="G12" s="98"/>
      <c r="H12" s="222">
        <v>10002534142</v>
      </c>
      <c r="I12" s="197">
        <v>20000200713</v>
      </c>
      <c r="J12" s="197" t="s">
        <v>429</v>
      </c>
      <c r="K12" s="223">
        <v>20972</v>
      </c>
      <c r="L12" s="224" t="s">
        <v>430</v>
      </c>
      <c r="M12" s="41"/>
      <c r="N12" s="154"/>
      <c r="O12" s="151"/>
      <c r="P12" s="147"/>
      <c r="Q12" s="147"/>
      <c r="AC12" s="3"/>
    </row>
    <row r="13" spans="1:29" ht="24">
      <c r="A13" s="190">
        <v>10002597063</v>
      </c>
      <c r="B13" s="192">
        <v>20000206967</v>
      </c>
      <c r="C13" s="197" t="s">
        <v>431</v>
      </c>
      <c r="D13" s="198">
        <v>27041</v>
      </c>
      <c r="E13" s="167" t="s">
        <v>432</v>
      </c>
      <c r="F13" s="98"/>
      <c r="G13" s="98"/>
      <c r="H13" s="222">
        <v>10002535203</v>
      </c>
      <c r="I13" s="197">
        <v>20000200829</v>
      </c>
      <c r="J13" s="197" t="s">
        <v>433</v>
      </c>
      <c r="K13" s="225">
        <v>22237</v>
      </c>
      <c r="L13" s="197" t="s">
        <v>434</v>
      </c>
      <c r="M13" s="41"/>
      <c r="N13" s="154"/>
      <c r="O13" s="151"/>
      <c r="P13" s="147"/>
      <c r="Q13" s="147"/>
      <c r="AC13" s="3"/>
    </row>
    <row r="14" spans="1:29" ht="24">
      <c r="A14" s="190">
        <v>10002597144</v>
      </c>
      <c r="B14" s="192">
        <v>20000206975</v>
      </c>
      <c r="C14" s="197" t="s">
        <v>435</v>
      </c>
      <c r="D14" s="198">
        <v>27159</v>
      </c>
      <c r="E14" s="167" t="s">
        <v>436</v>
      </c>
      <c r="F14" s="98"/>
      <c r="G14" s="98"/>
      <c r="H14" s="222">
        <v>10002536196</v>
      </c>
      <c r="I14" s="197">
        <v>20000200918</v>
      </c>
      <c r="J14" s="197" t="s">
        <v>437</v>
      </c>
      <c r="K14" s="225">
        <v>21378</v>
      </c>
      <c r="L14" s="197" t="s">
        <v>438</v>
      </c>
      <c r="M14" s="41"/>
      <c r="N14" s="154"/>
      <c r="O14" s="151"/>
      <c r="P14" s="147"/>
      <c r="Q14" s="147"/>
      <c r="AC14" s="3"/>
    </row>
    <row r="15" spans="1:29" ht="24">
      <c r="A15" s="190">
        <v>10002530074</v>
      </c>
      <c r="B15" s="194">
        <v>20000200349</v>
      </c>
      <c r="C15" s="197" t="s">
        <v>439</v>
      </c>
      <c r="D15" s="198">
        <v>24702</v>
      </c>
      <c r="E15" s="167" t="s">
        <v>440</v>
      </c>
      <c r="F15" s="98"/>
      <c r="G15" s="98"/>
      <c r="H15" s="222">
        <v>10002537672</v>
      </c>
      <c r="I15" s="197">
        <v>20000201060</v>
      </c>
      <c r="J15" s="197" t="s">
        <v>441</v>
      </c>
      <c r="K15" s="225">
        <v>18895</v>
      </c>
      <c r="L15" s="197" t="s">
        <v>442</v>
      </c>
      <c r="M15" s="41"/>
      <c r="N15" s="154"/>
      <c r="O15" s="151"/>
      <c r="P15" s="147"/>
      <c r="Q15" s="147"/>
      <c r="AC15" s="3"/>
    </row>
    <row r="16" spans="1:29" ht="24">
      <c r="A16" s="190">
        <v>10002535629</v>
      </c>
      <c r="B16" s="194">
        <v>20000200861</v>
      </c>
      <c r="C16" s="197" t="s">
        <v>443</v>
      </c>
      <c r="D16" s="198">
        <v>28866</v>
      </c>
      <c r="E16" s="167" t="s">
        <v>444</v>
      </c>
      <c r="F16" s="98"/>
      <c r="G16" s="98"/>
      <c r="H16" s="222">
        <v>10002538644</v>
      </c>
      <c r="I16" s="197">
        <v>20000201167</v>
      </c>
      <c r="J16" s="197" t="s">
        <v>445</v>
      </c>
      <c r="K16" s="225">
        <v>21219</v>
      </c>
      <c r="L16" s="197" t="s">
        <v>446</v>
      </c>
      <c r="M16" s="100"/>
      <c r="N16" s="154"/>
      <c r="O16" s="151"/>
      <c r="P16" s="147"/>
      <c r="Q16" s="147"/>
    </row>
    <row r="17" spans="1:17" ht="24">
      <c r="A17" s="190">
        <v>10002538130</v>
      </c>
      <c r="B17" s="194">
        <v>20000201116</v>
      </c>
      <c r="C17" s="197" t="s">
        <v>447</v>
      </c>
      <c r="D17" s="198">
        <v>32549</v>
      </c>
      <c r="E17" s="167" t="s">
        <v>448</v>
      </c>
      <c r="F17" s="98"/>
      <c r="G17" s="98"/>
      <c r="H17" s="226">
        <v>10002539292</v>
      </c>
      <c r="I17" s="197">
        <v>20000201221</v>
      </c>
      <c r="J17" s="197" t="s">
        <v>449</v>
      </c>
      <c r="K17" s="225">
        <v>18366</v>
      </c>
      <c r="L17" s="197" t="s">
        <v>450</v>
      </c>
      <c r="M17" s="105"/>
      <c r="N17" s="154"/>
      <c r="O17" s="151"/>
      <c r="P17" s="147"/>
      <c r="Q17" s="147"/>
    </row>
    <row r="18" spans="1:17" ht="24">
      <c r="A18" s="190">
        <v>10002536439</v>
      </c>
      <c r="B18" s="192">
        <v>20000200942</v>
      </c>
      <c r="C18" s="197" t="s">
        <v>451</v>
      </c>
      <c r="D18" s="198">
        <v>23307</v>
      </c>
      <c r="E18" s="167" t="s">
        <v>452</v>
      </c>
      <c r="F18" s="98"/>
      <c r="G18" s="98"/>
      <c r="H18" s="222">
        <v>10002533413</v>
      </c>
      <c r="I18" s="224">
        <v>20000200640</v>
      </c>
      <c r="J18" s="224" t="s">
        <v>453</v>
      </c>
      <c r="K18" s="223">
        <v>18947</v>
      </c>
      <c r="L18" s="224" t="s">
        <v>454</v>
      </c>
      <c r="M18" s="105"/>
      <c r="N18" s="156"/>
      <c r="O18" s="151"/>
      <c r="P18" s="150"/>
      <c r="Q18" s="150"/>
    </row>
    <row r="19" spans="1:17" ht="24">
      <c r="A19" s="190">
        <v>10002540703</v>
      </c>
      <c r="B19" s="192">
        <v>20000201370</v>
      </c>
      <c r="C19" s="197" t="s">
        <v>455</v>
      </c>
      <c r="D19" s="198">
        <v>34582</v>
      </c>
      <c r="E19" s="167" t="s">
        <v>456</v>
      </c>
      <c r="F19" s="98"/>
      <c r="G19" s="98"/>
      <c r="H19" s="222">
        <v>10002534495</v>
      </c>
      <c r="I19" s="197">
        <v>20000200748</v>
      </c>
      <c r="J19" s="197" t="s">
        <v>457</v>
      </c>
      <c r="K19" s="225">
        <v>19645</v>
      </c>
      <c r="L19" s="197" t="s">
        <v>458</v>
      </c>
      <c r="M19" s="100"/>
      <c r="N19" s="157"/>
      <c r="O19" s="151"/>
      <c r="P19" s="150"/>
      <c r="Q19" s="150"/>
    </row>
    <row r="20" spans="1:17" ht="24">
      <c r="A20" s="190">
        <v>10002541866</v>
      </c>
      <c r="B20" s="192">
        <v>20000201485</v>
      </c>
      <c r="C20" s="197" t="s">
        <v>459</v>
      </c>
      <c r="D20" s="198">
        <v>36533</v>
      </c>
      <c r="E20" s="167" t="s">
        <v>460</v>
      </c>
      <c r="F20" s="98"/>
      <c r="G20" s="98"/>
      <c r="H20" s="222">
        <v>10002534819</v>
      </c>
      <c r="I20" s="197">
        <v>20000200780</v>
      </c>
      <c r="J20" s="197" t="s">
        <v>461</v>
      </c>
      <c r="K20" s="225">
        <v>21189</v>
      </c>
      <c r="L20" s="197" t="s">
        <v>462</v>
      </c>
      <c r="M20" s="105"/>
      <c r="N20" s="157"/>
      <c r="O20" s="151"/>
      <c r="P20" s="150"/>
      <c r="Q20" s="150"/>
    </row>
    <row r="21" spans="1:17" ht="24">
      <c r="A21" s="190">
        <v>10002544024</v>
      </c>
      <c r="B21" s="192">
        <v>20000201701</v>
      </c>
      <c r="C21" s="197" t="s">
        <v>463</v>
      </c>
      <c r="D21" s="198">
        <v>28037</v>
      </c>
      <c r="E21" s="167" t="s">
        <v>464</v>
      </c>
      <c r="F21" s="98"/>
      <c r="G21" s="98"/>
      <c r="H21" s="222">
        <v>10002534908</v>
      </c>
      <c r="I21" s="197">
        <v>20000200799</v>
      </c>
      <c r="J21" s="197" t="s">
        <v>465</v>
      </c>
      <c r="K21" s="225">
        <v>22085</v>
      </c>
      <c r="L21" s="197" t="s">
        <v>466</v>
      </c>
      <c r="M21" s="100"/>
      <c r="N21" s="157"/>
      <c r="O21" s="151"/>
      <c r="P21" s="150"/>
      <c r="Q21" s="150"/>
    </row>
    <row r="22" spans="1:17" ht="24">
      <c r="A22" s="190">
        <v>10002545349</v>
      </c>
      <c r="B22" s="192">
        <v>20000201833</v>
      </c>
      <c r="C22" s="197" t="s">
        <v>467</v>
      </c>
      <c r="D22" s="198">
        <v>23883</v>
      </c>
      <c r="E22" s="167" t="s">
        <v>468</v>
      </c>
      <c r="F22" s="98"/>
      <c r="G22" s="98"/>
      <c r="H22" s="222">
        <v>10002535386</v>
      </c>
      <c r="I22" s="197">
        <v>20000200837</v>
      </c>
      <c r="J22" s="197" t="s">
        <v>469</v>
      </c>
      <c r="K22" s="225">
        <v>22232</v>
      </c>
      <c r="L22" s="197" t="s">
        <v>470</v>
      </c>
      <c r="M22" s="105"/>
      <c r="N22" s="157"/>
      <c r="O22" s="151"/>
      <c r="P22" s="150"/>
      <c r="Q22" s="150"/>
    </row>
    <row r="23" spans="1:17" ht="24">
      <c r="A23" s="190">
        <v>10002547473</v>
      </c>
      <c r="B23" s="194">
        <v>20000202040</v>
      </c>
      <c r="C23" s="197" t="s">
        <v>471</v>
      </c>
      <c r="D23" s="198">
        <v>25391</v>
      </c>
      <c r="E23" s="167" t="s">
        <v>472</v>
      </c>
      <c r="F23" s="98"/>
      <c r="G23" s="98"/>
      <c r="H23" s="222">
        <v>10002570882</v>
      </c>
      <c r="I23" s="197">
        <v>20000204387</v>
      </c>
      <c r="J23" s="197" t="s">
        <v>473</v>
      </c>
      <c r="K23" s="225">
        <v>22139</v>
      </c>
      <c r="L23" s="197" t="s">
        <v>474</v>
      </c>
      <c r="M23" s="100"/>
      <c r="N23" s="158"/>
      <c r="O23" s="151"/>
      <c r="P23" s="150"/>
      <c r="Q23" s="150"/>
    </row>
    <row r="24" spans="1:17" ht="24">
      <c r="A24" s="190">
        <v>10002552396</v>
      </c>
      <c r="B24" s="194">
        <v>20000202538</v>
      </c>
      <c r="C24" s="197" t="s">
        <v>475</v>
      </c>
      <c r="D24" s="198">
        <v>30211</v>
      </c>
      <c r="E24" s="167" t="s">
        <v>476</v>
      </c>
      <c r="F24" s="98"/>
      <c r="G24" s="98"/>
      <c r="H24" s="222">
        <v>10002529491</v>
      </c>
      <c r="I24" s="197">
        <v>20000200284</v>
      </c>
      <c r="J24" s="197" t="s">
        <v>477</v>
      </c>
      <c r="K24" s="227">
        <v>21798</v>
      </c>
      <c r="L24" s="197" t="s">
        <v>478</v>
      </c>
      <c r="M24" s="105"/>
      <c r="N24" s="107"/>
      <c r="O24" s="151"/>
      <c r="P24" s="150"/>
      <c r="Q24" s="150"/>
    </row>
    <row r="25" spans="1:17" ht="24">
      <c r="A25" s="190">
        <v>10002555654</v>
      </c>
      <c r="B25" s="194">
        <v>20000202864</v>
      </c>
      <c r="C25" s="197" t="s">
        <v>479</v>
      </c>
      <c r="D25" s="198">
        <v>36808</v>
      </c>
      <c r="E25" s="167" t="s">
        <v>480</v>
      </c>
      <c r="F25" s="98"/>
      <c r="G25" s="98"/>
      <c r="H25" s="190">
        <v>10002532280</v>
      </c>
      <c r="I25" s="219">
        <v>20000200527</v>
      </c>
      <c r="J25" s="220" t="s">
        <v>481</v>
      </c>
      <c r="K25" s="221">
        <v>18455</v>
      </c>
      <c r="L25" s="193" t="s">
        <v>482</v>
      </c>
      <c r="M25" s="111"/>
      <c r="N25" s="107"/>
      <c r="O25" s="151"/>
      <c r="P25" s="150"/>
      <c r="Q25" s="150"/>
    </row>
    <row r="26" spans="1:17" ht="24">
      <c r="A26" s="190">
        <v>10002556383</v>
      </c>
      <c r="B26" s="194">
        <v>20000202937</v>
      </c>
      <c r="C26" s="197" t="s">
        <v>483</v>
      </c>
      <c r="D26" s="198">
        <v>33159</v>
      </c>
      <c r="E26" s="167" t="s">
        <v>484</v>
      </c>
      <c r="F26" s="98"/>
      <c r="G26" s="98"/>
      <c r="H26" s="190">
        <v>10002531399</v>
      </c>
      <c r="I26" s="219">
        <v>20000200470</v>
      </c>
      <c r="J26" s="220" t="s">
        <v>485</v>
      </c>
      <c r="K26" s="221">
        <v>20343</v>
      </c>
      <c r="L26" s="193" t="s">
        <v>486</v>
      </c>
      <c r="M26" s="105"/>
      <c r="N26" s="128"/>
      <c r="O26" s="151"/>
      <c r="P26" s="150"/>
      <c r="Q26" s="150"/>
    </row>
    <row r="27" spans="1:17">
      <c r="A27" s="190">
        <v>10002558912</v>
      </c>
      <c r="B27" s="192">
        <v>20000203194</v>
      </c>
      <c r="C27" s="197" t="s">
        <v>487</v>
      </c>
      <c r="D27" s="198">
        <v>31553</v>
      </c>
      <c r="E27" s="167" t="s">
        <v>488</v>
      </c>
      <c r="F27" s="98"/>
      <c r="G27" s="98"/>
      <c r="H27" s="196"/>
      <c r="I27" s="150"/>
      <c r="J27" s="114"/>
      <c r="K27" s="195"/>
      <c r="L27" s="117"/>
      <c r="M27" s="111"/>
      <c r="N27" s="159"/>
      <c r="O27" s="151"/>
      <c r="P27" s="150"/>
      <c r="Q27" s="150"/>
    </row>
    <row r="28" spans="1:17">
      <c r="A28" s="190">
        <v>10002559560</v>
      </c>
      <c r="B28" s="192">
        <v>20000203259</v>
      </c>
      <c r="C28" s="197" t="s">
        <v>489</v>
      </c>
      <c r="D28" s="198">
        <v>36297</v>
      </c>
      <c r="E28" s="167" t="s">
        <v>490</v>
      </c>
      <c r="F28" s="98"/>
      <c r="G28" s="98"/>
      <c r="H28" s="196"/>
      <c r="I28" s="150"/>
      <c r="J28" s="114"/>
      <c r="K28" s="195"/>
      <c r="L28" s="117"/>
      <c r="M28" s="108"/>
      <c r="N28" s="107"/>
      <c r="O28" s="151"/>
      <c r="P28" s="150"/>
      <c r="Q28" s="150"/>
    </row>
    <row r="29" spans="1:17">
      <c r="A29" s="190">
        <v>10002562278</v>
      </c>
      <c r="B29" s="192">
        <v>20000203526</v>
      </c>
      <c r="C29" s="197" t="s">
        <v>491</v>
      </c>
      <c r="D29" s="198">
        <v>32956</v>
      </c>
      <c r="E29" s="167" t="s">
        <v>492</v>
      </c>
      <c r="F29" s="98"/>
      <c r="G29" s="98"/>
      <c r="H29" s="196"/>
      <c r="I29" s="150"/>
      <c r="J29" s="114"/>
      <c r="K29" s="195"/>
      <c r="L29" s="117"/>
      <c r="M29" s="111"/>
      <c r="N29" s="113"/>
      <c r="O29" s="151"/>
      <c r="P29" s="150"/>
      <c r="Q29" s="150"/>
    </row>
    <row r="30" spans="1:17">
      <c r="A30" s="190">
        <v>10002563240</v>
      </c>
      <c r="B30" s="192">
        <v>20000203623</v>
      </c>
      <c r="C30" s="197" t="s">
        <v>493</v>
      </c>
      <c r="D30" s="198">
        <v>31859</v>
      </c>
      <c r="E30" s="167" t="s">
        <v>494</v>
      </c>
      <c r="F30" s="98"/>
      <c r="G30" s="98"/>
      <c r="H30" s="196"/>
      <c r="I30" s="150"/>
      <c r="J30" s="114"/>
      <c r="K30" s="195"/>
      <c r="L30" s="117"/>
      <c r="M30" s="105"/>
      <c r="N30" s="102"/>
      <c r="O30" s="144"/>
      <c r="P30" s="150"/>
      <c r="Q30" s="150"/>
    </row>
    <row r="31" spans="1:17">
      <c r="A31" s="190">
        <v>10002565536</v>
      </c>
      <c r="B31" s="192">
        <v>20000203852</v>
      </c>
      <c r="C31" s="197" t="s">
        <v>495</v>
      </c>
      <c r="D31" s="198">
        <v>32619</v>
      </c>
      <c r="E31" s="167" t="s">
        <v>496</v>
      </c>
      <c r="F31" s="122"/>
      <c r="G31" s="98"/>
      <c r="H31" s="196"/>
      <c r="I31" s="150"/>
      <c r="J31" s="114"/>
      <c r="K31" s="195"/>
      <c r="L31" s="117"/>
      <c r="M31" s="111"/>
      <c r="N31" s="107"/>
      <c r="O31" s="144"/>
      <c r="P31" s="144"/>
      <c r="Q31" s="144"/>
    </row>
    <row r="32" spans="1:17">
      <c r="A32" s="190">
        <v>10002567237</v>
      </c>
      <c r="B32" s="194">
        <v>20000204026</v>
      </c>
      <c r="C32" s="197" t="s">
        <v>497</v>
      </c>
      <c r="D32" s="198">
        <v>30743</v>
      </c>
      <c r="E32" s="167" t="s">
        <v>498</v>
      </c>
      <c r="F32" s="98"/>
      <c r="G32" s="98"/>
      <c r="H32" s="162"/>
      <c r="I32" s="114"/>
      <c r="J32" s="114"/>
      <c r="K32" s="217"/>
      <c r="L32" s="179"/>
      <c r="M32" s="105"/>
      <c r="N32" s="130"/>
      <c r="O32" s="144"/>
      <c r="P32" s="144"/>
      <c r="Q32" s="144"/>
    </row>
    <row r="33" spans="1:17">
      <c r="A33" s="190">
        <v>10002566850</v>
      </c>
      <c r="B33" s="194">
        <v>20000203984</v>
      </c>
      <c r="C33" s="197" t="s">
        <v>499</v>
      </c>
      <c r="D33" s="198">
        <v>35296</v>
      </c>
      <c r="E33" s="167" t="s">
        <v>500</v>
      </c>
      <c r="F33" s="98"/>
      <c r="G33" s="98"/>
      <c r="H33" s="162"/>
      <c r="I33" s="114"/>
      <c r="J33" s="114"/>
      <c r="K33" s="218"/>
      <c r="L33" s="114"/>
      <c r="M33" s="111"/>
      <c r="N33" s="110"/>
      <c r="O33" s="148"/>
      <c r="P33" s="144"/>
      <c r="Q33" s="144"/>
    </row>
    <row r="34" spans="1:17">
      <c r="A34" s="190">
        <v>10002572311</v>
      </c>
      <c r="B34" s="194">
        <v>20000204530</v>
      </c>
      <c r="C34" s="197" t="s">
        <v>501</v>
      </c>
      <c r="D34" s="198">
        <v>29142</v>
      </c>
      <c r="E34" s="167" t="s">
        <v>502</v>
      </c>
      <c r="F34" s="98"/>
      <c r="G34" s="98"/>
      <c r="H34" s="162"/>
      <c r="I34" s="114"/>
      <c r="J34" s="114"/>
      <c r="K34" s="218"/>
      <c r="L34" s="114"/>
      <c r="M34" s="105"/>
      <c r="N34" s="100"/>
      <c r="O34" s="148"/>
      <c r="P34" s="148"/>
      <c r="Q34" s="148"/>
    </row>
    <row r="35" spans="1:17">
      <c r="A35" s="190">
        <v>10002574608</v>
      </c>
      <c r="B35" s="194">
        <v>20000204760</v>
      </c>
      <c r="C35" s="197" t="s">
        <v>503</v>
      </c>
      <c r="D35" s="198">
        <v>35658</v>
      </c>
      <c r="E35" s="167" t="s">
        <v>504</v>
      </c>
      <c r="F35" s="98"/>
      <c r="G35" s="98"/>
      <c r="H35" s="162"/>
      <c r="I35" s="114"/>
      <c r="J35" s="114"/>
      <c r="K35" s="218"/>
      <c r="L35" s="114"/>
      <c r="M35" s="111"/>
      <c r="N35" s="110"/>
      <c r="O35" s="148"/>
      <c r="P35" s="148"/>
      <c r="Q35" s="148"/>
    </row>
    <row r="36" spans="1:17">
      <c r="A36" s="190">
        <v>10002575760</v>
      </c>
      <c r="B36" s="194">
        <v>20000204875</v>
      </c>
      <c r="C36" s="197" t="s">
        <v>505</v>
      </c>
      <c r="D36" s="198">
        <v>31328</v>
      </c>
      <c r="E36" s="167" t="s">
        <v>506</v>
      </c>
      <c r="F36" s="118"/>
      <c r="G36" s="98"/>
      <c r="H36" s="162"/>
      <c r="I36" s="114"/>
      <c r="J36" s="114"/>
      <c r="K36" s="218"/>
      <c r="L36" s="114"/>
      <c r="M36" s="105"/>
      <c r="N36" s="110"/>
      <c r="O36" s="148"/>
      <c r="P36" s="148"/>
      <c r="Q36" s="148"/>
    </row>
    <row r="37" spans="1:17">
      <c r="A37" s="190">
        <v>10002574284</v>
      </c>
      <c r="B37" s="194">
        <v>20000204727</v>
      </c>
      <c r="C37" s="197" t="s">
        <v>507</v>
      </c>
      <c r="D37" s="198">
        <v>23546</v>
      </c>
      <c r="E37" s="167" t="s">
        <v>508</v>
      </c>
      <c r="F37" s="98"/>
      <c r="G37" s="98"/>
      <c r="H37" s="163"/>
      <c r="I37" s="114"/>
      <c r="J37" s="114"/>
      <c r="K37" s="218"/>
      <c r="L37" s="114"/>
      <c r="M37" s="105"/>
      <c r="N37" s="110"/>
      <c r="O37" s="98"/>
      <c r="P37" s="148"/>
      <c r="Q37" s="148"/>
    </row>
    <row r="38" spans="1:17">
      <c r="A38" s="190">
        <v>10002577976</v>
      </c>
      <c r="B38" s="194">
        <v>20000205090</v>
      </c>
      <c r="C38" s="197" t="s">
        <v>509</v>
      </c>
      <c r="D38" s="198">
        <v>29769</v>
      </c>
      <c r="E38" s="167" t="s">
        <v>510</v>
      </c>
      <c r="F38" s="98"/>
      <c r="G38" s="98"/>
      <c r="H38" s="162"/>
      <c r="I38" s="179"/>
      <c r="J38" s="179"/>
      <c r="K38" s="217"/>
      <c r="L38" s="179"/>
      <c r="M38" s="110"/>
      <c r="N38" s="110"/>
      <c r="O38" s="98"/>
      <c r="P38" s="98"/>
      <c r="Q38" s="98"/>
    </row>
    <row r="39" spans="1:17">
      <c r="A39" s="190">
        <v>10002580683</v>
      </c>
      <c r="B39" s="194">
        <v>20000205367</v>
      </c>
      <c r="C39" s="197" t="s">
        <v>511</v>
      </c>
      <c r="D39" s="198">
        <v>24753</v>
      </c>
      <c r="E39" s="167" t="s">
        <v>512</v>
      </c>
      <c r="F39" s="98"/>
      <c r="G39" s="98"/>
      <c r="H39" s="162"/>
      <c r="I39" s="114"/>
      <c r="J39" s="114"/>
      <c r="K39" s="218"/>
      <c r="L39" s="114"/>
      <c r="M39" s="110"/>
      <c r="N39" s="110"/>
      <c r="O39" s="98"/>
      <c r="P39" s="98"/>
      <c r="Q39" s="98"/>
    </row>
    <row r="40" spans="1:17">
      <c r="A40" s="190">
        <v>10002581060</v>
      </c>
      <c r="B40" s="194">
        <v>20000205405</v>
      </c>
      <c r="C40" s="197" t="s">
        <v>513</v>
      </c>
      <c r="D40" s="198">
        <v>29627</v>
      </c>
      <c r="E40" s="167" t="s">
        <v>514</v>
      </c>
      <c r="F40" s="98"/>
      <c r="G40" s="98"/>
      <c r="H40" s="162"/>
      <c r="I40" s="114"/>
      <c r="J40" s="114"/>
      <c r="K40" s="218"/>
      <c r="L40" s="114"/>
      <c r="M40" s="111"/>
      <c r="N40" s="110"/>
      <c r="O40" s="98"/>
      <c r="P40" s="98"/>
      <c r="Q40" s="98"/>
    </row>
    <row r="41" spans="1:17">
      <c r="A41" s="190">
        <v>10002584085</v>
      </c>
      <c r="B41" s="194">
        <v>20000205707</v>
      </c>
      <c r="C41" s="197" t="s">
        <v>515</v>
      </c>
      <c r="D41" s="198">
        <v>25673</v>
      </c>
      <c r="E41" s="167" t="s">
        <v>516</v>
      </c>
      <c r="F41" s="98"/>
      <c r="G41" s="98"/>
      <c r="H41" s="162"/>
      <c r="I41" s="114"/>
      <c r="J41" s="173"/>
      <c r="K41" s="218"/>
      <c r="L41" s="114"/>
      <c r="M41" s="110"/>
      <c r="N41" s="110"/>
      <c r="O41" s="98"/>
      <c r="P41" s="98"/>
      <c r="Q41" s="98"/>
    </row>
    <row r="42" spans="1:17">
      <c r="A42" s="190">
        <v>10002585219</v>
      </c>
      <c r="B42" s="194">
        <v>20000205820</v>
      </c>
      <c r="C42" s="197" t="s">
        <v>517</v>
      </c>
      <c r="D42" s="198">
        <v>26242</v>
      </c>
      <c r="E42" s="167" t="s">
        <v>518</v>
      </c>
      <c r="F42" s="98"/>
      <c r="G42" s="98"/>
      <c r="H42" s="162"/>
      <c r="I42" s="114"/>
      <c r="J42" s="173"/>
      <c r="K42" s="218"/>
      <c r="L42" s="114"/>
      <c r="M42" s="110"/>
      <c r="N42" s="110"/>
      <c r="O42" s="98"/>
      <c r="P42" s="98"/>
      <c r="Q42" s="98"/>
    </row>
    <row r="43" spans="1:17">
      <c r="A43" s="190">
        <v>10002588668</v>
      </c>
      <c r="B43" s="194">
        <v>20000206169</v>
      </c>
      <c r="C43" s="197" t="s">
        <v>519</v>
      </c>
      <c r="D43" s="198">
        <v>30596</v>
      </c>
      <c r="E43" s="167" t="s">
        <v>520</v>
      </c>
      <c r="F43" s="98"/>
      <c r="G43" s="98"/>
      <c r="H43" s="162"/>
      <c r="I43" s="114"/>
      <c r="J43" s="173"/>
      <c r="K43" s="218"/>
      <c r="L43" s="114"/>
      <c r="M43" s="110"/>
      <c r="N43" s="110"/>
      <c r="O43" s="98"/>
      <c r="P43" s="98"/>
      <c r="Q43" s="98"/>
    </row>
    <row r="44" spans="1:17">
      <c r="A44" s="190">
        <v>10002591960</v>
      </c>
      <c r="B44" s="194">
        <v>20000206495</v>
      </c>
      <c r="C44" s="197" t="s">
        <v>521</v>
      </c>
      <c r="D44" s="198">
        <v>28534</v>
      </c>
      <c r="E44" s="167" t="s">
        <v>522</v>
      </c>
      <c r="F44" s="98"/>
      <c r="G44" s="98"/>
      <c r="H44" s="162"/>
      <c r="I44" s="114"/>
      <c r="J44" s="173"/>
      <c r="K44" s="114"/>
      <c r="L44" s="114"/>
      <c r="M44" s="110"/>
      <c r="N44" s="110"/>
      <c r="O44" s="98"/>
      <c r="P44" s="98"/>
      <c r="Q44" s="98"/>
    </row>
    <row r="45" spans="1:17">
      <c r="A45" s="190">
        <v>10002593408</v>
      </c>
      <c r="B45" s="194">
        <v>20000206649</v>
      </c>
      <c r="C45" s="197" t="s">
        <v>523</v>
      </c>
      <c r="D45" s="198">
        <v>35066</v>
      </c>
      <c r="E45" s="167" t="s">
        <v>524</v>
      </c>
      <c r="F45" s="98"/>
      <c r="G45" s="98"/>
      <c r="H45" s="110"/>
      <c r="I45" s="114"/>
      <c r="J45" s="114"/>
      <c r="K45" s="114"/>
      <c r="L45" s="114"/>
      <c r="M45" s="110"/>
      <c r="N45" s="110"/>
      <c r="O45" s="98"/>
      <c r="P45" s="98"/>
      <c r="Q45" s="98"/>
    </row>
    <row r="46" spans="1:17">
      <c r="A46" s="190">
        <v>10002595605</v>
      </c>
      <c r="B46" s="194">
        <v>20000206827</v>
      </c>
      <c r="C46" s="197" t="s">
        <v>525</v>
      </c>
      <c r="D46" s="198">
        <v>29867</v>
      </c>
      <c r="E46" s="167" t="s">
        <v>526</v>
      </c>
      <c r="F46" s="98"/>
      <c r="G46" s="98"/>
      <c r="H46" s="110"/>
      <c r="I46" s="114"/>
      <c r="J46" s="114"/>
      <c r="K46" s="114"/>
      <c r="L46" s="114"/>
      <c r="M46" s="110"/>
      <c r="N46" s="110"/>
      <c r="O46" s="98"/>
      <c r="P46" s="98"/>
      <c r="Q46" s="98"/>
    </row>
    <row r="47" spans="1:17">
      <c r="A47" s="190">
        <v>10002595958</v>
      </c>
      <c r="B47" s="194">
        <v>20000206851</v>
      </c>
      <c r="C47" s="197" t="s">
        <v>527</v>
      </c>
      <c r="D47" s="198">
        <v>26068</v>
      </c>
      <c r="E47" s="167" t="s">
        <v>528</v>
      </c>
      <c r="F47" s="98"/>
      <c r="G47" s="98"/>
      <c r="H47" s="110"/>
      <c r="I47" s="114"/>
      <c r="J47" s="114"/>
      <c r="K47" s="114"/>
      <c r="L47" s="114"/>
      <c r="M47" s="122"/>
      <c r="N47" s="110"/>
      <c r="O47" s="98"/>
      <c r="P47" s="98"/>
      <c r="Q47" s="98"/>
    </row>
    <row r="48" spans="1:17">
      <c r="A48" s="190">
        <v>10002530317</v>
      </c>
      <c r="B48" s="194">
        <v>20000200373</v>
      </c>
      <c r="C48" s="197" t="s">
        <v>529</v>
      </c>
      <c r="D48" s="198">
        <v>26590</v>
      </c>
      <c r="E48" s="167" t="s">
        <v>530</v>
      </c>
      <c r="F48" s="98"/>
      <c r="G48" s="98"/>
      <c r="H48" s="110"/>
      <c r="I48" s="114"/>
      <c r="J48" s="114"/>
      <c r="K48" s="114"/>
      <c r="L48" s="114"/>
      <c r="M48" s="122"/>
      <c r="N48" s="110"/>
      <c r="O48" s="110"/>
      <c r="P48" s="98"/>
      <c r="Q48" s="98"/>
    </row>
    <row r="49" spans="1:17">
      <c r="A49" s="190">
        <v>10002528681</v>
      </c>
      <c r="B49" s="194">
        <v>20000200209</v>
      </c>
      <c r="C49" s="197" t="s">
        <v>531</v>
      </c>
      <c r="D49" s="198">
        <v>31279</v>
      </c>
      <c r="E49" s="167" t="s">
        <v>532</v>
      </c>
      <c r="F49" s="98"/>
      <c r="G49" s="98"/>
      <c r="H49" s="110"/>
      <c r="I49" s="114"/>
      <c r="J49" s="114"/>
      <c r="K49" s="114"/>
      <c r="L49" s="114"/>
      <c r="M49" s="127"/>
      <c r="N49" s="110"/>
      <c r="O49" s="110"/>
      <c r="P49" s="98"/>
      <c r="Q49" s="98"/>
    </row>
    <row r="50" spans="1:17">
      <c r="A50" s="190">
        <v>10002529068</v>
      </c>
      <c r="B50" s="194">
        <v>20000200241</v>
      </c>
      <c r="C50" s="197" t="s">
        <v>533</v>
      </c>
      <c r="D50" s="198">
        <v>28658</v>
      </c>
      <c r="E50" s="167" t="s">
        <v>534</v>
      </c>
      <c r="F50" s="98"/>
      <c r="G50" s="98"/>
      <c r="H50" s="110"/>
      <c r="I50" s="114"/>
      <c r="J50" s="114"/>
      <c r="K50" s="114"/>
      <c r="L50" s="114"/>
      <c r="M50" s="110"/>
      <c r="N50" s="110"/>
      <c r="O50" s="110"/>
      <c r="P50" s="98"/>
      <c r="Q50" s="98"/>
    </row>
    <row r="51" spans="1:17">
      <c r="A51" s="190">
        <v>10002529149</v>
      </c>
      <c r="B51" s="194">
        <v>20000200250</v>
      </c>
      <c r="C51" s="197" t="s">
        <v>535</v>
      </c>
      <c r="D51" s="198">
        <v>34368</v>
      </c>
      <c r="E51" s="167" t="s">
        <v>536</v>
      </c>
      <c r="F51" s="98"/>
      <c r="G51" s="98"/>
      <c r="H51" s="110"/>
      <c r="I51" s="114"/>
      <c r="J51" s="114"/>
      <c r="K51" s="114"/>
      <c r="L51" s="114"/>
      <c r="M51" s="110"/>
      <c r="N51" s="110"/>
      <c r="O51" s="110"/>
      <c r="P51" s="98"/>
      <c r="Q51" s="98"/>
    </row>
    <row r="52" spans="1:17">
      <c r="A52" s="190">
        <v>10002529220</v>
      </c>
      <c r="B52" s="194">
        <v>20000200268</v>
      </c>
      <c r="C52" s="197" t="s">
        <v>537</v>
      </c>
      <c r="D52" s="198">
        <v>28765</v>
      </c>
      <c r="E52" s="167" t="s">
        <v>538</v>
      </c>
      <c r="F52" s="98"/>
      <c r="G52" s="98"/>
      <c r="H52" s="110"/>
      <c r="I52" s="114"/>
      <c r="J52" s="114"/>
      <c r="K52" s="114"/>
      <c r="L52" s="114"/>
      <c r="M52" s="110"/>
      <c r="N52" s="110"/>
      <c r="O52" s="110"/>
      <c r="P52" s="118"/>
      <c r="Q52" s="118"/>
    </row>
    <row r="53" spans="1:17">
      <c r="A53" s="190">
        <v>10002529572</v>
      </c>
      <c r="B53" s="194">
        <v>20000200292</v>
      </c>
      <c r="C53" s="197" t="s">
        <v>539</v>
      </c>
      <c r="D53" s="198">
        <v>30235</v>
      </c>
      <c r="E53" s="167" t="s">
        <v>540</v>
      </c>
      <c r="F53" s="98"/>
      <c r="G53" s="116"/>
      <c r="H53" s="110"/>
      <c r="I53" s="114"/>
      <c r="J53" s="114"/>
      <c r="K53" s="114"/>
      <c r="L53" s="114"/>
      <c r="M53" s="110"/>
      <c r="N53" s="110"/>
      <c r="O53" s="110"/>
      <c r="P53" s="118"/>
      <c r="Q53" s="118"/>
    </row>
    <row r="54" spans="1:17">
      <c r="A54" s="190">
        <v>10002529653</v>
      </c>
      <c r="B54" s="194">
        <v>20000200306</v>
      </c>
      <c r="C54" s="197" t="s">
        <v>541</v>
      </c>
      <c r="D54" s="198">
        <v>32163</v>
      </c>
      <c r="E54" s="167" t="s">
        <v>542</v>
      </c>
      <c r="F54" s="98"/>
      <c r="G54" s="101"/>
      <c r="H54" s="112"/>
      <c r="I54" s="114"/>
      <c r="J54" s="114"/>
      <c r="K54" s="114"/>
      <c r="L54" s="114"/>
      <c r="M54" s="110"/>
      <c r="N54" s="110"/>
      <c r="O54" s="110"/>
      <c r="P54" s="128"/>
      <c r="Q54" s="128"/>
    </row>
    <row r="55" spans="1:17">
      <c r="A55" s="190">
        <v>10002529904</v>
      </c>
      <c r="B55" s="194">
        <v>20000200330</v>
      </c>
      <c r="C55" s="197" t="s">
        <v>543</v>
      </c>
      <c r="D55" s="198">
        <v>34438</v>
      </c>
      <c r="E55" s="167" t="s">
        <v>544</v>
      </c>
      <c r="F55" s="98"/>
      <c r="G55" s="101"/>
      <c r="H55" s="112"/>
      <c r="I55" s="114"/>
      <c r="J55" s="114"/>
      <c r="K55" s="114"/>
      <c r="L55" s="114"/>
      <c r="M55" s="110"/>
      <c r="N55" s="110"/>
      <c r="O55" s="99"/>
      <c r="P55" s="102"/>
      <c r="Q55" s="102"/>
    </row>
    <row r="56" spans="1:17">
      <c r="A56" s="190">
        <v>10002528762</v>
      </c>
      <c r="B56" s="194">
        <v>20000200217</v>
      </c>
      <c r="C56" s="197" t="s">
        <v>545</v>
      </c>
      <c r="D56" s="198">
        <v>30453</v>
      </c>
      <c r="E56" s="167" t="s">
        <v>546</v>
      </c>
      <c r="F56" s="98"/>
      <c r="G56" s="101"/>
      <c r="H56" s="117"/>
      <c r="I56" s="114"/>
      <c r="J56" s="114"/>
      <c r="K56" s="114"/>
      <c r="L56" s="114"/>
      <c r="M56" s="110"/>
      <c r="N56" s="110"/>
      <c r="O56" s="99"/>
      <c r="P56" s="102"/>
      <c r="Q56" s="102"/>
    </row>
    <row r="57" spans="1:17">
      <c r="A57" s="190">
        <v>10002528843</v>
      </c>
      <c r="B57" s="194">
        <v>20000200225</v>
      </c>
      <c r="C57" s="197" t="s">
        <v>547</v>
      </c>
      <c r="D57" s="198">
        <v>29998</v>
      </c>
      <c r="E57" s="167" t="s">
        <v>548</v>
      </c>
      <c r="F57" s="98"/>
      <c r="G57" s="101"/>
      <c r="H57" s="117"/>
      <c r="I57" s="114"/>
      <c r="J57" s="114"/>
      <c r="K57" s="114"/>
      <c r="L57" s="114"/>
      <c r="M57" s="110"/>
      <c r="N57" s="110"/>
      <c r="O57" s="99"/>
      <c r="P57" s="102"/>
      <c r="Q57" s="102"/>
    </row>
    <row r="58" spans="1:17">
      <c r="A58" s="190">
        <v>10002529734</v>
      </c>
      <c r="B58" s="194">
        <v>20000200314</v>
      </c>
      <c r="C58" s="197" t="s">
        <v>549</v>
      </c>
      <c r="D58" s="198">
        <v>25257</v>
      </c>
      <c r="E58" s="167" t="s">
        <v>550</v>
      </c>
      <c r="F58" s="98"/>
      <c r="G58" s="101"/>
      <c r="H58" s="117"/>
      <c r="I58" s="114"/>
      <c r="J58" s="114"/>
      <c r="K58" s="114"/>
      <c r="L58" s="114"/>
      <c r="M58" s="110"/>
      <c r="N58" s="110"/>
      <c r="O58" s="99"/>
      <c r="P58" s="102"/>
      <c r="Q58" s="102"/>
    </row>
    <row r="59" spans="1:17">
      <c r="A59" s="190">
        <v>10002529815</v>
      </c>
      <c r="B59" s="194">
        <v>20000200322</v>
      </c>
      <c r="C59" s="197" t="s">
        <v>551</v>
      </c>
      <c r="D59" s="198">
        <v>34023</v>
      </c>
      <c r="E59" s="167" t="s">
        <v>552</v>
      </c>
      <c r="F59" s="98"/>
      <c r="G59" s="101"/>
      <c r="H59" s="117"/>
      <c r="I59" s="114"/>
      <c r="J59" s="114"/>
      <c r="K59" s="114"/>
      <c r="L59" s="114"/>
      <c r="M59" s="118"/>
      <c r="N59" s="110"/>
      <c r="O59" s="99"/>
      <c r="P59" s="102"/>
      <c r="Q59" s="102"/>
    </row>
    <row r="60" spans="1:17">
      <c r="A60" s="190">
        <v>10002530236</v>
      </c>
      <c r="B60" s="194">
        <v>20000200365</v>
      </c>
      <c r="C60" s="197" t="s">
        <v>553</v>
      </c>
      <c r="D60" s="198">
        <v>30917</v>
      </c>
      <c r="E60" s="167" t="s">
        <v>554</v>
      </c>
      <c r="F60" s="98"/>
      <c r="G60" s="131"/>
      <c r="H60" s="106"/>
      <c r="I60" s="102"/>
      <c r="J60" s="102"/>
      <c r="K60" s="102"/>
      <c r="L60" s="102"/>
      <c r="M60" s="98"/>
      <c r="N60" s="98"/>
      <c r="O60" s="99"/>
      <c r="P60" s="102"/>
      <c r="Q60" s="102"/>
    </row>
    <row r="61" spans="1:17">
      <c r="A61" s="190">
        <v>10002530740</v>
      </c>
      <c r="B61" s="194">
        <v>20000200411</v>
      </c>
      <c r="C61" s="197" t="s">
        <v>555</v>
      </c>
      <c r="D61" s="198">
        <v>25421</v>
      </c>
      <c r="E61" s="167" t="s">
        <v>556</v>
      </c>
      <c r="F61" s="98"/>
      <c r="G61" s="101"/>
      <c r="H61" s="106"/>
      <c r="I61" s="107"/>
      <c r="J61" s="107"/>
      <c r="K61" s="107"/>
      <c r="L61" s="107"/>
      <c r="M61" s="105"/>
      <c r="N61" s="105"/>
      <c r="O61" s="99"/>
      <c r="P61" s="102"/>
      <c r="Q61" s="102"/>
    </row>
    <row r="62" spans="1:17">
      <c r="A62" s="190">
        <v>10002530821</v>
      </c>
      <c r="B62" s="194">
        <v>20000200420</v>
      </c>
      <c r="C62" s="197" t="s">
        <v>557</v>
      </c>
      <c r="D62" s="198">
        <v>24943</v>
      </c>
      <c r="E62" s="167" t="s">
        <v>558</v>
      </c>
      <c r="F62" s="98"/>
      <c r="G62" s="101"/>
      <c r="H62" s="112"/>
      <c r="I62" s="102"/>
      <c r="J62" s="102"/>
      <c r="K62" s="102"/>
      <c r="L62" s="102"/>
      <c r="M62" s="98"/>
      <c r="N62" s="98"/>
      <c r="O62" s="99"/>
      <c r="P62" s="102"/>
      <c r="Q62" s="102"/>
    </row>
    <row r="63" spans="1:17">
      <c r="A63" s="190">
        <v>10002530406</v>
      </c>
      <c r="B63" s="194">
        <v>20000200381</v>
      </c>
      <c r="C63" s="197" t="s">
        <v>559</v>
      </c>
      <c r="D63" s="198">
        <v>34341</v>
      </c>
      <c r="E63" s="167" t="s">
        <v>560</v>
      </c>
      <c r="F63" s="98"/>
      <c r="G63" s="101"/>
      <c r="H63" s="106"/>
      <c r="I63" s="102"/>
      <c r="J63" s="102"/>
      <c r="K63" s="102"/>
      <c r="L63" s="102"/>
      <c r="M63" s="118"/>
      <c r="N63" s="98"/>
      <c r="O63" s="99"/>
      <c r="P63" s="102"/>
      <c r="Q63" s="102"/>
    </row>
    <row r="64" spans="1:17">
      <c r="A64" s="190">
        <v>10002530589</v>
      </c>
      <c r="B64" s="194">
        <v>20000200390</v>
      </c>
      <c r="C64" s="197" t="s">
        <v>561</v>
      </c>
      <c r="D64" s="198">
        <v>30226</v>
      </c>
      <c r="E64" s="167" t="s">
        <v>562</v>
      </c>
      <c r="F64" s="98"/>
      <c r="G64" s="101"/>
      <c r="H64" s="106"/>
      <c r="I64" s="102"/>
      <c r="J64" s="102"/>
      <c r="K64" s="102"/>
      <c r="L64" s="102"/>
      <c r="M64" s="115"/>
      <c r="N64" s="98"/>
      <c r="O64" s="99"/>
      <c r="P64" s="102"/>
      <c r="Q64" s="102"/>
    </row>
    <row r="65" spans="1:17">
      <c r="A65" s="190">
        <v>10002530660</v>
      </c>
      <c r="B65" s="194">
        <v>20000200403</v>
      </c>
      <c r="C65" s="197" t="s">
        <v>563</v>
      </c>
      <c r="D65" s="198">
        <v>22472</v>
      </c>
      <c r="E65" s="167" t="s">
        <v>564</v>
      </c>
      <c r="F65" s="98"/>
      <c r="G65" s="101"/>
      <c r="H65" s="106"/>
      <c r="I65" s="102"/>
      <c r="J65" s="102"/>
      <c r="K65" s="102"/>
      <c r="L65" s="102"/>
      <c r="M65" s="115"/>
      <c r="N65" s="98"/>
      <c r="O65" s="99"/>
      <c r="P65" s="102"/>
      <c r="Q65" s="102"/>
    </row>
    <row r="66" spans="1:17">
      <c r="A66" s="190">
        <v>10002530902</v>
      </c>
      <c r="B66" s="194">
        <v>20000200438</v>
      </c>
      <c r="C66" s="197" t="s">
        <v>565</v>
      </c>
      <c r="D66" s="198">
        <v>23910</v>
      </c>
      <c r="E66" s="167" t="s">
        <v>566</v>
      </c>
      <c r="F66" s="98"/>
      <c r="G66" s="101"/>
      <c r="H66" s="106"/>
      <c r="I66" s="102"/>
      <c r="J66" s="102"/>
      <c r="K66" s="102"/>
      <c r="L66" s="102"/>
      <c r="M66" s="118"/>
      <c r="N66" s="98"/>
      <c r="O66" s="99"/>
      <c r="P66" s="102"/>
      <c r="Q66" s="102"/>
    </row>
    <row r="67" spans="1:17">
      <c r="A67" s="190">
        <v>10002531046</v>
      </c>
      <c r="B67" s="194">
        <v>20000200446</v>
      </c>
      <c r="C67" s="197" t="s">
        <v>567</v>
      </c>
      <c r="D67" s="198">
        <v>29756</v>
      </c>
      <c r="E67" s="167" t="s">
        <v>568</v>
      </c>
      <c r="F67" s="98"/>
      <c r="G67" s="119"/>
      <c r="H67" s="106"/>
      <c r="I67" s="102"/>
      <c r="J67" s="102"/>
      <c r="K67" s="102"/>
      <c r="L67" s="102"/>
      <c r="M67" s="98"/>
      <c r="N67" s="98"/>
      <c r="O67" s="99"/>
      <c r="P67" s="102"/>
      <c r="Q67" s="102"/>
    </row>
    <row r="68" spans="1:17">
      <c r="A68" s="190">
        <v>10002531127</v>
      </c>
      <c r="B68" s="194">
        <v>20000200454</v>
      </c>
      <c r="C68" s="197" t="s">
        <v>569</v>
      </c>
      <c r="D68" s="198">
        <v>26543</v>
      </c>
      <c r="E68" s="167" t="s">
        <v>570</v>
      </c>
      <c r="F68" s="98"/>
      <c r="G68" s="119"/>
      <c r="H68" s="106"/>
      <c r="I68" s="102"/>
      <c r="J68" s="102"/>
      <c r="K68" s="102"/>
      <c r="L68" s="102"/>
      <c r="M68" s="122"/>
      <c r="N68" s="98"/>
      <c r="O68" s="99"/>
      <c r="P68" s="102"/>
      <c r="Q68" s="102"/>
    </row>
    <row r="69" spans="1:17">
      <c r="A69" s="190">
        <v>10002531550</v>
      </c>
      <c r="B69" s="194">
        <v>20000200497</v>
      </c>
      <c r="C69" s="197" t="s">
        <v>571</v>
      </c>
      <c r="D69" s="198">
        <v>28496</v>
      </c>
      <c r="E69" s="167" t="s">
        <v>572</v>
      </c>
      <c r="F69" s="98"/>
      <c r="G69" s="98"/>
      <c r="H69" s="98"/>
      <c r="I69" s="102"/>
      <c r="J69" s="102"/>
      <c r="K69" s="102"/>
      <c r="L69" s="102"/>
      <c r="M69" s="115"/>
      <c r="N69" s="98"/>
      <c r="O69" s="99"/>
      <c r="P69" s="98"/>
      <c r="Q69" s="98"/>
    </row>
    <row r="70" spans="1:17">
      <c r="A70" s="190">
        <v>10002532360</v>
      </c>
      <c r="B70" s="194">
        <v>20000200535</v>
      </c>
      <c r="C70" s="197" t="s">
        <v>573</v>
      </c>
      <c r="D70" s="198">
        <v>27587</v>
      </c>
      <c r="E70" s="167" t="s">
        <v>574</v>
      </c>
      <c r="F70" s="98"/>
      <c r="G70" s="98"/>
      <c r="H70" s="98"/>
      <c r="I70" s="102"/>
      <c r="J70" s="102"/>
      <c r="K70" s="102"/>
      <c r="L70" s="102"/>
      <c r="M70" s="98"/>
      <c r="N70" s="98"/>
      <c r="O70" s="99"/>
      <c r="P70" s="98"/>
      <c r="Q70" s="98"/>
    </row>
    <row r="71" spans="1:17">
      <c r="A71" s="190">
        <v>10002532441</v>
      </c>
      <c r="B71" s="194">
        <v>20000200543</v>
      </c>
      <c r="C71" s="197" t="s">
        <v>575</v>
      </c>
      <c r="D71" s="198">
        <v>31688</v>
      </c>
      <c r="E71" s="167" t="s">
        <v>576</v>
      </c>
      <c r="F71" s="98"/>
      <c r="G71" s="98"/>
      <c r="H71" s="98"/>
      <c r="I71" s="102"/>
      <c r="J71" s="102"/>
      <c r="K71" s="102"/>
      <c r="L71" s="102"/>
      <c r="M71" s="98"/>
      <c r="N71" s="98"/>
      <c r="O71" s="99"/>
      <c r="P71" s="98"/>
      <c r="Q71" s="98"/>
    </row>
    <row r="72" spans="1:17">
      <c r="A72" s="190">
        <v>10002532522</v>
      </c>
      <c r="B72" s="194">
        <v>20000200551</v>
      </c>
      <c r="C72" s="197" t="s">
        <v>577</v>
      </c>
      <c r="D72" s="198">
        <v>23272</v>
      </c>
      <c r="E72" s="167" t="s">
        <v>578</v>
      </c>
      <c r="F72" s="98"/>
      <c r="G72" s="98"/>
      <c r="H72" s="98"/>
      <c r="I72" s="102"/>
      <c r="J72" s="102"/>
      <c r="K72" s="102"/>
      <c r="L72" s="102"/>
      <c r="M72" s="98"/>
      <c r="N72" s="98"/>
      <c r="O72" s="99"/>
      <c r="P72" s="98"/>
      <c r="Q72" s="98"/>
    </row>
    <row r="73" spans="1:17">
      <c r="A73" s="190">
        <v>10002532875</v>
      </c>
      <c r="B73" s="194">
        <v>20000200586</v>
      </c>
      <c r="C73" s="197" t="s">
        <v>579</v>
      </c>
      <c r="D73" s="198">
        <v>24999</v>
      </c>
      <c r="E73" s="167" t="s">
        <v>580</v>
      </c>
      <c r="F73" s="98"/>
      <c r="G73" s="98"/>
      <c r="H73" s="98"/>
      <c r="I73" s="102"/>
      <c r="J73" s="102"/>
      <c r="K73" s="102"/>
      <c r="L73" s="102"/>
      <c r="M73" s="98"/>
      <c r="N73" s="98"/>
      <c r="O73" s="99"/>
      <c r="P73" s="98"/>
      <c r="Q73" s="98"/>
    </row>
    <row r="74" spans="1:17">
      <c r="A74" s="190">
        <v>10002532956</v>
      </c>
      <c r="B74" s="194">
        <v>20000200594</v>
      </c>
      <c r="C74" s="197" t="s">
        <v>581</v>
      </c>
      <c r="D74" s="198">
        <v>25210</v>
      </c>
      <c r="E74" s="167" t="s">
        <v>582</v>
      </c>
      <c r="F74" s="98"/>
      <c r="G74" s="98"/>
      <c r="H74" s="98"/>
      <c r="I74" s="102"/>
      <c r="J74" s="102"/>
      <c r="K74" s="102"/>
      <c r="L74" s="102"/>
      <c r="M74" s="98"/>
      <c r="N74" s="98"/>
      <c r="O74" s="121"/>
      <c r="P74" s="98"/>
      <c r="Q74" s="98"/>
    </row>
    <row r="75" spans="1:17">
      <c r="A75" s="190">
        <v>10002531208</v>
      </c>
      <c r="B75" s="194">
        <v>20000200462</v>
      </c>
      <c r="C75" s="197" t="s">
        <v>583</v>
      </c>
      <c r="D75" s="198">
        <v>27952</v>
      </c>
      <c r="E75" s="167" t="s">
        <v>584</v>
      </c>
      <c r="F75" s="98"/>
      <c r="G75" s="98"/>
      <c r="H75" s="98"/>
      <c r="I75" s="102"/>
      <c r="J75" s="102"/>
      <c r="K75" s="102"/>
      <c r="L75" s="102"/>
      <c r="M75" s="98"/>
      <c r="N75" s="98"/>
      <c r="O75" s="99"/>
      <c r="P75" s="98"/>
      <c r="Q75" s="98"/>
    </row>
    <row r="76" spans="1:17">
      <c r="A76" s="190">
        <v>10002532107</v>
      </c>
      <c r="B76" s="194">
        <v>20000200519</v>
      </c>
      <c r="C76" s="197" t="s">
        <v>585</v>
      </c>
      <c r="D76" s="198">
        <v>32649</v>
      </c>
      <c r="E76" s="167" t="s">
        <v>586</v>
      </c>
      <c r="F76" s="98"/>
      <c r="G76" s="98"/>
      <c r="H76" s="98"/>
      <c r="I76" s="102"/>
      <c r="J76" s="102"/>
      <c r="K76" s="102"/>
      <c r="L76" s="102"/>
      <c r="M76" s="98"/>
      <c r="N76" s="98"/>
      <c r="O76" s="99"/>
      <c r="P76" s="98"/>
      <c r="Q76" s="98"/>
    </row>
    <row r="77" spans="1:17">
      <c r="A77" s="190">
        <v>10002532794</v>
      </c>
      <c r="B77" s="194">
        <v>20000200578</v>
      </c>
      <c r="C77" s="197" t="s">
        <v>587</v>
      </c>
      <c r="D77" s="198">
        <v>35492</v>
      </c>
      <c r="E77" s="167" t="s">
        <v>588</v>
      </c>
      <c r="F77" s="98"/>
      <c r="G77" s="98"/>
      <c r="H77" s="98"/>
      <c r="I77" s="102"/>
      <c r="J77" s="102"/>
      <c r="K77" s="102"/>
      <c r="L77" s="102"/>
      <c r="M77" s="98"/>
      <c r="N77" s="98"/>
      <c r="O77" s="99"/>
      <c r="P77" s="98"/>
      <c r="Q77" s="98"/>
    </row>
    <row r="78" spans="1:17">
      <c r="A78" s="190">
        <v>10002533170</v>
      </c>
      <c r="B78" s="194">
        <v>20000200616</v>
      </c>
      <c r="C78" s="197" t="s">
        <v>589</v>
      </c>
      <c r="D78" s="198">
        <v>24473</v>
      </c>
      <c r="E78" s="167" t="s">
        <v>590</v>
      </c>
      <c r="F78" s="98"/>
      <c r="G78" s="98"/>
      <c r="H78" s="98"/>
      <c r="I78" s="102"/>
      <c r="J78" s="102"/>
      <c r="K78" s="102"/>
      <c r="L78" s="102"/>
      <c r="M78" s="98"/>
      <c r="N78" s="98"/>
      <c r="O78" s="103"/>
      <c r="P78" s="98"/>
      <c r="Q78" s="98"/>
    </row>
    <row r="79" spans="1:17">
      <c r="A79" s="190">
        <v>10002533251</v>
      </c>
      <c r="B79" s="194">
        <v>20000200624</v>
      </c>
      <c r="C79" s="197" t="s">
        <v>591</v>
      </c>
      <c r="D79" s="198">
        <v>36163</v>
      </c>
      <c r="E79" s="167" t="s">
        <v>592</v>
      </c>
      <c r="F79" s="101"/>
      <c r="G79" s="98"/>
      <c r="H79" s="98"/>
      <c r="I79" s="102"/>
      <c r="J79" s="102"/>
      <c r="K79" s="102"/>
      <c r="L79" s="102"/>
      <c r="M79" s="98"/>
      <c r="N79" s="98"/>
      <c r="O79" s="103"/>
      <c r="P79" s="98"/>
      <c r="Q79" s="98"/>
    </row>
    <row r="80" spans="1:17">
      <c r="A80" s="190">
        <v>10002533685</v>
      </c>
      <c r="B80" s="194">
        <v>20000200667</v>
      </c>
      <c r="C80" s="197" t="s">
        <v>593</v>
      </c>
      <c r="D80" s="198">
        <v>33839</v>
      </c>
      <c r="E80" s="167" t="s">
        <v>594</v>
      </c>
      <c r="F80" s="101"/>
      <c r="G80" s="98"/>
      <c r="H80" s="98"/>
      <c r="I80" s="102"/>
      <c r="J80" s="102"/>
      <c r="K80" s="102"/>
      <c r="L80" s="102"/>
      <c r="M80" s="98"/>
      <c r="N80" s="98"/>
      <c r="O80" s="103"/>
      <c r="P80" s="98"/>
      <c r="Q80" s="98"/>
    </row>
    <row r="81" spans="1:17">
      <c r="A81" s="228"/>
      <c r="B81" s="200"/>
      <c r="C81" s="200"/>
      <c r="D81" s="195"/>
      <c r="E81" s="200"/>
      <c r="F81" s="101"/>
      <c r="G81" s="98"/>
      <c r="H81" s="98"/>
      <c r="I81" s="102"/>
      <c r="J81" s="102"/>
      <c r="K81" s="102"/>
      <c r="L81" s="102"/>
      <c r="M81" s="98"/>
      <c r="N81" s="98"/>
      <c r="O81" s="103"/>
      <c r="P81" s="98"/>
      <c r="Q81" s="98"/>
    </row>
    <row r="82" spans="1:17">
      <c r="A82" s="228"/>
      <c r="B82" s="200"/>
      <c r="C82" s="200"/>
      <c r="D82" s="195"/>
      <c r="E82" s="200"/>
      <c r="F82" s="131"/>
      <c r="G82" s="98"/>
      <c r="H82" s="98"/>
      <c r="I82" s="102"/>
      <c r="J82" s="102"/>
      <c r="K82" s="102"/>
      <c r="L82" s="102"/>
      <c r="M82" s="98"/>
      <c r="N82" s="98"/>
      <c r="O82" s="103"/>
      <c r="P82" s="98"/>
      <c r="Q82" s="98"/>
    </row>
    <row r="83" spans="1:17">
      <c r="A83" s="228"/>
      <c r="B83" s="200"/>
      <c r="C83" s="200"/>
      <c r="D83" s="195"/>
      <c r="E83" s="200"/>
      <c r="F83" s="131"/>
      <c r="G83" s="98"/>
      <c r="H83" s="98"/>
      <c r="I83" s="102"/>
      <c r="J83" s="102"/>
      <c r="K83" s="102"/>
      <c r="L83" s="102"/>
      <c r="M83" s="98"/>
      <c r="N83" s="98"/>
      <c r="O83" s="103"/>
      <c r="P83" s="98"/>
      <c r="Q83" s="98"/>
    </row>
    <row r="84" spans="1:17">
      <c r="A84" s="228"/>
      <c r="B84" s="200"/>
      <c r="C84" s="200"/>
      <c r="D84" s="195"/>
      <c r="E84" s="200"/>
      <c r="F84" s="131"/>
      <c r="G84" s="98"/>
      <c r="H84" s="98"/>
      <c r="I84" s="102"/>
      <c r="J84" s="102"/>
      <c r="K84" s="102"/>
      <c r="L84" s="102"/>
      <c r="M84" s="98"/>
      <c r="N84" s="98"/>
      <c r="O84" s="103"/>
      <c r="P84" s="98"/>
      <c r="Q84" s="98"/>
    </row>
    <row r="85" spans="1:17">
      <c r="A85" s="228"/>
      <c r="B85" s="200"/>
      <c r="C85" s="200"/>
      <c r="D85" s="195"/>
      <c r="E85" s="200"/>
      <c r="F85" s="131"/>
      <c r="G85" s="98"/>
      <c r="H85" s="98"/>
      <c r="I85" s="102"/>
      <c r="J85" s="102"/>
      <c r="K85" s="102"/>
      <c r="L85" s="102"/>
      <c r="M85" s="98"/>
      <c r="N85" s="98"/>
      <c r="O85" s="103"/>
      <c r="P85" s="98"/>
      <c r="Q85" s="98"/>
    </row>
    <row r="86" spans="1:17">
      <c r="A86" s="228"/>
      <c r="B86" s="200"/>
      <c r="C86" s="200"/>
      <c r="D86" s="195"/>
      <c r="E86" s="200"/>
      <c r="F86" s="101"/>
      <c r="G86" s="98"/>
      <c r="H86" s="98"/>
      <c r="I86" s="102"/>
      <c r="J86" s="102"/>
      <c r="K86" s="102"/>
      <c r="L86" s="102"/>
      <c r="M86" s="98"/>
      <c r="N86" s="98"/>
      <c r="O86" s="103"/>
      <c r="P86" s="98"/>
      <c r="Q86" s="98"/>
    </row>
    <row r="87" spans="1:17">
      <c r="A87" s="228"/>
      <c r="B87" s="200"/>
      <c r="C87" s="200"/>
      <c r="D87" s="195"/>
      <c r="E87" s="200"/>
      <c r="F87" s="101"/>
      <c r="G87" s="98"/>
      <c r="H87" s="98"/>
      <c r="I87" s="102"/>
      <c r="J87" s="102"/>
      <c r="K87" s="102"/>
      <c r="L87" s="102"/>
      <c r="M87" s="98"/>
      <c r="N87" s="98"/>
      <c r="O87" s="103"/>
      <c r="P87" s="98"/>
      <c r="Q87" s="98"/>
    </row>
    <row r="88" spans="1:17">
      <c r="A88" s="228"/>
      <c r="B88" s="200"/>
      <c r="C88" s="200"/>
      <c r="D88" s="195"/>
      <c r="E88" s="200"/>
      <c r="F88" s="101"/>
      <c r="G88" s="98"/>
      <c r="H88" s="98"/>
      <c r="I88" s="102"/>
      <c r="J88" s="102"/>
      <c r="K88" s="102"/>
      <c r="L88" s="102"/>
      <c r="M88" s="98"/>
      <c r="N88" s="98"/>
      <c r="O88" s="103"/>
      <c r="P88" s="98"/>
      <c r="Q88" s="98"/>
    </row>
    <row r="89" spans="1:17">
      <c r="A89" s="228"/>
      <c r="B89" s="200"/>
      <c r="C89" s="200"/>
      <c r="D89" s="195"/>
      <c r="E89" s="200"/>
      <c r="F89" s="101"/>
      <c r="G89" s="98"/>
      <c r="H89" s="98"/>
      <c r="I89" s="102"/>
      <c r="J89" s="102"/>
      <c r="K89" s="102"/>
      <c r="L89" s="102"/>
      <c r="M89" s="98"/>
      <c r="N89" s="98"/>
      <c r="O89" s="103"/>
      <c r="P89" s="98"/>
      <c r="Q89" s="98"/>
    </row>
    <row r="90" spans="1:17">
      <c r="A90" s="228"/>
      <c r="B90" s="200"/>
      <c r="C90" s="200"/>
      <c r="D90" s="195"/>
      <c r="E90" s="200"/>
      <c r="F90" s="101"/>
      <c r="G90" s="98"/>
      <c r="H90" s="98"/>
      <c r="I90" s="102"/>
      <c r="J90" s="102"/>
      <c r="K90" s="102"/>
      <c r="L90" s="102"/>
      <c r="M90" s="98"/>
      <c r="N90" s="98"/>
      <c r="O90" s="103"/>
      <c r="P90" s="98"/>
      <c r="Q90" s="98"/>
    </row>
    <row r="91" spans="1:17">
      <c r="A91" s="228"/>
      <c r="B91" s="200"/>
      <c r="C91" s="200"/>
      <c r="D91" s="195"/>
      <c r="E91" s="200"/>
      <c r="F91" s="101"/>
      <c r="G91" s="98"/>
      <c r="H91" s="98"/>
      <c r="I91" s="102"/>
      <c r="J91" s="102"/>
      <c r="K91" s="102"/>
      <c r="L91" s="102"/>
      <c r="M91" s="98"/>
      <c r="N91" s="98"/>
      <c r="O91" s="103"/>
      <c r="P91" s="98"/>
      <c r="Q91" s="98"/>
    </row>
    <row r="92" spans="1:17">
      <c r="A92" s="228"/>
      <c r="B92" s="200"/>
      <c r="C92" s="200"/>
      <c r="D92" s="195"/>
      <c r="E92" s="200"/>
      <c r="F92" s="101"/>
      <c r="G92" s="98"/>
      <c r="H92" s="98"/>
      <c r="I92" s="102"/>
      <c r="J92" s="102"/>
      <c r="K92" s="102"/>
      <c r="L92" s="102"/>
      <c r="M92" s="98"/>
      <c r="N92" s="98"/>
      <c r="O92" s="103"/>
      <c r="P92" s="98"/>
      <c r="Q92" s="98"/>
    </row>
    <row r="93" spans="1:17" ht="15.75" customHeight="1">
      <c r="A93" s="228"/>
      <c r="B93" s="200"/>
      <c r="C93" s="200"/>
      <c r="D93" s="195"/>
      <c r="E93" s="200"/>
      <c r="F93" s="101"/>
      <c r="G93" s="98"/>
      <c r="H93" s="98"/>
      <c r="I93" s="102"/>
      <c r="J93" s="102"/>
      <c r="K93" s="102"/>
      <c r="L93" s="102"/>
      <c r="M93" s="98"/>
      <c r="N93" s="98"/>
      <c r="O93" s="103"/>
      <c r="P93" s="98"/>
      <c r="Q93" s="98"/>
    </row>
    <row r="94" spans="1:17">
      <c r="A94" s="229"/>
      <c r="B94" s="178"/>
      <c r="C94" s="178"/>
      <c r="D94" s="195"/>
      <c r="E94" s="178"/>
      <c r="F94" s="101"/>
      <c r="G94" s="98"/>
      <c r="H94" s="98"/>
      <c r="I94" s="102"/>
      <c r="J94" s="102"/>
      <c r="K94" s="102"/>
      <c r="L94" s="102"/>
      <c r="M94" s="98"/>
      <c r="N94" s="98"/>
      <c r="O94" s="103"/>
      <c r="P94" s="98"/>
      <c r="Q94" s="98"/>
    </row>
    <row r="95" spans="1:17">
      <c r="A95" s="229"/>
      <c r="B95" s="178"/>
      <c r="C95" s="178"/>
      <c r="D95" s="195"/>
      <c r="E95" s="178"/>
      <c r="F95" s="101"/>
      <c r="G95" s="98"/>
      <c r="H95" s="98"/>
      <c r="I95" s="102"/>
      <c r="J95" s="102"/>
      <c r="K95" s="102"/>
      <c r="L95" s="102"/>
      <c r="M95" s="98"/>
      <c r="N95" s="98"/>
      <c r="O95" s="103"/>
      <c r="P95" s="98"/>
      <c r="Q95" s="98"/>
    </row>
    <row r="96" spans="1:17">
      <c r="A96" s="229"/>
      <c r="B96" s="178"/>
      <c r="C96" s="178"/>
      <c r="D96" s="195"/>
      <c r="E96" s="178"/>
      <c r="F96" s="101"/>
      <c r="G96" s="98"/>
      <c r="H96" s="98"/>
      <c r="I96" s="102"/>
      <c r="J96" s="102"/>
      <c r="K96" s="102"/>
      <c r="L96" s="102"/>
      <c r="M96" s="98"/>
      <c r="N96" s="98"/>
      <c r="O96" s="103"/>
      <c r="P96" s="98"/>
      <c r="Q96" s="98"/>
    </row>
    <row r="97" spans="1:17">
      <c r="A97" s="229"/>
      <c r="B97" s="178"/>
      <c r="C97" s="178"/>
      <c r="D97" s="195"/>
      <c r="E97" s="178"/>
      <c r="F97" s="101"/>
      <c r="G97" s="98"/>
      <c r="H97" s="98"/>
      <c r="I97" s="102"/>
      <c r="J97" s="102"/>
      <c r="K97" s="102"/>
      <c r="L97" s="102"/>
      <c r="M97" s="98"/>
      <c r="N97" s="98"/>
      <c r="O97" s="103"/>
      <c r="P97" s="98"/>
      <c r="Q97" s="98"/>
    </row>
    <row r="98" spans="1:17">
      <c r="A98" s="177"/>
      <c r="B98" s="200"/>
      <c r="C98" s="200"/>
      <c r="D98" s="200"/>
      <c r="E98" s="200"/>
      <c r="F98" s="101"/>
      <c r="G98" s="98"/>
      <c r="H98" s="98"/>
      <c r="I98" s="102"/>
      <c r="J98" s="102"/>
      <c r="K98" s="102"/>
      <c r="L98" s="102"/>
      <c r="M98" s="98"/>
      <c r="N98" s="98"/>
      <c r="O98" s="103"/>
      <c r="P98" s="98"/>
      <c r="Q98" s="98"/>
    </row>
    <row r="99" spans="1:17">
      <c r="A99" s="177"/>
      <c r="B99" s="166"/>
      <c r="C99" s="174"/>
      <c r="D99" s="101"/>
      <c r="E99" s="101"/>
      <c r="F99" s="101"/>
      <c r="G99" s="98"/>
      <c r="H99" s="98"/>
      <c r="I99" s="102"/>
      <c r="J99" s="102"/>
      <c r="K99" s="102"/>
      <c r="L99" s="102"/>
      <c r="M99" s="98"/>
      <c r="N99" s="98"/>
      <c r="O99" s="103"/>
      <c r="P99" s="98"/>
      <c r="Q99" s="98"/>
    </row>
    <row r="100" spans="1:17">
      <c r="A100" s="177"/>
      <c r="B100" s="117"/>
      <c r="C100" s="174"/>
      <c r="D100" s="101"/>
      <c r="E100" s="101"/>
      <c r="F100" s="101"/>
      <c r="G100" s="98"/>
      <c r="H100" s="98"/>
      <c r="I100" s="102"/>
      <c r="J100" s="102"/>
      <c r="K100" s="102"/>
      <c r="L100" s="102"/>
      <c r="M100" s="98"/>
      <c r="N100" s="98"/>
      <c r="O100" s="103"/>
      <c r="P100" s="98"/>
      <c r="Q100" s="98"/>
    </row>
    <row r="101" spans="1:17">
      <c r="A101" s="177"/>
      <c r="B101" s="166"/>
      <c r="C101" s="174"/>
      <c r="D101" s="101"/>
      <c r="E101" s="101"/>
      <c r="F101" s="101"/>
      <c r="G101" s="98"/>
      <c r="H101" s="98"/>
      <c r="I101" s="102"/>
      <c r="J101" s="102"/>
      <c r="K101" s="102"/>
      <c r="L101" s="102"/>
      <c r="M101" s="98"/>
      <c r="N101" s="98"/>
      <c r="O101" s="103"/>
      <c r="P101" s="98"/>
      <c r="Q101" s="98"/>
    </row>
    <row r="102" spans="1:17">
      <c r="A102" s="177"/>
      <c r="B102" s="166"/>
      <c r="C102" s="174"/>
      <c r="D102" s="101"/>
      <c r="E102" s="101"/>
      <c r="F102" s="101"/>
      <c r="G102" s="98"/>
      <c r="H102" s="98"/>
      <c r="I102" s="102"/>
      <c r="J102" s="102"/>
      <c r="K102" s="102"/>
      <c r="L102" s="102"/>
      <c r="M102" s="98"/>
      <c r="N102" s="98"/>
      <c r="O102" s="103"/>
      <c r="P102" s="98"/>
      <c r="Q102" s="98"/>
    </row>
    <row r="103" spans="1:17">
      <c r="A103" s="178"/>
      <c r="B103" s="166"/>
      <c r="C103" s="174"/>
      <c r="D103" s="101"/>
      <c r="E103" s="101"/>
      <c r="F103" s="101"/>
      <c r="G103" s="98"/>
      <c r="H103" s="98"/>
      <c r="I103" s="102"/>
      <c r="J103" s="102"/>
      <c r="K103" s="102"/>
      <c r="L103" s="102"/>
      <c r="M103" s="98"/>
      <c r="N103" s="98"/>
      <c r="O103" s="103"/>
      <c r="P103" s="98"/>
      <c r="Q103" s="98"/>
    </row>
    <row r="104" spans="1:17">
      <c r="A104" s="177"/>
      <c r="B104" s="166"/>
      <c r="C104" s="175"/>
      <c r="D104" s="101"/>
      <c r="E104" s="101"/>
      <c r="F104" s="101"/>
      <c r="G104" s="98"/>
      <c r="H104" s="98"/>
      <c r="I104" s="102"/>
      <c r="J104" s="102"/>
      <c r="K104" s="102"/>
      <c r="L104" s="102"/>
      <c r="M104" s="98"/>
      <c r="N104" s="98"/>
      <c r="O104" s="103"/>
      <c r="P104" s="98"/>
      <c r="Q104" s="98"/>
    </row>
    <row r="105" spans="1:17">
      <c r="A105" s="177"/>
      <c r="B105" s="166"/>
      <c r="C105" s="175"/>
      <c r="D105" s="101"/>
      <c r="E105" s="101"/>
      <c r="F105" s="101"/>
      <c r="G105" s="98"/>
      <c r="H105" s="98"/>
      <c r="I105" s="102"/>
      <c r="J105" s="102"/>
      <c r="K105" s="102"/>
      <c r="L105" s="102"/>
      <c r="M105" s="98"/>
      <c r="N105" s="98"/>
      <c r="O105" s="103"/>
      <c r="P105" s="98"/>
      <c r="Q105" s="98"/>
    </row>
    <row r="106" spans="1:17">
      <c r="A106" s="177"/>
      <c r="B106" s="166"/>
      <c r="C106" s="174"/>
      <c r="D106" s="101"/>
      <c r="E106" s="101"/>
      <c r="F106" s="101"/>
      <c r="G106" s="98"/>
      <c r="H106" s="98"/>
      <c r="I106" s="102"/>
      <c r="J106" s="102"/>
      <c r="K106" s="102"/>
      <c r="L106" s="102"/>
      <c r="M106" s="98"/>
      <c r="N106" s="98"/>
      <c r="O106" s="103"/>
      <c r="P106" s="98"/>
      <c r="Q106" s="98"/>
    </row>
    <row r="107" spans="1:17">
      <c r="A107" s="177"/>
      <c r="B107" s="166"/>
      <c r="C107" s="174"/>
      <c r="D107" s="101"/>
      <c r="E107" s="101"/>
      <c r="F107" s="101"/>
      <c r="G107" s="98"/>
      <c r="H107" s="98"/>
      <c r="I107" s="102"/>
      <c r="J107" s="102"/>
      <c r="K107" s="102"/>
      <c r="L107" s="102"/>
      <c r="M107" s="98"/>
      <c r="N107" s="98"/>
      <c r="O107" s="103"/>
      <c r="P107" s="98"/>
      <c r="Q107" s="98"/>
    </row>
    <row r="108" spans="1:17">
      <c r="A108" s="177"/>
      <c r="B108" s="167"/>
      <c r="C108" s="174"/>
      <c r="D108" s="101"/>
      <c r="E108" s="101"/>
      <c r="F108" s="101"/>
      <c r="G108" s="98"/>
      <c r="H108" s="98"/>
      <c r="I108" s="102"/>
      <c r="J108" s="102"/>
      <c r="K108" s="102"/>
      <c r="L108" s="102"/>
      <c r="M108" s="98"/>
      <c r="N108" s="98"/>
      <c r="O108" s="103"/>
      <c r="P108" s="98"/>
      <c r="Q108" s="98"/>
    </row>
    <row r="109" spans="1:17">
      <c r="A109" s="177"/>
      <c r="B109" s="167"/>
      <c r="C109" s="174"/>
      <c r="D109" s="101"/>
      <c r="E109" s="101"/>
      <c r="F109" s="101"/>
      <c r="G109" s="98"/>
      <c r="H109" s="98"/>
      <c r="I109" s="102"/>
      <c r="J109" s="102"/>
      <c r="K109" s="102"/>
      <c r="L109" s="102"/>
      <c r="M109" s="98"/>
      <c r="N109" s="98"/>
      <c r="O109" s="103"/>
      <c r="P109" s="98"/>
      <c r="Q109" s="98"/>
    </row>
    <row r="110" spans="1:17">
      <c r="A110" s="177"/>
      <c r="B110" s="167"/>
      <c r="C110" s="174"/>
      <c r="D110" s="101"/>
      <c r="E110" s="98"/>
      <c r="F110" s="101"/>
      <c r="G110" s="98"/>
      <c r="H110" s="98"/>
      <c r="I110" s="102"/>
      <c r="J110" s="102"/>
      <c r="K110" s="102"/>
      <c r="L110" s="102"/>
      <c r="M110" s="98"/>
      <c r="N110" s="98"/>
      <c r="O110" s="103"/>
      <c r="P110" s="98"/>
      <c r="Q110" s="98"/>
    </row>
    <row r="111" spans="1:17">
      <c r="A111" s="177"/>
      <c r="B111" s="167"/>
      <c r="C111" s="174"/>
      <c r="D111" s="101"/>
      <c r="E111" s="98"/>
      <c r="F111" s="101"/>
      <c r="G111" s="98"/>
      <c r="H111" s="98"/>
      <c r="I111" s="102"/>
      <c r="J111" s="102"/>
      <c r="K111" s="102"/>
      <c r="L111" s="102"/>
      <c r="M111" s="98"/>
      <c r="N111" s="98"/>
      <c r="O111" s="103"/>
      <c r="P111" s="98"/>
      <c r="Q111" s="98"/>
    </row>
    <row r="112" spans="1:17">
      <c r="A112" s="177"/>
      <c r="B112" s="117"/>
      <c r="C112" s="174"/>
      <c r="D112" s="101"/>
      <c r="E112" s="98"/>
      <c r="F112" s="101"/>
      <c r="G112" s="98"/>
      <c r="H112" s="98"/>
      <c r="I112" s="102"/>
      <c r="J112" s="102"/>
      <c r="K112" s="102"/>
      <c r="L112" s="102"/>
      <c r="M112" s="98"/>
      <c r="N112" s="98"/>
      <c r="O112" s="103"/>
      <c r="P112" s="98"/>
      <c r="Q112" s="98"/>
    </row>
    <row r="113" spans="1:17">
      <c r="A113" s="177"/>
      <c r="B113" s="117"/>
      <c r="C113" s="174"/>
      <c r="D113" s="101"/>
      <c r="E113" s="98"/>
      <c r="F113" s="101"/>
      <c r="G113" s="98"/>
      <c r="H113" s="98"/>
      <c r="I113" s="102"/>
      <c r="J113" s="102"/>
      <c r="K113" s="102"/>
      <c r="L113" s="102"/>
      <c r="M113" s="98"/>
      <c r="N113" s="98"/>
      <c r="O113" s="103"/>
      <c r="P113" s="98"/>
      <c r="Q113" s="98"/>
    </row>
    <row r="114" spans="1:17">
      <c r="A114" s="177"/>
      <c r="B114" s="117"/>
      <c r="C114" s="174"/>
      <c r="D114" s="101"/>
      <c r="E114" s="98"/>
      <c r="F114" s="101"/>
      <c r="G114" s="98"/>
      <c r="H114" s="98"/>
      <c r="I114" s="102"/>
      <c r="J114" s="102"/>
      <c r="K114" s="102"/>
      <c r="L114" s="102"/>
      <c r="M114" s="98"/>
      <c r="N114" s="98"/>
      <c r="O114" s="103"/>
      <c r="P114" s="98"/>
      <c r="Q114" s="98"/>
    </row>
    <row r="115" spans="1:17">
      <c r="A115" s="177"/>
      <c r="B115" s="117"/>
      <c r="C115" s="174"/>
      <c r="D115" s="101"/>
      <c r="E115" s="98"/>
      <c r="F115" s="101"/>
      <c r="G115" s="98"/>
      <c r="H115" s="98"/>
      <c r="I115" s="102"/>
      <c r="J115" s="102"/>
      <c r="K115" s="102"/>
      <c r="L115" s="102"/>
      <c r="M115" s="98"/>
      <c r="N115" s="98"/>
      <c r="O115" s="103"/>
      <c r="P115" s="98"/>
      <c r="Q115" s="98"/>
    </row>
    <row r="116" spans="1:17">
      <c r="A116" s="191"/>
      <c r="B116" s="117"/>
      <c r="C116" s="174"/>
      <c r="D116" s="101"/>
      <c r="E116" s="98"/>
      <c r="F116" s="101"/>
      <c r="G116" s="98"/>
      <c r="H116" s="98"/>
      <c r="I116" s="102"/>
      <c r="J116" s="102"/>
      <c r="K116" s="102"/>
      <c r="L116" s="102"/>
      <c r="M116" s="98"/>
      <c r="N116" s="98"/>
      <c r="O116" s="103"/>
      <c r="P116" s="98"/>
      <c r="Q116" s="98"/>
    </row>
    <row r="117" spans="1:17">
      <c r="A117" s="178"/>
      <c r="B117" s="117"/>
      <c r="C117" s="176"/>
      <c r="D117" s="98"/>
      <c r="E117" s="98"/>
      <c r="F117" s="101"/>
      <c r="G117" s="98"/>
      <c r="H117" s="98"/>
      <c r="I117" s="102"/>
      <c r="J117" s="102"/>
      <c r="K117" s="102"/>
      <c r="L117" s="102"/>
      <c r="M117" s="98"/>
      <c r="N117" s="98"/>
      <c r="O117" s="103"/>
      <c r="P117" s="98"/>
      <c r="Q117" s="98"/>
    </row>
    <row r="118" spans="1:17">
      <c r="A118" s="178"/>
      <c r="B118" s="117"/>
      <c r="C118" s="176"/>
      <c r="D118" s="98"/>
      <c r="E118" s="98"/>
      <c r="F118" s="101"/>
      <c r="G118" s="98"/>
      <c r="H118" s="98"/>
      <c r="I118" s="102"/>
      <c r="J118" s="102"/>
      <c r="K118" s="102"/>
      <c r="L118" s="102"/>
      <c r="M118" s="98"/>
      <c r="N118" s="98"/>
      <c r="O118" s="103"/>
      <c r="P118" s="98"/>
      <c r="Q118" s="98"/>
    </row>
    <row r="119" spans="1:17">
      <c r="A119" s="178"/>
      <c r="B119" s="117"/>
      <c r="C119" s="176"/>
      <c r="D119" s="98"/>
      <c r="E119" s="98"/>
      <c r="F119" s="98"/>
      <c r="G119" s="98"/>
      <c r="H119" s="98"/>
      <c r="I119" s="102"/>
      <c r="J119" s="102"/>
      <c r="K119" s="102"/>
      <c r="L119" s="102"/>
      <c r="M119" s="98"/>
      <c r="N119" s="98"/>
      <c r="O119" s="103"/>
      <c r="P119" s="98"/>
      <c r="Q119" s="98"/>
    </row>
    <row r="120" spans="1:17">
      <c r="A120" s="178"/>
      <c r="B120" s="117"/>
      <c r="C120" s="176"/>
      <c r="D120" s="98"/>
      <c r="E120" s="98"/>
      <c r="F120" s="98"/>
      <c r="G120" s="98"/>
      <c r="H120" s="98"/>
      <c r="I120" s="102"/>
      <c r="J120" s="102"/>
      <c r="K120" s="102"/>
      <c r="L120" s="102"/>
      <c r="M120" s="98"/>
      <c r="N120" s="98"/>
      <c r="O120" s="103"/>
      <c r="P120" s="98"/>
      <c r="Q120" s="98"/>
    </row>
    <row r="121" spans="1:17">
      <c r="A121" s="178"/>
      <c r="B121" s="117"/>
      <c r="C121" s="176"/>
      <c r="D121" s="98"/>
      <c r="E121" s="98"/>
      <c r="F121" s="98"/>
      <c r="G121" s="98"/>
      <c r="H121" s="98"/>
      <c r="I121" s="102"/>
      <c r="J121" s="102"/>
      <c r="K121" s="102"/>
      <c r="L121" s="102"/>
      <c r="M121" s="98"/>
      <c r="N121" s="98"/>
      <c r="O121" s="103"/>
      <c r="P121" s="98"/>
      <c r="Q121" s="98"/>
    </row>
    <row r="122" spans="1:17">
      <c r="A122" s="178"/>
      <c r="B122" s="117"/>
      <c r="C122" s="176"/>
      <c r="D122" s="98"/>
      <c r="E122" s="98"/>
      <c r="F122" s="98"/>
      <c r="G122" s="98"/>
      <c r="H122" s="98"/>
      <c r="I122" s="102"/>
      <c r="J122" s="102"/>
      <c r="K122" s="102"/>
      <c r="L122" s="102"/>
      <c r="M122" s="98"/>
      <c r="N122" s="98"/>
      <c r="O122" s="103"/>
      <c r="P122" s="98"/>
      <c r="Q122" s="98"/>
    </row>
    <row r="123" spans="1:17">
      <c r="A123" s="184"/>
      <c r="B123" s="117"/>
      <c r="C123" s="98"/>
      <c r="D123" s="98"/>
      <c r="E123" s="98"/>
      <c r="F123" s="98"/>
      <c r="G123" s="98"/>
      <c r="H123" s="98"/>
      <c r="I123" s="102"/>
      <c r="J123" s="102"/>
      <c r="K123" s="102"/>
      <c r="L123" s="102"/>
      <c r="M123" s="98"/>
      <c r="N123" s="98"/>
      <c r="O123" s="103"/>
      <c r="P123" s="98"/>
      <c r="Q123" s="98"/>
    </row>
    <row r="124" spans="1:17">
      <c r="A124" s="184"/>
      <c r="B124" s="117"/>
      <c r="C124" s="98"/>
      <c r="D124" s="98"/>
      <c r="E124" s="98"/>
      <c r="F124" s="98"/>
      <c r="G124" s="98"/>
      <c r="H124" s="98"/>
      <c r="I124" s="102"/>
      <c r="J124" s="102"/>
      <c r="K124" s="102"/>
      <c r="L124" s="102"/>
      <c r="M124" s="98"/>
      <c r="N124" s="98"/>
      <c r="O124" s="103"/>
      <c r="P124" s="98"/>
      <c r="Q124" s="98"/>
    </row>
    <row r="125" spans="1:17">
      <c r="A125" s="184"/>
      <c r="B125" s="117"/>
      <c r="C125" s="98"/>
      <c r="D125" s="98"/>
      <c r="E125" s="98"/>
      <c r="F125" s="98"/>
      <c r="G125" s="98"/>
      <c r="H125" s="98"/>
      <c r="I125" s="102"/>
      <c r="J125" s="102"/>
      <c r="K125" s="102"/>
      <c r="L125" s="102"/>
      <c r="M125" s="98"/>
      <c r="N125" s="98"/>
      <c r="O125" s="103"/>
      <c r="P125" s="98"/>
      <c r="Q125" s="98"/>
    </row>
    <row r="126" spans="1:17">
      <c r="A126" s="184"/>
      <c r="B126" s="117"/>
      <c r="C126" s="98"/>
      <c r="D126" s="98"/>
      <c r="E126" s="98"/>
      <c r="F126" s="98"/>
      <c r="G126" s="98"/>
      <c r="H126" s="98"/>
      <c r="I126" s="102"/>
      <c r="J126" s="102"/>
      <c r="K126" s="102"/>
      <c r="L126" s="102"/>
      <c r="M126" s="98"/>
      <c r="N126" s="98"/>
      <c r="O126" s="103"/>
      <c r="P126" s="98"/>
      <c r="Q126" s="98"/>
    </row>
    <row r="127" spans="1:17">
      <c r="A127" s="184"/>
      <c r="B127" s="117"/>
      <c r="C127" s="98"/>
      <c r="D127" s="98"/>
      <c r="E127" s="98"/>
      <c r="F127" s="98"/>
      <c r="G127" s="98"/>
      <c r="H127" s="98"/>
      <c r="I127" s="102"/>
      <c r="J127" s="102"/>
      <c r="K127" s="102"/>
      <c r="L127" s="102"/>
      <c r="M127" s="98"/>
      <c r="N127" s="98"/>
      <c r="O127" s="103"/>
      <c r="P127" s="98"/>
      <c r="Q127" s="98"/>
    </row>
    <row r="128" spans="1:17">
      <c r="A128" s="184"/>
      <c r="B128" s="117"/>
      <c r="C128" s="98"/>
      <c r="D128" s="98"/>
      <c r="E128" s="98"/>
      <c r="F128" s="98"/>
      <c r="G128" s="98"/>
      <c r="H128" s="98"/>
      <c r="I128" s="102"/>
      <c r="J128" s="102"/>
      <c r="K128" s="102"/>
      <c r="L128" s="102"/>
      <c r="M128" s="98"/>
      <c r="N128" s="98"/>
      <c r="O128" s="103"/>
      <c r="P128" s="98"/>
      <c r="Q128" s="98"/>
    </row>
    <row r="129" spans="1:17">
      <c r="A129" s="184"/>
      <c r="B129" s="117"/>
      <c r="C129" s="98"/>
      <c r="D129" s="98"/>
      <c r="E129" s="98"/>
      <c r="F129" s="98"/>
      <c r="G129" s="98"/>
      <c r="H129" s="98"/>
      <c r="I129" s="102"/>
      <c r="J129" s="102"/>
      <c r="K129" s="102"/>
      <c r="L129" s="102"/>
      <c r="M129" s="98"/>
      <c r="N129" s="98"/>
      <c r="O129" s="103"/>
      <c r="P129" s="98"/>
      <c r="Q129" s="98"/>
    </row>
    <row r="130" spans="1:17">
      <c r="A130" s="184"/>
      <c r="B130" s="117"/>
      <c r="C130" s="98"/>
      <c r="D130" s="98"/>
      <c r="E130" s="98"/>
      <c r="F130" s="98"/>
      <c r="G130" s="98"/>
      <c r="H130" s="98"/>
      <c r="I130" s="102"/>
      <c r="J130" s="102"/>
      <c r="K130" s="102"/>
      <c r="L130" s="102"/>
      <c r="M130" s="98"/>
      <c r="N130" s="98"/>
      <c r="O130" s="103"/>
      <c r="P130" s="98"/>
      <c r="Q130" s="98"/>
    </row>
    <row r="131" spans="1:17">
      <c r="A131" s="184"/>
      <c r="B131" s="117"/>
      <c r="C131" s="98"/>
      <c r="D131" s="98"/>
      <c r="E131" s="98"/>
      <c r="F131" s="98"/>
      <c r="G131" s="98"/>
      <c r="H131" s="98"/>
      <c r="I131" s="102"/>
      <c r="J131" s="102"/>
      <c r="K131" s="102"/>
      <c r="L131" s="102"/>
      <c r="M131" s="98"/>
      <c r="N131" s="98"/>
      <c r="O131" s="103"/>
      <c r="P131" s="98"/>
      <c r="Q131" s="98"/>
    </row>
    <row r="132" spans="1:17">
      <c r="A132" s="184"/>
      <c r="B132" s="117"/>
      <c r="C132" s="98"/>
      <c r="D132" s="98"/>
      <c r="E132" s="98"/>
      <c r="F132" s="98"/>
      <c r="G132" s="98"/>
      <c r="H132" s="98"/>
      <c r="I132" s="102"/>
      <c r="J132" s="102"/>
      <c r="K132" s="102"/>
      <c r="L132" s="102"/>
      <c r="M132" s="98"/>
      <c r="N132" s="98"/>
      <c r="O132" s="103"/>
      <c r="P132" s="98"/>
      <c r="Q132" s="98"/>
    </row>
    <row r="133" spans="1:17">
      <c r="A133" s="184"/>
      <c r="B133" s="180"/>
      <c r="C133" s="109"/>
      <c r="D133" s="109"/>
      <c r="E133" s="109"/>
      <c r="F133" s="98"/>
      <c r="G133" s="98"/>
      <c r="H133" s="98"/>
      <c r="I133" s="102"/>
      <c r="J133" s="102"/>
      <c r="K133" s="102"/>
      <c r="L133" s="102"/>
      <c r="M133" s="98"/>
      <c r="N133" s="98"/>
      <c r="O133" s="103"/>
      <c r="P133" s="98"/>
      <c r="Q133" s="98"/>
    </row>
    <row r="134" spans="1:17">
      <c r="A134" s="184"/>
      <c r="B134" s="180"/>
      <c r="C134" s="109"/>
      <c r="D134" s="109"/>
      <c r="E134" s="109"/>
      <c r="F134" s="98"/>
      <c r="G134" s="98"/>
      <c r="H134" s="98"/>
      <c r="I134" s="102"/>
      <c r="J134" s="102"/>
      <c r="K134" s="102"/>
      <c r="L134" s="102"/>
      <c r="M134" s="98"/>
      <c r="N134" s="98"/>
      <c r="O134" s="103"/>
      <c r="P134" s="98"/>
      <c r="Q134" s="98"/>
    </row>
    <row r="135" spans="1:17">
      <c r="A135" s="184"/>
      <c r="B135" s="117"/>
      <c r="C135" s="109"/>
      <c r="D135" s="109"/>
      <c r="E135" s="109"/>
      <c r="F135" s="109"/>
      <c r="G135" s="109"/>
      <c r="H135" s="109"/>
      <c r="I135" s="120"/>
      <c r="J135" s="120"/>
      <c r="K135" s="120"/>
      <c r="L135" s="120"/>
      <c r="M135" s="109"/>
      <c r="N135" s="109"/>
      <c r="P135" s="109"/>
      <c r="Q135" s="109"/>
    </row>
    <row r="136" spans="1:17">
      <c r="A136" s="184"/>
      <c r="B136" s="180"/>
      <c r="C136" s="109"/>
      <c r="D136" s="109"/>
      <c r="E136" s="109"/>
      <c r="F136" s="109"/>
      <c r="G136" s="109"/>
      <c r="H136" s="109"/>
      <c r="I136" s="120"/>
      <c r="J136" s="120"/>
      <c r="K136" s="120"/>
      <c r="L136" s="120"/>
      <c r="M136" s="109"/>
      <c r="N136" s="109"/>
      <c r="P136" s="109"/>
      <c r="Q136" s="109"/>
    </row>
    <row r="137" spans="1:17">
      <c r="A137" s="184"/>
      <c r="B137" s="180"/>
      <c r="C137" s="109"/>
      <c r="D137" s="109"/>
      <c r="E137" s="109"/>
      <c r="F137" s="109"/>
      <c r="G137" s="109"/>
      <c r="H137" s="109"/>
      <c r="I137" s="120"/>
      <c r="J137" s="120"/>
      <c r="K137" s="120"/>
      <c r="L137" s="120"/>
      <c r="M137" s="109"/>
      <c r="N137" s="109"/>
      <c r="P137" s="109"/>
      <c r="Q137" s="109"/>
    </row>
    <row r="138" spans="1:17">
      <c r="A138" s="184"/>
      <c r="B138" s="117"/>
      <c r="C138" s="109"/>
      <c r="D138" s="109"/>
      <c r="E138" s="109"/>
      <c r="F138" s="109"/>
      <c r="G138" s="109"/>
      <c r="H138" s="109"/>
      <c r="I138" s="120"/>
      <c r="J138" s="120"/>
      <c r="K138" s="120"/>
      <c r="L138" s="120"/>
      <c r="M138" s="109"/>
      <c r="N138" s="109"/>
      <c r="P138" s="109"/>
      <c r="Q138" s="109"/>
    </row>
    <row r="139" spans="1:17">
      <c r="A139" s="184"/>
      <c r="B139" s="180"/>
      <c r="C139" s="109"/>
      <c r="D139" s="109"/>
      <c r="E139" s="109"/>
      <c r="F139" s="109"/>
      <c r="G139" s="109"/>
      <c r="H139" s="109"/>
      <c r="I139" s="120"/>
      <c r="J139" s="120"/>
      <c r="K139" s="120"/>
      <c r="L139" s="120"/>
      <c r="M139" s="109"/>
      <c r="N139" s="109"/>
      <c r="P139" s="109"/>
      <c r="Q139" s="109"/>
    </row>
    <row r="140" spans="1:17">
      <c r="A140" s="184"/>
      <c r="B140" s="180"/>
      <c r="C140" s="109"/>
      <c r="D140" s="109"/>
      <c r="E140" s="109"/>
      <c r="F140" s="109"/>
      <c r="G140" s="109"/>
      <c r="H140" s="109"/>
      <c r="I140" s="120"/>
      <c r="J140" s="120"/>
      <c r="K140" s="120"/>
      <c r="L140" s="120"/>
      <c r="M140" s="109"/>
      <c r="N140" s="109"/>
      <c r="P140" s="109"/>
      <c r="Q140" s="109"/>
    </row>
    <row r="141" spans="1:17">
      <c r="A141" s="184"/>
      <c r="B141" s="117"/>
      <c r="C141" s="109"/>
      <c r="D141" s="109"/>
      <c r="E141" s="109"/>
      <c r="F141" s="109"/>
      <c r="G141" s="109"/>
      <c r="H141" s="109"/>
      <c r="I141" s="120"/>
      <c r="J141" s="120"/>
      <c r="K141" s="120"/>
      <c r="L141" s="120"/>
      <c r="M141" s="109"/>
      <c r="N141" s="109"/>
      <c r="P141" s="109"/>
      <c r="Q141" s="109"/>
    </row>
    <row r="142" spans="1:17">
      <c r="A142" s="184"/>
      <c r="B142" s="180"/>
      <c r="C142" s="109"/>
      <c r="D142" s="109"/>
      <c r="E142" s="109"/>
      <c r="F142" s="109"/>
      <c r="G142" s="109"/>
      <c r="H142" s="109"/>
      <c r="I142" s="120"/>
      <c r="J142" s="120"/>
      <c r="K142" s="120"/>
      <c r="L142" s="120"/>
      <c r="M142" s="109"/>
      <c r="N142" s="109"/>
      <c r="P142" s="109"/>
      <c r="Q142" s="109"/>
    </row>
    <row r="143" spans="1:17">
      <c r="A143" s="184"/>
      <c r="B143" s="180"/>
      <c r="C143" s="109"/>
      <c r="D143" s="109"/>
      <c r="E143" s="109"/>
      <c r="F143" s="109"/>
      <c r="G143" s="109"/>
      <c r="H143" s="109"/>
      <c r="I143" s="120"/>
      <c r="J143" s="120"/>
      <c r="K143" s="120"/>
      <c r="L143" s="120"/>
      <c r="M143" s="109"/>
      <c r="N143" s="109"/>
      <c r="P143" s="109"/>
      <c r="Q143" s="109"/>
    </row>
    <row r="144" spans="1:17">
      <c r="A144" s="184"/>
      <c r="B144" s="117"/>
      <c r="C144" s="109"/>
      <c r="D144" s="109"/>
      <c r="E144" s="109"/>
      <c r="F144" s="109"/>
      <c r="G144" s="109"/>
      <c r="H144" s="109"/>
      <c r="I144" s="120"/>
      <c r="J144" s="120"/>
      <c r="K144" s="120"/>
      <c r="L144" s="120"/>
      <c r="M144" s="109"/>
      <c r="N144" s="109"/>
      <c r="P144" s="109"/>
      <c r="Q144" s="109"/>
    </row>
    <row r="145" spans="1:17">
      <c r="A145" s="184"/>
      <c r="B145" s="180"/>
      <c r="C145" s="109"/>
      <c r="D145" s="109"/>
      <c r="E145" s="109"/>
      <c r="F145" s="109"/>
      <c r="G145" s="109"/>
      <c r="H145" s="109"/>
      <c r="I145" s="120"/>
      <c r="J145" s="120"/>
      <c r="K145" s="120"/>
      <c r="L145" s="120"/>
      <c r="M145" s="109"/>
      <c r="N145" s="109"/>
      <c r="P145" s="109"/>
      <c r="Q145" s="109"/>
    </row>
    <row r="146" spans="1:17">
      <c r="A146" s="184"/>
      <c r="B146" s="180"/>
      <c r="C146" s="109"/>
      <c r="D146" s="109"/>
      <c r="E146" s="109"/>
      <c r="F146" s="109"/>
      <c r="G146" s="109"/>
      <c r="H146" s="109"/>
      <c r="I146" s="120"/>
      <c r="J146" s="120"/>
      <c r="K146" s="120"/>
      <c r="L146" s="120"/>
      <c r="M146" s="109"/>
      <c r="N146" s="109"/>
      <c r="P146" s="109"/>
      <c r="Q146" s="109"/>
    </row>
    <row r="147" spans="1:17">
      <c r="A147" s="184"/>
      <c r="B147" s="117"/>
      <c r="C147" s="109"/>
      <c r="D147" s="109"/>
      <c r="E147" s="109"/>
      <c r="F147" s="109"/>
      <c r="G147" s="109"/>
      <c r="H147" s="109"/>
      <c r="I147" s="120"/>
      <c r="J147" s="120"/>
      <c r="K147" s="120"/>
      <c r="L147" s="120"/>
      <c r="M147" s="109"/>
      <c r="N147" s="109"/>
      <c r="P147" s="109"/>
      <c r="Q147" s="109"/>
    </row>
    <row r="148" spans="1:17">
      <c r="A148" s="184"/>
      <c r="B148" s="180"/>
      <c r="C148" s="109"/>
      <c r="D148" s="109"/>
      <c r="E148" s="109"/>
      <c r="F148" s="109"/>
      <c r="G148" s="109"/>
      <c r="H148" s="109"/>
      <c r="I148" s="120"/>
      <c r="J148" s="120"/>
      <c r="K148" s="120"/>
      <c r="L148" s="120"/>
      <c r="M148" s="109"/>
      <c r="N148" s="109"/>
      <c r="P148" s="109"/>
      <c r="Q148" s="109"/>
    </row>
    <row r="149" spans="1:17">
      <c r="A149" s="184"/>
      <c r="B149" s="180"/>
      <c r="C149" s="109"/>
      <c r="D149" s="109"/>
      <c r="E149" s="109"/>
      <c r="F149" s="109"/>
      <c r="G149" s="109"/>
      <c r="H149" s="109"/>
      <c r="I149" s="120"/>
      <c r="J149" s="120"/>
      <c r="K149" s="120"/>
      <c r="L149" s="120"/>
      <c r="M149" s="109"/>
      <c r="N149" s="109"/>
      <c r="P149" s="109"/>
      <c r="Q149" s="109"/>
    </row>
    <row r="150" spans="1:17">
      <c r="A150" s="184"/>
      <c r="B150" s="117"/>
      <c r="C150" s="109"/>
      <c r="D150" s="109"/>
      <c r="E150" s="109"/>
      <c r="F150" s="109"/>
      <c r="G150" s="109"/>
      <c r="H150" s="109"/>
      <c r="I150" s="120"/>
      <c r="J150" s="120"/>
      <c r="K150" s="120"/>
      <c r="L150" s="120"/>
      <c r="M150" s="109"/>
      <c r="N150" s="109"/>
      <c r="P150" s="109"/>
      <c r="Q150" s="109"/>
    </row>
    <row r="151" spans="1:17">
      <c r="A151" s="184"/>
      <c r="B151" s="180"/>
      <c r="C151" s="109"/>
      <c r="D151" s="109"/>
      <c r="E151" s="109"/>
      <c r="F151" s="109"/>
      <c r="G151" s="109"/>
      <c r="H151" s="109"/>
      <c r="I151" s="120"/>
      <c r="J151" s="120"/>
      <c r="K151" s="120"/>
      <c r="L151" s="120"/>
      <c r="M151" s="109"/>
      <c r="N151" s="109"/>
      <c r="P151" s="109"/>
      <c r="Q151" s="109"/>
    </row>
    <row r="152" spans="1:17">
      <c r="A152" s="184"/>
      <c r="B152" s="180"/>
      <c r="C152" s="109"/>
      <c r="D152" s="109"/>
      <c r="E152" s="109"/>
      <c r="F152" s="109"/>
      <c r="G152" s="109"/>
      <c r="H152" s="109"/>
      <c r="I152" s="120"/>
      <c r="J152" s="120"/>
      <c r="K152" s="120"/>
      <c r="L152" s="120"/>
      <c r="M152" s="109"/>
      <c r="N152" s="109"/>
      <c r="P152" s="109"/>
      <c r="Q152" s="109"/>
    </row>
    <row r="153" spans="1:17">
      <c r="A153" s="184"/>
      <c r="B153" s="117"/>
      <c r="C153" s="109"/>
      <c r="D153" s="109"/>
      <c r="E153" s="109"/>
      <c r="F153" s="109"/>
      <c r="G153" s="109"/>
      <c r="H153" s="109"/>
      <c r="I153" s="120"/>
      <c r="J153" s="120"/>
      <c r="K153" s="120"/>
      <c r="L153" s="120"/>
      <c r="M153" s="109"/>
      <c r="N153" s="109"/>
      <c r="P153" s="109"/>
      <c r="Q153" s="109"/>
    </row>
    <row r="154" spans="1:17">
      <c r="A154" s="184"/>
      <c r="B154" s="180"/>
      <c r="C154" s="109"/>
      <c r="D154" s="109"/>
      <c r="E154" s="109"/>
      <c r="F154" s="109"/>
      <c r="G154" s="109"/>
      <c r="H154" s="109"/>
      <c r="I154" s="120"/>
      <c r="J154" s="120"/>
      <c r="K154" s="120"/>
      <c r="L154" s="120"/>
      <c r="M154" s="109"/>
      <c r="N154" s="109"/>
      <c r="P154" s="109"/>
      <c r="Q154" s="109"/>
    </row>
    <row r="155" spans="1:17">
      <c r="A155" s="184"/>
      <c r="B155" s="180"/>
      <c r="C155" s="109"/>
      <c r="D155" s="109"/>
      <c r="E155" s="109"/>
      <c r="F155" s="109"/>
      <c r="G155" s="109"/>
      <c r="H155" s="109"/>
      <c r="I155" s="120"/>
      <c r="J155" s="120"/>
      <c r="K155" s="120"/>
      <c r="L155" s="120"/>
      <c r="M155" s="109"/>
      <c r="N155" s="109"/>
      <c r="P155" s="109"/>
      <c r="Q155" s="109"/>
    </row>
    <row r="156" spans="1:17">
      <c r="A156" s="184"/>
      <c r="B156" s="117"/>
      <c r="C156" s="109"/>
      <c r="D156" s="109"/>
      <c r="E156" s="109"/>
      <c r="F156" s="109"/>
      <c r="G156" s="109"/>
      <c r="H156" s="109"/>
      <c r="I156" s="120"/>
      <c r="J156" s="120"/>
      <c r="K156" s="120"/>
      <c r="L156" s="120"/>
      <c r="M156" s="109"/>
      <c r="N156" s="109"/>
      <c r="P156" s="109"/>
      <c r="Q156" s="109"/>
    </row>
    <row r="157" spans="1:17">
      <c r="A157" s="184"/>
      <c r="B157" s="180"/>
      <c r="C157" s="109"/>
      <c r="D157" s="109"/>
      <c r="E157" s="109"/>
      <c r="F157" s="109"/>
      <c r="G157" s="109"/>
      <c r="H157" s="109"/>
      <c r="I157" s="120"/>
      <c r="J157" s="120"/>
      <c r="K157" s="120"/>
      <c r="L157" s="120"/>
      <c r="M157" s="109"/>
      <c r="N157" s="109"/>
      <c r="P157" s="109"/>
      <c r="Q157" s="109"/>
    </row>
    <row r="158" spans="1:17">
      <c r="A158" s="184"/>
      <c r="B158" s="180"/>
      <c r="C158" s="109"/>
      <c r="D158" s="109"/>
      <c r="E158" s="109"/>
      <c r="F158" s="109"/>
      <c r="G158" s="109"/>
      <c r="H158" s="109"/>
      <c r="I158" s="120"/>
      <c r="J158" s="120"/>
      <c r="K158" s="120"/>
      <c r="L158" s="120"/>
      <c r="M158" s="109"/>
      <c r="N158" s="109"/>
      <c r="P158" s="109"/>
      <c r="Q158" s="109"/>
    </row>
    <row r="159" spans="1:17">
      <c r="A159" s="184"/>
      <c r="B159" s="117"/>
      <c r="C159" s="109"/>
      <c r="D159" s="109"/>
      <c r="E159" s="109"/>
      <c r="F159" s="109"/>
      <c r="G159" s="109"/>
      <c r="H159" s="109"/>
      <c r="I159" s="120"/>
      <c r="J159" s="120"/>
      <c r="K159" s="120"/>
      <c r="L159" s="120"/>
      <c r="M159" s="109"/>
      <c r="N159" s="109"/>
      <c r="P159" s="109"/>
      <c r="Q159" s="109"/>
    </row>
    <row r="160" spans="1:17">
      <c r="A160" s="184"/>
      <c r="B160" s="180"/>
      <c r="C160" s="109"/>
      <c r="D160" s="109"/>
      <c r="E160" s="109"/>
      <c r="F160" s="109"/>
      <c r="G160" s="109"/>
      <c r="H160" s="109"/>
      <c r="I160" s="120"/>
      <c r="J160" s="120"/>
      <c r="K160" s="120"/>
      <c r="L160" s="120"/>
      <c r="M160" s="109"/>
      <c r="N160" s="109"/>
      <c r="P160" s="109"/>
      <c r="Q160" s="109"/>
    </row>
    <row r="161" spans="1:17">
      <c r="A161" s="184"/>
      <c r="B161" s="180"/>
      <c r="C161" s="109"/>
      <c r="D161" s="109"/>
      <c r="E161" s="109"/>
      <c r="F161" s="109"/>
      <c r="G161" s="109"/>
      <c r="H161" s="109"/>
      <c r="I161" s="120"/>
      <c r="J161" s="120"/>
      <c r="K161" s="120"/>
      <c r="L161" s="120"/>
      <c r="M161" s="109"/>
      <c r="N161" s="109"/>
      <c r="P161" s="109"/>
      <c r="Q161" s="109"/>
    </row>
    <row r="162" spans="1:17">
      <c r="A162" s="184"/>
      <c r="B162" s="117"/>
      <c r="C162" s="109"/>
      <c r="D162" s="109"/>
      <c r="E162" s="109"/>
      <c r="F162" s="109"/>
      <c r="G162" s="109"/>
      <c r="H162" s="109"/>
      <c r="I162" s="120"/>
      <c r="J162" s="120"/>
      <c r="K162" s="120"/>
      <c r="L162" s="120"/>
      <c r="M162" s="109"/>
      <c r="N162" s="109"/>
      <c r="P162" s="109"/>
      <c r="Q162" s="109"/>
    </row>
    <row r="163" spans="1:17">
      <c r="A163" s="185"/>
      <c r="B163" s="180"/>
      <c r="C163" s="109"/>
      <c r="D163" s="109"/>
      <c r="E163" s="109"/>
      <c r="F163" s="109"/>
      <c r="G163" s="109"/>
      <c r="H163" s="109"/>
      <c r="I163" s="120"/>
      <c r="J163" s="120"/>
      <c r="K163" s="120"/>
      <c r="L163" s="120"/>
      <c r="M163" s="109"/>
      <c r="N163" s="109"/>
      <c r="P163" s="109"/>
      <c r="Q163" s="109"/>
    </row>
    <row r="164" spans="1:17">
      <c r="A164" s="185"/>
      <c r="B164" s="180"/>
      <c r="C164" s="109"/>
      <c r="D164" s="109"/>
      <c r="E164" s="109"/>
      <c r="F164" s="109"/>
      <c r="G164" s="109"/>
      <c r="H164" s="109"/>
      <c r="I164" s="120"/>
      <c r="J164" s="120"/>
      <c r="K164" s="120"/>
      <c r="L164" s="120"/>
      <c r="M164" s="109"/>
      <c r="N164" s="109"/>
      <c r="P164" s="109"/>
      <c r="Q164" s="109"/>
    </row>
    <row r="165" spans="1:17">
      <c r="A165" s="185"/>
      <c r="B165" s="117"/>
      <c r="C165" s="109"/>
      <c r="D165" s="109"/>
      <c r="E165" s="109"/>
      <c r="F165" s="109"/>
      <c r="G165" s="109"/>
      <c r="H165" s="109"/>
      <c r="I165" s="120"/>
      <c r="J165" s="120"/>
      <c r="K165" s="120"/>
      <c r="L165" s="120"/>
      <c r="M165" s="109"/>
      <c r="N165" s="109"/>
      <c r="P165" s="109"/>
      <c r="Q165" s="109"/>
    </row>
    <row r="166" spans="1:17">
      <c r="A166" s="185"/>
      <c r="B166" s="180"/>
      <c r="C166" s="109"/>
      <c r="D166" s="109"/>
      <c r="E166" s="109"/>
      <c r="F166" s="109"/>
      <c r="G166" s="109"/>
      <c r="H166" s="109"/>
      <c r="I166" s="120"/>
      <c r="J166" s="120"/>
      <c r="K166" s="120"/>
      <c r="L166" s="120"/>
      <c r="M166" s="109"/>
      <c r="N166" s="109"/>
      <c r="P166" s="109"/>
      <c r="Q166" s="109"/>
    </row>
    <row r="167" spans="1:17">
      <c r="A167" s="185"/>
      <c r="B167" s="180"/>
      <c r="C167" s="109"/>
      <c r="D167" s="109"/>
      <c r="E167" s="109"/>
      <c r="F167" s="109"/>
      <c r="G167" s="109"/>
      <c r="H167" s="109"/>
      <c r="I167" s="120"/>
      <c r="J167" s="120"/>
      <c r="K167" s="120"/>
      <c r="L167" s="120"/>
      <c r="M167" s="109"/>
      <c r="N167" s="109"/>
      <c r="P167" s="109"/>
      <c r="Q167" s="109"/>
    </row>
    <row r="168" spans="1:17">
      <c r="A168" s="185"/>
      <c r="B168" s="117"/>
      <c r="C168" s="109"/>
      <c r="D168" s="109"/>
      <c r="E168" s="109"/>
      <c r="F168" s="109"/>
      <c r="G168" s="109"/>
      <c r="H168" s="109"/>
      <c r="I168" s="120"/>
      <c r="J168" s="120"/>
      <c r="K168" s="120"/>
      <c r="L168" s="120"/>
      <c r="M168" s="109"/>
      <c r="N168" s="109"/>
      <c r="P168" s="109"/>
      <c r="Q168" s="109"/>
    </row>
    <row r="169" spans="1:17">
      <c r="A169" s="185"/>
      <c r="B169" s="180"/>
      <c r="C169" s="109"/>
      <c r="D169" s="109"/>
      <c r="E169" s="109"/>
      <c r="F169" s="109"/>
      <c r="G169" s="109"/>
      <c r="H169" s="109"/>
      <c r="I169" s="120"/>
      <c r="J169" s="120"/>
      <c r="K169" s="120"/>
      <c r="L169" s="120"/>
      <c r="M169" s="109"/>
      <c r="N169" s="109"/>
      <c r="P169" s="109"/>
      <c r="Q169" s="109"/>
    </row>
    <row r="170" spans="1:17">
      <c r="A170" s="185"/>
      <c r="B170" s="180"/>
      <c r="C170" s="109"/>
      <c r="D170" s="109"/>
      <c r="E170" s="109"/>
      <c r="F170" s="109"/>
      <c r="G170" s="109"/>
      <c r="H170" s="109"/>
      <c r="I170" s="120"/>
      <c r="J170" s="120"/>
      <c r="K170" s="120"/>
      <c r="L170" s="120"/>
      <c r="M170" s="109"/>
      <c r="N170" s="109"/>
      <c r="P170" s="109"/>
      <c r="Q170" s="109"/>
    </row>
    <row r="171" spans="1:17">
      <c r="A171" s="185"/>
      <c r="B171" s="117"/>
      <c r="C171" s="109"/>
      <c r="D171" s="109"/>
      <c r="E171" s="109"/>
      <c r="F171" s="109"/>
      <c r="G171" s="109"/>
      <c r="H171" s="109"/>
      <c r="I171" s="120"/>
      <c r="J171" s="120"/>
      <c r="K171" s="120"/>
      <c r="L171" s="120"/>
      <c r="M171" s="109"/>
      <c r="N171" s="109"/>
      <c r="P171" s="109"/>
      <c r="Q171" s="109"/>
    </row>
    <row r="172" spans="1:17">
      <c r="A172" s="185"/>
      <c r="B172" s="180"/>
      <c r="C172" s="109"/>
      <c r="D172" s="109"/>
      <c r="E172" s="109"/>
      <c r="F172" s="109"/>
      <c r="G172" s="109"/>
      <c r="H172" s="109"/>
      <c r="I172" s="120"/>
      <c r="J172" s="120"/>
      <c r="K172" s="120"/>
      <c r="L172" s="120"/>
      <c r="M172" s="109"/>
      <c r="N172" s="109"/>
      <c r="P172" s="109"/>
      <c r="Q172" s="109"/>
    </row>
    <row r="173" spans="1:17">
      <c r="A173" s="185"/>
      <c r="B173" s="180"/>
      <c r="C173" s="109"/>
      <c r="D173" s="109"/>
      <c r="E173" s="109"/>
      <c r="F173" s="109"/>
      <c r="G173" s="109"/>
      <c r="H173" s="109"/>
      <c r="I173" s="120"/>
      <c r="J173" s="120"/>
      <c r="K173" s="120"/>
      <c r="L173" s="120"/>
      <c r="M173" s="109"/>
      <c r="N173" s="109"/>
      <c r="P173" s="109"/>
      <c r="Q173" s="109"/>
    </row>
    <row r="174" spans="1:17">
      <c r="A174" s="185"/>
      <c r="B174" s="117"/>
      <c r="C174" s="109"/>
      <c r="D174" s="109"/>
      <c r="E174" s="109"/>
      <c r="F174" s="109"/>
      <c r="G174" s="109"/>
      <c r="H174" s="109"/>
      <c r="I174" s="120"/>
      <c r="J174" s="120"/>
      <c r="K174" s="120"/>
      <c r="L174" s="120"/>
      <c r="M174" s="109"/>
      <c r="N174" s="109"/>
      <c r="P174" s="109"/>
      <c r="Q174" s="109"/>
    </row>
    <row r="175" spans="1:17">
      <c r="A175" s="185"/>
      <c r="B175" s="180"/>
      <c r="C175" s="109"/>
      <c r="D175" s="109"/>
      <c r="E175" s="109"/>
      <c r="F175" s="109"/>
      <c r="G175" s="109"/>
      <c r="H175" s="109"/>
      <c r="I175" s="120"/>
      <c r="J175" s="120"/>
      <c r="K175" s="120"/>
      <c r="L175" s="120"/>
      <c r="M175" s="109"/>
      <c r="N175" s="109"/>
      <c r="P175" s="109"/>
      <c r="Q175" s="109"/>
    </row>
    <row r="176" spans="1:17">
      <c r="A176" s="185"/>
      <c r="B176" s="180"/>
      <c r="C176" s="109"/>
      <c r="D176" s="109"/>
      <c r="E176" s="109"/>
      <c r="F176" s="109"/>
      <c r="G176" s="109"/>
      <c r="H176" s="109"/>
      <c r="I176" s="120"/>
      <c r="J176" s="120"/>
      <c r="K176" s="120"/>
      <c r="L176" s="120"/>
      <c r="M176" s="109"/>
      <c r="N176" s="109"/>
      <c r="P176" s="109"/>
      <c r="Q176" s="109"/>
    </row>
    <row r="177" spans="1:17">
      <c r="A177" s="185"/>
      <c r="B177" s="117"/>
      <c r="C177" s="109"/>
      <c r="D177" s="109"/>
      <c r="E177" s="109"/>
      <c r="F177" s="109"/>
      <c r="G177" s="109"/>
      <c r="H177" s="109"/>
      <c r="I177" s="120"/>
      <c r="J177" s="120"/>
      <c r="K177" s="120"/>
      <c r="L177" s="120"/>
      <c r="M177" s="109"/>
      <c r="N177" s="109"/>
      <c r="P177" s="109"/>
      <c r="Q177" s="109"/>
    </row>
    <row r="178" spans="1:17">
      <c r="A178" s="185"/>
      <c r="B178" s="180"/>
      <c r="C178" s="109"/>
      <c r="D178" s="109"/>
      <c r="E178" s="109"/>
      <c r="F178" s="109"/>
      <c r="G178" s="109"/>
      <c r="H178" s="109"/>
      <c r="I178" s="120"/>
      <c r="J178" s="120"/>
      <c r="K178" s="120"/>
      <c r="L178" s="120"/>
      <c r="M178" s="109"/>
      <c r="N178" s="109"/>
      <c r="P178" s="109"/>
      <c r="Q178" s="109"/>
    </row>
    <row r="179" spans="1:17">
      <c r="A179" s="185"/>
      <c r="B179" s="180"/>
      <c r="C179" s="109"/>
      <c r="D179" s="109"/>
      <c r="E179" s="109"/>
      <c r="F179" s="109"/>
      <c r="G179" s="109"/>
      <c r="H179" s="109"/>
      <c r="I179" s="120"/>
      <c r="J179" s="120"/>
      <c r="K179" s="120"/>
      <c r="L179" s="120"/>
      <c r="M179" s="109"/>
      <c r="N179" s="109"/>
      <c r="P179" s="109"/>
      <c r="Q179" s="109"/>
    </row>
    <row r="180" spans="1:17">
      <c r="A180" s="185"/>
      <c r="B180" s="117"/>
      <c r="C180" s="109"/>
      <c r="D180" s="109"/>
      <c r="E180" s="109"/>
      <c r="F180" s="109"/>
      <c r="G180" s="109"/>
      <c r="H180" s="109"/>
      <c r="I180" s="120"/>
      <c r="J180" s="120"/>
      <c r="K180" s="120"/>
      <c r="L180" s="120"/>
      <c r="M180" s="109"/>
      <c r="N180" s="109"/>
      <c r="P180" s="109"/>
      <c r="Q180" s="109"/>
    </row>
    <row r="181" spans="1:17">
      <c r="A181" s="185"/>
      <c r="B181" s="180"/>
      <c r="C181" s="109"/>
      <c r="D181" s="109"/>
      <c r="E181" s="109"/>
      <c r="F181" s="109"/>
      <c r="G181" s="109"/>
      <c r="H181" s="109"/>
      <c r="I181" s="120"/>
      <c r="J181" s="120"/>
      <c r="K181" s="120"/>
      <c r="L181" s="120"/>
      <c r="M181" s="109"/>
      <c r="N181" s="109"/>
      <c r="P181" s="109"/>
      <c r="Q181" s="109"/>
    </row>
    <row r="182" spans="1:17">
      <c r="A182" s="185"/>
      <c r="B182" s="193"/>
      <c r="C182" s="109"/>
      <c r="D182" s="109"/>
      <c r="E182" s="109"/>
      <c r="F182" s="109"/>
      <c r="G182" s="109"/>
      <c r="H182" s="109"/>
      <c r="I182" s="120"/>
      <c r="J182" s="120"/>
      <c r="K182" s="120"/>
      <c r="L182" s="120"/>
      <c r="M182" s="109"/>
      <c r="N182" s="109"/>
      <c r="P182" s="109"/>
      <c r="Q182" s="109"/>
    </row>
    <row r="183" spans="1:17">
      <c r="A183" s="109"/>
      <c r="B183" s="193"/>
      <c r="C183" s="109"/>
      <c r="D183" s="109"/>
      <c r="E183" s="129"/>
      <c r="F183" s="109"/>
      <c r="G183" s="109"/>
      <c r="H183" s="109"/>
      <c r="I183" s="120"/>
      <c r="J183" s="120"/>
      <c r="K183" s="120"/>
      <c r="L183" s="120"/>
      <c r="M183" s="109"/>
      <c r="N183" s="109"/>
      <c r="P183" s="109"/>
      <c r="Q183" s="109"/>
    </row>
    <row r="184" spans="1:17">
      <c r="A184" s="109"/>
      <c r="B184" s="193"/>
      <c r="C184" s="109"/>
      <c r="D184" s="109"/>
      <c r="E184" s="129"/>
      <c r="F184" s="109"/>
      <c r="G184" s="109"/>
      <c r="H184" s="109"/>
      <c r="I184" s="120"/>
      <c r="J184" s="120"/>
      <c r="K184" s="120"/>
      <c r="L184" s="120"/>
      <c r="M184" s="109"/>
      <c r="N184" s="109"/>
      <c r="P184" s="109"/>
      <c r="Q184" s="109"/>
    </row>
    <row r="185" spans="1:17">
      <c r="A185" s="109"/>
      <c r="B185" s="167"/>
      <c r="C185" s="109"/>
      <c r="D185" s="109"/>
      <c r="E185" s="129"/>
      <c r="F185" s="109"/>
      <c r="G185" s="109"/>
      <c r="H185" s="109"/>
      <c r="I185" s="120"/>
      <c r="J185" s="120"/>
      <c r="K185" s="120"/>
      <c r="L185" s="120"/>
      <c r="M185" s="109"/>
      <c r="N185" s="109"/>
      <c r="P185" s="109"/>
      <c r="Q185" s="109"/>
    </row>
    <row r="186" spans="1:17">
      <c r="A186" s="109"/>
      <c r="B186" s="193"/>
      <c r="C186" s="109"/>
      <c r="D186" s="109"/>
      <c r="E186" s="129"/>
      <c r="F186" s="109"/>
      <c r="G186" s="109"/>
      <c r="H186" s="109"/>
      <c r="I186" s="120"/>
      <c r="J186" s="120"/>
      <c r="K186" s="120"/>
      <c r="L186" s="120"/>
      <c r="M186" s="109"/>
      <c r="N186" s="109"/>
      <c r="P186" s="109"/>
      <c r="Q186" s="109"/>
    </row>
    <row r="187" spans="1:17">
      <c r="A187" s="109"/>
      <c r="B187" s="193"/>
      <c r="C187" s="109"/>
      <c r="D187" s="109"/>
      <c r="E187" s="129"/>
      <c r="F187" s="109"/>
      <c r="G187" s="109"/>
      <c r="H187" s="109"/>
      <c r="I187" s="120"/>
      <c r="J187" s="120"/>
      <c r="K187" s="120"/>
      <c r="L187" s="120"/>
      <c r="M187" s="109"/>
      <c r="N187" s="109"/>
      <c r="P187" s="109"/>
      <c r="Q187" s="109"/>
    </row>
    <row r="188" spans="1:17">
      <c r="A188" s="109"/>
      <c r="B188" s="167"/>
      <c r="C188" s="109"/>
      <c r="D188" s="109"/>
      <c r="E188" s="129"/>
      <c r="F188" s="109"/>
      <c r="G188" s="109"/>
      <c r="H188" s="109"/>
      <c r="I188" s="120"/>
      <c r="J188" s="120"/>
      <c r="K188" s="120"/>
      <c r="L188" s="120"/>
      <c r="M188" s="109"/>
      <c r="N188" s="109"/>
      <c r="P188" s="109"/>
      <c r="Q188" s="109"/>
    </row>
    <row r="189" spans="1:17">
      <c r="A189" s="109"/>
      <c r="B189" s="193"/>
      <c r="C189" s="109"/>
      <c r="D189" s="109"/>
      <c r="E189" s="63"/>
      <c r="F189" s="109"/>
      <c r="G189" s="109"/>
      <c r="H189" s="109"/>
      <c r="I189" s="120"/>
      <c r="J189" s="120"/>
      <c r="K189" s="120"/>
      <c r="L189" s="120"/>
      <c r="M189" s="109"/>
      <c r="N189" s="109"/>
      <c r="P189" s="109"/>
      <c r="Q189" s="109"/>
    </row>
    <row r="190" spans="1:17">
      <c r="A190" s="109"/>
      <c r="B190" s="193"/>
      <c r="C190" s="109"/>
      <c r="D190" s="109"/>
      <c r="E190" s="63"/>
      <c r="F190" s="109"/>
      <c r="G190" s="109"/>
      <c r="H190" s="109"/>
      <c r="I190" s="120"/>
      <c r="J190" s="120"/>
      <c r="K190" s="120"/>
      <c r="L190" s="120"/>
      <c r="M190" s="109"/>
      <c r="N190" s="109"/>
      <c r="P190" s="109"/>
      <c r="Q190" s="109"/>
    </row>
    <row r="191" spans="1:17">
      <c r="A191" s="109"/>
      <c r="B191" s="117"/>
      <c r="C191" s="109"/>
      <c r="D191" s="109"/>
      <c r="E191" s="63"/>
      <c r="F191" s="109"/>
      <c r="G191" s="109"/>
      <c r="H191" s="109"/>
      <c r="I191" s="120"/>
      <c r="J191" s="120"/>
      <c r="K191" s="120"/>
      <c r="L191" s="120"/>
      <c r="M191" s="109"/>
      <c r="N191" s="109"/>
      <c r="P191" s="109"/>
      <c r="Q191" s="109"/>
    </row>
    <row r="192" spans="1:17">
      <c r="A192" s="109"/>
      <c r="B192" s="181"/>
      <c r="C192" s="109"/>
      <c r="D192" s="109"/>
      <c r="E192" s="63"/>
      <c r="F192" s="109"/>
      <c r="G192" s="109"/>
      <c r="H192" s="109"/>
      <c r="I192" s="120"/>
      <c r="J192" s="120"/>
      <c r="K192" s="120"/>
      <c r="L192" s="120"/>
      <c r="M192" s="109"/>
      <c r="N192" s="109"/>
      <c r="P192" s="109"/>
      <c r="Q192" s="109"/>
    </row>
    <row r="193" spans="1:17">
      <c r="A193" s="109"/>
      <c r="B193" s="181"/>
      <c r="C193" s="109"/>
      <c r="D193" s="109"/>
      <c r="E193" s="63"/>
      <c r="F193" s="109"/>
      <c r="G193" s="109"/>
      <c r="H193" s="109"/>
      <c r="I193" s="120"/>
      <c r="J193" s="120"/>
      <c r="K193" s="120"/>
      <c r="L193" s="120"/>
      <c r="M193" s="109"/>
      <c r="N193" s="109"/>
      <c r="P193" s="109"/>
      <c r="Q193" s="109"/>
    </row>
    <row r="194" spans="1:17">
      <c r="B194" s="182"/>
      <c r="F194" s="109"/>
      <c r="G194" s="109"/>
      <c r="H194" s="109"/>
      <c r="I194" s="120"/>
      <c r="J194" s="120"/>
      <c r="K194" s="120"/>
      <c r="L194" s="120"/>
      <c r="M194" s="109"/>
      <c r="N194" s="109"/>
      <c r="P194" s="109"/>
      <c r="Q194" s="109"/>
    </row>
    <row r="195" spans="1:17">
      <c r="B195" s="183"/>
      <c r="F195" s="109"/>
      <c r="G195" s="109"/>
      <c r="H195" s="109"/>
      <c r="I195" s="120"/>
      <c r="J195" s="120"/>
      <c r="K195" s="120"/>
      <c r="L195" s="120"/>
      <c r="M195" s="109"/>
      <c r="N195" s="109"/>
      <c r="P195" s="109"/>
      <c r="Q195" s="109"/>
    </row>
    <row r="197" spans="1:17">
      <c r="B197" s="103"/>
    </row>
    <row r="200" spans="1:17">
      <c r="B200" s="103"/>
    </row>
    <row r="203" spans="1:17">
      <c r="B203" s="103"/>
    </row>
    <row r="206" spans="1:17">
      <c r="B206" s="103"/>
    </row>
    <row r="209" spans="2:2">
      <c r="B209" s="103"/>
    </row>
    <row r="212" spans="2:2">
      <c r="B212" s="103"/>
    </row>
    <row r="215" spans="2:2">
      <c r="B215" s="103"/>
    </row>
    <row r="218" spans="2:2">
      <c r="B218" s="103"/>
    </row>
    <row r="221" spans="2:2">
      <c r="B221" s="103"/>
    </row>
    <row r="224" spans="2:2">
      <c r="B224" s="103"/>
    </row>
    <row r="227" spans="2:2">
      <c r="B227" s="103"/>
    </row>
    <row r="230" spans="2:2">
      <c r="B230" s="103"/>
    </row>
    <row r="233" spans="2:2">
      <c r="B233" s="103"/>
    </row>
    <row r="236" spans="2:2">
      <c r="B236" s="103"/>
    </row>
    <row r="239" spans="2:2">
      <c r="B239" s="103"/>
    </row>
    <row r="242" spans="2:2">
      <c r="B242" s="103"/>
    </row>
    <row r="245" spans="2:2">
      <c r="B245" s="103"/>
    </row>
    <row r="248" spans="2:2">
      <c r="B248" s="103"/>
    </row>
    <row r="251" spans="2:2">
      <c r="B251" s="103"/>
    </row>
    <row r="254" spans="2:2">
      <c r="B254" s="103"/>
    </row>
  </sheetData>
  <mergeCells count="2">
    <mergeCell ref="H1:L1"/>
    <mergeCell ref="A1:E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36CCC-905A-44E2-94AD-5BA5A9675797}">
  <dimension ref="A1:E15"/>
  <sheetViews>
    <sheetView workbookViewId="0"/>
  </sheetViews>
  <sheetFormatPr defaultRowHeight="14.45"/>
  <cols>
    <col min="1" max="1" width="26.42578125" customWidth="1"/>
    <col min="2" max="2" width="31.5703125" customWidth="1"/>
    <col min="4" max="4" width="5.140625" customWidth="1"/>
    <col min="7" max="7" width="9.140625" bestFit="1" customWidth="1"/>
  </cols>
  <sheetData>
    <row r="1" spans="1:5">
      <c r="A1" s="37"/>
      <c r="B1" s="361" t="s">
        <v>595</v>
      </c>
      <c r="C1" s="361"/>
      <c r="D1" s="361"/>
      <c r="E1" s="361"/>
    </row>
    <row r="2" spans="1:5">
      <c r="B2" s="38"/>
      <c r="D2" s="39"/>
      <c r="E2" s="3"/>
    </row>
    <row r="3" spans="1:5">
      <c r="A3" s="40" t="s">
        <v>596</v>
      </c>
      <c r="B3" s="49" t="str">
        <f ca="1">_xlfn.CONCAT(TEXT(B5,"0000000"),TEXT(B15,"00"),B6,B7,B8)</f>
        <v>13740655320254036118</v>
      </c>
      <c r="D3" s="39"/>
      <c r="E3" s="3"/>
    </row>
    <row r="4" spans="1:5">
      <c r="A4" s="42"/>
      <c r="B4" s="3"/>
      <c r="D4" s="39"/>
      <c r="E4" s="3"/>
    </row>
    <row r="5" spans="1:5">
      <c r="A5" s="43" t="s">
        <v>597</v>
      </c>
      <c r="B5" s="44">
        <f ca="1">RANDBETWEEN(1,9999999)</f>
        <v>1374065</v>
      </c>
    </row>
    <row r="6" spans="1:5">
      <c r="A6" s="43" t="s">
        <v>598</v>
      </c>
      <c r="B6" s="41">
        <v>2025</v>
      </c>
    </row>
    <row r="7" spans="1:5">
      <c r="A7" s="43"/>
      <c r="B7" s="41">
        <f ca="1">RANDBETWEEN(403,404)</f>
        <v>403</v>
      </c>
    </row>
    <row r="8" spans="1:5">
      <c r="A8" s="43" t="s">
        <v>599</v>
      </c>
      <c r="B8" s="41">
        <f ca="1">IF(B7=404,RANDBETWEEN(7000,7016),RANDBETWEEN(6102,6127))</f>
        <v>6118</v>
      </c>
    </row>
    <row r="10" spans="1:5">
      <c r="A10" s="43" t="s">
        <v>600</v>
      </c>
      <c r="B10" s="41">
        <f ca="1">MOD(B5,97)</f>
        <v>60</v>
      </c>
    </row>
    <row r="11" spans="1:5">
      <c r="A11" s="43" t="s">
        <v>601</v>
      </c>
      <c r="B11" s="41" t="str">
        <f ca="1">_xlfn.CONCAT(B10,B6,B7)</f>
        <v>602025403</v>
      </c>
    </row>
    <row r="12" spans="1:5">
      <c r="A12" s="43" t="s">
        <v>602</v>
      </c>
      <c r="B12" s="41">
        <f ca="1">MOD(B11,97)</f>
        <v>44</v>
      </c>
    </row>
    <row r="13" spans="1:5">
      <c r="A13" s="43" t="s">
        <v>603</v>
      </c>
      <c r="B13" s="41" t="str">
        <f ca="1">_xlfn.CONCAT(B12,B8,0,0)</f>
        <v>44611800</v>
      </c>
    </row>
    <row r="14" spans="1:5">
      <c r="A14" s="43" t="s">
        <v>604</v>
      </c>
      <c r="B14" s="41">
        <f ca="1">MOD(B13,97)</f>
        <v>45</v>
      </c>
    </row>
    <row r="15" spans="1:5">
      <c r="A15" s="43" t="s">
        <v>605</v>
      </c>
      <c r="B15" s="45">
        <f ca="1">98-B14</f>
        <v>53</v>
      </c>
    </row>
  </sheetData>
  <mergeCells count="1">
    <mergeCell ref="B1:E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671E5-AACA-4F10-9F8D-AD0D4BA839BA}">
  <sheetPr>
    <tabColor theme="9" tint="0.59999389629810485"/>
  </sheetPr>
  <dimension ref="A1:N35"/>
  <sheetViews>
    <sheetView workbookViewId="0">
      <selection activeCell="A4" sqref="A4"/>
    </sheetView>
  </sheetViews>
  <sheetFormatPr defaultRowHeight="14.45"/>
  <cols>
    <col min="2" max="2" width="40.85546875" customWidth="1"/>
    <col min="5" max="8" width="10.7109375" bestFit="1" customWidth="1"/>
    <col min="13" max="13" width="31" customWidth="1"/>
    <col min="14" max="14" width="48.42578125" customWidth="1"/>
  </cols>
  <sheetData>
    <row r="1" spans="1:14">
      <c r="A1" s="362" t="s">
        <v>606</v>
      </c>
      <c r="B1" s="362"/>
      <c r="M1" s="362" t="s">
        <v>607</v>
      </c>
      <c r="N1" s="362"/>
    </row>
    <row r="2" spans="1:14">
      <c r="A2" s="25" t="s">
        <v>608</v>
      </c>
      <c r="M2" s="3" t="s">
        <v>609</v>
      </c>
      <c r="N2" s="3" t="s">
        <v>610</v>
      </c>
    </row>
    <row r="3" spans="1:14" ht="15">
      <c r="A3" s="25" t="s">
        <v>3</v>
      </c>
      <c r="B3" s="266"/>
      <c r="M3" t="s">
        <v>250</v>
      </c>
      <c r="N3" s="7" t="s">
        <v>251</v>
      </c>
    </row>
    <row r="4" spans="1:14" ht="15">
      <c r="M4" t="s">
        <v>280</v>
      </c>
      <c r="N4" s="7" t="s">
        <v>611</v>
      </c>
    </row>
    <row r="5" spans="1:14" ht="15">
      <c r="M5" t="s">
        <v>308</v>
      </c>
      <c r="N5" s="7" t="s">
        <v>309</v>
      </c>
    </row>
    <row r="6" spans="1:14" ht="15">
      <c r="M6" t="s">
        <v>345</v>
      </c>
      <c r="N6" s="7" t="s">
        <v>346</v>
      </c>
    </row>
    <row r="7" spans="1:14" ht="15">
      <c r="N7" s="7"/>
    </row>
    <row r="8" spans="1:14" ht="15">
      <c r="N8" s="7"/>
    </row>
    <row r="9" spans="1:14" ht="15">
      <c r="N9" s="7"/>
    </row>
    <row r="10" spans="1:14" ht="15">
      <c r="N10" s="7"/>
    </row>
    <row r="11" spans="1:14" ht="15">
      <c r="N11" s="7"/>
    </row>
    <row r="12" spans="1:14" ht="15">
      <c r="N12" s="7"/>
    </row>
    <row r="13" spans="1:14" ht="15">
      <c r="N13" s="7"/>
    </row>
    <row r="14" spans="1:14" ht="15">
      <c r="N14" s="7"/>
    </row>
    <row r="15" spans="1:14" ht="15">
      <c r="N15" s="7"/>
    </row>
    <row r="16" spans="1:14" ht="15">
      <c r="N16" s="7"/>
    </row>
    <row r="17" spans="3:14" ht="15">
      <c r="N17" s="7"/>
    </row>
    <row r="18" spans="3:14" ht="15">
      <c r="N18" s="7"/>
    </row>
    <row r="19" spans="3:14" ht="15">
      <c r="N19" s="7"/>
    </row>
    <row r="20" spans="3:14" ht="15">
      <c r="N20" s="7"/>
    </row>
    <row r="21" spans="3:14" ht="15">
      <c r="C21" s="7"/>
    </row>
    <row r="22" spans="3:14" ht="15">
      <c r="C22" s="7"/>
    </row>
    <row r="23" spans="3:14" ht="15"/>
    <row r="24" spans="3:14" ht="15">
      <c r="C24" s="7"/>
    </row>
    <row r="25" spans="3:14" ht="15">
      <c r="C25" s="7"/>
    </row>
    <row r="26" spans="3:14" ht="15">
      <c r="C26" s="7"/>
    </row>
    <row r="27" spans="3:14" ht="15">
      <c r="C27" s="7"/>
    </row>
    <row r="28" spans="3:14" ht="15">
      <c r="C28" s="7"/>
    </row>
    <row r="29" spans="3:14" ht="15">
      <c r="C29" s="7"/>
    </row>
    <row r="30" spans="3:14" ht="15">
      <c r="C30" s="7"/>
    </row>
    <row r="31" spans="3:14" ht="15">
      <c r="C31" s="7"/>
    </row>
    <row r="32" spans="3:14" ht="15">
      <c r="C32" s="7"/>
    </row>
    <row r="33" spans="3:3" ht="15">
      <c r="C33" s="7"/>
    </row>
    <row r="34" spans="3:3" ht="15">
      <c r="C34" s="7"/>
    </row>
    <row r="35" spans="3:3" ht="15">
      <c r="C35" s="7"/>
    </row>
  </sheetData>
  <mergeCells count="2">
    <mergeCell ref="M1:N1"/>
    <mergeCell ref="A1:B1"/>
  </mergeCells>
  <hyperlinks>
    <hyperlink ref="N4" r:id="rId1" xr:uid="{97BFEC1A-19A0-473F-B026-9AA02749AB66}"/>
    <hyperlink ref="N3" r:id="rId2" xr:uid="{5A3AC092-610E-480A-B56A-B41AEA9B1222}"/>
  </hyperlinks>
  <pageMargins left="0.7" right="0.7" top="0.75" bottom="0.75" header="0.3" footer="0.3"/>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B6FE7E-4347-4949-BD38-03773B196F77}">
  <dimension ref="C1:J1000"/>
  <sheetViews>
    <sheetView tabSelected="1" workbookViewId="0">
      <selection activeCell="D11" sqref="D11"/>
    </sheetView>
  </sheetViews>
  <sheetFormatPr defaultRowHeight="15" customHeight="1"/>
  <cols>
    <col min="3" max="3" width="6.7109375" style="53" customWidth="1"/>
    <col min="4" max="4" width="49.7109375" style="31" customWidth="1"/>
    <col min="6" max="6" width="8.5703125" bestFit="1" customWidth="1"/>
    <col min="7" max="7" width="8.7109375" bestFit="1" customWidth="1"/>
    <col min="10" max="10" width="17.42578125" bestFit="1" customWidth="1"/>
  </cols>
  <sheetData>
    <row r="1" spans="3:10">
      <c r="E1" s="31"/>
      <c r="F1" s="31"/>
      <c r="G1" s="31"/>
      <c r="H1" s="31"/>
      <c r="J1" s="53"/>
    </row>
    <row r="2" spans="3:10">
      <c r="E2" s="31"/>
      <c r="F2" s="31"/>
      <c r="G2" s="31"/>
      <c r="H2" s="31"/>
      <c r="J2" s="53"/>
    </row>
    <row r="3" spans="3:10">
      <c r="E3" s="31"/>
      <c r="F3" s="31"/>
      <c r="G3" s="31"/>
      <c r="H3" s="31"/>
      <c r="J3" s="53"/>
    </row>
    <row r="4" spans="3:10">
      <c r="E4" s="31"/>
      <c r="F4" s="31"/>
      <c r="G4" s="31"/>
      <c r="H4" s="31"/>
      <c r="J4" s="53"/>
    </row>
    <row r="5" spans="3:10">
      <c r="E5" s="31"/>
      <c r="F5" s="31"/>
      <c r="G5" s="31"/>
      <c r="H5" s="31"/>
      <c r="J5" s="53"/>
    </row>
    <row r="6" spans="3:10">
      <c r="E6" s="31"/>
      <c r="F6" s="31"/>
      <c r="G6" s="31"/>
      <c r="H6" s="31"/>
      <c r="J6" s="53"/>
    </row>
    <row r="7" spans="3:10">
      <c r="E7" s="31"/>
      <c r="F7" s="31"/>
      <c r="G7" s="31"/>
      <c r="H7" s="31"/>
      <c r="J7" s="53"/>
    </row>
    <row r="8" spans="3:10" ht="70.5" customHeight="1">
      <c r="C8" s="57" t="s">
        <v>612</v>
      </c>
      <c r="D8" s="58" t="s">
        <v>613</v>
      </c>
      <c r="E8" s="58" t="s">
        <v>614</v>
      </c>
      <c r="F8" s="58" t="s">
        <v>615</v>
      </c>
      <c r="G8" s="58" t="s">
        <v>616</v>
      </c>
      <c r="H8" s="58" t="s">
        <v>617</v>
      </c>
      <c r="I8" s="59" t="s">
        <v>618</v>
      </c>
      <c r="J8" s="59" t="s">
        <v>619</v>
      </c>
    </row>
    <row r="9" spans="3:10" s="52" customFormat="1" ht="106.5" customHeight="1">
      <c r="C9" s="55">
        <v>1</v>
      </c>
      <c r="D9" s="171" t="s">
        <v>153</v>
      </c>
      <c r="E9" s="171" t="s">
        <v>10</v>
      </c>
      <c r="F9" s="171" t="s">
        <v>49</v>
      </c>
      <c r="G9" s="171" t="s">
        <v>49</v>
      </c>
      <c r="H9" s="171" t="s">
        <v>49</v>
      </c>
      <c r="I9" s="59"/>
      <c r="J9" s="69" t="str">
        <f>IF(COUNTIFS(E9:G9,"Falha") &gt; 0,"REPROVADO", IF(COUNTIFS(E9:G9,"Sucesso") &gt; 0,"APROVADO", IF(COUNTIFS(E9:G9,"Sugestão") &gt; 0,"APROVADO", IF(COUNTIFS(E9:G9,"Não Executado") &gt; 0,"NÃO EXECUTADO"))))</f>
        <v>APROVADO</v>
      </c>
    </row>
    <row r="10" spans="3:10" ht="45.75">
      <c r="C10" s="55">
        <v>2</v>
      </c>
      <c r="D10" s="56" t="s">
        <v>158</v>
      </c>
      <c r="E10" s="56" t="s">
        <v>49</v>
      </c>
      <c r="F10" s="56" t="s">
        <v>49</v>
      </c>
      <c r="G10" s="56" t="s">
        <v>49</v>
      </c>
      <c r="H10" s="56" t="s">
        <v>49</v>
      </c>
      <c r="I10" s="59"/>
      <c r="J10" s="69" t="str">
        <f t="shared" ref="J10:J37" si="0">IF(COUNTIFS(E10:G10,"Falha") &gt; 0,"REPROVADO", IF(COUNTIFS(E10:G10,"Sucesso") &gt; 0,"APROVADO", IF(COUNTIFS(E10:G10,"Sugestão") &gt; 0,"APROVADO", IF(COUNTIFS(E10:G10,"Não Executado") &gt; 0,"NÃO EXECUTADO"))))</f>
        <v>APROVADO</v>
      </c>
    </row>
    <row r="11" spans="3:10" ht="30.75">
      <c r="C11" s="55">
        <v>3</v>
      </c>
      <c r="D11" s="56" t="s">
        <v>161</v>
      </c>
      <c r="E11" s="56" t="s">
        <v>49</v>
      </c>
      <c r="F11" s="56" t="s">
        <v>49</v>
      </c>
      <c r="G11" s="56" t="s">
        <v>10</v>
      </c>
      <c r="H11" s="56" t="s">
        <v>49</v>
      </c>
      <c r="I11" s="59"/>
      <c r="J11" s="69" t="str">
        <f t="shared" si="0"/>
        <v>APROVADO</v>
      </c>
    </row>
    <row r="12" spans="3:10" ht="45.75">
      <c r="C12" s="55">
        <v>4</v>
      </c>
      <c r="D12" s="56" t="s">
        <v>165</v>
      </c>
      <c r="E12" s="56" t="s">
        <v>49</v>
      </c>
      <c r="F12" s="56" t="s">
        <v>49</v>
      </c>
      <c r="G12" s="56" t="s">
        <v>49</v>
      </c>
      <c r="H12" s="56" t="s">
        <v>49</v>
      </c>
      <c r="I12" s="59"/>
      <c r="J12" s="69" t="str">
        <f t="shared" si="0"/>
        <v>APROVADO</v>
      </c>
    </row>
    <row r="13" spans="3:10" ht="30.75">
      <c r="C13" s="55">
        <v>5</v>
      </c>
      <c r="D13" s="56" t="s">
        <v>167</v>
      </c>
      <c r="E13" s="56" t="s">
        <v>49</v>
      </c>
      <c r="F13" s="56" t="s">
        <v>49</v>
      </c>
      <c r="G13" s="56" t="s">
        <v>49</v>
      </c>
      <c r="H13" s="56" t="s">
        <v>49</v>
      </c>
      <c r="I13" s="59"/>
      <c r="J13" s="69" t="str">
        <f t="shared" si="0"/>
        <v>APROVADO</v>
      </c>
    </row>
    <row r="14" spans="3:10" ht="45.75">
      <c r="C14" s="55">
        <v>6</v>
      </c>
      <c r="D14" s="56" t="s">
        <v>172</v>
      </c>
      <c r="E14" s="56" t="s">
        <v>49</v>
      </c>
      <c r="F14" s="56" t="s">
        <v>49</v>
      </c>
      <c r="G14" s="56" t="s">
        <v>49</v>
      </c>
      <c r="H14" s="56" t="s">
        <v>49</v>
      </c>
      <c r="I14" s="59"/>
      <c r="J14" s="69" t="str">
        <f t="shared" si="0"/>
        <v>APROVADO</v>
      </c>
    </row>
    <row r="15" spans="3:10" ht="32.25" customHeight="1">
      <c r="C15" s="55">
        <v>7</v>
      </c>
      <c r="D15" s="56" t="s">
        <v>177</v>
      </c>
      <c r="E15" s="56" t="s">
        <v>49</v>
      </c>
      <c r="F15" s="56" t="s">
        <v>49</v>
      </c>
      <c r="G15" s="56" t="s">
        <v>49</v>
      </c>
      <c r="H15" s="56" t="s">
        <v>49</v>
      </c>
      <c r="I15" s="59"/>
      <c r="J15" s="69" t="str">
        <f t="shared" si="0"/>
        <v>APROVADO</v>
      </c>
    </row>
    <row r="16" spans="3:10" ht="45.75">
      <c r="C16" s="55">
        <v>8</v>
      </c>
      <c r="D16" s="56" t="s">
        <v>181</v>
      </c>
      <c r="E16" s="56" t="s">
        <v>49</v>
      </c>
      <c r="F16" s="56" t="s">
        <v>49</v>
      </c>
      <c r="G16" s="56" t="s">
        <v>49</v>
      </c>
      <c r="H16" s="56" t="s">
        <v>49</v>
      </c>
      <c r="I16" s="59"/>
      <c r="J16" s="69" t="str">
        <f t="shared" si="0"/>
        <v>APROVADO</v>
      </c>
    </row>
    <row r="17" spans="3:10" ht="121.5">
      <c r="C17" s="55" t="s">
        <v>184</v>
      </c>
      <c r="D17" s="56"/>
      <c r="E17" s="56" t="s">
        <v>46</v>
      </c>
      <c r="F17" s="56" t="s">
        <v>46</v>
      </c>
      <c r="G17" s="56" t="s">
        <v>46</v>
      </c>
      <c r="H17" s="56" t="s">
        <v>46</v>
      </c>
      <c r="I17" s="59"/>
      <c r="J17" s="69" t="str">
        <f t="shared" si="0"/>
        <v>NÃO EXECUTADO</v>
      </c>
    </row>
    <row r="18" spans="3:10" ht="45.75">
      <c r="C18" s="55">
        <v>9</v>
      </c>
      <c r="D18" s="56" t="s">
        <v>185</v>
      </c>
      <c r="E18" s="56" t="s">
        <v>49</v>
      </c>
      <c r="F18" s="56" t="s">
        <v>49</v>
      </c>
      <c r="G18" s="56" t="s">
        <v>49</v>
      </c>
      <c r="H18" s="56" t="s">
        <v>49</v>
      </c>
      <c r="I18" s="59"/>
      <c r="J18" s="69" t="str">
        <f t="shared" si="0"/>
        <v>APROVADO</v>
      </c>
    </row>
    <row r="19" spans="3:10" ht="30.75">
      <c r="C19" s="55">
        <v>10</v>
      </c>
      <c r="D19" s="56" t="s">
        <v>189</v>
      </c>
      <c r="E19" s="56" t="s">
        <v>49</v>
      </c>
      <c r="F19" s="56" t="s">
        <v>49</v>
      </c>
      <c r="G19" s="56" t="s">
        <v>10</v>
      </c>
      <c r="H19" s="56" t="s">
        <v>49</v>
      </c>
      <c r="I19" s="59"/>
      <c r="J19" s="69" t="str">
        <f t="shared" si="0"/>
        <v>APROVADO</v>
      </c>
    </row>
    <row r="20" spans="3:10" ht="76.5">
      <c r="C20" s="55" t="s">
        <v>191</v>
      </c>
      <c r="D20" s="56"/>
      <c r="E20" s="56" t="s">
        <v>46</v>
      </c>
      <c r="F20" s="56" t="s">
        <v>46</v>
      </c>
      <c r="G20" s="56" t="s">
        <v>46</v>
      </c>
      <c r="H20" s="56" t="s">
        <v>46</v>
      </c>
      <c r="I20" s="59"/>
      <c r="J20" s="69" t="str">
        <f t="shared" si="0"/>
        <v>NÃO EXECUTADO</v>
      </c>
    </row>
    <row r="21" spans="3:10" ht="45.75">
      <c r="C21" s="55">
        <v>11</v>
      </c>
      <c r="D21" s="56" t="s">
        <v>192</v>
      </c>
      <c r="E21" s="56" t="s">
        <v>49</v>
      </c>
      <c r="F21" s="56" t="s">
        <v>49</v>
      </c>
      <c r="G21" s="56" t="s">
        <v>10</v>
      </c>
      <c r="H21" s="56" t="s">
        <v>49</v>
      </c>
      <c r="I21" s="59"/>
      <c r="J21" s="69" t="str">
        <f t="shared" si="0"/>
        <v>APROVADO</v>
      </c>
    </row>
    <row r="22" spans="3:10" ht="45.75">
      <c r="C22" s="55">
        <v>12</v>
      </c>
      <c r="D22" s="56" t="s">
        <v>199</v>
      </c>
      <c r="E22" s="56" t="s">
        <v>49</v>
      </c>
      <c r="F22" s="56" t="s">
        <v>49</v>
      </c>
      <c r="G22" s="56" t="s">
        <v>49</v>
      </c>
      <c r="H22" s="56" t="s">
        <v>49</v>
      </c>
      <c r="I22" s="59"/>
      <c r="J22" s="69" t="str">
        <f t="shared" si="0"/>
        <v>APROVADO</v>
      </c>
    </row>
    <row r="23" spans="3:10" ht="76.5">
      <c r="C23" s="55" t="s">
        <v>203</v>
      </c>
      <c r="D23" s="56"/>
      <c r="E23" s="56" t="s">
        <v>46</v>
      </c>
      <c r="F23" s="56" t="s">
        <v>46</v>
      </c>
      <c r="G23" s="56" t="s">
        <v>46</v>
      </c>
      <c r="H23" s="56" t="s">
        <v>46</v>
      </c>
      <c r="I23" s="59"/>
      <c r="J23" s="69" t="str">
        <f t="shared" si="0"/>
        <v>NÃO EXECUTADO</v>
      </c>
    </row>
    <row r="24" spans="3:10" ht="45.75">
      <c r="C24" s="55">
        <v>13</v>
      </c>
      <c r="D24" s="56" t="s">
        <v>204</v>
      </c>
      <c r="E24" s="56" t="s">
        <v>46</v>
      </c>
      <c r="F24" s="56" t="s">
        <v>49</v>
      </c>
      <c r="G24" s="56" t="s">
        <v>49</v>
      </c>
      <c r="H24" s="56" t="s">
        <v>49</v>
      </c>
      <c r="I24" s="59"/>
      <c r="J24" s="69" t="str">
        <f t="shared" si="0"/>
        <v>APROVADO</v>
      </c>
    </row>
    <row r="25" spans="3:10" ht="45.75">
      <c r="C25" s="55">
        <v>14</v>
      </c>
      <c r="D25" s="56" t="s">
        <v>210</v>
      </c>
      <c r="E25" s="56" t="s">
        <v>46</v>
      </c>
      <c r="F25" s="56" t="s">
        <v>46</v>
      </c>
      <c r="G25" s="56" t="s">
        <v>46</v>
      </c>
      <c r="H25" s="56" t="s">
        <v>46</v>
      </c>
      <c r="I25" s="59"/>
      <c r="J25" s="69" t="str">
        <f t="shared" si="0"/>
        <v>NÃO EXECUTADO</v>
      </c>
    </row>
    <row r="26" spans="3:10" ht="45.75">
      <c r="C26" s="55">
        <v>15</v>
      </c>
      <c r="D26" s="56" t="s">
        <v>212</v>
      </c>
      <c r="E26" s="56" t="s">
        <v>46</v>
      </c>
      <c r="F26" s="56" t="s">
        <v>46</v>
      </c>
      <c r="G26" s="56" t="s">
        <v>46</v>
      </c>
      <c r="H26" s="56" t="s">
        <v>46</v>
      </c>
      <c r="I26" s="59"/>
      <c r="J26" s="69" t="str">
        <f t="shared" si="0"/>
        <v>NÃO EXECUTADO</v>
      </c>
    </row>
    <row r="27" spans="3:10" ht="45.75">
      <c r="C27" s="55">
        <v>16</v>
      </c>
      <c r="D27" s="56" t="s">
        <v>216</v>
      </c>
      <c r="E27" s="56" t="s">
        <v>46</v>
      </c>
      <c r="F27" s="56" t="s">
        <v>46</v>
      </c>
      <c r="G27" s="56" t="s">
        <v>46</v>
      </c>
      <c r="H27" s="56" t="s">
        <v>46</v>
      </c>
      <c r="I27" s="59"/>
      <c r="J27" s="69" t="str">
        <f t="shared" si="0"/>
        <v>NÃO EXECUTADO</v>
      </c>
    </row>
    <row r="28" spans="3:10" ht="45.75">
      <c r="C28" s="55">
        <v>18</v>
      </c>
      <c r="D28" s="56" t="s">
        <v>218</v>
      </c>
      <c r="E28" s="56" t="s">
        <v>46</v>
      </c>
      <c r="F28" s="56" t="s">
        <v>49</v>
      </c>
      <c r="G28" s="56" t="s">
        <v>49</v>
      </c>
      <c r="H28" s="56" t="s">
        <v>46</v>
      </c>
      <c r="I28" s="59"/>
      <c r="J28" s="69" t="str">
        <f t="shared" si="0"/>
        <v>APROVADO</v>
      </c>
    </row>
    <row r="29" spans="3:10" ht="45.75">
      <c r="C29" s="55">
        <v>19</v>
      </c>
      <c r="D29" s="56" t="s">
        <v>224</v>
      </c>
      <c r="E29" s="56" t="s">
        <v>46</v>
      </c>
      <c r="F29" s="56" t="s">
        <v>46</v>
      </c>
      <c r="G29" s="56" t="s">
        <v>46</v>
      </c>
      <c r="H29" s="56" t="s">
        <v>46</v>
      </c>
      <c r="I29" s="59"/>
      <c r="J29" s="69" t="str">
        <f t="shared" si="0"/>
        <v>NÃO EXECUTADO</v>
      </c>
    </row>
    <row r="30" spans="3:10" ht="45.75">
      <c r="C30" s="55">
        <v>20</v>
      </c>
      <c r="D30" s="56" t="s">
        <v>226</v>
      </c>
      <c r="E30" s="56" t="s">
        <v>46</v>
      </c>
      <c r="F30" s="56" t="s">
        <v>46</v>
      </c>
      <c r="G30" s="56" t="s">
        <v>46</v>
      </c>
      <c r="H30" s="56" t="s">
        <v>46</v>
      </c>
      <c r="I30" s="59"/>
      <c r="J30" s="69" t="str">
        <f t="shared" si="0"/>
        <v>NÃO EXECUTADO</v>
      </c>
    </row>
    <row r="31" spans="3:10" ht="45.75">
      <c r="C31" s="55">
        <v>21</v>
      </c>
      <c r="D31" s="56" t="s">
        <v>228</v>
      </c>
      <c r="E31" s="56" t="s">
        <v>46</v>
      </c>
      <c r="F31" s="56" t="s">
        <v>46</v>
      </c>
      <c r="G31" s="56" t="s">
        <v>46</v>
      </c>
      <c r="H31" s="56" t="s">
        <v>46</v>
      </c>
      <c r="I31" s="59"/>
      <c r="J31" s="69" t="str">
        <f t="shared" si="0"/>
        <v>NÃO EXECUTADO</v>
      </c>
    </row>
    <row r="32" spans="3:10" ht="45.75">
      <c r="C32" s="55" t="s">
        <v>249</v>
      </c>
      <c r="D32" s="56"/>
      <c r="E32" s="56" t="s">
        <v>46</v>
      </c>
      <c r="F32" s="56" t="s">
        <v>46</v>
      </c>
      <c r="G32" s="56" t="s">
        <v>46</v>
      </c>
      <c r="H32" s="56" t="s">
        <v>46</v>
      </c>
      <c r="I32" s="59"/>
      <c r="J32" s="69" t="str">
        <f t="shared" si="0"/>
        <v>NÃO EXECUTADO</v>
      </c>
    </row>
    <row r="33" spans="3:10" ht="45.75">
      <c r="C33" s="55">
        <v>25</v>
      </c>
      <c r="D33" s="56" t="s">
        <v>620</v>
      </c>
      <c r="E33" s="56" t="s">
        <v>46</v>
      </c>
      <c r="F33" s="56" t="s">
        <v>46</v>
      </c>
      <c r="G33" s="56" t="s">
        <v>46</v>
      </c>
      <c r="H33" s="56" t="s">
        <v>46</v>
      </c>
      <c r="I33" s="59"/>
      <c r="J33" s="69" t="str">
        <f t="shared" si="0"/>
        <v>NÃO EXECUTADO</v>
      </c>
    </row>
    <row r="34" spans="3:10" ht="45.75">
      <c r="C34" s="55">
        <v>26</v>
      </c>
      <c r="D34" s="56" t="s">
        <v>621</v>
      </c>
      <c r="E34" s="56" t="s">
        <v>46</v>
      </c>
      <c r="F34" s="56" t="s">
        <v>46</v>
      </c>
      <c r="G34" s="56" t="s">
        <v>46</v>
      </c>
      <c r="H34" s="56" t="s">
        <v>46</v>
      </c>
      <c r="I34" s="59"/>
      <c r="J34" s="69" t="str">
        <f t="shared" si="0"/>
        <v>NÃO EXECUTADO</v>
      </c>
    </row>
    <row r="35" spans="3:10" ht="45.75">
      <c r="C35" s="55">
        <v>27</v>
      </c>
      <c r="D35" s="56" t="s">
        <v>622</v>
      </c>
      <c r="E35" s="56" t="s">
        <v>46</v>
      </c>
      <c r="F35" s="56" t="s">
        <v>46</v>
      </c>
      <c r="G35" s="56" t="s">
        <v>46</v>
      </c>
      <c r="H35" s="56" t="s">
        <v>46</v>
      </c>
      <c r="I35" s="59"/>
      <c r="J35" s="69" t="str">
        <f t="shared" si="0"/>
        <v>NÃO EXECUTADO</v>
      </c>
    </row>
    <row r="36" spans="3:10" ht="45.75">
      <c r="C36" s="55">
        <v>28</v>
      </c>
      <c r="D36" s="56" t="s">
        <v>623</v>
      </c>
      <c r="E36" s="56" t="s">
        <v>46</v>
      </c>
      <c r="F36" s="56" t="s">
        <v>46</v>
      </c>
      <c r="G36" s="56" t="s">
        <v>46</v>
      </c>
      <c r="H36" s="56" t="s">
        <v>46</v>
      </c>
      <c r="I36" s="59"/>
      <c r="J36" s="69" t="str">
        <f t="shared" si="0"/>
        <v>NÃO EXECUTADO</v>
      </c>
    </row>
    <row r="37" spans="3:10" ht="45.75">
      <c r="C37" s="55" t="s">
        <v>249</v>
      </c>
      <c r="D37" s="56"/>
      <c r="E37" s="56" t="s">
        <v>46</v>
      </c>
      <c r="F37" s="56" t="s">
        <v>46</v>
      </c>
      <c r="G37" s="56" t="s">
        <v>46</v>
      </c>
      <c r="H37" s="56" t="s">
        <v>46</v>
      </c>
      <c r="I37" s="59"/>
      <c r="J37" s="69" t="str">
        <f t="shared" si="0"/>
        <v>NÃO EXECUTADO</v>
      </c>
    </row>
    <row r="38" spans="3:10">
      <c r="C38" s="55"/>
      <c r="D38" s="56"/>
      <c r="E38" s="56"/>
      <c r="F38" s="56"/>
      <c r="G38" s="56"/>
      <c r="H38" s="56"/>
      <c r="I38" s="59"/>
      <c r="J38" s="69"/>
    </row>
    <row r="39" spans="3:10">
      <c r="C39" s="55"/>
      <c r="D39" s="56"/>
      <c r="E39" s="56"/>
      <c r="F39" s="56"/>
      <c r="G39" s="56"/>
      <c r="H39" s="56"/>
      <c r="I39" s="59"/>
      <c r="J39" s="69"/>
    </row>
    <row r="40" spans="3:10">
      <c r="C40" s="55"/>
      <c r="D40" s="56"/>
      <c r="E40" s="56"/>
      <c r="F40" s="56"/>
      <c r="G40" s="56"/>
      <c r="H40" s="56"/>
      <c r="I40" s="59"/>
      <c r="J40" s="69"/>
    </row>
    <row r="41" spans="3:10">
      <c r="C41" s="55"/>
      <c r="D41" s="56"/>
      <c r="E41" s="56"/>
      <c r="F41" s="56"/>
      <c r="G41" s="56"/>
      <c r="H41" s="56"/>
      <c r="I41" s="59"/>
      <c r="J41" s="69"/>
    </row>
    <row r="42" spans="3:10">
      <c r="C42" s="55"/>
      <c r="D42" s="56"/>
      <c r="E42" s="56"/>
      <c r="F42" s="56"/>
      <c r="G42" s="56"/>
      <c r="H42" s="56"/>
      <c r="I42" s="59"/>
      <c r="J42" s="69"/>
    </row>
    <row r="43" spans="3:10">
      <c r="C43" s="55"/>
      <c r="D43" s="56"/>
      <c r="E43" s="56"/>
      <c r="F43" s="56"/>
      <c r="G43" s="56"/>
      <c r="H43" s="56"/>
      <c r="I43" s="59"/>
      <c r="J43" s="69"/>
    </row>
    <row r="44" spans="3:10">
      <c r="C44" s="55"/>
      <c r="D44" s="56"/>
      <c r="E44" s="56"/>
      <c r="F44" s="56"/>
      <c r="G44" s="56"/>
      <c r="H44" s="56"/>
      <c r="I44" s="59"/>
      <c r="J44" s="69"/>
    </row>
    <row r="45" spans="3:10">
      <c r="C45" s="55"/>
      <c r="D45" s="56"/>
      <c r="E45" s="56"/>
      <c r="F45" s="56"/>
      <c r="G45" s="56"/>
      <c r="H45" s="56"/>
      <c r="I45" s="59"/>
      <c r="J45" s="69"/>
    </row>
    <row r="46" spans="3:10">
      <c r="C46" s="55"/>
      <c r="D46" s="56"/>
      <c r="E46" s="56"/>
      <c r="F46" s="56"/>
      <c r="G46" s="56"/>
      <c r="H46" s="56"/>
      <c r="I46" s="59"/>
      <c r="J46" s="69"/>
    </row>
    <row r="47" spans="3:10">
      <c r="C47" s="55"/>
      <c r="D47" s="56"/>
      <c r="E47" s="56"/>
      <c r="F47" s="56"/>
      <c r="G47" s="56"/>
      <c r="H47" s="56"/>
      <c r="I47" s="59"/>
      <c r="J47" s="69"/>
    </row>
    <row r="48" spans="3:10">
      <c r="C48" s="55"/>
      <c r="D48" s="56"/>
      <c r="E48" s="56"/>
      <c r="F48" s="56"/>
      <c r="G48" s="56"/>
      <c r="H48" s="56"/>
      <c r="I48" s="59"/>
      <c r="J48" s="69"/>
    </row>
    <row r="49" spans="3:10">
      <c r="C49" s="55"/>
      <c r="D49" s="56"/>
      <c r="E49" s="56"/>
      <c r="F49" s="56"/>
      <c r="G49" s="56"/>
      <c r="H49" s="56"/>
      <c r="I49" s="59"/>
      <c r="J49" s="69"/>
    </row>
    <row r="50" spans="3:10">
      <c r="C50" s="55"/>
      <c r="D50" s="56"/>
      <c r="E50" s="56"/>
      <c r="F50" s="56"/>
      <c r="G50" s="56"/>
      <c r="H50" s="56"/>
      <c r="I50" s="59"/>
      <c r="J50" s="69"/>
    </row>
    <row r="51" spans="3:10">
      <c r="C51" s="55"/>
      <c r="D51" s="56"/>
      <c r="E51" s="56"/>
      <c r="F51" s="56"/>
      <c r="G51" s="56"/>
      <c r="H51" s="56"/>
      <c r="I51" s="59"/>
      <c r="J51" s="69"/>
    </row>
    <row r="52" spans="3:10">
      <c r="C52" s="55"/>
      <c r="D52" s="56"/>
      <c r="E52" s="56"/>
      <c r="F52" s="56"/>
      <c r="G52" s="56"/>
      <c r="H52" s="56"/>
      <c r="I52" s="59"/>
      <c r="J52" s="69"/>
    </row>
    <row r="53" spans="3:10">
      <c r="C53" s="55"/>
      <c r="D53" s="56"/>
      <c r="E53" s="56"/>
      <c r="F53" s="56"/>
      <c r="G53" s="56"/>
      <c r="H53" s="56"/>
      <c r="I53" s="59"/>
      <c r="J53" s="69"/>
    </row>
    <row r="54" spans="3:10">
      <c r="C54" s="55"/>
      <c r="D54" s="56"/>
      <c r="E54" s="56"/>
      <c r="F54" s="56"/>
      <c r="G54" s="56"/>
      <c r="H54" s="56"/>
      <c r="I54" s="59"/>
      <c r="J54" s="69"/>
    </row>
    <row r="55" spans="3:10">
      <c r="C55" s="55"/>
      <c r="D55" s="56"/>
      <c r="E55" s="56"/>
      <c r="F55" s="56"/>
      <c r="G55" s="56"/>
      <c r="H55" s="56"/>
      <c r="I55" s="59"/>
      <c r="J55" s="69"/>
    </row>
    <row r="56" spans="3:10">
      <c r="C56" s="55"/>
      <c r="D56" s="56"/>
      <c r="E56" s="56"/>
      <c r="F56" s="56"/>
      <c r="G56" s="56"/>
      <c r="H56" s="56"/>
      <c r="I56" s="59"/>
      <c r="J56" s="69"/>
    </row>
    <row r="57" spans="3:10">
      <c r="C57" s="55"/>
      <c r="D57" s="56"/>
      <c r="E57" s="56"/>
      <c r="F57" s="56"/>
      <c r="G57" s="56"/>
      <c r="H57" s="56"/>
      <c r="I57" s="59"/>
      <c r="J57" s="69"/>
    </row>
    <row r="58" spans="3:10">
      <c r="C58" s="55"/>
      <c r="D58" s="56"/>
      <c r="E58" s="56"/>
      <c r="F58" s="56"/>
      <c r="G58" s="56"/>
      <c r="H58" s="56"/>
      <c r="I58" s="59"/>
      <c r="J58" s="69"/>
    </row>
    <row r="59" spans="3:10">
      <c r="C59" s="55"/>
      <c r="D59" s="56"/>
      <c r="E59" s="56"/>
      <c r="F59" s="56"/>
      <c r="G59" s="56"/>
      <c r="H59" s="56"/>
      <c r="I59" s="59"/>
      <c r="J59" s="69"/>
    </row>
    <row r="60" spans="3:10">
      <c r="C60" s="55"/>
      <c r="D60" s="56"/>
      <c r="E60" s="56"/>
      <c r="F60" s="56"/>
      <c r="G60" s="56"/>
      <c r="H60" s="56"/>
      <c r="I60" s="59"/>
      <c r="J60" s="69"/>
    </row>
    <row r="61" spans="3:10">
      <c r="C61" s="55"/>
      <c r="D61" s="56"/>
      <c r="E61" s="56"/>
      <c r="F61" s="56"/>
      <c r="G61" s="56"/>
      <c r="H61" s="56"/>
      <c r="I61" s="59"/>
      <c r="J61" s="69"/>
    </row>
    <row r="62" spans="3:10">
      <c r="C62" s="55"/>
      <c r="D62" s="56"/>
      <c r="E62" s="56"/>
      <c r="F62" s="56"/>
      <c r="G62" s="56"/>
      <c r="H62" s="56"/>
      <c r="I62" s="59"/>
      <c r="J62" s="69"/>
    </row>
    <row r="63" spans="3:10">
      <c r="C63" s="55"/>
      <c r="D63" s="56"/>
      <c r="E63" s="56"/>
      <c r="F63" s="56"/>
      <c r="G63" s="56"/>
      <c r="H63" s="56"/>
      <c r="I63" s="59"/>
      <c r="J63" s="69"/>
    </row>
    <row r="64" spans="3:10">
      <c r="C64" s="55"/>
      <c r="D64" s="56"/>
      <c r="E64" s="56"/>
      <c r="F64" s="56"/>
      <c r="G64" s="56"/>
      <c r="H64" s="56"/>
      <c r="I64" s="59"/>
      <c r="J64" s="69"/>
    </row>
    <row r="65" spans="3:10">
      <c r="C65" s="55"/>
      <c r="D65" s="56"/>
      <c r="E65" s="56"/>
      <c r="F65" s="56"/>
      <c r="G65" s="56"/>
      <c r="H65" s="56"/>
      <c r="I65" s="59"/>
      <c r="J65" s="69"/>
    </row>
    <row r="66" spans="3:10">
      <c r="C66" s="55"/>
      <c r="D66" s="56"/>
      <c r="E66" s="56"/>
      <c r="F66" s="56"/>
      <c r="G66" s="56"/>
      <c r="H66" s="56"/>
      <c r="I66" s="59"/>
      <c r="J66" s="69"/>
    </row>
    <row r="67" spans="3:10">
      <c r="C67" s="55"/>
      <c r="D67" s="56"/>
      <c r="E67" s="56"/>
      <c r="F67" s="56"/>
      <c r="G67" s="56"/>
      <c r="H67" s="56"/>
      <c r="I67" s="59"/>
      <c r="J67" s="69"/>
    </row>
    <row r="68" spans="3:10">
      <c r="C68" s="55"/>
      <c r="D68" s="56"/>
      <c r="E68" s="56"/>
      <c r="F68" s="56"/>
      <c r="G68" s="56"/>
      <c r="H68" s="56"/>
      <c r="I68" s="59"/>
      <c r="J68" s="69"/>
    </row>
    <row r="69" spans="3:10">
      <c r="C69" s="55"/>
      <c r="D69" s="56"/>
      <c r="E69" s="56"/>
      <c r="F69" s="56"/>
      <c r="G69" s="56"/>
      <c r="H69" s="56"/>
      <c r="I69" s="59"/>
      <c r="J69" s="69"/>
    </row>
    <row r="70" spans="3:10">
      <c r="C70" s="55"/>
      <c r="D70" s="56"/>
      <c r="E70" s="56"/>
      <c r="F70" s="56"/>
      <c r="G70" s="56"/>
      <c r="H70" s="56"/>
      <c r="I70" s="59"/>
      <c r="J70" s="69"/>
    </row>
    <row r="71" spans="3:10">
      <c r="C71" s="55"/>
      <c r="D71" s="56"/>
      <c r="E71" s="56"/>
      <c r="F71" s="56"/>
      <c r="G71" s="56"/>
      <c r="H71" s="56"/>
      <c r="I71" s="59"/>
      <c r="J71" s="69"/>
    </row>
    <row r="72" spans="3:10">
      <c r="C72" s="55"/>
      <c r="D72" s="56"/>
      <c r="E72" s="56"/>
      <c r="F72" s="56"/>
      <c r="G72" s="56"/>
      <c r="H72" s="56"/>
      <c r="I72" s="59"/>
      <c r="J72" s="69"/>
    </row>
    <row r="73" spans="3:10">
      <c r="C73" s="55"/>
      <c r="D73" s="56"/>
      <c r="E73" s="56"/>
      <c r="F73" s="56"/>
      <c r="G73" s="56"/>
      <c r="H73" s="56"/>
      <c r="I73" s="59"/>
      <c r="J73" s="69"/>
    </row>
    <row r="74" spans="3:10">
      <c r="C74" s="55"/>
      <c r="D74" s="56"/>
      <c r="E74" s="56"/>
      <c r="F74" s="56"/>
      <c r="G74" s="56"/>
      <c r="H74" s="56"/>
      <c r="I74" s="59"/>
      <c r="J74" s="69"/>
    </row>
    <row r="75" spans="3:10">
      <c r="C75" s="55"/>
      <c r="D75" s="56"/>
      <c r="E75" s="56"/>
      <c r="F75" s="56"/>
      <c r="G75" s="56"/>
      <c r="H75" s="56"/>
      <c r="I75" s="59"/>
      <c r="J75" s="69"/>
    </row>
    <row r="76" spans="3:10">
      <c r="C76" s="55"/>
      <c r="D76" s="56"/>
      <c r="E76" s="56"/>
      <c r="F76" s="56"/>
      <c r="G76" s="56"/>
      <c r="H76" s="56"/>
      <c r="I76" s="59"/>
      <c r="J76" s="69"/>
    </row>
    <row r="77" spans="3:10">
      <c r="C77" s="55"/>
      <c r="D77" s="56"/>
      <c r="E77" s="56"/>
      <c r="F77" s="56"/>
      <c r="G77" s="56"/>
      <c r="H77" s="56"/>
      <c r="I77" s="59"/>
      <c r="J77" s="69"/>
    </row>
    <row r="78" spans="3:10">
      <c r="C78" s="55"/>
      <c r="D78" s="56"/>
      <c r="E78" s="56"/>
      <c r="F78" s="56"/>
      <c r="G78" s="56"/>
      <c r="H78" s="56"/>
      <c r="I78" s="59"/>
      <c r="J78" s="69"/>
    </row>
    <row r="79" spans="3:10">
      <c r="C79" s="55"/>
      <c r="D79" s="56"/>
      <c r="E79" s="56"/>
      <c r="F79" s="56"/>
      <c r="G79" s="56"/>
      <c r="H79" s="56"/>
      <c r="I79" s="59"/>
      <c r="J79" s="69"/>
    </row>
    <row r="80" spans="3:10">
      <c r="C80" s="55"/>
      <c r="D80" s="56"/>
      <c r="E80" s="56"/>
      <c r="F80" s="56"/>
      <c r="G80" s="56"/>
      <c r="H80" s="56"/>
      <c r="I80" s="59"/>
      <c r="J80" s="69"/>
    </row>
    <row r="81" spans="3:10">
      <c r="C81" s="55"/>
      <c r="D81" s="56"/>
      <c r="E81" s="56"/>
      <c r="F81" s="56"/>
      <c r="G81" s="56"/>
      <c r="H81" s="56"/>
      <c r="I81" s="59"/>
      <c r="J81" s="69"/>
    </row>
    <row r="82" spans="3:10">
      <c r="C82" s="55"/>
      <c r="D82" s="56"/>
      <c r="E82" s="56"/>
      <c r="F82" s="56"/>
      <c r="G82" s="56"/>
      <c r="H82" s="56"/>
      <c r="I82" s="59"/>
      <c r="J82" s="69"/>
    </row>
    <row r="83" spans="3:10">
      <c r="C83" s="55"/>
      <c r="D83" s="56"/>
      <c r="E83" s="56"/>
      <c r="F83" s="56"/>
      <c r="G83" s="56"/>
      <c r="H83" s="56"/>
      <c r="I83" s="59"/>
      <c r="J83" s="69"/>
    </row>
    <row r="84" spans="3:10">
      <c r="C84" s="55"/>
      <c r="D84" s="56"/>
      <c r="E84" s="56"/>
      <c r="F84" s="56"/>
      <c r="G84" s="56"/>
      <c r="H84" s="56"/>
      <c r="I84" s="59"/>
      <c r="J84" s="69"/>
    </row>
    <row r="85" spans="3:10">
      <c r="C85" s="55"/>
      <c r="D85" s="56"/>
      <c r="E85" s="56"/>
      <c r="F85" s="56"/>
      <c r="G85" s="56"/>
      <c r="H85" s="56"/>
      <c r="I85" s="59"/>
      <c r="J85" s="69"/>
    </row>
    <row r="86" spans="3:10">
      <c r="C86" s="55"/>
      <c r="D86" s="56"/>
      <c r="E86" s="56"/>
      <c r="F86" s="56"/>
      <c r="G86" s="56"/>
      <c r="H86" s="56"/>
      <c r="I86" s="59"/>
      <c r="J86" s="69"/>
    </row>
    <row r="87" spans="3:10">
      <c r="C87" s="55"/>
      <c r="D87" s="56"/>
      <c r="E87" s="56"/>
      <c r="F87" s="56"/>
      <c r="G87" s="56"/>
      <c r="H87" s="56"/>
      <c r="I87" s="59"/>
      <c r="J87" s="69"/>
    </row>
    <row r="88" spans="3:10">
      <c r="C88" s="55"/>
      <c r="D88" s="56"/>
      <c r="E88" s="56"/>
      <c r="F88" s="56"/>
      <c r="G88" s="56"/>
      <c r="H88" s="56"/>
      <c r="I88" s="59"/>
      <c r="J88" s="69"/>
    </row>
    <row r="89" spans="3:10">
      <c r="C89" s="55"/>
      <c r="D89" s="56"/>
      <c r="E89" s="56"/>
      <c r="F89" s="56"/>
      <c r="G89" s="56"/>
      <c r="H89" s="56"/>
      <c r="I89" s="59"/>
      <c r="J89" s="69"/>
    </row>
    <row r="90" spans="3:10">
      <c r="C90" s="55"/>
      <c r="D90" s="56"/>
      <c r="E90" s="56"/>
      <c r="F90" s="56"/>
      <c r="G90" s="56"/>
      <c r="H90" s="56"/>
      <c r="I90" s="59"/>
      <c r="J90" s="69"/>
    </row>
    <row r="91" spans="3:10">
      <c r="C91" s="55"/>
      <c r="D91" s="56"/>
      <c r="E91" s="56"/>
      <c r="F91" s="56"/>
      <c r="G91" s="56"/>
      <c r="H91" s="56"/>
      <c r="I91" s="59"/>
      <c r="J91" s="69"/>
    </row>
    <row r="92" spans="3:10">
      <c r="C92" s="55"/>
      <c r="D92" s="56"/>
      <c r="E92" s="56"/>
      <c r="F92" s="56"/>
      <c r="G92" s="56"/>
      <c r="H92" s="56"/>
      <c r="I92" s="59"/>
      <c r="J92" s="69"/>
    </row>
    <row r="93" spans="3:10">
      <c r="C93" s="55"/>
      <c r="D93" s="56"/>
      <c r="E93" s="56"/>
      <c r="F93" s="56"/>
      <c r="G93" s="56"/>
      <c r="H93" s="56"/>
      <c r="I93" s="59"/>
      <c r="J93" s="69"/>
    </row>
    <row r="94" spans="3:10">
      <c r="C94" s="55"/>
      <c r="D94" s="56"/>
      <c r="E94" s="56"/>
      <c r="F94" s="56"/>
      <c r="G94" s="56"/>
      <c r="H94" s="56"/>
      <c r="I94" s="59"/>
      <c r="J94" s="69"/>
    </row>
    <row r="95" spans="3:10">
      <c r="C95" s="55"/>
      <c r="D95" s="56"/>
      <c r="E95" s="56"/>
      <c r="F95" s="56"/>
      <c r="G95" s="56"/>
      <c r="H95" s="56"/>
      <c r="I95" s="59"/>
      <c r="J95" s="69"/>
    </row>
    <row r="96" spans="3:10">
      <c r="C96" s="55"/>
      <c r="D96" s="56"/>
      <c r="E96" s="56"/>
      <c r="F96" s="56"/>
      <c r="G96" s="56"/>
      <c r="H96" s="56"/>
      <c r="I96" s="59"/>
      <c r="J96" s="69"/>
    </row>
    <row r="97" spans="3:10">
      <c r="C97" s="55"/>
      <c r="D97" s="56"/>
      <c r="E97" s="56"/>
      <c r="F97" s="56"/>
      <c r="G97" s="56"/>
      <c r="H97" s="56"/>
      <c r="I97" s="59"/>
      <c r="J97" s="69"/>
    </row>
    <row r="98" spans="3:10">
      <c r="C98" s="55"/>
      <c r="D98" s="56"/>
      <c r="E98" s="56"/>
      <c r="F98" s="56"/>
      <c r="G98" s="56"/>
      <c r="H98" s="56"/>
      <c r="I98" s="59"/>
      <c r="J98" s="69"/>
    </row>
    <row r="99" spans="3:10">
      <c r="C99" s="55"/>
      <c r="D99" s="56"/>
      <c r="E99" s="56"/>
      <c r="F99" s="56"/>
      <c r="G99" s="56"/>
      <c r="H99" s="56"/>
      <c r="I99" s="59"/>
      <c r="J99" s="69"/>
    </row>
    <row r="100" spans="3:10">
      <c r="C100" s="55"/>
      <c r="D100" s="56"/>
      <c r="E100" s="56"/>
      <c r="F100" s="56"/>
      <c r="G100" s="56"/>
      <c r="H100" s="56"/>
      <c r="I100" s="59"/>
      <c r="J100" s="69"/>
    </row>
    <row r="101" spans="3:10">
      <c r="C101" s="55"/>
      <c r="D101" s="56"/>
      <c r="E101" s="56"/>
      <c r="F101" s="56"/>
      <c r="G101" s="56"/>
      <c r="H101" s="56"/>
      <c r="I101" s="59"/>
      <c r="J101" s="69"/>
    </row>
    <row r="102" spans="3:10">
      <c r="C102" s="55"/>
      <c r="D102" s="56"/>
      <c r="E102" s="56"/>
      <c r="F102" s="56"/>
      <c r="G102" s="56"/>
      <c r="H102" s="56"/>
      <c r="I102" s="59"/>
      <c r="J102" s="69"/>
    </row>
    <row r="103" spans="3:10">
      <c r="C103" s="55"/>
      <c r="D103" s="56"/>
      <c r="E103" s="56"/>
      <c r="F103" s="56"/>
      <c r="G103" s="56"/>
      <c r="H103" s="56"/>
      <c r="I103" s="59"/>
      <c r="J103" s="69"/>
    </row>
    <row r="104" spans="3:10">
      <c r="C104" s="55"/>
      <c r="D104" s="56"/>
      <c r="E104" s="56"/>
      <c r="F104" s="56"/>
      <c r="G104" s="56"/>
      <c r="H104" s="56"/>
      <c r="I104" s="59"/>
      <c r="J104" s="69"/>
    </row>
    <row r="105" spans="3:10">
      <c r="C105" s="55"/>
      <c r="D105" s="56"/>
      <c r="E105" s="56"/>
      <c r="F105" s="56"/>
      <c r="G105" s="56"/>
      <c r="H105" s="56"/>
      <c r="I105" s="59"/>
      <c r="J105" s="69"/>
    </row>
    <row r="106" spans="3:10">
      <c r="C106" s="55"/>
      <c r="D106" s="56"/>
      <c r="E106" s="56"/>
      <c r="F106" s="56"/>
      <c r="G106" s="56"/>
      <c r="H106" s="56"/>
      <c r="I106" s="59"/>
      <c r="J106" s="69"/>
    </row>
    <row r="107" spans="3:10">
      <c r="C107" s="55"/>
      <c r="D107" s="56"/>
      <c r="E107" s="56"/>
      <c r="F107" s="56"/>
      <c r="G107" s="56"/>
      <c r="H107" s="56"/>
      <c r="I107" s="59"/>
      <c r="J107" s="69"/>
    </row>
    <row r="108" spans="3:10">
      <c r="C108" s="55"/>
      <c r="D108" s="56"/>
      <c r="E108" s="56"/>
      <c r="F108" s="56"/>
      <c r="G108" s="56"/>
      <c r="H108" s="56"/>
      <c r="I108" s="59"/>
      <c r="J108" s="69"/>
    </row>
    <row r="109" spans="3:10">
      <c r="C109" s="55"/>
      <c r="D109" s="56"/>
      <c r="E109" s="56"/>
      <c r="F109" s="56"/>
      <c r="G109" s="56"/>
      <c r="H109" s="56"/>
      <c r="I109" s="59"/>
      <c r="J109" s="69"/>
    </row>
    <row r="110" spans="3:10">
      <c r="C110" s="55"/>
      <c r="D110" s="56"/>
      <c r="E110" s="56"/>
      <c r="F110" s="56"/>
      <c r="G110" s="56"/>
      <c r="H110" s="56"/>
      <c r="I110" s="59"/>
      <c r="J110" s="69"/>
    </row>
    <row r="111" spans="3:10">
      <c r="C111" s="55"/>
      <c r="D111" s="56"/>
      <c r="E111" s="56"/>
      <c r="F111" s="56"/>
      <c r="G111" s="56"/>
      <c r="H111" s="56"/>
      <c r="I111" s="59"/>
      <c r="J111" s="69"/>
    </row>
    <row r="112" spans="3:10">
      <c r="C112" s="55"/>
      <c r="D112" s="56"/>
      <c r="E112" s="56"/>
      <c r="F112" s="56"/>
      <c r="G112" s="56"/>
      <c r="H112" s="56"/>
      <c r="I112" s="59"/>
      <c r="J112" s="69"/>
    </row>
    <row r="113" spans="3:10" ht="37.5" customHeight="1">
      <c r="C113" s="55"/>
      <c r="D113" s="56"/>
      <c r="E113" s="56"/>
      <c r="F113" s="56"/>
      <c r="G113" s="56"/>
      <c r="H113" s="56"/>
      <c r="I113" s="59"/>
      <c r="J113" s="69"/>
    </row>
    <row r="114" spans="3:10" ht="44.25" customHeight="1">
      <c r="C114" s="55"/>
      <c r="D114" s="56"/>
      <c r="E114" s="56"/>
      <c r="F114" s="56"/>
      <c r="G114" s="56"/>
      <c r="H114" s="56"/>
      <c r="I114" s="59"/>
      <c r="J114" s="69"/>
    </row>
    <row r="115" spans="3:10" ht="46.5" customHeight="1">
      <c r="C115" s="55"/>
      <c r="D115" s="56"/>
      <c r="E115" s="56"/>
      <c r="F115" s="56"/>
      <c r="G115" s="56"/>
      <c r="H115" s="56"/>
      <c r="I115" s="59"/>
      <c r="J115" s="69"/>
    </row>
    <row r="116" spans="3:10" ht="47.25" customHeight="1">
      <c r="C116" s="55"/>
      <c r="D116" s="56"/>
      <c r="E116" s="56"/>
      <c r="F116" s="56"/>
      <c r="G116" s="56"/>
      <c r="H116" s="56"/>
      <c r="I116" s="59"/>
      <c r="J116" s="69"/>
    </row>
    <row r="117" spans="3:10">
      <c r="C117" s="55"/>
      <c r="D117" s="56"/>
      <c r="E117" s="56"/>
      <c r="F117" s="56"/>
      <c r="G117" s="56"/>
      <c r="H117" s="56"/>
      <c r="I117" s="59"/>
      <c r="J117" s="69"/>
    </row>
    <row r="118" spans="3:10">
      <c r="C118" s="55"/>
      <c r="D118" s="56"/>
      <c r="E118" s="56"/>
      <c r="F118" s="56"/>
      <c r="G118" s="56"/>
      <c r="H118" s="56"/>
      <c r="I118" s="59"/>
      <c r="J118" s="69"/>
    </row>
    <row r="119" spans="3:10">
      <c r="C119" s="55"/>
      <c r="D119" s="56"/>
      <c r="E119" s="56"/>
      <c r="F119" s="56"/>
      <c r="G119" s="56"/>
      <c r="H119" s="56"/>
      <c r="I119" s="59"/>
      <c r="J119" s="69"/>
    </row>
    <row r="120" spans="3:10">
      <c r="C120" s="55"/>
      <c r="D120" s="56"/>
      <c r="E120" s="56"/>
      <c r="F120" s="56"/>
      <c r="G120" s="56"/>
      <c r="H120" s="56"/>
      <c r="I120" s="59"/>
      <c r="J120" s="69"/>
    </row>
    <row r="121" spans="3:10">
      <c r="C121" s="55"/>
      <c r="D121" s="56"/>
      <c r="E121" s="56"/>
      <c r="F121" s="56"/>
      <c r="G121" s="56"/>
      <c r="H121" s="56"/>
      <c r="I121" s="59"/>
      <c r="J121" s="69"/>
    </row>
    <row r="122" spans="3:10">
      <c r="C122" s="55"/>
      <c r="D122" s="56"/>
      <c r="E122" s="56"/>
      <c r="F122" s="56"/>
      <c r="G122" s="56"/>
      <c r="H122" s="56"/>
      <c r="I122" s="59"/>
      <c r="J122" s="69"/>
    </row>
    <row r="123" spans="3:10">
      <c r="C123" s="55"/>
      <c r="D123" s="56"/>
      <c r="E123" s="56"/>
      <c r="F123" s="56"/>
      <c r="G123" s="56"/>
      <c r="H123" s="56"/>
      <c r="I123" s="59"/>
      <c r="J123" s="69"/>
    </row>
    <row r="124" spans="3:10">
      <c r="C124" s="55"/>
      <c r="D124" s="56"/>
      <c r="E124" s="56"/>
      <c r="F124" s="56"/>
      <c r="G124" s="56"/>
      <c r="H124" s="56"/>
      <c r="I124" s="59"/>
      <c r="J124" s="69"/>
    </row>
    <row r="125" spans="3:10">
      <c r="C125" s="55"/>
      <c r="D125" s="56"/>
      <c r="E125" s="56"/>
      <c r="F125" s="56"/>
      <c r="G125" s="56"/>
      <c r="H125" s="56"/>
      <c r="I125" s="59"/>
      <c r="J125" s="69"/>
    </row>
    <row r="126" spans="3:10">
      <c r="C126" s="55"/>
      <c r="D126" s="56"/>
      <c r="E126" s="56"/>
      <c r="F126" s="56"/>
      <c r="G126" s="56"/>
      <c r="H126" s="56"/>
      <c r="I126" s="59"/>
      <c r="J126" s="69"/>
    </row>
    <row r="127" spans="3:10">
      <c r="C127" s="55"/>
      <c r="D127" s="56"/>
      <c r="E127" s="56"/>
      <c r="F127" s="56"/>
      <c r="G127" s="56"/>
      <c r="H127" s="56"/>
      <c r="I127" s="59"/>
      <c r="J127" s="69"/>
    </row>
    <row r="128" spans="3:10">
      <c r="C128" s="55"/>
      <c r="D128" s="56"/>
      <c r="E128" s="56"/>
      <c r="F128" s="56"/>
      <c r="G128" s="56"/>
      <c r="H128" s="56"/>
      <c r="I128" s="59"/>
      <c r="J128" s="69"/>
    </row>
    <row r="129" spans="3:10">
      <c r="C129" s="55"/>
      <c r="D129" s="56"/>
      <c r="E129" s="56"/>
      <c r="F129" s="56"/>
      <c r="G129" s="56"/>
      <c r="H129" s="56"/>
      <c r="I129" s="59"/>
      <c r="J129" s="69"/>
    </row>
    <row r="130" spans="3:10">
      <c r="C130" s="55"/>
      <c r="D130" s="56"/>
      <c r="E130" s="56"/>
      <c r="F130" s="56"/>
      <c r="G130" s="56"/>
      <c r="H130" s="56"/>
      <c r="I130" s="59"/>
      <c r="J130" s="69"/>
    </row>
    <row r="131" spans="3:10">
      <c r="C131" s="55"/>
      <c r="D131" s="56"/>
      <c r="E131" s="56"/>
      <c r="F131" s="56"/>
      <c r="G131" s="56"/>
      <c r="H131" s="56"/>
      <c r="I131" s="59"/>
      <c r="J131" s="69"/>
    </row>
    <row r="132" spans="3:10">
      <c r="C132" s="55"/>
      <c r="D132" s="56"/>
      <c r="E132" s="56"/>
      <c r="F132" s="56"/>
      <c r="G132" s="56"/>
      <c r="H132" s="56"/>
      <c r="I132" s="59"/>
      <c r="J132" s="69"/>
    </row>
    <row r="133" spans="3:10">
      <c r="C133" s="55"/>
      <c r="D133" s="56"/>
      <c r="E133" s="56"/>
      <c r="F133" s="56"/>
      <c r="G133" s="56"/>
      <c r="H133" s="56"/>
      <c r="I133" s="25"/>
      <c r="J133" s="69"/>
    </row>
    <row r="134" spans="3:10">
      <c r="C134" s="55"/>
      <c r="D134" s="56"/>
      <c r="E134" s="56"/>
      <c r="F134" s="56"/>
      <c r="G134" s="56"/>
      <c r="H134" s="56"/>
      <c r="I134" s="25"/>
      <c r="J134" s="69"/>
    </row>
    <row r="135" spans="3:10">
      <c r="C135" s="55"/>
      <c r="D135" s="56"/>
      <c r="E135" s="56"/>
      <c r="F135" s="56"/>
      <c r="G135" s="56"/>
      <c r="H135" s="56"/>
      <c r="I135" s="25"/>
      <c r="J135" s="69"/>
    </row>
    <row r="136" spans="3:10">
      <c r="C136" s="55"/>
      <c r="D136" s="56"/>
      <c r="E136" s="56"/>
      <c r="F136" s="56"/>
      <c r="G136" s="56"/>
      <c r="H136" s="56"/>
      <c r="I136" s="25"/>
      <c r="J136" s="69"/>
    </row>
    <row r="137" spans="3:10">
      <c r="C137" s="55"/>
      <c r="D137" s="56"/>
      <c r="E137" s="56"/>
      <c r="F137" s="56"/>
      <c r="G137" s="56"/>
      <c r="H137" s="56"/>
      <c r="I137" s="25"/>
      <c r="J137" s="69"/>
    </row>
    <row r="138" spans="3:10">
      <c r="C138" s="55"/>
      <c r="D138" s="56"/>
      <c r="E138" s="56"/>
      <c r="F138" s="56"/>
      <c r="G138" s="56"/>
      <c r="H138" s="56"/>
      <c r="I138" s="25"/>
      <c r="J138" s="69"/>
    </row>
    <row r="139" spans="3:10">
      <c r="C139" s="55"/>
      <c r="D139" s="56"/>
      <c r="E139" s="56"/>
      <c r="F139" s="56"/>
      <c r="G139" s="56"/>
      <c r="H139" s="56"/>
      <c r="I139" s="25"/>
      <c r="J139" s="69"/>
    </row>
    <row r="140" spans="3:10">
      <c r="C140" s="55"/>
      <c r="D140" s="56"/>
      <c r="E140" s="56"/>
      <c r="F140" s="56"/>
      <c r="G140" s="56"/>
      <c r="H140" s="56"/>
      <c r="I140" s="25"/>
      <c r="J140" s="69"/>
    </row>
    <row r="141" spans="3:10">
      <c r="C141" s="55"/>
      <c r="D141" s="56"/>
      <c r="E141" s="56"/>
      <c r="F141" s="56"/>
      <c r="G141" s="56"/>
      <c r="H141" s="56"/>
      <c r="I141" s="25"/>
      <c r="J141" s="69"/>
    </row>
    <row r="142" spans="3:10">
      <c r="C142" s="55"/>
      <c r="D142" s="56"/>
      <c r="E142" s="56"/>
      <c r="F142" s="56"/>
      <c r="G142" s="56"/>
      <c r="H142" s="56"/>
      <c r="I142" s="25"/>
      <c r="J142" s="69"/>
    </row>
    <row r="143" spans="3:10">
      <c r="C143" s="55"/>
      <c r="D143" s="56"/>
      <c r="E143" s="56"/>
      <c r="F143" s="56"/>
      <c r="G143" s="56"/>
      <c r="H143" s="56"/>
      <c r="I143" s="25"/>
      <c r="J143" s="69"/>
    </row>
    <row r="144" spans="3:10">
      <c r="C144" s="55"/>
      <c r="D144" s="56"/>
      <c r="E144" s="56"/>
      <c r="F144" s="56"/>
      <c r="G144" s="56"/>
      <c r="H144" s="56"/>
      <c r="I144" s="25"/>
      <c r="J144" s="69"/>
    </row>
    <row r="145" spans="3:10">
      <c r="C145" s="55"/>
      <c r="D145" s="56"/>
      <c r="E145" s="56"/>
      <c r="F145" s="56"/>
      <c r="G145" s="56"/>
      <c r="H145" s="56"/>
      <c r="I145" s="25"/>
      <c r="J145" s="69"/>
    </row>
    <row r="146" spans="3:10">
      <c r="C146" s="55"/>
      <c r="D146" s="56"/>
      <c r="E146" s="56"/>
      <c r="F146" s="56"/>
      <c r="G146" s="56"/>
      <c r="H146" s="56"/>
      <c r="I146" s="25"/>
      <c r="J146" s="69"/>
    </row>
    <row r="147" spans="3:10">
      <c r="C147" s="55"/>
      <c r="D147" s="56"/>
      <c r="E147" s="56"/>
      <c r="F147" s="56"/>
      <c r="G147" s="56"/>
      <c r="H147" s="56"/>
      <c r="I147" s="25"/>
      <c r="J147" s="69"/>
    </row>
    <row r="148" spans="3:10">
      <c r="C148" s="55"/>
      <c r="D148" s="56"/>
      <c r="E148" s="56"/>
      <c r="F148" s="56"/>
      <c r="G148" s="56"/>
      <c r="H148" s="56"/>
      <c r="I148" s="25"/>
      <c r="J148" s="69"/>
    </row>
    <row r="149" spans="3:10">
      <c r="C149" s="55"/>
      <c r="D149" s="56"/>
      <c r="E149" s="56"/>
      <c r="F149" s="56"/>
      <c r="G149" s="56"/>
      <c r="H149" s="56"/>
      <c r="I149" s="25"/>
      <c r="J149" s="69"/>
    </row>
    <row r="150" spans="3:10">
      <c r="C150" s="55"/>
      <c r="D150" s="56"/>
      <c r="E150" s="56"/>
      <c r="F150" s="56"/>
      <c r="G150" s="56"/>
      <c r="H150" s="56"/>
      <c r="I150" s="25"/>
      <c r="J150" s="69"/>
    </row>
    <row r="151" spans="3:10">
      <c r="C151" s="55"/>
      <c r="D151" s="56"/>
      <c r="E151" s="56"/>
      <c r="F151" s="56"/>
      <c r="G151" s="56"/>
      <c r="H151" s="56"/>
      <c r="I151" s="25"/>
      <c r="J151" s="69"/>
    </row>
    <row r="152" spans="3:10">
      <c r="C152" s="55"/>
      <c r="D152" s="56"/>
      <c r="E152" s="56"/>
      <c r="F152" s="56"/>
      <c r="G152" s="56"/>
      <c r="H152" s="56"/>
      <c r="I152" s="25"/>
      <c r="J152" s="69"/>
    </row>
    <row r="153" spans="3:10">
      <c r="C153" s="55"/>
      <c r="D153" s="56"/>
      <c r="E153" s="56"/>
      <c r="F153" s="56"/>
      <c r="G153" s="56"/>
      <c r="H153" s="56"/>
      <c r="I153" s="25"/>
      <c r="J153" s="69"/>
    </row>
    <row r="154" spans="3:10">
      <c r="C154" s="55"/>
      <c r="D154" s="56"/>
      <c r="E154" s="56"/>
      <c r="F154" s="56"/>
      <c r="G154" s="56"/>
      <c r="H154" s="56"/>
      <c r="I154" s="25"/>
      <c r="J154" s="69" t="e">
        <f>IF(COUNTIFS(#REF!,"Falha") &gt; 0,"REPROVADO", IF(COUNTIFS(#REF!,"Sucesso") &gt; 0,"APROVADO", IF(COUNTIFS(#REF!,"Sugestão") &gt; 0,"APROVADO", IF(COUNTIFS(#REF!,"Não Executado") &gt; 0,"NÃO EXECUTADO"))))</f>
        <v>#REF!</v>
      </c>
    </row>
    <row r="155" spans="3:10">
      <c r="C155" s="55"/>
      <c r="D155" s="56"/>
      <c r="E155" s="56"/>
      <c r="F155" s="56"/>
      <c r="G155" s="56"/>
      <c r="H155" s="56"/>
      <c r="I155" s="25"/>
      <c r="J155" s="69" t="e">
        <f>IF(COUNTIFS(#REF!,"Falha") &gt; 0,"REPROVADO", IF(COUNTIFS(#REF!,"Sucesso") &gt; 0,"APROVADO", IF(COUNTIFS(#REF!,"Sugestão") &gt; 0,"APROVADO", IF(COUNTIFS(#REF!,"Não Executado") &gt; 0,"NÃO EXECUTADO"))))</f>
        <v>#REF!</v>
      </c>
    </row>
    <row r="156" spans="3:10">
      <c r="C156" s="55"/>
      <c r="D156" s="56"/>
      <c r="E156" s="56"/>
      <c r="F156" s="56"/>
      <c r="G156" s="56"/>
      <c r="H156" s="56"/>
      <c r="I156" s="25"/>
      <c r="J156" s="69" t="e">
        <f>IF(COUNTIFS(#REF!,"Falha") &gt; 0,"REPROVADO", IF(COUNTIFS(#REF!,"Sucesso") &gt; 0,"APROVADO", IF(COUNTIFS(#REF!,"Sugestão") &gt; 0,"APROVADO", IF(COUNTIFS(#REF!,"Não Executado") &gt; 0,"NÃO EXECUTADO"))))</f>
        <v>#REF!</v>
      </c>
    </row>
    <row r="157" spans="3:10">
      <c r="C157" s="55"/>
      <c r="D157" s="56"/>
      <c r="E157" s="56"/>
      <c r="F157" s="56"/>
      <c r="G157" s="56"/>
      <c r="H157" s="56"/>
      <c r="I157" s="25"/>
      <c r="J157" s="69" t="e">
        <f>IF(COUNTIFS(#REF!,"Falha") &gt; 0,"REPROVADO", IF(COUNTIFS(#REF!,"Sucesso") &gt; 0,"APROVADO", IF(COUNTIFS(#REF!,"Sugestão") &gt; 0,"APROVADO", IF(COUNTIFS(#REF!,"Não Executado") &gt; 0,"NÃO EXECUTADO"))))</f>
        <v>#REF!</v>
      </c>
    </row>
    <row r="158" spans="3:10">
      <c r="C158" s="55"/>
      <c r="D158" s="56"/>
      <c r="E158" s="56"/>
      <c r="F158" s="56"/>
      <c r="G158" s="56"/>
      <c r="H158" s="56"/>
      <c r="I158" s="25"/>
      <c r="J158" s="69" t="e">
        <f>IF(COUNTIFS(#REF!,"Falha") &gt; 0,"REPROVADO", IF(COUNTIFS(#REF!,"Sucesso") &gt; 0,"APROVADO", IF(COUNTIFS(#REF!,"Sugestão") &gt; 0,"APROVADO", IF(COUNTIFS(#REF!,"Não Executado") &gt; 0,"NÃO EXECUTADO"))))</f>
        <v>#REF!</v>
      </c>
    </row>
    <row r="159" spans="3:10">
      <c r="C159" s="55"/>
      <c r="D159" s="56"/>
      <c r="E159" s="56"/>
      <c r="F159" s="56"/>
      <c r="G159" s="56"/>
      <c r="H159" s="56"/>
      <c r="I159" s="25"/>
      <c r="J159" s="69" t="e">
        <f>IF(COUNTIFS(#REF!,"Falha") &gt; 0,"REPROVADO", IF(COUNTIFS(#REF!,"Sucesso") &gt; 0,"APROVADO", IF(COUNTIFS(#REF!,"Sugestão") &gt; 0,"APROVADO", IF(COUNTIFS(#REF!,"Não Executado") &gt; 0,"NÃO EXECUTADO"))))</f>
        <v>#REF!</v>
      </c>
    </row>
    <row r="160" spans="3:10">
      <c r="C160" s="55"/>
      <c r="D160" s="56"/>
      <c r="E160" s="56"/>
      <c r="F160" s="56"/>
      <c r="G160" s="56"/>
      <c r="H160" s="56"/>
      <c r="I160" s="25"/>
      <c r="J160" s="69" t="e">
        <f>IF(COUNTIFS(#REF!,"Falha") &gt; 0,"REPROVADO", IF(COUNTIFS(#REF!,"Sucesso") &gt; 0,"APROVADO", IF(COUNTIFS(#REF!,"Sugestão") &gt; 0,"APROVADO", IF(COUNTIFS(#REF!,"Não Executado") &gt; 0,"NÃO EXECUTADO"))))</f>
        <v>#REF!</v>
      </c>
    </row>
    <row r="161" spans="3:10">
      <c r="C161" s="55"/>
      <c r="D161" s="56"/>
      <c r="E161" s="56"/>
      <c r="F161" s="56"/>
      <c r="G161" s="56"/>
      <c r="H161" s="56"/>
      <c r="I161" s="25"/>
      <c r="J161" s="69" t="e">
        <f>IF(COUNTIFS(#REF!,"Falha") &gt; 0,"REPROVADO", IF(COUNTIFS(#REF!,"Sucesso") &gt; 0,"APROVADO", IF(COUNTIFS(#REF!,"Sugestão") &gt; 0,"APROVADO", IF(COUNTIFS(#REF!,"Não Executado") &gt; 0,"NÃO EXECUTADO"))))</f>
        <v>#REF!</v>
      </c>
    </row>
    <row r="162" spans="3:10">
      <c r="C162" s="55"/>
      <c r="D162" s="56"/>
      <c r="E162" s="56"/>
      <c r="F162" s="56"/>
      <c r="G162" s="56"/>
      <c r="H162" s="56"/>
      <c r="I162" s="25"/>
      <c r="J162" s="69" t="e">
        <f>IF(COUNTIFS(#REF!,"Falha") &gt; 0,"REPROVADO", IF(COUNTIFS(#REF!,"Sucesso") &gt; 0,"APROVADO", IF(COUNTIFS(#REF!,"Sugestão") &gt; 0,"APROVADO", IF(COUNTIFS(#REF!,"Não Executado") &gt; 0,"NÃO EXECUTADO"))))</f>
        <v>#REF!</v>
      </c>
    </row>
    <row r="163" spans="3:10">
      <c r="C163" s="55"/>
      <c r="D163" s="56"/>
      <c r="E163" s="56"/>
      <c r="F163" s="56"/>
      <c r="G163" s="56"/>
      <c r="H163" s="56"/>
      <c r="I163" s="25"/>
      <c r="J163" s="69" t="e">
        <f>IF(COUNTIFS(#REF!,"Falha") &gt; 0,"REPROVADO", IF(COUNTIFS(#REF!,"Sucesso") &gt; 0,"APROVADO", IF(COUNTIFS(#REF!,"Sugestão") &gt; 0,"APROVADO", IF(COUNTIFS(#REF!,"Não Executado") &gt; 0,"NÃO EXECUTADO"))))</f>
        <v>#REF!</v>
      </c>
    </row>
    <row r="164" spans="3:10">
      <c r="C164" s="55"/>
      <c r="D164" s="56"/>
      <c r="E164" s="56"/>
      <c r="F164" s="56"/>
      <c r="G164" s="56"/>
      <c r="H164" s="56"/>
      <c r="I164" s="25"/>
      <c r="J164" s="69" t="e">
        <f>IF(COUNTIFS(#REF!,"Falha") &gt; 0,"REPROVADO", IF(COUNTIFS(#REF!,"Sucesso") &gt; 0,"APROVADO", IF(COUNTIFS(#REF!,"Sugestão") &gt; 0,"APROVADO", IF(COUNTIFS(#REF!,"Não Executado") &gt; 0,"NÃO EXECUTADO"))))</f>
        <v>#REF!</v>
      </c>
    </row>
    <row r="165" spans="3:10">
      <c r="C165" s="55"/>
      <c r="D165" s="56"/>
      <c r="E165" s="56"/>
      <c r="F165" s="56"/>
      <c r="G165" s="56"/>
      <c r="H165" s="56"/>
      <c r="I165" s="25"/>
      <c r="J165" s="69" t="e">
        <f>IF(COUNTIFS(#REF!,"Falha") &gt; 0,"REPROVADO", IF(COUNTIFS(#REF!,"Sucesso") &gt; 0,"APROVADO", IF(COUNTIFS(#REF!,"Sugestão") &gt; 0,"APROVADO", IF(COUNTIFS(#REF!,"Não Executado") &gt; 0,"NÃO EXECUTADO"))))</f>
        <v>#REF!</v>
      </c>
    </row>
    <row r="166" spans="3:10">
      <c r="C166" s="55"/>
      <c r="D166" s="56"/>
      <c r="E166" s="56"/>
      <c r="F166" s="56"/>
      <c r="G166" s="56"/>
      <c r="H166" s="56"/>
      <c r="I166" s="25"/>
      <c r="J166" s="69" t="e">
        <f>IF(COUNTIFS(#REF!,"Falha") &gt; 0,"REPROVADO", IF(COUNTIFS(#REF!,"Sucesso") &gt; 0,"APROVADO", IF(COUNTIFS(#REF!,"Sugestão") &gt; 0,"APROVADO", IF(COUNTIFS(#REF!,"Não Executado") &gt; 0,"NÃO EXECUTADO"))))</f>
        <v>#REF!</v>
      </c>
    </row>
    <row r="167" spans="3:10">
      <c r="C167" s="55"/>
      <c r="D167" s="56"/>
      <c r="E167" s="56"/>
      <c r="F167" s="56"/>
      <c r="G167" s="56"/>
      <c r="H167" s="56"/>
      <c r="I167" s="25"/>
      <c r="J167" s="69" t="e">
        <f>IF(COUNTIFS(#REF!,"Falha") &gt; 0,"REPROVADO", IF(COUNTIFS(#REF!,"Sucesso") &gt; 0,"APROVADO", IF(COUNTIFS(#REF!,"Sugestão") &gt; 0,"APROVADO", IF(COUNTIFS(#REF!,"Não Executado") &gt; 0,"NÃO EXECUTADO"))))</f>
        <v>#REF!</v>
      </c>
    </row>
    <row r="168" spans="3:10">
      <c r="C168" s="55"/>
      <c r="D168" s="56"/>
      <c r="E168" s="56"/>
      <c r="F168" s="56"/>
      <c r="G168" s="56"/>
      <c r="H168" s="56"/>
      <c r="I168" s="25"/>
      <c r="J168" s="69" t="e">
        <f>IF(COUNTIFS(#REF!,"Falha") &gt; 0,"REPROVADO", IF(COUNTIFS(#REF!,"Sucesso") &gt; 0,"APROVADO", IF(COUNTIFS(#REF!,"Sugestão") &gt; 0,"APROVADO", IF(COUNTIFS(#REF!,"Não Executado") &gt; 0,"NÃO EXECUTADO"))))</f>
        <v>#REF!</v>
      </c>
    </row>
    <row r="169" spans="3:10">
      <c r="C169" s="55"/>
      <c r="D169" s="56"/>
      <c r="E169" s="56"/>
      <c r="F169" s="56"/>
      <c r="G169" s="56"/>
      <c r="H169" s="56"/>
      <c r="I169" s="25"/>
      <c r="J169" s="69" t="e">
        <f>IF(COUNTIFS(#REF!,"Falha") &gt; 0,"REPROVADO", IF(COUNTIFS(#REF!,"Sucesso") &gt; 0,"APROVADO", IF(COUNTIFS(#REF!,"Sugestão") &gt; 0,"APROVADO", IF(COUNTIFS(#REF!,"Não Executado") &gt; 0,"NÃO EXECUTADO"))))</f>
        <v>#REF!</v>
      </c>
    </row>
    <row r="170" spans="3:10">
      <c r="C170" s="55"/>
      <c r="D170" s="56"/>
      <c r="E170" s="56"/>
      <c r="F170" s="56"/>
      <c r="G170" s="56"/>
      <c r="H170" s="56"/>
      <c r="I170" s="25"/>
      <c r="J170" s="69" t="e">
        <f>IF(COUNTIFS(#REF!,"Falha") &gt; 0,"REPROVADO", IF(COUNTIFS(#REF!,"Sucesso") &gt; 0,"APROVADO", IF(COUNTIFS(#REF!,"Sugestão") &gt; 0,"APROVADO", IF(COUNTIFS(#REF!,"Não Executado") &gt; 0,"NÃO EXECUTADO"))))</f>
        <v>#REF!</v>
      </c>
    </row>
    <row r="171" spans="3:10">
      <c r="C171" s="55"/>
      <c r="D171" s="56"/>
      <c r="E171" s="56"/>
      <c r="F171" s="56"/>
      <c r="G171" s="56"/>
      <c r="H171" s="56"/>
      <c r="I171" s="25"/>
      <c r="J171" s="69" t="e">
        <f>IF(COUNTIFS(#REF!,"Falha") &gt; 0,"REPROVADO", IF(COUNTIFS(#REF!,"Sucesso") &gt; 0,"APROVADO", IF(COUNTIFS(#REF!,"Sugestão") &gt; 0,"APROVADO", IF(COUNTIFS(#REF!,"Não Executado") &gt; 0,"NÃO EXECUTADO"))))</f>
        <v>#REF!</v>
      </c>
    </row>
    <row r="172" spans="3:10">
      <c r="C172" s="55"/>
      <c r="D172" s="56"/>
      <c r="E172" s="56"/>
      <c r="F172" s="56"/>
      <c r="G172" s="56"/>
      <c r="H172" s="56"/>
      <c r="I172" s="25"/>
      <c r="J172" s="69" t="e">
        <f>IF(COUNTIFS(#REF!,"Falha") &gt; 0,"REPROVADO", IF(COUNTIFS(#REF!,"Sucesso") &gt; 0,"APROVADO", IF(COUNTIFS(#REF!,"Sugestão") &gt; 0,"APROVADO", IF(COUNTIFS(#REF!,"Não Executado") &gt; 0,"NÃO EXECUTADO"))))</f>
        <v>#REF!</v>
      </c>
    </row>
    <row r="173" spans="3:10">
      <c r="C173" s="55"/>
      <c r="D173" s="56"/>
      <c r="E173" s="56"/>
      <c r="F173" s="56"/>
      <c r="G173" s="56"/>
      <c r="H173" s="56"/>
      <c r="I173" s="25"/>
      <c r="J173" s="69" t="e">
        <f>IF(COUNTIFS(#REF!,"Falha") &gt; 0,"REPROVADO", IF(COUNTIFS(#REF!,"Sucesso") &gt; 0,"APROVADO", IF(COUNTIFS(#REF!,"Sugestão") &gt; 0,"APROVADO", IF(COUNTIFS(#REF!,"Não Executado") &gt; 0,"NÃO EXECUTADO"))))</f>
        <v>#REF!</v>
      </c>
    </row>
    <row r="174" spans="3:10">
      <c r="C174" s="55"/>
      <c r="D174" s="56"/>
      <c r="E174" s="56"/>
      <c r="F174" s="56"/>
      <c r="G174" s="56"/>
      <c r="H174" s="56"/>
      <c r="I174" s="25"/>
      <c r="J174" s="69" t="e">
        <f>IF(COUNTIFS(#REF!,"Falha") &gt; 0,"REPROVADO", IF(COUNTIFS(#REF!,"Sucesso") &gt; 0,"APROVADO", IF(COUNTIFS(#REF!,"Sugestão") &gt; 0,"APROVADO", IF(COUNTIFS(#REF!,"Não Executado") &gt; 0,"NÃO EXECUTADO"))))</f>
        <v>#REF!</v>
      </c>
    </row>
    <row r="175" spans="3:10">
      <c r="C175" s="55"/>
      <c r="D175" s="56"/>
      <c r="E175" s="56"/>
      <c r="F175" s="56"/>
      <c r="G175" s="56"/>
      <c r="H175" s="56"/>
      <c r="I175" s="25"/>
      <c r="J175" s="69" t="e">
        <f>IF(COUNTIFS(#REF!,"Falha") &gt; 0,"REPROVADO", IF(COUNTIFS(#REF!,"Sucesso") &gt; 0,"APROVADO", IF(COUNTIFS(#REF!,"Sugestão") &gt; 0,"APROVADO", IF(COUNTIFS(#REF!,"Não Executado") &gt; 0,"NÃO EXECUTADO"))))</f>
        <v>#REF!</v>
      </c>
    </row>
    <row r="176" spans="3:10">
      <c r="C176" s="55"/>
      <c r="D176" s="56"/>
      <c r="E176" s="56"/>
      <c r="F176" s="56"/>
      <c r="G176" s="56"/>
      <c r="H176" s="56"/>
      <c r="I176" s="25"/>
      <c r="J176" s="69" t="e">
        <f>IF(COUNTIFS(#REF!,"Falha") &gt; 0,"REPROVADO", IF(COUNTIFS(#REF!,"Sucesso") &gt; 0,"APROVADO", IF(COUNTIFS(#REF!,"Sugestão") &gt; 0,"APROVADO", IF(COUNTIFS(#REF!,"Não Executado") &gt; 0,"NÃO EXECUTADO"))))</f>
        <v>#REF!</v>
      </c>
    </row>
    <row r="177" spans="3:10">
      <c r="C177" s="55"/>
      <c r="D177" s="56"/>
      <c r="E177" s="56"/>
      <c r="F177" s="56"/>
      <c r="G177" s="56"/>
      <c r="H177" s="56"/>
      <c r="I177" s="25"/>
      <c r="J177" s="69" t="e">
        <f>IF(COUNTIFS(#REF!,"Falha") &gt; 0,"REPROVADO", IF(COUNTIFS(#REF!,"Sucesso") &gt; 0,"APROVADO", IF(COUNTIFS(#REF!,"Sugestão") &gt; 0,"APROVADO", IF(COUNTIFS(#REF!,"Não Executado") &gt; 0,"NÃO EXECUTADO"))))</f>
        <v>#REF!</v>
      </c>
    </row>
    <row r="178" spans="3:10">
      <c r="C178" s="55"/>
      <c r="D178" s="56"/>
      <c r="E178" s="56"/>
      <c r="F178" s="56"/>
      <c r="G178" s="56"/>
      <c r="H178" s="56"/>
      <c r="I178" s="25"/>
      <c r="J178" s="69" t="e">
        <f>IF(COUNTIFS(#REF!,"Falha") &gt; 0,"REPROVADO", IF(COUNTIFS(#REF!,"Sucesso") &gt; 0,"APROVADO", IF(COUNTIFS(#REF!,"Sugestão") &gt; 0,"APROVADO", IF(COUNTIFS(#REF!,"Não Executado") &gt; 0,"NÃO EXECUTADO"))))</f>
        <v>#REF!</v>
      </c>
    </row>
    <row r="179" spans="3:10">
      <c r="C179" s="55"/>
      <c r="D179" s="56"/>
      <c r="E179" s="56"/>
      <c r="F179" s="56"/>
      <c r="G179" s="56"/>
      <c r="H179" s="56"/>
      <c r="I179" s="25"/>
      <c r="J179" s="69" t="e">
        <f>IF(COUNTIFS(#REF!,"Falha") &gt; 0,"REPROVADO", IF(COUNTIFS(#REF!,"Sucesso") &gt; 0,"APROVADO", IF(COUNTIFS(#REF!,"Sugestão") &gt; 0,"APROVADO", IF(COUNTIFS(#REF!,"Não Executado") &gt; 0,"NÃO EXECUTADO"))))</f>
        <v>#REF!</v>
      </c>
    </row>
    <row r="180" spans="3:10">
      <c r="C180" s="55"/>
      <c r="D180" s="56"/>
      <c r="E180" s="56"/>
      <c r="F180" s="56"/>
      <c r="G180" s="56"/>
      <c r="H180" s="56"/>
      <c r="I180" s="25"/>
      <c r="J180" s="69" t="e">
        <f>IF(COUNTIFS(#REF!,"Falha") &gt; 0,"REPROVADO", IF(COUNTIFS(#REF!,"Sucesso") &gt; 0,"APROVADO", IF(COUNTIFS(#REF!,"Sugestão") &gt; 0,"APROVADO", IF(COUNTIFS(#REF!,"Não Executado") &gt; 0,"NÃO EXECUTADO"))))</f>
        <v>#REF!</v>
      </c>
    </row>
    <row r="181" spans="3:10">
      <c r="C181" s="55"/>
      <c r="D181" s="56"/>
      <c r="E181" s="56"/>
      <c r="F181" s="56"/>
      <c r="G181" s="56"/>
      <c r="H181" s="56"/>
      <c r="I181" s="25"/>
      <c r="J181" s="69" t="e">
        <f>IF(COUNTIFS(#REF!,"Falha") &gt; 0,"REPROVADO", IF(COUNTIFS(#REF!,"Sucesso") &gt; 0,"APROVADO", IF(COUNTIFS(#REF!,"Sugestão") &gt; 0,"APROVADO", IF(COUNTIFS(#REF!,"Não Executado") &gt; 0,"NÃO EXECUTADO"))))</f>
        <v>#REF!</v>
      </c>
    </row>
    <row r="182" spans="3:10">
      <c r="C182" s="55"/>
      <c r="D182" s="56"/>
      <c r="E182" s="56"/>
      <c r="F182" s="56"/>
      <c r="G182" s="56"/>
      <c r="H182" s="56"/>
      <c r="I182" s="25"/>
      <c r="J182" s="69" t="e">
        <f>IF(COUNTIFS(#REF!,"Falha") &gt; 0,"REPROVADO", IF(COUNTIFS(#REF!,"Sucesso") &gt; 0,"APROVADO", IF(COUNTIFS(#REF!,"Sugestão") &gt; 0,"APROVADO", IF(COUNTIFS(#REF!,"Não Executado") &gt; 0,"NÃO EXECUTADO"))))</f>
        <v>#REF!</v>
      </c>
    </row>
    <row r="183" spans="3:10">
      <c r="C183" s="55"/>
      <c r="D183" s="56"/>
      <c r="E183" s="56"/>
      <c r="F183" s="56"/>
      <c r="G183" s="56"/>
      <c r="H183" s="56"/>
      <c r="I183" s="25"/>
      <c r="J183" s="69" t="e">
        <f>IF(COUNTIFS(#REF!,"Falha") &gt; 0,"REPROVADO", IF(COUNTIFS(#REF!,"Sucesso") &gt; 0,"APROVADO", IF(COUNTIFS(#REF!,"Sugestão") &gt; 0,"APROVADO", IF(COUNTIFS(#REF!,"Não Executado") &gt; 0,"NÃO EXECUTADO"))))</f>
        <v>#REF!</v>
      </c>
    </row>
    <row r="184" spans="3:10">
      <c r="C184" s="55"/>
      <c r="D184" s="56"/>
      <c r="E184" s="56"/>
      <c r="F184" s="56"/>
      <c r="G184" s="56"/>
      <c r="H184" s="56"/>
      <c r="I184" s="25"/>
      <c r="J184" s="69" t="e">
        <f>IF(COUNTIFS(#REF!,"Falha") &gt; 0,"REPROVADO", IF(COUNTIFS(#REF!,"Sucesso") &gt; 0,"APROVADO", IF(COUNTIFS(#REF!,"Sugestão") &gt; 0,"APROVADO", IF(COUNTIFS(#REF!,"Não Executado") &gt; 0,"NÃO EXECUTADO"))))</f>
        <v>#REF!</v>
      </c>
    </row>
    <row r="185" spans="3:10">
      <c r="C185" s="55"/>
      <c r="D185" s="56"/>
      <c r="E185" s="56"/>
      <c r="F185" s="56"/>
      <c r="G185" s="56"/>
      <c r="H185" s="56"/>
      <c r="I185" s="25"/>
      <c r="J185" s="69" t="e">
        <f>IF(COUNTIFS(#REF!,"Falha") &gt; 0,"REPROVADO", IF(COUNTIFS(#REF!,"Sucesso") &gt; 0,"APROVADO", IF(COUNTIFS(#REF!,"Sugestão") &gt; 0,"APROVADO", IF(COUNTIFS(#REF!,"Não Executado") &gt; 0,"NÃO EXECUTADO"))))</f>
        <v>#REF!</v>
      </c>
    </row>
    <row r="186" spans="3:10">
      <c r="C186" s="55"/>
      <c r="D186" s="56"/>
      <c r="E186" s="56"/>
      <c r="F186" s="56"/>
      <c r="G186" s="56"/>
      <c r="H186" s="56"/>
      <c r="I186" s="25"/>
      <c r="J186" s="69" t="e">
        <f>IF(COUNTIFS(#REF!,"Falha") &gt; 0,"REPROVADO", IF(COUNTIFS(#REF!,"Sucesso") &gt; 0,"APROVADO", IF(COUNTIFS(#REF!,"Sugestão") &gt; 0,"APROVADO", IF(COUNTIFS(#REF!,"Não Executado") &gt; 0,"NÃO EXECUTADO"))))</f>
        <v>#REF!</v>
      </c>
    </row>
    <row r="187" spans="3:10">
      <c r="C187" s="55"/>
      <c r="D187" s="56"/>
      <c r="E187" s="56"/>
      <c r="F187" s="56"/>
      <c r="G187" s="56"/>
      <c r="H187" s="56"/>
      <c r="I187" s="25"/>
      <c r="J187" s="69" t="e">
        <f>IF(COUNTIFS(#REF!,"Falha") &gt; 0,"REPROVADO", IF(COUNTIFS(#REF!,"Sucesso") &gt; 0,"APROVADO", IF(COUNTIFS(#REF!,"Sugestão") &gt; 0,"APROVADO", IF(COUNTIFS(#REF!,"Não Executado") &gt; 0,"NÃO EXECUTADO"))))</f>
        <v>#REF!</v>
      </c>
    </row>
    <row r="188" spans="3:10">
      <c r="C188" s="55"/>
      <c r="D188" s="56"/>
      <c r="E188" s="56"/>
      <c r="F188" s="56"/>
      <c r="G188" s="56"/>
      <c r="H188" s="56"/>
      <c r="I188" s="25"/>
      <c r="J188" s="69" t="e">
        <f>IF(COUNTIFS(#REF!,"Falha") &gt; 0,"REPROVADO", IF(COUNTIFS(#REF!,"Sucesso") &gt; 0,"APROVADO", IF(COUNTIFS(#REF!,"Sugestão") &gt; 0,"APROVADO", IF(COUNTIFS(#REF!,"Não Executado") &gt; 0,"NÃO EXECUTADO"))))</f>
        <v>#REF!</v>
      </c>
    </row>
    <row r="189" spans="3:10">
      <c r="C189" s="55"/>
      <c r="D189" s="56"/>
      <c r="E189" s="56"/>
      <c r="F189" s="56"/>
      <c r="G189" s="56"/>
      <c r="H189" s="56"/>
      <c r="I189" s="25"/>
      <c r="J189" s="69" t="e">
        <f>IF(COUNTIFS(#REF!,"Falha") &gt; 0,"REPROVADO", IF(COUNTIFS(#REF!,"Sucesso") &gt; 0,"APROVADO", IF(COUNTIFS(#REF!,"Sugestão") &gt; 0,"APROVADO", IF(COUNTIFS(#REF!,"Não Executado") &gt; 0,"NÃO EXECUTADO"))))</f>
        <v>#REF!</v>
      </c>
    </row>
    <row r="190" spans="3:10">
      <c r="C190" s="55"/>
      <c r="D190" s="56"/>
      <c r="E190" s="56"/>
      <c r="F190" s="56"/>
      <c r="G190" s="56"/>
      <c r="H190" s="56"/>
      <c r="I190" s="25"/>
      <c r="J190" s="69" t="e">
        <f>IF(COUNTIFS(#REF!,"Falha") &gt; 0,"REPROVADO", IF(COUNTIFS(#REF!,"Sucesso") &gt; 0,"APROVADO", IF(COUNTIFS(#REF!,"Sugestão") &gt; 0,"APROVADO", IF(COUNTIFS(#REF!,"Não Executado") &gt; 0,"NÃO EXECUTADO"))))</f>
        <v>#REF!</v>
      </c>
    </row>
    <row r="191" spans="3:10">
      <c r="C191" s="55"/>
      <c r="D191" s="56"/>
      <c r="E191" s="56"/>
      <c r="F191" s="56"/>
      <c r="G191" s="56"/>
      <c r="H191" s="56"/>
      <c r="I191" s="25"/>
      <c r="J191" s="69" t="e">
        <f>IF(COUNTIFS(#REF!,"Falha") &gt; 0,"REPROVADO", IF(COUNTIFS(#REF!,"Sucesso") &gt; 0,"APROVADO", IF(COUNTIFS(#REF!,"Sugestão") &gt; 0,"APROVADO", IF(COUNTIFS(#REF!,"Não Executado") &gt; 0,"NÃO EXECUTADO"))))</f>
        <v>#REF!</v>
      </c>
    </row>
    <row r="192" spans="3:10">
      <c r="C192" s="55"/>
      <c r="D192" s="56"/>
      <c r="E192" s="56"/>
      <c r="F192" s="56"/>
      <c r="G192" s="56"/>
      <c r="H192" s="56"/>
      <c r="I192" s="25"/>
      <c r="J192" s="69" t="e">
        <f>IF(COUNTIFS(#REF!,"Falha") &gt; 0,"REPROVADO", IF(COUNTIFS(#REF!,"Sucesso") &gt; 0,"APROVADO", IF(COUNTIFS(#REF!,"Sugestão") &gt; 0,"APROVADO", IF(COUNTIFS(#REF!,"Não Executado") &gt; 0,"NÃO EXECUTADO"))))</f>
        <v>#REF!</v>
      </c>
    </row>
    <row r="193" spans="3:10">
      <c r="C193" s="55"/>
      <c r="D193" s="56"/>
      <c r="E193" s="56"/>
      <c r="F193" s="56"/>
      <c r="G193" s="56"/>
      <c r="H193" s="56"/>
      <c r="I193" s="25"/>
      <c r="J193" s="69" t="e">
        <f>IF(COUNTIFS(#REF!,"Falha") &gt; 0,"REPROVADO", IF(COUNTIFS(#REF!,"Sucesso") &gt; 0,"APROVADO", IF(COUNTIFS(#REF!,"Sugestão") &gt; 0,"APROVADO", IF(COUNTIFS(#REF!,"Não Executado") &gt; 0,"NÃO EXECUTADO"))))</f>
        <v>#REF!</v>
      </c>
    </row>
    <row r="194" spans="3:10">
      <c r="C194" s="55"/>
      <c r="D194" s="56"/>
      <c r="E194" s="56"/>
      <c r="F194" s="56"/>
      <c r="G194" s="56"/>
      <c r="H194" s="56"/>
      <c r="I194" s="25"/>
      <c r="J194" s="69" t="e">
        <f>IF(COUNTIFS(#REF!,"Falha") &gt; 0,"REPROVADO", IF(COUNTIFS(#REF!,"Sucesso") &gt; 0,"APROVADO", IF(COUNTIFS(#REF!,"Sugestão") &gt; 0,"APROVADO", IF(COUNTIFS(#REF!,"Não Executado") &gt; 0,"NÃO EXECUTADO"))))</f>
        <v>#REF!</v>
      </c>
    </row>
    <row r="195" spans="3:10">
      <c r="C195" s="55"/>
      <c r="D195" s="56"/>
      <c r="E195" s="56"/>
      <c r="F195" s="56"/>
      <c r="G195" s="56"/>
      <c r="H195" s="56"/>
      <c r="I195" s="25"/>
      <c r="J195" s="69" t="e">
        <f>IF(COUNTIFS(#REF!,"Falha") &gt; 0,"REPROVADO", IF(COUNTIFS(#REF!,"Sucesso") &gt; 0,"APROVADO", IF(COUNTIFS(#REF!,"Sugestão") &gt; 0,"APROVADO", IF(COUNTIFS(#REF!,"Não Executado") &gt; 0,"NÃO EXECUTADO"))))</f>
        <v>#REF!</v>
      </c>
    </row>
    <row r="196" spans="3:10">
      <c r="C196" s="55"/>
      <c r="D196" s="56"/>
      <c r="E196" s="56"/>
      <c r="F196" s="56"/>
      <c r="G196" s="56"/>
      <c r="H196" s="56"/>
      <c r="I196" s="25"/>
      <c r="J196" s="69" t="e">
        <f>IF(COUNTIFS(#REF!,"Falha") &gt; 0,"REPROVADO", IF(COUNTIFS(#REF!,"Sucesso") &gt; 0,"APROVADO", IF(COUNTIFS(#REF!,"Sugestão") &gt; 0,"APROVADO", IF(COUNTIFS(#REF!,"Não Executado") &gt; 0,"NÃO EXECUTADO"))))</f>
        <v>#REF!</v>
      </c>
    </row>
    <row r="197" spans="3:10">
      <c r="C197" s="55"/>
      <c r="D197" s="56"/>
      <c r="E197" s="56"/>
      <c r="F197" s="56"/>
      <c r="G197" s="56"/>
      <c r="H197" s="56"/>
      <c r="I197" s="25"/>
      <c r="J197" s="69" t="e">
        <f>IF(COUNTIFS(#REF!,"Falha") &gt; 0,"REPROVADO", IF(COUNTIFS(#REF!,"Sucesso") &gt; 0,"APROVADO", IF(COUNTIFS(#REF!,"Sugestão") &gt; 0,"APROVADO", IF(COUNTIFS(#REF!,"Não Executado") &gt; 0,"NÃO EXECUTADO"))))</f>
        <v>#REF!</v>
      </c>
    </row>
    <row r="198" spans="3:10">
      <c r="C198" s="55"/>
      <c r="D198" s="56"/>
      <c r="E198" s="56"/>
      <c r="F198" s="56"/>
      <c r="G198" s="56"/>
      <c r="H198" s="56"/>
      <c r="I198" s="25"/>
      <c r="J198" s="69" t="e">
        <f>IF(COUNTIFS(#REF!,"Falha") &gt; 0,"REPROVADO", IF(COUNTIFS(#REF!,"Sucesso") &gt; 0,"APROVADO", IF(COUNTIFS(#REF!,"Sugestão") &gt; 0,"APROVADO", IF(COUNTIFS(#REF!,"Não Executado") &gt; 0,"NÃO EXECUTADO"))))</f>
        <v>#REF!</v>
      </c>
    </row>
    <row r="199" spans="3:10">
      <c r="C199" s="55"/>
      <c r="D199" s="56"/>
      <c r="E199" s="56"/>
      <c r="F199" s="56"/>
      <c r="G199" s="56"/>
      <c r="H199" s="56"/>
      <c r="I199" s="25"/>
      <c r="J199" s="69" t="e">
        <f>IF(COUNTIFS(#REF!,"Falha") &gt; 0,"REPROVADO", IF(COUNTIFS(#REF!,"Sucesso") &gt; 0,"APROVADO", IF(COUNTIFS(#REF!,"Sugestão") &gt; 0,"APROVADO", IF(COUNTIFS(#REF!,"Não Executado") &gt; 0,"NÃO EXECUTADO"))))</f>
        <v>#REF!</v>
      </c>
    </row>
    <row r="200" spans="3:10">
      <c r="C200" s="55"/>
      <c r="D200" s="56"/>
      <c r="E200" s="56"/>
      <c r="F200" s="56"/>
      <c r="G200" s="56"/>
      <c r="H200" s="56"/>
      <c r="I200" s="25"/>
      <c r="J200" s="69" t="e">
        <f>IF(COUNTIFS(#REF!,"Falha") &gt; 0,"REPROVADO", IF(COUNTIFS(#REF!,"Sucesso") &gt; 0,"APROVADO", IF(COUNTIFS(#REF!,"Sugestão") &gt; 0,"APROVADO", IF(COUNTIFS(#REF!,"Não Executado") &gt; 0,"NÃO EXECUTADO"))))</f>
        <v>#REF!</v>
      </c>
    </row>
    <row r="201" spans="3:10">
      <c r="C201" s="55"/>
      <c r="D201" s="56"/>
      <c r="E201" s="56"/>
      <c r="F201" s="56"/>
      <c r="G201" s="56"/>
      <c r="H201" s="56"/>
      <c r="I201" s="25"/>
      <c r="J201" s="69" t="e">
        <f>IF(COUNTIFS(#REF!,"Falha") &gt; 0,"REPROVADO", IF(COUNTIFS(#REF!,"Sucesso") &gt; 0,"APROVADO", IF(COUNTIFS(#REF!,"Sugestão") &gt; 0,"APROVADO", IF(COUNTIFS(#REF!,"Não Executado") &gt; 0,"NÃO EXECUTADO"))))</f>
        <v>#REF!</v>
      </c>
    </row>
    <row r="202" spans="3:10">
      <c r="C202" s="55"/>
      <c r="D202" s="56"/>
      <c r="E202" s="56"/>
      <c r="F202" s="56"/>
      <c r="G202" s="56"/>
      <c r="H202" s="56"/>
      <c r="I202" s="25"/>
      <c r="J202" s="69" t="e">
        <f>IF(COUNTIFS(#REF!,"Falha") &gt; 0,"REPROVADO", IF(COUNTIFS(#REF!,"Sucesso") &gt; 0,"APROVADO", IF(COUNTIFS(#REF!,"Sugestão") &gt; 0,"APROVADO", IF(COUNTIFS(#REF!,"Não Executado") &gt; 0,"NÃO EXECUTADO"))))</f>
        <v>#REF!</v>
      </c>
    </row>
    <row r="203" spans="3:10">
      <c r="C203" s="55"/>
      <c r="D203" s="56"/>
      <c r="E203" s="56"/>
      <c r="F203" s="56"/>
      <c r="G203" s="56"/>
      <c r="H203" s="56"/>
      <c r="I203" s="25"/>
      <c r="J203" s="69" t="e">
        <f>IF(COUNTIFS(#REF!,"Falha") &gt; 0,"REPROVADO", IF(COUNTIFS(#REF!,"Sucesso") &gt; 0,"APROVADO", IF(COUNTIFS(#REF!,"Sugestão") &gt; 0,"APROVADO", IF(COUNTIFS(#REF!,"Não Executado") &gt; 0,"NÃO EXECUTADO"))))</f>
        <v>#REF!</v>
      </c>
    </row>
    <row r="204" spans="3:10">
      <c r="E204" s="31"/>
      <c r="F204" s="31"/>
      <c r="G204" s="31"/>
      <c r="H204" s="31"/>
      <c r="J204" s="69" t="e">
        <f>IF(COUNTIFS(#REF!,"Falha") &gt; 0,"REPROVADO", IF(COUNTIFS(#REF!,"Sucesso") &gt; 0,"APROVADO", IF(COUNTIFS(#REF!,"Sugestão") &gt; 0,"APROVADO", IF(COUNTIFS(#REF!,"Não Executado") &gt; 0,"NÃO EXECUTADO"))))</f>
        <v>#REF!</v>
      </c>
    </row>
    <row r="205" spans="3:10">
      <c r="E205" s="31"/>
      <c r="F205" s="31"/>
      <c r="G205" s="31"/>
      <c r="H205" s="31"/>
      <c r="J205" s="69" t="e">
        <f>IF(COUNTIFS(#REF!,"Falha") &gt; 0,"REPROVADO", IF(COUNTIFS(#REF!,"Sucesso") &gt; 0,"APROVADO", IF(COUNTIFS(#REF!,"Sugestão") &gt; 0,"APROVADO", IF(COUNTIFS(#REF!,"Não Executado") &gt; 0,"NÃO EXECUTADO"))))</f>
        <v>#REF!</v>
      </c>
    </row>
    <row r="206" spans="3:10">
      <c r="E206" s="31"/>
      <c r="F206" s="31"/>
      <c r="G206" s="31"/>
      <c r="H206" s="31"/>
      <c r="J206" s="69" t="e">
        <f>IF(COUNTIFS(#REF!,"Falha") &gt; 0,"REPROVADO", IF(COUNTIFS(#REF!,"Sucesso") &gt; 0,"APROVADO", IF(COUNTIFS(#REF!,"Sugestão") &gt; 0,"APROVADO", IF(COUNTIFS(#REF!,"Não Executado") &gt; 0,"NÃO EXECUTADO"))))</f>
        <v>#REF!</v>
      </c>
    </row>
    <row r="207" spans="3:10">
      <c r="E207" s="31"/>
      <c r="F207" s="31"/>
      <c r="G207" s="31"/>
      <c r="H207" s="31"/>
      <c r="J207" s="69" t="e">
        <f>IF(COUNTIFS(#REF!,"Falha") &gt; 0,"REPROVADO", IF(COUNTIFS(#REF!,"Sucesso") &gt; 0,"APROVADO", IF(COUNTIFS(#REF!,"Sugestão") &gt; 0,"APROVADO", IF(COUNTIFS(#REF!,"Não Executado") &gt; 0,"NÃO EXECUTADO"))))</f>
        <v>#REF!</v>
      </c>
    </row>
    <row r="208" spans="3:10">
      <c r="E208" s="31"/>
      <c r="F208" s="31"/>
      <c r="G208" s="31"/>
      <c r="H208" s="31"/>
      <c r="J208" s="69" t="e">
        <f>IF(COUNTIFS(#REF!,"Falha") &gt; 0,"REPROVADO", IF(COUNTIFS(#REF!,"Sucesso") &gt; 0,"APROVADO", IF(COUNTIFS(#REF!,"Sugestão") &gt; 0,"APROVADO", IF(COUNTIFS(#REF!,"Não Executado") &gt; 0,"NÃO EXECUTADO"))))</f>
        <v>#REF!</v>
      </c>
    </row>
    <row r="209" spans="5:10">
      <c r="E209" s="31"/>
      <c r="F209" s="31"/>
      <c r="G209" s="31"/>
      <c r="H209" s="31"/>
      <c r="J209" s="69" t="e">
        <f>IF(COUNTIFS(#REF!,"Falha") &gt; 0,"REPROVADO", IF(COUNTIFS(#REF!,"Sucesso") &gt; 0,"APROVADO", IF(COUNTIFS(#REF!,"Sugestão") &gt; 0,"APROVADO", IF(COUNTIFS(#REF!,"Não Executado") &gt; 0,"NÃO EXECUTADO"))))</f>
        <v>#REF!</v>
      </c>
    </row>
    <row r="210" spans="5:10">
      <c r="E210" s="31"/>
      <c r="F210" s="31"/>
      <c r="G210" s="31"/>
      <c r="H210" s="31"/>
      <c r="J210" s="69" t="e">
        <f>IF(COUNTIFS(#REF!,"Falha") &gt; 0,"REPROVADO", IF(COUNTIFS(#REF!,"Sucesso") &gt; 0,"APROVADO", IF(COUNTIFS(#REF!,"Sugestão") &gt; 0,"APROVADO", IF(COUNTIFS(#REF!,"Não Executado") &gt; 0,"NÃO EXECUTADO"))))</f>
        <v>#REF!</v>
      </c>
    </row>
    <row r="211" spans="5:10">
      <c r="E211" s="31"/>
      <c r="F211" s="31"/>
      <c r="G211" s="31"/>
      <c r="H211" s="31"/>
      <c r="J211" s="69" t="e">
        <f>IF(COUNTIFS(#REF!,"Falha") &gt; 0,"REPROVADO", IF(COUNTIFS(#REF!,"Sucesso") &gt; 0,"APROVADO", IF(COUNTIFS(#REF!,"Sugestão") &gt; 0,"APROVADO", IF(COUNTIFS(#REF!,"Não Executado") &gt; 0,"NÃO EXECUTADO"))))</f>
        <v>#REF!</v>
      </c>
    </row>
    <row r="212" spans="5:10">
      <c r="E212" s="31"/>
      <c r="F212" s="31"/>
      <c r="G212" s="31"/>
      <c r="H212" s="31"/>
      <c r="J212" s="69" t="e">
        <f>IF(COUNTIFS(#REF!,"Falha") &gt; 0,"REPROVADO", IF(COUNTIFS(#REF!,"Sucesso") &gt; 0,"APROVADO", IF(COUNTIFS(#REF!,"Sugestão") &gt; 0,"APROVADO", IF(COUNTIFS(#REF!,"Não Executado") &gt; 0,"NÃO EXECUTADO"))))</f>
        <v>#REF!</v>
      </c>
    </row>
    <row r="213" spans="5:10">
      <c r="E213" s="31"/>
      <c r="F213" s="31"/>
      <c r="G213" s="31"/>
      <c r="H213" s="31"/>
      <c r="J213" s="69" t="e">
        <f>IF(COUNTIFS(#REF!,"Falha") &gt; 0,"REPROVADO", IF(COUNTIFS(#REF!,"Sucesso") &gt; 0,"APROVADO", IF(COUNTIFS(#REF!,"Sugestão") &gt; 0,"APROVADO", IF(COUNTIFS(#REF!,"Não Executado") &gt; 0,"NÃO EXECUTADO"))))</f>
        <v>#REF!</v>
      </c>
    </row>
    <row r="214" spans="5:10">
      <c r="E214" s="31"/>
      <c r="F214" s="31"/>
      <c r="G214" s="31"/>
      <c r="H214" s="31"/>
      <c r="J214" s="69" t="e">
        <f>IF(COUNTIFS(#REF!,"Falha") &gt; 0,"REPROVADO", IF(COUNTIFS(#REF!,"Sucesso") &gt; 0,"APROVADO", IF(COUNTIFS(#REF!,"Sugestão") &gt; 0,"APROVADO", IF(COUNTIFS(#REF!,"Não Executado") &gt; 0,"NÃO EXECUTADO"))))</f>
        <v>#REF!</v>
      </c>
    </row>
    <row r="215" spans="5:10">
      <c r="E215" s="31"/>
      <c r="F215" s="31"/>
      <c r="G215" s="31"/>
      <c r="H215" s="31"/>
      <c r="J215" s="69" t="e">
        <f>IF(COUNTIFS(#REF!,"Falha") &gt; 0,"REPROVADO", IF(COUNTIFS(#REF!,"Sucesso") &gt; 0,"APROVADO", IF(COUNTIFS(#REF!,"Sugestão") &gt; 0,"APROVADO", IF(COUNTIFS(#REF!,"Não Executado") &gt; 0,"NÃO EXECUTADO"))))</f>
        <v>#REF!</v>
      </c>
    </row>
    <row r="216" spans="5:10">
      <c r="E216" s="31"/>
      <c r="F216" s="31"/>
      <c r="G216" s="31"/>
      <c r="H216" s="31"/>
      <c r="J216" s="69" t="e">
        <f>IF(COUNTIFS(#REF!,"Falha") &gt; 0,"REPROVADO", IF(COUNTIFS(#REF!,"Sucesso") &gt; 0,"APROVADO", IF(COUNTIFS(#REF!,"Sugestão") &gt; 0,"APROVADO", IF(COUNTIFS(#REF!,"Não Executado") &gt; 0,"NÃO EXECUTADO"))))</f>
        <v>#REF!</v>
      </c>
    </row>
    <row r="217" spans="5:10">
      <c r="E217" s="31"/>
      <c r="F217" s="31"/>
      <c r="G217" s="31"/>
      <c r="H217" s="31"/>
      <c r="J217" s="69" t="e">
        <f>IF(COUNTIFS(#REF!,"Falha") &gt; 0,"REPROVADO", IF(COUNTIFS(#REF!,"Sucesso") &gt; 0,"APROVADO", IF(COUNTIFS(#REF!,"Sugestão") &gt; 0,"APROVADO", IF(COUNTIFS(#REF!,"Não Executado") &gt; 0,"NÃO EXECUTADO"))))</f>
        <v>#REF!</v>
      </c>
    </row>
    <row r="218" spans="5:10">
      <c r="E218" s="31"/>
      <c r="F218" s="31"/>
      <c r="G218" s="31"/>
      <c r="H218" s="31"/>
      <c r="J218" s="69" t="e">
        <f>IF(COUNTIFS(#REF!,"Falha") &gt; 0,"REPROVADO", IF(COUNTIFS(#REF!,"Sucesso") &gt; 0,"APROVADO", IF(COUNTIFS(#REF!,"Sugestão") &gt; 0,"APROVADO", IF(COUNTIFS(#REF!,"Não Executado") &gt; 0,"NÃO EXECUTADO"))))</f>
        <v>#REF!</v>
      </c>
    </row>
    <row r="219" spans="5:10">
      <c r="E219" s="31"/>
      <c r="F219" s="31"/>
      <c r="G219" s="31"/>
      <c r="H219" s="31"/>
      <c r="J219" s="69" t="e">
        <f>IF(COUNTIFS(#REF!,"Falha") &gt; 0,"REPROVADO", IF(COUNTIFS(#REF!,"Sucesso") &gt; 0,"APROVADO", IF(COUNTIFS(#REF!,"Sugestão") &gt; 0,"APROVADO", IF(COUNTIFS(#REF!,"Não Executado") &gt; 0,"NÃO EXECUTADO"))))</f>
        <v>#REF!</v>
      </c>
    </row>
    <row r="220" spans="5:10">
      <c r="E220" s="31"/>
      <c r="F220" s="31"/>
      <c r="G220" s="31"/>
      <c r="H220" s="31"/>
      <c r="J220" s="69" t="e">
        <f>IF(COUNTIFS(#REF!,"Falha") &gt; 0,"REPROVADO", IF(COUNTIFS(#REF!,"Sucesso") &gt; 0,"APROVADO", IF(COUNTIFS(#REF!,"Sugestão") &gt; 0,"APROVADO", IF(COUNTIFS(#REF!,"Não Executado") &gt; 0,"NÃO EXECUTADO"))))</f>
        <v>#REF!</v>
      </c>
    </row>
    <row r="221" spans="5:10">
      <c r="E221" s="31"/>
      <c r="F221" s="31"/>
      <c r="G221" s="31"/>
      <c r="H221" s="31"/>
      <c r="J221" s="69" t="e">
        <f>IF(COUNTIFS(#REF!,"Falha") &gt; 0,"REPROVADO", IF(COUNTIFS(#REF!,"Sucesso") &gt; 0,"APROVADO", IF(COUNTIFS(#REF!,"Sugestão") &gt; 0,"APROVADO", IF(COUNTIFS(#REF!,"Não Executado") &gt; 0,"NÃO EXECUTADO"))))</f>
        <v>#REF!</v>
      </c>
    </row>
    <row r="222" spans="5:10">
      <c r="E222" s="31"/>
      <c r="F222" s="31"/>
      <c r="G222" s="31"/>
      <c r="H222" s="31"/>
      <c r="J222" s="69" t="e">
        <f>IF(COUNTIFS(#REF!,"Falha") &gt; 0,"REPROVADO", IF(COUNTIFS(#REF!,"Sucesso") &gt; 0,"APROVADO", IF(COUNTIFS(#REF!,"Sugestão") &gt; 0,"APROVADO", IF(COUNTIFS(#REF!,"Não Executado") &gt; 0,"NÃO EXECUTADO"))))</f>
        <v>#REF!</v>
      </c>
    </row>
    <row r="223" spans="5:10">
      <c r="E223" s="31"/>
      <c r="F223" s="31"/>
      <c r="G223" s="31"/>
      <c r="H223" s="31"/>
      <c r="J223" s="69" t="e">
        <f>IF(COUNTIFS(#REF!,"Falha") &gt; 0,"REPROVADO", IF(COUNTIFS(#REF!,"Sucesso") &gt; 0,"APROVADO", IF(COUNTIFS(#REF!,"Sugestão") &gt; 0,"APROVADO", IF(COUNTIFS(#REF!,"Não Executado") &gt; 0,"NÃO EXECUTADO"))))</f>
        <v>#REF!</v>
      </c>
    </row>
    <row r="224" spans="5:10">
      <c r="E224" s="31"/>
      <c r="F224" s="31"/>
      <c r="G224" s="31"/>
      <c r="H224" s="31"/>
      <c r="J224" s="69" t="e">
        <f>IF(COUNTIFS(#REF!,"Falha") &gt; 0,"REPROVADO", IF(COUNTIFS(#REF!,"Sucesso") &gt; 0,"APROVADO", IF(COUNTIFS(#REF!,"Sugestão") &gt; 0,"APROVADO", IF(COUNTIFS(#REF!,"Não Executado") &gt; 0,"NÃO EXECUTADO"))))</f>
        <v>#REF!</v>
      </c>
    </row>
    <row r="225" spans="5:10">
      <c r="E225" s="31"/>
      <c r="F225" s="31"/>
      <c r="G225" s="31"/>
      <c r="H225" s="31"/>
      <c r="J225" s="53"/>
    </row>
    <row r="226" spans="5:10">
      <c r="E226" s="31"/>
      <c r="F226" s="31"/>
      <c r="G226" s="31"/>
      <c r="H226" s="31"/>
      <c r="J226" s="53"/>
    </row>
    <row r="227" spans="5:10">
      <c r="E227" s="31"/>
      <c r="F227" s="31"/>
      <c r="G227" s="31"/>
      <c r="H227" s="31"/>
      <c r="J227" s="53"/>
    </row>
    <row r="228" spans="5:10">
      <c r="E228" s="31"/>
      <c r="F228" s="31"/>
      <c r="G228" s="31"/>
      <c r="H228" s="31"/>
      <c r="J228" s="53"/>
    </row>
    <row r="229" spans="5:10">
      <c r="E229" s="31"/>
      <c r="F229" s="31"/>
      <c r="G229" s="31"/>
      <c r="H229" s="31"/>
      <c r="J229" s="53"/>
    </row>
    <row r="230" spans="5:10">
      <c r="E230" s="31"/>
      <c r="F230" s="31"/>
      <c r="G230" s="31"/>
      <c r="H230" s="31"/>
      <c r="J230" s="53"/>
    </row>
    <row r="231" spans="5:10">
      <c r="E231" s="31"/>
      <c r="F231" s="31"/>
      <c r="G231" s="31"/>
      <c r="H231" s="31"/>
      <c r="J231" s="53"/>
    </row>
    <row r="232" spans="5:10">
      <c r="E232" s="31"/>
      <c r="F232" s="31"/>
      <c r="G232" s="31"/>
      <c r="H232" s="31"/>
      <c r="J232" s="53"/>
    </row>
    <row r="233" spans="5:10">
      <c r="E233" s="31"/>
      <c r="F233" s="31"/>
      <c r="G233" s="31"/>
      <c r="H233" s="31"/>
      <c r="J233" s="53"/>
    </row>
    <row r="234" spans="5:10">
      <c r="E234" s="31"/>
      <c r="F234" s="31"/>
      <c r="G234" s="31"/>
      <c r="H234" s="31"/>
      <c r="J234" s="53"/>
    </row>
    <row r="235" spans="5:10">
      <c r="E235" s="31"/>
      <c r="F235" s="31"/>
      <c r="G235" s="31"/>
      <c r="H235" s="31"/>
      <c r="J235" s="53"/>
    </row>
    <row r="236" spans="5:10">
      <c r="E236" s="31"/>
      <c r="F236" s="31"/>
      <c r="G236" s="31"/>
      <c r="H236" s="31"/>
      <c r="J236" s="53"/>
    </row>
    <row r="237" spans="5:10">
      <c r="E237" s="31"/>
      <c r="F237" s="31"/>
      <c r="G237" s="31"/>
      <c r="H237" s="31"/>
      <c r="J237" s="53"/>
    </row>
    <row r="238" spans="5:10">
      <c r="E238" s="31"/>
      <c r="F238" s="31"/>
      <c r="G238" s="31"/>
      <c r="H238" s="31"/>
      <c r="J238" s="53"/>
    </row>
    <row r="239" spans="5:10">
      <c r="E239" s="31"/>
      <c r="F239" s="31"/>
      <c r="G239" s="31"/>
      <c r="H239" s="31"/>
      <c r="J239" s="53"/>
    </row>
    <row r="240" spans="5:10">
      <c r="E240" s="31"/>
      <c r="F240" s="31"/>
      <c r="G240" s="31"/>
      <c r="H240" s="31"/>
      <c r="J240" s="53"/>
    </row>
    <row r="241" spans="5:10">
      <c r="E241" s="31"/>
      <c r="F241" s="31"/>
      <c r="G241" s="31"/>
      <c r="H241" s="31"/>
      <c r="J241" s="53"/>
    </row>
    <row r="242" spans="5:10">
      <c r="E242" s="31"/>
      <c r="F242" s="31"/>
      <c r="G242" s="31"/>
      <c r="H242" s="31"/>
      <c r="J242" s="53"/>
    </row>
    <row r="243" spans="5:10">
      <c r="E243" s="31"/>
      <c r="F243" s="31"/>
      <c r="G243" s="31"/>
      <c r="H243" s="31"/>
      <c r="J243" s="53"/>
    </row>
    <row r="244" spans="5:10">
      <c r="E244" s="31"/>
      <c r="F244" s="31"/>
      <c r="G244" s="31"/>
      <c r="H244" s="31"/>
      <c r="J244" s="53"/>
    </row>
    <row r="245" spans="5:10">
      <c r="E245" s="31"/>
      <c r="F245" s="31"/>
      <c r="G245" s="31"/>
      <c r="H245" s="31"/>
      <c r="J245" s="53"/>
    </row>
    <row r="246" spans="5:10">
      <c r="E246" s="31"/>
      <c r="F246" s="31"/>
      <c r="G246" s="31"/>
      <c r="H246" s="31"/>
      <c r="J246" s="53"/>
    </row>
    <row r="247" spans="5:10">
      <c r="E247" s="31"/>
      <c r="F247" s="31"/>
      <c r="G247" s="31"/>
      <c r="H247" s="31"/>
      <c r="J247" s="53"/>
    </row>
    <row r="248" spans="5:10">
      <c r="E248" s="31"/>
      <c r="F248" s="31"/>
      <c r="G248" s="31"/>
      <c r="H248" s="31"/>
      <c r="J248" s="53"/>
    </row>
    <row r="249" spans="5:10">
      <c r="E249" s="31"/>
      <c r="F249" s="31"/>
      <c r="G249" s="31"/>
      <c r="H249" s="31"/>
      <c r="J249" s="53"/>
    </row>
    <row r="250" spans="5:10">
      <c r="E250" s="31"/>
      <c r="F250" s="31"/>
      <c r="G250" s="31"/>
      <c r="H250" s="31"/>
      <c r="J250" s="53"/>
    </row>
    <row r="251" spans="5:10">
      <c r="E251" s="31"/>
      <c r="F251" s="31"/>
      <c r="G251" s="31"/>
      <c r="H251" s="31"/>
      <c r="J251" s="53"/>
    </row>
    <row r="252" spans="5:10">
      <c r="E252" s="31"/>
      <c r="F252" s="31"/>
      <c r="G252" s="31"/>
      <c r="H252" s="31"/>
      <c r="J252" s="53"/>
    </row>
    <row r="253" spans="5:10">
      <c r="E253" s="31"/>
      <c r="F253" s="31"/>
      <c r="G253" s="31"/>
      <c r="H253" s="31"/>
      <c r="J253" s="53"/>
    </row>
    <row r="254" spans="5:10">
      <c r="E254" s="31"/>
      <c r="F254" s="31"/>
      <c r="G254" s="31"/>
      <c r="H254" s="31"/>
      <c r="J254" s="53"/>
    </row>
    <row r="255" spans="5:10">
      <c r="E255" s="31"/>
      <c r="F255" s="31"/>
      <c r="G255" s="31"/>
      <c r="H255" s="31"/>
      <c r="J255" s="53"/>
    </row>
    <row r="256" spans="5:10">
      <c r="E256" s="31"/>
      <c r="F256" s="31"/>
      <c r="G256" s="31"/>
      <c r="H256" s="31"/>
      <c r="J256" s="53"/>
    </row>
    <row r="257" spans="5:10">
      <c r="E257" s="31"/>
      <c r="F257" s="31"/>
      <c r="G257" s="31"/>
      <c r="H257" s="31"/>
      <c r="J257" s="53"/>
    </row>
    <row r="258" spans="5:10">
      <c r="E258" s="31"/>
      <c r="F258" s="31"/>
      <c r="G258" s="31"/>
      <c r="H258" s="31"/>
      <c r="J258" s="53"/>
    </row>
    <row r="259" spans="5:10">
      <c r="E259" s="31"/>
      <c r="F259" s="31"/>
      <c r="G259" s="31"/>
      <c r="H259" s="31"/>
      <c r="J259" s="53"/>
    </row>
    <row r="260" spans="5:10">
      <c r="E260" s="31"/>
      <c r="F260" s="31"/>
      <c r="G260" s="31"/>
      <c r="H260" s="31"/>
      <c r="J260" s="53"/>
    </row>
    <row r="261" spans="5:10">
      <c r="E261" s="31"/>
      <c r="F261" s="31"/>
      <c r="G261" s="31"/>
      <c r="H261" s="31"/>
      <c r="J261" s="53"/>
    </row>
    <row r="262" spans="5:10">
      <c r="E262" s="31"/>
      <c r="F262" s="31"/>
      <c r="G262" s="31"/>
      <c r="H262" s="31"/>
      <c r="J262" s="53"/>
    </row>
    <row r="263" spans="5:10">
      <c r="E263" s="31"/>
      <c r="F263" s="31"/>
      <c r="G263" s="31"/>
      <c r="H263" s="31"/>
      <c r="J263" s="53"/>
    </row>
    <row r="264" spans="5:10">
      <c r="E264" s="31"/>
      <c r="F264" s="31"/>
      <c r="G264" s="31"/>
      <c r="H264" s="31"/>
      <c r="J264" s="53"/>
    </row>
    <row r="265" spans="5:10">
      <c r="E265" s="31"/>
      <c r="F265" s="31"/>
      <c r="G265" s="31"/>
      <c r="H265" s="31"/>
      <c r="J265" s="53"/>
    </row>
    <row r="266" spans="5:10">
      <c r="E266" s="31"/>
      <c r="F266" s="31"/>
      <c r="G266" s="31"/>
      <c r="H266" s="31"/>
      <c r="J266" s="53"/>
    </row>
    <row r="267" spans="5:10">
      <c r="E267" s="31"/>
      <c r="F267" s="31"/>
      <c r="G267" s="31"/>
      <c r="H267" s="31"/>
      <c r="J267" s="53"/>
    </row>
    <row r="268" spans="5:10">
      <c r="E268" s="31"/>
      <c r="F268" s="31"/>
      <c r="G268" s="31"/>
      <c r="H268" s="31"/>
      <c r="J268" s="53"/>
    </row>
    <row r="269" spans="5:10">
      <c r="E269" s="31"/>
      <c r="F269" s="31"/>
      <c r="G269" s="31"/>
      <c r="H269" s="31"/>
      <c r="J269" s="53"/>
    </row>
    <row r="270" spans="5:10">
      <c r="E270" s="31"/>
      <c r="F270" s="31"/>
      <c r="G270" s="31"/>
      <c r="H270" s="31"/>
      <c r="J270" s="53"/>
    </row>
    <row r="271" spans="5:10">
      <c r="E271" s="31"/>
      <c r="F271" s="31"/>
      <c r="G271" s="31"/>
      <c r="H271" s="31"/>
      <c r="J271" s="53"/>
    </row>
    <row r="272" spans="5:10">
      <c r="E272" s="31"/>
      <c r="F272" s="31"/>
      <c r="G272" s="31"/>
      <c r="H272" s="31"/>
      <c r="J272" s="53"/>
    </row>
    <row r="273" spans="5:10">
      <c r="E273" s="31"/>
      <c r="F273" s="31"/>
      <c r="G273" s="31"/>
      <c r="H273" s="31"/>
      <c r="J273" s="53"/>
    </row>
    <row r="274" spans="5:10">
      <c r="E274" s="31"/>
      <c r="F274" s="31"/>
      <c r="G274" s="31"/>
      <c r="H274" s="31"/>
      <c r="J274" s="53"/>
    </row>
    <row r="275" spans="5:10">
      <c r="E275" s="31"/>
      <c r="F275" s="31"/>
      <c r="G275" s="31"/>
      <c r="H275" s="31"/>
      <c r="J275" s="53"/>
    </row>
    <row r="276" spans="5:10">
      <c r="E276" s="31"/>
      <c r="F276" s="31"/>
      <c r="G276" s="31"/>
      <c r="H276" s="31"/>
      <c r="J276" s="53"/>
    </row>
    <row r="277" spans="5:10">
      <c r="E277" s="31"/>
      <c r="F277" s="31"/>
      <c r="G277" s="31"/>
      <c r="H277" s="31"/>
      <c r="J277" s="53"/>
    </row>
    <row r="278" spans="5:10">
      <c r="E278" s="31"/>
      <c r="F278" s="31"/>
      <c r="G278" s="31"/>
      <c r="H278" s="31"/>
      <c r="J278" s="53"/>
    </row>
    <row r="279" spans="5:10">
      <c r="E279" s="31"/>
      <c r="F279" s="31"/>
      <c r="G279" s="31"/>
      <c r="H279" s="31"/>
      <c r="J279" s="53"/>
    </row>
    <row r="280" spans="5:10">
      <c r="E280" s="31"/>
      <c r="F280" s="31"/>
      <c r="G280" s="31"/>
      <c r="H280" s="31"/>
      <c r="J280" s="53"/>
    </row>
    <row r="281" spans="5:10">
      <c r="E281" s="31"/>
      <c r="F281" s="31"/>
      <c r="G281" s="31"/>
      <c r="H281" s="31"/>
      <c r="J281" s="53"/>
    </row>
    <row r="282" spans="5:10">
      <c r="E282" s="31"/>
      <c r="F282" s="31"/>
      <c r="G282" s="31"/>
      <c r="H282" s="31"/>
      <c r="J282" s="53"/>
    </row>
    <row r="283" spans="5:10">
      <c r="E283" s="31"/>
      <c r="F283" s="31"/>
      <c r="G283" s="31"/>
      <c r="H283" s="31"/>
      <c r="J283" s="53"/>
    </row>
    <row r="284" spans="5:10">
      <c r="E284" s="31"/>
      <c r="F284" s="31"/>
      <c r="G284" s="31"/>
      <c r="H284" s="31"/>
      <c r="J284" s="53"/>
    </row>
    <row r="285" spans="5:10">
      <c r="E285" s="31"/>
      <c r="F285" s="31"/>
      <c r="G285" s="31"/>
      <c r="H285" s="31"/>
      <c r="J285" s="53"/>
    </row>
    <row r="286" spans="5:10">
      <c r="E286" s="31"/>
      <c r="F286" s="31"/>
      <c r="G286" s="31"/>
      <c r="H286" s="31"/>
      <c r="J286" s="53"/>
    </row>
    <row r="287" spans="5:10">
      <c r="E287" s="31"/>
      <c r="F287" s="31"/>
      <c r="G287" s="31"/>
      <c r="H287" s="31"/>
      <c r="J287" s="53"/>
    </row>
    <row r="288" spans="5:10">
      <c r="E288" s="31"/>
      <c r="F288" s="31"/>
      <c r="G288" s="31"/>
      <c r="H288" s="31"/>
      <c r="J288" s="53"/>
    </row>
    <row r="289" spans="5:10">
      <c r="E289" s="31"/>
      <c r="F289" s="31"/>
      <c r="G289" s="31"/>
      <c r="H289" s="31"/>
      <c r="J289" s="53"/>
    </row>
    <row r="290" spans="5:10">
      <c r="E290" s="31"/>
      <c r="F290" s="31"/>
      <c r="G290" s="31"/>
      <c r="H290" s="31"/>
      <c r="J290" s="53"/>
    </row>
    <row r="291" spans="5:10">
      <c r="E291" s="31"/>
      <c r="F291" s="31"/>
      <c r="G291" s="31"/>
      <c r="H291" s="31"/>
      <c r="J291" s="53"/>
    </row>
    <row r="292" spans="5:10">
      <c r="E292" s="31"/>
      <c r="F292" s="31"/>
      <c r="G292" s="31"/>
      <c r="H292" s="31"/>
      <c r="J292" s="53"/>
    </row>
    <row r="293" spans="5:10">
      <c r="E293" s="31"/>
      <c r="F293" s="31"/>
      <c r="G293" s="31"/>
      <c r="H293" s="31"/>
      <c r="J293" s="53"/>
    </row>
    <row r="294" spans="5:10">
      <c r="E294" s="31"/>
      <c r="F294" s="31"/>
      <c r="G294" s="31"/>
      <c r="H294" s="31"/>
      <c r="J294" s="53"/>
    </row>
    <row r="295" spans="5:10">
      <c r="E295" s="31"/>
      <c r="F295" s="31"/>
      <c r="G295" s="31"/>
      <c r="H295" s="31"/>
      <c r="J295" s="53"/>
    </row>
    <row r="296" spans="5:10">
      <c r="E296" s="31"/>
      <c r="F296" s="31"/>
      <c r="G296" s="31"/>
      <c r="H296" s="31"/>
      <c r="J296" s="53"/>
    </row>
    <row r="297" spans="5:10">
      <c r="E297" s="31"/>
      <c r="F297" s="31"/>
      <c r="G297" s="31"/>
      <c r="H297" s="31"/>
      <c r="J297" s="53"/>
    </row>
    <row r="298" spans="5:10">
      <c r="E298" s="31"/>
      <c r="F298" s="31"/>
      <c r="G298" s="31"/>
      <c r="H298" s="31"/>
      <c r="J298" s="53"/>
    </row>
    <row r="299" spans="5:10">
      <c r="E299" s="31"/>
      <c r="F299" s="31"/>
      <c r="G299" s="31"/>
      <c r="H299" s="31"/>
      <c r="J299" s="53"/>
    </row>
    <row r="300" spans="5:10">
      <c r="E300" s="31"/>
      <c r="F300" s="31"/>
      <c r="G300" s="31"/>
      <c r="H300" s="31"/>
      <c r="J300" s="53"/>
    </row>
    <row r="301" spans="5:10">
      <c r="E301" s="31"/>
      <c r="F301" s="31"/>
      <c r="G301" s="31"/>
      <c r="H301" s="31"/>
      <c r="J301" s="53"/>
    </row>
    <row r="302" spans="5:10">
      <c r="E302" s="31"/>
      <c r="F302" s="31"/>
      <c r="G302" s="31"/>
      <c r="H302" s="31"/>
      <c r="J302" s="53"/>
    </row>
    <row r="303" spans="5:10">
      <c r="E303" s="31"/>
      <c r="F303" s="31"/>
      <c r="G303" s="31"/>
      <c r="H303" s="31"/>
      <c r="J303" s="53"/>
    </row>
    <row r="304" spans="5:10">
      <c r="E304" s="31"/>
      <c r="F304" s="31"/>
      <c r="G304" s="31"/>
      <c r="H304" s="31"/>
      <c r="J304" s="53"/>
    </row>
    <row r="305" spans="5:10">
      <c r="E305" s="31"/>
      <c r="F305" s="31"/>
      <c r="G305" s="31"/>
      <c r="H305" s="31"/>
      <c r="J305" s="53"/>
    </row>
    <row r="306" spans="5:10">
      <c r="E306" s="31"/>
      <c r="F306" s="31"/>
      <c r="G306" s="31"/>
      <c r="H306" s="31"/>
      <c r="J306" s="53"/>
    </row>
    <row r="307" spans="5:10">
      <c r="E307" s="31"/>
      <c r="F307" s="31"/>
      <c r="G307" s="31"/>
      <c r="H307" s="31"/>
      <c r="J307" s="53"/>
    </row>
    <row r="308" spans="5:10">
      <c r="E308" s="31"/>
      <c r="F308" s="31"/>
      <c r="G308" s="31"/>
      <c r="H308" s="31"/>
      <c r="J308" s="53"/>
    </row>
    <row r="309" spans="5:10">
      <c r="E309" s="31"/>
      <c r="F309" s="31"/>
      <c r="G309" s="31"/>
      <c r="H309" s="31"/>
      <c r="J309" s="53"/>
    </row>
    <row r="310" spans="5:10">
      <c r="E310" s="31"/>
      <c r="F310" s="31"/>
      <c r="G310" s="31"/>
      <c r="H310" s="31"/>
      <c r="J310" s="53"/>
    </row>
    <row r="311" spans="5:10">
      <c r="E311" s="31"/>
      <c r="F311" s="31"/>
      <c r="G311" s="31"/>
      <c r="H311" s="31"/>
      <c r="J311" s="53"/>
    </row>
    <row r="312" spans="5:10">
      <c r="E312" s="31"/>
      <c r="F312" s="31"/>
      <c r="G312" s="31"/>
      <c r="H312" s="31"/>
      <c r="J312" s="53"/>
    </row>
    <row r="313" spans="5:10">
      <c r="E313" s="31"/>
      <c r="F313" s="31"/>
      <c r="G313" s="31"/>
      <c r="H313" s="31"/>
      <c r="J313" s="53"/>
    </row>
    <row r="314" spans="5:10">
      <c r="E314" s="31"/>
      <c r="F314" s="31"/>
      <c r="G314" s="31"/>
      <c r="H314" s="31"/>
      <c r="J314" s="53"/>
    </row>
    <row r="315" spans="5:10">
      <c r="E315" s="31"/>
      <c r="F315" s="31"/>
      <c r="G315" s="31"/>
      <c r="H315" s="31"/>
      <c r="J315" s="53"/>
    </row>
    <row r="316" spans="5:10">
      <c r="E316" s="31"/>
      <c r="F316" s="31"/>
      <c r="G316" s="31"/>
      <c r="H316" s="31"/>
      <c r="J316" s="53"/>
    </row>
    <row r="317" spans="5:10">
      <c r="E317" s="31"/>
      <c r="F317" s="31"/>
      <c r="G317" s="31"/>
      <c r="H317" s="31"/>
      <c r="J317" s="53"/>
    </row>
    <row r="318" spans="5:10">
      <c r="E318" s="31"/>
      <c r="F318" s="31"/>
      <c r="G318" s="31"/>
      <c r="H318" s="31"/>
      <c r="J318" s="53"/>
    </row>
    <row r="319" spans="5:10">
      <c r="E319" s="31"/>
      <c r="F319" s="31"/>
      <c r="G319" s="31"/>
      <c r="H319" s="31"/>
      <c r="J319" s="53"/>
    </row>
    <row r="320" spans="5:10">
      <c r="E320" s="31"/>
      <c r="F320" s="31"/>
      <c r="G320" s="31"/>
      <c r="H320" s="31"/>
      <c r="J320" s="53"/>
    </row>
    <row r="321" spans="5:10">
      <c r="E321" s="31"/>
      <c r="F321" s="31"/>
      <c r="G321" s="31"/>
      <c r="H321" s="31"/>
      <c r="J321" s="53"/>
    </row>
    <row r="322" spans="5:10">
      <c r="E322" s="31"/>
      <c r="F322" s="31"/>
      <c r="G322" s="31"/>
      <c r="H322" s="31"/>
      <c r="J322" s="53"/>
    </row>
    <row r="323" spans="5:10">
      <c r="E323" s="31"/>
      <c r="F323" s="31"/>
      <c r="G323" s="31"/>
      <c r="H323" s="31"/>
      <c r="J323" s="53"/>
    </row>
    <row r="324" spans="5:10">
      <c r="E324" s="31"/>
      <c r="F324" s="31"/>
      <c r="G324" s="31"/>
      <c r="H324" s="31"/>
      <c r="J324" s="53"/>
    </row>
    <row r="325" spans="5:10">
      <c r="E325" s="31"/>
      <c r="F325" s="31"/>
      <c r="G325" s="31"/>
      <c r="H325" s="31"/>
      <c r="J325" s="53"/>
    </row>
    <row r="326" spans="5:10">
      <c r="E326" s="31"/>
      <c r="F326" s="31"/>
      <c r="G326" s="31"/>
      <c r="H326" s="31"/>
      <c r="J326" s="53"/>
    </row>
    <row r="327" spans="5:10">
      <c r="E327" s="31"/>
      <c r="F327" s="31"/>
      <c r="G327" s="31"/>
      <c r="H327" s="31"/>
      <c r="J327" s="53"/>
    </row>
    <row r="328" spans="5:10">
      <c r="E328" s="31"/>
      <c r="F328" s="31"/>
      <c r="G328" s="31"/>
      <c r="H328" s="31"/>
      <c r="J328" s="53"/>
    </row>
    <row r="329" spans="5:10">
      <c r="E329" s="31"/>
      <c r="F329" s="31"/>
      <c r="G329" s="31"/>
      <c r="H329" s="31"/>
      <c r="J329" s="53"/>
    </row>
    <row r="330" spans="5:10">
      <c r="E330" s="31"/>
      <c r="F330" s="31"/>
      <c r="G330" s="31"/>
      <c r="H330" s="31"/>
      <c r="J330" s="53"/>
    </row>
    <row r="331" spans="5:10">
      <c r="E331" s="31"/>
      <c r="F331" s="31"/>
      <c r="G331" s="31"/>
      <c r="H331" s="31"/>
      <c r="J331" s="53"/>
    </row>
    <row r="332" spans="5:10">
      <c r="E332" s="31"/>
      <c r="F332" s="31"/>
      <c r="G332" s="31"/>
      <c r="H332" s="31"/>
      <c r="J332" s="53"/>
    </row>
    <row r="333" spans="5:10">
      <c r="E333" s="31"/>
      <c r="F333" s="31"/>
      <c r="G333" s="31"/>
      <c r="H333" s="31"/>
      <c r="J333" s="53"/>
    </row>
    <row r="334" spans="5:10">
      <c r="E334" s="31"/>
      <c r="F334" s="31"/>
      <c r="G334" s="31"/>
      <c r="H334" s="31"/>
      <c r="J334" s="53"/>
    </row>
    <row r="335" spans="5:10">
      <c r="E335" s="31"/>
      <c r="F335" s="31"/>
      <c r="G335" s="31"/>
      <c r="H335" s="31"/>
      <c r="J335" s="53"/>
    </row>
    <row r="336" spans="5:10">
      <c r="E336" s="31"/>
      <c r="F336" s="31"/>
      <c r="G336" s="31"/>
      <c r="H336" s="31"/>
      <c r="J336" s="53"/>
    </row>
    <row r="337" spans="5:10">
      <c r="E337" s="31"/>
      <c r="F337" s="31"/>
      <c r="G337" s="31"/>
      <c r="H337" s="31"/>
      <c r="J337" s="53"/>
    </row>
    <row r="338" spans="5:10">
      <c r="E338" s="31"/>
      <c r="F338" s="31"/>
      <c r="G338" s="31"/>
      <c r="H338" s="31"/>
      <c r="J338" s="53"/>
    </row>
    <row r="339" spans="5:10">
      <c r="E339" s="31"/>
      <c r="F339" s="31"/>
      <c r="G339" s="31"/>
      <c r="H339" s="31"/>
      <c r="J339" s="53"/>
    </row>
    <row r="340" spans="5:10">
      <c r="E340" s="31"/>
      <c r="F340" s="31"/>
      <c r="G340" s="31"/>
      <c r="H340" s="31"/>
      <c r="J340" s="53"/>
    </row>
    <row r="341" spans="5:10">
      <c r="E341" s="31"/>
      <c r="F341" s="31"/>
      <c r="G341" s="31"/>
      <c r="H341" s="31"/>
      <c r="J341" s="53"/>
    </row>
    <row r="342" spans="5:10">
      <c r="E342" s="31"/>
      <c r="F342" s="31"/>
      <c r="G342" s="31"/>
      <c r="H342" s="31"/>
      <c r="J342" s="53"/>
    </row>
    <row r="343" spans="5:10">
      <c r="E343" s="31"/>
      <c r="F343" s="31"/>
      <c r="G343" s="31"/>
      <c r="H343" s="31"/>
      <c r="J343" s="53"/>
    </row>
    <row r="344" spans="5:10">
      <c r="E344" s="31"/>
      <c r="F344" s="31"/>
      <c r="G344" s="31"/>
      <c r="H344" s="31"/>
      <c r="J344" s="53"/>
    </row>
    <row r="345" spans="5:10">
      <c r="E345" s="31"/>
      <c r="F345" s="31"/>
      <c r="G345" s="31"/>
      <c r="H345" s="31"/>
      <c r="J345" s="53"/>
    </row>
    <row r="346" spans="5:10">
      <c r="E346" s="31"/>
      <c r="F346" s="31"/>
      <c r="G346" s="31"/>
      <c r="H346" s="31"/>
      <c r="J346" s="53"/>
    </row>
    <row r="347" spans="5:10">
      <c r="E347" s="31"/>
      <c r="F347" s="31"/>
      <c r="G347" s="31"/>
      <c r="H347" s="31"/>
      <c r="J347" s="53"/>
    </row>
    <row r="348" spans="5:10">
      <c r="E348" s="31"/>
      <c r="F348" s="31"/>
      <c r="G348" s="31"/>
      <c r="H348" s="31"/>
      <c r="J348" s="53"/>
    </row>
    <row r="349" spans="5:10">
      <c r="E349" s="31"/>
      <c r="F349" s="31"/>
      <c r="G349" s="31"/>
      <c r="H349" s="31"/>
      <c r="J349" s="53"/>
    </row>
    <row r="350" spans="5:10">
      <c r="E350" s="31"/>
      <c r="F350" s="31"/>
      <c r="G350" s="31"/>
      <c r="H350" s="31"/>
      <c r="J350" s="53"/>
    </row>
    <row r="351" spans="5:10">
      <c r="E351" s="31"/>
      <c r="F351" s="31"/>
      <c r="G351" s="31"/>
      <c r="H351" s="31"/>
      <c r="J351" s="53"/>
    </row>
    <row r="352" spans="5:10">
      <c r="E352" s="31"/>
      <c r="F352" s="31"/>
      <c r="G352" s="31"/>
      <c r="H352" s="31"/>
      <c r="J352" s="53"/>
    </row>
    <row r="353" spans="5:10">
      <c r="E353" s="31"/>
      <c r="F353" s="31"/>
      <c r="G353" s="31"/>
      <c r="H353" s="31"/>
      <c r="J353" s="53"/>
    </row>
    <row r="354" spans="5:10">
      <c r="E354" s="31"/>
      <c r="F354" s="31"/>
      <c r="G354" s="31"/>
      <c r="H354" s="31"/>
      <c r="J354" s="53"/>
    </row>
    <row r="355" spans="5:10">
      <c r="E355" s="31"/>
      <c r="F355" s="31"/>
      <c r="G355" s="31"/>
      <c r="H355" s="31"/>
      <c r="J355" s="53"/>
    </row>
    <row r="356" spans="5:10">
      <c r="E356" s="31"/>
      <c r="F356" s="31"/>
      <c r="G356" s="31"/>
      <c r="H356" s="31"/>
      <c r="J356" s="53"/>
    </row>
    <row r="357" spans="5:10">
      <c r="E357" s="31"/>
      <c r="F357" s="31"/>
      <c r="G357" s="31"/>
      <c r="H357" s="31"/>
      <c r="J357" s="53"/>
    </row>
    <row r="358" spans="5:10">
      <c r="E358" s="31"/>
      <c r="F358" s="31"/>
      <c r="G358" s="31"/>
      <c r="H358" s="31"/>
      <c r="J358" s="53"/>
    </row>
    <row r="359" spans="5:10">
      <c r="E359" s="31"/>
      <c r="F359" s="31"/>
      <c r="G359" s="31"/>
      <c r="H359" s="31"/>
      <c r="J359" s="53"/>
    </row>
    <row r="360" spans="5:10">
      <c r="E360" s="31"/>
      <c r="F360" s="31"/>
      <c r="G360" s="31"/>
      <c r="H360" s="31"/>
      <c r="J360" s="53"/>
    </row>
    <row r="361" spans="5:10">
      <c r="E361" s="31"/>
      <c r="F361" s="31"/>
      <c r="G361" s="31"/>
      <c r="H361" s="31"/>
      <c r="J361" s="53"/>
    </row>
    <row r="362" spans="5:10">
      <c r="E362" s="31"/>
      <c r="F362" s="31"/>
      <c r="G362" s="31"/>
      <c r="H362" s="31"/>
      <c r="J362" s="53"/>
    </row>
    <row r="363" spans="5:10">
      <c r="E363" s="31"/>
      <c r="F363" s="31"/>
      <c r="G363" s="31"/>
      <c r="H363" s="31"/>
      <c r="J363" s="53"/>
    </row>
    <row r="364" spans="5:10">
      <c r="E364" s="31"/>
      <c r="F364" s="31"/>
      <c r="G364" s="31"/>
      <c r="H364" s="31"/>
      <c r="J364" s="53"/>
    </row>
    <row r="365" spans="5:10">
      <c r="E365" s="31"/>
      <c r="F365" s="31"/>
      <c r="G365" s="31"/>
      <c r="H365" s="31"/>
      <c r="J365" s="53"/>
    </row>
    <row r="366" spans="5:10">
      <c r="E366" s="31"/>
      <c r="F366" s="31"/>
      <c r="G366" s="31"/>
      <c r="H366" s="31"/>
      <c r="J366" s="53"/>
    </row>
    <row r="367" spans="5:10">
      <c r="E367" s="31"/>
      <c r="F367" s="31"/>
      <c r="G367" s="31"/>
      <c r="H367" s="31"/>
      <c r="J367" s="53"/>
    </row>
    <row r="368" spans="5:10">
      <c r="E368" s="31"/>
      <c r="F368" s="31"/>
      <c r="G368" s="31"/>
      <c r="H368" s="31"/>
      <c r="J368" s="53"/>
    </row>
    <row r="369" spans="5:10">
      <c r="E369" s="31"/>
      <c r="F369" s="31"/>
      <c r="G369" s="31"/>
      <c r="H369" s="31"/>
      <c r="J369" s="53"/>
    </row>
    <row r="370" spans="5:10">
      <c r="E370" s="31"/>
      <c r="F370" s="31"/>
      <c r="G370" s="31"/>
      <c r="H370" s="31"/>
      <c r="J370" s="53"/>
    </row>
    <row r="371" spans="5:10">
      <c r="E371" s="31"/>
      <c r="F371" s="31"/>
      <c r="G371" s="31"/>
      <c r="H371" s="31"/>
      <c r="J371" s="53"/>
    </row>
    <row r="372" spans="5:10">
      <c r="E372" s="31"/>
      <c r="F372" s="31"/>
      <c r="G372" s="31"/>
      <c r="H372" s="31"/>
      <c r="J372" s="53"/>
    </row>
    <row r="373" spans="5:10">
      <c r="E373" s="31"/>
      <c r="F373" s="31"/>
      <c r="G373" s="31"/>
      <c r="H373" s="31"/>
      <c r="J373" s="53"/>
    </row>
    <row r="374" spans="5:10">
      <c r="E374" s="31"/>
      <c r="F374" s="31"/>
      <c r="G374" s="31"/>
      <c r="H374" s="31"/>
      <c r="J374" s="53"/>
    </row>
    <row r="375" spans="5:10">
      <c r="E375" s="31"/>
      <c r="F375" s="31"/>
      <c r="G375" s="31"/>
      <c r="H375" s="31"/>
      <c r="J375" s="53"/>
    </row>
    <row r="376" spans="5:10">
      <c r="E376" s="31"/>
      <c r="F376" s="31"/>
      <c r="G376" s="31"/>
      <c r="H376" s="31"/>
      <c r="J376" s="53"/>
    </row>
    <row r="377" spans="5:10">
      <c r="E377" s="31"/>
      <c r="F377" s="31"/>
      <c r="G377" s="31"/>
      <c r="H377" s="31"/>
      <c r="J377" s="53"/>
    </row>
    <row r="378" spans="5:10">
      <c r="E378" s="31"/>
      <c r="F378" s="31"/>
      <c r="G378" s="31"/>
      <c r="H378" s="31"/>
      <c r="J378" s="53"/>
    </row>
    <row r="379" spans="5:10">
      <c r="E379" s="31"/>
      <c r="F379" s="31"/>
      <c r="G379" s="31"/>
      <c r="H379" s="31"/>
      <c r="J379" s="53"/>
    </row>
    <row r="380" spans="5:10">
      <c r="E380" s="31"/>
      <c r="F380" s="31"/>
      <c r="G380" s="31"/>
      <c r="H380" s="31"/>
      <c r="J380" s="53"/>
    </row>
    <row r="381" spans="5:10">
      <c r="E381" s="31"/>
      <c r="F381" s="31"/>
      <c r="G381" s="31"/>
      <c r="H381" s="31"/>
      <c r="J381" s="53"/>
    </row>
    <row r="382" spans="5:10">
      <c r="E382" s="31"/>
      <c r="F382" s="31"/>
      <c r="G382" s="31"/>
      <c r="H382" s="31"/>
      <c r="J382" s="53"/>
    </row>
    <row r="383" spans="5:10">
      <c r="E383" s="31"/>
      <c r="F383" s="31"/>
      <c r="G383" s="31"/>
      <c r="H383" s="31"/>
      <c r="J383" s="53"/>
    </row>
    <row r="384" spans="5:10">
      <c r="E384" s="31"/>
      <c r="F384" s="31"/>
      <c r="G384" s="31"/>
      <c r="H384" s="31"/>
      <c r="J384" s="53"/>
    </row>
    <row r="385" spans="5:10">
      <c r="E385" s="31"/>
      <c r="F385" s="31"/>
      <c r="G385" s="31"/>
      <c r="H385" s="31"/>
      <c r="J385" s="53"/>
    </row>
    <row r="386" spans="5:10">
      <c r="E386" s="31"/>
      <c r="F386" s="31"/>
      <c r="G386" s="31"/>
      <c r="H386" s="31"/>
      <c r="J386" s="53"/>
    </row>
    <row r="387" spans="5:10">
      <c r="E387" s="31"/>
      <c r="F387" s="31"/>
      <c r="G387" s="31"/>
      <c r="H387" s="31"/>
      <c r="J387" s="53"/>
    </row>
    <row r="388" spans="5:10">
      <c r="E388" s="31"/>
      <c r="F388" s="31"/>
      <c r="G388" s="31"/>
      <c r="H388" s="31"/>
      <c r="J388" s="53"/>
    </row>
    <row r="389" spans="5:10">
      <c r="E389" s="31"/>
      <c r="F389" s="31"/>
      <c r="G389" s="31"/>
      <c r="H389" s="31"/>
      <c r="J389" s="53"/>
    </row>
    <row r="390" spans="5:10">
      <c r="E390" s="31"/>
      <c r="F390" s="31"/>
      <c r="G390" s="31"/>
      <c r="H390" s="31"/>
      <c r="J390" s="53"/>
    </row>
    <row r="391" spans="5:10">
      <c r="E391" s="31"/>
      <c r="F391" s="31"/>
      <c r="G391" s="31"/>
      <c r="H391" s="31"/>
      <c r="J391" s="53"/>
    </row>
    <row r="392" spans="5:10">
      <c r="E392" s="31"/>
      <c r="F392" s="31"/>
      <c r="G392" s="31"/>
      <c r="H392" s="31"/>
      <c r="J392" s="53"/>
    </row>
    <row r="393" spans="5:10">
      <c r="E393" s="31"/>
      <c r="F393" s="31"/>
      <c r="G393" s="31"/>
      <c r="H393" s="31"/>
      <c r="J393" s="53"/>
    </row>
    <row r="394" spans="5:10">
      <c r="E394" s="31"/>
      <c r="F394" s="31"/>
      <c r="G394" s="31"/>
      <c r="H394" s="31"/>
      <c r="J394" s="53"/>
    </row>
    <row r="395" spans="5:10">
      <c r="E395" s="31"/>
      <c r="F395" s="31"/>
      <c r="G395" s="31"/>
      <c r="H395" s="31"/>
      <c r="J395" s="53"/>
    </row>
    <row r="396" spans="5:10">
      <c r="E396" s="31"/>
      <c r="F396" s="31"/>
      <c r="G396" s="31"/>
      <c r="H396" s="31"/>
      <c r="J396" s="53"/>
    </row>
    <row r="397" spans="5:10">
      <c r="E397" s="31"/>
      <c r="F397" s="31"/>
      <c r="G397" s="31"/>
      <c r="H397" s="31"/>
      <c r="J397" s="53"/>
    </row>
    <row r="398" spans="5:10">
      <c r="E398" s="31"/>
      <c r="F398" s="31"/>
      <c r="G398" s="31"/>
      <c r="H398" s="31"/>
      <c r="J398" s="53"/>
    </row>
    <row r="399" spans="5:10">
      <c r="E399" s="31"/>
      <c r="F399" s="31"/>
      <c r="G399" s="31"/>
      <c r="H399" s="31"/>
      <c r="J399" s="53"/>
    </row>
    <row r="400" spans="5:10">
      <c r="E400" s="31"/>
      <c r="F400" s="31"/>
      <c r="G400" s="31"/>
      <c r="H400" s="31"/>
      <c r="J400" s="53"/>
    </row>
    <row r="401" spans="5:10">
      <c r="E401" s="31"/>
      <c r="F401" s="31"/>
      <c r="G401" s="31"/>
      <c r="H401" s="31"/>
      <c r="J401" s="53"/>
    </row>
    <row r="402" spans="5:10">
      <c r="E402" s="31"/>
      <c r="F402" s="31"/>
      <c r="G402" s="31"/>
      <c r="H402" s="31"/>
      <c r="J402" s="53"/>
    </row>
    <row r="403" spans="5:10">
      <c r="E403" s="31"/>
      <c r="F403" s="31"/>
      <c r="G403" s="31"/>
      <c r="H403" s="31"/>
      <c r="J403" s="53"/>
    </row>
    <row r="404" spans="5:10">
      <c r="E404" s="31"/>
      <c r="F404" s="31"/>
      <c r="G404" s="31"/>
      <c r="H404" s="31"/>
      <c r="J404" s="53"/>
    </row>
    <row r="405" spans="5:10">
      <c r="E405" s="31"/>
      <c r="F405" s="31"/>
      <c r="G405" s="31"/>
      <c r="H405" s="31"/>
      <c r="J405" s="53"/>
    </row>
    <row r="406" spans="5:10">
      <c r="E406" s="31"/>
      <c r="F406" s="31"/>
      <c r="G406" s="31"/>
      <c r="H406" s="31"/>
      <c r="J406" s="53"/>
    </row>
    <row r="407" spans="5:10">
      <c r="E407" s="31"/>
      <c r="F407" s="31"/>
      <c r="G407" s="31"/>
      <c r="H407" s="31"/>
      <c r="J407" s="53"/>
    </row>
    <row r="408" spans="5:10">
      <c r="E408" s="31"/>
      <c r="F408" s="31"/>
      <c r="G408" s="31"/>
      <c r="H408" s="31"/>
      <c r="J408" s="53"/>
    </row>
    <row r="409" spans="5:10">
      <c r="E409" s="31"/>
      <c r="F409" s="31"/>
      <c r="G409" s="31"/>
      <c r="H409" s="31"/>
      <c r="J409" s="53"/>
    </row>
    <row r="410" spans="5:10">
      <c r="E410" s="31"/>
      <c r="F410" s="31"/>
      <c r="G410" s="31"/>
      <c r="H410" s="31"/>
      <c r="J410" s="53"/>
    </row>
    <row r="411" spans="5:10">
      <c r="E411" s="31"/>
      <c r="F411" s="31"/>
      <c r="G411" s="31"/>
      <c r="H411" s="31"/>
      <c r="J411" s="53"/>
    </row>
    <row r="412" spans="5:10">
      <c r="E412" s="31"/>
      <c r="F412" s="31"/>
      <c r="G412" s="31"/>
      <c r="H412" s="31"/>
      <c r="J412" s="53"/>
    </row>
    <row r="413" spans="5:10">
      <c r="E413" s="31"/>
      <c r="F413" s="31"/>
      <c r="G413" s="31"/>
      <c r="H413" s="31"/>
      <c r="J413" s="53"/>
    </row>
    <row r="414" spans="5:10">
      <c r="E414" s="31"/>
      <c r="F414" s="31"/>
      <c r="G414" s="31"/>
      <c r="H414" s="31"/>
      <c r="J414" s="53"/>
    </row>
    <row r="415" spans="5:10">
      <c r="E415" s="31"/>
      <c r="F415" s="31"/>
      <c r="G415" s="31"/>
      <c r="H415" s="31"/>
      <c r="J415" s="53"/>
    </row>
    <row r="416" spans="5:10">
      <c r="E416" s="31"/>
      <c r="F416" s="31"/>
      <c r="G416" s="31"/>
      <c r="H416" s="31"/>
      <c r="J416" s="53"/>
    </row>
    <row r="417" spans="5:10">
      <c r="E417" s="31"/>
      <c r="F417" s="31"/>
      <c r="G417" s="31"/>
      <c r="H417" s="31"/>
      <c r="J417" s="53"/>
    </row>
    <row r="418" spans="5:10">
      <c r="E418" s="31"/>
      <c r="F418" s="31"/>
      <c r="G418" s="31"/>
      <c r="H418" s="31"/>
      <c r="J418" s="53"/>
    </row>
    <row r="419" spans="5:10">
      <c r="E419" s="31"/>
      <c r="F419" s="31"/>
      <c r="G419" s="31"/>
      <c r="H419" s="31"/>
      <c r="J419" s="53"/>
    </row>
    <row r="420" spans="5:10">
      <c r="E420" s="31"/>
      <c r="F420" s="31"/>
      <c r="G420" s="31"/>
      <c r="H420" s="31"/>
      <c r="J420" s="53"/>
    </row>
    <row r="421" spans="5:10">
      <c r="E421" s="31"/>
      <c r="F421" s="31"/>
      <c r="G421" s="31"/>
      <c r="H421" s="31"/>
      <c r="J421" s="53"/>
    </row>
    <row r="422" spans="5:10">
      <c r="E422" s="31"/>
      <c r="F422" s="31"/>
      <c r="G422" s="31"/>
      <c r="H422" s="31"/>
      <c r="J422" s="53"/>
    </row>
    <row r="423" spans="5:10">
      <c r="E423" s="31"/>
      <c r="F423" s="31"/>
      <c r="G423" s="31"/>
      <c r="H423" s="31"/>
      <c r="J423" s="53"/>
    </row>
    <row r="424" spans="5:10">
      <c r="E424" s="31"/>
      <c r="F424" s="31"/>
      <c r="G424" s="31"/>
      <c r="H424" s="31"/>
      <c r="J424" s="53"/>
    </row>
    <row r="425" spans="5:10">
      <c r="E425" s="31"/>
      <c r="F425" s="31"/>
      <c r="G425" s="31"/>
      <c r="H425" s="31"/>
      <c r="J425" s="53"/>
    </row>
    <row r="426" spans="5:10">
      <c r="E426" s="31"/>
      <c r="F426" s="31"/>
      <c r="G426" s="31"/>
      <c r="H426" s="31"/>
      <c r="J426" s="53"/>
    </row>
    <row r="427" spans="5:10">
      <c r="E427" s="31"/>
      <c r="F427" s="31"/>
      <c r="G427" s="31"/>
      <c r="H427" s="31"/>
      <c r="J427" s="53"/>
    </row>
    <row r="428" spans="5:10">
      <c r="E428" s="31"/>
      <c r="F428" s="31"/>
      <c r="G428" s="31"/>
      <c r="H428" s="31"/>
      <c r="J428" s="53"/>
    </row>
    <row r="429" spans="5:10">
      <c r="E429" s="31"/>
      <c r="F429" s="31"/>
      <c r="G429" s="31"/>
      <c r="H429" s="31"/>
      <c r="J429" s="53"/>
    </row>
    <row r="430" spans="5:10">
      <c r="E430" s="31"/>
      <c r="F430" s="31"/>
      <c r="G430" s="31"/>
      <c r="H430" s="31"/>
      <c r="J430" s="53"/>
    </row>
    <row r="431" spans="5:10">
      <c r="E431" s="31"/>
      <c r="F431" s="31"/>
      <c r="G431" s="31"/>
      <c r="H431" s="31"/>
      <c r="J431" s="53"/>
    </row>
    <row r="432" spans="5:10">
      <c r="E432" s="31"/>
      <c r="F432" s="31"/>
      <c r="G432" s="31"/>
      <c r="H432" s="31"/>
      <c r="J432" s="53"/>
    </row>
    <row r="433" spans="5:10">
      <c r="E433" s="31"/>
      <c r="F433" s="31"/>
      <c r="G433" s="31"/>
      <c r="H433" s="31"/>
      <c r="J433" s="53"/>
    </row>
    <row r="434" spans="5:10">
      <c r="E434" s="31"/>
      <c r="F434" s="31"/>
      <c r="G434" s="31"/>
      <c r="H434" s="31"/>
      <c r="J434" s="53"/>
    </row>
    <row r="435" spans="5:10">
      <c r="E435" s="31"/>
      <c r="F435" s="31"/>
      <c r="G435" s="31"/>
      <c r="H435" s="31"/>
      <c r="J435" s="53"/>
    </row>
    <row r="436" spans="5:10">
      <c r="E436" s="31"/>
      <c r="F436" s="31"/>
      <c r="G436" s="31"/>
      <c r="H436" s="31"/>
      <c r="J436" s="53"/>
    </row>
    <row r="437" spans="5:10">
      <c r="E437" s="31"/>
      <c r="F437" s="31"/>
      <c r="G437" s="31"/>
      <c r="H437" s="31"/>
      <c r="J437" s="53"/>
    </row>
    <row r="438" spans="5:10">
      <c r="E438" s="31"/>
      <c r="F438" s="31"/>
      <c r="G438" s="31"/>
      <c r="H438" s="31"/>
      <c r="J438" s="53"/>
    </row>
    <row r="439" spans="5:10">
      <c r="E439" s="31"/>
      <c r="F439" s="31"/>
      <c r="G439" s="31"/>
      <c r="H439" s="31"/>
      <c r="J439" s="53"/>
    </row>
    <row r="440" spans="5:10">
      <c r="E440" s="31"/>
      <c r="F440" s="31"/>
      <c r="G440" s="31"/>
      <c r="H440" s="31"/>
      <c r="J440" s="53"/>
    </row>
    <row r="441" spans="5:10">
      <c r="E441" s="31"/>
      <c r="F441" s="31"/>
      <c r="G441" s="31"/>
      <c r="H441" s="31"/>
      <c r="J441" s="53"/>
    </row>
    <row r="442" spans="5:10">
      <c r="E442" s="31"/>
      <c r="F442" s="31"/>
      <c r="G442" s="31"/>
      <c r="H442" s="31"/>
      <c r="J442" s="53"/>
    </row>
    <row r="443" spans="5:10">
      <c r="E443" s="31"/>
      <c r="F443" s="31"/>
      <c r="G443" s="31"/>
      <c r="H443" s="31"/>
      <c r="J443" s="53"/>
    </row>
    <row r="444" spans="5:10">
      <c r="E444" s="31"/>
      <c r="F444" s="31"/>
      <c r="G444" s="31"/>
      <c r="H444" s="31"/>
      <c r="J444" s="53"/>
    </row>
    <row r="445" spans="5:10">
      <c r="E445" s="31"/>
      <c r="F445" s="31"/>
      <c r="G445" s="31"/>
      <c r="H445" s="31"/>
      <c r="J445" s="53"/>
    </row>
    <row r="446" spans="5:10">
      <c r="E446" s="31"/>
      <c r="F446" s="31"/>
      <c r="G446" s="31"/>
      <c r="H446" s="31"/>
      <c r="J446" s="53"/>
    </row>
    <row r="447" spans="5:10">
      <c r="E447" s="31"/>
      <c r="F447" s="31"/>
      <c r="G447" s="31"/>
      <c r="H447" s="31"/>
      <c r="J447" s="53"/>
    </row>
    <row r="448" spans="5:10">
      <c r="E448" s="31"/>
      <c r="F448" s="31"/>
      <c r="G448" s="31"/>
      <c r="H448" s="31"/>
      <c r="J448" s="53"/>
    </row>
    <row r="449" spans="5:10">
      <c r="E449" s="31"/>
      <c r="F449" s="31"/>
      <c r="G449" s="31"/>
      <c r="H449" s="31"/>
      <c r="J449" s="53"/>
    </row>
    <row r="450" spans="5:10">
      <c r="E450" s="31"/>
      <c r="F450" s="31"/>
      <c r="G450" s="31"/>
      <c r="H450" s="31"/>
      <c r="J450" s="53"/>
    </row>
    <row r="451" spans="5:10">
      <c r="E451" s="31"/>
      <c r="F451" s="31"/>
      <c r="G451" s="31"/>
      <c r="H451" s="31"/>
      <c r="J451" s="53"/>
    </row>
    <row r="452" spans="5:10">
      <c r="E452" s="31"/>
      <c r="F452" s="31"/>
      <c r="G452" s="31"/>
      <c r="H452" s="31"/>
      <c r="J452" s="53"/>
    </row>
    <row r="453" spans="5:10">
      <c r="E453" s="31"/>
      <c r="F453" s="31"/>
      <c r="G453" s="31"/>
      <c r="H453" s="31"/>
      <c r="J453" s="53"/>
    </row>
    <row r="454" spans="5:10">
      <c r="E454" s="31"/>
      <c r="F454" s="31"/>
      <c r="G454" s="31"/>
      <c r="H454" s="31"/>
      <c r="J454" s="53"/>
    </row>
    <row r="455" spans="5:10">
      <c r="E455" s="31"/>
      <c r="F455" s="31"/>
      <c r="G455" s="31"/>
      <c r="H455" s="31"/>
      <c r="J455" s="53"/>
    </row>
    <row r="456" spans="5:10">
      <c r="E456" s="31"/>
      <c r="F456" s="31"/>
      <c r="G456" s="31"/>
      <c r="H456" s="31"/>
      <c r="J456" s="53"/>
    </row>
    <row r="457" spans="5:10">
      <c r="E457" s="31"/>
      <c r="F457" s="31"/>
      <c r="G457" s="31"/>
      <c r="H457" s="31"/>
      <c r="J457" s="53"/>
    </row>
    <row r="458" spans="5:10">
      <c r="E458" s="31"/>
      <c r="F458" s="31"/>
      <c r="G458" s="31"/>
      <c r="H458" s="31"/>
      <c r="J458" s="53"/>
    </row>
    <row r="459" spans="5:10">
      <c r="E459" s="31"/>
      <c r="F459" s="31"/>
      <c r="G459" s="31"/>
      <c r="H459" s="31"/>
      <c r="J459" s="53"/>
    </row>
    <row r="460" spans="5:10">
      <c r="E460" s="31"/>
      <c r="F460" s="31"/>
      <c r="G460" s="31"/>
      <c r="H460" s="31"/>
      <c r="J460" s="53"/>
    </row>
    <row r="461" spans="5:10">
      <c r="E461" s="31"/>
      <c r="F461" s="31"/>
      <c r="G461" s="31"/>
      <c r="H461" s="31"/>
      <c r="J461" s="53"/>
    </row>
    <row r="462" spans="5:10">
      <c r="E462" s="31"/>
      <c r="F462" s="31"/>
      <c r="G462" s="31"/>
      <c r="H462" s="31"/>
      <c r="J462" s="53"/>
    </row>
    <row r="463" spans="5:10">
      <c r="E463" s="31"/>
      <c r="F463" s="31"/>
      <c r="G463" s="31"/>
      <c r="H463" s="31"/>
      <c r="J463" s="53"/>
    </row>
    <row r="464" spans="5:10">
      <c r="E464" s="31"/>
      <c r="F464" s="31"/>
      <c r="G464" s="31"/>
      <c r="H464" s="31"/>
      <c r="J464" s="53"/>
    </row>
    <row r="465" spans="5:10">
      <c r="E465" s="31"/>
      <c r="F465" s="31"/>
      <c r="G465" s="31"/>
      <c r="H465" s="31"/>
      <c r="J465" s="53"/>
    </row>
    <row r="466" spans="5:10">
      <c r="E466" s="31"/>
      <c r="F466" s="31"/>
      <c r="G466" s="31"/>
      <c r="H466" s="31"/>
      <c r="J466" s="53"/>
    </row>
    <row r="467" spans="5:10">
      <c r="E467" s="31"/>
      <c r="F467" s="31"/>
      <c r="G467" s="31"/>
      <c r="H467" s="31"/>
      <c r="J467" s="53"/>
    </row>
    <row r="468" spans="5:10">
      <c r="E468" s="31"/>
      <c r="F468" s="31"/>
      <c r="G468" s="31"/>
      <c r="H468" s="31"/>
      <c r="J468" s="53"/>
    </row>
    <row r="469" spans="5:10">
      <c r="E469" s="31"/>
      <c r="F469" s="31"/>
      <c r="G469" s="31"/>
      <c r="H469" s="31"/>
      <c r="J469" s="53"/>
    </row>
    <row r="470" spans="5:10">
      <c r="E470" s="31"/>
      <c r="F470" s="31"/>
      <c r="G470" s="31"/>
      <c r="H470" s="31"/>
      <c r="J470" s="53"/>
    </row>
    <row r="471" spans="5:10">
      <c r="E471" s="31"/>
      <c r="F471" s="31"/>
      <c r="G471" s="31"/>
      <c r="H471" s="31"/>
      <c r="J471" s="53"/>
    </row>
    <row r="472" spans="5:10">
      <c r="E472" s="31"/>
      <c r="F472" s="31"/>
      <c r="G472" s="31"/>
      <c r="H472" s="31"/>
      <c r="J472" s="53"/>
    </row>
    <row r="473" spans="5:10">
      <c r="E473" s="31"/>
      <c r="F473" s="31"/>
      <c r="G473" s="31"/>
      <c r="H473" s="31"/>
      <c r="J473" s="53"/>
    </row>
    <row r="474" spans="5:10">
      <c r="E474" s="31"/>
      <c r="F474" s="31"/>
      <c r="G474" s="31"/>
      <c r="H474" s="31"/>
      <c r="J474" s="53"/>
    </row>
    <row r="475" spans="5:10">
      <c r="E475" s="31"/>
      <c r="F475" s="31"/>
      <c r="G475" s="31"/>
      <c r="H475" s="31"/>
      <c r="J475" s="53"/>
    </row>
    <row r="476" spans="5:10">
      <c r="E476" s="31"/>
      <c r="F476" s="31"/>
      <c r="G476" s="31"/>
      <c r="H476" s="31"/>
      <c r="J476" s="53"/>
    </row>
    <row r="477" spans="5:10">
      <c r="E477" s="31"/>
      <c r="F477" s="31"/>
      <c r="G477" s="31"/>
      <c r="H477" s="31"/>
      <c r="J477" s="53"/>
    </row>
    <row r="478" spans="5:10">
      <c r="E478" s="31"/>
      <c r="F478" s="31"/>
      <c r="G478" s="31"/>
      <c r="H478" s="31"/>
      <c r="J478" s="53"/>
    </row>
    <row r="479" spans="5:10">
      <c r="E479" s="31"/>
      <c r="F479" s="31"/>
      <c r="G479" s="31"/>
      <c r="H479" s="31"/>
      <c r="J479" s="53"/>
    </row>
    <row r="480" spans="5:10">
      <c r="E480" s="31"/>
      <c r="F480" s="31"/>
      <c r="G480" s="31"/>
      <c r="H480" s="31"/>
      <c r="J480" s="53"/>
    </row>
    <row r="481" spans="5:10">
      <c r="E481" s="31"/>
      <c r="F481" s="31"/>
      <c r="G481" s="31"/>
      <c r="H481" s="31"/>
      <c r="J481" s="53"/>
    </row>
    <row r="482" spans="5:10">
      <c r="E482" s="31"/>
      <c r="F482" s="31"/>
      <c r="G482" s="31"/>
      <c r="H482" s="31"/>
      <c r="J482" s="53"/>
    </row>
    <row r="483" spans="5:10">
      <c r="E483" s="31"/>
      <c r="F483" s="31"/>
      <c r="G483" s="31"/>
      <c r="H483" s="31"/>
      <c r="J483" s="53"/>
    </row>
    <row r="484" spans="5:10">
      <c r="E484" s="31"/>
      <c r="F484" s="31"/>
      <c r="G484" s="31"/>
      <c r="H484" s="31"/>
      <c r="J484" s="53"/>
    </row>
    <row r="485" spans="5:10">
      <c r="E485" s="31"/>
      <c r="F485" s="31"/>
      <c r="G485" s="31"/>
      <c r="H485" s="31"/>
      <c r="J485" s="53"/>
    </row>
    <row r="486" spans="5:10">
      <c r="E486" s="31"/>
      <c r="F486" s="31"/>
      <c r="G486" s="31"/>
      <c r="H486" s="31"/>
      <c r="J486" s="53"/>
    </row>
    <row r="487" spans="5:10">
      <c r="E487" s="31"/>
      <c r="F487" s="31"/>
      <c r="G487" s="31"/>
      <c r="H487" s="31"/>
      <c r="J487" s="53"/>
    </row>
    <row r="488" spans="5:10">
      <c r="E488" s="31"/>
      <c r="F488" s="31"/>
      <c r="G488" s="31"/>
      <c r="H488" s="31"/>
      <c r="J488" s="53"/>
    </row>
    <row r="489" spans="5:10">
      <c r="E489" s="31"/>
      <c r="F489" s="31"/>
      <c r="G489" s="31"/>
      <c r="H489" s="31"/>
      <c r="J489" s="53"/>
    </row>
    <row r="490" spans="5:10">
      <c r="E490" s="31"/>
      <c r="F490" s="31"/>
      <c r="G490" s="31"/>
      <c r="H490" s="31"/>
      <c r="J490" s="53"/>
    </row>
    <row r="491" spans="5:10">
      <c r="E491" s="31"/>
      <c r="F491" s="31"/>
      <c r="G491" s="31"/>
      <c r="H491" s="31"/>
      <c r="J491" s="53"/>
    </row>
    <row r="492" spans="5:10">
      <c r="E492" s="31"/>
      <c r="F492" s="31"/>
      <c r="G492" s="31"/>
      <c r="H492" s="31"/>
      <c r="J492" s="53"/>
    </row>
    <row r="493" spans="5:10">
      <c r="E493" s="31"/>
      <c r="F493" s="31"/>
      <c r="G493" s="31"/>
      <c r="H493" s="31"/>
      <c r="J493" s="53"/>
    </row>
    <row r="494" spans="5:10">
      <c r="E494" s="31"/>
      <c r="F494" s="31"/>
      <c r="G494" s="31"/>
      <c r="H494" s="31"/>
      <c r="J494" s="53"/>
    </row>
    <row r="495" spans="5:10">
      <c r="E495" s="31"/>
      <c r="F495" s="31"/>
      <c r="G495" s="31"/>
      <c r="H495" s="31"/>
      <c r="J495" s="53"/>
    </row>
    <row r="496" spans="5:10">
      <c r="E496" s="31"/>
      <c r="F496" s="31"/>
      <c r="G496" s="31"/>
      <c r="H496" s="31"/>
      <c r="J496" s="53"/>
    </row>
    <row r="497" spans="5:10">
      <c r="E497" s="31"/>
      <c r="F497" s="31"/>
      <c r="G497" s="31"/>
      <c r="H497" s="31"/>
      <c r="J497" s="53"/>
    </row>
    <row r="498" spans="5:10">
      <c r="E498" s="31"/>
      <c r="F498" s="31"/>
      <c r="G498" s="31"/>
      <c r="H498" s="31"/>
      <c r="J498" s="53"/>
    </row>
    <row r="499" spans="5:10">
      <c r="E499" s="31"/>
      <c r="F499" s="31"/>
      <c r="G499" s="31"/>
      <c r="H499" s="31"/>
      <c r="J499" s="53"/>
    </row>
    <row r="500" spans="5:10">
      <c r="E500" s="31"/>
      <c r="F500" s="31"/>
      <c r="G500" s="31"/>
      <c r="H500" s="31"/>
      <c r="J500" s="53"/>
    </row>
    <row r="501" spans="5:10">
      <c r="E501" s="31"/>
      <c r="F501" s="31"/>
      <c r="G501" s="31"/>
      <c r="H501" s="31"/>
      <c r="J501" s="53"/>
    </row>
    <row r="502" spans="5:10">
      <c r="E502" s="31"/>
      <c r="F502" s="31"/>
      <c r="G502" s="31"/>
      <c r="H502" s="31"/>
      <c r="J502" s="53"/>
    </row>
    <row r="503" spans="5:10">
      <c r="E503" s="31"/>
      <c r="F503" s="31"/>
      <c r="G503" s="31"/>
      <c r="H503" s="31"/>
      <c r="J503" s="53"/>
    </row>
    <row r="504" spans="5:10">
      <c r="E504" s="31"/>
      <c r="F504" s="31"/>
      <c r="G504" s="31"/>
      <c r="H504" s="31"/>
      <c r="J504" s="53"/>
    </row>
    <row r="505" spans="5:10">
      <c r="E505" s="31"/>
      <c r="F505" s="31"/>
      <c r="G505" s="31"/>
      <c r="H505" s="31"/>
      <c r="J505" s="53"/>
    </row>
    <row r="506" spans="5:10">
      <c r="E506" s="31"/>
      <c r="F506" s="31"/>
      <c r="G506" s="31"/>
      <c r="H506" s="31"/>
      <c r="J506" s="53"/>
    </row>
    <row r="507" spans="5:10">
      <c r="E507" s="31"/>
      <c r="F507" s="31"/>
      <c r="G507" s="31"/>
      <c r="H507" s="31"/>
      <c r="J507" s="53"/>
    </row>
    <row r="508" spans="5:10">
      <c r="E508" s="31"/>
      <c r="F508" s="31"/>
      <c r="G508" s="31"/>
      <c r="H508" s="31"/>
      <c r="J508" s="53"/>
    </row>
    <row r="509" spans="5:10">
      <c r="E509" s="31"/>
      <c r="F509" s="31"/>
      <c r="G509" s="31"/>
      <c r="H509" s="31"/>
      <c r="J509" s="53"/>
    </row>
    <row r="510" spans="5:10">
      <c r="E510" s="31"/>
      <c r="F510" s="31"/>
      <c r="G510" s="31"/>
      <c r="H510" s="31"/>
      <c r="J510" s="53"/>
    </row>
    <row r="511" spans="5:10">
      <c r="E511" s="31"/>
      <c r="F511" s="31"/>
      <c r="G511" s="31"/>
      <c r="H511" s="31"/>
      <c r="J511" s="53"/>
    </row>
    <row r="512" spans="5:10">
      <c r="E512" s="31"/>
      <c r="F512" s="31"/>
      <c r="G512" s="31"/>
      <c r="H512" s="31"/>
      <c r="J512" s="53"/>
    </row>
    <row r="513" spans="5:10">
      <c r="E513" s="31"/>
      <c r="F513" s="31"/>
      <c r="G513" s="31"/>
      <c r="H513" s="31"/>
      <c r="J513" s="53"/>
    </row>
    <row r="514" spans="5:10">
      <c r="E514" s="31"/>
      <c r="F514" s="31"/>
      <c r="G514" s="31"/>
      <c r="H514" s="31"/>
      <c r="J514" s="53"/>
    </row>
    <row r="515" spans="5:10">
      <c r="E515" s="31"/>
      <c r="F515" s="31"/>
      <c r="G515" s="31"/>
      <c r="H515" s="31"/>
      <c r="J515" s="53"/>
    </row>
    <row r="516" spans="5:10">
      <c r="E516" s="31"/>
      <c r="F516" s="31"/>
      <c r="G516" s="31"/>
      <c r="H516" s="31"/>
      <c r="J516" s="53"/>
    </row>
    <row r="517" spans="5:10">
      <c r="E517" s="31"/>
      <c r="F517" s="31"/>
      <c r="G517" s="31"/>
      <c r="H517" s="31"/>
      <c r="J517" s="53"/>
    </row>
    <row r="518" spans="5:10">
      <c r="E518" s="31"/>
      <c r="F518" s="31"/>
      <c r="G518" s="31"/>
      <c r="H518" s="31"/>
      <c r="J518" s="53"/>
    </row>
    <row r="519" spans="5:10">
      <c r="E519" s="31"/>
      <c r="F519" s="31"/>
      <c r="G519" s="31"/>
      <c r="H519" s="31"/>
      <c r="J519" s="53"/>
    </row>
    <row r="520" spans="5:10">
      <c r="E520" s="31"/>
      <c r="F520" s="31"/>
      <c r="G520" s="31"/>
      <c r="H520" s="31"/>
      <c r="J520" s="53"/>
    </row>
    <row r="521" spans="5:10">
      <c r="E521" s="31"/>
      <c r="F521" s="31"/>
      <c r="G521" s="31"/>
      <c r="H521" s="31"/>
      <c r="J521" s="53"/>
    </row>
    <row r="522" spans="5:10">
      <c r="E522" s="31"/>
      <c r="F522" s="31"/>
      <c r="G522" s="31"/>
      <c r="H522" s="31"/>
      <c r="J522" s="53"/>
    </row>
    <row r="523" spans="5:10">
      <c r="E523" s="31"/>
      <c r="F523" s="31"/>
      <c r="G523" s="31"/>
      <c r="H523" s="31"/>
      <c r="J523" s="53"/>
    </row>
    <row r="524" spans="5:10">
      <c r="E524" s="31"/>
      <c r="F524" s="31"/>
      <c r="G524" s="31"/>
      <c r="H524" s="31"/>
      <c r="J524" s="53"/>
    </row>
    <row r="525" spans="5:10">
      <c r="E525" s="31"/>
      <c r="F525" s="31"/>
      <c r="G525" s="31"/>
      <c r="H525" s="31"/>
      <c r="J525" s="53"/>
    </row>
    <row r="526" spans="5:10">
      <c r="E526" s="31"/>
      <c r="F526" s="31"/>
      <c r="G526" s="31"/>
      <c r="H526" s="31"/>
      <c r="J526" s="53"/>
    </row>
    <row r="527" spans="5:10">
      <c r="E527" s="31"/>
      <c r="F527" s="31"/>
      <c r="G527" s="31"/>
      <c r="H527" s="31"/>
      <c r="J527" s="53"/>
    </row>
    <row r="528" spans="5:10">
      <c r="E528" s="31"/>
      <c r="F528" s="31"/>
      <c r="G528" s="31"/>
      <c r="H528" s="31"/>
      <c r="J528" s="53"/>
    </row>
    <row r="529" spans="5:10">
      <c r="E529" s="31"/>
      <c r="F529" s="31"/>
      <c r="G529" s="31"/>
      <c r="H529" s="31"/>
      <c r="J529" s="53"/>
    </row>
    <row r="530" spans="5:10">
      <c r="E530" s="31"/>
      <c r="F530" s="31"/>
      <c r="G530" s="31"/>
      <c r="H530" s="31"/>
      <c r="J530" s="53"/>
    </row>
    <row r="531" spans="5:10">
      <c r="E531" s="31"/>
      <c r="F531" s="31"/>
      <c r="G531" s="31"/>
      <c r="H531" s="31"/>
      <c r="J531" s="53"/>
    </row>
    <row r="532" spans="5:10">
      <c r="E532" s="31"/>
      <c r="F532" s="31"/>
      <c r="G532" s="31"/>
      <c r="H532" s="31"/>
      <c r="J532" s="53"/>
    </row>
    <row r="533" spans="5:10">
      <c r="E533" s="31"/>
      <c r="F533" s="31"/>
      <c r="G533" s="31"/>
      <c r="H533" s="31"/>
      <c r="J533" s="53"/>
    </row>
    <row r="534" spans="5:10">
      <c r="E534" s="31"/>
      <c r="F534" s="31"/>
      <c r="G534" s="31"/>
      <c r="H534" s="31"/>
      <c r="J534" s="53"/>
    </row>
    <row r="535" spans="5:10">
      <c r="E535" s="31"/>
      <c r="F535" s="31"/>
      <c r="G535" s="31"/>
      <c r="H535" s="31"/>
      <c r="J535" s="53"/>
    </row>
    <row r="536" spans="5:10">
      <c r="E536" s="31"/>
      <c r="F536" s="31"/>
      <c r="G536" s="31"/>
      <c r="H536" s="31"/>
      <c r="J536" s="53"/>
    </row>
    <row r="537" spans="5:10">
      <c r="E537" s="31"/>
      <c r="F537" s="31"/>
      <c r="G537" s="31"/>
      <c r="H537" s="31"/>
      <c r="J537" s="53"/>
    </row>
    <row r="538" spans="5:10">
      <c r="E538" s="31"/>
      <c r="F538" s="31"/>
      <c r="G538" s="31"/>
      <c r="H538" s="31"/>
      <c r="J538" s="53"/>
    </row>
    <row r="539" spans="5:10">
      <c r="E539" s="31"/>
      <c r="F539" s="31"/>
      <c r="G539" s="31"/>
      <c r="H539" s="31"/>
      <c r="J539" s="53"/>
    </row>
    <row r="540" spans="5:10">
      <c r="E540" s="31"/>
      <c r="F540" s="31"/>
      <c r="G540" s="31"/>
      <c r="H540" s="31"/>
      <c r="J540" s="53"/>
    </row>
    <row r="541" spans="5:10">
      <c r="E541" s="31"/>
      <c r="F541" s="31"/>
      <c r="G541" s="31"/>
      <c r="H541" s="31"/>
      <c r="J541" s="53"/>
    </row>
    <row r="542" spans="5:10">
      <c r="E542" s="31"/>
      <c r="F542" s="31"/>
      <c r="G542" s="31"/>
      <c r="H542" s="31"/>
      <c r="J542" s="53"/>
    </row>
    <row r="543" spans="5:10">
      <c r="E543" s="31"/>
      <c r="F543" s="31"/>
      <c r="G543" s="31"/>
      <c r="H543" s="31"/>
      <c r="J543" s="53"/>
    </row>
    <row r="544" spans="5:10">
      <c r="E544" s="31"/>
      <c r="F544" s="31"/>
      <c r="G544" s="31"/>
      <c r="H544" s="31"/>
      <c r="J544" s="53"/>
    </row>
    <row r="545" spans="5:10">
      <c r="E545" s="31"/>
      <c r="F545" s="31"/>
      <c r="G545" s="31"/>
      <c r="H545" s="31"/>
      <c r="J545" s="53"/>
    </row>
    <row r="546" spans="5:10">
      <c r="E546" s="31"/>
      <c r="F546" s="31"/>
      <c r="G546" s="31"/>
      <c r="H546" s="31"/>
      <c r="J546" s="53"/>
    </row>
    <row r="547" spans="5:10">
      <c r="E547" s="31"/>
      <c r="F547" s="31"/>
      <c r="G547" s="31"/>
      <c r="H547" s="31"/>
      <c r="J547" s="53"/>
    </row>
    <row r="548" spans="5:10">
      <c r="E548" s="31"/>
      <c r="F548" s="31"/>
      <c r="G548" s="31"/>
      <c r="H548" s="31"/>
      <c r="J548" s="53"/>
    </row>
    <row r="549" spans="5:10">
      <c r="E549" s="31"/>
      <c r="F549" s="31"/>
      <c r="G549" s="31"/>
      <c r="H549" s="31"/>
      <c r="J549" s="53"/>
    </row>
    <row r="550" spans="5:10">
      <c r="E550" s="31"/>
      <c r="F550" s="31"/>
      <c r="G550" s="31"/>
      <c r="H550" s="31"/>
      <c r="J550" s="53"/>
    </row>
    <row r="551" spans="5:10">
      <c r="E551" s="31"/>
      <c r="F551" s="31"/>
      <c r="G551" s="31"/>
      <c r="H551" s="31"/>
      <c r="J551" s="53"/>
    </row>
    <row r="552" spans="5:10">
      <c r="E552" s="31"/>
      <c r="F552" s="31"/>
      <c r="G552" s="31"/>
      <c r="H552" s="31"/>
      <c r="J552" s="53"/>
    </row>
    <row r="553" spans="5:10">
      <c r="E553" s="31"/>
      <c r="F553" s="31"/>
      <c r="G553" s="31"/>
      <c r="H553" s="31"/>
      <c r="J553" s="53"/>
    </row>
    <row r="554" spans="5:10">
      <c r="E554" s="31"/>
      <c r="F554" s="31"/>
      <c r="G554" s="31"/>
      <c r="H554" s="31"/>
      <c r="J554" s="53"/>
    </row>
    <row r="555" spans="5:10">
      <c r="E555" s="31"/>
      <c r="F555" s="31"/>
      <c r="G555" s="31"/>
      <c r="H555" s="31"/>
      <c r="J555" s="53"/>
    </row>
    <row r="556" spans="5:10">
      <c r="E556" s="31"/>
      <c r="F556" s="31"/>
      <c r="G556" s="31"/>
      <c r="H556" s="31"/>
      <c r="J556" s="53"/>
    </row>
    <row r="557" spans="5:10">
      <c r="E557" s="31"/>
      <c r="F557" s="31"/>
      <c r="G557" s="31"/>
      <c r="H557" s="31"/>
      <c r="J557" s="53"/>
    </row>
    <row r="558" spans="5:10">
      <c r="E558" s="31"/>
      <c r="F558" s="31"/>
      <c r="G558" s="31"/>
      <c r="H558" s="31"/>
      <c r="J558" s="53"/>
    </row>
    <row r="559" spans="5:10">
      <c r="E559" s="31"/>
      <c r="F559" s="31"/>
      <c r="G559" s="31"/>
      <c r="H559" s="31"/>
      <c r="J559" s="53"/>
    </row>
    <row r="560" spans="5:10">
      <c r="E560" s="31"/>
      <c r="F560" s="31"/>
      <c r="G560" s="31"/>
      <c r="H560" s="31"/>
      <c r="J560" s="53"/>
    </row>
    <row r="561" spans="5:10">
      <c r="E561" s="31"/>
      <c r="F561" s="31"/>
      <c r="G561" s="31"/>
      <c r="H561" s="31"/>
      <c r="J561" s="53"/>
    </row>
    <row r="562" spans="5:10">
      <c r="E562" s="31"/>
      <c r="F562" s="31"/>
      <c r="G562" s="31"/>
      <c r="H562" s="31"/>
      <c r="J562" s="53"/>
    </row>
    <row r="563" spans="5:10">
      <c r="E563" s="31"/>
      <c r="F563" s="31"/>
      <c r="G563" s="31"/>
      <c r="H563" s="31"/>
      <c r="J563" s="53"/>
    </row>
    <row r="564" spans="5:10">
      <c r="E564" s="31"/>
      <c r="F564" s="31"/>
      <c r="G564" s="31"/>
      <c r="H564" s="31"/>
      <c r="J564" s="53"/>
    </row>
    <row r="565" spans="5:10">
      <c r="E565" s="31"/>
      <c r="F565" s="31"/>
      <c r="G565" s="31"/>
      <c r="H565" s="31"/>
      <c r="J565" s="53"/>
    </row>
    <row r="566" spans="5:10">
      <c r="E566" s="31"/>
      <c r="F566" s="31"/>
      <c r="G566" s="31"/>
      <c r="H566" s="31"/>
      <c r="J566" s="53"/>
    </row>
    <row r="567" spans="5:10">
      <c r="E567" s="31"/>
      <c r="F567" s="31"/>
      <c r="G567" s="31"/>
      <c r="H567" s="31"/>
      <c r="J567" s="53"/>
    </row>
    <row r="568" spans="5:10">
      <c r="E568" s="31"/>
      <c r="F568" s="31"/>
      <c r="G568" s="31"/>
      <c r="H568" s="31"/>
      <c r="J568" s="53"/>
    </row>
    <row r="569" spans="5:10">
      <c r="E569" s="31"/>
      <c r="F569" s="31"/>
      <c r="G569" s="31"/>
      <c r="H569" s="31"/>
      <c r="J569" s="53"/>
    </row>
    <row r="570" spans="5:10">
      <c r="E570" s="31"/>
      <c r="F570" s="31"/>
      <c r="G570" s="31"/>
      <c r="H570" s="31"/>
      <c r="J570" s="53"/>
    </row>
    <row r="571" spans="5:10">
      <c r="E571" s="31"/>
      <c r="F571" s="31"/>
      <c r="G571" s="31"/>
      <c r="H571" s="31"/>
      <c r="J571" s="53"/>
    </row>
    <row r="572" spans="5:10">
      <c r="E572" s="31"/>
      <c r="F572" s="31"/>
      <c r="G572" s="31"/>
      <c r="H572" s="31"/>
      <c r="J572" s="53"/>
    </row>
    <row r="573" spans="5:10">
      <c r="E573" s="31"/>
      <c r="F573" s="31"/>
      <c r="G573" s="31"/>
      <c r="H573" s="31"/>
      <c r="J573" s="53"/>
    </row>
    <row r="574" spans="5:10">
      <c r="E574" s="31"/>
      <c r="F574" s="31"/>
      <c r="G574" s="31"/>
      <c r="H574" s="31"/>
      <c r="J574" s="53"/>
    </row>
    <row r="575" spans="5:10">
      <c r="E575" s="31"/>
      <c r="F575" s="31"/>
      <c r="G575" s="31"/>
      <c r="H575" s="31"/>
      <c r="J575" s="53"/>
    </row>
    <row r="576" spans="5:10">
      <c r="E576" s="31"/>
      <c r="F576" s="31"/>
      <c r="G576" s="31"/>
      <c r="H576" s="31"/>
      <c r="J576" s="53"/>
    </row>
    <row r="577" spans="5:10">
      <c r="E577" s="31"/>
      <c r="F577" s="31"/>
      <c r="G577" s="31"/>
      <c r="H577" s="31"/>
      <c r="J577" s="53"/>
    </row>
    <row r="578" spans="5:10">
      <c r="E578" s="31"/>
      <c r="F578" s="31"/>
      <c r="G578" s="31"/>
      <c r="H578" s="31"/>
      <c r="J578" s="53"/>
    </row>
    <row r="579" spans="5:10">
      <c r="E579" s="31"/>
      <c r="F579" s="31"/>
      <c r="G579" s="31"/>
      <c r="H579" s="31"/>
      <c r="J579" s="53"/>
    </row>
    <row r="580" spans="5:10">
      <c r="E580" s="31"/>
      <c r="F580" s="31"/>
      <c r="G580" s="31"/>
      <c r="H580" s="31"/>
      <c r="J580" s="53"/>
    </row>
    <row r="581" spans="5:10">
      <c r="E581" s="31"/>
      <c r="F581" s="31"/>
      <c r="G581" s="31"/>
      <c r="H581" s="31"/>
      <c r="J581" s="53"/>
    </row>
    <row r="582" spans="5:10">
      <c r="E582" s="31"/>
      <c r="F582" s="31"/>
      <c r="G582" s="31"/>
      <c r="H582" s="31"/>
      <c r="J582" s="53"/>
    </row>
    <row r="583" spans="5:10">
      <c r="E583" s="31"/>
      <c r="F583" s="31"/>
      <c r="G583" s="31"/>
      <c r="H583" s="31"/>
      <c r="J583" s="53"/>
    </row>
    <row r="584" spans="5:10">
      <c r="E584" s="31"/>
      <c r="F584" s="31"/>
      <c r="G584" s="31"/>
      <c r="H584" s="31"/>
      <c r="J584" s="53"/>
    </row>
    <row r="585" spans="5:10">
      <c r="E585" s="31"/>
      <c r="F585" s="31"/>
      <c r="G585" s="31"/>
      <c r="H585" s="31"/>
      <c r="J585" s="53"/>
    </row>
    <row r="586" spans="5:10">
      <c r="E586" s="31"/>
      <c r="F586" s="31"/>
      <c r="G586" s="31"/>
      <c r="H586" s="31"/>
      <c r="J586" s="53"/>
    </row>
    <row r="587" spans="5:10">
      <c r="E587" s="31"/>
      <c r="F587" s="31"/>
      <c r="G587" s="31"/>
      <c r="H587" s="31"/>
      <c r="J587" s="53"/>
    </row>
    <row r="588" spans="5:10">
      <c r="E588" s="31"/>
      <c r="F588" s="31"/>
      <c r="G588" s="31"/>
      <c r="H588" s="31"/>
      <c r="J588" s="53"/>
    </row>
    <row r="589" spans="5:10">
      <c r="E589" s="31"/>
      <c r="F589" s="31"/>
      <c r="G589" s="31"/>
      <c r="H589" s="31"/>
      <c r="J589" s="53"/>
    </row>
    <row r="590" spans="5:10">
      <c r="E590" s="31"/>
      <c r="F590" s="31"/>
      <c r="G590" s="31"/>
      <c r="H590" s="31"/>
      <c r="J590" s="53"/>
    </row>
    <row r="591" spans="5:10">
      <c r="E591" s="31"/>
      <c r="F591" s="31"/>
      <c r="G591" s="31"/>
      <c r="H591" s="31"/>
      <c r="J591" s="53"/>
    </row>
    <row r="592" spans="5:10">
      <c r="E592" s="31"/>
      <c r="F592" s="31"/>
      <c r="G592" s="31"/>
      <c r="H592" s="31"/>
      <c r="J592" s="53"/>
    </row>
    <row r="593" spans="5:10">
      <c r="E593" s="31"/>
      <c r="F593" s="31"/>
      <c r="G593" s="31"/>
      <c r="H593" s="31"/>
      <c r="J593" s="53"/>
    </row>
    <row r="594" spans="5:10">
      <c r="E594" s="31"/>
      <c r="F594" s="31"/>
      <c r="G594" s="31"/>
      <c r="H594" s="31"/>
      <c r="J594" s="53"/>
    </row>
    <row r="595" spans="5:10">
      <c r="E595" s="31"/>
      <c r="F595" s="31"/>
      <c r="G595" s="31"/>
      <c r="H595" s="31"/>
      <c r="J595" s="53"/>
    </row>
    <row r="596" spans="5:10">
      <c r="E596" s="31"/>
      <c r="F596" s="31"/>
      <c r="G596" s="31"/>
      <c r="H596" s="31"/>
      <c r="J596" s="53"/>
    </row>
    <row r="597" spans="5:10">
      <c r="E597" s="31"/>
      <c r="F597" s="31"/>
      <c r="G597" s="31"/>
      <c r="H597" s="31"/>
      <c r="J597" s="53"/>
    </row>
    <row r="598" spans="5:10">
      <c r="E598" s="31"/>
      <c r="F598" s="31"/>
      <c r="G598" s="31"/>
      <c r="H598" s="31"/>
      <c r="J598" s="53"/>
    </row>
    <row r="599" spans="5:10">
      <c r="E599" s="31"/>
      <c r="F599" s="31"/>
      <c r="G599" s="31"/>
      <c r="H599" s="31"/>
      <c r="J599" s="53"/>
    </row>
    <row r="600" spans="5:10">
      <c r="E600" s="31"/>
      <c r="F600" s="31"/>
      <c r="G600" s="31"/>
      <c r="H600" s="31"/>
      <c r="J600" s="53"/>
    </row>
    <row r="601" spans="5:10">
      <c r="E601" s="31"/>
      <c r="F601" s="31"/>
      <c r="G601" s="31"/>
      <c r="H601" s="31"/>
      <c r="J601" s="53"/>
    </row>
    <row r="602" spans="5:10">
      <c r="E602" s="31"/>
      <c r="F602" s="31"/>
      <c r="G602" s="31"/>
      <c r="H602" s="31"/>
      <c r="J602" s="53"/>
    </row>
    <row r="603" spans="5:10">
      <c r="E603" s="31"/>
      <c r="F603" s="31"/>
      <c r="G603" s="31"/>
      <c r="H603" s="31"/>
      <c r="J603" s="53"/>
    </row>
    <row r="604" spans="5:10">
      <c r="E604" s="31"/>
      <c r="F604" s="31"/>
      <c r="G604" s="31"/>
      <c r="H604" s="31"/>
      <c r="J604" s="53"/>
    </row>
    <row r="605" spans="5:10">
      <c r="E605" s="31"/>
      <c r="F605" s="31"/>
      <c r="G605" s="31"/>
      <c r="H605" s="31"/>
      <c r="J605" s="53"/>
    </row>
    <row r="606" spans="5:10">
      <c r="E606" s="31"/>
      <c r="F606" s="31"/>
      <c r="G606" s="31"/>
      <c r="H606" s="31"/>
      <c r="J606" s="53"/>
    </row>
    <row r="607" spans="5:10">
      <c r="E607" s="31"/>
      <c r="F607" s="31"/>
      <c r="G607" s="31"/>
      <c r="H607" s="31"/>
      <c r="J607" s="53"/>
    </row>
    <row r="608" spans="5:10">
      <c r="E608" s="31"/>
      <c r="F608" s="31"/>
      <c r="G608" s="31"/>
      <c r="H608" s="31"/>
      <c r="J608" s="53"/>
    </row>
    <row r="609" spans="5:10">
      <c r="E609" s="31"/>
      <c r="F609" s="31"/>
      <c r="G609" s="31"/>
      <c r="H609" s="31"/>
      <c r="J609" s="53"/>
    </row>
    <row r="610" spans="5:10">
      <c r="E610" s="31"/>
      <c r="F610" s="31"/>
      <c r="G610" s="31"/>
      <c r="H610" s="31"/>
      <c r="J610" s="53"/>
    </row>
    <row r="611" spans="5:10">
      <c r="E611" s="31"/>
      <c r="F611" s="31"/>
      <c r="G611" s="31"/>
      <c r="H611" s="31"/>
      <c r="J611" s="53"/>
    </row>
    <row r="612" spans="5:10">
      <c r="E612" s="31"/>
      <c r="F612" s="31"/>
      <c r="G612" s="31"/>
      <c r="H612" s="31"/>
      <c r="J612" s="53"/>
    </row>
    <row r="613" spans="5:10">
      <c r="E613" s="31"/>
      <c r="F613" s="31"/>
      <c r="G613" s="31"/>
      <c r="H613" s="31"/>
      <c r="J613" s="53"/>
    </row>
    <row r="614" spans="5:10">
      <c r="E614" s="31"/>
      <c r="F614" s="31"/>
      <c r="G614" s="31"/>
      <c r="H614" s="31"/>
      <c r="J614" s="53"/>
    </row>
    <row r="615" spans="5:10">
      <c r="E615" s="31"/>
      <c r="F615" s="31"/>
      <c r="G615" s="31"/>
      <c r="H615" s="31"/>
      <c r="J615" s="53"/>
    </row>
    <row r="616" spans="5:10">
      <c r="E616" s="31"/>
      <c r="F616" s="31"/>
      <c r="G616" s="31"/>
      <c r="H616" s="31"/>
      <c r="J616" s="53"/>
    </row>
    <row r="617" spans="5:10">
      <c r="E617" s="31"/>
      <c r="F617" s="31"/>
      <c r="G617" s="31"/>
      <c r="H617" s="31"/>
      <c r="J617" s="53"/>
    </row>
    <row r="618" spans="5:10">
      <c r="E618" s="31"/>
      <c r="F618" s="31"/>
      <c r="G618" s="31"/>
      <c r="H618" s="31"/>
      <c r="J618" s="53"/>
    </row>
    <row r="619" spans="5:10">
      <c r="E619" s="31"/>
      <c r="F619" s="31"/>
      <c r="G619" s="31"/>
      <c r="H619" s="31"/>
      <c r="J619" s="53"/>
    </row>
    <row r="620" spans="5:10">
      <c r="E620" s="31"/>
      <c r="F620" s="31"/>
      <c r="G620" s="31"/>
      <c r="H620" s="31"/>
      <c r="J620" s="53"/>
    </row>
    <row r="621" spans="5:10">
      <c r="E621" s="31"/>
      <c r="F621" s="31"/>
      <c r="G621" s="31"/>
      <c r="H621" s="31"/>
      <c r="J621" s="53"/>
    </row>
    <row r="622" spans="5:10">
      <c r="E622" s="31"/>
      <c r="F622" s="31"/>
      <c r="G622" s="31"/>
      <c r="H622" s="31"/>
      <c r="J622" s="53"/>
    </row>
    <row r="623" spans="5:10">
      <c r="E623" s="31"/>
      <c r="F623" s="31"/>
      <c r="G623" s="31"/>
      <c r="H623" s="31"/>
      <c r="J623" s="53"/>
    </row>
    <row r="624" spans="5:10">
      <c r="E624" s="31"/>
      <c r="F624" s="31"/>
      <c r="G624" s="31"/>
      <c r="H624" s="31"/>
      <c r="J624" s="53"/>
    </row>
    <row r="625" spans="5:10">
      <c r="E625" s="31"/>
      <c r="F625" s="31"/>
      <c r="G625" s="31"/>
      <c r="H625" s="31"/>
      <c r="J625" s="53"/>
    </row>
    <row r="626" spans="5:10">
      <c r="E626" s="31"/>
      <c r="F626" s="31"/>
      <c r="G626" s="31"/>
      <c r="H626" s="31"/>
      <c r="J626" s="53"/>
    </row>
    <row r="627" spans="5:10">
      <c r="E627" s="31"/>
      <c r="F627" s="31"/>
      <c r="G627" s="31"/>
      <c r="H627" s="31"/>
      <c r="J627" s="53"/>
    </row>
    <row r="628" spans="5:10">
      <c r="E628" s="31"/>
      <c r="F628" s="31"/>
      <c r="G628" s="31"/>
      <c r="H628" s="31"/>
      <c r="J628" s="53"/>
    </row>
    <row r="629" spans="5:10">
      <c r="E629" s="31"/>
      <c r="F629" s="31"/>
      <c r="G629" s="31"/>
      <c r="H629" s="31"/>
      <c r="J629" s="53"/>
    </row>
    <row r="630" spans="5:10">
      <c r="E630" s="31"/>
      <c r="F630" s="31"/>
      <c r="G630" s="31"/>
      <c r="H630" s="31"/>
      <c r="J630" s="53"/>
    </row>
    <row r="631" spans="5:10">
      <c r="E631" s="31"/>
      <c r="F631" s="31"/>
      <c r="G631" s="31"/>
      <c r="H631" s="31"/>
      <c r="J631" s="53"/>
    </row>
    <row r="632" spans="5:10">
      <c r="E632" s="31"/>
      <c r="F632" s="31"/>
      <c r="G632" s="31"/>
      <c r="H632" s="31"/>
      <c r="J632" s="53"/>
    </row>
    <row r="633" spans="5:10">
      <c r="E633" s="31"/>
      <c r="F633" s="31"/>
      <c r="G633" s="31"/>
      <c r="H633" s="31"/>
      <c r="J633" s="53"/>
    </row>
    <row r="634" spans="5:10">
      <c r="E634" s="31"/>
      <c r="F634" s="31"/>
      <c r="G634" s="31"/>
      <c r="H634" s="31"/>
      <c r="J634" s="53"/>
    </row>
    <row r="635" spans="5:10">
      <c r="E635" s="31"/>
      <c r="F635" s="31"/>
      <c r="G635" s="31"/>
      <c r="H635" s="31"/>
      <c r="J635" s="53"/>
    </row>
    <row r="636" spans="5:10">
      <c r="E636" s="31"/>
      <c r="F636" s="31"/>
      <c r="G636" s="31"/>
      <c r="H636" s="31"/>
      <c r="J636" s="53"/>
    </row>
    <row r="637" spans="5:10">
      <c r="E637" s="31"/>
      <c r="F637" s="31"/>
      <c r="G637" s="31"/>
      <c r="H637" s="31"/>
      <c r="J637" s="53"/>
    </row>
    <row r="638" spans="5:10">
      <c r="E638" s="31"/>
      <c r="F638" s="31"/>
      <c r="G638" s="31"/>
      <c r="H638" s="31"/>
      <c r="J638" s="53"/>
    </row>
    <row r="639" spans="5:10">
      <c r="E639" s="31"/>
      <c r="F639" s="31"/>
      <c r="G639" s="31"/>
      <c r="H639" s="31"/>
      <c r="J639" s="53"/>
    </row>
    <row r="640" spans="5:10">
      <c r="E640" s="31"/>
      <c r="F640" s="31"/>
      <c r="G640" s="31"/>
      <c r="H640" s="31"/>
      <c r="J640" s="53"/>
    </row>
    <row r="641" spans="5:10">
      <c r="E641" s="31"/>
      <c r="F641" s="31"/>
      <c r="G641" s="31"/>
      <c r="H641" s="31"/>
      <c r="J641" s="53"/>
    </row>
    <row r="642" spans="5:10">
      <c r="E642" s="31"/>
      <c r="F642" s="31"/>
      <c r="G642" s="31"/>
      <c r="H642" s="31"/>
      <c r="J642" s="53"/>
    </row>
    <row r="643" spans="5:10">
      <c r="E643" s="31"/>
      <c r="F643" s="31"/>
      <c r="G643" s="31"/>
      <c r="H643" s="31"/>
      <c r="J643" s="53"/>
    </row>
    <row r="644" spans="5:10">
      <c r="E644" s="31"/>
      <c r="F644" s="31"/>
      <c r="G644" s="31"/>
      <c r="H644" s="31"/>
      <c r="J644" s="53"/>
    </row>
    <row r="645" spans="5:10">
      <c r="E645" s="31"/>
      <c r="F645" s="31"/>
      <c r="G645" s="31"/>
      <c r="H645" s="31"/>
      <c r="J645" s="53"/>
    </row>
    <row r="646" spans="5:10">
      <c r="E646" s="31"/>
      <c r="F646" s="31"/>
      <c r="G646" s="31"/>
      <c r="H646" s="31"/>
      <c r="J646" s="53"/>
    </row>
    <row r="647" spans="5:10">
      <c r="E647" s="31"/>
      <c r="F647" s="31"/>
      <c r="G647" s="31"/>
      <c r="H647" s="31"/>
      <c r="J647" s="53"/>
    </row>
    <row r="648" spans="5:10">
      <c r="E648" s="31"/>
      <c r="F648" s="31"/>
      <c r="G648" s="31"/>
      <c r="H648" s="31"/>
      <c r="J648" s="53"/>
    </row>
    <row r="649" spans="5:10">
      <c r="E649" s="31"/>
      <c r="F649" s="31"/>
      <c r="G649" s="31"/>
      <c r="H649" s="31"/>
      <c r="J649" s="53"/>
    </row>
    <row r="650" spans="5:10">
      <c r="E650" s="31"/>
      <c r="F650" s="31"/>
      <c r="G650" s="31"/>
      <c r="H650" s="31"/>
      <c r="J650" s="53"/>
    </row>
    <row r="651" spans="5:10">
      <c r="E651" s="31"/>
      <c r="F651" s="31"/>
      <c r="G651" s="31"/>
      <c r="H651" s="31"/>
      <c r="J651" s="53"/>
    </row>
    <row r="652" spans="5:10">
      <c r="E652" s="31"/>
      <c r="F652" s="31"/>
      <c r="G652" s="31"/>
      <c r="H652" s="31"/>
      <c r="J652" s="53"/>
    </row>
    <row r="653" spans="5:10">
      <c r="E653" s="31"/>
      <c r="F653" s="31"/>
      <c r="G653" s="31"/>
      <c r="H653" s="31"/>
      <c r="J653" s="53"/>
    </row>
    <row r="654" spans="5:10">
      <c r="E654" s="31"/>
      <c r="F654" s="31"/>
      <c r="G654" s="31"/>
      <c r="H654" s="31"/>
      <c r="J654" s="53"/>
    </row>
    <row r="655" spans="5:10">
      <c r="E655" s="31"/>
      <c r="F655" s="31"/>
      <c r="G655" s="31"/>
      <c r="H655" s="31"/>
      <c r="J655" s="53"/>
    </row>
    <row r="656" spans="5:10">
      <c r="E656" s="31"/>
      <c r="F656" s="31"/>
      <c r="G656" s="31"/>
      <c r="H656" s="31"/>
      <c r="J656" s="53"/>
    </row>
    <row r="657" spans="5:10">
      <c r="E657" s="31"/>
      <c r="F657" s="31"/>
      <c r="G657" s="31"/>
      <c r="H657" s="31"/>
      <c r="J657" s="53"/>
    </row>
    <row r="658" spans="5:10">
      <c r="E658" s="31"/>
      <c r="F658" s="31"/>
      <c r="G658" s="31"/>
      <c r="H658" s="31"/>
      <c r="J658" s="53"/>
    </row>
    <row r="659" spans="5:10">
      <c r="E659" s="31"/>
      <c r="F659" s="31"/>
      <c r="G659" s="31"/>
      <c r="H659" s="31"/>
      <c r="J659" s="53"/>
    </row>
    <row r="660" spans="5:10">
      <c r="E660" s="31"/>
      <c r="F660" s="31"/>
      <c r="G660" s="31"/>
      <c r="H660" s="31"/>
      <c r="J660" s="53"/>
    </row>
    <row r="661" spans="5:10">
      <c r="E661" s="31"/>
      <c r="F661" s="31"/>
      <c r="G661" s="31"/>
      <c r="H661" s="31"/>
      <c r="J661" s="53"/>
    </row>
    <row r="662" spans="5:10">
      <c r="E662" s="31"/>
      <c r="F662" s="31"/>
      <c r="G662" s="31"/>
      <c r="H662" s="31"/>
      <c r="J662" s="53"/>
    </row>
    <row r="663" spans="5:10">
      <c r="E663" s="31"/>
      <c r="F663" s="31"/>
      <c r="G663" s="31"/>
      <c r="H663" s="31"/>
      <c r="J663" s="53"/>
    </row>
    <row r="664" spans="5:10">
      <c r="E664" s="31"/>
      <c r="F664" s="31"/>
      <c r="G664" s="31"/>
      <c r="H664" s="31"/>
      <c r="J664" s="53"/>
    </row>
    <row r="665" spans="5:10">
      <c r="E665" s="31"/>
      <c r="F665" s="31"/>
      <c r="G665" s="31"/>
      <c r="H665" s="31"/>
      <c r="J665" s="53"/>
    </row>
    <row r="666" spans="5:10">
      <c r="E666" s="31"/>
      <c r="F666" s="31"/>
      <c r="G666" s="31"/>
      <c r="H666" s="31"/>
      <c r="J666" s="53"/>
    </row>
    <row r="667" spans="5:10">
      <c r="E667" s="31"/>
      <c r="F667" s="31"/>
      <c r="G667" s="31"/>
      <c r="H667" s="31"/>
      <c r="J667" s="53"/>
    </row>
    <row r="668" spans="5:10">
      <c r="E668" s="31"/>
      <c r="F668" s="31"/>
      <c r="G668" s="31"/>
      <c r="H668" s="31"/>
      <c r="J668" s="53"/>
    </row>
    <row r="669" spans="5:10">
      <c r="E669" s="31"/>
      <c r="F669" s="31"/>
      <c r="G669" s="31"/>
      <c r="H669" s="31"/>
      <c r="J669" s="53"/>
    </row>
    <row r="670" spans="5:10">
      <c r="E670" s="31"/>
      <c r="F670" s="31"/>
      <c r="G670" s="31"/>
      <c r="H670" s="31"/>
      <c r="J670" s="53"/>
    </row>
    <row r="671" spans="5:10">
      <c r="E671" s="31"/>
      <c r="F671" s="31"/>
      <c r="G671" s="31"/>
      <c r="H671" s="31"/>
      <c r="J671" s="53"/>
    </row>
    <row r="672" spans="5:10">
      <c r="E672" s="31"/>
      <c r="F672" s="31"/>
      <c r="G672" s="31"/>
      <c r="H672" s="31"/>
      <c r="J672" s="53"/>
    </row>
    <row r="673" spans="5:10">
      <c r="E673" s="31"/>
      <c r="F673" s="31"/>
      <c r="G673" s="31"/>
      <c r="H673" s="31"/>
      <c r="J673" s="53"/>
    </row>
    <row r="674" spans="5:10">
      <c r="E674" s="31"/>
      <c r="F674" s="31"/>
      <c r="G674" s="31"/>
      <c r="H674" s="31"/>
      <c r="J674" s="53"/>
    </row>
    <row r="675" spans="5:10">
      <c r="E675" s="31"/>
      <c r="F675" s="31"/>
      <c r="G675" s="31"/>
      <c r="H675" s="31"/>
      <c r="J675" s="53"/>
    </row>
    <row r="676" spans="5:10">
      <c r="E676" s="31"/>
      <c r="F676" s="31"/>
      <c r="G676" s="31"/>
      <c r="H676" s="31"/>
      <c r="J676" s="53"/>
    </row>
    <row r="677" spans="5:10">
      <c r="E677" s="31"/>
      <c r="F677" s="31"/>
      <c r="G677" s="31"/>
      <c r="H677" s="31"/>
      <c r="J677" s="53"/>
    </row>
    <row r="678" spans="5:10">
      <c r="E678" s="31"/>
      <c r="F678" s="31"/>
      <c r="G678" s="31"/>
      <c r="H678" s="31"/>
      <c r="J678" s="53"/>
    </row>
    <row r="679" spans="5:10">
      <c r="E679" s="31"/>
      <c r="F679" s="31"/>
      <c r="G679" s="31"/>
      <c r="H679" s="31"/>
      <c r="J679" s="53"/>
    </row>
    <row r="680" spans="5:10">
      <c r="E680" s="31"/>
      <c r="F680" s="31"/>
      <c r="G680" s="31"/>
      <c r="H680" s="31"/>
      <c r="J680" s="53"/>
    </row>
    <row r="681" spans="5:10">
      <c r="E681" s="31"/>
      <c r="F681" s="31"/>
      <c r="G681" s="31"/>
      <c r="H681" s="31"/>
      <c r="J681" s="53"/>
    </row>
    <row r="682" spans="5:10">
      <c r="E682" s="31"/>
      <c r="F682" s="31"/>
      <c r="G682" s="31"/>
      <c r="H682" s="31"/>
      <c r="J682" s="53"/>
    </row>
    <row r="683" spans="5:10">
      <c r="E683" s="31"/>
      <c r="F683" s="31"/>
      <c r="G683" s="31"/>
      <c r="H683" s="31"/>
      <c r="J683" s="53"/>
    </row>
    <row r="684" spans="5:10">
      <c r="E684" s="31"/>
      <c r="F684" s="31"/>
      <c r="G684" s="31"/>
      <c r="H684" s="31"/>
      <c r="J684" s="53"/>
    </row>
    <row r="685" spans="5:10">
      <c r="E685" s="31"/>
      <c r="F685" s="31"/>
      <c r="G685" s="31"/>
      <c r="H685" s="31"/>
      <c r="J685" s="53"/>
    </row>
    <row r="686" spans="5:10">
      <c r="E686" s="31"/>
      <c r="F686" s="31"/>
      <c r="G686" s="31"/>
      <c r="H686" s="31"/>
      <c r="J686" s="53"/>
    </row>
    <row r="687" spans="5:10">
      <c r="E687" s="31"/>
      <c r="F687" s="31"/>
      <c r="G687" s="31"/>
      <c r="H687" s="31"/>
      <c r="J687" s="53"/>
    </row>
    <row r="688" spans="5:10">
      <c r="E688" s="31"/>
      <c r="F688" s="31"/>
      <c r="G688" s="31"/>
      <c r="H688" s="31"/>
      <c r="J688" s="53"/>
    </row>
    <row r="689" spans="5:10">
      <c r="E689" s="31"/>
      <c r="F689" s="31"/>
      <c r="G689" s="31"/>
      <c r="H689" s="31"/>
      <c r="J689" s="53"/>
    </row>
    <row r="690" spans="5:10">
      <c r="E690" s="31"/>
      <c r="F690" s="31"/>
      <c r="G690" s="31"/>
      <c r="H690" s="31"/>
      <c r="J690" s="53"/>
    </row>
    <row r="691" spans="5:10">
      <c r="E691" s="31"/>
      <c r="F691" s="31"/>
      <c r="G691" s="31"/>
      <c r="H691" s="31"/>
      <c r="J691" s="53"/>
    </row>
    <row r="692" spans="5:10">
      <c r="E692" s="31"/>
      <c r="F692" s="31"/>
      <c r="G692" s="31"/>
      <c r="H692" s="31"/>
      <c r="J692" s="53"/>
    </row>
    <row r="693" spans="5:10">
      <c r="E693" s="31"/>
      <c r="F693" s="31"/>
      <c r="G693" s="31"/>
      <c r="H693" s="31"/>
      <c r="J693" s="53"/>
    </row>
    <row r="694" spans="5:10">
      <c r="E694" s="31"/>
      <c r="F694" s="31"/>
      <c r="G694" s="31"/>
      <c r="H694" s="31"/>
      <c r="J694" s="53"/>
    </row>
    <row r="695" spans="5:10">
      <c r="E695" s="31"/>
      <c r="F695" s="31"/>
      <c r="G695" s="31"/>
      <c r="H695" s="31"/>
      <c r="J695" s="53"/>
    </row>
    <row r="696" spans="5:10">
      <c r="E696" s="31"/>
      <c r="F696" s="31"/>
      <c r="G696" s="31"/>
      <c r="H696" s="31"/>
      <c r="J696" s="53"/>
    </row>
    <row r="697" spans="5:10">
      <c r="E697" s="31"/>
      <c r="F697" s="31"/>
      <c r="G697" s="31"/>
      <c r="H697" s="31"/>
      <c r="J697" s="53"/>
    </row>
    <row r="698" spans="5:10">
      <c r="E698" s="31"/>
      <c r="F698" s="31"/>
      <c r="G698" s="31"/>
      <c r="H698" s="31"/>
      <c r="J698" s="53"/>
    </row>
    <row r="699" spans="5:10">
      <c r="E699" s="31"/>
      <c r="F699" s="31"/>
      <c r="G699" s="31"/>
      <c r="H699" s="31"/>
      <c r="J699" s="53"/>
    </row>
    <row r="700" spans="5:10">
      <c r="E700" s="31"/>
      <c r="F700" s="31"/>
      <c r="G700" s="31"/>
      <c r="H700" s="31"/>
      <c r="J700" s="53"/>
    </row>
    <row r="701" spans="5:10">
      <c r="E701" s="31"/>
      <c r="F701" s="31"/>
      <c r="G701" s="31"/>
      <c r="H701" s="31"/>
      <c r="J701" s="53"/>
    </row>
    <row r="702" spans="5:10">
      <c r="E702" s="31"/>
      <c r="F702" s="31"/>
      <c r="G702" s="31"/>
      <c r="H702" s="31"/>
      <c r="J702" s="53"/>
    </row>
    <row r="703" spans="5:10">
      <c r="E703" s="31"/>
      <c r="F703" s="31"/>
      <c r="G703" s="31"/>
      <c r="H703" s="31"/>
      <c r="J703" s="53"/>
    </row>
    <row r="704" spans="5:10">
      <c r="E704" s="31"/>
      <c r="F704" s="31"/>
      <c r="G704" s="31"/>
      <c r="H704" s="31"/>
      <c r="J704" s="53"/>
    </row>
    <row r="705" spans="5:10">
      <c r="E705" s="31"/>
      <c r="F705" s="31"/>
      <c r="G705" s="31"/>
      <c r="H705" s="31"/>
      <c r="J705" s="53"/>
    </row>
    <row r="706" spans="5:10">
      <c r="E706" s="31"/>
      <c r="F706" s="31"/>
      <c r="G706" s="31"/>
      <c r="H706" s="31"/>
      <c r="J706" s="53"/>
    </row>
    <row r="707" spans="5:10">
      <c r="E707" s="31"/>
      <c r="F707" s="31"/>
      <c r="G707" s="31"/>
      <c r="H707" s="31"/>
      <c r="J707" s="53"/>
    </row>
    <row r="708" spans="5:10">
      <c r="E708" s="31"/>
      <c r="F708" s="31"/>
      <c r="G708" s="31"/>
      <c r="H708" s="31"/>
      <c r="J708" s="53"/>
    </row>
    <row r="709" spans="5:10">
      <c r="E709" s="31"/>
      <c r="F709" s="31"/>
      <c r="G709" s="31"/>
      <c r="H709" s="31"/>
      <c r="J709" s="53"/>
    </row>
    <row r="710" spans="5:10">
      <c r="E710" s="31"/>
      <c r="F710" s="31"/>
      <c r="G710" s="31"/>
      <c r="H710" s="31"/>
      <c r="J710" s="53"/>
    </row>
    <row r="711" spans="5:10">
      <c r="E711" s="31"/>
      <c r="F711" s="31"/>
      <c r="G711" s="31"/>
      <c r="H711" s="31"/>
      <c r="J711" s="53"/>
    </row>
    <row r="712" spans="5:10">
      <c r="E712" s="31"/>
      <c r="F712" s="31"/>
      <c r="G712" s="31"/>
      <c r="H712" s="31"/>
      <c r="J712" s="53"/>
    </row>
    <row r="713" spans="5:10">
      <c r="E713" s="31"/>
      <c r="F713" s="31"/>
      <c r="G713" s="31"/>
      <c r="H713" s="31"/>
      <c r="J713" s="53"/>
    </row>
    <row r="714" spans="5:10">
      <c r="E714" s="31"/>
      <c r="F714" s="31"/>
      <c r="G714" s="31"/>
      <c r="H714" s="31"/>
      <c r="J714" s="53"/>
    </row>
    <row r="715" spans="5:10">
      <c r="E715" s="31"/>
      <c r="F715" s="31"/>
      <c r="G715" s="31"/>
      <c r="H715" s="31"/>
      <c r="J715" s="53"/>
    </row>
    <row r="716" spans="5:10">
      <c r="E716" s="31"/>
      <c r="F716" s="31"/>
      <c r="G716" s="31"/>
      <c r="H716" s="31"/>
      <c r="J716" s="53"/>
    </row>
    <row r="717" spans="5:10">
      <c r="E717" s="31"/>
      <c r="F717" s="31"/>
      <c r="G717" s="31"/>
      <c r="H717" s="31"/>
      <c r="J717" s="53"/>
    </row>
    <row r="718" spans="5:10">
      <c r="E718" s="31"/>
      <c r="F718" s="31"/>
      <c r="G718" s="31"/>
      <c r="H718" s="31"/>
      <c r="J718" s="53"/>
    </row>
    <row r="719" spans="5:10">
      <c r="E719" s="31"/>
      <c r="F719" s="31"/>
      <c r="G719" s="31"/>
      <c r="H719" s="31"/>
      <c r="J719" s="53"/>
    </row>
    <row r="720" spans="5:10">
      <c r="E720" s="31"/>
      <c r="F720" s="31"/>
      <c r="G720" s="31"/>
      <c r="H720" s="31"/>
      <c r="J720" s="53"/>
    </row>
    <row r="721" spans="5:10">
      <c r="E721" s="31"/>
      <c r="F721" s="31"/>
      <c r="G721" s="31"/>
      <c r="H721" s="31"/>
      <c r="J721" s="53"/>
    </row>
    <row r="722" spans="5:10">
      <c r="E722" s="31"/>
      <c r="F722" s="31"/>
      <c r="G722" s="31"/>
      <c r="H722" s="31"/>
      <c r="J722" s="53"/>
    </row>
    <row r="723" spans="5:10">
      <c r="E723" s="31"/>
      <c r="F723" s="31"/>
      <c r="G723" s="31"/>
      <c r="H723" s="31"/>
      <c r="J723" s="53"/>
    </row>
    <row r="724" spans="5:10">
      <c r="E724" s="31"/>
      <c r="F724" s="31"/>
      <c r="G724" s="31"/>
      <c r="H724" s="31"/>
      <c r="J724" s="53"/>
    </row>
    <row r="725" spans="5:10">
      <c r="E725" s="31"/>
      <c r="F725" s="31"/>
      <c r="G725" s="31"/>
      <c r="H725" s="31"/>
      <c r="J725" s="53"/>
    </row>
    <row r="726" spans="5:10">
      <c r="E726" s="31"/>
      <c r="F726" s="31"/>
      <c r="G726" s="31"/>
      <c r="H726" s="31"/>
      <c r="J726" s="53"/>
    </row>
    <row r="727" spans="5:10">
      <c r="E727" s="31"/>
      <c r="F727" s="31"/>
      <c r="G727" s="31"/>
      <c r="H727" s="31"/>
      <c r="J727" s="53"/>
    </row>
    <row r="728" spans="5:10">
      <c r="E728" s="31"/>
      <c r="F728" s="31"/>
      <c r="G728" s="31"/>
      <c r="H728" s="31"/>
      <c r="J728" s="53"/>
    </row>
    <row r="729" spans="5:10">
      <c r="E729" s="31"/>
      <c r="F729" s="31"/>
      <c r="G729" s="31"/>
      <c r="H729" s="31"/>
      <c r="J729" s="53"/>
    </row>
    <row r="730" spans="5:10">
      <c r="E730" s="31"/>
      <c r="F730" s="31"/>
      <c r="G730" s="31"/>
      <c r="H730" s="31"/>
      <c r="J730" s="53"/>
    </row>
    <row r="731" spans="5:10">
      <c r="E731" s="31"/>
      <c r="F731" s="31"/>
      <c r="G731" s="31"/>
      <c r="H731" s="31"/>
      <c r="J731" s="53"/>
    </row>
    <row r="732" spans="5:10">
      <c r="E732" s="31"/>
      <c r="F732" s="31"/>
      <c r="G732" s="31"/>
      <c r="H732" s="31"/>
      <c r="J732" s="53"/>
    </row>
    <row r="733" spans="5:10">
      <c r="E733" s="31"/>
      <c r="F733" s="31"/>
      <c r="G733" s="31"/>
      <c r="H733" s="31"/>
      <c r="J733" s="53"/>
    </row>
    <row r="734" spans="5:10">
      <c r="E734" s="31"/>
      <c r="F734" s="31"/>
      <c r="G734" s="31"/>
      <c r="H734" s="31"/>
      <c r="J734" s="53"/>
    </row>
    <row r="735" spans="5:10">
      <c r="E735" s="31"/>
      <c r="F735" s="31"/>
      <c r="G735" s="31"/>
      <c r="H735" s="31"/>
      <c r="J735" s="53"/>
    </row>
    <row r="736" spans="5:10">
      <c r="E736" s="31"/>
      <c r="F736" s="31"/>
      <c r="G736" s="31"/>
      <c r="H736" s="31"/>
      <c r="J736" s="53"/>
    </row>
    <row r="737" spans="5:10">
      <c r="E737" s="31"/>
      <c r="F737" s="31"/>
      <c r="G737" s="31"/>
      <c r="H737" s="31"/>
      <c r="J737" s="53"/>
    </row>
    <row r="738" spans="5:10">
      <c r="E738" s="31"/>
      <c r="F738" s="31"/>
      <c r="G738" s="31"/>
      <c r="H738" s="31"/>
      <c r="J738" s="53"/>
    </row>
    <row r="739" spans="5:10">
      <c r="E739" s="31"/>
      <c r="F739" s="31"/>
      <c r="G739" s="31"/>
      <c r="H739" s="31"/>
      <c r="J739" s="53"/>
    </row>
    <row r="740" spans="5:10">
      <c r="E740" s="31"/>
      <c r="F740" s="31"/>
      <c r="G740" s="31"/>
      <c r="H740" s="31"/>
      <c r="J740" s="53"/>
    </row>
    <row r="741" spans="5:10">
      <c r="E741" s="31"/>
      <c r="F741" s="31"/>
      <c r="G741" s="31"/>
      <c r="H741" s="31"/>
      <c r="J741" s="53"/>
    </row>
    <row r="742" spans="5:10">
      <c r="E742" s="31"/>
      <c r="F742" s="31"/>
      <c r="G742" s="31"/>
      <c r="H742" s="31"/>
      <c r="J742" s="53"/>
    </row>
    <row r="743" spans="5:10">
      <c r="E743" s="31"/>
      <c r="F743" s="31"/>
      <c r="G743" s="31"/>
      <c r="H743" s="31"/>
      <c r="J743" s="53"/>
    </row>
    <row r="744" spans="5:10">
      <c r="E744" s="31"/>
      <c r="F744" s="31"/>
      <c r="G744" s="31"/>
      <c r="H744" s="31"/>
      <c r="J744" s="53"/>
    </row>
    <row r="745" spans="5:10">
      <c r="E745" s="31"/>
      <c r="F745" s="31"/>
      <c r="G745" s="31"/>
      <c r="H745" s="31"/>
      <c r="J745" s="53"/>
    </row>
    <row r="746" spans="5:10">
      <c r="E746" s="31"/>
      <c r="F746" s="31"/>
      <c r="G746" s="31"/>
      <c r="H746" s="31"/>
      <c r="J746" s="53"/>
    </row>
    <row r="747" spans="5:10">
      <c r="E747" s="31"/>
      <c r="F747" s="31"/>
      <c r="G747" s="31"/>
      <c r="H747" s="31"/>
      <c r="J747" s="53"/>
    </row>
    <row r="748" spans="5:10">
      <c r="E748" s="31"/>
      <c r="F748" s="31"/>
      <c r="G748" s="31"/>
      <c r="H748" s="31"/>
      <c r="J748" s="53"/>
    </row>
    <row r="749" spans="5:10">
      <c r="E749" s="31"/>
      <c r="F749" s="31"/>
      <c r="G749" s="31"/>
      <c r="H749" s="31"/>
      <c r="J749" s="53"/>
    </row>
    <row r="750" spans="5:10">
      <c r="E750" s="31"/>
      <c r="F750" s="31"/>
      <c r="G750" s="31"/>
      <c r="H750" s="31"/>
      <c r="J750" s="53"/>
    </row>
    <row r="751" spans="5:10">
      <c r="E751" s="31"/>
      <c r="F751" s="31"/>
      <c r="G751" s="31"/>
      <c r="H751" s="31"/>
      <c r="J751" s="53"/>
    </row>
    <row r="752" spans="5:10">
      <c r="E752" s="31"/>
      <c r="F752" s="31"/>
      <c r="G752" s="31"/>
      <c r="H752" s="31"/>
      <c r="J752" s="53"/>
    </row>
    <row r="753" spans="5:10">
      <c r="E753" s="31"/>
      <c r="F753" s="31"/>
      <c r="G753" s="31"/>
      <c r="H753" s="31"/>
      <c r="J753" s="53"/>
    </row>
    <row r="754" spans="5:10">
      <c r="E754" s="31"/>
      <c r="F754" s="31"/>
      <c r="G754" s="31"/>
      <c r="H754" s="31"/>
      <c r="J754" s="53"/>
    </row>
    <row r="755" spans="5:10">
      <c r="E755" s="31"/>
      <c r="F755" s="31"/>
      <c r="G755" s="31"/>
      <c r="H755" s="31"/>
      <c r="J755" s="53"/>
    </row>
    <row r="756" spans="5:10">
      <c r="E756" s="31"/>
      <c r="F756" s="31"/>
      <c r="G756" s="31"/>
      <c r="H756" s="31"/>
      <c r="J756" s="53"/>
    </row>
    <row r="757" spans="5:10">
      <c r="E757" s="31"/>
      <c r="F757" s="31"/>
      <c r="G757" s="31"/>
      <c r="H757" s="31"/>
      <c r="J757" s="53"/>
    </row>
    <row r="758" spans="5:10">
      <c r="E758" s="31"/>
      <c r="F758" s="31"/>
      <c r="G758" s="31"/>
      <c r="H758" s="31"/>
      <c r="J758" s="53"/>
    </row>
    <row r="759" spans="5:10">
      <c r="E759" s="31"/>
      <c r="F759" s="31"/>
      <c r="G759" s="31"/>
      <c r="H759" s="31"/>
      <c r="J759" s="53"/>
    </row>
    <row r="760" spans="5:10">
      <c r="E760" s="31"/>
      <c r="F760" s="31"/>
      <c r="G760" s="31"/>
      <c r="H760" s="31"/>
      <c r="J760" s="53"/>
    </row>
    <row r="761" spans="5:10">
      <c r="E761" s="31"/>
      <c r="F761" s="31"/>
      <c r="G761" s="31"/>
      <c r="H761" s="31"/>
      <c r="J761" s="53"/>
    </row>
    <row r="762" spans="5:10">
      <c r="E762" s="31"/>
      <c r="F762" s="31"/>
      <c r="G762" s="31"/>
      <c r="H762" s="31"/>
      <c r="J762" s="53"/>
    </row>
    <row r="763" spans="5:10">
      <c r="E763" s="31"/>
      <c r="F763" s="31"/>
      <c r="G763" s="31"/>
      <c r="H763" s="31"/>
      <c r="J763" s="53"/>
    </row>
    <row r="764" spans="5:10">
      <c r="E764" s="31"/>
      <c r="F764" s="31"/>
      <c r="G764" s="31"/>
      <c r="H764" s="31"/>
      <c r="J764" s="53"/>
    </row>
    <row r="765" spans="5:10">
      <c r="E765" s="31"/>
      <c r="F765" s="31"/>
      <c r="G765" s="31"/>
      <c r="H765" s="31"/>
      <c r="J765" s="53"/>
    </row>
    <row r="766" spans="5:10">
      <c r="E766" s="31"/>
      <c r="F766" s="31"/>
      <c r="G766" s="31"/>
      <c r="H766" s="31"/>
      <c r="J766" s="53"/>
    </row>
    <row r="767" spans="5:10">
      <c r="E767" s="31"/>
      <c r="F767" s="31"/>
      <c r="G767" s="31"/>
      <c r="H767" s="31"/>
      <c r="J767" s="53"/>
    </row>
    <row r="768" spans="5:10">
      <c r="E768" s="31"/>
      <c r="F768" s="31"/>
      <c r="G768" s="31"/>
      <c r="H768" s="31"/>
      <c r="J768" s="53"/>
    </row>
    <row r="769" spans="5:10">
      <c r="E769" s="31"/>
      <c r="F769" s="31"/>
      <c r="G769" s="31"/>
      <c r="H769" s="31"/>
      <c r="J769" s="53"/>
    </row>
    <row r="770" spans="5:10">
      <c r="E770" s="31"/>
      <c r="F770" s="31"/>
      <c r="G770" s="31"/>
      <c r="H770" s="31"/>
      <c r="J770" s="53"/>
    </row>
    <row r="771" spans="5:10">
      <c r="E771" s="31"/>
      <c r="F771" s="31"/>
      <c r="G771" s="31"/>
      <c r="H771" s="31"/>
      <c r="J771" s="53"/>
    </row>
    <row r="772" spans="5:10">
      <c r="E772" s="31"/>
      <c r="F772" s="31"/>
      <c r="G772" s="31"/>
      <c r="H772" s="31"/>
      <c r="J772" s="53"/>
    </row>
    <row r="773" spans="5:10">
      <c r="E773" s="31"/>
      <c r="F773" s="31"/>
      <c r="G773" s="31"/>
      <c r="H773" s="31"/>
      <c r="J773" s="53"/>
    </row>
    <row r="774" spans="5:10">
      <c r="E774" s="31"/>
      <c r="F774" s="31"/>
      <c r="G774" s="31"/>
      <c r="H774" s="31"/>
      <c r="J774" s="53"/>
    </row>
    <row r="775" spans="5:10">
      <c r="E775" s="31"/>
      <c r="F775" s="31"/>
      <c r="G775" s="31"/>
      <c r="H775" s="31"/>
      <c r="J775" s="53"/>
    </row>
    <row r="776" spans="5:10">
      <c r="E776" s="31"/>
      <c r="F776" s="31"/>
      <c r="G776" s="31"/>
      <c r="H776" s="31"/>
      <c r="J776" s="53"/>
    </row>
    <row r="777" spans="5:10">
      <c r="E777" s="31"/>
      <c r="F777" s="31"/>
      <c r="G777" s="31"/>
      <c r="H777" s="31"/>
      <c r="J777" s="53"/>
    </row>
    <row r="778" spans="5:10">
      <c r="E778" s="31"/>
      <c r="F778" s="31"/>
      <c r="G778" s="31"/>
      <c r="H778" s="31"/>
      <c r="J778" s="53"/>
    </row>
    <row r="779" spans="5:10">
      <c r="E779" s="31"/>
      <c r="F779" s="31"/>
      <c r="G779" s="31"/>
      <c r="H779" s="31"/>
      <c r="J779" s="53"/>
    </row>
    <row r="780" spans="5:10">
      <c r="E780" s="31"/>
      <c r="F780" s="31"/>
      <c r="G780" s="31"/>
      <c r="H780" s="31"/>
      <c r="J780" s="53"/>
    </row>
    <row r="781" spans="5:10">
      <c r="E781" s="31"/>
      <c r="F781" s="31"/>
      <c r="G781" s="31"/>
      <c r="H781" s="31"/>
      <c r="J781" s="53"/>
    </row>
    <row r="782" spans="5:10">
      <c r="E782" s="31"/>
      <c r="F782" s="31"/>
      <c r="G782" s="31"/>
      <c r="H782" s="31"/>
      <c r="J782" s="53"/>
    </row>
    <row r="783" spans="5:10">
      <c r="E783" s="31"/>
      <c r="F783" s="31"/>
      <c r="G783" s="31"/>
      <c r="H783" s="31"/>
      <c r="J783" s="53"/>
    </row>
    <row r="784" spans="5:10">
      <c r="E784" s="31"/>
      <c r="F784" s="31"/>
      <c r="G784" s="31"/>
      <c r="H784" s="31"/>
      <c r="J784" s="53"/>
    </row>
    <row r="785" spans="5:10">
      <c r="E785" s="31"/>
      <c r="F785" s="31"/>
      <c r="G785" s="31"/>
      <c r="H785" s="31"/>
      <c r="J785" s="53"/>
    </row>
    <row r="786" spans="5:10">
      <c r="E786" s="31"/>
      <c r="F786" s="31"/>
      <c r="G786" s="31"/>
      <c r="H786" s="31"/>
      <c r="J786" s="53"/>
    </row>
    <row r="787" spans="5:10">
      <c r="E787" s="31"/>
      <c r="F787" s="31"/>
      <c r="G787" s="31"/>
      <c r="H787" s="31"/>
      <c r="J787" s="53"/>
    </row>
    <row r="788" spans="5:10">
      <c r="E788" s="31"/>
      <c r="F788" s="31"/>
      <c r="G788" s="31"/>
      <c r="H788" s="31"/>
      <c r="J788" s="53"/>
    </row>
    <row r="789" spans="5:10">
      <c r="E789" s="31"/>
      <c r="F789" s="31"/>
      <c r="G789" s="31"/>
      <c r="H789" s="31"/>
      <c r="J789" s="53"/>
    </row>
    <row r="790" spans="5:10">
      <c r="E790" s="31"/>
      <c r="F790" s="31"/>
      <c r="G790" s="31"/>
      <c r="H790" s="31"/>
      <c r="J790" s="53"/>
    </row>
    <row r="791" spans="5:10">
      <c r="E791" s="31"/>
      <c r="F791" s="31"/>
      <c r="G791" s="31"/>
      <c r="H791" s="31"/>
      <c r="J791" s="53"/>
    </row>
    <row r="792" spans="5:10">
      <c r="E792" s="31"/>
      <c r="F792" s="31"/>
      <c r="G792" s="31"/>
      <c r="H792" s="31"/>
      <c r="J792" s="53"/>
    </row>
    <row r="793" spans="5:10">
      <c r="E793" s="31"/>
      <c r="F793" s="31"/>
      <c r="G793" s="31"/>
      <c r="H793" s="31"/>
      <c r="J793" s="53"/>
    </row>
    <row r="794" spans="5:10">
      <c r="E794" s="31"/>
      <c r="F794" s="31"/>
      <c r="G794" s="31"/>
      <c r="H794" s="31"/>
      <c r="J794" s="53"/>
    </row>
    <row r="795" spans="5:10">
      <c r="E795" s="31"/>
      <c r="F795" s="31"/>
      <c r="G795" s="31"/>
      <c r="H795" s="31"/>
      <c r="J795" s="53"/>
    </row>
    <row r="796" spans="5:10">
      <c r="E796" s="31"/>
      <c r="F796" s="31"/>
      <c r="G796" s="31"/>
      <c r="H796" s="31"/>
      <c r="J796" s="53"/>
    </row>
    <row r="797" spans="5:10">
      <c r="E797" s="31"/>
      <c r="F797" s="31"/>
      <c r="G797" s="31"/>
      <c r="H797" s="31"/>
      <c r="J797" s="53"/>
    </row>
    <row r="798" spans="5:10">
      <c r="E798" s="31"/>
      <c r="F798" s="31"/>
      <c r="G798" s="31"/>
      <c r="H798" s="31"/>
      <c r="J798" s="53"/>
    </row>
    <row r="799" spans="5:10">
      <c r="E799" s="31"/>
      <c r="F799" s="31"/>
      <c r="G799" s="31"/>
      <c r="H799" s="31"/>
      <c r="J799" s="53"/>
    </row>
    <row r="800" spans="5:10">
      <c r="E800" s="31"/>
      <c r="F800" s="31"/>
      <c r="G800" s="31"/>
      <c r="H800" s="31"/>
      <c r="J800" s="53"/>
    </row>
    <row r="801" spans="5:10">
      <c r="E801" s="31"/>
      <c r="F801" s="31"/>
      <c r="G801" s="31"/>
      <c r="H801" s="31"/>
      <c r="J801" s="53"/>
    </row>
    <row r="802" spans="5:10">
      <c r="E802" s="31"/>
      <c r="F802" s="31"/>
      <c r="G802" s="31"/>
      <c r="H802" s="31"/>
      <c r="J802" s="53"/>
    </row>
    <row r="803" spans="5:10">
      <c r="E803" s="31"/>
      <c r="F803" s="31"/>
      <c r="G803" s="31"/>
      <c r="H803" s="31"/>
      <c r="J803" s="53"/>
    </row>
    <row r="804" spans="5:10">
      <c r="E804" s="31"/>
      <c r="F804" s="31"/>
      <c r="G804" s="31"/>
      <c r="H804" s="31"/>
      <c r="J804" s="53"/>
    </row>
    <row r="805" spans="5:10">
      <c r="E805" s="31"/>
      <c r="F805" s="31"/>
      <c r="G805" s="31"/>
      <c r="H805" s="31"/>
      <c r="J805" s="53"/>
    </row>
    <row r="806" spans="5:10">
      <c r="E806" s="31"/>
      <c r="F806" s="31"/>
      <c r="G806" s="31"/>
      <c r="H806" s="31"/>
      <c r="J806" s="53"/>
    </row>
    <row r="807" spans="5:10">
      <c r="E807" s="31"/>
      <c r="F807" s="31"/>
      <c r="G807" s="31"/>
      <c r="H807" s="31"/>
      <c r="J807" s="53"/>
    </row>
    <row r="808" spans="5:10">
      <c r="E808" s="31"/>
      <c r="F808" s="31"/>
      <c r="G808" s="31"/>
      <c r="H808" s="31"/>
      <c r="J808" s="53"/>
    </row>
    <row r="809" spans="5:10">
      <c r="E809" s="31"/>
      <c r="F809" s="31"/>
      <c r="G809" s="31"/>
      <c r="H809" s="31"/>
      <c r="J809" s="53"/>
    </row>
    <row r="810" spans="5:10">
      <c r="E810" s="31"/>
      <c r="F810" s="31"/>
      <c r="G810" s="31"/>
      <c r="H810" s="31"/>
      <c r="J810" s="53"/>
    </row>
    <row r="811" spans="5:10">
      <c r="E811" s="31"/>
      <c r="F811" s="31"/>
      <c r="G811" s="31"/>
      <c r="H811" s="31"/>
      <c r="J811" s="53"/>
    </row>
    <row r="812" spans="5:10">
      <c r="E812" s="31"/>
      <c r="F812" s="31"/>
      <c r="G812" s="31"/>
      <c r="H812" s="31"/>
      <c r="J812" s="53"/>
    </row>
    <row r="813" spans="5:10">
      <c r="E813" s="31"/>
      <c r="F813" s="31"/>
      <c r="G813" s="31"/>
      <c r="H813" s="31"/>
      <c r="J813" s="53"/>
    </row>
    <row r="814" spans="5:10">
      <c r="E814" s="31"/>
      <c r="F814" s="31"/>
      <c r="G814" s="31"/>
      <c r="H814" s="31"/>
      <c r="J814" s="53"/>
    </row>
    <row r="815" spans="5:10">
      <c r="E815" s="31"/>
      <c r="F815" s="31"/>
      <c r="G815" s="31"/>
      <c r="H815" s="31"/>
      <c r="J815" s="53"/>
    </row>
    <row r="816" spans="5:10">
      <c r="E816" s="31"/>
      <c r="F816" s="31"/>
      <c r="G816" s="31"/>
      <c r="H816" s="31"/>
      <c r="J816" s="53"/>
    </row>
    <row r="817" spans="5:10">
      <c r="E817" s="31"/>
      <c r="F817" s="31"/>
      <c r="G817" s="31"/>
      <c r="H817" s="31"/>
      <c r="J817" s="53"/>
    </row>
    <row r="818" spans="5:10">
      <c r="E818" s="31"/>
      <c r="F818" s="31"/>
      <c r="G818" s="31"/>
      <c r="H818" s="31"/>
      <c r="J818" s="53"/>
    </row>
    <row r="819" spans="5:10">
      <c r="E819" s="31"/>
      <c r="F819" s="31"/>
      <c r="G819" s="31"/>
      <c r="H819" s="31"/>
      <c r="J819" s="53"/>
    </row>
    <row r="820" spans="5:10">
      <c r="E820" s="31"/>
      <c r="F820" s="31"/>
      <c r="G820" s="31"/>
      <c r="H820" s="31"/>
      <c r="J820" s="53"/>
    </row>
    <row r="821" spans="5:10">
      <c r="E821" s="31"/>
      <c r="F821" s="31"/>
      <c r="G821" s="31"/>
      <c r="H821" s="31"/>
      <c r="J821" s="53"/>
    </row>
    <row r="822" spans="5:10">
      <c r="E822" s="31"/>
      <c r="F822" s="31"/>
      <c r="G822" s="31"/>
      <c r="H822" s="31"/>
      <c r="J822" s="53"/>
    </row>
    <row r="823" spans="5:10">
      <c r="E823" s="31"/>
      <c r="F823" s="31"/>
      <c r="G823" s="31"/>
      <c r="H823" s="31"/>
      <c r="J823" s="53"/>
    </row>
    <row r="824" spans="5:10">
      <c r="E824" s="31"/>
      <c r="F824" s="31"/>
      <c r="G824" s="31"/>
      <c r="H824" s="31"/>
      <c r="J824" s="53"/>
    </row>
    <row r="825" spans="5:10">
      <c r="E825" s="31"/>
      <c r="F825" s="31"/>
      <c r="G825" s="31"/>
      <c r="H825" s="31"/>
      <c r="J825" s="53"/>
    </row>
    <row r="826" spans="5:10">
      <c r="E826" s="31"/>
      <c r="F826" s="31"/>
      <c r="G826" s="31"/>
      <c r="H826" s="31"/>
      <c r="J826" s="53"/>
    </row>
    <row r="827" spans="5:10">
      <c r="E827" s="31"/>
      <c r="F827" s="31"/>
      <c r="G827" s="31"/>
      <c r="H827" s="31"/>
      <c r="J827" s="53"/>
    </row>
    <row r="828" spans="5:10">
      <c r="E828" s="31"/>
      <c r="F828" s="31"/>
      <c r="G828" s="31"/>
      <c r="H828" s="31"/>
      <c r="J828" s="53"/>
    </row>
    <row r="829" spans="5:10">
      <c r="E829" s="31"/>
      <c r="F829" s="31"/>
      <c r="G829" s="31"/>
      <c r="H829" s="31"/>
      <c r="J829" s="53"/>
    </row>
    <row r="830" spans="5:10">
      <c r="E830" s="31"/>
      <c r="F830" s="31"/>
      <c r="G830" s="31"/>
      <c r="H830" s="31"/>
      <c r="J830" s="53"/>
    </row>
    <row r="831" spans="5:10">
      <c r="E831" s="31"/>
      <c r="F831" s="31"/>
      <c r="G831" s="31"/>
      <c r="H831" s="31"/>
      <c r="J831" s="53"/>
    </row>
    <row r="832" spans="5:10">
      <c r="E832" s="31"/>
      <c r="F832" s="31"/>
      <c r="G832" s="31"/>
      <c r="H832" s="31"/>
      <c r="J832" s="53"/>
    </row>
    <row r="833" spans="5:10">
      <c r="E833" s="31"/>
      <c r="F833" s="31"/>
      <c r="G833" s="31"/>
      <c r="H833" s="31"/>
      <c r="J833" s="53"/>
    </row>
    <row r="834" spans="5:10">
      <c r="E834" s="31"/>
      <c r="F834" s="31"/>
      <c r="G834" s="31"/>
      <c r="H834" s="31"/>
      <c r="J834" s="53"/>
    </row>
    <row r="835" spans="5:10">
      <c r="E835" s="31"/>
      <c r="F835" s="31"/>
      <c r="G835" s="31"/>
      <c r="H835" s="31"/>
      <c r="J835" s="53"/>
    </row>
    <row r="836" spans="5:10">
      <c r="E836" s="31"/>
      <c r="F836" s="31"/>
      <c r="G836" s="31"/>
      <c r="H836" s="31"/>
      <c r="J836" s="53"/>
    </row>
    <row r="837" spans="5:10">
      <c r="E837" s="31"/>
      <c r="F837" s="31"/>
      <c r="G837" s="31"/>
      <c r="H837" s="31"/>
      <c r="J837" s="53"/>
    </row>
    <row r="838" spans="5:10">
      <c r="E838" s="31"/>
      <c r="F838" s="31"/>
      <c r="G838" s="31"/>
      <c r="H838" s="31"/>
      <c r="J838" s="53"/>
    </row>
    <row r="839" spans="5:10">
      <c r="E839" s="31"/>
      <c r="F839" s="31"/>
      <c r="G839" s="31"/>
      <c r="H839" s="31"/>
      <c r="J839" s="53"/>
    </row>
    <row r="840" spans="5:10">
      <c r="E840" s="31"/>
      <c r="F840" s="31"/>
      <c r="G840" s="31"/>
      <c r="H840" s="31"/>
      <c r="J840" s="53"/>
    </row>
    <row r="841" spans="5:10">
      <c r="E841" s="31"/>
      <c r="F841" s="31"/>
      <c r="G841" s="31"/>
      <c r="H841" s="31"/>
      <c r="J841" s="53"/>
    </row>
    <row r="842" spans="5:10">
      <c r="E842" s="31"/>
      <c r="F842" s="31"/>
      <c r="G842" s="31"/>
      <c r="H842" s="31"/>
      <c r="J842" s="53"/>
    </row>
    <row r="843" spans="5:10">
      <c r="E843" s="31"/>
      <c r="F843" s="31"/>
      <c r="G843" s="31"/>
      <c r="H843" s="31"/>
      <c r="J843" s="53"/>
    </row>
    <row r="844" spans="5:10">
      <c r="E844" s="31"/>
      <c r="F844" s="31"/>
      <c r="G844" s="31"/>
      <c r="H844" s="31"/>
      <c r="J844" s="53"/>
    </row>
    <row r="845" spans="5:10">
      <c r="E845" s="31"/>
      <c r="F845" s="31"/>
      <c r="G845" s="31"/>
      <c r="H845" s="31"/>
      <c r="J845" s="53"/>
    </row>
    <row r="846" spans="5:10">
      <c r="E846" s="31"/>
      <c r="F846" s="31"/>
      <c r="G846" s="31"/>
      <c r="H846" s="31"/>
      <c r="J846" s="53"/>
    </row>
    <row r="847" spans="5:10">
      <c r="E847" s="31"/>
      <c r="F847" s="31"/>
      <c r="G847" s="31"/>
      <c r="H847" s="31"/>
      <c r="J847" s="53"/>
    </row>
    <row r="848" spans="5:10">
      <c r="E848" s="31"/>
      <c r="F848" s="31"/>
      <c r="G848" s="31"/>
      <c r="H848" s="31"/>
      <c r="J848" s="53"/>
    </row>
    <row r="849" spans="5:10">
      <c r="E849" s="31"/>
      <c r="F849" s="31"/>
      <c r="G849" s="31"/>
      <c r="H849" s="31"/>
      <c r="J849" s="53"/>
    </row>
    <row r="850" spans="5:10">
      <c r="E850" s="31"/>
      <c r="F850" s="31"/>
      <c r="G850" s="31"/>
      <c r="H850" s="31"/>
      <c r="J850" s="53"/>
    </row>
    <row r="851" spans="5:10">
      <c r="E851" s="31"/>
      <c r="F851" s="31"/>
      <c r="G851" s="31"/>
      <c r="H851" s="31"/>
      <c r="J851" s="53"/>
    </row>
    <row r="852" spans="5:10">
      <c r="E852" s="31"/>
      <c r="F852" s="31"/>
      <c r="G852" s="31"/>
      <c r="H852" s="31"/>
      <c r="J852" s="53"/>
    </row>
    <row r="853" spans="5:10">
      <c r="E853" s="31"/>
      <c r="F853" s="31"/>
      <c r="G853" s="31"/>
      <c r="H853" s="31"/>
      <c r="J853" s="53"/>
    </row>
    <row r="854" spans="5:10">
      <c r="E854" s="31"/>
      <c r="F854" s="31"/>
      <c r="G854" s="31"/>
      <c r="H854" s="31"/>
      <c r="J854" s="53"/>
    </row>
    <row r="855" spans="5:10">
      <c r="E855" s="31"/>
      <c r="F855" s="31"/>
      <c r="G855" s="31"/>
      <c r="H855" s="31"/>
      <c r="J855" s="53"/>
    </row>
    <row r="856" spans="5:10">
      <c r="E856" s="31"/>
      <c r="F856" s="31"/>
      <c r="G856" s="31"/>
      <c r="H856" s="31"/>
      <c r="J856" s="53"/>
    </row>
    <row r="857" spans="5:10">
      <c r="E857" s="31"/>
      <c r="F857" s="31"/>
      <c r="G857" s="31"/>
      <c r="H857" s="31"/>
      <c r="J857" s="53"/>
    </row>
    <row r="858" spans="5:10">
      <c r="E858" s="31"/>
      <c r="F858" s="31"/>
      <c r="G858" s="31"/>
      <c r="H858" s="31"/>
      <c r="J858" s="53"/>
    </row>
    <row r="859" spans="5:10">
      <c r="E859" s="31"/>
      <c r="F859" s="31"/>
      <c r="G859" s="31"/>
      <c r="H859" s="31"/>
      <c r="J859" s="53"/>
    </row>
    <row r="860" spans="5:10">
      <c r="E860" s="31"/>
      <c r="F860" s="31"/>
      <c r="G860" s="31"/>
      <c r="H860" s="31"/>
      <c r="J860" s="53"/>
    </row>
    <row r="861" spans="5:10">
      <c r="E861" s="31"/>
      <c r="F861" s="31"/>
      <c r="G861" s="31"/>
      <c r="H861" s="31"/>
      <c r="J861" s="53"/>
    </row>
    <row r="862" spans="5:10">
      <c r="E862" s="31"/>
      <c r="F862" s="31"/>
      <c r="G862" s="31"/>
      <c r="H862" s="31"/>
      <c r="J862" s="53"/>
    </row>
    <row r="863" spans="5:10">
      <c r="E863" s="31"/>
      <c r="F863" s="31"/>
      <c r="G863" s="31"/>
      <c r="H863" s="31"/>
      <c r="J863" s="53"/>
    </row>
    <row r="864" spans="5:10">
      <c r="E864" s="31"/>
      <c r="F864" s="31"/>
      <c r="G864" s="31"/>
      <c r="H864" s="31"/>
      <c r="J864" s="53"/>
    </row>
    <row r="865" spans="5:10">
      <c r="E865" s="31"/>
      <c r="F865" s="31"/>
      <c r="G865" s="31"/>
      <c r="H865" s="31"/>
      <c r="J865" s="53"/>
    </row>
    <row r="866" spans="5:10">
      <c r="E866" s="31"/>
      <c r="F866" s="31"/>
      <c r="G866" s="31"/>
      <c r="H866" s="31"/>
      <c r="J866" s="53"/>
    </row>
    <row r="867" spans="5:10">
      <c r="E867" s="31"/>
      <c r="F867" s="31"/>
      <c r="G867" s="31"/>
      <c r="H867" s="31"/>
      <c r="J867" s="53"/>
    </row>
    <row r="868" spans="5:10">
      <c r="E868" s="31"/>
      <c r="F868" s="31"/>
      <c r="G868" s="31"/>
      <c r="H868" s="31"/>
      <c r="J868" s="53"/>
    </row>
    <row r="869" spans="5:10">
      <c r="E869" s="31"/>
      <c r="F869" s="31"/>
      <c r="G869" s="31"/>
      <c r="H869" s="31"/>
      <c r="J869" s="53"/>
    </row>
    <row r="870" spans="5:10">
      <c r="E870" s="31"/>
      <c r="F870" s="31"/>
      <c r="G870" s="31"/>
      <c r="H870" s="31"/>
      <c r="J870" s="53"/>
    </row>
    <row r="871" spans="5:10">
      <c r="E871" s="31"/>
      <c r="F871" s="31"/>
      <c r="G871" s="31"/>
      <c r="H871" s="31"/>
      <c r="J871" s="53"/>
    </row>
    <row r="872" spans="5:10">
      <c r="E872" s="31"/>
      <c r="F872" s="31"/>
      <c r="G872" s="31"/>
      <c r="H872" s="31"/>
      <c r="J872" s="53"/>
    </row>
    <row r="873" spans="5:10">
      <c r="E873" s="31"/>
      <c r="F873" s="31"/>
      <c r="G873" s="31"/>
      <c r="H873" s="31"/>
      <c r="J873" s="53"/>
    </row>
    <row r="874" spans="5:10">
      <c r="E874" s="31"/>
      <c r="F874" s="31"/>
      <c r="G874" s="31"/>
      <c r="H874" s="31"/>
      <c r="J874" s="53"/>
    </row>
    <row r="875" spans="5:10">
      <c r="E875" s="31"/>
      <c r="F875" s="31"/>
      <c r="G875" s="31"/>
      <c r="H875" s="31"/>
      <c r="J875" s="53"/>
    </row>
    <row r="876" spans="5:10">
      <c r="E876" s="31"/>
      <c r="F876" s="31"/>
      <c r="G876" s="31"/>
      <c r="H876" s="31"/>
      <c r="J876" s="53"/>
    </row>
    <row r="877" spans="5:10">
      <c r="E877" s="31"/>
      <c r="F877" s="31"/>
      <c r="G877" s="31"/>
      <c r="H877" s="31"/>
      <c r="J877" s="53"/>
    </row>
    <row r="878" spans="5:10">
      <c r="E878" s="31"/>
      <c r="F878" s="31"/>
      <c r="G878" s="31"/>
      <c r="H878" s="31"/>
      <c r="J878" s="53"/>
    </row>
    <row r="879" spans="5:10">
      <c r="E879" s="31"/>
      <c r="F879" s="31"/>
      <c r="G879" s="31"/>
      <c r="H879" s="31"/>
      <c r="J879" s="53"/>
    </row>
    <row r="880" spans="5:10">
      <c r="E880" s="31"/>
      <c r="F880" s="31"/>
      <c r="G880" s="31"/>
      <c r="H880" s="31"/>
      <c r="J880" s="53"/>
    </row>
    <row r="881" spans="5:10">
      <c r="E881" s="31"/>
      <c r="F881" s="31"/>
      <c r="G881" s="31"/>
      <c r="H881" s="31"/>
      <c r="J881" s="53"/>
    </row>
    <row r="882" spans="5:10">
      <c r="E882" s="31"/>
      <c r="F882" s="31"/>
      <c r="G882" s="31"/>
      <c r="H882" s="31"/>
      <c r="J882" s="53"/>
    </row>
    <row r="883" spans="5:10">
      <c r="E883" s="31"/>
      <c r="F883" s="31"/>
      <c r="G883" s="31"/>
      <c r="H883" s="31"/>
      <c r="J883" s="53"/>
    </row>
    <row r="884" spans="5:10">
      <c r="E884" s="31"/>
      <c r="F884" s="31"/>
      <c r="G884" s="31"/>
      <c r="H884" s="31"/>
      <c r="J884" s="53"/>
    </row>
    <row r="885" spans="5:10">
      <c r="E885" s="31"/>
      <c r="F885" s="31"/>
      <c r="G885" s="31"/>
      <c r="H885" s="31"/>
      <c r="J885" s="53"/>
    </row>
    <row r="886" spans="5:10">
      <c r="E886" s="31"/>
      <c r="F886" s="31"/>
      <c r="G886" s="31"/>
      <c r="H886" s="31"/>
      <c r="J886" s="53"/>
    </row>
    <row r="887" spans="5:10">
      <c r="E887" s="31"/>
      <c r="F887" s="31"/>
      <c r="G887" s="31"/>
      <c r="H887" s="31"/>
      <c r="J887" s="53"/>
    </row>
    <row r="888" spans="5:10">
      <c r="E888" s="31"/>
      <c r="F888" s="31"/>
      <c r="G888" s="31"/>
      <c r="H888" s="31"/>
      <c r="J888" s="53"/>
    </row>
    <row r="889" spans="5:10">
      <c r="E889" s="31"/>
      <c r="F889" s="31"/>
      <c r="G889" s="31"/>
      <c r="H889" s="31"/>
      <c r="J889" s="53"/>
    </row>
    <row r="890" spans="5:10">
      <c r="E890" s="31"/>
      <c r="F890" s="31"/>
      <c r="G890" s="31"/>
      <c r="H890" s="31"/>
      <c r="J890" s="53"/>
    </row>
    <row r="891" spans="5:10">
      <c r="E891" s="31"/>
      <c r="F891" s="31"/>
      <c r="G891" s="31"/>
      <c r="H891" s="31"/>
      <c r="J891" s="53"/>
    </row>
    <row r="892" spans="5:10">
      <c r="E892" s="31"/>
      <c r="F892" s="31"/>
      <c r="G892" s="31"/>
      <c r="H892" s="31"/>
      <c r="J892" s="53"/>
    </row>
    <row r="893" spans="5:10">
      <c r="E893" s="31"/>
      <c r="F893" s="31"/>
      <c r="G893" s="31"/>
      <c r="H893" s="31"/>
      <c r="J893" s="53"/>
    </row>
    <row r="894" spans="5:10">
      <c r="E894" s="31"/>
      <c r="F894" s="31"/>
      <c r="G894" s="31"/>
      <c r="H894" s="31"/>
      <c r="J894" s="53"/>
    </row>
    <row r="895" spans="5:10">
      <c r="E895" s="31"/>
      <c r="F895" s="31"/>
      <c r="G895" s="31"/>
      <c r="H895" s="31"/>
      <c r="J895" s="53"/>
    </row>
    <row r="896" spans="5:10">
      <c r="E896" s="31"/>
      <c r="F896" s="31"/>
      <c r="G896" s="31"/>
      <c r="H896" s="31"/>
      <c r="J896" s="53"/>
    </row>
    <row r="897" spans="5:10">
      <c r="E897" s="31"/>
      <c r="F897" s="31"/>
      <c r="G897" s="31"/>
      <c r="H897" s="31"/>
      <c r="J897" s="53"/>
    </row>
    <row r="898" spans="5:10">
      <c r="E898" s="31"/>
      <c r="F898" s="31"/>
      <c r="G898" s="31"/>
      <c r="H898" s="31"/>
      <c r="J898" s="53"/>
    </row>
    <row r="899" spans="5:10">
      <c r="E899" s="31"/>
      <c r="F899" s="31"/>
      <c r="G899" s="31"/>
      <c r="H899" s="31"/>
      <c r="J899" s="53"/>
    </row>
    <row r="900" spans="5:10">
      <c r="E900" s="31"/>
      <c r="F900" s="31"/>
      <c r="G900" s="31"/>
      <c r="H900" s="31"/>
      <c r="J900" s="53"/>
    </row>
    <row r="901" spans="5:10">
      <c r="E901" s="31"/>
      <c r="F901" s="31"/>
      <c r="G901" s="31"/>
      <c r="H901" s="31"/>
      <c r="J901" s="53"/>
    </row>
    <row r="902" spans="5:10">
      <c r="E902" s="31"/>
      <c r="F902" s="31"/>
      <c r="G902" s="31"/>
      <c r="H902" s="31"/>
      <c r="J902" s="53"/>
    </row>
    <row r="903" spans="5:10">
      <c r="E903" s="31"/>
      <c r="F903" s="31"/>
      <c r="G903" s="31"/>
      <c r="H903" s="31"/>
      <c r="J903" s="53"/>
    </row>
    <row r="904" spans="5:10">
      <c r="E904" s="31"/>
      <c r="F904" s="31"/>
      <c r="G904" s="31"/>
      <c r="H904" s="31"/>
      <c r="J904" s="53"/>
    </row>
    <row r="905" spans="5:10">
      <c r="E905" s="31"/>
      <c r="F905" s="31"/>
      <c r="G905" s="31"/>
      <c r="H905" s="31"/>
      <c r="J905" s="53"/>
    </row>
    <row r="906" spans="5:10">
      <c r="E906" s="31"/>
      <c r="F906" s="31"/>
      <c r="G906" s="31"/>
      <c r="H906" s="31"/>
      <c r="J906" s="53"/>
    </row>
    <row r="907" spans="5:10">
      <c r="E907" s="31"/>
      <c r="F907" s="31"/>
      <c r="G907" s="31"/>
      <c r="H907" s="31"/>
      <c r="J907" s="53"/>
    </row>
    <row r="908" spans="5:10">
      <c r="E908" s="31"/>
      <c r="F908" s="31"/>
      <c r="G908" s="31"/>
      <c r="H908" s="31"/>
      <c r="J908" s="53"/>
    </row>
    <row r="909" spans="5:10">
      <c r="E909" s="31"/>
      <c r="F909" s="31"/>
      <c r="G909" s="31"/>
      <c r="H909" s="31"/>
      <c r="J909" s="53"/>
    </row>
    <row r="910" spans="5:10">
      <c r="E910" s="31"/>
      <c r="F910" s="31"/>
      <c r="G910" s="31"/>
      <c r="H910" s="31"/>
      <c r="J910" s="53"/>
    </row>
    <row r="911" spans="5:10">
      <c r="E911" s="31"/>
      <c r="F911" s="31"/>
      <c r="G911" s="31"/>
      <c r="H911" s="31"/>
      <c r="J911" s="53"/>
    </row>
    <row r="912" spans="5:10">
      <c r="E912" s="31"/>
      <c r="F912" s="31"/>
      <c r="G912" s="31"/>
      <c r="H912" s="31"/>
      <c r="J912" s="53"/>
    </row>
    <row r="913" spans="5:10">
      <c r="E913" s="31"/>
      <c r="F913" s="31"/>
      <c r="G913" s="31"/>
      <c r="H913" s="31"/>
      <c r="J913" s="53"/>
    </row>
    <row r="914" spans="5:10">
      <c r="E914" s="31"/>
      <c r="F914" s="31"/>
      <c r="G914" s="31"/>
      <c r="H914" s="31"/>
      <c r="J914" s="53"/>
    </row>
    <row r="915" spans="5:10">
      <c r="E915" s="31"/>
      <c r="F915" s="31"/>
      <c r="G915" s="31"/>
      <c r="H915" s="31"/>
      <c r="J915" s="53"/>
    </row>
    <row r="916" spans="5:10">
      <c r="E916" s="31"/>
      <c r="F916" s="31"/>
      <c r="G916" s="31"/>
      <c r="H916" s="31"/>
      <c r="J916" s="53"/>
    </row>
    <row r="917" spans="5:10">
      <c r="E917" s="31"/>
      <c r="F917" s="31"/>
      <c r="G917" s="31"/>
      <c r="H917" s="31"/>
      <c r="J917" s="53"/>
    </row>
    <row r="918" spans="5:10">
      <c r="E918" s="31"/>
      <c r="F918" s="31"/>
      <c r="G918" s="31"/>
      <c r="H918" s="31"/>
      <c r="J918" s="53"/>
    </row>
    <row r="919" spans="5:10">
      <c r="E919" s="31"/>
      <c r="F919" s="31"/>
      <c r="G919" s="31"/>
      <c r="H919" s="31"/>
      <c r="J919" s="53"/>
    </row>
    <row r="920" spans="5:10">
      <c r="E920" s="31"/>
      <c r="F920" s="31"/>
      <c r="G920" s="31"/>
      <c r="H920" s="31"/>
      <c r="J920" s="53"/>
    </row>
    <row r="921" spans="5:10">
      <c r="E921" s="31"/>
      <c r="F921" s="31"/>
      <c r="G921" s="31"/>
      <c r="H921" s="31"/>
      <c r="J921" s="53"/>
    </row>
    <row r="922" spans="5:10">
      <c r="E922" s="31"/>
      <c r="F922" s="31"/>
      <c r="G922" s="31"/>
      <c r="H922" s="31"/>
      <c r="J922" s="53"/>
    </row>
    <row r="923" spans="5:10">
      <c r="E923" s="31"/>
      <c r="F923" s="31"/>
      <c r="G923" s="31"/>
      <c r="H923" s="31"/>
      <c r="J923" s="53"/>
    </row>
    <row r="924" spans="5:10">
      <c r="E924" s="31"/>
      <c r="F924" s="31"/>
      <c r="G924" s="31"/>
      <c r="H924" s="31"/>
      <c r="J924" s="53"/>
    </row>
    <row r="925" spans="5:10">
      <c r="E925" s="31"/>
      <c r="F925" s="31"/>
      <c r="G925" s="31"/>
      <c r="H925" s="31"/>
      <c r="J925" s="53"/>
    </row>
    <row r="926" spans="5:10">
      <c r="E926" s="31"/>
      <c r="F926" s="31"/>
      <c r="G926" s="31"/>
      <c r="H926" s="31"/>
      <c r="J926" s="53"/>
    </row>
    <row r="927" spans="5:10">
      <c r="E927" s="31"/>
      <c r="F927" s="31"/>
      <c r="G927" s="31"/>
      <c r="H927" s="31"/>
      <c r="J927" s="53"/>
    </row>
    <row r="928" spans="5:10">
      <c r="E928" s="31"/>
      <c r="F928" s="31"/>
      <c r="G928" s="31"/>
      <c r="H928" s="31"/>
      <c r="J928" s="53"/>
    </row>
    <row r="929" spans="5:10">
      <c r="E929" s="31"/>
      <c r="F929" s="31"/>
      <c r="G929" s="31"/>
      <c r="H929" s="31"/>
      <c r="J929" s="53"/>
    </row>
    <row r="930" spans="5:10">
      <c r="E930" s="31"/>
      <c r="F930" s="31"/>
      <c r="G930" s="31"/>
      <c r="H930" s="31"/>
      <c r="J930" s="53"/>
    </row>
    <row r="931" spans="5:10">
      <c r="E931" s="31"/>
      <c r="F931" s="31"/>
      <c r="G931" s="31"/>
      <c r="H931" s="31"/>
      <c r="J931" s="53"/>
    </row>
    <row r="932" spans="5:10">
      <c r="E932" s="31"/>
      <c r="F932" s="31"/>
      <c r="G932" s="31"/>
      <c r="H932" s="31"/>
      <c r="J932" s="53"/>
    </row>
    <row r="933" spans="5:10">
      <c r="E933" s="31"/>
      <c r="F933" s="31"/>
      <c r="G933" s="31"/>
      <c r="H933" s="31"/>
      <c r="J933" s="53"/>
    </row>
    <row r="934" spans="5:10">
      <c r="E934" s="31"/>
      <c r="F934" s="31"/>
      <c r="G934" s="31"/>
      <c r="H934" s="31"/>
      <c r="J934" s="53"/>
    </row>
    <row r="935" spans="5:10">
      <c r="E935" s="31"/>
      <c r="F935" s="31"/>
      <c r="G935" s="31"/>
      <c r="H935" s="31"/>
      <c r="J935" s="53"/>
    </row>
    <row r="936" spans="5:10">
      <c r="E936" s="31"/>
      <c r="F936" s="31"/>
      <c r="G936" s="31"/>
      <c r="H936" s="31"/>
      <c r="J936" s="53"/>
    </row>
    <row r="937" spans="5:10">
      <c r="E937" s="31"/>
      <c r="F937" s="31"/>
      <c r="G937" s="31"/>
      <c r="H937" s="31"/>
      <c r="J937" s="53"/>
    </row>
    <row r="938" spans="5:10">
      <c r="E938" s="31"/>
      <c r="F938" s="31"/>
      <c r="G938" s="31"/>
      <c r="H938" s="31"/>
      <c r="J938" s="53"/>
    </row>
    <row r="939" spans="5:10">
      <c r="E939" s="31"/>
      <c r="F939" s="31"/>
      <c r="G939" s="31"/>
      <c r="H939" s="31"/>
      <c r="J939" s="53"/>
    </row>
    <row r="940" spans="5:10">
      <c r="E940" s="31"/>
      <c r="F940" s="31"/>
      <c r="G940" s="31"/>
      <c r="H940" s="31"/>
      <c r="J940" s="53"/>
    </row>
    <row r="941" spans="5:10">
      <c r="E941" s="31"/>
      <c r="F941" s="31"/>
      <c r="G941" s="31"/>
      <c r="H941" s="31"/>
      <c r="J941" s="53"/>
    </row>
    <row r="942" spans="5:10">
      <c r="E942" s="31"/>
      <c r="F942" s="31"/>
      <c r="G942" s="31"/>
      <c r="H942" s="31"/>
      <c r="J942" s="53"/>
    </row>
    <row r="943" spans="5:10">
      <c r="E943" s="31"/>
      <c r="F943" s="31"/>
      <c r="G943" s="31"/>
      <c r="H943" s="31"/>
      <c r="J943" s="53"/>
    </row>
    <row r="944" spans="5:10">
      <c r="E944" s="31"/>
      <c r="F944" s="31"/>
      <c r="G944" s="31"/>
      <c r="H944" s="31"/>
      <c r="J944" s="53"/>
    </row>
    <row r="945" spans="5:10">
      <c r="E945" s="31"/>
      <c r="F945" s="31"/>
      <c r="G945" s="31"/>
      <c r="H945" s="31"/>
      <c r="J945" s="53"/>
    </row>
    <row r="946" spans="5:10">
      <c r="E946" s="31"/>
      <c r="F946" s="31"/>
      <c r="G946" s="31"/>
      <c r="H946" s="31"/>
      <c r="J946" s="53"/>
    </row>
    <row r="947" spans="5:10">
      <c r="E947" s="31"/>
      <c r="F947" s="31"/>
      <c r="G947" s="31"/>
      <c r="H947" s="31"/>
      <c r="J947" s="53"/>
    </row>
    <row r="948" spans="5:10">
      <c r="E948" s="31"/>
      <c r="F948" s="31"/>
      <c r="G948" s="31"/>
      <c r="H948" s="31"/>
      <c r="J948" s="53"/>
    </row>
    <row r="949" spans="5:10">
      <c r="E949" s="31"/>
      <c r="F949" s="31"/>
      <c r="G949" s="31"/>
      <c r="H949" s="31"/>
      <c r="J949" s="53"/>
    </row>
    <row r="950" spans="5:10">
      <c r="E950" s="31"/>
      <c r="F950" s="31"/>
      <c r="G950" s="31"/>
      <c r="H950" s="31"/>
      <c r="J950" s="53"/>
    </row>
    <row r="951" spans="5:10">
      <c r="E951" s="31"/>
      <c r="F951" s="31"/>
      <c r="G951" s="31"/>
      <c r="H951" s="31"/>
      <c r="J951" s="53"/>
    </row>
    <row r="952" spans="5:10">
      <c r="E952" s="31"/>
      <c r="F952" s="31"/>
      <c r="G952" s="31"/>
      <c r="H952" s="31"/>
      <c r="J952" s="53"/>
    </row>
    <row r="953" spans="5:10">
      <c r="E953" s="31"/>
      <c r="F953" s="31"/>
      <c r="G953" s="31"/>
      <c r="H953" s="31"/>
      <c r="J953" s="53"/>
    </row>
    <row r="954" spans="5:10">
      <c r="E954" s="31"/>
      <c r="F954" s="31"/>
      <c r="G954" s="31"/>
      <c r="H954" s="31"/>
      <c r="J954" s="53"/>
    </row>
    <row r="955" spans="5:10">
      <c r="E955" s="31"/>
      <c r="F955" s="31"/>
      <c r="G955" s="31"/>
      <c r="H955" s="31"/>
      <c r="J955" s="53"/>
    </row>
    <row r="956" spans="5:10">
      <c r="E956" s="31"/>
      <c r="F956" s="31"/>
      <c r="G956" s="31"/>
      <c r="H956" s="31"/>
      <c r="J956" s="53"/>
    </row>
    <row r="957" spans="5:10">
      <c r="E957" s="31"/>
      <c r="F957" s="31"/>
      <c r="G957" s="31"/>
      <c r="H957" s="31"/>
      <c r="J957" s="53"/>
    </row>
    <row r="958" spans="5:10">
      <c r="E958" s="31"/>
      <c r="F958" s="31"/>
      <c r="G958" s="31"/>
      <c r="H958" s="31"/>
      <c r="J958" s="53"/>
    </row>
    <row r="959" spans="5:10">
      <c r="E959" s="31"/>
      <c r="F959" s="31"/>
      <c r="G959" s="31"/>
      <c r="H959" s="31"/>
      <c r="J959" s="53"/>
    </row>
    <row r="960" spans="5:10">
      <c r="E960" s="31"/>
      <c r="F960" s="31"/>
      <c r="G960" s="31"/>
      <c r="H960" s="31"/>
      <c r="J960" s="53"/>
    </row>
    <row r="961" spans="5:10">
      <c r="E961" s="31"/>
      <c r="F961" s="31"/>
      <c r="G961" s="31"/>
      <c r="H961" s="31"/>
      <c r="J961" s="53"/>
    </row>
    <row r="962" spans="5:10">
      <c r="E962" s="31"/>
      <c r="F962" s="31"/>
      <c r="G962" s="31"/>
      <c r="H962" s="31"/>
      <c r="J962" s="53"/>
    </row>
    <row r="963" spans="5:10">
      <c r="E963" s="31"/>
      <c r="F963" s="31"/>
      <c r="G963" s="31"/>
      <c r="H963" s="31"/>
      <c r="J963" s="53"/>
    </row>
    <row r="964" spans="5:10">
      <c r="E964" s="31"/>
      <c r="F964" s="31"/>
      <c r="G964" s="31"/>
      <c r="H964" s="31"/>
      <c r="J964" s="53"/>
    </row>
    <row r="965" spans="5:10">
      <c r="E965" s="31"/>
      <c r="F965" s="31"/>
      <c r="G965" s="31"/>
      <c r="H965" s="31"/>
      <c r="J965" s="53"/>
    </row>
    <row r="966" spans="5:10">
      <c r="E966" s="31"/>
      <c r="F966" s="31"/>
      <c r="G966" s="31"/>
      <c r="H966" s="31"/>
      <c r="J966" s="53"/>
    </row>
    <row r="967" spans="5:10">
      <c r="E967" s="31"/>
      <c r="F967" s="31"/>
      <c r="G967" s="31"/>
      <c r="H967" s="31"/>
      <c r="J967" s="53"/>
    </row>
    <row r="968" spans="5:10">
      <c r="E968" s="31"/>
      <c r="F968" s="31"/>
      <c r="G968" s="31"/>
      <c r="H968" s="31"/>
      <c r="J968" s="53"/>
    </row>
    <row r="969" spans="5:10">
      <c r="E969" s="31"/>
      <c r="F969" s="31"/>
      <c r="G969" s="31"/>
      <c r="H969" s="31"/>
      <c r="J969" s="53"/>
    </row>
    <row r="970" spans="5:10">
      <c r="E970" s="31"/>
      <c r="F970" s="31"/>
      <c r="G970" s="31"/>
      <c r="H970" s="31"/>
      <c r="J970" s="53"/>
    </row>
    <row r="971" spans="5:10">
      <c r="E971" s="31"/>
      <c r="F971" s="31"/>
      <c r="G971" s="31"/>
      <c r="H971" s="31"/>
      <c r="J971" s="53"/>
    </row>
    <row r="972" spans="5:10">
      <c r="E972" s="31"/>
      <c r="F972" s="31"/>
      <c r="G972" s="31"/>
      <c r="H972" s="31"/>
      <c r="J972" s="53"/>
    </row>
    <row r="973" spans="5:10">
      <c r="E973" s="31"/>
      <c r="F973" s="31"/>
      <c r="G973" s="31"/>
      <c r="H973" s="31"/>
      <c r="J973" s="53"/>
    </row>
    <row r="974" spans="5:10">
      <c r="E974" s="31"/>
      <c r="F974" s="31"/>
      <c r="G974" s="31"/>
      <c r="H974" s="31"/>
      <c r="J974" s="53"/>
    </row>
    <row r="975" spans="5:10">
      <c r="E975" s="31"/>
      <c r="F975" s="31"/>
      <c r="G975" s="31"/>
      <c r="H975" s="31"/>
      <c r="J975" s="53"/>
    </row>
    <row r="976" spans="5:10">
      <c r="E976" s="31"/>
      <c r="F976" s="31"/>
      <c r="G976" s="31"/>
      <c r="H976" s="31"/>
      <c r="J976" s="53"/>
    </row>
    <row r="977" spans="5:10">
      <c r="E977" s="31"/>
      <c r="F977" s="31"/>
      <c r="G977" s="31"/>
      <c r="H977" s="31"/>
      <c r="J977" s="53"/>
    </row>
    <row r="978" spans="5:10">
      <c r="E978" s="31"/>
      <c r="F978" s="31"/>
      <c r="G978" s="31"/>
      <c r="H978" s="31"/>
      <c r="J978" s="53"/>
    </row>
    <row r="979" spans="5:10">
      <c r="E979" s="31"/>
      <c r="F979" s="31"/>
      <c r="G979" s="31"/>
      <c r="H979" s="31"/>
      <c r="J979" s="53"/>
    </row>
    <row r="980" spans="5:10">
      <c r="E980" s="31"/>
      <c r="F980" s="31"/>
      <c r="G980" s="31"/>
      <c r="H980" s="31"/>
      <c r="J980" s="53"/>
    </row>
    <row r="981" spans="5:10">
      <c r="E981" s="31"/>
      <c r="F981" s="31"/>
      <c r="G981" s="31"/>
      <c r="H981" s="31"/>
      <c r="J981" s="53"/>
    </row>
    <row r="982" spans="5:10">
      <c r="E982" s="31"/>
      <c r="F982" s="31"/>
      <c r="G982" s="31"/>
      <c r="H982" s="31"/>
      <c r="J982" s="53"/>
    </row>
    <row r="983" spans="5:10">
      <c r="E983" s="31"/>
      <c r="F983" s="31"/>
      <c r="G983" s="31"/>
      <c r="H983" s="31"/>
      <c r="J983" s="53"/>
    </row>
    <row r="984" spans="5:10">
      <c r="E984" s="31"/>
      <c r="F984" s="31"/>
      <c r="G984" s="31"/>
      <c r="H984" s="31"/>
      <c r="J984" s="53"/>
    </row>
    <row r="985" spans="5:10">
      <c r="E985" s="31"/>
      <c r="F985" s="31"/>
      <c r="G985" s="31"/>
      <c r="H985" s="31"/>
      <c r="J985" s="53"/>
    </row>
    <row r="986" spans="5:10">
      <c r="E986" s="31"/>
      <c r="F986" s="31"/>
      <c r="G986" s="31"/>
      <c r="H986" s="31"/>
      <c r="J986" s="53"/>
    </row>
    <row r="987" spans="5:10">
      <c r="E987" s="31"/>
      <c r="F987" s="31"/>
      <c r="G987" s="31"/>
      <c r="H987" s="31"/>
      <c r="J987" s="53"/>
    </row>
    <row r="988" spans="5:10">
      <c r="E988" s="31"/>
      <c r="F988" s="31"/>
      <c r="G988" s="31"/>
      <c r="H988" s="31"/>
      <c r="J988" s="53"/>
    </row>
    <row r="989" spans="5:10">
      <c r="E989" s="31"/>
      <c r="F989" s="31"/>
      <c r="G989" s="31"/>
      <c r="H989" s="31"/>
      <c r="J989" s="53"/>
    </row>
    <row r="990" spans="5:10">
      <c r="E990" s="31"/>
      <c r="F990" s="31"/>
      <c r="G990" s="31"/>
      <c r="H990" s="31"/>
      <c r="J990" s="53"/>
    </row>
    <row r="991" spans="5:10">
      <c r="E991" s="31"/>
      <c r="F991" s="31"/>
      <c r="G991" s="31"/>
      <c r="H991" s="31"/>
      <c r="J991" s="53"/>
    </row>
    <row r="992" spans="5:10">
      <c r="E992" s="31"/>
      <c r="F992" s="31"/>
      <c r="G992" s="31"/>
      <c r="H992" s="31"/>
      <c r="J992" s="53"/>
    </row>
    <row r="993" spans="5:10">
      <c r="E993" s="31"/>
      <c r="F993" s="31"/>
      <c r="G993" s="31"/>
      <c r="H993" s="31"/>
      <c r="J993" s="53"/>
    </row>
    <row r="994" spans="5:10">
      <c r="E994" s="31"/>
      <c r="F994" s="31"/>
      <c r="G994" s="31"/>
      <c r="H994" s="31"/>
      <c r="J994" s="53"/>
    </row>
    <row r="995" spans="5:10">
      <c r="E995" s="31"/>
      <c r="F995" s="31"/>
      <c r="G995" s="31"/>
      <c r="H995" s="31"/>
      <c r="J995" s="53"/>
    </row>
    <row r="996" spans="5:10">
      <c r="E996" s="31"/>
      <c r="F996" s="31"/>
      <c r="G996" s="31"/>
      <c r="H996" s="31"/>
    </row>
    <row r="997" spans="5:10">
      <c r="E997" s="31"/>
      <c r="F997" s="31"/>
      <c r="G997" s="31"/>
      <c r="H997" s="31"/>
    </row>
    <row r="998" spans="5:10">
      <c r="E998" s="31"/>
      <c r="F998" s="31"/>
      <c r="G998" s="31"/>
      <c r="H998" s="31"/>
    </row>
    <row r="999" spans="5:10">
      <c r="E999" s="31"/>
      <c r="F999" s="31"/>
      <c r="G999" s="31"/>
      <c r="H999" s="31"/>
    </row>
    <row r="1000" spans="5:10">
      <c r="E1000" s="31"/>
      <c r="F1000" s="31"/>
      <c r="G1000" s="31"/>
      <c r="H1000" s="31"/>
    </row>
  </sheetData>
  <conditionalFormatting sqref="D1:Y1000">
    <cfRule type="containsText" dxfId="13" priority="1" operator="containsText" text="Pendência Externa">
      <formula>NOT(ISERROR(SEARCH("Pendência Externa",D1)))</formula>
    </cfRule>
    <cfRule type="containsText" dxfId="12" priority="2" operator="containsText" text="Falha">
      <formula>NOT(ISERROR(SEARCH("Falha",D1)))</formula>
    </cfRule>
    <cfRule type="containsText" dxfId="11" priority="3" operator="containsText" text="Sucesso">
      <formula>NOT(ISERROR(SEARCH("Sucesso",D1)))</formula>
    </cfRule>
    <cfRule type="containsText" dxfId="10" priority="22" operator="containsText" text="Disponivel para reteste">
      <formula>NOT(ISERROR(SEARCH("Disponivel para reteste",D1)))</formula>
    </cfRule>
  </conditionalFormatting>
  <conditionalFormatting sqref="I9:R995">
    <cfRule type="containsText" dxfId="9" priority="26" operator="containsText" text="REPROVADO">
      <formula>NOT(ISERROR(SEARCH("REPROVADO",I9)))</formula>
    </cfRule>
  </conditionalFormatting>
  <conditionalFormatting sqref="I9:Y1000">
    <cfRule type="containsText" dxfId="8" priority="21" operator="containsText" text="Falha">
      <formula>NOT(ISERROR(SEARCH("Falha",I9)))</formula>
    </cfRule>
    <cfRule type="containsText" dxfId="7" priority="25" operator="containsText" text="Pendência Externa">
      <formula>NOT(ISERROR(SEARCH("Pendência Externa",I9)))</formula>
    </cfRule>
  </conditionalFormatting>
  <conditionalFormatting sqref="I9:AB995">
    <cfRule type="containsText" dxfId="6" priority="4" operator="containsText" text="Demanda">
      <formula>NOT(ISERROR(SEARCH("Demanda",I9)))</formula>
    </cfRule>
    <cfRule type="containsText" dxfId="5" priority="16" operator="containsText" text="Pendência Externa">
      <formula>NOT(ISERROR(SEARCH("Pendência Externa",I9)))</formula>
    </cfRule>
    <cfRule type="containsText" dxfId="4" priority="18" operator="containsText" text="Sucesso">
      <formula>NOT(ISERROR(SEARCH("Sucesso",I9)))</formula>
    </cfRule>
    <cfRule type="containsText" dxfId="3" priority="19" operator="containsText" text="Falha">
      <formula>NOT(ISERROR(SEARCH("Falha",I9)))</formula>
    </cfRule>
    <cfRule type="containsText" dxfId="2" priority="23" operator="containsText" text="Disponivel para reteste">
      <formula>NOT(ISERROR(SEARCH("Disponivel para reteste",I9)))</formula>
    </cfRule>
    <cfRule type="containsText" dxfId="1" priority="24" operator="containsText" text="Sugestão">
      <formula>NOT(ISERROR(SEARCH("Sugestão",I9)))</formula>
    </cfRule>
    <cfRule type="containsText" dxfId="0" priority="27" operator="containsText" text="APROVADO">
      <formula>NOT(ISERROR(SEARCH("APROVADO",I9)))</formula>
    </cfRule>
  </conditionalFormatting>
  <pageMargins left="0.511811024" right="0.511811024" top="0.78740157499999996" bottom="0.78740157499999996" header="0.31496062000000002" footer="0.31496062000000002"/>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FD1845B6FE4EB143A5244C333D6E202D" ma:contentTypeVersion="15" ma:contentTypeDescription="Crie um novo documento." ma:contentTypeScope="" ma:versionID="6a0d3361aeba08e6a9599f5b1044fcba">
  <xsd:schema xmlns:xsd="http://www.w3.org/2001/XMLSchema" xmlns:xs="http://www.w3.org/2001/XMLSchema" xmlns:p="http://schemas.microsoft.com/office/2006/metadata/properties" xmlns:ns2="aedc6e6b-51dc-4513-9a54-bd11cba785ee" xmlns:ns3="c1a4e84b-ae06-42d5-ab42-13b1f94602d2" targetNamespace="http://schemas.microsoft.com/office/2006/metadata/properties" ma:root="true" ma:fieldsID="bd31b38bf6cfa2ea9a3bf9dad662b432" ns2:_="" ns3:_="">
    <xsd:import namespace="aedc6e6b-51dc-4513-9a54-bd11cba785ee"/>
    <xsd:import namespace="c1a4e84b-ae06-42d5-ab42-13b1f94602d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edc6e6b-51dc-4513-9a54-bd11cba785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lcf76f155ced4ddcb4097134ff3c332f" ma:index="15" nillable="true" ma:taxonomy="true" ma:internalName="lcf76f155ced4ddcb4097134ff3c332f" ma:taxonomyFieldName="MediaServiceImageTags" ma:displayName="Marcações de imagem" ma:readOnly="false" ma:fieldId="{5cf76f15-5ced-4ddc-b409-7134ff3c332f}" ma:taxonomyMulti="true" ma:sspId="e31efe01-5009-42b4-8d6a-39df1145a1b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c1a4e84b-ae06-42d5-ab42-13b1f94602d2"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ef0a0a3d-f85f-464b-b1ea-966c04696e55}" ma:internalName="TaxCatchAll" ma:showField="CatchAllData" ma:web="c1a4e84b-ae06-42d5-ab42-13b1f94602d2">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c1a4e84b-ae06-42d5-ab42-13b1f94602d2">
      <UserInfo>
        <DisplayName>Alexandre Alessi</DisplayName>
        <AccountId>19</AccountId>
        <AccountType/>
      </UserInfo>
      <UserInfo>
        <DisplayName>Lilia Viviane Johas Petrocelli</DisplayName>
        <AccountId>110</AccountId>
        <AccountType/>
      </UserInfo>
    </SharedWithUsers>
    <lcf76f155ced4ddcb4097134ff3c332f xmlns="aedc6e6b-51dc-4513-9a54-bd11cba785ee">
      <Terms xmlns="http://schemas.microsoft.com/office/infopath/2007/PartnerControls"/>
    </lcf76f155ced4ddcb4097134ff3c332f>
    <TaxCatchAll xmlns="c1a4e84b-ae06-42d5-ab42-13b1f94602d2"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xmlns="" id="ms-officescript%3A%2F%2Fonedrive_business_itemlink%2F01U7U5KYF4FXYYT6U7AZFK2F5KYWIHWZNG:ms-officescript%3A%2F%2Fonedrive_business_sharinglink%2Fu!aHR0cHM6Ly9kYXRhcHJldnJqLW15LnNoYXJlcG9pbnQuY29tLzp1Oi9nL3BlcnNvbmFsL2NhaW5hX3Bhc3Nvc19kYXRhcHJldl9nb3ZfYnIvRWJ3dDhZbjZud1pLclJlcXhaQjdaYVlCWElReTBDVDlWU1M4NUxwYW9PdnVDUQ"/>
  <scriptId xmlns="" id="ms-officescript%3A%2F%2Fonedrive_business_itemlink%2F01SNXLP7F6HEROKOFO4RFIJUXCNRYKEF3W:ms-officescript%3A%2F%2Fonedrive_business_sharinglink%2Fu!aHR0cHM6Ly9kYXRhcHJldnJqLW15LnNoYXJlcG9pbnQuY29tLzp1Oi9nL3BlcnNvbmFsL2NyaXN0aWFub19zb3V6YV9kYXRhcHJldl9nb3ZfYnIvRWI0NUl1VTRydVJLaE5MaWJIQ2lGM1lCRU56Q0VMOVo0QUdSLUkxWUk5NHc3UQ"/>
  <scriptId xmlns="" id="ms-officescript%3A%2F%2Fonedrive_business_itemlink%2F01SNXLP7DLE6FMZDHJJVFZLLRGVYJKSMP7:ms-officescript%3A%2F%2Fonedrive_business_sharinglink%2Fu!aHR0cHM6Ly9kYXRhcHJldnJqLW15LnNoYXJlcG9pbnQuY29tLzp1Oi9nL3BlcnNvbmFsL2NyaXN0aWFub19zb3V6YV9kYXRhcHJldl9nb3ZfYnIvRVdzbmlzeU02VTFMbGE0bXJoS3BNZjhCbmlHVWlxYjlRUmhyVmZ6cmJFNE1RZw"/>
  <scriptId xmlns="" id="ms-officescript%3A%2F%2Fsharepoint_itemlink%2Fb!49ajebDJm0ylDzUnfrj1SUvopMEGrtVCq0ITsflGAtJrbtyu3FETRZpUvRHLp4Xu%2F01TRB4ACXHQG25LW6VLRHIFEAQZBHCJJZZ:ms-officescript%3A%2F%2Fsharepoint_sharinglink%2Fu!aHR0cHM6Ly9kYXRhcHJldnJqLnNoYXJlcG9pbnQuY29tLzp1Oi9zL0JJY29tUGVyY2lhL0lRRG5nYlhWMjlWY1RvS1FFTWhPSktjNUFUNXNGMm9waXJld01YUmRQLU4wMW93"/>
  <scriptId xmlns="" id="ms-officescript%3A%2F%2Fsharepoint_itemlink%2Fb!49ajebDJm0ylDzUnfrj1SUvopMEGrtVCq0ITsflGAtJrbtyu3FETRZpUvRHLp4Xu%2F01TRB4ACSVMDINSTKWHNE3LI5GUYK2XJ5N:ms-officescript%3A%2F%2Fsharepoint_sharinglink%2Fu!aHR0cHM6Ly9kYXRhcHJldnJqLnNoYXJlcG9pbnQuY29tLzp1Oi9zL0JJY29tUGVyY2lhL0lRQlZZTkRaVFZZN1NiV2pwcVlWcTZldEFRVDYtOFgwQjdMVFVvR0FBUlR3djRR"/>
  <scriptId xmlns="" id="ms-officescript%3A%2F%2Fsharepoint_itemlink%2Fb!49ajebDJm0ylDzUnfrj1SUvopMEGrtVCq0ITsflGAtJrbtyu3FETRZpUvRHLp4Xu%2F01TRB4ACS7ZBLD7ZWACZGIG3EXBW6HIHQU:ms-officescript%3A%2F%2Fsharepoint_sharinglink%2Fu!aHR0cHM6Ly9kYXRhcHJldnJqLnNoYXJlcG9pbnQuY29tLzp1Oi9zL0JJY29tUGVyY2lhL0lRQmZ5RllfNXNBV1RJTnNsdzI4ZEI0VUFlZVZLbHczSF93N2w2bEJ3UXp6bDU4"/>
</scriptIds>
</file>

<file path=customXml/itemProps1.xml><?xml version="1.0" encoding="utf-8"?>
<ds:datastoreItem xmlns:ds="http://schemas.openxmlformats.org/officeDocument/2006/customXml" ds:itemID="{08860109-DA3B-425E-9F60-2E4B5B2A4771}"/>
</file>

<file path=customXml/itemProps2.xml><?xml version="1.0" encoding="utf-8"?>
<ds:datastoreItem xmlns:ds="http://schemas.openxmlformats.org/officeDocument/2006/customXml" ds:itemID="{E42290B5-F6C7-4D48-A28B-E5F6B8F2C911}"/>
</file>

<file path=customXml/itemProps3.xml><?xml version="1.0" encoding="utf-8"?>
<ds:datastoreItem xmlns:ds="http://schemas.openxmlformats.org/officeDocument/2006/customXml" ds:itemID="{44327337-4B29-47C7-ABE0-830A256CEF4E}"/>
</file>

<file path=customXml/itemProps4.xml><?xml version="1.0" encoding="utf-8"?>
<ds:datastoreItem xmlns:ds="http://schemas.openxmlformats.org/officeDocument/2006/customXml" ds:itemID="{663C0732-3A55-4AAF-B6FF-40EE16A0D1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dtp</dc:creator>
  <cp:keywords/>
  <dc:description/>
  <cp:lastModifiedBy/>
  <cp:revision/>
  <dcterms:created xsi:type="dcterms:W3CDTF">2020-08-10T19:06:30Z</dcterms:created>
  <dcterms:modified xsi:type="dcterms:W3CDTF">2026-08-13T14:42:43Z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0x010100FD1845B6FE4EB143A5244C333D6E202D</vt:lpwstr>
  </property>
  <property fmtid="{D5CDD505-2E9C-101B-9397-08002B2CF9AE}" pid="3" name="Order">
    <vt:r8>1000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